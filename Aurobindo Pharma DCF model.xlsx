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iraj Kumar\OneDrive\Desktop\"/>
    </mc:Choice>
  </mc:AlternateContent>
  <bookViews>
    <workbookView xWindow="0" yWindow="0" windowWidth="20460" windowHeight="7320" firstSheet="7" activeTab="13"/>
  </bookViews>
  <sheets>
    <sheet name="Assumptions" sheetId="6" r:id="rId1"/>
    <sheet name="P&amp;L" sheetId="1" r:id="rId2"/>
    <sheet name="Balance_sheet" sheetId="2" r:id="rId3"/>
    <sheet name="FAS" sheetId="10" r:id="rId4"/>
    <sheet name="Income Statement" sheetId="11" r:id="rId5"/>
    <sheet name="CashFlow" sheetId="3" r:id="rId6"/>
    <sheet name="BalanceSheet Forecast" sheetId="8" r:id="rId7"/>
    <sheet name="Debt Schedules" sheetId="9" r:id="rId8"/>
    <sheet name="Revenue Build_up" sheetId="4" r:id="rId9"/>
    <sheet name="Cost Build_Up" sheetId="5" r:id="rId10"/>
    <sheet name="Working Capital" sheetId="7" r:id="rId11"/>
    <sheet name="Beta" sheetId="14" r:id="rId12"/>
    <sheet name="WACC" sheetId="12" r:id="rId13"/>
    <sheet name="DCF" sheetId="13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3" l="1"/>
  <c r="D8" i="7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D8" i="5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D8" i="9"/>
  <c r="E8" i="9" s="1"/>
  <c r="F8" i="9" s="1"/>
  <c r="G8" i="9" s="1"/>
  <c r="H8" i="9" s="1"/>
  <c r="I8" i="9" s="1"/>
  <c r="J8" i="9" s="1"/>
  <c r="K8" i="9" s="1"/>
  <c r="L8" i="9" s="1"/>
  <c r="M8" i="9" s="1"/>
  <c r="N8" i="9" s="1"/>
  <c r="O8" i="9" s="1"/>
  <c r="P8" i="9" s="1"/>
  <c r="Q8" i="9" s="1"/>
  <c r="D8" i="8"/>
  <c r="E8" i="8" s="1"/>
  <c r="F8" i="8" s="1"/>
  <c r="G8" i="8" s="1"/>
  <c r="H8" i="8" s="1"/>
  <c r="I8" i="8" s="1"/>
  <c r="J8" i="8" s="1"/>
  <c r="K8" i="8" s="1"/>
  <c r="L8" i="8" s="1"/>
  <c r="M8" i="8" s="1"/>
  <c r="N8" i="8" s="1"/>
  <c r="O8" i="8" s="1"/>
  <c r="P8" i="8" s="1"/>
  <c r="Q8" i="8" s="1"/>
  <c r="D8" i="3"/>
  <c r="E8" i="3" s="1"/>
  <c r="F8" i="3" s="1"/>
  <c r="G8" i="3" s="1"/>
  <c r="H8" i="3" s="1"/>
  <c r="I8" i="3" s="1"/>
  <c r="J8" i="3" s="1"/>
  <c r="K8" i="3" s="1"/>
  <c r="L8" i="3" s="1"/>
  <c r="M8" i="3" s="1"/>
  <c r="N8" i="3" s="1"/>
  <c r="O8" i="3" s="1"/>
  <c r="P8" i="3" s="1"/>
  <c r="Q8" i="3" s="1"/>
  <c r="D8" i="1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D8" i="10"/>
  <c r="E8" i="10" s="1"/>
  <c r="F8" i="10" s="1"/>
  <c r="G8" i="10" s="1"/>
  <c r="H8" i="10" s="1"/>
  <c r="I8" i="10" s="1"/>
  <c r="J8" i="10" s="1"/>
  <c r="K8" i="10" s="1"/>
  <c r="L8" i="10" s="1"/>
  <c r="M8" i="10" s="1"/>
  <c r="N8" i="10" s="1"/>
  <c r="O8" i="10" s="1"/>
  <c r="P8" i="10" s="1"/>
  <c r="Q8" i="10" s="1"/>
  <c r="D8" i="2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C23" i="12"/>
  <c r="C25" i="12" s="1"/>
  <c r="C17" i="6" s="1"/>
  <c r="K12" i="14"/>
  <c r="H1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C25" i="13"/>
  <c r="C24" i="13"/>
  <c r="Q13" i="13"/>
  <c r="P13" i="13"/>
  <c r="O13" i="13"/>
  <c r="N13" i="13"/>
  <c r="M13" i="13"/>
  <c r="L13" i="13"/>
  <c r="K13" i="13"/>
  <c r="J13" i="13"/>
  <c r="I13" i="13"/>
  <c r="H13" i="13"/>
  <c r="C20" i="6"/>
  <c r="C15" i="6"/>
  <c r="D9" i="13"/>
  <c r="E9" i="13" s="1"/>
  <c r="F9" i="13" s="1"/>
  <c r="G9" i="13" s="1"/>
  <c r="H9" i="13" s="1"/>
  <c r="I9" i="13" s="1"/>
  <c r="J9" i="13" s="1"/>
  <c r="K9" i="13" s="1"/>
  <c r="L9" i="13" s="1"/>
  <c r="M9" i="13" s="1"/>
  <c r="N9" i="13" s="1"/>
  <c r="O9" i="13" s="1"/>
  <c r="P9" i="13" s="1"/>
  <c r="Q9" i="13" s="1"/>
  <c r="C21" i="12"/>
  <c r="C16" i="12"/>
  <c r="C15" i="12"/>
  <c r="C11" i="12"/>
  <c r="C10" i="12"/>
  <c r="C9" i="12"/>
  <c r="Q49" i="3"/>
  <c r="Q14" i="13" s="1"/>
  <c r="P49" i="3"/>
  <c r="P14" i="13" s="1"/>
  <c r="O49" i="3"/>
  <c r="O14" i="13" s="1"/>
  <c r="N49" i="3"/>
  <c r="N14" i="13" s="1"/>
  <c r="M49" i="3"/>
  <c r="M14" i="13" s="1"/>
  <c r="L49" i="3"/>
  <c r="L14" i="13" s="1"/>
  <c r="K49" i="3"/>
  <c r="K14" i="13" s="1"/>
  <c r="J49" i="3"/>
  <c r="J14" i="13" s="1"/>
  <c r="I49" i="3"/>
  <c r="I14" i="13" s="1"/>
  <c r="Q12" i="3"/>
  <c r="P12" i="3"/>
  <c r="O12" i="3"/>
  <c r="N12" i="3"/>
  <c r="M12" i="3"/>
  <c r="L12" i="3"/>
  <c r="K12" i="3"/>
  <c r="J12" i="3"/>
  <c r="I12" i="3"/>
  <c r="I47" i="2"/>
  <c r="Q15" i="2"/>
  <c r="P15" i="2"/>
  <c r="O15" i="2"/>
  <c r="N15" i="2"/>
  <c r="M15" i="2"/>
  <c r="L15" i="2"/>
  <c r="K15" i="2"/>
  <c r="J15" i="2"/>
  <c r="I15" i="2"/>
  <c r="I14" i="2"/>
  <c r="J14" i="2" s="1"/>
  <c r="K14" i="2" s="1"/>
  <c r="L14" i="2" s="1"/>
  <c r="Q13" i="2"/>
  <c r="P13" i="2"/>
  <c r="O13" i="2"/>
  <c r="N13" i="2"/>
  <c r="M13" i="2"/>
  <c r="L13" i="2"/>
  <c r="K13" i="2"/>
  <c r="J13" i="2"/>
  <c r="I13" i="2"/>
  <c r="Q12" i="2"/>
  <c r="P12" i="2"/>
  <c r="O12" i="2"/>
  <c r="N12" i="2"/>
  <c r="M12" i="2"/>
  <c r="L12" i="2"/>
  <c r="K12" i="2"/>
  <c r="J12" i="2"/>
  <c r="I12" i="2"/>
  <c r="Q11" i="2"/>
  <c r="P11" i="2"/>
  <c r="O11" i="2"/>
  <c r="N11" i="2"/>
  <c r="M11" i="2"/>
  <c r="L11" i="2"/>
  <c r="K11" i="2"/>
  <c r="J11" i="2"/>
  <c r="I11" i="2"/>
  <c r="G26" i="2"/>
  <c r="H49" i="3"/>
  <c r="H14" i="13" s="1"/>
  <c r="H95" i="10"/>
  <c r="H100" i="10"/>
  <c r="H69" i="10"/>
  <c r="F69" i="10"/>
  <c r="G69" i="10"/>
  <c r="H48" i="10"/>
  <c r="G48" i="10"/>
  <c r="H39" i="10"/>
  <c r="H27" i="10"/>
  <c r="G27" i="10"/>
  <c r="H18" i="10"/>
  <c r="H82" i="3"/>
  <c r="M14" i="2" l="1"/>
  <c r="N14" i="2" s="1"/>
  <c r="O14" i="2" s="1"/>
  <c r="P14" i="2" s="1"/>
  <c r="J47" i="2"/>
  <c r="K47" i="2" l="1"/>
  <c r="Q14" i="2"/>
  <c r="L47" i="2" l="1"/>
  <c r="M47" i="2" l="1"/>
  <c r="N47" i="2" l="1"/>
  <c r="O47" i="2" l="1"/>
  <c r="P47" i="2" l="1"/>
  <c r="Q47" i="2" l="1"/>
  <c r="H12" i="2" l="1"/>
  <c r="H47" i="2"/>
  <c r="H14" i="2"/>
  <c r="G39" i="11"/>
  <c r="F39" i="11"/>
  <c r="E39" i="11"/>
  <c r="D39" i="11"/>
  <c r="C39" i="11"/>
  <c r="G32" i="11"/>
  <c r="F32" i="11"/>
  <c r="E32" i="11"/>
  <c r="D32" i="11"/>
  <c r="C32" i="11"/>
  <c r="G29" i="11"/>
  <c r="F29" i="11"/>
  <c r="E29" i="11"/>
  <c r="D29" i="11"/>
  <c r="C29" i="11"/>
  <c r="G28" i="11"/>
  <c r="F28" i="11"/>
  <c r="E28" i="11"/>
  <c r="D28" i="11"/>
  <c r="C28" i="11"/>
  <c r="G27" i="11"/>
  <c r="F27" i="11"/>
  <c r="E27" i="11"/>
  <c r="D27" i="11"/>
  <c r="C27" i="11"/>
  <c r="G26" i="11"/>
  <c r="F26" i="11"/>
  <c r="E26" i="11"/>
  <c r="D26" i="11"/>
  <c r="C26" i="11"/>
  <c r="C21" i="11"/>
  <c r="G21" i="11"/>
  <c r="F21" i="11"/>
  <c r="E21" i="11"/>
  <c r="D21" i="11"/>
  <c r="G16" i="11"/>
  <c r="F16" i="11"/>
  <c r="E16" i="11"/>
  <c r="D16" i="11"/>
  <c r="G15" i="11"/>
  <c r="F15" i="11"/>
  <c r="E15" i="11"/>
  <c r="D15" i="11"/>
  <c r="C16" i="11"/>
  <c r="C15" i="11"/>
  <c r="G11" i="11"/>
  <c r="F11" i="11"/>
  <c r="E11" i="11"/>
  <c r="D11" i="11"/>
  <c r="C11" i="11"/>
  <c r="D100" i="10"/>
  <c r="J97" i="10"/>
  <c r="K97" i="10" s="1"/>
  <c r="L97" i="10" s="1"/>
  <c r="M97" i="10" s="1"/>
  <c r="N97" i="10" s="1"/>
  <c r="O97" i="10" s="1"/>
  <c r="P97" i="10" s="1"/>
  <c r="Q97" i="10" s="1"/>
  <c r="I97" i="10"/>
  <c r="H97" i="10"/>
  <c r="J98" i="10"/>
  <c r="K98" i="10" s="1"/>
  <c r="L98" i="10" s="1"/>
  <c r="M98" i="10" s="1"/>
  <c r="N98" i="10" s="1"/>
  <c r="O98" i="10" s="1"/>
  <c r="P98" i="10" s="1"/>
  <c r="Q98" i="10" s="1"/>
  <c r="I98" i="10"/>
  <c r="H98" i="10"/>
  <c r="G98" i="10"/>
  <c r="F98" i="10"/>
  <c r="E98" i="10"/>
  <c r="D98" i="10"/>
  <c r="G97" i="10"/>
  <c r="F97" i="10"/>
  <c r="E97" i="10"/>
  <c r="D97" i="10"/>
  <c r="C97" i="10"/>
  <c r="D95" i="10"/>
  <c r="G94" i="10"/>
  <c r="F94" i="10"/>
  <c r="E94" i="10"/>
  <c r="D94" i="10"/>
  <c r="C94" i="10"/>
  <c r="D93" i="10"/>
  <c r="C93" i="10"/>
  <c r="Q89" i="10"/>
  <c r="P89" i="10"/>
  <c r="O89" i="10"/>
  <c r="N89" i="10"/>
  <c r="M89" i="10"/>
  <c r="L89" i="10"/>
  <c r="K89" i="10"/>
  <c r="J89" i="10"/>
  <c r="I89" i="10"/>
  <c r="H89" i="10"/>
  <c r="Q88" i="10"/>
  <c r="P88" i="10"/>
  <c r="O88" i="10"/>
  <c r="N88" i="10"/>
  <c r="M88" i="10"/>
  <c r="L88" i="10"/>
  <c r="K88" i="10"/>
  <c r="J88" i="10"/>
  <c r="I88" i="10"/>
  <c r="H88" i="10"/>
  <c r="Q87" i="10"/>
  <c r="P87" i="10"/>
  <c r="O87" i="10"/>
  <c r="N87" i="10"/>
  <c r="M87" i="10"/>
  <c r="L87" i="10"/>
  <c r="K87" i="10"/>
  <c r="J87" i="10"/>
  <c r="I87" i="10"/>
  <c r="H87" i="10"/>
  <c r="Q86" i="10"/>
  <c r="P86" i="10"/>
  <c r="O86" i="10"/>
  <c r="N86" i="10"/>
  <c r="M86" i="10"/>
  <c r="L86" i="10"/>
  <c r="K86" i="10"/>
  <c r="J86" i="10"/>
  <c r="I86" i="10"/>
  <c r="H86" i="10"/>
  <c r="Q85" i="10"/>
  <c r="P85" i="10"/>
  <c r="O85" i="10"/>
  <c r="N85" i="10"/>
  <c r="M85" i="10"/>
  <c r="L85" i="10"/>
  <c r="K85" i="10"/>
  <c r="J85" i="10"/>
  <c r="I85" i="10"/>
  <c r="H85" i="10"/>
  <c r="Q84" i="10"/>
  <c r="P84" i="10"/>
  <c r="O84" i="10"/>
  <c r="N84" i="10"/>
  <c r="M84" i="10"/>
  <c r="L84" i="10"/>
  <c r="K84" i="10"/>
  <c r="J84" i="10"/>
  <c r="I84" i="10"/>
  <c r="H84" i="10"/>
  <c r="H82" i="10"/>
  <c r="Q80" i="10"/>
  <c r="P80" i="10"/>
  <c r="O80" i="10"/>
  <c r="N80" i="10"/>
  <c r="M80" i="10"/>
  <c r="L80" i="10"/>
  <c r="K80" i="10"/>
  <c r="J80" i="10"/>
  <c r="I80" i="10"/>
  <c r="H80" i="10"/>
  <c r="Q79" i="10"/>
  <c r="P79" i="10"/>
  <c r="O79" i="10"/>
  <c r="N79" i="10"/>
  <c r="M79" i="10"/>
  <c r="L79" i="10"/>
  <c r="K79" i="10"/>
  <c r="J79" i="10"/>
  <c r="I79" i="10"/>
  <c r="H79" i="10"/>
  <c r="Q78" i="10"/>
  <c r="P78" i="10"/>
  <c r="O78" i="10"/>
  <c r="N78" i="10"/>
  <c r="M78" i="10"/>
  <c r="L78" i="10"/>
  <c r="K78" i="10"/>
  <c r="J78" i="10"/>
  <c r="I78" i="10"/>
  <c r="H78" i="10"/>
  <c r="Q77" i="10"/>
  <c r="P77" i="10"/>
  <c r="O77" i="10"/>
  <c r="N77" i="10"/>
  <c r="M77" i="10"/>
  <c r="L77" i="10"/>
  <c r="K77" i="10"/>
  <c r="J77" i="10"/>
  <c r="I77" i="10"/>
  <c r="H77" i="10"/>
  <c r="Q76" i="10"/>
  <c r="P76" i="10"/>
  <c r="O76" i="10"/>
  <c r="N76" i="10"/>
  <c r="M76" i="10"/>
  <c r="L76" i="10"/>
  <c r="K76" i="10"/>
  <c r="J76" i="10"/>
  <c r="I76" i="10"/>
  <c r="H76" i="10"/>
  <c r="Q75" i="10"/>
  <c r="P75" i="10"/>
  <c r="O75" i="10"/>
  <c r="N75" i="10"/>
  <c r="M75" i="10"/>
  <c r="L75" i="10"/>
  <c r="K75" i="10"/>
  <c r="J75" i="10"/>
  <c r="I75" i="10"/>
  <c r="H75" i="10"/>
  <c r="H32" i="10"/>
  <c r="H41" i="10"/>
  <c r="J11" i="10"/>
  <c r="K11" i="10" s="1"/>
  <c r="L11" i="10" s="1"/>
  <c r="M11" i="10" s="1"/>
  <c r="N11" i="10" s="1"/>
  <c r="O11" i="10" s="1"/>
  <c r="P11" i="10" s="1"/>
  <c r="Q11" i="10" s="1"/>
  <c r="I11" i="10"/>
  <c r="H11" i="10"/>
  <c r="H61" i="10"/>
  <c r="H40" i="10"/>
  <c r="H19" i="10"/>
  <c r="E90" i="10"/>
  <c r="E93" i="10" s="1"/>
  <c r="E95" i="10" s="1"/>
  <c r="E100" i="10" s="1"/>
  <c r="D90" i="10"/>
  <c r="G89" i="10"/>
  <c r="F89" i="10"/>
  <c r="E89" i="10"/>
  <c r="D89" i="10"/>
  <c r="G88" i="10"/>
  <c r="F88" i="10"/>
  <c r="E88" i="10"/>
  <c r="D88" i="10"/>
  <c r="G87" i="10"/>
  <c r="F87" i="10"/>
  <c r="E87" i="10"/>
  <c r="D87" i="10"/>
  <c r="G86" i="10"/>
  <c r="F86" i="10"/>
  <c r="E86" i="10"/>
  <c r="D86" i="10"/>
  <c r="G85" i="10"/>
  <c r="F85" i="10"/>
  <c r="E85" i="10"/>
  <c r="D85" i="10"/>
  <c r="G84" i="10"/>
  <c r="F84" i="10"/>
  <c r="E84" i="10"/>
  <c r="D84" i="10"/>
  <c r="G83" i="10"/>
  <c r="F83" i="10"/>
  <c r="E83" i="10"/>
  <c r="D83" i="10"/>
  <c r="G82" i="10"/>
  <c r="F82" i="10"/>
  <c r="E82" i="10"/>
  <c r="D82" i="10"/>
  <c r="F81" i="10"/>
  <c r="E81" i="10"/>
  <c r="D81" i="10"/>
  <c r="G80" i="10"/>
  <c r="F80" i="10"/>
  <c r="E80" i="10"/>
  <c r="D80" i="10"/>
  <c r="G79" i="10"/>
  <c r="F79" i="10"/>
  <c r="E79" i="10"/>
  <c r="D79" i="10"/>
  <c r="G78" i="10"/>
  <c r="F78" i="10"/>
  <c r="E78" i="10"/>
  <c r="D78" i="10"/>
  <c r="G77" i="10"/>
  <c r="F77" i="10"/>
  <c r="E77" i="10"/>
  <c r="D77" i="10"/>
  <c r="G76" i="10"/>
  <c r="F76" i="10"/>
  <c r="E76" i="10"/>
  <c r="D76" i="10"/>
  <c r="G75" i="10"/>
  <c r="F75" i="10"/>
  <c r="E75" i="10"/>
  <c r="D75" i="10"/>
  <c r="G74" i="10"/>
  <c r="F74" i="10"/>
  <c r="E74" i="10"/>
  <c r="D74" i="10"/>
  <c r="G73" i="10"/>
  <c r="F73" i="10"/>
  <c r="E73" i="10"/>
  <c r="D73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F90" i="10"/>
  <c r="F93" i="10" s="1"/>
  <c r="D69" i="10"/>
  <c r="E60" i="10"/>
  <c r="F52" i="10" s="1"/>
  <c r="F60" i="10" s="1"/>
  <c r="G52" i="10" s="1"/>
  <c r="G60" i="10" s="1"/>
  <c r="E52" i="10"/>
  <c r="D60" i="10"/>
  <c r="F48" i="10"/>
  <c r="E48" i="10"/>
  <c r="C48" i="10"/>
  <c r="D39" i="10"/>
  <c r="E31" i="10" s="1"/>
  <c r="E39" i="10" s="1"/>
  <c r="F31" i="10" s="1"/>
  <c r="F39" i="10" s="1"/>
  <c r="G31" i="10" s="1"/>
  <c r="G39" i="10" s="1"/>
  <c r="C39" i="10"/>
  <c r="D31" i="10" s="1"/>
  <c r="C18" i="10"/>
  <c r="D10" i="10" s="1"/>
  <c r="D18" i="10" s="1"/>
  <c r="H13" i="9"/>
  <c r="F13" i="9"/>
  <c r="E13" i="9"/>
  <c r="D13" i="9"/>
  <c r="G13" i="9"/>
  <c r="G40" i="8"/>
  <c r="F40" i="8"/>
  <c r="E40" i="8"/>
  <c r="D40" i="8"/>
  <c r="C40" i="8"/>
  <c r="B40" i="8"/>
  <c r="G12" i="9"/>
  <c r="F12" i="9"/>
  <c r="G10" i="9" s="1"/>
  <c r="E12" i="9"/>
  <c r="D12" i="9"/>
  <c r="C12" i="9"/>
  <c r="D10" i="9"/>
  <c r="E10" i="9"/>
  <c r="E11" i="9" s="1"/>
  <c r="G14" i="9"/>
  <c r="F14" i="9"/>
  <c r="E14" i="9"/>
  <c r="D14" i="9"/>
  <c r="H10" i="9"/>
  <c r="F10" i="9"/>
  <c r="I13" i="9" l="1"/>
  <c r="J13" i="9" s="1"/>
  <c r="K13" i="9" s="1"/>
  <c r="L13" i="9" s="1"/>
  <c r="M13" i="9" s="1"/>
  <c r="N13" i="9" s="1"/>
  <c r="O13" i="9" s="1"/>
  <c r="P13" i="9" s="1"/>
  <c r="Q13" i="9" s="1"/>
  <c r="F95" i="10"/>
  <c r="F100" i="10" s="1"/>
  <c r="H62" i="10"/>
  <c r="H52" i="10"/>
  <c r="H53" i="10"/>
  <c r="H74" i="10" s="1"/>
  <c r="I40" i="10"/>
  <c r="H31" i="10"/>
  <c r="E69" i="10"/>
  <c r="E18" i="10"/>
  <c r="F10" i="10" s="1"/>
  <c r="F18" i="10" s="1"/>
  <c r="G10" i="10" s="1"/>
  <c r="G18" i="10" s="1"/>
  <c r="D27" i="10"/>
  <c r="C27" i="10"/>
  <c r="E27" i="10"/>
  <c r="F27" i="10"/>
  <c r="F11" i="9"/>
  <c r="G11" i="9"/>
  <c r="I61" i="10" l="1"/>
  <c r="H60" i="10"/>
  <c r="I52" i="10"/>
  <c r="I32" i="10"/>
  <c r="H10" i="10"/>
  <c r="G81" i="10"/>
  <c r="I53" i="10"/>
  <c r="I60" i="10" l="1"/>
  <c r="J52" i="10" s="1"/>
  <c r="J60" i="10" s="1"/>
  <c r="K52" i="10" s="1"/>
  <c r="I74" i="10"/>
  <c r="I62" i="10"/>
  <c r="J61" i="10" s="1"/>
  <c r="H13" i="2"/>
  <c r="I41" i="10"/>
  <c r="H15" i="2"/>
  <c r="I31" i="10"/>
  <c r="H73" i="10"/>
  <c r="I10" i="10"/>
  <c r="H20" i="10"/>
  <c r="G90" i="10"/>
  <c r="G93" i="10" s="1"/>
  <c r="G95" i="10" s="1"/>
  <c r="G100" i="10" s="1"/>
  <c r="H81" i="10"/>
  <c r="J53" i="10"/>
  <c r="I69" i="10" l="1"/>
  <c r="J62" i="10"/>
  <c r="J69" i="10" s="1"/>
  <c r="K62" i="10" s="1"/>
  <c r="J40" i="10"/>
  <c r="I48" i="10"/>
  <c r="I39" i="10"/>
  <c r="I73" i="10"/>
  <c r="I18" i="10"/>
  <c r="J10" i="10" s="1"/>
  <c r="H11" i="2"/>
  <c r="I20" i="10"/>
  <c r="I81" i="10"/>
  <c r="I19" i="10"/>
  <c r="H83" i="10"/>
  <c r="H94" i="10" s="1"/>
  <c r="H21" i="11" s="1"/>
  <c r="K53" i="10"/>
  <c r="K60" i="10" s="1"/>
  <c r="K61" i="10"/>
  <c r="K69" i="10" l="1"/>
  <c r="J31" i="10"/>
  <c r="J41" i="10"/>
  <c r="K40" i="10" s="1"/>
  <c r="J32" i="10"/>
  <c r="J74" i="10" s="1"/>
  <c r="I82" i="10"/>
  <c r="I27" i="10"/>
  <c r="J20" i="10" s="1"/>
  <c r="J73" i="10"/>
  <c r="J18" i="10"/>
  <c r="H90" i="10"/>
  <c r="H93" i="10" s="1"/>
  <c r="H12" i="3"/>
  <c r="J19" i="10"/>
  <c r="I83" i="10"/>
  <c r="I94" i="10" s="1"/>
  <c r="I21" i="11" s="1"/>
  <c r="L52" i="10"/>
  <c r="L61" i="10"/>
  <c r="L62" i="10" l="1"/>
  <c r="L69" i="10" s="1"/>
  <c r="J48" i="10"/>
  <c r="J39" i="10"/>
  <c r="J81" i="10" s="1"/>
  <c r="J82" i="10"/>
  <c r="J27" i="10"/>
  <c r="I90" i="10"/>
  <c r="I93" i="10" s="1"/>
  <c r="I95" i="10" s="1"/>
  <c r="I100" i="10" s="1"/>
  <c r="K19" i="10"/>
  <c r="J83" i="10"/>
  <c r="J94" i="10" s="1"/>
  <c r="J21" i="11" s="1"/>
  <c r="K10" i="10"/>
  <c r="K18" i="10" s="1"/>
  <c r="L53" i="10"/>
  <c r="L60" i="10" s="1"/>
  <c r="M61" i="10" l="1"/>
  <c r="K31" i="10"/>
  <c r="K41" i="10"/>
  <c r="K32" i="10"/>
  <c r="K74" i="10" s="1"/>
  <c r="K82" i="10"/>
  <c r="K20" i="10"/>
  <c r="K27" i="10" s="1"/>
  <c r="M52" i="10"/>
  <c r="L40" i="10" l="1"/>
  <c r="K48" i="10"/>
  <c r="J90" i="10"/>
  <c r="J93" i="10" s="1"/>
  <c r="J95" i="10" s="1"/>
  <c r="J100" i="10" s="1"/>
  <c r="K39" i="10"/>
  <c r="K81" i="10" s="1"/>
  <c r="K73" i="10"/>
  <c r="L10" i="10"/>
  <c r="L18" i="10" s="1"/>
  <c r="L19" i="10"/>
  <c r="K83" i="10"/>
  <c r="K94" i="10" s="1"/>
  <c r="K21" i="11" s="1"/>
  <c r="M62" i="10"/>
  <c r="M69" i="10" s="1"/>
  <c r="M53" i="10"/>
  <c r="M60" i="10" s="1"/>
  <c r="L41" i="10" l="1"/>
  <c r="M40" i="10" s="1"/>
  <c r="L31" i="10"/>
  <c r="L32" i="10"/>
  <c r="L74" i="10" s="1"/>
  <c r="L82" i="10"/>
  <c r="L20" i="10"/>
  <c r="N61" i="10"/>
  <c r="N52" i="10"/>
  <c r="L48" i="10" l="1"/>
  <c r="L83" i="10"/>
  <c r="L94" i="10" s="1"/>
  <c r="L21" i="11" s="1"/>
  <c r="K90" i="10"/>
  <c r="K93" i="10" s="1"/>
  <c r="K95" i="10" s="1"/>
  <c r="K100" i="10" s="1"/>
  <c r="L39" i="10"/>
  <c r="L73" i="10"/>
  <c r="L27" i="10"/>
  <c r="M19" i="10"/>
  <c r="M10" i="10"/>
  <c r="M18" i="10" s="1"/>
  <c r="N62" i="10"/>
  <c r="O61" i="10" s="1"/>
  <c r="N53" i="10"/>
  <c r="N60" i="10" s="1"/>
  <c r="N69" i="10" l="1"/>
  <c r="M41" i="10"/>
  <c r="M31" i="10"/>
  <c r="L81" i="10"/>
  <c r="M32" i="10"/>
  <c r="M74" i="10" s="1"/>
  <c r="M82" i="10"/>
  <c r="M20" i="10"/>
  <c r="M27" i="10" s="1"/>
  <c r="L90" i="10"/>
  <c r="L93" i="10" s="1"/>
  <c r="L95" i="10" s="1"/>
  <c r="L100" i="10" s="1"/>
  <c r="M73" i="10"/>
  <c r="O52" i="10"/>
  <c r="N40" i="10" l="1"/>
  <c r="M48" i="10"/>
  <c r="M39" i="10"/>
  <c r="N10" i="10"/>
  <c r="N18" i="10" s="1"/>
  <c r="M81" i="10"/>
  <c r="M83" i="10"/>
  <c r="M94" i="10" s="1"/>
  <c r="M21" i="11" s="1"/>
  <c r="N19" i="10"/>
  <c r="O62" i="10"/>
  <c r="O53" i="10"/>
  <c r="O60" i="10" s="1"/>
  <c r="P61" i="10" l="1"/>
  <c r="O69" i="10"/>
  <c r="N31" i="10"/>
  <c r="N41" i="10"/>
  <c r="O40" i="10" s="1"/>
  <c r="N32" i="10"/>
  <c r="N74" i="10" s="1"/>
  <c r="N82" i="10"/>
  <c r="N20" i="10"/>
  <c r="M90" i="10"/>
  <c r="M93" i="10" s="1"/>
  <c r="M95" i="10" s="1"/>
  <c r="M100" i="10" s="1"/>
  <c r="N73" i="10"/>
  <c r="P52" i="10"/>
  <c r="N48" i="10" l="1"/>
  <c r="N83" i="10"/>
  <c r="N94" i="10" s="1"/>
  <c r="N21" i="11" s="1"/>
  <c r="N39" i="10"/>
  <c r="N27" i="10"/>
  <c r="O19" i="10"/>
  <c r="O10" i="10"/>
  <c r="O18" i="10" s="1"/>
  <c r="P62" i="10"/>
  <c r="Q61" i="10" s="1"/>
  <c r="P53" i="10"/>
  <c r="P60" i="10" s="1"/>
  <c r="P69" i="10" l="1"/>
  <c r="O31" i="10"/>
  <c r="O41" i="10"/>
  <c r="O32" i="10"/>
  <c r="O74" i="10" s="1"/>
  <c r="N81" i="10"/>
  <c r="O82" i="10"/>
  <c r="O73" i="10"/>
  <c r="O20" i="10"/>
  <c r="O27" i="10" s="1"/>
  <c r="Q52" i="10"/>
  <c r="P40" i="10" l="1"/>
  <c r="O48" i="10"/>
  <c r="N90" i="10"/>
  <c r="N93" i="10" s="1"/>
  <c r="N95" i="10" s="1"/>
  <c r="N100" i="10" s="1"/>
  <c r="O39" i="10"/>
  <c r="P10" i="10"/>
  <c r="P18" i="10" s="1"/>
  <c r="O81" i="10"/>
  <c r="P19" i="10"/>
  <c r="O83" i="10"/>
  <c r="O94" i="10" s="1"/>
  <c r="O21" i="11" s="1"/>
  <c r="Q62" i="10"/>
  <c r="Q69" i="10" s="1"/>
  <c r="Q53" i="10"/>
  <c r="Q60" i="10" s="1"/>
  <c r="P31" i="10" l="1"/>
  <c r="P41" i="10"/>
  <c r="Q40" i="10" s="1"/>
  <c r="P32" i="10"/>
  <c r="P74" i="10" s="1"/>
  <c r="P82" i="10"/>
  <c r="P20" i="10"/>
  <c r="P27" i="10" s="1"/>
  <c r="P73" i="10"/>
  <c r="P48" i="10" l="1"/>
  <c r="O90" i="10"/>
  <c r="O93" i="10" s="1"/>
  <c r="O95" i="10" s="1"/>
  <c r="O100" i="10" s="1"/>
  <c r="P39" i="10"/>
  <c r="Q10" i="10"/>
  <c r="Q18" i="10" s="1"/>
  <c r="P81" i="10"/>
  <c r="Q19" i="10"/>
  <c r="P83" i="10"/>
  <c r="P94" i="10" s="1"/>
  <c r="P21" i="11" s="1"/>
  <c r="Q31" i="10" l="1"/>
  <c r="Q41" i="10"/>
  <c r="Q48" i="10" s="1"/>
  <c r="Q32" i="10"/>
  <c r="Q74" i="10" s="1"/>
  <c r="Q82" i="10"/>
  <c r="Q27" i="10"/>
  <c r="Q73" i="10"/>
  <c r="Q20" i="10"/>
  <c r="Q83" i="10" l="1"/>
  <c r="Q94" i="10" s="1"/>
  <c r="Q21" i="11" s="1"/>
  <c r="P90" i="10"/>
  <c r="P93" i="10" s="1"/>
  <c r="P95" i="10" s="1"/>
  <c r="P100" i="10" s="1"/>
  <c r="Q39" i="10"/>
  <c r="Q90" i="10" s="1"/>
  <c r="Q93" i="10" s="1"/>
  <c r="Q95" i="10" l="1"/>
  <c r="Q100" i="10" s="1"/>
  <c r="Q81" i="10"/>
  <c r="C62" i="8" l="1"/>
  <c r="D62" i="8"/>
  <c r="E62" i="8"/>
  <c r="F62" i="8"/>
  <c r="G62" i="8"/>
  <c r="G64" i="8"/>
  <c r="F64" i="8"/>
  <c r="E64" i="8"/>
  <c r="D64" i="8"/>
  <c r="G60" i="8"/>
  <c r="F60" i="8"/>
  <c r="E60" i="8"/>
  <c r="D60" i="8"/>
  <c r="G58" i="8"/>
  <c r="F58" i="8"/>
  <c r="E58" i="8"/>
  <c r="D58" i="8"/>
  <c r="G56" i="8"/>
  <c r="F56" i="8"/>
  <c r="E56" i="8"/>
  <c r="D56" i="8"/>
  <c r="G54" i="8"/>
  <c r="F54" i="8"/>
  <c r="E54" i="8"/>
  <c r="D54" i="8"/>
  <c r="C64" i="8"/>
  <c r="C60" i="8"/>
  <c r="C58" i="8"/>
  <c r="C56" i="8"/>
  <c r="C54" i="8"/>
  <c r="G50" i="8"/>
  <c r="F50" i="8"/>
  <c r="E50" i="8"/>
  <c r="D50" i="8"/>
  <c r="G48" i="8"/>
  <c r="F48" i="8"/>
  <c r="E48" i="8"/>
  <c r="D48" i="8"/>
  <c r="G46" i="8"/>
  <c r="F46" i="8"/>
  <c r="E46" i="8"/>
  <c r="D46" i="8"/>
  <c r="G44" i="8"/>
  <c r="F44" i="8"/>
  <c r="E44" i="8"/>
  <c r="D44" i="8"/>
  <c r="G42" i="8"/>
  <c r="F42" i="8"/>
  <c r="E42" i="8"/>
  <c r="D42" i="8"/>
  <c r="C50" i="8"/>
  <c r="C48" i="8"/>
  <c r="C46" i="8"/>
  <c r="C44" i="8"/>
  <c r="C42" i="8"/>
  <c r="B64" i="8"/>
  <c r="B62" i="8"/>
  <c r="B60" i="8"/>
  <c r="B58" i="8"/>
  <c r="B56" i="8"/>
  <c r="B54" i="8"/>
  <c r="B50" i="8"/>
  <c r="B48" i="8"/>
  <c r="B46" i="8"/>
  <c r="B44" i="8"/>
  <c r="B42" i="8"/>
  <c r="G36" i="8"/>
  <c r="F36" i="8"/>
  <c r="E36" i="8"/>
  <c r="D36" i="8"/>
  <c r="G34" i="8"/>
  <c r="F34" i="8"/>
  <c r="E34" i="8"/>
  <c r="D34" i="8"/>
  <c r="G32" i="8"/>
  <c r="F32" i="8"/>
  <c r="E32" i="8"/>
  <c r="D32" i="8"/>
  <c r="G30" i="8"/>
  <c r="F30" i="8"/>
  <c r="E30" i="8"/>
  <c r="D30" i="8"/>
  <c r="G28" i="8"/>
  <c r="F28" i="8"/>
  <c r="E28" i="8"/>
  <c r="D28" i="8"/>
  <c r="G26" i="8"/>
  <c r="F26" i="8"/>
  <c r="E26" i="8"/>
  <c r="D26" i="8"/>
  <c r="C36" i="8"/>
  <c r="C34" i="8"/>
  <c r="C32" i="8"/>
  <c r="C30" i="8"/>
  <c r="C28" i="8"/>
  <c r="C26" i="8"/>
  <c r="B36" i="8"/>
  <c r="B34" i="8"/>
  <c r="B32" i="8"/>
  <c r="B30" i="8"/>
  <c r="B28" i="8"/>
  <c r="B26" i="8"/>
  <c r="G21" i="8"/>
  <c r="F21" i="8"/>
  <c r="E21" i="8"/>
  <c r="D21" i="8"/>
  <c r="G19" i="8"/>
  <c r="F19" i="8"/>
  <c r="E19" i="8"/>
  <c r="D19" i="8"/>
  <c r="G17" i="8"/>
  <c r="F17" i="8"/>
  <c r="E17" i="8"/>
  <c r="D17" i="8"/>
  <c r="G15" i="8"/>
  <c r="F15" i="8"/>
  <c r="E15" i="8"/>
  <c r="D15" i="8"/>
  <c r="G13" i="8"/>
  <c r="F13" i="8"/>
  <c r="E13" i="8"/>
  <c r="D13" i="8"/>
  <c r="G11" i="8"/>
  <c r="F11" i="8"/>
  <c r="E11" i="8"/>
  <c r="D11" i="8"/>
  <c r="C21" i="8"/>
  <c r="C19" i="8"/>
  <c r="C17" i="8"/>
  <c r="C15" i="8"/>
  <c r="C13" i="8"/>
  <c r="C11" i="8"/>
  <c r="B21" i="8"/>
  <c r="B19" i="8"/>
  <c r="B17" i="8"/>
  <c r="B15" i="8"/>
  <c r="B13" i="8"/>
  <c r="J19" i="7"/>
  <c r="K19" i="7" s="1"/>
  <c r="L19" i="7" s="1"/>
  <c r="M19" i="7" s="1"/>
  <c r="N19" i="7" s="1"/>
  <c r="O19" i="7" s="1"/>
  <c r="P19" i="7" s="1"/>
  <c r="Q19" i="7" s="1"/>
  <c r="I19" i="7"/>
  <c r="H19" i="7"/>
  <c r="G19" i="7"/>
  <c r="F19" i="7"/>
  <c r="E19" i="7"/>
  <c r="D19" i="7"/>
  <c r="G17" i="7"/>
  <c r="F17" i="7"/>
  <c r="E17" i="7"/>
  <c r="D17" i="7"/>
  <c r="C19" i="7"/>
  <c r="G13" i="7"/>
  <c r="F13" i="7"/>
  <c r="E13" i="7"/>
  <c r="D13" i="7"/>
  <c r="G12" i="7"/>
  <c r="F12" i="7"/>
  <c r="E12" i="7"/>
  <c r="D12" i="7"/>
  <c r="G11" i="7"/>
  <c r="F11" i="7"/>
  <c r="E11" i="7"/>
  <c r="D11" i="7"/>
  <c r="C13" i="7"/>
  <c r="C12" i="7"/>
  <c r="C11" i="7"/>
  <c r="C17" i="7" s="1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G34" i="5" l="1"/>
  <c r="F34" i="5"/>
  <c r="E34" i="5"/>
  <c r="D34" i="5"/>
  <c r="C34" i="5"/>
  <c r="G37" i="5"/>
  <c r="G38" i="5" s="1"/>
  <c r="F37" i="5"/>
  <c r="F38" i="5" s="1"/>
  <c r="E37" i="5"/>
  <c r="E38" i="5" s="1"/>
  <c r="D37" i="5"/>
  <c r="D38" i="5" s="1"/>
  <c r="C37" i="5"/>
  <c r="C38" i="5" s="1"/>
  <c r="G31" i="5"/>
  <c r="F31" i="5"/>
  <c r="E31" i="5"/>
  <c r="D31" i="5"/>
  <c r="C31" i="5"/>
  <c r="G27" i="5"/>
  <c r="F27" i="5"/>
  <c r="E27" i="5"/>
  <c r="D27" i="5"/>
  <c r="C27" i="5"/>
  <c r="G21" i="5"/>
  <c r="F21" i="5"/>
  <c r="E21" i="5"/>
  <c r="D21" i="5"/>
  <c r="C21" i="5"/>
  <c r="G18" i="5"/>
  <c r="F18" i="5"/>
  <c r="E18" i="5"/>
  <c r="D18" i="5"/>
  <c r="C18" i="5"/>
  <c r="B21" i="5"/>
  <c r="B18" i="5"/>
  <c r="G12" i="5"/>
  <c r="F12" i="5"/>
  <c r="E12" i="5"/>
  <c r="D12" i="5"/>
  <c r="C12" i="5"/>
  <c r="C9" i="6"/>
  <c r="G41" i="4"/>
  <c r="F41" i="4"/>
  <c r="E41" i="4"/>
  <c r="D41" i="4"/>
  <c r="G33" i="4"/>
  <c r="F33" i="4"/>
  <c r="E33" i="4"/>
  <c r="D33" i="4"/>
  <c r="G25" i="4"/>
  <c r="F25" i="4"/>
  <c r="E25" i="4"/>
  <c r="D25" i="4"/>
  <c r="G17" i="4"/>
  <c r="F17" i="4"/>
  <c r="E17" i="4"/>
  <c r="D17" i="4"/>
  <c r="F47" i="4"/>
  <c r="E47" i="4"/>
  <c r="D47" i="4"/>
  <c r="C47" i="4"/>
  <c r="G47" i="4"/>
  <c r="G10" i="4"/>
  <c r="G16" i="8" s="1"/>
  <c r="F10" i="4"/>
  <c r="F57" i="8" s="1"/>
  <c r="E10" i="4"/>
  <c r="D10" i="4"/>
  <c r="D57" i="8" s="1"/>
  <c r="C10" i="4"/>
  <c r="C33" i="8" s="1"/>
  <c r="G79" i="3"/>
  <c r="F79" i="3"/>
  <c r="E79" i="3"/>
  <c r="D79" i="3"/>
  <c r="C79" i="3"/>
  <c r="G67" i="3"/>
  <c r="F67" i="3"/>
  <c r="E67" i="3"/>
  <c r="D67" i="3"/>
  <c r="C67" i="3"/>
  <c r="E31" i="3"/>
  <c r="D31" i="3"/>
  <c r="D43" i="3" s="1"/>
  <c r="D46" i="3" s="1"/>
  <c r="C31" i="3"/>
  <c r="C43" i="3" s="1"/>
  <c r="C46" i="3" s="1"/>
  <c r="G31" i="3"/>
  <c r="G43" i="3" s="1"/>
  <c r="G46" i="3" s="1"/>
  <c r="F31" i="3"/>
  <c r="F43" i="3"/>
  <c r="F46" i="3" s="1"/>
  <c r="E43" i="3"/>
  <c r="E46" i="3" s="1"/>
  <c r="F77" i="2"/>
  <c r="E77" i="2"/>
  <c r="D77" i="2"/>
  <c r="C77" i="2"/>
  <c r="G77" i="2"/>
  <c r="G79" i="2" s="1"/>
  <c r="F63" i="2"/>
  <c r="E63" i="2"/>
  <c r="D63" i="2"/>
  <c r="C63" i="2"/>
  <c r="G63" i="2"/>
  <c r="F49" i="2"/>
  <c r="F51" i="2" s="1"/>
  <c r="E49" i="2"/>
  <c r="E51" i="2" s="1"/>
  <c r="D49" i="2"/>
  <c r="D51" i="2" s="1"/>
  <c r="C49" i="2"/>
  <c r="C51" i="2" s="1"/>
  <c r="C79" i="2" s="1"/>
  <c r="G49" i="2"/>
  <c r="G51" i="2" s="1"/>
  <c r="F41" i="2"/>
  <c r="E41" i="2"/>
  <c r="D41" i="2"/>
  <c r="C41" i="2"/>
  <c r="G41" i="2"/>
  <c r="F26" i="2"/>
  <c r="E26" i="2"/>
  <c r="D26" i="2"/>
  <c r="C26" i="2"/>
  <c r="G27" i="1"/>
  <c r="F27" i="1"/>
  <c r="G29" i="1"/>
  <c r="F29" i="1"/>
  <c r="G25" i="1"/>
  <c r="F25" i="1"/>
  <c r="G23" i="1"/>
  <c r="F23" i="1"/>
  <c r="F21" i="1"/>
  <c r="E21" i="1"/>
  <c r="D21" i="1"/>
  <c r="C21" i="1"/>
  <c r="G21" i="1"/>
  <c r="E12" i="1"/>
  <c r="D12" i="1"/>
  <c r="C12" i="1"/>
  <c r="C23" i="1" s="1"/>
  <c r="C25" i="1" s="1"/>
  <c r="C27" i="1" s="1"/>
  <c r="C29" i="1" s="1"/>
  <c r="G12" i="1"/>
  <c r="F12" i="1"/>
  <c r="E8" i="1"/>
  <c r="F8" i="1" s="1"/>
  <c r="G8" i="1" s="1"/>
  <c r="D8" i="1"/>
  <c r="H20" i="4" l="1"/>
  <c r="H28" i="4"/>
  <c r="H36" i="4"/>
  <c r="H33" i="4" s="1"/>
  <c r="H31" i="4" s="1"/>
  <c r="H44" i="4"/>
  <c r="H43" i="4" s="1"/>
  <c r="I43" i="4" s="1"/>
  <c r="J43" i="4" s="1"/>
  <c r="K43" i="4" s="1"/>
  <c r="L43" i="4" s="1"/>
  <c r="M43" i="4" s="1"/>
  <c r="N43" i="4" s="1"/>
  <c r="O43" i="4" s="1"/>
  <c r="P43" i="4" s="1"/>
  <c r="Q43" i="4" s="1"/>
  <c r="I20" i="4"/>
  <c r="J20" i="4" s="1"/>
  <c r="K20" i="4" s="1"/>
  <c r="L20" i="4" s="1"/>
  <c r="M20" i="4" s="1"/>
  <c r="N20" i="4" s="1"/>
  <c r="O20" i="4" s="1"/>
  <c r="P20" i="4" s="1"/>
  <c r="Q20" i="4" s="1"/>
  <c r="Q17" i="4" s="1"/>
  <c r="H21" i="4"/>
  <c r="I21" i="4" s="1"/>
  <c r="J21" i="4" s="1"/>
  <c r="K21" i="4" s="1"/>
  <c r="L21" i="4" s="1"/>
  <c r="M21" i="4" s="1"/>
  <c r="N21" i="4" s="1"/>
  <c r="O21" i="4" s="1"/>
  <c r="P21" i="4" s="1"/>
  <c r="Q21" i="4" s="1"/>
  <c r="H19" i="4"/>
  <c r="I19" i="4" s="1"/>
  <c r="J19" i="4" s="1"/>
  <c r="K19" i="4" s="1"/>
  <c r="L19" i="4" s="1"/>
  <c r="M19" i="4" s="1"/>
  <c r="N19" i="4" s="1"/>
  <c r="O19" i="4" s="1"/>
  <c r="P19" i="4" s="1"/>
  <c r="Q19" i="4" s="1"/>
  <c r="I28" i="4"/>
  <c r="I25" i="4" s="1"/>
  <c r="H29" i="4"/>
  <c r="I29" i="4" s="1"/>
  <c r="J29" i="4" s="1"/>
  <c r="K29" i="4" s="1"/>
  <c r="L29" i="4" s="1"/>
  <c r="M29" i="4" s="1"/>
  <c r="N29" i="4" s="1"/>
  <c r="O29" i="4" s="1"/>
  <c r="P29" i="4" s="1"/>
  <c r="Q29" i="4" s="1"/>
  <c r="H27" i="4"/>
  <c r="I27" i="4" s="1"/>
  <c r="J27" i="4" s="1"/>
  <c r="K27" i="4" s="1"/>
  <c r="L27" i="4" s="1"/>
  <c r="M27" i="4" s="1"/>
  <c r="N27" i="4" s="1"/>
  <c r="O27" i="4" s="1"/>
  <c r="P27" i="4" s="1"/>
  <c r="Q27" i="4" s="1"/>
  <c r="I44" i="4"/>
  <c r="J44" i="4" s="1"/>
  <c r="K44" i="4" s="1"/>
  <c r="L44" i="4" s="1"/>
  <c r="M44" i="4" s="1"/>
  <c r="N44" i="4" s="1"/>
  <c r="O44" i="4" s="1"/>
  <c r="P44" i="4" s="1"/>
  <c r="Q44" i="4" s="1"/>
  <c r="Q41" i="4" s="1"/>
  <c r="E16" i="4"/>
  <c r="E10" i="11"/>
  <c r="E12" i="11" s="1"/>
  <c r="E41" i="8"/>
  <c r="E10" i="5"/>
  <c r="G59" i="8"/>
  <c r="C55" i="8"/>
  <c r="D45" i="8"/>
  <c r="D35" i="8"/>
  <c r="D27" i="8"/>
  <c r="D18" i="8"/>
  <c r="C16" i="8"/>
  <c r="G47" i="8"/>
  <c r="G22" i="8"/>
  <c r="E61" i="8"/>
  <c r="C59" i="8"/>
  <c r="F45" i="8"/>
  <c r="F35" i="8"/>
  <c r="F27" i="8"/>
  <c r="F20" i="8"/>
  <c r="F12" i="8"/>
  <c r="G35" i="8"/>
  <c r="G12" i="8"/>
  <c r="D61" i="8"/>
  <c r="C57" i="8"/>
  <c r="E45" i="8"/>
  <c r="E35" i="8"/>
  <c r="E27" i="8"/>
  <c r="E18" i="8"/>
  <c r="C18" i="8"/>
  <c r="G43" i="8"/>
  <c r="G18" i="8"/>
  <c r="F40" i="4"/>
  <c r="F10" i="11"/>
  <c r="F12" i="11" s="1"/>
  <c r="F41" i="8"/>
  <c r="F10" i="5"/>
  <c r="F32" i="5" s="1"/>
  <c r="D63" i="8"/>
  <c r="G57" i="8"/>
  <c r="D51" i="8"/>
  <c r="D43" i="8"/>
  <c r="D33" i="8"/>
  <c r="C31" i="8"/>
  <c r="D16" i="8"/>
  <c r="F61" i="8"/>
  <c r="C51" i="8"/>
  <c r="G14" i="8"/>
  <c r="E59" i="8"/>
  <c r="F51" i="8"/>
  <c r="F43" i="8"/>
  <c r="F33" i="8"/>
  <c r="C35" i="8"/>
  <c r="H35" i="8" s="1"/>
  <c r="F18" i="8"/>
  <c r="C20" i="8"/>
  <c r="G49" i="8"/>
  <c r="G29" i="8"/>
  <c r="C22" i="8"/>
  <c r="D59" i="8"/>
  <c r="E51" i="8"/>
  <c r="E43" i="8"/>
  <c r="E33" i="8"/>
  <c r="E16" i="8"/>
  <c r="E63" i="8"/>
  <c r="G37" i="8"/>
  <c r="C32" i="4"/>
  <c r="C10" i="11"/>
  <c r="C12" i="11" s="1"/>
  <c r="C41" i="8"/>
  <c r="G24" i="4"/>
  <c r="G10" i="11"/>
  <c r="G12" i="11" s="1"/>
  <c r="G41" i="8"/>
  <c r="C10" i="5"/>
  <c r="G10" i="5"/>
  <c r="G13" i="5" s="1"/>
  <c r="G65" i="8"/>
  <c r="G55" i="8"/>
  <c r="D49" i="8"/>
  <c r="C45" i="8"/>
  <c r="D31" i="8"/>
  <c r="D22" i="8"/>
  <c r="D14" i="8"/>
  <c r="F59" i="8"/>
  <c r="G33" i="8"/>
  <c r="F63" i="8"/>
  <c r="E57" i="8"/>
  <c r="F49" i="8"/>
  <c r="C49" i="8"/>
  <c r="F31" i="8"/>
  <c r="C27" i="8"/>
  <c r="F16" i="8"/>
  <c r="C12" i="8"/>
  <c r="G45" i="8"/>
  <c r="C37" i="8"/>
  <c r="C63" i="8"/>
  <c r="E49" i="8"/>
  <c r="C47" i="8"/>
  <c r="E31" i="8"/>
  <c r="E22" i="8"/>
  <c r="E14" i="8"/>
  <c r="F55" i="8"/>
  <c r="G31" i="8"/>
  <c r="C14" i="8"/>
  <c r="D24" i="4"/>
  <c r="D10" i="11"/>
  <c r="D12" i="11" s="1"/>
  <c r="D41" i="8"/>
  <c r="D10" i="5"/>
  <c r="D28" i="5" s="1"/>
  <c r="G61" i="8"/>
  <c r="C65" i="8"/>
  <c r="D47" i="8"/>
  <c r="D37" i="8"/>
  <c r="D29" i="8"/>
  <c r="D20" i="8"/>
  <c r="D12" i="8"/>
  <c r="C61" i="8"/>
  <c r="G27" i="8"/>
  <c r="E65" i="8"/>
  <c r="E55" i="8"/>
  <c r="F47" i="8"/>
  <c r="F37" i="8"/>
  <c r="F29" i="8"/>
  <c r="F22" i="8"/>
  <c r="F14" i="8"/>
  <c r="F65" i="8"/>
  <c r="C43" i="8"/>
  <c r="G20" i="8"/>
  <c r="D65" i="8"/>
  <c r="D55" i="8"/>
  <c r="E47" i="8"/>
  <c r="E37" i="8"/>
  <c r="E29" i="8"/>
  <c r="E20" i="8"/>
  <c r="E12" i="8"/>
  <c r="G51" i="8"/>
  <c r="C29" i="8"/>
  <c r="G63" i="8"/>
  <c r="I17" i="4"/>
  <c r="M17" i="4"/>
  <c r="J17" i="4"/>
  <c r="N17" i="4"/>
  <c r="N41" i="4"/>
  <c r="H37" i="4"/>
  <c r="I37" i="4" s="1"/>
  <c r="J37" i="4" s="1"/>
  <c r="K37" i="4" s="1"/>
  <c r="L37" i="4" s="1"/>
  <c r="M37" i="4" s="1"/>
  <c r="N37" i="4" s="1"/>
  <c r="O37" i="4" s="1"/>
  <c r="P37" i="4" s="1"/>
  <c r="Q37" i="4" s="1"/>
  <c r="J28" i="4"/>
  <c r="K28" i="4" s="1"/>
  <c r="L28" i="4" s="1"/>
  <c r="K17" i="4"/>
  <c r="O17" i="4"/>
  <c r="H25" i="4"/>
  <c r="H23" i="4" s="1"/>
  <c r="K41" i="4"/>
  <c r="H17" i="4"/>
  <c r="H15" i="4" s="1"/>
  <c r="L17" i="4"/>
  <c r="P17" i="4"/>
  <c r="I35" i="8"/>
  <c r="J35" i="8" s="1"/>
  <c r="F79" i="2"/>
  <c r="E24" i="5"/>
  <c r="C28" i="5"/>
  <c r="E13" i="5"/>
  <c r="F24" i="5"/>
  <c r="C32" i="5"/>
  <c r="G32" i="5"/>
  <c r="C13" i="5"/>
  <c r="C24" i="5"/>
  <c r="G24" i="5"/>
  <c r="D32" i="5"/>
  <c r="H38" i="5"/>
  <c r="I38" i="5" s="1"/>
  <c r="J38" i="5" s="1"/>
  <c r="K38" i="5" s="1"/>
  <c r="L38" i="5" s="1"/>
  <c r="M38" i="5" s="1"/>
  <c r="N38" i="5" s="1"/>
  <c r="O38" i="5" s="1"/>
  <c r="P38" i="5" s="1"/>
  <c r="Q38" i="5" s="1"/>
  <c r="D24" i="5"/>
  <c r="E32" i="5"/>
  <c r="C15" i="5"/>
  <c r="D15" i="5"/>
  <c r="E28" i="5"/>
  <c r="E15" i="5"/>
  <c r="C22" i="5"/>
  <c r="D13" i="5"/>
  <c r="E19" i="5"/>
  <c r="C19" i="5"/>
  <c r="D19" i="5"/>
  <c r="F19" i="5"/>
  <c r="E22" i="5"/>
  <c r="E40" i="4"/>
  <c r="D40" i="4"/>
  <c r="G40" i="4"/>
  <c r="F11" i="4"/>
  <c r="E24" i="4"/>
  <c r="C40" i="4"/>
  <c r="F16" i="4"/>
  <c r="G11" i="4"/>
  <c r="C16" i="4"/>
  <c r="G16" i="4"/>
  <c r="F24" i="4"/>
  <c r="E32" i="4"/>
  <c r="D11" i="4"/>
  <c r="D16" i="4"/>
  <c r="C24" i="4"/>
  <c r="F32" i="4"/>
  <c r="E11" i="4"/>
  <c r="D32" i="4"/>
  <c r="G32" i="4"/>
  <c r="C81" i="3"/>
  <c r="C85" i="3" s="1"/>
  <c r="F81" i="3"/>
  <c r="F85" i="3" s="1"/>
  <c r="E81" i="3"/>
  <c r="E85" i="3" s="1"/>
  <c r="G81" i="3"/>
  <c r="G85" i="3" s="1"/>
  <c r="D81" i="3"/>
  <c r="D85" i="3" s="1"/>
  <c r="C43" i="2"/>
  <c r="C81" i="2" s="1"/>
  <c r="D79" i="2"/>
  <c r="E79" i="2"/>
  <c r="D43" i="2"/>
  <c r="E43" i="2"/>
  <c r="E81" i="2" s="1"/>
  <c r="G43" i="2"/>
  <c r="G81" i="2" s="1"/>
  <c r="F43" i="2"/>
  <c r="D23" i="1"/>
  <c r="D25" i="1" s="1"/>
  <c r="D27" i="1" s="1"/>
  <c r="D29" i="1" s="1"/>
  <c r="E23" i="1"/>
  <c r="E25" i="1" s="1"/>
  <c r="E27" i="1" s="1"/>
  <c r="E29" i="1" s="1"/>
  <c r="P41" i="4" l="1"/>
  <c r="H47" i="4"/>
  <c r="H10" i="4" s="1"/>
  <c r="M41" i="4"/>
  <c r="F13" i="5"/>
  <c r="H13" i="5" s="1"/>
  <c r="I13" i="5" s="1"/>
  <c r="J13" i="5" s="1"/>
  <c r="K13" i="5" s="1"/>
  <c r="G22" i="5"/>
  <c r="G19" i="5"/>
  <c r="G15" i="5"/>
  <c r="G28" i="5"/>
  <c r="H28" i="5" s="1"/>
  <c r="I28" i="5" s="1"/>
  <c r="L41" i="4"/>
  <c r="H35" i="4"/>
  <c r="I35" i="4" s="1"/>
  <c r="J35" i="4" s="1"/>
  <c r="K35" i="4" s="1"/>
  <c r="L35" i="4" s="1"/>
  <c r="M35" i="4" s="1"/>
  <c r="N35" i="4" s="1"/>
  <c r="O35" i="4" s="1"/>
  <c r="P35" i="4" s="1"/>
  <c r="Q35" i="4" s="1"/>
  <c r="J41" i="4"/>
  <c r="F22" i="5"/>
  <c r="F28" i="5"/>
  <c r="H61" i="8"/>
  <c r="I61" i="8" s="1"/>
  <c r="H45" i="4"/>
  <c r="I45" i="4" s="1"/>
  <c r="J45" i="4" s="1"/>
  <c r="K45" i="4" s="1"/>
  <c r="L45" i="4" s="1"/>
  <c r="M45" i="4" s="1"/>
  <c r="N45" i="4" s="1"/>
  <c r="O45" i="4" s="1"/>
  <c r="P45" i="4" s="1"/>
  <c r="Q45" i="4" s="1"/>
  <c r="D22" i="5"/>
  <c r="H22" i="5" s="1"/>
  <c r="I22" i="5" s="1"/>
  <c r="H41" i="4"/>
  <c r="H39" i="4" s="1"/>
  <c r="O41" i="4"/>
  <c r="I36" i="4"/>
  <c r="I33" i="4" s="1"/>
  <c r="I31" i="4" s="1"/>
  <c r="I41" i="4"/>
  <c r="H43" i="8"/>
  <c r="I43" i="8" s="1"/>
  <c r="H33" i="8"/>
  <c r="I33" i="8" s="1"/>
  <c r="J33" i="8" s="1"/>
  <c r="H29" i="8"/>
  <c r="I29" i="8" s="1"/>
  <c r="J29" i="8" s="1"/>
  <c r="K29" i="8" s="1"/>
  <c r="D18" i="7"/>
  <c r="D35" i="5"/>
  <c r="H14" i="8"/>
  <c r="I14" i="8" s="1"/>
  <c r="H63" i="8"/>
  <c r="I63" i="8" s="1"/>
  <c r="H45" i="8"/>
  <c r="I45" i="8" s="1"/>
  <c r="J45" i="8" s="1"/>
  <c r="K45" i="8" s="1"/>
  <c r="G18" i="7"/>
  <c r="G35" i="5"/>
  <c r="H55" i="8"/>
  <c r="I55" i="8" s="1"/>
  <c r="J55" i="8" s="1"/>
  <c r="K55" i="8" s="1"/>
  <c r="E18" i="11"/>
  <c r="E13" i="11"/>
  <c r="H37" i="8"/>
  <c r="I37" i="8" s="1"/>
  <c r="H27" i="8"/>
  <c r="I27" i="8" s="1"/>
  <c r="J27" i="8" s="1"/>
  <c r="K27" i="8" s="1"/>
  <c r="L27" i="8" s="1"/>
  <c r="C18" i="7"/>
  <c r="C35" i="5"/>
  <c r="H41" i="8"/>
  <c r="I41" i="8" s="1"/>
  <c r="J41" i="8" s="1"/>
  <c r="K41" i="8" s="1"/>
  <c r="L41" i="8" s="1"/>
  <c r="M41" i="8" s="1"/>
  <c r="N41" i="8" s="1"/>
  <c r="O41" i="8" s="1"/>
  <c r="P41" i="8" s="1"/>
  <c r="Q41" i="8" s="1"/>
  <c r="H31" i="8"/>
  <c r="I31" i="8" s="1"/>
  <c r="J31" i="8" s="1"/>
  <c r="K31" i="8" s="1"/>
  <c r="F18" i="11"/>
  <c r="F13" i="11"/>
  <c r="H18" i="8"/>
  <c r="I18" i="8" s="1"/>
  <c r="H65" i="8"/>
  <c r="I65" i="8" s="1"/>
  <c r="J65" i="8" s="1"/>
  <c r="K65" i="8" s="1"/>
  <c r="D13" i="11"/>
  <c r="D18" i="11"/>
  <c r="H47" i="8"/>
  <c r="I47" i="8" s="1"/>
  <c r="J47" i="8" s="1"/>
  <c r="K47" i="8" s="1"/>
  <c r="C13" i="11"/>
  <c r="C18" i="11"/>
  <c r="H20" i="8"/>
  <c r="I20" i="8" s="1"/>
  <c r="H51" i="8"/>
  <c r="I51" i="8" s="1"/>
  <c r="H57" i="8"/>
  <c r="I57" i="8" s="1"/>
  <c r="J57" i="8" s="1"/>
  <c r="K57" i="8" s="1"/>
  <c r="E18" i="7"/>
  <c r="E35" i="5"/>
  <c r="H12" i="8"/>
  <c r="I12" i="8" s="1"/>
  <c r="H49" i="8"/>
  <c r="I49" i="8" s="1"/>
  <c r="G13" i="11"/>
  <c r="G18" i="11"/>
  <c r="H22" i="8"/>
  <c r="I22" i="8" s="1"/>
  <c r="J22" i="8" s="1"/>
  <c r="K22" i="8" s="1"/>
  <c r="F15" i="5"/>
  <c r="F18" i="7"/>
  <c r="F35" i="5"/>
  <c r="H59" i="8"/>
  <c r="I59" i="8" s="1"/>
  <c r="J59" i="8" s="1"/>
  <c r="K59" i="8" s="1"/>
  <c r="H16" i="8"/>
  <c r="I16" i="8" s="1"/>
  <c r="J16" i="8" s="1"/>
  <c r="K16" i="8" s="1"/>
  <c r="J25" i="4"/>
  <c r="K25" i="4"/>
  <c r="J36" i="4"/>
  <c r="M28" i="4"/>
  <c r="L25" i="4"/>
  <c r="H10" i="11"/>
  <c r="H40" i="8"/>
  <c r="H10" i="5"/>
  <c r="H56" i="8"/>
  <c r="H68" i="2" s="1"/>
  <c r="H58" i="8"/>
  <c r="H72" i="2" s="1"/>
  <c r="H19" i="8"/>
  <c r="H23" i="2" s="1"/>
  <c r="H42" i="8"/>
  <c r="H57" i="2" s="1"/>
  <c r="I39" i="4"/>
  <c r="H40" i="4"/>
  <c r="H60" i="8"/>
  <c r="H73" i="2" s="1"/>
  <c r="H26" i="8"/>
  <c r="H31" i="2" s="1"/>
  <c r="H64" i="8"/>
  <c r="H75" i="2" s="1"/>
  <c r="H13" i="8"/>
  <c r="H20" i="2" s="1"/>
  <c r="H16" i="4"/>
  <c r="I15" i="4"/>
  <c r="I23" i="4"/>
  <c r="H24" i="4"/>
  <c r="H32" i="4"/>
  <c r="H54" i="8"/>
  <c r="H67" i="2" s="1"/>
  <c r="H36" i="8"/>
  <c r="H39" i="2" s="1"/>
  <c r="H46" i="8"/>
  <c r="H59" i="2" s="1"/>
  <c r="H17" i="8"/>
  <c r="H22" i="2" s="1"/>
  <c r="H62" i="8"/>
  <c r="H74" i="2" s="1"/>
  <c r="H11" i="8"/>
  <c r="H19" i="2" s="1"/>
  <c r="H34" i="8"/>
  <c r="H38" i="2" s="1"/>
  <c r="H28" i="8"/>
  <c r="H35" i="2" s="1"/>
  <c r="H50" i="8"/>
  <c r="H61" i="2" s="1"/>
  <c r="H32" i="8"/>
  <c r="H37" i="2" s="1"/>
  <c r="J20" i="8"/>
  <c r="J14" i="8"/>
  <c r="K14" i="8" s="1"/>
  <c r="J37" i="8"/>
  <c r="K37" i="8" s="1"/>
  <c r="J51" i="8"/>
  <c r="K51" i="8" s="1"/>
  <c r="J12" i="8"/>
  <c r="J63" i="8"/>
  <c r="J43" i="8"/>
  <c r="J18" i="8"/>
  <c r="J61" i="8"/>
  <c r="J49" i="8"/>
  <c r="L59" i="8"/>
  <c r="L57" i="8"/>
  <c r="L55" i="8"/>
  <c r="L47" i="8"/>
  <c r="K35" i="8"/>
  <c r="K33" i="8"/>
  <c r="L31" i="8"/>
  <c r="L22" i="8"/>
  <c r="L16" i="8"/>
  <c r="F81" i="2"/>
  <c r="H32" i="5"/>
  <c r="H19" i="5"/>
  <c r="I19" i="5" s="1"/>
  <c r="D81" i="2"/>
  <c r="H15" i="8" l="1"/>
  <c r="H21" i="2" s="1"/>
  <c r="H44" i="8"/>
  <c r="H58" i="2" s="1"/>
  <c r="H48" i="8"/>
  <c r="H60" i="2" s="1"/>
  <c r="H30" i="8"/>
  <c r="H36" i="2" s="1"/>
  <c r="H35" i="3" s="1"/>
  <c r="G23" i="11"/>
  <c r="G19" i="11"/>
  <c r="D19" i="11"/>
  <c r="D23" i="11"/>
  <c r="N35" i="5"/>
  <c r="J35" i="5"/>
  <c r="Q35" i="5"/>
  <c r="M35" i="5"/>
  <c r="I35" i="5"/>
  <c r="P35" i="5"/>
  <c r="L35" i="5"/>
  <c r="H35" i="5"/>
  <c r="H34" i="5" s="1"/>
  <c r="H28" i="11" s="1"/>
  <c r="O35" i="5"/>
  <c r="K35" i="5"/>
  <c r="H27" i="5"/>
  <c r="H27" i="11" s="1"/>
  <c r="H28" i="3" s="1"/>
  <c r="C23" i="11"/>
  <c r="C19" i="11"/>
  <c r="F19" i="11"/>
  <c r="F23" i="11"/>
  <c r="H18" i="7"/>
  <c r="I18" i="7" s="1"/>
  <c r="J18" i="7" s="1"/>
  <c r="K18" i="7" s="1"/>
  <c r="L18" i="7" s="1"/>
  <c r="M18" i="7" s="1"/>
  <c r="N18" i="7" s="1"/>
  <c r="O18" i="7" s="1"/>
  <c r="P18" i="7" s="1"/>
  <c r="Q18" i="7" s="1"/>
  <c r="E19" i="11"/>
  <c r="E23" i="11"/>
  <c r="H21" i="8"/>
  <c r="H24" i="2" s="1"/>
  <c r="K36" i="4"/>
  <c r="J33" i="4"/>
  <c r="J31" i="4" s="1"/>
  <c r="N28" i="4"/>
  <c r="M25" i="4"/>
  <c r="H64" i="3"/>
  <c r="H12" i="9"/>
  <c r="H56" i="2"/>
  <c r="H61" i="3"/>
  <c r="H67" i="3" s="1"/>
  <c r="H41" i="3"/>
  <c r="J23" i="4"/>
  <c r="J15" i="4"/>
  <c r="J39" i="4"/>
  <c r="H26" i="2"/>
  <c r="K20" i="8"/>
  <c r="L45" i="8"/>
  <c r="K61" i="8"/>
  <c r="K43" i="8"/>
  <c r="K12" i="8"/>
  <c r="K49" i="8"/>
  <c r="K18" i="8"/>
  <c r="K63" i="8"/>
  <c r="L65" i="8"/>
  <c r="M59" i="8"/>
  <c r="M57" i="8"/>
  <c r="M55" i="8"/>
  <c r="L51" i="8"/>
  <c r="M47" i="8"/>
  <c r="L37" i="8"/>
  <c r="L35" i="8"/>
  <c r="L33" i="8"/>
  <c r="M31" i="8"/>
  <c r="L29" i="8"/>
  <c r="M27" i="8"/>
  <c r="M22" i="8"/>
  <c r="M16" i="8"/>
  <c r="L14" i="8"/>
  <c r="I32" i="5"/>
  <c r="H31" i="5"/>
  <c r="H29" i="11" s="1"/>
  <c r="H12" i="5"/>
  <c r="H18" i="5"/>
  <c r="H15" i="11" s="1"/>
  <c r="H21" i="5"/>
  <c r="J28" i="5"/>
  <c r="J19" i="5"/>
  <c r="J22" i="5"/>
  <c r="L13" i="5"/>
  <c r="H12" i="7" l="1"/>
  <c r="H32" i="2" s="1"/>
  <c r="C30" i="11"/>
  <c r="C24" i="11"/>
  <c r="D30" i="11"/>
  <c r="D24" i="11"/>
  <c r="F30" i="11"/>
  <c r="F24" i="11"/>
  <c r="E30" i="11"/>
  <c r="E24" i="11"/>
  <c r="G30" i="11"/>
  <c r="G24" i="11"/>
  <c r="L36" i="4"/>
  <c r="K33" i="4"/>
  <c r="K31" i="4" s="1"/>
  <c r="O28" i="4"/>
  <c r="N25" i="4"/>
  <c r="H24" i="5"/>
  <c r="H16" i="11"/>
  <c r="I10" i="9"/>
  <c r="H14" i="9"/>
  <c r="H26" i="11" s="1"/>
  <c r="H27" i="3" s="1"/>
  <c r="H11" i="9"/>
  <c r="K15" i="4"/>
  <c r="K39" i="4"/>
  <c r="H34" i="3"/>
  <c r="H15" i="5"/>
  <c r="H11" i="11"/>
  <c r="H12" i="11" s="1"/>
  <c r="H13" i="7"/>
  <c r="H11" i="7"/>
  <c r="H29" i="2" s="1"/>
  <c r="K23" i="4"/>
  <c r="H63" i="2"/>
  <c r="H74" i="3"/>
  <c r="L20" i="8"/>
  <c r="M45" i="8"/>
  <c r="L43" i="8"/>
  <c r="L63" i="8"/>
  <c r="L18" i="8"/>
  <c r="L49" i="8"/>
  <c r="L12" i="8"/>
  <c r="L61" i="8"/>
  <c r="M65" i="8"/>
  <c r="N59" i="8"/>
  <c r="N57" i="8"/>
  <c r="N55" i="8"/>
  <c r="M51" i="8"/>
  <c r="N47" i="8"/>
  <c r="M37" i="8"/>
  <c r="M35" i="8"/>
  <c r="M33" i="8"/>
  <c r="N31" i="8"/>
  <c r="M29" i="8"/>
  <c r="N27" i="8"/>
  <c r="N22" i="8"/>
  <c r="N16" i="8"/>
  <c r="M14" i="8"/>
  <c r="J32" i="5"/>
  <c r="K28" i="5"/>
  <c r="K19" i="5"/>
  <c r="K22" i="5"/>
  <c r="M13" i="5"/>
  <c r="J47" i="4"/>
  <c r="J10" i="4" s="1"/>
  <c r="I47" i="4"/>
  <c r="I10" i="4" s="1"/>
  <c r="G31" i="11" l="1"/>
  <c r="G33" i="11" s="1"/>
  <c r="E31" i="11"/>
  <c r="E33" i="11" s="1"/>
  <c r="D31" i="11"/>
  <c r="D33" i="11" s="1"/>
  <c r="F31" i="11"/>
  <c r="F33" i="11" s="1"/>
  <c r="C31" i="11"/>
  <c r="C33" i="11" s="1"/>
  <c r="M36" i="4"/>
  <c r="L33" i="4"/>
  <c r="L31" i="4" s="1"/>
  <c r="P28" i="4"/>
  <c r="O25" i="4"/>
  <c r="I10" i="11"/>
  <c r="I40" i="8"/>
  <c r="I15" i="8"/>
  <c r="I21" i="2" s="1"/>
  <c r="I10" i="5"/>
  <c r="I54" i="8"/>
  <c r="I67" i="2" s="1"/>
  <c r="I34" i="8"/>
  <c r="I38" i="2" s="1"/>
  <c r="I28" i="8"/>
  <c r="I35" i="2" s="1"/>
  <c r="I26" i="8"/>
  <c r="I31" i="2" s="1"/>
  <c r="I58" i="8"/>
  <c r="I72" i="2" s="1"/>
  <c r="I64" i="8"/>
  <c r="I75" i="2" s="1"/>
  <c r="I21" i="8"/>
  <c r="I24" i="2" s="1"/>
  <c r="I56" i="8"/>
  <c r="I68" i="2" s="1"/>
  <c r="I30" i="8"/>
  <c r="I36" i="2" s="1"/>
  <c r="I46" i="8"/>
  <c r="I59" i="2" s="1"/>
  <c r="I50" i="8"/>
  <c r="I61" i="2" s="1"/>
  <c r="I11" i="8"/>
  <c r="I19" i="2" s="1"/>
  <c r="I60" i="8"/>
  <c r="I73" i="2" s="1"/>
  <c r="I36" i="8"/>
  <c r="I39" i="2" s="1"/>
  <c r="I62" i="8"/>
  <c r="I74" i="2" s="1"/>
  <c r="I17" i="8"/>
  <c r="I22" i="2" s="1"/>
  <c r="I48" i="8"/>
  <c r="I60" i="2" s="1"/>
  <c r="I13" i="8"/>
  <c r="I20" i="2" s="1"/>
  <c r="I32" i="4"/>
  <c r="I32" i="8"/>
  <c r="I37" i="2" s="1"/>
  <c r="I19" i="8"/>
  <c r="I23" i="2" s="1"/>
  <c r="I44" i="8"/>
  <c r="I58" i="2" s="1"/>
  <c r="I42" i="8"/>
  <c r="I57" i="2" s="1"/>
  <c r="I40" i="4"/>
  <c r="I16" i="4"/>
  <c r="I24" i="4"/>
  <c r="H38" i="3"/>
  <c r="H71" i="2"/>
  <c r="H77" i="2" s="1"/>
  <c r="L39" i="4"/>
  <c r="J10" i="11"/>
  <c r="J40" i="8"/>
  <c r="J10" i="5"/>
  <c r="J31" i="5" s="1"/>
  <c r="J56" i="8"/>
  <c r="J68" i="2" s="1"/>
  <c r="J58" i="8"/>
  <c r="J72" i="2" s="1"/>
  <c r="J15" i="8"/>
  <c r="J21" i="2" s="1"/>
  <c r="J30" i="8"/>
  <c r="J36" i="2" s="1"/>
  <c r="J46" i="8"/>
  <c r="J59" i="2" s="1"/>
  <c r="J26" i="8"/>
  <c r="J31" i="2" s="1"/>
  <c r="J13" i="8"/>
  <c r="J20" i="2" s="1"/>
  <c r="J54" i="8"/>
  <c r="J67" i="2" s="1"/>
  <c r="J21" i="8"/>
  <c r="J24" i="2" s="1"/>
  <c r="J36" i="8"/>
  <c r="J39" i="2" s="1"/>
  <c r="J32" i="8"/>
  <c r="J37" i="2" s="1"/>
  <c r="J28" i="8"/>
  <c r="J35" i="2" s="1"/>
  <c r="J44" i="8"/>
  <c r="J58" i="2" s="1"/>
  <c r="J34" i="8"/>
  <c r="J38" i="2" s="1"/>
  <c r="J64" i="8"/>
  <c r="J75" i="2" s="1"/>
  <c r="J32" i="4"/>
  <c r="J19" i="8"/>
  <c r="J23" i="2" s="1"/>
  <c r="J17" i="8"/>
  <c r="J22" i="2" s="1"/>
  <c r="J50" i="8"/>
  <c r="J61" i="2" s="1"/>
  <c r="J60" i="8"/>
  <c r="J73" i="2" s="1"/>
  <c r="J42" i="8"/>
  <c r="J57" i="2" s="1"/>
  <c r="J11" i="8"/>
  <c r="J19" i="2" s="1"/>
  <c r="J48" i="8"/>
  <c r="J60" i="2" s="1"/>
  <c r="J62" i="8"/>
  <c r="J74" i="2" s="1"/>
  <c r="J24" i="4"/>
  <c r="H13" i="11"/>
  <c r="H18" i="11"/>
  <c r="J16" i="4"/>
  <c r="L23" i="4"/>
  <c r="L15" i="4"/>
  <c r="H33" i="3"/>
  <c r="J40" i="4"/>
  <c r="M20" i="8"/>
  <c r="N45" i="8"/>
  <c r="M63" i="8"/>
  <c r="M61" i="8"/>
  <c r="M18" i="8"/>
  <c r="M43" i="8"/>
  <c r="M49" i="8"/>
  <c r="M12" i="8"/>
  <c r="N65" i="8"/>
  <c r="O59" i="8"/>
  <c r="O57" i="8"/>
  <c r="O55" i="8"/>
  <c r="N51" i="8"/>
  <c r="O47" i="8"/>
  <c r="N37" i="8"/>
  <c r="N35" i="8"/>
  <c r="N33" i="8"/>
  <c r="O31" i="8"/>
  <c r="N29" i="8"/>
  <c r="O27" i="8"/>
  <c r="O22" i="8"/>
  <c r="O16" i="8"/>
  <c r="N14" i="8"/>
  <c r="K32" i="5"/>
  <c r="L28" i="5"/>
  <c r="L19" i="5"/>
  <c r="L22" i="5"/>
  <c r="N13" i="5"/>
  <c r="K47" i="4"/>
  <c r="K10" i="4" s="1"/>
  <c r="D42" i="11" l="1"/>
  <c r="D43" i="11" s="1"/>
  <c r="D40" i="11"/>
  <c r="D37" i="11"/>
  <c r="D34" i="11"/>
  <c r="F37" i="11"/>
  <c r="F34" i="11"/>
  <c r="F42" i="11"/>
  <c r="F43" i="11" s="1"/>
  <c r="F40" i="11"/>
  <c r="E42" i="11"/>
  <c r="E43" i="11" s="1"/>
  <c r="E40" i="11"/>
  <c r="E37" i="11"/>
  <c r="E34" i="11"/>
  <c r="C37" i="11"/>
  <c r="C34" i="11"/>
  <c r="C42" i="11"/>
  <c r="C43" i="11" s="1"/>
  <c r="C40" i="11"/>
  <c r="G37" i="11"/>
  <c r="G34" i="11"/>
  <c r="G42" i="11"/>
  <c r="G43" i="11" s="1"/>
  <c r="G40" i="11"/>
  <c r="N36" i="4"/>
  <c r="M33" i="4"/>
  <c r="M31" i="4" s="1"/>
  <c r="Q28" i="4"/>
  <c r="Q25" i="4" s="1"/>
  <c r="P25" i="4"/>
  <c r="K10" i="11"/>
  <c r="K40" i="8"/>
  <c r="K10" i="5"/>
  <c r="K30" i="8"/>
  <c r="K36" i="2" s="1"/>
  <c r="K15" i="8"/>
  <c r="K21" i="2" s="1"/>
  <c r="K56" i="8"/>
  <c r="K68" i="2" s="1"/>
  <c r="K21" i="8"/>
  <c r="K24" i="2" s="1"/>
  <c r="K58" i="8"/>
  <c r="K72" i="2" s="1"/>
  <c r="K54" i="8"/>
  <c r="K67" i="2" s="1"/>
  <c r="K26" i="8"/>
  <c r="K31" i="2" s="1"/>
  <c r="K46" i="8"/>
  <c r="K59" i="2" s="1"/>
  <c r="K64" i="8"/>
  <c r="K75" i="2" s="1"/>
  <c r="K36" i="8"/>
  <c r="K39" i="2" s="1"/>
  <c r="K32" i="8"/>
  <c r="K37" i="2" s="1"/>
  <c r="K13" i="8"/>
  <c r="K20" i="2" s="1"/>
  <c r="K34" i="8"/>
  <c r="K38" i="2" s="1"/>
  <c r="K50" i="8"/>
  <c r="K61" i="2" s="1"/>
  <c r="K28" i="8"/>
  <c r="K35" i="2" s="1"/>
  <c r="K44" i="8"/>
  <c r="K58" i="2" s="1"/>
  <c r="K42" i="8"/>
  <c r="K57" i="2" s="1"/>
  <c r="K17" i="8"/>
  <c r="K22" i="2" s="1"/>
  <c r="K32" i="4"/>
  <c r="K19" i="8"/>
  <c r="K23" i="2" s="1"/>
  <c r="K11" i="8"/>
  <c r="K19" i="2" s="1"/>
  <c r="K62" i="8"/>
  <c r="K74" i="2" s="1"/>
  <c r="K48" i="8"/>
  <c r="K60" i="2" s="1"/>
  <c r="K60" i="8"/>
  <c r="K73" i="2" s="1"/>
  <c r="K16" i="4"/>
  <c r="K24" i="4"/>
  <c r="H19" i="11"/>
  <c r="H23" i="11"/>
  <c r="J56" i="2"/>
  <c r="J12" i="9"/>
  <c r="J61" i="3"/>
  <c r="I26" i="2"/>
  <c r="I61" i="3"/>
  <c r="I35" i="3"/>
  <c r="I12" i="7"/>
  <c r="I32" i="2" s="1"/>
  <c r="I34" i="5"/>
  <c r="I27" i="5"/>
  <c r="I27" i="11" s="1"/>
  <c r="I18" i="5"/>
  <c r="I15" i="11" s="1"/>
  <c r="I12" i="5"/>
  <c r="I21" i="5"/>
  <c r="I31" i="5"/>
  <c r="M15" i="4"/>
  <c r="M23" i="4"/>
  <c r="J26" i="2"/>
  <c r="J35" i="3"/>
  <c r="K40" i="4"/>
  <c r="I56" i="2"/>
  <c r="I12" i="9"/>
  <c r="H15" i="13"/>
  <c r="J41" i="3"/>
  <c r="J12" i="7"/>
  <c r="J32" i="2" s="1"/>
  <c r="J34" i="5"/>
  <c r="J12" i="5"/>
  <c r="J18" i="5"/>
  <c r="J15" i="11" s="1"/>
  <c r="J27" i="5"/>
  <c r="J27" i="11" s="1"/>
  <c r="J21" i="5"/>
  <c r="M39" i="4"/>
  <c r="I41" i="3"/>
  <c r="N20" i="8"/>
  <c r="O45" i="8"/>
  <c r="N12" i="8"/>
  <c r="N43" i="8"/>
  <c r="N61" i="8"/>
  <c r="N18" i="8"/>
  <c r="N63" i="8"/>
  <c r="N49" i="8"/>
  <c r="O65" i="8"/>
  <c r="P59" i="8"/>
  <c r="P57" i="8"/>
  <c r="P55" i="8"/>
  <c r="O51" i="8"/>
  <c r="P47" i="8"/>
  <c r="O37" i="8"/>
  <c r="O35" i="8"/>
  <c r="O33" i="8"/>
  <c r="P31" i="8"/>
  <c r="O29" i="8"/>
  <c r="P27" i="8"/>
  <c r="P22" i="8"/>
  <c r="P16" i="8"/>
  <c r="O14" i="8"/>
  <c r="L32" i="5"/>
  <c r="M28" i="5"/>
  <c r="M22" i="5"/>
  <c r="M19" i="5"/>
  <c r="O13" i="5"/>
  <c r="L47" i="4"/>
  <c r="L10" i="4" s="1"/>
  <c r="L24" i="4" s="1"/>
  <c r="H40" i="11" l="1"/>
  <c r="I40" i="11" s="1"/>
  <c r="J40" i="11" s="1"/>
  <c r="K40" i="11" s="1"/>
  <c r="L40" i="11" s="1"/>
  <c r="M40" i="11" s="1"/>
  <c r="N40" i="11" s="1"/>
  <c r="O40" i="11" s="1"/>
  <c r="P40" i="11" s="1"/>
  <c r="Q40" i="11" s="1"/>
  <c r="O36" i="4"/>
  <c r="N33" i="4"/>
  <c r="N31" i="4" s="1"/>
  <c r="K35" i="3"/>
  <c r="K56" i="2"/>
  <c r="K74" i="3" s="1"/>
  <c r="K12" i="9"/>
  <c r="J24" i="5"/>
  <c r="J16" i="11"/>
  <c r="I63" i="2"/>
  <c r="I74" i="3"/>
  <c r="I28" i="3"/>
  <c r="I64" i="3"/>
  <c r="I67" i="3" s="1"/>
  <c r="J74" i="3"/>
  <c r="K26" i="2"/>
  <c r="L10" i="11"/>
  <c r="L40" i="8"/>
  <c r="L10" i="5"/>
  <c r="L56" i="8"/>
  <c r="L68" i="2" s="1"/>
  <c r="L21" i="8"/>
  <c r="L24" i="2" s="1"/>
  <c r="L58" i="8"/>
  <c r="L72" i="2" s="1"/>
  <c r="L46" i="8"/>
  <c r="L59" i="2" s="1"/>
  <c r="L26" i="8"/>
  <c r="L31" i="2" s="1"/>
  <c r="L54" i="8"/>
  <c r="L67" i="2" s="1"/>
  <c r="L30" i="8"/>
  <c r="L36" i="2" s="1"/>
  <c r="L15" i="8"/>
  <c r="L21" i="2" s="1"/>
  <c r="L34" i="8"/>
  <c r="L38" i="2" s="1"/>
  <c r="L64" i="8"/>
  <c r="L75" i="2" s="1"/>
  <c r="L50" i="8"/>
  <c r="L61" i="2" s="1"/>
  <c r="L36" i="8"/>
  <c r="L39" i="2" s="1"/>
  <c r="L32" i="8"/>
  <c r="L37" i="2" s="1"/>
  <c r="L28" i="8"/>
  <c r="L35" i="2" s="1"/>
  <c r="L13" i="8"/>
  <c r="L20" i="2" s="1"/>
  <c r="L44" i="8"/>
  <c r="L58" i="2" s="1"/>
  <c r="L48" i="8"/>
  <c r="L60" i="2" s="1"/>
  <c r="L32" i="4"/>
  <c r="L60" i="8"/>
  <c r="L73" i="2" s="1"/>
  <c r="L42" i="8"/>
  <c r="L57" i="2" s="1"/>
  <c r="L11" i="8"/>
  <c r="L19" i="2" s="1"/>
  <c r="L19" i="8"/>
  <c r="L23" i="2" s="1"/>
  <c r="L62" i="8"/>
  <c r="L74" i="2" s="1"/>
  <c r="L17" i="8"/>
  <c r="L22" i="2" s="1"/>
  <c r="J64" i="3"/>
  <c r="J67" i="3" s="1"/>
  <c r="J28" i="3"/>
  <c r="N23" i="4"/>
  <c r="I16" i="11"/>
  <c r="I24" i="5"/>
  <c r="H10" i="13"/>
  <c r="H11" i="13" s="1"/>
  <c r="H12" i="13" s="1"/>
  <c r="H16" i="13" s="1"/>
  <c r="H30" i="11"/>
  <c r="H24" i="11"/>
  <c r="K12" i="7"/>
  <c r="K32" i="2" s="1"/>
  <c r="K34" i="5"/>
  <c r="K12" i="5"/>
  <c r="K27" i="5"/>
  <c r="K27" i="11" s="1"/>
  <c r="K21" i="5"/>
  <c r="K18" i="5"/>
  <c r="K15" i="11" s="1"/>
  <c r="L40" i="4"/>
  <c r="J63" i="2"/>
  <c r="L16" i="4"/>
  <c r="I15" i="5"/>
  <c r="I11" i="11"/>
  <c r="I12" i="11" s="1"/>
  <c r="I13" i="7"/>
  <c r="I11" i="7"/>
  <c r="I29" i="2" s="1"/>
  <c r="J34" i="3"/>
  <c r="I34" i="3"/>
  <c r="K31" i="5"/>
  <c r="N39" i="4"/>
  <c r="J15" i="5"/>
  <c r="J11" i="11"/>
  <c r="J12" i="11" s="1"/>
  <c r="J11" i="7"/>
  <c r="J29" i="2" s="1"/>
  <c r="J13" i="7"/>
  <c r="J10" i="9"/>
  <c r="J11" i="9" s="1"/>
  <c r="I14" i="9"/>
  <c r="I26" i="11" s="1"/>
  <c r="I27" i="3" s="1"/>
  <c r="I11" i="9"/>
  <c r="K61" i="3"/>
  <c r="N15" i="4"/>
  <c r="K10" i="9"/>
  <c r="K41" i="3"/>
  <c r="O20" i="8"/>
  <c r="P45" i="8"/>
  <c r="O18" i="8"/>
  <c r="O49" i="8"/>
  <c r="O43" i="8"/>
  <c r="O63" i="8"/>
  <c r="O61" i="8"/>
  <c r="O12" i="8"/>
  <c r="P65" i="8"/>
  <c r="Q59" i="8"/>
  <c r="Q57" i="8"/>
  <c r="Q55" i="8"/>
  <c r="P51" i="8"/>
  <c r="Q47" i="8"/>
  <c r="P37" i="8"/>
  <c r="P35" i="8"/>
  <c r="P33" i="8"/>
  <c r="Q31" i="8"/>
  <c r="P29" i="8"/>
  <c r="Q27" i="8"/>
  <c r="Q22" i="8"/>
  <c r="Q16" i="8"/>
  <c r="P14" i="8"/>
  <c r="M32" i="5"/>
  <c r="L31" i="5"/>
  <c r="N28" i="5"/>
  <c r="N19" i="5"/>
  <c r="N22" i="5"/>
  <c r="P13" i="5"/>
  <c r="M47" i="4"/>
  <c r="M10" i="4" s="1"/>
  <c r="M40" i="4" s="1"/>
  <c r="P36" i="4" l="1"/>
  <c r="O33" i="4"/>
  <c r="O31" i="4" s="1"/>
  <c r="M16" i="4"/>
  <c r="J14" i="9"/>
  <c r="J26" i="11" s="1"/>
  <c r="J27" i="3" s="1"/>
  <c r="K63" i="2"/>
  <c r="L35" i="3"/>
  <c r="J38" i="3"/>
  <c r="J71" i="2"/>
  <c r="J77" i="2" s="1"/>
  <c r="O23" i="4"/>
  <c r="L41" i="3"/>
  <c r="O39" i="4"/>
  <c r="J13" i="11"/>
  <c r="J18" i="11"/>
  <c r="I38" i="3"/>
  <c r="I71" i="2"/>
  <c r="I77" i="2" s="1"/>
  <c r="K64" i="3"/>
  <c r="K67" i="3" s="1"/>
  <c r="K28" i="3"/>
  <c r="L12" i="7"/>
  <c r="L32" i="2" s="1"/>
  <c r="L34" i="5"/>
  <c r="L12" i="5"/>
  <c r="L21" i="5"/>
  <c r="L27" i="5"/>
  <c r="L27" i="11" s="1"/>
  <c r="L18" i="5"/>
  <c r="L15" i="11" s="1"/>
  <c r="K14" i="9"/>
  <c r="K26" i="11" s="1"/>
  <c r="K27" i="3" s="1"/>
  <c r="L10" i="9"/>
  <c r="J33" i="3"/>
  <c r="I33" i="3"/>
  <c r="K16" i="11"/>
  <c r="K24" i="5"/>
  <c r="L26" i="2"/>
  <c r="M10" i="11"/>
  <c r="M40" i="8"/>
  <c r="M10" i="5"/>
  <c r="M31" i="5" s="1"/>
  <c r="M58" i="8"/>
  <c r="M72" i="2" s="1"/>
  <c r="M54" i="8"/>
  <c r="M67" i="2" s="1"/>
  <c r="M46" i="8"/>
  <c r="M59" i="2" s="1"/>
  <c r="M30" i="8"/>
  <c r="M36" i="2" s="1"/>
  <c r="M26" i="8"/>
  <c r="M31" i="2" s="1"/>
  <c r="M15" i="8"/>
  <c r="M21" i="2" s="1"/>
  <c r="M56" i="8"/>
  <c r="M68" i="2" s="1"/>
  <c r="M21" i="8"/>
  <c r="M24" i="2" s="1"/>
  <c r="M64" i="8"/>
  <c r="M75" i="2" s="1"/>
  <c r="M50" i="8"/>
  <c r="M61" i="2" s="1"/>
  <c r="M36" i="8"/>
  <c r="M39" i="2" s="1"/>
  <c r="M32" i="8"/>
  <c r="M37" i="2" s="1"/>
  <c r="M28" i="8"/>
  <c r="M35" i="2" s="1"/>
  <c r="M13" i="8"/>
  <c r="M20" i="2" s="1"/>
  <c r="M44" i="8"/>
  <c r="M58" i="2" s="1"/>
  <c r="M34" i="8"/>
  <c r="M38" i="2" s="1"/>
  <c r="M42" i="8"/>
  <c r="M57" i="2" s="1"/>
  <c r="M17" i="8"/>
  <c r="M22" i="2" s="1"/>
  <c r="M48" i="8"/>
  <c r="M60" i="2" s="1"/>
  <c r="M19" i="8"/>
  <c r="M23" i="2" s="1"/>
  <c r="M11" i="8"/>
  <c r="M19" i="2" s="1"/>
  <c r="M60" i="8"/>
  <c r="M73" i="2" s="1"/>
  <c r="M62" i="8"/>
  <c r="M74" i="2" s="1"/>
  <c r="M32" i="4"/>
  <c r="K11" i="9"/>
  <c r="O15" i="4"/>
  <c r="I13" i="11"/>
  <c r="I18" i="11"/>
  <c r="K15" i="5"/>
  <c r="K11" i="11"/>
  <c r="K12" i="11" s="1"/>
  <c r="K11" i="7"/>
  <c r="K29" i="2" s="1"/>
  <c r="K33" i="3" s="1"/>
  <c r="K13" i="7"/>
  <c r="H10" i="3"/>
  <c r="H31" i="3" s="1"/>
  <c r="H43" i="3" s="1"/>
  <c r="H37" i="5"/>
  <c r="H32" i="11" s="1"/>
  <c r="H44" i="3" s="1"/>
  <c r="H31" i="11"/>
  <c r="M24" i="4"/>
  <c r="K34" i="3"/>
  <c r="L56" i="2"/>
  <c r="L12" i="9"/>
  <c r="L61" i="3"/>
  <c r="P20" i="8"/>
  <c r="Q45" i="8"/>
  <c r="P63" i="8"/>
  <c r="P12" i="8"/>
  <c r="P49" i="8"/>
  <c r="P61" i="8"/>
  <c r="P43" i="8"/>
  <c r="P18" i="8"/>
  <c r="Q65" i="8"/>
  <c r="Q51" i="8"/>
  <c r="Q37" i="8"/>
  <c r="Q35" i="8"/>
  <c r="Q33" i="8"/>
  <c r="Q29" i="8"/>
  <c r="Q14" i="8"/>
  <c r="N32" i="5"/>
  <c r="O28" i="5"/>
  <c r="O22" i="5"/>
  <c r="O19" i="5"/>
  <c r="Q13" i="5"/>
  <c r="N47" i="4"/>
  <c r="N10" i="4" s="1"/>
  <c r="N16" i="4" s="1"/>
  <c r="J15" i="13" l="1"/>
  <c r="I15" i="13"/>
  <c r="N24" i="4"/>
  <c r="N40" i="4"/>
  <c r="Q36" i="4"/>
  <c r="Q33" i="4" s="1"/>
  <c r="P33" i="4"/>
  <c r="P31" i="4" s="1"/>
  <c r="L11" i="9"/>
  <c r="M35" i="3"/>
  <c r="M56" i="2"/>
  <c r="M12" i="9"/>
  <c r="K18" i="11"/>
  <c r="K13" i="11"/>
  <c r="L64" i="3"/>
  <c r="L67" i="3" s="1"/>
  <c r="L28" i="3"/>
  <c r="H46" i="3"/>
  <c r="P15" i="4"/>
  <c r="M41" i="3"/>
  <c r="L16" i="11"/>
  <c r="L24" i="5"/>
  <c r="L34" i="3"/>
  <c r="P23" i="4"/>
  <c r="M10" i="9"/>
  <c r="L14" i="9"/>
  <c r="L26" i="11" s="1"/>
  <c r="L27" i="3" s="1"/>
  <c r="H33" i="11"/>
  <c r="K71" i="2"/>
  <c r="K77" i="2" s="1"/>
  <c r="K38" i="3"/>
  <c r="K15" i="13" s="1"/>
  <c r="I19" i="11"/>
  <c r="I23" i="11"/>
  <c r="M26" i="2"/>
  <c r="L15" i="5"/>
  <c r="L11" i="11"/>
  <c r="L12" i="11" s="1"/>
  <c r="L13" i="7"/>
  <c r="L11" i="7"/>
  <c r="L29" i="2" s="1"/>
  <c r="L33" i="3" s="1"/>
  <c r="N40" i="8"/>
  <c r="N10" i="11"/>
  <c r="N10" i="5"/>
  <c r="N31" i="5" s="1"/>
  <c r="N56" i="8"/>
  <c r="N68" i="2" s="1"/>
  <c r="N21" i="8"/>
  <c r="N24" i="2" s="1"/>
  <c r="N58" i="8"/>
  <c r="N72" i="2" s="1"/>
  <c r="N54" i="8"/>
  <c r="N67" i="2" s="1"/>
  <c r="N46" i="8"/>
  <c r="N59" i="2" s="1"/>
  <c r="N30" i="8"/>
  <c r="N36" i="2" s="1"/>
  <c r="N26" i="8"/>
  <c r="N31" i="2" s="1"/>
  <c r="N15" i="8"/>
  <c r="N21" i="2" s="1"/>
  <c r="N44" i="8"/>
  <c r="N58" i="2" s="1"/>
  <c r="N34" i="8"/>
  <c r="N38" i="2" s="1"/>
  <c r="N64" i="8"/>
  <c r="N75" i="2" s="1"/>
  <c r="N50" i="8"/>
  <c r="N61" i="2" s="1"/>
  <c r="N36" i="8"/>
  <c r="N39" i="2" s="1"/>
  <c r="N32" i="8"/>
  <c r="N37" i="2" s="1"/>
  <c r="N28" i="8"/>
  <c r="N35" i="2" s="1"/>
  <c r="N13" i="8"/>
  <c r="N20" i="2" s="1"/>
  <c r="N19" i="8"/>
  <c r="N23" i="2" s="1"/>
  <c r="N17" i="8"/>
  <c r="N22" i="2" s="1"/>
  <c r="N42" i="8"/>
  <c r="N57" i="2" s="1"/>
  <c r="N60" i="8"/>
  <c r="N73" i="2" s="1"/>
  <c r="N48" i="8"/>
  <c r="N60" i="2" s="1"/>
  <c r="N62" i="8"/>
  <c r="N74" i="2" s="1"/>
  <c r="N32" i="4"/>
  <c r="N11" i="8"/>
  <c r="N19" i="2" s="1"/>
  <c r="L63" i="2"/>
  <c r="L74" i="3"/>
  <c r="M12" i="7"/>
  <c r="M32" i="2" s="1"/>
  <c r="M34" i="5"/>
  <c r="M12" i="5"/>
  <c r="M21" i="5"/>
  <c r="M27" i="5"/>
  <c r="M27" i="11" s="1"/>
  <c r="M18" i="5"/>
  <c r="M15" i="11" s="1"/>
  <c r="M61" i="3"/>
  <c r="J19" i="11"/>
  <c r="J23" i="11"/>
  <c r="P39" i="4"/>
  <c r="Q20" i="8"/>
  <c r="Q18" i="8"/>
  <c r="Q12" i="8"/>
  <c r="Q61" i="8"/>
  <c r="Q43" i="8"/>
  <c r="Q49" i="8"/>
  <c r="Q63" i="8"/>
  <c r="O32" i="5"/>
  <c r="P28" i="5"/>
  <c r="P22" i="5"/>
  <c r="P19" i="5"/>
  <c r="O47" i="4"/>
  <c r="O10" i="4" s="1"/>
  <c r="O24" i="4" s="1"/>
  <c r="Q31" i="4" l="1"/>
  <c r="M11" i="9"/>
  <c r="N35" i="3"/>
  <c r="N61" i="3"/>
  <c r="L13" i="11"/>
  <c r="L18" i="11"/>
  <c r="M63" i="2"/>
  <c r="M74" i="3"/>
  <c r="O10" i="11"/>
  <c r="O40" i="8"/>
  <c r="O10" i="5"/>
  <c r="O58" i="8"/>
  <c r="O72" i="2" s="1"/>
  <c r="O54" i="8"/>
  <c r="O67" i="2" s="1"/>
  <c r="O46" i="8"/>
  <c r="O59" i="2" s="1"/>
  <c r="O30" i="8"/>
  <c r="O36" i="2" s="1"/>
  <c r="O26" i="8"/>
  <c r="O31" i="2" s="1"/>
  <c r="O15" i="8"/>
  <c r="O21" i="2" s="1"/>
  <c r="O56" i="8"/>
  <c r="O68" i="2" s="1"/>
  <c r="O21" i="8"/>
  <c r="O24" i="2" s="1"/>
  <c r="O64" i="8"/>
  <c r="O75" i="2" s="1"/>
  <c r="O50" i="8"/>
  <c r="O61" i="2" s="1"/>
  <c r="O36" i="8"/>
  <c r="O39" i="2" s="1"/>
  <c r="O32" i="8"/>
  <c r="O37" i="2" s="1"/>
  <c r="O28" i="8"/>
  <c r="O35" i="2" s="1"/>
  <c r="O13" i="8"/>
  <c r="O20" i="2" s="1"/>
  <c r="O44" i="8"/>
  <c r="O58" i="2" s="1"/>
  <c r="O34" i="8"/>
  <c r="O38" i="2" s="1"/>
  <c r="O19" i="8"/>
  <c r="O23" i="2" s="1"/>
  <c r="O62" i="8"/>
  <c r="O74" i="2" s="1"/>
  <c r="O48" i="8"/>
  <c r="O60" i="2" s="1"/>
  <c r="O42" i="8"/>
  <c r="O57" i="2" s="1"/>
  <c r="O17" i="8"/>
  <c r="O22" i="2" s="1"/>
  <c r="O32" i="4"/>
  <c r="O11" i="8"/>
  <c r="O19" i="2" s="1"/>
  <c r="O60" i="8"/>
  <c r="O73" i="2" s="1"/>
  <c r="O40" i="4"/>
  <c r="M15" i="5"/>
  <c r="M11" i="11"/>
  <c r="M12" i="11" s="1"/>
  <c r="M13" i="7"/>
  <c r="M11" i="7"/>
  <c r="M29" i="2" s="1"/>
  <c r="Q15" i="4"/>
  <c r="M34" i="3"/>
  <c r="Q39" i="4"/>
  <c r="N56" i="2"/>
  <c r="N74" i="3" s="1"/>
  <c r="N12" i="9"/>
  <c r="L38" i="3"/>
  <c r="L15" i="13" s="1"/>
  <c r="L71" i="2"/>
  <c r="L77" i="2" s="1"/>
  <c r="K19" i="11"/>
  <c r="K23" i="11"/>
  <c r="M14" i="9"/>
  <c r="M26" i="11" s="1"/>
  <c r="M27" i="3" s="1"/>
  <c r="N10" i="9"/>
  <c r="J10" i="13"/>
  <c r="J11" i="13" s="1"/>
  <c r="J12" i="13" s="1"/>
  <c r="J16" i="13" s="1"/>
  <c r="J24" i="11"/>
  <c r="J30" i="11"/>
  <c r="M28" i="3"/>
  <c r="M64" i="3"/>
  <c r="M67" i="3" s="1"/>
  <c r="M16" i="11"/>
  <c r="M24" i="5"/>
  <c r="N26" i="2"/>
  <c r="N41" i="3"/>
  <c r="N12" i="7"/>
  <c r="N32" i="2" s="1"/>
  <c r="N34" i="5"/>
  <c r="N12" i="5"/>
  <c r="N27" i="5"/>
  <c r="N27" i="11" s="1"/>
  <c r="N18" i="5"/>
  <c r="N15" i="11" s="1"/>
  <c r="N21" i="5"/>
  <c r="I10" i="13"/>
  <c r="I11" i="13" s="1"/>
  <c r="I12" i="13" s="1"/>
  <c r="I16" i="13" s="1"/>
  <c r="I30" i="11"/>
  <c r="I24" i="11"/>
  <c r="H34" i="11"/>
  <c r="H37" i="11"/>
  <c r="H39" i="11"/>
  <c r="H76" i="3" s="1"/>
  <c r="H79" i="3" s="1"/>
  <c r="H81" i="3" s="1"/>
  <c r="H85" i="3" s="1"/>
  <c r="I82" i="3" s="1"/>
  <c r="Q23" i="4"/>
  <c r="O16" i="4"/>
  <c r="P32" i="5"/>
  <c r="Q28" i="5"/>
  <c r="Q19" i="5"/>
  <c r="Q22" i="5"/>
  <c r="P47" i="4"/>
  <c r="P10" i="4" s="1"/>
  <c r="P16" i="4" s="1"/>
  <c r="H11" i="4"/>
  <c r="J11" i="4"/>
  <c r="L11" i="4"/>
  <c r="M11" i="4"/>
  <c r="N11" i="4"/>
  <c r="O11" i="4"/>
  <c r="K11" i="4"/>
  <c r="I11" i="4"/>
  <c r="H42" i="11" l="1"/>
  <c r="H43" i="11" s="1"/>
  <c r="O35" i="3"/>
  <c r="O61" i="3"/>
  <c r="O41" i="3"/>
  <c r="M38" i="3"/>
  <c r="M71" i="2"/>
  <c r="M77" i="2" s="1"/>
  <c r="N15" i="5"/>
  <c r="N11" i="11"/>
  <c r="N12" i="11" s="1"/>
  <c r="N11" i="7"/>
  <c r="N29" i="2" s="1"/>
  <c r="N33" i="3" s="1"/>
  <c r="N13" i="7"/>
  <c r="J10" i="3"/>
  <c r="J31" i="3" s="1"/>
  <c r="J43" i="3" s="1"/>
  <c r="J31" i="11"/>
  <c r="J37" i="5"/>
  <c r="J32" i="11" s="1"/>
  <c r="J44" i="3" s="1"/>
  <c r="N16" i="11"/>
  <c r="N24" i="5"/>
  <c r="N63" i="2"/>
  <c r="P10" i="11"/>
  <c r="P40" i="8"/>
  <c r="P10" i="5"/>
  <c r="P56" i="8"/>
  <c r="P68" i="2" s="1"/>
  <c r="P21" i="8"/>
  <c r="P24" i="2" s="1"/>
  <c r="P58" i="8"/>
  <c r="P72" i="2" s="1"/>
  <c r="P46" i="8"/>
  <c r="P59" i="2" s="1"/>
  <c r="P30" i="8"/>
  <c r="P36" i="2" s="1"/>
  <c r="P15" i="8"/>
  <c r="P21" i="2" s="1"/>
  <c r="P54" i="8"/>
  <c r="P67" i="2" s="1"/>
  <c r="P26" i="8"/>
  <c r="P31" i="2" s="1"/>
  <c r="P64" i="8"/>
  <c r="P75" i="2" s="1"/>
  <c r="P36" i="8"/>
  <c r="P39" i="2" s="1"/>
  <c r="P32" i="8"/>
  <c r="P37" i="2" s="1"/>
  <c r="P13" i="8"/>
  <c r="P20" i="2" s="1"/>
  <c r="P44" i="8"/>
  <c r="P58" i="2" s="1"/>
  <c r="P34" i="8"/>
  <c r="P38" i="2" s="1"/>
  <c r="P28" i="8"/>
  <c r="P35" i="2" s="1"/>
  <c r="P50" i="8"/>
  <c r="P61" i="2" s="1"/>
  <c r="P42" i="8"/>
  <c r="P57" i="2" s="1"/>
  <c r="P62" i="8"/>
  <c r="P74" i="2" s="1"/>
  <c r="P19" i="8"/>
  <c r="P23" i="2" s="1"/>
  <c r="P11" i="8"/>
  <c r="P19" i="2" s="1"/>
  <c r="P17" i="8"/>
  <c r="P22" i="2" s="1"/>
  <c r="P60" i="8"/>
  <c r="P73" i="2" s="1"/>
  <c r="P48" i="8"/>
  <c r="P60" i="2" s="1"/>
  <c r="P32" i="4"/>
  <c r="P24" i="4"/>
  <c r="I10" i="3"/>
  <c r="I31" i="3" s="1"/>
  <c r="I43" i="3" s="1"/>
  <c r="I31" i="11"/>
  <c r="I37" i="5"/>
  <c r="I32" i="11" s="1"/>
  <c r="I44" i="3" s="1"/>
  <c r="P40" i="4"/>
  <c r="M13" i="11"/>
  <c r="M18" i="11"/>
  <c r="O12" i="7"/>
  <c r="O32" i="2" s="1"/>
  <c r="O34" i="5"/>
  <c r="O12" i="5"/>
  <c r="O21" i="5"/>
  <c r="O27" i="5"/>
  <c r="O27" i="11" s="1"/>
  <c r="O18" i="5"/>
  <c r="O15" i="11" s="1"/>
  <c r="N34" i="3"/>
  <c r="P11" i="4"/>
  <c r="Q47" i="4"/>
  <c r="Q10" i="4" s="1"/>
  <c r="O31" i="5"/>
  <c r="H48" i="2"/>
  <c r="N28" i="3"/>
  <c r="N64" i="3"/>
  <c r="N67" i="3" s="1"/>
  <c r="K10" i="13"/>
  <c r="K11" i="13" s="1"/>
  <c r="K12" i="13" s="1"/>
  <c r="K16" i="13" s="1"/>
  <c r="K30" i="11"/>
  <c r="K24" i="11"/>
  <c r="N11" i="9"/>
  <c r="N14" i="9"/>
  <c r="N26" i="11" s="1"/>
  <c r="N27" i="3" s="1"/>
  <c r="O10" i="9"/>
  <c r="M33" i="3"/>
  <c r="O26" i="2"/>
  <c r="O56" i="2"/>
  <c r="O74" i="3" s="1"/>
  <c r="O12" i="9"/>
  <c r="L19" i="11"/>
  <c r="L23" i="11"/>
  <c r="Q32" i="5"/>
  <c r="J33" i="11" l="1"/>
  <c r="J34" i="11" s="1"/>
  <c r="O63" i="2"/>
  <c r="J46" i="3"/>
  <c r="I33" i="11"/>
  <c r="I39" i="11" s="1"/>
  <c r="I48" i="2" s="1"/>
  <c r="P35" i="3"/>
  <c r="J37" i="11"/>
  <c r="J39" i="11"/>
  <c r="K10" i="3"/>
  <c r="K31" i="3" s="1"/>
  <c r="K43" i="3" s="1"/>
  <c r="K31" i="11"/>
  <c r="K37" i="5"/>
  <c r="K32" i="11" s="1"/>
  <c r="K44" i="3" s="1"/>
  <c r="H49" i="2"/>
  <c r="H51" i="2" s="1"/>
  <c r="H79" i="2" s="1"/>
  <c r="O11" i="9"/>
  <c r="P10" i="9"/>
  <c r="O14" i="9"/>
  <c r="O26" i="11" s="1"/>
  <c r="O27" i="3" s="1"/>
  <c r="L30" i="11"/>
  <c r="L10" i="13"/>
  <c r="L11" i="13" s="1"/>
  <c r="L12" i="13" s="1"/>
  <c r="L16" i="13" s="1"/>
  <c r="L24" i="11"/>
  <c r="P26" i="2"/>
  <c r="P12" i="7"/>
  <c r="P32" i="2" s="1"/>
  <c r="P34" i="5"/>
  <c r="P12" i="5"/>
  <c r="P18" i="5"/>
  <c r="P15" i="11" s="1"/>
  <c r="P21" i="5"/>
  <c r="P27" i="5"/>
  <c r="P27" i="11" s="1"/>
  <c r="N18" i="11"/>
  <c r="N13" i="11"/>
  <c r="P61" i="3"/>
  <c r="Q10" i="11"/>
  <c r="Q40" i="8"/>
  <c r="Q10" i="5"/>
  <c r="Q31" i="5" s="1"/>
  <c r="Q21" i="8"/>
  <c r="Q24" i="2" s="1"/>
  <c r="Q26" i="8"/>
  <c r="Q31" i="2" s="1"/>
  <c r="Q30" i="8"/>
  <c r="Q36" i="2" s="1"/>
  <c r="Q56" i="8"/>
  <c r="Q68" i="2" s="1"/>
  <c r="Q46" i="8"/>
  <c r="Q59" i="2" s="1"/>
  <c r="Q54" i="8"/>
  <c r="Q67" i="2" s="1"/>
  <c r="Q58" i="8"/>
  <c r="Q72" i="2" s="1"/>
  <c r="Q15" i="8"/>
  <c r="Q21" i="2" s="1"/>
  <c r="Q36" i="8"/>
  <c r="Q39" i="2" s="1"/>
  <c r="Q32" i="8"/>
  <c r="Q37" i="2" s="1"/>
  <c r="Q50" i="8"/>
  <c r="Q61" i="2" s="1"/>
  <c r="Q28" i="8"/>
  <c r="Q35" i="2" s="1"/>
  <c r="Q13" i="8"/>
  <c r="Q20" i="2" s="1"/>
  <c r="Q34" i="8"/>
  <c r="Q38" i="2" s="1"/>
  <c r="Q64" i="8"/>
  <c r="Q75" i="2" s="1"/>
  <c r="Q44" i="8"/>
  <c r="Q58" i="2" s="1"/>
  <c r="Q42" i="8"/>
  <c r="Q57" i="2" s="1"/>
  <c r="Q48" i="8"/>
  <c r="Q60" i="2" s="1"/>
  <c r="Q60" i="8"/>
  <c r="Q73" i="2" s="1"/>
  <c r="Q11" i="8"/>
  <c r="Q19" i="2" s="1"/>
  <c r="Q17" i="8"/>
  <c r="Q22" i="2" s="1"/>
  <c r="Q62" i="8"/>
  <c r="Q74" i="2" s="1"/>
  <c r="Q19" i="8"/>
  <c r="Q23" i="2" s="1"/>
  <c r="Q32" i="4"/>
  <c r="Q11" i="4"/>
  <c r="O64" i="3"/>
  <c r="O67" i="3" s="1"/>
  <c r="O28" i="3"/>
  <c r="P41" i="3"/>
  <c r="P56" i="2"/>
  <c r="P12" i="9"/>
  <c r="Q16" i="4"/>
  <c r="P31" i="5"/>
  <c r="M15" i="13"/>
  <c r="Q24" i="4"/>
  <c r="O16" i="11"/>
  <c r="O24" i="5"/>
  <c r="O34" i="3"/>
  <c r="I46" i="3"/>
  <c r="N71" i="2"/>
  <c r="N77" i="2" s="1"/>
  <c r="N38" i="3"/>
  <c r="N15" i="13" s="1"/>
  <c r="Q40" i="4"/>
  <c r="O15" i="5"/>
  <c r="O11" i="11"/>
  <c r="O12" i="11" s="1"/>
  <c r="O11" i="7"/>
  <c r="O29" i="2" s="1"/>
  <c r="O33" i="3" s="1"/>
  <c r="O13" i="7"/>
  <c r="M19" i="11"/>
  <c r="M23" i="11"/>
  <c r="P11" i="9" l="1"/>
  <c r="K46" i="3"/>
  <c r="I34" i="11"/>
  <c r="I37" i="11"/>
  <c r="K33" i="11"/>
  <c r="K34" i="11" s="1"/>
  <c r="Q35" i="3"/>
  <c r="O38" i="3"/>
  <c r="O15" i="13" s="1"/>
  <c r="O71" i="2"/>
  <c r="O77" i="2" s="1"/>
  <c r="P63" i="2"/>
  <c r="P74" i="3"/>
  <c r="Q41" i="3"/>
  <c r="P64" i="3"/>
  <c r="P67" i="3" s="1"/>
  <c r="P28" i="3"/>
  <c r="J48" i="2"/>
  <c r="I49" i="2"/>
  <c r="I51" i="2" s="1"/>
  <c r="I79" i="2" s="1"/>
  <c r="P24" i="5"/>
  <c r="P16" i="11"/>
  <c r="H33" i="2"/>
  <c r="C23" i="13" s="1"/>
  <c r="M10" i="13"/>
  <c r="M11" i="13" s="1"/>
  <c r="M12" i="13" s="1"/>
  <c r="M16" i="13" s="1"/>
  <c r="M24" i="11"/>
  <c r="M30" i="11"/>
  <c r="O13" i="11"/>
  <c r="O18" i="11"/>
  <c r="Q26" i="2"/>
  <c r="Q12" i="7"/>
  <c r="Q32" i="2" s="1"/>
  <c r="Q34" i="3" s="1"/>
  <c r="Q34" i="5"/>
  <c r="Q12" i="5"/>
  <c r="Q21" i="5"/>
  <c r="Q27" i="5"/>
  <c r="Q27" i="11" s="1"/>
  <c r="Q18" i="5"/>
  <c r="Q15" i="11" s="1"/>
  <c r="L10" i="3"/>
  <c r="L31" i="3" s="1"/>
  <c r="L43" i="3" s="1"/>
  <c r="L37" i="5"/>
  <c r="L32" i="11" s="1"/>
  <c r="L44" i="3" s="1"/>
  <c r="L31" i="11"/>
  <c r="J42" i="11"/>
  <c r="J43" i="11" s="1"/>
  <c r="J76" i="3"/>
  <c r="J79" i="3" s="1"/>
  <c r="J81" i="3" s="1"/>
  <c r="P14" i="9"/>
  <c r="P26" i="11" s="1"/>
  <c r="P27" i="3" s="1"/>
  <c r="Q10" i="9"/>
  <c r="Q56" i="2"/>
  <c r="Q12" i="9"/>
  <c r="N19" i="11"/>
  <c r="N23" i="11"/>
  <c r="P15" i="5"/>
  <c r="P11" i="11"/>
  <c r="P12" i="11" s="1"/>
  <c r="P13" i="7"/>
  <c r="P11" i="7"/>
  <c r="P29" i="2" s="1"/>
  <c r="Q61" i="3"/>
  <c r="P34" i="3"/>
  <c r="I42" i="11"/>
  <c r="I43" i="11" s="1"/>
  <c r="I76" i="3"/>
  <c r="I79" i="3" s="1"/>
  <c r="I81" i="3" s="1"/>
  <c r="I85" i="3" s="1"/>
  <c r="J82" i="3" s="1"/>
  <c r="L33" i="11" l="1"/>
  <c r="J85" i="3"/>
  <c r="K82" i="3" s="1"/>
  <c r="Q11" i="9"/>
  <c r="K37" i="11"/>
  <c r="K39" i="11"/>
  <c r="N30" i="11"/>
  <c r="N10" i="13"/>
  <c r="N24" i="11"/>
  <c r="L37" i="11"/>
  <c r="L34" i="11"/>
  <c r="L39" i="11"/>
  <c r="P33" i="3"/>
  <c r="P38" i="3"/>
  <c r="P71" i="2"/>
  <c r="P77" i="2" s="1"/>
  <c r="Q28" i="3"/>
  <c r="Q64" i="3"/>
  <c r="M10" i="3"/>
  <c r="M31" i="3" s="1"/>
  <c r="M43" i="3" s="1"/>
  <c r="M31" i="11"/>
  <c r="M37" i="5"/>
  <c r="M32" i="11" s="1"/>
  <c r="M44" i="3" s="1"/>
  <c r="P13" i="11"/>
  <c r="P18" i="11"/>
  <c r="Q14" i="9"/>
  <c r="Q26" i="11" s="1"/>
  <c r="Q27" i="3" s="1"/>
  <c r="Q16" i="11"/>
  <c r="Q24" i="5"/>
  <c r="I33" i="2"/>
  <c r="I41" i="2" s="1"/>
  <c r="I43" i="2" s="1"/>
  <c r="I81" i="2" s="1"/>
  <c r="K42" i="11"/>
  <c r="K43" i="11" s="1"/>
  <c r="K76" i="3"/>
  <c r="K79" i="3" s="1"/>
  <c r="K81" i="3" s="1"/>
  <c r="Q67" i="3"/>
  <c r="Q63" i="2"/>
  <c r="Q74" i="3"/>
  <c r="L46" i="3"/>
  <c r="Q15" i="5"/>
  <c r="Q11" i="11"/>
  <c r="Q12" i="11" s="1"/>
  <c r="Q13" i="7"/>
  <c r="Q11" i="7"/>
  <c r="Q29" i="2" s="1"/>
  <c r="Q33" i="3" s="1"/>
  <c r="O19" i="11"/>
  <c r="O23" i="11"/>
  <c r="K48" i="2"/>
  <c r="J49" i="2"/>
  <c r="J51" i="2" s="1"/>
  <c r="J79" i="2" s="1"/>
  <c r="H41" i="2"/>
  <c r="H43" i="2" s="1"/>
  <c r="H81" i="2" s="1"/>
  <c r="K85" i="3" l="1"/>
  <c r="L82" i="3" s="1"/>
  <c r="M33" i="11"/>
  <c r="M34" i="11" s="1"/>
  <c r="M46" i="3"/>
  <c r="M39" i="11"/>
  <c r="J33" i="2"/>
  <c r="J41" i="2" s="1"/>
  <c r="J43" i="2" s="1"/>
  <c r="J81" i="2" s="1"/>
  <c r="Q18" i="11"/>
  <c r="Q13" i="11"/>
  <c r="P15" i="13"/>
  <c r="N10" i="3"/>
  <c r="N31" i="3" s="1"/>
  <c r="N43" i="3" s="1"/>
  <c r="N37" i="5"/>
  <c r="N32" i="11" s="1"/>
  <c r="N44" i="3" s="1"/>
  <c r="N31" i="11"/>
  <c r="L48" i="2"/>
  <c r="K49" i="2"/>
  <c r="K51" i="2" s="1"/>
  <c r="K79" i="2" s="1"/>
  <c r="Q38" i="3"/>
  <c r="Q15" i="13" s="1"/>
  <c r="Q71" i="2"/>
  <c r="Q77" i="2" s="1"/>
  <c r="O10" i="13"/>
  <c r="O11" i="13" s="1"/>
  <c r="O12" i="13" s="1"/>
  <c r="O16" i="13" s="1"/>
  <c r="O30" i="11"/>
  <c r="O24" i="11"/>
  <c r="P19" i="11"/>
  <c r="P23" i="11"/>
  <c r="L42" i="11"/>
  <c r="L43" i="11" s="1"/>
  <c r="L76" i="3"/>
  <c r="L79" i="3" s="1"/>
  <c r="L81" i="3" s="1"/>
  <c r="L85" i="3" s="1"/>
  <c r="M82" i="3" s="1"/>
  <c r="N11" i="13"/>
  <c r="N12" i="13" s="1"/>
  <c r="N16" i="13" s="1"/>
  <c r="N33" i="11" l="1"/>
  <c r="M37" i="11"/>
  <c r="N46" i="3"/>
  <c r="N39" i="11"/>
  <c r="N37" i="11"/>
  <c r="N34" i="11"/>
  <c r="O10" i="3"/>
  <c r="O31" i="3" s="1"/>
  <c r="O43" i="3" s="1"/>
  <c r="O37" i="5"/>
  <c r="O32" i="11" s="1"/>
  <c r="O44" i="3" s="1"/>
  <c r="O31" i="11"/>
  <c r="K33" i="2"/>
  <c r="K41" i="2" s="1"/>
  <c r="K43" i="2" s="1"/>
  <c r="K81" i="2" s="1"/>
  <c r="P10" i="13"/>
  <c r="P11" i="13" s="1"/>
  <c r="P12" i="13" s="1"/>
  <c r="P16" i="13" s="1"/>
  <c r="P30" i="11"/>
  <c r="P24" i="11"/>
  <c r="M48" i="2"/>
  <c r="L49" i="2"/>
  <c r="L51" i="2" s="1"/>
  <c r="L79" i="2" s="1"/>
  <c r="Q19" i="11"/>
  <c r="Q23" i="11"/>
  <c r="M42" i="11"/>
  <c r="M43" i="11" s="1"/>
  <c r="M76" i="3"/>
  <c r="M79" i="3" s="1"/>
  <c r="M81" i="3" s="1"/>
  <c r="M85" i="3" s="1"/>
  <c r="N82" i="3" s="1"/>
  <c r="O33" i="11" l="1"/>
  <c r="O37" i="11"/>
  <c r="O39" i="11"/>
  <c r="O34" i="11"/>
  <c r="N48" i="2"/>
  <c r="M49" i="2"/>
  <c r="M51" i="2" s="1"/>
  <c r="M79" i="2" s="1"/>
  <c r="N42" i="11"/>
  <c r="N43" i="11" s="1"/>
  <c r="N76" i="3"/>
  <c r="N79" i="3" s="1"/>
  <c r="N81" i="3" s="1"/>
  <c r="N85" i="3" s="1"/>
  <c r="O82" i="3" s="1"/>
  <c r="P10" i="3"/>
  <c r="P31" i="3" s="1"/>
  <c r="P43" i="3" s="1"/>
  <c r="P31" i="11"/>
  <c r="P37" i="5"/>
  <c r="P32" i="11" s="1"/>
  <c r="L33" i="2"/>
  <c r="L41" i="2" s="1"/>
  <c r="L43" i="2" s="1"/>
  <c r="L81" i="2" s="1"/>
  <c r="Q30" i="11"/>
  <c r="Q10" i="13"/>
  <c r="Q11" i="13" s="1"/>
  <c r="Q12" i="13" s="1"/>
  <c r="Q16" i="13" s="1"/>
  <c r="R16" i="13" s="1"/>
  <c r="C22" i="13" s="1"/>
  <c r="C26" i="13" s="1"/>
  <c r="C28" i="13" s="1"/>
  <c r="Q24" i="11"/>
  <c r="O46" i="3"/>
  <c r="H21" i="13" l="1"/>
  <c r="C32" i="13"/>
  <c r="C33" i="13" s="1"/>
  <c r="O42" i="11"/>
  <c r="O43" i="11" s="1"/>
  <c r="O76" i="3"/>
  <c r="O79" i="3" s="1"/>
  <c r="O81" i="3" s="1"/>
  <c r="O85" i="3" s="1"/>
  <c r="P82" i="3" s="1"/>
  <c r="M33" i="2"/>
  <c r="M41" i="2" s="1"/>
  <c r="M43" i="2" s="1"/>
  <c r="M81" i="2" s="1"/>
  <c r="P33" i="11"/>
  <c r="P44" i="3"/>
  <c r="P46" i="3" s="1"/>
  <c r="Q10" i="3"/>
  <c r="Q31" i="3" s="1"/>
  <c r="Q43" i="3" s="1"/>
  <c r="Q37" i="5"/>
  <c r="Q32" i="11" s="1"/>
  <c r="Q44" i="3" s="1"/>
  <c r="Q31" i="11"/>
  <c r="O48" i="2"/>
  <c r="N49" i="2"/>
  <c r="N51" i="2" s="1"/>
  <c r="N79" i="2" s="1"/>
  <c r="Q33" i="11" l="1"/>
  <c r="Q34" i="11" s="1"/>
  <c r="N33" i="2"/>
  <c r="N41" i="2" s="1"/>
  <c r="N43" i="2" s="1"/>
  <c r="N81" i="2" s="1"/>
  <c r="P37" i="11"/>
  <c r="P34" i="11"/>
  <c r="P39" i="11"/>
  <c r="P48" i="2"/>
  <c r="O49" i="2"/>
  <c r="O51" i="2" s="1"/>
  <c r="O79" i="2" s="1"/>
  <c r="Q46" i="3"/>
  <c r="Q37" i="11" l="1"/>
  <c r="Q39" i="11"/>
  <c r="Q76" i="3" s="1"/>
  <c r="Q79" i="3" s="1"/>
  <c r="Q81" i="3" s="1"/>
  <c r="O33" i="2"/>
  <c r="O41" i="2" s="1"/>
  <c r="O43" i="2" s="1"/>
  <c r="O81" i="2" s="1"/>
  <c r="Q42" i="11"/>
  <c r="Q43" i="11" s="1"/>
  <c r="P49" i="2"/>
  <c r="P51" i="2" s="1"/>
  <c r="P79" i="2" s="1"/>
  <c r="P42" i="11"/>
  <c r="P43" i="11" s="1"/>
  <c r="P76" i="3"/>
  <c r="P79" i="3" s="1"/>
  <c r="P81" i="3" s="1"/>
  <c r="P85" i="3" s="1"/>
  <c r="Q82" i="3" s="1"/>
  <c r="Q48" i="2" l="1"/>
  <c r="Q49" i="2" s="1"/>
  <c r="Q51" i="2" s="1"/>
  <c r="Q79" i="2" s="1"/>
  <c r="Q33" i="2" s="1"/>
  <c r="Q41" i="2" s="1"/>
  <c r="Q43" i="2" s="1"/>
  <c r="Q81" i="2" s="1"/>
  <c r="Q85" i="3"/>
  <c r="P33" i="2"/>
  <c r="P41" i="2" s="1"/>
  <c r="P43" i="2" s="1"/>
  <c r="P81" i="2" s="1"/>
</calcChain>
</file>

<file path=xl/sharedStrings.xml><?xml version="1.0" encoding="utf-8"?>
<sst xmlns="http://schemas.openxmlformats.org/spreadsheetml/2006/main" count="430" uniqueCount="275">
  <si>
    <t>Particulars</t>
  </si>
  <si>
    <t>INCOME</t>
  </si>
  <si>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</si>
  <si>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</si>
  <si>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</si>
  <si>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</si>
  <si>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</si>
  <si>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</si>
  <si>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Changes in inventories of finished goods, stock-in-trade and wip</t>
  </si>
  <si>
    <t>Employee benefits expense</t>
  </si>
  <si>
    <t>Finance costs</t>
  </si>
  <si>
    <t>Depreciation, amortisation and impairment expense</t>
  </si>
  <si>
    <t>Other expenses</t>
  </si>
  <si>
    <t>Total Expenses</t>
  </si>
  <si>
    <t>PROFIT BEFORE SHARE OF LOSS OF JOINT VENTURES AND ASSOCIATES, EXCEPTIONAL ITEMS AND TAX</t>
  </si>
  <si>
    <t>Share of loss of joint ventures and associates (net of tax)</t>
  </si>
  <si>
    <t>PROFIT BEFORE EXCEPTIONAL ITEMS AND TAX</t>
  </si>
  <si>
    <t>Exceptional items</t>
  </si>
  <si>
    <t>TAX</t>
  </si>
  <si>
    <t>PROFIT BEFORE TAX</t>
  </si>
  <si>
    <t>PROFIT FOR THE YEAR</t>
  </si>
  <si>
    <t>ASSETS</t>
  </si>
  <si>
    <t>Non-current assets</t>
  </si>
  <si>
    <t>Property, plant and equipment</t>
  </si>
  <si>
    <t>Capital work-in-progress</t>
  </si>
  <si>
    <t>Goodwill</t>
  </si>
  <si>
    <t>Other intangible assets</t>
  </si>
  <si>
    <t>Intangible assets under development</t>
  </si>
  <si>
    <t>Investments accounted for using the equity method</t>
  </si>
  <si>
    <t>Financial assets</t>
  </si>
  <si>
    <t>Investments</t>
  </si>
  <si>
    <t>Loans</t>
  </si>
  <si>
    <t>Trade receivables</t>
  </si>
  <si>
    <t>Other financial assets</t>
  </si>
  <si>
    <t>Deferred tax assets (net</t>
  </si>
  <si>
    <t>Non-current tax assets (net)</t>
  </si>
  <si>
    <t>Total non-current assets</t>
  </si>
  <si>
    <t>Current assets</t>
  </si>
  <si>
    <t>Inventories</t>
  </si>
  <si>
    <t>Cash and cash equivalents</t>
  </si>
  <si>
    <t xml:space="preserve">Bank balances </t>
  </si>
  <si>
    <t>Current tax assets (net</t>
  </si>
  <si>
    <t>Other current assets</t>
  </si>
  <si>
    <t>Assets held for sale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</si>
  <si>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</si>
  <si>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</si>
  <si>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</si>
  <si>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</si>
  <si>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</si>
  <si>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</si>
  <si>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Equity attributable to owners of the Parent Company</t>
  </si>
  <si>
    <t>Non-controlling interest</t>
  </si>
  <si>
    <t>Total equity</t>
  </si>
  <si>
    <t>Liabilities</t>
  </si>
  <si>
    <t>Non-current liabilities</t>
  </si>
  <si>
    <t>Financial liabilities</t>
  </si>
  <si>
    <t>Borrowings</t>
  </si>
  <si>
    <t>Others</t>
  </si>
  <si>
    <t>Provisions</t>
  </si>
  <si>
    <t>Deferred tax liabilities (net)</t>
  </si>
  <si>
    <t>Other non-current liabilities</t>
  </si>
  <si>
    <t>Total non-current liabilities</t>
  </si>
  <si>
    <t>Current liabilities</t>
  </si>
  <si>
    <t>Trade payables</t>
  </si>
  <si>
    <t>total outstanding dues of micro enterprises and small enterprises and</t>
  </si>
  <si>
    <t>total outstanding dues of creditors other than micro enterprises and small enterprises</t>
  </si>
  <si>
    <t>Other financial liabilities</t>
  </si>
  <si>
    <t>Other current liabilities</t>
  </si>
  <si>
    <t>Current tax liabilities (net)</t>
  </si>
  <si>
    <t>Total current liabilities</t>
  </si>
  <si>
    <t>TOTAL EQUITY AND LIABILITIES</t>
  </si>
  <si>
    <t>Right-of-use assets</t>
  </si>
  <si>
    <t>Other non-current asset</t>
  </si>
  <si>
    <t>Lease liabilities</t>
  </si>
  <si>
    <t>CHECK</t>
  </si>
  <si>
    <t>CASH FLOW FROM OPERATING ACTIVITIES</t>
  </si>
  <si>
    <t>Net profit before tax</t>
  </si>
  <si>
    <t>Adjustment</t>
  </si>
  <si>
    <t>Allowance for credit losses on trade receivables and other advances(net)</t>
  </si>
  <si>
    <t>Liabilities no longer required written back (net)</t>
  </si>
  <si>
    <t>Stock written off</t>
  </si>
  <si>
    <t>Mark-to-market gain on derivative financial instruments (net)</t>
  </si>
  <si>
    <t>Exchange differences on translation of assets and liabilities (net)</t>
  </si>
  <si>
    <t>Profit on sale of property, plant and equipment (net)</t>
  </si>
  <si>
    <t>Write off of intangible assets under development</t>
  </si>
  <si>
    <t>Share of loss of joint ventures and associates</t>
  </si>
  <si>
    <t>Profit on sale of current investments</t>
  </si>
  <si>
    <t>Interest income</t>
  </si>
  <si>
    <t>Operating profit before working capital changes</t>
  </si>
  <si>
    <t>Movements in working capital :</t>
  </si>
  <si>
    <t>Increase in inventories</t>
  </si>
  <si>
    <t>Increase in trade receivables</t>
  </si>
  <si>
    <t>Increase in other financial assets</t>
  </si>
  <si>
    <t>Increase in other current/non current assets</t>
  </si>
  <si>
    <t>(Increase)/decrease in loans</t>
  </si>
  <si>
    <t>Increase in trade payables</t>
  </si>
  <si>
    <t>Increase in provisions</t>
  </si>
  <si>
    <t>Decrease in other current/non-current liabilities</t>
  </si>
  <si>
    <t>Increase in other financial liabilities</t>
  </si>
  <si>
    <t>Cash generated from operating activities</t>
  </si>
  <si>
    <t xml:space="preserve">Direct taxes paid (net of refunds) </t>
  </si>
  <si>
    <t>Net cash generated from operating activities</t>
  </si>
  <si>
    <t>CASH FLOW FROM INVESTING ACTIVITIES</t>
  </si>
  <si>
    <t>Purchase of property, plant and equipment, including movement in capital work- in- progress, capital advances and capital creditors</t>
  </si>
  <si>
    <t>Purchase of intangible assets and intangible assets under development</t>
  </si>
  <si>
    <t>Proceeds from sale of property, plant and equipment and intangible assets</t>
  </si>
  <si>
    <t>Acquisition of business</t>
  </si>
  <si>
    <t>Purchase of controlling interest in subsidiary</t>
  </si>
  <si>
    <t>Proceeds from/(Purchase of) non-current investments in joint ventures (net)</t>
  </si>
  <si>
    <t>Purchase of non-current investments</t>
  </si>
  <si>
    <t>Purchase of current investments</t>
  </si>
  <si>
    <t>Proceeds from sale of current investments</t>
  </si>
  <si>
    <t>Proceeds from sale of non-current investments</t>
  </si>
  <si>
    <t>Margin money deposits not considered as cash and cash equivalents (net)</t>
  </si>
  <si>
    <t>Interest received</t>
  </si>
  <si>
    <t>Net cash used in investing activities</t>
  </si>
  <si>
    <t>CASH FLOW FROM FINANCING ACTIVITIES</t>
  </si>
  <si>
    <t>Proceeds from non-current borrowings</t>
  </si>
  <si>
    <t>Repayment of non-current borrowings</t>
  </si>
  <si>
    <t>Proceeds from/(repayment) of current borrowings (net)</t>
  </si>
  <si>
    <t>Finance costs paid</t>
  </si>
  <si>
    <t>Repayment of lease liabilities (net)</t>
  </si>
  <si>
    <t>Dividends paid on equity shares</t>
  </si>
  <si>
    <t>Net cash generated from financing activities</t>
  </si>
  <si>
    <t>Net increase/(decrease) in cash and cash equivalents (A + B + C)</t>
  </si>
  <si>
    <t>Cash and cash equivalents at the beginning of the year</t>
  </si>
  <si>
    <t>Add: Cash and cash equivalents on acquisition of subsidiaries/business</t>
  </si>
  <si>
    <t>Effect of exchange differences on cash and cash equivalents</t>
  </si>
  <si>
    <t>Cash and cash equivalents at the end of the year</t>
  </si>
  <si>
    <t>Unrealised foreign exchange gain (net)</t>
  </si>
  <si>
    <t>Gain on sale and lease back transactions</t>
  </si>
  <si>
    <t>Loss on liquidation of Joint venture/subsidiary</t>
  </si>
  <si>
    <t>Effect of exchange rate changes</t>
  </si>
  <si>
    <t>Proceeds from liquidation of subsidiary</t>
  </si>
  <si>
    <t>Proceeds from liquidation of joint venture</t>
  </si>
  <si>
    <t>Profit on sale of subsidiary and acquisition of non-controlling interest</t>
  </si>
  <si>
    <t>Acquisition of subsidiaries, net of cash and cash equivalents acquired</t>
  </si>
  <si>
    <t>Proceeds from sale of subsidiary, net of tax</t>
  </si>
  <si>
    <t>Bad debts/advances written of</t>
  </si>
  <si>
    <t>Dividend received from joint venture</t>
  </si>
  <si>
    <t>Tax paid on equity dividend</t>
  </si>
  <si>
    <t>Proceeds from issuance of equity share capital</t>
  </si>
  <si>
    <t>Revenue from external customers</t>
  </si>
  <si>
    <t>India</t>
  </si>
  <si>
    <t>USA</t>
  </si>
  <si>
    <t>Rest of the world</t>
  </si>
  <si>
    <t>Europe</t>
  </si>
  <si>
    <t>Total Revenue</t>
  </si>
  <si>
    <t>Revenue</t>
  </si>
  <si>
    <t>Scenario</t>
  </si>
  <si>
    <t>Best</t>
  </si>
  <si>
    <t>Base</t>
  </si>
  <si>
    <t>Worst</t>
  </si>
  <si>
    <t xml:space="preserve">Scenario </t>
  </si>
  <si>
    <t>COGS</t>
  </si>
  <si>
    <t>% of Revenue</t>
  </si>
  <si>
    <t>Gross Margin</t>
  </si>
  <si>
    <t>OPEX</t>
  </si>
  <si>
    <t>Other Income</t>
  </si>
  <si>
    <t>Exceptional Items</t>
  </si>
  <si>
    <t>Tax</t>
  </si>
  <si>
    <t>% of EBT</t>
  </si>
  <si>
    <t>KPI</t>
  </si>
  <si>
    <t>DIO</t>
  </si>
  <si>
    <t>DSO</t>
  </si>
  <si>
    <t>DPO</t>
  </si>
  <si>
    <t>Days of Operation</t>
  </si>
  <si>
    <t>Opening Balance</t>
  </si>
  <si>
    <t>New Issuance/ Repayment</t>
  </si>
  <si>
    <t>Closing Balance</t>
  </si>
  <si>
    <t>Interest rate</t>
  </si>
  <si>
    <t>Interest Expense</t>
  </si>
  <si>
    <t xml:space="preserve">Opening Gross </t>
  </si>
  <si>
    <t>PPE</t>
  </si>
  <si>
    <t>Additions</t>
  </si>
  <si>
    <t>Disposals / adjustments</t>
  </si>
  <si>
    <t>- Reclasified to Right-of-use assets</t>
  </si>
  <si>
    <t>Foreign currency translation adjustments</t>
  </si>
  <si>
    <t>Gross Closing</t>
  </si>
  <si>
    <t>Accumulated depreciation</t>
  </si>
  <si>
    <t>Charge for the year</t>
  </si>
  <si>
    <t>Reclasified to Right-of-use assets</t>
  </si>
  <si>
    <t>Net PPE</t>
  </si>
  <si>
    <t>Reclassified to Assets held for sale</t>
  </si>
  <si>
    <t>Acquisition through business combination</t>
  </si>
  <si>
    <t>Disposal of Subsidiary</t>
  </si>
  <si>
    <t>Net other intangible assets</t>
  </si>
  <si>
    <t>net right to used assets</t>
  </si>
  <si>
    <t>Total fixed Assets</t>
  </si>
  <si>
    <t>net block</t>
  </si>
  <si>
    <t>Total Fixed Assets - Net Block</t>
  </si>
  <si>
    <t>Dep &amp; Amortization</t>
  </si>
  <si>
    <t>Increase in Fixed Assets</t>
  </si>
  <si>
    <t>Change in CWIP</t>
  </si>
  <si>
    <t>CAPEX</t>
  </si>
  <si>
    <t>Gross Profit</t>
  </si>
  <si>
    <t>Employee Expenses</t>
  </si>
  <si>
    <t>S&amp;G expenses</t>
  </si>
  <si>
    <t>EBITDA</t>
  </si>
  <si>
    <t>EBITDA Margin</t>
  </si>
  <si>
    <t>D&amp;A</t>
  </si>
  <si>
    <t>EBIT</t>
  </si>
  <si>
    <t>EBIT Margin</t>
  </si>
  <si>
    <t>Interest Cost</t>
  </si>
  <si>
    <t>Net Profit</t>
  </si>
  <si>
    <t>EBT</t>
  </si>
  <si>
    <t>EBT Margin</t>
  </si>
  <si>
    <t>EPS in Rs.</t>
  </si>
  <si>
    <t>Dividend</t>
  </si>
  <si>
    <t>Dividend Payout %</t>
  </si>
  <si>
    <t>Retained Earning</t>
  </si>
  <si>
    <t>Retained %</t>
  </si>
  <si>
    <t>Net Profit Margin</t>
  </si>
  <si>
    <t>Current Capital structure</t>
  </si>
  <si>
    <t>Total Debt</t>
  </si>
  <si>
    <t>Debt/equity</t>
  </si>
  <si>
    <t>Cost of debt</t>
  </si>
  <si>
    <t>Pre-tax cost of debt</t>
  </si>
  <si>
    <t>tax rate</t>
  </si>
  <si>
    <t>After -Tax cost of debt</t>
  </si>
  <si>
    <t>Cost of equity</t>
  </si>
  <si>
    <t>Risk free Rate</t>
  </si>
  <si>
    <t>Equity Market Return</t>
  </si>
  <si>
    <t>Equity risk premium</t>
  </si>
  <si>
    <t>WACC</t>
  </si>
  <si>
    <t>Total Equity</t>
  </si>
  <si>
    <t xml:space="preserve"> Equity Beta</t>
  </si>
  <si>
    <t>EBIT/ Operating Income</t>
  </si>
  <si>
    <t>Tax rate</t>
  </si>
  <si>
    <t>NOPAT</t>
  </si>
  <si>
    <t>Add: Depreciation &amp; Amortization</t>
  </si>
  <si>
    <t>Less: CapEx</t>
  </si>
  <si>
    <t>Less: Change in Working Capital</t>
  </si>
  <si>
    <t>Unlevered FCFF</t>
  </si>
  <si>
    <t>Transaction Date</t>
  </si>
  <si>
    <t>Fiscal Year End</t>
  </si>
  <si>
    <t>Risk Free Rate</t>
  </si>
  <si>
    <t>Tax Rate</t>
  </si>
  <si>
    <t>Perpetual Growth Rate</t>
  </si>
  <si>
    <t>Discount Rate</t>
  </si>
  <si>
    <t>Current Market Price</t>
  </si>
  <si>
    <t>Assumptions</t>
  </si>
  <si>
    <t>Shares Outstanding(Mn)</t>
  </si>
  <si>
    <t>Market Cap (mn.)</t>
  </si>
  <si>
    <t>Intrinsic Value</t>
  </si>
  <si>
    <t>Enterpreise Value</t>
  </si>
  <si>
    <t>Plus: Cash &amp; Cash equivalent</t>
  </si>
  <si>
    <t>Less- Debt</t>
  </si>
  <si>
    <t>Less-non- controlling interest</t>
  </si>
  <si>
    <t>Equity Value</t>
  </si>
  <si>
    <t>Equity value/share</t>
  </si>
  <si>
    <t>Date</t>
  </si>
  <si>
    <t>Sensex</t>
  </si>
  <si>
    <t>%</t>
  </si>
  <si>
    <t>Close</t>
  </si>
  <si>
    <t>Change</t>
  </si>
  <si>
    <t>Close Price</t>
  </si>
  <si>
    <t>Beta</t>
  </si>
  <si>
    <t>Sensitivity Analysis</t>
  </si>
  <si>
    <t>Rate of Return</t>
  </si>
  <si>
    <t>Current price</t>
  </si>
  <si>
    <t>Target Price</t>
  </si>
  <si>
    <t>Target Price Upside</t>
  </si>
  <si>
    <t>Y-O-Y Growth</t>
  </si>
  <si>
    <t>DCF Analysis</t>
  </si>
  <si>
    <t>Working Capital</t>
  </si>
  <si>
    <t>Cost Build_up</t>
  </si>
  <si>
    <t>Revenue Build_up</t>
  </si>
  <si>
    <t>Debt Schedules</t>
  </si>
  <si>
    <t>Balance Sheet Forecast</t>
  </si>
  <si>
    <t>Income Statement</t>
  </si>
  <si>
    <t>CashFlow Statement</t>
  </si>
  <si>
    <t>Fixed Assets Schedules</t>
  </si>
  <si>
    <t>Balance Sheet</t>
  </si>
  <si>
    <t>P&amp;L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</si>
</sst>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"/>
    <numFmt numFmtId="165" formatCode="#,##0.0"/>
    <numFmt numFmtId="174" formatCode="#,##0.0000000000"/>
    <numFmt numFmtId="189" formatCode="0.0%"/>
    <numFmt numFmtId="205" formatCode="&quot;₹&quot;\ #,##0"/>
    <numFmt numFmtId="207" formatCode="&quot;₹&quot;\ #,##0;\(&quot;₹&quot;\ #,##0\);\-"/>
    <numFmt numFmtId="208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mbria"/>
      <family val="1"/>
    </font>
    <font>
      <i/>
      <sz val="11"/>
      <name val="Cambria"/>
      <family val="1"/>
    </font>
    <font>
      <i/>
      <sz val="11"/>
      <color theme="0"/>
      <name val="Calibri"/>
      <family val="2"/>
      <scheme val="minor"/>
    </font>
    <font>
      <i/>
      <sz val="11"/>
      <color theme="4" tint="0.79998168889431442"/>
      <name val="Calibri"/>
      <family val="2"/>
      <scheme val="minor"/>
    </font>
    <font>
      <i/>
      <sz val="10"/>
      <color theme="1" tint="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2" fillId="0" borderId="0" xfId="0" applyFont="1"/>
    <xf numFmtId="0" fontId="2" fillId="0" borderId="1" xfId="0" applyFont="1" applyBorder="1"/>
    <xf numFmtId="4" fontId="0" fillId="0" borderId="0" xfId="0" applyNumberFormat="1"/>
    <xf numFmtId="0" fontId="0" fillId="0" borderId="0" xfId="0" applyFont="1"/>
    <xf numFmtId="4" fontId="2" fillId="0" borderId="0" xfId="0" applyNumberFormat="1" applyFont="1"/>
    <xf numFmtId="0" fontId="2" fillId="0" borderId="2" xfId="0" applyFont="1" applyBorder="1"/>
    <xf numFmtId="4" fontId="2" fillId="0" borderId="2" xfId="0" applyNumberFormat="1" applyFont="1" applyBorder="1"/>
    <xf numFmtId="0" fontId="2" fillId="0" borderId="3" xfId="0" applyFont="1" applyBorder="1"/>
    <xf numFmtId="4" fontId="2" fillId="0" borderId="3" xfId="0" applyNumberFormat="1" applyFont="1" applyBorder="1"/>
    <xf numFmtId="0" fontId="0" fillId="0" borderId="0" xfId="0" applyAlignment="1">
      <alignment horizontal="left" indent="1"/>
    </xf>
    <xf numFmtId="0" fontId="3" fillId="0" borderId="0" xfId="0" applyFont="1"/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3"/>
    </xf>
    <xf numFmtId="2" fontId="2" fillId="0" borderId="2" xfId="0" applyNumberFormat="1" applyFont="1" applyBorder="1"/>
    <xf numFmtId="0" fontId="4" fillId="0" borderId="0" xfId="0" applyFont="1"/>
    <xf numFmtId="0" fontId="0" fillId="0" borderId="0" xfId="0" applyAlignment="1">
      <alignment horizontal="left" vertical="top" wrapText="1"/>
    </xf>
    <xf numFmtId="0" fontId="5" fillId="0" borderId="0" xfId="0" applyFont="1"/>
    <xf numFmtId="9" fontId="0" fillId="0" borderId="0" xfId="1" applyFont="1"/>
    <xf numFmtId="9" fontId="0" fillId="0" borderId="0" xfId="0" applyNumberFormat="1"/>
    <xf numFmtId="3" fontId="0" fillId="0" borderId="0" xfId="0" applyNumberFormat="1"/>
    <xf numFmtId="0" fontId="6" fillId="0" borderId="0" xfId="0" applyFont="1"/>
    <xf numFmtId="9" fontId="6" fillId="0" borderId="0" xfId="1" applyFont="1"/>
    <xf numFmtId="9" fontId="6" fillId="0" borderId="0" xfId="0" applyNumberFormat="1" applyFont="1"/>
    <xf numFmtId="0" fontId="7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64" fontId="0" fillId="0" borderId="0" xfId="0" applyNumberFormat="1"/>
    <xf numFmtId="1" fontId="0" fillId="0" borderId="0" xfId="0" applyNumberFormat="1"/>
    <xf numFmtId="0" fontId="2" fillId="0" borderId="4" xfId="0" applyFont="1" applyBorder="1"/>
    <xf numFmtId="4" fontId="2" fillId="0" borderId="4" xfId="0" applyNumberFormat="1" applyFont="1" applyBorder="1"/>
    <xf numFmtId="3" fontId="2" fillId="0" borderId="4" xfId="0" applyNumberFormat="1" applyFont="1" applyBorder="1"/>
    <xf numFmtId="1" fontId="2" fillId="0" borderId="1" xfId="0" applyNumberFormat="1" applyFont="1" applyBorder="1"/>
    <xf numFmtId="0" fontId="2" fillId="0" borderId="0" xfId="0" applyFont="1" applyAlignment="1">
      <alignment horizontal="left" indent="1"/>
    </xf>
    <xf numFmtId="3" fontId="2" fillId="0" borderId="1" xfId="0" applyNumberFormat="1" applyFont="1" applyBorder="1"/>
    <xf numFmtId="4" fontId="0" fillId="0" borderId="1" xfId="0" applyNumberFormat="1" applyBorder="1"/>
    <xf numFmtId="0" fontId="0" fillId="0" borderId="1" xfId="0" applyBorder="1"/>
    <xf numFmtId="0" fontId="0" fillId="0" borderId="4" xfId="0" applyBorder="1"/>
    <xf numFmtId="3" fontId="2" fillId="0" borderId="3" xfId="0" applyNumberFormat="1" applyFont="1" applyBorder="1"/>
    <xf numFmtId="0" fontId="0" fillId="0" borderId="0" xfId="0" applyBorder="1"/>
    <xf numFmtId="0" fontId="4" fillId="0" borderId="5" xfId="0" applyFont="1" applyBorder="1"/>
    <xf numFmtId="174" fontId="0" fillId="0" borderId="0" xfId="0" applyNumberFormat="1"/>
    <xf numFmtId="3" fontId="0" fillId="0" borderId="1" xfId="0" applyNumberFormat="1" applyBorder="1"/>
    <xf numFmtId="0" fontId="0" fillId="0" borderId="5" xfId="0" applyBorder="1"/>
    <xf numFmtId="165" fontId="0" fillId="0" borderId="5" xfId="0" applyNumberFormat="1" applyBorder="1"/>
    <xf numFmtId="0" fontId="2" fillId="0" borderId="5" xfId="0" applyFont="1" applyBorder="1"/>
    <xf numFmtId="0" fontId="4" fillId="0" borderId="4" xfId="0" applyFont="1" applyBorder="1"/>
    <xf numFmtId="165" fontId="2" fillId="0" borderId="5" xfId="0" applyNumberFormat="1" applyFont="1" applyBorder="1"/>
    <xf numFmtId="0" fontId="0" fillId="0" borderId="2" xfId="0" applyBorder="1"/>
    <xf numFmtId="3" fontId="2" fillId="0" borderId="2" xfId="0" applyNumberFormat="1" applyFont="1" applyBorder="1"/>
    <xf numFmtId="3" fontId="10" fillId="0" borderId="0" xfId="0" applyNumberFormat="1" applyFont="1"/>
    <xf numFmtId="4" fontId="10" fillId="0" borderId="0" xfId="0" applyNumberFormat="1" applyFont="1"/>
    <xf numFmtId="1" fontId="10" fillId="0" borderId="0" xfId="0" applyNumberFormat="1" applyFont="1"/>
    <xf numFmtId="0" fontId="2" fillId="0" borderId="0" xfId="0" applyFont="1" applyFill="1" applyBorder="1"/>
    <xf numFmtId="0" fontId="2" fillId="0" borderId="3" xfId="0" applyFont="1" applyFill="1" applyBorder="1"/>
    <xf numFmtId="0" fontId="2" fillId="0" borderId="0" xfId="0" applyFont="1" applyBorder="1"/>
    <xf numFmtId="1" fontId="0" fillId="0" borderId="2" xfId="0" applyNumberFormat="1" applyBorder="1"/>
    <xf numFmtId="1" fontId="2" fillId="0" borderId="2" xfId="0" applyNumberFormat="1" applyFont="1" applyBorder="1"/>
    <xf numFmtId="3" fontId="11" fillId="0" borderId="2" xfId="0" applyNumberFormat="1" applyFont="1" applyBorder="1"/>
    <xf numFmtId="2" fontId="10" fillId="0" borderId="0" xfId="0" applyNumberFormat="1" applyFont="1"/>
    <xf numFmtId="164" fontId="10" fillId="0" borderId="0" xfId="0" applyNumberFormat="1" applyFont="1"/>
    <xf numFmtId="164" fontId="2" fillId="0" borderId="2" xfId="0" applyNumberFormat="1" applyFont="1" applyBorder="1"/>
    <xf numFmtId="0" fontId="10" fillId="0" borderId="0" xfId="0" applyFont="1"/>
    <xf numFmtId="0" fontId="0" fillId="3" borderId="8" xfId="0" applyFill="1" applyBorder="1"/>
    <xf numFmtId="14" fontId="12" fillId="3" borderId="9" xfId="0" applyNumberFormat="1" applyFont="1" applyFill="1" applyBorder="1"/>
    <xf numFmtId="9" fontId="0" fillId="3" borderId="9" xfId="0" applyNumberFormat="1" applyFill="1" applyBorder="1"/>
    <xf numFmtId="9" fontId="12" fillId="3" borderId="9" xfId="1" applyFont="1" applyFill="1" applyBorder="1"/>
    <xf numFmtId="9" fontId="0" fillId="3" borderId="9" xfId="1" applyNumberFormat="1" applyFont="1" applyFill="1" applyBorder="1"/>
    <xf numFmtId="164" fontId="12" fillId="3" borderId="9" xfId="0" applyNumberFormat="1" applyFont="1" applyFill="1" applyBorder="1"/>
    <xf numFmtId="205" fontId="12" fillId="3" borderId="9" xfId="0" applyNumberFormat="1" applyFont="1" applyFill="1" applyBorder="1"/>
    <xf numFmtId="0" fontId="0" fillId="3" borderId="10" xfId="0" applyFill="1" applyBorder="1"/>
    <xf numFmtId="205" fontId="0" fillId="3" borderId="11" xfId="0" applyNumberFormat="1" applyFill="1" applyBorder="1"/>
    <xf numFmtId="0" fontId="0" fillId="3" borderId="13" xfId="0" applyFill="1" applyBorder="1"/>
    <xf numFmtId="14" fontId="12" fillId="3" borderId="14" xfId="0" applyNumberFormat="1" applyFont="1" applyFill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89" fontId="12" fillId="3" borderId="9" xfId="1" applyNumberFormat="1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207" fontId="0" fillId="0" borderId="21" xfId="0" applyNumberFormat="1" applyBorder="1"/>
    <xf numFmtId="0" fontId="0" fillId="0" borderId="6" xfId="0" applyBorder="1"/>
    <xf numFmtId="207" fontId="10" fillId="0" borderId="6" xfId="0" applyNumberFormat="1" applyFont="1" applyBorder="1"/>
    <xf numFmtId="0" fontId="0" fillId="0" borderId="7" xfId="0" applyBorder="1"/>
    <xf numFmtId="207" fontId="10" fillId="0" borderId="7" xfId="0" applyNumberFormat="1" applyFont="1" applyBorder="1"/>
    <xf numFmtId="0" fontId="8" fillId="7" borderId="4" xfId="0" applyFont="1" applyFill="1" applyBorder="1"/>
    <xf numFmtId="208" fontId="8" fillId="7" borderId="4" xfId="0" applyNumberFormat="1" applyFont="1" applyFill="1" applyBorder="1"/>
    <xf numFmtId="0" fontId="13" fillId="0" borderId="2" xfId="0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3" fillId="0" borderId="12" xfId="0" applyFont="1" applyBorder="1" applyAlignment="1">
      <alignment horizontal="center" vertical="center"/>
    </xf>
    <xf numFmtId="164" fontId="13" fillId="0" borderId="12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center"/>
    </xf>
    <xf numFmtId="17" fontId="12" fillId="0" borderId="22" xfId="0" applyNumberFormat="1" applyFont="1" applyBorder="1"/>
    <xf numFmtId="164" fontId="12" fillId="0" borderId="22" xfId="0" applyNumberFormat="1" applyFont="1" applyBorder="1"/>
    <xf numFmtId="0" fontId="0" fillId="0" borderId="22" xfId="0" applyBorder="1"/>
    <xf numFmtId="17" fontId="12" fillId="0" borderId="23" xfId="0" applyNumberFormat="1" applyFont="1" applyBorder="1"/>
    <xf numFmtId="164" fontId="12" fillId="0" borderId="23" xfId="0" applyNumberFormat="1" applyFont="1" applyBorder="1"/>
    <xf numFmtId="189" fontId="2" fillId="0" borderId="23" xfId="1" applyNumberFormat="1" applyFont="1" applyBorder="1"/>
    <xf numFmtId="164" fontId="13" fillId="0" borderId="2" xfId="0" applyNumberFormat="1" applyFont="1" applyBorder="1" applyAlignment="1">
      <alignment horizontal="center" vertical="center" wrapText="1"/>
    </xf>
    <xf numFmtId="164" fontId="13" fillId="0" borderId="12" xfId="0" applyNumberFormat="1" applyFont="1" applyBorder="1" applyAlignment="1">
      <alignment horizontal="center" vertical="center" wrapText="1"/>
    </xf>
    <xf numFmtId="0" fontId="0" fillId="7" borderId="0" xfId="0" applyFill="1"/>
    <xf numFmtId="2" fontId="8" fillId="7" borderId="4" xfId="0" applyNumberFormat="1" applyFont="1" applyFill="1" applyBorder="1"/>
    <xf numFmtId="0" fontId="8" fillId="7" borderId="3" xfId="0" applyFont="1" applyFill="1" applyBorder="1"/>
    <xf numFmtId="207" fontId="8" fillId="7" borderId="3" xfId="0" applyNumberFormat="1" applyFont="1" applyFill="1" applyBorder="1"/>
    <xf numFmtId="0" fontId="8" fillId="7" borderId="5" xfId="0" applyFont="1" applyFill="1" applyBorder="1" applyAlignment="1">
      <alignment horizontal="center"/>
    </xf>
    <xf numFmtId="3" fontId="11" fillId="0" borderId="0" xfId="0" applyNumberFormat="1" applyFont="1"/>
    <xf numFmtId="0" fontId="15" fillId="7" borderId="2" xfId="0" applyFont="1" applyFill="1" applyBorder="1"/>
    <xf numFmtId="9" fontId="15" fillId="7" borderId="2" xfId="1" applyFont="1" applyFill="1" applyBorder="1"/>
    <xf numFmtId="0" fontId="15" fillId="7" borderId="1" xfId="0" applyFont="1" applyFill="1" applyBorder="1"/>
    <xf numFmtId="9" fontId="15" fillId="7" borderId="1" xfId="1" applyFont="1" applyFill="1" applyBorder="1"/>
    <xf numFmtId="0" fontId="8" fillId="7" borderId="24" xfId="0" applyFont="1" applyFill="1" applyBorder="1" applyAlignment="1">
      <alignment horizontal="center"/>
    </xf>
    <xf numFmtId="0" fontId="8" fillId="7" borderId="16" xfId="0" applyFont="1" applyFill="1" applyBorder="1" applyAlignment="1">
      <alignment horizontal="center"/>
    </xf>
    <xf numFmtId="0" fontId="0" fillId="7" borderId="25" xfId="0" applyFill="1" applyBorder="1"/>
    <xf numFmtId="0" fontId="8" fillId="7" borderId="28" xfId="0" applyFont="1" applyFill="1" applyBorder="1" applyAlignment="1">
      <alignment horizontal="center" textRotation="90"/>
    </xf>
    <xf numFmtId="0" fontId="8" fillId="7" borderId="31" xfId="0" applyFont="1" applyFill="1" applyBorder="1" applyAlignment="1">
      <alignment horizontal="center" textRotation="90"/>
    </xf>
    <xf numFmtId="1" fontId="0" fillId="0" borderId="0" xfId="0" applyNumberFormat="1" applyBorder="1"/>
    <xf numFmtId="1" fontId="0" fillId="0" borderId="12" xfId="0" applyNumberFormat="1" applyBorder="1"/>
    <xf numFmtId="9" fontId="5" fillId="5" borderId="29" xfId="1" applyNumberFormat="1" applyFont="1" applyFill="1" applyBorder="1"/>
    <xf numFmtId="9" fontId="5" fillId="5" borderId="32" xfId="1" applyNumberFormat="1" applyFont="1" applyFill="1" applyBorder="1"/>
    <xf numFmtId="189" fontId="5" fillId="5" borderId="2" xfId="0" applyNumberFormat="1" applyFont="1" applyFill="1" applyBorder="1"/>
    <xf numFmtId="189" fontId="5" fillId="5" borderId="2" xfId="1" applyNumberFormat="1" applyFont="1" applyFill="1" applyBorder="1"/>
    <xf numFmtId="189" fontId="5" fillId="5" borderId="27" xfId="0" applyNumberFormat="1" applyFont="1" applyFill="1" applyBorder="1"/>
    <xf numFmtId="207" fontId="16" fillId="5" borderId="26" xfId="0" applyNumberFormat="1" applyFont="1" applyFill="1" applyBorder="1"/>
    <xf numFmtId="0" fontId="8" fillId="7" borderId="4" xfId="0" applyFont="1" applyFill="1" applyBorder="1" applyAlignment="1">
      <alignment horizontal="center"/>
    </xf>
    <xf numFmtId="0" fontId="8" fillId="7" borderId="15" xfId="0" applyFont="1" applyFill="1" applyBorder="1" applyAlignment="1">
      <alignment horizontal="center"/>
    </xf>
    <xf numFmtId="0" fontId="2" fillId="7" borderId="1" xfId="0" applyFont="1" applyFill="1" applyBorder="1"/>
    <xf numFmtId="0" fontId="2" fillId="4" borderId="1" xfId="0" applyFont="1" applyFill="1" applyBorder="1"/>
    <xf numFmtId="208" fontId="10" fillId="0" borderId="21" xfId="0" applyNumberFormat="1" applyFont="1" applyBorder="1"/>
    <xf numFmtId="208" fontId="0" fillId="0" borderId="7" xfId="0" applyNumberFormat="1" applyBorder="1"/>
    <xf numFmtId="9" fontId="8" fillId="7" borderId="3" xfId="1" applyFont="1" applyFill="1" applyBorder="1"/>
    <xf numFmtId="0" fontId="8" fillId="7" borderId="1" xfId="0" applyFont="1" applyFill="1" applyBorder="1" applyAlignment="1">
      <alignment horizontal="center"/>
    </xf>
    <xf numFmtId="0" fontId="2" fillId="6" borderId="1" xfId="0" applyFont="1" applyFill="1" applyBorder="1"/>
    <xf numFmtId="2" fontId="2" fillId="6" borderId="1" xfId="1" applyNumberFormat="1" applyFont="1" applyFill="1" applyBorder="1"/>
    <xf numFmtId="9" fontId="0" fillId="0" borderId="0" xfId="1" applyFont="1" applyBorder="1"/>
    <xf numFmtId="9" fontId="0" fillId="0" borderId="0" xfId="0" applyNumberFormat="1" applyBorder="1"/>
    <xf numFmtId="9" fontId="2" fillId="6" borderId="1" xfId="1" applyFont="1" applyFill="1" applyBorder="1"/>
    <xf numFmtId="0" fontId="8" fillId="7" borderId="0" xfId="0" applyFont="1" applyFill="1" applyAlignment="1">
      <alignment horizontal="center"/>
    </xf>
    <xf numFmtId="189" fontId="0" fillId="0" borderId="2" xfId="1" applyNumberFormat="1" applyFont="1" applyBorder="1"/>
    <xf numFmtId="189" fontId="0" fillId="0" borderId="0" xfId="1" applyNumberFormat="1" applyFont="1" applyBorder="1"/>
    <xf numFmtId="2" fontId="0" fillId="0" borderId="0" xfId="0" applyNumberFormat="1" applyBorder="1"/>
    <xf numFmtId="9" fontId="2" fillId="6" borderId="1" xfId="0" applyNumberFormat="1" applyFont="1" applyFill="1" applyBorder="1"/>
    <xf numFmtId="9" fontId="8" fillId="7" borderId="4" xfId="1" applyFont="1" applyFill="1" applyBorder="1"/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4" fontId="12" fillId="0" borderId="0" xfId="0" applyNumberFormat="1" applyFont="1"/>
    <xf numFmtId="0" fontId="12" fillId="0" borderId="0" xfId="0" applyFont="1"/>
    <xf numFmtId="3" fontId="12" fillId="0" borderId="0" xfId="0" applyNumberFormat="1" applyFont="1"/>
    <xf numFmtId="4" fontId="4" fillId="0" borderId="4" xfId="0" applyNumberFormat="1" applyFont="1" applyBorder="1"/>
    <xf numFmtId="0" fontId="17" fillId="5" borderId="0" xfId="0" applyFont="1" applyFill="1"/>
    <xf numFmtId="9" fontId="17" fillId="5" borderId="0" xfId="1" applyFont="1" applyFill="1"/>
    <xf numFmtId="9" fontId="17" fillId="8" borderId="0" xfId="0" applyNumberFormat="1" applyFont="1" applyFill="1"/>
    <xf numFmtId="0" fontId="9" fillId="8" borderId="0" xfId="0" applyFont="1" applyFill="1"/>
    <xf numFmtId="9" fontId="9" fillId="8" borderId="0" xfId="1" applyFont="1" applyFill="1"/>
    <xf numFmtId="9" fontId="9" fillId="8" borderId="0" xfId="0" applyNumberFormat="1" applyFont="1" applyFill="1"/>
    <xf numFmtId="0" fontId="4" fillId="2" borderId="0" xfId="0" applyFont="1" applyFill="1"/>
    <xf numFmtId="9" fontId="4" fillId="2" borderId="0" xfId="1" applyFont="1" applyFill="1"/>
    <xf numFmtId="9" fontId="4" fillId="2" borderId="0" xfId="0" applyNumberFormat="1" applyFont="1" applyFill="1"/>
    <xf numFmtId="3" fontId="11" fillId="0" borderId="1" xfId="0" applyNumberFormat="1" applyFont="1" applyBorder="1"/>
    <xf numFmtId="4" fontId="11" fillId="0" borderId="1" xfId="0" applyNumberFormat="1" applyFont="1" applyBorder="1"/>
    <xf numFmtId="4" fontId="2" fillId="0" borderId="1" xfId="0" applyNumberFormat="1" applyFont="1" applyBorder="1"/>
    <xf numFmtId="164" fontId="2" fillId="0" borderId="1" xfId="0" applyNumberFormat="1" applyFont="1" applyBorder="1"/>
    <xf numFmtId="0" fontId="2" fillId="0" borderId="2" xfId="0" applyFont="1" applyBorder="1" applyAlignment="1">
      <alignment horizontal="left"/>
    </xf>
    <xf numFmtId="3" fontId="10" fillId="0" borderId="2" xfId="0" applyNumberFormat="1" applyFont="1" applyBorder="1"/>
    <xf numFmtId="0" fontId="2" fillId="0" borderId="0" xfId="0" applyFont="1" applyBorder="1" applyAlignment="1">
      <alignment horizontal="left"/>
    </xf>
    <xf numFmtId="3" fontId="10" fillId="0" borderId="0" xfId="0" applyNumberFormat="1" applyFont="1" applyBorder="1"/>
    <xf numFmtId="0" fontId="2" fillId="0" borderId="12" xfId="0" applyFont="1" applyBorder="1" applyAlignment="1">
      <alignment horizontal="left"/>
    </xf>
    <xf numFmtId="3" fontId="10" fillId="0" borderId="12" xfId="0" applyNumberFormat="1" applyFont="1" applyBorder="1"/>
    <xf numFmtId="0" fontId="4" fillId="5" borderId="2" xfId="0" applyFont="1" applyFill="1" applyBorder="1"/>
    <xf numFmtId="1" fontId="4" fillId="5" borderId="2" xfId="0" applyNumberFormat="1" applyFont="1" applyFill="1" applyBorder="1"/>
    <xf numFmtId="1" fontId="4" fillId="8" borderId="2" xfId="0" applyNumberFormat="1" applyFont="1" applyFill="1" applyBorder="1"/>
    <xf numFmtId="0" fontId="4" fillId="5" borderId="0" xfId="0" applyFont="1" applyFill="1" applyBorder="1"/>
    <xf numFmtId="1" fontId="4" fillId="5" borderId="0" xfId="0" applyNumberFormat="1" applyFont="1" applyFill="1" applyBorder="1"/>
    <xf numFmtId="1" fontId="4" fillId="8" borderId="0" xfId="0" applyNumberFormat="1" applyFont="1" applyFill="1" applyBorder="1"/>
    <xf numFmtId="0" fontId="4" fillId="5" borderId="12" xfId="0" applyFont="1" applyFill="1" applyBorder="1"/>
    <xf numFmtId="1" fontId="4" fillId="5" borderId="12" xfId="0" applyNumberFormat="1" applyFont="1" applyFill="1" applyBorder="1"/>
    <xf numFmtId="1" fontId="4" fillId="8" borderId="12" xfId="0" applyNumberFormat="1" applyFont="1" applyFill="1" applyBorder="1"/>
    <xf numFmtId="0" fontId="9" fillId="0" borderId="4" xfId="0" applyFont="1" applyBorder="1"/>
    <xf numFmtId="1" fontId="4" fillId="0" borderId="0" xfId="0" applyNumberFormat="1" applyFont="1" applyBorder="1"/>
    <xf numFmtId="1" fontId="4" fillId="0" borderId="30" xfId="0" applyNumberFormat="1" applyFont="1" applyBorder="1"/>
    <xf numFmtId="1" fontId="4" fillId="0" borderId="12" xfId="0" applyNumberFormat="1" applyFont="1" applyBorder="1"/>
    <xf numFmtId="1" fontId="4" fillId="0" borderId="2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561975</xdr:colOff>
      <xdr:row>6</xdr:row>
      <xdr:rowOff>171451</xdr:rowOff>
    </xdr:from>
    <xdr:to>
      <xdr:col>9</xdr:col>
      <xdr:colOff>19050</xdr:colOff>
      <xdr:row>20</xdr:row>
      <xdr:rowOff>57150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1325" y="1314451"/>
          <a:ext cx="3114675" cy="260032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0</xdr:row>
      <xdr:rowOff>1</xdr:rowOff>
    </xdr:from>
    <xdr:to>
      <xdr:col>7</xdr:col>
      <xdr:colOff>152401</xdr:colOff>
      <xdr:row>5</xdr:row>
      <xdr:rowOff>1</xdr:rowOff>
    </xdr:to>
    <xdr:pic>
      <xdr:nvPicPr>
        <xdr:cNvPr id="3" name="Picture 2" descr="CNB Business : Aurobindo Pharma USA Announces Planned Expansion in ...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1" y="1"/>
          <a:ext cx="47815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4781550</xdr:colOff>
      <xdr:row>5</xdr:row>
      <xdr:rowOff>28575</xdr:rowOff>
    </xdr:to>
    <xdr:pic>
      <xdr:nvPicPr>
        <xdr:cNvPr id="2" name="Picture 1" descr="CNB Business : Aurobindo Pharma USA Announces Planned Expansion in 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8575"/>
          <a:ext cx="47815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4781550</xdr:colOff>
      <xdr:row>5</xdr:row>
      <xdr:rowOff>0</xdr:rowOff>
    </xdr:to>
    <xdr:pic>
      <xdr:nvPicPr>
        <xdr:cNvPr id="2" name="Picture 1" descr="CNB Business : Aurobindo Pharma USA Announces Planned Expansion in 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0"/>
          <a:ext cx="47815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733425</xdr:colOff>
      <xdr:row>5</xdr:row>
      <xdr:rowOff>0</xdr:rowOff>
    </xdr:to>
    <xdr:pic>
      <xdr:nvPicPr>
        <xdr:cNvPr id="2" name="Picture 1" descr="CNB Business : Aurobindo Pharma USA Announces Planned Expansion in 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0"/>
          <a:ext cx="47815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</xdr:rowOff>
    </xdr:from>
    <xdr:to>
      <xdr:col>5</xdr:col>
      <xdr:colOff>285750</xdr:colOff>
      <xdr:row>5</xdr:row>
      <xdr:rowOff>9525</xdr:rowOff>
    </xdr:to>
    <xdr:pic>
      <xdr:nvPicPr>
        <xdr:cNvPr id="2" name="Picture 1" descr="CNB Business : Aurobindo Pharma USA Announces Planned Expansion in 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"/>
          <a:ext cx="47815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190500</xdr:colOff>
      <xdr:row>5</xdr:row>
      <xdr:rowOff>0</xdr:rowOff>
    </xdr:to>
    <xdr:pic>
      <xdr:nvPicPr>
        <xdr:cNvPr id="2" name="Picture 1" descr="CNB Business : Aurobindo Pharma USA Announces Planned Expansion in 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0"/>
          <a:ext cx="47815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590550</xdr:colOff>
      <xdr:row>5</xdr:row>
      <xdr:rowOff>0</xdr:rowOff>
    </xdr:to>
    <xdr:pic>
      <xdr:nvPicPr>
        <xdr:cNvPr id="2" name="Picture 1" descr="CNB Business : Aurobindo Pharma USA Announces Planned Expansion in 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0"/>
          <a:ext cx="47815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7</xdr:col>
      <xdr:colOff>66675</xdr:colOff>
      <xdr:row>5</xdr:row>
      <xdr:rowOff>0</xdr:rowOff>
    </xdr:to>
    <xdr:pic>
      <xdr:nvPicPr>
        <xdr:cNvPr id="2" name="Picture 1" descr="CNB Business : Aurobindo Pharma USA Announces Planned Expansion in 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0"/>
          <a:ext cx="47815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</xdr:rowOff>
    </xdr:from>
    <xdr:to>
      <xdr:col>6</xdr:col>
      <xdr:colOff>495300</xdr:colOff>
      <xdr:row>5</xdr:row>
      <xdr:rowOff>9525</xdr:rowOff>
    </xdr:to>
    <xdr:pic>
      <xdr:nvPicPr>
        <xdr:cNvPr id="2" name="Picture 1" descr="CNB Business : Aurobindo Pharma USA Announces Planned Expansion in 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"/>
          <a:ext cx="47815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38100</xdr:colOff>
      <xdr:row>5</xdr:row>
      <xdr:rowOff>0</xdr:rowOff>
    </xdr:to>
    <xdr:pic>
      <xdr:nvPicPr>
        <xdr:cNvPr id="2" name="Picture 1" descr="CNB Business : Aurobindo Pharma USA Announces Planned Expansion in 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0"/>
          <a:ext cx="47815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8</xdr:col>
      <xdr:colOff>9525</xdr:colOff>
      <xdr:row>5</xdr:row>
      <xdr:rowOff>0</xdr:rowOff>
    </xdr:to>
    <xdr:pic>
      <xdr:nvPicPr>
        <xdr:cNvPr id="2" name="Picture 1" descr="CNB Business : Aurobindo Pharma USA Announces Planned Expansion in 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0"/>
          <a:ext cx="47815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8</xdr:col>
      <xdr:colOff>514350</xdr:colOff>
      <xdr:row>5</xdr:row>
      <xdr:rowOff>0</xdr:rowOff>
    </xdr:to>
    <xdr:pic>
      <xdr:nvPicPr>
        <xdr:cNvPr id="2" name="Picture 1" descr="CNB Business : Aurobindo Pharma USA Announces Planned Expansion in 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0"/>
          <a:ext cx="47815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7</xdr:col>
      <xdr:colOff>161925</xdr:colOff>
      <xdr:row>5</xdr:row>
      <xdr:rowOff>0</xdr:rowOff>
    </xdr:to>
    <xdr:pic>
      <xdr:nvPicPr>
        <xdr:cNvPr id="2" name="Picture 1" descr="CNB Business : Aurobindo Pharma USA Announces Planned Expansion in 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0"/>
          <a:ext cx="47815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</xdr:rowOff>
    </xdr:from>
    <xdr:to>
      <xdr:col>6</xdr:col>
      <xdr:colOff>133350</xdr:colOff>
      <xdr:row>5</xdr:row>
      <xdr:rowOff>9525</xdr:rowOff>
    </xdr:to>
    <xdr:pic>
      <xdr:nvPicPr>
        <xdr:cNvPr id="2" name="Picture 1" descr="CNB Business : Aurobindo Pharma USA Announces Planned Expansion in 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"/>
          <a:ext cx="47815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20"/>
  <sheetViews>
    <sheetView showGridLines="0" workbookViewId="0">
      <selection activeCell="M16" sqref="M16"/>
    </sheetView>
  </sheetViews>
  <sheetFormatPr defaultRowHeight="15" x14ac:dyDescent="0.25"/>
  <cols>
    <col min="1" max="1" width="3.42578125" customWidth="1"/>
    <col min="2" max="2" width="22.42578125" bestFit="1" customWidth="1"/>
    <col min="3" max="3" width="10.42578125" bestFit="1" customWidth="1"/>
  </cols>
  <sheetData>
    <row r="6" spans="2:9" x14ac:dyDescent="0.25">
      <c r="B6" s="101"/>
      <c r="C6" s="101"/>
      <c r="D6" s="101"/>
      <c r="E6" s="101"/>
      <c r="F6" s="101"/>
      <c r="G6" s="101"/>
      <c r="H6" s="101"/>
      <c r="I6" s="101"/>
    </row>
    <row r="7" spans="2:9" ht="15.75" thickBot="1" x14ac:dyDescent="0.3"/>
    <row r="8" spans="2:9" ht="15.75" thickBot="1" x14ac:dyDescent="0.3">
      <c r="B8" s="143" t="s">
        <v>153</v>
      </c>
      <c r="C8" s="144"/>
    </row>
    <row r="9" spans="2:9" ht="15.75" thickBot="1" x14ac:dyDescent="0.3">
      <c r="B9" s="77" t="s">
        <v>151</v>
      </c>
      <c r="C9" s="78">
        <f>IF(B9="Base",2,IF(B9="Best",1,3))</f>
        <v>2</v>
      </c>
    </row>
    <row r="10" spans="2:9" ht="15.75" thickBot="1" x14ac:dyDescent="0.3"/>
    <row r="11" spans="2:9" x14ac:dyDescent="0.25">
      <c r="B11" s="74" t="s">
        <v>241</v>
      </c>
      <c r="C11" s="75"/>
    </row>
    <row r="12" spans="2:9" x14ac:dyDescent="0.25">
      <c r="B12" s="72" t="s">
        <v>234</v>
      </c>
      <c r="C12" s="73">
        <v>45879</v>
      </c>
    </row>
    <row r="13" spans="2:9" x14ac:dyDescent="0.25">
      <c r="B13" s="63" t="s">
        <v>235</v>
      </c>
      <c r="C13" s="64">
        <v>46112</v>
      </c>
    </row>
    <row r="14" spans="2:9" x14ac:dyDescent="0.25">
      <c r="B14" s="63" t="s">
        <v>236</v>
      </c>
      <c r="C14" s="76">
        <v>6.3700000000000007E-2</v>
      </c>
    </row>
    <row r="15" spans="2:9" x14ac:dyDescent="0.25">
      <c r="B15" s="63" t="s">
        <v>237</v>
      </c>
      <c r="C15" s="65">
        <f>'Cost Build_Up'!H38</f>
        <v>0.25354553790417367</v>
      </c>
    </row>
    <row r="16" spans="2:9" x14ac:dyDescent="0.25">
      <c r="B16" s="63" t="s">
        <v>238</v>
      </c>
      <c r="C16" s="66">
        <v>0.05</v>
      </c>
    </row>
    <row r="17" spans="2:3" x14ac:dyDescent="0.25">
      <c r="B17" s="63" t="s">
        <v>239</v>
      </c>
      <c r="C17" s="67">
        <f>WACC!C25</f>
        <v>0.10338767500543092</v>
      </c>
    </row>
    <row r="18" spans="2:3" x14ac:dyDescent="0.25">
      <c r="B18" s="63" t="s">
        <v>242</v>
      </c>
      <c r="C18" s="68">
        <v>580.79999999999995</v>
      </c>
    </row>
    <row r="19" spans="2:3" x14ac:dyDescent="0.25">
      <c r="B19" s="63" t="s">
        <v>240</v>
      </c>
      <c r="C19" s="69">
        <v>1042</v>
      </c>
    </row>
    <row r="20" spans="2:3" ht="15.75" thickBot="1" x14ac:dyDescent="0.3">
      <c r="B20" s="70" t="s">
        <v>243</v>
      </c>
      <c r="C20" s="71">
        <f>C19*C18</f>
        <v>605193.6</v>
      </c>
    </row>
  </sheetData>
  <mergeCells count="2">
    <mergeCell ref="B11:C11"/>
    <mergeCell ref="B8:C8"/>
  </mergeCells>
  <dataValidations count="2">
    <dataValidation type="list" allowBlank="1" showInputMessage="1" showErrorMessage="1" sqref="B9">
      <formula1>"Best, Base, worst"</formula1>
    </dataValidation>
    <dataValidation type="list" allowBlank="1" showInputMessage="1" showErrorMessage="1" sqref="C16">
      <formula1>"4%,5%,6%"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G29"/>
  <sheetViews>
    <sheetView showGridLines="0" workbookViewId="0">
      <selection activeCell="B1" sqref="B1"/>
    </sheetView>
  </sheetViews>
  <sheetFormatPr defaultRowHeight="15" x14ac:dyDescent="0.25"/>
  <cols>
    <col min="1" max="1" width="1.85546875" customWidth="1"/>
    <col min="2" max="2" width="89.28515625" customWidth="1"/>
    <col min="3" max="3" width="12.5703125" customWidth="1"/>
    <col min="4" max="7" width="11.42578125" bestFit="1" customWidth="1"/>
  </cols>
  <sheetData>
    <row r="6" spans="2:7" x14ac:dyDescent="0.25">
      <c r="B6" s="131" t="s">
        <v>274</v>
      </c>
      <c r="C6" s="131"/>
      <c r="D6" s="131"/>
      <c r="E6" s="131"/>
      <c r="F6" s="131"/>
      <c r="G6" s="131"/>
    </row>
    <row r="8" spans="2:7" x14ac:dyDescent="0.25">
      <c r="B8" s="126" t="s">
        <v>0</v>
      </c>
      <c r="C8" s="126">
        <v>2020</v>
      </c>
      <c r="D8" s="126">
        <f>C8+1</f>
        <v>2021</v>
      </c>
      <c r="E8" s="126">
        <f t="shared" ref="E8:G8" si="0">D8+1</f>
        <v>2022</v>
      </c>
      <c r="F8" s="126">
        <f t="shared" si="0"/>
        <v>2023</v>
      </c>
      <c r="G8" s="126">
        <f t="shared" si="0"/>
        <v>2024</v>
      </c>
    </row>
    <row r="9" spans="2:7" x14ac:dyDescent="0.25">
      <c r="B9" s="1" t="s">
        <v>1</v>
      </c>
    </row>
    <row r="10" spans="2:7" x14ac:dyDescent="0.25">
      <c r="B10" t="s">
        <v>2</v>
      </c>
      <c r="C10" s="145">
        <v>230985.1</v>
      </c>
      <c r="D10" s="145">
        <v>247746.2</v>
      </c>
      <c r="E10" s="145">
        <v>234554.9</v>
      </c>
      <c r="F10" s="145">
        <v>248553.8</v>
      </c>
      <c r="G10" s="145">
        <v>290018.7</v>
      </c>
    </row>
    <row r="11" spans="2:7" x14ac:dyDescent="0.25">
      <c r="B11" t="s">
        <v>3</v>
      </c>
      <c r="C11" s="145">
        <v>1918.7</v>
      </c>
      <c r="D11" s="145">
        <v>3808.5</v>
      </c>
      <c r="E11" s="145">
        <v>3203.5</v>
      </c>
      <c r="F11" s="145">
        <v>2905.9</v>
      </c>
      <c r="G11" s="145">
        <v>5573.8</v>
      </c>
    </row>
    <row r="12" spans="2:7" x14ac:dyDescent="0.25">
      <c r="B12" s="6" t="s">
        <v>4</v>
      </c>
      <c r="C12" s="7">
        <f t="shared" ref="C12:E12" si="1">SUM(C10:C11)</f>
        <v>232903.80000000002</v>
      </c>
      <c r="D12" s="7">
        <f t="shared" si="1"/>
        <v>251554.7</v>
      </c>
      <c r="E12" s="7">
        <f t="shared" si="1"/>
        <v>237758.4</v>
      </c>
      <c r="F12" s="7">
        <f>SUM(F10:F11)</f>
        <v>251459.69999999998</v>
      </c>
      <c r="G12" s="7">
        <f t="shared" ref="G12" si="2">SUM(G10:G11)</f>
        <v>295592.5</v>
      </c>
    </row>
    <row r="13" spans="2:7" x14ac:dyDescent="0.25">
      <c r="B13" s="1" t="s">
        <v>5</v>
      </c>
    </row>
    <row r="14" spans="2:7" x14ac:dyDescent="0.25">
      <c r="B14" t="s">
        <v>6</v>
      </c>
      <c r="C14" s="145">
        <v>77249.8</v>
      </c>
      <c r="D14" s="145">
        <v>83172.600000000006</v>
      </c>
      <c r="E14" s="145">
        <v>73718.3</v>
      </c>
      <c r="F14" s="145">
        <v>96525.1</v>
      </c>
      <c r="G14" s="145">
        <v>107761.4</v>
      </c>
    </row>
    <row r="15" spans="2:7" x14ac:dyDescent="0.25">
      <c r="B15" t="s">
        <v>7</v>
      </c>
      <c r="C15" s="145">
        <v>21121.1</v>
      </c>
      <c r="D15" s="145">
        <v>23154.2</v>
      </c>
      <c r="E15" s="145">
        <v>19517.7</v>
      </c>
      <c r="F15" s="145">
        <v>20504.3</v>
      </c>
      <c r="G15" s="145">
        <v>27729.3</v>
      </c>
    </row>
    <row r="16" spans="2:7" x14ac:dyDescent="0.25">
      <c r="B16" t="s">
        <v>8</v>
      </c>
      <c r="C16" s="145">
        <v>-1018.6</v>
      </c>
      <c r="D16" s="145">
        <v>-7302.1</v>
      </c>
      <c r="E16" s="145">
        <v>8166.8</v>
      </c>
      <c r="F16" s="145">
        <v>-4096.8</v>
      </c>
      <c r="G16" s="145">
        <v>-9461.7000000000007</v>
      </c>
    </row>
    <row r="17" spans="2:7" x14ac:dyDescent="0.25">
      <c r="B17" t="s">
        <v>9</v>
      </c>
      <c r="C17" s="145">
        <v>32191.8</v>
      </c>
      <c r="D17" s="145">
        <v>35350.199999999997</v>
      </c>
      <c r="E17" s="145">
        <v>34509.199999999997</v>
      </c>
      <c r="F17" s="145">
        <v>35222.5</v>
      </c>
      <c r="G17" s="145">
        <v>39229.4</v>
      </c>
    </row>
    <row r="18" spans="2:7" x14ac:dyDescent="0.25">
      <c r="B18" t="s">
        <v>10</v>
      </c>
      <c r="C18" s="145">
        <v>3051.3</v>
      </c>
      <c r="D18" s="146">
        <v>744.9</v>
      </c>
      <c r="E18" s="146">
        <v>486.4</v>
      </c>
      <c r="F18" s="145">
        <v>1404.8</v>
      </c>
      <c r="G18" s="145">
        <v>2897.1</v>
      </c>
    </row>
    <row r="19" spans="2:7" x14ac:dyDescent="0.25">
      <c r="B19" t="s">
        <v>11</v>
      </c>
      <c r="C19" s="145">
        <v>9667.1</v>
      </c>
      <c r="D19" s="145">
        <v>10553.9</v>
      </c>
      <c r="E19" s="145">
        <v>11265.2</v>
      </c>
      <c r="F19" s="145">
        <v>12445.8</v>
      </c>
      <c r="G19" s="145">
        <v>15216.6</v>
      </c>
    </row>
    <row r="20" spans="2:7" x14ac:dyDescent="0.25">
      <c r="B20" t="s">
        <v>12</v>
      </c>
      <c r="C20" s="145">
        <v>52797.9</v>
      </c>
      <c r="D20" s="145">
        <v>60037.3</v>
      </c>
      <c r="E20" s="145">
        <v>54775.199999999997</v>
      </c>
      <c r="F20" s="145">
        <v>63212.3</v>
      </c>
      <c r="G20" s="145">
        <v>66330.3</v>
      </c>
    </row>
    <row r="21" spans="2:7" x14ac:dyDescent="0.25">
      <c r="B21" s="6" t="s">
        <v>13</v>
      </c>
      <c r="C21" s="7">
        <f t="shared" ref="C21:F21" si="3">-SUM(C14:C20)</f>
        <v>-195060.4</v>
      </c>
      <c r="D21" s="7">
        <f t="shared" si="3"/>
        <v>-205711</v>
      </c>
      <c r="E21" s="7">
        <f t="shared" si="3"/>
        <v>-202438.8</v>
      </c>
      <c r="F21" s="7">
        <f t="shared" si="3"/>
        <v>-225218</v>
      </c>
      <c r="G21" s="7">
        <f>-SUM(G14:G20)</f>
        <v>-249702.40000000002</v>
      </c>
    </row>
    <row r="23" spans="2:7" x14ac:dyDescent="0.25">
      <c r="B23" s="6" t="s">
        <v>14</v>
      </c>
      <c r="C23" s="7">
        <f>SUM(C12,C21)</f>
        <v>37843.400000000023</v>
      </c>
      <c r="D23" s="7">
        <f t="shared" ref="D23:G23" si="4">SUM(D12,D21)</f>
        <v>45843.700000000012</v>
      </c>
      <c r="E23" s="7">
        <f t="shared" si="4"/>
        <v>35319.600000000006</v>
      </c>
      <c r="F23" s="7">
        <f t="shared" si="4"/>
        <v>26241.699999999983</v>
      </c>
      <c r="G23" s="7">
        <f t="shared" si="4"/>
        <v>45890.099999999977</v>
      </c>
    </row>
    <row r="24" spans="2:7" x14ac:dyDescent="0.25">
      <c r="B24" t="s">
        <v>15</v>
      </c>
      <c r="C24" s="146">
        <v>-151.69999999999999</v>
      </c>
      <c r="D24" s="146">
        <v>-553.6</v>
      </c>
      <c r="E24" s="146">
        <v>-312.5</v>
      </c>
      <c r="F24" s="146">
        <v>-116.7</v>
      </c>
      <c r="G24" s="146">
        <v>-171.6</v>
      </c>
    </row>
    <row r="25" spans="2:7" x14ac:dyDescent="0.25">
      <c r="B25" s="6" t="s">
        <v>16</v>
      </c>
      <c r="C25" s="7">
        <f>SUM(C23:C24)</f>
        <v>37691.700000000026</v>
      </c>
      <c r="D25" s="7">
        <f t="shared" ref="D25:G25" si="5">SUM(D23:D24)</f>
        <v>45290.100000000013</v>
      </c>
      <c r="E25" s="7">
        <f t="shared" si="5"/>
        <v>35007.100000000006</v>
      </c>
      <c r="F25" s="7">
        <f t="shared" si="5"/>
        <v>26124.999999999982</v>
      </c>
      <c r="G25" s="7">
        <f t="shared" si="5"/>
        <v>45718.499999999978</v>
      </c>
    </row>
    <row r="26" spans="2:7" x14ac:dyDescent="0.25">
      <c r="B26" t="s">
        <v>17</v>
      </c>
      <c r="C26" s="146">
        <v>261.3</v>
      </c>
      <c r="D26" s="145">
        <v>-28145.8</v>
      </c>
      <c r="E26" s="145">
        <v>1279.7</v>
      </c>
      <c r="F26" s="146"/>
      <c r="G26" s="145">
        <v>1918.6</v>
      </c>
    </row>
    <row r="27" spans="2:7" x14ac:dyDescent="0.25">
      <c r="B27" s="6" t="s">
        <v>19</v>
      </c>
      <c r="C27" s="7">
        <f>C25-C26</f>
        <v>37430.400000000023</v>
      </c>
      <c r="D27" s="7">
        <f t="shared" ref="D27:G27" si="6">D25-D26</f>
        <v>73435.900000000009</v>
      </c>
      <c r="E27" s="7">
        <f t="shared" si="6"/>
        <v>33727.400000000009</v>
      </c>
      <c r="F27" s="7">
        <f t="shared" si="6"/>
        <v>26124.999999999982</v>
      </c>
      <c r="G27" s="7">
        <f t="shared" si="6"/>
        <v>43799.89999999998</v>
      </c>
    </row>
    <row r="28" spans="2:7" x14ac:dyDescent="0.25">
      <c r="B28" t="s">
        <v>18</v>
      </c>
      <c r="C28" s="145">
        <v>-8993.5</v>
      </c>
      <c r="D28" s="145">
        <v>-20097.7</v>
      </c>
      <c r="E28" s="145">
        <v>-7256.3</v>
      </c>
      <c r="F28" s="145">
        <v>-6848.5</v>
      </c>
      <c r="G28" s="145">
        <v>-12110.2</v>
      </c>
    </row>
    <row r="29" spans="2:7" ht="15.75" thickBot="1" x14ac:dyDescent="0.3">
      <c r="B29" s="8" t="s">
        <v>20</v>
      </c>
      <c r="C29" s="9">
        <f>SUM(C27:C28)</f>
        <v>28436.900000000023</v>
      </c>
      <c r="D29" s="9">
        <f t="shared" ref="D29:G29" si="7">SUM(D27:D28)</f>
        <v>53338.200000000012</v>
      </c>
      <c r="E29" s="9">
        <f t="shared" si="7"/>
        <v>26471.100000000009</v>
      </c>
      <c r="F29" s="9">
        <f t="shared" si="7"/>
        <v>19276.499999999982</v>
      </c>
      <c r="G29" s="9">
        <f t="shared" si="7"/>
        <v>31689.699999999979</v>
      </c>
    </row>
  </sheetData>
  <mergeCells count="1">
    <mergeCell ref="B6:G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T81"/>
  <sheetViews>
    <sheetView showGridLines="0" workbookViewId="0">
      <selection activeCell="B7" sqref="B7"/>
    </sheetView>
  </sheetViews>
  <sheetFormatPr defaultRowHeight="15" x14ac:dyDescent="0.25"/>
  <cols>
    <col min="1" max="1" width="1.85546875" customWidth="1"/>
    <col min="2" max="2" width="82.85546875" bestFit="1" customWidth="1"/>
    <col min="3" max="3" width="11.28515625" customWidth="1"/>
    <col min="4" max="4" width="11.85546875" customWidth="1"/>
    <col min="5" max="5" width="11.28515625" customWidth="1"/>
    <col min="6" max="6" width="12.28515625" customWidth="1"/>
    <col min="7" max="7" width="14.5703125" customWidth="1"/>
    <col min="8" max="8" width="10.7109375" customWidth="1"/>
    <col min="9" max="15" width="10.7109375" bestFit="1" customWidth="1"/>
    <col min="16" max="17" width="11.7109375" bestFit="1" customWidth="1"/>
  </cols>
  <sheetData>
    <row r="6" spans="2:20" x14ac:dyDescent="0.25">
      <c r="B6" s="131" t="s">
        <v>273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8" spans="2:20" x14ac:dyDescent="0.25">
      <c r="B8" s="126" t="s">
        <v>0</v>
      </c>
      <c r="C8" s="126">
        <v>2020</v>
      </c>
      <c r="D8" s="126">
        <f>C8+1</f>
        <v>2021</v>
      </c>
      <c r="E8" s="126">
        <f t="shared" ref="E8:Q8" si="0">D8+1</f>
        <v>2022</v>
      </c>
      <c r="F8" s="126">
        <f t="shared" si="0"/>
        <v>2023</v>
      </c>
      <c r="G8" s="126">
        <f t="shared" si="0"/>
        <v>2024</v>
      </c>
      <c r="H8" s="127">
        <f t="shared" si="0"/>
        <v>2025</v>
      </c>
      <c r="I8" s="127">
        <f t="shared" si="0"/>
        <v>2026</v>
      </c>
      <c r="J8" s="127">
        <f t="shared" si="0"/>
        <v>2027</v>
      </c>
      <c r="K8" s="127">
        <f t="shared" si="0"/>
        <v>2028</v>
      </c>
      <c r="L8" s="127">
        <f t="shared" si="0"/>
        <v>2029</v>
      </c>
      <c r="M8" s="127">
        <f t="shared" si="0"/>
        <v>2030</v>
      </c>
      <c r="N8" s="127">
        <f t="shared" si="0"/>
        <v>2031</v>
      </c>
      <c r="O8" s="127">
        <f t="shared" si="0"/>
        <v>2032</v>
      </c>
      <c r="P8" s="127">
        <f t="shared" si="0"/>
        <v>2033</v>
      </c>
      <c r="Q8" s="127">
        <f t="shared" si="0"/>
        <v>2034</v>
      </c>
      <c r="R8" s="53"/>
      <c r="S8" s="53"/>
      <c r="T8" s="53"/>
    </row>
    <row r="9" spans="2:20" x14ac:dyDescent="0.25">
      <c r="B9" s="1" t="s">
        <v>21</v>
      </c>
    </row>
    <row r="10" spans="2:20" x14ac:dyDescent="0.25">
      <c r="B10" s="1" t="s">
        <v>22</v>
      </c>
    </row>
    <row r="11" spans="2:20" x14ac:dyDescent="0.25">
      <c r="B11" s="10" t="s">
        <v>23</v>
      </c>
      <c r="C11" s="145">
        <v>64948.1</v>
      </c>
      <c r="D11" s="145">
        <v>64731.7</v>
      </c>
      <c r="E11" s="145">
        <v>72204.3</v>
      </c>
      <c r="F11" s="145">
        <v>75433.7</v>
      </c>
      <c r="G11" s="145">
        <v>112608.3</v>
      </c>
      <c r="H11" s="60">
        <f>FAS!H27</f>
        <v>118858.1313080493</v>
      </c>
      <c r="I11" s="60">
        <f>FAS!I27</f>
        <v>125349.43542244437</v>
      </c>
      <c r="J11" s="60">
        <f>FAS!J27</f>
        <v>132102.42859142611</v>
      </c>
      <c r="K11" s="60">
        <f>FAS!K27</f>
        <v>139137.40429042751</v>
      </c>
      <c r="L11" s="60">
        <f>FAS!L27</f>
        <v>146474.84412301696</v>
      </c>
      <c r="M11" s="60">
        <f>FAS!M27</f>
        <v>154135.52199433756</v>
      </c>
      <c r="N11" s="60">
        <f>FAS!N27</f>
        <v>162140.60262776806</v>
      </c>
      <c r="O11" s="60">
        <f>FAS!O27</f>
        <v>170511.73538773775</v>
      </c>
      <c r="P11" s="60">
        <f>FAS!P27</f>
        <v>179271.14427694032</v>
      </c>
      <c r="Q11" s="60">
        <f>FAS!Q27</f>
        <v>188441.71489314831</v>
      </c>
    </row>
    <row r="12" spans="2:20" x14ac:dyDescent="0.25">
      <c r="B12" s="10" t="s">
        <v>24</v>
      </c>
      <c r="C12" s="145">
        <v>16218</v>
      </c>
      <c r="D12" s="145">
        <v>24288.9</v>
      </c>
      <c r="E12" s="145">
        <v>29375.599999999999</v>
      </c>
      <c r="F12" s="145">
        <v>44964</v>
      </c>
      <c r="G12" s="145">
        <v>27393.9</v>
      </c>
      <c r="H12" s="60">
        <f>FAS!H97</f>
        <v>30187.875</v>
      </c>
      <c r="I12" s="60">
        <f>FAS!I97</f>
        <v>33261.247499999998</v>
      </c>
      <c r="J12" s="60">
        <f>FAS!J97</f>
        <v>36641.957249999999</v>
      </c>
      <c r="K12" s="60">
        <f>FAS!K97</f>
        <v>40360.737975000004</v>
      </c>
      <c r="L12" s="60">
        <f>FAS!L97</f>
        <v>44451.396772500004</v>
      </c>
      <c r="M12" s="60">
        <f>FAS!M97</f>
        <v>48951.121449750004</v>
      </c>
      <c r="N12" s="60">
        <f>FAS!N97</f>
        <v>53900.818594725009</v>
      </c>
      <c r="O12" s="60">
        <f>FAS!O97</f>
        <v>59345.485454197515</v>
      </c>
      <c r="P12" s="60">
        <f>FAS!P97</f>
        <v>65334.618999617269</v>
      </c>
      <c r="Q12" s="60">
        <f>FAS!Q97</f>
        <v>71922.665899579006</v>
      </c>
    </row>
    <row r="13" spans="2:20" x14ac:dyDescent="0.25">
      <c r="B13" s="10" t="s">
        <v>71</v>
      </c>
      <c r="C13" s="146"/>
      <c r="D13" s="145">
        <v>4134.5</v>
      </c>
      <c r="E13" s="145">
        <v>5080.1000000000004</v>
      </c>
      <c r="F13" s="145">
        <v>4520.1000000000004</v>
      </c>
      <c r="G13" s="145">
        <v>2846.8</v>
      </c>
      <c r="H13" s="60">
        <f>FAS!H69</f>
        <v>2776.3868973798226</v>
      </c>
      <c r="I13" s="60">
        <f>FAS!I69</f>
        <v>2753.1831398313084</v>
      </c>
      <c r="J13" s="60">
        <f>FAS!J69</f>
        <v>2772.5736205562439</v>
      </c>
      <c r="K13" s="60">
        <f>FAS!K69</f>
        <v>2830.9875079955182</v>
      </c>
      <c r="L13" s="60">
        <f>FAS!L69</f>
        <v>2925.7511888197564</v>
      </c>
      <c r="M13" s="60">
        <f>FAS!M69</f>
        <v>3054.9677201048366</v>
      </c>
      <c r="N13" s="60">
        <f>FAS!N69</f>
        <v>3217.4186178264085</v>
      </c>
      <c r="O13" s="60">
        <f>FAS!O69</f>
        <v>3412.4845150949827</v>
      </c>
      <c r="P13" s="60">
        <f>FAS!P69</f>
        <v>3640.0818149147808</v>
      </c>
      <c r="Q13" s="60">
        <f>FAS!Q69</f>
        <v>3900.6129577871152</v>
      </c>
    </row>
    <row r="14" spans="2:20" x14ac:dyDescent="0.25">
      <c r="B14" s="10" t="s">
        <v>25</v>
      </c>
      <c r="C14" s="145">
        <v>9159.4</v>
      </c>
      <c r="D14" s="145">
        <v>4289</v>
      </c>
      <c r="E14" s="145">
        <v>4754.2</v>
      </c>
      <c r="F14" s="145">
        <v>5960.7</v>
      </c>
      <c r="G14" s="145">
        <v>5951.5</v>
      </c>
      <c r="H14" s="27">
        <f>G14</f>
        <v>5951.5</v>
      </c>
      <c r="I14" s="27">
        <f t="shared" ref="I14:Q14" si="1">H14</f>
        <v>5951.5</v>
      </c>
      <c r="J14" s="27">
        <f t="shared" si="1"/>
        <v>5951.5</v>
      </c>
      <c r="K14" s="27">
        <f t="shared" si="1"/>
        <v>5951.5</v>
      </c>
      <c r="L14" s="27">
        <f t="shared" si="1"/>
        <v>5951.5</v>
      </c>
      <c r="M14" s="27">
        <f t="shared" si="1"/>
        <v>5951.5</v>
      </c>
      <c r="N14" s="27">
        <f t="shared" si="1"/>
        <v>5951.5</v>
      </c>
      <c r="O14" s="27">
        <f t="shared" si="1"/>
        <v>5951.5</v>
      </c>
      <c r="P14" s="27">
        <f t="shared" si="1"/>
        <v>5951.5</v>
      </c>
      <c r="Q14" s="27">
        <f t="shared" si="1"/>
        <v>5951.5</v>
      </c>
    </row>
    <row r="15" spans="2:20" x14ac:dyDescent="0.25">
      <c r="B15" s="10" t="s">
        <v>26</v>
      </c>
      <c r="C15" s="145">
        <v>19857.2</v>
      </c>
      <c r="D15" s="145">
        <v>20580.599999999999</v>
      </c>
      <c r="E15" s="145">
        <v>23282.3</v>
      </c>
      <c r="F15" s="145">
        <v>24322.400000000001</v>
      </c>
      <c r="G15" s="145">
        <v>23521.3</v>
      </c>
      <c r="H15" s="60">
        <f>FAS!H48</f>
        <v>23752.566009700298</v>
      </c>
      <c r="I15" s="60">
        <f>FAS!I48</f>
        <v>24674.700768787647</v>
      </c>
      <c r="J15" s="60">
        <f>FAS!J48</f>
        <v>26220.861921053911</v>
      </c>
      <c r="K15" s="60">
        <f>FAS!K48</f>
        <v>28352.37353424952</v>
      </c>
      <c r="L15" s="60">
        <f>FAS!L48</f>
        <v>31053.68053911965</v>
      </c>
      <c r="M15" s="60">
        <f>FAS!M48</f>
        <v>34328.69963707462</v>
      </c>
      <c r="N15" s="60">
        <f>FAS!N48</f>
        <v>38198.263841274857</v>
      </c>
      <c r="O15" s="60">
        <f>FAS!O48</f>
        <v>42698.432685093539</v>
      </c>
      <c r="P15" s="60">
        <f>FAS!P48</f>
        <v>47879.497781649174</v>
      </c>
      <c r="Q15" s="60">
        <f>FAS!Q48</f>
        <v>53805.557967522269</v>
      </c>
    </row>
    <row r="16" spans="2:20" x14ac:dyDescent="0.25">
      <c r="B16" s="10" t="s">
        <v>27</v>
      </c>
      <c r="C16" s="145">
        <v>3641.2</v>
      </c>
      <c r="D16" s="145">
        <v>6326.4</v>
      </c>
      <c r="E16" s="145">
        <v>8096.4</v>
      </c>
      <c r="F16" s="145">
        <v>8936.1</v>
      </c>
      <c r="G16" s="145">
        <v>11293.3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</row>
    <row r="17" spans="2:17" x14ac:dyDescent="0.25">
      <c r="B17" s="10" t="s">
        <v>28</v>
      </c>
      <c r="C17" s="145">
        <v>4096.1000000000004</v>
      </c>
      <c r="D17" s="146">
        <v>947</v>
      </c>
      <c r="E17" s="146">
        <v>793.5</v>
      </c>
      <c r="F17" s="146">
        <v>900</v>
      </c>
      <c r="G17" s="146">
        <v>947.8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spans="2:17" x14ac:dyDescent="0.25">
      <c r="B18" s="11" t="s">
        <v>29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spans="2:17" x14ac:dyDescent="0.25">
      <c r="B19" s="10" t="s">
        <v>30</v>
      </c>
      <c r="C19" s="145">
        <v>1450.8</v>
      </c>
      <c r="D19" s="145">
        <v>3365.2</v>
      </c>
      <c r="E19" s="145">
        <v>5389.5</v>
      </c>
      <c r="F19" s="145">
        <v>3017.4</v>
      </c>
      <c r="G19" s="145">
        <v>2268.6999999999998</v>
      </c>
      <c r="H19" s="60">
        <f>'BalanceSheet Forecast'!H11</f>
        <v>3918.8579142227613</v>
      </c>
      <c r="I19" s="60">
        <f>'BalanceSheet Forecast'!I11</f>
        <v>4233.0471980453367</v>
      </c>
      <c r="J19" s="60">
        <f>'BalanceSheet Forecast'!J11</f>
        <v>4592.531172063128</v>
      </c>
      <c r="K19" s="60">
        <f>'BalanceSheet Forecast'!K11</f>
        <v>5005.8769001619121</v>
      </c>
      <c r="L19" s="60">
        <f>'BalanceSheet Forecast'!L11</f>
        <v>5483.4559583847595</v>
      </c>
      <c r="M19" s="60">
        <f>'BalanceSheet Forecast'!M11</f>
        <v>6037.8408871094252</v>
      </c>
      <c r="N19" s="60">
        <f>'BalanceSheet Forecast'!N11</f>
        <v>6684.2903210667464</v>
      </c>
      <c r="O19" s="60">
        <f>'BalanceSheet Forecast'!O11</f>
        <v>7441.342800455699</v>
      </c>
      <c r="P19" s="60">
        <f>'BalanceSheet Forecast'!P11</f>
        <v>8331.5437977800611</v>
      </c>
      <c r="Q19" s="60">
        <f>'BalanceSheet Forecast'!Q11</f>
        <v>9382.3360551795249</v>
      </c>
    </row>
    <row r="20" spans="2:17" x14ac:dyDescent="0.25">
      <c r="B20" s="10" t="s">
        <v>31</v>
      </c>
      <c r="C20" s="146">
        <v>58.4</v>
      </c>
      <c r="D20" s="146">
        <v>72.599999999999994</v>
      </c>
      <c r="E20" s="146">
        <v>63.2</v>
      </c>
      <c r="F20" s="146">
        <v>55.7</v>
      </c>
      <c r="G20" s="146">
        <v>58.3</v>
      </c>
      <c r="H20" s="60">
        <f>'BalanceSheet Forecast'!H13</f>
        <v>77.400815917459738</v>
      </c>
      <c r="I20" s="60">
        <f>'BalanceSheet Forecast'!I13</f>
        <v>83.60632462756891</v>
      </c>
      <c r="J20" s="60">
        <f>'BalanceSheet Forecast'!J13</f>
        <v>90.706442444355446</v>
      </c>
      <c r="K20" s="60">
        <f>'BalanceSheet Forecast'!K13</f>
        <v>98.870376251378332</v>
      </c>
      <c r="L20" s="60">
        <f>'BalanceSheet Forecast'!L13</f>
        <v>108.30297360005555</v>
      </c>
      <c r="M20" s="60">
        <f>'BalanceSheet Forecast'!M13</f>
        <v>119.25255298130811</v>
      </c>
      <c r="N20" s="60">
        <f>'BalanceSheet Forecast'!N13</f>
        <v>132.02048556086947</v>
      </c>
      <c r="O20" s="60">
        <f>'BalanceSheet Forecast'!O13</f>
        <v>146.97292345977257</v>
      </c>
      <c r="P20" s="60">
        <f>'BalanceSheet Forecast'!P13</f>
        <v>164.55515915996833</v>
      </c>
      <c r="Q20" s="60">
        <f>'BalanceSheet Forecast'!Q13</f>
        <v>185.30921043273526</v>
      </c>
    </row>
    <row r="21" spans="2:17" x14ac:dyDescent="0.25">
      <c r="B21" s="10" t="s">
        <v>33</v>
      </c>
      <c r="C21" s="145">
        <v>1170.3</v>
      </c>
      <c r="D21" s="145">
        <v>1433</v>
      </c>
      <c r="E21" s="145">
        <v>1289.2</v>
      </c>
      <c r="F21" s="145">
        <v>1503.7</v>
      </c>
      <c r="G21" s="145">
        <v>3510</v>
      </c>
      <c r="H21" s="60">
        <f>'BalanceSheet Forecast'!H15</f>
        <v>2152.7040505164505</v>
      </c>
      <c r="I21" s="60">
        <f>'BalanceSheet Forecast'!I15</f>
        <v>2325.2942690745181</v>
      </c>
      <c r="J21" s="60">
        <f>'BalanceSheet Forecast'!J15</f>
        <v>2522.7657324198108</v>
      </c>
      <c r="K21" s="60">
        <f>'BalanceSheet Forecast'!K15</f>
        <v>2749.8244935737998</v>
      </c>
      <c r="L21" s="60">
        <f>'BalanceSheet Forecast'!L15</f>
        <v>3012.1678588044979</v>
      </c>
      <c r="M21" s="60">
        <f>'BalanceSheet Forecast'!M15</f>
        <v>3316.7021664351837</v>
      </c>
      <c r="N21" s="60">
        <f>'BalanceSheet Forecast'!N15</f>
        <v>3671.8092780973311</v>
      </c>
      <c r="O21" s="60">
        <f>'BalanceSheet Forecast'!O15</f>
        <v>4087.6727706009488</v>
      </c>
      <c r="P21" s="60">
        <f>'BalanceSheet Forecast'!P15</f>
        <v>4576.6773057638447</v>
      </c>
      <c r="Q21" s="60">
        <f>'BalanceSheet Forecast'!Q15</f>
        <v>5153.8977098375626</v>
      </c>
    </row>
    <row r="22" spans="2:17" x14ac:dyDescent="0.25">
      <c r="B22" t="s">
        <v>34</v>
      </c>
      <c r="C22" s="145">
        <v>1632</v>
      </c>
      <c r="D22" s="145">
        <v>4526.8</v>
      </c>
      <c r="E22" s="145">
        <v>2885.9</v>
      </c>
      <c r="F22" s="145">
        <v>6774.9</v>
      </c>
      <c r="G22" s="145">
        <v>12126.4</v>
      </c>
      <c r="H22" s="60">
        <f>'BalanceSheet Forecast'!H17</f>
        <v>6658.5462024721364</v>
      </c>
      <c r="I22" s="60">
        <f>'BalanceSheet Forecast'!I17</f>
        <v>7192.386394805103</v>
      </c>
      <c r="J22" s="60">
        <f>'BalanceSheet Forecast'!J17</f>
        <v>7803.1869653893245</v>
      </c>
      <c r="K22" s="60">
        <f>'BalanceSheet Forecast'!K17</f>
        <v>8505.5042446536099</v>
      </c>
      <c r="L22" s="60">
        <f>'BalanceSheet Forecast'!L17</f>
        <v>9316.9606164115157</v>
      </c>
      <c r="M22" s="60">
        <f>'BalanceSheet Forecast'!M17</f>
        <v>10258.918131245156</v>
      </c>
      <c r="N22" s="60">
        <f>'BalanceSheet Forecast'!N17</f>
        <v>11357.302792741741</v>
      </c>
      <c r="O22" s="60">
        <f>'BalanceSheet Forecast'!O17</f>
        <v>12643.613504189721</v>
      </c>
      <c r="P22" s="60">
        <f>'BalanceSheet Forecast'!P17</f>
        <v>14156.157362607883</v>
      </c>
      <c r="Q22" s="60">
        <f>'BalanceSheet Forecast'!Q17</f>
        <v>15941.562434249015</v>
      </c>
    </row>
    <row r="23" spans="2:17" x14ac:dyDescent="0.25">
      <c r="B23" t="s">
        <v>35</v>
      </c>
      <c r="C23" s="146">
        <v>845.3</v>
      </c>
      <c r="D23" s="145">
        <v>1282.5999999999999</v>
      </c>
      <c r="E23" s="145">
        <v>3189.7</v>
      </c>
      <c r="F23" s="145">
        <v>2885.2</v>
      </c>
      <c r="G23" s="145">
        <v>3832.9</v>
      </c>
      <c r="H23" s="60">
        <f>'BalanceSheet Forecast'!H19</f>
        <v>2948.9044603334569</v>
      </c>
      <c r="I23" s="60">
        <f>'BalanceSheet Forecast'!I19</f>
        <v>3185.3290005268523</v>
      </c>
      <c r="J23" s="60">
        <f>'BalanceSheet Forecast'!J19</f>
        <v>3455.837377610922</v>
      </c>
      <c r="K23" s="60">
        <f>'BalanceSheet Forecast'!K19</f>
        <v>3766.8762281970726</v>
      </c>
      <c r="L23" s="60">
        <f>'BalanceSheet Forecast'!L19</f>
        <v>4126.2500676628815</v>
      </c>
      <c r="M23" s="60">
        <f>'BalanceSheet Forecast'!M19</f>
        <v>4543.4196167614873</v>
      </c>
      <c r="N23" s="60">
        <f>'BalanceSheet Forecast'!N19</f>
        <v>5029.8668574889862</v>
      </c>
      <c r="O23" s="60">
        <f>'BalanceSheet Forecast'!O19</f>
        <v>5599.5418704753538</v>
      </c>
      <c r="P23" s="60">
        <f>'BalanceSheet Forecast'!P19</f>
        <v>6269.4099159780326</v>
      </c>
      <c r="Q23" s="60">
        <f>'BalanceSheet Forecast'!Q19</f>
        <v>7060.1214045173429</v>
      </c>
    </row>
    <row r="24" spans="2:17" x14ac:dyDescent="0.25">
      <c r="B24" t="s">
        <v>72</v>
      </c>
      <c r="C24" s="145">
        <v>2075.5</v>
      </c>
      <c r="D24" s="145">
        <v>4326.5</v>
      </c>
      <c r="E24" s="145">
        <v>1586.4</v>
      </c>
      <c r="F24" s="145">
        <v>4169.3</v>
      </c>
      <c r="G24" s="145">
        <v>2299.6</v>
      </c>
      <c r="H24" s="60">
        <f>'BalanceSheet Forecast'!H21</f>
        <v>3613.8264980627537</v>
      </c>
      <c r="I24" s="60">
        <f>'BalanceSheet Forecast'!I21</f>
        <v>3903.5602889115021</v>
      </c>
      <c r="J24" s="60">
        <f>'BalanceSheet Forecast'!J21</f>
        <v>4235.0631755610821</v>
      </c>
      <c r="K24" s="60">
        <f>'BalanceSheet Forecast'!K21</f>
        <v>4616.2353889355727</v>
      </c>
      <c r="L24" s="60">
        <f>'BalanceSheet Forecast'!L21</f>
        <v>5056.6412146384628</v>
      </c>
      <c r="M24" s="60">
        <f>'BalanceSheet Forecast'!M21</f>
        <v>5567.8745865554893</v>
      </c>
      <c r="N24" s="60">
        <f>'BalanceSheet Forecast'!N21</f>
        <v>6164.0064558978283</v>
      </c>
      <c r="O24" s="60">
        <f>'BalanceSheet Forecast'!O21</f>
        <v>6862.1323819515965</v>
      </c>
      <c r="P24" s="60">
        <f>'BalanceSheet Forecast'!P21</f>
        <v>7683.0429694615586</v>
      </c>
      <c r="Q24" s="60">
        <f>'BalanceSheet Forecast'!Q21</f>
        <v>8652.0449049406361</v>
      </c>
    </row>
    <row r="25" spans="2:17" x14ac:dyDescent="0.25">
      <c r="H25" s="27"/>
      <c r="I25" s="27"/>
      <c r="J25" s="27"/>
      <c r="K25" s="27"/>
      <c r="L25" s="27"/>
      <c r="M25" s="27"/>
      <c r="N25" s="27"/>
      <c r="O25" s="27"/>
      <c r="P25" s="27"/>
      <c r="Q25" s="27"/>
    </row>
    <row r="26" spans="2:17" x14ac:dyDescent="0.25">
      <c r="B26" s="6" t="s">
        <v>36</v>
      </c>
      <c r="C26" s="7">
        <f>SUM(C11:C24)</f>
        <v>125152.3</v>
      </c>
      <c r="D26" s="7">
        <f>SUM(D11:D24)</f>
        <v>140304.80000000002</v>
      </c>
      <c r="E26" s="7">
        <f>SUM(E11:E24)</f>
        <v>157990.30000000002</v>
      </c>
      <c r="F26" s="7">
        <f>SUM(F11:F24)</f>
        <v>183443.20000000001</v>
      </c>
      <c r="G26" s="7">
        <f>SUM(G11:G24)</f>
        <v>208658.79999999996</v>
      </c>
      <c r="H26" s="61">
        <f>SUM(H11:H24)</f>
        <v>200896.69915665447</v>
      </c>
      <c r="I26" s="61">
        <f t="shared" ref="I26:Q26" si="2">SUM(I11:I24)</f>
        <v>212913.29030705421</v>
      </c>
      <c r="J26" s="61">
        <f t="shared" si="2"/>
        <v>226389.4122485249</v>
      </c>
      <c r="K26" s="61">
        <f t="shared" si="2"/>
        <v>241376.19093944589</v>
      </c>
      <c r="L26" s="61">
        <f t="shared" si="2"/>
        <v>257960.95131295852</v>
      </c>
      <c r="M26" s="61">
        <f t="shared" si="2"/>
        <v>276265.8187423551</v>
      </c>
      <c r="N26" s="61">
        <f t="shared" si="2"/>
        <v>296447.89987244789</v>
      </c>
      <c r="O26" s="61">
        <f t="shared" si="2"/>
        <v>318700.91429325682</v>
      </c>
      <c r="P26" s="61">
        <f t="shared" si="2"/>
        <v>343258.22938387282</v>
      </c>
      <c r="Q26" s="61">
        <f t="shared" si="2"/>
        <v>370397.32343719353</v>
      </c>
    </row>
    <row r="27" spans="2:17" x14ac:dyDescent="0.25">
      <c r="H27" s="27"/>
      <c r="I27" s="27"/>
      <c r="J27" s="27"/>
      <c r="K27" s="27"/>
      <c r="L27" s="27"/>
      <c r="M27" s="27"/>
      <c r="N27" s="27"/>
      <c r="O27" s="27"/>
      <c r="P27" s="27"/>
      <c r="Q27" s="27"/>
    </row>
    <row r="28" spans="2:17" x14ac:dyDescent="0.25">
      <c r="B28" s="1" t="s">
        <v>37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</row>
    <row r="29" spans="2:17" x14ac:dyDescent="0.25">
      <c r="B29" s="10" t="s">
        <v>38</v>
      </c>
      <c r="C29" s="145">
        <v>76998.7</v>
      </c>
      <c r="D29" s="145">
        <v>90265.7</v>
      </c>
      <c r="E29" s="145">
        <v>75538.5</v>
      </c>
      <c r="F29" s="145">
        <v>85112.3</v>
      </c>
      <c r="G29" s="145">
        <v>98082.3</v>
      </c>
      <c r="H29" s="60">
        <f>'Working Capital'!H11</f>
        <v>106392.39687701344</v>
      </c>
      <c r="I29" s="60">
        <f>'Working Capital'!I11</f>
        <v>114922.26749509264</v>
      </c>
      <c r="J29" s="60">
        <f>'Working Capital'!J11</f>
        <v>124681.83583662879</v>
      </c>
      <c r="K29" s="60">
        <f>'Working Capital'!K11</f>
        <v>135903.68763985398</v>
      </c>
      <c r="L29" s="60">
        <f>'Working Capital'!L11</f>
        <v>148869.39903198869</v>
      </c>
      <c r="M29" s="60">
        <f>'Working Capital'!M11</f>
        <v>163920.29974095398</v>
      </c>
      <c r="N29" s="60">
        <f>'Working Capital'!N11</f>
        <v>181470.64380647716</v>
      </c>
      <c r="O29" s="60">
        <f>'Working Capital'!O11</f>
        <v>202023.73085552649</v>
      </c>
      <c r="P29" s="60">
        <f>'Working Capital'!P11</f>
        <v>226191.64402837015</v>
      </c>
      <c r="Q29" s="60">
        <f>'Working Capital'!Q11</f>
        <v>254719.42159305108</v>
      </c>
    </row>
    <row r="30" spans="2:17" x14ac:dyDescent="0.25">
      <c r="B30" s="11" t="s">
        <v>29</v>
      </c>
      <c r="C30" s="146"/>
      <c r="D30" s="146"/>
      <c r="E30" s="146"/>
      <c r="F30" s="146"/>
      <c r="G30" s="146"/>
      <c r="H30" s="60"/>
      <c r="I30" s="60"/>
      <c r="J30" s="60"/>
      <c r="K30" s="60"/>
      <c r="L30" s="60"/>
      <c r="M30" s="60"/>
      <c r="N30" s="60"/>
      <c r="O30" s="60"/>
      <c r="P30" s="60"/>
      <c r="Q30" s="60"/>
    </row>
    <row r="31" spans="2:17" x14ac:dyDescent="0.25">
      <c r="B31" s="10" t="s">
        <v>30</v>
      </c>
      <c r="C31" s="146">
        <v>0.2</v>
      </c>
      <c r="D31" s="145">
        <v>1597.9</v>
      </c>
      <c r="E31" s="145">
        <v>3788.5</v>
      </c>
      <c r="F31" s="145">
        <v>1510</v>
      </c>
      <c r="G31" s="146">
        <v>505.8</v>
      </c>
      <c r="H31" s="60">
        <f>'BalanceSheet Forecast'!H26</f>
        <v>1898.2517232866169</v>
      </c>
      <c r="I31" s="60">
        <f>'BalanceSheet Forecast'!I26</f>
        <v>2050.4415608639965</v>
      </c>
      <c r="J31" s="60">
        <f>'BalanceSheet Forecast'!J26</f>
        <v>2224.5716487900177</v>
      </c>
      <c r="K31" s="60">
        <f>'BalanceSheet Forecast'!K26</f>
        <v>2424.7917786980188</v>
      </c>
      <c r="L31" s="60">
        <f>'BalanceSheet Forecast'!L26</f>
        <v>2656.1258280869774</v>
      </c>
      <c r="M31" s="60">
        <f>'BalanceSheet Forecast'!M26</f>
        <v>2924.6637974010405</v>
      </c>
      <c r="N31" s="60">
        <f>'BalanceSheet Forecast'!N26</f>
        <v>3237.7968016810696</v>
      </c>
      <c r="O31" s="60">
        <f>'BalanceSheet Forecast'!O26</f>
        <v>3604.504706145502</v>
      </c>
      <c r="P31" s="60">
        <f>'BalanceSheet Forecast'!P26</f>
        <v>4035.7082900033224</v>
      </c>
      <c r="Q31" s="60">
        <f>'BalanceSheet Forecast'!Q26</f>
        <v>4544.7005160765075</v>
      </c>
    </row>
    <row r="32" spans="2:17" x14ac:dyDescent="0.25">
      <c r="B32" s="10" t="s">
        <v>32</v>
      </c>
      <c r="C32" s="145">
        <v>43151.6</v>
      </c>
      <c r="D32" s="145">
        <v>35032.800000000003</v>
      </c>
      <c r="E32" s="145">
        <v>40122.6</v>
      </c>
      <c r="F32" s="145">
        <v>44663.8</v>
      </c>
      <c r="G32" s="145">
        <v>48167.4</v>
      </c>
      <c r="H32" s="60">
        <f>'Working Capital'!H12</f>
        <v>52730.002540097397</v>
      </c>
      <c r="I32" s="60">
        <f>'Working Capital'!I12</f>
        <v>56957.561205571903</v>
      </c>
      <c r="J32" s="60">
        <f>'Working Capital'!J12</f>
        <v>61794.580377480808</v>
      </c>
      <c r="K32" s="60">
        <f>'Working Capital'!K12</f>
        <v>67356.333768305165</v>
      </c>
      <c r="L32" s="60">
        <f>'Working Capital'!L12</f>
        <v>73782.37561631194</v>
      </c>
      <c r="M32" s="60">
        <f>'Working Capital'!M12</f>
        <v>81241.875128592976</v>
      </c>
      <c r="N32" s="60">
        <f>'Working Capital'!N12</f>
        <v>89940.144124491169</v>
      </c>
      <c r="O32" s="60">
        <f>'Working Capital'!O12</f>
        <v>100126.62703225022</v>
      </c>
      <c r="P32" s="60">
        <f>'Working Capital'!P12</f>
        <v>112104.68336334349</v>
      </c>
      <c r="Q32" s="60">
        <f>'Working Capital'!Q12</f>
        <v>126243.56760323756</v>
      </c>
    </row>
    <row r="33" spans="2:17" x14ac:dyDescent="0.25">
      <c r="B33" s="10" t="s">
        <v>39</v>
      </c>
      <c r="C33" s="145">
        <v>27637.1</v>
      </c>
      <c r="D33" s="145">
        <v>53734.7</v>
      </c>
      <c r="E33" s="145">
        <v>41625.1</v>
      </c>
      <c r="F33" s="145">
        <v>43962.9</v>
      </c>
      <c r="G33" s="145">
        <v>33934.800000000003</v>
      </c>
      <c r="H33" s="60">
        <f>H79-SUM(H35:H39,H29:H32,H26)</f>
        <v>96054.639844640507</v>
      </c>
      <c r="I33" s="60">
        <f t="shared" ref="I33:Q33" si="3">I79-SUM(I35:I39,I29:I32,I26)</f>
        <v>113759.93412821891</v>
      </c>
      <c r="J33" s="60">
        <f t="shared" si="3"/>
        <v>132845.46289230441</v>
      </c>
      <c r="K33" s="60">
        <f t="shared" si="3"/>
        <v>153642.81327159522</v>
      </c>
      <c r="L33" s="60">
        <f t="shared" si="3"/>
        <v>176548.40869594284</v>
      </c>
      <c r="M33" s="60">
        <f t="shared" si="3"/>
        <v>202041.41693968873</v>
      </c>
      <c r="N33" s="60">
        <f t="shared" si="3"/>
        <v>230705.11774353124</v>
      </c>
      <c r="O33" s="60">
        <f t="shared" si="3"/>
        <v>263252.68119106186</v>
      </c>
      <c r="P33" s="60">
        <f t="shared" si="3"/>
        <v>300558.4884958344</v>
      </c>
      <c r="Q33" s="60">
        <f t="shared" si="3"/>
        <v>343696.35721502197</v>
      </c>
    </row>
    <row r="34" spans="2:17" x14ac:dyDescent="0.25">
      <c r="B34" s="10" t="s">
        <v>40</v>
      </c>
      <c r="C34" s="146">
        <v>784.4</v>
      </c>
      <c r="D34" s="145">
        <v>1008.1</v>
      </c>
      <c r="E34" s="146">
        <v>275</v>
      </c>
      <c r="F34" s="145">
        <v>16879.099999999999</v>
      </c>
      <c r="G34" s="145">
        <v>28848.2</v>
      </c>
      <c r="H34" s="60"/>
      <c r="I34" s="60"/>
      <c r="J34" s="60"/>
      <c r="K34" s="60"/>
      <c r="L34" s="60"/>
      <c r="M34" s="60"/>
      <c r="N34" s="60"/>
      <c r="O34" s="60"/>
      <c r="P34" s="60"/>
      <c r="Q34" s="60"/>
    </row>
    <row r="35" spans="2:17" x14ac:dyDescent="0.25">
      <c r="B35" s="10" t="s">
        <v>31</v>
      </c>
      <c r="C35" s="146">
        <v>136.80000000000001</v>
      </c>
      <c r="D35" s="146">
        <v>143.19999999999999</v>
      </c>
      <c r="E35" s="146">
        <v>127.1</v>
      </c>
      <c r="F35" s="146">
        <v>124.3</v>
      </c>
      <c r="G35" s="146">
        <v>128.6</v>
      </c>
      <c r="H35" s="60">
        <f>'BalanceSheet Forecast'!H28</f>
        <v>165.70719831699293</v>
      </c>
      <c r="I35" s="60">
        <f>'BalanceSheet Forecast'!I28</f>
        <v>178.99255519979974</v>
      </c>
      <c r="J35" s="60">
        <f>'BalanceSheet Forecast'!J28</f>
        <v>194.19317830944402</v>
      </c>
      <c r="K35" s="60">
        <f>'BalanceSheet Forecast'!K28</f>
        <v>211.67132220717497</v>
      </c>
      <c r="L35" s="60">
        <f>'BalanceSheet Forecast'!L28</f>
        <v>231.8655444640622</v>
      </c>
      <c r="M35" s="60">
        <f>'BalanceSheet Forecast'!M28</f>
        <v>255.30746946846753</v>
      </c>
      <c r="N35" s="60">
        <f>'BalanceSheet Forecast'!N28</f>
        <v>282.64230193736029</v>
      </c>
      <c r="O35" s="60">
        <f>'BalanceSheet Forecast'!O28</f>
        <v>314.65393596042156</v>
      </c>
      <c r="P35" s="60">
        <f>'BalanceSheet Forecast'!P28</f>
        <v>352.29569701285556</v>
      </c>
      <c r="Q35" s="60">
        <f>'BalanceSheet Forecast'!Q28</f>
        <v>396.72798948125649</v>
      </c>
    </row>
    <row r="36" spans="2:17" x14ac:dyDescent="0.25">
      <c r="B36" s="10" t="s">
        <v>33</v>
      </c>
      <c r="C36" s="146">
        <v>400.8</v>
      </c>
      <c r="D36" s="146">
        <v>338.7</v>
      </c>
      <c r="E36" s="146">
        <v>709.1</v>
      </c>
      <c r="F36" s="145">
        <v>2903.5</v>
      </c>
      <c r="G36" s="145">
        <v>2631.1</v>
      </c>
      <c r="H36" s="60">
        <f>'BalanceSheet Forecast'!H30</f>
        <v>1677.2112536709351</v>
      </c>
      <c r="I36" s="60">
        <f>'BalanceSheet Forecast'!I30</f>
        <v>1811.6794620480555</v>
      </c>
      <c r="J36" s="60">
        <f>'BalanceSheet Forecast'!J30</f>
        <v>1965.5331051078781</v>
      </c>
      <c r="K36" s="60">
        <f>'BalanceSheet Forecast'!K30</f>
        <v>2142.4387551718933</v>
      </c>
      <c r="L36" s="60">
        <f>'BalanceSheet Forecast'!L30</f>
        <v>2346.8352881673463</v>
      </c>
      <c r="M36" s="60">
        <f>'BalanceSheet Forecast'!M30</f>
        <v>2584.1035590959655</v>
      </c>
      <c r="N36" s="60">
        <f>'BalanceSheet Forecast'!N30</f>
        <v>2860.7740302624261</v>
      </c>
      <c r="O36" s="60">
        <f>'BalanceSheet Forecast'!O30</f>
        <v>3184.7809133500632</v>
      </c>
      <c r="P36" s="60">
        <f>'BalanceSheet Forecast'!P30</f>
        <v>3565.7733257880714</v>
      </c>
      <c r="Q36" s="60">
        <f>'BalanceSheet Forecast'!Q30</f>
        <v>4015.4963415127195</v>
      </c>
    </row>
    <row r="37" spans="2:17" x14ac:dyDescent="0.25">
      <c r="B37" t="s">
        <v>41</v>
      </c>
      <c r="C37" s="146">
        <v>157.6</v>
      </c>
      <c r="D37" s="146">
        <v>789.8</v>
      </c>
      <c r="E37" s="145">
        <v>2699.9</v>
      </c>
      <c r="F37" s="146">
        <v>756.2</v>
      </c>
      <c r="G37" s="146">
        <v>56.7</v>
      </c>
      <c r="H37" s="60">
        <f>'BalanceSheet Forecast'!H32</f>
        <v>1161.7817094211716</v>
      </c>
      <c r="I37" s="60">
        <f>'BalanceSheet Forecast'!I32</f>
        <v>1254.9260313718182</v>
      </c>
      <c r="J37" s="60">
        <f>'BalanceSheet Forecast'!J32</f>
        <v>1361.4983835686542</v>
      </c>
      <c r="K37" s="60">
        <f>'BalanceSheet Forecast'!K32</f>
        <v>1484.0385514144148</v>
      </c>
      <c r="L37" s="60">
        <f>'BalanceSheet Forecast'!L32</f>
        <v>1625.6212846470219</v>
      </c>
      <c r="M37" s="60">
        <f>'BalanceSheet Forecast'!M32</f>
        <v>1789.9738292579225</v>
      </c>
      <c r="N37" s="60">
        <f>'BalanceSheet Forecast'!N32</f>
        <v>1981.61974877737</v>
      </c>
      <c r="O37" s="60">
        <f>'BalanceSheet Forecast'!O32</f>
        <v>2206.0549650769822</v>
      </c>
      <c r="P37" s="60">
        <f>'BalanceSheet Forecast'!P32</f>
        <v>2469.9632922062783</v>
      </c>
      <c r="Q37" s="60">
        <f>'BalanceSheet Forecast'!Q32</f>
        <v>2781.4803851372176</v>
      </c>
    </row>
    <row r="38" spans="2:17" x14ac:dyDescent="0.25">
      <c r="B38" t="s">
        <v>42</v>
      </c>
      <c r="C38" s="145">
        <v>14857.9</v>
      </c>
      <c r="D38" s="145">
        <v>14488.1</v>
      </c>
      <c r="E38" s="145">
        <v>15550.1</v>
      </c>
      <c r="F38" s="145">
        <v>18687</v>
      </c>
      <c r="G38" s="145">
        <v>25364.3</v>
      </c>
      <c r="H38" s="60">
        <f>'BalanceSheet Forecast'!H34</f>
        <v>21947.907439948925</v>
      </c>
      <c r="I38" s="60">
        <f>'BalanceSheet Forecast'!I34</f>
        <v>23707.552078999171</v>
      </c>
      <c r="J38" s="60">
        <f>'BalanceSheet Forecast'!J34</f>
        <v>25720.873602918804</v>
      </c>
      <c r="K38" s="60">
        <f>'BalanceSheet Forecast'!K34</f>
        <v>28035.852604348031</v>
      </c>
      <c r="L38" s="60">
        <f>'BalanceSheet Forecast'!L34</f>
        <v>30710.576004523133</v>
      </c>
      <c r="M38" s="60">
        <f>'BalanceSheet Forecast'!M34</f>
        <v>33815.457418465616</v>
      </c>
      <c r="N38" s="60">
        <f>'BalanceSheet Forecast'!N34</f>
        <v>37435.954168197008</v>
      </c>
      <c r="O38" s="60">
        <f>'BalanceSheet Forecast'!O34</f>
        <v>41675.892973967166</v>
      </c>
      <c r="P38" s="60">
        <f>'BalanceSheet Forecast'!P34</f>
        <v>46661.541731814606</v>
      </c>
      <c r="Q38" s="60">
        <f>'BalanceSheet Forecast'!Q34</f>
        <v>52546.595925873713</v>
      </c>
    </row>
    <row r="39" spans="2:17" x14ac:dyDescent="0.25">
      <c r="B39" t="s">
        <v>43</v>
      </c>
      <c r="C39" s="146"/>
      <c r="D39" s="146">
        <v>836.1</v>
      </c>
      <c r="E39" s="146">
        <v>791</v>
      </c>
      <c r="F39" s="146">
        <v>857.6</v>
      </c>
      <c r="G39" s="145">
        <v>4337.1000000000004</v>
      </c>
      <c r="H39" s="60">
        <f>'BalanceSheet Forecast'!H36</f>
        <v>1569.4409736778125</v>
      </c>
      <c r="I39" s="60">
        <f>'BalanceSheet Forecast'!I36</f>
        <v>1695.2688414685831</v>
      </c>
      <c r="J39" s="60">
        <f>'BalanceSheet Forecast'!J36</f>
        <v>1839.2365204590444</v>
      </c>
      <c r="K39" s="60">
        <f>'BalanceSheet Forecast'!K36</f>
        <v>2004.7749850250873</v>
      </c>
      <c r="L39" s="60">
        <f>'BalanceSheet Forecast'!L36</f>
        <v>2196.0378882870582</v>
      </c>
      <c r="M39" s="60">
        <f>'BalanceSheet Forecast'!M36</f>
        <v>2418.0603349729085</v>
      </c>
      <c r="N39" s="60">
        <f>'BalanceSheet Forecast'!N36</f>
        <v>2676.9531683622686</v>
      </c>
      <c r="O39" s="60">
        <f>'BalanceSheet Forecast'!O36</f>
        <v>2980.140782300818</v>
      </c>
      <c r="P39" s="60">
        <f>'BalanceSheet Forecast'!P36</f>
        <v>3336.6522840164403</v>
      </c>
      <c r="Q39" s="60">
        <f>'BalanceSheet Forecast'!Q36</f>
        <v>3757.4780602204751</v>
      </c>
    </row>
    <row r="40" spans="2:17" x14ac:dyDescent="0.25">
      <c r="H40" s="27"/>
      <c r="I40" s="27"/>
      <c r="J40" s="27"/>
      <c r="K40" s="27"/>
      <c r="L40" s="27"/>
      <c r="M40" s="27"/>
      <c r="N40" s="27"/>
      <c r="O40" s="27"/>
      <c r="P40" s="27"/>
      <c r="Q40" s="27"/>
    </row>
    <row r="41" spans="2:17" x14ac:dyDescent="0.25">
      <c r="B41" s="6" t="s">
        <v>44</v>
      </c>
      <c r="C41" s="7">
        <f t="shared" ref="C41:F41" si="4">SUM(C29:C39)</f>
        <v>164125.09999999998</v>
      </c>
      <c r="D41" s="7">
        <f t="shared" si="4"/>
        <v>198235.1</v>
      </c>
      <c r="E41" s="7">
        <f t="shared" si="4"/>
        <v>181226.90000000002</v>
      </c>
      <c r="F41" s="7">
        <f t="shared" si="4"/>
        <v>215456.7</v>
      </c>
      <c r="G41" s="7">
        <f>SUM(G29:G39)</f>
        <v>242056.30000000002</v>
      </c>
      <c r="H41" s="61">
        <f>SUM(H29:H39)</f>
        <v>283597.3395600738</v>
      </c>
      <c r="I41" s="61">
        <f t="shared" ref="I41:Q41" si="5">SUM(I29:I39)</f>
        <v>316338.62335883483</v>
      </c>
      <c r="J41" s="61">
        <f t="shared" si="5"/>
        <v>352627.78554556787</v>
      </c>
      <c r="K41" s="61">
        <f t="shared" si="5"/>
        <v>393206.40267661907</v>
      </c>
      <c r="L41" s="61">
        <f t="shared" si="5"/>
        <v>438967.24518241908</v>
      </c>
      <c r="M41" s="61">
        <f t="shared" si="5"/>
        <v>490991.1582178977</v>
      </c>
      <c r="N41" s="61">
        <f t="shared" si="5"/>
        <v>550591.64589371707</v>
      </c>
      <c r="O41" s="61">
        <f t="shared" si="5"/>
        <v>619369.06735563942</v>
      </c>
      <c r="P41" s="61">
        <f t="shared" si="5"/>
        <v>699276.75050838967</v>
      </c>
      <c r="Q41" s="61">
        <f t="shared" si="5"/>
        <v>792701.82562961266</v>
      </c>
    </row>
    <row r="42" spans="2:17" x14ac:dyDescent="0.25"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spans="2:17" x14ac:dyDescent="0.25">
      <c r="B43" s="6" t="s">
        <v>45</v>
      </c>
      <c r="C43" s="7">
        <f t="shared" ref="C43:F43" si="6">SUM(C41,C26)</f>
        <v>289277.39999999997</v>
      </c>
      <c r="D43" s="7">
        <f t="shared" si="6"/>
        <v>338539.9</v>
      </c>
      <c r="E43" s="7">
        <f t="shared" si="6"/>
        <v>339217.20000000007</v>
      </c>
      <c r="F43" s="7">
        <f t="shared" si="6"/>
        <v>398899.9</v>
      </c>
      <c r="G43" s="7">
        <f>SUM(G41,G26)</f>
        <v>450715.1</v>
      </c>
      <c r="H43" s="61">
        <f>SUM(H41,H26)</f>
        <v>484494.03871672828</v>
      </c>
      <c r="I43" s="61">
        <f t="shared" ref="I43:Q43" si="7">SUM(I41,I26)</f>
        <v>529251.91366588906</v>
      </c>
      <c r="J43" s="61">
        <f t="shared" si="7"/>
        <v>579017.19779409282</v>
      </c>
      <c r="K43" s="61">
        <f t="shared" si="7"/>
        <v>634582.59361606499</v>
      </c>
      <c r="L43" s="61">
        <f t="shared" si="7"/>
        <v>696928.19649537758</v>
      </c>
      <c r="M43" s="61">
        <f t="shared" si="7"/>
        <v>767256.97696025274</v>
      </c>
      <c r="N43" s="61">
        <f t="shared" si="7"/>
        <v>847039.54576616501</v>
      </c>
      <c r="O43" s="61">
        <f t="shared" si="7"/>
        <v>938069.98164889624</v>
      </c>
      <c r="P43" s="61">
        <f t="shared" si="7"/>
        <v>1042534.9798922625</v>
      </c>
      <c r="Q43" s="61">
        <f t="shared" si="7"/>
        <v>1163099.1490668063</v>
      </c>
    </row>
    <row r="44" spans="2:17" x14ac:dyDescent="0.25">
      <c r="H44" s="27"/>
      <c r="I44" s="27"/>
      <c r="J44" s="27"/>
      <c r="K44" s="27"/>
      <c r="L44" s="27"/>
      <c r="M44" s="27"/>
      <c r="N44" s="27"/>
      <c r="O44" s="27"/>
      <c r="P44" s="27"/>
      <c r="Q44" s="27"/>
    </row>
    <row r="45" spans="2:17" x14ac:dyDescent="0.25">
      <c r="B45" s="1" t="s">
        <v>46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</row>
    <row r="46" spans="2:17" x14ac:dyDescent="0.25">
      <c r="B46" s="1" t="s">
        <v>47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</row>
    <row r="47" spans="2:17" x14ac:dyDescent="0.25">
      <c r="B47" t="s">
        <v>48</v>
      </c>
      <c r="C47" s="146">
        <v>585.9</v>
      </c>
      <c r="D47" s="146">
        <v>585.9</v>
      </c>
      <c r="E47" s="146">
        <v>585.9</v>
      </c>
      <c r="F47" s="146">
        <v>585.9</v>
      </c>
      <c r="G47" s="146">
        <v>585.9</v>
      </c>
      <c r="H47" s="60">
        <f>G47</f>
        <v>585.9</v>
      </c>
      <c r="I47" s="60">
        <f t="shared" ref="I47:Q47" si="8">H47</f>
        <v>585.9</v>
      </c>
      <c r="J47" s="60">
        <f t="shared" si="8"/>
        <v>585.9</v>
      </c>
      <c r="K47" s="60">
        <f t="shared" si="8"/>
        <v>585.9</v>
      </c>
      <c r="L47" s="60">
        <f t="shared" si="8"/>
        <v>585.9</v>
      </c>
      <c r="M47" s="60">
        <f t="shared" si="8"/>
        <v>585.9</v>
      </c>
      <c r="N47" s="60">
        <f t="shared" si="8"/>
        <v>585.9</v>
      </c>
      <c r="O47" s="60">
        <f t="shared" si="8"/>
        <v>585.9</v>
      </c>
      <c r="P47" s="60">
        <f t="shared" si="8"/>
        <v>585.9</v>
      </c>
      <c r="Q47" s="60">
        <f t="shared" si="8"/>
        <v>585.9</v>
      </c>
    </row>
    <row r="48" spans="2:17" x14ac:dyDescent="0.25">
      <c r="B48" t="s">
        <v>49</v>
      </c>
      <c r="C48" s="145">
        <v>167660.79999999999</v>
      </c>
      <c r="D48" s="145">
        <v>218712.8</v>
      </c>
      <c r="E48" s="145">
        <v>245173.9</v>
      </c>
      <c r="F48" s="145">
        <v>267812.59999999998</v>
      </c>
      <c r="G48" s="145">
        <v>297842.09999999998</v>
      </c>
      <c r="H48" s="60">
        <f>G48+'Income Statement'!H33+'Income Statement'!H39</f>
        <v>330881.00715029356</v>
      </c>
      <c r="I48" s="60">
        <f>H48+'Income Statement'!I33+'Income Statement'!I39</f>
        <v>363376.54680141486</v>
      </c>
      <c r="J48" s="60">
        <f>I48+'Income Statement'!J33+'Income Statement'!J39</f>
        <v>399111.71198333654</v>
      </c>
      <c r="K48" s="60">
        <f>J48+'Income Statement'!K33+'Income Statement'!K39</f>
        <v>438544.84558970167</v>
      </c>
      <c r="L48" s="60">
        <f>K48+'Income Statement'!L33+'Income Statement'!L39</f>
        <v>482251.25596696348</v>
      </c>
      <c r="M48" s="60">
        <f>L48+'Income Statement'!M33+'Income Statement'!M39</f>
        <v>530943.22629785433</v>
      </c>
      <c r="N48" s="60">
        <f>M48+'Income Statement'!N33+'Income Statement'!N39</f>
        <v>585495.8457688652</v>
      </c>
      <c r="O48" s="60">
        <f>N48+'Income Statement'!O33+'Income Statement'!O39</f>
        <v>646979.66176839953</v>
      </c>
      <c r="P48" s="60">
        <f>O48+'Income Statement'!P33+'Income Statement'!P39</f>
        <v>716701.45369030256</v>
      </c>
      <c r="Q48" s="60">
        <f>P48+'Income Statement'!Q33+'Income Statement'!Q39</f>
        <v>796254.78114532901</v>
      </c>
    </row>
    <row r="49" spans="2:17" x14ac:dyDescent="0.25">
      <c r="B49" s="6" t="s">
        <v>50</v>
      </c>
      <c r="C49" s="6">
        <f t="shared" ref="C49:F49" si="9">SUM(C47:C48)</f>
        <v>168246.69999999998</v>
      </c>
      <c r="D49" s="6">
        <f t="shared" si="9"/>
        <v>219298.69999999998</v>
      </c>
      <c r="E49" s="6">
        <f t="shared" si="9"/>
        <v>245759.8</v>
      </c>
      <c r="F49" s="6">
        <f t="shared" si="9"/>
        <v>268398.5</v>
      </c>
      <c r="G49" s="6">
        <f>SUM(G47:G48)</f>
        <v>298428</v>
      </c>
      <c r="H49" s="61">
        <f>SUM(H47:H48)</f>
        <v>331466.90715029358</v>
      </c>
      <c r="I49" s="61">
        <f t="shared" ref="I49:Q49" si="10">SUM(I47:I48)</f>
        <v>363962.44680141489</v>
      </c>
      <c r="J49" s="61">
        <f t="shared" si="10"/>
        <v>399697.61198333657</v>
      </c>
      <c r="K49" s="61">
        <f t="shared" si="10"/>
        <v>439130.74558970169</v>
      </c>
      <c r="L49" s="61">
        <f t="shared" si="10"/>
        <v>482837.1559669635</v>
      </c>
      <c r="M49" s="61">
        <f t="shared" si="10"/>
        <v>531529.12629785435</v>
      </c>
      <c r="N49" s="61">
        <f t="shared" si="10"/>
        <v>586081.74576886522</v>
      </c>
      <c r="O49" s="61">
        <f t="shared" si="10"/>
        <v>647565.56176839955</v>
      </c>
      <c r="P49" s="61">
        <f t="shared" si="10"/>
        <v>717287.35369030258</v>
      </c>
      <c r="Q49" s="61">
        <f t="shared" si="10"/>
        <v>796840.68114532903</v>
      </c>
    </row>
    <row r="50" spans="2:17" x14ac:dyDescent="0.25">
      <c r="B50" t="s">
        <v>51</v>
      </c>
      <c r="C50" s="146">
        <v>1.4</v>
      </c>
      <c r="D50" s="146">
        <v>-8.8000000000000007</v>
      </c>
      <c r="E50" s="146">
        <v>-19.3</v>
      </c>
      <c r="F50" s="146">
        <v>120</v>
      </c>
      <c r="G50" s="146">
        <v>80</v>
      </c>
      <c r="H50" s="62">
        <v>80</v>
      </c>
      <c r="I50" s="62">
        <v>80</v>
      </c>
      <c r="J50" s="62">
        <v>80</v>
      </c>
      <c r="K50" s="62">
        <v>80</v>
      </c>
      <c r="L50" s="62">
        <v>80</v>
      </c>
      <c r="M50" s="62">
        <v>80</v>
      </c>
      <c r="N50" s="62">
        <v>80</v>
      </c>
      <c r="O50" s="62">
        <v>80</v>
      </c>
      <c r="P50" s="62">
        <v>80</v>
      </c>
      <c r="Q50" s="62">
        <v>80</v>
      </c>
    </row>
    <row r="51" spans="2:17" x14ac:dyDescent="0.25">
      <c r="B51" s="6" t="s">
        <v>52</v>
      </c>
      <c r="C51" s="6">
        <f t="shared" ref="C51:F51" si="11">SUM(C49:C50)</f>
        <v>168248.09999999998</v>
      </c>
      <c r="D51" s="6">
        <f t="shared" si="11"/>
        <v>219289.9</v>
      </c>
      <c r="E51" s="6">
        <f t="shared" si="11"/>
        <v>245740.5</v>
      </c>
      <c r="F51" s="6">
        <f t="shared" si="11"/>
        <v>268518.5</v>
      </c>
      <c r="G51" s="14">
        <f>SUM(G49:G50)</f>
        <v>298508</v>
      </c>
      <c r="H51" s="61">
        <f>SUM(H49:H50)</f>
        <v>331546.90715029358</v>
      </c>
      <c r="I51" s="61">
        <f t="shared" ref="I51:Q51" si="12">SUM(I49:I50)</f>
        <v>364042.44680141489</v>
      </c>
      <c r="J51" s="61">
        <f t="shared" si="12"/>
        <v>399777.61198333657</v>
      </c>
      <c r="K51" s="61">
        <f t="shared" si="12"/>
        <v>439210.74558970169</v>
      </c>
      <c r="L51" s="61">
        <f t="shared" si="12"/>
        <v>482917.1559669635</v>
      </c>
      <c r="M51" s="61">
        <f t="shared" si="12"/>
        <v>531609.12629785435</v>
      </c>
      <c r="N51" s="61">
        <f t="shared" si="12"/>
        <v>586161.74576886522</v>
      </c>
      <c r="O51" s="61">
        <f t="shared" si="12"/>
        <v>647645.56176839955</v>
      </c>
      <c r="P51" s="61">
        <f t="shared" si="12"/>
        <v>717367.35369030258</v>
      </c>
      <c r="Q51" s="61">
        <f t="shared" si="12"/>
        <v>796920.68114532903</v>
      </c>
    </row>
    <row r="52" spans="2:17" x14ac:dyDescent="0.25">
      <c r="H52" s="27"/>
      <c r="I52" s="27"/>
      <c r="J52" s="27"/>
      <c r="K52" s="27"/>
      <c r="L52" s="27"/>
      <c r="M52" s="27"/>
      <c r="N52" s="27"/>
      <c r="O52" s="27"/>
      <c r="P52" s="27"/>
      <c r="Q52" s="27"/>
    </row>
    <row r="53" spans="2:17" x14ac:dyDescent="0.25">
      <c r="B53" s="1" t="s">
        <v>53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</row>
    <row r="54" spans="2:17" x14ac:dyDescent="0.25">
      <c r="B54" s="1" t="s">
        <v>54</v>
      </c>
      <c r="H54" s="27"/>
      <c r="I54" s="27"/>
      <c r="J54" s="27"/>
      <c r="K54" s="27"/>
      <c r="L54" s="27"/>
      <c r="M54" s="27"/>
      <c r="N54" s="27"/>
      <c r="O54" s="27"/>
      <c r="P54" s="27"/>
      <c r="Q54" s="27"/>
    </row>
    <row r="55" spans="2:17" x14ac:dyDescent="0.25">
      <c r="B55" s="11" t="s">
        <v>55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2:17" x14ac:dyDescent="0.25">
      <c r="B56" s="10" t="s">
        <v>56</v>
      </c>
      <c r="C56" s="146"/>
      <c r="D56" s="145">
        <v>1684.9</v>
      </c>
      <c r="E56" s="145">
        <v>2492.1</v>
      </c>
      <c r="F56" s="145">
        <v>6189.6</v>
      </c>
      <c r="G56" s="145">
        <v>21349</v>
      </c>
      <c r="H56" s="60">
        <f>'BalanceSheet Forecast'!H40</f>
        <v>7234.4719608077485</v>
      </c>
      <c r="I56" s="60">
        <f>'BalanceSheet Forecast'!I40</f>
        <v>7814.4862440384013</v>
      </c>
      <c r="J56" s="60">
        <f>'BalanceSheet Forecast'!J40</f>
        <v>8478.1175333874689</v>
      </c>
      <c r="K56" s="60">
        <f>'BalanceSheet Forecast'!K40</f>
        <v>9241.1811977263696</v>
      </c>
      <c r="L56" s="60">
        <f>'BalanceSheet Forecast'!L40</f>
        <v>10122.823855206439</v>
      </c>
      <c r="M56" s="60">
        <f>'BalanceSheet Forecast'!M40</f>
        <v>11146.255250306776</v>
      </c>
      <c r="N56" s="60">
        <f>'BalanceSheet Forecast'!N40</f>
        <v>12339.643836065652</v>
      </c>
      <c r="O56" s="60">
        <f>'BalanceSheet Forecast'!O40</f>
        <v>13737.212988833879</v>
      </c>
      <c r="P56" s="60">
        <f>'BalanceSheet Forecast'!P40</f>
        <v>15380.583148097101</v>
      </c>
      <c r="Q56" s="60">
        <f>'BalanceSheet Forecast'!Q40</f>
        <v>17320.415438316279</v>
      </c>
    </row>
    <row r="57" spans="2:17" x14ac:dyDescent="0.25">
      <c r="B57" s="10" t="s">
        <v>73</v>
      </c>
      <c r="C57" s="146"/>
      <c r="D57" s="145">
        <v>2661.9</v>
      </c>
      <c r="E57" s="145">
        <v>3186.1</v>
      </c>
      <c r="F57" s="145">
        <v>3215.3</v>
      </c>
      <c r="G57" s="145">
        <v>2525.3000000000002</v>
      </c>
      <c r="H57" s="60">
        <f>'BalanceSheet Forecast'!H42</f>
        <v>2868.5299904670533</v>
      </c>
      <c r="I57" s="60">
        <f>'BalanceSheet Forecast'!I42</f>
        <v>3098.510613152418</v>
      </c>
      <c r="J57" s="60">
        <f>'BalanceSheet Forecast'!J42</f>
        <v>3361.6460937269499</v>
      </c>
      <c r="K57" s="60">
        <f>'BalanceSheet Forecast'!K42</f>
        <v>3664.207361176721</v>
      </c>
      <c r="L57" s="60">
        <f>'BalanceSheet Forecast'!L42</f>
        <v>4013.7862133109793</v>
      </c>
      <c r="M57" s="60">
        <f>'BalanceSheet Forecast'!M42</f>
        <v>4419.5855122694993</v>
      </c>
      <c r="N57" s="60">
        <f>'BalanceSheet Forecast'!N42</f>
        <v>4892.7742905349669</v>
      </c>
      <c r="O57" s="60">
        <f>'BalanceSheet Forecast'!O42</f>
        <v>5446.9224094558222</v>
      </c>
      <c r="P57" s="60">
        <f>'BalanceSheet Forecast'!P42</f>
        <v>6098.5327291617032</v>
      </c>
      <c r="Q57" s="60">
        <f>'BalanceSheet Forecast'!Q42</f>
        <v>6867.6928186769046</v>
      </c>
    </row>
    <row r="58" spans="2:17" x14ac:dyDescent="0.25">
      <c r="B58" s="10" t="s">
        <v>57</v>
      </c>
      <c r="C58" s="145">
        <v>2644.1</v>
      </c>
      <c r="D58" s="146">
        <v>541</v>
      </c>
      <c r="E58" s="146">
        <v>113.5</v>
      </c>
      <c r="F58" s="146">
        <v>125</v>
      </c>
      <c r="G58" s="146">
        <v>154.19999999999999</v>
      </c>
      <c r="H58" s="60">
        <f>'BalanceSheet Forecast'!H44</f>
        <v>945.28305598689417</v>
      </c>
      <c r="I58" s="60">
        <f>'BalanceSheet Forecast'!I44</f>
        <v>1021.0698828815971</v>
      </c>
      <c r="J58" s="60">
        <f>'BalanceSheet Forecast'!J44</f>
        <v>1107.7824192827152</v>
      </c>
      <c r="K58" s="60">
        <f>'BalanceSheet Forecast'!K44</f>
        <v>1207.4871602018159</v>
      </c>
      <c r="L58" s="60">
        <f>'BalanceSheet Forecast'!L44</f>
        <v>1322.6858740908272</v>
      </c>
      <c r="M58" s="60">
        <f>'BalanceSheet Forecast'!M44</f>
        <v>1456.4112326234713</v>
      </c>
      <c r="N58" s="60">
        <f>'BalanceSheet Forecast'!N44</f>
        <v>1612.3438308058096</v>
      </c>
      <c r="O58" s="60">
        <f>'BalanceSheet Forecast'!O44</f>
        <v>1794.9554224794967</v>
      </c>
      <c r="P58" s="60">
        <f>'BalanceSheet Forecast'!P44</f>
        <v>2009.6842893106511</v>
      </c>
      <c r="Q58" s="60">
        <f>'BalanceSheet Forecast'!Q44</f>
        <v>2263.1500025422915</v>
      </c>
    </row>
    <row r="59" spans="2:17" x14ac:dyDescent="0.25">
      <c r="B59" t="s">
        <v>58</v>
      </c>
      <c r="C59" s="146">
        <v>747.1</v>
      </c>
      <c r="D59" s="145">
        <v>1571.1</v>
      </c>
      <c r="E59" s="145">
        <v>1717.9</v>
      </c>
      <c r="F59" s="145">
        <v>1727.2</v>
      </c>
      <c r="G59" s="145">
        <v>2257</v>
      </c>
      <c r="H59" s="60">
        <f>'BalanceSheet Forecast'!H46</f>
        <v>1973.732718371223</v>
      </c>
      <c r="I59" s="60">
        <f>'BalanceSheet Forecast'!I46</f>
        <v>2131.9741455461167</v>
      </c>
      <c r="J59" s="60">
        <f>'BalanceSheet Forecast'!J46</f>
        <v>2313.0282426272934</v>
      </c>
      <c r="K59" s="60">
        <f>'BalanceSheet Forecast'!K46</f>
        <v>2521.2098111875189</v>
      </c>
      <c r="L59" s="60">
        <f>'BalanceSheet Forecast'!L46</f>
        <v>2761.7424953152868</v>
      </c>
      <c r="M59" s="60">
        <f>'BalanceSheet Forecast'!M46</f>
        <v>3040.958454746873</v>
      </c>
      <c r="N59" s="60">
        <f>'BalanceSheet Forecast'!N46</f>
        <v>3366.5427005914121</v>
      </c>
      <c r="O59" s="60">
        <f>'BalanceSheet Forecast'!O46</f>
        <v>3747.8321682883761</v>
      </c>
      <c r="P59" s="60">
        <f>'BalanceSheet Forecast'!P46</f>
        <v>4196.1818846608467</v>
      </c>
      <c r="Q59" s="60">
        <f>'BalanceSheet Forecast'!Q46</f>
        <v>4725.4133862963981</v>
      </c>
    </row>
    <row r="60" spans="2:17" x14ac:dyDescent="0.25">
      <c r="B60" t="s">
        <v>59</v>
      </c>
      <c r="C60" s="145">
        <v>2916.9</v>
      </c>
      <c r="D60" s="145">
        <v>5745.6</v>
      </c>
      <c r="E60" s="145">
        <v>4109.6000000000004</v>
      </c>
      <c r="F60" s="145">
        <v>3896.1</v>
      </c>
      <c r="G60" s="145">
        <v>3565.6</v>
      </c>
      <c r="H60" s="60">
        <f>'BalanceSheet Forecast'!H48</f>
        <v>5073.5773157958956</v>
      </c>
      <c r="I60" s="60">
        <f>'BalanceSheet Forecast'!I48</f>
        <v>5480.3447103174003</v>
      </c>
      <c r="J60" s="60">
        <f>'BalanceSheet Forecast'!J48</f>
        <v>5945.7531981703114</v>
      </c>
      <c r="K60" s="60">
        <f>'BalanceSheet Forecast'!K48</f>
        <v>6480.8941896443703</v>
      </c>
      <c r="L60" s="60">
        <f>'BalanceSheet Forecast'!L48</f>
        <v>7099.1953195487367</v>
      </c>
      <c r="M60" s="60">
        <f>'BalanceSheet Forecast'!M48</f>
        <v>7816.9337168476977</v>
      </c>
      <c r="N60" s="60">
        <f>'BalanceSheet Forecast'!N48</f>
        <v>8653.8640816949392</v>
      </c>
      <c r="O60" s="60">
        <f>'BalanceSheet Forecast'!O48</f>
        <v>9633.9874672238639</v>
      </c>
      <c r="P60" s="60">
        <f>'BalanceSheet Forecast'!P48</f>
        <v>10786.492530020851</v>
      </c>
      <c r="Q60" s="60">
        <f>'BalanceSheet Forecast'!Q48</f>
        <v>12146.908211693564</v>
      </c>
    </row>
    <row r="61" spans="2:17" x14ac:dyDescent="0.25">
      <c r="B61" t="s">
        <v>60</v>
      </c>
      <c r="C61" s="146">
        <v>874.8</v>
      </c>
      <c r="D61" s="146">
        <v>395</v>
      </c>
      <c r="E61" s="146">
        <v>297.7</v>
      </c>
      <c r="F61" s="146">
        <v>290.39999999999998</v>
      </c>
      <c r="G61" s="146">
        <v>364.7</v>
      </c>
      <c r="H61" s="60">
        <f>'BalanceSheet Forecast'!H50</f>
        <v>566.36886249480563</v>
      </c>
      <c r="I61" s="60">
        <f>'BalanceSheet Forecast'!I50</f>
        <v>611.77674182638941</v>
      </c>
      <c r="J61" s="60">
        <f>'BalanceSheet Forecast'!J50</f>
        <v>663.73078912946687</v>
      </c>
      <c r="K61" s="60">
        <f>'BalanceSheet Forecast'!K50</f>
        <v>723.46915039812927</v>
      </c>
      <c r="L61" s="60">
        <f>'BalanceSheet Forecast'!L50</f>
        <v>792.4907668684117</v>
      </c>
      <c r="M61" s="60">
        <f>'BalanceSheet Forecast'!M50</f>
        <v>872.61267185672432</v>
      </c>
      <c r="N61" s="60">
        <f>'BalanceSheet Forecast'!N50</f>
        <v>966.04010367098397</v>
      </c>
      <c r="O61" s="60">
        <f>'BalanceSheet Forecast'!O50</f>
        <v>1075.4523255441602</v>
      </c>
      <c r="P61" s="60">
        <f>'BalanceSheet Forecast'!P50</f>
        <v>1204.1076984313747</v>
      </c>
      <c r="Q61" s="60">
        <f>'BalanceSheet Forecast'!Q50</f>
        <v>1355.9723560862867</v>
      </c>
    </row>
    <row r="62" spans="2:17" x14ac:dyDescent="0.25"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2:17" x14ac:dyDescent="0.25">
      <c r="B63" s="6" t="s">
        <v>61</v>
      </c>
      <c r="C63" s="7">
        <f t="shared" ref="C63:F63" si="13">SUM(C56:C62)</f>
        <v>7182.9000000000005</v>
      </c>
      <c r="D63" s="7">
        <f t="shared" si="13"/>
        <v>12599.5</v>
      </c>
      <c r="E63" s="7">
        <f t="shared" si="13"/>
        <v>11916.900000000001</v>
      </c>
      <c r="F63" s="7">
        <f t="shared" si="13"/>
        <v>15443.600000000002</v>
      </c>
      <c r="G63" s="7">
        <f>SUM(G56:G62)</f>
        <v>30215.8</v>
      </c>
      <c r="H63" s="61">
        <f>SUM(H56:H62)</f>
        <v>18661.963903923621</v>
      </c>
      <c r="I63" s="61">
        <f t="shared" ref="I63:Q63" si="14">SUM(I56:I62)</f>
        <v>20158.162337762325</v>
      </c>
      <c r="J63" s="61">
        <f t="shared" si="14"/>
        <v>21870.058276324206</v>
      </c>
      <c r="K63" s="61">
        <f t="shared" si="14"/>
        <v>23838.448870334927</v>
      </c>
      <c r="L63" s="61">
        <f t="shared" si="14"/>
        <v>26112.72452434068</v>
      </c>
      <c r="M63" s="61">
        <f t="shared" si="14"/>
        <v>28752.756838651039</v>
      </c>
      <c r="N63" s="61">
        <f t="shared" si="14"/>
        <v>31831.208843363765</v>
      </c>
      <c r="O63" s="61">
        <f t="shared" si="14"/>
        <v>35436.362781825599</v>
      </c>
      <c r="P63" s="61">
        <f t="shared" si="14"/>
        <v>39675.58227968253</v>
      </c>
      <c r="Q63" s="61">
        <f t="shared" si="14"/>
        <v>44679.552213611714</v>
      </c>
    </row>
    <row r="64" spans="2:17" x14ac:dyDescent="0.25">
      <c r="H64" s="27"/>
      <c r="I64" s="27"/>
      <c r="J64" s="27"/>
      <c r="K64" s="27"/>
      <c r="L64" s="27"/>
      <c r="M64" s="27"/>
      <c r="N64" s="27"/>
      <c r="O64" s="27"/>
      <c r="P64" s="27"/>
      <c r="Q64" s="27"/>
    </row>
    <row r="65" spans="2:17" x14ac:dyDescent="0.25">
      <c r="B65" s="1" t="s">
        <v>62</v>
      </c>
      <c r="H65" s="27"/>
      <c r="I65" s="27"/>
      <c r="J65" s="27"/>
      <c r="K65" s="27"/>
      <c r="L65" s="27"/>
      <c r="M65" s="27"/>
      <c r="N65" s="27"/>
      <c r="O65" s="27"/>
      <c r="P65" s="27"/>
      <c r="Q65" s="27"/>
    </row>
    <row r="66" spans="2:17" x14ac:dyDescent="0.25">
      <c r="B66" t="s">
        <v>55</v>
      </c>
      <c r="H66" s="27"/>
      <c r="I66" s="27"/>
      <c r="J66" s="27"/>
      <c r="K66" s="27"/>
      <c r="L66" s="27"/>
      <c r="M66" s="27"/>
      <c r="N66" s="27"/>
      <c r="O66" s="27"/>
      <c r="P66" s="27"/>
      <c r="Q66" s="27"/>
    </row>
    <row r="67" spans="2:17" x14ac:dyDescent="0.25">
      <c r="B67" s="10" t="s">
        <v>56</v>
      </c>
      <c r="C67" s="145">
        <v>54223</v>
      </c>
      <c r="D67" s="145">
        <v>48037.8</v>
      </c>
      <c r="E67" s="145">
        <v>21235.599999999999</v>
      </c>
      <c r="F67" s="145">
        <v>42425.599999999999</v>
      </c>
      <c r="G67" s="145">
        <v>41803.199999999997</v>
      </c>
      <c r="H67" s="60">
        <f>'BalanceSheet Forecast'!H54</f>
        <v>52040.675469213944</v>
      </c>
      <c r="I67" s="60">
        <f>'BalanceSheet Forecast'!I54</f>
        <v>56212.968242568604</v>
      </c>
      <c r="J67" s="60">
        <f>'BalanceSheet Forecast'!J54</f>
        <v>60986.754186771075</v>
      </c>
      <c r="K67" s="60">
        <f>'BalanceSheet Forecast'!K54</f>
        <v>66475.800067844088</v>
      </c>
      <c r="L67" s="60">
        <f>'BalanceSheet Forecast'!L54</f>
        <v>72817.835763924493</v>
      </c>
      <c r="M67" s="60">
        <f>'BalanceSheet Forecast'!M54</f>
        <v>80179.818972367939</v>
      </c>
      <c r="N67" s="60">
        <f>'BalanceSheet Forecast'!N54</f>
        <v>88764.377518809197</v>
      </c>
      <c r="O67" s="60">
        <f>'BalanceSheet Forecast'!O54</f>
        <v>98817.69490244241</v>
      </c>
      <c r="P67" s="60">
        <f>'BalanceSheet Forecast'!P54</f>
        <v>110639.16488633589</v>
      </c>
      <c r="Q67" s="60">
        <f>'BalanceSheet Forecast'!Q54</f>
        <v>124593.21477786754</v>
      </c>
    </row>
    <row r="68" spans="2:17" x14ac:dyDescent="0.25">
      <c r="B68" s="10" t="s">
        <v>73</v>
      </c>
      <c r="C68" s="146"/>
      <c r="D68" s="145">
        <v>1006.2</v>
      </c>
      <c r="E68" s="145">
        <v>1598.9</v>
      </c>
      <c r="F68" s="145">
        <v>1031.5999999999999</v>
      </c>
      <c r="G68" s="146">
        <v>798.8</v>
      </c>
      <c r="H68" s="60">
        <f>'BalanceSheet Forecast'!H56</f>
        <v>1109.6164731304586</v>
      </c>
      <c r="I68" s="60">
        <f>'BalanceSheet Forecast'!I56</f>
        <v>1198.5785158075623</v>
      </c>
      <c r="J68" s="60">
        <f>'BalanceSheet Forecast'!J56</f>
        <v>1300.3656558691728</v>
      </c>
      <c r="K68" s="60">
        <f>'BalanceSheet Forecast'!K56</f>
        <v>1417.4036396480467</v>
      </c>
      <c r="L68" s="60">
        <f>'BalanceSheet Forecast'!L56</f>
        <v>1552.6291573436285</v>
      </c>
      <c r="M68" s="60">
        <f>'BalanceSheet Forecast'!M56</f>
        <v>1709.6020976320622</v>
      </c>
      <c r="N68" s="60">
        <f>'BalanceSheet Forecast'!N56</f>
        <v>1892.6429112225621</v>
      </c>
      <c r="O68" s="60">
        <f>'BalanceSheet Forecast'!O56</f>
        <v>2107.0007472404177</v>
      </c>
      <c r="P68" s="60">
        <f>'BalanceSheet Forecast'!P56</f>
        <v>2359.0593093646803</v>
      </c>
      <c r="Q68" s="60">
        <f>'BalanceSheet Forecast'!Q56</f>
        <v>2656.588952992915</v>
      </c>
    </row>
    <row r="69" spans="2:17" x14ac:dyDescent="0.25">
      <c r="B69" s="12" t="s">
        <v>63</v>
      </c>
      <c r="C69" s="146"/>
      <c r="D69" s="146"/>
      <c r="E69" s="146"/>
      <c r="F69" s="146"/>
      <c r="G69" s="146"/>
      <c r="H69" s="60"/>
      <c r="I69" s="60"/>
      <c r="J69" s="60"/>
      <c r="K69" s="60"/>
      <c r="L69" s="60"/>
      <c r="M69" s="60"/>
      <c r="N69" s="60"/>
      <c r="O69" s="60"/>
      <c r="P69" s="60"/>
      <c r="Q69" s="60"/>
    </row>
    <row r="70" spans="2:17" x14ac:dyDescent="0.25">
      <c r="B70" s="13" t="s">
        <v>64</v>
      </c>
      <c r="C70" s="146">
        <v>427.8</v>
      </c>
      <c r="D70" s="146">
        <v>176.9</v>
      </c>
      <c r="E70" s="146">
        <v>384.7</v>
      </c>
      <c r="F70" s="146">
        <v>622.70000000000005</v>
      </c>
      <c r="G70" s="146">
        <v>791.5</v>
      </c>
      <c r="H70" s="60"/>
      <c r="I70" s="60"/>
      <c r="J70" s="60"/>
      <c r="K70" s="60"/>
      <c r="L70" s="60"/>
      <c r="M70" s="60"/>
      <c r="N70" s="60"/>
      <c r="O70" s="60"/>
      <c r="P70" s="60"/>
      <c r="Q70" s="60"/>
    </row>
    <row r="71" spans="2:17" x14ac:dyDescent="0.25">
      <c r="B71" s="13" t="s">
        <v>65</v>
      </c>
      <c r="C71" s="145">
        <v>25332.799999999999</v>
      </c>
      <c r="D71" s="145">
        <v>27769.9</v>
      </c>
      <c r="E71" s="145">
        <v>26645.8</v>
      </c>
      <c r="F71" s="145">
        <v>38090.400000000001</v>
      </c>
      <c r="G71" s="145">
        <v>43750.1</v>
      </c>
      <c r="H71" s="60">
        <f>'Working Capital'!H13</f>
        <v>40361.707745401487</v>
      </c>
      <c r="I71" s="60">
        <f>'Working Capital'!I13</f>
        <v>43597.654627874472</v>
      </c>
      <c r="J71" s="60">
        <f>'Working Capital'!J13</f>
        <v>47300.107591479631</v>
      </c>
      <c r="K71" s="60">
        <f>'Working Capital'!K13</f>
        <v>51557.301866062611</v>
      </c>
      <c r="L71" s="60">
        <f>'Working Capital'!L13</f>
        <v>56476.057992268754</v>
      </c>
      <c r="M71" s="60">
        <f>'Working Capital'!M13</f>
        <v>62185.865023146536</v>
      </c>
      <c r="N71" s="60">
        <f>'Working Capital'!N13</f>
        <v>68843.877050291063</v>
      </c>
      <c r="O71" s="60">
        <f>'Working Capital'!O13</f>
        <v>76641.029075153056</v>
      </c>
      <c r="P71" s="60">
        <f>'Working Capital'!P13</f>
        <v>85809.524916318798</v>
      </c>
      <c r="Q71" s="60">
        <f>'Working Capital'!Q13</f>
        <v>96632.007109501195</v>
      </c>
    </row>
    <row r="72" spans="2:17" x14ac:dyDescent="0.25">
      <c r="B72" s="10" t="s">
        <v>66</v>
      </c>
      <c r="C72" s="145">
        <v>22386.9</v>
      </c>
      <c r="D72" s="145">
        <v>20275</v>
      </c>
      <c r="E72" s="145">
        <v>17746.5</v>
      </c>
      <c r="F72" s="145">
        <v>17213.7</v>
      </c>
      <c r="G72" s="145">
        <v>21015.9</v>
      </c>
      <c r="H72" s="60">
        <f>'BalanceSheet Forecast'!H58</f>
        <v>24718.160669289253</v>
      </c>
      <c r="I72" s="60">
        <f>'BalanceSheet Forecast'!I58</f>
        <v>26699.906720838972</v>
      </c>
      <c r="J72" s="60">
        <f>'BalanceSheet Forecast'!J58</f>
        <v>28967.348619040255</v>
      </c>
      <c r="K72" s="60">
        <f>'BalanceSheet Forecast'!K58</f>
        <v>31574.523041473098</v>
      </c>
      <c r="L72" s="60">
        <f>'BalanceSheet Forecast'!L58</f>
        <v>34586.848609745575</v>
      </c>
      <c r="M72" s="60">
        <f>'BalanceSheet Forecast'!M58</f>
        <v>38083.626507998772</v>
      </c>
      <c r="N72" s="60">
        <f>'BalanceSheet Forecast'!N58</f>
        <v>42161.100436087669</v>
      </c>
      <c r="O72" s="60">
        <f>'BalanceSheet Forecast'!O58</f>
        <v>46936.202067791332</v>
      </c>
      <c r="P72" s="60">
        <f>'BalanceSheet Forecast'!P58</f>
        <v>52551.136765976036</v>
      </c>
      <c r="Q72" s="60">
        <f>'BalanceSheet Forecast'!Q58</f>
        <v>59178.99937721758</v>
      </c>
    </row>
    <row r="73" spans="2:17" x14ac:dyDescent="0.25">
      <c r="B73" t="s">
        <v>67</v>
      </c>
      <c r="C73" s="145">
        <v>6358.7</v>
      </c>
      <c r="D73" s="145">
        <v>5561.9</v>
      </c>
      <c r="E73" s="145">
        <v>11662.4</v>
      </c>
      <c r="F73" s="145">
        <v>11432.5</v>
      </c>
      <c r="G73" s="145">
        <v>8773.7999999999993</v>
      </c>
      <c r="H73" s="60">
        <f>'BalanceSheet Forecast'!H60</f>
        <v>10978.851794949343</v>
      </c>
      <c r="I73" s="60">
        <f>'BalanceSheet Forecast'!I60</f>
        <v>11859.066811199418</v>
      </c>
      <c r="J73" s="60">
        <f>'BalanceSheet Forecast'!J60</f>
        <v>12866.176882497708</v>
      </c>
      <c r="K73" s="60">
        <f>'BalanceSheet Forecast'!K60</f>
        <v>14024.18301290676</v>
      </c>
      <c r="L73" s="60">
        <f>'BalanceSheet Forecast'!L60</f>
        <v>15362.141626198314</v>
      </c>
      <c r="M73" s="60">
        <f>'BalanceSheet Forecast'!M60</f>
        <v>16915.275243962769</v>
      </c>
      <c r="N73" s="60">
        <f>'BalanceSheet Forecast'!N60</f>
        <v>18726.33159856754</v>
      </c>
      <c r="O73" s="60">
        <f>'BalanceSheet Forecast'!O60</f>
        <v>20847.247220959707</v>
      </c>
      <c r="P73" s="60">
        <f>'BalanceSheet Forecast'!P60</f>
        <v>23341.184238137495</v>
      </c>
      <c r="Q73" s="60">
        <f>'BalanceSheet Forecast'!Q60</f>
        <v>26285.024692112471</v>
      </c>
    </row>
    <row r="74" spans="2:17" x14ac:dyDescent="0.25">
      <c r="B74" t="s">
        <v>58</v>
      </c>
      <c r="C74" s="145">
        <v>4166.3999999999996</v>
      </c>
      <c r="D74" s="145">
        <v>1719.3</v>
      </c>
      <c r="E74" s="145">
        <v>1705.6</v>
      </c>
      <c r="F74" s="145">
        <v>2005.3</v>
      </c>
      <c r="G74" s="145">
        <v>2567.9</v>
      </c>
      <c r="H74" s="60">
        <f>'BalanceSheet Forecast'!H62</f>
        <v>3068.1786533405548</v>
      </c>
      <c r="I74" s="60">
        <f>'BalanceSheet Forecast'!I62</f>
        <v>3314.1658452298461</v>
      </c>
      <c r="J74" s="60">
        <f>'BalanceSheet Forecast'!J62</f>
        <v>3595.6154612765076</v>
      </c>
      <c r="K74" s="60">
        <f>'BalanceSheet Forecast'!K62</f>
        <v>3919.2348848844517</v>
      </c>
      <c r="L74" s="60">
        <f>'BalanceSheet Forecast'!L62</f>
        <v>4293.1443002791257</v>
      </c>
      <c r="M74" s="60">
        <f>'BalanceSheet Forecast'!M62</f>
        <v>4727.1870855185343</v>
      </c>
      <c r="N74" s="60">
        <f>'BalanceSheet Forecast'!N62</f>
        <v>5233.3096337572642</v>
      </c>
      <c r="O74" s="60">
        <f>'BalanceSheet Forecast'!O62</f>
        <v>5826.026263847285</v>
      </c>
      <c r="P74" s="60">
        <f>'BalanceSheet Forecast'!P62</f>
        <v>6522.9884290894479</v>
      </c>
      <c r="Q74" s="60">
        <f>'BalanceSheet Forecast'!Q62</f>
        <v>7345.6817861380905</v>
      </c>
    </row>
    <row r="75" spans="2:17" x14ac:dyDescent="0.25">
      <c r="B75" t="s">
        <v>68</v>
      </c>
      <c r="C75" s="146">
        <v>950.8</v>
      </c>
      <c r="D75" s="145">
        <v>2103.5</v>
      </c>
      <c r="E75" s="146">
        <v>580.29999999999995</v>
      </c>
      <c r="F75" s="145">
        <v>2116</v>
      </c>
      <c r="G75" s="145">
        <v>2490.1</v>
      </c>
      <c r="H75" s="60">
        <f>'BalanceSheet Forecast'!H64</f>
        <v>2007.9768571859779</v>
      </c>
      <c r="I75" s="60">
        <f>'BalanceSheet Forecast'!I64</f>
        <v>2168.9637631929268</v>
      </c>
      <c r="J75" s="60">
        <f>'BalanceSheet Forecast'!J64</f>
        <v>2353.1591374975687</v>
      </c>
      <c r="K75" s="60">
        <f>'BalanceSheet Forecast'!K64</f>
        <v>2564.9526432092098</v>
      </c>
      <c r="L75" s="60">
        <f>'BalanceSheet Forecast'!L64</f>
        <v>2809.6585543135029</v>
      </c>
      <c r="M75" s="60">
        <f>'BalanceSheet Forecast'!M64</f>
        <v>3093.7188931208134</v>
      </c>
      <c r="N75" s="60">
        <f>'BalanceSheet Forecast'!N64</f>
        <v>3424.9520052007961</v>
      </c>
      <c r="O75" s="60">
        <f>'BalanceSheet Forecast'!O64</f>
        <v>3812.8568212369182</v>
      </c>
      <c r="P75" s="60">
        <f>'BalanceSheet Forecast'!P64</f>
        <v>4268.9853770551299</v>
      </c>
      <c r="Q75" s="60">
        <f>'BalanceSheet Forecast'!Q64</f>
        <v>4807.3990120355156</v>
      </c>
    </row>
    <row r="77" spans="2:17" x14ac:dyDescent="0.25">
      <c r="B77" s="6" t="s">
        <v>69</v>
      </c>
      <c r="C77" s="7">
        <f t="shared" ref="C77:F77" si="15">SUM(C67:C75)</f>
        <v>113846.39999999999</v>
      </c>
      <c r="D77" s="7">
        <f t="shared" si="15"/>
        <v>106650.5</v>
      </c>
      <c r="E77" s="7">
        <f t="shared" si="15"/>
        <v>81559.8</v>
      </c>
      <c r="F77" s="7">
        <f t="shared" si="15"/>
        <v>114937.79999999999</v>
      </c>
      <c r="G77" s="7">
        <f>SUM(G67:G75)</f>
        <v>121991.3</v>
      </c>
      <c r="H77" s="7">
        <f>SUM(H67:H75)</f>
        <v>134285.16766251103</v>
      </c>
      <c r="I77" s="7">
        <f t="shared" ref="I77:Q77" si="16">SUM(I67:I75)</f>
        <v>145051.30452671181</v>
      </c>
      <c r="J77" s="7">
        <f t="shared" si="16"/>
        <v>157369.52753443189</v>
      </c>
      <c r="K77" s="7">
        <f t="shared" si="16"/>
        <v>171533.39915602823</v>
      </c>
      <c r="L77" s="7">
        <f t="shared" si="16"/>
        <v>187898.31600407336</v>
      </c>
      <c r="M77" s="7">
        <f t="shared" si="16"/>
        <v>206895.09382374742</v>
      </c>
      <c r="N77" s="7">
        <f t="shared" si="16"/>
        <v>229046.59115393605</v>
      </c>
      <c r="O77" s="7">
        <f t="shared" si="16"/>
        <v>254988.05709867115</v>
      </c>
      <c r="P77" s="7">
        <f t="shared" si="16"/>
        <v>285492.04392227746</v>
      </c>
      <c r="Q77" s="7">
        <f t="shared" si="16"/>
        <v>321498.91570786532</v>
      </c>
    </row>
    <row r="79" spans="2:17" x14ac:dyDescent="0.25">
      <c r="B79" s="6" t="s">
        <v>70</v>
      </c>
      <c r="C79" s="7">
        <f t="shared" ref="C79:F79" si="17">SUM(C77,C63,C51)</f>
        <v>289277.39999999997</v>
      </c>
      <c r="D79" s="7">
        <f t="shared" si="17"/>
        <v>338539.9</v>
      </c>
      <c r="E79" s="7">
        <f t="shared" si="17"/>
        <v>339217.2</v>
      </c>
      <c r="F79" s="7">
        <f t="shared" si="17"/>
        <v>398899.9</v>
      </c>
      <c r="G79" s="7">
        <f>SUM(G77,G63,G51)</f>
        <v>450715.1</v>
      </c>
      <c r="H79" s="7">
        <f>SUM(H77,H63,H51)</f>
        <v>484494.03871672822</v>
      </c>
      <c r="I79" s="7">
        <f t="shared" ref="I79:Q79" si="18">SUM(I77,I63,I51)</f>
        <v>529251.91366588906</v>
      </c>
      <c r="J79" s="7">
        <f t="shared" si="18"/>
        <v>579017.1977940927</v>
      </c>
      <c r="K79" s="7">
        <f t="shared" si="18"/>
        <v>634582.59361606487</v>
      </c>
      <c r="L79" s="7">
        <f t="shared" si="18"/>
        <v>696928.19649537758</v>
      </c>
      <c r="M79" s="7">
        <f t="shared" si="18"/>
        <v>767256.97696025274</v>
      </c>
      <c r="N79" s="7">
        <f t="shared" si="18"/>
        <v>847039.54576616501</v>
      </c>
      <c r="O79" s="7">
        <f t="shared" si="18"/>
        <v>938069.98164889636</v>
      </c>
      <c r="P79" s="7">
        <f t="shared" si="18"/>
        <v>1042534.9798922625</v>
      </c>
      <c r="Q79" s="7">
        <f t="shared" si="18"/>
        <v>1163099.1490668061</v>
      </c>
    </row>
    <row r="81" spans="2:17" ht="15.75" thickBot="1" x14ac:dyDescent="0.3">
      <c r="B81" s="8" t="s">
        <v>74</v>
      </c>
      <c r="C81" s="8" t="b">
        <f>C79=C43</f>
        <v>1</v>
      </c>
      <c r="D81" s="8" t="b">
        <f t="shared" ref="D81:Q81" si="19">D79=D43</f>
        <v>1</v>
      </c>
      <c r="E81" s="8" t="b">
        <f t="shared" si="19"/>
        <v>1</v>
      </c>
      <c r="F81" s="8" t="b">
        <f t="shared" si="19"/>
        <v>1</v>
      </c>
      <c r="G81" s="8" t="b">
        <f t="shared" si="19"/>
        <v>1</v>
      </c>
      <c r="H81" s="8" t="b">
        <f t="shared" si="19"/>
        <v>1</v>
      </c>
      <c r="I81" s="8" t="b">
        <f t="shared" si="19"/>
        <v>1</v>
      </c>
      <c r="J81" s="8" t="b">
        <f t="shared" si="19"/>
        <v>1</v>
      </c>
      <c r="K81" s="8" t="b">
        <f t="shared" si="19"/>
        <v>1</v>
      </c>
      <c r="L81" s="8" t="b">
        <f t="shared" si="19"/>
        <v>1</v>
      </c>
      <c r="M81" s="8" t="b">
        <f t="shared" si="19"/>
        <v>1</v>
      </c>
      <c r="N81" s="8" t="b">
        <f t="shared" si="19"/>
        <v>1</v>
      </c>
      <c r="O81" s="8" t="b">
        <f t="shared" si="19"/>
        <v>1</v>
      </c>
      <c r="P81" s="8" t="b">
        <f t="shared" si="19"/>
        <v>1</v>
      </c>
      <c r="Q81" s="8" t="b">
        <f t="shared" si="19"/>
        <v>1</v>
      </c>
    </row>
  </sheetData>
  <mergeCells count="1">
    <mergeCell ref="B6:Q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Q101"/>
  <sheetViews>
    <sheetView showGridLines="0" workbookViewId="0">
      <selection activeCell="B6" sqref="B6:Q6"/>
    </sheetView>
  </sheetViews>
  <sheetFormatPr defaultRowHeight="15" x14ac:dyDescent="0.25"/>
  <cols>
    <col min="1" max="1" width="1.85546875" customWidth="1"/>
    <col min="2" max="2" width="38.140625" bestFit="1" customWidth="1"/>
    <col min="3" max="3" width="12.7109375" bestFit="1" customWidth="1"/>
    <col min="4" max="4" width="9.85546875" bestFit="1" customWidth="1"/>
    <col min="5" max="7" width="12.7109375" bestFit="1" customWidth="1"/>
    <col min="8" max="17" width="10.7109375" customWidth="1"/>
  </cols>
  <sheetData>
    <row r="6" spans="2:17" x14ac:dyDescent="0.25">
      <c r="B6" s="131" t="s">
        <v>272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8" spans="2:17" x14ac:dyDescent="0.25">
      <c r="B8" s="126" t="s">
        <v>0</v>
      </c>
      <c r="C8" s="126">
        <v>2020</v>
      </c>
      <c r="D8" s="126">
        <f>C8+1</f>
        <v>2021</v>
      </c>
      <c r="E8" s="126">
        <f t="shared" ref="E8:Q8" si="0">D8+1</f>
        <v>2022</v>
      </c>
      <c r="F8" s="126">
        <f t="shared" si="0"/>
        <v>2023</v>
      </c>
      <c r="G8" s="126">
        <f t="shared" si="0"/>
        <v>2024</v>
      </c>
      <c r="H8" s="127">
        <f t="shared" si="0"/>
        <v>2025</v>
      </c>
      <c r="I8" s="127">
        <f t="shared" si="0"/>
        <v>2026</v>
      </c>
      <c r="J8" s="127">
        <f t="shared" si="0"/>
        <v>2027</v>
      </c>
      <c r="K8" s="127">
        <f t="shared" si="0"/>
        <v>2028</v>
      </c>
      <c r="L8" s="127">
        <f t="shared" si="0"/>
        <v>2029</v>
      </c>
      <c r="M8" s="127">
        <f t="shared" si="0"/>
        <v>2030</v>
      </c>
      <c r="N8" s="127">
        <f t="shared" si="0"/>
        <v>2031</v>
      </c>
      <c r="O8" s="127">
        <f t="shared" si="0"/>
        <v>2032</v>
      </c>
      <c r="P8" s="127">
        <f t="shared" si="0"/>
        <v>2033</v>
      </c>
      <c r="Q8" s="127">
        <f t="shared" si="0"/>
        <v>2034</v>
      </c>
    </row>
    <row r="9" spans="2:17" x14ac:dyDescent="0.25">
      <c r="B9" s="1" t="s">
        <v>173</v>
      </c>
    </row>
    <row r="10" spans="2:17" x14ac:dyDescent="0.25">
      <c r="B10" s="2" t="s">
        <v>172</v>
      </c>
      <c r="C10" s="34">
        <v>74283.3</v>
      </c>
      <c r="D10" s="34">
        <f>C18</f>
        <v>89775.200000000012</v>
      </c>
      <c r="E10" s="34">
        <v>94579.4</v>
      </c>
      <c r="F10" s="34">
        <f>E18</f>
        <v>108971.99999999999</v>
      </c>
      <c r="G10" s="34">
        <f>F18</f>
        <v>129175.09999999999</v>
      </c>
      <c r="H10" s="34">
        <f t="shared" ref="H10:Q10" si="1">G18</f>
        <v>174703.9</v>
      </c>
      <c r="I10" s="34">
        <f t="shared" si="1"/>
        <v>193864.75999999998</v>
      </c>
      <c r="J10" s="34">
        <f t="shared" si="1"/>
        <v>213983.66299999997</v>
      </c>
      <c r="K10" s="34">
        <f t="shared" si="1"/>
        <v>235108.51114999998</v>
      </c>
      <c r="L10" s="34">
        <f t="shared" si="1"/>
        <v>257289.60170749997</v>
      </c>
      <c r="M10" s="34">
        <f t="shared" si="1"/>
        <v>280579.746792875</v>
      </c>
      <c r="N10" s="34">
        <f t="shared" si="1"/>
        <v>305034.39913251874</v>
      </c>
      <c r="O10" s="34">
        <f t="shared" si="1"/>
        <v>330711.78408914467</v>
      </c>
      <c r="P10" s="34">
        <f t="shared" si="1"/>
        <v>357673.03829360189</v>
      </c>
      <c r="Q10" s="34">
        <f t="shared" si="1"/>
        <v>385982.35520828201</v>
      </c>
    </row>
    <row r="11" spans="2:17" x14ac:dyDescent="0.25">
      <c r="B11" t="s">
        <v>174</v>
      </c>
      <c r="C11" s="147">
        <v>15361.3</v>
      </c>
      <c r="D11" s="147">
        <v>9627.5</v>
      </c>
      <c r="E11" s="147">
        <v>16164.9</v>
      </c>
      <c r="F11" s="147">
        <v>8771.6</v>
      </c>
      <c r="G11" s="147">
        <v>45879</v>
      </c>
      <c r="H11" s="50">
        <f>AVERAGE(C11:G11)</f>
        <v>19160.859999999997</v>
      </c>
      <c r="I11" s="50">
        <f>H11*(1+5%)</f>
        <v>20118.902999999998</v>
      </c>
      <c r="J11" s="50">
        <f t="shared" ref="J11:Q11" si="2">I11*(1+5%)</f>
        <v>21124.848149999998</v>
      </c>
      <c r="K11" s="50">
        <f t="shared" si="2"/>
        <v>22181.0905575</v>
      </c>
      <c r="L11" s="50">
        <f t="shared" si="2"/>
        <v>23290.145085374999</v>
      </c>
      <c r="M11" s="50">
        <f t="shared" si="2"/>
        <v>24454.652339643751</v>
      </c>
      <c r="N11" s="50">
        <f t="shared" si="2"/>
        <v>25677.384956625941</v>
      </c>
      <c r="O11" s="50">
        <f t="shared" si="2"/>
        <v>26961.25420445724</v>
      </c>
      <c r="P11" s="50">
        <f t="shared" si="2"/>
        <v>28309.316914680105</v>
      </c>
      <c r="Q11" s="50">
        <f t="shared" si="2"/>
        <v>29724.782760414109</v>
      </c>
    </row>
    <row r="12" spans="2:17" x14ac:dyDescent="0.25">
      <c r="B12" t="s">
        <v>175</v>
      </c>
      <c r="C12" s="147">
        <v>-499.5</v>
      </c>
      <c r="D12" s="147">
        <v>-2233.1999999999998</v>
      </c>
      <c r="E12" s="147">
        <v>-2166.1</v>
      </c>
      <c r="F12" s="147">
        <v>-540.1</v>
      </c>
      <c r="G12" s="147">
        <v>-748.4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2:17" x14ac:dyDescent="0.25">
      <c r="B13" t="s">
        <v>183</v>
      </c>
      <c r="C13" s="147"/>
      <c r="D13" s="147">
        <v>-995.3</v>
      </c>
      <c r="E13" s="147"/>
      <c r="F13" s="147"/>
      <c r="G13" s="147">
        <v>-14.8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2:17" x14ac:dyDescent="0.25">
      <c r="B14" t="s">
        <v>184</v>
      </c>
      <c r="C14" s="147"/>
      <c r="D14" s="147">
        <v>5423.2</v>
      </c>
      <c r="E14" s="147"/>
      <c r="F14" s="147">
        <v>10600.6</v>
      </c>
      <c r="G14" s="147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spans="2:17" x14ac:dyDescent="0.25">
      <c r="B15" t="s">
        <v>185</v>
      </c>
      <c r="C15" s="147"/>
      <c r="D15" s="147">
        <v>-970.7</v>
      </c>
      <c r="E15" s="147"/>
      <c r="F15" s="147"/>
      <c r="G15" s="147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2:17" x14ac:dyDescent="0.25">
      <c r="B16" t="s">
        <v>176</v>
      </c>
      <c r="C16" s="147">
        <v>-913</v>
      </c>
      <c r="D16" s="147"/>
      <c r="E16" s="147"/>
      <c r="F16" s="147"/>
      <c r="G16" s="147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spans="2:17" x14ac:dyDescent="0.25">
      <c r="B17" t="s">
        <v>177</v>
      </c>
      <c r="C17" s="147">
        <v>1543.1</v>
      </c>
      <c r="D17" s="147">
        <v>-303.39999999999998</v>
      </c>
      <c r="E17" s="147">
        <v>393.8</v>
      </c>
      <c r="F17" s="147">
        <v>1371</v>
      </c>
      <c r="G17" s="147">
        <v>413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spans="2:17" x14ac:dyDescent="0.25">
      <c r="B18" s="2" t="s">
        <v>178</v>
      </c>
      <c r="C18" s="34">
        <f>SUM(C10:C17)</f>
        <v>89775.200000000012</v>
      </c>
      <c r="D18" s="34">
        <f>SUM(D10:D17)</f>
        <v>100323.30000000002</v>
      </c>
      <c r="E18" s="34">
        <f>SUM(E10:E17)</f>
        <v>108971.99999999999</v>
      </c>
      <c r="F18" s="34">
        <f>SUM(F10:F17)</f>
        <v>129175.09999999999</v>
      </c>
      <c r="G18" s="34">
        <f>SUM(G10:G17)</f>
        <v>174703.9</v>
      </c>
      <c r="H18" s="34">
        <f>SUM(H10:H17)</f>
        <v>193864.75999999998</v>
      </c>
      <c r="I18" s="34">
        <f t="shared" ref="H18:Q18" si="3">SUM(I10:I17)</f>
        <v>213983.66299999997</v>
      </c>
      <c r="J18" s="34">
        <f t="shared" si="3"/>
        <v>235108.51114999998</v>
      </c>
      <c r="K18" s="34">
        <f t="shared" si="3"/>
        <v>257289.60170749997</v>
      </c>
      <c r="L18" s="34">
        <f t="shared" si="3"/>
        <v>280579.746792875</v>
      </c>
      <c r="M18" s="34">
        <f t="shared" si="3"/>
        <v>305034.39913251874</v>
      </c>
      <c r="N18" s="34">
        <f t="shared" si="3"/>
        <v>330711.78408914467</v>
      </c>
      <c r="O18" s="34">
        <f t="shared" si="3"/>
        <v>357673.03829360189</v>
      </c>
      <c r="P18" s="34">
        <f t="shared" si="3"/>
        <v>385982.35520828201</v>
      </c>
      <c r="Q18" s="34">
        <f t="shared" si="3"/>
        <v>415707.13796869613</v>
      </c>
    </row>
    <row r="19" spans="2:17" x14ac:dyDescent="0.25">
      <c r="B19" t="s">
        <v>179</v>
      </c>
      <c r="C19" s="147">
        <v>-17346.8</v>
      </c>
      <c r="D19" s="147">
        <v>-24827.1</v>
      </c>
      <c r="E19" s="147">
        <v>-29847.7</v>
      </c>
      <c r="F19" s="147">
        <v>-36767.800000000003</v>
      </c>
      <c r="G19" s="147">
        <v>-53741.4</v>
      </c>
      <c r="H19" s="50">
        <f>SUM(G19:G26)</f>
        <v>-62095.599999999991</v>
      </c>
      <c r="I19" s="50">
        <f t="shared" ref="I19:Q19" si="4">SUM(H19:H26)</f>
        <v>-75006.628691950667</v>
      </c>
      <c r="J19" s="50">
        <f t="shared" si="4"/>
        <v>-88634.227577555605</v>
      </c>
      <c r="K19" s="50">
        <f t="shared" si="4"/>
        <v>-103006.08255857386</v>
      </c>
      <c r="L19" s="50">
        <f t="shared" si="4"/>
        <v>-118152.19741707247</v>
      </c>
      <c r="M19" s="50">
        <f t="shared" si="4"/>
        <v>-134104.90266985801</v>
      </c>
      <c r="N19" s="50">
        <f t="shared" si="4"/>
        <v>-150898.87713818118</v>
      </c>
      <c r="O19" s="50">
        <f t="shared" si="4"/>
        <v>-168571.1814613766</v>
      </c>
      <c r="P19" s="50">
        <f t="shared" si="4"/>
        <v>-187161.30290586414</v>
      </c>
      <c r="Q19" s="50">
        <f t="shared" si="4"/>
        <v>-206711.21093134169</v>
      </c>
    </row>
    <row r="20" spans="2:17" x14ac:dyDescent="0.25">
      <c r="B20" t="s">
        <v>180</v>
      </c>
      <c r="C20" s="147">
        <v>-7307</v>
      </c>
      <c r="D20" s="147">
        <v>-8016.4</v>
      </c>
      <c r="E20" s="147">
        <v>-7196.3</v>
      </c>
      <c r="F20" s="147">
        <v>-7601.9</v>
      </c>
      <c r="G20" s="147">
        <v>-8648.7999999999993</v>
      </c>
      <c r="H20" s="50">
        <f>G20/F27*G27</f>
        <v>-12911.028691950682</v>
      </c>
      <c r="I20" s="50">
        <f t="shared" ref="I20:Q20" si="5">H20/G27*H27</f>
        <v>-13627.598885604933</v>
      </c>
      <c r="J20" s="50">
        <f t="shared" si="5"/>
        <v>-14371.854981018258</v>
      </c>
      <c r="K20" s="50">
        <f t="shared" si="5"/>
        <v>-15146.114858498606</v>
      </c>
      <c r="L20" s="50">
        <f t="shared" si="5"/>
        <v>-15952.705252785552</v>
      </c>
      <c r="M20" s="50">
        <f t="shared" si="5"/>
        <v>-16793.974468323166</v>
      </c>
      <c r="N20" s="50">
        <f t="shared" si="5"/>
        <v>-17672.304323195425</v>
      </c>
      <c r="O20" s="50">
        <f t="shared" si="5"/>
        <v>-18590.121444487551</v>
      </c>
      <c r="P20" s="50">
        <f t="shared" si="5"/>
        <v>-19549.908025477558</v>
      </c>
      <c r="Q20" s="50">
        <f t="shared" si="5"/>
        <v>-20554.212144206129</v>
      </c>
    </row>
    <row r="21" spans="2:17" x14ac:dyDescent="0.25">
      <c r="B21" t="s">
        <v>175</v>
      </c>
      <c r="C21" s="147">
        <v>119.4</v>
      </c>
      <c r="D21" s="147">
        <v>-1299.4000000000001</v>
      </c>
      <c r="E21" s="147">
        <v>405.4</v>
      </c>
      <c r="F21" s="147">
        <v>272.89999999999998</v>
      </c>
      <c r="G21" s="147">
        <v>519.29999999999995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2:17" x14ac:dyDescent="0.25">
      <c r="B22" t="s">
        <v>183</v>
      </c>
      <c r="C22" s="147"/>
      <c r="D22" s="147">
        <v>-159.19999999999999</v>
      </c>
      <c r="E22" s="147"/>
      <c r="F22" s="147"/>
      <c r="G22" s="147">
        <v>6.8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spans="2:17" x14ac:dyDescent="0.25">
      <c r="B23" t="s">
        <v>184</v>
      </c>
      <c r="C23" s="147"/>
      <c r="D23" s="147">
        <v>-576.79999999999995</v>
      </c>
      <c r="E23" s="147"/>
      <c r="F23" s="147">
        <v>-9127.5</v>
      </c>
      <c r="G23" s="147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 spans="2:17" x14ac:dyDescent="0.25">
      <c r="B24" t="s">
        <v>185</v>
      </c>
      <c r="C24" s="147"/>
      <c r="D24" s="147">
        <v>-410.4</v>
      </c>
      <c r="E24" s="147"/>
      <c r="F24" s="147"/>
      <c r="G24" s="147"/>
      <c r="H24" s="20"/>
      <c r="I24" s="20"/>
      <c r="J24" s="20"/>
      <c r="K24" s="20"/>
      <c r="L24" s="20"/>
      <c r="M24" s="20"/>
      <c r="N24" s="20"/>
      <c r="O24" s="20"/>
      <c r="P24" s="20"/>
      <c r="Q24" s="20"/>
    </row>
    <row r="25" spans="2:17" x14ac:dyDescent="0.25">
      <c r="B25" t="s">
        <v>181</v>
      </c>
      <c r="C25" s="147">
        <v>115</v>
      </c>
      <c r="D25" s="147">
        <v>-208.10000000002799</v>
      </c>
      <c r="E25" s="147"/>
      <c r="F25" s="147"/>
      <c r="G25" s="147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spans="2:17" x14ac:dyDescent="0.25">
      <c r="B26" t="s">
        <v>177</v>
      </c>
      <c r="C26" s="147">
        <v>-407.7</v>
      </c>
      <c r="D26" s="147">
        <v>-94.2</v>
      </c>
      <c r="E26" s="147">
        <v>-129.1</v>
      </c>
      <c r="F26" s="147">
        <v>-517.1</v>
      </c>
      <c r="G26" s="147">
        <v>-231.5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spans="2:17" x14ac:dyDescent="0.25">
      <c r="B27" s="29" t="s">
        <v>182</v>
      </c>
      <c r="C27" s="31">
        <f>SUM(C18:C26)</f>
        <v>64948.100000000013</v>
      </c>
      <c r="D27" s="31">
        <f>SUM(D18:D26)</f>
        <v>64731.7</v>
      </c>
      <c r="E27" s="31">
        <f>SUM(E18:E26)</f>
        <v>72204.299999999974</v>
      </c>
      <c r="F27" s="31">
        <f>SUM(F18:F26)</f>
        <v>75433.699999999983</v>
      </c>
      <c r="G27" s="31">
        <f>SUM(G18:G26)</f>
        <v>112608.3</v>
      </c>
      <c r="H27" s="31">
        <f>SUM(H18:H26)</f>
        <v>118858.1313080493</v>
      </c>
      <c r="I27" s="31">
        <f t="shared" ref="H27:Q27" si="6">SUM(I18:I26)</f>
        <v>125349.43542244437</v>
      </c>
      <c r="J27" s="31">
        <f t="shared" si="6"/>
        <v>132102.42859142611</v>
      </c>
      <c r="K27" s="31">
        <f t="shared" si="6"/>
        <v>139137.40429042751</v>
      </c>
      <c r="L27" s="31">
        <f t="shared" si="6"/>
        <v>146474.84412301696</v>
      </c>
      <c r="M27" s="31">
        <f t="shared" si="6"/>
        <v>154135.52199433756</v>
      </c>
      <c r="N27" s="31">
        <f t="shared" si="6"/>
        <v>162140.60262776806</v>
      </c>
      <c r="O27" s="31">
        <f t="shared" si="6"/>
        <v>170511.73538773775</v>
      </c>
      <c r="P27" s="31">
        <f t="shared" si="6"/>
        <v>179271.14427694032</v>
      </c>
      <c r="Q27" s="31">
        <f t="shared" si="6"/>
        <v>188441.71489314831</v>
      </c>
    </row>
    <row r="28" spans="2:17" x14ac:dyDescent="0.25"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spans="2:17" x14ac:dyDescent="0.25"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spans="2:17" x14ac:dyDescent="0.25">
      <c r="B30" s="26" t="s">
        <v>26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spans="2:17" x14ac:dyDescent="0.25">
      <c r="B31" s="2" t="s">
        <v>172</v>
      </c>
      <c r="C31" s="34">
        <v>22367.8</v>
      </c>
      <c r="D31" s="34">
        <f>C39</f>
        <v>25477.999999999996</v>
      </c>
      <c r="E31" s="34">
        <f t="shared" ref="E31:Q31" si="7">D39</f>
        <v>27263.999999999996</v>
      </c>
      <c r="F31" s="34">
        <f t="shared" si="7"/>
        <v>34526.699999999997</v>
      </c>
      <c r="G31" s="34">
        <f t="shared" si="7"/>
        <v>39924.299999999996</v>
      </c>
      <c r="H31" s="34">
        <f t="shared" si="7"/>
        <v>44817.7</v>
      </c>
      <c r="I31" s="34">
        <f t="shared" si="7"/>
        <v>50597.685009881199</v>
      </c>
      <c r="J31" s="34">
        <f t="shared" si="7"/>
        <v>57123.094856700736</v>
      </c>
      <c r="K31" s="34">
        <f t="shared" si="7"/>
        <v>64490.064424299075</v>
      </c>
      <c r="L31" s="34">
        <f t="shared" si="7"/>
        <v>72807.126782669133</v>
      </c>
      <c r="M31" s="34">
        <f t="shared" si="7"/>
        <v>82196.812139489048</v>
      </c>
      <c r="N31" s="34">
        <f t="shared" si="7"/>
        <v>92797.453002948518</v>
      </c>
      <c r="O31" s="34">
        <f t="shared" si="7"/>
        <v>104765.2221502318</v>
      </c>
      <c r="P31" s="34">
        <f t="shared" si="7"/>
        <v>118276.43342580403</v>
      </c>
      <c r="Q31" s="34">
        <f t="shared" si="7"/>
        <v>133530.13926575921</v>
      </c>
    </row>
    <row r="32" spans="2:17" x14ac:dyDescent="0.25">
      <c r="B32" t="s">
        <v>174</v>
      </c>
      <c r="C32" s="147">
        <v>385.5</v>
      </c>
      <c r="D32" s="147">
        <v>3505.3</v>
      </c>
      <c r="E32" s="147">
        <v>2658.3</v>
      </c>
      <c r="F32" s="147">
        <v>2371.6</v>
      </c>
      <c r="G32" s="147">
        <v>5148.8999999999996</v>
      </c>
      <c r="H32" s="50">
        <f>G32/F39*G39</f>
        <v>5779.9850098812003</v>
      </c>
      <c r="I32" s="50">
        <f t="shared" ref="I32:Q32" si="8">H32/G39*H39</f>
        <v>6525.4098468195398</v>
      </c>
      <c r="J32" s="50">
        <f t="shared" si="8"/>
        <v>7366.9695675983412</v>
      </c>
      <c r="K32" s="50">
        <f t="shared" si="8"/>
        <v>8317.0623583700544</v>
      </c>
      <c r="L32" s="50">
        <f t="shared" si="8"/>
        <v>9389.6853568199112</v>
      </c>
      <c r="M32" s="50">
        <f t="shared" si="8"/>
        <v>10600.640863459477</v>
      </c>
      <c r="N32" s="50">
        <f t="shared" si="8"/>
        <v>11967.769147283276</v>
      </c>
      <c r="O32" s="50">
        <f t="shared" si="8"/>
        <v>13511.211275572236</v>
      </c>
      <c r="P32" s="50">
        <f t="shared" si="8"/>
        <v>15253.705839955177</v>
      </c>
      <c r="Q32" s="50">
        <f t="shared" si="8"/>
        <v>17220.923950212469</v>
      </c>
    </row>
    <row r="33" spans="1:17" x14ac:dyDescent="0.25">
      <c r="B33" t="s">
        <v>175</v>
      </c>
      <c r="C33" s="147">
        <v>-116.7</v>
      </c>
      <c r="D33" s="147">
        <v>-198.5</v>
      </c>
      <c r="E33" s="147">
        <v>-366.2</v>
      </c>
      <c r="F33" s="147">
        <v>-287.8</v>
      </c>
      <c r="G33" s="147">
        <v>-653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spans="1:17" x14ac:dyDescent="0.25">
      <c r="B34" t="s">
        <v>183</v>
      </c>
      <c r="C34" s="147"/>
      <c r="D34" s="147"/>
      <c r="E34" s="147"/>
      <c r="F34" s="147"/>
      <c r="G34" s="147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spans="1:17" x14ac:dyDescent="0.25">
      <c r="B35" t="s">
        <v>184</v>
      </c>
      <c r="C35" s="147">
        <v>1244.8</v>
      </c>
      <c r="D35" s="147">
        <v>978.7</v>
      </c>
      <c r="E35" s="147">
        <v>4495.6000000000004</v>
      </c>
      <c r="F35" s="147">
        <v>888.3</v>
      </c>
      <c r="G35" s="147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spans="1:17" x14ac:dyDescent="0.25">
      <c r="B36" t="s">
        <v>185</v>
      </c>
      <c r="C36" s="147"/>
      <c r="D36" s="147">
        <v>-2433.1</v>
      </c>
      <c r="E36" s="147"/>
      <c r="F36" s="147"/>
      <c r="G36" s="147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spans="1:17" x14ac:dyDescent="0.25">
      <c r="B37" t="s">
        <v>176</v>
      </c>
      <c r="C37" s="147">
        <v>-260</v>
      </c>
      <c r="D37" s="147"/>
      <c r="E37" s="147"/>
      <c r="F37" s="147"/>
      <c r="G37" s="147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spans="1:17" x14ac:dyDescent="0.25">
      <c r="B38" t="s">
        <v>177</v>
      </c>
      <c r="C38" s="147">
        <v>1856.6</v>
      </c>
      <c r="D38" s="147">
        <v>-66.400000000000006</v>
      </c>
      <c r="E38" s="147">
        <v>475</v>
      </c>
      <c r="F38" s="147">
        <v>2425.5</v>
      </c>
      <c r="G38" s="147">
        <v>397.5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spans="1:17" x14ac:dyDescent="0.25">
      <c r="B39" s="2" t="s">
        <v>178</v>
      </c>
      <c r="C39" s="34">
        <f>SUM(C31:C38)</f>
        <v>25477.999999999996</v>
      </c>
      <c r="D39" s="34">
        <f t="shared" ref="D39:G39" si="9">SUM(D31:D38)</f>
        <v>27263.999999999996</v>
      </c>
      <c r="E39" s="34">
        <f t="shared" si="9"/>
        <v>34526.699999999997</v>
      </c>
      <c r="F39" s="34">
        <f t="shared" si="9"/>
        <v>39924.299999999996</v>
      </c>
      <c r="G39" s="34">
        <f t="shared" si="9"/>
        <v>44817.7</v>
      </c>
      <c r="H39" s="34">
        <f>SUM(H31:H38)</f>
        <v>50597.685009881199</v>
      </c>
      <c r="I39" s="34">
        <f t="shared" ref="I39" si="10">SUM(I31:I38)</f>
        <v>57123.094856700736</v>
      </c>
      <c r="J39" s="34">
        <f t="shared" ref="J39" si="11">SUM(J31:J38)</f>
        <v>64490.064424299075</v>
      </c>
      <c r="K39" s="34">
        <f t="shared" ref="K39" si="12">SUM(K31:K38)</f>
        <v>72807.126782669133</v>
      </c>
      <c r="L39" s="34">
        <f t="shared" ref="L39" si="13">SUM(L31:L38)</f>
        <v>82196.812139489048</v>
      </c>
      <c r="M39" s="34">
        <f t="shared" ref="M39" si="14">SUM(M31:M38)</f>
        <v>92797.453002948518</v>
      </c>
      <c r="N39" s="34">
        <f t="shared" ref="N39" si="15">SUM(N31:N38)</f>
        <v>104765.2221502318</v>
      </c>
      <c r="O39" s="34">
        <f t="shared" ref="O39" si="16">SUM(O31:O38)</f>
        <v>118276.43342580403</v>
      </c>
      <c r="P39" s="34">
        <f t="shared" ref="P39" si="17">SUM(P31:P38)</f>
        <v>133530.13926575921</v>
      </c>
      <c r="Q39" s="34">
        <f t="shared" ref="Q39" si="18">SUM(Q31:Q38)</f>
        <v>150751.06321597169</v>
      </c>
    </row>
    <row r="40" spans="1:17" x14ac:dyDescent="0.25">
      <c r="B40" t="s">
        <v>179</v>
      </c>
      <c r="C40" s="147">
        <v>-2880.9</v>
      </c>
      <c r="D40" s="147">
        <v>-5620.8</v>
      </c>
      <c r="E40" s="147">
        <v>-6683.4</v>
      </c>
      <c r="F40" s="147">
        <v>-11244.4</v>
      </c>
      <c r="G40" s="147">
        <v>-15601.9</v>
      </c>
      <c r="H40" s="50">
        <f>SUM(G40:G47)</f>
        <v>-21296.399999999998</v>
      </c>
      <c r="I40" s="50">
        <f t="shared" ref="I40:Q40" si="19">SUM(H40:H47)</f>
        <v>-26845.119000180901</v>
      </c>
      <c r="J40" s="50">
        <f t="shared" si="19"/>
        <v>-32448.39408791309</v>
      </c>
      <c r="K40" s="50">
        <f t="shared" si="19"/>
        <v>-38269.202503245164</v>
      </c>
      <c r="L40" s="50">
        <f t="shared" si="19"/>
        <v>-44454.753248419613</v>
      </c>
      <c r="M40" s="50">
        <f t="shared" si="19"/>
        <v>-51143.131600369394</v>
      </c>
      <c r="N40" s="50">
        <f t="shared" si="19"/>
        <v>-58468.753365873898</v>
      </c>
      <c r="O40" s="50">
        <f t="shared" si="19"/>
        <v>-66566.958308956935</v>
      </c>
      <c r="P40" s="50">
        <f t="shared" si="19"/>
        <v>-75578.000740710486</v>
      </c>
      <c r="Q40" s="50">
        <f t="shared" si="19"/>
        <v>-85650.641484110034</v>
      </c>
    </row>
    <row r="41" spans="1:17" x14ac:dyDescent="0.25">
      <c r="B41" t="s">
        <v>180</v>
      </c>
      <c r="C41" s="147">
        <v>-2358.6</v>
      </c>
      <c r="D41" s="147">
        <v>-2558.9</v>
      </c>
      <c r="E41" s="147">
        <v>-3286.6</v>
      </c>
      <c r="F41" s="147">
        <v>-4042.6</v>
      </c>
      <c r="G41" s="147">
        <v>-5737.7</v>
      </c>
      <c r="H41" s="50">
        <f>G41/F48*G48</f>
        <v>-5548.7190001809022</v>
      </c>
      <c r="I41" s="50">
        <f t="shared" ref="I41:Q41" si="20">H41/G48*H48</f>
        <v>-5603.2750877321887</v>
      </c>
      <c r="J41" s="50">
        <f t="shared" si="20"/>
        <v>-5820.8084153320751</v>
      </c>
      <c r="K41" s="50">
        <f t="shared" si="20"/>
        <v>-6185.5507451744479</v>
      </c>
      <c r="L41" s="50">
        <f t="shared" si="20"/>
        <v>-6688.3783519497847</v>
      </c>
      <c r="M41" s="50">
        <f t="shared" si="20"/>
        <v>-7325.6217655045057</v>
      </c>
      <c r="N41" s="50">
        <f t="shared" si="20"/>
        <v>-8098.2049430830439</v>
      </c>
      <c r="O41" s="50">
        <f t="shared" si="20"/>
        <v>-9011.0424317535562</v>
      </c>
      <c r="P41" s="50">
        <f t="shared" si="20"/>
        <v>-10072.640743399548</v>
      </c>
      <c r="Q41" s="50">
        <f t="shared" si="20"/>
        <v>-11294.863764339392</v>
      </c>
    </row>
    <row r="42" spans="1:17" x14ac:dyDescent="0.25">
      <c r="B42" t="s">
        <v>175</v>
      </c>
      <c r="C42" s="147">
        <v>-26.9</v>
      </c>
      <c r="D42" s="147">
        <v>-75.7</v>
      </c>
      <c r="E42" s="147">
        <v>-1175.7</v>
      </c>
      <c r="F42" s="147">
        <v>576.9</v>
      </c>
      <c r="G42" s="147">
        <v>252.2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1:17" x14ac:dyDescent="0.25">
      <c r="B43" t="s">
        <v>183</v>
      </c>
      <c r="C43" s="147"/>
      <c r="D43" s="147"/>
      <c r="E43" s="147"/>
      <c r="F43" s="147"/>
      <c r="G43" s="147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1:17" x14ac:dyDescent="0.25">
      <c r="B44" t="s">
        <v>184</v>
      </c>
      <c r="C44" s="147"/>
      <c r="D44" s="147">
        <v>60.3</v>
      </c>
      <c r="E44" s="147"/>
      <c r="F44" s="147"/>
      <c r="G44" s="147"/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 spans="1:17" x14ac:dyDescent="0.25">
      <c r="B45" t="s">
        <v>185</v>
      </c>
      <c r="C45" s="147"/>
      <c r="D45" s="147">
        <v>1485.4</v>
      </c>
      <c r="E45" s="147"/>
      <c r="F45" s="147"/>
      <c r="G45" s="147"/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 spans="1:17" x14ac:dyDescent="0.25">
      <c r="B46" t="s">
        <v>181</v>
      </c>
      <c r="C46" s="147">
        <v>3</v>
      </c>
      <c r="D46" s="147"/>
      <c r="E46" s="147"/>
      <c r="F46" s="147"/>
      <c r="G46" s="147"/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 spans="1:17" x14ac:dyDescent="0.25">
      <c r="B47" t="s">
        <v>177</v>
      </c>
      <c r="C47" s="147">
        <v>-357.4</v>
      </c>
      <c r="D47" s="147">
        <v>4.5</v>
      </c>
      <c r="E47" s="147">
        <v>-98.7</v>
      </c>
      <c r="F47" s="147">
        <v>-891.8</v>
      </c>
      <c r="G47" s="147">
        <v>-209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spans="1:17" s="1" customFormat="1" x14ac:dyDescent="0.25">
      <c r="A48"/>
      <c r="B48" s="29" t="s">
        <v>186</v>
      </c>
      <c r="C48" s="31">
        <f>SUM(C39:C47)</f>
        <v>19857.199999999993</v>
      </c>
      <c r="D48" s="31">
        <v>20580.599999999999</v>
      </c>
      <c r="E48" s="31">
        <f>SUM(E39:E47)</f>
        <v>23282.299999999996</v>
      </c>
      <c r="F48" s="31">
        <f t="shared" ref="F48:G48" si="21">SUM(F39:F47)</f>
        <v>24322.399999999998</v>
      </c>
      <c r="G48" s="31">
        <f>SUM(G39:G47)</f>
        <v>23521.299999999996</v>
      </c>
      <c r="H48" s="31">
        <f>SUM(H39:H47)</f>
        <v>23752.566009700298</v>
      </c>
      <c r="I48" s="31">
        <f t="shared" ref="H48:Q48" si="22">SUM(I39:I47)</f>
        <v>24674.700768787647</v>
      </c>
      <c r="J48" s="31">
        <f t="shared" si="22"/>
        <v>26220.861921053911</v>
      </c>
      <c r="K48" s="31">
        <f t="shared" si="22"/>
        <v>28352.37353424952</v>
      </c>
      <c r="L48" s="31">
        <f t="shared" si="22"/>
        <v>31053.68053911965</v>
      </c>
      <c r="M48" s="31">
        <f t="shared" si="22"/>
        <v>34328.69963707462</v>
      </c>
      <c r="N48" s="31">
        <f t="shared" si="22"/>
        <v>38198.263841274857</v>
      </c>
      <c r="O48" s="31">
        <f t="shared" si="22"/>
        <v>42698.432685093539</v>
      </c>
      <c r="P48" s="31">
        <f t="shared" si="22"/>
        <v>47879.497781649174</v>
      </c>
      <c r="Q48" s="31">
        <f t="shared" si="22"/>
        <v>53805.557967522269</v>
      </c>
    </row>
    <row r="50" spans="1:17" x14ac:dyDescent="0.25">
      <c r="C50" s="3"/>
      <c r="D50" s="3"/>
      <c r="E50" s="3"/>
      <c r="F50" s="3"/>
      <c r="G50" s="3"/>
    </row>
    <row r="51" spans="1:17" x14ac:dyDescent="0.25">
      <c r="B51" s="33" t="s">
        <v>71</v>
      </c>
    </row>
    <row r="52" spans="1:17" x14ac:dyDescent="0.25">
      <c r="B52" s="2" t="s">
        <v>172</v>
      </c>
      <c r="C52" s="35"/>
      <c r="D52" s="34">
        <v>5298.3</v>
      </c>
      <c r="E52" s="34">
        <f>D60</f>
        <v>5743.9000000000005</v>
      </c>
      <c r="F52" s="34">
        <f t="shared" ref="F52:Q52" si="23">E60</f>
        <v>6992.6000000000013</v>
      </c>
      <c r="G52" s="34">
        <f t="shared" si="23"/>
        <v>6372.2000000000025</v>
      </c>
      <c r="H52" s="34">
        <f t="shared" si="23"/>
        <v>4478.1000000000031</v>
      </c>
      <c r="I52" s="34">
        <f t="shared" si="23"/>
        <v>4877.3355246225829</v>
      </c>
      <c r="J52" s="34">
        <f t="shared" si="23"/>
        <v>5312.1640471953342</v>
      </c>
      <c r="K52" s="34">
        <f t="shared" si="23"/>
        <v>5785.7587860942494</v>
      </c>
      <c r="L52" s="34">
        <f t="shared" si="23"/>
        <v>6301.5758612614036</v>
      </c>
      <c r="M52" s="34">
        <f t="shared" si="23"/>
        <v>6863.3795156951319</v>
      </c>
      <c r="N52" s="34">
        <f t="shared" si="23"/>
        <v>7475.2695855087604</v>
      </c>
      <c r="O52" s="34">
        <f t="shared" si="23"/>
        <v>8141.7114190242692</v>
      </c>
      <c r="P52" s="34">
        <f t="shared" si="23"/>
        <v>8867.5684632394041</v>
      </c>
      <c r="Q52" s="34">
        <f t="shared" si="23"/>
        <v>9658.1377554722749</v>
      </c>
    </row>
    <row r="53" spans="1:17" x14ac:dyDescent="0.25">
      <c r="B53" t="s">
        <v>174</v>
      </c>
      <c r="C53" s="146"/>
      <c r="D53" s="147">
        <v>1644</v>
      </c>
      <c r="E53" s="147">
        <v>2051.8000000000002</v>
      </c>
      <c r="F53" s="147">
        <v>1135</v>
      </c>
      <c r="G53" s="147">
        <v>568.1</v>
      </c>
      <c r="H53" s="50">
        <f>G53/F60*G60</f>
        <v>399.23552462257948</v>
      </c>
      <c r="I53" s="50">
        <f t="shared" ref="I53:Q53" si="24">H53/G60*H60</f>
        <v>434.82852257275169</v>
      </c>
      <c r="J53" s="50">
        <f t="shared" si="24"/>
        <v>473.59473889891535</v>
      </c>
      <c r="K53" s="50">
        <f t="shared" si="24"/>
        <v>515.81707516715448</v>
      </c>
      <c r="L53" s="50">
        <f t="shared" si="24"/>
        <v>561.80365443372807</v>
      </c>
      <c r="M53" s="50">
        <f t="shared" si="24"/>
        <v>611.89006981362843</v>
      </c>
      <c r="N53" s="50">
        <f t="shared" si="24"/>
        <v>666.44183351550885</v>
      </c>
      <c r="O53" s="50">
        <f t="shared" si="24"/>
        <v>725.85704421513537</v>
      </c>
      <c r="P53" s="50">
        <f t="shared" si="24"/>
        <v>790.56929223287148</v>
      </c>
      <c r="Q53" s="50">
        <f t="shared" si="24"/>
        <v>861.05082371611024</v>
      </c>
    </row>
    <row r="54" spans="1:17" x14ac:dyDescent="0.25">
      <c r="B54" t="s">
        <v>175</v>
      </c>
      <c r="C54" s="146"/>
      <c r="D54" s="147">
        <v>-1157.0999999999999</v>
      </c>
      <c r="E54" s="147">
        <v>-905.9</v>
      </c>
      <c r="F54" s="147">
        <v>-2141.6</v>
      </c>
      <c r="G54" s="147">
        <v>-2534.4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 spans="1:17" x14ac:dyDescent="0.25">
      <c r="B55" t="s">
        <v>183</v>
      </c>
      <c r="C55" s="146"/>
      <c r="D55" s="147"/>
      <c r="E55" s="147"/>
      <c r="F55" s="147"/>
      <c r="G55" s="147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spans="1:17" x14ac:dyDescent="0.25">
      <c r="B56" t="s">
        <v>184</v>
      </c>
      <c r="C56" s="146"/>
      <c r="D56" s="147"/>
      <c r="E56" s="147"/>
      <c r="F56" s="147">
        <v>0.6</v>
      </c>
      <c r="G56" s="147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spans="1:17" x14ac:dyDescent="0.25">
      <c r="B57" t="s">
        <v>185</v>
      </c>
      <c r="C57" s="146"/>
      <c r="D57" s="147"/>
      <c r="E57" s="147"/>
      <c r="F57" s="147"/>
      <c r="G57" s="147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spans="1:17" x14ac:dyDescent="0.25">
      <c r="B58" t="s">
        <v>176</v>
      </c>
      <c r="C58" s="146"/>
      <c r="D58" s="147"/>
      <c r="E58" s="147"/>
      <c r="F58" s="147"/>
      <c r="G58" s="147"/>
      <c r="H58" s="20"/>
      <c r="I58" s="20"/>
      <c r="J58" s="20"/>
      <c r="K58" s="20"/>
      <c r="L58" s="20"/>
      <c r="M58" s="20"/>
      <c r="N58" s="20"/>
      <c r="O58" s="20"/>
      <c r="P58" s="20"/>
      <c r="Q58" s="20"/>
    </row>
    <row r="59" spans="1:17" x14ac:dyDescent="0.25">
      <c r="B59" t="s">
        <v>177</v>
      </c>
      <c r="C59" s="146"/>
      <c r="D59" s="147">
        <v>-41.3</v>
      </c>
      <c r="E59" s="147">
        <v>102.8</v>
      </c>
      <c r="F59" s="147">
        <v>385.6</v>
      </c>
      <c r="G59" s="147">
        <v>72.2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</row>
    <row r="60" spans="1:17" s="1" customFormat="1" x14ac:dyDescent="0.25">
      <c r="A60"/>
      <c r="B60" s="2" t="s">
        <v>178</v>
      </c>
      <c r="C60" s="36"/>
      <c r="D60" s="34">
        <f>SUM(D52:D59)</f>
        <v>5743.9000000000005</v>
      </c>
      <c r="E60" s="34">
        <f>SUM(E52:E59)</f>
        <v>6992.6000000000013</v>
      </c>
      <c r="F60" s="34">
        <f t="shared" ref="F60:G60" si="25">SUM(F52:F59)</f>
        <v>6372.2000000000025</v>
      </c>
      <c r="G60" s="34">
        <f t="shared" ref="G60" si="26">SUM(G52:G59)</f>
        <v>4478.1000000000031</v>
      </c>
      <c r="H60" s="34">
        <f t="shared" ref="H60" si="27">SUM(H52:H59)</f>
        <v>4877.3355246225829</v>
      </c>
      <c r="I60" s="34">
        <f t="shared" ref="I60" si="28">SUM(I52:I59)</f>
        <v>5312.1640471953342</v>
      </c>
      <c r="J60" s="34">
        <f t="shared" ref="J60" si="29">SUM(J52:J59)</f>
        <v>5785.7587860942494</v>
      </c>
      <c r="K60" s="34">
        <f t="shared" ref="K60" si="30">SUM(K52:K59)</f>
        <v>6301.5758612614036</v>
      </c>
      <c r="L60" s="34">
        <f t="shared" ref="L60" si="31">SUM(L52:L59)</f>
        <v>6863.3795156951319</v>
      </c>
      <c r="M60" s="34">
        <f t="shared" ref="M60" si="32">SUM(M52:M59)</f>
        <v>7475.2695855087604</v>
      </c>
      <c r="N60" s="34">
        <f t="shared" ref="N60" si="33">SUM(N52:N59)</f>
        <v>8141.7114190242692</v>
      </c>
      <c r="O60" s="34">
        <f t="shared" ref="O60" si="34">SUM(O52:O59)</f>
        <v>8867.5684632394041</v>
      </c>
      <c r="P60" s="34">
        <f t="shared" ref="P60" si="35">SUM(P52:P59)</f>
        <v>9658.1377554722749</v>
      </c>
      <c r="Q60" s="34">
        <f t="shared" ref="Q60" si="36">SUM(Q52:Q59)</f>
        <v>10519.188579188385</v>
      </c>
    </row>
    <row r="61" spans="1:17" x14ac:dyDescent="0.25">
      <c r="B61" t="s">
        <v>179</v>
      </c>
      <c r="C61" s="146"/>
      <c r="D61" s="147">
        <v>-1609.4</v>
      </c>
      <c r="E61" s="147">
        <v>-1609.4</v>
      </c>
      <c r="F61" s="147">
        <v>-1912.5</v>
      </c>
      <c r="G61" s="147">
        <v>-1852.1</v>
      </c>
      <c r="H61" s="50">
        <f>SUM(G61:G68)</f>
        <v>-1631.3000000000002</v>
      </c>
      <c r="I61" s="50">
        <f t="shared" ref="I61:Q61" si="37">SUM(H61:H68)</f>
        <v>-2100.9486272427603</v>
      </c>
      <c r="J61" s="50">
        <f t="shared" si="37"/>
        <v>-2558.9809073640258</v>
      </c>
      <c r="K61" s="50">
        <f t="shared" si="37"/>
        <v>-3013.1851655380055</v>
      </c>
      <c r="L61" s="50">
        <f t="shared" si="37"/>
        <v>-3470.5883532658854</v>
      </c>
      <c r="M61" s="50">
        <f t="shared" si="37"/>
        <v>-3937.6283268753755</v>
      </c>
      <c r="N61" s="50">
        <f t="shared" si="37"/>
        <v>-4420.3018654039233</v>
      </c>
      <c r="O61" s="50">
        <f t="shared" si="37"/>
        <v>-4924.2928011978602</v>
      </c>
      <c r="P61" s="50">
        <f t="shared" si="37"/>
        <v>-5455.0839481444218</v>
      </c>
      <c r="Q61" s="50">
        <f t="shared" si="37"/>
        <v>-6018.0559405574941</v>
      </c>
    </row>
    <row r="62" spans="1:17" x14ac:dyDescent="0.25">
      <c r="B62" t="s">
        <v>180</v>
      </c>
      <c r="C62" s="146"/>
      <c r="D62" s="147"/>
      <c r="E62" s="147">
        <v>-892.6</v>
      </c>
      <c r="F62" s="147">
        <v>-895.2</v>
      </c>
      <c r="G62" s="147">
        <v>-745.7</v>
      </c>
      <c r="H62" s="50">
        <f>G62/F69*G69</f>
        <v>-469.64862724276026</v>
      </c>
      <c r="I62" s="50">
        <f t="shared" ref="I62:Q62" si="38">H62/G69*H69</f>
        <v>-458.0322801212655</v>
      </c>
      <c r="J62" s="50">
        <f t="shared" si="38"/>
        <v>-454.20425817397961</v>
      </c>
      <c r="K62" s="50">
        <f t="shared" si="38"/>
        <v>-457.40318772787981</v>
      </c>
      <c r="L62" s="50">
        <f t="shared" si="38"/>
        <v>-467.03997360949018</v>
      </c>
      <c r="M62" s="50">
        <f t="shared" si="38"/>
        <v>-482.67353852854825</v>
      </c>
      <c r="N62" s="50">
        <f t="shared" si="38"/>
        <v>-503.99093579393713</v>
      </c>
      <c r="O62" s="50">
        <f t="shared" si="38"/>
        <v>-530.79114694656118</v>
      </c>
      <c r="P62" s="50">
        <f t="shared" si="38"/>
        <v>-562.97199241307203</v>
      </c>
      <c r="Q62" s="50">
        <f t="shared" si="38"/>
        <v>-600.51968084377563</v>
      </c>
    </row>
    <row r="63" spans="1:17" x14ac:dyDescent="0.25">
      <c r="B63" t="s">
        <v>175</v>
      </c>
      <c r="C63" s="146"/>
      <c r="D63" s="147"/>
      <c r="E63" s="147">
        <v>611.70000000000005</v>
      </c>
      <c r="F63" s="147"/>
      <c r="G63" s="147">
        <v>990.9</v>
      </c>
      <c r="H63" s="50"/>
      <c r="I63" s="50"/>
      <c r="J63" s="50"/>
      <c r="K63" s="50"/>
      <c r="L63" s="50"/>
      <c r="M63" s="50"/>
      <c r="N63" s="50"/>
      <c r="O63" s="50"/>
      <c r="P63" s="50"/>
      <c r="Q63" s="50"/>
    </row>
    <row r="64" spans="1:17" x14ac:dyDescent="0.25">
      <c r="B64" t="s">
        <v>183</v>
      </c>
      <c r="C64" s="146"/>
      <c r="D64" s="147"/>
      <c r="E64" s="147"/>
      <c r="F64" s="147"/>
      <c r="G64" s="147"/>
      <c r="H64" s="50"/>
      <c r="I64" s="50"/>
      <c r="J64" s="50"/>
      <c r="K64" s="50"/>
      <c r="L64" s="50"/>
      <c r="M64" s="50"/>
      <c r="N64" s="50"/>
      <c r="O64" s="50"/>
      <c r="P64" s="50"/>
      <c r="Q64" s="50"/>
    </row>
    <row r="65" spans="2:17" x14ac:dyDescent="0.25">
      <c r="B65" t="s">
        <v>184</v>
      </c>
      <c r="C65" s="146"/>
      <c r="D65" s="147"/>
      <c r="E65" s="147"/>
      <c r="F65" s="147">
        <v>1103.9000000000001</v>
      </c>
      <c r="G65" s="147"/>
      <c r="H65" s="50"/>
      <c r="I65" s="50"/>
      <c r="J65" s="50"/>
      <c r="K65" s="50"/>
      <c r="L65" s="50"/>
      <c r="M65" s="50"/>
      <c r="N65" s="50"/>
      <c r="O65" s="50"/>
      <c r="P65" s="50"/>
      <c r="Q65" s="50"/>
    </row>
    <row r="66" spans="2:17" x14ac:dyDescent="0.25">
      <c r="B66" t="s">
        <v>185</v>
      </c>
      <c r="C66" s="146"/>
      <c r="D66" s="147"/>
      <c r="E66" s="147"/>
      <c r="F66" s="147"/>
      <c r="G66" s="147"/>
      <c r="H66" s="50"/>
      <c r="I66" s="50"/>
      <c r="J66" s="50"/>
      <c r="K66" s="50"/>
      <c r="L66" s="50"/>
      <c r="M66" s="50"/>
      <c r="N66" s="50"/>
      <c r="O66" s="50"/>
      <c r="P66" s="50"/>
      <c r="Q66" s="50"/>
    </row>
    <row r="67" spans="2:17" x14ac:dyDescent="0.25">
      <c r="B67" t="s">
        <v>181</v>
      </c>
      <c r="C67" s="146"/>
      <c r="D67" s="147"/>
      <c r="E67" s="147"/>
      <c r="F67" s="147"/>
      <c r="G67" s="147"/>
      <c r="H67" s="50"/>
      <c r="I67" s="50"/>
      <c r="J67" s="50"/>
      <c r="K67" s="50"/>
      <c r="L67" s="50"/>
      <c r="M67" s="50"/>
      <c r="N67" s="50"/>
      <c r="O67" s="50"/>
      <c r="P67" s="50"/>
      <c r="Q67" s="50"/>
    </row>
    <row r="68" spans="2:17" x14ac:dyDescent="0.25">
      <c r="B68" t="s">
        <v>177</v>
      </c>
      <c r="C68" s="146"/>
      <c r="D68" s="147"/>
      <c r="E68" s="147">
        <v>-22.2</v>
      </c>
      <c r="F68" s="147">
        <v>-148.30000000000001</v>
      </c>
      <c r="G68" s="147">
        <v>-24.4</v>
      </c>
      <c r="H68" s="50"/>
      <c r="I68" s="50"/>
      <c r="J68" s="50"/>
      <c r="K68" s="50"/>
      <c r="L68" s="50"/>
      <c r="M68" s="50"/>
      <c r="N68" s="50"/>
      <c r="O68" s="50"/>
      <c r="P68" s="50"/>
      <c r="Q68" s="50"/>
    </row>
    <row r="69" spans="2:17" x14ac:dyDescent="0.25">
      <c r="B69" s="29" t="s">
        <v>187</v>
      </c>
      <c r="C69" s="37"/>
      <c r="D69" s="31">
        <f>SUM(D60:D68)</f>
        <v>4134.5</v>
      </c>
      <c r="E69" s="31">
        <f>SUM(E60:E68)</f>
        <v>5080.1000000000004</v>
      </c>
      <c r="F69" s="31">
        <f>SUM(F60:F68)</f>
        <v>4520.1000000000031</v>
      </c>
      <c r="G69" s="31">
        <f t="shared" ref="F69:Q69" si="39">SUM(G60:G68)</f>
        <v>2846.8000000000029</v>
      </c>
      <c r="H69" s="31">
        <f>SUM(H60:H68)</f>
        <v>2776.3868973798226</v>
      </c>
      <c r="I69" s="31">
        <f t="shared" si="39"/>
        <v>2753.1831398313084</v>
      </c>
      <c r="J69" s="31">
        <f t="shared" si="39"/>
        <v>2772.5736205562439</v>
      </c>
      <c r="K69" s="31">
        <f t="shared" si="39"/>
        <v>2830.9875079955182</v>
      </c>
      <c r="L69" s="31">
        <f t="shared" si="39"/>
        <v>2925.7511888197564</v>
      </c>
      <c r="M69" s="31">
        <f t="shared" si="39"/>
        <v>3054.9677201048366</v>
      </c>
      <c r="N69" s="31">
        <f t="shared" si="39"/>
        <v>3217.4186178264085</v>
      </c>
      <c r="O69" s="31">
        <f t="shared" si="39"/>
        <v>3412.4845150949827</v>
      </c>
      <c r="P69" s="31">
        <f t="shared" si="39"/>
        <v>3640.0818149147808</v>
      </c>
      <c r="Q69" s="31">
        <f t="shared" si="39"/>
        <v>3900.6129577871152</v>
      </c>
    </row>
    <row r="72" spans="2:17" x14ac:dyDescent="0.25">
      <c r="B72" s="1" t="s">
        <v>188</v>
      </c>
      <c r="D72" s="3"/>
      <c r="E72" s="3"/>
      <c r="F72" s="3"/>
      <c r="G72" s="3"/>
      <c r="H72" s="3"/>
    </row>
    <row r="73" spans="2:17" x14ac:dyDescent="0.25">
      <c r="B73" s="2" t="s">
        <v>172</v>
      </c>
      <c r="C73" s="34">
        <f>C10+C31+C52</f>
        <v>96651.1</v>
      </c>
      <c r="D73" s="34">
        <f t="shared" ref="D73:G73" si="40">D10+D31+D52</f>
        <v>120551.50000000001</v>
      </c>
      <c r="E73" s="34">
        <f t="shared" si="40"/>
        <v>127587.29999999999</v>
      </c>
      <c r="F73" s="34">
        <f t="shared" si="40"/>
        <v>150491.29999999999</v>
      </c>
      <c r="G73" s="34">
        <f t="shared" si="40"/>
        <v>175471.6</v>
      </c>
      <c r="H73" s="34">
        <f t="shared" ref="H73:Q73" si="41">H10+H31+H52</f>
        <v>223999.69999999998</v>
      </c>
      <c r="I73" s="34">
        <f t="shared" si="41"/>
        <v>249339.78053450375</v>
      </c>
      <c r="J73" s="34">
        <f t="shared" si="41"/>
        <v>276418.92190389603</v>
      </c>
      <c r="K73" s="34">
        <f t="shared" si="41"/>
        <v>305384.33436039329</v>
      </c>
      <c r="L73" s="34">
        <f t="shared" si="41"/>
        <v>336398.3043514305</v>
      </c>
      <c r="M73" s="34">
        <f t="shared" si="41"/>
        <v>369639.9384480592</v>
      </c>
      <c r="N73" s="34">
        <f t="shared" si="41"/>
        <v>405307.12172097596</v>
      </c>
      <c r="O73" s="34">
        <f t="shared" si="41"/>
        <v>443618.71765840077</v>
      </c>
      <c r="P73" s="34">
        <f t="shared" si="41"/>
        <v>484817.04018264532</v>
      </c>
      <c r="Q73" s="34">
        <f t="shared" si="41"/>
        <v>529170.63222951349</v>
      </c>
    </row>
    <row r="74" spans="2:17" x14ac:dyDescent="0.25">
      <c r="B74" t="s">
        <v>174</v>
      </c>
      <c r="C74" s="20">
        <f t="shared" ref="C74:G90" si="42">C11+C32+C53</f>
        <v>15746.8</v>
      </c>
      <c r="D74" s="20">
        <f t="shared" si="42"/>
        <v>14776.8</v>
      </c>
      <c r="E74" s="20">
        <f t="shared" si="42"/>
        <v>20875</v>
      </c>
      <c r="F74" s="20">
        <f t="shared" si="42"/>
        <v>12278.2</v>
      </c>
      <c r="G74" s="20">
        <f t="shared" si="42"/>
        <v>51596</v>
      </c>
      <c r="H74" s="20">
        <f t="shared" ref="H74:Q74" si="43">H11+H32+H53</f>
        <v>25340.080534503773</v>
      </c>
      <c r="I74" s="20">
        <f t="shared" si="43"/>
        <v>27079.141369392291</v>
      </c>
      <c r="J74" s="20">
        <f t="shared" si="43"/>
        <v>28965.412456497255</v>
      </c>
      <c r="K74" s="20">
        <f t="shared" si="43"/>
        <v>31013.969991037207</v>
      </c>
      <c r="L74" s="20">
        <f t="shared" si="43"/>
        <v>33241.634096628637</v>
      </c>
      <c r="M74" s="20">
        <f t="shared" si="43"/>
        <v>35667.183272916853</v>
      </c>
      <c r="N74" s="20">
        <f t="shared" si="43"/>
        <v>38311.595937424725</v>
      </c>
      <c r="O74" s="20">
        <f t="shared" si="43"/>
        <v>41198.322524244606</v>
      </c>
      <c r="P74" s="20">
        <f t="shared" si="43"/>
        <v>44353.592046868158</v>
      </c>
      <c r="Q74" s="20">
        <f t="shared" si="43"/>
        <v>47806.757534342687</v>
      </c>
    </row>
    <row r="75" spans="2:17" x14ac:dyDescent="0.25">
      <c r="B75" t="s">
        <v>175</v>
      </c>
      <c r="C75" s="20">
        <f t="shared" si="42"/>
        <v>-616.20000000000005</v>
      </c>
      <c r="D75" s="20">
        <f t="shared" si="42"/>
        <v>-3588.7999999999997</v>
      </c>
      <c r="E75" s="20">
        <f t="shared" si="42"/>
        <v>-3438.2</v>
      </c>
      <c r="F75" s="20">
        <f t="shared" si="42"/>
        <v>-2969.5</v>
      </c>
      <c r="G75" s="20">
        <f t="shared" si="42"/>
        <v>-3935.8</v>
      </c>
      <c r="H75" s="20">
        <f t="shared" ref="H75:Q75" si="44">H12+H33+H54</f>
        <v>0</v>
      </c>
      <c r="I75" s="20">
        <f t="shared" si="44"/>
        <v>0</v>
      </c>
      <c r="J75" s="20">
        <f t="shared" si="44"/>
        <v>0</v>
      </c>
      <c r="K75" s="20">
        <f t="shared" si="44"/>
        <v>0</v>
      </c>
      <c r="L75" s="20">
        <f t="shared" si="44"/>
        <v>0</v>
      </c>
      <c r="M75" s="20">
        <f t="shared" si="44"/>
        <v>0</v>
      </c>
      <c r="N75" s="20">
        <f t="shared" si="44"/>
        <v>0</v>
      </c>
      <c r="O75" s="20">
        <f t="shared" si="44"/>
        <v>0</v>
      </c>
      <c r="P75" s="20">
        <f t="shared" si="44"/>
        <v>0</v>
      </c>
      <c r="Q75" s="20">
        <f t="shared" si="44"/>
        <v>0</v>
      </c>
    </row>
    <row r="76" spans="2:17" x14ac:dyDescent="0.25">
      <c r="B76" t="s">
        <v>183</v>
      </c>
      <c r="C76" s="20">
        <f t="shared" si="42"/>
        <v>0</v>
      </c>
      <c r="D76" s="20">
        <f t="shared" si="42"/>
        <v>-995.3</v>
      </c>
      <c r="E76" s="20">
        <f t="shared" si="42"/>
        <v>0</v>
      </c>
      <c r="F76" s="20">
        <f t="shared" si="42"/>
        <v>0</v>
      </c>
      <c r="G76" s="20">
        <f t="shared" si="42"/>
        <v>-14.8</v>
      </c>
      <c r="H76" s="20">
        <f t="shared" ref="H76:Q76" si="45">H13+H34+H55</f>
        <v>0</v>
      </c>
      <c r="I76" s="20">
        <f t="shared" si="45"/>
        <v>0</v>
      </c>
      <c r="J76" s="20">
        <f t="shared" si="45"/>
        <v>0</v>
      </c>
      <c r="K76" s="20">
        <f t="shared" si="45"/>
        <v>0</v>
      </c>
      <c r="L76" s="20">
        <f t="shared" si="45"/>
        <v>0</v>
      </c>
      <c r="M76" s="20">
        <f t="shared" si="45"/>
        <v>0</v>
      </c>
      <c r="N76" s="20">
        <f t="shared" si="45"/>
        <v>0</v>
      </c>
      <c r="O76" s="20">
        <f t="shared" si="45"/>
        <v>0</v>
      </c>
      <c r="P76" s="20">
        <f t="shared" si="45"/>
        <v>0</v>
      </c>
      <c r="Q76" s="20">
        <f t="shared" si="45"/>
        <v>0</v>
      </c>
    </row>
    <row r="77" spans="2:17" x14ac:dyDescent="0.25">
      <c r="B77" t="s">
        <v>184</v>
      </c>
      <c r="C77" s="20">
        <f t="shared" si="42"/>
        <v>1244.8</v>
      </c>
      <c r="D77" s="20">
        <f t="shared" si="42"/>
        <v>6401.9</v>
      </c>
      <c r="E77" s="20">
        <f t="shared" si="42"/>
        <v>4495.6000000000004</v>
      </c>
      <c r="F77" s="20">
        <f t="shared" si="42"/>
        <v>11489.5</v>
      </c>
      <c r="G77" s="20">
        <f t="shared" si="42"/>
        <v>0</v>
      </c>
      <c r="H77" s="20">
        <f t="shared" ref="H77:Q77" si="46">H14+H35+H56</f>
        <v>0</v>
      </c>
      <c r="I77" s="20">
        <f t="shared" si="46"/>
        <v>0</v>
      </c>
      <c r="J77" s="20">
        <f t="shared" si="46"/>
        <v>0</v>
      </c>
      <c r="K77" s="20">
        <f t="shared" si="46"/>
        <v>0</v>
      </c>
      <c r="L77" s="20">
        <f t="shared" si="46"/>
        <v>0</v>
      </c>
      <c r="M77" s="20">
        <f t="shared" si="46"/>
        <v>0</v>
      </c>
      <c r="N77" s="20">
        <f t="shared" si="46"/>
        <v>0</v>
      </c>
      <c r="O77" s="20">
        <f t="shared" si="46"/>
        <v>0</v>
      </c>
      <c r="P77" s="20">
        <f t="shared" si="46"/>
        <v>0</v>
      </c>
      <c r="Q77" s="20">
        <f t="shared" si="46"/>
        <v>0</v>
      </c>
    </row>
    <row r="78" spans="2:17" x14ac:dyDescent="0.25">
      <c r="B78" t="s">
        <v>185</v>
      </c>
      <c r="C78" s="20">
        <f t="shared" si="42"/>
        <v>0</v>
      </c>
      <c r="D78" s="20">
        <f t="shared" si="42"/>
        <v>-3403.8</v>
      </c>
      <c r="E78" s="20">
        <f t="shared" si="42"/>
        <v>0</v>
      </c>
      <c r="F78" s="20">
        <f t="shared" si="42"/>
        <v>0</v>
      </c>
      <c r="G78" s="20">
        <f t="shared" si="42"/>
        <v>0</v>
      </c>
      <c r="H78" s="20">
        <f t="shared" ref="H78:Q78" si="47">H15+H36+H57</f>
        <v>0</v>
      </c>
      <c r="I78" s="20">
        <f t="shared" si="47"/>
        <v>0</v>
      </c>
      <c r="J78" s="20">
        <f t="shared" si="47"/>
        <v>0</v>
      </c>
      <c r="K78" s="20">
        <f t="shared" si="47"/>
        <v>0</v>
      </c>
      <c r="L78" s="20">
        <f t="shared" si="47"/>
        <v>0</v>
      </c>
      <c r="M78" s="20">
        <f t="shared" si="47"/>
        <v>0</v>
      </c>
      <c r="N78" s="20">
        <f t="shared" si="47"/>
        <v>0</v>
      </c>
      <c r="O78" s="20">
        <f t="shared" si="47"/>
        <v>0</v>
      </c>
      <c r="P78" s="20">
        <f t="shared" si="47"/>
        <v>0</v>
      </c>
      <c r="Q78" s="20">
        <f t="shared" si="47"/>
        <v>0</v>
      </c>
    </row>
    <row r="79" spans="2:17" x14ac:dyDescent="0.25">
      <c r="B79" t="s">
        <v>176</v>
      </c>
      <c r="C79" s="20">
        <f t="shared" si="42"/>
        <v>-1173</v>
      </c>
      <c r="D79" s="20">
        <f t="shared" si="42"/>
        <v>0</v>
      </c>
      <c r="E79" s="20">
        <f t="shared" si="42"/>
        <v>0</v>
      </c>
      <c r="F79" s="20">
        <f t="shared" si="42"/>
        <v>0</v>
      </c>
      <c r="G79" s="20">
        <f t="shared" si="42"/>
        <v>0</v>
      </c>
      <c r="H79" s="20">
        <f t="shared" ref="H79:Q79" si="48">H16+H37+H58</f>
        <v>0</v>
      </c>
      <c r="I79" s="20">
        <f t="shared" si="48"/>
        <v>0</v>
      </c>
      <c r="J79" s="20">
        <f t="shared" si="48"/>
        <v>0</v>
      </c>
      <c r="K79" s="20">
        <f t="shared" si="48"/>
        <v>0</v>
      </c>
      <c r="L79" s="20">
        <f t="shared" si="48"/>
        <v>0</v>
      </c>
      <c r="M79" s="20">
        <f t="shared" si="48"/>
        <v>0</v>
      </c>
      <c r="N79" s="20">
        <f t="shared" si="48"/>
        <v>0</v>
      </c>
      <c r="O79" s="20">
        <f t="shared" si="48"/>
        <v>0</v>
      </c>
      <c r="P79" s="20">
        <f t="shared" si="48"/>
        <v>0</v>
      </c>
      <c r="Q79" s="20">
        <f t="shared" si="48"/>
        <v>0</v>
      </c>
    </row>
    <row r="80" spans="2:17" x14ac:dyDescent="0.25">
      <c r="B80" t="s">
        <v>177</v>
      </c>
      <c r="C80" s="20">
        <f t="shared" si="42"/>
        <v>3399.7</v>
      </c>
      <c r="D80" s="20">
        <f t="shared" si="42"/>
        <v>-411.09999999999997</v>
      </c>
      <c r="E80" s="20">
        <f t="shared" si="42"/>
        <v>971.59999999999991</v>
      </c>
      <c r="F80" s="20">
        <f t="shared" si="42"/>
        <v>4182.1000000000004</v>
      </c>
      <c r="G80" s="20">
        <f t="shared" si="42"/>
        <v>882.7</v>
      </c>
      <c r="H80" s="20">
        <f t="shared" ref="H80:Q80" si="49">H17+H38+H59</f>
        <v>0</v>
      </c>
      <c r="I80" s="20">
        <f t="shared" si="49"/>
        <v>0</v>
      </c>
      <c r="J80" s="20">
        <f t="shared" si="49"/>
        <v>0</v>
      </c>
      <c r="K80" s="20">
        <f t="shared" si="49"/>
        <v>0</v>
      </c>
      <c r="L80" s="20">
        <f t="shared" si="49"/>
        <v>0</v>
      </c>
      <c r="M80" s="20">
        <f t="shared" si="49"/>
        <v>0</v>
      </c>
      <c r="N80" s="20">
        <f t="shared" si="49"/>
        <v>0</v>
      </c>
      <c r="O80" s="20">
        <f t="shared" si="49"/>
        <v>0</v>
      </c>
      <c r="P80" s="20">
        <f t="shared" si="49"/>
        <v>0</v>
      </c>
      <c r="Q80" s="20">
        <f t="shared" si="49"/>
        <v>0</v>
      </c>
    </row>
    <row r="81" spans="2:17" x14ac:dyDescent="0.25">
      <c r="B81" s="2" t="s">
        <v>178</v>
      </c>
      <c r="C81" s="34">
        <f t="shared" si="42"/>
        <v>115253.20000000001</v>
      </c>
      <c r="D81" s="34">
        <f t="shared" si="42"/>
        <v>133331.20000000001</v>
      </c>
      <c r="E81" s="34">
        <f t="shared" si="42"/>
        <v>150491.29999999999</v>
      </c>
      <c r="F81" s="34">
        <f t="shared" si="42"/>
        <v>175471.6</v>
      </c>
      <c r="G81" s="34">
        <f t="shared" si="42"/>
        <v>223999.69999999998</v>
      </c>
      <c r="H81" s="34">
        <f t="shared" ref="H81:Q81" si="50">H18+H39+H60</f>
        <v>249339.78053450375</v>
      </c>
      <c r="I81" s="34">
        <f t="shared" si="50"/>
        <v>276418.92190389603</v>
      </c>
      <c r="J81" s="34">
        <f t="shared" si="50"/>
        <v>305384.33436039329</v>
      </c>
      <c r="K81" s="34">
        <f t="shared" si="50"/>
        <v>336398.3043514305</v>
      </c>
      <c r="L81" s="34">
        <f t="shared" si="50"/>
        <v>369639.9384480592</v>
      </c>
      <c r="M81" s="34">
        <f t="shared" si="50"/>
        <v>405307.12172097596</v>
      </c>
      <c r="N81" s="34">
        <f t="shared" si="50"/>
        <v>443618.71765840077</v>
      </c>
      <c r="O81" s="34">
        <f t="shared" si="50"/>
        <v>484817.04018264532</v>
      </c>
      <c r="P81" s="34">
        <f t="shared" si="50"/>
        <v>529170.63222951349</v>
      </c>
      <c r="Q81" s="34">
        <f t="shared" si="50"/>
        <v>576977.38976385631</v>
      </c>
    </row>
    <row r="82" spans="2:17" x14ac:dyDescent="0.25">
      <c r="B82" t="s">
        <v>179</v>
      </c>
      <c r="C82" s="20">
        <f t="shared" si="42"/>
        <v>-20227.7</v>
      </c>
      <c r="D82" s="20">
        <f t="shared" si="42"/>
        <v>-32057.3</v>
      </c>
      <c r="E82" s="20">
        <f t="shared" si="42"/>
        <v>-38140.5</v>
      </c>
      <c r="F82" s="20">
        <f t="shared" si="42"/>
        <v>-49924.700000000004</v>
      </c>
      <c r="G82" s="20">
        <f t="shared" si="42"/>
        <v>-71195.400000000009</v>
      </c>
      <c r="H82" s="20">
        <f t="shared" ref="H82:Q82" si="51">H19+H40+H61</f>
        <v>-85023.299999999988</v>
      </c>
      <c r="I82" s="20">
        <f t="shared" si="51"/>
        <v>-103952.69631937433</v>
      </c>
      <c r="J82" s="20">
        <f t="shared" si="51"/>
        <v>-123641.60257283272</v>
      </c>
      <c r="K82" s="20">
        <f t="shared" si="51"/>
        <v>-144288.47022735703</v>
      </c>
      <c r="L82" s="20">
        <f t="shared" si="51"/>
        <v>-166077.53901875799</v>
      </c>
      <c r="M82" s="20">
        <f t="shared" si="51"/>
        <v>-189185.66259710278</v>
      </c>
      <c r="N82" s="20">
        <f t="shared" si="51"/>
        <v>-213787.93236945898</v>
      </c>
      <c r="O82" s="20">
        <f t="shared" si="51"/>
        <v>-240062.43257153139</v>
      </c>
      <c r="P82" s="20">
        <f t="shared" si="51"/>
        <v>-268194.38759471901</v>
      </c>
      <c r="Q82" s="20">
        <f t="shared" si="51"/>
        <v>-298379.90835600923</v>
      </c>
    </row>
    <row r="83" spans="2:17" x14ac:dyDescent="0.25">
      <c r="B83" t="s">
        <v>180</v>
      </c>
      <c r="C83" s="20">
        <f t="shared" si="42"/>
        <v>-9665.6</v>
      </c>
      <c r="D83" s="20">
        <f t="shared" si="42"/>
        <v>-10575.3</v>
      </c>
      <c r="E83" s="20">
        <f t="shared" si="42"/>
        <v>-11375.5</v>
      </c>
      <c r="F83" s="20">
        <f t="shared" si="42"/>
        <v>-12539.7</v>
      </c>
      <c r="G83" s="20">
        <f t="shared" si="42"/>
        <v>-15132.2</v>
      </c>
      <c r="H83" s="20">
        <f t="shared" ref="H83:Q83" si="52">H20+H41+H62</f>
        <v>-18929.396319374344</v>
      </c>
      <c r="I83" s="20">
        <f t="shared" si="52"/>
        <v>-19688.906253458386</v>
      </c>
      <c r="J83" s="20">
        <f t="shared" si="52"/>
        <v>-20646.867654524314</v>
      </c>
      <c r="K83" s="20">
        <f t="shared" si="52"/>
        <v>-21789.068791400932</v>
      </c>
      <c r="L83" s="20">
        <f t="shared" si="52"/>
        <v>-23108.123578344828</v>
      </c>
      <c r="M83" s="20">
        <f t="shared" si="52"/>
        <v>-24602.26977235622</v>
      </c>
      <c r="N83" s="20">
        <f t="shared" si="52"/>
        <v>-26274.500202072406</v>
      </c>
      <c r="O83" s="20">
        <f t="shared" si="52"/>
        <v>-28131.955023187671</v>
      </c>
      <c r="P83" s="20">
        <f t="shared" si="52"/>
        <v>-30185.52076129018</v>
      </c>
      <c r="Q83" s="20">
        <f t="shared" si="52"/>
        <v>-32449.595589389297</v>
      </c>
    </row>
    <row r="84" spans="2:17" x14ac:dyDescent="0.25">
      <c r="B84" t="s">
        <v>175</v>
      </c>
      <c r="C84" s="20">
        <f t="shared" si="42"/>
        <v>92.5</v>
      </c>
      <c r="D84" s="20">
        <f t="shared" si="42"/>
        <v>-1375.1000000000001</v>
      </c>
      <c r="E84" s="20">
        <f t="shared" si="42"/>
        <v>-158.60000000000002</v>
      </c>
      <c r="F84" s="20">
        <f t="shared" si="42"/>
        <v>849.8</v>
      </c>
      <c r="G84" s="20">
        <f t="shared" si="42"/>
        <v>1762.4</v>
      </c>
      <c r="H84" s="20">
        <f t="shared" ref="H84:Q84" si="53">H21+H42+H63</f>
        <v>0</v>
      </c>
      <c r="I84" s="20">
        <f t="shared" si="53"/>
        <v>0</v>
      </c>
      <c r="J84" s="20">
        <f t="shared" si="53"/>
        <v>0</v>
      </c>
      <c r="K84" s="20">
        <f t="shared" si="53"/>
        <v>0</v>
      </c>
      <c r="L84" s="20">
        <f t="shared" si="53"/>
        <v>0</v>
      </c>
      <c r="M84" s="20">
        <f t="shared" si="53"/>
        <v>0</v>
      </c>
      <c r="N84" s="20">
        <f t="shared" si="53"/>
        <v>0</v>
      </c>
      <c r="O84" s="20">
        <f t="shared" si="53"/>
        <v>0</v>
      </c>
      <c r="P84" s="20">
        <f t="shared" si="53"/>
        <v>0</v>
      </c>
      <c r="Q84" s="20">
        <f t="shared" si="53"/>
        <v>0</v>
      </c>
    </row>
    <row r="85" spans="2:17" x14ac:dyDescent="0.25">
      <c r="B85" t="s">
        <v>183</v>
      </c>
      <c r="C85" s="20">
        <f t="shared" si="42"/>
        <v>0</v>
      </c>
      <c r="D85" s="20">
        <f t="shared" si="42"/>
        <v>-159.19999999999999</v>
      </c>
      <c r="E85" s="20">
        <f t="shared" si="42"/>
        <v>0</v>
      </c>
      <c r="F85" s="20">
        <f t="shared" si="42"/>
        <v>0</v>
      </c>
      <c r="G85" s="20">
        <f t="shared" si="42"/>
        <v>6.8</v>
      </c>
      <c r="H85" s="20">
        <f t="shared" ref="H85:Q85" si="54">H22+H43+H64</f>
        <v>0</v>
      </c>
      <c r="I85" s="20">
        <f t="shared" si="54"/>
        <v>0</v>
      </c>
      <c r="J85" s="20">
        <f t="shared" si="54"/>
        <v>0</v>
      </c>
      <c r="K85" s="20">
        <f t="shared" si="54"/>
        <v>0</v>
      </c>
      <c r="L85" s="20">
        <f t="shared" si="54"/>
        <v>0</v>
      </c>
      <c r="M85" s="20">
        <f t="shared" si="54"/>
        <v>0</v>
      </c>
      <c r="N85" s="20">
        <f t="shared" si="54"/>
        <v>0</v>
      </c>
      <c r="O85" s="20">
        <f t="shared" si="54"/>
        <v>0</v>
      </c>
      <c r="P85" s="20">
        <f t="shared" si="54"/>
        <v>0</v>
      </c>
      <c r="Q85" s="20">
        <f t="shared" si="54"/>
        <v>0</v>
      </c>
    </row>
    <row r="86" spans="2:17" x14ac:dyDescent="0.25">
      <c r="B86" t="s">
        <v>184</v>
      </c>
      <c r="C86" s="20">
        <f t="shared" si="42"/>
        <v>0</v>
      </c>
      <c r="D86" s="20">
        <f t="shared" si="42"/>
        <v>-516.5</v>
      </c>
      <c r="E86" s="20">
        <f t="shared" si="42"/>
        <v>0</v>
      </c>
      <c r="F86" s="20">
        <f t="shared" si="42"/>
        <v>-8023.6</v>
      </c>
      <c r="G86" s="20">
        <f t="shared" si="42"/>
        <v>0</v>
      </c>
      <c r="H86" s="20">
        <f t="shared" ref="H86:Q86" si="55">H23+H44+H65</f>
        <v>0</v>
      </c>
      <c r="I86" s="20">
        <f t="shared" si="55"/>
        <v>0</v>
      </c>
      <c r="J86" s="20">
        <f t="shared" si="55"/>
        <v>0</v>
      </c>
      <c r="K86" s="20">
        <f t="shared" si="55"/>
        <v>0</v>
      </c>
      <c r="L86" s="20">
        <f t="shared" si="55"/>
        <v>0</v>
      </c>
      <c r="M86" s="20">
        <f t="shared" si="55"/>
        <v>0</v>
      </c>
      <c r="N86" s="20">
        <f t="shared" si="55"/>
        <v>0</v>
      </c>
      <c r="O86" s="20">
        <f t="shared" si="55"/>
        <v>0</v>
      </c>
      <c r="P86" s="20">
        <f t="shared" si="55"/>
        <v>0</v>
      </c>
      <c r="Q86" s="20">
        <f t="shared" si="55"/>
        <v>0</v>
      </c>
    </row>
    <row r="87" spans="2:17" x14ac:dyDescent="0.25">
      <c r="B87" t="s">
        <v>185</v>
      </c>
      <c r="C87" s="20">
        <f t="shared" si="42"/>
        <v>0</v>
      </c>
      <c r="D87" s="20">
        <f t="shared" si="42"/>
        <v>1075</v>
      </c>
      <c r="E87" s="20">
        <f t="shared" si="42"/>
        <v>0</v>
      </c>
      <c r="F87" s="20">
        <f t="shared" si="42"/>
        <v>0</v>
      </c>
      <c r="G87" s="20">
        <f t="shared" si="42"/>
        <v>0</v>
      </c>
      <c r="H87" s="20">
        <f t="shared" ref="H87:Q87" si="56">H24+H45+H66</f>
        <v>0</v>
      </c>
      <c r="I87" s="20">
        <f t="shared" si="56"/>
        <v>0</v>
      </c>
      <c r="J87" s="20">
        <f t="shared" si="56"/>
        <v>0</v>
      </c>
      <c r="K87" s="20">
        <f t="shared" si="56"/>
        <v>0</v>
      </c>
      <c r="L87" s="20">
        <f t="shared" si="56"/>
        <v>0</v>
      </c>
      <c r="M87" s="20">
        <f t="shared" si="56"/>
        <v>0</v>
      </c>
      <c r="N87" s="20">
        <f t="shared" si="56"/>
        <v>0</v>
      </c>
      <c r="O87" s="20">
        <f t="shared" si="56"/>
        <v>0</v>
      </c>
      <c r="P87" s="20">
        <f t="shared" si="56"/>
        <v>0</v>
      </c>
      <c r="Q87" s="20">
        <f t="shared" si="56"/>
        <v>0</v>
      </c>
    </row>
    <row r="88" spans="2:17" x14ac:dyDescent="0.25">
      <c r="B88" t="s">
        <v>181</v>
      </c>
      <c r="C88" s="20">
        <f t="shared" si="42"/>
        <v>118</v>
      </c>
      <c r="D88" s="20">
        <f t="shared" si="42"/>
        <v>-208.10000000002799</v>
      </c>
      <c r="E88" s="20">
        <f t="shared" si="42"/>
        <v>0</v>
      </c>
      <c r="F88" s="20">
        <f t="shared" si="42"/>
        <v>0</v>
      </c>
      <c r="G88" s="20">
        <f t="shared" si="42"/>
        <v>0</v>
      </c>
      <c r="H88" s="20">
        <f t="shared" ref="H88:Q88" si="57">H25+H46+H67</f>
        <v>0</v>
      </c>
      <c r="I88" s="20">
        <f t="shared" si="57"/>
        <v>0</v>
      </c>
      <c r="J88" s="20">
        <f t="shared" si="57"/>
        <v>0</v>
      </c>
      <c r="K88" s="20">
        <f t="shared" si="57"/>
        <v>0</v>
      </c>
      <c r="L88" s="20">
        <f t="shared" si="57"/>
        <v>0</v>
      </c>
      <c r="M88" s="20">
        <f t="shared" si="57"/>
        <v>0</v>
      </c>
      <c r="N88" s="20">
        <f t="shared" si="57"/>
        <v>0</v>
      </c>
      <c r="O88" s="20">
        <f t="shared" si="57"/>
        <v>0</v>
      </c>
      <c r="P88" s="20">
        <f t="shared" si="57"/>
        <v>0</v>
      </c>
      <c r="Q88" s="20">
        <f t="shared" si="57"/>
        <v>0</v>
      </c>
    </row>
    <row r="89" spans="2:17" x14ac:dyDescent="0.25">
      <c r="B89" t="s">
        <v>177</v>
      </c>
      <c r="C89" s="20">
        <f t="shared" si="42"/>
        <v>-765.09999999999991</v>
      </c>
      <c r="D89" s="20">
        <f t="shared" si="42"/>
        <v>-89.7</v>
      </c>
      <c r="E89" s="20">
        <f t="shared" si="42"/>
        <v>-250</v>
      </c>
      <c r="F89" s="20">
        <f t="shared" si="42"/>
        <v>-1557.2</v>
      </c>
      <c r="G89" s="20">
        <f t="shared" si="42"/>
        <v>-464.9</v>
      </c>
      <c r="H89" s="20">
        <f t="shared" ref="H89:Q89" si="58">H26+H47+H68</f>
        <v>0</v>
      </c>
      <c r="I89" s="20">
        <f t="shared" si="58"/>
        <v>0</v>
      </c>
      <c r="J89" s="20">
        <f t="shared" si="58"/>
        <v>0</v>
      </c>
      <c r="K89" s="20">
        <f t="shared" si="58"/>
        <v>0</v>
      </c>
      <c r="L89" s="20">
        <f t="shared" si="58"/>
        <v>0</v>
      </c>
      <c r="M89" s="20">
        <f t="shared" si="58"/>
        <v>0</v>
      </c>
      <c r="N89" s="20">
        <f t="shared" si="58"/>
        <v>0</v>
      </c>
      <c r="O89" s="20">
        <f t="shared" si="58"/>
        <v>0</v>
      </c>
      <c r="P89" s="20">
        <f t="shared" si="58"/>
        <v>0</v>
      </c>
      <c r="Q89" s="20">
        <f t="shared" si="58"/>
        <v>0</v>
      </c>
    </row>
    <row r="90" spans="2:17" ht="15.75" thickBot="1" x14ac:dyDescent="0.3">
      <c r="B90" s="8" t="s">
        <v>189</v>
      </c>
      <c r="C90" s="38">
        <f t="shared" si="42"/>
        <v>84805.3</v>
      </c>
      <c r="D90" s="38">
        <f t="shared" si="42"/>
        <v>89446.799999999988</v>
      </c>
      <c r="E90" s="38">
        <f t="shared" si="42"/>
        <v>100566.69999999998</v>
      </c>
      <c r="F90" s="38">
        <f t="shared" si="42"/>
        <v>104276.19999999998</v>
      </c>
      <c r="G90" s="38">
        <f t="shared" si="42"/>
        <v>138976.40000000002</v>
      </c>
      <c r="H90" s="38">
        <f t="shared" ref="H90:Q90" si="59">H27+H48+H69</f>
        <v>145387.08421512943</v>
      </c>
      <c r="I90" s="38">
        <f t="shared" si="59"/>
        <v>152777.31933106334</v>
      </c>
      <c r="J90" s="38">
        <f t="shared" si="59"/>
        <v>161095.86413303626</v>
      </c>
      <c r="K90" s="38">
        <f t="shared" si="59"/>
        <v>170320.76533267254</v>
      </c>
      <c r="L90" s="38">
        <f t="shared" si="59"/>
        <v>180454.27585095636</v>
      </c>
      <c r="M90" s="38">
        <f t="shared" si="59"/>
        <v>191519.18935151701</v>
      </c>
      <c r="N90" s="38">
        <f t="shared" si="59"/>
        <v>203556.28508686935</v>
      </c>
      <c r="O90" s="38">
        <f t="shared" si="59"/>
        <v>216622.65258792628</v>
      </c>
      <c r="P90" s="38">
        <f t="shared" si="59"/>
        <v>230790.72387350426</v>
      </c>
      <c r="Q90" s="38">
        <f t="shared" si="59"/>
        <v>246147.8858184577</v>
      </c>
    </row>
    <row r="92" spans="2:17" x14ac:dyDescent="0.25">
      <c r="C92" s="3"/>
      <c r="D92" s="3"/>
      <c r="E92" s="3"/>
      <c r="F92" s="3"/>
      <c r="G92" s="3"/>
      <c r="H92" s="3"/>
    </row>
    <row r="93" spans="2:17" x14ac:dyDescent="0.25">
      <c r="B93" s="36" t="s">
        <v>190</v>
      </c>
      <c r="C93" s="42">
        <f>C90</f>
        <v>84805.3</v>
      </c>
      <c r="D93" s="42">
        <f t="shared" ref="D93:Q93" si="60">D90</f>
        <v>89446.799999999988</v>
      </c>
      <c r="E93" s="42">
        <f t="shared" si="60"/>
        <v>100566.69999999998</v>
      </c>
      <c r="F93" s="42">
        <f t="shared" si="60"/>
        <v>104276.19999999998</v>
      </c>
      <c r="G93" s="42">
        <f t="shared" si="60"/>
        <v>138976.40000000002</v>
      </c>
      <c r="H93" s="42">
        <f t="shared" si="60"/>
        <v>145387.08421512943</v>
      </c>
      <c r="I93" s="42">
        <f t="shared" si="60"/>
        <v>152777.31933106334</v>
      </c>
      <c r="J93" s="42">
        <f t="shared" si="60"/>
        <v>161095.86413303626</v>
      </c>
      <c r="K93" s="42">
        <f t="shared" si="60"/>
        <v>170320.76533267254</v>
      </c>
      <c r="L93" s="42">
        <f t="shared" si="60"/>
        <v>180454.27585095636</v>
      </c>
      <c r="M93" s="42">
        <f t="shared" si="60"/>
        <v>191519.18935151701</v>
      </c>
      <c r="N93" s="42">
        <f t="shared" si="60"/>
        <v>203556.28508686935</v>
      </c>
      <c r="O93" s="42">
        <f t="shared" si="60"/>
        <v>216622.65258792628</v>
      </c>
      <c r="P93" s="42">
        <f t="shared" si="60"/>
        <v>230790.72387350426</v>
      </c>
      <c r="Q93" s="42">
        <f t="shared" si="60"/>
        <v>246147.8858184577</v>
      </c>
    </row>
    <row r="94" spans="2:17" x14ac:dyDescent="0.25">
      <c r="B94" s="29" t="s">
        <v>191</v>
      </c>
      <c r="C94" s="30">
        <f>-'P&amp;L'!C19</f>
        <v>-9667.1</v>
      </c>
      <c r="D94" s="30">
        <f>-'P&amp;L'!D19</f>
        <v>-10553.9</v>
      </c>
      <c r="E94" s="30">
        <f>-'P&amp;L'!E19</f>
        <v>-11265.2</v>
      </c>
      <c r="F94" s="30">
        <f>-'P&amp;L'!F19</f>
        <v>-12445.8</v>
      </c>
      <c r="G94" s="30">
        <f>-'P&amp;L'!G19</f>
        <v>-15216.6</v>
      </c>
      <c r="H94" s="31">
        <f>H83</f>
        <v>-18929.396319374344</v>
      </c>
      <c r="I94" s="31">
        <f t="shared" ref="I94:Q94" si="61">I83</f>
        <v>-19688.906253458386</v>
      </c>
      <c r="J94" s="31">
        <f t="shared" si="61"/>
        <v>-20646.867654524314</v>
      </c>
      <c r="K94" s="31">
        <f t="shared" si="61"/>
        <v>-21789.068791400932</v>
      </c>
      <c r="L94" s="31">
        <f t="shared" si="61"/>
        <v>-23108.123578344828</v>
      </c>
      <c r="M94" s="31">
        <f t="shared" si="61"/>
        <v>-24602.26977235622</v>
      </c>
      <c r="N94" s="31">
        <f t="shared" si="61"/>
        <v>-26274.500202072406</v>
      </c>
      <c r="O94" s="31">
        <f t="shared" si="61"/>
        <v>-28131.955023187671</v>
      </c>
      <c r="P94" s="31">
        <f t="shared" si="61"/>
        <v>-30185.52076129018</v>
      </c>
      <c r="Q94" s="31">
        <f t="shared" si="61"/>
        <v>-32449.595589389297</v>
      </c>
    </row>
    <row r="95" spans="2:17" ht="15.75" thickBot="1" x14ac:dyDescent="0.3">
      <c r="B95" s="40" t="s">
        <v>192</v>
      </c>
      <c r="C95" s="43"/>
      <c r="D95" s="44">
        <f>D93-D94-C93</f>
        <v>15195.39999999998</v>
      </c>
      <c r="E95" s="44">
        <f t="shared" ref="E95:Q95" si="62">E93-E94-D93</f>
        <v>22385.099999999991</v>
      </c>
      <c r="F95" s="44">
        <f t="shared" si="62"/>
        <v>16155.300000000003</v>
      </c>
      <c r="G95" s="44">
        <f t="shared" si="62"/>
        <v>49916.800000000047</v>
      </c>
      <c r="H95" s="44">
        <f>H93-H94-G93</f>
        <v>25340.080534503766</v>
      </c>
      <c r="I95" s="44">
        <f t="shared" si="62"/>
        <v>27079.14136939228</v>
      </c>
      <c r="J95" s="44">
        <f t="shared" si="62"/>
        <v>28965.41245649723</v>
      </c>
      <c r="K95" s="44">
        <f t="shared" si="62"/>
        <v>31013.969991037215</v>
      </c>
      <c r="L95" s="44">
        <f t="shared" si="62"/>
        <v>33241.634096628637</v>
      </c>
      <c r="M95" s="44">
        <f t="shared" si="62"/>
        <v>35667.183272916882</v>
      </c>
      <c r="N95" s="44">
        <f t="shared" si="62"/>
        <v>38311.595937424747</v>
      </c>
      <c r="O95" s="44">
        <f t="shared" si="62"/>
        <v>41198.322524244606</v>
      </c>
      <c r="P95" s="44">
        <f t="shared" si="62"/>
        <v>44353.592046868172</v>
      </c>
      <c r="Q95" s="44">
        <f t="shared" si="62"/>
        <v>47806.75753434276</v>
      </c>
    </row>
    <row r="96" spans="2:17" ht="15.75" thickTop="1" x14ac:dyDescent="0.25"/>
    <row r="97" spans="2:17" x14ac:dyDescent="0.25">
      <c r="B97" s="6" t="s">
        <v>24</v>
      </c>
      <c r="C97" s="7">
        <f>Balance_sheet!C12</f>
        <v>16218</v>
      </c>
      <c r="D97" s="7">
        <f>Balance_sheet!D12</f>
        <v>24288.9</v>
      </c>
      <c r="E97" s="7">
        <f>Balance_sheet!E12</f>
        <v>29375.599999999999</v>
      </c>
      <c r="F97" s="7">
        <f>Balance_sheet!F12</f>
        <v>44964</v>
      </c>
      <c r="G97" s="7">
        <f>Balance_sheet!G12</f>
        <v>27393.9</v>
      </c>
      <c r="H97" s="7">
        <f>G97+H98</f>
        <v>30187.875</v>
      </c>
      <c r="I97" s="7">
        <f t="shared" ref="I97:Q97" si="63">H97+I98</f>
        <v>33261.247499999998</v>
      </c>
      <c r="J97" s="7">
        <f t="shared" si="63"/>
        <v>36641.957249999999</v>
      </c>
      <c r="K97" s="7">
        <f t="shared" si="63"/>
        <v>40360.737975000004</v>
      </c>
      <c r="L97" s="7">
        <f t="shared" si="63"/>
        <v>44451.396772500004</v>
      </c>
      <c r="M97" s="7">
        <f t="shared" si="63"/>
        <v>48951.121449750004</v>
      </c>
      <c r="N97" s="7">
        <f t="shared" si="63"/>
        <v>53900.818594725009</v>
      </c>
      <c r="O97" s="7">
        <f t="shared" si="63"/>
        <v>59345.485454197515</v>
      </c>
      <c r="P97" s="7">
        <f t="shared" si="63"/>
        <v>65334.618999617269</v>
      </c>
      <c r="Q97" s="7">
        <f t="shared" si="63"/>
        <v>71922.665899579006</v>
      </c>
    </row>
    <row r="98" spans="2:17" x14ac:dyDescent="0.25">
      <c r="B98" s="46" t="s">
        <v>193</v>
      </c>
      <c r="C98" s="46"/>
      <c r="D98" s="148">
        <f>D97-C97</f>
        <v>8070.9000000000015</v>
      </c>
      <c r="E98" s="148">
        <f t="shared" ref="E98:G98" si="64">E97-D97</f>
        <v>5086.6999999999971</v>
      </c>
      <c r="F98" s="148">
        <f t="shared" si="64"/>
        <v>15588.400000000001</v>
      </c>
      <c r="G98" s="148">
        <f t="shared" si="64"/>
        <v>-17570.099999999999</v>
      </c>
      <c r="H98" s="148">
        <f>AVERAGE(D98:G98)</f>
        <v>2793.9750000000004</v>
      </c>
      <c r="I98" s="148">
        <f>H98*1.1</f>
        <v>3073.3725000000009</v>
      </c>
      <c r="J98" s="148">
        <f t="shared" ref="J98:Q98" si="65">I98*1.1</f>
        <v>3380.7097500000013</v>
      </c>
      <c r="K98" s="148">
        <f t="shared" si="65"/>
        <v>3718.7807250000019</v>
      </c>
      <c r="L98" s="148">
        <f t="shared" si="65"/>
        <v>4090.6587975000025</v>
      </c>
      <c r="M98" s="148">
        <f t="shared" si="65"/>
        <v>4499.724677250003</v>
      </c>
      <c r="N98" s="148">
        <f t="shared" si="65"/>
        <v>4949.6971449750035</v>
      </c>
      <c r="O98" s="148">
        <f t="shared" si="65"/>
        <v>5444.6668594725043</v>
      </c>
      <c r="P98" s="148">
        <f t="shared" si="65"/>
        <v>5989.1335454197551</v>
      </c>
      <c r="Q98" s="148">
        <f t="shared" si="65"/>
        <v>6588.0468999617315</v>
      </c>
    </row>
    <row r="100" spans="2:17" ht="15.75" thickBot="1" x14ac:dyDescent="0.3">
      <c r="B100" s="45" t="s">
        <v>194</v>
      </c>
      <c r="C100" s="45"/>
      <c r="D100" s="47">
        <f>D95+D98</f>
        <v>23266.299999999981</v>
      </c>
      <c r="E100" s="47">
        <f t="shared" ref="E100:Q100" si="66">E95+E98</f>
        <v>27471.799999999988</v>
      </c>
      <c r="F100" s="47">
        <f t="shared" si="66"/>
        <v>31743.700000000004</v>
      </c>
      <c r="G100" s="47">
        <f t="shared" si="66"/>
        <v>32346.700000000048</v>
      </c>
      <c r="H100" s="47">
        <f>H95+H98</f>
        <v>28134.055534503765</v>
      </c>
      <c r="I100" s="47">
        <f t="shared" si="66"/>
        <v>30152.513869392282</v>
      </c>
      <c r="J100" s="47">
        <f t="shared" si="66"/>
        <v>32346.122206497232</v>
      </c>
      <c r="K100" s="47">
        <f t="shared" si="66"/>
        <v>34732.750716037219</v>
      </c>
      <c r="L100" s="47">
        <f t="shared" si="66"/>
        <v>37332.292894128637</v>
      </c>
      <c r="M100" s="47">
        <f t="shared" si="66"/>
        <v>40166.907950166882</v>
      </c>
      <c r="N100" s="47">
        <f t="shared" si="66"/>
        <v>43261.293082399752</v>
      </c>
      <c r="O100" s="47">
        <f t="shared" si="66"/>
        <v>46642.989383717111</v>
      </c>
      <c r="P100" s="47">
        <f t="shared" si="66"/>
        <v>50342.725592287927</v>
      </c>
      <c r="Q100" s="47">
        <f t="shared" si="66"/>
        <v>54394.804434304489</v>
      </c>
    </row>
    <row r="101" spans="2:17" ht="15.75" thickTop="1" x14ac:dyDescent="0.25">
      <c r="C101" s="3"/>
      <c r="D101" s="3"/>
      <c r="E101" s="3"/>
      <c r="F101" s="3"/>
      <c r="G101" s="3"/>
    </row>
  </sheetData>
  <mergeCells count="1">
    <mergeCell ref="B6:Q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Q43"/>
  <sheetViews>
    <sheetView showGridLines="0" workbookViewId="0">
      <selection activeCell="B6" sqref="B6:Q6"/>
    </sheetView>
  </sheetViews>
  <sheetFormatPr defaultRowHeight="15" x14ac:dyDescent="0.25"/>
  <cols>
    <col min="1" max="1" width="1.85546875" customWidth="1"/>
    <col min="2" max="2" width="36.28515625" bestFit="1" customWidth="1"/>
    <col min="3" max="4" width="9.85546875" bestFit="1" customWidth="1"/>
    <col min="5" max="17" width="11.42578125" bestFit="1" customWidth="1"/>
  </cols>
  <sheetData>
    <row r="6" spans="2:17" x14ac:dyDescent="0.25">
      <c r="B6" s="131" t="s">
        <v>270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8" spans="2:17" x14ac:dyDescent="0.25">
      <c r="B8" s="126" t="s">
        <v>0</v>
      </c>
      <c r="C8" s="126">
        <v>2020</v>
      </c>
      <c r="D8" s="126">
        <f>C8+1</f>
        <v>2021</v>
      </c>
      <c r="E8" s="126">
        <f t="shared" ref="E8:Q8" si="0">D8+1</f>
        <v>2022</v>
      </c>
      <c r="F8" s="126">
        <f t="shared" si="0"/>
        <v>2023</v>
      </c>
      <c r="G8" s="126">
        <f t="shared" si="0"/>
        <v>2024</v>
      </c>
      <c r="H8" s="127">
        <f t="shared" si="0"/>
        <v>2025</v>
      </c>
      <c r="I8" s="127">
        <f t="shared" si="0"/>
        <v>2026</v>
      </c>
      <c r="J8" s="127">
        <f t="shared" si="0"/>
        <v>2027</v>
      </c>
      <c r="K8" s="127">
        <f t="shared" si="0"/>
        <v>2028</v>
      </c>
      <c r="L8" s="127">
        <f t="shared" si="0"/>
        <v>2029</v>
      </c>
      <c r="M8" s="127">
        <f t="shared" si="0"/>
        <v>2030</v>
      </c>
      <c r="N8" s="127">
        <f t="shared" si="0"/>
        <v>2031</v>
      </c>
      <c r="O8" s="127">
        <f t="shared" si="0"/>
        <v>2032</v>
      </c>
      <c r="P8" s="127">
        <f t="shared" si="0"/>
        <v>2033</v>
      </c>
      <c r="Q8" s="127">
        <f t="shared" si="0"/>
        <v>2034</v>
      </c>
    </row>
    <row r="10" spans="2:17" x14ac:dyDescent="0.25">
      <c r="B10" t="s">
        <v>148</v>
      </c>
      <c r="C10" s="50">
        <f>'Revenue Build_up'!C10</f>
        <v>230985.1</v>
      </c>
      <c r="D10" s="50">
        <f>'Revenue Build_up'!D10</f>
        <v>247746.2</v>
      </c>
      <c r="E10" s="50">
        <f>'Revenue Build_up'!E10</f>
        <v>234554.9</v>
      </c>
      <c r="F10" s="50">
        <f>'Revenue Build_up'!F10</f>
        <v>248553.8</v>
      </c>
      <c r="G10" s="50">
        <f>'Revenue Build_up'!G10</f>
        <v>290018.7</v>
      </c>
      <c r="H10" s="50">
        <f>'Revenue Build_up'!H10</f>
        <v>311990.26929475274</v>
      </c>
      <c r="I10" s="50">
        <f>'Revenue Build_up'!I10</f>
        <v>337003.67917459831</v>
      </c>
      <c r="J10" s="50">
        <f>'Revenue Build_up'!J10</f>
        <v>365623.11481525045</v>
      </c>
      <c r="K10" s="50">
        <f>'Revenue Build_up'!K10</f>
        <v>398530.62201354408</v>
      </c>
      <c r="L10" s="50">
        <f>'Revenue Build_up'!L10</f>
        <v>436551.90837958269</v>
      </c>
      <c r="M10" s="50">
        <f>'Revenue Build_up'!M10</f>
        <v>480687.90590529679</v>
      </c>
      <c r="N10" s="50">
        <f>'Revenue Build_up'!N10</f>
        <v>532153.39340199926</v>
      </c>
      <c r="O10" s="50">
        <f>'Revenue Build_up'!O10</f>
        <v>592424.27131711866</v>
      </c>
      <c r="P10" s="50">
        <f>'Revenue Build_up'!P10</f>
        <v>663295.44219414936</v>
      </c>
      <c r="Q10" s="50">
        <f>'Revenue Build_up'!Q10</f>
        <v>746951.69269740861</v>
      </c>
    </row>
    <row r="11" spans="2:17" x14ac:dyDescent="0.25">
      <c r="B11" t="s">
        <v>154</v>
      </c>
      <c r="C11" s="50">
        <f>-'Cost Build_Up'!C12</f>
        <v>-97352.299999999988</v>
      </c>
      <c r="D11" s="50">
        <f>-'Cost Build_Up'!D12</f>
        <v>-99024.7</v>
      </c>
      <c r="E11" s="50">
        <f>-'Cost Build_Up'!E12</f>
        <v>-101402.8</v>
      </c>
      <c r="F11" s="50">
        <f>-'Cost Build_Up'!F12</f>
        <v>-112932.6</v>
      </c>
      <c r="G11" s="50">
        <f>-'Cost Build_Up'!G12</f>
        <v>-126028.99999999999</v>
      </c>
      <c r="H11" s="50">
        <f>-'Cost Build_Up'!H12</f>
        <v>-133681.68606087263</v>
      </c>
      <c r="I11" s="50">
        <f>-'Cost Build_Up'!I12</f>
        <v>-144399.4395806478</v>
      </c>
      <c r="J11" s="50">
        <f>-'Cost Build_Up'!J12</f>
        <v>-156662.30412190853</v>
      </c>
      <c r="K11" s="50">
        <f>-'Cost Build_Up'!K12</f>
        <v>-170762.52287639832</v>
      </c>
      <c r="L11" s="50">
        <f>-'Cost Build_Up'!L12</f>
        <v>-187053.8952935726</v>
      </c>
      <c r="M11" s="50">
        <f>-'Cost Build_Up'!M12</f>
        <v>-205965.30101963316</v>
      </c>
      <c r="N11" s="50">
        <f>-'Cost Build_Up'!N12</f>
        <v>-228017.24885139093</v>
      </c>
      <c r="O11" s="50">
        <f>-'Cost Build_Up'!O12</f>
        <v>-253842.1330642066</v>
      </c>
      <c r="P11" s="50">
        <f>-'Cost Build_Up'!P12</f>
        <v>-284209.03404918237</v>
      </c>
      <c r="Q11" s="50">
        <f>-'Cost Build_Up'!Q12</f>
        <v>-320054.08986482059</v>
      </c>
    </row>
    <row r="12" spans="2:17" x14ac:dyDescent="0.25">
      <c r="B12" s="6" t="s">
        <v>195</v>
      </c>
      <c r="C12" s="49">
        <f>SUM(C10:C11)</f>
        <v>133632.80000000002</v>
      </c>
      <c r="D12" s="49">
        <f t="shared" ref="D12:Q12" si="1">SUM(D10:D11)</f>
        <v>148721.5</v>
      </c>
      <c r="E12" s="49">
        <f t="shared" si="1"/>
        <v>133152.09999999998</v>
      </c>
      <c r="F12" s="49">
        <f t="shared" si="1"/>
        <v>135621.19999999998</v>
      </c>
      <c r="G12" s="49">
        <f t="shared" si="1"/>
        <v>163989.70000000001</v>
      </c>
      <c r="H12" s="49">
        <f t="shared" si="1"/>
        <v>178308.58323388011</v>
      </c>
      <c r="I12" s="49">
        <f t="shared" si="1"/>
        <v>192604.23959395051</v>
      </c>
      <c r="J12" s="49">
        <f t="shared" si="1"/>
        <v>208960.81069334192</v>
      </c>
      <c r="K12" s="49">
        <f t="shared" si="1"/>
        <v>227768.09913714576</v>
      </c>
      <c r="L12" s="49">
        <f t="shared" si="1"/>
        <v>249498.01308601009</v>
      </c>
      <c r="M12" s="49">
        <f t="shared" si="1"/>
        <v>274722.6048856636</v>
      </c>
      <c r="N12" s="49">
        <f t="shared" si="1"/>
        <v>304136.14455060835</v>
      </c>
      <c r="O12" s="49">
        <f t="shared" si="1"/>
        <v>338582.13825291209</v>
      </c>
      <c r="P12" s="49">
        <f t="shared" si="1"/>
        <v>379086.40814496699</v>
      </c>
      <c r="Q12" s="49">
        <f t="shared" si="1"/>
        <v>426897.60283258802</v>
      </c>
    </row>
    <row r="13" spans="2:17" x14ac:dyDescent="0.25">
      <c r="B13" s="21" t="s">
        <v>156</v>
      </c>
      <c r="C13" s="22">
        <f>C12/C10</f>
        <v>0.57853428641068194</v>
      </c>
      <c r="D13" s="22">
        <f t="shared" ref="D13:Q13" si="2">D12/D10</f>
        <v>0.60029780476955852</v>
      </c>
      <c r="E13" s="22">
        <f t="shared" si="2"/>
        <v>0.56767989072067981</v>
      </c>
      <c r="F13" s="22">
        <f t="shared" si="2"/>
        <v>0.54564122536046522</v>
      </c>
      <c r="G13" s="22">
        <f t="shared" si="2"/>
        <v>0.56544526266754525</v>
      </c>
      <c r="H13" s="22">
        <f t="shared" si="2"/>
        <v>0.57151969398578617</v>
      </c>
      <c r="I13" s="22">
        <f t="shared" si="2"/>
        <v>0.57151969398578628</v>
      </c>
      <c r="J13" s="22">
        <f t="shared" si="2"/>
        <v>0.57151969398578628</v>
      </c>
      <c r="K13" s="22">
        <f t="shared" si="2"/>
        <v>0.57151969398578628</v>
      </c>
      <c r="L13" s="22">
        <f t="shared" si="2"/>
        <v>0.57151969398578628</v>
      </c>
      <c r="M13" s="22">
        <f t="shared" si="2"/>
        <v>0.57151969398578617</v>
      </c>
      <c r="N13" s="22">
        <f t="shared" si="2"/>
        <v>0.57151969398578628</v>
      </c>
      <c r="O13" s="22">
        <f t="shared" si="2"/>
        <v>0.57151969398578628</v>
      </c>
      <c r="P13" s="22">
        <f t="shared" si="2"/>
        <v>0.57151969398578617</v>
      </c>
      <c r="Q13" s="22">
        <f t="shared" si="2"/>
        <v>0.57151969398578628</v>
      </c>
    </row>
    <row r="15" spans="2:17" x14ac:dyDescent="0.25">
      <c r="B15" t="s">
        <v>196</v>
      </c>
      <c r="C15" s="52">
        <f>-'Cost Build_Up'!C18</f>
        <v>-32191.8</v>
      </c>
      <c r="D15" s="52">
        <f>-'Cost Build_Up'!D18</f>
        <v>-35350.199999999997</v>
      </c>
      <c r="E15" s="52">
        <f>-'Cost Build_Up'!E18</f>
        <v>-34509.199999999997</v>
      </c>
      <c r="F15" s="52">
        <f>-'Cost Build_Up'!F18</f>
        <v>-35222.5</v>
      </c>
      <c r="G15" s="52">
        <f>-'Cost Build_Up'!G18</f>
        <v>-39229.4</v>
      </c>
      <c r="H15" s="52">
        <f>-'Cost Build_Up'!H18</f>
        <v>-44062.743950220152</v>
      </c>
      <c r="I15" s="52">
        <f>-'Cost Build_Up'!I18</f>
        <v>-47595.416547185916</v>
      </c>
      <c r="J15" s="52">
        <f>-'Cost Build_Up'!J18</f>
        <v>-51637.372302679309</v>
      </c>
      <c r="K15" s="52">
        <f>-'Cost Build_Up'!K18</f>
        <v>-56284.937327691536</v>
      </c>
      <c r="L15" s="52">
        <f>-'Cost Build_Up'!L18</f>
        <v>-61654.727256049831</v>
      </c>
      <c r="M15" s="52">
        <f>-'Cost Build_Up'!M18</f>
        <v>-67888.104862214168</v>
      </c>
      <c r="N15" s="52">
        <f>-'Cost Build_Up'!N18</f>
        <v>-75156.634752478261</v>
      </c>
      <c r="O15" s="52">
        <f>-'Cost Build_Up'!O18</f>
        <v>-83668.760041616406</v>
      </c>
      <c r="P15" s="52">
        <f>-'Cost Build_Up'!P18</f>
        <v>-93677.976876698725</v>
      </c>
      <c r="Q15" s="52">
        <f>-'Cost Build_Up'!Q18</f>
        <v>-105492.84518683222</v>
      </c>
    </row>
    <row r="16" spans="2:17" x14ac:dyDescent="0.25">
      <c r="B16" t="s">
        <v>197</v>
      </c>
      <c r="C16" s="52">
        <f>-'Cost Build_Up'!C21</f>
        <v>-52797.9</v>
      </c>
      <c r="D16" s="52">
        <f>-'Cost Build_Up'!D21</f>
        <v>-60037.3</v>
      </c>
      <c r="E16" s="52">
        <f>-'Cost Build_Up'!E21</f>
        <v>-54775.199999999997</v>
      </c>
      <c r="F16" s="52">
        <f>-'Cost Build_Up'!F21</f>
        <v>-63212.3</v>
      </c>
      <c r="G16" s="52">
        <f>-'Cost Build_Up'!G21</f>
        <v>-66330.3</v>
      </c>
      <c r="H16" s="52">
        <f>-'Cost Build_Up'!H21</f>
        <v>-74095.820567551607</v>
      </c>
      <c r="I16" s="52">
        <f>-'Cost Build_Up'!I21</f>
        <v>-80036.355618305606</v>
      </c>
      <c r="J16" s="52">
        <f>-'Cost Build_Up'!J21</f>
        <v>-86833.300192147217</v>
      </c>
      <c r="K16" s="52">
        <f>-'Cost Build_Up'!K21</f>
        <v>-94648.636081314282</v>
      </c>
      <c r="L16" s="52">
        <f>-'Cost Build_Up'!L21</f>
        <v>-103678.46389836048</v>
      </c>
      <c r="M16" s="52">
        <f>-'Cost Build_Up'!M21</f>
        <v>-114160.49899717186</v>
      </c>
      <c r="N16" s="52">
        <f>-'Cost Build_Up'!N21</f>
        <v>-126383.24407059127</v>
      </c>
      <c r="O16" s="52">
        <f>-'Cost Build_Up'!O21</f>
        <v>-140697.21663628181</v>
      </c>
      <c r="P16" s="52">
        <f>-'Cost Build_Up'!P21</f>
        <v>-157528.69529934111</v>
      </c>
      <c r="Q16" s="52">
        <f>-'Cost Build_Up'!Q21</f>
        <v>-177396.5538086959</v>
      </c>
    </row>
    <row r="18" spans="2:17" x14ac:dyDescent="0.25">
      <c r="B18" s="6" t="s">
        <v>198</v>
      </c>
      <c r="C18" s="49">
        <f>C12+SUM(C15:C16)</f>
        <v>48643.10000000002</v>
      </c>
      <c r="D18" s="49">
        <f t="shared" ref="D18:Q18" si="3">D12+SUM(D15:D16)</f>
        <v>53334</v>
      </c>
      <c r="E18" s="49">
        <f t="shared" si="3"/>
        <v>43867.699999999983</v>
      </c>
      <c r="F18" s="49">
        <f t="shared" si="3"/>
        <v>37186.39999999998</v>
      </c>
      <c r="G18" s="49">
        <f t="shared" si="3"/>
        <v>58430</v>
      </c>
      <c r="H18" s="49">
        <f t="shared" si="3"/>
        <v>60150.018716108345</v>
      </c>
      <c r="I18" s="49">
        <f t="shared" si="3"/>
        <v>64972.467428458986</v>
      </c>
      <c r="J18" s="49">
        <f t="shared" si="3"/>
        <v>70490.1381985154</v>
      </c>
      <c r="K18" s="49">
        <f t="shared" si="3"/>
        <v>76834.525728139939</v>
      </c>
      <c r="L18" s="49">
        <f t="shared" si="3"/>
        <v>84164.821931599785</v>
      </c>
      <c r="M18" s="49">
        <f t="shared" si="3"/>
        <v>92674.001026277576</v>
      </c>
      <c r="N18" s="49">
        <f t="shared" si="3"/>
        <v>102596.26572753882</v>
      </c>
      <c r="O18" s="49">
        <f t="shared" si="3"/>
        <v>114216.16157501389</v>
      </c>
      <c r="P18" s="49">
        <f t="shared" si="3"/>
        <v>127879.73596892715</v>
      </c>
      <c r="Q18" s="49">
        <f t="shared" si="3"/>
        <v>144008.2038370599</v>
      </c>
    </row>
    <row r="19" spans="2:17" x14ac:dyDescent="0.25">
      <c r="B19" s="21" t="s">
        <v>199</v>
      </c>
      <c r="C19" s="22">
        <f>C18/C10</f>
        <v>0.21058977397243381</v>
      </c>
      <c r="D19" s="22">
        <f t="shared" ref="D19:Q19" si="4">D18/D10</f>
        <v>0.21527676307446894</v>
      </c>
      <c r="E19" s="22">
        <f t="shared" si="4"/>
        <v>0.18702529770215837</v>
      </c>
      <c r="F19" s="22">
        <f t="shared" si="4"/>
        <v>0.14961107011842098</v>
      </c>
      <c r="G19" s="22">
        <f t="shared" si="4"/>
        <v>0.20146976729431584</v>
      </c>
      <c r="H19" s="22">
        <f t="shared" si="4"/>
        <v>0.19279453443235958</v>
      </c>
      <c r="I19" s="22">
        <f t="shared" si="4"/>
        <v>0.19279453443235967</v>
      </c>
      <c r="J19" s="22">
        <f t="shared" si="4"/>
        <v>0.19279453443235969</v>
      </c>
      <c r="K19" s="22">
        <f t="shared" si="4"/>
        <v>0.19279453443235967</v>
      </c>
      <c r="L19" s="22">
        <f t="shared" si="4"/>
        <v>0.19279453443235969</v>
      </c>
      <c r="M19" s="22">
        <f t="shared" si="4"/>
        <v>0.19279453443235961</v>
      </c>
      <c r="N19" s="22">
        <f t="shared" si="4"/>
        <v>0.19279453443235972</v>
      </c>
      <c r="O19" s="22">
        <f t="shared" si="4"/>
        <v>0.19279453443235978</v>
      </c>
      <c r="P19" s="22">
        <f t="shared" si="4"/>
        <v>0.19279453443235967</v>
      </c>
      <c r="Q19" s="22">
        <f t="shared" si="4"/>
        <v>0.19279453443235969</v>
      </c>
    </row>
    <row r="21" spans="2:17" x14ac:dyDescent="0.25">
      <c r="B21" t="s">
        <v>200</v>
      </c>
      <c r="C21" s="50">
        <f>FAS!C94</f>
        <v>-9667.1</v>
      </c>
      <c r="D21" s="50">
        <f>FAS!D94</f>
        <v>-10553.9</v>
      </c>
      <c r="E21" s="50">
        <f>FAS!E94</f>
        <v>-11265.2</v>
      </c>
      <c r="F21" s="50">
        <f>FAS!F94</f>
        <v>-12445.8</v>
      </c>
      <c r="G21" s="50">
        <f>FAS!G94</f>
        <v>-15216.6</v>
      </c>
      <c r="H21" s="50">
        <f>FAS!H94</f>
        <v>-18929.396319374344</v>
      </c>
      <c r="I21" s="50">
        <f>FAS!I94</f>
        <v>-19688.906253458386</v>
      </c>
      <c r="J21" s="50">
        <f>FAS!J94</f>
        <v>-20646.867654524314</v>
      </c>
      <c r="K21" s="50">
        <f>FAS!K94</f>
        <v>-21789.068791400932</v>
      </c>
      <c r="L21" s="50">
        <f>FAS!L94</f>
        <v>-23108.123578344828</v>
      </c>
      <c r="M21" s="50">
        <f>FAS!M94</f>
        <v>-24602.26977235622</v>
      </c>
      <c r="N21" s="50">
        <f>FAS!N94</f>
        <v>-26274.500202072406</v>
      </c>
      <c r="O21" s="50">
        <f>FAS!O94</f>
        <v>-28131.955023187671</v>
      </c>
      <c r="P21" s="50">
        <f>FAS!P94</f>
        <v>-30185.52076129018</v>
      </c>
      <c r="Q21" s="50">
        <f>FAS!Q94</f>
        <v>-32449.595589389297</v>
      </c>
    </row>
    <row r="23" spans="2:17" x14ac:dyDescent="0.25">
      <c r="B23" s="6" t="s">
        <v>201</v>
      </c>
      <c r="C23" s="49">
        <f>SUM(C18,C21)</f>
        <v>38976.000000000022</v>
      </c>
      <c r="D23" s="49">
        <f t="shared" ref="D23:Q23" si="5">SUM(D18,D21)</f>
        <v>42780.1</v>
      </c>
      <c r="E23" s="49">
        <f t="shared" si="5"/>
        <v>32602.499999999982</v>
      </c>
      <c r="F23" s="49">
        <f t="shared" si="5"/>
        <v>24740.59999999998</v>
      </c>
      <c r="G23" s="49">
        <f t="shared" si="5"/>
        <v>43213.4</v>
      </c>
      <c r="H23" s="49">
        <f t="shared" si="5"/>
        <v>41220.622396734005</v>
      </c>
      <c r="I23" s="49">
        <f t="shared" si="5"/>
        <v>45283.561175000599</v>
      </c>
      <c r="J23" s="49">
        <f t="shared" si="5"/>
        <v>49843.270543991086</v>
      </c>
      <c r="K23" s="49">
        <f t="shared" si="5"/>
        <v>55045.456936739007</v>
      </c>
      <c r="L23" s="49">
        <f t="shared" si="5"/>
        <v>61056.698353254957</v>
      </c>
      <c r="M23" s="49">
        <f t="shared" si="5"/>
        <v>68071.73125392136</v>
      </c>
      <c r="N23" s="49">
        <f t="shared" si="5"/>
        <v>76321.765525466413</v>
      </c>
      <c r="O23" s="49">
        <f t="shared" si="5"/>
        <v>86084.20655182621</v>
      </c>
      <c r="P23" s="49">
        <f t="shared" si="5"/>
        <v>97694.215207636968</v>
      </c>
      <c r="Q23" s="49">
        <f t="shared" si="5"/>
        <v>111558.60824767061</v>
      </c>
    </row>
    <row r="24" spans="2:17" x14ac:dyDescent="0.25">
      <c r="B24" s="21" t="s">
        <v>202</v>
      </c>
      <c r="C24" s="22">
        <f>C23/C10</f>
        <v>0.16873815670361431</v>
      </c>
      <c r="D24" s="22">
        <f t="shared" ref="D24:Q24" si="6">D23/D10</f>
        <v>0.17267711876105465</v>
      </c>
      <c r="E24" s="22">
        <f t="shared" si="6"/>
        <v>0.13899730937192095</v>
      </c>
      <c r="F24" s="22">
        <f t="shared" si="6"/>
        <v>9.9538208629278577E-2</v>
      </c>
      <c r="G24" s="22">
        <f t="shared" si="6"/>
        <v>0.1490021160704465</v>
      </c>
      <c r="H24" s="22">
        <f t="shared" si="6"/>
        <v>0.13212150010291132</v>
      </c>
      <c r="I24" s="22">
        <f t="shared" si="6"/>
        <v>0.1343711181014722</v>
      </c>
      <c r="J24" s="22">
        <f t="shared" si="6"/>
        <v>0.13632417788786935</v>
      </c>
      <c r="K24" s="22">
        <f t="shared" si="6"/>
        <v>0.13812102231599227</v>
      </c>
      <c r="L24" s="22">
        <f t="shared" si="6"/>
        <v>0.13986125631631885</v>
      </c>
      <c r="M24" s="22">
        <f t="shared" si="6"/>
        <v>0.14161315568304017</v>
      </c>
      <c r="N24" s="22">
        <f t="shared" si="6"/>
        <v>0.14342061231170508</v>
      </c>
      <c r="O24" s="22">
        <f t="shared" si="6"/>
        <v>0.14530837225901944</v>
      </c>
      <c r="P24" s="22">
        <f t="shared" si="6"/>
        <v>0.14728612469349889</v>
      </c>
      <c r="Q24" s="22">
        <f t="shared" si="6"/>
        <v>0.14935183806171945</v>
      </c>
    </row>
    <row r="26" spans="2:17" x14ac:dyDescent="0.25">
      <c r="B26" t="s">
        <v>203</v>
      </c>
      <c r="C26" s="50">
        <f>-'P&amp;L'!C18</f>
        <v>-3051.3</v>
      </c>
      <c r="D26" s="50">
        <f>-'P&amp;L'!D18</f>
        <v>-744.9</v>
      </c>
      <c r="E26" s="50">
        <f>-'P&amp;L'!E18</f>
        <v>-486.4</v>
      </c>
      <c r="F26" s="50">
        <f>-'P&amp;L'!F18</f>
        <v>-1404.8</v>
      </c>
      <c r="G26" s="50">
        <f>-'P&amp;L'!G18</f>
        <v>-2897.1</v>
      </c>
      <c r="H26" s="50">
        <f>-'Debt Schedules'!H14</f>
        <v>-2054.5440213871884</v>
      </c>
      <c r="I26" s="50">
        <f>-'Debt Schedules'!I14</f>
        <v>-1335.3664082573257</v>
      </c>
      <c r="J26" s="50">
        <f>-'Debt Schedules'!J14</f>
        <v>-1445.7210586454244</v>
      </c>
      <c r="K26" s="50">
        <f>-'Debt Schedules'!K14</f>
        <v>-1572.3185606154707</v>
      </c>
      <c r="L26" s="50">
        <f>-'Debt Schedules'!L14</f>
        <v>-1718.2612593531319</v>
      </c>
      <c r="M26" s="50">
        <f>-'Debt Schedules'!M14</f>
        <v>-1887.3076385396525</v>
      </c>
      <c r="N26" s="50">
        <f>-'Debt Schedules'!N14</f>
        <v>-2084.0167326375922</v>
      </c>
      <c r="O26" s="50">
        <f>-'Debt Schedules'!O14</f>
        <v>-2313.9248686126984</v>
      </c>
      <c r="P26" s="50">
        <f>-'Debt Schedules'!P14</f>
        <v>-2583.762032857614</v>
      </c>
      <c r="Q26" s="50">
        <f>-'Debt Schedules'!Q14</f>
        <v>-2901.7168121780396</v>
      </c>
    </row>
    <row r="27" spans="2:17" x14ac:dyDescent="0.25">
      <c r="B27" t="s">
        <v>158</v>
      </c>
      <c r="C27" s="50">
        <f>'P&amp;L'!C11</f>
        <v>1918.7</v>
      </c>
      <c r="D27" s="50">
        <f>'P&amp;L'!D11</f>
        <v>3808.5</v>
      </c>
      <c r="E27" s="50">
        <f>'P&amp;L'!E11</f>
        <v>3203.5</v>
      </c>
      <c r="F27" s="50">
        <f>'P&amp;L'!F11</f>
        <v>2905.9</v>
      </c>
      <c r="G27" s="50">
        <f>'P&amp;L'!G11</f>
        <v>5573.8</v>
      </c>
      <c r="H27" s="50">
        <f>'Cost Build_Up'!H27</f>
        <v>4258.4774120752527</v>
      </c>
      <c r="I27" s="50">
        <f>'Cost Build_Up'!I27</f>
        <v>4599.8952428719831</v>
      </c>
      <c r="J27" s="50">
        <f>'Cost Build_Up'!J27</f>
        <v>4990.5331319880606</v>
      </c>
      <c r="K27" s="50">
        <f>'Cost Build_Up'!K27</f>
        <v>5439.7005897052877</v>
      </c>
      <c r="L27" s="50">
        <f>'Cost Build_Up'!L27</f>
        <v>5958.6680226762601</v>
      </c>
      <c r="M27" s="50">
        <f>'Cost Build_Up'!M27</f>
        <v>6561.0975437876859</v>
      </c>
      <c r="N27" s="50">
        <f>'Cost Build_Up'!N27</f>
        <v>7263.5701449414519</v>
      </c>
      <c r="O27" s="50">
        <f>'Cost Build_Up'!O27</f>
        <v>8086.230969548772</v>
      </c>
      <c r="P27" s="50">
        <f>'Cost Build_Up'!P27</f>
        <v>9053.5793456035135</v>
      </c>
      <c r="Q27" s="50">
        <f>'Cost Build_Up'!Q27</f>
        <v>10195.436282207114</v>
      </c>
    </row>
    <row r="28" spans="2:17" x14ac:dyDescent="0.25">
      <c r="B28" t="s">
        <v>15</v>
      </c>
      <c r="C28" s="52">
        <f>'Cost Build_Up'!C34</f>
        <v>-151.69999999999999</v>
      </c>
      <c r="D28" s="52">
        <f>'Cost Build_Up'!D34</f>
        <v>-553.6</v>
      </c>
      <c r="E28" s="52">
        <f>'Cost Build_Up'!E34</f>
        <v>-312.5</v>
      </c>
      <c r="F28" s="52">
        <f>'Cost Build_Up'!F34</f>
        <v>-116.7</v>
      </c>
      <c r="G28" s="52">
        <f>'Cost Build_Up'!G34</f>
        <v>-171.6</v>
      </c>
      <c r="H28" s="52">
        <f>'Cost Build_Up'!H34</f>
        <v>-329.7618537483234</v>
      </c>
      <c r="I28" s="52"/>
      <c r="J28" s="52"/>
      <c r="K28" s="52"/>
      <c r="L28" s="52"/>
      <c r="M28" s="52"/>
      <c r="N28" s="52"/>
      <c r="O28" s="52"/>
      <c r="P28" s="52"/>
      <c r="Q28" s="52"/>
    </row>
    <row r="29" spans="2:17" x14ac:dyDescent="0.25">
      <c r="B29" t="s">
        <v>17</v>
      </c>
      <c r="C29" s="52">
        <f>'Cost Build_Up'!C31</f>
        <v>261.3</v>
      </c>
      <c r="D29" s="52">
        <f>'Cost Build_Up'!D31</f>
        <v>-28145.8</v>
      </c>
      <c r="E29" s="52">
        <f>'Cost Build_Up'!E31</f>
        <v>1279.7</v>
      </c>
      <c r="F29" s="52">
        <f>'Cost Build_Up'!F31</f>
        <v>0</v>
      </c>
      <c r="G29" s="52">
        <f>'Cost Build_Up'!G31</f>
        <v>1918.6</v>
      </c>
      <c r="H29" s="52">
        <f>'Cost Build_Up'!H31</f>
        <v>-6265.0672710809686</v>
      </c>
      <c r="I29" s="52"/>
      <c r="J29" s="52"/>
      <c r="K29" s="52"/>
      <c r="L29" s="52"/>
      <c r="M29" s="52"/>
      <c r="N29" s="52"/>
      <c r="O29" s="52"/>
      <c r="P29" s="52"/>
      <c r="Q29" s="52"/>
    </row>
    <row r="30" spans="2:17" x14ac:dyDescent="0.25">
      <c r="B30" s="6" t="s">
        <v>205</v>
      </c>
      <c r="C30" s="49">
        <f>SUM(C23,C26,C27,C28)-C29</f>
        <v>37430.400000000016</v>
      </c>
      <c r="D30" s="49">
        <f t="shared" ref="D30:Q30" si="7">SUM(D23,D26,D27,D28)-D29</f>
        <v>73435.899999999994</v>
      </c>
      <c r="E30" s="49">
        <f t="shared" si="7"/>
        <v>33727.39999999998</v>
      </c>
      <c r="F30" s="49">
        <f t="shared" si="7"/>
        <v>26124.999999999982</v>
      </c>
      <c r="G30" s="49">
        <f t="shared" si="7"/>
        <v>43799.900000000009</v>
      </c>
      <c r="H30" s="49">
        <f t="shared" si="7"/>
        <v>49359.861204754714</v>
      </c>
      <c r="I30" s="49">
        <f t="shared" si="7"/>
        <v>48548.090009615262</v>
      </c>
      <c r="J30" s="49">
        <f t="shared" si="7"/>
        <v>53388.082617333726</v>
      </c>
      <c r="K30" s="49">
        <f t="shared" si="7"/>
        <v>58912.838965828822</v>
      </c>
      <c r="L30" s="49">
        <f t="shared" si="7"/>
        <v>65297.105116578088</v>
      </c>
      <c r="M30" s="49">
        <f t="shared" si="7"/>
        <v>72745.521159169395</v>
      </c>
      <c r="N30" s="49">
        <f t="shared" si="7"/>
        <v>81501.318937770266</v>
      </c>
      <c r="O30" s="49">
        <f t="shared" si="7"/>
        <v>91856.512652762292</v>
      </c>
      <c r="P30" s="49">
        <f t="shared" si="7"/>
        <v>104164.03252038287</v>
      </c>
      <c r="Q30" s="49">
        <f t="shared" si="7"/>
        <v>118852.32771769968</v>
      </c>
    </row>
    <row r="31" spans="2:17" x14ac:dyDescent="0.25">
      <c r="B31" s="21" t="s">
        <v>206</v>
      </c>
      <c r="C31" s="22">
        <f>C30/C10</f>
        <v>0.16204681600674681</v>
      </c>
      <c r="D31" s="22">
        <f t="shared" ref="D31:Q31" si="8">D30/D10</f>
        <v>0.29641584815428046</v>
      </c>
      <c r="E31" s="22">
        <f t="shared" si="8"/>
        <v>0.14379320150634237</v>
      </c>
      <c r="F31" s="22">
        <f t="shared" si="8"/>
        <v>0.10510802892572949</v>
      </c>
      <c r="G31" s="22">
        <f t="shared" si="8"/>
        <v>0.15102439946113821</v>
      </c>
      <c r="H31" s="22">
        <f t="shared" si="8"/>
        <v>0.15820961761509938</v>
      </c>
      <c r="I31" s="22">
        <f t="shared" si="8"/>
        <v>0.14405804152797683</v>
      </c>
      <c r="J31" s="22">
        <f t="shared" si="8"/>
        <v>0.14601944038552037</v>
      </c>
      <c r="K31" s="22">
        <f t="shared" si="8"/>
        <v>0.14782512487541463</v>
      </c>
      <c r="L31" s="22">
        <f t="shared" si="8"/>
        <v>0.14957466423397728</v>
      </c>
      <c r="M31" s="22">
        <f t="shared" si="8"/>
        <v>0.15133628340859781</v>
      </c>
      <c r="N31" s="22">
        <f t="shared" si="8"/>
        <v>0.15315380856023697</v>
      </c>
      <c r="O31" s="22">
        <f t="shared" si="8"/>
        <v>0.15505190637875205</v>
      </c>
      <c r="P31" s="22">
        <f t="shared" si="8"/>
        <v>0.15704017530380318</v>
      </c>
      <c r="Q31" s="22">
        <f t="shared" si="8"/>
        <v>0.15911648488069891</v>
      </c>
    </row>
    <row r="32" spans="2:17" x14ac:dyDescent="0.25">
      <c r="B32" t="s">
        <v>18</v>
      </c>
      <c r="C32" s="50">
        <f>'P&amp;L'!C28</f>
        <v>-8993.5</v>
      </c>
      <c r="D32" s="50">
        <f>'P&amp;L'!D28</f>
        <v>-20097.7</v>
      </c>
      <c r="E32" s="50">
        <f>'P&amp;L'!E28</f>
        <v>-7256.3</v>
      </c>
      <c r="F32" s="50">
        <f>'P&amp;L'!F28</f>
        <v>-6848.5</v>
      </c>
      <c r="G32" s="50">
        <f>'P&amp;L'!G28</f>
        <v>-12110.2</v>
      </c>
      <c r="H32" s="50">
        <f>'Cost Build_Up'!H37</f>
        <v>-12514.972560034888</v>
      </c>
      <c r="I32" s="50">
        <f>'Cost Build_Up'!I37</f>
        <v>-12309.151595708141</v>
      </c>
      <c r="J32" s="50">
        <f>'Cost Build_Up'!J37</f>
        <v>-13536.310124884343</v>
      </c>
      <c r="K32" s="50">
        <f>'Cost Build_Up'!K37</f>
        <v>-14937.08744505303</v>
      </c>
      <c r="L32" s="50">
        <f>'Cost Build_Up'!L37</f>
        <v>-16555.789640368163</v>
      </c>
      <c r="M32" s="50">
        <f>'Cost Build_Up'!M37</f>
        <v>-18444.302292421053</v>
      </c>
      <c r="N32" s="50">
        <f>'Cost Build_Up'!N37</f>
        <v>-20664.29574997658</v>
      </c>
      <c r="O32" s="50">
        <f>'Cost Build_Up'!O37</f>
        <v>-23289.808910546151</v>
      </c>
      <c r="P32" s="50">
        <f>'Cost Build_Up'!P37</f>
        <v>-26410.325655648314</v>
      </c>
      <c r="Q32" s="50">
        <f>'Cost Build_Up'!Q37</f>
        <v>-30134.477362347294</v>
      </c>
    </row>
    <row r="33" spans="2:17" ht="15.75" thickBot="1" x14ac:dyDescent="0.3">
      <c r="B33" s="54" t="s">
        <v>204</v>
      </c>
      <c r="C33" s="38">
        <f>SUM(C30:C32)</f>
        <v>28437.06204681602</v>
      </c>
      <c r="D33" s="38">
        <f>SUM(D30:D32)</f>
        <v>53338.496415848145</v>
      </c>
      <c r="E33" s="38">
        <f>SUM(E30:E32)</f>
        <v>26471.243793201484</v>
      </c>
      <c r="F33" s="38">
        <f>SUM(F30:F32)</f>
        <v>19276.605108028907</v>
      </c>
      <c r="G33" s="38">
        <f>SUM(G30:G32)</f>
        <v>31689.851024399471</v>
      </c>
      <c r="H33" s="38">
        <f>SUM(H30:H32)</f>
        <v>36845.046854337437</v>
      </c>
      <c r="I33" s="38">
        <f>SUM(I30:I32)</f>
        <v>36239.082471948648</v>
      </c>
      <c r="J33" s="38">
        <f>SUM(J30:J32)</f>
        <v>39851.918511889766</v>
      </c>
      <c r="K33" s="38">
        <f>SUM(K30:K32)</f>
        <v>43975.899345900667</v>
      </c>
      <c r="L33" s="38">
        <f>SUM(L30:L32)</f>
        <v>48741.465050874162</v>
      </c>
      <c r="M33" s="38">
        <f>SUM(M30:M32)</f>
        <v>54301.370203031751</v>
      </c>
      <c r="N33" s="38">
        <f>SUM(N30:N32)</f>
        <v>60837.176341602244</v>
      </c>
      <c r="O33" s="38">
        <f>SUM(O30:O32)</f>
        <v>68566.858794122512</v>
      </c>
      <c r="P33" s="38">
        <f>SUM(P30:P32)</f>
        <v>77753.863904909857</v>
      </c>
      <c r="Q33" s="38">
        <f>SUM(Q30:Q32)</f>
        <v>88718.009471837257</v>
      </c>
    </row>
    <row r="34" spans="2:17" x14ac:dyDescent="0.25">
      <c r="B34" s="21" t="s">
        <v>212</v>
      </c>
      <c r="C34" s="22">
        <f>C33/C10</f>
        <v>0.12311210570212545</v>
      </c>
      <c r="D34" s="22">
        <f t="shared" ref="D34:Q34" si="9">D33/D10</f>
        <v>0.21529491235727588</v>
      </c>
      <c r="E34" s="22">
        <f t="shared" si="9"/>
        <v>0.11285734722745713</v>
      </c>
      <c r="F34" s="22">
        <f t="shared" si="9"/>
        <v>7.755506094869162E-2</v>
      </c>
      <c r="G34" s="22">
        <f t="shared" si="9"/>
        <v>0.10926830243842714</v>
      </c>
      <c r="H34" s="22">
        <f t="shared" si="9"/>
        <v>0.11809678211318855</v>
      </c>
      <c r="I34" s="22">
        <f t="shared" si="9"/>
        <v>0.10753319536661063</v>
      </c>
      <c r="J34" s="22">
        <f t="shared" si="9"/>
        <v>0.10899726219997595</v>
      </c>
      <c r="K34" s="22">
        <f t="shared" si="9"/>
        <v>0.11034509499851217</v>
      </c>
      <c r="L34" s="22">
        <f t="shared" si="9"/>
        <v>0.11165101816138064</v>
      </c>
      <c r="M34" s="22">
        <f t="shared" si="9"/>
        <v>0.11296595886007166</v>
      </c>
      <c r="N34" s="22">
        <f t="shared" si="9"/>
        <v>0.11432263158687524</v>
      </c>
      <c r="O34" s="22">
        <f t="shared" si="9"/>
        <v>0.11573944909731657</v>
      </c>
      <c r="P34" s="22">
        <f t="shared" si="9"/>
        <v>0.11722357634134169</v>
      </c>
      <c r="Q34" s="22">
        <f t="shared" si="9"/>
        <v>0.11877342315331907</v>
      </c>
    </row>
    <row r="37" spans="2:17" x14ac:dyDescent="0.25">
      <c r="B37" s="6" t="s">
        <v>207</v>
      </c>
      <c r="C37" s="57">
        <f>C33/580.8</f>
        <v>48.961883689421526</v>
      </c>
      <c r="D37" s="57">
        <f t="shared" ref="D37:Q37" si="10">D33/580.8</f>
        <v>91.836254159518163</v>
      </c>
      <c r="E37" s="57">
        <f t="shared" si="10"/>
        <v>45.577210387743605</v>
      </c>
      <c r="F37" s="57">
        <f t="shared" si="10"/>
        <v>33.189747086826635</v>
      </c>
      <c r="G37" s="57">
        <f t="shared" si="10"/>
        <v>54.562415675618929</v>
      </c>
      <c r="H37" s="57">
        <f t="shared" si="10"/>
        <v>63.438441553611298</v>
      </c>
      <c r="I37" s="57">
        <f t="shared" si="10"/>
        <v>62.395114448947403</v>
      </c>
      <c r="J37" s="57">
        <f t="shared" si="10"/>
        <v>68.615562176118743</v>
      </c>
      <c r="K37" s="57">
        <f t="shared" si="10"/>
        <v>75.716080141013549</v>
      </c>
      <c r="L37" s="57">
        <f t="shared" si="10"/>
        <v>83.921255252882517</v>
      </c>
      <c r="M37" s="57">
        <f t="shared" si="10"/>
        <v>93.494094702189656</v>
      </c>
      <c r="N37" s="57">
        <f t="shared" si="10"/>
        <v>104.74720444490745</v>
      </c>
      <c r="O37" s="57">
        <f t="shared" si="10"/>
        <v>118.05588635351673</v>
      </c>
      <c r="P37" s="57">
        <f t="shared" si="10"/>
        <v>133.87373261864647</v>
      </c>
      <c r="Q37" s="57">
        <f t="shared" si="10"/>
        <v>152.75139371872808</v>
      </c>
    </row>
    <row r="39" spans="2:17" x14ac:dyDescent="0.25">
      <c r="B39" s="6" t="s">
        <v>208</v>
      </c>
      <c r="C39" s="58">
        <f>CashFlow!C76</f>
        <v>-1756.1</v>
      </c>
      <c r="D39" s="58">
        <f>CashFlow!D76</f>
        <v>-2343.1</v>
      </c>
      <c r="E39" s="58">
        <f>CashFlow!E76</f>
        <v>-2637</v>
      </c>
      <c r="F39" s="58">
        <f>CashFlow!F76</f>
        <v>-4395.3</v>
      </c>
      <c r="G39" s="58">
        <f>CashFlow!G76</f>
        <v>-2636.4</v>
      </c>
      <c r="H39" s="57">
        <f>-H40*H33</f>
        <v>-3806.1397040438314</v>
      </c>
      <c r="I39" s="57">
        <f t="shared" ref="I39:Q39" si="11">-I40*I33</f>
        <v>-3743.5428208273606</v>
      </c>
      <c r="J39" s="57">
        <f t="shared" si="11"/>
        <v>-4116.7533299680645</v>
      </c>
      <c r="K39" s="57">
        <f t="shared" si="11"/>
        <v>-4542.7657395355909</v>
      </c>
      <c r="L39" s="57">
        <f t="shared" si="11"/>
        <v>-5035.0546736123288</v>
      </c>
      <c r="M39" s="57">
        <f t="shared" si="11"/>
        <v>-5609.3998721407888</v>
      </c>
      <c r="N39" s="57">
        <f t="shared" si="11"/>
        <v>-6284.5568705913993</v>
      </c>
      <c r="O39" s="57">
        <f t="shared" si="11"/>
        <v>-7083.0427945881256</v>
      </c>
      <c r="P39" s="57">
        <f t="shared" si="11"/>
        <v>-8032.0719830068383</v>
      </c>
      <c r="Q39" s="57">
        <f t="shared" si="11"/>
        <v>-9164.6820168107697</v>
      </c>
    </row>
    <row r="40" spans="2:17" x14ac:dyDescent="0.25">
      <c r="B40" s="21" t="s">
        <v>209</v>
      </c>
      <c r="C40" s="22">
        <f>-C39/C33</f>
        <v>6.1753918077364224E-2</v>
      </c>
      <c r="D40" s="22">
        <f t="shared" ref="D40:G40" si="12">-D39/D33</f>
        <v>4.3928872342637107E-2</v>
      </c>
      <c r="E40" s="22">
        <f t="shared" si="12"/>
        <v>9.9617532919901983E-2</v>
      </c>
      <c r="F40" s="22">
        <f t="shared" si="12"/>
        <v>0.22801214090178731</v>
      </c>
      <c r="G40" s="22">
        <f t="shared" si="12"/>
        <v>8.3193827511846452E-2</v>
      </c>
      <c r="H40" s="23">
        <f>AVERAGE(C40:G40)</f>
        <v>0.10330125835070743</v>
      </c>
      <c r="I40" s="23">
        <f>H40</f>
        <v>0.10330125835070743</v>
      </c>
      <c r="J40" s="23">
        <f t="shared" ref="J40:Q40" si="13">I40</f>
        <v>0.10330125835070743</v>
      </c>
      <c r="K40" s="23">
        <f t="shared" si="13"/>
        <v>0.10330125835070743</v>
      </c>
      <c r="L40" s="23">
        <f t="shared" si="13"/>
        <v>0.10330125835070743</v>
      </c>
      <c r="M40" s="23">
        <f t="shared" si="13"/>
        <v>0.10330125835070743</v>
      </c>
      <c r="N40" s="23">
        <f t="shared" si="13"/>
        <v>0.10330125835070743</v>
      </c>
      <c r="O40" s="23">
        <f t="shared" si="13"/>
        <v>0.10330125835070743</v>
      </c>
      <c r="P40" s="23">
        <f t="shared" si="13"/>
        <v>0.10330125835070743</v>
      </c>
      <c r="Q40" s="23">
        <f t="shared" si="13"/>
        <v>0.10330125835070743</v>
      </c>
    </row>
    <row r="42" spans="2:17" x14ac:dyDescent="0.25">
      <c r="B42" s="6" t="s">
        <v>210</v>
      </c>
      <c r="C42" s="49">
        <f>C33+C39</f>
        <v>26680.962046816021</v>
      </c>
      <c r="D42" s="49">
        <f t="shared" ref="D42:Q42" si="14">D33+D39</f>
        <v>50995.396415848147</v>
      </c>
      <c r="E42" s="49">
        <f t="shared" si="14"/>
        <v>23834.243793201484</v>
      </c>
      <c r="F42" s="49">
        <f t="shared" si="14"/>
        <v>14881.305108028908</v>
      </c>
      <c r="G42" s="49">
        <f t="shared" si="14"/>
        <v>29053.45102439947</v>
      </c>
      <c r="H42" s="49">
        <f t="shared" si="14"/>
        <v>33038.907150293606</v>
      </c>
      <c r="I42" s="49">
        <f t="shared" si="14"/>
        <v>32495.539651121289</v>
      </c>
      <c r="J42" s="49">
        <f t="shared" si="14"/>
        <v>35735.1651819217</v>
      </c>
      <c r="K42" s="49">
        <f t="shared" si="14"/>
        <v>39433.133606365074</v>
      </c>
      <c r="L42" s="49">
        <f t="shared" si="14"/>
        <v>43706.410377261833</v>
      </c>
      <c r="M42" s="49">
        <f t="shared" si="14"/>
        <v>48691.970330890959</v>
      </c>
      <c r="N42" s="49">
        <f t="shared" si="14"/>
        <v>54552.619471010847</v>
      </c>
      <c r="O42" s="49">
        <f t="shared" si="14"/>
        <v>61483.815999534389</v>
      </c>
      <c r="P42" s="49">
        <f t="shared" si="14"/>
        <v>69721.791921903015</v>
      </c>
      <c r="Q42" s="49">
        <f t="shared" si="14"/>
        <v>79553.32745502649</v>
      </c>
    </row>
    <row r="43" spans="2:17" x14ac:dyDescent="0.25">
      <c r="B43" s="21" t="s">
        <v>211</v>
      </c>
      <c r="C43" s="22">
        <f>C42/C33</f>
        <v>0.93824608192263581</v>
      </c>
      <c r="D43" s="22">
        <f t="shared" ref="D43:Q43" si="15">D42/D33</f>
        <v>0.95607112765736291</v>
      </c>
      <c r="E43" s="22">
        <f t="shared" si="15"/>
        <v>0.90038246708009806</v>
      </c>
      <c r="F43" s="22">
        <f t="shared" si="15"/>
        <v>0.77198785909821277</v>
      </c>
      <c r="G43" s="22">
        <f t="shared" si="15"/>
        <v>0.91680617248815355</v>
      </c>
      <c r="H43" s="22">
        <f t="shared" si="15"/>
        <v>0.89669874164929253</v>
      </c>
      <c r="I43" s="22">
        <f t="shared" si="15"/>
        <v>0.89669874164929264</v>
      </c>
      <c r="J43" s="22">
        <f t="shared" si="15"/>
        <v>0.89669874164929253</v>
      </c>
      <c r="K43" s="22">
        <f t="shared" si="15"/>
        <v>0.89669874164929253</v>
      </c>
      <c r="L43" s="22">
        <f t="shared" si="15"/>
        <v>0.89669874164929253</v>
      </c>
      <c r="M43" s="22">
        <f t="shared" si="15"/>
        <v>0.89669874164929253</v>
      </c>
      <c r="N43" s="22">
        <f t="shared" si="15"/>
        <v>0.89669874164929264</v>
      </c>
      <c r="O43" s="22">
        <f t="shared" si="15"/>
        <v>0.89669874164929264</v>
      </c>
      <c r="P43" s="22">
        <f t="shared" si="15"/>
        <v>0.89669874164929253</v>
      </c>
      <c r="Q43" s="22">
        <f t="shared" si="15"/>
        <v>0.89669874164929264</v>
      </c>
    </row>
  </sheetData>
  <mergeCells count="1">
    <mergeCell ref="B6:Q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XFD90"/>
  <sheetViews>
    <sheetView showGridLines="0" topLeftCell="B1" workbookViewId="0">
      <selection activeCell="B7" sqref="B7"/>
    </sheetView>
  </sheetViews>
  <sheetFormatPr defaultRowHeight="15" x14ac:dyDescent="0.25"/>
  <cols>
    <col min="1" max="1" width="1.85546875" customWidth="1"/>
    <col min="2" max="2" width="68.85546875" bestFit="1" customWidth="1"/>
    <col min="3" max="3" width="10.7109375" customWidth="1"/>
    <col min="4" max="4" width="10.85546875" customWidth="1"/>
    <col min="5" max="5" width="9.85546875" bestFit="1" customWidth="1"/>
    <col min="6" max="6" width="11.28515625" customWidth="1"/>
    <col min="7" max="7" width="11.140625" customWidth="1"/>
    <col min="8" max="8" width="12.140625" bestFit="1" customWidth="1"/>
    <col min="9" max="13" width="10.85546875" bestFit="1" customWidth="1"/>
    <col min="14" max="17" width="11.28515625" bestFit="1" customWidth="1"/>
  </cols>
  <sheetData>
    <row r="6" spans="2:17" x14ac:dyDescent="0.25">
      <c r="B6" s="131" t="s">
        <v>271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8" spans="2:17" x14ac:dyDescent="0.25">
      <c r="B8" s="126" t="s">
        <v>0</v>
      </c>
      <c r="C8" s="126">
        <v>2020</v>
      </c>
      <c r="D8" s="126">
        <f>C8+1</f>
        <v>2021</v>
      </c>
      <c r="E8" s="126">
        <f t="shared" ref="E8:Q8" si="0">D8+1</f>
        <v>2022</v>
      </c>
      <c r="F8" s="126">
        <f t="shared" si="0"/>
        <v>2023</v>
      </c>
      <c r="G8" s="126">
        <f t="shared" si="0"/>
        <v>2024</v>
      </c>
      <c r="H8" s="127">
        <f t="shared" si="0"/>
        <v>2025</v>
      </c>
      <c r="I8" s="127">
        <f t="shared" si="0"/>
        <v>2026</v>
      </c>
      <c r="J8" s="127">
        <f t="shared" si="0"/>
        <v>2027</v>
      </c>
      <c r="K8" s="127">
        <f t="shared" si="0"/>
        <v>2028</v>
      </c>
      <c r="L8" s="127">
        <f t="shared" si="0"/>
        <v>2029</v>
      </c>
      <c r="M8" s="127">
        <f t="shared" si="0"/>
        <v>2030</v>
      </c>
      <c r="N8" s="127">
        <f t="shared" si="0"/>
        <v>2031</v>
      </c>
      <c r="O8" s="127">
        <f t="shared" si="0"/>
        <v>2032</v>
      </c>
      <c r="P8" s="127">
        <f t="shared" si="0"/>
        <v>2033</v>
      </c>
      <c r="Q8" s="127">
        <f t="shared" si="0"/>
        <v>2034</v>
      </c>
    </row>
    <row r="9" spans="2:17" x14ac:dyDescent="0.25">
      <c r="B9" s="1" t="s">
        <v>75</v>
      </c>
    </row>
    <row r="10" spans="2:17" x14ac:dyDescent="0.25">
      <c r="B10" t="s">
        <v>76</v>
      </c>
      <c r="C10" s="145">
        <v>37430.400000000001</v>
      </c>
      <c r="D10" s="145">
        <v>73435.899999999994</v>
      </c>
      <c r="E10" s="145">
        <v>33727.4</v>
      </c>
      <c r="F10" s="145">
        <v>26125</v>
      </c>
      <c r="G10" s="145">
        <v>43799.9</v>
      </c>
      <c r="H10" s="50">
        <f>'Income Statement'!H30</f>
        <v>49359.861204754714</v>
      </c>
      <c r="I10" s="50">
        <f>'Income Statement'!I30</f>
        <v>48548.090009615262</v>
      </c>
      <c r="J10" s="50">
        <f>'Income Statement'!J30</f>
        <v>53388.082617333726</v>
      </c>
      <c r="K10" s="50">
        <f>'Income Statement'!K30</f>
        <v>58912.838965828822</v>
      </c>
      <c r="L10" s="50">
        <f>'Income Statement'!L30</f>
        <v>65297.105116578088</v>
      </c>
      <c r="M10" s="50">
        <f>'Income Statement'!M30</f>
        <v>72745.521159169395</v>
      </c>
      <c r="N10" s="50">
        <f>'Income Statement'!N30</f>
        <v>81501.318937770266</v>
      </c>
      <c r="O10" s="50">
        <f>'Income Statement'!O30</f>
        <v>91856.512652762292</v>
      </c>
      <c r="P10" s="50">
        <f>'Income Statement'!P30</f>
        <v>104164.03252038287</v>
      </c>
      <c r="Q10" s="50">
        <f>'Income Statement'!Q30</f>
        <v>118852.32771769968</v>
      </c>
    </row>
    <row r="11" spans="2:17" x14ac:dyDescent="0.25">
      <c r="B11" s="17" t="s">
        <v>77</v>
      </c>
      <c r="C11" s="146"/>
      <c r="D11" s="146"/>
      <c r="E11" s="146"/>
      <c r="F11" s="146"/>
      <c r="G11" s="146"/>
      <c r="H11" s="62"/>
      <c r="I11" s="62"/>
      <c r="J11" s="62"/>
      <c r="K11" s="62"/>
      <c r="L11" s="62"/>
      <c r="M11" s="62"/>
      <c r="N11" s="62"/>
      <c r="O11" s="62"/>
      <c r="P11" s="62"/>
      <c r="Q11" s="62"/>
    </row>
    <row r="12" spans="2:17" x14ac:dyDescent="0.25">
      <c r="B12" t="s">
        <v>11</v>
      </c>
      <c r="C12" s="145">
        <v>9667.1</v>
      </c>
      <c r="D12" s="145">
        <v>10553.9</v>
      </c>
      <c r="E12" s="145">
        <v>11265.2</v>
      </c>
      <c r="F12" s="145">
        <v>12445.8</v>
      </c>
      <c r="G12" s="145">
        <v>15216.6</v>
      </c>
      <c r="H12" s="50">
        <f>-'Income Statement'!H21</f>
        <v>18929.396319374344</v>
      </c>
      <c r="I12" s="50">
        <f>-'Income Statement'!I21</f>
        <v>19688.906253458386</v>
      </c>
      <c r="J12" s="50">
        <f>-'Income Statement'!J21</f>
        <v>20646.867654524314</v>
      </c>
      <c r="K12" s="50">
        <f>-'Income Statement'!K21</f>
        <v>21789.068791400932</v>
      </c>
      <c r="L12" s="50">
        <f>-'Income Statement'!L21</f>
        <v>23108.123578344828</v>
      </c>
      <c r="M12" s="50">
        <f>-'Income Statement'!M21</f>
        <v>24602.26977235622</v>
      </c>
      <c r="N12" s="50">
        <f>-'Income Statement'!N21</f>
        <v>26274.500202072406</v>
      </c>
      <c r="O12" s="50">
        <f>-'Income Statement'!O21</f>
        <v>28131.955023187671</v>
      </c>
      <c r="P12" s="50">
        <f>-'Income Statement'!P21</f>
        <v>30185.52076129018</v>
      </c>
      <c r="Q12" s="50">
        <f>-'Income Statement'!Q21</f>
        <v>32449.595589389297</v>
      </c>
    </row>
    <row r="13" spans="2:17" x14ac:dyDescent="0.25">
      <c r="B13" t="s">
        <v>78</v>
      </c>
      <c r="C13" s="146">
        <v>615.9</v>
      </c>
      <c r="D13" s="146">
        <v>-291.2</v>
      </c>
      <c r="E13" s="146">
        <v>-61.1</v>
      </c>
      <c r="F13" s="146">
        <v>524.5</v>
      </c>
      <c r="G13" s="146">
        <v>232.8</v>
      </c>
    </row>
    <row r="14" spans="2:17" x14ac:dyDescent="0.25">
      <c r="B14" t="s">
        <v>79</v>
      </c>
      <c r="C14" s="146">
        <v>-263.2</v>
      </c>
      <c r="D14" s="146">
        <v>-534</v>
      </c>
      <c r="E14" s="146">
        <v>-137.80000000000001</v>
      </c>
      <c r="F14" s="146">
        <v>-130.1</v>
      </c>
      <c r="G14" s="146">
        <v>-100.5</v>
      </c>
    </row>
    <row r="15" spans="2:17" x14ac:dyDescent="0.25">
      <c r="B15" t="s">
        <v>80</v>
      </c>
      <c r="C15" s="146">
        <v>98.1</v>
      </c>
      <c r="D15" s="146">
        <v>486.8</v>
      </c>
      <c r="E15" s="146">
        <v>382.8</v>
      </c>
      <c r="F15" s="146">
        <v>56.8</v>
      </c>
      <c r="G15" s="146">
        <v>66.8</v>
      </c>
    </row>
    <row r="16" spans="2:17" x14ac:dyDescent="0.25">
      <c r="B16" t="s">
        <v>138</v>
      </c>
      <c r="C16" s="146">
        <v>69.400000000000006</v>
      </c>
      <c r="D16" s="146"/>
      <c r="E16" s="146"/>
      <c r="F16" s="146"/>
      <c r="G16" s="146"/>
    </row>
    <row r="17" spans="2:17 16384:16384" x14ac:dyDescent="0.25">
      <c r="B17" t="s">
        <v>81</v>
      </c>
      <c r="C17" s="146">
        <v>22.3</v>
      </c>
      <c r="D17" s="146">
        <v>-198.2</v>
      </c>
      <c r="E17" s="146">
        <v>-320.2</v>
      </c>
      <c r="F17" s="146">
        <v>-191.4</v>
      </c>
      <c r="G17" s="146">
        <v>-27</v>
      </c>
    </row>
    <row r="18" spans="2:17 16384:16384" x14ac:dyDescent="0.25">
      <c r="B18" t="s">
        <v>129</v>
      </c>
      <c r="C18" s="146">
        <v>-745.6</v>
      </c>
      <c r="D18" s="145">
        <v>-1089.5</v>
      </c>
      <c r="E18" s="146">
        <v>-251.8</v>
      </c>
      <c r="F18" s="146"/>
      <c r="G18" s="146"/>
    </row>
    <row r="19" spans="2:17 16384:16384" x14ac:dyDescent="0.25">
      <c r="B19" t="s">
        <v>82</v>
      </c>
      <c r="C19" s="146"/>
      <c r="D19" s="146"/>
      <c r="E19" s="146"/>
      <c r="F19" s="145">
        <v>3104.6</v>
      </c>
      <c r="G19" s="146">
        <v>-511.4</v>
      </c>
    </row>
    <row r="20" spans="2:17 16384:16384" x14ac:dyDescent="0.25">
      <c r="B20" t="s">
        <v>83</v>
      </c>
      <c r="C20" s="146">
        <v>370.4</v>
      </c>
      <c r="D20" s="145">
        <v>1411.2</v>
      </c>
      <c r="E20" s="145">
        <v>1350.2</v>
      </c>
      <c r="F20" s="146">
        <v>-132.30000000000001</v>
      </c>
      <c r="G20" s="146">
        <v>-234.9</v>
      </c>
    </row>
    <row r="21" spans="2:17 16384:16384" x14ac:dyDescent="0.25">
      <c r="B21" t="s">
        <v>84</v>
      </c>
      <c r="C21" s="146"/>
      <c r="D21" s="145">
        <v>4349.2</v>
      </c>
      <c r="E21" s="146">
        <v>-396.3</v>
      </c>
      <c r="F21" s="146">
        <v>239.6</v>
      </c>
      <c r="G21" s="146">
        <v>326.2</v>
      </c>
    </row>
    <row r="22" spans="2:17 16384:16384" x14ac:dyDescent="0.25">
      <c r="B22" t="s">
        <v>85</v>
      </c>
      <c r="C22" s="146">
        <v>151.69999999999999</v>
      </c>
      <c r="D22" s="146">
        <v>553.6</v>
      </c>
      <c r="E22" s="146">
        <v>312.5</v>
      </c>
      <c r="F22" s="146">
        <v>116.7</v>
      </c>
      <c r="G22" s="146">
        <v>171.5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</row>
    <row r="23" spans="2:17 16384:16384" x14ac:dyDescent="0.25">
      <c r="B23" t="s">
        <v>130</v>
      </c>
      <c r="C23" s="146"/>
      <c r="D23" s="146"/>
      <c r="E23" s="146">
        <v>208.2</v>
      </c>
      <c r="F23" s="146"/>
      <c r="G23" s="146"/>
    </row>
    <row r="24" spans="2:17 16384:16384" x14ac:dyDescent="0.25">
      <c r="B24" t="s">
        <v>135</v>
      </c>
      <c r="C24" s="146"/>
      <c r="D24" s="145">
        <v>-32495</v>
      </c>
      <c r="E24" s="146"/>
      <c r="F24" s="146"/>
      <c r="G24" s="146"/>
    </row>
    <row r="25" spans="2:17 16384:16384" x14ac:dyDescent="0.25">
      <c r="B25" t="s">
        <v>131</v>
      </c>
      <c r="C25" s="146"/>
      <c r="D25" s="146"/>
      <c r="E25" s="146">
        <v>26.5</v>
      </c>
      <c r="F25" s="146"/>
      <c r="G25" s="146"/>
    </row>
    <row r="26" spans="2:17 16384:16384" x14ac:dyDescent="0.25">
      <c r="B26" t="s">
        <v>86</v>
      </c>
      <c r="C26" s="146"/>
      <c r="D26" s="146"/>
      <c r="E26" s="146">
        <v>-290.8</v>
      </c>
      <c r="F26" s="146"/>
      <c r="G26" s="146">
        <v>-1</v>
      </c>
    </row>
    <row r="27" spans="2:17 16384:16384" x14ac:dyDescent="0.25">
      <c r="B27" t="s">
        <v>10</v>
      </c>
      <c r="C27" s="145">
        <v>1416.3</v>
      </c>
      <c r="D27" s="146">
        <v>595.70000000000005</v>
      </c>
      <c r="E27" s="146">
        <v>368.4</v>
      </c>
      <c r="F27" s="145">
        <v>1289.5</v>
      </c>
      <c r="G27" s="145">
        <v>2680.9</v>
      </c>
      <c r="H27" s="50">
        <f>-'Income Statement'!H26</f>
        <v>2054.5440213871884</v>
      </c>
      <c r="I27" s="50">
        <f>-'Income Statement'!I26</f>
        <v>1335.3664082573257</v>
      </c>
      <c r="J27" s="50">
        <f>-'Income Statement'!J26</f>
        <v>1445.7210586454244</v>
      </c>
      <c r="K27" s="50">
        <f>-'Income Statement'!K26</f>
        <v>1572.3185606154707</v>
      </c>
      <c r="L27" s="50">
        <f>-'Income Statement'!L26</f>
        <v>1718.2612593531319</v>
      </c>
      <c r="M27" s="50">
        <f>-'Income Statement'!M26</f>
        <v>1887.3076385396525</v>
      </c>
      <c r="N27" s="50">
        <f>-'Income Statement'!N26</f>
        <v>2084.0167326375922</v>
      </c>
      <c r="O27" s="50">
        <f>-'Income Statement'!O26</f>
        <v>2313.9248686126984</v>
      </c>
      <c r="P27" s="50">
        <f>-'Income Statement'!P26</f>
        <v>2583.762032857614</v>
      </c>
      <c r="Q27" s="50">
        <f>-'Income Statement'!Q26</f>
        <v>2901.7168121780396</v>
      </c>
    </row>
    <row r="28" spans="2:17 16384:16384" x14ac:dyDescent="0.25">
      <c r="B28" t="s">
        <v>87</v>
      </c>
      <c r="C28" s="146">
        <v>-209.1</v>
      </c>
      <c r="D28" s="146">
        <v>-223.7</v>
      </c>
      <c r="E28" s="146">
        <v>-316</v>
      </c>
      <c r="F28" s="145">
        <v>-1459</v>
      </c>
      <c r="G28" s="145">
        <v>-2857.6</v>
      </c>
      <c r="H28" s="50">
        <f>-'Income Statement'!H27</f>
        <v>-4258.4774120752527</v>
      </c>
      <c r="I28" s="50">
        <f>-'Income Statement'!I27</f>
        <v>-4599.8952428719831</v>
      </c>
      <c r="J28" s="50">
        <f>-'Income Statement'!J27</f>
        <v>-4990.5331319880606</v>
      </c>
      <c r="K28" s="50">
        <f>-'Income Statement'!K27</f>
        <v>-5439.7005897052877</v>
      </c>
      <c r="L28" s="50">
        <f>-'Income Statement'!L27</f>
        <v>-5958.6680226762601</v>
      </c>
      <c r="M28" s="50">
        <f>-'Income Statement'!M27</f>
        <v>-6561.0975437876859</v>
      </c>
      <c r="N28" s="50">
        <f>-'Income Statement'!N27</f>
        <v>-7263.5701449414519</v>
      </c>
      <c r="O28" s="50">
        <f>-'Income Statement'!O27</f>
        <v>-8086.230969548772</v>
      </c>
      <c r="P28" s="50">
        <f>-'Income Statement'!P27</f>
        <v>-9053.5793456035135</v>
      </c>
      <c r="Q28" s="50">
        <f>-'Income Statement'!Q27</f>
        <v>-10195.436282207114</v>
      </c>
    </row>
    <row r="29" spans="2:17 16384:16384" x14ac:dyDescent="0.25">
      <c r="B29" t="s">
        <v>132</v>
      </c>
      <c r="C29" s="146">
        <v>-281.60000000000002</v>
      </c>
      <c r="D29" s="146">
        <v>254.8</v>
      </c>
      <c r="E29" s="145">
        <v>1301.5</v>
      </c>
      <c r="F29" s="145"/>
      <c r="G29" s="145"/>
    </row>
    <row r="31" spans="2:17 16384:16384" x14ac:dyDescent="0.25">
      <c r="B31" s="1" t="s">
        <v>88</v>
      </c>
      <c r="C31" s="5">
        <f t="shared" ref="C31:E31" si="1">SUM(C10:C29)</f>
        <v>48342.100000000013</v>
      </c>
      <c r="D31" s="5">
        <f t="shared" si="1"/>
        <v>56809.5</v>
      </c>
      <c r="E31" s="5">
        <f t="shared" si="1"/>
        <v>47168.7</v>
      </c>
      <c r="F31" s="5">
        <f>SUM(F10:F29)</f>
        <v>41989.7</v>
      </c>
      <c r="G31" s="5">
        <f t="shared" ref="G31:H31" si="2">SUM(G10:G29)</f>
        <v>58762.3</v>
      </c>
      <c r="H31" s="5">
        <f t="shared" si="2"/>
        <v>66085.324133440998</v>
      </c>
      <c r="I31" s="5">
        <f t="shared" ref="I31:Q31" si="3">SUM(I10:I29)</f>
        <v>64972.467428458978</v>
      </c>
      <c r="J31" s="5">
        <f t="shared" si="3"/>
        <v>70490.138198515415</v>
      </c>
      <c r="K31" s="5">
        <f t="shared" si="3"/>
        <v>76834.525728139939</v>
      </c>
      <c r="L31" s="5">
        <f t="shared" si="3"/>
        <v>84164.821931599799</v>
      </c>
      <c r="M31" s="5">
        <f t="shared" si="3"/>
        <v>92674.001026277576</v>
      </c>
      <c r="N31" s="5">
        <f t="shared" si="3"/>
        <v>102596.26572753882</v>
      </c>
      <c r="O31" s="5">
        <f t="shared" si="3"/>
        <v>114216.16157501389</v>
      </c>
      <c r="P31" s="5">
        <f t="shared" si="3"/>
        <v>127879.73596892714</v>
      </c>
      <c r="Q31" s="5">
        <f t="shared" si="3"/>
        <v>144008.20383705987</v>
      </c>
      <c r="XFD31" s="5"/>
    </row>
    <row r="32" spans="2:17 16384:16384" x14ac:dyDescent="0.25">
      <c r="B32" s="15" t="s">
        <v>89</v>
      </c>
    </row>
    <row r="33" spans="2:17" x14ac:dyDescent="0.25">
      <c r="B33" t="s">
        <v>90</v>
      </c>
      <c r="C33" s="145">
        <v>-5269.8</v>
      </c>
      <c r="D33" s="145">
        <v>-16217.4</v>
      </c>
      <c r="E33" s="145">
        <v>14975.2</v>
      </c>
      <c r="F33" s="145">
        <v>-9267</v>
      </c>
      <c r="G33" s="145">
        <v>-13036.8</v>
      </c>
      <c r="H33" s="51">
        <f>Balance_sheet!G29-Balance_sheet!H29</f>
        <v>-8310.096877013435</v>
      </c>
      <c r="I33" s="51">
        <f>Balance_sheet!H29-Balance_sheet!I29</f>
        <v>-8529.8706180792069</v>
      </c>
      <c r="J33" s="51">
        <f>Balance_sheet!I29-Balance_sheet!J29</f>
        <v>-9759.5683415361418</v>
      </c>
      <c r="K33" s="51">
        <f>Balance_sheet!J29-Balance_sheet!K29</f>
        <v>-11221.851803225189</v>
      </c>
      <c r="L33" s="51">
        <f>Balance_sheet!K29-Balance_sheet!L29</f>
        <v>-12965.711392134719</v>
      </c>
      <c r="M33" s="51">
        <f>Balance_sheet!L29-Balance_sheet!M29</f>
        <v>-15050.900708965288</v>
      </c>
      <c r="N33" s="51">
        <f>Balance_sheet!M29-Balance_sheet!N29</f>
        <v>-17550.344065523183</v>
      </c>
      <c r="O33" s="51">
        <f>Balance_sheet!N29-Balance_sheet!O29</f>
        <v>-20553.087049049325</v>
      </c>
      <c r="P33" s="51">
        <f>Balance_sheet!O29-Balance_sheet!P29</f>
        <v>-24167.913172843662</v>
      </c>
      <c r="Q33" s="51">
        <f>Balance_sheet!P29-Balance_sheet!Q29</f>
        <v>-28527.777564680931</v>
      </c>
    </row>
    <row r="34" spans="2:17" x14ac:dyDescent="0.25">
      <c r="B34" t="s">
        <v>91</v>
      </c>
      <c r="C34" s="145">
        <v>-6561.2</v>
      </c>
      <c r="D34" s="145">
        <v>7440.4</v>
      </c>
      <c r="E34" s="145">
        <v>-4108.3999999999996</v>
      </c>
      <c r="F34" s="145">
        <v>-4321.1000000000004</v>
      </c>
      <c r="G34" s="145">
        <v>-2641.9</v>
      </c>
      <c r="H34" s="51">
        <f>Balance_sheet!G32-Balance_sheet!H32</f>
        <v>-4562.6025400973958</v>
      </c>
      <c r="I34" s="51">
        <f>Balance_sheet!H32-Balance_sheet!I32</f>
        <v>-4227.5586654745057</v>
      </c>
      <c r="J34" s="51">
        <f>Balance_sheet!I32-Balance_sheet!J32</f>
        <v>-4837.0191719089053</v>
      </c>
      <c r="K34" s="51">
        <f>Balance_sheet!J32-Balance_sheet!K32</f>
        <v>-5561.7533908243568</v>
      </c>
      <c r="L34" s="51">
        <f>Balance_sheet!K32-Balance_sheet!L32</f>
        <v>-6426.0418480067747</v>
      </c>
      <c r="M34" s="51">
        <f>Balance_sheet!L32-Balance_sheet!M32</f>
        <v>-7459.499512281036</v>
      </c>
      <c r="N34" s="51">
        <f>Balance_sheet!M32-Balance_sheet!N32</f>
        <v>-8698.2689958981937</v>
      </c>
      <c r="O34" s="51">
        <f>Balance_sheet!N32-Balance_sheet!O32</f>
        <v>-10186.482907759055</v>
      </c>
      <c r="P34" s="51">
        <f>Balance_sheet!O32-Balance_sheet!P32</f>
        <v>-11978.056331093263</v>
      </c>
      <c r="Q34" s="51">
        <f>Balance_sheet!P32-Balance_sheet!Q32</f>
        <v>-14138.884239894076</v>
      </c>
    </row>
    <row r="35" spans="2:17" x14ac:dyDescent="0.25">
      <c r="B35" t="s">
        <v>92</v>
      </c>
      <c r="C35" s="145">
        <v>12697.9</v>
      </c>
      <c r="D35" s="146">
        <v>-84.2</v>
      </c>
      <c r="E35" s="146">
        <v>140.80000000000001</v>
      </c>
      <c r="F35" s="145">
        <v>-2204</v>
      </c>
      <c r="G35" s="145">
        <v>-1729.1</v>
      </c>
      <c r="H35" s="59">
        <f>SUM(Balance_sheet!G35:G39,Balance_sheet!G31)-SUM(Balance_sheet!H31,Balance_sheet!H35:H39)</f>
        <v>4603.299701677548</v>
      </c>
      <c r="I35" s="59">
        <f>SUM(Balance_sheet!H35:H39,Balance_sheet!H31)-SUM(Balance_sheet!I31,Balance_sheet!I35:I39)</f>
        <v>-2278.5602316289733</v>
      </c>
      <c r="J35" s="59">
        <f>SUM(Balance_sheet!I35:I39,Balance_sheet!I31)-SUM(Balance_sheet!J31,Balance_sheet!J35:J39)</f>
        <v>-2607.0459092024175</v>
      </c>
      <c r="K35" s="59">
        <f>SUM(Balance_sheet!J35:J39,Balance_sheet!J31)-SUM(Balance_sheet!K31,Balance_sheet!K35:K39)</f>
        <v>-2997.6615577107659</v>
      </c>
      <c r="L35" s="59">
        <f>SUM(Balance_sheet!K35:K39,Balance_sheet!K31)-SUM(Balance_sheet!L31,Balance_sheet!L35:L39)</f>
        <v>-3463.4938413109849</v>
      </c>
      <c r="M35" s="59">
        <f>SUM(Balance_sheet!L35:L39,Balance_sheet!L31)-SUM(Balance_sheet!M31,Balance_sheet!M35:M39)</f>
        <v>-4020.5045704863223</v>
      </c>
      <c r="N35" s="59">
        <f>SUM(Balance_sheet!M35:M39,Balance_sheet!M31)-SUM(Balance_sheet!N31,Balance_sheet!N35:N39)</f>
        <v>-4688.1738105555851</v>
      </c>
      <c r="O35" s="59">
        <f>SUM(Balance_sheet!N35:N39,Balance_sheet!N31)-SUM(Balance_sheet!O31,Balance_sheet!O35:O39)</f>
        <v>-5490.2880575834497</v>
      </c>
      <c r="P35" s="59">
        <f>SUM(Balance_sheet!O35:O39,Balance_sheet!O31)-SUM(Balance_sheet!P31,Balance_sheet!P35:P39)</f>
        <v>-6455.9063440406171</v>
      </c>
      <c r="Q35" s="59">
        <f>SUM(Balance_sheet!P35:P39,Balance_sheet!P31)-SUM(Balance_sheet!Q31,Balance_sheet!Q35:Q39)</f>
        <v>-7620.5445974603135</v>
      </c>
    </row>
    <row r="36" spans="2:17" x14ac:dyDescent="0.25">
      <c r="B36" t="s">
        <v>93</v>
      </c>
      <c r="C36" s="145">
        <v>-1277.8</v>
      </c>
      <c r="D36" s="146">
        <v>179.1</v>
      </c>
      <c r="E36" s="146">
        <v>-34.9</v>
      </c>
      <c r="F36" s="145">
        <v>-3549.6</v>
      </c>
      <c r="G36" s="145">
        <v>-6689.7</v>
      </c>
      <c r="H36" s="51"/>
      <c r="I36" s="51"/>
      <c r="J36" s="51"/>
      <c r="K36" s="51"/>
      <c r="L36" s="51"/>
      <c r="M36" s="51"/>
      <c r="N36" s="51"/>
      <c r="O36" s="51"/>
      <c r="P36" s="51"/>
      <c r="Q36" s="51"/>
    </row>
    <row r="37" spans="2:17" x14ac:dyDescent="0.25">
      <c r="B37" t="s">
        <v>94</v>
      </c>
      <c r="C37" s="146">
        <v>-28</v>
      </c>
      <c r="D37" s="146">
        <v>-39</v>
      </c>
      <c r="E37" s="146">
        <v>25.5</v>
      </c>
      <c r="F37" s="146">
        <v>10.4</v>
      </c>
      <c r="G37" s="146">
        <v>-6.9</v>
      </c>
      <c r="H37" s="51"/>
      <c r="I37" s="51"/>
      <c r="J37" s="51"/>
      <c r="K37" s="51"/>
      <c r="L37" s="51"/>
      <c r="M37" s="51"/>
      <c r="N37" s="51"/>
      <c r="O37" s="51"/>
      <c r="P37" s="51"/>
      <c r="Q37" s="51"/>
    </row>
    <row r="38" spans="2:17" x14ac:dyDescent="0.25">
      <c r="B38" t="s">
        <v>95</v>
      </c>
      <c r="C38" s="145">
        <v>2958.7</v>
      </c>
      <c r="D38" s="145">
        <v>1265.4000000000001</v>
      </c>
      <c r="E38" s="145">
        <v>1106.5</v>
      </c>
      <c r="F38" s="145">
        <v>7076.5</v>
      </c>
      <c r="G38" s="145">
        <v>5828.4</v>
      </c>
      <c r="H38" s="60">
        <f>'Working Capital'!H13-'Working Capital'!G13</f>
        <v>-4179.8922545985115</v>
      </c>
      <c r="I38" s="60">
        <f>'Working Capital'!I13-'Working Capital'!H13</f>
        <v>3235.9468824729847</v>
      </c>
      <c r="J38" s="60">
        <f>'Working Capital'!J13-'Working Capital'!I13</f>
        <v>3702.4529636051593</v>
      </c>
      <c r="K38" s="60">
        <f>'Working Capital'!K13-'Working Capital'!J13</f>
        <v>4257.1942745829801</v>
      </c>
      <c r="L38" s="60">
        <f>'Working Capital'!L13-'Working Capital'!K13</f>
        <v>4918.7561262061427</v>
      </c>
      <c r="M38" s="60">
        <f>'Working Capital'!M13-'Working Capital'!L13</f>
        <v>5709.8070308777824</v>
      </c>
      <c r="N38" s="60">
        <f>'Working Capital'!N13-'Working Capital'!M13</f>
        <v>6658.0120271445267</v>
      </c>
      <c r="O38" s="60">
        <f>'Working Capital'!O13-'Working Capital'!N13</f>
        <v>7797.1520248619927</v>
      </c>
      <c r="P38" s="60">
        <f>'Working Capital'!P13-'Working Capital'!O13</f>
        <v>9168.4958411657426</v>
      </c>
      <c r="Q38" s="60">
        <f>'Working Capital'!Q13-'Working Capital'!P13</f>
        <v>10822.482193182397</v>
      </c>
    </row>
    <row r="39" spans="2:17" x14ac:dyDescent="0.25">
      <c r="B39" t="s">
        <v>96</v>
      </c>
      <c r="C39" s="145">
        <v>1010.4</v>
      </c>
      <c r="D39" s="145">
        <v>-1736.1</v>
      </c>
      <c r="E39" s="146">
        <v>145.19999999999999</v>
      </c>
      <c r="F39" s="146">
        <v>217.5</v>
      </c>
      <c r="G39" s="146">
        <v>985.5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</row>
    <row r="40" spans="2:17" x14ac:dyDescent="0.25">
      <c r="B40" t="s">
        <v>97</v>
      </c>
      <c r="C40" s="146">
        <v>-779.2</v>
      </c>
      <c r="D40" s="145">
        <v>-1466.8</v>
      </c>
      <c r="E40" s="145">
        <v>5573.1</v>
      </c>
      <c r="F40" s="145">
        <v>-1240.5</v>
      </c>
      <c r="G40" s="145">
        <v>-2634.3</v>
      </c>
      <c r="H40" s="51"/>
      <c r="I40" s="51"/>
      <c r="J40" s="51"/>
      <c r="K40" s="51"/>
      <c r="L40" s="51"/>
      <c r="M40" s="51"/>
      <c r="N40" s="51"/>
      <c r="O40" s="51"/>
      <c r="P40" s="51"/>
      <c r="Q40" s="51"/>
    </row>
    <row r="41" spans="2:17" x14ac:dyDescent="0.25">
      <c r="B41" t="s">
        <v>98</v>
      </c>
      <c r="C41" s="146">
        <v>328.1</v>
      </c>
      <c r="D41" s="146">
        <v>-7.9</v>
      </c>
      <c r="E41" s="145">
        <v>-2245</v>
      </c>
      <c r="F41" s="145">
        <v>2328</v>
      </c>
      <c r="G41" s="145">
        <v>3174.1</v>
      </c>
      <c r="H41" s="51">
        <f>SUM(Balance_sheet!H67:H68,Balance_sheet!H72:H75)-SUM(Balance_sheet!G67:G68,Balance_sheet!G72:G75)</f>
        <v>16473.759917109535</v>
      </c>
      <c r="I41" s="51">
        <f>SUM(Balance_sheet!I67:I68,Balance_sheet!I72:I75)-SUM(Balance_sheet!H67:H68,Balance_sheet!H72:H75)</f>
        <v>7530.1899817277881</v>
      </c>
      <c r="J41" s="51">
        <f>SUM(Balance_sheet!J67:J68,Balance_sheet!J72:J75)-SUM(Balance_sheet!I67:I68,Balance_sheet!I72:I75)</f>
        <v>8615.7700441149645</v>
      </c>
      <c r="K41" s="51">
        <f>SUM(Balance_sheet!K67:K68,Balance_sheet!K72:K75)-SUM(Balance_sheet!J67:J68,Balance_sheet!J72:J75)</f>
        <v>9906.6773470133776</v>
      </c>
      <c r="L41" s="51">
        <f>SUM(Balance_sheet!L67:L68,Balance_sheet!L72:L75)-SUM(Balance_sheet!K67:K68,Balance_sheet!K72:K75)</f>
        <v>11446.160721838969</v>
      </c>
      <c r="M41" s="51">
        <f>SUM(Balance_sheet!M67:M68,Balance_sheet!M72:M75)-SUM(Balance_sheet!L67:L68,Balance_sheet!L72:L75)</f>
        <v>13286.970788796258</v>
      </c>
      <c r="N41" s="51">
        <f>SUM(Balance_sheet!N67:N68,Balance_sheet!N72:N75)-SUM(Balance_sheet!M67:M68,Balance_sheet!M72:M75)</f>
        <v>15493.485303044115</v>
      </c>
      <c r="O41" s="51">
        <f>SUM(Balance_sheet!O67:O68,Balance_sheet!O72:O75)-SUM(Balance_sheet!N67:N68,Balance_sheet!N72:N75)</f>
        <v>18144.313919873093</v>
      </c>
      <c r="P41" s="51">
        <f>SUM(Balance_sheet!P67:P68,Balance_sheet!P72:P75)-SUM(Balance_sheet!O67:O68,Balance_sheet!O72:O75)</f>
        <v>21335.490982440591</v>
      </c>
      <c r="Q41" s="51">
        <f>SUM(Balance_sheet!Q67:Q68,Balance_sheet!Q72:Q75)-SUM(Balance_sheet!P67:P68,Balance_sheet!P72:P75)</f>
        <v>25184.389592405409</v>
      </c>
    </row>
    <row r="43" spans="2:17" x14ac:dyDescent="0.25">
      <c r="B43" s="1" t="s">
        <v>99</v>
      </c>
      <c r="C43" s="5">
        <f t="shared" ref="C43:F43" si="4">SUM(C31:C41)</f>
        <v>51421.200000000012</v>
      </c>
      <c r="D43" s="5">
        <f t="shared" si="4"/>
        <v>46143</v>
      </c>
      <c r="E43" s="5">
        <f t="shared" si="4"/>
        <v>62746.69999999999</v>
      </c>
      <c r="F43" s="5">
        <f t="shared" si="4"/>
        <v>31039.9</v>
      </c>
      <c r="G43" s="5">
        <f>SUM(G31:G41)</f>
        <v>42011.6</v>
      </c>
      <c r="H43" s="5">
        <f>SUM(H31:H41)</f>
        <v>70109.792080518731</v>
      </c>
      <c r="I43" s="5">
        <f t="shared" ref="I43:Q43" si="5">SUM(I31:I41)</f>
        <v>60702.614777477065</v>
      </c>
      <c r="J43" s="5">
        <f t="shared" si="5"/>
        <v>65604.727783588081</v>
      </c>
      <c r="K43" s="5">
        <f t="shared" si="5"/>
        <v>71217.130597975978</v>
      </c>
      <c r="L43" s="5">
        <f t="shared" si="5"/>
        <v>77674.491698192433</v>
      </c>
      <c r="M43" s="5">
        <f t="shared" si="5"/>
        <v>85139.874054218977</v>
      </c>
      <c r="N43" s="5">
        <f t="shared" si="5"/>
        <v>93810.976185750507</v>
      </c>
      <c r="O43" s="5">
        <f t="shared" si="5"/>
        <v>103927.76950535715</v>
      </c>
      <c r="P43" s="5">
        <f t="shared" si="5"/>
        <v>115781.84694455593</v>
      </c>
      <c r="Q43" s="5">
        <f t="shared" si="5"/>
        <v>129727.86922061237</v>
      </c>
    </row>
    <row r="44" spans="2:17" x14ac:dyDescent="0.25">
      <c r="B44" s="4" t="s">
        <v>100</v>
      </c>
      <c r="C44" s="145">
        <v>-7608.4</v>
      </c>
      <c r="D44" s="145">
        <v>-12852.5</v>
      </c>
      <c r="E44" s="145">
        <v>-12581.9</v>
      </c>
      <c r="F44" s="145">
        <v>-7172.4</v>
      </c>
      <c r="G44" s="145">
        <v>-17666.400000000001</v>
      </c>
      <c r="H44" s="50">
        <f>'Income Statement'!H32</f>
        <v>-12514.972560034888</v>
      </c>
      <c r="I44" s="50">
        <f>'Income Statement'!I32</f>
        <v>-12309.151595708141</v>
      </c>
      <c r="J44" s="50">
        <f>'Income Statement'!J32</f>
        <v>-13536.310124884343</v>
      </c>
      <c r="K44" s="50">
        <f>'Income Statement'!K32</f>
        <v>-14937.08744505303</v>
      </c>
      <c r="L44" s="50">
        <f>'Income Statement'!L32</f>
        <v>-16555.789640368163</v>
      </c>
      <c r="M44" s="50">
        <f>'Income Statement'!M32</f>
        <v>-18444.302292421053</v>
      </c>
      <c r="N44" s="50">
        <f>'Income Statement'!N32</f>
        <v>-20664.29574997658</v>
      </c>
      <c r="O44" s="50">
        <f>'Income Statement'!O32</f>
        <v>-23289.808910546151</v>
      </c>
      <c r="P44" s="50">
        <f>'Income Statement'!P32</f>
        <v>-26410.325655648314</v>
      </c>
      <c r="Q44" s="50">
        <f>'Income Statement'!Q32</f>
        <v>-30134.477362347294</v>
      </c>
    </row>
    <row r="46" spans="2:17" x14ac:dyDescent="0.25">
      <c r="B46" s="6" t="s">
        <v>101</v>
      </c>
      <c r="C46" s="7">
        <f t="shared" ref="C46:F46" si="6">SUM(C43:C44)</f>
        <v>43812.80000000001</v>
      </c>
      <c r="D46" s="7">
        <f t="shared" si="6"/>
        <v>33290.5</v>
      </c>
      <c r="E46" s="7">
        <f t="shared" si="6"/>
        <v>50164.799999999988</v>
      </c>
      <c r="F46" s="7">
        <f t="shared" si="6"/>
        <v>23867.5</v>
      </c>
      <c r="G46" s="7">
        <f>SUM(G43:G44)</f>
        <v>24345.199999999997</v>
      </c>
      <c r="H46" s="7">
        <f>SUM(H43:H44)</f>
        <v>57594.819520483841</v>
      </c>
      <c r="I46" s="7">
        <f t="shared" ref="I46:Q46" si="7">SUM(I43:I44)</f>
        <v>48393.463181768922</v>
      </c>
      <c r="J46" s="7">
        <f t="shared" si="7"/>
        <v>52068.417658703736</v>
      </c>
      <c r="K46" s="7">
        <f t="shared" si="7"/>
        <v>56280.043152922946</v>
      </c>
      <c r="L46" s="7">
        <f t="shared" si="7"/>
        <v>61118.702057824266</v>
      </c>
      <c r="M46" s="7">
        <f t="shared" si="7"/>
        <v>66695.571761797924</v>
      </c>
      <c r="N46" s="7">
        <f t="shared" si="7"/>
        <v>73146.680435773931</v>
      </c>
      <c r="O46" s="7">
        <f t="shared" si="7"/>
        <v>80637.960594810997</v>
      </c>
      <c r="P46" s="7">
        <f t="shared" si="7"/>
        <v>89371.521288907621</v>
      </c>
      <c r="Q46" s="7">
        <f t="shared" si="7"/>
        <v>99593.391858265066</v>
      </c>
    </row>
    <row r="48" spans="2:17" ht="36.75" customHeight="1" x14ac:dyDescent="0.25">
      <c r="B48" s="1" t="s">
        <v>102</v>
      </c>
    </row>
    <row r="49" spans="1:17" ht="30" x14ac:dyDescent="0.25">
      <c r="B49" s="16" t="s">
        <v>103</v>
      </c>
      <c r="C49" s="145">
        <v>-13827.5</v>
      </c>
      <c r="D49" s="145">
        <v>-14379.4</v>
      </c>
      <c r="E49" s="145">
        <v>-20529.099999999999</v>
      </c>
      <c r="F49" s="145">
        <v>-24038</v>
      </c>
      <c r="G49" s="145">
        <v>-27803.3</v>
      </c>
      <c r="H49" s="51">
        <f>-(FAS!H100+Balance_sheet!H16-Balance_sheet!G16+Balance_sheet!H17-Balance_sheet!G17)</f>
        <v>-15892.955534503766</v>
      </c>
      <c r="I49" s="51">
        <f>-(FAS!I100+Balance_sheet!I16-Balance_sheet!H16+Balance_sheet!I17-Balance_sheet!H17)</f>
        <v>-30152.513869392282</v>
      </c>
      <c r="J49" s="51">
        <f>-(FAS!J100+Balance_sheet!J16-Balance_sheet!I16+Balance_sheet!J17-Balance_sheet!I17)</f>
        <v>-32346.122206497232</v>
      </c>
      <c r="K49" s="51">
        <f>-(FAS!K100+Balance_sheet!K16-Balance_sheet!J16+Balance_sheet!K17-Balance_sheet!J17)</f>
        <v>-34732.750716037219</v>
      </c>
      <c r="L49" s="51">
        <f>-(FAS!L100+Balance_sheet!L16-Balance_sheet!K16+Balance_sheet!L17-Balance_sheet!K17)</f>
        <v>-37332.292894128637</v>
      </c>
      <c r="M49" s="51">
        <f>-(FAS!M100+Balance_sheet!M16-Balance_sheet!L16+Balance_sheet!M17-Balance_sheet!L17)</f>
        <v>-40166.907950166882</v>
      </c>
      <c r="N49" s="51">
        <f>-(FAS!N100+Balance_sheet!N16-Balance_sheet!M16+Balance_sheet!N17-Balance_sheet!M17)</f>
        <v>-43261.293082399752</v>
      </c>
      <c r="O49" s="51">
        <f>-(FAS!O100+Balance_sheet!O16-Balance_sheet!N16+Balance_sheet!O17-Balance_sheet!N17)</f>
        <v>-46642.989383717111</v>
      </c>
      <c r="P49" s="51">
        <f>-(FAS!P100+Balance_sheet!P16-Balance_sheet!O16+Balance_sheet!P17-Balance_sheet!O17)</f>
        <v>-50342.725592287927</v>
      </c>
      <c r="Q49" s="51">
        <f>-(FAS!Q100+Balance_sheet!Q16-Balance_sheet!P16+Balance_sheet!Q17-Balance_sheet!P17)</f>
        <v>-54394.804434304489</v>
      </c>
    </row>
    <row r="50" spans="1:17" x14ac:dyDescent="0.25">
      <c r="B50" t="s">
        <v>104</v>
      </c>
      <c r="C50" s="146">
        <v>-483.4</v>
      </c>
      <c r="D50" s="145">
        <v>-4358.7</v>
      </c>
      <c r="E50" s="145">
        <v>-6517.3</v>
      </c>
      <c r="F50" s="145">
        <v>-3166</v>
      </c>
      <c r="G50" s="145">
        <v>-7811.7</v>
      </c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B51" t="s">
        <v>105</v>
      </c>
      <c r="C51" s="146">
        <v>190</v>
      </c>
      <c r="D51" s="146">
        <v>481.7</v>
      </c>
      <c r="E51" s="145">
        <v>3809.4</v>
      </c>
      <c r="F51" s="146">
        <v>110.9</v>
      </c>
      <c r="G51" s="146">
        <v>602.79999999999995</v>
      </c>
    </row>
    <row r="52" spans="1:17" x14ac:dyDescent="0.25">
      <c r="B52" t="s">
        <v>106</v>
      </c>
      <c r="C52" s="146">
        <v>103.5</v>
      </c>
      <c r="D52" s="146"/>
      <c r="E52" s="145">
        <v>-5813.9</v>
      </c>
      <c r="F52" s="145">
        <v>-1689.2</v>
      </c>
      <c r="G52" s="146"/>
    </row>
    <row r="53" spans="1:17" x14ac:dyDescent="0.25">
      <c r="B53" t="s">
        <v>107</v>
      </c>
      <c r="C53" s="146"/>
      <c r="D53" s="146"/>
      <c r="E53" s="146"/>
      <c r="F53" s="146">
        <v>-280.5</v>
      </c>
      <c r="G53" s="146"/>
    </row>
    <row r="54" spans="1:17" x14ac:dyDescent="0.25">
      <c r="B54" t="s">
        <v>136</v>
      </c>
      <c r="C54" s="146"/>
      <c r="D54" s="145">
        <v>-2742.1</v>
      </c>
      <c r="E54" s="146"/>
      <c r="F54" s="146"/>
      <c r="G54" s="146"/>
    </row>
    <row r="55" spans="1:17" x14ac:dyDescent="0.25">
      <c r="B55" t="s">
        <v>137</v>
      </c>
      <c r="C55" s="146"/>
      <c r="D55" s="145">
        <v>31739.1</v>
      </c>
      <c r="E55" s="146"/>
      <c r="F55" s="146"/>
      <c r="G55" s="146"/>
    </row>
    <row r="56" spans="1:17" x14ac:dyDescent="0.25">
      <c r="B56" t="s">
        <v>133</v>
      </c>
      <c r="C56" s="146"/>
      <c r="D56" s="146"/>
      <c r="E56" s="146">
        <v>43.2</v>
      </c>
      <c r="F56" s="146"/>
      <c r="G56" s="146"/>
    </row>
    <row r="57" spans="1:17" x14ac:dyDescent="0.25">
      <c r="B57" t="s">
        <v>134</v>
      </c>
      <c r="C57" s="146"/>
      <c r="D57" s="146"/>
      <c r="E57" s="146">
        <v>249.7</v>
      </c>
      <c r="F57" s="146"/>
      <c r="G57" s="146"/>
    </row>
    <row r="58" spans="1:17" x14ac:dyDescent="0.25">
      <c r="B58" t="s">
        <v>108</v>
      </c>
      <c r="C58" s="145">
        <v>-1791</v>
      </c>
      <c r="D58" s="145">
        <v>-1536.3</v>
      </c>
      <c r="E58" s="146">
        <v>-726.5</v>
      </c>
      <c r="F58" s="145">
        <v>1053.8</v>
      </c>
      <c r="G58" s="146">
        <v>-219.4</v>
      </c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B59" t="s">
        <v>109</v>
      </c>
      <c r="C59" s="146"/>
      <c r="D59" s="145">
        <v>-1540</v>
      </c>
      <c r="E59" s="145">
        <v>-2999.2</v>
      </c>
      <c r="F59" s="145">
        <v>-6769.4</v>
      </c>
      <c r="G59" s="146">
        <v>-16.5</v>
      </c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B60" t="s">
        <v>110</v>
      </c>
      <c r="C60" s="146"/>
      <c r="D60" s="145">
        <v>-1597.8</v>
      </c>
      <c r="E60" s="145">
        <v>-5250.3</v>
      </c>
      <c r="F60" s="145">
        <v>-13371.6</v>
      </c>
      <c r="G60" s="146">
        <v>-21.1</v>
      </c>
      <c r="H60" s="28"/>
      <c r="I60" s="28"/>
      <c r="J60" s="28"/>
      <c r="K60" s="28"/>
      <c r="L60" s="28"/>
      <c r="M60" s="28"/>
      <c r="N60" s="28"/>
      <c r="O60" s="28"/>
      <c r="P60" s="28"/>
      <c r="Q60" s="28"/>
    </row>
    <row r="61" spans="1:17" x14ac:dyDescent="0.25">
      <c r="B61" t="s">
        <v>111</v>
      </c>
      <c r="C61" s="146"/>
      <c r="D61" s="146"/>
      <c r="E61" s="145">
        <v>3264.3</v>
      </c>
      <c r="F61" s="145">
        <v>16341.5</v>
      </c>
      <c r="G61" s="145">
        <v>1026.4000000000001</v>
      </c>
      <c r="H61" s="51">
        <f>SUM(Balance_sheet!G19:G24)-SUM(Balance_sheet!H19:H24)</f>
        <v>4725.6600584749831</v>
      </c>
      <c r="I61" s="51">
        <f>SUM(Balance_sheet!H19:H24)-SUM(Balance_sheet!I19:I24)</f>
        <v>-1552.9835344658641</v>
      </c>
      <c r="J61" s="51">
        <f>SUM(Balance_sheet!I19:I24)-SUM(Balance_sheet!J19:J24)</f>
        <v>-1776.8673894977401</v>
      </c>
      <c r="K61" s="51">
        <f>SUM(Balance_sheet!J19:J24)-SUM(Balance_sheet!K19:K24)</f>
        <v>-2043.0967662847252</v>
      </c>
      <c r="L61" s="51">
        <f>SUM(Balance_sheet!K19:K24)-SUM(Balance_sheet!L19:L24)</f>
        <v>-2360.5910577288232</v>
      </c>
      <c r="M61" s="51">
        <f>SUM(Balance_sheet!L19:L24)-SUM(Balance_sheet!M19:M24)</f>
        <v>-2740.229251585879</v>
      </c>
      <c r="N61" s="51">
        <f>SUM(Balance_sheet!M19:M24)-SUM(Balance_sheet!N19:N24)</f>
        <v>-3195.28824976545</v>
      </c>
      <c r="O61" s="51">
        <f>SUM(Balance_sheet!N19:N24)-SUM(Balance_sheet!O19:O24)</f>
        <v>-3741.9800602795949</v>
      </c>
      <c r="P61" s="51">
        <f>SUM(Balance_sheet!O19:O24)-SUM(Balance_sheet!P19:P24)</f>
        <v>-4400.1102596182536</v>
      </c>
      <c r="Q61" s="51">
        <f>SUM(Balance_sheet!P19:P24)-SUM(Balance_sheet!Q19:Q24)</f>
        <v>-5193.885208405467</v>
      </c>
    </row>
    <row r="62" spans="1:17" x14ac:dyDescent="0.25">
      <c r="B62" t="s">
        <v>112</v>
      </c>
      <c r="C62" s="146"/>
      <c r="D62" s="146"/>
      <c r="E62" s="145">
        <v>1352.2</v>
      </c>
      <c r="F62" s="145">
        <v>7173.2</v>
      </c>
      <c r="G62" s="146">
        <v>765.1</v>
      </c>
    </row>
    <row r="63" spans="1:17" s="62" customFormat="1" x14ac:dyDescent="0.25">
      <c r="A63"/>
      <c r="B63" t="s">
        <v>113</v>
      </c>
      <c r="C63" s="146">
        <v>-85.8</v>
      </c>
      <c r="D63" s="146">
        <v>-271.10000000000002</v>
      </c>
      <c r="E63" s="146">
        <v>749.3</v>
      </c>
      <c r="F63" s="145">
        <v>-16608.400000000001</v>
      </c>
      <c r="G63" s="145">
        <v>-11890.2</v>
      </c>
      <c r="H63" s="51">
        <v>28848.2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</row>
    <row r="64" spans="1:17" s="62" customFormat="1" x14ac:dyDescent="0.25">
      <c r="A64"/>
      <c r="B64" t="s">
        <v>114</v>
      </c>
      <c r="C64" s="146">
        <v>193.4</v>
      </c>
      <c r="D64" s="146">
        <v>191.5</v>
      </c>
      <c r="E64" s="146">
        <v>252.6</v>
      </c>
      <c r="F64" s="145">
        <v>1466.2</v>
      </c>
      <c r="G64" s="145">
        <v>2808.4</v>
      </c>
      <c r="H64" s="50">
        <f>'Income Statement'!H27</f>
        <v>4258.4774120752527</v>
      </c>
      <c r="I64" s="50">
        <f>'Income Statement'!I27</f>
        <v>4599.8952428719831</v>
      </c>
      <c r="J64" s="50">
        <f>'Income Statement'!J27</f>
        <v>4990.5331319880606</v>
      </c>
      <c r="K64" s="50">
        <f>'Income Statement'!K27</f>
        <v>5439.7005897052877</v>
      </c>
      <c r="L64" s="50">
        <f>'Income Statement'!L27</f>
        <v>5958.6680226762601</v>
      </c>
      <c r="M64" s="50">
        <f>'Income Statement'!M27</f>
        <v>6561.0975437876859</v>
      </c>
      <c r="N64" s="50">
        <f>'Income Statement'!N27</f>
        <v>7263.5701449414519</v>
      </c>
      <c r="O64" s="50">
        <f>'Income Statement'!O27</f>
        <v>8086.230969548772</v>
      </c>
      <c r="P64" s="50">
        <f>'Income Statement'!P27</f>
        <v>9053.5793456035135</v>
      </c>
      <c r="Q64" s="50">
        <f>'Income Statement'!Q27</f>
        <v>10195.436282207114</v>
      </c>
    </row>
    <row r="65" spans="2:17" x14ac:dyDescent="0.25">
      <c r="B65" t="s">
        <v>139</v>
      </c>
      <c r="C65" s="146">
        <v>24.4</v>
      </c>
      <c r="D65" s="146"/>
      <c r="E65" s="146"/>
      <c r="F65" s="145"/>
      <c r="G65" s="145"/>
    </row>
    <row r="67" spans="2:17" x14ac:dyDescent="0.25">
      <c r="B67" s="6" t="s">
        <v>115</v>
      </c>
      <c r="C67" s="7">
        <f>SUM(C49:C65)</f>
        <v>-15676.4</v>
      </c>
      <c r="D67" s="7">
        <f t="shared" ref="D67:H67" si="8">SUM(D49:D65)</f>
        <v>5986.9000000000024</v>
      </c>
      <c r="E67" s="7">
        <f t="shared" si="8"/>
        <v>-32115.599999999995</v>
      </c>
      <c r="F67" s="7">
        <f t="shared" si="8"/>
        <v>-39777.5</v>
      </c>
      <c r="G67" s="7">
        <f t="shared" si="8"/>
        <v>-42559.499999999993</v>
      </c>
      <c r="H67" s="7">
        <f t="shared" si="8"/>
        <v>21939.381936046469</v>
      </c>
      <c r="I67" s="7">
        <f t="shared" ref="I67:Q67" si="9">SUM(I49:I65)</f>
        <v>-27105.602160986164</v>
      </c>
      <c r="J67" s="7">
        <f t="shared" si="9"/>
        <v>-29132.456464006911</v>
      </c>
      <c r="K67" s="7">
        <f t="shared" si="9"/>
        <v>-31336.146892616656</v>
      </c>
      <c r="L67" s="7">
        <f t="shared" si="9"/>
        <v>-33734.215929181199</v>
      </c>
      <c r="M67" s="7">
        <f t="shared" si="9"/>
        <v>-36346.039657965077</v>
      </c>
      <c r="N67" s="7">
        <f t="shared" si="9"/>
        <v>-39193.011187223747</v>
      </c>
      <c r="O67" s="7">
        <f t="shared" si="9"/>
        <v>-42298.738474447935</v>
      </c>
      <c r="P67" s="7">
        <f t="shared" si="9"/>
        <v>-45689.25650630267</v>
      </c>
      <c r="Q67" s="7">
        <f t="shared" si="9"/>
        <v>-49393.253360502844</v>
      </c>
    </row>
    <row r="69" spans="2:17" x14ac:dyDescent="0.25">
      <c r="B69" s="1" t="s">
        <v>116</v>
      </c>
    </row>
    <row r="70" spans="2:17" x14ac:dyDescent="0.25">
      <c r="B70" t="s">
        <v>141</v>
      </c>
      <c r="C70" s="146">
        <v>1.9</v>
      </c>
      <c r="D70" s="146"/>
      <c r="E70" s="146"/>
      <c r="F70" s="146"/>
      <c r="G70" s="146"/>
    </row>
    <row r="71" spans="2:17" x14ac:dyDescent="0.25">
      <c r="B71" t="s">
        <v>117</v>
      </c>
      <c r="C71" s="145"/>
      <c r="D71" s="145">
        <v>1769.8</v>
      </c>
      <c r="E71" s="146">
        <v>827.3</v>
      </c>
      <c r="F71" s="145">
        <v>3935.8</v>
      </c>
      <c r="G71" s="145">
        <v>15632.4</v>
      </c>
      <c r="H71" s="41"/>
      <c r="I71" s="41"/>
      <c r="J71" s="41"/>
      <c r="K71" s="41"/>
      <c r="L71" s="41"/>
      <c r="M71" s="41"/>
      <c r="N71" s="41"/>
      <c r="O71" s="41"/>
      <c r="P71" s="41"/>
      <c r="Q71" s="41"/>
    </row>
    <row r="72" spans="2:17" x14ac:dyDescent="0.25">
      <c r="B72" t="s">
        <v>118</v>
      </c>
      <c r="C72" s="145">
        <v>-2169.8000000000002</v>
      </c>
      <c r="D72" s="145">
        <v>-4681.2</v>
      </c>
      <c r="E72" s="146"/>
      <c r="F72" s="146">
        <v>-56.5</v>
      </c>
      <c r="G72" s="146">
        <v>-171.7</v>
      </c>
      <c r="H72" s="28"/>
      <c r="I72" s="28"/>
      <c r="J72" s="28"/>
      <c r="K72" s="28"/>
      <c r="L72" s="28"/>
      <c r="M72" s="28"/>
      <c r="N72" s="28"/>
      <c r="O72" s="28"/>
      <c r="P72" s="28"/>
      <c r="Q72" s="28"/>
    </row>
    <row r="73" spans="2:17" x14ac:dyDescent="0.25">
      <c r="B73" t="s">
        <v>119</v>
      </c>
      <c r="C73" s="145">
        <v>-13129.7</v>
      </c>
      <c r="D73" s="145">
        <v>-6678.2</v>
      </c>
      <c r="E73" s="145">
        <v>-26366.6</v>
      </c>
      <c r="F73" s="145">
        <v>20696.8</v>
      </c>
      <c r="G73" s="146">
        <v>-847.6</v>
      </c>
    </row>
    <row r="74" spans="2:17" x14ac:dyDescent="0.25">
      <c r="B74" t="s">
        <v>120</v>
      </c>
      <c r="C74" s="145">
        <v>-1266.0999999999999</v>
      </c>
      <c r="D74" s="146">
        <v>-493.5</v>
      </c>
      <c r="E74" s="146">
        <v>-185</v>
      </c>
      <c r="F74" s="145">
        <v>-1112</v>
      </c>
      <c r="G74" s="145">
        <v>-2506.5</v>
      </c>
      <c r="H74" s="50">
        <f>SUM(Balance_sheet!H56:H61)-SUM(Balance_sheet!G56:G61)</f>
        <v>-11553.836096076378</v>
      </c>
      <c r="I74" s="50">
        <f>SUM(Balance_sheet!I56:I61)-SUM(Balance_sheet!H56:H61)</f>
        <v>1496.1984338387047</v>
      </c>
      <c r="J74" s="50">
        <f>SUM(Balance_sheet!J56:J61)-SUM(Balance_sheet!I56:I61)</f>
        <v>1711.89593856188</v>
      </c>
      <c r="K74" s="50">
        <f>SUM(Balance_sheet!K56:K61)-SUM(Balance_sheet!J56:J61)</f>
        <v>1968.3905940107215</v>
      </c>
      <c r="L74" s="50">
        <f>SUM(Balance_sheet!L56:L61)-SUM(Balance_sheet!K56:K61)</f>
        <v>2274.2756540057526</v>
      </c>
      <c r="M74" s="50">
        <f>SUM(Balance_sheet!M56:M61)-SUM(Balance_sheet!L56:L61)</f>
        <v>2640.0323143103597</v>
      </c>
      <c r="N74" s="50">
        <f>SUM(Balance_sheet!N56:N61)-SUM(Balance_sheet!M56:M61)</f>
        <v>3078.4520047127262</v>
      </c>
      <c r="O74" s="50">
        <f>SUM(Balance_sheet!O56:O61)-SUM(Balance_sheet!N56:N61)</f>
        <v>3605.1539384618336</v>
      </c>
      <c r="P74" s="50">
        <f>SUM(Balance_sheet!P56:P61)-SUM(Balance_sheet!O56:O61)</f>
        <v>4239.2194978569314</v>
      </c>
      <c r="Q74" s="50">
        <f>SUM(Balance_sheet!Q56:Q61)-SUM(Balance_sheet!P56:P61)</f>
        <v>5003.9699339291838</v>
      </c>
    </row>
    <row r="75" spans="2:17" x14ac:dyDescent="0.25">
      <c r="B75" t="s">
        <v>121</v>
      </c>
      <c r="C75" s="145">
        <v>-1024.0999999999999</v>
      </c>
      <c r="D75" s="145">
        <v>-1223.2</v>
      </c>
      <c r="E75" s="145">
        <v>-1331.4</v>
      </c>
      <c r="F75" s="146">
        <v>-924.7</v>
      </c>
      <c r="G75" s="145">
        <v>-1466</v>
      </c>
      <c r="H75" s="52"/>
      <c r="I75" s="52"/>
      <c r="J75" s="52"/>
      <c r="K75" s="52"/>
      <c r="L75" s="52"/>
      <c r="M75" s="52"/>
      <c r="N75" s="52"/>
      <c r="O75" s="52"/>
      <c r="P75" s="52"/>
      <c r="Q75" s="52"/>
    </row>
    <row r="76" spans="2:17" x14ac:dyDescent="0.25">
      <c r="B76" t="s">
        <v>122</v>
      </c>
      <c r="C76" s="145">
        <v>-1756.1</v>
      </c>
      <c r="D76" s="145">
        <v>-2343.1</v>
      </c>
      <c r="E76" s="145">
        <v>-2637</v>
      </c>
      <c r="F76" s="145">
        <v>-4395.3</v>
      </c>
      <c r="G76" s="145">
        <v>-2636.4</v>
      </c>
      <c r="H76" s="52">
        <f>'Income Statement'!H39</f>
        <v>-3806.1397040438314</v>
      </c>
      <c r="I76" s="52">
        <f>'Income Statement'!I39</f>
        <v>-3743.5428208273606</v>
      </c>
      <c r="J76" s="52">
        <f>'Income Statement'!J39</f>
        <v>-4116.7533299680645</v>
      </c>
      <c r="K76" s="52">
        <f>'Income Statement'!K39</f>
        <v>-4542.7657395355909</v>
      </c>
      <c r="L76" s="52">
        <f>'Income Statement'!L39</f>
        <v>-5035.0546736123288</v>
      </c>
      <c r="M76" s="52">
        <f>'Income Statement'!M39</f>
        <v>-5609.3998721407888</v>
      </c>
      <c r="N76" s="52">
        <f>'Income Statement'!N39</f>
        <v>-6284.5568705913993</v>
      </c>
      <c r="O76" s="52">
        <f>'Income Statement'!O39</f>
        <v>-7083.0427945881256</v>
      </c>
      <c r="P76" s="52">
        <f>'Income Statement'!P39</f>
        <v>-8032.0719830068383</v>
      </c>
      <c r="Q76" s="52">
        <f>'Income Statement'!Q39</f>
        <v>-9164.6820168107697</v>
      </c>
    </row>
    <row r="77" spans="2:17" x14ac:dyDescent="0.25">
      <c r="B77" t="s">
        <v>140</v>
      </c>
      <c r="C77" s="146">
        <v>-127.9</v>
      </c>
      <c r="D77" s="145"/>
      <c r="E77" s="145"/>
      <c r="F77" s="145"/>
      <c r="G77" s="145"/>
    </row>
    <row r="79" spans="2:17" x14ac:dyDescent="0.25">
      <c r="B79" s="6" t="s">
        <v>123</v>
      </c>
      <c r="C79" s="7">
        <f>SUM(C70:C77)</f>
        <v>-19471.8</v>
      </c>
      <c r="D79" s="7">
        <f t="shared" ref="D79:H79" si="10">SUM(D70:D77)</f>
        <v>-13649.4</v>
      </c>
      <c r="E79" s="7">
        <f t="shared" si="10"/>
        <v>-29692.7</v>
      </c>
      <c r="F79" s="7">
        <f t="shared" si="10"/>
        <v>18144.099999999999</v>
      </c>
      <c r="G79" s="7">
        <f t="shared" si="10"/>
        <v>8004.1999999999989</v>
      </c>
      <c r="H79" s="7">
        <f t="shared" si="10"/>
        <v>-15359.97580012021</v>
      </c>
      <c r="I79" s="7">
        <f t="shared" ref="I79:Q79" si="11">SUM(I70:I77)</f>
        <v>-2247.344386988656</v>
      </c>
      <c r="J79" s="7">
        <f t="shared" si="11"/>
        <v>-2404.8573914061844</v>
      </c>
      <c r="K79" s="7">
        <f t="shared" si="11"/>
        <v>-2574.3751455248694</v>
      </c>
      <c r="L79" s="7">
        <f t="shared" si="11"/>
        <v>-2760.7790196065762</v>
      </c>
      <c r="M79" s="7">
        <f t="shared" si="11"/>
        <v>-2969.3675578304292</v>
      </c>
      <c r="N79" s="7">
        <f t="shared" si="11"/>
        <v>-3206.1048658786731</v>
      </c>
      <c r="O79" s="7">
        <f t="shared" si="11"/>
        <v>-3477.888856126292</v>
      </c>
      <c r="P79" s="7">
        <f t="shared" si="11"/>
        <v>-3792.8524851499069</v>
      </c>
      <c r="Q79" s="7">
        <f t="shared" si="11"/>
        <v>-4160.712082881586</v>
      </c>
    </row>
    <row r="81" spans="2:17" x14ac:dyDescent="0.25">
      <c r="B81" s="6" t="s">
        <v>124</v>
      </c>
      <c r="C81" s="7">
        <f>SUM(C79,C67,C46)</f>
        <v>8664.6000000000131</v>
      </c>
      <c r="D81" s="7">
        <f>SUM(D79,D67,D46)</f>
        <v>25628.000000000004</v>
      </c>
      <c r="E81" s="7">
        <f>SUM(E79,E67,E46)</f>
        <v>-11643.500000000007</v>
      </c>
      <c r="F81" s="7">
        <f>SUM(F79,F67,F46)</f>
        <v>2234.0999999999985</v>
      </c>
      <c r="G81" s="7">
        <f>SUM(G79,G67,G46)</f>
        <v>-10210.099999999999</v>
      </c>
      <c r="H81" s="7">
        <f>SUM(H79,H67,H46)</f>
        <v>64174.225656410097</v>
      </c>
      <c r="I81" s="7">
        <f t="shared" ref="I81:Q81" si="12">SUM(I79,I67,I46)</f>
        <v>19040.516633794105</v>
      </c>
      <c r="J81" s="7">
        <f t="shared" si="12"/>
        <v>20531.10380329064</v>
      </c>
      <c r="K81" s="7">
        <f t="shared" si="12"/>
        <v>22369.521114781419</v>
      </c>
      <c r="L81" s="7">
        <f t="shared" si="12"/>
        <v>24623.707109036492</v>
      </c>
      <c r="M81" s="7">
        <f t="shared" si="12"/>
        <v>27380.164546002416</v>
      </c>
      <c r="N81" s="7">
        <f t="shared" si="12"/>
        <v>30747.56438267151</v>
      </c>
      <c r="O81" s="7">
        <f t="shared" si="12"/>
        <v>34861.333264236768</v>
      </c>
      <c r="P81" s="7">
        <f t="shared" si="12"/>
        <v>39889.412297455041</v>
      </c>
      <c r="Q81" s="7">
        <f t="shared" si="12"/>
        <v>46039.42641488064</v>
      </c>
    </row>
    <row r="82" spans="2:17" x14ac:dyDescent="0.25">
      <c r="B82" t="s">
        <v>125</v>
      </c>
      <c r="C82" s="145">
        <v>18755.8</v>
      </c>
      <c r="D82" s="145">
        <v>27468.2</v>
      </c>
      <c r="E82" s="145">
        <v>53299.1</v>
      </c>
      <c r="F82" s="145">
        <v>41625.1</v>
      </c>
      <c r="G82" s="145">
        <v>43922.7</v>
      </c>
      <c r="H82" s="51">
        <f>G85</f>
        <v>33854.299999999996</v>
      </c>
      <c r="I82" s="51">
        <f t="shared" ref="I82:Q82" si="13">H85</f>
        <v>98028.525656410086</v>
      </c>
      <c r="J82" s="51">
        <f t="shared" si="13"/>
        <v>117069.04229020419</v>
      </c>
      <c r="K82" s="51">
        <f t="shared" si="13"/>
        <v>137600.14609349484</v>
      </c>
      <c r="L82" s="51">
        <f t="shared" si="13"/>
        <v>159969.66720827625</v>
      </c>
      <c r="M82" s="51">
        <f t="shared" si="13"/>
        <v>184593.37431731273</v>
      </c>
      <c r="N82" s="51">
        <f t="shared" si="13"/>
        <v>211973.53886331513</v>
      </c>
      <c r="O82" s="51">
        <f t="shared" si="13"/>
        <v>242721.10324598663</v>
      </c>
      <c r="P82" s="51">
        <f t="shared" si="13"/>
        <v>277582.43651022337</v>
      </c>
      <c r="Q82" s="51">
        <f t="shared" si="13"/>
        <v>317471.84880767844</v>
      </c>
    </row>
    <row r="83" spans="2:17" x14ac:dyDescent="0.25">
      <c r="B83" t="s">
        <v>126</v>
      </c>
      <c r="C83" s="146"/>
      <c r="D83" s="146">
        <v>224.1</v>
      </c>
      <c r="E83" s="146">
        <v>-32.5</v>
      </c>
      <c r="F83" s="146"/>
      <c r="G83" s="146"/>
    </row>
    <row r="84" spans="2:17" x14ac:dyDescent="0.25">
      <c r="B84" t="s">
        <v>127</v>
      </c>
      <c r="C84" s="146">
        <v>47.8</v>
      </c>
      <c r="D84" s="146">
        <v>-21.2</v>
      </c>
      <c r="E84" s="146">
        <v>2</v>
      </c>
      <c r="F84" s="146">
        <v>-0.6</v>
      </c>
      <c r="G84" s="146">
        <v>141.69999999999999</v>
      </c>
    </row>
    <row r="85" spans="2:17" ht="15.75" thickBot="1" x14ac:dyDescent="0.3">
      <c r="B85" s="8" t="s">
        <v>128</v>
      </c>
      <c r="C85" s="9">
        <f t="shared" ref="C85:E85" si="14">SUM(C81:C84)</f>
        <v>27468.200000000012</v>
      </c>
      <c r="D85" s="9">
        <f t="shared" si="14"/>
        <v>53299.100000000006</v>
      </c>
      <c r="E85" s="9">
        <f t="shared" si="14"/>
        <v>41625.099999999991</v>
      </c>
      <c r="F85" s="9">
        <f>SUM(F81:F84)</f>
        <v>43858.6</v>
      </c>
      <c r="G85" s="9">
        <f t="shared" ref="G85:H85" si="15">SUM(G81:G84)</f>
        <v>33854.299999999996</v>
      </c>
      <c r="H85" s="9">
        <f t="shared" si="15"/>
        <v>98028.525656410086</v>
      </c>
      <c r="I85" s="9">
        <f t="shared" ref="I85:Q85" si="16">SUM(I81:I84)</f>
        <v>117069.04229020419</v>
      </c>
      <c r="J85" s="9">
        <f t="shared" si="16"/>
        <v>137600.14609349484</v>
      </c>
      <c r="K85" s="9">
        <f t="shared" si="16"/>
        <v>159969.66720827625</v>
      </c>
      <c r="L85" s="9">
        <f t="shared" si="16"/>
        <v>184593.37431731273</v>
      </c>
      <c r="M85" s="9">
        <f t="shared" si="16"/>
        <v>211973.53886331513</v>
      </c>
      <c r="N85" s="9">
        <f t="shared" si="16"/>
        <v>242721.10324598663</v>
      </c>
      <c r="O85" s="9">
        <f t="shared" si="16"/>
        <v>277582.43651022337</v>
      </c>
      <c r="P85" s="9">
        <f t="shared" si="16"/>
        <v>317471.84880767844</v>
      </c>
      <c r="Q85" s="9">
        <f t="shared" si="16"/>
        <v>363511.27522255911</v>
      </c>
    </row>
    <row r="87" spans="2:17" x14ac:dyDescent="0.25">
      <c r="H87" s="3"/>
      <c r="I87" s="3"/>
      <c r="J87" s="3"/>
      <c r="K87" s="3"/>
      <c r="L87" s="3"/>
      <c r="M87" s="3"/>
      <c r="N87" s="3"/>
      <c r="O87" s="3"/>
      <c r="P87" s="3"/>
      <c r="Q87" s="3"/>
    </row>
    <row r="90" spans="2:17" x14ac:dyDescent="0.25">
      <c r="H90" s="3"/>
    </row>
  </sheetData>
  <mergeCells count="1">
    <mergeCell ref="B6:Q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Q65"/>
  <sheetViews>
    <sheetView showGridLines="0" workbookViewId="0">
      <selection activeCell="B6" sqref="B6:Q6"/>
    </sheetView>
  </sheetViews>
  <sheetFormatPr defaultRowHeight="15" x14ac:dyDescent="0.25"/>
  <cols>
    <col min="1" max="1" width="1.85546875" customWidth="1"/>
    <col min="2" max="2" width="26.28515625" bestFit="1" customWidth="1"/>
  </cols>
  <sheetData>
    <row r="6" spans="2:17" x14ac:dyDescent="0.25">
      <c r="B6" s="131" t="s">
        <v>269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8" spans="2:17" x14ac:dyDescent="0.25">
      <c r="B8" s="126" t="s">
        <v>0</v>
      </c>
      <c r="C8" s="126">
        <v>2020</v>
      </c>
      <c r="D8" s="126">
        <f>C8+1</f>
        <v>2021</v>
      </c>
      <c r="E8" s="126">
        <f t="shared" ref="E8:Q8" si="0">D8+1</f>
        <v>2022</v>
      </c>
      <c r="F8" s="126">
        <f t="shared" si="0"/>
        <v>2023</v>
      </c>
      <c r="G8" s="126">
        <f t="shared" si="0"/>
        <v>2024</v>
      </c>
      <c r="H8" s="127">
        <f t="shared" si="0"/>
        <v>2025</v>
      </c>
      <c r="I8" s="127">
        <f t="shared" si="0"/>
        <v>2026</v>
      </c>
      <c r="J8" s="127">
        <f t="shared" si="0"/>
        <v>2027</v>
      </c>
      <c r="K8" s="127">
        <f t="shared" si="0"/>
        <v>2028</v>
      </c>
      <c r="L8" s="127">
        <f t="shared" si="0"/>
        <v>2029</v>
      </c>
      <c r="M8" s="127">
        <f t="shared" si="0"/>
        <v>2030</v>
      </c>
      <c r="N8" s="127">
        <f t="shared" si="0"/>
        <v>2031</v>
      </c>
      <c r="O8" s="127">
        <f t="shared" si="0"/>
        <v>2032</v>
      </c>
      <c r="P8" s="127">
        <f t="shared" si="0"/>
        <v>2033</v>
      </c>
      <c r="Q8" s="127">
        <f t="shared" si="0"/>
        <v>2034</v>
      </c>
    </row>
    <row r="10" spans="2:17" x14ac:dyDescent="0.25">
      <c r="B10" s="1" t="s">
        <v>22</v>
      </c>
    </row>
    <row r="11" spans="2:17" x14ac:dyDescent="0.25">
      <c r="B11" s="25" t="s">
        <v>30</v>
      </c>
      <c r="C11" s="51">
        <f>Balance_sheet!C19</f>
        <v>1450.8</v>
      </c>
      <c r="D11" s="51">
        <f>Balance_sheet!D19</f>
        <v>3365.2</v>
      </c>
      <c r="E11" s="51">
        <f>Balance_sheet!E19</f>
        <v>5389.5</v>
      </c>
      <c r="F11" s="51">
        <f>Balance_sheet!F19</f>
        <v>3017.4</v>
      </c>
      <c r="G11" s="51">
        <f>Balance_sheet!G19</f>
        <v>2268.6999999999998</v>
      </c>
      <c r="H11" s="27">
        <f>H12*'Revenue Build_up'!H$10</f>
        <v>3918.8579142227613</v>
      </c>
      <c r="I11" s="27">
        <f>I12*'Revenue Build_up'!I$10</f>
        <v>4233.0471980453367</v>
      </c>
      <c r="J11" s="27">
        <f>J12*'Revenue Build_up'!J$10</f>
        <v>4592.531172063128</v>
      </c>
      <c r="K11" s="27">
        <f>K12*'Revenue Build_up'!K$10</f>
        <v>5005.8769001619121</v>
      </c>
      <c r="L11" s="27">
        <f>L12*'Revenue Build_up'!L$10</f>
        <v>5483.4559583847595</v>
      </c>
      <c r="M11" s="27">
        <f>M12*'Revenue Build_up'!M$10</f>
        <v>6037.8408871094252</v>
      </c>
      <c r="N11" s="27">
        <f>N12*'Revenue Build_up'!N$10</f>
        <v>6684.2903210667464</v>
      </c>
      <c r="O11" s="27">
        <f>O12*'Revenue Build_up'!O$10</f>
        <v>7441.342800455699</v>
      </c>
      <c r="P11" s="27">
        <f>P12*'Revenue Build_up'!P$10</f>
        <v>8331.5437977800611</v>
      </c>
      <c r="Q11" s="27">
        <f>Q12*'Revenue Build_up'!Q$10</f>
        <v>9382.3360551795249</v>
      </c>
    </row>
    <row r="12" spans="2:17" x14ac:dyDescent="0.25">
      <c r="B12" s="149" t="s">
        <v>155</v>
      </c>
      <c r="C12" s="150">
        <f>C11/'Revenue Build_up'!C$10</f>
        <v>6.2809246137521422E-3</v>
      </c>
      <c r="D12" s="150">
        <f>D11/'Revenue Build_up'!D$10</f>
        <v>1.3583255767394211E-2</v>
      </c>
      <c r="E12" s="150">
        <f>E11/'Revenue Build_up'!E$10</f>
        <v>2.2977563035349081E-2</v>
      </c>
      <c r="F12" s="150">
        <f>F11/'Revenue Build_up'!F$10</f>
        <v>1.2139826468152972E-2</v>
      </c>
      <c r="G12" s="150">
        <f>G11/'Revenue Build_up'!G$10</f>
        <v>7.8225990255111118E-3</v>
      </c>
      <c r="H12" s="151">
        <f>AVERAGE(C12:G12)</f>
        <v>1.2560833782031905E-2</v>
      </c>
      <c r="I12" s="151">
        <f>H12</f>
        <v>1.2560833782031905E-2</v>
      </c>
      <c r="J12" s="151">
        <f t="shared" ref="J12:Q12" si="1">I12</f>
        <v>1.2560833782031905E-2</v>
      </c>
      <c r="K12" s="151">
        <f t="shared" si="1"/>
        <v>1.2560833782031905E-2</v>
      </c>
      <c r="L12" s="151">
        <f t="shared" si="1"/>
        <v>1.2560833782031905E-2</v>
      </c>
      <c r="M12" s="151">
        <f t="shared" si="1"/>
        <v>1.2560833782031905E-2</v>
      </c>
      <c r="N12" s="151">
        <f t="shared" si="1"/>
        <v>1.2560833782031905E-2</v>
      </c>
      <c r="O12" s="151">
        <f t="shared" si="1"/>
        <v>1.2560833782031905E-2</v>
      </c>
      <c r="P12" s="151">
        <f t="shared" si="1"/>
        <v>1.2560833782031905E-2</v>
      </c>
      <c r="Q12" s="151">
        <f t="shared" si="1"/>
        <v>1.2560833782031905E-2</v>
      </c>
    </row>
    <row r="13" spans="2:17" x14ac:dyDescent="0.25">
      <c r="B13" t="str">
        <f>Balance_sheet!B20</f>
        <v>Loans</v>
      </c>
      <c r="C13" s="62">
        <f>Balance_sheet!C20</f>
        <v>58.4</v>
      </c>
      <c r="D13" s="62">
        <f>Balance_sheet!D20</f>
        <v>72.599999999999994</v>
      </c>
      <c r="E13" s="62">
        <f>Balance_sheet!E20</f>
        <v>63.2</v>
      </c>
      <c r="F13" s="62">
        <f>Balance_sheet!F20</f>
        <v>55.7</v>
      </c>
      <c r="G13" s="62">
        <f>Balance_sheet!G20</f>
        <v>58.3</v>
      </c>
      <c r="H13" s="27">
        <f>H14*'Revenue Build_up'!H$10</f>
        <v>77.400815917459738</v>
      </c>
      <c r="I13" s="27">
        <f>I14*'Revenue Build_up'!I$10</f>
        <v>83.60632462756891</v>
      </c>
      <c r="J13" s="27">
        <f>J14*'Revenue Build_up'!J$10</f>
        <v>90.706442444355446</v>
      </c>
      <c r="K13" s="27">
        <f>K14*'Revenue Build_up'!K$10</f>
        <v>98.870376251378332</v>
      </c>
      <c r="L13" s="27">
        <f>L14*'Revenue Build_up'!L$10</f>
        <v>108.30297360005555</v>
      </c>
      <c r="M13" s="27">
        <f>M14*'Revenue Build_up'!M$10</f>
        <v>119.25255298130811</v>
      </c>
      <c r="N13" s="27">
        <f>N14*'Revenue Build_up'!N$10</f>
        <v>132.02048556086947</v>
      </c>
      <c r="O13" s="27">
        <f>O14*'Revenue Build_up'!O$10</f>
        <v>146.97292345977257</v>
      </c>
      <c r="P13" s="27">
        <f>P14*'Revenue Build_up'!P$10</f>
        <v>164.55515915996833</v>
      </c>
      <c r="Q13" s="27">
        <f>Q14*'Revenue Build_up'!Q$10</f>
        <v>185.30921043273526</v>
      </c>
    </row>
    <row r="14" spans="2:17" x14ac:dyDescent="0.25">
      <c r="B14" s="149" t="s">
        <v>155</v>
      </c>
      <c r="C14" s="150">
        <f>C13/'Revenue Build_up'!C$10</f>
        <v>2.5283016090648269E-4</v>
      </c>
      <c r="D14" s="150">
        <f>D13/'Revenue Build_up'!D$10</f>
        <v>2.9304183071223692E-4</v>
      </c>
      <c r="E14" s="150">
        <f>E13/'Revenue Build_up'!E$10</f>
        <v>2.6944651337490716E-4</v>
      </c>
      <c r="F14" s="150">
        <f>F13/'Revenue Build_up'!F$10</f>
        <v>2.2409635258040716E-4</v>
      </c>
      <c r="G14" s="150">
        <f>G13/'Revenue Build_up'!G$10</f>
        <v>2.0102152033644725E-4</v>
      </c>
      <c r="H14" s="151">
        <f>AVERAGE(C14:G14)</f>
        <v>2.4808727558209623E-4</v>
      </c>
      <c r="I14" s="151">
        <f t="shared" ref="I14:Q65" si="2">H14</f>
        <v>2.4808727558209623E-4</v>
      </c>
      <c r="J14" s="151">
        <f t="shared" si="2"/>
        <v>2.4808727558209623E-4</v>
      </c>
      <c r="K14" s="151">
        <f t="shared" si="2"/>
        <v>2.4808727558209623E-4</v>
      </c>
      <c r="L14" s="151">
        <f t="shared" si="2"/>
        <v>2.4808727558209623E-4</v>
      </c>
      <c r="M14" s="151">
        <f t="shared" si="2"/>
        <v>2.4808727558209623E-4</v>
      </c>
      <c r="N14" s="151">
        <f t="shared" si="2"/>
        <v>2.4808727558209623E-4</v>
      </c>
      <c r="O14" s="151">
        <f t="shared" si="2"/>
        <v>2.4808727558209623E-4</v>
      </c>
      <c r="P14" s="151">
        <f t="shared" si="2"/>
        <v>2.4808727558209623E-4</v>
      </c>
      <c r="Q14" s="151">
        <f t="shared" si="2"/>
        <v>2.4808727558209623E-4</v>
      </c>
    </row>
    <row r="15" spans="2:17" x14ac:dyDescent="0.25">
      <c r="B15" t="str">
        <f>Balance_sheet!B21</f>
        <v>Other financial assets</v>
      </c>
      <c r="C15" s="51">
        <f>Balance_sheet!C21</f>
        <v>1170.3</v>
      </c>
      <c r="D15" s="51">
        <f>Balance_sheet!D21</f>
        <v>1433</v>
      </c>
      <c r="E15" s="51">
        <f>Balance_sheet!E21</f>
        <v>1289.2</v>
      </c>
      <c r="F15" s="51">
        <f>Balance_sheet!F21</f>
        <v>1503.7</v>
      </c>
      <c r="G15" s="51">
        <f>Balance_sheet!G21</f>
        <v>3510</v>
      </c>
      <c r="H15" s="27">
        <f>H16*'Revenue Build_up'!H$10</f>
        <v>2152.7040505164505</v>
      </c>
      <c r="I15" s="27">
        <f>I16*'Revenue Build_up'!I$10</f>
        <v>2325.2942690745181</v>
      </c>
      <c r="J15" s="27">
        <f>J16*'Revenue Build_up'!J$10</f>
        <v>2522.7657324198108</v>
      </c>
      <c r="K15" s="27">
        <f>K16*'Revenue Build_up'!K$10</f>
        <v>2749.8244935737998</v>
      </c>
      <c r="L15" s="27">
        <f>L16*'Revenue Build_up'!L$10</f>
        <v>3012.1678588044979</v>
      </c>
      <c r="M15" s="27">
        <f>M16*'Revenue Build_up'!M$10</f>
        <v>3316.7021664351837</v>
      </c>
      <c r="N15" s="27">
        <f>N16*'Revenue Build_up'!N$10</f>
        <v>3671.8092780973311</v>
      </c>
      <c r="O15" s="27">
        <f>O16*'Revenue Build_up'!O$10</f>
        <v>4087.6727706009488</v>
      </c>
      <c r="P15" s="27">
        <f>P16*'Revenue Build_up'!P$10</f>
        <v>4576.6773057638447</v>
      </c>
      <c r="Q15" s="27">
        <f>Q16*'Revenue Build_up'!Q$10</f>
        <v>5153.8977098375626</v>
      </c>
    </row>
    <row r="16" spans="2:17" x14ac:dyDescent="0.25">
      <c r="B16" s="149" t="s">
        <v>155</v>
      </c>
      <c r="C16" s="150">
        <f>C15/'Revenue Build_up'!C$10</f>
        <v>5.0665605703571351E-3</v>
      </c>
      <c r="D16" s="150">
        <f>D15/'Revenue Build_up'!D$10</f>
        <v>5.7841452260418121E-3</v>
      </c>
      <c r="E16" s="150">
        <f>E15/'Revenue Build_up'!E$10</f>
        <v>5.4963678013121879E-3</v>
      </c>
      <c r="F16" s="150">
        <f>F15/'Revenue Build_up'!F$10</f>
        <v>6.0497968649040976E-3</v>
      </c>
      <c r="G16" s="150">
        <f>G15/'Revenue Build_up'!G$10</f>
        <v>1.2102667862451628E-2</v>
      </c>
      <c r="H16" s="151">
        <f>AVERAGE(C16:G16)</f>
        <v>6.8999076650133719E-3</v>
      </c>
      <c r="I16" s="151">
        <f t="shared" si="2"/>
        <v>6.8999076650133719E-3</v>
      </c>
      <c r="J16" s="151">
        <f t="shared" si="2"/>
        <v>6.8999076650133719E-3</v>
      </c>
      <c r="K16" s="151">
        <f t="shared" si="2"/>
        <v>6.8999076650133719E-3</v>
      </c>
      <c r="L16" s="151">
        <f t="shared" si="2"/>
        <v>6.8999076650133719E-3</v>
      </c>
      <c r="M16" s="151">
        <f t="shared" si="2"/>
        <v>6.8999076650133719E-3</v>
      </c>
      <c r="N16" s="151">
        <f t="shared" si="2"/>
        <v>6.8999076650133719E-3</v>
      </c>
      <c r="O16" s="151">
        <f t="shared" si="2"/>
        <v>6.8999076650133719E-3</v>
      </c>
      <c r="P16" s="151">
        <f t="shared" si="2"/>
        <v>6.8999076650133719E-3</v>
      </c>
      <c r="Q16" s="151">
        <f t="shared" si="2"/>
        <v>6.8999076650133719E-3</v>
      </c>
    </row>
    <row r="17" spans="2:17" x14ac:dyDescent="0.25">
      <c r="B17" t="str">
        <f>Balance_sheet!B22</f>
        <v>Deferred tax assets (net</v>
      </c>
      <c r="C17" s="51">
        <f>Balance_sheet!C22</f>
        <v>1632</v>
      </c>
      <c r="D17" s="51">
        <f>Balance_sheet!D22</f>
        <v>4526.8</v>
      </c>
      <c r="E17" s="51">
        <f>Balance_sheet!E22</f>
        <v>2885.9</v>
      </c>
      <c r="F17" s="51">
        <f>Balance_sheet!F22</f>
        <v>6774.9</v>
      </c>
      <c r="G17" s="51">
        <f>Balance_sheet!G22</f>
        <v>12126.4</v>
      </c>
      <c r="H17" s="27">
        <f>H18*'Revenue Build_up'!H$10</f>
        <v>6658.5462024721364</v>
      </c>
      <c r="I17" s="27">
        <f>I18*'Revenue Build_up'!I$10</f>
        <v>7192.386394805103</v>
      </c>
      <c r="J17" s="27">
        <f>J18*'Revenue Build_up'!J$10</f>
        <v>7803.1869653893245</v>
      </c>
      <c r="K17" s="27">
        <f>K18*'Revenue Build_up'!K$10</f>
        <v>8505.5042446536099</v>
      </c>
      <c r="L17" s="27">
        <f>L18*'Revenue Build_up'!L$10</f>
        <v>9316.9606164115157</v>
      </c>
      <c r="M17" s="27">
        <f>M18*'Revenue Build_up'!M$10</f>
        <v>10258.918131245156</v>
      </c>
      <c r="N17" s="27">
        <f>N18*'Revenue Build_up'!N$10</f>
        <v>11357.302792741741</v>
      </c>
      <c r="O17" s="27">
        <f>O18*'Revenue Build_up'!O$10</f>
        <v>12643.613504189721</v>
      </c>
      <c r="P17" s="27">
        <f>P18*'Revenue Build_up'!P$10</f>
        <v>14156.157362607883</v>
      </c>
      <c r="Q17" s="27">
        <f>Q18*'Revenue Build_up'!Q$10</f>
        <v>15941.562434249015</v>
      </c>
    </row>
    <row r="18" spans="2:17" x14ac:dyDescent="0.25">
      <c r="B18" s="149" t="s">
        <v>155</v>
      </c>
      <c r="C18" s="150">
        <f>C17/'Revenue Build_up'!C$10</f>
        <v>7.0653907979345851E-3</v>
      </c>
      <c r="D18" s="150">
        <f>D17/'Revenue Build_up'!D$10</f>
        <v>1.8271925058790002E-2</v>
      </c>
      <c r="E18" s="150">
        <f>E17/'Revenue Build_up'!E$10</f>
        <v>1.2303729318807665E-2</v>
      </c>
      <c r="F18" s="150">
        <f>F17/'Revenue Build_up'!F$10</f>
        <v>2.725727790120288E-2</v>
      </c>
      <c r="G18" s="150">
        <f>G17/'Revenue Build_up'!G$10</f>
        <v>4.1812476229981028E-2</v>
      </c>
      <c r="H18" s="151">
        <f>AVERAGE(C18:G18)</f>
        <v>2.1342159861343229E-2</v>
      </c>
      <c r="I18" s="151">
        <f t="shared" si="2"/>
        <v>2.1342159861343229E-2</v>
      </c>
      <c r="J18" s="151">
        <f t="shared" si="2"/>
        <v>2.1342159861343229E-2</v>
      </c>
      <c r="K18" s="151">
        <f t="shared" si="2"/>
        <v>2.1342159861343229E-2</v>
      </c>
      <c r="L18" s="151">
        <f t="shared" si="2"/>
        <v>2.1342159861343229E-2</v>
      </c>
      <c r="M18" s="151">
        <f t="shared" si="2"/>
        <v>2.1342159861343229E-2</v>
      </c>
      <c r="N18" s="151">
        <f t="shared" si="2"/>
        <v>2.1342159861343229E-2</v>
      </c>
      <c r="O18" s="151">
        <f t="shared" si="2"/>
        <v>2.1342159861343229E-2</v>
      </c>
      <c r="P18" s="151">
        <f t="shared" si="2"/>
        <v>2.1342159861343229E-2</v>
      </c>
      <c r="Q18" s="151">
        <f t="shared" si="2"/>
        <v>2.1342159861343229E-2</v>
      </c>
    </row>
    <row r="19" spans="2:17" x14ac:dyDescent="0.25">
      <c r="B19" t="str">
        <f>Balance_sheet!B23</f>
        <v>Non-current tax assets (net)</v>
      </c>
      <c r="C19" s="62">
        <f>Balance_sheet!C23</f>
        <v>845.3</v>
      </c>
      <c r="D19" s="62">
        <f>Balance_sheet!D23</f>
        <v>1282.5999999999999</v>
      </c>
      <c r="E19" s="62">
        <f>Balance_sheet!E23</f>
        <v>3189.7</v>
      </c>
      <c r="F19" s="62">
        <f>Balance_sheet!F23</f>
        <v>2885.2</v>
      </c>
      <c r="G19" s="62">
        <f>Balance_sheet!G23</f>
        <v>3832.9</v>
      </c>
      <c r="H19" s="27">
        <f>H20*'Revenue Build_up'!H$10</f>
        <v>2948.9044603334569</v>
      </c>
      <c r="I19" s="27">
        <f>I20*'Revenue Build_up'!I$10</f>
        <v>3185.3290005268523</v>
      </c>
      <c r="J19" s="27">
        <f>J20*'Revenue Build_up'!J$10</f>
        <v>3455.837377610922</v>
      </c>
      <c r="K19" s="27">
        <f>K20*'Revenue Build_up'!K$10</f>
        <v>3766.8762281970726</v>
      </c>
      <c r="L19" s="27">
        <f>L20*'Revenue Build_up'!L$10</f>
        <v>4126.2500676628815</v>
      </c>
      <c r="M19" s="27">
        <f>M20*'Revenue Build_up'!M$10</f>
        <v>4543.4196167614873</v>
      </c>
      <c r="N19" s="27">
        <f>N20*'Revenue Build_up'!N$10</f>
        <v>5029.8668574889862</v>
      </c>
      <c r="O19" s="27">
        <f>O20*'Revenue Build_up'!O$10</f>
        <v>5599.5418704753538</v>
      </c>
      <c r="P19" s="27">
        <f>P20*'Revenue Build_up'!P$10</f>
        <v>6269.4099159780326</v>
      </c>
      <c r="Q19" s="27">
        <f>Q20*'Revenue Build_up'!Q$10</f>
        <v>7060.1214045173429</v>
      </c>
    </row>
    <row r="20" spans="2:17" x14ac:dyDescent="0.25">
      <c r="B20" s="149" t="s">
        <v>155</v>
      </c>
      <c r="C20" s="150">
        <f>C19/'Revenue Build_up'!C$10</f>
        <v>3.6595434077782503E-3</v>
      </c>
      <c r="D20" s="150">
        <f>D19/'Revenue Build_up'!D$10</f>
        <v>5.1770723425828523E-3</v>
      </c>
      <c r="E20" s="150">
        <f>E19/'Revenue Build_up'!E$10</f>
        <v>1.3598948476454766E-2</v>
      </c>
      <c r="F20" s="150">
        <f>F19/'Revenue Build_up'!F$10</f>
        <v>1.1607949667235022E-2</v>
      </c>
      <c r="G20" s="150">
        <f>G19/'Revenue Build_up'!G$10</f>
        <v>1.3216044344726736E-2</v>
      </c>
      <c r="H20" s="151">
        <f>AVERAGE(C20:G20)</f>
        <v>9.4519116477555266E-3</v>
      </c>
      <c r="I20" s="151">
        <f t="shared" si="2"/>
        <v>9.4519116477555266E-3</v>
      </c>
      <c r="J20" s="151">
        <f t="shared" si="2"/>
        <v>9.4519116477555266E-3</v>
      </c>
      <c r="K20" s="151">
        <f t="shared" si="2"/>
        <v>9.4519116477555266E-3</v>
      </c>
      <c r="L20" s="151">
        <f t="shared" si="2"/>
        <v>9.4519116477555266E-3</v>
      </c>
      <c r="M20" s="151">
        <f t="shared" si="2"/>
        <v>9.4519116477555266E-3</v>
      </c>
      <c r="N20" s="151">
        <f t="shared" si="2"/>
        <v>9.4519116477555266E-3</v>
      </c>
      <c r="O20" s="151">
        <f t="shared" si="2"/>
        <v>9.4519116477555266E-3</v>
      </c>
      <c r="P20" s="151">
        <f t="shared" si="2"/>
        <v>9.4519116477555266E-3</v>
      </c>
      <c r="Q20" s="151">
        <f t="shared" si="2"/>
        <v>9.4519116477555266E-3</v>
      </c>
    </row>
    <row r="21" spans="2:17" x14ac:dyDescent="0.25">
      <c r="B21" t="str">
        <f>Balance_sheet!B24</f>
        <v>Other non-current asset</v>
      </c>
      <c r="C21" s="51">
        <f>Balance_sheet!C24</f>
        <v>2075.5</v>
      </c>
      <c r="D21" s="51">
        <f>Balance_sheet!D24</f>
        <v>4326.5</v>
      </c>
      <c r="E21" s="51">
        <f>Balance_sheet!E24</f>
        <v>1586.4</v>
      </c>
      <c r="F21" s="51">
        <f>Balance_sheet!F24</f>
        <v>4169.3</v>
      </c>
      <c r="G21" s="51">
        <f>Balance_sheet!G24</f>
        <v>2299.6</v>
      </c>
      <c r="H21" s="27">
        <f>H22*'Revenue Build_up'!H$10</f>
        <v>3613.8264980627537</v>
      </c>
      <c r="I21" s="27">
        <f>I22*'Revenue Build_up'!I$10</f>
        <v>3903.5602889115021</v>
      </c>
      <c r="J21" s="27">
        <f>J22*'Revenue Build_up'!J$10</f>
        <v>4235.0631755610821</v>
      </c>
      <c r="K21" s="27">
        <f>K22*'Revenue Build_up'!K$10</f>
        <v>4616.2353889355727</v>
      </c>
      <c r="L21" s="27">
        <f>L22*'Revenue Build_up'!L$10</f>
        <v>5056.6412146384628</v>
      </c>
      <c r="M21" s="27">
        <f>M22*'Revenue Build_up'!M$10</f>
        <v>5567.8745865554893</v>
      </c>
      <c r="N21" s="27">
        <f>N22*'Revenue Build_up'!N$10</f>
        <v>6164.0064558978283</v>
      </c>
      <c r="O21" s="27">
        <f>O22*'Revenue Build_up'!O$10</f>
        <v>6862.1323819515965</v>
      </c>
      <c r="P21" s="27">
        <f>P22*'Revenue Build_up'!P$10</f>
        <v>7683.0429694615586</v>
      </c>
      <c r="Q21" s="27">
        <f>Q22*'Revenue Build_up'!Q$10</f>
        <v>8652.0449049406361</v>
      </c>
    </row>
    <row r="22" spans="2:17" x14ac:dyDescent="0.25">
      <c r="B22" s="149" t="s">
        <v>155</v>
      </c>
      <c r="C22" s="150">
        <f>C21/'Revenue Build_up'!C$10</f>
        <v>8.9854280644076166E-3</v>
      </c>
      <c r="D22" s="150">
        <f>D21/'Revenue Build_up'!D$10</f>
        <v>1.7463436371577039E-2</v>
      </c>
      <c r="E22" s="150">
        <f>E21/'Revenue Build_up'!E$10</f>
        <v>6.763448557246087E-3</v>
      </c>
      <c r="F22" s="150">
        <f>F21/'Revenue Build_up'!F$10</f>
        <v>1.6774235598087821E-2</v>
      </c>
      <c r="G22" s="150">
        <f>G21/'Revenue Build_up'!G$10</f>
        <v>7.9291438793429522E-3</v>
      </c>
      <c r="H22" s="151">
        <f>AVERAGE(C22:G22)</f>
        <v>1.1583138494132303E-2</v>
      </c>
      <c r="I22" s="151">
        <f t="shared" si="2"/>
        <v>1.1583138494132303E-2</v>
      </c>
      <c r="J22" s="151">
        <f t="shared" si="2"/>
        <v>1.1583138494132303E-2</v>
      </c>
      <c r="K22" s="151">
        <f t="shared" si="2"/>
        <v>1.1583138494132303E-2</v>
      </c>
      <c r="L22" s="151">
        <f t="shared" si="2"/>
        <v>1.1583138494132303E-2</v>
      </c>
      <c r="M22" s="151">
        <f t="shared" si="2"/>
        <v>1.1583138494132303E-2</v>
      </c>
      <c r="N22" s="151">
        <f t="shared" si="2"/>
        <v>1.1583138494132303E-2</v>
      </c>
      <c r="O22" s="151">
        <f t="shared" si="2"/>
        <v>1.1583138494132303E-2</v>
      </c>
      <c r="P22" s="151">
        <f t="shared" si="2"/>
        <v>1.1583138494132303E-2</v>
      </c>
      <c r="Q22" s="151">
        <f t="shared" si="2"/>
        <v>1.1583138494132303E-2</v>
      </c>
    </row>
    <row r="23" spans="2:17" x14ac:dyDescent="0.25">
      <c r="I23" s="19"/>
      <c r="J23" s="19"/>
      <c r="K23" s="19"/>
      <c r="L23" s="19"/>
      <c r="M23" s="19"/>
      <c r="N23" s="19"/>
      <c r="O23" s="19"/>
      <c r="P23" s="19"/>
      <c r="Q23" s="19"/>
    </row>
    <row r="24" spans="2:17" x14ac:dyDescent="0.25">
      <c r="I24" s="19"/>
      <c r="J24" s="19"/>
      <c r="K24" s="19"/>
      <c r="L24" s="19"/>
      <c r="M24" s="19"/>
      <c r="N24" s="19"/>
      <c r="O24" s="19"/>
      <c r="P24" s="19"/>
      <c r="Q24" s="19"/>
    </row>
    <row r="25" spans="2:17" x14ac:dyDescent="0.25">
      <c r="B25" s="1" t="s">
        <v>37</v>
      </c>
      <c r="I25" s="19"/>
      <c r="J25" s="19"/>
      <c r="K25" s="19"/>
      <c r="L25" s="19"/>
      <c r="M25" s="19"/>
      <c r="N25" s="19"/>
      <c r="O25" s="19"/>
      <c r="P25" s="19"/>
      <c r="Q25" s="19"/>
    </row>
    <row r="26" spans="2:17" x14ac:dyDescent="0.25">
      <c r="B26" t="str">
        <f>Balance_sheet!B31</f>
        <v>Investments</v>
      </c>
      <c r="C26" s="62">
        <f>Balance_sheet!C31</f>
        <v>0.2</v>
      </c>
      <c r="D26" s="62">
        <f>Balance_sheet!D31</f>
        <v>1597.9</v>
      </c>
      <c r="E26" s="62">
        <f>Balance_sheet!E31</f>
        <v>3788.5</v>
      </c>
      <c r="F26" s="62">
        <f>Balance_sheet!F31</f>
        <v>1510</v>
      </c>
      <c r="G26" s="62">
        <f>Balance_sheet!G31</f>
        <v>505.8</v>
      </c>
      <c r="H26" s="27">
        <f>H27*'Revenue Build_up'!H$10</f>
        <v>1898.2517232866169</v>
      </c>
      <c r="I26" s="27">
        <f>I27*'Revenue Build_up'!I$10</f>
        <v>2050.4415608639965</v>
      </c>
      <c r="J26" s="27">
        <f>J27*'Revenue Build_up'!J$10</f>
        <v>2224.5716487900177</v>
      </c>
      <c r="K26" s="27">
        <f>K27*'Revenue Build_up'!K$10</f>
        <v>2424.7917786980188</v>
      </c>
      <c r="L26" s="27">
        <f>L27*'Revenue Build_up'!L$10</f>
        <v>2656.1258280869774</v>
      </c>
      <c r="M26" s="27">
        <f>M27*'Revenue Build_up'!M$10</f>
        <v>2924.6637974010405</v>
      </c>
      <c r="N26" s="27">
        <f>N27*'Revenue Build_up'!N$10</f>
        <v>3237.7968016810696</v>
      </c>
      <c r="O26" s="27">
        <f>O27*'Revenue Build_up'!O$10</f>
        <v>3604.504706145502</v>
      </c>
      <c r="P26" s="27">
        <f>P27*'Revenue Build_up'!P$10</f>
        <v>4035.7082900033224</v>
      </c>
      <c r="Q26" s="27">
        <f>Q27*'Revenue Build_up'!Q$10</f>
        <v>4544.7005160765075</v>
      </c>
    </row>
    <row r="27" spans="2:17" x14ac:dyDescent="0.25">
      <c r="B27" s="149" t="s">
        <v>155</v>
      </c>
      <c r="C27" s="150">
        <f>C26/'Revenue Build_up'!C$10</f>
        <v>8.6585671543315999E-7</v>
      </c>
      <c r="D27" s="150">
        <f>D26/'Revenue Build_up'!D$10</f>
        <v>6.4497457478661629E-3</v>
      </c>
      <c r="E27" s="150">
        <f>E26/'Revenue Build_up'!E$10</f>
        <v>1.6151868922798032E-2</v>
      </c>
      <c r="F27" s="150">
        <f>F26/'Revenue Build_up'!F$10</f>
        <v>6.0751434900613065E-3</v>
      </c>
      <c r="G27" s="150">
        <f>G26/'Revenue Build_up'!G$10</f>
        <v>1.7440254714609781E-3</v>
      </c>
      <c r="H27" s="151">
        <f>AVERAGE(C27:G27)</f>
        <v>6.0843298977803825E-3</v>
      </c>
      <c r="I27" s="151">
        <f t="shared" si="2"/>
        <v>6.0843298977803825E-3</v>
      </c>
      <c r="J27" s="151">
        <f t="shared" si="2"/>
        <v>6.0843298977803825E-3</v>
      </c>
      <c r="K27" s="151">
        <f t="shared" si="2"/>
        <v>6.0843298977803825E-3</v>
      </c>
      <c r="L27" s="151">
        <f t="shared" si="2"/>
        <v>6.0843298977803825E-3</v>
      </c>
      <c r="M27" s="151">
        <f t="shared" si="2"/>
        <v>6.0843298977803825E-3</v>
      </c>
      <c r="N27" s="151">
        <f t="shared" si="2"/>
        <v>6.0843298977803825E-3</v>
      </c>
      <c r="O27" s="151">
        <f t="shared" si="2"/>
        <v>6.0843298977803825E-3</v>
      </c>
      <c r="P27" s="151">
        <f t="shared" si="2"/>
        <v>6.0843298977803825E-3</v>
      </c>
      <c r="Q27" s="151">
        <f t="shared" si="2"/>
        <v>6.0843298977803825E-3</v>
      </c>
    </row>
    <row r="28" spans="2:17" x14ac:dyDescent="0.25">
      <c r="B28" t="str">
        <f>Balance_sheet!B35</f>
        <v>Loans</v>
      </c>
      <c r="C28" s="62">
        <f>Balance_sheet!C35</f>
        <v>136.80000000000001</v>
      </c>
      <c r="D28" s="62">
        <f>Balance_sheet!D35</f>
        <v>143.19999999999999</v>
      </c>
      <c r="E28" s="62">
        <f>Balance_sheet!E35</f>
        <v>127.1</v>
      </c>
      <c r="F28" s="62">
        <f>Balance_sheet!F35</f>
        <v>124.3</v>
      </c>
      <c r="G28" s="62">
        <f>Balance_sheet!G35</f>
        <v>128.6</v>
      </c>
      <c r="H28" s="27">
        <f>H29*'Revenue Build_up'!H$10</f>
        <v>165.70719831699293</v>
      </c>
      <c r="I28" s="27">
        <f>I29*'Revenue Build_up'!I$10</f>
        <v>178.99255519979974</v>
      </c>
      <c r="J28" s="27">
        <f>J29*'Revenue Build_up'!J$10</f>
        <v>194.19317830944402</v>
      </c>
      <c r="K28" s="27">
        <f>K29*'Revenue Build_up'!K$10</f>
        <v>211.67132220717497</v>
      </c>
      <c r="L28" s="27">
        <f>L29*'Revenue Build_up'!L$10</f>
        <v>231.8655444640622</v>
      </c>
      <c r="M28" s="27">
        <f>M29*'Revenue Build_up'!M$10</f>
        <v>255.30746946846753</v>
      </c>
      <c r="N28" s="27">
        <f>N29*'Revenue Build_up'!N$10</f>
        <v>282.64230193736029</v>
      </c>
      <c r="O28" s="27">
        <f>O29*'Revenue Build_up'!O$10</f>
        <v>314.65393596042156</v>
      </c>
      <c r="P28" s="27">
        <f>P29*'Revenue Build_up'!P$10</f>
        <v>352.29569701285556</v>
      </c>
      <c r="Q28" s="27">
        <f>Q29*'Revenue Build_up'!Q$10</f>
        <v>396.72798948125649</v>
      </c>
    </row>
    <row r="29" spans="2:17" x14ac:dyDescent="0.25">
      <c r="B29" s="149" t="s">
        <v>155</v>
      </c>
      <c r="C29" s="150">
        <f>C28/'Revenue Build_up'!C$10</f>
        <v>5.9224599335628149E-4</v>
      </c>
      <c r="D29" s="150">
        <f>D28/'Revenue Build_up'!D$10</f>
        <v>5.7801088371890253E-4</v>
      </c>
      <c r="E29" s="150">
        <f>E28/'Revenue Build_up'!E$10</f>
        <v>5.418774026890933E-4</v>
      </c>
      <c r="F29" s="150">
        <f>F28/'Revenue Build_up'!F$10</f>
        <v>5.0009293762557641E-4</v>
      </c>
      <c r="G29" s="150">
        <f>G28/'Revenue Build_up'!G$10</f>
        <v>4.434196829376864E-4</v>
      </c>
      <c r="H29" s="151">
        <f>AVERAGE(C29:G29)</f>
        <v>5.3112938006550801E-4</v>
      </c>
      <c r="I29" s="151">
        <f t="shared" si="2"/>
        <v>5.3112938006550801E-4</v>
      </c>
      <c r="J29" s="151">
        <f t="shared" si="2"/>
        <v>5.3112938006550801E-4</v>
      </c>
      <c r="K29" s="151">
        <f t="shared" si="2"/>
        <v>5.3112938006550801E-4</v>
      </c>
      <c r="L29" s="151">
        <f t="shared" si="2"/>
        <v>5.3112938006550801E-4</v>
      </c>
      <c r="M29" s="151">
        <f t="shared" si="2"/>
        <v>5.3112938006550801E-4</v>
      </c>
      <c r="N29" s="151">
        <f t="shared" si="2"/>
        <v>5.3112938006550801E-4</v>
      </c>
      <c r="O29" s="151">
        <f t="shared" si="2"/>
        <v>5.3112938006550801E-4</v>
      </c>
      <c r="P29" s="151">
        <f t="shared" si="2"/>
        <v>5.3112938006550801E-4</v>
      </c>
      <c r="Q29" s="151">
        <f t="shared" si="2"/>
        <v>5.3112938006550801E-4</v>
      </c>
    </row>
    <row r="30" spans="2:17" x14ac:dyDescent="0.25">
      <c r="B30" t="str">
        <f>Balance_sheet!B36</f>
        <v>Other financial assets</v>
      </c>
      <c r="C30" s="62">
        <f>Balance_sheet!C36</f>
        <v>400.8</v>
      </c>
      <c r="D30" s="62">
        <f>Balance_sheet!D36</f>
        <v>338.7</v>
      </c>
      <c r="E30" s="62">
        <f>Balance_sheet!E36</f>
        <v>709.1</v>
      </c>
      <c r="F30" s="62">
        <f>Balance_sheet!F36</f>
        <v>2903.5</v>
      </c>
      <c r="G30" s="62">
        <f>Balance_sheet!G36</f>
        <v>2631.1</v>
      </c>
      <c r="H30" s="27">
        <f>H31*'Revenue Build_up'!H$10</f>
        <v>1677.2112536709351</v>
      </c>
      <c r="I30" s="27">
        <f>I31*'Revenue Build_up'!I$10</f>
        <v>1811.6794620480555</v>
      </c>
      <c r="J30" s="27">
        <f>J31*'Revenue Build_up'!J$10</f>
        <v>1965.5331051078781</v>
      </c>
      <c r="K30" s="27">
        <f>K31*'Revenue Build_up'!K$10</f>
        <v>2142.4387551718933</v>
      </c>
      <c r="L30" s="27">
        <f>L31*'Revenue Build_up'!L$10</f>
        <v>2346.8352881673463</v>
      </c>
      <c r="M30" s="27">
        <f>M31*'Revenue Build_up'!M$10</f>
        <v>2584.1035590959655</v>
      </c>
      <c r="N30" s="27">
        <f>N31*'Revenue Build_up'!N$10</f>
        <v>2860.7740302624261</v>
      </c>
      <c r="O30" s="27">
        <f>O31*'Revenue Build_up'!O$10</f>
        <v>3184.7809133500632</v>
      </c>
      <c r="P30" s="27">
        <f>P31*'Revenue Build_up'!P$10</f>
        <v>3565.7733257880714</v>
      </c>
      <c r="Q30" s="27">
        <f>Q31*'Revenue Build_up'!Q$10</f>
        <v>4015.4963415127195</v>
      </c>
    </row>
    <row r="31" spans="2:17" x14ac:dyDescent="0.25">
      <c r="B31" s="149" t="s">
        <v>155</v>
      </c>
      <c r="C31" s="150">
        <f>C30/'Revenue Build_up'!C$10</f>
        <v>1.7351768577280526E-3</v>
      </c>
      <c r="D31" s="150">
        <f>D30/'Revenue Build_up'!D$10</f>
        <v>1.3671249044384939E-3</v>
      </c>
      <c r="E31" s="150">
        <f>E30/'Revenue Build_up'!E$10</f>
        <v>3.0231728264896621E-3</v>
      </c>
      <c r="F31" s="150">
        <f>F30/'Revenue Build_up'!F$10</f>
        <v>1.1681575578405963E-2</v>
      </c>
      <c r="G31" s="150">
        <f>G30/'Revenue Build_up'!G$10</f>
        <v>9.0721736219078284E-3</v>
      </c>
      <c r="H31" s="151">
        <f>AVERAGE(C31:G31)</f>
        <v>5.3758447577940006E-3</v>
      </c>
      <c r="I31" s="151">
        <f t="shared" si="2"/>
        <v>5.3758447577940006E-3</v>
      </c>
      <c r="J31" s="151">
        <f t="shared" si="2"/>
        <v>5.3758447577940006E-3</v>
      </c>
      <c r="K31" s="151">
        <f t="shared" si="2"/>
        <v>5.3758447577940006E-3</v>
      </c>
      <c r="L31" s="151">
        <f t="shared" si="2"/>
        <v>5.3758447577940006E-3</v>
      </c>
      <c r="M31" s="151">
        <f t="shared" si="2"/>
        <v>5.3758447577940006E-3</v>
      </c>
      <c r="N31" s="151">
        <f t="shared" si="2"/>
        <v>5.3758447577940006E-3</v>
      </c>
      <c r="O31" s="151">
        <f t="shared" si="2"/>
        <v>5.3758447577940006E-3</v>
      </c>
      <c r="P31" s="151">
        <f t="shared" si="2"/>
        <v>5.3758447577940006E-3</v>
      </c>
      <c r="Q31" s="151">
        <f t="shared" si="2"/>
        <v>5.3758447577940006E-3</v>
      </c>
    </row>
    <row r="32" spans="2:17" x14ac:dyDescent="0.25">
      <c r="B32" t="str">
        <f>Balance_sheet!B37</f>
        <v>Current tax assets (net</v>
      </c>
      <c r="C32" s="62">
        <f>Balance_sheet!C37</f>
        <v>157.6</v>
      </c>
      <c r="D32" s="62">
        <f>Balance_sheet!D37</f>
        <v>789.8</v>
      </c>
      <c r="E32" s="62">
        <f>Balance_sheet!E37</f>
        <v>2699.9</v>
      </c>
      <c r="F32" s="62">
        <f>Balance_sheet!F37</f>
        <v>756.2</v>
      </c>
      <c r="G32" s="62">
        <f>Balance_sheet!G37</f>
        <v>56.7</v>
      </c>
      <c r="H32" s="27">
        <f>H33*'Revenue Build_up'!H$10</f>
        <v>1161.7817094211716</v>
      </c>
      <c r="I32" s="27">
        <f>I33*'Revenue Build_up'!I$10</f>
        <v>1254.9260313718182</v>
      </c>
      <c r="J32" s="27">
        <f>J33*'Revenue Build_up'!J$10</f>
        <v>1361.4983835686542</v>
      </c>
      <c r="K32" s="27">
        <f>K33*'Revenue Build_up'!K$10</f>
        <v>1484.0385514144148</v>
      </c>
      <c r="L32" s="27">
        <f>L33*'Revenue Build_up'!L$10</f>
        <v>1625.6212846470219</v>
      </c>
      <c r="M32" s="27">
        <f>M33*'Revenue Build_up'!M$10</f>
        <v>1789.9738292579225</v>
      </c>
      <c r="N32" s="27">
        <f>N33*'Revenue Build_up'!N$10</f>
        <v>1981.61974877737</v>
      </c>
      <c r="O32" s="27">
        <f>O33*'Revenue Build_up'!O$10</f>
        <v>2206.0549650769822</v>
      </c>
      <c r="P32" s="27">
        <f>P33*'Revenue Build_up'!P$10</f>
        <v>2469.9632922062783</v>
      </c>
      <c r="Q32" s="27">
        <f>Q33*'Revenue Build_up'!Q$10</f>
        <v>2781.4803851372176</v>
      </c>
    </row>
    <row r="33" spans="2:17" x14ac:dyDescent="0.25">
      <c r="B33" s="149" t="s">
        <v>155</v>
      </c>
      <c r="C33" s="150">
        <f>C32/'Revenue Build_up'!C$10</f>
        <v>6.8229509176133006E-4</v>
      </c>
      <c r="D33" s="150">
        <f>D32/'Revenue Build_up'!D$10</f>
        <v>3.1879399159300925E-3</v>
      </c>
      <c r="E33" s="150">
        <f>E32/'Revenue Build_up'!E$10</f>
        <v>1.1510737997799237E-2</v>
      </c>
      <c r="F33" s="150">
        <f>F32/'Revenue Build_up'!F$10</f>
        <v>3.0423996736320268E-3</v>
      </c>
      <c r="G33" s="150">
        <f>G32/'Revenue Build_up'!G$10</f>
        <v>1.9550463470114168E-4</v>
      </c>
      <c r="H33" s="151">
        <f>AVERAGE(C33:G33)</f>
        <v>3.7237754627647652E-3</v>
      </c>
      <c r="I33" s="151">
        <f t="shared" si="2"/>
        <v>3.7237754627647652E-3</v>
      </c>
      <c r="J33" s="151">
        <f t="shared" si="2"/>
        <v>3.7237754627647652E-3</v>
      </c>
      <c r="K33" s="151">
        <f t="shared" si="2"/>
        <v>3.7237754627647652E-3</v>
      </c>
      <c r="L33" s="151">
        <f t="shared" si="2"/>
        <v>3.7237754627647652E-3</v>
      </c>
      <c r="M33" s="151">
        <f t="shared" si="2"/>
        <v>3.7237754627647652E-3</v>
      </c>
      <c r="N33" s="151">
        <f t="shared" si="2"/>
        <v>3.7237754627647652E-3</v>
      </c>
      <c r="O33" s="151">
        <f t="shared" si="2"/>
        <v>3.7237754627647652E-3</v>
      </c>
      <c r="P33" s="151">
        <f t="shared" si="2"/>
        <v>3.7237754627647652E-3</v>
      </c>
      <c r="Q33" s="151">
        <f t="shared" si="2"/>
        <v>3.7237754627647652E-3</v>
      </c>
    </row>
    <row r="34" spans="2:17" x14ac:dyDescent="0.25">
      <c r="B34" t="str">
        <f>Balance_sheet!B38</f>
        <v>Other current assets</v>
      </c>
      <c r="C34" s="51">
        <f>Balance_sheet!C38</f>
        <v>14857.9</v>
      </c>
      <c r="D34" s="51">
        <f>Balance_sheet!D38</f>
        <v>14488.1</v>
      </c>
      <c r="E34" s="51">
        <f>Balance_sheet!E38</f>
        <v>15550.1</v>
      </c>
      <c r="F34" s="51">
        <f>Balance_sheet!F38</f>
        <v>18687</v>
      </c>
      <c r="G34" s="51">
        <f>Balance_sheet!G38</f>
        <v>25364.3</v>
      </c>
      <c r="H34" s="27">
        <f>H35*'Revenue Build_up'!H$10</f>
        <v>21947.907439948925</v>
      </c>
      <c r="I34" s="27">
        <f>I35*'Revenue Build_up'!I$10</f>
        <v>23707.552078999171</v>
      </c>
      <c r="J34" s="27">
        <f>J35*'Revenue Build_up'!J$10</f>
        <v>25720.873602918804</v>
      </c>
      <c r="K34" s="27">
        <f>K35*'Revenue Build_up'!K$10</f>
        <v>28035.852604348031</v>
      </c>
      <c r="L34" s="27">
        <f>L35*'Revenue Build_up'!L$10</f>
        <v>30710.576004523133</v>
      </c>
      <c r="M34" s="27">
        <f>M35*'Revenue Build_up'!M$10</f>
        <v>33815.457418465616</v>
      </c>
      <c r="N34" s="27">
        <f>N35*'Revenue Build_up'!N$10</f>
        <v>37435.954168197008</v>
      </c>
      <c r="O34" s="27">
        <f>O35*'Revenue Build_up'!O$10</f>
        <v>41675.892973967166</v>
      </c>
      <c r="P34" s="27">
        <f>P35*'Revenue Build_up'!P$10</f>
        <v>46661.541731814606</v>
      </c>
      <c r="Q34" s="27">
        <f>Q35*'Revenue Build_up'!Q$10</f>
        <v>52546.595925873713</v>
      </c>
    </row>
    <row r="35" spans="2:17" x14ac:dyDescent="0.25">
      <c r="B35" s="149" t="s">
        <v>155</v>
      </c>
      <c r="C35" s="150">
        <f>C34/'Revenue Build_up'!C$10</f>
        <v>6.4324062461171741E-2</v>
      </c>
      <c r="D35" s="150">
        <f>D34/'Revenue Build_up'!D$10</f>
        <v>5.8479605338043528E-2</v>
      </c>
      <c r="E35" s="150">
        <f>E34/'Revenue Build_up'!E$10</f>
        <v>6.6296206133404159E-2</v>
      </c>
      <c r="F35" s="150">
        <f>F34/'Revenue Build_up'!F$10</f>
        <v>7.5182918144884536E-2</v>
      </c>
      <c r="G35" s="150">
        <f>G34/'Revenue Build_up'!G$10</f>
        <v>8.7457463949738412E-2</v>
      </c>
      <c r="H35" s="151">
        <f>AVERAGE(C35:G35)</f>
        <v>7.0348051205448472E-2</v>
      </c>
      <c r="I35" s="151">
        <f t="shared" si="2"/>
        <v>7.0348051205448472E-2</v>
      </c>
      <c r="J35" s="151">
        <f t="shared" si="2"/>
        <v>7.0348051205448472E-2</v>
      </c>
      <c r="K35" s="151">
        <f t="shared" si="2"/>
        <v>7.0348051205448472E-2</v>
      </c>
      <c r="L35" s="151">
        <f t="shared" si="2"/>
        <v>7.0348051205448472E-2</v>
      </c>
      <c r="M35" s="151">
        <f t="shared" si="2"/>
        <v>7.0348051205448472E-2</v>
      </c>
      <c r="N35" s="151">
        <f t="shared" si="2"/>
        <v>7.0348051205448472E-2</v>
      </c>
      <c r="O35" s="151">
        <f t="shared" si="2"/>
        <v>7.0348051205448472E-2</v>
      </c>
      <c r="P35" s="151">
        <f t="shared" si="2"/>
        <v>7.0348051205448472E-2</v>
      </c>
      <c r="Q35" s="151">
        <f t="shared" si="2"/>
        <v>7.0348051205448472E-2</v>
      </c>
    </row>
    <row r="36" spans="2:17" x14ac:dyDescent="0.25">
      <c r="B36" t="str">
        <f>Balance_sheet!B39</f>
        <v>Assets held for sale</v>
      </c>
      <c r="C36" s="62">
        <f>Balance_sheet!C39</f>
        <v>0</v>
      </c>
      <c r="D36" s="62">
        <f>Balance_sheet!D39</f>
        <v>836.1</v>
      </c>
      <c r="E36" s="62">
        <f>Balance_sheet!E39</f>
        <v>791</v>
      </c>
      <c r="F36" s="62">
        <f>Balance_sheet!F39</f>
        <v>857.6</v>
      </c>
      <c r="G36" s="62">
        <f>Balance_sheet!G39</f>
        <v>4337.1000000000004</v>
      </c>
      <c r="H36" s="27">
        <f>H37*'Revenue Build_up'!H$10</f>
        <v>1569.4409736778125</v>
      </c>
      <c r="I36" s="27">
        <f>I37*'Revenue Build_up'!I$10</f>
        <v>1695.2688414685831</v>
      </c>
      <c r="J36" s="27">
        <f>J37*'Revenue Build_up'!J$10</f>
        <v>1839.2365204590444</v>
      </c>
      <c r="K36" s="27">
        <f>K37*'Revenue Build_up'!K$10</f>
        <v>2004.7749850250873</v>
      </c>
      <c r="L36" s="27">
        <f>L37*'Revenue Build_up'!L$10</f>
        <v>2196.0378882870582</v>
      </c>
      <c r="M36" s="27">
        <f>M37*'Revenue Build_up'!M$10</f>
        <v>2418.0603349729085</v>
      </c>
      <c r="N36" s="27">
        <f>N37*'Revenue Build_up'!N$10</f>
        <v>2676.9531683622686</v>
      </c>
      <c r="O36" s="27">
        <f>O37*'Revenue Build_up'!O$10</f>
        <v>2980.140782300818</v>
      </c>
      <c r="P36" s="27">
        <f>P37*'Revenue Build_up'!P$10</f>
        <v>3336.6522840164403</v>
      </c>
      <c r="Q36" s="27">
        <f>Q37*'Revenue Build_up'!Q$10</f>
        <v>3757.4780602204751</v>
      </c>
    </row>
    <row r="37" spans="2:17" x14ac:dyDescent="0.25">
      <c r="B37" s="149" t="s">
        <v>155</v>
      </c>
      <c r="C37" s="150">
        <f>C36/'Revenue Build_up'!C$10</f>
        <v>0</v>
      </c>
      <c r="D37" s="150">
        <f>D36/'Revenue Build_up'!D$10</f>
        <v>3.3748247198140675E-3</v>
      </c>
      <c r="E37" s="150">
        <f>E36/'Revenue Build_up'!E$10</f>
        <v>3.372344811385309E-3</v>
      </c>
      <c r="F37" s="150">
        <f>F36/'Revenue Build_up'!F$10</f>
        <v>3.450359640448064E-3</v>
      </c>
      <c r="G37" s="150">
        <f>G36/'Revenue Build_up'!G$10</f>
        <v>1.4954552930552411E-2</v>
      </c>
      <c r="H37" s="151">
        <f>AVERAGE(C37:G37)</f>
        <v>5.0304164204399704E-3</v>
      </c>
      <c r="I37" s="151">
        <f t="shared" si="2"/>
        <v>5.0304164204399704E-3</v>
      </c>
      <c r="J37" s="151">
        <f t="shared" si="2"/>
        <v>5.0304164204399704E-3</v>
      </c>
      <c r="K37" s="151">
        <f t="shared" si="2"/>
        <v>5.0304164204399704E-3</v>
      </c>
      <c r="L37" s="151">
        <f t="shared" si="2"/>
        <v>5.0304164204399704E-3</v>
      </c>
      <c r="M37" s="151">
        <f t="shared" si="2"/>
        <v>5.0304164204399704E-3</v>
      </c>
      <c r="N37" s="151">
        <f t="shared" si="2"/>
        <v>5.0304164204399704E-3</v>
      </c>
      <c r="O37" s="151">
        <f t="shared" si="2"/>
        <v>5.0304164204399704E-3</v>
      </c>
      <c r="P37" s="151">
        <f t="shared" si="2"/>
        <v>5.0304164204399704E-3</v>
      </c>
      <c r="Q37" s="151">
        <f t="shared" si="2"/>
        <v>5.0304164204399704E-3</v>
      </c>
    </row>
    <row r="38" spans="2:17" x14ac:dyDescent="0.25">
      <c r="I38" s="19"/>
      <c r="J38" s="19"/>
      <c r="K38" s="19"/>
      <c r="L38" s="19"/>
      <c r="M38" s="19"/>
      <c r="N38" s="19"/>
      <c r="O38" s="19"/>
      <c r="P38" s="19"/>
      <c r="Q38" s="19"/>
    </row>
    <row r="39" spans="2:17" x14ac:dyDescent="0.25">
      <c r="B39" s="1" t="s">
        <v>54</v>
      </c>
      <c r="I39" s="19"/>
      <c r="J39" s="19"/>
      <c r="K39" s="19"/>
      <c r="L39" s="19"/>
      <c r="M39" s="19"/>
      <c r="N39" s="19"/>
      <c r="O39" s="19"/>
      <c r="P39" s="19"/>
      <c r="Q39" s="19"/>
    </row>
    <row r="40" spans="2:17" x14ac:dyDescent="0.25">
      <c r="B40" s="1" t="str">
        <f>Balance_sheet!B56</f>
        <v>Borrowings</v>
      </c>
      <c r="C40" s="62">
        <f>Balance_sheet!C56</f>
        <v>0</v>
      </c>
      <c r="D40" s="62">
        <f>Balance_sheet!D56</f>
        <v>1684.9</v>
      </c>
      <c r="E40" s="62">
        <f>Balance_sheet!E56</f>
        <v>2492.1</v>
      </c>
      <c r="F40" s="62">
        <f>Balance_sheet!F56</f>
        <v>6189.6</v>
      </c>
      <c r="G40" s="62">
        <f>Balance_sheet!G56</f>
        <v>21349</v>
      </c>
      <c r="H40" s="27">
        <f>H41*'Revenue Build_up'!H$10</f>
        <v>7234.4719608077485</v>
      </c>
      <c r="I40" s="27">
        <f>I41*'Revenue Build_up'!I$10</f>
        <v>7814.4862440384013</v>
      </c>
      <c r="J40" s="27">
        <f>J41*'Revenue Build_up'!J$10</f>
        <v>8478.1175333874689</v>
      </c>
      <c r="K40" s="27">
        <f>K41*'Revenue Build_up'!K$10</f>
        <v>9241.1811977263696</v>
      </c>
      <c r="L40" s="27">
        <f>L41*'Revenue Build_up'!L$10</f>
        <v>10122.823855206439</v>
      </c>
      <c r="M40" s="27">
        <f>M41*'Revenue Build_up'!M$10</f>
        <v>11146.255250306776</v>
      </c>
      <c r="N40" s="27">
        <f>N41*'Revenue Build_up'!N$10</f>
        <v>12339.643836065652</v>
      </c>
      <c r="O40" s="27">
        <f>O41*'Revenue Build_up'!O$10</f>
        <v>13737.212988833879</v>
      </c>
      <c r="P40" s="27">
        <f>P41*'Revenue Build_up'!P$10</f>
        <v>15380.583148097101</v>
      </c>
      <c r="Q40" s="27">
        <f>Q41*'Revenue Build_up'!Q$10</f>
        <v>17320.415438316279</v>
      </c>
    </row>
    <row r="41" spans="2:17" x14ac:dyDescent="0.25">
      <c r="B41" s="149" t="s">
        <v>155</v>
      </c>
      <c r="C41" s="150">
        <f>C40/'Revenue Build_up'!C$10</f>
        <v>0</v>
      </c>
      <c r="D41" s="150">
        <f>D40/'Revenue Build_up'!D$10</f>
        <v>6.8009115780585131E-3</v>
      </c>
      <c r="E41" s="150">
        <f>E40/'Revenue Build_up'!E$10</f>
        <v>1.0624804683253259E-2</v>
      </c>
      <c r="F41" s="150">
        <f>F40/'Revenue Build_up'!F$10</f>
        <v>2.490245572588309E-2</v>
      </c>
      <c r="G41" s="150">
        <f>G40/'Revenue Build_up'!G$10</f>
        <v>7.3612494642586832E-2</v>
      </c>
      <c r="H41" s="151">
        <f>AVERAGE(C41:G41)</f>
        <v>2.3188133325956338E-2</v>
      </c>
      <c r="I41" s="151">
        <f t="shared" si="2"/>
        <v>2.3188133325956338E-2</v>
      </c>
      <c r="J41" s="151">
        <f t="shared" si="2"/>
        <v>2.3188133325956338E-2</v>
      </c>
      <c r="K41" s="151">
        <f t="shared" si="2"/>
        <v>2.3188133325956338E-2</v>
      </c>
      <c r="L41" s="151">
        <f t="shared" si="2"/>
        <v>2.3188133325956338E-2</v>
      </c>
      <c r="M41" s="151">
        <f t="shared" si="2"/>
        <v>2.3188133325956338E-2</v>
      </c>
      <c r="N41" s="151">
        <f t="shared" si="2"/>
        <v>2.3188133325956338E-2</v>
      </c>
      <c r="O41" s="151">
        <f t="shared" si="2"/>
        <v>2.3188133325956338E-2</v>
      </c>
      <c r="P41" s="151">
        <f t="shared" si="2"/>
        <v>2.3188133325956338E-2</v>
      </c>
      <c r="Q41" s="151">
        <f t="shared" si="2"/>
        <v>2.3188133325956338E-2</v>
      </c>
    </row>
    <row r="42" spans="2:17" x14ac:dyDescent="0.25">
      <c r="B42" t="str">
        <f>Balance_sheet!B57</f>
        <v>Lease liabilities</v>
      </c>
      <c r="C42" s="62">
        <f>Balance_sheet!C57</f>
        <v>0</v>
      </c>
      <c r="D42" s="62">
        <f>Balance_sheet!D57</f>
        <v>2661.9</v>
      </c>
      <c r="E42" s="62">
        <f>Balance_sheet!E57</f>
        <v>3186.1</v>
      </c>
      <c r="F42" s="62">
        <f>Balance_sheet!F57</f>
        <v>3215.3</v>
      </c>
      <c r="G42" s="62">
        <f>Balance_sheet!G57</f>
        <v>2525.3000000000002</v>
      </c>
      <c r="H42" s="27">
        <f>H43*'Revenue Build_up'!H$10</f>
        <v>2868.5299904670533</v>
      </c>
      <c r="I42" s="27">
        <f>I43*'Revenue Build_up'!I$10</f>
        <v>3098.510613152418</v>
      </c>
      <c r="J42" s="27">
        <f>J43*'Revenue Build_up'!J$10</f>
        <v>3361.6460937269499</v>
      </c>
      <c r="K42" s="27">
        <f>K43*'Revenue Build_up'!K$10</f>
        <v>3664.207361176721</v>
      </c>
      <c r="L42" s="27">
        <f>L43*'Revenue Build_up'!L$10</f>
        <v>4013.7862133109793</v>
      </c>
      <c r="M42" s="27">
        <f>M43*'Revenue Build_up'!M$10</f>
        <v>4419.5855122694993</v>
      </c>
      <c r="N42" s="27">
        <f>N43*'Revenue Build_up'!N$10</f>
        <v>4892.7742905349669</v>
      </c>
      <c r="O42" s="27">
        <f>O43*'Revenue Build_up'!O$10</f>
        <v>5446.9224094558222</v>
      </c>
      <c r="P42" s="27">
        <f>P43*'Revenue Build_up'!P$10</f>
        <v>6098.5327291617032</v>
      </c>
      <c r="Q42" s="27">
        <f>Q43*'Revenue Build_up'!Q$10</f>
        <v>6867.6928186769046</v>
      </c>
    </row>
    <row r="43" spans="2:17" x14ac:dyDescent="0.25">
      <c r="B43" s="149" t="s">
        <v>155</v>
      </c>
      <c r="C43" s="150">
        <f>C42/'Revenue Build_up'!C$10</f>
        <v>0</v>
      </c>
      <c r="D43" s="150">
        <f>D42/'Revenue Build_up'!D$10</f>
        <v>1.0744463487230077E-2</v>
      </c>
      <c r="E43" s="150">
        <f>E42/'Revenue Build_up'!E$10</f>
        <v>1.3583600257338473E-2</v>
      </c>
      <c r="F43" s="150">
        <f>F42/'Revenue Build_up'!F$10</f>
        <v>1.2936032359996108E-2</v>
      </c>
      <c r="G43" s="150">
        <f>G42/'Revenue Build_up'!G$10</f>
        <v>8.707369559273247E-3</v>
      </c>
      <c r="H43" s="151">
        <f>AVERAGE(C43:G43)</f>
        <v>9.1942931327675809E-3</v>
      </c>
      <c r="I43" s="151">
        <f t="shared" si="2"/>
        <v>9.1942931327675809E-3</v>
      </c>
      <c r="J43" s="151">
        <f t="shared" si="2"/>
        <v>9.1942931327675809E-3</v>
      </c>
      <c r="K43" s="151">
        <f t="shared" si="2"/>
        <v>9.1942931327675809E-3</v>
      </c>
      <c r="L43" s="151">
        <f t="shared" si="2"/>
        <v>9.1942931327675809E-3</v>
      </c>
      <c r="M43" s="151">
        <f t="shared" si="2"/>
        <v>9.1942931327675809E-3</v>
      </c>
      <c r="N43" s="151">
        <f t="shared" si="2"/>
        <v>9.1942931327675809E-3</v>
      </c>
      <c r="O43" s="151">
        <f t="shared" si="2"/>
        <v>9.1942931327675809E-3</v>
      </c>
      <c r="P43" s="151">
        <f t="shared" si="2"/>
        <v>9.1942931327675809E-3</v>
      </c>
      <c r="Q43" s="151">
        <f t="shared" si="2"/>
        <v>9.1942931327675809E-3</v>
      </c>
    </row>
    <row r="44" spans="2:17" x14ac:dyDescent="0.25">
      <c r="B44" t="str">
        <f>Balance_sheet!B58</f>
        <v>Others</v>
      </c>
      <c r="C44" s="51">
        <f>Balance_sheet!C58</f>
        <v>2644.1</v>
      </c>
      <c r="D44" s="51">
        <f>Balance_sheet!D58</f>
        <v>541</v>
      </c>
      <c r="E44" s="51">
        <f>Balance_sheet!E58</f>
        <v>113.5</v>
      </c>
      <c r="F44" s="51">
        <f>Balance_sheet!F58</f>
        <v>125</v>
      </c>
      <c r="G44" s="51">
        <f>Balance_sheet!G58</f>
        <v>154.19999999999999</v>
      </c>
      <c r="H44" s="27">
        <f>H45*'Revenue Build_up'!H$10</f>
        <v>945.28305598689417</v>
      </c>
      <c r="I44" s="27">
        <f>I45*'Revenue Build_up'!I$10</f>
        <v>1021.0698828815971</v>
      </c>
      <c r="J44" s="27">
        <f>J45*'Revenue Build_up'!J$10</f>
        <v>1107.7824192827152</v>
      </c>
      <c r="K44" s="27">
        <f>K45*'Revenue Build_up'!K$10</f>
        <v>1207.4871602018159</v>
      </c>
      <c r="L44" s="27">
        <f>L45*'Revenue Build_up'!L$10</f>
        <v>1322.6858740908272</v>
      </c>
      <c r="M44" s="27">
        <f>M45*'Revenue Build_up'!M$10</f>
        <v>1456.4112326234713</v>
      </c>
      <c r="N44" s="27">
        <f>N45*'Revenue Build_up'!N$10</f>
        <v>1612.3438308058096</v>
      </c>
      <c r="O44" s="27">
        <f>O45*'Revenue Build_up'!O$10</f>
        <v>1794.9554224794967</v>
      </c>
      <c r="P44" s="27">
        <f>P45*'Revenue Build_up'!P$10</f>
        <v>2009.6842893106511</v>
      </c>
      <c r="Q44" s="27">
        <f>Q45*'Revenue Build_up'!Q$10</f>
        <v>2263.1500025422915</v>
      </c>
    </row>
    <row r="45" spans="2:17" x14ac:dyDescent="0.25">
      <c r="B45" s="149" t="s">
        <v>155</v>
      </c>
      <c r="C45" s="150">
        <f>C44/'Revenue Build_up'!C$10</f>
        <v>1.1447058706384091E-2</v>
      </c>
      <c r="D45" s="150">
        <f>D44/'Revenue Build_up'!D$10</f>
        <v>2.1836863693570274E-3</v>
      </c>
      <c r="E45" s="150">
        <f>E44/'Revenue Build_up'!E$10</f>
        <v>4.8389524158310061E-4</v>
      </c>
      <c r="F45" s="150">
        <f>F44/'Revenue Build_up'!F$10</f>
        <v>5.0290922930971082E-4</v>
      </c>
      <c r="G45" s="150">
        <f>G44/'Revenue Build_up'!G$10</f>
        <v>5.3168985310257579E-4</v>
      </c>
      <c r="H45" s="151">
        <f>AVERAGE(C45:G45)</f>
        <v>3.0298478799473012E-3</v>
      </c>
      <c r="I45" s="151">
        <f t="shared" si="2"/>
        <v>3.0298478799473012E-3</v>
      </c>
      <c r="J45" s="151">
        <f t="shared" si="2"/>
        <v>3.0298478799473012E-3</v>
      </c>
      <c r="K45" s="151">
        <f t="shared" si="2"/>
        <v>3.0298478799473012E-3</v>
      </c>
      <c r="L45" s="151">
        <f t="shared" si="2"/>
        <v>3.0298478799473012E-3</v>
      </c>
      <c r="M45" s="151">
        <f t="shared" si="2"/>
        <v>3.0298478799473012E-3</v>
      </c>
      <c r="N45" s="151">
        <f t="shared" si="2"/>
        <v>3.0298478799473012E-3</v>
      </c>
      <c r="O45" s="151">
        <f t="shared" si="2"/>
        <v>3.0298478799473012E-3</v>
      </c>
      <c r="P45" s="151">
        <f t="shared" si="2"/>
        <v>3.0298478799473012E-3</v>
      </c>
      <c r="Q45" s="151">
        <f t="shared" si="2"/>
        <v>3.0298478799473012E-3</v>
      </c>
    </row>
    <row r="46" spans="2:17" x14ac:dyDescent="0.25">
      <c r="B46" t="str">
        <f>Balance_sheet!B59</f>
        <v>Provisions</v>
      </c>
      <c r="C46" s="62">
        <f>Balance_sheet!C59</f>
        <v>747.1</v>
      </c>
      <c r="D46" s="62">
        <f>Balance_sheet!D59</f>
        <v>1571.1</v>
      </c>
      <c r="E46" s="62">
        <f>Balance_sheet!E59</f>
        <v>1717.9</v>
      </c>
      <c r="F46" s="62">
        <f>Balance_sheet!F59</f>
        <v>1727.2</v>
      </c>
      <c r="G46" s="62">
        <f>Balance_sheet!G59</f>
        <v>2257</v>
      </c>
      <c r="H46" s="27">
        <f>H47*'Revenue Build_up'!H$10</f>
        <v>1973.732718371223</v>
      </c>
      <c r="I46" s="27">
        <f>I47*'Revenue Build_up'!I$10</f>
        <v>2131.9741455461167</v>
      </c>
      <c r="J46" s="27">
        <f>J47*'Revenue Build_up'!J$10</f>
        <v>2313.0282426272934</v>
      </c>
      <c r="K46" s="27">
        <f>K47*'Revenue Build_up'!K$10</f>
        <v>2521.2098111875189</v>
      </c>
      <c r="L46" s="27">
        <f>L47*'Revenue Build_up'!L$10</f>
        <v>2761.7424953152868</v>
      </c>
      <c r="M46" s="27">
        <f>M47*'Revenue Build_up'!M$10</f>
        <v>3040.958454746873</v>
      </c>
      <c r="N46" s="27">
        <f>N47*'Revenue Build_up'!N$10</f>
        <v>3366.5427005914121</v>
      </c>
      <c r="O46" s="27">
        <f>O47*'Revenue Build_up'!O$10</f>
        <v>3747.8321682883761</v>
      </c>
      <c r="P46" s="27">
        <f>P47*'Revenue Build_up'!P$10</f>
        <v>4196.1818846608467</v>
      </c>
      <c r="Q46" s="27">
        <f>Q47*'Revenue Build_up'!Q$10</f>
        <v>4725.4133862963981</v>
      </c>
    </row>
    <row r="47" spans="2:17" x14ac:dyDescent="0.25">
      <c r="B47" s="149" t="s">
        <v>155</v>
      </c>
      <c r="C47" s="150">
        <f>C46/'Revenue Build_up'!C$10</f>
        <v>3.2344077605005691E-3</v>
      </c>
      <c r="D47" s="150">
        <f>D46/'Revenue Build_up'!D$10</f>
        <v>6.3415705266115074E-3</v>
      </c>
      <c r="E47" s="150">
        <f>E46/'Revenue Build_up'!E$10</f>
        <v>7.3240848944106478E-3</v>
      </c>
      <c r="F47" s="150">
        <f>F46/'Revenue Build_up'!F$10</f>
        <v>6.9489985669098607E-3</v>
      </c>
      <c r="G47" s="150">
        <f>G46/'Revenue Build_up'!G$10</f>
        <v>7.7822567993029411E-3</v>
      </c>
      <c r="H47" s="151">
        <f>AVERAGE(C47:G47)</f>
        <v>6.3262637095471055E-3</v>
      </c>
      <c r="I47" s="151">
        <f t="shared" si="2"/>
        <v>6.3262637095471055E-3</v>
      </c>
      <c r="J47" s="151">
        <f t="shared" si="2"/>
        <v>6.3262637095471055E-3</v>
      </c>
      <c r="K47" s="151">
        <f t="shared" si="2"/>
        <v>6.3262637095471055E-3</v>
      </c>
      <c r="L47" s="151">
        <f t="shared" si="2"/>
        <v>6.3262637095471055E-3</v>
      </c>
      <c r="M47" s="151">
        <f t="shared" si="2"/>
        <v>6.3262637095471055E-3</v>
      </c>
      <c r="N47" s="151">
        <f t="shared" si="2"/>
        <v>6.3262637095471055E-3</v>
      </c>
      <c r="O47" s="151">
        <f t="shared" si="2"/>
        <v>6.3262637095471055E-3</v>
      </c>
      <c r="P47" s="151">
        <f t="shared" si="2"/>
        <v>6.3262637095471055E-3</v>
      </c>
      <c r="Q47" s="151">
        <f t="shared" si="2"/>
        <v>6.3262637095471055E-3</v>
      </c>
    </row>
    <row r="48" spans="2:17" x14ac:dyDescent="0.25">
      <c r="B48" t="str">
        <f>Balance_sheet!B60</f>
        <v>Deferred tax liabilities (net)</v>
      </c>
      <c r="C48" s="51">
        <f>Balance_sheet!C60</f>
        <v>2916.9</v>
      </c>
      <c r="D48" s="51">
        <f>Balance_sheet!D60</f>
        <v>5745.6</v>
      </c>
      <c r="E48" s="51">
        <f>Balance_sheet!E60</f>
        <v>4109.6000000000004</v>
      </c>
      <c r="F48" s="51">
        <f>Balance_sheet!F60</f>
        <v>3896.1</v>
      </c>
      <c r="G48" s="51">
        <f>Balance_sheet!G60</f>
        <v>3565.6</v>
      </c>
      <c r="H48" s="27">
        <f>H49*'Revenue Build_up'!H$10</f>
        <v>5073.5773157958956</v>
      </c>
      <c r="I48" s="27">
        <f>I49*'Revenue Build_up'!I$10</f>
        <v>5480.3447103174003</v>
      </c>
      <c r="J48" s="27">
        <f>J49*'Revenue Build_up'!J$10</f>
        <v>5945.7531981703114</v>
      </c>
      <c r="K48" s="27">
        <f>K49*'Revenue Build_up'!K$10</f>
        <v>6480.8941896443703</v>
      </c>
      <c r="L48" s="27">
        <f>L49*'Revenue Build_up'!L$10</f>
        <v>7099.1953195487367</v>
      </c>
      <c r="M48" s="27">
        <f>M49*'Revenue Build_up'!M$10</f>
        <v>7816.9337168476977</v>
      </c>
      <c r="N48" s="27">
        <f>N49*'Revenue Build_up'!N$10</f>
        <v>8653.8640816949392</v>
      </c>
      <c r="O48" s="27">
        <f>O49*'Revenue Build_up'!O$10</f>
        <v>9633.9874672238639</v>
      </c>
      <c r="P48" s="27">
        <f>P49*'Revenue Build_up'!P$10</f>
        <v>10786.492530020851</v>
      </c>
      <c r="Q48" s="27">
        <f>Q49*'Revenue Build_up'!Q$10</f>
        <v>12146.908211693564</v>
      </c>
    </row>
    <row r="49" spans="2:17" x14ac:dyDescent="0.25">
      <c r="B49" s="149" t="s">
        <v>155</v>
      </c>
      <c r="C49" s="150">
        <f>C48/'Revenue Build_up'!C$10</f>
        <v>1.2628087266234921E-2</v>
      </c>
      <c r="D49" s="150">
        <f>D48/'Revenue Build_up'!D$10</f>
        <v>2.3191475792565135E-2</v>
      </c>
      <c r="E49" s="150">
        <f>E48/'Revenue Build_up'!E$10</f>
        <v>1.7520844800087317E-2</v>
      </c>
      <c r="F49" s="150">
        <f>F48/'Revenue Build_up'!F$10</f>
        <v>1.5675077186508516E-2</v>
      </c>
      <c r="G49" s="150">
        <f>G48/'Revenue Build_up'!G$10</f>
        <v>1.2294379638278497E-2</v>
      </c>
      <c r="H49" s="151">
        <f>AVERAGE(C49:G49)</f>
        <v>1.6261972936734877E-2</v>
      </c>
      <c r="I49" s="151">
        <f t="shared" si="2"/>
        <v>1.6261972936734877E-2</v>
      </c>
      <c r="J49" s="151">
        <f t="shared" si="2"/>
        <v>1.6261972936734877E-2</v>
      </c>
      <c r="K49" s="151">
        <f t="shared" si="2"/>
        <v>1.6261972936734877E-2</v>
      </c>
      <c r="L49" s="151">
        <f t="shared" si="2"/>
        <v>1.6261972936734877E-2</v>
      </c>
      <c r="M49" s="151">
        <f t="shared" si="2"/>
        <v>1.6261972936734877E-2</v>
      </c>
      <c r="N49" s="151">
        <f t="shared" si="2"/>
        <v>1.6261972936734877E-2</v>
      </c>
      <c r="O49" s="151">
        <f t="shared" si="2"/>
        <v>1.6261972936734877E-2</v>
      </c>
      <c r="P49" s="151">
        <f t="shared" si="2"/>
        <v>1.6261972936734877E-2</v>
      </c>
      <c r="Q49" s="151">
        <f t="shared" si="2"/>
        <v>1.6261972936734877E-2</v>
      </c>
    </row>
    <row r="50" spans="2:17" x14ac:dyDescent="0.25">
      <c r="B50" t="str">
        <f>Balance_sheet!B61</f>
        <v>Other non-current liabilities</v>
      </c>
      <c r="C50">
        <f>Balance_sheet!C61</f>
        <v>874.8</v>
      </c>
      <c r="D50">
        <f>Balance_sheet!D61</f>
        <v>395</v>
      </c>
      <c r="E50">
        <f>Balance_sheet!E61</f>
        <v>297.7</v>
      </c>
      <c r="F50">
        <f>Balance_sheet!F61</f>
        <v>290.39999999999998</v>
      </c>
      <c r="G50">
        <f>Balance_sheet!G61</f>
        <v>364.7</v>
      </c>
      <c r="H50" s="27">
        <f>H51*'Revenue Build_up'!H$10</f>
        <v>566.36886249480563</v>
      </c>
      <c r="I50" s="27">
        <f>I51*'Revenue Build_up'!I$10</f>
        <v>611.77674182638941</v>
      </c>
      <c r="J50" s="27">
        <f>J51*'Revenue Build_up'!J$10</f>
        <v>663.73078912946687</v>
      </c>
      <c r="K50" s="27">
        <f>K51*'Revenue Build_up'!K$10</f>
        <v>723.46915039812927</v>
      </c>
      <c r="L50" s="27">
        <f>L51*'Revenue Build_up'!L$10</f>
        <v>792.4907668684117</v>
      </c>
      <c r="M50" s="27">
        <f>M51*'Revenue Build_up'!M$10</f>
        <v>872.61267185672432</v>
      </c>
      <c r="N50" s="27">
        <f>N51*'Revenue Build_up'!N$10</f>
        <v>966.04010367098397</v>
      </c>
      <c r="O50" s="27">
        <f>O51*'Revenue Build_up'!O$10</f>
        <v>1075.4523255441602</v>
      </c>
      <c r="P50" s="27">
        <f>P51*'Revenue Build_up'!P$10</f>
        <v>1204.1076984313747</v>
      </c>
      <c r="Q50" s="27">
        <f>Q51*'Revenue Build_up'!Q$10</f>
        <v>1355.9723560862867</v>
      </c>
    </row>
    <row r="51" spans="2:17" x14ac:dyDescent="0.25">
      <c r="B51" s="149" t="s">
        <v>155</v>
      </c>
      <c r="C51" s="150">
        <f>C50/'Revenue Build_up'!C$10</f>
        <v>3.7872572733046415E-3</v>
      </c>
      <c r="D51" s="150">
        <f>D50/'Revenue Build_up'!D$10</f>
        <v>1.5943735968503251E-3</v>
      </c>
      <c r="E51" s="150">
        <f>E50/'Revenue Build_up'!E$10</f>
        <v>1.2692124530333836E-3</v>
      </c>
      <c r="F51" s="150">
        <f>F50/'Revenue Build_up'!F$10</f>
        <v>1.1683587215323202E-3</v>
      </c>
      <c r="G51" s="150">
        <f>G50/'Revenue Build_up'!G$10</f>
        <v>1.2575051194974667E-3</v>
      </c>
      <c r="H51" s="151">
        <f>AVERAGE(C51:G51)</f>
        <v>1.8153414328436275E-3</v>
      </c>
      <c r="I51" s="151">
        <f t="shared" si="2"/>
        <v>1.8153414328436275E-3</v>
      </c>
      <c r="J51" s="151">
        <f t="shared" si="2"/>
        <v>1.8153414328436275E-3</v>
      </c>
      <c r="K51" s="151">
        <f t="shared" si="2"/>
        <v>1.8153414328436275E-3</v>
      </c>
      <c r="L51" s="151">
        <f t="shared" si="2"/>
        <v>1.8153414328436275E-3</v>
      </c>
      <c r="M51" s="151">
        <f t="shared" si="2"/>
        <v>1.8153414328436275E-3</v>
      </c>
      <c r="N51" s="151">
        <f t="shared" si="2"/>
        <v>1.8153414328436275E-3</v>
      </c>
      <c r="O51" s="151">
        <f t="shared" si="2"/>
        <v>1.8153414328436275E-3</v>
      </c>
      <c r="P51" s="151">
        <f t="shared" si="2"/>
        <v>1.8153414328436275E-3</v>
      </c>
      <c r="Q51" s="151">
        <f t="shared" si="2"/>
        <v>1.8153414328436275E-3</v>
      </c>
    </row>
    <row r="52" spans="2:17" x14ac:dyDescent="0.25">
      <c r="I52" s="19"/>
      <c r="J52" s="19"/>
      <c r="K52" s="19"/>
      <c r="L52" s="19"/>
      <c r="M52" s="19"/>
      <c r="N52" s="19"/>
      <c r="O52" s="19"/>
      <c r="P52" s="19"/>
      <c r="Q52" s="19"/>
    </row>
    <row r="53" spans="2:17" x14ac:dyDescent="0.25">
      <c r="B53" s="1" t="s">
        <v>62</v>
      </c>
      <c r="I53" s="19"/>
      <c r="J53" s="19"/>
      <c r="K53" s="19"/>
      <c r="L53" s="19"/>
      <c r="M53" s="19"/>
      <c r="N53" s="19"/>
      <c r="O53" s="19"/>
      <c r="P53" s="19"/>
      <c r="Q53" s="19"/>
    </row>
    <row r="54" spans="2:17" x14ac:dyDescent="0.25">
      <c r="B54" t="str">
        <f>Balance_sheet!B67</f>
        <v>Borrowings</v>
      </c>
      <c r="C54" s="51">
        <f>Balance_sheet!C67</f>
        <v>54223</v>
      </c>
      <c r="D54" s="51">
        <f>Balance_sheet!D67</f>
        <v>48037.8</v>
      </c>
      <c r="E54" s="51">
        <f>Balance_sheet!E67</f>
        <v>21235.599999999999</v>
      </c>
      <c r="F54" s="51">
        <f>Balance_sheet!F67</f>
        <v>42425.599999999999</v>
      </c>
      <c r="G54" s="51">
        <f>Balance_sheet!G67</f>
        <v>41803.199999999997</v>
      </c>
      <c r="H54" s="27">
        <f>H55*'Revenue Build_up'!H$10</f>
        <v>52040.675469213944</v>
      </c>
      <c r="I54" s="27">
        <f>I55*'Revenue Build_up'!I$10</f>
        <v>56212.968242568604</v>
      </c>
      <c r="J54" s="27">
        <f>J55*'Revenue Build_up'!J$10</f>
        <v>60986.754186771075</v>
      </c>
      <c r="K54" s="27">
        <f>K55*'Revenue Build_up'!K$10</f>
        <v>66475.800067844088</v>
      </c>
      <c r="L54" s="27">
        <f>L55*'Revenue Build_up'!L$10</f>
        <v>72817.835763924493</v>
      </c>
      <c r="M54" s="27">
        <f>M55*'Revenue Build_up'!M$10</f>
        <v>80179.818972367939</v>
      </c>
      <c r="N54" s="27">
        <f>N55*'Revenue Build_up'!N$10</f>
        <v>88764.377518809197</v>
      </c>
      <c r="O54" s="27">
        <f>O55*'Revenue Build_up'!O$10</f>
        <v>98817.69490244241</v>
      </c>
      <c r="P54" s="27">
        <f>P55*'Revenue Build_up'!P$10</f>
        <v>110639.16488633589</v>
      </c>
      <c r="Q54" s="27">
        <f>Q55*'Revenue Build_up'!Q$10</f>
        <v>124593.21477786754</v>
      </c>
    </row>
    <row r="55" spans="2:17" x14ac:dyDescent="0.25">
      <c r="B55" s="149" t="s">
        <v>155</v>
      </c>
      <c r="C55" s="150">
        <f>C54/'Revenue Build_up'!C$10</f>
        <v>0.23474674340466117</v>
      </c>
      <c r="D55" s="150">
        <f>D54/'Revenue Build_up'!D$10</f>
        <v>0.19389924043234569</v>
      </c>
      <c r="E55" s="150">
        <f>E54/'Revenue Build_up'!E$10</f>
        <v>9.053573385164837E-2</v>
      </c>
      <c r="F55" s="150">
        <f>F54/'Revenue Build_up'!F$10</f>
        <v>0.17068980639201653</v>
      </c>
      <c r="G55" s="150">
        <f>G54/'Revenue Build_up'!G$10</f>
        <v>0.14413967099362901</v>
      </c>
      <c r="H55" s="151">
        <f>AVERAGE(C55:G55)</f>
        <v>0.16680223901486019</v>
      </c>
      <c r="I55" s="151">
        <f t="shared" si="2"/>
        <v>0.16680223901486019</v>
      </c>
      <c r="J55" s="151">
        <f t="shared" si="2"/>
        <v>0.16680223901486019</v>
      </c>
      <c r="K55" s="151">
        <f t="shared" si="2"/>
        <v>0.16680223901486019</v>
      </c>
      <c r="L55" s="151">
        <f t="shared" si="2"/>
        <v>0.16680223901486019</v>
      </c>
      <c r="M55" s="151">
        <f t="shared" si="2"/>
        <v>0.16680223901486019</v>
      </c>
      <c r="N55" s="151">
        <f t="shared" si="2"/>
        <v>0.16680223901486019</v>
      </c>
      <c r="O55" s="151">
        <f t="shared" si="2"/>
        <v>0.16680223901486019</v>
      </c>
      <c r="P55" s="151">
        <f t="shared" si="2"/>
        <v>0.16680223901486019</v>
      </c>
      <c r="Q55" s="151">
        <f t="shared" si="2"/>
        <v>0.16680223901486019</v>
      </c>
    </row>
    <row r="56" spans="2:17" x14ac:dyDescent="0.25">
      <c r="B56" t="str">
        <f>Balance_sheet!B68</f>
        <v>Lease liabilities</v>
      </c>
      <c r="C56" s="62">
        <f>Balance_sheet!C68</f>
        <v>0</v>
      </c>
      <c r="D56" s="62">
        <f>Balance_sheet!D68</f>
        <v>1006.2</v>
      </c>
      <c r="E56" s="62">
        <f>Balance_sheet!E68</f>
        <v>1598.9</v>
      </c>
      <c r="F56" s="62">
        <f>Balance_sheet!F68</f>
        <v>1031.5999999999999</v>
      </c>
      <c r="G56" s="62">
        <f>Balance_sheet!G68</f>
        <v>798.8</v>
      </c>
      <c r="H56" s="27">
        <f>H57*'Revenue Build_up'!H$10</f>
        <v>1109.6164731304586</v>
      </c>
      <c r="I56" s="27">
        <f>I57*'Revenue Build_up'!I$10</f>
        <v>1198.5785158075623</v>
      </c>
      <c r="J56" s="27">
        <f>J57*'Revenue Build_up'!J$10</f>
        <v>1300.3656558691728</v>
      </c>
      <c r="K56" s="27">
        <f>K57*'Revenue Build_up'!K$10</f>
        <v>1417.4036396480467</v>
      </c>
      <c r="L56" s="27">
        <f>L57*'Revenue Build_up'!L$10</f>
        <v>1552.6291573436285</v>
      </c>
      <c r="M56" s="27">
        <f>M57*'Revenue Build_up'!M$10</f>
        <v>1709.6020976320622</v>
      </c>
      <c r="N56" s="27">
        <f>N57*'Revenue Build_up'!N$10</f>
        <v>1892.6429112225621</v>
      </c>
      <c r="O56" s="27">
        <f>O57*'Revenue Build_up'!O$10</f>
        <v>2107.0007472404177</v>
      </c>
      <c r="P56" s="27">
        <f>P57*'Revenue Build_up'!P$10</f>
        <v>2359.0593093646803</v>
      </c>
      <c r="Q56" s="27">
        <f>Q57*'Revenue Build_up'!Q$10</f>
        <v>2656.588952992915</v>
      </c>
    </row>
    <row r="57" spans="2:17" x14ac:dyDescent="0.25">
      <c r="B57" s="149" t="s">
        <v>155</v>
      </c>
      <c r="C57" s="150">
        <f>C56/'Revenue Build_up'!C$10</f>
        <v>0</v>
      </c>
      <c r="D57" s="150">
        <f>D56/'Revenue Build_up'!D$10</f>
        <v>4.0614144636729041E-3</v>
      </c>
      <c r="E57" s="150">
        <f>E56/'Revenue Build_up'!E$10</f>
        <v>6.8167409847332125E-3</v>
      </c>
      <c r="F57" s="150">
        <f>F56/'Revenue Build_up'!F$10</f>
        <v>4.1504092876471811E-3</v>
      </c>
      <c r="G57" s="150">
        <f>G56/'Revenue Build_up'!G$10</f>
        <v>2.7543051534263132E-3</v>
      </c>
      <c r="H57" s="151">
        <f>AVERAGE(C57:G57)</f>
        <v>3.5565739778959222E-3</v>
      </c>
      <c r="I57" s="151">
        <f t="shared" si="2"/>
        <v>3.5565739778959222E-3</v>
      </c>
      <c r="J57" s="151">
        <f t="shared" si="2"/>
        <v>3.5565739778959222E-3</v>
      </c>
      <c r="K57" s="151">
        <f t="shared" si="2"/>
        <v>3.5565739778959222E-3</v>
      </c>
      <c r="L57" s="151">
        <f t="shared" si="2"/>
        <v>3.5565739778959222E-3</v>
      </c>
      <c r="M57" s="151">
        <f t="shared" si="2"/>
        <v>3.5565739778959222E-3</v>
      </c>
      <c r="N57" s="151">
        <f t="shared" si="2"/>
        <v>3.5565739778959222E-3</v>
      </c>
      <c r="O57" s="151">
        <f t="shared" si="2"/>
        <v>3.5565739778959222E-3</v>
      </c>
      <c r="P57" s="151">
        <f t="shared" si="2"/>
        <v>3.5565739778959222E-3</v>
      </c>
      <c r="Q57" s="151">
        <f t="shared" si="2"/>
        <v>3.5565739778959222E-3</v>
      </c>
    </row>
    <row r="58" spans="2:17" x14ac:dyDescent="0.25">
      <c r="B58" t="str">
        <f>Balance_sheet!B72</f>
        <v>Other financial liabilities</v>
      </c>
      <c r="C58" s="51">
        <f>Balance_sheet!C72</f>
        <v>22386.9</v>
      </c>
      <c r="D58" s="51">
        <f>Balance_sheet!D72</f>
        <v>20275</v>
      </c>
      <c r="E58" s="51">
        <f>Balance_sheet!E72</f>
        <v>17746.5</v>
      </c>
      <c r="F58" s="51">
        <f>Balance_sheet!F72</f>
        <v>17213.7</v>
      </c>
      <c r="G58" s="51">
        <f>Balance_sheet!G72</f>
        <v>21015.9</v>
      </c>
      <c r="H58" s="27">
        <f>H59*'Revenue Build_up'!H$10</f>
        <v>24718.160669289253</v>
      </c>
      <c r="I58" s="27">
        <f>I59*'Revenue Build_up'!I$10</f>
        <v>26699.906720838972</v>
      </c>
      <c r="J58" s="27">
        <f>J59*'Revenue Build_up'!J$10</f>
        <v>28967.348619040255</v>
      </c>
      <c r="K58" s="27">
        <f>K59*'Revenue Build_up'!K$10</f>
        <v>31574.523041473098</v>
      </c>
      <c r="L58" s="27">
        <f>L59*'Revenue Build_up'!L$10</f>
        <v>34586.848609745575</v>
      </c>
      <c r="M58" s="27">
        <f>M59*'Revenue Build_up'!M$10</f>
        <v>38083.626507998772</v>
      </c>
      <c r="N58" s="27">
        <f>N59*'Revenue Build_up'!N$10</f>
        <v>42161.100436087669</v>
      </c>
      <c r="O58" s="27">
        <f>O59*'Revenue Build_up'!O$10</f>
        <v>46936.202067791332</v>
      </c>
      <c r="P58" s="27">
        <f>P59*'Revenue Build_up'!P$10</f>
        <v>52551.136765976036</v>
      </c>
      <c r="Q58" s="27">
        <f>Q59*'Revenue Build_up'!Q$10</f>
        <v>59178.99937721758</v>
      </c>
    </row>
    <row r="59" spans="2:17" x14ac:dyDescent="0.25">
      <c r="B59" s="149" t="s">
        <v>155</v>
      </c>
      <c r="C59" s="150">
        <f>C58/'Revenue Build_up'!C$10</f>
        <v>9.6919238513653055E-2</v>
      </c>
      <c r="D59" s="150">
        <f>D58/'Revenue Build_up'!D$10</f>
        <v>8.1837783990228702E-2</v>
      </c>
      <c r="E59" s="150">
        <f>E58/'Revenue Build_up'!E$10</f>
        <v>7.5660325152021979E-2</v>
      </c>
      <c r="F59" s="150">
        <f>F58/'Revenue Build_up'!F$10</f>
        <v>6.9255428804548561E-2</v>
      </c>
      <c r="G59" s="150">
        <f>G58/'Revenue Build_up'!G$10</f>
        <v>7.2463948014386659E-2</v>
      </c>
      <c r="H59" s="151">
        <f>AVERAGE(C59:G59)</f>
        <v>7.9227344894967786E-2</v>
      </c>
      <c r="I59" s="151">
        <f t="shared" si="2"/>
        <v>7.9227344894967786E-2</v>
      </c>
      <c r="J59" s="151">
        <f t="shared" si="2"/>
        <v>7.9227344894967786E-2</v>
      </c>
      <c r="K59" s="151">
        <f t="shared" si="2"/>
        <v>7.9227344894967786E-2</v>
      </c>
      <c r="L59" s="151">
        <f t="shared" si="2"/>
        <v>7.9227344894967786E-2</v>
      </c>
      <c r="M59" s="151">
        <f t="shared" si="2"/>
        <v>7.9227344894967786E-2</v>
      </c>
      <c r="N59" s="151">
        <f t="shared" si="2"/>
        <v>7.9227344894967786E-2</v>
      </c>
      <c r="O59" s="151">
        <f t="shared" si="2"/>
        <v>7.9227344894967786E-2</v>
      </c>
      <c r="P59" s="151">
        <f t="shared" si="2"/>
        <v>7.9227344894967786E-2</v>
      </c>
      <c r="Q59" s="151">
        <f t="shared" si="2"/>
        <v>7.9227344894967786E-2</v>
      </c>
    </row>
    <row r="60" spans="2:17" x14ac:dyDescent="0.25">
      <c r="B60" t="str">
        <f>Balance_sheet!B73</f>
        <v>Other current liabilities</v>
      </c>
      <c r="C60" s="51">
        <f>Balance_sheet!C73</f>
        <v>6358.7</v>
      </c>
      <c r="D60" s="51">
        <f>Balance_sheet!D73</f>
        <v>5561.9</v>
      </c>
      <c r="E60" s="51">
        <f>Balance_sheet!E73</f>
        <v>11662.4</v>
      </c>
      <c r="F60" s="51">
        <f>Balance_sheet!F73</f>
        <v>11432.5</v>
      </c>
      <c r="G60" s="51">
        <f>Balance_sheet!G73</f>
        <v>8773.7999999999993</v>
      </c>
      <c r="H60" s="27">
        <f>H61*'Revenue Build_up'!H$10</f>
        <v>10978.851794949343</v>
      </c>
      <c r="I60" s="27">
        <f>I61*'Revenue Build_up'!I$10</f>
        <v>11859.066811199418</v>
      </c>
      <c r="J60" s="27">
        <f>J61*'Revenue Build_up'!J$10</f>
        <v>12866.176882497708</v>
      </c>
      <c r="K60" s="27">
        <f>K61*'Revenue Build_up'!K$10</f>
        <v>14024.18301290676</v>
      </c>
      <c r="L60" s="27">
        <f>L61*'Revenue Build_up'!L$10</f>
        <v>15362.141626198314</v>
      </c>
      <c r="M60" s="27">
        <f>M61*'Revenue Build_up'!M$10</f>
        <v>16915.275243962769</v>
      </c>
      <c r="N60" s="27">
        <f>N61*'Revenue Build_up'!N$10</f>
        <v>18726.33159856754</v>
      </c>
      <c r="O60" s="27">
        <f>O61*'Revenue Build_up'!O$10</f>
        <v>20847.247220959707</v>
      </c>
      <c r="P60" s="27">
        <f>P61*'Revenue Build_up'!P$10</f>
        <v>23341.184238137495</v>
      </c>
      <c r="Q60" s="27">
        <f>Q61*'Revenue Build_up'!Q$10</f>
        <v>26285.024692112471</v>
      </c>
    </row>
    <row r="61" spans="2:17" x14ac:dyDescent="0.25">
      <c r="B61" s="149" t="s">
        <v>155</v>
      </c>
      <c r="C61" s="150">
        <f>C60/'Revenue Build_up'!C$10</f>
        <v>2.752861548212417E-2</v>
      </c>
      <c r="D61" s="150">
        <f>D60/'Revenue Build_up'!D$10</f>
        <v>2.2449991160308411E-2</v>
      </c>
      <c r="E61" s="150">
        <f>E60/'Revenue Build_up'!E$10</f>
        <v>4.97214085060683E-2</v>
      </c>
      <c r="F61" s="150">
        <f>F60/'Revenue Build_up'!F$10</f>
        <v>4.599607811266615E-2</v>
      </c>
      <c r="G61" s="150">
        <f>G60/'Revenue Build_up'!G$10</f>
        <v>3.0252531991902587E-2</v>
      </c>
      <c r="H61" s="151">
        <f>AVERAGE(C61:G61)</f>
        <v>3.5189725050613921E-2</v>
      </c>
      <c r="I61" s="151">
        <f t="shared" si="2"/>
        <v>3.5189725050613921E-2</v>
      </c>
      <c r="J61" s="151">
        <f t="shared" si="2"/>
        <v>3.5189725050613921E-2</v>
      </c>
      <c r="K61" s="151">
        <f t="shared" si="2"/>
        <v>3.5189725050613921E-2</v>
      </c>
      <c r="L61" s="151">
        <f t="shared" si="2"/>
        <v>3.5189725050613921E-2</v>
      </c>
      <c r="M61" s="151">
        <f t="shared" si="2"/>
        <v>3.5189725050613921E-2</v>
      </c>
      <c r="N61" s="151">
        <f t="shared" si="2"/>
        <v>3.5189725050613921E-2</v>
      </c>
      <c r="O61" s="151">
        <f t="shared" si="2"/>
        <v>3.5189725050613921E-2</v>
      </c>
      <c r="P61" s="151">
        <f t="shared" si="2"/>
        <v>3.5189725050613921E-2</v>
      </c>
      <c r="Q61" s="151">
        <f t="shared" si="2"/>
        <v>3.5189725050613921E-2</v>
      </c>
    </row>
    <row r="62" spans="2:17" x14ac:dyDescent="0.25">
      <c r="B62" t="str">
        <f>Balance_sheet!B74</f>
        <v>Provisions</v>
      </c>
      <c r="C62" s="51">
        <f>Balance_sheet!C74</f>
        <v>4166.3999999999996</v>
      </c>
      <c r="D62" s="51">
        <f>Balance_sheet!D74</f>
        <v>1719.3</v>
      </c>
      <c r="E62" s="51">
        <f>Balance_sheet!E74</f>
        <v>1705.6</v>
      </c>
      <c r="F62" s="51">
        <f>Balance_sheet!F74</f>
        <v>2005.3</v>
      </c>
      <c r="G62" s="51">
        <f>Balance_sheet!G74</f>
        <v>2567.9</v>
      </c>
      <c r="H62" s="27">
        <f>H63*'Revenue Build_up'!H$10</f>
        <v>3068.1786533405548</v>
      </c>
      <c r="I62" s="27">
        <f>I63*'Revenue Build_up'!I$10</f>
        <v>3314.1658452298461</v>
      </c>
      <c r="J62" s="27">
        <f>J63*'Revenue Build_up'!J$10</f>
        <v>3595.6154612765076</v>
      </c>
      <c r="K62" s="27">
        <f>K63*'Revenue Build_up'!K$10</f>
        <v>3919.2348848844517</v>
      </c>
      <c r="L62" s="27">
        <f>L63*'Revenue Build_up'!L$10</f>
        <v>4293.1443002791257</v>
      </c>
      <c r="M62" s="27">
        <f>M63*'Revenue Build_up'!M$10</f>
        <v>4727.1870855185343</v>
      </c>
      <c r="N62" s="27">
        <f>N63*'Revenue Build_up'!N$10</f>
        <v>5233.3096337572642</v>
      </c>
      <c r="O62" s="27">
        <f>O63*'Revenue Build_up'!O$10</f>
        <v>5826.026263847285</v>
      </c>
      <c r="P62" s="27">
        <f>P63*'Revenue Build_up'!P$10</f>
        <v>6522.9884290894479</v>
      </c>
      <c r="Q62" s="27">
        <f>Q63*'Revenue Build_up'!Q$10</f>
        <v>7345.6817861380905</v>
      </c>
    </row>
    <row r="63" spans="2:17" x14ac:dyDescent="0.25">
      <c r="B63" s="149" t="s">
        <v>155</v>
      </c>
      <c r="C63" s="150">
        <f>C62/'Revenue Build_up'!C$10</f>
        <v>1.8037527095903588E-2</v>
      </c>
      <c r="D63" s="150">
        <f>D62/'Revenue Build_up'!D$10</f>
        <v>6.9397633545943381E-3</v>
      </c>
      <c r="E63" s="150">
        <f>E62/'Revenue Build_up'!E$10</f>
        <v>7.2716451457633157E-3</v>
      </c>
      <c r="F63" s="150">
        <f>F62/'Revenue Build_up'!F$10</f>
        <v>8.0678710202781046E-3</v>
      </c>
      <c r="G63" s="150">
        <f>G62/'Revenue Build_up'!G$10</f>
        <v>8.8542566393132582E-3</v>
      </c>
      <c r="H63" s="151">
        <f>AVERAGE(C63:G63)</f>
        <v>9.8342126511705204E-3</v>
      </c>
      <c r="I63" s="151">
        <f t="shared" si="2"/>
        <v>9.8342126511705204E-3</v>
      </c>
      <c r="J63" s="151">
        <f t="shared" si="2"/>
        <v>9.8342126511705204E-3</v>
      </c>
      <c r="K63" s="151">
        <f t="shared" si="2"/>
        <v>9.8342126511705204E-3</v>
      </c>
      <c r="L63" s="151">
        <f t="shared" si="2"/>
        <v>9.8342126511705204E-3</v>
      </c>
      <c r="M63" s="151">
        <f t="shared" si="2"/>
        <v>9.8342126511705204E-3</v>
      </c>
      <c r="N63" s="151">
        <f t="shared" si="2"/>
        <v>9.8342126511705204E-3</v>
      </c>
      <c r="O63" s="151">
        <f t="shared" si="2"/>
        <v>9.8342126511705204E-3</v>
      </c>
      <c r="P63" s="151">
        <f t="shared" si="2"/>
        <v>9.8342126511705204E-3</v>
      </c>
      <c r="Q63" s="151">
        <f t="shared" si="2"/>
        <v>9.8342126511705204E-3</v>
      </c>
    </row>
    <row r="64" spans="2:17" x14ac:dyDescent="0.25">
      <c r="B64" t="str">
        <f>Balance_sheet!B75</f>
        <v>Current tax liabilities (net)</v>
      </c>
      <c r="C64" s="62">
        <f>Balance_sheet!C75</f>
        <v>950.8</v>
      </c>
      <c r="D64" s="62">
        <f>Balance_sheet!D75</f>
        <v>2103.5</v>
      </c>
      <c r="E64" s="62">
        <f>Balance_sheet!E75</f>
        <v>580.29999999999995</v>
      </c>
      <c r="F64" s="62">
        <f>Balance_sheet!F75</f>
        <v>2116</v>
      </c>
      <c r="G64" s="62">
        <f>Balance_sheet!G75</f>
        <v>2490.1</v>
      </c>
      <c r="H64" s="27">
        <f>H65*'Revenue Build_up'!H$10</f>
        <v>2007.9768571859779</v>
      </c>
      <c r="I64" s="27">
        <f>I65*'Revenue Build_up'!I$10</f>
        <v>2168.9637631929268</v>
      </c>
      <c r="J64" s="27">
        <f>J65*'Revenue Build_up'!J$10</f>
        <v>2353.1591374975687</v>
      </c>
      <c r="K64" s="27">
        <f>K65*'Revenue Build_up'!K$10</f>
        <v>2564.9526432092098</v>
      </c>
      <c r="L64" s="27">
        <f>L65*'Revenue Build_up'!L$10</f>
        <v>2809.6585543135029</v>
      </c>
      <c r="M64" s="27">
        <f>M65*'Revenue Build_up'!M$10</f>
        <v>3093.7188931208134</v>
      </c>
      <c r="N64" s="27">
        <f>N65*'Revenue Build_up'!N$10</f>
        <v>3424.9520052007961</v>
      </c>
      <c r="O64" s="27">
        <f>O65*'Revenue Build_up'!O$10</f>
        <v>3812.8568212369182</v>
      </c>
      <c r="P64" s="27">
        <f>P65*'Revenue Build_up'!P$10</f>
        <v>4268.9853770551299</v>
      </c>
      <c r="Q64" s="27">
        <f>Q65*'Revenue Build_up'!Q$10</f>
        <v>4807.3990120355156</v>
      </c>
    </row>
    <row r="65" spans="2:17" x14ac:dyDescent="0.25">
      <c r="B65" s="149" t="s">
        <v>155</v>
      </c>
      <c r="C65" s="150">
        <f>C64/'Revenue Build_up'!C$10</f>
        <v>4.1162828251692426E-3</v>
      </c>
      <c r="D65" s="150">
        <f>D64/'Revenue Build_up'!D$10</f>
        <v>8.4905439518345779E-3</v>
      </c>
      <c r="E65" s="150">
        <f>E64/'Revenue Build_up'!E$10</f>
        <v>2.4740476536623196E-3</v>
      </c>
      <c r="F65" s="150">
        <f>F64/'Revenue Build_up'!F$10</f>
        <v>8.5132474337547854E-3</v>
      </c>
      <c r="G65" s="150">
        <f>G64/'Revenue Build_up'!G$10</f>
        <v>8.5859980752965234E-3</v>
      </c>
      <c r="H65" s="151">
        <f>AVERAGE(C65:G65)</f>
        <v>6.43602398794349E-3</v>
      </c>
      <c r="I65" s="151">
        <f t="shared" si="2"/>
        <v>6.43602398794349E-3</v>
      </c>
      <c r="J65" s="151">
        <f t="shared" si="2"/>
        <v>6.43602398794349E-3</v>
      </c>
      <c r="K65" s="151">
        <f t="shared" si="2"/>
        <v>6.43602398794349E-3</v>
      </c>
      <c r="L65" s="151">
        <f t="shared" si="2"/>
        <v>6.43602398794349E-3</v>
      </c>
      <c r="M65" s="151">
        <f t="shared" si="2"/>
        <v>6.43602398794349E-3</v>
      </c>
      <c r="N65" s="151">
        <f t="shared" si="2"/>
        <v>6.43602398794349E-3</v>
      </c>
      <c r="O65" s="151">
        <f t="shared" si="2"/>
        <v>6.43602398794349E-3</v>
      </c>
      <c r="P65" s="151">
        <f t="shared" si="2"/>
        <v>6.43602398794349E-3</v>
      </c>
      <c r="Q65" s="151">
        <f t="shared" si="2"/>
        <v>6.43602398794349E-3</v>
      </c>
    </row>
  </sheetData>
  <mergeCells count="1">
    <mergeCell ref="B6:Q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Q14"/>
  <sheetViews>
    <sheetView showGridLines="0" workbookViewId="0">
      <selection activeCell="B6" sqref="B6:Q6"/>
    </sheetView>
  </sheetViews>
  <sheetFormatPr defaultRowHeight="15" x14ac:dyDescent="0.25"/>
  <cols>
    <col min="1" max="1" width="1.85546875" customWidth="1"/>
    <col min="2" max="2" width="25" bestFit="1" customWidth="1"/>
  </cols>
  <sheetData>
    <row r="6" spans="2:17" x14ac:dyDescent="0.25">
      <c r="B6" s="131" t="s">
        <v>268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8" spans="2:17" x14ac:dyDescent="0.25">
      <c r="B8" s="126" t="s">
        <v>0</v>
      </c>
      <c r="C8" s="126">
        <v>2020</v>
      </c>
      <c r="D8" s="126">
        <f>C8+1</f>
        <v>2021</v>
      </c>
      <c r="E8" s="126">
        <f t="shared" ref="E8:Q8" si="0">D8+1</f>
        <v>2022</v>
      </c>
      <c r="F8" s="126">
        <f t="shared" si="0"/>
        <v>2023</v>
      </c>
      <c r="G8" s="126">
        <f t="shared" si="0"/>
        <v>2024</v>
      </c>
      <c r="H8" s="127">
        <f t="shared" si="0"/>
        <v>2025</v>
      </c>
      <c r="I8" s="127">
        <f t="shared" si="0"/>
        <v>2026</v>
      </c>
      <c r="J8" s="127">
        <f t="shared" si="0"/>
        <v>2027</v>
      </c>
      <c r="K8" s="127">
        <f t="shared" si="0"/>
        <v>2028</v>
      </c>
      <c r="L8" s="127">
        <f t="shared" si="0"/>
        <v>2029</v>
      </c>
      <c r="M8" s="127">
        <f t="shared" si="0"/>
        <v>2030</v>
      </c>
      <c r="N8" s="127">
        <f t="shared" si="0"/>
        <v>2031</v>
      </c>
      <c r="O8" s="127">
        <f t="shared" si="0"/>
        <v>2032</v>
      </c>
      <c r="P8" s="127">
        <f t="shared" si="0"/>
        <v>2033</v>
      </c>
      <c r="Q8" s="127">
        <f t="shared" si="0"/>
        <v>2034</v>
      </c>
    </row>
    <row r="10" spans="2:17" x14ac:dyDescent="0.25">
      <c r="B10" s="2" t="s">
        <v>167</v>
      </c>
      <c r="C10" s="2"/>
      <c r="D10" s="32">
        <f>C12</f>
        <v>0</v>
      </c>
      <c r="E10" s="32">
        <f t="shared" ref="E10:Q10" si="1">D12</f>
        <v>5353</v>
      </c>
      <c r="F10" s="32">
        <f t="shared" si="1"/>
        <v>7277.1</v>
      </c>
      <c r="G10" s="32">
        <f t="shared" si="1"/>
        <v>10436.500000000002</v>
      </c>
      <c r="H10" s="32">
        <f t="shared" si="1"/>
        <v>24673.1</v>
      </c>
      <c r="I10" s="32">
        <f t="shared" si="1"/>
        <v>11212.61842440526</v>
      </c>
      <c r="J10" s="32">
        <f t="shared" si="1"/>
        <v>12111.575372998381</v>
      </c>
      <c r="K10" s="32">
        <f t="shared" si="1"/>
        <v>13140.129282983591</v>
      </c>
      <c r="L10" s="32">
        <f t="shared" si="1"/>
        <v>14322.792198551137</v>
      </c>
      <c r="M10" s="32">
        <f t="shared" si="1"/>
        <v>15689.239225861047</v>
      </c>
      <c r="N10" s="32">
        <f t="shared" si="1"/>
        <v>17275.442860208339</v>
      </c>
      <c r="O10" s="32">
        <f t="shared" si="1"/>
        <v>19125.061037823183</v>
      </c>
      <c r="P10" s="32">
        <f t="shared" si="1"/>
        <v>21291.136145530119</v>
      </c>
      <c r="Q10" s="32">
        <f t="shared" si="1"/>
        <v>23838.175186623484</v>
      </c>
    </row>
    <row r="11" spans="2:17" x14ac:dyDescent="0.25">
      <c r="B11" t="s">
        <v>168</v>
      </c>
      <c r="E11" s="28">
        <f>E12-E10</f>
        <v>1924.1000000000004</v>
      </c>
      <c r="F11" s="28">
        <f t="shared" ref="F11:G11" si="2">F12-F10</f>
        <v>3159.4000000000015</v>
      </c>
      <c r="G11" s="28">
        <f t="shared" si="2"/>
        <v>14236.599999999997</v>
      </c>
      <c r="H11" s="28">
        <f t="shared" ref="H11" si="3">H12-H10</f>
        <v>-13460.481575594738</v>
      </c>
      <c r="I11" s="28">
        <f t="shared" ref="I11" si="4">I12-I10</f>
        <v>898.95694859312061</v>
      </c>
      <c r="J11" s="28">
        <f t="shared" ref="J11" si="5">J12-J10</f>
        <v>1028.5539099852103</v>
      </c>
      <c r="K11" s="28">
        <f t="shared" ref="K11" si="6">K12-K10</f>
        <v>1182.6629155675455</v>
      </c>
      <c r="L11" s="28">
        <f t="shared" ref="L11" si="7">L12-L10</f>
        <v>1366.4470273099105</v>
      </c>
      <c r="M11" s="28">
        <f t="shared" ref="M11" si="8">M12-M10</f>
        <v>1586.2036343472919</v>
      </c>
      <c r="N11" s="28">
        <f t="shared" ref="N11" si="9">N12-N10</f>
        <v>1849.6181776148442</v>
      </c>
      <c r="O11" s="28">
        <f t="shared" ref="O11" si="10">O12-O10</f>
        <v>2166.0751077069363</v>
      </c>
      <c r="P11" s="28">
        <f t="shared" ref="P11" si="11">P12-P10</f>
        <v>2547.0390410933651</v>
      </c>
      <c r="Q11" s="28">
        <f t="shared" ref="Q11" si="12">Q12-Q10</f>
        <v>3006.5220233626133</v>
      </c>
    </row>
    <row r="12" spans="2:17" x14ac:dyDescent="0.25">
      <c r="B12" s="29" t="s">
        <v>169</v>
      </c>
      <c r="C12" s="31">
        <f>Balance_sheet!C56+Balance_sheet!C57+Balance_sheet!C68</f>
        <v>0</v>
      </c>
      <c r="D12" s="31">
        <f>Balance_sheet!D56+Balance_sheet!D57+Balance_sheet!D68</f>
        <v>5353</v>
      </c>
      <c r="E12" s="31">
        <f>Balance_sheet!E56+Balance_sheet!E57+Balance_sheet!E68</f>
        <v>7277.1</v>
      </c>
      <c r="F12" s="31">
        <f>Balance_sheet!F56+Balance_sheet!F57+Balance_sheet!F68</f>
        <v>10436.500000000002</v>
      </c>
      <c r="G12" s="31">
        <f>Balance_sheet!G56+Balance_sheet!G57+Balance_sheet!G68</f>
        <v>24673.1</v>
      </c>
      <c r="H12" s="31">
        <f>SUM('BalanceSheet Forecast'!H40,'BalanceSheet Forecast'!H42,'BalanceSheet Forecast'!H56)</f>
        <v>11212.61842440526</v>
      </c>
      <c r="I12" s="31">
        <f>SUM('BalanceSheet Forecast'!I40,'BalanceSheet Forecast'!I42,'BalanceSheet Forecast'!I56)</f>
        <v>12111.575372998381</v>
      </c>
      <c r="J12" s="31">
        <f>SUM('BalanceSheet Forecast'!J40,'BalanceSheet Forecast'!J42,'BalanceSheet Forecast'!J56)</f>
        <v>13140.129282983591</v>
      </c>
      <c r="K12" s="31">
        <f>SUM('BalanceSheet Forecast'!K40,'BalanceSheet Forecast'!K42,'BalanceSheet Forecast'!K56)</f>
        <v>14322.792198551137</v>
      </c>
      <c r="L12" s="31">
        <f>SUM('BalanceSheet Forecast'!L40,'BalanceSheet Forecast'!L42,'BalanceSheet Forecast'!L56)</f>
        <v>15689.239225861047</v>
      </c>
      <c r="M12" s="31">
        <f>SUM('BalanceSheet Forecast'!M40,'BalanceSheet Forecast'!M42,'BalanceSheet Forecast'!M56)</f>
        <v>17275.442860208339</v>
      </c>
      <c r="N12" s="31">
        <f>SUM('BalanceSheet Forecast'!N40,'BalanceSheet Forecast'!N42,'BalanceSheet Forecast'!N56)</f>
        <v>19125.061037823183</v>
      </c>
      <c r="O12" s="31">
        <f>SUM('BalanceSheet Forecast'!O40,'BalanceSheet Forecast'!O42,'BalanceSheet Forecast'!O56)</f>
        <v>21291.136145530119</v>
      </c>
      <c r="P12" s="31">
        <f>SUM('BalanceSheet Forecast'!P40,'BalanceSheet Forecast'!P42,'BalanceSheet Forecast'!P56)</f>
        <v>23838.175186623484</v>
      </c>
      <c r="Q12" s="31">
        <f>SUM('BalanceSheet Forecast'!Q40,'BalanceSheet Forecast'!Q42,'BalanceSheet Forecast'!Q56)</f>
        <v>26844.697209986098</v>
      </c>
    </row>
    <row r="13" spans="2:17" x14ac:dyDescent="0.25">
      <c r="B13" s="149" t="s">
        <v>170</v>
      </c>
      <c r="C13" s="150"/>
      <c r="D13" s="150">
        <f t="shared" ref="D13:F13" si="13">D14/D12</f>
        <v>0.13915561367457499</v>
      </c>
      <c r="E13" s="150">
        <f t="shared" si="13"/>
        <v>6.6839812562696665E-2</v>
      </c>
      <c r="F13" s="150">
        <f t="shared" si="13"/>
        <v>0.13460451300723419</v>
      </c>
      <c r="G13" s="150">
        <f>G14/G12</f>
        <v>0.11741937575740381</v>
      </c>
      <c r="H13" s="151">
        <f>AVERAGE(D13:G13)</f>
        <v>0.11450482875047741</v>
      </c>
      <c r="I13" s="151">
        <f t="shared" ref="I13:Q13" si="14">H13</f>
        <v>0.11450482875047741</v>
      </c>
      <c r="J13" s="151">
        <f t="shared" si="14"/>
        <v>0.11450482875047741</v>
      </c>
      <c r="K13" s="151">
        <f t="shared" si="14"/>
        <v>0.11450482875047741</v>
      </c>
      <c r="L13" s="151">
        <f t="shared" si="14"/>
        <v>0.11450482875047741</v>
      </c>
      <c r="M13" s="151">
        <f t="shared" si="14"/>
        <v>0.11450482875047741</v>
      </c>
      <c r="N13" s="151">
        <f t="shared" si="14"/>
        <v>0.11450482875047741</v>
      </c>
      <c r="O13" s="151">
        <f t="shared" si="14"/>
        <v>0.11450482875047741</v>
      </c>
      <c r="P13" s="151">
        <f t="shared" si="14"/>
        <v>0.11450482875047741</v>
      </c>
      <c r="Q13" s="151">
        <f t="shared" si="14"/>
        <v>0.11450482875047741</v>
      </c>
    </row>
    <row r="14" spans="2:17" x14ac:dyDescent="0.25">
      <c r="B14" s="29" t="s">
        <v>171</v>
      </c>
      <c r="C14" s="30"/>
      <c r="D14" s="31">
        <f>'P&amp;L'!D18</f>
        <v>744.9</v>
      </c>
      <c r="E14" s="31">
        <f>'P&amp;L'!E18</f>
        <v>486.4</v>
      </c>
      <c r="F14" s="31">
        <f>'P&amp;L'!F18</f>
        <v>1404.8</v>
      </c>
      <c r="G14" s="31">
        <f>'P&amp;L'!G18</f>
        <v>2897.1</v>
      </c>
      <c r="H14" s="31">
        <f>AVERAGE(H12,H10)*H13</f>
        <v>2054.5440213871884</v>
      </c>
      <c r="I14" s="31">
        <f t="shared" ref="I14:Q14" si="15">AVERAGE(I12,I10)*I13</f>
        <v>1335.3664082573257</v>
      </c>
      <c r="J14" s="31">
        <f t="shared" si="15"/>
        <v>1445.7210586454244</v>
      </c>
      <c r="K14" s="31">
        <f t="shared" si="15"/>
        <v>1572.3185606154707</v>
      </c>
      <c r="L14" s="31">
        <f t="shared" si="15"/>
        <v>1718.2612593531319</v>
      </c>
      <c r="M14" s="31">
        <f t="shared" si="15"/>
        <v>1887.3076385396525</v>
      </c>
      <c r="N14" s="31">
        <f t="shared" si="15"/>
        <v>2084.0167326375922</v>
      </c>
      <c r="O14" s="31">
        <f t="shared" si="15"/>
        <v>2313.9248686126984</v>
      </c>
      <c r="P14" s="31">
        <f t="shared" si="15"/>
        <v>2583.762032857614</v>
      </c>
      <c r="Q14" s="31">
        <f t="shared" si="15"/>
        <v>2901.7168121780396</v>
      </c>
    </row>
  </sheetData>
  <mergeCells count="1">
    <mergeCell ref="B6:Q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Q49"/>
  <sheetViews>
    <sheetView showGridLines="0" workbookViewId="0">
      <selection activeCell="B6" sqref="B6:Q6"/>
    </sheetView>
  </sheetViews>
  <sheetFormatPr defaultRowHeight="15" x14ac:dyDescent="0.25"/>
  <cols>
    <col min="1" max="1" width="1.85546875" customWidth="1"/>
    <col min="2" max="2" width="31.7109375" bestFit="1" customWidth="1"/>
    <col min="3" max="7" width="8.140625" customWidth="1"/>
    <col min="8" max="8" width="8.140625" bestFit="1" customWidth="1"/>
    <col min="9" max="17" width="8.140625" customWidth="1"/>
  </cols>
  <sheetData>
    <row r="6" spans="2:17" x14ac:dyDescent="0.25">
      <c r="B6" s="131" t="s">
        <v>267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8" spans="2:17" x14ac:dyDescent="0.25">
      <c r="B8" s="126" t="s">
        <v>0</v>
      </c>
      <c r="C8" s="126">
        <v>2020</v>
      </c>
      <c r="D8" s="126">
        <f>C8+1</f>
        <v>2021</v>
      </c>
      <c r="E8" s="126">
        <f t="shared" ref="E8:Q8" si="0">D8+1</f>
        <v>2022</v>
      </c>
      <c r="F8" s="126">
        <f t="shared" si="0"/>
        <v>2023</v>
      </c>
      <c r="G8" s="126">
        <f t="shared" si="0"/>
        <v>2024</v>
      </c>
      <c r="H8" s="127">
        <f t="shared" si="0"/>
        <v>2025</v>
      </c>
      <c r="I8" s="127">
        <f t="shared" si="0"/>
        <v>2026</v>
      </c>
      <c r="J8" s="127">
        <f t="shared" si="0"/>
        <v>2027</v>
      </c>
      <c r="K8" s="127">
        <f t="shared" si="0"/>
        <v>2028</v>
      </c>
      <c r="L8" s="127">
        <f t="shared" si="0"/>
        <v>2029</v>
      </c>
      <c r="M8" s="127">
        <f t="shared" si="0"/>
        <v>2030</v>
      </c>
      <c r="N8" s="127">
        <f t="shared" si="0"/>
        <v>2031</v>
      </c>
      <c r="O8" s="127">
        <f t="shared" si="0"/>
        <v>2032</v>
      </c>
      <c r="P8" s="127">
        <f t="shared" si="0"/>
        <v>2033</v>
      </c>
      <c r="Q8" s="127">
        <f t="shared" si="0"/>
        <v>2034</v>
      </c>
    </row>
    <row r="10" spans="2:17" x14ac:dyDescent="0.25">
      <c r="B10" s="29" t="s">
        <v>148</v>
      </c>
      <c r="C10" s="31">
        <f>'P&amp;L'!C10</f>
        <v>230985.1</v>
      </c>
      <c r="D10" s="31">
        <f>'P&amp;L'!D10</f>
        <v>247746.2</v>
      </c>
      <c r="E10" s="31">
        <f>'P&amp;L'!E10</f>
        <v>234554.9</v>
      </c>
      <c r="F10" s="31">
        <f>'P&amp;L'!F10</f>
        <v>248553.8</v>
      </c>
      <c r="G10" s="31">
        <f>'P&amp;L'!G10</f>
        <v>290018.7</v>
      </c>
      <c r="H10" s="31">
        <f>H47</f>
        <v>311990.26929475274</v>
      </c>
      <c r="I10" s="31">
        <f t="shared" ref="I10:Q10" si="1">I47</f>
        <v>337003.67917459831</v>
      </c>
      <c r="J10" s="31">
        <f t="shared" si="1"/>
        <v>365623.11481525045</v>
      </c>
      <c r="K10" s="31">
        <f t="shared" si="1"/>
        <v>398530.62201354408</v>
      </c>
      <c r="L10" s="31">
        <f t="shared" si="1"/>
        <v>436551.90837958269</v>
      </c>
      <c r="M10" s="31">
        <f t="shared" si="1"/>
        <v>480687.90590529679</v>
      </c>
      <c r="N10" s="31">
        <f t="shared" si="1"/>
        <v>532153.39340199926</v>
      </c>
      <c r="O10" s="31">
        <f t="shared" si="1"/>
        <v>592424.27131711866</v>
      </c>
      <c r="P10" s="31">
        <f t="shared" si="1"/>
        <v>663295.44219414936</v>
      </c>
      <c r="Q10" s="31">
        <f t="shared" si="1"/>
        <v>746951.69269740861</v>
      </c>
    </row>
    <row r="11" spans="2:17" x14ac:dyDescent="0.25">
      <c r="B11" s="152" t="s">
        <v>263</v>
      </c>
      <c r="C11" s="152"/>
      <c r="D11" s="153">
        <f>D10/C10-1</f>
        <v>7.2563554965233701E-2</v>
      </c>
      <c r="E11" s="153">
        <f t="shared" ref="E11:G11" si="2">E10/D10-1</f>
        <v>-5.3245216273751228E-2</v>
      </c>
      <c r="F11" s="153">
        <f t="shared" si="2"/>
        <v>5.9682829051961761E-2</v>
      </c>
      <c r="G11" s="153">
        <f t="shared" si="2"/>
        <v>0.16682464721923385</v>
      </c>
      <c r="H11" s="153">
        <f t="shared" ref="H11" si="3">H10/G10-1</f>
        <v>7.5759146892089069E-2</v>
      </c>
      <c r="I11" s="153">
        <f t="shared" ref="I11" si="4">I10/H10-1</f>
        <v>8.017368598189889E-2</v>
      </c>
      <c r="J11" s="153">
        <f t="shared" ref="J11" si="5">J10/I10-1</f>
        <v>8.4923214223500132E-2</v>
      </c>
      <c r="K11" s="153">
        <f t="shared" ref="K11" si="6">K10/J10-1</f>
        <v>9.0003902556658133E-2</v>
      </c>
      <c r="L11" s="153">
        <f t="shared" ref="L11" si="7">L10/K10-1</f>
        <v>9.5403676068702259E-2</v>
      </c>
      <c r="M11" s="153">
        <f t="shared" ref="M11" si="8">M10/L10-1</f>
        <v>0.10110137346447656</v>
      </c>
      <c r="N11" s="153">
        <f t="shared" ref="N11" si="9">N10/M10-1</f>
        <v>0.10706632487408996</v>
      </c>
      <c r="O11" s="153">
        <f t="shared" ref="O11" si="10">O10/N10-1</f>
        <v>0.11325846769446346</v>
      </c>
      <c r="P11" s="153">
        <f t="shared" ref="P11" si="11">P10/O10-1</f>
        <v>0.11962908055651567</v>
      </c>
      <c r="Q11" s="153">
        <f t="shared" ref="Q11" si="12">Q10/P10-1</f>
        <v>0.12612215489756484</v>
      </c>
    </row>
    <row r="14" spans="2:17" x14ac:dyDescent="0.25">
      <c r="B14" s="1" t="s">
        <v>142</v>
      </c>
    </row>
    <row r="15" spans="2:17" x14ac:dyDescent="0.25">
      <c r="B15" s="2" t="s">
        <v>143</v>
      </c>
      <c r="C15" s="34">
        <v>22415.200000000001</v>
      </c>
      <c r="D15" s="34">
        <v>20138.099999999999</v>
      </c>
      <c r="E15" s="34">
        <v>26699.8</v>
      </c>
      <c r="F15" s="34">
        <v>27481.5</v>
      </c>
      <c r="G15" s="34">
        <v>34019.5</v>
      </c>
      <c r="H15" s="34">
        <f>G15*(1+H17)</f>
        <v>38199.056383397372</v>
      </c>
      <c r="I15" s="34">
        <f t="shared" ref="I15:Q15" si="13">H15*(1+I17)</f>
        <v>42892.103310806204</v>
      </c>
      <c r="J15" s="34">
        <f t="shared" si="13"/>
        <v>48161.727032201867</v>
      </c>
      <c r="K15" s="34">
        <f t="shared" si="13"/>
        <v>54078.764427016053</v>
      </c>
      <c r="L15" s="34">
        <f t="shared" si="13"/>
        <v>60722.755228385198</v>
      </c>
      <c r="M15" s="34">
        <f t="shared" si="13"/>
        <v>68183.011235448022</v>
      </c>
      <c r="N15" s="34">
        <f t="shared" si="13"/>
        <v>76559.816886570799</v>
      </c>
      <c r="O15" s="34">
        <f t="shared" si="13"/>
        <v>85965.777332197598</v>
      </c>
      <c r="P15" s="34">
        <f t="shared" si="13"/>
        <v>96527.332128784954</v>
      </c>
      <c r="Q15" s="34">
        <f t="shared" si="13"/>
        <v>108386.45490164115</v>
      </c>
    </row>
    <row r="16" spans="2:17" x14ac:dyDescent="0.25">
      <c r="B16" s="152" t="s">
        <v>155</v>
      </c>
      <c r="C16" s="153">
        <f>C15/C$10</f>
        <v>9.7041757238886833E-2</v>
      </c>
      <c r="D16" s="153">
        <f t="shared" ref="D16:G16" si="14">D15/D$10</f>
        <v>8.1285202356282352E-2</v>
      </c>
      <c r="E16" s="153">
        <f t="shared" si="14"/>
        <v>0.11383177243366052</v>
      </c>
      <c r="F16" s="153">
        <f t="shared" si="14"/>
        <v>0.11056559988219855</v>
      </c>
      <c r="G16" s="153">
        <f t="shared" si="14"/>
        <v>0.11730105679392397</v>
      </c>
      <c r="H16" s="153">
        <f t="shared" ref="H16" si="15">H15/H$10</f>
        <v>0.12243669159857297</v>
      </c>
      <c r="I16" s="153">
        <f t="shared" ref="I16" si="16">I15/I$10</f>
        <v>0.12727488143707838</v>
      </c>
      <c r="J16" s="153">
        <f t="shared" ref="J16" si="17">J15/J$10</f>
        <v>0.13172506080896448</v>
      </c>
      <c r="K16" s="153">
        <f t="shared" ref="K16" si="18">K15/K$10</f>
        <v>0.13569538058026112</v>
      </c>
      <c r="L16" s="153">
        <f t="shared" ref="L16" si="19">L15/L$10</f>
        <v>0.139096300034008</v>
      </c>
      <c r="M16" s="153">
        <f t="shared" ref="M16" si="20">M15/M$10</f>
        <v>0.14184465720442146</v>
      </c>
      <c r="N16" s="153">
        <f t="shared" ref="N16" si="21">N15/N$10</f>
        <v>0.14386794829425431</v>
      </c>
      <c r="O16" s="153">
        <f t="shared" ref="O16" si="22">O15/O$10</f>
        <v>0.14510846616914011</v>
      </c>
      <c r="P16" s="153">
        <f t="shared" ref="P16" si="23">P15/P$10</f>
        <v>0.14552690398335497</v>
      </c>
      <c r="Q16" s="153">
        <f t="shared" ref="Q16" si="24">Q15/Q$10</f>
        <v>0.14510503953774248</v>
      </c>
    </row>
    <row r="17" spans="1:17" x14ac:dyDescent="0.25">
      <c r="A17" s="19"/>
      <c r="B17" s="152" t="s">
        <v>263</v>
      </c>
      <c r="C17" s="153"/>
      <c r="D17" s="153">
        <f>D15/C15-1</f>
        <v>-0.10158731575002689</v>
      </c>
      <c r="E17" s="153">
        <f t="shared" ref="E17:G17" si="25">E15/D15-1</f>
        <v>0.32583510857528775</v>
      </c>
      <c r="F17" s="153">
        <f t="shared" si="25"/>
        <v>2.9277372864216167E-2</v>
      </c>
      <c r="G17" s="153">
        <f t="shared" si="25"/>
        <v>0.23790550006367917</v>
      </c>
      <c r="H17" s="154">
        <f>CHOOSE(Assumptions!$C$9,'Revenue Build_up'!$H$19:$Q$19,'Revenue Build_up'!H20:Q20,'Revenue Build_up'!$H$21:$Q$21)</f>
        <v>0.12285766643828905</v>
      </c>
      <c r="I17" s="154">
        <f>CHOOSE(Assumptions!$C$9,'Revenue Build_up'!$H$19:$Q$19,'Revenue Build_up'!I20:R20,'Revenue Build_up'!$H$21:$Q$21)</f>
        <v>0.12285766643828905</v>
      </c>
      <c r="J17" s="154">
        <f>CHOOSE(Assumptions!$C$9,'Revenue Build_up'!$H$19:$Q$19,'Revenue Build_up'!J20:S20,'Revenue Build_up'!$H$21:$Q$21)</f>
        <v>0.12285766643828905</v>
      </c>
      <c r="K17" s="154">
        <f>CHOOSE(Assumptions!$C$9,'Revenue Build_up'!$H$19:$Q$19,'Revenue Build_up'!K20:T20,'Revenue Build_up'!$H$21:$Q$21)</f>
        <v>0.12285766643828905</v>
      </c>
      <c r="L17" s="154">
        <f>CHOOSE(Assumptions!$C$9,'Revenue Build_up'!$H$19:$Q$19,'Revenue Build_up'!L20:U20,'Revenue Build_up'!$H$21:$Q$21)</f>
        <v>0.12285766643828905</v>
      </c>
      <c r="M17" s="154">
        <f>CHOOSE(Assumptions!$C$9,'Revenue Build_up'!$H$19:$Q$19,'Revenue Build_up'!M20:V20,'Revenue Build_up'!$H$21:$Q$21)</f>
        <v>0.12285766643828905</v>
      </c>
      <c r="N17" s="154">
        <f>CHOOSE(Assumptions!$C$9,'Revenue Build_up'!$H$19:$Q$19,'Revenue Build_up'!N20:W20,'Revenue Build_up'!$H$21:$Q$21)</f>
        <v>0.12285766643828905</v>
      </c>
      <c r="O17" s="154">
        <f>CHOOSE(Assumptions!$C$9,'Revenue Build_up'!$H$19:$Q$19,'Revenue Build_up'!O20:X20,'Revenue Build_up'!$H$21:$Q$21)</f>
        <v>0.12285766643828905</v>
      </c>
      <c r="P17" s="154">
        <f>CHOOSE(Assumptions!$C$9,'Revenue Build_up'!$H$19:$Q$19,'Revenue Build_up'!P20:Y20,'Revenue Build_up'!$H$21:$Q$21)</f>
        <v>0.12285766643828905</v>
      </c>
      <c r="Q17" s="154">
        <f>CHOOSE(Assumptions!$C$9,'Revenue Build_up'!$H$19:$Q$19,'Revenue Build_up'!Q20:Z20,'Revenue Build_up'!$H$21:$Q$21)</f>
        <v>0.12285766643828905</v>
      </c>
    </row>
    <row r="18" spans="1:17" x14ac:dyDescent="0.25">
      <c r="A18" s="19"/>
      <c r="B18" s="17" t="s">
        <v>149</v>
      </c>
      <c r="C18" s="18"/>
      <c r="D18" s="18"/>
      <c r="E18" s="18"/>
      <c r="F18" s="18"/>
      <c r="G18" s="18"/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spans="1:17" x14ac:dyDescent="0.25">
      <c r="B19" s="155" t="s">
        <v>150</v>
      </c>
      <c r="C19" s="156"/>
      <c r="D19" s="156"/>
      <c r="E19" s="156"/>
      <c r="F19" s="156"/>
      <c r="G19" s="156"/>
      <c r="H19" s="157">
        <f>H20+5%</f>
        <v>0.17285766643828904</v>
      </c>
      <c r="I19" s="157">
        <f>H19</f>
        <v>0.17285766643828904</v>
      </c>
      <c r="J19" s="157">
        <f t="shared" ref="J19:Q19" si="26">I19</f>
        <v>0.17285766643828904</v>
      </c>
      <c r="K19" s="157">
        <f t="shared" si="26"/>
        <v>0.17285766643828904</v>
      </c>
      <c r="L19" s="157">
        <f t="shared" si="26"/>
        <v>0.17285766643828904</v>
      </c>
      <c r="M19" s="157">
        <f t="shared" si="26"/>
        <v>0.17285766643828904</v>
      </c>
      <c r="N19" s="157">
        <f t="shared" si="26"/>
        <v>0.17285766643828904</v>
      </c>
      <c r="O19" s="157">
        <f t="shared" si="26"/>
        <v>0.17285766643828904</v>
      </c>
      <c r="P19" s="157">
        <f t="shared" si="26"/>
        <v>0.17285766643828904</v>
      </c>
      <c r="Q19" s="157">
        <f t="shared" si="26"/>
        <v>0.17285766643828904</v>
      </c>
    </row>
    <row r="20" spans="1:17" x14ac:dyDescent="0.25">
      <c r="B20" s="155" t="s">
        <v>151</v>
      </c>
      <c r="C20" s="156"/>
      <c r="D20" s="156"/>
      <c r="E20" s="156"/>
      <c r="F20" s="156"/>
      <c r="G20" s="156"/>
      <c r="H20" s="157">
        <f>AVERAGE(D17:G17)</f>
        <v>0.12285766643828905</v>
      </c>
      <c r="I20" s="157">
        <f>H20</f>
        <v>0.12285766643828905</v>
      </c>
      <c r="J20" s="157">
        <f t="shared" ref="J20:Q20" si="27">I20</f>
        <v>0.12285766643828905</v>
      </c>
      <c r="K20" s="157">
        <f t="shared" si="27"/>
        <v>0.12285766643828905</v>
      </c>
      <c r="L20" s="157">
        <f t="shared" si="27"/>
        <v>0.12285766643828905</v>
      </c>
      <c r="M20" s="157">
        <f t="shared" si="27"/>
        <v>0.12285766643828905</v>
      </c>
      <c r="N20" s="157">
        <f t="shared" si="27"/>
        <v>0.12285766643828905</v>
      </c>
      <c r="O20" s="157">
        <f t="shared" si="27"/>
        <v>0.12285766643828905</v>
      </c>
      <c r="P20" s="157">
        <f t="shared" si="27"/>
        <v>0.12285766643828905</v>
      </c>
      <c r="Q20" s="157">
        <f t="shared" si="27"/>
        <v>0.12285766643828905</v>
      </c>
    </row>
    <row r="21" spans="1:17" x14ac:dyDescent="0.25">
      <c r="B21" s="155" t="s">
        <v>152</v>
      </c>
      <c r="C21" s="156"/>
      <c r="D21" s="156"/>
      <c r="E21" s="156"/>
      <c r="F21" s="156"/>
      <c r="G21" s="156"/>
      <c r="H21" s="157">
        <f>H20-5%</f>
        <v>7.2857666438289045E-2</v>
      </c>
      <c r="I21" s="157">
        <f>H21</f>
        <v>7.2857666438289045E-2</v>
      </c>
      <c r="J21" s="157">
        <f t="shared" ref="J21:Q21" si="28">I21</f>
        <v>7.2857666438289045E-2</v>
      </c>
      <c r="K21" s="157">
        <f t="shared" si="28"/>
        <v>7.2857666438289045E-2</v>
      </c>
      <c r="L21" s="157">
        <f t="shared" si="28"/>
        <v>7.2857666438289045E-2</v>
      </c>
      <c r="M21" s="157">
        <f t="shared" si="28"/>
        <v>7.2857666438289045E-2</v>
      </c>
      <c r="N21" s="157">
        <f t="shared" si="28"/>
        <v>7.2857666438289045E-2</v>
      </c>
      <c r="O21" s="157">
        <f t="shared" si="28"/>
        <v>7.2857666438289045E-2</v>
      </c>
      <c r="P21" s="157">
        <f t="shared" si="28"/>
        <v>7.2857666438289045E-2</v>
      </c>
      <c r="Q21" s="157">
        <f t="shared" si="28"/>
        <v>7.2857666438289045E-2</v>
      </c>
    </row>
    <row r="23" spans="1:17" x14ac:dyDescent="0.25">
      <c r="B23" s="2" t="s">
        <v>144</v>
      </c>
      <c r="C23" s="34">
        <v>116782.6</v>
      </c>
      <c r="D23" s="34">
        <v>121174.9</v>
      </c>
      <c r="E23" s="34">
        <v>105208</v>
      </c>
      <c r="F23" s="34">
        <v>112420.8</v>
      </c>
      <c r="G23" s="34">
        <v>139804.1</v>
      </c>
      <c r="H23" s="34">
        <f>G23*(1+H25)</f>
        <v>147422.71178860331</v>
      </c>
      <c r="I23" s="34">
        <f t="shared" ref="I23:Q23" si="29">H23*(1+I25)</f>
        <v>155456.49913776203</v>
      </c>
      <c r="J23" s="34">
        <f t="shared" si="29"/>
        <v>163928.08700210901</v>
      </c>
      <c r="K23" s="34">
        <f t="shared" si="29"/>
        <v>172861.33328113411</v>
      </c>
      <c r="L23" s="34">
        <f t="shared" si="29"/>
        <v>182281.39600840269</v>
      </c>
      <c r="M23" s="34">
        <f t="shared" si="29"/>
        <v>192214.80420224453</v>
      </c>
      <c r="N23" s="34">
        <f t="shared" si="29"/>
        <v>202689.53257744451</v>
      </c>
      <c r="O23" s="34">
        <f t="shared" si="29"/>
        <v>213735.08032834029</v>
      </c>
      <c r="P23" s="34">
        <f t="shared" si="29"/>
        <v>225382.55420519772</v>
      </c>
      <c r="Q23" s="34">
        <f t="shared" si="29"/>
        <v>237664.75611782575</v>
      </c>
    </row>
    <row r="24" spans="1:17" x14ac:dyDescent="0.25">
      <c r="B24" s="152" t="s">
        <v>155</v>
      </c>
      <c r="C24" s="153">
        <f>C23/C$10</f>
        <v>0.50558499227872278</v>
      </c>
      <c r="D24" s="153">
        <f t="shared" ref="D24" si="30">D23/D$10</f>
        <v>0.48910901559741377</v>
      </c>
      <c r="E24" s="153">
        <f t="shared" ref="E24" si="31">E23/E$10</f>
        <v>0.44854317688524092</v>
      </c>
      <c r="F24" s="153">
        <f t="shared" ref="F24" si="32">F23/F$10</f>
        <v>0.45229966309104913</v>
      </c>
      <c r="G24" s="153">
        <f t="shared" ref="G24" si="33">G23/G$10</f>
        <v>0.48205201940426601</v>
      </c>
      <c r="H24" s="153">
        <f t="shared" ref="H24" si="34">H23/H$10</f>
        <v>0.47252342876542003</v>
      </c>
      <c r="I24" s="153">
        <f t="shared" ref="I24" si="35">I23/I$10</f>
        <v>0.46129021356239125</v>
      </c>
      <c r="J24" s="153">
        <f t="shared" ref="J24" si="36">J23/J$10</f>
        <v>0.44835263515804236</v>
      </c>
      <c r="K24" s="153">
        <f t="shared" ref="K24" si="37">K23/K$10</f>
        <v>0.43374667775280618</v>
      </c>
      <c r="L24" s="153">
        <f t="shared" ref="L24" si="38">L23/L$10</f>
        <v>0.41754804528287315</v>
      </c>
      <c r="M24" s="153">
        <f t="shared" ref="M24" si="39">M23/M$10</f>
        <v>0.39987443378721893</v>
      </c>
      <c r="N24" s="153">
        <f t="shared" ref="N24" si="40">N23/N$10</f>
        <v>0.38088553994116653</v>
      </c>
      <c r="O24" s="153">
        <f t="shared" ref="O24" si="41">O23/O$10</f>
        <v>0.36078042490249373</v>
      </c>
      <c r="P24" s="153">
        <f t="shared" ref="P24" si="42">P23/P$10</f>
        <v>0.33979210449515995</v>
      </c>
      <c r="Q24" s="153">
        <f t="shared" ref="Q24" si="43">Q23/Q$10</f>
        <v>0.31817955356599498</v>
      </c>
    </row>
    <row r="25" spans="1:17" x14ac:dyDescent="0.25">
      <c r="B25" s="152" t="s">
        <v>263</v>
      </c>
      <c r="C25" s="153"/>
      <c r="D25" s="153">
        <f>D23/C23-1</f>
        <v>3.7610911214513099E-2</v>
      </c>
      <c r="E25" s="153">
        <f t="shared" ref="E25:G25" si="44">E23/D23-1</f>
        <v>-0.13176738747050742</v>
      </c>
      <c r="F25" s="153">
        <f t="shared" si="44"/>
        <v>6.8557524142650816E-2</v>
      </c>
      <c r="G25" s="153">
        <f t="shared" si="44"/>
        <v>0.24357859043877994</v>
      </c>
      <c r="H25" s="154">
        <f>CHOOSE(Assumptions!$C$9,'Revenue Build_up'!$H$27:$Q$27,'Revenue Build_up'!H28:Q28,'Revenue Build_up'!$H$29:$Q$29)</f>
        <v>5.4494909581359108E-2</v>
      </c>
      <c r="I25" s="154">
        <f>CHOOSE(Assumptions!$C$9,'Revenue Build_up'!$H$19:$Q$19,'Revenue Build_up'!I28:R28,'Revenue Build_up'!$H$21:$Q$21)</f>
        <v>5.4494909581359108E-2</v>
      </c>
      <c r="J25" s="154">
        <f>CHOOSE(Assumptions!$C$9,'Revenue Build_up'!$H$19:$Q$19,'Revenue Build_up'!J28:S28,'Revenue Build_up'!$H$21:$Q$21)</f>
        <v>5.4494909581359108E-2</v>
      </c>
      <c r="K25" s="154">
        <f>CHOOSE(Assumptions!$C$9,'Revenue Build_up'!$H$19:$Q$19,'Revenue Build_up'!K28:T28,'Revenue Build_up'!$H$21:$Q$21)</f>
        <v>5.4494909581359108E-2</v>
      </c>
      <c r="L25" s="154">
        <f>CHOOSE(Assumptions!$C$9,'Revenue Build_up'!$H$19:$Q$19,'Revenue Build_up'!L28:U28,'Revenue Build_up'!$H$21:$Q$21)</f>
        <v>5.4494909581359108E-2</v>
      </c>
      <c r="M25" s="154">
        <f>CHOOSE(Assumptions!$C$9,'Revenue Build_up'!$H$19:$Q$19,'Revenue Build_up'!M28:V28,'Revenue Build_up'!$H$21:$Q$21)</f>
        <v>5.4494909581359108E-2</v>
      </c>
      <c r="N25" s="154">
        <f>CHOOSE(Assumptions!$C$9,'Revenue Build_up'!$H$19:$Q$19,'Revenue Build_up'!N28:W28,'Revenue Build_up'!$H$21:$Q$21)</f>
        <v>5.4494909581359108E-2</v>
      </c>
      <c r="O25" s="154">
        <f>CHOOSE(Assumptions!$C$9,'Revenue Build_up'!$H$19:$Q$19,'Revenue Build_up'!O28:X28,'Revenue Build_up'!$H$21:$Q$21)</f>
        <v>5.4494909581359108E-2</v>
      </c>
      <c r="P25" s="154">
        <f>CHOOSE(Assumptions!$C$9,'Revenue Build_up'!$H$19:$Q$19,'Revenue Build_up'!P28:Y28,'Revenue Build_up'!$H$21:$Q$21)</f>
        <v>5.4494909581359108E-2</v>
      </c>
      <c r="Q25" s="154">
        <f>CHOOSE(Assumptions!$C$9,'Revenue Build_up'!$H$19:$Q$19,'Revenue Build_up'!Q28:Z28,'Revenue Build_up'!$H$21:$Q$21)</f>
        <v>5.4494909581359108E-2</v>
      </c>
    </row>
    <row r="26" spans="1:17" x14ac:dyDescent="0.25">
      <c r="B26" s="17" t="s">
        <v>149</v>
      </c>
      <c r="C26" s="18"/>
      <c r="D26" s="18"/>
      <c r="E26" s="18"/>
      <c r="F26" s="18"/>
      <c r="G26" s="18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spans="1:17" x14ac:dyDescent="0.25">
      <c r="B27" s="155" t="s">
        <v>150</v>
      </c>
      <c r="C27" s="156"/>
      <c r="D27" s="156"/>
      <c r="E27" s="156"/>
      <c r="F27" s="156"/>
      <c r="G27" s="156"/>
      <c r="H27" s="157">
        <f>H28+2%</f>
        <v>7.4494909581359112E-2</v>
      </c>
      <c r="I27" s="157">
        <f>H27</f>
        <v>7.4494909581359112E-2</v>
      </c>
      <c r="J27" s="157">
        <f t="shared" ref="J27:Q27" si="45">I27</f>
        <v>7.4494909581359112E-2</v>
      </c>
      <c r="K27" s="157">
        <f t="shared" si="45"/>
        <v>7.4494909581359112E-2</v>
      </c>
      <c r="L27" s="157">
        <f t="shared" si="45"/>
        <v>7.4494909581359112E-2</v>
      </c>
      <c r="M27" s="157">
        <f t="shared" si="45"/>
        <v>7.4494909581359112E-2</v>
      </c>
      <c r="N27" s="157">
        <f t="shared" si="45"/>
        <v>7.4494909581359112E-2</v>
      </c>
      <c r="O27" s="157">
        <f t="shared" si="45"/>
        <v>7.4494909581359112E-2</v>
      </c>
      <c r="P27" s="157">
        <f t="shared" si="45"/>
        <v>7.4494909581359112E-2</v>
      </c>
      <c r="Q27" s="157">
        <f t="shared" si="45"/>
        <v>7.4494909581359112E-2</v>
      </c>
    </row>
    <row r="28" spans="1:17" x14ac:dyDescent="0.25">
      <c r="B28" s="155" t="s">
        <v>151</v>
      </c>
      <c r="C28" s="156"/>
      <c r="D28" s="156"/>
      <c r="E28" s="156"/>
      <c r="F28" s="156"/>
      <c r="G28" s="156"/>
      <c r="H28" s="157">
        <f>AVERAGE(D25:G25)</f>
        <v>5.4494909581359108E-2</v>
      </c>
      <c r="I28" s="157">
        <f>H28</f>
        <v>5.4494909581359108E-2</v>
      </c>
      <c r="J28" s="157">
        <f t="shared" ref="J28:Q28" si="46">I28</f>
        <v>5.4494909581359108E-2</v>
      </c>
      <c r="K28" s="157">
        <f t="shared" si="46"/>
        <v>5.4494909581359108E-2</v>
      </c>
      <c r="L28" s="157">
        <f t="shared" si="46"/>
        <v>5.4494909581359108E-2</v>
      </c>
      <c r="M28" s="157">
        <f t="shared" si="46"/>
        <v>5.4494909581359108E-2</v>
      </c>
      <c r="N28" s="157">
        <f t="shared" si="46"/>
        <v>5.4494909581359108E-2</v>
      </c>
      <c r="O28" s="157">
        <f t="shared" si="46"/>
        <v>5.4494909581359108E-2</v>
      </c>
      <c r="P28" s="157">
        <f t="shared" si="46"/>
        <v>5.4494909581359108E-2</v>
      </c>
      <c r="Q28" s="157">
        <f t="shared" si="46"/>
        <v>5.4494909581359108E-2</v>
      </c>
    </row>
    <row r="29" spans="1:17" x14ac:dyDescent="0.25">
      <c r="B29" s="155" t="s">
        <v>152</v>
      </c>
      <c r="C29" s="156"/>
      <c r="D29" s="156"/>
      <c r="E29" s="156"/>
      <c r="F29" s="156"/>
      <c r="G29" s="156"/>
      <c r="H29" s="157">
        <f>H28-2%</f>
        <v>3.4494909581359104E-2</v>
      </c>
      <c r="I29" s="157">
        <f>H29</f>
        <v>3.4494909581359104E-2</v>
      </c>
      <c r="J29" s="157">
        <f t="shared" ref="J29:Q29" si="47">I29</f>
        <v>3.4494909581359104E-2</v>
      </c>
      <c r="K29" s="157">
        <f t="shared" si="47"/>
        <v>3.4494909581359104E-2</v>
      </c>
      <c r="L29" s="157">
        <f t="shared" si="47"/>
        <v>3.4494909581359104E-2</v>
      </c>
      <c r="M29" s="157">
        <f t="shared" si="47"/>
        <v>3.4494909581359104E-2</v>
      </c>
      <c r="N29" s="157">
        <f t="shared" si="47"/>
        <v>3.4494909581359104E-2</v>
      </c>
      <c r="O29" s="157">
        <f t="shared" si="47"/>
        <v>3.4494909581359104E-2</v>
      </c>
      <c r="P29" s="157">
        <f t="shared" si="47"/>
        <v>3.4494909581359104E-2</v>
      </c>
      <c r="Q29" s="157">
        <f t="shared" si="47"/>
        <v>3.4494909581359104E-2</v>
      </c>
    </row>
    <row r="30" spans="1:17" x14ac:dyDescent="0.25">
      <c r="C30" s="18"/>
      <c r="D30" s="18"/>
      <c r="E30" s="18"/>
      <c r="F30" s="18"/>
      <c r="G30" s="18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1:17" x14ac:dyDescent="0.25">
      <c r="B31" s="2" t="s">
        <v>146</v>
      </c>
      <c r="C31" s="34">
        <v>72767.600000000006</v>
      </c>
      <c r="D31" s="34">
        <v>81221.600000000006</v>
      </c>
      <c r="E31" s="34">
        <v>78812.5</v>
      </c>
      <c r="F31" s="34">
        <v>72429.899999999994</v>
      </c>
      <c r="G31" s="34">
        <v>75633.3</v>
      </c>
      <c r="H31" s="34">
        <f>G31*(1+H33)</f>
        <v>76574.182521933079</v>
      </c>
      <c r="I31" s="34">
        <f t="shared" ref="I31:Q31" si="48">H31*(1+I33)</f>
        <v>77526.769675557211</v>
      </c>
      <c r="J31" s="34">
        <f t="shared" si="48"/>
        <v>78491.207067151423</v>
      </c>
      <c r="K31" s="34">
        <f t="shared" si="48"/>
        <v>79467.642114345086</v>
      </c>
      <c r="L31" s="34">
        <f t="shared" si="48"/>
        <v>80456.224068651194</v>
      </c>
      <c r="M31" s="34">
        <f t="shared" si="48"/>
        <v>81457.104038279984</v>
      </c>
      <c r="N31" s="34">
        <f t="shared" si="48"/>
        <v>82470.435011236361</v>
      </c>
      <c r="O31" s="34">
        <f t="shared" si="48"/>
        <v>83496.371878704653</v>
      </c>
      <c r="P31" s="34">
        <f t="shared" si="48"/>
        <v>84535.071458724269</v>
      </c>
      <c r="Q31" s="34">
        <f t="shared" si="48"/>
        <v>85586.692520159864</v>
      </c>
    </row>
    <row r="32" spans="1:17" x14ac:dyDescent="0.25">
      <c r="B32" s="152" t="s">
        <v>155</v>
      </c>
      <c r="C32" s="153">
        <f>C31/C$10</f>
        <v>0.31503157562977008</v>
      </c>
      <c r="D32" s="153">
        <f t="shared" ref="D32" si="49">D31/D$10</f>
        <v>0.32784196084541356</v>
      </c>
      <c r="E32" s="153">
        <f t="shared" ref="E32" si="50">E31/E$10</f>
        <v>0.33600875530632701</v>
      </c>
      <c r="F32" s="153">
        <f t="shared" ref="F32" si="51">F31/F$10</f>
        <v>0.29140532150383536</v>
      </c>
      <c r="G32" s="153">
        <f t="shared" ref="G32" si="52">G31/G$10</f>
        <v>0.26078766645047369</v>
      </c>
      <c r="H32" s="153">
        <f t="shared" ref="H32" si="53">H31/H$10</f>
        <v>0.24543772693625146</v>
      </c>
      <c r="I32" s="153">
        <f t="shared" ref="I32" si="54">I31/I$10</f>
        <v>0.23004725012331795</v>
      </c>
      <c r="J32" s="153">
        <f t="shared" ref="J32" si="55">J31/J$10</f>
        <v>0.21467791254612847</v>
      </c>
      <c r="K32" s="153">
        <f t="shared" ref="K32" si="56">K31/K$10</f>
        <v>0.19940159607520541</v>
      </c>
      <c r="L32" s="153">
        <f t="shared" ref="L32" si="57">L31/L$10</f>
        <v>0.18429932964282075</v>
      </c>
      <c r="M32" s="153">
        <f t="shared" ref="M32" si="58">M31/M$10</f>
        <v>0.16945944143293742</v>
      </c>
      <c r="N32" s="153">
        <f t="shared" ref="N32" si="59">N31/N$10</f>
        <v>0.15497493022455755</v>
      </c>
      <c r="O32" s="153">
        <f t="shared" ref="O32" si="60">O31/O$10</f>
        <v>0.14094016049185448</v>
      </c>
      <c r="P32" s="153">
        <f t="shared" ref="P32" si="61">P31/P$10</f>
        <v>0.12744708629247672</v>
      </c>
      <c r="Q32" s="153">
        <f t="shared" ref="Q32" si="62">Q31/Q$10</f>
        <v>0.11458129535939238</v>
      </c>
    </row>
    <row r="33" spans="2:17" x14ac:dyDescent="0.25">
      <c r="B33" s="152" t="s">
        <v>263</v>
      </c>
      <c r="C33" s="153"/>
      <c r="D33" s="153">
        <f>D31/C31-1</f>
        <v>0.11617807925505308</v>
      </c>
      <c r="E33" s="153">
        <f t="shared" ref="E33:G33" si="63">E31/D31-1</f>
        <v>-2.9660829139046774E-2</v>
      </c>
      <c r="F33" s="153">
        <f t="shared" si="63"/>
        <v>-8.0984615384615433E-2</v>
      </c>
      <c r="G33" s="153">
        <f t="shared" si="63"/>
        <v>4.422759109152441E-2</v>
      </c>
      <c r="H33" s="154">
        <f>CHOOSE(Assumptions!$C$9,'Revenue Build_up'!$H$27:$Q$27,'Revenue Build_up'!H36:Q36,'Revenue Build_up'!$H$29:$Q$29)</f>
        <v>1.2440056455728821E-2</v>
      </c>
      <c r="I33" s="154">
        <f>CHOOSE(Assumptions!$C$9,'Revenue Build_up'!$H$19:$Q$19,'Revenue Build_up'!I36:R36,'Revenue Build_up'!$H$21:$Q$21)</f>
        <v>1.2440056455728821E-2</v>
      </c>
      <c r="J33" s="154">
        <f>CHOOSE(Assumptions!$C$9,'Revenue Build_up'!$H$19:$Q$19,'Revenue Build_up'!J36:S36,'Revenue Build_up'!$H$21:$Q$21)</f>
        <v>1.2440056455728821E-2</v>
      </c>
      <c r="K33" s="154">
        <f>CHOOSE(Assumptions!$C$9,'Revenue Build_up'!$H$19:$Q$19,'Revenue Build_up'!K36:T36,'Revenue Build_up'!$H$21:$Q$21)</f>
        <v>1.2440056455728821E-2</v>
      </c>
      <c r="L33" s="154">
        <f>CHOOSE(Assumptions!$C$9,'Revenue Build_up'!$H$19:$Q$19,'Revenue Build_up'!L36:U36,'Revenue Build_up'!$H$21:$Q$21)</f>
        <v>1.2440056455728821E-2</v>
      </c>
      <c r="M33" s="154">
        <f>CHOOSE(Assumptions!$C$9,'Revenue Build_up'!$H$19:$Q$19,'Revenue Build_up'!M36:V36,'Revenue Build_up'!$H$21:$Q$21)</f>
        <v>1.2440056455728821E-2</v>
      </c>
      <c r="N33" s="154">
        <f>CHOOSE(Assumptions!$C$9,'Revenue Build_up'!$H$19:$Q$19,'Revenue Build_up'!N36:W36,'Revenue Build_up'!$H$21:$Q$21)</f>
        <v>1.2440056455728821E-2</v>
      </c>
      <c r="O33" s="154">
        <f>CHOOSE(Assumptions!$C$9,'Revenue Build_up'!$H$19:$Q$19,'Revenue Build_up'!O36:X36,'Revenue Build_up'!$H$21:$Q$21)</f>
        <v>1.2440056455728821E-2</v>
      </c>
      <c r="P33" s="154">
        <f>CHOOSE(Assumptions!$C$9,'Revenue Build_up'!$H$19:$Q$19,'Revenue Build_up'!P36:Y36,'Revenue Build_up'!$H$21:$Q$21)</f>
        <v>1.2440056455728821E-2</v>
      </c>
      <c r="Q33" s="154">
        <f>CHOOSE(Assumptions!$C$9,'Revenue Build_up'!$H$19:$Q$19,'Revenue Build_up'!Q36:Z36,'Revenue Build_up'!$H$21:$Q$21)</f>
        <v>1.2440056455728821E-2</v>
      </c>
    </row>
    <row r="34" spans="2:17" x14ac:dyDescent="0.25">
      <c r="B34" s="17" t="s">
        <v>149</v>
      </c>
      <c r="C34" s="18"/>
      <c r="D34" s="18"/>
      <c r="E34" s="18"/>
      <c r="F34" s="18"/>
      <c r="G34" s="18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spans="2:17" x14ac:dyDescent="0.25">
      <c r="B35" s="155" t="s">
        <v>150</v>
      </c>
      <c r="C35" s="156"/>
      <c r="D35" s="156"/>
      <c r="E35" s="156"/>
      <c r="F35" s="156"/>
      <c r="G35" s="156"/>
      <c r="H35" s="157">
        <f>H36+2%</f>
        <v>3.2440056455728825E-2</v>
      </c>
      <c r="I35" s="157">
        <f>H35</f>
        <v>3.2440056455728825E-2</v>
      </c>
      <c r="J35" s="157">
        <f t="shared" ref="J35:Q35" si="64">I35</f>
        <v>3.2440056455728825E-2</v>
      </c>
      <c r="K35" s="157">
        <f t="shared" si="64"/>
        <v>3.2440056455728825E-2</v>
      </c>
      <c r="L35" s="157">
        <f t="shared" si="64"/>
        <v>3.2440056455728825E-2</v>
      </c>
      <c r="M35" s="157">
        <f t="shared" si="64"/>
        <v>3.2440056455728825E-2</v>
      </c>
      <c r="N35" s="157">
        <f t="shared" si="64"/>
        <v>3.2440056455728825E-2</v>
      </c>
      <c r="O35" s="157">
        <f t="shared" si="64"/>
        <v>3.2440056455728825E-2</v>
      </c>
      <c r="P35" s="157">
        <f t="shared" si="64"/>
        <v>3.2440056455728825E-2</v>
      </c>
      <c r="Q35" s="157">
        <f t="shared" si="64"/>
        <v>3.2440056455728825E-2</v>
      </c>
    </row>
    <row r="36" spans="2:17" x14ac:dyDescent="0.25">
      <c r="B36" s="155" t="s">
        <v>151</v>
      </c>
      <c r="C36" s="156"/>
      <c r="D36" s="156"/>
      <c r="E36" s="156"/>
      <c r="F36" s="156"/>
      <c r="G36" s="156"/>
      <c r="H36" s="157">
        <f>AVERAGE(D33:G33)</f>
        <v>1.2440056455728821E-2</v>
      </c>
      <c r="I36" s="157">
        <f>H36</f>
        <v>1.2440056455728821E-2</v>
      </c>
      <c r="J36" s="157">
        <f t="shared" ref="J36:Q36" si="65">I36</f>
        <v>1.2440056455728821E-2</v>
      </c>
      <c r="K36" s="157">
        <f t="shared" si="65"/>
        <v>1.2440056455728821E-2</v>
      </c>
      <c r="L36" s="157">
        <f t="shared" si="65"/>
        <v>1.2440056455728821E-2</v>
      </c>
      <c r="M36" s="157">
        <f t="shared" si="65"/>
        <v>1.2440056455728821E-2</v>
      </c>
      <c r="N36" s="157">
        <f t="shared" si="65"/>
        <v>1.2440056455728821E-2</v>
      </c>
      <c r="O36" s="157">
        <f t="shared" si="65"/>
        <v>1.2440056455728821E-2</v>
      </c>
      <c r="P36" s="157">
        <f t="shared" si="65"/>
        <v>1.2440056455728821E-2</v>
      </c>
      <c r="Q36" s="157">
        <f t="shared" si="65"/>
        <v>1.2440056455728821E-2</v>
      </c>
    </row>
    <row r="37" spans="2:17" x14ac:dyDescent="0.25">
      <c r="B37" s="155" t="s">
        <v>152</v>
      </c>
      <c r="C37" s="156"/>
      <c r="D37" s="156"/>
      <c r="E37" s="156"/>
      <c r="F37" s="156"/>
      <c r="G37" s="156"/>
      <c r="H37" s="157">
        <f>H36-2%</f>
        <v>-7.5599435442711797E-3</v>
      </c>
      <c r="I37" s="157">
        <f>H37</f>
        <v>-7.5599435442711797E-3</v>
      </c>
      <c r="J37" s="157">
        <f t="shared" ref="J37:Q37" si="66">I37</f>
        <v>-7.5599435442711797E-3</v>
      </c>
      <c r="K37" s="157">
        <f t="shared" si="66"/>
        <v>-7.5599435442711797E-3</v>
      </c>
      <c r="L37" s="157">
        <f t="shared" si="66"/>
        <v>-7.5599435442711797E-3</v>
      </c>
      <c r="M37" s="157">
        <f t="shared" si="66"/>
        <v>-7.5599435442711797E-3</v>
      </c>
      <c r="N37" s="157">
        <f t="shared" si="66"/>
        <v>-7.5599435442711797E-3</v>
      </c>
      <c r="O37" s="157">
        <f t="shared" si="66"/>
        <v>-7.5599435442711797E-3</v>
      </c>
      <c r="P37" s="157">
        <f t="shared" si="66"/>
        <v>-7.5599435442711797E-3</v>
      </c>
      <c r="Q37" s="157">
        <f t="shared" si="66"/>
        <v>-7.5599435442711797E-3</v>
      </c>
    </row>
    <row r="38" spans="2:17" x14ac:dyDescent="0.25">
      <c r="C38" s="18"/>
      <c r="D38" s="18"/>
      <c r="E38" s="18"/>
      <c r="F38" s="18"/>
      <c r="G38" s="18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2:17" x14ac:dyDescent="0.25">
      <c r="B39" s="2" t="s">
        <v>145</v>
      </c>
      <c r="C39" s="34">
        <v>19019.7</v>
      </c>
      <c r="D39" s="34">
        <v>25211.599999999999</v>
      </c>
      <c r="E39" s="34">
        <v>23834.6</v>
      </c>
      <c r="F39" s="34">
        <v>36221.599999999999</v>
      </c>
      <c r="G39" s="34">
        <v>40561.800000000003</v>
      </c>
      <c r="H39" s="34">
        <f>G39*(1+H41)</f>
        <v>49794.318600818988</v>
      </c>
      <c r="I39" s="34">
        <f t="shared" ref="I39:Q39" si="67">H39*(1+I41)</f>
        <v>61128.307050472802</v>
      </c>
      <c r="J39" s="34">
        <f t="shared" si="67"/>
        <v>75042.093713788156</v>
      </c>
      <c r="K39" s="34">
        <f t="shared" si="67"/>
        <v>92122.882191048804</v>
      </c>
      <c r="L39" s="34">
        <f t="shared" si="67"/>
        <v>113091.53307414359</v>
      </c>
      <c r="M39" s="34">
        <f t="shared" si="67"/>
        <v>138832.98642932423</v>
      </c>
      <c r="N39" s="34">
        <f t="shared" si="67"/>
        <v>170433.60892674758</v>
      </c>
      <c r="O39" s="34">
        <f t="shared" si="67"/>
        <v>209227.04177787612</v>
      </c>
      <c r="P39" s="34">
        <f t="shared" si="67"/>
        <v>256850.48440144246</v>
      </c>
      <c r="Q39" s="34">
        <f t="shared" si="67"/>
        <v>315313.78915778181</v>
      </c>
    </row>
    <row r="40" spans="2:17" x14ac:dyDescent="0.25">
      <c r="B40" s="152" t="s">
        <v>155</v>
      </c>
      <c r="C40" s="153">
        <f>C39/C$10</f>
        <v>8.2341674852620367E-2</v>
      </c>
      <c r="D40" s="153">
        <f t="shared" ref="D40" si="68">D39/D$10</f>
        <v>0.10176382120089025</v>
      </c>
      <c r="E40" s="153">
        <f t="shared" ref="E40" si="69">E39/E$10</f>
        <v>0.10161629537477153</v>
      </c>
      <c r="F40" s="153">
        <f t="shared" ref="F40" si="70">F39/F$10</f>
        <v>0.14572941552291696</v>
      </c>
      <c r="G40" s="153">
        <f t="shared" ref="G40" si="71">G39/G$10</f>
        <v>0.13985925735133631</v>
      </c>
      <c r="H40" s="153">
        <f t="shared" ref="H40" si="72">H39/H$10</f>
        <v>0.15960215269975556</v>
      </c>
      <c r="I40" s="153">
        <f t="shared" ref="I40" si="73">I39/I$10</f>
        <v>0.18138765487721226</v>
      </c>
      <c r="J40" s="153">
        <f t="shared" ref="J40" si="74">J39/J$10</f>
        <v>0.20524439148686474</v>
      </c>
      <c r="K40" s="153">
        <f t="shared" ref="K40" si="75">K39/K$10</f>
        <v>0.23115634559172721</v>
      </c>
      <c r="L40" s="153">
        <f t="shared" ref="L40" si="76">L39/L$10</f>
        <v>0.25905632504029807</v>
      </c>
      <c r="M40" s="153">
        <f t="shared" ref="M40" si="77">M39/M$10</f>
        <v>0.2888214675754221</v>
      </c>
      <c r="N40" s="153">
        <f t="shared" ref="N40" si="78">N39/N$10</f>
        <v>0.32027158154002155</v>
      </c>
      <c r="O40" s="153">
        <f t="shared" ref="O40" si="79">O39/O$10</f>
        <v>0.3531709484365117</v>
      </c>
      <c r="P40" s="153">
        <f t="shared" ref="P40" si="80">P39/P$10</f>
        <v>0.38723390522900841</v>
      </c>
      <c r="Q40" s="153">
        <f t="shared" ref="Q40" si="81">Q39/Q$10</f>
        <v>0.42213411153687008</v>
      </c>
    </row>
    <row r="41" spans="2:17" x14ac:dyDescent="0.25">
      <c r="B41" s="152" t="s">
        <v>263</v>
      </c>
      <c r="C41" s="153"/>
      <c r="D41" s="153">
        <f>D39/C39-1</f>
        <v>0.32555192773808206</v>
      </c>
      <c r="E41" s="153">
        <f t="shared" ref="E41:G41" si="82">E39/D39-1</f>
        <v>-5.461771565469864E-2</v>
      </c>
      <c r="F41" s="153">
        <f t="shared" si="82"/>
        <v>0.51970664496152663</v>
      </c>
      <c r="G41" s="153">
        <f t="shared" si="82"/>
        <v>0.11982353071095719</v>
      </c>
      <c r="H41" s="154">
        <f>CHOOSE(Assumptions!$C$9,'Revenue Build_up'!$H$43:$Q$43,'Revenue Build_up'!H44:Q44,'Revenue Build_up'!$H$45:$Q$45)</f>
        <v>0.22761609693896681</v>
      </c>
      <c r="I41" s="154">
        <f>CHOOSE(Assumptions!$C$9,'Revenue Build_up'!$H$43:$Q$43,'Revenue Build_up'!I44:R44,'Revenue Build_up'!$H$45:$Q$45)</f>
        <v>0.22761609693896681</v>
      </c>
      <c r="J41" s="154">
        <f>CHOOSE(Assumptions!$C$9,'Revenue Build_up'!$H$43:$Q$43,'Revenue Build_up'!J44:S44,'Revenue Build_up'!$H$45:$Q$45)</f>
        <v>0.22761609693896681</v>
      </c>
      <c r="K41" s="154">
        <f>CHOOSE(Assumptions!$C$9,'Revenue Build_up'!$H$43:$Q$43,'Revenue Build_up'!K44:T44,'Revenue Build_up'!$H$45:$Q$45)</f>
        <v>0.22761609693896681</v>
      </c>
      <c r="L41" s="154">
        <f>CHOOSE(Assumptions!$C$9,'Revenue Build_up'!$H$43:$Q$43,'Revenue Build_up'!L44:U44,'Revenue Build_up'!$H$45:$Q$45)</f>
        <v>0.22761609693896681</v>
      </c>
      <c r="M41" s="154">
        <f>CHOOSE(Assumptions!$C$9,'Revenue Build_up'!$H$43:$Q$43,'Revenue Build_up'!M44:V44,'Revenue Build_up'!$H$45:$Q$45)</f>
        <v>0.22761609693896681</v>
      </c>
      <c r="N41" s="154">
        <f>CHOOSE(Assumptions!$C$9,'Revenue Build_up'!$H$43:$Q$43,'Revenue Build_up'!N44:W44,'Revenue Build_up'!$H$45:$Q$45)</f>
        <v>0.22761609693896681</v>
      </c>
      <c r="O41" s="154">
        <f>CHOOSE(Assumptions!$C$9,'Revenue Build_up'!$H$43:$Q$43,'Revenue Build_up'!O44:X44,'Revenue Build_up'!$H$45:$Q$45)</f>
        <v>0.22761609693896681</v>
      </c>
      <c r="P41" s="154">
        <f>CHOOSE(Assumptions!$C$9,'Revenue Build_up'!$H$43:$Q$43,'Revenue Build_up'!P44:Y44,'Revenue Build_up'!$H$45:$Q$45)</f>
        <v>0.22761609693896681</v>
      </c>
      <c r="Q41" s="154">
        <f>CHOOSE(Assumptions!$C$9,'Revenue Build_up'!$H$43:$Q$43,'Revenue Build_up'!Q44:Z44,'Revenue Build_up'!$H$45:$Q$45)</f>
        <v>0.22761609693896681</v>
      </c>
    </row>
    <row r="42" spans="2:17" x14ac:dyDescent="0.25">
      <c r="B42" s="17" t="s">
        <v>149</v>
      </c>
      <c r="C42" s="18"/>
      <c r="D42" s="18"/>
      <c r="E42" s="18"/>
      <c r="F42" s="18"/>
      <c r="G42" s="18"/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spans="2:17" x14ac:dyDescent="0.25">
      <c r="B43" s="155" t="s">
        <v>150</v>
      </c>
      <c r="C43" s="156"/>
      <c r="D43" s="156"/>
      <c r="E43" s="156"/>
      <c r="F43" s="156"/>
      <c r="G43" s="156"/>
      <c r="H43" s="157">
        <f>H44+5%</f>
        <v>0.27761609693896683</v>
      </c>
      <c r="I43" s="157">
        <f>H43</f>
        <v>0.27761609693896683</v>
      </c>
      <c r="J43" s="157">
        <f t="shared" ref="J43:Q43" si="83">I43</f>
        <v>0.27761609693896683</v>
      </c>
      <c r="K43" s="157">
        <f t="shared" si="83"/>
        <v>0.27761609693896683</v>
      </c>
      <c r="L43" s="157">
        <f t="shared" si="83"/>
        <v>0.27761609693896683</v>
      </c>
      <c r="M43" s="157">
        <f t="shared" si="83"/>
        <v>0.27761609693896683</v>
      </c>
      <c r="N43" s="157">
        <f t="shared" si="83"/>
        <v>0.27761609693896683</v>
      </c>
      <c r="O43" s="157">
        <f t="shared" si="83"/>
        <v>0.27761609693896683</v>
      </c>
      <c r="P43" s="157">
        <f t="shared" si="83"/>
        <v>0.27761609693896683</v>
      </c>
      <c r="Q43" s="157">
        <f t="shared" si="83"/>
        <v>0.27761609693896683</v>
      </c>
    </row>
    <row r="44" spans="2:17" x14ac:dyDescent="0.25">
      <c r="B44" s="155" t="s">
        <v>151</v>
      </c>
      <c r="C44" s="156"/>
      <c r="D44" s="156"/>
      <c r="E44" s="156"/>
      <c r="F44" s="156"/>
      <c r="G44" s="156"/>
      <c r="H44" s="157">
        <f>AVERAGE(D41:G41)</f>
        <v>0.22761609693896681</v>
      </c>
      <c r="I44" s="157">
        <f>H44</f>
        <v>0.22761609693896681</v>
      </c>
      <c r="J44" s="157">
        <f t="shared" ref="J44:Q44" si="84">I44</f>
        <v>0.22761609693896681</v>
      </c>
      <c r="K44" s="157">
        <f t="shared" si="84"/>
        <v>0.22761609693896681</v>
      </c>
      <c r="L44" s="157">
        <f t="shared" si="84"/>
        <v>0.22761609693896681</v>
      </c>
      <c r="M44" s="157">
        <f t="shared" si="84"/>
        <v>0.22761609693896681</v>
      </c>
      <c r="N44" s="157">
        <f t="shared" si="84"/>
        <v>0.22761609693896681</v>
      </c>
      <c r="O44" s="157">
        <f t="shared" si="84"/>
        <v>0.22761609693896681</v>
      </c>
      <c r="P44" s="157">
        <f t="shared" si="84"/>
        <v>0.22761609693896681</v>
      </c>
      <c r="Q44" s="157">
        <f t="shared" si="84"/>
        <v>0.22761609693896681</v>
      </c>
    </row>
    <row r="45" spans="2:17" x14ac:dyDescent="0.25">
      <c r="B45" s="155" t="s">
        <v>152</v>
      </c>
      <c r="C45" s="156"/>
      <c r="D45" s="156"/>
      <c r="E45" s="156"/>
      <c r="F45" s="156"/>
      <c r="G45" s="156"/>
      <c r="H45" s="157">
        <f>H44-5%</f>
        <v>0.17761609693896679</v>
      </c>
      <c r="I45" s="157">
        <f>H45</f>
        <v>0.17761609693896679</v>
      </c>
      <c r="J45" s="157">
        <f t="shared" ref="J45:Q45" si="85">I45</f>
        <v>0.17761609693896679</v>
      </c>
      <c r="K45" s="157">
        <f t="shared" si="85"/>
        <v>0.17761609693896679</v>
      </c>
      <c r="L45" s="157">
        <f t="shared" si="85"/>
        <v>0.17761609693896679</v>
      </c>
      <c r="M45" s="157">
        <f t="shared" si="85"/>
        <v>0.17761609693896679</v>
      </c>
      <c r="N45" s="157">
        <f t="shared" si="85"/>
        <v>0.17761609693896679</v>
      </c>
      <c r="O45" s="157">
        <f t="shared" si="85"/>
        <v>0.17761609693896679</v>
      </c>
      <c r="P45" s="157">
        <f t="shared" si="85"/>
        <v>0.17761609693896679</v>
      </c>
      <c r="Q45" s="157">
        <f t="shared" si="85"/>
        <v>0.17761609693896679</v>
      </c>
    </row>
    <row r="47" spans="2:17" ht="15.75" thickBot="1" x14ac:dyDescent="0.3">
      <c r="B47" s="8" t="s">
        <v>147</v>
      </c>
      <c r="C47" s="38">
        <f>SUM(C15,C23,C31,C39)</f>
        <v>230985.10000000003</v>
      </c>
      <c r="D47" s="38">
        <f>SUM(D15,D23,D31,D39)</f>
        <v>247746.2</v>
      </c>
      <c r="E47" s="38">
        <f>SUM(E15,E23,E31,E39)</f>
        <v>234554.9</v>
      </c>
      <c r="F47" s="38">
        <f>SUM(F15,F23,F31,F39)</f>
        <v>248553.8</v>
      </c>
      <c r="G47" s="38">
        <f>SUM(G15,G23,G31,G39)</f>
        <v>290018.7</v>
      </c>
      <c r="H47" s="38">
        <f>SUM(H39,H31,H23,H15)</f>
        <v>311990.26929475274</v>
      </c>
      <c r="I47" s="38">
        <f>SUM(I15,I23,I31,I39)</f>
        <v>337003.67917459831</v>
      </c>
      <c r="J47" s="38">
        <f>SUM(J15,J23,J31,J39)</f>
        <v>365623.11481525045</v>
      </c>
      <c r="K47" s="38">
        <f>SUM(K15,K23,K31,K39)</f>
        <v>398530.62201354408</v>
      </c>
      <c r="L47" s="38">
        <f>SUM(L15,L23,L31,L39)</f>
        <v>436551.90837958269</v>
      </c>
      <c r="M47" s="38">
        <f>SUM(M15,M23,M31,M39)</f>
        <v>480687.90590529679</v>
      </c>
      <c r="N47" s="38">
        <f>SUM(N15,N23,N31,N39)</f>
        <v>532153.39340199926</v>
      </c>
      <c r="O47" s="38">
        <f>SUM(O15,O23,O31,O39)</f>
        <v>592424.27131711866</v>
      </c>
      <c r="P47" s="38">
        <f>SUM(P15,P23,P31,P39)</f>
        <v>663295.44219414936</v>
      </c>
      <c r="Q47" s="38">
        <f>SUM(Q15,Q23,Q31,Q39)</f>
        <v>746951.69269740861</v>
      </c>
    </row>
    <row r="48" spans="2:17" x14ac:dyDescent="0.25">
      <c r="D48" s="18"/>
      <c r="E48" s="18"/>
      <c r="F48" s="18"/>
      <c r="G48" s="18"/>
    </row>
    <row r="49" spans="3:17" x14ac:dyDescent="0.25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</sheetData>
  <mergeCells count="1">
    <mergeCell ref="B6:Q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Q38"/>
  <sheetViews>
    <sheetView showGridLines="0" topLeftCell="B1" workbookViewId="0">
      <selection activeCell="B6" sqref="B6:Q6"/>
    </sheetView>
  </sheetViews>
  <sheetFormatPr defaultRowHeight="15" x14ac:dyDescent="0.25"/>
  <cols>
    <col min="1" max="1" width="1.85546875" customWidth="1"/>
    <col min="2" max="2" width="52.140625" bestFit="1" customWidth="1"/>
    <col min="4" max="4" width="9.85546875" bestFit="1" customWidth="1"/>
    <col min="5" max="7" width="10.7109375" bestFit="1" customWidth="1"/>
    <col min="8" max="17" width="10.7109375" customWidth="1"/>
  </cols>
  <sheetData>
    <row r="6" spans="2:17" x14ac:dyDescent="0.25">
      <c r="B6" s="131" t="s">
        <v>266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8" spans="2:17" x14ac:dyDescent="0.25">
      <c r="B8" s="126" t="s">
        <v>0</v>
      </c>
      <c r="C8" s="126">
        <v>2020</v>
      </c>
      <c r="D8" s="126">
        <f>C8+1</f>
        <v>2021</v>
      </c>
      <c r="E8" s="126">
        <f t="shared" ref="E8:Q8" si="0">D8+1</f>
        <v>2022</v>
      </c>
      <c r="F8" s="126">
        <f t="shared" si="0"/>
        <v>2023</v>
      </c>
      <c r="G8" s="126">
        <f t="shared" si="0"/>
        <v>2024</v>
      </c>
      <c r="H8" s="127">
        <f t="shared" si="0"/>
        <v>2025</v>
      </c>
      <c r="I8" s="127">
        <f t="shared" si="0"/>
        <v>2026</v>
      </c>
      <c r="J8" s="127">
        <f t="shared" si="0"/>
        <v>2027</v>
      </c>
      <c r="K8" s="127">
        <f t="shared" si="0"/>
        <v>2028</v>
      </c>
      <c r="L8" s="127">
        <f t="shared" si="0"/>
        <v>2029</v>
      </c>
      <c r="M8" s="127">
        <f t="shared" si="0"/>
        <v>2030</v>
      </c>
      <c r="N8" s="127">
        <f t="shared" si="0"/>
        <v>2031</v>
      </c>
      <c r="O8" s="127">
        <f t="shared" si="0"/>
        <v>2032</v>
      </c>
      <c r="P8" s="127">
        <f t="shared" si="0"/>
        <v>2033</v>
      </c>
      <c r="Q8" s="127">
        <f t="shared" si="0"/>
        <v>2034</v>
      </c>
    </row>
    <row r="10" spans="2:17" x14ac:dyDescent="0.25">
      <c r="B10" s="2" t="s">
        <v>148</v>
      </c>
      <c r="C10" s="158">
        <f>'Revenue Build_up'!C10</f>
        <v>230985.1</v>
      </c>
      <c r="D10" s="158">
        <f>'Revenue Build_up'!D10</f>
        <v>247746.2</v>
      </c>
      <c r="E10" s="158">
        <f>'Revenue Build_up'!E10</f>
        <v>234554.9</v>
      </c>
      <c r="F10" s="158">
        <f>'Revenue Build_up'!F10</f>
        <v>248553.8</v>
      </c>
      <c r="G10" s="158">
        <f>'Revenue Build_up'!G10</f>
        <v>290018.7</v>
      </c>
      <c r="H10" s="158">
        <f>'Revenue Build_up'!H10</f>
        <v>311990.26929475274</v>
      </c>
      <c r="I10" s="158">
        <f>'Revenue Build_up'!I10</f>
        <v>337003.67917459831</v>
      </c>
      <c r="J10" s="158">
        <f>'Revenue Build_up'!J10</f>
        <v>365623.11481525045</v>
      </c>
      <c r="K10" s="158">
        <f>'Revenue Build_up'!K10</f>
        <v>398530.62201354408</v>
      </c>
      <c r="L10" s="158">
        <f>'Revenue Build_up'!L10</f>
        <v>436551.90837958269</v>
      </c>
      <c r="M10" s="158">
        <f>'Revenue Build_up'!M10</f>
        <v>480687.90590529679</v>
      </c>
      <c r="N10" s="158">
        <f>'Revenue Build_up'!N10</f>
        <v>532153.39340199926</v>
      </c>
      <c r="O10" s="158">
        <f>'Revenue Build_up'!O10</f>
        <v>592424.27131711866</v>
      </c>
      <c r="P10" s="158">
        <f>'Revenue Build_up'!P10</f>
        <v>663295.44219414936</v>
      </c>
      <c r="Q10" s="158">
        <f>'Revenue Build_up'!Q10</f>
        <v>746951.69269740861</v>
      </c>
    </row>
    <row r="12" spans="2:17" x14ac:dyDescent="0.25">
      <c r="B12" s="2" t="s">
        <v>154</v>
      </c>
      <c r="C12" s="159">
        <f>SUM('P&amp;L'!C14:C16)</f>
        <v>97352.299999999988</v>
      </c>
      <c r="D12" s="159">
        <f>SUM('P&amp;L'!D14:D16)</f>
        <v>99024.7</v>
      </c>
      <c r="E12" s="159">
        <f>SUM('P&amp;L'!E14:E16)</f>
        <v>101402.8</v>
      </c>
      <c r="F12" s="159">
        <f>SUM('P&amp;L'!F14:F16)</f>
        <v>112932.6</v>
      </c>
      <c r="G12" s="159">
        <f>SUM('P&amp;L'!G14:G16)</f>
        <v>126028.99999999999</v>
      </c>
      <c r="H12" s="160">
        <f>H10*H13</f>
        <v>133681.68606087263</v>
      </c>
      <c r="I12" s="160">
        <f t="shared" ref="I12:Q12" si="1">I10*I13</f>
        <v>144399.4395806478</v>
      </c>
      <c r="J12" s="160">
        <f t="shared" si="1"/>
        <v>156662.30412190853</v>
      </c>
      <c r="K12" s="160">
        <f t="shared" si="1"/>
        <v>170762.52287639832</v>
      </c>
      <c r="L12" s="160">
        <f t="shared" si="1"/>
        <v>187053.8952935726</v>
      </c>
      <c r="M12" s="160">
        <f t="shared" si="1"/>
        <v>205965.30101963316</v>
      </c>
      <c r="N12" s="160">
        <f t="shared" si="1"/>
        <v>228017.24885139093</v>
      </c>
      <c r="O12" s="160">
        <f t="shared" si="1"/>
        <v>253842.1330642066</v>
      </c>
      <c r="P12" s="160">
        <f t="shared" si="1"/>
        <v>284209.03404918237</v>
      </c>
      <c r="Q12" s="160">
        <f t="shared" si="1"/>
        <v>320054.08986482059</v>
      </c>
    </row>
    <row r="13" spans="2:17" x14ac:dyDescent="0.25">
      <c r="B13" s="21" t="s">
        <v>155</v>
      </c>
      <c r="C13" s="22">
        <f>C12/C10</f>
        <v>0.42146571358931806</v>
      </c>
      <c r="D13" s="22">
        <f t="shared" ref="D13:G13" si="2">D12/D10</f>
        <v>0.39970219523044143</v>
      </c>
      <c r="E13" s="22">
        <f t="shared" si="2"/>
        <v>0.43232010927932013</v>
      </c>
      <c r="F13" s="22">
        <f t="shared" si="2"/>
        <v>0.45435877463953483</v>
      </c>
      <c r="G13" s="22">
        <f t="shared" si="2"/>
        <v>0.4345547373324547</v>
      </c>
      <c r="H13" s="23">
        <f>AVERAGE(C13:G13)</f>
        <v>0.42848030601421377</v>
      </c>
      <c r="I13" s="23">
        <f>H13</f>
        <v>0.42848030601421377</v>
      </c>
      <c r="J13" s="23">
        <f t="shared" ref="J13:Q13" si="3">I13</f>
        <v>0.42848030601421377</v>
      </c>
      <c r="K13" s="23">
        <f t="shared" si="3"/>
        <v>0.42848030601421377</v>
      </c>
      <c r="L13" s="23">
        <f t="shared" si="3"/>
        <v>0.42848030601421377</v>
      </c>
      <c r="M13" s="23">
        <f t="shared" si="3"/>
        <v>0.42848030601421377</v>
      </c>
      <c r="N13" s="23">
        <f t="shared" si="3"/>
        <v>0.42848030601421377</v>
      </c>
      <c r="O13" s="23">
        <f t="shared" si="3"/>
        <v>0.42848030601421377</v>
      </c>
      <c r="P13" s="23">
        <f t="shared" si="3"/>
        <v>0.42848030601421377</v>
      </c>
      <c r="Q13" s="23">
        <f t="shared" si="3"/>
        <v>0.42848030601421377</v>
      </c>
    </row>
    <row r="14" spans="2:17" x14ac:dyDescent="0.25">
      <c r="B14" s="21"/>
      <c r="C14" s="22"/>
      <c r="D14" s="22"/>
      <c r="E14" s="22"/>
      <c r="F14" s="22"/>
      <c r="G14" s="22"/>
      <c r="H14" s="23"/>
      <c r="I14" s="23"/>
      <c r="J14" s="23"/>
      <c r="K14" s="23"/>
      <c r="L14" s="23"/>
      <c r="M14" s="23"/>
      <c r="N14" s="23"/>
      <c r="O14" s="23"/>
      <c r="P14" s="23"/>
      <c r="Q14" s="23"/>
    </row>
    <row r="15" spans="2:17" x14ac:dyDescent="0.25">
      <c r="B15" s="21" t="s">
        <v>156</v>
      </c>
      <c r="C15" s="22">
        <f>(C10-C12)/C10</f>
        <v>0.57853428641068194</v>
      </c>
      <c r="D15" s="22">
        <f t="shared" ref="D15:Q15" si="4">(D10-D12)/D10</f>
        <v>0.60029780476955852</v>
      </c>
      <c r="E15" s="22">
        <f t="shared" si="4"/>
        <v>0.56767989072067981</v>
      </c>
      <c r="F15" s="22">
        <f t="shared" si="4"/>
        <v>0.54564122536046522</v>
      </c>
      <c r="G15" s="22">
        <f t="shared" si="4"/>
        <v>0.56544526266754525</v>
      </c>
      <c r="H15" s="22">
        <f t="shared" si="4"/>
        <v>0.57151969398578617</v>
      </c>
      <c r="I15" s="22">
        <f t="shared" si="4"/>
        <v>0.57151969398578628</v>
      </c>
      <c r="J15" s="22">
        <f t="shared" si="4"/>
        <v>0.57151969398578628</v>
      </c>
      <c r="K15" s="22">
        <f t="shared" si="4"/>
        <v>0.57151969398578628</v>
      </c>
      <c r="L15" s="22">
        <f t="shared" si="4"/>
        <v>0.57151969398578628</v>
      </c>
      <c r="M15" s="22">
        <f t="shared" si="4"/>
        <v>0.57151969398578617</v>
      </c>
      <c r="N15" s="22">
        <f t="shared" si="4"/>
        <v>0.57151969398578628</v>
      </c>
      <c r="O15" s="22">
        <f t="shared" si="4"/>
        <v>0.57151969398578628</v>
      </c>
      <c r="P15" s="22">
        <f t="shared" si="4"/>
        <v>0.57151969398578617</v>
      </c>
      <c r="Q15" s="22">
        <f t="shared" si="4"/>
        <v>0.57151969398578628</v>
      </c>
    </row>
    <row r="16" spans="2:17" x14ac:dyDescent="0.25"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x14ac:dyDescent="0.25">
      <c r="B17" s="24" t="s">
        <v>157</v>
      </c>
    </row>
    <row r="18" spans="2:17" x14ac:dyDescent="0.25">
      <c r="B18" s="4" t="str">
        <f>'P&amp;L'!B17</f>
        <v>Employee benefits expense</v>
      </c>
      <c r="C18" s="4">
        <f>'P&amp;L'!C17</f>
        <v>32191.8</v>
      </c>
      <c r="D18" s="4">
        <f>'P&amp;L'!D17</f>
        <v>35350.199999999997</v>
      </c>
      <c r="E18" s="4">
        <f>'P&amp;L'!E17</f>
        <v>34509.199999999997</v>
      </c>
      <c r="F18" s="4">
        <f>'P&amp;L'!F17</f>
        <v>35222.5</v>
      </c>
      <c r="G18" s="4">
        <f>'P&amp;L'!G17</f>
        <v>39229.4</v>
      </c>
      <c r="H18" s="4">
        <f>H19*H10</f>
        <v>44062.743950220152</v>
      </c>
      <c r="I18" s="4">
        <f t="shared" ref="I18:Q18" si="5">I19*I10</f>
        <v>47595.416547185916</v>
      </c>
      <c r="J18" s="4">
        <f t="shared" si="5"/>
        <v>51637.372302679309</v>
      </c>
      <c r="K18" s="4">
        <f t="shared" si="5"/>
        <v>56284.937327691536</v>
      </c>
      <c r="L18" s="4">
        <f t="shared" si="5"/>
        <v>61654.727256049831</v>
      </c>
      <c r="M18" s="4">
        <f t="shared" si="5"/>
        <v>67888.104862214168</v>
      </c>
      <c r="N18" s="4">
        <f t="shared" si="5"/>
        <v>75156.634752478261</v>
      </c>
      <c r="O18" s="4">
        <f t="shared" si="5"/>
        <v>83668.760041616406</v>
      </c>
      <c r="P18" s="4">
        <f t="shared" si="5"/>
        <v>93677.976876698725</v>
      </c>
      <c r="Q18" s="4">
        <f t="shared" si="5"/>
        <v>105492.84518683222</v>
      </c>
    </row>
    <row r="19" spans="2:17" x14ac:dyDescent="0.25">
      <c r="B19" s="21" t="s">
        <v>155</v>
      </c>
      <c r="C19" s="22">
        <f>C18/C10</f>
        <v>0.13936743105940599</v>
      </c>
      <c r="D19" s="22">
        <f t="shared" ref="D19:G19" si="6">D18/D10</f>
        <v>0.14268715322374267</v>
      </c>
      <c r="E19" s="22">
        <f t="shared" si="6"/>
        <v>0.14712632309109722</v>
      </c>
      <c r="F19" s="22">
        <f t="shared" si="6"/>
        <v>0.14170976263489032</v>
      </c>
      <c r="G19" s="22">
        <f t="shared" si="6"/>
        <v>0.13526507083853559</v>
      </c>
      <c r="H19" s="23">
        <f>AVERAGE(C19:G19)</f>
        <v>0.14123114816953436</v>
      </c>
      <c r="I19" s="23">
        <f>H19</f>
        <v>0.14123114816953436</v>
      </c>
      <c r="J19" s="23">
        <f t="shared" ref="J19:Q19" si="7">I19</f>
        <v>0.14123114816953436</v>
      </c>
      <c r="K19" s="23">
        <f t="shared" si="7"/>
        <v>0.14123114816953436</v>
      </c>
      <c r="L19" s="23">
        <f t="shared" si="7"/>
        <v>0.14123114816953436</v>
      </c>
      <c r="M19" s="23">
        <f t="shared" si="7"/>
        <v>0.14123114816953436</v>
      </c>
      <c r="N19" s="23">
        <f t="shared" si="7"/>
        <v>0.14123114816953436</v>
      </c>
      <c r="O19" s="23">
        <f t="shared" si="7"/>
        <v>0.14123114816953436</v>
      </c>
      <c r="P19" s="23">
        <f t="shared" si="7"/>
        <v>0.14123114816953436</v>
      </c>
      <c r="Q19" s="23">
        <f t="shared" si="7"/>
        <v>0.14123114816953436</v>
      </c>
    </row>
    <row r="21" spans="2:17" x14ac:dyDescent="0.25">
      <c r="B21" t="str">
        <f>'P&amp;L'!B20</f>
        <v>Other expenses</v>
      </c>
      <c r="C21">
        <f>'P&amp;L'!C20</f>
        <v>52797.9</v>
      </c>
      <c r="D21">
        <f>'P&amp;L'!D20</f>
        <v>60037.3</v>
      </c>
      <c r="E21">
        <f>'P&amp;L'!E20</f>
        <v>54775.199999999997</v>
      </c>
      <c r="F21">
        <f>'P&amp;L'!F20</f>
        <v>63212.3</v>
      </c>
      <c r="G21">
        <f>'P&amp;L'!G20</f>
        <v>66330.3</v>
      </c>
      <c r="H21">
        <f>H22*H10</f>
        <v>74095.820567551607</v>
      </c>
      <c r="I21">
        <f t="shared" ref="I21:Q21" si="8">I22*I10</f>
        <v>80036.355618305606</v>
      </c>
      <c r="J21">
        <f t="shared" si="8"/>
        <v>86833.300192147217</v>
      </c>
      <c r="K21">
        <f t="shared" si="8"/>
        <v>94648.636081314282</v>
      </c>
      <c r="L21">
        <f t="shared" si="8"/>
        <v>103678.46389836048</v>
      </c>
      <c r="M21">
        <f t="shared" si="8"/>
        <v>114160.49899717186</v>
      </c>
      <c r="N21">
        <f t="shared" si="8"/>
        <v>126383.24407059127</v>
      </c>
      <c r="O21">
        <f t="shared" si="8"/>
        <v>140697.21663628181</v>
      </c>
      <c r="P21">
        <f t="shared" si="8"/>
        <v>157528.69529934111</v>
      </c>
      <c r="Q21">
        <f t="shared" si="8"/>
        <v>177396.5538086959</v>
      </c>
    </row>
    <row r="22" spans="2:17" x14ac:dyDescent="0.25">
      <c r="B22" s="21" t="s">
        <v>155</v>
      </c>
      <c r="C22" s="22">
        <f>C21/C10</f>
        <v>0.2285770813788422</v>
      </c>
      <c r="D22" s="22">
        <f t="shared" ref="D22:G22" si="9">D21/D10</f>
        <v>0.24233388847134688</v>
      </c>
      <c r="E22" s="22">
        <f t="shared" si="9"/>
        <v>0.23352826992742423</v>
      </c>
      <c r="F22" s="22">
        <f t="shared" si="9"/>
        <v>0.25432039260715389</v>
      </c>
      <c r="G22" s="22">
        <f t="shared" si="9"/>
        <v>0.22871042453469378</v>
      </c>
      <c r="H22" s="23">
        <f>AVERAGE(C22:G22)</f>
        <v>0.2374940113838922</v>
      </c>
      <c r="I22" s="23">
        <f>H22</f>
        <v>0.2374940113838922</v>
      </c>
      <c r="J22" s="23">
        <f t="shared" ref="J22:Q22" si="10">I22</f>
        <v>0.2374940113838922</v>
      </c>
      <c r="K22" s="23">
        <f t="shared" si="10"/>
        <v>0.2374940113838922</v>
      </c>
      <c r="L22" s="23">
        <f t="shared" si="10"/>
        <v>0.2374940113838922</v>
      </c>
      <c r="M22" s="23">
        <f t="shared" si="10"/>
        <v>0.2374940113838922</v>
      </c>
      <c r="N22" s="23">
        <f t="shared" si="10"/>
        <v>0.2374940113838922</v>
      </c>
      <c r="O22" s="23">
        <f t="shared" si="10"/>
        <v>0.2374940113838922</v>
      </c>
      <c r="P22" s="23">
        <f t="shared" si="10"/>
        <v>0.2374940113838922</v>
      </c>
      <c r="Q22" s="23">
        <f t="shared" si="10"/>
        <v>0.2374940113838922</v>
      </c>
    </row>
    <row r="24" spans="2:17" x14ac:dyDescent="0.25">
      <c r="B24" s="2" t="s">
        <v>157</v>
      </c>
      <c r="C24" s="2">
        <f>C21+C18</f>
        <v>84989.7</v>
      </c>
      <c r="D24" s="2">
        <f t="shared" ref="D24:Q24" si="11">D21+D18</f>
        <v>95387.5</v>
      </c>
      <c r="E24" s="2">
        <f t="shared" si="11"/>
        <v>89284.4</v>
      </c>
      <c r="F24" s="2">
        <f t="shared" si="11"/>
        <v>98434.8</v>
      </c>
      <c r="G24" s="2">
        <f t="shared" si="11"/>
        <v>105559.70000000001</v>
      </c>
      <c r="H24" s="2">
        <f t="shared" si="11"/>
        <v>118158.56451777177</v>
      </c>
      <c r="I24" s="2">
        <f t="shared" si="11"/>
        <v>127631.77216549152</v>
      </c>
      <c r="J24" s="2">
        <f t="shared" si="11"/>
        <v>138470.67249482652</v>
      </c>
      <c r="K24" s="2">
        <f t="shared" si="11"/>
        <v>150933.57340900582</v>
      </c>
      <c r="L24" s="2">
        <f t="shared" si="11"/>
        <v>165333.19115441031</v>
      </c>
      <c r="M24" s="2">
        <f t="shared" si="11"/>
        <v>182048.60385938603</v>
      </c>
      <c r="N24" s="2">
        <f t="shared" si="11"/>
        <v>201539.87882306954</v>
      </c>
      <c r="O24" s="2">
        <f t="shared" si="11"/>
        <v>224365.9766778982</v>
      </c>
      <c r="P24" s="2">
        <f t="shared" si="11"/>
        <v>251206.67217603984</v>
      </c>
      <c r="Q24" s="2">
        <f t="shared" si="11"/>
        <v>282889.39899552811</v>
      </c>
    </row>
    <row r="27" spans="2:17" x14ac:dyDescent="0.25">
      <c r="B27" s="2" t="s">
        <v>158</v>
      </c>
      <c r="C27" s="160">
        <f>'P&amp;L'!C11</f>
        <v>1918.7</v>
      </c>
      <c r="D27" s="160">
        <f>'P&amp;L'!D11</f>
        <v>3808.5</v>
      </c>
      <c r="E27" s="160">
        <f>'P&amp;L'!E11</f>
        <v>3203.5</v>
      </c>
      <c r="F27" s="160">
        <f>'P&amp;L'!F11</f>
        <v>2905.9</v>
      </c>
      <c r="G27" s="160">
        <f>'P&amp;L'!G11</f>
        <v>5573.8</v>
      </c>
      <c r="H27" s="2">
        <f>H28*H10</f>
        <v>4258.4774120752527</v>
      </c>
      <c r="I27" s="2">
        <f t="shared" ref="I27:Q27" si="12">I28*I10</f>
        <v>4599.8952428719831</v>
      </c>
      <c r="J27" s="2">
        <f t="shared" si="12"/>
        <v>4990.5331319880606</v>
      </c>
      <c r="K27" s="2">
        <f t="shared" si="12"/>
        <v>5439.7005897052877</v>
      </c>
      <c r="L27" s="2">
        <f t="shared" si="12"/>
        <v>5958.6680226762601</v>
      </c>
      <c r="M27" s="2">
        <f t="shared" si="12"/>
        <v>6561.0975437876859</v>
      </c>
      <c r="N27" s="2">
        <f t="shared" si="12"/>
        <v>7263.5701449414519</v>
      </c>
      <c r="O27" s="2">
        <f t="shared" si="12"/>
        <v>8086.230969548772</v>
      </c>
      <c r="P27" s="2">
        <f t="shared" si="12"/>
        <v>9053.5793456035135</v>
      </c>
      <c r="Q27" s="2">
        <f t="shared" si="12"/>
        <v>10195.436282207114</v>
      </c>
    </row>
    <row r="28" spans="2:17" x14ac:dyDescent="0.25">
      <c r="B28" s="21" t="s">
        <v>155</v>
      </c>
      <c r="C28" s="22">
        <f>C27/C10</f>
        <v>8.3065963995080198E-3</v>
      </c>
      <c r="D28" s="22">
        <f t="shared" ref="D28:G28" si="13">D27/D10</f>
        <v>1.5372586945834084E-2</v>
      </c>
      <c r="E28" s="22">
        <f t="shared" si="13"/>
        <v>1.3657783316400553E-2</v>
      </c>
      <c r="F28" s="22">
        <f t="shared" si="13"/>
        <v>1.169123143560871E-2</v>
      </c>
      <c r="G28" s="22">
        <f t="shared" si="13"/>
        <v>1.921876072129142E-2</v>
      </c>
      <c r="H28" s="23">
        <f>AVERAGE(C28:G28)</f>
        <v>1.3649391763728558E-2</v>
      </c>
      <c r="I28" s="23">
        <f>H28</f>
        <v>1.3649391763728558E-2</v>
      </c>
      <c r="J28" s="23">
        <f t="shared" ref="J28:Q28" si="14">I28</f>
        <v>1.3649391763728558E-2</v>
      </c>
      <c r="K28" s="23">
        <f t="shared" si="14"/>
        <v>1.3649391763728558E-2</v>
      </c>
      <c r="L28" s="23">
        <f t="shared" si="14"/>
        <v>1.3649391763728558E-2</v>
      </c>
      <c r="M28" s="23">
        <f t="shared" si="14"/>
        <v>1.3649391763728558E-2</v>
      </c>
      <c r="N28" s="23">
        <f t="shared" si="14"/>
        <v>1.3649391763728558E-2</v>
      </c>
      <c r="O28" s="23">
        <f t="shared" si="14"/>
        <v>1.3649391763728558E-2</v>
      </c>
      <c r="P28" s="23">
        <f t="shared" si="14"/>
        <v>1.3649391763728558E-2</v>
      </c>
      <c r="Q28" s="23">
        <f t="shared" si="14"/>
        <v>1.3649391763728558E-2</v>
      </c>
    </row>
    <row r="31" spans="2:17" x14ac:dyDescent="0.25">
      <c r="B31" s="2" t="s">
        <v>159</v>
      </c>
      <c r="C31" s="2">
        <f>'P&amp;L'!C26</f>
        <v>261.3</v>
      </c>
      <c r="D31" s="2">
        <f>'P&amp;L'!D26</f>
        <v>-28145.8</v>
      </c>
      <c r="E31" s="2">
        <f>'P&amp;L'!E26</f>
        <v>1279.7</v>
      </c>
      <c r="F31" s="2">
        <f>'P&amp;L'!F26</f>
        <v>0</v>
      </c>
      <c r="G31" s="2">
        <f>'P&amp;L'!G26</f>
        <v>1918.6</v>
      </c>
      <c r="H31" s="161">
        <f>H32*H10</f>
        <v>-6265.0672710809686</v>
      </c>
      <c r="I31" s="161">
        <f t="shared" ref="I31:Q31" si="15">I32*I10</f>
        <v>-6767.360807128086</v>
      </c>
      <c r="J31" s="161">
        <f t="shared" si="15"/>
        <v>-7342.0668386795433</v>
      </c>
      <c r="K31" s="161">
        <f t="shared" si="15"/>
        <v>-8002.8815069925286</v>
      </c>
      <c r="L31" s="161">
        <f t="shared" si="15"/>
        <v>-8766.3858219018512</v>
      </c>
      <c r="M31" s="161">
        <f t="shared" si="15"/>
        <v>-9652.6794688156424</v>
      </c>
      <c r="N31" s="161">
        <f t="shared" si="15"/>
        <v>-10686.156384729316</v>
      </c>
      <c r="O31" s="161">
        <f t="shared" si="15"/>
        <v>-11896.454082407165</v>
      </c>
      <c r="P31" s="161">
        <f t="shared" si="15"/>
        <v>-13319.615946168342</v>
      </c>
      <c r="Q31" s="161">
        <f t="shared" si="15"/>
        <v>-14999.51461170706</v>
      </c>
    </row>
    <row r="32" spans="2:17" x14ac:dyDescent="0.25">
      <c r="B32" s="21" t="s">
        <v>155</v>
      </c>
      <c r="C32" s="22">
        <f>C31/C10</f>
        <v>1.1312417987134236E-3</v>
      </c>
      <c r="D32" s="22">
        <f t="shared" ref="D32:G32" si="16">D31/D10</f>
        <v>-0.11360739337273386</v>
      </c>
      <c r="E32" s="22">
        <f t="shared" si="16"/>
        <v>5.4558655564219726E-3</v>
      </c>
      <c r="F32" s="22">
        <f t="shared" si="16"/>
        <v>0</v>
      </c>
      <c r="G32" s="22">
        <f t="shared" si="16"/>
        <v>6.6154354874358098E-3</v>
      </c>
      <c r="H32" s="23">
        <f>AVERAGE(C32:G32)</f>
        <v>-2.008097010603253E-2</v>
      </c>
      <c r="I32" s="23">
        <f>H32</f>
        <v>-2.008097010603253E-2</v>
      </c>
      <c r="J32" s="23">
        <f t="shared" ref="J32:Q32" si="17">I32</f>
        <v>-2.008097010603253E-2</v>
      </c>
      <c r="K32" s="23">
        <f t="shared" si="17"/>
        <v>-2.008097010603253E-2</v>
      </c>
      <c r="L32" s="23">
        <f t="shared" si="17"/>
        <v>-2.008097010603253E-2</v>
      </c>
      <c r="M32" s="23">
        <f t="shared" si="17"/>
        <v>-2.008097010603253E-2</v>
      </c>
      <c r="N32" s="23">
        <f t="shared" si="17"/>
        <v>-2.008097010603253E-2</v>
      </c>
      <c r="O32" s="23">
        <f t="shared" si="17"/>
        <v>-2.008097010603253E-2</v>
      </c>
      <c r="P32" s="23">
        <f t="shared" si="17"/>
        <v>-2.008097010603253E-2</v>
      </c>
      <c r="Q32" s="23">
        <f t="shared" si="17"/>
        <v>-2.008097010603253E-2</v>
      </c>
    </row>
    <row r="33" spans="2:17" x14ac:dyDescent="0.25">
      <c r="C33" s="18"/>
      <c r="D33" s="18"/>
      <c r="E33" s="18"/>
      <c r="F33" s="18"/>
      <c r="G33" s="18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spans="2:17" x14ac:dyDescent="0.25">
      <c r="B34" s="2" t="s">
        <v>15</v>
      </c>
      <c r="C34" s="2">
        <f>'P&amp;L'!C24</f>
        <v>-151.69999999999999</v>
      </c>
      <c r="D34" s="2">
        <f>'P&amp;L'!D24</f>
        <v>-553.6</v>
      </c>
      <c r="E34" s="2">
        <f>'P&amp;L'!E24</f>
        <v>-312.5</v>
      </c>
      <c r="F34" s="2">
        <f>'P&amp;L'!F24</f>
        <v>-116.7</v>
      </c>
      <c r="G34" s="2">
        <f>'P&amp;L'!G24</f>
        <v>-171.6</v>
      </c>
      <c r="H34" s="161">
        <f>H35*H10</f>
        <v>-329.7618537483234</v>
      </c>
      <c r="I34" s="161">
        <f t="shared" ref="I34:Q34" si="18">I35*I10</f>
        <v>-356.20007705955032</v>
      </c>
      <c r="J34" s="161">
        <f t="shared" si="18"/>
        <v>-386.44973251010578</v>
      </c>
      <c r="K34" s="161">
        <f t="shared" si="18"/>
        <v>-421.23171657799196</v>
      </c>
      <c r="L34" s="161">
        <f t="shared" si="18"/>
        <v>-461.41877081626211</v>
      </c>
      <c r="M34" s="161">
        <f t="shared" si="18"/>
        <v>-508.06884228807672</v>
      </c>
      <c r="N34" s="161">
        <f t="shared" si="18"/>
        <v>-562.4659060148947</v>
      </c>
      <c r="O34" s="161">
        <f t="shared" si="18"/>
        <v>-626.16993266051975</v>
      </c>
      <c r="P34" s="161">
        <f t="shared" si="18"/>
        <v>-701.07806597683305</v>
      </c>
      <c r="Q34" s="161">
        <f t="shared" si="18"/>
        <v>-789.49954240924831</v>
      </c>
    </row>
    <row r="35" spans="2:17" x14ac:dyDescent="0.25">
      <c r="B35" s="21" t="s">
        <v>155</v>
      </c>
      <c r="C35" s="22">
        <f>C34/C10</f>
        <v>-6.5675231865605177E-4</v>
      </c>
      <c r="D35" s="22">
        <f t="shared" ref="D35:G35" si="19">D34/D10</f>
        <v>-2.2345448689021262E-3</v>
      </c>
      <c r="E35" s="22">
        <f t="shared" si="19"/>
        <v>-1.3323106871781405E-3</v>
      </c>
      <c r="F35" s="22">
        <f t="shared" si="19"/>
        <v>-4.6951605648354604E-4</v>
      </c>
      <c r="G35" s="22">
        <f t="shared" si="19"/>
        <v>-5.9168598438652401E-4</v>
      </c>
      <c r="H35" s="23">
        <f>AVERAGE($C$35:$G$35)</f>
        <v>-1.0569619831212779E-3</v>
      </c>
      <c r="I35" s="23">
        <f t="shared" ref="I35:Q35" si="20">AVERAGE($C$35:$G$35)</f>
        <v>-1.0569619831212779E-3</v>
      </c>
      <c r="J35" s="23">
        <f t="shared" si="20"/>
        <v>-1.0569619831212779E-3</v>
      </c>
      <c r="K35" s="23">
        <f t="shared" si="20"/>
        <v>-1.0569619831212779E-3</v>
      </c>
      <c r="L35" s="23">
        <f t="shared" si="20"/>
        <v>-1.0569619831212779E-3</v>
      </c>
      <c r="M35" s="23">
        <f t="shared" si="20"/>
        <v>-1.0569619831212779E-3</v>
      </c>
      <c r="N35" s="23">
        <f t="shared" si="20"/>
        <v>-1.0569619831212779E-3</v>
      </c>
      <c r="O35" s="23">
        <f t="shared" si="20"/>
        <v>-1.0569619831212779E-3</v>
      </c>
      <c r="P35" s="23">
        <f t="shared" si="20"/>
        <v>-1.0569619831212779E-3</v>
      </c>
      <c r="Q35" s="23">
        <f t="shared" si="20"/>
        <v>-1.0569619831212779E-3</v>
      </c>
    </row>
    <row r="37" spans="2:17" x14ac:dyDescent="0.25">
      <c r="B37" s="2" t="s">
        <v>160</v>
      </c>
      <c r="C37" s="160">
        <f>'P&amp;L'!C28</f>
        <v>-8993.5</v>
      </c>
      <c r="D37" s="160">
        <f>'P&amp;L'!D28</f>
        <v>-20097.7</v>
      </c>
      <c r="E37" s="160">
        <f>'P&amp;L'!E28</f>
        <v>-7256.3</v>
      </c>
      <c r="F37" s="160">
        <f>'P&amp;L'!F28</f>
        <v>-6848.5</v>
      </c>
      <c r="G37" s="160">
        <f>'P&amp;L'!G28</f>
        <v>-12110.2</v>
      </c>
      <c r="H37" s="32">
        <f>-H38*'Income Statement'!H30</f>
        <v>-12514.972560034888</v>
      </c>
      <c r="I37" s="32">
        <f>-I38*'Income Statement'!I30</f>
        <v>-12309.151595708141</v>
      </c>
      <c r="J37" s="32">
        <f>-J38*'Income Statement'!J30</f>
        <v>-13536.310124884343</v>
      </c>
      <c r="K37" s="32">
        <f>-K38*'Income Statement'!K30</f>
        <v>-14937.08744505303</v>
      </c>
      <c r="L37" s="32">
        <f>-L38*'Income Statement'!L30</f>
        <v>-16555.789640368163</v>
      </c>
      <c r="M37" s="32">
        <f>-M38*'Income Statement'!M30</f>
        <v>-18444.302292421053</v>
      </c>
      <c r="N37" s="32">
        <f>-N38*'Income Statement'!N30</f>
        <v>-20664.29574997658</v>
      </c>
      <c r="O37" s="32">
        <f>-O38*'Income Statement'!O30</f>
        <v>-23289.808910546151</v>
      </c>
      <c r="P37" s="32">
        <f>-P38*'Income Statement'!P30</f>
        <v>-26410.325655648314</v>
      </c>
      <c r="Q37" s="32">
        <f>-Q38*'Income Statement'!Q30</f>
        <v>-30134.477362347294</v>
      </c>
    </row>
    <row r="38" spans="2:17" x14ac:dyDescent="0.25">
      <c r="B38" s="21" t="s">
        <v>161</v>
      </c>
      <c r="C38" s="22">
        <f>-C37/'P&amp;L'!C27</f>
        <v>0.24027261263571842</v>
      </c>
      <c r="D38" s="22">
        <f>-D37/'P&amp;L'!D27</f>
        <v>0.27367677117050376</v>
      </c>
      <c r="E38" s="22">
        <f>-E37/'P&amp;L'!E27</f>
        <v>0.21514554931598637</v>
      </c>
      <c r="F38" s="22">
        <f>-F37/'P&amp;L'!F27</f>
        <v>0.26214354066985662</v>
      </c>
      <c r="G38" s="22">
        <f>-G37/'P&amp;L'!G27</f>
        <v>0.27648921572880319</v>
      </c>
      <c r="H38" s="23">
        <f>AVERAGE(C38:G38)</f>
        <v>0.25354553790417367</v>
      </c>
      <c r="I38" s="23">
        <f>H38</f>
        <v>0.25354553790417367</v>
      </c>
      <c r="J38" s="23">
        <f t="shared" ref="J38:Q38" si="21">I38</f>
        <v>0.25354553790417367</v>
      </c>
      <c r="K38" s="23">
        <f t="shared" si="21"/>
        <v>0.25354553790417367</v>
      </c>
      <c r="L38" s="23">
        <f t="shared" si="21"/>
        <v>0.25354553790417367</v>
      </c>
      <c r="M38" s="23">
        <f t="shared" si="21"/>
        <v>0.25354553790417367</v>
      </c>
      <c r="N38" s="23">
        <f t="shared" si="21"/>
        <v>0.25354553790417367</v>
      </c>
      <c r="O38" s="23">
        <f t="shared" si="21"/>
        <v>0.25354553790417367</v>
      </c>
      <c r="P38" s="23">
        <f t="shared" si="21"/>
        <v>0.25354553790417367</v>
      </c>
      <c r="Q38" s="23">
        <f t="shared" si="21"/>
        <v>0.25354553790417367</v>
      </c>
    </row>
  </sheetData>
  <mergeCells count="1">
    <mergeCell ref="B6:Q6"/>
  </mergeCells>
  <pageMargins left="0.7" right="0.7" top="0.75" bottom="0.75" header="0.3" footer="0.3"/>
  <ignoredErrors>
    <ignoredError sqref="C12:G12" formulaRange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Q19"/>
  <sheetViews>
    <sheetView showGridLines="0" workbookViewId="0">
      <selection activeCell="B6" sqref="B6:Q6"/>
    </sheetView>
  </sheetViews>
  <sheetFormatPr defaultRowHeight="15" x14ac:dyDescent="0.25"/>
  <cols>
    <col min="1" max="1" width="1.85546875" customWidth="1"/>
    <col min="2" max="2" width="16.7109375" bestFit="1" customWidth="1"/>
  </cols>
  <sheetData>
    <row r="6" spans="2:17" x14ac:dyDescent="0.25">
      <c r="B6" s="131" t="s">
        <v>265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8" spans="2:17" x14ac:dyDescent="0.25">
      <c r="B8" s="126" t="s">
        <v>0</v>
      </c>
      <c r="C8" s="126">
        <v>2020</v>
      </c>
      <c r="D8" s="126">
        <f>C8+1</f>
        <v>2021</v>
      </c>
      <c r="E8" s="126">
        <f t="shared" ref="E8:Q8" si="0">D8+1</f>
        <v>2022</v>
      </c>
      <c r="F8" s="126">
        <f t="shared" si="0"/>
        <v>2023</v>
      </c>
      <c r="G8" s="126">
        <f t="shared" si="0"/>
        <v>2024</v>
      </c>
      <c r="H8" s="127">
        <f t="shared" si="0"/>
        <v>2025</v>
      </c>
      <c r="I8" s="127">
        <f t="shared" si="0"/>
        <v>2026</v>
      </c>
      <c r="J8" s="127">
        <f t="shared" si="0"/>
        <v>2027</v>
      </c>
      <c r="K8" s="127">
        <f t="shared" si="0"/>
        <v>2028</v>
      </c>
      <c r="L8" s="127">
        <f t="shared" si="0"/>
        <v>2029</v>
      </c>
      <c r="M8" s="127">
        <f t="shared" si="0"/>
        <v>2030</v>
      </c>
      <c r="N8" s="127">
        <f t="shared" si="0"/>
        <v>2031</v>
      </c>
      <c r="O8" s="127">
        <f t="shared" si="0"/>
        <v>2032</v>
      </c>
      <c r="P8" s="127">
        <f t="shared" si="0"/>
        <v>2033</v>
      </c>
      <c r="Q8" s="127">
        <f t="shared" si="0"/>
        <v>2034</v>
      </c>
    </row>
    <row r="9" spans="2:17" x14ac:dyDescent="0.25">
      <c r="B9" s="177" t="s">
        <v>166</v>
      </c>
      <c r="C9" s="177">
        <v>365</v>
      </c>
      <c r="D9" s="177">
        <v>365</v>
      </c>
      <c r="E9" s="177">
        <v>365</v>
      </c>
      <c r="F9" s="177">
        <v>365</v>
      </c>
      <c r="G9" s="177">
        <v>365</v>
      </c>
      <c r="H9" s="177">
        <v>365</v>
      </c>
      <c r="I9" s="177">
        <v>365</v>
      </c>
      <c r="J9" s="177">
        <v>365</v>
      </c>
      <c r="K9" s="177">
        <v>365</v>
      </c>
      <c r="L9" s="177">
        <v>365</v>
      </c>
      <c r="M9" s="177">
        <v>365</v>
      </c>
      <c r="N9" s="177">
        <v>365</v>
      </c>
      <c r="O9" s="177">
        <v>365</v>
      </c>
      <c r="P9" s="177">
        <v>365</v>
      </c>
      <c r="Q9" s="177">
        <v>365</v>
      </c>
    </row>
    <row r="11" spans="2:17" x14ac:dyDescent="0.25">
      <c r="B11" s="162" t="s">
        <v>38</v>
      </c>
      <c r="C11" s="163">
        <f>Balance_sheet!C29</f>
        <v>76998.7</v>
      </c>
      <c r="D11" s="163">
        <f>Balance_sheet!D29</f>
        <v>90265.7</v>
      </c>
      <c r="E11" s="163">
        <f>Balance_sheet!E29</f>
        <v>75538.5</v>
      </c>
      <c r="F11" s="163">
        <f>Balance_sheet!F29</f>
        <v>85112.3</v>
      </c>
      <c r="G11" s="163">
        <f>Balance_sheet!G29</f>
        <v>98082.3</v>
      </c>
      <c r="H11" s="56">
        <f>H17*'Cost Build_Up'!H12/'Working Capital'!H9</f>
        <v>106392.39687701344</v>
      </c>
      <c r="I11" s="56">
        <f>I17*'Cost Build_Up'!I12/'Working Capital'!I9</f>
        <v>114922.26749509264</v>
      </c>
      <c r="J11" s="56">
        <f>J17*'Cost Build_Up'!J12/'Working Capital'!J9</f>
        <v>124681.83583662879</v>
      </c>
      <c r="K11" s="56">
        <f>K17*'Cost Build_Up'!K12/'Working Capital'!K9</f>
        <v>135903.68763985398</v>
      </c>
      <c r="L11" s="56">
        <f>L17*'Cost Build_Up'!L12/'Working Capital'!L9</f>
        <v>148869.39903198869</v>
      </c>
      <c r="M11" s="56">
        <f>M17*'Cost Build_Up'!M12/'Working Capital'!M9</f>
        <v>163920.29974095398</v>
      </c>
      <c r="N11" s="56">
        <f>N17*'Cost Build_Up'!N12/'Working Capital'!N9</f>
        <v>181470.64380647716</v>
      </c>
      <c r="O11" s="56">
        <f>O17*'Cost Build_Up'!O12/'Working Capital'!O9</f>
        <v>202023.73085552649</v>
      </c>
      <c r="P11" s="56">
        <f>P17*'Cost Build_Up'!P12/'Working Capital'!P9</f>
        <v>226191.64402837015</v>
      </c>
      <c r="Q11" s="56">
        <f>Q17*'Cost Build_Up'!Q12/'Working Capital'!Q9</f>
        <v>254719.42159305108</v>
      </c>
    </row>
    <row r="12" spans="2:17" x14ac:dyDescent="0.25">
      <c r="B12" s="164" t="s">
        <v>32</v>
      </c>
      <c r="C12" s="165">
        <f>Balance_sheet!C32</f>
        <v>43151.6</v>
      </c>
      <c r="D12" s="165">
        <f>Balance_sheet!D32</f>
        <v>35032.800000000003</v>
      </c>
      <c r="E12" s="165">
        <f>Balance_sheet!E32</f>
        <v>40122.6</v>
      </c>
      <c r="F12" s="165">
        <f>Balance_sheet!F32</f>
        <v>44663.8</v>
      </c>
      <c r="G12" s="165">
        <f>Balance_sheet!G32</f>
        <v>48167.4</v>
      </c>
      <c r="H12" s="116">
        <f>H18*'Cost Build_Up'!H10/'Working Capital'!H9</f>
        <v>52730.002540097397</v>
      </c>
      <c r="I12" s="116">
        <f>I18*'Cost Build_Up'!I10/'Working Capital'!I9</f>
        <v>56957.561205571903</v>
      </c>
      <c r="J12" s="116">
        <f>J18*'Cost Build_Up'!J10/'Working Capital'!J9</f>
        <v>61794.580377480808</v>
      </c>
      <c r="K12" s="116">
        <f>K18*'Cost Build_Up'!K10/'Working Capital'!K9</f>
        <v>67356.333768305165</v>
      </c>
      <c r="L12" s="116">
        <f>L18*'Cost Build_Up'!L10/'Working Capital'!L9</f>
        <v>73782.37561631194</v>
      </c>
      <c r="M12" s="116">
        <f>M18*'Cost Build_Up'!M10/'Working Capital'!M9</f>
        <v>81241.875128592976</v>
      </c>
      <c r="N12" s="116">
        <f>N18*'Cost Build_Up'!N10/'Working Capital'!N9</f>
        <v>89940.144124491169</v>
      </c>
      <c r="O12" s="116">
        <f>O18*'Cost Build_Up'!O10/'Working Capital'!O9</f>
        <v>100126.62703225022</v>
      </c>
      <c r="P12" s="116">
        <f>P18*'Cost Build_Up'!P10/'Working Capital'!P9</f>
        <v>112104.68336334349</v>
      </c>
      <c r="Q12" s="116">
        <f>Q18*'Cost Build_Up'!Q10/'Working Capital'!Q9</f>
        <v>126243.56760323756</v>
      </c>
    </row>
    <row r="13" spans="2:17" ht="15.75" thickBot="1" x14ac:dyDescent="0.3">
      <c r="B13" s="166" t="s">
        <v>63</v>
      </c>
      <c r="C13" s="167">
        <f>Balance_sheet!C70+Balance_sheet!C71</f>
        <v>25760.6</v>
      </c>
      <c r="D13" s="167">
        <f>Balance_sheet!D70+Balance_sheet!D71</f>
        <v>27946.800000000003</v>
      </c>
      <c r="E13" s="167">
        <f>Balance_sheet!E70+Balance_sheet!E71</f>
        <v>27030.5</v>
      </c>
      <c r="F13" s="167">
        <f>Balance_sheet!F70+Balance_sheet!F71</f>
        <v>38713.1</v>
      </c>
      <c r="G13" s="167">
        <f>Balance_sheet!G70+Balance_sheet!G71</f>
        <v>44541.599999999999</v>
      </c>
      <c r="H13" s="117">
        <f>H19*'Cost Build_Up'!H12/'Working Capital'!H9</f>
        <v>40361.707745401487</v>
      </c>
      <c r="I13" s="117">
        <f>I19*'Cost Build_Up'!I12/'Working Capital'!I9</f>
        <v>43597.654627874472</v>
      </c>
      <c r="J13" s="117">
        <f>J19*'Cost Build_Up'!J12/'Working Capital'!J9</f>
        <v>47300.107591479631</v>
      </c>
      <c r="K13" s="117">
        <f>K19*'Cost Build_Up'!K12/'Working Capital'!K9</f>
        <v>51557.301866062611</v>
      </c>
      <c r="L13" s="117">
        <f>L19*'Cost Build_Up'!L12/'Working Capital'!L9</f>
        <v>56476.057992268754</v>
      </c>
      <c r="M13" s="117">
        <f>M19*'Cost Build_Up'!M12/'Working Capital'!M9</f>
        <v>62185.865023146536</v>
      </c>
      <c r="N13" s="117">
        <f>N19*'Cost Build_Up'!N12/'Working Capital'!N9</f>
        <v>68843.877050291063</v>
      </c>
      <c r="O13" s="117">
        <f>O19*'Cost Build_Up'!O12/'Working Capital'!O9</f>
        <v>76641.029075153056</v>
      </c>
      <c r="P13" s="117">
        <f>P19*'Cost Build_Up'!P12/'Working Capital'!P9</f>
        <v>85809.524916318798</v>
      </c>
      <c r="Q13" s="117">
        <f>Q19*'Cost Build_Up'!Q12/'Working Capital'!Q9</f>
        <v>96632.007109501195</v>
      </c>
    </row>
    <row r="16" spans="2:17" x14ac:dyDescent="0.25">
      <c r="B16" s="26" t="s">
        <v>162</v>
      </c>
    </row>
    <row r="17" spans="2:17" x14ac:dyDescent="0.25">
      <c r="B17" s="168" t="s">
        <v>163</v>
      </c>
      <c r="C17" s="169">
        <f>C11/'Cost Build_Up'!C12*'Working Capital'!C9</f>
        <v>288.68887021672833</v>
      </c>
      <c r="D17" s="169">
        <f>D11/'Cost Build_Up'!D12*'Working Capital'!D9</f>
        <v>332.71477217300327</v>
      </c>
      <c r="E17" s="169">
        <f>E11/'Cost Build_Up'!E12*'Working Capital'!E9</f>
        <v>271.90129365264073</v>
      </c>
      <c r="F17" s="169">
        <f>F11/'Cost Build_Up'!F12*'Working Capital'!F9</f>
        <v>275.08433791482707</v>
      </c>
      <c r="G17" s="169">
        <f>G11/'Cost Build_Up'!G12*'Working Capital'!G9</f>
        <v>284.06191828864792</v>
      </c>
      <c r="H17" s="170">
        <f>AVERAGE(C17:G17)</f>
        <v>290.49023844916945</v>
      </c>
      <c r="I17" s="170">
        <f>H17</f>
        <v>290.49023844916945</v>
      </c>
      <c r="J17" s="170">
        <f t="shared" ref="J17:Q17" si="1">I17</f>
        <v>290.49023844916945</v>
      </c>
      <c r="K17" s="170">
        <f t="shared" si="1"/>
        <v>290.49023844916945</v>
      </c>
      <c r="L17" s="170">
        <f t="shared" si="1"/>
        <v>290.49023844916945</v>
      </c>
      <c r="M17" s="170">
        <f t="shared" si="1"/>
        <v>290.49023844916945</v>
      </c>
      <c r="N17" s="170">
        <f t="shared" si="1"/>
        <v>290.49023844916945</v>
      </c>
      <c r="O17" s="170">
        <f t="shared" si="1"/>
        <v>290.49023844916945</v>
      </c>
      <c r="P17" s="170">
        <f t="shared" si="1"/>
        <v>290.49023844916945</v>
      </c>
      <c r="Q17" s="170">
        <f t="shared" si="1"/>
        <v>290.49023844916945</v>
      </c>
    </row>
    <row r="18" spans="2:17" x14ac:dyDescent="0.25">
      <c r="B18" s="171" t="s">
        <v>164</v>
      </c>
      <c r="C18" s="172">
        <f>C12/'Cost Build_Up'!C10*'Working Capital'!C9</f>
        <v>68.187662321076118</v>
      </c>
      <c r="D18" s="172">
        <f>D12/'Cost Build_Up'!D10*'Working Capital'!D9</f>
        <v>51.613191241682017</v>
      </c>
      <c r="E18" s="172">
        <f>E12/'Cost Build_Up'!E10*'Working Capital'!E9</f>
        <v>62.436337931972432</v>
      </c>
      <c r="F18" s="172">
        <f>F12/'Cost Build_Up'!F10*'Working Capital'!F9</f>
        <v>65.588564729245746</v>
      </c>
      <c r="G18" s="172">
        <f>G12/'Cost Build_Up'!G10*'Working Capital'!G9</f>
        <v>60.620577224847914</v>
      </c>
      <c r="H18" s="173">
        <f>AVERAGE(C18:G18)</f>
        <v>61.689266689764835</v>
      </c>
      <c r="I18" s="173">
        <f t="shared" ref="I18:Q19" si="2">H18</f>
        <v>61.689266689764835</v>
      </c>
      <c r="J18" s="173">
        <f t="shared" si="2"/>
        <v>61.689266689764835</v>
      </c>
      <c r="K18" s="173">
        <f t="shared" si="2"/>
        <v>61.689266689764835</v>
      </c>
      <c r="L18" s="173">
        <f t="shared" si="2"/>
        <v>61.689266689764835</v>
      </c>
      <c r="M18" s="173">
        <f t="shared" si="2"/>
        <v>61.689266689764835</v>
      </c>
      <c r="N18" s="173">
        <f t="shared" si="2"/>
        <v>61.689266689764835</v>
      </c>
      <c r="O18" s="173">
        <f t="shared" si="2"/>
        <v>61.689266689764835</v>
      </c>
      <c r="P18" s="173">
        <f t="shared" si="2"/>
        <v>61.689266689764835</v>
      </c>
      <c r="Q18" s="173">
        <f t="shared" si="2"/>
        <v>61.689266689764835</v>
      </c>
    </row>
    <row r="19" spans="2:17" ht="15.75" thickBot="1" x14ac:dyDescent="0.3">
      <c r="B19" s="174" t="s">
        <v>165</v>
      </c>
      <c r="C19" s="175">
        <f>C13/'Cost Build_Up'!C12*'Working Capital'!C9</f>
        <v>96.583429461861712</v>
      </c>
      <c r="D19" s="175">
        <f>D13/'Cost Build_Up'!D12*'Working Capital'!D9</f>
        <v>103.01048122337156</v>
      </c>
      <c r="E19" s="175">
        <f>E13/'Cost Build_Up'!E12*'Working Capital'!E9</f>
        <v>97.296450393874721</v>
      </c>
      <c r="F19" s="175">
        <f>F13/'Cost Build_Up'!F12*'Working Capital'!F9</f>
        <v>125.12136885186385</v>
      </c>
      <c r="G19" s="175">
        <f>G13/'Cost Build_Up'!G12*'Working Capital'!G9</f>
        <v>128.99954772314311</v>
      </c>
      <c r="H19" s="176">
        <f>AVERAGE(C19:G19)</f>
        <v>110.20225553082298</v>
      </c>
      <c r="I19" s="176">
        <f t="shared" si="2"/>
        <v>110.20225553082298</v>
      </c>
      <c r="J19" s="176">
        <f t="shared" si="2"/>
        <v>110.20225553082298</v>
      </c>
      <c r="K19" s="176">
        <f t="shared" si="2"/>
        <v>110.20225553082298</v>
      </c>
      <c r="L19" s="176">
        <f t="shared" si="2"/>
        <v>110.20225553082298</v>
      </c>
      <c r="M19" s="176">
        <f t="shared" si="2"/>
        <v>110.20225553082298</v>
      </c>
      <c r="N19" s="176">
        <f t="shared" si="2"/>
        <v>110.20225553082298</v>
      </c>
      <c r="O19" s="176">
        <f t="shared" si="2"/>
        <v>110.20225553082298</v>
      </c>
      <c r="P19" s="176">
        <f t="shared" si="2"/>
        <v>110.20225553082298</v>
      </c>
      <c r="Q19" s="176">
        <f t="shared" si="2"/>
        <v>110.20225553082298</v>
      </c>
    </row>
  </sheetData>
  <mergeCells count="1">
    <mergeCell ref="B6:Q6"/>
  </mergeCells>
  <pageMargins left="0.7" right="0.7" top="0.75" bottom="0.75" header="0.3" footer="0.3"/>
  <pageSetup orientation="portrait" r:id="rId1"/>
  <ignoredErrors>
    <ignoredError sqref="H12:Q12 C18:G18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K130"/>
  <sheetViews>
    <sheetView showGridLines="0" workbookViewId="0">
      <selection activeCell="B1" sqref="B1"/>
    </sheetView>
  </sheetViews>
  <sheetFormatPr defaultRowHeight="15" x14ac:dyDescent="0.25"/>
  <cols>
    <col min="1" max="1" width="1.85546875" customWidth="1"/>
  </cols>
  <sheetData>
    <row r="6" spans="2:11" x14ac:dyDescent="0.25">
      <c r="B6" s="124" t="s">
        <v>257</v>
      </c>
      <c r="C6" s="124"/>
      <c r="D6" s="124"/>
      <c r="E6" s="124"/>
      <c r="F6" s="124"/>
      <c r="G6" s="124"/>
      <c r="H6" s="124"/>
      <c r="I6" s="124"/>
      <c r="J6" s="124"/>
      <c r="K6" s="124"/>
    </row>
    <row r="8" spans="2:11" x14ac:dyDescent="0.25">
      <c r="B8" s="87" t="s">
        <v>251</v>
      </c>
      <c r="C8" s="88" t="s">
        <v>252</v>
      </c>
      <c r="D8" s="89" t="s">
        <v>253</v>
      </c>
      <c r="F8" s="87" t="s">
        <v>251</v>
      </c>
      <c r="G8" s="99" t="s">
        <v>256</v>
      </c>
    </row>
    <row r="9" spans="2:11" ht="15.75" thickBot="1" x14ac:dyDescent="0.3">
      <c r="B9" s="90"/>
      <c r="C9" s="91" t="s">
        <v>254</v>
      </c>
      <c r="D9" s="92" t="s">
        <v>255</v>
      </c>
      <c r="F9" s="90"/>
      <c r="G9" s="100"/>
    </row>
    <row r="10" spans="2:11" x14ac:dyDescent="0.25">
      <c r="B10" s="93">
        <v>42217</v>
      </c>
      <c r="C10" s="94">
        <v>26283.09</v>
      </c>
      <c r="D10" s="95"/>
      <c r="F10" s="93">
        <v>42217</v>
      </c>
      <c r="G10">
        <v>753.9</v>
      </c>
    </row>
    <row r="11" spans="2:11" x14ac:dyDescent="0.25">
      <c r="B11" s="96">
        <v>42248</v>
      </c>
      <c r="C11" s="97">
        <v>26154.83</v>
      </c>
      <c r="D11" s="98">
        <f t="shared" ref="D11:D75" si="0">C11/C10-1</f>
        <v>-4.8799437204680718E-3</v>
      </c>
      <c r="F11" s="96">
        <v>42248</v>
      </c>
      <c r="G11">
        <v>768.1</v>
      </c>
      <c r="H11" s="98">
        <f>G11/G10-1</f>
        <v>1.8835389308927031E-2</v>
      </c>
    </row>
    <row r="12" spans="2:11" x14ac:dyDescent="0.25">
      <c r="B12" s="96">
        <v>42278</v>
      </c>
      <c r="C12" s="97">
        <v>26656.83</v>
      </c>
      <c r="D12" s="98">
        <f t="shared" si="0"/>
        <v>1.9193395636675881E-2</v>
      </c>
      <c r="F12" s="96">
        <v>42278</v>
      </c>
      <c r="G12">
        <v>834.9</v>
      </c>
      <c r="H12" s="98">
        <f t="shared" ref="H12:H75" si="1">G12/G11-1</f>
        <v>8.6967842728811195E-2</v>
      </c>
      <c r="J12" s="85" t="s">
        <v>257</v>
      </c>
      <c r="K12" s="102">
        <f>SLOPE(H11:H130,D11:D130)</f>
        <v>0.92524973919423159</v>
      </c>
    </row>
    <row r="13" spans="2:11" x14ac:dyDescent="0.25">
      <c r="B13" s="96">
        <v>42309</v>
      </c>
      <c r="C13" s="97">
        <v>26145.67</v>
      </c>
      <c r="D13" s="98">
        <f t="shared" si="0"/>
        <v>-1.9175573389634271E-2</v>
      </c>
      <c r="F13" s="96">
        <v>42309</v>
      </c>
      <c r="G13">
        <v>810.65</v>
      </c>
      <c r="H13" s="98">
        <f t="shared" si="1"/>
        <v>-2.90453946580429E-2</v>
      </c>
    </row>
    <row r="14" spans="2:11" x14ac:dyDescent="0.25">
      <c r="B14" s="96">
        <v>42339</v>
      </c>
      <c r="C14" s="97">
        <v>26117.54</v>
      </c>
      <c r="D14" s="98">
        <f t="shared" si="0"/>
        <v>-1.0758951673449646E-3</v>
      </c>
      <c r="F14" s="96">
        <v>42339</v>
      </c>
      <c r="G14">
        <v>875.4</v>
      </c>
      <c r="H14" s="98">
        <f t="shared" si="1"/>
        <v>7.9874175044717166E-2</v>
      </c>
    </row>
    <row r="15" spans="2:11" x14ac:dyDescent="0.25">
      <c r="B15" s="96">
        <v>42370</v>
      </c>
      <c r="C15" s="97">
        <v>24870.69</v>
      </c>
      <c r="D15" s="98">
        <f t="shared" si="0"/>
        <v>-4.7739947943029937E-2</v>
      </c>
      <c r="F15" s="96">
        <v>42370</v>
      </c>
      <c r="G15">
        <v>833.25</v>
      </c>
      <c r="H15" s="98">
        <f t="shared" si="1"/>
        <v>-4.8149417409184325E-2</v>
      </c>
    </row>
    <row r="16" spans="2:11" x14ac:dyDescent="0.25">
      <c r="B16" s="96">
        <v>42401</v>
      </c>
      <c r="C16" s="97">
        <v>23002</v>
      </c>
      <c r="D16" s="98">
        <f t="shared" si="0"/>
        <v>-7.5136234660156176E-2</v>
      </c>
      <c r="F16" s="96">
        <v>42401</v>
      </c>
      <c r="G16">
        <v>655.15</v>
      </c>
      <c r="H16" s="98">
        <f t="shared" si="1"/>
        <v>-0.21374137413741379</v>
      </c>
    </row>
    <row r="17" spans="2:8" x14ac:dyDescent="0.25">
      <c r="B17" s="96">
        <v>42430</v>
      </c>
      <c r="C17" s="97">
        <v>25341.86</v>
      </c>
      <c r="D17" s="98">
        <f t="shared" si="0"/>
        <v>0.1017241978958352</v>
      </c>
      <c r="F17" s="96">
        <v>42430</v>
      </c>
      <c r="G17">
        <v>745</v>
      </c>
      <c r="H17" s="98">
        <f t="shared" si="1"/>
        <v>0.13714416545829211</v>
      </c>
    </row>
    <row r="18" spans="2:8" x14ac:dyDescent="0.25">
      <c r="B18" s="96">
        <v>42461</v>
      </c>
      <c r="C18" s="97">
        <v>25606.62</v>
      </c>
      <c r="D18" s="98">
        <f t="shared" si="0"/>
        <v>1.0447536210838493E-2</v>
      </c>
      <c r="F18" s="96">
        <v>42461</v>
      </c>
      <c r="G18">
        <v>760.95</v>
      </c>
      <c r="H18" s="98">
        <f t="shared" si="1"/>
        <v>2.1409395973154499E-2</v>
      </c>
    </row>
    <row r="19" spans="2:8" x14ac:dyDescent="0.25">
      <c r="B19" s="96">
        <v>42491</v>
      </c>
      <c r="C19" s="97">
        <v>26667.96</v>
      </c>
      <c r="D19" s="98">
        <f t="shared" si="0"/>
        <v>4.1447875588422001E-2</v>
      </c>
      <c r="F19" s="96">
        <v>42491</v>
      </c>
      <c r="G19">
        <v>785.55</v>
      </c>
      <c r="H19" s="98">
        <f t="shared" si="1"/>
        <v>3.2328011038832871E-2</v>
      </c>
    </row>
    <row r="20" spans="2:8" x14ac:dyDescent="0.25">
      <c r="B20" s="96">
        <v>42522</v>
      </c>
      <c r="C20" s="97">
        <v>26999.72</v>
      </c>
      <c r="D20" s="98">
        <f t="shared" si="0"/>
        <v>1.2440396640762907E-2</v>
      </c>
      <c r="F20" s="96">
        <v>42522</v>
      </c>
      <c r="G20">
        <v>743.4</v>
      </c>
      <c r="H20" s="98">
        <f t="shared" si="1"/>
        <v>-5.3656673668130539E-2</v>
      </c>
    </row>
    <row r="21" spans="2:8" x14ac:dyDescent="0.25">
      <c r="B21" s="96">
        <v>42552</v>
      </c>
      <c r="C21" s="97">
        <v>28051.86</v>
      </c>
      <c r="D21" s="98">
        <f t="shared" si="0"/>
        <v>3.8968552266468004E-2</v>
      </c>
      <c r="F21" s="96">
        <v>42552</v>
      </c>
      <c r="G21">
        <v>792.3</v>
      </c>
      <c r="H21" s="98">
        <f t="shared" si="1"/>
        <v>6.5778853914447044E-2</v>
      </c>
    </row>
    <row r="22" spans="2:8" x14ac:dyDescent="0.25">
      <c r="B22" s="96">
        <v>42583</v>
      </c>
      <c r="C22" s="97">
        <v>28452.17</v>
      </c>
      <c r="D22" s="98">
        <f t="shared" si="0"/>
        <v>1.4270354978243693E-2</v>
      </c>
      <c r="F22" s="96">
        <v>42583</v>
      </c>
      <c r="G22">
        <v>790.65</v>
      </c>
      <c r="H22" s="98">
        <f t="shared" si="1"/>
        <v>-2.0825444907232038E-3</v>
      </c>
    </row>
    <row r="23" spans="2:8" x14ac:dyDescent="0.25">
      <c r="B23" s="96">
        <v>42614</v>
      </c>
      <c r="C23" s="97">
        <v>27865.96</v>
      </c>
      <c r="D23" s="98">
        <f t="shared" si="0"/>
        <v>-2.0603349410607263E-2</v>
      </c>
      <c r="F23" s="96">
        <v>42614</v>
      </c>
      <c r="G23">
        <v>854.9</v>
      </c>
      <c r="H23" s="98">
        <f t="shared" si="1"/>
        <v>8.126225257699371E-2</v>
      </c>
    </row>
    <row r="24" spans="2:8" x14ac:dyDescent="0.25">
      <c r="B24" s="96">
        <v>42644</v>
      </c>
      <c r="C24" s="97">
        <v>27930.21</v>
      </c>
      <c r="D24" s="98">
        <f t="shared" si="0"/>
        <v>2.3056804789787222E-3</v>
      </c>
      <c r="F24" s="96">
        <v>42644</v>
      </c>
      <c r="G24">
        <v>817.35</v>
      </c>
      <c r="H24" s="98">
        <f t="shared" si="1"/>
        <v>-4.3923265879050155E-2</v>
      </c>
    </row>
    <row r="25" spans="2:8" x14ac:dyDescent="0.25">
      <c r="B25" s="96">
        <v>42675</v>
      </c>
      <c r="C25" s="97">
        <v>26652.81</v>
      </c>
      <c r="D25" s="98">
        <f t="shared" si="0"/>
        <v>-4.5735424116037704E-2</v>
      </c>
      <c r="F25" s="96">
        <v>42675</v>
      </c>
      <c r="G25">
        <v>739.85</v>
      </c>
      <c r="H25" s="98">
        <f t="shared" si="1"/>
        <v>-9.4818621153728522E-2</v>
      </c>
    </row>
    <row r="26" spans="2:8" x14ac:dyDescent="0.25">
      <c r="B26" s="96">
        <v>42705</v>
      </c>
      <c r="C26" s="97">
        <v>26626.46</v>
      </c>
      <c r="D26" s="98">
        <f t="shared" si="0"/>
        <v>-9.8863872139565157E-4</v>
      </c>
      <c r="F26" s="96">
        <v>42705</v>
      </c>
      <c r="G26">
        <v>669.05</v>
      </c>
      <c r="H26" s="98">
        <f t="shared" si="1"/>
        <v>-9.5695073325674174E-2</v>
      </c>
    </row>
    <row r="27" spans="2:8" x14ac:dyDescent="0.25">
      <c r="B27" s="96">
        <v>42736</v>
      </c>
      <c r="C27" s="97">
        <v>27655.96</v>
      </c>
      <c r="D27" s="98">
        <f t="shared" si="0"/>
        <v>3.8664546469939998E-2</v>
      </c>
      <c r="F27" s="96">
        <v>42736</v>
      </c>
      <c r="G27">
        <v>682.3</v>
      </c>
      <c r="H27" s="98">
        <f t="shared" si="1"/>
        <v>1.9804199985053339E-2</v>
      </c>
    </row>
    <row r="28" spans="2:8" x14ac:dyDescent="0.25">
      <c r="B28" s="96">
        <v>42767</v>
      </c>
      <c r="C28" s="97">
        <v>28743.32</v>
      </c>
      <c r="D28" s="98">
        <f t="shared" si="0"/>
        <v>3.931738402861451E-2</v>
      </c>
      <c r="F28" s="96">
        <v>42767</v>
      </c>
      <c r="G28">
        <v>677.2</v>
      </c>
      <c r="H28" s="98">
        <f t="shared" si="1"/>
        <v>-7.4747178660411473E-3</v>
      </c>
    </row>
    <row r="29" spans="2:8" x14ac:dyDescent="0.25">
      <c r="B29" s="96">
        <v>42795</v>
      </c>
      <c r="C29" s="97">
        <v>29620.5</v>
      </c>
      <c r="D29" s="98">
        <f t="shared" si="0"/>
        <v>3.0517699416768851E-2</v>
      </c>
      <c r="F29" s="96">
        <v>42795</v>
      </c>
      <c r="G29">
        <v>675.15</v>
      </c>
      <c r="H29" s="98">
        <f t="shared" si="1"/>
        <v>-3.0271707028943773E-3</v>
      </c>
    </row>
    <row r="30" spans="2:8" x14ac:dyDescent="0.25">
      <c r="B30" s="96">
        <v>42826</v>
      </c>
      <c r="C30" s="97">
        <v>29918.400000000001</v>
      </c>
      <c r="D30" s="98">
        <f t="shared" si="0"/>
        <v>1.0057223882108834E-2</v>
      </c>
      <c r="F30" s="96">
        <v>42826</v>
      </c>
      <c r="G30">
        <v>606.04999999999995</v>
      </c>
      <c r="H30" s="98">
        <f t="shared" si="1"/>
        <v>-0.1023476264533808</v>
      </c>
    </row>
    <row r="31" spans="2:8" x14ac:dyDescent="0.25">
      <c r="B31" s="96">
        <v>42856</v>
      </c>
      <c r="C31" s="97">
        <v>31145.8</v>
      </c>
      <c r="D31" s="98">
        <f t="shared" si="0"/>
        <v>4.1024921118776314E-2</v>
      </c>
      <c r="F31" s="96">
        <v>42856</v>
      </c>
      <c r="G31">
        <v>574.15</v>
      </c>
      <c r="H31" s="98">
        <f t="shared" si="1"/>
        <v>-5.26359211286197E-2</v>
      </c>
    </row>
    <row r="32" spans="2:8" x14ac:dyDescent="0.25">
      <c r="B32" s="96">
        <v>42887</v>
      </c>
      <c r="C32" s="97">
        <v>30921.61</v>
      </c>
      <c r="D32" s="98">
        <f t="shared" si="0"/>
        <v>-7.1980812822274309E-3</v>
      </c>
      <c r="F32" s="96">
        <v>42887</v>
      </c>
      <c r="G32">
        <v>683.45</v>
      </c>
      <c r="H32" s="98">
        <f t="shared" si="1"/>
        <v>0.19036837063485157</v>
      </c>
    </row>
    <row r="33" spans="2:8" x14ac:dyDescent="0.25">
      <c r="B33" s="96">
        <v>42917</v>
      </c>
      <c r="C33" s="97">
        <v>32514.94</v>
      </c>
      <c r="D33" s="98">
        <f t="shared" si="0"/>
        <v>5.1528041392411295E-2</v>
      </c>
      <c r="F33" s="96">
        <v>42917</v>
      </c>
      <c r="G33">
        <v>719.4</v>
      </c>
      <c r="H33" s="98">
        <f t="shared" si="1"/>
        <v>5.260077547735742E-2</v>
      </c>
    </row>
    <row r="34" spans="2:8" x14ac:dyDescent="0.25">
      <c r="B34" s="96">
        <v>42948</v>
      </c>
      <c r="C34" s="97">
        <v>31730.49</v>
      </c>
      <c r="D34" s="98">
        <f t="shared" si="0"/>
        <v>-2.4125832617252208E-2</v>
      </c>
      <c r="F34" s="96">
        <v>42948</v>
      </c>
      <c r="G34">
        <v>725.25</v>
      </c>
      <c r="H34" s="98">
        <f t="shared" si="1"/>
        <v>8.1317764804003101E-3</v>
      </c>
    </row>
    <row r="35" spans="2:8" x14ac:dyDescent="0.25">
      <c r="B35" s="96">
        <v>42979</v>
      </c>
      <c r="C35" s="97">
        <v>31283.72</v>
      </c>
      <c r="D35" s="98">
        <f t="shared" si="0"/>
        <v>-1.4080148147727956E-2</v>
      </c>
      <c r="F35" s="96">
        <v>42979</v>
      </c>
      <c r="G35">
        <v>691.75</v>
      </c>
      <c r="H35" s="98">
        <f t="shared" si="1"/>
        <v>-4.6190968631506402E-2</v>
      </c>
    </row>
    <row r="36" spans="2:8" x14ac:dyDescent="0.25">
      <c r="B36" s="96">
        <v>43009</v>
      </c>
      <c r="C36" s="97">
        <v>33213.129999999997</v>
      </c>
      <c r="D36" s="98">
        <f t="shared" si="0"/>
        <v>6.1674570671262696E-2</v>
      </c>
      <c r="F36" s="96">
        <v>43009</v>
      </c>
      <c r="G36">
        <v>761.3</v>
      </c>
      <c r="H36" s="98">
        <f t="shared" si="1"/>
        <v>0.10054210336104075</v>
      </c>
    </row>
    <row r="37" spans="2:8" x14ac:dyDescent="0.25">
      <c r="B37" s="96">
        <v>43040</v>
      </c>
      <c r="C37" s="97">
        <v>33149.35</v>
      </c>
      <c r="D37" s="98">
        <f t="shared" si="0"/>
        <v>-1.9203248835625297E-3</v>
      </c>
      <c r="F37" s="96">
        <v>43040</v>
      </c>
      <c r="G37">
        <v>694.7</v>
      </c>
      <c r="H37" s="98">
        <f t="shared" si="1"/>
        <v>-8.7481938788913638E-2</v>
      </c>
    </row>
    <row r="38" spans="2:8" x14ac:dyDescent="0.25">
      <c r="B38" s="96">
        <v>43070</v>
      </c>
      <c r="C38" s="97">
        <v>34056.83</v>
      </c>
      <c r="D38" s="98">
        <f t="shared" si="0"/>
        <v>2.7375499067100906E-2</v>
      </c>
      <c r="F38" s="96">
        <v>43070</v>
      </c>
      <c r="G38">
        <v>688.3</v>
      </c>
      <c r="H38" s="98">
        <f t="shared" si="1"/>
        <v>-9.212609759608581E-3</v>
      </c>
    </row>
    <row r="39" spans="2:8" x14ac:dyDescent="0.25">
      <c r="B39" s="96">
        <v>43101</v>
      </c>
      <c r="C39" s="97">
        <v>35965.019999999997</v>
      </c>
      <c r="D39" s="98">
        <f t="shared" si="0"/>
        <v>5.6029583493237389E-2</v>
      </c>
      <c r="F39" s="96">
        <v>43101</v>
      </c>
      <c r="G39">
        <v>629.5</v>
      </c>
      <c r="H39" s="98">
        <f t="shared" si="1"/>
        <v>-8.5427865756210863E-2</v>
      </c>
    </row>
    <row r="40" spans="2:8" x14ac:dyDescent="0.25">
      <c r="B40" s="96">
        <v>43132</v>
      </c>
      <c r="C40" s="97">
        <v>34184.04</v>
      </c>
      <c r="D40" s="98">
        <f t="shared" si="0"/>
        <v>-4.9519783389526673E-2</v>
      </c>
      <c r="F40" s="96">
        <v>43132</v>
      </c>
      <c r="G40">
        <v>613.45000000000005</v>
      </c>
      <c r="H40" s="98">
        <f t="shared" si="1"/>
        <v>-2.5496425734710004E-2</v>
      </c>
    </row>
    <row r="41" spans="2:8" x14ac:dyDescent="0.25">
      <c r="B41" s="96">
        <v>43160</v>
      </c>
      <c r="C41" s="97">
        <v>32968.68</v>
      </c>
      <c r="D41" s="98">
        <f t="shared" si="0"/>
        <v>-3.5553433707660065E-2</v>
      </c>
      <c r="F41" s="96">
        <v>43160</v>
      </c>
      <c r="G41">
        <v>557.25</v>
      </c>
      <c r="H41" s="98">
        <f t="shared" si="1"/>
        <v>-9.1613008395142304E-2</v>
      </c>
    </row>
    <row r="42" spans="2:8" x14ac:dyDescent="0.25">
      <c r="B42" s="96">
        <v>43191</v>
      </c>
      <c r="C42" s="97">
        <v>35160.36</v>
      </c>
      <c r="D42" s="98">
        <f t="shared" si="0"/>
        <v>6.6477638777166614E-2</v>
      </c>
      <c r="F42" s="96">
        <v>43191</v>
      </c>
      <c r="G42">
        <v>641.04999999999995</v>
      </c>
      <c r="H42" s="98">
        <f t="shared" si="1"/>
        <v>0.15038133692238653</v>
      </c>
    </row>
    <row r="43" spans="2:8" x14ac:dyDescent="0.25">
      <c r="B43" s="96">
        <v>43221</v>
      </c>
      <c r="C43" s="97">
        <v>35322.379999999997</v>
      </c>
      <c r="D43" s="98">
        <f t="shared" si="0"/>
        <v>4.6080301794406697E-3</v>
      </c>
      <c r="F43" s="96">
        <v>43221</v>
      </c>
      <c r="G43">
        <v>556.5</v>
      </c>
      <c r="H43" s="98">
        <f t="shared" si="1"/>
        <v>-0.13189298806645344</v>
      </c>
    </row>
    <row r="44" spans="2:8" x14ac:dyDescent="0.25">
      <c r="B44" s="96">
        <v>43252</v>
      </c>
      <c r="C44" s="97">
        <v>35423.480000000003</v>
      </c>
      <c r="D44" s="98">
        <f t="shared" si="0"/>
        <v>2.8622080392093352E-3</v>
      </c>
      <c r="F44" s="96">
        <v>43252</v>
      </c>
      <c r="G44">
        <v>606.54999999999995</v>
      </c>
      <c r="H44" s="98">
        <f t="shared" si="1"/>
        <v>8.9937106918238863E-2</v>
      </c>
    </row>
    <row r="45" spans="2:8" x14ac:dyDescent="0.25">
      <c r="B45" s="96">
        <v>43282</v>
      </c>
      <c r="C45" s="97">
        <v>37606.58</v>
      </c>
      <c r="D45" s="98">
        <f t="shared" si="0"/>
        <v>6.1628614692853301E-2</v>
      </c>
      <c r="F45" s="96">
        <v>43282</v>
      </c>
      <c r="G45">
        <v>592.45000000000005</v>
      </c>
      <c r="H45" s="98">
        <f t="shared" si="1"/>
        <v>-2.3246228670348534E-2</v>
      </c>
    </row>
    <row r="46" spans="2:8" x14ac:dyDescent="0.25">
      <c r="B46" s="96">
        <v>43313</v>
      </c>
      <c r="C46" s="97">
        <v>38645.07</v>
      </c>
      <c r="D46" s="98">
        <f t="shared" si="0"/>
        <v>2.7614582341707106E-2</v>
      </c>
      <c r="F46" s="96">
        <v>43313</v>
      </c>
      <c r="G46">
        <v>712.35</v>
      </c>
      <c r="H46" s="98">
        <f t="shared" si="1"/>
        <v>0.2023799476749093</v>
      </c>
    </row>
    <row r="47" spans="2:8" x14ac:dyDescent="0.25">
      <c r="B47" s="96">
        <v>43344</v>
      </c>
      <c r="C47" s="97">
        <v>36227.14</v>
      </c>
      <c r="D47" s="98">
        <f t="shared" si="0"/>
        <v>-6.2567618586277685E-2</v>
      </c>
      <c r="F47" s="96">
        <v>43344</v>
      </c>
      <c r="G47">
        <v>743.75</v>
      </c>
      <c r="H47" s="98">
        <f t="shared" si="1"/>
        <v>4.4079455323927874E-2</v>
      </c>
    </row>
    <row r="48" spans="2:8" x14ac:dyDescent="0.25">
      <c r="B48" s="96">
        <v>43374</v>
      </c>
      <c r="C48" s="97">
        <v>34442.050000000003</v>
      </c>
      <c r="D48" s="98">
        <f t="shared" si="0"/>
        <v>-4.9274935863002023E-2</v>
      </c>
      <c r="F48" s="96">
        <v>43374</v>
      </c>
      <c r="G48">
        <v>790.3</v>
      </c>
      <c r="H48" s="98">
        <f t="shared" si="1"/>
        <v>6.2588235294117611E-2</v>
      </c>
    </row>
    <row r="49" spans="2:8" x14ac:dyDescent="0.25">
      <c r="B49" s="96">
        <v>43405</v>
      </c>
      <c r="C49" s="97">
        <v>36194.300000000003</v>
      </c>
      <c r="D49" s="98">
        <f t="shared" si="0"/>
        <v>5.0875310848221833E-2</v>
      </c>
      <c r="F49" s="96">
        <v>43405</v>
      </c>
      <c r="G49">
        <v>810.3</v>
      </c>
      <c r="H49" s="98">
        <f t="shared" si="1"/>
        <v>2.5306845501708253E-2</v>
      </c>
    </row>
    <row r="50" spans="2:8" x14ac:dyDescent="0.25">
      <c r="B50" s="96">
        <v>43435</v>
      </c>
      <c r="C50" s="97">
        <v>36068.33</v>
      </c>
      <c r="D50" s="98">
        <f t="shared" si="0"/>
        <v>-3.4803822701364728E-3</v>
      </c>
      <c r="F50" s="96">
        <v>43435</v>
      </c>
      <c r="G50">
        <v>730.95</v>
      </c>
      <c r="H50" s="98">
        <f t="shared" si="1"/>
        <v>-9.7926693817104615E-2</v>
      </c>
    </row>
    <row r="51" spans="2:8" x14ac:dyDescent="0.25">
      <c r="B51" s="96">
        <v>43466</v>
      </c>
      <c r="C51" s="97">
        <v>36256.69</v>
      </c>
      <c r="D51" s="98">
        <f t="shared" si="0"/>
        <v>5.2223099877370949E-3</v>
      </c>
      <c r="F51" s="96">
        <v>43466</v>
      </c>
      <c r="G51">
        <v>786.3</v>
      </c>
      <c r="H51" s="98">
        <f t="shared" si="1"/>
        <v>7.5723373691770846E-2</v>
      </c>
    </row>
    <row r="52" spans="2:8" x14ac:dyDescent="0.25">
      <c r="B52" s="96">
        <v>43497</v>
      </c>
      <c r="C52" s="97">
        <v>35867.440000000002</v>
      </c>
      <c r="D52" s="98">
        <f t="shared" si="0"/>
        <v>-1.0735949696455971E-2</v>
      </c>
      <c r="F52" s="96">
        <v>43497</v>
      </c>
      <c r="G52">
        <v>712.15</v>
      </c>
      <c r="H52" s="98">
        <f t="shared" si="1"/>
        <v>-9.4302429098308549E-2</v>
      </c>
    </row>
    <row r="53" spans="2:8" x14ac:dyDescent="0.25">
      <c r="B53" s="96">
        <v>43525</v>
      </c>
      <c r="C53" s="97">
        <v>38672.910000000003</v>
      </c>
      <c r="D53" s="98">
        <f t="shared" si="0"/>
        <v>7.8217737312727076E-2</v>
      </c>
      <c r="F53" s="96">
        <v>43525</v>
      </c>
      <c r="G53">
        <v>786</v>
      </c>
      <c r="H53" s="98">
        <f t="shared" si="1"/>
        <v>0.10370006318893488</v>
      </c>
    </row>
    <row r="54" spans="2:8" x14ac:dyDescent="0.25">
      <c r="B54" s="96">
        <v>43556</v>
      </c>
      <c r="C54" s="97">
        <v>39031.550000000003</v>
      </c>
      <c r="D54" s="98">
        <f t="shared" si="0"/>
        <v>9.2736750350568276E-3</v>
      </c>
      <c r="F54" s="96">
        <v>43556</v>
      </c>
      <c r="G54">
        <v>818.65</v>
      </c>
      <c r="H54" s="98">
        <f t="shared" si="1"/>
        <v>4.1539440203562261E-2</v>
      </c>
    </row>
    <row r="55" spans="2:8" x14ac:dyDescent="0.25">
      <c r="B55" s="96">
        <v>43586</v>
      </c>
      <c r="C55" s="97">
        <v>39714.199999999997</v>
      </c>
      <c r="D55" s="98">
        <f t="shared" si="0"/>
        <v>1.7489697437073293E-2</v>
      </c>
      <c r="F55" s="96">
        <v>43586</v>
      </c>
      <c r="G55">
        <v>672.75</v>
      </c>
      <c r="H55" s="98">
        <f t="shared" si="1"/>
        <v>-0.17822024064007813</v>
      </c>
    </row>
    <row r="56" spans="2:8" x14ac:dyDescent="0.25">
      <c r="B56" s="96">
        <v>43617</v>
      </c>
      <c r="C56" s="97">
        <v>39394.639999999999</v>
      </c>
      <c r="D56" s="98">
        <f t="shared" si="0"/>
        <v>-8.0464921866737482E-3</v>
      </c>
      <c r="F56" s="96">
        <v>43617</v>
      </c>
      <c r="G56">
        <v>608.1</v>
      </c>
      <c r="H56" s="98">
        <f t="shared" si="1"/>
        <v>-9.6098104793756911E-2</v>
      </c>
    </row>
    <row r="57" spans="2:8" x14ac:dyDescent="0.25">
      <c r="B57" s="96">
        <v>43647</v>
      </c>
      <c r="C57" s="97">
        <v>37481.120000000003</v>
      </c>
      <c r="D57" s="98">
        <f t="shared" si="0"/>
        <v>-4.8573105376771952E-2</v>
      </c>
      <c r="F57" s="96">
        <v>43647</v>
      </c>
      <c r="G57">
        <v>571.75</v>
      </c>
      <c r="H57" s="98">
        <f t="shared" si="1"/>
        <v>-5.977635257358993E-2</v>
      </c>
    </row>
    <row r="58" spans="2:8" x14ac:dyDescent="0.25">
      <c r="B58" s="96">
        <v>43678</v>
      </c>
      <c r="C58" s="97">
        <v>37332.79</v>
      </c>
      <c r="D58" s="98">
        <f t="shared" si="0"/>
        <v>-3.9574591154160066E-3</v>
      </c>
      <c r="F58" s="96">
        <v>43678</v>
      </c>
      <c r="G58">
        <v>600.70000000000005</v>
      </c>
      <c r="H58" s="98">
        <f t="shared" si="1"/>
        <v>5.0634018364669853E-2</v>
      </c>
    </row>
    <row r="59" spans="2:8" x14ac:dyDescent="0.25">
      <c r="B59" s="96">
        <v>43709</v>
      </c>
      <c r="C59" s="97">
        <v>38667.33</v>
      </c>
      <c r="D59" s="98">
        <f t="shared" si="0"/>
        <v>3.5747127391229094E-2</v>
      </c>
      <c r="F59" s="96">
        <v>43709</v>
      </c>
      <c r="G59">
        <v>588.79999999999995</v>
      </c>
      <c r="H59" s="98">
        <f t="shared" si="1"/>
        <v>-1.9810221408357087E-2</v>
      </c>
    </row>
    <row r="60" spans="2:8" x14ac:dyDescent="0.25">
      <c r="B60" s="96">
        <v>43739</v>
      </c>
      <c r="C60" s="97">
        <v>40129.050000000003</v>
      </c>
      <c r="D60" s="98">
        <f t="shared" si="0"/>
        <v>3.7802454940643715E-2</v>
      </c>
      <c r="F60" s="96">
        <v>43739</v>
      </c>
      <c r="G60">
        <v>469.75</v>
      </c>
      <c r="H60" s="98">
        <f t="shared" si="1"/>
        <v>-0.20219089673913038</v>
      </c>
    </row>
    <row r="61" spans="2:8" x14ac:dyDescent="0.25">
      <c r="B61" s="96">
        <v>43770</v>
      </c>
      <c r="C61" s="97">
        <v>40793.81</v>
      </c>
      <c r="D61" s="98">
        <f t="shared" si="0"/>
        <v>1.6565555376965024E-2</v>
      </c>
      <c r="F61" s="96">
        <v>43770</v>
      </c>
      <c r="G61">
        <v>450.2</v>
      </c>
      <c r="H61" s="98">
        <f t="shared" si="1"/>
        <v>-4.1617881852048955E-2</v>
      </c>
    </row>
    <row r="62" spans="2:8" x14ac:dyDescent="0.25">
      <c r="B62" s="96">
        <v>43800</v>
      </c>
      <c r="C62" s="97">
        <v>41253.74</v>
      </c>
      <c r="D62" s="98">
        <f t="shared" si="0"/>
        <v>1.127450463685542E-2</v>
      </c>
      <c r="F62" s="96">
        <v>43800</v>
      </c>
      <c r="G62">
        <v>457.2</v>
      </c>
      <c r="H62" s="98">
        <f t="shared" si="1"/>
        <v>1.5548645046645992E-2</v>
      </c>
    </row>
    <row r="63" spans="2:8" x14ac:dyDescent="0.25">
      <c r="B63" s="96">
        <v>43831</v>
      </c>
      <c r="C63" s="97">
        <v>40723.49</v>
      </c>
      <c r="D63" s="98">
        <f t="shared" si="0"/>
        <v>-1.285338008141812E-2</v>
      </c>
      <c r="F63" s="96">
        <v>43831</v>
      </c>
      <c r="G63">
        <v>481.35</v>
      </c>
      <c r="H63" s="98">
        <f t="shared" si="1"/>
        <v>5.2821522309711266E-2</v>
      </c>
    </row>
    <row r="64" spans="2:8" x14ac:dyDescent="0.25">
      <c r="B64" s="96">
        <v>43862</v>
      </c>
      <c r="C64" s="97">
        <v>38297.29</v>
      </c>
      <c r="D64" s="98">
        <f t="shared" si="0"/>
        <v>-5.957740851778659E-2</v>
      </c>
      <c r="F64" s="96">
        <v>43862</v>
      </c>
      <c r="G64">
        <v>505.75</v>
      </c>
      <c r="H64" s="98">
        <f t="shared" si="1"/>
        <v>5.0690765555209349E-2</v>
      </c>
    </row>
    <row r="65" spans="2:8" x14ac:dyDescent="0.25">
      <c r="B65" s="96">
        <v>43891</v>
      </c>
      <c r="C65" s="97">
        <v>29468.49</v>
      </c>
      <c r="D65" s="98">
        <f t="shared" si="0"/>
        <v>-0.23053328316442234</v>
      </c>
      <c r="F65" s="96">
        <v>43891</v>
      </c>
      <c r="G65">
        <v>413.05</v>
      </c>
      <c r="H65" s="98">
        <f t="shared" si="1"/>
        <v>-0.18329214038556596</v>
      </c>
    </row>
    <row r="66" spans="2:8" x14ac:dyDescent="0.25">
      <c r="B66" s="96">
        <v>43922</v>
      </c>
      <c r="C66" s="97">
        <v>33717.620000000003</v>
      </c>
      <c r="D66" s="98">
        <f t="shared" si="0"/>
        <v>0.14419232203618182</v>
      </c>
      <c r="F66" s="96">
        <v>43922</v>
      </c>
      <c r="G66">
        <v>625.95000000000005</v>
      </c>
      <c r="H66" s="98">
        <f t="shared" si="1"/>
        <v>0.51543396683210263</v>
      </c>
    </row>
    <row r="67" spans="2:8" x14ac:dyDescent="0.25">
      <c r="B67" s="96">
        <v>43952</v>
      </c>
      <c r="C67" s="97">
        <v>32424.1</v>
      </c>
      <c r="D67" s="98">
        <f t="shared" si="0"/>
        <v>-3.8363324576289881E-2</v>
      </c>
      <c r="F67" s="96">
        <v>43952</v>
      </c>
      <c r="G67">
        <v>745.05</v>
      </c>
      <c r="H67" s="98">
        <f t="shared" si="1"/>
        <v>0.19027078840162925</v>
      </c>
    </row>
    <row r="68" spans="2:8" x14ac:dyDescent="0.25">
      <c r="B68" s="96">
        <v>43983</v>
      </c>
      <c r="C68" s="97">
        <v>34915.800000000003</v>
      </c>
      <c r="D68" s="98">
        <f t="shared" si="0"/>
        <v>7.6847159982852409E-2</v>
      </c>
      <c r="F68" s="96">
        <v>43983</v>
      </c>
      <c r="G68">
        <v>771.5</v>
      </c>
      <c r="H68" s="98">
        <f t="shared" si="1"/>
        <v>3.5500973089054533E-2</v>
      </c>
    </row>
    <row r="69" spans="2:8" x14ac:dyDescent="0.25">
      <c r="B69" s="96">
        <v>44013</v>
      </c>
      <c r="C69" s="97">
        <v>37606.89</v>
      </c>
      <c r="D69" s="98">
        <f t="shared" si="0"/>
        <v>7.7073703022700224E-2</v>
      </c>
      <c r="F69" s="96">
        <v>44013</v>
      </c>
      <c r="G69">
        <v>874.55</v>
      </c>
      <c r="H69" s="98">
        <f t="shared" si="1"/>
        <v>0.13357096565132842</v>
      </c>
    </row>
    <row r="70" spans="2:8" x14ac:dyDescent="0.25">
      <c r="B70" s="96">
        <v>44044</v>
      </c>
      <c r="C70" s="97">
        <v>38628.29</v>
      </c>
      <c r="D70" s="98">
        <f t="shared" si="0"/>
        <v>2.7159916706752441E-2</v>
      </c>
      <c r="F70" s="96">
        <v>44044</v>
      </c>
      <c r="G70">
        <v>809.1</v>
      </c>
      <c r="H70" s="98">
        <f t="shared" si="1"/>
        <v>-7.4838488365445044E-2</v>
      </c>
    </row>
    <row r="71" spans="2:8" x14ac:dyDescent="0.25">
      <c r="B71" s="96">
        <v>44075</v>
      </c>
      <c r="C71" s="97">
        <v>38067.93</v>
      </c>
      <c r="D71" s="98">
        <f t="shared" si="0"/>
        <v>-1.4506466633651183E-2</v>
      </c>
      <c r="F71" s="96">
        <v>44075</v>
      </c>
      <c r="G71">
        <v>796.6</v>
      </c>
      <c r="H71" s="98">
        <f t="shared" si="1"/>
        <v>-1.5449264615004288E-2</v>
      </c>
    </row>
    <row r="72" spans="2:8" x14ac:dyDescent="0.25">
      <c r="B72" s="96">
        <v>44105</v>
      </c>
      <c r="C72" s="97">
        <v>39614.07</v>
      </c>
      <c r="D72" s="98">
        <f t="shared" si="0"/>
        <v>4.061528956263194E-2</v>
      </c>
      <c r="F72" s="96">
        <v>44105</v>
      </c>
      <c r="G72">
        <v>772.75</v>
      </c>
      <c r="H72" s="98">
        <f t="shared" si="1"/>
        <v>-2.9939743911624461E-2</v>
      </c>
    </row>
    <row r="73" spans="2:8" x14ac:dyDescent="0.25">
      <c r="B73" s="96">
        <v>44136</v>
      </c>
      <c r="C73" s="97">
        <v>44149.72</v>
      </c>
      <c r="D73" s="98">
        <f t="shared" si="0"/>
        <v>0.11449593540880798</v>
      </c>
      <c r="F73" s="96">
        <v>44136</v>
      </c>
      <c r="G73">
        <v>868.05</v>
      </c>
      <c r="H73" s="98">
        <f t="shared" si="1"/>
        <v>0.12332578453574894</v>
      </c>
    </row>
    <row r="74" spans="2:8" x14ac:dyDescent="0.25">
      <c r="B74" s="96">
        <v>44166</v>
      </c>
      <c r="C74" s="97">
        <v>47751.33</v>
      </c>
      <c r="D74" s="98">
        <f t="shared" si="0"/>
        <v>8.15771878054945E-2</v>
      </c>
      <c r="F74" s="96">
        <v>44166</v>
      </c>
      <c r="G74">
        <v>920.8</v>
      </c>
      <c r="H74" s="98">
        <f t="shared" si="1"/>
        <v>6.0768388917689098E-2</v>
      </c>
    </row>
    <row r="75" spans="2:8" x14ac:dyDescent="0.25">
      <c r="B75" s="96">
        <v>44197</v>
      </c>
      <c r="C75" s="97">
        <v>46285.77</v>
      </c>
      <c r="D75" s="98">
        <f t="shared" si="0"/>
        <v>-3.0691501158187751E-2</v>
      </c>
      <c r="F75" s="96">
        <v>44197</v>
      </c>
      <c r="G75">
        <v>905.7</v>
      </c>
      <c r="H75" s="98">
        <f t="shared" si="1"/>
        <v>-1.6398783666376926E-2</v>
      </c>
    </row>
    <row r="76" spans="2:8" x14ac:dyDescent="0.25">
      <c r="B76" s="96">
        <v>44228</v>
      </c>
      <c r="C76" s="97">
        <v>49099.99</v>
      </c>
      <c r="D76" s="98">
        <f t="shared" ref="D76:D130" si="2">C76/C75-1</f>
        <v>6.0800976196355938E-2</v>
      </c>
      <c r="F76" s="96">
        <v>44228</v>
      </c>
      <c r="G76">
        <v>854.9</v>
      </c>
      <c r="H76" s="98">
        <f t="shared" ref="H76:H130" si="3">G76/G75-1</f>
        <v>-5.6089212763608343E-2</v>
      </c>
    </row>
    <row r="77" spans="2:8" x14ac:dyDescent="0.25">
      <c r="B77" s="96">
        <v>44256</v>
      </c>
      <c r="C77" s="97">
        <v>49509.15</v>
      </c>
      <c r="D77" s="98">
        <f t="shared" si="2"/>
        <v>8.3331992531974208E-3</v>
      </c>
      <c r="F77" s="96">
        <v>44256</v>
      </c>
      <c r="G77">
        <v>881.55</v>
      </c>
      <c r="H77" s="98">
        <f t="shared" si="3"/>
        <v>3.117323663586391E-2</v>
      </c>
    </row>
    <row r="78" spans="2:8" x14ac:dyDescent="0.25">
      <c r="B78" s="96">
        <v>44287</v>
      </c>
      <c r="C78" s="97">
        <v>48782.36</v>
      </c>
      <c r="D78" s="98">
        <f t="shared" si="2"/>
        <v>-1.4679912703005393E-2</v>
      </c>
      <c r="F78" s="96">
        <v>44287</v>
      </c>
      <c r="G78">
        <v>980.65</v>
      </c>
      <c r="H78" s="98">
        <f t="shared" si="3"/>
        <v>0.11241563155805112</v>
      </c>
    </row>
    <row r="79" spans="2:8" x14ac:dyDescent="0.25">
      <c r="B79" s="96">
        <v>44317</v>
      </c>
      <c r="C79" s="97">
        <v>51937.440000000002</v>
      </c>
      <c r="D79" s="98">
        <f t="shared" si="2"/>
        <v>6.4676657709877183E-2</v>
      </c>
      <c r="F79" s="96">
        <v>44317</v>
      </c>
      <c r="G79">
        <v>997.75</v>
      </c>
      <c r="H79" s="98">
        <f t="shared" si="3"/>
        <v>1.7437413960128545E-2</v>
      </c>
    </row>
    <row r="80" spans="2:8" x14ac:dyDescent="0.25">
      <c r="B80" s="96">
        <v>44348</v>
      </c>
      <c r="C80" s="97">
        <v>52482.71</v>
      </c>
      <c r="D80" s="98">
        <f t="shared" si="2"/>
        <v>1.0498592152404784E-2</v>
      </c>
      <c r="F80" s="96">
        <v>44348</v>
      </c>
      <c r="G80">
        <v>965.25</v>
      </c>
      <c r="H80" s="98">
        <f t="shared" si="3"/>
        <v>-3.2573289902280145E-2</v>
      </c>
    </row>
    <row r="81" spans="2:8" x14ac:dyDescent="0.25">
      <c r="B81" s="96">
        <v>44378</v>
      </c>
      <c r="C81" s="97">
        <v>52586.84</v>
      </c>
      <c r="D81" s="98">
        <f t="shared" si="2"/>
        <v>1.9840819957657185E-3</v>
      </c>
      <c r="F81" s="96">
        <v>44378</v>
      </c>
      <c r="G81">
        <v>916.85</v>
      </c>
      <c r="H81" s="98">
        <f t="shared" si="3"/>
        <v>-5.0142450142450112E-2</v>
      </c>
    </row>
    <row r="82" spans="2:8" x14ac:dyDescent="0.25">
      <c r="B82" s="96">
        <v>44409</v>
      </c>
      <c r="C82" s="97">
        <v>57552.39</v>
      </c>
      <c r="D82" s="98">
        <f t="shared" si="2"/>
        <v>9.4425715635318763E-2</v>
      </c>
      <c r="F82" s="96">
        <v>44409</v>
      </c>
      <c r="G82">
        <v>727.4</v>
      </c>
      <c r="H82" s="98">
        <f t="shared" si="3"/>
        <v>-0.20663140099252886</v>
      </c>
    </row>
    <row r="83" spans="2:8" x14ac:dyDescent="0.25">
      <c r="B83" s="96">
        <v>44440</v>
      </c>
      <c r="C83" s="97">
        <v>59126.36</v>
      </c>
      <c r="D83" s="98">
        <f t="shared" si="2"/>
        <v>2.7348473277999386E-2</v>
      </c>
      <c r="F83" s="96">
        <v>44440</v>
      </c>
      <c r="G83">
        <v>726.05</v>
      </c>
      <c r="H83" s="98">
        <f t="shared" si="3"/>
        <v>-1.8559252130877502E-3</v>
      </c>
    </row>
    <row r="84" spans="2:8" x14ac:dyDescent="0.25">
      <c r="B84" s="96">
        <v>44470</v>
      </c>
      <c r="C84" s="97">
        <v>59306.93</v>
      </c>
      <c r="D84" s="98">
        <f t="shared" si="2"/>
        <v>3.0539678072520893E-3</v>
      </c>
      <c r="F84" s="96">
        <v>44470</v>
      </c>
      <c r="G84">
        <v>690.15</v>
      </c>
      <c r="H84" s="98">
        <f t="shared" si="3"/>
        <v>-4.9445630466221302E-2</v>
      </c>
    </row>
    <row r="85" spans="2:8" x14ac:dyDescent="0.25">
      <c r="B85" s="96">
        <v>44501</v>
      </c>
      <c r="C85" s="97">
        <v>57064.87</v>
      </c>
      <c r="D85" s="98">
        <f t="shared" si="2"/>
        <v>-3.7804351026094252E-2</v>
      </c>
      <c r="F85" s="96">
        <v>44501</v>
      </c>
      <c r="G85">
        <v>659.55</v>
      </c>
      <c r="H85" s="98">
        <f t="shared" si="3"/>
        <v>-4.4338187350576042E-2</v>
      </c>
    </row>
    <row r="86" spans="2:8" x14ac:dyDescent="0.25">
      <c r="B86" s="96">
        <v>44531</v>
      </c>
      <c r="C86" s="97">
        <v>58253.82</v>
      </c>
      <c r="D86" s="98">
        <f t="shared" si="2"/>
        <v>2.0835060169242414E-2</v>
      </c>
      <c r="F86" s="96">
        <v>44531</v>
      </c>
      <c r="G86">
        <v>733.75</v>
      </c>
      <c r="H86" s="98">
        <f t="shared" si="3"/>
        <v>0.11250094761579876</v>
      </c>
    </row>
    <row r="87" spans="2:8" x14ac:dyDescent="0.25">
      <c r="B87" s="96">
        <v>44562</v>
      </c>
      <c r="C87" s="97">
        <v>58014.17</v>
      </c>
      <c r="D87" s="98">
        <f t="shared" si="2"/>
        <v>-4.113893303477778E-3</v>
      </c>
      <c r="F87" s="96">
        <v>44562</v>
      </c>
      <c r="G87">
        <v>634.85</v>
      </c>
      <c r="H87" s="98">
        <f t="shared" si="3"/>
        <v>-0.13478705281090286</v>
      </c>
    </row>
    <row r="88" spans="2:8" x14ac:dyDescent="0.25">
      <c r="B88" s="96">
        <v>44593</v>
      </c>
      <c r="C88" s="97">
        <v>56247.28</v>
      </c>
      <c r="D88" s="98">
        <f t="shared" si="2"/>
        <v>-3.0456179929834404E-2</v>
      </c>
      <c r="F88" s="96">
        <v>44593</v>
      </c>
      <c r="G88">
        <v>625.45000000000005</v>
      </c>
      <c r="H88" s="98">
        <f t="shared" si="3"/>
        <v>-1.4806647239505311E-2</v>
      </c>
    </row>
    <row r="89" spans="2:8" x14ac:dyDescent="0.25">
      <c r="B89" s="96">
        <v>44621</v>
      </c>
      <c r="C89" s="97">
        <v>58568.51</v>
      </c>
      <c r="D89" s="98">
        <f t="shared" si="2"/>
        <v>4.1268306663006626E-2</v>
      </c>
      <c r="F89" s="96">
        <v>44621</v>
      </c>
      <c r="G89">
        <v>668.95</v>
      </c>
      <c r="H89" s="98">
        <f t="shared" si="3"/>
        <v>6.9549924054680634E-2</v>
      </c>
    </row>
    <row r="90" spans="2:8" x14ac:dyDescent="0.25">
      <c r="B90" s="96">
        <v>44652</v>
      </c>
      <c r="C90" s="97">
        <v>57060.87</v>
      </c>
      <c r="D90" s="98">
        <f t="shared" si="2"/>
        <v>-2.5741477800954815E-2</v>
      </c>
      <c r="F90" s="96">
        <v>44652</v>
      </c>
      <c r="G90">
        <v>629.65</v>
      </c>
      <c r="H90" s="98">
        <f t="shared" si="3"/>
        <v>-5.8748785409970972E-2</v>
      </c>
    </row>
    <row r="91" spans="2:8" x14ac:dyDescent="0.25">
      <c r="B91" s="96">
        <v>44682</v>
      </c>
      <c r="C91" s="97">
        <v>55566.41</v>
      </c>
      <c r="D91" s="98">
        <f t="shared" si="2"/>
        <v>-2.6190627657797672E-2</v>
      </c>
      <c r="F91" s="96">
        <v>44682</v>
      </c>
      <c r="G91">
        <v>530.9</v>
      </c>
      <c r="H91" s="98">
        <f t="shared" si="3"/>
        <v>-0.15683316128007618</v>
      </c>
    </row>
    <row r="92" spans="2:8" x14ac:dyDescent="0.25">
      <c r="B92" s="96">
        <v>44713</v>
      </c>
      <c r="C92" s="97">
        <v>53018.94</v>
      </c>
      <c r="D92" s="98">
        <f t="shared" si="2"/>
        <v>-4.5845502705681329E-2</v>
      </c>
      <c r="F92" s="96">
        <v>44713</v>
      </c>
      <c r="G92">
        <v>513.79999999999995</v>
      </c>
      <c r="H92" s="98">
        <f t="shared" si="3"/>
        <v>-3.2209455641363793E-2</v>
      </c>
    </row>
    <row r="93" spans="2:8" x14ac:dyDescent="0.25">
      <c r="B93" s="96">
        <v>44743</v>
      </c>
      <c r="C93" s="97">
        <v>57570.25</v>
      </c>
      <c r="D93" s="98">
        <f t="shared" si="2"/>
        <v>8.5843096825398479E-2</v>
      </c>
      <c r="F93" s="96">
        <v>44743</v>
      </c>
      <c r="G93">
        <v>546.95000000000005</v>
      </c>
      <c r="H93" s="98">
        <f t="shared" si="3"/>
        <v>6.4519268197742452E-2</v>
      </c>
    </row>
    <row r="94" spans="2:8" x14ac:dyDescent="0.25">
      <c r="B94" s="96">
        <v>44774</v>
      </c>
      <c r="C94" s="97">
        <v>59537.07</v>
      </c>
      <c r="D94" s="98">
        <f t="shared" si="2"/>
        <v>3.4163825934401926E-2</v>
      </c>
      <c r="F94" s="96">
        <v>44774</v>
      </c>
      <c r="G94">
        <v>545.25</v>
      </c>
      <c r="H94" s="98">
        <f t="shared" si="3"/>
        <v>-3.108145168662646E-3</v>
      </c>
    </row>
    <row r="95" spans="2:8" x14ac:dyDescent="0.25">
      <c r="B95" s="96">
        <v>44805</v>
      </c>
      <c r="C95" s="97">
        <v>57426.92</v>
      </c>
      <c r="D95" s="98">
        <f t="shared" si="2"/>
        <v>-3.5442624233943731E-2</v>
      </c>
      <c r="F95" s="96">
        <v>44805</v>
      </c>
      <c r="G95">
        <v>510.5</v>
      </c>
      <c r="H95" s="98">
        <f t="shared" si="3"/>
        <v>-6.3732232920678533E-2</v>
      </c>
    </row>
    <row r="96" spans="2:8" x14ac:dyDescent="0.25">
      <c r="B96" s="96">
        <v>44835</v>
      </c>
      <c r="C96" s="97">
        <v>60746.59</v>
      </c>
      <c r="D96" s="98">
        <f t="shared" si="2"/>
        <v>5.7806861311733293E-2</v>
      </c>
      <c r="F96" s="96">
        <v>44835</v>
      </c>
      <c r="G96">
        <v>538.35</v>
      </c>
      <c r="H96" s="98">
        <f t="shared" si="3"/>
        <v>5.4554358472086228E-2</v>
      </c>
    </row>
    <row r="97" spans="2:8" x14ac:dyDescent="0.25">
      <c r="B97" s="96">
        <v>44866</v>
      </c>
      <c r="C97" s="97">
        <v>63099.65</v>
      </c>
      <c r="D97" s="98">
        <f t="shared" si="2"/>
        <v>3.8735672241026364E-2</v>
      </c>
      <c r="F97" s="96">
        <v>44866</v>
      </c>
      <c r="G97">
        <v>468.1</v>
      </c>
      <c r="H97" s="98">
        <f t="shared" si="3"/>
        <v>-0.13049131605832631</v>
      </c>
    </row>
    <row r="98" spans="2:8" x14ac:dyDescent="0.25">
      <c r="B98" s="96">
        <v>44896</v>
      </c>
      <c r="C98" s="97">
        <v>60840.74</v>
      </c>
      <c r="D98" s="98">
        <f t="shared" si="2"/>
        <v>-3.5799089218403024E-2</v>
      </c>
      <c r="F98" s="96">
        <v>44896</v>
      </c>
      <c r="G98">
        <v>438.05</v>
      </c>
      <c r="H98" s="98">
        <f t="shared" si="3"/>
        <v>-6.4195684682760157E-2</v>
      </c>
    </row>
    <row r="99" spans="2:8" x14ac:dyDescent="0.25">
      <c r="B99" s="96">
        <v>44927</v>
      </c>
      <c r="C99" s="97">
        <v>59549.9</v>
      </c>
      <c r="D99" s="98">
        <f t="shared" si="2"/>
        <v>-2.1216704464804281E-2</v>
      </c>
      <c r="F99" s="96">
        <v>44927</v>
      </c>
      <c r="G99">
        <v>408.3</v>
      </c>
      <c r="H99" s="98">
        <f t="shared" si="3"/>
        <v>-6.7914621618536675E-2</v>
      </c>
    </row>
    <row r="100" spans="2:8" x14ac:dyDescent="0.25">
      <c r="B100" s="96">
        <v>44958</v>
      </c>
      <c r="C100" s="97">
        <v>58962.12</v>
      </c>
      <c r="D100" s="98">
        <f t="shared" si="2"/>
        <v>-9.8703776160833367E-3</v>
      </c>
      <c r="F100" s="96">
        <v>44958</v>
      </c>
      <c r="G100">
        <v>463.05</v>
      </c>
      <c r="H100" s="98">
        <f t="shared" si="3"/>
        <v>0.13409257898603966</v>
      </c>
    </row>
    <row r="101" spans="2:8" x14ac:dyDescent="0.25">
      <c r="B101" s="96">
        <v>44986</v>
      </c>
      <c r="C101" s="97">
        <v>58991.519999999997</v>
      </c>
      <c r="D101" s="98">
        <f t="shared" si="2"/>
        <v>4.9862521903887291E-4</v>
      </c>
      <c r="F101" s="96">
        <v>44986</v>
      </c>
      <c r="G101">
        <v>518</v>
      </c>
      <c r="H101" s="98">
        <f t="shared" si="3"/>
        <v>0.11866969009826156</v>
      </c>
    </row>
    <row r="102" spans="2:8" x14ac:dyDescent="0.25">
      <c r="B102" s="96">
        <v>45017</v>
      </c>
      <c r="C102" s="97">
        <v>61112.44</v>
      </c>
      <c r="D102" s="98">
        <f t="shared" si="2"/>
        <v>3.5952964087041739E-2</v>
      </c>
      <c r="F102" s="96">
        <v>45017</v>
      </c>
      <c r="G102">
        <v>616.45000000000005</v>
      </c>
      <c r="H102" s="98">
        <f t="shared" si="3"/>
        <v>0.19005791505791514</v>
      </c>
    </row>
    <row r="103" spans="2:8" x14ac:dyDescent="0.25">
      <c r="B103" s="96">
        <v>45047</v>
      </c>
      <c r="C103" s="97">
        <v>62622.239999999998</v>
      </c>
      <c r="D103" s="98">
        <f t="shared" si="2"/>
        <v>2.4705280954254061E-2</v>
      </c>
      <c r="F103" s="96">
        <v>45047</v>
      </c>
      <c r="G103">
        <v>658.55</v>
      </c>
      <c r="H103" s="98">
        <f t="shared" si="3"/>
        <v>6.8294265552761635E-2</v>
      </c>
    </row>
    <row r="104" spans="2:8" x14ac:dyDescent="0.25">
      <c r="B104" s="96">
        <v>45078</v>
      </c>
      <c r="C104" s="97">
        <v>64718.559999999998</v>
      </c>
      <c r="D104" s="98">
        <f t="shared" si="2"/>
        <v>3.3475646990589913E-2</v>
      </c>
      <c r="F104" s="96">
        <v>45078</v>
      </c>
      <c r="G104">
        <v>727.55</v>
      </c>
      <c r="H104" s="98">
        <f t="shared" si="3"/>
        <v>0.10477564345911472</v>
      </c>
    </row>
    <row r="105" spans="2:8" x14ac:dyDescent="0.25">
      <c r="B105" s="96">
        <v>45108</v>
      </c>
      <c r="C105" s="97">
        <v>66527.67</v>
      </c>
      <c r="D105" s="98">
        <f t="shared" si="2"/>
        <v>2.7953495875062684E-2</v>
      </c>
      <c r="F105" s="96">
        <v>45108</v>
      </c>
      <c r="G105">
        <v>822.3</v>
      </c>
      <c r="H105" s="98">
        <f t="shared" si="3"/>
        <v>0.13023159920280403</v>
      </c>
    </row>
    <row r="106" spans="2:8" x14ac:dyDescent="0.25">
      <c r="B106" s="96">
        <v>45139</v>
      </c>
      <c r="C106" s="97">
        <v>64831.41</v>
      </c>
      <c r="D106" s="98">
        <f t="shared" si="2"/>
        <v>-2.5497060095445945E-2</v>
      </c>
      <c r="F106" s="96">
        <v>45139</v>
      </c>
      <c r="G106">
        <v>828.3</v>
      </c>
      <c r="H106" s="98">
        <f t="shared" si="3"/>
        <v>7.2966070777089609E-3</v>
      </c>
    </row>
    <row r="107" spans="2:8" x14ac:dyDescent="0.25">
      <c r="B107" s="96">
        <v>45170</v>
      </c>
      <c r="C107" s="97">
        <v>65828.41</v>
      </c>
      <c r="D107" s="98">
        <f t="shared" si="2"/>
        <v>1.5378348242001794E-2</v>
      </c>
      <c r="F107" s="96">
        <v>45170</v>
      </c>
      <c r="G107">
        <v>914.2</v>
      </c>
      <c r="H107" s="98">
        <f t="shared" si="3"/>
        <v>0.1037063865749126</v>
      </c>
    </row>
    <row r="108" spans="2:8" x14ac:dyDescent="0.25">
      <c r="B108" s="96">
        <v>45200</v>
      </c>
      <c r="C108" s="97">
        <v>63874.93</v>
      </c>
      <c r="D108" s="98">
        <f t="shared" si="2"/>
        <v>-2.9675333188208586E-2</v>
      </c>
      <c r="F108" s="96">
        <v>45200</v>
      </c>
      <c r="G108">
        <v>849.35</v>
      </c>
      <c r="H108" s="98">
        <f t="shared" si="3"/>
        <v>-7.093633778166708E-2</v>
      </c>
    </row>
    <row r="109" spans="2:8" x14ac:dyDescent="0.25">
      <c r="B109" s="96">
        <v>45231</v>
      </c>
      <c r="C109" s="97">
        <v>66988.44</v>
      </c>
      <c r="D109" s="98">
        <f t="shared" si="2"/>
        <v>4.8743849895412916E-2</v>
      </c>
      <c r="F109" s="96">
        <v>45231</v>
      </c>
      <c r="G109">
        <v>1042.95</v>
      </c>
      <c r="H109" s="98">
        <f t="shared" si="3"/>
        <v>0.22793901218578916</v>
      </c>
    </row>
    <row r="110" spans="2:8" x14ac:dyDescent="0.25">
      <c r="B110" s="96">
        <v>45261</v>
      </c>
      <c r="C110" s="97">
        <v>72240.259999999995</v>
      </c>
      <c r="D110" s="98">
        <f t="shared" si="2"/>
        <v>7.8398899869887906E-2</v>
      </c>
      <c r="F110" s="96">
        <v>45261</v>
      </c>
      <c r="G110">
        <v>1084.05</v>
      </c>
      <c r="H110" s="98">
        <f t="shared" si="3"/>
        <v>3.9407450021573309E-2</v>
      </c>
    </row>
    <row r="111" spans="2:8" x14ac:dyDescent="0.25">
      <c r="B111" s="96">
        <v>45292</v>
      </c>
      <c r="C111" s="97">
        <v>71752.11</v>
      </c>
      <c r="D111" s="98">
        <f t="shared" si="2"/>
        <v>-6.7573123352545617E-3</v>
      </c>
      <c r="F111" s="96">
        <v>45292</v>
      </c>
      <c r="G111">
        <v>1150.3499999999999</v>
      </c>
      <c r="H111" s="98">
        <f t="shared" si="3"/>
        <v>6.1159540611595453E-2</v>
      </c>
    </row>
    <row r="112" spans="2:8" x14ac:dyDescent="0.25">
      <c r="B112" s="96">
        <v>45323</v>
      </c>
      <c r="C112" s="97">
        <v>72500.3</v>
      </c>
      <c r="D112" s="98">
        <f t="shared" si="2"/>
        <v>1.0427428545306983E-2</v>
      </c>
      <c r="F112" s="96">
        <v>45323</v>
      </c>
      <c r="G112">
        <v>1027.45</v>
      </c>
      <c r="H112" s="98">
        <f t="shared" si="3"/>
        <v>-0.10683704959360185</v>
      </c>
    </row>
    <row r="113" spans="2:8" x14ac:dyDescent="0.25">
      <c r="B113" s="96">
        <v>45352</v>
      </c>
      <c r="C113" s="97">
        <v>73651.350000000006</v>
      </c>
      <c r="D113" s="98">
        <f t="shared" si="2"/>
        <v>1.5876486028333803E-2</v>
      </c>
      <c r="F113" s="96">
        <v>45352</v>
      </c>
      <c r="G113">
        <v>1089.45</v>
      </c>
      <c r="H113" s="98">
        <f t="shared" si="3"/>
        <v>6.0343569030123057E-2</v>
      </c>
    </row>
    <row r="114" spans="2:8" x14ac:dyDescent="0.25">
      <c r="B114" s="96">
        <v>45383</v>
      </c>
      <c r="C114" s="97">
        <v>74482.78</v>
      </c>
      <c r="D114" s="98">
        <f t="shared" si="2"/>
        <v>1.1288727226316908E-2</v>
      </c>
      <c r="F114" s="96">
        <v>45383</v>
      </c>
      <c r="G114">
        <v>1152.45</v>
      </c>
      <c r="H114" s="98">
        <f t="shared" si="3"/>
        <v>5.7827344072697295E-2</v>
      </c>
    </row>
    <row r="115" spans="2:8" x14ac:dyDescent="0.25">
      <c r="B115" s="96">
        <v>45413</v>
      </c>
      <c r="C115" s="97">
        <v>73961.31</v>
      </c>
      <c r="D115" s="98">
        <f t="shared" si="2"/>
        <v>-7.0012155829843881E-3</v>
      </c>
      <c r="F115" s="96">
        <v>45413</v>
      </c>
      <c r="G115">
        <v>1187</v>
      </c>
      <c r="H115" s="98">
        <f t="shared" si="3"/>
        <v>2.9979608659811641E-2</v>
      </c>
    </row>
    <row r="116" spans="2:8" x14ac:dyDescent="0.25">
      <c r="B116" s="96">
        <v>45444</v>
      </c>
      <c r="C116" s="97">
        <v>79032.73</v>
      </c>
      <c r="D116" s="98">
        <f t="shared" si="2"/>
        <v>6.8568552936663751E-2</v>
      </c>
      <c r="F116" s="96">
        <v>45444</v>
      </c>
      <c r="G116">
        <v>1207.5999999999999</v>
      </c>
      <c r="H116" s="98">
        <f t="shared" si="3"/>
        <v>1.7354675652906382E-2</v>
      </c>
    </row>
    <row r="117" spans="2:8" x14ac:dyDescent="0.25">
      <c r="B117" s="96">
        <v>45474</v>
      </c>
      <c r="C117" s="97">
        <v>81741.34</v>
      </c>
      <c r="D117" s="98">
        <f t="shared" si="2"/>
        <v>3.427200351044446E-2</v>
      </c>
      <c r="F117" s="96">
        <v>45474</v>
      </c>
      <c r="G117">
        <v>1435.9</v>
      </c>
      <c r="H117" s="98">
        <f t="shared" si="3"/>
        <v>0.18905266644584318</v>
      </c>
    </row>
    <row r="118" spans="2:8" x14ac:dyDescent="0.25">
      <c r="B118" s="96">
        <v>45505</v>
      </c>
      <c r="C118" s="97">
        <v>82365.77</v>
      </c>
      <c r="D118" s="98">
        <f t="shared" si="2"/>
        <v>7.6390966920778514E-3</v>
      </c>
      <c r="F118" s="96">
        <v>45505</v>
      </c>
      <c r="G118">
        <v>1574.95</v>
      </c>
      <c r="H118" s="98">
        <f t="shared" si="3"/>
        <v>9.6838219931750125E-2</v>
      </c>
    </row>
    <row r="119" spans="2:8" x14ac:dyDescent="0.25">
      <c r="B119" s="96">
        <v>45536</v>
      </c>
      <c r="C119" s="97">
        <v>84299.78</v>
      </c>
      <c r="D119" s="98">
        <f t="shared" si="2"/>
        <v>2.3480749345268004E-2</v>
      </c>
      <c r="F119" s="96">
        <v>45536</v>
      </c>
      <c r="G119">
        <v>1460.9</v>
      </c>
      <c r="H119" s="98">
        <f t="shared" si="3"/>
        <v>-7.2414997301501582E-2</v>
      </c>
    </row>
    <row r="120" spans="2:8" x14ac:dyDescent="0.25">
      <c r="B120" s="96">
        <v>45566</v>
      </c>
      <c r="C120" s="97">
        <v>79389.06</v>
      </c>
      <c r="D120" s="98">
        <f t="shared" si="2"/>
        <v>-5.8253058311658723E-2</v>
      </c>
      <c r="F120" s="96">
        <v>45566</v>
      </c>
      <c r="G120">
        <v>1396</v>
      </c>
      <c r="H120" s="98">
        <f t="shared" si="3"/>
        <v>-4.4424669724142718E-2</v>
      </c>
    </row>
    <row r="121" spans="2:8" x14ac:dyDescent="0.25">
      <c r="B121" s="96">
        <v>45597</v>
      </c>
      <c r="C121" s="97">
        <v>79802.789999999994</v>
      </c>
      <c r="D121" s="98">
        <f t="shared" si="2"/>
        <v>5.2114233371700625E-3</v>
      </c>
      <c r="F121" s="96">
        <v>45597</v>
      </c>
      <c r="G121">
        <v>1262.4000000000001</v>
      </c>
      <c r="H121" s="98">
        <f t="shared" si="3"/>
        <v>-9.5702005730659012E-2</v>
      </c>
    </row>
    <row r="122" spans="2:8" x14ac:dyDescent="0.25">
      <c r="B122" s="96">
        <v>45627</v>
      </c>
      <c r="C122" s="97">
        <v>78139.009999999995</v>
      </c>
      <c r="D122" s="98">
        <f t="shared" si="2"/>
        <v>-2.0848644514809611E-2</v>
      </c>
      <c r="F122" s="96">
        <v>45627</v>
      </c>
      <c r="G122">
        <v>1334.4</v>
      </c>
      <c r="H122" s="98">
        <f t="shared" si="3"/>
        <v>5.7034220532319324E-2</v>
      </c>
    </row>
    <row r="123" spans="2:8" x14ac:dyDescent="0.25">
      <c r="B123" s="96">
        <v>45658</v>
      </c>
      <c r="C123" s="97">
        <v>77500.570000000007</v>
      </c>
      <c r="D123" s="98">
        <f t="shared" si="2"/>
        <v>-8.1705667885987321E-3</v>
      </c>
      <c r="F123" s="96">
        <v>45658</v>
      </c>
      <c r="G123">
        <v>1171.75</v>
      </c>
      <c r="H123" s="98">
        <f t="shared" si="3"/>
        <v>-0.12188998800959239</v>
      </c>
    </row>
    <row r="124" spans="2:8" x14ac:dyDescent="0.25">
      <c r="B124" s="96">
        <v>45689</v>
      </c>
      <c r="C124" s="97">
        <v>73198.100000000006</v>
      </c>
      <c r="D124" s="98">
        <f t="shared" si="2"/>
        <v>-5.5515333629159169E-2</v>
      </c>
      <c r="F124" s="96">
        <v>45689</v>
      </c>
      <c r="G124">
        <v>1057.95</v>
      </c>
      <c r="H124" s="98">
        <f t="shared" si="3"/>
        <v>-9.7119692767228427E-2</v>
      </c>
    </row>
    <row r="125" spans="2:8" x14ac:dyDescent="0.25">
      <c r="B125" s="96">
        <v>45717</v>
      </c>
      <c r="C125" s="97">
        <v>77414.92</v>
      </c>
      <c r="D125" s="98">
        <f t="shared" si="2"/>
        <v>5.760832589916931E-2</v>
      </c>
      <c r="F125" s="96">
        <v>45717</v>
      </c>
      <c r="G125">
        <v>1159.7</v>
      </c>
      <c r="H125" s="98">
        <f t="shared" si="3"/>
        <v>9.6176567890732034E-2</v>
      </c>
    </row>
    <row r="126" spans="2:8" x14ac:dyDescent="0.25">
      <c r="B126" s="96">
        <v>45748</v>
      </c>
      <c r="C126" s="97">
        <v>80242.240000000005</v>
      </c>
      <c r="D126" s="98">
        <f t="shared" si="2"/>
        <v>3.652164208139741E-2</v>
      </c>
      <c r="F126" s="96">
        <v>45748</v>
      </c>
      <c r="G126">
        <v>1229.4000000000001</v>
      </c>
      <c r="H126" s="98">
        <f t="shared" si="3"/>
        <v>6.0101750452703273E-2</v>
      </c>
    </row>
    <row r="127" spans="2:8" x14ac:dyDescent="0.25">
      <c r="B127" s="96">
        <v>45778</v>
      </c>
      <c r="C127" s="97">
        <v>81451.009999999995</v>
      </c>
      <c r="D127" s="98">
        <f t="shared" si="2"/>
        <v>1.5064011174164449E-2</v>
      </c>
      <c r="F127" s="96">
        <v>45778</v>
      </c>
      <c r="G127">
        <v>1147.5</v>
      </c>
      <c r="H127" s="98">
        <f t="shared" si="3"/>
        <v>-6.6617862371888825E-2</v>
      </c>
    </row>
    <row r="128" spans="2:8" x14ac:dyDescent="0.25">
      <c r="B128" s="96">
        <v>45809</v>
      </c>
      <c r="C128" s="97">
        <v>83606.460000000006</v>
      </c>
      <c r="D128" s="98">
        <f t="shared" si="2"/>
        <v>2.6463146374735125E-2</v>
      </c>
      <c r="F128" s="96">
        <v>45809</v>
      </c>
      <c r="G128">
        <v>1135.0999999999999</v>
      </c>
      <c r="H128" s="98">
        <f t="shared" si="3"/>
        <v>-1.0806100217864989E-2</v>
      </c>
    </row>
    <row r="129" spans="2:8" x14ac:dyDescent="0.25">
      <c r="B129" s="96">
        <v>45839</v>
      </c>
      <c r="C129" s="97">
        <v>81185.58</v>
      </c>
      <c r="D129" s="98">
        <f t="shared" si="2"/>
        <v>-2.89556572542361E-2</v>
      </c>
      <c r="F129" s="96">
        <v>45839</v>
      </c>
      <c r="G129">
        <v>1140.95</v>
      </c>
      <c r="H129" s="98">
        <f t="shared" si="3"/>
        <v>5.1537309488152161E-3</v>
      </c>
    </row>
    <row r="130" spans="2:8" x14ac:dyDescent="0.25">
      <c r="B130" s="96">
        <v>45870</v>
      </c>
      <c r="C130" s="97">
        <v>80599.91</v>
      </c>
      <c r="D130" s="98">
        <f t="shared" si="2"/>
        <v>-7.2139658298924214E-3</v>
      </c>
      <c r="F130" s="96">
        <v>45870</v>
      </c>
      <c r="G130">
        <v>1041.6500000000001</v>
      </c>
      <c r="H130" s="98">
        <f t="shared" si="3"/>
        <v>-8.7032735877996314E-2</v>
      </c>
    </row>
  </sheetData>
  <mergeCells count="4">
    <mergeCell ref="B8:B9"/>
    <mergeCell ref="F8:F9"/>
    <mergeCell ref="G8:G9"/>
    <mergeCell ref="B6:K6"/>
  </mergeCells>
  <conditionalFormatting sqref="D12:D13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{5035B6E1-FF6A-4630-9B05-2F193761E3F6}</x14:id>
        </ext>
      </extLst>
    </cfRule>
  </conditionalFormatting>
  <conditionalFormatting sqref="D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{F75BA5E0-7B2E-4700-8F9E-B0D8FE238181}</x14:id>
        </ext>
      </extLst>
    </cfRule>
  </conditionalFormatting>
  <conditionalFormatting sqref="D11:D13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{B2B4ED31-53CA-42C9-8FE4-0357FEAB551F}</x14:id>
        </ext>
      </extLst>
    </cfRule>
  </conditionalFormatting>
  <conditionalFormatting sqref="H11:H13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{E8471C1A-27AE-4B21-878F-DA2B6A62F5C7}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35B6E1-FF6A-4630-9B05-2F193761E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D12:D130</xm:sqref>
        </x14:conditionalFormatting>
        <x14:conditionalFormatting xmlns:xm="http://schemas.microsoft.com/office/excel/2006/main">
          <x14:cfRule type="dataBar" id="{F75BA5E0-7B2E-4700-8F9E-B0D8FE2381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D11</xm:sqref>
        </x14:conditionalFormatting>
        <x14:conditionalFormatting xmlns:xm="http://schemas.microsoft.com/office/excel/2006/main">
          <x14:cfRule type="dataBar" id="{B2B4ED31-53CA-42C9-8FE4-0357FEAB5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D11:D130</xm:sqref>
        </x14:conditionalFormatting>
        <x14:conditionalFormatting xmlns:xm="http://schemas.microsoft.com/office/excel/2006/main">
          <x14:cfRule type="dataBar" id="{E8471C1A-27AE-4B21-878F-DA2B6A62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H11:H130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C25"/>
  <sheetViews>
    <sheetView showGridLines="0" workbookViewId="0">
      <selection activeCell="B1" sqref="B1"/>
    </sheetView>
  </sheetViews>
  <sheetFormatPr defaultRowHeight="15" x14ac:dyDescent="0.25"/>
  <cols>
    <col min="1" max="1" width="1.85546875" customWidth="1"/>
    <col min="2" max="2" width="23.140625" bestFit="1" customWidth="1"/>
    <col min="3" max="3" width="9.5703125" bestFit="1" customWidth="1"/>
  </cols>
  <sheetData>
    <row r="6" spans="2:3" x14ac:dyDescent="0.25">
      <c r="B6" s="124" t="s">
        <v>224</v>
      </c>
      <c r="C6" s="124"/>
    </row>
    <row r="8" spans="2:3" x14ac:dyDescent="0.25">
      <c r="B8" s="131" t="s">
        <v>213</v>
      </c>
      <c r="C8" s="131"/>
    </row>
    <row r="9" spans="2:3" x14ac:dyDescent="0.25">
      <c r="B9" s="48" t="s">
        <v>225</v>
      </c>
      <c r="C9" s="56">
        <f>Balance_sheet!G51</f>
        <v>298508</v>
      </c>
    </row>
    <row r="10" spans="2:3" x14ac:dyDescent="0.25">
      <c r="B10" s="39" t="s">
        <v>214</v>
      </c>
      <c r="C10" s="116">
        <f>Balance_sheet!G56+Balance_sheet!G57+Balance_sheet!G67+Balance_sheet!G68</f>
        <v>66476.3</v>
      </c>
    </row>
    <row r="11" spans="2:3" x14ac:dyDescent="0.25">
      <c r="B11" s="132" t="s">
        <v>215</v>
      </c>
      <c r="C11" s="133">
        <f>C10/C9</f>
        <v>0.22269520414863253</v>
      </c>
    </row>
    <row r="13" spans="2:3" x14ac:dyDescent="0.25">
      <c r="B13" s="124" t="s">
        <v>216</v>
      </c>
      <c r="C13" s="124"/>
    </row>
    <row r="14" spans="2:3" x14ac:dyDescent="0.25">
      <c r="B14" s="39" t="s">
        <v>217</v>
      </c>
      <c r="C14" s="134">
        <v>0.11741937575740381</v>
      </c>
    </row>
    <row r="15" spans="2:3" x14ac:dyDescent="0.25">
      <c r="B15" s="39" t="s">
        <v>218</v>
      </c>
      <c r="C15" s="135">
        <f>'Cost Build_Up'!H38</f>
        <v>0.25354553790417367</v>
      </c>
    </row>
    <row r="16" spans="2:3" x14ac:dyDescent="0.25">
      <c r="B16" s="132" t="s">
        <v>219</v>
      </c>
      <c r="C16" s="136">
        <f>C14*(1-C15)</f>
        <v>8.7648216970620571E-2</v>
      </c>
    </row>
    <row r="18" spans="2:3" x14ac:dyDescent="0.25">
      <c r="B18" s="124" t="s">
        <v>220</v>
      </c>
      <c r="C18" s="124"/>
    </row>
    <row r="19" spans="2:3" x14ac:dyDescent="0.25">
      <c r="B19" s="48" t="s">
        <v>221</v>
      </c>
      <c r="C19" s="138">
        <v>6.3710000000000003E-2</v>
      </c>
    </row>
    <row r="20" spans="2:3" x14ac:dyDescent="0.25">
      <c r="B20" s="39" t="s">
        <v>222</v>
      </c>
      <c r="C20" s="139">
        <v>0.1114668107416199</v>
      </c>
    </row>
    <row r="21" spans="2:3" x14ac:dyDescent="0.25">
      <c r="B21" s="39" t="s">
        <v>223</v>
      </c>
      <c r="C21" s="134">
        <f>C20-C19</f>
        <v>4.7756810741619901E-2</v>
      </c>
    </row>
    <row r="22" spans="2:3" x14ac:dyDescent="0.25">
      <c r="B22" s="39" t="s">
        <v>226</v>
      </c>
      <c r="C22" s="140">
        <v>0.92524973919423159</v>
      </c>
    </row>
    <row r="23" spans="2:3" x14ac:dyDescent="0.25">
      <c r="B23" s="132" t="s">
        <v>220</v>
      </c>
      <c r="C23" s="141">
        <f>C19+C22*C21</f>
        <v>0.10789697668343209</v>
      </c>
    </row>
    <row r="25" spans="2:3" x14ac:dyDescent="0.25">
      <c r="B25" s="85" t="s">
        <v>224</v>
      </c>
      <c r="C25" s="142">
        <f>(C23*(1-C11))+(C16*C11)</f>
        <v>0.10338767500543092</v>
      </c>
    </row>
  </sheetData>
  <mergeCells count="4">
    <mergeCell ref="B8:C8"/>
    <mergeCell ref="B13:C13"/>
    <mergeCell ref="B18:C18"/>
    <mergeCell ref="B6:C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R33"/>
  <sheetViews>
    <sheetView showGridLines="0" tabSelected="1" topLeftCell="A13" workbookViewId="0">
      <selection activeCell="Q26" sqref="Q26"/>
    </sheetView>
  </sheetViews>
  <sheetFormatPr defaultRowHeight="15" x14ac:dyDescent="0.25"/>
  <cols>
    <col min="1" max="1" width="1.85546875" customWidth="1"/>
    <col min="2" max="2" width="31.5703125" bestFit="1" customWidth="1"/>
    <col min="3" max="3" width="10.7109375" bestFit="1" customWidth="1"/>
    <col min="7" max="7" width="10.42578125" bestFit="1" customWidth="1"/>
    <col min="8" max="11" width="7.28515625" bestFit="1" customWidth="1"/>
    <col min="12" max="16" width="7.28515625" customWidth="1"/>
    <col min="17" max="17" width="8.140625" bestFit="1" customWidth="1"/>
    <col min="18" max="18" width="8.140625" customWidth="1"/>
  </cols>
  <sheetData>
    <row r="7" spans="2:18" x14ac:dyDescent="0.25">
      <c r="B7" s="137" t="s">
        <v>264</v>
      </c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</row>
    <row r="9" spans="2:18" x14ac:dyDescent="0.25">
      <c r="B9" s="126" t="s">
        <v>0</v>
      </c>
      <c r="C9" s="126">
        <v>2020</v>
      </c>
      <c r="D9" s="126">
        <f>C9+1</f>
        <v>2021</v>
      </c>
      <c r="E9" s="126">
        <f t="shared" ref="E9:Q9" si="0">D9+1</f>
        <v>2022</v>
      </c>
      <c r="F9" s="126">
        <f t="shared" si="0"/>
        <v>2023</v>
      </c>
      <c r="G9" s="126">
        <f t="shared" si="0"/>
        <v>2024</v>
      </c>
      <c r="H9" s="127">
        <f t="shared" si="0"/>
        <v>2025</v>
      </c>
      <c r="I9" s="127">
        <f t="shared" si="0"/>
        <v>2026</v>
      </c>
      <c r="J9" s="127">
        <f t="shared" si="0"/>
        <v>2027</v>
      </c>
      <c r="K9" s="127">
        <f t="shared" si="0"/>
        <v>2028</v>
      </c>
      <c r="L9" s="127">
        <f t="shared" si="0"/>
        <v>2029</v>
      </c>
      <c r="M9" s="127">
        <f t="shared" si="0"/>
        <v>2030</v>
      </c>
      <c r="N9" s="127">
        <f t="shared" si="0"/>
        <v>2031</v>
      </c>
      <c r="O9" s="127">
        <f t="shared" si="0"/>
        <v>2032</v>
      </c>
      <c r="P9" s="127">
        <f t="shared" si="0"/>
        <v>2033</v>
      </c>
      <c r="Q9" s="127">
        <f t="shared" si="0"/>
        <v>2034</v>
      </c>
    </row>
    <row r="10" spans="2:18" x14ac:dyDescent="0.25">
      <c r="B10" s="1" t="s">
        <v>227</v>
      </c>
      <c r="C10" s="1"/>
      <c r="D10" s="1"/>
      <c r="E10" s="1"/>
      <c r="F10" s="1"/>
      <c r="G10" s="1"/>
      <c r="H10" s="106">
        <f>'Income Statement'!H23</f>
        <v>41220.622396734005</v>
      </c>
      <c r="I10" s="106">
        <f>'Income Statement'!I23</f>
        <v>45283.561175000599</v>
      </c>
      <c r="J10" s="106">
        <f>'Income Statement'!J23</f>
        <v>49843.270543991086</v>
      </c>
      <c r="K10" s="106">
        <f>'Income Statement'!K23</f>
        <v>55045.456936739007</v>
      </c>
      <c r="L10" s="106">
        <f>'Income Statement'!L23</f>
        <v>61056.698353254957</v>
      </c>
      <c r="M10" s="106">
        <f>'Income Statement'!M23</f>
        <v>68071.73125392136</v>
      </c>
      <c r="N10" s="106">
        <f>'Income Statement'!N23</f>
        <v>76321.765525466413</v>
      </c>
      <c r="O10" s="106">
        <f>'Income Statement'!O23</f>
        <v>86084.20655182621</v>
      </c>
      <c r="P10" s="106">
        <f>'Income Statement'!P23</f>
        <v>97694.215207636968</v>
      </c>
      <c r="Q10" s="106">
        <f>'Income Statement'!Q23</f>
        <v>111558.60824767061</v>
      </c>
      <c r="R10" s="20"/>
    </row>
    <row r="11" spans="2:18" x14ac:dyDescent="0.25">
      <c r="B11" s="36" t="s">
        <v>228</v>
      </c>
      <c r="C11" s="36"/>
      <c r="D11" s="36"/>
      <c r="E11" s="36"/>
      <c r="F11" s="36"/>
      <c r="G11" s="36"/>
      <c r="H11" s="42">
        <f>-H10*'Cost Build_Up'!H38</f>
        <v>-10451.304878324752</v>
      </c>
      <c r="I11" s="42">
        <f>-I10*'Cost Build_Up'!I38</f>
        <v>-11481.444876332082</v>
      </c>
      <c r="J11" s="42">
        <f>-J10*'Cost Build_Up'!J38</f>
        <v>-12637.538840979474</v>
      </c>
      <c r="K11" s="42">
        <f>-K10*'Cost Build_Up'!K38</f>
        <v>-13956.529988206519</v>
      </c>
      <c r="L11" s="42">
        <f>-L10*'Cost Build_Up'!L38</f>
        <v>-15480.653426628902</v>
      </c>
      <c r="M11" s="42">
        <f>-M10*'Cost Build_Up'!M38</f>
        <v>-17259.283716843842</v>
      </c>
      <c r="N11" s="42">
        <f>-N10*'Cost Build_Up'!N38</f>
        <v>-19351.0430939506</v>
      </c>
      <c r="O11" s="42">
        <f>-O10*'Cost Build_Up'!O38</f>
        <v>-21826.266455236768</v>
      </c>
      <c r="P11" s="42">
        <f>-P10*'Cost Build_Up'!P38</f>
        <v>-24769.932344946417</v>
      </c>
      <c r="Q11" s="42">
        <f>-Q10*'Cost Build_Up'!Q38</f>
        <v>-28285.18733599663</v>
      </c>
    </row>
    <row r="12" spans="2:18" x14ac:dyDescent="0.25">
      <c r="B12" s="55" t="s">
        <v>229</v>
      </c>
      <c r="H12" s="20">
        <f>SUM(H10:H11)</f>
        <v>30769.317518409254</v>
      </c>
      <c r="I12" s="20">
        <f t="shared" ref="I12:Q12" si="1">SUM(I10:I11)</f>
        <v>33802.116298668516</v>
      </c>
      <c r="J12" s="20">
        <f t="shared" si="1"/>
        <v>37205.73170301161</v>
      </c>
      <c r="K12" s="20">
        <f t="shared" si="1"/>
        <v>41088.926948532491</v>
      </c>
      <c r="L12" s="20">
        <f t="shared" si="1"/>
        <v>45576.044926626055</v>
      </c>
      <c r="M12" s="20">
        <f t="shared" si="1"/>
        <v>50812.447537077518</v>
      </c>
      <c r="N12" s="20">
        <f t="shared" si="1"/>
        <v>56970.722431515809</v>
      </c>
      <c r="O12" s="20">
        <f t="shared" si="1"/>
        <v>64257.940096589446</v>
      </c>
      <c r="P12" s="20">
        <f t="shared" si="1"/>
        <v>72924.282862690554</v>
      </c>
      <c r="Q12" s="20">
        <f t="shared" si="1"/>
        <v>83273.42091167398</v>
      </c>
      <c r="R12" s="20"/>
    </row>
    <row r="13" spans="2:18" x14ac:dyDescent="0.25">
      <c r="B13" t="s">
        <v>230</v>
      </c>
      <c r="H13" s="50">
        <f>-'Income Statement'!H21</f>
        <v>18929.396319374344</v>
      </c>
      <c r="I13" s="50">
        <f>-'Income Statement'!I21</f>
        <v>19688.906253458386</v>
      </c>
      <c r="J13" s="50">
        <f>-'Income Statement'!J21</f>
        <v>20646.867654524314</v>
      </c>
      <c r="K13" s="50">
        <f>-'Income Statement'!K21</f>
        <v>21789.068791400932</v>
      </c>
      <c r="L13" s="50">
        <f>-'Income Statement'!L21</f>
        <v>23108.123578344828</v>
      </c>
      <c r="M13" s="50">
        <f>-'Income Statement'!M21</f>
        <v>24602.26977235622</v>
      </c>
      <c r="N13" s="50">
        <f>-'Income Statement'!N21</f>
        <v>26274.500202072406</v>
      </c>
      <c r="O13" s="50">
        <f>-'Income Statement'!O21</f>
        <v>28131.955023187671</v>
      </c>
      <c r="P13" s="50">
        <f>-'Income Statement'!P21</f>
        <v>30185.52076129018</v>
      </c>
      <c r="Q13" s="50">
        <f>-'Income Statement'!Q21</f>
        <v>32449.595589389297</v>
      </c>
      <c r="R13" s="20"/>
    </row>
    <row r="14" spans="2:18" x14ac:dyDescent="0.25">
      <c r="B14" t="s">
        <v>231</v>
      </c>
      <c r="H14" s="50">
        <f>CashFlow!H49</f>
        <v>-15892.955534503766</v>
      </c>
      <c r="I14" s="50">
        <f>CashFlow!I49</f>
        <v>-30152.513869392282</v>
      </c>
      <c r="J14" s="50">
        <f>CashFlow!J49</f>
        <v>-32346.122206497232</v>
      </c>
      <c r="K14" s="50">
        <f>CashFlow!K49</f>
        <v>-34732.750716037219</v>
      </c>
      <c r="L14" s="50">
        <f>CashFlow!L49</f>
        <v>-37332.292894128637</v>
      </c>
      <c r="M14" s="50">
        <f>CashFlow!M49</f>
        <v>-40166.907950166882</v>
      </c>
      <c r="N14" s="50">
        <f>CashFlow!N49</f>
        <v>-43261.293082399752</v>
      </c>
      <c r="O14" s="50">
        <f>CashFlow!O49</f>
        <v>-46642.989383717111</v>
      </c>
      <c r="P14" s="50">
        <f>CashFlow!P49</f>
        <v>-50342.725592287927</v>
      </c>
      <c r="Q14" s="50">
        <f>CashFlow!Q49</f>
        <v>-54394.804434304489</v>
      </c>
      <c r="R14" s="3"/>
    </row>
    <row r="15" spans="2:18" x14ac:dyDescent="0.25">
      <c r="B15" t="s">
        <v>232</v>
      </c>
      <c r="H15" s="50">
        <f>SUM(CashFlow!H33:H41)</f>
        <v>4024.467947077741</v>
      </c>
      <c r="I15" s="50">
        <f>SUM(CashFlow!I33:I41)</f>
        <v>-4269.852650981913</v>
      </c>
      <c r="J15" s="50">
        <f>SUM(CashFlow!J33:J41)</f>
        <v>-4885.4104149273408</v>
      </c>
      <c r="K15" s="50">
        <f>SUM(CashFlow!K33:K41)</f>
        <v>-5617.3951301639536</v>
      </c>
      <c r="L15" s="50">
        <f>SUM(CashFlow!L33:L41)</f>
        <v>-6490.3302334073669</v>
      </c>
      <c r="M15" s="50">
        <f>SUM(CashFlow!M33:M41)</f>
        <v>-7534.126972058606</v>
      </c>
      <c r="N15" s="50">
        <f>SUM(CashFlow!N33:N41)</f>
        <v>-8785.2895417883192</v>
      </c>
      <c r="O15" s="50">
        <f>SUM(CashFlow!O33:O41)</f>
        <v>-10288.392069656744</v>
      </c>
      <c r="P15" s="50">
        <f>SUM(CashFlow!P33:P41)</f>
        <v>-12097.889024371209</v>
      </c>
      <c r="Q15" s="50">
        <f>SUM(CashFlow!Q33:Q41)</f>
        <v>-14280.334616447515</v>
      </c>
      <c r="R15" s="3"/>
    </row>
    <row r="16" spans="2:18" x14ac:dyDescent="0.25">
      <c r="B16" s="29" t="s">
        <v>233</v>
      </c>
      <c r="C16" s="29"/>
      <c r="D16" s="29"/>
      <c r="E16" s="29"/>
      <c r="F16" s="29"/>
      <c r="G16" s="29"/>
      <c r="H16" s="31">
        <f>SUM(H12:H15)</f>
        <v>37830.226250357569</v>
      </c>
      <c r="I16" s="31">
        <f t="shared" ref="I16:Q16" si="2">SUM(I12:I15)</f>
        <v>19068.656031752707</v>
      </c>
      <c r="J16" s="31">
        <f t="shared" si="2"/>
        <v>20621.066736111352</v>
      </c>
      <c r="K16" s="31">
        <f t="shared" si="2"/>
        <v>22527.849893732251</v>
      </c>
      <c r="L16" s="31">
        <f t="shared" si="2"/>
        <v>24861.545377434872</v>
      </c>
      <c r="M16" s="31">
        <f t="shared" si="2"/>
        <v>27713.682387208246</v>
      </c>
      <c r="N16" s="31">
        <f t="shared" si="2"/>
        <v>31198.640009400144</v>
      </c>
      <c r="O16" s="31">
        <f t="shared" si="2"/>
        <v>35458.513666403269</v>
      </c>
      <c r="P16" s="31">
        <f t="shared" si="2"/>
        <v>40669.189007321591</v>
      </c>
      <c r="Q16" s="31">
        <f t="shared" si="2"/>
        <v>47047.877450311273</v>
      </c>
      <c r="R16" s="31">
        <f>Q16*(1+Assumptions!C16)/(Assumptions!C17-Assumptions!C16)</f>
        <v>925312.2807427285</v>
      </c>
    </row>
    <row r="17" spans="2:13" x14ac:dyDescent="0.25">
      <c r="B17" s="55"/>
      <c r="C17" s="55"/>
    </row>
    <row r="18" spans="2:13" x14ac:dyDescent="0.25">
      <c r="B18" s="107" t="s">
        <v>238</v>
      </c>
      <c r="C18" s="108">
        <v>0.05</v>
      </c>
      <c r="G18" s="124" t="s">
        <v>258</v>
      </c>
      <c r="H18" s="124"/>
      <c r="I18" s="124"/>
      <c r="J18" s="124"/>
      <c r="K18" s="124"/>
      <c r="L18" s="124"/>
      <c r="M18" s="124"/>
    </row>
    <row r="19" spans="2:13" ht="15.75" thickBot="1" x14ac:dyDescent="0.3">
      <c r="B19" s="109" t="s">
        <v>239</v>
      </c>
      <c r="C19" s="110">
        <v>0.10338767500543092</v>
      </c>
    </row>
    <row r="20" spans="2:13" x14ac:dyDescent="0.25">
      <c r="G20" s="125" t="s">
        <v>238</v>
      </c>
      <c r="H20" s="111"/>
      <c r="I20" s="111"/>
      <c r="J20" s="111"/>
      <c r="K20" s="111"/>
      <c r="L20" s="111"/>
      <c r="M20" s="112"/>
    </row>
    <row r="21" spans="2:13" ht="15.75" thickBot="1" x14ac:dyDescent="0.3">
      <c r="B21" s="105" t="s">
        <v>244</v>
      </c>
      <c r="C21" s="105"/>
      <c r="G21" s="113"/>
      <c r="H21" s="123">
        <f>C28</f>
        <v>967.73994980792065</v>
      </c>
      <c r="I21" s="120">
        <v>0.03</v>
      </c>
      <c r="J21" s="120">
        <v>0.04</v>
      </c>
      <c r="K21" s="121">
        <v>0.05</v>
      </c>
      <c r="L21" s="120">
        <v>5.5E-2</v>
      </c>
      <c r="M21" s="122">
        <v>0.06</v>
      </c>
    </row>
    <row r="22" spans="2:13" ht="15.75" thickTop="1" x14ac:dyDescent="0.25">
      <c r="B22" s="79" t="s">
        <v>245</v>
      </c>
      <c r="C22" s="80">
        <f>NPV(C19,DCF!H16:R16)</f>
        <v>490761.82300379977</v>
      </c>
      <c r="G22" s="114" t="s">
        <v>239</v>
      </c>
      <c r="H22" s="118">
        <v>0.14338767500543093</v>
      </c>
      <c r="I22" s="178">
        <f t="dataTable" ref="I22:M26" dt2D="1" dtr="1" r1="C18" r2="C19"/>
        <v>743.51935517759887</v>
      </c>
      <c r="J22" s="178">
        <v>743.51935517759887</v>
      </c>
      <c r="K22" s="178">
        <v>743.51935517759887</v>
      </c>
      <c r="L22" s="178">
        <v>743.51935517759887</v>
      </c>
      <c r="M22" s="179">
        <v>743.51935517759887</v>
      </c>
    </row>
    <row r="23" spans="2:13" x14ac:dyDescent="0.25">
      <c r="B23" s="81" t="s">
        <v>246</v>
      </c>
      <c r="C23" s="82">
        <f>Balance_sheet!H33</f>
        <v>96054.639844640507</v>
      </c>
      <c r="G23" s="114"/>
      <c r="H23" s="118">
        <v>0.12338767500543092</v>
      </c>
      <c r="I23" s="178">
        <v>844.59503769509377</v>
      </c>
      <c r="J23" s="178">
        <v>844.59503769509377</v>
      </c>
      <c r="K23" s="178">
        <v>844.59503769509377</v>
      </c>
      <c r="L23" s="178">
        <v>844.59503769509377</v>
      </c>
      <c r="M23" s="179">
        <v>844.59503769509377</v>
      </c>
    </row>
    <row r="24" spans="2:13" x14ac:dyDescent="0.25">
      <c r="B24" s="81" t="s">
        <v>247</v>
      </c>
      <c r="C24" s="82">
        <f>-'Debt Schedules'!G12</f>
        <v>-24673.1</v>
      </c>
      <c r="G24" s="114"/>
      <c r="H24" s="118">
        <v>0.10338767500543092</v>
      </c>
      <c r="I24" s="178">
        <v>967.73994980792065</v>
      </c>
      <c r="J24" s="178">
        <v>967.73994980792065</v>
      </c>
      <c r="K24" s="178">
        <v>967.73994980792065</v>
      </c>
      <c r="L24" s="178">
        <v>967.73994980792065</v>
      </c>
      <c r="M24" s="179">
        <v>967.73994980792065</v>
      </c>
    </row>
    <row r="25" spans="2:13" x14ac:dyDescent="0.25">
      <c r="B25" s="83" t="s">
        <v>248</v>
      </c>
      <c r="C25" s="84">
        <f>-Balance_sheet!H50</f>
        <v>-80</v>
      </c>
      <c r="G25" s="114"/>
      <c r="H25" s="118">
        <v>9.3387675005430923E-2</v>
      </c>
      <c r="I25" s="178">
        <v>1039.2712060376668</v>
      </c>
      <c r="J25" s="178">
        <v>1039.2712060376668</v>
      </c>
      <c r="K25" s="178">
        <v>1039.2712060376668</v>
      </c>
      <c r="L25" s="178">
        <v>1039.2712060376668</v>
      </c>
      <c r="M25" s="179">
        <v>1039.2712060376668</v>
      </c>
    </row>
    <row r="26" spans="2:13" ht="15.75" thickBot="1" x14ac:dyDescent="0.3">
      <c r="B26" s="103" t="s">
        <v>249</v>
      </c>
      <c r="C26" s="104">
        <f>SUM(C22:C25)</f>
        <v>562063.3628484403</v>
      </c>
      <c r="G26" s="115"/>
      <c r="H26" s="119">
        <v>7.6064732424862155E-2</v>
      </c>
      <c r="I26" s="180">
        <v>1181.9868214329965</v>
      </c>
      <c r="J26" s="180">
        <v>1181.9868214329965</v>
      </c>
      <c r="K26" s="180">
        <v>1181.9868214329965</v>
      </c>
      <c r="L26" s="180">
        <v>1181.9868214329965</v>
      </c>
      <c r="M26" s="181">
        <v>1181.9868214329965</v>
      </c>
    </row>
    <row r="28" spans="2:13" x14ac:dyDescent="0.25">
      <c r="B28" s="85" t="s">
        <v>250</v>
      </c>
      <c r="C28" s="86">
        <f>C26/Assumptions!C18</f>
        <v>967.73994980792065</v>
      </c>
    </row>
    <row r="30" spans="2:13" ht="15.75" thickBot="1" x14ac:dyDescent="0.3">
      <c r="B30" s="105" t="s">
        <v>259</v>
      </c>
      <c r="C30" s="105"/>
    </row>
    <row r="31" spans="2:13" ht="15.75" thickTop="1" x14ac:dyDescent="0.25">
      <c r="B31" s="79" t="s">
        <v>260</v>
      </c>
      <c r="C31" s="128">
        <f>Assumptions!C19</f>
        <v>1042</v>
      </c>
    </row>
    <row r="32" spans="2:13" x14ac:dyDescent="0.25">
      <c r="B32" s="83" t="s">
        <v>261</v>
      </c>
      <c r="C32" s="129">
        <f>C28</f>
        <v>967.73994980792065</v>
      </c>
    </row>
    <row r="33" spans="2:3" ht="15.75" thickBot="1" x14ac:dyDescent="0.3">
      <c r="B33" s="103" t="s">
        <v>262</v>
      </c>
      <c r="C33" s="130">
        <f>C32/C31-1</f>
        <v>-7.1266842794701857E-2</v>
      </c>
    </row>
  </sheetData>
  <mergeCells count="6">
    <mergeCell ref="B7:R7"/>
    <mergeCell ref="B21:C21"/>
    <mergeCell ref="G22:G26"/>
    <mergeCell ref="G18:M18"/>
    <mergeCell ref="G20:M20"/>
    <mergeCell ref="B30:C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Assumptions</vt:lpstr>
      <vt:lpstr>P&amp;L</vt:lpstr>
      <vt:lpstr>Balance_sheet</vt:lpstr>
      <vt:lpstr>FAS</vt:lpstr>
      <vt:lpstr>Income Statement</vt:lpstr>
      <vt:lpstr>CashFlow</vt:lpstr>
      <vt:lpstr>BalanceSheet Forecast</vt:lpstr>
      <vt:lpstr>Debt Schedules</vt:lpstr>
      <vt:lpstr>Revenue Build_up</vt:lpstr>
      <vt:lpstr>Cost Build_Up</vt:lpstr>
      <vt:lpstr>Working Capital</vt:lpstr>
      <vt:lpstr>Beta</vt:lpstr>
      <vt:lpstr>WACC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Kumar</dc:creator>
  <cp:lastModifiedBy>Dhiraj Kumar</cp:lastModifiedBy>
  <dcterms:created xsi:type="dcterms:W3CDTF">2025-08-09T13:01:17Z</dcterms:created>
  <dcterms:modified xsi:type="dcterms:W3CDTF">2025-08-10T16:00:21Z</dcterms:modified>
</cp:coreProperties>
</file>