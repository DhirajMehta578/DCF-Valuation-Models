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3.xml" ContentType="application/vnd.openxmlformats-officedocument.spreadsheetml.comments+xml"/>
  <Override PartName="/xl/drawings/drawing13.xml" ContentType="application/vnd.openxmlformats-officedocument.drawing+xml"/>
  <Override PartName="/xl/comments4.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raj Kumar\OneDrive\Desktop\Jobaaj Assigment\"/>
    </mc:Choice>
  </mc:AlternateContent>
  <bookViews>
    <workbookView xWindow="0" yWindow="0" windowWidth="20460" windowHeight="7320" firstSheet="13" activeTab="15"/>
  </bookViews>
  <sheets>
    <sheet name="Assumption" sheetId="1" r:id="rId1"/>
    <sheet name="Historical P&amp;L" sheetId="2" r:id="rId2"/>
    <sheet name="Historical Balance Sheet" sheetId="3" r:id="rId3"/>
    <sheet name="Revenue BuildUp" sheetId="5" r:id="rId4"/>
    <sheet name="Common Size Statement" sheetId="21" r:id="rId5"/>
    <sheet name="Cost Buildup" sheetId="6" r:id="rId6"/>
    <sheet name="FAS" sheetId="22" r:id="rId7"/>
    <sheet name="BS Items" sheetId="7" r:id="rId8"/>
    <sheet name="Working Capital" sheetId="8" r:id="rId9"/>
    <sheet name="Debt Schedules" sheetId="9" r:id="rId10"/>
    <sheet name="Profit &amp; Loss Statement" sheetId="11" r:id="rId11"/>
    <sheet name="Balance sheet" sheetId="12" r:id="rId12"/>
    <sheet name="CashFlow" sheetId="4" r:id="rId13"/>
    <sheet name=" Market Return" sheetId="13" r:id="rId14"/>
    <sheet name="Equity Return" sheetId="14" r:id="rId15"/>
    <sheet name="Comps Beta" sheetId="17" r:id="rId16"/>
    <sheet name="DCF Valuation" sheetId="18" r:id="rId17"/>
    <sheet name="Comps Data" sheetId="15" r:id="rId18"/>
    <sheet name="Comparable Valuation" sheetId="16" r:id="rId19"/>
    <sheet name="Ratio Analysis" sheetId="20" r:id="rId20"/>
    <sheet name="Football Field Analysis" sheetId="19" r:id="rId21"/>
  </sheets>
  <calcPr calcId="162913"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0" i="18" l="1"/>
  <c r="C30" i="18"/>
  <c r="H37" i="16"/>
  <c r="G35" i="16"/>
  <c r="F36" i="16"/>
  <c r="F35" i="16"/>
  <c r="R12" i="16"/>
  <c r="D370" i="22"/>
  <c r="C26" i="18"/>
  <c r="C27" i="18"/>
  <c r="C31" i="18"/>
  <c r="C32" i="18"/>
  <c r="R22" i="18"/>
  <c r="C35" i="18"/>
  <c r="C39" i="18"/>
  <c r="C41" i="18"/>
  <c r="C25" i="18"/>
  <c r="E12" i="16"/>
  <c r="G12" i="16"/>
  <c r="J12" i="16"/>
  <c r="Q12" i="16"/>
  <c r="E13" i="16"/>
  <c r="G13" i="16"/>
  <c r="J13" i="16"/>
  <c r="Q13" i="16"/>
  <c r="E14" i="16"/>
  <c r="G14" i="16"/>
  <c r="J14" i="16"/>
  <c r="Q14" i="16"/>
  <c r="E15" i="16"/>
  <c r="G15" i="16"/>
  <c r="J15" i="16"/>
  <c r="Q15" i="16"/>
  <c r="E16" i="16"/>
  <c r="G16" i="16"/>
  <c r="J16" i="16"/>
  <c r="Q16" i="16"/>
  <c r="E17" i="16"/>
  <c r="G17" i="16"/>
  <c r="J17" i="16"/>
  <c r="Q17" i="16"/>
  <c r="E18" i="16"/>
  <c r="G18" i="16"/>
  <c r="J18" i="16"/>
  <c r="Q18" i="16"/>
  <c r="E19" i="16"/>
  <c r="G19" i="16"/>
  <c r="J19" i="16"/>
  <c r="Q19" i="16"/>
  <c r="E20" i="16"/>
  <c r="G20" i="16"/>
  <c r="J20" i="16"/>
  <c r="Q20" i="16"/>
  <c r="Q27" i="16"/>
  <c r="E36" i="16"/>
  <c r="C18" i="1"/>
  <c r="F9" i="13"/>
  <c r="F10" i="13"/>
  <c r="F46" i="17"/>
  <c r="F47" i="17"/>
  <c r="F49" i="17"/>
  <c r="F51" i="17"/>
  <c r="C20" i="1"/>
  <c r="C20" i="15"/>
  <c r="E31" i="16"/>
  <c r="G31" i="16"/>
  <c r="D25" i="17"/>
  <c r="F35" i="17"/>
  <c r="F37" i="17"/>
  <c r="F45" i="17"/>
  <c r="D8" i="20"/>
  <c r="E8" i="20"/>
  <c r="F8" i="20"/>
  <c r="G8" i="20"/>
  <c r="H8" i="20"/>
  <c r="I8" i="20"/>
  <c r="J8" i="20"/>
  <c r="K8" i="20"/>
  <c r="L8" i="20"/>
  <c r="M8" i="20"/>
  <c r="N8" i="20"/>
  <c r="O8" i="20"/>
  <c r="P8" i="20"/>
  <c r="Q8" i="20"/>
  <c r="D7" i="18"/>
  <c r="E7" i="18"/>
  <c r="F7" i="18"/>
  <c r="G7" i="18"/>
  <c r="H7" i="18"/>
  <c r="I7" i="18"/>
  <c r="J7" i="18"/>
  <c r="K7" i="18"/>
  <c r="L7" i="18"/>
  <c r="M7" i="18"/>
  <c r="N7" i="18"/>
  <c r="O7" i="18"/>
  <c r="P7" i="18"/>
  <c r="Q7" i="18"/>
  <c r="D7" i="4"/>
  <c r="E7" i="4"/>
  <c r="F7" i="4"/>
  <c r="G7" i="4"/>
  <c r="H7" i="4"/>
  <c r="I7" i="4"/>
  <c r="J7" i="4"/>
  <c r="K7" i="4"/>
  <c r="L7" i="4"/>
  <c r="M7" i="4"/>
  <c r="N7" i="4"/>
  <c r="O7" i="4"/>
  <c r="P7" i="4"/>
  <c r="Q7" i="4"/>
  <c r="D8" i="12"/>
  <c r="E8" i="12"/>
  <c r="F8" i="12"/>
  <c r="G8" i="12"/>
  <c r="H8" i="12"/>
  <c r="I8" i="12"/>
  <c r="J8" i="12"/>
  <c r="K8" i="12"/>
  <c r="L8" i="12"/>
  <c r="M8" i="12"/>
  <c r="N8" i="12"/>
  <c r="O8" i="12"/>
  <c r="P8" i="12"/>
  <c r="Q8" i="12"/>
  <c r="D7" i="11"/>
  <c r="E7" i="11"/>
  <c r="F7" i="11"/>
  <c r="G7" i="11"/>
  <c r="H7" i="11"/>
  <c r="I7" i="11"/>
  <c r="J7" i="11"/>
  <c r="K7" i="11"/>
  <c r="L7" i="11"/>
  <c r="M7" i="11"/>
  <c r="N7" i="11"/>
  <c r="O7" i="11"/>
  <c r="P7" i="11"/>
  <c r="Q7" i="11"/>
  <c r="D7" i="9"/>
  <c r="E7" i="9"/>
  <c r="F7" i="9"/>
  <c r="G7" i="9"/>
  <c r="H7" i="9"/>
  <c r="I7" i="9"/>
  <c r="J7" i="9"/>
  <c r="K7" i="9"/>
  <c r="L7" i="9"/>
  <c r="M7" i="9"/>
  <c r="N7" i="9"/>
  <c r="O7" i="9"/>
  <c r="P7" i="9"/>
  <c r="Q7" i="9"/>
  <c r="D7" i="8"/>
  <c r="E7" i="8"/>
  <c r="F7" i="8"/>
  <c r="G7" i="8"/>
  <c r="H7" i="8"/>
  <c r="I7" i="8"/>
  <c r="J7" i="8"/>
  <c r="K7" i="8"/>
  <c r="L7" i="8"/>
  <c r="M7" i="8"/>
  <c r="N7" i="8"/>
  <c r="O7" i="8"/>
  <c r="P7" i="8"/>
  <c r="Q7" i="8"/>
  <c r="D7" i="7"/>
  <c r="E7" i="7"/>
  <c r="F7" i="7"/>
  <c r="G7" i="7"/>
  <c r="H7" i="7"/>
  <c r="I7" i="7"/>
  <c r="J7" i="7"/>
  <c r="K7" i="7"/>
  <c r="L7" i="7"/>
  <c r="M7" i="7"/>
  <c r="N7" i="7"/>
  <c r="O7" i="7"/>
  <c r="P7" i="7"/>
  <c r="Q7" i="7"/>
  <c r="D9" i="22"/>
  <c r="E9" i="22"/>
  <c r="F9" i="22"/>
  <c r="G9" i="22"/>
  <c r="H9" i="22"/>
  <c r="I9" i="22"/>
  <c r="J9" i="22"/>
  <c r="K9" i="22"/>
  <c r="L9" i="22"/>
  <c r="M9" i="22"/>
  <c r="N9" i="22"/>
  <c r="O9" i="22"/>
  <c r="P9" i="22"/>
  <c r="Q9" i="22"/>
  <c r="D7" i="6"/>
  <c r="E7" i="6"/>
  <c r="F7" i="6"/>
  <c r="G7" i="6"/>
  <c r="H7" i="6"/>
  <c r="I7" i="6"/>
  <c r="J7" i="6"/>
  <c r="K7" i="6"/>
  <c r="L7" i="6"/>
  <c r="M7" i="6"/>
  <c r="N7" i="6"/>
  <c r="O7" i="6"/>
  <c r="P7" i="6"/>
  <c r="Q7" i="6"/>
  <c r="D8" i="21"/>
  <c r="E8" i="21"/>
  <c r="F8" i="21"/>
  <c r="G8" i="21"/>
  <c r="H8" i="21"/>
  <c r="I8" i="21"/>
  <c r="J8" i="21"/>
  <c r="K8" i="21"/>
  <c r="L8" i="21"/>
  <c r="M8" i="21"/>
  <c r="N8" i="21"/>
  <c r="O8" i="21"/>
  <c r="P8" i="21"/>
  <c r="Q8" i="21"/>
  <c r="D7" i="3"/>
  <c r="E7" i="3"/>
  <c r="F7" i="3"/>
  <c r="G7" i="3"/>
  <c r="C13" i="6"/>
  <c r="C10" i="5"/>
  <c r="C10" i="6"/>
  <c r="C14" i="6"/>
  <c r="D13" i="6"/>
  <c r="D10" i="5"/>
  <c r="D10" i="6"/>
  <c r="D14" i="6"/>
  <c r="E13" i="6"/>
  <c r="E10" i="5"/>
  <c r="E10" i="6"/>
  <c r="E14" i="6"/>
  <c r="F13" i="6"/>
  <c r="F10" i="5"/>
  <c r="F10" i="6"/>
  <c r="F14" i="6"/>
  <c r="G13" i="6"/>
  <c r="G10" i="5"/>
  <c r="G10" i="6"/>
  <c r="G14" i="6"/>
  <c r="H14" i="6"/>
  <c r="I14" i="6"/>
  <c r="J14" i="6"/>
  <c r="K14" i="6"/>
  <c r="L14" i="6"/>
  <c r="M14" i="6"/>
  <c r="N14" i="6"/>
  <c r="O14" i="6"/>
  <c r="P14" i="6"/>
  <c r="Q14" i="6"/>
  <c r="H18" i="5"/>
  <c r="H16" i="5"/>
  <c r="I18" i="5"/>
  <c r="I16" i="5"/>
  <c r="J18" i="5"/>
  <c r="J16" i="5"/>
  <c r="K18" i="5"/>
  <c r="K16" i="5"/>
  <c r="L18" i="5"/>
  <c r="L16" i="5"/>
  <c r="M18" i="5"/>
  <c r="M16" i="5"/>
  <c r="N18" i="5"/>
  <c r="N16" i="5"/>
  <c r="O18" i="5"/>
  <c r="O16" i="5"/>
  <c r="P18" i="5"/>
  <c r="P16" i="5"/>
  <c r="Q18" i="5"/>
  <c r="Q16" i="5"/>
  <c r="H29" i="5"/>
  <c r="H27" i="5"/>
  <c r="I29" i="5"/>
  <c r="I27" i="5"/>
  <c r="J29" i="5"/>
  <c r="J27" i="5"/>
  <c r="K29" i="5"/>
  <c r="K27" i="5"/>
  <c r="L29" i="5"/>
  <c r="L27" i="5"/>
  <c r="M29" i="5"/>
  <c r="M27" i="5"/>
  <c r="N29" i="5"/>
  <c r="N27" i="5"/>
  <c r="O29" i="5"/>
  <c r="O27" i="5"/>
  <c r="P29" i="5"/>
  <c r="P27" i="5"/>
  <c r="Q29" i="5"/>
  <c r="Q27" i="5"/>
  <c r="H39" i="5"/>
  <c r="H37" i="5"/>
  <c r="I39" i="5"/>
  <c r="I37" i="5"/>
  <c r="J39" i="5"/>
  <c r="J37" i="5"/>
  <c r="K39" i="5"/>
  <c r="K37" i="5"/>
  <c r="L39" i="5"/>
  <c r="L37" i="5"/>
  <c r="M39" i="5"/>
  <c r="M37" i="5"/>
  <c r="N39" i="5"/>
  <c r="N37" i="5"/>
  <c r="O39" i="5"/>
  <c r="O37" i="5"/>
  <c r="P39" i="5"/>
  <c r="P37" i="5"/>
  <c r="Q39" i="5"/>
  <c r="Q37" i="5"/>
  <c r="H49" i="5"/>
  <c r="H47" i="5"/>
  <c r="I49" i="5"/>
  <c r="I47" i="5"/>
  <c r="J49" i="5"/>
  <c r="J47" i="5"/>
  <c r="K49" i="5"/>
  <c r="K47" i="5"/>
  <c r="L49" i="5"/>
  <c r="L47" i="5"/>
  <c r="M49" i="5"/>
  <c r="M47" i="5"/>
  <c r="N49" i="5"/>
  <c r="N47" i="5"/>
  <c r="O49" i="5"/>
  <c r="O47" i="5"/>
  <c r="P49" i="5"/>
  <c r="P47" i="5"/>
  <c r="Q49" i="5"/>
  <c r="Q47" i="5"/>
  <c r="Q10" i="5"/>
  <c r="Q10" i="6"/>
  <c r="Q13" i="6"/>
  <c r="Q14" i="11"/>
  <c r="Q9" i="11"/>
  <c r="Q10" i="11"/>
  <c r="Q14" i="21"/>
  <c r="P10" i="5"/>
  <c r="P10" i="6"/>
  <c r="P13" i="6"/>
  <c r="P14" i="11"/>
  <c r="P9" i="11"/>
  <c r="P10" i="11"/>
  <c r="P14" i="21"/>
  <c r="O10" i="5"/>
  <c r="O10" i="6"/>
  <c r="O13" i="6"/>
  <c r="O14" i="11"/>
  <c r="O9" i="11"/>
  <c r="O10" i="11"/>
  <c r="O14" i="21"/>
  <c r="N10" i="5"/>
  <c r="N10" i="6"/>
  <c r="N13" i="6"/>
  <c r="N14" i="11"/>
  <c r="N9" i="11"/>
  <c r="N10" i="11"/>
  <c r="N14" i="21"/>
  <c r="M10" i="5"/>
  <c r="M10" i="6"/>
  <c r="M13" i="6"/>
  <c r="M14" i="11"/>
  <c r="M9" i="11"/>
  <c r="M10" i="11"/>
  <c r="M14" i="21"/>
  <c r="L10" i="5"/>
  <c r="L10" i="6"/>
  <c r="L13" i="6"/>
  <c r="L14" i="11"/>
  <c r="L9" i="11"/>
  <c r="L10" i="11"/>
  <c r="L14" i="21"/>
  <c r="K10" i="5"/>
  <c r="K10" i="6"/>
  <c r="K13" i="6"/>
  <c r="K14" i="11"/>
  <c r="K9" i="11"/>
  <c r="K10" i="11"/>
  <c r="K14" i="21"/>
  <c r="J10" i="5"/>
  <c r="J10" i="6"/>
  <c r="J13" i="6"/>
  <c r="J14" i="11"/>
  <c r="J9" i="11"/>
  <c r="J10" i="11"/>
  <c r="J14" i="21"/>
  <c r="I10" i="5"/>
  <c r="I10" i="6"/>
  <c r="I13" i="6"/>
  <c r="I14" i="11"/>
  <c r="I9" i="11"/>
  <c r="I10" i="11"/>
  <c r="I14" i="21"/>
  <c r="H10" i="5"/>
  <c r="H10" i="6"/>
  <c r="H13" i="6"/>
  <c r="H14" i="11"/>
  <c r="H9" i="11"/>
  <c r="H10" i="11"/>
  <c r="H14" i="21"/>
  <c r="G14" i="11"/>
  <c r="G9" i="11"/>
  <c r="G10" i="11"/>
  <c r="G14" i="21"/>
  <c r="F14" i="11"/>
  <c r="F9" i="11"/>
  <c r="F10" i="11"/>
  <c r="F14" i="21"/>
  <c r="E14" i="11"/>
  <c r="E9" i="11"/>
  <c r="E10" i="11"/>
  <c r="E14" i="21"/>
  <c r="D14" i="11"/>
  <c r="D9" i="11"/>
  <c r="D10" i="11"/>
  <c r="D14" i="21"/>
  <c r="C14" i="11"/>
  <c r="C9" i="11"/>
  <c r="C10" i="11"/>
  <c r="C14" i="21"/>
  <c r="C14" i="9"/>
  <c r="C40" i="7"/>
  <c r="C42" i="7"/>
  <c r="C56" i="7"/>
  <c r="C58" i="7"/>
  <c r="C12" i="9"/>
  <c r="C15" i="9"/>
  <c r="D14" i="9"/>
  <c r="D40" i="7"/>
  <c r="D42" i="7"/>
  <c r="D56" i="7"/>
  <c r="D58" i="7"/>
  <c r="D12" i="9"/>
  <c r="D10" i="9"/>
  <c r="D15" i="9"/>
  <c r="E14" i="9"/>
  <c r="E40" i="7"/>
  <c r="E42" i="7"/>
  <c r="E56" i="7"/>
  <c r="E58" i="7"/>
  <c r="E12" i="9"/>
  <c r="E10" i="9"/>
  <c r="E15" i="9"/>
  <c r="F14" i="9"/>
  <c r="F40" i="7"/>
  <c r="F42" i="7"/>
  <c r="F56" i="7"/>
  <c r="F58" i="7"/>
  <c r="F12" i="9"/>
  <c r="F10" i="9"/>
  <c r="F15" i="9"/>
  <c r="G14" i="9"/>
  <c r="G40" i="7"/>
  <c r="G42" i="7"/>
  <c r="G56" i="7"/>
  <c r="G58" i="7"/>
  <c r="G12" i="9"/>
  <c r="G10" i="9"/>
  <c r="G15" i="9"/>
  <c r="H15" i="9"/>
  <c r="F40" i="17"/>
  <c r="F42" i="17"/>
  <c r="F31" i="3"/>
  <c r="E31" i="3"/>
  <c r="E26" i="12"/>
  <c r="C8" i="1"/>
  <c r="C31" i="7"/>
  <c r="C32" i="7"/>
  <c r="D31" i="7"/>
  <c r="D32" i="7"/>
  <c r="E31" i="7"/>
  <c r="E32" i="7"/>
  <c r="F31" i="7"/>
  <c r="F32" i="7"/>
  <c r="G31" i="7"/>
  <c r="G32" i="7"/>
  <c r="H32" i="7"/>
  <c r="I32" i="7"/>
  <c r="J32" i="7"/>
  <c r="K32" i="7"/>
  <c r="L32" i="7"/>
  <c r="M32" i="7"/>
  <c r="N32" i="7"/>
  <c r="O32" i="7"/>
  <c r="P32" i="7"/>
  <c r="Q32" i="7"/>
  <c r="Q31" i="7"/>
  <c r="Q29" i="12"/>
  <c r="C33" i="7"/>
  <c r="C34" i="7"/>
  <c r="D33" i="7"/>
  <c r="D34" i="7"/>
  <c r="E33" i="7"/>
  <c r="E34" i="7"/>
  <c r="F33" i="7"/>
  <c r="F34" i="7"/>
  <c r="G33" i="7"/>
  <c r="G34" i="7"/>
  <c r="H34" i="7"/>
  <c r="I34" i="7"/>
  <c r="J34" i="7"/>
  <c r="K34" i="7"/>
  <c r="L34" i="7"/>
  <c r="M34" i="7"/>
  <c r="N34" i="7"/>
  <c r="O34" i="7"/>
  <c r="P34" i="7"/>
  <c r="Q34" i="7"/>
  <c r="Q33" i="7"/>
  <c r="Q30" i="12"/>
  <c r="C11" i="8"/>
  <c r="C12" i="8"/>
  <c r="D11" i="8"/>
  <c r="D12" i="8"/>
  <c r="E11" i="8"/>
  <c r="E12" i="8"/>
  <c r="F11" i="8"/>
  <c r="F12" i="8"/>
  <c r="G11" i="8"/>
  <c r="G12" i="8"/>
  <c r="H12" i="8"/>
  <c r="I12" i="8"/>
  <c r="J12" i="8"/>
  <c r="K12" i="8"/>
  <c r="L12" i="8"/>
  <c r="M12" i="8"/>
  <c r="N12" i="8"/>
  <c r="O12" i="8"/>
  <c r="P12" i="8"/>
  <c r="Q12" i="8"/>
  <c r="Q11" i="8"/>
  <c r="Q25" i="12"/>
  <c r="C41" i="7"/>
  <c r="D41" i="7"/>
  <c r="E41" i="7"/>
  <c r="F41" i="7"/>
  <c r="G41" i="7"/>
  <c r="H41" i="7"/>
  <c r="I41" i="7"/>
  <c r="J41" i="7"/>
  <c r="K41" i="7"/>
  <c r="L41" i="7"/>
  <c r="M41" i="7"/>
  <c r="N41" i="7"/>
  <c r="O41" i="7"/>
  <c r="P41" i="7"/>
  <c r="Q41" i="7"/>
  <c r="Q40" i="7"/>
  <c r="Q45" i="12"/>
  <c r="C43" i="7"/>
  <c r="D43" i="7"/>
  <c r="E43" i="7"/>
  <c r="F43" i="7"/>
  <c r="G43" i="7"/>
  <c r="H43" i="7"/>
  <c r="I43" i="7"/>
  <c r="J43" i="7"/>
  <c r="K43" i="7"/>
  <c r="L43" i="7"/>
  <c r="M43" i="7"/>
  <c r="N43" i="7"/>
  <c r="O43" i="7"/>
  <c r="P43" i="7"/>
  <c r="Q43" i="7"/>
  <c r="Q42" i="7"/>
  <c r="Q46" i="12"/>
  <c r="C44" i="7"/>
  <c r="C45" i="7"/>
  <c r="D44" i="7"/>
  <c r="D45" i="7"/>
  <c r="E44" i="7"/>
  <c r="E45" i="7"/>
  <c r="F44" i="7"/>
  <c r="F45" i="7"/>
  <c r="G44" i="7"/>
  <c r="G45" i="7"/>
  <c r="H45" i="7"/>
  <c r="I45" i="7"/>
  <c r="J45" i="7"/>
  <c r="K45" i="7"/>
  <c r="L45" i="7"/>
  <c r="M45" i="7"/>
  <c r="N45" i="7"/>
  <c r="O45" i="7"/>
  <c r="P45" i="7"/>
  <c r="Q45" i="7"/>
  <c r="Q44" i="7"/>
  <c r="Q47" i="12"/>
  <c r="C46" i="7"/>
  <c r="C47" i="7"/>
  <c r="D46" i="7"/>
  <c r="D47" i="7"/>
  <c r="E46" i="7"/>
  <c r="E47" i="7"/>
  <c r="F46" i="7"/>
  <c r="F47" i="7"/>
  <c r="G46" i="7"/>
  <c r="G47" i="7"/>
  <c r="H47" i="7"/>
  <c r="I47" i="7"/>
  <c r="J47" i="7"/>
  <c r="K47" i="7"/>
  <c r="L47" i="7"/>
  <c r="M47" i="7"/>
  <c r="N47" i="7"/>
  <c r="O47" i="7"/>
  <c r="P47" i="7"/>
  <c r="Q47" i="7"/>
  <c r="Q46" i="7"/>
  <c r="Q48" i="12"/>
  <c r="C48" i="7"/>
  <c r="C49" i="7"/>
  <c r="D48" i="7"/>
  <c r="D49" i="7"/>
  <c r="E48" i="7"/>
  <c r="E49" i="7"/>
  <c r="F48" i="7"/>
  <c r="F49" i="7"/>
  <c r="G48" i="7"/>
  <c r="G49" i="7"/>
  <c r="H49" i="7"/>
  <c r="I49" i="7"/>
  <c r="J49" i="7"/>
  <c r="K49" i="7"/>
  <c r="L49" i="7"/>
  <c r="M49" i="7"/>
  <c r="N49" i="7"/>
  <c r="O49" i="7"/>
  <c r="P49" i="7"/>
  <c r="Q49" i="7"/>
  <c r="Q48" i="7"/>
  <c r="Q49" i="12"/>
  <c r="Q51" i="12"/>
  <c r="P40" i="7"/>
  <c r="P45" i="12"/>
  <c r="P42" i="7"/>
  <c r="P46" i="12"/>
  <c r="P44" i="7"/>
  <c r="P47" i="12"/>
  <c r="P46" i="7"/>
  <c r="P48" i="12"/>
  <c r="P48" i="7"/>
  <c r="P49" i="12"/>
  <c r="P51" i="12"/>
  <c r="Q63" i="4"/>
  <c r="C16" i="6"/>
  <c r="C17" i="6"/>
  <c r="D16" i="6"/>
  <c r="D17" i="6"/>
  <c r="E16" i="6"/>
  <c r="E17" i="6"/>
  <c r="F16" i="6"/>
  <c r="F17" i="6"/>
  <c r="G16" i="6"/>
  <c r="G17" i="6"/>
  <c r="H17" i="6"/>
  <c r="I17" i="6"/>
  <c r="J17" i="6"/>
  <c r="K17" i="6"/>
  <c r="L17" i="6"/>
  <c r="M17" i="6"/>
  <c r="N17" i="6"/>
  <c r="O17" i="6"/>
  <c r="P17" i="6"/>
  <c r="Q17" i="6"/>
  <c r="Q16" i="6"/>
  <c r="Q15" i="11"/>
  <c r="C19" i="6"/>
  <c r="C20" i="6"/>
  <c r="D19" i="6"/>
  <c r="D20" i="6"/>
  <c r="E19" i="6"/>
  <c r="E20" i="6"/>
  <c r="F19" i="6"/>
  <c r="F20" i="6"/>
  <c r="G19" i="6"/>
  <c r="G20" i="6"/>
  <c r="H20" i="6"/>
  <c r="I20" i="6"/>
  <c r="J20" i="6"/>
  <c r="K20" i="6"/>
  <c r="L20" i="6"/>
  <c r="M20" i="6"/>
  <c r="N20" i="6"/>
  <c r="O20" i="6"/>
  <c r="P20" i="6"/>
  <c r="Q20" i="6"/>
  <c r="Q19" i="6"/>
  <c r="Q16" i="11"/>
  <c r="Q17" i="11"/>
  <c r="Q19" i="11"/>
  <c r="I177" i="22"/>
  <c r="J177" i="22"/>
  <c r="K177" i="22"/>
  <c r="L177" i="22"/>
  <c r="M177" i="22"/>
  <c r="N177" i="22"/>
  <c r="O177" i="22"/>
  <c r="P177" i="22"/>
  <c r="Q177" i="22"/>
  <c r="I196" i="22"/>
  <c r="J196" i="22"/>
  <c r="K196" i="22"/>
  <c r="L196" i="22"/>
  <c r="M196" i="22"/>
  <c r="N196" i="22"/>
  <c r="O196" i="22"/>
  <c r="P196" i="22"/>
  <c r="Q196" i="22"/>
  <c r="I215" i="22"/>
  <c r="J215" i="22"/>
  <c r="K215" i="22"/>
  <c r="L215" i="22"/>
  <c r="M215" i="22"/>
  <c r="N215" i="22"/>
  <c r="O215" i="22"/>
  <c r="P215" i="22"/>
  <c r="Q215" i="22"/>
  <c r="I234" i="22"/>
  <c r="J234" i="22"/>
  <c r="K234" i="22"/>
  <c r="L234" i="22"/>
  <c r="M234" i="22"/>
  <c r="N234" i="22"/>
  <c r="O234" i="22"/>
  <c r="P234" i="22"/>
  <c r="Q234" i="22"/>
  <c r="I253" i="22"/>
  <c r="J253" i="22"/>
  <c r="K253" i="22"/>
  <c r="L253" i="22"/>
  <c r="M253" i="22"/>
  <c r="N253" i="22"/>
  <c r="O253" i="22"/>
  <c r="P253" i="22"/>
  <c r="Q253" i="22"/>
  <c r="I272" i="22"/>
  <c r="J272" i="22"/>
  <c r="K272" i="22"/>
  <c r="L272" i="22"/>
  <c r="M272" i="22"/>
  <c r="N272" i="22"/>
  <c r="O272" i="22"/>
  <c r="P272" i="22"/>
  <c r="Q272" i="22"/>
  <c r="Q291" i="22"/>
  <c r="I42" i="22"/>
  <c r="J42" i="22"/>
  <c r="K42" i="22"/>
  <c r="L42" i="22"/>
  <c r="M42" i="22"/>
  <c r="N42" i="22"/>
  <c r="O42" i="22"/>
  <c r="P42" i="22"/>
  <c r="Q42" i="22"/>
  <c r="I61" i="22"/>
  <c r="J61" i="22"/>
  <c r="K61" i="22"/>
  <c r="L61" i="22"/>
  <c r="M61" i="22"/>
  <c r="N61" i="22"/>
  <c r="O61" i="22"/>
  <c r="P61" i="22"/>
  <c r="Q61" i="22"/>
  <c r="I80" i="22"/>
  <c r="J80" i="22"/>
  <c r="K80" i="22"/>
  <c r="L80" i="22"/>
  <c r="M80" i="22"/>
  <c r="N80" i="22"/>
  <c r="O80" i="22"/>
  <c r="P80" i="22"/>
  <c r="Q80" i="22"/>
  <c r="I99" i="22"/>
  <c r="J99" i="22"/>
  <c r="K99" i="22"/>
  <c r="L99" i="22"/>
  <c r="M99" i="22"/>
  <c r="N99" i="22"/>
  <c r="O99" i="22"/>
  <c r="P99" i="22"/>
  <c r="Q99" i="22"/>
  <c r="I118" i="22"/>
  <c r="J118" i="22"/>
  <c r="K118" i="22"/>
  <c r="L118" i="22"/>
  <c r="M118" i="22"/>
  <c r="N118" i="22"/>
  <c r="O118" i="22"/>
  <c r="P118" i="22"/>
  <c r="Q118" i="22"/>
  <c r="I137" i="22"/>
  <c r="J137" i="22"/>
  <c r="K137" i="22"/>
  <c r="L137" i="22"/>
  <c r="M137" i="22"/>
  <c r="N137" i="22"/>
  <c r="O137" i="22"/>
  <c r="P137" i="22"/>
  <c r="Q137" i="22"/>
  <c r="Q156" i="22"/>
  <c r="I334" i="22"/>
  <c r="J334" i="22"/>
  <c r="K334" i="22"/>
  <c r="L334" i="22"/>
  <c r="M334" i="22"/>
  <c r="N334" i="22"/>
  <c r="O334" i="22"/>
  <c r="P334" i="22"/>
  <c r="Q334" i="22"/>
  <c r="I325" i="22"/>
  <c r="J325" i="22"/>
  <c r="K325" i="22"/>
  <c r="L325" i="22"/>
  <c r="M325" i="22"/>
  <c r="N325" i="22"/>
  <c r="O325" i="22"/>
  <c r="P325" i="22"/>
  <c r="Q325" i="22"/>
  <c r="I316" i="22"/>
  <c r="J316" i="22"/>
  <c r="K316" i="22"/>
  <c r="L316" i="22"/>
  <c r="M316" i="22"/>
  <c r="N316" i="22"/>
  <c r="O316" i="22"/>
  <c r="P316" i="22"/>
  <c r="Q316" i="22"/>
  <c r="I307" i="22"/>
  <c r="J307" i="22"/>
  <c r="K307" i="22"/>
  <c r="L307" i="22"/>
  <c r="M307" i="22"/>
  <c r="N307" i="22"/>
  <c r="O307" i="22"/>
  <c r="P307" i="22"/>
  <c r="Q307" i="22"/>
  <c r="Q343" i="22"/>
  <c r="Q360" i="22"/>
  <c r="Q369" i="22"/>
  <c r="Q21" i="11"/>
  <c r="Q23" i="11"/>
  <c r="C57" i="7"/>
  <c r="D57" i="7"/>
  <c r="E57" i="7"/>
  <c r="F57" i="7"/>
  <c r="G57" i="7"/>
  <c r="H57" i="7"/>
  <c r="I57" i="7"/>
  <c r="J57" i="7"/>
  <c r="K57" i="7"/>
  <c r="L57" i="7"/>
  <c r="M57" i="7"/>
  <c r="N57" i="7"/>
  <c r="O57" i="7"/>
  <c r="P57" i="7"/>
  <c r="Q57" i="7"/>
  <c r="Q56" i="7"/>
  <c r="C59" i="7"/>
  <c r="D59" i="7"/>
  <c r="E59" i="7"/>
  <c r="F59" i="7"/>
  <c r="G59" i="7"/>
  <c r="H59" i="7"/>
  <c r="I59" i="7"/>
  <c r="J59" i="7"/>
  <c r="K59" i="7"/>
  <c r="L59" i="7"/>
  <c r="M59" i="7"/>
  <c r="N59" i="7"/>
  <c r="O59" i="7"/>
  <c r="P59" i="7"/>
  <c r="Q59" i="7"/>
  <c r="Q58" i="7"/>
  <c r="Q12" i="9"/>
  <c r="P56" i="7"/>
  <c r="P58" i="7"/>
  <c r="P12" i="9"/>
  <c r="Q10" i="9"/>
  <c r="I15" i="9"/>
  <c r="J15" i="9"/>
  <c r="K15" i="9"/>
  <c r="L15" i="9"/>
  <c r="M15" i="9"/>
  <c r="N15" i="9"/>
  <c r="O15" i="9"/>
  <c r="P15" i="9"/>
  <c r="Q15" i="9"/>
  <c r="Q14" i="9"/>
  <c r="Q25" i="11"/>
  <c r="C58" i="5"/>
  <c r="C59" i="5"/>
  <c r="D58" i="5"/>
  <c r="D59" i="5"/>
  <c r="E58" i="5"/>
  <c r="E59" i="5"/>
  <c r="F58" i="5"/>
  <c r="F59" i="5"/>
  <c r="G58" i="5"/>
  <c r="G59" i="5"/>
  <c r="H59" i="5"/>
  <c r="I59" i="5"/>
  <c r="J59" i="5"/>
  <c r="K59" i="5"/>
  <c r="L59" i="5"/>
  <c r="M59" i="5"/>
  <c r="N59" i="5"/>
  <c r="O59" i="5"/>
  <c r="P59" i="5"/>
  <c r="Q59" i="5"/>
  <c r="Q58" i="5"/>
  <c r="Q26" i="11"/>
  <c r="C62" i="5"/>
  <c r="C63" i="5"/>
  <c r="D62" i="5"/>
  <c r="D63" i="5"/>
  <c r="E62" i="5"/>
  <c r="E63" i="5"/>
  <c r="F62" i="5"/>
  <c r="F63" i="5"/>
  <c r="G62" i="5"/>
  <c r="G63" i="5"/>
  <c r="H63" i="5"/>
  <c r="I63" i="5"/>
  <c r="J63" i="5"/>
  <c r="K63" i="5"/>
  <c r="L63" i="5"/>
  <c r="M63" i="5"/>
  <c r="N63" i="5"/>
  <c r="O63" i="5"/>
  <c r="P63" i="5"/>
  <c r="Q63" i="5"/>
  <c r="Q62" i="5"/>
  <c r="Q27" i="11"/>
  <c r="Q28" i="11"/>
  <c r="Q22" i="6"/>
  <c r="Q30" i="11"/>
  <c r="Q32" i="11"/>
  <c r="D15" i="11"/>
  <c r="D16" i="11"/>
  <c r="D17" i="11"/>
  <c r="D19" i="11"/>
  <c r="D23" i="11"/>
  <c r="D25" i="11"/>
  <c r="D26" i="11"/>
  <c r="D27" i="11"/>
  <c r="D28" i="11"/>
  <c r="D22" i="6"/>
  <c r="D30" i="11"/>
  <c r="D32" i="11"/>
  <c r="D34" i="11"/>
  <c r="D35" i="11"/>
  <c r="E15" i="11"/>
  <c r="E16" i="11"/>
  <c r="E17" i="11"/>
  <c r="E19" i="11"/>
  <c r="E23" i="11"/>
  <c r="E25" i="11"/>
  <c r="E26" i="11"/>
  <c r="E27" i="11"/>
  <c r="E28" i="11"/>
  <c r="E22" i="6"/>
  <c r="E30" i="11"/>
  <c r="E32" i="11"/>
  <c r="E34" i="11"/>
  <c r="E35" i="11"/>
  <c r="F15" i="11"/>
  <c r="F16" i="11"/>
  <c r="F17" i="11"/>
  <c r="F19" i="11"/>
  <c r="F23" i="11"/>
  <c r="F25" i="11"/>
  <c r="F26" i="11"/>
  <c r="F27" i="11"/>
  <c r="F28" i="11"/>
  <c r="F22" i="6"/>
  <c r="F30" i="11"/>
  <c r="F32" i="11"/>
  <c r="F34" i="11"/>
  <c r="F35" i="11"/>
  <c r="G15" i="11"/>
  <c r="G16" i="11"/>
  <c r="G17" i="11"/>
  <c r="G19" i="11"/>
  <c r="G23" i="11"/>
  <c r="G25" i="11"/>
  <c r="G26" i="11"/>
  <c r="G27" i="11"/>
  <c r="G28" i="11"/>
  <c r="G22" i="6"/>
  <c r="G30" i="11"/>
  <c r="G32" i="11"/>
  <c r="G34" i="11"/>
  <c r="G35" i="11"/>
  <c r="H35" i="11"/>
  <c r="I35" i="11"/>
  <c r="J35" i="11"/>
  <c r="K35" i="11"/>
  <c r="L35" i="11"/>
  <c r="M35" i="11"/>
  <c r="N35" i="11"/>
  <c r="O35" i="11"/>
  <c r="P35" i="11"/>
  <c r="Q35" i="11"/>
  <c r="Q34" i="11"/>
  <c r="Q68" i="4"/>
  <c r="Q70" i="4"/>
  <c r="Q72" i="4"/>
  <c r="I331" i="22"/>
  <c r="I336" i="22"/>
  <c r="J330" i="22"/>
  <c r="J331" i="22"/>
  <c r="J336" i="22"/>
  <c r="K330" i="22"/>
  <c r="K331" i="22"/>
  <c r="K336" i="22"/>
  <c r="L330" i="22"/>
  <c r="L331" i="22"/>
  <c r="L336" i="22"/>
  <c r="M330" i="22"/>
  <c r="M331" i="22"/>
  <c r="M336" i="22"/>
  <c r="N330" i="22"/>
  <c r="N331" i="22"/>
  <c r="N336" i="22"/>
  <c r="O330" i="22"/>
  <c r="O331" i="22"/>
  <c r="O336" i="22"/>
  <c r="P330" i="22"/>
  <c r="P331" i="22"/>
  <c r="P336" i="22"/>
  <c r="Q330" i="22"/>
  <c r="I322" i="22"/>
  <c r="I327" i="22"/>
  <c r="J321" i="22"/>
  <c r="J322" i="22"/>
  <c r="J327" i="22"/>
  <c r="K321" i="22"/>
  <c r="K322" i="22"/>
  <c r="K327" i="22"/>
  <c r="L321" i="22"/>
  <c r="L322" i="22"/>
  <c r="L327" i="22"/>
  <c r="M321" i="22"/>
  <c r="M322" i="22"/>
  <c r="M327" i="22"/>
  <c r="N321" i="22"/>
  <c r="N322" i="22"/>
  <c r="N327" i="22"/>
  <c r="O321" i="22"/>
  <c r="O322" i="22"/>
  <c r="O327" i="22"/>
  <c r="P321" i="22"/>
  <c r="P322" i="22"/>
  <c r="P327" i="22"/>
  <c r="Q321" i="22"/>
  <c r="I313" i="22"/>
  <c r="I318" i="22"/>
  <c r="J312" i="22"/>
  <c r="J313" i="22"/>
  <c r="J318" i="22"/>
  <c r="K312" i="22"/>
  <c r="K313" i="22"/>
  <c r="K318" i="22"/>
  <c r="L312" i="22"/>
  <c r="L313" i="22"/>
  <c r="L318" i="22"/>
  <c r="M312" i="22"/>
  <c r="M313" i="22"/>
  <c r="M318" i="22"/>
  <c r="N312" i="22"/>
  <c r="N313" i="22"/>
  <c r="N318" i="22"/>
  <c r="O312" i="22"/>
  <c r="O313" i="22"/>
  <c r="O318" i="22"/>
  <c r="P312" i="22"/>
  <c r="P313" i="22"/>
  <c r="P318" i="22"/>
  <c r="Q312" i="22"/>
  <c r="I304" i="22"/>
  <c r="I309" i="22"/>
  <c r="J303" i="22"/>
  <c r="J304" i="22"/>
  <c r="J309" i="22"/>
  <c r="K303" i="22"/>
  <c r="K304" i="22"/>
  <c r="K309" i="22"/>
  <c r="L303" i="22"/>
  <c r="L304" i="22"/>
  <c r="L309" i="22"/>
  <c r="M303" i="22"/>
  <c r="M304" i="22"/>
  <c r="M309" i="22"/>
  <c r="N303" i="22"/>
  <c r="N304" i="22"/>
  <c r="N309" i="22"/>
  <c r="O303" i="22"/>
  <c r="O304" i="22"/>
  <c r="O309" i="22"/>
  <c r="P303" i="22"/>
  <c r="P304" i="22"/>
  <c r="P309" i="22"/>
  <c r="Q303" i="22"/>
  <c r="Q339" i="22"/>
  <c r="I169" i="22"/>
  <c r="I175" i="22"/>
  <c r="J168" i="22"/>
  <c r="J169" i="22"/>
  <c r="J175" i="22"/>
  <c r="K168" i="22"/>
  <c r="K169" i="22"/>
  <c r="K175" i="22"/>
  <c r="L168" i="22"/>
  <c r="L169" i="22"/>
  <c r="L175" i="22"/>
  <c r="M168" i="22"/>
  <c r="M169" i="22"/>
  <c r="M175" i="22"/>
  <c r="N168" i="22"/>
  <c r="N169" i="22"/>
  <c r="N175" i="22"/>
  <c r="O168" i="22"/>
  <c r="O169" i="22"/>
  <c r="O175" i="22"/>
  <c r="P168" i="22"/>
  <c r="P169" i="22"/>
  <c r="P175" i="22"/>
  <c r="Q168" i="22"/>
  <c r="I188" i="22"/>
  <c r="I194" i="22"/>
  <c r="J187" i="22"/>
  <c r="J188" i="22"/>
  <c r="J194" i="22"/>
  <c r="K187" i="22"/>
  <c r="K188" i="22"/>
  <c r="K194" i="22"/>
  <c r="L187" i="22"/>
  <c r="L188" i="22"/>
  <c r="L194" i="22"/>
  <c r="M187" i="22"/>
  <c r="M188" i="22"/>
  <c r="M194" i="22"/>
  <c r="N187" i="22"/>
  <c r="N188" i="22"/>
  <c r="N194" i="22"/>
  <c r="O187" i="22"/>
  <c r="O188" i="22"/>
  <c r="O194" i="22"/>
  <c r="P187" i="22"/>
  <c r="P188" i="22"/>
  <c r="P194" i="22"/>
  <c r="Q187" i="22"/>
  <c r="I207" i="22"/>
  <c r="I213" i="22"/>
  <c r="J206" i="22"/>
  <c r="J207" i="22"/>
  <c r="J213" i="22"/>
  <c r="K206" i="22"/>
  <c r="K207" i="22"/>
  <c r="K213" i="22"/>
  <c r="L206" i="22"/>
  <c r="L207" i="22"/>
  <c r="L213" i="22"/>
  <c r="M206" i="22"/>
  <c r="M207" i="22"/>
  <c r="M213" i="22"/>
  <c r="N206" i="22"/>
  <c r="N207" i="22"/>
  <c r="N213" i="22"/>
  <c r="O206" i="22"/>
  <c r="O207" i="22"/>
  <c r="O213" i="22"/>
  <c r="P206" i="22"/>
  <c r="P207" i="22"/>
  <c r="P213" i="22"/>
  <c r="Q206" i="22"/>
  <c r="I226" i="22"/>
  <c r="I232" i="22"/>
  <c r="J225" i="22"/>
  <c r="J226" i="22"/>
  <c r="J232" i="22"/>
  <c r="K225" i="22"/>
  <c r="K226" i="22"/>
  <c r="K232" i="22"/>
  <c r="L225" i="22"/>
  <c r="L226" i="22"/>
  <c r="L232" i="22"/>
  <c r="M225" i="22"/>
  <c r="M226" i="22"/>
  <c r="M232" i="22"/>
  <c r="N225" i="22"/>
  <c r="N226" i="22"/>
  <c r="N232" i="22"/>
  <c r="O225" i="22"/>
  <c r="O226" i="22"/>
  <c r="O232" i="22"/>
  <c r="P225" i="22"/>
  <c r="P226" i="22"/>
  <c r="P232" i="22"/>
  <c r="Q225" i="22"/>
  <c r="I245" i="22"/>
  <c r="I251" i="22"/>
  <c r="J244" i="22"/>
  <c r="J245" i="22"/>
  <c r="J251" i="22"/>
  <c r="K244" i="22"/>
  <c r="K245" i="22"/>
  <c r="K251" i="22"/>
  <c r="L244" i="22"/>
  <c r="L245" i="22"/>
  <c r="L251" i="22"/>
  <c r="M244" i="22"/>
  <c r="M245" i="22"/>
  <c r="M251" i="22"/>
  <c r="N244" i="22"/>
  <c r="N245" i="22"/>
  <c r="N251" i="22"/>
  <c r="O244" i="22"/>
  <c r="O245" i="22"/>
  <c r="O251" i="22"/>
  <c r="P244" i="22"/>
  <c r="P245" i="22"/>
  <c r="P251" i="22"/>
  <c r="Q244" i="22"/>
  <c r="I264" i="22"/>
  <c r="I270" i="22"/>
  <c r="J263" i="22"/>
  <c r="J264" i="22"/>
  <c r="J270" i="22"/>
  <c r="K263" i="22"/>
  <c r="K264" i="22"/>
  <c r="K270" i="22"/>
  <c r="L263" i="22"/>
  <c r="L264" i="22"/>
  <c r="L270" i="22"/>
  <c r="M263" i="22"/>
  <c r="M264" i="22"/>
  <c r="M270" i="22"/>
  <c r="N263" i="22"/>
  <c r="N264" i="22"/>
  <c r="N270" i="22"/>
  <c r="O263" i="22"/>
  <c r="O264" i="22"/>
  <c r="O270" i="22"/>
  <c r="P263" i="22"/>
  <c r="P264" i="22"/>
  <c r="P270" i="22"/>
  <c r="Q263" i="22"/>
  <c r="Q282" i="22"/>
  <c r="I16" i="22"/>
  <c r="I21" i="22"/>
  <c r="J14" i="22"/>
  <c r="J16" i="22"/>
  <c r="J21" i="22"/>
  <c r="K14" i="22"/>
  <c r="K16" i="22"/>
  <c r="K21" i="22"/>
  <c r="L14" i="22"/>
  <c r="L16" i="22"/>
  <c r="L21" i="22"/>
  <c r="M14" i="22"/>
  <c r="M16" i="22"/>
  <c r="M21" i="22"/>
  <c r="N14" i="22"/>
  <c r="N16" i="22"/>
  <c r="N21" i="22"/>
  <c r="O14" i="22"/>
  <c r="O16" i="22"/>
  <c r="O21" i="22"/>
  <c r="P14" i="22"/>
  <c r="P16" i="22"/>
  <c r="P21" i="22"/>
  <c r="Q14" i="22"/>
  <c r="I35" i="22"/>
  <c r="I40" i="22"/>
  <c r="J33" i="22"/>
  <c r="J35" i="22"/>
  <c r="J40" i="22"/>
  <c r="K33" i="22"/>
  <c r="K35" i="22"/>
  <c r="K40" i="22"/>
  <c r="L33" i="22"/>
  <c r="L35" i="22"/>
  <c r="L40" i="22"/>
  <c r="M33" i="22"/>
  <c r="M35" i="22"/>
  <c r="M40" i="22"/>
  <c r="N33" i="22"/>
  <c r="N35" i="22"/>
  <c r="N40" i="22"/>
  <c r="O33" i="22"/>
  <c r="O35" i="22"/>
  <c r="O40" i="22"/>
  <c r="P33" i="22"/>
  <c r="P35" i="22"/>
  <c r="P40" i="22"/>
  <c r="Q33" i="22"/>
  <c r="I54" i="22"/>
  <c r="I59" i="22"/>
  <c r="J52" i="22"/>
  <c r="J54" i="22"/>
  <c r="J59" i="22"/>
  <c r="K52" i="22"/>
  <c r="K54" i="22"/>
  <c r="K59" i="22"/>
  <c r="L52" i="22"/>
  <c r="L54" i="22"/>
  <c r="L59" i="22"/>
  <c r="M52" i="22"/>
  <c r="M54" i="22"/>
  <c r="M59" i="22"/>
  <c r="N52" i="22"/>
  <c r="N54" i="22"/>
  <c r="N59" i="22"/>
  <c r="O52" i="22"/>
  <c r="O54" i="22"/>
  <c r="O59" i="22"/>
  <c r="P52" i="22"/>
  <c r="P54" i="22"/>
  <c r="P59" i="22"/>
  <c r="Q52" i="22"/>
  <c r="I73" i="22"/>
  <c r="I78" i="22"/>
  <c r="J71" i="22"/>
  <c r="J73" i="22"/>
  <c r="J78" i="22"/>
  <c r="K71" i="22"/>
  <c r="K73" i="22"/>
  <c r="K78" i="22"/>
  <c r="L71" i="22"/>
  <c r="L73" i="22"/>
  <c r="L78" i="22"/>
  <c r="M71" i="22"/>
  <c r="M73" i="22"/>
  <c r="M78" i="22"/>
  <c r="N71" i="22"/>
  <c r="N73" i="22"/>
  <c r="N78" i="22"/>
  <c r="O71" i="22"/>
  <c r="O73" i="22"/>
  <c r="O78" i="22"/>
  <c r="P71" i="22"/>
  <c r="P73" i="22"/>
  <c r="P78" i="22"/>
  <c r="Q71" i="22"/>
  <c r="I92" i="22"/>
  <c r="I97" i="22"/>
  <c r="J90" i="22"/>
  <c r="J92" i="22"/>
  <c r="J97" i="22"/>
  <c r="K90" i="22"/>
  <c r="K92" i="22"/>
  <c r="K97" i="22"/>
  <c r="L90" i="22"/>
  <c r="L92" i="22"/>
  <c r="L97" i="22"/>
  <c r="M90" i="22"/>
  <c r="M92" i="22"/>
  <c r="M97" i="22"/>
  <c r="N90" i="22"/>
  <c r="N92" i="22"/>
  <c r="N97" i="22"/>
  <c r="O90" i="22"/>
  <c r="O92" i="22"/>
  <c r="O97" i="22"/>
  <c r="P90" i="22"/>
  <c r="P92" i="22"/>
  <c r="P97" i="22"/>
  <c r="Q90" i="22"/>
  <c r="I111" i="22"/>
  <c r="I116" i="22"/>
  <c r="J109" i="22"/>
  <c r="J111" i="22"/>
  <c r="J116" i="22"/>
  <c r="K109" i="22"/>
  <c r="K111" i="22"/>
  <c r="K116" i="22"/>
  <c r="L109" i="22"/>
  <c r="L111" i="22"/>
  <c r="L116" i="22"/>
  <c r="M109" i="22"/>
  <c r="M111" i="22"/>
  <c r="M116" i="22"/>
  <c r="N109" i="22"/>
  <c r="N111" i="22"/>
  <c r="N116" i="22"/>
  <c r="O109" i="22"/>
  <c r="O111" i="22"/>
  <c r="O116" i="22"/>
  <c r="P109" i="22"/>
  <c r="P111" i="22"/>
  <c r="P116" i="22"/>
  <c r="Q109" i="22"/>
  <c r="I130" i="22"/>
  <c r="I135" i="22"/>
  <c r="J128" i="22"/>
  <c r="J130" i="22"/>
  <c r="J135" i="22"/>
  <c r="K128" i="22"/>
  <c r="K130" i="22"/>
  <c r="K135" i="22"/>
  <c r="L128" i="22"/>
  <c r="L130" i="22"/>
  <c r="L135" i="22"/>
  <c r="M128" i="22"/>
  <c r="M130" i="22"/>
  <c r="M135" i="22"/>
  <c r="N128" i="22"/>
  <c r="N130" i="22"/>
  <c r="N135" i="22"/>
  <c r="O128" i="22"/>
  <c r="O130" i="22"/>
  <c r="O135" i="22"/>
  <c r="P128" i="22"/>
  <c r="P130" i="22"/>
  <c r="P135" i="22"/>
  <c r="Q128" i="22"/>
  <c r="Q147" i="22"/>
  <c r="Q350" i="22"/>
  <c r="Q331" i="22"/>
  <c r="Q322" i="22"/>
  <c r="Q313" i="22"/>
  <c r="Q304" i="22"/>
  <c r="Q340" i="22"/>
  <c r="Q169" i="22"/>
  <c r="Q188" i="22"/>
  <c r="Q207" i="22"/>
  <c r="Q226" i="22"/>
  <c r="Q245" i="22"/>
  <c r="Q264" i="22"/>
  <c r="Q283" i="22"/>
  <c r="Q16" i="22"/>
  <c r="Q35" i="22"/>
  <c r="Q54" i="22"/>
  <c r="Q73" i="22"/>
  <c r="Q92" i="22"/>
  <c r="Q111" i="22"/>
  <c r="Q130" i="22"/>
  <c r="Q149" i="22"/>
  <c r="Q352" i="22"/>
  <c r="Q358" i="22"/>
  <c r="I181" i="22"/>
  <c r="J176" i="22"/>
  <c r="J181" i="22"/>
  <c r="K176" i="22"/>
  <c r="K181" i="22"/>
  <c r="L176" i="22"/>
  <c r="L181" i="22"/>
  <c r="M176" i="22"/>
  <c r="M181" i="22"/>
  <c r="N176" i="22"/>
  <c r="N181" i="22"/>
  <c r="O176" i="22"/>
  <c r="O181" i="22"/>
  <c r="P176" i="22"/>
  <c r="P181" i="22"/>
  <c r="Q176" i="22"/>
  <c r="I200" i="22"/>
  <c r="J195" i="22"/>
  <c r="J200" i="22"/>
  <c r="K195" i="22"/>
  <c r="K200" i="22"/>
  <c r="L195" i="22"/>
  <c r="L200" i="22"/>
  <c r="M195" i="22"/>
  <c r="M200" i="22"/>
  <c r="N195" i="22"/>
  <c r="N200" i="22"/>
  <c r="O195" i="22"/>
  <c r="O200" i="22"/>
  <c r="P195" i="22"/>
  <c r="P200" i="22"/>
  <c r="Q195" i="22"/>
  <c r="I219" i="22"/>
  <c r="J214" i="22"/>
  <c r="J219" i="22"/>
  <c r="K214" i="22"/>
  <c r="K219" i="22"/>
  <c r="L214" i="22"/>
  <c r="L219" i="22"/>
  <c r="M214" i="22"/>
  <c r="M219" i="22"/>
  <c r="N214" i="22"/>
  <c r="N219" i="22"/>
  <c r="O214" i="22"/>
  <c r="O219" i="22"/>
  <c r="P214" i="22"/>
  <c r="P219" i="22"/>
  <c r="Q214" i="22"/>
  <c r="I238" i="22"/>
  <c r="J233" i="22"/>
  <c r="J238" i="22"/>
  <c r="K233" i="22"/>
  <c r="K238" i="22"/>
  <c r="L233" i="22"/>
  <c r="L238" i="22"/>
  <c r="M233" i="22"/>
  <c r="M238" i="22"/>
  <c r="N233" i="22"/>
  <c r="N238" i="22"/>
  <c r="O233" i="22"/>
  <c r="O238" i="22"/>
  <c r="P233" i="22"/>
  <c r="P238" i="22"/>
  <c r="Q233" i="22"/>
  <c r="I257" i="22"/>
  <c r="J252" i="22"/>
  <c r="J257" i="22"/>
  <c r="K252" i="22"/>
  <c r="K257" i="22"/>
  <c r="L252" i="22"/>
  <c r="L257" i="22"/>
  <c r="M252" i="22"/>
  <c r="M257" i="22"/>
  <c r="N252" i="22"/>
  <c r="N257" i="22"/>
  <c r="O252" i="22"/>
  <c r="O257" i="22"/>
  <c r="P252" i="22"/>
  <c r="P257" i="22"/>
  <c r="Q252" i="22"/>
  <c r="I276" i="22"/>
  <c r="J271" i="22"/>
  <c r="J276" i="22"/>
  <c r="K271" i="22"/>
  <c r="K276" i="22"/>
  <c r="L271" i="22"/>
  <c r="L276" i="22"/>
  <c r="M271" i="22"/>
  <c r="M276" i="22"/>
  <c r="N271" i="22"/>
  <c r="N276" i="22"/>
  <c r="O271" i="22"/>
  <c r="O276" i="22"/>
  <c r="P271" i="22"/>
  <c r="P276" i="22"/>
  <c r="Q271" i="22"/>
  <c r="Q290" i="22"/>
  <c r="I46" i="22"/>
  <c r="J41" i="22"/>
  <c r="J46" i="22"/>
  <c r="K41" i="22"/>
  <c r="K46" i="22"/>
  <c r="L41" i="22"/>
  <c r="L46" i="22"/>
  <c r="M41" i="22"/>
  <c r="M46" i="22"/>
  <c r="N41" i="22"/>
  <c r="N46" i="22"/>
  <c r="O41" i="22"/>
  <c r="O46" i="22"/>
  <c r="P41" i="22"/>
  <c r="P46" i="22"/>
  <c r="Q41" i="22"/>
  <c r="I65" i="22"/>
  <c r="J60" i="22"/>
  <c r="J65" i="22"/>
  <c r="K60" i="22"/>
  <c r="K65" i="22"/>
  <c r="L60" i="22"/>
  <c r="L65" i="22"/>
  <c r="M60" i="22"/>
  <c r="M65" i="22"/>
  <c r="N60" i="22"/>
  <c r="N65" i="22"/>
  <c r="O60" i="22"/>
  <c r="O65" i="22"/>
  <c r="P60" i="22"/>
  <c r="P65" i="22"/>
  <c r="Q60" i="22"/>
  <c r="I84" i="22"/>
  <c r="J79" i="22"/>
  <c r="J84" i="22"/>
  <c r="K79" i="22"/>
  <c r="K84" i="22"/>
  <c r="L79" i="22"/>
  <c r="L84" i="22"/>
  <c r="M79" i="22"/>
  <c r="M84" i="22"/>
  <c r="N79" i="22"/>
  <c r="N84" i="22"/>
  <c r="O79" i="22"/>
  <c r="O84" i="22"/>
  <c r="P79" i="22"/>
  <c r="P84" i="22"/>
  <c r="Q79" i="22"/>
  <c r="I103" i="22"/>
  <c r="J98" i="22"/>
  <c r="J103" i="22"/>
  <c r="K98" i="22"/>
  <c r="K103" i="22"/>
  <c r="L98" i="22"/>
  <c r="L103" i="22"/>
  <c r="M98" i="22"/>
  <c r="M103" i="22"/>
  <c r="N98" i="22"/>
  <c r="N103" i="22"/>
  <c r="O98" i="22"/>
  <c r="O103" i="22"/>
  <c r="P98" i="22"/>
  <c r="P103" i="22"/>
  <c r="Q98" i="22"/>
  <c r="I122" i="22"/>
  <c r="I124" i="22"/>
  <c r="J117" i="22"/>
  <c r="J122" i="22"/>
  <c r="J124" i="22"/>
  <c r="K117" i="22"/>
  <c r="K122" i="22"/>
  <c r="K124" i="22"/>
  <c r="L117" i="22"/>
  <c r="L122" i="22"/>
  <c r="L124" i="22"/>
  <c r="M117" i="22"/>
  <c r="M122" i="22"/>
  <c r="M124" i="22"/>
  <c r="N117" i="22"/>
  <c r="N122" i="22"/>
  <c r="N124" i="22"/>
  <c r="O117" i="22"/>
  <c r="O122" i="22"/>
  <c r="O124" i="22"/>
  <c r="P117" i="22"/>
  <c r="P122" i="22"/>
  <c r="P124" i="22"/>
  <c r="Q117" i="22"/>
  <c r="I141" i="22"/>
  <c r="J136" i="22"/>
  <c r="J141" i="22"/>
  <c r="K136" i="22"/>
  <c r="K141" i="22"/>
  <c r="L136" i="22"/>
  <c r="L141" i="22"/>
  <c r="M136" i="22"/>
  <c r="M141" i="22"/>
  <c r="N136" i="22"/>
  <c r="N141" i="22"/>
  <c r="O136" i="22"/>
  <c r="O141" i="22"/>
  <c r="P136" i="22"/>
  <c r="P141" i="22"/>
  <c r="Q136" i="22"/>
  <c r="Q155" i="22"/>
  <c r="Q359" i="22"/>
  <c r="Q364" i="22"/>
  <c r="Q366" i="22"/>
  <c r="Q368" i="22"/>
  <c r="P339" i="22"/>
  <c r="P282" i="22"/>
  <c r="P147" i="22"/>
  <c r="P350" i="22"/>
  <c r="P340" i="22"/>
  <c r="P283" i="22"/>
  <c r="P149" i="22"/>
  <c r="P352" i="22"/>
  <c r="P358" i="22"/>
  <c r="P290" i="22"/>
  <c r="P155" i="22"/>
  <c r="P359" i="22"/>
  <c r="P291" i="22"/>
  <c r="P156" i="22"/>
  <c r="P343" i="22"/>
  <c r="P360" i="22"/>
  <c r="P364" i="22"/>
  <c r="P366" i="22"/>
  <c r="P368" i="22"/>
  <c r="G372" i="22"/>
  <c r="H372" i="22"/>
  <c r="I372" i="22"/>
  <c r="J372" i="22"/>
  <c r="K372" i="22"/>
  <c r="L372" i="22"/>
  <c r="M372" i="22"/>
  <c r="N372" i="22"/>
  <c r="O372" i="22"/>
  <c r="P372" i="22"/>
  <c r="Q372" i="22"/>
  <c r="Q376" i="22"/>
  <c r="Q44" i="4"/>
  <c r="Q53" i="4"/>
  <c r="C13" i="7"/>
  <c r="C14" i="7"/>
  <c r="D13" i="7"/>
  <c r="D14" i="7"/>
  <c r="E13" i="7"/>
  <c r="E14" i="7"/>
  <c r="F13" i="7"/>
  <c r="F14" i="7"/>
  <c r="G13" i="7"/>
  <c r="G14" i="7"/>
  <c r="H14" i="7"/>
  <c r="I14" i="7"/>
  <c r="J14" i="7"/>
  <c r="K14" i="7"/>
  <c r="L14" i="7"/>
  <c r="M14" i="7"/>
  <c r="N14" i="7"/>
  <c r="O14" i="7"/>
  <c r="P14" i="7"/>
  <c r="P13" i="7"/>
  <c r="P14" i="12"/>
  <c r="C15" i="7"/>
  <c r="C16" i="7"/>
  <c r="D15" i="7"/>
  <c r="D16" i="7"/>
  <c r="E15" i="7"/>
  <c r="E16" i="7"/>
  <c r="F15" i="7"/>
  <c r="F16" i="7"/>
  <c r="G15" i="7"/>
  <c r="G16" i="7"/>
  <c r="H16" i="7"/>
  <c r="I16" i="7"/>
  <c r="J16" i="7"/>
  <c r="K16" i="7"/>
  <c r="L16" i="7"/>
  <c r="M16" i="7"/>
  <c r="N16" i="7"/>
  <c r="O16" i="7"/>
  <c r="P16" i="7"/>
  <c r="P15" i="7"/>
  <c r="P15" i="12"/>
  <c r="C17" i="7"/>
  <c r="C18" i="7"/>
  <c r="D17" i="7"/>
  <c r="D18" i="7"/>
  <c r="E17" i="7"/>
  <c r="E18" i="7"/>
  <c r="F17" i="7"/>
  <c r="F18" i="7"/>
  <c r="G17" i="7"/>
  <c r="G18" i="7"/>
  <c r="H18" i="7"/>
  <c r="I18" i="7"/>
  <c r="J18" i="7"/>
  <c r="K18" i="7"/>
  <c r="L18" i="7"/>
  <c r="M18" i="7"/>
  <c r="N18" i="7"/>
  <c r="O18" i="7"/>
  <c r="P18" i="7"/>
  <c r="P17" i="7"/>
  <c r="P16" i="12"/>
  <c r="C19" i="7"/>
  <c r="C20" i="7"/>
  <c r="D19" i="7"/>
  <c r="D20" i="7"/>
  <c r="E19" i="7"/>
  <c r="E20" i="7"/>
  <c r="F19" i="7"/>
  <c r="F20" i="7"/>
  <c r="G19" i="7"/>
  <c r="G20" i="7"/>
  <c r="H20" i="7"/>
  <c r="I20" i="7"/>
  <c r="J20" i="7"/>
  <c r="K20" i="7"/>
  <c r="L20" i="7"/>
  <c r="M20" i="7"/>
  <c r="N20" i="7"/>
  <c r="O20" i="7"/>
  <c r="P20" i="7"/>
  <c r="P19" i="7"/>
  <c r="P17" i="12"/>
  <c r="C21" i="7"/>
  <c r="C22" i="7"/>
  <c r="D21" i="7"/>
  <c r="D22" i="7"/>
  <c r="E21" i="7"/>
  <c r="E22" i="7"/>
  <c r="F21" i="7"/>
  <c r="F22" i="7"/>
  <c r="G21" i="7"/>
  <c r="G22" i="7"/>
  <c r="H22" i="7"/>
  <c r="I22" i="7"/>
  <c r="J22" i="7"/>
  <c r="K22" i="7"/>
  <c r="L22" i="7"/>
  <c r="M22" i="7"/>
  <c r="N22" i="7"/>
  <c r="O22" i="7"/>
  <c r="P22" i="7"/>
  <c r="P21" i="7"/>
  <c r="P18" i="12"/>
  <c r="Q14" i="7"/>
  <c r="Q13" i="7"/>
  <c r="Q14" i="12"/>
  <c r="Q16" i="7"/>
  <c r="Q15" i="7"/>
  <c r="Q15" i="12"/>
  <c r="Q18" i="7"/>
  <c r="Q17" i="7"/>
  <c r="Q16" i="12"/>
  <c r="Q20" i="7"/>
  <c r="Q19" i="7"/>
  <c r="Q17" i="12"/>
  <c r="Q22" i="7"/>
  <c r="Q21" i="7"/>
  <c r="Q18" i="12"/>
  <c r="Q54" i="4"/>
  <c r="Q49" i="4"/>
  <c r="Q55" i="4"/>
  <c r="Q10" i="4"/>
  <c r="Q12" i="4"/>
  <c r="Q17" i="4"/>
  <c r="Q25" i="4"/>
  <c r="Q26" i="4"/>
  <c r="P11" i="8"/>
  <c r="P25" i="12"/>
  <c r="Q29" i="4"/>
  <c r="C29" i="7"/>
  <c r="C30" i="7"/>
  <c r="D29" i="7"/>
  <c r="D30" i="7"/>
  <c r="E29" i="7"/>
  <c r="E30" i="7"/>
  <c r="F29" i="7"/>
  <c r="F30" i="7"/>
  <c r="G29" i="7"/>
  <c r="G30" i="7"/>
  <c r="H30" i="7"/>
  <c r="I30" i="7"/>
  <c r="J30" i="7"/>
  <c r="K30" i="7"/>
  <c r="L30" i="7"/>
  <c r="M30" i="7"/>
  <c r="N30" i="7"/>
  <c r="O30" i="7"/>
  <c r="P30" i="7"/>
  <c r="P29" i="7"/>
  <c r="P28" i="12"/>
  <c r="Q30" i="7"/>
  <c r="Q29" i="7"/>
  <c r="Q28" i="12"/>
  <c r="Q30" i="4"/>
  <c r="P33" i="7"/>
  <c r="P30" i="12"/>
  <c r="Q31" i="4"/>
  <c r="P31" i="7"/>
  <c r="P29" i="12"/>
  <c r="C27" i="7"/>
  <c r="C28" i="7"/>
  <c r="D27" i="7"/>
  <c r="D28" i="7"/>
  <c r="G27" i="7"/>
  <c r="G28" i="7"/>
  <c r="H28" i="7"/>
  <c r="I28" i="7"/>
  <c r="J28" i="7"/>
  <c r="K28" i="7"/>
  <c r="L28" i="7"/>
  <c r="M28" i="7"/>
  <c r="N28" i="7"/>
  <c r="O28" i="7"/>
  <c r="P28" i="7"/>
  <c r="P27" i="7"/>
  <c r="P24" i="12"/>
  <c r="Q28" i="7"/>
  <c r="Q27" i="7"/>
  <c r="Q24" i="12"/>
  <c r="Q32" i="4"/>
  <c r="C14" i="8"/>
  <c r="C15" i="8"/>
  <c r="D14" i="8"/>
  <c r="D15" i="8"/>
  <c r="E14" i="8"/>
  <c r="E15" i="8"/>
  <c r="F14" i="8"/>
  <c r="F15" i="8"/>
  <c r="G14" i="8"/>
  <c r="G15" i="8"/>
  <c r="H15" i="8"/>
  <c r="I15" i="8"/>
  <c r="J15" i="8"/>
  <c r="K15" i="8"/>
  <c r="L15" i="8"/>
  <c r="M15" i="8"/>
  <c r="N15" i="8"/>
  <c r="O15" i="8"/>
  <c r="P15" i="8"/>
  <c r="Q15" i="8"/>
  <c r="Q14" i="8"/>
  <c r="Q58" i="12"/>
  <c r="P14" i="8"/>
  <c r="P58" i="12"/>
  <c r="Q33" i="4"/>
  <c r="Q56" i="12"/>
  <c r="Q57" i="12"/>
  <c r="C60" i="7"/>
  <c r="C61" i="7"/>
  <c r="D60" i="7"/>
  <c r="D61" i="7"/>
  <c r="E60" i="7"/>
  <c r="E61" i="7"/>
  <c r="F60" i="7"/>
  <c r="F61" i="7"/>
  <c r="G60" i="7"/>
  <c r="G61" i="7"/>
  <c r="H61" i="7"/>
  <c r="I61" i="7"/>
  <c r="J61" i="7"/>
  <c r="K61" i="7"/>
  <c r="L61" i="7"/>
  <c r="M61" i="7"/>
  <c r="N61" i="7"/>
  <c r="O61" i="7"/>
  <c r="P61" i="7"/>
  <c r="Q61" i="7"/>
  <c r="Q60" i="7"/>
  <c r="Q59" i="12"/>
  <c r="P56" i="12"/>
  <c r="P57" i="12"/>
  <c r="P60" i="7"/>
  <c r="P59" i="12"/>
  <c r="Q34" i="4"/>
  <c r="C66" i="7"/>
  <c r="C67" i="7"/>
  <c r="D66" i="7"/>
  <c r="D67" i="7"/>
  <c r="E66" i="7"/>
  <c r="E67" i="7"/>
  <c r="F66" i="7"/>
  <c r="F67" i="7"/>
  <c r="G66" i="7"/>
  <c r="G67" i="7"/>
  <c r="H67" i="7"/>
  <c r="I67" i="7"/>
  <c r="J67" i="7"/>
  <c r="K67" i="7"/>
  <c r="L67" i="7"/>
  <c r="M67" i="7"/>
  <c r="N67" i="7"/>
  <c r="O67" i="7"/>
  <c r="P67" i="7"/>
  <c r="Q67" i="7"/>
  <c r="Q66" i="7"/>
  <c r="Q62" i="12"/>
  <c r="P66" i="7"/>
  <c r="P62" i="12"/>
  <c r="Q35" i="4"/>
  <c r="C54" i="7"/>
  <c r="C55" i="7"/>
  <c r="D54" i="7"/>
  <c r="D55" i="7"/>
  <c r="E54" i="7"/>
  <c r="E55" i="7"/>
  <c r="F54" i="7"/>
  <c r="F55" i="7"/>
  <c r="G54" i="7"/>
  <c r="G55" i="7"/>
  <c r="H55" i="7"/>
  <c r="I55" i="7"/>
  <c r="J55" i="7"/>
  <c r="K55" i="7"/>
  <c r="L55" i="7"/>
  <c r="M55" i="7"/>
  <c r="N55" i="7"/>
  <c r="O55" i="7"/>
  <c r="P55" i="7"/>
  <c r="Q55" i="7"/>
  <c r="Q54" i="7"/>
  <c r="Q54" i="12"/>
  <c r="P54" i="7"/>
  <c r="P54" i="12"/>
  <c r="Q36" i="4"/>
  <c r="C62" i="7"/>
  <c r="C63" i="7"/>
  <c r="D62" i="7"/>
  <c r="D63" i="7"/>
  <c r="E62" i="7"/>
  <c r="E63" i="7"/>
  <c r="F62" i="7"/>
  <c r="F63" i="7"/>
  <c r="G62" i="7"/>
  <c r="G63" i="7"/>
  <c r="H63" i="7"/>
  <c r="I63" i="7"/>
  <c r="J63" i="7"/>
  <c r="K63" i="7"/>
  <c r="L63" i="7"/>
  <c r="M63" i="7"/>
  <c r="N63" i="7"/>
  <c r="O63" i="7"/>
  <c r="P63" i="7"/>
  <c r="Q63" i="7"/>
  <c r="Q62" i="7"/>
  <c r="Q60" i="12"/>
  <c r="C64" i="7"/>
  <c r="C65" i="7"/>
  <c r="D64" i="7"/>
  <c r="D65" i="7"/>
  <c r="E64" i="7"/>
  <c r="E65" i="7"/>
  <c r="F64" i="7"/>
  <c r="F65" i="7"/>
  <c r="G64" i="7"/>
  <c r="G65" i="7"/>
  <c r="H65" i="7"/>
  <c r="I65" i="7"/>
  <c r="J65" i="7"/>
  <c r="K65" i="7"/>
  <c r="L65" i="7"/>
  <c r="M65" i="7"/>
  <c r="N65" i="7"/>
  <c r="O65" i="7"/>
  <c r="P65" i="7"/>
  <c r="Q65" i="7"/>
  <c r="Q64" i="7"/>
  <c r="Q61" i="12"/>
  <c r="P62" i="7"/>
  <c r="P60" i="12"/>
  <c r="P64" i="7"/>
  <c r="P61" i="12"/>
  <c r="Q37" i="4"/>
  <c r="Q38" i="4"/>
  <c r="Q39" i="4"/>
  <c r="Q41" i="4"/>
  <c r="Q74" i="4"/>
  <c r="O40" i="7"/>
  <c r="O45" i="12"/>
  <c r="O42" i="7"/>
  <c r="O46" i="12"/>
  <c r="O44" i="7"/>
  <c r="O47" i="12"/>
  <c r="O46" i="7"/>
  <c r="O48" i="12"/>
  <c r="O48" i="7"/>
  <c r="O49" i="12"/>
  <c r="O51" i="12"/>
  <c r="P63" i="4"/>
  <c r="P16" i="6"/>
  <c r="P15" i="11"/>
  <c r="P19" i="6"/>
  <c r="P16" i="11"/>
  <c r="P17" i="11"/>
  <c r="P19" i="11"/>
  <c r="P369" i="22"/>
  <c r="P21" i="11"/>
  <c r="P23" i="11"/>
  <c r="O56" i="7"/>
  <c r="O58" i="7"/>
  <c r="O12" i="9"/>
  <c r="P10" i="9"/>
  <c r="P14" i="9"/>
  <c r="P25" i="11"/>
  <c r="P58" i="5"/>
  <c r="P26" i="11"/>
  <c r="P62" i="5"/>
  <c r="P27" i="11"/>
  <c r="P28" i="11"/>
  <c r="P22" i="6"/>
  <c r="P30" i="11"/>
  <c r="P32" i="11"/>
  <c r="P34" i="11"/>
  <c r="P68" i="4"/>
  <c r="P70" i="4"/>
  <c r="P72" i="4"/>
  <c r="O339" i="22"/>
  <c r="O282" i="22"/>
  <c r="O147" i="22"/>
  <c r="O350" i="22"/>
  <c r="O340" i="22"/>
  <c r="O283" i="22"/>
  <c r="O149" i="22"/>
  <c r="O352" i="22"/>
  <c r="O358" i="22"/>
  <c r="O290" i="22"/>
  <c r="O155" i="22"/>
  <c r="O359" i="22"/>
  <c r="O291" i="22"/>
  <c r="O156" i="22"/>
  <c r="O343" i="22"/>
  <c r="O360" i="22"/>
  <c r="O364" i="22"/>
  <c r="O366" i="22"/>
  <c r="O368" i="22"/>
  <c r="P376" i="22"/>
  <c r="P44" i="4"/>
  <c r="P53" i="4"/>
  <c r="O13" i="7"/>
  <c r="O14" i="12"/>
  <c r="O15" i="7"/>
  <c r="O15" i="12"/>
  <c r="O17" i="7"/>
  <c r="O16" i="12"/>
  <c r="O19" i="7"/>
  <c r="O17" i="12"/>
  <c r="O21" i="7"/>
  <c r="O18" i="12"/>
  <c r="P54" i="4"/>
  <c r="P49" i="4"/>
  <c r="P55" i="4"/>
  <c r="P10" i="4"/>
  <c r="P12" i="4"/>
  <c r="P17" i="4"/>
  <c r="P25" i="4"/>
  <c r="P26" i="4"/>
  <c r="O11" i="8"/>
  <c r="O25" i="12"/>
  <c r="P29" i="4"/>
  <c r="O29" i="7"/>
  <c r="O28" i="12"/>
  <c r="P30" i="4"/>
  <c r="O33" i="7"/>
  <c r="O30" i="12"/>
  <c r="P31" i="4"/>
  <c r="O31" i="7"/>
  <c r="O29" i="12"/>
  <c r="O27" i="7"/>
  <c r="O24" i="12"/>
  <c r="P32" i="4"/>
  <c r="O14" i="8"/>
  <c r="O58" i="12"/>
  <c r="P33" i="4"/>
  <c r="O56" i="12"/>
  <c r="O57" i="12"/>
  <c r="O60" i="7"/>
  <c r="O59" i="12"/>
  <c r="P34" i="4"/>
  <c r="O66" i="7"/>
  <c r="O62" i="12"/>
  <c r="P35" i="4"/>
  <c r="O54" i="7"/>
  <c r="O54" i="12"/>
  <c r="P36" i="4"/>
  <c r="O62" i="7"/>
  <c r="O60" i="12"/>
  <c r="O64" i="7"/>
  <c r="O61" i="12"/>
  <c r="P37" i="4"/>
  <c r="P38" i="4"/>
  <c r="P39" i="4"/>
  <c r="P41" i="4"/>
  <c r="P74" i="4"/>
  <c r="N40" i="7"/>
  <c r="N45" i="12"/>
  <c r="N42" i="7"/>
  <c r="N46" i="12"/>
  <c r="N44" i="7"/>
  <c r="N47" i="12"/>
  <c r="N46" i="7"/>
  <c r="N48" i="12"/>
  <c r="N48" i="7"/>
  <c r="N49" i="12"/>
  <c r="N51" i="12"/>
  <c r="O63" i="4"/>
  <c r="O16" i="6"/>
  <c r="O15" i="11"/>
  <c r="O19" i="6"/>
  <c r="O16" i="11"/>
  <c r="O17" i="11"/>
  <c r="O19" i="11"/>
  <c r="O369" i="22"/>
  <c r="O21" i="11"/>
  <c r="O23" i="11"/>
  <c r="N56" i="7"/>
  <c r="N58" i="7"/>
  <c r="N12" i="9"/>
  <c r="O10" i="9"/>
  <c r="O14" i="9"/>
  <c r="O25" i="11"/>
  <c r="O58" i="5"/>
  <c r="O26" i="11"/>
  <c r="O62" i="5"/>
  <c r="O27" i="11"/>
  <c r="O28" i="11"/>
  <c r="G23" i="6"/>
  <c r="H23" i="6"/>
  <c r="I23" i="6"/>
  <c r="J23" i="6"/>
  <c r="K23" i="6"/>
  <c r="L23" i="6"/>
  <c r="M23" i="6"/>
  <c r="N23" i="6"/>
  <c r="O23" i="6"/>
  <c r="O22" i="6"/>
  <c r="O30" i="11"/>
  <c r="O32" i="11"/>
  <c r="O34" i="11"/>
  <c r="O68" i="4"/>
  <c r="O70" i="4"/>
  <c r="O72" i="4"/>
  <c r="N339" i="22"/>
  <c r="N282" i="22"/>
  <c r="N147" i="22"/>
  <c r="N350" i="22"/>
  <c r="N340" i="22"/>
  <c r="N283" i="22"/>
  <c r="N149" i="22"/>
  <c r="N352" i="22"/>
  <c r="N358" i="22"/>
  <c r="N290" i="22"/>
  <c r="N155" i="22"/>
  <c r="N359" i="22"/>
  <c r="N291" i="22"/>
  <c r="N156" i="22"/>
  <c r="N343" i="22"/>
  <c r="N360" i="22"/>
  <c r="N364" i="22"/>
  <c r="N366" i="22"/>
  <c r="N368" i="22"/>
  <c r="O376" i="22"/>
  <c r="O44" i="4"/>
  <c r="O53" i="4"/>
  <c r="N13" i="7"/>
  <c r="N14" i="12"/>
  <c r="N15" i="7"/>
  <c r="N15" i="12"/>
  <c r="N17" i="7"/>
  <c r="N16" i="12"/>
  <c r="N19" i="7"/>
  <c r="N17" i="12"/>
  <c r="N21" i="7"/>
  <c r="N18" i="12"/>
  <c r="O54" i="4"/>
  <c r="O49" i="4"/>
  <c r="O55" i="4"/>
  <c r="O10" i="4"/>
  <c r="O12" i="4"/>
  <c r="O17" i="4"/>
  <c r="O25" i="4"/>
  <c r="O26" i="4"/>
  <c r="N11" i="8"/>
  <c r="N25" i="12"/>
  <c r="O29" i="4"/>
  <c r="N29" i="7"/>
  <c r="N28" i="12"/>
  <c r="O30" i="4"/>
  <c r="N33" i="7"/>
  <c r="N30" i="12"/>
  <c r="O31" i="4"/>
  <c r="N31" i="7"/>
  <c r="N29" i="12"/>
  <c r="N27" i="7"/>
  <c r="N24" i="12"/>
  <c r="O32" i="4"/>
  <c r="N14" i="8"/>
  <c r="N58" i="12"/>
  <c r="O33" i="4"/>
  <c r="N56" i="12"/>
  <c r="N57" i="12"/>
  <c r="N60" i="7"/>
  <c r="N59" i="12"/>
  <c r="O34" i="4"/>
  <c r="N66" i="7"/>
  <c r="N62" i="12"/>
  <c r="O35" i="4"/>
  <c r="N54" i="7"/>
  <c r="N54" i="12"/>
  <c r="O36" i="4"/>
  <c r="N62" i="7"/>
  <c r="N60" i="12"/>
  <c r="N64" i="7"/>
  <c r="N61" i="12"/>
  <c r="O37" i="4"/>
  <c r="O38" i="4"/>
  <c r="O39" i="4"/>
  <c r="O41" i="4"/>
  <c r="O74" i="4"/>
  <c r="M40" i="7"/>
  <c r="M45" i="12"/>
  <c r="M42" i="7"/>
  <c r="M46" i="12"/>
  <c r="M44" i="7"/>
  <c r="M47" i="12"/>
  <c r="M46" i="7"/>
  <c r="M48" i="12"/>
  <c r="M48" i="7"/>
  <c r="M49" i="12"/>
  <c r="M51" i="12"/>
  <c r="N63" i="4"/>
  <c r="N16" i="6"/>
  <c r="N15" i="11"/>
  <c r="N19" i="6"/>
  <c r="N16" i="11"/>
  <c r="N17" i="11"/>
  <c r="N19" i="11"/>
  <c r="N369" i="22"/>
  <c r="N21" i="11"/>
  <c r="N23" i="11"/>
  <c r="M56" i="7"/>
  <c r="M58" i="7"/>
  <c r="M12" i="9"/>
  <c r="N10" i="9"/>
  <c r="N14" i="9"/>
  <c r="N25" i="11"/>
  <c r="N58" i="5"/>
  <c r="N26" i="11"/>
  <c r="N62" i="5"/>
  <c r="N27" i="11"/>
  <c r="N28" i="11"/>
  <c r="N22" i="6"/>
  <c r="N30" i="11"/>
  <c r="N32" i="11"/>
  <c r="N34" i="11"/>
  <c r="N68" i="4"/>
  <c r="N70" i="4"/>
  <c r="N72" i="4"/>
  <c r="M339" i="22"/>
  <c r="M282" i="22"/>
  <c r="M147" i="22"/>
  <c r="M350" i="22"/>
  <c r="M340" i="22"/>
  <c r="M283" i="22"/>
  <c r="M149" i="22"/>
  <c r="M352" i="22"/>
  <c r="M358" i="22"/>
  <c r="M290" i="22"/>
  <c r="M155" i="22"/>
  <c r="M359" i="22"/>
  <c r="M291" i="22"/>
  <c r="M156" i="22"/>
  <c r="M343" i="22"/>
  <c r="M360" i="22"/>
  <c r="M364" i="22"/>
  <c r="M366" i="22"/>
  <c r="M368" i="22"/>
  <c r="N376" i="22"/>
  <c r="N44" i="4"/>
  <c r="N53" i="4"/>
  <c r="M13" i="7"/>
  <c r="M14" i="12"/>
  <c r="M15" i="7"/>
  <c r="M15" i="12"/>
  <c r="M17" i="7"/>
  <c r="M16" i="12"/>
  <c r="M19" i="7"/>
  <c r="M17" i="12"/>
  <c r="M21" i="7"/>
  <c r="M18" i="12"/>
  <c r="N54" i="4"/>
  <c r="N49" i="4"/>
  <c r="N55" i="4"/>
  <c r="N10" i="4"/>
  <c r="N12" i="4"/>
  <c r="N17" i="4"/>
  <c r="N25" i="4"/>
  <c r="N26" i="4"/>
  <c r="M11" i="8"/>
  <c r="M25" i="12"/>
  <c r="N29" i="4"/>
  <c r="M29" i="7"/>
  <c r="M28" i="12"/>
  <c r="N30" i="4"/>
  <c r="M33" i="7"/>
  <c r="M30" i="12"/>
  <c r="N31" i="4"/>
  <c r="M31" i="7"/>
  <c r="M29" i="12"/>
  <c r="M27" i="7"/>
  <c r="M24" i="12"/>
  <c r="N32" i="4"/>
  <c r="M14" i="8"/>
  <c r="M58" i="12"/>
  <c r="N33" i="4"/>
  <c r="M56" i="12"/>
  <c r="M57" i="12"/>
  <c r="M60" i="7"/>
  <c r="M59" i="12"/>
  <c r="N34" i="4"/>
  <c r="M66" i="7"/>
  <c r="M62" i="12"/>
  <c r="N35" i="4"/>
  <c r="M54" i="7"/>
  <c r="M54" i="12"/>
  <c r="N36" i="4"/>
  <c r="M62" i="7"/>
  <c r="M60" i="12"/>
  <c r="M64" i="7"/>
  <c r="M61" i="12"/>
  <c r="N37" i="4"/>
  <c r="N38" i="4"/>
  <c r="N39" i="4"/>
  <c r="N41" i="4"/>
  <c r="N74" i="4"/>
  <c r="L40" i="7"/>
  <c r="L45" i="12"/>
  <c r="L42" i="7"/>
  <c r="L46" i="12"/>
  <c r="L44" i="7"/>
  <c r="L47" i="12"/>
  <c r="L46" i="7"/>
  <c r="L48" i="12"/>
  <c r="L48" i="7"/>
  <c r="L49" i="12"/>
  <c r="L51" i="12"/>
  <c r="M63" i="4"/>
  <c r="M16" i="6"/>
  <c r="M15" i="11"/>
  <c r="M19" i="6"/>
  <c r="M16" i="11"/>
  <c r="M17" i="11"/>
  <c r="M19" i="11"/>
  <c r="M369" i="22"/>
  <c r="M21" i="11"/>
  <c r="M23" i="11"/>
  <c r="L56" i="7"/>
  <c r="L58" i="7"/>
  <c r="L12" i="9"/>
  <c r="M10" i="9"/>
  <c r="M14" i="9"/>
  <c r="M25" i="11"/>
  <c r="M58" i="5"/>
  <c r="M26" i="11"/>
  <c r="M62" i="5"/>
  <c r="M27" i="11"/>
  <c r="M28" i="11"/>
  <c r="M22" i="6"/>
  <c r="M30" i="11"/>
  <c r="M32" i="11"/>
  <c r="M34" i="11"/>
  <c r="M68" i="4"/>
  <c r="M70" i="4"/>
  <c r="M72" i="4"/>
  <c r="L339" i="22"/>
  <c r="L282" i="22"/>
  <c r="L147" i="22"/>
  <c r="L350" i="22"/>
  <c r="L340" i="22"/>
  <c r="L283" i="22"/>
  <c r="L149" i="22"/>
  <c r="L352" i="22"/>
  <c r="L358" i="22"/>
  <c r="L290" i="22"/>
  <c r="L155" i="22"/>
  <c r="L359" i="22"/>
  <c r="L291" i="22"/>
  <c r="L156" i="22"/>
  <c r="L343" i="22"/>
  <c r="L360" i="22"/>
  <c r="L364" i="22"/>
  <c r="L366" i="22"/>
  <c r="L368" i="22"/>
  <c r="M376" i="22"/>
  <c r="M44" i="4"/>
  <c r="M53" i="4"/>
  <c r="L13" i="7"/>
  <c r="L14" i="12"/>
  <c r="L15" i="7"/>
  <c r="L15" i="12"/>
  <c r="L17" i="7"/>
  <c r="L16" i="12"/>
  <c r="L19" i="7"/>
  <c r="L17" i="12"/>
  <c r="L21" i="7"/>
  <c r="L18" i="12"/>
  <c r="M54" i="4"/>
  <c r="M49" i="4"/>
  <c r="M55" i="4"/>
  <c r="M10" i="4"/>
  <c r="M12" i="4"/>
  <c r="M17" i="4"/>
  <c r="M25" i="4"/>
  <c r="M26" i="4"/>
  <c r="L11" i="8"/>
  <c r="L25" i="12"/>
  <c r="M29" i="4"/>
  <c r="L29" i="7"/>
  <c r="L28" i="12"/>
  <c r="M30" i="4"/>
  <c r="L33" i="7"/>
  <c r="L30" i="12"/>
  <c r="M31" i="4"/>
  <c r="L31" i="7"/>
  <c r="L29" i="12"/>
  <c r="L27" i="7"/>
  <c r="L24" i="12"/>
  <c r="M32" i="4"/>
  <c r="L14" i="8"/>
  <c r="L58" i="12"/>
  <c r="M33" i="4"/>
  <c r="L56" i="12"/>
  <c r="L57" i="12"/>
  <c r="L60" i="7"/>
  <c r="L59" i="12"/>
  <c r="M34" i="4"/>
  <c r="L66" i="7"/>
  <c r="L62" i="12"/>
  <c r="M35" i="4"/>
  <c r="L54" i="7"/>
  <c r="L54" i="12"/>
  <c r="M36" i="4"/>
  <c r="L62" i="7"/>
  <c r="L60" i="12"/>
  <c r="L64" i="7"/>
  <c r="L61" i="12"/>
  <c r="M37" i="4"/>
  <c r="M38" i="4"/>
  <c r="M39" i="4"/>
  <c r="M41" i="4"/>
  <c r="M74" i="4"/>
  <c r="K40" i="7"/>
  <c r="K45" i="12"/>
  <c r="K42" i="7"/>
  <c r="K46" i="12"/>
  <c r="K44" i="7"/>
  <c r="K47" i="12"/>
  <c r="K46" i="7"/>
  <c r="K48" i="12"/>
  <c r="K48" i="7"/>
  <c r="K49" i="12"/>
  <c r="K51" i="12"/>
  <c r="L63" i="4"/>
  <c r="L16" i="6"/>
  <c r="L15" i="11"/>
  <c r="L19" i="6"/>
  <c r="L16" i="11"/>
  <c r="L17" i="11"/>
  <c r="L19" i="11"/>
  <c r="L369" i="22"/>
  <c r="L21" i="11"/>
  <c r="L23" i="11"/>
  <c r="K56" i="7"/>
  <c r="K58" i="7"/>
  <c r="K12" i="9"/>
  <c r="L10" i="9"/>
  <c r="L14" i="9"/>
  <c r="L25" i="11"/>
  <c r="L58" i="5"/>
  <c r="L26" i="11"/>
  <c r="L62" i="5"/>
  <c r="L27" i="11"/>
  <c r="L28" i="11"/>
  <c r="L22" i="6"/>
  <c r="L30" i="11"/>
  <c r="L32" i="11"/>
  <c r="L34" i="11"/>
  <c r="L68" i="4"/>
  <c r="L70" i="4"/>
  <c r="L72" i="4"/>
  <c r="K339" i="22"/>
  <c r="K282" i="22"/>
  <c r="K147" i="22"/>
  <c r="K350" i="22"/>
  <c r="K340" i="22"/>
  <c r="K283" i="22"/>
  <c r="K149" i="22"/>
  <c r="K352" i="22"/>
  <c r="K358" i="22"/>
  <c r="K290" i="22"/>
  <c r="K155" i="22"/>
  <c r="K359" i="22"/>
  <c r="K291" i="22"/>
  <c r="K156" i="22"/>
  <c r="K343" i="22"/>
  <c r="K360" i="22"/>
  <c r="K364" i="22"/>
  <c r="K366" i="22"/>
  <c r="K368" i="22"/>
  <c r="L376" i="22"/>
  <c r="L44" i="4"/>
  <c r="L53" i="4"/>
  <c r="K13" i="7"/>
  <c r="K14" i="12"/>
  <c r="K15" i="7"/>
  <c r="K15" i="12"/>
  <c r="K17" i="7"/>
  <c r="K16" i="12"/>
  <c r="K19" i="7"/>
  <c r="K17" i="12"/>
  <c r="K21" i="7"/>
  <c r="K18" i="12"/>
  <c r="L54" i="4"/>
  <c r="L49" i="4"/>
  <c r="L55" i="4"/>
  <c r="L10" i="4"/>
  <c r="L12" i="4"/>
  <c r="L17" i="4"/>
  <c r="L25" i="4"/>
  <c r="L26" i="4"/>
  <c r="K11" i="8"/>
  <c r="K25" i="12"/>
  <c r="L29" i="4"/>
  <c r="K29" i="7"/>
  <c r="K28" i="12"/>
  <c r="L30" i="4"/>
  <c r="K33" i="7"/>
  <c r="K30" i="12"/>
  <c r="L31" i="4"/>
  <c r="K31" i="7"/>
  <c r="K29" i="12"/>
  <c r="K27" i="7"/>
  <c r="K24" i="12"/>
  <c r="L32" i="4"/>
  <c r="K14" i="8"/>
  <c r="K58" i="12"/>
  <c r="L33" i="4"/>
  <c r="K56" i="12"/>
  <c r="K57" i="12"/>
  <c r="K60" i="7"/>
  <c r="K59" i="12"/>
  <c r="L34" i="4"/>
  <c r="K66" i="7"/>
  <c r="K62" i="12"/>
  <c r="L35" i="4"/>
  <c r="K54" i="7"/>
  <c r="K54" i="12"/>
  <c r="L36" i="4"/>
  <c r="K62" i="7"/>
  <c r="K60" i="12"/>
  <c r="K64" i="7"/>
  <c r="K61" i="12"/>
  <c r="L37" i="4"/>
  <c r="L38" i="4"/>
  <c r="L39" i="4"/>
  <c r="L41" i="4"/>
  <c r="L74" i="4"/>
  <c r="J40" i="7"/>
  <c r="J45" i="12"/>
  <c r="J42" i="7"/>
  <c r="J46" i="12"/>
  <c r="J44" i="7"/>
  <c r="J47" i="12"/>
  <c r="J46" i="7"/>
  <c r="J48" i="12"/>
  <c r="J48" i="7"/>
  <c r="J49" i="12"/>
  <c r="J51" i="12"/>
  <c r="K63" i="4"/>
  <c r="K16" i="6"/>
  <c r="K15" i="11"/>
  <c r="K19" i="6"/>
  <c r="K16" i="11"/>
  <c r="K17" i="11"/>
  <c r="K19" i="11"/>
  <c r="K369" i="22"/>
  <c r="K21" i="11"/>
  <c r="K23" i="11"/>
  <c r="J56" i="7"/>
  <c r="J58" i="7"/>
  <c r="J12" i="9"/>
  <c r="K10" i="9"/>
  <c r="K14" i="9"/>
  <c r="K25" i="11"/>
  <c r="K58" i="5"/>
  <c r="K26" i="11"/>
  <c r="K62" i="5"/>
  <c r="K27" i="11"/>
  <c r="K28" i="11"/>
  <c r="K22" i="6"/>
  <c r="K30" i="11"/>
  <c r="K32" i="11"/>
  <c r="K34" i="11"/>
  <c r="K68" i="4"/>
  <c r="K70" i="4"/>
  <c r="K72" i="4"/>
  <c r="J339" i="22"/>
  <c r="J282" i="22"/>
  <c r="J147" i="22"/>
  <c r="J350" i="22"/>
  <c r="J340" i="22"/>
  <c r="J283" i="22"/>
  <c r="J149" i="22"/>
  <c r="J352" i="22"/>
  <c r="J358" i="22"/>
  <c r="J290" i="22"/>
  <c r="J155" i="22"/>
  <c r="J359" i="22"/>
  <c r="J291" i="22"/>
  <c r="J156" i="22"/>
  <c r="J343" i="22"/>
  <c r="J360" i="22"/>
  <c r="J364" i="22"/>
  <c r="J366" i="22"/>
  <c r="J368" i="22"/>
  <c r="K376" i="22"/>
  <c r="K44" i="4"/>
  <c r="K53" i="4"/>
  <c r="J13" i="7"/>
  <c r="J14" i="12"/>
  <c r="J15" i="7"/>
  <c r="J15" i="12"/>
  <c r="J17" i="7"/>
  <c r="J16" i="12"/>
  <c r="J19" i="7"/>
  <c r="J17" i="12"/>
  <c r="J21" i="7"/>
  <c r="J18" i="12"/>
  <c r="K54" i="4"/>
  <c r="K49" i="4"/>
  <c r="K55" i="4"/>
  <c r="K10" i="4"/>
  <c r="K12" i="4"/>
  <c r="K17" i="4"/>
  <c r="K25" i="4"/>
  <c r="K26" i="4"/>
  <c r="J11" i="8"/>
  <c r="J25" i="12"/>
  <c r="K29" i="4"/>
  <c r="J29" i="7"/>
  <c r="J28" i="12"/>
  <c r="K30" i="4"/>
  <c r="J33" i="7"/>
  <c r="J30" i="12"/>
  <c r="K31" i="4"/>
  <c r="J31" i="7"/>
  <c r="J29" i="12"/>
  <c r="J27" i="7"/>
  <c r="J24" i="12"/>
  <c r="K32" i="4"/>
  <c r="J14" i="8"/>
  <c r="J58" i="12"/>
  <c r="K33" i="4"/>
  <c r="J56" i="12"/>
  <c r="J57" i="12"/>
  <c r="J60" i="7"/>
  <c r="J59" i="12"/>
  <c r="K34" i="4"/>
  <c r="J66" i="7"/>
  <c r="J62" i="12"/>
  <c r="K35" i="4"/>
  <c r="J54" i="7"/>
  <c r="J54" i="12"/>
  <c r="K36" i="4"/>
  <c r="J62" i="7"/>
  <c r="J60" i="12"/>
  <c r="J64" i="7"/>
  <c r="J61" i="12"/>
  <c r="K37" i="4"/>
  <c r="K38" i="4"/>
  <c r="K39" i="4"/>
  <c r="K41" i="4"/>
  <c r="K74" i="4"/>
  <c r="I40" i="7"/>
  <c r="I45" i="12"/>
  <c r="I42" i="7"/>
  <c r="I46" i="12"/>
  <c r="I44" i="7"/>
  <c r="I47" i="12"/>
  <c r="I46" i="7"/>
  <c r="I48" i="12"/>
  <c r="I48" i="7"/>
  <c r="I49" i="12"/>
  <c r="I51" i="12"/>
  <c r="J63" i="4"/>
  <c r="J16" i="6"/>
  <c r="J15" i="11"/>
  <c r="J19" i="6"/>
  <c r="J16" i="11"/>
  <c r="J17" i="11"/>
  <c r="J19" i="11"/>
  <c r="J369" i="22"/>
  <c r="J21" i="11"/>
  <c r="J23" i="11"/>
  <c r="I56" i="7"/>
  <c r="I58" i="7"/>
  <c r="I12" i="9"/>
  <c r="J10" i="9"/>
  <c r="J14" i="9"/>
  <c r="J25" i="11"/>
  <c r="J58" i="5"/>
  <c r="J26" i="11"/>
  <c r="J62" i="5"/>
  <c r="J27" i="11"/>
  <c r="J28" i="11"/>
  <c r="J22" i="6"/>
  <c r="J30" i="11"/>
  <c r="J32" i="11"/>
  <c r="J34" i="11"/>
  <c r="J68" i="4"/>
  <c r="J70" i="4"/>
  <c r="J72" i="4"/>
  <c r="I340" i="22"/>
  <c r="I283" i="22"/>
  <c r="I149" i="22"/>
  <c r="I352" i="22"/>
  <c r="I358" i="22"/>
  <c r="I291" i="22"/>
  <c r="I156" i="22"/>
  <c r="I343" i="22"/>
  <c r="I360" i="22"/>
  <c r="I364" i="22"/>
  <c r="I366" i="22"/>
  <c r="I368" i="22"/>
  <c r="J376" i="22"/>
  <c r="J44" i="4"/>
  <c r="J53" i="4"/>
  <c r="I13" i="7"/>
  <c r="I14" i="12"/>
  <c r="I15" i="7"/>
  <c r="I15" i="12"/>
  <c r="I17" i="7"/>
  <c r="I16" i="12"/>
  <c r="I19" i="7"/>
  <c r="I17" i="12"/>
  <c r="I21" i="7"/>
  <c r="I18" i="12"/>
  <c r="J54" i="4"/>
  <c r="J49" i="4"/>
  <c r="J55" i="4"/>
  <c r="J10" i="4"/>
  <c r="J12" i="4"/>
  <c r="J17" i="4"/>
  <c r="J25" i="4"/>
  <c r="J26" i="4"/>
  <c r="I11" i="8"/>
  <c r="I25" i="12"/>
  <c r="J29" i="4"/>
  <c r="I29" i="7"/>
  <c r="I28" i="12"/>
  <c r="J30" i="4"/>
  <c r="I33" i="7"/>
  <c r="I30" i="12"/>
  <c r="J31" i="4"/>
  <c r="I31" i="7"/>
  <c r="I29" i="12"/>
  <c r="I27" i="7"/>
  <c r="I24" i="12"/>
  <c r="J32" i="4"/>
  <c r="I14" i="8"/>
  <c r="I58" i="12"/>
  <c r="J33" i="4"/>
  <c r="I56" i="12"/>
  <c r="I57" i="12"/>
  <c r="I60" i="7"/>
  <c r="I59" i="12"/>
  <c r="J34" i="4"/>
  <c r="I66" i="7"/>
  <c r="I62" i="12"/>
  <c r="J35" i="4"/>
  <c r="I54" i="7"/>
  <c r="I54" i="12"/>
  <c r="J36" i="4"/>
  <c r="I62" i="7"/>
  <c r="I60" i="12"/>
  <c r="I64" i="7"/>
  <c r="I61" i="12"/>
  <c r="J37" i="4"/>
  <c r="J38" i="4"/>
  <c r="J39" i="4"/>
  <c r="J41" i="4"/>
  <c r="J74" i="4"/>
  <c r="H40" i="7"/>
  <c r="H45" i="12"/>
  <c r="H42" i="7"/>
  <c r="H46" i="12"/>
  <c r="H44" i="7"/>
  <c r="H47" i="12"/>
  <c r="H46" i="7"/>
  <c r="H48" i="12"/>
  <c r="H48" i="7"/>
  <c r="H49" i="12"/>
  <c r="H51" i="12"/>
  <c r="I63" i="4"/>
  <c r="I16" i="6"/>
  <c r="I15" i="11"/>
  <c r="I19" i="6"/>
  <c r="I16" i="11"/>
  <c r="I17" i="11"/>
  <c r="I19" i="11"/>
  <c r="I369" i="22"/>
  <c r="I21" i="11"/>
  <c r="I23" i="11"/>
  <c r="H56" i="7"/>
  <c r="H58" i="7"/>
  <c r="H12" i="9"/>
  <c r="I10" i="9"/>
  <c r="I14" i="9"/>
  <c r="I25" i="11"/>
  <c r="I58" i="5"/>
  <c r="I26" i="11"/>
  <c r="I62" i="5"/>
  <c r="I27" i="11"/>
  <c r="I28" i="11"/>
  <c r="I22" i="6"/>
  <c r="I30" i="11"/>
  <c r="I32" i="11"/>
  <c r="I34" i="11"/>
  <c r="I68" i="4"/>
  <c r="I70" i="4"/>
  <c r="I72" i="4"/>
  <c r="H340" i="22"/>
  <c r="H283" i="22"/>
  <c r="H149" i="22"/>
  <c r="H352" i="22"/>
  <c r="H358" i="22"/>
  <c r="H291" i="22"/>
  <c r="H156" i="22"/>
  <c r="H343" i="22"/>
  <c r="H360" i="22"/>
  <c r="H364" i="22"/>
  <c r="H366" i="22"/>
  <c r="H368" i="22"/>
  <c r="I376" i="22"/>
  <c r="I44" i="4"/>
  <c r="I53" i="4"/>
  <c r="H13" i="7"/>
  <c r="H14" i="12"/>
  <c r="H15" i="7"/>
  <c r="H15" i="12"/>
  <c r="H17" i="7"/>
  <c r="H16" i="12"/>
  <c r="H19" i="7"/>
  <c r="H17" i="12"/>
  <c r="H21" i="7"/>
  <c r="H18" i="12"/>
  <c r="I54" i="4"/>
  <c r="I49" i="4"/>
  <c r="I55" i="4"/>
  <c r="I10" i="4"/>
  <c r="I12" i="4"/>
  <c r="I17" i="4"/>
  <c r="I25" i="4"/>
  <c r="I26" i="4"/>
  <c r="H11" i="8"/>
  <c r="H25" i="12"/>
  <c r="I29" i="4"/>
  <c r="H29" i="7"/>
  <c r="H28" i="12"/>
  <c r="I30" i="4"/>
  <c r="H33" i="7"/>
  <c r="H30" i="12"/>
  <c r="I31" i="4"/>
  <c r="H31" i="7"/>
  <c r="H29" i="12"/>
  <c r="H27" i="7"/>
  <c r="H24" i="12"/>
  <c r="I32" i="4"/>
  <c r="H14" i="8"/>
  <c r="H58" i="12"/>
  <c r="I33" i="4"/>
  <c r="H56" i="12"/>
  <c r="H57" i="12"/>
  <c r="H60" i="7"/>
  <c r="H59" i="12"/>
  <c r="I34" i="4"/>
  <c r="H66" i="7"/>
  <c r="H62" i="12"/>
  <c r="I35" i="4"/>
  <c r="H54" i="7"/>
  <c r="H54" i="12"/>
  <c r="I36" i="4"/>
  <c r="H62" i="7"/>
  <c r="H60" i="12"/>
  <c r="H64" i="7"/>
  <c r="H61" i="12"/>
  <c r="I37" i="4"/>
  <c r="I38" i="4"/>
  <c r="I39" i="4"/>
  <c r="I41" i="4"/>
  <c r="I74" i="4"/>
  <c r="G45" i="12"/>
  <c r="G46" i="12"/>
  <c r="G47" i="12"/>
  <c r="G48" i="12"/>
  <c r="G49" i="12"/>
  <c r="G51" i="12"/>
  <c r="H63" i="4"/>
  <c r="H16" i="6"/>
  <c r="H15" i="11"/>
  <c r="H19" i="6"/>
  <c r="H16" i="11"/>
  <c r="H17" i="11"/>
  <c r="H19" i="11"/>
  <c r="H369" i="22"/>
  <c r="H21" i="11"/>
  <c r="H23" i="11"/>
  <c r="H10" i="9"/>
  <c r="H14" i="9"/>
  <c r="H25" i="11"/>
  <c r="H58" i="5"/>
  <c r="H26" i="11"/>
  <c r="H62" i="5"/>
  <c r="H27" i="11"/>
  <c r="H28" i="11"/>
  <c r="H22" i="6"/>
  <c r="H30" i="11"/>
  <c r="H32" i="11"/>
  <c r="H34" i="11"/>
  <c r="H68" i="4"/>
  <c r="H70" i="4"/>
  <c r="H72" i="4"/>
  <c r="H376" i="22"/>
  <c r="G374" i="22"/>
  <c r="H44" i="4"/>
  <c r="H53" i="4"/>
  <c r="G14" i="12"/>
  <c r="G15" i="12"/>
  <c r="G16" i="12"/>
  <c r="G17" i="12"/>
  <c r="G18" i="12"/>
  <c r="H54" i="4"/>
  <c r="G27" i="12"/>
  <c r="H49" i="4"/>
  <c r="H55" i="4"/>
  <c r="H10" i="4"/>
  <c r="H12" i="4"/>
  <c r="H17" i="4"/>
  <c r="H25" i="4"/>
  <c r="H26" i="4"/>
  <c r="G25" i="12"/>
  <c r="H29" i="4"/>
  <c r="G28" i="12"/>
  <c r="H30" i="4"/>
  <c r="G30" i="12"/>
  <c r="H31" i="4"/>
  <c r="G29" i="12"/>
  <c r="G24" i="12"/>
  <c r="H32" i="4"/>
  <c r="G58" i="12"/>
  <c r="H33" i="4"/>
  <c r="G56" i="12"/>
  <c r="G57" i="12"/>
  <c r="G59" i="12"/>
  <c r="H34" i="4"/>
  <c r="G62" i="12"/>
  <c r="H35" i="4"/>
  <c r="G54" i="12"/>
  <c r="H36" i="4"/>
  <c r="G60" i="12"/>
  <c r="G61" i="12"/>
  <c r="H37" i="4"/>
  <c r="H38" i="4"/>
  <c r="H39" i="4"/>
  <c r="H41" i="4"/>
  <c r="H74" i="4"/>
  <c r="H79" i="4"/>
  <c r="I76" i="4"/>
  <c r="I79" i="4"/>
  <c r="J76" i="4"/>
  <c r="J79" i="4"/>
  <c r="K76" i="4"/>
  <c r="K79" i="4"/>
  <c r="L76" i="4"/>
  <c r="L79" i="4"/>
  <c r="M76" i="4"/>
  <c r="M79" i="4"/>
  <c r="N76" i="4"/>
  <c r="N79" i="4"/>
  <c r="O76" i="4"/>
  <c r="O79" i="4"/>
  <c r="P76" i="4"/>
  <c r="P79" i="4"/>
  <c r="Q76" i="4"/>
  <c r="Q79" i="4"/>
  <c r="Q26" i="12"/>
  <c r="Q64" i="12"/>
  <c r="Q39" i="20"/>
  <c r="P26" i="12"/>
  <c r="P64" i="12"/>
  <c r="P39" i="20"/>
  <c r="O26" i="12"/>
  <c r="O64" i="12"/>
  <c r="O39" i="20"/>
  <c r="N26" i="12"/>
  <c r="N64" i="12"/>
  <c r="N39" i="20"/>
  <c r="M26" i="12"/>
  <c r="M64" i="12"/>
  <c r="M39" i="20"/>
  <c r="L26" i="12"/>
  <c r="L64" i="12"/>
  <c r="L39" i="20"/>
  <c r="K26" i="12"/>
  <c r="K64" i="12"/>
  <c r="K39" i="20"/>
  <c r="J26" i="12"/>
  <c r="J64" i="12"/>
  <c r="J39" i="20"/>
  <c r="I26" i="12"/>
  <c r="I64" i="12"/>
  <c r="I39" i="20"/>
  <c r="H26" i="12"/>
  <c r="H64" i="12"/>
  <c r="H39" i="20"/>
  <c r="G64" i="12"/>
  <c r="G26" i="12"/>
  <c r="G39" i="20"/>
  <c r="F26" i="12"/>
  <c r="F27" i="12"/>
  <c r="F58" i="12"/>
  <c r="F54" i="12"/>
  <c r="F56" i="12"/>
  <c r="F57" i="12"/>
  <c r="F59" i="12"/>
  <c r="F60" i="12"/>
  <c r="F61" i="12"/>
  <c r="F62" i="12"/>
  <c r="F64" i="12"/>
  <c r="F29" i="12"/>
  <c r="F30" i="12"/>
  <c r="F25" i="12"/>
  <c r="F27" i="7"/>
  <c r="F24" i="12"/>
  <c r="F39" i="20"/>
  <c r="E27" i="12"/>
  <c r="E58" i="12"/>
  <c r="E54" i="12"/>
  <c r="E56" i="12"/>
  <c r="E57" i="12"/>
  <c r="E59" i="12"/>
  <c r="E60" i="12"/>
  <c r="E61" i="12"/>
  <c r="E62" i="12"/>
  <c r="E64" i="12"/>
  <c r="E29" i="12"/>
  <c r="E30" i="12"/>
  <c r="E25" i="12"/>
  <c r="E27" i="7"/>
  <c r="E24" i="12"/>
  <c r="E39" i="20"/>
  <c r="D58" i="12"/>
  <c r="D54" i="12"/>
  <c r="D56" i="12"/>
  <c r="D57" i="12"/>
  <c r="D59" i="12"/>
  <c r="D60" i="12"/>
  <c r="D61" i="12"/>
  <c r="D62" i="12"/>
  <c r="D64" i="12"/>
  <c r="D29" i="12"/>
  <c r="D30" i="12"/>
  <c r="D25" i="12"/>
  <c r="D26" i="12"/>
  <c r="D24" i="12"/>
  <c r="D27" i="12"/>
  <c r="D39" i="20"/>
  <c r="C58" i="12"/>
  <c r="C54" i="12"/>
  <c r="C56" i="12"/>
  <c r="C57" i="12"/>
  <c r="C59" i="12"/>
  <c r="C60" i="12"/>
  <c r="C61" i="12"/>
  <c r="C62" i="12"/>
  <c r="C64" i="12"/>
  <c r="C29" i="12"/>
  <c r="C30" i="12"/>
  <c r="C25" i="12"/>
  <c r="C30" i="3"/>
  <c r="C26" i="12"/>
  <c r="C24" i="12"/>
  <c r="C27" i="12"/>
  <c r="C39" i="20"/>
  <c r="C36" i="18"/>
  <c r="C55" i="5"/>
  <c r="C45" i="5"/>
  <c r="C24" i="5"/>
  <c r="G81" i="20"/>
  <c r="F81" i="20"/>
  <c r="E81" i="20"/>
  <c r="F28" i="12"/>
  <c r="F32" i="12"/>
  <c r="F372" i="22"/>
  <c r="F374" i="22"/>
  <c r="F11" i="12"/>
  <c r="F12" i="12"/>
  <c r="F14" i="12"/>
  <c r="F15" i="12"/>
  <c r="F16" i="12"/>
  <c r="F17" i="12"/>
  <c r="F18" i="12"/>
  <c r="F20" i="12"/>
  <c r="F34" i="12"/>
  <c r="G32" i="12"/>
  <c r="G11" i="12"/>
  <c r="G12" i="12"/>
  <c r="G20" i="12"/>
  <c r="G34" i="12"/>
  <c r="G84" i="20"/>
  <c r="E28" i="12"/>
  <c r="E32" i="12"/>
  <c r="E372" i="22"/>
  <c r="E374" i="22"/>
  <c r="E11" i="12"/>
  <c r="E12" i="12"/>
  <c r="E14" i="12"/>
  <c r="E15" i="12"/>
  <c r="E16" i="12"/>
  <c r="E17" i="12"/>
  <c r="E18" i="12"/>
  <c r="E20" i="12"/>
  <c r="E34" i="12"/>
  <c r="F84" i="20"/>
  <c r="D28" i="12"/>
  <c r="D32" i="12"/>
  <c r="D372" i="22"/>
  <c r="D374" i="22"/>
  <c r="D11" i="12"/>
  <c r="D12" i="12"/>
  <c r="D14" i="12"/>
  <c r="D15" i="12"/>
  <c r="D16" i="12"/>
  <c r="D17" i="12"/>
  <c r="D18" i="12"/>
  <c r="D20" i="12"/>
  <c r="D34" i="12"/>
  <c r="E84" i="20"/>
  <c r="G63" i="20"/>
  <c r="F63" i="20"/>
  <c r="E63" i="20"/>
  <c r="H43" i="5"/>
  <c r="D81" i="20"/>
  <c r="E38" i="12"/>
  <c r="E39" i="12"/>
  <c r="E40" i="12"/>
  <c r="F38" i="12"/>
  <c r="F39" i="12"/>
  <c r="F40" i="12"/>
  <c r="F27" i="20"/>
  <c r="D38" i="12"/>
  <c r="D39" i="12"/>
  <c r="D40" i="12"/>
  <c r="E27" i="20"/>
  <c r="C38" i="12"/>
  <c r="C39" i="12"/>
  <c r="C40" i="12"/>
  <c r="D27" i="20"/>
  <c r="F69" i="20"/>
  <c r="E69" i="20"/>
  <c r="G72" i="20"/>
  <c r="F72" i="20"/>
  <c r="E72" i="20"/>
  <c r="D72" i="20"/>
  <c r="D69" i="20"/>
  <c r="F24" i="20"/>
  <c r="E24" i="20"/>
  <c r="D24" i="20"/>
  <c r="Q21" i="20"/>
  <c r="P21" i="20"/>
  <c r="G21" i="20"/>
  <c r="F23" i="6"/>
  <c r="F21" i="20"/>
  <c r="E23" i="6"/>
  <c r="E21" i="20"/>
  <c r="D23" i="6"/>
  <c r="D21" i="20"/>
  <c r="F18" i="20"/>
  <c r="E18" i="20"/>
  <c r="D18" i="20"/>
  <c r="F15" i="20"/>
  <c r="E15" i="20"/>
  <c r="D15" i="20"/>
  <c r="F12" i="20"/>
  <c r="E12" i="20"/>
  <c r="D12" i="20"/>
  <c r="C15" i="11"/>
  <c r="C16" i="11"/>
  <c r="C17" i="11"/>
  <c r="C19" i="11"/>
  <c r="C23" i="11"/>
  <c r="C25" i="11"/>
  <c r="C26" i="11"/>
  <c r="C27" i="11"/>
  <c r="C28" i="11"/>
  <c r="C22" i="6"/>
  <c r="C30" i="11"/>
  <c r="C32" i="11"/>
  <c r="C24" i="20"/>
  <c r="C18" i="20"/>
  <c r="C12" i="20"/>
  <c r="C15" i="20"/>
  <c r="H22" i="5"/>
  <c r="I53" i="5"/>
  <c r="J53" i="5"/>
  <c r="K53" i="5"/>
  <c r="L53" i="5"/>
  <c r="M53" i="5"/>
  <c r="N53" i="5"/>
  <c r="O53" i="5"/>
  <c r="P53" i="5"/>
  <c r="Q53" i="5"/>
  <c r="H52" i="5"/>
  <c r="I52" i="5"/>
  <c r="J52" i="5"/>
  <c r="K52" i="5"/>
  <c r="L52" i="5"/>
  <c r="M52" i="5"/>
  <c r="N52" i="5"/>
  <c r="O52" i="5"/>
  <c r="P52" i="5"/>
  <c r="Q52" i="5"/>
  <c r="H54" i="5"/>
  <c r="I54" i="5"/>
  <c r="J54" i="5"/>
  <c r="K54" i="5"/>
  <c r="L54" i="5"/>
  <c r="M54" i="5"/>
  <c r="N54" i="5"/>
  <c r="O54" i="5"/>
  <c r="P54" i="5"/>
  <c r="Q54" i="5"/>
  <c r="G49" i="5"/>
  <c r="F49" i="5"/>
  <c r="E49" i="5"/>
  <c r="D49" i="5"/>
  <c r="G39" i="5"/>
  <c r="F39" i="5"/>
  <c r="E39" i="5"/>
  <c r="D39" i="5"/>
  <c r="G29" i="5"/>
  <c r="F29" i="5"/>
  <c r="E29" i="5"/>
  <c r="D29" i="5"/>
  <c r="H33" i="5"/>
  <c r="G18" i="5"/>
  <c r="F18" i="5"/>
  <c r="E18" i="5"/>
  <c r="D18" i="5"/>
  <c r="I43" i="5"/>
  <c r="I33" i="5"/>
  <c r="J33" i="5"/>
  <c r="K33" i="5"/>
  <c r="L33" i="5"/>
  <c r="M33" i="5"/>
  <c r="N33" i="5"/>
  <c r="O33" i="5"/>
  <c r="P33" i="5"/>
  <c r="Q33" i="5"/>
  <c r="H32" i="5"/>
  <c r="I32" i="5"/>
  <c r="J32" i="5"/>
  <c r="K32" i="5"/>
  <c r="L32" i="5"/>
  <c r="M32" i="5"/>
  <c r="N32" i="5"/>
  <c r="O32" i="5"/>
  <c r="P32" i="5"/>
  <c r="Q32" i="5"/>
  <c r="H34" i="5"/>
  <c r="I34" i="5"/>
  <c r="J34" i="5"/>
  <c r="K34" i="5"/>
  <c r="L34" i="5"/>
  <c r="M34" i="5"/>
  <c r="N34" i="5"/>
  <c r="O34" i="5"/>
  <c r="P34" i="5"/>
  <c r="Q34" i="5"/>
  <c r="J43" i="5"/>
  <c r="H44" i="5"/>
  <c r="I44" i="5"/>
  <c r="J44" i="5"/>
  <c r="K44" i="5"/>
  <c r="L44" i="5"/>
  <c r="M44" i="5"/>
  <c r="N44" i="5"/>
  <c r="O44" i="5"/>
  <c r="P44" i="5"/>
  <c r="Q44" i="5"/>
  <c r="H42" i="5"/>
  <c r="I42" i="5"/>
  <c r="J42" i="5"/>
  <c r="K42" i="5"/>
  <c r="L42" i="5"/>
  <c r="M42" i="5"/>
  <c r="N42" i="5"/>
  <c r="O42" i="5"/>
  <c r="P42" i="5"/>
  <c r="Q42" i="5"/>
  <c r="K43" i="5"/>
  <c r="F376" i="22"/>
  <c r="F17" i="18"/>
  <c r="H122" i="22"/>
  <c r="C374" i="22"/>
  <c r="C372" i="22"/>
  <c r="D376" i="22"/>
  <c r="D17" i="18"/>
  <c r="Q344" i="22"/>
  <c r="P344" i="22"/>
  <c r="O344" i="22"/>
  <c r="N344" i="22"/>
  <c r="M344" i="22"/>
  <c r="L344" i="22"/>
  <c r="K344" i="22"/>
  <c r="J344" i="22"/>
  <c r="I344" i="22"/>
  <c r="Q342" i="22"/>
  <c r="P342" i="22"/>
  <c r="O342" i="22"/>
  <c r="N342" i="22"/>
  <c r="M342" i="22"/>
  <c r="L342" i="22"/>
  <c r="K342" i="22"/>
  <c r="J342" i="22"/>
  <c r="I342" i="22"/>
  <c r="Q341" i="22"/>
  <c r="P341" i="22"/>
  <c r="O341" i="22"/>
  <c r="N341" i="22"/>
  <c r="M341" i="22"/>
  <c r="L341" i="22"/>
  <c r="K341" i="22"/>
  <c r="J341" i="22"/>
  <c r="I341" i="22"/>
  <c r="H344" i="22"/>
  <c r="H342" i="22"/>
  <c r="H341" i="22"/>
  <c r="H339" i="22"/>
  <c r="H334" i="22"/>
  <c r="H325" i="22"/>
  <c r="H316" i="22"/>
  <c r="H307" i="22"/>
  <c r="H336" i="22"/>
  <c r="I330" i="22"/>
  <c r="H330" i="22"/>
  <c r="H327" i="22"/>
  <c r="I321" i="22"/>
  <c r="H321" i="22"/>
  <c r="H312" i="22"/>
  <c r="H309" i="22"/>
  <c r="I303" i="22"/>
  <c r="H303" i="22"/>
  <c r="H272" i="22"/>
  <c r="H253" i="22"/>
  <c r="H234" i="22"/>
  <c r="H215" i="22"/>
  <c r="H196" i="22"/>
  <c r="H177" i="22"/>
  <c r="Q294" i="22"/>
  <c r="Q362" i="22"/>
  <c r="P294" i="22"/>
  <c r="P362" i="22"/>
  <c r="O294" i="22"/>
  <c r="O362" i="22"/>
  <c r="N294" i="22"/>
  <c r="N362" i="22"/>
  <c r="M294" i="22"/>
  <c r="M362" i="22"/>
  <c r="L294" i="22"/>
  <c r="L362" i="22"/>
  <c r="K294" i="22"/>
  <c r="K362" i="22"/>
  <c r="J294" i="22"/>
  <c r="J362" i="22"/>
  <c r="I294" i="22"/>
  <c r="I362" i="22"/>
  <c r="H294" i="22"/>
  <c r="H362" i="22"/>
  <c r="Q293" i="22"/>
  <c r="P293" i="22"/>
  <c r="O293" i="22"/>
  <c r="N293" i="22"/>
  <c r="M293" i="22"/>
  <c r="L293" i="22"/>
  <c r="K293" i="22"/>
  <c r="J293" i="22"/>
  <c r="I293" i="22"/>
  <c r="H293" i="22"/>
  <c r="Q292" i="22"/>
  <c r="P292" i="22"/>
  <c r="O292" i="22"/>
  <c r="N292" i="22"/>
  <c r="M292" i="22"/>
  <c r="L292" i="22"/>
  <c r="K292" i="22"/>
  <c r="J292" i="22"/>
  <c r="I292" i="22"/>
  <c r="H292" i="22"/>
  <c r="H290" i="22"/>
  <c r="Q288" i="22"/>
  <c r="P288" i="22"/>
  <c r="O288" i="22"/>
  <c r="N288" i="22"/>
  <c r="M288" i="22"/>
  <c r="L288" i="22"/>
  <c r="K288" i="22"/>
  <c r="J288" i="22"/>
  <c r="I288" i="22"/>
  <c r="H288" i="22"/>
  <c r="Q287" i="22"/>
  <c r="P287" i="22"/>
  <c r="O287" i="22"/>
  <c r="N287" i="22"/>
  <c r="M287" i="22"/>
  <c r="L287" i="22"/>
  <c r="K287" i="22"/>
  <c r="J287" i="22"/>
  <c r="I287" i="22"/>
  <c r="H287" i="22"/>
  <c r="Q286" i="22"/>
  <c r="Q356" i="22"/>
  <c r="P286" i="22"/>
  <c r="P356" i="22"/>
  <c r="O286" i="22"/>
  <c r="O356" i="22"/>
  <c r="N286" i="22"/>
  <c r="N356" i="22"/>
  <c r="M286" i="22"/>
  <c r="M356" i="22"/>
  <c r="L286" i="22"/>
  <c r="L356" i="22"/>
  <c r="K286" i="22"/>
  <c r="K356" i="22"/>
  <c r="J286" i="22"/>
  <c r="J356" i="22"/>
  <c r="I286" i="22"/>
  <c r="I356" i="22"/>
  <c r="H286" i="22"/>
  <c r="H356" i="22"/>
  <c r="Q285" i="22"/>
  <c r="P285" i="22"/>
  <c r="O285" i="22"/>
  <c r="N285" i="22"/>
  <c r="M285" i="22"/>
  <c r="L285" i="22"/>
  <c r="K285" i="22"/>
  <c r="J285" i="22"/>
  <c r="I285" i="22"/>
  <c r="H285" i="22"/>
  <c r="Q284" i="22"/>
  <c r="P284" i="22"/>
  <c r="O284" i="22"/>
  <c r="N284" i="22"/>
  <c r="M284" i="22"/>
  <c r="L284" i="22"/>
  <c r="K284" i="22"/>
  <c r="J284" i="22"/>
  <c r="I284" i="22"/>
  <c r="H284" i="22"/>
  <c r="H282" i="22"/>
  <c r="H271" i="22"/>
  <c r="H276" i="22"/>
  <c r="I271" i="22"/>
  <c r="H263" i="22"/>
  <c r="H270" i="22"/>
  <c r="I263" i="22"/>
  <c r="H252" i="22"/>
  <c r="H257" i="22"/>
  <c r="I252" i="22"/>
  <c r="H244" i="22"/>
  <c r="H251" i="22"/>
  <c r="I244" i="22"/>
  <c r="H233" i="22"/>
  <c r="H238" i="22"/>
  <c r="I233" i="22"/>
  <c r="H232" i="22"/>
  <c r="I225" i="22"/>
  <c r="H225" i="22"/>
  <c r="H214" i="22"/>
  <c r="H206" i="22"/>
  <c r="H213" i="22"/>
  <c r="I206" i="22"/>
  <c r="H195" i="22"/>
  <c r="H200" i="22"/>
  <c r="I195" i="22"/>
  <c r="H187" i="22"/>
  <c r="H194" i="22"/>
  <c r="I187" i="22"/>
  <c r="H176" i="22"/>
  <c r="H181" i="22"/>
  <c r="I176" i="22"/>
  <c r="H168" i="22"/>
  <c r="H175" i="22"/>
  <c r="I168" i="22"/>
  <c r="Q159" i="22"/>
  <c r="Q363" i="22"/>
  <c r="P159" i="22"/>
  <c r="O159" i="22"/>
  <c r="N159" i="22"/>
  <c r="N363" i="22"/>
  <c r="M159" i="22"/>
  <c r="M363" i="22"/>
  <c r="L159" i="22"/>
  <c r="K159" i="22"/>
  <c r="J159" i="22"/>
  <c r="J363" i="22"/>
  <c r="I159" i="22"/>
  <c r="I363" i="22"/>
  <c r="H159" i="22"/>
  <c r="Q157" i="22"/>
  <c r="P157" i="22"/>
  <c r="P361" i="22"/>
  <c r="O157" i="22"/>
  <c r="O361" i="22"/>
  <c r="N157" i="22"/>
  <c r="M157" i="22"/>
  <c r="L157" i="22"/>
  <c r="L361" i="22"/>
  <c r="K157" i="22"/>
  <c r="K361" i="22"/>
  <c r="J157" i="22"/>
  <c r="I157" i="22"/>
  <c r="H157" i="22"/>
  <c r="H361" i="22"/>
  <c r="H155" i="22"/>
  <c r="H359" i="22"/>
  <c r="Q153" i="22"/>
  <c r="P153" i="22"/>
  <c r="O153" i="22"/>
  <c r="N153" i="22"/>
  <c r="N357" i="22"/>
  <c r="M153" i="22"/>
  <c r="L153" i="22"/>
  <c r="K153" i="22"/>
  <c r="J153" i="22"/>
  <c r="J357" i="22"/>
  <c r="I153" i="22"/>
  <c r="H153" i="22"/>
  <c r="Q152" i="22"/>
  <c r="P152" i="22"/>
  <c r="P355" i="22"/>
  <c r="O152" i="22"/>
  <c r="N152" i="22"/>
  <c r="M152" i="22"/>
  <c r="L152" i="22"/>
  <c r="L355" i="22"/>
  <c r="K152" i="22"/>
  <c r="J152" i="22"/>
  <c r="I152" i="22"/>
  <c r="H152" i="22"/>
  <c r="H355" i="22"/>
  <c r="Q151" i="22"/>
  <c r="P151" i="22"/>
  <c r="O151" i="22"/>
  <c r="N151" i="22"/>
  <c r="M151" i="22"/>
  <c r="L151" i="22"/>
  <c r="K151" i="22"/>
  <c r="J151" i="22"/>
  <c r="I151" i="22"/>
  <c r="H151" i="22"/>
  <c r="Q150" i="22"/>
  <c r="Q353" i="22"/>
  <c r="P150" i="22"/>
  <c r="P353" i="22"/>
  <c r="O150" i="22"/>
  <c r="O353" i="22"/>
  <c r="N150" i="22"/>
  <c r="N353" i="22"/>
  <c r="M150" i="22"/>
  <c r="M353" i="22"/>
  <c r="L150" i="22"/>
  <c r="L353" i="22"/>
  <c r="K150" i="22"/>
  <c r="K353" i="22"/>
  <c r="J150" i="22"/>
  <c r="J353" i="22"/>
  <c r="I150" i="22"/>
  <c r="I353" i="22"/>
  <c r="H150" i="22"/>
  <c r="H353" i="22"/>
  <c r="Q148" i="22"/>
  <c r="P148" i="22"/>
  <c r="O148" i="22"/>
  <c r="N148" i="22"/>
  <c r="M148" i="22"/>
  <c r="L148" i="22"/>
  <c r="K148" i="22"/>
  <c r="J148" i="22"/>
  <c r="I148" i="22"/>
  <c r="H148" i="22"/>
  <c r="H137" i="22"/>
  <c r="H118" i="22"/>
  <c r="H99" i="22"/>
  <c r="H14" i="22"/>
  <c r="H136" i="22"/>
  <c r="H141" i="22"/>
  <c r="I136" i="22"/>
  <c r="H124" i="22"/>
  <c r="I117" i="22"/>
  <c r="H117" i="22"/>
  <c r="H116" i="22"/>
  <c r="I109" i="22"/>
  <c r="H109" i="22"/>
  <c r="H98" i="22"/>
  <c r="H90" i="22"/>
  <c r="H97" i="22"/>
  <c r="I90" i="22"/>
  <c r="H84" i="22"/>
  <c r="I79" i="22"/>
  <c r="H79" i="22"/>
  <c r="H78" i="22"/>
  <c r="H86" i="22"/>
  <c r="H71" i="22"/>
  <c r="H80" i="22"/>
  <c r="H61" i="22"/>
  <c r="H42" i="22"/>
  <c r="H65" i="22"/>
  <c r="I60" i="22"/>
  <c r="H60" i="22"/>
  <c r="H59" i="22"/>
  <c r="I52" i="22"/>
  <c r="H331" i="22"/>
  <c r="H322" i="22"/>
  <c r="H313" i="22"/>
  <c r="H304" i="22"/>
  <c r="H52" i="22"/>
  <c r="H41" i="22"/>
  <c r="H46" i="22"/>
  <c r="F183" i="22"/>
  <c r="E183" i="22"/>
  <c r="D183" i="22"/>
  <c r="C183" i="22"/>
  <c r="F181" i="22"/>
  <c r="E181" i="22"/>
  <c r="D181" i="22"/>
  <c r="C181" i="22"/>
  <c r="F175" i="22"/>
  <c r="E175" i="22"/>
  <c r="D175" i="22"/>
  <c r="C175" i="22"/>
  <c r="D116" i="22"/>
  <c r="C116" i="22"/>
  <c r="D124" i="22"/>
  <c r="C124" i="22"/>
  <c r="Q27" i="22"/>
  <c r="P27" i="22"/>
  <c r="O27" i="22"/>
  <c r="N27" i="22"/>
  <c r="M27" i="22"/>
  <c r="L27" i="22"/>
  <c r="K27" i="22"/>
  <c r="J27" i="22"/>
  <c r="I27" i="22"/>
  <c r="H27" i="22"/>
  <c r="H21" i="22"/>
  <c r="I14" i="22"/>
  <c r="C21" i="22"/>
  <c r="D14" i="22"/>
  <c r="D21" i="22"/>
  <c r="E14" i="22"/>
  <c r="H264" i="22"/>
  <c r="H245" i="22"/>
  <c r="H226" i="22"/>
  <c r="H207" i="22"/>
  <c r="H188" i="22"/>
  <c r="H169" i="22"/>
  <c r="H130" i="22"/>
  <c r="H111" i="22"/>
  <c r="H92" i="22"/>
  <c r="H73" i="22"/>
  <c r="H54" i="22"/>
  <c r="H35" i="22"/>
  <c r="H16" i="22"/>
  <c r="L43" i="5"/>
  <c r="Q175" i="22"/>
  <c r="J354" i="22"/>
  <c r="N354" i="22"/>
  <c r="H351" i="22"/>
  <c r="L351" i="22"/>
  <c r="P351" i="22"/>
  <c r="I361" i="22"/>
  <c r="M361" i="22"/>
  <c r="Q361" i="22"/>
  <c r="K363" i="22"/>
  <c r="O363" i="22"/>
  <c r="H202" i="22"/>
  <c r="K354" i="22"/>
  <c r="O354" i="22"/>
  <c r="I355" i="22"/>
  <c r="M355" i="22"/>
  <c r="Q355" i="22"/>
  <c r="K357" i="22"/>
  <c r="O357" i="22"/>
  <c r="I351" i="22"/>
  <c r="M351" i="22"/>
  <c r="Q351" i="22"/>
  <c r="J361" i="22"/>
  <c r="N361" i="22"/>
  <c r="H363" i="22"/>
  <c r="L363" i="22"/>
  <c r="P363" i="22"/>
  <c r="L354" i="22"/>
  <c r="P354" i="22"/>
  <c r="J355" i="22"/>
  <c r="N355" i="22"/>
  <c r="H357" i="22"/>
  <c r="L357" i="22"/>
  <c r="P357" i="22"/>
  <c r="J351" i="22"/>
  <c r="N351" i="22"/>
  <c r="I354" i="22"/>
  <c r="M354" i="22"/>
  <c r="Q354" i="22"/>
  <c r="K355" i="22"/>
  <c r="O355" i="22"/>
  <c r="I357" i="22"/>
  <c r="M357" i="22"/>
  <c r="Q357" i="22"/>
  <c r="I282" i="22"/>
  <c r="H289" i="22"/>
  <c r="H354" i="22"/>
  <c r="K351" i="22"/>
  <c r="O351" i="22"/>
  <c r="I71" i="22"/>
  <c r="Q213" i="22"/>
  <c r="Q97" i="22"/>
  <c r="Q251" i="22"/>
  <c r="Q59" i="22"/>
  <c r="Q84" i="22"/>
  <c r="Q270" i="22"/>
  <c r="Q232" i="22"/>
  <c r="Q327" i="22"/>
  <c r="H318" i="22"/>
  <c r="Q309" i="22"/>
  <c r="H278" i="22"/>
  <c r="H259" i="22"/>
  <c r="H240" i="22"/>
  <c r="H219" i="22"/>
  <c r="H295" i="22"/>
  <c r="H183" i="22"/>
  <c r="H103" i="22"/>
  <c r="H160" i="22"/>
  <c r="H29" i="22"/>
  <c r="H67" i="22"/>
  <c r="I41" i="22"/>
  <c r="I67" i="22"/>
  <c r="M43" i="5"/>
  <c r="J67" i="22"/>
  <c r="I183" i="22"/>
  <c r="I312" i="22"/>
  <c r="H345" i="22"/>
  <c r="I29" i="22"/>
  <c r="I86" i="22"/>
  <c r="I289" i="22"/>
  <c r="J29" i="22"/>
  <c r="J289" i="22"/>
  <c r="I278" i="22"/>
  <c r="I259" i="22"/>
  <c r="I240" i="22"/>
  <c r="I214" i="22"/>
  <c r="H221" i="22"/>
  <c r="H297" i="22"/>
  <c r="I202" i="22"/>
  <c r="I98" i="22"/>
  <c r="H105" i="22"/>
  <c r="N43" i="5"/>
  <c r="I160" i="22"/>
  <c r="I339" i="22"/>
  <c r="I155" i="22"/>
  <c r="J86" i="22"/>
  <c r="J278" i="22"/>
  <c r="J259" i="22"/>
  <c r="J240" i="22"/>
  <c r="I290" i="22"/>
  <c r="J202" i="22"/>
  <c r="I105" i="22"/>
  <c r="K67" i="22"/>
  <c r="G341" i="22"/>
  <c r="F341" i="22"/>
  <c r="E341" i="22"/>
  <c r="D341" i="22"/>
  <c r="C341" i="22"/>
  <c r="G344" i="22"/>
  <c r="F344" i="22"/>
  <c r="E344" i="22"/>
  <c r="D344" i="22"/>
  <c r="C344" i="22"/>
  <c r="F343" i="22"/>
  <c r="E343" i="22"/>
  <c r="D343" i="22"/>
  <c r="C343" i="22"/>
  <c r="G342" i="22"/>
  <c r="F342" i="22"/>
  <c r="E342" i="22"/>
  <c r="D342" i="22"/>
  <c r="C342" i="22"/>
  <c r="F340" i="22"/>
  <c r="E340" i="22"/>
  <c r="D340" i="22"/>
  <c r="C340" i="22"/>
  <c r="C339" i="22"/>
  <c r="F312" i="22"/>
  <c r="F318" i="22"/>
  <c r="G312" i="22"/>
  <c r="E318" i="22"/>
  <c r="G294" i="22"/>
  <c r="G362" i="22"/>
  <c r="F294" i="22"/>
  <c r="F362" i="22"/>
  <c r="E294" i="22"/>
  <c r="E362" i="22"/>
  <c r="D294" i="22"/>
  <c r="D362" i="22"/>
  <c r="G293" i="22"/>
  <c r="F293" i="22"/>
  <c r="E293" i="22"/>
  <c r="D293" i="22"/>
  <c r="G292" i="22"/>
  <c r="F292" i="22"/>
  <c r="E292" i="22"/>
  <c r="D292" i="22"/>
  <c r="G291" i="22"/>
  <c r="F291" i="22"/>
  <c r="E291" i="22"/>
  <c r="D291" i="22"/>
  <c r="G288" i="22"/>
  <c r="F288" i="22"/>
  <c r="E288" i="22"/>
  <c r="D288" i="22"/>
  <c r="G287" i="22"/>
  <c r="F287" i="22"/>
  <c r="E287" i="22"/>
  <c r="D287" i="22"/>
  <c r="G286" i="22"/>
  <c r="G356" i="22"/>
  <c r="F286" i="22"/>
  <c r="F356" i="22"/>
  <c r="E286" i="22"/>
  <c r="E356" i="22"/>
  <c r="D286" i="22"/>
  <c r="D356" i="22"/>
  <c r="G285" i="22"/>
  <c r="F285" i="22"/>
  <c r="E285" i="22"/>
  <c r="D285" i="22"/>
  <c r="G284" i="22"/>
  <c r="F284" i="22"/>
  <c r="E284" i="22"/>
  <c r="D284" i="22"/>
  <c r="G283" i="22"/>
  <c r="F283" i="22"/>
  <c r="E283" i="22"/>
  <c r="D283" i="22"/>
  <c r="C294" i="22"/>
  <c r="C362" i="22"/>
  <c r="C293" i="22"/>
  <c r="C292" i="22"/>
  <c r="C291" i="22"/>
  <c r="C290" i="22"/>
  <c r="C288" i="22"/>
  <c r="C287" i="22"/>
  <c r="C286" i="22"/>
  <c r="C356" i="22"/>
  <c r="C285" i="22"/>
  <c r="C284" i="22"/>
  <c r="C283" i="22"/>
  <c r="C282" i="22"/>
  <c r="G181" i="22"/>
  <c r="G175" i="22"/>
  <c r="O43" i="5"/>
  <c r="E360" i="22"/>
  <c r="E369" i="22"/>
  <c r="E21" i="11"/>
  <c r="I345" i="22"/>
  <c r="I359" i="22"/>
  <c r="K29" i="22"/>
  <c r="K289" i="22"/>
  <c r="K86" i="22"/>
  <c r="K278" i="22"/>
  <c r="K259" i="22"/>
  <c r="K240" i="22"/>
  <c r="I221" i="22"/>
  <c r="I297" i="22"/>
  <c r="I295" i="22"/>
  <c r="K202" i="22"/>
  <c r="J183" i="22"/>
  <c r="J105" i="22"/>
  <c r="L67" i="22"/>
  <c r="J160" i="22"/>
  <c r="G183" i="22"/>
  <c r="G153" i="22"/>
  <c r="G357" i="22"/>
  <c r="F153" i="22"/>
  <c r="F357" i="22"/>
  <c r="E153" i="22"/>
  <c r="E357" i="22"/>
  <c r="D153" i="22"/>
  <c r="D357" i="22"/>
  <c r="C153" i="22"/>
  <c r="C357" i="22"/>
  <c r="G159" i="22"/>
  <c r="G363" i="22"/>
  <c r="F159" i="22"/>
  <c r="F363" i="22"/>
  <c r="E159" i="22"/>
  <c r="E363" i="22"/>
  <c r="D159" i="22"/>
  <c r="D363" i="22"/>
  <c r="C159" i="22"/>
  <c r="C363" i="22"/>
  <c r="G157" i="22"/>
  <c r="G361" i="22"/>
  <c r="F157" i="22"/>
  <c r="F361" i="22"/>
  <c r="E157" i="22"/>
  <c r="E361" i="22"/>
  <c r="D157" i="22"/>
  <c r="D361" i="22"/>
  <c r="C157" i="22"/>
  <c r="C361" i="22"/>
  <c r="G156" i="22"/>
  <c r="G360" i="22"/>
  <c r="G369" i="22"/>
  <c r="G21" i="11"/>
  <c r="F156" i="22"/>
  <c r="F360" i="22"/>
  <c r="F369" i="22"/>
  <c r="F21" i="11"/>
  <c r="E156" i="22"/>
  <c r="D156" i="22"/>
  <c r="D360" i="22"/>
  <c r="D369" i="22"/>
  <c r="D21" i="11"/>
  <c r="C156" i="22"/>
  <c r="C360" i="22"/>
  <c r="C369" i="22"/>
  <c r="C21" i="11"/>
  <c r="C155" i="22"/>
  <c r="C359" i="22"/>
  <c r="G152" i="22"/>
  <c r="G355" i="22"/>
  <c r="F152" i="22"/>
  <c r="F355" i="22"/>
  <c r="E152" i="22"/>
  <c r="E355" i="22"/>
  <c r="D152" i="22"/>
  <c r="D355" i="22"/>
  <c r="C152" i="22"/>
  <c r="C355" i="22"/>
  <c r="G151" i="22"/>
  <c r="G354" i="22"/>
  <c r="F151" i="22"/>
  <c r="F354" i="22"/>
  <c r="E151" i="22"/>
  <c r="E354" i="22"/>
  <c r="D151" i="22"/>
  <c r="D354" i="22"/>
  <c r="C151" i="22"/>
  <c r="C354" i="22"/>
  <c r="G150" i="22"/>
  <c r="G353" i="22"/>
  <c r="F150" i="22"/>
  <c r="F353" i="22"/>
  <c r="E150" i="22"/>
  <c r="E353" i="22"/>
  <c r="D150" i="22"/>
  <c r="D353" i="22"/>
  <c r="C150" i="22"/>
  <c r="C353" i="22"/>
  <c r="G149" i="22"/>
  <c r="G352" i="22"/>
  <c r="F149" i="22"/>
  <c r="F352" i="22"/>
  <c r="E149" i="22"/>
  <c r="E352" i="22"/>
  <c r="D149" i="22"/>
  <c r="D352" i="22"/>
  <c r="C149" i="22"/>
  <c r="C352" i="22"/>
  <c r="G148" i="22"/>
  <c r="G351" i="22"/>
  <c r="G358" i="22"/>
  <c r="F148" i="22"/>
  <c r="F351" i="22"/>
  <c r="E148" i="22"/>
  <c r="E351" i="22"/>
  <c r="D148" i="22"/>
  <c r="D351" i="22"/>
  <c r="C148" i="22"/>
  <c r="C351" i="22"/>
  <c r="C147" i="22"/>
  <c r="C350" i="22"/>
  <c r="E21" i="22"/>
  <c r="G27" i="22"/>
  <c r="F27" i="22"/>
  <c r="E122" i="22"/>
  <c r="F117" i="22"/>
  <c r="F122" i="22"/>
  <c r="G117" i="22"/>
  <c r="G122" i="22"/>
  <c r="E116" i="22"/>
  <c r="E46" i="22"/>
  <c r="F41" i="22"/>
  <c r="E40" i="22"/>
  <c r="E27" i="22"/>
  <c r="C336" i="22"/>
  <c r="D330" i="22"/>
  <c r="C327" i="22"/>
  <c r="D321" i="22"/>
  <c r="D327" i="22"/>
  <c r="E321" i="22"/>
  <c r="E327" i="22"/>
  <c r="F321" i="22"/>
  <c r="F327" i="22"/>
  <c r="G321" i="22"/>
  <c r="C309" i="22"/>
  <c r="C276" i="22"/>
  <c r="D271" i="22"/>
  <c r="D276" i="22"/>
  <c r="E271" i="22"/>
  <c r="E276" i="22"/>
  <c r="C270" i="22"/>
  <c r="C257" i="22"/>
  <c r="C251" i="22"/>
  <c r="D244" i="22"/>
  <c r="D251" i="22"/>
  <c r="E244" i="22"/>
  <c r="E251" i="22"/>
  <c r="F244" i="22"/>
  <c r="F251" i="22"/>
  <c r="G244" i="22"/>
  <c r="G251" i="22"/>
  <c r="C238" i="22"/>
  <c r="D233" i="22"/>
  <c r="D238" i="22"/>
  <c r="E233" i="22"/>
  <c r="E238" i="22"/>
  <c r="F233" i="22"/>
  <c r="F238" i="22"/>
  <c r="G233" i="22"/>
  <c r="G238" i="22"/>
  <c r="G240" i="22"/>
  <c r="C232" i="22"/>
  <c r="D225" i="22"/>
  <c r="D232" i="22"/>
  <c r="E225" i="22"/>
  <c r="E232" i="22"/>
  <c r="F225" i="22"/>
  <c r="F232" i="22"/>
  <c r="G225" i="22"/>
  <c r="C219" i="22"/>
  <c r="D214" i="22"/>
  <c r="D219" i="22"/>
  <c r="E214" i="22"/>
  <c r="E219" i="22"/>
  <c r="F214" i="22"/>
  <c r="F219" i="22"/>
  <c r="G214" i="22"/>
  <c r="G219" i="22"/>
  <c r="C213" i="22"/>
  <c r="D206" i="22"/>
  <c r="D213" i="22"/>
  <c r="E206" i="22"/>
  <c r="E213" i="22"/>
  <c r="F206" i="22"/>
  <c r="F213" i="22"/>
  <c r="G206" i="22"/>
  <c r="G213" i="22"/>
  <c r="C200" i="22"/>
  <c r="C194" i="22"/>
  <c r="C141" i="22"/>
  <c r="D136" i="22"/>
  <c r="D141" i="22"/>
  <c r="E136" i="22"/>
  <c r="E141" i="22"/>
  <c r="F136" i="22"/>
  <c r="F141" i="22"/>
  <c r="G136" i="22"/>
  <c r="G141" i="22"/>
  <c r="C135" i="22"/>
  <c r="C143" i="22"/>
  <c r="C103" i="22"/>
  <c r="D98" i="22"/>
  <c r="D103" i="22"/>
  <c r="E98" i="22"/>
  <c r="E103" i="22"/>
  <c r="F98" i="22"/>
  <c r="F103" i="22"/>
  <c r="G98" i="22"/>
  <c r="G103" i="22"/>
  <c r="C97" i="22"/>
  <c r="C105" i="22"/>
  <c r="C84" i="22"/>
  <c r="C78" i="22"/>
  <c r="D71" i="22"/>
  <c r="D78" i="22"/>
  <c r="E71" i="22"/>
  <c r="E78" i="22"/>
  <c r="F71" i="22"/>
  <c r="F78" i="22"/>
  <c r="G71" i="22"/>
  <c r="C65" i="22"/>
  <c r="D60" i="22"/>
  <c r="C59" i="22"/>
  <c r="P43" i="5"/>
  <c r="L86" i="22"/>
  <c r="L278" i="22"/>
  <c r="L259" i="22"/>
  <c r="L240" i="22"/>
  <c r="L202" i="22"/>
  <c r="K105" i="22"/>
  <c r="M67" i="22"/>
  <c r="D303" i="22"/>
  <c r="C345" i="22"/>
  <c r="D240" i="22"/>
  <c r="C160" i="22"/>
  <c r="E124" i="22"/>
  <c r="C364" i="22"/>
  <c r="C358" i="22"/>
  <c r="D221" i="22"/>
  <c r="C259" i="22"/>
  <c r="D252" i="22"/>
  <c r="D257" i="22"/>
  <c r="D52" i="22"/>
  <c r="D59" i="22"/>
  <c r="C154" i="22"/>
  <c r="D187" i="22"/>
  <c r="C289" i="22"/>
  <c r="C278" i="22"/>
  <c r="D263" i="22"/>
  <c r="D270" i="22"/>
  <c r="D336" i="22"/>
  <c r="E221" i="22"/>
  <c r="E240" i="22"/>
  <c r="F240" i="22"/>
  <c r="D195" i="22"/>
  <c r="C295" i="22"/>
  <c r="F221" i="22"/>
  <c r="F271" i="22"/>
  <c r="F276" i="22"/>
  <c r="D90" i="22"/>
  <c r="D97" i="22"/>
  <c r="E90" i="22"/>
  <c r="E97" i="22"/>
  <c r="E29" i="22"/>
  <c r="C202" i="22"/>
  <c r="E48" i="22"/>
  <c r="F46" i="22"/>
  <c r="G41" i="22"/>
  <c r="C221" i="22"/>
  <c r="F14" i="22"/>
  <c r="F33" i="22"/>
  <c r="F40" i="22"/>
  <c r="G33" i="22"/>
  <c r="G40" i="22"/>
  <c r="H33" i="22"/>
  <c r="H40" i="22"/>
  <c r="F109" i="22"/>
  <c r="F116" i="22"/>
  <c r="D65" i="22"/>
  <c r="C240" i="22"/>
  <c r="D128" i="22"/>
  <c r="D135" i="22"/>
  <c r="E128" i="22"/>
  <c r="E135" i="22"/>
  <c r="F128" i="22"/>
  <c r="F135" i="22"/>
  <c r="G128" i="22"/>
  <c r="G135" i="22"/>
  <c r="C86" i="22"/>
  <c r="D79" i="22"/>
  <c r="D84" i="22"/>
  <c r="E79" i="22"/>
  <c r="E84" i="22"/>
  <c r="F79" i="22"/>
  <c r="F84" i="22"/>
  <c r="C67" i="22"/>
  <c r="Q43" i="5"/>
  <c r="J345" i="22"/>
  <c r="G143" i="22"/>
  <c r="H128" i="22"/>
  <c r="I33" i="22"/>
  <c r="H48" i="22"/>
  <c r="M86" i="22"/>
  <c r="L289" i="22"/>
  <c r="L29" i="22"/>
  <c r="M278" i="22"/>
  <c r="M259" i="22"/>
  <c r="M240" i="22"/>
  <c r="J221" i="22"/>
  <c r="J297" i="22"/>
  <c r="J295" i="22"/>
  <c r="K183" i="22"/>
  <c r="L105" i="22"/>
  <c r="N67" i="22"/>
  <c r="K160" i="22"/>
  <c r="D309" i="22"/>
  <c r="E303" i="22"/>
  <c r="E309" i="22"/>
  <c r="F303" i="22"/>
  <c r="F309" i="22"/>
  <c r="G303" i="22"/>
  <c r="D339" i="22"/>
  <c r="D105" i="22"/>
  <c r="E86" i="22"/>
  <c r="D200" i="22"/>
  <c r="D290" i="22"/>
  <c r="D86" i="22"/>
  <c r="E330" i="22"/>
  <c r="D259" i="22"/>
  <c r="E252" i="22"/>
  <c r="C297" i="22"/>
  <c r="E263" i="22"/>
  <c r="E270" i="22"/>
  <c r="D278" i="22"/>
  <c r="D194" i="22"/>
  <c r="D282" i="22"/>
  <c r="F48" i="22"/>
  <c r="G271" i="22"/>
  <c r="G276" i="22"/>
  <c r="C162" i="22"/>
  <c r="C366" i="22"/>
  <c r="C368" i="22"/>
  <c r="C11" i="12"/>
  <c r="D160" i="22"/>
  <c r="F21" i="22"/>
  <c r="F124" i="22"/>
  <c r="G109" i="22"/>
  <c r="D147" i="22"/>
  <c r="D143" i="22"/>
  <c r="D154" i="22"/>
  <c r="G46" i="22"/>
  <c r="D155" i="22"/>
  <c r="F90" i="22"/>
  <c r="F97" i="22"/>
  <c r="F105" i="22"/>
  <c r="E105" i="22"/>
  <c r="E143" i="22"/>
  <c r="E60" i="22"/>
  <c r="E155" i="22"/>
  <c r="E52" i="22"/>
  <c r="E147" i="22"/>
  <c r="D67" i="22"/>
  <c r="F143" i="22"/>
  <c r="G79" i="22"/>
  <c r="G86" i="22"/>
  <c r="F86" i="22"/>
  <c r="H135" i="22"/>
  <c r="H147" i="22"/>
  <c r="H350" i="22"/>
  <c r="H11" i="12"/>
  <c r="N86" i="22"/>
  <c r="N278" i="22"/>
  <c r="N259" i="22"/>
  <c r="N240" i="22"/>
  <c r="M105" i="22"/>
  <c r="O67" i="22"/>
  <c r="E339" i="22"/>
  <c r="D345" i="22"/>
  <c r="D350" i="22"/>
  <c r="D358" i="22"/>
  <c r="D359" i="22"/>
  <c r="D364" i="22"/>
  <c r="E187" i="22"/>
  <c r="D289" i="22"/>
  <c r="D202" i="22"/>
  <c r="D297" i="22"/>
  <c r="E257" i="22"/>
  <c r="F263" i="22"/>
  <c r="F270" i="22"/>
  <c r="E278" i="22"/>
  <c r="D295" i="22"/>
  <c r="E195" i="22"/>
  <c r="E200" i="22"/>
  <c r="F195" i="22"/>
  <c r="F200" i="22"/>
  <c r="G195" i="22"/>
  <c r="G200" i="22"/>
  <c r="E336" i="22"/>
  <c r="E345" i="22"/>
  <c r="G259" i="22"/>
  <c r="D162" i="22"/>
  <c r="D366" i="22"/>
  <c r="G90" i="22"/>
  <c r="G97" i="22"/>
  <c r="G105" i="22"/>
  <c r="G48" i="22"/>
  <c r="G14" i="22"/>
  <c r="F29" i="22"/>
  <c r="E59" i="22"/>
  <c r="E154" i="22"/>
  <c r="E65" i="22"/>
  <c r="E160" i="22"/>
  <c r="K345" i="22"/>
  <c r="I128" i="22"/>
  <c r="H143" i="22"/>
  <c r="H162" i="22"/>
  <c r="H154" i="22"/>
  <c r="I48" i="22"/>
  <c r="M29" i="22"/>
  <c r="O86" i="22"/>
  <c r="Q116" i="22"/>
  <c r="Q122" i="22"/>
  <c r="M289" i="22"/>
  <c r="M202" i="22"/>
  <c r="O278" i="22"/>
  <c r="O259" i="22"/>
  <c r="O240" i="22"/>
  <c r="K221" i="22"/>
  <c r="K297" i="22"/>
  <c r="K295" i="22"/>
  <c r="L183" i="22"/>
  <c r="N105" i="22"/>
  <c r="Q65" i="22"/>
  <c r="Q67" i="22"/>
  <c r="P67" i="22"/>
  <c r="L160" i="22"/>
  <c r="D368" i="22"/>
  <c r="E290" i="22"/>
  <c r="E359" i="22"/>
  <c r="E364" i="22"/>
  <c r="F330" i="22"/>
  <c r="F339" i="22"/>
  <c r="G295" i="22"/>
  <c r="G263" i="22"/>
  <c r="G270" i="22"/>
  <c r="G278" i="22"/>
  <c r="F278" i="22"/>
  <c r="E295" i="22"/>
  <c r="F252" i="22"/>
  <c r="E259" i="22"/>
  <c r="E194" i="22"/>
  <c r="E282" i="22"/>
  <c r="E350" i="22"/>
  <c r="E358" i="22"/>
  <c r="G21" i="22"/>
  <c r="G29" i="22"/>
  <c r="F60" i="22"/>
  <c r="F155" i="22"/>
  <c r="F52" i="22"/>
  <c r="F147" i="22"/>
  <c r="E67" i="22"/>
  <c r="E162" i="22"/>
  <c r="E366" i="22"/>
  <c r="I147" i="22"/>
  <c r="I350" i="22"/>
  <c r="Q124" i="22"/>
  <c r="Q78" i="22"/>
  <c r="Q86" i="22"/>
  <c r="P86" i="22"/>
  <c r="Q276" i="22"/>
  <c r="Q278" i="22"/>
  <c r="P278" i="22"/>
  <c r="Q257" i="22"/>
  <c r="Q259" i="22"/>
  <c r="P259" i="22"/>
  <c r="Q238" i="22"/>
  <c r="Q240" i="22"/>
  <c r="P240" i="22"/>
  <c r="Q200" i="22"/>
  <c r="Q141" i="22"/>
  <c r="O105" i="22"/>
  <c r="E368" i="22"/>
  <c r="F187" i="22"/>
  <c r="E202" i="22"/>
  <c r="E297" i="22"/>
  <c r="E289" i="22"/>
  <c r="F257" i="22"/>
  <c r="F290" i="22"/>
  <c r="F359" i="22"/>
  <c r="F364" i="22"/>
  <c r="F336" i="22"/>
  <c r="F345" i="22"/>
  <c r="F59" i="22"/>
  <c r="F154" i="22"/>
  <c r="F65" i="22"/>
  <c r="F160" i="22"/>
  <c r="D63" i="20"/>
  <c r="L345" i="22"/>
  <c r="I11" i="12"/>
  <c r="I370" i="22"/>
  <c r="I143" i="22"/>
  <c r="I162" i="22"/>
  <c r="I154" i="22"/>
  <c r="J48" i="22"/>
  <c r="E370" i="22"/>
  <c r="E376" i="22"/>
  <c r="E17" i="18"/>
  <c r="N29" i="22"/>
  <c r="N289" i="22"/>
  <c r="N202" i="22"/>
  <c r="L221" i="22"/>
  <c r="L297" i="22"/>
  <c r="L295" i="22"/>
  <c r="M183" i="22"/>
  <c r="Q103" i="22"/>
  <c r="Q105" i="22"/>
  <c r="P105" i="22"/>
  <c r="M160" i="22"/>
  <c r="G330" i="22"/>
  <c r="G339" i="22"/>
  <c r="F295" i="22"/>
  <c r="F259" i="22"/>
  <c r="G252" i="22"/>
  <c r="G290" i="22"/>
  <c r="F194" i="22"/>
  <c r="F282" i="22"/>
  <c r="F350" i="22"/>
  <c r="F358" i="22"/>
  <c r="F368" i="22"/>
  <c r="G60" i="22"/>
  <c r="G155" i="22"/>
  <c r="G52" i="22"/>
  <c r="F67" i="22"/>
  <c r="F162" i="22"/>
  <c r="F366" i="22"/>
  <c r="I17" i="18"/>
  <c r="F370" i="22"/>
  <c r="G359" i="22"/>
  <c r="G364" i="22"/>
  <c r="F289" i="22"/>
  <c r="G187" i="22"/>
  <c r="F202" i="22"/>
  <c r="F297" i="22"/>
  <c r="G336" i="22"/>
  <c r="G147" i="22"/>
  <c r="G154" i="22"/>
  <c r="G160" i="22"/>
  <c r="M345" i="22"/>
  <c r="J370" i="22"/>
  <c r="J11" i="12"/>
  <c r="J143" i="22"/>
  <c r="J162" i="22"/>
  <c r="J154" i="22"/>
  <c r="K48" i="22"/>
  <c r="O29" i="22"/>
  <c r="O289" i="22"/>
  <c r="O202" i="22"/>
  <c r="M221" i="22"/>
  <c r="M297" i="22"/>
  <c r="M295" i="22"/>
  <c r="N183" i="22"/>
  <c r="N160" i="22"/>
  <c r="G194" i="22"/>
  <c r="G282" i="22"/>
  <c r="G350" i="22"/>
  <c r="G67" i="22"/>
  <c r="G162" i="22"/>
  <c r="G366" i="22"/>
  <c r="J17" i="18"/>
  <c r="G368" i="22"/>
  <c r="G370" i="22"/>
  <c r="H370" i="22"/>
  <c r="G289" i="22"/>
  <c r="G202" i="22"/>
  <c r="G297" i="22"/>
  <c r="H17" i="18"/>
  <c r="G376" i="22"/>
  <c r="G17" i="18"/>
  <c r="N345" i="22"/>
  <c r="K11" i="12"/>
  <c r="K370" i="22"/>
  <c r="K143" i="22"/>
  <c r="K162" i="22"/>
  <c r="K154" i="22"/>
  <c r="L48" i="22"/>
  <c r="P289" i="22"/>
  <c r="P202" i="22"/>
  <c r="O160" i="22"/>
  <c r="P29" i="22"/>
  <c r="N221" i="22"/>
  <c r="N297" i="22"/>
  <c r="N295" i="22"/>
  <c r="O183" i="22"/>
  <c r="K17" i="18"/>
  <c r="Q21" i="22"/>
  <c r="Q194" i="22"/>
  <c r="P160" i="22"/>
  <c r="O345" i="22"/>
  <c r="L370" i="22"/>
  <c r="L11" i="12"/>
  <c r="L143" i="22"/>
  <c r="L162" i="22"/>
  <c r="L154" i="22"/>
  <c r="M48" i="22"/>
  <c r="Q289" i="22"/>
  <c r="Q202" i="22"/>
  <c r="Q29" i="22"/>
  <c r="O221" i="22"/>
  <c r="O297" i="22"/>
  <c r="O295" i="22"/>
  <c r="P183" i="22"/>
  <c r="L17" i="18"/>
  <c r="Q336" i="22"/>
  <c r="Q46" i="22"/>
  <c r="Q181" i="22"/>
  <c r="I13" i="19"/>
  <c r="H13" i="19"/>
  <c r="G13" i="19"/>
  <c r="I11" i="19"/>
  <c r="H11" i="19"/>
  <c r="G11" i="19"/>
  <c r="G16" i="18"/>
  <c r="F16" i="18"/>
  <c r="E16" i="18"/>
  <c r="D16" i="18"/>
  <c r="C16" i="18"/>
  <c r="Q10" i="18"/>
  <c r="R10" i="18"/>
  <c r="P10" i="18"/>
  <c r="O10" i="18"/>
  <c r="N10" i="18"/>
  <c r="M10" i="18"/>
  <c r="L10" i="18"/>
  <c r="K10" i="18"/>
  <c r="J10" i="18"/>
  <c r="I10" i="18"/>
  <c r="H10" i="18"/>
  <c r="G10" i="18"/>
  <c r="F41" i="17"/>
  <c r="C45" i="17"/>
  <c r="C41" i="17"/>
  <c r="I23" i="17"/>
  <c r="H23" i="17"/>
  <c r="I22" i="17"/>
  <c r="H22" i="17"/>
  <c r="P345" i="22"/>
  <c r="M370" i="22"/>
  <c r="M11" i="12"/>
  <c r="M143" i="22"/>
  <c r="M162" i="22"/>
  <c r="M154" i="22"/>
  <c r="N48" i="22"/>
  <c r="Q160" i="22"/>
  <c r="P221" i="22"/>
  <c r="P297" i="22"/>
  <c r="P295" i="22"/>
  <c r="Q183" i="22"/>
  <c r="J12" i="18"/>
  <c r="I12" i="18"/>
  <c r="M12" i="18"/>
  <c r="Q12" i="18"/>
  <c r="N12" i="18"/>
  <c r="H12" i="18"/>
  <c r="L12" i="18"/>
  <c r="P12" i="18"/>
  <c r="K12" i="18"/>
  <c r="O12" i="18"/>
  <c r="M17" i="18"/>
  <c r="Q318" i="22"/>
  <c r="Q345" i="22"/>
  <c r="Q219" i="22"/>
  <c r="N31" i="16"/>
  <c r="M31" i="16"/>
  <c r="L31" i="16"/>
  <c r="I31" i="16"/>
  <c r="H31" i="16"/>
  <c r="F31" i="16"/>
  <c r="C21" i="1"/>
  <c r="B31" i="16"/>
  <c r="B25" i="17"/>
  <c r="N20" i="16"/>
  <c r="M20" i="16"/>
  <c r="L20" i="16"/>
  <c r="I20" i="16"/>
  <c r="H20" i="16"/>
  <c r="E18" i="17"/>
  <c r="F20" i="16"/>
  <c r="N19" i="16"/>
  <c r="M19" i="16"/>
  <c r="L19" i="16"/>
  <c r="I19" i="16"/>
  <c r="H19" i="16"/>
  <c r="E17" i="17"/>
  <c r="F19" i="16"/>
  <c r="N18" i="16"/>
  <c r="M18" i="16"/>
  <c r="L18" i="16"/>
  <c r="I18" i="16"/>
  <c r="H18" i="16"/>
  <c r="E16" i="17"/>
  <c r="F18" i="16"/>
  <c r="N17" i="16"/>
  <c r="M17" i="16"/>
  <c r="L17" i="16"/>
  <c r="I17" i="16"/>
  <c r="H17" i="16"/>
  <c r="E15" i="17"/>
  <c r="F17" i="16"/>
  <c r="N16" i="16"/>
  <c r="M16" i="16"/>
  <c r="L16" i="16"/>
  <c r="I16" i="16"/>
  <c r="H16" i="16"/>
  <c r="E14" i="17"/>
  <c r="F16" i="16"/>
  <c r="N15" i="16"/>
  <c r="M15" i="16"/>
  <c r="L15" i="16"/>
  <c r="I15" i="16"/>
  <c r="H15" i="16"/>
  <c r="E13" i="17"/>
  <c r="F15" i="16"/>
  <c r="N14" i="16"/>
  <c r="M14" i="16"/>
  <c r="L14" i="16"/>
  <c r="I14" i="16"/>
  <c r="H14" i="16"/>
  <c r="E12" i="17"/>
  <c r="F14" i="16"/>
  <c r="N13" i="16"/>
  <c r="M13" i="16"/>
  <c r="L13" i="16"/>
  <c r="I13" i="16"/>
  <c r="H13" i="16"/>
  <c r="E11" i="17"/>
  <c r="F13" i="16"/>
  <c r="N12" i="16"/>
  <c r="M12" i="16"/>
  <c r="L12" i="16"/>
  <c r="I12" i="16"/>
  <c r="H12" i="16"/>
  <c r="E10" i="17"/>
  <c r="F12" i="16"/>
  <c r="B20" i="16"/>
  <c r="B18" i="17"/>
  <c r="B19" i="16"/>
  <c r="B17" i="17"/>
  <c r="B18" i="16"/>
  <c r="B16" i="17"/>
  <c r="B17" i="16"/>
  <c r="B15" i="17"/>
  <c r="B16" i="16"/>
  <c r="B14" i="17"/>
  <c r="B15" i="16"/>
  <c r="B13" i="17"/>
  <c r="B14" i="16"/>
  <c r="B12" i="17"/>
  <c r="B13" i="16"/>
  <c r="B11" i="17"/>
  <c r="B12" i="16"/>
  <c r="B10" i="17"/>
  <c r="N11" i="12"/>
  <c r="N370" i="22"/>
  <c r="N143" i="22"/>
  <c r="N162" i="22"/>
  <c r="N154" i="22"/>
  <c r="O48" i="22"/>
  <c r="Q221" i="22"/>
  <c r="Q297" i="22"/>
  <c r="Q295" i="22"/>
  <c r="C23" i="1"/>
  <c r="D10" i="17"/>
  <c r="F10" i="17"/>
  <c r="I37" i="16"/>
  <c r="G41" i="16"/>
  <c r="D11" i="17"/>
  <c r="F11" i="17"/>
  <c r="J11" i="17"/>
  <c r="D17" i="17"/>
  <c r="F17" i="17"/>
  <c r="J17" i="17"/>
  <c r="I41" i="16"/>
  <c r="D14" i="17"/>
  <c r="G14" i="17"/>
  <c r="D18" i="17"/>
  <c r="G18" i="17"/>
  <c r="I42" i="16"/>
  <c r="R15" i="16"/>
  <c r="E25" i="17"/>
  <c r="G36" i="16"/>
  <c r="G42" i="16"/>
  <c r="I35" i="16"/>
  <c r="I43" i="16"/>
  <c r="D12" i="17"/>
  <c r="F12" i="17"/>
  <c r="J12" i="17"/>
  <c r="D16" i="17"/>
  <c r="G16" i="17"/>
  <c r="G37" i="16"/>
  <c r="G43" i="16"/>
  <c r="I36" i="16"/>
  <c r="P12" i="16"/>
  <c r="N17" i="18"/>
  <c r="P19" i="16"/>
  <c r="R19" i="16"/>
  <c r="G11" i="17"/>
  <c r="F14" i="17"/>
  <c r="J14" i="17"/>
  <c r="P18" i="16"/>
  <c r="R20" i="16"/>
  <c r="F18" i="17"/>
  <c r="J18" i="17"/>
  <c r="R13" i="16"/>
  <c r="F16" i="17"/>
  <c r="J16" i="17"/>
  <c r="P17" i="16"/>
  <c r="D15" i="17"/>
  <c r="R17" i="16"/>
  <c r="G17" i="17"/>
  <c r="G10" i="17"/>
  <c r="R14" i="16"/>
  <c r="F36" i="17"/>
  <c r="C36" i="17"/>
  <c r="G12" i="17"/>
  <c r="J10" i="17"/>
  <c r="R16" i="16"/>
  <c r="R18" i="16"/>
  <c r="P16" i="16"/>
  <c r="D13" i="17"/>
  <c r="G25" i="17"/>
  <c r="R31" i="16"/>
  <c r="J31" i="16"/>
  <c r="Q29" i="16"/>
  <c r="R29" i="16"/>
  <c r="R28" i="16"/>
  <c r="R25" i="16"/>
  <c r="R24" i="16"/>
  <c r="R26" i="16"/>
  <c r="R27" i="16"/>
  <c r="E37" i="16"/>
  <c r="O11" i="12"/>
  <c r="O370" i="22"/>
  <c r="O143" i="22"/>
  <c r="O162" i="22"/>
  <c r="O154" i="22"/>
  <c r="P48" i="22"/>
  <c r="P13" i="16"/>
  <c r="P20" i="16"/>
  <c r="P14" i="16"/>
  <c r="P15" i="16"/>
  <c r="P27" i="16"/>
  <c r="P26" i="16"/>
  <c r="F25" i="17"/>
  <c r="G15" i="17"/>
  <c r="F15" i="17"/>
  <c r="J15" i="17"/>
  <c r="Q31" i="16"/>
  <c r="P31" i="16"/>
  <c r="F13" i="17"/>
  <c r="G13" i="17"/>
  <c r="E43" i="16"/>
  <c r="H43" i="16"/>
  <c r="C35" i="17"/>
  <c r="C37" i="17"/>
  <c r="P28" i="16"/>
  <c r="P29" i="16"/>
  <c r="P25" i="16"/>
  <c r="P24" i="16"/>
  <c r="Q28" i="16"/>
  <c r="Q24" i="16"/>
  <c r="Q25" i="16"/>
  <c r="Q26" i="16"/>
  <c r="E42" i="16"/>
  <c r="F42" i="16"/>
  <c r="H42" i="16"/>
  <c r="J42" i="16"/>
  <c r="O17" i="18"/>
  <c r="Q40" i="22"/>
  <c r="E41" i="16"/>
  <c r="F41" i="16"/>
  <c r="H41" i="16"/>
  <c r="J41" i="16"/>
  <c r="L41" i="16"/>
  <c r="G23" i="17"/>
  <c r="G22" i="17"/>
  <c r="C32" i="17"/>
  <c r="C33" i="17"/>
  <c r="F37" i="16"/>
  <c r="J37" i="16"/>
  <c r="E35" i="16"/>
  <c r="H35" i="16"/>
  <c r="J35" i="16"/>
  <c r="F43" i="16"/>
  <c r="J43" i="16"/>
  <c r="J13" i="17"/>
  <c r="F23" i="17"/>
  <c r="F22" i="17"/>
  <c r="I11"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7" i="5"/>
  <c r="E7" i="5"/>
  <c r="F7" i="5"/>
  <c r="G7" i="5"/>
  <c r="H7" i="5"/>
  <c r="I7" i="5"/>
  <c r="J7" i="5"/>
  <c r="K7" i="5"/>
  <c r="L7" i="5"/>
  <c r="M7" i="5"/>
  <c r="N7" i="5"/>
  <c r="O7" i="5"/>
  <c r="P7" i="5"/>
  <c r="Q7" i="5"/>
  <c r="D7" i="2"/>
  <c r="E7" i="2"/>
  <c r="F7" i="2"/>
  <c r="G7" i="2"/>
  <c r="E76" i="4"/>
  <c r="I27" i="12"/>
  <c r="J27" i="12"/>
  <c r="K27" i="12"/>
  <c r="L27" i="12"/>
  <c r="M27" i="12"/>
  <c r="N27" i="12"/>
  <c r="O27" i="12"/>
  <c r="P27" i="12"/>
  <c r="Q27" i="12"/>
  <c r="H12" i="12"/>
  <c r="I12" i="12"/>
  <c r="J12" i="12"/>
  <c r="G39" i="12"/>
  <c r="G38" i="12"/>
  <c r="G40" i="12"/>
  <c r="C12" i="12"/>
  <c r="C34" i="11"/>
  <c r="C23" i="6"/>
  <c r="C21" i="20"/>
  <c r="H36" i="16"/>
  <c r="J36" i="16"/>
  <c r="L36" i="16"/>
  <c r="C17" i="1"/>
  <c r="P370" i="22"/>
  <c r="P11" i="12"/>
  <c r="P143" i="22"/>
  <c r="P162" i="22"/>
  <c r="P154" i="22"/>
  <c r="Q48" i="22"/>
  <c r="I10" i="14"/>
  <c r="I9" i="14"/>
  <c r="F48" i="17"/>
  <c r="C46" i="17"/>
  <c r="C47" i="17"/>
  <c r="L35" i="16"/>
  <c r="E10" i="19"/>
  <c r="E11" i="19"/>
  <c r="L37" i="16"/>
  <c r="E12" i="19"/>
  <c r="E13" i="19"/>
  <c r="L43" i="16"/>
  <c r="F12" i="19"/>
  <c r="F13" i="19"/>
  <c r="L42" i="16"/>
  <c r="F10" i="19"/>
  <c r="F11" i="19"/>
  <c r="H38" i="12"/>
  <c r="I38" i="12"/>
  <c r="J38" i="12"/>
  <c r="K38" i="12"/>
  <c r="J22" i="17"/>
  <c r="J23" i="17"/>
  <c r="C48" i="17"/>
  <c r="L38" i="12"/>
  <c r="K12" i="12"/>
  <c r="L12" i="12"/>
  <c r="M12" i="12"/>
  <c r="N12" i="12"/>
  <c r="I21" i="20"/>
  <c r="H21" i="20"/>
  <c r="P17" i="18"/>
  <c r="Q135" i="22"/>
  <c r="C49" i="17"/>
  <c r="M38" i="12"/>
  <c r="O12" i="12"/>
  <c r="J21" i="20"/>
  <c r="Q370" i="22"/>
  <c r="Q11" i="12"/>
  <c r="Q143" i="22"/>
  <c r="Q162" i="22"/>
  <c r="Q154" i="22"/>
  <c r="N38" i="12"/>
  <c r="P12" i="12"/>
  <c r="K21" i="20"/>
  <c r="Q17" i="18"/>
  <c r="O38" i="12"/>
  <c r="Q12" i="12"/>
  <c r="L21" i="20"/>
  <c r="P38" i="12"/>
  <c r="M21" i="20"/>
  <c r="N21" i="20"/>
  <c r="Q38" i="12"/>
  <c r="O21" i="20"/>
  <c r="F48" i="12"/>
  <c r="C47" i="12"/>
  <c r="C45" i="12"/>
  <c r="C17" i="12"/>
  <c r="C79" i="4"/>
  <c r="G79" i="4"/>
  <c r="H76" i="4"/>
  <c r="F79" i="4"/>
  <c r="F74" i="4"/>
  <c r="E74" i="4"/>
  <c r="D74" i="4"/>
  <c r="D76" i="4"/>
  <c r="D79" i="4"/>
  <c r="C74" i="4"/>
  <c r="G72" i="4"/>
  <c r="F72" i="4"/>
  <c r="E72" i="4"/>
  <c r="D72" i="4"/>
  <c r="C72" i="4"/>
  <c r="G55" i="4"/>
  <c r="F55" i="4"/>
  <c r="E55" i="4"/>
  <c r="D55" i="4"/>
  <c r="C55" i="4"/>
  <c r="G38" i="4"/>
  <c r="G41" i="4"/>
  <c r="C38" i="4"/>
  <c r="C41" i="4"/>
  <c r="G26" i="4"/>
  <c r="F26" i="4"/>
  <c r="F38" i="4"/>
  <c r="F41" i="4"/>
  <c r="E26" i="4"/>
  <c r="E38" i="4"/>
  <c r="E41" i="4"/>
  <c r="D26" i="4"/>
  <c r="D38" i="4"/>
  <c r="D41" i="4"/>
  <c r="C26" i="4"/>
  <c r="G71" i="3"/>
  <c r="F71" i="3"/>
  <c r="E71" i="3"/>
  <c r="D71" i="3"/>
  <c r="C71" i="3"/>
  <c r="G56" i="3"/>
  <c r="F56" i="3"/>
  <c r="E56" i="3"/>
  <c r="D56" i="3"/>
  <c r="C56" i="3"/>
  <c r="G45" i="3"/>
  <c r="G44" i="3"/>
  <c r="F44" i="3"/>
  <c r="F45" i="3"/>
  <c r="E44" i="3"/>
  <c r="E45" i="3"/>
  <c r="D44" i="3"/>
  <c r="D45" i="3"/>
  <c r="C44" i="3"/>
  <c r="C45" i="3"/>
  <c r="G36" i="3"/>
  <c r="F36" i="3"/>
  <c r="E36" i="3"/>
  <c r="D36" i="3"/>
  <c r="C36" i="3"/>
  <c r="G24" i="3"/>
  <c r="G38" i="3"/>
  <c r="G77" i="3"/>
  <c r="F24" i="3"/>
  <c r="E24" i="3"/>
  <c r="D24" i="3"/>
  <c r="C24" i="3"/>
  <c r="G20" i="2"/>
  <c r="F20" i="2"/>
  <c r="E20" i="2"/>
  <c r="D20" i="2"/>
  <c r="D22" i="2"/>
  <c r="D24" i="2"/>
  <c r="D31" i="2"/>
  <c r="C20" i="2"/>
  <c r="C22" i="2"/>
  <c r="C24" i="2"/>
  <c r="C31" i="2"/>
  <c r="E22" i="2"/>
  <c r="E24" i="2"/>
  <c r="G12" i="2"/>
  <c r="G22" i="2"/>
  <c r="G24" i="2"/>
  <c r="G31" i="2"/>
  <c r="F12" i="2"/>
  <c r="E12" i="2"/>
  <c r="D12" i="2"/>
  <c r="C12" i="2"/>
  <c r="G69" i="20"/>
  <c r="C30" i="21"/>
  <c r="C21" i="21"/>
  <c r="C15" i="21"/>
  <c r="C16" i="21"/>
  <c r="C25" i="21"/>
  <c r="C11" i="21"/>
  <c r="C17" i="21"/>
  <c r="G30" i="21"/>
  <c r="G21" i="21"/>
  <c r="G15" i="21"/>
  <c r="G11" i="21"/>
  <c r="G17" i="21"/>
  <c r="G25" i="21"/>
  <c r="G16" i="21"/>
  <c r="D27" i="21"/>
  <c r="E27" i="21"/>
  <c r="C26" i="21"/>
  <c r="G26" i="21"/>
  <c r="C27" i="21"/>
  <c r="G27" i="21"/>
  <c r="F27" i="21"/>
  <c r="Q23" i="6"/>
  <c r="C75" i="20"/>
  <c r="F52" i="20"/>
  <c r="F45" i="12"/>
  <c r="F75" i="20"/>
  <c r="F46" i="12"/>
  <c r="F47" i="12"/>
  <c r="F49" i="12"/>
  <c r="C14" i="12"/>
  <c r="C18" i="12"/>
  <c r="C48" i="12"/>
  <c r="F28" i="7"/>
  <c r="C15" i="12"/>
  <c r="C49" i="12"/>
  <c r="D45" i="12"/>
  <c r="D46" i="12"/>
  <c r="D47" i="12"/>
  <c r="D48" i="12"/>
  <c r="D49" i="12"/>
  <c r="C16" i="12"/>
  <c r="C28" i="12"/>
  <c r="C46" i="12"/>
  <c r="E28" i="7"/>
  <c r="E45" i="12"/>
  <c r="E75" i="20"/>
  <c r="E46" i="12"/>
  <c r="E47" i="12"/>
  <c r="E48" i="12"/>
  <c r="E49" i="12"/>
  <c r="C73" i="3"/>
  <c r="C75" i="3"/>
  <c r="D73" i="3"/>
  <c r="D75" i="3"/>
  <c r="C52" i="20"/>
  <c r="C38" i="3"/>
  <c r="G52" i="20"/>
  <c r="D38" i="3"/>
  <c r="D77" i="3"/>
  <c r="E73" i="3"/>
  <c r="G11" i="5"/>
  <c r="D11" i="5"/>
  <c r="F11" i="5"/>
  <c r="E11" i="5"/>
  <c r="E79" i="4"/>
  <c r="G73" i="3"/>
  <c r="G75" i="3"/>
  <c r="F73" i="3"/>
  <c r="F75" i="3"/>
  <c r="F38" i="3"/>
  <c r="F77" i="3"/>
  <c r="E75" i="3"/>
  <c r="E38" i="3"/>
  <c r="E77" i="3"/>
  <c r="E31" i="2"/>
  <c r="F22" i="2"/>
  <c r="D75" i="20"/>
  <c r="C37" i="18"/>
  <c r="C77" i="3"/>
  <c r="E11" i="9"/>
  <c r="D52" i="20"/>
  <c r="E17" i="21"/>
  <c r="E25" i="21"/>
  <c r="E16" i="21"/>
  <c r="E11" i="21"/>
  <c r="E30" i="21"/>
  <c r="E21" i="21"/>
  <c r="E15" i="21"/>
  <c r="G12" i="20"/>
  <c r="E52" i="20"/>
  <c r="F25" i="21"/>
  <c r="F16" i="21"/>
  <c r="F11" i="21"/>
  <c r="F30" i="21"/>
  <c r="F21" i="21"/>
  <c r="F15" i="21"/>
  <c r="F17" i="21"/>
  <c r="E26" i="21"/>
  <c r="F26" i="21"/>
  <c r="D21" i="21"/>
  <c r="D17" i="21"/>
  <c r="D15" i="21"/>
  <c r="D25" i="21"/>
  <c r="D16" i="21"/>
  <c r="D11" i="21"/>
  <c r="D30" i="21"/>
  <c r="D26" i="21"/>
  <c r="E42" i="20"/>
  <c r="C51" i="12"/>
  <c r="D42" i="20"/>
  <c r="D51" i="12"/>
  <c r="F51" i="12"/>
  <c r="C32" i="12"/>
  <c r="G42" i="20"/>
  <c r="C20" i="12"/>
  <c r="F42" i="20"/>
  <c r="E51" i="12"/>
  <c r="F24" i="2"/>
  <c r="F31" i="2"/>
  <c r="C42" i="20"/>
  <c r="G11" i="9"/>
  <c r="H11" i="5"/>
  <c r="I22" i="5"/>
  <c r="H23" i="5"/>
  <c r="I23" i="5"/>
  <c r="J23" i="5"/>
  <c r="K23" i="5"/>
  <c r="L23" i="5"/>
  <c r="M23" i="5"/>
  <c r="N23" i="5"/>
  <c r="O23" i="5"/>
  <c r="P23" i="5"/>
  <c r="Q23" i="5"/>
  <c r="H21" i="5"/>
  <c r="I21" i="5"/>
  <c r="J21" i="5"/>
  <c r="K21" i="5"/>
  <c r="L21" i="5"/>
  <c r="M21" i="5"/>
  <c r="N21" i="5"/>
  <c r="O21" i="5"/>
  <c r="P21" i="5"/>
  <c r="Q21" i="5"/>
  <c r="C66" i="12"/>
  <c r="C68" i="12"/>
  <c r="G18" i="18"/>
  <c r="F11" i="9"/>
  <c r="F18" i="18"/>
  <c r="C19" i="21"/>
  <c r="G15" i="20"/>
  <c r="G19" i="21"/>
  <c r="E18" i="18"/>
  <c r="D18" i="18"/>
  <c r="F36" i="20"/>
  <c r="E57" i="21"/>
  <c r="E36" i="20"/>
  <c r="G36" i="20"/>
  <c r="D36" i="20"/>
  <c r="C36" i="20"/>
  <c r="D66" i="12"/>
  <c r="D68" i="12"/>
  <c r="C34" i="12"/>
  <c r="E66" i="12"/>
  <c r="E68" i="12"/>
  <c r="F66" i="12"/>
  <c r="F68" i="12"/>
  <c r="G66" i="12"/>
  <c r="G68" i="12"/>
  <c r="D11" i="9"/>
  <c r="F57" i="21"/>
  <c r="F87" i="20"/>
  <c r="F30" i="20"/>
  <c r="F66" i="20"/>
  <c r="G87" i="20"/>
  <c r="G66" i="20"/>
  <c r="D57" i="21"/>
  <c r="E87" i="20"/>
  <c r="E66" i="20"/>
  <c r="D87" i="20"/>
  <c r="D84" i="20"/>
  <c r="D30" i="20"/>
  <c r="D66" i="20"/>
  <c r="E30" i="20"/>
  <c r="J22" i="5"/>
  <c r="I11" i="5"/>
  <c r="G70" i="12"/>
  <c r="F19" i="21"/>
  <c r="D19" i="21"/>
  <c r="C58" i="20"/>
  <c r="C51" i="11"/>
  <c r="C13" i="18"/>
  <c r="C14" i="18"/>
  <c r="C15" i="18"/>
  <c r="C20" i="18"/>
  <c r="C22" i="18"/>
  <c r="C23" i="21"/>
  <c r="E19" i="21"/>
  <c r="G18" i="20"/>
  <c r="G23" i="21"/>
  <c r="G13" i="18"/>
  <c r="G14" i="18"/>
  <c r="G15" i="18"/>
  <c r="G20" i="18"/>
  <c r="G22" i="18"/>
  <c r="G58" i="20"/>
  <c r="E70" i="12"/>
  <c r="F70" i="12"/>
  <c r="H16" i="18"/>
  <c r="D70" i="12"/>
  <c r="D55" i="20"/>
  <c r="D93" i="21"/>
  <c r="D88" i="21"/>
  <c r="D86" i="21"/>
  <c r="D84" i="21"/>
  <c r="D82" i="21"/>
  <c r="D81" i="21"/>
  <c r="D74" i="21"/>
  <c r="D72" i="21"/>
  <c r="D65" i="21"/>
  <c r="D63" i="21"/>
  <c r="D55" i="21"/>
  <c r="D52" i="21"/>
  <c r="D49" i="20"/>
  <c r="D91" i="21"/>
  <c r="D89" i="21"/>
  <c r="D87" i="21"/>
  <c r="D85" i="21"/>
  <c r="D83" i="21"/>
  <c r="D79" i="21"/>
  <c r="D76" i="21"/>
  <c r="D73" i="21"/>
  <c r="D71" i="21"/>
  <c r="D70" i="21"/>
  <c r="D64" i="21"/>
  <c r="D59" i="21"/>
  <c r="D54" i="21"/>
  <c r="D53" i="21"/>
  <c r="D43" i="21"/>
  <c r="D39" i="21"/>
  <c r="D50" i="21"/>
  <c r="D42" i="21"/>
  <c r="D37" i="21"/>
  <c r="D49" i="21"/>
  <c r="D41" i="21"/>
  <c r="D36" i="21"/>
  <c r="D45" i="21"/>
  <c r="D40" i="21"/>
  <c r="D51" i="21"/>
  <c r="G93" i="21"/>
  <c r="G91" i="21"/>
  <c r="G89" i="21"/>
  <c r="G88" i="21"/>
  <c r="G87" i="21"/>
  <c r="G86" i="21"/>
  <c r="G85" i="21"/>
  <c r="G84" i="21"/>
  <c r="G83" i="21"/>
  <c r="G82" i="21"/>
  <c r="G81" i="21"/>
  <c r="G79" i="21"/>
  <c r="G76" i="21"/>
  <c r="G74" i="21"/>
  <c r="G73" i="21"/>
  <c r="G72" i="21"/>
  <c r="G71" i="21"/>
  <c r="G70" i="21"/>
  <c r="G65" i="21"/>
  <c r="G64" i="21"/>
  <c r="G63" i="21"/>
  <c r="G59" i="21"/>
  <c r="G55" i="21"/>
  <c r="G54" i="21"/>
  <c r="G53" i="21"/>
  <c r="G52" i="21"/>
  <c r="G50" i="21"/>
  <c r="G49" i="21"/>
  <c r="G45" i="21"/>
  <c r="G43" i="21"/>
  <c r="G42" i="21"/>
  <c r="G41" i="21"/>
  <c r="G40" i="21"/>
  <c r="G39" i="21"/>
  <c r="G37" i="21"/>
  <c r="G36" i="21"/>
  <c r="G55" i="20"/>
  <c r="G49" i="20"/>
  <c r="G51" i="21"/>
  <c r="G57" i="21"/>
  <c r="E91" i="21"/>
  <c r="E88" i="21"/>
  <c r="E86" i="21"/>
  <c r="E84" i="21"/>
  <c r="E82" i="21"/>
  <c r="E79" i="21"/>
  <c r="E74" i="21"/>
  <c r="E72" i="21"/>
  <c r="E70" i="21"/>
  <c r="E64" i="21"/>
  <c r="E59" i="21"/>
  <c r="E55" i="21"/>
  <c r="E53" i="21"/>
  <c r="E49" i="21"/>
  <c r="E43" i="21"/>
  <c r="E40" i="21"/>
  <c r="E37" i="21"/>
  <c r="E49" i="20"/>
  <c r="E93" i="21"/>
  <c r="E89" i="21"/>
  <c r="E87" i="21"/>
  <c r="E85" i="21"/>
  <c r="E83" i="21"/>
  <c r="E81" i="21"/>
  <c r="E76" i="21"/>
  <c r="E73" i="21"/>
  <c r="E71" i="21"/>
  <c r="E65" i="21"/>
  <c r="E63" i="21"/>
  <c r="E54" i="21"/>
  <c r="E52" i="21"/>
  <c r="E50" i="21"/>
  <c r="E45" i="21"/>
  <c r="E42" i="21"/>
  <c r="E41" i="21"/>
  <c r="E39" i="21"/>
  <c r="E36" i="21"/>
  <c r="E55" i="20"/>
  <c r="E51" i="21"/>
  <c r="F49" i="20"/>
  <c r="F55" i="20"/>
  <c r="F93" i="21"/>
  <c r="F91" i="21"/>
  <c r="F89" i="21"/>
  <c r="F88" i="21"/>
  <c r="F87" i="21"/>
  <c r="F86" i="21"/>
  <c r="F85" i="21"/>
  <c r="F84" i="21"/>
  <c r="F83" i="21"/>
  <c r="F82" i="21"/>
  <c r="F81" i="21"/>
  <c r="F79" i="21"/>
  <c r="F76" i="21"/>
  <c r="F74" i="21"/>
  <c r="F73" i="21"/>
  <c r="F72" i="21"/>
  <c r="F71" i="21"/>
  <c r="F70" i="21"/>
  <c r="F65" i="21"/>
  <c r="F64" i="21"/>
  <c r="F63" i="21"/>
  <c r="F59" i="21"/>
  <c r="F55" i="21"/>
  <c r="F54" i="21"/>
  <c r="F53" i="21"/>
  <c r="F52" i="21"/>
  <c r="F50" i="21"/>
  <c r="F49" i="21"/>
  <c r="F45" i="21"/>
  <c r="F43" i="21"/>
  <c r="F42" i="21"/>
  <c r="F41" i="21"/>
  <c r="F40" i="21"/>
  <c r="F39" i="21"/>
  <c r="F37" i="21"/>
  <c r="F36" i="21"/>
  <c r="F51" i="21"/>
  <c r="C70" i="12"/>
  <c r="C89" i="21"/>
  <c r="C85" i="21"/>
  <c r="C81" i="21"/>
  <c r="C73" i="21"/>
  <c r="C65" i="21"/>
  <c r="C52" i="21"/>
  <c r="C91" i="21"/>
  <c r="C86" i="21"/>
  <c r="C82" i="21"/>
  <c r="C74" i="21"/>
  <c r="C70" i="21"/>
  <c r="C59" i="21"/>
  <c r="C93" i="21"/>
  <c r="C87" i="21"/>
  <c r="C83" i="21"/>
  <c r="C76" i="21"/>
  <c r="C71" i="21"/>
  <c r="C63" i="21"/>
  <c r="C54" i="21"/>
  <c r="C79" i="21"/>
  <c r="C49" i="21"/>
  <c r="C42" i="21"/>
  <c r="C37" i="21"/>
  <c r="C72" i="21"/>
  <c r="C84" i="21"/>
  <c r="C55" i="21"/>
  <c r="C51" i="21"/>
  <c r="C43" i="21"/>
  <c r="C39" i="21"/>
  <c r="C55" i="20"/>
  <c r="C88" i="21"/>
  <c r="C64" i="21"/>
  <c r="C53" i="21"/>
  <c r="C45" i="21"/>
  <c r="C40" i="21"/>
  <c r="C36" i="21"/>
  <c r="C41" i="21"/>
  <c r="C49" i="20"/>
  <c r="C50" i="21"/>
  <c r="C57" i="21"/>
  <c r="F90" i="20"/>
  <c r="D90" i="20"/>
  <c r="E90" i="20"/>
  <c r="H11" i="21"/>
  <c r="H16" i="21"/>
  <c r="H26" i="21"/>
  <c r="H15" i="21"/>
  <c r="H21" i="21"/>
  <c r="H27" i="21"/>
  <c r="H20" i="12"/>
  <c r="C40" i="17"/>
  <c r="C42" i="17"/>
  <c r="C51" i="17"/>
  <c r="K22" i="5"/>
  <c r="J11" i="5"/>
  <c r="G28" i="21"/>
  <c r="D13" i="18"/>
  <c r="D23" i="21"/>
  <c r="D58" i="20"/>
  <c r="E23" i="21"/>
  <c r="E13" i="18"/>
  <c r="E14" i="18"/>
  <c r="E15" i="18"/>
  <c r="E20" i="18"/>
  <c r="E22" i="18"/>
  <c r="E58" i="20"/>
  <c r="C28" i="21"/>
  <c r="F58" i="20"/>
  <c r="F23" i="21"/>
  <c r="F13" i="18"/>
  <c r="F14" i="18"/>
  <c r="F15" i="18"/>
  <c r="F20" i="18"/>
  <c r="F22" i="18"/>
  <c r="I16" i="18"/>
  <c r="H72" i="20"/>
  <c r="H63" i="20"/>
  <c r="I63" i="20"/>
  <c r="G27" i="20"/>
  <c r="G24" i="20"/>
  <c r="G90" i="20"/>
  <c r="G30" i="20"/>
  <c r="G75" i="20"/>
  <c r="H17" i="21"/>
  <c r="H69" i="20"/>
  <c r="H11" i="9"/>
  <c r="L22" i="5"/>
  <c r="K11" i="5"/>
  <c r="F28" i="21"/>
  <c r="D14" i="18"/>
  <c r="D15" i="18"/>
  <c r="D20" i="18"/>
  <c r="D22" i="18"/>
  <c r="D28" i="21"/>
  <c r="G32" i="21"/>
  <c r="G37" i="11"/>
  <c r="G38" i="11"/>
  <c r="C35" i="11"/>
  <c r="C37" i="11"/>
  <c r="C38" i="11"/>
  <c r="C32" i="21"/>
  <c r="E28" i="21"/>
  <c r="I11" i="21"/>
  <c r="I27" i="21"/>
  <c r="I21" i="21"/>
  <c r="I26" i="21"/>
  <c r="I16" i="21"/>
  <c r="I20" i="12"/>
  <c r="H18" i="18"/>
  <c r="H12" i="20"/>
  <c r="I15" i="21"/>
  <c r="I72" i="20"/>
  <c r="J11" i="21"/>
  <c r="I69" i="20"/>
  <c r="H25" i="21"/>
  <c r="M22" i="5"/>
  <c r="L11" i="5"/>
  <c r="D37" i="11"/>
  <c r="D38" i="11"/>
  <c r="D32" i="21"/>
  <c r="F37" i="11"/>
  <c r="F38" i="11"/>
  <c r="F32" i="21"/>
  <c r="E32" i="21"/>
  <c r="E37" i="11"/>
  <c r="E38" i="11"/>
  <c r="J26" i="21"/>
  <c r="J27" i="21"/>
  <c r="J16" i="21"/>
  <c r="I66" i="12"/>
  <c r="I18" i="18"/>
  <c r="J16" i="18"/>
  <c r="J21" i="21"/>
  <c r="I11" i="9"/>
  <c r="H66" i="12"/>
  <c r="J63" i="20"/>
  <c r="H19" i="21"/>
  <c r="H18" i="20"/>
  <c r="J69" i="20"/>
  <c r="K11" i="21"/>
  <c r="J15" i="21"/>
  <c r="J72" i="20"/>
  <c r="J12" i="20"/>
  <c r="N22" i="5"/>
  <c r="K16" i="21"/>
  <c r="K27" i="21"/>
  <c r="K11" i="9"/>
  <c r="K26" i="21"/>
  <c r="J66" i="12"/>
  <c r="J18" i="18"/>
  <c r="J20" i="12"/>
  <c r="J11" i="9"/>
  <c r="K16" i="18"/>
  <c r="K21" i="21"/>
  <c r="I12" i="20"/>
  <c r="I17" i="21"/>
  <c r="I25" i="21"/>
  <c r="K63" i="20"/>
  <c r="H13" i="18"/>
  <c r="H14" i="18"/>
  <c r="H15" i="18"/>
  <c r="H20" i="18"/>
  <c r="H22" i="18"/>
  <c r="H23" i="21"/>
  <c r="H58" i="20"/>
  <c r="H15" i="20"/>
  <c r="H28" i="21"/>
  <c r="K15" i="21"/>
  <c r="K72" i="20"/>
  <c r="L11" i="21"/>
  <c r="K69" i="20"/>
  <c r="K12" i="20"/>
  <c r="M11" i="5"/>
  <c r="O22" i="5"/>
  <c r="N11" i="5"/>
  <c r="J17" i="21"/>
  <c r="L27" i="21"/>
  <c r="J25" i="21"/>
  <c r="L16" i="21"/>
  <c r="L26" i="21"/>
  <c r="K66" i="12"/>
  <c r="K18" i="18"/>
  <c r="J15" i="20"/>
  <c r="J19" i="21"/>
  <c r="I15" i="20"/>
  <c r="I19" i="21"/>
  <c r="L63" i="20"/>
  <c r="L15" i="21"/>
  <c r="L72" i="20"/>
  <c r="M11" i="21"/>
  <c r="L69" i="20"/>
  <c r="M16" i="21"/>
  <c r="P22" i="5"/>
  <c r="O11" i="5"/>
  <c r="K25" i="21"/>
  <c r="K17" i="21"/>
  <c r="M27" i="21"/>
  <c r="L12" i="20"/>
  <c r="M26" i="21"/>
  <c r="L11" i="9"/>
  <c r="L66" i="12"/>
  <c r="L18" i="18"/>
  <c r="K20" i="12"/>
  <c r="H81" i="20"/>
  <c r="H30" i="21"/>
  <c r="I13" i="18"/>
  <c r="I14" i="18"/>
  <c r="I15" i="18"/>
  <c r="I20" i="18"/>
  <c r="I22" i="18"/>
  <c r="I58" i="20"/>
  <c r="I23" i="21"/>
  <c r="I18" i="20"/>
  <c r="K15" i="20"/>
  <c r="K19" i="21"/>
  <c r="J23" i="21"/>
  <c r="J58" i="20"/>
  <c r="J18" i="20"/>
  <c r="J13" i="18"/>
  <c r="J14" i="18"/>
  <c r="J15" i="18"/>
  <c r="J20" i="18"/>
  <c r="J22" i="18"/>
  <c r="M63" i="20"/>
  <c r="N63" i="20"/>
  <c r="M17" i="21"/>
  <c r="M69" i="20"/>
  <c r="N69" i="20"/>
  <c r="M15" i="21"/>
  <c r="M72" i="20"/>
  <c r="H24" i="20"/>
  <c r="Q22" i="5"/>
  <c r="N16" i="21"/>
  <c r="L17" i="21"/>
  <c r="N26" i="21"/>
  <c r="N27" i="21"/>
  <c r="N11" i="21"/>
  <c r="L25" i="21"/>
  <c r="M11" i="9"/>
  <c r="M66" i="12"/>
  <c r="M18" i="18"/>
  <c r="L16" i="18"/>
  <c r="L21" i="21"/>
  <c r="H32" i="21"/>
  <c r="M25" i="21"/>
  <c r="K23" i="21"/>
  <c r="K58" i="20"/>
  <c r="K18" i="20"/>
  <c r="K13" i="18"/>
  <c r="K14" i="18"/>
  <c r="K15" i="18"/>
  <c r="K20" i="18"/>
  <c r="K22" i="18"/>
  <c r="I28" i="21"/>
  <c r="J28" i="21"/>
  <c r="L19" i="21"/>
  <c r="H37" i="11"/>
  <c r="H39" i="12"/>
  <c r="H40" i="12"/>
  <c r="H75" i="20"/>
  <c r="L15" i="20"/>
  <c r="O63" i="20"/>
  <c r="H42" i="20"/>
  <c r="M12" i="20"/>
  <c r="H27" i="20"/>
  <c r="O69" i="20"/>
  <c r="N12" i="20"/>
  <c r="N15" i="21"/>
  <c r="N72" i="20"/>
  <c r="O27" i="21"/>
  <c r="N11" i="9"/>
  <c r="O15" i="21"/>
  <c r="O11" i="21"/>
  <c r="O26" i="21"/>
  <c r="N66" i="12"/>
  <c r="N18" i="18"/>
  <c r="H38" i="11"/>
  <c r="H68" i="12"/>
  <c r="H52" i="20"/>
  <c r="L58" i="20"/>
  <c r="L23" i="21"/>
  <c r="K28" i="21"/>
  <c r="H32" i="12"/>
  <c r="L18" i="20"/>
  <c r="L13" i="18"/>
  <c r="O72" i="20"/>
  <c r="M19" i="21"/>
  <c r="O17" i="21"/>
  <c r="P11" i="5"/>
  <c r="Q11" i="5"/>
  <c r="N25" i="21"/>
  <c r="N17" i="21"/>
  <c r="O16" i="21"/>
  <c r="O11" i="9"/>
  <c r="L20" i="12"/>
  <c r="L28" i="21"/>
  <c r="O25" i="21"/>
  <c r="J81" i="20"/>
  <c r="J30" i="21"/>
  <c r="M16" i="18"/>
  <c r="M21" i="21"/>
  <c r="I81" i="20"/>
  <c r="I30" i="21"/>
  <c r="N19" i="21"/>
  <c r="H34" i="12"/>
  <c r="H36" i="20"/>
  <c r="L14" i="18"/>
  <c r="L15" i="18"/>
  <c r="L20" i="18"/>
  <c r="L22" i="18"/>
  <c r="M15" i="20"/>
  <c r="O18" i="18"/>
  <c r="H84" i="20"/>
  <c r="O12" i="20"/>
  <c r="H57" i="21"/>
  <c r="H87" i="20"/>
  <c r="H66" i="20"/>
  <c r="H30" i="20"/>
  <c r="P11" i="21"/>
  <c r="I24" i="20"/>
  <c r="J24" i="20"/>
  <c r="Q11" i="21"/>
  <c r="P16" i="21"/>
  <c r="P27" i="21"/>
  <c r="P26" i="21"/>
  <c r="P18" i="18"/>
  <c r="Q16" i="21"/>
  <c r="Q27" i="21"/>
  <c r="Q26" i="21"/>
  <c r="L30" i="21"/>
  <c r="M23" i="21"/>
  <c r="M58" i="20"/>
  <c r="I32" i="21"/>
  <c r="J32" i="21"/>
  <c r="K81" i="20"/>
  <c r="K30" i="21"/>
  <c r="H91" i="21"/>
  <c r="H86" i="21"/>
  <c r="H82" i="21"/>
  <c r="H74" i="21"/>
  <c r="H70" i="21"/>
  <c r="H59" i="21"/>
  <c r="H53" i="21"/>
  <c r="H49" i="21"/>
  <c r="H93" i="21"/>
  <c r="H87" i="21"/>
  <c r="H83" i="21"/>
  <c r="H76" i="21"/>
  <c r="H71" i="21"/>
  <c r="H63" i="21"/>
  <c r="H88" i="21"/>
  <c r="H84" i="21"/>
  <c r="H79" i="21"/>
  <c r="H72" i="21"/>
  <c r="H64" i="21"/>
  <c r="H55" i="21"/>
  <c r="H73" i="21"/>
  <c r="H54" i="21"/>
  <c r="H43" i="21"/>
  <c r="H39" i="21"/>
  <c r="H81" i="21"/>
  <c r="H45" i="21"/>
  <c r="H40" i="21"/>
  <c r="H65" i="21"/>
  <c r="H85" i="21"/>
  <c r="H41" i="21"/>
  <c r="H36" i="21"/>
  <c r="H55" i="20"/>
  <c r="H49" i="20"/>
  <c r="H89" i="21"/>
  <c r="H52" i="21"/>
  <c r="H42" i="21"/>
  <c r="H37" i="21"/>
  <c r="H50" i="21"/>
  <c r="H51" i="21"/>
  <c r="H70" i="12"/>
  <c r="O66" i="12"/>
  <c r="M18" i="20"/>
  <c r="M13" i="18"/>
  <c r="Q63" i="20"/>
  <c r="O19" i="21"/>
  <c r="P63" i="20"/>
  <c r="K24" i="20"/>
  <c r="Q15" i="21"/>
  <c r="Q72" i="20"/>
  <c r="P15" i="21"/>
  <c r="P72" i="20"/>
  <c r="Q69" i="20"/>
  <c r="P17" i="21"/>
  <c r="Q12" i="20"/>
  <c r="H90" i="20"/>
  <c r="P69" i="20"/>
  <c r="Q11" i="9"/>
  <c r="P66" i="12"/>
  <c r="P11" i="9"/>
  <c r="Q25" i="21"/>
  <c r="L81" i="20"/>
  <c r="Q66" i="12"/>
  <c r="Q18" i="18"/>
  <c r="J37" i="11"/>
  <c r="J38" i="11"/>
  <c r="I37" i="11"/>
  <c r="I38" i="11"/>
  <c r="N16" i="18"/>
  <c r="N21" i="21"/>
  <c r="M20" i="12"/>
  <c r="M28" i="21"/>
  <c r="K32" i="21"/>
  <c r="M14" i="18"/>
  <c r="M15" i="18"/>
  <c r="M20" i="18"/>
  <c r="M22" i="18"/>
  <c r="N15" i="20"/>
  <c r="I42" i="20"/>
  <c r="L24" i="20"/>
  <c r="Q17" i="21"/>
  <c r="P25" i="21"/>
  <c r="L32" i="21"/>
  <c r="I39" i="12"/>
  <c r="J39" i="12"/>
  <c r="K37" i="11"/>
  <c r="K38" i="11"/>
  <c r="M81" i="20"/>
  <c r="M30" i="21"/>
  <c r="N23" i="21"/>
  <c r="N58" i="20"/>
  <c r="Q19" i="21"/>
  <c r="I32" i="12"/>
  <c r="N18" i="20"/>
  <c r="N13" i="18"/>
  <c r="J42" i="20"/>
  <c r="L37" i="11"/>
  <c r="L38" i="11"/>
  <c r="M24" i="20"/>
  <c r="P19" i="21"/>
  <c r="P12" i="20"/>
  <c r="I40" i="12"/>
  <c r="J32" i="12"/>
  <c r="J40" i="12"/>
  <c r="K39" i="12"/>
  <c r="N20" i="12"/>
  <c r="I36" i="20"/>
  <c r="I34" i="12"/>
  <c r="M32" i="21"/>
  <c r="N28" i="21"/>
  <c r="N14" i="18"/>
  <c r="N15" i="18"/>
  <c r="N20" i="18"/>
  <c r="N22" i="18"/>
  <c r="I84" i="20"/>
  <c r="K42" i="20"/>
  <c r="M37" i="11"/>
  <c r="M38" i="11"/>
  <c r="I87" i="20"/>
  <c r="I66" i="20"/>
  <c r="I30" i="20"/>
  <c r="J75" i="20"/>
  <c r="I52" i="20"/>
  <c r="I75" i="20"/>
  <c r="I27" i="20"/>
  <c r="J27" i="20"/>
  <c r="I68" i="12"/>
  <c r="I70" i="12"/>
  <c r="I65" i="21"/>
  <c r="I57" i="21"/>
  <c r="K40" i="12"/>
  <c r="L39" i="12"/>
  <c r="L40" i="12"/>
  <c r="K32" i="12"/>
  <c r="I87" i="21"/>
  <c r="I63" i="21"/>
  <c r="I79" i="21"/>
  <c r="I89" i="21"/>
  <c r="I70" i="21"/>
  <c r="I74" i="21"/>
  <c r="I55" i="20"/>
  <c r="I37" i="21"/>
  <c r="I39" i="21"/>
  <c r="I50" i="21"/>
  <c r="I83" i="21"/>
  <c r="I54" i="21"/>
  <c r="I72" i="21"/>
  <c r="I85" i="21"/>
  <c r="I52" i="21"/>
  <c r="I40" i="21"/>
  <c r="I53" i="21"/>
  <c r="I49" i="20"/>
  <c r="I49" i="21"/>
  <c r="I76" i="21"/>
  <c r="I88" i="21"/>
  <c r="I81" i="21"/>
  <c r="I45" i="21"/>
  <c r="I41" i="21"/>
  <c r="I82" i="21"/>
  <c r="I43" i="21"/>
  <c r="I71" i="21"/>
  <c r="I84" i="21"/>
  <c r="I55" i="21"/>
  <c r="I73" i="21"/>
  <c r="I91" i="21"/>
  <c r="I59" i="21"/>
  <c r="I36" i="21"/>
  <c r="I42" i="21"/>
  <c r="I86" i="21"/>
  <c r="I51" i="21"/>
  <c r="I64" i="21"/>
  <c r="J68" i="12"/>
  <c r="J52" i="20"/>
  <c r="O16" i="18"/>
  <c r="O21" i="21"/>
  <c r="J36" i="20"/>
  <c r="J34" i="12"/>
  <c r="O15" i="20"/>
  <c r="J87" i="20"/>
  <c r="J84" i="20"/>
  <c r="L42" i="20"/>
  <c r="I90" i="20"/>
  <c r="I93" i="21"/>
  <c r="K75" i="20"/>
  <c r="L27" i="20"/>
  <c r="J30" i="20"/>
  <c r="K27" i="20"/>
  <c r="J65" i="21"/>
  <c r="L75" i="20"/>
  <c r="L32" i="12"/>
  <c r="L36" i="20"/>
  <c r="J66" i="20"/>
  <c r="M39" i="12"/>
  <c r="M40" i="12"/>
  <c r="O20" i="12"/>
  <c r="J70" i="12"/>
  <c r="J93" i="21"/>
  <c r="N81" i="20"/>
  <c r="N30" i="21"/>
  <c r="L68" i="12"/>
  <c r="L52" i="20"/>
  <c r="O23" i="21"/>
  <c r="O58" i="20"/>
  <c r="J57" i="21"/>
  <c r="J72" i="21"/>
  <c r="J85" i="21"/>
  <c r="J91" i="21"/>
  <c r="J70" i="21"/>
  <c r="J87" i="21"/>
  <c r="J36" i="21"/>
  <c r="J71" i="21"/>
  <c r="J39" i="21"/>
  <c r="J40" i="21"/>
  <c r="J88" i="21"/>
  <c r="J81" i="21"/>
  <c r="J86" i="21"/>
  <c r="J59" i="21"/>
  <c r="J63" i="21"/>
  <c r="J55" i="20"/>
  <c r="J42" i="21"/>
  <c r="J76" i="21"/>
  <c r="J84" i="21"/>
  <c r="J55" i="21"/>
  <c r="J73" i="21"/>
  <c r="J82" i="21"/>
  <c r="J53" i="21"/>
  <c r="J45" i="21"/>
  <c r="J49" i="20"/>
  <c r="J37" i="21"/>
  <c r="J52" i="21"/>
  <c r="J83" i="21"/>
  <c r="J50" i="21"/>
  <c r="J79" i="21"/>
  <c r="J89" i="21"/>
  <c r="J74" i="21"/>
  <c r="J49" i="21"/>
  <c r="J41" i="21"/>
  <c r="J43" i="21"/>
  <c r="J54" i="21"/>
  <c r="J64" i="21"/>
  <c r="J51" i="21"/>
  <c r="K36" i="20"/>
  <c r="K34" i="12"/>
  <c r="K68" i="12"/>
  <c r="K52" i="20"/>
  <c r="O18" i="20"/>
  <c r="O13" i="18"/>
  <c r="J90" i="20"/>
  <c r="K84" i="20"/>
  <c r="M42" i="20"/>
  <c r="L34" i="12"/>
  <c r="L82" i="21"/>
  <c r="K87" i="20"/>
  <c r="K90" i="20"/>
  <c r="M32" i="12"/>
  <c r="M36" i="20"/>
  <c r="K30" i="20"/>
  <c r="N24" i="20"/>
  <c r="M68" i="12"/>
  <c r="M75" i="20"/>
  <c r="K57" i="21"/>
  <c r="M27" i="20"/>
  <c r="K66" i="20"/>
  <c r="M52" i="20"/>
  <c r="K65" i="21"/>
  <c r="O28" i="21"/>
  <c r="K73" i="21"/>
  <c r="K91" i="21"/>
  <c r="K70" i="21"/>
  <c r="K83" i="21"/>
  <c r="K54" i="21"/>
  <c r="K42" i="21"/>
  <c r="K88" i="21"/>
  <c r="K89" i="21"/>
  <c r="K86" i="21"/>
  <c r="K59" i="21"/>
  <c r="K76" i="21"/>
  <c r="K84" i="21"/>
  <c r="K37" i="21"/>
  <c r="K72" i="21"/>
  <c r="K79" i="21"/>
  <c r="K41" i="21"/>
  <c r="K45" i="21"/>
  <c r="K63" i="21"/>
  <c r="K40" i="21"/>
  <c r="K36" i="21"/>
  <c r="K85" i="21"/>
  <c r="K52" i="21"/>
  <c r="K82" i="21"/>
  <c r="K71" i="21"/>
  <c r="K55" i="21"/>
  <c r="K43" i="21"/>
  <c r="K49" i="21"/>
  <c r="K55" i="20"/>
  <c r="K50" i="21"/>
  <c r="K81" i="21"/>
  <c r="K74" i="21"/>
  <c r="K87" i="21"/>
  <c r="K53" i="21"/>
  <c r="K39" i="21"/>
  <c r="K49" i="20"/>
  <c r="K64" i="21"/>
  <c r="K51" i="21"/>
  <c r="P16" i="18"/>
  <c r="P21" i="21"/>
  <c r="K70" i="12"/>
  <c r="K93" i="21"/>
  <c r="N32" i="21"/>
  <c r="O14" i="18"/>
  <c r="O15" i="18"/>
  <c r="O20" i="18"/>
  <c r="O22" i="18"/>
  <c r="P15" i="20"/>
  <c r="L79" i="21"/>
  <c r="L84" i="20"/>
  <c r="L81" i="21"/>
  <c r="L53" i="21"/>
  <c r="L39" i="21"/>
  <c r="L64" i="21"/>
  <c r="L84" i="21"/>
  <c r="L37" i="21"/>
  <c r="L57" i="21"/>
  <c r="L71" i="21"/>
  <c r="L49" i="20"/>
  <c r="L45" i="21"/>
  <c r="L42" i="21"/>
  <c r="L43" i="21"/>
  <c r="L59" i="21"/>
  <c r="L49" i="21"/>
  <c r="L55" i="20"/>
  <c r="L86" i="21"/>
  <c r="L73" i="21"/>
  <c r="L74" i="21"/>
  <c r="L72" i="21"/>
  <c r="L87" i="20"/>
  <c r="L90" i="20"/>
  <c r="L66" i="20"/>
  <c r="M34" i="12"/>
  <c r="M51" i="21"/>
  <c r="L93" i="21"/>
  <c r="L89" i="21"/>
  <c r="L63" i="21"/>
  <c r="L36" i="21"/>
  <c r="L70" i="21"/>
  <c r="L41" i="21"/>
  <c r="L88" i="21"/>
  <c r="L50" i="21"/>
  <c r="L65" i="21"/>
  <c r="L54" i="21"/>
  <c r="L30" i="20"/>
  <c r="L70" i="12"/>
  <c r="L85" i="21"/>
  <c r="L87" i="21"/>
  <c r="L55" i="21"/>
  <c r="L91" i="21"/>
  <c r="L40" i="21"/>
  <c r="L76" i="21"/>
  <c r="L51" i="21"/>
  <c r="L52" i="21"/>
  <c r="L83" i="21"/>
  <c r="O81" i="20"/>
  <c r="O30" i="21"/>
  <c r="N37" i="11"/>
  <c r="P58" i="20"/>
  <c r="P23" i="21"/>
  <c r="P13" i="18"/>
  <c r="M45" i="21"/>
  <c r="M63" i="21"/>
  <c r="M87" i="21"/>
  <c r="M81" i="21"/>
  <c r="M84" i="20"/>
  <c r="M54" i="21"/>
  <c r="M82" i="21"/>
  <c r="M37" i="21"/>
  <c r="M40" i="21"/>
  <c r="M76" i="21"/>
  <c r="M39" i="21"/>
  <c r="M83" i="21"/>
  <c r="M50" i="21"/>
  <c r="M36" i="21"/>
  <c r="M91" i="21"/>
  <c r="M55" i="20"/>
  <c r="M86" i="21"/>
  <c r="M43" i="21"/>
  <c r="M64" i="21"/>
  <c r="M59" i="21"/>
  <c r="M55" i="21"/>
  <c r="M73" i="21"/>
  <c r="M71" i="21"/>
  <c r="M52" i="21"/>
  <c r="M93" i="21"/>
  <c r="M30" i="20"/>
  <c r="M72" i="21"/>
  <c r="M84" i="21"/>
  <c r="M88" i="21"/>
  <c r="M53" i="21"/>
  <c r="M70" i="12"/>
  <c r="M65" i="21"/>
  <c r="M79" i="21"/>
  <c r="M70" i="21"/>
  <c r="M42" i="21"/>
  <c r="M85" i="21"/>
  <c r="M49" i="20"/>
  <c r="M66" i="20"/>
  <c r="M57" i="21"/>
  <c r="M89" i="21"/>
  <c r="M49" i="21"/>
  <c r="M41" i="21"/>
  <c r="M74" i="21"/>
  <c r="M87" i="20"/>
  <c r="M90" i="20"/>
  <c r="O24" i="20"/>
  <c r="P18" i="20"/>
  <c r="O32" i="21"/>
  <c r="P28" i="21"/>
  <c r="P20" i="12"/>
  <c r="Q16" i="18"/>
  <c r="Q21" i="21"/>
  <c r="N38" i="11"/>
  <c r="N39" i="12"/>
  <c r="N40" i="12"/>
  <c r="P14" i="18"/>
  <c r="P15" i="18"/>
  <c r="P20" i="18"/>
  <c r="P22" i="18"/>
  <c r="Q15" i="20"/>
  <c r="N42" i="20"/>
  <c r="N75" i="20"/>
  <c r="N27" i="20"/>
  <c r="N32" i="12"/>
  <c r="N34" i="12"/>
  <c r="Q20" i="12"/>
  <c r="N68" i="12"/>
  <c r="N52" i="20"/>
  <c r="Q58" i="20"/>
  <c r="Q23" i="21"/>
  <c r="P81" i="20"/>
  <c r="P30" i="21"/>
  <c r="O37" i="11"/>
  <c r="Q18" i="20"/>
  <c r="Q13" i="18"/>
  <c r="N84" i="20"/>
  <c r="N36" i="20"/>
  <c r="N57" i="21"/>
  <c r="N87" i="20"/>
  <c r="N66" i="20"/>
  <c r="N30" i="20"/>
  <c r="P24" i="20"/>
  <c r="P32" i="21"/>
  <c r="O39" i="12"/>
  <c r="O40" i="12"/>
  <c r="O38" i="11"/>
  <c r="Q28" i="21"/>
  <c r="N84" i="21"/>
  <c r="N55" i="21"/>
  <c r="N73" i="21"/>
  <c r="N82" i="21"/>
  <c r="N53" i="21"/>
  <c r="N52" i="21"/>
  <c r="N49" i="20"/>
  <c r="N45" i="21"/>
  <c r="N87" i="21"/>
  <c r="N50" i="21"/>
  <c r="N55" i="20"/>
  <c r="N79" i="21"/>
  <c r="N89" i="21"/>
  <c r="N65" i="21"/>
  <c r="N74" i="21"/>
  <c r="N49" i="21"/>
  <c r="N41" i="21"/>
  <c r="N76" i="21"/>
  <c r="N43" i="21"/>
  <c r="N63" i="21"/>
  <c r="N51" i="21"/>
  <c r="N81" i="21"/>
  <c r="N59" i="21"/>
  <c r="N37" i="21"/>
  <c r="N72" i="21"/>
  <c r="N85" i="21"/>
  <c r="N91" i="21"/>
  <c r="N70" i="21"/>
  <c r="N36" i="21"/>
  <c r="N42" i="21"/>
  <c r="N83" i="21"/>
  <c r="N39" i="21"/>
  <c r="N40" i="21"/>
  <c r="N88" i="21"/>
  <c r="N64" i="21"/>
  <c r="N86" i="21"/>
  <c r="N71" i="21"/>
  <c r="N54" i="21"/>
  <c r="N93" i="21"/>
  <c r="N70" i="12"/>
  <c r="Q14" i="18"/>
  <c r="Q15" i="18"/>
  <c r="Q20" i="18"/>
  <c r="Q22" i="18"/>
  <c r="O42" i="20"/>
  <c r="P37" i="11"/>
  <c r="P38" i="11"/>
  <c r="N90" i="20"/>
  <c r="O32" i="12"/>
  <c r="O34" i="12"/>
  <c r="O75" i="20"/>
  <c r="O27" i="20"/>
  <c r="Q81" i="20"/>
  <c r="Q30" i="21"/>
  <c r="O68" i="12"/>
  <c r="O52" i="20"/>
  <c r="O85" i="21"/>
  <c r="O84" i="20"/>
  <c r="P42" i="20"/>
  <c r="P39" i="12"/>
  <c r="P40" i="12"/>
  <c r="P75" i="20"/>
  <c r="O88" i="21"/>
  <c r="O91" i="21"/>
  <c r="O73" i="21"/>
  <c r="O49" i="20"/>
  <c r="O37" i="21"/>
  <c r="O84" i="21"/>
  <c r="O76" i="21"/>
  <c r="O57" i="21"/>
  <c r="O39" i="21"/>
  <c r="O70" i="21"/>
  <c r="O40" i="21"/>
  <c r="O42" i="21"/>
  <c r="O83" i="21"/>
  <c r="O45" i="21"/>
  <c r="O81" i="21"/>
  <c r="P27" i="20"/>
  <c r="O41" i="21"/>
  <c r="O72" i="21"/>
  <c r="O49" i="21"/>
  <c r="O63" i="21"/>
  <c r="O87" i="21"/>
  <c r="O82" i="21"/>
  <c r="O52" i="21"/>
  <c r="O36" i="20"/>
  <c r="O30" i="20"/>
  <c r="O87" i="20"/>
  <c r="O66" i="20"/>
  <c r="O55" i="20"/>
  <c r="O43" i="21"/>
  <c r="O54" i="21"/>
  <c r="O74" i="21"/>
  <c r="O70" i="12"/>
  <c r="O51" i="21"/>
  <c r="O53" i="21"/>
  <c r="O50" i="21"/>
  <c r="O36" i="21"/>
  <c r="O79" i="21"/>
  <c r="O55" i="21"/>
  <c r="O64" i="21"/>
  <c r="O71" i="21"/>
  <c r="O59" i="21"/>
  <c r="O86" i="21"/>
  <c r="O65" i="21"/>
  <c r="O89" i="21"/>
  <c r="Q24" i="20"/>
  <c r="P32" i="12"/>
  <c r="P34" i="12"/>
  <c r="P84" i="20"/>
  <c r="O93" i="21"/>
  <c r="Q32" i="21"/>
  <c r="P52" i="20"/>
  <c r="P68" i="12"/>
  <c r="P70" i="12"/>
  <c r="O90" i="20"/>
  <c r="Q37" i="11"/>
  <c r="Q38" i="11"/>
  <c r="P57" i="21"/>
  <c r="P87" i="20"/>
  <c r="P30" i="20"/>
  <c r="P66" i="20"/>
  <c r="P36" i="20"/>
  <c r="C43" i="18"/>
  <c r="P91" i="21"/>
  <c r="P86" i="21"/>
  <c r="P82" i="21"/>
  <c r="P74" i="21"/>
  <c r="P70" i="21"/>
  <c r="P59" i="21"/>
  <c r="P53" i="21"/>
  <c r="P49" i="21"/>
  <c r="P93" i="21"/>
  <c r="P87" i="21"/>
  <c r="P83" i="21"/>
  <c r="P76" i="21"/>
  <c r="P71" i="21"/>
  <c r="P63" i="21"/>
  <c r="P54" i="21"/>
  <c r="P88" i="21"/>
  <c r="P84" i="21"/>
  <c r="P79" i="21"/>
  <c r="P72" i="21"/>
  <c r="P64" i="21"/>
  <c r="P55" i="21"/>
  <c r="P85" i="21"/>
  <c r="P43" i="21"/>
  <c r="P39" i="21"/>
  <c r="P89" i="21"/>
  <c r="P65" i="21"/>
  <c r="P45" i="21"/>
  <c r="P40" i="21"/>
  <c r="P52" i="21"/>
  <c r="P73" i="21"/>
  <c r="P41" i="21"/>
  <c r="P36" i="21"/>
  <c r="P55" i="20"/>
  <c r="P49" i="20"/>
  <c r="P81" i="21"/>
  <c r="P37" i="21"/>
  <c r="P42" i="21"/>
  <c r="P50" i="21"/>
  <c r="P51" i="21"/>
  <c r="Q42" i="20"/>
  <c r="Q39" i="12"/>
  <c r="Q40" i="12"/>
  <c r="Q75" i="20"/>
  <c r="P90" i="20"/>
  <c r="Q32" i="12"/>
  <c r="Q36" i="20"/>
  <c r="Q52" i="20"/>
  <c r="Q68" i="12"/>
  <c r="Q27" i="20"/>
  <c r="Q34" i="12"/>
  <c r="Q57" i="21"/>
  <c r="Q84" i="20"/>
  <c r="Q49" i="21"/>
  <c r="Q52" i="21"/>
  <c r="Q70" i="21"/>
  <c r="Q85" i="21"/>
  <c r="Q36" i="21"/>
  <c r="Q72" i="21"/>
  <c r="Q51" i="21"/>
  <c r="Q86" i="21"/>
  <c r="Q63" i="21"/>
  <c r="Q50" i="21"/>
  <c r="Q91" i="21"/>
  <c r="Q40" i="21"/>
  <c r="Q65" i="21"/>
  <c r="Q79" i="21"/>
  <c r="Q71" i="21"/>
  <c r="Q37" i="21"/>
  <c r="Q53" i="21"/>
  <c r="Q73" i="21"/>
  <c r="Q76" i="21"/>
  <c r="Q74" i="21"/>
  <c r="Q41" i="21"/>
  <c r="Q89" i="21"/>
  <c r="Q39" i="21"/>
  <c r="Q49" i="20"/>
  <c r="Q82" i="21"/>
  <c r="Q55" i="21"/>
  <c r="Q84" i="21"/>
  <c r="Q43" i="21"/>
  <c r="Q42" i="21"/>
  <c r="Q55" i="20"/>
  <c r="Q59" i="21"/>
  <c r="Q45" i="21"/>
  <c r="Q81" i="21"/>
  <c r="Q64" i="21"/>
  <c r="Q88" i="21"/>
  <c r="Q87" i="20"/>
  <c r="Q54" i="21"/>
  <c r="Q83" i="21"/>
  <c r="Q66" i="20"/>
  <c r="Q70" i="12"/>
  <c r="C7" i="12"/>
  <c r="Q87" i="21"/>
  <c r="Q30" i="20"/>
  <c r="Q93" i="21"/>
  <c r="Q90" i="20"/>
</calcChain>
</file>

<file path=xl/comments1.xml><?xml version="1.0" encoding="utf-8"?>
<comments xmlns="http://schemas.openxmlformats.org/spreadsheetml/2006/main">
  <authors>
    <author>Dhiraj Kumar</author>
  </authors>
  <commentList>
    <comment ref="E30" authorId="0" shapeId="0">
      <text>
        <r>
          <rPr>
            <b/>
            <sz val="9"/>
            <color indexed="81"/>
            <rFont val="Tahoma"/>
            <family val="2"/>
          </rPr>
          <t>Dhiraj Kumar:</t>
        </r>
        <r>
          <rPr>
            <sz val="9"/>
            <color indexed="81"/>
            <rFont val="Tahoma"/>
            <family val="2"/>
          </rPr>
          <t xml:space="preserve">
Decress the Bank overdraft amount (7119) from the cash &amp; cash Equivalents , that match the cash flow clsong balance.</t>
        </r>
      </text>
    </comment>
    <comment ref="F30" authorId="0" shapeId="0">
      <text>
        <r>
          <rPr>
            <b/>
            <sz val="9"/>
            <color indexed="81"/>
            <rFont val="Tahoma"/>
            <family val="2"/>
          </rPr>
          <t>Dhiraj Kumar:</t>
        </r>
        <r>
          <rPr>
            <sz val="9"/>
            <color indexed="81"/>
            <rFont val="Tahoma"/>
            <family val="2"/>
          </rPr>
          <t xml:space="preserve">
Decrease the Bank Overdraft amount (573) from the cash so that it match with closing balance of cash flow.
</t>
        </r>
      </text>
    </comment>
    <comment ref="E31" authorId="0" shapeId="0">
      <text>
        <r>
          <rPr>
            <b/>
            <sz val="9"/>
            <color indexed="81"/>
            <rFont val="Tahoma"/>
            <family val="2"/>
          </rPr>
          <t>Dhiraj Kumar:</t>
        </r>
        <r>
          <rPr>
            <sz val="9"/>
            <color indexed="81"/>
            <rFont val="Tahoma"/>
            <family val="2"/>
          </rPr>
          <t xml:space="preserve">
Add the Bank Draft amount (Rs-7119) in bank balance.</t>
        </r>
      </text>
    </comment>
    <comment ref="F31" authorId="0" shapeId="0">
      <text>
        <r>
          <rPr>
            <b/>
            <sz val="9"/>
            <color indexed="81"/>
            <rFont val="Tahoma"/>
            <family val="2"/>
          </rPr>
          <t>Dhiraj Kumar:</t>
        </r>
        <r>
          <rPr>
            <sz val="9"/>
            <color indexed="81"/>
            <rFont val="Tahoma"/>
            <family val="2"/>
          </rPr>
          <t xml:space="preserve">
Add the Overdraft amount (Rs 573) in bank balance.
</t>
        </r>
      </text>
    </comment>
  </commentList>
</comments>
</file>

<file path=xl/comments2.xml><?xml version="1.0" encoding="utf-8"?>
<comments xmlns="http://schemas.openxmlformats.org/spreadsheetml/2006/main">
  <authors>
    <author>Dhiraj Kumar</author>
  </authors>
  <commentList>
    <comment ref="G10" authorId="0" shapeId="0">
      <text>
        <r>
          <rPr>
            <b/>
            <sz val="9"/>
            <color indexed="81"/>
            <rFont val="Tahoma"/>
            <family val="2"/>
          </rPr>
          <t>Dhiraj Kumar:</t>
        </r>
        <r>
          <rPr>
            <sz val="9"/>
            <color indexed="81"/>
            <rFont val="Tahoma"/>
            <family val="2"/>
          </rPr>
          <t xml:space="preserve">
The Value is taken from P&amp;L statement of 2025 from AR, </t>
        </r>
      </text>
    </comment>
  </commentList>
</comments>
</file>

<file path=xl/comments3.xml><?xml version="1.0" encoding="utf-8"?>
<comments xmlns="http://schemas.openxmlformats.org/spreadsheetml/2006/main">
  <authors>
    <author>Dhiraj Kumar</author>
  </authors>
  <commentList>
    <comment ref="H27" authorId="0" shapeId="0">
      <text>
        <r>
          <rPr>
            <b/>
            <sz val="9"/>
            <color indexed="81"/>
            <rFont val="Tahoma"/>
            <family val="2"/>
          </rPr>
          <t>Dhiraj Kumar:</t>
        </r>
        <r>
          <rPr>
            <sz val="9"/>
            <color indexed="81"/>
            <rFont val="Tahoma"/>
            <family val="2"/>
          </rPr>
          <t xml:space="preserve">
taking Bank Balance 0 for the forecasted year.
</t>
        </r>
      </text>
    </comment>
  </commentList>
</comments>
</file>

<file path=xl/comments4.xml><?xml version="1.0" encoding="utf-8"?>
<comments xmlns="http://schemas.openxmlformats.org/spreadsheetml/2006/main">
  <authors>
    <author>Dhiraj Kumar</author>
  </authors>
  <commentList>
    <comment ref="C79" authorId="0" shapeId="0">
      <text>
        <r>
          <rPr>
            <b/>
            <sz val="9"/>
            <color indexed="81"/>
            <rFont val="Tahoma"/>
            <family val="2"/>
          </rPr>
          <t>Dhiraj Kumar:</t>
        </r>
        <r>
          <rPr>
            <sz val="9"/>
            <color indexed="81"/>
            <rFont val="Tahoma"/>
            <family val="2"/>
          </rPr>
          <t xml:space="preserve">
all values taken from Company Annual report (2021-2025)</t>
        </r>
      </text>
    </comment>
  </commentList>
</comments>
</file>

<file path=xl/sharedStrings.xml><?xml version="1.0" encoding="utf-8"?>
<sst xmlns="http://schemas.openxmlformats.org/spreadsheetml/2006/main" count="1337" uniqueCount="536">
  <si>
    <t>income</t>
  </si>
  <si>
    <t>Revenue from contracts with customers</t>
  </si>
  <si>
    <t>other income</t>
  </si>
  <si>
    <t>total income</t>
  </si>
  <si>
    <t>expenses</t>
  </si>
  <si>
    <t>Employee benefits expense</t>
  </si>
  <si>
    <t>Depreciation and amortisation</t>
  </si>
  <si>
    <t>Finance cost</t>
  </si>
  <si>
    <t>Other expenses</t>
  </si>
  <si>
    <t>total expenses</t>
  </si>
  <si>
    <t>Profit before exceptional items and tax</t>
  </si>
  <si>
    <t>Profit before tax</t>
  </si>
  <si>
    <t>tax expense</t>
  </si>
  <si>
    <t>Current tax</t>
  </si>
  <si>
    <t>Adjustment of tax relating to earlier periods</t>
  </si>
  <si>
    <t>Deferred tax charge/ (credit)</t>
  </si>
  <si>
    <t>Profit for the year</t>
  </si>
  <si>
    <t>Particulars</t>
  </si>
  <si>
    <t>Impairment loss allowance on trade and unbilled receivables</t>
  </si>
  <si>
    <t xml:space="preserve">Exceptional Items </t>
  </si>
  <si>
    <t>#</t>
  </si>
  <si>
    <t>Assets</t>
  </si>
  <si>
    <t>Non-current assets</t>
  </si>
  <si>
    <t>Property, plant and equipment</t>
  </si>
  <si>
    <t>Capital work-in-progress</t>
  </si>
  <si>
    <t>Goodwill</t>
  </si>
  <si>
    <t>Other intangible assets</t>
  </si>
  <si>
    <t>Intangible assets under development</t>
  </si>
  <si>
    <t>Right-of-use assets</t>
  </si>
  <si>
    <t>Financial assets</t>
  </si>
  <si>
    <t>Investments</t>
  </si>
  <si>
    <t>Other financial assets</t>
  </si>
  <si>
    <t>Income tax assets (net</t>
  </si>
  <si>
    <t>Other assets</t>
  </si>
  <si>
    <t>Deferred tax assets (net)</t>
  </si>
  <si>
    <t>Total non-current assets</t>
  </si>
  <si>
    <t>Current assets</t>
  </si>
  <si>
    <t>Trade receivables</t>
  </si>
  <si>
    <t>Cash and cash equivalents</t>
  </si>
  <si>
    <t>Bank balance other than cash and cash equivalents</t>
  </si>
  <si>
    <t>Loans</t>
  </si>
  <si>
    <t>Total current assets</t>
  </si>
  <si>
    <t>Total Assets</t>
  </si>
  <si>
    <t>Equity and liabilities</t>
  </si>
  <si>
    <t>Equity</t>
  </si>
  <si>
    <t>Equity share capital</t>
  </si>
  <si>
    <t>Other equity</t>
  </si>
  <si>
    <t>Equity attributable to equity holders of the parent</t>
  </si>
  <si>
    <t>Total equity</t>
  </si>
  <si>
    <t>Liabilities</t>
  </si>
  <si>
    <t>Non-current liabilities</t>
  </si>
  <si>
    <t>Financial liabilities</t>
  </si>
  <si>
    <t>Borrowings</t>
  </si>
  <si>
    <t>Lease liabilities</t>
  </si>
  <si>
    <t>Other financial liabilities</t>
  </si>
  <si>
    <t>Provisions</t>
  </si>
  <si>
    <t>Deferred tax liabilities (net</t>
  </si>
  <si>
    <t>Total non-current liabilities</t>
  </si>
  <si>
    <t>Current liabilities</t>
  </si>
  <si>
    <t>Contract liabilities</t>
  </si>
  <si>
    <t>Trade payables</t>
  </si>
  <si>
    <t>Total outstanding dues of micro enterprises and small enterprises</t>
  </si>
  <si>
    <t>Total outstanding dues of creditors other than micro enterprises and small enterprises</t>
  </si>
  <si>
    <t>Income tax liabilities (net)</t>
  </si>
  <si>
    <t>Other current liabilities</t>
  </si>
  <si>
    <t>Total current liabilities</t>
  </si>
  <si>
    <t>Total liabilities</t>
  </si>
  <si>
    <t>Total equity and liabilities</t>
  </si>
  <si>
    <t xml:space="preserve">  </t>
  </si>
  <si>
    <t>Operating activities</t>
  </si>
  <si>
    <t>Adjustments to reconcile profit before tax to net cash flows:</t>
  </si>
  <si>
    <t>Depreciation/ amortisation of property, plant and equipment, intangibles and right-of-use assets</t>
  </si>
  <si>
    <t>(Gain)/ loss on disposal of property, plant and equipment, net</t>
  </si>
  <si>
    <t>Share-based payment expense</t>
  </si>
  <si>
    <t>Gain on investment carried at fair value through profit and loss</t>
  </si>
  <si>
    <t>Gain on sale of investment carried at fair value through profit and loss</t>
  </si>
  <si>
    <t>Interest income</t>
  </si>
  <si>
    <t>Fair value loss on contingent consideration</t>
  </si>
  <si>
    <t>Gain on liquidation of subsidiary</t>
  </si>
  <si>
    <t>Net unrealised foreign exchange loss</t>
  </si>
  <si>
    <t>Rent concession</t>
  </si>
  <si>
    <t>Impairment loss on financial assets</t>
  </si>
  <si>
    <t>Finance costs</t>
  </si>
  <si>
    <t>Operating cash flow before working capital changes</t>
  </si>
  <si>
    <t>Movements in working capital:</t>
  </si>
  <si>
    <t>Increase in trade receivables</t>
  </si>
  <si>
    <t>Increase in financial assets</t>
  </si>
  <si>
    <t>Increase/ (decrease) in trade payables</t>
  </si>
  <si>
    <t>Increase/ (decrease) in financial liabilities</t>
  </si>
  <si>
    <t>Increase in provisions</t>
  </si>
  <si>
    <t>Increase/ (decrease) in contract liabilities</t>
  </si>
  <si>
    <t>Increase in other non-financial liabilities</t>
  </si>
  <si>
    <t>Income tax paid, net of refunds</t>
  </si>
  <si>
    <t>Investing activities</t>
  </si>
  <si>
    <t>Purchase of property, plant and equipment</t>
  </si>
  <si>
    <t>Purchase of intangible assets</t>
  </si>
  <si>
    <t>Proceeds from sale of property, plant and equipment</t>
  </si>
  <si>
    <t>Proceeds from subleasing the premises</t>
  </si>
  <si>
    <t>Investment in equity shares of TECH4TH Solutions Inc.</t>
  </si>
  <si>
    <t>Investment in bank deposit, net</t>
  </si>
  <si>
    <t>Acquisition of subsidiary</t>
  </si>
  <si>
    <t>Proceeds from sale of mutual funds</t>
  </si>
  <si>
    <t>Purchase of mutual funds</t>
  </si>
  <si>
    <t>Interest received</t>
  </si>
  <si>
    <t>Financing activities</t>
  </si>
  <si>
    <t>Repayment of long-term borrowings</t>
  </si>
  <si>
    <t>Proceeds from long-term borrowings</t>
  </si>
  <si>
    <t>Proceeds / (Repayment) of short-term borrowings (net)</t>
  </si>
  <si>
    <t>Security deposits given</t>
  </si>
  <si>
    <t>Payment of principal portion of lease liabilities</t>
  </si>
  <si>
    <t>Payment of interest portion of lease liabilities</t>
  </si>
  <si>
    <t>Payment of contingent consideration</t>
  </si>
  <si>
    <t>Proceeds from issue of Equity share capital (net of transaction costs)</t>
  </si>
  <si>
    <t>Dividend paid</t>
  </si>
  <si>
    <t>Proceeds from exercise of share options</t>
  </si>
  <si>
    <t>Interest paid</t>
  </si>
  <si>
    <t>Net cash flows from/ (used) in financing activities</t>
  </si>
  <si>
    <t>Net increase in cash and cash equivalents</t>
  </si>
  <si>
    <t>Net foreign exchange difference</t>
  </si>
  <si>
    <t>Cash and cash equivalents at the beginning of the year</t>
  </si>
  <si>
    <t>Cash acquired on acquisition of subsidiary</t>
  </si>
  <si>
    <t>Cash and cash equivalents at the end of the year</t>
  </si>
  <si>
    <t>Proceeds from issue of redeemable non-convertible debentures</t>
  </si>
  <si>
    <t>Provision no longer required/ written-of</t>
  </si>
  <si>
    <t>Gain on derecognition of contingent consideration</t>
  </si>
  <si>
    <t>Repayment of redeemable non-convertible debentures</t>
  </si>
  <si>
    <t>Less : Bank overdraft at the beginning of the year</t>
  </si>
  <si>
    <t>India</t>
  </si>
  <si>
    <t>USA</t>
  </si>
  <si>
    <t>Others</t>
  </si>
  <si>
    <t>Revenue</t>
  </si>
  <si>
    <t>Scenarios</t>
  </si>
  <si>
    <t>Best Case</t>
  </si>
  <si>
    <t>Base Case</t>
  </si>
  <si>
    <t>Worst Case</t>
  </si>
  <si>
    <t>Annual Trapering</t>
  </si>
  <si>
    <t>Scenario Manager</t>
  </si>
  <si>
    <t>% of Revenue</t>
  </si>
  <si>
    <t>Y-O-Y Growth</t>
  </si>
  <si>
    <t>No of Days</t>
  </si>
  <si>
    <t>Debt</t>
  </si>
  <si>
    <t>Opening Balance</t>
  </si>
  <si>
    <t>Closing Balance</t>
  </si>
  <si>
    <t>Addition/ Repayment</t>
  </si>
  <si>
    <t>% of Debt</t>
  </si>
  <si>
    <t>Interest Expenses</t>
  </si>
  <si>
    <t>Assumptions</t>
  </si>
  <si>
    <t>Transaction Date</t>
  </si>
  <si>
    <t>Fiscal Year End</t>
  </si>
  <si>
    <t>Risk Free Rate</t>
  </si>
  <si>
    <t>Addition In Tax rate / 2 years</t>
  </si>
  <si>
    <t>Tax Rate</t>
  </si>
  <si>
    <t>EV/EBITDA Multiple</t>
  </si>
  <si>
    <t>Perpetual Growth Rate</t>
  </si>
  <si>
    <t>Discount Rate</t>
  </si>
  <si>
    <t>Shares Outstanding(Lakhs)</t>
  </si>
  <si>
    <t>Current Market Price</t>
  </si>
  <si>
    <t>Expenses</t>
  </si>
  <si>
    <t>Total Expenses</t>
  </si>
  <si>
    <t>EBITDA</t>
  </si>
  <si>
    <t>D&amp;A</t>
  </si>
  <si>
    <t>EBIT</t>
  </si>
  <si>
    <t>Finance Cost</t>
  </si>
  <si>
    <t>Other Income</t>
  </si>
  <si>
    <t>EBT</t>
  </si>
  <si>
    <t>Taxes</t>
  </si>
  <si>
    <t>Net Profit</t>
  </si>
  <si>
    <t>Dividend Paid</t>
  </si>
  <si>
    <t>Dividened PayOut Ratio</t>
  </si>
  <si>
    <t>Retained Earning</t>
  </si>
  <si>
    <t>Retained Earning %</t>
  </si>
  <si>
    <t>% of EBT</t>
  </si>
  <si>
    <t>Check</t>
  </si>
  <si>
    <t>Increase/decrease in non-financial assets</t>
  </si>
  <si>
    <t>Decrease/Increase in loans</t>
  </si>
  <si>
    <t>Financial Assets</t>
  </si>
  <si>
    <t>Master Check</t>
  </si>
  <si>
    <t>BSE Sensex</t>
  </si>
  <si>
    <t>Source -</t>
  </si>
  <si>
    <t>Historical - Indices</t>
  </si>
  <si>
    <t>Date</t>
  </si>
  <si>
    <t>Close Price</t>
  </si>
  <si>
    <t>Year</t>
  </si>
  <si>
    <t>Return</t>
  </si>
  <si>
    <t>Month</t>
  </si>
  <si>
    <t>Closing price of Sensex</t>
  </si>
  <si>
    <t>% Change Of Return</t>
  </si>
  <si>
    <t>Closing Price Of Stocks</t>
  </si>
  <si>
    <t>Beta</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</si>
  <si>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</si>
  <si>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</si>
  <si>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</si>
  <si>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</si>
  <si>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</si>
  <si>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</si>
  <si>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</si>
  <si>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</si>
  <si>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</si>
  <si>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</si>
  <si>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</si>
  <si>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</si>
  <si>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</si>
  <si>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</si>
  <si>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</si>
  <si>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</si>
  <si>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</si>
  <si>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</si>
  <si>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</si>
  <si>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</si>
  <si>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</si>
  <si>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</si>
  <si>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</si>
  <si>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</si>
  <si>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</si>
  <si>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Newgen Software</t>
  </si>
  <si>
    <t>Sonata Software</t>
  </si>
  <si>
    <t>Birlasoft Ltd</t>
  </si>
  <si>
    <t>Happiest Minds</t>
  </si>
  <si>
    <t>TCS</t>
  </si>
  <si>
    <t>Infosys</t>
  </si>
  <si>
    <t>HCL Technologies</t>
  </si>
  <si>
    <t>Wipro</t>
  </si>
  <si>
    <t>LTIMindtree</t>
  </si>
  <si>
    <t>Tech Mahindra</t>
  </si>
  <si>
    <t>Name</t>
  </si>
  <si>
    <t>CMP Rs.</t>
  </si>
  <si>
    <t>No. Eq. Shares Cr.</t>
  </si>
  <si>
    <t>EV / EBITDA</t>
  </si>
  <si>
    <t>P/E</t>
  </si>
  <si>
    <t>IT - Software Companies - Screener</t>
  </si>
  <si>
    <t>Source-</t>
  </si>
  <si>
    <t>Comparable Valuation</t>
  </si>
  <si>
    <t>Companies</t>
  </si>
  <si>
    <t>Market Data</t>
  </si>
  <si>
    <t>Financial data</t>
  </si>
  <si>
    <t>Valution</t>
  </si>
  <si>
    <t>Price</t>
  </si>
  <si>
    <t>Share</t>
  </si>
  <si>
    <t>Market Cap</t>
  </si>
  <si>
    <t xml:space="preserve">Cash </t>
  </si>
  <si>
    <t>EV</t>
  </si>
  <si>
    <t>Sales</t>
  </si>
  <si>
    <t>Earnings</t>
  </si>
  <si>
    <t>EV/Sales</t>
  </si>
  <si>
    <t>EV/EBITDA</t>
  </si>
  <si>
    <t>Company Name</t>
  </si>
  <si>
    <t>(/share)</t>
  </si>
  <si>
    <t>x</t>
  </si>
  <si>
    <t>High</t>
  </si>
  <si>
    <t>75th Percentile</t>
  </si>
  <si>
    <t>Average</t>
  </si>
  <si>
    <t>Median</t>
  </si>
  <si>
    <t>25th Percentile</t>
  </si>
  <si>
    <t>Low</t>
  </si>
  <si>
    <t>(INR Lakhs)</t>
  </si>
  <si>
    <t>Metric</t>
  </si>
  <si>
    <t>Comps</t>
  </si>
  <si>
    <t>EV (₹ Lakhs.)</t>
  </si>
  <si>
    <t>Net Debt (₹ Lakhs.)</t>
  </si>
  <si>
    <t>Equity Value (₹ Lakhs.)</t>
  </si>
  <si>
    <t xml:space="preserve">Shares (Lakhs) </t>
  </si>
  <si>
    <t xml:space="preserve">Share Price </t>
  </si>
  <si>
    <t>Stock Value</t>
  </si>
  <si>
    <t>EV/REVENUE</t>
  </si>
  <si>
    <t>Comparables Companies Beta</t>
  </si>
  <si>
    <t>equity Value</t>
  </si>
  <si>
    <t>Total Debt</t>
  </si>
  <si>
    <t xml:space="preserve">Debt/Equity </t>
  </si>
  <si>
    <t>Debt/Capital</t>
  </si>
  <si>
    <t>Tax rate</t>
  </si>
  <si>
    <t>Levered Beta</t>
  </si>
  <si>
    <t>Unlevered Beta</t>
  </si>
  <si>
    <t>WACC Calculation</t>
  </si>
  <si>
    <t>Target Capital Structure</t>
  </si>
  <si>
    <t>Proportion of Debt</t>
  </si>
  <si>
    <t>Proportion of Equity</t>
  </si>
  <si>
    <t>Current Capital structure</t>
  </si>
  <si>
    <t>Market cap</t>
  </si>
  <si>
    <t>Debt/equity</t>
  </si>
  <si>
    <t>Cost of debt</t>
  </si>
  <si>
    <t>Pre-tax cost of debt</t>
  </si>
  <si>
    <t>tax rate</t>
  </si>
  <si>
    <t>After -Tax cost of debt</t>
  </si>
  <si>
    <t>Cost of equity</t>
  </si>
  <si>
    <t>Risk free Rate</t>
  </si>
  <si>
    <t>Equity Market Return</t>
  </si>
  <si>
    <t>Equity risk premium</t>
  </si>
  <si>
    <t>Levered Equity Beta</t>
  </si>
  <si>
    <t>WACC</t>
  </si>
  <si>
    <t>Total Equity</t>
  </si>
  <si>
    <t>Equity Market Beta</t>
  </si>
  <si>
    <t>Audited</t>
  </si>
  <si>
    <t>Entry</t>
  </si>
  <si>
    <t>Exit</t>
  </si>
  <si>
    <t>DATE</t>
  </si>
  <si>
    <t>Time Periods</t>
  </si>
  <si>
    <t>Year Frac</t>
  </si>
  <si>
    <t>EBIT/ Operating Income</t>
  </si>
  <si>
    <t>NOPAT</t>
  </si>
  <si>
    <t>Add: Depreciation &amp; Amortization</t>
  </si>
  <si>
    <t>Less: CapEx</t>
  </si>
  <si>
    <t>Less: Change in Working Capital</t>
  </si>
  <si>
    <t>Unlevered FCFF</t>
  </si>
  <si>
    <t>Transaction FCFF</t>
  </si>
  <si>
    <t>Terminal Value</t>
  </si>
  <si>
    <t>Prep.Growth</t>
  </si>
  <si>
    <t>Intrinsic Value</t>
  </si>
  <si>
    <t>Enterpreise Value</t>
  </si>
  <si>
    <t>Plus: Cash &amp; Cash equivalent</t>
  </si>
  <si>
    <t>Less- Debt</t>
  </si>
  <si>
    <t>Less-non- controlling interest</t>
  </si>
  <si>
    <t>Equity Value</t>
  </si>
  <si>
    <t>Equity value/share</t>
  </si>
  <si>
    <t>Football Field Analysis</t>
  </si>
  <si>
    <t>Football Field Data</t>
  </si>
  <si>
    <t>Comps Median</t>
  </si>
  <si>
    <t>Comps Average</t>
  </si>
  <si>
    <t>DCF (Average)</t>
  </si>
  <si>
    <t>52-Week Hi/LO</t>
  </si>
  <si>
    <t>Market Consenses</t>
  </si>
  <si>
    <t>Colour Code</t>
  </si>
  <si>
    <t>Blue colour</t>
  </si>
  <si>
    <t>Hardcoded Figures</t>
  </si>
  <si>
    <t>Black colour</t>
  </si>
  <si>
    <t>Calculated Figures</t>
  </si>
  <si>
    <t>Green Colour</t>
  </si>
  <si>
    <t>Link Data figures</t>
  </si>
  <si>
    <t>ISIN Code</t>
  </si>
  <si>
    <t>Sector Name</t>
  </si>
  <si>
    <t>Industry</t>
  </si>
  <si>
    <t>Exchange Name</t>
  </si>
  <si>
    <t>Website</t>
  </si>
  <si>
    <t>Company Description</t>
  </si>
  <si>
    <t xml:space="preserve">Happiest Minds Technologies Ltd
</t>
  </si>
  <si>
    <t xml:space="preserve"> BSE: 543227 | NSE: HAPPSTMNDS</t>
  </si>
  <si>
    <t>Computers - Software &amp; Consulting</t>
  </si>
  <si>
    <t>happiestminds.com</t>
  </si>
  <si>
    <t xml:space="preserve"> INE419U01012</t>
  </si>
  <si>
    <t>Happiest Minds Technologies Ltd. is a next-generation IT solutions and services company that was founded in 2011. It specializes in infrastructure management and security services, generative artificial intelligence, and product and digital engineering.
It operates in the United States, United Kingdom, Canada, Australia, and the Middle East, with its headquarters located in Bengaluru, India.
Clientele The company now has 281 active clients as of FY25, up from 206 in FY22. Of these, 85 are listed within the Fortune 2000 and Forbes 200 list of billion-dollar companies.  Repeat business accounts for 94% of its revenue. In FY26 and beyond, the business anticipates robust double-digit organic growth.</t>
  </si>
  <si>
    <t>Items</t>
  </si>
  <si>
    <t>Sheet</t>
  </si>
  <si>
    <t>Reference</t>
  </si>
  <si>
    <t>Revenue Buildup</t>
  </si>
  <si>
    <t>B25:Q26</t>
  </si>
  <si>
    <t xml:space="preserve"> Other Expenses </t>
  </si>
  <si>
    <t>Cost Build_up</t>
  </si>
  <si>
    <t>Effective Tax Rate</t>
  </si>
  <si>
    <t>Taxes for the historical years are based on actual PBT percentages. For the forecasted years (2026–2035), taxes for projected year taken as the latest year of the tax ( which is 2025 tax rate ), and aslo adding the growing tax rate of 0.5 % every 2 year.</t>
  </si>
  <si>
    <t>Riskfree Rate</t>
  </si>
  <si>
    <t>The risk-free rate is based on the 10-year Indian government bond yield, reflecting long-term returns with minimal default risk.</t>
  </si>
  <si>
    <t>CAPEX</t>
  </si>
  <si>
    <t xml:space="preserve">Deperciation &amp; Amotisartion Exp. </t>
  </si>
  <si>
    <t>Income Statement</t>
  </si>
  <si>
    <t>(All amounts in INR Lakhs, unless otherwise stated)</t>
  </si>
  <si>
    <t>Balance Sheet</t>
  </si>
  <si>
    <t>Cash Flow</t>
  </si>
  <si>
    <t>Revenue Build_Up</t>
  </si>
  <si>
    <t>Cost Build_Up</t>
  </si>
  <si>
    <t>Forecasted Balance sheet</t>
  </si>
  <si>
    <t>Working Capital</t>
  </si>
  <si>
    <t>Debt Schedules</t>
  </si>
  <si>
    <t>Profit &amp; Loss Statement</t>
  </si>
  <si>
    <t>Market Return</t>
  </si>
  <si>
    <t>Equity Return</t>
  </si>
  <si>
    <t>Comps Data</t>
  </si>
  <si>
    <t>DCF Analysis</t>
  </si>
  <si>
    <t>Ratio Analysis &amp; Interpretation</t>
  </si>
  <si>
    <t>Ratio Interpretation</t>
  </si>
  <si>
    <t>Market Cap (Lakhs.)</t>
  </si>
  <si>
    <t>EBITDA Margin</t>
  </si>
  <si>
    <t>Pretax Margin</t>
  </si>
  <si>
    <t>Net Profit Margin</t>
  </si>
  <si>
    <t>Return on Equity</t>
  </si>
  <si>
    <t>Profitability Ratio</t>
  </si>
  <si>
    <t>Liquidity Ratio</t>
  </si>
  <si>
    <t>Current Ratio</t>
  </si>
  <si>
    <t>Solvency Ratio</t>
  </si>
  <si>
    <t>Asset/ Equity</t>
  </si>
  <si>
    <t>Debt/ Equity</t>
  </si>
  <si>
    <t>Debt Ratio</t>
  </si>
  <si>
    <t>Interest Coverage</t>
  </si>
  <si>
    <t>Efficiency Ratio</t>
  </si>
  <si>
    <t>Fixed Asset Turnover Ratio</t>
  </si>
  <si>
    <t>Total Asset Turnover Ratio</t>
  </si>
  <si>
    <t>Receivable Turnover</t>
  </si>
  <si>
    <t>Payable Turnover</t>
  </si>
  <si>
    <t>ROE Dupont Analysis</t>
  </si>
  <si>
    <t>Asset Turnover Ratio</t>
  </si>
  <si>
    <t>Financial Leverege</t>
  </si>
  <si>
    <t>ROE</t>
  </si>
  <si>
    <t>Common Size Statement</t>
  </si>
  <si>
    <t>B33:Q34</t>
  </si>
  <si>
    <t>B37:Q38</t>
  </si>
  <si>
    <t>Other Income: Taken as a percentage of revenue. For forecasted years (2026–2035),  derived from the historical average of 2021–2025.</t>
  </si>
  <si>
    <t>exceptional Items Taken as a percentage of revenue. For forecasted years (2026–2035),  derived from the historical average of 2021–2025.</t>
  </si>
  <si>
    <t>B15:Q16</t>
  </si>
  <si>
    <t>The first five years show actual historical percentages of revenue. For the forecasted period (2026–2035), other expenses are assumed based on the average percentage of revenue from 2021–2025, stabilizing around 17% and increasing proportionally with revenue growth.</t>
  </si>
  <si>
    <t>C20</t>
  </si>
  <si>
    <t>B21:Q22</t>
  </si>
  <si>
    <t>C14</t>
  </si>
  <si>
    <t>For the forecasted years, the Investments have been projected based on the average investment-to-revenue ratio derived from FY2021, FY2022, and FY2025. This average ratio (approximately 37% of revenue) has been applied consistently across the forecast period to estimate future investment values</t>
  </si>
  <si>
    <t>Current Assets</t>
  </si>
  <si>
    <t>Non-Current Assets</t>
  </si>
  <si>
    <t>Non-Current liabilities</t>
  </si>
  <si>
    <t>B11:Q20</t>
  </si>
  <si>
    <t>B27:Q32</t>
  </si>
  <si>
    <t>B38:Q47</t>
  </si>
  <si>
    <t>B52:Q65</t>
  </si>
  <si>
    <t>For the forecasted years, Current Assets have been projected based on the average percentage of revenue from FY2021 to FY2025. This five-year average percentage of revenue has been applied consistently across the forecast period to estimate future current asset values.</t>
  </si>
  <si>
    <t>For the forecasted years, Non-Current Assets have been projected based on the average percentage of revenue from FY2021 to FY2025. This five-year average percentage of revenue has been applied consistently across the forecast period to estimate future non-current asset values.</t>
  </si>
  <si>
    <t>The projection of Current Liabilities for the forecasted years is derived by applying the average percentage of revenue observed during FY2021–FY2025. This approach ensures that future current liabilities maintain a consistent relationship with revenue, reflecting the company’s historical operational pattern.</t>
  </si>
  <si>
    <t>Non-Current Liabilities for the forecasted years are estimated using the average percentage of revenue from FY2021–FY2025, ensuring consistency with historical trends.</t>
  </si>
  <si>
    <t>B14:Q15</t>
  </si>
  <si>
    <t>Interest expenses are calculated as a percentage of the average of opening and closing debt for each year. For the forecasted period (FY2026–FY2035), the interest rate is assumed constant, based on the average percentage of debt from the last five years (FY2021–FY2025), reflecting a stable cost of borrowing trend</t>
  </si>
  <si>
    <t>computer Systems</t>
  </si>
  <si>
    <t>Additions</t>
  </si>
  <si>
    <t>Opening Gross Block</t>
  </si>
  <si>
    <t>Disposals</t>
  </si>
  <si>
    <t>Deletion on liquidation of subsidiary</t>
  </si>
  <si>
    <t>Closing Gross Block</t>
  </si>
  <si>
    <t>Accumulated Dep</t>
  </si>
  <si>
    <t>charge for the year</t>
  </si>
  <si>
    <t>Net Block</t>
  </si>
  <si>
    <t>Office equipments</t>
  </si>
  <si>
    <t>Furniture and fixtures</t>
  </si>
  <si>
    <t>intangible assets*</t>
  </si>
  <si>
    <t>trademark</t>
  </si>
  <si>
    <t>transfer from intangible assets under development</t>
  </si>
  <si>
    <t>Exchange difference</t>
  </si>
  <si>
    <t>customer relationships</t>
  </si>
  <si>
    <t>non-compete</t>
  </si>
  <si>
    <t>computer software</t>
  </si>
  <si>
    <t>exclusive license</t>
  </si>
  <si>
    <t>Depreciation</t>
  </si>
  <si>
    <t>Closing Gross Date</t>
  </si>
  <si>
    <t>computer systems</t>
  </si>
  <si>
    <t>Office buildings</t>
  </si>
  <si>
    <t>motor vehicles</t>
  </si>
  <si>
    <t>Transfers from CWIP</t>
  </si>
  <si>
    <t>Land</t>
  </si>
  <si>
    <t>Building</t>
  </si>
  <si>
    <t>Leasehold improvements</t>
  </si>
  <si>
    <t>Vechiles</t>
  </si>
  <si>
    <t>Technology Platform</t>
  </si>
  <si>
    <t>Office equipment</t>
  </si>
  <si>
    <t>Acquisition of subsidiary -</t>
  </si>
  <si>
    <t>Exchange Difference</t>
  </si>
  <si>
    <t>Total PPE, Intangible Assets &amp; Rights to use Assets</t>
  </si>
  <si>
    <t>Total Fixed Assets - Net Block</t>
  </si>
  <si>
    <t>Dep &amp; Amortization</t>
  </si>
  <si>
    <t>Increase in Fixed Assets</t>
  </si>
  <si>
    <t xml:space="preserve">Addition In Dep </t>
  </si>
  <si>
    <t>Employee Expenses</t>
  </si>
  <si>
    <t>Upside Potentail</t>
  </si>
  <si>
    <t>FSA</t>
  </si>
  <si>
    <t>Addition In FSA</t>
  </si>
  <si>
    <t>Trade payables &amp; Trade recievables</t>
  </si>
  <si>
    <t>B10:Q14</t>
  </si>
  <si>
    <t>Trade payables and Trade recievables are taken as the % of the revenue in historical year and for the forecasted year it is taken as average of the historical years.</t>
  </si>
  <si>
    <t>B369:Q369</t>
  </si>
  <si>
    <t>for the asuumption of the Depreation &amp; amortization, it  is consider for each items of the PPE, Intangible assets and right to use Assets. For forecasted years, the average historical  is taken and increased by adding 0.5% every years for projection.</t>
  </si>
  <si>
    <t>Addition in fixed assets</t>
  </si>
  <si>
    <t>B352:Q352</t>
  </si>
  <si>
    <t xml:space="preserve">In the fixed asset schedule, additions to PPE and other assets have been made by increasing the average of the last 5 year   contribution by 0.5% each year.      
      </t>
  </si>
  <si>
    <t>IT-Software</t>
  </si>
  <si>
    <t>Europe</t>
  </si>
  <si>
    <t>Other income</t>
  </si>
  <si>
    <t>Revenue Segment by Geography</t>
  </si>
  <si>
    <t>Debt Rs.lakhs</t>
  </si>
  <si>
    <t>Cash Rs.lakhs</t>
  </si>
  <si>
    <t>NP Ann Rs.lakhs</t>
  </si>
  <si>
    <t>Sales Ann Rs.lakhs</t>
  </si>
  <si>
    <t>Dep Amt Rs.Lakhs</t>
  </si>
  <si>
    <t>EBIT Ann Rs.lakhs</t>
  </si>
  <si>
    <t>EV Rs.lakhs</t>
  </si>
  <si>
    <t>Mar Cap Rs.lakhs</t>
  </si>
  <si>
    <t>Tax 12M Rs.lakhs</t>
  </si>
  <si>
    <t>Operating Margin</t>
  </si>
  <si>
    <t>Total Income</t>
  </si>
  <si>
    <t>Quick Ratio</t>
  </si>
  <si>
    <t>Cash Ratio</t>
  </si>
  <si>
    <t>ROIC (Return on Invested Capital)</t>
  </si>
  <si>
    <t>Retur on Assets</t>
  </si>
  <si>
    <t>The Segment wise total revenue and the total Revenue in Annual Report is differ by 1 in the year 2025, so in this case I take the P&amp;L statement Revenue.</t>
  </si>
  <si>
    <t>Total Revenue</t>
  </si>
  <si>
    <t>G6</t>
  </si>
  <si>
    <t>B13:Q54</t>
  </si>
  <si>
    <t>For calculating the Terminal Value in the DCF model, a perpetual growth rate of 6% has been assumed. This is aligned with India’s long-term GDP growth outlook, which is forecasted at approximately 6%</t>
  </si>
  <si>
    <t>For the forecasted year, the base growth rate is calculated as the average of the historical years. Best- and worst-case scenarios are set at ±5% around this base.  Revenue is segmented across USA, India, Europe, and Other countries. A uniform annual tapering rate ( 14%) is applied across all segments, calibrated such that the highest revenue segment converges to the perpetual growth rate of 6%. This annual tapering also ensures that total company revenue gradually reaches the same perpetual growth rate of 6% over the forecast period.</t>
  </si>
  <si>
    <t>B15:Q23</t>
  </si>
  <si>
    <t>B26:Q34</t>
  </si>
  <si>
    <t>B36:Q44</t>
  </si>
  <si>
    <t>B46:Q54</t>
  </si>
  <si>
    <t>Revenue of India</t>
  </si>
  <si>
    <t>Revenue of USA</t>
  </si>
  <si>
    <t>Revenue of Europe</t>
  </si>
  <si>
    <t>Revenue of Others</t>
  </si>
  <si>
    <t>India revenue growth is based on the average historical growth rate (from 2023-2025) for base case, with ±5% variation for best and Worst cases, and an annual tapering of 14% applied over the forecast period.</t>
  </si>
  <si>
    <t>USA revenue growth is based on the average historical growth rate for base case, with ±5% variation for best and Worst cases, and an annual tapering of 14% applied over the forecast period that reached at the perpetual growth rate of 6 %.</t>
  </si>
  <si>
    <t>Europe revenue growth is based on the average historical growth rate(From 2023 to 2025) for base case, with ±5% variation for best and Worst cases, and an annual tapering of 14% applied over the forecast period.</t>
  </si>
  <si>
    <t>Historical revenue growth for other countries  is highly irregular. therefore, a normalized growth rate of 25% is assumed for the forecast year, with an annual tapering of 14% applied to gradually converge to the perpetual growth rate.</t>
  </si>
  <si>
    <t>B29:G29</t>
  </si>
  <si>
    <t>B30:G30</t>
  </si>
  <si>
    <t>Historical Balance Sheet</t>
  </si>
  <si>
    <t>B S items</t>
  </si>
  <si>
    <t>BS items</t>
  </si>
  <si>
    <t>Cash and Cash Equivalent</t>
  </si>
  <si>
    <t>Cash and cash equivalents have been adjusted by reducing the bank overdraft balances of ₹7,119 in FY2023 and ₹573 in FY2024, as disclosed under the Components of Cash and Cash Equivalents in the Annual Report (page 281), to ensure that the closing cash balance reconciles with the cash flow statement.</t>
  </si>
  <si>
    <t>The bank overdraft amounts for FY2023 and FY2024 have been added to the bank balance, ensuring that the bank balance is presented consistently and the balance sheet matches correctly.</t>
  </si>
  <si>
    <t>Estimated</t>
  </si>
  <si>
    <t>Projected</t>
  </si>
  <si>
    <t>Fixed Assets Schedules</t>
  </si>
  <si>
    <t>Net cash flows from Operating Activities</t>
  </si>
  <si>
    <t>Net Cash flow used in Investing Activities</t>
  </si>
  <si>
    <t>The EBITDA margin during the historical period (FY2021–FY2025) showed volatility, declining from 24.76% in FY2021 to 23.56% in FY2022, improving to 25.11% in FY2023, and then falling sharply to 20.67% in FY2024 and 17.20% in FY2025, indicating increasing pressure on operating efficiency due to rising costs and margin compression. The significant decline from the peak highlights weakened cost control and reduced profitability in recent years. For the forecast period (FY2026–FY2035), the margin is assumed to stabilize at 22.26%, reflecting normalized operations, improved expense management, and sustainable profitability, supporting steady long-term cash flow generation without assuming aggressive margin expansion.</t>
  </si>
  <si>
    <t>The Operating Margin during the historical period (FY2021–FY2025) showed a declining and volatile trend, decreasing from 21.82% in FY2021 to 20.55% in FY2022, improving to 22.18% in FY2023, and then falling sharply to 17.08% in FY2024 and 12.89% in FY2025. This significant deterioration indicates rising operating costs, margin compression, and reduced operating efficiency, suggesting challenges in cost control and profitability in recent years. For the forecast period (FY2026–FY2035), the operating margin is expected to gradually improve and stabilize from 20.32% to 21.49%, reflecting operational normalization, improved cost management, and a return to sustainable profitability levels over the long term.</t>
  </si>
  <si>
    <t>The Pretax margin during the historical period (FY2021–FY2025) followed a declining trend, decreasing from 24.05% in FY2021 to 22.48% in FY2022, further moderating to 21.68% in FY2023 and 20.60% in FY2024, before falling sharply to 12.40% in FY2025. This significant compression indicates pressure from higher operating costs, increased interest burden, or non-operating expenses affecting overall profitability before tax. For the forecast period (FY2026–FY2035), the pretax margin is expected to recover and gradually improve from 21.01% to 22.70%, reflecting normalization of costs, improved operating performance, and stable financial structure, supporting sustainable profitability over the long term.</t>
  </si>
  <si>
    <t>The Effective Tax Rate (ETR) during the historical period (FY2021–FY2025) exhibited a rising trend, increasing from 12.67% in FY2021 to 27.71% in FY2025, indicating higher tax obligations relative to pre-tax profits, possibly due to improved profitability, changes in statutory rates, or reduced tax exemptions. For the forecast period (FY2026–FY2035), the ETR is expected to stabilize around 28.21%–30.00%, reflecting consistent tax policies and normalized earnings composition. The gradual increase and subsequent stabilization suggest predictable tax planning and reduced volatility in post-tax profitability, supporting more reliable net income projections over the long term.</t>
  </si>
  <si>
    <t>The Net Profit Margin shows a declining trend during the historical period from 2021 to 2023, decreasing from 16.57% in 2021 to 8.96% in 2023, indicating pressure on profitability due to higher costs, margin compression, or operational inefficiencies. In 2024, the margin recovered to 15.08% and further improved to 15.77% in 2025, suggesting stabilization in operations and improved cost management. As per forecasts, the Net Profit Margin is expected to remain largely stable during 2026–2035, marginally increasing from 15.80% in 2026 to 15.89% by 2035. This stable forecast trend implies that the company is expected to sustain steady profitability without significant margin expansion. At around 15.89%, the Net Profit Margin reflects a healthy and sustainable earnings level, indicating effective operational control and a mature business profile.</t>
  </si>
  <si>
    <t>Return on Equity exhibited high volatility during the historical period from 2022 to 2025. ROE remained strong in 2022 (29.91%) and 2023 (30.70%), indicating efficient utilization of shareholders’ equity and strong profitability. However, it declined sharply to 21.42% in 2024 and further to 12.09% in 2025, reflecting pressure on net earnings, possible equity base expansion, or lower financial leverage, which reduced returns to shareholders. In the forecast period from 2026 to 2035, ROE is expected to recover to 22.38% in 2026 and peak at 24.04% in 2028, before gradually declining to 17.61% by 2035. This gradual downward trend suggests moderation in profitability and leverage as the business matures. Despite the decline, an ROE of 17.61% still indicates a healthy return profile, reflecting stable earnings generation and prudent capital management over the long term.</t>
  </si>
  <si>
    <t>Return on Assets declined during the historical period from 2022 to 2025, falling from 17.70% in 2022 to 6.59% in 2025, indicating reduced efficiency in generating profits from the asset base due to profitability pressure or asset expansion. In the forecast period from 2026 to 2035, ROA is expected to recover to 11.52% in 2026 and peak at 13.45% in 2027, before gradually declining to 10.97% by 2035. The forecasted moderation suggests a mature business with stable but improving asset utilization. Despite the gradual decline, an ROA of 10.97% reflects a healthy and sustainable level of operational efficiency over the long term.</t>
  </si>
  <si>
    <t>The Current Ratio was volatile during the historical period from 2021 to 2025, declining from 2.67x in 2021 to 1.86x in 2023, before sharply recovering to 3.14x in 2024 and then falling again to 1.66x in 2025. This fluctuation indicates inconsistent working-capital management and periodic mismatches between current assets and current liabilities. Our forecasts suggest a sustained improvement in liquidity, with the company’s current ratio increasing steadily from 1.81x in 2026 to 3.06x by 2035. The rising trend indicates that current assets are expected to grow faster than current liabilities, reflecting better cash flow management and operational stability. At 3.06x, the company is projected to maintain a strong and comfortable short-term financial position.</t>
  </si>
  <si>
    <t>The Quick Ratio was volatile during the historical period from 2021 to 2025, declining from 2.67x in 2021 to 1.86x in 2023, before rising sharply to 3.13x in 2024 and then falling again to 1.66x in 2025. This volatility suggests fluctuations in the company’s most liquid assets relative to its short-term obligations, indicating inconsistent liquidity management. Our forecasts suggest a steady improvement in liquidity, with the quick ratio increasing from 1.81x in 2026 to 3.06x by 2035. The upward trend indicates strengthening immediate solvency and better cash and receivables management. At 3.06x, the company is expected to maintain a strong ability to meet short-term liabilities without relying on inventory sales.</t>
  </si>
  <si>
    <t>The Cash Ratio showed significant volatility during the historical period from 2021 to 2025, declining from 0.52x in 2021 to 0.46x in 2022, before rising sharply to 1.20x in 2023 and peaking at 2.36x in 2024, followed by a decline to 0.88x in 2025. This fluctuation indicates inconsistent cash holdings relative to short-term liabilities, possibly due to uneven cash generation or changes in treasury management. Our forecasts suggest a gradual strengthening in cash liquidity, with the cash ratio improving from 0.23x in 2026 to 1.49x by 2035. The upward trend indicates improving cash accumulation and liquidity discipline. At 1.49x, the company is expected to have a strong ability to meet current obligations purely through cash and cash equivalents.</t>
  </si>
  <si>
    <t>The Asset-to-Equity Ratio remained stable during the early historical period at 1.69x in 2021 and 2022, before increasing to 1.96x in 2023, indicating higher asset growth funded through liabilities. The ratio then declined to 1.52x in 2024, reflecting deleveraging or equity strengthening, and rose again to 2.13x in 2025, suggesting increased leverage. Our forecasts indicate a gradual normalization in the capital structure, with the asset-to-equity ratio declining steadily from 1.78x in 2026 to 1.59x by 2035. This downward trend implies reduced reliance on external financing and stronger equity support. At 1.59x, the company is expected to maintain a balanced and conservative capital structure with lower financial</t>
  </si>
  <si>
    <t>The Debt-to-Equity Ratio showed fluctuations during the historical period from 2021 to 2025, rising from 0.35x in 2021 to 0.38x in 2022 and peaking at 0.64x in 2023, indicating increased reliance on debt financing. The ratio then declined to 0.35x in 2024, before increasing sharply to 0.79x in 2025, suggesting renewed leverage, possibly to fund growth or capital expenditure. Our forecasts indicate a gradual deleveraging trend, with the debt-to-equity ratio declining from 0.49x in 2026 to 0.37x by 2035. This downward trend reflects improved balance sheet discipline and reduced financial risk. At 0.37x, the company is expected to maintain a conservative and sustainable leverage position.</t>
  </si>
  <si>
    <t>The Debt Ratio fluctuated during the historical period from 2021 to 2025, increasing from 0.21x in 2021 to 0.22x in 2022 and peaking at 0.33x in 2023, indicating higher dependence on debt to finance assets. The ratio then declined to 0.23x in 2024, before rising again to 0.37x in 2025, reflecting renewed leverage. Our forecasts suggest a stabilization followed by gradual deleveraging, with the debt ratio remaining around 0.28x during 2026–2029 and then steadily declining to 0.23x by 2035. This downward trend indicates improving balance sheet strength and reduced financial risk. At 0.23x, the company is expected to maintain a conservative and stable capital structure.</t>
  </si>
  <si>
    <t>The Interest Coverage Ratio declined sharply during the historical period from 2021 to 2025, falling from 24.21x in 2021 to 22.59x in 2022, 14.50x in 2023, and further to 6.57x in 2024, before reaching a low of 2.67x in 2025. This steep decline indicates rising interest burden and weakening earnings available to service debt, increasing financial risk. Our forecasts suggest a strong recovery, with interest coverage improving to 7.24x in 2026 and stabilizing around 9.57x in 2027–2029, before gradually easing to 9.43x by 2035. The recovery implies improved profitability and better debt servicing capacity. At 9.43x, the company is expected to maintain a comfortable ability to meet its interest obligations.</t>
  </si>
  <si>
    <t>The Return on Invested Capital (ROIC) declined significantly during the historical period from 2021 to 2025, falling from 22.81% in 2021 to 21.16% in 2022, 17.68% in 2023, 12.92% in 2024, and reaching a low of 6.75% in 2025. This downward trend indicates weakening capital efficiency, possibly due to lower operating returns, higher invested capital, or margin pressure. Our forecasts suggest a recovery in ROIC to 14.60% in 2026, followed by a peak of 15.51% in 2028, after which ROIC is expected to gradually decline to 12.57% by 2035. The forecasted moderation reflects a maturing business with stable but lower incremental returns. At 12.57%, ROIC remains healthy and indicates value creation above typical capital costs.</t>
  </si>
  <si>
    <t>The Fixed Asset Turnover ratio was in a declining trend during the historical years (2022–2025), falling sharply from 16.70x in 2022 to 5.50x in 2025, indicating that the company’s efficiency in generating revenue from its fixed assets weakened significantly. Our forecasts suggest a recovery trend, with the ratio improving from 6.31x in 2026 to 10.66x in 2035, reflecting better utilization of fixed assets and expected operational efficiency gains over the forecast period. The initial decline could have been due to recent asset additions not yet contributing fully to revenue, while the gradual improvement indicates that the company is expected to optimize its asset base over time.</t>
  </si>
  <si>
    <t>The Total Asset Turnover ratio showed a declining trend during the historical years (2022–2025), falling from 1.07x in 2022 to 0.74x in 2025, indicating that the company’s ability to generate revenue from its total assets weakened over this period. Our forecasts suggest a slight recovery followed by a gradual decline, with the ratio moving from 0.76x in 2026 to 0.69x in 2035, reflecting slower efficiency in utilizing assets to generate revenue. The decline points to potential operational inefficiencies or underutilization of assets, but the gradual stabilization suggests the company is expected to manage its total asset base more effectively over the forecast period.</t>
  </si>
  <si>
    <t>The Receivable Turnover ratio showed a slight declining trend during the historical years (2022–2025), decreasing from 7.56x in 2022 to 6.66x in 2025, indicating that the company was collecting its receivables more slowly over this period. Our forecasts suggest a relatively stable trend with minor fluctuations, with the ratio ranging from 6.88x in 2026 to 6.51x in 2035, reflecting a consistent but slightly slowing efficiency in managing receivables. The gradual decline may point to extended credit terms or slower customer payments, but the relatively high turnover indicates that the company continues to maintain effective receivables management overall.</t>
  </si>
  <si>
    <t>The Payable Turnover ratio showed a declining trend during the historical years (2022–2025), falling from 4.09x in 2022 to 3.54x in 2025, indicating that the company was taking longer to pay its suppliers over this period. Our forecasts suggest a gradual decline from 3.71x in 2026 to 3.42x in 2035, reflecting a moderate slowing in the company’s efficiency in settling payables. The declining trend may point to extended credit arrangements with suppliers or strategic cash flow management, but overall, the ratio indicates the company maintains a reasonable level of payment discipline.</t>
  </si>
  <si>
    <t>The Net Profit Margin showed a declining trend during the historical years (2022–2025), decreasing from 16.57% in 2022 to 8.96% in 2025, reflecting a significant drop in the company’s profitability during this period. Our forecasts suggest a recovery and relative stabilization, with the margin improving from 15.08% in 2026 to 15.89% in 2035, indicating that the company is expected to maintain steady profitability over the forecast period. The initial decline may have been driven by higher costs or lower revenue growth, while the recovery trend reflects improved operational efficiency and cost management, resulting in a healthier profit profile in the long term.</t>
  </si>
  <si>
    <t>The Asset Turnover Ratio showed a declining trend during the historical years (2022–2025), falling from 1.07x in 2022 to 0.74x in 2025, indicating that the company’s efficiency in generating revenue from its total assets weakened over this period. Our forecasts suggest a slight recovery followed by a gradual decline, with the ratio moving from 0.76x in 2026 to 0.69x in 2035, reflecting slower utilization of assets to generate revenue over the forecast period. The decline may be due to underutilization of existing assets or slower revenue growth relative to asset expansion, though the gradual stabilization suggests that the company is expected to manage its asset base more efficiently in the long term.</t>
  </si>
  <si>
    <t>The Financial Leverage ratio showed fluctuations during the historical years (2022–2025), moving from 1.69x in 2022 to 1.84x in 2025, indicating a slightly higher reliance on debt to finance the company’s assets during this period. Our forecasts suggest a gradual decline from 1.94x in 2026 to 1.60x in 2035, reflecting a trend toward lower leverage and a more conservative capital structure over time. The initial fluctuations may have been driven by temporary financing needs or strategic investments, while the long-term decline indicates that the company is expected to strengthen its equity base and reduce dependency on debt, which may improve financial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</si>
</sst>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0"/>
    <numFmt numFmtId="165" formatCode="0.0%"/>
    <numFmt numFmtId="166" formatCode="0.0&quot;x&quot;"/>
    <numFmt numFmtId="167" formatCode="&quot;₹&quot;\ #,##0"/>
    <numFmt numFmtId="168" formatCode="0.00&quot;x&quot;"/>
    <numFmt numFmtId="169" formatCode="&quot;₹&quot;\ #,##0;\(&quot;₹&quot;\ #,##0\);\-"/>
    <numFmt numFmtId="170" formatCode="#,##0.00;\(#,##0.00\);&quot;-&quot;"/>
    <numFmt numFmtId="171" formatCode="#,##0;\(#,##0\);&quot;-&quot;"/>
    <numFmt numFmtId="172" formatCode="0.000"/>
    <numFmt numFmtId="173" formatCode="&quot;₹&quot;\ #,##0.00"/>
    <numFmt numFmtId="174" formatCode="0.000%"/>
  </numFmts>
  <fonts count="3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i/>
      <sz val="11"/>
      <color theme="2"/>
      <name val="Calibri"/>
      <family val="2"/>
      <scheme val="minor"/>
    </font>
    <font>
      <sz val="11"/>
      <color rgb="FF0070C0"/>
      <name val="Calibri"/>
      <family val="2"/>
      <scheme val="minor"/>
    </font>
    <font>
      <sz val="11"/>
      <color rgb="FF00B050"/>
      <name val="Calibri"/>
      <family val="2"/>
      <scheme val="minor"/>
    </font>
    <font>
      <b/>
      <sz val="11"/>
      <color rgb="FF00B050"/>
      <name val="Calibri"/>
      <family val="2"/>
      <scheme val="minor"/>
    </font>
    <font>
      <sz val="11"/>
      <color rgb="FF7030A0"/>
      <name val="Calibri"/>
      <family val="2"/>
      <scheme val="minor"/>
    </font>
    <font>
      <b/>
      <i/>
      <sz val="10"/>
      <color theme="1"/>
      <name val="Calibri"/>
      <family val="2"/>
      <scheme val="minor"/>
    </font>
    <font>
      <u/>
      <sz val="11"/>
      <color theme="10"/>
      <name val="Calibri"/>
      <family val="2"/>
      <scheme val="minor"/>
    </font>
    <font>
      <b/>
      <i/>
      <u/>
      <sz val="10"/>
      <color theme="10"/>
      <name val="Calibri"/>
      <family val="2"/>
      <scheme val="minor"/>
    </font>
    <font>
      <i/>
      <sz val="10"/>
      <color theme="1"/>
      <name val="Calibri"/>
      <family val="2"/>
      <scheme val="minor"/>
    </font>
    <font>
      <b/>
      <sz val="11"/>
      <color theme="1"/>
      <name val="Times New Roman"/>
      <family val="1"/>
    </font>
    <font>
      <b/>
      <sz val="10"/>
      <color theme="1"/>
      <name val="Times New Roman"/>
      <family val="1"/>
    </font>
    <font>
      <b/>
      <sz val="10"/>
      <color theme="1"/>
      <name val="Calibri"/>
      <family val="2"/>
      <scheme val="minor"/>
    </font>
    <font>
      <b/>
      <i/>
      <sz val="10"/>
      <color theme="1"/>
      <name val="Times New Roman"/>
      <family val="1"/>
    </font>
    <font>
      <b/>
      <u/>
      <sz val="10"/>
      <color theme="1"/>
      <name val="Times New Roman"/>
      <family val="1"/>
    </font>
    <font>
      <b/>
      <sz val="11"/>
      <color rgb="FFFF0000"/>
      <name val="Calibri"/>
      <family val="2"/>
      <scheme val="minor"/>
    </font>
    <font>
      <sz val="11"/>
      <color theme="1"/>
      <name val="Times New Roman"/>
      <family val="1"/>
    </font>
    <font>
      <sz val="11"/>
      <color rgb="FF7030A0"/>
      <name val="Times New Roman"/>
      <family val="1"/>
    </font>
    <font>
      <b/>
      <sz val="12"/>
      <color theme="1"/>
      <name val="Times New Roman"/>
      <family val="1"/>
    </font>
    <font>
      <i/>
      <sz val="10"/>
      <color rgb="FF00B050"/>
      <name val="Calibri"/>
      <family val="2"/>
      <scheme val="minor"/>
    </font>
    <font>
      <b/>
      <sz val="12"/>
      <color theme="1"/>
      <name val="Calibri"/>
      <family val="2"/>
      <scheme val="minor"/>
    </font>
    <font>
      <sz val="11"/>
      <color rgb="FF00B050"/>
      <name val="Times New Roman"/>
      <family val="1"/>
    </font>
    <font>
      <sz val="9"/>
      <color rgb="FF0070C0"/>
      <name val="Arial"/>
      <family val="2"/>
    </font>
    <font>
      <b/>
      <sz val="11"/>
      <color rgb="FF0070C0"/>
      <name val="Calibri"/>
      <family val="2"/>
      <scheme val="minor"/>
    </font>
    <font>
      <sz val="11"/>
      <color theme="1"/>
      <name val="Cambria"/>
      <family val="1"/>
    </font>
    <font>
      <b/>
      <sz val="12"/>
      <color theme="1"/>
      <name val="Cambria"/>
      <family val="1"/>
    </font>
    <font>
      <sz val="9"/>
      <color indexed="81"/>
      <name val="Tahoma"/>
      <family val="2"/>
    </font>
    <font>
      <b/>
      <sz val="9"/>
      <color indexed="81"/>
      <name val="Tahoma"/>
      <family val="2"/>
    </font>
    <font>
      <i/>
      <sz val="11"/>
      <color rgb="FF00B050"/>
      <name val="Calibri"/>
      <family val="2"/>
      <scheme val="minor"/>
    </font>
    <font>
      <b/>
      <i/>
      <u/>
      <sz val="11"/>
      <color theme="1"/>
      <name val="Calibri"/>
      <family val="2"/>
      <scheme val="minor"/>
    </font>
    <font>
      <sz val="12"/>
      <color theme="1"/>
      <name val="Calibri"/>
      <family val="2"/>
      <scheme val="minor"/>
    </font>
    <font>
      <b/>
      <sz val="11"/>
      <color rgb="FF7030A0"/>
      <name val="Calibri"/>
      <family val="2"/>
      <scheme val="minor"/>
    </font>
    <font>
      <sz val="11"/>
      <color rgb="FF232A31"/>
      <name val="Times New Roman"/>
      <family val="1"/>
    </font>
  </fonts>
  <fills count="13">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00"/>
        <bgColor indexed="64"/>
      </patternFill>
    </fill>
  </fills>
  <borders count="79">
    <border>
      <left/>
      <right/>
      <top/>
      <bottom/>
      <diagonal/>
    </border>
    <border>
      <left/>
      <right/>
      <top/>
      <bottom style="thin">
        <color indexed="64"/>
      </bottom>
      <diagonal/>
    </border>
    <border>
      <left/>
      <right/>
      <top style="thin">
        <color indexed="64"/>
      </top>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right/>
      <top style="hair">
        <color auto="1"/>
      </top>
      <bottom style="hair">
        <color auto="1"/>
      </bottom>
      <diagonal/>
    </border>
    <border>
      <left/>
      <right/>
      <top style="hair">
        <color auto="1"/>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hair">
        <color auto="1"/>
      </top>
      <bottom style="medium">
        <color indexed="64"/>
      </bottom>
      <diagonal/>
    </border>
    <border>
      <left/>
      <right style="medium">
        <color indexed="64"/>
      </right>
      <top style="hair">
        <color auto="1"/>
      </top>
      <bottom style="medium">
        <color indexed="64"/>
      </bottom>
      <diagonal/>
    </border>
    <border>
      <left/>
      <right/>
      <top style="thin">
        <color indexed="64"/>
      </top>
      <bottom style="medium">
        <color indexed="64"/>
      </bottom>
      <diagonal/>
    </border>
    <border>
      <left style="double">
        <color auto="1"/>
      </left>
      <right style="double">
        <color auto="1"/>
      </right>
      <top style="double">
        <color auto="1"/>
      </top>
      <bottom style="double">
        <color auto="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thin">
        <color indexed="64"/>
      </top>
      <bottom style="medium">
        <color indexed="64"/>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hair">
        <color indexed="64"/>
      </left>
      <right style="hair">
        <color indexed="64"/>
      </right>
      <top/>
      <bottom/>
      <diagonal/>
    </border>
    <border>
      <left style="hair">
        <color indexed="64"/>
      </left>
      <right style="hair">
        <color indexed="64"/>
      </right>
      <top style="medium">
        <color indexed="64"/>
      </top>
      <bottom/>
      <diagonal/>
    </border>
    <border>
      <left style="hair">
        <color indexed="64"/>
      </left>
      <right style="hair">
        <color indexed="64"/>
      </right>
      <top style="thin">
        <color indexed="64"/>
      </top>
      <bottom/>
      <diagonal/>
    </border>
    <border>
      <left style="hair">
        <color indexed="64"/>
      </left>
      <right style="hair">
        <color indexed="64"/>
      </right>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bottom style="hair">
        <color auto="1"/>
      </bottom>
      <diagonal/>
    </border>
    <border>
      <left/>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hair">
        <color auto="1"/>
      </bottom>
      <diagonal/>
    </border>
    <border>
      <left/>
      <right style="medium">
        <color indexed="64"/>
      </right>
      <top/>
      <bottom style="hair">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diagonal/>
    </border>
    <border>
      <left/>
      <right style="medium">
        <color indexed="64"/>
      </right>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auto="1"/>
      </right>
      <top style="hair">
        <color auto="1"/>
      </top>
      <bottom style="hair">
        <color auto="1"/>
      </bottom>
      <diagonal/>
    </border>
    <border>
      <left style="medium">
        <color indexed="64"/>
      </left>
      <right/>
      <top/>
      <bottom/>
      <diagonal/>
    </border>
    <border>
      <left/>
      <right/>
      <top style="thin">
        <color indexed="64"/>
      </top>
      <bottom style="double">
        <color indexed="64"/>
      </bottom>
      <diagonal/>
    </border>
    <border>
      <left style="dashed">
        <color auto="1"/>
      </left>
      <right/>
      <top style="hair">
        <color auto="1"/>
      </top>
      <bottom style="hair">
        <color auto="1"/>
      </bottom>
      <diagonal/>
    </border>
    <border>
      <left style="dashed">
        <color auto="1"/>
      </left>
      <right/>
      <top/>
      <bottom style="hair">
        <color auto="1"/>
      </bottom>
      <diagonal/>
    </border>
    <border>
      <left/>
      <right style="hair">
        <color auto="1"/>
      </right>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s>
  <cellStyleXfs count="3">
    <xf numFmtId="0" fontId="0" fillId="0" borderId="0"/>
    <xf numFmtId="9" fontId="1" fillId="0" borderId="0" applyFont="0" applyFill="0" applyBorder="0" applyAlignment="0" applyProtection="0"/>
    <xf numFmtId="0" fontId="12" fillId="0" borderId="0" applyNumberFormat="0" applyFill="0" applyBorder="0" applyAlignment="0" applyProtection="0"/>
  </cellStyleXfs>
  <cellXfs count="456">
    <xf numFmtId="0" fontId="0" fillId="0" borderId="0" xfId="0"/>
    <xf numFmtId="0" fontId="3" fillId="0" borderId="0" xfId="0" applyFont="1"/>
    <xf numFmtId="0" fontId="0" fillId="0" borderId="0" xfId="0" applyFont="1"/>
    <xf numFmtId="0" fontId="3" fillId="0" borderId="1" xfId="0" applyFont="1" applyBorder="1"/>
    <xf numFmtId="3" fontId="0" fillId="0" borderId="0" xfId="0" applyNumberFormat="1"/>
    <xf numFmtId="0" fontId="0" fillId="0" borderId="0" xfId="0" applyAlignment="1">
      <alignment horizontal="left" indent="1"/>
    </xf>
    <xf numFmtId="0" fontId="0" fillId="0" borderId="0" xfId="0" applyAlignment="1">
      <alignment horizontal="left" indent="2"/>
    </xf>
    <xf numFmtId="0" fontId="4" fillId="0" borderId="0" xfId="0" applyFont="1"/>
    <xf numFmtId="0" fontId="3" fillId="0" borderId="2" xfId="0" applyFont="1" applyBorder="1"/>
    <xf numFmtId="0" fontId="0" fillId="0" borderId="2" xfId="0" applyBorder="1"/>
    <xf numFmtId="9" fontId="0" fillId="0" borderId="0" xfId="1" applyFont="1"/>
    <xf numFmtId="9" fontId="0" fillId="0" borderId="0" xfId="0" applyNumberFormat="1"/>
    <xf numFmtId="1" fontId="0" fillId="0" borderId="0" xfId="0" applyNumberFormat="1"/>
    <xf numFmtId="9" fontId="4" fillId="0" borderId="0" xfId="1" applyFont="1"/>
    <xf numFmtId="0" fontId="5" fillId="0" borderId="0" xfId="0" applyFont="1"/>
    <xf numFmtId="0" fontId="0" fillId="0" borderId="5" xfId="0" applyBorder="1"/>
    <xf numFmtId="0" fontId="4" fillId="0" borderId="5" xfId="0" applyFont="1" applyBorder="1"/>
    <xf numFmtId="9" fontId="4" fillId="0" borderId="5" xfId="1" applyFont="1" applyBorder="1"/>
    <xf numFmtId="9" fontId="4" fillId="3" borderId="5" xfId="1" applyFont="1" applyFill="1" applyBorder="1"/>
    <xf numFmtId="1" fontId="3" fillId="0" borderId="0" xfId="0" applyNumberFormat="1" applyFont="1"/>
    <xf numFmtId="0" fontId="0" fillId="0" borderId="0" xfId="0" applyAlignment="1">
      <alignment horizontal="left"/>
    </xf>
    <xf numFmtId="0" fontId="6" fillId="0" borderId="0" xfId="0" applyFont="1"/>
    <xf numFmtId="0" fontId="4" fillId="0" borderId="5" xfId="0" applyFont="1" applyBorder="1" applyAlignment="1">
      <alignment horizontal="left"/>
    </xf>
    <xf numFmtId="9" fontId="4" fillId="3" borderId="5" xfId="0" applyNumberFormat="1" applyFont="1" applyFill="1" applyBorder="1"/>
    <xf numFmtId="0" fontId="4" fillId="0" borderId="2" xfId="0" applyFont="1" applyBorder="1"/>
    <xf numFmtId="9" fontId="4" fillId="0" borderId="2" xfId="1" applyFont="1" applyBorder="1"/>
    <xf numFmtId="9" fontId="4" fillId="0" borderId="2" xfId="0" applyNumberFormat="1" applyFont="1" applyBorder="1"/>
    <xf numFmtId="0" fontId="0" fillId="5" borderId="9" xfId="0" applyFill="1" applyBorder="1"/>
    <xf numFmtId="14" fontId="7" fillId="5" borderId="10" xfId="0" applyNumberFormat="1" applyFont="1" applyFill="1" applyBorder="1"/>
    <xf numFmtId="0" fontId="0" fillId="5" borderId="11" xfId="0" applyFill="1" applyBorder="1"/>
    <xf numFmtId="14" fontId="7" fillId="5" borderId="12" xfId="0" applyNumberFormat="1" applyFont="1" applyFill="1" applyBorder="1"/>
    <xf numFmtId="165" fontId="7" fillId="5" borderId="12" xfId="1" applyNumberFormat="1" applyFont="1" applyFill="1" applyBorder="1"/>
    <xf numFmtId="165" fontId="7" fillId="5" borderId="12" xfId="1" applyNumberFormat="1" applyFont="1" applyFill="1" applyBorder="1" applyAlignment="1">
      <alignment horizontal="right"/>
    </xf>
    <xf numFmtId="9" fontId="8" fillId="5" borderId="12" xfId="0" applyNumberFormat="1" applyFont="1" applyFill="1" applyBorder="1"/>
    <xf numFmtId="9" fontId="7" fillId="0" borderId="12" xfId="0" applyNumberFormat="1" applyFont="1" applyBorder="1"/>
    <xf numFmtId="164" fontId="7" fillId="5" borderId="12" xfId="0" applyNumberFormat="1" applyFont="1" applyFill="1" applyBorder="1"/>
    <xf numFmtId="167" fontId="7" fillId="5" borderId="12" xfId="0" applyNumberFormat="1" applyFont="1" applyFill="1" applyBorder="1"/>
    <xf numFmtId="0" fontId="0" fillId="5" borderId="13" xfId="0" applyFill="1" applyBorder="1"/>
    <xf numFmtId="167" fontId="0" fillId="5" borderId="14" xfId="0" applyNumberFormat="1" applyFill="1" applyBorder="1"/>
    <xf numFmtId="0" fontId="0" fillId="0" borderId="0" xfId="0" applyFont="1" applyBorder="1"/>
    <xf numFmtId="0" fontId="3" fillId="0" borderId="0" xfId="0" applyFont="1" applyBorder="1"/>
    <xf numFmtId="0" fontId="3" fillId="0" borderId="16" xfId="0" applyFont="1" applyBorder="1"/>
    <xf numFmtId="0" fontId="3" fillId="0" borderId="15" xfId="0" applyFont="1" applyBorder="1"/>
    <xf numFmtId="0" fontId="3" fillId="8" borderId="16" xfId="0" applyFont="1" applyFill="1" applyBorder="1"/>
    <xf numFmtId="3" fontId="3" fillId="8" borderId="16" xfId="0" applyNumberFormat="1" applyFont="1" applyFill="1" applyBorder="1" applyAlignment="1">
      <alignment horizontal="center"/>
    </xf>
    <xf numFmtId="0" fontId="5" fillId="6" borderId="3" xfId="0" applyFont="1" applyFill="1" applyBorder="1"/>
    <xf numFmtId="0" fontId="5" fillId="6" borderId="4" xfId="0" applyFont="1" applyFill="1" applyBorder="1"/>
    <xf numFmtId="0" fontId="11" fillId="0" borderId="18" xfId="0" applyFont="1" applyBorder="1"/>
    <xf numFmtId="0" fontId="13" fillId="0" borderId="17" xfId="2" applyFont="1" applyBorder="1"/>
    <xf numFmtId="0" fontId="0" fillId="0" borderId="19" xfId="0" applyBorder="1"/>
    <xf numFmtId="0" fontId="3" fillId="7" borderId="20" xfId="0" applyFont="1" applyFill="1" applyBorder="1" applyAlignment="1">
      <alignment horizontal="center"/>
    </xf>
    <xf numFmtId="0" fontId="3" fillId="4" borderId="21" xfId="0" applyFont="1" applyFill="1" applyBorder="1"/>
    <xf numFmtId="164" fontId="3" fillId="4" borderId="22" xfId="0" applyNumberFormat="1" applyFont="1" applyFill="1" applyBorder="1"/>
    <xf numFmtId="15" fontId="7" fillId="0" borderId="23" xfId="0" applyNumberFormat="1" applyFont="1" applyBorder="1"/>
    <xf numFmtId="10" fontId="3" fillId="4" borderId="22" xfId="1" applyNumberFormat="1" applyFont="1" applyFill="1" applyBorder="1"/>
    <xf numFmtId="15" fontId="7" fillId="0" borderId="24" xfId="0" applyNumberFormat="1" applyFont="1" applyBorder="1"/>
    <xf numFmtId="1" fontId="7" fillId="0" borderId="24" xfId="0" applyNumberFormat="1" applyFont="1" applyBorder="1"/>
    <xf numFmtId="1" fontId="7" fillId="0" borderId="23" xfId="0" applyNumberFormat="1" applyFont="1" applyBorder="1"/>
    <xf numFmtId="0" fontId="3" fillId="9" borderId="21" xfId="0" applyFont="1" applyFill="1" applyBorder="1"/>
    <xf numFmtId="2" fontId="3" fillId="9" borderId="22" xfId="0" applyNumberFormat="1" applyFont="1" applyFill="1" applyBorder="1"/>
    <xf numFmtId="0" fontId="0" fillId="0" borderId="24" xfId="0" applyBorder="1"/>
    <xf numFmtId="9" fontId="0" fillId="0" borderId="23" xfId="1" applyFont="1" applyBorder="1"/>
    <xf numFmtId="17" fontId="7" fillId="0" borderId="24" xfId="0" applyNumberFormat="1" applyFont="1" applyBorder="1"/>
    <xf numFmtId="17" fontId="7" fillId="0" borderId="23" xfId="0" applyNumberFormat="1" applyFont="1" applyBorder="1"/>
    <xf numFmtId="0" fontId="0" fillId="0" borderId="28" xfId="0" applyFill="1" applyBorder="1" applyAlignment="1"/>
    <xf numFmtId="0" fontId="4" fillId="0" borderId="29" xfId="0" applyFont="1" applyFill="1" applyBorder="1" applyAlignment="1">
      <alignment horizontal="center"/>
    </xf>
    <xf numFmtId="0" fontId="4" fillId="0" borderId="29" xfId="0" applyFont="1" applyFill="1" applyBorder="1" applyAlignment="1">
      <alignment horizontal="centerContinuous"/>
    </xf>
    <xf numFmtId="0" fontId="3" fillId="7" borderId="1" xfId="0" applyFont="1" applyFill="1" applyBorder="1"/>
    <xf numFmtId="0" fontId="13" fillId="0" borderId="30" xfId="2" applyFont="1" applyBorder="1"/>
    <xf numFmtId="0" fontId="0" fillId="0" borderId="31" xfId="0" applyBorder="1"/>
    <xf numFmtId="0" fontId="14" fillId="0" borderId="0" xfId="0" applyFont="1"/>
    <xf numFmtId="0" fontId="16" fillId="7" borderId="0" xfId="0" applyFont="1" applyFill="1"/>
    <xf numFmtId="9" fontId="16" fillId="7" borderId="0" xfId="1" applyFont="1" applyFill="1"/>
    <xf numFmtId="0" fontId="17" fillId="0" borderId="0" xfId="0" applyFont="1"/>
    <xf numFmtId="3" fontId="18" fillId="7" borderId="0" xfId="0" applyNumberFormat="1" applyFont="1" applyFill="1" applyAlignment="1">
      <alignment horizontal="center"/>
    </xf>
    <xf numFmtId="9" fontId="18" fillId="7" borderId="0" xfId="0" applyNumberFormat="1" applyFont="1" applyFill="1" applyAlignment="1">
      <alignment horizontal="center"/>
    </xf>
    <xf numFmtId="165" fontId="18" fillId="7" borderId="0" xfId="1" applyNumberFormat="1" applyFont="1" applyFill="1" applyAlignment="1">
      <alignment horizontal="center"/>
    </xf>
    <xf numFmtId="0" fontId="11" fillId="0" borderId="0" xfId="0" applyFont="1"/>
    <xf numFmtId="0" fontId="19" fillId="7" borderId="1" xfId="0" applyFont="1" applyFill="1" applyBorder="1" applyAlignment="1">
      <alignment horizontal="center"/>
    </xf>
    <xf numFmtId="9" fontId="19" fillId="7" borderId="1" xfId="1" applyFont="1" applyFill="1" applyBorder="1" applyAlignment="1">
      <alignment horizontal="center"/>
    </xf>
    <xf numFmtId="0" fontId="17" fillId="0" borderId="1" xfId="0" applyFont="1" applyBorder="1"/>
    <xf numFmtId="3" fontId="18" fillId="7" borderId="1" xfId="0" applyNumberFormat="1" applyFont="1" applyFill="1" applyBorder="1" applyAlignment="1">
      <alignment horizontal="center"/>
    </xf>
    <xf numFmtId="9" fontId="18" fillId="7" borderId="1" xfId="0" applyNumberFormat="1" applyFont="1" applyFill="1" applyBorder="1" applyAlignment="1">
      <alignment horizontal="center"/>
    </xf>
    <xf numFmtId="0" fontId="11" fillId="0" borderId="1" xfId="0" applyFont="1" applyBorder="1"/>
    <xf numFmtId="165" fontId="18" fillId="7" borderId="1" xfId="1" applyNumberFormat="1" applyFont="1" applyFill="1" applyBorder="1" applyAlignment="1">
      <alignment horizontal="center"/>
    </xf>
    <xf numFmtId="0" fontId="0" fillId="3" borderId="5" xfId="0" applyNumberFormat="1" applyFont="1" applyFill="1" applyBorder="1"/>
    <xf numFmtId="0" fontId="0" fillId="3" borderId="5" xfId="0" applyNumberFormat="1" applyFill="1" applyBorder="1"/>
    <xf numFmtId="168" fontId="0" fillId="3" borderId="5" xfId="0" applyNumberFormat="1" applyFill="1" applyBorder="1"/>
    <xf numFmtId="0" fontId="3" fillId="7" borderId="5" xfId="0" applyNumberFormat="1" applyFont="1" applyFill="1" applyBorder="1"/>
    <xf numFmtId="168" fontId="3" fillId="7" borderId="5" xfId="0" applyNumberFormat="1" applyFont="1" applyFill="1" applyBorder="1"/>
    <xf numFmtId="0" fontId="0" fillId="0" borderId="33" xfId="0" applyBorder="1"/>
    <xf numFmtId="168" fontId="0" fillId="0" borderId="33" xfId="0" applyNumberFormat="1" applyBorder="1"/>
    <xf numFmtId="167" fontId="0" fillId="0" borderId="33" xfId="0" applyNumberFormat="1" applyBorder="1"/>
    <xf numFmtId="0" fontId="20" fillId="0" borderId="33" xfId="0" applyFont="1" applyBorder="1"/>
    <xf numFmtId="168" fontId="0" fillId="0" borderId="5" xfId="0" applyNumberFormat="1" applyBorder="1"/>
    <xf numFmtId="167" fontId="0" fillId="0" borderId="5" xfId="0" applyNumberFormat="1" applyBorder="1"/>
    <xf numFmtId="0" fontId="0" fillId="0" borderId="0" xfId="0" applyBorder="1"/>
    <xf numFmtId="168" fontId="0" fillId="0" borderId="0" xfId="0" applyNumberFormat="1" applyBorder="1"/>
    <xf numFmtId="167" fontId="0" fillId="0" borderId="0" xfId="0" applyNumberFormat="1" applyBorder="1"/>
    <xf numFmtId="164" fontId="0" fillId="0" borderId="0" xfId="0" applyNumberFormat="1" applyBorder="1"/>
    <xf numFmtId="0" fontId="9" fillId="0" borderId="0" xfId="0" applyFont="1" applyBorder="1"/>
    <xf numFmtId="0" fontId="0" fillId="0" borderId="34" xfId="0" applyBorder="1"/>
    <xf numFmtId="168" fontId="0" fillId="0" borderId="34" xfId="0" applyNumberFormat="1" applyBorder="1"/>
    <xf numFmtId="0" fontId="21" fillId="0" borderId="0" xfId="0" applyFont="1"/>
    <xf numFmtId="9" fontId="21" fillId="0" borderId="0" xfId="1" applyFont="1"/>
    <xf numFmtId="3" fontId="21" fillId="0" borderId="0" xfId="0" applyNumberFormat="1" applyFont="1"/>
    <xf numFmtId="9" fontId="21" fillId="0" borderId="0" xfId="0" applyNumberFormat="1" applyFont="1"/>
    <xf numFmtId="165" fontId="21" fillId="0" borderId="0" xfId="1" applyNumberFormat="1" applyFont="1"/>
    <xf numFmtId="0" fontId="21" fillId="0" borderId="0" xfId="0" applyFont="1" applyBorder="1"/>
    <xf numFmtId="3" fontId="21" fillId="0" borderId="0" xfId="0" applyNumberFormat="1" applyFont="1" applyBorder="1"/>
    <xf numFmtId="0" fontId="15" fillId="0" borderId="0" xfId="0" applyFont="1" applyBorder="1"/>
    <xf numFmtId="3" fontId="15" fillId="0" borderId="0" xfId="0" applyNumberFormat="1" applyFont="1" applyBorder="1"/>
    <xf numFmtId="0" fontId="23" fillId="0" borderId="0" xfId="0" applyFont="1" applyFill="1" applyBorder="1"/>
    <xf numFmtId="4" fontId="0" fillId="0" borderId="0" xfId="0" applyNumberFormat="1" applyFont="1" applyBorder="1"/>
    <xf numFmtId="0" fontId="3" fillId="5" borderId="0" xfId="0" applyFont="1" applyFill="1" applyBorder="1"/>
    <xf numFmtId="165" fontId="3" fillId="5" borderId="0" xfId="1" applyNumberFormat="1" applyFont="1" applyFill="1" applyBorder="1"/>
    <xf numFmtId="0" fontId="0" fillId="5" borderId="0" xfId="0" applyFont="1" applyFill="1" applyBorder="1"/>
    <xf numFmtId="3" fontId="0" fillId="0" borderId="0" xfId="0" applyNumberFormat="1" applyFont="1" applyBorder="1"/>
    <xf numFmtId="165" fontId="0" fillId="0" borderId="0" xfId="1" applyNumberFormat="1" applyFont="1" applyBorder="1"/>
    <xf numFmtId="0" fontId="0" fillId="0" borderId="0" xfId="0" applyFont="1" applyFill="1" applyBorder="1"/>
    <xf numFmtId="0" fontId="3" fillId="0" borderId="2" xfId="0" applyFont="1" applyFill="1" applyBorder="1"/>
    <xf numFmtId="0" fontId="0" fillId="0" borderId="0" xfId="0" applyFill="1" applyBorder="1"/>
    <xf numFmtId="0" fontId="0" fillId="5" borderId="28" xfId="0" applyFont="1" applyFill="1" applyBorder="1"/>
    <xf numFmtId="165" fontId="8" fillId="0" borderId="0" xfId="1" applyNumberFormat="1" applyFont="1" applyBorder="1"/>
    <xf numFmtId="165" fontId="0" fillId="0" borderId="15" xfId="1" applyNumberFormat="1" applyFont="1" applyBorder="1"/>
    <xf numFmtId="0" fontId="3" fillId="0" borderId="15" xfId="0" applyFont="1" applyFill="1" applyBorder="1"/>
    <xf numFmtId="165" fontId="3" fillId="0" borderId="15" xfId="1" applyNumberFormat="1" applyFont="1" applyBorder="1"/>
    <xf numFmtId="0" fontId="3" fillId="7" borderId="15" xfId="0" applyFont="1" applyFill="1" applyBorder="1"/>
    <xf numFmtId="165" fontId="3" fillId="7" borderId="15" xfId="1" applyNumberFormat="1" applyFont="1" applyFill="1" applyBorder="1"/>
    <xf numFmtId="9" fontId="0" fillId="5" borderId="28" xfId="1" applyFont="1" applyFill="1" applyBorder="1"/>
    <xf numFmtId="165" fontId="3" fillId="0" borderId="2" xfId="1" applyNumberFormat="1" applyFont="1" applyBorder="1"/>
    <xf numFmtId="10" fontId="3" fillId="0" borderId="2" xfId="1" applyNumberFormat="1" applyFont="1" applyBorder="1"/>
    <xf numFmtId="0" fontId="21" fillId="0" borderId="0" xfId="0" applyFont="1" applyFill="1" applyBorder="1"/>
    <xf numFmtId="3" fontId="21" fillId="0" borderId="0" xfId="0" applyNumberFormat="1" applyFont="1" applyFill="1" applyBorder="1"/>
    <xf numFmtId="0" fontId="14" fillId="3" borderId="0" xfId="0" applyFont="1" applyFill="1"/>
    <xf numFmtId="0" fontId="14" fillId="3" borderId="0" xfId="0" applyFont="1" applyFill="1" applyAlignment="1">
      <alignment horizontal="right"/>
    </xf>
    <xf numFmtId="0" fontId="14" fillId="3" borderId="5" xfId="0" applyFont="1" applyFill="1" applyBorder="1"/>
    <xf numFmtId="14" fontId="24" fillId="3" borderId="5" xfId="0" applyNumberFormat="1" applyFont="1" applyFill="1" applyBorder="1"/>
    <xf numFmtId="14" fontId="14" fillId="3" borderId="5" xfId="0" applyNumberFormat="1" applyFont="1" applyFill="1" applyBorder="1"/>
    <xf numFmtId="0" fontId="14" fillId="3" borderId="6" xfId="0" applyFont="1" applyFill="1" applyBorder="1"/>
    <xf numFmtId="2" fontId="14" fillId="3" borderId="6" xfId="0" applyNumberFormat="1" applyFont="1" applyFill="1" applyBorder="1"/>
    <xf numFmtId="0" fontId="3" fillId="4" borderId="35" xfId="0" applyFont="1" applyFill="1" applyBorder="1"/>
    <xf numFmtId="0" fontId="0" fillId="4" borderId="37" xfId="0" applyFill="1" applyBorder="1"/>
    <xf numFmtId="0" fontId="3" fillId="4" borderId="39" xfId="0" applyFont="1" applyFill="1" applyBorder="1"/>
    <xf numFmtId="0" fontId="4" fillId="3" borderId="34" xfId="0" applyFont="1" applyFill="1" applyBorder="1"/>
    <xf numFmtId="168" fontId="4" fillId="3" borderId="34" xfId="0" applyNumberFormat="1" applyFont="1" applyFill="1" applyBorder="1"/>
    <xf numFmtId="0" fontId="4" fillId="3" borderId="5" xfId="0" applyFont="1" applyFill="1" applyBorder="1"/>
    <xf numFmtId="0" fontId="4" fillId="3" borderId="41" xfId="0" applyFont="1" applyFill="1" applyBorder="1"/>
    <xf numFmtId="0" fontId="4" fillId="5" borderId="0" xfId="0" applyFont="1" applyFill="1" applyBorder="1"/>
    <xf numFmtId="9" fontId="4" fillId="5" borderId="0" xfId="1" applyFont="1" applyFill="1" applyBorder="1"/>
    <xf numFmtId="167" fontId="0" fillId="0" borderId="0" xfId="0" applyNumberFormat="1"/>
    <xf numFmtId="167" fontId="3" fillId="7" borderId="15" xfId="0" applyNumberFormat="1" applyFont="1" applyFill="1" applyBorder="1"/>
    <xf numFmtId="169" fontId="0" fillId="0" borderId="0" xfId="0" applyNumberFormat="1"/>
    <xf numFmtId="169" fontId="3" fillId="0" borderId="15" xfId="0" applyNumberFormat="1" applyFont="1" applyBorder="1"/>
    <xf numFmtId="1" fontId="0" fillId="0" borderId="0" xfId="0" applyNumberFormat="1" applyBorder="1"/>
    <xf numFmtId="0" fontId="15" fillId="11" borderId="35" xfId="0" applyFont="1" applyFill="1" applyBorder="1"/>
    <xf numFmtId="3" fontId="15" fillId="11" borderId="2" xfId="0" applyNumberFormat="1" applyFont="1" applyFill="1" applyBorder="1"/>
    <xf numFmtId="165" fontId="15" fillId="11" borderId="2" xfId="1" applyNumberFormat="1" applyFont="1" applyFill="1" applyBorder="1"/>
    <xf numFmtId="4" fontId="15" fillId="11" borderId="36" xfId="0" applyNumberFormat="1" applyFont="1" applyFill="1" applyBorder="1"/>
    <xf numFmtId="0" fontId="15" fillId="11" borderId="39" xfId="0" applyFont="1" applyFill="1" applyBorder="1"/>
    <xf numFmtId="3" fontId="15" fillId="11" borderId="1" xfId="0" applyNumberFormat="1" applyFont="1" applyFill="1" applyBorder="1"/>
    <xf numFmtId="165" fontId="15" fillId="11" borderId="1" xfId="1" applyNumberFormat="1" applyFont="1" applyFill="1" applyBorder="1"/>
    <xf numFmtId="4" fontId="15" fillId="11" borderId="40" xfId="0" applyNumberFormat="1" applyFont="1" applyFill="1" applyBorder="1"/>
    <xf numFmtId="10" fontId="8" fillId="0" borderId="0" xfId="1" applyNumberFormat="1" applyFont="1" applyBorder="1"/>
    <xf numFmtId="0" fontId="2" fillId="7" borderId="42" xfId="0" applyFont="1" applyFill="1" applyBorder="1"/>
    <xf numFmtId="0" fontId="0" fillId="7" borderId="27" xfId="0" applyFill="1" applyBorder="1"/>
    <xf numFmtId="0" fontId="0" fillId="7" borderId="43" xfId="0" applyFill="1" applyBorder="1"/>
    <xf numFmtId="0" fontId="3" fillId="0" borderId="44" xfId="0" applyFont="1" applyBorder="1"/>
    <xf numFmtId="0" fontId="3" fillId="0" borderId="45" xfId="0" applyFont="1" applyBorder="1" applyAlignment="1">
      <alignment horizontal="center"/>
    </xf>
    <xf numFmtId="0" fontId="3" fillId="0" borderId="46" xfId="0" applyFont="1" applyBorder="1" applyAlignment="1">
      <alignment horizontal="center"/>
    </xf>
    <xf numFmtId="0" fontId="0" fillId="0" borderId="47" xfId="0" applyBorder="1"/>
    <xf numFmtId="167" fontId="0" fillId="0" borderId="48" xfId="0" applyNumberFormat="1" applyBorder="1"/>
    <xf numFmtId="0" fontId="0" fillId="0" borderId="11" xfId="0" applyBorder="1"/>
    <xf numFmtId="167" fontId="0" fillId="0" borderId="12" xfId="0" applyNumberFormat="1" applyBorder="1"/>
    <xf numFmtId="167" fontId="0" fillId="0" borderId="5" xfId="0" applyNumberFormat="1" applyFont="1" applyBorder="1"/>
    <xf numFmtId="0" fontId="0" fillId="0" borderId="13" xfId="0" applyBorder="1"/>
    <xf numFmtId="0" fontId="0" fillId="0" borderId="41" xfId="0" applyBorder="1"/>
    <xf numFmtId="167" fontId="0" fillId="0" borderId="41" xfId="0" applyNumberFormat="1" applyBorder="1"/>
    <xf numFmtId="167" fontId="0" fillId="0" borderId="14" xfId="0" applyNumberFormat="1" applyBorder="1"/>
    <xf numFmtId="0" fontId="0" fillId="0" borderId="51" xfId="0" applyBorder="1"/>
    <xf numFmtId="0" fontId="0" fillId="0" borderId="52" xfId="0" applyBorder="1"/>
    <xf numFmtId="0" fontId="28" fillId="5" borderId="47" xfId="0" applyFont="1" applyFill="1" applyBorder="1"/>
    <xf numFmtId="0" fontId="28" fillId="5" borderId="48" xfId="0" applyFont="1" applyFill="1" applyBorder="1"/>
    <xf numFmtId="0" fontId="3" fillId="5" borderId="11" xfId="0" applyFont="1" applyFill="1" applyBorder="1"/>
    <xf numFmtId="0" fontId="3" fillId="5" borderId="12" xfId="0" applyFont="1" applyFill="1" applyBorder="1"/>
    <xf numFmtId="0" fontId="9" fillId="5" borderId="13" xfId="0" applyFont="1" applyFill="1" applyBorder="1"/>
    <xf numFmtId="0" fontId="9" fillId="5" borderId="14" xfId="0" applyFont="1" applyFill="1" applyBorder="1"/>
    <xf numFmtId="0" fontId="3" fillId="5" borderId="9" xfId="0" applyFont="1" applyFill="1" applyBorder="1"/>
    <xf numFmtId="0" fontId="3" fillId="5" borderId="56" xfId="0" applyFont="1" applyFill="1" applyBorder="1"/>
    <xf numFmtId="0" fontId="0" fillId="7" borderId="0" xfId="0" applyFill="1"/>
    <xf numFmtId="0" fontId="3" fillId="7" borderId="0" xfId="0" applyFont="1" applyFill="1"/>
    <xf numFmtId="0" fontId="21" fillId="0" borderId="5" xfId="0" applyFont="1" applyBorder="1"/>
    <xf numFmtId="9" fontId="22" fillId="0" borderId="5" xfId="1" applyFont="1" applyBorder="1"/>
    <xf numFmtId="3" fontId="26" fillId="0" borderId="5" xfId="0" applyNumberFormat="1" applyFont="1" applyBorder="1"/>
    <xf numFmtId="10" fontId="21" fillId="0" borderId="5" xfId="1" applyNumberFormat="1" applyFont="1" applyBorder="1"/>
    <xf numFmtId="10" fontId="7" fillId="0" borderId="5" xfId="0" applyNumberFormat="1" applyFont="1" applyBorder="1"/>
    <xf numFmtId="0" fontId="7" fillId="0" borderId="5" xfId="0" applyFont="1" applyBorder="1"/>
    <xf numFmtId="2" fontId="0" fillId="0" borderId="5" xfId="0" applyNumberFormat="1" applyFont="1" applyBorder="1"/>
    <xf numFmtId="0" fontId="0" fillId="0" borderId="5" xfId="0" applyFont="1" applyBorder="1"/>
    <xf numFmtId="3" fontId="21" fillId="0" borderId="5" xfId="0" applyNumberFormat="1" applyFont="1" applyBorder="1"/>
    <xf numFmtId="0" fontId="27" fillId="0" borderId="5" xfId="0" applyFont="1" applyBorder="1"/>
    <xf numFmtId="0" fontId="7" fillId="0" borderId="5" xfId="0" applyFont="1" applyFill="1" applyBorder="1"/>
    <xf numFmtId="3" fontId="15" fillId="0" borderId="5" xfId="0" applyNumberFormat="1" applyFont="1" applyBorder="1"/>
    <xf numFmtId="10" fontId="7" fillId="0" borderId="5" xfId="0" applyNumberFormat="1" applyFont="1" applyFill="1" applyBorder="1"/>
    <xf numFmtId="0" fontId="27" fillId="0" borderId="5" xfId="0" applyFont="1" applyFill="1" applyBorder="1"/>
    <xf numFmtId="10" fontId="3" fillId="7" borderId="17" xfId="1" applyNumberFormat="1" applyFont="1" applyFill="1" applyBorder="1"/>
    <xf numFmtId="0" fontId="3" fillId="7" borderId="17" xfId="0" applyFont="1" applyFill="1" applyBorder="1"/>
    <xf numFmtId="0" fontId="0" fillId="0" borderId="0" xfId="0" applyAlignment="1">
      <alignment horizontal="left" wrapText="1"/>
    </xf>
    <xf numFmtId="0" fontId="29" fillId="0" borderId="5" xfId="0" applyFont="1" applyBorder="1" applyAlignment="1">
      <alignment horizontal="left" vertical="top"/>
    </xf>
    <xf numFmtId="0" fontId="0" fillId="5" borderId="0" xfId="0" applyFill="1"/>
    <xf numFmtId="0" fontId="3" fillId="5" borderId="0" xfId="0" applyFont="1" applyFill="1" applyAlignment="1">
      <alignment horizontal="center"/>
    </xf>
    <xf numFmtId="0" fontId="0" fillId="0" borderId="0" xfId="0" applyAlignment="1">
      <alignment wrapText="1"/>
    </xf>
    <xf numFmtId="168" fontId="29" fillId="0" borderId="5" xfId="0" applyNumberFormat="1" applyFont="1" applyBorder="1" applyAlignment="1">
      <alignment horizontal="left" vertical="top"/>
    </xf>
    <xf numFmtId="168" fontId="0" fillId="0" borderId="0" xfId="0" applyNumberFormat="1"/>
    <xf numFmtId="10" fontId="0" fillId="0" borderId="0" xfId="1" applyNumberFormat="1" applyFont="1" applyAlignment="1">
      <alignment horizontal="left"/>
    </xf>
    <xf numFmtId="10" fontId="29" fillId="0" borderId="5" xfId="1" applyNumberFormat="1" applyFont="1" applyBorder="1" applyAlignment="1">
      <alignment horizontal="left" vertical="top"/>
    </xf>
    <xf numFmtId="10" fontId="0" fillId="0" borderId="0" xfId="1" applyNumberFormat="1" applyFont="1"/>
    <xf numFmtId="0" fontId="29" fillId="0" borderId="0" xfId="0" applyFont="1" applyBorder="1" applyAlignment="1">
      <alignment horizontal="left" vertical="top"/>
    </xf>
    <xf numFmtId="10" fontId="29" fillId="0" borderId="0" xfId="1" applyNumberFormat="1" applyFont="1" applyBorder="1" applyAlignment="1">
      <alignment horizontal="left" vertical="top"/>
    </xf>
    <xf numFmtId="168" fontId="29" fillId="0" borderId="0" xfId="0" applyNumberFormat="1" applyFont="1" applyBorder="1" applyAlignment="1">
      <alignment horizontal="left" vertical="top"/>
    </xf>
    <xf numFmtId="10" fontId="0" fillId="0" borderId="5" xfId="1" applyNumberFormat="1" applyFont="1" applyBorder="1"/>
    <xf numFmtId="0" fontId="3" fillId="10" borderId="0" xfId="0" applyFont="1" applyFill="1" applyAlignment="1">
      <alignment horizontal="center"/>
    </xf>
    <xf numFmtId="0" fontId="0" fillId="10" borderId="0" xfId="0" applyFill="1"/>
    <xf numFmtId="166" fontId="0" fillId="0" borderId="5" xfId="0" applyNumberFormat="1" applyBorder="1"/>
    <xf numFmtId="9" fontId="3" fillId="0" borderId="0" xfId="1" applyFont="1"/>
    <xf numFmtId="10" fontId="3" fillId="0" borderId="15" xfId="1" applyNumberFormat="1" applyFont="1" applyBorder="1"/>
    <xf numFmtId="9" fontId="4" fillId="3" borderId="5" xfId="1" applyNumberFormat="1" applyFont="1" applyFill="1" applyBorder="1"/>
    <xf numFmtId="0" fontId="4" fillId="0" borderId="2" xfId="0" applyFont="1" applyBorder="1" applyAlignment="1">
      <alignment horizontal="left"/>
    </xf>
    <xf numFmtId="9" fontId="33" fillId="0" borderId="2" xfId="1" applyFont="1" applyBorder="1"/>
    <xf numFmtId="0" fontId="4" fillId="0" borderId="0" xfId="0" applyFont="1" applyBorder="1" applyAlignment="1">
      <alignment horizontal="left"/>
    </xf>
    <xf numFmtId="9" fontId="33" fillId="0" borderId="0" xfId="1" applyFont="1" applyBorder="1"/>
    <xf numFmtId="9" fontId="4" fillId="0" borderId="0" xfId="1" applyFont="1" applyBorder="1"/>
    <xf numFmtId="0" fontId="3" fillId="0" borderId="42" xfId="0" applyFont="1" applyBorder="1"/>
    <xf numFmtId="0" fontId="0" fillId="0" borderId="27" xfId="0" applyBorder="1"/>
    <xf numFmtId="0" fontId="0" fillId="0" borderId="43" xfId="0" applyBorder="1"/>
    <xf numFmtId="0" fontId="0" fillId="0" borderId="68" xfId="0" applyBorder="1"/>
    <xf numFmtId="0" fontId="0" fillId="0" borderId="61" xfId="0" applyBorder="1"/>
    <xf numFmtId="0" fontId="4" fillId="0" borderId="49" xfId="0" applyFont="1" applyFill="1" applyBorder="1" applyAlignment="1">
      <alignment horizontal="centerContinuous"/>
    </xf>
    <xf numFmtId="0" fontId="0" fillId="0" borderId="68" xfId="0" applyFill="1" applyBorder="1" applyAlignment="1"/>
    <xf numFmtId="0" fontId="0" fillId="0" borderId="51" xfId="0" applyFill="1" applyBorder="1" applyAlignment="1"/>
    <xf numFmtId="0" fontId="4" fillId="0" borderId="49" xfId="0" applyFont="1" applyFill="1" applyBorder="1" applyAlignment="1">
      <alignment horizontal="center"/>
    </xf>
    <xf numFmtId="0" fontId="4" fillId="0" borderId="50" xfId="0" applyFont="1" applyFill="1" applyBorder="1" applyAlignment="1">
      <alignment horizontal="center"/>
    </xf>
    <xf numFmtId="10" fontId="4" fillId="3" borderId="41" xfId="1" applyNumberFormat="1" applyFont="1" applyFill="1" applyBorder="1"/>
    <xf numFmtId="0" fontId="3" fillId="12" borderId="0" xfId="0" applyFont="1" applyFill="1"/>
    <xf numFmtId="0" fontId="0" fillId="0" borderId="2" xfId="0" applyFont="1" applyBorder="1"/>
    <xf numFmtId="0" fontId="3" fillId="0" borderId="17" xfId="0" applyFont="1" applyBorder="1"/>
    <xf numFmtId="0" fontId="4" fillId="0" borderId="69" xfId="0" applyFont="1" applyBorder="1"/>
    <xf numFmtId="0" fontId="3" fillId="0" borderId="69" xfId="0" applyFont="1" applyBorder="1"/>
    <xf numFmtId="0" fontId="4" fillId="0" borderId="0" xfId="0" applyFont="1" applyBorder="1"/>
    <xf numFmtId="171" fontId="28" fillId="0" borderId="0" xfId="0" applyNumberFormat="1" applyFont="1"/>
    <xf numFmtId="171" fontId="3" fillId="0" borderId="1" xfId="0" applyNumberFormat="1" applyFont="1" applyBorder="1"/>
    <xf numFmtId="171" fontId="7" fillId="0" borderId="2" xfId="0" applyNumberFormat="1" applyFont="1" applyBorder="1"/>
    <xf numFmtId="171" fontId="0" fillId="0" borderId="2" xfId="0" applyNumberFormat="1" applyBorder="1"/>
    <xf numFmtId="171" fontId="7" fillId="0" borderId="0" xfId="0" applyNumberFormat="1" applyFont="1"/>
    <xf numFmtId="171" fontId="0" fillId="0" borderId="0" xfId="0" applyNumberFormat="1"/>
    <xf numFmtId="171" fontId="28" fillId="0" borderId="2" xfId="0" applyNumberFormat="1" applyFont="1" applyBorder="1"/>
    <xf numFmtId="171" fontId="3" fillId="0" borderId="2" xfId="0" applyNumberFormat="1" applyFont="1" applyBorder="1"/>
    <xf numFmtId="171" fontId="3" fillId="0" borderId="0" xfId="0" applyNumberFormat="1" applyFont="1"/>
    <xf numFmtId="171" fontId="0" fillId="0" borderId="1" xfId="0" applyNumberFormat="1" applyBorder="1"/>
    <xf numFmtId="171" fontId="0" fillId="0" borderId="0" xfId="0" applyNumberFormat="1" applyBorder="1"/>
    <xf numFmtId="171" fontId="3" fillId="0" borderId="1" xfId="0" applyNumberFormat="1" applyFont="1" applyFill="1" applyBorder="1"/>
    <xf numFmtId="171" fontId="0" fillId="0" borderId="0" xfId="0" applyNumberFormat="1" applyFont="1"/>
    <xf numFmtId="171" fontId="3" fillId="0" borderId="17" xfId="0" applyNumberFormat="1" applyFont="1" applyBorder="1"/>
    <xf numFmtId="171" fontId="0" fillId="0" borderId="69" xfId="0" applyNumberFormat="1" applyBorder="1"/>
    <xf numFmtId="171" fontId="3" fillId="0" borderId="15" xfId="0" applyNumberFormat="1" applyFont="1" applyBorder="1"/>
    <xf numFmtId="171" fontId="28" fillId="0" borderId="1" xfId="0" applyNumberFormat="1" applyFont="1" applyBorder="1"/>
    <xf numFmtId="171" fontId="7" fillId="0" borderId="0" xfId="0" applyNumberFormat="1" applyFont="1" applyBorder="1"/>
    <xf numFmtId="171" fontId="7" fillId="0" borderId="1" xfId="0" applyNumberFormat="1" applyFont="1" applyBorder="1"/>
    <xf numFmtId="171" fontId="7" fillId="0" borderId="0" xfId="0" applyNumberFormat="1" applyFont="1" applyFill="1" applyBorder="1"/>
    <xf numFmtId="171" fontId="28" fillId="0" borderId="17" xfId="0" applyNumberFormat="1" applyFont="1" applyBorder="1"/>
    <xf numFmtId="171" fontId="7" fillId="0" borderId="69" xfId="0" applyNumberFormat="1" applyFont="1" applyBorder="1"/>
    <xf numFmtId="171" fontId="28" fillId="0" borderId="15" xfId="0" applyNumberFormat="1" applyFont="1" applyBorder="1"/>
    <xf numFmtId="0" fontId="34" fillId="0" borderId="0" xfId="0" applyFont="1"/>
    <xf numFmtId="0" fontId="34" fillId="0" borderId="0" xfId="0" applyFont="1" applyFill="1" applyBorder="1"/>
    <xf numFmtId="9" fontId="3" fillId="7" borderId="15" xfId="1" applyFont="1" applyFill="1" applyBorder="1"/>
    <xf numFmtId="3" fontId="0" fillId="10" borderId="0" xfId="0" applyNumberFormat="1" applyFill="1"/>
    <xf numFmtId="171" fontId="0" fillId="10" borderId="0" xfId="0" applyNumberFormat="1" applyFill="1"/>
    <xf numFmtId="9" fontId="4" fillId="3" borderId="0" xfId="1" applyFont="1" applyFill="1" applyBorder="1"/>
    <xf numFmtId="0" fontId="5" fillId="2" borderId="70" xfId="0" applyFont="1" applyFill="1" applyBorder="1"/>
    <xf numFmtId="9" fontId="3" fillId="2" borderId="67" xfId="1" applyFont="1" applyFill="1" applyBorder="1"/>
    <xf numFmtId="0" fontId="5" fillId="2" borderId="71" xfId="0" applyFont="1" applyFill="1" applyBorder="1"/>
    <xf numFmtId="9" fontId="3" fillId="2" borderId="72" xfId="1" applyFont="1" applyFill="1" applyBorder="1"/>
    <xf numFmtId="0" fontId="9" fillId="5" borderId="0" xfId="0" applyFont="1" applyFill="1" applyBorder="1"/>
    <xf numFmtId="3" fontId="8" fillId="0" borderId="5" xfId="0" applyNumberFormat="1" applyFont="1" applyBorder="1"/>
    <xf numFmtId="3" fontId="0" fillId="0" borderId="33" xfId="0" applyNumberFormat="1" applyBorder="1"/>
    <xf numFmtId="0" fontId="0" fillId="0" borderId="0" xfId="0" applyFont="1" applyBorder="1" applyAlignment="1">
      <alignment horizontal="left" wrapText="1"/>
    </xf>
    <xf numFmtId="170" fontId="0" fillId="5" borderId="30" xfId="0" applyNumberFormat="1" applyFont="1" applyFill="1" applyBorder="1" applyAlignment="1">
      <alignment horizontal="center" vertical="center" wrapText="1"/>
    </xf>
    <xf numFmtId="0" fontId="0" fillId="5" borderId="30" xfId="0" applyFont="1" applyFill="1" applyBorder="1" applyAlignment="1">
      <alignment horizontal="center" vertical="center"/>
    </xf>
    <xf numFmtId="0" fontId="0" fillId="5" borderId="30" xfId="0" applyFont="1" applyFill="1" applyBorder="1" applyAlignment="1">
      <alignment horizontal="center" vertical="center" wrapText="1"/>
    </xf>
    <xf numFmtId="0" fontId="0" fillId="5" borderId="30" xfId="0" applyFont="1" applyFill="1" applyBorder="1" applyAlignment="1">
      <alignment horizontal="center"/>
    </xf>
    <xf numFmtId="164" fontId="7" fillId="0" borderId="24" xfId="0" applyNumberFormat="1" applyFont="1" applyBorder="1"/>
    <xf numFmtId="164" fontId="7" fillId="0" borderId="23" xfId="0" applyNumberFormat="1" applyFont="1" applyBorder="1"/>
    <xf numFmtId="172" fontId="0" fillId="0" borderId="0" xfId="0" applyNumberFormat="1" applyFill="1" applyBorder="1" applyAlignment="1"/>
    <xf numFmtId="172" fontId="0" fillId="0" borderId="28" xfId="0" applyNumberFormat="1" applyFill="1" applyBorder="1" applyAlignment="1"/>
    <xf numFmtId="2" fontId="0" fillId="0" borderId="0" xfId="0" applyNumberFormat="1" applyFill="1" applyBorder="1" applyAlignment="1"/>
    <xf numFmtId="2" fontId="0" fillId="0" borderId="61" xfId="0" applyNumberFormat="1" applyFill="1" applyBorder="1" applyAlignment="1"/>
    <xf numFmtId="2" fontId="3" fillId="12" borderId="28" xfId="0" applyNumberFormat="1" applyFont="1" applyFill="1" applyBorder="1" applyAlignment="1"/>
    <xf numFmtId="2" fontId="0" fillId="0" borderId="28" xfId="0" applyNumberFormat="1" applyFill="1" applyBorder="1" applyAlignment="1"/>
    <xf numFmtId="2" fontId="0" fillId="0" borderId="52" xfId="0" applyNumberFormat="1" applyFill="1" applyBorder="1" applyAlignment="1"/>
    <xf numFmtId="3" fontId="7" fillId="0" borderId="2" xfId="0" applyNumberFormat="1" applyFont="1" applyBorder="1"/>
    <xf numFmtId="3" fontId="7" fillId="0" borderId="0" xfId="0" applyNumberFormat="1" applyFont="1" applyBorder="1"/>
    <xf numFmtId="167" fontId="3" fillId="7" borderId="1" xfId="0" applyNumberFormat="1" applyFont="1" applyFill="1" applyBorder="1"/>
    <xf numFmtId="167" fontId="7" fillId="0" borderId="2" xfId="0" applyNumberFormat="1" applyFont="1" applyBorder="1"/>
    <xf numFmtId="167" fontId="7" fillId="0" borderId="0" xfId="0" applyNumberFormat="1" applyFont="1" applyBorder="1"/>
    <xf numFmtId="168" fontId="7" fillId="0" borderId="2" xfId="0" applyNumberFormat="1" applyFont="1" applyBorder="1"/>
    <xf numFmtId="168" fontId="7" fillId="0" borderId="0" xfId="0" applyNumberFormat="1" applyFont="1" applyBorder="1"/>
    <xf numFmtId="0" fontId="3" fillId="0" borderId="7" xfId="0" applyFont="1" applyBorder="1"/>
    <xf numFmtId="167" fontId="28" fillId="0" borderId="32" xfId="0" applyNumberFormat="1" applyFont="1" applyBorder="1"/>
    <xf numFmtId="3" fontId="28" fillId="0" borderId="32" xfId="0" applyNumberFormat="1" applyFont="1" applyBorder="1"/>
    <xf numFmtId="168" fontId="28" fillId="0" borderId="8" xfId="0" applyNumberFormat="1" applyFont="1" applyBorder="1"/>
    <xf numFmtId="167" fontId="8" fillId="0" borderId="5" xfId="0" applyNumberFormat="1" applyFont="1" applyBorder="1"/>
    <xf numFmtId="0" fontId="3" fillId="0" borderId="32" xfId="0" applyFont="1" applyBorder="1"/>
    <xf numFmtId="167" fontId="9" fillId="0" borderId="32" xfId="0" applyNumberFormat="1" applyFont="1" applyBorder="1"/>
    <xf numFmtId="3" fontId="9" fillId="0" borderId="32" xfId="0" applyNumberFormat="1" applyFont="1" applyBorder="1"/>
    <xf numFmtId="167" fontId="3" fillId="0" borderId="32" xfId="0" applyNumberFormat="1" applyFont="1" applyBorder="1"/>
    <xf numFmtId="3" fontId="3" fillId="0" borderId="32" xfId="0" applyNumberFormat="1" applyFont="1" applyBorder="1"/>
    <xf numFmtId="166" fontId="3" fillId="0" borderId="32" xfId="0" applyNumberFormat="1" applyFont="1" applyBorder="1"/>
    <xf numFmtId="166" fontId="3" fillId="0" borderId="8" xfId="0" applyNumberFormat="1" applyFont="1" applyBorder="1"/>
    <xf numFmtId="0" fontId="36" fillId="0" borderId="33" xfId="0" applyFont="1" applyBorder="1"/>
    <xf numFmtId="167" fontId="7" fillId="0" borderId="0" xfId="0" applyNumberFormat="1" applyFont="1"/>
    <xf numFmtId="167" fontId="3" fillId="0" borderId="2" xfId="0" applyNumberFormat="1" applyFont="1" applyBorder="1"/>
    <xf numFmtId="167" fontId="3" fillId="0" borderId="0" xfId="0" applyNumberFormat="1" applyFont="1"/>
    <xf numFmtId="167" fontId="3" fillId="0" borderId="16" xfId="0" applyNumberFormat="1" applyFont="1" applyBorder="1"/>
    <xf numFmtId="167" fontId="9" fillId="0" borderId="0" xfId="0" applyNumberFormat="1" applyFont="1"/>
    <xf numFmtId="167" fontId="8" fillId="0" borderId="0" xfId="0" applyNumberFormat="1" applyFont="1"/>
    <xf numFmtId="167" fontId="9" fillId="0" borderId="1" xfId="0" applyNumberFormat="1" applyFont="1" applyBorder="1"/>
    <xf numFmtId="167" fontId="0" fillId="0" borderId="2" xfId="0" applyNumberFormat="1" applyBorder="1"/>
    <xf numFmtId="167" fontId="3" fillId="0" borderId="15" xfId="0" applyNumberFormat="1" applyFont="1" applyBorder="1"/>
    <xf numFmtId="167" fontId="10" fillId="0" borderId="0" xfId="0" applyNumberFormat="1" applyFont="1"/>
    <xf numFmtId="167" fontId="9" fillId="0" borderId="2" xfId="0" applyNumberFormat="1" applyFont="1" applyBorder="1"/>
    <xf numFmtId="167" fontId="0" fillId="0" borderId="0" xfId="1" applyNumberFormat="1" applyFont="1"/>
    <xf numFmtId="0" fontId="21" fillId="0" borderId="18" xfId="0" applyFont="1" applyBorder="1"/>
    <xf numFmtId="3" fontId="21" fillId="0" borderId="17" xfId="0" applyNumberFormat="1" applyFont="1" applyBorder="1"/>
    <xf numFmtId="173" fontId="21" fillId="0" borderId="17" xfId="0" applyNumberFormat="1" applyFont="1" applyBorder="1"/>
    <xf numFmtId="10" fontId="21" fillId="0" borderId="17" xfId="1" applyNumberFormat="1" applyFont="1" applyBorder="1"/>
    <xf numFmtId="10" fontId="21" fillId="0" borderId="17" xfId="0" applyNumberFormat="1" applyFont="1" applyBorder="1"/>
    <xf numFmtId="0" fontId="37" fillId="0" borderId="19" xfId="0" applyFont="1" applyBorder="1"/>
    <xf numFmtId="173" fontId="8" fillId="0" borderId="0" xfId="0" applyNumberFormat="1" applyFont="1" applyBorder="1"/>
    <xf numFmtId="167" fontId="3" fillId="4" borderId="2" xfId="0" applyNumberFormat="1" applyFont="1" applyFill="1" applyBorder="1"/>
    <xf numFmtId="167" fontId="3" fillId="4" borderId="36" xfId="0" applyNumberFormat="1" applyFont="1" applyFill="1" applyBorder="1"/>
    <xf numFmtId="167" fontId="0" fillId="4" borderId="0" xfId="0" applyNumberFormat="1" applyFill="1" applyBorder="1"/>
    <xf numFmtId="167" fontId="0" fillId="4" borderId="38" xfId="0" applyNumberFormat="1" applyFill="1" applyBorder="1"/>
    <xf numFmtId="167" fontId="3" fillId="4" borderId="1" xfId="0" applyNumberFormat="1" applyFont="1" applyFill="1" applyBorder="1"/>
    <xf numFmtId="167" fontId="3" fillId="4" borderId="40" xfId="0" applyNumberFormat="1" applyFont="1" applyFill="1" applyBorder="1"/>
    <xf numFmtId="0" fontId="0" fillId="5" borderId="30" xfId="0" applyFont="1" applyFill="1" applyBorder="1" applyAlignment="1">
      <alignment horizontal="center" vertical="center"/>
    </xf>
    <xf numFmtId="170" fontId="0" fillId="5" borderId="30" xfId="0" applyNumberFormat="1" applyFont="1" applyFill="1" applyBorder="1" applyAlignment="1">
      <alignment horizontal="center" vertical="center" wrapText="1"/>
    </xf>
    <xf numFmtId="0" fontId="3" fillId="0" borderId="0" xfId="0" applyFont="1" applyBorder="1" applyAlignment="1">
      <alignment horizontal="center"/>
    </xf>
    <xf numFmtId="0" fontId="4" fillId="0" borderId="1" xfId="0" applyFont="1" applyBorder="1" applyAlignment="1">
      <alignment horizontal="center"/>
    </xf>
    <xf numFmtId="0" fontId="3" fillId="0" borderId="0" xfId="0" applyFont="1" applyBorder="1" applyAlignment="1">
      <alignment horizontal="center" vertical="center"/>
    </xf>
    <xf numFmtId="0" fontId="4" fillId="0" borderId="0" xfId="0" applyFont="1" applyBorder="1" applyAlignment="1">
      <alignment horizontal="center"/>
    </xf>
    <xf numFmtId="0" fontId="3" fillId="7" borderId="0" xfId="0" applyFont="1" applyFill="1" applyBorder="1"/>
    <xf numFmtId="9" fontId="3" fillId="7" borderId="0" xfId="1" applyFont="1" applyFill="1" applyBorder="1"/>
    <xf numFmtId="3" fontId="3" fillId="7" borderId="0" xfId="0" applyNumberFormat="1" applyFont="1" applyFill="1" applyBorder="1"/>
    <xf numFmtId="9" fontId="3" fillId="7" borderId="0" xfId="0" applyNumberFormat="1" applyFont="1" applyFill="1"/>
    <xf numFmtId="165" fontId="3" fillId="7" borderId="0" xfId="1" applyNumberFormat="1" applyFont="1" applyFill="1"/>
    <xf numFmtId="167" fontId="26" fillId="0" borderId="5" xfId="0" applyNumberFormat="1" applyFont="1" applyBorder="1"/>
    <xf numFmtId="10" fontId="0" fillId="0" borderId="0" xfId="1" applyNumberFormat="1" applyFont="1" applyBorder="1"/>
    <xf numFmtId="3" fontId="3" fillId="0" borderId="0" xfId="0" applyNumberFormat="1" applyFont="1" applyBorder="1"/>
    <xf numFmtId="0" fontId="35" fillId="0" borderId="0" xfId="0" applyFont="1" applyFill="1" applyBorder="1"/>
    <xf numFmtId="0" fontId="25" fillId="0" borderId="0" xfId="0" applyFont="1" applyFill="1" applyBorder="1"/>
    <xf numFmtId="167" fontId="0" fillId="0" borderId="0" xfId="0" applyNumberFormat="1" applyFont="1" applyFill="1" applyBorder="1"/>
    <xf numFmtId="167" fontId="0" fillId="0" borderId="0" xfId="0" applyNumberFormat="1" applyFont="1" applyBorder="1"/>
    <xf numFmtId="0" fontId="0" fillId="0" borderId="1" xfId="0" applyBorder="1"/>
    <xf numFmtId="0" fontId="29" fillId="5" borderId="5" xfId="0" applyFont="1" applyFill="1" applyBorder="1" applyAlignment="1">
      <alignment horizontal="left" vertical="top"/>
    </xf>
    <xf numFmtId="3" fontId="0" fillId="0" borderId="2" xfId="0" applyNumberFormat="1" applyBorder="1"/>
    <xf numFmtId="3" fontId="0" fillId="0" borderId="5" xfId="0" applyNumberFormat="1" applyFont="1" applyBorder="1"/>
    <xf numFmtId="174" fontId="0" fillId="0" borderId="0" xfId="0" applyNumberFormat="1"/>
    <xf numFmtId="10" fontId="0" fillId="0" borderId="0" xfId="0" applyNumberFormat="1"/>
    <xf numFmtId="168" fontId="8" fillId="5" borderId="12" xfId="0" applyNumberFormat="1" applyFont="1" applyFill="1" applyBorder="1"/>
    <xf numFmtId="10" fontId="8" fillId="5" borderId="12" xfId="1" applyNumberFormat="1" applyFont="1" applyFill="1" applyBorder="1"/>
    <xf numFmtId="173" fontId="0" fillId="0" borderId="0" xfId="0" applyNumberFormat="1"/>
    <xf numFmtId="0" fontId="0" fillId="5" borderId="30" xfId="0" applyFont="1" applyFill="1" applyBorder="1" applyAlignment="1">
      <alignment horizontal="center" vertical="center"/>
    </xf>
    <xf numFmtId="0" fontId="0" fillId="5" borderId="30" xfId="0" applyFill="1" applyBorder="1" applyAlignment="1">
      <alignment horizontal="left" vertical="center" wrapText="1"/>
    </xf>
    <xf numFmtId="0" fontId="0" fillId="5" borderId="30" xfId="0" applyFont="1" applyFill="1" applyBorder="1" applyAlignment="1">
      <alignment horizontal="left" vertical="center" wrapText="1"/>
    </xf>
    <xf numFmtId="170" fontId="0" fillId="5" borderId="30" xfId="0" applyNumberFormat="1" applyFont="1" applyFill="1" applyBorder="1" applyAlignment="1">
      <alignment horizontal="center" vertical="center" wrapText="1"/>
    </xf>
    <xf numFmtId="0" fontId="0" fillId="0" borderId="49" xfId="0" applyBorder="1" applyAlignment="1">
      <alignment horizontal="center"/>
    </xf>
    <xf numFmtId="0" fontId="0" fillId="0" borderId="50" xfId="0" applyBorder="1" applyAlignment="1">
      <alignment horizontal="center"/>
    </xf>
    <xf numFmtId="0" fontId="3" fillId="4" borderId="7" xfId="0" applyFont="1" applyFill="1" applyBorder="1" applyAlignment="1">
      <alignment horizontal="center"/>
    </xf>
    <xf numFmtId="0" fontId="3" fillId="4" borderId="8" xfId="0" applyFont="1" applyFill="1" applyBorder="1" applyAlignment="1">
      <alignment horizontal="center"/>
    </xf>
    <xf numFmtId="0" fontId="0" fillId="5" borderId="53" xfId="0" applyFont="1" applyFill="1" applyBorder="1" applyAlignment="1">
      <alignment horizontal="center" vertical="top" wrapText="1"/>
    </xf>
    <xf numFmtId="0" fontId="0" fillId="5" borderId="54" xfId="0" applyFont="1" applyFill="1" applyBorder="1" applyAlignment="1">
      <alignment horizontal="center" vertical="top"/>
    </xf>
    <xf numFmtId="0" fontId="0" fillId="5" borderId="10" xfId="0" applyFont="1" applyFill="1" applyBorder="1" applyAlignment="1">
      <alignment horizontal="center" vertical="top"/>
    </xf>
    <xf numFmtId="0" fontId="0" fillId="5" borderId="55" xfId="0" applyFill="1" applyBorder="1" applyAlignment="1">
      <alignment horizontal="center"/>
    </xf>
    <xf numFmtId="0" fontId="0" fillId="5" borderId="5" xfId="0" applyFill="1" applyBorder="1" applyAlignment="1">
      <alignment horizontal="center"/>
    </xf>
    <xf numFmtId="0" fontId="0" fillId="5" borderId="12" xfId="0" applyFill="1" applyBorder="1" applyAlignment="1">
      <alignment horizontal="center"/>
    </xf>
    <xf numFmtId="0" fontId="12" fillId="5" borderId="57" xfId="2" applyFill="1" applyBorder="1" applyAlignment="1">
      <alignment horizontal="center"/>
    </xf>
    <xf numFmtId="0" fontId="0" fillId="5" borderId="57" xfId="0" applyFill="1" applyBorder="1" applyAlignment="1">
      <alignment horizontal="center"/>
    </xf>
    <xf numFmtId="0" fontId="0" fillId="5" borderId="58" xfId="0" applyFill="1" applyBorder="1" applyAlignment="1">
      <alignment horizontal="center"/>
    </xf>
    <xf numFmtId="0" fontId="3" fillId="5" borderId="59" xfId="0" applyFont="1" applyFill="1" applyBorder="1" applyAlignment="1">
      <alignment horizontal="center" vertical="center" wrapText="1"/>
    </xf>
    <xf numFmtId="0" fontId="3" fillId="5" borderId="60" xfId="0" applyFont="1" applyFill="1" applyBorder="1" applyAlignment="1">
      <alignment horizontal="center" vertical="center" wrapText="1"/>
    </xf>
    <xf numFmtId="0" fontId="3" fillId="5" borderId="65" xfId="0" applyFont="1" applyFill="1" applyBorder="1" applyAlignment="1">
      <alignment horizontal="center" vertical="center" wrapText="1"/>
    </xf>
    <xf numFmtId="0" fontId="0" fillId="5" borderId="62" xfId="0" applyFont="1" applyFill="1" applyBorder="1" applyAlignment="1">
      <alignment horizontal="center" vertical="center" wrapText="1"/>
    </xf>
    <xf numFmtId="0" fontId="0" fillId="5" borderId="63" xfId="0" applyFont="1" applyFill="1" applyBorder="1" applyAlignment="1">
      <alignment horizontal="center" vertical="center" wrapText="1"/>
    </xf>
    <xf numFmtId="0" fontId="0" fillId="5" borderId="23" xfId="0" applyFont="1" applyFill="1" applyBorder="1" applyAlignment="1">
      <alignment horizontal="center" vertical="center" wrapText="1"/>
    </xf>
    <xf numFmtId="0" fontId="0" fillId="5" borderId="64" xfId="0" applyFont="1" applyFill="1" applyBorder="1" applyAlignment="1">
      <alignment horizontal="center" vertical="center" wrapText="1"/>
    </xf>
    <xf numFmtId="0" fontId="0" fillId="5" borderId="26" xfId="0" applyFont="1" applyFill="1" applyBorder="1" applyAlignment="1">
      <alignment horizontal="center" vertical="center" wrapText="1"/>
    </xf>
    <xf numFmtId="0" fontId="0" fillId="5" borderId="66" xfId="0" applyFont="1" applyFill="1" applyBorder="1" applyAlignment="1">
      <alignment horizontal="center" vertical="center" wrapText="1"/>
    </xf>
    <xf numFmtId="0" fontId="0" fillId="5" borderId="18" xfId="0" applyFont="1" applyFill="1" applyBorder="1" applyAlignment="1">
      <alignment horizontal="center" vertical="center"/>
    </xf>
    <xf numFmtId="0" fontId="0" fillId="5" borderId="19" xfId="0" applyFont="1" applyFill="1" applyBorder="1" applyAlignment="1">
      <alignment horizontal="center" vertical="center"/>
    </xf>
    <xf numFmtId="0" fontId="0" fillId="5" borderId="18" xfId="0" applyFont="1" applyFill="1" applyBorder="1" applyAlignment="1">
      <alignment horizontal="left" vertical="center" wrapText="1"/>
    </xf>
    <xf numFmtId="0" fontId="0" fillId="5" borderId="17" xfId="0" applyFont="1" applyFill="1" applyBorder="1" applyAlignment="1">
      <alignment horizontal="left" vertical="center" wrapText="1"/>
    </xf>
    <xf numFmtId="0" fontId="0" fillId="5" borderId="19" xfId="0" applyFont="1" applyFill="1" applyBorder="1" applyAlignment="1">
      <alignment horizontal="left" vertical="center" wrapText="1"/>
    </xf>
    <xf numFmtId="0" fontId="0" fillId="5" borderId="18" xfId="0" applyFont="1" applyFill="1" applyBorder="1" applyAlignment="1">
      <alignment horizontal="left" vertical="top" wrapText="1"/>
    </xf>
    <xf numFmtId="0" fontId="0" fillId="5" borderId="17" xfId="0" applyFont="1" applyFill="1" applyBorder="1" applyAlignment="1">
      <alignment horizontal="left" vertical="top" wrapText="1"/>
    </xf>
    <xf numFmtId="0" fontId="0" fillId="5" borderId="19" xfId="0" applyFont="1" applyFill="1" applyBorder="1" applyAlignment="1">
      <alignment horizontal="left" vertical="top" wrapText="1"/>
    </xf>
    <xf numFmtId="0" fontId="0" fillId="5" borderId="30" xfId="0" applyFont="1" applyFill="1" applyBorder="1" applyAlignment="1">
      <alignment horizontal="center" vertical="center" wrapText="1"/>
    </xf>
    <xf numFmtId="0" fontId="0" fillId="5" borderId="35" xfId="0" applyFont="1" applyFill="1" applyBorder="1" applyAlignment="1">
      <alignment horizontal="left" vertical="top" wrapText="1"/>
    </xf>
    <xf numFmtId="0" fontId="0" fillId="5" borderId="2" xfId="0" applyFont="1" applyFill="1" applyBorder="1" applyAlignment="1">
      <alignment horizontal="left" vertical="top" wrapText="1"/>
    </xf>
    <xf numFmtId="0" fontId="0" fillId="5" borderId="36" xfId="0" applyFont="1" applyFill="1" applyBorder="1" applyAlignment="1">
      <alignment horizontal="left" vertical="top" wrapText="1"/>
    </xf>
    <xf numFmtId="0" fontId="0" fillId="5" borderId="39" xfId="0" applyFont="1" applyFill="1" applyBorder="1" applyAlignment="1">
      <alignment horizontal="left" vertical="top" wrapText="1"/>
    </xf>
    <xf numFmtId="0" fontId="0" fillId="5" borderId="1" xfId="0" applyFont="1" applyFill="1" applyBorder="1" applyAlignment="1">
      <alignment horizontal="left" vertical="top" wrapText="1"/>
    </xf>
    <xf numFmtId="0" fontId="0" fillId="5" borderId="40" xfId="0" applyFont="1" applyFill="1" applyBorder="1" applyAlignment="1">
      <alignment horizontal="left" vertical="top" wrapText="1"/>
    </xf>
    <xf numFmtId="0" fontId="0" fillId="5" borderId="35" xfId="0" applyFont="1" applyFill="1" applyBorder="1" applyAlignment="1">
      <alignment horizontal="left" vertical="center" wrapText="1"/>
    </xf>
    <xf numFmtId="0" fontId="0" fillId="5" borderId="2" xfId="0" applyFont="1" applyFill="1" applyBorder="1" applyAlignment="1">
      <alignment horizontal="left" vertical="center" wrapText="1"/>
    </xf>
    <xf numFmtId="0" fontId="0" fillId="5" borderId="36" xfId="0" applyFont="1" applyFill="1" applyBorder="1" applyAlignment="1">
      <alignment horizontal="left" vertical="center" wrapText="1"/>
    </xf>
    <xf numFmtId="0" fontId="0" fillId="5" borderId="39" xfId="0" applyFont="1" applyFill="1" applyBorder="1" applyAlignment="1">
      <alignment horizontal="left" vertical="center" wrapText="1"/>
    </xf>
    <xf numFmtId="0" fontId="0" fillId="5" borderId="1" xfId="0" applyFont="1" applyFill="1" applyBorder="1" applyAlignment="1">
      <alignment horizontal="left" vertical="center" wrapText="1"/>
    </xf>
    <xf numFmtId="0" fontId="0" fillId="5" borderId="40" xfId="0" applyFont="1" applyFill="1" applyBorder="1" applyAlignment="1">
      <alignment horizontal="left" vertical="center" wrapText="1"/>
    </xf>
    <xf numFmtId="0" fontId="0" fillId="5" borderId="30" xfId="0" applyFont="1" applyFill="1" applyBorder="1" applyAlignment="1">
      <alignment horizontal="center"/>
    </xf>
    <xf numFmtId="0" fontId="35" fillId="5" borderId="30" xfId="0" applyFont="1" applyFill="1" applyBorder="1" applyAlignment="1">
      <alignment horizontal="center" vertical="center" wrapText="1"/>
    </xf>
    <xf numFmtId="0" fontId="35" fillId="5" borderId="30" xfId="0" applyFont="1" applyFill="1" applyBorder="1" applyAlignment="1">
      <alignment horizontal="center" vertical="center"/>
    </xf>
    <xf numFmtId="0" fontId="0" fillId="5" borderId="30" xfId="0" applyFont="1" applyFill="1" applyBorder="1" applyAlignment="1">
      <alignment horizontal="left" vertical="top" wrapText="1"/>
    </xf>
    <xf numFmtId="0" fontId="3" fillId="7" borderId="1" xfId="0" applyFont="1" applyFill="1" applyBorder="1" applyAlignment="1">
      <alignment horizontal="center"/>
    </xf>
    <xf numFmtId="0" fontId="3" fillId="0" borderId="0" xfId="0" applyFont="1" applyBorder="1" applyAlignment="1">
      <alignment horizontal="center" vertical="center"/>
    </xf>
    <xf numFmtId="0" fontId="3" fillId="0" borderId="1" xfId="0" applyFont="1" applyBorder="1" applyAlignment="1">
      <alignment horizontal="center" vertical="center"/>
    </xf>
    <xf numFmtId="0" fontId="3" fillId="7" borderId="17" xfId="0" applyFont="1" applyFill="1" applyBorder="1" applyAlignment="1">
      <alignment horizontal="center"/>
    </xf>
    <xf numFmtId="0" fontId="3" fillId="7" borderId="25" xfId="0" applyNumberFormat="1" applyFont="1" applyFill="1" applyBorder="1" applyAlignment="1">
      <alignment horizontal="center"/>
    </xf>
    <xf numFmtId="0" fontId="3" fillId="7" borderId="26" xfId="0" applyNumberFormat="1" applyFont="1" applyFill="1" applyBorder="1" applyAlignment="1">
      <alignment horizontal="center"/>
    </xf>
    <xf numFmtId="0" fontId="3" fillId="7" borderId="25" xfId="0" applyNumberFormat="1" applyFont="1" applyFill="1" applyBorder="1" applyAlignment="1">
      <alignment horizontal="left" wrapText="1"/>
    </xf>
    <xf numFmtId="0" fontId="3" fillId="7" borderId="26" xfId="0" applyNumberFormat="1" applyFont="1" applyFill="1" applyBorder="1" applyAlignment="1">
      <alignment horizontal="left" wrapText="1"/>
    </xf>
    <xf numFmtId="0" fontId="3" fillId="7" borderId="15" xfId="0" applyFont="1" applyFill="1" applyBorder="1" applyAlignment="1">
      <alignment horizontal="center"/>
    </xf>
    <xf numFmtId="0" fontId="3" fillId="7" borderId="0" xfId="0" applyFont="1" applyFill="1" applyBorder="1" applyAlignment="1">
      <alignment horizontal="center"/>
    </xf>
    <xf numFmtId="0" fontId="3" fillId="3" borderId="15" xfId="0" applyFont="1" applyFill="1" applyBorder="1" applyAlignment="1">
      <alignment horizontal="center"/>
    </xf>
    <xf numFmtId="0" fontId="15" fillId="7" borderId="7" xfId="0" applyFont="1" applyFill="1" applyBorder="1" applyAlignment="1">
      <alignment horizontal="center"/>
    </xf>
    <xf numFmtId="0" fontId="15" fillId="7" borderId="8" xfId="0" applyFont="1" applyFill="1" applyBorder="1" applyAlignment="1">
      <alignment horizontal="center"/>
    </xf>
    <xf numFmtId="0" fontId="15" fillId="7" borderId="32" xfId="0" applyFont="1" applyFill="1" applyBorder="1" applyAlignment="1">
      <alignment horizontal="center"/>
    </xf>
    <xf numFmtId="0" fontId="0" fillId="0" borderId="55" xfId="0" applyBorder="1" applyAlignment="1">
      <alignment horizontal="left" vertical="top" wrapText="1"/>
    </xf>
    <xf numFmtId="0" fontId="0" fillId="0" borderId="5" xfId="0" applyBorder="1" applyAlignment="1">
      <alignment horizontal="left" vertical="top" wrapText="1"/>
    </xf>
    <xf numFmtId="0" fontId="0" fillId="0" borderId="67" xfId="0" applyBorder="1" applyAlignment="1">
      <alignment horizontal="left" vertical="top" wrapText="1"/>
    </xf>
    <xf numFmtId="0" fontId="3" fillId="7" borderId="0" xfId="0" applyFont="1" applyFill="1" applyAlignment="1">
      <alignment horizontal="center"/>
    </xf>
    <xf numFmtId="0" fontId="30" fillId="10" borderId="17" xfId="0" applyFont="1" applyFill="1" applyBorder="1" applyAlignment="1">
      <alignment horizontal="center" wrapText="1"/>
    </xf>
    <xf numFmtId="0" fontId="0" fillId="0" borderId="55" xfId="0" applyFont="1" applyBorder="1" applyAlignment="1">
      <alignment horizontal="left" wrapText="1"/>
    </xf>
    <xf numFmtId="0" fontId="0" fillId="0" borderId="5" xfId="0" applyFont="1" applyBorder="1" applyAlignment="1">
      <alignment horizontal="left" wrapText="1"/>
    </xf>
    <xf numFmtId="0" fontId="0" fillId="0" borderId="67" xfId="0" applyFont="1" applyBorder="1" applyAlignment="1">
      <alignment horizontal="left" wrapText="1"/>
    </xf>
    <xf numFmtId="0" fontId="0" fillId="0" borderId="55" xfId="0" applyFont="1" applyBorder="1" applyAlignment="1">
      <alignment horizontal="left" vertical="top" wrapText="1"/>
    </xf>
    <xf numFmtId="0" fontId="0" fillId="0" borderId="5" xfId="0" applyFont="1" applyBorder="1" applyAlignment="1">
      <alignment horizontal="left" vertical="top" wrapText="1"/>
    </xf>
    <xf numFmtId="0" fontId="0" fillId="0" borderId="67" xfId="0" applyFont="1" applyBorder="1" applyAlignment="1">
      <alignment horizontal="left" vertical="top" wrapText="1"/>
    </xf>
    <xf numFmtId="0" fontId="0" fillId="0" borderId="73" xfId="0" applyFont="1" applyBorder="1" applyAlignment="1">
      <alignment horizontal="left" wrapText="1"/>
    </xf>
    <xf numFmtId="0" fontId="0" fillId="0" borderId="74" xfId="0" applyFont="1" applyBorder="1" applyAlignment="1">
      <alignment horizontal="left" wrapText="1"/>
    </xf>
    <xf numFmtId="0" fontId="0" fillId="0" borderId="75" xfId="0" applyFont="1" applyBorder="1" applyAlignment="1">
      <alignment horizontal="left" wrapText="1"/>
    </xf>
    <xf numFmtId="0" fontId="0" fillId="0" borderId="76" xfId="0" applyFont="1" applyBorder="1" applyAlignment="1">
      <alignment horizontal="left" wrapText="1"/>
    </xf>
    <xf numFmtId="0" fontId="0" fillId="0" borderId="0" xfId="0" applyFont="1" applyBorder="1" applyAlignment="1">
      <alignment horizontal="left" wrapText="1"/>
    </xf>
    <xf numFmtId="0" fontId="0" fillId="0" borderId="77" xfId="0" applyFont="1" applyBorder="1" applyAlignment="1">
      <alignment horizontal="left" wrapText="1"/>
    </xf>
    <xf numFmtId="0" fontId="0" fillId="0" borderId="78" xfId="0" applyFont="1" applyBorder="1" applyAlignment="1">
      <alignment horizontal="left" wrapText="1"/>
    </xf>
    <xf numFmtId="0" fontId="0" fillId="0" borderId="33" xfId="0" applyFont="1" applyBorder="1" applyAlignment="1">
      <alignment horizontal="left" wrapText="1"/>
    </xf>
    <xf numFmtId="0" fontId="0" fillId="0" borderId="72" xfId="0" applyFont="1" applyBorder="1" applyAlignment="1">
      <alignment horizontal="left"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Valuation</a:t>
            </a:r>
            <a:r>
              <a:rPr lang="en-IN" b="1" baseline="0"/>
              <a:t> Summary</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'Football Field Analysis'!$B$10:$D$10</c:f>
              <c:strCache>
                <c:ptCount val="3"/>
                <c:pt idx="0">
                  <c:v>High</c:v>
                </c:pt>
              </c:strCache>
            </c:strRef>
          </c:tx>
          <c:spPr>
            <a:ln w="19050" cap="rnd">
              <a:noFill/>
              <a:round/>
            </a:ln>
            <a:effectLst/>
          </c:spPr>
          <c:marker>
            <c:symbol val="none"/>
          </c:marker>
          <c:dLbls>
            <c:delete val="1"/>
          </c:dLbls>
          <c:cat>
            <c:strRef>
              <c:f>'Football Field Analysis'!$E$9:$I$9</c:f>
              <c:strCache>
                <c:ptCount val="5"/>
                <c:pt idx="0">
                  <c:v>Comps Median</c:v>
                </c:pt>
                <c:pt idx="1">
                  <c:v>Comps Average</c:v>
                </c:pt>
                <c:pt idx="2">
                  <c:v>DCF (Average)</c:v>
                </c:pt>
                <c:pt idx="3">
                  <c:v>52-Week Hi/LO</c:v>
                </c:pt>
                <c:pt idx="4">
                  <c:v>Market Consenses</c:v>
                </c:pt>
              </c:strCache>
            </c:strRef>
          </c:cat>
          <c:val>
            <c:numRef>
              <c:f>'Football Field Analysis'!$E$10:$I$10</c:f>
              <c:numCache>
                <c:formatCode>"₹"\ #,##0</c:formatCode>
                <c:ptCount val="5"/>
                <c:pt idx="0">
                  <c:v>485.88553295493057</c:v>
                </c:pt>
                <c:pt idx="1">
                  <c:v>518.29022135339767</c:v>
                </c:pt>
                <c:pt idx="2">
                  <c:v>872</c:v>
                </c:pt>
                <c:pt idx="3">
                  <c:v>774</c:v>
                </c:pt>
                <c:pt idx="4">
                  <c:v>690</c:v>
                </c:pt>
              </c:numCache>
            </c:numRef>
          </c:val>
          <c:smooth val="0"/>
          <c:extLst>
            <c:ext xmlns:c16="http://schemas.microsoft.com/office/drawing/2014/chart" uri="{C3380CC4-5D6E-409C-BE32-E72D297353CC}">
              <c16:uniqueId val="{00000000-9AD5-45DC-ABD9-1AA532A48AD8}"/>
            </c:ext>
          </c:extLst>
        </c:ser>
        <c:ser>
          <c:idx val="1"/>
          <c:order val="1"/>
          <c:tx>
            <c:strRef>
              <c:f>'Football Field Analysis'!$B$11:$D$11</c:f>
              <c:strCache>
                <c:ptCount val="3"/>
                <c:pt idx="0">
                  <c:v>High</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'Football Field Analysis'!$E$9:$I$9</c:f>
              <c:strCache>
                <c:ptCount val="5"/>
                <c:pt idx="0">
                  <c:v>Comps Median</c:v>
                </c:pt>
                <c:pt idx="1">
                  <c:v>Comps Average</c:v>
                </c:pt>
                <c:pt idx="2">
                  <c:v>DCF (Average)</c:v>
                </c:pt>
                <c:pt idx="3">
                  <c:v>52-Week Hi/LO</c:v>
                </c:pt>
                <c:pt idx="4">
                  <c:v>Market Consenses</c:v>
                </c:pt>
              </c:strCache>
            </c:strRef>
          </c:cat>
          <c:val>
            <c:numRef>
              <c:f>'Football Field Analysis'!$E$11:$I$11</c:f>
              <c:numCache>
                <c:formatCode>"₹"\ #,##0</c:formatCode>
                <c:ptCount val="5"/>
                <c:pt idx="0">
                  <c:v>485.88553295493057</c:v>
                </c:pt>
                <c:pt idx="1">
                  <c:v>518.29022135339767</c:v>
                </c:pt>
                <c:pt idx="2">
                  <c:v>872</c:v>
                </c:pt>
                <c:pt idx="3">
                  <c:v>774</c:v>
                </c:pt>
                <c:pt idx="4">
                  <c:v>690</c:v>
                </c:pt>
              </c:numCache>
            </c:numRef>
          </c:val>
          <c:smooth val="0"/>
          <c:extLst>
            <c:ext xmlns:c16="http://schemas.microsoft.com/office/drawing/2014/chart" uri="{C3380CC4-5D6E-409C-BE32-E72D297353CC}">
              <c16:uniqueId val="{00000001-9AD5-45DC-ABD9-1AA532A48AD8}"/>
            </c:ext>
          </c:extLst>
        </c:ser>
        <c:ser>
          <c:idx val="2"/>
          <c:order val="2"/>
          <c:tx>
            <c:strRef>
              <c:f>'Football Field Analysis'!$B$12:$D$12</c:f>
              <c:strCache>
                <c:ptCount val="3"/>
                <c:pt idx="0">
                  <c:v>Low</c:v>
                </c:pt>
              </c:strCache>
            </c:strRef>
          </c:tx>
          <c:spPr>
            <a:ln w="19050" cap="rnd">
              <a:noFill/>
              <a:round/>
            </a:ln>
            <a:effectLst/>
          </c:spPr>
          <c:marker>
            <c:symbol val="none"/>
          </c:marker>
          <c:dLbls>
            <c:delete val="1"/>
          </c:dLbls>
          <c:cat>
            <c:strRef>
              <c:f>'Football Field Analysis'!$E$9:$I$9</c:f>
              <c:strCache>
                <c:ptCount val="5"/>
                <c:pt idx="0">
                  <c:v>Comps Median</c:v>
                </c:pt>
                <c:pt idx="1">
                  <c:v>Comps Average</c:v>
                </c:pt>
                <c:pt idx="2">
                  <c:v>DCF (Average)</c:v>
                </c:pt>
                <c:pt idx="3">
                  <c:v>52-Week Hi/LO</c:v>
                </c:pt>
                <c:pt idx="4">
                  <c:v>Market Consenses</c:v>
                </c:pt>
              </c:strCache>
            </c:strRef>
          </c:cat>
          <c:val>
            <c:numRef>
              <c:f>'Football Field Analysis'!$E$12:$I$12</c:f>
              <c:numCache>
                <c:formatCode>"₹"\ #,##0</c:formatCode>
                <c:ptCount val="5"/>
                <c:pt idx="0">
                  <c:v>305.4276150705997</c:v>
                </c:pt>
                <c:pt idx="1">
                  <c:v>344.99501632879395</c:v>
                </c:pt>
                <c:pt idx="2">
                  <c:v>557</c:v>
                </c:pt>
                <c:pt idx="3">
                  <c:v>474</c:v>
                </c:pt>
                <c:pt idx="4">
                  <c:v>400</c:v>
                </c:pt>
              </c:numCache>
            </c:numRef>
          </c:val>
          <c:smooth val="0"/>
          <c:extLst>
            <c:ext xmlns:c16="http://schemas.microsoft.com/office/drawing/2014/chart" uri="{C3380CC4-5D6E-409C-BE32-E72D297353CC}">
              <c16:uniqueId val="{00000002-9AD5-45DC-ABD9-1AA532A48AD8}"/>
            </c:ext>
          </c:extLst>
        </c:ser>
        <c:ser>
          <c:idx val="3"/>
          <c:order val="3"/>
          <c:tx>
            <c:strRef>
              <c:f>'Football Field Analysis'!$B$13:$D$13</c:f>
              <c:strCache>
                <c:ptCount val="3"/>
                <c:pt idx="0">
                  <c:v>Low</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'Football Field Analysis'!$E$9:$I$9</c:f>
              <c:strCache>
                <c:ptCount val="5"/>
                <c:pt idx="0">
                  <c:v>Comps Median</c:v>
                </c:pt>
                <c:pt idx="1">
                  <c:v>Comps Average</c:v>
                </c:pt>
                <c:pt idx="2">
                  <c:v>DCF (Average)</c:v>
                </c:pt>
                <c:pt idx="3">
                  <c:v>52-Week Hi/LO</c:v>
                </c:pt>
                <c:pt idx="4">
                  <c:v>Market Consenses</c:v>
                </c:pt>
              </c:strCache>
            </c:strRef>
          </c:cat>
          <c:val>
            <c:numRef>
              <c:f>'Football Field Analysis'!$E$13:$I$13</c:f>
              <c:numCache>
                <c:formatCode>"₹"\ #,##0</c:formatCode>
                <c:ptCount val="5"/>
                <c:pt idx="0">
                  <c:v>305.4276150705997</c:v>
                </c:pt>
                <c:pt idx="1">
                  <c:v>344.99501632879395</c:v>
                </c:pt>
                <c:pt idx="2">
                  <c:v>557</c:v>
                </c:pt>
                <c:pt idx="3">
                  <c:v>474</c:v>
                </c:pt>
                <c:pt idx="4">
                  <c:v>400</c:v>
                </c:pt>
              </c:numCache>
            </c:numRef>
          </c:val>
          <c:smooth val="0"/>
          <c:extLst>
            <c:ext xmlns:c16="http://schemas.microsoft.com/office/drawing/2014/chart" uri="{C3380CC4-5D6E-409C-BE32-E72D297353CC}">
              <c16:uniqueId val="{00000003-9AD5-45DC-ABD9-1AA532A48AD8}"/>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accent6">
                  <a:lumMod val="60000"/>
                  <a:lumOff val="40000"/>
                </a:schemeClr>
              </a:solidFill>
              <a:ln w="9525" cap="flat" cmpd="sng" algn="ctr">
                <a:solidFill>
                  <a:schemeClr val="tx1">
                    <a:lumMod val="65000"/>
                    <a:lumOff val="35000"/>
                  </a:schemeClr>
                </a:solidFill>
                <a:round/>
              </a:ln>
              <a:effectLst/>
            </c:spPr>
          </c:downBars>
        </c:upDownBars>
        <c:axId val="722274928"/>
        <c:axId val="722279848"/>
      </c:stockChart>
      <c:catAx>
        <c:axId val="7222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279848"/>
        <c:crosses val="autoZero"/>
        <c:auto val="1"/>
        <c:lblAlgn val="ctr"/>
        <c:lblOffset val="100"/>
        <c:noMultiLvlLbl val="0"/>
      </c:catAx>
      <c:valAx>
        <c:axId val="722279848"/>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274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5</xdr:col>
      <xdr:colOff>304800</xdr:colOff>
      <xdr:row>16</xdr:row>
      <xdr:rowOff>114300</xdr:rowOff>
    </xdr:to>
    <xdr:sp macro="" textlink="">
      <xdr:nvSpPr>
        <xdr:cNvPr id="2" name="AutoShape 2" descr="Top 10 Garment Manufacturers in India 2023"/>
        <xdr:cNvSpPr>
          <a:spLocks noChangeAspect="1" noChangeArrowheads="1"/>
        </xdr:cNvSpPr>
      </xdr:nvSpPr>
      <xdr:spPr bwMode="auto">
        <a:xfrm>
          <a:off x="5667375" y="290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28576</xdr:colOff>
      <xdr:row>0</xdr:row>
      <xdr:rowOff>19051</xdr:rowOff>
    </xdr:from>
    <xdr:to>
      <xdr:col>1</xdr:col>
      <xdr:colOff>2200276</xdr:colOff>
      <xdr:row>3</xdr:row>
      <xdr:rowOff>152401</xdr:rowOff>
    </xdr:to>
    <xdr:pic>
      <xdr:nvPicPr>
        <xdr:cNvPr id="4" name="Picture 3"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52401" y="19051"/>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xdr:row>
      <xdr:rowOff>0</xdr:rowOff>
    </xdr:from>
    <xdr:to>
      <xdr:col>19</xdr:col>
      <xdr:colOff>38100</xdr:colOff>
      <xdr:row>27</xdr:row>
      <xdr:rowOff>161925</xdr:rowOff>
    </xdr:to>
    <xdr:pic>
      <xdr:nvPicPr>
        <xdr:cNvPr id="5" name="Picture 4"/>
        <xdr:cNvPicPr>
          <a:picLocks noChangeAspect="1"/>
        </xdr:cNvPicPr>
      </xdr:nvPicPr>
      <xdr:blipFill>
        <a:blip xmlns:r="http://schemas.openxmlformats.org/officeDocument/2006/relationships" r:embed="rId2"/>
        <a:stretch>
          <a:fillRect/>
        </a:stretch>
      </xdr:blipFill>
      <xdr:spPr>
        <a:xfrm>
          <a:off x="11191875" y="1152525"/>
          <a:ext cx="4914900" cy="4219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1</xdr:col>
      <xdr:colOff>2124075</xdr:colOff>
      <xdr:row>3</xdr:row>
      <xdr:rowOff>142875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76200" y="952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2171700</xdr:colOff>
      <xdr:row>3</xdr:row>
      <xdr:rowOff>161925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2857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2171700</xdr:colOff>
      <xdr:row>3</xdr:row>
      <xdr:rowOff>161925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2857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76200</xdr:rowOff>
    </xdr:from>
    <xdr:to>
      <xdr:col>1</xdr:col>
      <xdr:colOff>2171700</xdr:colOff>
      <xdr:row>4</xdr:row>
      <xdr:rowOff>19050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76200"/>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38100</xdr:rowOff>
    </xdr:from>
    <xdr:to>
      <xdr:col>1</xdr:col>
      <xdr:colOff>2171700</xdr:colOff>
      <xdr:row>3</xdr:row>
      <xdr:rowOff>171450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38100"/>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105833</xdr:colOff>
      <xdr:row>1</xdr:row>
      <xdr:rowOff>21166</xdr:rowOff>
    </xdr:from>
    <xdr:to>
      <xdr:col>1</xdr:col>
      <xdr:colOff>2584048</xdr:colOff>
      <xdr:row>5</xdr:row>
      <xdr:rowOff>63499</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232833" y="211666"/>
          <a:ext cx="2478215" cy="80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2171700</xdr:colOff>
      <xdr:row>3</xdr:row>
      <xdr:rowOff>161925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2857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9525</xdr:rowOff>
    </xdr:from>
    <xdr:to>
      <xdr:col>3</xdr:col>
      <xdr:colOff>342900</xdr:colOff>
      <xdr:row>3</xdr:row>
      <xdr:rowOff>142875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952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95250</xdr:colOff>
      <xdr:row>3</xdr:row>
      <xdr:rowOff>133350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0"/>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2171700</xdr:colOff>
      <xdr:row>3</xdr:row>
      <xdr:rowOff>133350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0"/>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2171700</xdr:colOff>
      <xdr:row>3</xdr:row>
      <xdr:rowOff>152400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57150"/>
          <a:ext cx="217170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2171700</xdr:colOff>
      <xdr:row>3</xdr:row>
      <xdr:rowOff>180975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4762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19050</xdr:rowOff>
    </xdr:from>
    <xdr:to>
      <xdr:col>4</xdr:col>
      <xdr:colOff>171450</xdr:colOff>
      <xdr:row>3</xdr:row>
      <xdr:rowOff>152400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19050"/>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28575</xdr:rowOff>
    </xdr:from>
    <xdr:to>
      <xdr:col>4</xdr:col>
      <xdr:colOff>352425</xdr:colOff>
      <xdr:row>3</xdr:row>
      <xdr:rowOff>161925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33350" y="2857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2</xdr:col>
      <xdr:colOff>781050</xdr:colOff>
      <xdr:row>3</xdr:row>
      <xdr:rowOff>161925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2857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2</xdr:col>
      <xdr:colOff>66675</xdr:colOff>
      <xdr:row>3</xdr:row>
      <xdr:rowOff>161925</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2857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2</xdr:col>
      <xdr:colOff>247650</xdr:colOff>
      <xdr:row>4</xdr:row>
      <xdr:rowOff>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733425" y="57150"/>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4</xdr:col>
      <xdr:colOff>76200</xdr:colOff>
      <xdr:row>4</xdr:row>
      <xdr:rowOff>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23825" y="57150"/>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38100</xdr:colOff>
      <xdr:row>0</xdr:row>
      <xdr:rowOff>38100</xdr:rowOff>
    </xdr:from>
    <xdr:to>
      <xdr:col>2</xdr:col>
      <xdr:colOff>123825</xdr:colOff>
      <xdr:row>4</xdr:row>
      <xdr:rowOff>76200</xdr:rowOff>
    </xdr:to>
    <xdr:pic>
      <xdr:nvPicPr>
        <xdr:cNvPr id="2" name="Picture 1" descr="Happiest Minds is the First Company Globally to Position Itself as ..."/>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34" t="8599" r="8988" b="10042"/>
        <a:stretch/>
      </xdr:blipFill>
      <xdr:spPr bwMode="auto">
        <a:xfrm>
          <a:off x="161925" y="38100"/>
          <a:ext cx="2171700"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85725</xdr:colOff>
      <xdr:row>14</xdr:row>
      <xdr:rowOff>66674</xdr:rowOff>
    </xdr:from>
    <xdr:to>
      <xdr:col>9</xdr:col>
      <xdr:colOff>0</xdr:colOff>
      <xdr:row>29</xdr:row>
      <xdr:rowOff>76199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590550</xdr:colOff>
      <xdr:row>22</xdr:row>
      <xdr:rowOff>171450</xdr:rowOff>
    </xdr:from>
    <xdr:to>
      <xdr:col>8</xdr:col>
      <xdr:colOff>1047750</xdr:colOff>
      <xdr:row>23</xdr:row>
      <xdr:rowOff>38100</xdr:rowOff>
    </xdr:to>
    <xdr:cxnSp macro="">
      <xdr:nvCxnSpPr>
        <xdr:cNvPr id="4" name="Straight Connector 3"/>
        <xdr:cNvCxnSpPr/>
      </xdr:nvCxnSpPr>
      <xdr:spPr>
        <a:xfrm flipV="1">
          <a:off x="714375" y="4581525"/>
          <a:ext cx="6124575" cy="57150"/>
        </a:xfrm>
        <a:prstGeom prst="line">
          <a:avLst/>
        </a:prstGeom>
        <a:ln w="15875" cap="flat" cmpd="sng" algn="ctr">
          <a:solidFill>
            <a:schemeClr val="accent2">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xdr:col>
      <xdr:colOff>0</xdr:colOff>
      <xdr:row>0</xdr:row>
      <xdr:rowOff>47625</xdr:rowOff>
    </xdr:from>
    <xdr:to>
      <xdr:col>4</xdr:col>
      <xdr:colOff>342900</xdr:colOff>
      <xdr:row>3</xdr:row>
      <xdr:rowOff>180975</xdr:rowOff>
    </xdr:to>
    <xdr:pic>
      <xdr:nvPicPr>
        <xdr:cNvPr id="5" name="Picture 4" descr="Happiest Minds is the First Company Globally to Position Itself as ..."/>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34" t="8599" r="8988" b="10042"/>
        <a:stretch/>
      </xdr:blipFill>
      <xdr:spPr bwMode="auto">
        <a:xfrm>
          <a:off x="123825" y="47625"/>
          <a:ext cx="217170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aarti-industrie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6.bin"/><Relationship Id="rId1" Type="http://schemas.openxmlformats.org/officeDocument/2006/relationships/hyperlink" Target="https://www.bseindia.com/indices/IndexArchiveData.htm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7.bin"/><Relationship Id="rId1" Type="http://schemas.openxmlformats.org/officeDocument/2006/relationships/hyperlink" Target="https://www.bseindia.com/indices/IndexArchiveData.html"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9.bin"/><Relationship Id="rId1" Type="http://schemas.openxmlformats.org/officeDocument/2006/relationships/hyperlink" Target="https://www.screener.in/market/IN08/IN0801/IN080101/"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XFD86"/>
  <sheetViews>
    <sheetView showGridLines="0" topLeftCell="D7" workbookViewId="0">
      <selection activeCell="F7" sqref="F7:J7"/>
    </sheetView>
  </sheetViews>
  <sheetFormatPr defaultRowHeight="15" x14ac:dyDescent="0.25"/>
  <cols>
    <col min="1" max="1" width="1.85546875" customWidth="1"/>
    <col min="2" max="2" width="56.28515625" bestFit="1" customWidth="1"/>
    <col min="3" max="3" width="22.85546875" bestFit="1" customWidth="1"/>
    <col min="5" max="5" width="20.140625" bestFit="1" customWidth="1"/>
    <col min="10" max="10" width="11.85546875" customWidth="1"/>
  </cols>
  <sheetData>
    <row r="5" spans="2:19" x14ac:dyDescent="0.25">
      <c r="B5" s="189"/>
      <c r="C5" s="189"/>
      <c r="D5" s="189"/>
      <c r="E5" s="189"/>
      <c r="F5" s="189"/>
      <c r="G5" s="189"/>
      <c r="H5" s="189"/>
      <c r="I5" s="189"/>
      <c r="J5" s="189"/>
      <c r="K5" s="189"/>
      <c r="L5" s="189"/>
      <c r="M5" s="189"/>
      <c r="N5" s="189"/>
      <c r="O5" s="189"/>
      <c r="P5" s="189"/>
      <c r="Q5" s="189"/>
      <c r="R5" s="189"/>
      <c r="S5" s="189"/>
    </row>
    <row r="6" spans="2:19" ht="15.75" thickBot="1" x14ac:dyDescent="0.3"/>
    <row r="7" spans="2:19" x14ac:dyDescent="0.25">
      <c r="B7" s="375" t="s">
        <v>136</v>
      </c>
      <c r="C7" s="376"/>
      <c r="E7" s="187" t="s">
        <v>245</v>
      </c>
      <c r="F7" s="379" t="s">
        <v>333</v>
      </c>
      <c r="G7" s="380"/>
      <c r="H7" s="380"/>
      <c r="I7" s="380"/>
      <c r="J7" s="381"/>
    </row>
    <row r="8" spans="2:19" ht="15.75" thickBot="1" x14ac:dyDescent="0.3">
      <c r="B8" s="179" t="s">
        <v>133</v>
      </c>
      <c r="C8" s="180">
        <f>IF(B8="Best Case",1,IF(B8="Base Case",2,3))</f>
        <v>2</v>
      </c>
      <c r="E8" s="183" t="s">
        <v>327</v>
      </c>
      <c r="F8" s="382" t="s">
        <v>337</v>
      </c>
      <c r="G8" s="383"/>
      <c r="H8" s="383"/>
      <c r="I8" s="383"/>
      <c r="J8" s="384"/>
    </row>
    <row r="9" spans="2:19" ht="15.75" thickBot="1" x14ac:dyDescent="0.3">
      <c r="B9" s="96"/>
      <c r="C9" s="96"/>
      <c r="E9" s="183" t="s">
        <v>328</v>
      </c>
      <c r="F9" s="382" t="s">
        <v>464</v>
      </c>
      <c r="G9" s="383"/>
      <c r="H9" s="383"/>
      <c r="I9" s="383"/>
      <c r="J9" s="384"/>
    </row>
    <row r="10" spans="2:19" ht="15.75" thickBot="1" x14ac:dyDescent="0.3">
      <c r="B10" s="377" t="s">
        <v>146</v>
      </c>
      <c r="C10" s="378"/>
      <c r="E10" s="183" t="s">
        <v>329</v>
      </c>
      <c r="F10" s="382" t="s">
        <v>335</v>
      </c>
      <c r="G10" s="383"/>
      <c r="H10" s="383"/>
      <c r="I10" s="383"/>
      <c r="J10" s="384"/>
    </row>
    <row r="11" spans="2:19" x14ac:dyDescent="0.25">
      <c r="B11" s="27" t="s">
        <v>147</v>
      </c>
      <c r="C11" s="28">
        <v>46030</v>
      </c>
      <c r="E11" s="183" t="s">
        <v>330</v>
      </c>
      <c r="F11" s="382" t="s">
        <v>334</v>
      </c>
      <c r="G11" s="383"/>
      <c r="H11" s="383"/>
      <c r="I11" s="383"/>
      <c r="J11" s="384"/>
    </row>
    <row r="12" spans="2:19" x14ac:dyDescent="0.25">
      <c r="B12" s="29" t="s">
        <v>148</v>
      </c>
      <c r="C12" s="30">
        <v>46112</v>
      </c>
      <c r="E12" s="188" t="s">
        <v>331</v>
      </c>
      <c r="F12" s="385" t="s">
        <v>336</v>
      </c>
      <c r="G12" s="386"/>
      <c r="H12" s="386"/>
      <c r="I12" s="386"/>
      <c r="J12" s="387"/>
    </row>
    <row r="13" spans="2:19" ht="15" customHeight="1" x14ac:dyDescent="0.25">
      <c r="B13" s="29" t="s">
        <v>149</v>
      </c>
      <c r="C13" s="31">
        <v>6.615E-2</v>
      </c>
      <c r="E13" s="388" t="s">
        <v>332</v>
      </c>
      <c r="F13" s="391" t="s">
        <v>338</v>
      </c>
      <c r="G13" s="391"/>
      <c r="H13" s="391"/>
      <c r="I13" s="391"/>
      <c r="J13" s="392"/>
    </row>
    <row r="14" spans="2:19" x14ac:dyDescent="0.25">
      <c r="B14" s="29" t="s">
        <v>455</v>
      </c>
      <c r="C14" s="31">
        <v>5.0000000000000001E-3</v>
      </c>
      <c r="E14" s="389"/>
      <c r="F14" s="393"/>
      <c r="G14" s="393"/>
      <c r="H14" s="393"/>
      <c r="I14" s="393"/>
      <c r="J14" s="394"/>
    </row>
    <row r="15" spans="2:19" x14ac:dyDescent="0.25">
      <c r="B15" s="29" t="s">
        <v>150</v>
      </c>
      <c r="C15" s="32">
        <v>5.0000000000000001E-3</v>
      </c>
      <c r="E15" s="389"/>
      <c r="F15" s="393"/>
      <c r="G15" s="393"/>
      <c r="H15" s="393"/>
      <c r="I15" s="393"/>
      <c r="J15" s="394"/>
    </row>
    <row r="16" spans="2:19" x14ac:dyDescent="0.25">
      <c r="B16" s="29" t="s">
        <v>451</v>
      </c>
      <c r="C16" s="32">
        <v>5.0000000000000001E-3</v>
      </c>
      <c r="E16" s="389"/>
      <c r="F16" s="393"/>
      <c r="G16" s="393"/>
      <c r="H16" s="393"/>
      <c r="I16" s="393"/>
      <c r="J16" s="394"/>
    </row>
    <row r="17" spans="2:16384" x14ac:dyDescent="0.25">
      <c r="B17" s="29" t="s">
        <v>151</v>
      </c>
      <c r="C17" s="33">
        <f>'Cost Buildup'!G23</f>
        <v>0.27714710717920615</v>
      </c>
      <c r="E17" s="389"/>
      <c r="F17" s="393"/>
      <c r="G17" s="393"/>
      <c r="H17" s="393"/>
      <c r="I17" s="393"/>
      <c r="J17" s="394"/>
    </row>
    <row r="18" spans="2:16384" x14ac:dyDescent="0.25">
      <c r="B18" s="29" t="s">
        <v>152</v>
      </c>
      <c r="C18" s="368">
        <f>'Comparable Valuation'!E36</f>
        <v>15.505376974844351</v>
      </c>
      <c r="E18" s="389"/>
      <c r="F18" s="393"/>
      <c r="G18" s="393"/>
      <c r="H18" s="393"/>
      <c r="I18" s="393"/>
      <c r="J18" s="394"/>
    </row>
    <row r="19" spans="2:16384" x14ac:dyDescent="0.25">
      <c r="B19" s="29" t="s">
        <v>153</v>
      </c>
      <c r="C19" s="34">
        <v>0.06</v>
      </c>
      <c r="E19" s="389"/>
      <c r="F19" s="393"/>
      <c r="G19" s="393"/>
      <c r="H19" s="393"/>
      <c r="I19" s="393"/>
      <c r="J19" s="394"/>
    </row>
    <row r="20" spans="2:16384" x14ac:dyDescent="0.25">
      <c r="B20" s="29" t="s">
        <v>154</v>
      </c>
      <c r="C20" s="369">
        <f>'Comps Beta'!F51</f>
        <v>0.12988111722745066</v>
      </c>
      <c r="E20" s="389"/>
      <c r="F20" s="393"/>
      <c r="G20" s="393"/>
      <c r="H20" s="393"/>
      <c r="I20" s="393"/>
      <c r="J20" s="394"/>
    </row>
    <row r="21" spans="2:16384" x14ac:dyDescent="0.25">
      <c r="B21" s="29" t="s">
        <v>155</v>
      </c>
      <c r="C21" s="35">
        <f>'Comparable Valuation'!F31</f>
        <v>1523</v>
      </c>
      <c r="E21" s="389"/>
      <c r="F21" s="393"/>
      <c r="G21" s="393"/>
      <c r="H21" s="393"/>
      <c r="I21" s="393"/>
      <c r="J21" s="394"/>
    </row>
    <row r="22" spans="2:16384" x14ac:dyDescent="0.25">
      <c r="B22" s="29" t="s">
        <v>156</v>
      </c>
      <c r="C22" s="36">
        <v>459</v>
      </c>
      <c r="E22" s="389"/>
      <c r="F22" s="393"/>
      <c r="G22" s="393"/>
      <c r="H22" s="393"/>
      <c r="I22" s="393"/>
      <c r="J22" s="394"/>
    </row>
    <row r="23" spans="2:16384" ht="15.75" thickBot="1" x14ac:dyDescent="0.3">
      <c r="B23" s="37" t="s">
        <v>368</v>
      </c>
      <c r="C23" s="38">
        <f>C22*C21</f>
        <v>699057</v>
      </c>
      <c r="E23" s="389"/>
      <c r="F23" s="393"/>
      <c r="G23" s="393"/>
      <c r="H23" s="393"/>
      <c r="I23" s="393"/>
      <c r="J23" s="394"/>
    </row>
    <row r="24" spans="2:16384" ht="15.75" thickBot="1" x14ac:dyDescent="0.3">
      <c r="E24" s="389"/>
      <c r="F24" s="393"/>
      <c r="G24" s="393"/>
      <c r="H24" s="393"/>
      <c r="I24" s="393"/>
      <c r="J24" s="394"/>
    </row>
    <row r="25" spans="2:16384" ht="15.75" thickBot="1" x14ac:dyDescent="0.3">
      <c r="B25" s="377" t="s">
        <v>320</v>
      </c>
      <c r="C25" s="378"/>
      <c r="E25" s="389"/>
      <c r="F25" s="393"/>
      <c r="G25" s="393"/>
      <c r="H25" s="393"/>
      <c r="I25" s="393"/>
      <c r="J25" s="394"/>
    </row>
    <row r="26" spans="2:16384" x14ac:dyDescent="0.25">
      <c r="B26" s="181" t="s">
        <v>321</v>
      </c>
      <c r="C26" s="182" t="s">
        <v>322</v>
      </c>
      <c r="E26" s="389"/>
      <c r="F26" s="393"/>
      <c r="G26" s="393"/>
      <c r="H26" s="393"/>
      <c r="I26" s="393"/>
      <c r="J26" s="394"/>
    </row>
    <row r="27" spans="2:16384" x14ac:dyDescent="0.25">
      <c r="B27" s="183" t="s">
        <v>323</v>
      </c>
      <c r="C27" s="184" t="s">
        <v>324</v>
      </c>
      <c r="E27" s="389"/>
      <c r="F27" s="393"/>
      <c r="G27" s="393"/>
      <c r="H27" s="393"/>
      <c r="I27" s="393"/>
      <c r="J27" s="394"/>
    </row>
    <row r="28" spans="2:16384" ht="15.75" thickBot="1" x14ac:dyDescent="0.3">
      <c r="B28" s="185" t="s">
        <v>325</v>
      </c>
      <c r="C28" s="186" t="s">
        <v>326</v>
      </c>
      <c r="E28" s="390"/>
      <c r="F28" s="395"/>
      <c r="G28" s="395"/>
      <c r="H28" s="395"/>
      <c r="I28" s="395"/>
      <c r="J28" s="396"/>
    </row>
    <row r="29" spans="2:16384" x14ac:dyDescent="0.25">
      <c r="B29" s="282"/>
      <c r="C29" s="282"/>
    </row>
    <row r="31" spans="2:16384" x14ac:dyDescent="0.25">
      <c r="B31" s="67" t="s">
        <v>339</v>
      </c>
      <c r="C31" s="67" t="s">
        <v>340</v>
      </c>
      <c r="D31" s="67"/>
      <c r="E31" s="67" t="s">
        <v>341</v>
      </c>
      <c r="F31" s="67" t="s">
        <v>146</v>
      </c>
      <c r="G31" s="67"/>
      <c r="H31" s="67"/>
      <c r="I31" s="67"/>
      <c r="J31" s="67"/>
      <c r="K31" s="67"/>
      <c r="L31" s="67"/>
      <c r="M31" s="67"/>
      <c r="N31" s="67"/>
      <c r="O31" s="67"/>
      <c r="P31" s="67"/>
      <c r="Q31" s="67"/>
      <c r="R31" s="67"/>
      <c r="S31" s="67"/>
      <c r="T31" s="67"/>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c r="WXE31" s="1"/>
      <c r="WXF31" s="1"/>
      <c r="WXG31" s="1"/>
      <c r="WXH31" s="1"/>
      <c r="WXI31" s="1"/>
      <c r="WXJ31" s="1"/>
      <c r="WXK31" s="1"/>
      <c r="WXL31" s="1"/>
      <c r="WXM31" s="1"/>
      <c r="WXN31" s="1"/>
      <c r="WXO31" s="1"/>
      <c r="WXP31" s="1"/>
      <c r="WXQ31" s="1"/>
      <c r="WXR31" s="1"/>
      <c r="WXS31" s="1"/>
      <c r="WXT31" s="1"/>
      <c r="WXU31" s="1"/>
      <c r="WXV31" s="1"/>
      <c r="WXW31" s="1"/>
      <c r="WXX31" s="1"/>
      <c r="WXY31" s="1"/>
      <c r="WXZ31" s="1"/>
      <c r="WYA31" s="1"/>
      <c r="WYB31" s="1"/>
      <c r="WYC31" s="1"/>
      <c r="WYD31" s="1"/>
      <c r="WYE31" s="1"/>
      <c r="WYF31" s="1"/>
      <c r="WYG31" s="1"/>
      <c r="WYH31" s="1"/>
      <c r="WYI31" s="1"/>
      <c r="WYJ31" s="1"/>
      <c r="WYK31" s="1"/>
      <c r="WYL31" s="1"/>
      <c r="WYM31" s="1"/>
      <c r="WYN31" s="1"/>
      <c r="WYO31" s="1"/>
      <c r="WYP31" s="1"/>
      <c r="WYQ31" s="1"/>
      <c r="WYR31" s="1"/>
      <c r="WYS31" s="1"/>
      <c r="WYT31" s="1"/>
      <c r="WYU31" s="1"/>
      <c r="WYV31" s="1"/>
      <c r="WYW31" s="1"/>
      <c r="WYX31" s="1"/>
      <c r="WYY31" s="1"/>
      <c r="WYZ31" s="1"/>
      <c r="WZA31" s="1"/>
      <c r="WZB31" s="1"/>
      <c r="WZC31" s="1"/>
      <c r="WZD31" s="1"/>
      <c r="WZE31" s="1"/>
      <c r="WZF31" s="1"/>
      <c r="WZG31" s="1"/>
      <c r="WZH31" s="1"/>
      <c r="WZI31" s="1"/>
      <c r="WZJ31" s="1"/>
      <c r="WZK31" s="1"/>
      <c r="WZL31" s="1"/>
      <c r="WZM31" s="1"/>
      <c r="WZN31" s="1"/>
      <c r="WZO31" s="1"/>
      <c r="WZP31" s="1"/>
      <c r="WZQ31" s="1"/>
      <c r="WZR31" s="1"/>
      <c r="WZS31" s="1"/>
      <c r="WZT31" s="1"/>
      <c r="WZU31" s="1"/>
      <c r="WZV31" s="1"/>
      <c r="WZW31" s="1"/>
      <c r="WZX31" s="1"/>
      <c r="WZY31" s="1"/>
      <c r="WZZ31" s="1"/>
      <c r="XAA31" s="1"/>
      <c r="XAB31" s="1"/>
      <c r="XAC31" s="1"/>
      <c r="XAD31" s="1"/>
      <c r="XAE31" s="1"/>
      <c r="XAF31" s="1"/>
      <c r="XAG31" s="1"/>
      <c r="XAH31" s="1"/>
      <c r="XAI31" s="1"/>
      <c r="XAJ31" s="1"/>
      <c r="XAK31" s="1"/>
      <c r="XAL31" s="1"/>
      <c r="XAM31" s="1"/>
      <c r="XAN31" s="1"/>
      <c r="XAO31" s="1"/>
      <c r="XAP31" s="1"/>
      <c r="XAQ31" s="1"/>
      <c r="XAR31" s="1"/>
      <c r="XAS31" s="1"/>
      <c r="XAT31" s="1"/>
      <c r="XAU31" s="1"/>
      <c r="XAV31" s="1"/>
      <c r="XAW31" s="1"/>
      <c r="XAX31" s="1"/>
      <c r="XAY31" s="1"/>
      <c r="XAZ31" s="1"/>
      <c r="XBA31" s="1"/>
      <c r="XBB31" s="1"/>
      <c r="XBC31" s="1"/>
      <c r="XBD31" s="1"/>
      <c r="XBE31" s="1"/>
      <c r="XBF31" s="1"/>
      <c r="XBG31" s="1"/>
      <c r="XBH31" s="1"/>
      <c r="XBI31" s="1"/>
      <c r="XBJ31" s="1"/>
      <c r="XBK31" s="1"/>
      <c r="XBL31" s="1"/>
      <c r="XBM31" s="1"/>
      <c r="XBN31" s="1"/>
      <c r="XBO31" s="1"/>
      <c r="XBP31" s="1"/>
      <c r="XBQ31" s="1"/>
      <c r="XBR31" s="1"/>
      <c r="XBS31" s="1"/>
      <c r="XBT31" s="1"/>
      <c r="XBU31" s="1"/>
      <c r="XBV31" s="1"/>
      <c r="XBW31" s="1"/>
      <c r="XBX31" s="1"/>
      <c r="XBY31" s="1"/>
      <c r="XBZ31" s="1"/>
      <c r="XCA31" s="1"/>
      <c r="XCB31" s="1"/>
      <c r="XCC31" s="1"/>
      <c r="XCD31" s="1"/>
      <c r="XCE31" s="1"/>
      <c r="XCF31" s="1"/>
      <c r="XCG31" s="1"/>
      <c r="XCH31" s="1"/>
      <c r="XCI31" s="1"/>
      <c r="XCJ31" s="1"/>
      <c r="XCK31" s="1"/>
      <c r="XCL31" s="1"/>
      <c r="XCM31" s="1"/>
      <c r="XCN31" s="1"/>
      <c r="XCO31" s="1"/>
      <c r="XCP31" s="1"/>
      <c r="XCQ31" s="1"/>
      <c r="XCR31" s="1"/>
      <c r="XCS31" s="1"/>
      <c r="XCT31" s="1"/>
      <c r="XCU31" s="1"/>
      <c r="XCV31" s="1"/>
      <c r="XCW31" s="1"/>
      <c r="XCX31" s="1"/>
      <c r="XCY31" s="1"/>
      <c r="XCZ31" s="1"/>
      <c r="XDA31" s="1"/>
      <c r="XDB31" s="1"/>
      <c r="XDC31" s="1"/>
      <c r="XDD31" s="1"/>
      <c r="XDE31" s="1"/>
      <c r="XDF31" s="1"/>
      <c r="XDG31" s="1"/>
      <c r="XDH31" s="1"/>
      <c r="XDI31" s="1"/>
      <c r="XDJ31" s="1"/>
      <c r="XDK31" s="1"/>
      <c r="XDL31" s="1"/>
      <c r="XDM31" s="1"/>
      <c r="XDN31" s="1"/>
      <c r="XDO31" s="1"/>
      <c r="XDP31" s="1"/>
      <c r="XDQ31" s="1"/>
      <c r="XDR31" s="1"/>
      <c r="XDS31" s="1"/>
      <c r="XDT31" s="1"/>
      <c r="XDU31" s="1"/>
      <c r="XDV31" s="1"/>
      <c r="XDW31" s="1"/>
      <c r="XDX31" s="1"/>
      <c r="XDY31" s="1"/>
      <c r="XDZ31" s="1"/>
      <c r="XEA31" s="1"/>
      <c r="XEB31" s="1"/>
      <c r="XEC31" s="1"/>
      <c r="XED31" s="1"/>
      <c r="XEE31" s="1"/>
      <c r="XEF31" s="1"/>
      <c r="XEG31" s="1"/>
      <c r="XEH31" s="1"/>
      <c r="XEI31" s="1"/>
      <c r="XEJ31" s="1"/>
      <c r="XEK31" s="1"/>
      <c r="XEL31" s="1"/>
      <c r="XEM31" s="1"/>
      <c r="XEN31" s="1"/>
      <c r="XEO31" s="1"/>
      <c r="XEP31" s="1"/>
      <c r="XEQ31" s="1"/>
      <c r="XER31" s="1"/>
      <c r="XES31" s="1"/>
      <c r="XET31" s="1"/>
      <c r="XEU31" s="1"/>
      <c r="XEV31" s="1"/>
      <c r="XEW31" s="1"/>
      <c r="XEX31" s="1"/>
      <c r="XEY31" s="1"/>
      <c r="XEZ31" s="1"/>
      <c r="XFA31" s="1"/>
      <c r="XFB31" s="1"/>
      <c r="XFC31" s="1"/>
      <c r="XFD31" s="1"/>
    </row>
    <row r="33" spans="2:20" ht="15" customHeight="1" x14ac:dyDescent="0.25">
      <c r="B33" s="374" t="s">
        <v>467</v>
      </c>
      <c r="C33" s="371" t="s">
        <v>342</v>
      </c>
      <c r="D33" s="371" t="s">
        <v>486</v>
      </c>
      <c r="E33" s="371"/>
      <c r="F33" s="373" t="s">
        <v>488</v>
      </c>
      <c r="G33" s="373"/>
      <c r="H33" s="373"/>
      <c r="I33" s="373"/>
      <c r="J33" s="373"/>
      <c r="K33" s="373"/>
      <c r="L33" s="373"/>
      <c r="M33" s="373"/>
      <c r="N33" s="373"/>
      <c r="O33" s="373"/>
      <c r="P33" s="373"/>
      <c r="Q33" s="373"/>
      <c r="R33" s="373"/>
      <c r="S33" s="373"/>
      <c r="T33" s="373"/>
    </row>
    <row r="34" spans="2:20" ht="51.75" customHeight="1" x14ac:dyDescent="0.25">
      <c r="B34" s="374"/>
      <c r="C34" s="371"/>
      <c r="D34" s="371"/>
      <c r="E34" s="371"/>
      <c r="F34" s="373"/>
      <c r="G34" s="373"/>
      <c r="H34" s="373"/>
      <c r="I34" s="373"/>
      <c r="J34" s="373"/>
      <c r="K34" s="373"/>
      <c r="L34" s="373"/>
      <c r="M34" s="373"/>
      <c r="N34" s="373"/>
      <c r="O34" s="373"/>
      <c r="P34" s="373"/>
      <c r="Q34" s="373"/>
      <c r="R34" s="373"/>
      <c r="S34" s="373"/>
      <c r="T34" s="373"/>
    </row>
    <row r="35" spans="2:20" ht="33.75" customHeight="1" x14ac:dyDescent="0.25">
      <c r="B35" s="345" t="s">
        <v>493</v>
      </c>
      <c r="C35" s="344" t="s">
        <v>342</v>
      </c>
      <c r="D35" s="397" t="s">
        <v>489</v>
      </c>
      <c r="E35" s="398"/>
      <c r="F35" s="399" t="s">
        <v>497</v>
      </c>
      <c r="G35" s="400"/>
      <c r="H35" s="400"/>
      <c r="I35" s="400"/>
      <c r="J35" s="400"/>
      <c r="K35" s="400"/>
      <c r="L35" s="400"/>
      <c r="M35" s="400"/>
      <c r="N35" s="400"/>
      <c r="O35" s="400"/>
      <c r="P35" s="400"/>
      <c r="Q35" s="400"/>
      <c r="R35" s="400"/>
      <c r="S35" s="400"/>
      <c r="T35" s="401"/>
    </row>
    <row r="36" spans="2:20" ht="29.25" customHeight="1" x14ac:dyDescent="0.25">
      <c r="B36" s="345" t="s">
        <v>494</v>
      </c>
      <c r="C36" s="344" t="s">
        <v>342</v>
      </c>
      <c r="D36" s="397" t="s">
        <v>490</v>
      </c>
      <c r="E36" s="398"/>
      <c r="F36" s="399" t="s">
        <v>498</v>
      </c>
      <c r="G36" s="400"/>
      <c r="H36" s="400"/>
      <c r="I36" s="400"/>
      <c r="J36" s="400"/>
      <c r="K36" s="400"/>
      <c r="L36" s="400"/>
      <c r="M36" s="400"/>
      <c r="N36" s="400"/>
      <c r="O36" s="400"/>
      <c r="P36" s="400"/>
      <c r="Q36" s="400"/>
      <c r="R36" s="400"/>
      <c r="S36" s="400"/>
      <c r="T36" s="401"/>
    </row>
    <row r="37" spans="2:20" ht="31.5" customHeight="1" x14ac:dyDescent="0.25">
      <c r="B37" s="345" t="s">
        <v>495</v>
      </c>
      <c r="C37" s="344" t="s">
        <v>342</v>
      </c>
      <c r="D37" s="397" t="s">
        <v>491</v>
      </c>
      <c r="E37" s="398"/>
      <c r="F37" s="399" t="s">
        <v>499</v>
      </c>
      <c r="G37" s="400"/>
      <c r="H37" s="400"/>
      <c r="I37" s="400"/>
      <c r="J37" s="400"/>
      <c r="K37" s="400"/>
      <c r="L37" s="400"/>
      <c r="M37" s="400"/>
      <c r="N37" s="400"/>
      <c r="O37" s="400"/>
      <c r="P37" s="400"/>
      <c r="Q37" s="400"/>
      <c r="R37" s="400"/>
      <c r="S37" s="400"/>
      <c r="T37" s="401"/>
    </row>
    <row r="38" spans="2:20" ht="30.75" customHeight="1" x14ac:dyDescent="0.25">
      <c r="B38" s="345" t="s">
        <v>496</v>
      </c>
      <c r="C38" s="344" t="s">
        <v>342</v>
      </c>
      <c r="D38" s="397" t="s">
        <v>492</v>
      </c>
      <c r="E38" s="398"/>
      <c r="F38" s="402" t="s">
        <v>500</v>
      </c>
      <c r="G38" s="403"/>
      <c r="H38" s="403"/>
      <c r="I38" s="403"/>
      <c r="J38" s="403"/>
      <c r="K38" s="403"/>
      <c r="L38" s="403"/>
      <c r="M38" s="403"/>
      <c r="N38" s="403"/>
      <c r="O38" s="403"/>
      <c r="P38" s="403"/>
      <c r="Q38" s="403"/>
      <c r="R38" s="403"/>
      <c r="S38" s="403"/>
      <c r="T38" s="404"/>
    </row>
    <row r="39" spans="2:20" x14ac:dyDescent="0.25">
      <c r="B39" s="286" t="s">
        <v>484</v>
      </c>
      <c r="C39" s="287" t="s">
        <v>342</v>
      </c>
      <c r="D39" s="371" t="s">
        <v>485</v>
      </c>
      <c r="E39" s="371"/>
      <c r="F39" s="373" t="s">
        <v>483</v>
      </c>
      <c r="G39" s="373"/>
      <c r="H39" s="373"/>
      <c r="I39" s="373"/>
      <c r="J39" s="373"/>
      <c r="K39" s="373"/>
      <c r="L39" s="373"/>
      <c r="M39" s="373"/>
      <c r="N39" s="373"/>
      <c r="O39" s="373"/>
      <c r="P39" s="373"/>
      <c r="Q39" s="373"/>
      <c r="R39" s="373"/>
      <c r="S39" s="373"/>
      <c r="T39" s="373"/>
    </row>
    <row r="40" spans="2:20" x14ac:dyDescent="0.25">
      <c r="B40" s="286" t="s">
        <v>19</v>
      </c>
      <c r="C40" s="287" t="s">
        <v>342</v>
      </c>
      <c r="D40" s="371" t="s">
        <v>392</v>
      </c>
      <c r="E40" s="371"/>
      <c r="F40" s="372" t="s">
        <v>394</v>
      </c>
      <c r="G40" s="372"/>
      <c r="H40" s="372"/>
      <c r="I40" s="372"/>
      <c r="J40" s="372"/>
      <c r="K40" s="372"/>
      <c r="L40" s="372"/>
      <c r="M40" s="372"/>
      <c r="N40" s="372"/>
      <c r="O40" s="372"/>
      <c r="P40" s="372"/>
      <c r="Q40" s="372"/>
      <c r="R40" s="372"/>
      <c r="S40" s="372"/>
      <c r="T40" s="372"/>
    </row>
    <row r="41" spans="2:20" ht="15" customHeight="1" x14ac:dyDescent="0.25">
      <c r="B41" s="371" t="s">
        <v>163</v>
      </c>
      <c r="C41" s="371" t="s">
        <v>342</v>
      </c>
      <c r="D41" s="371" t="s">
        <v>391</v>
      </c>
      <c r="E41" s="371"/>
      <c r="F41" s="372" t="s">
        <v>393</v>
      </c>
      <c r="G41" s="372"/>
      <c r="H41" s="372"/>
      <c r="I41" s="372"/>
      <c r="J41" s="372"/>
      <c r="K41" s="372"/>
      <c r="L41" s="372"/>
      <c r="M41" s="372"/>
      <c r="N41" s="372"/>
      <c r="O41" s="372"/>
      <c r="P41" s="372"/>
      <c r="Q41" s="372"/>
      <c r="R41" s="372"/>
      <c r="S41" s="372"/>
      <c r="T41" s="372"/>
    </row>
    <row r="42" spans="2:20" x14ac:dyDescent="0.25">
      <c r="B42" s="371"/>
      <c r="C42" s="371"/>
      <c r="D42" s="371"/>
      <c r="E42" s="371"/>
      <c r="F42" s="372"/>
      <c r="G42" s="372"/>
      <c r="H42" s="372"/>
      <c r="I42" s="372"/>
      <c r="J42" s="372"/>
      <c r="K42" s="372"/>
      <c r="L42" s="372"/>
      <c r="M42" s="372"/>
      <c r="N42" s="372"/>
      <c r="O42" s="372"/>
      <c r="P42" s="372"/>
      <c r="Q42" s="372"/>
      <c r="R42" s="372"/>
      <c r="S42" s="372"/>
      <c r="T42" s="372"/>
    </row>
    <row r="43" spans="2:20" x14ac:dyDescent="0.25">
      <c r="B43" s="374" t="s">
        <v>344</v>
      </c>
      <c r="C43" s="371" t="s">
        <v>345</v>
      </c>
      <c r="D43" s="371" t="s">
        <v>395</v>
      </c>
      <c r="E43" s="371"/>
      <c r="F43" s="373" t="s">
        <v>396</v>
      </c>
      <c r="G43" s="373"/>
      <c r="H43" s="373"/>
      <c r="I43" s="373"/>
      <c r="J43" s="373"/>
      <c r="K43" s="373"/>
      <c r="L43" s="373"/>
      <c r="M43" s="373"/>
      <c r="N43" s="373"/>
      <c r="O43" s="373"/>
      <c r="P43" s="373"/>
      <c r="Q43" s="373"/>
      <c r="R43" s="373"/>
      <c r="S43" s="373"/>
      <c r="T43" s="373"/>
    </row>
    <row r="44" spans="2:20" ht="3.75" customHeight="1" x14ac:dyDescent="0.25">
      <c r="B44" s="374"/>
      <c r="C44" s="371"/>
      <c r="D44" s="371"/>
      <c r="E44" s="371"/>
      <c r="F44" s="373"/>
      <c r="G44" s="373"/>
      <c r="H44" s="373"/>
      <c r="I44" s="373"/>
      <c r="J44" s="373"/>
      <c r="K44" s="373"/>
      <c r="L44" s="373"/>
      <c r="M44" s="373"/>
      <c r="N44" s="373"/>
      <c r="O44" s="373"/>
      <c r="P44" s="373"/>
      <c r="Q44" s="373"/>
      <c r="R44" s="373"/>
      <c r="S44" s="373"/>
      <c r="T44" s="373"/>
    </row>
    <row r="45" spans="2:20" ht="4.5" customHeight="1" x14ac:dyDescent="0.25">
      <c r="B45" s="374"/>
      <c r="C45" s="371"/>
      <c r="D45" s="371"/>
      <c r="E45" s="371"/>
      <c r="F45" s="373"/>
      <c r="G45" s="373"/>
      <c r="H45" s="373"/>
      <c r="I45" s="373"/>
      <c r="J45" s="373"/>
      <c r="K45" s="373"/>
      <c r="L45" s="373"/>
      <c r="M45" s="373"/>
      <c r="N45" s="373"/>
      <c r="O45" s="373"/>
      <c r="P45" s="373"/>
      <c r="Q45" s="373"/>
      <c r="R45" s="373"/>
      <c r="S45" s="373"/>
      <c r="T45" s="373"/>
    </row>
    <row r="46" spans="2:20" x14ac:dyDescent="0.25">
      <c r="B46" s="374"/>
      <c r="C46" s="371"/>
      <c r="D46" s="371"/>
      <c r="E46" s="371"/>
      <c r="F46" s="373"/>
      <c r="G46" s="373"/>
      <c r="H46" s="373"/>
      <c r="I46" s="373"/>
      <c r="J46" s="373"/>
      <c r="K46" s="373"/>
      <c r="L46" s="373"/>
      <c r="M46" s="373"/>
      <c r="N46" s="373"/>
      <c r="O46" s="373"/>
      <c r="P46" s="373"/>
      <c r="Q46" s="373"/>
      <c r="R46" s="373"/>
      <c r="S46" s="373"/>
      <c r="T46" s="373"/>
    </row>
    <row r="47" spans="2:20" x14ac:dyDescent="0.25">
      <c r="B47" s="371" t="s">
        <v>153</v>
      </c>
      <c r="C47" s="371" t="s">
        <v>146</v>
      </c>
      <c r="D47" s="371" t="s">
        <v>397</v>
      </c>
      <c r="E47" s="371"/>
      <c r="F47" s="373" t="s">
        <v>487</v>
      </c>
      <c r="G47" s="373"/>
      <c r="H47" s="373"/>
      <c r="I47" s="373"/>
      <c r="J47" s="373"/>
      <c r="K47" s="373"/>
      <c r="L47" s="373"/>
      <c r="M47" s="373"/>
      <c r="N47" s="373"/>
      <c r="O47" s="373"/>
      <c r="P47" s="373"/>
      <c r="Q47" s="373"/>
      <c r="R47" s="373"/>
      <c r="S47" s="373"/>
      <c r="T47" s="373"/>
    </row>
    <row r="48" spans="2:20" x14ac:dyDescent="0.25">
      <c r="B48" s="371"/>
      <c r="C48" s="371"/>
      <c r="D48" s="371"/>
      <c r="E48" s="371"/>
      <c r="F48" s="373"/>
      <c r="G48" s="373"/>
      <c r="H48" s="373"/>
      <c r="I48" s="373"/>
      <c r="J48" s="373"/>
      <c r="K48" s="373"/>
      <c r="L48" s="373"/>
      <c r="M48" s="373"/>
      <c r="N48" s="373"/>
      <c r="O48" s="373"/>
      <c r="P48" s="373"/>
      <c r="Q48" s="373"/>
      <c r="R48" s="373"/>
      <c r="S48" s="373"/>
      <c r="T48" s="373"/>
    </row>
    <row r="49" spans="2:20" x14ac:dyDescent="0.25">
      <c r="B49" s="371" t="s">
        <v>346</v>
      </c>
      <c r="C49" s="371" t="s">
        <v>345</v>
      </c>
      <c r="D49" s="371" t="s">
        <v>398</v>
      </c>
      <c r="E49" s="371"/>
      <c r="F49" s="373" t="s">
        <v>347</v>
      </c>
      <c r="G49" s="373"/>
      <c r="H49" s="373"/>
      <c r="I49" s="373"/>
      <c r="J49" s="373"/>
      <c r="K49" s="373"/>
      <c r="L49" s="373"/>
      <c r="M49" s="373"/>
      <c r="N49" s="373"/>
      <c r="O49" s="373"/>
      <c r="P49" s="373"/>
      <c r="Q49" s="373"/>
      <c r="R49" s="373"/>
      <c r="S49" s="373"/>
      <c r="T49" s="373"/>
    </row>
    <row r="50" spans="2:20" x14ac:dyDescent="0.25">
      <c r="B50" s="371"/>
      <c r="C50" s="371"/>
      <c r="D50" s="371"/>
      <c r="E50" s="371"/>
      <c r="F50" s="373"/>
      <c r="G50" s="373"/>
      <c r="H50" s="373"/>
      <c r="I50" s="373"/>
      <c r="J50" s="373"/>
      <c r="K50" s="373"/>
      <c r="L50" s="373"/>
      <c r="M50" s="373"/>
      <c r="N50" s="373"/>
      <c r="O50" s="373"/>
      <c r="P50" s="373"/>
      <c r="Q50" s="373"/>
      <c r="R50" s="373"/>
      <c r="S50" s="373"/>
      <c r="T50" s="373"/>
    </row>
    <row r="51" spans="2:20" x14ac:dyDescent="0.25">
      <c r="B51" s="371" t="s">
        <v>506</v>
      </c>
      <c r="C51" s="371" t="s">
        <v>503</v>
      </c>
      <c r="D51" s="371" t="s">
        <v>501</v>
      </c>
      <c r="E51" s="371"/>
      <c r="F51" s="406" t="s">
        <v>507</v>
      </c>
      <c r="G51" s="407"/>
      <c r="H51" s="407"/>
      <c r="I51" s="407"/>
      <c r="J51" s="407"/>
      <c r="K51" s="407"/>
      <c r="L51" s="407"/>
      <c r="M51" s="407"/>
      <c r="N51" s="407"/>
      <c r="O51" s="407"/>
      <c r="P51" s="407"/>
      <c r="Q51" s="407"/>
      <c r="R51" s="407"/>
      <c r="S51" s="407"/>
      <c r="T51" s="408"/>
    </row>
    <row r="52" spans="2:20" ht="16.5" customHeight="1" x14ac:dyDescent="0.25">
      <c r="B52" s="371"/>
      <c r="C52" s="371"/>
      <c r="D52" s="371"/>
      <c r="E52" s="371"/>
      <c r="F52" s="409"/>
      <c r="G52" s="410"/>
      <c r="H52" s="410"/>
      <c r="I52" s="410"/>
      <c r="J52" s="410"/>
      <c r="K52" s="410"/>
      <c r="L52" s="410"/>
      <c r="M52" s="410"/>
      <c r="N52" s="410"/>
      <c r="O52" s="410"/>
      <c r="P52" s="410"/>
      <c r="Q52" s="410"/>
      <c r="R52" s="410"/>
      <c r="S52" s="410"/>
      <c r="T52" s="411"/>
    </row>
    <row r="53" spans="2:20" x14ac:dyDescent="0.25">
      <c r="B53" s="371" t="s">
        <v>39</v>
      </c>
      <c r="C53" s="371" t="s">
        <v>503</v>
      </c>
      <c r="D53" s="371" t="s">
        <v>502</v>
      </c>
      <c r="E53" s="371"/>
      <c r="F53" s="412" t="s">
        <v>508</v>
      </c>
      <c r="G53" s="413"/>
      <c r="H53" s="413"/>
      <c r="I53" s="413"/>
      <c r="J53" s="413"/>
      <c r="K53" s="413"/>
      <c r="L53" s="413"/>
      <c r="M53" s="413"/>
      <c r="N53" s="413"/>
      <c r="O53" s="413"/>
      <c r="P53" s="413"/>
      <c r="Q53" s="413"/>
      <c r="R53" s="413"/>
      <c r="S53" s="413"/>
      <c r="T53" s="414"/>
    </row>
    <row r="54" spans="2:20" x14ac:dyDescent="0.25">
      <c r="B54" s="371"/>
      <c r="C54" s="371"/>
      <c r="D54" s="371"/>
      <c r="E54" s="371"/>
      <c r="F54" s="415"/>
      <c r="G54" s="416"/>
      <c r="H54" s="416"/>
      <c r="I54" s="416"/>
      <c r="J54" s="416"/>
      <c r="K54" s="416"/>
      <c r="L54" s="416"/>
      <c r="M54" s="416"/>
      <c r="N54" s="416"/>
      <c r="O54" s="416"/>
      <c r="P54" s="416"/>
      <c r="Q54" s="416"/>
      <c r="R54" s="416"/>
      <c r="S54" s="416"/>
      <c r="T54" s="417"/>
    </row>
    <row r="55" spans="2:20" x14ac:dyDescent="0.25">
      <c r="B55" s="405" t="s">
        <v>30</v>
      </c>
      <c r="C55" s="371" t="s">
        <v>504</v>
      </c>
      <c r="D55" s="371" t="s">
        <v>343</v>
      </c>
      <c r="E55" s="371"/>
      <c r="F55" s="373" t="s">
        <v>400</v>
      </c>
      <c r="G55" s="373"/>
      <c r="H55" s="373"/>
      <c r="I55" s="373"/>
      <c r="J55" s="373"/>
      <c r="K55" s="373"/>
      <c r="L55" s="373"/>
      <c r="M55" s="373"/>
      <c r="N55" s="373"/>
      <c r="O55" s="373"/>
      <c r="P55" s="373"/>
      <c r="Q55" s="373"/>
      <c r="R55" s="373"/>
      <c r="S55" s="373"/>
      <c r="T55" s="373"/>
    </row>
    <row r="56" spans="2:20" ht="15" customHeight="1" x14ac:dyDescent="0.25">
      <c r="B56" s="405"/>
      <c r="C56" s="371"/>
      <c r="D56" s="371"/>
      <c r="E56" s="371"/>
      <c r="F56" s="373"/>
      <c r="G56" s="373"/>
      <c r="H56" s="373"/>
      <c r="I56" s="373"/>
      <c r="J56" s="373"/>
      <c r="K56" s="373"/>
      <c r="L56" s="373"/>
      <c r="M56" s="373"/>
      <c r="N56" s="373"/>
      <c r="O56" s="373"/>
      <c r="P56" s="373"/>
      <c r="Q56" s="373"/>
      <c r="R56" s="373"/>
      <c r="S56" s="373"/>
      <c r="T56" s="373"/>
    </row>
    <row r="57" spans="2:20" x14ac:dyDescent="0.25">
      <c r="B57" s="405" t="s">
        <v>401</v>
      </c>
      <c r="C57" s="371" t="s">
        <v>504</v>
      </c>
      <c r="D57" s="371" t="s">
        <v>404</v>
      </c>
      <c r="E57" s="371"/>
      <c r="F57" s="373" t="s">
        <v>408</v>
      </c>
      <c r="G57" s="373"/>
      <c r="H57" s="373"/>
      <c r="I57" s="373"/>
      <c r="J57" s="373"/>
      <c r="K57" s="373"/>
      <c r="L57" s="373"/>
      <c r="M57" s="373"/>
      <c r="N57" s="373"/>
      <c r="O57" s="373"/>
      <c r="P57" s="373"/>
      <c r="Q57" s="373"/>
      <c r="R57" s="373"/>
      <c r="S57" s="373"/>
      <c r="T57" s="373"/>
    </row>
    <row r="58" spans="2:20" x14ac:dyDescent="0.25">
      <c r="B58" s="405"/>
      <c r="C58" s="371"/>
      <c r="D58" s="371"/>
      <c r="E58" s="371"/>
      <c r="F58" s="373"/>
      <c r="G58" s="373"/>
      <c r="H58" s="373"/>
      <c r="I58" s="373"/>
      <c r="J58" s="373"/>
      <c r="K58" s="373"/>
      <c r="L58" s="373"/>
      <c r="M58" s="373"/>
      <c r="N58" s="373"/>
      <c r="O58" s="373"/>
      <c r="P58" s="373"/>
      <c r="Q58" s="373"/>
      <c r="R58" s="373"/>
      <c r="S58" s="373"/>
      <c r="T58" s="373"/>
    </row>
    <row r="59" spans="2:20" x14ac:dyDescent="0.25">
      <c r="B59" s="405" t="s">
        <v>402</v>
      </c>
      <c r="C59" s="371" t="s">
        <v>504</v>
      </c>
      <c r="D59" s="371" t="s">
        <v>405</v>
      </c>
      <c r="E59" s="371"/>
      <c r="F59" s="373" t="s">
        <v>409</v>
      </c>
      <c r="G59" s="373"/>
      <c r="H59" s="373"/>
      <c r="I59" s="373"/>
      <c r="J59" s="373"/>
      <c r="K59" s="373"/>
      <c r="L59" s="373"/>
      <c r="M59" s="373"/>
      <c r="N59" s="373"/>
      <c r="O59" s="373"/>
      <c r="P59" s="373"/>
      <c r="Q59" s="373"/>
      <c r="R59" s="373"/>
      <c r="S59" s="373"/>
      <c r="T59" s="373"/>
    </row>
    <row r="60" spans="2:20" x14ac:dyDescent="0.25">
      <c r="B60" s="405"/>
      <c r="C60" s="371"/>
      <c r="D60" s="371"/>
      <c r="E60" s="371"/>
      <c r="F60" s="373"/>
      <c r="G60" s="373"/>
      <c r="H60" s="373"/>
      <c r="I60" s="373"/>
      <c r="J60" s="373"/>
      <c r="K60" s="373"/>
      <c r="L60" s="373"/>
      <c r="M60" s="373"/>
      <c r="N60" s="373"/>
      <c r="O60" s="373"/>
      <c r="P60" s="373"/>
      <c r="Q60" s="373"/>
      <c r="R60" s="373"/>
      <c r="S60" s="373"/>
      <c r="T60" s="373"/>
    </row>
    <row r="61" spans="2:20" x14ac:dyDescent="0.25">
      <c r="B61" s="405" t="s">
        <v>58</v>
      </c>
      <c r="C61" s="371" t="s">
        <v>504</v>
      </c>
      <c r="D61" s="371" t="s">
        <v>406</v>
      </c>
      <c r="E61" s="371"/>
      <c r="F61" s="373" t="s">
        <v>410</v>
      </c>
      <c r="G61" s="373"/>
      <c r="H61" s="373"/>
      <c r="I61" s="373"/>
      <c r="J61" s="373"/>
      <c r="K61" s="373"/>
      <c r="L61" s="373"/>
      <c r="M61" s="373"/>
      <c r="N61" s="373"/>
      <c r="O61" s="373"/>
      <c r="P61" s="373"/>
      <c r="Q61" s="373"/>
      <c r="R61" s="373"/>
      <c r="S61" s="373"/>
      <c r="T61" s="373"/>
    </row>
    <row r="62" spans="2:20" x14ac:dyDescent="0.25">
      <c r="B62" s="405"/>
      <c r="C62" s="371"/>
      <c r="D62" s="371"/>
      <c r="E62" s="371"/>
      <c r="F62" s="373"/>
      <c r="G62" s="373"/>
      <c r="H62" s="373"/>
      <c r="I62" s="373"/>
      <c r="J62" s="373"/>
      <c r="K62" s="373"/>
      <c r="L62" s="373"/>
      <c r="M62" s="373"/>
      <c r="N62" s="373"/>
      <c r="O62" s="373"/>
      <c r="P62" s="373"/>
      <c r="Q62" s="373"/>
      <c r="R62" s="373"/>
      <c r="S62" s="373"/>
      <c r="T62" s="373"/>
    </row>
    <row r="63" spans="2:20" x14ac:dyDescent="0.25">
      <c r="B63" s="288" t="s">
        <v>403</v>
      </c>
      <c r="C63" s="287" t="s">
        <v>505</v>
      </c>
      <c r="D63" s="371" t="s">
        <v>407</v>
      </c>
      <c r="E63" s="371"/>
      <c r="F63" s="373" t="s">
        <v>411</v>
      </c>
      <c r="G63" s="373"/>
      <c r="H63" s="373"/>
      <c r="I63" s="373"/>
      <c r="J63" s="373"/>
      <c r="K63" s="373"/>
      <c r="L63" s="373"/>
      <c r="M63" s="373"/>
      <c r="N63" s="373"/>
      <c r="O63" s="373"/>
      <c r="P63" s="373"/>
      <c r="Q63" s="373"/>
      <c r="R63" s="373"/>
      <c r="S63" s="373"/>
      <c r="T63" s="373"/>
    </row>
    <row r="64" spans="2:20" x14ac:dyDescent="0.25">
      <c r="B64" s="289" t="s">
        <v>348</v>
      </c>
      <c r="C64" s="287" t="s">
        <v>146</v>
      </c>
      <c r="D64" s="418" t="s">
        <v>399</v>
      </c>
      <c r="E64" s="418"/>
      <c r="F64" s="373" t="s">
        <v>349</v>
      </c>
      <c r="G64" s="373"/>
      <c r="H64" s="373"/>
      <c r="I64" s="373"/>
      <c r="J64" s="373"/>
      <c r="K64" s="373"/>
      <c r="L64" s="373"/>
      <c r="M64" s="373"/>
      <c r="N64" s="373"/>
      <c r="O64" s="373"/>
      <c r="P64" s="373"/>
      <c r="Q64" s="373"/>
      <c r="R64" s="373"/>
      <c r="S64" s="373"/>
      <c r="T64" s="373"/>
    </row>
    <row r="65" spans="2:20" ht="15" customHeight="1" x14ac:dyDescent="0.25">
      <c r="B65" s="419" t="s">
        <v>461</v>
      </c>
      <c r="C65" s="371" t="s">
        <v>454</v>
      </c>
      <c r="D65" s="371" t="s">
        <v>462</v>
      </c>
      <c r="E65" s="371"/>
      <c r="F65" s="421" t="s">
        <v>463</v>
      </c>
      <c r="G65" s="421"/>
      <c r="H65" s="421"/>
      <c r="I65" s="421"/>
      <c r="J65" s="421"/>
      <c r="K65" s="421"/>
      <c r="L65" s="421"/>
      <c r="M65" s="421"/>
      <c r="N65" s="421"/>
      <c r="O65" s="421"/>
      <c r="P65" s="421"/>
      <c r="Q65" s="421"/>
      <c r="R65" s="421"/>
      <c r="S65" s="421"/>
      <c r="T65" s="421"/>
    </row>
    <row r="66" spans="2:20" x14ac:dyDescent="0.25">
      <c r="B66" s="420"/>
      <c r="C66" s="371"/>
      <c r="D66" s="371"/>
      <c r="E66" s="371"/>
      <c r="F66" s="421"/>
      <c r="G66" s="421"/>
      <c r="H66" s="421"/>
      <c r="I66" s="421"/>
      <c r="J66" s="421"/>
      <c r="K66" s="421"/>
      <c r="L66" s="421"/>
      <c r="M66" s="421"/>
      <c r="N66" s="421"/>
      <c r="O66" s="421"/>
      <c r="P66" s="421"/>
      <c r="Q66" s="421"/>
      <c r="R66" s="421"/>
      <c r="S66" s="421"/>
      <c r="T66" s="421"/>
    </row>
    <row r="67" spans="2:20" x14ac:dyDescent="0.25">
      <c r="B67" s="371" t="s">
        <v>351</v>
      </c>
      <c r="C67" s="371" t="s">
        <v>454</v>
      </c>
      <c r="D67" s="371" t="s">
        <v>459</v>
      </c>
      <c r="E67" s="371"/>
      <c r="F67" s="373" t="s">
        <v>460</v>
      </c>
      <c r="G67" s="373"/>
      <c r="H67" s="373"/>
      <c r="I67" s="373"/>
      <c r="J67" s="373"/>
      <c r="K67" s="373"/>
      <c r="L67" s="373"/>
      <c r="M67" s="373"/>
      <c r="N67" s="373"/>
      <c r="O67" s="373"/>
      <c r="P67" s="373"/>
      <c r="Q67" s="373"/>
      <c r="R67" s="373"/>
      <c r="S67" s="373"/>
      <c r="T67" s="373"/>
    </row>
    <row r="68" spans="2:20" x14ac:dyDescent="0.25">
      <c r="B68" s="371"/>
      <c r="C68" s="371"/>
      <c r="D68" s="371"/>
      <c r="E68" s="371"/>
      <c r="F68" s="373"/>
      <c r="G68" s="373"/>
      <c r="H68" s="373"/>
      <c r="I68" s="373"/>
      <c r="J68" s="373"/>
      <c r="K68" s="373"/>
      <c r="L68" s="373"/>
      <c r="M68" s="373"/>
      <c r="N68" s="373"/>
      <c r="O68" s="373"/>
      <c r="P68" s="373"/>
      <c r="Q68" s="373"/>
      <c r="R68" s="373"/>
      <c r="S68" s="373"/>
      <c r="T68" s="373"/>
    </row>
    <row r="69" spans="2:20" x14ac:dyDescent="0.25">
      <c r="B69" s="371" t="s">
        <v>456</v>
      </c>
      <c r="C69" s="371" t="s">
        <v>359</v>
      </c>
      <c r="D69" s="371" t="s">
        <v>457</v>
      </c>
      <c r="E69" s="371"/>
      <c r="F69" s="373" t="s">
        <v>458</v>
      </c>
      <c r="G69" s="373"/>
      <c r="H69" s="373"/>
      <c r="I69" s="373"/>
      <c r="J69" s="373"/>
      <c r="K69" s="373"/>
      <c r="L69" s="373"/>
      <c r="M69" s="373"/>
      <c r="N69" s="373"/>
      <c r="O69" s="373"/>
      <c r="P69" s="373"/>
      <c r="Q69" s="373"/>
      <c r="R69" s="373"/>
      <c r="S69" s="373"/>
      <c r="T69" s="373"/>
    </row>
    <row r="70" spans="2:20" ht="15.75" customHeight="1" x14ac:dyDescent="0.25">
      <c r="B70" s="371"/>
      <c r="C70" s="371"/>
      <c r="D70" s="371"/>
      <c r="E70" s="371"/>
      <c r="F70" s="373"/>
      <c r="G70" s="373"/>
      <c r="H70" s="373"/>
      <c r="I70" s="373"/>
      <c r="J70" s="373"/>
      <c r="K70" s="373"/>
      <c r="L70" s="373"/>
      <c r="M70" s="373"/>
      <c r="N70" s="373"/>
      <c r="O70" s="373"/>
      <c r="P70" s="373"/>
      <c r="Q70" s="373"/>
      <c r="R70" s="373"/>
      <c r="S70" s="373"/>
      <c r="T70" s="373"/>
    </row>
    <row r="71" spans="2:20" x14ac:dyDescent="0.25">
      <c r="B71" s="371" t="s">
        <v>145</v>
      </c>
      <c r="C71" s="371" t="s">
        <v>360</v>
      </c>
      <c r="D71" s="371" t="s">
        <v>412</v>
      </c>
      <c r="E71" s="371"/>
      <c r="F71" s="373" t="s">
        <v>413</v>
      </c>
      <c r="G71" s="373"/>
      <c r="H71" s="373"/>
      <c r="I71" s="373"/>
      <c r="J71" s="373"/>
      <c r="K71" s="373"/>
      <c r="L71" s="373"/>
      <c r="M71" s="373"/>
      <c r="N71" s="373"/>
      <c r="O71" s="373"/>
      <c r="P71" s="373"/>
      <c r="Q71" s="373"/>
      <c r="R71" s="373"/>
      <c r="S71" s="373"/>
      <c r="T71" s="373"/>
    </row>
    <row r="72" spans="2:20" x14ac:dyDescent="0.25">
      <c r="B72" s="371"/>
      <c r="C72" s="371"/>
      <c r="D72" s="371"/>
      <c r="E72" s="371"/>
      <c r="F72" s="373"/>
      <c r="G72" s="373"/>
      <c r="H72" s="373"/>
      <c r="I72" s="373"/>
      <c r="J72" s="373"/>
      <c r="K72" s="373"/>
      <c r="L72" s="373"/>
      <c r="M72" s="373"/>
      <c r="N72" s="373"/>
      <c r="O72" s="373"/>
      <c r="P72" s="373"/>
      <c r="Q72" s="373"/>
      <c r="R72" s="373"/>
      <c r="S72" s="373"/>
      <c r="T72" s="373"/>
    </row>
    <row r="74" spans="2:20" x14ac:dyDescent="0.25">
      <c r="B74" s="222"/>
      <c r="C74" s="222"/>
      <c r="D74" s="222"/>
      <c r="E74" s="222"/>
      <c r="F74" s="222"/>
      <c r="G74" s="222"/>
      <c r="H74" s="222"/>
      <c r="I74" s="222"/>
      <c r="J74" s="222"/>
      <c r="K74" s="222"/>
      <c r="L74" s="222"/>
      <c r="M74" s="222"/>
      <c r="N74" s="222"/>
      <c r="O74" s="222"/>
      <c r="P74" s="222"/>
      <c r="Q74" s="222"/>
      <c r="R74" s="222"/>
      <c r="S74" s="222"/>
      <c r="T74" s="222"/>
    </row>
    <row r="75" spans="2:20" ht="15" customHeight="1" x14ac:dyDescent="0.25"/>
    <row r="76" spans="2:20" ht="15.75" customHeight="1" x14ac:dyDescent="0.25"/>
    <row r="77" spans="2:20" ht="15.75" customHeight="1" x14ac:dyDescent="0.25"/>
    <row r="86" ht="15" customHeight="1" x14ac:dyDescent="0.25"/>
  </sheetData>
  <mergeCells count="87">
    <mergeCell ref="F39:T39"/>
    <mergeCell ref="D39:E39"/>
    <mergeCell ref="D40:E40"/>
    <mergeCell ref="F40:T40"/>
    <mergeCell ref="B71:B72"/>
    <mergeCell ref="C71:C72"/>
    <mergeCell ref="D71:E72"/>
    <mergeCell ref="F71:T72"/>
    <mergeCell ref="B69:B70"/>
    <mergeCell ref="C69:C70"/>
    <mergeCell ref="D69:E70"/>
    <mergeCell ref="F69:T70"/>
    <mergeCell ref="B67:B68"/>
    <mergeCell ref="C67:C68"/>
    <mergeCell ref="D67:E68"/>
    <mergeCell ref="F67:T68"/>
    <mergeCell ref="D64:E64"/>
    <mergeCell ref="F64:T64"/>
    <mergeCell ref="B65:B66"/>
    <mergeCell ref="C65:C66"/>
    <mergeCell ref="D65:E66"/>
    <mergeCell ref="F65:T66"/>
    <mergeCell ref="B61:B62"/>
    <mergeCell ref="C61:C62"/>
    <mergeCell ref="D61:E62"/>
    <mergeCell ref="F61:T62"/>
    <mergeCell ref="D63:E63"/>
    <mergeCell ref="F63:T63"/>
    <mergeCell ref="B57:B58"/>
    <mergeCell ref="C57:C58"/>
    <mergeCell ref="D57:E58"/>
    <mergeCell ref="F57:T58"/>
    <mergeCell ref="B59:B60"/>
    <mergeCell ref="C59:C60"/>
    <mergeCell ref="D59:E60"/>
    <mergeCell ref="F59:T60"/>
    <mergeCell ref="B49:B50"/>
    <mergeCell ref="C49:C50"/>
    <mergeCell ref="D49:E50"/>
    <mergeCell ref="F49:T50"/>
    <mergeCell ref="B55:B56"/>
    <mergeCell ref="C55:C56"/>
    <mergeCell ref="D55:E56"/>
    <mergeCell ref="F55:T56"/>
    <mergeCell ref="B51:B52"/>
    <mergeCell ref="B53:B54"/>
    <mergeCell ref="C51:C52"/>
    <mergeCell ref="C53:C54"/>
    <mergeCell ref="D51:E52"/>
    <mergeCell ref="D53:E54"/>
    <mergeCell ref="F51:T52"/>
    <mergeCell ref="F53:T54"/>
    <mergeCell ref="D36:E36"/>
    <mergeCell ref="D37:E37"/>
    <mergeCell ref="D38:E38"/>
    <mergeCell ref="F35:T35"/>
    <mergeCell ref="F36:T36"/>
    <mergeCell ref="F37:T37"/>
    <mergeCell ref="F38:T38"/>
    <mergeCell ref="F33:T34"/>
    <mergeCell ref="B33:B34"/>
    <mergeCell ref="C33:C34"/>
    <mergeCell ref="D33:E34"/>
    <mergeCell ref="D35:E35"/>
    <mergeCell ref="B7:C7"/>
    <mergeCell ref="B25:C25"/>
    <mergeCell ref="F7:J7"/>
    <mergeCell ref="F8:J8"/>
    <mergeCell ref="F9:J9"/>
    <mergeCell ref="F10:J10"/>
    <mergeCell ref="F11:J11"/>
    <mergeCell ref="F12:J12"/>
    <mergeCell ref="E13:E28"/>
    <mergeCell ref="F13:J28"/>
    <mergeCell ref="B10:C10"/>
    <mergeCell ref="B41:B42"/>
    <mergeCell ref="C41:C42"/>
    <mergeCell ref="D41:E42"/>
    <mergeCell ref="F41:T42"/>
    <mergeCell ref="B47:B48"/>
    <mergeCell ref="C47:C48"/>
    <mergeCell ref="D47:E48"/>
    <mergeCell ref="F47:T48"/>
    <mergeCell ref="B43:B46"/>
    <mergeCell ref="C43:C46"/>
    <mergeCell ref="D43:E46"/>
    <mergeCell ref="F43:T46"/>
  </mergeCells>
  <dataValidations count="1">
    <dataValidation type="list" allowBlank="1" showInputMessage="1" showErrorMessage="1" sqref="B8:B9">
      <formula1>"Best Case, Base Case, Worst Case"</formula1>
    </dataValidation>
  </dataValidations>
  <hyperlinks>
    <hyperlink ref="F12" r:id="rId1" display="www.aarti-industries.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G33"/>
  <sheetViews>
    <sheetView showGridLines="0" workbookViewId="0">
      <selection activeCell="J9" sqref="J9"/>
    </sheetView>
  </sheetViews>
  <sheetFormatPr defaultRowHeight="15" x14ac:dyDescent="0.25"/>
  <cols>
    <col min="1" max="1" width="1.85546875" customWidth="1"/>
    <col min="2" max="2" width="56.28515625" bestFit="1" customWidth="1"/>
    <col min="3" max="3" width="10.7109375" bestFit="1" customWidth="1"/>
    <col min="4" max="7" width="12.28515625" bestFit="1" customWidth="1"/>
  </cols>
  <sheetData>
    <row r="5" spans="1:7" x14ac:dyDescent="0.25">
      <c r="B5" s="422" t="s">
        <v>352</v>
      </c>
      <c r="C5" s="422"/>
      <c r="D5" s="422"/>
      <c r="E5" s="422"/>
      <c r="F5" s="422"/>
      <c r="G5" s="422"/>
    </row>
    <row r="6" spans="1:7" x14ac:dyDescent="0.25">
      <c r="B6" s="70" t="s">
        <v>353</v>
      </c>
    </row>
    <row r="7" spans="1:7" x14ac:dyDescent="0.25">
      <c r="A7" t="s">
        <v>20</v>
      </c>
      <c r="B7" s="423" t="s">
        <v>17</v>
      </c>
      <c r="C7" s="346">
        <v>2021</v>
      </c>
      <c r="D7" s="346">
        <f>C7+1</f>
        <v>2022</v>
      </c>
      <c r="E7" s="346">
        <f t="shared" ref="E7:G7" si="0">D7+1</f>
        <v>2023</v>
      </c>
      <c r="F7" s="346">
        <f t="shared" si="0"/>
        <v>2024</v>
      </c>
      <c r="G7" s="346">
        <f t="shared" si="0"/>
        <v>2025</v>
      </c>
    </row>
    <row r="8" spans="1:7" x14ac:dyDescent="0.25">
      <c r="B8" s="424"/>
      <c r="C8" s="347" t="s">
        <v>291</v>
      </c>
      <c r="D8" s="347" t="s">
        <v>291</v>
      </c>
      <c r="E8" s="347" t="s">
        <v>291</v>
      </c>
      <c r="F8" s="347" t="s">
        <v>291</v>
      </c>
      <c r="G8" s="347" t="s">
        <v>291</v>
      </c>
    </row>
    <row r="9" spans="1:7" x14ac:dyDescent="0.25">
      <c r="B9" s="1" t="s">
        <v>0</v>
      </c>
    </row>
    <row r="10" spans="1:7" x14ac:dyDescent="0.25">
      <c r="B10" s="2" t="s">
        <v>1</v>
      </c>
      <c r="C10" s="319">
        <v>77341</v>
      </c>
      <c r="D10" s="319">
        <v>109365</v>
      </c>
      <c r="E10" s="319">
        <v>142929</v>
      </c>
      <c r="F10" s="319">
        <v>162466</v>
      </c>
      <c r="G10" s="319">
        <v>206084</v>
      </c>
    </row>
    <row r="11" spans="1:7" x14ac:dyDescent="0.25">
      <c r="B11" t="s">
        <v>2</v>
      </c>
      <c r="C11" s="319">
        <v>2424</v>
      </c>
      <c r="D11" s="319">
        <v>3710</v>
      </c>
      <c r="E11" s="319">
        <v>2111</v>
      </c>
      <c r="F11" s="319">
        <v>8537</v>
      </c>
      <c r="G11" s="319">
        <v>10138</v>
      </c>
    </row>
    <row r="12" spans="1:7" x14ac:dyDescent="0.25">
      <c r="B12" s="8" t="s">
        <v>3</v>
      </c>
      <c r="C12" s="320">
        <f>SUM(C10:C11)</f>
        <v>79765</v>
      </c>
      <c r="D12" s="320">
        <f t="shared" ref="D12:G12" si="1">SUM(D10:D11)</f>
        <v>113075</v>
      </c>
      <c r="E12" s="320">
        <f t="shared" si="1"/>
        <v>145040</v>
      </c>
      <c r="F12" s="320">
        <f t="shared" si="1"/>
        <v>171003</v>
      </c>
      <c r="G12" s="320">
        <f t="shared" si="1"/>
        <v>216222</v>
      </c>
    </row>
    <row r="13" spans="1:7" x14ac:dyDescent="0.25">
      <c r="C13" s="150"/>
      <c r="D13" s="150"/>
      <c r="E13" s="150"/>
      <c r="F13" s="150"/>
      <c r="G13" s="150"/>
    </row>
    <row r="14" spans="1:7" x14ac:dyDescent="0.25">
      <c r="B14" s="1" t="s">
        <v>4</v>
      </c>
      <c r="C14" s="150"/>
      <c r="D14" s="150"/>
      <c r="E14" s="150"/>
      <c r="F14" s="150"/>
      <c r="G14" s="150"/>
    </row>
    <row r="15" spans="1:7" x14ac:dyDescent="0.25">
      <c r="B15" t="s">
        <v>5</v>
      </c>
      <c r="C15" s="319">
        <v>45238</v>
      </c>
      <c r="D15" s="319">
        <v>62000</v>
      </c>
      <c r="E15" s="319">
        <v>80681</v>
      </c>
      <c r="F15" s="319">
        <v>101469</v>
      </c>
      <c r="G15" s="319">
        <v>136534</v>
      </c>
    </row>
    <row r="16" spans="1:7" x14ac:dyDescent="0.25">
      <c r="B16" t="s">
        <v>6</v>
      </c>
      <c r="C16" s="319">
        <v>2274</v>
      </c>
      <c r="D16" s="319">
        <v>3288</v>
      </c>
      <c r="E16" s="319">
        <v>4191</v>
      </c>
      <c r="F16" s="319">
        <v>5829</v>
      </c>
      <c r="G16" s="319">
        <v>8870</v>
      </c>
    </row>
    <row r="17" spans="2:7" x14ac:dyDescent="0.25">
      <c r="B17" t="s">
        <v>7</v>
      </c>
      <c r="C17" s="319">
        <v>697</v>
      </c>
      <c r="D17" s="319">
        <v>995</v>
      </c>
      <c r="E17" s="319">
        <v>2186</v>
      </c>
      <c r="F17" s="319">
        <v>4227</v>
      </c>
      <c r="G17" s="319">
        <v>9948</v>
      </c>
    </row>
    <row r="18" spans="2:7" x14ac:dyDescent="0.25">
      <c r="B18" t="s">
        <v>8</v>
      </c>
      <c r="C18" s="319">
        <v>12954</v>
      </c>
      <c r="D18" s="319">
        <v>21598</v>
      </c>
      <c r="E18" s="319">
        <v>26362</v>
      </c>
      <c r="F18" s="319">
        <v>26882</v>
      </c>
      <c r="G18" s="319">
        <v>32518</v>
      </c>
    </row>
    <row r="19" spans="2:7" x14ac:dyDescent="0.25">
      <c r="B19" t="s">
        <v>18</v>
      </c>
      <c r="C19" s="319"/>
      <c r="D19" s="319"/>
      <c r="E19" s="319"/>
      <c r="F19" s="319">
        <v>530</v>
      </c>
      <c r="G19" s="319">
        <v>1590</v>
      </c>
    </row>
    <row r="20" spans="2:7" x14ac:dyDescent="0.25">
      <c r="B20" s="8" t="s">
        <v>9</v>
      </c>
      <c r="C20" s="320">
        <f>SUM(C15:C19)</f>
        <v>61163</v>
      </c>
      <c r="D20" s="320">
        <f t="shared" ref="D20:G20" si="2">SUM(D15:D19)</f>
        <v>87881</v>
      </c>
      <c r="E20" s="320">
        <f t="shared" si="2"/>
        <v>113420</v>
      </c>
      <c r="F20" s="320">
        <f t="shared" si="2"/>
        <v>138937</v>
      </c>
      <c r="G20" s="320">
        <f t="shared" si="2"/>
        <v>189460</v>
      </c>
    </row>
    <row r="21" spans="2:7" x14ac:dyDescent="0.25">
      <c r="C21" s="150"/>
      <c r="D21" s="150"/>
      <c r="E21" s="150"/>
      <c r="F21" s="150"/>
      <c r="G21" s="150"/>
    </row>
    <row r="22" spans="2:7" x14ac:dyDescent="0.25">
      <c r="B22" s="8" t="s">
        <v>10</v>
      </c>
      <c r="C22" s="320">
        <f>C12-C20</f>
        <v>18602</v>
      </c>
      <c r="D22" s="320">
        <f t="shared" ref="D22:G22" si="3">D12-D20</f>
        <v>25194</v>
      </c>
      <c r="E22" s="320">
        <f t="shared" si="3"/>
        <v>31620</v>
      </c>
      <c r="F22" s="320">
        <f t="shared" si="3"/>
        <v>32066</v>
      </c>
      <c r="G22" s="320">
        <f t="shared" si="3"/>
        <v>26762</v>
      </c>
    </row>
    <row r="23" spans="2:7" x14ac:dyDescent="0.25">
      <c r="B23" t="s">
        <v>19</v>
      </c>
      <c r="C23" s="319"/>
      <c r="D23" s="319">
        <v>-609</v>
      </c>
      <c r="E23" s="319">
        <v>-634</v>
      </c>
      <c r="F23" s="319">
        <v>1402</v>
      </c>
      <c r="G23" s="319">
        <v>-1216</v>
      </c>
    </row>
    <row r="24" spans="2:7" x14ac:dyDescent="0.25">
      <c r="B24" s="8" t="s">
        <v>11</v>
      </c>
      <c r="C24" s="320">
        <f>SUM(C22:C23)</f>
        <v>18602</v>
      </c>
      <c r="D24" s="320">
        <f t="shared" ref="D24:G24" si="4">SUM(D22:D23)</f>
        <v>24585</v>
      </c>
      <c r="E24" s="320">
        <f t="shared" si="4"/>
        <v>30986</v>
      </c>
      <c r="F24" s="320">
        <f t="shared" si="4"/>
        <v>33468</v>
      </c>
      <c r="G24" s="320">
        <f t="shared" si="4"/>
        <v>25546</v>
      </c>
    </row>
    <row r="25" spans="2:7" x14ac:dyDescent="0.25">
      <c r="C25" s="150"/>
      <c r="D25" s="150"/>
      <c r="E25" s="150"/>
      <c r="F25" s="150"/>
      <c r="G25" s="150"/>
    </row>
    <row r="26" spans="2:7" x14ac:dyDescent="0.25">
      <c r="B26" s="1" t="s">
        <v>12</v>
      </c>
      <c r="C26" s="150"/>
      <c r="D26" s="150"/>
      <c r="E26" s="150"/>
      <c r="F26" s="150"/>
      <c r="G26" s="150"/>
    </row>
    <row r="27" spans="2:7" x14ac:dyDescent="0.25">
      <c r="B27" t="s">
        <v>13</v>
      </c>
      <c r="C27" s="319">
        <v>3527</v>
      </c>
      <c r="D27" s="319">
        <v>6266</v>
      </c>
      <c r="E27" s="319">
        <v>8508</v>
      </c>
      <c r="F27" s="319">
        <v>9518</v>
      </c>
      <c r="G27" s="319">
        <v>8443</v>
      </c>
    </row>
    <row r="28" spans="2:7" x14ac:dyDescent="0.25">
      <c r="B28" t="s">
        <v>14</v>
      </c>
      <c r="C28" s="319"/>
      <c r="D28" s="319">
        <v>44</v>
      </c>
      <c r="E28" s="319"/>
      <c r="F28" s="319"/>
      <c r="G28" s="319"/>
    </row>
    <row r="29" spans="2:7" x14ac:dyDescent="0.25">
      <c r="B29" t="s">
        <v>15</v>
      </c>
      <c r="C29" s="319">
        <v>-1171</v>
      </c>
      <c r="D29" s="319">
        <v>155</v>
      </c>
      <c r="E29" s="319">
        <v>-621</v>
      </c>
      <c r="F29" s="319">
        <v>-889</v>
      </c>
      <c r="G29" s="319">
        <v>-1363</v>
      </c>
    </row>
    <row r="30" spans="2:7" x14ac:dyDescent="0.25">
      <c r="C30" s="150"/>
      <c r="D30" s="150"/>
      <c r="E30" s="150"/>
      <c r="F30" s="150"/>
      <c r="G30" s="150"/>
    </row>
    <row r="31" spans="2:7" x14ac:dyDescent="0.25">
      <c r="B31" s="8" t="s">
        <v>16</v>
      </c>
      <c r="C31" s="320">
        <f>C24-SUM(C27:C29)</f>
        <v>16246</v>
      </c>
      <c r="D31" s="320">
        <f>D24-SUM(D27:D29)</f>
        <v>18120</v>
      </c>
      <c r="E31" s="320">
        <f t="shared" ref="E31:G31" si="5">E24-SUM(E27:E29)</f>
        <v>23099</v>
      </c>
      <c r="F31" s="320">
        <f t="shared" si="5"/>
        <v>24839</v>
      </c>
      <c r="G31" s="320">
        <f t="shared" si="5"/>
        <v>18466</v>
      </c>
    </row>
    <row r="33" spans="2:7" x14ac:dyDescent="0.25">
      <c r="B33" s="222"/>
      <c r="C33" s="222"/>
      <c r="D33" s="222"/>
      <c r="E33" s="222"/>
      <c r="F33" s="222"/>
      <c r="G33" s="222"/>
    </row>
  </sheetData>
  <mergeCells count="2">
    <mergeCell ref="B5:G5"/>
    <mergeCell ref="B7:B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G79"/>
  <sheetViews>
    <sheetView showGridLines="0" workbookViewId="0">
      <selection activeCell="G8" sqref="G8"/>
    </sheetView>
  </sheetViews>
  <sheetFormatPr defaultRowHeight="15" x14ac:dyDescent="0.25"/>
  <cols>
    <col min="1" max="1" width="1.85546875" customWidth="1"/>
    <col min="2" max="2" width="81.85546875" bestFit="1" customWidth="1"/>
    <col min="3" max="3" width="10.7109375" bestFit="1" customWidth="1"/>
    <col min="4" max="7" width="12.28515625" bestFit="1" customWidth="1"/>
  </cols>
  <sheetData>
    <row r="5" spans="1:7" x14ac:dyDescent="0.25">
      <c r="B5" s="422" t="s">
        <v>354</v>
      </c>
      <c r="C5" s="422"/>
      <c r="D5" s="422"/>
      <c r="E5" s="422"/>
      <c r="F5" s="422"/>
      <c r="G5" s="422"/>
    </row>
    <row r="6" spans="1:7" x14ac:dyDescent="0.25">
      <c r="B6" s="70" t="s">
        <v>353</v>
      </c>
    </row>
    <row r="7" spans="1:7" x14ac:dyDescent="0.25">
      <c r="A7" t="s">
        <v>20</v>
      </c>
      <c r="B7" s="423" t="s">
        <v>17</v>
      </c>
      <c r="C7" s="346">
        <v>2021</v>
      </c>
      <c r="D7" s="346">
        <f>C7+1</f>
        <v>2022</v>
      </c>
      <c r="E7" s="346">
        <f t="shared" ref="E7:G7" si="0">D7+1</f>
        <v>2023</v>
      </c>
      <c r="F7" s="346">
        <f t="shared" si="0"/>
        <v>2024</v>
      </c>
      <c r="G7" s="346">
        <f t="shared" si="0"/>
        <v>2025</v>
      </c>
    </row>
    <row r="8" spans="1:7" x14ac:dyDescent="0.25">
      <c r="B8" s="424"/>
      <c r="C8" s="347" t="s">
        <v>291</v>
      </c>
      <c r="D8" s="347" t="s">
        <v>291</v>
      </c>
      <c r="E8" s="347" t="s">
        <v>291</v>
      </c>
      <c r="F8" s="347" t="s">
        <v>291</v>
      </c>
      <c r="G8" s="347" t="s">
        <v>291</v>
      </c>
    </row>
    <row r="9" spans="1:7" x14ac:dyDescent="0.25">
      <c r="B9" s="1" t="s">
        <v>21</v>
      </c>
    </row>
    <row r="10" spans="1:7" x14ac:dyDescent="0.25">
      <c r="B10" s="1" t="s">
        <v>22</v>
      </c>
      <c r="C10" s="4"/>
      <c r="D10" s="4"/>
      <c r="E10" s="4"/>
      <c r="F10" s="4"/>
      <c r="G10" s="4"/>
    </row>
    <row r="11" spans="1:7" x14ac:dyDescent="0.25">
      <c r="B11" t="s">
        <v>23</v>
      </c>
      <c r="C11" s="319">
        <v>69</v>
      </c>
      <c r="D11" s="319">
        <v>78</v>
      </c>
      <c r="E11" s="319">
        <v>13278</v>
      </c>
      <c r="F11" s="319">
        <v>13778</v>
      </c>
      <c r="G11" s="319">
        <v>14096</v>
      </c>
    </row>
    <row r="12" spans="1:7" x14ac:dyDescent="0.25">
      <c r="B12" t="s">
        <v>24</v>
      </c>
      <c r="C12" s="319">
        <v>14</v>
      </c>
      <c r="D12" s="319">
        <v>0</v>
      </c>
      <c r="E12" s="319">
        <v>185</v>
      </c>
      <c r="F12" s="319">
        <v>9</v>
      </c>
      <c r="G12" s="319">
        <v>0</v>
      </c>
    </row>
    <row r="13" spans="1:7" x14ac:dyDescent="0.25">
      <c r="B13" t="s">
        <v>25</v>
      </c>
      <c r="C13" s="319">
        <v>7644</v>
      </c>
      <c r="D13" s="319">
        <v>7896</v>
      </c>
      <c r="E13" s="319">
        <v>13913</v>
      </c>
      <c r="F13" s="319">
        <v>14032</v>
      </c>
      <c r="G13" s="319">
        <v>76230</v>
      </c>
    </row>
    <row r="14" spans="1:7" x14ac:dyDescent="0.25">
      <c r="B14" t="s">
        <v>26</v>
      </c>
      <c r="C14" s="319">
        <v>2966</v>
      </c>
      <c r="D14" s="319">
        <v>2396</v>
      </c>
      <c r="E14" s="319">
        <v>10182</v>
      </c>
      <c r="F14" s="319">
        <v>7786</v>
      </c>
      <c r="G14" s="319">
        <v>23831</v>
      </c>
    </row>
    <row r="15" spans="1:7" x14ac:dyDescent="0.25">
      <c r="B15" t="s">
        <v>27</v>
      </c>
      <c r="C15" s="319"/>
      <c r="D15" s="319">
        <v>35</v>
      </c>
      <c r="E15" s="319">
        <v>81</v>
      </c>
      <c r="F15" s="319">
        <v>22</v>
      </c>
      <c r="G15" s="319">
        <v>18</v>
      </c>
    </row>
    <row r="16" spans="1:7" x14ac:dyDescent="0.25">
      <c r="B16" t="s">
        <v>28</v>
      </c>
      <c r="C16" s="319">
        <v>2150</v>
      </c>
      <c r="D16" s="319">
        <v>5390</v>
      </c>
      <c r="E16" s="319">
        <v>5786</v>
      </c>
      <c r="F16" s="319">
        <v>5698</v>
      </c>
      <c r="G16" s="319">
        <v>6958</v>
      </c>
    </row>
    <row r="17" spans="2:7" x14ac:dyDescent="0.25">
      <c r="B17" s="1" t="s">
        <v>29</v>
      </c>
      <c r="C17" s="319"/>
      <c r="D17" s="319"/>
      <c r="E17" s="319"/>
      <c r="F17" s="319"/>
      <c r="G17" s="319"/>
    </row>
    <row r="18" spans="2:7" x14ac:dyDescent="0.25">
      <c r="B18" s="6" t="s">
        <v>30</v>
      </c>
      <c r="C18" s="319">
        <v>0</v>
      </c>
      <c r="D18" s="319">
        <v>762</v>
      </c>
      <c r="E18" s="319">
        <v>1296</v>
      </c>
      <c r="F18" s="319">
        <v>0</v>
      </c>
      <c r="G18" s="319">
        <v>0</v>
      </c>
    </row>
    <row r="19" spans="2:7" x14ac:dyDescent="0.25">
      <c r="B19" s="6" t="s">
        <v>31</v>
      </c>
      <c r="C19" s="319">
        <v>2458</v>
      </c>
      <c r="D19" s="319">
        <v>1827</v>
      </c>
      <c r="E19" s="319">
        <v>9389</v>
      </c>
      <c r="F19" s="319">
        <v>2480</v>
      </c>
      <c r="G19" s="319">
        <v>7358</v>
      </c>
    </row>
    <row r="20" spans="2:7" x14ac:dyDescent="0.25">
      <c r="B20" t="s">
        <v>32</v>
      </c>
      <c r="C20" s="319">
        <v>1408</v>
      </c>
      <c r="D20" s="319">
        <v>680</v>
      </c>
      <c r="E20" s="319">
        <v>1310</v>
      </c>
      <c r="F20" s="319">
        <v>1529</v>
      </c>
      <c r="G20" s="319">
        <v>3537</v>
      </c>
    </row>
    <row r="21" spans="2:7" x14ac:dyDescent="0.25">
      <c r="B21" t="s">
        <v>33</v>
      </c>
      <c r="C21" s="319">
        <v>7</v>
      </c>
      <c r="D21" s="319">
        <v>1</v>
      </c>
      <c r="E21" s="319">
        <v>119</v>
      </c>
      <c r="F21" s="319">
        <v>32</v>
      </c>
      <c r="G21" s="319">
        <v>170</v>
      </c>
    </row>
    <row r="22" spans="2:7" x14ac:dyDescent="0.25">
      <c r="B22" t="s">
        <v>34</v>
      </c>
      <c r="C22" s="319">
        <v>1026</v>
      </c>
      <c r="D22" s="319">
        <v>697</v>
      </c>
      <c r="E22" s="319">
        <v>1246</v>
      </c>
      <c r="F22" s="319">
        <v>1636</v>
      </c>
      <c r="G22" s="319">
        <v>3613</v>
      </c>
    </row>
    <row r="23" spans="2:7" x14ac:dyDescent="0.25">
      <c r="C23" s="150"/>
      <c r="D23" s="150"/>
      <c r="E23" s="150"/>
      <c r="F23" s="150"/>
      <c r="G23" s="150"/>
    </row>
    <row r="24" spans="2:7" x14ac:dyDescent="0.25">
      <c r="B24" s="8" t="s">
        <v>35</v>
      </c>
      <c r="C24" s="320">
        <f>SUM(C11:C22)</f>
        <v>17742</v>
      </c>
      <c r="D24" s="320">
        <f t="shared" ref="D24:G24" si="1">SUM(D11:D22)</f>
        <v>19762</v>
      </c>
      <c r="E24" s="320">
        <f t="shared" si="1"/>
        <v>56785</v>
      </c>
      <c r="F24" s="320">
        <f t="shared" si="1"/>
        <v>47002</v>
      </c>
      <c r="G24" s="320">
        <f t="shared" si="1"/>
        <v>135811</v>
      </c>
    </row>
    <row r="25" spans="2:7" x14ac:dyDescent="0.25">
      <c r="C25" s="150"/>
      <c r="D25" s="150"/>
      <c r="E25" s="150"/>
      <c r="F25" s="150"/>
      <c r="G25" s="150"/>
    </row>
    <row r="26" spans="2:7" x14ac:dyDescent="0.25">
      <c r="B26" s="1" t="s">
        <v>36</v>
      </c>
      <c r="C26" s="150"/>
      <c r="D26" s="150"/>
      <c r="E26" s="150"/>
      <c r="F26" s="150"/>
      <c r="G26" s="150"/>
    </row>
    <row r="27" spans="2:7" x14ac:dyDescent="0.25">
      <c r="B27" s="1" t="s">
        <v>29</v>
      </c>
      <c r="C27" s="150"/>
      <c r="D27" s="150"/>
      <c r="E27" s="150"/>
      <c r="F27" s="150"/>
      <c r="G27" s="150"/>
    </row>
    <row r="28" spans="2:7" x14ac:dyDescent="0.25">
      <c r="B28" s="6" t="s">
        <v>30</v>
      </c>
      <c r="C28" s="319">
        <v>39148</v>
      </c>
      <c r="D28" s="319">
        <v>46400</v>
      </c>
      <c r="E28" s="319">
        <v>0</v>
      </c>
      <c r="F28" s="319">
        <v>0</v>
      </c>
      <c r="G28" s="319">
        <v>35039</v>
      </c>
    </row>
    <row r="29" spans="2:7" x14ac:dyDescent="0.25">
      <c r="B29" s="6" t="s">
        <v>37</v>
      </c>
      <c r="C29" s="319">
        <v>12192</v>
      </c>
      <c r="D29" s="319">
        <v>16738</v>
      </c>
      <c r="E29" s="319">
        <v>21319</v>
      </c>
      <c r="F29" s="319">
        <v>25444</v>
      </c>
      <c r="G29" s="319">
        <v>35813</v>
      </c>
    </row>
    <row r="30" spans="2:7" x14ac:dyDescent="0.25">
      <c r="B30" s="6" t="s">
        <v>38</v>
      </c>
      <c r="C30" s="319">
        <f>CashFlow!C79</f>
        <v>8583</v>
      </c>
      <c r="D30" s="319">
        <v>6729</v>
      </c>
      <c r="E30" s="319">
        <v>-120</v>
      </c>
      <c r="F30" s="319">
        <v>10897</v>
      </c>
      <c r="G30" s="319">
        <v>11912</v>
      </c>
    </row>
    <row r="31" spans="2:7" x14ac:dyDescent="0.25">
      <c r="B31" s="6" t="s">
        <v>39</v>
      </c>
      <c r="C31" s="319">
        <v>5935</v>
      </c>
      <c r="D31" s="319">
        <v>10071</v>
      </c>
      <c r="E31" s="319">
        <f>62184+7119</f>
        <v>69303</v>
      </c>
      <c r="F31" s="319">
        <f>122183+573</f>
        <v>122756</v>
      </c>
      <c r="G31" s="319">
        <v>93911</v>
      </c>
    </row>
    <row r="32" spans="2:7" x14ac:dyDescent="0.25">
      <c r="B32" s="6" t="s">
        <v>40</v>
      </c>
      <c r="C32" s="319">
        <v>14</v>
      </c>
      <c r="D32" s="319">
        <v>4</v>
      </c>
      <c r="E32" s="319">
        <v>64</v>
      </c>
      <c r="F32" s="319">
        <v>37</v>
      </c>
      <c r="G32" s="319">
        <v>12</v>
      </c>
    </row>
    <row r="33" spans="2:7" x14ac:dyDescent="0.25">
      <c r="B33" s="6" t="s">
        <v>31</v>
      </c>
      <c r="C33" s="319">
        <v>6779</v>
      </c>
      <c r="D33" s="319">
        <v>9405</v>
      </c>
      <c r="E33" s="319">
        <v>12237</v>
      </c>
      <c r="F33" s="319">
        <v>13850</v>
      </c>
      <c r="G33" s="319">
        <v>17726</v>
      </c>
    </row>
    <row r="34" spans="2:7" x14ac:dyDescent="0.25">
      <c r="B34" t="s">
        <v>33</v>
      </c>
      <c r="C34" s="319">
        <v>1802</v>
      </c>
      <c r="D34" s="319">
        <v>3392</v>
      </c>
      <c r="E34" s="319">
        <v>4495</v>
      </c>
      <c r="F34" s="319">
        <v>4793</v>
      </c>
      <c r="G34" s="319">
        <v>5682</v>
      </c>
    </row>
    <row r="35" spans="2:7" x14ac:dyDescent="0.25">
      <c r="C35" s="150"/>
      <c r="D35" s="150"/>
      <c r="E35" s="150"/>
      <c r="F35" s="150"/>
      <c r="G35" s="150"/>
    </row>
    <row r="36" spans="2:7" x14ac:dyDescent="0.25">
      <c r="B36" s="8" t="s">
        <v>41</v>
      </c>
      <c r="C36" s="320">
        <f>SUM(C28:C35)</f>
        <v>74453</v>
      </c>
      <c r="D36" s="320">
        <f t="shared" ref="D36:G36" si="2">SUM(D28:D35)</f>
        <v>92739</v>
      </c>
      <c r="E36" s="320">
        <f t="shared" si="2"/>
        <v>107298</v>
      </c>
      <c r="F36" s="320">
        <f t="shared" si="2"/>
        <v>177777</v>
      </c>
      <c r="G36" s="320">
        <f t="shared" si="2"/>
        <v>200095</v>
      </c>
    </row>
    <row r="37" spans="2:7" x14ac:dyDescent="0.25">
      <c r="C37" s="150"/>
      <c r="D37" s="150"/>
      <c r="E37" s="150"/>
      <c r="F37" s="150"/>
      <c r="G37" s="150"/>
    </row>
    <row r="38" spans="2:7" x14ac:dyDescent="0.25">
      <c r="B38" s="8" t="s">
        <v>42</v>
      </c>
      <c r="C38" s="320">
        <f>C36+C24</f>
        <v>92195</v>
      </c>
      <c r="D38" s="320">
        <f t="shared" ref="D38:G38" si="3">D36+D24</f>
        <v>112501</v>
      </c>
      <c r="E38" s="320">
        <f t="shared" si="3"/>
        <v>164083</v>
      </c>
      <c r="F38" s="320">
        <f t="shared" si="3"/>
        <v>224779</v>
      </c>
      <c r="G38" s="320">
        <f t="shared" si="3"/>
        <v>335906</v>
      </c>
    </row>
    <row r="39" spans="2:7" x14ac:dyDescent="0.25">
      <c r="C39" s="150"/>
      <c r="D39" s="150"/>
      <c r="E39" s="150"/>
      <c r="F39" s="150"/>
      <c r="G39" s="150"/>
    </row>
    <row r="40" spans="2:7" x14ac:dyDescent="0.25">
      <c r="B40" s="1" t="s">
        <v>43</v>
      </c>
      <c r="C40" s="150"/>
      <c r="D40" s="150"/>
      <c r="E40" s="150"/>
      <c r="F40" s="150"/>
      <c r="G40" s="150"/>
    </row>
    <row r="41" spans="2:7" x14ac:dyDescent="0.25">
      <c r="B41" s="1" t="s">
        <v>44</v>
      </c>
      <c r="C41" s="150"/>
      <c r="D41" s="150"/>
      <c r="E41" s="150"/>
      <c r="F41" s="150"/>
      <c r="G41" s="150"/>
    </row>
    <row r="42" spans="2:7" x14ac:dyDescent="0.25">
      <c r="B42" t="s">
        <v>45</v>
      </c>
      <c r="C42" s="319">
        <v>2837</v>
      </c>
      <c r="D42" s="319">
        <v>2854</v>
      </c>
      <c r="E42" s="319">
        <v>2866</v>
      </c>
      <c r="F42" s="319">
        <v>2987</v>
      </c>
      <c r="G42" s="319">
        <v>3001</v>
      </c>
    </row>
    <row r="43" spans="2:7" x14ac:dyDescent="0.25">
      <c r="B43" t="s">
        <v>46</v>
      </c>
      <c r="C43" s="319">
        <v>51762</v>
      </c>
      <c r="D43" s="319">
        <v>63726</v>
      </c>
      <c r="E43" s="319">
        <v>81016</v>
      </c>
      <c r="F43" s="319">
        <v>145037</v>
      </c>
      <c r="G43" s="319">
        <v>154457</v>
      </c>
    </row>
    <row r="44" spans="2:7" x14ac:dyDescent="0.25">
      <c r="B44" s="1" t="s">
        <v>47</v>
      </c>
      <c r="C44" s="321">
        <f>SUM(C42:C43)</f>
        <v>54599</v>
      </c>
      <c r="D44" s="321">
        <f>SUM(D42:D43)</f>
        <v>66580</v>
      </c>
      <c r="E44" s="321">
        <f>SUM(E42:E43)</f>
        <v>83882</v>
      </c>
      <c r="F44" s="321">
        <f>SUM(F42:F43)</f>
        <v>148024</v>
      </c>
      <c r="G44" s="321">
        <f>SUM(G42:G43)</f>
        <v>157458</v>
      </c>
    </row>
    <row r="45" spans="2:7" x14ac:dyDescent="0.25">
      <c r="B45" s="8" t="s">
        <v>48</v>
      </c>
      <c r="C45" s="320">
        <f>SUM(C44:C44)</f>
        <v>54599</v>
      </c>
      <c r="D45" s="320">
        <f>SUM(D44:D44)</f>
        <v>66580</v>
      </c>
      <c r="E45" s="320">
        <f>SUM(E44:E44)</f>
        <v>83882</v>
      </c>
      <c r="F45" s="320">
        <f>SUM(F44:F44)</f>
        <v>148024</v>
      </c>
      <c r="G45" s="320">
        <f>SUM(G44:G44)</f>
        <v>157458</v>
      </c>
    </row>
    <row r="46" spans="2:7" x14ac:dyDescent="0.25">
      <c r="C46" s="150"/>
      <c r="D46" s="150"/>
      <c r="E46" s="150"/>
      <c r="F46" s="150"/>
      <c r="G46" s="150"/>
    </row>
    <row r="47" spans="2:7" x14ac:dyDescent="0.25">
      <c r="B47" s="1" t="s">
        <v>49</v>
      </c>
      <c r="C47" s="150"/>
      <c r="D47" s="150"/>
      <c r="E47" s="150"/>
      <c r="F47" s="150"/>
      <c r="G47" s="150"/>
    </row>
    <row r="48" spans="2:7" x14ac:dyDescent="0.25">
      <c r="B48" s="1" t="s">
        <v>50</v>
      </c>
      <c r="C48" s="150"/>
      <c r="D48" s="150"/>
      <c r="E48" s="150"/>
      <c r="F48" s="150"/>
      <c r="G48" s="150"/>
    </row>
    <row r="49" spans="2:7" x14ac:dyDescent="0.25">
      <c r="B49" s="1" t="s">
        <v>51</v>
      </c>
      <c r="C49" s="150"/>
      <c r="D49" s="150"/>
      <c r="E49" s="150"/>
      <c r="F49" s="150"/>
      <c r="G49" s="150"/>
    </row>
    <row r="50" spans="2:7" x14ac:dyDescent="0.25">
      <c r="B50" s="6" t="s">
        <v>52</v>
      </c>
      <c r="C50" s="319">
        <v>3661</v>
      </c>
      <c r="D50" s="319">
        <v>1724</v>
      </c>
      <c r="E50" s="319">
        <v>11278</v>
      </c>
      <c r="F50" s="319">
        <v>10445</v>
      </c>
      <c r="G50" s="319">
        <v>33537</v>
      </c>
    </row>
    <row r="51" spans="2:7" x14ac:dyDescent="0.25">
      <c r="B51" s="6" t="s">
        <v>53</v>
      </c>
      <c r="C51" s="319">
        <v>1223</v>
      </c>
      <c r="D51" s="319">
        <v>4119</v>
      </c>
      <c r="E51" s="319">
        <v>4761</v>
      </c>
      <c r="F51" s="319">
        <v>4570</v>
      </c>
      <c r="G51" s="319">
        <v>5010</v>
      </c>
    </row>
    <row r="52" spans="2:7" x14ac:dyDescent="0.25">
      <c r="B52" s="6" t="s">
        <v>54</v>
      </c>
      <c r="C52" s="319">
        <v>2455</v>
      </c>
      <c r="D52" s="319">
        <v>1291</v>
      </c>
      <c r="E52" s="319">
        <v>1996</v>
      </c>
      <c r="F52" s="319">
        <v>401</v>
      </c>
      <c r="G52" s="319">
        <v>8330</v>
      </c>
    </row>
    <row r="53" spans="2:7" x14ac:dyDescent="0.25">
      <c r="B53" t="s">
        <v>55</v>
      </c>
      <c r="C53" s="319">
        <v>1653</v>
      </c>
      <c r="D53" s="319">
        <v>1618</v>
      </c>
      <c r="E53" s="319">
        <v>2466</v>
      </c>
      <c r="F53" s="319">
        <v>3338</v>
      </c>
      <c r="G53" s="319">
        <v>5940</v>
      </c>
    </row>
    <row r="54" spans="2:7" x14ac:dyDescent="0.25">
      <c r="B54" t="s">
        <v>56</v>
      </c>
      <c r="C54" s="319">
        <v>725</v>
      </c>
      <c r="D54" s="319">
        <v>468</v>
      </c>
      <c r="E54" s="319">
        <v>2060</v>
      </c>
      <c r="F54" s="319">
        <v>1303</v>
      </c>
      <c r="G54" s="319">
        <v>4841</v>
      </c>
    </row>
    <row r="55" spans="2:7" x14ac:dyDescent="0.25">
      <c r="C55" s="150"/>
      <c r="D55" s="150"/>
      <c r="E55" s="150"/>
      <c r="F55" s="150"/>
      <c r="G55" s="150"/>
    </row>
    <row r="56" spans="2:7" x14ac:dyDescent="0.25">
      <c r="B56" s="8" t="s">
        <v>57</v>
      </c>
      <c r="C56" s="320">
        <f>SUM(C50:C55)</f>
        <v>9717</v>
      </c>
      <c r="D56" s="320">
        <f t="shared" ref="D56:G56" si="4">SUM(D50:D55)</f>
        <v>9220</v>
      </c>
      <c r="E56" s="320">
        <f t="shared" si="4"/>
        <v>22561</v>
      </c>
      <c r="F56" s="320">
        <f t="shared" si="4"/>
        <v>20057</v>
      </c>
      <c r="G56" s="320">
        <f t="shared" si="4"/>
        <v>57658</v>
      </c>
    </row>
    <row r="57" spans="2:7" x14ac:dyDescent="0.25">
      <c r="C57" s="150"/>
      <c r="D57" s="150"/>
      <c r="E57" s="150"/>
      <c r="F57" s="150"/>
      <c r="G57" s="150"/>
    </row>
    <row r="58" spans="2:7" x14ac:dyDescent="0.25">
      <c r="B58" s="1" t="s">
        <v>58</v>
      </c>
      <c r="C58" s="150"/>
      <c r="D58" s="150"/>
      <c r="E58" s="150"/>
      <c r="F58" s="150"/>
      <c r="G58" s="150"/>
    </row>
    <row r="59" spans="2:7" x14ac:dyDescent="0.25">
      <c r="B59" t="s">
        <v>59</v>
      </c>
      <c r="C59" s="319">
        <v>674</v>
      </c>
      <c r="D59" s="319">
        <v>1346</v>
      </c>
      <c r="E59" s="319">
        <v>1157</v>
      </c>
      <c r="F59" s="319">
        <v>1825</v>
      </c>
      <c r="G59" s="319">
        <v>2194</v>
      </c>
    </row>
    <row r="60" spans="2:7" x14ac:dyDescent="0.25">
      <c r="B60" s="1" t="s">
        <v>51</v>
      </c>
      <c r="C60" s="319"/>
      <c r="D60" s="319"/>
      <c r="E60" s="319"/>
      <c r="F60" s="319"/>
      <c r="G60" s="319"/>
    </row>
    <row r="61" spans="2:7" x14ac:dyDescent="0.25">
      <c r="B61" s="5" t="s">
        <v>52</v>
      </c>
      <c r="C61" s="319">
        <v>12969</v>
      </c>
      <c r="D61" s="319">
        <v>17340</v>
      </c>
      <c r="E61" s="319">
        <v>35477</v>
      </c>
      <c r="F61" s="319">
        <v>33792</v>
      </c>
      <c r="G61" s="319">
        <v>82554</v>
      </c>
    </row>
    <row r="62" spans="2:7" x14ac:dyDescent="0.25">
      <c r="B62" s="5" t="s">
        <v>53</v>
      </c>
      <c r="C62" s="319">
        <v>1422</v>
      </c>
      <c r="D62" s="319">
        <v>1792</v>
      </c>
      <c r="E62" s="319">
        <v>1859</v>
      </c>
      <c r="F62" s="319">
        <v>2412</v>
      </c>
      <c r="G62" s="319">
        <v>3258</v>
      </c>
    </row>
    <row r="63" spans="2:7" x14ac:dyDescent="0.25">
      <c r="B63" s="5" t="s">
        <v>60</v>
      </c>
      <c r="C63" s="319"/>
      <c r="D63" s="319"/>
      <c r="E63" s="319"/>
      <c r="F63" s="319"/>
      <c r="G63" s="319"/>
    </row>
    <row r="64" spans="2:7" x14ac:dyDescent="0.25">
      <c r="B64" s="6" t="s">
        <v>61</v>
      </c>
      <c r="C64" s="319">
        <v>95</v>
      </c>
      <c r="D64" s="319">
        <v>79</v>
      </c>
      <c r="E64" s="319">
        <v>83</v>
      </c>
      <c r="F64" s="319">
        <v>165</v>
      </c>
      <c r="G64" s="319">
        <v>225</v>
      </c>
    </row>
    <row r="65" spans="2:7" x14ac:dyDescent="0.25">
      <c r="B65" s="6" t="s">
        <v>62</v>
      </c>
      <c r="C65" s="319">
        <v>4404</v>
      </c>
      <c r="D65" s="319">
        <v>5993</v>
      </c>
      <c r="E65" s="319">
        <v>6969</v>
      </c>
      <c r="F65" s="319">
        <v>7750</v>
      </c>
      <c r="G65" s="319">
        <v>10256</v>
      </c>
    </row>
    <row r="66" spans="2:7" x14ac:dyDescent="0.25">
      <c r="B66" s="5" t="s">
        <v>54</v>
      </c>
      <c r="C66" s="319">
        <v>4877</v>
      </c>
      <c r="D66" s="319">
        <v>5788</v>
      </c>
      <c r="E66" s="319">
        <v>7428</v>
      </c>
      <c r="F66" s="319">
        <v>5810</v>
      </c>
      <c r="G66" s="319">
        <v>14526</v>
      </c>
    </row>
    <row r="67" spans="2:7" x14ac:dyDescent="0.25">
      <c r="B67" t="s">
        <v>63</v>
      </c>
      <c r="C67" s="319">
        <v>0</v>
      </c>
      <c r="D67" s="319">
        <v>239</v>
      </c>
      <c r="E67" s="319">
        <v>517</v>
      </c>
      <c r="F67" s="319">
        <v>12</v>
      </c>
      <c r="G67" s="319">
        <v>422</v>
      </c>
    </row>
    <row r="68" spans="2:7" x14ac:dyDescent="0.25">
      <c r="B68" t="s">
        <v>64</v>
      </c>
      <c r="C68" s="319">
        <v>1930</v>
      </c>
      <c r="D68" s="319">
        <v>2426</v>
      </c>
      <c r="E68" s="319">
        <v>2375</v>
      </c>
      <c r="F68" s="319">
        <v>2796</v>
      </c>
      <c r="G68" s="319">
        <v>3836</v>
      </c>
    </row>
    <row r="69" spans="2:7" x14ac:dyDescent="0.25">
      <c r="B69" t="s">
        <v>55</v>
      </c>
      <c r="C69" s="319">
        <v>1508</v>
      </c>
      <c r="D69" s="319">
        <v>1698</v>
      </c>
      <c r="E69" s="319">
        <v>1775</v>
      </c>
      <c r="F69" s="319">
        <v>2136</v>
      </c>
      <c r="G69" s="319">
        <v>3519</v>
      </c>
    </row>
    <row r="70" spans="2:7" x14ac:dyDescent="0.25">
      <c r="C70" s="150"/>
      <c r="D70" s="150"/>
      <c r="E70" s="150"/>
      <c r="F70" s="150"/>
      <c r="G70" s="150"/>
    </row>
    <row r="71" spans="2:7" x14ac:dyDescent="0.25">
      <c r="B71" s="8" t="s">
        <v>65</v>
      </c>
      <c r="C71" s="320">
        <f>SUM(C59:C69)</f>
        <v>27879</v>
      </c>
      <c r="D71" s="320">
        <f t="shared" ref="D71:G71" si="5">SUM(D59:D69)</f>
        <v>36701</v>
      </c>
      <c r="E71" s="320">
        <f t="shared" si="5"/>
        <v>57640</v>
      </c>
      <c r="F71" s="320">
        <f t="shared" si="5"/>
        <v>56698</v>
      </c>
      <c r="G71" s="320">
        <f t="shared" si="5"/>
        <v>120790</v>
      </c>
    </row>
    <row r="72" spans="2:7" x14ac:dyDescent="0.25">
      <c r="C72" s="150"/>
      <c r="D72" s="150"/>
      <c r="E72" s="150"/>
      <c r="F72" s="150"/>
      <c r="G72" s="150"/>
    </row>
    <row r="73" spans="2:7" x14ac:dyDescent="0.25">
      <c r="B73" s="8" t="s">
        <v>66</v>
      </c>
      <c r="C73" s="320">
        <f>C71+C56</f>
        <v>37596</v>
      </c>
      <c r="D73" s="320">
        <f t="shared" ref="D73:G73" si="6">D71+D56</f>
        <v>45921</v>
      </c>
      <c r="E73" s="320">
        <f t="shared" si="6"/>
        <v>80201</v>
      </c>
      <c r="F73" s="320">
        <f t="shared" si="6"/>
        <v>76755</v>
      </c>
      <c r="G73" s="320">
        <f t="shared" si="6"/>
        <v>178448</v>
      </c>
    </row>
    <row r="74" spans="2:7" x14ac:dyDescent="0.25">
      <c r="B74" s="1"/>
      <c r="C74" s="321"/>
      <c r="D74" s="321"/>
      <c r="E74" s="321"/>
      <c r="F74" s="321"/>
      <c r="G74" s="321"/>
    </row>
    <row r="75" spans="2:7" x14ac:dyDescent="0.25">
      <c r="B75" s="8" t="s">
        <v>67</v>
      </c>
      <c r="C75" s="320">
        <f>C73+C45</f>
        <v>92195</v>
      </c>
      <c r="D75" s="320">
        <f t="shared" ref="D75:G75" si="7">D73+D45</f>
        <v>112501</v>
      </c>
      <c r="E75" s="320">
        <f t="shared" si="7"/>
        <v>164083</v>
      </c>
      <c r="F75" s="320">
        <f t="shared" si="7"/>
        <v>224779</v>
      </c>
      <c r="G75" s="320">
        <f t="shared" si="7"/>
        <v>335906</v>
      </c>
    </row>
    <row r="76" spans="2:7" ht="15.75" thickBot="1" x14ac:dyDescent="0.3">
      <c r="C76" s="150"/>
      <c r="D76" s="150"/>
      <c r="E76" s="150"/>
      <c r="F76" s="150"/>
      <c r="G76" s="150"/>
    </row>
    <row r="77" spans="2:7" ht="16.5" thickTop="1" thickBot="1" x14ac:dyDescent="0.3">
      <c r="B77" s="41" t="s">
        <v>172</v>
      </c>
      <c r="C77" s="322" t="b">
        <f>C75=C38</f>
        <v>1</v>
      </c>
      <c r="D77" s="322" t="b">
        <f>D75=D38</f>
        <v>1</v>
      </c>
      <c r="E77" s="322" t="b">
        <f>E75=E38</f>
        <v>1</v>
      </c>
      <c r="F77" s="322" t="b">
        <f>F75=F38</f>
        <v>1</v>
      </c>
      <c r="G77" s="322" t="b">
        <f>G75=G38</f>
        <v>1</v>
      </c>
    </row>
    <row r="78" spans="2:7" ht="15.75" thickTop="1" x14ac:dyDescent="0.25"/>
    <row r="79" spans="2:7" x14ac:dyDescent="0.25">
      <c r="B79" s="222"/>
      <c r="C79" s="222"/>
      <c r="D79" s="222"/>
      <c r="E79" s="222"/>
      <c r="F79" s="222"/>
      <c r="G79" s="222"/>
    </row>
  </sheetData>
  <mergeCells count="2">
    <mergeCell ref="B5:G5"/>
    <mergeCell ref="B7:B8"/>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Q65"/>
  <sheetViews>
    <sheetView showGridLines="0" topLeftCell="C1" workbookViewId="0">
      <selection activeCell="B7" sqref="B7:Q8"/>
    </sheetView>
  </sheetViews>
  <sheetFormatPr defaultRowHeight="15" x14ac:dyDescent="0.25"/>
  <cols>
    <col min="1" max="1" width="1.85546875" customWidth="1"/>
    <col min="2" max="2" width="43.5703125" bestFit="1" customWidth="1"/>
    <col min="3" max="3" width="10.85546875" bestFit="1" customWidth="1"/>
    <col min="4" max="7" width="12.42578125" bestFit="1" customWidth="1"/>
    <col min="8" max="8" width="12.28515625" bestFit="1" customWidth="1"/>
    <col min="9" max="17" width="12.42578125" bestFit="1" customWidth="1"/>
  </cols>
  <sheetData>
    <row r="5" spans="1:17" x14ac:dyDescent="0.25">
      <c r="B5" s="422" t="s">
        <v>356</v>
      </c>
      <c r="C5" s="422"/>
      <c r="D5" s="422"/>
      <c r="E5" s="422"/>
      <c r="F5" s="422"/>
      <c r="G5" s="422"/>
      <c r="H5" s="422"/>
      <c r="I5" s="422"/>
      <c r="J5" s="422"/>
      <c r="K5" s="422"/>
      <c r="L5" s="422"/>
      <c r="M5" s="422"/>
      <c r="N5" s="422"/>
      <c r="O5" s="422"/>
      <c r="P5" s="422"/>
      <c r="Q5" s="422"/>
    </row>
    <row r="6" spans="1:17" x14ac:dyDescent="0.25">
      <c r="B6" s="70" t="s">
        <v>353</v>
      </c>
    </row>
    <row r="7" spans="1:17" x14ac:dyDescent="0.25">
      <c r="A7" t="s">
        <v>20</v>
      </c>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row>
    <row r="8" spans="1:17"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row>
    <row r="10" spans="1:17" x14ac:dyDescent="0.25">
      <c r="B10" s="1" t="s">
        <v>130</v>
      </c>
      <c r="C10" s="323">
        <f>'Historical P&amp;L'!C10</f>
        <v>77341</v>
      </c>
      <c r="D10" s="323">
        <f>'Historical P&amp;L'!D10</f>
        <v>109365</v>
      </c>
      <c r="E10" s="323">
        <f>'Historical P&amp;L'!E10</f>
        <v>142929</v>
      </c>
      <c r="F10" s="323">
        <f>'Historical P&amp;L'!F10</f>
        <v>162466</v>
      </c>
      <c r="G10" s="323">
        <f>'Historical P&amp;L'!G10</f>
        <v>206084</v>
      </c>
      <c r="H10" s="321">
        <f>SUM(H16,H27,H37,H47)</f>
        <v>251738.77985253875</v>
      </c>
      <c r="I10" s="321">
        <f t="shared" ref="I10:Q10" si="2">SUM(I16,I27,I37,I47)</f>
        <v>299960.76578497526</v>
      </c>
      <c r="J10" s="321">
        <f t="shared" si="2"/>
        <v>349602.74123858381</v>
      </c>
      <c r="K10" s="321">
        <f t="shared" si="2"/>
        <v>399552.80081107322</v>
      </c>
      <c r="L10" s="321">
        <f t="shared" si="2"/>
        <v>448807.81534767151</v>
      </c>
      <c r="M10" s="321">
        <f t="shared" si="2"/>
        <v>496520.41521477193</v>
      </c>
      <c r="N10" s="321">
        <f t="shared" si="2"/>
        <v>542021.62711479538</v>
      </c>
      <c r="O10" s="321">
        <f t="shared" si="2"/>
        <v>584823.40937914082</v>
      </c>
      <c r="P10" s="321">
        <f t="shared" si="2"/>
        <v>624606.63498108718</v>
      </c>
      <c r="Q10" s="321">
        <f t="shared" si="2"/>
        <v>661200.03652635263</v>
      </c>
    </row>
    <row r="11" spans="1:17" x14ac:dyDescent="0.25">
      <c r="B11" s="16" t="s">
        <v>138</v>
      </c>
      <c r="C11" s="16"/>
      <c r="D11" s="17">
        <f>D10/C10-1</f>
        <v>0.41406239898630748</v>
      </c>
      <c r="E11" s="17">
        <f t="shared" ref="E11:G11" si="3">E10/D10-1</f>
        <v>0.30689891647236323</v>
      </c>
      <c r="F11" s="17">
        <f t="shared" si="3"/>
        <v>0.13669024480686209</v>
      </c>
      <c r="G11" s="17">
        <f t="shared" si="3"/>
        <v>0.26847463469279731</v>
      </c>
      <c r="H11" s="17">
        <f t="shared" ref="H11" si="4">H10/G10-1</f>
        <v>0.22153481033238265</v>
      </c>
      <c r="I11" s="17">
        <f t="shared" ref="I11" si="5">I10/H10-1</f>
        <v>0.19155565130125574</v>
      </c>
      <c r="J11" s="17">
        <f t="shared" ref="J11" si="6">J10/I10-1</f>
        <v>0.16549489505302195</v>
      </c>
      <c r="K11" s="17">
        <f t="shared" ref="K11" si="7">K10/J10-1</f>
        <v>0.14287662446674387</v>
      </c>
      <c r="L11" s="17">
        <f t="shared" ref="L11" si="8">L10/K10-1</f>
        <v>0.12327535794171118</v>
      </c>
      <c r="M11" s="17">
        <f t="shared" ref="M11" si="9">M10/L10-1</f>
        <v>0.10630964576706314</v>
      </c>
      <c r="N11" s="17">
        <f t="shared" ref="N11" si="10">N10/M10-1</f>
        <v>9.1640163235466865E-2</v>
      </c>
      <c r="O11" s="17">
        <f t="shared" ref="O11" si="11">O10/N10-1</f>
        <v>7.8966927006549836E-2</v>
      </c>
      <c r="P11" s="17">
        <f t="shared" ref="P11" si="12">P10/O10-1</f>
        <v>6.8026048485612112E-2</v>
      </c>
      <c r="Q11" s="17">
        <f t="shared" ref="Q11" si="13">Q10/P10-1</f>
        <v>5.8586315763958341E-2</v>
      </c>
    </row>
    <row r="12" spans="1:17" x14ac:dyDescent="0.25">
      <c r="B12" s="7"/>
      <c r="C12" s="7"/>
      <c r="D12" s="13"/>
      <c r="E12" s="13"/>
      <c r="F12" s="13"/>
      <c r="G12" s="13"/>
      <c r="H12" s="13"/>
      <c r="I12" s="13"/>
      <c r="J12" s="13"/>
      <c r="K12" s="13"/>
      <c r="L12" s="13"/>
      <c r="M12" s="13"/>
      <c r="N12" s="13"/>
      <c r="O12" s="13"/>
      <c r="P12" s="13"/>
      <c r="Q12" s="13"/>
    </row>
    <row r="13" spans="1:17" x14ac:dyDescent="0.25">
      <c r="C13" s="4"/>
      <c r="D13" s="4"/>
      <c r="E13" s="4"/>
      <c r="F13" s="4"/>
      <c r="G13" s="4"/>
    </row>
    <row r="14" spans="1:17" x14ac:dyDescent="0.25">
      <c r="B14" s="1" t="s">
        <v>467</v>
      </c>
      <c r="H14" s="4"/>
    </row>
    <row r="15" spans="1:17" x14ac:dyDescent="0.25">
      <c r="B15" s="1"/>
      <c r="C15" s="4"/>
      <c r="D15" s="4"/>
      <c r="E15" s="4"/>
      <c r="F15" s="4"/>
      <c r="G15" s="4"/>
      <c r="H15" s="4"/>
      <c r="I15" s="4"/>
      <c r="J15" s="4"/>
      <c r="K15" s="4"/>
      <c r="L15" s="4"/>
      <c r="M15" s="4"/>
      <c r="N15" s="4"/>
      <c r="O15" s="4"/>
      <c r="P15" s="4"/>
      <c r="Q15" s="4"/>
    </row>
    <row r="16" spans="1:17" x14ac:dyDescent="0.25">
      <c r="B16" s="1" t="s">
        <v>127</v>
      </c>
      <c r="C16" s="319">
        <v>10464</v>
      </c>
      <c r="D16" s="319">
        <v>20594</v>
      </c>
      <c r="E16" s="319">
        <v>22982</v>
      </c>
      <c r="F16" s="319">
        <v>26668</v>
      </c>
      <c r="G16" s="319">
        <v>32033</v>
      </c>
      <c r="H16" s="150">
        <f>G16*(1+H18)</f>
        <v>37131.798684029854</v>
      </c>
      <c r="I16" s="150">
        <f t="shared" ref="I16:Q16" si="14">H16*(1+I18)</f>
        <v>42214.735249090314</v>
      </c>
      <c r="J16" s="150">
        <f t="shared" si="14"/>
        <v>47184.447272974634</v>
      </c>
      <c r="K16" s="150">
        <f t="shared" si="14"/>
        <v>51961.54886249097</v>
      </c>
      <c r="L16" s="150">
        <f t="shared" si="14"/>
        <v>56485.794166386746</v>
      </c>
      <c r="M16" s="150">
        <f t="shared" si="14"/>
        <v>60715.418019912286</v>
      </c>
      <c r="N16" s="150">
        <f t="shared" si="14"/>
        <v>64625.266687995398</v>
      </c>
      <c r="O16" s="150">
        <f t="shared" si="14"/>
        <v>68204.267181897434</v>
      </c>
      <c r="P16" s="150">
        <f t="shared" si="14"/>
        <v>71452.666482336979</v>
      </c>
      <c r="Q16" s="150">
        <f t="shared" si="14"/>
        <v>74379.343202273027</v>
      </c>
    </row>
    <row r="17" spans="2:17" ht="3" customHeight="1" x14ac:dyDescent="0.25">
      <c r="B17" s="16"/>
      <c r="C17" s="17"/>
      <c r="D17" s="17"/>
      <c r="E17" s="17"/>
      <c r="F17" s="17"/>
      <c r="G17" s="17"/>
      <c r="H17" s="18"/>
      <c r="I17" s="18"/>
      <c r="J17" s="18"/>
      <c r="K17" s="18"/>
      <c r="L17" s="18"/>
      <c r="M17" s="18"/>
      <c r="N17" s="18"/>
      <c r="O17" s="18"/>
      <c r="P17" s="18"/>
      <c r="Q17" s="18"/>
    </row>
    <row r="18" spans="2:17" x14ac:dyDescent="0.25">
      <c r="B18" s="248"/>
      <c r="C18" s="231"/>
      <c r="D18" s="231">
        <f>D16/C16-1</f>
        <v>0.96808103975535165</v>
      </c>
      <c r="E18" s="231">
        <f t="shared" ref="E18:G18" si="15">E16/D16-1</f>
        <v>0.11595610371953002</v>
      </c>
      <c r="F18" s="231">
        <f t="shared" si="15"/>
        <v>0.16038638934818561</v>
      </c>
      <c r="G18" s="231">
        <f t="shared" si="15"/>
        <v>0.20117744112794367</v>
      </c>
      <c r="H18" s="277">
        <f>CHOOSE(Assumption!$C$8,'Revenue BuildUp'!$H$21:$Q$21,'Revenue BuildUp'!$H$22:$Q$22,'Revenue BuildUp'!$H$23:$Q$23)</f>
        <v>0.15917331139855309</v>
      </c>
      <c r="I18" s="277">
        <f>CHOOSE(Assumption!$C$8,'Revenue BuildUp'!$H$21:$Q$21,'Revenue BuildUp'!$H$22:$Q$22,'Revenue BuildUp'!$H$23:$Q$23)</f>
        <v>0.13688904780275565</v>
      </c>
      <c r="J18" s="277">
        <f>CHOOSE(Assumption!$C$8,'Revenue BuildUp'!$H$21:$Q$21,'Revenue BuildUp'!$H$22:$Q$22,'Revenue BuildUp'!$H$23:$Q$23)</f>
        <v>0.11772458111036986</v>
      </c>
      <c r="K18" s="277">
        <f>CHOOSE(Assumption!$C$8,'Revenue BuildUp'!$H$21:$Q$21,'Revenue BuildUp'!$H$22:$Q$22,'Revenue BuildUp'!$H$23:$Q$23)</f>
        <v>0.10124313975491808</v>
      </c>
      <c r="L18" s="277">
        <f>CHOOSE(Assumption!$C$8,'Revenue BuildUp'!$H$21:$Q$21,'Revenue BuildUp'!$H$22:$Q$22,'Revenue BuildUp'!$H$23:$Q$23)</f>
        <v>8.7069100189229545E-2</v>
      </c>
      <c r="M18" s="277">
        <f>CHOOSE(Assumption!$C$8,'Revenue BuildUp'!$H$21:$Q$21,'Revenue BuildUp'!$H$22:$Q$22,'Revenue BuildUp'!$H$23:$Q$23)</f>
        <v>7.4879426162737406E-2</v>
      </c>
      <c r="N18" s="277">
        <f>CHOOSE(Assumption!$C$8,'Revenue BuildUp'!$H$21:$Q$21,'Revenue BuildUp'!$H$22:$Q$22,'Revenue BuildUp'!$H$23:$Q$23)</f>
        <v>6.4396306499954162E-2</v>
      </c>
      <c r="O18" s="277">
        <f>CHOOSE(Assumption!$C$8,'Revenue BuildUp'!$H$21:$Q$21,'Revenue BuildUp'!$H$22:$Q$22,'Revenue BuildUp'!$H$23:$Q$23)</f>
        <v>5.5380823589960576E-2</v>
      </c>
      <c r="P18" s="277">
        <f>CHOOSE(Assumption!$C$8,'Revenue BuildUp'!$H$21:$Q$21,'Revenue BuildUp'!$H$22:$Q$22,'Revenue BuildUp'!$H$23:$Q$23)</f>
        <v>4.7627508287366095E-2</v>
      </c>
      <c r="Q18" s="277">
        <f>CHOOSE(Assumption!$C$8,'Revenue BuildUp'!$H$21:$Q$21,'Revenue BuildUp'!$H$22:$Q$22,'Revenue BuildUp'!$H$23:$Q$23)</f>
        <v>4.0959657127134841E-2</v>
      </c>
    </row>
    <row r="19" spans="2:17" x14ac:dyDescent="0.25">
      <c r="B19" s="248"/>
      <c r="C19" s="231"/>
      <c r="D19" s="231"/>
      <c r="E19" s="231"/>
      <c r="F19" s="231"/>
      <c r="G19" s="231"/>
    </row>
    <row r="20" spans="2:17" x14ac:dyDescent="0.25">
      <c r="B20" s="14" t="s">
        <v>131</v>
      </c>
      <c r="C20" s="231"/>
      <c r="D20" s="231"/>
      <c r="E20" s="231"/>
      <c r="F20" s="231"/>
      <c r="G20" s="231"/>
    </row>
    <row r="21" spans="2:17" x14ac:dyDescent="0.25">
      <c r="B21" s="16" t="s">
        <v>132</v>
      </c>
      <c r="C21" s="17"/>
      <c r="D21" s="17"/>
      <c r="E21" s="17"/>
      <c r="F21" s="17"/>
      <c r="G21" s="17"/>
      <c r="H21" s="226">
        <f>H22+5%</f>
        <v>0.20917331139855311</v>
      </c>
      <c r="I21" s="18">
        <f>H21*(1-$C$24)</f>
        <v>0.17988904780275566</v>
      </c>
      <c r="J21" s="18">
        <f t="shared" ref="J21:Q23" si="16">I21*(1-$C$24)</f>
        <v>0.15470458111036986</v>
      </c>
      <c r="K21" s="18">
        <f t="shared" si="16"/>
        <v>0.13304593975491807</v>
      </c>
      <c r="L21" s="18">
        <f t="shared" si="16"/>
        <v>0.11441950818922954</v>
      </c>
      <c r="M21" s="18">
        <f t="shared" si="16"/>
        <v>9.8400777042737406E-2</v>
      </c>
      <c r="N21" s="18">
        <f t="shared" si="16"/>
        <v>8.4624668256754174E-2</v>
      </c>
      <c r="O21" s="18">
        <f t="shared" si="16"/>
        <v>7.2777214700808585E-2</v>
      </c>
      <c r="P21" s="18">
        <f t="shared" si="16"/>
        <v>6.2588404642695383E-2</v>
      </c>
      <c r="Q21" s="18">
        <f t="shared" si="16"/>
        <v>5.3826027992718031E-2</v>
      </c>
    </row>
    <row r="22" spans="2:17" x14ac:dyDescent="0.25">
      <c r="B22" s="16" t="s">
        <v>133</v>
      </c>
      <c r="C22" s="17"/>
      <c r="D22" s="17"/>
      <c r="E22" s="17"/>
      <c r="F22" s="17"/>
      <c r="G22" s="17"/>
      <c r="H22" s="18">
        <f>AVERAGE(E18:G18)</f>
        <v>0.15917331139855309</v>
      </c>
      <c r="I22" s="18">
        <f>H22*(1-$C$24)</f>
        <v>0.13688904780275565</v>
      </c>
      <c r="J22" s="18">
        <f t="shared" si="16"/>
        <v>0.11772458111036986</v>
      </c>
      <c r="K22" s="18">
        <f t="shared" si="16"/>
        <v>0.10124313975491808</v>
      </c>
      <c r="L22" s="18">
        <f t="shared" si="16"/>
        <v>8.7069100189229545E-2</v>
      </c>
      <c r="M22" s="18">
        <f t="shared" si="16"/>
        <v>7.4879426162737406E-2</v>
      </c>
      <c r="N22" s="18">
        <f t="shared" si="16"/>
        <v>6.4396306499954162E-2</v>
      </c>
      <c r="O22" s="18">
        <f t="shared" si="16"/>
        <v>5.5380823589960576E-2</v>
      </c>
      <c r="P22" s="18">
        <f t="shared" si="16"/>
        <v>4.7627508287366095E-2</v>
      </c>
      <c r="Q22" s="18">
        <f t="shared" si="16"/>
        <v>4.0959657127134841E-2</v>
      </c>
    </row>
    <row r="23" spans="2:17" x14ac:dyDescent="0.25">
      <c r="B23" s="16" t="s">
        <v>134</v>
      </c>
      <c r="C23" s="17"/>
      <c r="D23" s="17"/>
      <c r="E23" s="17"/>
      <c r="F23" s="17"/>
      <c r="G23" s="17"/>
      <c r="H23" s="226">
        <f>H22-5%</f>
        <v>0.10917331139855309</v>
      </c>
      <c r="I23" s="18">
        <f>H23*(1-$C$24)</f>
        <v>9.3889047802755657E-2</v>
      </c>
      <c r="J23" s="18">
        <f t="shared" si="16"/>
        <v>8.0744581110369862E-2</v>
      </c>
      <c r="K23" s="18">
        <f t="shared" si="16"/>
        <v>6.9440339754918076E-2</v>
      </c>
      <c r="L23" s="18">
        <f t="shared" si="16"/>
        <v>5.9718692189229546E-2</v>
      </c>
      <c r="M23" s="18">
        <f t="shared" si="16"/>
        <v>5.1358075282737406E-2</v>
      </c>
      <c r="N23" s="18">
        <f t="shared" si="16"/>
        <v>4.4167944743154171E-2</v>
      </c>
      <c r="O23" s="18">
        <f t="shared" si="16"/>
        <v>3.7984432479112588E-2</v>
      </c>
      <c r="P23" s="18">
        <f t="shared" si="16"/>
        <v>3.2666611932036828E-2</v>
      </c>
      <c r="Q23" s="18">
        <f t="shared" si="16"/>
        <v>2.8093286261551671E-2</v>
      </c>
    </row>
    <row r="24" spans="2:17" x14ac:dyDescent="0.25">
      <c r="B24" s="280" t="s">
        <v>135</v>
      </c>
      <c r="C24" s="281">
        <f>C35</f>
        <v>0.14000000000000001</v>
      </c>
      <c r="D24" s="231"/>
      <c r="E24" s="231"/>
      <c r="F24" s="231"/>
      <c r="G24" s="231"/>
    </row>
    <row r="25" spans="2:17" x14ac:dyDescent="0.25">
      <c r="B25" s="248"/>
      <c r="C25" s="231"/>
      <c r="D25" s="231"/>
      <c r="E25" s="231"/>
      <c r="F25" s="231"/>
      <c r="G25" s="231"/>
    </row>
    <row r="26" spans="2:17" x14ac:dyDescent="0.25">
      <c r="C26" s="4"/>
      <c r="D26" s="4"/>
      <c r="E26" s="4"/>
      <c r="F26" s="4"/>
      <c r="G26" s="4"/>
    </row>
    <row r="27" spans="2:17" x14ac:dyDescent="0.25">
      <c r="B27" s="1" t="s">
        <v>128</v>
      </c>
      <c r="C27" s="319">
        <v>56517</v>
      </c>
      <c r="D27" s="319">
        <v>71141</v>
      </c>
      <c r="E27" s="319">
        <v>97251</v>
      </c>
      <c r="F27" s="319">
        <v>114289</v>
      </c>
      <c r="G27" s="319">
        <v>133134</v>
      </c>
      <c r="H27" s="150">
        <f>G27*(1+H29)</f>
        <v>165281.09372151253</v>
      </c>
      <c r="I27" s="150">
        <f t="shared" ref="I27:Q27" si="17">H27*(1+I29)</f>
        <v>199603.23424777345</v>
      </c>
      <c r="J27" s="150">
        <f t="shared" si="17"/>
        <v>235249.76033820829</v>
      </c>
      <c r="K27" s="150">
        <f t="shared" si="17"/>
        <v>271380.5355037009</v>
      </c>
      <c r="L27" s="150">
        <f t="shared" si="17"/>
        <v>307225.25910593406</v>
      </c>
      <c r="M27" s="150">
        <f t="shared" si="17"/>
        <v>342123.36942626245</v>
      </c>
      <c r="N27" s="150">
        <f t="shared" si="17"/>
        <v>375544.88836896</v>
      </c>
      <c r="O27" s="150">
        <f t="shared" si="17"/>
        <v>407095.20699961693</v>
      </c>
      <c r="P27" s="150">
        <f t="shared" si="17"/>
        <v>436508.00463530159</v>
      </c>
      <c r="Q27" s="150">
        <f t="shared" si="17"/>
        <v>463630.58527960716</v>
      </c>
    </row>
    <row r="28" spans="2:17" ht="4.5" customHeight="1" x14ac:dyDescent="0.25">
      <c r="B28" s="16"/>
      <c r="C28" s="17"/>
      <c r="D28" s="17"/>
      <c r="E28" s="17"/>
      <c r="F28" s="17"/>
      <c r="G28" s="17"/>
      <c r="H28" s="18"/>
      <c r="I28" s="18"/>
      <c r="J28" s="18"/>
      <c r="K28" s="18"/>
      <c r="L28" s="18"/>
      <c r="M28" s="18"/>
      <c r="N28" s="18"/>
      <c r="O28" s="18"/>
      <c r="P28" s="18"/>
      <c r="Q28" s="18"/>
    </row>
    <row r="29" spans="2:17" x14ac:dyDescent="0.25">
      <c r="B29" s="248"/>
      <c r="C29" s="231"/>
      <c r="D29" s="231">
        <f>D27/C27-1</f>
        <v>0.25875400322026998</v>
      </c>
      <c r="E29" s="231">
        <f t="shared" ref="E29:G29" si="18">E27/D27-1</f>
        <v>0.36701761290957391</v>
      </c>
      <c r="F29" s="231">
        <f t="shared" si="18"/>
        <v>0.17519614194198518</v>
      </c>
      <c r="G29" s="231">
        <f t="shared" si="18"/>
        <v>0.16488900944097851</v>
      </c>
      <c r="H29" s="277">
        <f>CHOOSE(Assumption!$C$8,'Revenue BuildUp'!$H$32:$Q$32,'Revenue BuildUp'!$H$33:$Q$33,'Revenue BuildUp'!$H$34:$Q$34)</f>
        <v>0.24146419187820189</v>
      </c>
      <c r="I29" s="277">
        <f>CHOOSE(Assumption!$C$8,'Revenue BuildUp'!$H$32:$Q$32,'Revenue BuildUp'!$H$33:$Q$33,'Revenue BuildUp'!$H$34:$Q$34)</f>
        <v>0.20765920501525362</v>
      </c>
      <c r="J29" s="277">
        <f>CHOOSE(Assumption!$C$8,'Revenue BuildUp'!$H$32:$Q$32,'Revenue BuildUp'!$H$33:$Q$33,'Revenue BuildUp'!$H$34:$Q$34)</f>
        <v>0.1785869163131181</v>
      </c>
      <c r="K29" s="277">
        <f>CHOOSE(Assumption!$C$8,'Revenue BuildUp'!$H$32:$Q$32,'Revenue BuildUp'!$H$33:$Q$33,'Revenue BuildUp'!$H$34:$Q$34)</f>
        <v>0.15358474802928157</v>
      </c>
      <c r="L29" s="277">
        <f>CHOOSE(Assumption!$C$8,'Revenue BuildUp'!$H$32:$Q$32,'Revenue BuildUp'!$H$33:$Q$33,'Revenue BuildUp'!$H$34:$Q$34)</f>
        <v>0.13208288330518214</v>
      </c>
      <c r="M29" s="277">
        <f>CHOOSE(Assumption!$C$8,'Revenue BuildUp'!$H$32:$Q$32,'Revenue BuildUp'!$H$33:$Q$33,'Revenue BuildUp'!$H$34:$Q$34)</f>
        <v>0.11359127964245665</v>
      </c>
      <c r="N29" s="277">
        <f>CHOOSE(Assumption!$C$8,'Revenue BuildUp'!$H$32:$Q$32,'Revenue BuildUp'!$H$33:$Q$33,'Revenue BuildUp'!$H$34:$Q$34)</f>
        <v>9.7688500492512709E-2</v>
      </c>
      <c r="O29" s="277">
        <f>CHOOSE(Assumption!$C$8,'Revenue BuildUp'!$H$32:$Q$32,'Revenue BuildUp'!$H$33:$Q$33,'Revenue BuildUp'!$H$34:$Q$34)</f>
        <v>8.4012110423560923E-2</v>
      </c>
      <c r="P29" s="277">
        <f>CHOOSE(Assumption!$C$8,'Revenue BuildUp'!$H$32:$Q$32,'Revenue BuildUp'!$H$33:$Q$33,'Revenue BuildUp'!$H$34:$Q$34)</f>
        <v>7.2250414964262391E-2</v>
      </c>
      <c r="Q29" s="277">
        <f>CHOOSE(Assumption!$C$8,'Revenue BuildUp'!$H$32:$Q$32,'Revenue BuildUp'!$H$33:$Q$33,'Revenue BuildUp'!$H$34:$Q$34)</f>
        <v>6.2135356869265655E-2</v>
      </c>
    </row>
    <row r="30" spans="2:17" x14ac:dyDescent="0.25">
      <c r="B30" s="248"/>
      <c r="C30" s="231"/>
      <c r="D30" s="231"/>
      <c r="E30" s="231"/>
      <c r="F30" s="231"/>
      <c r="G30" s="231"/>
    </row>
    <row r="31" spans="2:17" x14ac:dyDescent="0.25">
      <c r="B31" s="14" t="s">
        <v>131</v>
      </c>
      <c r="C31" s="231"/>
      <c r="D31" s="231"/>
      <c r="E31" s="231"/>
      <c r="F31" s="231"/>
      <c r="G31" s="231"/>
    </row>
    <row r="32" spans="2:17" x14ac:dyDescent="0.25">
      <c r="B32" s="16" t="s">
        <v>132</v>
      </c>
      <c r="C32" s="17"/>
      <c r="D32" s="17"/>
      <c r="E32" s="17"/>
      <c r="F32" s="17"/>
      <c r="G32" s="17"/>
      <c r="H32" s="226">
        <f>H33+5%</f>
        <v>0.29146419187820188</v>
      </c>
      <c r="I32" s="18">
        <f>H32*(1-$C$35)</f>
        <v>0.25065920501525363</v>
      </c>
      <c r="J32" s="18">
        <f t="shared" ref="J32:Q32" si="19">I32*(1-$C$35)</f>
        <v>0.21556691631311811</v>
      </c>
      <c r="K32" s="18">
        <f t="shared" si="19"/>
        <v>0.18538754802928156</v>
      </c>
      <c r="L32" s="18">
        <f t="shared" si="19"/>
        <v>0.15943329130518213</v>
      </c>
      <c r="M32" s="18">
        <f t="shared" si="19"/>
        <v>0.13711263052245665</v>
      </c>
      <c r="N32" s="18">
        <f t="shared" si="19"/>
        <v>0.11791686224931272</v>
      </c>
      <c r="O32" s="18">
        <f t="shared" si="19"/>
        <v>0.10140850153440893</v>
      </c>
      <c r="P32" s="18">
        <f t="shared" si="19"/>
        <v>8.7211311319591686E-2</v>
      </c>
      <c r="Q32" s="18">
        <f t="shared" si="19"/>
        <v>7.5001727734848853E-2</v>
      </c>
    </row>
    <row r="33" spans="2:17" x14ac:dyDescent="0.25">
      <c r="B33" s="16" t="s">
        <v>133</v>
      </c>
      <c r="C33" s="17"/>
      <c r="D33" s="17"/>
      <c r="E33" s="17"/>
      <c r="F33" s="17"/>
      <c r="G33" s="17"/>
      <c r="H33" s="18">
        <f>AVERAGE(D29:G29)</f>
        <v>0.24146419187820189</v>
      </c>
      <c r="I33" s="18">
        <f>H33*(1-$C$35)</f>
        <v>0.20765920501525362</v>
      </c>
      <c r="J33" s="18">
        <f t="shared" ref="J33:Q33" si="20">I33*(1-$C$35)</f>
        <v>0.1785869163131181</v>
      </c>
      <c r="K33" s="18">
        <f t="shared" si="20"/>
        <v>0.15358474802928157</v>
      </c>
      <c r="L33" s="18">
        <f t="shared" si="20"/>
        <v>0.13208288330518214</v>
      </c>
      <c r="M33" s="18">
        <f t="shared" si="20"/>
        <v>0.11359127964245665</v>
      </c>
      <c r="N33" s="18">
        <f t="shared" si="20"/>
        <v>9.7688500492512709E-2</v>
      </c>
      <c r="O33" s="18">
        <f t="shared" si="20"/>
        <v>8.4012110423560923E-2</v>
      </c>
      <c r="P33" s="18">
        <f t="shared" si="20"/>
        <v>7.2250414964262391E-2</v>
      </c>
      <c r="Q33" s="18">
        <f t="shared" si="20"/>
        <v>6.2135356869265655E-2</v>
      </c>
    </row>
    <row r="34" spans="2:17" x14ac:dyDescent="0.25">
      <c r="B34" s="16" t="s">
        <v>134</v>
      </c>
      <c r="C34" s="17"/>
      <c r="D34" s="17"/>
      <c r="E34" s="17"/>
      <c r="F34" s="17"/>
      <c r="G34" s="17"/>
      <c r="H34" s="226">
        <f>H33-5%</f>
        <v>0.19146419187820191</v>
      </c>
      <c r="I34" s="18">
        <f>H34*(1-$C$35)</f>
        <v>0.16465920501525363</v>
      </c>
      <c r="J34" s="18">
        <f t="shared" ref="J34:Q34" si="21">I34*(1-$C$35)</f>
        <v>0.14160691631311811</v>
      </c>
      <c r="K34" s="18">
        <f t="shared" si="21"/>
        <v>0.12178194802928158</v>
      </c>
      <c r="L34" s="18">
        <f t="shared" si="21"/>
        <v>0.10473247530518215</v>
      </c>
      <c r="M34" s="18">
        <f t="shared" si="21"/>
        <v>9.0069928762456647E-2</v>
      </c>
      <c r="N34" s="18">
        <f t="shared" si="21"/>
        <v>7.7460138735712711E-2</v>
      </c>
      <c r="O34" s="18">
        <f t="shared" si="21"/>
        <v>6.6615719312712929E-2</v>
      </c>
      <c r="P34" s="18">
        <f t="shared" si="21"/>
        <v>5.7289518608933117E-2</v>
      </c>
      <c r="Q34" s="18">
        <f t="shared" si="21"/>
        <v>4.9268986003682479E-2</v>
      </c>
    </row>
    <row r="35" spans="2:17" x14ac:dyDescent="0.25">
      <c r="B35" s="278" t="s">
        <v>135</v>
      </c>
      <c r="C35" s="279">
        <v>0.14000000000000001</v>
      </c>
      <c r="D35" s="4"/>
      <c r="E35" s="4"/>
      <c r="F35" s="4"/>
      <c r="G35" s="4"/>
    </row>
    <row r="36" spans="2:17" x14ac:dyDescent="0.25">
      <c r="C36" s="4"/>
      <c r="D36" s="4"/>
      <c r="E36" s="4"/>
      <c r="F36" s="4"/>
      <c r="G36" s="4"/>
    </row>
    <row r="37" spans="2:17" x14ac:dyDescent="0.25">
      <c r="B37" s="1" t="s">
        <v>465</v>
      </c>
      <c r="C37" s="319">
        <v>7611</v>
      </c>
      <c r="D37" s="319">
        <v>11332</v>
      </c>
      <c r="E37" s="319">
        <v>13811</v>
      </c>
      <c r="F37" s="319">
        <v>14751</v>
      </c>
      <c r="G37" s="319">
        <v>16779</v>
      </c>
      <c r="H37" s="150">
        <f>G37*(1+H39)</f>
        <v>19152.137446996374</v>
      </c>
      <c r="I37" s="150">
        <f t="shared" ref="I37:Q37" si="22">H37*(1+I39)</f>
        <v>21481.690038111468</v>
      </c>
      <c r="J37" s="150">
        <f t="shared" si="22"/>
        <v>23728.788831775852</v>
      </c>
      <c r="K37" s="150">
        <f t="shared" si="22"/>
        <v>25863.444070324844</v>
      </c>
      <c r="L37" s="150">
        <f t="shared" si="22"/>
        <v>27864.397495137935</v>
      </c>
      <c r="M37" s="150">
        <f t="shared" si="22"/>
        <v>29718.350543468066</v>
      </c>
      <c r="N37" s="150">
        <f t="shared" si="22"/>
        <v>31418.833278408845</v>
      </c>
      <c r="O37" s="150">
        <f t="shared" si="22"/>
        <v>32964.927762315107</v>
      </c>
      <c r="P37" s="150">
        <f t="shared" si="22"/>
        <v>34359.999551604284</v>
      </c>
      <c r="Q37" s="150">
        <f t="shared" si="22"/>
        <v>35610.535063286421</v>
      </c>
    </row>
    <row r="38" spans="2:17" ht="5.25" customHeight="1" x14ac:dyDescent="0.25">
      <c r="B38" s="16"/>
      <c r="C38" s="17"/>
      <c r="D38" s="17"/>
      <c r="E38" s="17"/>
      <c r="F38" s="17"/>
      <c r="G38" s="17"/>
      <c r="H38" s="18"/>
      <c r="I38" s="18"/>
      <c r="J38" s="18"/>
      <c r="K38" s="18"/>
      <c r="L38" s="18"/>
      <c r="M38" s="18"/>
      <c r="N38" s="18"/>
      <c r="O38" s="18"/>
      <c r="P38" s="18"/>
      <c r="Q38" s="18"/>
    </row>
    <row r="39" spans="2:17" x14ac:dyDescent="0.25">
      <c r="B39" s="248"/>
      <c r="C39" s="231"/>
      <c r="D39" s="231">
        <f>D37/C37-1</f>
        <v>0.48889764814084868</v>
      </c>
      <c r="E39" s="231">
        <f t="shared" ref="E39:G39" si="23">E37/D37-1</f>
        <v>0.21876103070949515</v>
      </c>
      <c r="F39" s="231">
        <f t="shared" si="23"/>
        <v>6.8061689957280347E-2</v>
      </c>
      <c r="G39" s="231">
        <f t="shared" si="23"/>
        <v>0.13748220459629845</v>
      </c>
      <c r="H39" s="277">
        <f>CHOOSE(Assumption!$C$8,'Revenue BuildUp'!$H$42:$Q$42,'Revenue BuildUp'!$H$43:$Q$43,'Revenue BuildUp'!$H$44:$Q$44)</f>
        <v>0.14143497508769132</v>
      </c>
      <c r="I39" s="277">
        <f>CHOOSE(Assumption!$C$8,'Revenue BuildUp'!$H$42:$Q$42,'Revenue BuildUp'!$H$43:$Q$43,'Revenue BuildUp'!$H$44:$Q$44)</f>
        <v>0.12163407857541453</v>
      </c>
      <c r="J39" s="277">
        <f>CHOOSE(Assumption!$C$8,'Revenue BuildUp'!$H$42:$Q$42,'Revenue BuildUp'!$H$43:$Q$43,'Revenue BuildUp'!$H$44:$Q$44)</f>
        <v>0.10460530757485649</v>
      </c>
      <c r="K39" s="277">
        <f>CHOOSE(Assumption!$C$8,'Revenue BuildUp'!$H$42:$Q$42,'Revenue BuildUp'!$H$43:$Q$43,'Revenue BuildUp'!$H$44:$Q$44)</f>
        <v>8.9960564514376576E-2</v>
      </c>
      <c r="L39" s="277">
        <f>CHOOSE(Assumption!$C$8,'Revenue BuildUp'!$H$42:$Q$42,'Revenue BuildUp'!$H$43:$Q$43,'Revenue BuildUp'!$H$44:$Q$44)</f>
        <v>7.7366085482363858E-2</v>
      </c>
      <c r="M39" s="277">
        <f>CHOOSE(Assumption!$C$8,'Revenue BuildUp'!$H$42:$Q$42,'Revenue BuildUp'!$H$43:$Q$43,'Revenue BuildUp'!$H$44:$Q$44)</f>
        <v>6.6534833514832914E-2</v>
      </c>
      <c r="N39" s="277">
        <f>CHOOSE(Assumption!$C$8,'Revenue BuildUp'!$H$42:$Q$42,'Revenue BuildUp'!$H$43:$Q$43,'Revenue BuildUp'!$H$44:$Q$44)</f>
        <v>5.7219956822756303E-2</v>
      </c>
      <c r="O39" s="277">
        <f>CHOOSE(Assumption!$C$8,'Revenue BuildUp'!$H$42:$Q$42,'Revenue BuildUp'!$H$43:$Q$43,'Revenue BuildUp'!$H$44:$Q$44)</f>
        <v>4.9209162867570419E-2</v>
      </c>
      <c r="P39" s="277">
        <f>CHOOSE(Assumption!$C$8,'Revenue BuildUp'!$H$42:$Q$42,'Revenue BuildUp'!$H$43:$Q$43,'Revenue BuildUp'!$H$44:$Q$44)</f>
        <v>4.2319880066110559E-2</v>
      </c>
      <c r="Q39" s="277">
        <f>CHOOSE(Assumption!$C$8,'Revenue BuildUp'!$H$42:$Q$42,'Revenue BuildUp'!$H$43:$Q$43,'Revenue BuildUp'!$H$44:$Q$44)</f>
        <v>3.6395096856855082E-2</v>
      </c>
    </row>
    <row r="40" spans="2:17" x14ac:dyDescent="0.25">
      <c r="B40" s="248"/>
      <c r="C40" s="231"/>
      <c r="D40" s="231"/>
      <c r="E40" s="231"/>
      <c r="F40" s="231"/>
      <c r="G40" s="231"/>
    </row>
    <row r="41" spans="2:17" x14ac:dyDescent="0.25">
      <c r="B41" s="14" t="s">
        <v>131</v>
      </c>
      <c r="C41" s="231"/>
      <c r="D41" s="231"/>
      <c r="E41" s="231"/>
      <c r="F41" s="231"/>
      <c r="G41" s="231"/>
    </row>
    <row r="42" spans="2:17" x14ac:dyDescent="0.25">
      <c r="B42" s="16" t="s">
        <v>132</v>
      </c>
      <c r="C42" s="17"/>
      <c r="D42" s="17"/>
      <c r="E42" s="17"/>
      <c r="F42" s="17"/>
      <c r="G42" s="17"/>
      <c r="H42" s="226">
        <f>H43+5%</f>
        <v>0.19143497508769131</v>
      </c>
      <c r="I42" s="18">
        <f>H42*(1-$C$45)</f>
        <v>0.16463407857541451</v>
      </c>
      <c r="J42" s="18">
        <f t="shared" ref="J42:Q44" si="24">I42*(1-$C$45)</f>
        <v>0.14158530757485649</v>
      </c>
      <c r="K42" s="18">
        <f t="shared" si="24"/>
        <v>0.12176336451437658</v>
      </c>
      <c r="L42" s="18">
        <f t="shared" si="24"/>
        <v>0.10471649348236386</v>
      </c>
      <c r="M42" s="18">
        <f t="shared" si="24"/>
        <v>9.0056184394832928E-2</v>
      </c>
      <c r="N42" s="18">
        <f t="shared" si="24"/>
        <v>7.7448318579556322E-2</v>
      </c>
      <c r="O42" s="18">
        <f t="shared" si="24"/>
        <v>6.6605553978418441E-2</v>
      </c>
      <c r="P42" s="18">
        <f t="shared" si="24"/>
        <v>5.7280776421439861E-2</v>
      </c>
      <c r="Q42" s="18">
        <f t="shared" si="24"/>
        <v>4.9261467722438279E-2</v>
      </c>
    </row>
    <row r="43" spans="2:17" x14ac:dyDescent="0.25">
      <c r="B43" s="16" t="s">
        <v>133</v>
      </c>
      <c r="C43" s="17"/>
      <c r="D43" s="17"/>
      <c r="E43" s="17"/>
      <c r="F43" s="17"/>
      <c r="G43" s="17"/>
      <c r="H43" s="18">
        <f>AVERAGE(E39:G39)</f>
        <v>0.14143497508769132</v>
      </c>
      <c r="I43" s="18">
        <f>H43*(1-$C$45)</f>
        <v>0.12163407857541453</v>
      </c>
      <c r="J43" s="18">
        <f t="shared" si="24"/>
        <v>0.10460530757485649</v>
      </c>
      <c r="K43" s="18">
        <f t="shared" si="24"/>
        <v>8.9960564514376576E-2</v>
      </c>
      <c r="L43" s="18">
        <f t="shared" si="24"/>
        <v>7.7366085482363858E-2</v>
      </c>
      <c r="M43" s="18">
        <f t="shared" si="24"/>
        <v>6.6534833514832914E-2</v>
      </c>
      <c r="N43" s="18">
        <f t="shared" si="24"/>
        <v>5.7219956822756303E-2</v>
      </c>
      <c r="O43" s="18">
        <f t="shared" si="24"/>
        <v>4.9209162867570419E-2</v>
      </c>
      <c r="P43" s="18">
        <f t="shared" si="24"/>
        <v>4.2319880066110559E-2</v>
      </c>
      <c r="Q43" s="18">
        <f t="shared" si="24"/>
        <v>3.6395096856855082E-2</v>
      </c>
    </row>
    <row r="44" spans="2:17" x14ac:dyDescent="0.25">
      <c r="B44" s="16" t="s">
        <v>134</v>
      </c>
      <c r="C44" s="17"/>
      <c r="D44" s="17"/>
      <c r="E44" s="17"/>
      <c r="F44" s="17"/>
      <c r="G44" s="17"/>
      <c r="H44" s="226">
        <f>H43-5%</f>
        <v>9.1434975087691314E-2</v>
      </c>
      <c r="I44" s="18">
        <f>H44*(1-$C$45)</f>
        <v>7.8634078575414532E-2</v>
      </c>
      <c r="J44" s="18">
        <f t="shared" si="24"/>
        <v>6.7625307574856491E-2</v>
      </c>
      <c r="K44" s="18">
        <f t="shared" si="24"/>
        <v>5.8157764514376584E-2</v>
      </c>
      <c r="L44" s="18">
        <f t="shared" si="24"/>
        <v>5.0015677482363859E-2</v>
      </c>
      <c r="M44" s="18">
        <f t="shared" si="24"/>
        <v>4.3013482634832921E-2</v>
      </c>
      <c r="N44" s="18">
        <f t="shared" si="24"/>
        <v>3.6991595065956312E-2</v>
      </c>
      <c r="O44" s="18">
        <f t="shared" si="24"/>
        <v>3.1812771756722424E-2</v>
      </c>
      <c r="P44" s="18">
        <f t="shared" si="24"/>
        <v>2.7358983710781284E-2</v>
      </c>
      <c r="Q44" s="18">
        <f t="shared" si="24"/>
        <v>2.3528725991271905E-2</v>
      </c>
    </row>
    <row r="45" spans="2:17" x14ac:dyDescent="0.25">
      <c r="B45" s="278" t="s">
        <v>135</v>
      </c>
      <c r="C45" s="279">
        <f>C35</f>
        <v>0.14000000000000001</v>
      </c>
      <c r="D45" s="231"/>
      <c r="E45" s="231"/>
      <c r="F45" s="231"/>
      <c r="G45" s="231"/>
    </row>
    <row r="46" spans="2:17" x14ac:dyDescent="0.25">
      <c r="C46" s="4"/>
      <c r="D46" s="10"/>
      <c r="E46" s="10"/>
      <c r="F46" s="10"/>
      <c r="G46" s="10"/>
    </row>
    <row r="47" spans="2:17" x14ac:dyDescent="0.25">
      <c r="B47" s="1" t="s">
        <v>129</v>
      </c>
      <c r="C47" s="319">
        <v>2749</v>
      </c>
      <c r="D47" s="319">
        <v>6298</v>
      </c>
      <c r="E47" s="319">
        <v>8885</v>
      </c>
      <c r="F47" s="319">
        <v>6758</v>
      </c>
      <c r="G47" s="319">
        <v>24139</v>
      </c>
      <c r="H47" s="150">
        <f>G47*(1+H49)</f>
        <v>30173.75</v>
      </c>
      <c r="I47" s="150">
        <f t="shared" ref="I47:Q47" si="25">H47*(1+I49)</f>
        <v>36661.106250000004</v>
      </c>
      <c r="J47" s="150">
        <f t="shared" si="25"/>
        <v>43439.744795625011</v>
      </c>
      <c r="K47" s="150">
        <f t="shared" si="25"/>
        <v>50347.272374556524</v>
      </c>
      <c r="L47" s="150">
        <f t="shared" si="25"/>
        <v>57232.364580212772</v>
      </c>
      <c r="M47" s="150">
        <f t="shared" si="25"/>
        <v>63963.27722512911</v>
      </c>
      <c r="N47" s="150">
        <f t="shared" si="25"/>
        <v>70432.638779431101</v>
      </c>
      <c r="O47" s="150">
        <f t="shared" si="25"/>
        <v>76559.007435311418</v>
      </c>
      <c r="P47" s="150">
        <f t="shared" si="25"/>
        <v>82285.964311844305</v>
      </c>
      <c r="Q47" s="150">
        <f t="shared" si="25"/>
        <v>87579.572981185964</v>
      </c>
    </row>
    <row r="48" spans="2:17" ht="6" customHeight="1" x14ac:dyDescent="0.25">
      <c r="B48" s="16"/>
      <c r="C48" s="17"/>
      <c r="D48" s="17"/>
      <c r="E48" s="17"/>
      <c r="F48" s="17"/>
      <c r="G48" s="17"/>
      <c r="H48" s="18"/>
      <c r="I48" s="18"/>
      <c r="J48" s="18"/>
      <c r="K48" s="18"/>
      <c r="L48" s="18"/>
      <c r="M48" s="18"/>
      <c r="N48" s="18"/>
      <c r="O48" s="18"/>
      <c r="P48" s="18"/>
      <c r="Q48" s="18"/>
    </row>
    <row r="49" spans="2:17" x14ac:dyDescent="0.25">
      <c r="C49" s="4"/>
      <c r="D49" s="10">
        <f>D47/C47-1</f>
        <v>1.2910149145143688</v>
      </c>
      <c r="E49" s="10">
        <f t="shared" ref="E49:G49" si="26">E47/D47-1</f>
        <v>0.41076532232454754</v>
      </c>
      <c r="F49" s="10">
        <f t="shared" si="26"/>
        <v>-0.23939223410241983</v>
      </c>
      <c r="G49" s="10">
        <f t="shared" si="26"/>
        <v>2.5719147676827463</v>
      </c>
      <c r="H49" s="277">
        <f>CHOOSE(Assumption!$C$8,'Revenue BuildUp'!$H$52:$Q$52,'Revenue BuildUp'!$H$53:$Q$53,'Revenue BuildUp'!$H$54:$Q$54)</f>
        <v>0.25</v>
      </c>
      <c r="I49" s="277">
        <f>CHOOSE(Assumption!$C$8,'Revenue BuildUp'!$H$52:$Q$52,'Revenue BuildUp'!$H$53:$Q$53,'Revenue BuildUp'!$H$54:$Q$54)</f>
        <v>0.215</v>
      </c>
      <c r="J49" s="277">
        <f>CHOOSE(Assumption!$C$8,'Revenue BuildUp'!$H$52:$Q$52,'Revenue BuildUp'!$H$53:$Q$53,'Revenue BuildUp'!$H$54:$Q$54)</f>
        <v>0.18489999999999998</v>
      </c>
      <c r="K49" s="277">
        <f>CHOOSE(Assumption!$C$8,'Revenue BuildUp'!$H$52:$Q$52,'Revenue BuildUp'!$H$53:$Q$53,'Revenue BuildUp'!$H$54:$Q$54)</f>
        <v>0.15901399999999999</v>
      </c>
      <c r="L49" s="277">
        <f>CHOOSE(Assumption!$C$8,'Revenue BuildUp'!$H$52:$Q$52,'Revenue BuildUp'!$H$53:$Q$53,'Revenue BuildUp'!$H$54:$Q$54)</f>
        <v>0.13675203999999999</v>
      </c>
      <c r="M49" s="277">
        <f>CHOOSE(Assumption!$C$8,'Revenue BuildUp'!$H$52:$Q$52,'Revenue BuildUp'!$H$53:$Q$53,'Revenue BuildUp'!$H$54:$Q$54)</f>
        <v>0.11760675439999999</v>
      </c>
      <c r="N49" s="277">
        <f>CHOOSE(Assumption!$C$8,'Revenue BuildUp'!$H$52:$Q$52,'Revenue BuildUp'!$H$53:$Q$53,'Revenue BuildUp'!$H$54:$Q$54)</f>
        <v>0.10114180878399999</v>
      </c>
      <c r="O49" s="277">
        <f>CHOOSE(Assumption!$C$8,'Revenue BuildUp'!$H$52:$Q$52,'Revenue BuildUp'!$H$53:$Q$53,'Revenue BuildUp'!$H$54:$Q$54)</f>
        <v>8.6981955554239987E-2</v>
      </c>
      <c r="P49" s="277">
        <f>CHOOSE(Assumption!$C$8,'Revenue BuildUp'!$H$52:$Q$52,'Revenue BuildUp'!$H$53:$Q$53,'Revenue BuildUp'!$H$54:$Q$54)</f>
        <v>7.4804481776646392E-2</v>
      </c>
      <c r="Q49" s="277">
        <f>CHOOSE(Assumption!$C$8,'Revenue BuildUp'!$H$52:$Q$52,'Revenue BuildUp'!$H$53:$Q$53,'Revenue BuildUp'!$H$54:$Q$54)</f>
        <v>6.4331854327915897E-2</v>
      </c>
    </row>
    <row r="50" spans="2:17" x14ac:dyDescent="0.25">
      <c r="C50" s="4"/>
      <c r="D50" s="4"/>
      <c r="E50" s="4"/>
      <c r="F50" s="4"/>
      <c r="G50" s="4"/>
    </row>
    <row r="51" spans="2:17" x14ac:dyDescent="0.25">
      <c r="B51" s="14" t="s">
        <v>131</v>
      </c>
      <c r="C51" s="4"/>
      <c r="D51" s="4"/>
      <c r="E51" s="4"/>
      <c r="F51" s="4"/>
      <c r="G51" s="4"/>
    </row>
    <row r="52" spans="2:17" x14ac:dyDescent="0.25">
      <c r="B52" s="16" t="s">
        <v>132</v>
      </c>
      <c r="C52" s="17"/>
      <c r="D52" s="17"/>
      <c r="E52" s="17"/>
      <c r="F52" s="17"/>
      <c r="G52" s="17"/>
      <c r="H52" s="226">
        <f>H53+5%</f>
        <v>0.3</v>
      </c>
      <c r="I52" s="18">
        <f>H52*(1-$C$55)</f>
        <v>0.25800000000000001</v>
      </c>
      <c r="J52" s="18">
        <f t="shared" ref="J52:Q52" si="27">I52*(1-$C$55)</f>
        <v>0.22187999999999999</v>
      </c>
      <c r="K52" s="18">
        <f t="shared" si="27"/>
        <v>0.19081679999999998</v>
      </c>
      <c r="L52" s="18">
        <f t="shared" si="27"/>
        <v>0.16410244799999998</v>
      </c>
      <c r="M52" s="18">
        <f t="shared" si="27"/>
        <v>0.14112810527999997</v>
      </c>
      <c r="N52" s="18">
        <f t="shared" si="27"/>
        <v>0.12137017054079997</v>
      </c>
      <c r="O52" s="18">
        <f t="shared" si="27"/>
        <v>0.10437834666508798</v>
      </c>
      <c r="P52" s="18">
        <f t="shared" si="27"/>
        <v>8.9765378131975659E-2</v>
      </c>
      <c r="Q52" s="18">
        <f t="shared" si="27"/>
        <v>7.7198225193499059E-2</v>
      </c>
    </row>
    <row r="53" spans="2:17" x14ac:dyDescent="0.25">
      <c r="B53" s="16" t="s">
        <v>133</v>
      </c>
      <c r="C53" s="17"/>
      <c r="D53" s="17"/>
      <c r="E53" s="17"/>
      <c r="F53" s="17"/>
      <c r="G53" s="17"/>
      <c r="H53" s="18">
        <v>0.25</v>
      </c>
      <c r="I53" s="18">
        <f>H53*(1-$C$55)</f>
        <v>0.215</v>
      </c>
      <c r="J53" s="18">
        <f t="shared" ref="J53:Q53" si="28">I53*(1-$C$55)</f>
        <v>0.18489999999999998</v>
      </c>
      <c r="K53" s="18">
        <f t="shared" si="28"/>
        <v>0.15901399999999999</v>
      </c>
      <c r="L53" s="18">
        <f t="shared" si="28"/>
        <v>0.13675203999999999</v>
      </c>
      <c r="M53" s="18">
        <f t="shared" si="28"/>
        <v>0.11760675439999999</v>
      </c>
      <c r="N53" s="18">
        <f t="shared" si="28"/>
        <v>0.10114180878399999</v>
      </c>
      <c r="O53" s="18">
        <f t="shared" si="28"/>
        <v>8.6981955554239987E-2</v>
      </c>
      <c r="P53" s="18">
        <f t="shared" si="28"/>
        <v>7.4804481776646392E-2</v>
      </c>
      <c r="Q53" s="18">
        <f t="shared" si="28"/>
        <v>6.4331854327915897E-2</v>
      </c>
    </row>
    <row r="54" spans="2:17" x14ac:dyDescent="0.25">
      <c r="B54" s="16" t="s">
        <v>134</v>
      </c>
      <c r="C54" s="17"/>
      <c r="D54" s="17"/>
      <c r="E54" s="17"/>
      <c r="F54" s="17"/>
      <c r="G54" s="17"/>
      <c r="H54" s="226">
        <f>H53-5%</f>
        <v>0.2</v>
      </c>
      <c r="I54" s="18">
        <f>H54*(1-$C$55)</f>
        <v>0.17200000000000001</v>
      </c>
      <c r="J54" s="18">
        <f t="shared" ref="J54:Q54" si="29">I54*(1-$C$55)</f>
        <v>0.14792</v>
      </c>
      <c r="K54" s="18">
        <f t="shared" si="29"/>
        <v>0.1272112</v>
      </c>
      <c r="L54" s="18">
        <f t="shared" si="29"/>
        <v>0.109401632</v>
      </c>
      <c r="M54" s="18">
        <f t="shared" si="29"/>
        <v>9.4085403519999999E-2</v>
      </c>
      <c r="N54" s="18">
        <f t="shared" si="29"/>
        <v>8.0913447027199992E-2</v>
      </c>
      <c r="O54" s="18">
        <f t="shared" si="29"/>
        <v>6.9585564443391992E-2</v>
      </c>
      <c r="P54" s="18">
        <f t="shared" si="29"/>
        <v>5.9843585421317111E-2</v>
      </c>
      <c r="Q54" s="18">
        <f t="shared" si="29"/>
        <v>5.1465483462332713E-2</v>
      </c>
    </row>
    <row r="55" spans="2:17" x14ac:dyDescent="0.25">
      <c r="B55" s="278" t="s">
        <v>135</v>
      </c>
      <c r="C55" s="279">
        <f>C35</f>
        <v>0.14000000000000001</v>
      </c>
      <c r="D55" s="4"/>
      <c r="E55" s="4"/>
      <c r="F55" s="4"/>
      <c r="G55" s="4"/>
    </row>
    <row r="56" spans="2:17" x14ac:dyDescent="0.25">
      <c r="C56" s="4"/>
      <c r="D56" s="4"/>
      <c r="E56" s="4"/>
      <c r="F56" s="4"/>
      <c r="G56" s="4"/>
    </row>
    <row r="58" spans="2:17" x14ac:dyDescent="0.25">
      <c r="B58" t="s">
        <v>466</v>
      </c>
      <c r="C58" s="324">
        <f>'Historical P&amp;L'!C11</f>
        <v>2424</v>
      </c>
      <c r="D58" s="324">
        <f>'Historical P&amp;L'!D11</f>
        <v>3710</v>
      </c>
      <c r="E58" s="324">
        <f>'Historical P&amp;L'!E11</f>
        <v>2111</v>
      </c>
      <c r="F58" s="324">
        <f>'Historical P&amp;L'!F11</f>
        <v>8537</v>
      </c>
      <c r="G58" s="324">
        <f>'Historical P&amp;L'!G11</f>
        <v>10138</v>
      </c>
      <c r="H58" s="150">
        <f t="shared" ref="H58:Q58" si="30">H59*H10</f>
        <v>9151.9283271080294</v>
      </c>
      <c r="I58" s="150">
        <f t="shared" si="30"/>
        <v>10905.03191846962</v>
      </c>
      <c r="J58" s="150">
        <f t="shared" si="30"/>
        <v>12709.759031366604</v>
      </c>
      <c r="K58" s="150">
        <f t="shared" si="30"/>
        <v>14525.686499553978</v>
      </c>
      <c r="L58" s="150">
        <f t="shared" si="30"/>
        <v>16316.345702135577</v>
      </c>
      <c r="M58" s="150">
        <f t="shared" si="30"/>
        <v>18050.930633942553</v>
      </c>
      <c r="N58" s="150">
        <f t="shared" si="30"/>
        <v>19705.120863789136</v>
      </c>
      <c r="O58" s="150">
        <f t="shared" si="30"/>
        <v>21261.173704695215</v>
      </c>
      <c r="P58" s="150">
        <f t="shared" si="30"/>
        <v>22707.487337991832</v>
      </c>
      <c r="Q58" s="150">
        <f t="shared" si="30"/>
        <v>24037.835361381509</v>
      </c>
    </row>
    <row r="59" spans="2:17" x14ac:dyDescent="0.25">
      <c r="B59" s="16" t="s">
        <v>137</v>
      </c>
      <c r="C59" s="17">
        <f>C58/C10</f>
        <v>3.1341720432888118E-2</v>
      </c>
      <c r="D59" s="17">
        <f>D58/D10</f>
        <v>3.3923101540712292E-2</v>
      </c>
      <c r="E59" s="17">
        <f>E58/E10</f>
        <v>1.4769570905834365E-2</v>
      </c>
      <c r="F59" s="17">
        <f>F58/F10</f>
        <v>5.2546378934669409E-2</v>
      </c>
      <c r="G59" s="17">
        <f>G58/G10</f>
        <v>4.919353273422488E-2</v>
      </c>
      <c r="H59" s="18">
        <f>AVERAGE(C59:G59)</f>
        <v>3.6354860909665818E-2</v>
      </c>
      <c r="I59" s="18">
        <f>H59</f>
        <v>3.6354860909665818E-2</v>
      </c>
      <c r="J59" s="18">
        <f t="shared" ref="J59:Q59" si="31">I59</f>
        <v>3.6354860909665818E-2</v>
      </c>
      <c r="K59" s="18">
        <f t="shared" si="31"/>
        <v>3.6354860909665818E-2</v>
      </c>
      <c r="L59" s="18">
        <f t="shared" si="31"/>
        <v>3.6354860909665818E-2</v>
      </c>
      <c r="M59" s="18">
        <f t="shared" si="31"/>
        <v>3.6354860909665818E-2</v>
      </c>
      <c r="N59" s="18">
        <f t="shared" si="31"/>
        <v>3.6354860909665818E-2</v>
      </c>
      <c r="O59" s="18">
        <f t="shared" si="31"/>
        <v>3.6354860909665818E-2</v>
      </c>
      <c r="P59" s="18">
        <f t="shared" si="31"/>
        <v>3.6354860909665818E-2</v>
      </c>
      <c r="Q59" s="18">
        <f t="shared" si="31"/>
        <v>3.6354860909665818E-2</v>
      </c>
    </row>
    <row r="62" spans="2:17" x14ac:dyDescent="0.25">
      <c r="B62" t="s">
        <v>19</v>
      </c>
      <c r="C62" s="324">
        <f>'Historical P&amp;L'!C23</f>
        <v>0</v>
      </c>
      <c r="D62" s="324">
        <f>'Historical P&amp;L'!D23</f>
        <v>-609</v>
      </c>
      <c r="E62" s="324">
        <f>'Historical P&amp;L'!E23</f>
        <v>-634</v>
      </c>
      <c r="F62" s="324">
        <f>'Historical P&amp;L'!F23</f>
        <v>1402</v>
      </c>
      <c r="G62" s="324">
        <f>'Historical P&amp;L'!G23</f>
        <v>-1216</v>
      </c>
      <c r="H62" s="150">
        <f t="shared" ref="H62:Q62" si="32">H63*H10</f>
        <v>-366.29435709630025</v>
      </c>
      <c r="I62" s="150">
        <f t="shared" si="32"/>
        <v>-436.46011123785678</v>
      </c>
      <c r="J62" s="150">
        <f t="shared" si="32"/>
        <v>-508.69203154199613</v>
      </c>
      <c r="K62" s="150">
        <f t="shared" si="32"/>
        <v>-581.37223190184704</v>
      </c>
      <c r="L62" s="150">
        <f t="shared" si="32"/>
        <v>-653.0411018869188</v>
      </c>
      <c r="M62" s="150">
        <f t="shared" si="32"/>
        <v>-722.4656700998496</v>
      </c>
      <c r="N62" s="150">
        <f t="shared" si="32"/>
        <v>-788.67254203982077</v>
      </c>
      <c r="O62" s="150">
        <f t="shared" si="32"/>
        <v>-850.95158909914937</v>
      </c>
      <c r="P62" s="150">
        <f t="shared" si="32"/>
        <v>-908.83846315811672</v>
      </c>
      <c r="Q62" s="150">
        <f t="shared" si="32"/>
        <v>-962.08396033912879</v>
      </c>
    </row>
    <row r="63" spans="2:17" x14ac:dyDescent="0.25">
      <c r="B63" s="16" t="s">
        <v>137</v>
      </c>
      <c r="C63" s="17">
        <f>C62/C10</f>
        <v>0</v>
      </c>
      <c r="D63" s="17">
        <f>D62/D10</f>
        <v>-5.5685091208339046E-3</v>
      </c>
      <c r="E63" s="17">
        <f>E62/E10</f>
        <v>-4.4357688082894307E-3</v>
      </c>
      <c r="F63" s="17">
        <f>F62/F10</f>
        <v>8.6294978641685022E-3</v>
      </c>
      <c r="G63" s="17">
        <f>G62/G10</f>
        <v>-5.9005065895460108E-3</v>
      </c>
      <c r="H63" s="18">
        <f>AVERAGE(C63:G63)</f>
        <v>-1.4550573309001689E-3</v>
      </c>
      <c r="I63" s="18">
        <f>H63</f>
        <v>-1.4550573309001689E-3</v>
      </c>
      <c r="J63" s="18">
        <f t="shared" ref="J63:Q63" si="33">I63</f>
        <v>-1.4550573309001689E-3</v>
      </c>
      <c r="K63" s="18">
        <f t="shared" si="33"/>
        <v>-1.4550573309001689E-3</v>
      </c>
      <c r="L63" s="18">
        <f t="shared" si="33"/>
        <v>-1.4550573309001689E-3</v>
      </c>
      <c r="M63" s="18">
        <f t="shared" si="33"/>
        <v>-1.4550573309001689E-3</v>
      </c>
      <c r="N63" s="18">
        <f t="shared" si="33"/>
        <v>-1.4550573309001689E-3</v>
      </c>
      <c r="O63" s="18">
        <f t="shared" si="33"/>
        <v>-1.4550573309001689E-3</v>
      </c>
      <c r="P63" s="18">
        <f t="shared" si="33"/>
        <v>-1.4550573309001689E-3</v>
      </c>
      <c r="Q63" s="18">
        <f t="shared" si="33"/>
        <v>-1.4550573309001689E-3</v>
      </c>
    </row>
    <row r="65" spans="2:17" x14ac:dyDescent="0.25">
      <c r="B65" s="222"/>
      <c r="C65" s="222"/>
      <c r="D65" s="222"/>
      <c r="E65" s="222"/>
      <c r="F65" s="222"/>
      <c r="G65" s="222"/>
      <c r="H65" s="222"/>
      <c r="I65" s="222"/>
      <c r="J65" s="222"/>
      <c r="K65" s="222"/>
      <c r="L65" s="222"/>
      <c r="M65" s="222"/>
      <c r="N65" s="222"/>
      <c r="O65" s="222"/>
      <c r="P65" s="222"/>
      <c r="Q65" s="222"/>
    </row>
  </sheetData>
  <mergeCells count="2">
    <mergeCell ref="B5:Q5"/>
    <mergeCell ref="B7:B8"/>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Q95"/>
  <sheetViews>
    <sheetView showGridLines="0" workbookViewId="0">
      <selection activeCell="B8" sqref="B8:Q9"/>
    </sheetView>
  </sheetViews>
  <sheetFormatPr defaultRowHeight="15" x14ac:dyDescent="0.25"/>
  <cols>
    <col min="1" max="1" width="1.85546875" customWidth="1"/>
    <col min="2" max="2" width="40.85546875" bestFit="1" customWidth="1"/>
  </cols>
  <sheetData>
    <row r="6" spans="2:17" x14ac:dyDescent="0.25">
      <c r="B6" s="422" t="s">
        <v>390</v>
      </c>
      <c r="C6" s="422"/>
      <c r="D6" s="422"/>
      <c r="E6" s="422"/>
      <c r="F6" s="422"/>
      <c r="G6" s="422"/>
      <c r="H6" s="422"/>
      <c r="I6" s="422"/>
      <c r="J6" s="422"/>
      <c r="K6" s="422"/>
      <c r="L6" s="422"/>
      <c r="M6" s="422"/>
      <c r="N6" s="422"/>
      <c r="O6" s="422"/>
      <c r="P6" s="422"/>
      <c r="Q6" s="422"/>
    </row>
    <row r="7" spans="2:17" x14ac:dyDescent="0.25">
      <c r="B7" s="70" t="s">
        <v>353</v>
      </c>
    </row>
    <row r="8" spans="2:17" x14ac:dyDescent="0.25">
      <c r="B8" s="423" t="s">
        <v>17</v>
      </c>
      <c r="C8" s="346">
        <v>2021</v>
      </c>
      <c r="D8" s="346">
        <f>C8+1</f>
        <v>2022</v>
      </c>
      <c r="E8" s="346">
        <f t="shared" ref="E8:G8" si="0">D8+1</f>
        <v>2023</v>
      </c>
      <c r="F8" s="346">
        <f t="shared" si="0"/>
        <v>2024</v>
      </c>
      <c r="G8" s="346">
        <f t="shared" si="0"/>
        <v>2025</v>
      </c>
      <c r="H8" s="346">
        <f>G8+1</f>
        <v>2026</v>
      </c>
      <c r="I8" s="346">
        <f t="shared" ref="I8:Q8" si="1">H8+1</f>
        <v>2027</v>
      </c>
      <c r="J8" s="346">
        <f t="shared" si="1"/>
        <v>2028</v>
      </c>
      <c r="K8" s="346">
        <f t="shared" si="1"/>
        <v>2029</v>
      </c>
      <c r="L8" s="346">
        <f t="shared" si="1"/>
        <v>2030</v>
      </c>
      <c r="M8" s="346">
        <f t="shared" si="1"/>
        <v>2031</v>
      </c>
      <c r="N8" s="346">
        <f t="shared" si="1"/>
        <v>2032</v>
      </c>
      <c r="O8" s="346">
        <f t="shared" si="1"/>
        <v>2033</v>
      </c>
      <c r="P8" s="346">
        <f t="shared" si="1"/>
        <v>2034</v>
      </c>
      <c r="Q8" s="346">
        <f t="shared" si="1"/>
        <v>2035</v>
      </c>
    </row>
    <row r="9" spans="2:17" x14ac:dyDescent="0.25">
      <c r="B9" s="424"/>
      <c r="C9" s="347" t="s">
        <v>291</v>
      </c>
      <c r="D9" s="347" t="s">
        <v>291</v>
      </c>
      <c r="E9" s="347" t="s">
        <v>291</v>
      </c>
      <c r="F9" s="347" t="s">
        <v>291</v>
      </c>
      <c r="G9" s="347" t="s">
        <v>291</v>
      </c>
      <c r="H9" s="347" t="s">
        <v>509</v>
      </c>
      <c r="I9" s="347" t="s">
        <v>510</v>
      </c>
      <c r="J9" s="347" t="s">
        <v>510</v>
      </c>
      <c r="K9" s="347" t="s">
        <v>510</v>
      </c>
      <c r="L9" s="347" t="s">
        <v>510</v>
      </c>
      <c r="M9" s="347" t="s">
        <v>510</v>
      </c>
      <c r="N9" s="347" t="s">
        <v>510</v>
      </c>
      <c r="O9" s="347" t="s">
        <v>510</v>
      </c>
      <c r="P9" s="347" t="s">
        <v>510</v>
      </c>
      <c r="Q9" s="347" t="s">
        <v>510</v>
      </c>
    </row>
    <row r="10" spans="2:17" x14ac:dyDescent="0.25">
      <c r="B10" s="348"/>
      <c r="C10" s="349"/>
      <c r="D10" s="349"/>
      <c r="E10" s="349"/>
      <c r="F10" s="349"/>
      <c r="G10" s="349"/>
      <c r="H10" s="349"/>
      <c r="I10" s="349"/>
      <c r="J10" s="349"/>
      <c r="K10" s="349"/>
      <c r="L10" s="349"/>
      <c r="M10" s="349"/>
      <c r="N10" s="349"/>
      <c r="O10" s="349"/>
      <c r="P10" s="349"/>
      <c r="Q10" s="349"/>
    </row>
    <row r="11" spans="2:17" x14ac:dyDescent="0.25">
      <c r="B11" s="1" t="s">
        <v>130</v>
      </c>
      <c r="C11" s="224">
        <f>'Profit &amp; Loss Statement'!C9/'Profit &amp; Loss Statement'!C$9</f>
        <v>1</v>
      </c>
      <c r="D11" s="224">
        <f>'Profit &amp; Loss Statement'!D9/'Profit &amp; Loss Statement'!D$9</f>
        <v>1</v>
      </c>
      <c r="E11" s="224">
        <f>'Profit &amp; Loss Statement'!E9/'Profit &amp; Loss Statement'!E$9</f>
        <v>1</v>
      </c>
      <c r="F11" s="224">
        <f>'Profit &amp; Loss Statement'!F9/'Profit &amp; Loss Statement'!F$9</f>
        <v>1</v>
      </c>
      <c r="G11" s="224">
        <f>'Profit &amp; Loss Statement'!G9/'Profit &amp; Loss Statement'!G$9</f>
        <v>1</v>
      </c>
      <c r="H11" s="224">
        <f>'Profit &amp; Loss Statement'!H9/'Profit &amp; Loss Statement'!H$9</f>
        <v>1</v>
      </c>
      <c r="I11" s="224">
        <f>'Profit &amp; Loss Statement'!I9/'Profit &amp; Loss Statement'!I$9</f>
        <v>1</v>
      </c>
      <c r="J11" s="224">
        <f>'Profit &amp; Loss Statement'!J9/'Profit &amp; Loss Statement'!J$9</f>
        <v>1</v>
      </c>
      <c r="K11" s="224">
        <f>'Profit &amp; Loss Statement'!K9/'Profit &amp; Loss Statement'!K$9</f>
        <v>1</v>
      </c>
      <c r="L11" s="224">
        <f>'Profit &amp; Loss Statement'!L9/'Profit &amp; Loss Statement'!L$9</f>
        <v>1</v>
      </c>
      <c r="M11" s="224">
        <f>'Profit &amp; Loss Statement'!M9/'Profit &amp; Loss Statement'!M$9</f>
        <v>1</v>
      </c>
      <c r="N11" s="224">
        <f>'Profit &amp; Loss Statement'!N9/'Profit &amp; Loss Statement'!N$9</f>
        <v>1</v>
      </c>
      <c r="O11" s="224">
        <f>'Profit &amp; Loss Statement'!O9/'Profit &amp; Loss Statement'!O$9</f>
        <v>1</v>
      </c>
      <c r="P11" s="224">
        <f>'Profit &amp; Loss Statement'!P9/'Profit &amp; Loss Statement'!P$9</f>
        <v>1</v>
      </c>
      <c r="Q11" s="224">
        <f>'Profit &amp; Loss Statement'!Q9/'Profit &amp; Loss Statement'!Q$9</f>
        <v>1</v>
      </c>
    </row>
    <row r="13" spans="2:17" x14ac:dyDescent="0.25">
      <c r="B13" s="1" t="s">
        <v>157</v>
      </c>
      <c r="C13" s="10"/>
      <c r="D13" s="10"/>
      <c r="E13" s="10"/>
      <c r="F13" s="10"/>
      <c r="G13" s="10"/>
      <c r="H13" s="10"/>
      <c r="I13" s="10"/>
      <c r="J13" s="10"/>
      <c r="K13" s="10"/>
      <c r="L13" s="10"/>
      <c r="M13" s="10"/>
      <c r="N13" s="10"/>
      <c r="O13" s="10"/>
      <c r="P13" s="10"/>
      <c r="Q13" s="10"/>
    </row>
    <row r="14" spans="2:17" x14ac:dyDescent="0.25">
      <c r="B14" s="2" t="s">
        <v>452</v>
      </c>
      <c r="C14" s="216">
        <f>'Profit &amp; Loss Statement'!C14/'Profit &amp; Loss Statement'!C10</f>
        <v>0.58491615055403989</v>
      </c>
      <c r="D14" s="216">
        <f>'Profit &amp; Loss Statement'!D14/'Profit &amp; Loss Statement'!D10</f>
        <v>0.56690897453481459</v>
      </c>
      <c r="E14" s="216">
        <f>'Profit &amp; Loss Statement'!E14/'Profit &amp; Loss Statement'!E10</f>
        <v>0.56448306501829582</v>
      </c>
      <c r="F14" s="216">
        <f>'Profit &amp; Loss Statement'!F14/'Profit &amp; Loss Statement'!F10</f>
        <v>0.62455529156869749</v>
      </c>
      <c r="G14" s="216">
        <f>'Profit &amp; Loss Statement'!G14/'Profit &amp; Loss Statement'!G10</f>
        <v>0.66251625550746296</v>
      </c>
      <c r="H14" s="216">
        <f>'Profit &amp; Loss Statement'!H14/'Profit &amp; Loss Statement'!H10</f>
        <v>0.60067594743666208</v>
      </c>
      <c r="I14" s="216">
        <f>'Profit &amp; Loss Statement'!I14/'Profit &amp; Loss Statement'!I10</f>
        <v>0.60067594743666208</v>
      </c>
      <c r="J14" s="216">
        <f>'Profit &amp; Loss Statement'!J14/'Profit &amp; Loss Statement'!J10</f>
        <v>0.60067594743666208</v>
      </c>
      <c r="K14" s="216">
        <f>'Profit &amp; Loss Statement'!K14/'Profit &amp; Loss Statement'!K10</f>
        <v>0.60067594743666208</v>
      </c>
      <c r="L14" s="216">
        <f>'Profit &amp; Loss Statement'!L14/'Profit &amp; Loss Statement'!L10</f>
        <v>0.60067594743666208</v>
      </c>
      <c r="M14" s="216">
        <f>'Profit &amp; Loss Statement'!M14/'Profit &amp; Loss Statement'!M10</f>
        <v>0.60067594743666208</v>
      </c>
      <c r="N14" s="216">
        <f>'Profit &amp; Loss Statement'!N14/'Profit &amp; Loss Statement'!N10</f>
        <v>0.60067594743666208</v>
      </c>
      <c r="O14" s="216">
        <f>'Profit &amp; Loss Statement'!O14/'Profit &amp; Loss Statement'!O10</f>
        <v>0.60067594743666208</v>
      </c>
      <c r="P14" s="216">
        <f>'Profit &amp; Loss Statement'!P14/'Profit &amp; Loss Statement'!P10</f>
        <v>0.60067594743666208</v>
      </c>
      <c r="Q14" s="216">
        <f>'Profit &amp; Loss Statement'!Q14/'Profit &amp; Loss Statement'!Q10</f>
        <v>0.60067594743666208</v>
      </c>
    </row>
    <row r="15" spans="2:17" x14ac:dyDescent="0.25">
      <c r="B15" t="s">
        <v>8</v>
      </c>
      <c r="C15" s="216">
        <f>'Profit &amp; Loss Statement'!C15/'Profit &amp; Loss Statement'!C$9</f>
        <v>0.16749201587773627</v>
      </c>
      <c r="D15" s="216">
        <f>'Profit &amp; Loss Statement'!D15/'Profit &amp; Loss Statement'!D$9</f>
        <v>0.19748548438714397</v>
      </c>
      <c r="E15" s="216">
        <f>'Profit &amp; Loss Statement'!E15/'Profit &amp; Loss Statement'!E$9</f>
        <v>0.18444122606329016</v>
      </c>
      <c r="F15" s="216">
        <f>'Profit &amp; Loss Statement'!F15/'Profit &amp; Loss Statement'!F$9</f>
        <v>0.16546231211453474</v>
      </c>
      <c r="G15" s="216">
        <f>'Profit &amp; Loss Statement'!G15/'Profit &amp; Loss Statement'!G$9</f>
        <v>0.15779002736748121</v>
      </c>
      <c r="H15" s="216">
        <f>'Profit &amp; Loss Statement'!H15/'Profit &amp; Loss Statement'!H$9</f>
        <v>0.17453421316203727</v>
      </c>
      <c r="I15" s="216">
        <f>'Profit &amp; Loss Statement'!I15/'Profit &amp; Loss Statement'!I$9</f>
        <v>0.17453421316203727</v>
      </c>
      <c r="J15" s="216">
        <f>'Profit &amp; Loss Statement'!J15/'Profit &amp; Loss Statement'!J$9</f>
        <v>0.17453421316203727</v>
      </c>
      <c r="K15" s="216">
        <f>'Profit &amp; Loss Statement'!K15/'Profit &amp; Loss Statement'!K$9</f>
        <v>0.17453421316203727</v>
      </c>
      <c r="L15" s="216">
        <f>'Profit &amp; Loss Statement'!L15/'Profit &amp; Loss Statement'!L$9</f>
        <v>0.17453421316203727</v>
      </c>
      <c r="M15" s="216">
        <f>'Profit &amp; Loss Statement'!M15/'Profit &amp; Loss Statement'!M$9</f>
        <v>0.17453421316203727</v>
      </c>
      <c r="N15" s="216">
        <f>'Profit &amp; Loss Statement'!N15/'Profit &amp; Loss Statement'!N$9</f>
        <v>0.17453421316203727</v>
      </c>
      <c r="O15" s="216">
        <f>'Profit &amp; Loss Statement'!O15/'Profit &amp; Loss Statement'!O$9</f>
        <v>0.17453421316203727</v>
      </c>
      <c r="P15" s="216">
        <f>'Profit &amp; Loss Statement'!P15/'Profit &amp; Loss Statement'!P$9</f>
        <v>0.17453421316203727</v>
      </c>
      <c r="Q15" s="216">
        <f>'Profit &amp; Loss Statement'!Q15/'Profit &amp; Loss Statement'!Q$9</f>
        <v>0.17453421316203727</v>
      </c>
    </row>
    <row r="16" spans="2:17" x14ac:dyDescent="0.25">
      <c r="B16" t="s">
        <v>18</v>
      </c>
      <c r="C16" s="216">
        <f>'Profit &amp; Loss Statement'!C16/'Profit &amp; Loss Statement'!C$9</f>
        <v>0</v>
      </c>
      <c r="D16" s="216">
        <f>'Profit &amp; Loss Statement'!D16/'Profit &amp; Loss Statement'!D$9</f>
        <v>0</v>
      </c>
      <c r="E16" s="216">
        <f>'Profit &amp; Loss Statement'!E16/'Profit &amp; Loss Statement'!E$9</f>
        <v>0</v>
      </c>
      <c r="F16" s="216">
        <f>'Profit &amp; Loss Statement'!F16/'Profit &amp; Loss Statement'!F$9</f>
        <v>3.2622210185515739E-3</v>
      </c>
      <c r="G16" s="216">
        <f>'Profit &amp; Loss Statement'!G16/'Profit &amp; Loss Statement'!G$9</f>
        <v>7.7153005570544048E-3</v>
      </c>
      <c r="H16" s="216">
        <f>'Profit &amp; Loss Statement'!H16/'Profit &amp; Loss Statement'!H$9</f>
        <v>2.1955043151211952E-3</v>
      </c>
      <c r="I16" s="216">
        <f>'Profit &amp; Loss Statement'!I16/'Profit &amp; Loss Statement'!I$9</f>
        <v>2.1955043151211957E-3</v>
      </c>
      <c r="J16" s="216">
        <f>'Profit &amp; Loss Statement'!J16/'Profit &amp; Loss Statement'!J$9</f>
        <v>2.1955043151211957E-3</v>
      </c>
      <c r="K16" s="216">
        <f>'Profit &amp; Loss Statement'!K16/'Profit &amp; Loss Statement'!K$9</f>
        <v>2.1955043151211957E-3</v>
      </c>
      <c r="L16" s="216">
        <f>'Profit &amp; Loss Statement'!L16/'Profit &amp; Loss Statement'!L$9</f>
        <v>2.1955043151211957E-3</v>
      </c>
      <c r="M16" s="216">
        <f>'Profit &amp; Loss Statement'!M16/'Profit &amp; Loss Statement'!M$9</f>
        <v>2.1955043151211957E-3</v>
      </c>
      <c r="N16" s="216">
        <f>'Profit &amp; Loss Statement'!N16/'Profit &amp; Loss Statement'!N$9</f>
        <v>2.1955043151211957E-3</v>
      </c>
      <c r="O16" s="216">
        <f>'Profit &amp; Loss Statement'!O16/'Profit &amp; Loss Statement'!O$9</f>
        <v>2.1955043151211957E-3</v>
      </c>
      <c r="P16" s="216">
        <f>'Profit &amp; Loss Statement'!P16/'Profit &amp; Loss Statement'!P$9</f>
        <v>2.1955043151211957E-3</v>
      </c>
      <c r="Q16" s="216">
        <f>'Profit &amp; Loss Statement'!Q16/'Profit &amp; Loss Statement'!Q$9</f>
        <v>2.1955043151211957E-3</v>
      </c>
    </row>
    <row r="17" spans="2:17" x14ac:dyDescent="0.25">
      <c r="B17" s="8" t="s">
        <v>158</v>
      </c>
      <c r="C17" s="131">
        <f>'Profit &amp; Loss Statement'!C17/'Profit &amp; Loss Statement'!C$9</f>
        <v>0.75240816643177622</v>
      </c>
      <c r="D17" s="131">
        <f>'Profit &amp; Loss Statement'!D17/'Profit &amp; Loss Statement'!D$9</f>
        <v>0.76439445892195856</v>
      </c>
      <c r="E17" s="131">
        <f>'Profit &amp; Loss Statement'!E17/'Profit &amp; Loss Statement'!E$9</f>
        <v>0.74892429108158598</v>
      </c>
      <c r="F17" s="131">
        <f>'Profit &amp; Loss Statement'!F17/'Profit &amp; Loss Statement'!F$9</f>
        <v>0.79327982470178371</v>
      </c>
      <c r="G17" s="131">
        <f>'Profit &amp; Loss Statement'!G17/'Profit &amp; Loss Statement'!G$9</f>
        <v>0.82802158343199861</v>
      </c>
      <c r="H17" s="131">
        <f>'Profit &amp; Loss Statement'!H17/'Profit &amp; Loss Statement'!H$9</f>
        <v>0.77740566491382057</v>
      </c>
      <c r="I17" s="131">
        <f>'Profit &amp; Loss Statement'!I17/'Profit &amp; Loss Statement'!I$9</f>
        <v>0.77740566491382057</v>
      </c>
      <c r="J17" s="131">
        <f>'Profit &amp; Loss Statement'!J17/'Profit &amp; Loss Statement'!J$9</f>
        <v>0.77740566491382057</v>
      </c>
      <c r="K17" s="131">
        <f>'Profit &amp; Loss Statement'!K17/'Profit &amp; Loss Statement'!K$9</f>
        <v>0.77740566491382068</v>
      </c>
      <c r="L17" s="131">
        <f>'Profit &amp; Loss Statement'!L17/'Profit &amp; Loss Statement'!L$9</f>
        <v>0.77740566491382057</v>
      </c>
      <c r="M17" s="131">
        <f>'Profit &amp; Loss Statement'!M17/'Profit &amp; Loss Statement'!M$9</f>
        <v>0.77740566491382057</v>
      </c>
      <c r="N17" s="131">
        <f>'Profit &amp; Loss Statement'!N17/'Profit &amp; Loss Statement'!N$9</f>
        <v>0.77740566491382046</v>
      </c>
      <c r="O17" s="131">
        <f>'Profit &amp; Loss Statement'!O17/'Profit &amp; Loss Statement'!O$9</f>
        <v>0.77740566491382057</v>
      </c>
      <c r="P17" s="131">
        <f>'Profit &amp; Loss Statement'!P17/'Profit &amp; Loss Statement'!P$9</f>
        <v>0.77740566491382046</v>
      </c>
      <c r="Q17" s="131">
        <f>'Profit &amp; Loss Statement'!Q17/'Profit &amp; Loss Statement'!Q$9</f>
        <v>0.77740566491382057</v>
      </c>
    </row>
    <row r="19" spans="2:17" x14ac:dyDescent="0.25">
      <c r="B19" s="8" t="s">
        <v>159</v>
      </c>
      <c r="C19" s="131">
        <f>'Profit &amp; Loss Statement'!C19/'Profit &amp; Loss Statement'!C$9</f>
        <v>0.24759183356822384</v>
      </c>
      <c r="D19" s="131">
        <f>'Profit &amp; Loss Statement'!D19/'Profit &amp; Loss Statement'!D$9</f>
        <v>0.23560554107804141</v>
      </c>
      <c r="E19" s="131">
        <f>'Profit &amp; Loss Statement'!E19/'Profit &amp; Loss Statement'!E$9</f>
        <v>0.25107570891841402</v>
      </c>
      <c r="F19" s="131">
        <f>'Profit &amp; Loss Statement'!F19/'Profit &amp; Loss Statement'!F$9</f>
        <v>0.20672017529821624</v>
      </c>
      <c r="G19" s="131">
        <f>'Profit &amp; Loss Statement'!G19/'Profit &amp; Loss Statement'!G$9</f>
        <v>0.17197841656800139</v>
      </c>
      <c r="H19" s="131">
        <f>'Profit &amp; Loss Statement'!H19/'Profit &amp; Loss Statement'!H$9</f>
        <v>0.22259433508617946</v>
      </c>
      <c r="I19" s="131">
        <f>'Profit &amp; Loss Statement'!I19/'Profit &amp; Loss Statement'!I$9</f>
        <v>0.22259433508617948</v>
      </c>
      <c r="J19" s="131">
        <f>'Profit &amp; Loss Statement'!J19/'Profit &amp; Loss Statement'!J$9</f>
        <v>0.22259433508617946</v>
      </c>
      <c r="K19" s="131">
        <f>'Profit &amp; Loss Statement'!K19/'Profit &amp; Loss Statement'!K$9</f>
        <v>0.22259433508617937</v>
      </c>
      <c r="L19" s="131">
        <f>'Profit &amp; Loss Statement'!L19/'Profit &amp; Loss Statement'!L$9</f>
        <v>0.22259433508617948</v>
      </c>
      <c r="M19" s="131">
        <f>'Profit &amp; Loss Statement'!M19/'Profit &amp; Loss Statement'!M$9</f>
        <v>0.2225943350861794</v>
      </c>
      <c r="N19" s="131">
        <f>'Profit &amp; Loss Statement'!N19/'Profit &amp; Loss Statement'!N$9</f>
        <v>0.22259433508617954</v>
      </c>
      <c r="O19" s="131">
        <f>'Profit &amp; Loss Statement'!O19/'Profit &amp; Loss Statement'!O$9</f>
        <v>0.22259433508617946</v>
      </c>
      <c r="P19" s="131">
        <f>'Profit &amp; Loss Statement'!P19/'Profit &amp; Loss Statement'!P$9</f>
        <v>0.22259433508617951</v>
      </c>
      <c r="Q19" s="131">
        <f>'Profit &amp; Loss Statement'!Q19/'Profit &amp; Loss Statement'!Q$9</f>
        <v>0.22259433508617943</v>
      </c>
    </row>
    <row r="21" spans="2:17" x14ac:dyDescent="0.25">
      <c r="B21" s="2" t="s">
        <v>160</v>
      </c>
      <c r="C21" s="216">
        <f>'Profit &amp; Loss Statement'!C21/'Profit &amp; Loss Statement'!C$9</f>
        <v>2.9402257534813358E-2</v>
      </c>
      <c r="D21" s="216">
        <f>'Profit &amp; Loss Statement'!D21/'Profit &amp; Loss Statement'!D$9</f>
        <v>3.0064463036620491E-2</v>
      </c>
      <c r="E21" s="216">
        <f>'Profit &amp; Loss Statement'!E21/'Profit &amp; Loss Statement'!E$9</f>
        <v>2.932225090779338E-2</v>
      </c>
      <c r="F21" s="216">
        <f>'Profit &amp; Loss Statement'!F21/'Profit &amp; Loss Statement'!F$9</f>
        <v>3.5878276070070048E-2</v>
      </c>
      <c r="G21" s="216">
        <f>'Profit &amp; Loss Statement'!G21/'Profit &amp; Loss Statement'!G$9</f>
        <v>4.3040701849731175E-2</v>
      </c>
      <c r="H21" s="216">
        <f>'Profit &amp; Loss Statement'!H21/'Profit &amp; Loss Statement'!H$9</f>
        <v>1.9346244558954409E-2</v>
      </c>
      <c r="I21" s="216">
        <f>'Profit &amp; Loss Statement'!I21/'Profit &amp; Loss Statement'!I$9</f>
        <v>1.6317303988711056E-2</v>
      </c>
      <c r="J21" s="216">
        <f>'Profit &amp; Loss Statement'!J21/'Profit &amp; Loss Statement'!J$9</f>
        <v>1.4070323755393688E-2</v>
      </c>
      <c r="K21" s="216">
        <f>'Profit &amp; Loss Statement'!K21/'Profit &amp; Loss Statement'!K$9</f>
        <v>1.2372880039233078E-2</v>
      </c>
      <c r="L21" s="216">
        <f>'Profit &amp; Loss Statement'!L21/'Profit &amp; Loss Statement'!L$9</f>
        <v>1.1070076763915358E-2</v>
      </c>
      <c r="M21" s="216">
        <f>'Profit &amp; Loss Statement'!M21/'Profit &amp; Loss Statement'!M$9</f>
        <v>1.0056341088864941E-2</v>
      </c>
      <c r="N21" s="216">
        <f>'Profit &amp; Loss Statement'!N21/'Profit &amp; Loss Statement'!N$9</f>
        <v>9.2581998488903746E-3</v>
      </c>
      <c r="O21" s="216">
        <f>'Profit &amp; Loss Statement'!O21/'Profit &amp; Loss Statement'!O$9</f>
        <v>8.6235181220511541E-3</v>
      </c>
      <c r="P21" s="216">
        <f>'Profit &amp; Loss Statement'!P21/'Profit &amp; Loss Statement'!P$9</f>
        <v>8.1146295307592022E-3</v>
      </c>
      <c r="Q21" s="216">
        <f>'Profit &amp; Loss Statement'!Q21/'Profit &amp; Loss Statement'!Q$9</f>
        <v>7.7038617984850569E-3</v>
      </c>
    </row>
    <row r="23" spans="2:17" x14ac:dyDescent="0.25">
      <c r="B23" s="8" t="s">
        <v>161</v>
      </c>
      <c r="C23" s="131">
        <f>'Profit &amp; Loss Statement'!C23/'Profit &amp; Loss Statement'!C$9</f>
        <v>0.21818957603341049</v>
      </c>
      <c r="D23" s="131">
        <f>'Profit &amp; Loss Statement'!D23/'Profit &amp; Loss Statement'!D$9</f>
        <v>0.20554107804142094</v>
      </c>
      <c r="E23" s="131">
        <f>'Profit &amp; Loss Statement'!E23/'Profit &amp; Loss Statement'!E$9</f>
        <v>0.22175345801062066</v>
      </c>
      <c r="F23" s="131">
        <f>'Profit &amp; Loss Statement'!F23/'Profit &amp; Loss Statement'!F$9</f>
        <v>0.17084189922814619</v>
      </c>
      <c r="G23" s="131">
        <f>'Profit &amp; Loss Statement'!G23/'Profit &amp; Loss Statement'!G$9</f>
        <v>0.12893771471827023</v>
      </c>
      <c r="H23" s="131">
        <f>'Profit &amp; Loss Statement'!H23/'Profit &amp; Loss Statement'!H$9</f>
        <v>0.20324809052722506</v>
      </c>
      <c r="I23" s="131">
        <f>'Profit &amp; Loss Statement'!I23/'Profit &amp; Loss Statement'!I$9</f>
        <v>0.20627703109746842</v>
      </c>
      <c r="J23" s="131">
        <f>'Profit &amp; Loss Statement'!J23/'Profit &amp; Loss Statement'!J$9</f>
        <v>0.20852401133078577</v>
      </c>
      <c r="K23" s="131">
        <f>'Profit &amp; Loss Statement'!K23/'Profit &amp; Loss Statement'!K$9</f>
        <v>0.21022145504694628</v>
      </c>
      <c r="L23" s="131">
        <f>'Profit &amp; Loss Statement'!L23/'Profit &amp; Loss Statement'!L$9</f>
        <v>0.2115242583222641</v>
      </c>
      <c r="M23" s="131">
        <f>'Profit &amp; Loss Statement'!M23/'Profit &amp; Loss Statement'!M$9</f>
        <v>0.21253799399731446</v>
      </c>
      <c r="N23" s="131">
        <f>'Profit &amp; Loss Statement'!N23/'Profit &amp; Loss Statement'!N$9</f>
        <v>0.21333613523728914</v>
      </c>
      <c r="O23" s="131">
        <f>'Profit &amp; Loss Statement'!O23/'Profit &amp; Loss Statement'!O$9</f>
        <v>0.21397081696412831</v>
      </c>
      <c r="P23" s="131">
        <f>'Profit &amp; Loss Statement'!P23/'Profit &amp; Loss Statement'!P$9</f>
        <v>0.21447970555542031</v>
      </c>
      <c r="Q23" s="131">
        <f>'Profit &amp; Loss Statement'!Q23/'Profit &amp; Loss Statement'!Q$9</f>
        <v>0.21489047328769437</v>
      </c>
    </row>
    <row r="25" spans="2:17" x14ac:dyDescent="0.25">
      <c r="B25" t="s">
        <v>162</v>
      </c>
      <c r="C25" s="216">
        <f>'Profit &amp; Loss Statement'!C25/'Profit &amp; Loss Statement'!C$9</f>
        <v>9.0120375997207181E-3</v>
      </c>
      <c r="D25" s="216">
        <f>'Profit &amp; Loss Statement'!D25/'Profit &amp; Loss Statement'!D$9</f>
        <v>9.0979746719700091E-3</v>
      </c>
      <c r="E25" s="216">
        <f>'Profit &amp; Loss Statement'!E25/'Profit &amp; Loss Statement'!E$9</f>
        <v>1.529430696359731E-2</v>
      </c>
      <c r="F25" s="216">
        <f>'Profit &amp; Loss Statement'!F25/'Profit &amp; Loss Statement'!F$9</f>
        <v>2.6017751406448117E-2</v>
      </c>
      <c r="G25" s="216">
        <f>'Profit &amp; Loss Statement'!G25/'Profit &amp; Loss Statement'!G$9</f>
        <v>4.8271578579608315E-2</v>
      </c>
      <c r="H25" s="216">
        <f>'Profit &amp; Loss Statement'!H25/'Profit &amp; Loss Statement'!H$9</f>
        <v>2.8073519886402901E-2</v>
      </c>
      <c r="I25" s="216">
        <f>'Profit &amp; Loss Statement'!I25/'Profit &amp; Loss Statement'!I$9</f>
        <v>2.1552733069780824E-2</v>
      </c>
      <c r="J25" s="216">
        <f>'Profit &amp; Loss Statement'!J25/'Profit &amp; Loss Statement'!J$9</f>
        <v>2.1772633705767742E-2</v>
      </c>
      <c r="K25" s="216">
        <f>'Profit &amp; Loss Statement'!K25/'Profit &amp; Loss Statement'!K$9</f>
        <v>2.1971615731191146E-2</v>
      </c>
      <c r="L25" s="216">
        <f>'Profit &amp; Loss Statement'!L25/'Profit &amp; Loss Statement'!L$9</f>
        <v>2.2150537313363746E-2</v>
      </c>
      <c r="M25" s="216">
        <f>'Profit &amp; Loss Statement'!M25/'Profit &amp; Loss Statement'!M$9</f>
        <v>2.2310520131207438E-2</v>
      </c>
      <c r="N25" s="216">
        <f>'Profit &amp; Loss Statement'!N25/'Profit &amp; Loss Statement'!N$9</f>
        <v>2.2452858756547657E-2</v>
      </c>
      <c r="O25" s="216">
        <f>'Profit &amp; Loss Statement'!O25/'Profit &amp; Loss Statement'!O$9</f>
        <v>2.2578943944274156E-2</v>
      </c>
      <c r="P25" s="216">
        <f>'Profit &amp; Loss Statement'!P25/'Profit &amp; Loss Statement'!P$9</f>
        <v>2.2690200701087886E-2</v>
      </c>
      <c r="Q25" s="216">
        <f>'Profit &amp; Loss Statement'!Q25/'Profit &amp; Loss Statement'!Q$9</f>
        <v>2.278804054580864E-2</v>
      </c>
    </row>
    <row r="26" spans="2:17" x14ac:dyDescent="0.25">
      <c r="B26" t="s">
        <v>163</v>
      </c>
      <c r="C26" s="216">
        <f>'Profit &amp; Loss Statement'!C26/'Profit &amp; Loss Statement'!C$9</f>
        <v>3.1341720432888118E-2</v>
      </c>
      <c r="D26" s="216">
        <f>'Profit &amp; Loss Statement'!D26/'Profit &amp; Loss Statement'!D$9</f>
        <v>3.3923101540712292E-2</v>
      </c>
      <c r="E26" s="216">
        <f>'Profit &amp; Loss Statement'!E26/'Profit &amp; Loss Statement'!E$9</f>
        <v>1.4769570905834365E-2</v>
      </c>
      <c r="F26" s="216">
        <f>'Profit &amp; Loss Statement'!F26/'Profit &amp; Loss Statement'!F$9</f>
        <v>5.2546378934669409E-2</v>
      </c>
      <c r="G26" s="216">
        <f>'Profit &amp; Loss Statement'!G26/'Profit &amp; Loss Statement'!G$9</f>
        <v>4.919353273422488E-2</v>
      </c>
      <c r="H26" s="216">
        <f>'Profit &amp; Loss Statement'!H26/'Profit &amp; Loss Statement'!H$9</f>
        <v>3.6354860909665818E-2</v>
      </c>
      <c r="I26" s="216">
        <f>'Profit &amp; Loss Statement'!I26/'Profit &amp; Loss Statement'!I$9</f>
        <v>3.6354860909665818E-2</v>
      </c>
      <c r="J26" s="216">
        <f>'Profit &amp; Loss Statement'!J26/'Profit &amp; Loss Statement'!J$9</f>
        <v>3.6354860909665818E-2</v>
      </c>
      <c r="K26" s="216">
        <f>'Profit &amp; Loss Statement'!K26/'Profit &amp; Loss Statement'!K$9</f>
        <v>3.6354860909665818E-2</v>
      </c>
      <c r="L26" s="216">
        <f>'Profit &amp; Loss Statement'!L26/'Profit &amp; Loss Statement'!L$9</f>
        <v>3.6354860909665818E-2</v>
      </c>
      <c r="M26" s="216">
        <f>'Profit &amp; Loss Statement'!M26/'Profit &amp; Loss Statement'!M$9</f>
        <v>3.6354860909665818E-2</v>
      </c>
      <c r="N26" s="216">
        <f>'Profit &amp; Loss Statement'!N26/'Profit &amp; Loss Statement'!N$9</f>
        <v>3.6354860909665818E-2</v>
      </c>
      <c r="O26" s="216">
        <f>'Profit &amp; Loss Statement'!O26/'Profit &amp; Loss Statement'!O$9</f>
        <v>3.6354860909665818E-2</v>
      </c>
      <c r="P26" s="216">
        <f>'Profit &amp; Loss Statement'!P26/'Profit &amp; Loss Statement'!P$9</f>
        <v>3.6354860909665818E-2</v>
      </c>
      <c r="Q26" s="216">
        <f>'Profit &amp; Loss Statement'!Q26/'Profit &amp; Loss Statement'!Q$9</f>
        <v>3.6354860909665818E-2</v>
      </c>
    </row>
    <row r="27" spans="2:17" x14ac:dyDescent="0.25">
      <c r="B27" t="s">
        <v>19</v>
      </c>
      <c r="C27" s="216">
        <f>'Profit &amp; Loss Statement'!C27/'Profit &amp; Loss Statement'!C$9</f>
        <v>0</v>
      </c>
      <c r="D27" s="216">
        <f>'Profit &amp; Loss Statement'!D27/'Profit &amp; Loss Statement'!D$9</f>
        <v>-5.5685091208339046E-3</v>
      </c>
      <c r="E27" s="216">
        <f>'Profit &amp; Loss Statement'!E27/'Profit &amp; Loss Statement'!E$9</f>
        <v>-4.4357688082894307E-3</v>
      </c>
      <c r="F27" s="216">
        <f>'Profit &amp; Loss Statement'!F27/'Profit &amp; Loss Statement'!F$9</f>
        <v>8.6294978641685022E-3</v>
      </c>
      <c r="G27" s="216">
        <f>'Profit &amp; Loss Statement'!G27/'Profit &amp; Loss Statement'!G$9</f>
        <v>-5.9005065895460108E-3</v>
      </c>
      <c r="H27" s="216">
        <f>'Profit &amp; Loss Statement'!H27/'Profit &amp; Loss Statement'!H$9</f>
        <v>-1.4550573309001689E-3</v>
      </c>
      <c r="I27" s="216">
        <f>'Profit &amp; Loss Statement'!I27/'Profit &amp; Loss Statement'!I$9</f>
        <v>-1.4550573309001689E-3</v>
      </c>
      <c r="J27" s="216">
        <f>'Profit &amp; Loss Statement'!J27/'Profit &amp; Loss Statement'!J$9</f>
        <v>-1.4550573309001689E-3</v>
      </c>
      <c r="K27" s="216">
        <f>'Profit &amp; Loss Statement'!K27/'Profit &amp; Loss Statement'!K$9</f>
        <v>-1.4550573309001689E-3</v>
      </c>
      <c r="L27" s="216">
        <f>'Profit &amp; Loss Statement'!L27/'Profit &amp; Loss Statement'!L$9</f>
        <v>-1.4550573309001689E-3</v>
      </c>
      <c r="M27" s="216">
        <f>'Profit &amp; Loss Statement'!M27/'Profit &amp; Loss Statement'!M$9</f>
        <v>-1.4550573309001689E-3</v>
      </c>
      <c r="N27" s="216">
        <f>'Profit &amp; Loss Statement'!N27/'Profit &amp; Loss Statement'!N$9</f>
        <v>-1.4550573309001689E-3</v>
      </c>
      <c r="O27" s="216">
        <f>'Profit &amp; Loss Statement'!O27/'Profit &amp; Loss Statement'!O$9</f>
        <v>-1.4550573309001689E-3</v>
      </c>
      <c r="P27" s="216">
        <f>'Profit &amp; Loss Statement'!P27/'Profit &amp; Loss Statement'!P$9</f>
        <v>-1.4550573309001689E-3</v>
      </c>
      <c r="Q27" s="216">
        <f>'Profit &amp; Loss Statement'!Q27/'Profit &amp; Loss Statement'!Q$9</f>
        <v>-1.4550573309001689E-3</v>
      </c>
    </row>
    <row r="28" spans="2:17" x14ac:dyDescent="0.25">
      <c r="B28" s="8" t="s">
        <v>164</v>
      </c>
      <c r="C28" s="131">
        <f>'Profit &amp; Loss Statement'!C28/'Profit &amp; Loss Statement'!C$9</f>
        <v>0.24051925886657788</v>
      </c>
      <c r="D28" s="131">
        <f>'Profit &amp; Loss Statement'!D28/'Profit &amp; Loss Statement'!D$9</f>
        <v>0.22479769578932932</v>
      </c>
      <c r="E28" s="131">
        <f>'Profit &amp; Loss Statement'!E28/'Profit &amp; Loss Statement'!E$9</f>
        <v>0.21679295314456828</v>
      </c>
      <c r="F28" s="131">
        <f>'Profit &amp; Loss Statement'!F28/'Profit &amp; Loss Statement'!F$9</f>
        <v>0.20600002462053599</v>
      </c>
      <c r="G28" s="131">
        <f>'Profit &amp; Loss Statement'!G28/'Profit &amp; Loss Statement'!G$9</f>
        <v>0.12395916228334078</v>
      </c>
      <c r="H28" s="131">
        <f>'Profit &amp; Loss Statement'!H28/'Profit &amp; Loss Statement'!H$9</f>
        <v>0.21007437421958777</v>
      </c>
      <c r="I28" s="131">
        <f>'Profit &amp; Loss Statement'!I28/'Profit &amp; Loss Statement'!I$9</f>
        <v>0.21962410160645324</v>
      </c>
      <c r="J28" s="131">
        <f>'Profit &amp; Loss Statement'!J28/'Profit &amp; Loss Statement'!J$9</f>
        <v>0.22165118120378366</v>
      </c>
      <c r="K28" s="131">
        <f>'Profit &amp; Loss Statement'!K28/'Profit &amp; Loss Statement'!K$9</f>
        <v>0.22314964289452077</v>
      </c>
      <c r="L28" s="131">
        <f>'Profit &amp; Loss Statement'!L28/'Profit &amp; Loss Statement'!L$9</f>
        <v>0.22427352458766597</v>
      </c>
      <c r="M28" s="131">
        <f>'Profit &amp; Loss Statement'!M28/'Profit &amp; Loss Statement'!M$9</f>
        <v>0.22512727744487268</v>
      </c>
      <c r="N28" s="131">
        <f>'Profit &amp; Loss Statement'!N28/'Profit &amp; Loss Statement'!N$9</f>
        <v>0.22578308005950715</v>
      </c>
      <c r="O28" s="131">
        <f>'Profit &amp; Loss Statement'!O28/'Profit &amp; Loss Statement'!O$9</f>
        <v>0.22629167659861976</v>
      </c>
      <c r="P28" s="131">
        <f>'Profit &amp; Loss Statement'!P28/'Profit &amp; Loss Statement'!P$9</f>
        <v>0.22668930843309806</v>
      </c>
      <c r="Q28" s="131">
        <f>'Profit &amp; Loss Statement'!Q28/'Profit &amp; Loss Statement'!Q$9</f>
        <v>0.22700223632065139</v>
      </c>
    </row>
    <row r="30" spans="2:17" x14ac:dyDescent="0.25">
      <c r="B30" t="s">
        <v>165</v>
      </c>
      <c r="C30" s="216">
        <f>'Profit &amp; Loss Statement'!C30/'Profit &amp; Loss Statement'!C$9</f>
        <v>3.046249725242756E-2</v>
      </c>
      <c r="D30" s="216">
        <f>'Profit &amp; Loss Statement'!D30/'Profit &amp; Loss Statement'!D$9</f>
        <v>5.9113976134960909E-2</v>
      </c>
      <c r="E30" s="216">
        <f>'Profit &amp; Loss Statement'!E30/'Profit &amp; Loss Statement'!E$9</f>
        <v>5.5181243834351322E-2</v>
      </c>
      <c r="F30" s="216">
        <f>'Profit &amp; Loss Statement'!F30/'Profit &amp; Loss Statement'!F$9</f>
        <v>5.311265126241798E-2</v>
      </c>
      <c r="G30" s="216">
        <f>'Profit &amp; Loss Statement'!G30/'Profit &amp; Loss Statement'!G$9</f>
        <v>3.4354923235185651E-2</v>
      </c>
      <c r="H30" s="216">
        <f>'Profit &amp; Loss Statement'!H30/'Profit &amp; Loss Statement'!H$9</f>
        <v>5.9271876978538696E-2</v>
      </c>
      <c r="I30" s="216">
        <f>'Profit &amp; Loss Statement'!I30/'Profit &amp; Loss Statement'!I$9</f>
        <v>6.1966304935092822E-2</v>
      </c>
      <c r="J30" s="216">
        <f>'Profit &amp; Loss Statement'!J30/'Profit &amp; Loss Statement'!J$9</f>
        <v>6.364649548552051E-2</v>
      </c>
      <c r="K30" s="216">
        <f>'Profit &amp; Loss Statement'!K30/'Profit &amp; Loss Statement'!K$9</f>
        <v>6.4076774425234545E-2</v>
      </c>
      <c r="L30" s="216">
        <f>'Profit &amp; Loss Statement'!L30/'Profit &amp; Loss Statement'!L$9</f>
        <v>6.552086142517119E-2</v>
      </c>
      <c r="M30" s="216">
        <f>'Profit &amp; Loss Statement'!M30/'Profit &amp; Loss Statement'!M$9</f>
        <v>6.5770282852650103E-2</v>
      </c>
      <c r="N30" s="216">
        <f>'Profit &amp; Loss Statement'!N30/'Profit &amp; Loss Statement'!N$9</f>
        <v>6.7090789089693653E-2</v>
      </c>
      <c r="O30" s="216">
        <f>'Profit &amp; Loss Statement'!O30/'Profit &amp; Loss Statement'!O$9</f>
        <v>6.7241917080012328E-2</v>
      </c>
      <c r="P30" s="216">
        <f>'Profit &amp; Loss Statement'!P30/'Profit &amp; Loss Statement'!P$9</f>
        <v>6.8006792529929416E-2</v>
      </c>
      <c r="Q30" s="216">
        <f>'Profit &amp; Loss Statement'!Q30/'Profit &amp; Loss Statement'!Q$9</f>
        <v>6.8100670896195412E-2</v>
      </c>
    </row>
    <row r="32" spans="2:17" x14ac:dyDescent="0.25">
      <c r="B32" s="8" t="s">
        <v>166</v>
      </c>
      <c r="C32" s="131">
        <f>'Profit &amp; Loss Statement'!C32/'Profit &amp; Loss Statement'!C$9</f>
        <v>0.21005676161415032</v>
      </c>
      <c r="D32" s="131">
        <f>'Profit &amp; Loss Statement'!D32/'Profit &amp; Loss Statement'!D$9</f>
        <v>0.1656837196543684</v>
      </c>
      <c r="E32" s="131">
        <f>'Profit &amp; Loss Statement'!E32/'Profit &amp; Loss Statement'!E$9</f>
        <v>0.16161170931021696</v>
      </c>
      <c r="F32" s="131">
        <f>'Profit &amp; Loss Statement'!F32/'Profit &amp; Loss Statement'!F$9</f>
        <v>0.152887373358118</v>
      </c>
      <c r="G32" s="131">
        <f>'Profit &amp; Loss Statement'!G32/'Profit &amp; Loss Statement'!G$9</f>
        <v>8.9604239048155121E-2</v>
      </c>
      <c r="H32" s="131">
        <f>'Profit &amp; Loss Statement'!H32/'Profit &amp; Loss Statement'!H$9</f>
        <v>0.15080249724104908</v>
      </c>
      <c r="I32" s="131">
        <f>'Profit &amp; Loss Statement'!I32/'Profit &amp; Loss Statement'!I$9</f>
        <v>0.15765779667136043</v>
      </c>
      <c r="J32" s="131">
        <f>'Profit &amp; Loss Statement'!J32/'Profit &amp; Loss Statement'!J$9</f>
        <v>0.15800468571826315</v>
      </c>
      <c r="K32" s="131">
        <f>'Profit &amp; Loss Statement'!K32/'Profit &amp; Loss Statement'!K$9</f>
        <v>0.15907286846928623</v>
      </c>
      <c r="L32" s="131">
        <f>'Profit &amp; Loss Statement'!L32/'Profit &amp; Loss Statement'!L$9</f>
        <v>0.15875266316249481</v>
      </c>
      <c r="M32" s="131">
        <f>'Profit &amp; Loss Statement'!M32/'Profit &amp; Loss Statement'!M$9</f>
        <v>0.15935699459222258</v>
      </c>
      <c r="N32" s="131">
        <f>'Profit &amp; Loss Statement'!N32/'Profit &amp; Loss Statement'!N$9</f>
        <v>0.15869229096981349</v>
      </c>
      <c r="O32" s="131">
        <f>'Profit &amp; Loss Statement'!O32/'Profit &amp; Loss Statement'!O$9</f>
        <v>0.15904975951860742</v>
      </c>
      <c r="P32" s="131">
        <f>'Profit &amp; Loss Statement'!P32/'Profit &amp; Loss Statement'!P$9</f>
        <v>0.15868251590316865</v>
      </c>
      <c r="Q32" s="131">
        <f>'Profit &amp; Loss Statement'!Q32/'Profit &amp; Loss Statement'!Q$9</f>
        <v>0.15890156542445596</v>
      </c>
    </row>
    <row r="34" spans="2:17" x14ac:dyDescent="0.25">
      <c r="B34" s="1" t="s">
        <v>354</v>
      </c>
    </row>
    <row r="35" spans="2:17" x14ac:dyDescent="0.25">
      <c r="B35" s="1" t="s">
        <v>22</v>
      </c>
    </row>
    <row r="36" spans="2:17" x14ac:dyDescent="0.25">
      <c r="B36" t="s">
        <v>23</v>
      </c>
      <c r="C36" s="216">
        <f>'Balance sheet'!C11/'Balance sheet'!C$34</f>
        <v>5.6391344432995281E-2</v>
      </c>
      <c r="D36" s="216">
        <f>'Balance sheet'!D11/'Balance sheet'!D$34</f>
        <v>7.021270922036249E-2</v>
      </c>
      <c r="E36" s="216">
        <f>'Balance sheet'!E11/'Balance sheet'!E$34</f>
        <v>0.17986019270734932</v>
      </c>
      <c r="F36" s="216">
        <f>'Balance sheet'!F11/'Balance sheet'!F$34</f>
        <v>0.12142148510314575</v>
      </c>
      <c r="G36" s="216">
        <f>'Balance sheet'!G11/'Balance sheet'!G$34</f>
        <v>0.13367727876251095</v>
      </c>
      <c r="H36" s="216">
        <f>'Balance sheet'!H11/'Balance sheet'!H$34</f>
        <v>0.1443612247920639</v>
      </c>
      <c r="I36" s="216">
        <f>'Balance sheet'!I11/'Balance sheet'!I$34</f>
        <v>0.12731410286349581</v>
      </c>
      <c r="J36" s="216">
        <f>'Balance sheet'!J11/'Balance sheet'!J$34</f>
        <v>0.11314867755281924</v>
      </c>
      <c r="K36" s="216">
        <f>'Balance sheet'!K11/'Balance sheet'!K$34</f>
        <v>0.10150655866250323</v>
      </c>
      <c r="L36" s="216">
        <f>'Balance sheet'!L11/'Balance sheet'!L$34</f>
        <v>9.1854044115646405E-2</v>
      </c>
      <c r="M36" s="216">
        <f>'Balance sheet'!M11/'Balance sheet'!M$34</f>
        <v>8.3886049015972436E-2</v>
      </c>
      <c r="N36" s="216">
        <f>'Balance sheet'!N11/'Balance sheet'!N$34</f>
        <v>7.7216682046990393E-2</v>
      </c>
      <c r="O36" s="216">
        <f>'Balance sheet'!O11/'Balance sheet'!O$34</f>
        <v>7.1649524811021395E-2</v>
      </c>
      <c r="P36" s="216">
        <f>'Balance sheet'!P11/'Balance sheet'!P$34</f>
        <v>6.6911436735902899E-2</v>
      </c>
      <c r="Q36" s="216">
        <f>'Balance sheet'!Q11/'Balance sheet'!Q$34</f>
        <v>6.2906062412076025E-2</v>
      </c>
    </row>
    <row r="37" spans="2:17" x14ac:dyDescent="0.25">
      <c r="B37" t="s">
        <v>25</v>
      </c>
      <c r="C37" s="216">
        <f>'Balance sheet'!C12/'Balance sheet'!C$34</f>
        <v>8.2911220782038067E-2</v>
      </c>
      <c r="D37" s="216">
        <f>'Balance sheet'!D12/'Balance sheet'!D$34</f>
        <v>7.0186042790730749E-2</v>
      </c>
      <c r="E37" s="216">
        <f>'Balance sheet'!E12/'Balance sheet'!E$34</f>
        <v>8.4792452600208429E-2</v>
      </c>
      <c r="F37" s="216">
        <f>'Balance sheet'!F12/'Balance sheet'!F$34</f>
        <v>6.2425760413561765E-2</v>
      </c>
      <c r="G37" s="216">
        <f>'Balance sheet'!G12/'Balance sheet'!G$34</f>
        <v>0.22693848874387476</v>
      </c>
      <c r="H37" s="216">
        <f>'Balance sheet'!H12/'Balance sheet'!H$34</f>
        <v>0.23597519804736014</v>
      </c>
      <c r="I37" s="216">
        <f>'Balance sheet'!I12/'Balance sheet'!I$34</f>
        <v>0.20038627710659954</v>
      </c>
      <c r="J37" s="216">
        <f>'Balance sheet'!J12/'Balance sheet'!J$34</f>
        <v>0.17181312144717009</v>
      </c>
      <c r="K37" s="216">
        <f>'Balance sheet'!K12/'Balance sheet'!K$34</f>
        <v>0.14875596751594516</v>
      </c>
      <c r="L37" s="216">
        <f>'Balance sheet'!L12/'Balance sheet'!L$34</f>
        <v>0.13013841934415069</v>
      </c>
      <c r="M37" s="216">
        <f>'Balance sheet'!M12/'Balance sheet'!M$34</f>
        <v>0.11493328345090903</v>
      </c>
      <c r="N37" s="216">
        <f>'Balance sheet'!N12/'Balance sheet'!N$34</f>
        <v>0.10247011318891942</v>
      </c>
      <c r="O37" s="216">
        <f>'Balance sheet'!O12/'Balance sheet'!O$34</f>
        <v>9.2113309813603578E-2</v>
      </c>
      <c r="P37" s="216">
        <f>'Balance sheet'!P12/'Balance sheet'!P$34</f>
        <v>8.3454973980977412E-2</v>
      </c>
      <c r="Q37" s="216">
        <f>'Balance sheet'!Q12/'Balance sheet'!Q$34</f>
        <v>7.6130183816562627E-2</v>
      </c>
    </row>
    <row r="38" spans="2:17" x14ac:dyDescent="0.25">
      <c r="B38" s="1" t="s">
        <v>29</v>
      </c>
      <c r="C38" s="216"/>
      <c r="D38" s="216"/>
      <c r="E38" s="216"/>
      <c r="F38" s="216"/>
      <c r="G38" s="216"/>
      <c r="H38" s="216"/>
      <c r="I38" s="216"/>
      <c r="J38" s="216"/>
      <c r="K38" s="216"/>
      <c r="L38" s="216"/>
      <c r="M38" s="216"/>
      <c r="N38" s="216"/>
      <c r="O38" s="216"/>
      <c r="P38" s="216"/>
      <c r="Q38" s="216"/>
    </row>
    <row r="39" spans="2:17" x14ac:dyDescent="0.25">
      <c r="B39" s="6" t="s">
        <v>30</v>
      </c>
      <c r="C39" s="216">
        <f>'Balance sheet'!C14/'Balance sheet'!C$34</f>
        <v>0</v>
      </c>
      <c r="D39" s="216">
        <f>'Balance sheet'!D14/'Balance sheet'!D$34</f>
        <v>6.7732731264610983E-3</v>
      </c>
      <c r="E39" s="216">
        <f>'Balance sheet'!E14/'Balance sheet'!E$34</f>
        <v>7.898441642339547E-3</v>
      </c>
      <c r="F39" s="216">
        <f>'Balance sheet'!F14/'Balance sheet'!F$34</f>
        <v>0</v>
      </c>
      <c r="G39" s="216">
        <f>'Balance sheet'!G14/'Balance sheet'!G$34</f>
        <v>0</v>
      </c>
      <c r="H39" s="216">
        <f>'Balance sheet'!H14/'Balance sheet'!H$34</f>
        <v>2.4991234774347851E-3</v>
      </c>
      <c r="I39" s="216">
        <f>'Balance sheet'!I14/'Balance sheet'!I$34</f>
        <v>2.5287369975355045E-3</v>
      </c>
      <c r="J39" s="216">
        <f>'Balance sheet'!J14/'Balance sheet'!J$34</f>
        <v>2.5269834033099466E-3</v>
      </c>
      <c r="K39" s="216">
        <f>'Balance sheet'!K14/'Balance sheet'!K$34</f>
        <v>2.5004594074610215E-3</v>
      </c>
      <c r="L39" s="216">
        <f>'Balance sheet'!L14/'Balance sheet'!L$34</f>
        <v>2.457181125578977E-3</v>
      </c>
      <c r="M39" s="216">
        <f>'Balance sheet'!M14/'Balance sheet'!M$34</f>
        <v>2.4007899040664415E-3</v>
      </c>
      <c r="N39" s="216">
        <f>'Balance sheet'!N14/'Balance sheet'!N$34</f>
        <v>2.3366037200480048E-3</v>
      </c>
      <c r="O39" s="216">
        <f>'Balance sheet'!O14/'Balance sheet'!O$34</f>
        <v>2.2663050587195151E-3</v>
      </c>
      <c r="P39" s="216">
        <f>'Balance sheet'!P14/'Balance sheet'!P$34</f>
        <v>2.1929566748040614E-3</v>
      </c>
      <c r="Q39" s="216">
        <f>'Balance sheet'!Q14/'Balance sheet'!Q$34</f>
        <v>2.1176831427881311E-3</v>
      </c>
    </row>
    <row r="40" spans="2:17" x14ac:dyDescent="0.25">
      <c r="B40" s="6" t="s">
        <v>31</v>
      </c>
      <c r="C40" s="216">
        <f>'Balance sheet'!C15/'Balance sheet'!C$34</f>
        <v>2.6660881826563263E-2</v>
      </c>
      <c r="D40" s="216">
        <f>'Balance sheet'!D15/'Balance sheet'!D$34</f>
        <v>1.6239855645727594E-2</v>
      </c>
      <c r="E40" s="216">
        <f>'Balance sheet'!E15/'Balance sheet'!E$34</f>
        <v>5.7221040570930568E-2</v>
      </c>
      <c r="F40" s="216">
        <f>'Balance sheet'!F15/'Balance sheet'!F$34</f>
        <v>1.1033059138086743E-2</v>
      </c>
      <c r="G40" s="216">
        <f>'Balance sheet'!G15/'Balance sheet'!G$34</f>
        <v>2.190493769090162E-2</v>
      </c>
      <c r="H40" s="216">
        <f>'Balance sheet'!H15/'Balance sheet'!H$34</f>
        <v>2.5738731390418788E-2</v>
      </c>
      <c r="I40" s="216">
        <f>'Balance sheet'!I15/'Balance sheet'!I$34</f>
        <v>2.6043724099374312E-2</v>
      </c>
      <c r="J40" s="216">
        <f>'Balance sheet'!J15/'Balance sheet'!J$34</f>
        <v>2.6025663650922303E-2</v>
      </c>
      <c r="K40" s="216">
        <f>'Balance sheet'!K15/'Balance sheet'!K$34</f>
        <v>2.5752490272047554E-2</v>
      </c>
      <c r="L40" s="216">
        <f>'Balance sheet'!L15/'Balance sheet'!L$34</f>
        <v>2.5306762767000803E-2</v>
      </c>
      <c r="M40" s="216">
        <f>'Balance sheet'!M15/'Balance sheet'!M$34</f>
        <v>2.4725983739316029E-2</v>
      </c>
      <c r="N40" s="216">
        <f>'Balance sheet'!N15/'Balance sheet'!N$34</f>
        <v>2.4064923585888839E-2</v>
      </c>
      <c r="O40" s="216">
        <f>'Balance sheet'!O15/'Balance sheet'!O$34</f>
        <v>2.3340910395913423E-2</v>
      </c>
      <c r="P40" s="216">
        <f>'Balance sheet'!P15/'Balance sheet'!P$34</f>
        <v>2.2585487797323382E-2</v>
      </c>
      <c r="Q40" s="216">
        <f>'Balance sheet'!Q15/'Balance sheet'!Q$34</f>
        <v>2.1810237899165166E-2</v>
      </c>
    </row>
    <row r="41" spans="2:17" x14ac:dyDescent="0.25">
      <c r="B41" t="s">
        <v>32</v>
      </c>
      <c r="C41" s="216">
        <f>'Balance sheet'!C16/'Balance sheet'!C$34</f>
        <v>1.5271977872986604E-2</v>
      </c>
      <c r="D41" s="216">
        <f>'Balance sheet'!D16/'Balance sheet'!D$34</f>
        <v>6.0443907165269638E-3</v>
      </c>
      <c r="E41" s="216">
        <f>'Balance sheet'!E16/'Balance sheet'!E$34</f>
        <v>7.9837643144018578E-3</v>
      </c>
      <c r="F41" s="216">
        <f>'Balance sheet'!F16/'Balance sheet'!F$34</f>
        <v>6.8022368637639637E-3</v>
      </c>
      <c r="G41" s="216">
        <f>'Balance sheet'!G16/'Balance sheet'!G$34</f>
        <v>1.0529731532035748E-2</v>
      </c>
      <c r="H41" s="216">
        <f>'Balance sheet'!H16/'Balance sheet'!H$34</f>
        <v>9.3765909139117871E-3</v>
      </c>
      <c r="I41" s="216">
        <f>'Balance sheet'!I16/'Balance sheet'!I$34</f>
        <v>9.4876994149572704E-3</v>
      </c>
      <c r="J41" s="216">
        <f>'Balance sheet'!J16/'Balance sheet'!J$34</f>
        <v>9.4811200138870469E-3</v>
      </c>
      <c r="K41" s="216">
        <f>'Balance sheet'!K16/'Balance sheet'!K$34</f>
        <v>9.3816032590234768E-3</v>
      </c>
      <c r="L41" s="216">
        <f>'Balance sheet'!L16/'Balance sheet'!L$34</f>
        <v>9.219225229954893E-3</v>
      </c>
      <c r="M41" s="216">
        <f>'Balance sheet'!M16/'Balance sheet'!M$34</f>
        <v>9.0076480829939225E-3</v>
      </c>
      <c r="N41" s="216">
        <f>'Balance sheet'!N16/'Balance sheet'!N$34</f>
        <v>8.7668246121649796E-3</v>
      </c>
      <c r="O41" s="216">
        <f>'Balance sheet'!O16/'Balance sheet'!O$34</f>
        <v>8.5030674208838707E-3</v>
      </c>
      <c r="P41" s="216">
        <f>'Balance sheet'!P16/'Balance sheet'!P$34</f>
        <v>8.2278678173501943E-3</v>
      </c>
      <c r="Q41" s="216">
        <f>'Balance sheet'!Q16/'Balance sheet'!Q$34</f>
        <v>7.9454451508707072E-3</v>
      </c>
    </row>
    <row r="42" spans="2:17" x14ac:dyDescent="0.25">
      <c r="B42" t="s">
        <v>33</v>
      </c>
      <c r="C42" s="216">
        <f>'Balance sheet'!C17/'Balance sheet'!C$34</f>
        <v>7.5926026357177716E-5</v>
      </c>
      <c r="D42" s="216">
        <f>'Balance sheet'!D17/'Balance sheet'!D$34</f>
        <v>8.888809877245535E-6</v>
      </c>
      <c r="E42" s="216">
        <f>'Balance sheet'!E17/'Balance sheet'!E$34</f>
        <v>7.2524271252963444E-4</v>
      </c>
      <c r="F42" s="216">
        <f>'Balance sheet'!F17/'Balance sheet'!F$34</f>
        <v>1.4236205339466766E-4</v>
      </c>
      <c r="G42" s="216">
        <f>'Balance sheet'!G17/'Balance sheet'!G$34</f>
        <v>5.0609396676451154E-4</v>
      </c>
      <c r="H42" s="216">
        <f>'Balance sheet'!H17/'Balance sheet'!H$34</f>
        <v>3.0455672209117357E-4</v>
      </c>
      <c r="I42" s="216">
        <f>'Balance sheet'!I17/'Balance sheet'!I$34</f>
        <v>3.08165586036029E-4</v>
      </c>
      <c r="J42" s="216">
        <f>'Balance sheet'!J17/'Balance sheet'!J$34</f>
        <v>3.079518835463216E-4</v>
      </c>
      <c r="K42" s="216">
        <f>'Balance sheet'!K17/'Balance sheet'!K$34</f>
        <v>3.0471952575950257E-4</v>
      </c>
      <c r="L42" s="216">
        <f>'Balance sheet'!L17/'Balance sheet'!L$34</f>
        <v>2.9944539993629097E-4</v>
      </c>
      <c r="M42" s="216">
        <f>'Balance sheet'!M17/'Balance sheet'!M$34</f>
        <v>2.9257326027066561E-4</v>
      </c>
      <c r="N42" s="216">
        <f>'Balance sheet'!N17/'Balance sheet'!N$34</f>
        <v>2.8475118425693412E-4</v>
      </c>
      <c r="O42" s="216">
        <f>'Balance sheet'!O17/'Balance sheet'!O$34</f>
        <v>2.7618420865332027E-4</v>
      </c>
      <c r="P42" s="216">
        <f>'Balance sheet'!P17/'Balance sheet'!P$34</f>
        <v>2.6724557733811015E-4</v>
      </c>
      <c r="Q42" s="216">
        <f>'Balance sheet'!Q17/'Balance sheet'!Q$34</f>
        <v>2.5807233704886758E-4</v>
      </c>
    </row>
    <row r="43" spans="2:17" x14ac:dyDescent="0.25">
      <c r="B43" t="s">
        <v>34</v>
      </c>
      <c r="C43" s="216">
        <f>'Balance sheet'!C18/'Balance sheet'!C$34</f>
        <v>1.1128586148923477E-2</v>
      </c>
      <c r="D43" s="216">
        <f>'Balance sheet'!D18/'Balance sheet'!D$34</f>
        <v>6.1955004844401387E-3</v>
      </c>
      <c r="E43" s="216">
        <f>'Balance sheet'!E18/'Balance sheet'!E$34</f>
        <v>7.593717813545584E-3</v>
      </c>
      <c r="F43" s="216">
        <f>'Balance sheet'!F18/'Balance sheet'!F$34</f>
        <v>7.2782599798023838E-3</v>
      </c>
      <c r="G43" s="216">
        <f>'Balance sheet'!G18/'Balance sheet'!G$34</f>
        <v>1.0755985305412824E-2</v>
      </c>
      <c r="H43" s="216">
        <f>'Balance sheet'!H18/'Balance sheet'!H$34</f>
        <v>8.7213586105249798E-3</v>
      </c>
      <c r="I43" s="216">
        <f>'Balance sheet'!I18/'Balance sheet'!I$34</f>
        <v>8.8247028953713866E-3</v>
      </c>
      <c r="J43" s="216">
        <f>'Balance sheet'!J18/'Balance sheet'!J$34</f>
        <v>8.8185832601326616E-3</v>
      </c>
      <c r="K43" s="216">
        <f>'Balance sheet'!K18/'Balance sheet'!K$34</f>
        <v>8.7260206950288358E-3</v>
      </c>
      <c r="L43" s="216">
        <f>'Balance sheet'!L18/'Balance sheet'!L$34</f>
        <v>8.5749895756188754E-3</v>
      </c>
      <c r="M43" s="216">
        <f>'Balance sheet'!M18/'Balance sheet'!M$34</f>
        <v>8.3781973523705897E-3</v>
      </c>
      <c r="N43" s="216">
        <f>'Balance sheet'!N18/'Balance sheet'!N$34</f>
        <v>8.1542025262963981E-3</v>
      </c>
      <c r="O43" s="216">
        <f>'Balance sheet'!O18/'Balance sheet'!O$34</f>
        <v>7.9088765786905942E-3</v>
      </c>
      <c r="P43" s="216">
        <f>'Balance sheet'!P18/'Balance sheet'!P$34</f>
        <v>7.6529078098781997E-3</v>
      </c>
      <c r="Q43" s="216">
        <f>'Balance sheet'!Q18/'Balance sheet'!Q$34</f>
        <v>7.3902207227777208E-3</v>
      </c>
    </row>
    <row r="44" spans="2:17" x14ac:dyDescent="0.25">
      <c r="C44" s="216"/>
      <c r="D44" s="216"/>
      <c r="E44" s="216"/>
      <c r="F44" s="216"/>
      <c r="G44" s="216"/>
      <c r="H44" s="216"/>
      <c r="I44" s="216"/>
      <c r="J44" s="216"/>
      <c r="K44" s="216"/>
      <c r="L44" s="216"/>
      <c r="M44" s="216"/>
      <c r="N44" s="216"/>
      <c r="O44" s="216"/>
      <c r="P44" s="216"/>
      <c r="Q44" s="216"/>
    </row>
    <row r="45" spans="2:17" x14ac:dyDescent="0.25">
      <c r="B45" s="8" t="s">
        <v>35</v>
      </c>
      <c r="C45" s="131">
        <f>'Balance sheet'!C20/'Balance sheet'!C$34</f>
        <v>0.19243993708986387</v>
      </c>
      <c r="D45" s="131">
        <f>'Balance sheet'!D20/'Balance sheet'!D$34</f>
        <v>0.17566066079412626</v>
      </c>
      <c r="E45" s="131">
        <f>'Balance sheet'!E20/'Balance sheet'!E$34</f>
        <v>0.34607485236130497</v>
      </c>
      <c r="F45" s="131">
        <f>'Balance sheet'!F20/'Balance sheet'!F$34</f>
        <v>0.20910316355175529</v>
      </c>
      <c r="G45" s="131">
        <f>'Balance sheet'!G20/'Balance sheet'!G$34</f>
        <v>0.40431251600150042</v>
      </c>
      <c r="H45" s="131">
        <f>'Balance sheet'!H20/'Balance sheet'!H$34</f>
        <v>0.42697678395380545</v>
      </c>
      <c r="I45" s="131">
        <f>'Balance sheet'!I20/'Balance sheet'!I$34</f>
        <v>0.37489340896336981</v>
      </c>
      <c r="J45" s="131">
        <f>'Balance sheet'!J20/'Balance sheet'!J$34</f>
        <v>0.33212210121178765</v>
      </c>
      <c r="K45" s="131">
        <f>'Balance sheet'!K20/'Balance sheet'!K$34</f>
        <v>0.29692781933776868</v>
      </c>
      <c r="L45" s="131">
        <f>'Balance sheet'!L20/'Balance sheet'!L$34</f>
        <v>0.26785006755788687</v>
      </c>
      <c r="M45" s="131">
        <f>'Balance sheet'!M20/'Balance sheet'!M$34</f>
        <v>0.24362452480589908</v>
      </c>
      <c r="N45" s="131">
        <f>'Balance sheet'!N20/'Balance sheet'!N$34</f>
        <v>0.223294100864565</v>
      </c>
      <c r="O45" s="131">
        <f>'Balance sheet'!O20/'Balance sheet'!O$34</f>
        <v>0.20605817828748571</v>
      </c>
      <c r="P45" s="131">
        <f>'Balance sheet'!P20/'Balance sheet'!P$34</f>
        <v>0.19129287639357426</v>
      </c>
      <c r="Q45" s="131">
        <f>'Balance sheet'!Q20/'Balance sheet'!Q$34</f>
        <v>0.17855790548128922</v>
      </c>
    </row>
    <row r="46" spans="2:17" x14ac:dyDescent="0.25">
      <c r="C46" s="216"/>
      <c r="D46" s="216"/>
      <c r="E46" s="216"/>
      <c r="F46" s="216"/>
      <c r="G46" s="216"/>
      <c r="H46" s="216"/>
      <c r="I46" s="216"/>
      <c r="J46" s="216"/>
      <c r="K46" s="216"/>
      <c r="L46" s="216"/>
      <c r="M46" s="216"/>
      <c r="N46" s="216"/>
      <c r="O46" s="216"/>
      <c r="P46" s="216"/>
      <c r="Q46" s="216"/>
    </row>
    <row r="47" spans="2:17" x14ac:dyDescent="0.25">
      <c r="B47" s="1" t="s">
        <v>36</v>
      </c>
      <c r="C47" s="216"/>
      <c r="D47" s="216"/>
      <c r="E47" s="216"/>
      <c r="F47" s="216"/>
      <c r="G47" s="216"/>
      <c r="H47" s="216"/>
      <c r="I47" s="216"/>
      <c r="J47" s="216"/>
      <c r="K47" s="216"/>
      <c r="L47" s="216"/>
      <c r="M47" s="216"/>
      <c r="N47" s="216"/>
      <c r="O47" s="216"/>
      <c r="P47" s="216"/>
      <c r="Q47" s="216"/>
    </row>
    <row r="48" spans="2:17" x14ac:dyDescent="0.25">
      <c r="B48" s="1" t="s">
        <v>29</v>
      </c>
      <c r="C48" s="216"/>
      <c r="D48" s="216"/>
      <c r="E48" s="216"/>
      <c r="F48" s="216"/>
      <c r="G48" s="216"/>
      <c r="H48" s="216"/>
      <c r="I48" s="216"/>
      <c r="J48" s="216"/>
      <c r="K48" s="216"/>
      <c r="L48" s="216"/>
      <c r="M48" s="216"/>
      <c r="N48" s="216"/>
      <c r="O48" s="216"/>
      <c r="P48" s="216"/>
      <c r="Q48" s="216"/>
    </row>
    <row r="49" spans="2:17" x14ac:dyDescent="0.25">
      <c r="B49" s="6" t="s">
        <v>30</v>
      </c>
      <c r="C49" s="216">
        <f>'Balance sheet'!C24/'Balance sheet'!C$34</f>
        <v>0.42462172569011336</v>
      </c>
      <c r="D49" s="216">
        <f>'Balance sheet'!D24/'Balance sheet'!D$34</f>
        <v>0.41244077830419285</v>
      </c>
      <c r="E49" s="216">
        <f>'Balance sheet'!E24/'Balance sheet'!E$34</f>
        <v>0</v>
      </c>
      <c r="F49" s="216">
        <f>'Balance sheet'!F24/'Balance sheet'!F$34</f>
        <v>0</v>
      </c>
      <c r="G49" s="216">
        <f>'Balance sheet'!G24/'Balance sheet'!G$34</f>
        <v>0.10431192059683364</v>
      </c>
      <c r="H49" s="216">
        <f>'Balance sheet'!H24/'Balance sheet'!H$34</f>
        <v>0.28585463271224304</v>
      </c>
      <c r="I49" s="216">
        <f>'Balance sheet'!I24/'Balance sheet'!I$34</f>
        <v>0.28924188507817927</v>
      </c>
      <c r="J49" s="216">
        <f>'Balance sheet'!J24/'Balance sheet'!J$34</f>
        <v>0.28904130553987345</v>
      </c>
      <c r="K49" s="216">
        <f>'Balance sheet'!K24/'Balance sheet'!K$34</f>
        <v>0.28600743900229919</v>
      </c>
      <c r="L49" s="216">
        <f>'Balance sheet'!L24/'Balance sheet'!L$34</f>
        <v>0.28105718444964811</v>
      </c>
      <c r="M49" s="216">
        <f>'Balance sheet'!M24/'Balance sheet'!M$34</f>
        <v>0.27460704620749665</v>
      </c>
      <c r="N49" s="216">
        <f>'Balance sheet'!N24/'Balance sheet'!N$34</f>
        <v>0.26726530490361206</v>
      </c>
      <c r="O49" s="216">
        <f>'Balance sheet'!O24/'Balance sheet'!O$34</f>
        <v>0.25922440648636202</v>
      </c>
      <c r="P49" s="216">
        <f>'Balance sheet'!P24/'Balance sheet'!P$34</f>
        <v>0.25083467483304256</v>
      </c>
      <c r="Q49" s="216">
        <f>'Balance sheet'!Q24/'Balance sheet'!Q$34</f>
        <v>0.24222474097357058</v>
      </c>
    </row>
    <row r="50" spans="2:17" x14ac:dyDescent="0.25">
      <c r="B50" s="6" t="s">
        <v>37</v>
      </c>
      <c r="C50" s="216">
        <f>'Balance sheet'!C25/'Balance sheet'!C$34</f>
        <v>0.13224144476381583</v>
      </c>
      <c r="D50" s="216">
        <f>'Balance sheet'!D25/'Balance sheet'!D$34</f>
        <v>0.14878089972533579</v>
      </c>
      <c r="E50" s="216">
        <f>'Balance sheet'!E25/'Balance sheet'!E$34</f>
        <v>0.12992814612117037</v>
      </c>
      <c r="F50" s="216">
        <f>'Balance sheet'!F25/'Balance sheet'!F$34</f>
        <v>0.11319562770543512</v>
      </c>
      <c r="G50" s="216">
        <f>'Balance sheet'!G25/'Balance sheet'!G$34</f>
        <v>0.10661613665727912</v>
      </c>
      <c r="H50" s="216">
        <f>'Balance sheet'!H25/'Balance sheet'!H$34</f>
        <v>0.12316195221925784</v>
      </c>
      <c r="I50" s="216">
        <f>'Balance sheet'!I25/'Balance sheet'!I$34</f>
        <v>0.12462136748249748</v>
      </c>
      <c r="J50" s="216">
        <f>'Balance sheet'!J25/'Balance sheet'!J$34</f>
        <v>0.12453494674731963</v>
      </c>
      <c r="K50" s="216">
        <f>'Balance sheet'!K25/'Balance sheet'!K$34</f>
        <v>0.12322778960246247</v>
      </c>
      <c r="L50" s="216">
        <f>'Balance sheet'!L25/'Balance sheet'!L$34</f>
        <v>0.12109494673438655</v>
      </c>
      <c r="M50" s="216">
        <f>'Balance sheet'!M25/'Balance sheet'!M$34</f>
        <v>0.11831587119361277</v>
      </c>
      <c r="N50" s="216">
        <f>'Balance sheet'!N25/'Balance sheet'!N$34</f>
        <v>0.11515264384586701</v>
      </c>
      <c r="O50" s="216">
        <f>'Balance sheet'!O25/'Balance sheet'!O$34</f>
        <v>0.11168818102688526</v>
      </c>
      <c r="P50" s="216">
        <f>'Balance sheet'!P25/'Balance sheet'!P$34</f>
        <v>0.10807342159754024</v>
      </c>
      <c r="Q50" s="216">
        <f>'Balance sheet'!Q25/'Balance sheet'!Q$34</f>
        <v>0.10436378690472516</v>
      </c>
    </row>
    <row r="51" spans="2:17" x14ac:dyDescent="0.25">
      <c r="B51" s="6" t="s">
        <v>38</v>
      </c>
      <c r="C51" s="216">
        <f>'Balance sheet'!C26/'Balance sheet'!C$34</f>
        <v>9.3096154889093771E-2</v>
      </c>
      <c r="D51" s="216">
        <f>'Balance sheet'!D26/'Balance sheet'!D$34</f>
        <v>5.9812801663985206E-2</v>
      </c>
      <c r="E51" s="216">
        <f>'Balance sheet'!E26/'Balance sheet'!E$34</f>
        <v>-7.3133718910551367E-4</v>
      </c>
      <c r="F51" s="216">
        <f>'Balance sheet'!F26/'Balance sheet'!F$34</f>
        <v>4.8478727995052921E-2</v>
      </c>
      <c r="G51" s="216">
        <f>'Balance sheet'!G26/'Balance sheet'!G$34</f>
        <v>3.5462301953522714E-2</v>
      </c>
      <c r="H51" s="216">
        <f>'Balance sheet'!H26/'Balance sheet'!H$34</f>
        <v>7.4497051288521771E-2</v>
      </c>
      <c r="I51" s="216">
        <f>'Balance sheet'!I26/'Balance sheet'!I$34</f>
        <v>0.12067310927998322</v>
      </c>
      <c r="J51" s="216">
        <f>'Balance sheet'!J26/'Balance sheet'!J$34</f>
        <v>0.16379422471882135</v>
      </c>
      <c r="K51" s="216">
        <f>'Balance sheet'!K26/'Balance sheet'!K$34</f>
        <v>0.20427952404116009</v>
      </c>
      <c r="L51" s="216">
        <f>'Balance sheet'!L26/'Balance sheet'!L$34</f>
        <v>0.24199044504167744</v>
      </c>
      <c r="M51" s="216">
        <f>'Balance sheet'!M26/'Balance sheet'!M$34</f>
        <v>0.27746493152953067</v>
      </c>
      <c r="N51" s="216">
        <f>'Balance sheet'!N26/'Balance sheet'!N$34</f>
        <v>0.31059924148852797</v>
      </c>
      <c r="O51" s="216">
        <f>'Balance sheet'!O26/'Balance sheet'!O$34</f>
        <v>0.3418583695358961</v>
      </c>
      <c r="P51" s="216">
        <f>'Balance sheet'!P26/'Balance sheet'!P$34</f>
        <v>0.37125523679850941</v>
      </c>
      <c r="Q51" s="216">
        <f>'Balance sheet'!Q26/'Balance sheet'!Q$34</f>
        <v>0.39900580240329192</v>
      </c>
    </row>
    <row r="52" spans="2:17" x14ac:dyDescent="0.25">
      <c r="B52" s="6" t="s">
        <v>39</v>
      </c>
      <c r="C52" s="216">
        <f>'Balance sheet'!C27/'Balance sheet'!C$34</f>
        <v>6.4374423775692829E-2</v>
      </c>
      <c r="D52" s="216">
        <f>'Balance sheet'!D27/'Balance sheet'!D$34</f>
        <v>8.9519204273739786E-2</v>
      </c>
      <c r="E52" s="216">
        <f>'Balance sheet'!E27/'Balance sheet'!E$34</f>
        <v>0.42236551013816176</v>
      </c>
      <c r="F52" s="216">
        <f>'Balance sheet'!F27/'Balance sheet'!F$34</f>
        <v>0.54611863207861944</v>
      </c>
      <c r="G52" s="216">
        <f>'Balance sheet'!G27/'Balance sheet'!G$34</f>
        <v>0.2795752383107179</v>
      </c>
      <c r="H52" s="216">
        <f>'Balance sheet'!H27/'Balance sheet'!H$34</f>
        <v>0</v>
      </c>
      <c r="I52" s="216">
        <f>'Balance sheet'!I27/'Balance sheet'!I$34</f>
        <v>0</v>
      </c>
      <c r="J52" s="216">
        <f>'Balance sheet'!J27/'Balance sheet'!J$34</f>
        <v>0</v>
      </c>
      <c r="K52" s="216">
        <f>'Balance sheet'!K27/'Balance sheet'!K$34</f>
        <v>0</v>
      </c>
      <c r="L52" s="216">
        <f>'Balance sheet'!L27/'Balance sheet'!L$34</f>
        <v>0</v>
      </c>
      <c r="M52" s="216">
        <f>'Balance sheet'!M27/'Balance sheet'!M$34</f>
        <v>0</v>
      </c>
      <c r="N52" s="216">
        <f>'Balance sheet'!N27/'Balance sheet'!N$34</f>
        <v>0</v>
      </c>
      <c r="O52" s="216">
        <f>'Balance sheet'!O27/'Balance sheet'!O$34</f>
        <v>0</v>
      </c>
      <c r="P52" s="216">
        <f>'Balance sheet'!P27/'Balance sheet'!P$34</f>
        <v>0</v>
      </c>
      <c r="Q52" s="216">
        <f>'Balance sheet'!Q27/'Balance sheet'!Q$34</f>
        <v>0</v>
      </c>
    </row>
    <row r="53" spans="2:17" x14ac:dyDescent="0.25">
      <c r="B53" s="6" t="s">
        <v>40</v>
      </c>
      <c r="C53" s="216">
        <f>'Balance sheet'!C28/'Balance sheet'!C$34</f>
        <v>1.5185205271435543E-4</v>
      </c>
      <c r="D53" s="216">
        <f>'Balance sheet'!D28/'Balance sheet'!D$34</f>
        <v>3.555523950898214E-5</v>
      </c>
      <c r="E53" s="216">
        <f>'Balance sheet'!E28/'Balance sheet'!E$34</f>
        <v>3.9004650085627395E-4</v>
      </c>
      <c r="F53" s="216">
        <f>'Balance sheet'!F28/'Balance sheet'!F$34</f>
        <v>1.6460612423758447E-4</v>
      </c>
      <c r="G53" s="216">
        <f>'Balance sheet'!G28/'Balance sheet'!G$34</f>
        <v>3.5724280006906691E-5</v>
      </c>
      <c r="H53" s="216">
        <f>'Balance sheet'!H28/'Balance sheet'!H$34</f>
        <v>1.4827021089421584E-4</v>
      </c>
      <c r="I53" s="216">
        <f>'Balance sheet'!I28/'Balance sheet'!I$34</f>
        <v>1.5002714804049911E-4</v>
      </c>
      <c r="J53" s="216">
        <f>'Balance sheet'!J28/'Balance sheet'!J$34</f>
        <v>1.499231092493013E-4</v>
      </c>
      <c r="K53" s="216">
        <f>'Balance sheet'!K28/'Balance sheet'!K$34</f>
        <v>1.4834947013391266E-4</v>
      </c>
      <c r="L53" s="216">
        <f>'Balance sheet'!L28/'Balance sheet'!L$34</f>
        <v>1.4578181789914727E-4</v>
      </c>
      <c r="M53" s="216">
        <f>'Balance sheet'!M28/'Balance sheet'!M$34</f>
        <v>1.424361895691584E-4</v>
      </c>
      <c r="N53" s="216">
        <f>'Balance sheet'!N28/'Balance sheet'!N$34</f>
        <v>1.3862809480039688E-4</v>
      </c>
      <c r="O53" s="216">
        <f>'Balance sheet'!O28/'Balance sheet'!O$34</f>
        <v>1.3445735356457165E-4</v>
      </c>
      <c r="P53" s="216">
        <f>'Balance sheet'!P28/'Balance sheet'!P$34</f>
        <v>1.3010567568627122E-4</v>
      </c>
      <c r="Q53" s="216">
        <f>'Balance sheet'!Q28/'Balance sheet'!Q$34</f>
        <v>1.2563978091655363E-4</v>
      </c>
    </row>
    <row r="54" spans="2:17" x14ac:dyDescent="0.25">
      <c r="B54" s="6" t="s">
        <v>31</v>
      </c>
      <c r="C54" s="216">
        <f>'Balance sheet'!C29/'Balance sheet'!C$34</f>
        <v>7.3528933239329686E-2</v>
      </c>
      <c r="D54" s="216">
        <f>'Balance sheet'!D29/'Balance sheet'!D$34</f>
        <v>8.3599256895494259E-2</v>
      </c>
      <c r="E54" s="216">
        <f>'Balance sheet'!E29/'Balance sheet'!E$34</f>
        <v>7.4578109859034764E-2</v>
      </c>
      <c r="F54" s="216">
        <f>'Balance sheet'!F29/'Balance sheet'!F$34</f>
        <v>6.1616076234879594E-2</v>
      </c>
      <c r="G54" s="216">
        <f>'Balance sheet'!G29/'Balance sheet'!G$34</f>
        <v>5.2770715616869003E-2</v>
      </c>
      <c r="H54" s="216">
        <f>'Balance sheet'!H29/'Balance sheet'!H$34</f>
        <v>6.7099483010539848E-2</v>
      </c>
      <c r="I54" s="216">
        <f>'Balance sheet'!I29/'Balance sheet'!I$34</f>
        <v>6.7894582535162021E-2</v>
      </c>
      <c r="J54" s="216">
        <f>'Balance sheet'!J29/'Balance sheet'!J$34</f>
        <v>6.7847499921194501E-2</v>
      </c>
      <c r="K54" s="216">
        <f>'Balance sheet'!K29/'Balance sheet'!K$34</f>
        <v>6.713535167205581E-2</v>
      </c>
      <c r="L54" s="216">
        <f>'Balance sheet'!L29/'Balance sheet'!L$34</f>
        <v>6.5973364132788509E-2</v>
      </c>
      <c r="M54" s="216">
        <f>'Balance sheet'!M29/'Balance sheet'!M$34</f>
        <v>6.4459304565908745E-2</v>
      </c>
      <c r="N54" s="216">
        <f>'Balance sheet'!N29/'Balance sheet'!N$34</f>
        <v>6.2735956438877721E-2</v>
      </c>
      <c r="O54" s="216">
        <f>'Balance sheet'!O29/'Balance sheet'!O$34</f>
        <v>6.0848493144620486E-2</v>
      </c>
      <c r="P54" s="216">
        <f>'Balance sheet'!P29/'Balance sheet'!P$34</f>
        <v>5.8879147218008916E-2</v>
      </c>
      <c r="Q54" s="216">
        <f>'Balance sheet'!Q29/'Balance sheet'!Q$34</f>
        <v>5.6858112591968497E-2</v>
      </c>
    </row>
    <row r="55" spans="2:17" x14ac:dyDescent="0.25">
      <c r="B55" t="s">
        <v>33</v>
      </c>
      <c r="C55" s="216">
        <f>'Balance sheet'!C30/'Balance sheet'!C$34</f>
        <v>1.9545528499376321E-2</v>
      </c>
      <c r="D55" s="216">
        <f>'Balance sheet'!D30/'Balance sheet'!D$34</f>
        <v>3.0150843103616858E-2</v>
      </c>
      <c r="E55" s="216">
        <f>'Balance sheet'!E30/'Balance sheet'!E$34</f>
        <v>2.7394672208577366E-2</v>
      </c>
      <c r="F55" s="216">
        <f>'Balance sheet'!F30/'Balance sheet'!F$34</f>
        <v>2.1323166310020063E-2</v>
      </c>
      <c r="G55" s="216">
        <f>'Balance sheet'!G30/'Balance sheet'!G$34</f>
        <v>1.6915446583270318E-2</v>
      </c>
      <c r="H55" s="216">
        <f>'Balance sheet'!H30/'Balance sheet'!H$34</f>
        <v>2.2261826604737904E-2</v>
      </c>
      <c r="I55" s="216">
        <f>'Balance sheet'!I30/'Balance sheet'!I$34</f>
        <v>2.2525619512767735E-2</v>
      </c>
      <c r="J55" s="216">
        <f>'Balance sheet'!J30/'Balance sheet'!J$34</f>
        <v>2.2509998751754152E-2</v>
      </c>
      <c r="K55" s="216">
        <f>'Balance sheet'!K30/'Balance sheet'!K$34</f>
        <v>2.2273726874119815E-2</v>
      </c>
      <c r="L55" s="216">
        <f>'Balance sheet'!L30/'Balance sheet'!L$34</f>
        <v>2.1888210265713588E-2</v>
      </c>
      <c r="M55" s="216">
        <f>'Balance sheet'!M30/'Balance sheet'!M$34</f>
        <v>2.1385885507982927E-2</v>
      </c>
      <c r="N55" s="216">
        <f>'Balance sheet'!N30/'Balance sheet'!N$34</f>
        <v>2.08141243637497E-2</v>
      </c>
      <c r="O55" s="216">
        <f>'Balance sheet'!O30/'Balance sheet'!O$34</f>
        <v>2.0187914165185842E-2</v>
      </c>
      <c r="P55" s="216">
        <f>'Balance sheet'!P30/'Balance sheet'!P$34</f>
        <v>1.9534537483638433E-2</v>
      </c>
      <c r="Q55" s="216">
        <f>'Balance sheet'!Q30/'Balance sheet'!Q$34</f>
        <v>1.8864011864238115E-2</v>
      </c>
    </row>
    <row r="56" spans="2:17" x14ac:dyDescent="0.25">
      <c r="C56" s="216"/>
      <c r="D56" s="216"/>
      <c r="E56" s="216"/>
      <c r="F56" s="216"/>
      <c r="G56" s="216"/>
      <c r="H56" s="216"/>
      <c r="I56" s="216"/>
      <c r="J56" s="216"/>
      <c r="K56" s="216"/>
      <c r="L56" s="216"/>
      <c r="M56" s="216"/>
      <c r="N56" s="216"/>
      <c r="O56" s="216"/>
      <c r="P56" s="216"/>
      <c r="Q56" s="216"/>
    </row>
    <row r="57" spans="2:17" x14ac:dyDescent="0.25">
      <c r="B57" s="8" t="s">
        <v>41</v>
      </c>
      <c r="C57" s="131">
        <f>'Balance sheet'!C32/'Balance sheet'!C$34</f>
        <v>0.80756006291013616</v>
      </c>
      <c r="D57" s="131">
        <f>'Balance sheet'!D32/'Balance sheet'!D$34</f>
        <v>0.82433933920587377</v>
      </c>
      <c r="E57" s="131">
        <f>'Balance sheet'!E32/'Balance sheet'!E$34</f>
        <v>0.65392514763869503</v>
      </c>
      <c r="F57" s="131">
        <f>'Balance sheet'!F32/'Balance sheet'!F$34</f>
        <v>0.79089683644824471</v>
      </c>
      <c r="G57" s="131">
        <f>'Balance sheet'!G32/'Balance sheet'!G$34</f>
        <v>0.59568748399849958</v>
      </c>
      <c r="H57" s="131">
        <f>'Balance sheet'!H32/'Balance sheet'!H$34</f>
        <v>0.57302321604619466</v>
      </c>
      <c r="I57" s="131">
        <f>'Balance sheet'!I32/'Balance sheet'!I$34</f>
        <v>0.62510659103663013</v>
      </c>
      <c r="J57" s="131">
        <f>'Balance sheet'!J32/'Balance sheet'!J$34</f>
        <v>0.66787789878821235</v>
      </c>
      <c r="K57" s="131">
        <f>'Balance sheet'!K32/'Balance sheet'!K$34</f>
        <v>0.70307218066223121</v>
      </c>
      <c r="L57" s="131">
        <f>'Balance sheet'!L32/'Balance sheet'!L$34</f>
        <v>0.73214993244211324</v>
      </c>
      <c r="M57" s="131">
        <f>'Balance sheet'!M32/'Balance sheet'!M$34</f>
        <v>0.75637547519410098</v>
      </c>
      <c r="N57" s="131">
        <f>'Balance sheet'!N32/'Balance sheet'!N$34</f>
        <v>0.77670589913543497</v>
      </c>
      <c r="O57" s="131">
        <f>'Balance sheet'!O32/'Balance sheet'!O$34</f>
        <v>0.79394182171251426</v>
      </c>
      <c r="P57" s="131">
        <f>'Balance sheet'!P32/'Balance sheet'!P$34</f>
        <v>0.80870712360642583</v>
      </c>
      <c r="Q57" s="131">
        <f>'Balance sheet'!Q32/'Balance sheet'!Q$34</f>
        <v>0.82144209451871075</v>
      </c>
    </row>
    <row r="58" spans="2:17" x14ac:dyDescent="0.25">
      <c r="C58" s="216"/>
      <c r="D58" s="216"/>
      <c r="E58" s="216"/>
      <c r="F58" s="216"/>
      <c r="G58" s="216"/>
      <c r="H58" s="216"/>
      <c r="I58" s="216"/>
      <c r="J58" s="216"/>
      <c r="K58" s="216"/>
      <c r="L58" s="216"/>
      <c r="M58" s="216"/>
      <c r="N58" s="216"/>
      <c r="O58" s="216"/>
      <c r="P58" s="216"/>
      <c r="Q58" s="216"/>
    </row>
    <row r="59" spans="2:17" ht="15.75" thickBot="1" x14ac:dyDescent="0.3">
      <c r="B59" s="42" t="s">
        <v>42</v>
      </c>
      <c r="C59" s="225">
        <f>'Balance sheet'!C34/'Balance sheet'!C$34</f>
        <v>1</v>
      </c>
      <c r="D59" s="225">
        <f>'Balance sheet'!D34/'Balance sheet'!D$34</f>
        <v>1</v>
      </c>
      <c r="E59" s="225">
        <f>'Balance sheet'!E34/'Balance sheet'!E$34</f>
        <v>1</v>
      </c>
      <c r="F59" s="225">
        <f>'Balance sheet'!F34/'Balance sheet'!F$34</f>
        <v>1</v>
      </c>
      <c r="G59" s="225">
        <f>'Balance sheet'!G34/'Balance sheet'!G$34</f>
        <v>1</v>
      </c>
      <c r="H59" s="225">
        <f>'Balance sheet'!H34/'Balance sheet'!H$34</f>
        <v>1</v>
      </c>
      <c r="I59" s="225">
        <f>'Balance sheet'!I34/'Balance sheet'!I$34</f>
        <v>1</v>
      </c>
      <c r="J59" s="225">
        <f>'Balance sheet'!J34/'Balance sheet'!J$34</f>
        <v>1</v>
      </c>
      <c r="K59" s="225">
        <f>'Balance sheet'!K34/'Balance sheet'!K$34</f>
        <v>1</v>
      </c>
      <c r="L59" s="225">
        <f>'Balance sheet'!L34/'Balance sheet'!L$34</f>
        <v>1</v>
      </c>
      <c r="M59" s="225">
        <f>'Balance sheet'!M34/'Balance sheet'!M$34</f>
        <v>1</v>
      </c>
      <c r="N59" s="225">
        <f>'Balance sheet'!N34/'Balance sheet'!N$34</f>
        <v>1</v>
      </c>
      <c r="O59" s="225">
        <f>'Balance sheet'!O34/'Balance sheet'!O$34</f>
        <v>1</v>
      </c>
      <c r="P59" s="225">
        <f>'Balance sheet'!P34/'Balance sheet'!P$34</f>
        <v>1</v>
      </c>
      <c r="Q59" s="225">
        <f>'Balance sheet'!Q34/'Balance sheet'!Q$34</f>
        <v>1</v>
      </c>
    </row>
    <row r="60" spans="2:17" x14ac:dyDescent="0.25">
      <c r="C60" s="216"/>
      <c r="D60" s="216"/>
      <c r="E60" s="216"/>
      <c r="F60" s="216"/>
      <c r="G60" s="216"/>
      <c r="H60" s="216"/>
      <c r="I60" s="216"/>
      <c r="J60" s="216"/>
      <c r="K60" s="216"/>
      <c r="L60" s="216"/>
      <c r="M60" s="216"/>
      <c r="N60" s="216"/>
      <c r="O60" s="216"/>
      <c r="P60" s="216"/>
      <c r="Q60" s="216"/>
    </row>
    <row r="61" spans="2:17" x14ac:dyDescent="0.25">
      <c r="B61" s="1" t="s">
        <v>43</v>
      </c>
      <c r="C61" s="216"/>
      <c r="D61" s="216"/>
      <c r="E61" s="216"/>
      <c r="F61" s="216"/>
      <c r="G61" s="216"/>
      <c r="H61" s="216"/>
      <c r="I61" s="216"/>
      <c r="J61" s="216"/>
      <c r="K61" s="216"/>
      <c r="L61" s="216"/>
      <c r="M61" s="216"/>
      <c r="N61" s="216"/>
      <c r="O61" s="216"/>
      <c r="P61" s="216"/>
      <c r="Q61" s="216"/>
    </row>
    <row r="62" spans="2:17" x14ac:dyDescent="0.25">
      <c r="B62" s="1" t="s">
        <v>44</v>
      </c>
      <c r="C62" s="216"/>
      <c r="D62" s="216"/>
      <c r="E62" s="216"/>
      <c r="F62" s="216"/>
      <c r="G62" s="216"/>
      <c r="H62" s="216"/>
      <c r="I62" s="216"/>
      <c r="J62" s="216"/>
      <c r="K62" s="216"/>
      <c r="L62" s="216"/>
      <c r="M62" s="216"/>
      <c r="N62" s="216"/>
      <c r="O62" s="216"/>
      <c r="P62" s="216"/>
      <c r="Q62" s="216"/>
    </row>
    <row r="63" spans="2:17" x14ac:dyDescent="0.25">
      <c r="B63" t="s">
        <v>45</v>
      </c>
      <c r="C63" s="216">
        <f>'Balance sheet'!C38/'Balance sheet'!C$34</f>
        <v>3.0771733825044743E-2</v>
      </c>
      <c r="D63" s="216">
        <f>'Balance sheet'!D38/'Balance sheet'!D$34</f>
        <v>2.536866338965876E-2</v>
      </c>
      <c r="E63" s="216">
        <f>'Balance sheet'!E38/'Balance sheet'!E$34</f>
        <v>1.7466769866470017E-2</v>
      </c>
      <c r="F63" s="216">
        <f>'Balance sheet'!F38/'Balance sheet'!F$34</f>
        <v>1.3288607921558509E-2</v>
      </c>
      <c r="G63" s="216">
        <f>'Balance sheet'!G38/'Balance sheet'!G$34</f>
        <v>8.9340470250605826E-3</v>
      </c>
      <c r="H63" s="216">
        <f>'Balance sheet'!H38/'Balance sheet'!H$34</f>
        <v>9.2898015130542799E-3</v>
      </c>
      <c r="I63" s="216">
        <f>'Balance sheet'!I38/'Balance sheet'!I$34</f>
        <v>7.8887474432232079E-3</v>
      </c>
      <c r="J63" s="216">
        <f>'Balance sheet'!J38/'Balance sheet'!J$34</f>
        <v>6.7638879373338248E-3</v>
      </c>
      <c r="K63" s="216">
        <f>'Balance sheet'!K38/'Balance sheet'!K$34</f>
        <v>5.8561807492503136E-3</v>
      </c>
      <c r="L63" s="216">
        <f>'Balance sheet'!L38/'Balance sheet'!L$34</f>
        <v>5.1232506421592045E-3</v>
      </c>
      <c r="M63" s="216">
        <f>'Balance sheet'!M38/'Balance sheet'!M$34</f>
        <v>4.5246593681775938E-3</v>
      </c>
      <c r="N63" s="216">
        <f>'Balance sheet'!N38/'Balance sheet'!N$34</f>
        <v>4.0340129828144722E-3</v>
      </c>
      <c r="O63" s="216">
        <f>'Balance sheet'!O38/'Balance sheet'!O$34</f>
        <v>3.6262894234635229E-3</v>
      </c>
      <c r="P63" s="216">
        <f>'Balance sheet'!P38/'Balance sheet'!P$34</f>
        <v>3.2854306298952278E-3</v>
      </c>
      <c r="Q63" s="216">
        <f>'Balance sheet'!Q38/'Balance sheet'!Q$34</f>
        <v>2.9970704661354381E-3</v>
      </c>
    </row>
    <row r="64" spans="2:17" x14ac:dyDescent="0.25">
      <c r="B64" t="s">
        <v>46</v>
      </c>
      <c r="C64" s="216">
        <f>'Balance sheet'!C39/'Balance sheet'!C$34</f>
        <v>0.56144042518574755</v>
      </c>
      <c r="D64" s="216">
        <f>'Balance sheet'!D39/'Balance sheet'!D$34</f>
        <v>0.56644829823734899</v>
      </c>
      <c r="E64" s="216">
        <f>'Balance sheet'!E39/'Balance sheet'!E$34</f>
        <v>0.49375011427143578</v>
      </c>
      <c r="F64" s="216">
        <f>'Balance sheet'!F39/'Balance sheet'!F$34</f>
        <v>0.6452426605688254</v>
      </c>
      <c r="G64" s="216">
        <f>'Balance sheet'!G39/'Balance sheet'!G$34</f>
        <v>0.4598220930855656</v>
      </c>
      <c r="H64" s="216">
        <f>'Balance sheet'!H39/'Balance sheet'!H$34</f>
        <v>0.55346604881564532</v>
      </c>
      <c r="I64" s="216">
        <f>'Balance sheet'!I39/'Balance sheet'!I$34</f>
        <v>0.54968595096076078</v>
      </c>
      <c r="J64" s="216">
        <f>'Balance sheet'!J39/'Balance sheet'!J$34</f>
        <v>0.55111761756239619</v>
      </c>
      <c r="K64" s="216">
        <f>'Balance sheet'!K39/'Balance sheet'!K$34</f>
        <v>0.55666593659521846</v>
      </c>
      <c r="L64" s="216">
        <f>'Balance sheet'!L39/'Balance sheet'!L$34</f>
        <v>0.56497079171186271</v>
      </c>
      <c r="M64" s="216">
        <f>'Balance sheet'!M39/'Balance sheet'!M$34</f>
        <v>0.57543553482740217</v>
      </c>
      <c r="N64" s="216">
        <f>'Balance sheet'!N39/'Balance sheet'!N$34</f>
        <v>0.58715613191555882</v>
      </c>
      <c r="O64" s="216">
        <f>'Balance sheet'!O39/'Balance sheet'!O$34</f>
        <v>0.59986323910806949</v>
      </c>
      <c r="P64" s="216">
        <f>'Balance sheet'!P39/'Balance sheet'!P$34</f>
        <v>0.61303705795521457</v>
      </c>
      <c r="Q64" s="216">
        <f>'Balance sheet'!Q39/'Balance sheet'!Q$34</f>
        <v>0.62649520016305504</v>
      </c>
    </row>
    <row r="65" spans="2:17" x14ac:dyDescent="0.25">
      <c r="B65" s="8" t="s">
        <v>48</v>
      </c>
      <c r="C65" s="131">
        <f>'Balance sheet'!C40/'Balance sheet'!C$34</f>
        <v>0.59221215901079238</v>
      </c>
      <c r="D65" s="131">
        <f>'Balance sheet'!D40/'Balance sheet'!D$34</f>
        <v>0.59181696162700781</v>
      </c>
      <c r="E65" s="131">
        <f>'Balance sheet'!E40/'Balance sheet'!E$34</f>
        <v>0.51121688413790578</v>
      </c>
      <c r="F65" s="131">
        <f>'Balance sheet'!F40/'Balance sheet'!F$34</f>
        <v>0.6585312684903839</v>
      </c>
      <c r="G65" s="131">
        <f>'Balance sheet'!G40/'Balance sheet'!G$34</f>
        <v>0.46875614011062616</v>
      </c>
      <c r="H65" s="131">
        <f>'Balance sheet'!H40/'Balance sheet'!H$34</f>
        <v>0.56275585032869968</v>
      </c>
      <c r="I65" s="131">
        <f>'Balance sheet'!I40/'Balance sheet'!I$34</f>
        <v>0.55757469840398399</v>
      </c>
      <c r="J65" s="131">
        <f>'Balance sheet'!J40/'Balance sheet'!J$34</f>
        <v>0.55788150549973003</v>
      </c>
      <c r="K65" s="131">
        <f>'Balance sheet'!K40/'Balance sheet'!K$34</f>
        <v>0.56252211734446878</v>
      </c>
      <c r="L65" s="131">
        <f>'Balance sheet'!L40/'Balance sheet'!L$34</f>
        <v>0.57009404235402183</v>
      </c>
      <c r="M65" s="131">
        <f>'Balance sheet'!M40/'Balance sheet'!M$34</f>
        <v>0.57996019419557976</v>
      </c>
      <c r="N65" s="131">
        <f>'Balance sheet'!N40/'Balance sheet'!N$34</f>
        <v>0.59119014489837329</v>
      </c>
      <c r="O65" s="131">
        <f>'Balance sheet'!O40/'Balance sheet'!O$34</f>
        <v>0.60348952853153304</v>
      </c>
      <c r="P65" s="131">
        <f>'Balance sheet'!P40/'Balance sheet'!P$34</f>
        <v>0.61632248858510985</v>
      </c>
      <c r="Q65" s="131">
        <f>'Balance sheet'!Q40/'Balance sheet'!Q$34</f>
        <v>0.62949227062919055</v>
      </c>
    </row>
    <row r="66" spans="2:17" x14ac:dyDescent="0.25">
      <c r="C66" s="216"/>
      <c r="D66" s="216"/>
      <c r="E66" s="216"/>
      <c r="F66" s="216"/>
      <c r="G66" s="216"/>
      <c r="H66" s="216"/>
      <c r="I66" s="216"/>
      <c r="J66" s="216"/>
      <c r="K66" s="216"/>
      <c r="L66" s="216"/>
      <c r="M66" s="216"/>
      <c r="N66" s="216"/>
      <c r="O66" s="216"/>
      <c r="P66" s="216"/>
      <c r="Q66" s="216"/>
    </row>
    <row r="67" spans="2:17" x14ac:dyDescent="0.25">
      <c r="B67" s="1" t="s">
        <v>49</v>
      </c>
      <c r="C67" s="216"/>
      <c r="D67" s="216"/>
      <c r="E67" s="216"/>
      <c r="F67" s="216"/>
      <c r="G67" s="216"/>
      <c r="H67" s="216"/>
      <c r="I67" s="216"/>
      <c r="J67" s="216"/>
      <c r="K67" s="216"/>
      <c r="L67" s="216"/>
      <c r="M67" s="216"/>
      <c r="N67" s="216"/>
      <c r="O67" s="216"/>
      <c r="P67" s="216"/>
      <c r="Q67" s="216"/>
    </row>
    <row r="68" spans="2:17" x14ac:dyDescent="0.25">
      <c r="B68" s="1" t="s">
        <v>50</v>
      </c>
      <c r="C68" s="216"/>
      <c r="D68" s="216"/>
      <c r="E68" s="216"/>
      <c r="F68" s="216"/>
      <c r="G68" s="216"/>
      <c r="H68" s="216"/>
      <c r="I68" s="216"/>
      <c r="J68" s="216"/>
      <c r="K68" s="216"/>
      <c r="L68" s="216"/>
      <c r="M68" s="216"/>
      <c r="N68" s="216"/>
      <c r="O68" s="216"/>
      <c r="P68" s="216"/>
      <c r="Q68" s="216"/>
    </row>
    <row r="69" spans="2:17" x14ac:dyDescent="0.25">
      <c r="B69" s="1" t="s">
        <v>51</v>
      </c>
      <c r="C69" s="216"/>
      <c r="D69" s="216"/>
      <c r="E69" s="216"/>
      <c r="F69" s="216"/>
      <c r="G69" s="216"/>
      <c r="H69" s="216"/>
      <c r="I69" s="216"/>
      <c r="J69" s="216"/>
      <c r="K69" s="216"/>
      <c r="L69" s="216"/>
      <c r="M69" s="216"/>
      <c r="N69" s="216"/>
      <c r="O69" s="216"/>
      <c r="P69" s="216"/>
      <c r="Q69" s="216"/>
    </row>
    <row r="70" spans="2:17" x14ac:dyDescent="0.25">
      <c r="B70" s="6" t="s">
        <v>52</v>
      </c>
      <c r="C70" s="216">
        <f>'Balance sheet'!C45/'Balance sheet'!C$34</f>
        <v>3.9709311784803948E-2</v>
      </c>
      <c r="D70" s="216">
        <f>'Balance sheet'!D45/'Balance sheet'!D$34</f>
        <v>1.5324308228371303E-2</v>
      </c>
      <c r="E70" s="216">
        <f>'Balance sheet'!E45/'Balance sheet'!E$34</f>
        <v>6.8733506822766521E-2</v>
      </c>
      <c r="F70" s="216">
        <f>'Balance sheet'!F45/'Balance sheet'!F$34</f>
        <v>4.6467863990853238E-2</v>
      </c>
      <c r="G70" s="216">
        <f>'Balance sheet'!G45/'Balance sheet'!G$34</f>
        <v>9.9840431549302486E-2</v>
      </c>
      <c r="H70" s="216">
        <f>'Balance sheet'!H45/'Balance sheet'!H$34</f>
        <v>5.7515278978214228E-2</v>
      </c>
      <c r="I70" s="216">
        <f>'Balance sheet'!I45/'Balance sheet'!I$34</f>
        <v>5.8196809877146899E-2</v>
      </c>
      <c r="J70" s="216">
        <f>'Balance sheet'!J45/'Balance sheet'!J$34</f>
        <v>5.8156452342992125E-2</v>
      </c>
      <c r="K70" s="216">
        <f>'Balance sheet'!K45/'Balance sheet'!K$34</f>
        <v>5.7546024313067885E-2</v>
      </c>
      <c r="L70" s="216">
        <f>'Balance sheet'!L45/'Balance sheet'!L$34</f>
        <v>5.6550010119043918E-2</v>
      </c>
      <c r="M70" s="216">
        <f>'Balance sheet'!M45/'Balance sheet'!M$34</f>
        <v>5.5252212364550857E-2</v>
      </c>
      <c r="N70" s="216">
        <f>'Balance sheet'!N45/'Balance sheet'!N$34</f>
        <v>5.3775019935404983E-2</v>
      </c>
      <c r="O70" s="216">
        <f>'Balance sheet'!O45/'Balance sheet'!O$34</f>
        <v>5.2157153849711105E-2</v>
      </c>
      <c r="P70" s="216">
        <f>'Balance sheet'!P45/'Balance sheet'!P$34</f>
        <v>5.0469100897710235E-2</v>
      </c>
      <c r="Q70" s="216">
        <f>'Balance sheet'!Q45/'Balance sheet'!Q$34</f>
        <v>4.8736742239699614E-2</v>
      </c>
    </row>
    <row r="71" spans="2:17" x14ac:dyDescent="0.25">
      <c r="B71" s="6" t="s">
        <v>53</v>
      </c>
      <c r="C71" s="216">
        <f>'Balance sheet'!C46/'Balance sheet'!C$34</f>
        <v>1.3265361462118336E-2</v>
      </c>
      <c r="D71" s="216">
        <f>'Balance sheet'!D46/'Balance sheet'!D$34</f>
        <v>3.6613007884374361E-2</v>
      </c>
      <c r="E71" s="216">
        <f>'Balance sheet'!E46/'Balance sheet'!E$34</f>
        <v>2.9015802977761254E-2</v>
      </c>
      <c r="F71" s="216">
        <f>'Balance sheet'!F46/'Balance sheet'!F$34</f>
        <v>2.0331080750425973E-2</v>
      </c>
      <c r="G71" s="216">
        <f>'Balance sheet'!G46/'Balance sheet'!G$34</f>
        <v>1.4914886902883544E-2</v>
      </c>
      <c r="H71" s="216">
        <f>'Balance sheet'!H46/'Balance sheet'!H$34</f>
        <v>2.1699003397103605E-2</v>
      </c>
      <c r="I71" s="216">
        <f>'Balance sheet'!I46/'Balance sheet'!I$34</f>
        <v>2.1956127096299648E-2</v>
      </c>
      <c r="J71" s="216">
        <f>'Balance sheet'!J46/'Balance sheet'!J$34</f>
        <v>2.1940901259160702E-2</v>
      </c>
      <c r="K71" s="216">
        <f>'Balance sheet'!K46/'Balance sheet'!K$34</f>
        <v>2.1710602804031406E-2</v>
      </c>
      <c r="L71" s="216">
        <f>'Balance sheet'!L46/'Balance sheet'!L$34</f>
        <v>2.1334832821452064E-2</v>
      </c>
      <c r="M71" s="216">
        <f>'Balance sheet'!M46/'Balance sheet'!M$34</f>
        <v>2.084520783164431E-2</v>
      </c>
      <c r="N71" s="216">
        <f>'Balance sheet'!N46/'Balance sheet'!N$34</f>
        <v>2.0287901945144945E-2</v>
      </c>
      <c r="O71" s="216">
        <f>'Balance sheet'!O46/'Balance sheet'!O$34</f>
        <v>1.9677523584590913E-2</v>
      </c>
      <c r="P71" s="216">
        <f>'Balance sheet'!P46/'Balance sheet'!P$34</f>
        <v>1.9040665563719066E-2</v>
      </c>
      <c r="Q71" s="216">
        <f>'Balance sheet'!Q46/'Balance sheet'!Q$34</f>
        <v>1.8387092164215729E-2</v>
      </c>
    </row>
    <row r="72" spans="2:17" x14ac:dyDescent="0.25">
      <c r="B72" s="6" t="s">
        <v>54</v>
      </c>
      <c r="C72" s="216">
        <f>'Balance sheet'!C47/'Balance sheet'!C$34</f>
        <v>2.6628342100981615E-2</v>
      </c>
      <c r="D72" s="216">
        <f>'Balance sheet'!D47/'Balance sheet'!D$34</f>
        <v>1.1475453551523986E-2</v>
      </c>
      <c r="E72" s="216">
        <f>'Balance sheet'!E47/'Balance sheet'!E$34</f>
        <v>1.2164575245455044E-2</v>
      </c>
      <c r="F72" s="216">
        <f>'Balance sheet'!F47/'Balance sheet'!F$34</f>
        <v>1.7839744816019289E-3</v>
      </c>
      <c r="G72" s="216">
        <f>'Balance sheet'!G47/'Balance sheet'!G$34</f>
        <v>2.4798604371461065E-2</v>
      </c>
      <c r="H72" s="216">
        <f>'Balance sheet'!H47/'Balance sheet'!H$34</f>
        <v>1.5647936152748006E-2</v>
      </c>
      <c r="I72" s="216">
        <f>'Balance sheet'!I47/'Balance sheet'!I$34</f>
        <v>1.5833357351811697E-2</v>
      </c>
      <c r="J72" s="216">
        <f>'Balance sheet'!J47/'Balance sheet'!J$34</f>
        <v>1.582237744996726E-2</v>
      </c>
      <c r="K72" s="216">
        <f>'Balance sheet'!K47/'Balance sheet'!K$34</f>
        <v>1.5656300904607543E-2</v>
      </c>
      <c r="L72" s="216">
        <f>'Balance sheet'!L47/'Balance sheet'!L$34</f>
        <v>1.5385319579432691E-2</v>
      </c>
      <c r="M72" s="216">
        <f>'Balance sheet'!M47/'Balance sheet'!M$34</f>
        <v>1.5032233290671413E-2</v>
      </c>
      <c r="N72" s="216">
        <f>'Balance sheet'!N47/'Balance sheet'!N$34</f>
        <v>1.4630339859443288E-2</v>
      </c>
      <c r="O72" s="216">
        <f>'Balance sheet'!O47/'Balance sheet'!O$34</f>
        <v>1.4190173947664898E-2</v>
      </c>
      <c r="P72" s="216">
        <f>'Balance sheet'!P47/'Balance sheet'!P$34</f>
        <v>1.373091259512286E-2</v>
      </c>
      <c r="Q72" s="216">
        <f>'Balance sheet'!Q47/'Balance sheet'!Q$34</f>
        <v>1.3259597178492811E-2</v>
      </c>
    </row>
    <row r="73" spans="2:17" x14ac:dyDescent="0.25">
      <c r="B73" t="s">
        <v>55</v>
      </c>
      <c r="C73" s="216">
        <f>'Balance sheet'!C48/'Balance sheet'!C$34</f>
        <v>1.7929388795487826E-2</v>
      </c>
      <c r="D73" s="216">
        <f>'Balance sheet'!D48/'Balance sheet'!D$34</f>
        <v>1.4382094381383277E-2</v>
      </c>
      <c r="E73" s="216">
        <f>'Balance sheet'!E48/'Balance sheet'!E$34</f>
        <v>1.5028979236118307E-2</v>
      </c>
      <c r="F73" s="216">
        <f>'Balance sheet'!F48/'Balance sheet'!F$34</f>
        <v>1.485014169473127E-2</v>
      </c>
      <c r="G73" s="216">
        <f>'Balance sheet'!G48/'Balance sheet'!G$34</f>
        <v>1.7683518603418814E-2</v>
      </c>
      <c r="H73" s="216">
        <f>'Balance sheet'!H48/'Balance sheet'!H$34</f>
        <v>1.6020287268863495E-2</v>
      </c>
      <c r="I73" s="216">
        <f>'Balance sheet'!I48/'Balance sheet'!I$34</f>
        <v>1.6210120665788225E-2</v>
      </c>
      <c r="J73" s="216">
        <f>'Balance sheet'!J48/'Balance sheet'!J$34</f>
        <v>1.6198879491232377E-2</v>
      </c>
      <c r="K73" s="216">
        <f>'Balance sheet'!K48/'Balance sheet'!K$34</f>
        <v>1.6028851064524112E-2</v>
      </c>
      <c r="L73" s="216">
        <f>'Balance sheet'!L48/'Balance sheet'!L$34</f>
        <v>1.5751421591945643E-2</v>
      </c>
      <c r="M73" s="216">
        <f>'Balance sheet'!M48/'Balance sheet'!M$34</f>
        <v>1.5389933423701858E-2</v>
      </c>
      <c r="N73" s="216">
        <f>'Balance sheet'!N48/'Balance sheet'!N$34</f>
        <v>1.4978476720600912E-2</v>
      </c>
      <c r="O73" s="216">
        <f>'Balance sheet'!O48/'Balance sheet'!O$34</f>
        <v>1.452783682254556E-2</v>
      </c>
      <c r="P73" s="216">
        <f>'Balance sheet'!P48/'Balance sheet'!P$34</f>
        <v>1.4057647097370961E-2</v>
      </c>
      <c r="Q73" s="216">
        <f>'Balance sheet'!Q48/'Balance sheet'!Q$34</f>
        <v>1.3575116475124559E-2</v>
      </c>
    </row>
    <row r="74" spans="2:17" x14ac:dyDescent="0.25">
      <c r="B74" t="s">
        <v>56</v>
      </c>
      <c r="C74" s="216">
        <f>'Balance sheet'!C49/'Balance sheet'!C$34</f>
        <v>7.8637670155648348E-3</v>
      </c>
      <c r="D74" s="216">
        <f>'Balance sheet'!D49/'Balance sheet'!D$34</f>
        <v>4.1599630225509108E-3</v>
      </c>
      <c r="E74" s="216">
        <f>'Balance sheet'!E49/'Balance sheet'!E$34</f>
        <v>1.2554621746311318E-2</v>
      </c>
      <c r="F74" s="216">
        <f>'Balance sheet'!F49/'Balance sheet'!F$34</f>
        <v>5.7968048616641238E-3</v>
      </c>
      <c r="G74" s="216">
        <f>'Balance sheet'!G49/'Balance sheet'!G$34</f>
        <v>1.4411769959452942E-2</v>
      </c>
      <c r="H74" s="216">
        <f>'Balance sheet'!H49/'Balance sheet'!H$34</f>
        <v>9.285311856258454E-3</v>
      </c>
      <c r="I74" s="216">
        <f>'Balance sheet'!I49/'Balance sheet'!I$34</f>
        <v>9.3953387403958484E-3</v>
      </c>
      <c r="J74" s="216">
        <f>'Balance sheet'!J49/'Balance sheet'!J$34</f>
        <v>9.3888233883531579E-3</v>
      </c>
      <c r="K74" s="216">
        <f>'Balance sheet'!K49/'Balance sheet'!K$34</f>
        <v>9.2902754072889445E-3</v>
      </c>
      <c r="L74" s="216">
        <f>'Balance sheet'!L49/'Balance sheet'!L$34</f>
        <v>9.1294780927479585E-3</v>
      </c>
      <c r="M74" s="216">
        <f>'Balance sheet'!M49/'Balance sheet'!M$34</f>
        <v>8.9199606029452139E-3</v>
      </c>
      <c r="N74" s="216">
        <f>'Balance sheet'!N49/'Balance sheet'!N$34</f>
        <v>8.6814814958279755E-3</v>
      </c>
      <c r="O74" s="216">
        <f>'Balance sheet'!O49/'Balance sheet'!O$34</f>
        <v>8.4202919230012135E-3</v>
      </c>
      <c r="P74" s="216">
        <f>'Balance sheet'!P49/'Balance sheet'!P$34</f>
        <v>8.1477713272975413E-3</v>
      </c>
      <c r="Q74" s="216">
        <f>'Balance sheet'!Q49/'Balance sheet'!Q$34</f>
        <v>7.8680979835828932E-3</v>
      </c>
    </row>
    <row r="75" spans="2:17" x14ac:dyDescent="0.25">
      <c r="C75" s="216"/>
      <c r="D75" s="216"/>
      <c r="E75" s="216"/>
      <c r="F75" s="216"/>
      <c r="G75" s="216"/>
      <c r="H75" s="216"/>
      <c r="I75" s="216"/>
      <c r="J75" s="216"/>
      <c r="K75" s="216"/>
      <c r="L75" s="216"/>
      <c r="M75" s="216"/>
      <c r="N75" s="216"/>
      <c r="O75" s="216"/>
      <c r="P75" s="216"/>
      <c r="Q75" s="216"/>
    </row>
    <row r="76" spans="2:17" x14ac:dyDescent="0.25">
      <c r="B76" s="8" t="s">
        <v>57</v>
      </c>
      <c r="C76" s="131">
        <f>'Balance sheet'!C51/'Balance sheet'!C$34</f>
        <v>0.10539617115895655</v>
      </c>
      <c r="D76" s="131">
        <f>'Balance sheet'!D51/'Balance sheet'!D$34</f>
        <v>8.1954827068203839E-2</v>
      </c>
      <c r="E76" s="131">
        <f>'Balance sheet'!E51/'Balance sheet'!E$34</f>
        <v>0.13749748602841244</v>
      </c>
      <c r="F76" s="131">
        <f>'Balance sheet'!F51/'Balance sheet'!F$34</f>
        <v>8.9229865779276538E-2</v>
      </c>
      <c r="G76" s="131">
        <f>'Balance sheet'!G51/'Balance sheet'!G$34</f>
        <v>0.17164921138651884</v>
      </c>
      <c r="H76" s="131">
        <f>'Balance sheet'!H51/'Balance sheet'!H$34</f>
        <v>0.12016781765318776</v>
      </c>
      <c r="I76" s="131">
        <f>'Balance sheet'!I51/'Balance sheet'!I$34</f>
        <v>0.12159175373144232</v>
      </c>
      <c r="J76" s="131">
        <f>'Balance sheet'!J51/'Balance sheet'!J$34</f>
        <v>0.12150743393170561</v>
      </c>
      <c r="K76" s="131">
        <f>'Balance sheet'!K51/'Balance sheet'!K$34</f>
        <v>0.1202320544935199</v>
      </c>
      <c r="L76" s="131">
        <f>'Balance sheet'!L51/'Balance sheet'!L$34</f>
        <v>0.11815106220462228</v>
      </c>
      <c r="M76" s="131">
        <f>'Balance sheet'!M51/'Balance sheet'!M$34</f>
        <v>0.11543954751351365</v>
      </c>
      <c r="N76" s="131">
        <f>'Balance sheet'!N51/'Balance sheet'!N$34</f>
        <v>0.1123532199564221</v>
      </c>
      <c r="O76" s="131">
        <f>'Balance sheet'!O51/'Balance sheet'!O$34</f>
        <v>0.1089729801275137</v>
      </c>
      <c r="P76" s="131">
        <f>'Balance sheet'!P51/'Balance sheet'!P$34</f>
        <v>0.10544609748122066</v>
      </c>
      <c r="Q76" s="131">
        <f>'Balance sheet'!Q51/'Balance sheet'!Q$34</f>
        <v>0.1018266460411156</v>
      </c>
    </row>
    <row r="77" spans="2:17" x14ac:dyDescent="0.25">
      <c r="C77" s="216"/>
      <c r="D77" s="216"/>
      <c r="E77" s="216"/>
      <c r="F77" s="216"/>
      <c r="G77" s="216"/>
      <c r="H77" s="216"/>
      <c r="I77" s="216"/>
      <c r="J77" s="216"/>
      <c r="K77" s="216"/>
      <c r="L77" s="216"/>
      <c r="M77" s="216"/>
      <c r="N77" s="216"/>
      <c r="O77" s="216"/>
      <c r="P77" s="216"/>
      <c r="Q77" s="216"/>
    </row>
    <row r="78" spans="2:17" x14ac:dyDescent="0.25">
      <c r="B78" s="1" t="s">
        <v>58</v>
      </c>
      <c r="C78" s="216"/>
      <c r="D78" s="216"/>
      <c r="E78" s="216"/>
      <c r="F78" s="216"/>
      <c r="G78" s="216"/>
      <c r="H78" s="216"/>
      <c r="I78" s="216"/>
      <c r="J78" s="216"/>
      <c r="K78" s="216"/>
      <c r="L78" s="216"/>
      <c r="M78" s="216"/>
      <c r="N78" s="216"/>
      <c r="O78" s="216"/>
      <c r="P78" s="216"/>
      <c r="Q78" s="216"/>
    </row>
    <row r="79" spans="2:17" x14ac:dyDescent="0.25">
      <c r="B79" t="s">
        <v>59</v>
      </c>
      <c r="C79" s="216">
        <f>'Balance sheet'!C54/'Balance sheet'!C$34</f>
        <v>7.3105916806768265E-3</v>
      </c>
      <c r="D79" s="216">
        <f>'Balance sheet'!D54/'Balance sheet'!D$34</f>
        <v>1.1964338094772492E-2</v>
      </c>
      <c r="E79" s="216">
        <f>'Balance sheet'!E54/'Balance sheet'!E$34</f>
        <v>7.0513093982923275E-3</v>
      </c>
      <c r="F79" s="216">
        <f>'Balance sheet'!F54/'Balance sheet'!F$34</f>
        <v>8.1190858576646388E-3</v>
      </c>
      <c r="G79" s="216">
        <f>'Balance sheet'!G54/'Balance sheet'!G$34</f>
        <v>6.5315891945961074E-3</v>
      </c>
      <c r="H79" s="216">
        <f>'Balance sheet'!H54/'Balance sheet'!H$34</f>
        <v>7.948018211119727E-3</v>
      </c>
      <c r="I79" s="216">
        <f>'Balance sheet'!I54/'Balance sheet'!I$34</f>
        <v>8.0421987504892632E-3</v>
      </c>
      <c r="J79" s="216">
        <f>'Balance sheet'!J54/'Balance sheet'!J$34</f>
        <v>8.0366217556086597E-3</v>
      </c>
      <c r="K79" s="216">
        <f>'Balance sheet'!K54/'Balance sheet'!K$34</f>
        <v>7.9522668992190459E-3</v>
      </c>
      <c r="L79" s="216">
        <f>'Balance sheet'!L54/'Balance sheet'!L$34</f>
        <v>7.814628012765331E-3</v>
      </c>
      <c r="M79" s="216">
        <f>'Balance sheet'!M54/'Balance sheet'!M$34</f>
        <v>7.6352857515382183E-3</v>
      </c>
      <c r="N79" s="216">
        <f>'Balance sheet'!N54/'Balance sheet'!N$34</f>
        <v>7.4311529969596163E-3</v>
      </c>
      <c r="O79" s="216">
        <f>'Balance sheet'!O54/'Balance sheet'!O$34</f>
        <v>7.2075805942747829E-3</v>
      </c>
      <c r="P79" s="216">
        <f>'Balance sheet'!P54/'Balance sheet'!P$34</f>
        <v>6.9743090907336217E-3</v>
      </c>
      <c r="Q79" s="216">
        <f>'Balance sheet'!Q54/'Balance sheet'!Q$34</f>
        <v>6.7349149956919419E-3</v>
      </c>
    </row>
    <row r="80" spans="2:17" x14ac:dyDescent="0.25">
      <c r="B80" s="1" t="s">
        <v>51</v>
      </c>
      <c r="C80" s="216"/>
      <c r="D80" s="216"/>
      <c r="E80" s="216"/>
      <c r="F80" s="216"/>
      <c r="G80" s="216"/>
      <c r="H80" s="216"/>
      <c r="I80" s="216"/>
      <c r="J80" s="216"/>
      <c r="K80" s="216"/>
      <c r="L80" s="216"/>
      <c r="M80" s="216"/>
      <c r="N80" s="216"/>
      <c r="O80" s="216"/>
      <c r="P80" s="216"/>
      <c r="Q80" s="216"/>
    </row>
    <row r="81" spans="2:17" x14ac:dyDescent="0.25">
      <c r="B81" s="5" t="s">
        <v>52</v>
      </c>
      <c r="C81" s="216">
        <f>'Balance sheet'!C56/'Balance sheet'!C$34</f>
        <v>0.14066923368946255</v>
      </c>
      <c r="D81" s="216">
        <f>'Balance sheet'!D56/'Balance sheet'!D$34</f>
        <v>0.15413196327143758</v>
      </c>
      <c r="E81" s="216">
        <f>'Balance sheet'!E56/'Balance sheet'!E$34</f>
        <v>0.21621374548246924</v>
      </c>
      <c r="F81" s="216">
        <f>'Balance sheet'!F56/'Balance sheet'!F$34</f>
        <v>0.15033432838476904</v>
      </c>
      <c r="G81" s="216">
        <f>'Balance sheet'!G56/'Balance sheet'!G$34</f>
        <v>0.24576518430751459</v>
      </c>
      <c r="H81" s="216">
        <f>'Balance sheet'!H56/'Balance sheet'!H$34</f>
        <v>0.18438110496436327</v>
      </c>
      <c r="I81" s="216">
        <f>'Balance sheet'!I56/'Balance sheet'!I$34</f>
        <v>0.18656594041061328</v>
      </c>
      <c r="J81" s="216">
        <f>'Balance sheet'!J56/'Balance sheet'!J$34</f>
        <v>0.18643656319340612</v>
      </c>
      <c r="K81" s="216">
        <f>'Balance sheet'!K56/'Balance sheet'!K$34</f>
        <v>0.18447966762307808</v>
      </c>
      <c r="L81" s="216">
        <f>'Balance sheet'!L56/'Balance sheet'!L$34</f>
        <v>0.18128666915524674</v>
      </c>
      <c r="M81" s="216">
        <f>'Balance sheet'!M56/'Balance sheet'!M$34</f>
        <v>0.17712622017117177</v>
      </c>
      <c r="N81" s="216">
        <f>'Balance sheet'!N56/'Balance sheet'!N$34</f>
        <v>0.17239067203214464</v>
      </c>
      <c r="O81" s="216">
        <f>'Balance sheet'!O56/'Balance sheet'!O$34</f>
        <v>0.16720415565138264</v>
      </c>
      <c r="P81" s="216">
        <f>'Balance sheet'!P56/'Balance sheet'!P$34</f>
        <v>0.16179263589423828</v>
      </c>
      <c r="Q81" s="216">
        <f>'Balance sheet'!Q56/'Balance sheet'!Q$34</f>
        <v>0.1562390819650368</v>
      </c>
    </row>
    <row r="82" spans="2:17" x14ac:dyDescent="0.25">
      <c r="B82" s="5" t="s">
        <v>53</v>
      </c>
      <c r="C82" s="216">
        <f>'Balance sheet'!C57/'Balance sheet'!C$34</f>
        <v>1.542382992570096E-2</v>
      </c>
      <c r="D82" s="216">
        <f>'Balance sheet'!D57/'Balance sheet'!D$34</f>
        <v>1.5928747300023999E-2</v>
      </c>
      <c r="E82" s="216">
        <f>'Balance sheet'!E57/'Balance sheet'!E$34</f>
        <v>1.1329631954559582E-2</v>
      </c>
      <c r="F82" s="216">
        <f>'Balance sheet'!F57/'Balance sheet'!F$34</f>
        <v>1.0730539774623075E-2</v>
      </c>
      <c r="G82" s="216">
        <f>'Balance sheet'!G57/'Balance sheet'!G$34</f>
        <v>9.6991420218751675E-3</v>
      </c>
      <c r="H82" s="216">
        <f>'Balance sheet'!H57/'Balance sheet'!H$34</f>
        <v>1.2224222301589911E-2</v>
      </c>
      <c r="I82" s="216">
        <f>'Balance sheet'!I57/'Balance sheet'!I$34</f>
        <v>1.2369073989036493E-2</v>
      </c>
      <c r="J82" s="216">
        <f>'Balance sheet'!J57/'Balance sheet'!J$34</f>
        <v>1.236049645141838E-2</v>
      </c>
      <c r="K82" s="216">
        <f>'Balance sheet'!K57/'Balance sheet'!K$34</f>
        <v>1.2230756874918333E-2</v>
      </c>
      <c r="L82" s="216">
        <f>'Balance sheet'!L57/'Balance sheet'!L$34</f>
        <v>1.2019065318525124E-2</v>
      </c>
      <c r="M82" s="216">
        <f>'Balance sheet'!M57/'Balance sheet'!M$34</f>
        <v>1.1743233078201007E-2</v>
      </c>
      <c r="N82" s="216">
        <f>'Balance sheet'!N57/'Balance sheet'!N$34</f>
        <v>1.1429272527945402E-2</v>
      </c>
      <c r="O82" s="216">
        <f>'Balance sheet'!O57/'Balance sheet'!O$34</f>
        <v>1.1085413382391811E-2</v>
      </c>
      <c r="P82" s="216">
        <f>'Balance sheet'!P57/'Balance sheet'!P$34</f>
        <v>1.0726636811909909E-2</v>
      </c>
      <c r="Q82" s="216">
        <f>'Balance sheet'!Q57/'Balance sheet'!Q$34</f>
        <v>1.0358443564518597E-2</v>
      </c>
    </row>
    <row r="83" spans="2:17" x14ac:dyDescent="0.25">
      <c r="B83" s="5" t="s">
        <v>60</v>
      </c>
      <c r="C83" s="216">
        <f>'Balance sheet'!C58/'Balance sheet'!C$34</f>
        <v>4.8798741797277508E-2</v>
      </c>
      <c r="D83" s="216">
        <f>'Balance sheet'!D58/'Balance sheet'!D$34</f>
        <v>5.3972853574634889E-2</v>
      </c>
      <c r="E83" s="216">
        <f>'Balance sheet'!E58/'Balance sheet'!E$34</f>
        <v>4.2978248813100688E-2</v>
      </c>
      <c r="F83" s="216">
        <f>'Balance sheet'!F58/'Balance sheet'!F$34</f>
        <v>3.521236414433733E-2</v>
      </c>
      <c r="G83" s="216">
        <f>'Balance sheet'!G58/'Balance sheet'!G$34</f>
        <v>3.1202181562699088E-2</v>
      </c>
      <c r="H83" s="216">
        <f>'Balance sheet'!H58/'Balance sheet'!H$34</f>
        <v>4.0928508438612052E-2</v>
      </c>
      <c r="I83" s="216">
        <f>'Balance sheet'!I58/'Balance sheet'!I$34</f>
        <v>4.1413493361639298E-2</v>
      </c>
      <c r="J83" s="216">
        <f>'Balance sheet'!J58/'Balance sheet'!J$34</f>
        <v>4.1384774494121673E-2</v>
      </c>
      <c r="K83" s="216">
        <f>'Balance sheet'!K58/'Balance sheet'!K$34</f>
        <v>4.0950387158829718E-2</v>
      </c>
      <c r="L83" s="216">
        <f>'Balance sheet'!L58/'Balance sheet'!L$34</f>
        <v>4.0241612445930761E-2</v>
      </c>
      <c r="M83" s="216">
        <f>'Balance sheet'!M58/'Balance sheet'!M$34</f>
        <v>3.9318085214731888E-2</v>
      </c>
      <c r="N83" s="216">
        <f>'Balance sheet'!N58/'Balance sheet'!N$34</f>
        <v>3.8266898749572745E-2</v>
      </c>
      <c r="O83" s="216">
        <f>'Balance sheet'!O58/'Balance sheet'!O$34</f>
        <v>3.7115607355055688E-2</v>
      </c>
      <c r="P83" s="216">
        <f>'Balance sheet'!P58/'Balance sheet'!P$34</f>
        <v>3.591437021045344E-2</v>
      </c>
      <c r="Q83" s="216">
        <f>'Balance sheet'!Q58/'Balance sheet'!Q$34</f>
        <v>3.4681604635588593E-2</v>
      </c>
    </row>
    <row r="84" spans="2:17" x14ac:dyDescent="0.25">
      <c r="B84" s="5" t="s">
        <v>54</v>
      </c>
      <c r="C84" s="216">
        <f>'Balance sheet'!C59/'Balance sheet'!C$34</f>
        <v>5.2898747220565104E-2</v>
      </c>
      <c r="D84" s="216">
        <f>'Balance sheet'!D59/'Balance sheet'!D$34</f>
        <v>5.1448431569497161E-2</v>
      </c>
      <c r="E84" s="216">
        <f>'Balance sheet'!E59/'Balance sheet'!E$34</f>
        <v>4.5269772005631294E-2</v>
      </c>
      <c r="F84" s="216">
        <f>'Balance sheet'!F59/'Balance sheet'!F$34</f>
        <v>2.5847610319469347E-2</v>
      </c>
      <c r="G84" s="216">
        <f>'Balance sheet'!G59/'Balance sheet'!G$34</f>
        <v>4.3244240948360553E-2</v>
      </c>
      <c r="H84" s="216">
        <f>'Balance sheet'!H59/'Balance sheet'!H$34</f>
        <v>4.2735284212682786E-2</v>
      </c>
      <c r="I84" s="216">
        <f>'Balance sheet'!I59/'Balance sheet'!I$34</f>
        <v>4.3241678638356089E-2</v>
      </c>
      <c r="J84" s="216">
        <f>'Balance sheet'!J59/'Balance sheet'!J$34</f>
        <v>4.3211691985715839E-2</v>
      </c>
      <c r="K84" s="216">
        <f>'Balance sheet'!K59/'Balance sheet'!K$34</f>
        <v>4.2758128761931732E-2</v>
      </c>
      <c r="L84" s="216">
        <f>'Balance sheet'!L59/'Balance sheet'!L$34</f>
        <v>4.2018065418457332E-2</v>
      </c>
      <c r="M84" s="216">
        <f>'Balance sheet'!M59/'Balance sheet'!M$34</f>
        <v>4.105376937618567E-2</v>
      </c>
      <c r="N84" s="216">
        <f>'Balance sheet'!N59/'Balance sheet'!N$34</f>
        <v>3.9956178624338944E-2</v>
      </c>
      <c r="O84" s="216">
        <f>'Balance sheet'!O59/'Balance sheet'!O$34</f>
        <v>3.8754063843388697E-2</v>
      </c>
      <c r="P84" s="216">
        <f>'Balance sheet'!P59/'Balance sheet'!P$34</f>
        <v>3.7499798473361705E-2</v>
      </c>
      <c r="Q84" s="216">
        <f>'Balance sheet'!Q59/'Balance sheet'!Q$34</f>
        <v>3.6212612860710362E-2</v>
      </c>
    </row>
    <row r="85" spans="2:17" x14ac:dyDescent="0.25">
      <c r="B85" t="s">
        <v>63</v>
      </c>
      <c r="C85" s="216">
        <f>'Balance sheet'!C60/'Balance sheet'!C$34</f>
        <v>0</v>
      </c>
      <c r="D85" s="216">
        <f>'Balance sheet'!D60/'Balance sheet'!D$34</f>
        <v>2.124425560661683E-3</v>
      </c>
      <c r="E85" s="216">
        <f>'Balance sheet'!E60/'Balance sheet'!E$34</f>
        <v>3.1508443897295879E-3</v>
      </c>
      <c r="F85" s="216">
        <f>'Balance sheet'!F60/'Balance sheet'!F$34</f>
        <v>5.3385770023000371E-5</v>
      </c>
      <c r="G85" s="216">
        <f>'Balance sheet'!G60/'Balance sheet'!G$34</f>
        <v>1.2563038469095521E-3</v>
      </c>
      <c r="H85" s="216">
        <f>'Balance sheet'!H60/'Balance sheet'!H$34</f>
        <v>1.2350090807383594E-3</v>
      </c>
      <c r="I85" s="216">
        <f>'Balance sheet'!I60/'Balance sheet'!I$34</f>
        <v>1.2496433981569433E-3</v>
      </c>
      <c r="J85" s="216">
        <f>'Balance sheet'!J60/'Balance sheet'!J$34</f>
        <v>1.24877681240716E-3</v>
      </c>
      <c r="K85" s="216">
        <f>'Balance sheet'!K60/'Balance sheet'!K$34</f>
        <v>1.235669266490896E-3</v>
      </c>
      <c r="L85" s="216">
        <f>'Balance sheet'!L60/'Balance sheet'!L$34</f>
        <v>1.2142821395219072E-3</v>
      </c>
      <c r="M85" s="216">
        <f>'Balance sheet'!M60/'Balance sheet'!M$34</f>
        <v>1.186414900759701E-3</v>
      </c>
      <c r="N85" s="216">
        <f>'Balance sheet'!N60/'Balance sheet'!N$34</f>
        <v>1.1546955716283211E-3</v>
      </c>
      <c r="O85" s="216">
        <f>'Balance sheet'!O60/'Balance sheet'!O$34</f>
        <v>1.11995559743803E-3</v>
      </c>
      <c r="P85" s="216">
        <f>'Balance sheet'!P60/'Balance sheet'!P$34</f>
        <v>1.0837085208085671E-3</v>
      </c>
      <c r="Q85" s="216">
        <f>'Balance sheet'!Q60/'Balance sheet'!Q$34</f>
        <v>1.0465100804680578E-3</v>
      </c>
    </row>
    <row r="86" spans="2:17" x14ac:dyDescent="0.25">
      <c r="B86" t="s">
        <v>64</v>
      </c>
      <c r="C86" s="216">
        <f>'Balance sheet'!C61/'Balance sheet'!C$34</f>
        <v>2.0933890124193284E-2</v>
      </c>
      <c r="D86" s="216">
        <f>'Balance sheet'!D61/'Balance sheet'!D$34</f>
        <v>2.1564252762197669E-2</v>
      </c>
      <c r="E86" s="216">
        <f>'Balance sheet'!E61/'Balance sheet'!E$34</f>
        <v>1.4474381867713292E-2</v>
      </c>
      <c r="F86" s="216">
        <f>'Balance sheet'!F61/'Balance sheet'!F$34</f>
        <v>1.2438884415359086E-2</v>
      </c>
      <c r="G86" s="216">
        <f>'Balance sheet'!G61/'Balance sheet'!G$34</f>
        <v>1.1419861508874507E-2</v>
      </c>
      <c r="H86" s="216">
        <f>'Balance sheet'!H61/'Balance sheet'!H$34</f>
        <v>1.5519596121047287E-2</v>
      </c>
      <c r="I86" s="216">
        <f>'Balance sheet'!I61/'Balance sheet'!I$34</f>
        <v>1.5703496546870754E-2</v>
      </c>
      <c r="J86" s="216">
        <f>'Balance sheet'!J61/'Balance sheet'!J$34</f>
        <v>1.5692606699135501E-2</v>
      </c>
      <c r="K86" s="216">
        <f>'Balance sheet'!K61/'Balance sheet'!K$34</f>
        <v>1.5527892267532392E-2</v>
      </c>
      <c r="L86" s="216">
        <f>'Balance sheet'!L61/'Balance sheet'!L$34</f>
        <v>1.5259133456018368E-2</v>
      </c>
      <c r="M86" s="216">
        <f>'Balance sheet'!M61/'Balance sheet'!M$34</f>
        <v>1.4908943083053933E-2</v>
      </c>
      <c r="N86" s="216">
        <f>'Balance sheet'!N61/'Balance sheet'!N$34</f>
        <v>1.4510345870266414E-2</v>
      </c>
      <c r="O86" s="216">
        <f>'Balance sheet'!O61/'Balance sheet'!O$34</f>
        <v>1.4073790077197596E-2</v>
      </c>
      <c r="P86" s="216">
        <f>'Balance sheet'!P61/'Balance sheet'!P$34</f>
        <v>1.3618295458873336E-2</v>
      </c>
      <c r="Q86" s="216">
        <f>'Balance sheet'!Q61/'Balance sheet'!Q$34</f>
        <v>1.3150845640551004E-2</v>
      </c>
    </row>
    <row r="87" spans="2:17" x14ac:dyDescent="0.25">
      <c r="B87" t="s">
        <v>55</v>
      </c>
      <c r="C87" s="216">
        <f>'Balance sheet'!C62/'Balance sheet'!C$34</f>
        <v>1.6356635392374856E-2</v>
      </c>
      <c r="D87" s="216">
        <f>'Balance sheet'!D62/'Balance sheet'!D$34</f>
        <v>1.509319917156292E-2</v>
      </c>
      <c r="E87" s="216">
        <f>'Balance sheet'!E62/'Balance sheet'!E$34</f>
        <v>1.0817695922185722E-2</v>
      </c>
      <c r="F87" s="216">
        <f>'Balance sheet'!F62/'Balance sheet'!F$34</f>
        <v>9.5026670640940662E-3</v>
      </c>
      <c r="G87" s="216">
        <f>'Balance sheet'!G62/'Balance sheet'!G$34</f>
        <v>1.0476145112025388E-2</v>
      </c>
      <c r="H87" s="216">
        <f>'Balance sheet'!H62/'Balance sheet'!H$34</f>
        <v>1.2104588687959291E-2</v>
      </c>
      <c r="I87" s="216">
        <f>'Balance sheet'!I62/'Balance sheet'!I$34</f>
        <v>1.2248022769411629E-2</v>
      </c>
      <c r="J87" s="216">
        <f>'Balance sheet'!J62/'Balance sheet'!J$34</f>
        <v>1.2239529176750993E-2</v>
      </c>
      <c r="K87" s="216">
        <f>'Balance sheet'!K62/'Balance sheet'!K$34</f>
        <v>1.2111059310011182E-2</v>
      </c>
      <c r="L87" s="216">
        <f>'Balance sheet'!L62/'Balance sheet'!L$34</f>
        <v>1.190143949489047E-2</v>
      </c>
      <c r="M87" s="216">
        <f>'Balance sheet'!M62/'Balance sheet'!M$34</f>
        <v>1.1628306715264275E-2</v>
      </c>
      <c r="N87" s="216">
        <f>'Balance sheet'!N62/'Balance sheet'!N$34</f>
        <v>1.1317418772348251E-2</v>
      </c>
      <c r="O87" s="216">
        <f>'Balance sheet'!O62/'Balance sheet'!O$34</f>
        <v>1.0976924839823975E-2</v>
      </c>
      <c r="P87" s="216">
        <f>'Balance sheet'!P62/'Balance sheet'!P$34</f>
        <v>1.0621659473290574E-2</v>
      </c>
      <c r="Q87" s="216">
        <f>'Balance sheet'!Q62/'Balance sheet'!Q$34</f>
        <v>1.0257069587128558E-2</v>
      </c>
    </row>
    <row r="88" spans="2:17" x14ac:dyDescent="0.25">
      <c r="C88" s="216">
        <f>'Balance sheet'!C63/'Balance sheet'!C$34</f>
        <v>0</v>
      </c>
      <c r="D88" s="216">
        <f>'Balance sheet'!D63/'Balance sheet'!D$34</f>
        <v>0</v>
      </c>
      <c r="E88" s="216">
        <f>'Balance sheet'!E63/'Balance sheet'!E$34</f>
        <v>0</v>
      </c>
      <c r="F88" s="216">
        <f>'Balance sheet'!F63/'Balance sheet'!F$34</f>
        <v>0</v>
      </c>
      <c r="G88" s="216">
        <f>'Balance sheet'!G63/'Balance sheet'!G$34</f>
        <v>0</v>
      </c>
      <c r="H88" s="216">
        <f>'Balance sheet'!H63/'Balance sheet'!H$34</f>
        <v>0</v>
      </c>
      <c r="I88" s="216">
        <f>'Balance sheet'!I63/'Balance sheet'!I$34</f>
        <v>0</v>
      </c>
      <c r="J88" s="216">
        <f>'Balance sheet'!J63/'Balance sheet'!J$34</f>
        <v>0</v>
      </c>
      <c r="K88" s="216">
        <f>'Balance sheet'!K63/'Balance sheet'!K$34</f>
        <v>0</v>
      </c>
      <c r="L88" s="216">
        <f>'Balance sheet'!L63/'Balance sheet'!L$34</f>
        <v>0</v>
      </c>
      <c r="M88" s="216">
        <f>'Balance sheet'!M63/'Balance sheet'!M$34</f>
        <v>0</v>
      </c>
      <c r="N88" s="216">
        <f>'Balance sheet'!N63/'Balance sheet'!N$34</f>
        <v>0</v>
      </c>
      <c r="O88" s="216">
        <f>'Balance sheet'!O63/'Balance sheet'!O$34</f>
        <v>0</v>
      </c>
      <c r="P88" s="216">
        <f>'Balance sheet'!P63/'Balance sheet'!P$34</f>
        <v>0</v>
      </c>
      <c r="Q88" s="216">
        <f>'Balance sheet'!Q63/'Balance sheet'!Q$34</f>
        <v>0</v>
      </c>
    </row>
    <row r="89" spans="2:17" x14ac:dyDescent="0.25">
      <c r="B89" s="8" t="s">
        <v>65</v>
      </c>
      <c r="C89" s="131">
        <f>'Balance sheet'!C64/'Balance sheet'!C$34</f>
        <v>0.30239166983025112</v>
      </c>
      <c r="D89" s="131">
        <f>'Balance sheet'!D64/'Balance sheet'!D$34</f>
        <v>0.32622821130478841</v>
      </c>
      <c r="E89" s="131">
        <f>'Balance sheet'!E64/'Balance sheet'!E$34</f>
        <v>0.35128562983368172</v>
      </c>
      <c r="F89" s="131">
        <f>'Balance sheet'!F64/'Balance sheet'!F$34</f>
        <v>0.2522388657303396</v>
      </c>
      <c r="G89" s="131">
        <f>'Balance sheet'!G64/'Balance sheet'!G$34</f>
        <v>0.35959464850285494</v>
      </c>
      <c r="H89" s="131">
        <f>'Balance sheet'!H64/'Balance sheet'!H$34</f>
        <v>0.31707633201811269</v>
      </c>
      <c r="I89" s="131">
        <f>'Balance sheet'!I64/'Balance sheet'!I$34</f>
        <v>0.32083354786457374</v>
      </c>
      <c r="J89" s="131">
        <f>'Balance sheet'!J64/'Balance sheet'!J$34</f>
        <v>0.32061106056856437</v>
      </c>
      <c r="K89" s="131">
        <f>'Balance sheet'!K64/'Balance sheet'!K$34</f>
        <v>0.31724582816201141</v>
      </c>
      <c r="L89" s="131">
        <f>'Balance sheet'!L64/'Balance sheet'!L$34</f>
        <v>0.31175489544135604</v>
      </c>
      <c r="M89" s="131">
        <f>'Balance sheet'!M64/'Balance sheet'!M$34</f>
        <v>0.30460025829090648</v>
      </c>
      <c r="N89" s="131">
        <f>'Balance sheet'!N64/'Balance sheet'!N$34</f>
        <v>0.29645663514520437</v>
      </c>
      <c r="O89" s="131">
        <f>'Balance sheet'!O64/'Balance sheet'!O$34</f>
        <v>0.28753749134095324</v>
      </c>
      <c r="P89" s="131">
        <f>'Balance sheet'!P64/'Balance sheet'!P$34</f>
        <v>0.27823141393366946</v>
      </c>
      <c r="Q89" s="131">
        <f>'Balance sheet'!Q64/'Balance sheet'!Q$34</f>
        <v>0.26868108332969387</v>
      </c>
    </row>
    <row r="90" spans="2:17" x14ac:dyDescent="0.25">
      <c r="C90" s="216"/>
      <c r="D90" s="216"/>
      <c r="E90" s="216"/>
      <c r="F90" s="216"/>
      <c r="G90" s="216"/>
      <c r="H90" s="216"/>
      <c r="I90" s="216"/>
      <c r="J90" s="216"/>
      <c r="K90" s="216"/>
      <c r="L90" s="216"/>
      <c r="M90" s="216"/>
      <c r="N90" s="216"/>
      <c r="O90" s="216"/>
      <c r="P90" s="216"/>
      <c r="Q90" s="216"/>
    </row>
    <row r="91" spans="2:17" x14ac:dyDescent="0.25">
      <c r="B91" s="8" t="s">
        <v>66</v>
      </c>
      <c r="C91" s="131">
        <f>'Balance sheet'!C66/'Balance sheet'!C$34</f>
        <v>0.40778784098920767</v>
      </c>
      <c r="D91" s="131">
        <f>'Balance sheet'!D66/'Balance sheet'!D$34</f>
        <v>0.40818303837299225</v>
      </c>
      <c r="E91" s="131">
        <f>'Balance sheet'!E66/'Balance sheet'!E$34</f>
        <v>0.48878311586209416</v>
      </c>
      <c r="F91" s="131">
        <f>'Balance sheet'!F66/'Balance sheet'!F$34</f>
        <v>0.3414687315096161</v>
      </c>
      <c r="G91" s="131">
        <f>'Balance sheet'!G66/'Balance sheet'!G$34</f>
        <v>0.53124385988937384</v>
      </c>
      <c r="H91" s="131">
        <f>'Balance sheet'!H66/'Balance sheet'!H$34</f>
        <v>0.43724414967130049</v>
      </c>
      <c r="I91" s="131">
        <f>'Balance sheet'!I66/'Balance sheet'!I$34</f>
        <v>0.44242530159601606</v>
      </c>
      <c r="J91" s="131">
        <f>'Balance sheet'!J66/'Balance sheet'!J$34</f>
        <v>0.44211849450026997</v>
      </c>
      <c r="K91" s="131">
        <f>'Balance sheet'!K66/'Balance sheet'!K$34</f>
        <v>0.43747788265553134</v>
      </c>
      <c r="L91" s="131">
        <f>'Balance sheet'!L66/'Balance sheet'!L$34</f>
        <v>0.42990595764597833</v>
      </c>
      <c r="M91" s="131">
        <f>'Balance sheet'!M66/'Balance sheet'!M$34</f>
        <v>0.42003980580442013</v>
      </c>
      <c r="N91" s="131">
        <f>'Balance sheet'!N66/'Balance sheet'!N$34</f>
        <v>0.40880985510162643</v>
      </c>
      <c r="O91" s="131">
        <f>'Balance sheet'!O66/'Balance sheet'!O$34</f>
        <v>0.39651047146846691</v>
      </c>
      <c r="P91" s="131">
        <f>'Balance sheet'!P66/'Balance sheet'!P$34</f>
        <v>0.38367751141489009</v>
      </c>
      <c r="Q91" s="131">
        <f>'Balance sheet'!Q66/'Balance sheet'!Q$34</f>
        <v>0.3705077293708095</v>
      </c>
    </row>
    <row r="92" spans="2:17" x14ac:dyDescent="0.25">
      <c r="B92" s="1"/>
      <c r="C92" s="216"/>
      <c r="D92" s="216"/>
      <c r="E92" s="216"/>
      <c r="F92" s="216"/>
      <c r="G92" s="216"/>
      <c r="H92" s="216"/>
      <c r="I92" s="216"/>
      <c r="J92" s="216"/>
      <c r="K92" s="216"/>
      <c r="L92" s="216"/>
      <c r="M92" s="216"/>
      <c r="N92" s="216"/>
      <c r="O92" s="216"/>
      <c r="P92" s="216"/>
      <c r="Q92" s="216"/>
    </row>
    <row r="93" spans="2:17" ht="15.75" thickBot="1" x14ac:dyDescent="0.3">
      <c r="B93" s="42" t="s">
        <v>67</v>
      </c>
      <c r="C93" s="225">
        <f>'Balance sheet'!C68/'Balance sheet'!C$34</f>
        <v>1</v>
      </c>
      <c r="D93" s="225">
        <f>'Balance sheet'!D68/'Balance sheet'!D$34</f>
        <v>1</v>
      </c>
      <c r="E93" s="225">
        <f>'Balance sheet'!E68/'Balance sheet'!E$34</f>
        <v>1</v>
      </c>
      <c r="F93" s="225">
        <f>'Balance sheet'!F68/'Balance sheet'!F$34</f>
        <v>1</v>
      </c>
      <c r="G93" s="225">
        <f>'Balance sheet'!G68/'Balance sheet'!G$34</f>
        <v>1</v>
      </c>
      <c r="H93" s="225">
        <f>'Balance sheet'!H68/'Balance sheet'!H$34</f>
        <v>1</v>
      </c>
      <c r="I93" s="225">
        <f>'Balance sheet'!I68/'Balance sheet'!I$34</f>
        <v>1</v>
      </c>
      <c r="J93" s="225">
        <f>'Balance sheet'!J68/'Balance sheet'!J$34</f>
        <v>1</v>
      </c>
      <c r="K93" s="225">
        <f>'Balance sheet'!K68/'Balance sheet'!K$34</f>
        <v>1.0000000000000002</v>
      </c>
      <c r="L93" s="225">
        <f>'Balance sheet'!L68/'Balance sheet'!L$34</f>
        <v>1.0000000000000002</v>
      </c>
      <c r="M93" s="225">
        <f>'Balance sheet'!M68/'Balance sheet'!M$34</f>
        <v>1</v>
      </c>
      <c r="N93" s="225">
        <f>'Balance sheet'!N68/'Balance sheet'!N$34</f>
        <v>0.99999999999999989</v>
      </c>
      <c r="O93" s="225">
        <f>'Balance sheet'!O68/'Balance sheet'!O$34</f>
        <v>1</v>
      </c>
      <c r="P93" s="225">
        <f>'Balance sheet'!P68/'Balance sheet'!P$34</f>
        <v>0.99999999999999989</v>
      </c>
      <c r="Q93" s="225">
        <f>'Balance sheet'!Q68/'Balance sheet'!Q$34</f>
        <v>1</v>
      </c>
    </row>
    <row r="95" spans="2:17" x14ac:dyDescent="0.25">
      <c r="B95" s="222"/>
      <c r="C95" s="222"/>
      <c r="D95" s="222"/>
      <c r="E95" s="222"/>
      <c r="F95" s="222"/>
      <c r="G95" s="222"/>
      <c r="H95" s="222"/>
      <c r="I95" s="222"/>
      <c r="J95" s="222"/>
      <c r="K95" s="222"/>
      <c r="L95" s="222"/>
      <c r="M95" s="222"/>
      <c r="N95" s="222"/>
      <c r="O95" s="222"/>
      <c r="P95" s="222"/>
      <c r="Q95" s="222"/>
    </row>
  </sheetData>
  <mergeCells count="2">
    <mergeCell ref="B6:Q6"/>
    <mergeCell ref="B8:B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26"/>
  <sheetViews>
    <sheetView showGridLines="0" workbookViewId="0">
      <selection activeCell="B9" sqref="B9"/>
    </sheetView>
  </sheetViews>
  <sheetFormatPr defaultRowHeight="15" x14ac:dyDescent="0.25"/>
  <cols>
    <col min="1" max="1" width="1.85546875" customWidth="1"/>
    <col min="2" max="2" width="56.28515625" bestFit="1" customWidth="1"/>
    <col min="3" max="3" width="10.7109375" bestFit="1" customWidth="1"/>
    <col min="4" max="17" width="12.28515625" bestFit="1" customWidth="1"/>
  </cols>
  <sheetData>
    <row r="5" spans="1:17" x14ac:dyDescent="0.25">
      <c r="B5" s="422" t="s">
        <v>357</v>
      </c>
      <c r="C5" s="422"/>
      <c r="D5" s="422"/>
      <c r="E5" s="422"/>
      <c r="F5" s="422"/>
      <c r="G5" s="422"/>
      <c r="H5" s="422"/>
      <c r="I5" s="422"/>
      <c r="J5" s="422"/>
      <c r="K5" s="422"/>
      <c r="L5" s="422"/>
      <c r="M5" s="422"/>
      <c r="N5" s="422"/>
      <c r="O5" s="422"/>
      <c r="P5" s="422"/>
      <c r="Q5" s="422"/>
    </row>
    <row r="6" spans="1:17" x14ac:dyDescent="0.25">
      <c r="B6" s="70" t="s">
        <v>353</v>
      </c>
    </row>
    <row r="7" spans="1:17" x14ac:dyDescent="0.25">
      <c r="A7" t="s">
        <v>20</v>
      </c>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row>
    <row r="8" spans="1:17"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row>
    <row r="10" spans="1:17" x14ac:dyDescent="0.25">
      <c r="B10" s="3" t="s">
        <v>130</v>
      </c>
      <c r="C10" s="325">
        <f>'Revenue BuildUp'!C10</f>
        <v>77341</v>
      </c>
      <c r="D10" s="325">
        <f>'Revenue BuildUp'!D10</f>
        <v>109365</v>
      </c>
      <c r="E10" s="325">
        <f>'Revenue BuildUp'!E10</f>
        <v>142929</v>
      </c>
      <c r="F10" s="325">
        <f>'Revenue BuildUp'!F10</f>
        <v>162466</v>
      </c>
      <c r="G10" s="325">
        <f>'Revenue BuildUp'!G10</f>
        <v>206084</v>
      </c>
      <c r="H10" s="325">
        <f>'Revenue BuildUp'!H10</f>
        <v>251738.77985253875</v>
      </c>
      <c r="I10" s="325">
        <f>'Revenue BuildUp'!I10</f>
        <v>299960.76578497526</v>
      </c>
      <c r="J10" s="325">
        <f>'Revenue BuildUp'!J10</f>
        <v>349602.74123858381</v>
      </c>
      <c r="K10" s="325">
        <f>'Revenue BuildUp'!K10</f>
        <v>399552.80081107322</v>
      </c>
      <c r="L10" s="325">
        <f>'Revenue BuildUp'!L10</f>
        <v>448807.81534767151</v>
      </c>
      <c r="M10" s="325">
        <f>'Revenue BuildUp'!M10</f>
        <v>496520.41521477193</v>
      </c>
      <c r="N10" s="325">
        <f>'Revenue BuildUp'!N10</f>
        <v>542021.62711479538</v>
      </c>
      <c r="O10" s="325">
        <f>'Revenue BuildUp'!O10</f>
        <v>584823.40937914082</v>
      </c>
      <c r="P10" s="325">
        <f>'Revenue BuildUp'!P10</f>
        <v>624606.63498108718</v>
      </c>
      <c r="Q10" s="325">
        <f>'Revenue BuildUp'!Q10</f>
        <v>661200.03652635263</v>
      </c>
    </row>
    <row r="12" spans="1:17" x14ac:dyDescent="0.25">
      <c r="B12" s="1"/>
    </row>
    <row r="13" spans="1:17" x14ac:dyDescent="0.25">
      <c r="B13" t="s">
        <v>5</v>
      </c>
      <c r="C13" s="324">
        <f>'Historical P&amp;L'!C15</f>
        <v>45238</v>
      </c>
      <c r="D13" s="324">
        <f>'Historical P&amp;L'!D15</f>
        <v>62000</v>
      </c>
      <c r="E13" s="324">
        <f>'Historical P&amp;L'!E15</f>
        <v>80681</v>
      </c>
      <c r="F13" s="324">
        <f>'Historical P&amp;L'!F15</f>
        <v>101469</v>
      </c>
      <c r="G13" s="324">
        <f>'Historical P&amp;L'!G15</f>
        <v>136534</v>
      </c>
      <c r="H13" s="150">
        <f>H14*H10</f>
        <v>151213.43009447301</v>
      </c>
      <c r="I13" s="150">
        <f t="shared" ref="I13:Q13" si="2">I14*I10</f>
        <v>180179.2171817167</v>
      </c>
      <c r="J13" s="150">
        <f t="shared" si="2"/>
        <v>209997.95781994055</v>
      </c>
      <c r="K13" s="150">
        <f t="shared" si="2"/>
        <v>240001.75717816333</v>
      </c>
      <c r="L13" s="150">
        <f t="shared" si="2"/>
        <v>269588.05970094108</v>
      </c>
      <c r="M13" s="150">
        <f t="shared" si="2"/>
        <v>298247.87083077797</v>
      </c>
      <c r="N13" s="150">
        <f t="shared" si="2"/>
        <v>325579.35439834086</v>
      </c>
      <c r="O13" s="150">
        <f t="shared" si="2"/>
        <v>351289.35551195429</v>
      </c>
      <c r="P13" s="150">
        <f t="shared" si="2"/>
        <v>375186.18224248989</v>
      </c>
      <c r="Q13" s="150">
        <f t="shared" si="2"/>
        <v>397166.95838562242</v>
      </c>
    </row>
    <row r="14" spans="1:17" x14ac:dyDescent="0.25">
      <c r="B14" s="16" t="s">
        <v>137</v>
      </c>
      <c r="C14" s="17">
        <f>C13/C10</f>
        <v>0.58491615055403989</v>
      </c>
      <c r="D14" s="17">
        <f t="shared" ref="D14:G14" si="3">D13/D10</f>
        <v>0.56690897453481459</v>
      </c>
      <c r="E14" s="17">
        <f t="shared" si="3"/>
        <v>0.56448306501829582</v>
      </c>
      <c r="F14" s="17">
        <f t="shared" si="3"/>
        <v>0.62455529156869749</v>
      </c>
      <c r="G14" s="17">
        <f t="shared" si="3"/>
        <v>0.66251625550746296</v>
      </c>
      <c r="H14" s="18">
        <f>AVERAGE(C14:G14)</f>
        <v>0.60067594743666208</v>
      </c>
      <c r="I14" s="18">
        <f>H14</f>
        <v>0.60067594743666208</v>
      </c>
      <c r="J14" s="18">
        <f t="shared" ref="J14:Q14" si="4">I14</f>
        <v>0.60067594743666208</v>
      </c>
      <c r="K14" s="18">
        <f t="shared" si="4"/>
        <v>0.60067594743666208</v>
      </c>
      <c r="L14" s="18">
        <f t="shared" si="4"/>
        <v>0.60067594743666208</v>
      </c>
      <c r="M14" s="18">
        <f t="shared" si="4"/>
        <v>0.60067594743666208</v>
      </c>
      <c r="N14" s="18">
        <f t="shared" si="4"/>
        <v>0.60067594743666208</v>
      </c>
      <c r="O14" s="18">
        <f t="shared" si="4"/>
        <v>0.60067594743666208</v>
      </c>
      <c r="P14" s="18">
        <f t="shared" si="4"/>
        <v>0.60067594743666208</v>
      </c>
      <c r="Q14" s="18">
        <f t="shared" si="4"/>
        <v>0.60067594743666208</v>
      </c>
    </row>
    <row r="15" spans="1:17" x14ac:dyDescent="0.25">
      <c r="C15" s="4"/>
      <c r="D15" s="4"/>
      <c r="E15" s="4"/>
      <c r="F15" s="4"/>
      <c r="G15" s="4"/>
    </row>
    <row r="16" spans="1:17" x14ac:dyDescent="0.25">
      <c r="B16" t="s">
        <v>8</v>
      </c>
      <c r="C16" s="324">
        <f>'Historical P&amp;L'!C18</f>
        <v>12954</v>
      </c>
      <c r="D16" s="324">
        <f>'Historical P&amp;L'!D18</f>
        <v>21598</v>
      </c>
      <c r="E16" s="324">
        <f>'Historical P&amp;L'!E18</f>
        <v>26362</v>
      </c>
      <c r="F16" s="324">
        <f>'Historical P&amp;L'!F18</f>
        <v>26882</v>
      </c>
      <c r="G16" s="324">
        <f>'Historical P&amp;L'!G18</f>
        <v>32518</v>
      </c>
      <c r="H16" s="150">
        <f>H17*H10</f>
        <v>43937.029863934171</v>
      </c>
      <c r="I16" s="150">
        <f t="shared" ref="I16:Q16" si="5">I17*I10</f>
        <v>52353.416235762808</v>
      </c>
      <c r="J16" s="150">
        <f t="shared" si="5"/>
        <v>61017.639361367546</v>
      </c>
      <c r="K16" s="150">
        <f t="shared" si="5"/>
        <v>69735.633706248875</v>
      </c>
      <c r="L16" s="150">
        <f t="shared" si="5"/>
        <v>78332.318912678762</v>
      </c>
      <c r="M16" s="150">
        <f t="shared" si="5"/>
        <v>86659.799988398256</v>
      </c>
      <c r="N16" s="150">
        <f t="shared" si="5"/>
        <v>94601.318205287971</v>
      </c>
      <c r="O16" s="150">
        <f t="shared" si="5"/>
        <v>102071.69359472835</v>
      </c>
      <c r="P16" s="150">
        <f t="shared" si="5"/>
        <v>109015.22757221186</v>
      </c>
      <c r="Q16" s="150">
        <f t="shared" si="5"/>
        <v>115402.02811783725</v>
      </c>
    </row>
    <row r="17" spans="2:17" x14ac:dyDescent="0.25">
      <c r="B17" s="16" t="s">
        <v>137</v>
      </c>
      <c r="C17" s="17">
        <f>C16/C10</f>
        <v>0.16749201587773627</v>
      </c>
      <c r="D17" s="17">
        <f t="shared" ref="D17:G17" si="6">D16/D10</f>
        <v>0.19748548438714397</v>
      </c>
      <c r="E17" s="17">
        <f t="shared" si="6"/>
        <v>0.18444122606329016</v>
      </c>
      <c r="F17" s="17">
        <f t="shared" si="6"/>
        <v>0.16546231211453474</v>
      </c>
      <c r="G17" s="17">
        <f t="shared" si="6"/>
        <v>0.15779002736748121</v>
      </c>
      <c r="H17" s="18">
        <f>AVERAGE(C17:G17)</f>
        <v>0.17453421316203727</v>
      </c>
      <c r="I17" s="18">
        <f>H17</f>
        <v>0.17453421316203727</v>
      </c>
      <c r="J17" s="18">
        <f t="shared" ref="J17:Q17" si="7">I17</f>
        <v>0.17453421316203727</v>
      </c>
      <c r="K17" s="18">
        <f t="shared" si="7"/>
        <v>0.17453421316203727</v>
      </c>
      <c r="L17" s="18">
        <f t="shared" si="7"/>
        <v>0.17453421316203727</v>
      </c>
      <c r="M17" s="18">
        <f t="shared" si="7"/>
        <v>0.17453421316203727</v>
      </c>
      <c r="N17" s="18">
        <f t="shared" si="7"/>
        <v>0.17453421316203727</v>
      </c>
      <c r="O17" s="18">
        <f t="shared" si="7"/>
        <v>0.17453421316203727</v>
      </c>
      <c r="P17" s="18">
        <f t="shared" si="7"/>
        <v>0.17453421316203727</v>
      </c>
      <c r="Q17" s="18">
        <f t="shared" si="7"/>
        <v>0.17453421316203727</v>
      </c>
    </row>
    <row r="18" spans="2:17" x14ac:dyDescent="0.25">
      <c r="C18" s="4"/>
      <c r="D18" s="4"/>
      <c r="E18" s="4"/>
      <c r="F18" s="4"/>
      <c r="G18" s="4"/>
    </row>
    <row r="19" spans="2:17" x14ac:dyDescent="0.25">
      <c r="B19" t="s">
        <v>18</v>
      </c>
      <c r="C19" s="324">
        <f>'Historical P&amp;L'!C19</f>
        <v>0</v>
      </c>
      <c r="D19" s="324">
        <f>'Historical P&amp;L'!D19</f>
        <v>0</v>
      </c>
      <c r="E19" s="324">
        <f>'Historical P&amp;L'!E19</f>
        <v>0</v>
      </c>
      <c r="F19" s="324">
        <f>'Historical P&amp;L'!F19</f>
        <v>530</v>
      </c>
      <c r="G19" s="324">
        <f>'Historical P&amp;L'!G19</f>
        <v>1590</v>
      </c>
      <c r="H19" s="150">
        <f>H20*H10</f>
        <v>552.69357744959348</v>
      </c>
      <c r="I19" s="150">
        <f t="shared" ref="I19:Q19" si="8">I20*I10</f>
        <v>658.56515564797144</v>
      </c>
      <c r="J19" s="150">
        <f t="shared" si="8"/>
        <v>767.5543269675095</v>
      </c>
      <c r="K19" s="150">
        <f t="shared" si="8"/>
        <v>877.21989829947086</v>
      </c>
      <c r="L19" s="150">
        <f t="shared" si="8"/>
        <v>985.35949525592957</v>
      </c>
      <c r="M19" s="150">
        <f t="shared" si="8"/>
        <v>1090.1127141497996</v>
      </c>
      <c r="N19" s="150">
        <f t="shared" si="8"/>
        <v>1190.0108212195448</v>
      </c>
      <c r="O19" s="150">
        <f t="shared" si="8"/>
        <v>1283.9823188757932</v>
      </c>
      <c r="P19" s="150">
        <f t="shared" si="8"/>
        <v>1371.3265623543064</v>
      </c>
      <c r="Q19" s="150">
        <f t="shared" si="8"/>
        <v>1451.6675333518995</v>
      </c>
    </row>
    <row r="20" spans="2:17" x14ac:dyDescent="0.25">
      <c r="B20" s="16" t="s">
        <v>137</v>
      </c>
      <c r="C20" s="17">
        <f>C19/C10</f>
        <v>0</v>
      </c>
      <c r="D20" s="17">
        <f t="shared" ref="D20:G20" si="9">D19/D10</f>
        <v>0</v>
      </c>
      <c r="E20" s="17">
        <f t="shared" si="9"/>
        <v>0</v>
      </c>
      <c r="F20" s="17">
        <f t="shared" si="9"/>
        <v>3.2622210185515739E-3</v>
      </c>
      <c r="G20" s="17">
        <f t="shared" si="9"/>
        <v>7.7153005570544048E-3</v>
      </c>
      <c r="H20" s="18">
        <f>AVERAGE(C20:G20)</f>
        <v>2.1955043151211957E-3</v>
      </c>
      <c r="I20" s="18">
        <f>H20</f>
        <v>2.1955043151211957E-3</v>
      </c>
      <c r="J20" s="18">
        <f t="shared" ref="J20:Q20" si="10">I20</f>
        <v>2.1955043151211957E-3</v>
      </c>
      <c r="K20" s="18">
        <f t="shared" si="10"/>
        <v>2.1955043151211957E-3</v>
      </c>
      <c r="L20" s="18">
        <f t="shared" si="10"/>
        <v>2.1955043151211957E-3</v>
      </c>
      <c r="M20" s="18">
        <f t="shared" si="10"/>
        <v>2.1955043151211957E-3</v>
      </c>
      <c r="N20" s="18">
        <f t="shared" si="10"/>
        <v>2.1955043151211957E-3</v>
      </c>
      <c r="O20" s="18">
        <f t="shared" si="10"/>
        <v>2.1955043151211957E-3</v>
      </c>
      <c r="P20" s="18">
        <f t="shared" si="10"/>
        <v>2.1955043151211957E-3</v>
      </c>
      <c r="Q20" s="18">
        <f t="shared" si="10"/>
        <v>2.1955043151211957E-3</v>
      </c>
    </row>
    <row r="22" spans="2:17" x14ac:dyDescent="0.25">
      <c r="B22" t="s">
        <v>165</v>
      </c>
      <c r="C22" s="324">
        <f>'Historical P&amp;L'!C27+'Historical P&amp;L'!C28+'Historical P&amp;L'!C29</f>
        <v>2356</v>
      </c>
      <c r="D22" s="324">
        <f>'Historical P&amp;L'!D27+'Historical P&amp;L'!D28+'Historical P&amp;L'!D29</f>
        <v>6465</v>
      </c>
      <c r="E22" s="324">
        <f>'Historical P&amp;L'!E27+'Historical P&amp;L'!E28+'Historical P&amp;L'!E29</f>
        <v>7887</v>
      </c>
      <c r="F22" s="324">
        <f>'Historical P&amp;L'!F27+'Historical P&amp;L'!F28+'Historical P&amp;L'!F29</f>
        <v>8629</v>
      </c>
      <c r="G22" s="324">
        <f>'Historical P&amp;L'!G27+'Historical P&amp;L'!G28+'Historical P&amp;L'!G29</f>
        <v>7080</v>
      </c>
      <c r="H22" s="150">
        <f>H23*'Profit &amp; Loss Statement'!H28</f>
        <v>14921.029990147112</v>
      </c>
      <c r="I22" s="150">
        <f>I23*'Profit &amp; Loss Statement'!I28</f>
        <v>18587.460281195734</v>
      </c>
      <c r="J22" s="150">
        <f>J23*'Profit &amp; Loss Statement'!J28</f>
        <v>22250.989291967118</v>
      </c>
      <c r="K22" s="150">
        <f>K23*'Profit &amp; Loss Statement'!K28</f>
        <v>25602.054688541808</v>
      </c>
      <c r="L22" s="150">
        <f>L23*'Profit &amp; Loss Statement'!L28</f>
        <v>29406.274675928602</v>
      </c>
      <c r="M22" s="150">
        <f>M23*'Profit &amp; Loss Statement'!M28</f>
        <v>32656.288150790824</v>
      </c>
      <c r="N22" s="150">
        <f>N23*'Profit &amp; Loss Statement'!N28</f>
        <v>36364.658666811316</v>
      </c>
      <c r="O22" s="150">
        <f>O23*'Profit &amp; Loss Statement'!O28</f>
        <v>39324.647199922292</v>
      </c>
      <c r="P22" s="150">
        <f>P23*'Profit &amp; Loss Statement'!P28</f>
        <v>42477.493837976152</v>
      </c>
      <c r="Q22" s="150">
        <f>Q23*'Profit &amp; Loss Statement'!Q28</f>
        <v>45028.166084033524</v>
      </c>
    </row>
    <row r="23" spans="2:17" x14ac:dyDescent="0.25">
      <c r="B23" s="16" t="s">
        <v>171</v>
      </c>
      <c r="C23" s="17">
        <f>C22/'Historical P&amp;L'!C24</f>
        <v>0.12665304805934846</v>
      </c>
      <c r="D23" s="17">
        <f>D22/'Historical P&amp;L'!D24</f>
        <v>0.26296522269676631</v>
      </c>
      <c r="E23" s="17">
        <f>E22/'Historical P&amp;L'!E24</f>
        <v>0.2545343058155296</v>
      </c>
      <c r="F23" s="17">
        <f>F22/'Historical P&amp;L'!F24</f>
        <v>0.25782837337157882</v>
      </c>
      <c r="G23" s="17">
        <f>G22/'Historical P&amp;L'!G24</f>
        <v>0.27714710717920615</v>
      </c>
      <c r="H23" s="18">
        <f>G23+Assumption!C15</f>
        <v>0.28214710717920616</v>
      </c>
      <c r="I23" s="18">
        <f>H23</f>
        <v>0.28214710717920616</v>
      </c>
      <c r="J23" s="226">
        <f>I23+Assumption!C15</f>
        <v>0.28714710717920616</v>
      </c>
      <c r="K23" s="226">
        <f>J23</f>
        <v>0.28714710717920616</v>
      </c>
      <c r="L23" s="226">
        <f>K23+Assumption!C15</f>
        <v>0.29214710717920617</v>
      </c>
      <c r="M23" s="226">
        <f>L23</f>
        <v>0.29214710717920617</v>
      </c>
      <c r="N23" s="226">
        <f>M23+Assumption!C15</f>
        <v>0.29714710717920617</v>
      </c>
      <c r="O23" s="226">
        <f>N23</f>
        <v>0.29714710717920617</v>
      </c>
      <c r="P23" s="226">
        <v>0.3</v>
      </c>
      <c r="Q23" s="226">
        <f>P23</f>
        <v>0.3</v>
      </c>
    </row>
    <row r="26" spans="2:17" x14ac:dyDescent="0.25">
      <c r="B26" s="222"/>
      <c r="C26" s="222"/>
      <c r="D26" s="222"/>
      <c r="E26" s="222"/>
      <c r="F26" s="222"/>
      <c r="G26" s="222"/>
      <c r="H26" s="222"/>
      <c r="I26" s="222"/>
      <c r="J26" s="222"/>
      <c r="K26" s="222"/>
      <c r="L26" s="222"/>
      <c r="M26" s="222"/>
      <c r="N26" s="222"/>
      <c r="O26" s="222"/>
      <c r="P26" s="222"/>
      <c r="Q26" s="222"/>
    </row>
  </sheetData>
  <mergeCells count="2">
    <mergeCell ref="B5:Q5"/>
    <mergeCell ref="B7:B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8"/>
  <sheetViews>
    <sheetView showGridLines="0" topLeftCell="A354" zoomScale="90" zoomScaleNormal="90" workbookViewId="0">
      <selection activeCell="I372" sqref="I372"/>
    </sheetView>
  </sheetViews>
  <sheetFormatPr defaultRowHeight="15" x14ac:dyDescent="0.25"/>
  <cols>
    <col min="1" max="1" width="1.85546875" customWidth="1"/>
    <col min="2" max="2" width="47.42578125" bestFit="1" customWidth="1"/>
    <col min="3" max="4" width="11" style="254" bestFit="1" customWidth="1"/>
    <col min="5" max="7" width="12" style="254" bestFit="1" customWidth="1"/>
    <col min="8" max="17" width="12.5703125" style="254" bestFit="1" customWidth="1"/>
  </cols>
  <sheetData>
    <row r="1" spans="1:17" x14ac:dyDescent="0.25">
      <c r="C1"/>
      <c r="D1"/>
      <c r="E1"/>
      <c r="F1"/>
      <c r="G1"/>
      <c r="H1"/>
      <c r="I1"/>
      <c r="J1"/>
      <c r="K1"/>
      <c r="L1"/>
      <c r="M1"/>
      <c r="N1"/>
      <c r="O1"/>
      <c r="P1"/>
      <c r="Q1"/>
    </row>
    <row r="2" spans="1:17" x14ac:dyDescent="0.25">
      <c r="C2"/>
      <c r="D2"/>
      <c r="E2"/>
      <c r="F2"/>
      <c r="G2"/>
      <c r="H2"/>
      <c r="I2"/>
      <c r="J2"/>
      <c r="K2"/>
      <c r="L2"/>
      <c r="M2"/>
      <c r="N2"/>
      <c r="O2"/>
      <c r="P2"/>
      <c r="Q2"/>
    </row>
    <row r="3" spans="1:17" x14ac:dyDescent="0.25">
      <c r="C3"/>
      <c r="D3"/>
      <c r="E3"/>
      <c r="F3"/>
      <c r="G3"/>
      <c r="H3"/>
      <c r="I3"/>
      <c r="J3"/>
      <c r="K3"/>
      <c r="L3"/>
      <c r="M3"/>
      <c r="N3"/>
      <c r="O3"/>
      <c r="P3"/>
      <c r="Q3"/>
    </row>
    <row r="4" spans="1:17" x14ac:dyDescent="0.25">
      <c r="C4"/>
      <c r="D4"/>
      <c r="E4"/>
      <c r="F4"/>
      <c r="G4"/>
      <c r="H4"/>
      <c r="I4"/>
      <c r="J4"/>
      <c r="K4"/>
      <c r="L4"/>
      <c r="M4"/>
      <c r="N4"/>
      <c r="O4"/>
      <c r="P4"/>
      <c r="Q4"/>
    </row>
    <row r="5" spans="1:17" x14ac:dyDescent="0.25">
      <c r="C5"/>
      <c r="D5"/>
      <c r="E5"/>
      <c r="F5"/>
      <c r="G5"/>
      <c r="H5"/>
      <c r="I5"/>
      <c r="J5"/>
      <c r="K5"/>
      <c r="L5"/>
      <c r="M5"/>
      <c r="N5"/>
      <c r="O5"/>
      <c r="P5"/>
      <c r="Q5"/>
    </row>
    <row r="6" spans="1:17" x14ac:dyDescent="0.25">
      <c r="C6"/>
      <c r="D6"/>
      <c r="E6"/>
      <c r="F6"/>
      <c r="G6"/>
      <c r="H6"/>
      <c r="I6"/>
      <c r="J6"/>
      <c r="K6"/>
      <c r="L6"/>
      <c r="M6"/>
      <c r="N6"/>
      <c r="O6"/>
      <c r="P6"/>
      <c r="Q6"/>
    </row>
    <row r="7" spans="1:17" x14ac:dyDescent="0.25">
      <c r="B7" s="422" t="s">
        <v>511</v>
      </c>
      <c r="C7" s="422"/>
      <c r="D7" s="422"/>
      <c r="E7" s="422"/>
      <c r="F7" s="422"/>
      <c r="G7" s="422"/>
      <c r="H7" s="422"/>
      <c r="I7" s="422"/>
      <c r="J7" s="422"/>
      <c r="K7" s="422"/>
      <c r="L7" s="422"/>
      <c r="M7" s="422"/>
      <c r="N7" s="422"/>
      <c r="O7" s="422"/>
      <c r="P7" s="422"/>
      <c r="Q7" s="422"/>
    </row>
    <row r="8" spans="1:17" x14ac:dyDescent="0.25">
      <c r="B8" s="70" t="s">
        <v>353</v>
      </c>
      <c r="C8"/>
      <c r="D8"/>
      <c r="E8"/>
      <c r="F8"/>
      <c r="G8"/>
      <c r="H8"/>
      <c r="I8"/>
      <c r="J8"/>
      <c r="K8"/>
      <c r="L8"/>
      <c r="M8"/>
      <c r="N8"/>
      <c r="O8"/>
      <c r="P8"/>
      <c r="Q8"/>
    </row>
    <row r="9" spans="1:17" x14ac:dyDescent="0.25">
      <c r="A9" t="s">
        <v>20</v>
      </c>
      <c r="B9" s="423" t="s">
        <v>17</v>
      </c>
      <c r="C9" s="346">
        <v>2021</v>
      </c>
      <c r="D9" s="346">
        <f>C9+1</f>
        <v>2022</v>
      </c>
      <c r="E9" s="346">
        <f t="shared" ref="E9:G9" si="0">D9+1</f>
        <v>2023</v>
      </c>
      <c r="F9" s="346">
        <f t="shared" si="0"/>
        <v>2024</v>
      </c>
      <c r="G9" s="346">
        <f t="shared" si="0"/>
        <v>2025</v>
      </c>
      <c r="H9" s="346">
        <f>G9+1</f>
        <v>2026</v>
      </c>
      <c r="I9" s="346">
        <f t="shared" ref="I9:Q9" si="1">H9+1</f>
        <v>2027</v>
      </c>
      <c r="J9" s="346">
        <f t="shared" si="1"/>
        <v>2028</v>
      </c>
      <c r="K9" s="346">
        <f t="shared" si="1"/>
        <v>2029</v>
      </c>
      <c r="L9" s="346">
        <f t="shared" si="1"/>
        <v>2030</v>
      </c>
      <c r="M9" s="346">
        <f t="shared" si="1"/>
        <v>2031</v>
      </c>
      <c r="N9" s="346">
        <f t="shared" si="1"/>
        <v>2032</v>
      </c>
      <c r="O9" s="346">
        <f t="shared" si="1"/>
        <v>2033</v>
      </c>
      <c r="P9" s="346">
        <f t="shared" si="1"/>
        <v>2034</v>
      </c>
      <c r="Q9" s="346">
        <f t="shared" si="1"/>
        <v>2035</v>
      </c>
    </row>
    <row r="10" spans="1:17" x14ac:dyDescent="0.25">
      <c r="B10" s="424"/>
      <c r="C10" s="347" t="s">
        <v>291</v>
      </c>
      <c r="D10" s="347" t="s">
        <v>291</v>
      </c>
      <c r="E10" s="347" t="s">
        <v>291</v>
      </c>
      <c r="F10" s="347" t="s">
        <v>291</v>
      </c>
      <c r="G10" s="347" t="s">
        <v>291</v>
      </c>
      <c r="H10" s="347" t="s">
        <v>509</v>
      </c>
      <c r="I10" s="347" t="s">
        <v>510</v>
      </c>
      <c r="J10" s="347" t="s">
        <v>510</v>
      </c>
      <c r="K10" s="347" t="s">
        <v>510</v>
      </c>
      <c r="L10" s="347" t="s">
        <v>510</v>
      </c>
      <c r="M10" s="347" t="s">
        <v>510</v>
      </c>
      <c r="N10" s="347" t="s">
        <v>510</v>
      </c>
      <c r="O10" s="347" t="s">
        <v>510</v>
      </c>
      <c r="P10" s="347" t="s">
        <v>510</v>
      </c>
      <c r="Q10" s="347" t="s">
        <v>510</v>
      </c>
    </row>
    <row r="11" spans="1:17" x14ac:dyDescent="0.25">
      <c r="A11" t="s">
        <v>20</v>
      </c>
      <c r="B11" s="243" t="s">
        <v>23</v>
      </c>
      <c r="C11"/>
      <c r="D11"/>
      <c r="E11"/>
      <c r="F11"/>
      <c r="G11"/>
      <c r="H11"/>
      <c r="I11"/>
      <c r="J11"/>
      <c r="K11"/>
      <c r="L11"/>
      <c r="M11"/>
      <c r="N11"/>
      <c r="O11"/>
      <c r="P11"/>
      <c r="Q11"/>
    </row>
    <row r="12" spans="1:17" x14ac:dyDescent="0.25">
      <c r="C12"/>
      <c r="D12"/>
      <c r="E12"/>
      <c r="F12"/>
      <c r="G12"/>
      <c r="H12"/>
      <c r="I12"/>
      <c r="J12"/>
      <c r="K12"/>
      <c r="L12"/>
      <c r="M12"/>
      <c r="N12"/>
      <c r="O12"/>
      <c r="P12"/>
      <c r="Q12"/>
    </row>
    <row r="13" spans="1:17" x14ac:dyDescent="0.25">
      <c r="B13" s="1" t="s">
        <v>439</v>
      </c>
      <c r="C13"/>
      <c r="D13"/>
      <c r="E13"/>
      <c r="F13"/>
      <c r="G13"/>
      <c r="H13" s="12"/>
      <c r="I13" s="12"/>
      <c r="J13" s="12"/>
      <c r="K13" s="12"/>
      <c r="L13" s="12"/>
      <c r="M13" s="12"/>
      <c r="N13" s="12"/>
      <c r="O13" s="12"/>
      <c r="P13" s="12"/>
      <c r="Q13" s="12"/>
    </row>
    <row r="14" spans="1:17" x14ac:dyDescent="0.25">
      <c r="B14" s="1" t="s">
        <v>416</v>
      </c>
      <c r="C14" s="249">
        <v>0</v>
      </c>
      <c r="D14" s="249">
        <f t="shared" ref="D14:E14" si="2">C21</f>
        <v>0</v>
      </c>
      <c r="E14" s="249">
        <f t="shared" si="2"/>
        <v>0</v>
      </c>
      <c r="F14" s="249">
        <f>E21</f>
        <v>4423</v>
      </c>
      <c r="G14" s="249">
        <f t="shared" ref="G14" si="3">F21</f>
        <v>4423</v>
      </c>
      <c r="H14" s="250">
        <f>G21</f>
        <v>4423</v>
      </c>
      <c r="I14" s="250">
        <f t="shared" ref="I14:Q14" si="4">H21</f>
        <v>5307.6</v>
      </c>
      <c r="J14" s="250">
        <f t="shared" si="4"/>
        <v>6196.6230000000005</v>
      </c>
      <c r="K14" s="250">
        <f t="shared" si="4"/>
        <v>7090.0911150000002</v>
      </c>
      <c r="L14" s="250">
        <f t="shared" si="4"/>
        <v>7988.0265705749998</v>
      </c>
      <c r="M14" s="250">
        <f t="shared" si="4"/>
        <v>8890.4517034278742</v>
      </c>
      <c r="N14" s="250">
        <f t="shared" si="4"/>
        <v>9797.3889619450129</v>
      </c>
      <c r="O14" s="250">
        <f t="shared" si="4"/>
        <v>10708.860906754737</v>
      </c>
      <c r="P14" s="250">
        <f t="shared" si="4"/>
        <v>11624.89021128851</v>
      </c>
      <c r="Q14" s="250">
        <f t="shared" si="4"/>
        <v>12545.499662344952</v>
      </c>
    </row>
    <row r="15" spans="1:17" x14ac:dyDescent="0.25">
      <c r="B15" s="9" t="s">
        <v>100</v>
      </c>
      <c r="C15" s="251">
        <v>0</v>
      </c>
      <c r="D15" s="251">
        <v>0</v>
      </c>
      <c r="E15" s="251">
        <v>0</v>
      </c>
      <c r="F15" s="251">
        <v>0</v>
      </c>
      <c r="G15" s="251">
        <v>0</v>
      </c>
      <c r="H15" s="252">
        <v>0</v>
      </c>
      <c r="I15" s="252">
        <v>0</v>
      </c>
      <c r="J15" s="252">
        <v>0</v>
      </c>
      <c r="K15" s="252">
        <v>0</v>
      </c>
      <c r="L15" s="252">
        <v>0</v>
      </c>
      <c r="M15" s="252">
        <v>0</v>
      </c>
      <c r="N15" s="252">
        <v>0</v>
      </c>
      <c r="O15" s="252">
        <v>0</v>
      </c>
      <c r="P15" s="252">
        <v>0</v>
      </c>
      <c r="Q15" s="252">
        <v>0</v>
      </c>
    </row>
    <row r="16" spans="1:17" x14ac:dyDescent="0.25">
      <c r="B16" t="s">
        <v>415</v>
      </c>
      <c r="C16" s="253">
        <v>0</v>
      </c>
      <c r="D16" s="253">
        <v>0</v>
      </c>
      <c r="E16" s="253">
        <v>4423</v>
      </c>
      <c r="F16" s="253">
        <v>0</v>
      </c>
      <c r="G16" s="253">
        <v>0</v>
      </c>
      <c r="H16" s="254">
        <f>AVERAGE(C16:G16)</f>
        <v>884.6</v>
      </c>
      <c r="I16" s="254">
        <f>H16*(1+Assumption!$C$14)</f>
        <v>889.02299999999991</v>
      </c>
      <c r="J16" s="254">
        <f>I16*(1+Assumption!$C$14)</f>
        <v>893.46811499999978</v>
      </c>
      <c r="K16" s="254">
        <f>J16*(1+Assumption!$C$14)</f>
        <v>897.93545557499965</v>
      </c>
      <c r="L16" s="254">
        <f>K16*(1+Assumption!$C$14)</f>
        <v>902.42513285287453</v>
      </c>
      <c r="M16" s="254">
        <f>L16*(1+Assumption!$C$14)</f>
        <v>906.93725851713884</v>
      </c>
      <c r="N16" s="254">
        <f>M16*(1+Assumption!$C$14)</f>
        <v>911.47194480972439</v>
      </c>
      <c r="O16" s="254">
        <f>N16*(1+Assumption!$C$14)</f>
        <v>916.02930453377292</v>
      </c>
      <c r="P16" s="254">
        <f>O16*(1+Assumption!$C$14)</f>
        <v>920.60945105644169</v>
      </c>
      <c r="Q16" s="254">
        <f>P16*(1+Assumption!$C$14)</f>
        <v>925.21249831172383</v>
      </c>
    </row>
    <row r="17" spans="2:17" x14ac:dyDescent="0.25">
      <c r="B17" t="s">
        <v>438</v>
      </c>
      <c r="C17" s="253">
        <v>0</v>
      </c>
      <c r="D17" s="253">
        <v>0</v>
      </c>
      <c r="E17" s="253">
        <v>0</v>
      </c>
      <c r="F17" s="253">
        <v>0</v>
      </c>
      <c r="G17" s="253">
        <v>0</v>
      </c>
      <c r="H17" s="254">
        <v>0</v>
      </c>
      <c r="I17" s="254">
        <v>0</v>
      </c>
      <c r="J17" s="254">
        <v>0</v>
      </c>
      <c r="K17" s="254">
        <v>0</v>
      </c>
      <c r="L17" s="254">
        <v>0</v>
      </c>
      <c r="M17" s="254">
        <v>0</v>
      </c>
      <c r="N17" s="254">
        <v>0</v>
      </c>
      <c r="O17" s="254">
        <v>0</v>
      </c>
      <c r="P17" s="254">
        <v>0</v>
      </c>
      <c r="Q17" s="254">
        <v>0</v>
      </c>
    </row>
    <row r="18" spans="2:17" x14ac:dyDescent="0.25">
      <c r="B18" t="s">
        <v>417</v>
      </c>
      <c r="C18" s="253">
        <v>0</v>
      </c>
      <c r="D18" s="253">
        <v>0</v>
      </c>
      <c r="E18" s="253">
        <v>0</v>
      </c>
      <c r="F18" s="253">
        <v>0</v>
      </c>
      <c r="G18" s="253">
        <v>0</v>
      </c>
      <c r="H18" s="254">
        <v>0</v>
      </c>
      <c r="I18" s="254">
        <v>0</v>
      </c>
      <c r="J18" s="254">
        <v>0</v>
      </c>
      <c r="K18" s="254">
        <v>0</v>
      </c>
      <c r="L18" s="254">
        <v>0</v>
      </c>
      <c r="M18" s="254">
        <v>0</v>
      </c>
      <c r="N18" s="254">
        <v>0</v>
      </c>
      <c r="O18" s="254">
        <v>0</v>
      </c>
      <c r="P18" s="254">
        <v>0</v>
      </c>
      <c r="Q18" s="254">
        <v>0</v>
      </c>
    </row>
    <row r="19" spans="2:17" x14ac:dyDescent="0.25">
      <c r="B19" t="s">
        <v>418</v>
      </c>
      <c r="C19" s="253">
        <v>0</v>
      </c>
      <c r="D19" s="253">
        <v>0</v>
      </c>
      <c r="E19" s="253">
        <v>0</v>
      </c>
      <c r="F19" s="253">
        <v>0</v>
      </c>
      <c r="G19" s="253">
        <v>0</v>
      </c>
      <c r="H19" s="254">
        <v>0</v>
      </c>
      <c r="I19" s="254">
        <v>0</v>
      </c>
      <c r="J19" s="254">
        <v>0</v>
      </c>
      <c r="K19" s="254">
        <v>0</v>
      </c>
      <c r="L19" s="254">
        <v>0</v>
      </c>
      <c r="M19" s="254">
        <v>0</v>
      </c>
      <c r="N19" s="254">
        <v>0</v>
      </c>
      <c r="O19" s="254">
        <v>0</v>
      </c>
      <c r="P19" s="254">
        <v>0</v>
      </c>
      <c r="Q19" s="254">
        <v>0</v>
      </c>
    </row>
    <row r="20" spans="2:17" x14ac:dyDescent="0.25">
      <c r="B20" t="s">
        <v>428</v>
      </c>
      <c r="C20" s="253">
        <v>0</v>
      </c>
      <c r="D20" s="253">
        <v>0</v>
      </c>
      <c r="E20" s="253">
        <v>0</v>
      </c>
      <c r="F20" s="253">
        <v>0</v>
      </c>
      <c r="G20" s="253">
        <v>0</v>
      </c>
      <c r="H20" s="254">
        <v>0</v>
      </c>
      <c r="I20" s="254">
        <v>0</v>
      </c>
      <c r="J20" s="254">
        <v>0</v>
      </c>
      <c r="K20" s="254">
        <v>0</v>
      </c>
      <c r="L20" s="254">
        <v>0</v>
      </c>
      <c r="M20" s="254">
        <v>0</v>
      </c>
      <c r="N20" s="254">
        <v>0</v>
      </c>
      <c r="O20" s="254">
        <v>0</v>
      </c>
      <c r="P20" s="254">
        <v>0</v>
      </c>
      <c r="Q20" s="254">
        <v>0</v>
      </c>
    </row>
    <row r="21" spans="2:17" x14ac:dyDescent="0.25">
      <c r="B21" s="8" t="s">
        <v>419</v>
      </c>
      <c r="C21" s="255">
        <f t="shared" ref="C21:D21" si="5">SUM(C14:C19)</f>
        <v>0</v>
      </c>
      <c r="D21" s="255">
        <f t="shared" si="5"/>
        <v>0</v>
      </c>
      <c r="E21" s="255">
        <f>SUM(E14:E19)</f>
        <v>4423</v>
      </c>
      <c r="F21" s="255">
        <f>SUM(F14:F19)</f>
        <v>4423</v>
      </c>
      <c r="G21" s="255">
        <f>SUM(G14:G19)</f>
        <v>4423</v>
      </c>
      <c r="H21" s="256">
        <f t="shared" ref="H21:Q21" si="6">SUM(H14:H19)</f>
        <v>5307.6</v>
      </c>
      <c r="I21" s="256">
        <f t="shared" si="6"/>
        <v>6196.6230000000005</v>
      </c>
      <c r="J21" s="256">
        <f t="shared" si="6"/>
        <v>7090.0911150000002</v>
      </c>
      <c r="K21" s="256">
        <f t="shared" si="6"/>
        <v>7988.0265705749998</v>
      </c>
      <c r="L21" s="256">
        <f t="shared" si="6"/>
        <v>8890.4517034278742</v>
      </c>
      <c r="M21" s="256">
        <f t="shared" si="6"/>
        <v>9797.3889619450129</v>
      </c>
      <c r="N21" s="256">
        <f t="shared" si="6"/>
        <v>10708.860906754737</v>
      </c>
      <c r="O21" s="256">
        <f t="shared" si="6"/>
        <v>11624.89021128851</v>
      </c>
      <c r="P21" s="256">
        <f t="shared" si="6"/>
        <v>12545.499662344952</v>
      </c>
      <c r="Q21" s="256">
        <f t="shared" si="6"/>
        <v>13470.712160656676</v>
      </c>
    </row>
    <row r="22" spans="2:17" x14ac:dyDescent="0.25">
      <c r="B22" s="2" t="s">
        <v>420</v>
      </c>
      <c r="C22" s="254">
        <v>0</v>
      </c>
      <c r="D22" s="254">
        <v>0</v>
      </c>
      <c r="E22" s="254">
        <v>0</v>
      </c>
      <c r="F22" s="254">
        <v>0</v>
      </c>
      <c r="G22" s="254">
        <v>0</v>
      </c>
      <c r="H22" s="254">
        <v>0</v>
      </c>
      <c r="I22" s="254">
        <v>0</v>
      </c>
      <c r="J22" s="254">
        <v>0</v>
      </c>
      <c r="K22" s="254">
        <v>0</v>
      </c>
      <c r="L22" s="254">
        <v>0</v>
      </c>
      <c r="M22" s="254">
        <v>0</v>
      </c>
      <c r="N22" s="254">
        <v>0</v>
      </c>
      <c r="O22" s="254">
        <v>0</v>
      </c>
      <c r="P22" s="254">
        <v>0</v>
      </c>
      <c r="Q22" s="254">
        <v>0</v>
      </c>
    </row>
    <row r="23" spans="2:17" x14ac:dyDescent="0.25">
      <c r="B23" s="2" t="s">
        <v>421</v>
      </c>
      <c r="C23" s="254">
        <v>0</v>
      </c>
      <c r="D23" s="254">
        <v>0</v>
      </c>
      <c r="E23" s="254">
        <v>0</v>
      </c>
      <c r="F23" s="254">
        <v>0</v>
      </c>
      <c r="G23" s="254">
        <v>0</v>
      </c>
      <c r="H23" s="254">
        <v>0</v>
      </c>
      <c r="I23" s="254">
        <v>0</v>
      </c>
      <c r="J23" s="254">
        <v>0</v>
      </c>
      <c r="K23" s="254">
        <v>0</v>
      </c>
      <c r="L23" s="254">
        <v>0</v>
      </c>
      <c r="M23" s="254">
        <v>0</v>
      </c>
      <c r="N23" s="254">
        <v>0</v>
      </c>
      <c r="O23" s="254">
        <v>0</v>
      </c>
      <c r="P23" s="254">
        <v>0</v>
      </c>
      <c r="Q23" s="254">
        <v>0</v>
      </c>
    </row>
    <row r="24" spans="2:17" x14ac:dyDescent="0.25">
      <c r="B24" s="2" t="s">
        <v>417</v>
      </c>
      <c r="C24" s="253">
        <v>0</v>
      </c>
      <c r="D24" s="253">
        <v>0</v>
      </c>
      <c r="E24" s="253">
        <v>0</v>
      </c>
      <c r="F24" s="253">
        <v>0</v>
      </c>
      <c r="G24" s="253">
        <v>0</v>
      </c>
      <c r="H24" s="254">
        <v>0</v>
      </c>
      <c r="I24" s="254">
        <v>0</v>
      </c>
      <c r="J24" s="254">
        <v>0</v>
      </c>
      <c r="K24" s="254">
        <v>0</v>
      </c>
      <c r="L24" s="254">
        <v>0</v>
      </c>
      <c r="M24" s="254">
        <v>0</v>
      </c>
      <c r="N24" s="254">
        <v>0</v>
      </c>
      <c r="O24" s="254">
        <v>0</v>
      </c>
      <c r="P24" s="254">
        <v>0</v>
      </c>
      <c r="Q24" s="254">
        <v>0</v>
      </c>
    </row>
    <row r="25" spans="2:17" x14ac:dyDescent="0.25">
      <c r="B25" t="s">
        <v>428</v>
      </c>
      <c r="C25" s="253">
        <v>0</v>
      </c>
      <c r="D25" s="253">
        <v>0</v>
      </c>
      <c r="E25" s="253">
        <v>0</v>
      </c>
      <c r="F25" s="253">
        <v>0</v>
      </c>
      <c r="G25" s="253">
        <v>0</v>
      </c>
      <c r="H25" s="254">
        <v>0</v>
      </c>
      <c r="I25" s="254">
        <v>0</v>
      </c>
      <c r="J25" s="254">
        <v>0</v>
      </c>
      <c r="K25" s="254">
        <v>0</v>
      </c>
      <c r="L25" s="254">
        <v>0</v>
      </c>
      <c r="M25" s="254">
        <v>0</v>
      </c>
      <c r="N25" s="254">
        <v>0</v>
      </c>
      <c r="O25" s="254">
        <v>0</v>
      </c>
      <c r="P25" s="254">
        <v>0</v>
      </c>
      <c r="Q25" s="254">
        <v>0</v>
      </c>
    </row>
    <row r="26" spans="2:17" x14ac:dyDescent="0.25">
      <c r="B26" t="s">
        <v>418</v>
      </c>
      <c r="C26" s="253">
        <v>0</v>
      </c>
      <c r="D26" s="253">
        <v>0</v>
      </c>
      <c r="E26" s="253">
        <v>0</v>
      </c>
      <c r="F26" s="253">
        <v>0</v>
      </c>
      <c r="G26" s="253">
        <v>0</v>
      </c>
      <c r="H26" s="254">
        <v>0</v>
      </c>
      <c r="I26" s="254">
        <v>0</v>
      </c>
      <c r="J26" s="254">
        <v>0</v>
      </c>
      <c r="K26" s="254">
        <v>0</v>
      </c>
      <c r="L26" s="254">
        <v>0</v>
      </c>
      <c r="M26" s="254">
        <v>0</v>
      </c>
      <c r="N26" s="254">
        <v>0</v>
      </c>
      <c r="O26" s="254">
        <v>0</v>
      </c>
      <c r="P26" s="254">
        <v>0</v>
      </c>
      <c r="Q26" s="254">
        <v>0</v>
      </c>
    </row>
    <row r="27" spans="2:17" x14ac:dyDescent="0.25">
      <c r="B27" s="8" t="s">
        <v>199</v>
      </c>
      <c r="C27" s="251">
        <v>0</v>
      </c>
      <c r="D27" s="251">
        <v>0</v>
      </c>
      <c r="E27" s="255">
        <f>SUM(E22:E26)</f>
        <v>0</v>
      </c>
      <c r="F27" s="255">
        <f>SUM(F22:F26)</f>
        <v>0</v>
      </c>
      <c r="G27" s="255">
        <f>SUM(G22:G26)</f>
        <v>0</v>
      </c>
      <c r="H27" s="256">
        <f t="shared" ref="H27:Q27" si="7">SUM(H22:H26)</f>
        <v>0</v>
      </c>
      <c r="I27" s="256">
        <f t="shared" si="7"/>
        <v>0</v>
      </c>
      <c r="J27" s="256">
        <f t="shared" si="7"/>
        <v>0</v>
      </c>
      <c r="K27" s="256">
        <f t="shared" si="7"/>
        <v>0</v>
      </c>
      <c r="L27" s="256">
        <f t="shared" si="7"/>
        <v>0</v>
      </c>
      <c r="M27" s="256">
        <f t="shared" si="7"/>
        <v>0</v>
      </c>
      <c r="N27" s="256">
        <f t="shared" si="7"/>
        <v>0</v>
      </c>
      <c r="O27" s="256">
        <f t="shared" si="7"/>
        <v>0</v>
      </c>
      <c r="P27" s="256">
        <f t="shared" si="7"/>
        <v>0</v>
      </c>
      <c r="Q27" s="256">
        <f t="shared" si="7"/>
        <v>0</v>
      </c>
    </row>
    <row r="28" spans="2:17" x14ac:dyDescent="0.25">
      <c r="C28" s="253"/>
      <c r="D28" s="253"/>
      <c r="E28" s="253"/>
      <c r="F28" s="253"/>
      <c r="G28" s="253"/>
    </row>
    <row r="29" spans="2:17" x14ac:dyDescent="0.25">
      <c r="B29" s="8" t="s">
        <v>422</v>
      </c>
      <c r="C29" s="255">
        <v>0</v>
      </c>
      <c r="D29" s="255">
        <v>0</v>
      </c>
      <c r="E29" s="255">
        <f>E21-E27</f>
        <v>4423</v>
      </c>
      <c r="F29" s="255">
        <f t="shared" ref="F29:Q29" si="8">F21-F27</f>
        <v>4423</v>
      </c>
      <c r="G29" s="255">
        <f t="shared" si="8"/>
        <v>4423</v>
      </c>
      <c r="H29" s="256">
        <f t="shared" si="8"/>
        <v>5307.6</v>
      </c>
      <c r="I29" s="256">
        <f t="shared" si="8"/>
        <v>6196.6230000000005</v>
      </c>
      <c r="J29" s="256">
        <f t="shared" si="8"/>
        <v>7090.0911150000002</v>
      </c>
      <c r="K29" s="256">
        <f t="shared" si="8"/>
        <v>7988.0265705749998</v>
      </c>
      <c r="L29" s="256">
        <f t="shared" si="8"/>
        <v>8890.4517034278742</v>
      </c>
      <c r="M29" s="256">
        <f t="shared" si="8"/>
        <v>9797.3889619450129</v>
      </c>
      <c r="N29" s="256">
        <f t="shared" si="8"/>
        <v>10708.860906754737</v>
      </c>
      <c r="O29" s="256">
        <f t="shared" si="8"/>
        <v>11624.89021128851</v>
      </c>
      <c r="P29" s="256">
        <f t="shared" si="8"/>
        <v>12545.499662344952</v>
      </c>
      <c r="Q29" s="256">
        <f t="shared" si="8"/>
        <v>13470.712160656676</v>
      </c>
    </row>
    <row r="32" spans="2:17" x14ac:dyDescent="0.25">
      <c r="B32" s="1" t="s">
        <v>440</v>
      </c>
    </row>
    <row r="33" spans="2:17" x14ac:dyDescent="0.25">
      <c r="B33" s="1" t="s">
        <v>416</v>
      </c>
      <c r="C33" s="253">
        <v>0</v>
      </c>
      <c r="D33" s="253">
        <v>0</v>
      </c>
      <c r="E33" s="253">
        <v>0</v>
      </c>
      <c r="F33" s="249">
        <f>E40</f>
        <v>8354</v>
      </c>
      <c r="G33" s="249">
        <f>F40</f>
        <v>8486</v>
      </c>
      <c r="H33" s="254">
        <f>G40</f>
        <v>8486</v>
      </c>
      <c r="I33" s="254">
        <f t="shared" ref="I33:Q33" si="9">H40</f>
        <v>10156.799999999999</v>
      </c>
      <c r="J33" s="254">
        <f t="shared" si="9"/>
        <v>11835.954</v>
      </c>
      <c r="K33" s="254">
        <f t="shared" si="9"/>
        <v>13523.503769999999</v>
      </c>
      <c r="L33" s="254">
        <f t="shared" si="9"/>
        <v>15219.491288849998</v>
      </c>
      <c r="M33" s="254">
        <f t="shared" si="9"/>
        <v>16923.958745294247</v>
      </c>
      <c r="N33" s="254">
        <f t="shared" si="9"/>
        <v>18636.948539020716</v>
      </c>
      <c r="O33" s="254">
        <f t="shared" si="9"/>
        <v>20358.503281715817</v>
      </c>
      <c r="P33" s="254">
        <f t="shared" si="9"/>
        <v>22088.665798124395</v>
      </c>
      <c r="Q33" s="254">
        <f t="shared" si="9"/>
        <v>23827.479127115017</v>
      </c>
    </row>
    <row r="34" spans="2:17" x14ac:dyDescent="0.25">
      <c r="B34" s="9" t="s">
        <v>100</v>
      </c>
      <c r="C34" s="251">
        <v>0</v>
      </c>
      <c r="D34" s="251">
        <v>0</v>
      </c>
      <c r="E34" s="251">
        <v>0</v>
      </c>
      <c r="F34" s="251">
        <v>0</v>
      </c>
      <c r="G34" s="251">
        <v>0</v>
      </c>
      <c r="H34" s="252">
        <v>0</v>
      </c>
      <c r="I34" s="252">
        <v>0</v>
      </c>
      <c r="J34" s="252">
        <v>0</v>
      </c>
      <c r="K34" s="252">
        <v>0</v>
      </c>
      <c r="L34" s="252">
        <v>0</v>
      </c>
      <c r="M34" s="252">
        <v>0</v>
      </c>
      <c r="N34" s="252">
        <v>0</v>
      </c>
      <c r="O34" s="252">
        <v>0</v>
      </c>
      <c r="P34" s="252">
        <v>0</v>
      </c>
      <c r="Q34" s="252">
        <v>0</v>
      </c>
    </row>
    <row r="35" spans="2:17" x14ac:dyDescent="0.25">
      <c r="B35" t="s">
        <v>415</v>
      </c>
      <c r="C35" s="253">
        <v>0</v>
      </c>
      <c r="D35" s="253">
        <v>0</v>
      </c>
      <c r="E35" s="253">
        <v>8354</v>
      </c>
      <c r="F35" s="253">
        <v>0</v>
      </c>
      <c r="G35" s="253">
        <v>0</v>
      </c>
      <c r="H35" s="254">
        <f>AVERAGE(C35:G35)</f>
        <v>1670.8</v>
      </c>
      <c r="I35" s="254">
        <f>H35*(1+Assumption!$C$14)</f>
        <v>1679.1539999999998</v>
      </c>
      <c r="J35" s="254">
        <f>I35*(1+Assumption!$C$14)</f>
        <v>1687.5497699999996</v>
      </c>
      <c r="K35" s="254">
        <f>J35*(1+Assumption!$C$14)</f>
        <v>1695.9875188499993</v>
      </c>
      <c r="L35" s="254">
        <f>K35*(1+Assumption!$C$14)</f>
        <v>1704.4674564442491</v>
      </c>
      <c r="M35" s="254">
        <f>L35*(1+Assumption!$C$14)</f>
        <v>1712.9897937264702</v>
      </c>
      <c r="N35" s="254">
        <f>M35*(1+Assumption!$C$14)</f>
        <v>1721.5547426951025</v>
      </c>
      <c r="O35" s="254">
        <f>N35*(1+Assumption!$C$14)</f>
        <v>1730.1625164085779</v>
      </c>
      <c r="P35" s="254">
        <f>O35*(1+Assumption!$C$14)</f>
        <v>1738.8133289906207</v>
      </c>
      <c r="Q35" s="254">
        <f>P35*(1+Assumption!$C$14)</f>
        <v>1747.5073956355736</v>
      </c>
    </row>
    <row r="36" spans="2:17" x14ac:dyDescent="0.25">
      <c r="B36" t="s">
        <v>438</v>
      </c>
      <c r="C36" s="253">
        <v>0</v>
      </c>
      <c r="D36" s="253">
        <v>0</v>
      </c>
      <c r="E36" s="253">
        <v>0</v>
      </c>
      <c r="F36" s="253">
        <v>132</v>
      </c>
      <c r="G36" s="253">
        <v>0</v>
      </c>
      <c r="H36" s="254">
        <v>0</v>
      </c>
      <c r="I36" s="254">
        <v>0</v>
      </c>
      <c r="J36" s="254">
        <v>0</v>
      </c>
      <c r="K36" s="254">
        <v>0</v>
      </c>
      <c r="L36" s="254">
        <v>0</v>
      </c>
      <c r="M36" s="254">
        <v>0</v>
      </c>
      <c r="N36" s="254">
        <v>0</v>
      </c>
      <c r="O36" s="254">
        <v>0</v>
      </c>
      <c r="P36" s="254">
        <v>0</v>
      </c>
      <c r="Q36" s="254">
        <v>0</v>
      </c>
    </row>
    <row r="37" spans="2:17" x14ac:dyDescent="0.25">
      <c r="B37" t="s">
        <v>417</v>
      </c>
      <c r="C37" s="253">
        <v>0</v>
      </c>
      <c r="D37" s="253">
        <v>0</v>
      </c>
      <c r="E37" s="253">
        <v>0</v>
      </c>
      <c r="F37" s="253">
        <v>0</v>
      </c>
      <c r="G37" s="253">
        <v>0</v>
      </c>
      <c r="H37" s="254">
        <v>0</v>
      </c>
      <c r="I37" s="254">
        <v>0</v>
      </c>
      <c r="J37" s="254">
        <v>0</v>
      </c>
      <c r="K37" s="254">
        <v>0</v>
      </c>
      <c r="L37" s="254">
        <v>0</v>
      </c>
      <c r="M37" s="254">
        <v>0</v>
      </c>
      <c r="N37" s="254">
        <v>0</v>
      </c>
      <c r="O37" s="254">
        <v>0</v>
      </c>
      <c r="P37" s="254">
        <v>0</v>
      </c>
      <c r="Q37" s="254">
        <v>0</v>
      </c>
    </row>
    <row r="38" spans="2:17" x14ac:dyDescent="0.25">
      <c r="B38" t="s">
        <v>418</v>
      </c>
      <c r="C38" s="253">
        <v>0</v>
      </c>
      <c r="D38" s="253">
        <v>0</v>
      </c>
      <c r="E38" s="253">
        <v>0</v>
      </c>
      <c r="F38" s="253">
        <v>0</v>
      </c>
      <c r="G38" s="253">
        <v>0</v>
      </c>
      <c r="H38" s="254">
        <v>0</v>
      </c>
      <c r="I38" s="254">
        <v>0</v>
      </c>
      <c r="J38" s="254">
        <v>0</v>
      </c>
      <c r="K38" s="254">
        <v>0</v>
      </c>
      <c r="L38" s="254">
        <v>0</v>
      </c>
      <c r="M38" s="254">
        <v>0</v>
      </c>
      <c r="N38" s="254">
        <v>0</v>
      </c>
      <c r="O38" s="254">
        <v>0</v>
      </c>
      <c r="P38" s="254">
        <v>0</v>
      </c>
      <c r="Q38" s="254">
        <v>0</v>
      </c>
    </row>
    <row r="39" spans="2:17" x14ac:dyDescent="0.25">
      <c r="B39" t="s">
        <v>428</v>
      </c>
      <c r="C39" s="253">
        <v>0</v>
      </c>
      <c r="D39" s="253">
        <v>0</v>
      </c>
      <c r="E39" s="253">
        <v>0</v>
      </c>
      <c r="F39" s="253">
        <v>0</v>
      </c>
      <c r="G39" s="253">
        <v>0</v>
      </c>
      <c r="H39" s="254">
        <v>0</v>
      </c>
      <c r="I39" s="254">
        <v>0</v>
      </c>
      <c r="J39" s="254">
        <v>0</v>
      </c>
      <c r="K39" s="254">
        <v>0</v>
      </c>
      <c r="L39" s="254">
        <v>0</v>
      </c>
      <c r="M39" s="254">
        <v>0</v>
      </c>
      <c r="N39" s="254">
        <v>0</v>
      </c>
      <c r="O39" s="254">
        <v>0</v>
      </c>
      <c r="P39" s="254">
        <v>0</v>
      </c>
      <c r="Q39" s="254">
        <v>0</v>
      </c>
    </row>
    <row r="40" spans="2:17" x14ac:dyDescent="0.25">
      <c r="B40" s="8" t="s">
        <v>419</v>
      </c>
      <c r="C40" s="251">
        <v>0</v>
      </c>
      <c r="D40" s="251">
        <v>0</v>
      </c>
      <c r="E40" s="255">
        <f>SUM(E33:E38)</f>
        <v>8354</v>
      </c>
      <c r="F40" s="255">
        <f t="shared" ref="F40:Q40" si="10">SUM(F33:F38)</f>
        <v>8486</v>
      </c>
      <c r="G40" s="255">
        <f t="shared" si="10"/>
        <v>8486</v>
      </c>
      <c r="H40" s="256">
        <f t="shared" si="10"/>
        <v>10156.799999999999</v>
      </c>
      <c r="I40" s="256">
        <f t="shared" si="10"/>
        <v>11835.954</v>
      </c>
      <c r="J40" s="256">
        <f t="shared" si="10"/>
        <v>13523.503769999999</v>
      </c>
      <c r="K40" s="256">
        <f t="shared" si="10"/>
        <v>15219.491288849998</v>
      </c>
      <c r="L40" s="256">
        <f t="shared" si="10"/>
        <v>16923.958745294247</v>
      </c>
      <c r="M40" s="256">
        <f t="shared" si="10"/>
        <v>18636.948539020716</v>
      </c>
      <c r="N40" s="256">
        <f t="shared" si="10"/>
        <v>20358.503281715817</v>
      </c>
      <c r="O40" s="256">
        <f t="shared" si="10"/>
        <v>22088.665798124395</v>
      </c>
      <c r="P40" s="256">
        <f t="shared" si="10"/>
        <v>23827.479127115017</v>
      </c>
      <c r="Q40" s="256">
        <f t="shared" si="10"/>
        <v>25574.986522750591</v>
      </c>
    </row>
    <row r="41" spans="2:17" x14ac:dyDescent="0.25">
      <c r="B41" s="2" t="s">
        <v>420</v>
      </c>
      <c r="C41" s="253">
        <v>0</v>
      </c>
      <c r="D41" s="253">
        <v>0</v>
      </c>
      <c r="E41" s="253">
        <v>0</v>
      </c>
      <c r="F41" s="253">
        <f>E46</f>
        <v>119</v>
      </c>
      <c r="G41" s="253">
        <f>F46</f>
        <v>287</v>
      </c>
      <c r="H41" s="254">
        <f>G46</f>
        <v>476</v>
      </c>
      <c r="I41" s="254">
        <f t="shared" ref="I41:Q41" si="11">H46</f>
        <v>571.20000000000005</v>
      </c>
      <c r="J41" s="254">
        <f t="shared" si="11"/>
        <v>666.87599999999998</v>
      </c>
      <c r="K41" s="254">
        <f t="shared" si="11"/>
        <v>763.03037999999992</v>
      </c>
      <c r="L41" s="254">
        <f t="shared" si="11"/>
        <v>859.66553189999991</v>
      </c>
      <c r="M41" s="254">
        <f t="shared" si="11"/>
        <v>956.78385955949989</v>
      </c>
      <c r="N41" s="254">
        <f t="shared" si="11"/>
        <v>1054.3877788572972</v>
      </c>
      <c r="O41" s="254">
        <f t="shared" si="11"/>
        <v>1152.4797177515836</v>
      </c>
      <c r="P41" s="254">
        <f t="shared" si="11"/>
        <v>1251.0621163403414</v>
      </c>
      <c r="Q41" s="254">
        <f t="shared" si="11"/>
        <v>1350.137426922043</v>
      </c>
    </row>
    <row r="42" spans="2:17" x14ac:dyDescent="0.25">
      <c r="B42" s="2" t="s">
        <v>421</v>
      </c>
      <c r="C42" s="253">
        <v>0</v>
      </c>
      <c r="D42" s="253">
        <v>0</v>
      </c>
      <c r="E42" s="253">
        <v>119</v>
      </c>
      <c r="F42" s="253">
        <v>168</v>
      </c>
      <c r="G42" s="253">
        <v>189</v>
      </c>
      <c r="H42" s="254">
        <f>AVERAGE(C42:G42)</f>
        <v>95.2</v>
      </c>
      <c r="I42" s="254">
        <f>H42*(1+Assumption!$C$16)</f>
        <v>95.675999999999988</v>
      </c>
      <c r="J42" s="254">
        <f>I42*(1+Assumption!$C$16)</f>
        <v>96.154379999999975</v>
      </c>
      <c r="K42" s="254">
        <f>J42*(1+Assumption!$C$16)</f>
        <v>96.635151899999968</v>
      </c>
      <c r="L42" s="254">
        <f>K42*(1+Assumption!$C$16)</f>
        <v>97.118327659499954</v>
      </c>
      <c r="M42" s="254">
        <f>L42*(1+Assumption!$C$16)</f>
        <v>97.603919297797447</v>
      </c>
      <c r="N42" s="254">
        <f>M42*(1+Assumption!$C$16)</f>
        <v>98.091938894286429</v>
      </c>
      <c r="O42" s="254">
        <f>N42*(1+Assumption!$C$16)</f>
        <v>98.582398588757854</v>
      </c>
      <c r="P42" s="254">
        <f>O42*(1+Assumption!$C$16)</f>
        <v>99.075310581701629</v>
      </c>
      <c r="Q42" s="254">
        <f>P42*(1+Assumption!$C$16)</f>
        <v>99.570687134610125</v>
      </c>
    </row>
    <row r="43" spans="2:17" x14ac:dyDescent="0.25">
      <c r="B43" s="2" t="s">
        <v>417</v>
      </c>
      <c r="C43" s="253">
        <v>0</v>
      </c>
      <c r="D43" s="253">
        <v>0</v>
      </c>
      <c r="E43" s="253">
        <v>0</v>
      </c>
      <c r="F43" s="253">
        <v>0</v>
      </c>
      <c r="G43" s="253">
        <v>0</v>
      </c>
      <c r="H43" s="254">
        <v>0</v>
      </c>
      <c r="I43" s="254">
        <v>0</v>
      </c>
      <c r="J43" s="254">
        <v>0</v>
      </c>
      <c r="K43" s="254">
        <v>0</v>
      </c>
      <c r="L43" s="254">
        <v>0</v>
      </c>
      <c r="M43" s="254">
        <v>0</v>
      </c>
      <c r="N43" s="254">
        <v>0</v>
      </c>
      <c r="O43" s="254">
        <v>0</v>
      </c>
      <c r="P43" s="254">
        <v>0</v>
      </c>
      <c r="Q43" s="254">
        <v>0</v>
      </c>
    </row>
    <row r="44" spans="2:17" x14ac:dyDescent="0.25">
      <c r="B44" t="s">
        <v>428</v>
      </c>
      <c r="C44" s="253">
        <v>0</v>
      </c>
      <c r="D44" s="253">
        <v>0</v>
      </c>
      <c r="E44" s="253">
        <v>0</v>
      </c>
      <c r="F44" s="253">
        <v>0</v>
      </c>
      <c r="G44" s="253">
        <v>0</v>
      </c>
      <c r="H44" s="254">
        <v>0</v>
      </c>
      <c r="I44" s="254">
        <v>0</v>
      </c>
      <c r="J44" s="254">
        <v>0</v>
      </c>
      <c r="K44" s="254">
        <v>0</v>
      </c>
      <c r="L44" s="254">
        <v>0</v>
      </c>
      <c r="M44" s="254">
        <v>0</v>
      </c>
      <c r="N44" s="254">
        <v>0</v>
      </c>
      <c r="O44" s="254">
        <v>0</v>
      </c>
      <c r="P44" s="254">
        <v>0</v>
      </c>
      <c r="Q44" s="254">
        <v>0</v>
      </c>
    </row>
    <row r="45" spans="2:17" x14ac:dyDescent="0.25">
      <c r="B45" t="s">
        <v>418</v>
      </c>
      <c r="C45" s="253">
        <v>0</v>
      </c>
      <c r="D45" s="253">
        <v>0</v>
      </c>
      <c r="E45" s="253">
        <v>0</v>
      </c>
      <c r="F45" s="253">
        <v>0</v>
      </c>
      <c r="G45" s="253">
        <v>0</v>
      </c>
      <c r="H45" s="254">
        <v>0</v>
      </c>
      <c r="I45" s="254">
        <v>0</v>
      </c>
      <c r="J45" s="254">
        <v>0</v>
      </c>
      <c r="K45" s="254">
        <v>0</v>
      </c>
      <c r="L45" s="254">
        <v>0</v>
      </c>
      <c r="M45" s="254">
        <v>0</v>
      </c>
      <c r="N45" s="254">
        <v>0</v>
      </c>
      <c r="O45" s="254">
        <v>0</v>
      </c>
      <c r="P45" s="254">
        <v>0</v>
      </c>
      <c r="Q45" s="254">
        <v>0</v>
      </c>
    </row>
    <row r="46" spans="2:17" x14ac:dyDescent="0.25">
      <c r="B46" s="8" t="s">
        <v>199</v>
      </c>
      <c r="C46" s="255"/>
      <c r="D46" s="255"/>
      <c r="E46" s="255">
        <f>SUM(E41:E45)</f>
        <v>119</v>
      </c>
      <c r="F46" s="255">
        <f>SUM(F41:F45)</f>
        <v>287</v>
      </c>
      <c r="G46" s="255">
        <f>SUM(G41:G45)</f>
        <v>476</v>
      </c>
      <c r="H46" s="256">
        <f t="shared" ref="H46:Q46" si="12">SUM(H41:H45)</f>
        <v>571.20000000000005</v>
      </c>
      <c r="I46" s="256">
        <f t="shared" si="12"/>
        <v>666.87599999999998</v>
      </c>
      <c r="J46" s="256">
        <f t="shared" si="12"/>
        <v>763.03037999999992</v>
      </c>
      <c r="K46" s="256">
        <f t="shared" si="12"/>
        <v>859.66553189999991</v>
      </c>
      <c r="L46" s="256">
        <f t="shared" si="12"/>
        <v>956.78385955949989</v>
      </c>
      <c r="M46" s="256">
        <f t="shared" si="12"/>
        <v>1054.3877788572972</v>
      </c>
      <c r="N46" s="256">
        <f t="shared" si="12"/>
        <v>1152.4797177515836</v>
      </c>
      <c r="O46" s="256">
        <f t="shared" si="12"/>
        <v>1251.0621163403414</v>
      </c>
      <c r="P46" s="256">
        <f t="shared" si="12"/>
        <v>1350.137426922043</v>
      </c>
      <c r="Q46" s="256">
        <f t="shared" si="12"/>
        <v>1449.7081140566531</v>
      </c>
    </row>
    <row r="47" spans="2:17" x14ac:dyDescent="0.25">
      <c r="C47" s="253"/>
      <c r="D47" s="253"/>
      <c r="E47" s="253"/>
      <c r="F47" s="253"/>
      <c r="G47" s="253"/>
    </row>
    <row r="48" spans="2:17" x14ac:dyDescent="0.25">
      <c r="B48" s="8" t="s">
        <v>422</v>
      </c>
      <c r="C48" s="255"/>
      <c r="D48" s="255"/>
      <c r="E48" s="255">
        <f>E40-E46</f>
        <v>8235</v>
      </c>
      <c r="F48" s="255">
        <f>F40-F46</f>
        <v>8199</v>
      </c>
      <c r="G48" s="255">
        <f>G40-G46</f>
        <v>8010</v>
      </c>
      <c r="H48" s="256">
        <f t="shared" ref="H48:Q48" si="13">H40-H46</f>
        <v>9585.5999999999985</v>
      </c>
      <c r="I48" s="256">
        <f t="shared" si="13"/>
        <v>11169.078</v>
      </c>
      <c r="J48" s="256">
        <f t="shared" si="13"/>
        <v>12760.473389999999</v>
      </c>
      <c r="K48" s="256">
        <f t="shared" si="13"/>
        <v>14359.825756949998</v>
      </c>
      <c r="L48" s="256">
        <f t="shared" si="13"/>
        <v>15967.174885734747</v>
      </c>
      <c r="M48" s="256">
        <f t="shared" si="13"/>
        <v>17582.560760163418</v>
      </c>
      <c r="N48" s="256">
        <f t="shared" si="13"/>
        <v>19206.023563964234</v>
      </c>
      <c r="O48" s="256">
        <f t="shared" si="13"/>
        <v>20837.603681784054</v>
      </c>
      <c r="P48" s="256">
        <f t="shared" si="13"/>
        <v>22477.341700192974</v>
      </c>
      <c r="Q48" s="256">
        <f t="shared" si="13"/>
        <v>24125.278408693939</v>
      </c>
    </row>
    <row r="49" spans="2:17" x14ac:dyDescent="0.25">
      <c r="C49" s="253"/>
      <c r="D49" s="253"/>
      <c r="E49" s="253"/>
      <c r="F49" s="253"/>
      <c r="G49" s="253"/>
    </row>
    <row r="50" spans="2:17" x14ac:dyDescent="0.25">
      <c r="C50" s="253"/>
      <c r="D50" s="253"/>
      <c r="E50" s="253"/>
      <c r="F50" s="253"/>
      <c r="G50" s="253"/>
    </row>
    <row r="51" spans="2:17" x14ac:dyDescent="0.25">
      <c r="B51" s="1" t="s">
        <v>414</v>
      </c>
      <c r="C51" s="253"/>
      <c r="D51" s="253"/>
      <c r="E51" s="253"/>
      <c r="F51" s="253"/>
      <c r="G51" s="253"/>
    </row>
    <row r="52" spans="2:17" x14ac:dyDescent="0.25">
      <c r="B52" s="1" t="s">
        <v>416</v>
      </c>
      <c r="C52" s="249">
        <v>217</v>
      </c>
      <c r="D52" s="249">
        <f>C59</f>
        <v>247</v>
      </c>
      <c r="E52" s="249">
        <f t="shared" ref="E52:G52" si="14">D59</f>
        <v>265</v>
      </c>
      <c r="F52" s="249">
        <f t="shared" si="14"/>
        <v>509</v>
      </c>
      <c r="G52" s="249">
        <f t="shared" si="14"/>
        <v>850</v>
      </c>
      <c r="H52" s="250">
        <f>G59</f>
        <v>1479</v>
      </c>
      <c r="I52" s="250">
        <f t="shared" ref="I52:Q52" si="15">H59</f>
        <v>1656.2</v>
      </c>
      <c r="J52" s="250">
        <f t="shared" si="15"/>
        <v>1834.2860000000001</v>
      </c>
      <c r="K52" s="250">
        <f t="shared" si="15"/>
        <v>2013.26243</v>
      </c>
      <c r="L52" s="250">
        <f t="shared" si="15"/>
        <v>2193.1337421499998</v>
      </c>
      <c r="M52" s="250">
        <f t="shared" si="15"/>
        <v>2373.9044108607495</v>
      </c>
      <c r="N52" s="250">
        <f t="shared" si="15"/>
        <v>2555.578932915053</v>
      </c>
      <c r="O52" s="250">
        <f t="shared" si="15"/>
        <v>2738.1618275796282</v>
      </c>
      <c r="P52" s="250">
        <f t="shared" si="15"/>
        <v>2921.6576367175262</v>
      </c>
      <c r="Q52" s="250">
        <f t="shared" si="15"/>
        <v>3106.0709249011138</v>
      </c>
    </row>
    <row r="53" spans="2:17" x14ac:dyDescent="0.25">
      <c r="B53" s="244" t="s">
        <v>100</v>
      </c>
      <c r="C53" s="251">
        <v>0</v>
      </c>
      <c r="D53" s="251">
        <v>0</v>
      </c>
      <c r="E53" s="251">
        <v>126</v>
      </c>
      <c r="F53" s="251">
        <v>0</v>
      </c>
      <c r="G53" s="251">
        <v>310</v>
      </c>
      <c r="H53" s="252">
        <v>0</v>
      </c>
      <c r="I53" s="252">
        <v>0</v>
      </c>
      <c r="J53" s="252">
        <v>0</v>
      </c>
      <c r="K53" s="252">
        <v>0</v>
      </c>
      <c r="L53" s="252">
        <v>0</v>
      </c>
      <c r="M53" s="252">
        <v>0</v>
      </c>
      <c r="N53" s="252">
        <v>0</v>
      </c>
      <c r="O53" s="252">
        <v>0</v>
      </c>
      <c r="P53" s="252">
        <v>0</v>
      </c>
      <c r="Q53" s="252">
        <v>0</v>
      </c>
    </row>
    <row r="54" spans="2:17" x14ac:dyDescent="0.25">
      <c r="B54" t="s">
        <v>415</v>
      </c>
      <c r="C54" s="253">
        <v>44</v>
      </c>
      <c r="D54" s="253">
        <v>45</v>
      </c>
      <c r="E54" s="253">
        <v>166</v>
      </c>
      <c r="F54" s="253">
        <v>188</v>
      </c>
      <c r="G54" s="253">
        <v>443</v>
      </c>
      <c r="H54" s="254">
        <f>AVERAGE(C54:G54)</f>
        <v>177.2</v>
      </c>
      <c r="I54" s="254">
        <f>H54*(1+Assumption!$C$14)</f>
        <v>178.08599999999996</v>
      </c>
      <c r="J54" s="254">
        <f>I54*(1+Assumption!$C$14)</f>
        <v>178.97642999999994</v>
      </c>
      <c r="K54" s="254">
        <f>J54*(1+Assumption!$C$14)</f>
        <v>179.87131214999991</v>
      </c>
      <c r="L54" s="254">
        <f>K54*(1+Assumption!$C$14)</f>
        <v>180.7706687107499</v>
      </c>
      <c r="M54" s="254">
        <f>L54*(1+Assumption!$C$14)</f>
        <v>181.67452205430362</v>
      </c>
      <c r="N54" s="254">
        <f>M54*(1+Assumption!$C$14)</f>
        <v>182.58289466457512</v>
      </c>
      <c r="O54" s="254">
        <f>N54*(1+Assumption!$C$14)</f>
        <v>183.49580913789796</v>
      </c>
      <c r="P54" s="254">
        <f>O54*(1+Assumption!$C$14)</f>
        <v>184.41328818358744</v>
      </c>
      <c r="Q54" s="254">
        <f>P54*(1+Assumption!$C$14)</f>
        <v>185.33535462450536</v>
      </c>
    </row>
    <row r="55" spans="2:17" x14ac:dyDescent="0.25">
      <c r="B55" t="s">
        <v>438</v>
      </c>
      <c r="C55" s="253">
        <v>0</v>
      </c>
      <c r="D55" s="253">
        <v>0</v>
      </c>
      <c r="E55" s="253">
        <v>0</v>
      </c>
      <c r="F55" s="253">
        <v>169</v>
      </c>
      <c r="G55" s="253">
        <v>0</v>
      </c>
      <c r="H55" s="254">
        <v>0</v>
      </c>
      <c r="I55" s="254">
        <v>0</v>
      </c>
      <c r="J55" s="254">
        <v>0</v>
      </c>
      <c r="K55" s="254">
        <v>0</v>
      </c>
      <c r="L55" s="254">
        <v>0</v>
      </c>
      <c r="M55" s="254">
        <v>0</v>
      </c>
      <c r="N55" s="254">
        <v>0</v>
      </c>
      <c r="O55" s="254">
        <v>0</v>
      </c>
      <c r="P55" s="254">
        <v>0</v>
      </c>
      <c r="Q55" s="254">
        <v>0</v>
      </c>
    </row>
    <row r="56" spans="2:17" x14ac:dyDescent="0.25">
      <c r="B56" t="s">
        <v>417</v>
      </c>
      <c r="C56" s="253">
        <v>-13</v>
      </c>
      <c r="D56" s="253">
        <v>-27</v>
      </c>
      <c r="E56" s="253">
        <v>-48</v>
      </c>
      <c r="F56" s="253">
        <v>-16</v>
      </c>
      <c r="G56" s="253">
        <v>-128</v>
      </c>
      <c r="H56" s="254">
        <v>0</v>
      </c>
      <c r="I56" s="254">
        <v>0</v>
      </c>
      <c r="J56" s="254">
        <v>0</v>
      </c>
      <c r="K56" s="254">
        <v>0</v>
      </c>
      <c r="L56" s="254">
        <v>0</v>
      </c>
      <c r="M56" s="254">
        <v>0</v>
      </c>
      <c r="N56" s="254">
        <v>0</v>
      </c>
      <c r="O56" s="254">
        <v>0</v>
      </c>
      <c r="P56" s="254">
        <v>0</v>
      </c>
      <c r="Q56" s="254">
        <v>0</v>
      </c>
    </row>
    <row r="57" spans="2:17" x14ac:dyDescent="0.25">
      <c r="B57" t="s">
        <v>418</v>
      </c>
      <c r="C57" s="253">
        <v>-1</v>
      </c>
      <c r="D57" s="253">
        <v>0</v>
      </c>
      <c r="E57" s="253">
        <v>0</v>
      </c>
      <c r="F57" s="253">
        <v>0</v>
      </c>
      <c r="G57" s="253">
        <v>0</v>
      </c>
      <c r="H57" s="254">
        <v>0</v>
      </c>
      <c r="I57" s="254">
        <v>0</v>
      </c>
      <c r="J57" s="254">
        <v>0</v>
      </c>
      <c r="K57" s="254">
        <v>0</v>
      </c>
      <c r="L57" s="254">
        <v>0</v>
      </c>
      <c r="M57" s="254">
        <v>0</v>
      </c>
      <c r="N57" s="254">
        <v>0</v>
      </c>
      <c r="O57" s="254">
        <v>0</v>
      </c>
      <c r="P57" s="254">
        <v>0</v>
      </c>
      <c r="Q57" s="254">
        <v>0</v>
      </c>
    </row>
    <row r="58" spans="2:17" x14ac:dyDescent="0.25">
      <c r="B58" t="s">
        <v>428</v>
      </c>
      <c r="C58" s="253">
        <v>0</v>
      </c>
      <c r="D58" s="253">
        <v>0</v>
      </c>
      <c r="E58" s="253">
        <v>0</v>
      </c>
      <c r="F58" s="253">
        <v>0</v>
      </c>
      <c r="G58" s="253">
        <v>3</v>
      </c>
      <c r="H58" s="254">
        <v>0</v>
      </c>
      <c r="I58" s="254">
        <v>0</v>
      </c>
      <c r="J58" s="254">
        <v>0</v>
      </c>
      <c r="K58" s="254">
        <v>0</v>
      </c>
      <c r="L58" s="254">
        <v>0</v>
      </c>
      <c r="M58" s="254">
        <v>0</v>
      </c>
      <c r="N58" s="254">
        <v>0</v>
      </c>
      <c r="O58" s="254">
        <v>0</v>
      </c>
      <c r="P58" s="254">
        <v>0</v>
      </c>
      <c r="Q58" s="254">
        <v>0</v>
      </c>
    </row>
    <row r="59" spans="2:17" x14ac:dyDescent="0.25">
      <c r="B59" s="8" t="s">
        <v>419</v>
      </c>
      <c r="C59" s="255">
        <f>SUM(C52:C57)</f>
        <v>247</v>
      </c>
      <c r="D59" s="255">
        <f t="shared" ref="D59:Q59" si="16">SUM(D52:D57)</f>
        <v>265</v>
      </c>
      <c r="E59" s="255">
        <f t="shared" si="16"/>
        <v>509</v>
      </c>
      <c r="F59" s="255">
        <f t="shared" si="16"/>
        <v>850</v>
      </c>
      <c r="G59" s="255">
        <v>1479</v>
      </c>
      <c r="H59" s="256">
        <f t="shared" si="16"/>
        <v>1656.2</v>
      </c>
      <c r="I59" s="256">
        <f t="shared" si="16"/>
        <v>1834.2860000000001</v>
      </c>
      <c r="J59" s="256">
        <f t="shared" si="16"/>
        <v>2013.26243</v>
      </c>
      <c r="K59" s="256">
        <f t="shared" si="16"/>
        <v>2193.1337421499998</v>
      </c>
      <c r="L59" s="256">
        <f t="shared" si="16"/>
        <v>2373.9044108607495</v>
      </c>
      <c r="M59" s="256">
        <f t="shared" si="16"/>
        <v>2555.578932915053</v>
      </c>
      <c r="N59" s="256">
        <f t="shared" si="16"/>
        <v>2738.1618275796282</v>
      </c>
      <c r="O59" s="256">
        <f t="shared" si="16"/>
        <v>2921.6576367175262</v>
      </c>
      <c r="P59" s="256">
        <f t="shared" si="16"/>
        <v>3106.0709249011138</v>
      </c>
      <c r="Q59" s="256">
        <f t="shared" si="16"/>
        <v>3291.4062795256191</v>
      </c>
    </row>
    <row r="60" spans="2:17" x14ac:dyDescent="0.25">
      <c r="B60" s="2" t="s">
        <v>420</v>
      </c>
      <c r="C60" s="253">
        <v>188</v>
      </c>
      <c r="D60" s="253">
        <f>C65</f>
        <v>218</v>
      </c>
      <c r="E60" s="253">
        <f t="shared" ref="E60:G60" si="17">D65</f>
        <v>228</v>
      </c>
      <c r="F60" s="253">
        <f t="shared" si="17"/>
        <v>257</v>
      </c>
      <c r="G60" s="253">
        <f t="shared" si="17"/>
        <v>439</v>
      </c>
      <c r="H60" s="254">
        <f>G65</f>
        <v>782</v>
      </c>
      <c r="I60" s="254">
        <f t="shared" ref="I60:Q60" si="18">H65</f>
        <v>946.2</v>
      </c>
      <c r="J60" s="254">
        <f t="shared" si="18"/>
        <v>1111.221</v>
      </c>
      <c r="K60" s="254">
        <f t="shared" si="18"/>
        <v>1277.0671049999999</v>
      </c>
      <c r="L60" s="254">
        <f t="shared" si="18"/>
        <v>1443.7424405249999</v>
      </c>
      <c r="M60" s="254">
        <f t="shared" si="18"/>
        <v>1611.2511527276247</v>
      </c>
      <c r="N60" s="254">
        <f t="shared" si="18"/>
        <v>1779.5974084912627</v>
      </c>
      <c r="O60" s="254">
        <f t="shared" si="18"/>
        <v>1948.7853955337189</v>
      </c>
      <c r="P60" s="254">
        <f t="shared" si="18"/>
        <v>2118.8193225113873</v>
      </c>
      <c r="Q60" s="254">
        <f t="shared" si="18"/>
        <v>2289.7034191239441</v>
      </c>
    </row>
    <row r="61" spans="2:17" x14ac:dyDescent="0.25">
      <c r="B61" s="2" t="s">
        <v>421</v>
      </c>
      <c r="C61" s="253">
        <v>44</v>
      </c>
      <c r="D61" s="253">
        <v>37</v>
      </c>
      <c r="E61" s="253">
        <v>77</v>
      </c>
      <c r="F61" s="253">
        <v>198</v>
      </c>
      <c r="G61" s="253">
        <v>465</v>
      </c>
      <c r="H61" s="254">
        <f>AVERAGE(C61:G61)</f>
        <v>164.2</v>
      </c>
      <c r="I61" s="254">
        <f>H61*(1+Assumption!$C$16)</f>
        <v>165.02099999999996</v>
      </c>
      <c r="J61" s="254">
        <f>I61*(1+Assumption!$C$16)</f>
        <v>165.84610499999994</v>
      </c>
      <c r="K61" s="254">
        <f>J61*(1+Assumption!$C$16)</f>
        <v>166.67533552499992</v>
      </c>
      <c r="L61" s="254">
        <f>K61*(1+Assumption!$C$16)</f>
        <v>167.50871220262491</v>
      </c>
      <c r="M61" s="254">
        <f>L61*(1+Assumption!$C$16)</f>
        <v>168.34625576363803</v>
      </c>
      <c r="N61" s="254">
        <f>M61*(1+Assumption!$C$16)</f>
        <v>169.1879870424562</v>
      </c>
      <c r="O61" s="254">
        <f>N61*(1+Assumption!$C$16)</f>
        <v>170.03392697766847</v>
      </c>
      <c r="P61" s="254">
        <f>O61*(1+Assumption!$C$16)</f>
        <v>170.88409661255679</v>
      </c>
      <c r="Q61" s="254">
        <f>P61*(1+Assumption!$C$16)</f>
        <v>171.73851709561956</v>
      </c>
    </row>
    <row r="62" spans="2:17" x14ac:dyDescent="0.25">
      <c r="B62" s="2" t="s">
        <v>417</v>
      </c>
      <c r="C62" s="253">
        <v>-13</v>
      </c>
      <c r="D62" s="253">
        <v>-27</v>
      </c>
      <c r="E62" s="253">
        <v>-48</v>
      </c>
      <c r="F62" s="253">
        <v>-16</v>
      </c>
      <c r="G62" s="253">
        <v>-124</v>
      </c>
      <c r="H62" s="254">
        <v>0</v>
      </c>
      <c r="I62" s="254">
        <v>0</v>
      </c>
      <c r="J62" s="254">
        <v>0</v>
      </c>
      <c r="K62" s="254">
        <v>0</v>
      </c>
      <c r="L62" s="254">
        <v>0</v>
      </c>
      <c r="M62" s="254">
        <v>0</v>
      </c>
      <c r="N62" s="254">
        <v>0</v>
      </c>
      <c r="O62" s="254">
        <v>0</v>
      </c>
      <c r="P62" s="254">
        <v>0</v>
      </c>
      <c r="Q62" s="254">
        <v>0</v>
      </c>
    </row>
    <row r="63" spans="2:17" x14ac:dyDescent="0.25">
      <c r="B63" t="s">
        <v>428</v>
      </c>
      <c r="C63" s="253">
        <v>0</v>
      </c>
      <c r="D63" s="253">
        <v>0</v>
      </c>
      <c r="E63" s="253">
        <v>0</v>
      </c>
      <c r="F63" s="253">
        <v>0</v>
      </c>
      <c r="G63" s="253">
        <v>3</v>
      </c>
      <c r="H63" s="254">
        <v>0</v>
      </c>
      <c r="I63" s="254">
        <v>0</v>
      </c>
      <c r="J63" s="254">
        <v>0</v>
      </c>
      <c r="K63" s="254">
        <v>0</v>
      </c>
      <c r="L63" s="254">
        <v>0</v>
      </c>
      <c r="M63" s="254">
        <v>0</v>
      </c>
      <c r="N63" s="254">
        <v>0</v>
      </c>
      <c r="O63" s="254">
        <v>0</v>
      </c>
      <c r="P63" s="254">
        <v>0</v>
      </c>
      <c r="Q63" s="254">
        <v>0</v>
      </c>
    </row>
    <row r="64" spans="2:17" x14ac:dyDescent="0.25">
      <c r="B64" t="s">
        <v>418</v>
      </c>
      <c r="C64" s="253">
        <v>-1</v>
      </c>
      <c r="D64" s="253">
        <v>0</v>
      </c>
      <c r="E64" s="253">
        <v>0</v>
      </c>
      <c r="F64" s="253">
        <v>0</v>
      </c>
      <c r="G64" s="253">
        <v>0</v>
      </c>
      <c r="H64" s="254">
        <v>0</v>
      </c>
      <c r="I64" s="254">
        <v>0</v>
      </c>
      <c r="J64" s="254">
        <v>0</v>
      </c>
      <c r="K64" s="254">
        <v>0</v>
      </c>
      <c r="L64" s="254">
        <v>0</v>
      </c>
      <c r="M64" s="254">
        <v>0</v>
      </c>
      <c r="N64" s="254">
        <v>0</v>
      </c>
      <c r="O64" s="254">
        <v>0</v>
      </c>
      <c r="P64" s="254">
        <v>0</v>
      </c>
      <c r="Q64" s="254">
        <v>0</v>
      </c>
    </row>
    <row r="65" spans="2:17" x14ac:dyDescent="0.25">
      <c r="B65" s="8" t="s">
        <v>199</v>
      </c>
      <c r="C65" s="255">
        <f>SUM(C60:C64)</f>
        <v>218</v>
      </c>
      <c r="D65" s="255">
        <f t="shared" ref="D65:Q65" si="19">SUM(D60:D64)</f>
        <v>228</v>
      </c>
      <c r="E65" s="255">
        <f t="shared" si="19"/>
        <v>257</v>
      </c>
      <c r="F65" s="255">
        <f t="shared" si="19"/>
        <v>439</v>
      </c>
      <c r="G65" s="255">
        <v>782</v>
      </c>
      <c r="H65" s="256">
        <f t="shared" si="19"/>
        <v>946.2</v>
      </c>
      <c r="I65" s="256">
        <f t="shared" si="19"/>
        <v>1111.221</v>
      </c>
      <c r="J65" s="256">
        <f t="shared" si="19"/>
        <v>1277.0671049999999</v>
      </c>
      <c r="K65" s="256">
        <f t="shared" si="19"/>
        <v>1443.7424405249999</v>
      </c>
      <c r="L65" s="256">
        <f t="shared" si="19"/>
        <v>1611.2511527276247</v>
      </c>
      <c r="M65" s="256">
        <f t="shared" si="19"/>
        <v>1779.5974084912627</v>
      </c>
      <c r="N65" s="256">
        <f t="shared" si="19"/>
        <v>1948.7853955337189</v>
      </c>
      <c r="O65" s="256">
        <f t="shared" si="19"/>
        <v>2118.8193225113873</v>
      </c>
      <c r="P65" s="256">
        <f t="shared" si="19"/>
        <v>2289.7034191239441</v>
      </c>
      <c r="Q65" s="256">
        <f t="shared" si="19"/>
        <v>2461.4419362195636</v>
      </c>
    </row>
    <row r="66" spans="2:17" x14ac:dyDescent="0.25">
      <c r="C66" s="253"/>
      <c r="D66" s="253"/>
      <c r="E66" s="253"/>
      <c r="F66" s="253"/>
      <c r="G66" s="253"/>
    </row>
    <row r="67" spans="2:17" x14ac:dyDescent="0.25">
      <c r="B67" s="8" t="s">
        <v>422</v>
      </c>
      <c r="C67" s="255">
        <f>C59-C65</f>
        <v>29</v>
      </c>
      <c r="D67" s="255">
        <f t="shared" ref="D67:Q67" si="20">D59-D65</f>
        <v>37</v>
      </c>
      <c r="E67" s="255">
        <f t="shared" si="20"/>
        <v>252</v>
      </c>
      <c r="F67" s="255">
        <f t="shared" si="20"/>
        <v>411</v>
      </c>
      <c r="G67" s="255">
        <f t="shared" si="20"/>
        <v>697</v>
      </c>
      <c r="H67" s="256">
        <f t="shared" si="20"/>
        <v>710</v>
      </c>
      <c r="I67" s="256">
        <f t="shared" si="20"/>
        <v>723.06500000000005</v>
      </c>
      <c r="J67" s="256">
        <f t="shared" si="20"/>
        <v>736.19532500000014</v>
      </c>
      <c r="K67" s="256">
        <f t="shared" si="20"/>
        <v>749.39130162499987</v>
      </c>
      <c r="L67" s="256">
        <f t="shared" si="20"/>
        <v>762.65325813312484</v>
      </c>
      <c r="M67" s="256">
        <f t="shared" si="20"/>
        <v>775.98152442379023</v>
      </c>
      <c r="N67" s="256">
        <f t="shared" si="20"/>
        <v>789.37643204590927</v>
      </c>
      <c r="O67" s="256">
        <f t="shared" si="20"/>
        <v>802.83831420613888</v>
      </c>
      <c r="P67" s="256">
        <f t="shared" si="20"/>
        <v>816.36750577716975</v>
      </c>
      <c r="Q67" s="256">
        <f t="shared" si="20"/>
        <v>829.96434330605553</v>
      </c>
    </row>
    <row r="68" spans="2:17" x14ac:dyDescent="0.25">
      <c r="C68" s="253"/>
      <c r="D68" s="253"/>
      <c r="E68" s="253"/>
      <c r="F68" s="253"/>
      <c r="G68" s="253"/>
    </row>
    <row r="69" spans="2:17" x14ac:dyDescent="0.25">
      <c r="C69" s="253"/>
      <c r="D69" s="253"/>
      <c r="E69" s="253"/>
      <c r="F69" s="253"/>
      <c r="G69" s="253"/>
    </row>
    <row r="70" spans="2:17" x14ac:dyDescent="0.25">
      <c r="B70" s="1" t="s">
        <v>423</v>
      </c>
      <c r="C70" s="253"/>
      <c r="D70" s="253"/>
      <c r="E70" s="253"/>
      <c r="F70" s="253"/>
      <c r="G70" s="253"/>
    </row>
    <row r="71" spans="2:17" x14ac:dyDescent="0.25">
      <c r="B71" s="1" t="s">
        <v>416</v>
      </c>
      <c r="C71" s="249">
        <v>116</v>
      </c>
      <c r="D71" s="249">
        <f>C78</f>
        <v>134</v>
      </c>
      <c r="E71" s="249">
        <f t="shared" ref="E71:G71" si="21">D78</f>
        <v>144</v>
      </c>
      <c r="F71" s="249">
        <f t="shared" si="21"/>
        <v>276</v>
      </c>
      <c r="G71" s="249">
        <f t="shared" si="21"/>
        <v>562</v>
      </c>
      <c r="H71" s="250">
        <f>G78</f>
        <v>707</v>
      </c>
      <c r="I71" s="250">
        <f t="shared" ref="I71:Q71" si="22">H78</f>
        <v>776</v>
      </c>
      <c r="J71" s="250">
        <f t="shared" si="22"/>
        <v>845.34500000000003</v>
      </c>
      <c r="K71" s="250">
        <f t="shared" si="22"/>
        <v>915.03672500000005</v>
      </c>
      <c r="L71" s="250">
        <f t="shared" si="22"/>
        <v>985.07690862499999</v>
      </c>
      <c r="M71" s="250">
        <f t="shared" si="22"/>
        <v>1055.467293168125</v>
      </c>
      <c r="N71" s="250">
        <f t="shared" si="22"/>
        <v>1126.2096296339655</v>
      </c>
      <c r="O71" s="250">
        <f t="shared" si="22"/>
        <v>1197.3056777821353</v>
      </c>
      <c r="P71" s="250">
        <f t="shared" si="22"/>
        <v>1268.7572061710459</v>
      </c>
      <c r="Q71" s="250">
        <f t="shared" si="22"/>
        <v>1340.5659922019011</v>
      </c>
    </row>
    <row r="72" spans="2:17" x14ac:dyDescent="0.25">
      <c r="B72" s="9" t="s">
        <v>100</v>
      </c>
      <c r="C72" s="255">
        <v>0</v>
      </c>
      <c r="D72" s="255">
        <v>0</v>
      </c>
      <c r="E72" s="251">
        <v>10</v>
      </c>
      <c r="F72" s="251">
        <v>0</v>
      </c>
      <c r="G72" s="251">
        <v>55</v>
      </c>
      <c r="H72" s="254">
        <v>0</v>
      </c>
      <c r="I72" s="254">
        <v>0</v>
      </c>
      <c r="J72" s="254">
        <v>0</v>
      </c>
      <c r="K72" s="254">
        <v>0</v>
      </c>
      <c r="L72" s="254">
        <v>0</v>
      </c>
      <c r="M72" s="254">
        <v>0</v>
      </c>
      <c r="N72" s="254">
        <v>0</v>
      </c>
      <c r="O72" s="254">
        <v>0</v>
      </c>
      <c r="P72" s="254">
        <v>0</v>
      </c>
      <c r="Q72" s="254">
        <v>0</v>
      </c>
    </row>
    <row r="73" spans="2:17" x14ac:dyDescent="0.25">
      <c r="B73" t="s">
        <v>415</v>
      </c>
      <c r="C73" s="253">
        <v>18</v>
      </c>
      <c r="D73" s="253">
        <v>11</v>
      </c>
      <c r="E73" s="253">
        <v>122</v>
      </c>
      <c r="F73" s="253">
        <v>103</v>
      </c>
      <c r="G73" s="253">
        <v>91</v>
      </c>
      <c r="H73" s="254">
        <f>AVERAGE(C73:G73)</f>
        <v>69</v>
      </c>
      <c r="I73" s="254">
        <f>H73*(1+Assumption!$C$14)</f>
        <v>69.344999999999999</v>
      </c>
      <c r="J73" s="254">
        <f>I73*(1+Assumption!$C$14)</f>
        <v>69.691724999999991</v>
      </c>
      <c r="K73" s="254">
        <f>J73*(1+Assumption!$C$14)</f>
        <v>70.040183624999983</v>
      </c>
      <c r="L73" s="254">
        <f>K73*(1+Assumption!$C$14)</f>
        <v>70.390384543124981</v>
      </c>
      <c r="M73" s="254">
        <f>L73*(1+Assumption!$C$14)</f>
        <v>70.742336465840594</v>
      </c>
      <c r="N73" s="254">
        <f>M73*(1+Assumption!$C$14)</f>
        <v>71.096048148169785</v>
      </c>
      <c r="O73" s="254">
        <f>N73*(1+Assumption!$C$14)</f>
        <v>71.451528388910631</v>
      </c>
      <c r="P73" s="254">
        <f>O73*(1+Assumption!$C$14)</f>
        <v>71.808786030855174</v>
      </c>
      <c r="Q73" s="254">
        <f>P73*(1+Assumption!$C$14)</f>
        <v>72.167829961009446</v>
      </c>
    </row>
    <row r="74" spans="2:17" x14ac:dyDescent="0.25">
      <c r="B74" t="s">
        <v>438</v>
      </c>
      <c r="C74" s="253">
        <v>0</v>
      </c>
      <c r="D74" s="253">
        <v>0</v>
      </c>
      <c r="E74" s="253">
        <v>0</v>
      </c>
      <c r="F74" s="253">
        <v>183</v>
      </c>
      <c r="G74" s="253">
        <v>0</v>
      </c>
      <c r="H74" s="254">
        <v>0</v>
      </c>
      <c r="I74" s="254">
        <v>0</v>
      </c>
      <c r="J74" s="254">
        <v>0</v>
      </c>
      <c r="K74" s="254">
        <v>0</v>
      </c>
      <c r="L74" s="254">
        <v>0</v>
      </c>
      <c r="M74" s="254">
        <v>0</v>
      </c>
      <c r="N74" s="254">
        <v>0</v>
      </c>
      <c r="O74" s="254">
        <v>0</v>
      </c>
      <c r="P74" s="254">
        <v>0</v>
      </c>
      <c r="Q74" s="254">
        <v>0</v>
      </c>
    </row>
    <row r="75" spans="2:17" x14ac:dyDescent="0.25">
      <c r="B75" t="s">
        <v>417</v>
      </c>
      <c r="C75" s="253">
        <v>0</v>
      </c>
      <c r="D75" s="253">
        <v>-1</v>
      </c>
      <c r="E75" s="253">
        <v>0</v>
      </c>
      <c r="F75" s="253">
        <v>0</v>
      </c>
      <c r="G75" s="253">
        <v>-2</v>
      </c>
      <c r="H75" s="254">
        <v>0</v>
      </c>
      <c r="I75" s="254">
        <v>0</v>
      </c>
      <c r="J75" s="254">
        <v>0</v>
      </c>
      <c r="K75" s="254">
        <v>0</v>
      </c>
      <c r="L75" s="254">
        <v>0</v>
      </c>
      <c r="M75" s="254">
        <v>0</v>
      </c>
      <c r="N75" s="254">
        <v>0</v>
      </c>
      <c r="O75" s="254">
        <v>0</v>
      </c>
      <c r="P75" s="254">
        <v>0</v>
      </c>
      <c r="Q75" s="254">
        <v>0</v>
      </c>
    </row>
    <row r="76" spans="2:17" x14ac:dyDescent="0.25">
      <c r="B76" t="s">
        <v>418</v>
      </c>
      <c r="C76" s="253">
        <v>0</v>
      </c>
      <c r="D76" s="253">
        <v>0</v>
      </c>
      <c r="E76" s="253">
        <v>0</v>
      </c>
      <c r="F76" s="253">
        <v>0</v>
      </c>
      <c r="G76" s="253">
        <v>0</v>
      </c>
      <c r="H76" s="254">
        <v>0</v>
      </c>
      <c r="I76" s="254">
        <v>0</v>
      </c>
      <c r="J76" s="254">
        <v>0</v>
      </c>
      <c r="K76" s="254">
        <v>0</v>
      </c>
      <c r="L76" s="254">
        <v>0</v>
      </c>
      <c r="M76" s="254">
        <v>0</v>
      </c>
      <c r="N76" s="254">
        <v>0</v>
      </c>
      <c r="O76" s="254">
        <v>0</v>
      </c>
      <c r="P76" s="254">
        <v>0</v>
      </c>
      <c r="Q76" s="254">
        <v>0</v>
      </c>
    </row>
    <row r="77" spans="2:17" x14ac:dyDescent="0.25">
      <c r="B77" t="s">
        <v>428</v>
      </c>
      <c r="C77" s="253">
        <v>0</v>
      </c>
      <c r="D77" s="253">
        <v>0</v>
      </c>
      <c r="E77" s="253">
        <v>0</v>
      </c>
      <c r="F77" s="253">
        <v>0</v>
      </c>
      <c r="G77" s="253">
        <v>0</v>
      </c>
      <c r="H77" s="254">
        <v>0</v>
      </c>
      <c r="I77" s="254">
        <v>0</v>
      </c>
      <c r="J77" s="254">
        <v>0</v>
      </c>
      <c r="K77" s="254">
        <v>0</v>
      </c>
      <c r="L77" s="254">
        <v>0</v>
      </c>
      <c r="M77" s="254">
        <v>0</v>
      </c>
      <c r="N77" s="254">
        <v>0</v>
      </c>
      <c r="O77" s="254">
        <v>0</v>
      </c>
      <c r="P77" s="254">
        <v>0</v>
      </c>
      <c r="Q77" s="254">
        <v>0</v>
      </c>
    </row>
    <row r="78" spans="2:17" x14ac:dyDescent="0.25">
      <c r="B78" s="8" t="s">
        <v>419</v>
      </c>
      <c r="C78" s="255">
        <f>SUM(C71:C76)</f>
        <v>134</v>
      </c>
      <c r="D78" s="255">
        <f t="shared" ref="D78:Q78" si="23">SUM(D71:D76)</f>
        <v>144</v>
      </c>
      <c r="E78" s="255">
        <f t="shared" si="23"/>
        <v>276</v>
      </c>
      <c r="F78" s="255">
        <f t="shared" si="23"/>
        <v>562</v>
      </c>
      <c r="G78" s="255">
        <v>707</v>
      </c>
      <c r="H78" s="256">
        <f t="shared" si="23"/>
        <v>776</v>
      </c>
      <c r="I78" s="256">
        <f t="shared" si="23"/>
        <v>845.34500000000003</v>
      </c>
      <c r="J78" s="256">
        <f t="shared" si="23"/>
        <v>915.03672500000005</v>
      </c>
      <c r="K78" s="256">
        <f t="shared" si="23"/>
        <v>985.07690862499999</v>
      </c>
      <c r="L78" s="256">
        <f t="shared" si="23"/>
        <v>1055.467293168125</v>
      </c>
      <c r="M78" s="256">
        <f t="shared" si="23"/>
        <v>1126.2096296339655</v>
      </c>
      <c r="N78" s="256">
        <f t="shared" si="23"/>
        <v>1197.3056777821353</v>
      </c>
      <c r="O78" s="256">
        <f t="shared" si="23"/>
        <v>1268.7572061710459</v>
      </c>
      <c r="P78" s="256">
        <f t="shared" si="23"/>
        <v>1340.5659922019011</v>
      </c>
      <c r="Q78" s="256">
        <f t="shared" si="23"/>
        <v>1412.7338221629104</v>
      </c>
    </row>
    <row r="79" spans="2:17" x14ac:dyDescent="0.25">
      <c r="B79" s="2" t="s">
        <v>420</v>
      </c>
      <c r="C79" s="253">
        <v>78</v>
      </c>
      <c r="D79" s="253">
        <f>C84</f>
        <v>98</v>
      </c>
      <c r="E79" s="253">
        <f t="shared" ref="E79:G79" si="24">D84</f>
        <v>116</v>
      </c>
      <c r="F79" s="253">
        <f t="shared" si="24"/>
        <v>138</v>
      </c>
      <c r="G79" s="253">
        <f t="shared" si="24"/>
        <v>195</v>
      </c>
      <c r="H79" s="254">
        <f>G84</f>
        <v>289</v>
      </c>
      <c r="I79" s="254">
        <f t="shared" ref="I79:Q79" si="25">H84</f>
        <v>331.4</v>
      </c>
      <c r="J79" s="254">
        <f t="shared" si="25"/>
        <v>374.01199999999994</v>
      </c>
      <c r="K79" s="254">
        <f t="shared" si="25"/>
        <v>416.83705999999995</v>
      </c>
      <c r="L79" s="254">
        <f t="shared" si="25"/>
        <v>459.87624529999994</v>
      </c>
      <c r="M79" s="254">
        <f t="shared" si="25"/>
        <v>503.1306265264999</v>
      </c>
      <c r="N79" s="254">
        <f t="shared" si="25"/>
        <v>546.60127965913239</v>
      </c>
      <c r="O79" s="254">
        <f t="shared" si="25"/>
        <v>590.28928605742806</v>
      </c>
      <c r="P79" s="254">
        <f t="shared" si="25"/>
        <v>634.19573248771519</v>
      </c>
      <c r="Q79" s="254">
        <f t="shared" si="25"/>
        <v>678.32171115015376</v>
      </c>
    </row>
    <row r="80" spans="2:17" x14ac:dyDescent="0.25">
      <c r="B80" s="2" t="s">
        <v>421</v>
      </c>
      <c r="C80" s="253">
        <v>20</v>
      </c>
      <c r="D80" s="253">
        <v>18</v>
      </c>
      <c r="E80" s="253">
        <v>22</v>
      </c>
      <c r="F80" s="253">
        <v>57</v>
      </c>
      <c r="G80" s="253">
        <v>95</v>
      </c>
      <c r="H80" s="254">
        <f>AVERAGE(C80:G80)</f>
        <v>42.4</v>
      </c>
      <c r="I80" s="254">
        <f>H80*(1+Assumption!$C$16)</f>
        <v>42.611999999999995</v>
      </c>
      <c r="J80" s="254">
        <f>I80*(1+Assumption!$C$16)</f>
        <v>42.825059999999993</v>
      </c>
      <c r="K80" s="254">
        <f>J80*(1+Assumption!$C$16)</f>
        <v>43.039185299999986</v>
      </c>
      <c r="L80" s="254">
        <f>K80*(1+Assumption!$C$16)</f>
        <v>43.25438122649998</v>
      </c>
      <c r="M80" s="254">
        <f>L80*(1+Assumption!$C$16)</f>
        <v>43.470653132632478</v>
      </c>
      <c r="N80" s="254">
        <f>M80*(1+Assumption!$C$16)</f>
        <v>43.688006398295634</v>
      </c>
      <c r="O80" s="254">
        <f>N80*(1+Assumption!$C$16)</f>
        <v>43.906446430287104</v>
      </c>
      <c r="P80" s="254">
        <f>O80*(1+Assumption!$C$16)</f>
        <v>44.125978662438534</v>
      </c>
      <c r="Q80" s="254">
        <f>P80*(1+Assumption!$C$16)</f>
        <v>44.34660855575072</v>
      </c>
    </row>
    <row r="81" spans="2:17" x14ac:dyDescent="0.25">
      <c r="B81" s="2" t="s">
        <v>417</v>
      </c>
      <c r="C81" s="253">
        <v>0</v>
      </c>
      <c r="D81" s="253">
        <v>0</v>
      </c>
      <c r="E81" s="253">
        <v>0</v>
      </c>
      <c r="F81" s="253">
        <v>0</v>
      </c>
      <c r="G81" s="253">
        <v>-2</v>
      </c>
      <c r="H81" s="254">
        <v>0</v>
      </c>
      <c r="I81" s="254">
        <v>0</v>
      </c>
      <c r="J81" s="254">
        <v>0</v>
      </c>
      <c r="K81" s="254">
        <v>0</v>
      </c>
      <c r="L81" s="254">
        <v>0</v>
      </c>
      <c r="M81" s="254">
        <v>0</v>
      </c>
      <c r="N81" s="254">
        <v>0</v>
      </c>
      <c r="O81" s="254">
        <v>0</v>
      </c>
      <c r="P81" s="254">
        <v>0</v>
      </c>
      <c r="Q81" s="254">
        <v>0</v>
      </c>
    </row>
    <row r="82" spans="2:17" x14ac:dyDescent="0.25">
      <c r="B82" t="s">
        <v>428</v>
      </c>
      <c r="C82" s="253">
        <v>0</v>
      </c>
      <c r="D82" s="253">
        <v>0</v>
      </c>
      <c r="E82" s="253">
        <v>0</v>
      </c>
      <c r="F82" s="253">
        <v>0</v>
      </c>
      <c r="G82" s="253">
        <v>0</v>
      </c>
      <c r="H82" s="254">
        <v>0</v>
      </c>
      <c r="I82" s="254">
        <v>0</v>
      </c>
      <c r="J82" s="254">
        <v>0</v>
      </c>
      <c r="K82" s="254">
        <v>0</v>
      </c>
      <c r="L82" s="254">
        <v>0</v>
      </c>
      <c r="M82" s="254">
        <v>0</v>
      </c>
      <c r="N82" s="254">
        <v>0</v>
      </c>
      <c r="O82" s="254">
        <v>0</v>
      </c>
      <c r="P82" s="254">
        <v>0</v>
      </c>
      <c r="Q82" s="254">
        <v>0</v>
      </c>
    </row>
    <row r="83" spans="2:17" x14ac:dyDescent="0.25">
      <c r="B83" t="s">
        <v>418</v>
      </c>
      <c r="C83" s="253">
        <v>0</v>
      </c>
      <c r="D83" s="253">
        <v>0</v>
      </c>
      <c r="E83" s="253">
        <v>0</v>
      </c>
      <c r="F83" s="253">
        <v>0</v>
      </c>
      <c r="G83" s="253">
        <v>0</v>
      </c>
      <c r="H83" s="254">
        <v>0</v>
      </c>
      <c r="I83" s="254">
        <v>0</v>
      </c>
      <c r="J83" s="254">
        <v>0</v>
      </c>
      <c r="K83" s="254">
        <v>0</v>
      </c>
      <c r="L83" s="254">
        <v>0</v>
      </c>
      <c r="M83" s="254">
        <v>0</v>
      </c>
      <c r="N83" s="254">
        <v>0</v>
      </c>
      <c r="O83" s="254">
        <v>0</v>
      </c>
      <c r="P83" s="254">
        <v>0</v>
      </c>
      <c r="Q83" s="254">
        <v>0</v>
      </c>
    </row>
    <row r="84" spans="2:17" x14ac:dyDescent="0.25">
      <c r="B84" s="8" t="s">
        <v>199</v>
      </c>
      <c r="C84" s="255">
        <f>SUM(C79:C83)</f>
        <v>98</v>
      </c>
      <c r="D84" s="255">
        <f t="shared" ref="D84:Q84" si="26">SUM(D79:D83)</f>
        <v>116</v>
      </c>
      <c r="E84" s="255">
        <f t="shared" si="26"/>
        <v>138</v>
      </c>
      <c r="F84" s="255">
        <f t="shared" si="26"/>
        <v>195</v>
      </c>
      <c r="G84" s="255">
        <v>289</v>
      </c>
      <c r="H84" s="256">
        <f t="shared" si="26"/>
        <v>331.4</v>
      </c>
      <c r="I84" s="256">
        <f t="shared" si="26"/>
        <v>374.01199999999994</v>
      </c>
      <c r="J84" s="256">
        <f t="shared" si="26"/>
        <v>416.83705999999995</v>
      </c>
      <c r="K84" s="256">
        <f t="shared" si="26"/>
        <v>459.87624529999994</v>
      </c>
      <c r="L84" s="256">
        <f t="shared" si="26"/>
        <v>503.1306265264999</v>
      </c>
      <c r="M84" s="256">
        <f t="shared" si="26"/>
        <v>546.60127965913239</v>
      </c>
      <c r="N84" s="256">
        <f t="shared" si="26"/>
        <v>590.28928605742806</v>
      </c>
      <c r="O84" s="256">
        <f t="shared" si="26"/>
        <v>634.19573248771519</v>
      </c>
      <c r="P84" s="256">
        <f t="shared" si="26"/>
        <v>678.32171115015376</v>
      </c>
      <c r="Q84" s="256">
        <f t="shared" si="26"/>
        <v>722.66831970590442</v>
      </c>
    </row>
    <row r="85" spans="2:17" x14ac:dyDescent="0.25">
      <c r="C85" s="253"/>
      <c r="D85" s="253"/>
      <c r="E85" s="253"/>
      <c r="F85" s="253"/>
      <c r="G85" s="253"/>
    </row>
    <row r="86" spans="2:17" x14ac:dyDescent="0.25">
      <c r="B86" s="8" t="s">
        <v>422</v>
      </c>
      <c r="C86" s="255">
        <f>C78-C84</f>
        <v>36</v>
      </c>
      <c r="D86" s="255">
        <f t="shared" ref="D86:Q86" si="27">D78-D84</f>
        <v>28</v>
      </c>
      <c r="E86" s="255">
        <f t="shared" si="27"/>
        <v>138</v>
      </c>
      <c r="F86" s="255">
        <f t="shared" si="27"/>
        <v>367</v>
      </c>
      <c r="G86" s="255">
        <f t="shared" si="27"/>
        <v>418</v>
      </c>
      <c r="H86" s="256">
        <f t="shared" si="27"/>
        <v>444.6</v>
      </c>
      <c r="I86" s="256">
        <f t="shared" si="27"/>
        <v>471.33300000000008</v>
      </c>
      <c r="J86" s="256">
        <f t="shared" si="27"/>
        <v>498.1996650000001</v>
      </c>
      <c r="K86" s="256">
        <f t="shared" si="27"/>
        <v>525.20066332500005</v>
      </c>
      <c r="L86" s="256">
        <f t="shared" si="27"/>
        <v>552.33666664162513</v>
      </c>
      <c r="M86" s="256">
        <f t="shared" si="27"/>
        <v>579.60834997483312</v>
      </c>
      <c r="N86" s="256">
        <f t="shared" si="27"/>
        <v>607.0163917247072</v>
      </c>
      <c r="O86" s="256">
        <f t="shared" si="27"/>
        <v>634.56147368333075</v>
      </c>
      <c r="P86" s="256">
        <f t="shared" si="27"/>
        <v>662.24428105174729</v>
      </c>
      <c r="Q86" s="256">
        <f t="shared" si="27"/>
        <v>690.065502457006</v>
      </c>
    </row>
    <row r="87" spans="2:17" x14ac:dyDescent="0.25">
      <c r="C87" s="253"/>
      <c r="D87" s="253"/>
      <c r="E87" s="253"/>
      <c r="F87" s="253"/>
      <c r="G87" s="253"/>
    </row>
    <row r="88" spans="2:17" x14ac:dyDescent="0.25">
      <c r="C88" s="253"/>
      <c r="D88" s="253"/>
      <c r="E88" s="253"/>
      <c r="F88" s="253"/>
      <c r="G88" s="253"/>
    </row>
    <row r="89" spans="2:17" x14ac:dyDescent="0.25">
      <c r="B89" s="1" t="s">
        <v>424</v>
      </c>
      <c r="C89" s="253"/>
      <c r="D89" s="253"/>
      <c r="E89" s="253"/>
      <c r="F89" s="253"/>
      <c r="G89" s="253"/>
    </row>
    <row r="90" spans="2:17" x14ac:dyDescent="0.25">
      <c r="B90" s="1" t="s">
        <v>416</v>
      </c>
      <c r="C90" s="249">
        <v>24</v>
      </c>
      <c r="D90" s="249">
        <f>C97</f>
        <v>25</v>
      </c>
      <c r="E90" s="249">
        <f t="shared" ref="E90:G90" si="28">D97</f>
        <v>25</v>
      </c>
      <c r="F90" s="249">
        <f t="shared" si="28"/>
        <v>79</v>
      </c>
      <c r="G90" s="249">
        <f t="shared" si="28"/>
        <v>215</v>
      </c>
      <c r="H90" s="250">
        <f>G97</f>
        <v>264</v>
      </c>
      <c r="I90" s="250">
        <f t="shared" ref="I90:Q90" si="29">H97</f>
        <v>276.60000000000002</v>
      </c>
      <c r="J90" s="250">
        <f t="shared" si="29"/>
        <v>289.26300000000003</v>
      </c>
      <c r="K90" s="250">
        <f t="shared" si="29"/>
        <v>301.98931500000003</v>
      </c>
      <c r="L90" s="250">
        <f t="shared" si="29"/>
        <v>314.77926157500002</v>
      </c>
      <c r="M90" s="250">
        <f t="shared" si="29"/>
        <v>327.63315788287503</v>
      </c>
      <c r="N90" s="250">
        <f t="shared" si="29"/>
        <v>340.55132367228941</v>
      </c>
      <c r="O90" s="250">
        <f t="shared" si="29"/>
        <v>353.53408029065088</v>
      </c>
      <c r="P90" s="250">
        <f t="shared" si="29"/>
        <v>366.58175069210409</v>
      </c>
      <c r="Q90" s="250">
        <f t="shared" si="29"/>
        <v>379.69465944556458</v>
      </c>
    </row>
    <row r="91" spans="2:17" x14ac:dyDescent="0.25">
      <c r="B91" s="9" t="s">
        <v>100</v>
      </c>
      <c r="C91" s="251">
        <v>0</v>
      </c>
      <c r="D91" s="251">
        <v>0</v>
      </c>
      <c r="E91" s="251">
        <v>5</v>
      </c>
      <c r="F91" s="251">
        <v>0</v>
      </c>
      <c r="G91" s="251">
        <v>19</v>
      </c>
      <c r="H91" s="254">
        <v>0</v>
      </c>
      <c r="I91" s="254">
        <v>0</v>
      </c>
      <c r="J91" s="254">
        <v>0</v>
      </c>
      <c r="K91" s="254">
        <v>0</v>
      </c>
      <c r="L91" s="254">
        <v>0</v>
      </c>
      <c r="M91" s="254">
        <v>0</v>
      </c>
      <c r="N91" s="254">
        <v>0</v>
      </c>
      <c r="O91" s="254">
        <v>0</v>
      </c>
      <c r="P91" s="254">
        <v>0</v>
      </c>
      <c r="Q91" s="254">
        <v>0</v>
      </c>
    </row>
    <row r="92" spans="2:17" x14ac:dyDescent="0.25">
      <c r="B92" t="s">
        <v>415</v>
      </c>
      <c r="C92" s="253">
        <v>2</v>
      </c>
      <c r="D92" s="253">
        <v>0</v>
      </c>
      <c r="E92" s="253">
        <v>50</v>
      </c>
      <c r="F92" s="253">
        <v>3</v>
      </c>
      <c r="G92" s="253">
        <v>8</v>
      </c>
      <c r="H92" s="254">
        <f>AVERAGE(C92:G92)</f>
        <v>12.6</v>
      </c>
      <c r="I92" s="254">
        <f>H92*(1+Assumption!$C$14)</f>
        <v>12.662999999999998</v>
      </c>
      <c r="J92" s="254">
        <f>I92*(1+Assumption!$C$14)</f>
        <v>12.726314999999998</v>
      </c>
      <c r="K92" s="254">
        <f>J92*(1+Assumption!$C$14)</f>
        <v>12.789946574999997</v>
      </c>
      <c r="L92" s="254">
        <f>K92*(1+Assumption!$C$14)</f>
        <v>12.853896307874995</v>
      </c>
      <c r="M92" s="254">
        <f>L92*(1+Assumption!$C$14)</f>
        <v>12.918165789414369</v>
      </c>
      <c r="N92" s="254">
        <f>M92*(1+Assumption!$C$14)</f>
        <v>12.982756618361439</v>
      </c>
      <c r="O92" s="254">
        <f>N92*(1+Assumption!$C$14)</f>
        <v>13.047670401453244</v>
      </c>
      <c r="P92" s="254">
        <f>O92*(1+Assumption!$C$14)</f>
        <v>13.112908753460509</v>
      </c>
      <c r="Q92" s="254">
        <f>P92*(1+Assumption!$C$14)</f>
        <v>13.178473297227811</v>
      </c>
    </row>
    <row r="93" spans="2:17" x14ac:dyDescent="0.25">
      <c r="B93" t="s">
        <v>438</v>
      </c>
      <c r="C93" s="253">
        <v>0</v>
      </c>
      <c r="D93" s="253">
        <v>0</v>
      </c>
      <c r="E93" s="253">
        <v>0</v>
      </c>
      <c r="F93" s="253">
        <v>133</v>
      </c>
      <c r="G93" s="253">
        <v>22</v>
      </c>
      <c r="H93" s="254">
        <v>0</v>
      </c>
      <c r="I93" s="254">
        <v>0</v>
      </c>
      <c r="J93" s="254">
        <v>0</v>
      </c>
      <c r="K93" s="254">
        <v>0</v>
      </c>
      <c r="L93" s="254">
        <v>0</v>
      </c>
      <c r="M93" s="254">
        <v>0</v>
      </c>
      <c r="N93" s="254">
        <v>0</v>
      </c>
      <c r="O93" s="254">
        <v>0</v>
      </c>
      <c r="P93" s="254">
        <v>0</v>
      </c>
      <c r="Q93" s="254">
        <v>0</v>
      </c>
    </row>
    <row r="94" spans="2:17" x14ac:dyDescent="0.25">
      <c r="B94" t="s">
        <v>417</v>
      </c>
      <c r="C94" s="253">
        <v>0</v>
      </c>
      <c r="D94" s="253">
        <v>0</v>
      </c>
      <c r="E94" s="253">
        <v>-1</v>
      </c>
      <c r="F94" s="253">
        <v>0</v>
      </c>
      <c r="G94" s="253">
        <v>0</v>
      </c>
      <c r="H94" s="254">
        <v>0</v>
      </c>
      <c r="I94" s="254">
        <v>0</v>
      </c>
      <c r="J94" s="254">
        <v>0</v>
      </c>
      <c r="K94" s="254">
        <v>0</v>
      </c>
      <c r="L94" s="254">
        <v>0</v>
      </c>
      <c r="M94" s="254">
        <v>0</v>
      </c>
      <c r="N94" s="254">
        <v>0</v>
      </c>
      <c r="O94" s="254">
        <v>0</v>
      </c>
      <c r="P94" s="254">
        <v>0</v>
      </c>
      <c r="Q94" s="254">
        <v>0</v>
      </c>
    </row>
    <row r="95" spans="2:17" x14ac:dyDescent="0.25">
      <c r="B95" t="s">
        <v>418</v>
      </c>
      <c r="C95" s="253">
        <v>-1</v>
      </c>
      <c r="D95" s="253">
        <v>0</v>
      </c>
      <c r="E95" s="253">
        <v>0</v>
      </c>
      <c r="F95" s="253">
        <v>0</v>
      </c>
      <c r="G95" s="253">
        <v>0</v>
      </c>
      <c r="H95" s="254">
        <v>0</v>
      </c>
      <c r="I95" s="254">
        <v>0</v>
      </c>
      <c r="J95" s="254">
        <v>0</v>
      </c>
      <c r="K95" s="254">
        <v>0</v>
      </c>
      <c r="L95" s="254">
        <v>0</v>
      </c>
      <c r="M95" s="254">
        <v>0</v>
      </c>
      <c r="N95" s="254">
        <v>0</v>
      </c>
      <c r="O95" s="254">
        <v>0</v>
      </c>
      <c r="P95" s="254">
        <v>0</v>
      </c>
      <c r="Q95" s="254">
        <v>0</v>
      </c>
    </row>
    <row r="96" spans="2:17" x14ac:dyDescent="0.25">
      <c r="B96" t="s">
        <v>428</v>
      </c>
      <c r="C96" s="253">
        <v>0</v>
      </c>
      <c r="D96" s="253">
        <v>0</v>
      </c>
      <c r="E96" s="253">
        <v>0</v>
      </c>
      <c r="F96" s="253">
        <v>0</v>
      </c>
      <c r="G96" s="253">
        <v>0</v>
      </c>
      <c r="H96" s="254">
        <v>0</v>
      </c>
      <c r="I96" s="254">
        <v>0</v>
      </c>
      <c r="J96" s="254">
        <v>0</v>
      </c>
      <c r="K96" s="254">
        <v>0</v>
      </c>
      <c r="L96" s="254">
        <v>0</v>
      </c>
      <c r="M96" s="254">
        <v>0</v>
      </c>
      <c r="N96" s="254">
        <v>0</v>
      </c>
      <c r="O96" s="254">
        <v>0</v>
      </c>
      <c r="P96" s="254">
        <v>0</v>
      </c>
      <c r="Q96" s="254">
        <v>0</v>
      </c>
    </row>
    <row r="97" spans="2:17" x14ac:dyDescent="0.25">
      <c r="B97" s="8" t="s">
        <v>419</v>
      </c>
      <c r="C97" s="255">
        <f>SUM(C90:C95)</f>
        <v>25</v>
      </c>
      <c r="D97" s="255">
        <f t="shared" ref="D97:Q97" si="30">SUM(D90:D95)</f>
        <v>25</v>
      </c>
      <c r="E97" s="255">
        <f t="shared" si="30"/>
        <v>79</v>
      </c>
      <c r="F97" s="255">
        <f t="shared" si="30"/>
        <v>215</v>
      </c>
      <c r="G97" s="255">
        <f t="shared" si="30"/>
        <v>264</v>
      </c>
      <c r="H97" s="256">
        <f t="shared" si="30"/>
        <v>276.60000000000002</v>
      </c>
      <c r="I97" s="256">
        <f t="shared" si="30"/>
        <v>289.26300000000003</v>
      </c>
      <c r="J97" s="256">
        <f t="shared" si="30"/>
        <v>301.98931500000003</v>
      </c>
      <c r="K97" s="256">
        <f t="shared" si="30"/>
        <v>314.77926157500002</v>
      </c>
      <c r="L97" s="256">
        <f t="shared" si="30"/>
        <v>327.63315788287503</v>
      </c>
      <c r="M97" s="256">
        <f t="shared" si="30"/>
        <v>340.55132367228941</v>
      </c>
      <c r="N97" s="256">
        <f t="shared" si="30"/>
        <v>353.53408029065088</v>
      </c>
      <c r="O97" s="256">
        <f t="shared" si="30"/>
        <v>366.58175069210409</v>
      </c>
      <c r="P97" s="256">
        <f t="shared" si="30"/>
        <v>379.69465944556458</v>
      </c>
      <c r="Q97" s="256">
        <f t="shared" si="30"/>
        <v>392.87313274279239</v>
      </c>
    </row>
    <row r="98" spans="2:17" x14ac:dyDescent="0.25">
      <c r="B98" s="2" t="s">
        <v>420</v>
      </c>
      <c r="C98" s="253">
        <v>16</v>
      </c>
      <c r="D98" s="253">
        <f>C103</f>
        <v>24</v>
      </c>
      <c r="E98" s="253">
        <f t="shared" ref="E98:G98" si="31">D103</f>
        <v>24</v>
      </c>
      <c r="F98" s="253">
        <f t="shared" si="31"/>
        <v>29</v>
      </c>
      <c r="G98" s="253">
        <f t="shared" si="31"/>
        <v>54</v>
      </c>
      <c r="H98" s="254">
        <f>G103</f>
        <v>99</v>
      </c>
      <c r="I98" s="254">
        <f t="shared" ref="I98:Q98" si="32">H103</f>
        <v>116</v>
      </c>
      <c r="J98" s="254">
        <f t="shared" si="32"/>
        <v>133.08500000000001</v>
      </c>
      <c r="K98" s="254">
        <f t="shared" si="32"/>
        <v>150.255425</v>
      </c>
      <c r="L98" s="254">
        <f t="shared" si="32"/>
        <v>167.511702125</v>
      </c>
      <c r="M98" s="254">
        <f t="shared" si="32"/>
        <v>184.854260635625</v>
      </c>
      <c r="N98" s="254">
        <f t="shared" si="32"/>
        <v>202.28353193880309</v>
      </c>
      <c r="O98" s="254">
        <f t="shared" si="32"/>
        <v>219.79994959849711</v>
      </c>
      <c r="P98" s="254">
        <f t="shared" si="32"/>
        <v>237.40394934648958</v>
      </c>
      <c r="Q98" s="254">
        <f t="shared" si="32"/>
        <v>255.09596909322201</v>
      </c>
    </row>
    <row r="99" spans="2:17" x14ac:dyDescent="0.25">
      <c r="B99" s="2" t="s">
        <v>421</v>
      </c>
      <c r="C99" s="253">
        <v>9</v>
      </c>
      <c r="D99" s="253">
        <v>0</v>
      </c>
      <c r="E99" s="253">
        <v>6</v>
      </c>
      <c r="F99" s="253">
        <v>25</v>
      </c>
      <c r="G99" s="253">
        <v>45</v>
      </c>
      <c r="H99" s="254">
        <f>AVERAGE(C99:G99)</f>
        <v>17</v>
      </c>
      <c r="I99" s="254">
        <f>H99*(1+Assumption!$C$16)</f>
        <v>17.084999999999997</v>
      </c>
      <c r="J99" s="254">
        <f>I99*(1+Assumption!$C$16)</f>
        <v>17.170424999999994</v>
      </c>
      <c r="K99" s="254">
        <f>J99*(1+Assumption!$C$16)</f>
        <v>17.256277124999993</v>
      </c>
      <c r="L99" s="254">
        <f>K99*(1+Assumption!$C$16)</f>
        <v>17.34255851062499</v>
      </c>
      <c r="M99" s="254">
        <f>L99*(1+Assumption!$C$16)</f>
        <v>17.429271303178112</v>
      </c>
      <c r="N99" s="254">
        <f>M99*(1+Assumption!$C$16)</f>
        <v>17.516417659694</v>
      </c>
      <c r="O99" s="254">
        <f>N99*(1+Assumption!$C$16)</f>
        <v>17.603999747992468</v>
      </c>
      <c r="P99" s="254">
        <f>O99*(1+Assumption!$C$16)</f>
        <v>17.692019746732427</v>
      </c>
      <c r="Q99" s="254">
        <f>P99*(1+Assumption!$C$16)</f>
        <v>17.780479845466086</v>
      </c>
    </row>
    <row r="100" spans="2:17" x14ac:dyDescent="0.25">
      <c r="B100" s="2" t="s">
        <v>417</v>
      </c>
      <c r="C100" s="253">
        <v>0</v>
      </c>
      <c r="D100" s="253">
        <v>0</v>
      </c>
      <c r="E100" s="253">
        <v>-1</v>
      </c>
      <c r="F100" s="253">
        <v>0</v>
      </c>
      <c r="G100" s="253">
        <v>0</v>
      </c>
      <c r="H100" s="254">
        <v>0</v>
      </c>
      <c r="I100" s="254">
        <v>0</v>
      </c>
      <c r="J100" s="254">
        <v>0</v>
      </c>
      <c r="K100" s="254">
        <v>0</v>
      </c>
      <c r="L100" s="254">
        <v>0</v>
      </c>
      <c r="M100" s="254">
        <v>0</v>
      </c>
      <c r="N100" s="254">
        <v>0</v>
      </c>
      <c r="O100" s="254">
        <v>0</v>
      </c>
      <c r="P100" s="254">
        <v>0</v>
      </c>
      <c r="Q100" s="254">
        <v>0</v>
      </c>
    </row>
    <row r="101" spans="2:17" x14ac:dyDescent="0.25">
      <c r="B101" t="s">
        <v>428</v>
      </c>
      <c r="C101" s="253">
        <v>0</v>
      </c>
      <c r="D101" s="253">
        <v>0</v>
      </c>
      <c r="E101" s="253">
        <v>0</v>
      </c>
      <c r="F101" s="253">
        <v>0</v>
      </c>
      <c r="G101" s="253">
        <v>0</v>
      </c>
      <c r="H101" s="254">
        <v>0</v>
      </c>
      <c r="I101" s="254">
        <v>0</v>
      </c>
      <c r="J101" s="254">
        <v>0</v>
      </c>
      <c r="K101" s="254">
        <v>0</v>
      </c>
      <c r="L101" s="254">
        <v>0</v>
      </c>
      <c r="M101" s="254">
        <v>0</v>
      </c>
      <c r="N101" s="254">
        <v>0</v>
      </c>
      <c r="O101" s="254">
        <v>0</v>
      </c>
      <c r="P101" s="254">
        <v>0</v>
      </c>
      <c r="Q101" s="254">
        <v>0</v>
      </c>
    </row>
    <row r="102" spans="2:17" x14ac:dyDescent="0.25">
      <c r="B102" t="s">
        <v>418</v>
      </c>
      <c r="C102" s="253">
        <v>-1</v>
      </c>
      <c r="D102" s="253">
        <v>0</v>
      </c>
      <c r="E102" s="253">
        <v>0</v>
      </c>
      <c r="F102" s="253">
        <v>0</v>
      </c>
      <c r="G102" s="253">
        <v>0</v>
      </c>
      <c r="H102" s="254">
        <v>0</v>
      </c>
      <c r="I102" s="254">
        <v>0</v>
      </c>
      <c r="J102" s="254">
        <v>0</v>
      </c>
      <c r="K102" s="254">
        <v>0</v>
      </c>
      <c r="L102" s="254">
        <v>0</v>
      </c>
      <c r="M102" s="254">
        <v>0</v>
      </c>
      <c r="N102" s="254">
        <v>0</v>
      </c>
      <c r="O102" s="254">
        <v>0</v>
      </c>
      <c r="P102" s="254">
        <v>0</v>
      </c>
      <c r="Q102" s="254">
        <v>0</v>
      </c>
    </row>
    <row r="103" spans="2:17" x14ac:dyDescent="0.25">
      <c r="B103" s="8" t="s">
        <v>199</v>
      </c>
      <c r="C103" s="255">
        <f>SUM(C98:C102)</f>
        <v>24</v>
      </c>
      <c r="D103" s="255">
        <f t="shared" ref="D103:Q103" si="33">SUM(D98:D102)</f>
        <v>24</v>
      </c>
      <c r="E103" s="255">
        <f t="shared" si="33"/>
        <v>29</v>
      </c>
      <c r="F103" s="255">
        <f t="shared" si="33"/>
        <v>54</v>
      </c>
      <c r="G103" s="255">
        <f t="shared" si="33"/>
        <v>99</v>
      </c>
      <c r="H103" s="256">
        <f t="shared" si="33"/>
        <v>116</v>
      </c>
      <c r="I103" s="256">
        <f t="shared" si="33"/>
        <v>133.08500000000001</v>
      </c>
      <c r="J103" s="256">
        <f t="shared" si="33"/>
        <v>150.255425</v>
      </c>
      <c r="K103" s="256">
        <f t="shared" si="33"/>
        <v>167.511702125</v>
      </c>
      <c r="L103" s="256">
        <f t="shared" si="33"/>
        <v>184.854260635625</v>
      </c>
      <c r="M103" s="256">
        <f t="shared" si="33"/>
        <v>202.28353193880309</v>
      </c>
      <c r="N103" s="256">
        <f t="shared" si="33"/>
        <v>219.79994959849711</v>
      </c>
      <c r="O103" s="256">
        <f t="shared" si="33"/>
        <v>237.40394934648958</v>
      </c>
      <c r="P103" s="256">
        <f t="shared" si="33"/>
        <v>255.09596909322201</v>
      </c>
      <c r="Q103" s="256">
        <f t="shared" si="33"/>
        <v>272.8764489386881</v>
      </c>
    </row>
    <row r="104" spans="2:17" x14ac:dyDescent="0.25">
      <c r="C104" s="253"/>
      <c r="D104" s="253"/>
      <c r="E104" s="253"/>
      <c r="F104" s="253"/>
      <c r="G104" s="253"/>
    </row>
    <row r="105" spans="2:17" x14ac:dyDescent="0.25">
      <c r="B105" s="8" t="s">
        <v>422</v>
      </c>
      <c r="C105" s="255">
        <f>C97-C103</f>
        <v>1</v>
      </c>
      <c r="D105" s="255">
        <f>D97-D103</f>
        <v>1</v>
      </c>
      <c r="E105" s="255">
        <f t="shared" ref="E105:Q105" si="34">E97-E103</f>
        <v>50</v>
      </c>
      <c r="F105" s="255">
        <f t="shared" si="34"/>
        <v>161</v>
      </c>
      <c r="G105" s="255">
        <f t="shared" si="34"/>
        <v>165</v>
      </c>
      <c r="H105" s="256">
        <f t="shared" si="34"/>
        <v>160.60000000000002</v>
      </c>
      <c r="I105" s="256">
        <f t="shared" si="34"/>
        <v>156.17800000000003</v>
      </c>
      <c r="J105" s="256">
        <f t="shared" si="34"/>
        <v>151.73389000000003</v>
      </c>
      <c r="K105" s="256">
        <f t="shared" si="34"/>
        <v>147.26755945000002</v>
      </c>
      <c r="L105" s="256">
        <f t="shared" si="34"/>
        <v>142.77889724725003</v>
      </c>
      <c r="M105" s="256">
        <f t="shared" si="34"/>
        <v>138.26779173348632</v>
      </c>
      <c r="N105" s="256">
        <f t="shared" si="34"/>
        <v>133.73413069215377</v>
      </c>
      <c r="O105" s="256">
        <f t="shared" si="34"/>
        <v>129.17780134561451</v>
      </c>
      <c r="P105" s="256">
        <f t="shared" si="34"/>
        <v>124.59869035234257</v>
      </c>
      <c r="Q105" s="256">
        <f t="shared" si="34"/>
        <v>119.99668380410429</v>
      </c>
    </row>
    <row r="106" spans="2:17" x14ac:dyDescent="0.25">
      <c r="B106" s="1"/>
      <c r="C106" s="253"/>
      <c r="D106" s="253"/>
      <c r="E106" s="253"/>
      <c r="F106" s="253"/>
      <c r="G106" s="253"/>
    </row>
    <row r="107" spans="2:17" x14ac:dyDescent="0.25">
      <c r="C107" s="253"/>
      <c r="D107" s="253"/>
      <c r="E107" s="253"/>
      <c r="F107" s="253"/>
      <c r="G107" s="253"/>
    </row>
    <row r="108" spans="2:17" x14ac:dyDescent="0.25">
      <c r="B108" s="1" t="s">
        <v>442</v>
      </c>
      <c r="C108" s="253"/>
      <c r="D108" s="253"/>
      <c r="E108" s="253"/>
      <c r="F108" s="253"/>
      <c r="G108" s="253"/>
    </row>
    <row r="109" spans="2:17" x14ac:dyDescent="0.25">
      <c r="B109" s="1" t="s">
        <v>416</v>
      </c>
      <c r="C109" s="265"/>
      <c r="D109" s="265"/>
      <c r="E109" s="265"/>
      <c r="F109" s="265">
        <f>E116</f>
        <v>33</v>
      </c>
      <c r="G109" s="265">
        <f t="shared" ref="G109" si="35">F116</f>
        <v>29</v>
      </c>
      <c r="H109" s="258">
        <f>G116</f>
        <v>38</v>
      </c>
      <c r="I109" s="258">
        <f t="shared" ref="I109:Q109" si="36">H116</f>
        <v>38</v>
      </c>
      <c r="J109" s="258">
        <f t="shared" si="36"/>
        <v>38</v>
      </c>
      <c r="K109" s="258">
        <f t="shared" si="36"/>
        <v>38</v>
      </c>
      <c r="L109" s="258">
        <f t="shared" si="36"/>
        <v>38</v>
      </c>
      <c r="M109" s="258">
        <f t="shared" si="36"/>
        <v>38</v>
      </c>
      <c r="N109" s="258">
        <f t="shared" si="36"/>
        <v>38</v>
      </c>
      <c r="O109" s="258">
        <f t="shared" si="36"/>
        <v>38</v>
      </c>
      <c r="P109" s="258">
        <f t="shared" si="36"/>
        <v>38</v>
      </c>
      <c r="Q109" s="258">
        <f t="shared" si="36"/>
        <v>38</v>
      </c>
    </row>
    <row r="110" spans="2:17" x14ac:dyDescent="0.25">
      <c r="B110" s="9" t="s">
        <v>100</v>
      </c>
      <c r="C110" s="253">
        <v>0</v>
      </c>
      <c r="D110" s="253">
        <v>0</v>
      </c>
      <c r="E110" s="266">
        <v>33</v>
      </c>
      <c r="F110" s="266">
        <v>0</v>
      </c>
      <c r="G110" s="266">
        <v>22</v>
      </c>
      <c r="H110" s="254">
        <v>0</v>
      </c>
      <c r="I110" s="254">
        <v>0</v>
      </c>
      <c r="J110" s="254">
        <v>0</v>
      </c>
      <c r="K110" s="254">
        <v>0</v>
      </c>
      <c r="L110" s="254">
        <v>0</v>
      </c>
      <c r="M110" s="254">
        <v>0</v>
      </c>
      <c r="N110" s="254">
        <v>0</v>
      </c>
      <c r="O110" s="254">
        <v>0</v>
      </c>
      <c r="P110" s="254">
        <v>0</v>
      </c>
      <c r="Q110" s="254">
        <v>0</v>
      </c>
    </row>
    <row r="111" spans="2:17" x14ac:dyDescent="0.25">
      <c r="B111" t="s">
        <v>415</v>
      </c>
      <c r="C111" s="253">
        <v>0</v>
      </c>
      <c r="D111" s="253">
        <v>0</v>
      </c>
      <c r="E111" s="253">
        <v>0</v>
      </c>
      <c r="F111" s="253">
        <v>0</v>
      </c>
      <c r="G111" s="253">
        <v>0</v>
      </c>
      <c r="H111" s="254">
        <f>AVERAGE(C111:G111)</f>
        <v>0</v>
      </c>
      <c r="I111" s="254">
        <f>H111*(1+Assumption!$C$14)</f>
        <v>0</v>
      </c>
      <c r="J111" s="254">
        <f>I111*(1+Assumption!$C$14)</f>
        <v>0</v>
      </c>
      <c r="K111" s="254">
        <f>J111*(1+Assumption!$C$14)</f>
        <v>0</v>
      </c>
      <c r="L111" s="254">
        <f>K111*(1+Assumption!$C$14)</f>
        <v>0</v>
      </c>
      <c r="M111" s="254">
        <f>L111*(1+Assumption!$C$14)</f>
        <v>0</v>
      </c>
      <c r="N111" s="254">
        <f>M111*(1+Assumption!$C$14)</f>
        <v>0</v>
      </c>
      <c r="O111" s="254">
        <f>N111*(1+Assumption!$C$14)</f>
        <v>0</v>
      </c>
      <c r="P111" s="254">
        <f>O111*(1+Assumption!$C$14)</f>
        <v>0</v>
      </c>
      <c r="Q111" s="254">
        <f>P111*(1+Assumption!$C$14)</f>
        <v>0</v>
      </c>
    </row>
    <row r="112" spans="2:17" x14ac:dyDescent="0.25">
      <c r="B112" t="s">
        <v>438</v>
      </c>
      <c r="C112" s="253">
        <v>0</v>
      </c>
      <c r="D112" s="253">
        <v>0</v>
      </c>
      <c r="E112" s="253">
        <v>0</v>
      </c>
      <c r="F112" s="253">
        <v>0</v>
      </c>
      <c r="G112" s="253">
        <v>0</v>
      </c>
      <c r="H112" s="254">
        <v>0</v>
      </c>
      <c r="I112" s="254">
        <v>0</v>
      </c>
      <c r="J112" s="254">
        <v>0</v>
      </c>
      <c r="K112" s="254">
        <v>0</v>
      </c>
      <c r="L112" s="254">
        <v>0</v>
      </c>
      <c r="M112" s="254">
        <v>0</v>
      </c>
      <c r="N112" s="254">
        <v>0</v>
      </c>
      <c r="O112" s="254">
        <v>0</v>
      </c>
      <c r="P112" s="254">
        <v>0</v>
      </c>
      <c r="Q112" s="254">
        <v>0</v>
      </c>
    </row>
    <row r="113" spans="2:17" x14ac:dyDescent="0.25">
      <c r="B113" t="s">
        <v>417</v>
      </c>
      <c r="C113" s="253">
        <v>0</v>
      </c>
      <c r="D113" s="253">
        <v>0</v>
      </c>
      <c r="E113" s="253">
        <v>0</v>
      </c>
      <c r="F113" s="253">
        <v>-4</v>
      </c>
      <c r="G113" s="253">
        <v>-14</v>
      </c>
      <c r="H113" s="254">
        <v>0</v>
      </c>
      <c r="I113" s="254">
        <v>0</v>
      </c>
      <c r="J113" s="254">
        <v>0</v>
      </c>
      <c r="K113" s="254">
        <v>0</v>
      </c>
      <c r="L113" s="254">
        <v>0</v>
      </c>
      <c r="M113" s="254">
        <v>0</v>
      </c>
      <c r="N113" s="254">
        <v>0</v>
      </c>
      <c r="O113" s="254">
        <v>0</v>
      </c>
      <c r="P113" s="254">
        <v>0</v>
      </c>
      <c r="Q113" s="254">
        <v>0</v>
      </c>
    </row>
    <row r="114" spans="2:17" x14ac:dyDescent="0.25">
      <c r="B114" t="s">
        <v>418</v>
      </c>
      <c r="C114" s="253">
        <v>0</v>
      </c>
      <c r="D114" s="253">
        <v>0</v>
      </c>
      <c r="E114" s="253">
        <v>0</v>
      </c>
      <c r="F114" s="253">
        <v>0</v>
      </c>
      <c r="G114" s="253">
        <v>0</v>
      </c>
      <c r="H114" s="254">
        <v>0</v>
      </c>
      <c r="I114" s="254">
        <v>0</v>
      </c>
      <c r="J114" s="254">
        <v>0</v>
      </c>
      <c r="K114" s="254">
        <v>0</v>
      </c>
      <c r="L114" s="254">
        <v>0</v>
      </c>
      <c r="M114" s="254">
        <v>0</v>
      </c>
      <c r="N114" s="254">
        <v>0</v>
      </c>
      <c r="O114" s="254">
        <v>0</v>
      </c>
      <c r="P114" s="254">
        <v>0</v>
      </c>
      <c r="Q114" s="254">
        <v>0</v>
      </c>
    </row>
    <row r="115" spans="2:17" x14ac:dyDescent="0.25">
      <c r="B115" t="s">
        <v>428</v>
      </c>
      <c r="C115" s="253">
        <v>0</v>
      </c>
      <c r="D115" s="253">
        <v>0</v>
      </c>
      <c r="E115" s="253">
        <v>0</v>
      </c>
      <c r="F115" s="253">
        <v>0</v>
      </c>
      <c r="G115" s="253">
        <v>0</v>
      </c>
      <c r="H115" s="254">
        <v>0</v>
      </c>
      <c r="I115" s="254">
        <v>0</v>
      </c>
      <c r="J115" s="254">
        <v>0</v>
      </c>
      <c r="K115" s="254">
        <v>0</v>
      </c>
      <c r="L115" s="254">
        <v>0</v>
      </c>
      <c r="M115" s="254">
        <v>0</v>
      </c>
      <c r="N115" s="254">
        <v>0</v>
      </c>
      <c r="O115" s="254">
        <v>0</v>
      </c>
      <c r="P115" s="254">
        <v>0</v>
      </c>
      <c r="Q115" s="254">
        <v>0</v>
      </c>
    </row>
    <row r="116" spans="2:17" x14ac:dyDescent="0.25">
      <c r="B116" s="8" t="s">
        <v>419</v>
      </c>
      <c r="C116" s="255">
        <f t="shared" ref="C116:D116" si="37">SUM(C109:C114)</f>
        <v>0</v>
      </c>
      <c r="D116" s="255">
        <f t="shared" si="37"/>
        <v>0</v>
      </c>
      <c r="E116" s="255">
        <f>SUM(E109:E114)</f>
        <v>33</v>
      </c>
      <c r="F116" s="255">
        <f t="shared" ref="F116:Q116" si="38">SUM(F109:F114)</f>
        <v>29</v>
      </c>
      <c r="G116" s="255">
        <v>38</v>
      </c>
      <c r="H116" s="256">
        <f t="shared" si="38"/>
        <v>38</v>
      </c>
      <c r="I116" s="256">
        <f t="shared" si="38"/>
        <v>38</v>
      </c>
      <c r="J116" s="256">
        <f t="shared" si="38"/>
        <v>38</v>
      </c>
      <c r="K116" s="256">
        <f t="shared" si="38"/>
        <v>38</v>
      </c>
      <c r="L116" s="256">
        <f t="shared" si="38"/>
        <v>38</v>
      </c>
      <c r="M116" s="256">
        <f t="shared" si="38"/>
        <v>38</v>
      </c>
      <c r="N116" s="256">
        <f t="shared" si="38"/>
        <v>38</v>
      </c>
      <c r="O116" s="256">
        <f t="shared" si="38"/>
        <v>38</v>
      </c>
      <c r="P116" s="256">
        <f t="shared" si="38"/>
        <v>38</v>
      </c>
      <c r="Q116" s="256">
        <f t="shared" si="38"/>
        <v>38</v>
      </c>
    </row>
    <row r="117" spans="2:17" x14ac:dyDescent="0.25">
      <c r="B117" s="2" t="s">
        <v>420</v>
      </c>
      <c r="C117" s="253">
        <v>0</v>
      </c>
      <c r="D117" s="253">
        <v>0</v>
      </c>
      <c r="E117" s="253">
        <v>0</v>
      </c>
      <c r="F117" s="253">
        <f>E122</f>
        <v>1</v>
      </c>
      <c r="G117" s="253">
        <f t="shared" ref="G117" si="39">F122</f>
        <v>9</v>
      </c>
      <c r="H117" s="254">
        <f>G124</f>
        <v>26</v>
      </c>
      <c r="I117" s="254">
        <f t="shared" ref="I117:Q117" si="40">H124</f>
        <v>7.6000000000000014</v>
      </c>
      <c r="J117" s="254">
        <f t="shared" si="40"/>
        <v>25.977999999999998</v>
      </c>
      <c r="K117" s="254">
        <f t="shared" si="40"/>
        <v>7.5778900000000036</v>
      </c>
      <c r="L117" s="254">
        <f t="shared" si="40"/>
        <v>25.955779449999998</v>
      </c>
      <c r="M117" s="254">
        <f t="shared" si="40"/>
        <v>7.5555583472500061</v>
      </c>
      <c r="N117" s="254">
        <f t="shared" si="40"/>
        <v>25.933336138986245</v>
      </c>
      <c r="O117" s="254">
        <f t="shared" si="40"/>
        <v>7.5330028196811867</v>
      </c>
      <c r="P117" s="254">
        <f t="shared" si="40"/>
        <v>25.910667833779584</v>
      </c>
      <c r="Q117" s="254">
        <f t="shared" si="40"/>
        <v>7.5102211729484907</v>
      </c>
    </row>
    <row r="118" spans="2:17" x14ac:dyDescent="0.25">
      <c r="B118" s="2" t="s">
        <v>421</v>
      </c>
      <c r="C118" s="253">
        <v>0</v>
      </c>
      <c r="D118" s="253">
        <v>0</v>
      </c>
      <c r="E118" s="253">
        <v>1</v>
      </c>
      <c r="F118" s="253">
        <v>8</v>
      </c>
      <c r="G118" s="253">
        <v>13</v>
      </c>
      <c r="H118" s="254">
        <f>AVERAGE(C118:G118)</f>
        <v>4.4000000000000004</v>
      </c>
      <c r="I118" s="254">
        <f>H118*(1+Assumption!$C$16)</f>
        <v>4.4219999999999997</v>
      </c>
      <c r="J118" s="254">
        <f>I118*(1+Assumption!$C$16)</f>
        <v>4.4441099999999993</v>
      </c>
      <c r="K118" s="254">
        <f>J118*(1+Assumption!$C$16)</f>
        <v>4.4663305499999986</v>
      </c>
      <c r="L118" s="254">
        <f>K118*(1+Assumption!$C$16)</f>
        <v>4.4886622027499978</v>
      </c>
      <c r="M118" s="254">
        <f>L118*(1+Assumption!$C$16)</f>
        <v>4.5111055137637477</v>
      </c>
      <c r="N118" s="254">
        <f>M118*(1+Assumption!$C$16)</f>
        <v>4.5336610413325662</v>
      </c>
      <c r="O118" s="254">
        <f>N118*(1+Assumption!$C$16)</f>
        <v>4.5563293465392283</v>
      </c>
      <c r="P118" s="254">
        <f>O118*(1+Assumption!$C$16)</f>
        <v>4.5791109932719243</v>
      </c>
      <c r="Q118" s="254">
        <f>P118*(1+Assumption!$C$16)</f>
        <v>4.6020065482382835</v>
      </c>
    </row>
    <row r="119" spans="2:17" x14ac:dyDescent="0.25">
      <c r="B119" s="2" t="s">
        <v>417</v>
      </c>
      <c r="C119" s="253">
        <v>0</v>
      </c>
      <c r="D119" s="253">
        <v>0</v>
      </c>
      <c r="E119" s="253">
        <v>0</v>
      </c>
      <c r="F119" s="253">
        <v>0</v>
      </c>
      <c r="G119" s="253">
        <v>-11</v>
      </c>
      <c r="H119" s="254">
        <v>0</v>
      </c>
      <c r="I119" s="254">
        <v>0</v>
      </c>
      <c r="J119" s="254">
        <v>0</v>
      </c>
      <c r="K119" s="254">
        <v>0</v>
      </c>
      <c r="L119" s="254">
        <v>0</v>
      </c>
      <c r="M119" s="254">
        <v>0</v>
      </c>
      <c r="N119" s="254">
        <v>0</v>
      </c>
      <c r="O119" s="254">
        <v>0</v>
      </c>
      <c r="P119" s="254">
        <v>0</v>
      </c>
      <c r="Q119" s="254">
        <v>0</v>
      </c>
    </row>
    <row r="120" spans="2:17" x14ac:dyDescent="0.25">
      <c r="B120" t="s">
        <v>428</v>
      </c>
      <c r="C120" s="253">
        <v>0</v>
      </c>
      <c r="D120" s="253">
        <v>0</v>
      </c>
      <c r="E120" s="253">
        <v>0</v>
      </c>
      <c r="F120" s="253">
        <v>0</v>
      </c>
      <c r="G120" s="253">
        <v>0</v>
      </c>
      <c r="H120" s="254">
        <v>0</v>
      </c>
      <c r="I120" s="254">
        <v>0</v>
      </c>
      <c r="J120" s="254">
        <v>0</v>
      </c>
      <c r="K120" s="254">
        <v>0</v>
      </c>
      <c r="L120" s="254">
        <v>0</v>
      </c>
      <c r="M120" s="254">
        <v>0</v>
      </c>
      <c r="N120" s="254">
        <v>0</v>
      </c>
      <c r="O120" s="254">
        <v>0</v>
      </c>
      <c r="P120" s="254">
        <v>0</v>
      </c>
      <c r="Q120" s="254">
        <v>0</v>
      </c>
    </row>
    <row r="121" spans="2:17" x14ac:dyDescent="0.25">
      <c r="B121" t="s">
        <v>418</v>
      </c>
      <c r="C121" s="253">
        <v>0</v>
      </c>
      <c r="D121" s="253">
        <v>0</v>
      </c>
      <c r="E121" s="253">
        <v>0</v>
      </c>
      <c r="F121" s="253">
        <v>0</v>
      </c>
      <c r="G121" s="253">
        <v>0</v>
      </c>
      <c r="H121" s="254">
        <v>0</v>
      </c>
      <c r="I121" s="254">
        <v>0</v>
      </c>
      <c r="J121" s="254">
        <v>0</v>
      </c>
      <c r="K121" s="254">
        <v>0</v>
      </c>
      <c r="L121" s="254">
        <v>0</v>
      </c>
      <c r="M121" s="254">
        <v>0</v>
      </c>
      <c r="N121" s="254">
        <v>0</v>
      </c>
      <c r="O121" s="254">
        <v>0</v>
      </c>
      <c r="P121" s="254">
        <v>0</v>
      </c>
      <c r="Q121" s="254">
        <v>0</v>
      </c>
    </row>
    <row r="122" spans="2:17" x14ac:dyDescent="0.25">
      <c r="B122" s="8" t="s">
        <v>199</v>
      </c>
      <c r="C122" s="255">
        <v>0</v>
      </c>
      <c r="D122" s="255">
        <v>0</v>
      </c>
      <c r="E122" s="255">
        <f>SUM(E117:E121)</f>
        <v>1</v>
      </c>
      <c r="F122" s="255">
        <f t="shared" ref="F122:Q122" si="41">SUM(F117:F121)</f>
        <v>9</v>
      </c>
      <c r="G122" s="255">
        <f t="shared" si="41"/>
        <v>11</v>
      </c>
      <c r="H122" s="256">
        <f t="shared" si="41"/>
        <v>30.4</v>
      </c>
      <c r="I122" s="256">
        <f t="shared" si="41"/>
        <v>12.022000000000002</v>
      </c>
      <c r="J122" s="256">
        <f t="shared" si="41"/>
        <v>30.422109999999996</v>
      </c>
      <c r="K122" s="256">
        <f t="shared" si="41"/>
        <v>12.044220550000002</v>
      </c>
      <c r="L122" s="256">
        <f t="shared" si="41"/>
        <v>30.444441652749994</v>
      </c>
      <c r="M122" s="256">
        <f t="shared" si="41"/>
        <v>12.066663861013755</v>
      </c>
      <c r="N122" s="256">
        <f t="shared" si="41"/>
        <v>30.466997180318813</v>
      </c>
      <c r="O122" s="256">
        <f t="shared" si="41"/>
        <v>12.089332166220416</v>
      </c>
      <c r="P122" s="256">
        <f t="shared" si="41"/>
        <v>30.489778827051509</v>
      </c>
      <c r="Q122" s="256">
        <f t="shared" si="41"/>
        <v>12.112227721186773</v>
      </c>
    </row>
    <row r="123" spans="2:17" x14ac:dyDescent="0.25">
      <c r="B123" s="1"/>
      <c r="C123" s="253"/>
      <c r="D123" s="253"/>
      <c r="E123" s="253"/>
      <c r="F123" s="253"/>
      <c r="G123" s="253"/>
    </row>
    <row r="124" spans="2:17" x14ac:dyDescent="0.25">
      <c r="B124" s="8" t="s">
        <v>422</v>
      </c>
      <c r="C124" s="255">
        <f t="shared" ref="C124:D124" si="42">C116-C122</f>
        <v>0</v>
      </c>
      <c r="D124" s="255">
        <f t="shared" si="42"/>
        <v>0</v>
      </c>
      <c r="E124" s="255">
        <f>E116-E122</f>
        <v>32</v>
      </c>
      <c r="F124" s="255">
        <f t="shared" ref="F124:Q124" si="43">F116-F122</f>
        <v>20</v>
      </c>
      <c r="G124" s="255">
        <v>26</v>
      </c>
      <c r="H124" s="256">
        <f>H116-H122</f>
        <v>7.6000000000000014</v>
      </c>
      <c r="I124" s="256">
        <f t="shared" si="43"/>
        <v>25.977999999999998</v>
      </c>
      <c r="J124" s="256">
        <f t="shared" si="43"/>
        <v>7.5778900000000036</v>
      </c>
      <c r="K124" s="256">
        <f t="shared" si="43"/>
        <v>25.955779449999998</v>
      </c>
      <c r="L124" s="256">
        <f t="shared" si="43"/>
        <v>7.5555583472500061</v>
      </c>
      <c r="M124" s="256">
        <f t="shared" si="43"/>
        <v>25.933336138986245</v>
      </c>
      <c r="N124" s="256">
        <f t="shared" si="43"/>
        <v>7.5330028196811867</v>
      </c>
      <c r="O124" s="256">
        <f t="shared" si="43"/>
        <v>25.910667833779584</v>
      </c>
      <c r="P124" s="256">
        <f t="shared" si="43"/>
        <v>7.5102211729484907</v>
      </c>
      <c r="Q124" s="256">
        <f t="shared" si="43"/>
        <v>25.887772278813227</v>
      </c>
    </row>
    <row r="125" spans="2:17" x14ac:dyDescent="0.25">
      <c r="B125" s="1"/>
      <c r="C125" s="253"/>
      <c r="D125" s="253"/>
      <c r="E125" s="253"/>
      <c r="F125" s="253"/>
      <c r="G125" s="253"/>
    </row>
    <row r="126" spans="2:17" x14ac:dyDescent="0.25">
      <c r="B126" s="1"/>
      <c r="C126" s="253"/>
      <c r="D126" s="253"/>
      <c r="E126" s="253"/>
      <c r="F126" s="253"/>
      <c r="G126" s="253"/>
    </row>
    <row r="127" spans="2:17" x14ac:dyDescent="0.25">
      <c r="C127" s="253"/>
      <c r="D127" s="253"/>
      <c r="E127" s="253"/>
      <c r="F127" s="253"/>
      <c r="G127" s="253"/>
    </row>
    <row r="128" spans="2:17" x14ac:dyDescent="0.25">
      <c r="B128" s="3" t="s">
        <v>441</v>
      </c>
      <c r="C128" s="265">
        <v>46</v>
      </c>
      <c r="D128" s="265">
        <f>C135</f>
        <v>46</v>
      </c>
      <c r="E128" s="265">
        <f t="shared" ref="E128:G128" si="44">D135</f>
        <v>71</v>
      </c>
      <c r="F128" s="265">
        <f t="shared" si="44"/>
        <v>230</v>
      </c>
      <c r="G128" s="265">
        <f t="shared" si="44"/>
        <v>318</v>
      </c>
      <c r="H128" s="260">
        <f>G135</f>
        <v>533</v>
      </c>
      <c r="I128" s="260">
        <f t="shared" ref="I128:Q128" si="45">H135</f>
        <v>535.20000000000005</v>
      </c>
      <c r="J128" s="260">
        <f t="shared" si="45"/>
        <v>537.41100000000006</v>
      </c>
      <c r="K128" s="260">
        <f t="shared" si="45"/>
        <v>539.63305500000001</v>
      </c>
      <c r="L128" s="260">
        <f t="shared" si="45"/>
        <v>541.86622027500005</v>
      </c>
      <c r="M128" s="260">
        <f t="shared" si="45"/>
        <v>544.11055137637504</v>
      </c>
      <c r="N128" s="260">
        <f t="shared" si="45"/>
        <v>546.36610413325695</v>
      </c>
      <c r="O128" s="260">
        <f t="shared" si="45"/>
        <v>548.63293465392326</v>
      </c>
      <c r="P128" s="260">
        <f t="shared" si="45"/>
        <v>550.91109932719291</v>
      </c>
      <c r="Q128" s="260">
        <f t="shared" si="45"/>
        <v>553.20065482382893</v>
      </c>
    </row>
    <row r="129" spans="2:17" x14ac:dyDescent="0.25">
      <c r="B129" t="s">
        <v>100</v>
      </c>
      <c r="C129" s="253">
        <v>0</v>
      </c>
      <c r="D129" s="253">
        <v>0</v>
      </c>
      <c r="E129" s="253">
        <v>159</v>
      </c>
      <c r="F129" s="253">
        <v>0</v>
      </c>
      <c r="G129" s="253">
        <v>0</v>
      </c>
      <c r="H129" s="254">
        <v>0</v>
      </c>
      <c r="I129" s="254">
        <v>0</v>
      </c>
      <c r="J129" s="254">
        <v>0</v>
      </c>
      <c r="K129" s="254">
        <v>0</v>
      </c>
      <c r="L129" s="254">
        <v>0</v>
      </c>
      <c r="M129" s="254">
        <v>0</v>
      </c>
      <c r="N129" s="254">
        <v>0</v>
      </c>
      <c r="O129" s="254">
        <v>0</v>
      </c>
      <c r="P129" s="254">
        <v>0</v>
      </c>
      <c r="Q129" s="254">
        <v>0</v>
      </c>
    </row>
    <row r="130" spans="2:17" x14ac:dyDescent="0.25">
      <c r="B130" t="s">
        <v>415</v>
      </c>
      <c r="C130" s="253">
        <v>0</v>
      </c>
      <c r="D130" s="253">
        <v>11</v>
      </c>
      <c r="E130" s="253">
        <v>0</v>
      </c>
      <c r="F130" s="253">
        <v>0</v>
      </c>
      <c r="G130" s="253">
        <v>0</v>
      </c>
      <c r="H130" s="254">
        <f>AVERAGE(C130:G130)</f>
        <v>2.2000000000000002</v>
      </c>
      <c r="I130" s="254">
        <f>H130*(1+Assumption!$C$14)</f>
        <v>2.2109999999999999</v>
      </c>
      <c r="J130" s="254">
        <f>I130*(1+Assumption!$C$14)</f>
        <v>2.2220549999999997</v>
      </c>
      <c r="K130" s="254">
        <f>J130*(1+Assumption!$C$14)</f>
        <v>2.2331652749999993</v>
      </c>
      <c r="L130" s="254">
        <f>K130*(1+Assumption!$C$14)</f>
        <v>2.2443311013749989</v>
      </c>
      <c r="M130" s="254">
        <f>L130*(1+Assumption!$C$14)</f>
        <v>2.2555527568818738</v>
      </c>
      <c r="N130" s="254">
        <f>M130*(1+Assumption!$C$14)</f>
        <v>2.2668305206662831</v>
      </c>
      <c r="O130" s="254">
        <f>N130*(1+Assumption!$C$14)</f>
        <v>2.2781646732696141</v>
      </c>
      <c r="P130" s="254">
        <f>O130*(1+Assumption!$C$14)</f>
        <v>2.2895554966359621</v>
      </c>
      <c r="Q130" s="254">
        <f>P130*(1+Assumption!$C$14)</f>
        <v>2.3010032741191417</v>
      </c>
    </row>
    <row r="131" spans="2:17" x14ac:dyDescent="0.25">
      <c r="B131" t="s">
        <v>438</v>
      </c>
      <c r="C131" s="253">
        <v>0</v>
      </c>
      <c r="D131" s="253">
        <v>14</v>
      </c>
      <c r="E131" s="253">
        <v>0</v>
      </c>
      <c r="F131" s="253">
        <v>88</v>
      </c>
      <c r="G131" s="253">
        <v>215</v>
      </c>
      <c r="H131" s="254">
        <v>0</v>
      </c>
      <c r="I131" s="254">
        <v>0</v>
      </c>
      <c r="J131" s="254">
        <v>0</v>
      </c>
      <c r="K131" s="254">
        <v>0</v>
      </c>
      <c r="L131" s="254">
        <v>0</v>
      </c>
      <c r="M131" s="254">
        <v>0</v>
      </c>
      <c r="N131" s="254">
        <v>0</v>
      </c>
      <c r="O131" s="254">
        <v>0</v>
      </c>
      <c r="P131" s="254">
        <v>0</v>
      </c>
      <c r="Q131" s="254">
        <v>0</v>
      </c>
    </row>
    <row r="132" spans="2:17" x14ac:dyDescent="0.25">
      <c r="B132" t="s">
        <v>417</v>
      </c>
      <c r="C132" s="253">
        <v>0</v>
      </c>
      <c r="D132" s="253">
        <v>0</v>
      </c>
      <c r="E132" s="253">
        <v>0</v>
      </c>
      <c r="F132" s="253">
        <v>0</v>
      </c>
      <c r="G132" s="253">
        <v>0</v>
      </c>
      <c r="H132" s="254">
        <v>0</v>
      </c>
      <c r="I132" s="254">
        <v>0</v>
      </c>
      <c r="J132" s="254">
        <v>0</v>
      </c>
      <c r="K132" s="254">
        <v>0</v>
      </c>
      <c r="L132" s="254">
        <v>0</v>
      </c>
      <c r="M132" s="254">
        <v>0</v>
      </c>
      <c r="N132" s="254">
        <v>0</v>
      </c>
      <c r="O132" s="254">
        <v>0</v>
      </c>
      <c r="P132" s="254">
        <v>0</v>
      </c>
      <c r="Q132" s="254">
        <v>0</v>
      </c>
    </row>
    <row r="133" spans="2:17" x14ac:dyDescent="0.25">
      <c r="B133" t="s">
        <v>418</v>
      </c>
      <c r="C133" s="253">
        <v>0</v>
      </c>
      <c r="D133" s="253">
        <v>0</v>
      </c>
      <c r="E133" s="253">
        <v>0</v>
      </c>
      <c r="F133" s="253">
        <v>0</v>
      </c>
      <c r="G133" s="253">
        <v>0</v>
      </c>
      <c r="H133" s="254">
        <v>0</v>
      </c>
      <c r="I133" s="254">
        <v>0</v>
      </c>
      <c r="J133" s="254">
        <v>0</v>
      </c>
      <c r="K133" s="254">
        <v>0</v>
      </c>
      <c r="L133" s="254">
        <v>0</v>
      </c>
      <c r="M133" s="254">
        <v>0</v>
      </c>
      <c r="N133" s="254">
        <v>0</v>
      </c>
      <c r="O133" s="254">
        <v>0</v>
      </c>
      <c r="P133" s="254">
        <v>0</v>
      </c>
      <c r="Q133" s="254">
        <v>0</v>
      </c>
    </row>
    <row r="134" spans="2:17" x14ac:dyDescent="0.25">
      <c r="B134" t="s">
        <v>428</v>
      </c>
      <c r="C134" s="253">
        <v>0</v>
      </c>
      <c r="D134" s="253">
        <v>0</v>
      </c>
      <c r="E134" s="253">
        <v>0</v>
      </c>
      <c r="F134" s="253">
        <v>0</v>
      </c>
      <c r="G134" s="253">
        <v>0</v>
      </c>
      <c r="H134" s="254">
        <v>0</v>
      </c>
      <c r="I134" s="254">
        <v>0</v>
      </c>
      <c r="J134" s="254">
        <v>0</v>
      </c>
      <c r="K134" s="254">
        <v>0</v>
      </c>
      <c r="L134" s="254">
        <v>0</v>
      </c>
      <c r="M134" s="254">
        <v>0</v>
      </c>
      <c r="N134" s="254">
        <v>0</v>
      </c>
      <c r="O134" s="254">
        <v>0</v>
      </c>
      <c r="P134" s="254">
        <v>0</v>
      </c>
      <c r="Q134" s="254">
        <v>0</v>
      </c>
    </row>
    <row r="135" spans="2:17" x14ac:dyDescent="0.25">
      <c r="B135" s="8" t="s">
        <v>419</v>
      </c>
      <c r="C135" s="255">
        <f>SUM(C128:C133)</f>
        <v>46</v>
      </c>
      <c r="D135" s="255">
        <f t="shared" ref="D135:Q135" si="46">SUM(D128:D133)</f>
        <v>71</v>
      </c>
      <c r="E135" s="255">
        <f t="shared" si="46"/>
        <v>230</v>
      </c>
      <c r="F135" s="255">
        <f t="shared" si="46"/>
        <v>318</v>
      </c>
      <c r="G135" s="255">
        <f t="shared" si="46"/>
        <v>533</v>
      </c>
      <c r="H135" s="256">
        <f t="shared" si="46"/>
        <v>535.20000000000005</v>
      </c>
      <c r="I135" s="256">
        <f t="shared" si="46"/>
        <v>537.41100000000006</v>
      </c>
      <c r="J135" s="256">
        <f t="shared" si="46"/>
        <v>539.63305500000001</v>
      </c>
      <c r="K135" s="256">
        <f t="shared" si="46"/>
        <v>541.86622027500005</v>
      </c>
      <c r="L135" s="256">
        <f t="shared" si="46"/>
        <v>544.11055137637504</v>
      </c>
      <c r="M135" s="256">
        <f t="shared" si="46"/>
        <v>546.36610413325695</v>
      </c>
      <c r="N135" s="256">
        <f t="shared" si="46"/>
        <v>548.63293465392326</v>
      </c>
      <c r="O135" s="256">
        <f t="shared" si="46"/>
        <v>550.91109932719291</v>
      </c>
      <c r="P135" s="256">
        <f t="shared" si="46"/>
        <v>553.20065482382893</v>
      </c>
      <c r="Q135" s="256">
        <f t="shared" si="46"/>
        <v>555.50165809794805</v>
      </c>
    </row>
    <row r="136" spans="2:17" x14ac:dyDescent="0.25">
      <c r="B136" s="2" t="s">
        <v>420</v>
      </c>
      <c r="C136" s="253">
        <v>28</v>
      </c>
      <c r="D136" s="253">
        <f>C141</f>
        <v>43</v>
      </c>
      <c r="E136" s="253">
        <f t="shared" ref="E136:G136" si="47">D141</f>
        <v>59</v>
      </c>
      <c r="F136" s="253">
        <f t="shared" si="47"/>
        <v>82</v>
      </c>
      <c r="G136" s="253">
        <f t="shared" si="47"/>
        <v>121</v>
      </c>
      <c r="H136" s="254">
        <f>G141</f>
        <v>176</v>
      </c>
      <c r="I136" s="254">
        <f t="shared" ref="I136:Q136" si="48">H141</f>
        <v>205.6</v>
      </c>
      <c r="J136" s="254">
        <f t="shared" si="48"/>
        <v>235.34799999999998</v>
      </c>
      <c r="K136" s="254">
        <f t="shared" si="48"/>
        <v>265.24473999999998</v>
      </c>
      <c r="L136" s="254">
        <f t="shared" si="48"/>
        <v>295.29096369999996</v>
      </c>
      <c r="M136" s="254">
        <f t="shared" si="48"/>
        <v>325.48741851849996</v>
      </c>
      <c r="N136" s="254">
        <f t="shared" si="48"/>
        <v>355.83485561109245</v>
      </c>
      <c r="O136" s="254">
        <f t="shared" si="48"/>
        <v>386.33402988914787</v>
      </c>
      <c r="P136" s="254">
        <f t="shared" si="48"/>
        <v>416.98570003859356</v>
      </c>
      <c r="Q136" s="254">
        <f t="shared" si="48"/>
        <v>447.79062853878651</v>
      </c>
    </row>
    <row r="137" spans="2:17" x14ac:dyDescent="0.25">
      <c r="B137" s="2" t="s">
        <v>421</v>
      </c>
      <c r="C137" s="253">
        <v>15</v>
      </c>
      <c r="D137" s="253">
        <v>16</v>
      </c>
      <c r="E137" s="253">
        <v>23</v>
      </c>
      <c r="F137" s="253">
        <v>39</v>
      </c>
      <c r="G137" s="253">
        <v>55</v>
      </c>
      <c r="H137" s="254">
        <f>AVERAGE(C137:G137)</f>
        <v>29.6</v>
      </c>
      <c r="I137" s="254">
        <f>H137*(1+Assumption!$C$16)</f>
        <v>29.747999999999998</v>
      </c>
      <c r="J137" s="254">
        <f>I137*(1+Assumption!$C$16)</f>
        <v>29.896739999999994</v>
      </c>
      <c r="K137" s="254">
        <f>J137*(1+Assumption!$C$16)</f>
        <v>30.046223699999992</v>
      </c>
      <c r="L137" s="254">
        <f>K137*(1+Assumption!$C$16)</f>
        <v>30.196454818499987</v>
      </c>
      <c r="M137" s="254">
        <f>L137*(1+Assumption!$C$16)</f>
        <v>30.347437092592482</v>
      </c>
      <c r="N137" s="254">
        <f>M137*(1+Assumption!$C$16)</f>
        <v>30.499174278055442</v>
      </c>
      <c r="O137" s="254">
        <f>N137*(1+Assumption!$C$16)</f>
        <v>30.651670149445717</v>
      </c>
      <c r="P137" s="254">
        <f>O137*(1+Assumption!$C$16)</f>
        <v>30.804928500192943</v>
      </c>
      <c r="Q137" s="254">
        <f>P137*(1+Assumption!$C$16)</f>
        <v>30.958953142693904</v>
      </c>
    </row>
    <row r="138" spans="2:17" x14ac:dyDescent="0.25">
      <c r="B138" s="2" t="s">
        <v>417</v>
      </c>
      <c r="C138" s="253">
        <v>0</v>
      </c>
      <c r="D138" s="253">
        <v>0</v>
      </c>
      <c r="E138" s="253">
        <v>0</v>
      </c>
      <c r="F138" s="253">
        <v>0</v>
      </c>
      <c r="G138" s="253">
        <v>0</v>
      </c>
      <c r="H138" s="254">
        <v>0</v>
      </c>
      <c r="I138" s="254">
        <v>0</v>
      </c>
      <c r="J138" s="254">
        <v>0</v>
      </c>
      <c r="K138" s="254">
        <v>0</v>
      </c>
      <c r="L138" s="254">
        <v>0</v>
      </c>
      <c r="M138" s="254">
        <v>0</v>
      </c>
      <c r="N138" s="254">
        <v>0</v>
      </c>
      <c r="O138" s="254">
        <v>0</v>
      </c>
      <c r="P138" s="254">
        <v>0</v>
      </c>
      <c r="Q138" s="254">
        <v>0</v>
      </c>
    </row>
    <row r="139" spans="2:17" x14ac:dyDescent="0.25">
      <c r="B139" t="s">
        <v>428</v>
      </c>
      <c r="C139" s="253">
        <v>0</v>
      </c>
      <c r="D139" s="253">
        <v>0</v>
      </c>
      <c r="E139" s="253">
        <v>0</v>
      </c>
      <c r="F139" s="253">
        <v>0</v>
      </c>
      <c r="G139" s="253">
        <v>0</v>
      </c>
      <c r="H139" s="254">
        <v>0</v>
      </c>
      <c r="I139" s="254">
        <v>0</v>
      </c>
      <c r="J139" s="254">
        <v>0</v>
      </c>
      <c r="K139" s="254">
        <v>0</v>
      </c>
      <c r="L139" s="254">
        <v>0</v>
      </c>
      <c r="M139" s="254">
        <v>0</v>
      </c>
      <c r="N139" s="254">
        <v>0</v>
      </c>
      <c r="O139" s="254">
        <v>0</v>
      </c>
      <c r="P139" s="254">
        <v>0</v>
      </c>
      <c r="Q139" s="254">
        <v>0</v>
      </c>
    </row>
    <row r="140" spans="2:17" x14ac:dyDescent="0.25">
      <c r="B140" t="s">
        <v>418</v>
      </c>
      <c r="C140" s="253">
        <v>0</v>
      </c>
      <c r="D140" s="253">
        <v>0</v>
      </c>
      <c r="E140" s="253">
        <v>0</v>
      </c>
      <c r="F140" s="253">
        <v>0</v>
      </c>
      <c r="G140" s="253">
        <v>0</v>
      </c>
      <c r="H140" s="254">
        <v>0</v>
      </c>
      <c r="I140" s="254">
        <v>0</v>
      </c>
      <c r="J140" s="254">
        <v>0</v>
      </c>
      <c r="K140" s="254">
        <v>0</v>
      </c>
      <c r="L140" s="254">
        <v>0</v>
      </c>
      <c r="M140" s="254">
        <v>0</v>
      </c>
      <c r="N140" s="254">
        <v>0</v>
      </c>
      <c r="O140" s="254">
        <v>0</v>
      </c>
      <c r="P140" s="254">
        <v>0</v>
      </c>
      <c r="Q140" s="254">
        <v>0</v>
      </c>
    </row>
    <row r="141" spans="2:17" x14ac:dyDescent="0.25">
      <c r="B141" s="8" t="s">
        <v>199</v>
      </c>
      <c r="C141" s="255">
        <f>SUM(C136:C140)</f>
        <v>43</v>
      </c>
      <c r="D141" s="255">
        <f t="shared" ref="D141:Q141" si="49">SUM(D136:D140)</f>
        <v>59</v>
      </c>
      <c r="E141" s="255">
        <f t="shared" si="49"/>
        <v>82</v>
      </c>
      <c r="F141" s="255">
        <f t="shared" si="49"/>
        <v>121</v>
      </c>
      <c r="G141" s="255">
        <f t="shared" si="49"/>
        <v>176</v>
      </c>
      <c r="H141" s="256">
        <f t="shared" si="49"/>
        <v>205.6</v>
      </c>
      <c r="I141" s="256">
        <f t="shared" si="49"/>
        <v>235.34799999999998</v>
      </c>
      <c r="J141" s="256">
        <f t="shared" si="49"/>
        <v>265.24473999999998</v>
      </c>
      <c r="K141" s="256">
        <f t="shared" si="49"/>
        <v>295.29096369999996</v>
      </c>
      <c r="L141" s="256">
        <f t="shared" si="49"/>
        <v>325.48741851849996</v>
      </c>
      <c r="M141" s="256">
        <f t="shared" si="49"/>
        <v>355.83485561109245</v>
      </c>
      <c r="N141" s="256">
        <f t="shared" si="49"/>
        <v>386.33402988914787</v>
      </c>
      <c r="O141" s="256">
        <f t="shared" si="49"/>
        <v>416.98570003859356</v>
      </c>
      <c r="P141" s="256">
        <f t="shared" si="49"/>
        <v>447.79062853878651</v>
      </c>
      <c r="Q141" s="256">
        <f t="shared" si="49"/>
        <v>478.74958168148044</v>
      </c>
    </row>
    <row r="142" spans="2:17" x14ac:dyDescent="0.25">
      <c r="C142" s="253"/>
      <c r="D142" s="253"/>
      <c r="E142" s="253"/>
      <c r="F142" s="253"/>
      <c r="G142" s="253"/>
    </row>
    <row r="143" spans="2:17" x14ac:dyDescent="0.25">
      <c r="B143" s="8" t="s">
        <v>422</v>
      </c>
      <c r="C143" s="255">
        <f>C135-C141</f>
        <v>3</v>
      </c>
      <c r="D143" s="255">
        <f t="shared" ref="D143:Q143" si="50">D135-D141</f>
        <v>12</v>
      </c>
      <c r="E143" s="255">
        <f t="shared" si="50"/>
        <v>148</v>
      </c>
      <c r="F143" s="255">
        <f t="shared" si="50"/>
        <v>197</v>
      </c>
      <c r="G143" s="255">
        <f t="shared" si="50"/>
        <v>357</v>
      </c>
      <c r="H143" s="256">
        <f t="shared" si="50"/>
        <v>329.6</v>
      </c>
      <c r="I143" s="256">
        <f t="shared" si="50"/>
        <v>302.0630000000001</v>
      </c>
      <c r="J143" s="256">
        <f t="shared" si="50"/>
        <v>274.38831500000003</v>
      </c>
      <c r="K143" s="256">
        <f t="shared" si="50"/>
        <v>246.57525657500008</v>
      </c>
      <c r="L143" s="256">
        <f t="shared" si="50"/>
        <v>218.62313285787508</v>
      </c>
      <c r="M143" s="256">
        <f t="shared" si="50"/>
        <v>190.5312485221645</v>
      </c>
      <c r="N143" s="256">
        <f t="shared" si="50"/>
        <v>162.29890476477539</v>
      </c>
      <c r="O143" s="256">
        <f t="shared" si="50"/>
        <v>133.92539928859935</v>
      </c>
      <c r="P143" s="256">
        <f t="shared" si="50"/>
        <v>105.41002628504242</v>
      </c>
      <c r="Q143" s="256">
        <f t="shared" si="50"/>
        <v>76.752076416467617</v>
      </c>
    </row>
    <row r="144" spans="2:17" x14ac:dyDescent="0.25">
      <c r="C144" s="253"/>
      <c r="D144" s="253"/>
      <c r="E144" s="253"/>
      <c r="F144" s="253"/>
      <c r="G144" s="253"/>
    </row>
    <row r="145" spans="1:17" x14ac:dyDescent="0.25">
      <c r="C145" s="253"/>
      <c r="D145" s="253"/>
      <c r="E145" s="253"/>
      <c r="F145" s="253"/>
      <c r="G145" s="253"/>
    </row>
    <row r="146" spans="1:17" x14ac:dyDescent="0.25">
      <c r="A146" t="s">
        <v>20</v>
      </c>
      <c r="B146" s="1" t="s">
        <v>199</v>
      </c>
      <c r="C146" s="253"/>
      <c r="D146" s="253"/>
      <c r="E146" s="253"/>
      <c r="F146" s="253"/>
      <c r="G146" s="253"/>
    </row>
    <row r="147" spans="1:17" x14ac:dyDescent="0.25">
      <c r="B147" s="8" t="s">
        <v>416</v>
      </c>
      <c r="C147" s="255">
        <f t="shared" ref="C147:G157" si="51">C14+C33+C52+C71+C90+C109+C128</f>
        <v>403</v>
      </c>
      <c r="D147" s="255">
        <f t="shared" si="51"/>
        <v>452</v>
      </c>
      <c r="E147" s="255">
        <f t="shared" si="51"/>
        <v>505</v>
      </c>
      <c r="F147" s="255">
        <f t="shared" si="51"/>
        <v>13904</v>
      </c>
      <c r="G147" s="255">
        <f t="shared" si="51"/>
        <v>14883</v>
      </c>
      <c r="H147" s="256">
        <f t="shared" ref="H147:Q147" si="52">H14+H33+H52+H71+H90+H109+H128</f>
        <v>15930</v>
      </c>
      <c r="I147" s="256">
        <f t="shared" si="52"/>
        <v>18746.399999999998</v>
      </c>
      <c r="J147" s="256">
        <f t="shared" si="52"/>
        <v>21576.882000000001</v>
      </c>
      <c r="K147" s="256">
        <f t="shared" si="52"/>
        <v>24421.516409999997</v>
      </c>
      <c r="L147" s="256">
        <f t="shared" si="52"/>
        <v>27280.373992049997</v>
      </c>
      <c r="M147" s="256">
        <f t="shared" si="52"/>
        <v>30153.525862010243</v>
      </c>
      <c r="N147" s="256">
        <f t="shared" si="52"/>
        <v>33041.043491320299</v>
      </c>
      <c r="O147" s="256">
        <f t="shared" si="52"/>
        <v>35942.998708776882</v>
      </c>
      <c r="P147" s="256">
        <f t="shared" si="52"/>
        <v>38859.463702320769</v>
      </c>
      <c r="Q147" s="256">
        <f t="shared" si="52"/>
        <v>41790.511020832382</v>
      </c>
    </row>
    <row r="148" spans="1:17" x14ac:dyDescent="0.25">
      <c r="B148" t="s">
        <v>100</v>
      </c>
      <c r="C148" s="253">
        <f t="shared" si="51"/>
        <v>0</v>
      </c>
      <c r="D148" s="253">
        <f t="shared" si="51"/>
        <v>0</v>
      </c>
      <c r="E148" s="253">
        <f t="shared" si="51"/>
        <v>333</v>
      </c>
      <c r="F148" s="253">
        <f t="shared" si="51"/>
        <v>0</v>
      </c>
      <c r="G148" s="253">
        <f t="shared" si="51"/>
        <v>406</v>
      </c>
      <c r="H148" s="254">
        <f t="shared" ref="H148:Q148" si="53">H15+H34+H53+H72+H91+H110+H129</f>
        <v>0</v>
      </c>
      <c r="I148" s="254">
        <f t="shared" si="53"/>
        <v>0</v>
      </c>
      <c r="J148" s="254">
        <f t="shared" si="53"/>
        <v>0</v>
      </c>
      <c r="K148" s="254">
        <f t="shared" si="53"/>
        <v>0</v>
      </c>
      <c r="L148" s="254">
        <f t="shared" si="53"/>
        <v>0</v>
      </c>
      <c r="M148" s="254">
        <f t="shared" si="53"/>
        <v>0</v>
      </c>
      <c r="N148" s="254">
        <f t="shared" si="53"/>
        <v>0</v>
      </c>
      <c r="O148" s="254">
        <f t="shared" si="53"/>
        <v>0</v>
      </c>
      <c r="P148" s="254">
        <f t="shared" si="53"/>
        <v>0</v>
      </c>
      <c r="Q148" s="254">
        <f t="shared" si="53"/>
        <v>0</v>
      </c>
    </row>
    <row r="149" spans="1:17" x14ac:dyDescent="0.25">
      <c r="B149" t="s">
        <v>415</v>
      </c>
      <c r="C149" s="253">
        <f t="shared" si="51"/>
        <v>64</v>
      </c>
      <c r="D149" s="253">
        <f t="shared" si="51"/>
        <v>67</v>
      </c>
      <c r="E149" s="253">
        <f t="shared" si="51"/>
        <v>13115</v>
      </c>
      <c r="F149" s="253">
        <f t="shared" si="51"/>
        <v>294</v>
      </c>
      <c r="G149" s="253">
        <f t="shared" si="51"/>
        <v>542</v>
      </c>
      <c r="H149" s="254">
        <f t="shared" ref="H149:Q149" si="54">H16+H35+H54+H73+H92+H111+H130</f>
        <v>2816.3999999999996</v>
      </c>
      <c r="I149" s="254">
        <f t="shared" si="54"/>
        <v>2830.4819999999991</v>
      </c>
      <c r="J149" s="254">
        <f t="shared" si="54"/>
        <v>2844.6344099999992</v>
      </c>
      <c r="K149" s="254">
        <f t="shared" si="54"/>
        <v>2858.8575820499987</v>
      </c>
      <c r="L149" s="254">
        <f t="shared" si="54"/>
        <v>2873.1518699602484</v>
      </c>
      <c r="M149" s="254">
        <f t="shared" si="54"/>
        <v>2887.5176293100494</v>
      </c>
      <c r="N149" s="254">
        <f t="shared" si="54"/>
        <v>2901.9552174565993</v>
      </c>
      <c r="O149" s="254">
        <f t="shared" si="54"/>
        <v>2916.464993543882</v>
      </c>
      <c r="P149" s="254">
        <f t="shared" si="54"/>
        <v>2931.0473185116016</v>
      </c>
      <c r="Q149" s="254">
        <f t="shared" si="54"/>
        <v>2945.7025551041588</v>
      </c>
    </row>
    <row r="150" spans="1:17" x14ac:dyDescent="0.25">
      <c r="B150" t="s">
        <v>438</v>
      </c>
      <c r="C150" s="253">
        <f t="shared" si="51"/>
        <v>0</v>
      </c>
      <c r="D150" s="253">
        <f t="shared" si="51"/>
        <v>14</v>
      </c>
      <c r="E150" s="253">
        <f t="shared" si="51"/>
        <v>0</v>
      </c>
      <c r="F150" s="253">
        <f t="shared" si="51"/>
        <v>705</v>
      </c>
      <c r="G150" s="253">
        <f t="shared" si="51"/>
        <v>237</v>
      </c>
      <c r="H150" s="254">
        <f t="shared" ref="H150:Q150" si="55">H17+H36+H55+H74+H93+H112+H131</f>
        <v>0</v>
      </c>
      <c r="I150" s="254">
        <f t="shared" si="55"/>
        <v>0</v>
      </c>
      <c r="J150" s="254">
        <f t="shared" si="55"/>
        <v>0</v>
      </c>
      <c r="K150" s="254">
        <f t="shared" si="55"/>
        <v>0</v>
      </c>
      <c r="L150" s="254">
        <f t="shared" si="55"/>
        <v>0</v>
      </c>
      <c r="M150" s="254">
        <f t="shared" si="55"/>
        <v>0</v>
      </c>
      <c r="N150" s="254">
        <f t="shared" si="55"/>
        <v>0</v>
      </c>
      <c r="O150" s="254">
        <f t="shared" si="55"/>
        <v>0</v>
      </c>
      <c r="P150" s="254">
        <f t="shared" si="55"/>
        <v>0</v>
      </c>
      <c r="Q150" s="254">
        <f t="shared" si="55"/>
        <v>0</v>
      </c>
    </row>
    <row r="151" spans="1:17" x14ac:dyDescent="0.25">
      <c r="B151" t="s">
        <v>417</v>
      </c>
      <c r="C151" s="253">
        <f t="shared" si="51"/>
        <v>-13</v>
      </c>
      <c r="D151" s="253">
        <f t="shared" si="51"/>
        <v>-28</v>
      </c>
      <c r="E151" s="253">
        <f t="shared" si="51"/>
        <v>-49</v>
      </c>
      <c r="F151" s="253">
        <f t="shared" si="51"/>
        <v>-20</v>
      </c>
      <c r="G151" s="253">
        <f t="shared" si="51"/>
        <v>-144</v>
      </c>
      <c r="H151" s="254">
        <f t="shared" ref="H151:Q151" si="56">H18+H37+H56+H75+H94+H113+H132</f>
        <v>0</v>
      </c>
      <c r="I151" s="254">
        <f t="shared" si="56"/>
        <v>0</v>
      </c>
      <c r="J151" s="254">
        <f t="shared" si="56"/>
        <v>0</v>
      </c>
      <c r="K151" s="254">
        <f t="shared" si="56"/>
        <v>0</v>
      </c>
      <c r="L151" s="254">
        <f t="shared" si="56"/>
        <v>0</v>
      </c>
      <c r="M151" s="254">
        <f t="shared" si="56"/>
        <v>0</v>
      </c>
      <c r="N151" s="254">
        <f t="shared" si="56"/>
        <v>0</v>
      </c>
      <c r="O151" s="254">
        <f t="shared" si="56"/>
        <v>0</v>
      </c>
      <c r="P151" s="254">
        <f t="shared" si="56"/>
        <v>0</v>
      </c>
      <c r="Q151" s="254">
        <f t="shared" si="56"/>
        <v>0</v>
      </c>
    </row>
    <row r="152" spans="1:17" x14ac:dyDescent="0.25">
      <c r="B152" t="s">
        <v>418</v>
      </c>
      <c r="C152" s="253">
        <f t="shared" si="51"/>
        <v>-2</v>
      </c>
      <c r="D152" s="253">
        <f t="shared" si="51"/>
        <v>0</v>
      </c>
      <c r="E152" s="253">
        <f t="shared" si="51"/>
        <v>0</v>
      </c>
      <c r="F152" s="253">
        <f t="shared" si="51"/>
        <v>0</v>
      </c>
      <c r="G152" s="253">
        <f t="shared" si="51"/>
        <v>0</v>
      </c>
      <c r="H152" s="254">
        <f t="shared" ref="H152:Q152" si="57">H19+H38+H57+H76+H95+H114+H133</f>
        <v>0</v>
      </c>
      <c r="I152" s="254">
        <f t="shared" si="57"/>
        <v>0</v>
      </c>
      <c r="J152" s="254">
        <f t="shared" si="57"/>
        <v>0</v>
      </c>
      <c r="K152" s="254">
        <f t="shared" si="57"/>
        <v>0</v>
      </c>
      <c r="L152" s="254">
        <f t="shared" si="57"/>
        <v>0</v>
      </c>
      <c r="M152" s="254">
        <f t="shared" si="57"/>
        <v>0</v>
      </c>
      <c r="N152" s="254">
        <f t="shared" si="57"/>
        <v>0</v>
      </c>
      <c r="O152" s="254">
        <f t="shared" si="57"/>
        <v>0</v>
      </c>
      <c r="P152" s="254">
        <f t="shared" si="57"/>
        <v>0</v>
      </c>
      <c r="Q152" s="254">
        <f t="shared" si="57"/>
        <v>0</v>
      </c>
    </row>
    <row r="153" spans="1:17" x14ac:dyDescent="0.25">
      <c r="B153" t="s">
        <v>428</v>
      </c>
      <c r="C153" s="253">
        <f t="shared" si="51"/>
        <v>0</v>
      </c>
      <c r="D153" s="253">
        <f t="shared" si="51"/>
        <v>0</v>
      </c>
      <c r="E153" s="253">
        <f t="shared" si="51"/>
        <v>0</v>
      </c>
      <c r="F153" s="253">
        <f t="shared" si="51"/>
        <v>0</v>
      </c>
      <c r="G153" s="253">
        <f t="shared" si="51"/>
        <v>3</v>
      </c>
      <c r="H153" s="254">
        <f t="shared" ref="H153:Q153" si="58">H20+H39+H58+H77+H96+H115+H134</f>
        <v>0</v>
      </c>
      <c r="I153" s="254">
        <f t="shared" si="58"/>
        <v>0</v>
      </c>
      <c r="J153" s="254">
        <f t="shared" si="58"/>
        <v>0</v>
      </c>
      <c r="K153" s="254">
        <f t="shared" si="58"/>
        <v>0</v>
      </c>
      <c r="L153" s="254">
        <f t="shared" si="58"/>
        <v>0</v>
      </c>
      <c r="M153" s="254">
        <f t="shared" si="58"/>
        <v>0</v>
      </c>
      <c r="N153" s="254">
        <f t="shared" si="58"/>
        <v>0</v>
      </c>
      <c r="O153" s="254">
        <f t="shared" si="58"/>
        <v>0</v>
      </c>
      <c r="P153" s="254">
        <f t="shared" si="58"/>
        <v>0</v>
      </c>
      <c r="Q153" s="254">
        <f t="shared" si="58"/>
        <v>0</v>
      </c>
    </row>
    <row r="154" spans="1:17" x14ac:dyDescent="0.25">
      <c r="B154" s="8" t="s">
        <v>419</v>
      </c>
      <c r="C154" s="255">
        <f>C21+C40+C59+C78+C97+C116+C135</f>
        <v>452</v>
      </c>
      <c r="D154" s="255">
        <f t="shared" si="51"/>
        <v>505</v>
      </c>
      <c r="E154" s="255">
        <f t="shared" si="51"/>
        <v>13904</v>
      </c>
      <c r="F154" s="255">
        <f t="shared" si="51"/>
        <v>14883</v>
      </c>
      <c r="G154" s="255">
        <f t="shared" si="51"/>
        <v>15930</v>
      </c>
      <c r="H154" s="256">
        <f t="shared" ref="H154:Q154" si="59">H21+H40+H59+H78+H97+H116+H135</f>
        <v>18746.399999999998</v>
      </c>
      <c r="I154" s="256">
        <f t="shared" si="59"/>
        <v>21576.882000000001</v>
      </c>
      <c r="J154" s="256">
        <f t="shared" si="59"/>
        <v>24421.516409999997</v>
      </c>
      <c r="K154" s="256">
        <f t="shared" si="59"/>
        <v>27280.373992049997</v>
      </c>
      <c r="L154" s="256">
        <f t="shared" si="59"/>
        <v>30153.525862010243</v>
      </c>
      <c r="M154" s="256">
        <f t="shared" si="59"/>
        <v>33041.043491320299</v>
      </c>
      <c r="N154" s="256">
        <f t="shared" si="59"/>
        <v>35942.998708776882</v>
      </c>
      <c r="O154" s="256">
        <f t="shared" si="59"/>
        <v>38859.463702320769</v>
      </c>
      <c r="P154" s="256">
        <f t="shared" si="59"/>
        <v>41790.511020832382</v>
      </c>
      <c r="Q154" s="256">
        <f t="shared" si="59"/>
        <v>44736.213575936541</v>
      </c>
    </row>
    <row r="155" spans="1:17" x14ac:dyDescent="0.25">
      <c r="B155" s="2" t="s">
        <v>420</v>
      </c>
      <c r="C155" s="253">
        <f t="shared" si="51"/>
        <v>310</v>
      </c>
      <c r="D155" s="253">
        <f t="shared" si="51"/>
        <v>383</v>
      </c>
      <c r="E155" s="253">
        <f t="shared" si="51"/>
        <v>427</v>
      </c>
      <c r="F155" s="253">
        <f t="shared" si="51"/>
        <v>626</v>
      </c>
      <c r="G155" s="253">
        <f t="shared" si="51"/>
        <v>1105</v>
      </c>
      <c r="H155" s="254">
        <f t="shared" ref="H155:Q155" si="60">H22+H41+H60+H79+H98+H117+H136</f>
        <v>1848</v>
      </c>
      <c r="I155" s="254">
        <f t="shared" si="60"/>
        <v>2178</v>
      </c>
      <c r="J155" s="254">
        <f t="shared" si="60"/>
        <v>2546.52</v>
      </c>
      <c r="K155" s="254">
        <f t="shared" si="60"/>
        <v>2880.0125999999996</v>
      </c>
      <c r="L155" s="254">
        <f t="shared" si="60"/>
        <v>3252.0426629999993</v>
      </c>
      <c r="M155" s="254">
        <f t="shared" si="60"/>
        <v>3589.0628763149994</v>
      </c>
      <c r="N155" s="254">
        <f t="shared" si="60"/>
        <v>3964.6381906965744</v>
      </c>
      <c r="O155" s="254">
        <f t="shared" si="60"/>
        <v>4305.2213816500571</v>
      </c>
      <c r="P155" s="254">
        <f t="shared" si="60"/>
        <v>4684.3774885583061</v>
      </c>
      <c r="Q155" s="254">
        <f t="shared" si="60"/>
        <v>5028.559376001097</v>
      </c>
    </row>
    <row r="156" spans="1:17" x14ac:dyDescent="0.25">
      <c r="B156" s="2" t="s">
        <v>421</v>
      </c>
      <c r="C156" s="253">
        <f t="shared" si="51"/>
        <v>88</v>
      </c>
      <c r="D156" s="253">
        <f t="shared" si="51"/>
        <v>71</v>
      </c>
      <c r="E156" s="253">
        <f t="shared" si="51"/>
        <v>248</v>
      </c>
      <c r="F156" s="253">
        <f t="shared" si="51"/>
        <v>495</v>
      </c>
      <c r="G156" s="253">
        <f t="shared" si="51"/>
        <v>862</v>
      </c>
      <c r="H156" s="254">
        <f t="shared" ref="H156:Q156" si="61">H23+H42+H61+H80+H99+H118+H137</f>
        <v>352.79999999999995</v>
      </c>
      <c r="I156" s="254">
        <f t="shared" si="61"/>
        <v>354.56399999999996</v>
      </c>
      <c r="J156" s="254">
        <f t="shared" si="61"/>
        <v>356.33681999999999</v>
      </c>
      <c r="K156" s="254">
        <f t="shared" si="61"/>
        <v>358.11850409999988</v>
      </c>
      <c r="L156" s="254">
        <f t="shared" si="61"/>
        <v>359.90909662049984</v>
      </c>
      <c r="M156" s="254">
        <f t="shared" si="61"/>
        <v>361.7086421036023</v>
      </c>
      <c r="N156" s="254">
        <f t="shared" si="61"/>
        <v>363.51718531412024</v>
      </c>
      <c r="O156" s="254">
        <f t="shared" si="61"/>
        <v>365.33477124069083</v>
      </c>
      <c r="P156" s="254">
        <f t="shared" si="61"/>
        <v>367.16144509689417</v>
      </c>
      <c r="Q156" s="254">
        <f t="shared" si="61"/>
        <v>368.9972523223787</v>
      </c>
    </row>
    <row r="157" spans="1:17" x14ac:dyDescent="0.25">
      <c r="B157" s="2" t="s">
        <v>417</v>
      </c>
      <c r="C157" s="253">
        <f t="shared" si="51"/>
        <v>-13</v>
      </c>
      <c r="D157" s="253">
        <f t="shared" si="51"/>
        <v>-27</v>
      </c>
      <c r="E157" s="253">
        <f t="shared" si="51"/>
        <v>-49</v>
      </c>
      <c r="F157" s="253">
        <f t="shared" si="51"/>
        <v>-16</v>
      </c>
      <c r="G157" s="253">
        <f t="shared" si="51"/>
        <v>-137</v>
      </c>
      <c r="H157" s="254">
        <f t="shared" ref="H157:Q157" si="62">H24+H43+H62+H81+H100+H119+H138</f>
        <v>0</v>
      </c>
      <c r="I157" s="254">
        <f t="shared" si="62"/>
        <v>0</v>
      </c>
      <c r="J157" s="254">
        <f t="shared" si="62"/>
        <v>0</v>
      </c>
      <c r="K157" s="254">
        <f t="shared" si="62"/>
        <v>0</v>
      </c>
      <c r="L157" s="254">
        <f t="shared" si="62"/>
        <v>0</v>
      </c>
      <c r="M157" s="254">
        <f t="shared" si="62"/>
        <v>0</v>
      </c>
      <c r="N157" s="254">
        <f t="shared" si="62"/>
        <v>0</v>
      </c>
      <c r="O157" s="254">
        <f t="shared" si="62"/>
        <v>0</v>
      </c>
      <c r="P157" s="254">
        <f t="shared" si="62"/>
        <v>0</v>
      </c>
      <c r="Q157" s="254">
        <f t="shared" si="62"/>
        <v>0</v>
      </c>
    </row>
    <row r="158" spans="1:17" x14ac:dyDescent="0.25">
      <c r="B158" t="s">
        <v>428</v>
      </c>
      <c r="C158" s="253">
        <v>0</v>
      </c>
      <c r="D158" s="253">
        <v>0</v>
      </c>
      <c r="E158" s="253">
        <v>0</v>
      </c>
      <c r="F158" s="253">
        <v>0</v>
      </c>
      <c r="G158" s="253">
        <v>0</v>
      </c>
      <c r="H158" s="254">
        <v>0</v>
      </c>
      <c r="I158" s="254">
        <v>0</v>
      </c>
      <c r="J158" s="254">
        <v>0</v>
      </c>
      <c r="K158" s="254">
        <v>0</v>
      </c>
      <c r="L158" s="254">
        <v>0</v>
      </c>
      <c r="M158" s="254">
        <v>0</v>
      </c>
      <c r="N158" s="254">
        <v>0</v>
      </c>
      <c r="O158" s="254">
        <v>0</v>
      </c>
      <c r="P158" s="254">
        <v>0</v>
      </c>
      <c r="Q158" s="254">
        <v>0</v>
      </c>
    </row>
    <row r="159" spans="1:17" x14ac:dyDescent="0.25">
      <c r="B159" t="s">
        <v>418</v>
      </c>
      <c r="C159" s="253">
        <f t="shared" ref="C159:G160" si="63">C26+C45+C64+C83+C102+C121+C140</f>
        <v>-2</v>
      </c>
      <c r="D159" s="253">
        <f t="shared" si="63"/>
        <v>0</v>
      </c>
      <c r="E159" s="253">
        <f t="shared" si="63"/>
        <v>0</v>
      </c>
      <c r="F159" s="253">
        <f t="shared" si="63"/>
        <v>0</v>
      </c>
      <c r="G159" s="253">
        <f t="shared" si="63"/>
        <v>0</v>
      </c>
      <c r="H159" s="254">
        <f t="shared" ref="H159:Q159" si="64">H26+H45+H64+H83+H102+H121+H140</f>
        <v>0</v>
      </c>
      <c r="I159" s="254">
        <f t="shared" si="64"/>
        <v>0</v>
      </c>
      <c r="J159" s="254">
        <f t="shared" si="64"/>
        <v>0</v>
      </c>
      <c r="K159" s="254">
        <f t="shared" si="64"/>
        <v>0</v>
      </c>
      <c r="L159" s="254">
        <f t="shared" si="64"/>
        <v>0</v>
      </c>
      <c r="M159" s="254">
        <f t="shared" si="64"/>
        <v>0</v>
      </c>
      <c r="N159" s="254">
        <f t="shared" si="64"/>
        <v>0</v>
      </c>
      <c r="O159" s="254">
        <f t="shared" si="64"/>
        <v>0</v>
      </c>
      <c r="P159" s="254">
        <f t="shared" si="64"/>
        <v>0</v>
      </c>
      <c r="Q159" s="254">
        <f t="shared" si="64"/>
        <v>0</v>
      </c>
    </row>
    <row r="160" spans="1:17" x14ac:dyDescent="0.25">
      <c r="B160" s="8" t="s">
        <v>199</v>
      </c>
      <c r="C160" s="255">
        <f t="shared" si="63"/>
        <v>383</v>
      </c>
      <c r="D160" s="255">
        <f t="shared" si="63"/>
        <v>427</v>
      </c>
      <c r="E160" s="255">
        <f t="shared" si="63"/>
        <v>626</v>
      </c>
      <c r="F160" s="255">
        <f t="shared" si="63"/>
        <v>1105</v>
      </c>
      <c r="G160" s="255">
        <f t="shared" si="63"/>
        <v>1833</v>
      </c>
      <c r="H160" s="256">
        <f t="shared" ref="H160:Q160" si="65">H27+H46+H65+H84+H103+H122+H141</f>
        <v>2200.8000000000002</v>
      </c>
      <c r="I160" s="256">
        <f t="shared" si="65"/>
        <v>2532.5639999999999</v>
      </c>
      <c r="J160" s="256">
        <f t="shared" si="65"/>
        <v>2902.8568199999995</v>
      </c>
      <c r="K160" s="256">
        <f t="shared" si="65"/>
        <v>3238.131104099999</v>
      </c>
      <c r="L160" s="256">
        <f t="shared" si="65"/>
        <v>3611.9517596204992</v>
      </c>
      <c r="M160" s="256">
        <f t="shared" si="65"/>
        <v>3950.7715184186018</v>
      </c>
      <c r="N160" s="256">
        <f t="shared" si="65"/>
        <v>4328.1553760106945</v>
      </c>
      <c r="O160" s="256">
        <f t="shared" si="65"/>
        <v>4670.5561528907474</v>
      </c>
      <c r="P160" s="256">
        <f t="shared" si="65"/>
        <v>5051.5389336552007</v>
      </c>
      <c r="Q160" s="256">
        <f t="shared" si="65"/>
        <v>5397.5566283234766</v>
      </c>
    </row>
    <row r="161" spans="1:17" x14ac:dyDescent="0.25">
      <c r="C161" s="253"/>
      <c r="D161" s="253"/>
      <c r="E161" s="253"/>
      <c r="F161" s="253"/>
      <c r="G161" s="253"/>
    </row>
    <row r="162" spans="1:17" x14ac:dyDescent="0.25">
      <c r="B162" s="8" t="s">
        <v>422</v>
      </c>
      <c r="C162" s="255">
        <f>C29+C48+C67+C86+C105+C124+C143</f>
        <v>69</v>
      </c>
      <c r="D162" s="255">
        <f>D29+D48+D67+D86+D105+D124+D143</f>
        <v>78</v>
      </c>
      <c r="E162" s="255">
        <f>E29+E48+E67+E86+E105+E124+E143</f>
        <v>13278</v>
      </c>
      <c r="F162" s="255">
        <f>F29+F48+F67+F86+F105+F124+F143</f>
        <v>13778</v>
      </c>
      <c r="G162" s="255">
        <f>G29+G48+G67+G86+G105+G124+G143</f>
        <v>14096</v>
      </c>
      <c r="H162" s="256">
        <f t="shared" ref="H162:Q162" si="66">H29+H48+H67+H86+H105+H124+H143</f>
        <v>16545.599999999999</v>
      </c>
      <c r="I162" s="256">
        <f t="shared" si="66"/>
        <v>19044.317999999999</v>
      </c>
      <c r="J162" s="256">
        <f t="shared" si="66"/>
        <v>21518.659589999999</v>
      </c>
      <c r="K162" s="256">
        <f t="shared" si="66"/>
        <v>24042.242887949997</v>
      </c>
      <c r="L162" s="256">
        <f t="shared" si="66"/>
        <v>26541.574102389746</v>
      </c>
      <c r="M162" s="256">
        <f t="shared" si="66"/>
        <v>29090.271972901697</v>
      </c>
      <c r="N162" s="256">
        <f t="shared" si="66"/>
        <v>31614.843332766199</v>
      </c>
      <c r="O162" s="256">
        <f t="shared" si="66"/>
        <v>34188.90754943002</v>
      </c>
      <c r="P162" s="256">
        <f t="shared" si="66"/>
        <v>36738.972087177171</v>
      </c>
      <c r="Q162" s="256">
        <f t="shared" si="66"/>
        <v>39338.656947613068</v>
      </c>
    </row>
    <row r="163" spans="1:17" x14ac:dyDescent="0.25">
      <c r="C163" s="253"/>
      <c r="D163" s="253"/>
      <c r="E163" s="253"/>
      <c r="F163" s="253"/>
      <c r="G163" s="253"/>
    </row>
    <row r="164" spans="1:17" x14ac:dyDescent="0.25">
      <c r="C164" s="253"/>
      <c r="D164" s="253"/>
      <c r="E164" s="253"/>
      <c r="F164" s="253"/>
      <c r="G164" s="253"/>
    </row>
    <row r="165" spans="1:17" x14ac:dyDescent="0.25">
      <c r="A165" t="s">
        <v>20</v>
      </c>
      <c r="B165" s="243" t="s">
        <v>425</v>
      </c>
      <c r="C165" s="253"/>
      <c r="D165" s="253"/>
      <c r="E165" s="253"/>
      <c r="F165" s="253"/>
      <c r="G165" s="253"/>
    </row>
    <row r="166" spans="1:17" x14ac:dyDescent="0.25">
      <c r="C166" s="253"/>
      <c r="D166" s="253"/>
      <c r="E166" s="253"/>
      <c r="F166" s="253"/>
      <c r="G166" s="253"/>
    </row>
    <row r="167" spans="1:17" x14ac:dyDescent="0.25">
      <c r="B167" s="1" t="s">
        <v>443</v>
      </c>
      <c r="C167" s="253"/>
      <c r="D167" s="253"/>
      <c r="E167" s="253"/>
      <c r="F167" s="253"/>
      <c r="G167" s="253"/>
    </row>
    <row r="168" spans="1:17" x14ac:dyDescent="0.25">
      <c r="B168" s="3" t="s">
        <v>416</v>
      </c>
      <c r="C168" s="267">
        <v>0</v>
      </c>
      <c r="D168" s="267">
        <v>0</v>
      </c>
      <c r="E168" s="267">
        <v>0</v>
      </c>
      <c r="F168" s="267">
        <v>0</v>
      </c>
      <c r="G168" s="265">
        <v>0</v>
      </c>
      <c r="H168" s="258">
        <f>G175</f>
        <v>949</v>
      </c>
      <c r="I168" s="258">
        <f t="shared" ref="I168:Q168" si="67">H175</f>
        <v>949</v>
      </c>
      <c r="J168" s="258">
        <f t="shared" si="67"/>
        <v>949</v>
      </c>
      <c r="K168" s="258">
        <f t="shared" si="67"/>
        <v>949</v>
      </c>
      <c r="L168" s="258">
        <f t="shared" si="67"/>
        <v>949</v>
      </c>
      <c r="M168" s="258">
        <f t="shared" si="67"/>
        <v>949</v>
      </c>
      <c r="N168" s="258">
        <f t="shared" si="67"/>
        <v>949</v>
      </c>
      <c r="O168" s="258">
        <f t="shared" si="67"/>
        <v>949</v>
      </c>
      <c r="P168" s="258">
        <f t="shared" si="67"/>
        <v>949</v>
      </c>
      <c r="Q168" s="258">
        <f t="shared" si="67"/>
        <v>949</v>
      </c>
    </row>
    <row r="169" spans="1:17" x14ac:dyDescent="0.25">
      <c r="B169" s="96" t="s">
        <v>415</v>
      </c>
      <c r="C169" s="266">
        <v>0</v>
      </c>
      <c r="D169" s="266">
        <v>0</v>
      </c>
      <c r="E169" s="266">
        <v>0</v>
      </c>
      <c r="F169" s="266">
        <v>0</v>
      </c>
      <c r="G169" s="266">
        <v>0</v>
      </c>
      <c r="H169" s="254">
        <f>AVERAGE(D169:G169)</f>
        <v>0</v>
      </c>
      <c r="I169" s="254">
        <f>H169*(1+Assumption!$C$14)</f>
        <v>0</v>
      </c>
      <c r="J169" s="254">
        <f>I169*(1+Assumption!$C$14)</f>
        <v>0</v>
      </c>
      <c r="K169" s="254">
        <f>J169*(1+Assumption!$C$14)</f>
        <v>0</v>
      </c>
      <c r="L169" s="254">
        <f>K169*(1+Assumption!$C$14)</f>
        <v>0</v>
      </c>
      <c r="M169" s="254">
        <f>L169*(1+Assumption!$C$14)</f>
        <v>0</v>
      </c>
      <c r="N169" s="254">
        <f>M169*(1+Assumption!$C$14)</f>
        <v>0</v>
      </c>
      <c r="O169" s="254">
        <f>N169*(1+Assumption!$C$14)</f>
        <v>0</v>
      </c>
      <c r="P169" s="254">
        <f>O169*(1+Assumption!$C$14)</f>
        <v>0</v>
      </c>
      <c r="Q169" s="254">
        <f>P169*(1+Assumption!$C$14)</f>
        <v>0</v>
      </c>
    </row>
    <row r="170" spans="1:17" x14ac:dyDescent="0.25">
      <c r="B170" t="s">
        <v>417</v>
      </c>
      <c r="C170" s="253">
        <v>0</v>
      </c>
      <c r="D170" s="253">
        <v>0</v>
      </c>
      <c r="E170" s="253">
        <v>0</v>
      </c>
      <c r="F170" s="253">
        <v>0</v>
      </c>
      <c r="G170" s="253">
        <v>0</v>
      </c>
      <c r="H170" s="254">
        <v>0</v>
      </c>
      <c r="I170" s="254">
        <v>0</v>
      </c>
      <c r="J170" s="254">
        <v>0</v>
      </c>
      <c r="K170" s="254">
        <v>0</v>
      </c>
      <c r="L170" s="254">
        <v>0</v>
      </c>
      <c r="M170" s="254">
        <v>0</v>
      </c>
      <c r="N170" s="254">
        <v>0</v>
      </c>
      <c r="O170" s="254">
        <v>0</v>
      </c>
      <c r="P170" s="254">
        <v>0</v>
      </c>
      <c r="Q170" s="254">
        <v>0</v>
      </c>
    </row>
    <row r="171" spans="1:17" x14ac:dyDescent="0.25">
      <c r="B171" t="s">
        <v>100</v>
      </c>
      <c r="C171" s="253">
        <v>0</v>
      </c>
      <c r="D171" s="253">
        <v>0</v>
      </c>
      <c r="E171" s="253">
        <v>0</v>
      </c>
      <c r="F171" s="253">
        <v>0</v>
      </c>
      <c r="G171" s="253">
        <v>949</v>
      </c>
      <c r="H171" s="254">
        <v>0</v>
      </c>
      <c r="I171" s="254">
        <v>0</v>
      </c>
      <c r="J171" s="254">
        <v>0</v>
      </c>
      <c r="K171" s="254">
        <v>0</v>
      </c>
      <c r="L171" s="254">
        <v>0</v>
      </c>
      <c r="M171" s="254">
        <v>0</v>
      </c>
      <c r="N171" s="254">
        <v>0</v>
      </c>
      <c r="O171" s="254">
        <v>0</v>
      </c>
      <c r="P171" s="254">
        <v>0</v>
      </c>
      <c r="Q171" s="254">
        <v>0</v>
      </c>
    </row>
    <row r="172" spans="1:17" x14ac:dyDescent="0.25">
      <c r="B172" t="s">
        <v>427</v>
      </c>
      <c r="C172" s="253">
        <v>0</v>
      </c>
      <c r="D172" s="253">
        <v>0</v>
      </c>
      <c r="E172" s="253">
        <v>0</v>
      </c>
      <c r="F172" s="253">
        <v>0</v>
      </c>
      <c r="G172" s="253">
        <v>0</v>
      </c>
      <c r="H172" s="254">
        <v>0</v>
      </c>
      <c r="I172" s="254">
        <v>0</v>
      </c>
      <c r="J172" s="254">
        <v>0</v>
      </c>
      <c r="K172" s="254">
        <v>0</v>
      </c>
      <c r="L172" s="254">
        <v>0</v>
      </c>
      <c r="M172" s="254">
        <v>0</v>
      </c>
      <c r="N172" s="254">
        <v>0</v>
      </c>
      <c r="O172" s="254">
        <v>0</v>
      </c>
      <c r="P172" s="254">
        <v>0</v>
      </c>
      <c r="Q172" s="254">
        <v>0</v>
      </c>
    </row>
    <row r="173" spans="1:17" x14ac:dyDescent="0.25">
      <c r="B173" t="s">
        <v>418</v>
      </c>
      <c r="C173" s="253">
        <v>0</v>
      </c>
      <c r="D173" s="253">
        <v>0</v>
      </c>
      <c r="E173" s="253">
        <v>0</v>
      </c>
      <c r="F173" s="253">
        <v>0</v>
      </c>
      <c r="G173" s="253">
        <v>0</v>
      </c>
      <c r="H173" s="254">
        <v>0</v>
      </c>
      <c r="I173" s="254">
        <v>0</v>
      </c>
      <c r="J173" s="254">
        <v>0</v>
      </c>
      <c r="K173" s="254">
        <v>0</v>
      </c>
      <c r="L173" s="254">
        <v>0</v>
      </c>
      <c r="M173" s="254">
        <v>0</v>
      </c>
      <c r="N173" s="254">
        <v>0</v>
      </c>
      <c r="O173" s="254">
        <v>0</v>
      </c>
      <c r="P173" s="254">
        <v>0</v>
      </c>
      <c r="Q173" s="254">
        <v>0</v>
      </c>
    </row>
    <row r="174" spans="1:17" x14ac:dyDescent="0.25">
      <c r="B174" t="s">
        <v>428</v>
      </c>
      <c r="C174" s="253">
        <v>0</v>
      </c>
      <c r="D174" s="253">
        <v>0</v>
      </c>
      <c r="E174" s="253">
        <v>0</v>
      </c>
      <c r="F174" s="253">
        <v>0</v>
      </c>
      <c r="G174" s="253">
        <v>0</v>
      </c>
      <c r="H174" s="254">
        <v>0</v>
      </c>
      <c r="I174" s="254">
        <v>0</v>
      </c>
      <c r="J174" s="254">
        <v>0</v>
      </c>
      <c r="K174" s="254">
        <v>0</v>
      </c>
      <c r="L174" s="254">
        <v>0</v>
      </c>
      <c r="M174" s="254">
        <v>0</v>
      </c>
      <c r="N174" s="254">
        <v>0</v>
      </c>
      <c r="O174" s="254">
        <v>0</v>
      </c>
      <c r="P174" s="254">
        <v>0</v>
      </c>
      <c r="Q174" s="254">
        <v>0</v>
      </c>
    </row>
    <row r="175" spans="1:17" x14ac:dyDescent="0.25">
      <c r="B175" s="8" t="s">
        <v>419</v>
      </c>
      <c r="C175" s="255">
        <f t="shared" ref="C175:F175" si="68">SUM(C168:C174)</f>
        <v>0</v>
      </c>
      <c r="D175" s="255">
        <f t="shared" si="68"/>
        <v>0</v>
      </c>
      <c r="E175" s="255">
        <f t="shared" si="68"/>
        <v>0</v>
      </c>
      <c r="F175" s="255">
        <f t="shared" si="68"/>
        <v>0</v>
      </c>
      <c r="G175" s="255">
        <f>SUM(G168:G174)</f>
        <v>949</v>
      </c>
      <c r="H175" s="256">
        <f t="shared" ref="H175:Q175" si="69">SUM(H168:H174)</f>
        <v>949</v>
      </c>
      <c r="I175" s="256">
        <f t="shared" si="69"/>
        <v>949</v>
      </c>
      <c r="J175" s="256">
        <f t="shared" si="69"/>
        <v>949</v>
      </c>
      <c r="K175" s="256">
        <f t="shared" si="69"/>
        <v>949</v>
      </c>
      <c r="L175" s="256">
        <f t="shared" si="69"/>
        <v>949</v>
      </c>
      <c r="M175" s="256">
        <f t="shared" si="69"/>
        <v>949</v>
      </c>
      <c r="N175" s="256">
        <f t="shared" si="69"/>
        <v>949</v>
      </c>
      <c r="O175" s="256">
        <f t="shared" si="69"/>
        <v>949</v>
      </c>
      <c r="P175" s="256">
        <f t="shared" si="69"/>
        <v>949</v>
      </c>
      <c r="Q175" s="256">
        <f t="shared" si="69"/>
        <v>949</v>
      </c>
    </row>
    <row r="176" spans="1:17" x14ac:dyDescent="0.25">
      <c r="B176" s="2" t="s">
        <v>420</v>
      </c>
      <c r="C176" s="253">
        <v>0</v>
      </c>
      <c r="D176" s="253">
        <v>0</v>
      </c>
      <c r="E176" s="253">
        <v>0</v>
      </c>
      <c r="F176" s="253">
        <v>0</v>
      </c>
      <c r="G176" s="253">
        <v>0</v>
      </c>
      <c r="H176" s="254">
        <f>G181</f>
        <v>122</v>
      </c>
      <c r="I176" s="254">
        <f t="shared" ref="I176:Q176" si="70">H181</f>
        <v>146.4</v>
      </c>
      <c r="J176" s="254">
        <f t="shared" si="70"/>
        <v>170.922</v>
      </c>
      <c r="K176" s="254">
        <f t="shared" si="70"/>
        <v>195.56661</v>
      </c>
      <c r="L176" s="254">
        <f t="shared" si="70"/>
        <v>220.33444304999998</v>
      </c>
      <c r="M176" s="254">
        <f t="shared" si="70"/>
        <v>245.22611526524997</v>
      </c>
      <c r="N176" s="254">
        <f t="shared" si="70"/>
        <v>270.24224584157622</v>
      </c>
      <c r="O176" s="254">
        <f t="shared" si="70"/>
        <v>295.38345707078406</v>
      </c>
      <c r="P176" s="254">
        <f t="shared" si="70"/>
        <v>320.65037435613795</v>
      </c>
      <c r="Q176" s="254">
        <f t="shared" si="70"/>
        <v>346.04362622791859</v>
      </c>
    </row>
    <row r="177" spans="2:17" x14ac:dyDescent="0.25">
      <c r="B177" s="2" t="s">
        <v>421</v>
      </c>
      <c r="C177" s="253">
        <v>0</v>
      </c>
      <c r="D177" s="253">
        <v>0</v>
      </c>
      <c r="E177" s="253">
        <v>0</v>
      </c>
      <c r="F177" s="253">
        <v>0</v>
      </c>
      <c r="G177" s="253">
        <v>122</v>
      </c>
      <c r="H177" s="254">
        <f>AVERAGE(C177:G177)</f>
        <v>24.4</v>
      </c>
      <c r="I177" s="254">
        <f>H177*(1+Assumption!$C$16)</f>
        <v>24.521999999999995</v>
      </c>
      <c r="J177" s="254">
        <f>I177*(1+Assumption!$C$16)</f>
        <v>24.644609999999993</v>
      </c>
      <c r="K177" s="254">
        <f>J177*(1+Assumption!$C$16)</f>
        <v>24.767833049999989</v>
      </c>
      <c r="L177" s="254">
        <f>K177*(1+Assumption!$C$16)</f>
        <v>24.891672215249987</v>
      </c>
      <c r="M177" s="254">
        <f>L177*(1+Assumption!$C$16)</f>
        <v>25.016130576326233</v>
      </c>
      <c r="N177" s="254">
        <f>M177*(1+Assumption!$C$16)</f>
        <v>25.141211229207862</v>
      </c>
      <c r="O177" s="254">
        <f>N177*(1+Assumption!$C$16)</f>
        <v>25.266917285353898</v>
      </c>
      <c r="P177" s="254">
        <f>O177*(1+Assumption!$C$16)</f>
        <v>25.393251871780667</v>
      </c>
      <c r="Q177" s="254">
        <f>P177*(1+Assumption!$C$16)</f>
        <v>25.520218131139568</v>
      </c>
    </row>
    <row r="178" spans="2:17" x14ac:dyDescent="0.25">
      <c r="B178" s="2" t="s">
        <v>417</v>
      </c>
      <c r="C178" s="253">
        <v>0</v>
      </c>
      <c r="D178" s="253">
        <v>0</v>
      </c>
      <c r="E178" s="253">
        <v>0</v>
      </c>
      <c r="F178" s="253">
        <v>0</v>
      </c>
      <c r="G178" s="253">
        <v>0</v>
      </c>
      <c r="H178" s="254">
        <v>0</v>
      </c>
      <c r="I178" s="254">
        <v>0</v>
      </c>
      <c r="J178" s="254">
        <v>0</v>
      </c>
      <c r="K178" s="254">
        <v>0</v>
      </c>
      <c r="L178" s="254">
        <v>0</v>
      </c>
      <c r="M178" s="254">
        <v>0</v>
      </c>
      <c r="N178" s="254">
        <v>0</v>
      </c>
      <c r="O178" s="254">
        <v>0</v>
      </c>
      <c r="P178" s="254">
        <v>0</v>
      </c>
      <c r="Q178" s="254">
        <v>0</v>
      </c>
    </row>
    <row r="179" spans="2:17" x14ac:dyDescent="0.25">
      <c r="B179" t="s">
        <v>418</v>
      </c>
      <c r="C179" s="253">
        <v>0</v>
      </c>
      <c r="D179" s="253">
        <v>0</v>
      </c>
      <c r="E179" s="253">
        <v>0</v>
      </c>
      <c r="F179" s="253">
        <v>0</v>
      </c>
      <c r="G179" s="253">
        <v>0</v>
      </c>
      <c r="H179" s="254">
        <v>0</v>
      </c>
      <c r="I179" s="254">
        <v>0</v>
      </c>
      <c r="J179" s="254">
        <v>0</v>
      </c>
      <c r="K179" s="254">
        <v>0</v>
      </c>
      <c r="L179" s="254">
        <v>0</v>
      </c>
      <c r="M179" s="254">
        <v>0</v>
      </c>
      <c r="N179" s="254">
        <v>0</v>
      </c>
      <c r="O179" s="254">
        <v>0</v>
      </c>
      <c r="P179" s="254">
        <v>0</v>
      </c>
      <c r="Q179" s="254">
        <v>0</v>
      </c>
    </row>
    <row r="180" spans="2:17" x14ac:dyDescent="0.25">
      <c r="B180" t="s">
        <v>428</v>
      </c>
      <c r="C180" s="253">
        <v>0</v>
      </c>
      <c r="D180" s="253">
        <v>0</v>
      </c>
      <c r="E180" s="253">
        <v>0</v>
      </c>
      <c r="F180" s="253">
        <v>0</v>
      </c>
      <c r="G180" s="253">
        <v>0</v>
      </c>
      <c r="H180" s="254">
        <v>0</v>
      </c>
      <c r="I180" s="254">
        <v>0</v>
      </c>
      <c r="J180" s="254">
        <v>0</v>
      </c>
      <c r="K180" s="254">
        <v>0</v>
      </c>
      <c r="L180" s="254">
        <v>0</v>
      </c>
      <c r="M180" s="254">
        <v>0</v>
      </c>
      <c r="N180" s="254">
        <v>0</v>
      </c>
      <c r="O180" s="254">
        <v>0</v>
      </c>
      <c r="P180" s="254">
        <v>0</v>
      </c>
      <c r="Q180" s="254">
        <v>0</v>
      </c>
    </row>
    <row r="181" spans="2:17" x14ac:dyDescent="0.25">
      <c r="B181" s="8" t="s">
        <v>199</v>
      </c>
      <c r="C181" s="255">
        <f t="shared" ref="C181:F181" si="71">SUM(C176:C180)</f>
        <v>0</v>
      </c>
      <c r="D181" s="255">
        <f t="shared" si="71"/>
        <v>0</v>
      </c>
      <c r="E181" s="255">
        <f t="shared" si="71"/>
        <v>0</v>
      </c>
      <c r="F181" s="255">
        <f t="shared" si="71"/>
        <v>0</v>
      </c>
      <c r="G181" s="255">
        <f>SUM(G176:G180)</f>
        <v>122</v>
      </c>
      <c r="H181" s="256">
        <f t="shared" ref="H181:Q181" si="72">SUM(H176:H180)</f>
        <v>146.4</v>
      </c>
      <c r="I181" s="256">
        <f t="shared" si="72"/>
        <v>170.922</v>
      </c>
      <c r="J181" s="256">
        <f t="shared" si="72"/>
        <v>195.56661</v>
      </c>
      <c r="K181" s="256">
        <f t="shared" si="72"/>
        <v>220.33444304999998</v>
      </c>
      <c r="L181" s="256">
        <f t="shared" si="72"/>
        <v>245.22611526524997</v>
      </c>
      <c r="M181" s="256">
        <f t="shared" si="72"/>
        <v>270.24224584157622</v>
      </c>
      <c r="N181" s="256">
        <f t="shared" si="72"/>
        <v>295.38345707078406</v>
      </c>
      <c r="O181" s="256">
        <f t="shared" si="72"/>
        <v>320.65037435613795</v>
      </c>
      <c r="P181" s="256">
        <f t="shared" si="72"/>
        <v>346.04362622791859</v>
      </c>
      <c r="Q181" s="256">
        <f t="shared" si="72"/>
        <v>371.56384435905818</v>
      </c>
    </row>
    <row r="182" spans="2:17" x14ac:dyDescent="0.25">
      <c r="C182" s="253"/>
      <c r="D182" s="253"/>
      <c r="E182" s="253"/>
      <c r="F182" s="253"/>
      <c r="G182" s="253"/>
    </row>
    <row r="183" spans="2:17" x14ac:dyDescent="0.25">
      <c r="B183" s="8" t="s">
        <v>422</v>
      </c>
      <c r="C183" s="255">
        <f t="shared" ref="C183:F183" si="73">C175-C181</f>
        <v>0</v>
      </c>
      <c r="D183" s="255">
        <f t="shared" si="73"/>
        <v>0</v>
      </c>
      <c r="E183" s="255">
        <f t="shared" si="73"/>
        <v>0</v>
      </c>
      <c r="F183" s="255">
        <f t="shared" si="73"/>
        <v>0</v>
      </c>
      <c r="G183" s="255">
        <f>G175-G181</f>
        <v>827</v>
      </c>
      <c r="H183" s="256">
        <f t="shared" ref="H183:Q183" si="74">H175-H181</f>
        <v>802.6</v>
      </c>
      <c r="I183" s="256">
        <f t="shared" si="74"/>
        <v>778.07799999999997</v>
      </c>
      <c r="J183" s="256">
        <f t="shared" si="74"/>
        <v>753.43339000000003</v>
      </c>
      <c r="K183" s="256">
        <f t="shared" si="74"/>
        <v>728.66555695</v>
      </c>
      <c r="L183" s="256">
        <f t="shared" si="74"/>
        <v>703.77388473475003</v>
      </c>
      <c r="M183" s="256">
        <f t="shared" si="74"/>
        <v>678.75775415842372</v>
      </c>
      <c r="N183" s="256">
        <f t="shared" si="74"/>
        <v>653.61654292921594</v>
      </c>
      <c r="O183" s="256">
        <f t="shared" si="74"/>
        <v>628.34962564386205</v>
      </c>
      <c r="P183" s="256">
        <f t="shared" si="74"/>
        <v>602.95637377208141</v>
      </c>
      <c r="Q183" s="256">
        <f t="shared" si="74"/>
        <v>577.43615564094182</v>
      </c>
    </row>
    <row r="184" spans="2:17" x14ac:dyDescent="0.25">
      <c r="C184" s="253"/>
      <c r="D184" s="253"/>
      <c r="E184" s="253"/>
      <c r="F184" s="253"/>
      <c r="G184" s="253"/>
    </row>
    <row r="185" spans="2:17" x14ac:dyDescent="0.25">
      <c r="C185" s="253"/>
      <c r="D185" s="253"/>
      <c r="E185" s="253"/>
      <c r="F185" s="253"/>
      <c r="G185" s="253"/>
    </row>
    <row r="186" spans="2:17" x14ac:dyDescent="0.25">
      <c r="B186" s="1" t="s">
        <v>426</v>
      </c>
      <c r="C186" s="253"/>
      <c r="D186" s="253"/>
      <c r="E186" s="253"/>
      <c r="F186" s="253"/>
      <c r="G186" s="253"/>
    </row>
    <row r="187" spans="2:17" x14ac:dyDescent="0.25">
      <c r="B187" s="3" t="s">
        <v>416</v>
      </c>
      <c r="C187" s="265">
        <v>32</v>
      </c>
      <c r="D187" s="265">
        <f>C194</f>
        <v>88</v>
      </c>
      <c r="E187" s="265">
        <f t="shared" ref="E187:G187" si="75">D194</f>
        <v>91</v>
      </c>
      <c r="F187" s="265">
        <f t="shared" si="75"/>
        <v>99</v>
      </c>
      <c r="G187" s="265">
        <f t="shared" si="75"/>
        <v>100</v>
      </c>
      <c r="H187" s="250">
        <f>G194</f>
        <v>100</v>
      </c>
      <c r="I187" s="250">
        <f t="shared" ref="I187:Q187" si="76">H194</f>
        <v>100</v>
      </c>
      <c r="J187" s="250">
        <f t="shared" si="76"/>
        <v>100</v>
      </c>
      <c r="K187" s="250">
        <f t="shared" si="76"/>
        <v>100</v>
      </c>
      <c r="L187" s="250">
        <f t="shared" si="76"/>
        <v>100</v>
      </c>
      <c r="M187" s="250">
        <f t="shared" si="76"/>
        <v>100</v>
      </c>
      <c r="N187" s="250">
        <f t="shared" si="76"/>
        <v>100</v>
      </c>
      <c r="O187" s="250">
        <f t="shared" si="76"/>
        <v>100</v>
      </c>
      <c r="P187" s="250">
        <f t="shared" si="76"/>
        <v>100</v>
      </c>
      <c r="Q187" s="250">
        <f t="shared" si="76"/>
        <v>100</v>
      </c>
    </row>
    <row r="188" spans="2:17" x14ac:dyDescent="0.25">
      <c r="B188" s="96" t="s">
        <v>415</v>
      </c>
      <c r="C188" s="266">
        <v>0</v>
      </c>
      <c r="D188" s="266">
        <v>0</v>
      </c>
      <c r="E188" s="266">
        <v>0</v>
      </c>
      <c r="F188" s="266">
        <v>0</v>
      </c>
      <c r="G188" s="266">
        <v>0</v>
      </c>
      <c r="H188" s="254">
        <f>AVERAGE(D188:G188)</f>
        <v>0</v>
      </c>
      <c r="I188" s="254">
        <f>H188*(1+Assumption!$C$14)</f>
        <v>0</v>
      </c>
      <c r="J188" s="254">
        <f>I188*(1+Assumption!$C$14)</f>
        <v>0</v>
      </c>
      <c r="K188" s="254">
        <f>J188*(1+Assumption!$C$14)</f>
        <v>0</v>
      </c>
      <c r="L188" s="254">
        <f>K188*(1+Assumption!$C$14)</f>
        <v>0</v>
      </c>
      <c r="M188" s="254">
        <f>L188*(1+Assumption!$C$14)</f>
        <v>0</v>
      </c>
      <c r="N188" s="254">
        <f>M188*(1+Assumption!$C$14)</f>
        <v>0</v>
      </c>
      <c r="O188" s="254">
        <f>N188*(1+Assumption!$C$14)</f>
        <v>0</v>
      </c>
      <c r="P188" s="254">
        <f>O188*(1+Assumption!$C$14)</f>
        <v>0</v>
      </c>
      <c r="Q188" s="254">
        <f>P188*(1+Assumption!$C$14)</f>
        <v>0</v>
      </c>
    </row>
    <row r="189" spans="2:17" x14ac:dyDescent="0.25">
      <c r="B189" t="s">
        <v>417</v>
      </c>
      <c r="C189" s="253">
        <v>0</v>
      </c>
      <c r="D189" s="253">
        <v>0</v>
      </c>
      <c r="E189" s="253">
        <v>0</v>
      </c>
      <c r="F189" s="253">
        <v>0</v>
      </c>
      <c r="G189" s="253">
        <v>0</v>
      </c>
      <c r="H189" s="254">
        <v>0</v>
      </c>
      <c r="I189" s="254">
        <v>0</v>
      </c>
      <c r="J189" s="254">
        <v>0</v>
      </c>
      <c r="K189" s="254">
        <v>0</v>
      </c>
      <c r="L189" s="254">
        <v>0</v>
      </c>
      <c r="M189" s="254">
        <v>0</v>
      </c>
      <c r="N189" s="254">
        <v>0</v>
      </c>
      <c r="O189" s="254">
        <v>0</v>
      </c>
      <c r="P189" s="254">
        <v>0</v>
      </c>
      <c r="Q189" s="254">
        <v>0</v>
      </c>
    </row>
    <row r="190" spans="2:17" x14ac:dyDescent="0.25">
      <c r="B190" t="s">
        <v>100</v>
      </c>
      <c r="C190" s="253">
        <v>88</v>
      </c>
      <c r="D190" s="253">
        <v>0</v>
      </c>
      <c r="E190" s="253">
        <v>0</v>
      </c>
      <c r="F190" s="253">
        <v>0</v>
      </c>
      <c r="G190" s="253">
        <v>0</v>
      </c>
      <c r="H190" s="254">
        <v>0</v>
      </c>
      <c r="I190" s="254">
        <v>0</v>
      </c>
      <c r="J190" s="254">
        <v>0</v>
      </c>
      <c r="K190" s="254">
        <v>0</v>
      </c>
      <c r="L190" s="254">
        <v>0</v>
      </c>
      <c r="M190" s="254">
        <v>0</v>
      </c>
      <c r="N190" s="254">
        <v>0</v>
      </c>
      <c r="O190" s="254">
        <v>0</v>
      </c>
      <c r="P190" s="254">
        <v>0</v>
      </c>
      <c r="Q190" s="254">
        <v>0</v>
      </c>
    </row>
    <row r="191" spans="2:17" x14ac:dyDescent="0.25">
      <c r="B191" t="s">
        <v>427</v>
      </c>
      <c r="C191" s="253">
        <v>0</v>
      </c>
      <c r="D191" s="253">
        <v>0</v>
      </c>
      <c r="E191" s="253">
        <v>0</v>
      </c>
      <c r="F191" s="253">
        <v>0</v>
      </c>
      <c r="G191" s="253">
        <v>0</v>
      </c>
      <c r="H191" s="254">
        <v>0</v>
      </c>
      <c r="I191" s="254">
        <v>0</v>
      </c>
      <c r="J191" s="254">
        <v>0</v>
      </c>
      <c r="K191" s="254">
        <v>0</v>
      </c>
      <c r="L191" s="254">
        <v>0</v>
      </c>
      <c r="M191" s="254">
        <v>0</v>
      </c>
      <c r="N191" s="254">
        <v>0</v>
      </c>
      <c r="O191" s="254">
        <v>0</v>
      </c>
      <c r="P191" s="254">
        <v>0</v>
      </c>
      <c r="Q191" s="254">
        <v>0</v>
      </c>
    </row>
    <row r="192" spans="2:17" x14ac:dyDescent="0.25">
      <c r="B192" t="s">
        <v>418</v>
      </c>
      <c r="C192" s="253">
        <v>-32</v>
      </c>
      <c r="D192" s="253">
        <v>0</v>
      </c>
      <c r="E192" s="253">
        <v>0</v>
      </c>
      <c r="F192" s="253">
        <v>0</v>
      </c>
      <c r="G192" s="253">
        <v>0</v>
      </c>
      <c r="H192" s="254">
        <v>0</v>
      </c>
      <c r="I192" s="254">
        <v>0</v>
      </c>
      <c r="J192" s="254">
        <v>0</v>
      </c>
      <c r="K192" s="254">
        <v>0</v>
      </c>
      <c r="L192" s="254">
        <v>0</v>
      </c>
      <c r="M192" s="254">
        <v>0</v>
      </c>
      <c r="N192" s="254">
        <v>0</v>
      </c>
      <c r="O192" s="254">
        <v>0</v>
      </c>
      <c r="P192" s="254">
        <v>0</v>
      </c>
      <c r="Q192" s="254">
        <v>0</v>
      </c>
    </row>
    <row r="193" spans="2:17" x14ac:dyDescent="0.25">
      <c r="B193" t="s">
        <v>428</v>
      </c>
      <c r="C193" s="253">
        <v>0</v>
      </c>
      <c r="D193" s="253">
        <v>3</v>
      </c>
      <c r="E193" s="253">
        <v>8</v>
      </c>
      <c r="F193" s="253">
        <v>1</v>
      </c>
      <c r="G193" s="253">
        <v>0</v>
      </c>
      <c r="H193" s="254">
        <v>0</v>
      </c>
      <c r="I193" s="254">
        <v>0</v>
      </c>
      <c r="J193" s="254">
        <v>0</v>
      </c>
      <c r="K193" s="254">
        <v>0</v>
      </c>
      <c r="L193" s="254">
        <v>0</v>
      </c>
      <c r="M193" s="254">
        <v>0</v>
      </c>
      <c r="N193" s="254">
        <v>0</v>
      </c>
      <c r="O193" s="254">
        <v>0</v>
      </c>
      <c r="P193" s="254">
        <v>0</v>
      </c>
      <c r="Q193" s="254">
        <v>0</v>
      </c>
    </row>
    <row r="194" spans="2:17" x14ac:dyDescent="0.25">
      <c r="B194" s="8" t="s">
        <v>419</v>
      </c>
      <c r="C194" s="255">
        <f>SUM(C187:C193)</f>
        <v>88</v>
      </c>
      <c r="D194" s="255">
        <f t="shared" ref="D194:Q194" si="77">SUM(D187:D193)</f>
        <v>91</v>
      </c>
      <c r="E194" s="255">
        <f t="shared" si="77"/>
        <v>99</v>
      </c>
      <c r="F194" s="255">
        <f t="shared" si="77"/>
        <v>100</v>
      </c>
      <c r="G194" s="255">
        <f t="shared" si="77"/>
        <v>100</v>
      </c>
      <c r="H194" s="256">
        <f t="shared" si="77"/>
        <v>100</v>
      </c>
      <c r="I194" s="256">
        <f t="shared" si="77"/>
        <v>100</v>
      </c>
      <c r="J194" s="256">
        <f t="shared" si="77"/>
        <v>100</v>
      </c>
      <c r="K194" s="256">
        <f t="shared" si="77"/>
        <v>100</v>
      </c>
      <c r="L194" s="256">
        <f t="shared" si="77"/>
        <v>100</v>
      </c>
      <c r="M194" s="256">
        <f t="shared" si="77"/>
        <v>100</v>
      </c>
      <c r="N194" s="256">
        <f t="shared" si="77"/>
        <v>100</v>
      </c>
      <c r="O194" s="256">
        <f t="shared" si="77"/>
        <v>100</v>
      </c>
      <c r="P194" s="256">
        <f t="shared" si="77"/>
        <v>100</v>
      </c>
      <c r="Q194" s="256">
        <f t="shared" si="77"/>
        <v>100</v>
      </c>
    </row>
    <row r="195" spans="2:17" x14ac:dyDescent="0.25">
      <c r="B195" s="2" t="s">
        <v>420</v>
      </c>
      <c r="C195" s="253">
        <v>32</v>
      </c>
      <c r="D195" s="253">
        <f>C200</f>
        <v>11</v>
      </c>
      <c r="E195" s="253">
        <f t="shared" ref="E195:G195" si="78">D200</f>
        <v>57</v>
      </c>
      <c r="F195" s="253">
        <f t="shared" si="78"/>
        <v>99</v>
      </c>
      <c r="G195" s="253">
        <f t="shared" si="78"/>
        <v>100</v>
      </c>
      <c r="H195" s="254">
        <f>G200</f>
        <v>100</v>
      </c>
      <c r="I195" s="254">
        <f t="shared" ref="I195:Q195" si="79">H200</f>
        <v>118.4</v>
      </c>
      <c r="J195" s="254">
        <f t="shared" si="79"/>
        <v>136.892</v>
      </c>
      <c r="K195" s="254">
        <f t="shared" si="79"/>
        <v>155.47646</v>
      </c>
      <c r="L195" s="254">
        <f t="shared" si="79"/>
        <v>174.15384230000001</v>
      </c>
      <c r="M195" s="254">
        <f t="shared" si="79"/>
        <v>192.92461151149999</v>
      </c>
      <c r="N195" s="254">
        <f t="shared" si="79"/>
        <v>211.78923456905747</v>
      </c>
      <c r="O195" s="254">
        <f t="shared" si="79"/>
        <v>230.74818074190276</v>
      </c>
      <c r="P195" s="254">
        <f t="shared" si="79"/>
        <v>249.80192164561225</v>
      </c>
      <c r="Q195" s="254">
        <f t="shared" si="79"/>
        <v>268.95093125384028</v>
      </c>
    </row>
    <row r="196" spans="2:17" x14ac:dyDescent="0.25">
      <c r="B196" s="2" t="s">
        <v>421</v>
      </c>
      <c r="C196" s="253">
        <v>11</v>
      </c>
      <c r="D196" s="253">
        <v>45</v>
      </c>
      <c r="E196" s="253">
        <v>36</v>
      </c>
      <c r="F196" s="253">
        <v>0</v>
      </c>
      <c r="G196" s="253">
        <v>0</v>
      </c>
      <c r="H196" s="254">
        <f>AVERAGE(C196:G196)</f>
        <v>18.399999999999999</v>
      </c>
      <c r="I196" s="254">
        <f>H196*(1+Assumption!$C$16)</f>
        <v>18.491999999999997</v>
      </c>
      <c r="J196" s="254">
        <f>I196*(1+Assumption!$C$16)</f>
        <v>18.584459999999996</v>
      </c>
      <c r="K196" s="254">
        <f>J196*(1+Assumption!$C$16)</f>
        <v>18.677382299999994</v>
      </c>
      <c r="L196" s="254">
        <f>K196*(1+Assumption!$C$16)</f>
        <v>18.770769211499992</v>
      </c>
      <c r="M196" s="254">
        <f>L196*(1+Assumption!$C$16)</f>
        <v>18.864623057557491</v>
      </c>
      <c r="N196" s="254">
        <f>M196*(1+Assumption!$C$16)</f>
        <v>18.958946172845277</v>
      </c>
      <c r="O196" s="254">
        <f>N196*(1+Assumption!$C$16)</f>
        <v>19.0537409037095</v>
      </c>
      <c r="P196" s="254">
        <f>O196*(1+Assumption!$C$16)</f>
        <v>19.149009608228045</v>
      </c>
      <c r="Q196" s="254">
        <f>P196*(1+Assumption!$C$16)</f>
        <v>19.244754656269183</v>
      </c>
    </row>
    <row r="197" spans="2:17" x14ac:dyDescent="0.25">
      <c r="B197" s="2" t="s">
        <v>417</v>
      </c>
      <c r="C197" s="253">
        <v>0</v>
      </c>
      <c r="D197" s="253">
        <v>0</v>
      </c>
      <c r="E197" s="253">
        <v>0</v>
      </c>
      <c r="F197" s="253">
        <v>0</v>
      </c>
      <c r="G197" s="253">
        <v>0</v>
      </c>
      <c r="H197" s="254">
        <v>0</v>
      </c>
      <c r="I197" s="254">
        <v>0</v>
      </c>
      <c r="J197" s="254">
        <v>0</v>
      </c>
      <c r="K197" s="254">
        <v>0</v>
      </c>
      <c r="L197" s="254">
        <v>0</v>
      </c>
      <c r="M197" s="254">
        <v>0</v>
      </c>
      <c r="N197" s="254">
        <v>0</v>
      </c>
      <c r="O197" s="254">
        <v>0</v>
      </c>
      <c r="P197" s="254">
        <v>0</v>
      </c>
      <c r="Q197" s="254">
        <v>0</v>
      </c>
    </row>
    <row r="198" spans="2:17" x14ac:dyDescent="0.25">
      <c r="B198" t="s">
        <v>418</v>
      </c>
      <c r="C198" s="253">
        <v>-32</v>
      </c>
      <c r="D198" s="253">
        <v>0</v>
      </c>
      <c r="E198" s="253">
        <v>0</v>
      </c>
      <c r="F198" s="253">
        <v>0</v>
      </c>
      <c r="G198" s="253">
        <v>0</v>
      </c>
      <c r="H198" s="254">
        <v>0</v>
      </c>
      <c r="I198" s="254">
        <v>0</v>
      </c>
      <c r="J198" s="254">
        <v>0</v>
      </c>
      <c r="K198" s="254">
        <v>0</v>
      </c>
      <c r="L198" s="254">
        <v>0</v>
      </c>
      <c r="M198" s="254">
        <v>0</v>
      </c>
      <c r="N198" s="254">
        <v>0</v>
      </c>
      <c r="O198" s="254">
        <v>0</v>
      </c>
      <c r="P198" s="254">
        <v>0</v>
      </c>
      <c r="Q198" s="254">
        <v>0</v>
      </c>
    </row>
    <row r="199" spans="2:17" x14ac:dyDescent="0.25">
      <c r="B199" t="s">
        <v>428</v>
      </c>
      <c r="C199" s="253">
        <v>0</v>
      </c>
      <c r="D199" s="253">
        <v>1</v>
      </c>
      <c r="E199" s="253">
        <v>6</v>
      </c>
      <c r="F199" s="253">
        <v>1</v>
      </c>
      <c r="G199" s="253">
        <v>0</v>
      </c>
      <c r="H199" s="254">
        <v>0</v>
      </c>
      <c r="I199" s="254">
        <v>0</v>
      </c>
      <c r="J199" s="254">
        <v>0</v>
      </c>
      <c r="K199" s="254">
        <v>0</v>
      </c>
      <c r="L199" s="254">
        <v>0</v>
      </c>
      <c r="M199" s="254">
        <v>0</v>
      </c>
      <c r="N199" s="254">
        <v>0</v>
      </c>
      <c r="O199" s="254">
        <v>0</v>
      </c>
      <c r="P199" s="254">
        <v>0</v>
      </c>
      <c r="Q199" s="254">
        <v>0</v>
      </c>
    </row>
    <row r="200" spans="2:17" x14ac:dyDescent="0.25">
      <c r="B200" s="8" t="s">
        <v>199</v>
      </c>
      <c r="C200" s="255">
        <f>SUM(C195:C199)</f>
        <v>11</v>
      </c>
      <c r="D200" s="255">
        <f t="shared" ref="D200:Q200" si="80">SUM(D195:D199)</f>
        <v>57</v>
      </c>
      <c r="E200" s="255">
        <f t="shared" si="80"/>
        <v>99</v>
      </c>
      <c r="F200" s="255">
        <f t="shared" si="80"/>
        <v>100</v>
      </c>
      <c r="G200" s="255">
        <f t="shared" si="80"/>
        <v>100</v>
      </c>
      <c r="H200" s="256">
        <f t="shared" si="80"/>
        <v>118.4</v>
      </c>
      <c r="I200" s="256">
        <f t="shared" si="80"/>
        <v>136.892</v>
      </c>
      <c r="J200" s="256">
        <f t="shared" si="80"/>
        <v>155.47646</v>
      </c>
      <c r="K200" s="256">
        <f t="shared" si="80"/>
        <v>174.15384230000001</v>
      </c>
      <c r="L200" s="256">
        <f t="shared" si="80"/>
        <v>192.92461151149999</v>
      </c>
      <c r="M200" s="256">
        <f t="shared" si="80"/>
        <v>211.78923456905747</v>
      </c>
      <c r="N200" s="256">
        <f t="shared" si="80"/>
        <v>230.74818074190276</v>
      </c>
      <c r="O200" s="256">
        <f t="shared" si="80"/>
        <v>249.80192164561225</v>
      </c>
      <c r="P200" s="256">
        <f t="shared" si="80"/>
        <v>268.95093125384028</v>
      </c>
      <c r="Q200" s="256">
        <f t="shared" si="80"/>
        <v>288.19568591010949</v>
      </c>
    </row>
    <row r="201" spans="2:17" x14ac:dyDescent="0.25">
      <c r="C201" s="253"/>
      <c r="D201" s="253"/>
      <c r="E201" s="253"/>
      <c r="F201" s="253"/>
      <c r="G201" s="253"/>
    </row>
    <row r="202" spans="2:17" x14ac:dyDescent="0.25">
      <c r="B202" s="8" t="s">
        <v>422</v>
      </c>
      <c r="C202" s="255">
        <f>C194-C200</f>
        <v>77</v>
      </c>
      <c r="D202" s="255">
        <f t="shared" ref="D202:Q202" si="81">D194-D200</f>
        <v>34</v>
      </c>
      <c r="E202" s="255">
        <f t="shared" si="81"/>
        <v>0</v>
      </c>
      <c r="F202" s="255">
        <f t="shared" si="81"/>
        <v>0</v>
      </c>
      <c r="G202" s="255">
        <f t="shared" si="81"/>
        <v>0</v>
      </c>
      <c r="H202" s="256">
        <f t="shared" si="81"/>
        <v>-18.400000000000006</v>
      </c>
      <c r="I202" s="256">
        <f t="shared" si="81"/>
        <v>-36.891999999999996</v>
      </c>
      <c r="J202" s="256">
        <f t="shared" si="81"/>
        <v>-55.476460000000003</v>
      </c>
      <c r="K202" s="256">
        <f t="shared" si="81"/>
        <v>-74.153842300000008</v>
      </c>
      <c r="L202" s="256">
        <f t="shared" si="81"/>
        <v>-92.92461151149999</v>
      </c>
      <c r="M202" s="256">
        <f t="shared" si="81"/>
        <v>-111.78923456905747</v>
      </c>
      <c r="N202" s="256">
        <f t="shared" si="81"/>
        <v>-130.74818074190276</v>
      </c>
      <c r="O202" s="256">
        <f t="shared" si="81"/>
        <v>-149.80192164561225</v>
      </c>
      <c r="P202" s="256">
        <f t="shared" si="81"/>
        <v>-168.95093125384028</v>
      </c>
      <c r="Q202" s="256">
        <f t="shared" si="81"/>
        <v>-188.19568591010949</v>
      </c>
    </row>
    <row r="203" spans="2:17" x14ac:dyDescent="0.25">
      <c r="C203" s="253"/>
      <c r="D203" s="253"/>
      <c r="E203" s="253"/>
      <c r="F203" s="253"/>
      <c r="G203" s="253"/>
    </row>
    <row r="204" spans="2:17" x14ac:dyDescent="0.25">
      <c r="C204" s="253"/>
      <c r="D204" s="253"/>
      <c r="E204" s="253"/>
      <c r="F204" s="253"/>
      <c r="G204" s="253"/>
    </row>
    <row r="205" spans="2:17" x14ac:dyDescent="0.25">
      <c r="B205" s="1" t="s">
        <v>429</v>
      </c>
      <c r="C205" s="253"/>
      <c r="D205" s="253"/>
      <c r="E205" s="253"/>
      <c r="F205" s="253"/>
      <c r="G205" s="253"/>
    </row>
    <row r="206" spans="2:17" x14ac:dyDescent="0.25">
      <c r="B206" s="3" t="s">
        <v>416</v>
      </c>
      <c r="C206" s="265">
        <v>577</v>
      </c>
      <c r="D206" s="265">
        <f>C213</f>
        <v>2821</v>
      </c>
      <c r="E206" s="265">
        <f t="shared" ref="E206:G206" si="82">D213</f>
        <v>2915</v>
      </c>
      <c r="F206" s="265">
        <f t="shared" si="82"/>
        <v>11073</v>
      </c>
      <c r="G206" s="265">
        <f t="shared" si="82"/>
        <v>11117</v>
      </c>
      <c r="H206" s="250">
        <f>G213</f>
        <v>29990</v>
      </c>
      <c r="I206" s="250">
        <f t="shared" ref="I206:Q206" si="83">H213</f>
        <v>29990</v>
      </c>
      <c r="J206" s="250">
        <f t="shared" si="83"/>
        <v>29990</v>
      </c>
      <c r="K206" s="250">
        <f t="shared" si="83"/>
        <v>29990</v>
      </c>
      <c r="L206" s="250">
        <f t="shared" si="83"/>
        <v>29990</v>
      </c>
      <c r="M206" s="250">
        <f t="shared" si="83"/>
        <v>29990</v>
      </c>
      <c r="N206" s="250">
        <f t="shared" si="83"/>
        <v>29990</v>
      </c>
      <c r="O206" s="250">
        <f t="shared" si="83"/>
        <v>29990</v>
      </c>
      <c r="P206" s="250">
        <f t="shared" si="83"/>
        <v>29990</v>
      </c>
      <c r="Q206" s="250">
        <f t="shared" si="83"/>
        <v>29990</v>
      </c>
    </row>
    <row r="207" spans="2:17" x14ac:dyDescent="0.25">
      <c r="B207" s="96" t="s">
        <v>415</v>
      </c>
      <c r="C207" s="266">
        <v>0</v>
      </c>
      <c r="D207" s="266">
        <v>0</v>
      </c>
      <c r="E207" s="266">
        <v>0</v>
      </c>
      <c r="F207" s="266">
        <v>0</v>
      </c>
      <c r="G207" s="266">
        <v>0</v>
      </c>
      <c r="H207" s="254">
        <f>AVERAGE(C207:G207)</f>
        <v>0</v>
      </c>
      <c r="I207" s="254">
        <f>H207*(1+Assumption!$C$14)</f>
        <v>0</v>
      </c>
      <c r="J207" s="254">
        <f>I207*(1+Assumption!$C$14)</f>
        <v>0</v>
      </c>
      <c r="K207" s="254">
        <f>J207*(1+Assumption!$C$14)</f>
        <v>0</v>
      </c>
      <c r="L207" s="254">
        <f>K207*(1+Assumption!$C$14)</f>
        <v>0</v>
      </c>
      <c r="M207" s="254">
        <f>L207*(1+Assumption!$C$14)</f>
        <v>0</v>
      </c>
      <c r="N207" s="254">
        <f>M207*(1+Assumption!$C$14)</f>
        <v>0</v>
      </c>
      <c r="O207" s="254">
        <f>N207*(1+Assumption!$C$14)</f>
        <v>0</v>
      </c>
      <c r="P207" s="254">
        <f>O207*(1+Assumption!$C$14)</f>
        <v>0</v>
      </c>
      <c r="Q207" s="254">
        <f>P207*(1+Assumption!$C$14)</f>
        <v>0</v>
      </c>
    </row>
    <row r="208" spans="2:17" x14ac:dyDescent="0.25">
      <c r="B208" t="s">
        <v>417</v>
      </c>
      <c r="C208" s="253">
        <v>0</v>
      </c>
      <c r="D208" s="253">
        <v>0</v>
      </c>
      <c r="E208" s="253">
        <v>0</v>
      </c>
      <c r="F208" s="253">
        <v>0</v>
      </c>
      <c r="G208" s="253">
        <v>0</v>
      </c>
      <c r="H208" s="254">
        <v>0</v>
      </c>
      <c r="I208" s="254">
        <v>0</v>
      </c>
      <c r="J208" s="254">
        <v>0</v>
      </c>
      <c r="K208" s="254">
        <v>0</v>
      </c>
      <c r="L208" s="254">
        <v>0</v>
      </c>
      <c r="M208" s="254">
        <v>0</v>
      </c>
      <c r="N208" s="254">
        <v>0</v>
      </c>
      <c r="O208" s="254">
        <v>0</v>
      </c>
      <c r="P208" s="254">
        <v>0</v>
      </c>
      <c r="Q208" s="254">
        <v>0</v>
      </c>
    </row>
    <row r="209" spans="2:17" x14ac:dyDescent="0.25">
      <c r="B209" t="s">
        <v>100</v>
      </c>
      <c r="C209" s="253">
        <v>2612</v>
      </c>
      <c r="D209" s="253">
        <v>0</v>
      </c>
      <c r="E209" s="253">
        <v>7930</v>
      </c>
      <c r="F209" s="253">
        <v>0</v>
      </c>
      <c r="G209" s="253">
        <v>18674</v>
      </c>
      <c r="H209" s="254">
        <v>0</v>
      </c>
      <c r="I209" s="254">
        <v>0</v>
      </c>
      <c r="J209" s="254">
        <v>0</v>
      </c>
      <c r="K209" s="254">
        <v>0</v>
      </c>
      <c r="L209" s="254">
        <v>0</v>
      </c>
      <c r="M209" s="254">
        <v>0</v>
      </c>
      <c r="N209" s="254">
        <v>0</v>
      </c>
      <c r="O209" s="254">
        <v>0</v>
      </c>
      <c r="P209" s="254">
        <v>0</v>
      </c>
      <c r="Q209" s="254">
        <v>0</v>
      </c>
    </row>
    <row r="210" spans="2:17" x14ac:dyDescent="0.25">
      <c r="B210" t="s">
        <v>427</v>
      </c>
      <c r="C210" s="253">
        <v>0</v>
      </c>
      <c r="D210" s="253">
        <v>0</v>
      </c>
      <c r="E210" s="253">
        <v>0</v>
      </c>
      <c r="F210" s="253">
        <v>0</v>
      </c>
      <c r="G210" s="253">
        <v>0</v>
      </c>
      <c r="H210" s="254">
        <v>0</v>
      </c>
      <c r="I210" s="254">
        <v>0</v>
      </c>
      <c r="J210" s="254">
        <v>0</v>
      </c>
      <c r="K210" s="254">
        <v>0</v>
      </c>
      <c r="L210" s="254">
        <v>0</v>
      </c>
      <c r="M210" s="254">
        <v>0</v>
      </c>
      <c r="N210" s="254">
        <v>0</v>
      </c>
      <c r="O210" s="254">
        <v>0</v>
      </c>
      <c r="P210" s="254">
        <v>0</v>
      </c>
      <c r="Q210" s="254">
        <v>0</v>
      </c>
    </row>
    <row r="211" spans="2:17" x14ac:dyDescent="0.25">
      <c r="B211" t="s">
        <v>418</v>
      </c>
      <c r="C211" s="253">
        <v>-373</v>
      </c>
      <c r="D211" s="253">
        <v>0</v>
      </c>
      <c r="E211" s="253">
        <v>0</v>
      </c>
      <c r="F211" s="253">
        <v>0</v>
      </c>
      <c r="G211" s="253">
        <v>0</v>
      </c>
      <c r="H211" s="254">
        <v>0</v>
      </c>
      <c r="I211" s="254">
        <v>0</v>
      </c>
      <c r="J211" s="254">
        <v>0</v>
      </c>
      <c r="K211" s="254">
        <v>0</v>
      </c>
      <c r="L211" s="254">
        <v>0</v>
      </c>
      <c r="M211" s="254">
        <v>0</v>
      </c>
      <c r="N211" s="254">
        <v>0</v>
      </c>
      <c r="O211" s="254">
        <v>0</v>
      </c>
      <c r="P211" s="254">
        <v>0</v>
      </c>
      <c r="Q211" s="254">
        <v>0</v>
      </c>
    </row>
    <row r="212" spans="2:17" x14ac:dyDescent="0.25">
      <c r="B212" t="s">
        <v>428</v>
      </c>
      <c r="C212" s="253">
        <v>5</v>
      </c>
      <c r="D212" s="253">
        <v>94</v>
      </c>
      <c r="E212" s="253">
        <v>228</v>
      </c>
      <c r="F212" s="253">
        <v>44</v>
      </c>
      <c r="G212" s="253">
        <v>199</v>
      </c>
      <c r="H212" s="254">
        <v>0</v>
      </c>
      <c r="I212" s="254">
        <v>0</v>
      </c>
      <c r="J212" s="254">
        <v>0</v>
      </c>
      <c r="K212" s="254">
        <v>0</v>
      </c>
      <c r="L212" s="254">
        <v>0</v>
      </c>
      <c r="M212" s="254">
        <v>0</v>
      </c>
      <c r="N212" s="254">
        <v>0</v>
      </c>
      <c r="O212" s="254">
        <v>0</v>
      </c>
      <c r="P212" s="254">
        <v>0</v>
      </c>
      <c r="Q212" s="254">
        <v>0</v>
      </c>
    </row>
    <row r="213" spans="2:17" x14ac:dyDescent="0.25">
      <c r="B213" s="8" t="s">
        <v>419</v>
      </c>
      <c r="C213" s="255">
        <f>SUM(C206:C212)</f>
        <v>2821</v>
      </c>
      <c r="D213" s="255">
        <f t="shared" ref="D213:G213" si="84">SUM(D206:D212)</f>
        <v>2915</v>
      </c>
      <c r="E213" s="255">
        <f t="shared" si="84"/>
        <v>11073</v>
      </c>
      <c r="F213" s="255">
        <f t="shared" si="84"/>
        <v>11117</v>
      </c>
      <c r="G213" s="255">
        <f t="shared" si="84"/>
        <v>29990</v>
      </c>
      <c r="H213" s="256">
        <f t="shared" ref="H213" si="85">SUM(H206:H212)</f>
        <v>29990</v>
      </c>
      <c r="I213" s="256">
        <f t="shared" ref="I213" si="86">SUM(I206:I212)</f>
        <v>29990</v>
      </c>
      <c r="J213" s="256">
        <f t="shared" ref="J213" si="87">SUM(J206:J212)</f>
        <v>29990</v>
      </c>
      <c r="K213" s="256">
        <f t="shared" ref="K213" si="88">SUM(K206:K212)</f>
        <v>29990</v>
      </c>
      <c r="L213" s="256">
        <f t="shared" ref="L213" si="89">SUM(L206:L212)</f>
        <v>29990</v>
      </c>
      <c r="M213" s="256">
        <f t="shared" ref="M213" si="90">SUM(M206:M212)</f>
        <v>29990</v>
      </c>
      <c r="N213" s="256">
        <f t="shared" ref="N213" si="91">SUM(N206:N212)</f>
        <v>29990</v>
      </c>
      <c r="O213" s="256">
        <f t="shared" ref="O213" si="92">SUM(O206:O212)</f>
        <v>29990</v>
      </c>
      <c r="P213" s="256">
        <f t="shared" ref="P213" si="93">SUM(P206:P212)</f>
        <v>29990</v>
      </c>
      <c r="Q213" s="256">
        <f t="shared" ref="Q213" si="94">SUM(Q206:Q212)</f>
        <v>29990</v>
      </c>
    </row>
    <row r="214" spans="2:17" x14ac:dyDescent="0.25">
      <c r="B214" s="2" t="s">
        <v>420</v>
      </c>
      <c r="C214" s="253">
        <v>574</v>
      </c>
      <c r="D214" s="253">
        <f>C219</f>
        <v>368</v>
      </c>
      <c r="E214" s="253">
        <f t="shared" ref="E214:G214" si="95">D219</f>
        <v>1052</v>
      </c>
      <c r="F214" s="253">
        <f t="shared" si="95"/>
        <v>2056</v>
      </c>
      <c r="G214" s="253">
        <f t="shared" si="95"/>
        <v>4045</v>
      </c>
      <c r="H214" s="254">
        <f>G219</f>
        <v>8021</v>
      </c>
      <c r="I214" s="254">
        <f t="shared" ref="I214:Q214" si="96">H219</f>
        <v>9542.4</v>
      </c>
      <c r="J214" s="254">
        <f t="shared" si="96"/>
        <v>11071.406999999999</v>
      </c>
      <c r="K214" s="254">
        <f t="shared" si="96"/>
        <v>12608.059034999998</v>
      </c>
      <c r="L214" s="254">
        <f t="shared" si="96"/>
        <v>14152.394330174997</v>
      </c>
      <c r="M214" s="254">
        <f t="shared" si="96"/>
        <v>15704.451301825871</v>
      </c>
      <c r="N214" s="254">
        <f t="shared" si="96"/>
        <v>17264.268558334999</v>
      </c>
      <c r="O214" s="254">
        <f t="shared" si="96"/>
        <v>18831.884901126672</v>
      </c>
      <c r="P214" s="254">
        <f t="shared" si="96"/>
        <v>20407.339325632303</v>
      </c>
      <c r="Q214" s="254">
        <f t="shared" si="96"/>
        <v>21990.671022260463</v>
      </c>
    </row>
    <row r="215" spans="2:17" x14ac:dyDescent="0.25">
      <c r="B215" s="2" t="s">
        <v>421</v>
      </c>
      <c r="C215" s="253">
        <v>166</v>
      </c>
      <c r="D215" s="253">
        <v>666</v>
      </c>
      <c r="E215" s="253">
        <v>916</v>
      </c>
      <c r="F215" s="253">
        <v>1958</v>
      </c>
      <c r="G215" s="253">
        <v>3901</v>
      </c>
      <c r="H215" s="254">
        <f>AVERAGE(C215:G215)</f>
        <v>1521.4</v>
      </c>
      <c r="I215" s="254">
        <f>H215*(1+Assumption!$C$16)</f>
        <v>1529.0069999999998</v>
      </c>
      <c r="J215" s="254">
        <f>I215*(1+Assumption!$C$16)</f>
        <v>1536.6520349999996</v>
      </c>
      <c r="K215" s="254">
        <f>J215*(1+Assumption!$C$16)</f>
        <v>1544.3352951749994</v>
      </c>
      <c r="L215" s="254">
        <f>K215*(1+Assumption!$C$16)</f>
        <v>1552.0569716508742</v>
      </c>
      <c r="M215" s="254">
        <f>L215*(1+Assumption!$C$16)</f>
        <v>1559.8172565091284</v>
      </c>
      <c r="N215" s="254">
        <f>M215*(1+Assumption!$C$16)</f>
        <v>1567.6163427916738</v>
      </c>
      <c r="O215" s="254">
        <f>N215*(1+Assumption!$C$16)</f>
        <v>1575.454424505632</v>
      </c>
      <c r="P215" s="254">
        <f>O215*(1+Assumption!$C$16)</f>
        <v>1583.33169662816</v>
      </c>
      <c r="Q215" s="254">
        <f>P215*(1+Assumption!$C$16)</f>
        <v>1591.2483551113007</v>
      </c>
    </row>
    <row r="216" spans="2:17" x14ac:dyDescent="0.25">
      <c r="B216" s="2" t="s">
        <v>417</v>
      </c>
      <c r="C216" s="253">
        <v>0</v>
      </c>
      <c r="D216" s="253">
        <v>0</v>
      </c>
      <c r="E216" s="253">
        <v>0</v>
      </c>
      <c r="F216" s="253">
        <v>0</v>
      </c>
      <c r="G216" s="253">
        <v>0</v>
      </c>
      <c r="H216" s="254">
        <v>0</v>
      </c>
      <c r="I216" s="254">
        <v>0</v>
      </c>
      <c r="J216" s="254">
        <v>0</v>
      </c>
      <c r="K216" s="254">
        <v>0</v>
      </c>
      <c r="L216" s="254">
        <v>0</v>
      </c>
      <c r="M216" s="254">
        <v>0</v>
      </c>
      <c r="N216" s="254">
        <v>0</v>
      </c>
      <c r="O216" s="254">
        <v>0</v>
      </c>
      <c r="P216" s="254">
        <v>0</v>
      </c>
      <c r="Q216" s="254">
        <v>0</v>
      </c>
    </row>
    <row r="217" spans="2:17" x14ac:dyDescent="0.25">
      <c r="B217" t="s">
        <v>418</v>
      </c>
      <c r="C217" s="253">
        <v>-373</v>
      </c>
      <c r="D217" s="253">
        <v>0</v>
      </c>
      <c r="E217" s="253">
        <v>0</v>
      </c>
      <c r="F217" s="253">
        <v>0</v>
      </c>
      <c r="G217" s="253">
        <v>0</v>
      </c>
      <c r="H217" s="254">
        <v>0</v>
      </c>
      <c r="I217" s="254">
        <v>0</v>
      </c>
      <c r="J217" s="254">
        <v>0</v>
      </c>
      <c r="K217" s="254">
        <v>0</v>
      </c>
      <c r="L217" s="254">
        <v>0</v>
      </c>
      <c r="M217" s="254">
        <v>0</v>
      </c>
      <c r="N217" s="254">
        <v>0</v>
      </c>
      <c r="O217" s="254">
        <v>0</v>
      </c>
      <c r="P217" s="254">
        <v>0</v>
      </c>
      <c r="Q217" s="254">
        <v>0</v>
      </c>
    </row>
    <row r="218" spans="2:17" x14ac:dyDescent="0.25">
      <c r="B218" t="s">
        <v>428</v>
      </c>
      <c r="C218" s="253">
        <v>1</v>
      </c>
      <c r="D218" s="253">
        <v>18</v>
      </c>
      <c r="E218" s="253">
        <v>88</v>
      </c>
      <c r="F218" s="253">
        <v>31</v>
      </c>
      <c r="G218" s="253">
        <v>75</v>
      </c>
      <c r="H218" s="254">
        <v>0</v>
      </c>
      <c r="I218" s="254">
        <v>0</v>
      </c>
      <c r="J218" s="254">
        <v>0</v>
      </c>
      <c r="K218" s="254">
        <v>0</v>
      </c>
      <c r="L218" s="254">
        <v>0</v>
      </c>
      <c r="M218" s="254">
        <v>0</v>
      </c>
      <c r="N218" s="254">
        <v>0</v>
      </c>
      <c r="O218" s="254">
        <v>0</v>
      </c>
      <c r="P218" s="254">
        <v>0</v>
      </c>
      <c r="Q218" s="254">
        <v>0</v>
      </c>
    </row>
    <row r="219" spans="2:17" x14ac:dyDescent="0.25">
      <c r="B219" s="8" t="s">
        <v>199</v>
      </c>
      <c r="C219" s="255">
        <f>SUM(C214:C218)</f>
        <v>368</v>
      </c>
      <c r="D219" s="255">
        <f t="shared" ref="D219:G219" si="97">SUM(D214:D218)</f>
        <v>1052</v>
      </c>
      <c r="E219" s="255">
        <f t="shared" si="97"/>
        <v>2056</v>
      </c>
      <c r="F219" s="255">
        <f t="shared" si="97"/>
        <v>4045</v>
      </c>
      <c r="G219" s="255">
        <f t="shared" si="97"/>
        <v>8021</v>
      </c>
      <c r="H219" s="256">
        <f t="shared" ref="H219" si="98">SUM(H214:H218)</f>
        <v>9542.4</v>
      </c>
      <c r="I219" s="256">
        <f t="shared" ref="I219" si="99">SUM(I214:I218)</f>
        <v>11071.406999999999</v>
      </c>
      <c r="J219" s="256">
        <f t="shared" ref="J219" si="100">SUM(J214:J218)</f>
        <v>12608.059034999998</v>
      </c>
      <c r="K219" s="256">
        <f t="shared" ref="K219" si="101">SUM(K214:K218)</f>
        <v>14152.394330174997</v>
      </c>
      <c r="L219" s="256">
        <f t="shared" ref="L219" si="102">SUM(L214:L218)</f>
        <v>15704.451301825871</v>
      </c>
      <c r="M219" s="256">
        <f t="shared" ref="M219" si="103">SUM(M214:M218)</f>
        <v>17264.268558334999</v>
      </c>
      <c r="N219" s="256">
        <f t="shared" ref="N219" si="104">SUM(N214:N218)</f>
        <v>18831.884901126672</v>
      </c>
      <c r="O219" s="256">
        <f t="shared" ref="O219" si="105">SUM(O214:O218)</f>
        <v>20407.339325632303</v>
      </c>
      <c r="P219" s="256">
        <f t="shared" ref="P219" si="106">SUM(P214:P218)</f>
        <v>21990.671022260463</v>
      </c>
      <c r="Q219" s="256">
        <f t="shared" ref="Q219" si="107">SUM(Q214:Q218)</f>
        <v>23581.919377371763</v>
      </c>
    </row>
    <row r="220" spans="2:17" x14ac:dyDescent="0.25">
      <c r="C220" s="253"/>
      <c r="D220" s="253"/>
      <c r="E220" s="253"/>
      <c r="F220" s="253"/>
      <c r="G220" s="253"/>
    </row>
    <row r="221" spans="2:17" x14ac:dyDescent="0.25">
      <c r="B221" s="8" t="s">
        <v>422</v>
      </c>
      <c r="C221" s="255">
        <f>C213-C219</f>
        <v>2453</v>
      </c>
      <c r="D221" s="255">
        <f t="shared" ref="D221:Q221" si="108">D213-D219</f>
        <v>1863</v>
      </c>
      <c r="E221" s="255">
        <f t="shared" si="108"/>
        <v>9017</v>
      </c>
      <c r="F221" s="255">
        <f t="shared" si="108"/>
        <v>7072</v>
      </c>
      <c r="G221" s="255">
        <v>21970</v>
      </c>
      <c r="H221" s="256">
        <f t="shared" si="108"/>
        <v>20447.599999999999</v>
      </c>
      <c r="I221" s="256">
        <f t="shared" si="108"/>
        <v>18918.593000000001</v>
      </c>
      <c r="J221" s="256">
        <f t="shared" si="108"/>
        <v>17381.940965000002</v>
      </c>
      <c r="K221" s="256">
        <f t="shared" si="108"/>
        <v>15837.605669825003</v>
      </c>
      <c r="L221" s="256">
        <f t="shared" si="108"/>
        <v>14285.548698174129</v>
      </c>
      <c r="M221" s="256">
        <f t="shared" si="108"/>
        <v>12725.731441665001</v>
      </c>
      <c r="N221" s="256">
        <f t="shared" si="108"/>
        <v>11158.115098873328</v>
      </c>
      <c r="O221" s="256">
        <f t="shared" si="108"/>
        <v>9582.6606743676966</v>
      </c>
      <c r="P221" s="256">
        <f t="shared" si="108"/>
        <v>7999.3289777395366</v>
      </c>
      <c r="Q221" s="256">
        <f t="shared" si="108"/>
        <v>6408.0806226282366</v>
      </c>
    </row>
    <row r="222" spans="2:17" x14ac:dyDescent="0.25">
      <c r="C222" s="253"/>
      <c r="D222" s="253"/>
      <c r="E222" s="253"/>
      <c r="F222" s="253"/>
      <c r="G222" s="253"/>
    </row>
    <row r="223" spans="2:17" x14ac:dyDescent="0.25">
      <c r="C223" s="253"/>
      <c r="D223" s="253"/>
      <c r="E223" s="253"/>
      <c r="F223" s="253"/>
      <c r="G223" s="253"/>
    </row>
    <row r="224" spans="2:17" x14ac:dyDescent="0.25">
      <c r="B224" s="1" t="s">
        <v>430</v>
      </c>
      <c r="C224" s="253"/>
      <c r="D224" s="253"/>
      <c r="E224" s="253"/>
      <c r="F224" s="253"/>
      <c r="G224" s="253"/>
    </row>
    <row r="225" spans="2:17" x14ac:dyDescent="0.25">
      <c r="B225" s="3" t="s">
        <v>416</v>
      </c>
      <c r="C225" s="265">
        <v>42</v>
      </c>
      <c r="D225" s="265">
        <f>C232</f>
        <v>62</v>
      </c>
      <c r="E225" s="265">
        <f t="shared" ref="E225:G225" si="109">D232</f>
        <v>64</v>
      </c>
      <c r="F225" s="265">
        <f t="shared" si="109"/>
        <v>397</v>
      </c>
      <c r="G225" s="265">
        <f t="shared" si="109"/>
        <v>398</v>
      </c>
      <c r="H225" s="250">
        <f>G232</f>
        <v>1168</v>
      </c>
      <c r="I225" s="250">
        <f t="shared" ref="I225:Q225" si="110">H232</f>
        <v>1168</v>
      </c>
      <c r="J225" s="250">
        <f t="shared" si="110"/>
        <v>1168</v>
      </c>
      <c r="K225" s="250">
        <f t="shared" si="110"/>
        <v>1168</v>
      </c>
      <c r="L225" s="250">
        <f t="shared" si="110"/>
        <v>1168</v>
      </c>
      <c r="M225" s="250">
        <f t="shared" si="110"/>
        <v>1168</v>
      </c>
      <c r="N225" s="250">
        <f t="shared" si="110"/>
        <v>1168</v>
      </c>
      <c r="O225" s="250">
        <f t="shared" si="110"/>
        <v>1168</v>
      </c>
      <c r="P225" s="250">
        <f t="shared" si="110"/>
        <v>1168</v>
      </c>
      <c r="Q225" s="250">
        <f t="shared" si="110"/>
        <v>1168</v>
      </c>
    </row>
    <row r="226" spans="2:17" x14ac:dyDescent="0.25">
      <c r="B226" s="96" t="s">
        <v>415</v>
      </c>
      <c r="C226" s="266">
        <v>0</v>
      </c>
      <c r="D226" s="266">
        <v>0</v>
      </c>
      <c r="E226" s="266">
        <v>0</v>
      </c>
      <c r="F226" s="266">
        <v>0</v>
      </c>
      <c r="G226" s="266">
        <v>0</v>
      </c>
      <c r="H226" s="254">
        <f>AVERAGE(C226:G226)</f>
        <v>0</v>
      </c>
      <c r="I226" s="254">
        <f>H226*(1+Assumption!$C$14)</f>
        <v>0</v>
      </c>
      <c r="J226" s="254">
        <f>I226*(1+Assumption!$C$14)</f>
        <v>0</v>
      </c>
      <c r="K226" s="254">
        <f>J226*(1+Assumption!$C$14)</f>
        <v>0</v>
      </c>
      <c r="L226" s="254">
        <f>K226*(1+Assumption!$C$14)</f>
        <v>0</v>
      </c>
      <c r="M226" s="254">
        <f>L226*(1+Assumption!$C$14)</f>
        <v>0</v>
      </c>
      <c r="N226" s="254">
        <f>M226*(1+Assumption!$C$14)</f>
        <v>0</v>
      </c>
      <c r="O226" s="254">
        <f>N226*(1+Assumption!$C$14)</f>
        <v>0</v>
      </c>
      <c r="P226" s="254">
        <f>O226*(1+Assumption!$C$14)</f>
        <v>0</v>
      </c>
      <c r="Q226" s="254">
        <f>P226*(1+Assumption!$C$14)</f>
        <v>0</v>
      </c>
    </row>
    <row r="227" spans="2:17" x14ac:dyDescent="0.25">
      <c r="B227" t="s">
        <v>417</v>
      </c>
      <c r="C227" s="253">
        <v>0</v>
      </c>
      <c r="D227" s="253">
        <v>0</v>
      </c>
      <c r="E227" s="253">
        <v>0</v>
      </c>
      <c r="F227" s="253">
        <v>0</v>
      </c>
      <c r="G227" s="253">
        <v>0</v>
      </c>
      <c r="H227" s="254">
        <v>0</v>
      </c>
      <c r="I227" s="254">
        <v>0</v>
      </c>
      <c r="J227" s="254">
        <v>0</v>
      </c>
      <c r="K227" s="254">
        <v>0</v>
      </c>
      <c r="L227" s="254">
        <v>0</v>
      </c>
      <c r="M227" s="254">
        <v>0</v>
      </c>
      <c r="N227" s="254">
        <v>0</v>
      </c>
      <c r="O227" s="254">
        <v>0</v>
      </c>
      <c r="P227" s="254">
        <v>0</v>
      </c>
      <c r="Q227" s="254">
        <v>0</v>
      </c>
    </row>
    <row r="228" spans="2:17" x14ac:dyDescent="0.25">
      <c r="B228" t="s">
        <v>100</v>
      </c>
      <c r="C228" s="253">
        <v>51</v>
      </c>
      <c r="D228" s="253">
        <v>0</v>
      </c>
      <c r="E228" s="253">
        <v>329</v>
      </c>
      <c r="F228" s="253">
        <v>0</v>
      </c>
      <c r="G228" s="253">
        <v>768</v>
      </c>
      <c r="H228" s="254">
        <v>0</v>
      </c>
      <c r="I228" s="254">
        <v>0</v>
      </c>
      <c r="J228" s="254">
        <v>0</v>
      </c>
      <c r="K228" s="254">
        <v>0</v>
      </c>
      <c r="L228" s="254">
        <v>0</v>
      </c>
      <c r="M228" s="254">
        <v>0</v>
      </c>
      <c r="N228" s="254">
        <v>0</v>
      </c>
      <c r="O228" s="254">
        <v>0</v>
      </c>
      <c r="P228" s="254">
        <v>0</v>
      </c>
      <c r="Q228" s="254">
        <v>0</v>
      </c>
    </row>
    <row r="229" spans="2:17" x14ac:dyDescent="0.25">
      <c r="B229" t="s">
        <v>427</v>
      </c>
      <c r="C229" s="253">
        <v>0</v>
      </c>
      <c r="D229" s="253">
        <v>0</v>
      </c>
      <c r="E229" s="253">
        <v>0</v>
      </c>
      <c r="F229" s="253">
        <v>0</v>
      </c>
      <c r="G229" s="253">
        <v>0</v>
      </c>
      <c r="H229" s="254">
        <v>0</v>
      </c>
      <c r="I229" s="254">
        <v>0</v>
      </c>
      <c r="J229" s="254">
        <v>0</v>
      </c>
      <c r="K229" s="254">
        <v>0</v>
      </c>
      <c r="L229" s="254">
        <v>0</v>
      </c>
      <c r="M229" s="254">
        <v>0</v>
      </c>
      <c r="N229" s="254">
        <v>0</v>
      </c>
      <c r="O229" s="254">
        <v>0</v>
      </c>
      <c r="P229" s="254">
        <v>0</v>
      </c>
      <c r="Q229" s="254">
        <v>0</v>
      </c>
    </row>
    <row r="230" spans="2:17" x14ac:dyDescent="0.25">
      <c r="B230" t="s">
        <v>418</v>
      </c>
      <c r="C230" s="253">
        <v>-31</v>
      </c>
      <c r="D230" s="253">
        <v>0</v>
      </c>
      <c r="E230" s="253">
        <v>0</v>
      </c>
      <c r="F230" s="253">
        <v>0</v>
      </c>
      <c r="G230" s="253">
        <v>0</v>
      </c>
      <c r="H230" s="254">
        <v>0</v>
      </c>
      <c r="I230" s="254">
        <v>0</v>
      </c>
      <c r="J230" s="254">
        <v>0</v>
      </c>
      <c r="K230" s="254">
        <v>0</v>
      </c>
      <c r="L230" s="254">
        <v>0</v>
      </c>
      <c r="M230" s="254">
        <v>0</v>
      </c>
      <c r="N230" s="254">
        <v>0</v>
      </c>
      <c r="O230" s="254">
        <v>0</v>
      </c>
      <c r="P230" s="254">
        <v>0</v>
      </c>
      <c r="Q230" s="254">
        <v>0</v>
      </c>
    </row>
    <row r="231" spans="2:17" x14ac:dyDescent="0.25">
      <c r="B231" t="s">
        <v>428</v>
      </c>
      <c r="C231" s="253">
        <v>0</v>
      </c>
      <c r="D231" s="253">
        <v>2</v>
      </c>
      <c r="E231" s="253">
        <v>4</v>
      </c>
      <c r="F231" s="253">
        <v>1</v>
      </c>
      <c r="G231" s="253">
        <v>1</v>
      </c>
      <c r="H231" s="254">
        <v>0</v>
      </c>
      <c r="I231" s="254">
        <v>0</v>
      </c>
      <c r="J231" s="254">
        <v>0</v>
      </c>
      <c r="K231" s="254">
        <v>0</v>
      </c>
      <c r="L231" s="254">
        <v>0</v>
      </c>
      <c r="M231" s="254">
        <v>0</v>
      </c>
      <c r="N231" s="254">
        <v>0</v>
      </c>
      <c r="O231" s="254">
        <v>0</v>
      </c>
      <c r="P231" s="254">
        <v>0</v>
      </c>
      <c r="Q231" s="254">
        <v>0</v>
      </c>
    </row>
    <row r="232" spans="2:17" x14ac:dyDescent="0.25">
      <c r="B232" s="8" t="s">
        <v>419</v>
      </c>
      <c r="C232" s="255">
        <f>SUM(C225:C231)</f>
        <v>62</v>
      </c>
      <c r="D232" s="255">
        <f t="shared" ref="D232:H232" si="111">SUM(D225:D231)</f>
        <v>64</v>
      </c>
      <c r="E232" s="255">
        <f t="shared" si="111"/>
        <v>397</v>
      </c>
      <c r="F232" s="255">
        <f t="shared" si="111"/>
        <v>398</v>
      </c>
      <c r="G232" s="255">
        <v>1168</v>
      </c>
      <c r="H232" s="256">
        <f t="shared" si="111"/>
        <v>1168</v>
      </c>
      <c r="I232" s="256">
        <f t="shared" ref="I232" si="112">SUM(I225:I231)</f>
        <v>1168</v>
      </c>
      <c r="J232" s="256">
        <f t="shared" ref="J232" si="113">SUM(J225:J231)</f>
        <v>1168</v>
      </c>
      <c r="K232" s="256">
        <f t="shared" ref="K232" si="114">SUM(K225:K231)</f>
        <v>1168</v>
      </c>
      <c r="L232" s="256">
        <f t="shared" ref="L232" si="115">SUM(L225:L231)</f>
        <v>1168</v>
      </c>
      <c r="M232" s="256">
        <f t="shared" ref="M232" si="116">SUM(M225:M231)</f>
        <v>1168</v>
      </c>
      <c r="N232" s="256">
        <f t="shared" ref="N232" si="117">SUM(N225:N231)</f>
        <v>1168</v>
      </c>
      <c r="O232" s="256">
        <f t="shared" ref="O232" si="118">SUM(O225:O231)</f>
        <v>1168</v>
      </c>
      <c r="P232" s="256">
        <f t="shared" ref="P232" si="119">SUM(P225:P231)</f>
        <v>1168</v>
      </c>
      <c r="Q232" s="256">
        <f t="shared" ref="Q232" si="120">SUM(Q225:Q231)</f>
        <v>1168</v>
      </c>
    </row>
    <row r="233" spans="2:17" x14ac:dyDescent="0.25">
      <c r="B233" s="2" t="s">
        <v>420</v>
      </c>
      <c r="C233" s="253">
        <v>41</v>
      </c>
      <c r="D233" s="253">
        <f>C238</f>
        <v>15</v>
      </c>
      <c r="E233" s="253">
        <f t="shared" ref="E233:G233" si="121">D238</f>
        <v>32</v>
      </c>
      <c r="F233" s="253">
        <f t="shared" si="121"/>
        <v>80</v>
      </c>
      <c r="G233" s="253">
        <f t="shared" si="121"/>
        <v>205</v>
      </c>
      <c r="H233" s="254">
        <f>G238</f>
        <v>531</v>
      </c>
      <c r="I233" s="254">
        <f t="shared" ref="I233:Q233" si="122">H238</f>
        <v>634.20000000000005</v>
      </c>
      <c r="J233" s="254">
        <f t="shared" si="122"/>
        <v>737.91600000000005</v>
      </c>
      <c r="K233" s="254">
        <f t="shared" si="122"/>
        <v>842.15057999999999</v>
      </c>
      <c r="L233" s="254">
        <f t="shared" si="122"/>
        <v>946.90633289999994</v>
      </c>
      <c r="M233" s="254">
        <f t="shared" si="122"/>
        <v>1052.1858645645</v>
      </c>
      <c r="N233" s="254">
        <f t="shared" si="122"/>
        <v>1157.9917938873225</v>
      </c>
      <c r="O233" s="254">
        <f t="shared" si="122"/>
        <v>1264.326752856759</v>
      </c>
      <c r="P233" s="254">
        <f t="shared" si="122"/>
        <v>1371.1933866210427</v>
      </c>
      <c r="Q233" s="254">
        <f t="shared" si="122"/>
        <v>1478.5943535541478</v>
      </c>
    </row>
    <row r="234" spans="2:17" x14ac:dyDescent="0.25">
      <c r="B234" s="2" t="s">
        <v>421</v>
      </c>
      <c r="C234" s="253">
        <v>5</v>
      </c>
      <c r="D234" s="253">
        <v>17</v>
      </c>
      <c r="E234" s="253">
        <v>46</v>
      </c>
      <c r="F234" s="253">
        <v>124</v>
      </c>
      <c r="G234" s="253">
        <v>324</v>
      </c>
      <c r="H234" s="254">
        <f>AVERAGE(C234:G234)</f>
        <v>103.2</v>
      </c>
      <c r="I234" s="254">
        <f>H234*(1+Assumption!$C$16)</f>
        <v>103.71599999999999</v>
      </c>
      <c r="J234" s="254">
        <f>I234*(1+Assumption!$C$16)</f>
        <v>104.23457999999998</v>
      </c>
      <c r="K234" s="254">
        <f>J234*(1+Assumption!$C$16)</f>
        <v>104.75575289999996</v>
      </c>
      <c r="L234" s="254">
        <f>K234*(1+Assumption!$C$16)</f>
        <v>105.27953166449996</v>
      </c>
      <c r="M234" s="254">
        <f>L234*(1+Assumption!$C$16)</f>
        <v>105.80592932282245</v>
      </c>
      <c r="N234" s="254">
        <f>M234*(1+Assumption!$C$16)</f>
        <v>106.33495896943656</v>
      </c>
      <c r="O234" s="254">
        <f>N234*(1+Assumption!$C$16)</f>
        <v>106.86663376428373</v>
      </c>
      <c r="P234" s="254">
        <f>O234*(1+Assumption!$C$16)</f>
        <v>107.40096693310514</v>
      </c>
      <c r="Q234" s="254">
        <f>P234*(1+Assumption!$C$16)</f>
        <v>107.93797176777065</v>
      </c>
    </row>
    <row r="235" spans="2:17" x14ac:dyDescent="0.25">
      <c r="B235" s="2" t="s">
        <v>417</v>
      </c>
      <c r="C235" s="253">
        <v>0</v>
      </c>
      <c r="D235" s="253">
        <v>0</v>
      </c>
      <c r="E235" s="253">
        <v>2</v>
      </c>
      <c r="F235" s="253">
        <v>0</v>
      </c>
      <c r="G235" s="253">
        <v>0</v>
      </c>
      <c r="H235" s="254">
        <v>0</v>
      </c>
      <c r="I235" s="254">
        <v>0</v>
      </c>
      <c r="J235" s="254">
        <v>0</v>
      </c>
      <c r="K235" s="254">
        <v>0</v>
      </c>
      <c r="L235" s="254">
        <v>0</v>
      </c>
      <c r="M235" s="254">
        <v>0</v>
      </c>
      <c r="N235" s="254">
        <v>0</v>
      </c>
      <c r="O235" s="254">
        <v>0</v>
      </c>
      <c r="P235" s="254">
        <v>0</v>
      </c>
      <c r="Q235" s="254">
        <v>0</v>
      </c>
    </row>
    <row r="236" spans="2:17" x14ac:dyDescent="0.25">
      <c r="B236" t="s">
        <v>418</v>
      </c>
      <c r="C236" s="253">
        <v>-31</v>
      </c>
      <c r="D236" s="253">
        <v>0</v>
      </c>
      <c r="E236" s="253">
        <v>0</v>
      </c>
      <c r="F236" s="253">
        <v>0</v>
      </c>
      <c r="G236" s="253">
        <v>0</v>
      </c>
      <c r="H236" s="254">
        <v>0</v>
      </c>
      <c r="I236" s="254">
        <v>0</v>
      </c>
      <c r="J236" s="254">
        <v>0</v>
      </c>
      <c r="K236" s="254">
        <v>0</v>
      </c>
      <c r="L236" s="254">
        <v>0</v>
      </c>
      <c r="M236" s="254">
        <v>0</v>
      </c>
      <c r="N236" s="254">
        <v>0</v>
      </c>
      <c r="O236" s="254">
        <v>0</v>
      </c>
      <c r="P236" s="254">
        <v>0</v>
      </c>
      <c r="Q236" s="254">
        <v>0</v>
      </c>
    </row>
    <row r="237" spans="2:17" x14ac:dyDescent="0.25">
      <c r="B237" t="s">
        <v>428</v>
      </c>
      <c r="C237" s="253">
        <v>0</v>
      </c>
      <c r="D237" s="253">
        <v>0</v>
      </c>
      <c r="E237" s="253">
        <v>0</v>
      </c>
      <c r="F237" s="253">
        <v>1</v>
      </c>
      <c r="G237" s="253">
        <v>2</v>
      </c>
      <c r="H237" s="254">
        <v>0</v>
      </c>
      <c r="I237" s="254">
        <v>0</v>
      </c>
      <c r="J237" s="254">
        <v>0</v>
      </c>
      <c r="K237" s="254">
        <v>0</v>
      </c>
      <c r="L237" s="254">
        <v>0</v>
      </c>
      <c r="M237" s="254">
        <v>0</v>
      </c>
      <c r="N237" s="254">
        <v>0</v>
      </c>
      <c r="O237" s="254">
        <v>0</v>
      </c>
      <c r="P237" s="254">
        <v>0</v>
      </c>
      <c r="Q237" s="254">
        <v>0</v>
      </c>
    </row>
    <row r="238" spans="2:17" x14ac:dyDescent="0.25">
      <c r="B238" s="8" t="s">
        <v>199</v>
      </c>
      <c r="C238" s="255">
        <f>SUM(C233:C237)</f>
        <v>15</v>
      </c>
      <c r="D238" s="255">
        <f t="shared" ref="D238:G238" si="123">SUM(D233:D237)</f>
        <v>32</v>
      </c>
      <c r="E238" s="255">
        <f t="shared" si="123"/>
        <v>80</v>
      </c>
      <c r="F238" s="255">
        <f t="shared" si="123"/>
        <v>205</v>
      </c>
      <c r="G238" s="255">
        <f t="shared" si="123"/>
        <v>531</v>
      </c>
      <c r="H238" s="256">
        <f t="shared" ref="H238" si="124">SUM(H233:H237)</f>
        <v>634.20000000000005</v>
      </c>
      <c r="I238" s="256">
        <f t="shared" ref="I238" si="125">SUM(I233:I237)</f>
        <v>737.91600000000005</v>
      </c>
      <c r="J238" s="256">
        <f t="shared" ref="J238" si="126">SUM(J233:J237)</f>
        <v>842.15057999999999</v>
      </c>
      <c r="K238" s="256">
        <f t="shared" ref="K238" si="127">SUM(K233:K237)</f>
        <v>946.90633289999994</v>
      </c>
      <c r="L238" s="256">
        <f t="shared" ref="L238" si="128">SUM(L233:L237)</f>
        <v>1052.1858645645</v>
      </c>
      <c r="M238" s="256">
        <f t="shared" ref="M238" si="129">SUM(M233:M237)</f>
        <v>1157.9917938873225</v>
      </c>
      <c r="N238" s="256">
        <f t="shared" ref="N238" si="130">SUM(N233:N237)</f>
        <v>1264.326752856759</v>
      </c>
      <c r="O238" s="256">
        <f t="shared" ref="O238" si="131">SUM(O233:O237)</f>
        <v>1371.1933866210427</v>
      </c>
      <c r="P238" s="256">
        <f t="shared" ref="P238" si="132">SUM(P233:P237)</f>
        <v>1478.5943535541478</v>
      </c>
      <c r="Q238" s="256">
        <f t="shared" ref="Q238" si="133">SUM(Q233:Q237)</f>
        <v>1586.5323253219185</v>
      </c>
    </row>
    <row r="239" spans="2:17" x14ac:dyDescent="0.25">
      <c r="C239" s="253"/>
      <c r="D239" s="253"/>
      <c r="E239" s="253"/>
      <c r="F239" s="253"/>
      <c r="G239" s="253"/>
    </row>
    <row r="240" spans="2:17" x14ac:dyDescent="0.25">
      <c r="B240" s="8" t="s">
        <v>422</v>
      </c>
      <c r="C240" s="255">
        <f>C232-C238</f>
        <v>47</v>
      </c>
      <c r="D240" s="255">
        <f t="shared" ref="D240:Q240" si="134">D232-D238</f>
        <v>32</v>
      </c>
      <c r="E240" s="255">
        <f t="shared" si="134"/>
        <v>317</v>
      </c>
      <c r="F240" s="255">
        <f t="shared" si="134"/>
        <v>193</v>
      </c>
      <c r="G240" s="255">
        <f t="shared" si="134"/>
        <v>637</v>
      </c>
      <c r="H240" s="256">
        <f t="shared" si="134"/>
        <v>533.79999999999995</v>
      </c>
      <c r="I240" s="256">
        <f t="shared" si="134"/>
        <v>430.08399999999995</v>
      </c>
      <c r="J240" s="256">
        <f t="shared" si="134"/>
        <v>325.84942000000001</v>
      </c>
      <c r="K240" s="256">
        <f t="shared" si="134"/>
        <v>221.09366710000006</v>
      </c>
      <c r="L240" s="256">
        <f t="shared" si="134"/>
        <v>115.81413543550002</v>
      </c>
      <c r="M240" s="256">
        <f t="shared" si="134"/>
        <v>10.008206112677499</v>
      </c>
      <c r="N240" s="256">
        <f t="shared" si="134"/>
        <v>-96.326752856758958</v>
      </c>
      <c r="O240" s="256">
        <f t="shared" si="134"/>
        <v>-203.19338662104269</v>
      </c>
      <c r="P240" s="256">
        <f t="shared" si="134"/>
        <v>-310.5943535541478</v>
      </c>
      <c r="Q240" s="256">
        <f t="shared" si="134"/>
        <v>-418.53232532191851</v>
      </c>
    </row>
    <row r="243" spans="2:17" x14ac:dyDescent="0.25">
      <c r="B243" s="1" t="s">
        <v>431</v>
      </c>
    </row>
    <row r="244" spans="2:17" x14ac:dyDescent="0.25">
      <c r="B244" s="3" t="s">
        <v>416</v>
      </c>
      <c r="C244" s="265">
        <v>254</v>
      </c>
      <c r="D244" s="265">
        <f>C251</f>
        <v>554</v>
      </c>
      <c r="E244" s="265">
        <f t="shared" ref="E244:G244" si="135">D251</f>
        <v>874</v>
      </c>
      <c r="F244" s="265">
        <f t="shared" si="135"/>
        <v>1683</v>
      </c>
      <c r="G244" s="265">
        <f t="shared" si="135"/>
        <v>1953</v>
      </c>
      <c r="H244" s="250">
        <f>G251</f>
        <v>2325</v>
      </c>
      <c r="I244" s="250">
        <f t="shared" ref="I244:Q244" si="136">H251</f>
        <v>2660.4</v>
      </c>
      <c r="J244" s="250">
        <f t="shared" si="136"/>
        <v>2997.4769999999999</v>
      </c>
      <c r="K244" s="250">
        <f t="shared" si="136"/>
        <v>3336.2393849999999</v>
      </c>
      <c r="L244" s="250">
        <f t="shared" si="136"/>
        <v>3676.6955819249997</v>
      </c>
      <c r="M244" s="250">
        <f t="shared" si="136"/>
        <v>4018.8540598346244</v>
      </c>
      <c r="N244" s="250">
        <f t="shared" si="136"/>
        <v>4362.7233301337974</v>
      </c>
      <c r="O244" s="250">
        <f t="shared" si="136"/>
        <v>4708.3119467844663</v>
      </c>
      <c r="P244" s="250">
        <f t="shared" si="136"/>
        <v>5055.6285065183883</v>
      </c>
      <c r="Q244" s="250">
        <f t="shared" si="136"/>
        <v>5404.68164905098</v>
      </c>
    </row>
    <row r="245" spans="2:17" x14ac:dyDescent="0.25">
      <c r="B245" s="96" t="s">
        <v>415</v>
      </c>
      <c r="C245" s="266">
        <v>19</v>
      </c>
      <c r="D245" s="266">
        <v>311</v>
      </c>
      <c r="E245" s="266">
        <v>789</v>
      </c>
      <c r="F245" s="266">
        <v>230</v>
      </c>
      <c r="G245" s="266">
        <v>328</v>
      </c>
      <c r="H245" s="254">
        <f>AVERAGE(C245:G245)</f>
        <v>335.4</v>
      </c>
      <c r="I245" s="254">
        <f>H245*(1+Assumption!$C$14)</f>
        <v>337.07699999999994</v>
      </c>
      <c r="J245" s="254">
        <f>I245*(1+Assumption!$C$14)</f>
        <v>338.76238499999988</v>
      </c>
      <c r="K245" s="254">
        <f>J245*(1+Assumption!$C$14)</f>
        <v>340.45619692499986</v>
      </c>
      <c r="L245" s="254">
        <f>K245*(1+Assumption!$C$14)</f>
        <v>342.15847790962482</v>
      </c>
      <c r="M245" s="254">
        <f>L245*(1+Assumption!$C$14)</f>
        <v>343.86927029917291</v>
      </c>
      <c r="N245" s="254">
        <f>M245*(1+Assumption!$C$14)</f>
        <v>345.58861665066871</v>
      </c>
      <c r="O245" s="254">
        <f>N245*(1+Assumption!$C$14)</f>
        <v>347.31655973392202</v>
      </c>
      <c r="P245" s="254">
        <f>O245*(1+Assumption!$C$14)</f>
        <v>349.05314253259161</v>
      </c>
      <c r="Q245" s="254">
        <f>P245*(1+Assumption!$C$14)</f>
        <v>350.79840824525451</v>
      </c>
    </row>
    <row r="246" spans="2:17" x14ac:dyDescent="0.25">
      <c r="B246" t="s">
        <v>417</v>
      </c>
      <c r="C246" s="253">
        <v>0</v>
      </c>
      <c r="D246" s="253">
        <v>0</v>
      </c>
      <c r="E246" s="253">
        <v>0</v>
      </c>
      <c r="F246" s="253">
        <v>0</v>
      </c>
      <c r="G246" s="253">
        <v>0</v>
      </c>
      <c r="H246" s="254">
        <v>0</v>
      </c>
      <c r="I246" s="254">
        <v>0</v>
      </c>
      <c r="J246" s="254">
        <v>0</v>
      </c>
      <c r="K246" s="254">
        <v>0</v>
      </c>
      <c r="L246" s="254">
        <v>0</v>
      </c>
      <c r="M246" s="254">
        <v>0</v>
      </c>
      <c r="N246" s="254">
        <v>0</v>
      </c>
      <c r="O246" s="254">
        <v>0</v>
      </c>
      <c r="P246" s="254">
        <v>0</v>
      </c>
      <c r="Q246" s="254">
        <v>0</v>
      </c>
    </row>
    <row r="247" spans="2:17" x14ac:dyDescent="0.25">
      <c r="B247" t="s">
        <v>100</v>
      </c>
      <c r="C247" s="253">
        <v>263</v>
      </c>
      <c r="D247" s="253">
        <v>0</v>
      </c>
      <c r="E247" s="253">
        <v>0</v>
      </c>
      <c r="F247" s="253">
        <v>0</v>
      </c>
      <c r="G247" s="253">
        <v>0</v>
      </c>
      <c r="H247" s="254">
        <v>0</v>
      </c>
      <c r="I247" s="254">
        <v>0</v>
      </c>
      <c r="J247" s="254">
        <v>0</v>
      </c>
      <c r="K247" s="254">
        <v>0</v>
      </c>
      <c r="L247" s="254">
        <v>0</v>
      </c>
      <c r="M247" s="254">
        <v>0</v>
      </c>
      <c r="N247" s="254">
        <v>0</v>
      </c>
      <c r="O247" s="254">
        <v>0</v>
      </c>
      <c r="P247" s="254">
        <v>0</v>
      </c>
      <c r="Q247" s="254">
        <v>0</v>
      </c>
    </row>
    <row r="248" spans="2:17" x14ac:dyDescent="0.25">
      <c r="B248" t="s">
        <v>427</v>
      </c>
      <c r="C248" s="253">
        <v>17</v>
      </c>
      <c r="D248" s="253">
        <v>0</v>
      </c>
      <c r="E248" s="253">
        <v>0</v>
      </c>
      <c r="F248" s="253">
        <v>36</v>
      </c>
      <c r="G248" s="253">
        <v>27</v>
      </c>
      <c r="H248" s="254">
        <v>0</v>
      </c>
      <c r="I248" s="254">
        <v>0</v>
      </c>
      <c r="J248" s="254">
        <v>0</v>
      </c>
      <c r="K248" s="254">
        <v>0</v>
      </c>
      <c r="L248" s="254">
        <v>0</v>
      </c>
      <c r="M248" s="254">
        <v>0</v>
      </c>
      <c r="N248" s="254">
        <v>0</v>
      </c>
      <c r="O248" s="254">
        <v>0</v>
      </c>
      <c r="P248" s="254">
        <v>0</v>
      </c>
      <c r="Q248" s="254">
        <v>0</v>
      </c>
    </row>
    <row r="249" spans="2:17" x14ac:dyDescent="0.25">
      <c r="B249" t="s">
        <v>418</v>
      </c>
      <c r="C249" s="253">
        <v>0</v>
      </c>
      <c r="D249" s="253">
        <v>0</v>
      </c>
      <c r="E249" s="253">
        <v>0</v>
      </c>
      <c r="F249" s="253">
        <v>0</v>
      </c>
      <c r="G249" s="253">
        <v>0</v>
      </c>
      <c r="H249" s="254">
        <v>0</v>
      </c>
      <c r="I249" s="254">
        <v>0</v>
      </c>
      <c r="J249" s="254">
        <v>0</v>
      </c>
      <c r="K249" s="254">
        <v>0</v>
      </c>
      <c r="L249" s="254">
        <v>0</v>
      </c>
      <c r="M249" s="254">
        <v>0</v>
      </c>
      <c r="N249" s="254">
        <v>0</v>
      </c>
      <c r="O249" s="254">
        <v>0</v>
      </c>
      <c r="P249" s="254">
        <v>0</v>
      </c>
      <c r="Q249" s="254">
        <v>0</v>
      </c>
    </row>
    <row r="250" spans="2:17" x14ac:dyDescent="0.25">
      <c r="B250" t="s">
        <v>428</v>
      </c>
      <c r="C250" s="253">
        <v>1</v>
      </c>
      <c r="D250" s="253">
        <v>9</v>
      </c>
      <c r="E250" s="253">
        <v>20</v>
      </c>
      <c r="F250" s="253">
        <v>4</v>
      </c>
      <c r="G250" s="253">
        <v>17</v>
      </c>
      <c r="H250" s="254">
        <v>0</v>
      </c>
      <c r="I250" s="254">
        <v>0</v>
      </c>
      <c r="J250" s="254">
        <v>0</v>
      </c>
      <c r="K250" s="254">
        <v>0</v>
      </c>
      <c r="L250" s="254">
        <v>0</v>
      </c>
      <c r="M250" s="254">
        <v>0</v>
      </c>
      <c r="N250" s="254">
        <v>0</v>
      </c>
      <c r="O250" s="254">
        <v>0</v>
      </c>
      <c r="P250" s="254">
        <v>0</v>
      </c>
      <c r="Q250" s="254">
        <v>0</v>
      </c>
    </row>
    <row r="251" spans="2:17" x14ac:dyDescent="0.25">
      <c r="B251" s="8" t="s">
        <v>419</v>
      </c>
      <c r="C251" s="255">
        <f>SUM(C244:C250)</f>
        <v>554</v>
      </c>
      <c r="D251" s="255">
        <f t="shared" ref="D251:G251" si="137">SUM(D244:D250)</f>
        <v>874</v>
      </c>
      <c r="E251" s="255">
        <f t="shared" si="137"/>
        <v>1683</v>
      </c>
      <c r="F251" s="255">
        <f t="shared" si="137"/>
        <v>1953</v>
      </c>
      <c r="G251" s="255">
        <f t="shared" si="137"/>
        <v>2325</v>
      </c>
      <c r="H251" s="256">
        <f t="shared" ref="H251" si="138">SUM(H244:H250)</f>
        <v>2660.4</v>
      </c>
      <c r="I251" s="256">
        <f t="shared" ref="I251" si="139">SUM(I244:I250)</f>
        <v>2997.4769999999999</v>
      </c>
      <c r="J251" s="256">
        <f t="shared" ref="J251" si="140">SUM(J244:J250)</f>
        <v>3336.2393849999999</v>
      </c>
      <c r="K251" s="256">
        <f t="shared" ref="K251" si="141">SUM(K244:K250)</f>
        <v>3676.6955819249997</v>
      </c>
      <c r="L251" s="256">
        <f t="shared" ref="L251" si="142">SUM(L244:L250)</f>
        <v>4018.8540598346244</v>
      </c>
      <c r="M251" s="256">
        <f t="shared" ref="M251" si="143">SUM(M244:M250)</f>
        <v>4362.7233301337974</v>
      </c>
      <c r="N251" s="256">
        <f t="shared" ref="N251" si="144">SUM(N244:N250)</f>
        <v>4708.3119467844663</v>
      </c>
      <c r="O251" s="256">
        <f t="shared" ref="O251" si="145">SUM(O244:O250)</f>
        <v>5055.6285065183883</v>
      </c>
      <c r="P251" s="256">
        <f t="shared" ref="P251" si="146">SUM(P244:P250)</f>
        <v>5404.68164905098</v>
      </c>
      <c r="Q251" s="256">
        <f t="shared" ref="Q251" si="147">SUM(Q244:Q250)</f>
        <v>5755.4800572962349</v>
      </c>
    </row>
    <row r="252" spans="2:17" x14ac:dyDescent="0.25">
      <c r="B252" s="2" t="s">
        <v>420</v>
      </c>
      <c r="C252" s="253">
        <v>186</v>
      </c>
      <c r="D252" s="253">
        <f>C257</f>
        <v>247</v>
      </c>
      <c r="E252" s="253">
        <f t="shared" ref="E252:G252" si="148">D257</f>
        <v>443</v>
      </c>
      <c r="F252" s="253">
        <f t="shared" si="148"/>
        <v>835</v>
      </c>
      <c r="G252" s="253">
        <f t="shared" si="148"/>
        <v>1432</v>
      </c>
      <c r="H252" s="254">
        <f>G257</f>
        <v>1928</v>
      </c>
      <c r="I252" s="254">
        <f t="shared" ref="I252:Q252" si="149">H257</f>
        <v>2269.6</v>
      </c>
      <c r="J252" s="254">
        <f t="shared" si="149"/>
        <v>2612.9079999999999</v>
      </c>
      <c r="K252" s="254">
        <f t="shared" si="149"/>
        <v>2957.9325399999998</v>
      </c>
      <c r="L252" s="254">
        <f t="shared" si="149"/>
        <v>3304.6822026999998</v>
      </c>
      <c r="M252" s="254">
        <f t="shared" si="149"/>
        <v>3653.1656137134996</v>
      </c>
      <c r="N252" s="254">
        <f t="shared" si="149"/>
        <v>4003.391441782067</v>
      </c>
      <c r="O252" s="254">
        <f t="shared" si="149"/>
        <v>4355.3683989909769</v>
      </c>
      <c r="P252" s="254">
        <f t="shared" si="149"/>
        <v>4709.1052409859312</v>
      </c>
      <c r="Q252" s="254">
        <f t="shared" si="149"/>
        <v>5064.6107671908603</v>
      </c>
    </row>
    <row r="253" spans="2:17" x14ac:dyDescent="0.25">
      <c r="B253" s="2" t="s">
        <v>421</v>
      </c>
      <c r="C253" s="253">
        <v>61</v>
      </c>
      <c r="D253" s="253">
        <v>194</v>
      </c>
      <c r="E253" s="253">
        <v>380</v>
      </c>
      <c r="F253" s="253">
        <v>593</v>
      </c>
      <c r="G253" s="253">
        <v>480</v>
      </c>
      <c r="H253" s="254">
        <f>AVERAGE(C253:G253)</f>
        <v>341.6</v>
      </c>
      <c r="I253" s="254">
        <f>H253*(1+Assumption!$C$16)</f>
        <v>343.30799999999999</v>
      </c>
      <c r="J253" s="254">
        <f>I253*(1+Assumption!$C$16)</f>
        <v>345.02453999999994</v>
      </c>
      <c r="K253" s="254">
        <f>J253*(1+Assumption!$C$16)</f>
        <v>346.74966269999993</v>
      </c>
      <c r="L253" s="254">
        <f>K253*(1+Assumption!$C$16)</f>
        <v>348.4834110134999</v>
      </c>
      <c r="M253" s="254">
        <f>L253*(1+Assumption!$C$16)</f>
        <v>350.22582806856735</v>
      </c>
      <c r="N253" s="254">
        <f>M253*(1+Assumption!$C$16)</f>
        <v>351.97695720891016</v>
      </c>
      <c r="O253" s="254">
        <f>N253*(1+Assumption!$C$16)</f>
        <v>353.73684199495466</v>
      </c>
      <c r="P253" s="254">
        <f>O253*(1+Assumption!$C$16)</f>
        <v>355.50552620492937</v>
      </c>
      <c r="Q253" s="254">
        <f>P253*(1+Assumption!$C$16)</f>
        <v>357.28305383595398</v>
      </c>
    </row>
    <row r="254" spans="2:17" x14ac:dyDescent="0.25">
      <c r="B254" s="2" t="s">
        <v>417</v>
      </c>
      <c r="C254" s="253">
        <v>0</v>
      </c>
      <c r="D254" s="253">
        <v>0</v>
      </c>
      <c r="E254" s="253">
        <v>0</v>
      </c>
      <c r="F254" s="253">
        <v>0</v>
      </c>
      <c r="G254" s="253">
        <v>0</v>
      </c>
      <c r="H254" s="254">
        <v>0</v>
      </c>
      <c r="I254" s="254">
        <v>0</v>
      </c>
      <c r="J254" s="254">
        <v>0</v>
      </c>
      <c r="K254" s="254">
        <v>0</v>
      </c>
      <c r="L254" s="254">
        <v>0</v>
      </c>
      <c r="M254" s="254">
        <v>0</v>
      </c>
      <c r="N254" s="254">
        <v>0</v>
      </c>
      <c r="O254" s="254">
        <v>0</v>
      </c>
      <c r="P254" s="254">
        <v>0</v>
      </c>
      <c r="Q254" s="254">
        <v>0</v>
      </c>
    </row>
    <row r="255" spans="2:17" x14ac:dyDescent="0.25">
      <c r="B255" t="s">
        <v>418</v>
      </c>
      <c r="C255" s="253">
        <v>0</v>
      </c>
      <c r="D255" s="253">
        <v>0</v>
      </c>
      <c r="E255" s="253">
        <v>0</v>
      </c>
      <c r="F255" s="253">
        <v>0</v>
      </c>
      <c r="G255" s="253">
        <v>0</v>
      </c>
      <c r="H255" s="254">
        <v>0</v>
      </c>
      <c r="I255" s="254">
        <v>0</v>
      </c>
      <c r="J255" s="254">
        <v>0</v>
      </c>
      <c r="K255" s="254">
        <v>0</v>
      </c>
      <c r="L255" s="254">
        <v>0</v>
      </c>
      <c r="M255" s="254">
        <v>0</v>
      </c>
      <c r="N255" s="254">
        <v>0</v>
      </c>
      <c r="O255" s="254">
        <v>0</v>
      </c>
      <c r="P255" s="254">
        <v>0</v>
      </c>
      <c r="Q255" s="254">
        <v>0</v>
      </c>
    </row>
    <row r="256" spans="2:17" x14ac:dyDescent="0.25">
      <c r="B256" t="s">
        <v>428</v>
      </c>
      <c r="C256" s="253">
        <v>0</v>
      </c>
      <c r="D256" s="253">
        <v>2</v>
      </c>
      <c r="E256" s="253">
        <v>12</v>
      </c>
      <c r="F256" s="253">
        <v>4</v>
      </c>
      <c r="G256" s="253">
        <v>15</v>
      </c>
      <c r="H256" s="254">
        <v>0</v>
      </c>
      <c r="I256" s="254">
        <v>0</v>
      </c>
      <c r="J256" s="254">
        <v>0</v>
      </c>
      <c r="K256" s="254">
        <v>0</v>
      </c>
      <c r="L256" s="254">
        <v>0</v>
      </c>
      <c r="M256" s="254">
        <v>0</v>
      </c>
      <c r="N256" s="254">
        <v>0</v>
      </c>
      <c r="O256" s="254">
        <v>0</v>
      </c>
      <c r="P256" s="254">
        <v>0</v>
      </c>
      <c r="Q256" s="254">
        <v>0</v>
      </c>
    </row>
    <row r="257" spans="2:17" x14ac:dyDescent="0.25">
      <c r="B257" s="8" t="s">
        <v>199</v>
      </c>
      <c r="C257" s="255">
        <f>SUM(C252:C256)</f>
        <v>247</v>
      </c>
      <c r="D257" s="255">
        <f t="shared" ref="D257:H257" si="150">SUM(D252:D256)</f>
        <v>443</v>
      </c>
      <c r="E257" s="255">
        <f t="shared" si="150"/>
        <v>835</v>
      </c>
      <c r="F257" s="255">
        <f t="shared" si="150"/>
        <v>1432</v>
      </c>
      <c r="G257" s="255">
        <v>1928</v>
      </c>
      <c r="H257" s="256">
        <f t="shared" si="150"/>
        <v>2269.6</v>
      </c>
      <c r="I257" s="256">
        <f t="shared" ref="I257" si="151">SUM(I252:I256)</f>
        <v>2612.9079999999999</v>
      </c>
      <c r="J257" s="256">
        <f t="shared" ref="J257" si="152">SUM(J252:J256)</f>
        <v>2957.9325399999998</v>
      </c>
      <c r="K257" s="256">
        <f t="shared" ref="K257" si="153">SUM(K252:K256)</f>
        <v>3304.6822026999998</v>
      </c>
      <c r="L257" s="256">
        <f t="shared" ref="L257" si="154">SUM(L252:L256)</f>
        <v>3653.1656137134996</v>
      </c>
      <c r="M257" s="256">
        <f t="shared" ref="M257" si="155">SUM(M252:M256)</f>
        <v>4003.391441782067</v>
      </c>
      <c r="N257" s="256">
        <f t="shared" ref="N257" si="156">SUM(N252:N256)</f>
        <v>4355.3683989909769</v>
      </c>
      <c r="O257" s="256">
        <f t="shared" ref="O257" si="157">SUM(O252:O256)</f>
        <v>4709.1052409859312</v>
      </c>
      <c r="P257" s="256">
        <f t="shared" ref="P257" si="158">SUM(P252:P256)</f>
        <v>5064.6107671908603</v>
      </c>
      <c r="Q257" s="256">
        <f t="shared" ref="Q257" si="159">SUM(Q252:Q256)</f>
        <v>5421.8938210268143</v>
      </c>
    </row>
    <row r="258" spans="2:17" x14ac:dyDescent="0.25">
      <c r="C258" s="253"/>
      <c r="D258" s="253"/>
      <c r="E258" s="253"/>
      <c r="F258" s="253"/>
      <c r="G258" s="253"/>
    </row>
    <row r="259" spans="2:17" x14ac:dyDescent="0.25">
      <c r="B259" s="8" t="s">
        <v>422</v>
      </c>
      <c r="C259" s="255">
        <f>C251-C257</f>
        <v>307</v>
      </c>
      <c r="D259" s="255">
        <f t="shared" ref="D259:Q259" si="160">D251-D257</f>
        <v>431</v>
      </c>
      <c r="E259" s="255">
        <f t="shared" si="160"/>
        <v>848</v>
      </c>
      <c r="F259" s="255">
        <f t="shared" si="160"/>
        <v>521</v>
      </c>
      <c r="G259" s="255">
        <f t="shared" si="160"/>
        <v>397</v>
      </c>
      <c r="H259" s="256">
        <f t="shared" si="160"/>
        <v>390.80000000000018</v>
      </c>
      <c r="I259" s="256">
        <f t="shared" si="160"/>
        <v>384.56899999999996</v>
      </c>
      <c r="J259" s="256">
        <f t="shared" si="160"/>
        <v>378.30684500000007</v>
      </c>
      <c r="K259" s="256">
        <f t="shared" si="160"/>
        <v>372.01337922499988</v>
      </c>
      <c r="L259" s="256">
        <f t="shared" si="160"/>
        <v>365.6884461211248</v>
      </c>
      <c r="M259" s="256">
        <f t="shared" si="160"/>
        <v>359.33188835173041</v>
      </c>
      <c r="N259" s="256">
        <f t="shared" si="160"/>
        <v>352.94354779348942</v>
      </c>
      <c r="O259" s="256">
        <f t="shared" si="160"/>
        <v>346.52326553245712</v>
      </c>
      <c r="P259" s="256">
        <f t="shared" si="160"/>
        <v>340.0708818601197</v>
      </c>
      <c r="Q259" s="256">
        <f t="shared" si="160"/>
        <v>333.58623626942062</v>
      </c>
    </row>
    <row r="260" spans="2:17" x14ac:dyDescent="0.25">
      <c r="C260" s="253"/>
      <c r="D260" s="253"/>
      <c r="E260" s="253"/>
      <c r="F260" s="253"/>
      <c r="G260" s="253"/>
    </row>
    <row r="261" spans="2:17" x14ac:dyDescent="0.25">
      <c r="C261" s="253"/>
      <c r="D261" s="253"/>
      <c r="E261" s="253"/>
      <c r="F261" s="253"/>
      <c r="G261" s="253"/>
    </row>
    <row r="262" spans="2:17" x14ac:dyDescent="0.25">
      <c r="B262" s="1" t="s">
        <v>432</v>
      </c>
      <c r="C262" s="253"/>
      <c r="D262" s="253"/>
      <c r="E262" s="253"/>
      <c r="F262" s="253"/>
      <c r="G262" s="253"/>
    </row>
    <row r="263" spans="2:17" x14ac:dyDescent="0.25">
      <c r="B263" s="3" t="s">
        <v>416</v>
      </c>
      <c r="C263" s="265">
        <v>0</v>
      </c>
      <c r="D263" s="265">
        <f>C270</f>
        <v>94</v>
      </c>
      <c r="E263" s="265">
        <f t="shared" ref="E263:G263" si="161">D270</f>
        <v>97</v>
      </c>
      <c r="F263" s="265">
        <f t="shared" si="161"/>
        <v>105</v>
      </c>
      <c r="G263" s="265">
        <f t="shared" si="161"/>
        <v>107</v>
      </c>
      <c r="H263" s="250">
        <f>G270</f>
        <v>107</v>
      </c>
      <c r="I263" s="250">
        <f t="shared" ref="I263:Q263" si="162">H270</f>
        <v>107</v>
      </c>
      <c r="J263" s="250">
        <f t="shared" si="162"/>
        <v>107</v>
      </c>
      <c r="K263" s="250">
        <f t="shared" si="162"/>
        <v>107</v>
      </c>
      <c r="L263" s="250">
        <f t="shared" si="162"/>
        <v>107</v>
      </c>
      <c r="M263" s="250">
        <f t="shared" si="162"/>
        <v>107</v>
      </c>
      <c r="N263" s="250">
        <f t="shared" si="162"/>
        <v>107</v>
      </c>
      <c r="O263" s="250">
        <f t="shared" si="162"/>
        <v>107</v>
      </c>
      <c r="P263" s="250">
        <f t="shared" si="162"/>
        <v>107</v>
      </c>
      <c r="Q263" s="250">
        <f t="shared" si="162"/>
        <v>107</v>
      </c>
    </row>
    <row r="264" spans="2:17" x14ac:dyDescent="0.25">
      <c r="B264" s="96" t="s">
        <v>415</v>
      </c>
      <c r="C264" s="253">
        <v>0</v>
      </c>
      <c r="D264" s="253">
        <v>0</v>
      </c>
      <c r="E264" s="253">
        <v>0</v>
      </c>
      <c r="F264" s="253">
        <v>0</v>
      </c>
      <c r="G264" s="253">
        <v>0</v>
      </c>
      <c r="H264" s="254">
        <f>AVERAGE(C264:G264)</f>
        <v>0</v>
      </c>
      <c r="I264" s="254">
        <f>H264*(1+Assumption!$C$14)</f>
        <v>0</v>
      </c>
      <c r="J264" s="254">
        <f>I264*(1+Assumption!$C$14)</f>
        <v>0</v>
      </c>
      <c r="K264" s="254">
        <f>J264*(1+Assumption!$C$14)</f>
        <v>0</v>
      </c>
      <c r="L264" s="254">
        <f>K264*(1+Assumption!$C$14)</f>
        <v>0</v>
      </c>
      <c r="M264" s="254">
        <f>L264*(1+Assumption!$C$14)</f>
        <v>0</v>
      </c>
      <c r="N264" s="254">
        <f>M264*(1+Assumption!$C$14)</f>
        <v>0</v>
      </c>
      <c r="O264" s="254">
        <f>N264*(1+Assumption!$C$14)</f>
        <v>0</v>
      </c>
      <c r="P264" s="254">
        <f>O264*(1+Assumption!$C$14)</f>
        <v>0</v>
      </c>
      <c r="Q264" s="254">
        <f>P264*(1+Assumption!$C$14)</f>
        <v>0</v>
      </c>
    </row>
    <row r="265" spans="2:17" x14ac:dyDescent="0.25">
      <c r="B265" t="s">
        <v>417</v>
      </c>
      <c r="C265" s="253">
        <v>0</v>
      </c>
      <c r="D265" s="253">
        <v>0</v>
      </c>
      <c r="E265" s="253">
        <v>0</v>
      </c>
      <c r="F265" s="253">
        <v>0</v>
      </c>
      <c r="G265" s="253">
        <v>0</v>
      </c>
      <c r="H265" s="254">
        <v>0</v>
      </c>
      <c r="I265" s="254">
        <v>0</v>
      </c>
      <c r="J265" s="254">
        <v>0</v>
      </c>
      <c r="K265" s="254">
        <v>0</v>
      </c>
      <c r="L265" s="254">
        <v>0</v>
      </c>
      <c r="M265" s="254">
        <v>0</v>
      </c>
      <c r="N265" s="254">
        <v>0</v>
      </c>
      <c r="O265" s="254">
        <v>0</v>
      </c>
      <c r="P265" s="254">
        <v>0</v>
      </c>
      <c r="Q265" s="254">
        <v>0</v>
      </c>
    </row>
    <row r="266" spans="2:17" x14ac:dyDescent="0.25">
      <c r="B266" t="s">
        <v>100</v>
      </c>
      <c r="C266" s="253">
        <v>94</v>
      </c>
      <c r="D266" s="253">
        <v>0</v>
      </c>
      <c r="E266" s="253">
        <v>0</v>
      </c>
      <c r="F266" s="253">
        <v>0</v>
      </c>
      <c r="G266" s="253">
        <v>0</v>
      </c>
      <c r="H266" s="254">
        <v>0</v>
      </c>
      <c r="I266" s="254">
        <v>0</v>
      </c>
      <c r="J266" s="254">
        <v>0</v>
      </c>
      <c r="K266" s="254">
        <v>0</v>
      </c>
      <c r="L266" s="254">
        <v>0</v>
      </c>
      <c r="M266" s="254">
        <v>0</v>
      </c>
      <c r="N266" s="254">
        <v>0</v>
      </c>
      <c r="O266" s="254">
        <v>0</v>
      </c>
      <c r="P266" s="254">
        <v>0</v>
      </c>
      <c r="Q266" s="254">
        <v>0</v>
      </c>
    </row>
    <row r="267" spans="2:17" x14ac:dyDescent="0.25">
      <c r="B267" t="s">
        <v>427</v>
      </c>
      <c r="C267" s="253">
        <v>0</v>
      </c>
      <c r="D267" s="253">
        <v>0</v>
      </c>
      <c r="E267" s="253">
        <v>0</v>
      </c>
      <c r="F267" s="253">
        <v>0</v>
      </c>
      <c r="G267" s="253">
        <v>0</v>
      </c>
      <c r="H267" s="254">
        <v>0</v>
      </c>
      <c r="I267" s="254">
        <v>0</v>
      </c>
      <c r="J267" s="254">
        <v>0</v>
      </c>
      <c r="K267" s="254">
        <v>0</v>
      </c>
      <c r="L267" s="254">
        <v>0</v>
      </c>
      <c r="M267" s="254">
        <v>0</v>
      </c>
      <c r="N267" s="254">
        <v>0</v>
      </c>
      <c r="O267" s="254">
        <v>0</v>
      </c>
      <c r="P267" s="254">
        <v>0</v>
      </c>
      <c r="Q267" s="254">
        <v>0</v>
      </c>
    </row>
    <row r="268" spans="2:17" x14ac:dyDescent="0.25">
      <c r="B268" t="s">
        <v>418</v>
      </c>
      <c r="C268" s="253">
        <v>0</v>
      </c>
      <c r="D268" s="253">
        <v>0</v>
      </c>
      <c r="E268" s="253">
        <v>0</v>
      </c>
      <c r="F268" s="253">
        <v>0</v>
      </c>
      <c r="G268" s="253">
        <v>0</v>
      </c>
      <c r="H268" s="254">
        <v>0</v>
      </c>
      <c r="I268" s="254">
        <v>0</v>
      </c>
      <c r="J268" s="254">
        <v>0</v>
      </c>
      <c r="K268" s="254">
        <v>0</v>
      </c>
      <c r="L268" s="254">
        <v>0</v>
      </c>
      <c r="M268" s="254">
        <v>0</v>
      </c>
      <c r="N268" s="254">
        <v>0</v>
      </c>
      <c r="O268" s="254">
        <v>0</v>
      </c>
      <c r="P268" s="254">
        <v>0</v>
      </c>
      <c r="Q268" s="254">
        <v>0</v>
      </c>
    </row>
    <row r="269" spans="2:17" x14ac:dyDescent="0.25">
      <c r="B269" t="s">
        <v>428</v>
      </c>
      <c r="C269" s="253">
        <v>0</v>
      </c>
      <c r="D269" s="253">
        <v>3</v>
      </c>
      <c r="E269" s="253">
        <v>8</v>
      </c>
      <c r="F269" s="253">
        <v>2</v>
      </c>
      <c r="G269" s="253">
        <v>0</v>
      </c>
      <c r="H269" s="254">
        <v>0</v>
      </c>
      <c r="I269" s="254">
        <v>0</v>
      </c>
      <c r="J269" s="254">
        <v>0</v>
      </c>
      <c r="K269" s="254">
        <v>0</v>
      </c>
      <c r="L269" s="254">
        <v>0</v>
      </c>
      <c r="M269" s="254">
        <v>0</v>
      </c>
      <c r="N269" s="254">
        <v>0</v>
      </c>
      <c r="O269" s="254">
        <v>0</v>
      </c>
      <c r="P269" s="254">
        <v>0</v>
      </c>
      <c r="Q269" s="254">
        <v>0</v>
      </c>
    </row>
    <row r="270" spans="2:17" x14ac:dyDescent="0.25">
      <c r="B270" s="8" t="s">
        <v>419</v>
      </c>
      <c r="C270" s="255">
        <f>SUM(C263:C269)</f>
        <v>94</v>
      </c>
      <c r="D270" s="255">
        <f t="shared" ref="D270:G270" si="163">SUM(D263:D269)</f>
        <v>97</v>
      </c>
      <c r="E270" s="255">
        <f t="shared" si="163"/>
        <v>105</v>
      </c>
      <c r="F270" s="255">
        <f t="shared" si="163"/>
        <v>107</v>
      </c>
      <c r="G270" s="255">
        <f t="shared" si="163"/>
        <v>107</v>
      </c>
      <c r="H270" s="256">
        <f t="shared" ref="H270" si="164">SUM(H263:H269)</f>
        <v>107</v>
      </c>
      <c r="I270" s="256">
        <f t="shared" ref="I270" si="165">SUM(I263:I269)</f>
        <v>107</v>
      </c>
      <c r="J270" s="256">
        <f t="shared" ref="J270" si="166">SUM(J263:J269)</f>
        <v>107</v>
      </c>
      <c r="K270" s="256">
        <f t="shared" ref="K270" si="167">SUM(K263:K269)</f>
        <v>107</v>
      </c>
      <c r="L270" s="256">
        <f t="shared" ref="L270" si="168">SUM(L263:L269)</f>
        <v>107</v>
      </c>
      <c r="M270" s="256">
        <f t="shared" ref="M270" si="169">SUM(M263:M269)</f>
        <v>107</v>
      </c>
      <c r="N270" s="256">
        <f t="shared" ref="N270" si="170">SUM(N263:N269)</f>
        <v>107</v>
      </c>
      <c r="O270" s="256">
        <f t="shared" ref="O270" si="171">SUM(O263:O269)</f>
        <v>107</v>
      </c>
      <c r="P270" s="256">
        <f t="shared" ref="P270" si="172">SUM(P263:P269)</f>
        <v>107</v>
      </c>
      <c r="Q270" s="256">
        <f t="shared" ref="Q270" si="173">SUM(Q263:Q269)</f>
        <v>107</v>
      </c>
    </row>
    <row r="271" spans="2:17" x14ac:dyDescent="0.25">
      <c r="B271" s="2" t="s">
        <v>420</v>
      </c>
      <c r="C271" s="253">
        <v>0</v>
      </c>
      <c r="D271" s="253">
        <f>C276</f>
        <v>12</v>
      </c>
      <c r="E271" s="253">
        <f t="shared" ref="E271:G271" si="174">D276</f>
        <v>61</v>
      </c>
      <c r="F271" s="253">
        <f t="shared" si="174"/>
        <v>105</v>
      </c>
      <c r="G271" s="253">
        <f t="shared" si="174"/>
        <v>107</v>
      </c>
      <c r="H271" s="254">
        <f>G276</f>
        <v>107</v>
      </c>
      <c r="I271" s="254">
        <f t="shared" ref="I271:Q271" si="175">H276</f>
        <v>107</v>
      </c>
      <c r="J271" s="254">
        <f t="shared" si="175"/>
        <v>107</v>
      </c>
      <c r="K271" s="254">
        <f t="shared" si="175"/>
        <v>107</v>
      </c>
      <c r="L271" s="254">
        <f t="shared" si="175"/>
        <v>107</v>
      </c>
      <c r="M271" s="254">
        <f t="shared" si="175"/>
        <v>107</v>
      </c>
      <c r="N271" s="254">
        <f t="shared" si="175"/>
        <v>107</v>
      </c>
      <c r="O271" s="254">
        <f t="shared" si="175"/>
        <v>107</v>
      </c>
      <c r="P271" s="254">
        <f t="shared" si="175"/>
        <v>107</v>
      </c>
      <c r="Q271" s="254">
        <f t="shared" si="175"/>
        <v>107</v>
      </c>
    </row>
    <row r="272" spans="2:17" x14ac:dyDescent="0.25">
      <c r="B272" s="2" t="s">
        <v>421</v>
      </c>
      <c r="C272" s="253">
        <v>12</v>
      </c>
      <c r="D272" s="253">
        <v>48</v>
      </c>
      <c r="E272" s="253">
        <v>39</v>
      </c>
      <c r="F272" s="253">
        <v>0</v>
      </c>
      <c r="G272" s="253">
        <v>0</v>
      </c>
      <c r="H272" s="254">
        <f>G272</f>
        <v>0</v>
      </c>
      <c r="I272" s="254">
        <f>H272*(1+Assumption!$C$16)</f>
        <v>0</v>
      </c>
      <c r="J272" s="254">
        <f>I272*(1+Assumption!$C$16)</f>
        <v>0</v>
      </c>
      <c r="K272" s="254">
        <f>J272*(1+Assumption!$C$16)</f>
        <v>0</v>
      </c>
      <c r="L272" s="254">
        <f>K272*(1+Assumption!$C$16)</f>
        <v>0</v>
      </c>
      <c r="M272" s="254">
        <f>L272*(1+Assumption!$C$16)</f>
        <v>0</v>
      </c>
      <c r="N272" s="254">
        <f>M272*(1+Assumption!$C$16)</f>
        <v>0</v>
      </c>
      <c r="O272" s="254">
        <f>N272*(1+Assumption!$C$16)</f>
        <v>0</v>
      </c>
      <c r="P272" s="254">
        <f>O272*(1+Assumption!$C$16)</f>
        <v>0</v>
      </c>
      <c r="Q272" s="254">
        <f>P272*(1+Assumption!$C$16)</f>
        <v>0</v>
      </c>
    </row>
    <row r="273" spans="2:17" x14ac:dyDescent="0.25">
      <c r="B273" s="2" t="s">
        <v>417</v>
      </c>
      <c r="C273" s="253">
        <v>0</v>
      </c>
      <c r="D273" s="253">
        <v>0</v>
      </c>
      <c r="E273" s="253">
        <v>0</v>
      </c>
      <c r="F273" s="253">
        <v>0</v>
      </c>
      <c r="G273" s="253">
        <v>0</v>
      </c>
      <c r="H273" s="254">
        <v>0</v>
      </c>
      <c r="I273" s="254">
        <v>0</v>
      </c>
      <c r="J273" s="254">
        <v>0</v>
      </c>
      <c r="K273" s="254">
        <v>0</v>
      </c>
      <c r="L273" s="254">
        <v>0</v>
      </c>
      <c r="M273" s="254">
        <v>0</v>
      </c>
      <c r="N273" s="254">
        <v>0</v>
      </c>
      <c r="O273" s="254">
        <v>0</v>
      </c>
      <c r="P273" s="254">
        <v>0</v>
      </c>
      <c r="Q273" s="254">
        <v>0</v>
      </c>
    </row>
    <row r="274" spans="2:17" x14ac:dyDescent="0.25">
      <c r="B274" t="s">
        <v>418</v>
      </c>
      <c r="C274" s="253">
        <v>0</v>
      </c>
      <c r="D274" s="253">
        <v>0</v>
      </c>
      <c r="E274" s="253">
        <v>0</v>
      </c>
      <c r="F274" s="253">
        <v>0</v>
      </c>
      <c r="G274" s="253">
        <v>0</v>
      </c>
      <c r="H274" s="254">
        <v>0</v>
      </c>
      <c r="I274" s="254">
        <v>0</v>
      </c>
      <c r="J274" s="254">
        <v>0</v>
      </c>
      <c r="K274" s="254">
        <v>0</v>
      </c>
      <c r="L274" s="254">
        <v>0</v>
      </c>
      <c r="M274" s="254">
        <v>0</v>
      </c>
      <c r="N274" s="254">
        <v>0</v>
      </c>
      <c r="O274" s="254">
        <v>0</v>
      </c>
      <c r="P274" s="254">
        <v>0</v>
      </c>
      <c r="Q274" s="254">
        <v>0</v>
      </c>
    </row>
    <row r="275" spans="2:17" x14ac:dyDescent="0.25">
      <c r="B275" t="s">
        <v>428</v>
      </c>
      <c r="C275" s="253">
        <v>0</v>
      </c>
      <c r="D275" s="253">
        <v>1</v>
      </c>
      <c r="E275" s="253">
        <v>5</v>
      </c>
      <c r="F275" s="253">
        <v>2</v>
      </c>
      <c r="G275" s="253">
        <v>0</v>
      </c>
      <c r="H275" s="254">
        <v>0</v>
      </c>
      <c r="I275" s="254">
        <v>0</v>
      </c>
      <c r="J275" s="254">
        <v>0</v>
      </c>
      <c r="K275" s="254">
        <v>0</v>
      </c>
      <c r="L275" s="254">
        <v>0</v>
      </c>
      <c r="M275" s="254">
        <v>0</v>
      </c>
      <c r="N275" s="254">
        <v>0</v>
      </c>
      <c r="O275" s="254">
        <v>0</v>
      </c>
      <c r="P275" s="254">
        <v>0</v>
      </c>
      <c r="Q275" s="254">
        <v>0</v>
      </c>
    </row>
    <row r="276" spans="2:17" x14ac:dyDescent="0.25">
      <c r="B276" s="8" t="s">
        <v>199</v>
      </c>
      <c r="C276" s="255">
        <f>SUM(C271:C275)</f>
        <v>12</v>
      </c>
      <c r="D276" s="255">
        <f t="shared" ref="D276:G276" si="176">SUM(D271:D275)</f>
        <v>61</v>
      </c>
      <c r="E276" s="255">
        <f t="shared" si="176"/>
        <v>105</v>
      </c>
      <c r="F276" s="255">
        <f t="shared" si="176"/>
        <v>107</v>
      </c>
      <c r="G276" s="255">
        <f t="shared" si="176"/>
        <v>107</v>
      </c>
      <c r="H276" s="256">
        <f t="shared" ref="H276" si="177">SUM(H271:H275)</f>
        <v>107</v>
      </c>
      <c r="I276" s="256">
        <f t="shared" ref="I276" si="178">SUM(I271:I275)</f>
        <v>107</v>
      </c>
      <c r="J276" s="256">
        <f t="shared" ref="J276" si="179">SUM(J271:J275)</f>
        <v>107</v>
      </c>
      <c r="K276" s="256">
        <f t="shared" ref="K276" si="180">SUM(K271:K275)</f>
        <v>107</v>
      </c>
      <c r="L276" s="256">
        <f t="shared" ref="L276" si="181">SUM(L271:L275)</f>
        <v>107</v>
      </c>
      <c r="M276" s="256">
        <f t="shared" ref="M276" si="182">SUM(M271:M275)</f>
        <v>107</v>
      </c>
      <c r="N276" s="256">
        <f t="shared" ref="N276" si="183">SUM(N271:N275)</f>
        <v>107</v>
      </c>
      <c r="O276" s="256">
        <f t="shared" ref="O276" si="184">SUM(O271:O275)</f>
        <v>107</v>
      </c>
      <c r="P276" s="256">
        <f t="shared" ref="P276" si="185">SUM(P271:P275)</f>
        <v>107</v>
      </c>
      <c r="Q276" s="256">
        <f t="shared" ref="Q276" si="186">SUM(Q271:Q275)</f>
        <v>107</v>
      </c>
    </row>
    <row r="277" spans="2:17" x14ac:dyDescent="0.25">
      <c r="C277" s="253"/>
      <c r="D277" s="253"/>
      <c r="E277" s="253"/>
      <c r="F277" s="253"/>
      <c r="G277" s="253"/>
    </row>
    <row r="278" spans="2:17" x14ac:dyDescent="0.25">
      <c r="B278" s="8" t="s">
        <v>422</v>
      </c>
      <c r="C278" s="255">
        <f>C270-C276</f>
        <v>82</v>
      </c>
      <c r="D278" s="255">
        <f t="shared" ref="D278:Q278" si="187">D270-D276</f>
        <v>36</v>
      </c>
      <c r="E278" s="255">
        <f t="shared" si="187"/>
        <v>0</v>
      </c>
      <c r="F278" s="255">
        <f t="shared" si="187"/>
        <v>0</v>
      </c>
      <c r="G278" s="255">
        <f t="shared" si="187"/>
        <v>0</v>
      </c>
      <c r="H278" s="256">
        <f t="shared" si="187"/>
        <v>0</v>
      </c>
      <c r="I278" s="256">
        <f t="shared" si="187"/>
        <v>0</v>
      </c>
      <c r="J278" s="256">
        <f t="shared" si="187"/>
        <v>0</v>
      </c>
      <c r="K278" s="256">
        <f t="shared" si="187"/>
        <v>0</v>
      </c>
      <c r="L278" s="256">
        <f t="shared" si="187"/>
        <v>0</v>
      </c>
      <c r="M278" s="256">
        <f t="shared" si="187"/>
        <v>0</v>
      </c>
      <c r="N278" s="256">
        <f t="shared" si="187"/>
        <v>0</v>
      </c>
      <c r="O278" s="256">
        <f t="shared" si="187"/>
        <v>0</v>
      </c>
      <c r="P278" s="256">
        <f t="shared" si="187"/>
        <v>0</v>
      </c>
      <c r="Q278" s="256">
        <f t="shared" si="187"/>
        <v>0</v>
      </c>
    </row>
    <row r="279" spans="2:17" x14ac:dyDescent="0.25">
      <c r="C279" s="253"/>
      <c r="D279" s="253"/>
      <c r="E279" s="253"/>
      <c r="F279" s="253"/>
      <c r="G279" s="253"/>
    </row>
    <row r="280" spans="2:17" x14ac:dyDescent="0.25">
      <c r="C280" s="253"/>
      <c r="D280" s="253"/>
      <c r="E280" s="253"/>
      <c r="F280" s="253"/>
      <c r="G280" s="253"/>
    </row>
    <row r="281" spans="2:17" x14ac:dyDescent="0.25">
      <c r="B281" s="1" t="s">
        <v>199</v>
      </c>
      <c r="C281" s="253"/>
      <c r="D281" s="253"/>
      <c r="E281" s="253"/>
      <c r="F281" s="253"/>
      <c r="G281" s="253"/>
    </row>
    <row r="282" spans="2:17" x14ac:dyDescent="0.25">
      <c r="B282" s="1" t="s">
        <v>416</v>
      </c>
      <c r="C282" s="249">
        <f>C168+C187+C206+C225+C244+C263</f>
        <v>905</v>
      </c>
      <c r="D282" s="249">
        <f t="shared" ref="D282:G282" si="188">D168+D187+D206+D225+D244+D263</f>
        <v>3619</v>
      </c>
      <c r="E282" s="249">
        <f t="shared" si="188"/>
        <v>4041</v>
      </c>
      <c r="F282" s="249">
        <f t="shared" si="188"/>
        <v>13357</v>
      </c>
      <c r="G282" s="249">
        <f t="shared" si="188"/>
        <v>13675</v>
      </c>
      <c r="H282" s="257">
        <f t="shared" ref="H282:Q282" si="189">H168+H187+H206+H225+H244+H263</f>
        <v>34639</v>
      </c>
      <c r="I282" s="257">
        <f t="shared" si="189"/>
        <v>34974.400000000001</v>
      </c>
      <c r="J282" s="257">
        <f t="shared" si="189"/>
        <v>35311.476999999999</v>
      </c>
      <c r="K282" s="257">
        <f t="shared" si="189"/>
        <v>35650.239385000001</v>
      </c>
      <c r="L282" s="257">
        <f t="shared" si="189"/>
        <v>35990.695581925</v>
      </c>
      <c r="M282" s="257">
        <f t="shared" si="189"/>
        <v>36332.854059834623</v>
      </c>
      <c r="N282" s="257">
        <f t="shared" si="189"/>
        <v>36676.723330133798</v>
      </c>
      <c r="O282" s="257">
        <f t="shared" si="189"/>
        <v>37022.311946784466</v>
      </c>
      <c r="P282" s="257">
        <f t="shared" si="189"/>
        <v>37369.628506518391</v>
      </c>
      <c r="Q282" s="257">
        <f t="shared" si="189"/>
        <v>37718.681649050981</v>
      </c>
    </row>
    <row r="283" spans="2:17" x14ac:dyDescent="0.25">
      <c r="B283" s="9" t="s">
        <v>415</v>
      </c>
      <c r="C283" s="251">
        <f t="shared" ref="C283:G297" si="190">C169+C188+C207+C226+C245+C264</f>
        <v>19</v>
      </c>
      <c r="D283" s="251">
        <f t="shared" si="190"/>
        <v>311</v>
      </c>
      <c r="E283" s="251">
        <f t="shared" si="190"/>
        <v>789</v>
      </c>
      <c r="F283" s="251">
        <f t="shared" si="190"/>
        <v>230</v>
      </c>
      <c r="G283" s="251">
        <f t="shared" si="190"/>
        <v>328</v>
      </c>
      <c r="H283" s="252">
        <f t="shared" ref="H283:Q283" si="191">H169+H188+H207+H226+H245+H264</f>
        <v>335.4</v>
      </c>
      <c r="I283" s="252">
        <f t="shared" si="191"/>
        <v>337.07699999999994</v>
      </c>
      <c r="J283" s="252">
        <f t="shared" si="191"/>
        <v>338.76238499999988</v>
      </c>
      <c r="K283" s="252">
        <f t="shared" si="191"/>
        <v>340.45619692499986</v>
      </c>
      <c r="L283" s="252">
        <f t="shared" si="191"/>
        <v>342.15847790962482</v>
      </c>
      <c r="M283" s="252">
        <f t="shared" si="191"/>
        <v>343.86927029917291</v>
      </c>
      <c r="N283" s="252">
        <f t="shared" si="191"/>
        <v>345.58861665066871</v>
      </c>
      <c r="O283" s="252">
        <f t="shared" si="191"/>
        <v>347.31655973392202</v>
      </c>
      <c r="P283" s="252">
        <f t="shared" si="191"/>
        <v>349.05314253259161</v>
      </c>
      <c r="Q283" s="252">
        <f t="shared" si="191"/>
        <v>350.79840824525451</v>
      </c>
    </row>
    <row r="284" spans="2:17" x14ac:dyDescent="0.25">
      <c r="B284" t="s">
        <v>417</v>
      </c>
      <c r="C284" s="253">
        <f t="shared" si="190"/>
        <v>0</v>
      </c>
      <c r="D284" s="253">
        <f t="shared" si="190"/>
        <v>0</v>
      </c>
      <c r="E284" s="253">
        <f t="shared" si="190"/>
        <v>0</v>
      </c>
      <c r="F284" s="253">
        <f t="shared" si="190"/>
        <v>0</v>
      </c>
      <c r="G284" s="253">
        <f t="shared" si="190"/>
        <v>0</v>
      </c>
      <c r="H284" s="254">
        <f t="shared" ref="H284:Q284" si="192">H170+H189+H208+H227+H246+H265</f>
        <v>0</v>
      </c>
      <c r="I284" s="254">
        <f t="shared" si="192"/>
        <v>0</v>
      </c>
      <c r="J284" s="254">
        <f t="shared" si="192"/>
        <v>0</v>
      </c>
      <c r="K284" s="254">
        <f t="shared" si="192"/>
        <v>0</v>
      </c>
      <c r="L284" s="254">
        <f t="shared" si="192"/>
        <v>0</v>
      </c>
      <c r="M284" s="254">
        <f t="shared" si="192"/>
        <v>0</v>
      </c>
      <c r="N284" s="254">
        <f t="shared" si="192"/>
        <v>0</v>
      </c>
      <c r="O284" s="254">
        <f t="shared" si="192"/>
        <v>0</v>
      </c>
      <c r="P284" s="254">
        <f t="shared" si="192"/>
        <v>0</v>
      </c>
      <c r="Q284" s="254">
        <f t="shared" si="192"/>
        <v>0</v>
      </c>
    </row>
    <row r="285" spans="2:17" x14ac:dyDescent="0.25">
      <c r="B285" t="s">
        <v>100</v>
      </c>
      <c r="C285" s="253">
        <f t="shared" si="190"/>
        <v>3108</v>
      </c>
      <c r="D285" s="253">
        <f t="shared" si="190"/>
        <v>0</v>
      </c>
      <c r="E285" s="253">
        <f t="shared" si="190"/>
        <v>8259</v>
      </c>
      <c r="F285" s="253">
        <f t="shared" si="190"/>
        <v>0</v>
      </c>
      <c r="G285" s="253">
        <f t="shared" si="190"/>
        <v>20391</v>
      </c>
      <c r="H285" s="254">
        <f t="shared" ref="H285:Q285" si="193">H171+H190+H209+H228+H247+H266</f>
        <v>0</v>
      </c>
      <c r="I285" s="254">
        <f t="shared" si="193"/>
        <v>0</v>
      </c>
      <c r="J285" s="254">
        <f t="shared" si="193"/>
        <v>0</v>
      </c>
      <c r="K285" s="254">
        <f t="shared" si="193"/>
        <v>0</v>
      </c>
      <c r="L285" s="254">
        <f t="shared" si="193"/>
        <v>0</v>
      </c>
      <c r="M285" s="254">
        <f t="shared" si="193"/>
        <v>0</v>
      </c>
      <c r="N285" s="254">
        <f t="shared" si="193"/>
        <v>0</v>
      </c>
      <c r="O285" s="254">
        <f t="shared" si="193"/>
        <v>0</v>
      </c>
      <c r="P285" s="254">
        <f t="shared" si="193"/>
        <v>0</v>
      </c>
      <c r="Q285" s="254">
        <f t="shared" si="193"/>
        <v>0</v>
      </c>
    </row>
    <row r="286" spans="2:17" x14ac:dyDescent="0.25">
      <c r="B286" t="s">
        <v>427</v>
      </c>
      <c r="C286" s="253">
        <f t="shared" si="190"/>
        <v>17</v>
      </c>
      <c r="D286" s="253">
        <f t="shared" si="190"/>
        <v>0</v>
      </c>
      <c r="E286" s="253">
        <f t="shared" si="190"/>
        <v>0</v>
      </c>
      <c r="F286" s="253">
        <f t="shared" si="190"/>
        <v>36</v>
      </c>
      <c r="G286" s="253">
        <f t="shared" si="190"/>
        <v>27</v>
      </c>
      <c r="H286" s="254">
        <f t="shared" ref="H286:Q286" si="194">H172+H191+H210+H229+H248+H267</f>
        <v>0</v>
      </c>
      <c r="I286" s="254">
        <f t="shared" si="194"/>
        <v>0</v>
      </c>
      <c r="J286" s="254">
        <f t="shared" si="194"/>
        <v>0</v>
      </c>
      <c r="K286" s="254">
        <f t="shared" si="194"/>
        <v>0</v>
      </c>
      <c r="L286" s="254">
        <f t="shared" si="194"/>
        <v>0</v>
      </c>
      <c r="M286" s="254">
        <f t="shared" si="194"/>
        <v>0</v>
      </c>
      <c r="N286" s="254">
        <f t="shared" si="194"/>
        <v>0</v>
      </c>
      <c r="O286" s="254">
        <f t="shared" si="194"/>
        <v>0</v>
      </c>
      <c r="P286" s="254">
        <f t="shared" si="194"/>
        <v>0</v>
      </c>
      <c r="Q286" s="254">
        <f t="shared" si="194"/>
        <v>0</v>
      </c>
    </row>
    <row r="287" spans="2:17" x14ac:dyDescent="0.25">
      <c r="B287" t="s">
        <v>418</v>
      </c>
      <c r="C287" s="253">
        <f t="shared" si="190"/>
        <v>-436</v>
      </c>
      <c r="D287" s="253">
        <f t="shared" si="190"/>
        <v>0</v>
      </c>
      <c r="E287" s="253">
        <f t="shared" si="190"/>
        <v>0</v>
      </c>
      <c r="F287" s="253">
        <f t="shared" si="190"/>
        <v>0</v>
      </c>
      <c r="G287" s="253">
        <f t="shared" si="190"/>
        <v>0</v>
      </c>
      <c r="H287" s="254">
        <f t="shared" ref="H287:Q287" si="195">H173+H192+H211+H230+H249+H268</f>
        <v>0</v>
      </c>
      <c r="I287" s="254">
        <f t="shared" si="195"/>
        <v>0</v>
      </c>
      <c r="J287" s="254">
        <f t="shared" si="195"/>
        <v>0</v>
      </c>
      <c r="K287" s="254">
        <f t="shared" si="195"/>
        <v>0</v>
      </c>
      <c r="L287" s="254">
        <f t="shared" si="195"/>
        <v>0</v>
      </c>
      <c r="M287" s="254">
        <f t="shared" si="195"/>
        <v>0</v>
      </c>
      <c r="N287" s="254">
        <f t="shared" si="195"/>
        <v>0</v>
      </c>
      <c r="O287" s="254">
        <f t="shared" si="195"/>
        <v>0</v>
      </c>
      <c r="P287" s="254">
        <f t="shared" si="195"/>
        <v>0</v>
      </c>
      <c r="Q287" s="254">
        <f t="shared" si="195"/>
        <v>0</v>
      </c>
    </row>
    <row r="288" spans="2:17" x14ac:dyDescent="0.25">
      <c r="B288" t="s">
        <v>428</v>
      </c>
      <c r="C288" s="253">
        <f t="shared" si="190"/>
        <v>6</v>
      </c>
      <c r="D288" s="253">
        <f t="shared" si="190"/>
        <v>111</v>
      </c>
      <c r="E288" s="253">
        <f t="shared" si="190"/>
        <v>268</v>
      </c>
      <c r="F288" s="253">
        <f t="shared" si="190"/>
        <v>52</v>
      </c>
      <c r="G288" s="253">
        <f t="shared" si="190"/>
        <v>217</v>
      </c>
      <c r="H288" s="254">
        <f t="shared" ref="H288:Q288" si="196">H174+H193+H212+H231+H250+H269</f>
        <v>0</v>
      </c>
      <c r="I288" s="254">
        <f t="shared" si="196"/>
        <v>0</v>
      </c>
      <c r="J288" s="254">
        <f t="shared" si="196"/>
        <v>0</v>
      </c>
      <c r="K288" s="254">
        <f t="shared" si="196"/>
        <v>0</v>
      </c>
      <c r="L288" s="254">
        <f t="shared" si="196"/>
        <v>0</v>
      </c>
      <c r="M288" s="254">
        <f t="shared" si="196"/>
        <v>0</v>
      </c>
      <c r="N288" s="254">
        <f t="shared" si="196"/>
        <v>0</v>
      </c>
      <c r="O288" s="254">
        <f t="shared" si="196"/>
        <v>0</v>
      </c>
      <c r="P288" s="254">
        <f t="shared" si="196"/>
        <v>0</v>
      </c>
      <c r="Q288" s="254">
        <f t="shared" si="196"/>
        <v>0</v>
      </c>
    </row>
    <row r="289" spans="1:17" x14ac:dyDescent="0.25">
      <c r="B289" s="8" t="s">
        <v>419</v>
      </c>
      <c r="C289" s="255">
        <f t="shared" si="190"/>
        <v>3619</v>
      </c>
      <c r="D289" s="255">
        <f t="shared" si="190"/>
        <v>4041</v>
      </c>
      <c r="E289" s="255">
        <f t="shared" si="190"/>
        <v>13357</v>
      </c>
      <c r="F289" s="255">
        <f t="shared" si="190"/>
        <v>13675</v>
      </c>
      <c r="G289" s="255">
        <f t="shared" si="190"/>
        <v>34639</v>
      </c>
      <c r="H289" s="256">
        <f t="shared" ref="H289:Q289" si="197">H175+H194+H213+H232+H251+H270</f>
        <v>34974.400000000001</v>
      </c>
      <c r="I289" s="256">
        <f t="shared" si="197"/>
        <v>35311.476999999999</v>
      </c>
      <c r="J289" s="256">
        <f t="shared" si="197"/>
        <v>35650.239385000001</v>
      </c>
      <c r="K289" s="256">
        <f t="shared" si="197"/>
        <v>35990.695581925</v>
      </c>
      <c r="L289" s="256">
        <f t="shared" si="197"/>
        <v>36332.854059834623</v>
      </c>
      <c r="M289" s="256">
        <f t="shared" si="197"/>
        <v>36676.723330133798</v>
      </c>
      <c r="N289" s="256">
        <f t="shared" si="197"/>
        <v>37022.311946784466</v>
      </c>
      <c r="O289" s="256">
        <f t="shared" si="197"/>
        <v>37369.628506518391</v>
      </c>
      <c r="P289" s="256">
        <f t="shared" si="197"/>
        <v>37718.681649050981</v>
      </c>
      <c r="Q289" s="256">
        <f t="shared" si="197"/>
        <v>38069.480057296234</v>
      </c>
    </row>
    <row r="290" spans="1:17" x14ac:dyDescent="0.25">
      <c r="B290" s="2" t="s">
        <v>420</v>
      </c>
      <c r="C290" s="253">
        <f t="shared" si="190"/>
        <v>833</v>
      </c>
      <c r="D290" s="253">
        <f t="shared" si="190"/>
        <v>653</v>
      </c>
      <c r="E290" s="253">
        <f t="shared" si="190"/>
        <v>1645</v>
      </c>
      <c r="F290" s="253">
        <f t="shared" si="190"/>
        <v>3175</v>
      </c>
      <c r="G290" s="253">
        <f t="shared" si="190"/>
        <v>5889</v>
      </c>
      <c r="H290" s="254">
        <f t="shared" ref="H290:Q290" si="198">H176+H195+H214+H233+H252+H271</f>
        <v>10809</v>
      </c>
      <c r="I290" s="254">
        <f t="shared" si="198"/>
        <v>12818</v>
      </c>
      <c r="J290" s="254">
        <f t="shared" si="198"/>
        <v>14837.044999999998</v>
      </c>
      <c r="K290" s="254">
        <f t="shared" si="198"/>
        <v>16866.185224999997</v>
      </c>
      <c r="L290" s="254">
        <f t="shared" si="198"/>
        <v>18905.471151124999</v>
      </c>
      <c r="M290" s="254">
        <f t="shared" si="198"/>
        <v>20954.953506880622</v>
      </c>
      <c r="N290" s="254">
        <f t="shared" si="198"/>
        <v>23014.683274415023</v>
      </c>
      <c r="O290" s="254">
        <f t="shared" si="198"/>
        <v>25084.711690787095</v>
      </c>
      <c r="P290" s="254">
        <f t="shared" si="198"/>
        <v>27165.090249241024</v>
      </c>
      <c r="Q290" s="254">
        <f t="shared" si="198"/>
        <v>29255.87070048723</v>
      </c>
    </row>
    <row r="291" spans="1:17" x14ac:dyDescent="0.25">
      <c r="B291" s="2" t="s">
        <v>421</v>
      </c>
      <c r="C291" s="253">
        <f t="shared" si="190"/>
        <v>255</v>
      </c>
      <c r="D291" s="253">
        <f t="shared" si="190"/>
        <v>970</v>
      </c>
      <c r="E291" s="253">
        <f t="shared" si="190"/>
        <v>1417</v>
      </c>
      <c r="F291" s="253">
        <f t="shared" si="190"/>
        <v>2675</v>
      </c>
      <c r="G291" s="253">
        <f t="shared" si="190"/>
        <v>4827</v>
      </c>
      <c r="H291" s="254">
        <f t="shared" ref="H291:Q291" si="199">H177+H196+H215+H234+H253+H272</f>
        <v>2009</v>
      </c>
      <c r="I291" s="254">
        <f t="shared" si="199"/>
        <v>2019.0449999999996</v>
      </c>
      <c r="J291" s="254">
        <f t="shared" si="199"/>
        <v>2029.1402249999996</v>
      </c>
      <c r="K291" s="254">
        <f t="shared" si="199"/>
        <v>2039.2859261249992</v>
      </c>
      <c r="L291" s="254">
        <f t="shared" si="199"/>
        <v>2049.4823557556242</v>
      </c>
      <c r="M291" s="254">
        <f t="shared" si="199"/>
        <v>2059.7297675344021</v>
      </c>
      <c r="N291" s="254">
        <f t="shared" si="199"/>
        <v>2070.0284163720735</v>
      </c>
      <c r="O291" s="254">
        <f t="shared" si="199"/>
        <v>2080.3785584539337</v>
      </c>
      <c r="P291" s="254">
        <f t="shared" si="199"/>
        <v>2090.780451246203</v>
      </c>
      <c r="Q291" s="254">
        <f t="shared" si="199"/>
        <v>2101.2343535024343</v>
      </c>
    </row>
    <row r="292" spans="1:17" x14ac:dyDescent="0.25">
      <c r="B292" s="2" t="s">
        <v>417</v>
      </c>
      <c r="C292" s="253">
        <f t="shared" si="190"/>
        <v>0</v>
      </c>
      <c r="D292" s="253">
        <f t="shared" si="190"/>
        <v>0</v>
      </c>
      <c r="E292" s="253">
        <f t="shared" si="190"/>
        <v>2</v>
      </c>
      <c r="F292" s="253">
        <f t="shared" si="190"/>
        <v>0</v>
      </c>
      <c r="G292" s="253">
        <f t="shared" si="190"/>
        <v>0</v>
      </c>
      <c r="H292" s="254">
        <f t="shared" ref="H292:Q292" si="200">H178+H197+H216+H235+H254+H273</f>
        <v>0</v>
      </c>
      <c r="I292" s="254">
        <f t="shared" si="200"/>
        <v>0</v>
      </c>
      <c r="J292" s="254">
        <f t="shared" si="200"/>
        <v>0</v>
      </c>
      <c r="K292" s="254">
        <f t="shared" si="200"/>
        <v>0</v>
      </c>
      <c r="L292" s="254">
        <f t="shared" si="200"/>
        <v>0</v>
      </c>
      <c r="M292" s="254">
        <f t="shared" si="200"/>
        <v>0</v>
      </c>
      <c r="N292" s="254">
        <f t="shared" si="200"/>
        <v>0</v>
      </c>
      <c r="O292" s="254">
        <f t="shared" si="200"/>
        <v>0</v>
      </c>
      <c r="P292" s="254">
        <f t="shared" si="200"/>
        <v>0</v>
      </c>
      <c r="Q292" s="254">
        <f t="shared" si="200"/>
        <v>0</v>
      </c>
    </row>
    <row r="293" spans="1:17" x14ac:dyDescent="0.25">
      <c r="B293" t="s">
        <v>418</v>
      </c>
      <c r="C293" s="253">
        <f t="shared" si="190"/>
        <v>-436</v>
      </c>
      <c r="D293" s="253">
        <f t="shared" si="190"/>
        <v>0</v>
      </c>
      <c r="E293" s="253">
        <f t="shared" si="190"/>
        <v>0</v>
      </c>
      <c r="F293" s="253">
        <f t="shared" si="190"/>
        <v>0</v>
      </c>
      <c r="G293" s="253">
        <f t="shared" si="190"/>
        <v>0</v>
      </c>
      <c r="H293" s="254">
        <f t="shared" ref="H293:Q293" si="201">H179+H198+H217+H236+H255+H274</f>
        <v>0</v>
      </c>
      <c r="I293" s="254">
        <f t="shared" si="201"/>
        <v>0</v>
      </c>
      <c r="J293" s="254">
        <f t="shared" si="201"/>
        <v>0</v>
      </c>
      <c r="K293" s="254">
        <f t="shared" si="201"/>
        <v>0</v>
      </c>
      <c r="L293" s="254">
        <f t="shared" si="201"/>
        <v>0</v>
      </c>
      <c r="M293" s="254">
        <f t="shared" si="201"/>
        <v>0</v>
      </c>
      <c r="N293" s="254">
        <f t="shared" si="201"/>
        <v>0</v>
      </c>
      <c r="O293" s="254">
        <f t="shared" si="201"/>
        <v>0</v>
      </c>
      <c r="P293" s="254">
        <f t="shared" si="201"/>
        <v>0</v>
      </c>
      <c r="Q293" s="254">
        <f t="shared" si="201"/>
        <v>0</v>
      </c>
    </row>
    <row r="294" spans="1:17" x14ac:dyDescent="0.25">
      <c r="B294" t="s">
        <v>428</v>
      </c>
      <c r="C294" s="253">
        <f t="shared" si="190"/>
        <v>1</v>
      </c>
      <c r="D294" s="253">
        <f t="shared" si="190"/>
        <v>22</v>
      </c>
      <c r="E294" s="253">
        <f t="shared" si="190"/>
        <v>111</v>
      </c>
      <c r="F294" s="253">
        <f t="shared" si="190"/>
        <v>39</v>
      </c>
      <c r="G294" s="253">
        <f t="shared" si="190"/>
        <v>92</v>
      </c>
      <c r="H294" s="254">
        <f t="shared" ref="H294:Q294" si="202">H180+H199+H218+H237+H256+H275</f>
        <v>0</v>
      </c>
      <c r="I294" s="254">
        <f t="shared" si="202"/>
        <v>0</v>
      </c>
      <c r="J294" s="254">
        <f t="shared" si="202"/>
        <v>0</v>
      </c>
      <c r="K294" s="254">
        <f t="shared" si="202"/>
        <v>0</v>
      </c>
      <c r="L294" s="254">
        <f t="shared" si="202"/>
        <v>0</v>
      </c>
      <c r="M294" s="254">
        <f t="shared" si="202"/>
        <v>0</v>
      </c>
      <c r="N294" s="254">
        <f t="shared" si="202"/>
        <v>0</v>
      </c>
      <c r="O294" s="254">
        <f t="shared" si="202"/>
        <v>0</v>
      </c>
      <c r="P294" s="254">
        <f t="shared" si="202"/>
        <v>0</v>
      </c>
      <c r="Q294" s="254">
        <f t="shared" si="202"/>
        <v>0</v>
      </c>
    </row>
    <row r="295" spans="1:17" x14ac:dyDescent="0.25">
      <c r="B295" s="8" t="s">
        <v>199</v>
      </c>
      <c r="C295" s="255">
        <f t="shared" si="190"/>
        <v>653</v>
      </c>
      <c r="D295" s="255">
        <f t="shared" si="190"/>
        <v>1645</v>
      </c>
      <c r="E295" s="255">
        <f t="shared" si="190"/>
        <v>3175</v>
      </c>
      <c r="F295" s="255">
        <f t="shared" si="190"/>
        <v>5889</v>
      </c>
      <c r="G295" s="255">
        <f t="shared" si="190"/>
        <v>10809</v>
      </c>
      <c r="H295" s="256">
        <f t="shared" ref="H295:Q295" si="203">H181+H200+H219+H238+H257+H276</f>
        <v>12818</v>
      </c>
      <c r="I295" s="256">
        <f t="shared" si="203"/>
        <v>14837.044999999998</v>
      </c>
      <c r="J295" s="256">
        <f t="shared" si="203"/>
        <v>16866.185224999997</v>
      </c>
      <c r="K295" s="256">
        <f t="shared" si="203"/>
        <v>18905.471151124999</v>
      </c>
      <c r="L295" s="256">
        <f t="shared" si="203"/>
        <v>20954.953506880622</v>
      </c>
      <c r="M295" s="256">
        <f t="shared" si="203"/>
        <v>23014.683274415023</v>
      </c>
      <c r="N295" s="256">
        <f t="shared" si="203"/>
        <v>25084.711690787095</v>
      </c>
      <c r="O295" s="256">
        <f t="shared" si="203"/>
        <v>27165.090249241024</v>
      </c>
      <c r="P295" s="256">
        <f t="shared" si="203"/>
        <v>29255.87070048723</v>
      </c>
      <c r="Q295" s="256">
        <f t="shared" si="203"/>
        <v>31357.105053989661</v>
      </c>
    </row>
    <row r="296" spans="1:17" x14ac:dyDescent="0.25">
      <c r="C296" s="253"/>
      <c r="D296" s="253"/>
      <c r="E296" s="253"/>
      <c r="F296" s="253"/>
      <c r="G296" s="253"/>
    </row>
    <row r="297" spans="1:17" x14ac:dyDescent="0.25">
      <c r="B297" s="8" t="s">
        <v>422</v>
      </c>
      <c r="C297" s="255">
        <f t="shared" si="190"/>
        <v>2966</v>
      </c>
      <c r="D297" s="255">
        <f t="shared" si="190"/>
        <v>2396</v>
      </c>
      <c r="E297" s="255">
        <f t="shared" si="190"/>
        <v>10182</v>
      </c>
      <c r="F297" s="255">
        <f t="shared" si="190"/>
        <v>7786</v>
      </c>
      <c r="G297" s="255">
        <f t="shared" si="190"/>
        <v>23831</v>
      </c>
      <c r="H297" s="256">
        <f t="shared" ref="H297:Q297" si="204">H183+H202+H221+H240+H259+H278</f>
        <v>22156.399999999998</v>
      </c>
      <c r="I297" s="256">
        <f t="shared" si="204"/>
        <v>20474.432000000001</v>
      </c>
      <c r="J297" s="256">
        <f t="shared" si="204"/>
        <v>18784.05416</v>
      </c>
      <c r="K297" s="256">
        <f t="shared" si="204"/>
        <v>17085.224430800008</v>
      </c>
      <c r="L297" s="256">
        <f t="shared" si="204"/>
        <v>15377.900552954003</v>
      </c>
      <c r="M297" s="256">
        <f t="shared" si="204"/>
        <v>13662.040055718775</v>
      </c>
      <c r="N297" s="256">
        <f t="shared" si="204"/>
        <v>11937.600255997371</v>
      </c>
      <c r="O297" s="256">
        <f t="shared" si="204"/>
        <v>10204.538257277363</v>
      </c>
      <c r="P297" s="256">
        <f t="shared" si="204"/>
        <v>8462.8109485637488</v>
      </c>
      <c r="Q297" s="256">
        <f t="shared" si="204"/>
        <v>6712.3750033065708</v>
      </c>
    </row>
    <row r="298" spans="1:17" x14ac:dyDescent="0.25">
      <c r="C298" s="253"/>
      <c r="D298" s="253"/>
      <c r="E298" s="253"/>
      <c r="F298" s="253"/>
      <c r="G298" s="253"/>
    </row>
    <row r="299" spans="1:17" x14ac:dyDescent="0.25">
      <c r="C299" s="253"/>
      <c r="D299" s="253"/>
      <c r="E299" s="253"/>
      <c r="F299" s="253"/>
      <c r="G299" s="253"/>
    </row>
    <row r="300" spans="1:17" x14ac:dyDescent="0.25">
      <c r="A300" t="s">
        <v>20</v>
      </c>
      <c r="B300" s="243" t="s">
        <v>28</v>
      </c>
      <c r="C300" s="253"/>
      <c r="D300" s="253"/>
      <c r="E300" s="253"/>
      <c r="F300" s="253"/>
      <c r="G300" s="253"/>
    </row>
    <row r="301" spans="1:17" x14ac:dyDescent="0.25">
      <c r="B301" s="1"/>
      <c r="C301" s="253"/>
      <c r="D301" s="253"/>
      <c r="E301" s="253"/>
      <c r="F301" s="253"/>
      <c r="G301" s="253"/>
    </row>
    <row r="302" spans="1:17" x14ac:dyDescent="0.25">
      <c r="B302" s="1" t="s">
        <v>435</v>
      </c>
      <c r="C302" s="253"/>
      <c r="D302" s="253"/>
      <c r="E302" s="253"/>
      <c r="F302" s="253"/>
      <c r="G302" s="253"/>
    </row>
    <row r="303" spans="1:17" x14ac:dyDescent="0.25">
      <c r="B303" s="3" t="s">
        <v>416</v>
      </c>
      <c r="C303" s="265">
        <v>672</v>
      </c>
      <c r="D303" s="265">
        <f>C309</f>
        <v>833</v>
      </c>
      <c r="E303" s="265">
        <f t="shared" ref="E303:G303" si="205">D309</f>
        <v>1578</v>
      </c>
      <c r="F303" s="265">
        <f t="shared" si="205"/>
        <v>1534</v>
      </c>
      <c r="G303" s="265">
        <f t="shared" si="205"/>
        <v>1283</v>
      </c>
      <c r="H303" s="250">
        <f>G309</f>
        <v>1877</v>
      </c>
      <c r="I303" s="250">
        <f t="shared" ref="I303:Q303" si="206">H309</f>
        <v>2114.6000000000004</v>
      </c>
      <c r="J303" s="250">
        <f t="shared" si="206"/>
        <v>2353.3880000000004</v>
      </c>
      <c r="K303" s="250">
        <f t="shared" si="206"/>
        <v>2593.3699400000005</v>
      </c>
      <c r="L303" s="250">
        <f t="shared" si="206"/>
        <v>2834.5517897000009</v>
      </c>
      <c r="M303" s="250">
        <f t="shared" si="206"/>
        <v>3076.9395486485009</v>
      </c>
      <c r="N303" s="250">
        <f t="shared" si="206"/>
        <v>3320.5392463917437</v>
      </c>
      <c r="O303" s="250">
        <f t="shared" si="206"/>
        <v>3565.3569426237032</v>
      </c>
      <c r="P303" s="250">
        <f t="shared" si="206"/>
        <v>3811.398727336822</v>
      </c>
      <c r="Q303" s="250">
        <f t="shared" si="206"/>
        <v>4058.6707209735068</v>
      </c>
    </row>
    <row r="304" spans="1:17" x14ac:dyDescent="0.25">
      <c r="B304" s="96" t="s">
        <v>415</v>
      </c>
      <c r="C304" s="266">
        <v>609</v>
      </c>
      <c r="D304" s="266">
        <v>1495</v>
      </c>
      <c r="E304" s="266">
        <v>1142</v>
      </c>
      <c r="F304" s="266">
        <v>1069</v>
      </c>
      <c r="G304" s="266">
        <v>1682</v>
      </c>
      <c r="H304" s="254">
        <f>AVERAGE(C304:G304)</f>
        <v>1199.4000000000001</v>
      </c>
      <c r="I304" s="254">
        <f>H304*(1+Assumption!$C$14)</f>
        <v>1205.3969999999999</v>
      </c>
      <c r="J304" s="254">
        <f>I304*(1+Assumption!$C$14)</f>
        <v>1211.4239849999999</v>
      </c>
      <c r="K304" s="254">
        <f>J304*(1+Assumption!$C$14)</f>
        <v>1217.4811049249997</v>
      </c>
      <c r="L304" s="254">
        <f>K304*(1+Assumption!$C$14)</f>
        <v>1223.5685104496247</v>
      </c>
      <c r="M304" s="254">
        <f>L304*(1+Assumption!$C$14)</f>
        <v>1229.6863530018727</v>
      </c>
      <c r="N304" s="254">
        <f>M304*(1+Assumption!$C$14)</f>
        <v>1235.834784766882</v>
      </c>
      <c r="O304" s="254">
        <f>N304*(1+Assumption!$C$14)</f>
        <v>1242.0139586907162</v>
      </c>
      <c r="P304" s="254">
        <f>O304*(1+Assumption!$C$14)</f>
        <v>1248.2240284841696</v>
      </c>
      <c r="Q304" s="254">
        <f>P304*(1+Assumption!$C$14)</f>
        <v>1254.4651486265902</v>
      </c>
    </row>
    <row r="305" spans="2:17" x14ac:dyDescent="0.25">
      <c r="B305" t="s">
        <v>445</v>
      </c>
      <c r="C305" s="253">
        <v>0</v>
      </c>
      <c r="D305" s="253">
        <v>0</v>
      </c>
      <c r="E305" s="253">
        <v>0</v>
      </c>
      <c r="F305" s="253">
        <v>0</v>
      </c>
      <c r="G305" s="253">
        <v>18</v>
      </c>
      <c r="H305" s="254">
        <v>0</v>
      </c>
      <c r="I305" s="254">
        <v>0</v>
      </c>
      <c r="J305" s="254">
        <v>0</v>
      </c>
      <c r="K305" s="254">
        <v>0</v>
      </c>
      <c r="L305" s="254">
        <v>0</v>
      </c>
      <c r="M305" s="254">
        <v>0</v>
      </c>
      <c r="N305" s="254">
        <v>0</v>
      </c>
      <c r="O305" s="254">
        <v>0</v>
      </c>
      <c r="P305" s="254">
        <v>0</v>
      </c>
      <c r="Q305" s="254">
        <v>0</v>
      </c>
    </row>
    <row r="306" spans="2:17" x14ac:dyDescent="0.25">
      <c r="B306" t="s">
        <v>417</v>
      </c>
      <c r="C306" s="253">
        <v>0</v>
      </c>
      <c r="D306" s="253">
        <v>0</v>
      </c>
      <c r="E306" s="253">
        <v>0</v>
      </c>
      <c r="F306" s="253">
        <v>0</v>
      </c>
      <c r="G306" s="253">
        <v>0</v>
      </c>
      <c r="H306" s="254">
        <v>0</v>
      </c>
      <c r="I306" s="254">
        <v>0</v>
      </c>
      <c r="J306" s="254">
        <v>0</v>
      </c>
      <c r="K306" s="254">
        <v>0</v>
      </c>
      <c r="L306" s="254">
        <v>0</v>
      </c>
      <c r="M306" s="254">
        <v>0</v>
      </c>
      <c r="N306" s="254">
        <v>0</v>
      </c>
      <c r="O306" s="254">
        <v>0</v>
      </c>
      <c r="P306" s="254">
        <v>0</v>
      </c>
      <c r="Q306" s="254">
        <v>0</v>
      </c>
    </row>
    <row r="307" spans="2:17" x14ac:dyDescent="0.25">
      <c r="B307" t="s">
        <v>433</v>
      </c>
      <c r="C307" s="253">
        <v>-448</v>
      </c>
      <c r="D307" s="253">
        <v>-750</v>
      </c>
      <c r="E307" s="253">
        <v>-1186</v>
      </c>
      <c r="F307" s="253">
        <v>-1320</v>
      </c>
      <c r="G307" s="253">
        <v>-1105</v>
      </c>
      <c r="H307" s="254">
        <f>AVERAGE(C307:G307)</f>
        <v>-961.8</v>
      </c>
      <c r="I307" s="254">
        <f>H307*(1+Assumption!$C$16)</f>
        <v>-966.60899999999981</v>
      </c>
      <c r="J307" s="254">
        <f>I307*(1+Assumption!$C$16)</f>
        <v>-971.44204499999967</v>
      </c>
      <c r="K307" s="254">
        <f>J307*(1+Assumption!$C$16)</f>
        <v>-976.29925522499957</v>
      </c>
      <c r="L307" s="254">
        <f>K307*(1+Assumption!$C$16)</f>
        <v>-981.18075150112452</v>
      </c>
      <c r="M307" s="254">
        <f>L307*(1+Assumption!$C$16)</f>
        <v>-986.08665525863</v>
      </c>
      <c r="N307" s="254">
        <f>M307*(1+Assumption!$C$16)</f>
        <v>-991.017088534923</v>
      </c>
      <c r="O307" s="254">
        <f>N307*(1+Assumption!$C$16)</f>
        <v>-995.97217397759755</v>
      </c>
      <c r="P307" s="254">
        <f>O307*(1+Assumption!$C$16)</f>
        <v>-1000.9520348474854</v>
      </c>
      <c r="Q307" s="254">
        <f>P307*(1+Assumption!$C$16)</f>
        <v>-1005.9567950217227</v>
      </c>
    </row>
    <row r="308" spans="2:17" x14ac:dyDescent="0.25">
      <c r="B308" t="s">
        <v>446</v>
      </c>
      <c r="C308" s="253">
        <v>0</v>
      </c>
      <c r="D308" s="253">
        <v>0</v>
      </c>
      <c r="E308" s="253">
        <v>0</v>
      </c>
      <c r="F308" s="253">
        <v>0</v>
      </c>
      <c r="G308" s="253">
        <v>0</v>
      </c>
      <c r="H308" s="254">
        <v>0</v>
      </c>
      <c r="I308" s="254">
        <v>0</v>
      </c>
      <c r="J308" s="254">
        <v>0</v>
      </c>
      <c r="K308" s="254">
        <v>0</v>
      </c>
      <c r="L308" s="254">
        <v>0</v>
      </c>
      <c r="M308" s="254">
        <v>0</v>
      </c>
      <c r="N308" s="254">
        <v>0</v>
      </c>
      <c r="O308" s="254">
        <v>0</v>
      </c>
      <c r="P308" s="254">
        <v>0</v>
      </c>
      <c r="Q308" s="254">
        <v>0</v>
      </c>
    </row>
    <row r="309" spans="2:17" x14ac:dyDescent="0.25">
      <c r="B309" s="8" t="s">
        <v>434</v>
      </c>
      <c r="C309" s="255">
        <f>SUM(C303:C307)</f>
        <v>833</v>
      </c>
      <c r="D309" s="255">
        <f t="shared" ref="D309:H309" si="207">SUM(D303:D307)</f>
        <v>1578</v>
      </c>
      <c r="E309" s="255">
        <f t="shared" si="207"/>
        <v>1534</v>
      </c>
      <c r="F309" s="255">
        <f t="shared" si="207"/>
        <v>1283</v>
      </c>
      <c r="G309" s="255">
        <v>1877</v>
      </c>
      <c r="H309" s="256">
        <f t="shared" si="207"/>
        <v>2114.6000000000004</v>
      </c>
      <c r="I309" s="256">
        <f t="shared" ref="I309" si="208">SUM(I303:I307)</f>
        <v>2353.3880000000004</v>
      </c>
      <c r="J309" s="256">
        <f t="shared" ref="J309" si="209">SUM(J303:J307)</f>
        <v>2593.3699400000005</v>
      </c>
      <c r="K309" s="256">
        <f t="shared" ref="K309" si="210">SUM(K303:K307)</f>
        <v>2834.5517897000009</v>
      </c>
      <c r="L309" s="256">
        <f t="shared" ref="L309" si="211">SUM(L303:L307)</f>
        <v>3076.9395486485009</v>
      </c>
      <c r="M309" s="256">
        <f t="shared" ref="M309" si="212">SUM(M303:M307)</f>
        <v>3320.5392463917437</v>
      </c>
      <c r="N309" s="256">
        <f t="shared" ref="N309" si="213">SUM(N303:N307)</f>
        <v>3565.3569426237032</v>
      </c>
      <c r="O309" s="256">
        <f t="shared" ref="O309" si="214">SUM(O303:O307)</f>
        <v>3811.398727336822</v>
      </c>
      <c r="P309" s="256">
        <f t="shared" ref="P309" si="215">SUM(P303:P307)</f>
        <v>4058.6707209735068</v>
      </c>
      <c r="Q309" s="256">
        <f t="shared" ref="Q309" si="216">SUM(Q303:Q307)</f>
        <v>4307.1790745783746</v>
      </c>
    </row>
    <row r="310" spans="2:17" x14ac:dyDescent="0.25">
      <c r="B310" s="1"/>
      <c r="C310" s="253"/>
      <c r="D310" s="253"/>
      <c r="E310" s="253"/>
      <c r="F310" s="253"/>
      <c r="G310" s="253"/>
    </row>
    <row r="311" spans="2:17" x14ac:dyDescent="0.25">
      <c r="B311" s="1" t="s">
        <v>444</v>
      </c>
      <c r="C311" s="253"/>
      <c r="D311" s="253"/>
      <c r="E311" s="253"/>
      <c r="F311" s="253"/>
      <c r="G311" s="253"/>
    </row>
    <row r="312" spans="2:17" x14ac:dyDescent="0.25">
      <c r="B312" s="3" t="s">
        <v>416</v>
      </c>
      <c r="C312" s="265">
        <v>0</v>
      </c>
      <c r="D312" s="265">
        <v>0</v>
      </c>
      <c r="E312" s="265">
        <v>0</v>
      </c>
      <c r="F312" s="265">
        <f>E318</f>
        <v>116</v>
      </c>
      <c r="G312" s="265">
        <f>F318</f>
        <v>96</v>
      </c>
      <c r="H312" s="250">
        <f>G318</f>
        <v>84</v>
      </c>
      <c r="I312" s="250">
        <f t="shared" ref="I312:Q312" si="217">H318</f>
        <v>101</v>
      </c>
      <c r="J312" s="250">
        <f t="shared" si="217"/>
        <v>118.08500000000001</v>
      </c>
      <c r="K312" s="250">
        <f t="shared" si="217"/>
        <v>135.255425</v>
      </c>
      <c r="L312" s="250">
        <f t="shared" si="217"/>
        <v>152.511702125</v>
      </c>
      <c r="M312" s="250">
        <f t="shared" si="217"/>
        <v>169.854260635625</v>
      </c>
      <c r="N312" s="250">
        <f t="shared" si="217"/>
        <v>187.28353193880312</v>
      </c>
      <c r="O312" s="250">
        <f t="shared" si="217"/>
        <v>204.79994959849714</v>
      </c>
      <c r="P312" s="250">
        <f t="shared" si="217"/>
        <v>222.40394934648961</v>
      </c>
      <c r="Q312" s="250">
        <f t="shared" si="217"/>
        <v>240.09596909322204</v>
      </c>
    </row>
    <row r="313" spans="2:17" x14ac:dyDescent="0.25">
      <c r="B313" s="96" t="s">
        <v>415</v>
      </c>
      <c r="C313" s="266">
        <v>0</v>
      </c>
      <c r="D313" s="266">
        <v>0</v>
      </c>
      <c r="E313" s="266">
        <v>125</v>
      </c>
      <c r="F313" s="266">
        <v>0</v>
      </c>
      <c r="G313" s="266">
        <v>13</v>
      </c>
      <c r="H313" s="254">
        <f>AVERAGE(C313:G313)</f>
        <v>27.6</v>
      </c>
      <c r="I313" s="254">
        <f>H313*(1+Assumption!$C$14)</f>
        <v>27.738</v>
      </c>
      <c r="J313" s="254">
        <f>I313*(1+Assumption!$C$14)</f>
        <v>27.876689999999996</v>
      </c>
      <c r="K313" s="254">
        <f>J313*(1+Assumption!$C$14)</f>
        <v>28.016073449999993</v>
      </c>
      <c r="L313" s="254">
        <f>K313*(1+Assumption!$C$14)</f>
        <v>28.15615381724999</v>
      </c>
      <c r="M313" s="254">
        <f>L313*(1+Assumption!$C$14)</f>
        <v>28.296934586336238</v>
      </c>
      <c r="N313" s="254">
        <f>M313*(1+Assumption!$C$14)</f>
        <v>28.438419259267917</v>
      </c>
      <c r="O313" s="254">
        <f>N313*(1+Assumption!$C$14)</f>
        <v>28.580611355564255</v>
      </c>
      <c r="P313" s="254">
        <f>O313*(1+Assumption!$C$14)</f>
        <v>28.723514412342073</v>
      </c>
      <c r="Q313" s="254">
        <f>P313*(1+Assumption!$C$14)</f>
        <v>28.86713198440378</v>
      </c>
    </row>
    <row r="314" spans="2:17" x14ac:dyDescent="0.25">
      <c r="B314" t="s">
        <v>445</v>
      </c>
      <c r="C314" s="253">
        <v>0</v>
      </c>
      <c r="D314" s="253">
        <v>0</v>
      </c>
      <c r="E314" s="253">
        <v>0</v>
      </c>
      <c r="F314" s="253">
        <v>0</v>
      </c>
      <c r="G314" s="253">
        <v>0</v>
      </c>
      <c r="H314" s="254">
        <v>0</v>
      </c>
      <c r="I314" s="254">
        <v>0</v>
      </c>
      <c r="J314" s="254">
        <v>0</v>
      </c>
      <c r="K314" s="254">
        <v>0</v>
      </c>
      <c r="L314" s="254">
        <v>0</v>
      </c>
      <c r="M314" s="254">
        <v>0</v>
      </c>
      <c r="N314" s="254">
        <v>0</v>
      </c>
      <c r="O314" s="254">
        <v>0</v>
      </c>
      <c r="P314" s="254">
        <v>0</v>
      </c>
      <c r="Q314" s="254">
        <v>0</v>
      </c>
    </row>
    <row r="315" spans="2:17" x14ac:dyDescent="0.25">
      <c r="B315" t="s">
        <v>417</v>
      </c>
      <c r="C315" s="253">
        <v>0</v>
      </c>
      <c r="D315" s="253">
        <v>0</v>
      </c>
      <c r="E315" s="253">
        <v>0</v>
      </c>
      <c r="F315" s="253">
        <v>0</v>
      </c>
      <c r="G315" s="253">
        <v>0</v>
      </c>
      <c r="H315" s="254">
        <v>0</v>
      </c>
      <c r="I315" s="254">
        <v>0</v>
      </c>
      <c r="J315" s="254">
        <v>0</v>
      </c>
      <c r="K315" s="254">
        <v>0</v>
      </c>
      <c r="L315" s="254">
        <v>0</v>
      </c>
      <c r="M315" s="254">
        <v>0</v>
      </c>
      <c r="N315" s="254">
        <v>0</v>
      </c>
      <c r="O315" s="254">
        <v>0</v>
      </c>
      <c r="P315" s="254">
        <v>0</v>
      </c>
      <c r="Q315" s="254">
        <v>0</v>
      </c>
    </row>
    <row r="316" spans="2:17" x14ac:dyDescent="0.25">
      <c r="B316" t="s">
        <v>433</v>
      </c>
      <c r="C316" s="253">
        <v>0</v>
      </c>
      <c r="D316" s="253">
        <v>0</v>
      </c>
      <c r="E316" s="253">
        <v>-9</v>
      </c>
      <c r="F316" s="253">
        <v>-20</v>
      </c>
      <c r="G316" s="253">
        <v>-24</v>
      </c>
      <c r="H316" s="254">
        <f>AVERAGE(C316:G316)</f>
        <v>-10.6</v>
      </c>
      <c r="I316" s="254">
        <f>H316*(1+Assumption!$C$16)</f>
        <v>-10.652999999999999</v>
      </c>
      <c r="J316" s="254">
        <f>I316*(1+Assumption!$C$16)</f>
        <v>-10.706264999999998</v>
      </c>
      <c r="K316" s="254">
        <f>J316*(1+Assumption!$C$16)</f>
        <v>-10.759796324999996</v>
      </c>
      <c r="L316" s="254">
        <f>K316*(1+Assumption!$C$16)</f>
        <v>-10.813595306624995</v>
      </c>
      <c r="M316" s="254">
        <f>L316*(1+Assumption!$C$16)</f>
        <v>-10.867663283158119</v>
      </c>
      <c r="N316" s="254">
        <f>M316*(1+Assumption!$C$16)</f>
        <v>-10.922001599573909</v>
      </c>
      <c r="O316" s="254">
        <f>N316*(1+Assumption!$C$16)</f>
        <v>-10.976611607571776</v>
      </c>
      <c r="P316" s="254">
        <f>O316*(1+Assumption!$C$16)</f>
        <v>-11.031494665609634</v>
      </c>
      <c r="Q316" s="254">
        <f>P316*(1+Assumption!$C$16)</f>
        <v>-11.08665213893768</v>
      </c>
    </row>
    <row r="317" spans="2:17" x14ac:dyDescent="0.25">
      <c r="B317" t="s">
        <v>446</v>
      </c>
      <c r="C317" s="253">
        <v>0</v>
      </c>
      <c r="D317" s="253">
        <v>0</v>
      </c>
      <c r="E317" s="253">
        <v>0</v>
      </c>
      <c r="F317" s="253">
        <v>0</v>
      </c>
      <c r="G317" s="253">
        <v>0</v>
      </c>
      <c r="H317" s="254">
        <v>0</v>
      </c>
      <c r="I317" s="254">
        <v>0</v>
      </c>
      <c r="J317" s="254">
        <v>0</v>
      </c>
      <c r="K317" s="254">
        <v>0</v>
      </c>
      <c r="L317" s="254">
        <v>0</v>
      </c>
      <c r="M317" s="254">
        <v>0</v>
      </c>
      <c r="N317" s="254">
        <v>0</v>
      </c>
      <c r="O317" s="254">
        <v>0</v>
      </c>
      <c r="P317" s="254">
        <v>0</v>
      </c>
      <c r="Q317" s="254">
        <v>0</v>
      </c>
    </row>
    <row r="318" spans="2:17" x14ac:dyDescent="0.25">
      <c r="B318" s="8" t="s">
        <v>434</v>
      </c>
      <c r="C318" s="255">
        <v>0</v>
      </c>
      <c r="D318" s="255">
        <v>0</v>
      </c>
      <c r="E318" s="255">
        <f>SUM(E312:E316)</f>
        <v>116</v>
      </c>
      <c r="F318" s="255">
        <f t="shared" ref="F318:H318" si="218">SUM(F312:F316)</f>
        <v>96</v>
      </c>
      <c r="G318" s="255">
        <v>84</v>
      </c>
      <c r="H318" s="256">
        <f t="shared" si="218"/>
        <v>101</v>
      </c>
      <c r="I318" s="256">
        <f t="shared" ref="I318" si="219">SUM(I312:I316)</f>
        <v>118.08500000000001</v>
      </c>
      <c r="J318" s="256">
        <f t="shared" ref="J318" si="220">SUM(J312:J316)</f>
        <v>135.255425</v>
      </c>
      <c r="K318" s="256">
        <f t="shared" ref="K318" si="221">SUM(K312:K316)</f>
        <v>152.511702125</v>
      </c>
      <c r="L318" s="256">
        <f t="shared" ref="L318" si="222">SUM(L312:L316)</f>
        <v>169.854260635625</v>
      </c>
      <c r="M318" s="256">
        <f t="shared" ref="M318" si="223">SUM(M312:M316)</f>
        <v>187.28353193880312</v>
      </c>
      <c r="N318" s="256">
        <f t="shared" ref="N318" si="224">SUM(N312:N316)</f>
        <v>204.79994959849714</v>
      </c>
      <c r="O318" s="256">
        <f t="shared" ref="O318" si="225">SUM(O312:O316)</f>
        <v>222.40394934648961</v>
      </c>
      <c r="P318" s="256">
        <f t="shared" ref="P318" si="226">SUM(P312:P316)</f>
        <v>240.09596909322204</v>
      </c>
      <c r="Q318" s="256">
        <f t="shared" ref="Q318" si="227">SUM(Q312:Q316)</f>
        <v>257.87644893868816</v>
      </c>
    </row>
    <row r="319" spans="2:17" x14ac:dyDescent="0.25">
      <c r="C319" s="253"/>
      <c r="D319" s="253"/>
      <c r="E319" s="253"/>
      <c r="F319" s="253"/>
      <c r="G319" s="253"/>
    </row>
    <row r="320" spans="2:17" x14ac:dyDescent="0.25">
      <c r="B320" s="1" t="s">
        <v>436</v>
      </c>
      <c r="C320" s="253"/>
      <c r="D320" s="253"/>
      <c r="E320" s="253"/>
      <c r="F320" s="253"/>
      <c r="G320" s="253"/>
    </row>
    <row r="321" spans="2:17" x14ac:dyDescent="0.25">
      <c r="B321" s="3" t="s">
        <v>416</v>
      </c>
      <c r="C321" s="265">
        <v>2304</v>
      </c>
      <c r="D321" s="265">
        <f>C327</f>
        <v>1306</v>
      </c>
      <c r="E321" s="265">
        <f t="shared" ref="E321:G321" si="228">D327</f>
        <v>3806</v>
      </c>
      <c r="F321" s="265">
        <f t="shared" si="228"/>
        <v>3974</v>
      </c>
      <c r="G321" s="265">
        <f t="shared" si="228"/>
        <v>4161</v>
      </c>
      <c r="H321" s="250">
        <f>G327</f>
        <v>4338</v>
      </c>
      <c r="I321" s="250">
        <f t="shared" ref="I321:Q321" si="229">H327</f>
        <v>4932.6000000000004</v>
      </c>
      <c r="J321" s="250">
        <f t="shared" si="229"/>
        <v>5530.1730000000007</v>
      </c>
      <c r="K321" s="250">
        <f t="shared" si="229"/>
        <v>6130.7338650000002</v>
      </c>
      <c r="L321" s="250">
        <f t="shared" si="229"/>
        <v>6734.297534325</v>
      </c>
      <c r="M321" s="250">
        <f t="shared" si="229"/>
        <v>7340.8790219966259</v>
      </c>
      <c r="N321" s="250">
        <f t="shared" si="229"/>
        <v>7950.4934171066097</v>
      </c>
      <c r="O321" s="250">
        <f t="shared" si="229"/>
        <v>8563.1558841921415</v>
      </c>
      <c r="P321" s="250">
        <f t="shared" si="229"/>
        <v>9178.8816636131014</v>
      </c>
      <c r="Q321" s="250">
        <f t="shared" si="229"/>
        <v>9797.6860719311662</v>
      </c>
    </row>
    <row r="322" spans="2:17" x14ac:dyDescent="0.25">
      <c r="B322" s="96" t="s">
        <v>415</v>
      </c>
      <c r="C322" s="266">
        <v>466</v>
      </c>
      <c r="D322" s="266">
        <v>3992</v>
      </c>
      <c r="E322" s="266">
        <v>2867</v>
      </c>
      <c r="F322" s="266">
        <v>1440</v>
      </c>
      <c r="G322" s="266">
        <v>1596</v>
      </c>
      <c r="H322" s="254">
        <f>AVERAGE(C322:G322)</f>
        <v>2072.1999999999998</v>
      </c>
      <c r="I322" s="254">
        <f>H322*(1+Assumption!$C$14)</f>
        <v>2082.5609999999997</v>
      </c>
      <c r="J322" s="254">
        <f>I322*(1+Assumption!$C$14)</f>
        <v>2092.9738049999996</v>
      </c>
      <c r="K322" s="254">
        <f>J322*(1+Assumption!$C$14)</f>
        <v>2103.4386740249993</v>
      </c>
      <c r="L322" s="254">
        <f>K322*(1+Assumption!$C$14)</f>
        <v>2113.9558673951242</v>
      </c>
      <c r="M322" s="254">
        <f>L322*(1+Assumption!$C$14)</f>
        <v>2124.5256467320996</v>
      </c>
      <c r="N322" s="254">
        <f>M322*(1+Assumption!$C$14)</f>
        <v>2135.1482749657598</v>
      </c>
      <c r="O322" s="254">
        <f>N322*(1+Assumption!$C$14)</f>
        <v>2145.8240163405885</v>
      </c>
      <c r="P322" s="254">
        <f>O322*(1+Assumption!$C$14)</f>
        <v>2156.5531364222911</v>
      </c>
      <c r="Q322" s="254">
        <f>P322*(1+Assumption!$C$14)</f>
        <v>2167.3359021044025</v>
      </c>
    </row>
    <row r="323" spans="2:17" x14ac:dyDescent="0.25">
      <c r="B323" t="s">
        <v>445</v>
      </c>
      <c r="C323" s="268">
        <v>0</v>
      </c>
      <c r="D323" s="268">
        <v>0</v>
      </c>
      <c r="E323" s="268">
        <v>0</v>
      </c>
      <c r="F323" s="268">
        <v>0</v>
      </c>
      <c r="G323" s="253">
        <v>548</v>
      </c>
      <c r="H323" s="254">
        <v>0</v>
      </c>
      <c r="I323" s="254">
        <v>0</v>
      </c>
      <c r="J323" s="254">
        <v>0</v>
      </c>
      <c r="K323" s="254">
        <v>0</v>
      </c>
      <c r="L323" s="254">
        <v>0</v>
      </c>
      <c r="M323" s="254">
        <v>0</v>
      </c>
      <c r="N323" s="254">
        <v>0</v>
      </c>
      <c r="O323" s="254">
        <v>0</v>
      </c>
      <c r="P323" s="254">
        <v>0</v>
      </c>
      <c r="Q323" s="254">
        <v>0</v>
      </c>
    </row>
    <row r="324" spans="2:17" x14ac:dyDescent="0.25">
      <c r="B324" t="s">
        <v>417</v>
      </c>
      <c r="C324" s="268">
        <v>0</v>
      </c>
      <c r="D324" s="268">
        <v>0</v>
      </c>
      <c r="E324" s="253">
        <v>-1395</v>
      </c>
      <c r="F324" s="268">
        <v>0</v>
      </c>
      <c r="G324" s="253">
        <v>-103</v>
      </c>
      <c r="H324" s="254">
        <v>0</v>
      </c>
      <c r="I324" s="254">
        <v>0</v>
      </c>
      <c r="J324" s="254">
        <v>0</v>
      </c>
      <c r="K324" s="254">
        <v>0</v>
      </c>
      <c r="L324" s="254">
        <v>0</v>
      </c>
      <c r="M324" s="254">
        <v>0</v>
      </c>
      <c r="N324" s="254">
        <v>0</v>
      </c>
      <c r="O324" s="254">
        <v>0</v>
      </c>
      <c r="P324" s="254">
        <v>0</v>
      </c>
      <c r="Q324" s="254">
        <v>0</v>
      </c>
    </row>
    <row r="325" spans="2:17" x14ac:dyDescent="0.25">
      <c r="B325" t="s">
        <v>433</v>
      </c>
      <c r="C325" s="253">
        <v>-1464</v>
      </c>
      <c r="D325" s="253">
        <v>-1492</v>
      </c>
      <c r="E325" s="253">
        <v>-1304</v>
      </c>
      <c r="F325" s="253">
        <v>-1253</v>
      </c>
      <c r="G325" s="253">
        <v>-1875</v>
      </c>
      <c r="H325" s="254">
        <f>AVERAGE(C325:G325)</f>
        <v>-1477.6</v>
      </c>
      <c r="I325" s="254">
        <f>H325*(1+Assumption!$C$16)</f>
        <v>-1484.9879999999998</v>
      </c>
      <c r="J325" s="254">
        <f>I325*(1+Assumption!$C$16)</f>
        <v>-1492.4129399999997</v>
      </c>
      <c r="K325" s="254">
        <f>J325*(1+Assumption!$C$16)</f>
        <v>-1499.8750046999996</v>
      </c>
      <c r="L325" s="254">
        <f>K325*(1+Assumption!$C$16)</f>
        <v>-1507.3743797234995</v>
      </c>
      <c r="M325" s="254">
        <f>L325*(1+Assumption!$C$16)</f>
        <v>-1514.9112516221169</v>
      </c>
      <c r="N325" s="254">
        <f>M325*(1+Assumption!$C$16)</f>
        <v>-1522.4858078802274</v>
      </c>
      <c r="O325" s="254">
        <f>N325*(1+Assumption!$C$16)</f>
        <v>-1530.0982369196283</v>
      </c>
      <c r="P325" s="254">
        <f>O325*(1+Assumption!$C$16)</f>
        <v>-1537.7487281042263</v>
      </c>
      <c r="Q325" s="254">
        <f>P325*(1+Assumption!$C$16)</f>
        <v>-1545.4374717447472</v>
      </c>
    </row>
    <row r="326" spans="2:17" x14ac:dyDescent="0.25">
      <c r="B326" t="s">
        <v>446</v>
      </c>
      <c r="C326" s="268">
        <v>0</v>
      </c>
      <c r="D326" s="268">
        <v>0</v>
      </c>
      <c r="E326" s="268">
        <v>0</v>
      </c>
      <c r="F326" s="268">
        <v>0</v>
      </c>
      <c r="G326" s="253">
        <v>12</v>
      </c>
      <c r="H326" s="254">
        <v>0</v>
      </c>
      <c r="I326" s="254">
        <v>0</v>
      </c>
      <c r="J326" s="254">
        <v>0</v>
      </c>
      <c r="K326" s="254">
        <v>0</v>
      </c>
      <c r="L326" s="254">
        <v>0</v>
      </c>
      <c r="M326" s="254">
        <v>0</v>
      </c>
      <c r="N326" s="254">
        <v>0</v>
      </c>
      <c r="O326" s="254">
        <v>0</v>
      </c>
      <c r="P326" s="254">
        <v>0</v>
      </c>
      <c r="Q326" s="254">
        <v>0</v>
      </c>
    </row>
    <row r="327" spans="2:17" x14ac:dyDescent="0.25">
      <c r="B327" s="8" t="s">
        <v>434</v>
      </c>
      <c r="C327" s="255">
        <f>SUM(C321:C325)</f>
        <v>1306</v>
      </c>
      <c r="D327" s="255">
        <f t="shared" ref="D327:H327" si="230">SUM(D321:D325)</f>
        <v>3806</v>
      </c>
      <c r="E327" s="255">
        <f t="shared" si="230"/>
        <v>3974</v>
      </c>
      <c r="F327" s="255">
        <f t="shared" si="230"/>
        <v>4161</v>
      </c>
      <c r="G327" s="255">
        <v>4338</v>
      </c>
      <c r="H327" s="256">
        <f t="shared" si="230"/>
        <v>4932.6000000000004</v>
      </c>
      <c r="I327" s="256">
        <f t="shared" ref="I327" si="231">SUM(I321:I325)</f>
        <v>5530.1730000000007</v>
      </c>
      <c r="J327" s="256">
        <f t="shared" ref="J327" si="232">SUM(J321:J325)</f>
        <v>6130.7338650000002</v>
      </c>
      <c r="K327" s="256">
        <f t="shared" ref="K327" si="233">SUM(K321:K325)</f>
        <v>6734.297534325</v>
      </c>
      <c r="L327" s="256">
        <f t="shared" ref="L327" si="234">SUM(L321:L325)</f>
        <v>7340.8790219966259</v>
      </c>
      <c r="M327" s="256">
        <f t="shared" ref="M327" si="235">SUM(M321:M325)</f>
        <v>7950.4934171066097</v>
      </c>
      <c r="N327" s="256">
        <f t="shared" ref="N327" si="236">SUM(N321:N325)</f>
        <v>8563.1558841921415</v>
      </c>
      <c r="O327" s="256">
        <f t="shared" ref="O327" si="237">SUM(O321:O325)</f>
        <v>9178.8816636131014</v>
      </c>
      <c r="P327" s="256">
        <f t="shared" ref="P327" si="238">SUM(P321:P325)</f>
        <v>9797.6860719311662</v>
      </c>
      <c r="Q327" s="256">
        <f t="shared" ref="Q327" si="239">SUM(Q321:Q325)</f>
        <v>10419.584502290822</v>
      </c>
    </row>
    <row r="328" spans="2:17" x14ac:dyDescent="0.25">
      <c r="C328" s="253"/>
      <c r="D328" s="253"/>
      <c r="E328" s="253"/>
      <c r="F328" s="253"/>
      <c r="G328" s="253"/>
    </row>
    <row r="329" spans="2:17" x14ac:dyDescent="0.25">
      <c r="B329" s="1" t="s">
        <v>437</v>
      </c>
      <c r="C329" s="253"/>
      <c r="D329" s="253"/>
      <c r="E329" s="253"/>
      <c r="F329" s="253"/>
      <c r="G329" s="253"/>
    </row>
    <row r="330" spans="2:17" x14ac:dyDescent="0.25">
      <c r="B330" s="3" t="s">
        <v>416</v>
      </c>
      <c r="C330" s="265">
        <v>30</v>
      </c>
      <c r="D330" s="265">
        <f>C336</f>
        <v>11</v>
      </c>
      <c r="E330" s="265">
        <f t="shared" ref="E330:G330" si="240">D336</f>
        <v>6</v>
      </c>
      <c r="F330" s="265">
        <f t="shared" si="240"/>
        <v>162</v>
      </c>
      <c r="G330" s="265">
        <f t="shared" si="240"/>
        <v>158</v>
      </c>
      <c r="H330" s="250">
        <f>G336</f>
        <v>658</v>
      </c>
      <c r="I330" s="250">
        <f t="shared" ref="I330:Q330" si="241">H336</f>
        <v>784.6</v>
      </c>
      <c r="J330" s="250">
        <f t="shared" si="241"/>
        <v>911.83299999999997</v>
      </c>
      <c r="K330" s="250">
        <f t="shared" si="241"/>
        <v>1039.7021650000002</v>
      </c>
      <c r="L330" s="250">
        <f t="shared" si="241"/>
        <v>1168.210675825</v>
      </c>
      <c r="M330" s="250">
        <f t="shared" si="241"/>
        <v>1297.3617292041249</v>
      </c>
      <c r="N330" s="250">
        <f t="shared" si="241"/>
        <v>1427.1585378501454</v>
      </c>
      <c r="O330" s="250">
        <f t="shared" si="241"/>
        <v>1557.604330539396</v>
      </c>
      <c r="P330" s="250">
        <f t="shared" si="241"/>
        <v>1688.7023521920928</v>
      </c>
      <c r="Q330" s="250">
        <f t="shared" si="241"/>
        <v>1820.4558639530533</v>
      </c>
    </row>
    <row r="331" spans="2:17" x14ac:dyDescent="0.25">
      <c r="B331" s="96" t="s">
        <v>415</v>
      </c>
      <c r="C331" s="268">
        <v>0</v>
      </c>
      <c r="D331" s="268">
        <v>0</v>
      </c>
      <c r="E331" s="266">
        <v>183</v>
      </c>
      <c r="F331" s="266">
        <v>62</v>
      </c>
      <c r="G331" s="266">
        <v>680</v>
      </c>
      <c r="H331" s="254">
        <f>AVERAGE(C331:G331)</f>
        <v>185</v>
      </c>
      <c r="I331" s="254">
        <f>H331*(1+Assumption!$C$14)</f>
        <v>185.92499999999998</v>
      </c>
      <c r="J331" s="254">
        <f>I331*(1+Assumption!$C$14)</f>
        <v>186.85462499999997</v>
      </c>
      <c r="K331" s="254">
        <f>J331*(1+Assumption!$C$14)</f>
        <v>187.78889812499995</v>
      </c>
      <c r="L331" s="254">
        <f>K331*(1+Assumption!$C$14)</f>
        <v>188.72784261562492</v>
      </c>
      <c r="M331" s="254">
        <f>L331*(1+Assumption!$C$14)</f>
        <v>189.67148182870304</v>
      </c>
      <c r="N331" s="254">
        <f>M331*(1+Assumption!$C$14)</f>
        <v>190.61983923784652</v>
      </c>
      <c r="O331" s="254">
        <f>N331*(1+Assumption!$C$14)</f>
        <v>191.57293843403573</v>
      </c>
      <c r="P331" s="254">
        <f>O331*(1+Assumption!$C$14)</f>
        <v>192.53080312620588</v>
      </c>
      <c r="Q331" s="254">
        <f>P331*(1+Assumption!$C$14)</f>
        <v>193.4934571418369</v>
      </c>
    </row>
    <row r="332" spans="2:17" x14ac:dyDescent="0.25">
      <c r="B332" t="s">
        <v>445</v>
      </c>
      <c r="C332" s="268">
        <v>0</v>
      </c>
      <c r="D332" s="268">
        <v>0</v>
      </c>
      <c r="E332" s="268">
        <v>0</v>
      </c>
      <c r="F332" s="268">
        <v>0</v>
      </c>
      <c r="G332" s="268">
        <v>0</v>
      </c>
      <c r="H332" s="254">
        <v>0</v>
      </c>
      <c r="I332" s="254">
        <v>0</v>
      </c>
      <c r="J332" s="254">
        <v>0</v>
      </c>
      <c r="K332" s="254">
        <v>0</v>
      </c>
      <c r="L332" s="254">
        <v>0</v>
      </c>
      <c r="M332" s="254">
        <v>0</v>
      </c>
      <c r="N332" s="254">
        <v>0</v>
      </c>
      <c r="O332" s="254">
        <v>0</v>
      </c>
      <c r="P332" s="254">
        <v>0</v>
      </c>
      <c r="Q332" s="254">
        <v>0</v>
      </c>
    </row>
    <row r="333" spans="2:17" x14ac:dyDescent="0.25">
      <c r="B333" t="s">
        <v>417</v>
      </c>
      <c r="C333" s="268">
        <v>0</v>
      </c>
      <c r="D333" s="268">
        <v>0</v>
      </c>
      <c r="E333" s="268">
        <v>0</v>
      </c>
      <c r="F333" s="268">
        <v>0</v>
      </c>
      <c r="G333" s="253">
        <v>-5</v>
      </c>
      <c r="H333" s="254">
        <v>0</v>
      </c>
      <c r="I333" s="254">
        <v>0</v>
      </c>
      <c r="J333" s="254">
        <v>0</v>
      </c>
      <c r="K333" s="254">
        <v>0</v>
      </c>
      <c r="L333" s="254">
        <v>0</v>
      </c>
      <c r="M333" s="254">
        <v>0</v>
      </c>
      <c r="N333" s="254">
        <v>0</v>
      </c>
      <c r="O333" s="254">
        <v>0</v>
      </c>
      <c r="P333" s="254">
        <v>0</v>
      </c>
      <c r="Q333" s="254">
        <v>0</v>
      </c>
    </row>
    <row r="334" spans="2:17" x14ac:dyDescent="0.25">
      <c r="B334" t="s">
        <v>433</v>
      </c>
      <c r="C334" s="253">
        <v>-19</v>
      </c>
      <c r="D334" s="253">
        <v>-5</v>
      </c>
      <c r="E334" s="253">
        <v>-27</v>
      </c>
      <c r="F334" s="253">
        <v>-66</v>
      </c>
      <c r="G334" s="253">
        <v>-175</v>
      </c>
      <c r="H334" s="254">
        <f>AVERAGE(C334:G334)</f>
        <v>-58.4</v>
      </c>
      <c r="I334" s="254">
        <f>H334*(1+Assumption!$C$16)</f>
        <v>-58.691999999999993</v>
      </c>
      <c r="J334" s="254">
        <f>I334*(1+Assumption!$C$16)</f>
        <v>-58.985459999999989</v>
      </c>
      <c r="K334" s="254">
        <f>J334*(1+Assumption!$C$16)</f>
        <v>-59.28038729999998</v>
      </c>
      <c r="L334" s="254">
        <f>K334*(1+Assumption!$C$16)</f>
        <v>-59.576789236499977</v>
      </c>
      <c r="M334" s="254">
        <f>L334*(1+Assumption!$C$16)</f>
        <v>-59.874673182682471</v>
      </c>
      <c r="N334" s="254">
        <f>M334*(1+Assumption!$C$16)</f>
        <v>-60.174046548595875</v>
      </c>
      <c r="O334" s="254">
        <f>N334*(1+Assumption!$C$16)</f>
        <v>-60.474916781338848</v>
      </c>
      <c r="P334" s="254">
        <f>O334*(1+Assumption!$C$16)</f>
        <v>-60.777291365245539</v>
      </c>
      <c r="Q334" s="254">
        <f>P334*(1+Assumption!$C$16)</f>
        <v>-61.081177822071758</v>
      </c>
    </row>
    <row r="335" spans="2:17" x14ac:dyDescent="0.25">
      <c r="B335" t="s">
        <v>446</v>
      </c>
      <c r="C335" s="268">
        <v>0</v>
      </c>
      <c r="D335" s="268">
        <v>0</v>
      </c>
      <c r="E335" s="268">
        <v>0</v>
      </c>
      <c r="F335" s="268">
        <v>0</v>
      </c>
      <c r="G335" s="268">
        <v>0</v>
      </c>
      <c r="H335" s="254">
        <v>0</v>
      </c>
      <c r="I335" s="254">
        <v>0</v>
      </c>
      <c r="J335" s="254">
        <v>0</v>
      </c>
      <c r="K335" s="254">
        <v>0</v>
      </c>
      <c r="L335" s="254">
        <v>0</v>
      </c>
      <c r="M335" s="254">
        <v>0</v>
      </c>
      <c r="N335" s="254">
        <v>0</v>
      </c>
      <c r="O335" s="254">
        <v>0</v>
      </c>
      <c r="P335" s="254">
        <v>0</v>
      </c>
      <c r="Q335" s="254">
        <v>0</v>
      </c>
    </row>
    <row r="336" spans="2:17" x14ac:dyDescent="0.25">
      <c r="B336" s="8" t="s">
        <v>434</v>
      </c>
      <c r="C336" s="255">
        <f t="shared" ref="C336:H336" si="242">SUM(C330:C334)</f>
        <v>11</v>
      </c>
      <c r="D336" s="255">
        <f t="shared" si="242"/>
        <v>6</v>
      </c>
      <c r="E336" s="255">
        <f t="shared" si="242"/>
        <v>162</v>
      </c>
      <c r="F336" s="255">
        <f t="shared" si="242"/>
        <v>158</v>
      </c>
      <c r="G336" s="255">
        <f t="shared" si="242"/>
        <v>658</v>
      </c>
      <c r="H336" s="256">
        <f t="shared" si="242"/>
        <v>784.6</v>
      </c>
      <c r="I336" s="256">
        <f t="shared" ref="I336:Q336" si="243">SUM(I330:I334)</f>
        <v>911.83299999999997</v>
      </c>
      <c r="J336" s="256">
        <f t="shared" si="243"/>
        <v>1039.7021650000002</v>
      </c>
      <c r="K336" s="256">
        <f t="shared" si="243"/>
        <v>1168.210675825</v>
      </c>
      <c r="L336" s="256">
        <f t="shared" si="243"/>
        <v>1297.3617292041249</v>
      </c>
      <c r="M336" s="256">
        <f t="shared" si="243"/>
        <v>1427.1585378501454</v>
      </c>
      <c r="N336" s="256">
        <f t="shared" si="243"/>
        <v>1557.604330539396</v>
      </c>
      <c r="O336" s="256">
        <f t="shared" si="243"/>
        <v>1688.7023521920928</v>
      </c>
      <c r="P336" s="256">
        <f t="shared" si="243"/>
        <v>1820.4558639530533</v>
      </c>
      <c r="Q336" s="256">
        <f t="shared" si="243"/>
        <v>1952.8681432728183</v>
      </c>
    </row>
    <row r="337" spans="1:17" x14ac:dyDescent="0.25">
      <c r="C337" s="253"/>
      <c r="D337" s="253"/>
      <c r="E337" s="253"/>
      <c r="F337" s="253"/>
      <c r="G337" s="253"/>
    </row>
    <row r="338" spans="1:17" x14ac:dyDescent="0.25">
      <c r="B338" s="1" t="s">
        <v>199</v>
      </c>
      <c r="C338" s="253"/>
      <c r="D338" s="253"/>
      <c r="E338" s="253"/>
      <c r="F338" s="253"/>
      <c r="G338" s="253"/>
    </row>
    <row r="339" spans="1:17" x14ac:dyDescent="0.25">
      <c r="B339" s="1" t="s">
        <v>416</v>
      </c>
      <c r="C339" s="249">
        <f>C330+C321+C312+C303</f>
        <v>3006</v>
      </c>
      <c r="D339" s="249">
        <f t="shared" ref="D339:G339" si="244">D330+D321+D312+D303</f>
        <v>2150</v>
      </c>
      <c r="E339" s="249">
        <f t="shared" si="244"/>
        <v>5390</v>
      </c>
      <c r="F339" s="249">
        <f t="shared" si="244"/>
        <v>5786</v>
      </c>
      <c r="G339" s="249">
        <f t="shared" si="244"/>
        <v>5698</v>
      </c>
      <c r="H339" s="257">
        <f t="shared" ref="H339:Q339" si="245">H330+H321+H312+H303</f>
        <v>6957</v>
      </c>
      <c r="I339" s="257">
        <f t="shared" si="245"/>
        <v>7932.8000000000011</v>
      </c>
      <c r="J339" s="257">
        <f t="shared" si="245"/>
        <v>8913.4790000000012</v>
      </c>
      <c r="K339" s="257">
        <f t="shared" si="245"/>
        <v>9899.0613950000006</v>
      </c>
      <c r="L339" s="257">
        <f t="shared" si="245"/>
        <v>10889.571701975001</v>
      </c>
      <c r="M339" s="257">
        <f t="shared" si="245"/>
        <v>11885.034560484877</v>
      </c>
      <c r="N339" s="257">
        <f t="shared" si="245"/>
        <v>12885.474733287301</v>
      </c>
      <c r="O339" s="257">
        <f t="shared" si="245"/>
        <v>13890.917106953737</v>
      </c>
      <c r="P339" s="257">
        <f t="shared" si="245"/>
        <v>14901.386692488506</v>
      </c>
      <c r="Q339" s="257">
        <f t="shared" si="245"/>
        <v>15916.908625950948</v>
      </c>
    </row>
    <row r="340" spans="1:17" x14ac:dyDescent="0.25">
      <c r="B340" s="9" t="s">
        <v>415</v>
      </c>
      <c r="C340" s="251">
        <f t="shared" ref="C340:F340" si="246">C331+C322+C313+C304</f>
        <v>1075</v>
      </c>
      <c r="D340" s="251">
        <f t="shared" si="246"/>
        <v>5487</v>
      </c>
      <c r="E340" s="251">
        <f t="shared" si="246"/>
        <v>4317</v>
      </c>
      <c r="F340" s="251">
        <f t="shared" si="246"/>
        <v>2571</v>
      </c>
      <c r="G340" s="251">
        <v>3970</v>
      </c>
      <c r="H340" s="252">
        <f t="shared" ref="H340:Q340" si="247">H331+H322+H313+H304</f>
        <v>3484.2</v>
      </c>
      <c r="I340" s="252">
        <f t="shared" si="247"/>
        <v>3501.6209999999996</v>
      </c>
      <c r="J340" s="252">
        <f t="shared" si="247"/>
        <v>3519.1291049999995</v>
      </c>
      <c r="K340" s="252">
        <f t="shared" si="247"/>
        <v>3536.7247505249989</v>
      </c>
      <c r="L340" s="252">
        <f t="shared" si="247"/>
        <v>3554.4083742776238</v>
      </c>
      <c r="M340" s="252">
        <f t="shared" si="247"/>
        <v>3572.1804161490118</v>
      </c>
      <c r="N340" s="252">
        <f t="shared" si="247"/>
        <v>3590.0413182297561</v>
      </c>
      <c r="O340" s="252">
        <f t="shared" si="247"/>
        <v>3607.9915248209045</v>
      </c>
      <c r="P340" s="252">
        <f t="shared" si="247"/>
        <v>3626.0314824450084</v>
      </c>
      <c r="Q340" s="252">
        <f t="shared" si="247"/>
        <v>3644.1616398572337</v>
      </c>
    </row>
    <row r="341" spans="1:17" x14ac:dyDescent="0.25">
      <c r="B341" t="s">
        <v>445</v>
      </c>
      <c r="C341" s="253">
        <f>C332+C323+C314+C305</f>
        <v>0</v>
      </c>
      <c r="D341" s="253">
        <f t="shared" ref="D341:G341" si="248">D332+D323+D314+D305</f>
        <v>0</v>
      </c>
      <c r="E341" s="253">
        <f t="shared" si="248"/>
        <v>0</v>
      </c>
      <c r="F341" s="253">
        <f t="shared" si="248"/>
        <v>0</v>
      </c>
      <c r="G341" s="253">
        <f t="shared" si="248"/>
        <v>566</v>
      </c>
      <c r="H341" s="261">
        <f t="shared" ref="H341:Q341" si="249">H332+H323+H314+H305</f>
        <v>0</v>
      </c>
      <c r="I341" s="261">
        <f t="shared" si="249"/>
        <v>0</v>
      </c>
      <c r="J341" s="261">
        <f t="shared" si="249"/>
        <v>0</v>
      </c>
      <c r="K341" s="261">
        <f t="shared" si="249"/>
        <v>0</v>
      </c>
      <c r="L341" s="261">
        <f t="shared" si="249"/>
        <v>0</v>
      </c>
      <c r="M341" s="261">
        <f t="shared" si="249"/>
        <v>0</v>
      </c>
      <c r="N341" s="261">
        <f t="shared" si="249"/>
        <v>0</v>
      </c>
      <c r="O341" s="261">
        <f t="shared" si="249"/>
        <v>0</v>
      </c>
      <c r="P341" s="261">
        <f t="shared" si="249"/>
        <v>0</v>
      </c>
      <c r="Q341" s="261">
        <f t="shared" si="249"/>
        <v>0</v>
      </c>
    </row>
    <row r="342" spans="1:17" x14ac:dyDescent="0.25">
      <c r="B342" t="s">
        <v>417</v>
      </c>
      <c r="C342" s="253">
        <f t="shared" ref="C342:G342" si="250">C333+C324+C315+C306</f>
        <v>0</v>
      </c>
      <c r="D342" s="253">
        <f t="shared" si="250"/>
        <v>0</v>
      </c>
      <c r="E342" s="253">
        <f t="shared" si="250"/>
        <v>-1395</v>
      </c>
      <c r="F342" s="253">
        <f t="shared" si="250"/>
        <v>0</v>
      </c>
      <c r="G342" s="253">
        <f t="shared" si="250"/>
        <v>-108</v>
      </c>
      <c r="H342" s="254">
        <f t="shared" ref="H342:Q342" si="251">H333+H324+H315+H306</f>
        <v>0</v>
      </c>
      <c r="I342" s="254">
        <f t="shared" si="251"/>
        <v>0</v>
      </c>
      <c r="J342" s="254">
        <f t="shared" si="251"/>
        <v>0</v>
      </c>
      <c r="K342" s="254">
        <f t="shared" si="251"/>
        <v>0</v>
      </c>
      <c r="L342" s="254">
        <f t="shared" si="251"/>
        <v>0</v>
      </c>
      <c r="M342" s="254">
        <f t="shared" si="251"/>
        <v>0</v>
      </c>
      <c r="N342" s="254">
        <f t="shared" si="251"/>
        <v>0</v>
      </c>
      <c r="O342" s="254">
        <f t="shared" si="251"/>
        <v>0</v>
      </c>
      <c r="P342" s="254">
        <f t="shared" si="251"/>
        <v>0</v>
      </c>
      <c r="Q342" s="254">
        <f t="shared" si="251"/>
        <v>0</v>
      </c>
    </row>
    <row r="343" spans="1:17" x14ac:dyDescent="0.25">
      <c r="B343" t="s">
        <v>433</v>
      </c>
      <c r="C343" s="253">
        <f t="shared" ref="C343:F343" si="252">C334+C325+C316+C307</f>
        <v>-1931</v>
      </c>
      <c r="D343" s="253">
        <f t="shared" si="252"/>
        <v>-2247</v>
      </c>
      <c r="E343" s="253">
        <f t="shared" si="252"/>
        <v>-2526</v>
      </c>
      <c r="F343" s="253">
        <f t="shared" si="252"/>
        <v>-2659</v>
      </c>
      <c r="G343" s="253">
        <v>-3181</v>
      </c>
      <c r="H343" s="254">
        <f t="shared" ref="H343:Q343" si="253">H334+H325+H316+H307</f>
        <v>-2508.3999999999996</v>
      </c>
      <c r="I343" s="254">
        <f t="shared" si="253"/>
        <v>-2520.9419999999996</v>
      </c>
      <c r="J343" s="254">
        <f t="shared" si="253"/>
        <v>-2533.5467099999992</v>
      </c>
      <c r="K343" s="254">
        <f t="shared" si="253"/>
        <v>-2546.2144435499995</v>
      </c>
      <c r="L343" s="254">
        <f t="shared" si="253"/>
        <v>-2558.9455157677489</v>
      </c>
      <c r="M343" s="254">
        <f t="shared" si="253"/>
        <v>-2571.7402433465877</v>
      </c>
      <c r="N343" s="254">
        <f t="shared" si="253"/>
        <v>-2584.5989445633204</v>
      </c>
      <c r="O343" s="254">
        <f t="shared" si="253"/>
        <v>-2597.5219392861363</v>
      </c>
      <c r="P343" s="254">
        <f t="shared" si="253"/>
        <v>-2610.5095489825667</v>
      </c>
      <c r="Q343" s="254">
        <f t="shared" si="253"/>
        <v>-2623.5620967274795</v>
      </c>
    </row>
    <row r="344" spans="1:17" x14ac:dyDescent="0.25">
      <c r="B344" t="s">
        <v>446</v>
      </c>
      <c r="C344" s="253">
        <f>C335+C326+C317+C308</f>
        <v>0</v>
      </c>
      <c r="D344" s="253">
        <f t="shared" ref="D344:G344" si="254">D335+D326+D317+D308</f>
        <v>0</v>
      </c>
      <c r="E344" s="253">
        <f t="shared" si="254"/>
        <v>0</v>
      </c>
      <c r="F344" s="253">
        <f t="shared" si="254"/>
        <v>0</v>
      </c>
      <c r="G344" s="253">
        <f t="shared" si="254"/>
        <v>12</v>
      </c>
      <c r="H344" s="254">
        <f t="shared" ref="H344:Q344" si="255">H335+H326+H317+H308</f>
        <v>0</v>
      </c>
      <c r="I344" s="254">
        <f t="shared" si="255"/>
        <v>0</v>
      </c>
      <c r="J344" s="254">
        <f t="shared" si="255"/>
        <v>0</v>
      </c>
      <c r="K344" s="254">
        <f t="shared" si="255"/>
        <v>0</v>
      </c>
      <c r="L344" s="254">
        <f t="shared" si="255"/>
        <v>0</v>
      </c>
      <c r="M344" s="254">
        <f t="shared" si="255"/>
        <v>0</v>
      </c>
      <c r="N344" s="254">
        <f t="shared" si="255"/>
        <v>0</v>
      </c>
      <c r="O344" s="254">
        <f t="shared" si="255"/>
        <v>0</v>
      </c>
      <c r="P344" s="254">
        <f t="shared" si="255"/>
        <v>0</v>
      </c>
      <c r="Q344" s="254">
        <f t="shared" si="255"/>
        <v>0</v>
      </c>
    </row>
    <row r="345" spans="1:17" x14ac:dyDescent="0.25">
      <c r="B345" s="8" t="s">
        <v>434</v>
      </c>
      <c r="C345" s="255">
        <f t="shared" ref="C345:F345" si="256">C336+C327+C318+C309</f>
        <v>2150</v>
      </c>
      <c r="D345" s="255">
        <f t="shared" si="256"/>
        <v>5390</v>
      </c>
      <c r="E345" s="255">
        <f t="shared" si="256"/>
        <v>5786</v>
      </c>
      <c r="F345" s="255">
        <f t="shared" si="256"/>
        <v>5698</v>
      </c>
      <c r="G345" s="255">
        <v>6958</v>
      </c>
      <c r="H345" s="256">
        <f t="shared" ref="H345:Q345" si="257">H336+H327+H318+H309</f>
        <v>7932.8000000000011</v>
      </c>
      <c r="I345" s="256">
        <f t="shared" si="257"/>
        <v>8913.4790000000012</v>
      </c>
      <c r="J345" s="256">
        <f t="shared" si="257"/>
        <v>9899.0613950000006</v>
      </c>
      <c r="K345" s="256">
        <f t="shared" si="257"/>
        <v>10889.571701975001</v>
      </c>
      <c r="L345" s="256">
        <f t="shared" si="257"/>
        <v>11885.034560484877</v>
      </c>
      <c r="M345" s="256">
        <f t="shared" si="257"/>
        <v>12885.474733287301</v>
      </c>
      <c r="N345" s="256">
        <f t="shared" si="257"/>
        <v>13890.917106953737</v>
      </c>
      <c r="O345" s="256">
        <f t="shared" si="257"/>
        <v>14901.386692488506</v>
      </c>
      <c r="P345" s="256">
        <f t="shared" si="257"/>
        <v>15916.908625950948</v>
      </c>
      <c r="Q345" s="256">
        <f t="shared" si="257"/>
        <v>16937.508169080706</v>
      </c>
    </row>
    <row r="346" spans="1:17" x14ac:dyDescent="0.25">
      <c r="C346" s="253"/>
      <c r="D346" s="253"/>
      <c r="E346" s="253"/>
      <c r="F346" s="253"/>
      <c r="G346" s="253"/>
    </row>
    <row r="347" spans="1:17" x14ac:dyDescent="0.25">
      <c r="C347" s="253"/>
      <c r="D347" s="253"/>
      <c r="E347" s="253"/>
      <c r="F347" s="253"/>
      <c r="G347" s="253"/>
    </row>
    <row r="348" spans="1:17" x14ac:dyDescent="0.25">
      <c r="A348" t="s">
        <v>20</v>
      </c>
      <c r="B348" s="243" t="s">
        <v>447</v>
      </c>
      <c r="C348" s="253"/>
      <c r="D348" s="253"/>
      <c r="E348" s="253"/>
      <c r="F348" s="253"/>
      <c r="G348" s="253"/>
    </row>
    <row r="349" spans="1:17" x14ac:dyDescent="0.25">
      <c r="C349" s="253"/>
      <c r="D349" s="253"/>
      <c r="E349" s="253"/>
      <c r="F349" s="253"/>
      <c r="G349" s="253"/>
    </row>
    <row r="350" spans="1:17" x14ac:dyDescent="0.25">
      <c r="B350" s="40" t="s">
        <v>416</v>
      </c>
      <c r="C350" s="249">
        <f>C339+C282+C147</f>
        <v>4314</v>
      </c>
      <c r="D350" s="249">
        <f t="shared" ref="D350:G350" si="258">D339+D282+D147</f>
        <v>6221</v>
      </c>
      <c r="E350" s="249">
        <f t="shared" si="258"/>
        <v>9936</v>
      </c>
      <c r="F350" s="249">
        <f t="shared" si="258"/>
        <v>33047</v>
      </c>
      <c r="G350" s="249">
        <f t="shared" si="258"/>
        <v>34256</v>
      </c>
      <c r="H350" s="257">
        <f t="shared" ref="H350:Q350" si="259">H339+H282+H147</f>
        <v>57526</v>
      </c>
      <c r="I350" s="257">
        <f t="shared" si="259"/>
        <v>61653.600000000006</v>
      </c>
      <c r="J350" s="257">
        <f t="shared" si="259"/>
        <v>65801.838000000003</v>
      </c>
      <c r="K350" s="257">
        <f t="shared" si="259"/>
        <v>69970.817190000002</v>
      </c>
      <c r="L350" s="257">
        <f t="shared" si="259"/>
        <v>74160.641275949994</v>
      </c>
      <c r="M350" s="257">
        <f t="shared" si="259"/>
        <v>78371.414482329739</v>
      </c>
      <c r="N350" s="257">
        <f t="shared" si="259"/>
        <v>82603.241554741398</v>
      </c>
      <c r="O350" s="257">
        <f t="shared" si="259"/>
        <v>86856.227762515089</v>
      </c>
      <c r="P350" s="257">
        <f t="shared" si="259"/>
        <v>91130.478901327675</v>
      </c>
      <c r="Q350" s="257">
        <f t="shared" si="259"/>
        <v>95426.10129583432</v>
      </c>
    </row>
    <row r="351" spans="1:17" x14ac:dyDescent="0.25">
      <c r="B351" s="9" t="s">
        <v>100</v>
      </c>
      <c r="C351" s="251">
        <f>C341+C285+C148</f>
        <v>3108</v>
      </c>
      <c r="D351" s="251">
        <f t="shared" ref="D351:G351" si="260">D341+D285+D148</f>
        <v>0</v>
      </c>
      <c r="E351" s="251">
        <f t="shared" si="260"/>
        <v>8592</v>
      </c>
      <c r="F351" s="251">
        <f t="shared" si="260"/>
        <v>0</v>
      </c>
      <c r="G351" s="251">
        <f t="shared" si="260"/>
        <v>21363</v>
      </c>
      <c r="H351" s="252">
        <f t="shared" ref="H351:Q351" si="261">H341+H285+H148</f>
        <v>0</v>
      </c>
      <c r="I351" s="252">
        <f t="shared" si="261"/>
        <v>0</v>
      </c>
      <c r="J351" s="252">
        <f t="shared" si="261"/>
        <v>0</v>
      </c>
      <c r="K351" s="252">
        <f t="shared" si="261"/>
        <v>0</v>
      </c>
      <c r="L351" s="252">
        <f t="shared" si="261"/>
        <v>0</v>
      </c>
      <c r="M351" s="252">
        <f t="shared" si="261"/>
        <v>0</v>
      </c>
      <c r="N351" s="252">
        <f t="shared" si="261"/>
        <v>0</v>
      </c>
      <c r="O351" s="252">
        <f t="shared" si="261"/>
        <v>0</v>
      </c>
      <c r="P351" s="252">
        <f t="shared" si="261"/>
        <v>0</v>
      </c>
      <c r="Q351" s="252">
        <f t="shared" si="261"/>
        <v>0</v>
      </c>
    </row>
    <row r="352" spans="1:17" x14ac:dyDescent="0.25">
      <c r="B352" t="s">
        <v>415</v>
      </c>
      <c r="C352" s="253">
        <f>C340+C283+C149</f>
        <v>1158</v>
      </c>
      <c r="D352" s="253">
        <f t="shared" ref="D352:G352" si="262">D340+D283+D149</f>
        <v>5865</v>
      </c>
      <c r="E352" s="253">
        <f t="shared" si="262"/>
        <v>18221</v>
      </c>
      <c r="F352" s="253">
        <f t="shared" si="262"/>
        <v>3095</v>
      </c>
      <c r="G352" s="253">
        <f t="shared" si="262"/>
        <v>4840</v>
      </c>
      <c r="H352" s="254">
        <f t="shared" ref="H352:Q352" si="263">H340+H283+H149</f>
        <v>6636</v>
      </c>
      <c r="I352" s="254">
        <f t="shared" si="263"/>
        <v>6669.1799999999985</v>
      </c>
      <c r="J352" s="254">
        <f t="shared" si="263"/>
        <v>6702.5258999999987</v>
      </c>
      <c r="K352" s="254">
        <f t="shared" si="263"/>
        <v>6736.0385294999978</v>
      </c>
      <c r="L352" s="254">
        <f t="shared" si="263"/>
        <v>6769.7187221474969</v>
      </c>
      <c r="M352" s="254">
        <f t="shared" si="263"/>
        <v>6803.5673157582341</v>
      </c>
      <c r="N352" s="254">
        <f t="shared" si="263"/>
        <v>6837.5851523370238</v>
      </c>
      <c r="O352" s="254">
        <f t="shared" si="263"/>
        <v>6871.7730780987085</v>
      </c>
      <c r="P352" s="254">
        <f t="shared" si="263"/>
        <v>6906.1319434892011</v>
      </c>
      <c r="Q352" s="254">
        <f t="shared" si="263"/>
        <v>6940.662603206647</v>
      </c>
    </row>
    <row r="353" spans="1:17" x14ac:dyDescent="0.25">
      <c r="B353" t="s">
        <v>438</v>
      </c>
      <c r="C353" s="253">
        <f>C150</f>
        <v>0</v>
      </c>
      <c r="D353" s="253">
        <f t="shared" ref="D353:G353" si="264">D150</f>
        <v>14</v>
      </c>
      <c r="E353" s="253">
        <f t="shared" si="264"/>
        <v>0</v>
      </c>
      <c r="F353" s="253">
        <f t="shared" si="264"/>
        <v>705</v>
      </c>
      <c r="G353" s="253">
        <f t="shared" si="264"/>
        <v>237</v>
      </c>
      <c r="H353" s="254">
        <f t="shared" ref="H353:Q353" si="265">H150</f>
        <v>0</v>
      </c>
      <c r="I353" s="254">
        <f t="shared" si="265"/>
        <v>0</v>
      </c>
      <c r="J353" s="254">
        <f t="shared" si="265"/>
        <v>0</v>
      </c>
      <c r="K353" s="254">
        <f t="shared" si="265"/>
        <v>0</v>
      </c>
      <c r="L353" s="254">
        <f t="shared" si="265"/>
        <v>0</v>
      </c>
      <c r="M353" s="254">
        <f t="shared" si="265"/>
        <v>0</v>
      </c>
      <c r="N353" s="254">
        <f t="shared" si="265"/>
        <v>0</v>
      </c>
      <c r="O353" s="254">
        <f t="shared" si="265"/>
        <v>0</v>
      </c>
      <c r="P353" s="254">
        <f t="shared" si="265"/>
        <v>0</v>
      </c>
      <c r="Q353" s="254">
        <f t="shared" si="265"/>
        <v>0</v>
      </c>
    </row>
    <row r="354" spans="1:17" x14ac:dyDescent="0.25">
      <c r="B354" t="s">
        <v>417</v>
      </c>
      <c r="C354" s="253">
        <f>C342+C284+C151</f>
        <v>-13</v>
      </c>
      <c r="D354" s="253">
        <f t="shared" ref="D354:G354" si="266">D342+D284+D151</f>
        <v>-28</v>
      </c>
      <c r="E354" s="253">
        <f t="shared" si="266"/>
        <v>-1444</v>
      </c>
      <c r="F354" s="253">
        <f t="shared" si="266"/>
        <v>-20</v>
      </c>
      <c r="G354" s="253">
        <f t="shared" si="266"/>
        <v>-252</v>
      </c>
      <c r="H354" s="254">
        <f t="shared" ref="H354:Q354" si="267">H342+H284+H151</f>
        <v>0</v>
      </c>
      <c r="I354" s="254">
        <f t="shared" si="267"/>
        <v>0</v>
      </c>
      <c r="J354" s="254">
        <f t="shared" si="267"/>
        <v>0</v>
      </c>
      <c r="K354" s="254">
        <f t="shared" si="267"/>
        <v>0</v>
      </c>
      <c r="L354" s="254">
        <f t="shared" si="267"/>
        <v>0</v>
      </c>
      <c r="M354" s="254">
        <f t="shared" si="267"/>
        <v>0</v>
      </c>
      <c r="N354" s="254">
        <f t="shared" si="267"/>
        <v>0</v>
      </c>
      <c r="O354" s="254">
        <f t="shared" si="267"/>
        <v>0</v>
      </c>
      <c r="P354" s="254">
        <f t="shared" si="267"/>
        <v>0</v>
      </c>
      <c r="Q354" s="254">
        <f t="shared" si="267"/>
        <v>0</v>
      </c>
    </row>
    <row r="355" spans="1:17" x14ac:dyDescent="0.25">
      <c r="B355" t="s">
        <v>418</v>
      </c>
      <c r="C355" s="253">
        <f>C287+C152</f>
        <v>-438</v>
      </c>
      <c r="D355" s="253">
        <f t="shared" ref="D355:G355" si="268">D287+D152</f>
        <v>0</v>
      </c>
      <c r="E355" s="253">
        <f t="shared" si="268"/>
        <v>0</v>
      </c>
      <c r="F355" s="253">
        <f t="shared" si="268"/>
        <v>0</v>
      </c>
      <c r="G355" s="253">
        <f t="shared" si="268"/>
        <v>0</v>
      </c>
      <c r="H355" s="254">
        <f t="shared" ref="H355:Q355" si="269">H287+H152</f>
        <v>0</v>
      </c>
      <c r="I355" s="254">
        <f t="shared" si="269"/>
        <v>0</v>
      </c>
      <c r="J355" s="254">
        <f t="shared" si="269"/>
        <v>0</v>
      </c>
      <c r="K355" s="254">
        <f t="shared" si="269"/>
        <v>0</v>
      </c>
      <c r="L355" s="254">
        <f t="shared" si="269"/>
        <v>0</v>
      </c>
      <c r="M355" s="254">
        <f t="shared" si="269"/>
        <v>0</v>
      </c>
      <c r="N355" s="254">
        <f t="shared" si="269"/>
        <v>0</v>
      </c>
      <c r="O355" s="254">
        <f t="shared" si="269"/>
        <v>0</v>
      </c>
      <c r="P355" s="254">
        <f t="shared" si="269"/>
        <v>0</v>
      </c>
      <c r="Q355" s="254">
        <f t="shared" si="269"/>
        <v>0</v>
      </c>
    </row>
    <row r="356" spans="1:17" x14ac:dyDescent="0.25">
      <c r="B356" t="s">
        <v>427</v>
      </c>
      <c r="C356" s="253">
        <f>C286</f>
        <v>17</v>
      </c>
      <c r="D356" s="253">
        <f t="shared" ref="D356:G356" si="270">D286</f>
        <v>0</v>
      </c>
      <c r="E356" s="253">
        <f t="shared" si="270"/>
        <v>0</v>
      </c>
      <c r="F356" s="253">
        <f t="shared" si="270"/>
        <v>36</v>
      </c>
      <c r="G356" s="253">
        <f t="shared" si="270"/>
        <v>27</v>
      </c>
      <c r="H356" s="254">
        <f t="shared" ref="H356:Q356" si="271">H286</f>
        <v>0</v>
      </c>
      <c r="I356" s="254">
        <f t="shared" si="271"/>
        <v>0</v>
      </c>
      <c r="J356" s="254">
        <f t="shared" si="271"/>
        <v>0</v>
      </c>
      <c r="K356" s="254">
        <f t="shared" si="271"/>
        <v>0</v>
      </c>
      <c r="L356" s="254">
        <f t="shared" si="271"/>
        <v>0</v>
      </c>
      <c r="M356" s="254">
        <f t="shared" si="271"/>
        <v>0</v>
      </c>
      <c r="N356" s="254">
        <f t="shared" si="271"/>
        <v>0</v>
      </c>
      <c r="O356" s="254">
        <f t="shared" si="271"/>
        <v>0</v>
      </c>
      <c r="P356" s="254">
        <f t="shared" si="271"/>
        <v>0</v>
      </c>
      <c r="Q356" s="254">
        <f t="shared" si="271"/>
        <v>0</v>
      </c>
    </row>
    <row r="357" spans="1:17" x14ac:dyDescent="0.25">
      <c r="B357" t="s">
        <v>428</v>
      </c>
      <c r="C357" s="253">
        <f>C344+C288+C153</f>
        <v>6</v>
      </c>
      <c r="D357" s="253">
        <f t="shared" ref="D357:G357" si="272">D344+D288+D153</f>
        <v>111</v>
      </c>
      <c r="E357" s="253">
        <f t="shared" si="272"/>
        <v>268</v>
      </c>
      <c r="F357" s="253">
        <f t="shared" si="272"/>
        <v>52</v>
      </c>
      <c r="G357" s="253">
        <f t="shared" si="272"/>
        <v>232</v>
      </c>
      <c r="H357" s="254">
        <f t="shared" ref="H357:Q357" si="273">H344+H288+H153</f>
        <v>0</v>
      </c>
      <c r="I357" s="254">
        <f t="shared" si="273"/>
        <v>0</v>
      </c>
      <c r="J357" s="254">
        <f t="shared" si="273"/>
        <v>0</v>
      </c>
      <c r="K357" s="254">
        <f t="shared" si="273"/>
        <v>0</v>
      </c>
      <c r="L357" s="254">
        <f t="shared" si="273"/>
        <v>0</v>
      </c>
      <c r="M357" s="254">
        <f t="shared" si="273"/>
        <v>0</v>
      </c>
      <c r="N357" s="254">
        <f t="shared" si="273"/>
        <v>0</v>
      </c>
      <c r="O357" s="254">
        <f t="shared" si="273"/>
        <v>0</v>
      </c>
      <c r="P357" s="254">
        <f t="shared" si="273"/>
        <v>0</v>
      </c>
      <c r="Q357" s="254">
        <f t="shared" si="273"/>
        <v>0</v>
      </c>
    </row>
    <row r="358" spans="1:17" x14ac:dyDescent="0.25">
      <c r="B358" s="8" t="s">
        <v>419</v>
      </c>
      <c r="C358" s="255">
        <f>SUM(C350:C357)</f>
        <v>8152</v>
      </c>
      <c r="D358" s="255">
        <f t="shared" ref="D358:G358" si="274">SUM(D350:D357)</f>
        <v>12183</v>
      </c>
      <c r="E358" s="255">
        <f t="shared" si="274"/>
        <v>35573</v>
      </c>
      <c r="F358" s="255">
        <f t="shared" si="274"/>
        <v>36915</v>
      </c>
      <c r="G358" s="255">
        <f t="shared" si="274"/>
        <v>60703</v>
      </c>
      <c r="H358" s="256">
        <f t="shared" ref="H358" si="275">SUM(H350:H357)</f>
        <v>64162</v>
      </c>
      <c r="I358" s="256">
        <f t="shared" ref="I358" si="276">SUM(I350:I357)</f>
        <v>68322.78</v>
      </c>
      <c r="J358" s="256">
        <f t="shared" ref="J358" si="277">SUM(J350:J357)</f>
        <v>72504.363899999997</v>
      </c>
      <c r="K358" s="256">
        <f t="shared" ref="K358" si="278">SUM(K350:K357)</f>
        <v>76706.855719500003</v>
      </c>
      <c r="L358" s="256">
        <f t="shared" ref="L358" si="279">SUM(L350:L357)</f>
        <v>80930.359998097498</v>
      </c>
      <c r="M358" s="256">
        <f t="shared" ref="M358" si="280">SUM(M350:M357)</f>
        <v>85174.981798087974</v>
      </c>
      <c r="N358" s="256">
        <f t="shared" ref="N358" si="281">SUM(N350:N357)</f>
        <v>89440.82670707842</v>
      </c>
      <c r="O358" s="256">
        <f t="shared" ref="O358" si="282">SUM(O350:O357)</f>
        <v>93728.000840613793</v>
      </c>
      <c r="P358" s="256">
        <f t="shared" ref="P358" si="283">SUM(P350:P357)</f>
        <v>98036.610844816882</v>
      </c>
      <c r="Q358" s="256">
        <f t="shared" ref="Q358" si="284">SUM(Q350:Q357)</f>
        <v>102366.76389904096</v>
      </c>
    </row>
    <row r="359" spans="1:17" x14ac:dyDescent="0.25">
      <c r="B359" s="2" t="s">
        <v>420</v>
      </c>
      <c r="C359" s="253">
        <f>C290+C155</f>
        <v>1143</v>
      </c>
      <c r="D359" s="253">
        <f t="shared" ref="D359:G359" si="285">D290+D155</f>
        <v>1036</v>
      </c>
      <c r="E359" s="253">
        <f t="shared" si="285"/>
        <v>2072</v>
      </c>
      <c r="F359" s="253">
        <f t="shared" si="285"/>
        <v>3801</v>
      </c>
      <c r="G359" s="253">
        <f t="shared" si="285"/>
        <v>6994</v>
      </c>
      <c r="H359" s="254">
        <f t="shared" ref="H359:Q359" si="286">H290+H155</f>
        <v>12657</v>
      </c>
      <c r="I359" s="254">
        <f t="shared" si="286"/>
        <v>14996</v>
      </c>
      <c r="J359" s="254">
        <f t="shared" si="286"/>
        <v>17383.564999999999</v>
      </c>
      <c r="K359" s="254">
        <f t="shared" si="286"/>
        <v>19746.197824999996</v>
      </c>
      <c r="L359" s="254">
        <f t="shared" si="286"/>
        <v>22157.513814124999</v>
      </c>
      <c r="M359" s="254">
        <f t="shared" si="286"/>
        <v>24544.01638319562</v>
      </c>
      <c r="N359" s="254">
        <f t="shared" si="286"/>
        <v>26979.3214651116</v>
      </c>
      <c r="O359" s="254">
        <f t="shared" si="286"/>
        <v>29389.933072437154</v>
      </c>
      <c r="P359" s="254">
        <f t="shared" si="286"/>
        <v>31849.467737799328</v>
      </c>
      <c r="Q359" s="254">
        <f t="shared" si="286"/>
        <v>34284.43007648833</v>
      </c>
    </row>
    <row r="360" spans="1:17" x14ac:dyDescent="0.25">
      <c r="B360" s="2" t="s">
        <v>421</v>
      </c>
      <c r="C360" s="253">
        <f>C291+C156-C343</f>
        <v>2274</v>
      </c>
      <c r="D360" s="253">
        <f t="shared" ref="D360:G360" si="287">D291+D156-D343</f>
        <v>3288</v>
      </c>
      <c r="E360" s="253">
        <f t="shared" si="287"/>
        <v>4191</v>
      </c>
      <c r="F360" s="253">
        <f t="shared" si="287"/>
        <v>5829</v>
      </c>
      <c r="G360" s="253">
        <f t="shared" si="287"/>
        <v>8870</v>
      </c>
      <c r="H360" s="254">
        <f t="shared" ref="H360:Q360" si="288">H291+H156-H343</f>
        <v>4870.2</v>
      </c>
      <c r="I360" s="254">
        <f t="shared" si="288"/>
        <v>4894.5509999999995</v>
      </c>
      <c r="J360" s="254">
        <f t="shared" si="288"/>
        <v>4919.0237549999983</v>
      </c>
      <c r="K360" s="254">
        <f t="shared" si="288"/>
        <v>4943.6188737749981</v>
      </c>
      <c r="L360" s="254">
        <f t="shared" si="288"/>
        <v>4968.3369681438726</v>
      </c>
      <c r="M360" s="254">
        <f t="shared" si="288"/>
        <v>4993.1786529845922</v>
      </c>
      <c r="N360" s="254">
        <f t="shared" si="288"/>
        <v>5018.144546249514</v>
      </c>
      <c r="O360" s="254">
        <f t="shared" si="288"/>
        <v>5043.2352689807612</v>
      </c>
      <c r="P360" s="254">
        <f t="shared" si="288"/>
        <v>5068.4514453256634</v>
      </c>
      <c r="Q360" s="254">
        <f t="shared" si="288"/>
        <v>5093.7937025522924</v>
      </c>
    </row>
    <row r="361" spans="1:17" x14ac:dyDescent="0.25">
      <c r="B361" s="2" t="s">
        <v>417</v>
      </c>
      <c r="C361" s="253">
        <f>C292+C157</f>
        <v>-13</v>
      </c>
      <c r="D361" s="253">
        <f t="shared" ref="D361:G361" si="289">D292+D157</f>
        <v>-27</v>
      </c>
      <c r="E361" s="253">
        <f t="shared" si="289"/>
        <v>-47</v>
      </c>
      <c r="F361" s="253">
        <f t="shared" si="289"/>
        <v>-16</v>
      </c>
      <c r="G361" s="253">
        <f t="shared" si="289"/>
        <v>-137</v>
      </c>
      <c r="H361" s="254">
        <f t="shared" ref="H361:Q361" si="290">H292+H157</f>
        <v>0</v>
      </c>
      <c r="I361" s="254">
        <f t="shared" si="290"/>
        <v>0</v>
      </c>
      <c r="J361" s="254">
        <f t="shared" si="290"/>
        <v>0</v>
      </c>
      <c r="K361" s="254">
        <f t="shared" si="290"/>
        <v>0</v>
      </c>
      <c r="L361" s="254">
        <f t="shared" si="290"/>
        <v>0</v>
      </c>
      <c r="M361" s="254">
        <f t="shared" si="290"/>
        <v>0</v>
      </c>
      <c r="N361" s="254">
        <f t="shared" si="290"/>
        <v>0</v>
      </c>
      <c r="O361" s="254">
        <f t="shared" si="290"/>
        <v>0</v>
      </c>
      <c r="P361" s="254">
        <f t="shared" si="290"/>
        <v>0</v>
      </c>
      <c r="Q361" s="254">
        <f t="shared" si="290"/>
        <v>0</v>
      </c>
    </row>
    <row r="362" spans="1:17" x14ac:dyDescent="0.25">
      <c r="B362" t="s">
        <v>428</v>
      </c>
      <c r="C362" s="253">
        <f>C294+C158</f>
        <v>1</v>
      </c>
      <c r="D362" s="253">
        <f t="shared" ref="D362:G362" si="291">D294+D158</f>
        <v>22</v>
      </c>
      <c r="E362" s="253">
        <f t="shared" si="291"/>
        <v>111</v>
      </c>
      <c r="F362" s="253">
        <f t="shared" si="291"/>
        <v>39</v>
      </c>
      <c r="G362" s="253">
        <f t="shared" si="291"/>
        <v>92</v>
      </c>
      <c r="H362" s="254">
        <f t="shared" ref="H362:Q362" si="292">H294+H158</f>
        <v>0</v>
      </c>
      <c r="I362" s="254">
        <f t="shared" si="292"/>
        <v>0</v>
      </c>
      <c r="J362" s="254">
        <f t="shared" si="292"/>
        <v>0</v>
      </c>
      <c r="K362" s="254">
        <f t="shared" si="292"/>
        <v>0</v>
      </c>
      <c r="L362" s="254">
        <f t="shared" si="292"/>
        <v>0</v>
      </c>
      <c r="M362" s="254">
        <f t="shared" si="292"/>
        <v>0</v>
      </c>
      <c r="N362" s="254">
        <f t="shared" si="292"/>
        <v>0</v>
      </c>
      <c r="O362" s="254">
        <f t="shared" si="292"/>
        <v>0</v>
      </c>
      <c r="P362" s="254">
        <f t="shared" si="292"/>
        <v>0</v>
      </c>
      <c r="Q362" s="254">
        <f t="shared" si="292"/>
        <v>0</v>
      </c>
    </row>
    <row r="363" spans="1:17" x14ac:dyDescent="0.25">
      <c r="B363" t="s">
        <v>418</v>
      </c>
      <c r="C363" s="253">
        <f>C293+C159</f>
        <v>-438</v>
      </c>
      <c r="D363" s="253">
        <f t="shared" ref="D363:G363" si="293">D293+D159</f>
        <v>0</v>
      </c>
      <c r="E363" s="253">
        <f t="shared" si="293"/>
        <v>0</v>
      </c>
      <c r="F363" s="253">
        <f t="shared" si="293"/>
        <v>0</v>
      </c>
      <c r="G363" s="253">
        <f t="shared" si="293"/>
        <v>0</v>
      </c>
      <c r="H363" s="254">
        <f t="shared" ref="H363:Q363" si="294">H293+H159</f>
        <v>0</v>
      </c>
      <c r="I363" s="254">
        <f t="shared" si="294"/>
        <v>0</v>
      </c>
      <c r="J363" s="254">
        <f t="shared" si="294"/>
        <v>0</v>
      </c>
      <c r="K363" s="254">
        <f t="shared" si="294"/>
        <v>0</v>
      </c>
      <c r="L363" s="254">
        <f t="shared" si="294"/>
        <v>0</v>
      </c>
      <c r="M363" s="254">
        <f t="shared" si="294"/>
        <v>0</v>
      </c>
      <c r="N363" s="254">
        <f t="shared" si="294"/>
        <v>0</v>
      </c>
      <c r="O363" s="254">
        <f t="shared" si="294"/>
        <v>0</v>
      </c>
      <c r="P363" s="254">
        <f t="shared" si="294"/>
        <v>0</v>
      </c>
      <c r="Q363" s="254">
        <f t="shared" si="294"/>
        <v>0</v>
      </c>
    </row>
    <row r="364" spans="1:17" x14ac:dyDescent="0.25">
      <c r="B364" s="8" t="s">
        <v>199</v>
      </c>
      <c r="C364" s="255">
        <f>SUM(C359:C363)</f>
        <v>2967</v>
      </c>
      <c r="D364" s="255">
        <f t="shared" ref="D364:G364" si="295">SUM(D359:D363)</f>
        <v>4319</v>
      </c>
      <c r="E364" s="255">
        <f t="shared" si="295"/>
        <v>6327</v>
      </c>
      <c r="F364" s="255">
        <f t="shared" si="295"/>
        <v>9653</v>
      </c>
      <c r="G364" s="255">
        <f t="shared" si="295"/>
        <v>15819</v>
      </c>
      <c r="H364" s="256">
        <f t="shared" ref="H364" si="296">SUM(H359:H363)</f>
        <v>17527.2</v>
      </c>
      <c r="I364" s="256">
        <f t="shared" ref="I364" si="297">SUM(I359:I363)</f>
        <v>19890.550999999999</v>
      </c>
      <c r="J364" s="256">
        <f t="shared" ref="J364" si="298">SUM(J359:J363)</f>
        <v>22302.588754999997</v>
      </c>
      <c r="K364" s="256">
        <f t="shared" ref="K364" si="299">SUM(K359:K363)</f>
        <v>24689.816698774994</v>
      </c>
      <c r="L364" s="256">
        <f t="shared" ref="L364" si="300">SUM(L359:L363)</f>
        <v>27125.85078226887</v>
      </c>
      <c r="M364" s="256">
        <f t="shared" ref="M364" si="301">SUM(M359:M363)</f>
        <v>29537.195036180212</v>
      </c>
      <c r="N364" s="256">
        <f t="shared" ref="N364" si="302">SUM(N359:N363)</f>
        <v>31997.466011361113</v>
      </c>
      <c r="O364" s="256">
        <f t="shared" ref="O364" si="303">SUM(O359:O363)</f>
        <v>34433.168341417913</v>
      </c>
      <c r="P364" s="256">
        <f t="shared" ref="P364" si="304">SUM(P359:P363)</f>
        <v>36917.919183124992</v>
      </c>
      <c r="Q364" s="256">
        <f t="shared" ref="Q364" si="305">SUM(Q359:Q363)</f>
        <v>39378.223779040622</v>
      </c>
    </row>
    <row r="365" spans="1:17" x14ac:dyDescent="0.25">
      <c r="C365" s="253"/>
      <c r="D365" s="253"/>
      <c r="E365" s="253"/>
      <c r="F365" s="253"/>
      <c r="G365" s="253"/>
    </row>
    <row r="366" spans="1:17" x14ac:dyDescent="0.25">
      <c r="B366" s="8" t="s">
        <v>422</v>
      </c>
      <c r="C366" s="255">
        <f t="shared" ref="C366:F366" si="306">C345+C297+C162</f>
        <v>5185</v>
      </c>
      <c r="D366" s="255">
        <f t="shared" si="306"/>
        <v>7864</v>
      </c>
      <c r="E366" s="255">
        <f t="shared" si="306"/>
        <v>29246</v>
      </c>
      <c r="F366" s="255">
        <f t="shared" si="306"/>
        <v>27262</v>
      </c>
      <c r="G366" s="255">
        <f>G345+G297+G162</f>
        <v>44885</v>
      </c>
      <c r="H366" s="256">
        <f t="shared" ref="H366:Q366" si="307">H358-H364</f>
        <v>46634.8</v>
      </c>
      <c r="I366" s="256">
        <f t="shared" si="307"/>
        <v>48432.228999999999</v>
      </c>
      <c r="J366" s="256">
        <f t="shared" si="307"/>
        <v>50201.775145</v>
      </c>
      <c r="K366" s="256">
        <f t="shared" si="307"/>
        <v>52017.039020725009</v>
      </c>
      <c r="L366" s="256">
        <f t="shared" si="307"/>
        <v>53804.509215828628</v>
      </c>
      <c r="M366" s="256">
        <f t="shared" si="307"/>
        <v>55637.786761907759</v>
      </c>
      <c r="N366" s="256">
        <f t="shared" si="307"/>
        <v>57443.360695717303</v>
      </c>
      <c r="O366" s="256">
        <f t="shared" si="307"/>
        <v>59294.83249919588</v>
      </c>
      <c r="P366" s="256">
        <f t="shared" si="307"/>
        <v>61118.69166169189</v>
      </c>
      <c r="Q366" s="256">
        <f t="shared" si="307"/>
        <v>62988.54012000034</v>
      </c>
    </row>
    <row r="367" spans="1:17" x14ac:dyDescent="0.25">
      <c r="C367" s="253"/>
      <c r="D367" s="253"/>
      <c r="E367" s="253"/>
      <c r="F367" s="253"/>
      <c r="G367" s="253"/>
    </row>
    <row r="368" spans="1:17" x14ac:dyDescent="0.25">
      <c r="A368" t="s">
        <v>20</v>
      </c>
      <c r="B368" s="96" t="s">
        <v>448</v>
      </c>
      <c r="C368" s="253">
        <f>C366</f>
        <v>5185</v>
      </c>
      <c r="D368" s="253">
        <f t="shared" ref="D368:Q368" si="308">D366</f>
        <v>7864</v>
      </c>
      <c r="E368" s="253">
        <f t="shared" si="308"/>
        <v>29246</v>
      </c>
      <c r="F368" s="253">
        <f t="shared" si="308"/>
        <v>27262</v>
      </c>
      <c r="G368" s="253">
        <f t="shared" si="308"/>
        <v>44885</v>
      </c>
      <c r="H368" s="254">
        <f t="shared" si="308"/>
        <v>46634.8</v>
      </c>
      <c r="I368" s="254">
        <f t="shared" si="308"/>
        <v>48432.228999999999</v>
      </c>
      <c r="J368" s="254">
        <f t="shared" si="308"/>
        <v>50201.775145</v>
      </c>
      <c r="K368" s="254">
        <f t="shared" si="308"/>
        <v>52017.039020725009</v>
      </c>
      <c r="L368" s="254">
        <f t="shared" si="308"/>
        <v>53804.509215828628</v>
      </c>
      <c r="M368" s="254">
        <f t="shared" si="308"/>
        <v>55637.786761907759</v>
      </c>
      <c r="N368" s="254">
        <f t="shared" si="308"/>
        <v>57443.360695717303</v>
      </c>
      <c r="O368" s="254">
        <f t="shared" si="308"/>
        <v>59294.83249919588</v>
      </c>
      <c r="P368" s="254">
        <f t="shared" si="308"/>
        <v>61118.69166169189</v>
      </c>
      <c r="Q368" s="254">
        <f t="shared" si="308"/>
        <v>62988.54012000034</v>
      </c>
    </row>
    <row r="369" spans="2:17" x14ac:dyDescent="0.25">
      <c r="B369" s="245" t="s">
        <v>449</v>
      </c>
      <c r="C369" s="269">
        <f>C360</f>
        <v>2274</v>
      </c>
      <c r="D369" s="269">
        <f t="shared" ref="D369:Q369" si="309">D360</f>
        <v>3288</v>
      </c>
      <c r="E369" s="269">
        <f t="shared" si="309"/>
        <v>4191</v>
      </c>
      <c r="F369" s="269">
        <f t="shared" si="309"/>
        <v>5829</v>
      </c>
      <c r="G369" s="269">
        <f t="shared" si="309"/>
        <v>8870</v>
      </c>
      <c r="H369" s="262">
        <f t="shared" si="309"/>
        <v>4870.2</v>
      </c>
      <c r="I369" s="262">
        <f t="shared" si="309"/>
        <v>4894.5509999999995</v>
      </c>
      <c r="J369" s="262">
        <f t="shared" si="309"/>
        <v>4919.0237549999983</v>
      </c>
      <c r="K369" s="262">
        <f t="shared" si="309"/>
        <v>4943.6188737749981</v>
      </c>
      <c r="L369" s="262">
        <f t="shared" si="309"/>
        <v>4968.3369681438726</v>
      </c>
      <c r="M369" s="262">
        <f t="shared" si="309"/>
        <v>4993.1786529845922</v>
      </c>
      <c r="N369" s="262">
        <f t="shared" si="309"/>
        <v>5018.144546249514</v>
      </c>
      <c r="O369" s="262">
        <f t="shared" si="309"/>
        <v>5043.2352689807612</v>
      </c>
      <c r="P369" s="262">
        <f t="shared" si="309"/>
        <v>5068.4514453256634</v>
      </c>
      <c r="Q369" s="262">
        <f t="shared" si="309"/>
        <v>5093.7937025522924</v>
      </c>
    </row>
    <row r="370" spans="2:17" ht="15.75" thickBot="1" x14ac:dyDescent="0.3">
      <c r="B370" s="246" t="s">
        <v>450</v>
      </c>
      <c r="C370" s="270"/>
      <c r="D370" s="270">
        <f>D369+D368-C368</f>
        <v>5967</v>
      </c>
      <c r="E370" s="270">
        <f t="shared" ref="E370:G370" si="310">E369+E368-D368</f>
        <v>25573</v>
      </c>
      <c r="F370" s="270">
        <f t="shared" si="310"/>
        <v>3845</v>
      </c>
      <c r="G370" s="270">
        <f t="shared" si="310"/>
        <v>26493</v>
      </c>
      <c r="H370" s="263">
        <f t="shared" ref="H370" si="311">H369+H368-G368</f>
        <v>6620</v>
      </c>
      <c r="I370" s="263">
        <f t="shared" ref="I370" si="312">I369+I368-H368</f>
        <v>6691.9799999999959</v>
      </c>
      <c r="J370" s="263">
        <f t="shared" ref="J370" si="313">J369+J368-I368</f>
        <v>6688.569899999995</v>
      </c>
      <c r="K370" s="263">
        <f t="shared" ref="K370" si="314">K369+K368-J368</f>
        <v>6758.8827495000078</v>
      </c>
      <c r="L370" s="263">
        <f t="shared" ref="L370" si="315">L369+L368-K368</f>
        <v>6755.8071632474894</v>
      </c>
      <c r="M370" s="263">
        <f t="shared" ref="M370" si="316">M369+M368-L368</f>
        <v>6826.456199063723</v>
      </c>
      <c r="N370" s="263">
        <f t="shared" ref="N370" si="317">N369+N368-M368</f>
        <v>6823.7184800590621</v>
      </c>
      <c r="O370" s="263">
        <f t="shared" ref="O370" si="318">O369+O368-N368</f>
        <v>6894.7070724593359</v>
      </c>
      <c r="P370" s="263">
        <f t="shared" ref="P370" si="319">P369+P368-O368</f>
        <v>6892.3106078216806</v>
      </c>
      <c r="Q370" s="263">
        <f t="shared" ref="Q370" si="320">Q369+Q368-P368</f>
        <v>6963.6421608607488</v>
      </c>
    </row>
    <row r="371" spans="2:17" ht="15.75" thickTop="1" x14ac:dyDescent="0.25">
      <c r="C371" s="253"/>
      <c r="D371" s="253"/>
      <c r="E371" s="253"/>
      <c r="F371" s="253"/>
      <c r="G371" s="253"/>
    </row>
    <row r="372" spans="2:17" ht="15.75" thickBot="1" x14ac:dyDescent="0.3">
      <c r="B372" s="247" t="s">
        <v>24</v>
      </c>
      <c r="C372" s="270">
        <f>'Historical Balance Sheet'!C12</f>
        <v>14</v>
      </c>
      <c r="D372" s="270">
        <f>'Historical Balance Sheet'!D12</f>
        <v>0</v>
      </c>
      <c r="E372" s="270">
        <f>'Historical Balance Sheet'!E12</f>
        <v>185</v>
      </c>
      <c r="F372" s="270">
        <f>'Historical Balance Sheet'!F12</f>
        <v>9</v>
      </c>
      <c r="G372" s="270">
        <f>'Historical Balance Sheet'!G12</f>
        <v>0</v>
      </c>
      <c r="H372" s="263">
        <f>G372</f>
        <v>0</v>
      </c>
      <c r="I372" s="263">
        <f t="shared" ref="I372:Q372" si="321">H372</f>
        <v>0</v>
      </c>
      <c r="J372" s="263">
        <f t="shared" si="321"/>
        <v>0</v>
      </c>
      <c r="K372" s="263">
        <f t="shared" si="321"/>
        <v>0</v>
      </c>
      <c r="L372" s="263">
        <f t="shared" si="321"/>
        <v>0</v>
      </c>
      <c r="M372" s="263">
        <f t="shared" si="321"/>
        <v>0</v>
      </c>
      <c r="N372" s="263">
        <f t="shared" si="321"/>
        <v>0</v>
      </c>
      <c r="O372" s="263">
        <f t="shared" si="321"/>
        <v>0</v>
      </c>
      <c r="P372" s="263">
        <f t="shared" si="321"/>
        <v>0</v>
      </c>
      <c r="Q372" s="263">
        <f t="shared" si="321"/>
        <v>0</v>
      </c>
    </row>
    <row r="373" spans="2:17" ht="15.75" thickTop="1" x14ac:dyDescent="0.25">
      <c r="B373" s="40"/>
      <c r="C373" s="266"/>
      <c r="D373" s="266"/>
      <c r="E373" s="266"/>
      <c r="F373" s="266"/>
      <c r="G373" s="266"/>
      <c r="H373" s="259"/>
      <c r="I373" s="259"/>
      <c r="J373" s="259"/>
      <c r="K373" s="259"/>
      <c r="L373" s="259"/>
      <c r="M373" s="259"/>
      <c r="N373" s="259"/>
      <c r="O373" s="259"/>
      <c r="P373" s="259"/>
      <c r="Q373" s="259"/>
    </row>
    <row r="374" spans="2:17" x14ac:dyDescent="0.25">
      <c r="B374" t="s">
        <v>27</v>
      </c>
      <c r="C374" s="266">
        <f>'Historical Balance Sheet'!C15</f>
        <v>0</v>
      </c>
      <c r="D374" s="266">
        <f>'Historical Balance Sheet'!D15</f>
        <v>35</v>
      </c>
      <c r="E374" s="266">
        <f>'Historical Balance Sheet'!E15</f>
        <v>81</v>
      </c>
      <c r="F374" s="266">
        <f>'Historical Balance Sheet'!F15</f>
        <v>22</v>
      </c>
      <c r="G374" s="266">
        <f>'Historical Balance Sheet'!G15</f>
        <v>18</v>
      </c>
      <c r="H374" s="259">
        <v>0</v>
      </c>
      <c r="I374" s="259">
        <v>0</v>
      </c>
      <c r="J374" s="259">
        <v>0</v>
      </c>
      <c r="K374" s="259">
        <v>0</v>
      </c>
      <c r="L374" s="259">
        <v>0</v>
      </c>
      <c r="M374" s="259">
        <v>0</v>
      </c>
      <c r="N374" s="259">
        <v>0</v>
      </c>
      <c r="O374" s="259">
        <v>0</v>
      </c>
      <c r="P374" s="259">
        <v>0</v>
      </c>
      <c r="Q374" s="259">
        <v>0</v>
      </c>
    </row>
    <row r="375" spans="2:17" x14ac:dyDescent="0.25">
      <c r="B375" s="248"/>
      <c r="C375" s="253"/>
      <c r="D375" s="253"/>
      <c r="E375" s="253"/>
      <c r="F375" s="253"/>
      <c r="G375" s="253"/>
    </row>
    <row r="376" spans="2:17" ht="15.75" thickBot="1" x14ac:dyDescent="0.3">
      <c r="B376" s="42" t="s">
        <v>350</v>
      </c>
      <c r="C376" s="271"/>
      <c r="D376" s="271">
        <f>SUM(D372,D368)-SUM(C372,C368)+D369</f>
        <v>5953</v>
      </c>
      <c r="E376" s="271">
        <f t="shared" ref="E376:Q376" si="322">SUM(E372,E368)-SUM(D372,D368)+E369</f>
        <v>25758</v>
      </c>
      <c r="F376" s="271">
        <f t="shared" si="322"/>
        <v>3669</v>
      </c>
      <c r="G376" s="271">
        <f t="shared" si="322"/>
        <v>26484</v>
      </c>
      <c r="H376" s="264">
        <f t="shared" si="322"/>
        <v>6620.0000000000027</v>
      </c>
      <c r="I376" s="264">
        <f t="shared" si="322"/>
        <v>6691.9799999999959</v>
      </c>
      <c r="J376" s="264">
        <f t="shared" si="322"/>
        <v>6688.5698999999986</v>
      </c>
      <c r="K376" s="264">
        <f t="shared" si="322"/>
        <v>6758.8827495000078</v>
      </c>
      <c r="L376" s="264">
        <f t="shared" si="322"/>
        <v>6755.8071632474912</v>
      </c>
      <c r="M376" s="264">
        <f t="shared" si="322"/>
        <v>6826.456199063723</v>
      </c>
      <c r="N376" s="264">
        <f t="shared" si="322"/>
        <v>6823.7184800590585</v>
      </c>
      <c r="O376" s="264">
        <f t="shared" si="322"/>
        <v>6894.7070724593377</v>
      </c>
      <c r="P376" s="264">
        <f t="shared" si="322"/>
        <v>6892.3106078216733</v>
      </c>
      <c r="Q376" s="264">
        <f t="shared" si="322"/>
        <v>6963.6421608607425</v>
      </c>
    </row>
    <row r="378" spans="2:17" x14ac:dyDescent="0.25">
      <c r="B378" s="222"/>
      <c r="C378" s="276"/>
      <c r="D378" s="276"/>
      <c r="E378" s="276"/>
      <c r="F378" s="276"/>
      <c r="G378" s="276"/>
      <c r="H378" s="276"/>
      <c r="I378" s="276"/>
      <c r="J378" s="276"/>
      <c r="K378" s="276"/>
      <c r="L378" s="276"/>
      <c r="M378" s="276"/>
      <c r="N378" s="276"/>
      <c r="O378" s="276"/>
      <c r="P378" s="276"/>
      <c r="Q378" s="276"/>
    </row>
  </sheetData>
  <mergeCells count="2">
    <mergeCell ref="B7:Q7"/>
    <mergeCell ref="B9:B1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69"/>
  <sheetViews>
    <sheetView showGridLines="0" topLeftCell="B3" workbookViewId="0">
      <selection activeCell="B7" sqref="B7:B8"/>
    </sheetView>
  </sheetViews>
  <sheetFormatPr defaultRowHeight="15" x14ac:dyDescent="0.25"/>
  <cols>
    <col min="1" max="1" width="1.85546875" customWidth="1"/>
    <col min="2" max="2" width="46.42578125" bestFit="1" customWidth="1"/>
    <col min="3" max="4" width="9.28515625" bestFit="1" customWidth="1"/>
    <col min="5" max="5" width="9.7109375" bestFit="1" customWidth="1"/>
    <col min="6" max="7" width="9.28515625" bestFit="1" customWidth="1"/>
    <col min="8" max="8" width="10.28515625" bestFit="1" customWidth="1"/>
    <col min="9" max="17" width="9.7109375" bestFit="1" customWidth="1"/>
  </cols>
  <sheetData>
    <row r="5" spans="1:17" x14ac:dyDescent="0.25">
      <c r="B5" s="422" t="s">
        <v>358</v>
      </c>
      <c r="C5" s="422"/>
      <c r="D5" s="422"/>
      <c r="E5" s="422"/>
      <c r="F5" s="422"/>
      <c r="G5" s="422"/>
      <c r="H5" s="422"/>
      <c r="I5" s="422"/>
      <c r="J5" s="422"/>
      <c r="K5" s="422"/>
      <c r="L5" s="422"/>
      <c r="M5" s="422"/>
      <c r="N5" s="422"/>
      <c r="O5" s="422"/>
      <c r="P5" s="422"/>
      <c r="Q5" s="422"/>
    </row>
    <row r="6" spans="1:17" x14ac:dyDescent="0.25">
      <c r="B6" s="70" t="s">
        <v>353</v>
      </c>
    </row>
    <row r="7" spans="1:17" x14ac:dyDescent="0.25">
      <c r="A7" t="s">
        <v>20</v>
      </c>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row>
    <row r="8" spans="1:17"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row>
    <row r="10" spans="1:17" x14ac:dyDescent="0.25">
      <c r="B10" s="1" t="s">
        <v>21</v>
      </c>
    </row>
    <row r="11" spans="1:17" x14ac:dyDescent="0.25">
      <c r="B11" s="1" t="s">
        <v>22</v>
      </c>
    </row>
    <row r="12" spans="1:17" x14ac:dyDescent="0.25">
      <c r="B12" s="1"/>
    </row>
    <row r="13" spans="1:17" x14ac:dyDescent="0.25">
      <c r="B13" s="20" t="s">
        <v>30</v>
      </c>
      <c r="C13" s="324">
        <f>'Historical Balance Sheet'!C18</f>
        <v>0</v>
      </c>
      <c r="D13" s="324">
        <f>'Historical Balance Sheet'!D18</f>
        <v>762</v>
      </c>
      <c r="E13" s="324">
        <f>'Historical Balance Sheet'!E18</f>
        <v>1296</v>
      </c>
      <c r="F13" s="324">
        <f>'Historical Balance Sheet'!F18</f>
        <v>0</v>
      </c>
      <c r="G13" s="324">
        <f>'Historical Balance Sheet'!G18</f>
        <v>0</v>
      </c>
      <c r="H13" s="150">
        <f>H14*'Revenue BuildUp'!H$10</f>
        <v>807.32290622601249</v>
      </c>
      <c r="I13" s="150">
        <f>I14*'Revenue BuildUp'!I$10</f>
        <v>961.970171338559</v>
      </c>
      <c r="J13" s="150">
        <f>J14*'Revenue BuildUp'!J$10</f>
        <v>1121.1713238883713</v>
      </c>
      <c r="K13" s="150">
        <f>K14*'Revenue BuildUp'!K$10</f>
        <v>1281.3604980944524</v>
      </c>
      <c r="L13" s="150">
        <f>L14*'Revenue BuildUp'!L$10</f>
        <v>1439.3206721494153</v>
      </c>
      <c r="M13" s="150">
        <f>M14*'Revenue BuildUp'!M$10</f>
        <v>1592.3343429508309</v>
      </c>
      <c r="N13" s="150">
        <f>N14*'Revenue BuildUp'!N$10</f>
        <v>1738.2561220642847</v>
      </c>
      <c r="O13" s="150">
        <f>O14*'Revenue BuildUp'!O$10</f>
        <v>1875.5208663740234</v>
      </c>
      <c r="P13" s="150">
        <f>P14*'Revenue BuildUp'!P$10</f>
        <v>2003.1051397657598</v>
      </c>
      <c r="Q13" s="150">
        <f>Q14*'Revenue BuildUp'!Q$10</f>
        <v>2120.4596899924845</v>
      </c>
    </row>
    <row r="14" spans="1:17" x14ac:dyDescent="0.25">
      <c r="B14" s="22" t="s">
        <v>137</v>
      </c>
      <c r="C14" s="17">
        <f>C13/'Revenue BuildUp'!C$10</f>
        <v>0</v>
      </c>
      <c r="D14" s="17">
        <f>D13/'Revenue BuildUp'!D$10</f>
        <v>6.9674941708956243E-3</v>
      </c>
      <c r="E14" s="17">
        <f>E13/'Revenue BuildUp'!E$10</f>
        <v>9.067439078143693E-3</v>
      </c>
      <c r="F14" s="17">
        <f>F13/'Revenue BuildUp'!F$10</f>
        <v>0</v>
      </c>
      <c r="G14" s="17">
        <f>G13/'Revenue BuildUp'!G$10</f>
        <v>0</v>
      </c>
      <c r="H14" s="23">
        <f>AVERAGE(C14:G14)</f>
        <v>3.2069866498078635E-3</v>
      </c>
      <c r="I14" s="23">
        <f>H14</f>
        <v>3.2069866498078635E-3</v>
      </c>
      <c r="J14" s="23">
        <f t="shared" ref="J14:Q22" si="2">I14</f>
        <v>3.2069866498078635E-3</v>
      </c>
      <c r="K14" s="23">
        <f t="shared" si="2"/>
        <v>3.2069866498078635E-3</v>
      </c>
      <c r="L14" s="23">
        <f t="shared" si="2"/>
        <v>3.2069866498078635E-3</v>
      </c>
      <c r="M14" s="23">
        <f t="shared" si="2"/>
        <v>3.2069866498078635E-3</v>
      </c>
      <c r="N14" s="23">
        <f t="shared" si="2"/>
        <v>3.2069866498078635E-3</v>
      </c>
      <c r="O14" s="23">
        <f t="shared" si="2"/>
        <v>3.2069866498078635E-3</v>
      </c>
      <c r="P14" s="23">
        <f t="shared" si="2"/>
        <v>3.2069866498078635E-3</v>
      </c>
      <c r="Q14" s="23">
        <f t="shared" si="2"/>
        <v>3.2069866498078635E-3</v>
      </c>
    </row>
    <row r="15" spans="1:17" x14ac:dyDescent="0.25">
      <c r="B15" s="20" t="s">
        <v>31</v>
      </c>
      <c r="C15" s="324">
        <f>'Historical Balance Sheet'!C19</f>
        <v>2458</v>
      </c>
      <c r="D15" s="324">
        <f>'Historical Balance Sheet'!D19</f>
        <v>1827</v>
      </c>
      <c r="E15" s="324">
        <f>'Historical Balance Sheet'!E19</f>
        <v>9389</v>
      </c>
      <c r="F15" s="324">
        <f>'Historical Balance Sheet'!F19</f>
        <v>2480</v>
      </c>
      <c r="G15" s="324">
        <f>'Historical Balance Sheet'!G19</f>
        <v>7358</v>
      </c>
      <c r="H15" s="150">
        <f>H16*'Revenue BuildUp'!H$10</f>
        <v>8314.70218110735</v>
      </c>
      <c r="I15" s="150">
        <f>I16*'Revenue BuildUp'!I$10</f>
        <v>9907.4303727853403</v>
      </c>
      <c r="J15" s="150">
        <f>J16*'Revenue BuildUp'!J$10</f>
        <v>11547.059522574573</v>
      </c>
      <c r="K15" s="150">
        <f>K16*'Revenue BuildUp'!K$10</f>
        <v>13196.8644096766</v>
      </c>
      <c r="L15" s="150">
        <f>L16*'Revenue BuildUp'!L$10</f>
        <v>14823.712593487711</v>
      </c>
      <c r="M15" s="150">
        <f>M16*'Revenue BuildUp'!M$10</f>
        <v>16399.616228254141</v>
      </c>
      <c r="N15" s="150">
        <f>N16*'Revenue BuildUp'!N$10</f>
        <v>17902.479736410362</v>
      </c>
      <c r="O15" s="150">
        <f>O16*'Revenue BuildUp'!O$10</f>
        <v>19316.183546991717</v>
      </c>
      <c r="P15" s="150">
        <f>P16*'Revenue BuildUp'!P$10</f>
        <v>20630.187185516359</v>
      </c>
      <c r="Q15" s="150">
        <f>Q16*'Revenue BuildUp'!Q$10</f>
        <v>21838.833846236586</v>
      </c>
    </row>
    <row r="16" spans="1:17" x14ac:dyDescent="0.25">
      <c r="B16" s="22" t="s">
        <v>137</v>
      </c>
      <c r="C16" s="17">
        <f>C15/'Revenue BuildUp'!C$10</f>
        <v>3.1781332023118398E-2</v>
      </c>
      <c r="D16" s="17">
        <f>D15/'Revenue BuildUp'!D$10</f>
        <v>1.6705527362501714E-2</v>
      </c>
      <c r="E16" s="17">
        <f>E15/'Revenue BuildUp'!E$10</f>
        <v>6.5689957951150568E-2</v>
      </c>
      <c r="F16" s="17">
        <f>F15/'Revenue BuildUp'!F$10</f>
        <v>1.5264732313222458E-2</v>
      </c>
      <c r="G16" s="17">
        <f>G15/'Revenue BuildUp'!G$10</f>
        <v>3.5703887735098312E-2</v>
      </c>
      <c r="H16" s="23">
        <f>AVERAGE(C16:G16)</f>
        <v>3.3029087477018285E-2</v>
      </c>
      <c r="I16" s="23">
        <f>H16</f>
        <v>3.3029087477018285E-2</v>
      </c>
      <c r="J16" s="23">
        <f t="shared" si="2"/>
        <v>3.3029087477018285E-2</v>
      </c>
      <c r="K16" s="23">
        <f t="shared" si="2"/>
        <v>3.3029087477018285E-2</v>
      </c>
      <c r="L16" s="23">
        <f t="shared" si="2"/>
        <v>3.3029087477018285E-2</v>
      </c>
      <c r="M16" s="23">
        <f t="shared" si="2"/>
        <v>3.3029087477018285E-2</v>
      </c>
      <c r="N16" s="23">
        <f t="shared" si="2"/>
        <v>3.3029087477018285E-2</v>
      </c>
      <c r="O16" s="23">
        <f t="shared" si="2"/>
        <v>3.3029087477018285E-2</v>
      </c>
      <c r="P16" s="23">
        <f t="shared" si="2"/>
        <v>3.3029087477018285E-2</v>
      </c>
      <c r="Q16" s="23">
        <f t="shared" si="2"/>
        <v>3.3029087477018285E-2</v>
      </c>
    </row>
    <row r="17" spans="2:17" x14ac:dyDescent="0.25">
      <c r="B17" t="s">
        <v>32</v>
      </c>
      <c r="C17" s="324">
        <f>'Historical Balance Sheet'!C20</f>
        <v>1408</v>
      </c>
      <c r="D17" s="324">
        <f>'Historical Balance Sheet'!D20</f>
        <v>680</v>
      </c>
      <c r="E17" s="324">
        <f>'Historical Balance Sheet'!E20</f>
        <v>1310</v>
      </c>
      <c r="F17" s="324">
        <f>'Historical Balance Sheet'!F20</f>
        <v>1529</v>
      </c>
      <c r="G17" s="324">
        <f>'Historical Balance Sheet'!G20</f>
        <v>3537</v>
      </c>
      <c r="H17" s="150">
        <f>H18*'Revenue BuildUp'!H$10</f>
        <v>3029.0366584374683</v>
      </c>
      <c r="I17" s="150">
        <f>I18*'Revenue BuildUp'!I$10</f>
        <v>3609.2657483598373</v>
      </c>
      <c r="J17" s="150">
        <f>J18*'Revenue BuildUp'!J$10</f>
        <v>4206.5808046031152</v>
      </c>
      <c r="K17" s="150">
        <f>K18*'Revenue BuildUp'!K$10</f>
        <v>4807.6028705114077</v>
      </c>
      <c r="L17" s="150">
        <f>L18*'Revenue BuildUp'!L$10</f>
        <v>5400.2618352153004</v>
      </c>
      <c r="M17" s="150">
        <f>M18*'Revenue BuildUp'!M$10</f>
        <v>5974.3617579664287</v>
      </c>
      <c r="N17" s="150">
        <f>N18*'Revenue BuildUp'!N$10</f>
        <v>6521.8532446942027</v>
      </c>
      <c r="O17" s="150">
        <f>O18*'Revenue BuildUp'!O$10</f>
        <v>7036.8639538154002</v>
      </c>
      <c r="P17" s="150">
        <f>P18*'Revenue BuildUp'!P$10</f>
        <v>7515.554002324302</v>
      </c>
      <c r="Q17" s="150">
        <f>Q18*'Revenue BuildUp'!Q$10</f>
        <v>7955.8626222455541</v>
      </c>
    </row>
    <row r="18" spans="2:17" x14ac:dyDescent="0.25">
      <c r="B18" s="22" t="s">
        <v>137</v>
      </c>
      <c r="C18" s="17">
        <f>C17/'Revenue BuildUp'!C$10</f>
        <v>1.820509173659508E-2</v>
      </c>
      <c r="D18" s="17">
        <f>D17/'Revenue BuildUp'!D$10</f>
        <v>6.217711333607644E-3</v>
      </c>
      <c r="E18" s="17">
        <f>E17/'Revenue BuildUp'!E$10</f>
        <v>9.1653898089261096E-3</v>
      </c>
      <c r="F18" s="17">
        <f>F17/'Revenue BuildUp'!F$10</f>
        <v>9.4111998818214269E-3</v>
      </c>
      <c r="G18" s="17">
        <f>G17/'Revenue BuildUp'!G$10</f>
        <v>1.7162904446730458E-2</v>
      </c>
      <c r="H18" s="23">
        <f>AVERAGE(C18:G18)</f>
        <v>1.2032459441536143E-2</v>
      </c>
      <c r="I18" s="23">
        <f>H18</f>
        <v>1.2032459441536143E-2</v>
      </c>
      <c r="J18" s="23">
        <f t="shared" si="2"/>
        <v>1.2032459441536143E-2</v>
      </c>
      <c r="K18" s="23">
        <f t="shared" si="2"/>
        <v>1.2032459441536143E-2</v>
      </c>
      <c r="L18" s="23">
        <f t="shared" si="2"/>
        <v>1.2032459441536143E-2</v>
      </c>
      <c r="M18" s="23">
        <f t="shared" si="2"/>
        <v>1.2032459441536143E-2</v>
      </c>
      <c r="N18" s="23">
        <f t="shared" si="2"/>
        <v>1.2032459441536143E-2</v>
      </c>
      <c r="O18" s="23">
        <f t="shared" si="2"/>
        <v>1.2032459441536143E-2</v>
      </c>
      <c r="P18" s="23">
        <f t="shared" si="2"/>
        <v>1.2032459441536143E-2</v>
      </c>
      <c r="Q18" s="23">
        <f t="shared" si="2"/>
        <v>1.2032459441536143E-2</v>
      </c>
    </row>
    <row r="19" spans="2:17" x14ac:dyDescent="0.25">
      <c r="B19" t="s">
        <v>33</v>
      </c>
      <c r="C19" s="324">
        <f>'Historical Balance Sheet'!C21</f>
        <v>7</v>
      </c>
      <c r="D19" s="324">
        <f>'Historical Balance Sheet'!D21</f>
        <v>1</v>
      </c>
      <c r="E19" s="324">
        <f>'Historical Balance Sheet'!E21</f>
        <v>119</v>
      </c>
      <c r="F19" s="324">
        <f>'Historical Balance Sheet'!F21</f>
        <v>32</v>
      </c>
      <c r="G19" s="324">
        <f>'Historical Balance Sheet'!G21</f>
        <v>170</v>
      </c>
      <c r="H19" s="150">
        <f>H20*'Revenue BuildUp'!H$10</f>
        <v>98.384741774220885</v>
      </c>
      <c r="I19" s="150">
        <f>I20*'Revenue BuildUp'!I$10</f>
        <v>117.23089506288763</v>
      </c>
      <c r="J19" s="150">
        <f>J20*'Revenue BuildUp'!J$10</f>
        <v>136.63200973829203</v>
      </c>
      <c r="K19" s="150">
        <f>K20*'Revenue BuildUp'!K$10</f>
        <v>156.15353008380649</v>
      </c>
      <c r="L19" s="150">
        <f>L20*'Revenue BuildUp'!L$10</f>
        <v>175.40341239874951</v>
      </c>
      <c r="M19" s="150">
        <f>M20*'Revenue BuildUp'!M$10</f>
        <v>194.05048703719464</v>
      </c>
      <c r="N19" s="150">
        <f>N20*'Revenue BuildUp'!N$10</f>
        <v>211.83330534520499</v>
      </c>
      <c r="O19" s="150">
        <f>O20*'Revenue BuildUp'!O$10</f>
        <v>228.56113050595599</v>
      </c>
      <c r="P19" s="150">
        <f>P20*'Revenue BuildUp'!P$10</f>
        <v>244.10924105168044</v>
      </c>
      <c r="Q19" s="150">
        <f>Q20*'Revenue BuildUp'!Q$10</f>
        <v>258.41070212883443</v>
      </c>
    </row>
    <row r="20" spans="2:17" x14ac:dyDescent="0.25">
      <c r="B20" s="22" t="s">
        <v>137</v>
      </c>
      <c r="C20" s="17">
        <f>C19/'Revenue BuildUp'!C$10</f>
        <v>9.0508268576822127E-5</v>
      </c>
      <c r="D20" s="17">
        <f>D19/'Revenue BuildUp'!D$10</f>
        <v>9.1436931376582998E-6</v>
      </c>
      <c r="E20" s="17">
        <f>E19/'Revenue BuildUp'!E$10</f>
        <v>8.3258121165053975E-4</v>
      </c>
      <c r="F20" s="17">
        <f>F19/'Revenue BuildUp'!F$10</f>
        <v>1.9696428791254785E-4</v>
      </c>
      <c r="G20" s="17">
        <f>G19/'Revenue BuildUp'!G$10</f>
        <v>8.249063488674521E-4</v>
      </c>
      <c r="H20" s="23">
        <f>AVERAGE(C20:G20)</f>
        <v>3.9082076202900403E-4</v>
      </c>
      <c r="I20" s="23">
        <f>H20</f>
        <v>3.9082076202900403E-4</v>
      </c>
      <c r="J20" s="23">
        <f t="shared" si="2"/>
        <v>3.9082076202900403E-4</v>
      </c>
      <c r="K20" s="23">
        <f t="shared" si="2"/>
        <v>3.9082076202900403E-4</v>
      </c>
      <c r="L20" s="23">
        <f t="shared" si="2"/>
        <v>3.9082076202900403E-4</v>
      </c>
      <c r="M20" s="23">
        <f t="shared" si="2"/>
        <v>3.9082076202900403E-4</v>
      </c>
      <c r="N20" s="23">
        <f t="shared" si="2"/>
        <v>3.9082076202900403E-4</v>
      </c>
      <c r="O20" s="23">
        <f t="shared" si="2"/>
        <v>3.9082076202900403E-4</v>
      </c>
      <c r="P20" s="23">
        <f t="shared" si="2"/>
        <v>3.9082076202900403E-4</v>
      </c>
      <c r="Q20" s="23">
        <f t="shared" si="2"/>
        <v>3.9082076202900403E-4</v>
      </c>
    </row>
    <row r="21" spans="2:17" x14ac:dyDescent="0.25">
      <c r="B21" t="s">
        <v>34</v>
      </c>
      <c r="C21" s="324">
        <f>'Historical Balance Sheet'!C22</f>
        <v>1026</v>
      </c>
      <c r="D21" s="324">
        <f>'Historical Balance Sheet'!D22</f>
        <v>697</v>
      </c>
      <c r="E21" s="324">
        <f>'Historical Balance Sheet'!E22</f>
        <v>1246</v>
      </c>
      <c r="F21" s="324">
        <f>'Historical Balance Sheet'!F22</f>
        <v>1636</v>
      </c>
      <c r="G21" s="324">
        <f>'Historical Balance Sheet'!G22</f>
        <v>3613</v>
      </c>
      <c r="H21" s="150">
        <f>H22*'Revenue BuildUp'!H$10</f>
        <v>2817.3688268158089</v>
      </c>
      <c r="I21" s="150">
        <f>I22*'Revenue BuildUp'!I$10</f>
        <v>3357.051747392366</v>
      </c>
      <c r="J21" s="150">
        <f>J22*'Revenue BuildUp'!J$10</f>
        <v>3912.6266740146293</v>
      </c>
      <c r="K21" s="150">
        <f>K22*'Revenue BuildUp'!K$10</f>
        <v>4471.649565996383</v>
      </c>
      <c r="L21" s="150">
        <f>L22*'Revenue BuildUp'!L$10</f>
        <v>5022.8937668344852</v>
      </c>
      <c r="M21" s="150">
        <f>M22*'Revenue BuildUp'!M$10</f>
        <v>5556.8758239122481</v>
      </c>
      <c r="N21" s="150">
        <f>N22*'Revenue BuildUp'!N$10</f>
        <v>6066.1088314947856</v>
      </c>
      <c r="O21" s="150">
        <f>O22*'Revenue BuildUp'!O$10</f>
        <v>6545.1308048052215</v>
      </c>
      <c r="P21" s="150">
        <f>P22*'Revenue BuildUp'!P$10</f>
        <v>6990.3701902775747</v>
      </c>
      <c r="Q21" s="150">
        <f>Q22*'Revenue BuildUp'!Q$10</f>
        <v>7399.9102255521384</v>
      </c>
    </row>
    <row r="22" spans="2:17" x14ac:dyDescent="0.25">
      <c r="B22" s="22" t="s">
        <v>137</v>
      </c>
      <c r="C22" s="17">
        <f>C21/'Revenue BuildUp'!C$10</f>
        <v>1.3265926222831357E-2</v>
      </c>
      <c r="D22" s="17">
        <f>D21/'Revenue BuildUp'!D$10</f>
        <v>6.3731541169478349E-3</v>
      </c>
      <c r="E22" s="17">
        <f>E21/'Revenue BuildUp'!E$10</f>
        <v>8.7176150396350641E-3</v>
      </c>
      <c r="F22" s="17">
        <f>F21/'Revenue BuildUp'!F$10</f>
        <v>1.0069799219529009E-2</v>
      </c>
      <c r="G22" s="17">
        <f>G21/'Revenue BuildUp'!G$10</f>
        <v>1.7531686108577086E-2</v>
      </c>
      <c r="H22" s="23">
        <f>AVERAGE(C22:G22)</f>
        <v>1.1191636141504068E-2</v>
      </c>
      <c r="I22" s="23">
        <f>H22</f>
        <v>1.1191636141504068E-2</v>
      </c>
      <c r="J22" s="23">
        <f t="shared" si="2"/>
        <v>1.1191636141504068E-2</v>
      </c>
      <c r="K22" s="23">
        <f t="shared" si="2"/>
        <v>1.1191636141504068E-2</v>
      </c>
      <c r="L22" s="23">
        <f t="shared" si="2"/>
        <v>1.1191636141504068E-2</v>
      </c>
      <c r="M22" s="23">
        <f t="shared" si="2"/>
        <v>1.1191636141504068E-2</v>
      </c>
      <c r="N22" s="23">
        <f t="shared" si="2"/>
        <v>1.1191636141504068E-2</v>
      </c>
      <c r="O22" s="23">
        <f t="shared" si="2"/>
        <v>1.1191636141504068E-2</v>
      </c>
      <c r="P22" s="23">
        <f t="shared" si="2"/>
        <v>1.1191636141504068E-2</v>
      </c>
      <c r="Q22" s="23">
        <f t="shared" si="2"/>
        <v>1.1191636141504068E-2</v>
      </c>
    </row>
    <row r="23" spans="2:17" x14ac:dyDescent="0.25">
      <c r="B23" s="1" t="s">
        <v>35</v>
      </c>
    </row>
    <row r="25" spans="2:17" x14ac:dyDescent="0.25">
      <c r="B25" s="1" t="s">
        <v>36</v>
      </c>
      <c r="G25" s="11"/>
      <c r="H25" s="11"/>
    </row>
    <row r="26" spans="2:17" x14ac:dyDescent="0.25">
      <c r="B26" s="1"/>
    </row>
    <row r="27" spans="2:17" x14ac:dyDescent="0.25">
      <c r="B27" s="20" t="s">
        <v>30</v>
      </c>
      <c r="C27" s="324">
        <f>'Historical Balance Sheet'!C28</f>
        <v>39148</v>
      </c>
      <c r="D27" s="324">
        <f>'Historical Balance Sheet'!D28</f>
        <v>46400</v>
      </c>
      <c r="E27" s="324">
        <f>'Historical Balance Sheet'!E28</f>
        <v>0</v>
      </c>
      <c r="F27" s="324">
        <f>'Historical Balance Sheet'!F28</f>
        <v>0</v>
      </c>
      <c r="G27" s="324">
        <f>'Historical Balance Sheet'!G28</f>
        <v>35039</v>
      </c>
      <c r="H27" s="150">
        <f>H28*'Revenue BuildUp'!H$10</f>
        <v>92343.173485888547</v>
      </c>
      <c r="I27" s="150">
        <f>I28*'Revenue BuildUp'!I$10</f>
        <v>110032.03022620278</v>
      </c>
      <c r="J27" s="150">
        <f>J28*'Revenue BuildUp'!J$10</f>
        <v>128241.76952095915</v>
      </c>
      <c r="K27" s="150">
        <f>K28*'Revenue BuildUp'!K$10</f>
        <v>146564.52066575596</v>
      </c>
      <c r="L27" s="150">
        <f>L28*'Revenue BuildUp'!L$10</f>
        <v>164632.31441238234</v>
      </c>
      <c r="M27" s="150">
        <f>M28*'Revenue BuildUp'!M$10</f>
        <v>182134.31743937448</v>
      </c>
      <c r="N27" s="150">
        <f>N28*'Revenue BuildUp'!N$10</f>
        <v>198825.13602029908</v>
      </c>
      <c r="O27" s="150">
        <f>O28*'Revenue BuildUp'!O$10</f>
        <v>214525.74602348139</v>
      </c>
      <c r="P27" s="150">
        <f>P28*'Revenue BuildUp'!P$10</f>
        <v>229119.08482388683</v>
      </c>
      <c r="Q27" s="150">
        <f>Q28*'Revenue BuildUp'!Q$10</f>
        <v>242542.32787492822</v>
      </c>
    </row>
    <row r="28" spans="2:17" x14ac:dyDescent="0.25">
      <c r="B28" s="22" t="s">
        <v>137</v>
      </c>
      <c r="C28" s="17">
        <f>C27/'Revenue BuildUp'!C$10</f>
        <v>0.50617395689220468</v>
      </c>
      <c r="D28" s="17">
        <f>D27/'Revenue BuildUp'!D$10</f>
        <v>0.42426736158734513</v>
      </c>
      <c r="E28" s="17">
        <f>E27/'Revenue BuildUp'!E$10</f>
        <v>0</v>
      </c>
      <c r="F28" s="17">
        <f>F27/'Revenue BuildUp'!F$10</f>
        <v>0</v>
      </c>
      <c r="G28" s="17">
        <f>G27/'Revenue BuildUp'!G$10</f>
        <v>0.1700229032821568</v>
      </c>
      <c r="H28" s="23">
        <f>AVERAGE(C28:D28,G28)</f>
        <v>0.36682140725390222</v>
      </c>
      <c r="I28" s="23">
        <f>H28</f>
        <v>0.36682140725390222</v>
      </c>
      <c r="J28" s="23">
        <f t="shared" ref="J28:Q28" si="3">I28</f>
        <v>0.36682140725390222</v>
      </c>
      <c r="K28" s="23">
        <f t="shared" si="3"/>
        <v>0.36682140725390222</v>
      </c>
      <c r="L28" s="23">
        <f t="shared" si="3"/>
        <v>0.36682140725390222</v>
      </c>
      <c r="M28" s="23">
        <f t="shared" si="3"/>
        <v>0.36682140725390222</v>
      </c>
      <c r="N28" s="23">
        <f t="shared" si="3"/>
        <v>0.36682140725390222</v>
      </c>
      <c r="O28" s="23">
        <f t="shared" si="3"/>
        <v>0.36682140725390222</v>
      </c>
      <c r="P28" s="23">
        <f t="shared" si="3"/>
        <v>0.36682140725390222</v>
      </c>
      <c r="Q28" s="23">
        <f t="shared" si="3"/>
        <v>0.36682140725390222</v>
      </c>
    </row>
    <row r="29" spans="2:17" x14ac:dyDescent="0.25">
      <c r="B29" s="20" t="s">
        <v>40</v>
      </c>
      <c r="C29" s="324">
        <f>'Historical Balance Sheet'!C32</f>
        <v>14</v>
      </c>
      <c r="D29" s="324">
        <f>'Historical Balance Sheet'!D32</f>
        <v>4</v>
      </c>
      <c r="E29" s="324">
        <f>'Historical Balance Sheet'!E32</f>
        <v>64</v>
      </c>
      <c r="F29" s="324">
        <f>'Historical Balance Sheet'!F32</f>
        <v>37</v>
      </c>
      <c r="G29" s="324">
        <f>'Historical Balance Sheet'!G32</f>
        <v>12</v>
      </c>
      <c r="H29" s="150">
        <f>H30*'Revenue BuildUp'!H$10</f>
        <v>47.89756834613457</v>
      </c>
      <c r="I29" s="150">
        <f>I30*'Revenue BuildUp'!I$10</f>
        <v>57.072618246424788</v>
      </c>
      <c r="J29" s="150">
        <f>J30*'Revenue BuildUp'!J$10</f>
        <v>66.517845213518044</v>
      </c>
      <c r="K29" s="150">
        <f>K30*'Revenue BuildUp'!K$10</f>
        <v>76.021690404426863</v>
      </c>
      <c r="L29" s="150">
        <f>L30*'Revenue BuildUp'!L$10</f>
        <v>85.39329150036653</v>
      </c>
      <c r="M29" s="150">
        <f>M30*'Revenue BuildUp'!M$10</f>
        <v>94.471422070654057</v>
      </c>
      <c r="N29" s="150">
        <f>N30*'Revenue BuildUp'!N$10</f>
        <v>103.12879861029548</v>
      </c>
      <c r="O29" s="150">
        <f>O30*'Revenue BuildUp'!O$10</f>
        <v>111.27256292242787</v>
      </c>
      <c r="P29" s="150">
        <f>P30*'Revenue BuildUp'!P$10</f>
        <v>118.84199568290725</v>
      </c>
      <c r="Q29" s="150">
        <f>Q30*'Revenue BuildUp'!Q$10</f>
        <v>125.80451036800504</v>
      </c>
    </row>
    <row r="30" spans="2:17" x14ac:dyDescent="0.25">
      <c r="B30" s="22" t="s">
        <v>137</v>
      </c>
      <c r="C30" s="17">
        <f>C29/'Revenue BuildUp'!C$10</f>
        <v>1.8101653715364425E-4</v>
      </c>
      <c r="D30" s="17">
        <f>D29/'Revenue BuildUp'!D$10</f>
        <v>3.6574772550633199E-5</v>
      </c>
      <c r="E30" s="17">
        <f>E29/'Revenue BuildUp'!E$10</f>
        <v>4.4777476929104662E-4</v>
      </c>
      <c r="F30" s="17">
        <f>F29/'Revenue BuildUp'!F$10</f>
        <v>2.2773995789888345E-4</v>
      </c>
      <c r="G30" s="17">
        <f>G29/'Revenue BuildUp'!G$10</f>
        <v>5.8228683449467206E-5</v>
      </c>
      <c r="H30" s="23">
        <f>AVERAGE(C30:G30)</f>
        <v>1.9026694406873494E-4</v>
      </c>
      <c r="I30" s="23">
        <f>H30</f>
        <v>1.9026694406873494E-4</v>
      </c>
      <c r="J30" s="23">
        <f t="shared" ref="J30:Q30" si="4">I30</f>
        <v>1.9026694406873494E-4</v>
      </c>
      <c r="K30" s="23">
        <f t="shared" si="4"/>
        <v>1.9026694406873494E-4</v>
      </c>
      <c r="L30" s="23">
        <f t="shared" si="4"/>
        <v>1.9026694406873494E-4</v>
      </c>
      <c r="M30" s="23">
        <f t="shared" si="4"/>
        <v>1.9026694406873494E-4</v>
      </c>
      <c r="N30" s="23">
        <f t="shared" si="4"/>
        <v>1.9026694406873494E-4</v>
      </c>
      <c r="O30" s="23">
        <f t="shared" si="4"/>
        <v>1.9026694406873494E-4</v>
      </c>
      <c r="P30" s="23">
        <f t="shared" si="4"/>
        <v>1.9026694406873494E-4</v>
      </c>
      <c r="Q30" s="23">
        <f t="shared" si="4"/>
        <v>1.9026694406873494E-4</v>
      </c>
    </row>
    <row r="31" spans="2:17" x14ac:dyDescent="0.25">
      <c r="B31" s="20" t="s">
        <v>31</v>
      </c>
      <c r="C31" s="324">
        <f>'Historical Balance Sheet'!C33</f>
        <v>6779</v>
      </c>
      <c r="D31" s="324">
        <f>'Historical Balance Sheet'!D33</f>
        <v>9405</v>
      </c>
      <c r="E31" s="324">
        <f>'Historical Balance Sheet'!E33</f>
        <v>12237</v>
      </c>
      <c r="F31" s="324">
        <f>'Historical Balance Sheet'!F33</f>
        <v>13850</v>
      </c>
      <c r="G31" s="324">
        <f>'Historical Balance Sheet'!G33</f>
        <v>17726</v>
      </c>
      <c r="H31" s="150">
        <f>H32*'Revenue BuildUp'!H$10</f>
        <v>21675.979646246022</v>
      </c>
      <c r="I31" s="150">
        <f>I32*'Revenue BuildUp'!I$10</f>
        <v>25828.136044975443</v>
      </c>
      <c r="J31" s="150">
        <f>J32*'Revenue BuildUp'!J$10</f>
        <v>30102.560709153826</v>
      </c>
      <c r="K31" s="150">
        <f>K32*'Revenue BuildUp'!K$10</f>
        <v>34403.512971082957</v>
      </c>
      <c r="L31" s="150">
        <f>L32*'Revenue BuildUp'!L$10</f>
        <v>38644.618347045514</v>
      </c>
      <c r="M31" s="150">
        <f>M32*'Revenue BuildUp'!M$10</f>
        <v>42752.914034323272</v>
      </c>
      <c r="N31" s="150">
        <f>N32*'Revenue BuildUp'!N$10</f>
        <v>46670.798055220534</v>
      </c>
      <c r="O31" s="150">
        <f>O32*'Revenue BuildUp'!O$10</f>
        <v>50356.247558584568</v>
      </c>
      <c r="P31" s="150">
        <f>P32*'Revenue BuildUp'!P$10</f>
        <v>53781.784096558324</v>
      </c>
      <c r="Q31" s="150">
        <f>Q32*'Revenue BuildUp'!Q$10</f>
        <v>56932.660681988324</v>
      </c>
    </row>
    <row r="32" spans="2:17" x14ac:dyDescent="0.25">
      <c r="B32" s="22" t="s">
        <v>137</v>
      </c>
      <c r="C32" s="17">
        <f>C31/'Revenue BuildUp'!C$10</f>
        <v>8.7650793240325306E-2</v>
      </c>
      <c r="D32" s="17">
        <f>D31/'Revenue BuildUp'!D$10</f>
        <v>8.5996433959676308E-2</v>
      </c>
      <c r="E32" s="17">
        <f>E31/'Revenue BuildUp'!E$10</f>
        <v>8.5615935184602143E-2</v>
      </c>
      <c r="F32" s="17">
        <f>F31/'Revenue BuildUp'!F$10</f>
        <v>8.5248605862149621E-2</v>
      </c>
      <c r="G32" s="17">
        <f>G31/'Revenue BuildUp'!G$10</f>
        <v>8.6013470235437983E-2</v>
      </c>
      <c r="H32" s="23">
        <f>AVERAGE(C32:G32)</f>
        <v>8.6105047696438272E-2</v>
      </c>
      <c r="I32" s="23">
        <f>H32</f>
        <v>8.6105047696438272E-2</v>
      </c>
      <c r="J32" s="23">
        <f t="shared" ref="J32:Q32" si="5">I32</f>
        <v>8.6105047696438272E-2</v>
      </c>
      <c r="K32" s="23">
        <f t="shared" si="5"/>
        <v>8.6105047696438272E-2</v>
      </c>
      <c r="L32" s="23">
        <f t="shared" si="5"/>
        <v>8.6105047696438272E-2</v>
      </c>
      <c r="M32" s="23">
        <f t="shared" si="5"/>
        <v>8.6105047696438272E-2</v>
      </c>
      <c r="N32" s="23">
        <f t="shared" si="5"/>
        <v>8.6105047696438272E-2</v>
      </c>
      <c r="O32" s="23">
        <f t="shared" si="5"/>
        <v>8.6105047696438272E-2</v>
      </c>
      <c r="P32" s="23">
        <f t="shared" si="5"/>
        <v>8.6105047696438272E-2</v>
      </c>
      <c r="Q32" s="23">
        <f t="shared" si="5"/>
        <v>8.6105047696438272E-2</v>
      </c>
    </row>
    <row r="33" spans="2:17" x14ac:dyDescent="0.25">
      <c r="B33" t="s">
        <v>33</v>
      </c>
      <c r="C33" s="324">
        <f>'Historical Balance Sheet'!C34</f>
        <v>1802</v>
      </c>
      <c r="D33" s="324">
        <f>'Historical Balance Sheet'!D34</f>
        <v>3392</v>
      </c>
      <c r="E33" s="324">
        <f>'Historical Balance Sheet'!E34</f>
        <v>4495</v>
      </c>
      <c r="F33" s="324">
        <f>'Historical Balance Sheet'!F34</f>
        <v>4793</v>
      </c>
      <c r="G33" s="324">
        <f>'Historical Balance Sheet'!G34</f>
        <v>5682</v>
      </c>
      <c r="H33" s="150">
        <f>H34*'Revenue BuildUp'!H$10</f>
        <v>7191.51443084531</v>
      </c>
      <c r="I33" s="150">
        <f>I34*'Revenue BuildUp'!I$10</f>
        <v>8569.089661488264</v>
      </c>
      <c r="J33" s="150">
        <f>J34*'Revenue BuildUp'!J$10</f>
        <v>9987.2302557161984</v>
      </c>
      <c r="K33" s="150">
        <f>K34*'Revenue BuildUp'!K$10</f>
        <v>11414.172002425064</v>
      </c>
      <c r="L33" s="150">
        <f>L34*'Revenue BuildUp'!L$10</f>
        <v>12821.258141632274</v>
      </c>
      <c r="M33" s="150">
        <f>M34*'Revenue BuildUp'!M$10</f>
        <v>14184.281552957274</v>
      </c>
      <c r="N33" s="150">
        <f>N34*'Revenue BuildUp'!N$10</f>
        <v>15484.131429848099</v>
      </c>
      <c r="O33" s="150">
        <f>O34*'Revenue BuildUp'!O$10</f>
        <v>16706.865706228738</v>
      </c>
      <c r="P33" s="150">
        <f>P34*'Revenue BuildUp'!P$10</f>
        <v>17843.367762803264</v>
      </c>
      <c r="Q33" s="150">
        <f>Q34*'Revenue BuildUp'!Q$10</f>
        <v>18888.744940847289</v>
      </c>
    </row>
    <row r="34" spans="2:17" x14ac:dyDescent="0.25">
      <c r="B34" s="22" t="s">
        <v>137</v>
      </c>
      <c r="C34" s="17">
        <f>C33/'Revenue BuildUp'!C$10</f>
        <v>2.3299414282204781E-2</v>
      </c>
      <c r="D34" s="17">
        <f>D33/'Revenue BuildUp'!D$10</f>
        <v>3.1015407122936954E-2</v>
      </c>
      <c r="E34" s="17">
        <f>E33/'Revenue BuildUp'!E$10</f>
        <v>3.1449181061925853E-2</v>
      </c>
      <c r="F34" s="17">
        <f>F33/'Revenue BuildUp'!F$10</f>
        <v>2.9501557248901307E-2</v>
      </c>
      <c r="G34" s="17">
        <f>G33/'Revenue BuildUp'!G$10</f>
        <v>2.7571281613322722E-2</v>
      </c>
      <c r="H34" s="23">
        <f>AVERAGE(C34:G34)</f>
        <v>2.8567368265858324E-2</v>
      </c>
      <c r="I34" s="23">
        <f>H34</f>
        <v>2.8567368265858324E-2</v>
      </c>
      <c r="J34" s="23">
        <f t="shared" ref="J34:Q34" si="6">I34</f>
        <v>2.8567368265858324E-2</v>
      </c>
      <c r="K34" s="23">
        <f t="shared" si="6"/>
        <v>2.8567368265858324E-2</v>
      </c>
      <c r="L34" s="23">
        <f t="shared" si="6"/>
        <v>2.8567368265858324E-2</v>
      </c>
      <c r="M34" s="23">
        <f t="shared" si="6"/>
        <v>2.8567368265858324E-2</v>
      </c>
      <c r="N34" s="23">
        <f t="shared" si="6"/>
        <v>2.8567368265858324E-2</v>
      </c>
      <c r="O34" s="23">
        <f t="shared" si="6"/>
        <v>2.8567368265858324E-2</v>
      </c>
      <c r="P34" s="23">
        <f t="shared" si="6"/>
        <v>2.8567368265858324E-2</v>
      </c>
      <c r="Q34" s="23">
        <f t="shared" si="6"/>
        <v>2.8567368265858324E-2</v>
      </c>
    </row>
    <row r="35" spans="2:17" x14ac:dyDescent="0.25">
      <c r="B35" s="1" t="s">
        <v>41</v>
      </c>
    </row>
    <row r="37" spans="2:17" x14ac:dyDescent="0.25">
      <c r="B37" s="1" t="s">
        <v>49</v>
      </c>
    </row>
    <row r="38" spans="2:17" x14ac:dyDescent="0.25">
      <c r="B38" s="1" t="s">
        <v>50</v>
      </c>
    </row>
    <row r="39" spans="2:17" x14ac:dyDescent="0.25">
      <c r="B39" s="1" t="s">
        <v>51</v>
      </c>
    </row>
    <row r="40" spans="2:17" x14ac:dyDescent="0.25">
      <c r="B40" s="20" t="s">
        <v>52</v>
      </c>
      <c r="C40" s="324">
        <f>'Historical Balance Sheet'!C50</f>
        <v>3661</v>
      </c>
      <c r="D40" s="324">
        <f>'Historical Balance Sheet'!D50</f>
        <v>1724</v>
      </c>
      <c r="E40" s="324">
        <f>'Historical Balance Sheet'!E50</f>
        <v>11278</v>
      </c>
      <c r="F40" s="324">
        <f>'Historical Balance Sheet'!F50</f>
        <v>10445</v>
      </c>
      <c r="G40" s="324">
        <f>'Historical Balance Sheet'!G50</f>
        <v>33537</v>
      </c>
      <c r="H40" s="150">
        <f>H41*'Revenue BuildUp'!H$10</f>
        <v>18579.875142765322</v>
      </c>
      <c r="I40" s="150">
        <f>I41*'Revenue BuildUp'!I$10</f>
        <v>22138.95522683375</v>
      </c>
      <c r="J40" s="150">
        <f>J41*'Revenue BuildUp'!J$10</f>
        <v>25802.839298682149</v>
      </c>
      <c r="K40" s="150">
        <f>K41*'Revenue BuildUp'!K$10</f>
        <v>29489.461879335704</v>
      </c>
      <c r="L40" s="150">
        <f>L41*'Revenue BuildUp'!L$10</f>
        <v>33124.785848019259</v>
      </c>
      <c r="M40" s="150">
        <f>M41*'Revenue BuildUp'!M$10</f>
        <v>36646.270097632012</v>
      </c>
      <c r="N40" s="150">
        <f>N41*'Revenue BuildUp'!N$10</f>
        <v>40004.540271350015</v>
      </c>
      <c r="O40" s="150">
        <f>O41*'Revenue BuildUp'!O$10</f>
        <v>43163.575882888297</v>
      </c>
      <c r="P40" s="150">
        <f>P41*'Revenue BuildUp'!P$10</f>
        <v>46099.82338871005</v>
      </c>
      <c r="Q40" s="150">
        <f>Q41*'Revenue BuildUp'!Q$10</f>
        <v>48800.642198423731</v>
      </c>
    </row>
    <row r="41" spans="2:17" x14ac:dyDescent="0.25">
      <c r="B41" s="22" t="s">
        <v>137</v>
      </c>
      <c r="C41" s="17">
        <f>C40/'Revenue BuildUp'!C$10</f>
        <v>4.7335824465677974E-2</v>
      </c>
      <c r="D41" s="17">
        <f>D40/'Revenue BuildUp'!D$10</f>
        <v>1.5763726969322909E-2</v>
      </c>
      <c r="E41" s="17">
        <f>E40/'Revenue BuildUp'!E$10</f>
        <v>7.8906310126006615E-2</v>
      </c>
      <c r="F41" s="17">
        <f>F40/'Revenue BuildUp'!F$10</f>
        <v>6.4290374601455078E-2</v>
      </c>
      <c r="G41" s="17">
        <f>G40/'Revenue BuildUp'!G$10</f>
        <v>0.16273461307039847</v>
      </c>
      <c r="H41" s="23">
        <f>AVERAGE(C41:G41)</f>
        <v>7.3806169846572206E-2</v>
      </c>
      <c r="I41" s="23">
        <f>H41</f>
        <v>7.3806169846572206E-2</v>
      </c>
      <c r="J41" s="23">
        <f t="shared" ref="J41:Q41" si="7">I41</f>
        <v>7.3806169846572206E-2</v>
      </c>
      <c r="K41" s="23">
        <f t="shared" si="7"/>
        <v>7.3806169846572206E-2</v>
      </c>
      <c r="L41" s="23">
        <f t="shared" si="7"/>
        <v>7.3806169846572206E-2</v>
      </c>
      <c r="M41" s="23">
        <f t="shared" si="7"/>
        <v>7.3806169846572206E-2</v>
      </c>
      <c r="N41" s="23">
        <f t="shared" si="7"/>
        <v>7.3806169846572206E-2</v>
      </c>
      <c r="O41" s="23">
        <f t="shared" si="7"/>
        <v>7.3806169846572206E-2</v>
      </c>
      <c r="P41" s="23">
        <f t="shared" si="7"/>
        <v>7.3806169846572206E-2</v>
      </c>
      <c r="Q41" s="23">
        <f t="shared" si="7"/>
        <v>7.3806169846572206E-2</v>
      </c>
    </row>
    <row r="42" spans="2:17" x14ac:dyDescent="0.25">
      <c r="B42" s="20" t="s">
        <v>53</v>
      </c>
      <c r="C42" s="324">
        <f>'Historical Balance Sheet'!C51</f>
        <v>1223</v>
      </c>
      <c r="D42" s="324">
        <f>'Historical Balance Sheet'!D51</f>
        <v>4119</v>
      </c>
      <c r="E42" s="324">
        <f>'Historical Balance Sheet'!E51</f>
        <v>4761</v>
      </c>
      <c r="F42" s="324">
        <f>'Historical Balance Sheet'!F51</f>
        <v>4570</v>
      </c>
      <c r="G42" s="324">
        <f>'Historical Balance Sheet'!G51</f>
        <v>5010</v>
      </c>
      <c r="H42" s="150">
        <f>H43*'Revenue BuildUp'!H$10</f>
        <v>7009.6986575225901</v>
      </c>
      <c r="I42" s="150">
        <f>I43*'Revenue BuildUp'!I$10</f>
        <v>8352.4460492898688</v>
      </c>
      <c r="J42" s="150">
        <f>J43*'Revenue BuildUp'!J$10</f>
        <v>9734.733231653121</v>
      </c>
      <c r="K42" s="150">
        <f>K43*'Revenue BuildUp'!K$10</f>
        <v>11125.599055875959</v>
      </c>
      <c r="L42" s="150">
        <f>L43*'Revenue BuildUp'!L$10</f>
        <v>12497.11126180503</v>
      </c>
      <c r="M42" s="150">
        <f>M43*'Revenue BuildUp'!M$10</f>
        <v>13825.6747331591</v>
      </c>
      <c r="N42" s="150">
        <f>N43*'Revenue BuildUp'!N$10</f>
        <v>15092.661822546268</v>
      </c>
      <c r="O42" s="150">
        <f>O43*'Revenue BuildUp'!O$10</f>
        <v>16284.482947021821</v>
      </c>
      <c r="P42" s="150">
        <f>P43*'Revenue BuildUp'!P$10</f>
        <v>17392.251973539049</v>
      </c>
      <c r="Q42" s="150">
        <f>Q43*'Revenue BuildUp'!Q$10</f>
        <v>18411.199939507136</v>
      </c>
    </row>
    <row r="43" spans="2:17" x14ac:dyDescent="0.25">
      <c r="B43" s="22" t="s">
        <v>137</v>
      </c>
      <c r="C43" s="17">
        <f>C42/'Revenue BuildUp'!C$10</f>
        <v>1.5813087495636209E-2</v>
      </c>
      <c r="D43" s="17">
        <f>D42/'Revenue BuildUp'!D$10</f>
        <v>3.7662872034014541E-2</v>
      </c>
      <c r="E43" s="17">
        <f>E42/'Revenue BuildUp'!E$10</f>
        <v>3.3310244946791766E-2</v>
      </c>
      <c r="F43" s="17">
        <f>F42/'Revenue BuildUp'!F$10</f>
        <v>2.8128962367510741E-2</v>
      </c>
      <c r="G43" s="17">
        <f>G42/'Revenue BuildUp'!G$10</f>
        <v>2.431047534015256E-2</v>
      </c>
      <c r="H43" s="23">
        <f>AVERAGE(C43:G43)</f>
        <v>2.7845128436821166E-2</v>
      </c>
      <c r="I43" s="23">
        <f>H43</f>
        <v>2.7845128436821166E-2</v>
      </c>
      <c r="J43" s="23">
        <f t="shared" ref="J43:Q43" si="8">I43</f>
        <v>2.7845128436821166E-2</v>
      </c>
      <c r="K43" s="23">
        <f t="shared" si="8"/>
        <v>2.7845128436821166E-2</v>
      </c>
      <c r="L43" s="23">
        <f t="shared" si="8"/>
        <v>2.7845128436821166E-2</v>
      </c>
      <c r="M43" s="23">
        <f t="shared" si="8"/>
        <v>2.7845128436821166E-2</v>
      </c>
      <c r="N43" s="23">
        <f t="shared" si="8"/>
        <v>2.7845128436821166E-2</v>
      </c>
      <c r="O43" s="23">
        <f t="shared" si="8"/>
        <v>2.7845128436821166E-2</v>
      </c>
      <c r="P43" s="23">
        <f t="shared" si="8"/>
        <v>2.7845128436821166E-2</v>
      </c>
      <c r="Q43" s="23">
        <f t="shared" si="8"/>
        <v>2.7845128436821166E-2</v>
      </c>
    </row>
    <row r="44" spans="2:17" x14ac:dyDescent="0.25">
      <c r="B44" s="20" t="s">
        <v>54</v>
      </c>
      <c r="C44" s="324">
        <f>'Historical Balance Sheet'!C52</f>
        <v>2455</v>
      </c>
      <c r="D44" s="324">
        <f>'Historical Balance Sheet'!D52</f>
        <v>1291</v>
      </c>
      <c r="E44" s="324">
        <f>'Historical Balance Sheet'!E52</f>
        <v>1996</v>
      </c>
      <c r="F44" s="324">
        <f>'Historical Balance Sheet'!F52</f>
        <v>401</v>
      </c>
      <c r="G44" s="324">
        <f>'Historical Balance Sheet'!G52</f>
        <v>8330</v>
      </c>
      <c r="H44" s="150">
        <f>H45*'Revenue BuildUp'!H$10</f>
        <v>5054.94722663429</v>
      </c>
      <c r="I44" s="150">
        <f>I45*'Revenue BuildUp'!I$10</f>
        <v>6023.2509349256989</v>
      </c>
      <c r="J44" s="150">
        <f>J45*'Revenue BuildUp'!J$10</f>
        <v>7020.0682162792427</v>
      </c>
      <c r="K44" s="150">
        <f>K45*'Revenue BuildUp'!K$10</f>
        <v>8023.0718665474969</v>
      </c>
      <c r="L44" s="150">
        <f>L45*'Revenue BuildUp'!L$10</f>
        <v>9012.1189226882125</v>
      </c>
      <c r="M44" s="150">
        <f>M45*'Revenue BuildUp'!M$10</f>
        <v>9970.194092969843</v>
      </c>
      <c r="N44" s="150">
        <f>N45*'Revenue BuildUp'!N$10</f>
        <v>10883.864307138887</v>
      </c>
      <c r="O44" s="150">
        <f>O45*'Revenue BuildUp'!O$10</f>
        <v>11743.329625429917</v>
      </c>
      <c r="P44" s="150">
        <f>P45*'Revenue BuildUp'!P$10</f>
        <v>12542.181935911936</v>
      </c>
      <c r="Q44" s="150">
        <f>Q45*'Revenue BuildUp'!Q$10</f>
        <v>13276.982167178287</v>
      </c>
    </row>
    <row r="45" spans="2:17" x14ac:dyDescent="0.25">
      <c r="B45" s="22" t="s">
        <v>137</v>
      </c>
      <c r="C45" s="17">
        <f>C44/'Revenue BuildUp'!C$10</f>
        <v>3.1742542765156902E-2</v>
      </c>
      <c r="D45" s="17">
        <f>D44/'Revenue BuildUp'!D$10</f>
        <v>1.1804507840716865E-2</v>
      </c>
      <c r="E45" s="17">
        <f>E44/'Revenue BuildUp'!E$10</f>
        <v>1.3964975617264517E-2</v>
      </c>
      <c r="F45" s="17">
        <f>F44/'Revenue BuildUp'!F$10</f>
        <v>2.4682087329041154E-3</v>
      </c>
      <c r="G45" s="17">
        <f>G44/'Revenue BuildUp'!G$10</f>
        <v>4.042041109450515E-2</v>
      </c>
      <c r="H45" s="23">
        <f>AVERAGE(C45:G45)</f>
        <v>2.0080129210109508E-2</v>
      </c>
      <c r="I45" s="23">
        <f>H45</f>
        <v>2.0080129210109508E-2</v>
      </c>
      <c r="J45" s="23">
        <f t="shared" ref="J45:Q45" si="9">I45</f>
        <v>2.0080129210109508E-2</v>
      </c>
      <c r="K45" s="23">
        <f t="shared" si="9"/>
        <v>2.0080129210109508E-2</v>
      </c>
      <c r="L45" s="23">
        <f t="shared" si="9"/>
        <v>2.0080129210109508E-2</v>
      </c>
      <c r="M45" s="23">
        <f t="shared" si="9"/>
        <v>2.0080129210109508E-2</v>
      </c>
      <c r="N45" s="23">
        <f t="shared" si="9"/>
        <v>2.0080129210109508E-2</v>
      </c>
      <c r="O45" s="23">
        <f t="shared" si="9"/>
        <v>2.0080129210109508E-2</v>
      </c>
      <c r="P45" s="23">
        <f t="shared" si="9"/>
        <v>2.0080129210109508E-2</v>
      </c>
      <c r="Q45" s="23">
        <f t="shared" si="9"/>
        <v>2.0080129210109508E-2</v>
      </c>
    </row>
    <row r="46" spans="2:17" x14ac:dyDescent="0.25">
      <c r="B46" t="s">
        <v>55</v>
      </c>
      <c r="C46" s="324">
        <f>'Historical Balance Sheet'!C53</f>
        <v>1653</v>
      </c>
      <c r="D46" s="324">
        <f>'Historical Balance Sheet'!D53</f>
        <v>1618</v>
      </c>
      <c r="E46" s="324">
        <f>'Historical Balance Sheet'!E53</f>
        <v>2466</v>
      </c>
      <c r="F46" s="324">
        <f>'Historical Balance Sheet'!F53</f>
        <v>3338</v>
      </c>
      <c r="G46" s="324">
        <f>'Historical Balance Sheet'!G53</f>
        <v>5940</v>
      </c>
      <c r="H46" s="150">
        <f>H47*'Revenue BuildUp'!H$10</f>
        <v>5175.2324337931668</v>
      </c>
      <c r="I46" s="150">
        <f>I47*'Revenue BuildUp'!I$10</f>
        <v>6166.5774532837995</v>
      </c>
      <c r="J46" s="150">
        <f>J47*'Revenue BuildUp'!J$10</f>
        <v>7187.1145417513326</v>
      </c>
      <c r="K46" s="150">
        <f>K47*'Revenue BuildUp'!K$10</f>
        <v>8213.9852071326131</v>
      </c>
      <c r="L46" s="150">
        <f>L47*'Revenue BuildUp'!L$10</f>
        <v>9226.5671736698059</v>
      </c>
      <c r="M46" s="150">
        <f>M47*'Revenue BuildUp'!M$10</f>
        <v>10207.440261548656</v>
      </c>
      <c r="N46" s="150">
        <f>N47*'Revenue BuildUp'!N$10</f>
        <v>11142.851753333251</v>
      </c>
      <c r="O46" s="150">
        <f>O47*'Revenue BuildUp'!O$10</f>
        <v>12022.768514383524</v>
      </c>
      <c r="P46" s="150">
        <f>P47*'Revenue BuildUp'!P$10</f>
        <v>12840.629948274267</v>
      </c>
      <c r="Q46" s="150">
        <f>Q47*'Revenue BuildUp'!Q$10</f>
        <v>13592.915149032004</v>
      </c>
    </row>
    <row r="47" spans="2:17" x14ac:dyDescent="0.25">
      <c r="B47" s="22" t="s">
        <v>137</v>
      </c>
      <c r="C47" s="17">
        <f>C46/'Revenue BuildUp'!C$10</f>
        <v>2.1372881136783855E-2</v>
      </c>
      <c r="D47" s="17">
        <f>D46/'Revenue BuildUp'!D$10</f>
        <v>1.479449549673113E-2</v>
      </c>
      <c r="E47" s="17">
        <f>E46/'Revenue BuildUp'!E$10</f>
        <v>1.725332157924564E-2</v>
      </c>
      <c r="F47" s="17">
        <f>F46/'Revenue BuildUp'!F$10</f>
        <v>2.0545837282877649E-2</v>
      </c>
      <c r="G47" s="17">
        <f>G46/'Revenue BuildUp'!G$10</f>
        <v>2.8823198307486267E-2</v>
      </c>
      <c r="H47" s="23">
        <f>AVERAGE(C47:G47)</f>
        <v>2.0557946760624911E-2</v>
      </c>
      <c r="I47" s="23">
        <f>H47</f>
        <v>2.0557946760624911E-2</v>
      </c>
      <c r="J47" s="23">
        <f t="shared" ref="J47:Q47" si="10">I47</f>
        <v>2.0557946760624911E-2</v>
      </c>
      <c r="K47" s="23">
        <f t="shared" si="10"/>
        <v>2.0557946760624911E-2</v>
      </c>
      <c r="L47" s="23">
        <f t="shared" si="10"/>
        <v>2.0557946760624911E-2</v>
      </c>
      <c r="M47" s="23">
        <f t="shared" si="10"/>
        <v>2.0557946760624911E-2</v>
      </c>
      <c r="N47" s="23">
        <f t="shared" si="10"/>
        <v>2.0557946760624911E-2</v>
      </c>
      <c r="O47" s="23">
        <f t="shared" si="10"/>
        <v>2.0557946760624911E-2</v>
      </c>
      <c r="P47" s="23">
        <f t="shared" si="10"/>
        <v>2.0557946760624911E-2</v>
      </c>
      <c r="Q47" s="23">
        <f t="shared" si="10"/>
        <v>2.0557946760624911E-2</v>
      </c>
    </row>
    <row r="48" spans="2:17" x14ac:dyDescent="0.25">
      <c r="B48" t="s">
        <v>56</v>
      </c>
      <c r="C48" s="324">
        <f>'Historical Balance Sheet'!C54</f>
        <v>725</v>
      </c>
      <c r="D48" s="324">
        <f>'Historical Balance Sheet'!D54</f>
        <v>468</v>
      </c>
      <c r="E48" s="324">
        <f>'Historical Balance Sheet'!E54</f>
        <v>2060</v>
      </c>
      <c r="F48" s="324">
        <f>'Historical Balance Sheet'!F54</f>
        <v>1303</v>
      </c>
      <c r="G48" s="324">
        <f>'Historical Balance Sheet'!G54</f>
        <v>4841</v>
      </c>
      <c r="H48" s="150">
        <f>H49*'Revenue BuildUp'!H$10</f>
        <v>2999.5496503853888</v>
      </c>
      <c r="I48" s="150">
        <f>I49*'Revenue BuildUp'!I$10</f>
        <v>3574.130337275416</v>
      </c>
      <c r="J48" s="150">
        <f>J49*'Revenue BuildUp'!J$10</f>
        <v>4165.6306623486325</v>
      </c>
      <c r="K48" s="150">
        <f>K49*'Revenue BuildUp'!K$10</f>
        <v>4760.8019101601722</v>
      </c>
      <c r="L48" s="150">
        <f>L49*'Revenue BuildUp'!L$10</f>
        <v>5347.6914697247494</v>
      </c>
      <c r="M48" s="150">
        <f>M49*'Revenue BuildUp'!M$10</f>
        <v>5916.2026555427328</v>
      </c>
      <c r="N48" s="150">
        <f>N49*'Revenue BuildUp'!N$10</f>
        <v>6458.3644326307713</v>
      </c>
      <c r="O48" s="150">
        <f>O49*'Revenue BuildUp'!O$10</f>
        <v>6968.361625364023</v>
      </c>
      <c r="P48" s="150">
        <f>P49*'Revenue BuildUp'!P$10</f>
        <v>7442.3917311563137</v>
      </c>
      <c r="Q48" s="150">
        <f>Q49*'Revenue BuildUp'!Q$10</f>
        <v>7878.4140431569103</v>
      </c>
    </row>
    <row r="49" spans="2:17" x14ac:dyDescent="0.25">
      <c r="B49" s="22" t="s">
        <v>137</v>
      </c>
      <c r="C49" s="17">
        <f>C48/'Revenue BuildUp'!C$10</f>
        <v>9.3740706740280053E-3</v>
      </c>
      <c r="D49" s="17">
        <f>D48/'Revenue BuildUp'!D$10</f>
        <v>4.2792483884240848E-3</v>
      </c>
      <c r="E49" s="17">
        <f>E48/'Revenue BuildUp'!E$10</f>
        <v>1.4412750386555562E-2</v>
      </c>
      <c r="F49" s="17">
        <f>F48/'Revenue BuildUp'!F$10</f>
        <v>8.0201395984390578E-3</v>
      </c>
      <c r="G49" s="17">
        <f>G48/'Revenue BuildUp'!G$10</f>
        <v>2.3490421381572563E-2</v>
      </c>
      <c r="H49" s="23">
        <f>AVERAGE(C49:G49)</f>
        <v>1.1915326085803854E-2</v>
      </c>
      <c r="I49" s="23">
        <f>H49</f>
        <v>1.1915326085803854E-2</v>
      </c>
      <c r="J49" s="23">
        <f t="shared" ref="J49:Q49" si="11">I49</f>
        <v>1.1915326085803854E-2</v>
      </c>
      <c r="K49" s="23">
        <f t="shared" si="11"/>
        <v>1.1915326085803854E-2</v>
      </c>
      <c r="L49" s="23">
        <f t="shared" si="11"/>
        <v>1.1915326085803854E-2</v>
      </c>
      <c r="M49" s="23">
        <f t="shared" si="11"/>
        <v>1.1915326085803854E-2</v>
      </c>
      <c r="N49" s="23">
        <f t="shared" si="11"/>
        <v>1.1915326085803854E-2</v>
      </c>
      <c r="O49" s="23">
        <f t="shared" si="11"/>
        <v>1.1915326085803854E-2</v>
      </c>
      <c r="P49" s="23">
        <f t="shared" si="11"/>
        <v>1.1915326085803854E-2</v>
      </c>
      <c r="Q49" s="23">
        <f t="shared" si="11"/>
        <v>1.1915326085803854E-2</v>
      </c>
    </row>
    <row r="51" spans="2:17" x14ac:dyDescent="0.25">
      <c r="B51" s="1" t="s">
        <v>57</v>
      </c>
    </row>
    <row r="53" spans="2:17" x14ac:dyDescent="0.25">
      <c r="B53" s="1" t="s">
        <v>58</v>
      </c>
    </row>
    <row r="54" spans="2:17" x14ac:dyDescent="0.25">
      <c r="B54" t="s">
        <v>59</v>
      </c>
      <c r="C54" s="324">
        <f>'Historical Balance Sheet'!C59</f>
        <v>674</v>
      </c>
      <c r="D54" s="324">
        <f>'Historical Balance Sheet'!D59</f>
        <v>1346</v>
      </c>
      <c r="E54" s="324">
        <f>'Historical Balance Sheet'!E59</f>
        <v>1157</v>
      </c>
      <c r="F54" s="324">
        <f>'Historical Balance Sheet'!F59</f>
        <v>1825</v>
      </c>
      <c r="G54" s="324">
        <f>'Historical Balance Sheet'!G59</f>
        <v>2194</v>
      </c>
      <c r="H54" s="150">
        <f>H55*'Revenue BuildUp'!H$10</f>
        <v>2567.5470695528666</v>
      </c>
      <c r="I54" s="150">
        <f>I55*'Revenue BuildUp'!I$10</f>
        <v>3059.3752207076964</v>
      </c>
      <c r="J54" s="150">
        <f>J55*'Revenue BuildUp'!J$10</f>
        <v>3565.6862017865324</v>
      </c>
      <c r="K54" s="150">
        <f>K55*'Revenue BuildUp'!K$10</f>
        <v>4075.1394102054373</v>
      </c>
      <c r="L54" s="150">
        <f>L55*'Revenue BuildUp'!L$10</f>
        <v>4577.5036796608865</v>
      </c>
      <c r="M54" s="150">
        <f>M55*'Revenue BuildUp'!M$10</f>
        <v>5064.1364743430631</v>
      </c>
      <c r="N54" s="150">
        <f>N55*'Revenue BuildUp'!N$10</f>
        <v>5528.2147674985426</v>
      </c>
      <c r="O54" s="150">
        <f>O55*'Revenue BuildUp'!O$10</f>
        <v>5964.7608995201317</v>
      </c>
      <c r="P54" s="150">
        <f>P55*'Revenue BuildUp'!P$10</f>
        <v>6370.5200136759704</v>
      </c>
      <c r="Q54" s="150">
        <f>Q55*'Revenue BuildUp'!Q$10</f>
        <v>6743.7453107778074</v>
      </c>
    </row>
    <row r="55" spans="2:17" x14ac:dyDescent="0.25">
      <c r="B55" s="22" t="s">
        <v>137</v>
      </c>
      <c r="C55" s="17">
        <f>C54/'Revenue BuildUp'!C$10</f>
        <v>8.7146532886825875E-3</v>
      </c>
      <c r="D55" s="17">
        <f>D54/'Revenue BuildUp'!D$10</f>
        <v>1.2307410963288072E-2</v>
      </c>
      <c r="E55" s="17">
        <f>E54/'Revenue BuildUp'!E$10</f>
        <v>8.0949282510897023E-3</v>
      </c>
      <c r="F55" s="17">
        <f>F54/'Revenue BuildUp'!F$10</f>
        <v>1.1233119545012495E-2</v>
      </c>
      <c r="G55" s="17">
        <f>G54/'Revenue BuildUp'!G$10</f>
        <v>1.0646144290677588E-2</v>
      </c>
      <c r="H55" s="23">
        <f>AVERAGE(C55:G55)</f>
        <v>1.0199251267750089E-2</v>
      </c>
      <c r="I55" s="23">
        <f>H55</f>
        <v>1.0199251267750089E-2</v>
      </c>
      <c r="J55" s="23">
        <f t="shared" ref="J55:Q55" si="12">I55</f>
        <v>1.0199251267750089E-2</v>
      </c>
      <c r="K55" s="23">
        <f t="shared" si="12"/>
        <v>1.0199251267750089E-2</v>
      </c>
      <c r="L55" s="23">
        <f t="shared" si="12"/>
        <v>1.0199251267750089E-2</v>
      </c>
      <c r="M55" s="23">
        <f t="shared" si="12"/>
        <v>1.0199251267750089E-2</v>
      </c>
      <c r="N55" s="23">
        <f t="shared" si="12"/>
        <v>1.0199251267750089E-2</v>
      </c>
      <c r="O55" s="23">
        <f t="shared" si="12"/>
        <v>1.0199251267750089E-2</v>
      </c>
      <c r="P55" s="23">
        <f t="shared" si="12"/>
        <v>1.0199251267750089E-2</v>
      </c>
      <c r="Q55" s="23">
        <f t="shared" si="12"/>
        <v>1.0199251267750089E-2</v>
      </c>
    </row>
    <row r="56" spans="2:17" x14ac:dyDescent="0.25">
      <c r="B56" s="20" t="s">
        <v>52</v>
      </c>
      <c r="C56" s="324">
        <f>'Historical Balance Sheet'!C61</f>
        <v>12969</v>
      </c>
      <c r="D56" s="324">
        <f>'Historical Balance Sheet'!D61</f>
        <v>17340</v>
      </c>
      <c r="E56" s="324">
        <f>'Historical Balance Sheet'!E61</f>
        <v>35477</v>
      </c>
      <c r="F56" s="324">
        <f>'Historical Balance Sheet'!F61</f>
        <v>33792</v>
      </c>
      <c r="G56" s="324">
        <f>'Historical Balance Sheet'!G61</f>
        <v>82554</v>
      </c>
      <c r="H56" s="150">
        <f>H57*'Revenue BuildUp'!H$10</f>
        <v>59562.919102254571</v>
      </c>
      <c r="I56" s="150">
        <f>I57*'Revenue BuildUp'!I$10</f>
        <v>70972.532864290959</v>
      </c>
      <c r="J56" s="150">
        <f>J57*'Revenue BuildUp'!J$10</f>
        <v>82718.124742313928</v>
      </c>
      <c r="K56" s="150">
        <f>K57*'Revenue BuildUp'!K$10</f>
        <v>94536.611187714807</v>
      </c>
      <c r="L56" s="150">
        <f>L57*'Revenue BuildUp'!L$10</f>
        <v>106190.64577047672</v>
      </c>
      <c r="M56" s="150">
        <f>M57*'Revenue BuildUp'!M$10</f>
        <v>117479.73570611179</v>
      </c>
      <c r="N56" s="150">
        <f>N57*'Revenue BuildUp'!N$10</f>
        <v>128245.59786307937</v>
      </c>
      <c r="O56" s="150">
        <f>O57*'Revenue BuildUp'!O$10</f>
        <v>138372.75862844451</v>
      </c>
      <c r="P56" s="150">
        <f>P57*'Revenue BuildUp'!P$10</f>
        <v>147785.71061599097</v>
      </c>
      <c r="Q56" s="150">
        <f>Q57*'Revenue BuildUp'!Q$10</f>
        <v>156443.93092354038</v>
      </c>
    </row>
    <row r="57" spans="2:17" x14ac:dyDescent="0.25">
      <c r="B57" s="22" t="s">
        <v>137</v>
      </c>
      <c r="C57" s="17">
        <f>C56/'Revenue BuildUp'!C$10</f>
        <v>0.16768596216754372</v>
      </c>
      <c r="D57" s="17">
        <f>D56/'Revenue BuildUp'!D$10</f>
        <v>0.15855163900699493</v>
      </c>
      <c r="E57" s="17">
        <f>E56/'Revenue BuildUp'!E$10</f>
        <v>0.24821414828341345</v>
      </c>
      <c r="F57" s="17">
        <f>F56/'Revenue BuildUp'!F$10</f>
        <v>0.20799428803565054</v>
      </c>
      <c r="G57" s="17">
        <f>G56/'Revenue BuildUp'!G$10</f>
        <v>0.40058422779060965</v>
      </c>
      <c r="H57" s="23">
        <f>AVERAGE(C57:G57)</f>
        <v>0.23660605305684249</v>
      </c>
      <c r="I57" s="23">
        <f>H57</f>
        <v>0.23660605305684249</v>
      </c>
      <c r="J57" s="23">
        <f t="shared" ref="J57:Q57" si="13">I57</f>
        <v>0.23660605305684249</v>
      </c>
      <c r="K57" s="23">
        <f t="shared" si="13"/>
        <v>0.23660605305684249</v>
      </c>
      <c r="L57" s="23">
        <f t="shared" si="13"/>
        <v>0.23660605305684249</v>
      </c>
      <c r="M57" s="23">
        <f t="shared" si="13"/>
        <v>0.23660605305684249</v>
      </c>
      <c r="N57" s="23">
        <f t="shared" si="13"/>
        <v>0.23660605305684249</v>
      </c>
      <c r="O57" s="23">
        <f t="shared" si="13"/>
        <v>0.23660605305684249</v>
      </c>
      <c r="P57" s="23">
        <f t="shared" si="13"/>
        <v>0.23660605305684249</v>
      </c>
      <c r="Q57" s="23">
        <f t="shared" si="13"/>
        <v>0.23660605305684249</v>
      </c>
    </row>
    <row r="58" spans="2:17" x14ac:dyDescent="0.25">
      <c r="B58" s="20" t="s">
        <v>53</v>
      </c>
      <c r="C58" s="324">
        <f>'Historical Balance Sheet'!C62</f>
        <v>1422</v>
      </c>
      <c r="D58" s="324">
        <f>'Historical Balance Sheet'!D62</f>
        <v>1792</v>
      </c>
      <c r="E58" s="324">
        <f>'Historical Balance Sheet'!E62</f>
        <v>1859</v>
      </c>
      <c r="F58" s="324">
        <f>'Historical Balance Sheet'!F62</f>
        <v>2412</v>
      </c>
      <c r="G58" s="324">
        <f>'Historical Balance Sheet'!G62</f>
        <v>3258</v>
      </c>
      <c r="H58" s="150">
        <f>H59*'Revenue BuildUp'!H$10</f>
        <v>3948.9424047995776</v>
      </c>
      <c r="I58" s="150">
        <f>I59*'Revenue BuildUp'!I$10</f>
        <v>4705.3846391021079</v>
      </c>
      <c r="J58" s="150">
        <f>J59*'Revenue BuildUp'!J$10</f>
        <v>5484.1017761344128</v>
      </c>
      <c r="K58" s="150">
        <f>K59*'Revenue BuildUp'!K$10</f>
        <v>6267.6517261405725</v>
      </c>
      <c r="L58" s="150">
        <f>L59*'Revenue BuildUp'!L$10</f>
        <v>7040.2987361345358</v>
      </c>
      <c r="M58" s="150">
        <f>M59*'Revenue BuildUp'!M$10</f>
        <v>7788.7504008673004</v>
      </c>
      <c r="N58" s="150">
        <f>N59*'Revenue BuildUp'!N$10</f>
        <v>8502.5127590030879</v>
      </c>
      <c r="O58" s="150">
        <f>O59*'Revenue BuildUp'!O$10</f>
        <v>9173.9300634155425</v>
      </c>
      <c r="P58" s="150">
        <f>P59*'Revenue BuildUp'!P$10</f>
        <v>9797.996274713063</v>
      </c>
      <c r="Q58" s="150">
        <f>Q59*'Revenue BuildUp'!Q$10</f>
        <v>10372.024778317489</v>
      </c>
    </row>
    <row r="59" spans="2:17" x14ac:dyDescent="0.25">
      <c r="B59" s="22" t="s">
        <v>137</v>
      </c>
      <c r="C59" s="17">
        <f>C58/'Revenue BuildUp'!C$10</f>
        <v>1.8386108273748723E-2</v>
      </c>
      <c r="D59" s="17">
        <f>D58/'Revenue BuildUp'!D$10</f>
        <v>1.6385498102683672E-2</v>
      </c>
      <c r="E59" s="17">
        <f>E58/'Revenue BuildUp'!E$10</f>
        <v>1.3006457751750869E-2</v>
      </c>
      <c r="F59" s="17">
        <f>F58/'Revenue BuildUp'!F$10</f>
        <v>1.4846183201408295E-2</v>
      </c>
      <c r="G59" s="17">
        <f>G58/'Revenue BuildUp'!G$10</f>
        <v>1.5809087556530346E-2</v>
      </c>
      <c r="H59" s="23">
        <f>AVERAGE(C59:G59)</f>
        <v>1.568666697722438E-2</v>
      </c>
      <c r="I59" s="23">
        <f>H59</f>
        <v>1.568666697722438E-2</v>
      </c>
      <c r="J59" s="23">
        <f t="shared" ref="J59:Q59" si="14">I59</f>
        <v>1.568666697722438E-2</v>
      </c>
      <c r="K59" s="23">
        <f t="shared" si="14"/>
        <v>1.568666697722438E-2</v>
      </c>
      <c r="L59" s="23">
        <f t="shared" si="14"/>
        <v>1.568666697722438E-2</v>
      </c>
      <c r="M59" s="23">
        <f t="shared" si="14"/>
        <v>1.568666697722438E-2</v>
      </c>
      <c r="N59" s="23">
        <f t="shared" si="14"/>
        <v>1.568666697722438E-2</v>
      </c>
      <c r="O59" s="23">
        <f t="shared" si="14"/>
        <v>1.568666697722438E-2</v>
      </c>
      <c r="P59" s="23">
        <f t="shared" si="14"/>
        <v>1.568666697722438E-2</v>
      </c>
      <c r="Q59" s="23">
        <f t="shared" si="14"/>
        <v>1.568666697722438E-2</v>
      </c>
    </row>
    <row r="60" spans="2:17" x14ac:dyDescent="0.25">
      <c r="B60" s="20" t="s">
        <v>54</v>
      </c>
      <c r="C60" s="324">
        <f>'Historical Balance Sheet'!C66</f>
        <v>4877</v>
      </c>
      <c r="D60" s="324">
        <f>'Historical Balance Sheet'!D66</f>
        <v>5788</v>
      </c>
      <c r="E60" s="324">
        <f>'Historical Balance Sheet'!E66</f>
        <v>7428</v>
      </c>
      <c r="F60" s="324">
        <f>'Historical Balance Sheet'!F66</f>
        <v>5810</v>
      </c>
      <c r="G60" s="324">
        <f>'Historical Balance Sheet'!G66</f>
        <v>14526</v>
      </c>
      <c r="H60" s="150">
        <f>H61*'Revenue BuildUp'!H$10</f>
        <v>13805.309805816913</v>
      </c>
      <c r="I60" s="150">
        <f>I61*'Revenue BuildUp'!I$10</f>
        <v>16449.794917085786</v>
      </c>
      <c r="J60" s="150">
        <f>J61*'Revenue BuildUp'!J$10</f>
        <v>19172.152000532631</v>
      </c>
      <c r="K60" s="150">
        <f>K61*'Revenue BuildUp'!K$10</f>
        <v>21911.404362132063</v>
      </c>
      <c r="L60" s="150">
        <f>L61*'Revenue BuildUp'!L$10</f>
        <v>24612.540577879467</v>
      </c>
      <c r="M60" s="150">
        <f>M61*'Revenue BuildUp'!M$10</f>
        <v>27229.091048141301</v>
      </c>
      <c r="N60" s="150">
        <f>N61*'Revenue BuildUp'!N$10</f>
        <v>29724.369396546357</v>
      </c>
      <c r="O60" s="150">
        <f>O61*'Revenue BuildUp'!O$10</f>
        <v>32071.611504999157</v>
      </c>
      <c r="P60" s="150">
        <f>P61*'Revenue BuildUp'!P$10</f>
        <v>34253.316504249939</v>
      </c>
      <c r="Q60" s="150">
        <f>Q61*'Revenue BuildUp'!Q$10</f>
        <v>36260.092120930734</v>
      </c>
    </row>
    <row r="61" spans="2:17" x14ac:dyDescent="0.25">
      <c r="B61" s="22" t="s">
        <v>137</v>
      </c>
      <c r="C61" s="17">
        <f>C60/'Revenue BuildUp'!C$10</f>
        <v>6.3058403692737353E-2</v>
      </c>
      <c r="D61" s="17">
        <f>D60/'Revenue BuildUp'!D$10</f>
        <v>5.2923695880766244E-2</v>
      </c>
      <c r="E61" s="17">
        <f>E60/'Revenue BuildUp'!E$10</f>
        <v>5.1969859160842097E-2</v>
      </c>
      <c r="F61" s="17">
        <f>F60/'Revenue BuildUp'!F$10</f>
        <v>3.576132852412197E-2</v>
      </c>
      <c r="G61" s="17">
        <f>G60/'Revenue BuildUp'!G$10</f>
        <v>7.0485821315580052E-2</v>
      </c>
      <c r="H61" s="23">
        <f>AVERAGE(C61:G61)</f>
        <v>5.4839821714809542E-2</v>
      </c>
      <c r="I61" s="23">
        <f>H61</f>
        <v>5.4839821714809542E-2</v>
      </c>
      <c r="J61" s="23">
        <f t="shared" ref="J61:Q61" si="15">I61</f>
        <v>5.4839821714809542E-2</v>
      </c>
      <c r="K61" s="23">
        <f t="shared" si="15"/>
        <v>5.4839821714809542E-2</v>
      </c>
      <c r="L61" s="23">
        <f t="shared" si="15"/>
        <v>5.4839821714809542E-2</v>
      </c>
      <c r="M61" s="23">
        <f t="shared" si="15"/>
        <v>5.4839821714809542E-2</v>
      </c>
      <c r="N61" s="23">
        <f t="shared" si="15"/>
        <v>5.4839821714809542E-2</v>
      </c>
      <c r="O61" s="23">
        <f t="shared" si="15"/>
        <v>5.4839821714809542E-2</v>
      </c>
      <c r="P61" s="23">
        <f t="shared" si="15"/>
        <v>5.4839821714809542E-2</v>
      </c>
      <c r="Q61" s="23">
        <f t="shared" si="15"/>
        <v>5.4839821714809542E-2</v>
      </c>
    </row>
    <row r="62" spans="2:17" x14ac:dyDescent="0.25">
      <c r="B62" t="s">
        <v>63</v>
      </c>
      <c r="C62" s="324">
        <f>'Historical Balance Sheet'!C67</f>
        <v>0</v>
      </c>
      <c r="D62" s="324">
        <f>'Historical Balance Sheet'!D67</f>
        <v>239</v>
      </c>
      <c r="E62" s="324">
        <f>'Historical Balance Sheet'!E67</f>
        <v>517</v>
      </c>
      <c r="F62" s="324">
        <f>'Historical Balance Sheet'!F67</f>
        <v>12</v>
      </c>
      <c r="G62" s="324">
        <f>'Historical Balance Sheet'!G67</f>
        <v>422</v>
      </c>
      <c r="H62" s="150">
        <f>H63*'Revenue BuildUp'!H$10</f>
        <v>398.96032720265083</v>
      </c>
      <c r="I62" s="150">
        <f>I63*'Revenue BuildUp'!I$10</f>
        <v>475.38343252331669</v>
      </c>
      <c r="J62" s="150">
        <f>J63*'Revenue BuildUp'!J$10</f>
        <v>554.05696379870835</v>
      </c>
      <c r="K62" s="150">
        <f>K63*'Revenue BuildUp'!K$10</f>
        <v>633.2187525485607</v>
      </c>
      <c r="L62" s="150">
        <f>L63*'Revenue BuildUp'!L$10</f>
        <v>711.27902092438842</v>
      </c>
      <c r="M62" s="150">
        <f>M63*'Revenue BuildUp'!M$10</f>
        <v>786.8948416804036</v>
      </c>
      <c r="N62" s="150">
        <f>N63*'Revenue BuildUp'!N$10</f>
        <v>859.0060134211426</v>
      </c>
      <c r="O62" s="150">
        <f>O63*'Revenue BuildUp'!O$10</f>
        <v>926.83907858115731</v>
      </c>
      <c r="P62" s="150">
        <f>P63*'Revenue BuildUp'!P$10</f>
        <v>989.88827867907912</v>
      </c>
      <c r="Q62" s="150">
        <f>Q63*'Revenue BuildUp'!Q$10</f>
        <v>1047.8821859448128</v>
      </c>
    </row>
    <row r="63" spans="2:17" x14ac:dyDescent="0.25">
      <c r="B63" s="22" t="s">
        <v>137</v>
      </c>
      <c r="C63" s="17">
        <f>C62/'Revenue BuildUp'!C$10</f>
        <v>0</v>
      </c>
      <c r="D63" s="17">
        <f>D62/'Revenue BuildUp'!D$10</f>
        <v>2.1853426599003339E-3</v>
      </c>
      <c r="E63" s="17">
        <f>E62/'Revenue BuildUp'!E$10</f>
        <v>3.6171805581792357E-3</v>
      </c>
      <c r="F63" s="17">
        <f>F62/'Revenue BuildUp'!F$10</f>
        <v>7.3861607967205445E-5</v>
      </c>
      <c r="G63" s="17">
        <f>G62/'Revenue BuildUp'!G$10</f>
        <v>2.0477087013062636E-3</v>
      </c>
      <c r="H63" s="23">
        <f>AVERAGE(C63:G63)</f>
        <v>1.5848187054706079E-3</v>
      </c>
      <c r="I63" s="23">
        <f>H63</f>
        <v>1.5848187054706079E-3</v>
      </c>
      <c r="J63" s="23">
        <f t="shared" ref="J63:Q63" si="16">I63</f>
        <v>1.5848187054706079E-3</v>
      </c>
      <c r="K63" s="23">
        <f t="shared" si="16"/>
        <v>1.5848187054706079E-3</v>
      </c>
      <c r="L63" s="23">
        <f t="shared" si="16"/>
        <v>1.5848187054706079E-3</v>
      </c>
      <c r="M63" s="23">
        <f t="shared" si="16"/>
        <v>1.5848187054706079E-3</v>
      </c>
      <c r="N63" s="23">
        <f t="shared" si="16"/>
        <v>1.5848187054706079E-3</v>
      </c>
      <c r="O63" s="23">
        <f t="shared" si="16"/>
        <v>1.5848187054706079E-3</v>
      </c>
      <c r="P63" s="23">
        <f t="shared" si="16"/>
        <v>1.5848187054706079E-3</v>
      </c>
      <c r="Q63" s="23">
        <f t="shared" si="16"/>
        <v>1.5848187054706079E-3</v>
      </c>
    </row>
    <row r="64" spans="2:17" x14ac:dyDescent="0.25">
      <c r="B64" t="s">
        <v>64</v>
      </c>
      <c r="C64" s="324">
        <f>'Historical Balance Sheet'!C68</f>
        <v>1930</v>
      </c>
      <c r="D64" s="324">
        <f>'Historical Balance Sheet'!D68</f>
        <v>2426</v>
      </c>
      <c r="E64" s="324">
        <f>'Historical Balance Sheet'!E68</f>
        <v>2375</v>
      </c>
      <c r="F64" s="324">
        <f>'Historical Balance Sheet'!F68</f>
        <v>2796</v>
      </c>
      <c r="G64" s="324">
        <f>'Historical Balance Sheet'!G68</f>
        <v>3836</v>
      </c>
      <c r="H64" s="150">
        <f>H65*'Revenue BuildUp'!H$10</f>
        <v>5013.4879516871733</v>
      </c>
      <c r="I64" s="150">
        <f>I65*'Revenue BuildUp'!I$10</f>
        <v>5973.8499015636089</v>
      </c>
      <c r="J64" s="150">
        <f>J65*'Revenue BuildUp'!J$10</f>
        <v>6962.4915640853833</v>
      </c>
      <c r="K64" s="150">
        <f>K65*'Revenue BuildUp'!K$10</f>
        <v>7957.268856640083</v>
      </c>
      <c r="L64" s="150">
        <f>L65*'Revenue BuildUp'!L$10</f>
        <v>8938.2040231808205</v>
      </c>
      <c r="M64" s="150">
        <f>M65*'Revenue BuildUp'!M$10</f>
        <v>9888.421326678912</v>
      </c>
      <c r="N64" s="150">
        <f>N65*'Revenue BuildUp'!N$10</f>
        <v>10794.597871196838</v>
      </c>
      <c r="O64" s="150">
        <f>O65*'Revenue BuildUp'!O$10</f>
        <v>11647.014093356698</v>
      </c>
      <c r="P64" s="150">
        <f>P65*'Revenue BuildUp'!P$10</f>
        <v>12439.314438783987</v>
      </c>
      <c r="Q64" s="150">
        <f>Q65*'Revenue BuildUp'!Q$10</f>
        <v>13168.088042381753</v>
      </c>
    </row>
    <row r="65" spans="2:17" x14ac:dyDescent="0.25">
      <c r="B65" s="22" t="s">
        <v>137</v>
      </c>
      <c r="C65" s="17">
        <f>C64/'Revenue BuildUp'!C$10</f>
        <v>2.4954422621895244E-2</v>
      </c>
      <c r="D65" s="17">
        <f>D64/'Revenue BuildUp'!D$10</f>
        <v>2.2182599551959035E-2</v>
      </c>
      <c r="E65" s="17">
        <f>E64/'Revenue BuildUp'!E$10</f>
        <v>1.6616641829159933E-2</v>
      </c>
      <c r="F65" s="17">
        <f>F64/'Revenue BuildUp'!F$10</f>
        <v>1.7209754656358867E-2</v>
      </c>
      <c r="G65" s="17">
        <f>G64/'Revenue BuildUp'!G$10</f>
        <v>1.8613769142679683E-2</v>
      </c>
      <c r="H65" s="23">
        <f>AVERAGE(C65:G65)</f>
        <v>1.9915437560410552E-2</v>
      </c>
      <c r="I65" s="23">
        <f>H65</f>
        <v>1.9915437560410552E-2</v>
      </c>
      <c r="J65" s="23">
        <f t="shared" ref="J65:Q65" si="17">I65</f>
        <v>1.9915437560410552E-2</v>
      </c>
      <c r="K65" s="23">
        <f t="shared" si="17"/>
        <v>1.9915437560410552E-2</v>
      </c>
      <c r="L65" s="23">
        <f t="shared" si="17"/>
        <v>1.9915437560410552E-2</v>
      </c>
      <c r="M65" s="23">
        <f t="shared" si="17"/>
        <v>1.9915437560410552E-2</v>
      </c>
      <c r="N65" s="23">
        <f t="shared" si="17"/>
        <v>1.9915437560410552E-2</v>
      </c>
      <c r="O65" s="23">
        <f t="shared" si="17"/>
        <v>1.9915437560410552E-2</v>
      </c>
      <c r="P65" s="23">
        <f t="shared" si="17"/>
        <v>1.9915437560410552E-2</v>
      </c>
      <c r="Q65" s="23">
        <f t="shared" si="17"/>
        <v>1.9915437560410552E-2</v>
      </c>
    </row>
    <row r="66" spans="2:17" x14ac:dyDescent="0.25">
      <c r="B66" t="s">
        <v>55</v>
      </c>
      <c r="C66" s="324">
        <f>'Historical Balance Sheet'!C69</f>
        <v>1508</v>
      </c>
      <c r="D66" s="324">
        <f>'Historical Balance Sheet'!D69</f>
        <v>1698</v>
      </c>
      <c r="E66" s="324">
        <f>'Historical Balance Sheet'!E69</f>
        <v>1775</v>
      </c>
      <c r="F66" s="324">
        <f>'Historical Balance Sheet'!F69</f>
        <v>2136</v>
      </c>
      <c r="G66" s="324">
        <f>'Historical Balance Sheet'!G69</f>
        <v>3519</v>
      </c>
      <c r="H66" s="150">
        <f>H67*'Revenue BuildUp'!H$10</f>
        <v>3910.2956722508807</v>
      </c>
      <c r="I66" s="150">
        <f>I67*'Revenue BuildUp'!I$10</f>
        <v>4659.3349065293805</v>
      </c>
      <c r="J66" s="150">
        <f>J67*'Revenue BuildUp'!J$10</f>
        <v>5430.4310479023416</v>
      </c>
      <c r="K66" s="150">
        <f>K67*'Revenue BuildUp'!K$10</f>
        <v>6206.3127054260312</v>
      </c>
      <c r="L66" s="150">
        <f>L67*'Revenue BuildUp'!L$10</f>
        <v>6971.398125685615</v>
      </c>
      <c r="M66" s="150">
        <f>M67*'Revenue BuildUp'!M$10</f>
        <v>7712.5249909284203</v>
      </c>
      <c r="N66" s="150">
        <f>N67*'Revenue BuildUp'!N$10</f>
        <v>8419.3020400547175</v>
      </c>
      <c r="O66" s="150">
        <f>O67*'Revenue BuildUp'!O$10</f>
        <v>9084.1484496978155</v>
      </c>
      <c r="P66" s="150">
        <f>P67*'Revenue BuildUp'!P$10</f>
        <v>9702.1071725874554</v>
      </c>
      <c r="Q66" s="150">
        <f>Q67*'Revenue BuildUp'!Q$10</f>
        <v>10270.51788697643</v>
      </c>
    </row>
    <row r="67" spans="2:17" x14ac:dyDescent="0.25">
      <c r="B67" s="22" t="s">
        <v>137</v>
      </c>
      <c r="C67" s="17">
        <f>C66/'Revenue BuildUp'!C$10</f>
        <v>1.9498067001978252E-2</v>
      </c>
      <c r="D67" s="17">
        <f>D66/'Revenue BuildUp'!D$10</f>
        <v>1.5525990947743793E-2</v>
      </c>
      <c r="E67" s="17">
        <f>E66/'Revenue BuildUp'!E$10</f>
        <v>1.2418753367056371E-2</v>
      </c>
      <c r="F67" s="17">
        <f>F66/'Revenue BuildUp'!F$10</f>
        <v>1.314736621816257E-2</v>
      </c>
      <c r="G67" s="17">
        <f>G66/'Revenue BuildUp'!G$10</f>
        <v>1.7075561421556258E-2</v>
      </c>
      <c r="H67" s="23">
        <f>AVERAGE(C67:G67)</f>
        <v>1.553314779129945E-2</v>
      </c>
      <c r="I67" s="23">
        <f>H67</f>
        <v>1.553314779129945E-2</v>
      </c>
      <c r="J67" s="23">
        <f t="shared" ref="J67:Q67" si="18">I67</f>
        <v>1.553314779129945E-2</v>
      </c>
      <c r="K67" s="23">
        <f t="shared" si="18"/>
        <v>1.553314779129945E-2</v>
      </c>
      <c r="L67" s="23">
        <f t="shared" si="18"/>
        <v>1.553314779129945E-2</v>
      </c>
      <c r="M67" s="23">
        <f t="shared" si="18"/>
        <v>1.553314779129945E-2</v>
      </c>
      <c r="N67" s="23">
        <f t="shared" si="18"/>
        <v>1.553314779129945E-2</v>
      </c>
      <c r="O67" s="23">
        <f t="shared" si="18"/>
        <v>1.553314779129945E-2</v>
      </c>
      <c r="P67" s="23">
        <f t="shared" si="18"/>
        <v>1.553314779129945E-2</v>
      </c>
      <c r="Q67" s="23">
        <f t="shared" si="18"/>
        <v>1.553314779129945E-2</v>
      </c>
    </row>
    <row r="69" spans="2:17" x14ac:dyDescent="0.25">
      <c r="B69" s="222"/>
      <c r="C69" s="222"/>
      <c r="D69" s="222"/>
      <c r="E69" s="222"/>
      <c r="F69" s="222"/>
      <c r="G69" s="222"/>
      <c r="H69" s="222"/>
      <c r="I69" s="222"/>
      <c r="J69" s="222"/>
      <c r="K69" s="222"/>
      <c r="L69" s="222"/>
      <c r="M69" s="222"/>
      <c r="N69" s="222"/>
      <c r="O69" s="222"/>
      <c r="P69" s="222"/>
      <c r="Q69" s="222"/>
    </row>
  </sheetData>
  <mergeCells count="2">
    <mergeCell ref="B5:Q5"/>
    <mergeCell ref="B7:B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17"/>
  <sheetViews>
    <sheetView showGridLines="0" workbookViewId="0">
      <selection activeCell="B7" sqref="B7:Q8"/>
    </sheetView>
  </sheetViews>
  <sheetFormatPr defaultRowHeight="15" x14ac:dyDescent="0.25"/>
  <cols>
    <col min="1" max="1" width="1.85546875" customWidth="1"/>
    <col min="2" max="2" width="16.7109375" bestFit="1" customWidth="1"/>
    <col min="3" max="16" width="10.7109375" bestFit="1" customWidth="1"/>
    <col min="17" max="17" width="12.28515625" bestFit="1" customWidth="1"/>
  </cols>
  <sheetData>
    <row r="5" spans="1:17" x14ac:dyDescent="0.25">
      <c r="B5" s="422" t="s">
        <v>359</v>
      </c>
      <c r="C5" s="422"/>
      <c r="D5" s="422"/>
      <c r="E5" s="422"/>
      <c r="F5" s="422"/>
      <c r="G5" s="422"/>
      <c r="H5" s="422"/>
      <c r="I5" s="422"/>
      <c r="J5" s="422"/>
      <c r="K5" s="422"/>
      <c r="L5" s="422"/>
      <c r="M5" s="422"/>
      <c r="N5" s="422"/>
      <c r="O5" s="422"/>
      <c r="P5" s="422"/>
      <c r="Q5" s="422"/>
    </row>
    <row r="6" spans="1:17" x14ac:dyDescent="0.25">
      <c r="B6" s="70" t="s">
        <v>353</v>
      </c>
    </row>
    <row r="7" spans="1:17" x14ac:dyDescent="0.25">
      <c r="A7" t="s">
        <v>20</v>
      </c>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row>
    <row r="8" spans="1:17"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row>
    <row r="9" spans="1:17" x14ac:dyDescent="0.25">
      <c r="B9" s="21" t="s">
        <v>139</v>
      </c>
      <c r="C9" s="21">
        <v>365</v>
      </c>
      <c r="D9" s="21">
        <v>365</v>
      </c>
      <c r="E9" s="21">
        <v>365</v>
      </c>
      <c r="F9" s="21">
        <v>365</v>
      </c>
      <c r="G9" s="21">
        <v>365</v>
      </c>
      <c r="H9" s="21">
        <v>365</v>
      </c>
      <c r="I9" s="21">
        <v>365</v>
      </c>
      <c r="J9" s="21">
        <v>365</v>
      </c>
      <c r="K9" s="21">
        <v>365</v>
      </c>
      <c r="L9" s="21">
        <v>365</v>
      </c>
      <c r="M9" s="21">
        <v>365</v>
      </c>
      <c r="N9" s="21">
        <v>365</v>
      </c>
      <c r="O9" s="21">
        <v>365</v>
      </c>
      <c r="P9" s="21">
        <v>365</v>
      </c>
      <c r="Q9" s="21">
        <v>365</v>
      </c>
    </row>
    <row r="11" spans="1:17" x14ac:dyDescent="0.25">
      <c r="B11" s="20" t="s">
        <v>37</v>
      </c>
      <c r="C11" s="324">
        <f>'Historical Balance Sheet'!C29</f>
        <v>12192</v>
      </c>
      <c r="D11" s="324">
        <f>'Historical Balance Sheet'!D29</f>
        <v>16738</v>
      </c>
      <c r="E11" s="324">
        <f>'Historical Balance Sheet'!E29</f>
        <v>21319</v>
      </c>
      <c r="F11" s="324">
        <f>'Historical Balance Sheet'!F29</f>
        <v>25444</v>
      </c>
      <c r="G11" s="324">
        <f>'Historical Balance Sheet'!G29</f>
        <v>35813</v>
      </c>
      <c r="H11" s="150">
        <f>H12*'Revenue BuildUp'!H10</f>
        <v>39786.535599346033</v>
      </c>
      <c r="I11" s="150">
        <f>I12*'Revenue BuildUp'!I10</f>
        <v>47407.871339099365</v>
      </c>
      <c r="J11" s="150">
        <f>J12*'Revenue BuildUp'!J10</f>
        <v>55253.63203105078</v>
      </c>
      <c r="K11" s="150">
        <f>K12*'Revenue BuildUp'!K10</f>
        <v>63148.084465174878</v>
      </c>
      <c r="L11" s="150">
        <f>L12*'Revenue BuildUp'!L10</f>
        <v>70932.687180952722</v>
      </c>
      <c r="M11" s="150">
        <f>M12*'Revenue BuildUp'!M10</f>
        <v>78473.516028465703</v>
      </c>
      <c r="N11" s="150">
        <f>N12*'Revenue BuildUp'!N10</f>
        <v>85664.841846975323</v>
      </c>
      <c r="O11" s="150">
        <f>O12*'Revenue BuildUp'!O10</f>
        <v>92429.531160133061</v>
      </c>
      <c r="P11" s="150">
        <f>P12*'Revenue BuildUp'!P10</f>
        <v>98717.146928334652</v>
      </c>
      <c r="Q11" s="150">
        <f>Q12*'Revenue BuildUp'!Q10</f>
        <v>104500.62086959515</v>
      </c>
    </row>
    <row r="12" spans="1:17" x14ac:dyDescent="0.25">
      <c r="B12" s="227" t="s">
        <v>137</v>
      </c>
      <c r="C12" s="228">
        <f>C11/'Historical P&amp;L'!C10</f>
        <v>0.15763954435551647</v>
      </c>
      <c r="D12" s="228">
        <f>D11/'Historical P&amp;L'!D10</f>
        <v>0.15304713573812462</v>
      </c>
      <c r="E12" s="228">
        <f>E11/'Historical P&amp;L'!E10</f>
        <v>0.14915797353930974</v>
      </c>
      <c r="F12" s="228">
        <f>F11/'Historical P&amp;L'!F10</f>
        <v>0.1566112294264646</v>
      </c>
      <c r="G12" s="228">
        <f>G11/'Historical P&amp;L'!G10</f>
        <v>0.17377865336464743</v>
      </c>
      <c r="H12" s="25">
        <f>AVERAGE(C12:G12)</f>
        <v>0.15804690728481258</v>
      </c>
      <c r="I12" s="25">
        <f>H12</f>
        <v>0.15804690728481258</v>
      </c>
      <c r="J12" s="25">
        <f t="shared" ref="J12:Q12" si="2">I12</f>
        <v>0.15804690728481258</v>
      </c>
      <c r="K12" s="25">
        <f t="shared" si="2"/>
        <v>0.15804690728481258</v>
      </c>
      <c r="L12" s="25">
        <f t="shared" si="2"/>
        <v>0.15804690728481258</v>
      </c>
      <c r="M12" s="25">
        <f t="shared" si="2"/>
        <v>0.15804690728481258</v>
      </c>
      <c r="N12" s="25">
        <f t="shared" si="2"/>
        <v>0.15804690728481258</v>
      </c>
      <c r="O12" s="25">
        <f t="shared" si="2"/>
        <v>0.15804690728481258</v>
      </c>
      <c r="P12" s="25">
        <f t="shared" si="2"/>
        <v>0.15804690728481258</v>
      </c>
      <c r="Q12" s="25">
        <f t="shared" si="2"/>
        <v>0.15804690728481258</v>
      </c>
    </row>
    <row r="13" spans="1:17" x14ac:dyDescent="0.25">
      <c r="B13" s="229"/>
      <c r="C13" s="230"/>
      <c r="D13" s="230"/>
      <c r="E13" s="230"/>
      <c r="F13" s="230"/>
      <c r="G13" s="230"/>
      <c r="H13" s="231"/>
      <c r="I13" s="231"/>
      <c r="J13" s="231"/>
      <c r="K13" s="231"/>
      <c r="L13" s="231"/>
      <c r="M13" s="231"/>
      <c r="N13" s="231"/>
      <c r="O13" s="231"/>
      <c r="P13" s="231"/>
      <c r="Q13" s="231"/>
    </row>
    <row r="14" spans="1:17" x14ac:dyDescent="0.25">
      <c r="B14" s="20" t="s">
        <v>60</v>
      </c>
      <c r="C14" s="324">
        <f>SUM('Historical Balance Sheet'!C64:C65)</f>
        <v>4499</v>
      </c>
      <c r="D14" s="324">
        <f>SUM('Historical Balance Sheet'!D64:D65)</f>
        <v>6072</v>
      </c>
      <c r="E14" s="324">
        <f>SUM('Historical Balance Sheet'!E64:E65)</f>
        <v>7052</v>
      </c>
      <c r="F14" s="324">
        <f>SUM('Historical Balance Sheet'!F64:F65)</f>
        <v>7915</v>
      </c>
      <c r="G14" s="324">
        <f>SUM('Historical Balance Sheet'!G64:G65)</f>
        <v>10481</v>
      </c>
      <c r="H14" s="150">
        <f>H15*'Revenue BuildUp'!H10</f>
        <v>13221.644579991909</v>
      </c>
      <c r="I14" s="150">
        <f>I15*'Revenue BuildUp'!I10</f>
        <v>15754.325318785977</v>
      </c>
      <c r="J14" s="150">
        <f>J15*'Revenue BuildUp'!J10</f>
        <v>18361.58573404963</v>
      </c>
      <c r="K14" s="150">
        <f>K15*'Revenue BuildUp'!K10</f>
        <v>20985.027123587362</v>
      </c>
      <c r="L14" s="150">
        <f>L15*'Revenue BuildUp'!L10</f>
        <v>23571.963853664111</v>
      </c>
      <c r="M14" s="150">
        <f>M15*'Revenue BuildUp'!M10</f>
        <v>26077.890980981159</v>
      </c>
      <c r="N14" s="150">
        <f>N15*'Revenue BuildUp'!N10</f>
        <v>28467.673167314977</v>
      </c>
      <c r="O14" s="150">
        <f>O15*'Revenue BuildUp'!O10</f>
        <v>30715.677836364659</v>
      </c>
      <c r="P14" s="150">
        <f>P15*'Revenue BuildUp'!P10</f>
        <v>32805.144026129637</v>
      </c>
      <c r="Q14" s="150">
        <f>Q15*'Revenue BuildUp'!Q10</f>
        <v>34727.076552726605</v>
      </c>
    </row>
    <row r="15" spans="1:17" x14ac:dyDescent="0.25">
      <c r="B15" s="227" t="s">
        <v>137</v>
      </c>
      <c r="C15" s="228">
        <f>C14/'Historical P&amp;L'!C10</f>
        <v>5.8170957189588965E-2</v>
      </c>
      <c r="D15" s="228">
        <f>D14/'Historical P&amp;L'!D10</f>
        <v>5.5520504731861202E-2</v>
      </c>
      <c r="E15" s="228">
        <f>E14/'Historical P&amp;L'!E10</f>
        <v>4.9339182391257196E-2</v>
      </c>
      <c r="F15" s="228">
        <f>F14/'Historical P&amp;L'!F10</f>
        <v>4.8717885588369259E-2</v>
      </c>
      <c r="G15" s="228">
        <f>G14/'Historical P&amp;L'!G10</f>
        <v>5.085790260282215E-2</v>
      </c>
      <c r="H15" s="25">
        <f>AVERAGE(C15:G15)</f>
        <v>5.2521286500779751E-2</v>
      </c>
      <c r="I15" s="25">
        <f>H15</f>
        <v>5.2521286500779751E-2</v>
      </c>
      <c r="J15" s="25">
        <f t="shared" ref="J15:Q15" si="3">I15</f>
        <v>5.2521286500779751E-2</v>
      </c>
      <c r="K15" s="25">
        <f t="shared" si="3"/>
        <v>5.2521286500779751E-2</v>
      </c>
      <c r="L15" s="25">
        <f t="shared" si="3"/>
        <v>5.2521286500779751E-2</v>
      </c>
      <c r="M15" s="25">
        <f t="shared" si="3"/>
        <v>5.2521286500779751E-2</v>
      </c>
      <c r="N15" s="25">
        <f t="shared" si="3"/>
        <v>5.2521286500779751E-2</v>
      </c>
      <c r="O15" s="25">
        <f t="shared" si="3"/>
        <v>5.2521286500779751E-2</v>
      </c>
      <c r="P15" s="25">
        <f t="shared" si="3"/>
        <v>5.2521286500779751E-2</v>
      </c>
      <c r="Q15" s="25">
        <f t="shared" si="3"/>
        <v>5.2521286500779751E-2</v>
      </c>
    </row>
    <row r="17" spans="2:17" x14ac:dyDescent="0.25">
      <c r="B17" s="222"/>
      <c r="C17" s="222"/>
      <c r="D17" s="222"/>
      <c r="E17" s="222"/>
      <c r="F17" s="222"/>
      <c r="G17" s="222"/>
      <c r="H17" s="222"/>
      <c r="I17" s="222"/>
      <c r="J17" s="222"/>
      <c r="K17" s="222"/>
      <c r="L17" s="222"/>
      <c r="M17" s="222"/>
      <c r="N17" s="222"/>
      <c r="O17" s="222"/>
      <c r="P17" s="222"/>
      <c r="Q17" s="222"/>
    </row>
  </sheetData>
  <mergeCells count="2">
    <mergeCell ref="B5:Q5"/>
    <mergeCell ref="B7:B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17"/>
  <sheetViews>
    <sheetView showGridLines="0" topLeftCell="B2" workbookViewId="0">
      <selection activeCell="B7" sqref="B7:Q8"/>
    </sheetView>
  </sheetViews>
  <sheetFormatPr defaultRowHeight="15" x14ac:dyDescent="0.25"/>
  <cols>
    <col min="1" max="1" width="1.85546875" customWidth="1"/>
    <col min="2" max="2" width="20.42578125" bestFit="1" customWidth="1"/>
    <col min="3" max="3" width="10.7109375" bestFit="1" customWidth="1"/>
    <col min="4" max="6" width="10.85546875" bestFit="1" customWidth="1"/>
    <col min="7" max="7" width="12.28515625" bestFit="1" customWidth="1"/>
    <col min="8" max="8" width="12.42578125" bestFit="1" customWidth="1"/>
    <col min="9" max="9" width="12.28515625" bestFit="1" customWidth="1"/>
    <col min="10" max="17" width="12.42578125" bestFit="1" customWidth="1"/>
  </cols>
  <sheetData>
    <row r="5" spans="1:17" x14ac:dyDescent="0.25">
      <c r="B5" s="422" t="s">
        <v>360</v>
      </c>
      <c r="C5" s="422"/>
      <c r="D5" s="422"/>
      <c r="E5" s="422"/>
      <c r="F5" s="422"/>
      <c r="G5" s="422"/>
      <c r="H5" s="422"/>
      <c r="I5" s="422"/>
      <c r="J5" s="422"/>
      <c r="K5" s="422"/>
      <c r="L5" s="422"/>
      <c r="M5" s="422"/>
      <c r="N5" s="422"/>
      <c r="O5" s="422"/>
      <c r="P5" s="422"/>
      <c r="Q5" s="422"/>
    </row>
    <row r="6" spans="1:17" x14ac:dyDescent="0.25">
      <c r="B6" s="70" t="s">
        <v>353</v>
      </c>
    </row>
    <row r="7" spans="1:17" x14ac:dyDescent="0.25">
      <c r="A7" t="s">
        <v>20</v>
      </c>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row>
    <row r="8" spans="1:17"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row>
    <row r="9" spans="1:17" x14ac:dyDescent="0.25">
      <c r="B9" s="1" t="s">
        <v>140</v>
      </c>
    </row>
    <row r="10" spans="1:17" x14ac:dyDescent="0.25">
      <c r="B10" t="s">
        <v>141</v>
      </c>
      <c r="D10" s="328">
        <f>C12</f>
        <v>19275</v>
      </c>
      <c r="E10" s="328">
        <f t="shared" ref="E10:Q10" si="2">D12</f>
        <v>24975</v>
      </c>
      <c r="F10" s="328">
        <f t="shared" si="2"/>
        <v>53375</v>
      </c>
      <c r="G10" s="328">
        <f t="shared" si="2"/>
        <v>51219</v>
      </c>
      <c r="H10" s="328">
        <f t="shared" si="2"/>
        <v>124359</v>
      </c>
      <c r="I10" s="328">
        <f t="shared" si="2"/>
        <v>89101.43530734205</v>
      </c>
      <c r="J10" s="328">
        <f t="shared" si="2"/>
        <v>106169.31877951669</v>
      </c>
      <c r="K10" s="328">
        <f t="shared" si="2"/>
        <v>123739.79904878361</v>
      </c>
      <c r="L10" s="328">
        <f t="shared" si="2"/>
        <v>141419.32384906703</v>
      </c>
      <c r="M10" s="328">
        <f t="shared" si="2"/>
        <v>158852.84161643556</v>
      </c>
      <c r="N10" s="328">
        <f t="shared" si="2"/>
        <v>175740.43093777023</v>
      </c>
      <c r="O10" s="328">
        <f t="shared" si="2"/>
        <v>191845.31271597874</v>
      </c>
      <c r="P10" s="328">
        <f t="shared" si="2"/>
        <v>206994.74752177019</v>
      </c>
      <c r="Q10" s="328">
        <f t="shared" si="2"/>
        <v>221075.78225295315</v>
      </c>
    </row>
    <row r="11" spans="1:17" x14ac:dyDescent="0.25">
      <c r="B11" s="2" t="s">
        <v>143</v>
      </c>
      <c r="D11" s="150">
        <f>D12-D10</f>
        <v>5700</v>
      </c>
      <c r="E11" s="150">
        <f t="shared" ref="E11:Q11" si="3">E12-E10</f>
        <v>28400</v>
      </c>
      <c r="F11" s="150">
        <f t="shared" si="3"/>
        <v>-2156</v>
      </c>
      <c r="G11" s="150">
        <f t="shared" si="3"/>
        <v>73140</v>
      </c>
      <c r="H11" s="150">
        <f t="shared" si="3"/>
        <v>-35257.56469265795</v>
      </c>
      <c r="I11" s="150">
        <f t="shared" si="3"/>
        <v>17067.883472174639</v>
      </c>
      <c r="J11" s="150">
        <f t="shared" si="3"/>
        <v>17570.480269266918</v>
      </c>
      <c r="K11" s="150">
        <f t="shared" si="3"/>
        <v>17679.524800283427</v>
      </c>
      <c r="L11" s="150">
        <f t="shared" si="3"/>
        <v>17433.517767368525</v>
      </c>
      <c r="M11" s="150">
        <f t="shared" si="3"/>
        <v>16887.589321334672</v>
      </c>
      <c r="N11" s="150">
        <f t="shared" si="3"/>
        <v>16104.88177820851</v>
      </c>
      <c r="O11" s="150">
        <f t="shared" si="3"/>
        <v>15149.434805791447</v>
      </c>
      <c r="P11" s="150">
        <f t="shared" si="3"/>
        <v>14081.034731182968</v>
      </c>
      <c r="Q11" s="150">
        <f t="shared" si="3"/>
        <v>12952.015586835565</v>
      </c>
    </row>
    <row r="12" spans="1:17" x14ac:dyDescent="0.25">
      <c r="B12" s="8" t="s">
        <v>142</v>
      </c>
      <c r="C12" s="329">
        <f>'BS Items'!C40+'BS Items'!C42+'BS Items'!C56+'BS Items'!C58</f>
        <v>19275</v>
      </c>
      <c r="D12" s="329">
        <f>'BS Items'!D40+'BS Items'!D42+'BS Items'!D56+'BS Items'!D58</f>
        <v>24975</v>
      </c>
      <c r="E12" s="329">
        <f>'BS Items'!E40+'BS Items'!E42+'BS Items'!E56+'BS Items'!E58</f>
        <v>53375</v>
      </c>
      <c r="F12" s="329">
        <f>'BS Items'!F40+'BS Items'!F42+'BS Items'!F56+'BS Items'!F58</f>
        <v>51219</v>
      </c>
      <c r="G12" s="329">
        <f>'BS Items'!G40+'BS Items'!G42+'BS Items'!G56+'BS Items'!G58</f>
        <v>124359</v>
      </c>
      <c r="H12" s="329">
        <f>'BS Items'!H40+'BS Items'!H42+'BS Items'!H56+'BS Items'!H58</f>
        <v>89101.43530734205</v>
      </c>
      <c r="I12" s="329">
        <f>'BS Items'!I40+'BS Items'!I42+'BS Items'!I56+'BS Items'!I58</f>
        <v>106169.31877951669</v>
      </c>
      <c r="J12" s="329">
        <f>'BS Items'!J40+'BS Items'!J42+'BS Items'!J56+'BS Items'!J58</f>
        <v>123739.79904878361</v>
      </c>
      <c r="K12" s="329">
        <f>'BS Items'!K40+'BS Items'!K42+'BS Items'!K56+'BS Items'!K58</f>
        <v>141419.32384906703</v>
      </c>
      <c r="L12" s="329">
        <f>'BS Items'!L40+'BS Items'!L42+'BS Items'!L56+'BS Items'!L58</f>
        <v>158852.84161643556</v>
      </c>
      <c r="M12" s="329">
        <f>'BS Items'!M40+'BS Items'!M42+'BS Items'!M56+'BS Items'!M58</f>
        <v>175740.43093777023</v>
      </c>
      <c r="N12" s="329">
        <f>'BS Items'!N40+'BS Items'!N42+'BS Items'!N56+'BS Items'!N58</f>
        <v>191845.31271597874</v>
      </c>
      <c r="O12" s="329">
        <f>'BS Items'!O40+'BS Items'!O42+'BS Items'!O56+'BS Items'!O58</f>
        <v>206994.74752177019</v>
      </c>
      <c r="P12" s="329">
        <f>'BS Items'!P40+'BS Items'!P42+'BS Items'!P56+'BS Items'!P58</f>
        <v>221075.78225295315</v>
      </c>
      <c r="Q12" s="329">
        <f>'BS Items'!Q40+'BS Items'!Q42+'BS Items'!Q56+'BS Items'!Q58</f>
        <v>234027.79783978872</v>
      </c>
    </row>
    <row r="14" spans="1:17" x14ac:dyDescent="0.25">
      <c r="B14" s="1" t="s">
        <v>145</v>
      </c>
      <c r="C14" s="323">
        <f>'Historical P&amp;L'!C17</f>
        <v>697</v>
      </c>
      <c r="D14" s="323">
        <f>'Historical P&amp;L'!D17</f>
        <v>995</v>
      </c>
      <c r="E14" s="323">
        <f>'Historical P&amp;L'!E17</f>
        <v>2186</v>
      </c>
      <c r="F14" s="323">
        <f>'Historical P&amp;L'!F17</f>
        <v>4227</v>
      </c>
      <c r="G14" s="323">
        <f>'Historical P&amp;L'!G17</f>
        <v>9948</v>
      </c>
      <c r="H14" s="321">
        <f>H15*AVERAGE(H12,H10)</f>
        <v>7067.1936423690486</v>
      </c>
      <c r="I14" s="321">
        <f t="shared" ref="I14:Q14" si="4">I15*AVERAGE(I12,I10)</f>
        <v>6464.9743163706171</v>
      </c>
      <c r="J14" s="321">
        <f t="shared" si="4"/>
        <v>7611.772427519988</v>
      </c>
      <c r="K14" s="321">
        <f t="shared" si="4"/>
        <v>8778.8206037420587</v>
      </c>
      <c r="L14" s="321">
        <f t="shared" si="4"/>
        <v>9941.3342603878646</v>
      </c>
      <c r="M14" s="321">
        <f t="shared" si="4"/>
        <v>11077.628719204646</v>
      </c>
      <c r="N14" s="321">
        <f t="shared" si="4"/>
        <v>12169.935036602643</v>
      </c>
      <c r="O14" s="321">
        <f t="shared" si="4"/>
        <v>13204.694977670917</v>
      </c>
      <c r="P14" s="321">
        <f t="shared" si="4"/>
        <v>14172.44990695201</v>
      </c>
      <c r="Q14" s="321">
        <f t="shared" si="4"/>
        <v>15067.453241252679</v>
      </c>
    </row>
    <row r="15" spans="1:17" x14ac:dyDescent="0.25">
      <c r="B15" s="16" t="s">
        <v>144</v>
      </c>
      <c r="C15" s="17">
        <f>C14/AVERAGE(C12,C10)</f>
        <v>3.6160830090791178E-2</v>
      </c>
      <c r="D15" s="17">
        <f t="shared" ref="D15:G15" si="5">D14/AVERAGE(D12,D10)</f>
        <v>4.497175141242938E-2</v>
      </c>
      <c r="E15" s="17">
        <f t="shared" si="5"/>
        <v>5.580089342693044E-2</v>
      </c>
      <c r="F15" s="17">
        <f t="shared" si="5"/>
        <v>8.0826816069755433E-2</v>
      </c>
      <c r="G15" s="17">
        <f t="shared" si="5"/>
        <v>0.11331715818610533</v>
      </c>
      <c r="H15" s="23">
        <f>AVERAGE(C15:G15)</f>
        <v>6.6215489837202351E-2</v>
      </c>
      <c r="I15" s="23">
        <f>H15</f>
        <v>6.6215489837202351E-2</v>
      </c>
      <c r="J15" s="23">
        <f t="shared" ref="J15:Q15" si="6">I15</f>
        <v>6.6215489837202351E-2</v>
      </c>
      <c r="K15" s="23">
        <f t="shared" si="6"/>
        <v>6.6215489837202351E-2</v>
      </c>
      <c r="L15" s="23">
        <f t="shared" si="6"/>
        <v>6.6215489837202351E-2</v>
      </c>
      <c r="M15" s="23">
        <f t="shared" si="6"/>
        <v>6.6215489837202351E-2</v>
      </c>
      <c r="N15" s="23">
        <f t="shared" si="6"/>
        <v>6.6215489837202351E-2</v>
      </c>
      <c r="O15" s="23">
        <f t="shared" si="6"/>
        <v>6.6215489837202351E-2</v>
      </c>
      <c r="P15" s="23">
        <f t="shared" si="6"/>
        <v>6.6215489837202351E-2</v>
      </c>
      <c r="Q15" s="23">
        <f t="shared" si="6"/>
        <v>6.6215489837202351E-2</v>
      </c>
    </row>
    <row r="17" spans="2:17" x14ac:dyDescent="0.25">
      <c r="B17" s="222"/>
      <c r="C17" s="222"/>
      <c r="D17" s="222"/>
      <c r="E17" s="222"/>
      <c r="F17" s="222"/>
      <c r="G17" s="222"/>
      <c r="H17" s="222"/>
      <c r="I17" s="222"/>
      <c r="J17" s="222"/>
      <c r="K17" s="222"/>
      <c r="L17" s="222"/>
      <c r="M17" s="222"/>
      <c r="N17" s="222"/>
      <c r="O17" s="222"/>
      <c r="P17" s="222"/>
      <c r="Q17" s="222"/>
    </row>
  </sheetData>
  <mergeCells count="2">
    <mergeCell ref="B5:Q5"/>
    <mergeCell ref="B7:B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51"/>
  <sheetViews>
    <sheetView showGridLines="0" topLeftCell="C1" workbookViewId="0">
      <selection activeCell="B7" sqref="B7:Q8"/>
    </sheetView>
  </sheetViews>
  <sheetFormatPr defaultRowHeight="15" x14ac:dyDescent="0.25"/>
  <cols>
    <col min="1" max="1" width="1.85546875" customWidth="1"/>
    <col min="2" max="2" width="56.28515625" bestFit="1" customWidth="1"/>
    <col min="3" max="3" width="10.7109375" bestFit="1" customWidth="1"/>
    <col min="4" max="17" width="12.28515625" bestFit="1" customWidth="1"/>
  </cols>
  <sheetData>
    <row r="5" spans="1:17" x14ac:dyDescent="0.25">
      <c r="B5" s="422" t="s">
        <v>361</v>
      </c>
      <c r="C5" s="422"/>
      <c r="D5" s="422"/>
      <c r="E5" s="422"/>
      <c r="F5" s="422"/>
      <c r="G5" s="422"/>
      <c r="H5" s="422"/>
      <c r="I5" s="422"/>
      <c r="J5" s="422"/>
      <c r="K5" s="422"/>
      <c r="L5" s="422"/>
      <c r="M5" s="422"/>
      <c r="N5" s="422"/>
      <c r="O5" s="422"/>
      <c r="P5" s="422"/>
      <c r="Q5" s="422"/>
    </row>
    <row r="6" spans="1:17" x14ac:dyDescent="0.25">
      <c r="B6" s="70" t="s">
        <v>353</v>
      </c>
    </row>
    <row r="7" spans="1:17" x14ac:dyDescent="0.25">
      <c r="A7" t="s">
        <v>20</v>
      </c>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row>
    <row r="8" spans="1:17"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row>
    <row r="9" spans="1:17" x14ac:dyDescent="0.25">
      <c r="B9" t="s">
        <v>130</v>
      </c>
      <c r="C9" s="324">
        <f>'Revenue BuildUp'!C10</f>
        <v>77341</v>
      </c>
      <c r="D9" s="324">
        <f>'Revenue BuildUp'!D10</f>
        <v>109365</v>
      </c>
      <c r="E9" s="324">
        <f>'Revenue BuildUp'!E10</f>
        <v>142929</v>
      </c>
      <c r="F9" s="324">
        <f>'Revenue BuildUp'!F10</f>
        <v>162466</v>
      </c>
      <c r="G9" s="324">
        <f>'Revenue BuildUp'!G10</f>
        <v>206084</v>
      </c>
      <c r="H9" s="324">
        <f>'Revenue BuildUp'!H10</f>
        <v>251738.77985253875</v>
      </c>
      <c r="I9" s="324">
        <f>'Revenue BuildUp'!I10</f>
        <v>299960.76578497526</v>
      </c>
      <c r="J9" s="324">
        <f>'Revenue BuildUp'!J10</f>
        <v>349602.74123858381</v>
      </c>
      <c r="K9" s="324">
        <f>'Revenue BuildUp'!K10</f>
        <v>399552.80081107322</v>
      </c>
      <c r="L9" s="324">
        <f>'Revenue BuildUp'!L10</f>
        <v>448807.81534767151</v>
      </c>
      <c r="M9" s="324">
        <f>'Revenue BuildUp'!M10</f>
        <v>496520.41521477193</v>
      </c>
      <c r="N9" s="324">
        <f>'Revenue BuildUp'!N10</f>
        <v>542021.62711479538</v>
      </c>
      <c r="O9" s="324">
        <f>'Revenue BuildUp'!O10</f>
        <v>584823.40937914082</v>
      </c>
      <c r="P9" s="324">
        <f>'Revenue BuildUp'!P10</f>
        <v>624606.63498108718</v>
      </c>
      <c r="Q9" s="324">
        <f>'Revenue BuildUp'!Q10</f>
        <v>661200.03652635263</v>
      </c>
    </row>
    <row r="10" spans="1:17" x14ac:dyDescent="0.25">
      <c r="B10" s="8" t="s">
        <v>478</v>
      </c>
      <c r="C10" s="320">
        <f>C9</f>
        <v>77341</v>
      </c>
      <c r="D10" s="320">
        <f t="shared" ref="D10:Q10" si="2">D9</f>
        <v>109365</v>
      </c>
      <c r="E10" s="320">
        <f t="shared" si="2"/>
        <v>142929</v>
      </c>
      <c r="F10" s="320">
        <f t="shared" si="2"/>
        <v>162466</v>
      </c>
      <c r="G10" s="320">
        <f t="shared" si="2"/>
        <v>206084</v>
      </c>
      <c r="H10" s="320">
        <f t="shared" si="2"/>
        <v>251738.77985253875</v>
      </c>
      <c r="I10" s="320">
        <f t="shared" si="2"/>
        <v>299960.76578497526</v>
      </c>
      <c r="J10" s="320">
        <f t="shared" si="2"/>
        <v>349602.74123858381</v>
      </c>
      <c r="K10" s="320">
        <f t="shared" si="2"/>
        <v>399552.80081107322</v>
      </c>
      <c r="L10" s="320">
        <f t="shared" si="2"/>
        <v>448807.81534767151</v>
      </c>
      <c r="M10" s="320">
        <f t="shared" si="2"/>
        <v>496520.41521477193</v>
      </c>
      <c r="N10" s="320">
        <f t="shared" si="2"/>
        <v>542021.62711479538</v>
      </c>
      <c r="O10" s="320">
        <f t="shared" si="2"/>
        <v>584823.40937914082</v>
      </c>
      <c r="P10" s="320">
        <f t="shared" si="2"/>
        <v>624606.63498108718</v>
      </c>
      <c r="Q10" s="320">
        <f t="shared" si="2"/>
        <v>661200.03652635263</v>
      </c>
    </row>
    <row r="11" spans="1:17" x14ac:dyDescent="0.25">
      <c r="C11" s="330"/>
      <c r="D11" s="330"/>
      <c r="E11" s="330"/>
      <c r="F11" s="330"/>
      <c r="G11" s="330"/>
      <c r="H11" s="150"/>
      <c r="I11" s="150"/>
      <c r="J11" s="150"/>
      <c r="K11" s="150"/>
      <c r="L11" s="150"/>
      <c r="M11" s="150"/>
      <c r="N11" s="150"/>
      <c r="O11" s="150"/>
      <c r="P11" s="150"/>
      <c r="Q11" s="150"/>
    </row>
    <row r="12" spans="1:17" x14ac:dyDescent="0.25">
      <c r="B12" s="1" t="s">
        <v>157</v>
      </c>
      <c r="C12" s="330"/>
      <c r="D12" s="330"/>
      <c r="E12" s="330"/>
      <c r="F12" s="330"/>
      <c r="G12" s="330"/>
      <c r="H12" s="150"/>
      <c r="I12" s="150"/>
      <c r="J12" s="150"/>
      <c r="K12" s="150"/>
      <c r="L12" s="150"/>
      <c r="M12" s="150"/>
      <c r="N12" s="150"/>
      <c r="O12" s="150"/>
      <c r="P12" s="150"/>
      <c r="Q12" s="150"/>
    </row>
    <row r="13" spans="1:17" x14ac:dyDescent="0.25">
      <c r="B13" s="1"/>
      <c r="C13" s="330"/>
      <c r="D13" s="330"/>
      <c r="E13" s="330"/>
      <c r="F13" s="330"/>
      <c r="G13" s="330"/>
      <c r="H13" s="150"/>
      <c r="I13" s="150"/>
      <c r="J13" s="150"/>
      <c r="K13" s="150"/>
      <c r="L13" s="150"/>
      <c r="M13" s="150"/>
      <c r="N13" s="150"/>
      <c r="O13" s="150"/>
      <c r="P13" s="150"/>
      <c r="Q13" s="150"/>
    </row>
    <row r="14" spans="1:17" x14ac:dyDescent="0.25">
      <c r="B14" s="2" t="s">
        <v>452</v>
      </c>
      <c r="C14" s="324">
        <f>'Cost Buildup'!C13</f>
        <v>45238</v>
      </c>
      <c r="D14" s="324">
        <f>'Cost Buildup'!D13</f>
        <v>62000</v>
      </c>
      <c r="E14" s="324">
        <f>'Cost Buildup'!E13</f>
        <v>80681</v>
      </c>
      <c r="F14" s="324">
        <f>'Cost Buildup'!F13</f>
        <v>101469</v>
      </c>
      <c r="G14" s="324">
        <f>'Cost Buildup'!G13</f>
        <v>136534</v>
      </c>
      <c r="H14" s="324">
        <f>'Cost Buildup'!H13</f>
        <v>151213.43009447301</v>
      </c>
      <c r="I14" s="324">
        <f>'Cost Buildup'!I13</f>
        <v>180179.2171817167</v>
      </c>
      <c r="J14" s="324">
        <f>'Cost Buildup'!J13</f>
        <v>209997.95781994055</v>
      </c>
      <c r="K14" s="324">
        <f>'Cost Buildup'!K13</f>
        <v>240001.75717816333</v>
      </c>
      <c r="L14" s="324">
        <f>'Cost Buildup'!L13</f>
        <v>269588.05970094108</v>
      </c>
      <c r="M14" s="324">
        <f>'Cost Buildup'!M13</f>
        <v>298247.87083077797</v>
      </c>
      <c r="N14" s="324">
        <f>'Cost Buildup'!N13</f>
        <v>325579.35439834086</v>
      </c>
      <c r="O14" s="324">
        <f>'Cost Buildup'!O13</f>
        <v>351289.35551195429</v>
      </c>
      <c r="P14" s="324">
        <f>'Cost Buildup'!P13</f>
        <v>375186.18224248989</v>
      </c>
      <c r="Q14" s="324">
        <f>'Cost Buildup'!Q13</f>
        <v>397166.95838562242</v>
      </c>
    </row>
    <row r="15" spans="1:17" x14ac:dyDescent="0.25">
      <c r="B15" t="s">
        <v>8</v>
      </c>
      <c r="C15" s="324">
        <f>'Cost Buildup'!C16</f>
        <v>12954</v>
      </c>
      <c r="D15" s="324">
        <f>'Cost Buildup'!D16</f>
        <v>21598</v>
      </c>
      <c r="E15" s="324">
        <f>'Cost Buildup'!E16</f>
        <v>26362</v>
      </c>
      <c r="F15" s="324">
        <f>'Cost Buildup'!F16</f>
        <v>26882</v>
      </c>
      <c r="G15" s="324">
        <f>'Cost Buildup'!G16</f>
        <v>32518</v>
      </c>
      <c r="H15" s="324">
        <f>'Cost Buildup'!H16</f>
        <v>43937.029863934171</v>
      </c>
      <c r="I15" s="324">
        <f>'Cost Buildup'!I16</f>
        <v>52353.416235762808</v>
      </c>
      <c r="J15" s="324">
        <f>'Cost Buildup'!J16</f>
        <v>61017.639361367546</v>
      </c>
      <c r="K15" s="324">
        <f>'Cost Buildup'!K16</f>
        <v>69735.633706248875</v>
      </c>
      <c r="L15" s="324">
        <f>'Cost Buildup'!L16</f>
        <v>78332.318912678762</v>
      </c>
      <c r="M15" s="324">
        <f>'Cost Buildup'!M16</f>
        <v>86659.799988398256</v>
      </c>
      <c r="N15" s="324">
        <f>'Cost Buildup'!N16</f>
        <v>94601.318205287971</v>
      </c>
      <c r="O15" s="324">
        <f>'Cost Buildup'!O16</f>
        <v>102071.69359472835</v>
      </c>
      <c r="P15" s="324">
        <f>'Cost Buildup'!P16</f>
        <v>109015.22757221186</v>
      </c>
      <c r="Q15" s="324">
        <f>'Cost Buildup'!Q16</f>
        <v>115402.02811783725</v>
      </c>
    </row>
    <row r="16" spans="1:17" x14ac:dyDescent="0.25">
      <c r="B16" t="s">
        <v>18</v>
      </c>
      <c r="C16" s="324">
        <f>'Cost Buildup'!C19</f>
        <v>0</v>
      </c>
      <c r="D16" s="324">
        <f>'Cost Buildup'!D19</f>
        <v>0</v>
      </c>
      <c r="E16" s="324">
        <f>'Cost Buildup'!E19</f>
        <v>0</v>
      </c>
      <c r="F16" s="324">
        <f>'Cost Buildup'!F19</f>
        <v>530</v>
      </c>
      <c r="G16" s="324">
        <f>'Cost Buildup'!G19</f>
        <v>1590</v>
      </c>
      <c r="H16" s="324">
        <f>'Cost Buildup'!H19</f>
        <v>552.69357744959348</v>
      </c>
      <c r="I16" s="324">
        <f>'Cost Buildup'!I19</f>
        <v>658.56515564797144</v>
      </c>
      <c r="J16" s="324">
        <f>'Cost Buildup'!J19</f>
        <v>767.5543269675095</v>
      </c>
      <c r="K16" s="324">
        <f>'Cost Buildup'!K19</f>
        <v>877.21989829947086</v>
      </c>
      <c r="L16" s="324">
        <f>'Cost Buildup'!L19</f>
        <v>985.35949525592957</v>
      </c>
      <c r="M16" s="324">
        <f>'Cost Buildup'!M19</f>
        <v>1090.1127141497996</v>
      </c>
      <c r="N16" s="324">
        <f>'Cost Buildup'!N19</f>
        <v>1190.0108212195448</v>
      </c>
      <c r="O16" s="324">
        <f>'Cost Buildup'!O19</f>
        <v>1283.9823188757932</v>
      </c>
      <c r="P16" s="324">
        <f>'Cost Buildup'!P19</f>
        <v>1371.3265623543064</v>
      </c>
      <c r="Q16" s="324">
        <f>'Cost Buildup'!Q19</f>
        <v>1451.6675333518995</v>
      </c>
    </row>
    <row r="17" spans="2:17" x14ac:dyDescent="0.25">
      <c r="B17" s="8" t="s">
        <v>158</v>
      </c>
      <c r="C17" s="320">
        <f>SUM(C14:C16)</f>
        <v>58192</v>
      </c>
      <c r="D17" s="320">
        <f t="shared" ref="D17:Q17" si="3">SUM(D14:D16)</f>
        <v>83598</v>
      </c>
      <c r="E17" s="320">
        <f t="shared" si="3"/>
        <v>107043</v>
      </c>
      <c r="F17" s="320">
        <f t="shared" si="3"/>
        <v>128881</v>
      </c>
      <c r="G17" s="320">
        <f t="shared" si="3"/>
        <v>170642</v>
      </c>
      <c r="H17" s="320">
        <f t="shared" si="3"/>
        <v>195703.15353585678</v>
      </c>
      <c r="I17" s="320">
        <f t="shared" si="3"/>
        <v>233191.19857312748</v>
      </c>
      <c r="J17" s="320">
        <f t="shared" si="3"/>
        <v>271783.15150827559</v>
      </c>
      <c r="K17" s="320">
        <f t="shared" si="3"/>
        <v>310614.61078271171</v>
      </c>
      <c r="L17" s="320">
        <f t="shared" si="3"/>
        <v>348905.73810887575</v>
      </c>
      <c r="M17" s="320">
        <f t="shared" si="3"/>
        <v>385997.78353332606</v>
      </c>
      <c r="N17" s="320">
        <f t="shared" si="3"/>
        <v>421370.68342484836</v>
      </c>
      <c r="O17" s="320">
        <f t="shared" si="3"/>
        <v>454645.03142555844</v>
      </c>
      <c r="P17" s="320">
        <f t="shared" si="3"/>
        <v>485572.73637705605</v>
      </c>
      <c r="Q17" s="320">
        <f t="shared" si="3"/>
        <v>514020.65403681161</v>
      </c>
    </row>
    <row r="18" spans="2:17" x14ac:dyDescent="0.25">
      <c r="C18" s="150"/>
      <c r="D18" s="150"/>
      <c r="E18" s="150"/>
      <c r="F18" s="150"/>
      <c r="G18" s="150"/>
      <c r="H18" s="150"/>
      <c r="I18" s="150"/>
      <c r="J18" s="150"/>
      <c r="K18" s="150"/>
      <c r="L18" s="150"/>
      <c r="M18" s="150"/>
      <c r="N18" s="150"/>
      <c r="O18" s="150"/>
      <c r="P18" s="150"/>
      <c r="Q18" s="150"/>
    </row>
    <row r="19" spans="2:17" x14ac:dyDescent="0.25">
      <c r="B19" s="8" t="s">
        <v>159</v>
      </c>
      <c r="C19" s="320">
        <f>C10-C17</f>
        <v>19149</v>
      </c>
      <c r="D19" s="320">
        <f t="shared" ref="D19:Q19" si="4">D10-D17</f>
        <v>25767</v>
      </c>
      <c r="E19" s="320">
        <f t="shared" si="4"/>
        <v>35886</v>
      </c>
      <c r="F19" s="320">
        <f t="shared" si="4"/>
        <v>33585</v>
      </c>
      <c r="G19" s="320">
        <f t="shared" si="4"/>
        <v>35442</v>
      </c>
      <c r="H19" s="320">
        <f t="shared" si="4"/>
        <v>56035.62631668197</v>
      </c>
      <c r="I19" s="320">
        <f t="shared" si="4"/>
        <v>66769.567211847781</v>
      </c>
      <c r="J19" s="320">
        <f t="shared" si="4"/>
        <v>77819.589730308217</v>
      </c>
      <c r="K19" s="320">
        <f t="shared" si="4"/>
        <v>88938.19002836151</v>
      </c>
      <c r="L19" s="320">
        <f t="shared" si="4"/>
        <v>99902.077238795755</v>
      </c>
      <c r="M19" s="320">
        <f t="shared" si="4"/>
        <v>110522.63168144587</v>
      </c>
      <c r="N19" s="320">
        <f t="shared" si="4"/>
        <v>120650.94368994702</v>
      </c>
      <c r="O19" s="320">
        <f t="shared" si="4"/>
        <v>130178.37795358239</v>
      </c>
      <c r="P19" s="320">
        <f t="shared" si="4"/>
        <v>139033.89860403113</v>
      </c>
      <c r="Q19" s="320">
        <f t="shared" si="4"/>
        <v>147179.38248954102</v>
      </c>
    </row>
    <row r="20" spans="2:17" x14ac:dyDescent="0.25">
      <c r="C20" s="150"/>
      <c r="D20" s="150"/>
      <c r="E20" s="150"/>
      <c r="F20" s="150"/>
      <c r="G20" s="150"/>
      <c r="H20" s="150"/>
      <c r="I20" s="150"/>
      <c r="J20" s="150"/>
      <c r="K20" s="150"/>
      <c r="L20" s="150"/>
      <c r="M20" s="150"/>
      <c r="N20" s="150"/>
      <c r="O20" s="150"/>
      <c r="P20" s="150"/>
      <c r="Q20" s="150"/>
    </row>
    <row r="21" spans="2:17" x14ac:dyDescent="0.25">
      <c r="B21" s="2" t="s">
        <v>160</v>
      </c>
      <c r="C21" s="324">
        <f>FAS!C369</f>
        <v>2274</v>
      </c>
      <c r="D21" s="324">
        <f>FAS!D369</f>
        <v>3288</v>
      </c>
      <c r="E21" s="324">
        <f>FAS!E369</f>
        <v>4191</v>
      </c>
      <c r="F21" s="324">
        <f>FAS!F369</f>
        <v>5829</v>
      </c>
      <c r="G21" s="324">
        <f>FAS!G369</f>
        <v>8870</v>
      </c>
      <c r="H21" s="324">
        <f>FAS!H369</f>
        <v>4870.2</v>
      </c>
      <c r="I21" s="324">
        <f>FAS!I369</f>
        <v>4894.5509999999995</v>
      </c>
      <c r="J21" s="324">
        <f>FAS!J369</f>
        <v>4919.0237549999983</v>
      </c>
      <c r="K21" s="324">
        <f>FAS!K369</f>
        <v>4943.6188737749981</v>
      </c>
      <c r="L21" s="324">
        <f>FAS!L369</f>
        <v>4968.3369681438726</v>
      </c>
      <c r="M21" s="324">
        <f>FAS!M369</f>
        <v>4993.1786529845922</v>
      </c>
      <c r="N21" s="324">
        <f>FAS!N369</f>
        <v>5018.144546249514</v>
      </c>
      <c r="O21" s="324">
        <f>FAS!O369</f>
        <v>5043.2352689807612</v>
      </c>
      <c r="P21" s="324">
        <f>FAS!P369</f>
        <v>5068.4514453256634</v>
      </c>
      <c r="Q21" s="324">
        <f>FAS!Q369</f>
        <v>5093.7937025522924</v>
      </c>
    </row>
    <row r="22" spans="2:17" x14ac:dyDescent="0.25">
      <c r="C22" s="150"/>
      <c r="D22" s="150"/>
      <c r="E22" s="150"/>
      <c r="F22" s="150"/>
      <c r="G22" s="150"/>
      <c r="H22" s="150"/>
      <c r="I22" s="150"/>
      <c r="J22" s="150"/>
      <c r="K22" s="150"/>
      <c r="L22" s="150"/>
      <c r="M22" s="150"/>
      <c r="N22" s="150"/>
      <c r="O22" s="150"/>
      <c r="P22" s="150"/>
      <c r="Q22" s="150"/>
    </row>
    <row r="23" spans="2:17" x14ac:dyDescent="0.25">
      <c r="B23" s="8" t="s">
        <v>161</v>
      </c>
      <c r="C23" s="320">
        <f>C19-C21</f>
        <v>16875</v>
      </c>
      <c r="D23" s="320">
        <f t="shared" ref="D23:Q23" si="5">D19-D21</f>
        <v>22479</v>
      </c>
      <c r="E23" s="320">
        <f t="shared" si="5"/>
        <v>31695</v>
      </c>
      <c r="F23" s="320">
        <f t="shared" si="5"/>
        <v>27756</v>
      </c>
      <c r="G23" s="320">
        <f t="shared" si="5"/>
        <v>26572</v>
      </c>
      <c r="H23" s="320">
        <f t="shared" si="5"/>
        <v>51165.426316681973</v>
      </c>
      <c r="I23" s="320">
        <f t="shared" si="5"/>
        <v>61875.016211847782</v>
      </c>
      <c r="J23" s="320">
        <f t="shared" si="5"/>
        <v>72900.565975308215</v>
      </c>
      <c r="K23" s="320">
        <f t="shared" si="5"/>
        <v>83994.571154586505</v>
      </c>
      <c r="L23" s="320">
        <f t="shared" si="5"/>
        <v>94933.740270651877</v>
      </c>
      <c r="M23" s="320">
        <f t="shared" si="5"/>
        <v>105529.45302846128</v>
      </c>
      <c r="N23" s="320">
        <f t="shared" si="5"/>
        <v>115632.7991436975</v>
      </c>
      <c r="O23" s="320">
        <f t="shared" si="5"/>
        <v>125135.14268460163</v>
      </c>
      <c r="P23" s="320">
        <f t="shared" si="5"/>
        <v>133965.44715870547</v>
      </c>
      <c r="Q23" s="320">
        <f t="shared" si="5"/>
        <v>142085.58878698872</v>
      </c>
    </row>
    <row r="24" spans="2:17" x14ac:dyDescent="0.25">
      <c r="C24" s="150"/>
      <c r="D24" s="150"/>
      <c r="E24" s="150"/>
      <c r="F24" s="150"/>
      <c r="G24" s="150"/>
      <c r="H24" s="150"/>
      <c r="I24" s="150"/>
      <c r="J24" s="150"/>
      <c r="K24" s="150"/>
      <c r="L24" s="150"/>
      <c r="M24" s="150"/>
      <c r="N24" s="150"/>
      <c r="O24" s="150"/>
      <c r="P24" s="150"/>
      <c r="Q24" s="150"/>
    </row>
    <row r="25" spans="2:17" x14ac:dyDescent="0.25">
      <c r="B25" t="s">
        <v>162</v>
      </c>
      <c r="C25" s="324">
        <f>'Debt Schedules'!C14</f>
        <v>697</v>
      </c>
      <c r="D25" s="324">
        <f>'Debt Schedules'!D14</f>
        <v>995</v>
      </c>
      <c r="E25" s="324">
        <f>'Debt Schedules'!E14</f>
        <v>2186</v>
      </c>
      <c r="F25" s="324">
        <f>'Debt Schedules'!F14</f>
        <v>4227</v>
      </c>
      <c r="G25" s="324">
        <f>'Debt Schedules'!G14</f>
        <v>9948</v>
      </c>
      <c r="H25" s="324">
        <f>'Debt Schedules'!H14</f>
        <v>7067.1936423690486</v>
      </c>
      <c r="I25" s="324">
        <f>'Debt Schedules'!I14</f>
        <v>6464.9743163706171</v>
      </c>
      <c r="J25" s="324">
        <f>'Debt Schedules'!J14</f>
        <v>7611.772427519988</v>
      </c>
      <c r="K25" s="324">
        <f>'Debt Schedules'!K14</f>
        <v>8778.8206037420587</v>
      </c>
      <c r="L25" s="324">
        <f>'Debt Schedules'!L14</f>
        <v>9941.3342603878646</v>
      </c>
      <c r="M25" s="324">
        <f>'Debt Schedules'!M14</f>
        <v>11077.628719204646</v>
      </c>
      <c r="N25" s="324">
        <f>'Debt Schedules'!N14</f>
        <v>12169.935036602643</v>
      </c>
      <c r="O25" s="324">
        <f>'Debt Schedules'!O14</f>
        <v>13204.694977670917</v>
      </c>
      <c r="P25" s="324">
        <f>'Debt Schedules'!P14</f>
        <v>14172.44990695201</v>
      </c>
      <c r="Q25" s="324">
        <f>'Debt Schedules'!Q14</f>
        <v>15067.453241252679</v>
      </c>
    </row>
    <row r="26" spans="2:17" x14ac:dyDescent="0.25">
      <c r="B26" t="s">
        <v>163</v>
      </c>
      <c r="C26" s="324">
        <f>'Revenue BuildUp'!C58</f>
        <v>2424</v>
      </c>
      <c r="D26" s="324">
        <f>'Revenue BuildUp'!D58</f>
        <v>3710</v>
      </c>
      <c r="E26" s="324">
        <f>'Revenue BuildUp'!E58</f>
        <v>2111</v>
      </c>
      <c r="F26" s="324">
        <f>'Revenue BuildUp'!F58</f>
        <v>8537</v>
      </c>
      <c r="G26" s="324">
        <f>'Revenue BuildUp'!G58</f>
        <v>10138</v>
      </c>
      <c r="H26" s="324">
        <f>'Revenue BuildUp'!H58</f>
        <v>9151.9283271080294</v>
      </c>
      <c r="I26" s="324">
        <f>'Revenue BuildUp'!I58</f>
        <v>10905.03191846962</v>
      </c>
      <c r="J26" s="324">
        <f>'Revenue BuildUp'!J58</f>
        <v>12709.759031366604</v>
      </c>
      <c r="K26" s="324">
        <f>'Revenue BuildUp'!K58</f>
        <v>14525.686499553978</v>
      </c>
      <c r="L26" s="324">
        <f>'Revenue BuildUp'!L58</f>
        <v>16316.345702135577</v>
      </c>
      <c r="M26" s="324">
        <f>'Revenue BuildUp'!M58</f>
        <v>18050.930633942553</v>
      </c>
      <c r="N26" s="324">
        <f>'Revenue BuildUp'!N58</f>
        <v>19705.120863789136</v>
      </c>
      <c r="O26" s="324">
        <f>'Revenue BuildUp'!O58</f>
        <v>21261.173704695215</v>
      </c>
      <c r="P26" s="324">
        <f>'Revenue BuildUp'!P58</f>
        <v>22707.487337991832</v>
      </c>
      <c r="Q26" s="324">
        <f>'Revenue BuildUp'!Q58</f>
        <v>24037.835361381509</v>
      </c>
    </row>
    <row r="27" spans="2:17" x14ac:dyDescent="0.25">
      <c r="B27" t="s">
        <v>19</v>
      </c>
      <c r="C27" s="324">
        <f>'Revenue BuildUp'!C62</f>
        <v>0</v>
      </c>
      <c r="D27" s="324">
        <f>'Revenue BuildUp'!D62</f>
        <v>-609</v>
      </c>
      <c r="E27" s="324">
        <f>'Revenue BuildUp'!E62</f>
        <v>-634</v>
      </c>
      <c r="F27" s="324">
        <f>'Revenue BuildUp'!F62</f>
        <v>1402</v>
      </c>
      <c r="G27" s="324">
        <f>'Revenue BuildUp'!G62</f>
        <v>-1216</v>
      </c>
      <c r="H27" s="324">
        <f>'Revenue BuildUp'!H62</f>
        <v>-366.29435709630025</v>
      </c>
      <c r="I27" s="324">
        <f>'Revenue BuildUp'!I62</f>
        <v>-436.46011123785678</v>
      </c>
      <c r="J27" s="324">
        <f>'Revenue BuildUp'!J62</f>
        <v>-508.69203154199613</v>
      </c>
      <c r="K27" s="324">
        <f>'Revenue BuildUp'!K62</f>
        <v>-581.37223190184704</v>
      </c>
      <c r="L27" s="324">
        <f>'Revenue BuildUp'!L62</f>
        <v>-653.0411018869188</v>
      </c>
      <c r="M27" s="324">
        <f>'Revenue BuildUp'!M62</f>
        <v>-722.4656700998496</v>
      </c>
      <c r="N27" s="324">
        <f>'Revenue BuildUp'!N62</f>
        <v>-788.67254203982077</v>
      </c>
      <c r="O27" s="324">
        <f>'Revenue BuildUp'!O62</f>
        <v>-850.95158909914937</v>
      </c>
      <c r="P27" s="324">
        <f>'Revenue BuildUp'!P62</f>
        <v>-908.83846315811672</v>
      </c>
      <c r="Q27" s="324">
        <f>'Revenue BuildUp'!Q62</f>
        <v>-962.08396033912879</v>
      </c>
    </row>
    <row r="28" spans="2:17" x14ac:dyDescent="0.25">
      <c r="B28" s="8" t="s">
        <v>164</v>
      </c>
      <c r="C28" s="320">
        <f>C23-C25+C26-C27</f>
        <v>18602</v>
      </c>
      <c r="D28" s="320">
        <f>D23-D25+D26+D27</f>
        <v>24585</v>
      </c>
      <c r="E28" s="320">
        <f t="shared" ref="E28:Q28" si="6">E23-E25+E26+E27</f>
        <v>30986</v>
      </c>
      <c r="F28" s="320">
        <f t="shared" si="6"/>
        <v>33468</v>
      </c>
      <c r="G28" s="320">
        <f t="shared" si="6"/>
        <v>25546</v>
      </c>
      <c r="H28" s="320">
        <f t="shared" si="6"/>
        <v>52883.866644324647</v>
      </c>
      <c r="I28" s="320">
        <f t="shared" si="6"/>
        <v>65878.613702708928</v>
      </c>
      <c r="J28" s="320">
        <f t="shared" si="6"/>
        <v>77489.860547612829</v>
      </c>
      <c r="K28" s="320">
        <f t="shared" si="6"/>
        <v>89160.064818496583</v>
      </c>
      <c r="L28" s="320">
        <f t="shared" si="6"/>
        <v>100655.71061051266</v>
      </c>
      <c r="M28" s="320">
        <f t="shared" si="6"/>
        <v>111780.28927309935</v>
      </c>
      <c r="N28" s="320">
        <f t="shared" si="6"/>
        <v>122379.31242884418</v>
      </c>
      <c r="O28" s="320">
        <f t="shared" si="6"/>
        <v>132340.66982252675</v>
      </c>
      <c r="P28" s="320">
        <f t="shared" si="6"/>
        <v>141591.64612658718</v>
      </c>
      <c r="Q28" s="320">
        <f t="shared" si="6"/>
        <v>150093.88694677842</v>
      </c>
    </row>
    <row r="29" spans="2:17" x14ac:dyDescent="0.25">
      <c r="C29" s="150"/>
      <c r="D29" s="150"/>
      <c r="E29" s="150"/>
      <c r="F29" s="150"/>
      <c r="G29" s="150"/>
      <c r="H29" s="150"/>
      <c r="I29" s="150"/>
      <c r="J29" s="150"/>
      <c r="K29" s="150"/>
      <c r="L29" s="150"/>
      <c r="M29" s="150"/>
      <c r="N29" s="150"/>
      <c r="O29" s="150"/>
      <c r="P29" s="150"/>
      <c r="Q29" s="150"/>
    </row>
    <row r="30" spans="2:17" x14ac:dyDescent="0.25">
      <c r="B30" t="s">
        <v>165</v>
      </c>
      <c r="C30" s="324">
        <f>'Cost Buildup'!C22</f>
        <v>2356</v>
      </c>
      <c r="D30" s="324">
        <f>'Cost Buildup'!D22</f>
        <v>6465</v>
      </c>
      <c r="E30" s="324">
        <f>'Cost Buildup'!E22</f>
        <v>7887</v>
      </c>
      <c r="F30" s="324">
        <f>'Cost Buildup'!F22</f>
        <v>8629</v>
      </c>
      <c r="G30" s="324">
        <f>'Cost Buildup'!G22</f>
        <v>7080</v>
      </c>
      <c r="H30" s="324">
        <f>'Cost Buildup'!H22</f>
        <v>14921.029990147112</v>
      </c>
      <c r="I30" s="324">
        <f>'Cost Buildup'!I22</f>
        <v>18587.460281195734</v>
      </c>
      <c r="J30" s="324">
        <f>'Cost Buildup'!J22</f>
        <v>22250.989291967118</v>
      </c>
      <c r="K30" s="324">
        <f>'Cost Buildup'!K22</f>
        <v>25602.054688541808</v>
      </c>
      <c r="L30" s="324">
        <f>'Cost Buildup'!L22</f>
        <v>29406.274675928602</v>
      </c>
      <c r="M30" s="324">
        <f>'Cost Buildup'!M22</f>
        <v>32656.288150790824</v>
      </c>
      <c r="N30" s="324">
        <f>'Cost Buildup'!N22</f>
        <v>36364.658666811316</v>
      </c>
      <c r="O30" s="324">
        <f>'Cost Buildup'!O22</f>
        <v>39324.647199922292</v>
      </c>
      <c r="P30" s="324">
        <f>'Cost Buildup'!P22</f>
        <v>42477.493837976152</v>
      </c>
      <c r="Q30" s="324">
        <f>'Cost Buildup'!Q22</f>
        <v>45028.166084033524</v>
      </c>
    </row>
    <row r="31" spans="2:17" x14ac:dyDescent="0.25">
      <c r="C31" s="150"/>
      <c r="D31" s="150"/>
      <c r="E31" s="150"/>
      <c r="F31" s="150"/>
      <c r="G31" s="150"/>
      <c r="H31" s="150"/>
      <c r="I31" s="150"/>
      <c r="J31" s="150"/>
      <c r="K31" s="150"/>
      <c r="L31" s="150"/>
      <c r="M31" s="150"/>
      <c r="N31" s="150"/>
      <c r="O31" s="150"/>
      <c r="P31" s="150"/>
      <c r="Q31" s="150"/>
    </row>
    <row r="32" spans="2:17" x14ac:dyDescent="0.25">
      <c r="B32" s="8" t="s">
        <v>166</v>
      </c>
      <c r="C32" s="320">
        <f>C28-C30</f>
        <v>16246</v>
      </c>
      <c r="D32" s="320">
        <f t="shared" ref="D32:Q32" si="7">D28-D30</f>
        <v>18120</v>
      </c>
      <c r="E32" s="320">
        <f t="shared" si="7"/>
        <v>23099</v>
      </c>
      <c r="F32" s="320">
        <f t="shared" si="7"/>
        <v>24839</v>
      </c>
      <c r="G32" s="320">
        <f t="shared" si="7"/>
        <v>18466</v>
      </c>
      <c r="H32" s="320">
        <f t="shared" si="7"/>
        <v>37962.836654177532</v>
      </c>
      <c r="I32" s="320">
        <f t="shared" si="7"/>
        <v>47291.153421513198</v>
      </c>
      <c r="J32" s="320">
        <f t="shared" si="7"/>
        <v>55238.87125564571</v>
      </c>
      <c r="K32" s="320">
        <f t="shared" si="7"/>
        <v>63558.010129954775</v>
      </c>
      <c r="L32" s="320">
        <f t="shared" si="7"/>
        <v>71249.435934584064</v>
      </c>
      <c r="M32" s="320">
        <f t="shared" si="7"/>
        <v>79124.001122308517</v>
      </c>
      <c r="N32" s="320">
        <f t="shared" si="7"/>
        <v>86014.65376203286</v>
      </c>
      <c r="O32" s="320">
        <f t="shared" si="7"/>
        <v>93016.022622604447</v>
      </c>
      <c r="P32" s="320">
        <f t="shared" si="7"/>
        <v>99114.152288611018</v>
      </c>
      <c r="Q32" s="320">
        <f t="shared" si="7"/>
        <v>105065.7208627449</v>
      </c>
    </row>
    <row r="34" spans="2:17" x14ac:dyDescent="0.25">
      <c r="B34" s="1" t="s">
        <v>167</v>
      </c>
      <c r="C34" s="323">
        <f>CashFlow!C68</f>
        <v>0</v>
      </c>
      <c r="D34" s="323">
        <f>CashFlow!D68</f>
        <v>-6830</v>
      </c>
      <c r="E34" s="323">
        <f>CashFlow!E68</f>
        <v>-5715</v>
      </c>
      <c r="F34" s="323">
        <f>CashFlow!F68</f>
        <v>-8604</v>
      </c>
      <c r="G34" s="323">
        <f>CashFlow!G68</f>
        <v>-8588</v>
      </c>
      <c r="H34" s="321">
        <f>-H35*H32</f>
        <v>-13626.822598738612</v>
      </c>
      <c r="I34" s="321">
        <f t="shared" ref="I34:Q34" si="8">-I35*I32</f>
        <v>-16975.237230955878</v>
      </c>
      <c r="J34" s="321">
        <f t="shared" si="8"/>
        <v>-19828.083607456487</v>
      </c>
      <c r="K34" s="321">
        <f t="shared" si="8"/>
        <v>-22814.252176659149</v>
      </c>
      <c r="L34" s="321">
        <f t="shared" si="8"/>
        <v>-25575.102108022485</v>
      </c>
      <c r="M34" s="321">
        <f t="shared" si="8"/>
        <v>-28401.690221888202</v>
      </c>
      <c r="N34" s="321">
        <f t="shared" si="8"/>
        <v>-30875.10130985338</v>
      </c>
      <c r="O34" s="321">
        <f t="shared" si="8"/>
        <v>-33388.254167224033</v>
      </c>
      <c r="P34" s="321">
        <f t="shared" si="8"/>
        <v>-35577.187831474657</v>
      </c>
      <c r="Q34" s="321">
        <f t="shared" si="8"/>
        <v>-37713.513150963809</v>
      </c>
    </row>
    <row r="35" spans="2:17" x14ac:dyDescent="0.25">
      <c r="B35" s="24" t="s">
        <v>168</v>
      </c>
      <c r="C35" s="25">
        <f>-C34/C32</f>
        <v>0</v>
      </c>
      <c r="D35" s="25">
        <f t="shared" ref="D35:G35" si="9">-D34/D32</f>
        <v>0.3769315673289183</v>
      </c>
      <c r="E35" s="25">
        <f t="shared" si="9"/>
        <v>0.24741330793540847</v>
      </c>
      <c r="F35" s="25">
        <f t="shared" si="9"/>
        <v>0.34639075647167761</v>
      </c>
      <c r="G35" s="25">
        <f t="shared" si="9"/>
        <v>0.46507094118921261</v>
      </c>
      <c r="H35" s="26">
        <f>AVERAGE(D35:G35)</f>
        <v>0.35895164323130424</v>
      </c>
      <c r="I35" s="26">
        <f>H35</f>
        <v>0.35895164323130424</v>
      </c>
      <c r="J35" s="26">
        <f t="shared" ref="J35:Q35" si="10">I35</f>
        <v>0.35895164323130424</v>
      </c>
      <c r="K35" s="26">
        <f t="shared" si="10"/>
        <v>0.35895164323130424</v>
      </c>
      <c r="L35" s="26">
        <f t="shared" si="10"/>
        <v>0.35895164323130424</v>
      </c>
      <c r="M35" s="26">
        <f t="shared" si="10"/>
        <v>0.35895164323130424</v>
      </c>
      <c r="N35" s="26">
        <f t="shared" si="10"/>
        <v>0.35895164323130424</v>
      </c>
      <c r="O35" s="26">
        <f t="shared" si="10"/>
        <v>0.35895164323130424</v>
      </c>
      <c r="P35" s="26">
        <f t="shared" si="10"/>
        <v>0.35895164323130424</v>
      </c>
      <c r="Q35" s="26">
        <f t="shared" si="10"/>
        <v>0.35895164323130424</v>
      </c>
    </row>
    <row r="37" spans="2:17" x14ac:dyDescent="0.25">
      <c r="B37" s="40" t="s">
        <v>169</v>
      </c>
      <c r="C37" s="321">
        <f>C32+C34</f>
        <v>16246</v>
      </c>
      <c r="D37" s="321">
        <f t="shared" ref="D37:Q37" si="11">D32+D34</f>
        <v>11290</v>
      </c>
      <c r="E37" s="321">
        <f t="shared" si="11"/>
        <v>17384</v>
      </c>
      <c r="F37" s="321">
        <f t="shared" si="11"/>
        <v>16235</v>
      </c>
      <c r="G37" s="321">
        <f t="shared" si="11"/>
        <v>9878</v>
      </c>
      <c r="H37" s="321">
        <f t="shared" si="11"/>
        <v>24336.014055438922</v>
      </c>
      <c r="I37" s="321">
        <f t="shared" si="11"/>
        <v>30315.91619055732</v>
      </c>
      <c r="J37" s="321">
        <f t="shared" si="11"/>
        <v>35410.787648189224</v>
      </c>
      <c r="K37" s="321">
        <f t="shared" si="11"/>
        <v>40743.75795329563</v>
      </c>
      <c r="L37" s="321">
        <f t="shared" si="11"/>
        <v>45674.333826561575</v>
      </c>
      <c r="M37" s="321">
        <f t="shared" si="11"/>
        <v>50722.310900420314</v>
      </c>
      <c r="N37" s="321">
        <f t="shared" si="11"/>
        <v>55139.55245217948</v>
      </c>
      <c r="O37" s="321">
        <f t="shared" si="11"/>
        <v>59627.768455380414</v>
      </c>
      <c r="P37" s="321">
        <f t="shared" si="11"/>
        <v>63536.964457136361</v>
      </c>
      <c r="Q37" s="321">
        <f t="shared" si="11"/>
        <v>67352.207711781084</v>
      </c>
    </row>
    <row r="38" spans="2:17" x14ac:dyDescent="0.25">
      <c r="B38" s="25" t="s">
        <v>170</v>
      </c>
      <c r="C38" s="25">
        <f>C37/C32</f>
        <v>1</v>
      </c>
      <c r="D38" s="25">
        <f t="shared" ref="D38:Q38" si="12">D37/D32</f>
        <v>0.6230684326710817</v>
      </c>
      <c r="E38" s="25">
        <f t="shared" si="12"/>
        <v>0.7525866920645915</v>
      </c>
      <c r="F38" s="25">
        <f t="shared" si="12"/>
        <v>0.65360924352832239</v>
      </c>
      <c r="G38" s="25">
        <f t="shared" si="12"/>
        <v>0.53492905881078734</v>
      </c>
      <c r="H38" s="25">
        <f t="shared" si="12"/>
        <v>0.64104835676869587</v>
      </c>
      <c r="I38" s="25">
        <f t="shared" si="12"/>
        <v>0.64104835676869576</v>
      </c>
      <c r="J38" s="25">
        <f t="shared" si="12"/>
        <v>0.64104835676869576</v>
      </c>
      <c r="K38" s="25">
        <f t="shared" si="12"/>
        <v>0.64104835676869576</v>
      </c>
      <c r="L38" s="25">
        <f t="shared" si="12"/>
        <v>0.64104835676869576</v>
      </c>
      <c r="M38" s="25">
        <f t="shared" si="12"/>
        <v>0.64104835676869576</v>
      </c>
      <c r="N38" s="25">
        <f t="shared" si="12"/>
        <v>0.64104835676869576</v>
      </c>
      <c r="O38" s="25">
        <f t="shared" si="12"/>
        <v>0.64104835676869576</v>
      </c>
      <c r="P38" s="25">
        <f t="shared" si="12"/>
        <v>0.64104835676869576</v>
      </c>
      <c r="Q38" s="25">
        <f t="shared" si="12"/>
        <v>0.64104835676869565</v>
      </c>
    </row>
    <row r="40" spans="2:17" x14ac:dyDescent="0.25">
      <c r="B40" s="222"/>
      <c r="C40" s="222"/>
      <c r="D40" s="222"/>
      <c r="E40" s="222"/>
      <c r="F40" s="222"/>
      <c r="G40" s="222"/>
      <c r="H40" s="222"/>
      <c r="I40" s="222"/>
      <c r="J40" s="222"/>
      <c r="K40" s="222"/>
      <c r="L40" s="222"/>
      <c r="M40" s="222"/>
      <c r="N40" s="222"/>
      <c r="O40" s="222"/>
      <c r="P40" s="222"/>
      <c r="Q40" s="222"/>
    </row>
    <row r="51" spans="3:3" x14ac:dyDescent="0.25">
      <c r="C51" t="e">
        <f>'Profit &amp; Loss Statement'!C23/'Profit &amp; Loss Statement'!B241</f>
        <v>#DIV/0!</v>
      </c>
    </row>
  </sheetData>
  <mergeCells count="2">
    <mergeCell ref="B5:Q5"/>
    <mergeCell ref="B7:B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Q72"/>
  <sheetViews>
    <sheetView showGridLines="0" topLeftCell="E3" workbookViewId="0">
      <selection activeCell="B8" sqref="B8:Q9"/>
    </sheetView>
  </sheetViews>
  <sheetFormatPr defaultRowHeight="15" x14ac:dyDescent="0.25"/>
  <cols>
    <col min="1" max="1" width="1.85546875" customWidth="1"/>
    <col min="2" max="2" width="81.85546875" bestFit="1" customWidth="1"/>
    <col min="3" max="3" width="12.7109375" bestFit="1" customWidth="1"/>
    <col min="4" max="17" width="14.42578125" bestFit="1" customWidth="1"/>
  </cols>
  <sheetData>
    <row r="5" spans="1:17" x14ac:dyDescent="0.25">
      <c r="B5" s="422" t="s">
        <v>354</v>
      </c>
      <c r="C5" s="422"/>
      <c r="D5" s="422"/>
      <c r="E5" s="422"/>
      <c r="F5" s="422"/>
      <c r="G5" s="422"/>
      <c r="H5" s="422"/>
      <c r="I5" s="422"/>
      <c r="J5" s="422"/>
      <c r="K5" s="422"/>
      <c r="L5" s="422"/>
      <c r="M5" s="422"/>
      <c r="N5" s="422"/>
      <c r="O5" s="422"/>
      <c r="P5" s="422"/>
      <c r="Q5" s="422"/>
    </row>
    <row r="6" spans="1:17" x14ac:dyDescent="0.25">
      <c r="B6" s="70" t="s">
        <v>353</v>
      </c>
      <c r="C6" s="4"/>
      <c r="D6" s="4"/>
      <c r="E6" s="4"/>
      <c r="F6" s="4"/>
      <c r="G6" s="4"/>
      <c r="H6" s="4"/>
      <c r="I6" s="4"/>
      <c r="J6" s="4"/>
      <c r="K6" s="4"/>
      <c r="L6" s="4"/>
      <c r="M6" s="4"/>
      <c r="N6" s="4"/>
      <c r="O6" s="4"/>
      <c r="P6" s="4"/>
      <c r="Q6" s="4"/>
    </row>
    <row r="7" spans="1:17" x14ac:dyDescent="0.25">
      <c r="B7" s="45" t="s">
        <v>176</v>
      </c>
      <c r="C7" s="46" t="str">
        <f>IF(SUM(C70:Q70)=0, "OK", "Error")</f>
        <v>OK</v>
      </c>
    </row>
    <row r="8" spans="1:17" x14ac:dyDescent="0.25">
      <c r="A8" t="s">
        <v>20</v>
      </c>
      <c r="B8" s="423" t="s">
        <v>17</v>
      </c>
      <c r="C8" s="346">
        <v>2021</v>
      </c>
      <c r="D8" s="346">
        <f>C8+1</f>
        <v>2022</v>
      </c>
      <c r="E8" s="346">
        <f t="shared" ref="E8:G8" si="0">D8+1</f>
        <v>2023</v>
      </c>
      <c r="F8" s="346">
        <f t="shared" si="0"/>
        <v>2024</v>
      </c>
      <c r="G8" s="346">
        <f t="shared" si="0"/>
        <v>2025</v>
      </c>
      <c r="H8" s="346">
        <f>G8+1</f>
        <v>2026</v>
      </c>
      <c r="I8" s="346">
        <f t="shared" ref="I8:Q8" si="1">H8+1</f>
        <v>2027</v>
      </c>
      <c r="J8" s="346">
        <f t="shared" si="1"/>
        <v>2028</v>
      </c>
      <c r="K8" s="346">
        <f t="shared" si="1"/>
        <v>2029</v>
      </c>
      <c r="L8" s="346">
        <f t="shared" si="1"/>
        <v>2030</v>
      </c>
      <c r="M8" s="346">
        <f t="shared" si="1"/>
        <v>2031</v>
      </c>
      <c r="N8" s="346">
        <f t="shared" si="1"/>
        <v>2032</v>
      </c>
      <c r="O8" s="346">
        <f t="shared" si="1"/>
        <v>2033</v>
      </c>
      <c r="P8" s="346">
        <f t="shared" si="1"/>
        <v>2034</v>
      </c>
      <c r="Q8" s="346">
        <f t="shared" si="1"/>
        <v>2035</v>
      </c>
    </row>
    <row r="9" spans="1:17" x14ac:dyDescent="0.25">
      <c r="B9" s="424"/>
      <c r="C9" s="347" t="s">
        <v>291</v>
      </c>
      <c r="D9" s="347" t="s">
        <v>291</v>
      </c>
      <c r="E9" s="347" t="s">
        <v>291</v>
      </c>
      <c r="F9" s="347" t="s">
        <v>291</v>
      </c>
      <c r="G9" s="347" t="s">
        <v>291</v>
      </c>
      <c r="H9" s="347" t="s">
        <v>509</v>
      </c>
      <c r="I9" s="347" t="s">
        <v>510</v>
      </c>
      <c r="J9" s="347" t="s">
        <v>510</v>
      </c>
      <c r="K9" s="347" t="s">
        <v>510</v>
      </c>
      <c r="L9" s="347" t="s">
        <v>510</v>
      </c>
      <c r="M9" s="347" t="s">
        <v>510</v>
      </c>
      <c r="N9" s="347" t="s">
        <v>510</v>
      </c>
      <c r="O9" s="347" t="s">
        <v>510</v>
      </c>
      <c r="P9" s="347" t="s">
        <v>510</v>
      </c>
      <c r="Q9" s="347" t="s">
        <v>510</v>
      </c>
    </row>
    <row r="10" spans="1:17" x14ac:dyDescent="0.25">
      <c r="B10" s="1" t="s">
        <v>22</v>
      </c>
    </row>
    <row r="11" spans="1:17" x14ac:dyDescent="0.25">
      <c r="B11" t="s">
        <v>23</v>
      </c>
      <c r="C11" s="324">
        <f>SUM(FAS!C368,FAS!C372,FAS!C374)</f>
        <v>5199</v>
      </c>
      <c r="D11" s="324">
        <f>SUM(FAS!D368,FAS!D372,FAS!D374)</f>
        <v>7899</v>
      </c>
      <c r="E11" s="324">
        <f>SUM(FAS!E368,FAS!E372,FAS!E374)</f>
        <v>29512</v>
      </c>
      <c r="F11" s="324">
        <f>SUM(FAS!F368,FAS!F372,FAS!F374)</f>
        <v>27293</v>
      </c>
      <c r="G11" s="324">
        <f>SUM(FAS!G368,FAS!G372,FAS!G374)</f>
        <v>44903</v>
      </c>
      <c r="H11" s="324">
        <f>SUM(FAS!H368,FAS!H372,FAS!H374)</f>
        <v>46634.8</v>
      </c>
      <c r="I11" s="324">
        <f>SUM(FAS!I368,FAS!I372,FAS!I374)</f>
        <v>48432.228999999999</v>
      </c>
      <c r="J11" s="324">
        <f>SUM(FAS!J368,FAS!J372,FAS!J374)</f>
        <v>50201.775145</v>
      </c>
      <c r="K11" s="324">
        <f>SUM(FAS!K368,FAS!K372,FAS!K374)</f>
        <v>52017.039020725009</v>
      </c>
      <c r="L11" s="324">
        <f>SUM(FAS!L368,FAS!L372,FAS!L374)</f>
        <v>53804.509215828628</v>
      </c>
      <c r="M11" s="324">
        <f>SUM(FAS!M368,FAS!M372,FAS!M374)</f>
        <v>55637.786761907759</v>
      </c>
      <c r="N11" s="324">
        <f>SUM(FAS!N368,FAS!N372,FAS!N374)</f>
        <v>57443.360695717303</v>
      </c>
      <c r="O11" s="324">
        <f>SUM(FAS!O368,FAS!O372,FAS!O374)</f>
        <v>59294.83249919588</v>
      </c>
      <c r="P11" s="324">
        <f>SUM(FAS!P368,FAS!P372,FAS!P374)</f>
        <v>61118.69166169189</v>
      </c>
      <c r="Q11" s="324">
        <f>SUM(FAS!Q368,FAS!Q372,FAS!Q374)</f>
        <v>62988.54012000034</v>
      </c>
    </row>
    <row r="12" spans="1:17" x14ac:dyDescent="0.25">
      <c r="B12" t="s">
        <v>25</v>
      </c>
      <c r="C12" s="324">
        <f>'Historical Balance Sheet'!C13</f>
        <v>7644</v>
      </c>
      <c r="D12" s="324">
        <f>'Historical Balance Sheet'!D13</f>
        <v>7896</v>
      </c>
      <c r="E12" s="324">
        <f>'Historical Balance Sheet'!E13</f>
        <v>13913</v>
      </c>
      <c r="F12" s="324">
        <f>'Historical Balance Sheet'!F13</f>
        <v>14032</v>
      </c>
      <c r="G12" s="324">
        <f>'Historical Balance Sheet'!G13</f>
        <v>76230</v>
      </c>
      <c r="H12" s="324">
        <f>G12</f>
        <v>76230</v>
      </c>
      <c r="I12" s="324">
        <f t="shared" ref="I12:Q12" si="2">H12</f>
        <v>76230</v>
      </c>
      <c r="J12" s="324">
        <f t="shared" si="2"/>
        <v>76230</v>
      </c>
      <c r="K12" s="324">
        <f t="shared" si="2"/>
        <v>76230</v>
      </c>
      <c r="L12" s="324">
        <f t="shared" si="2"/>
        <v>76230</v>
      </c>
      <c r="M12" s="324">
        <f t="shared" si="2"/>
        <v>76230</v>
      </c>
      <c r="N12" s="324">
        <f t="shared" si="2"/>
        <v>76230</v>
      </c>
      <c r="O12" s="324">
        <f t="shared" si="2"/>
        <v>76230</v>
      </c>
      <c r="P12" s="324">
        <f t="shared" si="2"/>
        <v>76230</v>
      </c>
      <c r="Q12" s="324">
        <f t="shared" si="2"/>
        <v>76230</v>
      </c>
    </row>
    <row r="13" spans="1:17" x14ac:dyDescent="0.25">
      <c r="B13" s="1" t="s">
        <v>29</v>
      </c>
      <c r="C13" s="324"/>
      <c r="D13" s="324"/>
      <c r="E13" s="324"/>
      <c r="F13" s="324"/>
      <c r="G13" s="324"/>
      <c r="H13" s="324"/>
      <c r="I13" s="324"/>
      <c r="J13" s="324"/>
      <c r="K13" s="324"/>
      <c r="L13" s="324"/>
      <c r="M13" s="324"/>
      <c r="N13" s="324"/>
      <c r="O13" s="324"/>
      <c r="P13" s="324"/>
      <c r="Q13" s="324"/>
    </row>
    <row r="14" spans="1:17" x14ac:dyDescent="0.25">
      <c r="B14" s="6" t="s">
        <v>30</v>
      </c>
      <c r="C14" s="324">
        <f>'BS Items'!C13</f>
        <v>0</v>
      </c>
      <c r="D14" s="324">
        <f>'BS Items'!D13</f>
        <v>762</v>
      </c>
      <c r="E14" s="324">
        <f>'BS Items'!E13</f>
        <v>1296</v>
      </c>
      <c r="F14" s="324">
        <f>'BS Items'!F13</f>
        <v>0</v>
      </c>
      <c r="G14" s="324">
        <f>'BS Items'!G13</f>
        <v>0</v>
      </c>
      <c r="H14" s="324">
        <f>'BS Items'!H13</f>
        <v>807.32290622601249</v>
      </c>
      <c r="I14" s="324">
        <f>'BS Items'!I13</f>
        <v>961.970171338559</v>
      </c>
      <c r="J14" s="324">
        <f>'BS Items'!J13</f>
        <v>1121.1713238883713</v>
      </c>
      <c r="K14" s="324">
        <f>'BS Items'!K13</f>
        <v>1281.3604980944524</v>
      </c>
      <c r="L14" s="324">
        <f>'BS Items'!L13</f>
        <v>1439.3206721494153</v>
      </c>
      <c r="M14" s="324">
        <f>'BS Items'!M13</f>
        <v>1592.3343429508309</v>
      </c>
      <c r="N14" s="324">
        <f>'BS Items'!N13</f>
        <v>1738.2561220642847</v>
      </c>
      <c r="O14" s="324">
        <f>'BS Items'!O13</f>
        <v>1875.5208663740234</v>
      </c>
      <c r="P14" s="324">
        <f>'BS Items'!P13</f>
        <v>2003.1051397657598</v>
      </c>
      <c r="Q14" s="324">
        <f>'BS Items'!Q13</f>
        <v>2120.4596899924845</v>
      </c>
    </row>
    <row r="15" spans="1:17" x14ac:dyDescent="0.25">
      <c r="B15" s="6" t="s">
        <v>31</v>
      </c>
      <c r="C15" s="324">
        <f>'BS Items'!C15</f>
        <v>2458</v>
      </c>
      <c r="D15" s="324">
        <f>'BS Items'!D15</f>
        <v>1827</v>
      </c>
      <c r="E15" s="324">
        <f>'BS Items'!E15</f>
        <v>9389</v>
      </c>
      <c r="F15" s="324">
        <f>'BS Items'!F15</f>
        <v>2480</v>
      </c>
      <c r="G15" s="324">
        <f>'BS Items'!G15</f>
        <v>7358</v>
      </c>
      <c r="H15" s="324">
        <f>'BS Items'!H15</f>
        <v>8314.70218110735</v>
      </c>
      <c r="I15" s="324">
        <f>'BS Items'!I15</f>
        <v>9907.4303727853403</v>
      </c>
      <c r="J15" s="324">
        <f>'BS Items'!J15</f>
        <v>11547.059522574573</v>
      </c>
      <c r="K15" s="324">
        <f>'BS Items'!K15</f>
        <v>13196.8644096766</v>
      </c>
      <c r="L15" s="324">
        <f>'BS Items'!L15</f>
        <v>14823.712593487711</v>
      </c>
      <c r="M15" s="324">
        <f>'BS Items'!M15</f>
        <v>16399.616228254141</v>
      </c>
      <c r="N15" s="324">
        <f>'BS Items'!N15</f>
        <v>17902.479736410362</v>
      </c>
      <c r="O15" s="324">
        <f>'BS Items'!O15</f>
        <v>19316.183546991717</v>
      </c>
      <c r="P15" s="324">
        <f>'BS Items'!P15</f>
        <v>20630.187185516359</v>
      </c>
      <c r="Q15" s="324">
        <f>'BS Items'!Q15</f>
        <v>21838.833846236586</v>
      </c>
    </row>
    <row r="16" spans="1:17" x14ac:dyDescent="0.25">
      <c r="B16" t="s">
        <v>32</v>
      </c>
      <c r="C16" s="324">
        <f>'BS Items'!C17</f>
        <v>1408</v>
      </c>
      <c r="D16" s="324">
        <f>'BS Items'!D17</f>
        <v>680</v>
      </c>
      <c r="E16" s="324">
        <f>'BS Items'!E17</f>
        <v>1310</v>
      </c>
      <c r="F16" s="324">
        <f>'BS Items'!F17</f>
        <v>1529</v>
      </c>
      <c r="G16" s="324">
        <f>'BS Items'!G17</f>
        <v>3537</v>
      </c>
      <c r="H16" s="324">
        <f>'BS Items'!H17</f>
        <v>3029.0366584374683</v>
      </c>
      <c r="I16" s="324">
        <f>'BS Items'!I17</f>
        <v>3609.2657483598373</v>
      </c>
      <c r="J16" s="324">
        <f>'BS Items'!J17</f>
        <v>4206.5808046031152</v>
      </c>
      <c r="K16" s="324">
        <f>'BS Items'!K17</f>
        <v>4807.6028705114077</v>
      </c>
      <c r="L16" s="324">
        <f>'BS Items'!L17</f>
        <v>5400.2618352153004</v>
      </c>
      <c r="M16" s="324">
        <f>'BS Items'!M17</f>
        <v>5974.3617579664287</v>
      </c>
      <c r="N16" s="324">
        <f>'BS Items'!N17</f>
        <v>6521.8532446942027</v>
      </c>
      <c r="O16" s="324">
        <f>'BS Items'!O17</f>
        <v>7036.8639538154002</v>
      </c>
      <c r="P16" s="324">
        <f>'BS Items'!P17</f>
        <v>7515.554002324302</v>
      </c>
      <c r="Q16" s="324">
        <f>'BS Items'!Q17</f>
        <v>7955.8626222455541</v>
      </c>
    </row>
    <row r="17" spans="2:17" x14ac:dyDescent="0.25">
      <c r="B17" t="s">
        <v>33</v>
      </c>
      <c r="C17" s="324">
        <f>'BS Items'!C19</f>
        <v>7</v>
      </c>
      <c r="D17" s="324">
        <f>'BS Items'!D19</f>
        <v>1</v>
      </c>
      <c r="E17" s="324">
        <f>'BS Items'!E19</f>
        <v>119</v>
      </c>
      <c r="F17" s="324">
        <f>'BS Items'!F19</f>
        <v>32</v>
      </c>
      <c r="G17" s="324">
        <f>'BS Items'!G19</f>
        <v>170</v>
      </c>
      <c r="H17" s="324">
        <f>'BS Items'!H19</f>
        <v>98.384741774220885</v>
      </c>
      <c r="I17" s="324">
        <f>'BS Items'!I19</f>
        <v>117.23089506288763</v>
      </c>
      <c r="J17" s="324">
        <f>'BS Items'!J19</f>
        <v>136.63200973829203</v>
      </c>
      <c r="K17" s="324">
        <f>'BS Items'!K19</f>
        <v>156.15353008380649</v>
      </c>
      <c r="L17" s="324">
        <f>'BS Items'!L19</f>
        <v>175.40341239874951</v>
      </c>
      <c r="M17" s="324">
        <f>'BS Items'!M19</f>
        <v>194.05048703719464</v>
      </c>
      <c r="N17" s="324">
        <f>'BS Items'!N19</f>
        <v>211.83330534520499</v>
      </c>
      <c r="O17" s="324">
        <f>'BS Items'!O19</f>
        <v>228.56113050595599</v>
      </c>
      <c r="P17" s="324">
        <f>'BS Items'!P19</f>
        <v>244.10924105168044</v>
      </c>
      <c r="Q17" s="324">
        <f>'BS Items'!Q19</f>
        <v>258.41070212883443</v>
      </c>
    </row>
    <row r="18" spans="2:17" x14ac:dyDescent="0.25">
      <c r="B18" t="s">
        <v>34</v>
      </c>
      <c r="C18" s="324">
        <f>'BS Items'!C21</f>
        <v>1026</v>
      </c>
      <c r="D18" s="324">
        <f>'BS Items'!D21</f>
        <v>697</v>
      </c>
      <c r="E18" s="324">
        <f>'BS Items'!E21</f>
        <v>1246</v>
      </c>
      <c r="F18" s="324">
        <f>'BS Items'!F21</f>
        <v>1636</v>
      </c>
      <c r="G18" s="324">
        <f>'BS Items'!G21</f>
        <v>3613</v>
      </c>
      <c r="H18" s="324">
        <f>'BS Items'!H21</f>
        <v>2817.3688268158089</v>
      </c>
      <c r="I18" s="324">
        <f>'BS Items'!I21</f>
        <v>3357.051747392366</v>
      </c>
      <c r="J18" s="324">
        <f>'BS Items'!J21</f>
        <v>3912.6266740146293</v>
      </c>
      <c r="K18" s="324">
        <f>'BS Items'!K21</f>
        <v>4471.649565996383</v>
      </c>
      <c r="L18" s="324">
        <f>'BS Items'!L21</f>
        <v>5022.8937668344852</v>
      </c>
      <c r="M18" s="324">
        <f>'BS Items'!M21</f>
        <v>5556.8758239122481</v>
      </c>
      <c r="N18" s="324">
        <f>'BS Items'!N21</f>
        <v>6066.1088314947856</v>
      </c>
      <c r="O18" s="324">
        <f>'BS Items'!O21</f>
        <v>6545.1308048052215</v>
      </c>
      <c r="P18" s="324">
        <f>'BS Items'!P21</f>
        <v>6990.3701902775747</v>
      </c>
      <c r="Q18" s="324">
        <f>'BS Items'!Q21</f>
        <v>7399.9102255521384</v>
      </c>
    </row>
    <row r="19" spans="2:17" x14ac:dyDescent="0.25">
      <c r="C19" s="150"/>
      <c r="D19" s="150"/>
      <c r="E19" s="150"/>
      <c r="F19" s="150"/>
      <c r="G19" s="150"/>
      <c r="H19" s="150"/>
      <c r="I19" s="150"/>
      <c r="J19" s="150"/>
      <c r="K19" s="150"/>
      <c r="L19" s="150"/>
      <c r="M19" s="150"/>
      <c r="N19" s="150"/>
      <c r="O19" s="150"/>
      <c r="P19" s="150"/>
      <c r="Q19" s="150"/>
    </row>
    <row r="20" spans="2:17" x14ac:dyDescent="0.25">
      <c r="B20" s="8" t="s">
        <v>35</v>
      </c>
      <c r="C20" s="320">
        <f>SUM(C11:C18)</f>
        <v>17742</v>
      </c>
      <c r="D20" s="320">
        <f t="shared" ref="D20:Q20" si="3">SUM(D11:D18)</f>
        <v>19762</v>
      </c>
      <c r="E20" s="320">
        <f t="shared" si="3"/>
        <v>56785</v>
      </c>
      <c r="F20" s="320">
        <f t="shared" si="3"/>
        <v>47002</v>
      </c>
      <c r="G20" s="320">
        <f t="shared" si="3"/>
        <v>135811</v>
      </c>
      <c r="H20" s="320">
        <f t="shared" si="3"/>
        <v>137931.61531436082</v>
      </c>
      <c r="I20" s="320">
        <f t="shared" si="3"/>
        <v>142615.17793493898</v>
      </c>
      <c r="J20" s="320">
        <f t="shared" si="3"/>
        <v>147355.84547981899</v>
      </c>
      <c r="K20" s="320">
        <f t="shared" si="3"/>
        <v>152160.66989508763</v>
      </c>
      <c r="L20" s="320">
        <f t="shared" si="3"/>
        <v>156896.10149591425</v>
      </c>
      <c r="M20" s="320">
        <f t="shared" si="3"/>
        <v>161585.02540202858</v>
      </c>
      <c r="N20" s="320">
        <f t="shared" si="3"/>
        <v>166113.89193572616</v>
      </c>
      <c r="O20" s="320">
        <f t="shared" si="3"/>
        <v>170527.09280168821</v>
      </c>
      <c r="P20" s="320">
        <f t="shared" si="3"/>
        <v>174732.01742062756</v>
      </c>
      <c r="Q20" s="320">
        <f t="shared" si="3"/>
        <v>178792.01720615593</v>
      </c>
    </row>
    <row r="21" spans="2:17" x14ac:dyDescent="0.25">
      <c r="C21" s="150"/>
      <c r="D21" s="150"/>
      <c r="E21" s="150"/>
      <c r="F21" s="150"/>
      <c r="G21" s="150"/>
      <c r="H21" s="150"/>
      <c r="I21" s="150"/>
      <c r="J21" s="150"/>
      <c r="K21" s="150"/>
      <c r="L21" s="150"/>
      <c r="M21" s="150"/>
      <c r="N21" s="150"/>
      <c r="O21" s="150"/>
      <c r="P21" s="150"/>
      <c r="Q21" s="150"/>
    </row>
    <row r="22" spans="2:17" x14ac:dyDescent="0.25">
      <c r="B22" s="1" t="s">
        <v>36</v>
      </c>
      <c r="C22" s="150"/>
      <c r="D22" s="150"/>
      <c r="E22" s="150"/>
      <c r="F22" s="150"/>
      <c r="G22" s="150"/>
      <c r="H22" s="150"/>
      <c r="I22" s="150"/>
      <c r="J22" s="150"/>
      <c r="K22" s="150"/>
      <c r="L22" s="150"/>
      <c r="M22" s="150"/>
      <c r="N22" s="150"/>
      <c r="O22" s="150"/>
      <c r="P22" s="150"/>
      <c r="Q22" s="150"/>
    </row>
    <row r="23" spans="2:17" x14ac:dyDescent="0.25">
      <c r="B23" s="1" t="s">
        <v>29</v>
      </c>
      <c r="C23" s="150"/>
      <c r="D23" s="150"/>
      <c r="E23" s="150"/>
      <c r="F23" s="150"/>
      <c r="G23" s="150"/>
      <c r="H23" s="150"/>
      <c r="I23" s="150"/>
      <c r="J23" s="150"/>
      <c r="K23" s="150"/>
      <c r="L23" s="150"/>
      <c r="M23" s="150"/>
      <c r="N23" s="150"/>
      <c r="O23" s="150"/>
      <c r="P23" s="150"/>
      <c r="Q23" s="150"/>
    </row>
    <row r="24" spans="2:17" x14ac:dyDescent="0.25">
      <c r="B24" s="6" t="s">
        <v>30</v>
      </c>
      <c r="C24" s="324">
        <f>'BS Items'!C27</f>
        <v>39148</v>
      </c>
      <c r="D24" s="324">
        <f>'BS Items'!D27</f>
        <v>46400</v>
      </c>
      <c r="E24" s="324">
        <f>'BS Items'!E27</f>
        <v>0</v>
      </c>
      <c r="F24" s="324">
        <f>'BS Items'!F27</f>
        <v>0</v>
      </c>
      <c r="G24" s="324">
        <f>'BS Items'!G27</f>
        <v>35039</v>
      </c>
      <c r="H24" s="324">
        <f>'BS Items'!H27</f>
        <v>92343.173485888547</v>
      </c>
      <c r="I24" s="324">
        <f>'BS Items'!I27</f>
        <v>110032.03022620278</v>
      </c>
      <c r="J24" s="324">
        <f>'BS Items'!J27</f>
        <v>128241.76952095915</v>
      </c>
      <c r="K24" s="324">
        <f>'BS Items'!K27</f>
        <v>146564.52066575596</v>
      </c>
      <c r="L24" s="324">
        <f>'BS Items'!L27</f>
        <v>164632.31441238234</v>
      </c>
      <c r="M24" s="324">
        <f>'BS Items'!M27</f>
        <v>182134.31743937448</v>
      </c>
      <c r="N24" s="324">
        <f>'BS Items'!N27</f>
        <v>198825.13602029908</v>
      </c>
      <c r="O24" s="324">
        <f>'BS Items'!O27</f>
        <v>214525.74602348139</v>
      </c>
      <c r="P24" s="324">
        <f>'BS Items'!P27</f>
        <v>229119.08482388683</v>
      </c>
      <c r="Q24" s="324">
        <f>'BS Items'!Q27</f>
        <v>242542.32787492822</v>
      </c>
    </row>
    <row r="25" spans="2:17" x14ac:dyDescent="0.25">
      <c r="B25" s="6" t="s">
        <v>37</v>
      </c>
      <c r="C25" s="324">
        <f>'Working Capital'!C11</f>
        <v>12192</v>
      </c>
      <c r="D25" s="324">
        <f>'Working Capital'!D11</f>
        <v>16738</v>
      </c>
      <c r="E25" s="324">
        <f>'Working Capital'!E11</f>
        <v>21319</v>
      </c>
      <c r="F25" s="324">
        <f>'Working Capital'!F11</f>
        <v>25444</v>
      </c>
      <c r="G25" s="324">
        <f>'Working Capital'!G11</f>
        <v>35813</v>
      </c>
      <c r="H25" s="324">
        <f>'Working Capital'!H11</f>
        <v>39786.535599346033</v>
      </c>
      <c r="I25" s="324">
        <f>'Working Capital'!I11</f>
        <v>47407.871339099365</v>
      </c>
      <c r="J25" s="324">
        <f>'Working Capital'!J11</f>
        <v>55253.63203105078</v>
      </c>
      <c r="K25" s="324">
        <f>'Working Capital'!K11</f>
        <v>63148.084465174878</v>
      </c>
      <c r="L25" s="324">
        <f>'Working Capital'!L11</f>
        <v>70932.687180952722</v>
      </c>
      <c r="M25" s="324">
        <f>'Working Capital'!M11</f>
        <v>78473.516028465703</v>
      </c>
      <c r="N25" s="324">
        <f>'Working Capital'!N11</f>
        <v>85664.841846975323</v>
      </c>
      <c r="O25" s="324">
        <f>'Working Capital'!O11</f>
        <v>92429.531160133061</v>
      </c>
      <c r="P25" s="324">
        <f>'Working Capital'!P11</f>
        <v>98717.146928334652</v>
      </c>
      <c r="Q25" s="324">
        <f>'Working Capital'!Q11</f>
        <v>104500.62086959515</v>
      </c>
    </row>
    <row r="26" spans="2:17" x14ac:dyDescent="0.25">
      <c r="B26" s="6" t="s">
        <v>38</v>
      </c>
      <c r="C26" s="324">
        <f>'Historical Balance Sheet'!C30</f>
        <v>8583</v>
      </c>
      <c r="D26" s="324">
        <f>'Historical Balance Sheet'!D30</f>
        <v>6729</v>
      </c>
      <c r="E26" s="324">
        <f>'Historical Balance Sheet'!E30</f>
        <v>-120</v>
      </c>
      <c r="F26" s="324">
        <f>'Historical Balance Sheet'!F30</f>
        <v>10897</v>
      </c>
      <c r="G26" s="324">
        <f>'Historical Balance Sheet'!G30</f>
        <v>11912</v>
      </c>
      <c r="H26" s="324">
        <f>CashFlow!H79</f>
        <v>24065.708035063326</v>
      </c>
      <c r="I26" s="324">
        <f>CashFlow!I79</f>
        <v>45905.893623242344</v>
      </c>
      <c r="J26" s="324">
        <f>CashFlow!J79</f>
        <v>72672.178033591073</v>
      </c>
      <c r="K26" s="324">
        <f>CashFlow!K79</f>
        <v>104683.04820099703</v>
      </c>
      <c r="L26" s="324">
        <f>CashFlow!L79</f>
        <v>141748.5452681288</v>
      </c>
      <c r="M26" s="324">
        <f>CashFlow!M79</f>
        <v>184029.82230582775</v>
      </c>
      <c r="N26" s="324">
        <f>CashFlow!N79</f>
        <v>231062.30140507728</v>
      </c>
      <c r="O26" s="324">
        <f>CashFlow!O79</f>
        <v>282910.94481845183</v>
      </c>
      <c r="P26" s="324">
        <f>CashFlow!P79</f>
        <v>339114.43921366753</v>
      </c>
      <c r="Q26" s="324">
        <f>CashFlow!Q79</f>
        <v>399528.94886595156</v>
      </c>
    </row>
    <row r="27" spans="2:17" x14ac:dyDescent="0.25">
      <c r="B27" s="6" t="s">
        <v>39</v>
      </c>
      <c r="C27" s="324">
        <f>'Historical Balance Sheet'!C31</f>
        <v>5935</v>
      </c>
      <c r="D27" s="324">
        <f>'Historical Balance Sheet'!D31</f>
        <v>10071</v>
      </c>
      <c r="E27" s="324">
        <f>'Historical Balance Sheet'!E31</f>
        <v>69303</v>
      </c>
      <c r="F27" s="324">
        <f>'Historical Balance Sheet'!F31</f>
        <v>122756</v>
      </c>
      <c r="G27" s="324">
        <f>'Historical Balance Sheet'!G31</f>
        <v>93911</v>
      </c>
      <c r="H27" s="324">
        <v>0</v>
      </c>
      <c r="I27" s="324">
        <f t="shared" ref="I27:Q27" si="4">H27</f>
        <v>0</v>
      </c>
      <c r="J27" s="324">
        <f t="shared" si="4"/>
        <v>0</v>
      </c>
      <c r="K27" s="324">
        <f t="shared" si="4"/>
        <v>0</v>
      </c>
      <c r="L27" s="324">
        <f t="shared" si="4"/>
        <v>0</v>
      </c>
      <c r="M27" s="324">
        <f t="shared" si="4"/>
        <v>0</v>
      </c>
      <c r="N27" s="324">
        <f t="shared" si="4"/>
        <v>0</v>
      </c>
      <c r="O27" s="324">
        <f t="shared" si="4"/>
        <v>0</v>
      </c>
      <c r="P27" s="324">
        <f t="shared" si="4"/>
        <v>0</v>
      </c>
      <c r="Q27" s="324">
        <f t="shared" si="4"/>
        <v>0</v>
      </c>
    </row>
    <row r="28" spans="2:17" x14ac:dyDescent="0.25">
      <c r="B28" s="6" t="s">
        <v>40</v>
      </c>
      <c r="C28" s="324">
        <f>'BS Items'!C29</f>
        <v>14</v>
      </c>
      <c r="D28" s="324">
        <f>'BS Items'!D29</f>
        <v>4</v>
      </c>
      <c r="E28" s="324">
        <f>'BS Items'!E29</f>
        <v>64</v>
      </c>
      <c r="F28" s="324">
        <f>'BS Items'!F29</f>
        <v>37</v>
      </c>
      <c r="G28" s="324">
        <f>'BS Items'!G29</f>
        <v>12</v>
      </c>
      <c r="H28" s="324">
        <f>'BS Items'!H29</f>
        <v>47.89756834613457</v>
      </c>
      <c r="I28" s="324">
        <f>'BS Items'!I29</f>
        <v>57.072618246424788</v>
      </c>
      <c r="J28" s="324">
        <f>'BS Items'!J29</f>
        <v>66.517845213518044</v>
      </c>
      <c r="K28" s="324">
        <f>'BS Items'!K29</f>
        <v>76.021690404426863</v>
      </c>
      <c r="L28" s="324">
        <f>'BS Items'!L29</f>
        <v>85.39329150036653</v>
      </c>
      <c r="M28" s="324">
        <f>'BS Items'!M29</f>
        <v>94.471422070654057</v>
      </c>
      <c r="N28" s="324">
        <f>'BS Items'!N29</f>
        <v>103.12879861029548</v>
      </c>
      <c r="O28" s="324">
        <f>'BS Items'!O29</f>
        <v>111.27256292242787</v>
      </c>
      <c r="P28" s="324">
        <f>'BS Items'!P29</f>
        <v>118.84199568290725</v>
      </c>
      <c r="Q28" s="324">
        <f>'BS Items'!Q29</f>
        <v>125.80451036800504</v>
      </c>
    </row>
    <row r="29" spans="2:17" x14ac:dyDescent="0.25">
      <c r="B29" s="6" t="s">
        <v>31</v>
      </c>
      <c r="C29" s="324">
        <f>'BS Items'!C31</f>
        <v>6779</v>
      </c>
      <c r="D29" s="324">
        <f>'BS Items'!D31</f>
        <v>9405</v>
      </c>
      <c r="E29" s="324">
        <f>'BS Items'!E31</f>
        <v>12237</v>
      </c>
      <c r="F29" s="324">
        <f>'BS Items'!F31</f>
        <v>13850</v>
      </c>
      <c r="G29" s="324">
        <f>'BS Items'!G31</f>
        <v>17726</v>
      </c>
      <c r="H29" s="324">
        <f>'BS Items'!H31</f>
        <v>21675.979646246022</v>
      </c>
      <c r="I29" s="324">
        <f>'BS Items'!I31</f>
        <v>25828.136044975443</v>
      </c>
      <c r="J29" s="324">
        <f>'BS Items'!J31</f>
        <v>30102.560709153826</v>
      </c>
      <c r="K29" s="324">
        <f>'BS Items'!K31</f>
        <v>34403.512971082957</v>
      </c>
      <c r="L29" s="324">
        <f>'BS Items'!L31</f>
        <v>38644.618347045514</v>
      </c>
      <c r="M29" s="324">
        <f>'BS Items'!M31</f>
        <v>42752.914034323272</v>
      </c>
      <c r="N29" s="324">
        <f>'BS Items'!N31</f>
        <v>46670.798055220534</v>
      </c>
      <c r="O29" s="324">
        <f>'BS Items'!O31</f>
        <v>50356.247558584568</v>
      </c>
      <c r="P29" s="324">
        <f>'BS Items'!P31</f>
        <v>53781.784096558324</v>
      </c>
      <c r="Q29" s="324">
        <f>'BS Items'!Q31</f>
        <v>56932.660681988324</v>
      </c>
    </row>
    <row r="30" spans="2:17" x14ac:dyDescent="0.25">
      <c r="B30" t="s">
        <v>33</v>
      </c>
      <c r="C30" s="324">
        <f>'BS Items'!C33</f>
        <v>1802</v>
      </c>
      <c r="D30" s="324">
        <f>'BS Items'!D33</f>
        <v>3392</v>
      </c>
      <c r="E30" s="324">
        <f>'BS Items'!E33</f>
        <v>4495</v>
      </c>
      <c r="F30" s="324">
        <f>'BS Items'!F33</f>
        <v>4793</v>
      </c>
      <c r="G30" s="324">
        <f>'BS Items'!G33</f>
        <v>5682</v>
      </c>
      <c r="H30" s="324">
        <f>'BS Items'!H33</f>
        <v>7191.51443084531</v>
      </c>
      <c r="I30" s="324">
        <f>'BS Items'!I33</f>
        <v>8569.089661488264</v>
      </c>
      <c r="J30" s="324">
        <f>'BS Items'!J33</f>
        <v>9987.2302557161984</v>
      </c>
      <c r="K30" s="324">
        <f>'BS Items'!K33</f>
        <v>11414.172002425064</v>
      </c>
      <c r="L30" s="324">
        <f>'BS Items'!L33</f>
        <v>12821.258141632274</v>
      </c>
      <c r="M30" s="324">
        <f>'BS Items'!M33</f>
        <v>14184.281552957274</v>
      </c>
      <c r="N30" s="324">
        <f>'BS Items'!N33</f>
        <v>15484.131429848099</v>
      </c>
      <c r="O30" s="324">
        <f>'BS Items'!O33</f>
        <v>16706.865706228738</v>
      </c>
      <c r="P30" s="324">
        <f>'BS Items'!P33</f>
        <v>17843.367762803264</v>
      </c>
      <c r="Q30" s="324">
        <f>'BS Items'!Q33</f>
        <v>18888.744940847289</v>
      </c>
    </row>
    <row r="31" spans="2:17" x14ac:dyDescent="0.25">
      <c r="C31" s="150"/>
      <c r="D31" s="150"/>
      <c r="E31" s="150"/>
      <c r="F31" s="150"/>
      <c r="G31" s="150"/>
      <c r="H31" s="150"/>
      <c r="I31" s="150"/>
      <c r="J31" s="150"/>
      <c r="K31" s="150"/>
      <c r="L31" s="150"/>
      <c r="M31" s="150"/>
      <c r="N31" s="150"/>
      <c r="O31" s="150"/>
      <c r="P31" s="150"/>
      <c r="Q31" s="150"/>
    </row>
    <row r="32" spans="2:17" x14ac:dyDescent="0.25">
      <c r="B32" s="8" t="s">
        <v>41</v>
      </c>
      <c r="C32" s="320">
        <f>SUM(C24:C31)</f>
        <v>74453</v>
      </c>
      <c r="D32" s="320">
        <f t="shared" ref="D32:Q32" si="5">SUM(D24:D31)</f>
        <v>92739</v>
      </c>
      <c r="E32" s="320">
        <f t="shared" si="5"/>
        <v>107298</v>
      </c>
      <c r="F32" s="320">
        <f t="shared" si="5"/>
        <v>177777</v>
      </c>
      <c r="G32" s="320">
        <f t="shared" si="5"/>
        <v>200095</v>
      </c>
      <c r="H32" s="320">
        <f t="shared" si="5"/>
        <v>185110.80876573539</v>
      </c>
      <c r="I32" s="320">
        <f t="shared" si="5"/>
        <v>237800.0935132546</v>
      </c>
      <c r="J32" s="320">
        <f t="shared" si="5"/>
        <v>296323.88839568454</v>
      </c>
      <c r="K32" s="320">
        <f t="shared" si="5"/>
        <v>360289.35999584029</v>
      </c>
      <c r="L32" s="320">
        <f t="shared" si="5"/>
        <v>428864.81664164196</v>
      </c>
      <c r="M32" s="320">
        <f t="shared" si="5"/>
        <v>501669.32278301916</v>
      </c>
      <c r="N32" s="320">
        <f t="shared" si="5"/>
        <v>577810.33755603072</v>
      </c>
      <c r="O32" s="320">
        <f t="shared" si="5"/>
        <v>657040.60782980197</v>
      </c>
      <c r="P32" s="320">
        <f t="shared" si="5"/>
        <v>738694.66482093348</v>
      </c>
      <c r="Q32" s="320">
        <f t="shared" si="5"/>
        <v>822519.1077436785</v>
      </c>
    </row>
    <row r="33" spans="2:17" x14ac:dyDescent="0.25">
      <c r="C33" s="150"/>
      <c r="D33" s="150"/>
      <c r="E33" s="150"/>
      <c r="F33" s="150"/>
      <c r="G33" s="150"/>
      <c r="H33" s="150"/>
      <c r="I33" s="150"/>
      <c r="J33" s="150"/>
      <c r="K33" s="150"/>
      <c r="L33" s="150"/>
      <c r="M33" s="150"/>
      <c r="N33" s="150"/>
      <c r="O33" s="150"/>
      <c r="P33" s="150"/>
      <c r="Q33" s="150"/>
    </row>
    <row r="34" spans="2:17" ht="15.75" thickBot="1" x14ac:dyDescent="0.3">
      <c r="B34" s="42" t="s">
        <v>42</v>
      </c>
      <c r="C34" s="327">
        <f>C32+C20</f>
        <v>92195</v>
      </c>
      <c r="D34" s="327">
        <f t="shared" ref="D34:Q34" si="6">D32+D20</f>
        <v>112501</v>
      </c>
      <c r="E34" s="327">
        <f t="shared" si="6"/>
        <v>164083</v>
      </c>
      <c r="F34" s="327">
        <f t="shared" si="6"/>
        <v>224779</v>
      </c>
      <c r="G34" s="327">
        <f t="shared" si="6"/>
        <v>335906</v>
      </c>
      <c r="H34" s="327">
        <f t="shared" si="6"/>
        <v>323042.42408009619</v>
      </c>
      <c r="I34" s="327">
        <f t="shared" si="6"/>
        <v>380415.27144819358</v>
      </c>
      <c r="J34" s="327">
        <f t="shared" si="6"/>
        <v>443679.73387550353</v>
      </c>
      <c r="K34" s="327">
        <f t="shared" si="6"/>
        <v>512450.02989092795</v>
      </c>
      <c r="L34" s="327">
        <f t="shared" si="6"/>
        <v>585760.91813755617</v>
      </c>
      <c r="M34" s="327">
        <f t="shared" si="6"/>
        <v>663254.34818504774</v>
      </c>
      <c r="N34" s="327">
        <f t="shared" si="6"/>
        <v>743924.22949175688</v>
      </c>
      <c r="O34" s="327">
        <f t="shared" si="6"/>
        <v>827567.70063149021</v>
      </c>
      <c r="P34" s="327">
        <f t="shared" si="6"/>
        <v>913426.68224156101</v>
      </c>
      <c r="Q34" s="327">
        <f t="shared" si="6"/>
        <v>1001311.1249498344</v>
      </c>
    </row>
    <row r="35" spans="2:17" x14ac:dyDescent="0.25">
      <c r="C35" s="150"/>
      <c r="D35" s="150"/>
      <c r="E35" s="150"/>
      <c r="F35" s="150"/>
      <c r="G35" s="150"/>
      <c r="H35" s="150"/>
      <c r="I35" s="150"/>
      <c r="J35" s="150"/>
      <c r="K35" s="150"/>
      <c r="L35" s="150"/>
      <c r="M35" s="150"/>
      <c r="N35" s="150"/>
      <c r="O35" s="150"/>
      <c r="P35" s="150"/>
      <c r="Q35" s="150"/>
    </row>
    <row r="36" spans="2:17" x14ac:dyDescent="0.25">
      <c r="B36" s="1" t="s">
        <v>43</v>
      </c>
      <c r="C36" s="150"/>
      <c r="D36" s="150"/>
      <c r="E36" s="150"/>
      <c r="F36" s="150"/>
      <c r="G36" s="150"/>
      <c r="H36" s="150"/>
      <c r="I36" s="150"/>
      <c r="J36" s="150"/>
      <c r="K36" s="150"/>
      <c r="L36" s="150"/>
      <c r="M36" s="150"/>
      <c r="N36" s="150"/>
      <c r="O36" s="150"/>
      <c r="P36" s="150"/>
      <c r="Q36" s="150"/>
    </row>
    <row r="37" spans="2:17" x14ac:dyDescent="0.25">
      <c r="B37" s="1" t="s">
        <v>44</v>
      </c>
      <c r="C37" s="150"/>
      <c r="D37" s="150"/>
      <c r="E37" s="150"/>
      <c r="F37" s="150"/>
      <c r="G37" s="150"/>
      <c r="H37" s="150"/>
      <c r="I37" s="150"/>
      <c r="J37" s="150"/>
      <c r="K37" s="150"/>
      <c r="L37" s="150"/>
      <c r="M37" s="150"/>
      <c r="N37" s="150"/>
      <c r="O37" s="150"/>
      <c r="P37" s="150"/>
      <c r="Q37" s="150"/>
    </row>
    <row r="38" spans="2:17" x14ac:dyDescent="0.25">
      <c r="B38" t="s">
        <v>45</v>
      </c>
      <c r="C38" s="324">
        <f>'Historical Balance Sheet'!C42</f>
        <v>2837</v>
      </c>
      <c r="D38" s="324">
        <f>'Historical Balance Sheet'!D42</f>
        <v>2854</v>
      </c>
      <c r="E38" s="324">
        <f>'Historical Balance Sheet'!E42</f>
        <v>2866</v>
      </c>
      <c r="F38" s="324">
        <f>'Historical Balance Sheet'!F42</f>
        <v>2987</v>
      </c>
      <c r="G38" s="324">
        <f>'Historical Balance Sheet'!G42</f>
        <v>3001</v>
      </c>
      <c r="H38" s="324">
        <f>G38</f>
        <v>3001</v>
      </c>
      <c r="I38" s="324">
        <f t="shared" ref="I38:Q38" si="7">H38</f>
        <v>3001</v>
      </c>
      <c r="J38" s="324">
        <f t="shared" si="7"/>
        <v>3001</v>
      </c>
      <c r="K38" s="324">
        <f t="shared" si="7"/>
        <v>3001</v>
      </c>
      <c r="L38" s="324">
        <f t="shared" si="7"/>
        <v>3001</v>
      </c>
      <c r="M38" s="324">
        <f t="shared" si="7"/>
        <v>3001</v>
      </c>
      <c r="N38" s="324">
        <f t="shared" si="7"/>
        <v>3001</v>
      </c>
      <c r="O38" s="324">
        <f t="shared" si="7"/>
        <v>3001</v>
      </c>
      <c r="P38" s="324">
        <f t="shared" si="7"/>
        <v>3001</v>
      </c>
      <c r="Q38" s="324">
        <f t="shared" si="7"/>
        <v>3001</v>
      </c>
    </row>
    <row r="39" spans="2:17" x14ac:dyDescent="0.25">
      <c r="B39" t="s">
        <v>46</v>
      </c>
      <c r="C39" s="324">
        <f>'Historical Balance Sheet'!C43</f>
        <v>51762</v>
      </c>
      <c r="D39" s="324">
        <f>'Historical Balance Sheet'!D43</f>
        <v>63726</v>
      </c>
      <c r="E39" s="324">
        <f>'Historical Balance Sheet'!E43</f>
        <v>81016</v>
      </c>
      <c r="F39" s="324">
        <f>'Historical Balance Sheet'!F43</f>
        <v>145037</v>
      </c>
      <c r="G39" s="324">
        <f>'Historical Balance Sheet'!G43</f>
        <v>154457</v>
      </c>
      <c r="H39" s="324">
        <f>G39+'Profit &amp; Loss Statement'!H37</f>
        <v>178793.01405543892</v>
      </c>
      <c r="I39" s="324">
        <f>H39+'Profit &amp; Loss Statement'!I37</f>
        <v>209108.93024599625</v>
      </c>
      <c r="J39" s="324">
        <f>I39+'Profit &amp; Loss Statement'!J37</f>
        <v>244519.71789418548</v>
      </c>
      <c r="K39" s="324">
        <f>J39+'Profit &amp; Loss Statement'!K37</f>
        <v>285263.47584748111</v>
      </c>
      <c r="L39" s="324">
        <f>K39+'Profit &amp; Loss Statement'!L37</f>
        <v>330937.80967404268</v>
      </c>
      <c r="M39" s="324">
        <f>L39+'Profit &amp; Loss Statement'!M37</f>
        <v>381660.12057446298</v>
      </c>
      <c r="N39" s="324">
        <f>M39+'Profit &amp; Loss Statement'!N37</f>
        <v>436799.67302664247</v>
      </c>
      <c r="O39" s="324">
        <f>N39+'Profit &amp; Loss Statement'!O37</f>
        <v>496427.44148202287</v>
      </c>
      <c r="P39" s="324">
        <f>O39+'Profit &amp; Loss Statement'!P37</f>
        <v>559964.40593915922</v>
      </c>
      <c r="Q39" s="324">
        <f>P39+'Profit &amp; Loss Statement'!Q37</f>
        <v>627316.61365094036</v>
      </c>
    </row>
    <row r="40" spans="2:17" x14ac:dyDescent="0.25">
      <c r="B40" s="8" t="s">
        <v>48</v>
      </c>
      <c r="C40" s="320">
        <f>SUM(C38:C39)</f>
        <v>54599</v>
      </c>
      <c r="D40" s="320">
        <f t="shared" ref="D40:H40" si="8">SUM(D38:D39)</f>
        <v>66580</v>
      </c>
      <c r="E40" s="320">
        <f t="shared" si="8"/>
        <v>83882</v>
      </c>
      <c r="F40" s="320">
        <f t="shared" si="8"/>
        <v>148024</v>
      </c>
      <c r="G40" s="320">
        <f t="shared" si="8"/>
        <v>157458</v>
      </c>
      <c r="H40" s="320">
        <f t="shared" si="8"/>
        <v>181794.01405543892</v>
      </c>
      <c r="I40" s="320">
        <f t="shared" ref="I40" si="9">SUM(I38:I39)</f>
        <v>212109.93024599625</v>
      </c>
      <c r="J40" s="320">
        <f t="shared" ref="J40" si="10">SUM(J38:J39)</f>
        <v>247520.71789418548</v>
      </c>
      <c r="K40" s="320">
        <f t="shared" ref="K40" si="11">SUM(K38:K39)</f>
        <v>288264.47584748111</v>
      </c>
      <c r="L40" s="320">
        <f t="shared" ref="L40" si="12">SUM(L38:L39)</f>
        <v>333938.80967404268</v>
      </c>
      <c r="M40" s="320">
        <f t="shared" ref="M40" si="13">SUM(M38:M39)</f>
        <v>384661.12057446298</v>
      </c>
      <c r="N40" s="320">
        <f t="shared" ref="N40" si="14">SUM(N38:N39)</f>
        <v>439800.67302664247</v>
      </c>
      <c r="O40" s="320">
        <f t="shared" ref="O40" si="15">SUM(O38:O39)</f>
        <v>499428.44148202287</v>
      </c>
      <c r="P40" s="320">
        <f t="shared" ref="P40" si="16">SUM(P38:P39)</f>
        <v>562965.40593915922</v>
      </c>
      <c r="Q40" s="320">
        <f t="shared" ref="Q40" si="17">SUM(Q38:Q39)</f>
        <v>630317.61365094036</v>
      </c>
    </row>
    <row r="41" spans="2:17" x14ac:dyDescent="0.25">
      <c r="C41" s="150"/>
      <c r="D41" s="150"/>
      <c r="E41" s="150"/>
      <c r="F41" s="150"/>
      <c r="G41" s="150"/>
      <c r="H41" s="150"/>
      <c r="I41" s="150"/>
      <c r="J41" s="150"/>
      <c r="K41" s="150"/>
      <c r="L41" s="150"/>
      <c r="M41" s="150"/>
      <c r="N41" s="150"/>
      <c r="O41" s="150"/>
      <c r="P41" s="150"/>
      <c r="Q41" s="150"/>
    </row>
    <row r="42" spans="2:17" x14ac:dyDescent="0.25">
      <c r="B42" s="1" t="s">
        <v>49</v>
      </c>
      <c r="C42" s="150"/>
      <c r="D42" s="150"/>
      <c r="E42" s="150"/>
      <c r="F42" s="150"/>
      <c r="G42" s="150"/>
      <c r="H42" s="150"/>
      <c r="I42" s="150"/>
      <c r="J42" s="150"/>
      <c r="K42" s="150"/>
      <c r="L42" s="150"/>
      <c r="M42" s="150"/>
      <c r="N42" s="150"/>
      <c r="O42" s="150"/>
      <c r="P42" s="150"/>
      <c r="Q42" s="150"/>
    </row>
    <row r="43" spans="2:17" x14ac:dyDescent="0.25">
      <c r="B43" s="1" t="s">
        <v>50</v>
      </c>
      <c r="C43" s="150"/>
      <c r="D43" s="150"/>
      <c r="E43" s="150"/>
      <c r="F43" s="150"/>
      <c r="G43" s="150"/>
      <c r="H43" s="150"/>
      <c r="I43" s="150"/>
      <c r="J43" s="150"/>
      <c r="K43" s="150"/>
      <c r="L43" s="150"/>
      <c r="M43" s="150"/>
      <c r="N43" s="150"/>
      <c r="O43" s="150"/>
      <c r="P43" s="150"/>
      <c r="Q43" s="150"/>
    </row>
    <row r="44" spans="2:17" x14ac:dyDescent="0.25">
      <c r="B44" s="1" t="s">
        <v>51</v>
      </c>
      <c r="C44" s="150"/>
      <c r="D44" s="150"/>
      <c r="E44" s="150"/>
      <c r="F44" s="150"/>
      <c r="G44" s="150"/>
      <c r="H44" s="150"/>
      <c r="I44" s="150"/>
      <c r="J44" s="150"/>
      <c r="K44" s="150"/>
      <c r="L44" s="150"/>
      <c r="M44" s="150"/>
      <c r="N44" s="150"/>
      <c r="O44" s="150"/>
      <c r="P44" s="150"/>
      <c r="Q44" s="150"/>
    </row>
    <row r="45" spans="2:17" x14ac:dyDescent="0.25">
      <c r="B45" s="6" t="s">
        <v>52</v>
      </c>
      <c r="C45" s="324">
        <f>'BS Items'!C40</f>
        <v>3661</v>
      </c>
      <c r="D45" s="324">
        <f>'BS Items'!D40</f>
        <v>1724</v>
      </c>
      <c r="E45" s="324">
        <f>'BS Items'!E40</f>
        <v>11278</v>
      </c>
      <c r="F45" s="324">
        <f>'BS Items'!F40</f>
        <v>10445</v>
      </c>
      <c r="G45" s="324">
        <f>'BS Items'!G40</f>
        <v>33537</v>
      </c>
      <c r="H45" s="324">
        <f>'BS Items'!H40</f>
        <v>18579.875142765322</v>
      </c>
      <c r="I45" s="324">
        <f>'BS Items'!I40</f>
        <v>22138.95522683375</v>
      </c>
      <c r="J45" s="324">
        <f>'BS Items'!J40</f>
        <v>25802.839298682149</v>
      </c>
      <c r="K45" s="324">
        <f>'BS Items'!K40</f>
        <v>29489.461879335704</v>
      </c>
      <c r="L45" s="324">
        <f>'BS Items'!L40</f>
        <v>33124.785848019259</v>
      </c>
      <c r="M45" s="324">
        <f>'BS Items'!M40</f>
        <v>36646.270097632012</v>
      </c>
      <c r="N45" s="324">
        <f>'BS Items'!N40</f>
        <v>40004.540271350015</v>
      </c>
      <c r="O45" s="324">
        <f>'BS Items'!O40</f>
        <v>43163.575882888297</v>
      </c>
      <c r="P45" s="324">
        <f>'BS Items'!P40</f>
        <v>46099.82338871005</v>
      </c>
      <c r="Q45" s="324">
        <f>'BS Items'!Q40</f>
        <v>48800.642198423731</v>
      </c>
    </row>
    <row r="46" spans="2:17" x14ac:dyDescent="0.25">
      <c r="B46" s="6" t="s">
        <v>53</v>
      </c>
      <c r="C46" s="324">
        <f>'BS Items'!C42</f>
        <v>1223</v>
      </c>
      <c r="D46" s="324">
        <f>'BS Items'!D42</f>
        <v>4119</v>
      </c>
      <c r="E46" s="324">
        <f>'BS Items'!E42</f>
        <v>4761</v>
      </c>
      <c r="F46" s="324">
        <f>'BS Items'!F42</f>
        <v>4570</v>
      </c>
      <c r="G46" s="324">
        <f>'BS Items'!G42</f>
        <v>5010</v>
      </c>
      <c r="H46" s="324">
        <f>'BS Items'!H42</f>
        <v>7009.6986575225901</v>
      </c>
      <c r="I46" s="324">
        <f>'BS Items'!I42</f>
        <v>8352.4460492898688</v>
      </c>
      <c r="J46" s="324">
        <f>'BS Items'!J42</f>
        <v>9734.733231653121</v>
      </c>
      <c r="K46" s="324">
        <f>'BS Items'!K42</f>
        <v>11125.599055875959</v>
      </c>
      <c r="L46" s="324">
        <f>'BS Items'!L42</f>
        <v>12497.11126180503</v>
      </c>
      <c r="M46" s="324">
        <f>'BS Items'!M42</f>
        <v>13825.6747331591</v>
      </c>
      <c r="N46" s="324">
        <f>'BS Items'!N42</f>
        <v>15092.661822546268</v>
      </c>
      <c r="O46" s="324">
        <f>'BS Items'!O42</f>
        <v>16284.482947021821</v>
      </c>
      <c r="P46" s="324">
        <f>'BS Items'!P42</f>
        <v>17392.251973539049</v>
      </c>
      <c r="Q46" s="324">
        <f>'BS Items'!Q42</f>
        <v>18411.199939507136</v>
      </c>
    </row>
    <row r="47" spans="2:17" x14ac:dyDescent="0.25">
      <c r="B47" s="6" t="s">
        <v>54</v>
      </c>
      <c r="C47" s="324">
        <f>'BS Items'!C44</f>
        <v>2455</v>
      </c>
      <c r="D47" s="324">
        <f>'BS Items'!D44</f>
        <v>1291</v>
      </c>
      <c r="E47" s="324">
        <f>'BS Items'!E44</f>
        <v>1996</v>
      </c>
      <c r="F47" s="324">
        <f>'BS Items'!F44</f>
        <v>401</v>
      </c>
      <c r="G47" s="324">
        <f>'BS Items'!G44</f>
        <v>8330</v>
      </c>
      <c r="H47" s="324">
        <f>'BS Items'!H44</f>
        <v>5054.94722663429</v>
      </c>
      <c r="I47" s="324">
        <f>'BS Items'!I44</f>
        <v>6023.2509349256989</v>
      </c>
      <c r="J47" s="324">
        <f>'BS Items'!J44</f>
        <v>7020.0682162792427</v>
      </c>
      <c r="K47" s="324">
        <f>'BS Items'!K44</f>
        <v>8023.0718665474969</v>
      </c>
      <c r="L47" s="324">
        <f>'BS Items'!L44</f>
        <v>9012.1189226882125</v>
      </c>
      <c r="M47" s="324">
        <f>'BS Items'!M44</f>
        <v>9970.194092969843</v>
      </c>
      <c r="N47" s="324">
        <f>'BS Items'!N44</f>
        <v>10883.864307138887</v>
      </c>
      <c r="O47" s="324">
        <f>'BS Items'!O44</f>
        <v>11743.329625429917</v>
      </c>
      <c r="P47" s="324">
        <f>'BS Items'!P44</f>
        <v>12542.181935911936</v>
      </c>
      <c r="Q47" s="324">
        <f>'BS Items'!Q44</f>
        <v>13276.982167178287</v>
      </c>
    </row>
    <row r="48" spans="2:17" x14ac:dyDescent="0.25">
      <c r="B48" t="s">
        <v>55</v>
      </c>
      <c r="C48" s="324">
        <f>'BS Items'!C46</f>
        <v>1653</v>
      </c>
      <c r="D48" s="324">
        <f>'BS Items'!D46</f>
        <v>1618</v>
      </c>
      <c r="E48" s="324">
        <f>'BS Items'!E46</f>
        <v>2466</v>
      </c>
      <c r="F48" s="324">
        <f>'BS Items'!F46</f>
        <v>3338</v>
      </c>
      <c r="G48" s="324">
        <f>'BS Items'!G46</f>
        <v>5940</v>
      </c>
      <c r="H48" s="324">
        <f>'BS Items'!H46</f>
        <v>5175.2324337931668</v>
      </c>
      <c r="I48" s="324">
        <f>'BS Items'!I46</f>
        <v>6166.5774532837995</v>
      </c>
      <c r="J48" s="324">
        <f>'BS Items'!J46</f>
        <v>7187.1145417513326</v>
      </c>
      <c r="K48" s="324">
        <f>'BS Items'!K46</f>
        <v>8213.9852071326131</v>
      </c>
      <c r="L48" s="324">
        <f>'BS Items'!L46</f>
        <v>9226.5671736698059</v>
      </c>
      <c r="M48" s="324">
        <f>'BS Items'!M46</f>
        <v>10207.440261548656</v>
      </c>
      <c r="N48" s="324">
        <f>'BS Items'!N46</f>
        <v>11142.851753333251</v>
      </c>
      <c r="O48" s="324">
        <f>'BS Items'!O46</f>
        <v>12022.768514383524</v>
      </c>
      <c r="P48" s="324">
        <f>'BS Items'!P46</f>
        <v>12840.629948274267</v>
      </c>
      <c r="Q48" s="324">
        <f>'BS Items'!Q46</f>
        <v>13592.915149032004</v>
      </c>
    </row>
    <row r="49" spans="2:17" x14ac:dyDescent="0.25">
      <c r="B49" t="s">
        <v>56</v>
      </c>
      <c r="C49" s="324">
        <f>'BS Items'!C48</f>
        <v>725</v>
      </c>
      <c r="D49" s="324">
        <f>'BS Items'!D48</f>
        <v>468</v>
      </c>
      <c r="E49" s="324">
        <f>'BS Items'!E48</f>
        <v>2060</v>
      </c>
      <c r="F49" s="324">
        <f>'BS Items'!F48</f>
        <v>1303</v>
      </c>
      <c r="G49" s="324">
        <f>'BS Items'!G48</f>
        <v>4841</v>
      </c>
      <c r="H49" s="324">
        <f>'BS Items'!H48</f>
        <v>2999.5496503853888</v>
      </c>
      <c r="I49" s="324">
        <f>'BS Items'!I48</f>
        <v>3574.130337275416</v>
      </c>
      <c r="J49" s="324">
        <f>'BS Items'!J48</f>
        <v>4165.6306623486325</v>
      </c>
      <c r="K49" s="324">
        <f>'BS Items'!K48</f>
        <v>4760.8019101601722</v>
      </c>
      <c r="L49" s="324">
        <f>'BS Items'!L48</f>
        <v>5347.6914697247494</v>
      </c>
      <c r="M49" s="324">
        <f>'BS Items'!M48</f>
        <v>5916.2026555427328</v>
      </c>
      <c r="N49" s="324">
        <f>'BS Items'!N48</f>
        <v>6458.3644326307713</v>
      </c>
      <c r="O49" s="324">
        <f>'BS Items'!O48</f>
        <v>6968.361625364023</v>
      </c>
      <c r="P49" s="324">
        <f>'BS Items'!P48</f>
        <v>7442.3917311563137</v>
      </c>
      <c r="Q49" s="324">
        <f>'BS Items'!Q48</f>
        <v>7878.4140431569103</v>
      </c>
    </row>
    <row r="50" spans="2:17" x14ac:dyDescent="0.25">
      <c r="C50" s="150"/>
      <c r="D50" s="150"/>
      <c r="E50" s="150"/>
      <c r="F50" s="150"/>
      <c r="G50" s="150"/>
      <c r="H50" s="150"/>
      <c r="I50" s="150"/>
      <c r="J50" s="150"/>
      <c r="K50" s="150"/>
      <c r="L50" s="150"/>
      <c r="M50" s="150"/>
      <c r="N50" s="150"/>
      <c r="O50" s="150"/>
      <c r="P50" s="150"/>
      <c r="Q50" s="150"/>
    </row>
    <row r="51" spans="2:17" x14ac:dyDescent="0.25">
      <c r="B51" s="8" t="s">
        <v>57</v>
      </c>
      <c r="C51" s="320">
        <f>SUM(C45:C50)</f>
        <v>9717</v>
      </c>
      <c r="D51" s="320">
        <f t="shared" ref="D51:Q51" si="18">SUM(D45:D50)</f>
        <v>9220</v>
      </c>
      <c r="E51" s="320">
        <f t="shared" si="18"/>
        <v>22561</v>
      </c>
      <c r="F51" s="320">
        <f t="shared" si="18"/>
        <v>20057</v>
      </c>
      <c r="G51" s="320">
        <f t="shared" si="18"/>
        <v>57658</v>
      </c>
      <c r="H51" s="320">
        <f t="shared" si="18"/>
        <v>38819.303111100751</v>
      </c>
      <c r="I51" s="320">
        <f t="shared" si="18"/>
        <v>46255.360001608533</v>
      </c>
      <c r="J51" s="320">
        <f t="shared" si="18"/>
        <v>53910.385950714473</v>
      </c>
      <c r="K51" s="320">
        <f t="shared" si="18"/>
        <v>61612.91991905195</v>
      </c>
      <c r="L51" s="320">
        <f t="shared" si="18"/>
        <v>69208.274675907058</v>
      </c>
      <c r="M51" s="320">
        <f t="shared" si="18"/>
        <v>76565.781840852345</v>
      </c>
      <c r="N51" s="320">
        <f t="shared" si="18"/>
        <v>83582.282586999194</v>
      </c>
      <c r="O51" s="320">
        <f t="shared" si="18"/>
        <v>90182.518595087589</v>
      </c>
      <c r="P51" s="320">
        <f t="shared" si="18"/>
        <v>96317.278977591617</v>
      </c>
      <c r="Q51" s="320">
        <f t="shared" si="18"/>
        <v>101960.15349729807</v>
      </c>
    </row>
    <row r="52" spans="2:17" x14ac:dyDescent="0.25">
      <c r="C52" s="150"/>
      <c r="D52" s="150"/>
      <c r="E52" s="150"/>
      <c r="F52" s="150"/>
      <c r="G52" s="150"/>
      <c r="H52" s="150"/>
      <c r="I52" s="150"/>
      <c r="J52" s="150"/>
      <c r="K52" s="150"/>
      <c r="L52" s="150"/>
      <c r="M52" s="150"/>
      <c r="N52" s="150"/>
      <c r="O52" s="150"/>
      <c r="P52" s="150"/>
      <c r="Q52" s="150"/>
    </row>
    <row r="53" spans="2:17" x14ac:dyDescent="0.25">
      <c r="B53" s="1" t="s">
        <v>58</v>
      </c>
      <c r="C53" s="150"/>
      <c r="D53" s="150"/>
      <c r="E53" s="150"/>
      <c r="F53" s="150"/>
      <c r="G53" s="150"/>
      <c r="H53" s="150"/>
      <c r="I53" s="150"/>
      <c r="J53" s="150"/>
      <c r="K53" s="150"/>
      <c r="L53" s="150"/>
      <c r="M53" s="150"/>
      <c r="N53" s="150"/>
      <c r="O53" s="150"/>
      <c r="P53" s="150"/>
      <c r="Q53" s="150"/>
    </row>
    <row r="54" spans="2:17" x14ac:dyDescent="0.25">
      <c r="B54" t="s">
        <v>59</v>
      </c>
      <c r="C54" s="324">
        <f>'BS Items'!C54</f>
        <v>674</v>
      </c>
      <c r="D54" s="324">
        <f>'BS Items'!D54</f>
        <v>1346</v>
      </c>
      <c r="E54" s="324">
        <f>'BS Items'!E54</f>
        <v>1157</v>
      </c>
      <c r="F54" s="324">
        <f>'BS Items'!F54</f>
        <v>1825</v>
      </c>
      <c r="G54" s="324">
        <f>'BS Items'!G54</f>
        <v>2194</v>
      </c>
      <c r="H54" s="324">
        <f>'BS Items'!H54</f>
        <v>2567.5470695528666</v>
      </c>
      <c r="I54" s="324">
        <f>'BS Items'!I54</f>
        <v>3059.3752207076964</v>
      </c>
      <c r="J54" s="324">
        <f>'BS Items'!J54</f>
        <v>3565.6862017865324</v>
      </c>
      <c r="K54" s="324">
        <f>'BS Items'!K54</f>
        <v>4075.1394102054373</v>
      </c>
      <c r="L54" s="324">
        <f>'BS Items'!L54</f>
        <v>4577.5036796608865</v>
      </c>
      <c r="M54" s="324">
        <f>'BS Items'!M54</f>
        <v>5064.1364743430631</v>
      </c>
      <c r="N54" s="324">
        <f>'BS Items'!N54</f>
        <v>5528.2147674985426</v>
      </c>
      <c r="O54" s="324">
        <f>'BS Items'!O54</f>
        <v>5964.7608995201317</v>
      </c>
      <c r="P54" s="324">
        <f>'BS Items'!P54</f>
        <v>6370.5200136759704</v>
      </c>
      <c r="Q54" s="324">
        <f>'BS Items'!Q54</f>
        <v>6743.7453107778074</v>
      </c>
    </row>
    <row r="55" spans="2:17" x14ac:dyDescent="0.25">
      <c r="B55" s="1" t="s">
        <v>51</v>
      </c>
      <c r="C55" s="324"/>
      <c r="D55" s="324"/>
      <c r="E55" s="324"/>
      <c r="F55" s="324"/>
      <c r="G55" s="324"/>
      <c r="H55" s="324"/>
      <c r="I55" s="324"/>
      <c r="J55" s="324"/>
      <c r="K55" s="324"/>
      <c r="L55" s="324"/>
      <c r="M55" s="324"/>
      <c r="N55" s="324"/>
      <c r="O55" s="324"/>
      <c r="P55" s="324"/>
      <c r="Q55" s="324"/>
    </row>
    <row r="56" spans="2:17" x14ac:dyDescent="0.25">
      <c r="B56" s="5" t="s">
        <v>52</v>
      </c>
      <c r="C56" s="324">
        <f>'BS Items'!C56</f>
        <v>12969</v>
      </c>
      <c r="D56" s="324">
        <f>'BS Items'!D56</f>
        <v>17340</v>
      </c>
      <c r="E56" s="324">
        <f>'BS Items'!E56</f>
        <v>35477</v>
      </c>
      <c r="F56" s="324">
        <f>'BS Items'!F56</f>
        <v>33792</v>
      </c>
      <c r="G56" s="324">
        <f>'BS Items'!G56</f>
        <v>82554</v>
      </c>
      <c r="H56" s="324">
        <f>'BS Items'!H56</f>
        <v>59562.919102254571</v>
      </c>
      <c r="I56" s="324">
        <f>'BS Items'!I56</f>
        <v>70972.532864290959</v>
      </c>
      <c r="J56" s="324">
        <f>'BS Items'!J56</f>
        <v>82718.124742313928</v>
      </c>
      <c r="K56" s="324">
        <f>'BS Items'!K56</f>
        <v>94536.611187714807</v>
      </c>
      <c r="L56" s="324">
        <f>'BS Items'!L56</f>
        <v>106190.64577047672</v>
      </c>
      <c r="M56" s="324">
        <f>'BS Items'!M56</f>
        <v>117479.73570611179</v>
      </c>
      <c r="N56" s="324">
        <f>'BS Items'!N56</f>
        <v>128245.59786307937</v>
      </c>
      <c r="O56" s="324">
        <f>'BS Items'!O56</f>
        <v>138372.75862844451</v>
      </c>
      <c r="P56" s="324">
        <f>'BS Items'!P56</f>
        <v>147785.71061599097</v>
      </c>
      <c r="Q56" s="324">
        <f>'BS Items'!Q56</f>
        <v>156443.93092354038</v>
      </c>
    </row>
    <row r="57" spans="2:17" x14ac:dyDescent="0.25">
      <c r="B57" s="5" t="s">
        <v>53</v>
      </c>
      <c r="C57" s="324">
        <f>'BS Items'!C58</f>
        <v>1422</v>
      </c>
      <c r="D57" s="324">
        <f>'BS Items'!D58</f>
        <v>1792</v>
      </c>
      <c r="E57" s="324">
        <f>'BS Items'!E58</f>
        <v>1859</v>
      </c>
      <c r="F57" s="324">
        <f>'BS Items'!F58</f>
        <v>2412</v>
      </c>
      <c r="G57" s="324">
        <f>'BS Items'!G58</f>
        <v>3258</v>
      </c>
      <c r="H57" s="324">
        <f>'BS Items'!H58</f>
        <v>3948.9424047995776</v>
      </c>
      <c r="I57" s="324">
        <f>'BS Items'!I58</f>
        <v>4705.3846391021079</v>
      </c>
      <c r="J57" s="324">
        <f>'BS Items'!J58</f>
        <v>5484.1017761344128</v>
      </c>
      <c r="K57" s="324">
        <f>'BS Items'!K58</f>
        <v>6267.6517261405725</v>
      </c>
      <c r="L57" s="324">
        <f>'BS Items'!L58</f>
        <v>7040.2987361345358</v>
      </c>
      <c r="M57" s="324">
        <f>'BS Items'!M58</f>
        <v>7788.7504008673004</v>
      </c>
      <c r="N57" s="324">
        <f>'BS Items'!N58</f>
        <v>8502.5127590030879</v>
      </c>
      <c r="O57" s="324">
        <f>'BS Items'!O58</f>
        <v>9173.9300634155425</v>
      </c>
      <c r="P57" s="324">
        <f>'BS Items'!P58</f>
        <v>9797.996274713063</v>
      </c>
      <c r="Q57" s="324">
        <f>'BS Items'!Q58</f>
        <v>10372.024778317489</v>
      </c>
    </row>
    <row r="58" spans="2:17" x14ac:dyDescent="0.25">
      <c r="B58" s="5" t="s">
        <v>60</v>
      </c>
      <c r="C58" s="324">
        <f>'Working Capital'!C14</f>
        <v>4499</v>
      </c>
      <c r="D58" s="324">
        <f>'Working Capital'!D14</f>
        <v>6072</v>
      </c>
      <c r="E58" s="324">
        <f>'Working Capital'!E14</f>
        <v>7052</v>
      </c>
      <c r="F58" s="324">
        <f>'Working Capital'!F14</f>
        <v>7915</v>
      </c>
      <c r="G58" s="324">
        <f>'Working Capital'!G14</f>
        <v>10481</v>
      </c>
      <c r="H58" s="324">
        <f>'Working Capital'!H14</f>
        <v>13221.644579991909</v>
      </c>
      <c r="I58" s="324">
        <f>'Working Capital'!I14</f>
        <v>15754.325318785977</v>
      </c>
      <c r="J58" s="324">
        <f>'Working Capital'!J14</f>
        <v>18361.58573404963</v>
      </c>
      <c r="K58" s="324">
        <f>'Working Capital'!K14</f>
        <v>20985.027123587362</v>
      </c>
      <c r="L58" s="324">
        <f>'Working Capital'!L14</f>
        <v>23571.963853664111</v>
      </c>
      <c r="M58" s="324">
        <f>'Working Capital'!M14</f>
        <v>26077.890980981159</v>
      </c>
      <c r="N58" s="324">
        <f>'Working Capital'!N14</f>
        <v>28467.673167314977</v>
      </c>
      <c r="O58" s="324">
        <f>'Working Capital'!O14</f>
        <v>30715.677836364659</v>
      </c>
      <c r="P58" s="324">
        <f>'Working Capital'!P14</f>
        <v>32805.144026129637</v>
      </c>
      <c r="Q58" s="324">
        <f>'Working Capital'!Q14</f>
        <v>34727.076552726605</v>
      </c>
    </row>
    <row r="59" spans="2:17" x14ac:dyDescent="0.25">
      <c r="B59" s="5" t="s">
        <v>54</v>
      </c>
      <c r="C59" s="324">
        <f>'BS Items'!C60</f>
        <v>4877</v>
      </c>
      <c r="D59" s="324">
        <f>'BS Items'!D60</f>
        <v>5788</v>
      </c>
      <c r="E59" s="324">
        <f>'BS Items'!E60</f>
        <v>7428</v>
      </c>
      <c r="F59" s="324">
        <f>'BS Items'!F60</f>
        <v>5810</v>
      </c>
      <c r="G59" s="324">
        <f>'BS Items'!G60</f>
        <v>14526</v>
      </c>
      <c r="H59" s="324">
        <f>'BS Items'!H60</f>
        <v>13805.309805816913</v>
      </c>
      <c r="I59" s="324">
        <f>'BS Items'!I60</f>
        <v>16449.794917085786</v>
      </c>
      <c r="J59" s="324">
        <f>'BS Items'!J60</f>
        <v>19172.152000532631</v>
      </c>
      <c r="K59" s="324">
        <f>'BS Items'!K60</f>
        <v>21911.404362132063</v>
      </c>
      <c r="L59" s="324">
        <f>'BS Items'!L60</f>
        <v>24612.540577879467</v>
      </c>
      <c r="M59" s="324">
        <f>'BS Items'!M60</f>
        <v>27229.091048141301</v>
      </c>
      <c r="N59" s="324">
        <f>'BS Items'!N60</f>
        <v>29724.369396546357</v>
      </c>
      <c r="O59" s="324">
        <f>'BS Items'!O60</f>
        <v>32071.611504999157</v>
      </c>
      <c r="P59" s="324">
        <f>'BS Items'!P60</f>
        <v>34253.316504249939</v>
      </c>
      <c r="Q59" s="324">
        <f>'BS Items'!Q60</f>
        <v>36260.092120930734</v>
      </c>
    </row>
    <row r="60" spans="2:17" x14ac:dyDescent="0.25">
      <c r="B60" t="s">
        <v>63</v>
      </c>
      <c r="C60" s="324">
        <f>'BS Items'!C62</f>
        <v>0</v>
      </c>
      <c r="D60" s="324">
        <f>'BS Items'!D62</f>
        <v>239</v>
      </c>
      <c r="E60" s="324">
        <f>'BS Items'!E62</f>
        <v>517</v>
      </c>
      <c r="F60" s="324">
        <f>'BS Items'!F62</f>
        <v>12</v>
      </c>
      <c r="G60" s="324">
        <f>'BS Items'!G62</f>
        <v>422</v>
      </c>
      <c r="H60" s="324">
        <f>'BS Items'!H62</f>
        <v>398.96032720265083</v>
      </c>
      <c r="I60" s="324">
        <f>'BS Items'!I62</f>
        <v>475.38343252331669</v>
      </c>
      <c r="J60" s="324">
        <f>'BS Items'!J62</f>
        <v>554.05696379870835</v>
      </c>
      <c r="K60" s="324">
        <f>'BS Items'!K62</f>
        <v>633.2187525485607</v>
      </c>
      <c r="L60" s="324">
        <f>'BS Items'!L62</f>
        <v>711.27902092438842</v>
      </c>
      <c r="M60" s="324">
        <f>'BS Items'!M62</f>
        <v>786.8948416804036</v>
      </c>
      <c r="N60" s="324">
        <f>'BS Items'!N62</f>
        <v>859.0060134211426</v>
      </c>
      <c r="O60" s="324">
        <f>'BS Items'!O62</f>
        <v>926.83907858115731</v>
      </c>
      <c r="P60" s="324">
        <f>'BS Items'!P62</f>
        <v>989.88827867907912</v>
      </c>
      <c r="Q60" s="324">
        <f>'BS Items'!Q62</f>
        <v>1047.8821859448128</v>
      </c>
    </row>
    <row r="61" spans="2:17" x14ac:dyDescent="0.25">
      <c r="B61" t="s">
        <v>64</v>
      </c>
      <c r="C61" s="324">
        <f>'BS Items'!C64</f>
        <v>1930</v>
      </c>
      <c r="D61" s="324">
        <f>'BS Items'!D64</f>
        <v>2426</v>
      </c>
      <c r="E61" s="324">
        <f>'BS Items'!E64</f>
        <v>2375</v>
      </c>
      <c r="F61" s="324">
        <f>'BS Items'!F64</f>
        <v>2796</v>
      </c>
      <c r="G61" s="324">
        <f>'BS Items'!G64</f>
        <v>3836</v>
      </c>
      <c r="H61" s="324">
        <f>'BS Items'!H64</f>
        <v>5013.4879516871733</v>
      </c>
      <c r="I61" s="324">
        <f>'BS Items'!I64</f>
        <v>5973.8499015636089</v>
      </c>
      <c r="J61" s="324">
        <f>'BS Items'!J64</f>
        <v>6962.4915640853833</v>
      </c>
      <c r="K61" s="324">
        <f>'BS Items'!K64</f>
        <v>7957.268856640083</v>
      </c>
      <c r="L61" s="324">
        <f>'BS Items'!L64</f>
        <v>8938.2040231808205</v>
      </c>
      <c r="M61" s="324">
        <f>'BS Items'!M64</f>
        <v>9888.421326678912</v>
      </c>
      <c r="N61" s="324">
        <f>'BS Items'!N64</f>
        <v>10794.597871196838</v>
      </c>
      <c r="O61" s="324">
        <f>'BS Items'!O64</f>
        <v>11647.014093356698</v>
      </c>
      <c r="P61" s="324">
        <f>'BS Items'!P64</f>
        <v>12439.314438783987</v>
      </c>
      <c r="Q61" s="324">
        <f>'BS Items'!Q64</f>
        <v>13168.088042381753</v>
      </c>
    </row>
    <row r="62" spans="2:17" x14ac:dyDescent="0.25">
      <c r="B62" t="s">
        <v>55</v>
      </c>
      <c r="C62" s="324">
        <f>'BS Items'!C66</f>
        <v>1508</v>
      </c>
      <c r="D62" s="324">
        <f>'BS Items'!D66</f>
        <v>1698</v>
      </c>
      <c r="E62" s="324">
        <f>'BS Items'!E66</f>
        <v>1775</v>
      </c>
      <c r="F62" s="324">
        <f>'BS Items'!F66</f>
        <v>2136</v>
      </c>
      <c r="G62" s="324">
        <f>'BS Items'!G66</f>
        <v>3519</v>
      </c>
      <c r="H62" s="324">
        <f>'BS Items'!H66</f>
        <v>3910.2956722508807</v>
      </c>
      <c r="I62" s="324">
        <f>'BS Items'!I66</f>
        <v>4659.3349065293805</v>
      </c>
      <c r="J62" s="324">
        <f>'BS Items'!J66</f>
        <v>5430.4310479023416</v>
      </c>
      <c r="K62" s="324">
        <f>'BS Items'!K66</f>
        <v>6206.3127054260312</v>
      </c>
      <c r="L62" s="324">
        <f>'BS Items'!L66</f>
        <v>6971.398125685615</v>
      </c>
      <c r="M62" s="324">
        <f>'BS Items'!M66</f>
        <v>7712.5249909284203</v>
      </c>
      <c r="N62" s="324">
        <f>'BS Items'!N66</f>
        <v>8419.3020400547175</v>
      </c>
      <c r="O62" s="324">
        <f>'BS Items'!O66</f>
        <v>9084.1484496978155</v>
      </c>
      <c r="P62" s="324">
        <f>'BS Items'!P66</f>
        <v>9702.1071725874554</v>
      </c>
      <c r="Q62" s="324">
        <f>'BS Items'!Q66</f>
        <v>10270.51788697643</v>
      </c>
    </row>
    <row r="63" spans="2:17" x14ac:dyDescent="0.25">
      <c r="C63" s="150"/>
      <c r="D63" s="150"/>
      <c r="E63" s="150"/>
      <c r="F63" s="150"/>
      <c r="G63" s="150"/>
      <c r="H63" s="150"/>
      <c r="I63" s="150"/>
      <c r="J63" s="150"/>
      <c r="K63" s="150"/>
      <c r="L63" s="150"/>
      <c r="M63" s="150"/>
      <c r="N63" s="150"/>
      <c r="O63" s="150"/>
      <c r="P63" s="150"/>
      <c r="Q63" s="150"/>
    </row>
    <row r="64" spans="2:17" x14ac:dyDescent="0.25">
      <c r="B64" s="8" t="s">
        <v>65</v>
      </c>
      <c r="C64" s="320">
        <f>SUM(C54:C62)</f>
        <v>27879</v>
      </c>
      <c r="D64" s="320">
        <f t="shared" ref="D64:Q64" si="19">SUM(D54:D62)</f>
        <v>36701</v>
      </c>
      <c r="E64" s="320">
        <f t="shared" si="19"/>
        <v>57640</v>
      </c>
      <c r="F64" s="320">
        <f t="shared" si="19"/>
        <v>56698</v>
      </c>
      <c r="G64" s="320">
        <f t="shared" si="19"/>
        <v>120790</v>
      </c>
      <c r="H64" s="320">
        <f t="shared" si="19"/>
        <v>102429.10691355653</v>
      </c>
      <c r="I64" s="320">
        <f t="shared" si="19"/>
        <v>122049.98120058884</v>
      </c>
      <c r="J64" s="320">
        <f t="shared" si="19"/>
        <v>142248.63003060358</v>
      </c>
      <c r="K64" s="320">
        <f t="shared" si="19"/>
        <v>162572.63412439494</v>
      </c>
      <c r="L64" s="320">
        <f t="shared" si="19"/>
        <v>182613.83378760653</v>
      </c>
      <c r="M64" s="320">
        <f t="shared" si="19"/>
        <v>202027.44576973235</v>
      </c>
      <c r="N64" s="320">
        <f t="shared" si="19"/>
        <v>220541.27387811505</v>
      </c>
      <c r="O64" s="320">
        <f t="shared" si="19"/>
        <v>237956.74055437971</v>
      </c>
      <c r="P64" s="320">
        <f t="shared" si="19"/>
        <v>254143.9973248101</v>
      </c>
      <c r="Q64" s="320">
        <f t="shared" si="19"/>
        <v>269033.35780159599</v>
      </c>
    </row>
    <row r="65" spans="2:17" x14ac:dyDescent="0.25">
      <c r="C65" s="150"/>
      <c r="D65" s="150"/>
      <c r="E65" s="150"/>
      <c r="F65" s="150"/>
      <c r="G65" s="150"/>
      <c r="H65" s="150"/>
      <c r="I65" s="150"/>
      <c r="J65" s="150"/>
      <c r="K65" s="150"/>
      <c r="L65" s="150"/>
      <c r="M65" s="150"/>
      <c r="N65" s="150"/>
      <c r="O65" s="150"/>
      <c r="P65" s="150"/>
      <c r="Q65" s="150"/>
    </row>
    <row r="66" spans="2:17" x14ac:dyDescent="0.25">
      <c r="B66" s="8" t="s">
        <v>66</v>
      </c>
      <c r="C66" s="320">
        <f>C64+C51</f>
        <v>37596</v>
      </c>
      <c r="D66" s="320">
        <f t="shared" ref="D66:Q66" si="20">D64+D51</f>
        <v>45921</v>
      </c>
      <c r="E66" s="320">
        <f t="shared" si="20"/>
        <v>80201</v>
      </c>
      <c r="F66" s="320">
        <f t="shared" si="20"/>
        <v>76755</v>
      </c>
      <c r="G66" s="320">
        <f t="shared" si="20"/>
        <v>178448</v>
      </c>
      <c r="H66" s="320">
        <f t="shared" si="20"/>
        <v>141248.41002465729</v>
      </c>
      <c r="I66" s="320">
        <f t="shared" si="20"/>
        <v>168305.34120219736</v>
      </c>
      <c r="J66" s="320">
        <f t="shared" si="20"/>
        <v>196159.01598131805</v>
      </c>
      <c r="K66" s="320">
        <f t="shared" si="20"/>
        <v>224185.5540434469</v>
      </c>
      <c r="L66" s="320">
        <f t="shared" si="20"/>
        <v>251822.10846351361</v>
      </c>
      <c r="M66" s="320">
        <f t="shared" si="20"/>
        <v>278593.2276105847</v>
      </c>
      <c r="N66" s="320">
        <f t="shared" si="20"/>
        <v>304123.55646511423</v>
      </c>
      <c r="O66" s="320">
        <f t="shared" si="20"/>
        <v>328139.25914946728</v>
      </c>
      <c r="P66" s="320">
        <f t="shared" si="20"/>
        <v>350461.27630240173</v>
      </c>
      <c r="Q66" s="320">
        <f t="shared" si="20"/>
        <v>370993.51129889407</v>
      </c>
    </row>
    <row r="67" spans="2:17" x14ac:dyDescent="0.25">
      <c r="B67" s="1"/>
      <c r="C67" s="150"/>
      <c r="D67" s="150"/>
      <c r="E67" s="150"/>
      <c r="F67" s="150"/>
      <c r="G67" s="150"/>
      <c r="H67" s="150"/>
      <c r="I67" s="150"/>
      <c r="J67" s="150"/>
      <c r="K67" s="150"/>
      <c r="L67" s="150"/>
      <c r="M67" s="150"/>
      <c r="N67" s="150"/>
      <c r="O67" s="150"/>
      <c r="P67" s="150"/>
      <c r="Q67" s="150"/>
    </row>
    <row r="68" spans="2:17" ht="15.75" thickBot="1" x14ac:dyDescent="0.3">
      <c r="B68" s="42" t="s">
        <v>67</v>
      </c>
      <c r="C68" s="327">
        <f>C66+C40</f>
        <v>92195</v>
      </c>
      <c r="D68" s="327">
        <f t="shared" ref="D68:Q68" si="21">D66+D40</f>
        <v>112501</v>
      </c>
      <c r="E68" s="327">
        <f t="shared" si="21"/>
        <v>164083</v>
      </c>
      <c r="F68" s="327">
        <f t="shared" si="21"/>
        <v>224779</v>
      </c>
      <c r="G68" s="327">
        <f t="shared" si="21"/>
        <v>335906</v>
      </c>
      <c r="H68" s="327">
        <f t="shared" si="21"/>
        <v>323042.42408009619</v>
      </c>
      <c r="I68" s="327">
        <f t="shared" si="21"/>
        <v>380415.27144819358</v>
      </c>
      <c r="J68" s="327">
        <f t="shared" si="21"/>
        <v>443679.73387550353</v>
      </c>
      <c r="K68" s="327">
        <f t="shared" si="21"/>
        <v>512450.02989092801</v>
      </c>
      <c r="L68" s="327">
        <f t="shared" si="21"/>
        <v>585760.91813755629</v>
      </c>
      <c r="M68" s="327">
        <f t="shared" si="21"/>
        <v>663254.34818504774</v>
      </c>
      <c r="N68" s="327">
        <f t="shared" si="21"/>
        <v>743924.22949175676</v>
      </c>
      <c r="O68" s="327">
        <f t="shared" si="21"/>
        <v>827567.70063149021</v>
      </c>
      <c r="P68" s="327">
        <f t="shared" si="21"/>
        <v>913426.68224156089</v>
      </c>
      <c r="Q68" s="327">
        <f t="shared" si="21"/>
        <v>1001311.1249498344</v>
      </c>
    </row>
    <row r="69" spans="2:17" ht="15.75" thickBot="1" x14ac:dyDescent="0.3"/>
    <row r="70" spans="2:17" ht="16.5" thickTop="1" thickBot="1" x14ac:dyDescent="0.3">
      <c r="B70" s="43" t="s">
        <v>172</v>
      </c>
      <c r="C70" s="44">
        <f>C68-C34</f>
        <v>0</v>
      </c>
      <c r="D70" s="44">
        <f t="shared" ref="D70:Q70" si="22">D68-D34</f>
        <v>0</v>
      </c>
      <c r="E70" s="44">
        <f t="shared" si="22"/>
        <v>0</v>
      </c>
      <c r="F70" s="44">
        <f t="shared" si="22"/>
        <v>0</v>
      </c>
      <c r="G70" s="44">
        <f t="shared" si="22"/>
        <v>0</v>
      </c>
      <c r="H70" s="44">
        <f t="shared" si="22"/>
        <v>0</v>
      </c>
      <c r="I70" s="44">
        <f t="shared" si="22"/>
        <v>0</v>
      </c>
      <c r="J70" s="44">
        <f t="shared" si="22"/>
        <v>0</v>
      </c>
      <c r="K70" s="44">
        <f t="shared" si="22"/>
        <v>0</v>
      </c>
      <c r="L70" s="44">
        <f t="shared" si="22"/>
        <v>0</v>
      </c>
      <c r="M70" s="44">
        <f t="shared" si="22"/>
        <v>0</v>
      </c>
      <c r="N70" s="44">
        <f t="shared" si="22"/>
        <v>0</v>
      </c>
      <c r="O70" s="44">
        <f t="shared" si="22"/>
        <v>0</v>
      </c>
      <c r="P70" s="44">
        <f t="shared" si="22"/>
        <v>0</v>
      </c>
      <c r="Q70" s="44">
        <f t="shared" si="22"/>
        <v>0</v>
      </c>
    </row>
    <row r="71" spans="2:17" ht="15.75" thickTop="1" x14ac:dyDescent="0.25"/>
    <row r="72" spans="2:17" x14ac:dyDescent="0.25">
      <c r="B72" s="222"/>
      <c r="C72" s="222"/>
      <c r="D72" s="222"/>
      <c r="E72" s="222"/>
      <c r="F72" s="222"/>
      <c r="G72" s="222"/>
      <c r="H72" s="222"/>
      <c r="I72" s="222"/>
      <c r="J72" s="222"/>
      <c r="K72" s="222"/>
      <c r="L72" s="222"/>
      <c r="M72" s="222"/>
      <c r="N72" s="222"/>
      <c r="O72" s="222"/>
      <c r="P72" s="222"/>
      <c r="Q72" s="222"/>
    </row>
  </sheetData>
  <mergeCells count="2">
    <mergeCell ref="B5:Q5"/>
    <mergeCell ref="B8:B9"/>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Q85"/>
  <sheetViews>
    <sheetView showGridLines="0" topLeftCell="A64" workbookViewId="0">
      <selection activeCell="E83" sqref="E83"/>
    </sheetView>
  </sheetViews>
  <sheetFormatPr defaultRowHeight="15" x14ac:dyDescent="0.25"/>
  <cols>
    <col min="1" max="1" width="1.85546875" customWidth="1"/>
    <col min="2" max="2" width="89.140625" bestFit="1" customWidth="1"/>
    <col min="3" max="10" width="11.42578125" bestFit="1" customWidth="1"/>
    <col min="11" max="17" width="12.28515625" bestFit="1" customWidth="1"/>
  </cols>
  <sheetData>
    <row r="5" spans="1:17" x14ac:dyDescent="0.25">
      <c r="B5" s="422" t="s">
        <v>355</v>
      </c>
      <c r="C5" s="422"/>
      <c r="D5" s="422"/>
      <c r="E5" s="422"/>
      <c r="F5" s="422"/>
      <c r="G5" s="422"/>
      <c r="H5" s="422"/>
      <c r="I5" s="422"/>
      <c r="J5" s="422"/>
      <c r="K5" s="422"/>
      <c r="L5" s="422"/>
      <c r="M5" s="422"/>
      <c r="N5" s="422"/>
      <c r="O5" s="422"/>
      <c r="P5" s="422"/>
      <c r="Q5" s="422"/>
    </row>
    <row r="6" spans="1:17" x14ac:dyDescent="0.25">
      <c r="B6" s="70" t="s">
        <v>353</v>
      </c>
    </row>
    <row r="7" spans="1:17" x14ac:dyDescent="0.25">
      <c r="A7" t="s">
        <v>20</v>
      </c>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row>
    <row r="8" spans="1:17"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row>
    <row r="9" spans="1:17" x14ac:dyDescent="0.25">
      <c r="B9" s="1" t="s">
        <v>69</v>
      </c>
      <c r="C9" s="4"/>
      <c r="D9" s="4"/>
      <c r="E9" s="4"/>
      <c r="F9" s="4"/>
      <c r="G9" s="4"/>
      <c r="H9" s="4"/>
    </row>
    <row r="10" spans="1:17" x14ac:dyDescent="0.25">
      <c r="B10" s="1" t="s">
        <v>11</v>
      </c>
      <c r="C10" s="319">
        <v>18602</v>
      </c>
      <c r="D10" s="319">
        <v>24585</v>
      </c>
      <c r="E10" s="319">
        <v>30986</v>
      </c>
      <c r="F10" s="319">
        <v>33468</v>
      </c>
      <c r="G10" s="319">
        <v>25546</v>
      </c>
      <c r="H10" s="324">
        <f>'Profit &amp; Loss Statement'!H28</f>
        <v>52883.866644324647</v>
      </c>
      <c r="I10" s="324">
        <f>'Profit &amp; Loss Statement'!I28</f>
        <v>65878.613702708928</v>
      </c>
      <c r="J10" s="324">
        <f>'Profit &amp; Loss Statement'!J28</f>
        <v>77489.860547612829</v>
      </c>
      <c r="K10" s="324">
        <f>'Profit &amp; Loss Statement'!K28</f>
        <v>89160.064818496583</v>
      </c>
      <c r="L10" s="324">
        <f>'Profit &amp; Loss Statement'!L28</f>
        <v>100655.71061051266</v>
      </c>
      <c r="M10" s="324">
        <f>'Profit &amp; Loss Statement'!M28</f>
        <v>111780.28927309935</v>
      </c>
      <c r="N10" s="324">
        <f>'Profit &amp; Loss Statement'!N28</f>
        <v>122379.31242884418</v>
      </c>
      <c r="O10" s="324">
        <f>'Profit &amp; Loss Statement'!O28</f>
        <v>132340.66982252675</v>
      </c>
      <c r="P10" s="324">
        <f>'Profit &amp; Loss Statement'!P28</f>
        <v>141591.64612658718</v>
      </c>
      <c r="Q10" s="324">
        <f>'Profit &amp; Loss Statement'!Q28</f>
        <v>150093.88694677842</v>
      </c>
    </row>
    <row r="11" spans="1:17" x14ac:dyDescent="0.25">
      <c r="B11" s="7" t="s">
        <v>70</v>
      </c>
      <c r="C11" s="319"/>
      <c r="D11" s="319"/>
      <c r="E11" s="319"/>
      <c r="F11" s="319"/>
      <c r="G11" s="319"/>
      <c r="H11" s="324"/>
      <c r="I11" s="324"/>
      <c r="J11" s="324"/>
      <c r="K11" s="324"/>
      <c r="L11" s="324"/>
      <c r="M11" s="324"/>
      <c r="N11" s="324"/>
      <c r="O11" s="324"/>
      <c r="P11" s="324"/>
      <c r="Q11" s="324"/>
    </row>
    <row r="12" spans="1:17" x14ac:dyDescent="0.25">
      <c r="B12" t="s">
        <v>71</v>
      </c>
      <c r="C12" s="319">
        <v>2274</v>
      </c>
      <c r="D12" s="319">
        <v>3288</v>
      </c>
      <c r="E12" s="319">
        <v>4191</v>
      </c>
      <c r="F12" s="319">
        <v>5829</v>
      </c>
      <c r="G12" s="319">
        <v>8870</v>
      </c>
      <c r="H12" s="324">
        <f>'Profit &amp; Loss Statement'!H21</f>
        <v>4870.2</v>
      </c>
      <c r="I12" s="324">
        <f>'Profit &amp; Loss Statement'!I21</f>
        <v>4894.5509999999995</v>
      </c>
      <c r="J12" s="324">
        <f>'Profit &amp; Loss Statement'!J21</f>
        <v>4919.0237549999983</v>
      </c>
      <c r="K12" s="324">
        <f>'Profit &amp; Loss Statement'!K21</f>
        <v>4943.6188737749981</v>
      </c>
      <c r="L12" s="324">
        <f>'Profit &amp; Loss Statement'!L21</f>
        <v>4968.3369681438726</v>
      </c>
      <c r="M12" s="324">
        <f>'Profit &amp; Loss Statement'!M21</f>
        <v>4993.1786529845922</v>
      </c>
      <c r="N12" s="324">
        <f>'Profit &amp; Loss Statement'!N21</f>
        <v>5018.144546249514</v>
      </c>
      <c r="O12" s="324">
        <f>'Profit &amp; Loss Statement'!O21</f>
        <v>5043.2352689807612</v>
      </c>
      <c r="P12" s="324">
        <f>'Profit &amp; Loss Statement'!P21</f>
        <v>5068.4514453256634</v>
      </c>
      <c r="Q12" s="324">
        <f>'Profit &amp; Loss Statement'!Q21</f>
        <v>5093.7937025522924</v>
      </c>
    </row>
    <row r="13" spans="1:17" x14ac:dyDescent="0.25">
      <c r="B13" t="s">
        <v>72</v>
      </c>
      <c r="C13" s="319"/>
      <c r="D13" s="319">
        <v>-10</v>
      </c>
      <c r="E13" s="319"/>
      <c r="F13" s="319"/>
      <c r="G13" s="319">
        <v>-19</v>
      </c>
      <c r="H13" s="324"/>
      <c r="I13" s="324"/>
      <c r="J13" s="324"/>
      <c r="K13" s="324"/>
      <c r="L13" s="324"/>
      <c r="M13" s="324"/>
      <c r="N13" s="324"/>
      <c r="O13" s="324"/>
      <c r="P13" s="324"/>
      <c r="Q13" s="324"/>
    </row>
    <row r="14" spans="1:17" x14ac:dyDescent="0.25">
      <c r="B14" t="s">
        <v>73</v>
      </c>
      <c r="C14" s="319">
        <v>297</v>
      </c>
      <c r="D14" s="319">
        <v>300</v>
      </c>
      <c r="E14" s="319">
        <v>120</v>
      </c>
      <c r="F14" s="319">
        <v>47</v>
      </c>
      <c r="G14" s="319"/>
      <c r="H14" s="324"/>
      <c r="I14" s="324"/>
      <c r="J14" s="324"/>
      <c r="K14" s="324"/>
      <c r="L14" s="324"/>
      <c r="M14" s="324"/>
      <c r="N14" s="324"/>
      <c r="O14" s="324"/>
      <c r="P14" s="324"/>
      <c r="Q14" s="324"/>
    </row>
    <row r="15" spans="1:17" x14ac:dyDescent="0.25">
      <c r="B15" t="s">
        <v>74</v>
      </c>
      <c r="C15" s="319">
        <v>-184</v>
      </c>
      <c r="D15" s="319">
        <v>-368</v>
      </c>
      <c r="E15" s="319"/>
      <c r="F15" s="319"/>
      <c r="G15" s="319"/>
      <c r="H15" s="324"/>
      <c r="I15" s="324"/>
      <c r="J15" s="324"/>
      <c r="K15" s="324"/>
      <c r="L15" s="324"/>
      <c r="M15" s="324"/>
      <c r="N15" s="324"/>
      <c r="O15" s="324"/>
      <c r="P15" s="324"/>
      <c r="Q15" s="324"/>
    </row>
    <row r="16" spans="1:17" x14ac:dyDescent="0.25">
      <c r="B16" t="s">
        <v>75</v>
      </c>
      <c r="C16" s="319">
        <v>-671</v>
      </c>
      <c r="D16" s="319">
        <v>-1377</v>
      </c>
      <c r="E16" s="319">
        <v>-803</v>
      </c>
      <c r="F16" s="319">
        <v>-18</v>
      </c>
      <c r="G16" s="319">
        <v>-1240</v>
      </c>
      <c r="H16" s="324"/>
      <c r="I16" s="324"/>
      <c r="J16" s="324"/>
      <c r="K16" s="324"/>
      <c r="L16" s="324"/>
      <c r="M16" s="324"/>
      <c r="N16" s="324"/>
      <c r="O16" s="324"/>
      <c r="P16" s="324"/>
      <c r="Q16" s="324"/>
    </row>
    <row r="17" spans="2:17" x14ac:dyDescent="0.25">
      <c r="B17" t="s">
        <v>76</v>
      </c>
      <c r="C17" s="319">
        <v>-838</v>
      </c>
      <c r="D17" s="319">
        <v>-636</v>
      </c>
      <c r="E17" s="319">
        <v>-2610</v>
      </c>
      <c r="F17" s="319">
        <v>-7958</v>
      </c>
      <c r="G17" s="319">
        <v>-8976</v>
      </c>
      <c r="H17" s="324">
        <f>-'Profit &amp; Loss Statement'!H26</f>
        <v>-9151.9283271080294</v>
      </c>
      <c r="I17" s="324">
        <f>-'Profit &amp; Loss Statement'!I26</f>
        <v>-10905.03191846962</v>
      </c>
      <c r="J17" s="324">
        <f>-'Profit &amp; Loss Statement'!J26</f>
        <v>-12709.759031366604</v>
      </c>
      <c r="K17" s="324">
        <f>-'Profit &amp; Loss Statement'!K26</f>
        <v>-14525.686499553978</v>
      </c>
      <c r="L17" s="324">
        <f>-'Profit &amp; Loss Statement'!L26</f>
        <v>-16316.345702135577</v>
      </c>
      <c r="M17" s="324">
        <f>-'Profit &amp; Loss Statement'!M26</f>
        <v>-18050.930633942553</v>
      </c>
      <c r="N17" s="324">
        <f>-'Profit &amp; Loss Statement'!N26</f>
        <v>-19705.120863789136</v>
      </c>
      <c r="O17" s="324">
        <f>-'Profit &amp; Loss Statement'!O26</f>
        <v>-21261.173704695215</v>
      </c>
      <c r="P17" s="324">
        <f>-'Profit &amp; Loss Statement'!P26</f>
        <v>-22707.487337991832</v>
      </c>
      <c r="Q17" s="324">
        <f>-'Profit &amp; Loss Statement'!Q26</f>
        <v>-24037.835361381509</v>
      </c>
    </row>
    <row r="18" spans="2:17" x14ac:dyDescent="0.25">
      <c r="B18" t="s">
        <v>77</v>
      </c>
      <c r="C18" s="319"/>
      <c r="D18" s="319">
        <v>609</v>
      </c>
      <c r="E18" s="319">
        <v>634</v>
      </c>
      <c r="F18" s="319"/>
      <c r="G18" s="319"/>
      <c r="H18" s="324"/>
      <c r="I18" s="324"/>
      <c r="J18" s="324"/>
      <c r="K18" s="324"/>
      <c r="L18" s="324"/>
      <c r="M18" s="324"/>
      <c r="N18" s="324"/>
      <c r="O18" s="324"/>
      <c r="P18" s="324"/>
      <c r="Q18" s="324"/>
    </row>
    <row r="19" spans="2:17" x14ac:dyDescent="0.25">
      <c r="B19" t="s">
        <v>124</v>
      </c>
      <c r="C19" s="319"/>
      <c r="D19" s="319"/>
      <c r="E19" s="319"/>
      <c r="F19" s="319">
        <v>-1402</v>
      </c>
      <c r="G19" s="319">
        <v>1216</v>
      </c>
      <c r="H19" s="324"/>
      <c r="I19" s="324"/>
      <c r="J19" s="324"/>
      <c r="K19" s="324"/>
      <c r="L19" s="324"/>
      <c r="M19" s="324"/>
      <c r="N19" s="324"/>
      <c r="O19" s="324"/>
      <c r="P19" s="324"/>
      <c r="Q19" s="324"/>
    </row>
    <row r="20" spans="2:17" x14ac:dyDescent="0.25">
      <c r="B20" t="s">
        <v>78</v>
      </c>
      <c r="C20" s="319">
        <v>-82</v>
      </c>
      <c r="D20" s="319"/>
      <c r="E20" s="319"/>
      <c r="F20" s="319"/>
      <c r="G20" s="319"/>
      <c r="H20" s="324"/>
      <c r="I20" s="324"/>
      <c r="J20" s="324"/>
      <c r="K20" s="324"/>
      <c r="L20" s="324"/>
      <c r="M20" s="324"/>
      <c r="N20" s="324"/>
      <c r="O20" s="324"/>
      <c r="P20" s="324"/>
      <c r="Q20" s="324"/>
    </row>
    <row r="21" spans="2:17" x14ac:dyDescent="0.25">
      <c r="B21" t="s">
        <v>79</v>
      </c>
      <c r="C21" s="319">
        <v>66</v>
      </c>
      <c r="D21" s="319">
        <v>404</v>
      </c>
      <c r="E21" s="319">
        <v>1219</v>
      </c>
      <c r="F21" s="319">
        <v>-84</v>
      </c>
      <c r="G21" s="319">
        <v>-102</v>
      </c>
      <c r="H21" s="324"/>
      <c r="I21" s="324"/>
      <c r="J21" s="324"/>
      <c r="K21" s="324"/>
      <c r="L21" s="324"/>
      <c r="M21" s="324"/>
      <c r="N21" s="324"/>
      <c r="O21" s="324"/>
      <c r="P21" s="324"/>
      <c r="Q21" s="324"/>
    </row>
    <row r="22" spans="2:17" x14ac:dyDescent="0.25">
      <c r="B22" t="s">
        <v>80</v>
      </c>
      <c r="C22" s="319">
        <v>-302</v>
      </c>
      <c r="D22" s="319">
        <v>-323</v>
      </c>
      <c r="E22" s="319">
        <v>-71</v>
      </c>
      <c r="F22" s="319"/>
      <c r="G22" s="319"/>
      <c r="H22" s="324"/>
      <c r="I22" s="324"/>
      <c r="J22" s="324"/>
      <c r="K22" s="324"/>
      <c r="L22" s="324"/>
      <c r="M22" s="324"/>
      <c r="N22" s="324"/>
      <c r="O22" s="324"/>
      <c r="P22" s="324"/>
      <c r="Q22" s="324"/>
    </row>
    <row r="23" spans="2:17" x14ac:dyDescent="0.25">
      <c r="B23" t="s">
        <v>81</v>
      </c>
      <c r="C23" s="319">
        <v>1021</v>
      </c>
      <c r="D23" s="319">
        <v>189</v>
      </c>
      <c r="E23" s="319"/>
      <c r="F23" s="319">
        <v>530</v>
      </c>
      <c r="G23" s="319">
        <v>1590</v>
      </c>
      <c r="H23" s="324"/>
      <c r="I23" s="324"/>
      <c r="J23" s="324"/>
      <c r="K23" s="324"/>
      <c r="L23" s="324"/>
      <c r="M23" s="324"/>
      <c r="N23" s="324"/>
      <c r="O23" s="324"/>
      <c r="P23" s="324"/>
      <c r="Q23" s="324"/>
    </row>
    <row r="24" spans="2:17" x14ac:dyDescent="0.25">
      <c r="B24" t="s">
        <v>123</v>
      </c>
      <c r="C24" s="319"/>
      <c r="D24" s="319"/>
      <c r="E24" s="319"/>
      <c r="F24" s="319">
        <v>-78</v>
      </c>
      <c r="G24" s="319"/>
      <c r="H24" s="324"/>
      <c r="I24" s="324"/>
      <c r="J24" s="324"/>
      <c r="K24" s="324"/>
      <c r="L24" s="324"/>
      <c r="M24" s="324"/>
      <c r="N24" s="324"/>
      <c r="O24" s="324"/>
      <c r="P24" s="324"/>
      <c r="Q24" s="324"/>
    </row>
    <row r="25" spans="2:17" x14ac:dyDescent="0.25">
      <c r="B25" t="s">
        <v>82</v>
      </c>
      <c r="C25" s="319">
        <v>649</v>
      </c>
      <c r="D25" s="319">
        <v>995</v>
      </c>
      <c r="E25" s="319">
        <v>2186</v>
      </c>
      <c r="F25" s="319">
        <v>4227</v>
      </c>
      <c r="G25" s="319">
        <v>9948</v>
      </c>
      <c r="H25" s="324">
        <f>'Profit &amp; Loss Statement'!H25</f>
        <v>7067.1936423690486</v>
      </c>
      <c r="I25" s="324">
        <f>'Profit &amp; Loss Statement'!I25</f>
        <v>6464.9743163706171</v>
      </c>
      <c r="J25" s="324">
        <f>'Profit &amp; Loss Statement'!J25</f>
        <v>7611.772427519988</v>
      </c>
      <c r="K25" s="324">
        <f>'Profit &amp; Loss Statement'!K25</f>
        <v>8778.8206037420587</v>
      </c>
      <c r="L25" s="324">
        <f>'Profit &amp; Loss Statement'!L25</f>
        <v>9941.3342603878646</v>
      </c>
      <c r="M25" s="324">
        <f>'Profit &amp; Loss Statement'!M25</f>
        <v>11077.628719204646</v>
      </c>
      <c r="N25" s="324">
        <f>'Profit &amp; Loss Statement'!N25</f>
        <v>12169.935036602643</v>
      </c>
      <c r="O25" s="324">
        <f>'Profit &amp; Loss Statement'!O25</f>
        <v>13204.694977670917</v>
      </c>
      <c r="P25" s="324">
        <f>'Profit &amp; Loss Statement'!P25</f>
        <v>14172.44990695201</v>
      </c>
      <c r="Q25" s="324">
        <f>'Profit &amp; Loss Statement'!Q25</f>
        <v>15067.453241252679</v>
      </c>
    </row>
    <row r="26" spans="2:17" x14ac:dyDescent="0.25">
      <c r="B26" s="8" t="s">
        <v>83</v>
      </c>
      <c r="C26" s="320">
        <f>SUM(C10:C25)</f>
        <v>20832</v>
      </c>
      <c r="D26" s="320">
        <f t="shared" ref="D26:H26" si="2">SUM(D10:D25)</f>
        <v>27656</v>
      </c>
      <c r="E26" s="320">
        <f t="shared" si="2"/>
        <v>35852</v>
      </c>
      <c r="F26" s="320">
        <f t="shared" si="2"/>
        <v>34561</v>
      </c>
      <c r="G26" s="320">
        <f t="shared" si="2"/>
        <v>36833</v>
      </c>
      <c r="H26" s="320">
        <f t="shared" si="2"/>
        <v>55669.331959585666</v>
      </c>
      <c r="I26" s="320">
        <f t="shared" ref="I26" si="3">SUM(I10:I25)</f>
        <v>66333.107100609923</v>
      </c>
      <c r="J26" s="320">
        <f t="shared" ref="J26" si="4">SUM(J10:J25)</f>
        <v>77310.897698766217</v>
      </c>
      <c r="K26" s="320">
        <f t="shared" ref="K26" si="5">SUM(K10:K25)</f>
        <v>88356.817796459669</v>
      </c>
      <c r="L26" s="320">
        <f t="shared" ref="L26" si="6">SUM(L10:L25)</f>
        <v>99249.036136908835</v>
      </c>
      <c r="M26" s="320">
        <f t="shared" ref="M26" si="7">SUM(M10:M25)</f>
        <v>109800.16601134604</v>
      </c>
      <c r="N26" s="320">
        <f t="shared" ref="N26" si="8">SUM(N10:N25)</f>
        <v>119862.2711479072</v>
      </c>
      <c r="O26" s="320">
        <f t="shared" ref="O26" si="9">SUM(O10:O25)</f>
        <v>129327.42636448321</v>
      </c>
      <c r="P26" s="320">
        <f t="shared" ref="P26" si="10">SUM(P10:P25)</f>
        <v>138125.06014087301</v>
      </c>
      <c r="Q26" s="320">
        <f t="shared" ref="Q26" si="11">SUM(Q10:Q25)</f>
        <v>146217.29852920191</v>
      </c>
    </row>
    <row r="27" spans="2:17" x14ac:dyDescent="0.25">
      <c r="C27" s="150"/>
      <c r="D27" s="150"/>
      <c r="E27" s="150"/>
      <c r="F27" s="150"/>
      <c r="G27" s="150"/>
      <c r="H27" s="150"/>
      <c r="I27" s="150"/>
      <c r="J27" s="150"/>
      <c r="K27" s="150"/>
      <c r="L27" s="150"/>
      <c r="M27" s="150"/>
      <c r="N27" s="150"/>
      <c r="O27" s="150"/>
      <c r="P27" s="150"/>
      <c r="Q27" s="150"/>
    </row>
    <row r="28" spans="2:17" x14ac:dyDescent="0.25">
      <c r="B28" s="7" t="s">
        <v>84</v>
      </c>
      <c r="C28" s="150"/>
      <c r="D28" s="150"/>
      <c r="E28" s="150"/>
      <c r="F28" s="150"/>
      <c r="G28" s="150"/>
      <c r="H28" s="150"/>
      <c r="I28" s="150"/>
      <c r="J28" s="150"/>
      <c r="K28" s="150"/>
      <c r="L28" s="150"/>
      <c r="M28" s="150"/>
      <c r="N28" s="150"/>
      <c r="O28" s="150"/>
      <c r="P28" s="150"/>
      <c r="Q28" s="150"/>
    </row>
    <row r="29" spans="2:17" x14ac:dyDescent="0.25">
      <c r="B29" t="s">
        <v>85</v>
      </c>
      <c r="C29" s="319">
        <v>-511</v>
      </c>
      <c r="D29" s="319">
        <v>-4526</v>
      </c>
      <c r="E29" s="319">
        <v>-3468</v>
      </c>
      <c r="F29" s="319">
        <v>-4533</v>
      </c>
      <c r="G29" s="319">
        <v>-2114</v>
      </c>
      <c r="H29" s="324">
        <f>'Balance sheet'!G25-'Balance sheet'!H25</f>
        <v>-3973.5355993460325</v>
      </c>
      <c r="I29" s="324">
        <f>'Balance sheet'!H25-'Balance sheet'!I25</f>
        <v>-7621.3357397533327</v>
      </c>
      <c r="J29" s="324">
        <f>'Balance sheet'!I25-'Balance sheet'!J25</f>
        <v>-7845.7606919514146</v>
      </c>
      <c r="K29" s="324">
        <f>'Balance sheet'!J25-'Balance sheet'!K25</f>
        <v>-7894.4524341240976</v>
      </c>
      <c r="L29" s="324">
        <f>'Balance sheet'!K25-'Balance sheet'!L25</f>
        <v>-7784.6027157778444</v>
      </c>
      <c r="M29" s="324">
        <f>'Balance sheet'!L25-'Balance sheet'!M25</f>
        <v>-7540.8288475129812</v>
      </c>
      <c r="N29" s="324">
        <f>'Balance sheet'!M25-'Balance sheet'!N25</f>
        <v>-7191.3258185096201</v>
      </c>
      <c r="O29" s="324">
        <f>'Balance sheet'!N25-'Balance sheet'!O25</f>
        <v>-6764.6893131577381</v>
      </c>
      <c r="P29" s="324">
        <f>'Balance sheet'!O25-'Balance sheet'!P25</f>
        <v>-6287.615768201591</v>
      </c>
      <c r="Q29" s="324">
        <f>'Balance sheet'!P25-'Balance sheet'!Q25</f>
        <v>-5783.4739412604977</v>
      </c>
    </row>
    <row r="30" spans="2:17" x14ac:dyDescent="0.25">
      <c r="B30" t="s">
        <v>174</v>
      </c>
      <c r="C30" s="319">
        <v>50</v>
      </c>
      <c r="D30" s="319">
        <v>10</v>
      </c>
      <c r="E30" s="319">
        <v>964</v>
      </c>
      <c r="F30" s="319">
        <v>27</v>
      </c>
      <c r="G30" s="319">
        <v>33</v>
      </c>
      <c r="H30" s="324">
        <f>'Balance sheet'!G28-'Balance sheet'!H28</f>
        <v>-35.89756834613457</v>
      </c>
      <c r="I30" s="324">
        <f>'Balance sheet'!H28-'Balance sheet'!I28</f>
        <v>-9.1750499002902188</v>
      </c>
      <c r="J30" s="324">
        <f>'Balance sheet'!I28-'Balance sheet'!J28</f>
        <v>-9.4452269670932552</v>
      </c>
      <c r="K30" s="324">
        <f>'Balance sheet'!J28-'Balance sheet'!K28</f>
        <v>-9.5038451909088195</v>
      </c>
      <c r="L30" s="324">
        <f>'Balance sheet'!K28-'Balance sheet'!L28</f>
        <v>-9.3716010959396669</v>
      </c>
      <c r="M30" s="324">
        <f>'Balance sheet'!L28-'Balance sheet'!M28</f>
        <v>-9.0781305702875272</v>
      </c>
      <c r="N30" s="324">
        <f>'Balance sheet'!M28-'Balance sheet'!N28</f>
        <v>-8.6573765396414188</v>
      </c>
      <c r="O30" s="324">
        <f>'Balance sheet'!N28-'Balance sheet'!O28</f>
        <v>-8.1437643121323902</v>
      </c>
      <c r="P30" s="324">
        <f>'Balance sheet'!O28-'Balance sheet'!P28</f>
        <v>-7.569432760479387</v>
      </c>
      <c r="Q30" s="324">
        <f>'Balance sheet'!P28-'Balance sheet'!Q28</f>
        <v>-6.962514685097787</v>
      </c>
    </row>
    <row r="31" spans="2:17" x14ac:dyDescent="0.25">
      <c r="B31" t="s">
        <v>173</v>
      </c>
      <c r="C31" s="319">
        <v>-279</v>
      </c>
      <c r="D31" s="319">
        <v>-1610</v>
      </c>
      <c r="E31" s="319">
        <v>-1190</v>
      </c>
      <c r="F31" s="319">
        <v>-210</v>
      </c>
      <c r="G31" s="319">
        <v>533</v>
      </c>
      <c r="H31" s="324">
        <f>'Balance sheet'!G30-'Balance sheet'!H30</f>
        <v>-1509.51443084531</v>
      </c>
      <c r="I31" s="324">
        <f>'Balance sheet'!H30-'Balance sheet'!I30</f>
        <v>-1377.575230642954</v>
      </c>
      <c r="J31" s="324">
        <f>'Balance sheet'!I30-'Balance sheet'!J30</f>
        <v>-1418.1405942279343</v>
      </c>
      <c r="K31" s="324">
        <f>'Balance sheet'!J30-'Balance sheet'!K30</f>
        <v>-1426.941746708866</v>
      </c>
      <c r="L31" s="324">
        <f>'Balance sheet'!K30-'Balance sheet'!L30</f>
        <v>-1407.0861392072093</v>
      </c>
      <c r="M31" s="324">
        <f>'Balance sheet'!L30-'Balance sheet'!M30</f>
        <v>-1363.0234113250008</v>
      </c>
      <c r="N31" s="324">
        <f>'Balance sheet'!M30-'Balance sheet'!N30</f>
        <v>-1299.8498768908248</v>
      </c>
      <c r="O31" s="324">
        <f>'Balance sheet'!N30-'Balance sheet'!O30</f>
        <v>-1222.7342763806391</v>
      </c>
      <c r="P31" s="324">
        <f>'Balance sheet'!O30-'Balance sheet'!P30</f>
        <v>-1136.5020565745253</v>
      </c>
      <c r="Q31" s="324">
        <f>'Balance sheet'!P30-'Balance sheet'!Q30</f>
        <v>-1045.3771780440256</v>
      </c>
    </row>
    <row r="32" spans="2:17" x14ac:dyDescent="0.25">
      <c r="B32" t="s">
        <v>86</v>
      </c>
      <c r="C32" s="319">
        <v>-1429</v>
      </c>
      <c r="D32" s="319">
        <v>-3078</v>
      </c>
      <c r="E32" s="319">
        <v>-1961</v>
      </c>
      <c r="F32" s="319">
        <v>-1240</v>
      </c>
      <c r="G32" s="319">
        <v>-2686</v>
      </c>
      <c r="H32" s="324">
        <f>('Balance sheet'!G29+'Balance sheet'!G24)-('Balance sheet'!H24+'Balance sheet'!H29)</f>
        <v>-61254.153132134568</v>
      </c>
      <c r="I32" s="324">
        <f>('Balance sheet'!H29+'Balance sheet'!H24)-('Balance sheet'!I24+'Balance sheet'!I29)</f>
        <v>-21841.013139043658</v>
      </c>
      <c r="J32" s="324">
        <f>('Balance sheet'!I29+'Balance sheet'!I24)-('Balance sheet'!J24+'Balance sheet'!J29)</f>
        <v>-22484.163958934747</v>
      </c>
      <c r="K32" s="324">
        <f>('Balance sheet'!J29+'Balance sheet'!J24)-('Balance sheet'!K24+'Balance sheet'!K29)</f>
        <v>-22623.703406725952</v>
      </c>
      <c r="L32" s="324">
        <f>('Balance sheet'!K29+'Balance sheet'!K24)-('Balance sheet'!L24+'Balance sheet'!L29)</f>
        <v>-22308.899122588948</v>
      </c>
      <c r="M32" s="324">
        <f>('Balance sheet'!L29+'Balance sheet'!L24)-('Balance sheet'!M24+'Balance sheet'!M29)</f>
        <v>-21610.298714269884</v>
      </c>
      <c r="N32" s="324">
        <f>('Balance sheet'!M29+'Balance sheet'!M24)-('Balance sheet'!N24+'Balance sheet'!N29)</f>
        <v>-20608.70260182186</v>
      </c>
      <c r="O32" s="324">
        <f>('Balance sheet'!N29+'Balance sheet'!N24)-('Balance sheet'!O24+'Balance sheet'!O29)</f>
        <v>-19386.059506546357</v>
      </c>
      <c r="P32" s="324">
        <f>('Balance sheet'!O29+'Balance sheet'!O24)-('Balance sheet'!P24+'Balance sheet'!P29)</f>
        <v>-18018.875338379177</v>
      </c>
      <c r="Q32" s="324">
        <f>('Balance sheet'!P29+'Balance sheet'!P24)-('Balance sheet'!Q24+'Balance sheet'!Q29)</f>
        <v>-16574.119636471383</v>
      </c>
    </row>
    <row r="33" spans="2:17" x14ac:dyDescent="0.25">
      <c r="B33" t="s">
        <v>87</v>
      </c>
      <c r="C33" s="319">
        <v>-644</v>
      </c>
      <c r="D33" s="319">
        <v>1489</v>
      </c>
      <c r="E33" s="319">
        <v>756</v>
      </c>
      <c r="F33" s="319">
        <v>823</v>
      </c>
      <c r="G33" s="319">
        <v>937</v>
      </c>
      <c r="H33" s="324">
        <f>'Balance sheet'!H58-'Balance sheet'!G58</f>
        <v>2740.6445799919093</v>
      </c>
      <c r="I33" s="324">
        <f>'Balance sheet'!I58-'Balance sheet'!H58</f>
        <v>2532.680738794068</v>
      </c>
      <c r="J33" s="324">
        <f>'Balance sheet'!J58-'Balance sheet'!I58</f>
        <v>2607.2604152636522</v>
      </c>
      <c r="K33" s="324">
        <f>'Balance sheet'!K58-'Balance sheet'!J58</f>
        <v>2623.4413895377329</v>
      </c>
      <c r="L33" s="324">
        <f>'Balance sheet'!L58-'Balance sheet'!K58</f>
        <v>2586.9367300767481</v>
      </c>
      <c r="M33" s="324">
        <f>'Balance sheet'!M58-'Balance sheet'!L58</f>
        <v>2505.9271273170489</v>
      </c>
      <c r="N33" s="324">
        <f>'Balance sheet'!N58-'Balance sheet'!M58</f>
        <v>2389.7821863338177</v>
      </c>
      <c r="O33" s="324">
        <f>'Balance sheet'!O58-'Balance sheet'!N58</f>
        <v>2248.004669049682</v>
      </c>
      <c r="P33" s="324">
        <f>'Balance sheet'!P58-'Balance sheet'!O58</f>
        <v>2089.4661897649785</v>
      </c>
      <c r="Q33" s="324">
        <f>'Balance sheet'!Q58-'Balance sheet'!P58</f>
        <v>1921.9325265969674</v>
      </c>
    </row>
    <row r="34" spans="2:17" x14ac:dyDescent="0.25">
      <c r="B34" t="s">
        <v>88</v>
      </c>
      <c r="C34" s="319">
        <v>-1684</v>
      </c>
      <c r="D34" s="319">
        <v>1004</v>
      </c>
      <c r="E34" s="319">
        <v>-1362</v>
      </c>
      <c r="F34" s="319">
        <v>35</v>
      </c>
      <c r="G34" s="319">
        <v>731</v>
      </c>
      <c r="H34" s="324">
        <f>SUM('Balance sheet'!H56,'Balance sheet'!H57,'Balance sheet'!H59)-SUM('Balance sheet'!G56,'Balance sheet'!G57,'Balance sheet'!G59)</f>
        <v>-23020.828687128931</v>
      </c>
      <c r="I34" s="324">
        <f>SUM('Balance sheet'!I56,'Balance sheet'!I57,'Balance sheet'!I59)-SUM('Balance sheet'!H56,'Balance sheet'!H57,'Balance sheet'!H59)</f>
        <v>14810.541107607787</v>
      </c>
      <c r="J34" s="324">
        <f>SUM('Balance sheet'!J56,'Balance sheet'!J57,'Balance sheet'!J59)-SUM('Balance sheet'!I56,'Balance sheet'!I57,'Balance sheet'!I59)</f>
        <v>15246.666098502115</v>
      </c>
      <c r="K34" s="324">
        <f>SUM('Balance sheet'!K56,'Balance sheet'!K57,'Balance sheet'!K59)-SUM('Balance sheet'!J56,'Balance sheet'!J57,'Balance sheet'!J59)</f>
        <v>15341.288757006463</v>
      </c>
      <c r="L34" s="324">
        <f>SUM('Balance sheet'!L56,'Balance sheet'!L57,'Balance sheet'!L59)-SUM('Balance sheet'!K56,'Balance sheet'!K57,'Balance sheet'!K59)</f>
        <v>15127.8178085033</v>
      </c>
      <c r="M34" s="324">
        <f>SUM('Balance sheet'!M56,'Balance sheet'!M57,'Balance sheet'!M59)-SUM('Balance sheet'!L56,'Balance sheet'!L57,'Balance sheet'!L59)</f>
        <v>14654.092070629646</v>
      </c>
      <c r="N34" s="324">
        <f>SUM('Balance sheet'!N56,'Balance sheet'!N57,'Balance sheet'!N59)-SUM('Balance sheet'!M56,'Balance sheet'!M57,'Balance sheet'!M59)</f>
        <v>13974.90286350844</v>
      </c>
      <c r="O34" s="324">
        <f>SUM('Balance sheet'!O56,'Balance sheet'!O57,'Balance sheet'!O59)-SUM('Balance sheet'!N56,'Balance sheet'!N57,'Balance sheet'!N59)</f>
        <v>13145.82017823041</v>
      </c>
      <c r="P34" s="324">
        <f>SUM('Balance sheet'!P56,'Balance sheet'!P57,'Balance sheet'!P59)-SUM('Balance sheet'!O56,'Balance sheet'!O57,'Balance sheet'!O59)</f>
        <v>12218.723198094754</v>
      </c>
      <c r="Q34" s="324">
        <f>SUM('Balance sheet'!Q56,'Balance sheet'!Q57,'Balance sheet'!Q59)-SUM('Balance sheet'!P56,'Balance sheet'!P57,'Balance sheet'!P59)</f>
        <v>11239.024427834607</v>
      </c>
    </row>
    <row r="35" spans="2:17" x14ac:dyDescent="0.25">
      <c r="B35" t="s">
        <v>89</v>
      </c>
      <c r="C35" s="319">
        <v>516</v>
      </c>
      <c r="D35" s="319">
        <v>58</v>
      </c>
      <c r="E35" s="319">
        <v>478</v>
      </c>
      <c r="F35" s="319">
        <v>887</v>
      </c>
      <c r="G35" s="319">
        <v>23</v>
      </c>
      <c r="H35" s="324">
        <f>'Balance sheet'!H62-'Balance sheet'!G62</f>
        <v>391.29567225088067</v>
      </c>
      <c r="I35" s="324">
        <f>'Balance sheet'!I62-'Balance sheet'!H62</f>
        <v>749.03923427849986</v>
      </c>
      <c r="J35" s="324">
        <f>'Balance sheet'!J62-'Balance sheet'!I62</f>
        <v>771.09614137296103</v>
      </c>
      <c r="K35" s="324">
        <f>'Balance sheet'!K62-'Balance sheet'!J62</f>
        <v>775.88165752368968</v>
      </c>
      <c r="L35" s="324">
        <f>'Balance sheet'!L62-'Balance sheet'!K62</f>
        <v>765.08542025958377</v>
      </c>
      <c r="M35" s="324">
        <f>'Balance sheet'!M62-'Balance sheet'!L62</f>
        <v>741.12686524280525</v>
      </c>
      <c r="N35" s="324">
        <f>'Balance sheet'!N62-'Balance sheet'!M62</f>
        <v>706.77704912629724</v>
      </c>
      <c r="O35" s="324">
        <f>'Balance sheet'!O62-'Balance sheet'!N62</f>
        <v>664.84640964309801</v>
      </c>
      <c r="P35" s="324">
        <f>'Balance sheet'!P62-'Balance sheet'!O62</f>
        <v>617.95872288963983</v>
      </c>
      <c r="Q35" s="324">
        <f>'Balance sheet'!Q62-'Balance sheet'!P62</f>
        <v>568.41071438897416</v>
      </c>
    </row>
    <row r="36" spans="2:17" x14ac:dyDescent="0.25">
      <c r="B36" t="s">
        <v>90</v>
      </c>
      <c r="C36" s="319">
        <v>-43</v>
      </c>
      <c r="D36" s="319">
        <v>660</v>
      </c>
      <c r="E36" s="319">
        <v>-225</v>
      </c>
      <c r="F36" s="319">
        <v>737</v>
      </c>
      <c r="G36" s="319">
        <v>369</v>
      </c>
      <c r="H36" s="324">
        <f>'Balance sheet'!H54-'Balance sheet'!G54</f>
        <v>373.54706955286656</v>
      </c>
      <c r="I36" s="324">
        <f>'Balance sheet'!I54-'Balance sheet'!H54</f>
        <v>491.82815115482981</v>
      </c>
      <c r="J36" s="324">
        <f>'Balance sheet'!J54-'Balance sheet'!I54</f>
        <v>506.31098107883599</v>
      </c>
      <c r="K36" s="324">
        <f>'Balance sheet'!K54-'Balance sheet'!J54</f>
        <v>509.45320841890498</v>
      </c>
      <c r="L36" s="324">
        <f>'Balance sheet'!L54-'Balance sheet'!K54</f>
        <v>502.36426945544918</v>
      </c>
      <c r="M36" s="324">
        <f>'Balance sheet'!M54-'Balance sheet'!L54</f>
        <v>486.63279468217661</v>
      </c>
      <c r="N36" s="324">
        <f>'Balance sheet'!N54-'Balance sheet'!M54</f>
        <v>464.07829315547951</v>
      </c>
      <c r="O36" s="324">
        <f>'Balance sheet'!O54-'Balance sheet'!N54</f>
        <v>436.54613202158907</v>
      </c>
      <c r="P36" s="324">
        <f>'Balance sheet'!P54-'Balance sheet'!O54</f>
        <v>405.75911415583869</v>
      </c>
      <c r="Q36" s="324">
        <f>'Balance sheet'!Q54-'Balance sheet'!P54</f>
        <v>373.22529710183699</v>
      </c>
    </row>
    <row r="37" spans="2:17" x14ac:dyDescent="0.25">
      <c r="B37" t="s">
        <v>91</v>
      </c>
      <c r="C37" s="319">
        <v>1109</v>
      </c>
      <c r="D37" s="319">
        <v>496</v>
      </c>
      <c r="E37" s="319">
        <v>-245</v>
      </c>
      <c r="F37" s="319">
        <v>411</v>
      </c>
      <c r="G37" s="319">
        <v>-1020</v>
      </c>
      <c r="H37" s="324">
        <f>('Balance sheet'!H60+'Balance sheet'!H61)-('Balance sheet'!G60+'Balance sheet'!G61)</f>
        <v>1154.448278889824</v>
      </c>
      <c r="I37" s="324">
        <f>('Balance sheet'!I60+'Balance sheet'!I61)-('Balance sheet'!H60+'Balance sheet'!H61)</f>
        <v>1036.7850551971014</v>
      </c>
      <c r="J37" s="324">
        <f>('Balance sheet'!J60+'Balance sheet'!J61)-('Balance sheet'!I60+'Balance sheet'!I61)</f>
        <v>1067.3151937971661</v>
      </c>
      <c r="K37" s="324">
        <f>('Balance sheet'!K60+'Balance sheet'!K61)-('Balance sheet'!J60+'Balance sheet'!J61)</f>
        <v>1073.939081304552</v>
      </c>
      <c r="L37" s="324">
        <f>('Balance sheet'!L60+'Balance sheet'!L61)-('Balance sheet'!K60+'Balance sheet'!K61)</f>
        <v>1058.9954349165655</v>
      </c>
      <c r="M37" s="324">
        <f>('Balance sheet'!M60+'Balance sheet'!M61)-('Balance sheet'!L60+'Balance sheet'!L61)</f>
        <v>1025.8331242541062</v>
      </c>
      <c r="N37" s="324">
        <f>('Balance sheet'!N60+'Balance sheet'!N61)-('Balance sheet'!M60+'Balance sheet'!M61)</f>
        <v>978.28771625866466</v>
      </c>
      <c r="O37" s="324">
        <f>('Balance sheet'!O60+'Balance sheet'!O61)-('Balance sheet'!N60+'Balance sheet'!N61)</f>
        <v>920.24928731987529</v>
      </c>
      <c r="P37" s="324">
        <f>('Balance sheet'!P60+'Balance sheet'!P61)-('Balance sheet'!O60+'Balance sheet'!O61)</f>
        <v>855.34954552521231</v>
      </c>
      <c r="Q37" s="324">
        <f>('Balance sheet'!Q60+'Balance sheet'!Q61)-('Balance sheet'!P60+'Balance sheet'!P61)</f>
        <v>786.76751086349759</v>
      </c>
    </row>
    <row r="38" spans="2:17" x14ac:dyDescent="0.25">
      <c r="B38" s="9"/>
      <c r="C38" s="320">
        <f>SUM(C26:C37)</f>
        <v>17917</v>
      </c>
      <c r="D38" s="320">
        <f>SUM(D26:D37)</f>
        <v>22159</v>
      </c>
      <c r="E38" s="320">
        <f t="shared" ref="E38:H38" si="12">SUM(E26:E37)</f>
        <v>29599</v>
      </c>
      <c r="F38" s="320">
        <f t="shared" si="12"/>
        <v>31498</v>
      </c>
      <c r="G38" s="320">
        <f t="shared" si="12"/>
        <v>33639</v>
      </c>
      <c r="H38" s="320">
        <f t="shared" si="12"/>
        <v>-29464.661857529823</v>
      </c>
      <c r="I38" s="320">
        <f t="shared" ref="I38" si="13">SUM(I26:I37)</f>
        <v>55104.882228301969</v>
      </c>
      <c r="J38" s="320">
        <f t="shared" ref="J38" si="14">SUM(J26:J37)</f>
        <v>65752.036056699755</v>
      </c>
      <c r="K38" s="320">
        <f t="shared" ref="K38" si="15">SUM(K26:K37)</f>
        <v>76726.2204575012</v>
      </c>
      <c r="L38" s="320">
        <f t="shared" ref="L38" si="16">SUM(L26:L37)</f>
        <v>87780.276221450535</v>
      </c>
      <c r="M38" s="320">
        <f t="shared" ref="M38" si="17">SUM(M26:M37)</f>
        <v>98690.548889793659</v>
      </c>
      <c r="N38" s="320">
        <f t="shared" ref="N38" si="18">SUM(N26:N37)</f>
        <v>109267.56358252795</v>
      </c>
      <c r="O38" s="320">
        <f t="shared" ref="O38" si="19">SUM(O26:O37)</f>
        <v>119361.266180351</v>
      </c>
      <c r="P38" s="320">
        <f t="shared" ref="P38" si="20">SUM(P26:P37)</f>
        <v>128861.75431538768</v>
      </c>
      <c r="Q38" s="320">
        <f t="shared" ref="Q38" si="21">SUM(Q26:Q37)</f>
        <v>137696.72573552676</v>
      </c>
    </row>
    <row r="39" spans="2:17" x14ac:dyDescent="0.25">
      <c r="B39" t="s">
        <v>92</v>
      </c>
      <c r="C39" s="319">
        <v>-3600</v>
      </c>
      <c r="D39" s="319">
        <v>-5347</v>
      </c>
      <c r="E39" s="319">
        <v>-8882</v>
      </c>
      <c r="F39" s="319">
        <v>-10242</v>
      </c>
      <c r="G39" s="319">
        <v>-9997</v>
      </c>
      <c r="H39" s="324">
        <f>-'Cost Buildup'!H22</f>
        <v>-14921.029990147112</v>
      </c>
      <c r="I39" s="324">
        <f>-'Cost Buildup'!I22</f>
        <v>-18587.460281195734</v>
      </c>
      <c r="J39" s="324">
        <f>-'Cost Buildup'!J22</f>
        <v>-22250.989291967118</v>
      </c>
      <c r="K39" s="324">
        <f>-'Cost Buildup'!K22</f>
        <v>-25602.054688541808</v>
      </c>
      <c r="L39" s="324">
        <f>-'Cost Buildup'!L22</f>
        <v>-29406.274675928602</v>
      </c>
      <c r="M39" s="324">
        <f>-'Cost Buildup'!M22</f>
        <v>-32656.288150790824</v>
      </c>
      <c r="N39" s="324">
        <f>-'Cost Buildup'!N22</f>
        <v>-36364.658666811316</v>
      </c>
      <c r="O39" s="324">
        <f>-'Cost Buildup'!O22</f>
        <v>-39324.647199922292</v>
      </c>
      <c r="P39" s="324">
        <f>-'Cost Buildup'!P22</f>
        <v>-42477.493837976152</v>
      </c>
      <c r="Q39" s="324">
        <f>-'Cost Buildup'!Q22</f>
        <v>-45028.166084033524</v>
      </c>
    </row>
    <row r="40" spans="2:17" x14ac:dyDescent="0.25">
      <c r="C40" s="150"/>
      <c r="D40" s="150"/>
      <c r="E40" s="150"/>
      <c r="F40" s="150"/>
      <c r="G40" s="150"/>
      <c r="H40" s="150"/>
      <c r="I40" s="150"/>
      <c r="J40" s="150"/>
      <c r="K40" s="150"/>
      <c r="L40" s="150"/>
      <c r="M40" s="150"/>
      <c r="N40" s="150"/>
      <c r="O40" s="150"/>
      <c r="P40" s="150"/>
      <c r="Q40" s="150"/>
    </row>
    <row r="41" spans="2:17" x14ac:dyDescent="0.25">
      <c r="B41" s="8" t="s">
        <v>512</v>
      </c>
      <c r="C41" s="320">
        <f>SUM(C38:C39)</f>
        <v>14317</v>
      </c>
      <c r="D41" s="320">
        <f>SUM(D38:D39)</f>
        <v>16812</v>
      </c>
      <c r="E41" s="320">
        <f>SUM(E38:E39)</f>
        <v>20717</v>
      </c>
      <c r="F41" s="320">
        <f t="shared" ref="F41:H41" si="22">SUM(F38:F39)</f>
        <v>21256</v>
      </c>
      <c r="G41" s="320">
        <f t="shared" si="22"/>
        <v>23642</v>
      </c>
      <c r="H41" s="320">
        <f t="shared" si="22"/>
        <v>-44385.691847676935</v>
      </c>
      <c r="I41" s="320">
        <f t="shared" ref="I41:Q41" si="23">SUM(I38:I39)</f>
        <v>36517.421947106239</v>
      </c>
      <c r="J41" s="320">
        <f t="shared" si="23"/>
        <v>43501.046764732637</v>
      </c>
      <c r="K41" s="320">
        <f t="shared" si="23"/>
        <v>51124.165768959392</v>
      </c>
      <c r="L41" s="320">
        <f t="shared" si="23"/>
        <v>58374.001545521933</v>
      </c>
      <c r="M41" s="320">
        <f t="shared" si="23"/>
        <v>66034.260739002842</v>
      </c>
      <c r="N41" s="320">
        <f t="shared" si="23"/>
        <v>72902.90491571663</v>
      </c>
      <c r="O41" s="320">
        <f t="shared" si="23"/>
        <v>80036.618980428699</v>
      </c>
      <c r="P41" s="320">
        <f t="shared" si="23"/>
        <v>86384.260477411532</v>
      </c>
      <c r="Q41" s="320">
        <f t="shared" si="23"/>
        <v>92668.55965149324</v>
      </c>
    </row>
    <row r="42" spans="2:17" x14ac:dyDescent="0.25">
      <c r="C42" s="150"/>
      <c r="D42" s="150"/>
      <c r="E42" s="150"/>
      <c r="F42" s="150"/>
      <c r="G42" s="150"/>
      <c r="H42" s="150"/>
      <c r="I42" s="150"/>
      <c r="J42" s="150"/>
      <c r="K42" s="150"/>
      <c r="L42" s="150"/>
      <c r="M42" s="150"/>
      <c r="N42" s="150"/>
      <c r="O42" s="150"/>
      <c r="P42" s="150"/>
      <c r="Q42" s="150"/>
    </row>
    <row r="43" spans="2:17" x14ac:dyDescent="0.25">
      <c r="B43" s="1" t="s">
        <v>93</v>
      </c>
      <c r="C43" s="150"/>
      <c r="D43" s="150"/>
      <c r="E43" s="150"/>
      <c r="F43" s="150"/>
      <c r="G43" s="150"/>
      <c r="H43" s="150"/>
      <c r="I43" s="150"/>
      <c r="J43" s="150"/>
      <c r="K43" s="150"/>
      <c r="L43" s="150"/>
      <c r="M43" s="150"/>
      <c r="N43" s="150"/>
      <c r="O43" s="150"/>
      <c r="P43" s="150"/>
      <c r="Q43" s="150"/>
    </row>
    <row r="44" spans="2:17" x14ac:dyDescent="0.25">
      <c r="B44" t="s">
        <v>94</v>
      </c>
      <c r="C44" s="319">
        <v>-78</v>
      </c>
      <c r="D44" s="319">
        <v>-67</v>
      </c>
      <c r="E44" s="319">
        <v>-13106</v>
      </c>
      <c r="F44" s="319">
        <v>-823</v>
      </c>
      <c r="G44" s="319">
        <v>-766</v>
      </c>
      <c r="H44" s="324">
        <f>-FAS!H376+(-FAS!H374+FAS!G374)</f>
        <v>-6602.0000000000027</v>
      </c>
      <c r="I44" s="324">
        <f>-FAS!I376+(-FAS!I374+FAS!H374)</f>
        <v>-6691.9799999999959</v>
      </c>
      <c r="J44" s="324">
        <f>-FAS!J376+(-FAS!J374+FAS!I374)</f>
        <v>-6688.5698999999986</v>
      </c>
      <c r="K44" s="324">
        <f>-FAS!K376+(-FAS!K374+FAS!J374)</f>
        <v>-6758.8827495000078</v>
      </c>
      <c r="L44" s="324">
        <f>-FAS!L376+(-FAS!L374+FAS!K374)</f>
        <v>-6755.8071632474912</v>
      </c>
      <c r="M44" s="324">
        <f>-FAS!M376+(-FAS!M374+FAS!L374)</f>
        <v>-6826.456199063723</v>
      </c>
      <c r="N44" s="324">
        <f>-FAS!N376+(-FAS!N374+FAS!M374)</f>
        <v>-6823.7184800590585</v>
      </c>
      <c r="O44" s="324">
        <f>-FAS!O376+(-FAS!O374+FAS!N374)</f>
        <v>-6894.7070724593377</v>
      </c>
      <c r="P44" s="324">
        <f>-FAS!P376+(-FAS!P374+FAS!O374)</f>
        <v>-6892.3106078216733</v>
      </c>
      <c r="Q44" s="324">
        <f>-FAS!Q376+(-FAS!Q374+FAS!P374)</f>
        <v>-6963.6421608607425</v>
      </c>
    </row>
    <row r="45" spans="2:17" x14ac:dyDescent="0.25">
      <c r="B45" t="s">
        <v>95</v>
      </c>
      <c r="C45" s="319">
        <v>-19</v>
      </c>
      <c r="D45" s="319">
        <v>-346</v>
      </c>
      <c r="E45" s="319">
        <v>-835</v>
      </c>
      <c r="F45" s="319">
        <v>-207</v>
      </c>
      <c r="G45" s="319">
        <v>-351</v>
      </c>
      <c r="H45" s="324"/>
      <c r="I45" s="324"/>
      <c r="J45" s="324"/>
      <c r="K45" s="324"/>
      <c r="L45" s="324"/>
      <c r="M45" s="324"/>
      <c r="N45" s="324"/>
      <c r="O45" s="324"/>
      <c r="P45" s="324"/>
      <c r="Q45" s="324"/>
    </row>
    <row r="46" spans="2:17" x14ac:dyDescent="0.25">
      <c r="B46" t="s">
        <v>96</v>
      </c>
      <c r="C46" s="319"/>
      <c r="D46" s="319">
        <v>10</v>
      </c>
      <c r="E46" s="319"/>
      <c r="F46" s="319">
        <v>4</v>
      </c>
      <c r="G46" s="319">
        <v>19</v>
      </c>
      <c r="H46" s="324"/>
      <c r="I46" s="324"/>
      <c r="J46" s="324"/>
      <c r="K46" s="324"/>
      <c r="L46" s="324"/>
      <c r="M46" s="324"/>
      <c r="N46" s="324"/>
      <c r="O46" s="324"/>
      <c r="P46" s="324"/>
      <c r="Q46" s="324"/>
    </row>
    <row r="47" spans="2:17" x14ac:dyDescent="0.25">
      <c r="B47" t="s">
        <v>97</v>
      </c>
      <c r="C47" s="319">
        <v>7</v>
      </c>
      <c r="D47" s="319"/>
      <c r="E47" s="319"/>
      <c r="F47" s="319"/>
      <c r="G47" s="319"/>
      <c r="H47" s="324"/>
      <c r="I47" s="324"/>
      <c r="J47" s="324"/>
      <c r="K47" s="324"/>
      <c r="L47" s="324"/>
      <c r="M47" s="324"/>
      <c r="N47" s="324"/>
      <c r="O47" s="324"/>
      <c r="P47" s="324"/>
      <c r="Q47" s="324"/>
    </row>
    <row r="48" spans="2:17" x14ac:dyDescent="0.25">
      <c r="B48" t="s">
        <v>98</v>
      </c>
      <c r="C48" s="319"/>
      <c r="D48" s="319">
        <v>-762</v>
      </c>
      <c r="E48" s="319">
        <v>-827</v>
      </c>
      <c r="F48" s="319"/>
      <c r="G48" s="319">
        <v>-503</v>
      </c>
      <c r="H48" s="324"/>
      <c r="I48" s="324"/>
      <c r="J48" s="324"/>
      <c r="K48" s="324"/>
      <c r="L48" s="324"/>
      <c r="M48" s="324"/>
      <c r="N48" s="324"/>
      <c r="O48" s="324"/>
      <c r="P48" s="324"/>
      <c r="Q48" s="324"/>
    </row>
    <row r="49" spans="2:17" x14ac:dyDescent="0.25">
      <c r="B49" t="s">
        <v>99</v>
      </c>
      <c r="C49" s="319">
        <v>6931</v>
      </c>
      <c r="D49" s="319">
        <v>-3020</v>
      </c>
      <c r="E49" s="319">
        <v>-56995</v>
      </c>
      <c r="F49" s="319">
        <v>-52847</v>
      </c>
      <c r="G49" s="319">
        <v>23647</v>
      </c>
      <c r="H49" s="324">
        <f>'Balance sheet'!G27-'Balance sheet'!H27</f>
        <v>93911</v>
      </c>
      <c r="I49" s="324">
        <f>'Balance sheet'!H27-'Balance sheet'!I27</f>
        <v>0</v>
      </c>
      <c r="J49" s="324">
        <f>'Balance sheet'!I27-'Balance sheet'!J27</f>
        <v>0</v>
      </c>
      <c r="K49" s="324">
        <f>'Balance sheet'!J27-'Balance sheet'!K27</f>
        <v>0</v>
      </c>
      <c r="L49" s="324">
        <f>'Balance sheet'!K27-'Balance sheet'!L27</f>
        <v>0</v>
      </c>
      <c r="M49" s="324">
        <f>'Balance sheet'!L27-'Balance sheet'!M27</f>
        <v>0</v>
      </c>
      <c r="N49" s="324">
        <f>'Balance sheet'!M27-'Balance sheet'!N27</f>
        <v>0</v>
      </c>
      <c r="O49" s="324">
        <f>'Balance sheet'!N27-'Balance sheet'!O27</f>
        <v>0</v>
      </c>
      <c r="P49" s="324">
        <f>'Balance sheet'!O27-'Balance sheet'!P27</f>
        <v>0</v>
      </c>
      <c r="Q49" s="324">
        <f>'Balance sheet'!P27-'Balance sheet'!Q27</f>
        <v>0</v>
      </c>
    </row>
    <row r="50" spans="2:17" x14ac:dyDescent="0.25">
      <c r="B50" t="s">
        <v>100</v>
      </c>
      <c r="C50" s="319">
        <v>-6025</v>
      </c>
      <c r="D50" s="319"/>
      <c r="E50" s="319">
        <v>-10987</v>
      </c>
      <c r="F50" s="319"/>
      <c r="G50" s="319">
        <v>-73121</v>
      </c>
      <c r="H50" s="324"/>
      <c r="I50" s="324"/>
      <c r="J50" s="324"/>
      <c r="K50" s="324"/>
      <c r="L50" s="324"/>
      <c r="M50" s="324"/>
      <c r="N50" s="324"/>
      <c r="O50" s="324"/>
      <c r="P50" s="324"/>
      <c r="Q50" s="324"/>
    </row>
    <row r="51" spans="2:17" x14ac:dyDescent="0.25">
      <c r="B51" t="s">
        <v>101</v>
      </c>
      <c r="C51" s="319">
        <v>39313</v>
      </c>
      <c r="D51" s="319">
        <v>34542</v>
      </c>
      <c r="E51" s="319">
        <v>47203</v>
      </c>
      <c r="F51" s="319">
        <v>2568</v>
      </c>
      <c r="G51" s="319">
        <v>3751</v>
      </c>
      <c r="H51" s="324"/>
      <c r="I51" s="324"/>
      <c r="J51" s="324"/>
      <c r="K51" s="324"/>
      <c r="L51" s="324"/>
      <c r="M51" s="324"/>
      <c r="N51" s="324"/>
      <c r="O51" s="324"/>
      <c r="P51" s="324"/>
      <c r="Q51" s="324"/>
    </row>
    <row r="52" spans="2:17" x14ac:dyDescent="0.25">
      <c r="B52" t="s">
        <v>102</v>
      </c>
      <c r="C52" s="319">
        <v>-69269</v>
      </c>
      <c r="D52" s="319">
        <v>-40049</v>
      </c>
      <c r="E52" s="319"/>
      <c r="F52" s="319">
        <v>-2550</v>
      </c>
      <c r="G52" s="319">
        <v>-37549</v>
      </c>
      <c r="H52" s="324"/>
      <c r="I52" s="324"/>
      <c r="J52" s="324"/>
      <c r="K52" s="324"/>
      <c r="L52" s="324"/>
      <c r="M52" s="324"/>
      <c r="N52" s="324"/>
      <c r="O52" s="324"/>
      <c r="P52" s="324"/>
      <c r="Q52" s="324"/>
    </row>
    <row r="53" spans="2:17" x14ac:dyDescent="0.25">
      <c r="B53" t="s">
        <v>103</v>
      </c>
      <c r="C53" s="319">
        <v>777</v>
      </c>
      <c r="D53" s="319">
        <v>84</v>
      </c>
      <c r="E53" s="319">
        <v>445</v>
      </c>
      <c r="F53" s="319">
        <v>7214</v>
      </c>
      <c r="G53" s="319">
        <v>8657</v>
      </c>
      <c r="H53" s="324">
        <f>'Profit &amp; Loss Statement'!H26</f>
        <v>9151.9283271080294</v>
      </c>
      <c r="I53" s="324">
        <f>'Profit &amp; Loss Statement'!I26</f>
        <v>10905.03191846962</v>
      </c>
      <c r="J53" s="324">
        <f>'Profit &amp; Loss Statement'!J26</f>
        <v>12709.759031366604</v>
      </c>
      <c r="K53" s="324">
        <f>'Profit &amp; Loss Statement'!K26</f>
        <v>14525.686499553978</v>
      </c>
      <c r="L53" s="324">
        <f>'Profit &amp; Loss Statement'!L26</f>
        <v>16316.345702135577</v>
      </c>
      <c r="M53" s="324">
        <f>'Profit &amp; Loss Statement'!M26</f>
        <v>18050.930633942553</v>
      </c>
      <c r="N53" s="324">
        <f>'Profit &amp; Loss Statement'!N26</f>
        <v>19705.120863789136</v>
      </c>
      <c r="O53" s="324">
        <f>'Profit &amp; Loss Statement'!O26</f>
        <v>21261.173704695215</v>
      </c>
      <c r="P53" s="324">
        <f>'Profit &amp; Loss Statement'!P26</f>
        <v>22707.487337991832</v>
      </c>
      <c r="Q53" s="324">
        <f>'Profit &amp; Loss Statement'!Q26</f>
        <v>24037.835361381509</v>
      </c>
    </row>
    <row r="54" spans="2:17" x14ac:dyDescent="0.25">
      <c r="B54" t="s">
        <v>175</v>
      </c>
      <c r="C54" s="319"/>
      <c r="D54" s="319"/>
      <c r="E54" s="319"/>
      <c r="F54" s="319"/>
      <c r="G54" s="319"/>
      <c r="H54" s="324">
        <f>SUM('Balance sheet'!G14:G18)-SUM('Balance sheet'!H14:H18)</f>
        <v>-388.81531436086152</v>
      </c>
      <c r="I54" s="324">
        <f>SUM('Balance sheet'!H14:H18)-SUM('Balance sheet'!I14:I18)</f>
        <v>-2886.1336205781299</v>
      </c>
      <c r="J54" s="324">
        <f>SUM('Balance sheet'!I14:I18)-SUM('Balance sheet'!J14:J18)</f>
        <v>-2971.1213998799867</v>
      </c>
      <c r="K54" s="324">
        <f>SUM('Balance sheet'!J14:J18)-SUM('Balance sheet'!K14:K18)</f>
        <v>-2989.5605395436723</v>
      </c>
      <c r="L54" s="324">
        <f>SUM('Balance sheet'!K14:K18)-SUM('Balance sheet'!L14:L18)</f>
        <v>-2947.9614057230101</v>
      </c>
      <c r="M54" s="324">
        <f>SUM('Balance sheet'!L14:L18)-SUM('Balance sheet'!M14:M18)</f>
        <v>-2855.6463600351817</v>
      </c>
      <c r="N54" s="324">
        <f>SUM('Balance sheet'!M14:M18)-SUM('Balance sheet'!N14:N18)</f>
        <v>-2723.2925998879982</v>
      </c>
      <c r="O54" s="324">
        <f>SUM('Balance sheet'!N14:N18)-SUM('Balance sheet'!O14:O18)</f>
        <v>-2561.7290624834823</v>
      </c>
      <c r="P54" s="324">
        <f>SUM('Balance sheet'!O14:O18)-SUM('Balance sheet'!P14:P18)</f>
        <v>-2381.0654564433498</v>
      </c>
      <c r="Q54" s="324">
        <f>SUM('Balance sheet'!P14:P18)-SUM('Balance sheet'!Q14:Q18)</f>
        <v>-2190.1513272199227</v>
      </c>
    </row>
    <row r="55" spans="2:17" x14ac:dyDescent="0.25">
      <c r="B55" s="8" t="s">
        <v>513</v>
      </c>
      <c r="C55" s="320">
        <f>SUM(C44:C53)</f>
        <v>-28363</v>
      </c>
      <c r="D55" s="320">
        <f t="shared" ref="D55:G55" si="24">SUM(D44:D53)</f>
        <v>-9608</v>
      </c>
      <c r="E55" s="320">
        <f t="shared" si="24"/>
        <v>-35102</v>
      </c>
      <c r="F55" s="320">
        <f t="shared" si="24"/>
        <v>-46641</v>
      </c>
      <c r="G55" s="320">
        <f t="shared" si="24"/>
        <v>-76216</v>
      </c>
      <c r="H55" s="320">
        <f>SUM(H44:H54)</f>
        <v>96072.11301274717</v>
      </c>
      <c r="I55" s="320">
        <f t="shared" ref="I55:Q55" si="25">SUM(I44:I54)</f>
        <v>1326.9182978914941</v>
      </c>
      <c r="J55" s="320">
        <f t="shared" si="25"/>
        <v>3050.0677314866189</v>
      </c>
      <c r="K55" s="320">
        <f t="shared" si="25"/>
        <v>4777.243210510298</v>
      </c>
      <c r="L55" s="320">
        <f t="shared" si="25"/>
        <v>6612.5771331650758</v>
      </c>
      <c r="M55" s="320">
        <f t="shared" si="25"/>
        <v>8368.8280748436482</v>
      </c>
      <c r="N55" s="320">
        <f t="shared" si="25"/>
        <v>10158.109783842079</v>
      </c>
      <c r="O55" s="320">
        <f t="shared" si="25"/>
        <v>11804.737569752395</v>
      </c>
      <c r="P55" s="320">
        <f t="shared" si="25"/>
        <v>13434.111273726809</v>
      </c>
      <c r="Q55" s="320">
        <f t="shared" si="25"/>
        <v>14884.041873300845</v>
      </c>
    </row>
    <row r="56" spans="2:17" x14ac:dyDescent="0.25">
      <c r="C56" s="150"/>
      <c r="D56" s="150"/>
      <c r="E56" s="150"/>
      <c r="F56" s="150"/>
      <c r="G56" s="150"/>
      <c r="H56" s="150"/>
      <c r="I56" s="150"/>
      <c r="J56" s="150"/>
      <c r="K56" s="150"/>
      <c r="L56" s="150"/>
      <c r="M56" s="150"/>
      <c r="N56" s="150"/>
      <c r="O56" s="150"/>
      <c r="P56" s="150"/>
      <c r="Q56" s="150"/>
    </row>
    <row r="57" spans="2:17" x14ac:dyDescent="0.25">
      <c r="B57" s="1" t="s">
        <v>104</v>
      </c>
      <c r="C57" s="150"/>
      <c r="D57" s="150"/>
      <c r="E57" s="150"/>
      <c r="F57" s="150"/>
      <c r="G57" s="150"/>
      <c r="H57" s="150"/>
      <c r="I57" s="150"/>
      <c r="J57" s="150"/>
      <c r="K57" s="150"/>
      <c r="L57" s="150"/>
      <c r="M57" s="150"/>
      <c r="N57" s="150"/>
      <c r="O57" s="150"/>
      <c r="P57" s="150"/>
      <c r="Q57" s="150"/>
    </row>
    <row r="58" spans="2:17" x14ac:dyDescent="0.25">
      <c r="B58" t="s">
        <v>105</v>
      </c>
      <c r="C58" s="319">
        <v>-1256</v>
      </c>
      <c r="D58" s="319">
        <v>-2053</v>
      </c>
      <c r="E58" s="319">
        <v>-2609</v>
      </c>
      <c r="F58" s="319">
        <v>-2608</v>
      </c>
      <c r="G58" s="319">
        <v>-834</v>
      </c>
      <c r="H58" s="150"/>
      <c r="I58" s="150"/>
      <c r="J58" s="150"/>
      <c r="K58" s="150"/>
      <c r="L58" s="150"/>
      <c r="M58" s="150"/>
      <c r="N58" s="150"/>
      <c r="O58" s="150"/>
      <c r="P58" s="150"/>
      <c r="Q58" s="150"/>
    </row>
    <row r="59" spans="2:17" x14ac:dyDescent="0.25">
      <c r="B59" t="s">
        <v>106</v>
      </c>
      <c r="C59" s="319">
        <v>5981</v>
      </c>
      <c r="D59" s="319"/>
      <c r="E59" s="319">
        <v>12383</v>
      </c>
      <c r="F59" s="319"/>
      <c r="G59" s="319">
        <v>24061</v>
      </c>
      <c r="H59" s="150"/>
      <c r="I59" s="150"/>
      <c r="J59" s="150"/>
      <c r="K59" s="150"/>
      <c r="L59" s="150"/>
      <c r="M59" s="150"/>
      <c r="N59" s="150"/>
      <c r="O59" s="150"/>
      <c r="P59" s="150"/>
      <c r="Q59" s="150"/>
    </row>
    <row r="60" spans="2:17" x14ac:dyDescent="0.25">
      <c r="B60" t="s">
        <v>107</v>
      </c>
      <c r="C60" s="319">
        <v>4213</v>
      </c>
      <c r="D60" s="319">
        <v>4012</v>
      </c>
      <c r="E60" s="319">
        <v>4617</v>
      </c>
      <c r="F60" s="319">
        <v>-1439</v>
      </c>
      <c r="G60" s="319">
        <v>53322</v>
      </c>
      <c r="H60" s="150"/>
      <c r="I60" s="150"/>
      <c r="J60" s="150"/>
      <c r="K60" s="150"/>
      <c r="L60" s="150"/>
      <c r="M60" s="150"/>
      <c r="N60" s="150"/>
      <c r="O60" s="150"/>
      <c r="P60" s="150"/>
      <c r="Q60" s="150"/>
    </row>
    <row r="61" spans="2:17" x14ac:dyDescent="0.25">
      <c r="B61" t="s">
        <v>122</v>
      </c>
      <c r="C61" s="319"/>
      <c r="D61" s="319"/>
      <c r="E61" s="319">
        <v>4500</v>
      </c>
      <c r="F61" s="319">
        <v>8000</v>
      </c>
      <c r="G61" s="319"/>
      <c r="H61" s="150"/>
      <c r="I61" s="150"/>
      <c r="J61" s="150"/>
      <c r="K61" s="150"/>
      <c r="L61" s="150"/>
      <c r="M61" s="150"/>
      <c r="N61" s="150"/>
      <c r="O61" s="150"/>
      <c r="P61" s="150"/>
      <c r="Q61" s="150"/>
    </row>
    <row r="62" spans="2:17" x14ac:dyDescent="0.25">
      <c r="B62" t="s">
        <v>125</v>
      </c>
      <c r="C62" s="319"/>
      <c r="D62" s="319"/>
      <c r="E62" s="319"/>
      <c r="F62" s="319"/>
      <c r="G62" s="319">
        <v>-4500</v>
      </c>
      <c r="H62" s="150"/>
      <c r="I62" s="150"/>
      <c r="J62" s="150"/>
      <c r="K62" s="150"/>
      <c r="L62" s="150"/>
      <c r="M62" s="150"/>
      <c r="N62" s="150"/>
      <c r="O62" s="150"/>
      <c r="P62" s="150"/>
      <c r="Q62" s="150"/>
    </row>
    <row r="63" spans="2:17" x14ac:dyDescent="0.25">
      <c r="B63" t="s">
        <v>108</v>
      </c>
      <c r="C63" s="319">
        <v>-300</v>
      </c>
      <c r="D63" s="319"/>
      <c r="E63" s="319"/>
      <c r="F63" s="319"/>
      <c r="G63" s="319"/>
      <c r="H63" s="324">
        <f>'Balance sheet'!H51-'Balance sheet'!G51</f>
        <v>-18838.696888899249</v>
      </c>
      <c r="I63" s="324">
        <f>'Balance sheet'!I51-'Balance sheet'!H51</f>
        <v>7436.0568905077816</v>
      </c>
      <c r="J63" s="324">
        <f>'Balance sheet'!J51-'Balance sheet'!I51</f>
        <v>7655.0259491059405</v>
      </c>
      <c r="K63" s="324">
        <f>'Balance sheet'!K51-'Balance sheet'!J51</f>
        <v>7702.5339683374768</v>
      </c>
      <c r="L63" s="324">
        <f>'Balance sheet'!L51-'Balance sheet'!K51</f>
        <v>7595.3547568551076</v>
      </c>
      <c r="M63" s="324">
        <f>'Balance sheet'!M51-'Balance sheet'!L51</f>
        <v>7357.5071649452875</v>
      </c>
      <c r="N63" s="324">
        <f>'Balance sheet'!N51-'Balance sheet'!M51</f>
        <v>7016.5007461468485</v>
      </c>
      <c r="O63" s="324">
        <f>'Balance sheet'!O51-'Balance sheet'!N51</f>
        <v>6600.2360080883955</v>
      </c>
      <c r="P63" s="324">
        <f>'Balance sheet'!P51-'Balance sheet'!O51</f>
        <v>6134.7603825040278</v>
      </c>
      <c r="Q63" s="324">
        <f>'Balance sheet'!Q51-'Balance sheet'!P51</f>
        <v>5642.8745197064563</v>
      </c>
    </row>
    <row r="64" spans="2:17" x14ac:dyDescent="0.25">
      <c r="B64" t="s">
        <v>109</v>
      </c>
      <c r="C64" s="319">
        <v>-1661</v>
      </c>
      <c r="D64" s="319">
        <v>-1702</v>
      </c>
      <c r="E64" s="319">
        <v>-2004</v>
      </c>
      <c r="F64" s="319">
        <v>-2161</v>
      </c>
      <c r="G64" s="319">
        <v>-3172</v>
      </c>
      <c r="H64" s="324"/>
      <c r="I64" s="324"/>
      <c r="J64" s="324"/>
      <c r="K64" s="324"/>
      <c r="L64" s="324"/>
      <c r="M64" s="324"/>
      <c r="N64" s="324"/>
      <c r="O64" s="324"/>
      <c r="P64" s="324"/>
      <c r="Q64" s="324"/>
    </row>
    <row r="65" spans="2:17" x14ac:dyDescent="0.25">
      <c r="B65" t="s">
        <v>110</v>
      </c>
      <c r="C65" s="319">
        <v>-328</v>
      </c>
      <c r="D65" s="319">
        <v>-487</v>
      </c>
      <c r="E65" s="319">
        <v>-544</v>
      </c>
      <c r="F65" s="319">
        <v>-614</v>
      </c>
      <c r="G65" s="319">
        <v>-727</v>
      </c>
      <c r="H65" s="324"/>
      <c r="I65" s="324"/>
      <c r="J65" s="324"/>
      <c r="K65" s="324"/>
      <c r="L65" s="324"/>
      <c r="M65" s="324"/>
      <c r="N65" s="324"/>
      <c r="O65" s="324"/>
      <c r="P65" s="324"/>
      <c r="Q65" s="324"/>
    </row>
    <row r="66" spans="2:17" x14ac:dyDescent="0.25">
      <c r="B66" t="s">
        <v>111</v>
      </c>
      <c r="C66" s="319"/>
      <c r="D66" s="319">
        <v>-1861</v>
      </c>
      <c r="E66" s="319">
        <v>-2034</v>
      </c>
      <c r="F66" s="319">
        <v>-1659</v>
      </c>
      <c r="G66" s="319">
        <v>-1401</v>
      </c>
      <c r="H66" s="324"/>
      <c r="I66" s="324"/>
      <c r="J66" s="324"/>
      <c r="K66" s="324"/>
      <c r="L66" s="324"/>
      <c r="M66" s="324"/>
      <c r="N66" s="324"/>
      <c r="O66" s="324"/>
      <c r="P66" s="324"/>
      <c r="Q66" s="324"/>
    </row>
    <row r="67" spans="2:17" x14ac:dyDescent="0.25">
      <c r="B67" t="s">
        <v>112</v>
      </c>
      <c r="C67" s="319">
        <v>10544</v>
      </c>
      <c r="D67" s="319"/>
      <c r="E67" s="319"/>
      <c r="F67" s="319">
        <v>48556</v>
      </c>
      <c r="G67" s="319"/>
      <c r="H67" s="324"/>
      <c r="I67" s="324"/>
      <c r="J67" s="324"/>
      <c r="K67" s="324"/>
      <c r="L67" s="324"/>
      <c r="M67" s="324"/>
      <c r="N67" s="324"/>
      <c r="O67" s="324"/>
      <c r="P67" s="324"/>
      <c r="Q67" s="324"/>
    </row>
    <row r="68" spans="2:17" x14ac:dyDescent="0.25">
      <c r="B68" t="s">
        <v>113</v>
      </c>
      <c r="C68" s="319"/>
      <c r="D68" s="319">
        <v>-6830</v>
      </c>
      <c r="E68" s="319">
        <v>-5715</v>
      </c>
      <c r="F68" s="319">
        <v>-8604</v>
      </c>
      <c r="G68" s="319">
        <v>-8588</v>
      </c>
      <c r="H68" s="324">
        <f>'Profit &amp; Loss Statement'!H34</f>
        <v>-13626.822598738612</v>
      </c>
      <c r="I68" s="324">
        <f>'Profit &amp; Loss Statement'!I34</f>
        <v>-16975.237230955878</v>
      </c>
      <c r="J68" s="324">
        <f>'Profit &amp; Loss Statement'!J34</f>
        <v>-19828.083607456487</v>
      </c>
      <c r="K68" s="324">
        <f>'Profit &amp; Loss Statement'!K34</f>
        <v>-22814.252176659149</v>
      </c>
      <c r="L68" s="324">
        <f>'Profit &amp; Loss Statement'!L34</f>
        <v>-25575.102108022485</v>
      </c>
      <c r="M68" s="324">
        <f>'Profit &amp; Loss Statement'!M34</f>
        <v>-28401.690221888202</v>
      </c>
      <c r="N68" s="324">
        <f>'Profit &amp; Loss Statement'!N34</f>
        <v>-30875.10130985338</v>
      </c>
      <c r="O68" s="324">
        <f>'Profit &amp; Loss Statement'!O34</f>
        <v>-33388.254167224033</v>
      </c>
      <c r="P68" s="324">
        <f>'Profit &amp; Loss Statement'!P34</f>
        <v>-35577.187831474657</v>
      </c>
      <c r="Q68" s="324">
        <f>'Profit &amp; Loss Statement'!Q34</f>
        <v>-37713.513150963809</v>
      </c>
    </row>
    <row r="69" spans="2:17" x14ac:dyDescent="0.25">
      <c r="B69" t="s">
        <v>114</v>
      </c>
      <c r="C69" s="319">
        <v>72</v>
      </c>
      <c r="D69" s="319">
        <v>171</v>
      </c>
      <c r="E69" s="319">
        <v>147</v>
      </c>
      <c r="F69" s="319">
        <v>181</v>
      </c>
      <c r="G69" s="319">
        <v>185</v>
      </c>
      <c r="H69" s="324"/>
      <c r="I69" s="324"/>
      <c r="J69" s="324"/>
      <c r="K69" s="324"/>
      <c r="L69" s="324"/>
      <c r="M69" s="324"/>
      <c r="N69" s="324"/>
      <c r="O69" s="324"/>
      <c r="P69" s="324"/>
      <c r="Q69" s="324"/>
    </row>
    <row r="70" spans="2:17" x14ac:dyDescent="0.25">
      <c r="B70" t="s">
        <v>115</v>
      </c>
      <c r="C70" s="319">
        <v>-281</v>
      </c>
      <c r="D70" s="319">
        <v>-328</v>
      </c>
      <c r="E70" s="319">
        <v>-1534</v>
      </c>
      <c r="F70" s="319">
        <v>-3305</v>
      </c>
      <c r="G70" s="319">
        <v>-8401</v>
      </c>
      <c r="H70" s="324">
        <f>-'Profit &amp; Loss Statement'!H25</f>
        <v>-7067.1936423690486</v>
      </c>
      <c r="I70" s="324">
        <f>-'Profit &amp; Loss Statement'!I25</f>
        <v>-6464.9743163706171</v>
      </c>
      <c r="J70" s="324">
        <f>-'Profit &amp; Loss Statement'!J25</f>
        <v>-7611.772427519988</v>
      </c>
      <c r="K70" s="324">
        <f>-'Profit &amp; Loss Statement'!K25</f>
        <v>-8778.8206037420587</v>
      </c>
      <c r="L70" s="324">
        <f>-'Profit &amp; Loss Statement'!L25</f>
        <v>-9941.3342603878646</v>
      </c>
      <c r="M70" s="324">
        <f>-'Profit &amp; Loss Statement'!M25</f>
        <v>-11077.628719204646</v>
      </c>
      <c r="N70" s="324">
        <f>-'Profit &amp; Loss Statement'!N25</f>
        <v>-12169.935036602643</v>
      </c>
      <c r="O70" s="324">
        <f>-'Profit &amp; Loss Statement'!O25</f>
        <v>-13204.694977670917</v>
      </c>
      <c r="P70" s="324">
        <f>-'Profit &amp; Loss Statement'!P25</f>
        <v>-14172.44990695201</v>
      </c>
      <c r="Q70" s="324">
        <f>-'Profit &amp; Loss Statement'!Q25</f>
        <v>-15067.453241252679</v>
      </c>
    </row>
    <row r="71" spans="2:17" x14ac:dyDescent="0.25">
      <c r="C71" s="319"/>
      <c r="D71" s="319"/>
      <c r="E71" s="319"/>
      <c r="F71" s="319"/>
      <c r="G71" s="319"/>
      <c r="H71" s="150"/>
      <c r="I71" s="150"/>
      <c r="J71" s="150"/>
      <c r="K71" s="150"/>
      <c r="L71" s="150"/>
      <c r="M71" s="150"/>
      <c r="N71" s="150"/>
      <c r="O71" s="150"/>
      <c r="P71" s="150"/>
      <c r="Q71" s="150"/>
    </row>
    <row r="72" spans="2:17" x14ac:dyDescent="0.25">
      <c r="B72" s="8" t="s">
        <v>116</v>
      </c>
      <c r="C72" s="320">
        <f>SUM(C58:C70)</f>
        <v>16984</v>
      </c>
      <c r="D72" s="320">
        <f t="shared" ref="D72:H72" si="26">SUM(D58:D70)</f>
        <v>-9078</v>
      </c>
      <c r="E72" s="320">
        <f t="shared" si="26"/>
        <v>7207</v>
      </c>
      <c r="F72" s="320">
        <f t="shared" si="26"/>
        <v>36347</v>
      </c>
      <c r="G72" s="320">
        <f t="shared" si="26"/>
        <v>49945</v>
      </c>
      <c r="H72" s="320">
        <f t="shared" si="26"/>
        <v>-39532.713130006909</v>
      </c>
      <c r="I72" s="320">
        <f t="shared" ref="I72:Q72" si="27">SUM(I58:I70)</f>
        <v>-16004.154656818713</v>
      </c>
      <c r="J72" s="320">
        <f t="shared" si="27"/>
        <v>-19784.830085870533</v>
      </c>
      <c r="K72" s="320">
        <f t="shared" si="27"/>
        <v>-23890.538812063729</v>
      </c>
      <c r="L72" s="320">
        <f t="shared" si="27"/>
        <v>-27921.081611555244</v>
      </c>
      <c r="M72" s="320">
        <f t="shared" si="27"/>
        <v>-32121.811776147559</v>
      </c>
      <c r="N72" s="320">
        <f t="shared" si="27"/>
        <v>-36028.535600309173</v>
      </c>
      <c r="O72" s="320">
        <f t="shared" si="27"/>
        <v>-39992.713136806553</v>
      </c>
      <c r="P72" s="320">
        <f t="shared" si="27"/>
        <v>-43614.877355922639</v>
      </c>
      <c r="Q72" s="320">
        <f t="shared" si="27"/>
        <v>-47138.091872510035</v>
      </c>
    </row>
    <row r="73" spans="2:17" x14ac:dyDescent="0.25">
      <c r="C73" s="150"/>
      <c r="D73" s="150"/>
      <c r="E73" s="150"/>
      <c r="F73" s="150"/>
      <c r="G73" s="150"/>
      <c r="H73" s="150"/>
      <c r="I73" s="150"/>
      <c r="J73" s="150"/>
      <c r="K73" s="150"/>
      <c r="L73" s="150"/>
      <c r="M73" s="150"/>
      <c r="N73" s="150"/>
      <c r="O73" s="150"/>
      <c r="P73" s="150"/>
      <c r="Q73" s="150"/>
    </row>
    <row r="74" spans="2:17" x14ac:dyDescent="0.25">
      <c r="B74" t="s">
        <v>117</v>
      </c>
      <c r="C74" s="319">
        <f>C72+C55+C41</f>
        <v>2938</v>
      </c>
      <c r="D74" s="319">
        <f t="shared" ref="D74:F74" si="28">D72+D55+D41</f>
        <v>-1874</v>
      </c>
      <c r="E74" s="319">
        <f t="shared" si="28"/>
        <v>-7178</v>
      </c>
      <c r="F74" s="319">
        <f t="shared" si="28"/>
        <v>10962</v>
      </c>
      <c r="G74" s="319">
        <v>-2628</v>
      </c>
      <c r="H74" s="324">
        <f>H72+H55+H41</f>
        <v>12153.708035063326</v>
      </c>
      <c r="I74" s="324">
        <f t="shared" ref="I74:Q74" si="29">I72+I55+I41</f>
        <v>21840.185588179018</v>
      </c>
      <c r="J74" s="324">
        <f t="shared" si="29"/>
        <v>26766.284410348722</v>
      </c>
      <c r="K74" s="324">
        <f t="shared" si="29"/>
        <v>32010.870167405963</v>
      </c>
      <c r="L74" s="324">
        <f t="shared" si="29"/>
        <v>37065.497067131764</v>
      </c>
      <c r="M74" s="324">
        <f t="shared" si="29"/>
        <v>42281.277037698936</v>
      </c>
      <c r="N74" s="324">
        <f t="shared" si="29"/>
        <v>47032.47909924954</v>
      </c>
      <c r="O74" s="324">
        <f t="shared" si="29"/>
        <v>51848.643413374542</v>
      </c>
      <c r="P74" s="324">
        <f t="shared" si="29"/>
        <v>56203.494395215705</v>
      </c>
      <c r="Q74" s="324">
        <f t="shared" si="29"/>
        <v>60414.509652284047</v>
      </c>
    </row>
    <row r="75" spans="2:17" x14ac:dyDescent="0.25">
      <c r="B75" t="s">
        <v>118</v>
      </c>
      <c r="C75" s="319">
        <v>-6</v>
      </c>
      <c r="D75" s="319">
        <v>20</v>
      </c>
      <c r="E75" s="319">
        <v>323</v>
      </c>
      <c r="F75" s="319">
        <v>55</v>
      </c>
      <c r="G75" s="319">
        <v>19</v>
      </c>
      <c r="H75" s="324"/>
      <c r="I75" s="324"/>
      <c r="J75" s="324"/>
      <c r="K75" s="324"/>
      <c r="L75" s="324"/>
      <c r="M75" s="324"/>
      <c r="N75" s="324"/>
      <c r="O75" s="324"/>
      <c r="P75" s="324"/>
      <c r="Q75" s="324"/>
    </row>
    <row r="76" spans="2:17" x14ac:dyDescent="0.25">
      <c r="B76" t="s">
        <v>119</v>
      </c>
      <c r="C76" s="319">
        <v>4353</v>
      </c>
      <c r="D76" s="319">
        <f>C79</f>
        <v>8583</v>
      </c>
      <c r="E76" s="319">
        <f>D79</f>
        <v>6729</v>
      </c>
      <c r="F76" s="319">
        <v>6999</v>
      </c>
      <c r="G76" s="319">
        <v>11470</v>
      </c>
      <c r="H76" s="324">
        <f>G79</f>
        <v>11912</v>
      </c>
      <c r="I76" s="324">
        <f t="shared" ref="I76:Q76" si="30">H79</f>
        <v>24065.708035063326</v>
      </c>
      <c r="J76" s="324">
        <f t="shared" si="30"/>
        <v>45905.893623242344</v>
      </c>
      <c r="K76" s="324">
        <f t="shared" si="30"/>
        <v>72672.178033591073</v>
      </c>
      <c r="L76" s="324">
        <f t="shared" si="30"/>
        <v>104683.04820099703</v>
      </c>
      <c r="M76" s="324">
        <f t="shared" si="30"/>
        <v>141748.5452681288</v>
      </c>
      <c r="N76" s="324">
        <f t="shared" si="30"/>
        <v>184029.82230582775</v>
      </c>
      <c r="O76" s="324">
        <f t="shared" si="30"/>
        <v>231062.30140507728</v>
      </c>
      <c r="P76" s="324">
        <f t="shared" si="30"/>
        <v>282910.94481845183</v>
      </c>
      <c r="Q76" s="324">
        <f t="shared" si="30"/>
        <v>339114.43921366753</v>
      </c>
    </row>
    <row r="77" spans="2:17" x14ac:dyDescent="0.25">
      <c r="B77" t="s">
        <v>120</v>
      </c>
      <c r="C77" s="319">
        <v>1298</v>
      </c>
      <c r="D77" s="319"/>
      <c r="E77" s="319">
        <v>6</v>
      </c>
      <c r="F77" s="319"/>
      <c r="G77" s="319">
        <v>3624</v>
      </c>
      <c r="H77" s="324"/>
      <c r="I77" s="324"/>
      <c r="J77" s="324"/>
      <c r="K77" s="324"/>
      <c r="L77" s="324"/>
      <c r="M77" s="324"/>
      <c r="N77" s="324"/>
      <c r="O77" s="324"/>
      <c r="P77" s="324"/>
      <c r="Q77" s="324"/>
    </row>
    <row r="78" spans="2:17" x14ac:dyDescent="0.25">
      <c r="B78" t="s">
        <v>126</v>
      </c>
      <c r="C78" s="319"/>
      <c r="D78" s="319"/>
      <c r="E78" s="319"/>
      <c r="F78" s="319">
        <v>-7119</v>
      </c>
      <c r="G78" s="319">
        <v>-573</v>
      </c>
      <c r="H78" s="324"/>
      <c r="I78" s="324"/>
      <c r="J78" s="324"/>
      <c r="K78" s="324"/>
      <c r="L78" s="324"/>
      <c r="M78" s="324"/>
      <c r="N78" s="324"/>
      <c r="O78" s="324"/>
      <c r="P78" s="324"/>
      <c r="Q78" s="324"/>
    </row>
    <row r="79" spans="2:17" x14ac:dyDescent="0.25">
      <c r="B79" s="8" t="s">
        <v>121</v>
      </c>
      <c r="C79" s="320">
        <f t="shared" ref="C79:E79" si="31">SUM(C74:C78)</f>
        <v>8583</v>
      </c>
      <c r="D79" s="320">
        <f t="shared" si="31"/>
        <v>6729</v>
      </c>
      <c r="E79" s="320">
        <f t="shared" si="31"/>
        <v>-120</v>
      </c>
      <c r="F79" s="320">
        <f>SUM(F74:F78)</f>
        <v>10897</v>
      </c>
      <c r="G79" s="320">
        <f>SUM(G74:G78)</f>
        <v>11912</v>
      </c>
      <c r="H79" s="320">
        <f>SUM(H74:H78)</f>
        <v>24065.708035063326</v>
      </c>
      <c r="I79" s="320">
        <f t="shared" ref="I79:Q79" si="32">SUM(I74:I78)</f>
        <v>45905.893623242344</v>
      </c>
      <c r="J79" s="320">
        <f t="shared" si="32"/>
        <v>72672.178033591073</v>
      </c>
      <c r="K79" s="320">
        <f t="shared" si="32"/>
        <v>104683.04820099703</v>
      </c>
      <c r="L79" s="320">
        <f t="shared" si="32"/>
        <v>141748.5452681288</v>
      </c>
      <c r="M79" s="320">
        <f t="shared" si="32"/>
        <v>184029.82230582775</v>
      </c>
      <c r="N79" s="320">
        <f t="shared" si="32"/>
        <v>231062.30140507728</v>
      </c>
      <c r="O79" s="320">
        <f t="shared" si="32"/>
        <v>282910.94481845183</v>
      </c>
      <c r="P79" s="320">
        <f t="shared" si="32"/>
        <v>339114.43921366753</v>
      </c>
      <c r="Q79" s="320">
        <f t="shared" si="32"/>
        <v>399528.94886595156</v>
      </c>
    </row>
    <row r="81" spans="2:17" x14ac:dyDescent="0.25">
      <c r="B81" s="222"/>
      <c r="C81" s="275"/>
      <c r="D81" s="275"/>
      <c r="E81" s="275"/>
      <c r="F81" s="275"/>
      <c r="G81" s="275"/>
      <c r="H81" s="222"/>
      <c r="I81" s="222"/>
      <c r="J81" s="222"/>
      <c r="K81" s="222"/>
      <c r="L81" s="222"/>
      <c r="M81" s="222"/>
      <c r="N81" s="222"/>
      <c r="O81" s="222"/>
      <c r="P81" s="222"/>
      <c r="Q81" s="222"/>
    </row>
    <row r="83" spans="2:17" x14ac:dyDescent="0.25">
      <c r="E83" s="4"/>
      <c r="F83" s="4"/>
      <c r="G83" s="4"/>
      <c r="H83" s="4"/>
      <c r="I83" s="4"/>
      <c r="J83" s="4"/>
      <c r="K83" s="4"/>
      <c r="L83" s="4"/>
      <c r="M83" s="4"/>
      <c r="N83" s="4"/>
      <c r="O83" s="4"/>
      <c r="P83" s="4"/>
      <c r="Q83" s="4"/>
    </row>
    <row r="85" spans="2:17" x14ac:dyDescent="0.25">
      <c r="H85" s="4"/>
    </row>
  </sheetData>
  <mergeCells count="2">
    <mergeCell ref="B5:Q5"/>
    <mergeCell ref="B7:B8"/>
  </mergeCell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G2488"/>
  <sheetViews>
    <sheetView showGridLines="0" topLeftCell="A9" workbookViewId="0">
      <selection activeCell="C9" sqref="C9"/>
    </sheetView>
  </sheetViews>
  <sheetFormatPr defaultRowHeight="15" x14ac:dyDescent="0.25"/>
  <cols>
    <col min="1" max="1" width="1.85546875" customWidth="1"/>
    <col min="2" max="2" width="10.140625" bestFit="1" customWidth="1"/>
    <col min="3" max="3" width="10.7109375" bestFit="1" customWidth="1"/>
  </cols>
  <sheetData>
    <row r="5" spans="2:7" x14ac:dyDescent="0.25">
      <c r="B5" s="422" t="s">
        <v>362</v>
      </c>
      <c r="C5" s="422"/>
      <c r="D5" s="422"/>
      <c r="E5" s="422"/>
      <c r="F5" s="422"/>
      <c r="G5" s="422"/>
    </row>
    <row r="7" spans="2:7" x14ac:dyDescent="0.25">
      <c r="B7" s="425" t="s">
        <v>177</v>
      </c>
      <c r="C7" s="425"/>
      <c r="E7" s="47" t="s">
        <v>178</v>
      </c>
      <c r="F7" s="48" t="s">
        <v>179</v>
      </c>
      <c r="G7" s="49"/>
    </row>
    <row r="9" spans="2:7" ht="15.75" thickBot="1" x14ac:dyDescent="0.3">
      <c r="B9" s="50" t="s">
        <v>180</v>
      </c>
      <c r="C9" s="50" t="s">
        <v>181</v>
      </c>
      <c r="E9" s="51" t="s">
        <v>182</v>
      </c>
      <c r="F9" s="52">
        <f>YEARFRAC(B10,B2488)</f>
        <v>10</v>
      </c>
    </row>
    <row r="10" spans="2:7" x14ac:dyDescent="0.25">
      <c r="B10" s="55">
        <v>42376</v>
      </c>
      <c r="C10" s="290">
        <v>24851.83</v>
      </c>
      <c r="E10" s="51" t="s">
        <v>183</v>
      </c>
      <c r="F10" s="54">
        <f>_xlfn.RRI(F9,C10,C2488)</f>
        <v>0.13080103077300076</v>
      </c>
    </row>
    <row r="11" spans="2:7" x14ac:dyDescent="0.25">
      <c r="B11" s="53">
        <v>42377</v>
      </c>
      <c r="C11" s="291">
        <v>24934.33</v>
      </c>
    </row>
    <row r="12" spans="2:7" x14ac:dyDescent="0.25">
      <c r="B12" s="53">
        <v>42380</v>
      </c>
      <c r="C12" s="291">
        <v>24825.040000000001</v>
      </c>
    </row>
    <row r="13" spans="2:7" x14ac:dyDescent="0.25">
      <c r="B13" s="53">
        <v>42381</v>
      </c>
      <c r="C13" s="291">
        <v>24682.03</v>
      </c>
    </row>
    <row r="14" spans="2:7" x14ac:dyDescent="0.25">
      <c r="B14" s="53">
        <v>42382</v>
      </c>
      <c r="C14" s="291">
        <v>24854.11</v>
      </c>
    </row>
    <row r="15" spans="2:7" x14ac:dyDescent="0.25">
      <c r="B15" s="53">
        <v>42383</v>
      </c>
      <c r="C15" s="291">
        <v>24772.97</v>
      </c>
    </row>
    <row r="16" spans="2:7" x14ac:dyDescent="0.25">
      <c r="B16" s="53">
        <v>42384</v>
      </c>
      <c r="C16" s="291">
        <v>24455.040000000001</v>
      </c>
    </row>
    <row r="17" spans="2:3" x14ac:dyDescent="0.25">
      <c r="B17" s="53">
        <v>42387</v>
      </c>
      <c r="C17" s="291">
        <v>24188.37</v>
      </c>
    </row>
    <row r="18" spans="2:3" x14ac:dyDescent="0.25">
      <c r="B18" s="53">
        <v>42388</v>
      </c>
      <c r="C18" s="291">
        <v>24479.84</v>
      </c>
    </row>
    <row r="19" spans="2:3" x14ac:dyDescent="0.25">
      <c r="B19" s="53">
        <v>42389</v>
      </c>
      <c r="C19" s="291">
        <v>24062.04</v>
      </c>
    </row>
    <row r="20" spans="2:3" x14ac:dyDescent="0.25">
      <c r="B20" s="53">
        <v>42390</v>
      </c>
      <c r="C20" s="291">
        <v>23962.21</v>
      </c>
    </row>
    <row r="21" spans="2:3" x14ac:dyDescent="0.25">
      <c r="B21" s="53">
        <v>42391</v>
      </c>
      <c r="C21" s="291">
        <v>24435.66</v>
      </c>
    </row>
    <row r="22" spans="2:3" x14ac:dyDescent="0.25">
      <c r="B22" s="53">
        <v>42394</v>
      </c>
      <c r="C22" s="291">
        <v>24485.95</v>
      </c>
    </row>
    <row r="23" spans="2:3" x14ac:dyDescent="0.25">
      <c r="B23" s="53">
        <v>42396</v>
      </c>
      <c r="C23" s="291">
        <v>24492.39</v>
      </c>
    </row>
    <row r="24" spans="2:3" x14ac:dyDescent="0.25">
      <c r="B24" s="53">
        <v>42397</v>
      </c>
      <c r="C24" s="291">
        <v>24469.57</v>
      </c>
    </row>
    <row r="25" spans="2:3" x14ac:dyDescent="0.25">
      <c r="B25" s="53">
        <v>42398</v>
      </c>
      <c r="C25" s="291">
        <v>24870.69</v>
      </c>
    </row>
    <row r="26" spans="2:3" x14ac:dyDescent="0.25">
      <c r="B26" s="53">
        <v>42401</v>
      </c>
      <c r="C26" s="291">
        <v>24824.83</v>
      </c>
    </row>
    <row r="27" spans="2:3" x14ac:dyDescent="0.25">
      <c r="B27" s="53">
        <v>42402</v>
      </c>
      <c r="C27" s="291">
        <v>24539</v>
      </c>
    </row>
    <row r="28" spans="2:3" x14ac:dyDescent="0.25">
      <c r="B28" s="53">
        <v>42403</v>
      </c>
      <c r="C28" s="291">
        <v>24223.32</v>
      </c>
    </row>
    <row r="29" spans="2:3" x14ac:dyDescent="0.25">
      <c r="B29" s="53">
        <v>42404</v>
      </c>
      <c r="C29" s="291">
        <v>24338.43</v>
      </c>
    </row>
    <row r="30" spans="2:3" x14ac:dyDescent="0.25">
      <c r="B30" s="53">
        <v>42405</v>
      </c>
      <c r="C30" s="291">
        <v>24616.97</v>
      </c>
    </row>
    <row r="31" spans="2:3" x14ac:dyDescent="0.25">
      <c r="B31" s="53">
        <v>42408</v>
      </c>
      <c r="C31" s="291">
        <v>24287.42</v>
      </c>
    </row>
    <row r="32" spans="2:3" x14ac:dyDescent="0.25">
      <c r="B32" s="53">
        <v>42409</v>
      </c>
      <c r="C32" s="291">
        <v>24020.98</v>
      </c>
    </row>
    <row r="33" spans="2:3" x14ac:dyDescent="0.25">
      <c r="B33" s="53">
        <v>42410</v>
      </c>
      <c r="C33" s="291">
        <v>23758.9</v>
      </c>
    </row>
    <row r="34" spans="2:3" x14ac:dyDescent="0.25">
      <c r="B34" s="53">
        <v>42411</v>
      </c>
      <c r="C34" s="291">
        <v>22951.83</v>
      </c>
    </row>
    <row r="35" spans="2:3" x14ac:dyDescent="0.25">
      <c r="B35" s="53">
        <v>42412</v>
      </c>
      <c r="C35" s="291">
        <v>22986.12</v>
      </c>
    </row>
    <row r="36" spans="2:3" x14ac:dyDescent="0.25">
      <c r="B36" s="53">
        <v>42415</v>
      </c>
      <c r="C36" s="291">
        <v>23554.12</v>
      </c>
    </row>
    <row r="37" spans="2:3" x14ac:dyDescent="0.25">
      <c r="B37" s="53">
        <v>42416</v>
      </c>
      <c r="C37" s="291">
        <v>23191.97</v>
      </c>
    </row>
    <row r="38" spans="2:3" x14ac:dyDescent="0.25">
      <c r="B38" s="53">
        <v>42417</v>
      </c>
      <c r="C38" s="291">
        <v>23381.87</v>
      </c>
    </row>
    <row r="39" spans="2:3" x14ac:dyDescent="0.25">
      <c r="B39" s="53">
        <v>42418</v>
      </c>
      <c r="C39" s="291">
        <v>23649.22</v>
      </c>
    </row>
    <row r="40" spans="2:3" x14ac:dyDescent="0.25">
      <c r="B40" s="53">
        <v>42419</v>
      </c>
      <c r="C40" s="291">
        <v>23709.15</v>
      </c>
    </row>
    <row r="41" spans="2:3" x14ac:dyDescent="0.25">
      <c r="B41" s="53">
        <v>42422</v>
      </c>
      <c r="C41" s="291">
        <v>23788.79</v>
      </c>
    </row>
    <row r="42" spans="2:3" x14ac:dyDescent="0.25">
      <c r="B42" s="53">
        <v>42423</v>
      </c>
      <c r="C42" s="291">
        <v>23410.18</v>
      </c>
    </row>
    <row r="43" spans="2:3" x14ac:dyDescent="0.25">
      <c r="B43" s="53">
        <v>42424</v>
      </c>
      <c r="C43" s="291">
        <v>23088.93</v>
      </c>
    </row>
    <row r="44" spans="2:3" x14ac:dyDescent="0.25">
      <c r="B44" s="53">
        <v>42425</v>
      </c>
      <c r="C44" s="291">
        <v>22976</v>
      </c>
    </row>
    <row r="45" spans="2:3" x14ac:dyDescent="0.25">
      <c r="B45" s="53">
        <v>42426</v>
      </c>
      <c r="C45" s="291">
        <v>23154.3</v>
      </c>
    </row>
    <row r="46" spans="2:3" x14ac:dyDescent="0.25">
      <c r="B46" s="53">
        <v>42429</v>
      </c>
      <c r="C46" s="291">
        <v>23002</v>
      </c>
    </row>
    <row r="47" spans="2:3" x14ac:dyDescent="0.25">
      <c r="B47" s="53">
        <v>42430</v>
      </c>
      <c r="C47" s="291">
        <v>23779.35</v>
      </c>
    </row>
    <row r="48" spans="2:3" x14ac:dyDescent="0.25">
      <c r="B48" s="53">
        <v>42431</v>
      </c>
      <c r="C48" s="291">
        <v>24242.98</v>
      </c>
    </row>
    <row r="49" spans="2:3" x14ac:dyDescent="0.25">
      <c r="B49" s="53">
        <v>42432</v>
      </c>
      <c r="C49" s="291">
        <v>24606.99</v>
      </c>
    </row>
    <row r="50" spans="2:3" x14ac:dyDescent="0.25">
      <c r="B50" s="53">
        <v>42433</v>
      </c>
      <c r="C50" s="291">
        <v>24646.48</v>
      </c>
    </row>
    <row r="51" spans="2:3" x14ac:dyDescent="0.25">
      <c r="B51" s="53">
        <v>42437</v>
      </c>
      <c r="C51" s="291">
        <v>24659.23</v>
      </c>
    </row>
    <row r="52" spans="2:3" x14ac:dyDescent="0.25">
      <c r="B52" s="53">
        <v>42438</v>
      </c>
      <c r="C52" s="291">
        <v>24793.96</v>
      </c>
    </row>
    <row r="53" spans="2:3" x14ac:dyDescent="0.25">
      <c r="B53" s="53">
        <v>42439</v>
      </c>
      <c r="C53" s="291">
        <v>24623.34</v>
      </c>
    </row>
    <row r="54" spans="2:3" x14ac:dyDescent="0.25">
      <c r="B54" s="53">
        <v>42440</v>
      </c>
      <c r="C54" s="291">
        <v>24717.99</v>
      </c>
    </row>
    <row r="55" spans="2:3" x14ac:dyDescent="0.25">
      <c r="B55" s="53">
        <v>42443</v>
      </c>
      <c r="C55" s="291">
        <v>24804.28</v>
      </c>
    </row>
    <row r="56" spans="2:3" x14ac:dyDescent="0.25">
      <c r="B56" s="53">
        <v>42444</v>
      </c>
      <c r="C56" s="291">
        <v>24551.17</v>
      </c>
    </row>
    <row r="57" spans="2:3" x14ac:dyDescent="0.25">
      <c r="B57" s="53">
        <v>42445</v>
      </c>
      <c r="C57" s="291">
        <v>24682.48</v>
      </c>
    </row>
    <row r="58" spans="2:3" x14ac:dyDescent="0.25">
      <c r="B58" s="53">
        <v>42446</v>
      </c>
      <c r="C58" s="291">
        <v>24677.37</v>
      </c>
    </row>
    <row r="59" spans="2:3" x14ac:dyDescent="0.25">
      <c r="B59" s="53">
        <v>42447</v>
      </c>
      <c r="C59" s="291">
        <v>24952.74</v>
      </c>
    </row>
    <row r="60" spans="2:3" x14ac:dyDescent="0.25">
      <c r="B60" s="53">
        <v>42450</v>
      </c>
      <c r="C60" s="291">
        <v>25285.37</v>
      </c>
    </row>
    <row r="61" spans="2:3" x14ac:dyDescent="0.25">
      <c r="B61" s="53">
        <v>42451</v>
      </c>
      <c r="C61" s="291">
        <v>25330.49</v>
      </c>
    </row>
    <row r="62" spans="2:3" x14ac:dyDescent="0.25">
      <c r="B62" s="53">
        <v>42452</v>
      </c>
      <c r="C62" s="291">
        <v>25337.56</v>
      </c>
    </row>
    <row r="63" spans="2:3" x14ac:dyDescent="0.25">
      <c r="B63" s="53">
        <v>42457</v>
      </c>
      <c r="C63" s="291">
        <v>24966.400000000001</v>
      </c>
    </row>
    <row r="64" spans="2:3" x14ac:dyDescent="0.25">
      <c r="B64" s="53">
        <v>42458</v>
      </c>
      <c r="C64" s="291">
        <v>24900.46</v>
      </c>
    </row>
    <row r="65" spans="2:3" x14ac:dyDescent="0.25">
      <c r="B65" s="53">
        <v>42459</v>
      </c>
      <c r="C65" s="291">
        <v>25338.58</v>
      </c>
    </row>
    <row r="66" spans="2:3" x14ac:dyDescent="0.25">
      <c r="B66" s="53">
        <v>42460</v>
      </c>
      <c r="C66" s="291">
        <v>25341.86</v>
      </c>
    </row>
    <row r="67" spans="2:3" x14ac:dyDescent="0.25">
      <c r="B67" s="53">
        <v>42461</v>
      </c>
      <c r="C67" s="291">
        <v>25269.64</v>
      </c>
    </row>
    <row r="68" spans="2:3" x14ac:dyDescent="0.25">
      <c r="B68" s="53">
        <v>42464</v>
      </c>
      <c r="C68" s="291">
        <v>25399.65</v>
      </c>
    </row>
    <row r="69" spans="2:3" x14ac:dyDescent="0.25">
      <c r="B69" s="53">
        <v>42465</v>
      </c>
      <c r="C69" s="291">
        <v>24883.59</v>
      </c>
    </row>
    <row r="70" spans="2:3" x14ac:dyDescent="0.25">
      <c r="B70" s="53">
        <v>42466</v>
      </c>
      <c r="C70" s="291">
        <v>24900.63</v>
      </c>
    </row>
    <row r="71" spans="2:3" x14ac:dyDescent="0.25">
      <c r="B71" s="53">
        <v>42467</v>
      </c>
      <c r="C71" s="291">
        <v>24685.42</v>
      </c>
    </row>
    <row r="72" spans="2:3" x14ac:dyDescent="0.25">
      <c r="B72" s="53">
        <v>42468</v>
      </c>
      <c r="C72" s="291">
        <v>24673.84</v>
      </c>
    </row>
    <row r="73" spans="2:3" x14ac:dyDescent="0.25">
      <c r="B73" s="53">
        <v>42471</v>
      </c>
      <c r="C73" s="291">
        <v>25022.16</v>
      </c>
    </row>
    <row r="74" spans="2:3" x14ac:dyDescent="0.25">
      <c r="B74" s="53">
        <v>42472</v>
      </c>
      <c r="C74" s="291">
        <v>25145.59</v>
      </c>
    </row>
    <row r="75" spans="2:3" x14ac:dyDescent="0.25">
      <c r="B75" s="53">
        <v>42473</v>
      </c>
      <c r="C75" s="291">
        <v>25626.75</v>
      </c>
    </row>
    <row r="76" spans="2:3" x14ac:dyDescent="0.25">
      <c r="B76" s="53">
        <v>42478</v>
      </c>
      <c r="C76" s="291">
        <v>25816.36</v>
      </c>
    </row>
    <row r="77" spans="2:3" x14ac:dyDescent="0.25">
      <c r="B77" s="53">
        <v>42480</v>
      </c>
      <c r="C77" s="291">
        <v>25844.18</v>
      </c>
    </row>
    <row r="78" spans="2:3" x14ac:dyDescent="0.25">
      <c r="B78" s="53">
        <v>42481</v>
      </c>
      <c r="C78" s="291">
        <v>25880.38</v>
      </c>
    </row>
    <row r="79" spans="2:3" x14ac:dyDescent="0.25">
      <c r="B79" s="53">
        <v>42482</v>
      </c>
      <c r="C79" s="291">
        <v>25838.14</v>
      </c>
    </row>
    <row r="80" spans="2:3" x14ac:dyDescent="0.25">
      <c r="B80" s="53">
        <v>42485</v>
      </c>
      <c r="C80" s="291">
        <v>25678.93</v>
      </c>
    </row>
    <row r="81" spans="2:3" x14ac:dyDescent="0.25">
      <c r="B81" s="53">
        <v>42486</v>
      </c>
      <c r="C81" s="291">
        <v>26007.3</v>
      </c>
    </row>
    <row r="82" spans="2:3" x14ac:dyDescent="0.25">
      <c r="B82" s="53">
        <v>42487</v>
      </c>
      <c r="C82" s="291">
        <v>26064.12</v>
      </c>
    </row>
    <row r="83" spans="2:3" x14ac:dyDescent="0.25">
      <c r="B83" s="53">
        <v>42488</v>
      </c>
      <c r="C83" s="291">
        <v>25603.1</v>
      </c>
    </row>
    <row r="84" spans="2:3" x14ac:dyDescent="0.25">
      <c r="B84" s="53">
        <v>42489</v>
      </c>
      <c r="C84" s="291">
        <v>25606.62</v>
      </c>
    </row>
    <row r="85" spans="2:3" x14ac:dyDescent="0.25">
      <c r="B85" s="53">
        <v>42492</v>
      </c>
      <c r="C85" s="291">
        <v>25436.97</v>
      </c>
    </row>
    <row r="86" spans="2:3" x14ac:dyDescent="0.25">
      <c r="B86" s="53">
        <v>42493</v>
      </c>
      <c r="C86" s="291">
        <v>25229.7</v>
      </c>
    </row>
    <row r="87" spans="2:3" x14ac:dyDescent="0.25">
      <c r="B87" s="53">
        <v>42494</v>
      </c>
      <c r="C87" s="291">
        <v>25101.73</v>
      </c>
    </row>
    <row r="88" spans="2:3" x14ac:dyDescent="0.25">
      <c r="B88" s="53">
        <v>42495</v>
      </c>
      <c r="C88" s="291">
        <v>25262.21</v>
      </c>
    </row>
    <row r="89" spans="2:3" x14ac:dyDescent="0.25">
      <c r="B89" s="53">
        <v>42496</v>
      </c>
      <c r="C89" s="291">
        <v>25228.5</v>
      </c>
    </row>
    <row r="90" spans="2:3" x14ac:dyDescent="0.25">
      <c r="B90" s="53">
        <v>42499</v>
      </c>
      <c r="C90" s="291">
        <v>25688.86</v>
      </c>
    </row>
    <row r="91" spans="2:3" x14ac:dyDescent="0.25">
      <c r="B91" s="53">
        <v>42500</v>
      </c>
      <c r="C91" s="291">
        <v>25772.53</v>
      </c>
    </row>
    <row r="92" spans="2:3" x14ac:dyDescent="0.25">
      <c r="B92" s="53">
        <v>42501</v>
      </c>
      <c r="C92" s="291">
        <v>25597.02</v>
      </c>
    </row>
    <row r="93" spans="2:3" x14ac:dyDescent="0.25">
      <c r="B93" s="53">
        <v>42502</v>
      </c>
      <c r="C93" s="291">
        <v>25790.22</v>
      </c>
    </row>
    <row r="94" spans="2:3" x14ac:dyDescent="0.25">
      <c r="B94" s="53">
        <v>42503</v>
      </c>
      <c r="C94" s="291">
        <v>25489.57</v>
      </c>
    </row>
    <row r="95" spans="2:3" x14ac:dyDescent="0.25">
      <c r="B95" s="53">
        <v>42506</v>
      </c>
      <c r="C95" s="291">
        <v>25653.23</v>
      </c>
    </row>
    <row r="96" spans="2:3" x14ac:dyDescent="0.25">
      <c r="B96" s="53">
        <v>42507</v>
      </c>
      <c r="C96" s="291">
        <v>25773.61</v>
      </c>
    </row>
    <row r="97" spans="2:3" x14ac:dyDescent="0.25">
      <c r="B97" s="53">
        <v>42508</v>
      </c>
      <c r="C97" s="291">
        <v>25704.61</v>
      </c>
    </row>
    <row r="98" spans="2:3" x14ac:dyDescent="0.25">
      <c r="B98" s="53">
        <v>42509</v>
      </c>
      <c r="C98" s="291">
        <v>25399.72</v>
      </c>
    </row>
    <row r="99" spans="2:3" x14ac:dyDescent="0.25">
      <c r="B99" s="53">
        <v>42510</v>
      </c>
      <c r="C99" s="291">
        <v>25301.9</v>
      </c>
    </row>
    <row r="100" spans="2:3" x14ac:dyDescent="0.25">
      <c r="B100" s="53">
        <v>42513</v>
      </c>
      <c r="C100" s="291">
        <v>25230.36</v>
      </c>
    </row>
    <row r="101" spans="2:3" x14ac:dyDescent="0.25">
      <c r="B101" s="53">
        <v>42514</v>
      </c>
      <c r="C101" s="291">
        <v>25305.47</v>
      </c>
    </row>
    <row r="102" spans="2:3" x14ac:dyDescent="0.25">
      <c r="B102" s="53">
        <v>42515</v>
      </c>
      <c r="C102" s="291">
        <v>25881.17</v>
      </c>
    </row>
    <row r="103" spans="2:3" x14ac:dyDescent="0.25">
      <c r="B103" s="53">
        <v>42516</v>
      </c>
      <c r="C103" s="291">
        <v>26366.68</v>
      </c>
    </row>
    <row r="104" spans="2:3" x14ac:dyDescent="0.25">
      <c r="B104" s="53">
        <v>42517</v>
      </c>
      <c r="C104" s="291">
        <v>26653.599999999999</v>
      </c>
    </row>
    <row r="105" spans="2:3" x14ac:dyDescent="0.25">
      <c r="B105" s="53">
        <v>42520</v>
      </c>
      <c r="C105" s="291">
        <v>26725.599999999999</v>
      </c>
    </row>
    <row r="106" spans="2:3" x14ac:dyDescent="0.25">
      <c r="B106" s="53">
        <v>42521</v>
      </c>
      <c r="C106" s="291">
        <v>26667.96</v>
      </c>
    </row>
    <row r="107" spans="2:3" x14ac:dyDescent="0.25">
      <c r="B107" s="53">
        <v>42522</v>
      </c>
      <c r="C107" s="291">
        <v>26713.93</v>
      </c>
    </row>
    <row r="108" spans="2:3" x14ac:dyDescent="0.25">
      <c r="B108" s="53">
        <v>42523</v>
      </c>
      <c r="C108" s="291">
        <v>26843.14</v>
      </c>
    </row>
    <row r="109" spans="2:3" x14ac:dyDescent="0.25">
      <c r="B109" s="53">
        <v>42524</v>
      </c>
      <c r="C109" s="291">
        <v>26843.03</v>
      </c>
    </row>
    <row r="110" spans="2:3" x14ac:dyDescent="0.25">
      <c r="B110" s="53">
        <v>42527</v>
      </c>
      <c r="C110" s="291">
        <v>26777.45</v>
      </c>
    </row>
    <row r="111" spans="2:3" x14ac:dyDescent="0.25">
      <c r="B111" s="53">
        <v>42528</v>
      </c>
      <c r="C111" s="291">
        <v>27009.67</v>
      </c>
    </row>
    <row r="112" spans="2:3" x14ac:dyDescent="0.25">
      <c r="B112" s="53">
        <v>42529</v>
      </c>
      <c r="C112" s="291">
        <v>27020.66</v>
      </c>
    </row>
    <row r="113" spans="2:3" x14ac:dyDescent="0.25">
      <c r="B113" s="53">
        <v>42530</v>
      </c>
      <c r="C113" s="291">
        <v>26763.46</v>
      </c>
    </row>
    <row r="114" spans="2:3" x14ac:dyDescent="0.25">
      <c r="B114" s="53">
        <v>42531</v>
      </c>
      <c r="C114" s="291">
        <v>26635.75</v>
      </c>
    </row>
    <row r="115" spans="2:3" x14ac:dyDescent="0.25">
      <c r="B115" s="53">
        <v>42534</v>
      </c>
      <c r="C115" s="291">
        <v>26396.77</v>
      </c>
    </row>
    <row r="116" spans="2:3" x14ac:dyDescent="0.25">
      <c r="B116" s="53">
        <v>42535</v>
      </c>
      <c r="C116" s="291">
        <v>26395.71</v>
      </c>
    </row>
    <row r="117" spans="2:3" x14ac:dyDescent="0.25">
      <c r="B117" s="53">
        <v>42536</v>
      </c>
      <c r="C117" s="291">
        <v>26726.34</v>
      </c>
    </row>
    <row r="118" spans="2:3" x14ac:dyDescent="0.25">
      <c r="B118" s="53">
        <v>42537</v>
      </c>
      <c r="C118" s="291">
        <v>26525.46</v>
      </c>
    </row>
    <row r="119" spans="2:3" x14ac:dyDescent="0.25">
      <c r="B119" s="53">
        <v>42538</v>
      </c>
      <c r="C119" s="291">
        <v>26625.91</v>
      </c>
    </row>
    <row r="120" spans="2:3" x14ac:dyDescent="0.25">
      <c r="B120" s="53">
        <v>42541</v>
      </c>
      <c r="C120" s="291">
        <v>26866.92</v>
      </c>
    </row>
    <row r="121" spans="2:3" x14ac:dyDescent="0.25">
      <c r="B121" s="53">
        <v>42542</v>
      </c>
      <c r="C121" s="291">
        <v>26812.78</v>
      </c>
    </row>
    <row r="122" spans="2:3" x14ac:dyDescent="0.25">
      <c r="B122" s="53">
        <v>42543</v>
      </c>
      <c r="C122" s="291">
        <v>26765.65</v>
      </c>
    </row>
    <row r="123" spans="2:3" x14ac:dyDescent="0.25">
      <c r="B123" s="53">
        <v>42544</v>
      </c>
      <c r="C123" s="291">
        <v>27002.22</v>
      </c>
    </row>
    <row r="124" spans="2:3" x14ac:dyDescent="0.25">
      <c r="B124" s="53">
        <v>42545</v>
      </c>
      <c r="C124" s="291">
        <v>26397.71</v>
      </c>
    </row>
    <row r="125" spans="2:3" x14ac:dyDescent="0.25">
      <c r="B125" s="53">
        <v>42548</v>
      </c>
      <c r="C125" s="291">
        <v>26402.959999999999</v>
      </c>
    </row>
    <row r="126" spans="2:3" x14ac:dyDescent="0.25">
      <c r="B126" s="53">
        <v>42549</v>
      </c>
      <c r="C126" s="291">
        <v>26524.55</v>
      </c>
    </row>
    <row r="127" spans="2:3" x14ac:dyDescent="0.25">
      <c r="B127" s="53">
        <v>42550</v>
      </c>
      <c r="C127" s="291">
        <v>26740.39</v>
      </c>
    </row>
    <row r="128" spans="2:3" x14ac:dyDescent="0.25">
      <c r="B128" s="53">
        <v>42551</v>
      </c>
      <c r="C128" s="291">
        <v>26999.72</v>
      </c>
    </row>
    <row r="129" spans="2:3" x14ac:dyDescent="0.25">
      <c r="B129" s="53">
        <v>42552</v>
      </c>
      <c r="C129" s="291">
        <v>27144.91</v>
      </c>
    </row>
    <row r="130" spans="2:3" x14ac:dyDescent="0.25">
      <c r="B130" s="53">
        <v>42555</v>
      </c>
      <c r="C130" s="291">
        <v>27278.76</v>
      </c>
    </row>
    <row r="131" spans="2:3" x14ac:dyDescent="0.25">
      <c r="B131" s="53">
        <v>42556</v>
      </c>
      <c r="C131" s="291">
        <v>27166.87</v>
      </c>
    </row>
    <row r="132" spans="2:3" x14ac:dyDescent="0.25">
      <c r="B132" s="53">
        <v>42558</v>
      </c>
      <c r="C132" s="291">
        <v>27201.49</v>
      </c>
    </row>
    <row r="133" spans="2:3" x14ac:dyDescent="0.25">
      <c r="B133" s="53">
        <v>42559</v>
      </c>
      <c r="C133" s="291">
        <v>27126.9</v>
      </c>
    </row>
    <row r="134" spans="2:3" x14ac:dyDescent="0.25">
      <c r="B134" s="53">
        <v>42562</v>
      </c>
      <c r="C134" s="291">
        <v>27626.69</v>
      </c>
    </row>
    <row r="135" spans="2:3" x14ac:dyDescent="0.25">
      <c r="B135" s="53">
        <v>42563</v>
      </c>
      <c r="C135" s="291">
        <v>27808.14</v>
      </c>
    </row>
    <row r="136" spans="2:3" x14ac:dyDescent="0.25">
      <c r="B136" s="53">
        <v>42564</v>
      </c>
      <c r="C136" s="291">
        <v>27815.18</v>
      </c>
    </row>
    <row r="137" spans="2:3" x14ac:dyDescent="0.25">
      <c r="B137" s="53">
        <v>42565</v>
      </c>
      <c r="C137" s="291">
        <v>27942.11</v>
      </c>
    </row>
    <row r="138" spans="2:3" x14ac:dyDescent="0.25">
      <c r="B138" s="53">
        <v>42566</v>
      </c>
      <c r="C138" s="291">
        <v>27836.5</v>
      </c>
    </row>
    <row r="139" spans="2:3" x14ac:dyDescent="0.25">
      <c r="B139" s="53">
        <v>42569</v>
      </c>
      <c r="C139" s="291">
        <v>27746.66</v>
      </c>
    </row>
    <row r="140" spans="2:3" x14ac:dyDescent="0.25">
      <c r="B140" s="53">
        <v>42570</v>
      </c>
      <c r="C140" s="291">
        <v>27787.62</v>
      </c>
    </row>
    <row r="141" spans="2:3" x14ac:dyDescent="0.25">
      <c r="B141" s="53">
        <v>42571</v>
      </c>
      <c r="C141" s="291">
        <v>27915.89</v>
      </c>
    </row>
    <row r="142" spans="2:3" x14ac:dyDescent="0.25">
      <c r="B142" s="53">
        <v>42572</v>
      </c>
      <c r="C142" s="291">
        <v>27710.52</v>
      </c>
    </row>
    <row r="143" spans="2:3" x14ac:dyDescent="0.25">
      <c r="B143" s="53">
        <v>42573</v>
      </c>
      <c r="C143" s="291">
        <v>27803.24</v>
      </c>
    </row>
    <row r="144" spans="2:3" x14ac:dyDescent="0.25">
      <c r="B144" s="53">
        <v>42576</v>
      </c>
      <c r="C144" s="291">
        <v>28095.34</v>
      </c>
    </row>
    <row r="145" spans="2:3" x14ac:dyDescent="0.25">
      <c r="B145" s="53">
        <v>42577</v>
      </c>
      <c r="C145" s="291">
        <v>27976.52</v>
      </c>
    </row>
    <row r="146" spans="2:3" x14ac:dyDescent="0.25">
      <c r="B146" s="53">
        <v>42578</v>
      </c>
      <c r="C146" s="291">
        <v>28024.33</v>
      </c>
    </row>
    <row r="147" spans="2:3" x14ac:dyDescent="0.25">
      <c r="B147" s="53">
        <v>42579</v>
      </c>
      <c r="C147" s="291">
        <v>28208.62</v>
      </c>
    </row>
    <row r="148" spans="2:3" x14ac:dyDescent="0.25">
      <c r="B148" s="53">
        <v>42580</v>
      </c>
      <c r="C148" s="291">
        <v>28051.86</v>
      </c>
    </row>
    <row r="149" spans="2:3" x14ac:dyDescent="0.25">
      <c r="B149" s="53">
        <v>42583</v>
      </c>
      <c r="C149" s="291">
        <v>28003.119999999999</v>
      </c>
    </row>
    <row r="150" spans="2:3" x14ac:dyDescent="0.25">
      <c r="B150" s="53">
        <v>42584</v>
      </c>
      <c r="C150" s="291">
        <v>27981.71</v>
      </c>
    </row>
    <row r="151" spans="2:3" x14ac:dyDescent="0.25">
      <c r="B151" s="53">
        <v>42585</v>
      </c>
      <c r="C151" s="291">
        <v>27697.51</v>
      </c>
    </row>
    <row r="152" spans="2:3" x14ac:dyDescent="0.25">
      <c r="B152" s="53">
        <v>42586</v>
      </c>
      <c r="C152" s="291">
        <v>27714.37</v>
      </c>
    </row>
    <row r="153" spans="2:3" x14ac:dyDescent="0.25">
      <c r="B153" s="53">
        <v>42587</v>
      </c>
      <c r="C153" s="291">
        <v>28078.35</v>
      </c>
    </row>
    <row r="154" spans="2:3" x14ac:dyDescent="0.25">
      <c r="B154" s="53">
        <v>42590</v>
      </c>
      <c r="C154" s="291">
        <v>28182.57</v>
      </c>
    </row>
    <row r="155" spans="2:3" x14ac:dyDescent="0.25">
      <c r="B155" s="53">
        <v>42591</v>
      </c>
      <c r="C155" s="291">
        <v>28085.16</v>
      </c>
    </row>
    <row r="156" spans="2:3" x14ac:dyDescent="0.25">
      <c r="B156" s="53">
        <v>42592</v>
      </c>
      <c r="C156" s="291">
        <v>27774.880000000001</v>
      </c>
    </row>
    <row r="157" spans="2:3" x14ac:dyDescent="0.25">
      <c r="B157" s="53">
        <v>42593</v>
      </c>
      <c r="C157" s="291">
        <v>27859.599999999999</v>
      </c>
    </row>
    <row r="158" spans="2:3" x14ac:dyDescent="0.25">
      <c r="B158" s="53">
        <v>42594</v>
      </c>
      <c r="C158" s="291">
        <v>28152.400000000001</v>
      </c>
    </row>
    <row r="159" spans="2:3" x14ac:dyDescent="0.25">
      <c r="B159" s="53">
        <v>42598</v>
      </c>
      <c r="C159" s="291">
        <v>28064.61</v>
      </c>
    </row>
    <row r="160" spans="2:3" x14ac:dyDescent="0.25">
      <c r="B160" s="53">
        <v>42599</v>
      </c>
      <c r="C160" s="291">
        <v>28005.37</v>
      </c>
    </row>
    <row r="161" spans="2:3" x14ac:dyDescent="0.25">
      <c r="B161" s="53">
        <v>42600</v>
      </c>
      <c r="C161" s="291">
        <v>28123.439999999999</v>
      </c>
    </row>
    <row r="162" spans="2:3" x14ac:dyDescent="0.25">
      <c r="B162" s="53">
        <v>42601</v>
      </c>
      <c r="C162" s="291">
        <v>28077</v>
      </c>
    </row>
    <row r="163" spans="2:3" x14ac:dyDescent="0.25">
      <c r="B163" s="53">
        <v>42604</v>
      </c>
      <c r="C163" s="291">
        <v>27985.54</v>
      </c>
    </row>
    <row r="164" spans="2:3" x14ac:dyDescent="0.25">
      <c r="B164" s="53">
        <v>42605</v>
      </c>
      <c r="C164" s="291">
        <v>27990.21</v>
      </c>
    </row>
    <row r="165" spans="2:3" x14ac:dyDescent="0.25">
      <c r="B165" s="53">
        <v>42606</v>
      </c>
      <c r="C165" s="291">
        <v>28059.94</v>
      </c>
    </row>
    <row r="166" spans="2:3" x14ac:dyDescent="0.25">
      <c r="B166" s="53">
        <v>42607</v>
      </c>
      <c r="C166" s="291">
        <v>27835.91</v>
      </c>
    </row>
    <row r="167" spans="2:3" x14ac:dyDescent="0.25">
      <c r="B167" s="53">
        <v>42608</v>
      </c>
      <c r="C167" s="291">
        <v>27782.25</v>
      </c>
    </row>
    <row r="168" spans="2:3" x14ac:dyDescent="0.25">
      <c r="B168" s="53">
        <v>42611</v>
      </c>
      <c r="C168" s="291">
        <v>27902.66</v>
      </c>
    </row>
    <row r="169" spans="2:3" x14ac:dyDescent="0.25">
      <c r="B169" s="53">
        <v>42612</v>
      </c>
      <c r="C169" s="291">
        <v>28343.01</v>
      </c>
    </row>
    <row r="170" spans="2:3" x14ac:dyDescent="0.25">
      <c r="B170" s="53">
        <v>42613</v>
      </c>
      <c r="C170" s="291">
        <v>28452.17</v>
      </c>
    </row>
    <row r="171" spans="2:3" x14ac:dyDescent="0.25">
      <c r="B171" s="53">
        <v>42614</v>
      </c>
      <c r="C171" s="291">
        <v>28423.48</v>
      </c>
    </row>
    <row r="172" spans="2:3" x14ac:dyDescent="0.25">
      <c r="B172" s="53">
        <v>42615</v>
      </c>
      <c r="C172" s="291">
        <v>28532.11</v>
      </c>
    </row>
    <row r="173" spans="2:3" x14ac:dyDescent="0.25">
      <c r="B173" s="53">
        <v>42619</v>
      </c>
      <c r="C173" s="291">
        <v>28978.02</v>
      </c>
    </row>
    <row r="174" spans="2:3" x14ac:dyDescent="0.25">
      <c r="B174" s="53">
        <v>42620</v>
      </c>
      <c r="C174" s="291">
        <v>28926.36</v>
      </c>
    </row>
    <row r="175" spans="2:3" x14ac:dyDescent="0.25">
      <c r="B175" s="53">
        <v>42621</v>
      </c>
      <c r="C175" s="291">
        <v>29045.279999999999</v>
      </c>
    </row>
    <row r="176" spans="2:3" x14ac:dyDescent="0.25">
      <c r="B176" s="53">
        <v>42622</v>
      </c>
      <c r="C176" s="291">
        <v>28797.25</v>
      </c>
    </row>
    <row r="177" spans="2:3" x14ac:dyDescent="0.25">
      <c r="B177" s="53">
        <v>42625</v>
      </c>
      <c r="C177" s="291">
        <v>28353.54</v>
      </c>
    </row>
    <row r="178" spans="2:3" x14ac:dyDescent="0.25">
      <c r="B178" s="53">
        <v>42627</v>
      </c>
      <c r="C178" s="291">
        <v>28372.23</v>
      </c>
    </row>
    <row r="179" spans="2:3" x14ac:dyDescent="0.25">
      <c r="B179" s="53">
        <v>42628</v>
      </c>
      <c r="C179" s="291">
        <v>28412.89</v>
      </c>
    </row>
    <row r="180" spans="2:3" x14ac:dyDescent="0.25">
      <c r="B180" s="53">
        <v>42629</v>
      </c>
      <c r="C180" s="291">
        <v>28599.03</v>
      </c>
    </row>
    <row r="181" spans="2:3" x14ac:dyDescent="0.25">
      <c r="B181" s="53">
        <v>42632</v>
      </c>
      <c r="C181" s="291">
        <v>28634.5</v>
      </c>
    </row>
    <row r="182" spans="2:3" x14ac:dyDescent="0.25">
      <c r="B182" s="53">
        <v>42633</v>
      </c>
      <c r="C182" s="291">
        <v>28523.200000000001</v>
      </c>
    </row>
    <row r="183" spans="2:3" x14ac:dyDescent="0.25">
      <c r="B183" s="53">
        <v>42634</v>
      </c>
      <c r="C183" s="291">
        <v>28507.42</v>
      </c>
    </row>
    <row r="184" spans="2:3" x14ac:dyDescent="0.25">
      <c r="B184" s="53">
        <v>42635</v>
      </c>
      <c r="C184" s="291">
        <v>28773.13</v>
      </c>
    </row>
    <row r="185" spans="2:3" x14ac:dyDescent="0.25">
      <c r="B185" s="53">
        <v>42636</v>
      </c>
      <c r="C185" s="291">
        <v>28668.22</v>
      </c>
    </row>
    <row r="186" spans="2:3" x14ac:dyDescent="0.25">
      <c r="B186" s="53">
        <v>42639</v>
      </c>
      <c r="C186" s="291">
        <v>28294.28</v>
      </c>
    </row>
    <row r="187" spans="2:3" x14ac:dyDescent="0.25">
      <c r="B187" s="53">
        <v>42640</v>
      </c>
      <c r="C187" s="291">
        <v>28223.7</v>
      </c>
    </row>
    <row r="188" spans="2:3" x14ac:dyDescent="0.25">
      <c r="B188" s="53">
        <v>42641</v>
      </c>
      <c r="C188" s="291">
        <v>28292.81</v>
      </c>
    </row>
    <row r="189" spans="2:3" x14ac:dyDescent="0.25">
      <c r="B189" s="53">
        <v>42642</v>
      </c>
      <c r="C189" s="291">
        <v>27827.53</v>
      </c>
    </row>
    <row r="190" spans="2:3" x14ac:dyDescent="0.25">
      <c r="B190" s="53">
        <v>42643</v>
      </c>
      <c r="C190" s="291">
        <v>27865.96</v>
      </c>
    </row>
    <row r="191" spans="2:3" x14ac:dyDescent="0.25">
      <c r="B191" s="53">
        <v>42646</v>
      </c>
      <c r="C191" s="291">
        <v>28243.29</v>
      </c>
    </row>
    <row r="192" spans="2:3" x14ac:dyDescent="0.25">
      <c r="B192" s="53">
        <v>42647</v>
      </c>
      <c r="C192" s="291">
        <v>28334.55</v>
      </c>
    </row>
    <row r="193" spans="2:3" x14ac:dyDescent="0.25">
      <c r="B193" s="53">
        <v>42648</v>
      </c>
      <c r="C193" s="291">
        <v>28220.98</v>
      </c>
    </row>
    <row r="194" spans="2:3" x14ac:dyDescent="0.25">
      <c r="B194" s="53">
        <v>42649</v>
      </c>
      <c r="C194" s="291">
        <v>28106.21</v>
      </c>
    </row>
    <row r="195" spans="2:3" x14ac:dyDescent="0.25">
      <c r="B195" s="53">
        <v>42650</v>
      </c>
      <c r="C195" s="291">
        <v>28061.14</v>
      </c>
    </row>
    <row r="196" spans="2:3" x14ac:dyDescent="0.25">
      <c r="B196" s="53">
        <v>42653</v>
      </c>
      <c r="C196" s="291">
        <v>28082.34</v>
      </c>
    </row>
    <row r="197" spans="2:3" x14ac:dyDescent="0.25">
      <c r="B197" s="53">
        <v>42656</v>
      </c>
      <c r="C197" s="291">
        <v>27643.11</v>
      </c>
    </row>
    <row r="198" spans="2:3" x14ac:dyDescent="0.25">
      <c r="B198" s="53">
        <v>42657</v>
      </c>
      <c r="C198" s="291">
        <v>27673.599999999999</v>
      </c>
    </row>
    <row r="199" spans="2:3" x14ac:dyDescent="0.25">
      <c r="B199" s="53">
        <v>42660</v>
      </c>
      <c r="C199" s="291">
        <v>27529.97</v>
      </c>
    </row>
    <row r="200" spans="2:3" x14ac:dyDescent="0.25">
      <c r="B200" s="53">
        <v>42661</v>
      </c>
      <c r="C200" s="291">
        <v>28050.880000000001</v>
      </c>
    </row>
    <row r="201" spans="2:3" x14ac:dyDescent="0.25">
      <c r="B201" s="53">
        <v>42662</v>
      </c>
      <c r="C201" s="291">
        <v>27984.37</v>
      </c>
    </row>
    <row r="202" spans="2:3" x14ac:dyDescent="0.25">
      <c r="B202" s="53">
        <v>42663</v>
      </c>
      <c r="C202" s="291">
        <v>28129.84</v>
      </c>
    </row>
    <row r="203" spans="2:3" x14ac:dyDescent="0.25">
      <c r="B203" s="53">
        <v>42664</v>
      </c>
      <c r="C203" s="291">
        <v>28077.18</v>
      </c>
    </row>
    <row r="204" spans="2:3" x14ac:dyDescent="0.25">
      <c r="B204" s="53">
        <v>42667</v>
      </c>
      <c r="C204" s="291">
        <v>28179.08</v>
      </c>
    </row>
    <row r="205" spans="2:3" x14ac:dyDescent="0.25">
      <c r="B205" s="53">
        <v>42668</v>
      </c>
      <c r="C205" s="291">
        <v>28091.42</v>
      </c>
    </row>
    <row r="206" spans="2:3" x14ac:dyDescent="0.25">
      <c r="B206" s="53">
        <v>42669</v>
      </c>
      <c r="C206" s="291">
        <v>27836.51</v>
      </c>
    </row>
    <row r="207" spans="2:3" x14ac:dyDescent="0.25">
      <c r="B207" s="53">
        <v>42670</v>
      </c>
      <c r="C207" s="291">
        <v>27915.9</v>
      </c>
    </row>
    <row r="208" spans="2:3" x14ac:dyDescent="0.25">
      <c r="B208" s="53">
        <v>42671</v>
      </c>
      <c r="C208" s="291">
        <v>27941.51</v>
      </c>
    </row>
    <row r="209" spans="2:3" x14ac:dyDescent="0.25">
      <c r="B209" s="53">
        <v>42673</v>
      </c>
      <c r="C209" s="291">
        <v>27930.21</v>
      </c>
    </row>
    <row r="210" spans="2:3" x14ac:dyDescent="0.25">
      <c r="B210" s="53">
        <v>42675</v>
      </c>
      <c r="C210" s="291">
        <v>27876.61</v>
      </c>
    </row>
    <row r="211" spans="2:3" x14ac:dyDescent="0.25">
      <c r="B211" s="53">
        <v>42676</v>
      </c>
      <c r="C211" s="291">
        <v>27527.22</v>
      </c>
    </row>
    <row r="212" spans="2:3" x14ac:dyDescent="0.25">
      <c r="B212" s="53">
        <v>42677</v>
      </c>
      <c r="C212" s="291">
        <v>27430.28</v>
      </c>
    </row>
    <row r="213" spans="2:3" x14ac:dyDescent="0.25">
      <c r="B213" s="53">
        <v>42678</v>
      </c>
      <c r="C213" s="291">
        <v>27274.15</v>
      </c>
    </row>
    <row r="214" spans="2:3" x14ac:dyDescent="0.25">
      <c r="B214" s="53">
        <v>42681</v>
      </c>
      <c r="C214" s="291">
        <v>27458.99</v>
      </c>
    </row>
    <row r="215" spans="2:3" x14ac:dyDescent="0.25">
      <c r="B215" s="53">
        <v>42682</v>
      </c>
      <c r="C215" s="291">
        <v>27591.14</v>
      </c>
    </row>
    <row r="216" spans="2:3" x14ac:dyDescent="0.25">
      <c r="B216" s="53">
        <v>42683</v>
      </c>
      <c r="C216" s="291">
        <v>27252.53</v>
      </c>
    </row>
    <row r="217" spans="2:3" x14ac:dyDescent="0.25">
      <c r="B217" s="53">
        <v>42684</v>
      </c>
      <c r="C217" s="291">
        <v>27517.68</v>
      </c>
    </row>
    <row r="218" spans="2:3" x14ac:dyDescent="0.25">
      <c r="B218" s="53">
        <v>42685</v>
      </c>
      <c r="C218" s="291">
        <v>26818.82</v>
      </c>
    </row>
    <row r="219" spans="2:3" x14ac:dyDescent="0.25">
      <c r="B219" s="53">
        <v>42689</v>
      </c>
      <c r="C219" s="291">
        <v>26304.63</v>
      </c>
    </row>
    <row r="220" spans="2:3" x14ac:dyDescent="0.25">
      <c r="B220" s="53">
        <v>42690</v>
      </c>
      <c r="C220" s="291">
        <v>26298.69</v>
      </c>
    </row>
    <row r="221" spans="2:3" x14ac:dyDescent="0.25">
      <c r="B221" s="53">
        <v>42691</v>
      </c>
      <c r="C221" s="291">
        <v>26227.62</v>
      </c>
    </row>
    <row r="222" spans="2:3" x14ac:dyDescent="0.25">
      <c r="B222" s="53">
        <v>42692</v>
      </c>
      <c r="C222" s="291">
        <v>26150.240000000002</v>
      </c>
    </row>
    <row r="223" spans="2:3" x14ac:dyDescent="0.25">
      <c r="B223" s="53">
        <v>42695</v>
      </c>
      <c r="C223" s="291">
        <v>25765.14</v>
      </c>
    </row>
    <row r="224" spans="2:3" x14ac:dyDescent="0.25">
      <c r="B224" s="53">
        <v>42696</v>
      </c>
      <c r="C224" s="291">
        <v>25960.78</v>
      </c>
    </row>
    <row r="225" spans="2:3" x14ac:dyDescent="0.25">
      <c r="B225" s="53">
        <v>42697</v>
      </c>
      <c r="C225" s="291">
        <v>26051.81</v>
      </c>
    </row>
    <row r="226" spans="2:3" x14ac:dyDescent="0.25">
      <c r="B226" s="53">
        <v>42698</v>
      </c>
      <c r="C226" s="291">
        <v>25860.17</v>
      </c>
    </row>
    <row r="227" spans="2:3" x14ac:dyDescent="0.25">
      <c r="B227" s="53">
        <v>42699</v>
      </c>
      <c r="C227" s="291">
        <v>26316.34</v>
      </c>
    </row>
    <row r="228" spans="2:3" x14ac:dyDescent="0.25">
      <c r="B228" s="53">
        <v>42702</v>
      </c>
      <c r="C228" s="291">
        <v>26350.17</v>
      </c>
    </row>
    <row r="229" spans="2:3" x14ac:dyDescent="0.25">
      <c r="B229" s="53">
        <v>42703</v>
      </c>
      <c r="C229" s="291">
        <v>26394.01</v>
      </c>
    </row>
    <row r="230" spans="2:3" x14ac:dyDescent="0.25">
      <c r="B230" s="53">
        <v>42704</v>
      </c>
      <c r="C230" s="291">
        <v>26652.81</v>
      </c>
    </row>
    <row r="231" spans="2:3" x14ac:dyDescent="0.25">
      <c r="B231" s="53">
        <v>42705</v>
      </c>
      <c r="C231" s="291">
        <v>26559.919999999998</v>
      </c>
    </row>
    <row r="232" spans="2:3" x14ac:dyDescent="0.25">
      <c r="B232" s="53">
        <v>42706</v>
      </c>
      <c r="C232" s="291">
        <v>26230.66</v>
      </c>
    </row>
    <row r="233" spans="2:3" x14ac:dyDescent="0.25">
      <c r="B233" s="53">
        <v>42709</v>
      </c>
      <c r="C233" s="291">
        <v>26349.1</v>
      </c>
    </row>
    <row r="234" spans="2:3" x14ac:dyDescent="0.25">
      <c r="B234" s="53">
        <v>42710</v>
      </c>
      <c r="C234" s="291">
        <v>26392.76</v>
      </c>
    </row>
    <row r="235" spans="2:3" x14ac:dyDescent="0.25">
      <c r="B235" s="53">
        <v>42711</v>
      </c>
      <c r="C235" s="291">
        <v>26236.87</v>
      </c>
    </row>
    <row r="236" spans="2:3" x14ac:dyDescent="0.25">
      <c r="B236" s="53">
        <v>42712</v>
      </c>
      <c r="C236" s="291">
        <v>26694.28</v>
      </c>
    </row>
    <row r="237" spans="2:3" x14ac:dyDescent="0.25">
      <c r="B237" s="53">
        <v>42713</v>
      </c>
      <c r="C237" s="291">
        <v>26747.18</v>
      </c>
    </row>
    <row r="238" spans="2:3" x14ac:dyDescent="0.25">
      <c r="B238" s="53">
        <v>42716</v>
      </c>
      <c r="C238" s="291">
        <v>26515.24</v>
      </c>
    </row>
    <row r="239" spans="2:3" x14ac:dyDescent="0.25">
      <c r="B239" s="53">
        <v>42717</v>
      </c>
      <c r="C239" s="291">
        <v>26697.82</v>
      </c>
    </row>
    <row r="240" spans="2:3" x14ac:dyDescent="0.25">
      <c r="B240" s="53">
        <v>42718</v>
      </c>
      <c r="C240" s="291">
        <v>26602.84</v>
      </c>
    </row>
    <row r="241" spans="2:3" x14ac:dyDescent="0.25">
      <c r="B241" s="53">
        <v>42719</v>
      </c>
      <c r="C241" s="291">
        <v>26519.07</v>
      </c>
    </row>
    <row r="242" spans="2:3" x14ac:dyDescent="0.25">
      <c r="B242" s="53">
        <v>42720</v>
      </c>
      <c r="C242" s="291">
        <v>26489.56</v>
      </c>
    </row>
    <row r="243" spans="2:3" x14ac:dyDescent="0.25">
      <c r="B243" s="53">
        <v>42723</v>
      </c>
      <c r="C243" s="291">
        <v>26374.7</v>
      </c>
    </row>
    <row r="244" spans="2:3" x14ac:dyDescent="0.25">
      <c r="B244" s="53">
        <v>42724</v>
      </c>
      <c r="C244" s="291">
        <v>26307.98</v>
      </c>
    </row>
    <row r="245" spans="2:3" x14ac:dyDescent="0.25">
      <c r="B245" s="53">
        <v>42725</v>
      </c>
      <c r="C245" s="291">
        <v>26242.38</v>
      </c>
    </row>
    <row r="246" spans="2:3" x14ac:dyDescent="0.25">
      <c r="B246" s="53">
        <v>42726</v>
      </c>
      <c r="C246" s="291">
        <v>25979.599999999999</v>
      </c>
    </row>
    <row r="247" spans="2:3" x14ac:dyDescent="0.25">
      <c r="B247" s="53">
        <v>42727</v>
      </c>
      <c r="C247" s="291">
        <v>26040.7</v>
      </c>
    </row>
    <row r="248" spans="2:3" x14ac:dyDescent="0.25">
      <c r="B248" s="53">
        <v>42730</v>
      </c>
      <c r="C248" s="291">
        <v>25807.1</v>
      </c>
    </row>
    <row r="249" spans="2:3" x14ac:dyDescent="0.25">
      <c r="B249" s="53">
        <v>42731</v>
      </c>
      <c r="C249" s="291">
        <v>26213.439999999999</v>
      </c>
    </row>
    <row r="250" spans="2:3" x14ac:dyDescent="0.25">
      <c r="B250" s="53">
        <v>42732</v>
      </c>
      <c r="C250" s="291">
        <v>26210.68</v>
      </c>
    </row>
    <row r="251" spans="2:3" x14ac:dyDescent="0.25">
      <c r="B251" s="53">
        <v>42733</v>
      </c>
      <c r="C251" s="291">
        <v>26366.15</v>
      </c>
    </row>
    <row r="252" spans="2:3" x14ac:dyDescent="0.25">
      <c r="B252" s="53">
        <v>42734</v>
      </c>
      <c r="C252" s="291">
        <v>26626.46</v>
      </c>
    </row>
    <row r="253" spans="2:3" x14ac:dyDescent="0.25">
      <c r="B253" s="53">
        <v>42737</v>
      </c>
      <c r="C253" s="291">
        <v>26595.45</v>
      </c>
    </row>
    <row r="254" spans="2:3" x14ac:dyDescent="0.25">
      <c r="B254" s="53">
        <v>42738</v>
      </c>
      <c r="C254" s="291">
        <v>26643.24</v>
      </c>
    </row>
    <row r="255" spans="2:3" x14ac:dyDescent="0.25">
      <c r="B255" s="53">
        <v>42739</v>
      </c>
      <c r="C255" s="291">
        <v>26633.13</v>
      </c>
    </row>
    <row r="256" spans="2:3" x14ac:dyDescent="0.25">
      <c r="B256" s="53">
        <v>42740</v>
      </c>
      <c r="C256" s="291">
        <v>26878.240000000002</v>
      </c>
    </row>
    <row r="257" spans="2:3" x14ac:dyDescent="0.25">
      <c r="B257" s="53">
        <v>42741</v>
      </c>
      <c r="C257" s="291">
        <v>26759.23</v>
      </c>
    </row>
    <row r="258" spans="2:3" x14ac:dyDescent="0.25">
      <c r="B258" s="53">
        <v>42744</v>
      </c>
      <c r="C258" s="291">
        <v>26726.55</v>
      </c>
    </row>
    <row r="259" spans="2:3" x14ac:dyDescent="0.25">
      <c r="B259" s="53">
        <v>42745</v>
      </c>
      <c r="C259" s="291">
        <v>26899.56</v>
      </c>
    </row>
    <row r="260" spans="2:3" x14ac:dyDescent="0.25">
      <c r="B260" s="53">
        <v>42746</v>
      </c>
      <c r="C260" s="291">
        <v>27140.41</v>
      </c>
    </row>
    <row r="261" spans="2:3" x14ac:dyDescent="0.25">
      <c r="B261" s="53">
        <v>42747</v>
      </c>
      <c r="C261" s="291">
        <v>27247.16</v>
      </c>
    </row>
    <row r="262" spans="2:3" x14ac:dyDescent="0.25">
      <c r="B262" s="53">
        <v>42748</v>
      </c>
      <c r="C262" s="291">
        <v>27238.06</v>
      </c>
    </row>
    <row r="263" spans="2:3" x14ac:dyDescent="0.25">
      <c r="B263" s="53">
        <v>42751</v>
      </c>
      <c r="C263" s="291">
        <v>27288.17</v>
      </c>
    </row>
    <row r="264" spans="2:3" x14ac:dyDescent="0.25">
      <c r="B264" s="53">
        <v>42752</v>
      </c>
      <c r="C264" s="291">
        <v>27235.66</v>
      </c>
    </row>
    <row r="265" spans="2:3" x14ac:dyDescent="0.25">
      <c r="B265" s="53">
        <v>42753</v>
      </c>
      <c r="C265" s="291">
        <v>27257.64</v>
      </c>
    </row>
    <row r="266" spans="2:3" x14ac:dyDescent="0.25">
      <c r="B266" s="53">
        <v>42754</v>
      </c>
      <c r="C266" s="291">
        <v>27308.6</v>
      </c>
    </row>
    <row r="267" spans="2:3" x14ac:dyDescent="0.25">
      <c r="B267" s="53">
        <v>42755</v>
      </c>
      <c r="C267" s="291">
        <v>27034.5</v>
      </c>
    </row>
    <row r="268" spans="2:3" x14ac:dyDescent="0.25">
      <c r="B268" s="53">
        <v>42758</v>
      </c>
      <c r="C268" s="291">
        <v>27117.34</v>
      </c>
    </row>
    <row r="269" spans="2:3" x14ac:dyDescent="0.25">
      <c r="B269" s="53">
        <v>42759</v>
      </c>
      <c r="C269" s="291">
        <v>27375.58</v>
      </c>
    </row>
    <row r="270" spans="2:3" x14ac:dyDescent="0.25">
      <c r="B270" s="53">
        <v>42760</v>
      </c>
      <c r="C270" s="291">
        <v>27708.14</v>
      </c>
    </row>
    <row r="271" spans="2:3" x14ac:dyDescent="0.25">
      <c r="B271" s="53">
        <v>42762</v>
      </c>
      <c r="C271" s="291">
        <v>27882.46</v>
      </c>
    </row>
    <row r="272" spans="2:3" x14ac:dyDescent="0.25">
      <c r="B272" s="53">
        <v>42765</v>
      </c>
      <c r="C272" s="291">
        <v>27849.56</v>
      </c>
    </row>
    <row r="273" spans="2:3" x14ac:dyDescent="0.25">
      <c r="B273" s="53">
        <v>42766</v>
      </c>
      <c r="C273" s="291">
        <v>27655.96</v>
      </c>
    </row>
    <row r="274" spans="2:3" x14ac:dyDescent="0.25">
      <c r="B274" s="53">
        <v>42767</v>
      </c>
      <c r="C274" s="291">
        <v>28141.64</v>
      </c>
    </row>
    <row r="275" spans="2:3" x14ac:dyDescent="0.25">
      <c r="B275" s="53">
        <v>42768</v>
      </c>
      <c r="C275" s="291">
        <v>28226.61</v>
      </c>
    </row>
    <row r="276" spans="2:3" x14ac:dyDescent="0.25">
      <c r="B276" s="53">
        <v>42769</v>
      </c>
      <c r="C276" s="291">
        <v>28240.52</v>
      </c>
    </row>
    <row r="277" spans="2:3" x14ac:dyDescent="0.25">
      <c r="B277" s="53">
        <v>42772</v>
      </c>
      <c r="C277" s="291">
        <v>28439.279999999999</v>
      </c>
    </row>
    <row r="278" spans="2:3" x14ac:dyDescent="0.25">
      <c r="B278" s="53">
        <v>42773</v>
      </c>
      <c r="C278" s="291">
        <v>28335.16</v>
      </c>
    </row>
    <row r="279" spans="2:3" x14ac:dyDescent="0.25">
      <c r="B279" s="53">
        <v>42774</v>
      </c>
      <c r="C279" s="291">
        <v>28289.919999999998</v>
      </c>
    </row>
    <row r="280" spans="2:3" x14ac:dyDescent="0.25">
      <c r="B280" s="53">
        <v>42775</v>
      </c>
      <c r="C280" s="291">
        <v>28329.7</v>
      </c>
    </row>
    <row r="281" spans="2:3" x14ac:dyDescent="0.25">
      <c r="B281" s="53">
        <v>42776</v>
      </c>
      <c r="C281" s="291">
        <v>28334.25</v>
      </c>
    </row>
    <row r="282" spans="2:3" x14ac:dyDescent="0.25">
      <c r="B282" s="53">
        <v>42779</v>
      </c>
      <c r="C282" s="291">
        <v>28351.62</v>
      </c>
    </row>
    <row r="283" spans="2:3" x14ac:dyDescent="0.25">
      <c r="B283" s="53">
        <v>42780</v>
      </c>
      <c r="C283" s="291">
        <v>28339.31</v>
      </c>
    </row>
    <row r="284" spans="2:3" x14ac:dyDescent="0.25">
      <c r="B284" s="53">
        <v>42781</v>
      </c>
      <c r="C284" s="291">
        <v>28155.56</v>
      </c>
    </row>
    <row r="285" spans="2:3" x14ac:dyDescent="0.25">
      <c r="B285" s="53">
        <v>42782</v>
      </c>
      <c r="C285" s="291">
        <v>28301.27</v>
      </c>
    </row>
    <row r="286" spans="2:3" x14ac:dyDescent="0.25">
      <c r="B286" s="53">
        <v>42783</v>
      </c>
      <c r="C286" s="291">
        <v>28468.75</v>
      </c>
    </row>
    <row r="287" spans="2:3" x14ac:dyDescent="0.25">
      <c r="B287" s="53">
        <v>42786</v>
      </c>
      <c r="C287" s="291">
        <v>28661.58</v>
      </c>
    </row>
    <row r="288" spans="2:3" x14ac:dyDescent="0.25">
      <c r="B288" s="53">
        <v>42787</v>
      </c>
      <c r="C288" s="291">
        <v>28761.59</v>
      </c>
    </row>
    <row r="289" spans="2:3" x14ac:dyDescent="0.25">
      <c r="B289" s="53">
        <v>42788</v>
      </c>
      <c r="C289" s="291">
        <v>28864.71</v>
      </c>
    </row>
    <row r="290" spans="2:3" x14ac:dyDescent="0.25">
      <c r="B290" s="53">
        <v>42789</v>
      </c>
      <c r="C290" s="291">
        <v>28892.97</v>
      </c>
    </row>
    <row r="291" spans="2:3" x14ac:dyDescent="0.25">
      <c r="B291" s="53">
        <v>42793</v>
      </c>
      <c r="C291" s="291">
        <v>28812.880000000001</v>
      </c>
    </row>
    <row r="292" spans="2:3" x14ac:dyDescent="0.25">
      <c r="B292" s="53">
        <v>42794</v>
      </c>
      <c r="C292" s="291">
        <v>28743.32</v>
      </c>
    </row>
    <row r="293" spans="2:3" x14ac:dyDescent="0.25">
      <c r="B293" s="53">
        <v>42795</v>
      </c>
      <c r="C293" s="291">
        <v>28984.49</v>
      </c>
    </row>
    <row r="294" spans="2:3" x14ac:dyDescent="0.25">
      <c r="B294" s="53">
        <v>42796</v>
      </c>
      <c r="C294" s="291">
        <v>28839.79</v>
      </c>
    </row>
    <row r="295" spans="2:3" x14ac:dyDescent="0.25">
      <c r="B295" s="53">
        <v>42797</v>
      </c>
      <c r="C295" s="291">
        <v>28832.45</v>
      </c>
    </row>
    <row r="296" spans="2:3" x14ac:dyDescent="0.25">
      <c r="B296" s="53">
        <v>42800</v>
      </c>
      <c r="C296" s="291">
        <v>29048.19</v>
      </c>
    </row>
    <row r="297" spans="2:3" x14ac:dyDescent="0.25">
      <c r="B297" s="53">
        <v>42801</v>
      </c>
      <c r="C297" s="291">
        <v>28999.56</v>
      </c>
    </row>
    <row r="298" spans="2:3" x14ac:dyDescent="0.25">
      <c r="B298" s="53">
        <v>42802</v>
      </c>
      <c r="C298" s="291">
        <v>28901.94</v>
      </c>
    </row>
    <row r="299" spans="2:3" x14ac:dyDescent="0.25">
      <c r="B299" s="53">
        <v>42803</v>
      </c>
      <c r="C299" s="291">
        <v>28929.13</v>
      </c>
    </row>
    <row r="300" spans="2:3" x14ac:dyDescent="0.25">
      <c r="B300" s="53">
        <v>42804</v>
      </c>
      <c r="C300" s="291">
        <v>28946.23</v>
      </c>
    </row>
    <row r="301" spans="2:3" x14ac:dyDescent="0.25">
      <c r="B301" s="53">
        <v>42808</v>
      </c>
      <c r="C301" s="291">
        <v>29442.63</v>
      </c>
    </row>
    <row r="302" spans="2:3" x14ac:dyDescent="0.25">
      <c r="B302" s="53">
        <v>42809</v>
      </c>
      <c r="C302" s="291">
        <v>29398.11</v>
      </c>
    </row>
    <row r="303" spans="2:3" x14ac:dyDescent="0.25">
      <c r="B303" s="53">
        <v>42810</v>
      </c>
      <c r="C303" s="291">
        <v>29585.85</v>
      </c>
    </row>
    <row r="304" spans="2:3" x14ac:dyDescent="0.25">
      <c r="B304" s="53">
        <v>42811</v>
      </c>
      <c r="C304" s="291">
        <v>29648.99</v>
      </c>
    </row>
    <row r="305" spans="2:3" x14ac:dyDescent="0.25">
      <c r="B305" s="53">
        <v>42814</v>
      </c>
      <c r="C305" s="291">
        <v>29518.74</v>
      </c>
    </row>
    <row r="306" spans="2:3" x14ac:dyDescent="0.25">
      <c r="B306" s="53">
        <v>42815</v>
      </c>
      <c r="C306" s="291">
        <v>29485.45</v>
      </c>
    </row>
    <row r="307" spans="2:3" x14ac:dyDescent="0.25">
      <c r="B307" s="53">
        <v>42816</v>
      </c>
      <c r="C307" s="291">
        <v>29167.68</v>
      </c>
    </row>
    <row r="308" spans="2:3" x14ac:dyDescent="0.25">
      <c r="B308" s="53">
        <v>42817</v>
      </c>
      <c r="C308" s="291">
        <v>29332.16</v>
      </c>
    </row>
    <row r="309" spans="2:3" x14ac:dyDescent="0.25">
      <c r="B309" s="53">
        <v>42818</v>
      </c>
      <c r="C309" s="291">
        <v>29421.4</v>
      </c>
    </row>
    <row r="310" spans="2:3" x14ac:dyDescent="0.25">
      <c r="B310" s="53">
        <v>42821</v>
      </c>
      <c r="C310" s="291">
        <v>29237.15</v>
      </c>
    </row>
    <row r="311" spans="2:3" x14ac:dyDescent="0.25">
      <c r="B311" s="53">
        <v>42822</v>
      </c>
      <c r="C311" s="291">
        <v>29409.52</v>
      </c>
    </row>
    <row r="312" spans="2:3" x14ac:dyDescent="0.25">
      <c r="B312" s="53">
        <v>42823</v>
      </c>
      <c r="C312" s="291">
        <v>29531.43</v>
      </c>
    </row>
    <row r="313" spans="2:3" x14ac:dyDescent="0.25">
      <c r="B313" s="53">
        <v>42824</v>
      </c>
      <c r="C313" s="291">
        <v>29647.42</v>
      </c>
    </row>
    <row r="314" spans="2:3" x14ac:dyDescent="0.25">
      <c r="B314" s="53">
        <v>42825</v>
      </c>
      <c r="C314" s="291">
        <v>29620.5</v>
      </c>
    </row>
    <row r="315" spans="2:3" x14ac:dyDescent="0.25">
      <c r="B315" s="53">
        <v>42828</v>
      </c>
      <c r="C315" s="291">
        <v>29910.22</v>
      </c>
    </row>
    <row r="316" spans="2:3" x14ac:dyDescent="0.25">
      <c r="B316" s="53">
        <v>42830</v>
      </c>
      <c r="C316" s="291">
        <v>29974.240000000002</v>
      </c>
    </row>
    <row r="317" spans="2:3" x14ac:dyDescent="0.25">
      <c r="B317" s="53">
        <v>42831</v>
      </c>
      <c r="C317" s="291">
        <v>29927.34</v>
      </c>
    </row>
    <row r="318" spans="2:3" x14ac:dyDescent="0.25">
      <c r="B318" s="53">
        <v>42832</v>
      </c>
      <c r="C318" s="291">
        <v>29706.61</v>
      </c>
    </row>
    <row r="319" spans="2:3" x14ac:dyDescent="0.25">
      <c r="B319" s="53">
        <v>42835</v>
      </c>
      <c r="C319" s="291">
        <v>29575.74</v>
      </c>
    </row>
    <row r="320" spans="2:3" x14ac:dyDescent="0.25">
      <c r="B320" s="53">
        <v>42836</v>
      </c>
      <c r="C320" s="291">
        <v>29788.35</v>
      </c>
    </row>
    <row r="321" spans="2:3" x14ac:dyDescent="0.25">
      <c r="B321" s="53">
        <v>42837</v>
      </c>
      <c r="C321" s="291">
        <v>29643.48</v>
      </c>
    </row>
    <row r="322" spans="2:3" x14ac:dyDescent="0.25">
      <c r="B322" s="53">
        <v>42838</v>
      </c>
      <c r="C322" s="291">
        <v>29461.45</v>
      </c>
    </row>
    <row r="323" spans="2:3" x14ac:dyDescent="0.25">
      <c r="B323" s="53">
        <v>42842</v>
      </c>
      <c r="C323" s="291">
        <v>29413.66</v>
      </c>
    </row>
    <row r="324" spans="2:3" x14ac:dyDescent="0.25">
      <c r="B324" s="53">
        <v>42843</v>
      </c>
      <c r="C324" s="291">
        <v>29319.1</v>
      </c>
    </row>
    <row r="325" spans="2:3" x14ac:dyDescent="0.25">
      <c r="B325" s="53">
        <v>42844</v>
      </c>
      <c r="C325" s="291">
        <v>29336.57</v>
      </c>
    </row>
    <row r="326" spans="2:3" x14ac:dyDescent="0.25">
      <c r="B326" s="53">
        <v>42845</v>
      </c>
      <c r="C326" s="291">
        <v>29422.39</v>
      </c>
    </row>
    <row r="327" spans="2:3" x14ac:dyDescent="0.25">
      <c r="B327" s="53">
        <v>42846</v>
      </c>
      <c r="C327" s="291">
        <v>29365.3</v>
      </c>
    </row>
    <row r="328" spans="2:3" x14ac:dyDescent="0.25">
      <c r="B328" s="53">
        <v>42849</v>
      </c>
      <c r="C328" s="291">
        <v>29655.84</v>
      </c>
    </row>
    <row r="329" spans="2:3" x14ac:dyDescent="0.25">
      <c r="B329" s="53">
        <v>42850</v>
      </c>
      <c r="C329" s="291">
        <v>29943.24</v>
      </c>
    </row>
    <row r="330" spans="2:3" x14ac:dyDescent="0.25">
      <c r="B330" s="53">
        <v>42851</v>
      </c>
      <c r="C330" s="291">
        <v>30133.35</v>
      </c>
    </row>
    <row r="331" spans="2:3" x14ac:dyDescent="0.25">
      <c r="B331" s="53">
        <v>42852</v>
      </c>
      <c r="C331" s="291">
        <v>30029.74</v>
      </c>
    </row>
    <row r="332" spans="2:3" x14ac:dyDescent="0.25">
      <c r="B332" s="53">
        <v>42853</v>
      </c>
      <c r="C332" s="291">
        <v>29918.400000000001</v>
      </c>
    </row>
    <row r="333" spans="2:3" x14ac:dyDescent="0.25">
      <c r="B333" s="53">
        <v>42857</v>
      </c>
      <c r="C333" s="291">
        <v>29921.18</v>
      </c>
    </row>
    <row r="334" spans="2:3" x14ac:dyDescent="0.25">
      <c r="B334" s="53">
        <v>42858</v>
      </c>
      <c r="C334" s="291">
        <v>29894.799999999999</v>
      </c>
    </row>
    <row r="335" spans="2:3" x14ac:dyDescent="0.25">
      <c r="B335" s="53">
        <v>42859</v>
      </c>
      <c r="C335" s="291">
        <v>30126.21</v>
      </c>
    </row>
    <row r="336" spans="2:3" x14ac:dyDescent="0.25">
      <c r="B336" s="53">
        <v>42860</v>
      </c>
      <c r="C336" s="291">
        <v>29858.799999999999</v>
      </c>
    </row>
    <row r="337" spans="2:3" x14ac:dyDescent="0.25">
      <c r="B337" s="53">
        <v>42863</v>
      </c>
      <c r="C337" s="291">
        <v>29926.15</v>
      </c>
    </row>
    <row r="338" spans="2:3" x14ac:dyDescent="0.25">
      <c r="B338" s="53">
        <v>42864</v>
      </c>
      <c r="C338" s="291">
        <v>29933.25</v>
      </c>
    </row>
    <row r="339" spans="2:3" x14ac:dyDescent="0.25">
      <c r="B339" s="53">
        <v>42865</v>
      </c>
      <c r="C339" s="291">
        <v>30248.17</v>
      </c>
    </row>
    <row r="340" spans="2:3" x14ac:dyDescent="0.25">
      <c r="B340" s="53">
        <v>42866</v>
      </c>
      <c r="C340" s="291">
        <v>30250.98</v>
      </c>
    </row>
    <row r="341" spans="2:3" x14ac:dyDescent="0.25">
      <c r="B341" s="53">
        <v>42867</v>
      </c>
      <c r="C341" s="291">
        <v>30188.15</v>
      </c>
    </row>
    <row r="342" spans="2:3" x14ac:dyDescent="0.25">
      <c r="B342" s="53">
        <v>42870</v>
      </c>
      <c r="C342" s="291">
        <v>30322.12</v>
      </c>
    </row>
    <row r="343" spans="2:3" x14ac:dyDescent="0.25">
      <c r="B343" s="53">
        <v>42871</v>
      </c>
      <c r="C343" s="291">
        <v>30582.6</v>
      </c>
    </row>
    <row r="344" spans="2:3" x14ac:dyDescent="0.25">
      <c r="B344" s="53">
        <v>42872</v>
      </c>
      <c r="C344" s="291">
        <v>30658.77</v>
      </c>
    </row>
    <row r="345" spans="2:3" x14ac:dyDescent="0.25">
      <c r="B345" s="53">
        <v>42873</v>
      </c>
      <c r="C345" s="291">
        <v>30434.79</v>
      </c>
    </row>
    <row r="346" spans="2:3" x14ac:dyDescent="0.25">
      <c r="B346" s="53">
        <v>42874</v>
      </c>
      <c r="C346" s="291">
        <v>30464.92</v>
      </c>
    </row>
    <row r="347" spans="2:3" x14ac:dyDescent="0.25">
      <c r="B347" s="53">
        <v>42877</v>
      </c>
      <c r="C347" s="291">
        <v>30570.97</v>
      </c>
    </row>
    <row r="348" spans="2:3" x14ac:dyDescent="0.25">
      <c r="B348" s="53">
        <v>42878</v>
      </c>
      <c r="C348" s="291">
        <v>30365.25</v>
      </c>
    </row>
    <row r="349" spans="2:3" x14ac:dyDescent="0.25">
      <c r="B349" s="53">
        <v>42879</v>
      </c>
      <c r="C349" s="291">
        <v>30301.64</v>
      </c>
    </row>
    <row r="350" spans="2:3" x14ac:dyDescent="0.25">
      <c r="B350" s="53">
        <v>42880</v>
      </c>
      <c r="C350" s="291">
        <v>30750.03</v>
      </c>
    </row>
    <row r="351" spans="2:3" x14ac:dyDescent="0.25">
      <c r="B351" s="53">
        <v>42881</v>
      </c>
      <c r="C351" s="291">
        <v>31028.21</v>
      </c>
    </row>
    <row r="352" spans="2:3" x14ac:dyDescent="0.25">
      <c r="B352" s="53">
        <v>42884</v>
      </c>
      <c r="C352" s="291">
        <v>31109.279999999999</v>
      </c>
    </row>
    <row r="353" spans="2:3" x14ac:dyDescent="0.25">
      <c r="B353" s="53">
        <v>42885</v>
      </c>
      <c r="C353" s="291">
        <v>31159.4</v>
      </c>
    </row>
    <row r="354" spans="2:3" x14ac:dyDescent="0.25">
      <c r="B354" s="53">
        <v>42886</v>
      </c>
      <c r="C354" s="291">
        <v>31145.8</v>
      </c>
    </row>
    <row r="355" spans="2:3" x14ac:dyDescent="0.25">
      <c r="B355" s="53">
        <v>42887</v>
      </c>
      <c r="C355" s="291">
        <v>31137.59</v>
      </c>
    </row>
    <row r="356" spans="2:3" x14ac:dyDescent="0.25">
      <c r="B356" s="53">
        <v>42888</v>
      </c>
      <c r="C356" s="291">
        <v>31273.29</v>
      </c>
    </row>
    <row r="357" spans="2:3" x14ac:dyDescent="0.25">
      <c r="B357" s="53">
        <v>42891</v>
      </c>
      <c r="C357" s="291">
        <v>31309.49</v>
      </c>
    </row>
    <row r="358" spans="2:3" x14ac:dyDescent="0.25">
      <c r="B358" s="53">
        <v>42892</v>
      </c>
      <c r="C358" s="291">
        <v>31190.560000000001</v>
      </c>
    </row>
    <row r="359" spans="2:3" x14ac:dyDescent="0.25">
      <c r="B359" s="53">
        <v>42893</v>
      </c>
      <c r="C359" s="291">
        <v>31271.279999999999</v>
      </c>
    </row>
    <row r="360" spans="2:3" x14ac:dyDescent="0.25">
      <c r="B360" s="53">
        <v>42894</v>
      </c>
      <c r="C360" s="291">
        <v>31213.360000000001</v>
      </c>
    </row>
    <row r="361" spans="2:3" x14ac:dyDescent="0.25">
      <c r="B361" s="53">
        <v>42895</v>
      </c>
      <c r="C361" s="291">
        <v>31262.06</v>
      </c>
    </row>
    <row r="362" spans="2:3" x14ac:dyDescent="0.25">
      <c r="B362" s="53">
        <v>42898</v>
      </c>
      <c r="C362" s="291">
        <v>31095.7</v>
      </c>
    </row>
    <row r="363" spans="2:3" x14ac:dyDescent="0.25">
      <c r="B363" s="53">
        <v>42899</v>
      </c>
      <c r="C363" s="291">
        <v>31103.49</v>
      </c>
    </row>
    <row r="364" spans="2:3" x14ac:dyDescent="0.25">
      <c r="B364" s="53">
        <v>42900</v>
      </c>
      <c r="C364" s="291">
        <v>31155.91</v>
      </c>
    </row>
    <row r="365" spans="2:3" x14ac:dyDescent="0.25">
      <c r="B365" s="53">
        <v>42901</v>
      </c>
      <c r="C365" s="291">
        <v>31075.73</v>
      </c>
    </row>
    <row r="366" spans="2:3" x14ac:dyDescent="0.25">
      <c r="B366" s="53">
        <v>42902</v>
      </c>
      <c r="C366" s="291">
        <v>31056.400000000001</v>
      </c>
    </row>
    <row r="367" spans="2:3" x14ac:dyDescent="0.25">
      <c r="B367" s="53">
        <v>42905</v>
      </c>
      <c r="C367" s="291">
        <v>31311.57</v>
      </c>
    </row>
    <row r="368" spans="2:3" x14ac:dyDescent="0.25">
      <c r="B368" s="53">
        <v>42906</v>
      </c>
      <c r="C368" s="291">
        <v>31297.53</v>
      </c>
    </row>
    <row r="369" spans="2:3" x14ac:dyDescent="0.25">
      <c r="B369" s="53">
        <v>42907</v>
      </c>
      <c r="C369" s="291">
        <v>31283.64</v>
      </c>
    </row>
    <row r="370" spans="2:3" x14ac:dyDescent="0.25">
      <c r="B370" s="53">
        <v>42908</v>
      </c>
      <c r="C370" s="291">
        <v>31290.74</v>
      </c>
    </row>
    <row r="371" spans="2:3" x14ac:dyDescent="0.25">
      <c r="B371" s="53">
        <v>42909</v>
      </c>
      <c r="C371" s="291">
        <v>31138.21</v>
      </c>
    </row>
    <row r="372" spans="2:3" x14ac:dyDescent="0.25">
      <c r="B372" s="53">
        <v>42913</v>
      </c>
      <c r="C372" s="291">
        <v>30958.25</v>
      </c>
    </row>
    <row r="373" spans="2:3" x14ac:dyDescent="0.25">
      <c r="B373" s="53">
        <v>42914</v>
      </c>
      <c r="C373" s="291">
        <v>30834.32</v>
      </c>
    </row>
    <row r="374" spans="2:3" x14ac:dyDescent="0.25">
      <c r="B374" s="53">
        <v>42915</v>
      </c>
      <c r="C374" s="291">
        <v>30857.52</v>
      </c>
    </row>
    <row r="375" spans="2:3" x14ac:dyDescent="0.25">
      <c r="B375" s="53">
        <v>42916</v>
      </c>
      <c r="C375" s="291">
        <v>30921.61</v>
      </c>
    </row>
    <row r="376" spans="2:3" x14ac:dyDescent="0.25">
      <c r="B376" s="53">
        <v>42919</v>
      </c>
      <c r="C376" s="291">
        <v>31221.62</v>
      </c>
    </row>
    <row r="377" spans="2:3" x14ac:dyDescent="0.25">
      <c r="B377" s="53">
        <v>42920</v>
      </c>
      <c r="C377" s="291">
        <v>31209.79</v>
      </c>
    </row>
    <row r="378" spans="2:3" x14ac:dyDescent="0.25">
      <c r="B378" s="53">
        <v>42921</v>
      </c>
      <c r="C378" s="291">
        <v>31245.56</v>
      </c>
    </row>
    <row r="379" spans="2:3" x14ac:dyDescent="0.25">
      <c r="B379" s="53">
        <v>42922</v>
      </c>
      <c r="C379" s="291">
        <v>31369.34</v>
      </c>
    </row>
    <row r="380" spans="2:3" x14ac:dyDescent="0.25">
      <c r="B380" s="53">
        <v>42923</v>
      </c>
      <c r="C380" s="291">
        <v>31360.63</v>
      </c>
    </row>
    <row r="381" spans="2:3" x14ac:dyDescent="0.25">
      <c r="B381" s="53">
        <v>42926</v>
      </c>
      <c r="C381" s="291">
        <v>31715.64</v>
      </c>
    </row>
    <row r="382" spans="2:3" x14ac:dyDescent="0.25">
      <c r="B382" s="53">
        <v>42927</v>
      </c>
      <c r="C382" s="291">
        <v>31747.09</v>
      </c>
    </row>
    <row r="383" spans="2:3" x14ac:dyDescent="0.25">
      <c r="B383" s="53">
        <v>42928</v>
      </c>
      <c r="C383" s="291">
        <v>31804.82</v>
      </c>
    </row>
    <row r="384" spans="2:3" x14ac:dyDescent="0.25">
      <c r="B384" s="53">
        <v>42929</v>
      </c>
      <c r="C384" s="291">
        <v>32037.38</v>
      </c>
    </row>
    <row r="385" spans="2:3" x14ac:dyDescent="0.25">
      <c r="B385" s="53">
        <v>42930</v>
      </c>
      <c r="C385" s="291">
        <v>32020.75</v>
      </c>
    </row>
    <row r="386" spans="2:3" x14ac:dyDescent="0.25">
      <c r="B386" s="53">
        <v>42933</v>
      </c>
      <c r="C386" s="291">
        <v>32074.78</v>
      </c>
    </row>
    <row r="387" spans="2:3" x14ac:dyDescent="0.25">
      <c r="B387" s="53">
        <v>42934</v>
      </c>
      <c r="C387" s="291">
        <v>31710.99</v>
      </c>
    </row>
    <row r="388" spans="2:3" x14ac:dyDescent="0.25">
      <c r="B388" s="53">
        <v>42935</v>
      </c>
      <c r="C388" s="291">
        <v>31955.35</v>
      </c>
    </row>
    <row r="389" spans="2:3" x14ac:dyDescent="0.25">
      <c r="B389" s="53">
        <v>42936</v>
      </c>
      <c r="C389" s="291">
        <v>31904.400000000001</v>
      </c>
    </row>
    <row r="390" spans="2:3" x14ac:dyDescent="0.25">
      <c r="B390" s="53">
        <v>42937</v>
      </c>
      <c r="C390" s="291">
        <v>32028.89</v>
      </c>
    </row>
    <row r="391" spans="2:3" x14ac:dyDescent="0.25">
      <c r="B391" s="53">
        <v>42940</v>
      </c>
      <c r="C391" s="291">
        <v>32245.87</v>
      </c>
    </row>
    <row r="392" spans="2:3" x14ac:dyDescent="0.25">
      <c r="B392" s="53">
        <v>42941</v>
      </c>
      <c r="C392" s="291">
        <v>32228.27</v>
      </c>
    </row>
    <row r="393" spans="2:3" x14ac:dyDescent="0.25">
      <c r="B393" s="53">
        <v>42942</v>
      </c>
      <c r="C393" s="291">
        <v>32382.46</v>
      </c>
    </row>
    <row r="394" spans="2:3" x14ac:dyDescent="0.25">
      <c r="B394" s="53">
        <v>42943</v>
      </c>
      <c r="C394" s="291">
        <v>32383.3</v>
      </c>
    </row>
    <row r="395" spans="2:3" x14ac:dyDescent="0.25">
      <c r="B395" s="53">
        <v>42944</v>
      </c>
      <c r="C395" s="291">
        <v>32309.88</v>
      </c>
    </row>
    <row r="396" spans="2:3" x14ac:dyDescent="0.25">
      <c r="B396" s="53">
        <v>42947</v>
      </c>
      <c r="C396" s="291">
        <v>32514.94</v>
      </c>
    </row>
    <row r="397" spans="2:3" x14ac:dyDescent="0.25">
      <c r="B397" s="53">
        <v>42948</v>
      </c>
      <c r="C397" s="291">
        <v>32575.17</v>
      </c>
    </row>
    <row r="398" spans="2:3" x14ac:dyDescent="0.25">
      <c r="B398" s="53">
        <v>42949</v>
      </c>
      <c r="C398" s="291">
        <v>32476.74</v>
      </c>
    </row>
    <row r="399" spans="2:3" x14ac:dyDescent="0.25">
      <c r="B399" s="53">
        <v>42950</v>
      </c>
      <c r="C399" s="291">
        <v>32237.88</v>
      </c>
    </row>
    <row r="400" spans="2:3" x14ac:dyDescent="0.25">
      <c r="B400" s="53">
        <v>42951</v>
      </c>
      <c r="C400" s="291">
        <v>32325.41</v>
      </c>
    </row>
    <row r="401" spans="2:3" x14ac:dyDescent="0.25">
      <c r="B401" s="53">
        <v>42954</v>
      </c>
      <c r="C401" s="291">
        <v>32273.67</v>
      </c>
    </row>
    <row r="402" spans="2:3" x14ac:dyDescent="0.25">
      <c r="B402" s="53">
        <v>42955</v>
      </c>
      <c r="C402" s="291">
        <v>32014.19</v>
      </c>
    </row>
    <row r="403" spans="2:3" x14ac:dyDescent="0.25">
      <c r="B403" s="53">
        <v>42956</v>
      </c>
      <c r="C403" s="291">
        <v>31797.84</v>
      </c>
    </row>
    <row r="404" spans="2:3" x14ac:dyDescent="0.25">
      <c r="B404" s="53">
        <v>42957</v>
      </c>
      <c r="C404" s="291">
        <v>31531.33</v>
      </c>
    </row>
    <row r="405" spans="2:3" x14ac:dyDescent="0.25">
      <c r="B405" s="53">
        <v>42958</v>
      </c>
      <c r="C405" s="291">
        <v>31213.59</v>
      </c>
    </row>
    <row r="406" spans="2:3" x14ac:dyDescent="0.25">
      <c r="B406" s="53">
        <v>42961</v>
      </c>
      <c r="C406" s="291">
        <v>31449.03</v>
      </c>
    </row>
    <row r="407" spans="2:3" x14ac:dyDescent="0.25">
      <c r="B407" s="53">
        <v>42963</v>
      </c>
      <c r="C407" s="291">
        <v>31770.89</v>
      </c>
    </row>
    <row r="408" spans="2:3" x14ac:dyDescent="0.25">
      <c r="B408" s="53">
        <v>42964</v>
      </c>
      <c r="C408" s="291">
        <v>31795.46</v>
      </c>
    </row>
    <row r="409" spans="2:3" x14ac:dyDescent="0.25">
      <c r="B409" s="53">
        <v>42965</v>
      </c>
      <c r="C409" s="291">
        <v>31524.68</v>
      </c>
    </row>
    <row r="410" spans="2:3" x14ac:dyDescent="0.25">
      <c r="B410" s="53">
        <v>42968</v>
      </c>
      <c r="C410" s="291">
        <v>31258.85</v>
      </c>
    </row>
    <row r="411" spans="2:3" x14ac:dyDescent="0.25">
      <c r="B411" s="53">
        <v>42969</v>
      </c>
      <c r="C411" s="291">
        <v>31291.85</v>
      </c>
    </row>
    <row r="412" spans="2:3" x14ac:dyDescent="0.25">
      <c r="B412" s="53">
        <v>42970</v>
      </c>
      <c r="C412" s="291">
        <v>31568.01</v>
      </c>
    </row>
    <row r="413" spans="2:3" x14ac:dyDescent="0.25">
      <c r="B413" s="53">
        <v>42971</v>
      </c>
      <c r="C413" s="291">
        <v>31596.06</v>
      </c>
    </row>
    <row r="414" spans="2:3" x14ac:dyDescent="0.25">
      <c r="B414" s="53">
        <v>42975</v>
      </c>
      <c r="C414" s="291">
        <v>31750.82</v>
      </c>
    </row>
    <row r="415" spans="2:3" x14ac:dyDescent="0.25">
      <c r="B415" s="53">
        <v>42976</v>
      </c>
      <c r="C415" s="291">
        <v>31388.39</v>
      </c>
    </row>
    <row r="416" spans="2:3" x14ac:dyDescent="0.25">
      <c r="B416" s="53">
        <v>42977</v>
      </c>
      <c r="C416" s="291">
        <v>31646.46</v>
      </c>
    </row>
    <row r="417" spans="2:3" x14ac:dyDescent="0.25">
      <c r="B417" s="53">
        <v>42978</v>
      </c>
      <c r="C417" s="291">
        <v>31730.49</v>
      </c>
    </row>
    <row r="418" spans="2:3" x14ac:dyDescent="0.25">
      <c r="B418" s="53">
        <v>42979</v>
      </c>
      <c r="C418" s="291">
        <v>31892.23</v>
      </c>
    </row>
    <row r="419" spans="2:3" x14ac:dyDescent="0.25">
      <c r="B419" s="53">
        <v>42982</v>
      </c>
      <c r="C419" s="291">
        <v>31702.25</v>
      </c>
    </row>
    <row r="420" spans="2:3" x14ac:dyDescent="0.25">
      <c r="B420" s="53">
        <v>42983</v>
      </c>
      <c r="C420" s="291">
        <v>31809.55</v>
      </c>
    </row>
    <row r="421" spans="2:3" x14ac:dyDescent="0.25">
      <c r="B421" s="53">
        <v>42984</v>
      </c>
      <c r="C421" s="291">
        <v>31661.97</v>
      </c>
    </row>
    <row r="422" spans="2:3" x14ac:dyDescent="0.25">
      <c r="B422" s="53">
        <v>42985</v>
      </c>
      <c r="C422" s="291">
        <v>31662.74</v>
      </c>
    </row>
    <row r="423" spans="2:3" x14ac:dyDescent="0.25">
      <c r="B423" s="53">
        <v>42986</v>
      </c>
      <c r="C423" s="291">
        <v>31687.52</v>
      </c>
    </row>
    <row r="424" spans="2:3" x14ac:dyDescent="0.25">
      <c r="B424" s="53">
        <v>42989</v>
      </c>
      <c r="C424" s="291">
        <v>31882.16</v>
      </c>
    </row>
    <row r="425" spans="2:3" x14ac:dyDescent="0.25">
      <c r="B425" s="53">
        <v>42990</v>
      </c>
      <c r="C425" s="291">
        <v>32158.66</v>
      </c>
    </row>
    <row r="426" spans="2:3" x14ac:dyDescent="0.25">
      <c r="B426" s="53">
        <v>42991</v>
      </c>
      <c r="C426" s="291">
        <v>32186.41</v>
      </c>
    </row>
    <row r="427" spans="2:3" x14ac:dyDescent="0.25">
      <c r="B427" s="53">
        <v>42992</v>
      </c>
      <c r="C427" s="291">
        <v>32241.93</v>
      </c>
    </row>
    <row r="428" spans="2:3" x14ac:dyDescent="0.25">
      <c r="B428" s="53">
        <v>42993</v>
      </c>
      <c r="C428" s="291">
        <v>32272.61</v>
      </c>
    </row>
    <row r="429" spans="2:3" x14ac:dyDescent="0.25">
      <c r="B429" s="53">
        <v>42996</v>
      </c>
      <c r="C429" s="291">
        <v>32423.759999999998</v>
      </c>
    </row>
    <row r="430" spans="2:3" x14ac:dyDescent="0.25">
      <c r="B430" s="53">
        <v>42997</v>
      </c>
      <c r="C430" s="291">
        <v>32402.37</v>
      </c>
    </row>
    <row r="431" spans="2:3" x14ac:dyDescent="0.25">
      <c r="B431" s="53">
        <v>42998</v>
      </c>
      <c r="C431" s="291">
        <v>32400.51</v>
      </c>
    </row>
    <row r="432" spans="2:3" x14ac:dyDescent="0.25">
      <c r="B432" s="53">
        <v>42999</v>
      </c>
      <c r="C432" s="291">
        <v>32370.04</v>
      </c>
    </row>
    <row r="433" spans="2:3" x14ac:dyDescent="0.25">
      <c r="B433" s="53">
        <v>43000</v>
      </c>
      <c r="C433" s="291">
        <v>31922.44</v>
      </c>
    </row>
    <row r="434" spans="2:3" x14ac:dyDescent="0.25">
      <c r="B434" s="53">
        <v>43003</v>
      </c>
      <c r="C434" s="291">
        <v>31626.63</v>
      </c>
    </row>
    <row r="435" spans="2:3" x14ac:dyDescent="0.25">
      <c r="B435" s="53">
        <v>43004</v>
      </c>
      <c r="C435" s="291">
        <v>31599.759999999998</v>
      </c>
    </row>
    <row r="436" spans="2:3" x14ac:dyDescent="0.25">
      <c r="B436" s="53">
        <v>43005</v>
      </c>
      <c r="C436" s="291">
        <v>31159.81</v>
      </c>
    </row>
    <row r="437" spans="2:3" x14ac:dyDescent="0.25">
      <c r="B437" s="53">
        <v>43006</v>
      </c>
      <c r="C437" s="291">
        <v>31282.48</v>
      </c>
    </row>
    <row r="438" spans="2:3" x14ac:dyDescent="0.25">
      <c r="B438" s="53">
        <v>43007</v>
      </c>
      <c r="C438" s="291">
        <v>31283.72</v>
      </c>
    </row>
    <row r="439" spans="2:3" x14ac:dyDescent="0.25">
      <c r="B439" s="53">
        <v>43011</v>
      </c>
      <c r="C439" s="291">
        <v>31497.38</v>
      </c>
    </row>
    <row r="440" spans="2:3" x14ac:dyDescent="0.25">
      <c r="B440" s="53">
        <v>43012</v>
      </c>
      <c r="C440" s="291">
        <v>31671.71</v>
      </c>
    </row>
    <row r="441" spans="2:3" x14ac:dyDescent="0.25">
      <c r="B441" s="53">
        <v>43013</v>
      </c>
      <c r="C441" s="291">
        <v>31592.03</v>
      </c>
    </row>
    <row r="442" spans="2:3" x14ac:dyDescent="0.25">
      <c r="B442" s="53">
        <v>43014</v>
      </c>
      <c r="C442" s="291">
        <v>31814.22</v>
      </c>
    </row>
    <row r="443" spans="2:3" x14ac:dyDescent="0.25">
      <c r="B443" s="53">
        <v>43017</v>
      </c>
      <c r="C443" s="291">
        <v>31846.89</v>
      </c>
    </row>
    <row r="444" spans="2:3" x14ac:dyDescent="0.25">
      <c r="B444" s="53">
        <v>43018</v>
      </c>
      <c r="C444" s="291">
        <v>31924.41</v>
      </c>
    </row>
    <row r="445" spans="2:3" x14ac:dyDescent="0.25">
      <c r="B445" s="53">
        <v>43019</v>
      </c>
      <c r="C445" s="291">
        <v>31833.99</v>
      </c>
    </row>
    <row r="446" spans="2:3" x14ac:dyDescent="0.25">
      <c r="B446" s="53">
        <v>43020</v>
      </c>
      <c r="C446" s="291">
        <v>32182.22</v>
      </c>
    </row>
    <row r="447" spans="2:3" x14ac:dyDescent="0.25">
      <c r="B447" s="53">
        <v>43021</v>
      </c>
      <c r="C447" s="291">
        <v>32432.69</v>
      </c>
    </row>
    <row r="448" spans="2:3" x14ac:dyDescent="0.25">
      <c r="B448" s="53">
        <v>43024</v>
      </c>
      <c r="C448" s="291">
        <v>32633.64</v>
      </c>
    </row>
    <row r="449" spans="2:3" x14ac:dyDescent="0.25">
      <c r="B449" s="53">
        <v>43025</v>
      </c>
      <c r="C449" s="291">
        <v>32609.16</v>
      </c>
    </row>
    <row r="450" spans="2:3" x14ac:dyDescent="0.25">
      <c r="B450" s="53">
        <v>43026</v>
      </c>
      <c r="C450" s="291">
        <v>32584.35</v>
      </c>
    </row>
    <row r="451" spans="2:3" x14ac:dyDescent="0.25">
      <c r="B451" s="53">
        <v>43027</v>
      </c>
      <c r="C451" s="291">
        <v>32389.96</v>
      </c>
    </row>
    <row r="452" spans="2:3" x14ac:dyDescent="0.25">
      <c r="B452" s="53">
        <v>43031</v>
      </c>
      <c r="C452" s="291">
        <v>32506.720000000001</v>
      </c>
    </row>
    <row r="453" spans="2:3" x14ac:dyDescent="0.25">
      <c r="B453" s="53">
        <v>43032</v>
      </c>
      <c r="C453" s="291">
        <v>32607.34</v>
      </c>
    </row>
    <row r="454" spans="2:3" x14ac:dyDescent="0.25">
      <c r="B454" s="53">
        <v>43033</v>
      </c>
      <c r="C454" s="291">
        <v>33042.5</v>
      </c>
    </row>
    <row r="455" spans="2:3" x14ac:dyDescent="0.25">
      <c r="B455" s="53">
        <v>43034</v>
      </c>
      <c r="C455" s="291">
        <v>33147.129999999997</v>
      </c>
    </row>
    <row r="456" spans="2:3" x14ac:dyDescent="0.25">
      <c r="B456" s="53">
        <v>43035</v>
      </c>
      <c r="C456" s="291">
        <v>33157.22</v>
      </c>
    </row>
    <row r="457" spans="2:3" x14ac:dyDescent="0.25">
      <c r="B457" s="53">
        <v>43038</v>
      </c>
      <c r="C457" s="291">
        <v>33266.160000000003</v>
      </c>
    </row>
    <row r="458" spans="2:3" x14ac:dyDescent="0.25">
      <c r="B458" s="53">
        <v>43039</v>
      </c>
      <c r="C458" s="291">
        <v>33213.129999999997</v>
      </c>
    </row>
    <row r="459" spans="2:3" x14ac:dyDescent="0.25">
      <c r="B459" s="53">
        <v>43040</v>
      </c>
      <c r="C459" s="291">
        <v>33600.269999999997</v>
      </c>
    </row>
    <row r="460" spans="2:3" x14ac:dyDescent="0.25">
      <c r="B460" s="53">
        <v>43041</v>
      </c>
      <c r="C460" s="291">
        <v>33573.22</v>
      </c>
    </row>
    <row r="461" spans="2:3" x14ac:dyDescent="0.25">
      <c r="B461" s="53">
        <v>43042</v>
      </c>
      <c r="C461" s="291">
        <v>33685.56</v>
      </c>
    </row>
    <row r="462" spans="2:3" x14ac:dyDescent="0.25">
      <c r="B462" s="53">
        <v>43045</v>
      </c>
      <c r="C462" s="291">
        <v>33731.19</v>
      </c>
    </row>
    <row r="463" spans="2:3" x14ac:dyDescent="0.25">
      <c r="B463" s="53">
        <v>43046</v>
      </c>
      <c r="C463" s="291">
        <v>33370.76</v>
      </c>
    </row>
    <row r="464" spans="2:3" x14ac:dyDescent="0.25">
      <c r="B464" s="53">
        <v>43047</v>
      </c>
      <c r="C464" s="291">
        <v>33218.81</v>
      </c>
    </row>
    <row r="465" spans="2:3" x14ac:dyDescent="0.25">
      <c r="B465" s="53">
        <v>43048</v>
      </c>
      <c r="C465" s="291">
        <v>33250.93</v>
      </c>
    </row>
    <row r="466" spans="2:3" x14ac:dyDescent="0.25">
      <c r="B466" s="53">
        <v>43049</v>
      </c>
      <c r="C466" s="291">
        <v>33314.559999999998</v>
      </c>
    </row>
    <row r="467" spans="2:3" x14ac:dyDescent="0.25">
      <c r="B467" s="53">
        <v>43052</v>
      </c>
      <c r="C467" s="291">
        <v>33033.56</v>
      </c>
    </row>
    <row r="468" spans="2:3" x14ac:dyDescent="0.25">
      <c r="B468" s="53">
        <v>43053</v>
      </c>
      <c r="C468" s="291">
        <v>32941.870000000003</v>
      </c>
    </row>
    <row r="469" spans="2:3" x14ac:dyDescent="0.25">
      <c r="B469" s="53">
        <v>43054</v>
      </c>
      <c r="C469" s="291">
        <v>32760.44</v>
      </c>
    </row>
    <row r="470" spans="2:3" x14ac:dyDescent="0.25">
      <c r="B470" s="53">
        <v>43055</v>
      </c>
      <c r="C470" s="291">
        <v>33106.82</v>
      </c>
    </row>
    <row r="471" spans="2:3" x14ac:dyDescent="0.25">
      <c r="B471" s="53">
        <v>43056</v>
      </c>
      <c r="C471" s="291">
        <v>33342.800000000003</v>
      </c>
    </row>
    <row r="472" spans="2:3" x14ac:dyDescent="0.25">
      <c r="B472" s="53">
        <v>43059</v>
      </c>
      <c r="C472" s="291">
        <v>33359.9</v>
      </c>
    </row>
    <row r="473" spans="2:3" x14ac:dyDescent="0.25">
      <c r="B473" s="53">
        <v>43060</v>
      </c>
      <c r="C473" s="291">
        <v>33478.35</v>
      </c>
    </row>
    <row r="474" spans="2:3" x14ac:dyDescent="0.25">
      <c r="B474" s="53">
        <v>43061</v>
      </c>
      <c r="C474" s="291">
        <v>33561.550000000003</v>
      </c>
    </row>
    <row r="475" spans="2:3" x14ac:dyDescent="0.25">
      <c r="B475" s="53">
        <v>43062</v>
      </c>
      <c r="C475" s="291">
        <v>33588.080000000002</v>
      </c>
    </row>
    <row r="476" spans="2:3" x14ac:dyDescent="0.25">
      <c r="B476" s="53">
        <v>43063</v>
      </c>
      <c r="C476" s="291">
        <v>33679.24</v>
      </c>
    </row>
    <row r="477" spans="2:3" x14ac:dyDescent="0.25">
      <c r="B477" s="53">
        <v>43066</v>
      </c>
      <c r="C477" s="291">
        <v>33724.44</v>
      </c>
    </row>
    <row r="478" spans="2:3" x14ac:dyDescent="0.25">
      <c r="B478" s="53">
        <v>43067</v>
      </c>
      <c r="C478" s="291">
        <v>33618.589999999997</v>
      </c>
    </row>
    <row r="479" spans="2:3" x14ac:dyDescent="0.25">
      <c r="B479" s="53">
        <v>43068</v>
      </c>
      <c r="C479" s="291">
        <v>33602.76</v>
      </c>
    </row>
    <row r="480" spans="2:3" x14ac:dyDescent="0.25">
      <c r="B480" s="53">
        <v>43069</v>
      </c>
      <c r="C480" s="291">
        <v>33149.35</v>
      </c>
    </row>
    <row r="481" spans="2:3" x14ac:dyDescent="0.25">
      <c r="B481" s="53">
        <v>43070</v>
      </c>
      <c r="C481" s="291">
        <v>32832.94</v>
      </c>
    </row>
    <row r="482" spans="2:3" x14ac:dyDescent="0.25">
      <c r="B482" s="53">
        <v>43073</v>
      </c>
      <c r="C482" s="291">
        <v>32869.72</v>
      </c>
    </row>
    <row r="483" spans="2:3" x14ac:dyDescent="0.25">
      <c r="B483" s="53">
        <v>43074</v>
      </c>
      <c r="C483" s="291">
        <v>32802.44</v>
      </c>
    </row>
    <row r="484" spans="2:3" x14ac:dyDescent="0.25">
      <c r="B484" s="53">
        <v>43075</v>
      </c>
      <c r="C484" s="291">
        <v>32597.18</v>
      </c>
    </row>
    <row r="485" spans="2:3" x14ac:dyDescent="0.25">
      <c r="B485" s="53">
        <v>43076</v>
      </c>
      <c r="C485" s="291">
        <v>32949.21</v>
      </c>
    </row>
    <row r="486" spans="2:3" x14ac:dyDescent="0.25">
      <c r="B486" s="53">
        <v>43077</v>
      </c>
      <c r="C486" s="291">
        <v>33250.300000000003</v>
      </c>
    </row>
    <row r="487" spans="2:3" x14ac:dyDescent="0.25">
      <c r="B487" s="53">
        <v>43080</v>
      </c>
      <c r="C487" s="291">
        <v>33455.79</v>
      </c>
    </row>
    <row r="488" spans="2:3" x14ac:dyDescent="0.25">
      <c r="B488" s="53">
        <v>43081</v>
      </c>
      <c r="C488" s="291">
        <v>33227.99</v>
      </c>
    </row>
    <row r="489" spans="2:3" x14ac:dyDescent="0.25">
      <c r="B489" s="53">
        <v>43082</v>
      </c>
      <c r="C489" s="291">
        <v>33053.040000000001</v>
      </c>
    </row>
    <row r="490" spans="2:3" x14ac:dyDescent="0.25">
      <c r="B490" s="53">
        <v>43083</v>
      </c>
      <c r="C490" s="291">
        <v>33246.699999999997</v>
      </c>
    </row>
    <row r="491" spans="2:3" x14ac:dyDescent="0.25">
      <c r="B491" s="53">
        <v>43084</v>
      </c>
      <c r="C491" s="291">
        <v>33462.97</v>
      </c>
    </row>
    <row r="492" spans="2:3" x14ac:dyDescent="0.25">
      <c r="B492" s="53">
        <v>43087</v>
      </c>
      <c r="C492" s="291">
        <v>33601.68</v>
      </c>
    </row>
    <row r="493" spans="2:3" x14ac:dyDescent="0.25">
      <c r="B493" s="53">
        <v>43088</v>
      </c>
      <c r="C493" s="291">
        <v>33836.74</v>
      </c>
    </row>
    <row r="494" spans="2:3" x14ac:dyDescent="0.25">
      <c r="B494" s="53">
        <v>43089</v>
      </c>
      <c r="C494" s="291">
        <v>33777.379999999997</v>
      </c>
    </row>
    <row r="495" spans="2:3" x14ac:dyDescent="0.25">
      <c r="B495" s="53">
        <v>43090</v>
      </c>
      <c r="C495" s="291">
        <v>33756.28</v>
      </c>
    </row>
    <row r="496" spans="2:3" x14ac:dyDescent="0.25">
      <c r="B496" s="53">
        <v>43091</v>
      </c>
      <c r="C496" s="291">
        <v>33940.300000000003</v>
      </c>
    </row>
    <row r="497" spans="2:3" x14ac:dyDescent="0.25">
      <c r="B497" s="53">
        <v>43095</v>
      </c>
      <c r="C497" s="291">
        <v>34010.61</v>
      </c>
    </row>
    <row r="498" spans="2:3" x14ac:dyDescent="0.25">
      <c r="B498" s="53">
        <v>43096</v>
      </c>
      <c r="C498" s="291">
        <v>33911.81</v>
      </c>
    </row>
    <row r="499" spans="2:3" x14ac:dyDescent="0.25">
      <c r="B499" s="53">
        <v>43097</v>
      </c>
      <c r="C499" s="291">
        <v>33848.03</v>
      </c>
    </row>
    <row r="500" spans="2:3" x14ac:dyDescent="0.25">
      <c r="B500" s="53">
        <v>43098</v>
      </c>
      <c r="C500" s="291">
        <v>34056.83</v>
      </c>
    </row>
    <row r="501" spans="2:3" x14ac:dyDescent="0.25">
      <c r="B501" s="53">
        <v>43101</v>
      </c>
      <c r="C501" s="291">
        <v>33812.75</v>
      </c>
    </row>
    <row r="502" spans="2:3" x14ac:dyDescent="0.25">
      <c r="B502" s="53">
        <v>43102</v>
      </c>
      <c r="C502" s="291">
        <v>33812.26</v>
      </c>
    </row>
    <row r="503" spans="2:3" x14ac:dyDescent="0.25">
      <c r="B503" s="53">
        <v>43103</v>
      </c>
      <c r="C503" s="291">
        <v>33793.379999999997</v>
      </c>
    </row>
    <row r="504" spans="2:3" x14ac:dyDescent="0.25">
      <c r="B504" s="53">
        <v>43104</v>
      </c>
      <c r="C504" s="291">
        <v>33969.64</v>
      </c>
    </row>
    <row r="505" spans="2:3" x14ac:dyDescent="0.25">
      <c r="B505" s="53">
        <v>43105</v>
      </c>
      <c r="C505" s="291">
        <v>34153.85</v>
      </c>
    </row>
    <row r="506" spans="2:3" x14ac:dyDescent="0.25">
      <c r="B506" s="53">
        <v>43108</v>
      </c>
      <c r="C506" s="291">
        <v>34352.79</v>
      </c>
    </row>
    <row r="507" spans="2:3" x14ac:dyDescent="0.25">
      <c r="B507" s="53">
        <v>43109</v>
      </c>
      <c r="C507" s="291">
        <v>34443.19</v>
      </c>
    </row>
    <row r="508" spans="2:3" x14ac:dyDescent="0.25">
      <c r="B508" s="53">
        <v>43110</v>
      </c>
      <c r="C508" s="291">
        <v>34433.07</v>
      </c>
    </row>
    <row r="509" spans="2:3" x14ac:dyDescent="0.25">
      <c r="B509" s="53">
        <v>43111</v>
      </c>
      <c r="C509" s="291">
        <v>34503.49</v>
      </c>
    </row>
    <row r="510" spans="2:3" x14ac:dyDescent="0.25">
      <c r="B510" s="53">
        <v>43112</v>
      </c>
      <c r="C510" s="291">
        <v>34592.39</v>
      </c>
    </row>
    <row r="511" spans="2:3" x14ac:dyDescent="0.25">
      <c r="B511" s="53">
        <v>43115</v>
      </c>
      <c r="C511" s="291">
        <v>34843.51</v>
      </c>
    </row>
    <row r="512" spans="2:3" x14ac:dyDescent="0.25">
      <c r="B512" s="53">
        <v>43116</v>
      </c>
      <c r="C512" s="291">
        <v>34771.050000000003</v>
      </c>
    </row>
    <row r="513" spans="2:3" x14ac:dyDescent="0.25">
      <c r="B513" s="53">
        <v>43117</v>
      </c>
      <c r="C513" s="291">
        <v>35081.82</v>
      </c>
    </row>
    <row r="514" spans="2:3" x14ac:dyDescent="0.25">
      <c r="B514" s="53">
        <v>43118</v>
      </c>
      <c r="C514" s="291">
        <v>35260.29</v>
      </c>
    </row>
    <row r="515" spans="2:3" x14ac:dyDescent="0.25">
      <c r="B515" s="53">
        <v>43119</v>
      </c>
      <c r="C515" s="291">
        <v>35511.58</v>
      </c>
    </row>
    <row r="516" spans="2:3" x14ac:dyDescent="0.25">
      <c r="B516" s="53">
        <v>43122</v>
      </c>
      <c r="C516" s="291">
        <v>35798.01</v>
      </c>
    </row>
    <row r="517" spans="2:3" x14ac:dyDescent="0.25">
      <c r="B517" s="53">
        <v>43123</v>
      </c>
      <c r="C517" s="291">
        <v>36139.980000000003</v>
      </c>
    </row>
    <row r="518" spans="2:3" x14ac:dyDescent="0.25">
      <c r="B518" s="53">
        <v>43124</v>
      </c>
      <c r="C518" s="291">
        <v>36161.64</v>
      </c>
    </row>
    <row r="519" spans="2:3" x14ac:dyDescent="0.25">
      <c r="B519" s="53">
        <v>43125</v>
      </c>
      <c r="C519" s="291">
        <v>36050.44</v>
      </c>
    </row>
    <row r="520" spans="2:3" x14ac:dyDescent="0.25">
      <c r="B520" s="53">
        <v>43129</v>
      </c>
      <c r="C520" s="291">
        <v>36283.25</v>
      </c>
    </row>
    <row r="521" spans="2:3" x14ac:dyDescent="0.25">
      <c r="B521" s="53">
        <v>43130</v>
      </c>
      <c r="C521" s="291">
        <v>36033.730000000003</v>
      </c>
    </row>
    <row r="522" spans="2:3" x14ac:dyDescent="0.25">
      <c r="B522" s="53">
        <v>43131</v>
      </c>
      <c r="C522" s="291">
        <v>35965.019999999997</v>
      </c>
    </row>
    <row r="523" spans="2:3" x14ac:dyDescent="0.25">
      <c r="B523" s="53">
        <v>43132</v>
      </c>
      <c r="C523" s="291">
        <v>35906.660000000003</v>
      </c>
    </row>
    <row r="524" spans="2:3" x14ac:dyDescent="0.25">
      <c r="B524" s="53">
        <v>43133</v>
      </c>
      <c r="C524" s="291">
        <v>35066.75</v>
      </c>
    </row>
    <row r="525" spans="2:3" x14ac:dyDescent="0.25">
      <c r="B525" s="53">
        <v>43136</v>
      </c>
      <c r="C525" s="291">
        <v>34757.160000000003</v>
      </c>
    </row>
    <row r="526" spans="2:3" x14ac:dyDescent="0.25">
      <c r="B526" s="53">
        <v>43137</v>
      </c>
      <c r="C526" s="291">
        <v>34195.94</v>
      </c>
    </row>
    <row r="527" spans="2:3" x14ac:dyDescent="0.25">
      <c r="B527" s="53">
        <v>43138</v>
      </c>
      <c r="C527" s="291">
        <v>34082.71</v>
      </c>
    </row>
    <row r="528" spans="2:3" x14ac:dyDescent="0.25">
      <c r="B528" s="53">
        <v>43139</v>
      </c>
      <c r="C528" s="291">
        <v>34413.160000000003</v>
      </c>
    </row>
    <row r="529" spans="2:3" x14ac:dyDescent="0.25">
      <c r="B529" s="53">
        <v>43140</v>
      </c>
      <c r="C529" s="291">
        <v>34005.760000000002</v>
      </c>
    </row>
    <row r="530" spans="2:3" x14ac:dyDescent="0.25">
      <c r="B530" s="53">
        <v>43143</v>
      </c>
      <c r="C530" s="291">
        <v>34300.47</v>
      </c>
    </row>
    <row r="531" spans="2:3" x14ac:dyDescent="0.25">
      <c r="B531" s="53">
        <v>43145</v>
      </c>
      <c r="C531" s="291">
        <v>34155.949999999997</v>
      </c>
    </row>
    <row r="532" spans="2:3" x14ac:dyDescent="0.25">
      <c r="B532" s="53">
        <v>43146</v>
      </c>
      <c r="C532" s="291">
        <v>34297.47</v>
      </c>
    </row>
    <row r="533" spans="2:3" x14ac:dyDescent="0.25">
      <c r="B533" s="53">
        <v>43147</v>
      </c>
      <c r="C533" s="291">
        <v>34010.76</v>
      </c>
    </row>
    <row r="534" spans="2:3" x14ac:dyDescent="0.25">
      <c r="B534" s="53">
        <v>43150</v>
      </c>
      <c r="C534" s="291">
        <v>33774.660000000003</v>
      </c>
    </row>
    <row r="535" spans="2:3" x14ac:dyDescent="0.25">
      <c r="B535" s="53">
        <v>43151</v>
      </c>
      <c r="C535" s="291">
        <v>33703.589999999997</v>
      </c>
    </row>
    <row r="536" spans="2:3" x14ac:dyDescent="0.25">
      <c r="B536" s="53">
        <v>43152</v>
      </c>
      <c r="C536" s="291">
        <v>33844.86</v>
      </c>
    </row>
    <row r="537" spans="2:3" x14ac:dyDescent="0.25">
      <c r="B537" s="53">
        <v>43153</v>
      </c>
      <c r="C537" s="291">
        <v>33819.5</v>
      </c>
    </row>
    <row r="538" spans="2:3" x14ac:dyDescent="0.25">
      <c r="B538" s="53">
        <v>43154</v>
      </c>
      <c r="C538" s="291">
        <v>34142.15</v>
      </c>
    </row>
    <row r="539" spans="2:3" x14ac:dyDescent="0.25">
      <c r="B539" s="53">
        <v>43157</v>
      </c>
      <c r="C539" s="291">
        <v>34445.75</v>
      </c>
    </row>
    <row r="540" spans="2:3" x14ac:dyDescent="0.25">
      <c r="B540" s="53">
        <v>43158</v>
      </c>
      <c r="C540" s="291">
        <v>34346.39</v>
      </c>
    </row>
    <row r="541" spans="2:3" x14ac:dyDescent="0.25">
      <c r="B541" s="53">
        <v>43159</v>
      </c>
      <c r="C541" s="291">
        <v>34184.04</v>
      </c>
    </row>
    <row r="542" spans="2:3" x14ac:dyDescent="0.25">
      <c r="B542" s="53">
        <v>43160</v>
      </c>
      <c r="C542" s="291">
        <v>34046.94</v>
      </c>
    </row>
    <row r="543" spans="2:3" x14ac:dyDescent="0.25">
      <c r="B543" s="53">
        <v>43164</v>
      </c>
      <c r="C543" s="291">
        <v>33746.78</v>
      </c>
    </row>
    <row r="544" spans="2:3" x14ac:dyDescent="0.25">
      <c r="B544" s="53">
        <v>43165</v>
      </c>
      <c r="C544" s="291">
        <v>33317.199999999997</v>
      </c>
    </row>
    <row r="545" spans="2:3" x14ac:dyDescent="0.25">
      <c r="B545" s="53">
        <v>43166</v>
      </c>
      <c r="C545" s="291">
        <v>33033.089999999997</v>
      </c>
    </row>
    <row r="546" spans="2:3" x14ac:dyDescent="0.25">
      <c r="B546" s="53">
        <v>43167</v>
      </c>
      <c r="C546" s="291">
        <v>33351.57</v>
      </c>
    </row>
    <row r="547" spans="2:3" x14ac:dyDescent="0.25">
      <c r="B547" s="53">
        <v>43168</v>
      </c>
      <c r="C547" s="291">
        <v>33307.14</v>
      </c>
    </row>
    <row r="548" spans="2:3" x14ac:dyDescent="0.25">
      <c r="B548" s="53">
        <v>43171</v>
      </c>
      <c r="C548" s="291">
        <v>33917.94</v>
      </c>
    </row>
    <row r="549" spans="2:3" x14ac:dyDescent="0.25">
      <c r="B549" s="53">
        <v>43172</v>
      </c>
      <c r="C549" s="291">
        <v>33856.78</v>
      </c>
    </row>
    <row r="550" spans="2:3" x14ac:dyDescent="0.25">
      <c r="B550" s="53">
        <v>43173</v>
      </c>
      <c r="C550" s="291">
        <v>33835.74</v>
      </c>
    </row>
    <row r="551" spans="2:3" x14ac:dyDescent="0.25">
      <c r="B551" s="53">
        <v>43174</v>
      </c>
      <c r="C551" s="291">
        <v>33685.54</v>
      </c>
    </row>
    <row r="552" spans="2:3" x14ac:dyDescent="0.25">
      <c r="B552" s="53">
        <v>43175</v>
      </c>
      <c r="C552" s="291">
        <v>33176</v>
      </c>
    </row>
    <row r="553" spans="2:3" x14ac:dyDescent="0.25">
      <c r="B553" s="53">
        <v>43178</v>
      </c>
      <c r="C553" s="291">
        <v>32923.120000000003</v>
      </c>
    </row>
    <row r="554" spans="2:3" x14ac:dyDescent="0.25">
      <c r="B554" s="53">
        <v>43179</v>
      </c>
      <c r="C554" s="291">
        <v>32996.76</v>
      </c>
    </row>
    <row r="555" spans="2:3" x14ac:dyDescent="0.25">
      <c r="B555" s="53">
        <v>43180</v>
      </c>
      <c r="C555" s="291">
        <v>33136.18</v>
      </c>
    </row>
    <row r="556" spans="2:3" x14ac:dyDescent="0.25">
      <c r="B556" s="53">
        <v>43181</v>
      </c>
      <c r="C556" s="291">
        <v>33006.269999999997</v>
      </c>
    </row>
    <row r="557" spans="2:3" x14ac:dyDescent="0.25">
      <c r="B557" s="53">
        <v>43182</v>
      </c>
      <c r="C557" s="291">
        <v>32596.54</v>
      </c>
    </row>
    <row r="558" spans="2:3" x14ac:dyDescent="0.25">
      <c r="B558" s="53">
        <v>43185</v>
      </c>
      <c r="C558" s="291">
        <v>33066.410000000003</v>
      </c>
    </row>
    <row r="559" spans="2:3" x14ac:dyDescent="0.25">
      <c r="B559" s="53">
        <v>43186</v>
      </c>
      <c r="C559" s="291">
        <v>33174.39</v>
      </c>
    </row>
    <row r="560" spans="2:3" x14ac:dyDescent="0.25">
      <c r="B560" s="53">
        <v>43187</v>
      </c>
      <c r="C560" s="291">
        <v>32968.68</v>
      </c>
    </row>
    <row r="561" spans="2:3" x14ac:dyDescent="0.25">
      <c r="B561" s="53">
        <v>43192</v>
      </c>
      <c r="C561" s="291">
        <v>33255.360000000001</v>
      </c>
    </row>
    <row r="562" spans="2:3" x14ac:dyDescent="0.25">
      <c r="B562" s="53">
        <v>43193</v>
      </c>
      <c r="C562" s="291">
        <v>33370.629999999997</v>
      </c>
    </row>
    <row r="563" spans="2:3" x14ac:dyDescent="0.25">
      <c r="B563" s="53">
        <v>43194</v>
      </c>
      <c r="C563" s="291">
        <v>33019.07</v>
      </c>
    </row>
    <row r="564" spans="2:3" x14ac:dyDescent="0.25">
      <c r="B564" s="53">
        <v>43195</v>
      </c>
      <c r="C564" s="291">
        <v>33596.800000000003</v>
      </c>
    </row>
    <row r="565" spans="2:3" x14ac:dyDescent="0.25">
      <c r="B565" s="53">
        <v>43196</v>
      </c>
      <c r="C565" s="291">
        <v>33626.97</v>
      </c>
    </row>
    <row r="566" spans="2:3" x14ac:dyDescent="0.25">
      <c r="B566" s="53">
        <v>43199</v>
      </c>
      <c r="C566" s="291">
        <v>33788.54</v>
      </c>
    </row>
    <row r="567" spans="2:3" x14ac:dyDescent="0.25">
      <c r="B567" s="53">
        <v>43200</v>
      </c>
      <c r="C567" s="291">
        <v>33880.25</v>
      </c>
    </row>
    <row r="568" spans="2:3" x14ac:dyDescent="0.25">
      <c r="B568" s="53">
        <v>43201</v>
      </c>
      <c r="C568" s="291">
        <v>33940.44</v>
      </c>
    </row>
    <row r="569" spans="2:3" x14ac:dyDescent="0.25">
      <c r="B569" s="53">
        <v>43202</v>
      </c>
      <c r="C569" s="291">
        <v>34101.129999999997</v>
      </c>
    </row>
    <row r="570" spans="2:3" x14ac:dyDescent="0.25">
      <c r="B570" s="53">
        <v>43203</v>
      </c>
      <c r="C570" s="291">
        <v>34192.65</v>
      </c>
    </row>
    <row r="571" spans="2:3" x14ac:dyDescent="0.25">
      <c r="B571" s="53">
        <v>43206</v>
      </c>
      <c r="C571" s="291">
        <v>34305.43</v>
      </c>
    </row>
    <row r="572" spans="2:3" x14ac:dyDescent="0.25">
      <c r="B572" s="53">
        <v>43207</v>
      </c>
      <c r="C572" s="291">
        <v>34395.06</v>
      </c>
    </row>
    <row r="573" spans="2:3" x14ac:dyDescent="0.25">
      <c r="B573" s="53">
        <v>43208</v>
      </c>
      <c r="C573" s="291">
        <v>34331.68</v>
      </c>
    </row>
    <row r="574" spans="2:3" x14ac:dyDescent="0.25">
      <c r="B574" s="53">
        <v>43209</v>
      </c>
      <c r="C574" s="291">
        <v>34427.29</v>
      </c>
    </row>
    <row r="575" spans="2:3" x14ac:dyDescent="0.25">
      <c r="B575" s="53">
        <v>43210</v>
      </c>
      <c r="C575" s="291">
        <v>34415.58</v>
      </c>
    </row>
    <row r="576" spans="2:3" x14ac:dyDescent="0.25">
      <c r="B576" s="53">
        <v>43213</v>
      </c>
      <c r="C576" s="291">
        <v>34450.769999999997</v>
      </c>
    </row>
    <row r="577" spans="2:3" x14ac:dyDescent="0.25">
      <c r="B577" s="53">
        <v>43214</v>
      </c>
      <c r="C577" s="291">
        <v>34616.639999999999</v>
      </c>
    </row>
    <row r="578" spans="2:3" x14ac:dyDescent="0.25">
      <c r="B578" s="53">
        <v>43215</v>
      </c>
      <c r="C578" s="291">
        <v>34501.269999999997</v>
      </c>
    </row>
    <row r="579" spans="2:3" x14ac:dyDescent="0.25">
      <c r="B579" s="53">
        <v>43216</v>
      </c>
      <c r="C579" s="291">
        <v>34713.599999999999</v>
      </c>
    </row>
    <row r="580" spans="2:3" x14ac:dyDescent="0.25">
      <c r="B580" s="53">
        <v>43217</v>
      </c>
      <c r="C580" s="291">
        <v>34969.699999999997</v>
      </c>
    </row>
    <row r="581" spans="2:3" x14ac:dyDescent="0.25">
      <c r="B581" s="53">
        <v>43220</v>
      </c>
      <c r="C581" s="291">
        <v>35160.36</v>
      </c>
    </row>
    <row r="582" spans="2:3" x14ac:dyDescent="0.25">
      <c r="B582" s="53">
        <v>43222</v>
      </c>
      <c r="C582" s="291">
        <v>35176.42</v>
      </c>
    </row>
    <row r="583" spans="2:3" x14ac:dyDescent="0.25">
      <c r="B583" s="53">
        <v>43223</v>
      </c>
      <c r="C583" s="291">
        <v>35103.14</v>
      </c>
    </row>
    <row r="584" spans="2:3" x14ac:dyDescent="0.25">
      <c r="B584" s="53">
        <v>43224</v>
      </c>
      <c r="C584" s="291">
        <v>34915.379999999997</v>
      </c>
    </row>
    <row r="585" spans="2:3" x14ac:dyDescent="0.25">
      <c r="B585" s="53">
        <v>43227</v>
      </c>
      <c r="C585" s="291">
        <v>35208.14</v>
      </c>
    </row>
    <row r="586" spans="2:3" x14ac:dyDescent="0.25">
      <c r="B586" s="53">
        <v>43228</v>
      </c>
      <c r="C586" s="291">
        <v>35216.32</v>
      </c>
    </row>
    <row r="587" spans="2:3" x14ac:dyDescent="0.25">
      <c r="B587" s="53">
        <v>43229</v>
      </c>
      <c r="C587" s="291">
        <v>35319.35</v>
      </c>
    </row>
    <row r="588" spans="2:3" x14ac:dyDescent="0.25">
      <c r="B588" s="53">
        <v>43230</v>
      </c>
      <c r="C588" s="291">
        <v>35246.269999999997</v>
      </c>
    </row>
    <row r="589" spans="2:3" x14ac:dyDescent="0.25">
      <c r="B589" s="53">
        <v>43231</v>
      </c>
      <c r="C589" s="291">
        <v>35535.79</v>
      </c>
    </row>
    <row r="590" spans="2:3" x14ac:dyDescent="0.25">
      <c r="B590" s="53">
        <v>43234</v>
      </c>
      <c r="C590" s="291">
        <v>35556.71</v>
      </c>
    </row>
    <row r="591" spans="2:3" x14ac:dyDescent="0.25">
      <c r="B591" s="53">
        <v>43235</v>
      </c>
      <c r="C591" s="291">
        <v>35543.94</v>
      </c>
    </row>
    <row r="592" spans="2:3" x14ac:dyDescent="0.25">
      <c r="B592" s="53">
        <v>43236</v>
      </c>
      <c r="C592" s="291">
        <v>35387.879999999997</v>
      </c>
    </row>
    <row r="593" spans="2:3" x14ac:dyDescent="0.25">
      <c r="B593" s="53">
        <v>43237</v>
      </c>
      <c r="C593" s="291">
        <v>35149.120000000003</v>
      </c>
    </row>
    <row r="594" spans="2:3" x14ac:dyDescent="0.25">
      <c r="B594" s="53">
        <v>43238</v>
      </c>
      <c r="C594" s="291">
        <v>34848.300000000003</v>
      </c>
    </row>
    <row r="595" spans="2:3" x14ac:dyDescent="0.25">
      <c r="B595" s="53">
        <v>43241</v>
      </c>
      <c r="C595" s="291">
        <v>34616.129999999997</v>
      </c>
    </row>
    <row r="596" spans="2:3" x14ac:dyDescent="0.25">
      <c r="B596" s="53">
        <v>43242</v>
      </c>
      <c r="C596" s="291">
        <v>34651.24</v>
      </c>
    </row>
    <row r="597" spans="2:3" x14ac:dyDescent="0.25">
      <c r="B597" s="53">
        <v>43243</v>
      </c>
      <c r="C597" s="291">
        <v>34344.910000000003</v>
      </c>
    </row>
    <row r="598" spans="2:3" x14ac:dyDescent="0.25">
      <c r="B598" s="53">
        <v>43244</v>
      </c>
      <c r="C598" s="291">
        <v>34663.11</v>
      </c>
    </row>
    <row r="599" spans="2:3" x14ac:dyDescent="0.25">
      <c r="B599" s="53">
        <v>43245</v>
      </c>
      <c r="C599" s="291">
        <v>34924.870000000003</v>
      </c>
    </row>
    <row r="600" spans="2:3" x14ac:dyDescent="0.25">
      <c r="B600" s="53">
        <v>43248</v>
      </c>
      <c r="C600" s="291">
        <v>35165.480000000003</v>
      </c>
    </row>
    <row r="601" spans="2:3" x14ac:dyDescent="0.25">
      <c r="B601" s="53">
        <v>43249</v>
      </c>
      <c r="C601" s="291">
        <v>34949.24</v>
      </c>
    </row>
    <row r="602" spans="2:3" x14ac:dyDescent="0.25">
      <c r="B602" s="53">
        <v>43250</v>
      </c>
      <c r="C602" s="291">
        <v>34906.11</v>
      </c>
    </row>
    <row r="603" spans="2:3" x14ac:dyDescent="0.25">
      <c r="B603" s="53">
        <v>43251</v>
      </c>
      <c r="C603" s="291">
        <v>35322.379999999997</v>
      </c>
    </row>
    <row r="604" spans="2:3" x14ac:dyDescent="0.25">
      <c r="B604" s="53">
        <v>43252</v>
      </c>
      <c r="C604" s="291">
        <v>35227.26</v>
      </c>
    </row>
    <row r="605" spans="2:3" x14ac:dyDescent="0.25">
      <c r="B605" s="53">
        <v>43255</v>
      </c>
      <c r="C605" s="291">
        <v>35011.89</v>
      </c>
    </row>
    <row r="606" spans="2:3" x14ac:dyDescent="0.25">
      <c r="B606" s="53">
        <v>43256</v>
      </c>
      <c r="C606" s="291">
        <v>34903.21</v>
      </c>
    </row>
    <row r="607" spans="2:3" x14ac:dyDescent="0.25">
      <c r="B607" s="53">
        <v>43257</v>
      </c>
      <c r="C607" s="291">
        <v>35178.879999999997</v>
      </c>
    </row>
    <row r="608" spans="2:3" x14ac:dyDescent="0.25">
      <c r="B608" s="53">
        <v>43258</v>
      </c>
      <c r="C608" s="291">
        <v>35463.08</v>
      </c>
    </row>
    <row r="609" spans="2:3" x14ac:dyDescent="0.25">
      <c r="B609" s="53">
        <v>43259</v>
      </c>
      <c r="C609" s="291">
        <v>35443.67</v>
      </c>
    </row>
    <row r="610" spans="2:3" x14ac:dyDescent="0.25">
      <c r="B610" s="53">
        <v>43262</v>
      </c>
      <c r="C610" s="291">
        <v>35483.47</v>
      </c>
    </row>
    <row r="611" spans="2:3" x14ac:dyDescent="0.25">
      <c r="B611" s="53">
        <v>43263</v>
      </c>
      <c r="C611" s="291">
        <v>35692.519999999997</v>
      </c>
    </row>
    <row r="612" spans="2:3" x14ac:dyDescent="0.25">
      <c r="B612" s="53">
        <v>43264</v>
      </c>
      <c r="C612" s="291">
        <v>35739.160000000003</v>
      </c>
    </row>
    <row r="613" spans="2:3" x14ac:dyDescent="0.25">
      <c r="B613" s="53">
        <v>43265</v>
      </c>
      <c r="C613" s="291">
        <v>35599.82</v>
      </c>
    </row>
    <row r="614" spans="2:3" x14ac:dyDescent="0.25">
      <c r="B614" s="53">
        <v>43266</v>
      </c>
      <c r="C614" s="291">
        <v>35622.14</v>
      </c>
    </row>
    <row r="615" spans="2:3" x14ac:dyDescent="0.25">
      <c r="B615" s="53">
        <v>43269</v>
      </c>
      <c r="C615" s="291">
        <v>35548.26</v>
      </c>
    </row>
    <row r="616" spans="2:3" x14ac:dyDescent="0.25">
      <c r="B616" s="53">
        <v>43270</v>
      </c>
      <c r="C616" s="291">
        <v>35286.74</v>
      </c>
    </row>
    <row r="617" spans="2:3" x14ac:dyDescent="0.25">
      <c r="B617" s="53">
        <v>43271</v>
      </c>
      <c r="C617" s="291">
        <v>35547.33</v>
      </c>
    </row>
    <row r="618" spans="2:3" x14ac:dyDescent="0.25">
      <c r="B618" s="53">
        <v>43272</v>
      </c>
      <c r="C618" s="291">
        <v>35432.39</v>
      </c>
    </row>
    <row r="619" spans="2:3" x14ac:dyDescent="0.25">
      <c r="B619" s="53">
        <v>43273</v>
      </c>
      <c r="C619" s="291">
        <v>35689.599999999999</v>
      </c>
    </row>
    <row r="620" spans="2:3" x14ac:dyDescent="0.25">
      <c r="B620" s="53">
        <v>43276</v>
      </c>
      <c r="C620" s="291">
        <v>35470.35</v>
      </c>
    </row>
    <row r="621" spans="2:3" x14ac:dyDescent="0.25">
      <c r="B621" s="53">
        <v>43277</v>
      </c>
      <c r="C621" s="291">
        <v>35490.04</v>
      </c>
    </row>
    <row r="622" spans="2:3" x14ac:dyDescent="0.25">
      <c r="B622" s="53">
        <v>43278</v>
      </c>
      <c r="C622" s="291">
        <v>35217.11</v>
      </c>
    </row>
    <row r="623" spans="2:3" x14ac:dyDescent="0.25">
      <c r="B623" s="53">
        <v>43279</v>
      </c>
      <c r="C623" s="291">
        <v>35037.64</v>
      </c>
    </row>
    <row r="624" spans="2:3" x14ac:dyDescent="0.25">
      <c r="B624" s="53">
        <v>43280</v>
      </c>
      <c r="C624" s="291">
        <v>35423.480000000003</v>
      </c>
    </row>
    <row r="625" spans="2:3" x14ac:dyDescent="0.25">
      <c r="B625" s="53">
        <v>43283</v>
      </c>
      <c r="C625" s="291">
        <v>35264.410000000003</v>
      </c>
    </row>
    <row r="626" spans="2:3" x14ac:dyDescent="0.25">
      <c r="B626" s="53">
        <v>43284</v>
      </c>
      <c r="C626" s="291">
        <v>35378.6</v>
      </c>
    </row>
    <row r="627" spans="2:3" x14ac:dyDescent="0.25">
      <c r="B627" s="53">
        <v>43285</v>
      </c>
      <c r="C627" s="291">
        <v>35645.4</v>
      </c>
    </row>
    <row r="628" spans="2:3" x14ac:dyDescent="0.25">
      <c r="B628" s="53">
        <v>43286</v>
      </c>
      <c r="C628" s="291">
        <v>35574.550000000003</v>
      </c>
    </row>
    <row r="629" spans="2:3" x14ac:dyDescent="0.25">
      <c r="B629" s="53">
        <v>43287</v>
      </c>
      <c r="C629" s="291">
        <v>35657.86</v>
      </c>
    </row>
    <row r="630" spans="2:3" x14ac:dyDescent="0.25">
      <c r="B630" s="53">
        <v>43290</v>
      </c>
      <c r="C630" s="291">
        <v>35934.720000000001</v>
      </c>
    </row>
    <row r="631" spans="2:3" x14ac:dyDescent="0.25">
      <c r="B631" s="53">
        <v>43291</v>
      </c>
      <c r="C631" s="291">
        <v>36239.620000000003</v>
      </c>
    </row>
    <row r="632" spans="2:3" x14ac:dyDescent="0.25">
      <c r="B632" s="53">
        <v>43292</v>
      </c>
      <c r="C632" s="291">
        <v>36265.93</v>
      </c>
    </row>
    <row r="633" spans="2:3" x14ac:dyDescent="0.25">
      <c r="B633" s="53">
        <v>43293</v>
      </c>
      <c r="C633" s="291">
        <v>36548.410000000003</v>
      </c>
    </row>
    <row r="634" spans="2:3" x14ac:dyDescent="0.25">
      <c r="B634" s="53">
        <v>43294</v>
      </c>
      <c r="C634" s="291">
        <v>36541.629999999997</v>
      </c>
    </row>
    <row r="635" spans="2:3" x14ac:dyDescent="0.25">
      <c r="B635" s="53">
        <v>43297</v>
      </c>
      <c r="C635" s="291">
        <v>36323.769999999997</v>
      </c>
    </row>
    <row r="636" spans="2:3" x14ac:dyDescent="0.25">
      <c r="B636" s="53">
        <v>43298</v>
      </c>
      <c r="C636" s="291">
        <v>36519.96</v>
      </c>
    </row>
    <row r="637" spans="2:3" x14ac:dyDescent="0.25">
      <c r="B637" s="53">
        <v>43299</v>
      </c>
      <c r="C637" s="291">
        <v>36373.440000000002</v>
      </c>
    </row>
    <row r="638" spans="2:3" x14ac:dyDescent="0.25">
      <c r="B638" s="53">
        <v>43300</v>
      </c>
      <c r="C638" s="291">
        <v>36351.230000000003</v>
      </c>
    </row>
    <row r="639" spans="2:3" x14ac:dyDescent="0.25">
      <c r="B639" s="53">
        <v>43301</v>
      </c>
      <c r="C639" s="291">
        <v>36496.370000000003</v>
      </c>
    </row>
    <row r="640" spans="2:3" x14ac:dyDescent="0.25">
      <c r="B640" s="53">
        <v>43304</v>
      </c>
      <c r="C640" s="291">
        <v>36718.6</v>
      </c>
    </row>
    <row r="641" spans="2:3" x14ac:dyDescent="0.25">
      <c r="B641" s="53">
        <v>43305</v>
      </c>
      <c r="C641" s="291">
        <v>36825.1</v>
      </c>
    </row>
    <row r="642" spans="2:3" x14ac:dyDescent="0.25">
      <c r="B642" s="53">
        <v>43306</v>
      </c>
      <c r="C642" s="291">
        <v>36858.230000000003</v>
      </c>
    </row>
    <row r="643" spans="2:3" x14ac:dyDescent="0.25">
      <c r="B643" s="53">
        <v>43307</v>
      </c>
      <c r="C643" s="291">
        <v>36984.639999999999</v>
      </c>
    </row>
    <row r="644" spans="2:3" x14ac:dyDescent="0.25">
      <c r="B644" s="53">
        <v>43308</v>
      </c>
      <c r="C644" s="291">
        <v>37336.85</v>
      </c>
    </row>
    <row r="645" spans="2:3" x14ac:dyDescent="0.25">
      <c r="B645" s="53">
        <v>43311</v>
      </c>
      <c r="C645" s="291">
        <v>37494.400000000001</v>
      </c>
    </row>
    <row r="646" spans="2:3" x14ac:dyDescent="0.25">
      <c r="B646" s="53">
        <v>43312</v>
      </c>
      <c r="C646" s="291">
        <v>37606.58</v>
      </c>
    </row>
    <row r="647" spans="2:3" x14ac:dyDescent="0.25">
      <c r="B647" s="53">
        <v>43313</v>
      </c>
      <c r="C647" s="291">
        <v>37521.620000000003</v>
      </c>
    </row>
    <row r="648" spans="2:3" x14ac:dyDescent="0.25">
      <c r="B648" s="53">
        <v>43314</v>
      </c>
      <c r="C648" s="291">
        <v>37165.160000000003</v>
      </c>
    </row>
    <row r="649" spans="2:3" x14ac:dyDescent="0.25">
      <c r="B649" s="53">
        <v>43315</v>
      </c>
      <c r="C649" s="291">
        <v>37556.160000000003</v>
      </c>
    </row>
    <row r="650" spans="2:3" x14ac:dyDescent="0.25">
      <c r="B650" s="53">
        <v>43318</v>
      </c>
      <c r="C650" s="291">
        <v>37691.89</v>
      </c>
    </row>
    <row r="651" spans="2:3" x14ac:dyDescent="0.25">
      <c r="B651" s="53">
        <v>43319</v>
      </c>
      <c r="C651" s="291">
        <v>37665.800000000003</v>
      </c>
    </row>
    <row r="652" spans="2:3" x14ac:dyDescent="0.25">
      <c r="B652" s="53">
        <v>43320</v>
      </c>
      <c r="C652" s="291">
        <v>37887.56</v>
      </c>
    </row>
    <row r="653" spans="2:3" x14ac:dyDescent="0.25">
      <c r="B653" s="53">
        <v>43321</v>
      </c>
      <c r="C653" s="291">
        <v>38024.370000000003</v>
      </c>
    </row>
    <row r="654" spans="2:3" x14ac:dyDescent="0.25">
      <c r="B654" s="53">
        <v>43322</v>
      </c>
      <c r="C654" s="291">
        <v>37869.230000000003</v>
      </c>
    </row>
    <row r="655" spans="2:3" x14ac:dyDescent="0.25">
      <c r="B655" s="53">
        <v>43325</v>
      </c>
      <c r="C655" s="291">
        <v>37644.9</v>
      </c>
    </row>
    <row r="656" spans="2:3" x14ac:dyDescent="0.25">
      <c r="B656" s="53">
        <v>43326</v>
      </c>
      <c r="C656" s="291">
        <v>37852</v>
      </c>
    </row>
    <row r="657" spans="2:3" x14ac:dyDescent="0.25">
      <c r="B657" s="53">
        <v>43328</v>
      </c>
      <c r="C657" s="291">
        <v>37663.56</v>
      </c>
    </row>
    <row r="658" spans="2:3" x14ac:dyDescent="0.25">
      <c r="B658" s="53">
        <v>43329</v>
      </c>
      <c r="C658" s="291">
        <v>37947.879999999997</v>
      </c>
    </row>
    <row r="659" spans="2:3" x14ac:dyDescent="0.25">
      <c r="B659" s="53">
        <v>43332</v>
      </c>
      <c r="C659" s="291">
        <v>38278.75</v>
      </c>
    </row>
    <row r="660" spans="2:3" x14ac:dyDescent="0.25">
      <c r="B660" s="53">
        <v>43333</v>
      </c>
      <c r="C660" s="291">
        <v>38285.75</v>
      </c>
    </row>
    <row r="661" spans="2:3" x14ac:dyDescent="0.25">
      <c r="B661" s="53">
        <v>43335</v>
      </c>
      <c r="C661" s="291">
        <v>38336.76</v>
      </c>
    </row>
    <row r="662" spans="2:3" x14ac:dyDescent="0.25">
      <c r="B662" s="53">
        <v>43336</v>
      </c>
      <c r="C662" s="291">
        <v>38251.800000000003</v>
      </c>
    </row>
    <row r="663" spans="2:3" x14ac:dyDescent="0.25">
      <c r="B663" s="53">
        <v>43339</v>
      </c>
      <c r="C663" s="291">
        <v>38694.11</v>
      </c>
    </row>
    <row r="664" spans="2:3" x14ac:dyDescent="0.25">
      <c r="B664" s="53">
        <v>43340</v>
      </c>
      <c r="C664" s="291">
        <v>38896.629999999997</v>
      </c>
    </row>
    <row r="665" spans="2:3" x14ac:dyDescent="0.25">
      <c r="B665" s="53">
        <v>43341</v>
      </c>
      <c r="C665" s="291">
        <v>38722.93</v>
      </c>
    </row>
    <row r="666" spans="2:3" x14ac:dyDescent="0.25">
      <c r="B666" s="53">
        <v>43342</v>
      </c>
      <c r="C666" s="291">
        <v>38690.1</v>
      </c>
    </row>
    <row r="667" spans="2:3" x14ac:dyDescent="0.25">
      <c r="B667" s="53">
        <v>43343</v>
      </c>
      <c r="C667" s="291">
        <v>38645.07</v>
      </c>
    </row>
    <row r="668" spans="2:3" x14ac:dyDescent="0.25">
      <c r="B668" s="53">
        <v>43346</v>
      </c>
      <c r="C668" s="291">
        <v>38312.519999999997</v>
      </c>
    </row>
    <row r="669" spans="2:3" x14ac:dyDescent="0.25">
      <c r="B669" s="53">
        <v>43347</v>
      </c>
      <c r="C669" s="291">
        <v>38157.919999999998</v>
      </c>
    </row>
    <row r="670" spans="2:3" x14ac:dyDescent="0.25">
      <c r="B670" s="53">
        <v>43348</v>
      </c>
      <c r="C670" s="291">
        <v>38018.31</v>
      </c>
    </row>
    <row r="671" spans="2:3" x14ac:dyDescent="0.25">
      <c r="B671" s="53">
        <v>43349</v>
      </c>
      <c r="C671" s="291">
        <v>38242.81</v>
      </c>
    </row>
    <row r="672" spans="2:3" x14ac:dyDescent="0.25">
      <c r="B672" s="53">
        <v>43350</v>
      </c>
      <c r="C672" s="291">
        <v>38389.82</v>
      </c>
    </row>
    <row r="673" spans="2:3" x14ac:dyDescent="0.25">
      <c r="B673" s="53">
        <v>43353</v>
      </c>
      <c r="C673" s="291">
        <v>37922.17</v>
      </c>
    </row>
    <row r="674" spans="2:3" x14ac:dyDescent="0.25">
      <c r="B674" s="53">
        <v>43354</v>
      </c>
      <c r="C674" s="291">
        <v>37413.129999999997</v>
      </c>
    </row>
    <row r="675" spans="2:3" x14ac:dyDescent="0.25">
      <c r="B675" s="53">
        <v>43355</v>
      </c>
      <c r="C675" s="291">
        <v>37717.96</v>
      </c>
    </row>
    <row r="676" spans="2:3" x14ac:dyDescent="0.25">
      <c r="B676" s="53">
        <v>43357</v>
      </c>
      <c r="C676" s="291">
        <v>38090.639999999999</v>
      </c>
    </row>
    <row r="677" spans="2:3" x14ac:dyDescent="0.25">
      <c r="B677" s="53">
        <v>43360</v>
      </c>
      <c r="C677" s="291">
        <v>37585.51</v>
      </c>
    </row>
    <row r="678" spans="2:3" x14ac:dyDescent="0.25">
      <c r="B678" s="53">
        <v>43361</v>
      </c>
      <c r="C678" s="291">
        <v>37290.67</v>
      </c>
    </row>
    <row r="679" spans="2:3" x14ac:dyDescent="0.25">
      <c r="B679" s="53">
        <v>43362</v>
      </c>
      <c r="C679" s="291">
        <v>37121.22</v>
      </c>
    </row>
    <row r="680" spans="2:3" x14ac:dyDescent="0.25">
      <c r="B680" s="53">
        <v>43364</v>
      </c>
      <c r="C680" s="291">
        <v>36841.599999999999</v>
      </c>
    </row>
    <row r="681" spans="2:3" x14ac:dyDescent="0.25">
      <c r="B681" s="53">
        <v>43367</v>
      </c>
      <c r="C681" s="291">
        <v>36305.019999999997</v>
      </c>
    </row>
    <row r="682" spans="2:3" x14ac:dyDescent="0.25">
      <c r="B682" s="53">
        <v>43368</v>
      </c>
      <c r="C682" s="291">
        <v>36652.06</v>
      </c>
    </row>
    <row r="683" spans="2:3" x14ac:dyDescent="0.25">
      <c r="B683" s="53">
        <v>43369</v>
      </c>
      <c r="C683" s="291">
        <v>36542.269999999997</v>
      </c>
    </row>
    <row r="684" spans="2:3" x14ac:dyDescent="0.25">
      <c r="B684" s="53">
        <v>43370</v>
      </c>
      <c r="C684" s="291">
        <v>36324.17</v>
      </c>
    </row>
    <row r="685" spans="2:3" x14ac:dyDescent="0.25">
      <c r="B685" s="53">
        <v>43371</v>
      </c>
      <c r="C685" s="291">
        <v>36227.14</v>
      </c>
    </row>
    <row r="686" spans="2:3" x14ac:dyDescent="0.25">
      <c r="B686" s="53">
        <v>43374</v>
      </c>
      <c r="C686" s="291">
        <v>36526.14</v>
      </c>
    </row>
    <row r="687" spans="2:3" x14ac:dyDescent="0.25">
      <c r="B687" s="53">
        <v>43376</v>
      </c>
      <c r="C687" s="291">
        <v>35975.629999999997</v>
      </c>
    </row>
    <row r="688" spans="2:3" x14ac:dyDescent="0.25">
      <c r="B688" s="53">
        <v>43377</v>
      </c>
      <c r="C688" s="291">
        <v>35169.160000000003</v>
      </c>
    </row>
    <row r="689" spans="2:3" x14ac:dyDescent="0.25">
      <c r="B689" s="53">
        <v>43378</v>
      </c>
      <c r="C689" s="291">
        <v>34376.99</v>
      </c>
    </row>
    <row r="690" spans="2:3" x14ac:dyDescent="0.25">
      <c r="B690" s="53">
        <v>43381</v>
      </c>
      <c r="C690" s="291">
        <v>34474.379999999997</v>
      </c>
    </row>
    <row r="691" spans="2:3" x14ac:dyDescent="0.25">
      <c r="B691" s="53">
        <v>43382</v>
      </c>
      <c r="C691" s="291">
        <v>34299.47</v>
      </c>
    </row>
    <row r="692" spans="2:3" x14ac:dyDescent="0.25">
      <c r="B692" s="53">
        <v>43383</v>
      </c>
      <c r="C692" s="291">
        <v>34760.89</v>
      </c>
    </row>
    <row r="693" spans="2:3" x14ac:dyDescent="0.25">
      <c r="B693" s="53">
        <v>43384</v>
      </c>
      <c r="C693" s="291">
        <v>34001.15</v>
      </c>
    </row>
    <row r="694" spans="2:3" x14ac:dyDescent="0.25">
      <c r="B694" s="53">
        <v>43385</v>
      </c>
      <c r="C694" s="291">
        <v>34733.58</v>
      </c>
    </row>
    <row r="695" spans="2:3" x14ac:dyDescent="0.25">
      <c r="B695" s="53">
        <v>43388</v>
      </c>
      <c r="C695" s="291">
        <v>34865.1</v>
      </c>
    </row>
    <row r="696" spans="2:3" x14ac:dyDescent="0.25">
      <c r="B696" s="53">
        <v>43389</v>
      </c>
      <c r="C696" s="291">
        <v>35162.480000000003</v>
      </c>
    </row>
    <row r="697" spans="2:3" x14ac:dyDescent="0.25">
      <c r="B697" s="53">
        <v>43390</v>
      </c>
      <c r="C697" s="291">
        <v>34779.58</v>
      </c>
    </row>
    <row r="698" spans="2:3" x14ac:dyDescent="0.25">
      <c r="B698" s="53">
        <v>43392</v>
      </c>
      <c r="C698" s="291">
        <v>34315.629999999997</v>
      </c>
    </row>
    <row r="699" spans="2:3" x14ac:dyDescent="0.25">
      <c r="B699" s="53">
        <v>43395</v>
      </c>
      <c r="C699" s="291">
        <v>34134.379999999997</v>
      </c>
    </row>
    <row r="700" spans="2:3" x14ac:dyDescent="0.25">
      <c r="B700" s="53">
        <v>43396</v>
      </c>
      <c r="C700" s="291">
        <v>33847.230000000003</v>
      </c>
    </row>
    <row r="701" spans="2:3" x14ac:dyDescent="0.25">
      <c r="B701" s="53">
        <v>43397</v>
      </c>
      <c r="C701" s="291">
        <v>34033.96</v>
      </c>
    </row>
    <row r="702" spans="2:3" x14ac:dyDescent="0.25">
      <c r="B702" s="53">
        <v>43398</v>
      </c>
      <c r="C702" s="291">
        <v>33690.089999999997</v>
      </c>
    </row>
    <row r="703" spans="2:3" x14ac:dyDescent="0.25">
      <c r="B703" s="53">
        <v>43399</v>
      </c>
      <c r="C703" s="291">
        <v>33349.31</v>
      </c>
    </row>
    <row r="704" spans="2:3" x14ac:dyDescent="0.25">
      <c r="B704" s="53">
        <v>43402</v>
      </c>
      <c r="C704" s="291">
        <v>34067.4</v>
      </c>
    </row>
    <row r="705" spans="2:3" x14ac:dyDescent="0.25">
      <c r="B705" s="53">
        <v>43403</v>
      </c>
      <c r="C705" s="291">
        <v>33891.129999999997</v>
      </c>
    </row>
    <row r="706" spans="2:3" x14ac:dyDescent="0.25">
      <c r="B706" s="53">
        <v>43404</v>
      </c>
      <c r="C706" s="291">
        <v>34442.050000000003</v>
      </c>
    </row>
    <row r="707" spans="2:3" x14ac:dyDescent="0.25">
      <c r="B707" s="53">
        <v>43405</v>
      </c>
      <c r="C707" s="291">
        <v>34431.97</v>
      </c>
    </row>
    <row r="708" spans="2:3" x14ac:dyDescent="0.25">
      <c r="B708" s="53">
        <v>43406</v>
      </c>
      <c r="C708" s="291">
        <v>35011.65</v>
      </c>
    </row>
    <row r="709" spans="2:3" x14ac:dyDescent="0.25">
      <c r="B709" s="53">
        <v>43409</v>
      </c>
      <c r="C709" s="291">
        <v>34950.92</v>
      </c>
    </row>
    <row r="710" spans="2:3" x14ac:dyDescent="0.25">
      <c r="B710" s="53">
        <v>43410</v>
      </c>
      <c r="C710" s="291">
        <v>34991.910000000003</v>
      </c>
    </row>
    <row r="711" spans="2:3" x14ac:dyDescent="0.25">
      <c r="B711" s="53">
        <v>43411</v>
      </c>
      <c r="C711" s="291">
        <v>35237.68</v>
      </c>
    </row>
    <row r="712" spans="2:3" x14ac:dyDescent="0.25">
      <c r="B712" s="53">
        <v>43413</v>
      </c>
      <c r="C712" s="291">
        <v>35158.550000000003</v>
      </c>
    </row>
    <row r="713" spans="2:3" x14ac:dyDescent="0.25">
      <c r="B713" s="53">
        <v>43416</v>
      </c>
      <c r="C713" s="291">
        <v>34812.99</v>
      </c>
    </row>
    <row r="714" spans="2:3" x14ac:dyDescent="0.25">
      <c r="B714" s="53">
        <v>43417</v>
      </c>
      <c r="C714" s="291">
        <v>35144.49</v>
      </c>
    </row>
    <row r="715" spans="2:3" x14ac:dyDescent="0.25">
      <c r="B715" s="53">
        <v>43418</v>
      </c>
      <c r="C715" s="291">
        <v>35141.99</v>
      </c>
    </row>
    <row r="716" spans="2:3" x14ac:dyDescent="0.25">
      <c r="B716" s="53">
        <v>43419</v>
      </c>
      <c r="C716" s="291">
        <v>35260.54</v>
      </c>
    </row>
    <row r="717" spans="2:3" x14ac:dyDescent="0.25">
      <c r="B717" s="53">
        <v>43420</v>
      </c>
      <c r="C717" s="291">
        <v>35457.160000000003</v>
      </c>
    </row>
    <row r="718" spans="2:3" x14ac:dyDescent="0.25">
      <c r="B718" s="53">
        <v>43423</v>
      </c>
      <c r="C718" s="291">
        <v>35774.879999999997</v>
      </c>
    </row>
    <row r="719" spans="2:3" x14ac:dyDescent="0.25">
      <c r="B719" s="53">
        <v>43424</v>
      </c>
      <c r="C719" s="291">
        <v>35474.51</v>
      </c>
    </row>
    <row r="720" spans="2:3" x14ac:dyDescent="0.25">
      <c r="B720" s="53">
        <v>43425</v>
      </c>
      <c r="C720" s="291">
        <v>35199.800000000003</v>
      </c>
    </row>
    <row r="721" spans="2:3" x14ac:dyDescent="0.25">
      <c r="B721" s="53">
        <v>43426</v>
      </c>
      <c r="C721" s="291">
        <v>34981.019999999997</v>
      </c>
    </row>
    <row r="722" spans="2:3" x14ac:dyDescent="0.25">
      <c r="B722" s="53">
        <v>43430</v>
      </c>
      <c r="C722" s="291">
        <v>35354.080000000002</v>
      </c>
    </row>
    <row r="723" spans="2:3" x14ac:dyDescent="0.25">
      <c r="B723" s="53">
        <v>43431</v>
      </c>
      <c r="C723" s="291">
        <v>35513.14</v>
      </c>
    </row>
    <row r="724" spans="2:3" x14ac:dyDescent="0.25">
      <c r="B724" s="53">
        <v>43432</v>
      </c>
      <c r="C724" s="291">
        <v>35716.949999999997</v>
      </c>
    </row>
    <row r="725" spans="2:3" x14ac:dyDescent="0.25">
      <c r="B725" s="53">
        <v>43433</v>
      </c>
      <c r="C725" s="291">
        <v>36170.410000000003</v>
      </c>
    </row>
    <row r="726" spans="2:3" x14ac:dyDescent="0.25">
      <c r="B726" s="53">
        <v>43434</v>
      </c>
      <c r="C726" s="291">
        <v>36194.300000000003</v>
      </c>
    </row>
    <row r="727" spans="2:3" x14ac:dyDescent="0.25">
      <c r="B727" s="53">
        <v>43437</v>
      </c>
      <c r="C727" s="291">
        <v>36241</v>
      </c>
    </row>
    <row r="728" spans="2:3" x14ac:dyDescent="0.25">
      <c r="B728" s="53">
        <v>43438</v>
      </c>
      <c r="C728" s="291">
        <v>36134.31</v>
      </c>
    </row>
    <row r="729" spans="2:3" x14ac:dyDescent="0.25">
      <c r="B729" s="53">
        <v>43439</v>
      </c>
      <c r="C729" s="291">
        <v>35884.410000000003</v>
      </c>
    </row>
    <row r="730" spans="2:3" x14ac:dyDescent="0.25">
      <c r="B730" s="53">
        <v>43440</v>
      </c>
      <c r="C730" s="291">
        <v>35312.129999999997</v>
      </c>
    </row>
    <row r="731" spans="2:3" x14ac:dyDescent="0.25">
      <c r="B731" s="53">
        <v>43441</v>
      </c>
      <c r="C731" s="291">
        <v>35673.25</v>
      </c>
    </row>
    <row r="732" spans="2:3" x14ac:dyDescent="0.25">
      <c r="B732" s="53">
        <v>43444</v>
      </c>
      <c r="C732" s="291">
        <v>34959.72</v>
      </c>
    </row>
    <row r="733" spans="2:3" x14ac:dyDescent="0.25">
      <c r="B733" s="53">
        <v>43445</v>
      </c>
      <c r="C733" s="291">
        <v>35150.01</v>
      </c>
    </row>
    <row r="734" spans="2:3" x14ac:dyDescent="0.25">
      <c r="B734" s="53">
        <v>43446</v>
      </c>
      <c r="C734" s="291">
        <v>35779.07</v>
      </c>
    </row>
    <row r="735" spans="2:3" x14ac:dyDescent="0.25">
      <c r="B735" s="53">
        <v>43447</v>
      </c>
      <c r="C735" s="291">
        <v>35929.64</v>
      </c>
    </row>
    <row r="736" spans="2:3" x14ac:dyDescent="0.25">
      <c r="B736" s="53">
        <v>43448</v>
      </c>
      <c r="C736" s="291">
        <v>35962.93</v>
      </c>
    </row>
    <row r="737" spans="2:3" x14ac:dyDescent="0.25">
      <c r="B737" s="53">
        <v>43451</v>
      </c>
      <c r="C737" s="291">
        <v>36270.07</v>
      </c>
    </row>
    <row r="738" spans="2:3" x14ac:dyDescent="0.25">
      <c r="B738" s="53">
        <v>43452</v>
      </c>
      <c r="C738" s="291">
        <v>36347.08</v>
      </c>
    </row>
    <row r="739" spans="2:3" x14ac:dyDescent="0.25">
      <c r="B739" s="53">
        <v>43453</v>
      </c>
      <c r="C739" s="291">
        <v>36484.33</v>
      </c>
    </row>
    <row r="740" spans="2:3" x14ac:dyDescent="0.25">
      <c r="B740" s="53">
        <v>43454</v>
      </c>
      <c r="C740" s="291">
        <v>36431.67</v>
      </c>
    </row>
    <row r="741" spans="2:3" x14ac:dyDescent="0.25">
      <c r="B741" s="53">
        <v>43455</v>
      </c>
      <c r="C741" s="291">
        <v>35742.07</v>
      </c>
    </row>
    <row r="742" spans="2:3" x14ac:dyDescent="0.25">
      <c r="B742" s="53">
        <v>43458</v>
      </c>
      <c r="C742" s="291">
        <v>35470.15</v>
      </c>
    </row>
    <row r="743" spans="2:3" x14ac:dyDescent="0.25">
      <c r="B743" s="53">
        <v>43460</v>
      </c>
      <c r="C743" s="291">
        <v>35649.94</v>
      </c>
    </row>
    <row r="744" spans="2:3" x14ac:dyDescent="0.25">
      <c r="B744" s="53">
        <v>43461</v>
      </c>
      <c r="C744" s="291">
        <v>35807.279999999999</v>
      </c>
    </row>
    <row r="745" spans="2:3" x14ac:dyDescent="0.25">
      <c r="B745" s="53">
        <v>43462</v>
      </c>
      <c r="C745" s="291">
        <v>36076.720000000001</v>
      </c>
    </row>
    <row r="746" spans="2:3" x14ac:dyDescent="0.25">
      <c r="B746" s="53">
        <v>43465</v>
      </c>
      <c r="C746" s="291">
        <v>36068.33</v>
      </c>
    </row>
    <row r="747" spans="2:3" x14ac:dyDescent="0.25">
      <c r="B747" s="53">
        <v>43466</v>
      </c>
      <c r="C747" s="291">
        <v>36254.57</v>
      </c>
    </row>
    <row r="748" spans="2:3" x14ac:dyDescent="0.25">
      <c r="B748" s="53">
        <v>43467</v>
      </c>
      <c r="C748" s="291">
        <v>35891.519999999997</v>
      </c>
    </row>
    <row r="749" spans="2:3" x14ac:dyDescent="0.25">
      <c r="B749" s="53">
        <v>43468</v>
      </c>
      <c r="C749" s="291">
        <v>35513.71</v>
      </c>
    </row>
    <row r="750" spans="2:3" x14ac:dyDescent="0.25">
      <c r="B750" s="53">
        <v>43469</v>
      </c>
      <c r="C750" s="291">
        <v>35695.1</v>
      </c>
    </row>
    <row r="751" spans="2:3" x14ac:dyDescent="0.25">
      <c r="B751" s="53">
        <v>43472</v>
      </c>
      <c r="C751" s="291">
        <v>35850.160000000003</v>
      </c>
    </row>
    <row r="752" spans="2:3" x14ac:dyDescent="0.25">
      <c r="B752" s="53">
        <v>43473</v>
      </c>
      <c r="C752" s="291">
        <v>35980.93</v>
      </c>
    </row>
    <row r="753" spans="2:3" x14ac:dyDescent="0.25">
      <c r="B753" s="53">
        <v>43474</v>
      </c>
      <c r="C753" s="291">
        <v>36212.910000000003</v>
      </c>
    </row>
    <row r="754" spans="2:3" x14ac:dyDescent="0.25">
      <c r="B754" s="53">
        <v>43475</v>
      </c>
      <c r="C754" s="291">
        <v>36106.5</v>
      </c>
    </row>
    <row r="755" spans="2:3" x14ac:dyDescent="0.25">
      <c r="B755" s="53">
        <v>43476</v>
      </c>
      <c r="C755" s="291">
        <v>36009.839999999997</v>
      </c>
    </row>
    <row r="756" spans="2:3" x14ac:dyDescent="0.25">
      <c r="B756" s="53">
        <v>43479</v>
      </c>
      <c r="C756" s="291">
        <v>35853.56</v>
      </c>
    </row>
    <row r="757" spans="2:3" x14ac:dyDescent="0.25">
      <c r="B757" s="53">
        <v>43480</v>
      </c>
      <c r="C757" s="291">
        <v>36318.33</v>
      </c>
    </row>
    <row r="758" spans="2:3" x14ac:dyDescent="0.25">
      <c r="B758" s="53">
        <v>43481</v>
      </c>
      <c r="C758" s="291">
        <v>36321.29</v>
      </c>
    </row>
    <row r="759" spans="2:3" x14ac:dyDescent="0.25">
      <c r="B759" s="53">
        <v>43482</v>
      </c>
      <c r="C759" s="291">
        <v>36374.080000000002</v>
      </c>
    </row>
    <row r="760" spans="2:3" x14ac:dyDescent="0.25">
      <c r="B760" s="53">
        <v>43483</v>
      </c>
      <c r="C760" s="291">
        <v>36386.61</v>
      </c>
    </row>
    <row r="761" spans="2:3" x14ac:dyDescent="0.25">
      <c r="B761" s="53">
        <v>43486</v>
      </c>
      <c r="C761" s="291">
        <v>36578.959999999999</v>
      </c>
    </row>
    <row r="762" spans="2:3" x14ac:dyDescent="0.25">
      <c r="B762" s="53">
        <v>43487</v>
      </c>
      <c r="C762" s="291">
        <v>36444.639999999999</v>
      </c>
    </row>
    <row r="763" spans="2:3" x14ac:dyDescent="0.25">
      <c r="B763" s="53">
        <v>43488</v>
      </c>
      <c r="C763" s="291">
        <v>36108.47</v>
      </c>
    </row>
    <row r="764" spans="2:3" x14ac:dyDescent="0.25">
      <c r="B764" s="53">
        <v>43489</v>
      </c>
      <c r="C764" s="291">
        <v>36195.1</v>
      </c>
    </row>
    <row r="765" spans="2:3" x14ac:dyDescent="0.25">
      <c r="B765" s="53">
        <v>43490</v>
      </c>
      <c r="C765" s="291">
        <v>36025.54</v>
      </c>
    </row>
    <row r="766" spans="2:3" x14ac:dyDescent="0.25">
      <c r="B766" s="53">
        <v>43493</v>
      </c>
      <c r="C766" s="291">
        <v>35656.699999999997</v>
      </c>
    </row>
    <row r="767" spans="2:3" x14ac:dyDescent="0.25">
      <c r="B767" s="53">
        <v>43494</v>
      </c>
      <c r="C767" s="291">
        <v>35592.5</v>
      </c>
    </row>
    <row r="768" spans="2:3" x14ac:dyDescent="0.25">
      <c r="B768" s="53">
        <v>43495</v>
      </c>
      <c r="C768" s="291">
        <v>35591.25</v>
      </c>
    </row>
    <row r="769" spans="2:3" x14ac:dyDescent="0.25">
      <c r="B769" s="53">
        <v>43496</v>
      </c>
      <c r="C769" s="291">
        <v>36256.69</v>
      </c>
    </row>
    <row r="770" spans="2:3" x14ac:dyDescent="0.25">
      <c r="B770" s="53">
        <v>43497</v>
      </c>
      <c r="C770" s="291">
        <v>36469.43</v>
      </c>
    </row>
    <row r="771" spans="2:3" x14ac:dyDescent="0.25">
      <c r="B771" s="53">
        <v>43500</v>
      </c>
      <c r="C771" s="291">
        <v>36582.74</v>
      </c>
    </row>
    <row r="772" spans="2:3" x14ac:dyDescent="0.25">
      <c r="B772" s="53">
        <v>43501</v>
      </c>
      <c r="C772" s="291">
        <v>36616.81</v>
      </c>
    </row>
    <row r="773" spans="2:3" x14ac:dyDescent="0.25">
      <c r="B773" s="53">
        <v>43502</v>
      </c>
      <c r="C773" s="291">
        <v>36975.230000000003</v>
      </c>
    </row>
    <row r="774" spans="2:3" x14ac:dyDescent="0.25">
      <c r="B774" s="53">
        <v>43503</v>
      </c>
      <c r="C774" s="291">
        <v>36971.089999999997</v>
      </c>
    </row>
    <row r="775" spans="2:3" x14ac:dyDescent="0.25">
      <c r="B775" s="53">
        <v>43504</v>
      </c>
      <c r="C775" s="291">
        <v>36546.480000000003</v>
      </c>
    </row>
    <row r="776" spans="2:3" x14ac:dyDescent="0.25">
      <c r="B776" s="53">
        <v>43507</v>
      </c>
      <c r="C776" s="291">
        <v>36395.03</v>
      </c>
    </row>
    <row r="777" spans="2:3" x14ac:dyDescent="0.25">
      <c r="B777" s="53">
        <v>43508</v>
      </c>
      <c r="C777" s="291">
        <v>36153.620000000003</v>
      </c>
    </row>
    <row r="778" spans="2:3" x14ac:dyDescent="0.25">
      <c r="B778" s="53">
        <v>43509</v>
      </c>
      <c r="C778" s="291">
        <v>36034.11</v>
      </c>
    </row>
    <row r="779" spans="2:3" x14ac:dyDescent="0.25">
      <c r="B779" s="53">
        <v>43510</v>
      </c>
      <c r="C779" s="291">
        <v>35876.22</v>
      </c>
    </row>
    <row r="780" spans="2:3" x14ac:dyDescent="0.25">
      <c r="B780" s="53">
        <v>43511</v>
      </c>
      <c r="C780" s="291">
        <v>35808.949999999997</v>
      </c>
    </row>
    <row r="781" spans="2:3" x14ac:dyDescent="0.25">
      <c r="B781" s="53">
        <v>43514</v>
      </c>
      <c r="C781" s="291">
        <v>35498.44</v>
      </c>
    </row>
    <row r="782" spans="2:3" x14ac:dyDescent="0.25">
      <c r="B782" s="53">
        <v>43515</v>
      </c>
      <c r="C782" s="291">
        <v>35352.61</v>
      </c>
    </row>
    <row r="783" spans="2:3" x14ac:dyDescent="0.25">
      <c r="B783" s="53">
        <v>43516</v>
      </c>
      <c r="C783" s="291">
        <v>35756.26</v>
      </c>
    </row>
    <row r="784" spans="2:3" x14ac:dyDescent="0.25">
      <c r="B784" s="53">
        <v>43517</v>
      </c>
      <c r="C784" s="291">
        <v>35898.35</v>
      </c>
    </row>
    <row r="785" spans="2:3" x14ac:dyDescent="0.25">
      <c r="B785" s="53">
        <v>43518</v>
      </c>
      <c r="C785" s="291">
        <v>35871.480000000003</v>
      </c>
    </row>
    <row r="786" spans="2:3" x14ac:dyDescent="0.25">
      <c r="B786" s="53">
        <v>43521</v>
      </c>
      <c r="C786" s="291">
        <v>36213.379999999997</v>
      </c>
    </row>
    <row r="787" spans="2:3" x14ac:dyDescent="0.25">
      <c r="B787" s="53">
        <v>43522</v>
      </c>
      <c r="C787" s="291">
        <v>35973.71</v>
      </c>
    </row>
    <row r="788" spans="2:3" x14ac:dyDescent="0.25">
      <c r="B788" s="53">
        <v>43523</v>
      </c>
      <c r="C788" s="291">
        <v>35905.43</v>
      </c>
    </row>
    <row r="789" spans="2:3" x14ac:dyDescent="0.25">
      <c r="B789" s="53">
        <v>43524</v>
      </c>
      <c r="C789" s="291">
        <v>35867.440000000002</v>
      </c>
    </row>
    <row r="790" spans="2:3" x14ac:dyDescent="0.25">
      <c r="B790" s="53">
        <v>43525</v>
      </c>
      <c r="C790" s="291">
        <v>36063.81</v>
      </c>
    </row>
    <row r="791" spans="2:3" x14ac:dyDescent="0.25">
      <c r="B791" s="53">
        <v>43529</v>
      </c>
      <c r="C791" s="291">
        <v>36442.54</v>
      </c>
    </row>
    <row r="792" spans="2:3" x14ac:dyDescent="0.25">
      <c r="B792" s="53">
        <v>43530</v>
      </c>
      <c r="C792" s="291">
        <v>36636.1</v>
      </c>
    </row>
    <row r="793" spans="2:3" x14ac:dyDescent="0.25">
      <c r="B793" s="53">
        <v>43531</v>
      </c>
      <c r="C793" s="291">
        <v>36725.42</v>
      </c>
    </row>
    <row r="794" spans="2:3" x14ac:dyDescent="0.25">
      <c r="B794" s="53">
        <v>43532</v>
      </c>
      <c r="C794" s="291">
        <v>36671.43</v>
      </c>
    </row>
    <row r="795" spans="2:3" x14ac:dyDescent="0.25">
      <c r="B795" s="53">
        <v>43535</v>
      </c>
      <c r="C795" s="291">
        <v>37054.1</v>
      </c>
    </row>
    <row r="796" spans="2:3" x14ac:dyDescent="0.25">
      <c r="B796" s="53">
        <v>43536</v>
      </c>
      <c r="C796" s="291">
        <v>37535.660000000003</v>
      </c>
    </row>
    <row r="797" spans="2:3" x14ac:dyDescent="0.25">
      <c r="B797" s="53">
        <v>43537</v>
      </c>
      <c r="C797" s="291">
        <v>37752.17</v>
      </c>
    </row>
    <row r="798" spans="2:3" x14ac:dyDescent="0.25">
      <c r="B798" s="53">
        <v>43538</v>
      </c>
      <c r="C798" s="291">
        <v>37754.89</v>
      </c>
    </row>
    <row r="799" spans="2:3" x14ac:dyDescent="0.25">
      <c r="B799" s="53">
        <v>43539</v>
      </c>
      <c r="C799" s="291">
        <v>38024.32</v>
      </c>
    </row>
    <row r="800" spans="2:3" x14ac:dyDescent="0.25">
      <c r="B800" s="53">
        <v>43542</v>
      </c>
      <c r="C800" s="291">
        <v>38095.07</v>
      </c>
    </row>
    <row r="801" spans="2:3" x14ac:dyDescent="0.25">
      <c r="B801" s="53">
        <v>43543</v>
      </c>
      <c r="C801" s="291">
        <v>38363.47</v>
      </c>
    </row>
    <row r="802" spans="2:3" x14ac:dyDescent="0.25">
      <c r="B802" s="53">
        <v>43544</v>
      </c>
      <c r="C802" s="291">
        <v>38386.75</v>
      </c>
    </row>
    <row r="803" spans="2:3" x14ac:dyDescent="0.25">
      <c r="B803" s="53">
        <v>43546</v>
      </c>
      <c r="C803" s="291">
        <v>38164.61</v>
      </c>
    </row>
    <row r="804" spans="2:3" x14ac:dyDescent="0.25">
      <c r="B804" s="53">
        <v>43549</v>
      </c>
      <c r="C804" s="291">
        <v>37808.910000000003</v>
      </c>
    </row>
    <row r="805" spans="2:3" x14ac:dyDescent="0.25">
      <c r="B805" s="53">
        <v>43550</v>
      </c>
      <c r="C805" s="291">
        <v>38233.410000000003</v>
      </c>
    </row>
    <row r="806" spans="2:3" x14ac:dyDescent="0.25">
      <c r="B806" s="53">
        <v>43551</v>
      </c>
      <c r="C806" s="291">
        <v>38132.879999999997</v>
      </c>
    </row>
    <row r="807" spans="2:3" x14ac:dyDescent="0.25">
      <c r="B807" s="53">
        <v>43552</v>
      </c>
      <c r="C807" s="291">
        <v>38545.72</v>
      </c>
    </row>
    <row r="808" spans="2:3" x14ac:dyDescent="0.25">
      <c r="B808" s="53">
        <v>43553</v>
      </c>
      <c r="C808" s="291">
        <v>38672.910000000003</v>
      </c>
    </row>
    <row r="809" spans="2:3" x14ac:dyDescent="0.25">
      <c r="B809" s="53">
        <v>43556</v>
      </c>
      <c r="C809" s="291">
        <v>38871.870000000003</v>
      </c>
    </row>
    <row r="810" spans="2:3" x14ac:dyDescent="0.25">
      <c r="B810" s="53">
        <v>43557</v>
      </c>
      <c r="C810" s="291">
        <v>39056.65</v>
      </c>
    </row>
    <row r="811" spans="2:3" x14ac:dyDescent="0.25">
      <c r="B811" s="53">
        <v>43558</v>
      </c>
      <c r="C811" s="291">
        <v>38877.120000000003</v>
      </c>
    </row>
    <row r="812" spans="2:3" x14ac:dyDescent="0.25">
      <c r="B812" s="53">
        <v>43559</v>
      </c>
      <c r="C812" s="291">
        <v>38684.720000000001</v>
      </c>
    </row>
    <row r="813" spans="2:3" x14ac:dyDescent="0.25">
      <c r="B813" s="53">
        <v>43560</v>
      </c>
      <c r="C813" s="291">
        <v>38862.230000000003</v>
      </c>
    </row>
    <row r="814" spans="2:3" x14ac:dyDescent="0.25">
      <c r="B814" s="53">
        <v>43563</v>
      </c>
      <c r="C814" s="291">
        <v>38700.53</v>
      </c>
    </row>
    <row r="815" spans="2:3" x14ac:dyDescent="0.25">
      <c r="B815" s="53">
        <v>43564</v>
      </c>
      <c r="C815" s="291">
        <v>38939.22</v>
      </c>
    </row>
    <row r="816" spans="2:3" x14ac:dyDescent="0.25">
      <c r="B816" s="53">
        <v>43565</v>
      </c>
      <c r="C816" s="291">
        <v>38585.35</v>
      </c>
    </row>
    <row r="817" spans="2:3" x14ac:dyDescent="0.25">
      <c r="B817" s="53">
        <v>43566</v>
      </c>
      <c r="C817" s="291">
        <v>38607.01</v>
      </c>
    </row>
    <row r="818" spans="2:3" x14ac:dyDescent="0.25">
      <c r="B818" s="53">
        <v>43567</v>
      </c>
      <c r="C818" s="291">
        <v>38767.11</v>
      </c>
    </row>
    <row r="819" spans="2:3" x14ac:dyDescent="0.25">
      <c r="B819" s="53">
        <v>43570</v>
      </c>
      <c r="C819" s="291">
        <v>38905.839999999997</v>
      </c>
    </row>
    <row r="820" spans="2:3" x14ac:dyDescent="0.25">
      <c r="B820" s="53">
        <v>43571</v>
      </c>
      <c r="C820" s="291">
        <v>39275.64</v>
      </c>
    </row>
    <row r="821" spans="2:3" x14ac:dyDescent="0.25">
      <c r="B821" s="53">
        <v>43573</v>
      </c>
      <c r="C821" s="291">
        <v>39140.28</v>
      </c>
    </row>
    <row r="822" spans="2:3" x14ac:dyDescent="0.25">
      <c r="B822" s="53">
        <v>43577</v>
      </c>
      <c r="C822" s="291">
        <v>38645.18</v>
      </c>
    </row>
    <row r="823" spans="2:3" x14ac:dyDescent="0.25">
      <c r="B823" s="53">
        <v>43578</v>
      </c>
      <c r="C823" s="291">
        <v>38564.879999999997</v>
      </c>
    </row>
    <row r="824" spans="2:3" x14ac:dyDescent="0.25">
      <c r="B824" s="53">
        <v>43579</v>
      </c>
      <c r="C824" s="291">
        <v>39054.68</v>
      </c>
    </row>
    <row r="825" spans="2:3" x14ac:dyDescent="0.25">
      <c r="B825" s="53">
        <v>43580</v>
      </c>
      <c r="C825" s="291">
        <v>38730.86</v>
      </c>
    </row>
    <row r="826" spans="2:3" x14ac:dyDescent="0.25">
      <c r="B826" s="53">
        <v>43581</v>
      </c>
      <c r="C826" s="291">
        <v>39067.33</v>
      </c>
    </row>
    <row r="827" spans="2:3" x14ac:dyDescent="0.25">
      <c r="B827" s="53">
        <v>43585</v>
      </c>
      <c r="C827" s="291">
        <v>39031.550000000003</v>
      </c>
    </row>
    <row r="828" spans="2:3" x14ac:dyDescent="0.25">
      <c r="B828" s="53">
        <v>43587</v>
      </c>
      <c r="C828" s="291">
        <v>38981.43</v>
      </c>
    </row>
    <row r="829" spans="2:3" x14ac:dyDescent="0.25">
      <c r="B829" s="53">
        <v>43588</v>
      </c>
      <c r="C829" s="291">
        <v>38963.26</v>
      </c>
    </row>
    <row r="830" spans="2:3" x14ac:dyDescent="0.25">
      <c r="B830" s="53">
        <v>43591</v>
      </c>
      <c r="C830" s="291">
        <v>38600.339999999997</v>
      </c>
    </row>
    <row r="831" spans="2:3" x14ac:dyDescent="0.25">
      <c r="B831" s="53">
        <v>43592</v>
      </c>
      <c r="C831" s="291">
        <v>38276.629999999997</v>
      </c>
    </row>
    <row r="832" spans="2:3" x14ac:dyDescent="0.25">
      <c r="B832" s="53">
        <v>43593</v>
      </c>
      <c r="C832" s="291">
        <v>37789.129999999997</v>
      </c>
    </row>
    <row r="833" spans="2:3" x14ac:dyDescent="0.25">
      <c r="B833" s="53">
        <v>43594</v>
      </c>
      <c r="C833" s="291">
        <v>37558.910000000003</v>
      </c>
    </row>
    <row r="834" spans="2:3" x14ac:dyDescent="0.25">
      <c r="B834" s="53">
        <v>43595</v>
      </c>
      <c r="C834" s="291">
        <v>37462.99</v>
      </c>
    </row>
    <row r="835" spans="2:3" x14ac:dyDescent="0.25">
      <c r="B835" s="53">
        <v>43598</v>
      </c>
      <c r="C835" s="291">
        <v>37090.82</v>
      </c>
    </row>
    <row r="836" spans="2:3" x14ac:dyDescent="0.25">
      <c r="B836" s="53">
        <v>43599</v>
      </c>
      <c r="C836" s="291">
        <v>37318.53</v>
      </c>
    </row>
    <row r="837" spans="2:3" x14ac:dyDescent="0.25">
      <c r="B837" s="53">
        <v>43600</v>
      </c>
      <c r="C837" s="291">
        <v>37114.879999999997</v>
      </c>
    </row>
    <row r="838" spans="2:3" x14ac:dyDescent="0.25">
      <c r="B838" s="53">
        <v>43601</v>
      </c>
      <c r="C838" s="291">
        <v>37393.480000000003</v>
      </c>
    </row>
    <row r="839" spans="2:3" x14ac:dyDescent="0.25">
      <c r="B839" s="53">
        <v>43602</v>
      </c>
      <c r="C839" s="291">
        <v>37930.769999999997</v>
      </c>
    </row>
    <row r="840" spans="2:3" x14ac:dyDescent="0.25">
      <c r="B840" s="53">
        <v>43605</v>
      </c>
      <c r="C840" s="291">
        <v>39352.67</v>
      </c>
    </row>
    <row r="841" spans="2:3" x14ac:dyDescent="0.25">
      <c r="B841" s="53">
        <v>43606</v>
      </c>
      <c r="C841" s="291">
        <v>38969.800000000003</v>
      </c>
    </row>
    <row r="842" spans="2:3" x14ac:dyDescent="0.25">
      <c r="B842" s="53">
        <v>43607</v>
      </c>
      <c r="C842" s="291">
        <v>39110.21</v>
      </c>
    </row>
    <row r="843" spans="2:3" x14ac:dyDescent="0.25">
      <c r="B843" s="53">
        <v>43608</v>
      </c>
      <c r="C843" s="291">
        <v>38811.39</v>
      </c>
    </row>
    <row r="844" spans="2:3" x14ac:dyDescent="0.25">
      <c r="B844" s="53">
        <v>43609</v>
      </c>
      <c r="C844" s="291">
        <v>39434.720000000001</v>
      </c>
    </row>
    <row r="845" spans="2:3" x14ac:dyDescent="0.25">
      <c r="B845" s="53">
        <v>43612</v>
      </c>
      <c r="C845" s="291">
        <v>39683.29</v>
      </c>
    </row>
    <row r="846" spans="2:3" x14ac:dyDescent="0.25">
      <c r="B846" s="53">
        <v>43613</v>
      </c>
      <c r="C846" s="291">
        <v>39749.730000000003</v>
      </c>
    </row>
    <row r="847" spans="2:3" x14ac:dyDescent="0.25">
      <c r="B847" s="53">
        <v>43614</v>
      </c>
      <c r="C847" s="291">
        <v>39502.050000000003</v>
      </c>
    </row>
    <row r="848" spans="2:3" x14ac:dyDescent="0.25">
      <c r="B848" s="53">
        <v>43615</v>
      </c>
      <c r="C848" s="291">
        <v>39831.97</v>
      </c>
    </row>
    <row r="849" spans="2:3" x14ac:dyDescent="0.25">
      <c r="B849" s="53">
        <v>43616</v>
      </c>
      <c r="C849" s="291">
        <v>39714.199999999997</v>
      </c>
    </row>
    <row r="850" spans="2:3" x14ac:dyDescent="0.25">
      <c r="B850" s="53">
        <v>43619</v>
      </c>
      <c r="C850" s="291">
        <v>40267.620000000003</v>
      </c>
    </row>
    <row r="851" spans="2:3" x14ac:dyDescent="0.25">
      <c r="B851" s="53">
        <v>43620</v>
      </c>
      <c r="C851" s="291">
        <v>40083.54</v>
      </c>
    </row>
    <row r="852" spans="2:3" x14ac:dyDescent="0.25">
      <c r="B852" s="53">
        <v>43622</v>
      </c>
      <c r="C852" s="291">
        <v>39529.72</v>
      </c>
    </row>
    <row r="853" spans="2:3" x14ac:dyDescent="0.25">
      <c r="B853" s="53">
        <v>43623</v>
      </c>
      <c r="C853" s="291">
        <v>39615.9</v>
      </c>
    </row>
    <row r="854" spans="2:3" x14ac:dyDescent="0.25">
      <c r="B854" s="53">
        <v>43626</v>
      </c>
      <c r="C854" s="291">
        <v>39784.519999999997</v>
      </c>
    </row>
    <row r="855" spans="2:3" x14ac:dyDescent="0.25">
      <c r="B855" s="53">
        <v>43627</v>
      </c>
      <c r="C855" s="291">
        <v>39950.46</v>
      </c>
    </row>
    <row r="856" spans="2:3" x14ac:dyDescent="0.25">
      <c r="B856" s="53">
        <v>43628</v>
      </c>
      <c r="C856" s="291">
        <v>39756.81</v>
      </c>
    </row>
    <row r="857" spans="2:3" x14ac:dyDescent="0.25">
      <c r="B857" s="53">
        <v>43629</v>
      </c>
      <c r="C857" s="291">
        <v>39741.360000000001</v>
      </c>
    </row>
    <row r="858" spans="2:3" x14ac:dyDescent="0.25">
      <c r="B858" s="53">
        <v>43630</v>
      </c>
      <c r="C858" s="291">
        <v>39452.07</v>
      </c>
    </row>
    <row r="859" spans="2:3" x14ac:dyDescent="0.25">
      <c r="B859" s="53">
        <v>43633</v>
      </c>
      <c r="C859" s="291">
        <v>38960.79</v>
      </c>
    </row>
    <row r="860" spans="2:3" x14ac:dyDescent="0.25">
      <c r="B860" s="53">
        <v>43634</v>
      </c>
      <c r="C860" s="291">
        <v>39046.339999999997</v>
      </c>
    </row>
    <row r="861" spans="2:3" x14ac:dyDescent="0.25">
      <c r="B861" s="53">
        <v>43635</v>
      </c>
      <c r="C861" s="291">
        <v>39112.74</v>
      </c>
    </row>
    <row r="862" spans="2:3" x14ac:dyDescent="0.25">
      <c r="B862" s="53">
        <v>43636</v>
      </c>
      <c r="C862" s="291">
        <v>39601.629999999997</v>
      </c>
    </row>
    <row r="863" spans="2:3" x14ac:dyDescent="0.25">
      <c r="B863" s="53">
        <v>43637</v>
      </c>
      <c r="C863" s="291">
        <v>39194.49</v>
      </c>
    </row>
    <row r="864" spans="2:3" x14ac:dyDescent="0.25">
      <c r="B864" s="53">
        <v>43640</v>
      </c>
      <c r="C864" s="291">
        <v>39122.959999999999</v>
      </c>
    </row>
    <row r="865" spans="2:3" x14ac:dyDescent="0.25">
      <c r="B865" s="53">
        <v>43641</v>
      </c>
      <c r="C865" s="291">
        <v>39434.94</v>
      </c>
    </row>
    <row r="866" spans="2:3" x14ac:dyDescent="0.25">
      <c r="B866" s="53">
        <v>43642</v>
      </c>
      <c r="C866" s="291">
        <v>39592.080000000002</v>
      </c>
    </row>
    <row r="867" spans="2:3" x14ac:dyDescent="0.25">
      <c r="B867" s="53">
        <v>43643</v>
      </c>
      <c r="C867" s="291">
        <v>39586.410000000003</v>
      </c>
    </row>
    <row r="868" spans="2:3" x14ac:dyDescent="0.25">
      <c r="B868" s="53">
        <v>43644</v>
      </c>
      <c r="C868" s="291">
        <v>39394.639999999999</v>
      </c>
    </row>
    <row r="869" spans="2:3" x14ac:dyDescent="0.25">
      <c r="B869" s="53">
        <v>43647</v>
      </c>
      <c r="C869" s="291">
        <v>39686.5</v>
      </c>
    </row>
    <row r="870" spans="2:3" x14ac:dyDescent="0.25">
      <c r="B870" s="53">
        <v>43648</v>
      </c>
      <c r="C870" s="291">
        <v>39816.480000000003</v>
      </c>
    </row>
    <row r="871" spans="2:3" x14ac:dyDescent="0.25">
      <c r="B871" s="53">
        <v>43649</v>
      </c>
      <c r="C871" s="291">
        <v>39839.25</v>
      </c>
    </row>
    <row r="872" spans="2:3" x14ac:dyDescent="0.25">
      <c r="B872" s="53">
        <v>43650</v>
      </c>
      <c r="C872" s="291">
        <v>39908.06</v>
      </c>
    </row>
    <row r="873" spans="2:3" x14ac:dyDescent="0.25">
      <c r="B873" s="53">
        <v>43651</v>
      </c>
      <c r="C873" s="291">
        <v>39513.39</v>
      </c>
    </row>
    <row r="874" spans="2:3" x14ac:dyDescent="0.25">
      <c r="B874" s="53">
        <v>43654</v>
      </c>
      <c r="C874" s="291">
        <v>38720.57</v>
      </c>
    </row>
    <row r="875" spans="2:3" x14ac:dyDescent="0.25">
      <c r="B875" s="53">
        <v>43655</v>
      </c>
      <c r="C875" s="291">
        <v>38730.82</v>
      </c>
    </row>
    <row r="876" spans="2:3" x14ac:dyDescent="0.25">
      <c r="B876" s="53">
        <v>43656</v>
      </c>
      <c r="C876" s="291">
        <v>38557.040000000001</v>
      </c>
    </row>
    <row r="877" spans="2:3" x14ac:dyDescent="0.25">
      <c r="B877" s="53">
        <v>43657</v>
      </c>
      <c r="C877" s="291">
        <v>38823.11</v>
      </c>
    </row>
    <row r="878" spans="2:3" x14ac:dyDescent="0.25">
      <c r="B878" s="53">
        <v>43658</v>
      </c>
      <c r="C878" s="291">
        <v>38736.230000000003</v>
      </c>
    </row>
    <row r="879" spans="2:3" x14ac:dyDescent="0.25">
      <c r="B879" s="53">
        <v>43661</v>
      </c>
      <c r="C879" s="291">
        <v>38896.71</v>
      </c>
    </row>
    <row r="880" spans="2:3" x14ac:dyDescent="0.25">
      <c r="B880" s="53">
        <v>43662</v>
      </c>
      <c r="C880" s="291">
        <v>39131.040000000001</v>
      </c>
    </row>
    <row r="881" spans="2:3" x14ac:dyDescent="0.25">
      <c r="B881" s="53">
        <v>43663</v>
      </c>
      <c r="C881" s="291">
        <v>39215.64</v>
      </c>
    </row>
    <row r="882" spans="2:3" x14ac:dyDescent="0.25">
      <c r="B882" s="53">
        <v>43664</v>
      </c>
      <c r="C882" s="291">
        <v>38897.46</v>
      </c>
    </row>
    <row r="883" spans="2:3" x14ac:dyDescent="0.25">
      <c r="B883" s="53">
        <v>43665</v>
      </c>
      <c r="C883" s="291">
        <v>38337.01</v>
      </c>
    </row>
    <row r="884" spans="2:3" x14ac:dyDescent="0.25">
      <c r="B884" s="53">
        <v>43668</v>
      </c>
      <c r="C884" s="291">
        <v>38031.129999999997</v>
      </c>
    </row>
    <row r="885" spans="2:3" x14ac:dyDescent="0.25">
      <c r="B885" s="53">
        <v>43669</v>
      </c>
      <c r="C885" s="291">
        <v>37982.74</v>
      </c>
    </row>
    <row r="886" spans="2:3" x14ac:dyDescent="0.25">
      <c r="B886" s="53">
        <v>43670</v>
      </c>
      <c r="C886" s="291">
        <v>37847.65</v>
      </c>
    </row>
    <row r="887" spans="2:3" x14ac:dyDescent="0.25">
      <c r="B887" s="53">
        <v>43671</v>
      </c>
      <c r="C887" s="291">
        <v>37830.980000000003</v>
      </c>
    </row>
    <row r="888" spans="2:3" x14ac:dyDescent="0.25">
      <c r="B888" s="53">
        <v>43672</v>
      </c>
      <c r="C888" s="291">
        <v>37882.79</v>
      </c>
    </row>
    <row r="889" spans="2:3" x14ac:dyDescent="0.25">
      <c r="B889" s="53">
        <v>43675</v>
      </c>
      <c r="C889" s="291">
        <v>37686.370000000003</v>
      </c>
    </row>
    <row r="890" spans="2:3" x14ac:dyDescent="0.25">
      <c r="B890" s="53">
        <v>43676</v>
      </c>
      <c r="C890" s="291">
        <v>37397.24</v>
      </c>
    </row>
    <row r="891" spans="2:3" x14ac:dyDescent="0.25">
      <c r="B891" s="53">
        <v>43677</v>
      </c>
      <c r="C891" s="291">
        <v>37481.120000000003</v>
      </c>
    </row>
    <row r="892" spans="2:3" x14ac:dyDescent="0.25">
      <c r="B892" s="53">
        <v>43678</v>
      </c>
      <c r="C892" s="291">
        <v>37018.32</v>
      </c>
    </row>
    <row r="893" spans="2:3" x14ac:dyDescent="0.25">
      <c r="B893" s="53">
        <v>43679</v>
      </c>
      <c r="C893" s="291">
        <v>37118.22</v>
      </c>
    </row>
    <row r="894" spans="2:3" x14ac:dyDescent="0.25">
      <c r="B894" s="53">
        <v>43682</v>
      </c>
      <c r="C894" s="291">
        <v>36699.839999999997</v>
      </c>
    </row>
    <row r="895" spans="2:3" x14ac:dyDescent="0.25">
      <c r="B895" s="53">
        <v>43683</v>
      </c>
      <c r="C895" s="291">
        <v>36976.85</v>
      </c>
    </row>
    <row r="896" spans="2:3" x14ac:dyDescent="0.25">
      <c r="B896" s="53">
        <v>43684</v>
      </c>
      <c r="C896" s="291">
        <v>36690.5</v>
      </c>
    </row>
    <row r="897" spans="2:3" x14ac:dyDescent="0.25">
      <c r="B897" s="53">
        <v>43685</v>
      </c>
      <c r="C897" s="291">
        <v>37327.360000000001</v>
      </c>
    </row>
    <row r="898" spans="2:3" x14ac:dyDescent="0.25">
      <c r="B898" s="53">
        <v>43686</v>
      </c>
      <c r="C898" s="291">
        <v>37581.910000000003</v>
      </c>
    </row>
    <row r="899" spans="2:3" x14ac:dyDescent="0.25">
      <c r="B899" s="53">
        <v>43690</v>
      </c>
      <c r="C899" s="291">
        <v>36958.160000000003</v>
      </c>
    </row>
    <row r="900" spans="2:3" x14ac:dyDescent="0.25">
      <c r="B900" s="53">
        <v>43691</v>
      </c>
      <c r="C900" s="291">
        <v>37311.53</v>
      </c>
    </row>
    <row r="901" spans="2:3" x14ac:dyDescent="0.25">
      <c r="B901" s="53">
        <v>43693</v>
      </c>
      <c r="C901" s="291">
        <v>37350.33</v>
      </c>
    </row>
    <row r="902" spans="2:3" x14ac:dyDescent="0.25">
      <c r="B902" s="53">
        <v>43696</v>
      </c>
      <c r="C902" s="291">
        <v>37402.49</v>
      </c>
    </row>
    <row r="903" spans="2:3" x14ac:dyDescent="0.25">
      <c r="B903" s="53">
        <v>43697</v>
      </c>
      <c r="C903" s="291">
        <v>37328.01</v>
      </c>
    </row>
    <row r="904" spans="2:3" x14ac:dyDescent="0.25">
      <c r="B904" s="53">
        <v>43698</v>
      </c>
      <c r="C904" s="291">
        <v>37060.370000000003</v>
      </c>
    </row>
    <row r="905" spans="2:3" x14ac:dyDescent="0.25">
      <c r="B905" s="53">
        <v>43699</v>
      </c>
      <c r="C905" s="291">
        <v>36472.93</v>
      </c>
    </row>
    <row r="906" spans="2:3" x14ac:dyDescent="0.25">
      <c r="B906" s="53">
        <v>43700</v>
      </c>
      <c r="C906" s="291">
        <v>36701.160000000003</v>
      </c>
    </row>
    <row r="907" spans="2:3" x14ac:dyDescent="0.25">
      <c r="B907" s="53">
        <v>43703</v>
      </c>
      <c r="C907" s="291">
        <v>37494.120000000003</v>
      </c>
    </row>
    <row r="908" spans="2:3" x14ac:dyDescent="0.25">
      <c r="B908" s="53">
        <v>43704</v>
      </c>
      <c r="C908" s="291">
        <v>37641.269999999997</v>
      </c>
    </row>
    <row r="909" spans="2:3" x14ac:dyDescent="0.25">
      <c r="B909" s="53">
        <v>43705</v>
      </c>
      <c r="C909" s="291">
        <v>37451.839999999997</v>
      </c>
    </row>
    <row r="910" spans="2:3" x14ac:dyDescent="0.25">
      <c r="B910" s="53">
        <v>43706</v>
      </c>
      <c r="C910" s="291">
        <v>37068.93</v>
      </c>
    </row>
    <row r="911" spans="2:3" x14ac:dyDescent="0.25">
      <c r="B911" s="53">
        <v>43707</v>
      </c>
      <c r="C911" s="291">
        <v>37332.79</v>
      </c>
    </row>
    <row r="912" spans="2:3" x14ac:dyDescent="0.25">
      <c r="B912" s="53">
        <v>43711</v>
      </c>
      <c r="C912" s="291">
        <v>36562.910000000003</v>
      </c>
    </row>
    <row r="913" spans="2:3" x14ac:dyDescent="0.25">
      <c r="B913" s="53">
        <v>43712</v>
      </c>
      <c r="C913" s="291">
        <v>36724.74</v>
      </c>
    </row>
    <row r="914" spans="2:3" x14ac:dyDescent="0.25">
      <c r="B914" s="53">
        <v>43713</v>
      </c>
      <c r="C914" s="291">
        <v>36644.42</v>
      </c>
    </row>
    <row r="915" spans="2:3" x14ac:dyDescent="0.25">
      <c r="B915" s="53">
        <v>43714</v>
      </c>
      <c r="C915" s="291">
        <v>36981.769999999997</v>
      </c>
    </row>
    <row r="916" spans="2:3" x14ac:dyDescent="0.25">
      <c r="B916" s="53">
        <v>43717</v>
      </c>
      <c r="C916" s="291">
        <v>37145.449999999997</v>
      </c>
    </row>
    <row r="917" spans="2:3" x14ac:dyDescent="0.25">
      <c r="B917" s="53">
        <v>43719</v>
      </c>
      <c r="C917" s="291">
        <v>37270.82</v>
      </c>
    </row>
    <row r="918" spans="2:3" x14ac:dyDescent="0.25">
      <c r="B918" s="53">
        <v>43720</v>
      </c>
      <c r="C918" s="291">
        <v>37104.28</v>
      </c>
    </row>
    <row r="919" spans="2:3" x14ac:dyDescent="0.25">
      <c r="B919" s="53">
        <v>43721</v>
      </c>
      <c r="C919" s="291">
        <v>37384.99</v>
      </c>
    </row>
    <row r="920" spans="2:3" x14ac:dyDescent="0.25">
      <c r="B920" s="53">
        <v>43724</v>
      </c>
      <c r="C920" s="291">
        <v>37123.31</v>
      </c>
    </row>
    <row r="921" spans="2:3" x14ac:dyDescent="0.25">
      <c r="B921" s="53">
        <v>43725</v>
      </c>
      <c r="C921" s="291">
        <v>36481.089999999997</v>
      </c>
    </row>
    <row r="922" spans="2:3" x14ac:dyDescent="0.25">
      <c r="B922" s="53">
        <v>43726</v>
      </c>
      <c r="C922" s="291">
        <v>36563.879999999997</v>
      </c>
    </row>
    <row r="923" spans="2:3" x14ac:dyDescent="0.25">
      <c r="B923" s="53">
        <v>43727</v>
      </c>
      <c r="C923" s="291">
        <v>36093.47</v>
      </c>
    </row>
    <row r="924" spans="2:3" x14ac:dyDescent="0.25">
      <c r="B924" s="53">
        <v>43728</v>
      </c>
      <c r="C924" s="291">
        <v>38014.620000000003</v>
      </c>
    </row>
    <row r="925" spans="2:3" x14ac:dyDescent="0.25">
      <c r="B925" s="53">
        <v>43731</v>
      </c>
      <c r="C925" s="291">
        <v>39090.03</v>
      </c>
    </row>
    <row r="926" spans="2:3" x14ac:dyDescent="0.25">
      <c r="B926" s="53">
        <v>43732</v>
      </c>
      <c r="C926" s="291">
        <v>39097.14</v>
      </c>
    </row>
    <row r="927" spans="2:3" x14ac:dyDescent="0.25">
      <c r="B927" s="53">
        <v>43733</v>
      </c>
      <c r="C927" s="291">
        <v>38593.519999999997</v>
      </c>
    </row>
    <row r="928" spans="2:3" x14ac:dyDescent="0.25">
      <c r="B928" s="53">
        <v>43734</v>
      </c>
      <c r="C928" s="291">
        <v>38989.74</v>
      </c>
    </row>
    <row r="929" spans="2:3" x14ac:dyDescent="0.25">
      <c r="B929" s="53">
        <v>43735</v>
      </c>
      <c r="C929" s="291">
        <v>38822.57</v>
      </c>
    </row>
    <row r="930" spans="2:3" x14ac:dyDescent="0.25">
      <c r="B930" s="53">
        <v>43738</v>
      </c>
      <c r="C930" s="291">
        <v>38667.33</v>
      </c>
    </row>
    <row r="931" spans="2:3" x14ac:dyDescent="0.25">
      <c r="B931" s="53">
        <v>43739</v>
      </c>
      <c r="C931" s="291">
        <v>38305.410000000003</v>
      </c>
    </row>
    <row r="932" spans="2:3" x14ac:dyDescent="0.25">
      <c r="B932" s="53">
        <v>43741</v>
      </c>
      <c r="C932" s="291">
        <v>38106.870000000003</v>
      </c>
    </row>
    <row r="933" spans="2:3" x14ac:dyDescent="0.25">
      <c r="B933" s="53">
        <v>43742</v>
      </c>
      <c r="C933" s="291">
        <v>37673.31</v>
      </c>
    </row>
    <row r="934" spans="2:3" x14ac:dyDescent="0.25">
      <c r="B934" s="53">
        <v>43745</v>
      </c>
      <c r="C934" s="291">
        <v>37531.980000000003</v>
      </c>
    </row>
    <row r="935" spans="2:3" x14ac:dyDescent="0.25">
      <c r="B935" s="53">
        <v>43747</v>
      </c>
      <c r="C935" s="291">
        <v>38177.949999999997</v>
      </c>
    </row>
    <row r="936" spans="2:3" x14ac:dyDescent="0.25">
      <c r="B936" s="53">
        <v>43748</v>
      </c>
      <c r="C936" s="291">
        <v>37880.400000000001</v>
      </c>
    </row>
    <row r="937" spans="2:3" x14ac:dyDescent="0.25">
      <c r="B937" s="53">
        <v>43749</v>
      </c>
      <c r="C937" s="291">
        <v>38127.08</v>
      </c>
    </row>
    <row r="938" spans="2:3" x14ac:dyDescent="0.25">
      <c r="B938" s="53">
        <v>43752</v>
      </c>
      <c r="C938" s="291">
        <v>38214.47</v>
      </c>
    </row>
    <row r="939" spans="2:3" x14ac:dyDescent="0.25">
      <c r="B939" s="53">
        <v>43753</v>
      </c>
      <c r="C939" s="291">
        <v>38506.089999999997</v>
      </c>
    </row>
    <row r="940" spans="2:3" x14ac:dyDescent="0.25">
      <c r="B940" s="53">
        <v>43754</v>
      </c>
      <c r="C940" s="291">
        <v>38598.99</v>
      </c>
    </row>
    <row r="941" spans="2:3" x14ac:dyDescent="0.25">
      <c r="B941" s="53">
        <v>43755</v>
      </c>
      <c r="C941" s="291">
        <v>39052.06</v>
      </c>
    </row>
    <row r="942" spans="2:3" x14ac:dyDescent="0.25">
      <c r="B942" s="53">
        <v>43756</v>
      </c>
      <c r="C942" s="291">
        <v>39298.379999999997</v>
      </c>
    </row>
    <row r="943" spans="2:3" x14ac:dyDescent="0.25">
      <c r="B943" s="53">
        <v>43760</v>
      </c>
      <c r="C943" s="291">
        <v>38963.839999999997</v>
      </c>
    </row>
    <row r="944" spans="2:3" x14ac:dyDescent="0.25">
      <c r="B944" s="53">
        <v>43761</v>
      </c>
      <c r="C944" s="291">
        <v>39058.83</v>
      </c>
    </row>
    <row r="945" spans="2:3" x14ac:dyDescent="0.25">
      <c r="B945" s="53">
        <v>43762</v>
      </c>
      <c r="C945" s="291">
        <v>39020.39</v>
      </c>
    </row>
    <row r="946" spans="2:3" x14ac:dyDescent="0.25">
      <c r="B946" s="53">
        <v>43763</v>
      </c>
      <c r="C946" s="291">
        <v>39058.06</v>
      </c>
    </row>
    <row r="947" spans="2:3" x14ac:dyDescent="0.25">
      <c r="B947" s="53">
        <v>43765</v>
      </c>
      <c r="C947" s="291">
        <v>39250.199999999997</v>
      </c>
    </row>
    <row r="948" spans="2:3" x14ac:dyDescent="0.25">
      <c r="B948" s="53">
        <v>43767</v>
      </c>
      <c r="C948" s="291">
        <v>39831.839999999997</v>
      </c>
    </row>
    <row r="949" spans="2:3" x14ac:dyDescent="0.25">
      <c r="B949" s="53">
        <v>43768</v>
      </c>
      <c r="C949" s="291">
        <v>40051.870000000003</v>
      </c>
    </row>
    <row r="950" spans="2:3" x14ac:dyDescent="0.25">
      <c r="B950" s="53">
        <v>43769</v>
      </c>
      <c r="C950" s="291">
        <v>40129.050000000003</v>
      </c>
    </row>
    <row r="951" spans="2:3" x14ac:dyDescent="0.25">
      <c r="B951" s="53">
        <v>43770</v>
      </c>
      <c r="C951" s="291">
        <v>40165.03</v>
      </c>
    </row>
    <row r="952" spans="2:3" x14ac:dyDescent="0.25">
      <c r="B952" s="53">
        <v>43773</v>
      </c>
      <c r="C952" s="291">
        <v>40301.96</v>
      </c>
    </row>
    <row r="953" spans="2:3" x14ac:dyDescent="0.25">
      <c r="B953" s="53">
        <v>43774</v>
      </c>
      <c r="C953" s="291">
        <v>40248.230000000003</v>
      </c>
    </row>
    <row r="954" spans="2:3" x14ac:dyDescent="0.25">
      <c r="B954" s="53">
        <v>43775</v>
      </c>
      <c r="C954" s="291">
        <v>40469.78</v>
      </c>
    </row>
    <row r="955" spans="2:3" x14ac:dyDescent="0.25">
      <c r="B955" s="53">
        <v>43776</v>
      </c>
      <c r="C955" s="291">
        <v>40653.74</v>
      </c>
    </row>
    <row r="956" spans="2:3" x14ac:dyDescent="0.25">
      <c r="B956" s="53">
        <v>43777</v>
      </c>
      <c r="C956" s="291">
        <v>40323.61</v>
      </c>
    </row>
    <row r="957" spans="2:3" x14ac:dyDescent="0.25">
      <c r="B957" s="53">
        <v>43780</v>
      </c>
      <c r="C957" s="291">
        <v>40345.08</v>
      </c>
    </row>
    <row r="958" spans="2:3" x14ac:dyDescent="0.25">
      <c r="B958" s="53">
        <v>43782</v>
      </c>
      <c r="C958" s="291">
        <v>40116.06</v>
      </c>
    </row>
    <row r="959" spans="2:3" x14ac:dyDescent="0.25">
      <c r="B959" s="53">
        <v>43783</v>
      </c>
      <c r="C959" s="291">
        <v>40286.480000000003</v>
      </c>
    </row>
    <row r="960" spans="2:3" x14ac:dyDescent="0.25">
      <c r="B960" s="53">
        <v>43784</v>
      </c>
      <c r="C960" s="291">
        <v>40356.69</v>
      </c>
    </row>
    <row r="961" spans="2:3" x14ac:dyDescent="0.25">
      <c r="B961" s="53">
        <v>43787</v>
      </c>
      <c r="C961" s="291">
        <v>40284.19</v>
      </c>
    </row>
    <row r="962" spans="2:3" x14ac:dyDescent="0.25">
      <c r="B962" s="53">
        <v>43788</v>
      </c>
      <c r="C962" s="291">
        <v>40469.699999999997</v>
      </c>
    </row>
    <row r="963" spans="2:3" x14ac:dyDescent="0.25">
      <c r="B963" s="53">
        <v>43789</v>
      </c>
      <c r="C963" s="291">
        <v>40651.64</v>
      </c>
    </row>
    <row r="964" spans="2:3" x14ac:dyDescent="0.25">
      <c r="B964" s="53">
        <v>43790</v>
      </c>
      <c r="C964" s="291">
        <v>40575.17</v>
      </c>
    </row>
    <row r="965" spans="2:3" x14ac:dyDescent="0.25">
      <c r="B965" s="53">
        <v>43791</v>
      </c>
      <c r="C965" s="291">
        <v>40359.410000000003</v>
      </c>
    </row>
    <row r="966" spans="2:3" x14ac:dyDescent="0.25">
      <c r="B966" s="53">
        <v>43794</v>
      </c>
      <c r="C966" s="291">
        <v>40889.230000000003</v>
      </c>
    </row>
    <row r="967" spans="2:3" x14ac:dyDescent="0.25">
      <c r="B967" s="53">
        <v>43795</v>
      </c>
      <c r="C967" s="291">
        <v>40821.300000000003</v>
      </c>
    </row>
    <row r="968" spans="2:3" x14ac:dyDescent="0.25">
      <c r="B968" s="53">
        <v>43796</v>
      </c>
      <c r="C968" s="291">
        <v>41020.61</v>
      </c>
    </row>
    <row r="969" spans="2:3" x14ac:dyDescent="0.25">
      <c r="B969" s="53">
        <v>43797</v>
      </c>
      <c r="C969" s="291">
        <v>41130.17</v>
      </c>
    </row>
    <row r="970" spans="2:3" x14ac:dyDescent="0.25">
      <c r="B970" s="53">
        <v>43798</v>
      </c>
      <c r="C970" s="291">
        <v>40793.81</v>
      </c>
    </row>
    <row r="971" spans="2:3" x14ac:dyDescent="0.25">
      <c r="B971" s="53">
        <v>43801</v>
      </c>
      <c r="C971" s="291">
        <v>40802.17</v>
      </c>
    </row>
    <row r="972" spans="2:3" x14ac:dyDescent="0.25">
      <c r="B972" s="53">
        <v>43802</v>
      </c>
      <c r="C972" s="291">
        <v>40675.449999999997</v>
      </c>
    </row>
    <row r="973" spans="2:3" x14ac:dyDescent="0.25">
      <c r="B973" s="53">
        <v>43803</v>
      </c>
      <c r="C973" s="291">
        <v>40850.29</v>
      </c>
    </row>
    <row r="974" spans="2:3" x14ac:dyDescent="0.25">
      <c r="B974" s="53">
        <v>43804</v>
      </c>
      <c r="C974" s="291">
        <v>40779.589999999997</v>
      </c>
    </row>
    <row r="975" spans="2:3" x14ac:dyDescent="0.25">
      <c r="B975" s="53">
        <v>43805</v>
      </c>
      <c r="C975" s="291">
        <v>40445.15</v>
      </c>
    </row>
    <row r="976" spans="2:3" x14ac:dyDescent="0.25">
      <c r="B976" s="53">
        <v>43808</v>
      </c>
      <c r="C976" s="291">
        <v>40487.43</v>
      </c>
    </row>
    <row r="977" spans="2:3" x14ac:dyDescent="0.25">
      <c r="B977" s="53">
        <v>43809</v>
      </c>
      <c r="C977" s="291">
        <v>40239.879999999997</v>
      </c>
    </row>
    <row r="978" spans="2:3" x14ac:dyDescent="0.25">
      <c r="B978" s="53">
        <v>43810</v>
      </c>
      <c r="C978" s="291">
        <v>40412.57</v>
      </c>
    </row>
    <row r="979" spans="2:3" x14ac:dyDescent="0.25">
      <c r="B979" s="53">
        <v>43811</v>
      </c>
      <c r="C979" s="291">
        <v>40581.71</v>
      </c>
    </row>
    <row r="980" spans="2:3" x14ac:dyDescent="0.25">
      <c r="B980" s="53">
        <v>43812</v>
      </c>
      <c r="C980" s="291">
        <v>41009.71</v>
      </c>
    </row>
    <row r="981" spans="2:3" x14ac:dyDescent="0.25">
      <c r="B981" s="53">
        <v>43815</v>
      </c>
      <c r="C981" s="291">
        <v>40938.720000000001</v>
      </c>
    </row>
    <row r="982" spans="2:3" x14ac:dyDescent="0.25">
      <c r="B982" s="53">
        <v>43816</v>
      </c>
      <c r="C982" s="291">
        <v>41352.17</v>
      </c>
    </row>
    <row r="983" spans="2:3" x14ac:dyDescent="0.25">
      <c r="B983" s="53">
        <v>43817</v>
      </c>
      <c r="C983" s="291">
        <v>41558.57</v>
      </c>
    </row>
    <row r="984" spans="2:3" x14ac:dyDescent="0.25">
      <c r="B984" s="53">
        <v>43818</v>
      </c>
      <c r="C984" s="291">
        <v>41673.919999999998</v>
      </c>
    </row>
    <row r="985" spans="2:3" x14ac:dyDescent="0.25">
      <c r="B985" s="53">
        <v>43819</v>
      </c>
      <c r="C985" s="291">
        <v>41681.54</v>
      </c>
    </row>
    <row r="986" spans="2:3" x14ac:dyDescent="0.25">
      <c r="B986" s="53">
        <v>43822</v>
      </c>
      <c r="C986" s="291">
        <v>41642.660000000003</v>
      </c>
    </row>
    <row r="987" spans="2:3" x14ac:dyDescent="0.25">
      <c r="B987" s="53">
        <v>43823</v>
      </c>
      <c r="C987" s="291">
        <v>41461.26</v>
      </c>
    </row>
    <row r="988" spans="2:3" x14ac:dyDescent="0.25">
      <c r="B988" s="53">
        <v>43825</v>
      </c>
      <c r="C988" s="291">
        <v>41163.760000000002</v>
      </c>
    </row>
    <row r="989" spans="2:3" x14ac:dyDescent="0.25">
      <c r="B989" s="53">
        <v>43826</v>
      </c>
      <c r="C989" s="291">
        <v>41575.14</v>
      </c>
    </row>
    <row r="990" spans="2:3" x14ac:dyDescent="0.25">
      <c r="B990" s="53">
        <v>43829</v>
      </c>
      <c r="C990" s="291">
        <v>41558</v>
      </c>
    </row>
    <row r="991" spans="2:3" x14ac:dyDescent="0.25">
      <c r="B991" s="53">
        <v>43830</v>
      </c>
      <c r="C991" s="291">
        <v>41253.74</v>
      </c>
    </row>
    <row r="992" spans="2:3" x14ac:dyDescent="0.25">
      <c r="B992" s="53">
        <v>43831</v>
      </c>
      <c r="C992" s="291">
        <v>41306.019999999997</v>
      </c>
    </row>
    <row r="993" spans="2:3" x14ac:dyDescent="0.25">
      <c r="B993" s="53">
        <v>43832</v>
      </c>
      <c r="C993" s="291">
        <v>41626.639999999999</v>
      </c>
    </row>
    <row r="994" spans="2:3" x14ac:dyDescent="0.25">
      <c r="B994" s="53">
        <v>43833</v>
      </c>
      <c r="C994" s="291">
        <v>41464.61</v>
      </c>
    </row>
    <row r="995" spans="2:3" x14ac:dyDescent="0.25">
      <c r="B995" s="53">
        <v>43836</v>
      </c>
      <c r="C995" s="291">
        <v>40676.629999999997</v>
      </c>
    </row>
    <row r="996" spans="2:3" x14ac:dyDescent="0.25">
      <c r="B996" s="53">
        <v>43837</v>
      </c>
      <c r="C996" s="291">
        <v>40869.47</v>
      </c>
    </row>
    <row r="997" spans="2:3" x14ac:dyDescent="0.25">
      <c r="B997" s="53">
        <v>43838</v>
      </c>
      <c r="C997" s="291">
        <v>40817.74</v>
      </c>
    </row>
    <row r="998" spans="2:3" x14ac:dyDescent="0.25">
      <c r="B998" s="53">
        <v>43839</v>
      </c>
      <c r="C998" s="291">
        <v>41452.35</v>
      </c>
    </row>
    <row r="999" spans="2:3" x14ac:dyDescent="0.25">
      <c r="B999" s="53">
        <v>43840</v>
      </c>
      <c r="C999" s="291">
        <v>41599.72</v>
      </c>
    </row>
    <row r="1000" spans="2:3" x14ac:dyDescent="0.25">
      <c r="B1000" s="53">
        <v>43843</v>
      </c>
      <c r="C1000" s="291">
        <v>41859.69</v>
      </c>
    </row>
    <row r="1001" spans="2:3" x14ac:dyDescent="0.25">
      <c r="B1001" s="53">
        <v>43844</v>
      </c>
      <c r="C1001" s="291">
        <v>41952.63</v>
      </c>
    </row>
    <row r="1002" spans="2:3" x14ac:dyDescent="0.25">
      <c r="B1002" s="53">
        <v>43845</v>
      </c>
      <c r="C1002" s="291">
        <v>41872.730000000003</v>
      </c>
    </row>
    <row r="1003" spans="2:3" x14ac:dyDescent="0.25">
      <c r="B1003" s="53">
        <v>43846</v>
      </c>
      <c r="C1003" s="291">
        <v>41932.559999999998</v>
      </c>
    </row>
    <row r="1004" spans="2:3" x14ac:dyDescent="0.25">
      <c r="B1004" s="53">
        <v>43847</v>
      </c>
      <c r="C1004" s="291">
        <v>41945.37</v>
      </c>
    </row>
    <row r="1005" spans="2:3" x14ac:dyDescent="0.25">
      <c r="B1005" s="53">
        <v>43850</v>
      </c>
      <c r="C1005" s="291">
        <v>41528.910000000003</v>
      </c>
    </row>
    <row r="1006" spans="2:3" x14ac:dyDescent="0.25">
      <c r="B1006" s="53">
        <v>43851</v>
      </c>
      <c r="C1006" s="291">
        <v>41323.81</v>
      </c>
    </row>
    <row r="1007" spans="2:3" x14ac:dyDescent="0.25">
      <c r="B1007" s="53">
        <v>43852</v>
      </c>
      <c r="C1007" s="291">
        <v>41115.379999999997</v>
      </c>
    </row>
    <row r="1008" spans="2:3" x14ac:dyDescent="0.25">
      <c r="B1008" s="53">
        <v>43853</v>
      </c>
      <c r="C1008" s="291">
        <v>41386.400000000001</v>
      </c>
    </row>
    <row r="1009" spans="2:3" x14ac:dyDescent="0.25">
      <c r="B1009" s="53">
        <v>43854</v>
      </c>
      <c r="C1009" s="291">
        <v>41613.19</v>
      </c>
    </row>
    <row r="1010" spans="2:3" x14ac:dyDescent="0.25">
      <c r="B1010" s="53">
        <v>43857</v>
      </c>
      <c r="C1010" s="291">
        <v>41155.120000000003</v>
      </c>
    </row>
    <row r="1011" spans="2:3" x14ac:dyDescent="0.25">
      <c r="B1011" s="53">
        <v>43858</v>
      </c>
      <c r="C1011" s="291">
        <v>40966.86</v>
      </c>
    </row>
    <row r="1012" spans="2:3" x14ac:dyDescent="0.25">
      <c r="B1012" s="53">
        <v>43859</v>
      </c>
      <c r="C1012" s="291">
        <v>41198.660000000003</v>
      </c>
    </row>
    <row r="1013" spans="2:3" x14ac:dyDescent="0.25">
      <c r="B1013" s="53">
        <v>43860</v>
      </c>
      <c r="C1013" s="291">
        <v>40913.82</v>
      </c>
    </row>
    <row r="1014" spans="2:3" x14ac:dyDescent="0.25">
      <c r="B1014" s="53">
        <v>43861</v>
      </c>
      <c r="C1014" s="291">
        <v>40723.49</v>
      </c>
    </row>
    <row r="1015" spans="2:3" x14ac:dyDescent="0.25">
      <c r="B1015" s="53">
        <v>43862</v>
      </c>
      <c r="C1015" s="291">
        <v>39735.53</v>
      </c>
    </row>
    <row r="1016" spans="2:3" x14ac:dyDescent="0.25">
      <c r="B1016" s="53">
        <v>43864</v>
      </c>
      <c r="C1016" s="291">
        <v>39872.31</v>
      </c>
    </row>
    <row r="1017" spans="2:3" x14ac:dyDescent="0.25">
      <c r="B1017" s="53">
        <v>43865</v>
      </c>
      <c r="C1017" s="291">
        <v>40789.379999999997</v>
      </c>
    </row>
    <row r="1018" spans="2:3" x14ac:dyDescent="0.25">
      <c r="B1018" s="53">
        <v>43866</v>
      </c>
      <c r="C1018" s="291">
        <v>41142.660000000003</v>
      </c>
    </row>
    <row r="1019" spans="2:3" x14ac:dyDescent="0.25">
      <c r="B1019" s="53">
        <v>43867</v>
      </c>
      <c r="C1019" s="291">
        <v>41306.03</v>
      </c>
    </row>
    <row r="1020" spans="2:3" x14ac:dyDescent="0.25">
      <c r="B1020" s="53">
        <v>43868</v>
      </c>
      <c r="C1020" s="291">
        <v>41141.85</v>
      </c>
    </row>
    <row r="1021" spans="2:3" x14ac:dyDescent="0.25">
      <c r="B1021" s="53">
        <v>43871</v>
      </c>
      <c r="C1021" s="291">
        <v>40979.620000000003</v>
      </c>
    </row>
    <row r="1022" spans="2:3" x14ac:dyDescent="0.25">
      <c r="B1022" s="53">
        <v>43872</v>
      </c>
      <c r="C1022" s="291">
        <v>41216.14</v>
      </c>
    </row>
    <row r="1023" spans="2:3" x14ac:dyDescent="0.25">
      <c r="B1023" s="53">
        <v>43873</v>
      </c>
      <c r="C1023" s="291">
        <v>41565.9</v>
      </c>
    </row>
    <row r="1024" spans="2:3" x14ac:dyDescent="0.25">
      <c r="B1024" s="53">
        <v>43874</v>
      </c>
      <c r="C1024" s="291">
        <v>41459.79</v>
      </c>
    </row>
    <row r="1025" spans="2:3" x14ac:dyDescent="0.25">
      <c r="B1025" s="53">
        <v>43875</v>
      </c>
      <c r="C1025" s="291">
        <v>41257.74</v>
      </c>
    </row>
    <row r="1026" spans="2:3" x14ac:dyDescent="0.25">
      <c r="B1026" s="53">
        <v>43878</v>
      </c>
      <c r="C1026" s="291">
        <v>41055.69</v>
      </c>
    </row>
    <row r="1027" spans="2:3" x14ac:dyDescent="0.25">
      <c r="B1027" s="53">
        <v>43879</v>
      </c>
      <c r="C1027" s="291">
        <v>40894.379999999997</v>
      </c>
    </row>
    <row r="1028" spans="2:3" x14ac:dyDescent="0.25">
      <c r="B1028" s="53">
        <v>43880</v>
      </c>
      <c r="C1028" s="291">
        <v>41323</v>
      </c>
    </row>
    <row r="1029" spans="2:3" x14ac:dyDescent="0.25">
      <c r="B1029" s="53">
        <v>43881</v>
      </c>
      <c r="C1029" s="291">
        <v>41170.120000000003</v>
      </c>
    </row>
    <row r="1030" spans="2:3" x14ac:dyDescent="0.25">
      <c r="B1030" s="53">
        <v>43885</v>
      </c>
      <c r="C1030" s="291">
        <v>40363.230000000003</v>
      </c>
    </row>
    <row r="1031" spans="2:3" x14ac:dyDescent="0.25">
      <c r="B1031" s="53">
        <v>43886</v>
      </c>
      <c r="C1031" s="291">
        <v>40281.199999999997</v>
      </c>
    </row>
    <row r="1032" spans="2:3" x14ac:dyDescent="0.25">
      <c r="B1032" s="53">
        <v>43887</v>
      </c>
      <c r="C1032" s="291">
        <v>39888.959999999999</v>
      </c>
    </row>
    <row r="1033" spans="2:3" x14ac:dyDescent="0.25">
      <c r="B1033" s="53">
        <v>43888</v>
      </c>
      <c r="C1033" s="291">
        <v>39745.660000000003</v>
      </c>
    </row>
    <row r="1034" spans="2:3" x14ac:dyDescent="0.25">
      <c r="B1034" s="53">
        <v>43889</v>
      </c>
      <c r="C1034" s="291">
        <v>38297.29</v>
      </c>
    </row>
    <row r="1035" spans="2:3" x14ac:dyDescent="0.25">
      <c r="B1035" s="53">
        <v>43892</v>
      </c>
      <c r="C1035" s="291">
        <v>38144.019999999997</v>
      </c>
    </row>
    <row r="1036" spans="2:3" x14ac:dyDescent="0.25">
      <c r="B1036" s="53">
        <v>43893</v>
      </c>
      <c r="C1036" s="291">
        <v>38623.699999999997</v>
      </c>
    </row>
    <row r="1037" spans="2:3" x14ac:dyDescent="0.25">
      <c r="B1037" s="53">
        <v>43894</v>
      </c>
      <c r="C1037" s="291">
        <v>38409.480000000003</v>
      </c>
    </row>
    <row r="1038" spans="2:3" x14ac:dyDescent="0.25">
      <c r="B1038" s="53">
        <v>43895</v>
      </c>
      <c r="C1038" s="291">
        <v>38470.61</v>
      </c>
    </row>
    <row r="1039" spans="2:3" x14ac:dyDescent="0.25">
      <c r="B1039" s="53">
        <v>43896</v>
      </c>
      <c r="C1039" s="291">
        <v>37576.620000000003</v>
      </c>
    </row>
    <row r="1040" spans="2:3" x14ac:dyDescent="0.25">
      <c r="B1040" s="53">
        <v>43899</v>
      </c>
      <c r="C1040" s="291">
        <v>35634.949999999997</v>
      </c>
    </row>
    <row r="1041" spans="2:3" x14ac:dyDescent="0.25">
      <c r="B1041" s="53">
        <v>43901</v>
      </c>
      <c r="C1041" s="291">
        <v>35697.4</v>
      </c>
    </row>
    <row r="1042" spans="2:3" x14ac:dyDescent="0.25">
      <c r="B1042" s="53">
        <v>43902</v>
      </c>
      <c r="C1042" s="291">
        <v>32778.14</v>
      </c>
    </row>
    <row r="1043" spans="2:3" x14ac:dyDescent="0.25">
      <c r="B1043" s="53">
        <v>43903</v>
      </c>
      <c r="C1043" s="291">
        <v>34103.480000000003</v>
      </c>
    </row>
    <row r="1044" spans="2:3" x14ac:dyDescent="0.25">
      <c r="B1044" s="53">
        <v>43906</v>
      </c>
      <c r="C1044" s="291">
        <v>31390.07</v>
      </c>
    </row>
    <row r="1045" spans="2:3" x14ac:dyDescent="0.25">
      <c r="B1045" s="53">
        <v>43907</v>
      </c>
      <c r="C1045" s="291">
        <v>30579.09</v>
      </c>
    </row>
    <row r="1046" spans="2:3" x14ac:dyDescent="0.25">
      <c r="B1046" s="53">
        <v>43908</v>
      </c>
      <c r="C1046" s="291">
        <v>28869.51</v>
      </c>
    </row>
    <row r="1047" spans="2:3" x14ac:dyDescent="0.25">
      <c r="B1047" s="53">
        <v>43909</v>
      </c>
      <c r="C1047" s="291">
        <v>28288.23</v>
      </c>
    </row>
    <row r="1048" spans="2:3" x14ac:dyDescent="0.25">
      <c r="B1048" s="53">
        <v>43910</v>
      </c>
      <c r="C1048" s="291">
        <v>29915.96</v>
      </c>
    </row>
    <row r="1049" spans="2:3" x14ac:dyDescent="0.25">
      <c r="B1049" s="53">
        <v>43913</v>
      </c>
      <c r="C1049" s="291">
        <v>25981.24</v>
      </c>
    </row>
    <row r="1050" spans="2:3" x14ac:dyDescent="0.25">
      <c r="B1050" s="53">
        <v>43914</v>
      </c>
      <c r="C1050" s="291">
        <v>26674.03</v>
      </c>
    </row>
    <row r="1051" spans="2:3" x14ac:dyDescent="0.25">
      <c r="B1051" s="53">
        <v>43915</v>
      </c>
      <c r="C1051" s="291">
        <v>28535.78</v>
      </c>
    </row>
    <row r="1052" spans="2:3" x14ac:dyDescent="0.25">
      <c r="B1052" s="53">
        <v>43916</v>
      </c>
      <c r="C1052" s="291">
        <v>29946.77</v>
      </c>
    </row>
    <row r="1053" spans="2:3" x14ac:dyDescent="0.25">
      <c r="B1053" s="53">
        <v>43917</v>
      </c>
      <c r="C1053" s="291">
        <v>29815.59</v>
      </c>
    </row>
    <row r="1054" spans="2:3" x14ac:dyDescent="0.25">
      <c r="B1054" s="53">
        <v>43920</v>
      </c>
      <c r="C1054" s="291">
        <v>28440.32</v>
      </c>
    </row>
    <row r="1055" spans="2:3" x14ac:dyDescent="0.25">
      <c r="B1055" s="53">
        <v>43921</v>
      </c>
      <c r="C1055" s="291">
        <v>29468.49</v>
      </c>
    </row>
    <row r="1056" spans="2:3" x14ac:dyDescent="0.25">
      <c r="B1056" s="53">
        <v>43922</v>
      </c>
      <c r="C1056" s="291">
        <v>28265.31</v>
      </c>
    </row>
    <row r="1057" spans="2:3" x14ac:dyDescent="0.25">
      <c r="B1057" s="53">
        <v>43924</v>
      </c>
      <c r="C1057" s="291">
        <v>27590.95</v>
      </c>
    </row>
    <row r="1058" spans="2:3" x14ac:dyDescent="0.25">
      <c r="B1058" s="53">
        <v>43928</v>
      </c>
      <c r="C1058" s="291">
        <v>30067.21</v>
      </c>
    </row>
    <row r="1059" spans="2:3" x14ac:dyDescent="0.25">
      <c r="B1059" s="53">
        <v>43929</v>
      </c>
      <c r="C1059" s="291">
        <v>29893.96</v>
      </c>
    </row>
    <row r="1060" spans="2:3" x14ac:dyDescent="0.25">
      <c r="B1060" s="53">
        <v>43930</v>
      </c>
      <c r="C1060" s="291">
        <v>31159.62</v>
      </c>
    </row>
    <row r="1061" spans="2:3" x14ac:dyDescent="0.25">
      <c r="B1061" s="53">
        <v>43934</v>
      </c>
      <c r="C1061" s="291">
        <v>30690.02</v>
      </c>
    </row>
    <row r="1062" spans="2:3" x14ac:dyDescent="0.25">
      <c r="B1062" s="53">
        <v>43936</v>
      </c>
      <c r="C1062" s="291">
        <v>30379.81</v>
      </c>
    </row>
    <row r="1063" spans="2:3" x14ac:dyDescent="0.25">
      <c r="B1063" s="53">
        <v>43937</v>
      </c>
      <c r="C1063" s="291">
        <v>30602.61</v>
      </c>
    </row>
    <row r="1064" spans="2:3" x14ac:dyDescent="0.25">
      <c r="B1064" s="53">
        <v>43938</v>
      </c>
      <c r="C1064" s="291">
        <v>31588.720000000001</v>
      </c>
    </row>
    <row r="1065" spans="2:3" x14ac:dyDescent="0.25">
      <c r="B1065" s="53">
        <v>43941</v>
      </c>
      <c r="C1065" s="291">
        <v>31648</v>
      </c>
    </row>
    <row r="1066" spans="2:3" x14ac:dyDescent="0.25">
      <c r="B1066" s="53">
        <v>43942</v>
      </c>
      <c r="C1066" s="291">
        <v>30636.71</v>
      </c>
    </row>
    <row r="1067" spans="2:3" x14ac:dyDescent="0.25">
      <c r="B1067" s="53">
        <v>43943</v>
      </c>
      <c r="C1067" s="291">
        <v>31379.55</v>
      </c>
    </row>
    <row r="1068" spans="2:3" x14ac:dyDescent="0.25">
      <c r="B1068" s="53">
        <v>43944</v>
      </c>
      <c r="C1068" s="291">
        <v>31863.08</v>
      </c>
    </row>
    <row r="1069" spans="2:3" x14ac:dyDescent="0.25">
      <c r="B1069" s="53">
        <v>43945</v>
      </c>
      <c r="C1069" s="291">
        <v>31327.22</v>
      </c>
    </row>
    <row r="1070" spans="2:3" x14ac:dyDescent="0.25">
      <c r="B1070" s="53">
        <v>43948</v>
      </c>
      <c r="C1070" s="291">
        <v>31743.08</v>
      </c>
    </row>
    <row r="1071" spans="2:3" x14ac:dyDescent="0.25">
      <c r="B1071" s="53">
        <v>43949</v>
      </c>
      <c r="C1071" s="291">
        <v>32114.52</v>
      </c>
    </row>
    <row r="1072" spans="2:3" x14ac:dyDescent="0.25">
      <c r="B1072" s="53">
        <v>43950</v>
      </c>
      <c r="C1072" s="291">
        <v>32720.16</v>
      </c>
    </row>
    <row r="1073" spans="2:3" x14ac:dyDescent="0.25">
      <c r="B1073" s="53">
        <v>43951</v>
      </c>
      <c r="C1073" s="291">
        <v>33717.620000000003</v>
      </c>
    </row>
    <row r="1074" spans="2:3" x14ac:dyDescent="0.25">
      <c r="B1074" s="53">
        <v>43955</v>
      </c>
      <c r="C1074" s="291">
        <v>31715.35</v>
      </c>
    </row>
    <row r="1075" spans="2:3" x14ac:dyDescent="0.25">
      <c r="B1075" s="53">
        <v>43956</v>
      </c>
      <c r="C1075" s="291">
        <v>31453.51</v>
      </c>
    </row>
    <row r="1076" spans="2:3" x14ac:dyDescent="0.25">
      <c r="B1076" s="53">
        <v>43957</v>
      </c>
      <c r="C1076" s="291">
        <v>31685.75</v>
      </c>
    </row>
    <row r="1077" spans="2:3" x14ac:dyDescent="0.25">
      <c r="B1077" s="53">
        <v>43958</v>
      </c>
      <c r="C1077" s="291">
        <v>31443.38</v>
      </c>
    </row>
    <row r="1078" spans="2:3" x14ac:dyDescent="0.25">
      <c r="B1078" s="53">
        <v>43959</v>
      </c>
      <c r="C1078" s="291">
        <v>31642.7</v>
      </c>
    </row>
    <row r="1079" spans="2:3" x14ac:dyDescent="0.25">
      <c r="B1079" s="53">
        <v>43962</v>
      </c>
      <c r="C1079" s="291">
        <v>31561.22</v>
      </c>
    </row>
    <row r="1080" spans="2:3" x14ac:dyDescent="0.25">
      <c r="B1080" s="53">
        <v>43963</v>
      </c>
      <c r="C1080" s="291">
        <v>31371.119999999999</v>
      </c>
    </row>
    <row r="1081" spans="2:3" x14ac:dyDescent="0.25">
      <c r="B1081" s="53">
        <v>43964</v>
      </c>
      <c r="C1081" s="291">
        <v>32008.61</v>
      </c>
    </row>
    <row r="1082" spans="2:3" x14ac:dyDescent="0.25">
      <c r="B1082" s="53">
        <v>43965</v>
      </c>
      <c r="C1082" s="291">
        <v>31122.89</v>
      </c>
    </row>
    <row r="1083" spans="2:3" x14ac:dyDescent="0.25">
      <c r="B1083" s="53">
        <v>43966</v>
      </c>
      <c r="C1083" s="291">
        <v>31097.73</v>
      </c>
    </row>
    <row r="1084" spans="2:3" x14ac:dyDescent="0.25">
      <c r="B1084" s="53">
        <v>43969</v>
      </c>
      <c r="C1084" s="291">
        <v>30028.98</v>
      </c>
    </row>
    <row r="1085" spans="2:3" x14ac:dyDescent="0.25">
      <c r="B1085" s="53">
        <v>43970</v>
      </c>
      <c r="C1085" s="291">
        <v>30196.17</v>
      </c>
    </row>
    <row r="1086" spans="2:3" x14ac:dyDescent="0.25">
      <c r="B1086" s="53">
        <v>43971</v>
      </c>
      <c r="C1086" s="291">
        <v>30818.61</v>
      </c>
    </row>
    <row r="1087" spans="2:3" x14ac:dyDescent="0.25">
      <c r="B1087" s="53">
        <v>43972</v>
      </c>
      <c r="C1087" s="291">
        <v>30932.9</v>
      </c>
    </row>
    <row r="1088" spans="2:3" x14ac:dyDescent="0.25">
      <c r="B1088" s="53">
        <v>43973</v>
      </c>
      <c r="C1088" s="291">
        <v>30672.59</v>
      </c>
    </row>
    <row r="1089" spans="2:3" x14ac:dyDescent="0.25">
      <c r="B1089" s="53">
        <v>43977</v>
      </c>
      <c r="C1089" s="291">
        <v>30609.3</v>
      </c>
    </row>
    <row r="1090" spans="2:3" x14ac:dyDescent="0.25">
      <c r="B1090" s="53">
        <v>43978</v>
      </c>
      <c r="C1090" s="291">
        <v>31605.22</v>
      </c>
    </row>
    <row r="1091" spans="2:3" x14ac:dyDescent="0.25">
      <c r="B1091" s="53">
        <v>43979</v>
      </c>
      <c r="C1091" s="291">
        <v>32200.59</v>
      </c>
    </row>
    <row r="1092" spans="2:3" x14ac:dyDescent="0.25">
      <c r="B1092" s="53">
        <v>43980</v>
      </c>
      <c r="C1092" s="291">
        <v>32424.1</v>
      </c>
    </row>
    <row r="1093" spans="2:3" x14ac:dyDescent="0.25">
      <c r="B1093" s="53">
        <v>43983</v>
      </c>
      <c r="C1093" s="291">
        <v>33303.519999999997</v>
      </c>
    </row>
    <row r="1094" spans="2:3" x14ac:dyDescent="0.25">
      <c r="B1094" s="53">
        <v>43984</v>
      </c>
      <c r="C1094" s="291">
        <v>33825.53</v>
      </c>
    </row>
    <row r="1095" spans="2:3" x14ac:dyDescent="0.25">
      <c r="B1095" s="53">
        <v>43985</v>
      </c>
      <c r="C1095" s="291">
        <v>34109.54</v>
      </c>
    </row>
    <row r="1096" spans="2:3" x14ac:dyDescent="0.25">
      <c r="B1096" s="53">
        <v>43986</v>
      </c>
      <c r="C1096" s="291">
        <v>33980.699999999997</v>
      </c>
    </row>
    <row r="1097" spans="2:3" x14ac:dyDescent="0.25">
      <c r="B1097" s="53">
        <v>43987</v>
      </c>
      <c r="C1097" s="291">
        <v>34287.24</v>
      </c>
    </row>
    <row r="1098" spans="2:3" x14ac:dyDescent="0.25">
      <c r="B1098" s="53">
        <v>43990</v>
      </c>
      <c r="C1098" s="291">
        <v>34370.58</v>
      </c>
    </row>
    <row r="1099" spans="2:3" x14ac:dyDescent="0.25">
      <c r="B1099" s="53">
        <v>43991</v>
      </c>
      <c r="C1099" s="291">
        <v>33956.69</v>
      </c>
    </row>
    <row r="1100" spans="2:3" x14ac:dyDescent="0.25">
      <c r="B1100" s="53">
        <v>43992</v>
      </c>
      <c r="C1100" s="291">
        <v>34247.050000000003</v>
      </c>
    </row>
    <row r="1101" spans="2:3" x14ac:dyDescent="0.25">
      <c r="B1101" s="53">
        <v>43993</v>
      </c>
      <c r="C1101" s="291">
        <v>33538.370000000003</v>
      </c>
    </row>
    <row r="1102" spans="2:3" x14ac:dyDescent="0.25">
      <c r="B1102" s="53">
        <v>43994</v>
      </c>
      <c r="C1102" s="291">
        <v>33780.89</v>
      </c>
    </row>
    <row r="1103" spans="2:3" x14ac:dyDescent="0.25">
      <c r="B1103" s="53">
        <v>43997</v>
      </c>
      <c r="C1103" s="291">
        <v>33228.800000000003</v>
      </c>
    </row>
    <row r="1104" spans="2:3" x14ac:dyDescent="0.25">
      <c r="B1104" s="53">
        <v>43998</v>
      </c>
      <c r="C1104" s="291">
        <v>33605.22</v>
      </c>
    </row>
    <row r="1105" spans="2:3" x14ac:dyDescent="0.25">
      <c r="B1105" s="53">
        <v>43999</v>
      </c>
      <c r="C1105" s="291">
        <v>33507.919999999998</v>
      </c>
    </row>
    <row r="1106" spans="2:3" x14ac:dyDescent="0.25">
      <c r="B1106" s="53">
        <v>44000</v>
      </c>
      <c r="C1106" s="291">
        <v>34208.050000000003</v>
      </c>
    </row>
    <row r="1107" spans="2:3" x14ac:dyDescent="0.25">
      <c r="B1107" s="53">
        <v>44001</v>
      </c>
      <c r="C1107" s="291">
        <v>34731.730000000003</v>
      </c>
    </row>
    <row r="1108" spans="2:3" x14ac:dyDescent="0.25">
      <c r="B1108" s="53">
        <v>44004</v>
      </c>
      <c r="C1108" s="291">
        <v>34911.32</v>
      </c>
    </row>
    <row r="1109" spans="2:3" x14ac:dyDescent="0.25">
      <c r="B1109" s="53">
        <v>44005</v>
      </c>
      <c r="C1109" s="291">
        <v>35430.43</v>
      </c>
    </row>
    <row r="1110" spans="2:3" x14ac:dyDescent="0.25">
      <c r="B1110" s="53">
        <v>44006</v>
      </c>
      <c r="C1110" s="291">
        <v>34868.980000000003</v>
      </c>
    </row>
    <row r="1111" spans="2:3" x14ac:dyDescent="0.25">
      <c r="B1111" s="53">
        <v>44007</v>
      </c>
      <c r="C1111" s="291">
        <v>34842.1</v>
      </c>
    </row>
    <row r="1112" spans="2:3" x14ac:dyDescent="0.25">
      <c r="B1112" s="53">
        <v>44008</v>
      </c>
      <c r="C1112" s="291">
        <v>35171.269999999997</v>
      </c>
    </row>
    <row r="1113" spans="2:3" x14ac:dyDescent="0.25">
      <c r="B1113" s="53">
        <v>44011</v>
      </c>
      <c r="C1113" s="291">
        <v>34961.519999999997</v>
      </c>
    </row>
    <row r="1114" spans="2:3" x14ac:dyDescent="0.25">
      <c r="B1114" s="53">
        <v>44012</v>
      </c>
      <c r="C1114" s="291">
        <v>34915.800000000003</v>
      </c>
    </row>
    <row r="1115" spans="2:3" x14ac:dyDescent="0.25">
      <c r="B1115" s="53">
        <v>44013</v>
      </c>
      <c r="C1115" s="291">
        <v>35414.449999999997</v>
      </c>
    </row>
    <row r="1116" spans="2:3" x14ac:dyDescent="0.25">
      <c r="B1116" s="53">
        <v>44014</v>
      </c>
      <c r="C1116" s="291">
        <v>35843.699999999997</v>
      </c>
    </row>
    <row r="1117" spans="2:3" x14ac:dyDescent="0.25">
      <c r="B1117" s="53">
        <v>44015</v>
      </c>
      <c r="C1117" s="291">
        <v>36021.42</v>
      </c>
    </row>
    <row r="1118" spans="2:3" x14ac:dyDescent="0.25">
      <c r="B1118" s="53">
        <v>44018</v>
      </c>
      <c r="C1118" s="291">
        <v>36487.279999999999</v>
      </c>
    </row>
    <row r="1119" spans="2:3" x14ac:dyDescent="0.25">
      <c r="B1119" s="53">
        <v>44019</v>
      </c>
      <c r="C1119" s="291">
        <v>36674.519999999997</v>
      </c>
    </row>
    <row r="1120" spans="2:3" x14ac:dyDescent="0.25">
      <c r="B1120" s="53">
        <v>44020</v>
      </c>
      <c r="C1120" s="291">
        <v>36329.01</v>
      </c>
    </row>
    <row r="1121" spans="2:3" x14ac:dyDescent="0.25">
      <c r="B1121" s="53">
        <v>44021</v>
      </c>
      <c r="C1121" s="291">
        <v>36737.69</v>
      </c>
    </row>
    <row r="1122" spans="2:3" x14ac:dyDescent="0.25">
      <c r="B1122" s="53">
        <v>44022</v>
      </c>
      <c r="C1122" s="291">
        <v>36594.33</v>
      </c>
    </row>
    <row r="1123" spans="2:3" x14ac:dyDescent="0.25">
      <c r="B1123" s="53">
        <v>44025</v>
      </c>
      <c r="C1123" s="291">
        <v>36693.69</v>
      </c>
    </row>
    <row r="1124" spans="2:3" x14ac:dyDescent="0.25">
      <c r="B1124" s="53">
        <v>44026</v>
      </c>
      <c r="C1124" s="291">
        <v>36033.06</v>
      </c>
    </row>
    <row r="1125" spans="2:3" x14ac:dyDescent="0.25">
      <c r="B1125" s="53">
        <v>44027</v>
      </c>
      <c r="C1125" s="291">
        <v>36051.81</v>
      </c>
    </row>
    <row r="1126" spans="2:3" x14ac:dyDescent="0.25">
      <c r="B1126" s="53">
        <v>44028</v>
      </c>
      <c r="C1126" s="291">
        <v>36471.68</v>
      </c>
    </row>
    <row r="1127" spans="2:3" x14ac:dyDescent="0.25">
      <c r="B1127" s="53">
        <v>44029</v>
      </c>
      <c r="C1127" s="291">
        <v>37020.14</v>
      </c>
    </row>
    <row r="1128" spans="2:3" x14ac:dyDescent="0.25">
      <c r="B1128" s="53">
        <v>44032</v>
      </c>
      <c r="C1128" s="291">
        <v>37418.99</v>
      </c>
    </row>
    <row r="1129" spans="2:3" x14ac:dyDescent="0.25">
      <c r="B1129" s="53">
        <v>44033</v>
      </c>
      <c r="C1129" s="291">
        <v>37930.33</v>
      </c>
    </row>
    <row r="1130" spans="2:3" x14ac:dyDescent="0.25">
      <c r="B1130" s="53">
        <v>44034</v>
      </c>
      <c r="C1130" s="291">
        <v>37871.519999999997</v>
      </c>
    </row>
    <row r="1131" spans="2:3" x14ac:dyDescent="0.25">
      <c r="B1131" s="53">
        <v>44035</v>
      </c>
      <c r="C1131" s="291">
        <v>38140.47</v>
      </c>
    </row>
    <row r="1132" spans="2:3" x14ac:dyDescent="0.25">
      <c r="B1132" s="53">
        <v>44036</v>
      </c>
      <c r="C1132" s="291">
        <v>38128.9</v>
      </c>
    </row>
    <row r="1133" spans="2:3" x14ac:dyDescent="0.25">
      <c r="B1133" s="53">
        <v>44039</v>
      </c>
      <c r="C1133" s="291">
        <v>37934.730000000003</v>
      </c>
    </row>
    <row r="1134" spans="2:3" x14ac:dyDescent="0.25">
      <c r="B1134" s="53">
        <v>44040</v>
      </c>
      <c r="C1134" s="291">
        <v>38492.949999999997</v>
      </c>
    </row>
    <row r="1135" spans="2:3" x14ac:dyDescent="0.25">
      <c r="B1135" s="53">
        <v>44041</v>
      </c>
      <c r="C1135" s="291">
        <v>38071.129999999997</v>
      </c>
    </row>
    <row r="1136" spans="2:3" x14ac:dyDescent="0.25">
      <c r="B1136" s="53">
        <v>44042</v>
      </c>
      <c r="C1136" s="291">
        <v>37736.07</v>
      </c>
    </row>
    <row r="1137" spans="2:3" x14ac:dyDescent="0.25">
      <c r="B1137" s="53">
        <v>44043</v>
      </c>
      <c r="C1137" s="291">
        <v>37606.89</v>
      </c>
    </row>
    <row r="1138" spans="2:3" x14ac:dyDescent="0.25">
      <c r="B1138" s="53">
        <v>44046</v>
      </c>
      <c r="C1138" s="291">
        <v>36939.599999999999</v>
      </c>
    </row>
    <row r="1139" spans="2:3" x14ac:dyDescent="0.25">
      <c r="B1139" s="53">
        <v>44047</v>
      </c>
      <c r="C1139" s="291">
        <v>37687.910000000003</v>
      </c>
    </row>
    <row r="1140" spans="2:3" x14ac:dyDescent="0.25">
      <c r="B1140" s="53">
        <v>44048</v>
      </c>
      <c r="C1140" s="291">
        <v>37663.33</v>
      </c>
    </row>
    <row r="1141" spans="2:3" x14ac:dyDescent="0.25">
      <c r="B1141" s="53">
        <v>44049</v>
      </c>
      <c r="C1141" s="291">
        <v>38025.449999999997</v>
      </c>
    </row>
    <row r="1142" spans="2:3" x14ac:dyDescent="0.25">
      <c r="B1142" s="53">
        <v>44050</v>
      </c>
      <c r="C1142" s="291">
        <v>38040.57</v>
      </c>
    </row>
    <row r="1143" spans="2:3" x14ac:dyDescent="0.25">
      <c r="B1143" s="53">
        <v>44053</v>
      </c>
      <c r="C1143" s="291">
        <v>38182.080000000002</v>
      </c>
    </row>
    <row r="1144" spans="2:3" x14ac:dyDescent="0.25">
      <c r="B1144" s="53">
        <v>44054</v>
      </c>
      <c r="C1144" s="291">
        <v>38407.01</v>
      </c>
    </row>
    <row r="1145" spans="2:3" x14ac:dyDescent="0.25">
      <c r="B1145" s="53">
        <v>44055</v>
      </c>
      <c r="C1145" s="291">
        <v>38369.629999999997</v>
      </c>
    </row>
    <row r="1146" spans="2:3" x14ac:dyDescent="0.25">
      <c r="B1146" s="53">
        <v>44056</v>
      </c>
      <c r="C1146" s="291">
        <v>38310.49</v>
      </c>
    </row>
    <row r="1147" spans="2:3" x14ac:dyDescent="0.25">
      <c r="B1147" s="53">
        <v>44057</v>
      </c>
      <c r="C1147" s="291">
        <v>37877.339999999997</v>
      </c>
    </row>
    <row r="1148" spans="2:3" x14ac:dyDescent="0.25">
      <c r="B1148" s="53">
        <v>44060</v>
      </c>
      <c r="C1148" s="291">
        <v>38050.78</v>
      </c>
    </row>
    <row r="1149" spans="2:3" x14ac:dyDescent="0.25">
      <c r="B1149" s="53">
        <v>44061</v>
      </c>
      <c r="C1149" s="291">
        <v>38528.32</v>
      </c>
    </row>
    <row r="1150" spans="2:3" x14ac:dyDescent="0.25">
      <c r="B1150" s="53">
        <v>44062</v>
      </c>
      <c r="C1150" s="291">
        <v>38614.79</v>
      </c>
    </row>
    <row r="1151" spans="2:3" x14ac:dyDescent="0.25">
      <c r="B1151" s="53">
        <v>44063</v>
      </c>
      <c r="C1151" s="291">
        <v>38220.39</v>
      </c>
    </row>
    <row r="1152" spans="2:3" x14ac:dyDescent="0.25">
      <c r="B1152" s="53">
        <v>44064</v>
      </c>
      <c r="C1152" s="291">
        <v>38434.720000000001</v>
      </c>
    </row>
    <row r="1153" spans="2:3" x14ac:dyDescent="0.25">
      <c r="B1153" s="53">
        <v>44067</v>
      </c>
      <c r="C1153" s="291">
        <v>38799.08</v>
      </c>
    </row>
    <row r="1154" spans="2:3" x14ac:dyDescent="0.25">
      <c r="B1154" s="53">
        <v>44068</v>
      </c>
      <c r="C1154" s="291">
        <v>38843.879999999997</v>
      </c>
    </row>
    <row r="1155" spans="2:3" x14ac:dyDescent="0.25">
      <c r="B1155" s="53">
        <v>44069</v>
      </c>
      <c r="C1155" s="291">
        <v>39073.919999999998</v>
      </c>
    </row>
    <row r="1156" spans="2:3" x14ac:dyDescent="0.25">
      <c r="B1156" s="53">
        <v>44070</v>
      </c>
      <c r="C1156" s="291">
        <v>39113.47</v>
      </c>
    </row>
    <row r="1157" spans="2:3" x14ac:dyDescent="0.25">
      <c r="B1157" s="53">
        <v>44071</v>
      </c>
      <c r="C1157" s="291">
        <v>39467.31</v>
      </c>
    </row>
    <row r="1158" spans="2:3" x14ac:dyDescent="0.25">
      <c r="B1158" s="53">
        <v>44074</v>
      </c>
      <c r="C1158" s="291">
        <v>38628.29</v>
      </c>
    </row>
    <row r="1159" spans="2:3" x14ac:dyDescent="0.25">
      <c r="B1159" s="53">
        <v>44075</v>
      </c>
      <c r="C1159" s="291">
        <v>38900.800000000003</v>
      </c>
    </row>
    <row r="1160" spans="2:3" x14ac:dyDescent="0.25">
      <c r="B1160" s="53">
        <v>44076</v>
      </c>
      <c r="C1160" s="291">
        <v>39086.03</v>
      </c>
    </row>
    <row r="1161" spans="2:3" x14ac:dyDescent="0.25">
      <c r="B1161" s="53">
        <v>44077</v>
      </c>
      <c r="C1161" s="291">
        <v>38990.94</v>
      </c>
    </row>
    <row r="1162" spans="2:3" x14ac:dyDescent="0.25">
      <c r="B1162" s="53">
        <v>44078</v>
      </c>
      <c r="C1162" s="291">
        <v>38357.18</v>
      </c>
    </row>
    <row r="1163" spans="2:3" x14ac:dyDescent="0.25">
      <c r="B1163" s="53">
        <v>44081</v>
      </c>
      <c r="C1163" s="291">
        <v>38417.230000000003</v>
      </c>
    </row>
    <row r="1164" spans="2:3" x14ac:dyDescent="0.25">
      <c r="B1164" s="53">
        <v>44082</v>
      </c>
      <c r="C1164" s="291">
        <v>38365.35</v>
      </c>
    </row>
    <row r="1165" spans="2:3" x14ac:dyDescent="0.25">
      <c r="B1165" s="53">
        <v>44083</v>
      </c>
      <c r="C1165" s="291">
        <v>38193.919999999998</v>
      </c>
    </row>
    <row r="1166" spans="2:3" x14ac:dyDescent="0.25">
      <c r="B1166" s="53">
        <v>44084</v>
      </c>
      <c r="C1166" s="291">
        <v>38840.32</v>
      </c>
    </row>
    <row r="1167" spans="2:3" x14ac:dyDescent="0.25">
      <c r="B1167" s="53">
        <v>44085</v>
      </c>
      <c r="C1167" s="291">
        <v>38854.550000000003</v>
      </c>
    </row>
    <row r="1168" spans="2:3" x14ac:dyDescent="0.25">
      <c r="B1168" s="53">
        <v>44088</v>
      </c>
      <c r="C1168" s="291">
        <v>38756.629999999997</v>
      </c>
    </row>
    <row r="1169" spans="2:3" x14ac:dyDescent="0.25">
      <c r="B1169" s="53">
        <v>44089</v>
      </c>
      <c r="C1169" s="291">
        <v>39044.35</v>
      </c>
    </row>
    <row r="1170" spans="2:3" x14ac:dyDescent="0.25">
      <c r="B1170" s="53">
        <v>44090</v>
      </c>
      <c r="C1170" s="291">
        <v>39302.85</v>
      </c>
    </row>
    <row r="1171" spans="2:3" x14ac:dyDescent="0.25">
      <c r="B1171" s="53">
        <v>44091</v>
      </c>
      <c r="C1171" s="291">
        <v>38979.85</v>
      </c>
    </row>
    <row r="1172" spans="2:3" x14ac:dyDescent="0.25">
      <c r="B1172" s="53">
        <v>44092</v>
      </c>
      <c r="C1172" s="291">
        <v>38845.82</v>
      </c>
    </row>
    <row r="1173" spans="2:3" x14ac:dyDescent="0.25">
      <c r="B1173" s="53">
        <v>44095</v>
      </c>
      <c r="C1173" s="291">
        <v>38034.14</v>
      </c>
    </row>
    <row r="1174" spans="2:3" x14ac:dyDescent="0.25">
      <c r="B1174" s="53">
        <v>44096</v>
      </c>
      <c r="C1174" s="291">
        <v>37734.080000000002</v>
      </c>
    </row>
    <row r="1175" spans="2:3" x14ac:dyDescent="0.25">
      <c r="B1175" s="53">
        <v>44097</v>
      </c>
      <c r="C1175" s="291">
        <v>37668.42</v>
      </c>
    </row>
    <row r="1176" spans="2:3" x14ac:dyDescent="0.25">
      <c r="B1176" s="53">
        <v>44098</v>
      </c>
      <c r="C1176" s="291">
        <v>36553.599999999999</v>
      </c>
    </row>
    <row r="1177" spans="2:3" x14ac:dyDescent="0.25">
      <c r="B1177" s="53">
        <v>44099</v>
      </c>
      <c r="C1177" s="291">
        <v>37388.660000000003</v>
      </c>
    </row>
    <row r="1178" spans="2:3" x14ac:dyDescent="0.25">
      <c r="B1178" s="53">
        <v>44102</v>
      </c>
      <c r="C1178" s="291">
        <v>37981.629999999997</v>
      </c>
    </row>
    <row r="1179" spans="2:3" x14ac:dyDescent="0.25">
      <c r="B1179" s="53">
        <v>44103</v>
      </c>
      <c r="C1179" s="291">
        <v>37973.22</v>
      </c>
    </row>
    <row r="1180" spans="2:3" x14ac:dyDescent="0.25">
      <c r="B1180" s="53">
        <v>44104</v>
      </c>
      <c r="C1180" s="291">
        <v>38067.93</v>
      </c>
    </row>
    <row r="1181" spans="2:3" x14ac:dyDescent="0.25">
      <c r="B1181" s="53">
        <v>44105</v>
      </c>
      <c r="C1181" s="291">
        <v>38697.050000000003</v>
      </c>
    </row>
    <row r="1182" spans="2:3" x14ac:dyDescent="0.25">
      <c r="B1182" s="53">
        <v>44109</v>
      </c>
      <c r="C1182" s="291">
        <v>38973.699999999997</v>
      </c>
    </row>
    <row r="1183" spans="2:3" x14ac:dyDescent="0.25">
      <c r="B1183" s="53">
        <v>44110</v>
      </c>
      <c r="C1183" s="291">
        <v>39574.57</v>
      </c>
    </row>
    <row r="1184" spans="2:3" x14ac:dyDescent="0.25">
      <c r="B1184" s="53">
        <v>44111</v>
      </c>
      <c r="C1184" s="291">
        <v>39878.949999999997</v>
      </c>
    </row>
    <row r="1185" spans="2:3" x14ac:dyDescent="0.25">
      <c r="B1185" s="53">
        <v>44112</v>
      </c>
      <c r="C1185" s="291">
        <v>40182.67</v>
      </c>
    </row>
    <row r="1186" spans="2:3" x14ac:dyDescent="0.25">
      <c r="B1186" s="53">
        <v>44113</v>
      </c>
      <c r="C1186" s="291">
        <v>40509.49</v>
      </c>
    </row>
    <row r="1187" spans="2:3" x14ac:dyDescent="0.25">
      <c r="B1187" s="53">
        <v>44116</v>
      </c>
      <c r="C1187" s="291">
        <v>40593.800000000003</v>
      </c>
    </row>
    <row r="1188" spans="2:3" x14ac:dyDescent="0.25">
      <c r="B1188" s="53">
        <v>44117</v>
      </c>
      <c r="C1188" s="291">
        <v>40625.51</v>
      </c>
    </row>
    <row r="1189" spans="2:3" x14ac:dyDescent="0.25">
      <c r="B1189" s="53">
        <v>44118</v>
      </c>
      <c r="C1189" s="291">
        <v>40794.74</v>
      </c>
    </row>
    <row r="1190" spans="2:3" x14ac:dyDescent="0.25">
      <c r="B1190" s="53">
        <v>44119</v>
      </c>
      <c r="C1190" s="291">
        <v>39728.410000000003</v>
      </c>
    </row>
    <row r="1191" spans="2:3" x14ac:dyDescent="0.25">
      <c r="B1191" s="53">
        <v>44120</v>
      </c>
      <c r="C1191" s="291">
        <v>39982.980000000003</v>
      </c>
    </row>
    <row r="1192" spans="2:3" x14ac:dyDescent="0.25">
      <c r="B1192" s="53">
        <v>44123</v>
      </c>
      <c r="C1192" s="291">
        <v>40431.599999999999</v>
      </c>
    </row>
    <row r="1193" spans="2:3" x14ac:dyDescent="0.25">
      <c r="B1193" s="53">
        <v>44124</v>
      </c>
      <c r="C1193" s="291">
        <v>40544.370000000003</v>
      </c>
    </row>
    <row r="1194" spans="2:3" x14ac:dyDescent="0.25">
      <c r="B1194" s="53">
        <v>44125</v>
      </c>
      <c r="C1194" s="291">
        <v>40707.31</v>
      </c>
    </row>
    <row r="1195" spans="2:3" x14ac:dyDescent="0.25">
      <c r="B1195" s="53">
        <v>44126</v>
      </c>
      <c r="C1195" s="291">
        <v>40558.49</v>
      </c>
    </row>
    <row r="1196" spans="2:3" x14ac:dyDescent="0.25">
      <c r="B1196" s="53">
        <v>44127</v>
      </c>
      <c r="C1196" s="291">
        <v>40685.5</v>
      </c>
    </row>
    <row r="1197" spans="2:3" x14ac:dyDescent="0.25">
      <c r="B1197" s="53">
        <v>44130</v>
      </c>
      <c r="C1197" s="291">
        <v>40145.5</v>
      </c>
    </row>
    <row r="1198" spans="2:3" x14ac:dyDescent="0.25">
      <c r="B1198" s="53">
        <v>44131</v>
      </c>
      <c r="C1198" s="291">
        <v>40522.1</v>
      </c>
    </row>
    <row r="1199" spans="2:3" x14ac:dyDescent="0.25">
      <c r="B1199" s="53">
        <v>44132</v>
      </c>
      <c r="C1199" s="291">
        <v>39922.46</v>
      </c>
    </row>
    <row r="1200" spans="2:3" x14ac:dyDescent="0.25">
      <c r="B1200" s="53">
        <v>44133</v>
      </c>
      <c r="C1200" s="291">
        <v>39749.85</v>
      </c>
    </row>
    <row r="1201" spans="2:3" x14ac:dyDescent="0.25">
      <c r="B1201" s="53">
        <v>44134</v>
      </c>
      <c r="C1201" s="291">
        <v>39614.07</v>
      </c>
    </row>
    <row r="1202" spans="2:3" x14ac:dyDescent="0.25">
      <c r="B1202" s="53">
        <v>44137</v>
      </c>
      <c r="C1202" s="291">
        <v>39757.58</v>
      </c>
    </row>
    <row r="1203" spans="2:3" x14ac:dyDescent="0.25">
      <c r="B1203" s="53">
        <v>44138</v>
      </c>
      <c r="C1203" s="291">
        <v>40261.129999999997</v>
      </c>
    </row>
    <row r="1204" spans="2:3" x14ac:dyDescent="0.25">
      <c r="B1204" s="53">
        <v>44139</v>
      </c>
      <c r="C1204" s="291">
        <v>40616.14</v>
      </c>
    </row>
    <row r="1205" spans="2:3" x14ac:dyDescent="0.25">
      <c r="B1205" s="53">
        <v>44140</v>
      </c>
      <c r="C1205" s="291">
        <v>41340.160000000003</v>
      </c>
    </row>
    <row r="1206" spans="2:3" x14ac:dyDescent="0.25">
      <c r="B1206" s="53">
        <v>44141</v>
      </c>
      <c r="C1206" s="291">
        <v>41893.06</v>
      </c>
    </row>
    <row r="1207" spans="2:3" x14ac:dyDescent="0.25">
      <c r="B1207" s="53">
        <v>44144</v>
      </c>
      <c r="C1207" s="291">
        <v>42597.43</v>
      </c>
    </row>
    <row r="1208" spans="2:3" x14ac:dyDescent="0.25">
      <c r="B1208" s="53">
        <v>44145</v>
      </c>
      <c r="C1208" s="291">
        <v>43277.65</v>
      </c>
    </row>
    <row r="1209" spans="2:3" x14ac:dyDescent="0.25">
      <c r="B1209" s="53">
        <v>44146</v>
      </c>
      <c r="C1209" s="291">
        <v>43593.67</v>
      </c>
    </row>
    <row r="1210" spans="2:3" x14ac:dyDescent="0.25">
      <c r="B1210" s="53">
        <v>44147</v>
      </c>
      <c r="C1210" s="291">
        <v>43357.19</v>
      </c>
    </row>
    <row r="1211" spans="2:3" x14ac:dyDescent="0.25">
      <c r="B1211" s="53">
        <v>44148</v>
      </c>
      <c r="C1211" s="291">
        <v>43443</v>
      </c>
    </row>
    <row r="1212" spans="2:3" x14ac:dyDescent="0.25">
      <c r="B1212" s="53">
        <v>44149</v>
      </c>
      <c r="C1212" s="291">
        <v>43637.98</v>
      </c>
    </row>
    <row r="1213" spans="2:3" x14ac:dyDescent="0.25">
      <c r="B1213" s="53">
        <v>44152</v>
      </c>
      <c r="C1213" s="291">
        <v>43952.71</v>
      </c>
    </row>
    <row r="1214" spans="2:3" x14ac:dyDescent="0.25">
      <c r="B1214" s="53">
        <v>44153</v>
      </c>
      <c r="C1214" s="291">
        <v>44180.05</v>
      </c>
    </row>
    <row r="1215" spans="2:3" x14ac:dyDescent="0.25">
      <c r="B1215" s="53">
        <v>44154</v>
      </c>
      <c r="C1215" s="291">
        <v>43599.96</v>
      </c>
    </row>
    <row r="1216" spans="2:3" x14ac:dyDescent="0.25">
      <c r="B1216" s="53">
        <v>44155</v>
      </c>
      <c r="C1216" s="291">
        <v>43882.25</v>
      </c>
    </row>
    <row r="1217" spans="2:3" x14ac:dyDescent="0.25">
      <c r="B1217" s="53">
        <v>44158</v>
      </c>
      <c r="C1217" s="291">
        <v>44077.15</v>
      </c>
    </row>
    <row r="1218" spans="2:3" x14ac:dyDescent="0.25">
      <c r="B1218" s="53">
        <v>44159</v>
      </c>
      <c r="C1218" s="291">
        <v>44523.02</v>
      </c>
    </row>
    <row r="1219" spans="2:3" x14ac:dyDescent="0.25">
      <c r="B1219" s="53">
        <v>44160</v>
      </c>
      <c r="C1219" s="291">
        <v>43828.1</v>
      </c>
    </row>
    <row r="1220" spans="2:3" x14ac:dyDescent="0.25">
      <c r="B1220" s="53">
        <v>44161</v>
      </c>
      <c r="C1220" s="291">
        <v>44259.74</v>
      </c>
    </row>
    <row r="1221" spans="2:3" x14ac:dyDescent="0.25">
      <c r="B1221" s="53">
        <v>44162</v>
      </c>
      <c r="C1221" s="291">
        <v>44149.72</v>
      </c>
    </row>
    <row r="1222" spans="2:3" x14ac:dyDescent="0.25">
      <c r="B1222" s="53">
        <v>44166</v>
      </c>
      <c r="C1222" s="291">
        <v>44655.44</v>
      </c>
    </row>
    <row r="1223" spans="2:3" x14ac:dyDescent="0.25">
      <c r="B1223" s="53">
        <v>44167</v>
      </c>
      <c r="C1223" s="291">
        <v>44618.04</v>
      </c>
    </row>
    <row r="1224" spans="2:3" x14ac:dyDescent="0.25">
      <c r="B1224" s="53">
        <v>44168</v>
      </c>
      <c r="C1224" s="291">
        <v>44632.65</v>
      </c>
    </row>
    <row r="1225" spans="2:3" x14ac:dyDescent="0.25">
      <c r="B1225" s="53">
        <v>44169</v>
      </c>
      <c r="C1225" s="291">
        <v>45079.55</v>
      </c>
    </row>
    <row r="1226" spans="2:3" x14ac:dyDescent="0.25">
      <c r="B1226" s="53">
        <v>44172</v>
      </c>
      <c r="C1226" s="291">
        <v>45426.97</v>
      </c>
    </row>
    <row r="1227" spans="2:3" x14ac:dyDescent="0.25">
      <c r="B1227" s="53">
        <v>44173</v>
      </c>
      <c r="C1227" s="291">
        <v>45608.51</v>
      </c>
    </row>
    <row r="1228" spans="2:3" x14ac:dyDescent="0.25">
      <c r="B1228" s="53">
        <v>44174</v>
      </c>
      <c r="C1228" s="291">
        <v>46103.5</v>
      </c>
    </row>
    <row r="1229" spans="2:3" x14ac:dyDescent="0.25">
      <c r="B1229" s="53">
        <v>44175</v>
      </c>
      <c r="C1229" s="291">
        <v>45959.88</v>
      </c>
    </row>
    <row r="1230" spans="2:3" x14ac:dyDescent="0.25">
      <c r="B1230" s="53">
        <v>44176</v>
      </c>
      <c r="C1230" s="291">
        <v>46099.01</v>
      </c>
    </row>
    <row r="1231" spans="2:3" x14ac:dyDescent="0.25">
      <c r="B1231" s="53">
        <v>44179</v>
      </c>
      <c r="C1231" s="291">
        <v>46253.46</v>
      </c>
    </row>
    <row r="1232" spans="2:3" x14ac:dyDescent="0.25">
      <c r="B1232" s="53">
        <v>44180</v>
      </c>
      <c r="C1232" s="291">
        <v>46263.17</v>
      </c>
    </row>
    <row r="1233" spans="2:3" x14ac:dyDescent="0.25">
      <c r="B1233" s="53">
        <v>44181</v>
      </c>
      <c r="C1233" s="291">
        <v>46666.46</v>
      </c>
    </row>
    <row r="1234" spans="2:3" x14ac:dyDescent="0.25">
      <c r="B1234" s="53">
        <v>44182</v>
      </c>
      <c r="C1234" s="291">
        <v>46890.34</v>
      </c>
    </row>
    <row r="1235" spans="2:3" x14ac:dyDescent="0.25">
      <c r="B1235" s="53">
        <v>44183</v>
      </c>
      <c r="C1235" s="291">
        <v>46960.69</v>
      </c>
    </row>
    <row r="1236" spans="2:3" x14ac:dyDescent="0.25">
      <c r="B1236" s="53">
        <v>44186</v>
      </c>
      <c r="C1236" s="291">
        <v>45553.96</v>
      </c>
    </row>
    <row r="1237" spans="2:3" x14ac:dyDescent="0.25">
      <c r="B1237" s="53">
        <v>44187</v>
      </c>
      <c r="C1237" s="291">
        <v>46006.69</v>
      </c>
    </row>
    <row r="1238" spans="2:3" x14ac:dyDescent="0.25">
      <c r="B1238" s="53">
        <v>44188</v>
      </c>
      <c r="C1238" s="291">
        <v>46444.18</v>
      </c>
    </row>
    <row r="1239" spans="2:3" x14ac:dyDescent="0.25">
      <c r="B1239" s="53">
        <v>44189</v>
      </c>
      <c r="C1239" s="291">
        <v>46973.54</v>
      </c>
    </row>
    <row r="1240" spans="2:3" x14ac:dyDescent="0.25">
      <c r="B1240" s="53">
        <v>44193</v>
      </c>
      <c r="C1240" s="291">
        <v>47353.75</v>
      </c>
    </row>
    <row r="1241" spans="2:3" x14ac:dyDescent="0.25">
      <c r="B1241" s="53">
        <v>44194</v>
      </c>
      <c r="C1241" s="291">
        <v>47613.08</v>
      </c>
    </row>
    <row r="1242" spans="2:3" x14ac:dyDescent="0.25">
      <c r="B1242" s="53">
        <v>44195</v>
      </c>
      <c r="C1242" s="291">
        <v>47746.22</v>
      </c>
    </row>
    <row r="1243" spans="2:3" x14ac:dyDescent="0.25">
      <c r="B1243" s="53">
        <v>44196</v>
      </c>
      <c r="C1243" s="291">
        <v>47751.33</v>
      </c>
    </row>
    <row r="1244" spans="2:3" x14ac:dyDescent="0.25">
      <c r="B1244" s="53">
        <v>44197</v>
      </c>
      <c r="C1244" s="291">
        <v>47868.98</v>
      </c>
    </row>
    <row r="1245" spans="2:3" x14ac:dyDescent="0.25">
      <c r="B1245" s="53">
        <v>44200</v>
      </c>
      <c r="C1245" s="291">
        <v>48176.800000000003</v>
      </c>
    </row>
    <row r="1246" spans="2:3" x14ac:dyDescent="0.25">
      <c r="B1246" s="53">
        <v>44201</v>
      </c>
      <c r="C1246" s="291">
        <v>48437.78</v>
      </c>
    </row>
    <row r="1247" spans="2:3" x14ac:dyDescent="0.25">
      <c r="B1247" s="53">
        <v>44202</v>
      </c>
      <c r="C1247" s="291">
        <v>48174.06</v>
      </c>
    </row>
    <row r="1248" spans="2:3" x14ac:dyDescent="0.25">
      <c r="B1248" s="53">
        <v>44203</v>
      </c>
      <c r="C1248" s="291">
        <v>48093.32</v>
      </c>
    </row>
    <row r="1249" spans="2:3" x14ac:dyDescent="0.25">
      <c r="B1249" s="53">
        <v>44204</v>
      </c>
      <c r="C1249" s="291">
        <v>48782.51</v>
      </c>
    </row>
    <row r="1250" spans="2:3" x14ac:dyDescent="0.25">
      <c r="B1250" s="53">
        <v>44207</v>
      </c>
      <c r="C1250" s="291">
        <v>49269.32</v>
      </c>
    </row>
    <row r="1251" spans="2:3" x14ac:dyDescent="0.25">
      <c r="B1251" s="53">
        <v>44208</v>
      </c>
      <c r="C1251" s="291">
        <v>49517.11</v>
      </c>
    </row>
    <row r="1252" spans="2:3" x14ac:dyDescent="0.25">
      <c r="B1252" s="53">
        <v>44209</v>
      </c>
      <c r="C1252" s="291">
        <v>49492.32</v>
      </c>
    </row>
    <row r="1253" spans="2:3" x14ac:dyDescent="0.25">
      <c r="B1253" s="53">
        <v>44210</v>
      </c>
      <c r="C1253" s="291">
        <v>49584.160000000003</v>
      </c>
    </row>
    <row r="1254" spans="2:3" x14ac:dyDescent="0.25">
      <c r="B1254" s="53">
        <v>44211</v>
      </c>
      <c r="C1254" s="291">
        <v>49034.67</v>
      </c>
    </row>
    <row r="1255" spans="2:3" x14ac:dyDescent="0.25">
      <c r="B1255" s="53">
        <v>44214</v>
      </c>
      <c r="C1255" s="291">
        <v>48564.27</v>
      </c>
    </row>
    <row r="1256" spans="2:3" x14ac:dyDescent="0.25">
      <c r="B1256" s="53">
        <v>44215</v>
      </c>
      <c r="C1256" s="291">
        <v>49398.29</v>
      </c>
    </row>
    <row r="1257" spans="2:3" x14ac:dyDescent="0.25">
      <c r="B1257" s="53">
        <v>44216</v>
      </c>
      <c r="C1257" s="291">
        <v>49792.12</v>
      </c>
    </row>
    <row r="1258" spans="2:3" x14ac:dyDescent="0.25">
      <c r="B1258" s="53">
        <v>44217</v>
      </c>
      <c r="C1258" s="291">
        <v>49624.76</v>
      </c>
    </row>
    <row r="1259" spans="2:3" x14ac:dyDescent="0.25">
      <c r="B1259" s="53">
        <v>44218</v>
      </c>
      <c r="C1259" s="291">
        <v>48878.54</v>
      </c>
    </row>
    <row r="1260" spans="2:3" x14ac:dyDescent="0.25">
      <c r="B1260" s="53">
        <v>44221</v>
      </c>
      <c r="C1260" s="291">
        <v>48347.59</v>
      </c>
    </row>
    <row r="1261" spans="2:3" x14ac:dyDescent="0.25">
      <c r="B1261" s="53">
        <v>44223</v>
      </c>
      <c r="C1261" s="291">
        <v>47409.93</v>
      </c>
    </row>
    <row r="1262" spans="2:3" x14ac:dyDescent="0.25">
      <c r="B1262" s="53">
        <v>44224</v>
      </c>
      <c r="C1262" s="291">
        <v>46874.36</v>
      </c>
    </row>
    <row r="1263" spans="2:3" x14ac:dyDescent="0.25">
      <c r="B1263" s="53">
        <v>44225</v>
      </c>
      <c r="C1263" s="291">
        <v>46285.77</v>
      </c>
    </row>
    <row r="1264" spans="2:3" x14ac:dyDescent="0.25">
      <c r="B1264" s="53">
        <v>44228</v>
      </c>
      <c r="C1264" s="291">
        <v>48600.61</v>
      </c>
    </row>
    <row r="1265" spans="2:3" x14ac:dyDescent="0.25">
      <c r="B1265" s="53">
        <v>44229</v>
      </c>
      <c r="C1265" s="291">
        <v>49797.72</v>
      </c>
    </row>
    <row r="1266" spans="2:3" x14ac:dyDescent="0.25">
      <c r="B1266" s="53">
        <v>44230</v>
      </c>
      <c r="C1266" s="291">
        <v>50255.75</v>
      </c>
    </row>
    <row r="1267" spans="2:3" x14ac:dyDescent="0.25">
      <c r="B1267" s="53">
        <v>44231</v>
      </c>
      <c r="C1267" s="291">
        <v>50614.29</v>
      </c>
    </row>
    <row r="1268" spans="2:3" x14ac:dyDescent="0.25">
      <c r="B1268" s="53">
        <v>44232</v>
      </c>
      <c r="C1268" s="291">
        <v>50731.63</v>
      </c>
    </row>
    <row r="1269" spans="2:3" x14ac:dyDescent="0.25">
      <c r="B1269" s="53">
        <v>44235</v>
      </c>
      <c r="C1269" s="291">
        <v>51348.77</v>
      </c>
    </row>
    <row r="1270" spans="2:3" x14ac:dyDescent="0.25">
      <c r="B1270" s="53">
        <v>44236</v>
      </c>
      <c r="C1270" s="291">
        <v>51329.08</v>
      </c>
    </row>
    <row r="1271" spans="2:3" x14ac:dyDescent="0.25">
      <c r="B1271" s="53">
        <v>44237</v>
      </c>
      <c r="C1271" s="291">
        <v>51309.39</v>
      </c>
    </row>
    <row r="1272" spans="2:3" x14ac:dyDescent="0.25">
      <c r="B1272" s="53">
        <v>44238</v>
      </c>
      <c r="C1272" s="291">
        <v>51531.519999999997</v>
      </c>
    </row>
    <row r="1273" spans="2:3" x14ac:dyDescent="0.25">
      <c r="B1273" s="53">
        <v>44239</v>
      </c>
      <c r="C1273" s="291">
        <v>51544.3</v>
      </c>
    </row>
    <row r="1274" spans="2:3" x14ac:dyDescent="0.25">
      <c r="B1274" s="53">
        <v>44242</v>
      </c>
      <c r="C1274" s="291">
        <v>52154.13</v>
      </c>
    </row>
    <row r="1275" spans="2:3" x14ac:dyDescent="0.25">
      <c r="B1275" s="53">
        <v>44243</v>
      </c>
      <c r="C1275" s="291">
        <v>52104.17</v>
      </c>
    </row>
    <row r="1276" spans="2:3" x14ac:dyDescent="0.25">
      <c r="B1276" s="53">
        <v>44244</v>
      </c>
      <c r="C1276" s="291">
        <v>51703.83</v>
      </c>
    </row>
    <row r="1277" spans="2:3" x14ac:dyDescent="0.25">
      <c r="B1277" s="53">
        <v>44245</v>
      </c>
      <c r="C1277" s="291">
        <v>51324.69</v>
      </c>
    </row>
    <row r="1278" spans="2:3" x14ac:dyDescent="0.25">
      <c r="B1278" s="53">
        <v>44246</v>
      </c>
      <c r="C1278" s="291">
        <v>50889.760000000002</v>
      </c>
    </row>
    <row r="1279" spans="2:3" x14ac:dyDescent="0.25">
      <c r="B1279" s="53">
        <v>44249</v>
      </c>
      <c r="C1279" s="291">
        <v>49744.32</v>
      </c>
    </row>
    <row r="1280" spans="2:3" x14ac:dyDescent="0.25">
      <c r="B1280" s="53">
        <v>44250</v>
      </c>
      <c r="C1280" s="291">
        <v>49751.41</v>
      </c>
    </row>
    <row r="1281" spans="2:3" x14ac:dyDescent="0.25">
      <c r="B1281" s="53">
        <v>44251</v>
      </c>
      <c r="C1281" s="291">
        <v>50781.69</v>
      </c>
    </row>
    <row r="1282" spans="2:3" x14ac:dyDescent="0.25">
      <c r="B1282" s="53">
        <v>44252</v>
      </c>
      <c r="C1282" s="291">
        <v>51039.31</v>
      </c>
    </row>
    <row r="1283" spans="2:3" x14ac:dyDescent="0.25">
      <c r="B1283" s="53">
        <v>44253</v>
      </c>
      <c r="C1283" s="291">
        <v>49099.99</v>
      </c>
    </row>
    <row r="1284" spans="2:3" x14ac:dyDescent="0.25">
      <c r="B1284" s="53">
        <v>44256</v>
      </c>
      <c r="C1284" s="291">
        <v>49849.84</v>
      </c>
    </row>
    <row r="1285" spans="2:3" x14ac:dyDescent="0.25">
      <c r="B1285" s="53">
        <v>44257</v>
      </c>
      <c r="C1285" s="291">
        <v>50296.89</v>
      </c>
    </row>
    <row r="1286" spans="2:3" x14ac:dyDescent="0.25">
      <c r="B1286" s="53">
        <v>44258</v>
      </c>
      <c r="C1286" s="291">
        <v>51444.65</v>
      </c>
    </row>
    <row r="1287" spans="2:3" x14ac:dyDescent="0.25">
      <c r="B1287" s="53">
        <v>44259</v>
      </c>
      <c r="C1287" s="291">
        <v>50846.080000000002</v>
      </c>
    </row>
    <row r="1288" spans="2:3" x14ac:dyDescent="0.25">
      <c r="B1288" s="53">
        <v>44260</v>
      </c>
      <c r="C1288" s="291">
        <v>50405.32</v>
      </c>
    </row>
    <row r="1289" spans="2:3" x14ac:dyDescent="0.25">
      <c r="B1289" s="53">
        <v>44263</v>
      </c>
      <c r="C1289" s="291">
        <v>50441.07</v>
      </c>
    </row>
    <row r="1290" spans="2:3" x14ac:dyDescent="0.25">
      <c r="B1290" s="53">
        <v>44264</v>
      </c>
      <c r="C1290" s="291">
        <v>51025.48</v>
      </c>
    </row>
    <row r="1291" spans="2:3" x14ac:dyDescent="0.25">
      <c r="B1291" s="53">
        <v>44265</v>
      </c>
      <c r="C1291" s="291">
        <v>51279.51</v>
      </c>
    </row>
    <row r="1292" spans="2:3" x14ac:dyDescent="0.25">
      <c r="B1292" s="53">
        <v>44267</v>
      </c>
      <c r="C1292" s="291">
        <v>50792.08</v>
      </c>
    </row>
    <row r="1293" spans="2:3" x14ac:dyDescent="0.25">
      <c r="B1293" s="53">
        <v>44270</v>
      </c>
      <c r="C1293" s="291">
        <v>50395.08</v>
      </c>
    </row>
    <row r="1294" spans="2:3" x14ac:dyDescent="0.25">
      <c r="B1294" s="53">
        <v>44271</v>
      </c>
      <c r="C1294" s="291">
        <v>50363.96</v>
      </c>
    </row>
    <row r="1295" spans="2:3" x14ac:dyDescent="0.25">
      <c r="B1295" s="53">
        <v>44272</v>
      </c>
      <c r="C1295" s="291">
        <v>49801.62</v>
      </c>
    </row>
    <row r="1296" spans="2:3" x14ac:dyDescent="0.25">
      <c r="B1296" s="53">
        <v>44273</v>
      </c>
      <c r="C1296" s="291">
        <v>49216.52</v>
      </c>
    </row>
    <row r="1297" spans="2:3" x14ac:dyDescent="0.25">
      <c r="B1297" s="53">
        <v>44274</v>
      </c>
      <c r="C1297" s="291">
        <v>49858.239999999998</v>
      </c>
    </row>
    <row r="1298" spans="2:3" x14ac:dyDescent="0.25">
      <c r="B1298" s="53">
        <v>44277</v>
      </c>
      <c r="C1298" s="291">
        <v>49771.29</v>
      </c>
    </row>
    <row r="1299" spans="2:3" x14ac:dyDescent="0.25">
      <c r="B1299" s="53">
        <v>44278</v>
      </c>
      <c r="C1299" s="291">
        <v>50051.44</v>
      </c>
    </row>
    <row r="1300" spans="2:3" x14ac:dyDescent="0.25">
      <c r="B1300" s="53">
        <v>44279</v>
      </c>
      <c r="C1300" s="291">
        <v>49180.31</v>
      </c>
    </row>
    <row r="1301" spans="2:3" x14ac:dyDescent="0.25">
      <c r="B1301" s="53">
        <v>44280</v>
      </c>
      <c r="C1301" s="291">
        <v>48440.12</v>
      </c>
    </row>
    <row r="1302" spans="2:3" x14ac:dyDescent="0.25">
      <c r="B1302" s="53">
        <v>44281</v>
      </c>
      <c r="C1302" s="291">
        <v>49008.5</v>
      </c>
    </row>
    <row r="1303" spans="2:3" x14ac:dyDescent="0.25">
      <c r="B1303" s="53">
        <v>44285</v>
      </c>
      <c r="C1303" s="291">
        <v>50136.58</v>
      </c>
    </row>
    <row r="1304" spans="2:3" x14ac:dyDescent="0.25">
      <c r="B1304" s="53">
        <v>44286</v>
      </c>
      <c r="C1304" s="291">
        <v>49509.15</v>
      </c>
    </row>
    <row r="1305" spans="2:3" x14ac:dyDescent="0.25">
      <c r="B1305" s="53">
        <v>44287</v>
      </c>
      <c r="C1305" s="291">
        <v>50029.83</v>
      </c>
    </row>
    <row r="1306" spans="2:3" x14ac:dyDescent="0.25">
      <c r="B1306" s="53">
        <v>44291</v>
      </c>
      <c r="C1306" s="291">
        <v>49159.32</v>
      </c>
    </row>
    <row r="1307" spans="2:3" x14ac:dyDescent="0.25">
      <c r="B1307" s="53">
        <v>44292</v>
      </c>
      <c r="C1307" s="291">
        <v>49201.39</v>
      </c>
    </row>
    <row r="1308" spans="2:3" x14ac:dyDescent="0.25">
      <c r="B1308" s="53">
        <v>44293</v>
      </c>
      <c r="C1308" s="291">
        <v>49661.760000000002</v>
      </c>
    </row>
    <row r="1309" spans="2:3" x14ac:dyDescent="0.25">
      <c r="B1309" s="53">
        <v>44294</v>
      </c>
      <c r="C1309" s="291">
        <v>49746.21</v>
      </c>
    </row>
    <row r="1310" spans="2:3" x14ac:dyDescent="0.25">
      <c r="B1310" s="53">
        <v>44295</v>
      </c>
      <c r="C1310" s="291">
        <v>49591.32</v>
      </c>
    </row>
    <row r="1311" spans="2:3" x14ac:dyDescent="0.25">
      <c r="B1311" s="53">
        <v>44298</v>
      </c>
      <c r="C1311" s="291">
        <v>47883.38</v>
      </c>
    </row>
    <row r="1312" spans="2:3" x14ac:dyDescent="0.25">
      <c r="B1312" s="53">
        <v>44299</v>
      </c>
      <c r="C1312" s="291">
        <v>48544.06</v>
      </c>
    </row>
    <row r="1313" spans="2:3" x14ac:dyDescent="0.25">
      <c r="B1313" s="53">
        <v>44301</v>
      </c>
      <c r="C1313" s="291">
        <v>48803.68</v>
      </c>
    </row>
    <row r="1314" spans="2:3" x14ac:dyDescent="0.25">
      <c r="B1314" s="53">
        <v>44302</v>
      </c>
      <c r="C1314" s="291">
        <v>48832.03</v>
      </c>
    </row>
    <row r="1315" spans="2:3" x14ac:dyDescent="0.25">
      <c r="B1315" s="53">
        <v>44305</v>
      </c>
      <c r="C1315" s="291">
        <v>47949.42</v>
      </c>
    </row>
    <row r="1316" spans="2:3" x14ac:dyDescent="0.25">
      <c r="B1316" s="53">
        <v>44306</v>
      </c>
      <c r="C1316" s="291">
        <v>47705.8</v>
      </c>
    </row>
    <row r="1317" spans="2:3" x14ac:dyDescent="0.25">
      <c r="B1317" s="53">
        <v>44308</v>
      </c>
      <c r="C1317" s="291">
        <v>48080.67</v>
      </c>
    </row>
    <row r="1318" spans="2:3" x14ac:dyDescent="0.25">
      <c r="B1318" s="53">
        <v>44309</v>
      </c>
      <c r="C1318" s="291">
        <v>47878.45</v>
      </c>
    </row>
    <row r="1319" spans="2:3" x14ac:dyDescent="0.25">
      <c r="B1319" s="53">
        <v>44312</v>
      </c>
      <c r="C1319" s="291">
        <v>48386.51</v>
      </c>
    </row>
    <row r="1320" spans="2:3" x14ac:dyDescent="0.25">
      <c r="B1320" s="53">
        <v>44313</v>
      </c>
      <c r="C1320" s="291">
        <v>48944.14</v>
      </c>
    </row>
    <row r="1321" spans="2:3" x14ac:dyDescent="0.25">
      <c r="B1321" s="53">
        <v>44314</v>
      </c>
      <c r="C1321" s="291">
        <v>49733.84</v>
      </c>
    </row>
    <row r="1322" spans="2:3" x14ac:dyDescent="0.25">
      <c r="B1322" s="53">
        <v>44315</v>
      </c>
      <c r="C1322" s="291">
        <v>49765.94</v>
      </c>
    </row>
    <row r="1323" spans="2:3" x14ac:dyDescent="0.25">
      <c r="B1323" s="53">
        <v>44316</v>
      </c>
      <c r="C1323" s="291">
        <v>48782.36</v>
      </c>
    </row>
    <row r="1324" spans="2:3" x14ac:dyDescent="0.25">
      <c r="B1324" s="53">
        <v>44319</v>
      </c>
      <c r="C1324" s="291">
        <v>48718.52</v>
      </c>
    </row>
    <row r="1325" spans="2:3" x14ac:dyDescent="0.25">
      <c r="B1325" s="53">
        <v>44320</v>
      </c>
      <c r="C1325" s="291">
        <v>48253.51</v>
      </c>
    </row>
    <row r="1326" spans="2:3" x14ac:dyDescent="0.25">
      <c r="B1326" s="53">
        <v>44321</v>
      </c>
      <c r="C1326" s="291">
        <v>48677.55</v>
      </c>
    </row>
    <row r="1327" spans="2:3" x14ac:dyDescent="0.25">
      <c r="B1327" s="53">
        <v>44322</v>
      </c>
      <c r="C1327" s="291">
        <v>48949.760000000002</v>
      </c>
    </row>
    <row r="1328" spans="2:3" x14ac:dyDescent="0.25">
      <c r="B1328" s="53">
        <v>44323</v>
      </c>
      <c r="C1328" s="291">
        <v>49206.47</v>
      </c>
    </row>
    <row r="1329" spans="2:3" x14ac:dyDescent="0.25">
      <c r="B1329" s="53">
        <v>44326</v>
      </c>
      <c r="C1329" s="291">
        <v>49502.41</v>
      </c>
    </row>
    <row r="1330" spans="2:3" x14ac:dyDescent="0.25">
      <c r="B1330" s="53">
        <v>44327</v>
      </c>
      <c r="C1330" s="291">
        <v>49161.81</v>
      </c>
    </row>
    <row r="1331" spans="2:3" x14ac:dyDescent="0.25">
      <c r="B1331" s="53">
        <v>44328</v>
      </c>
      <c r="C1331" s="291">
        <v>48690.8</v>
      </c>
    </row>
    <row r="1332" spans="2:3" x14ac:dyDescent="0.25">
      <c r="B1332" s="53">
        <v>44330</v>
      </c>
      <c r="C1332" s="291">
        <v>48732.55</v>
      </c>
    </row>
    <row r="1333" spans="2:3" x14ac:dyDescent="0.25">
      <c r="B1333" s="53">
        <v>44333</v>
      </c>
      <c r="C1333" s="291">
        <v>49580.73</v>
      </c>
    </row>
    <row r="1334" spans="2:3" x14ac:dyDescent="0.25">
      <c r="B1334" s="53">
        <v>44334</v>
      </c>
      <c r="C1334" s="291">
        <v>50193.33</v>
      </c>
    </row>
    <row r="1335" spans="2:3" x14ac:dyDescent="0.25">
      <c r="B1335" s="53">
        <v>44335</v>
      </c>
      <c r="C1335" s="291">
        <v>49902.64</v>
      </c>
    </row>
    <row r="1336" spans="2:3" x14ac:dyDescent="0.25">
      <c r="B1336" s="53">
        <v>44336</v>
      </c>
      <c r="C1336" s="291">
        <v>49564.86</v>
      </c>
    </row>
    <row r="1337" spans="2:3" x14ac:dyDescent="0.25">
      <c r="B1337" s="53">
        <v>44337</v>
      </c>
      <c r="C1337" s="291">
        <v>50540.480000000003</v>
      </c>
    </row>
    <row r="1338" spans="2:3" x14ac:dyDescent="0.25">
      <c r="B1338" s="53">
        <v>44340</v>
      </c>
      <c r="C1338" s="291">
        <v>50651.9</v>
      </c>
    </row>
    <row r="1339" spans="2:3" x14ac:dyDescent="0.25">
      <c r="B1339" s="53">
        <v>44341</v>
      </c>
      <c r="C1339" s="291">
        <v>50637.53</v>
      </c>
    </row>
    <row r="1340" spans="2:3" x14ac:dyDescent="0.25">
      <c r="B1340" s="53">
        <v>44342</v>
      </c>
      <c r="C1340" s="291">
        <v>51017.52</v>
      </c>
    </row>
    <row r="1341" spans="2:3" x14ac:dyDescent="0.25">
      <c r="B1341" s="53">
        <v>44343</v>
      </c>
      <c r="C1341" s="291">
        <v>51115.22</v>
      </c>
    </row>
    <row r="1342" spans="2:3" x14ac:dyDescent="0.25">
      <c r="B1342" s="53">
        <v>44344</v>
      </c>
      <c r="C1342" s="291">
        <v>51422.879999999997</v>
      </c>
    </row>
    <row r="1343" spans="2:3" x14ac:dyDescent="0.25">
      <c r="B1343" s="53">
        <v>44347</v>
      </c>
      <c r="C1343" s="291">
        <v>51937.440000000002</v>
      </c>
    </row>
    <row r="1344" spans="2:3" x14ac:dyDescent="0.25">
      <c r="B1344" s="53">
        <v>44348</v>
      </c>
      <c r="C1344" s="291">
        <v>51934.879999999997</v>
      </c>
    </row>
    <row r="1345" spans="2:3" x14ac:dyDescent="0.25">
      <c r="B1345" s="53">
        <v>44349</v>
      </c>
      <c r="C1345" s="291">
        <v>51849.48</v>
      </c>
    </row>
    <row r="1346" spans="2:3" x14ac:dyDescent="0.25">
      <c r="B1346" s="53">
        <v>44350</v>
      </c>
      <c r="C1346" s="291">
        <v>52232.43</v>
      </c>
    </row>
    <row r="1347" spans="2:3" x14ac:dyDescent="0.25">
      <c r="B1347" s="53">
        <v>44351</v>
      </c>
      <c r="C1347" s="291">
        <v>52100.05</v>
      </c>
    </row>
    <row r="1348" spans="2:3" x14ac:dyDescent="0.25">
      <c r="B1348" s="53">
        <v>44354</v>
      </c>
      <c r="C1348" s="291">
        <v>52328.51</v>
      </c>
    </row>
    <row r="1349" spans="2:3" x14ac:dyDescent="0.25">
      <c r="B1349" s="53">
        <v>44355</v>
      </c>
      <c r="C1349" s="291">
        <v>52275.57</v>
      </c>
    </row>
    <row r="1350" spans="2:3" x14ac:dyDescent="0.25">
      <c r="B1350" s="53">
        <v>44356</v>
      </c>
      <c r="C1350" s="291">
        <v>51941.64</v>
      </c>
    </row>
    <row r="1351" spans="2:3" x14ac:dyDescent="0.25">
      <c r="B1351" s="53">
        <v>44357</v>
      </c>
      <c r="C1351" s="291">
        <v>52300.47</v>
      </c>
    </row>
    <row r="1352" spans="2:3" x14ac:dyDescent="0.25">
      <c r="B1352" s="53">
        <v>44358</v>
      </c>
      <c r="C1352" s="291">
        <v>52474.76</v>
      </c>
    </row>
    <row r="1353" spans="2:3" x14ac:dyDescent="0.25">
      <c r="B1353" s="53">
        <v>44361</v>
      </c>
      <c r="C1353" s="291">
        <v>52551.53</v>
      </c>
    </row>
    <row r="1354" spans="2:3" x14ac:dyDescent="0.25">
      <c r="B1354" s="53">
        <v>44362</v>
      </c>
      <c r="C1354" s="291">
        <v>52773.05</v>
      </c>
    </row>
    <row r="1355" spans="2:3" x14ac:dyDescent="0.25">
      <c r="B1355" s="53">
        <v>44363</v>
      </c>
      <c r="C1355" s="291">
        <v>52501.98</v>
      </c>
    </row>
    <row r="1356" spans="2:3" x14ac:dyDescent="0.25">
      <c r="B1356" s="53">
        <v>44364</v>
      </c>
      <c r="C1356" s="291">
        <v>52323.33</v>
      </c>
    </row>
    <row r="1357" spans="2:3" x14ac:dyDescent="0.25">
      <c r="B1357" s="53">
        <v>44365</v>
      </c>
      <c r="C1357" s="291">
        <v>52344.45</v>
      </c>
    </row>
    <row r="1358" spans="2:3" x14ac:dyDescent="0.25">
      <c r="B1358" s="53">
        <v>44368</v>
      </c>
      <c r="C1358" s="291">
        <v>52574.46</v>
      </c>
    </row>
    <row r="1359" spans="2:3" x14ac:dyDescent="0.25">
      <c r="B1359" s="53">
        <v>44369</v>
      </c>
      <c r="C1359" s="291">
        <v>52588.71</v>
      </c>
    </row>
    <row r="1360" spans="2:3" x14ac:dyDescent="0.25">
      <c r="B1360" s="53">
        <v>44370</v>
      </c>
      <c r="C1360" s="291">
        <v>52306.080000000002</v>
      </c>
    </row>
    <row r="1361" spans="2:3" x14ac:dyDescent="0.25">
      <c r="B1361" s="53">
        <v>44371</v>
      </c>
      <c r="C1361" s="291">
        <v>52699</v>
      </c>
    </row>
    <row r="1362" spans="2:3" x14ac:dyDescent="0.25">
      <c r="B1362" s="53">
        <v>44372</v>
      </c>
      <c r="C1362" s="291">
        <v>52925.04</v>
      </c>
    </row>
    <row r="1363" spans="2:3" x14ac:dyDescent="0.25">
      <c r="B1363" s="53">
        <v>44375</v>
      </c>
      <c r="C1363" s="291">
        <v>52735.59</v>
      </c>
    </row>
    <row r="1364" spans="2:3" x14ac:dyDescent="0.25">
      <c r="B1364" s="53">
        <v>44376</v>
      </c>
      <c r="C1364" s="291">
        <v>52549.66</v>
      </c>
    </row>
    <row r="1365" spans="2:3" x14ac:dyDescent="0.25">
      <c r="B1365" s="53">
        <v>44377</v>
      </c>
      <c r="C1365" s="291">
        <v>52482.71</v>
      </c>
    </row>
    <row r="1366" spans="2:3" x14ac:dyDescent="0.25">
      <c r="B1366" s="53">
        <v>44378</v>
      </c>
      <c r="C1366" s="291">
        <v>52318.6</v>
      </c>
    </row>
    <row r="1367" spans="2:3" x14ac:dyDescent="0.25">
      <c r="B1367" s="53">
        <v>44379</v>
      </c>
      <c r="C1367" s="291">
        <v>52484.67</v>
      </c>
    </row>
    <row r="1368" spans="2:3" x14ac:dyDescent="0.25">
      <c r="B1368" s="53">
        <v>44382</v>
      </c>
      <c r="C1368" s="291">
        <v>52880</v>
      </c>
    </row>
    <row r="1369" spans="2:3" x14ac:dyDescent="0.25">
      <c r="B1369" s="53">
        <v>44383</v>
      </c>
      <c r="C1369" s="291">
        <v>52861.18</v>
      </c>
    </row>
    <row r="1370" spans="2:3" x14ac:dyDescent="0.25">
      <c r="B1370" s="53">
        <v>44384</v>
      </c>
      <c r="C1370" s="291">
        <v>53054.76</v>
      </c>
    </row>
    <row r="1371" spans="2:3" x14ac:dyDescent="0.25">
      <c r="B1371" s="53">
        <v>44385</v>
      </c>
      <c r="C1371" s="291">
        <v>52568.94</v>
      </c>
    </row>
    <row r="1372" spans="2:3" x14ac:dyDescent="0.25">
      <c r="B1372" s="53">
        <v>44386</v>
      </c>
      <c r="C1372" s="291">
        <v>52386.19</v>
      </c>
    </row>
    <row r="1373" spans="2:3" x14ac:dyDescent="0.25">
      <c r="B1373" s="53">
        <v>44389</v>
      </c>
      <c r="C1373" s="291">
        <v>52372.69</v>
      </c>
    </row>
    <row r="1374" spans="2:3" x14ac:dyDescent="0.25">
      <c r="B1374" s="53">
        <v>44390</v>
      </c>
      <c r="C1374" s="291">
        <v>52769.73</v>
      </c>
    </row>
    <row r="1375" spans="2:3" x14ac:dyDescent="0.25">
      <c r="B1375" s="53">
        <v>44391</v>
      </c>
      <c r="C1375" s="291">
        <v>52904.05</v>
      </c>
    </row>
    <row r="1376" spans="2:3" x14ac:dyDescent="0.25">
      <c r="B1376" s="53">
        <v>44392</v>
      </c>
      <c r="C1376" s="291">
        <v>53158.85</v>
      </c>
    </row>
    <row r="1377" spans="2:3" x14ac:dyDescent="0.25">
      <c r="B1377" s="53">
        <v>44393</v>
      </c>
      <c r="C1377" s="291">
        <v>53140.06</v>
      </c>
    </row>
    <row r="1378" spans="2:3" x14ac:dyDescent="0.25">
      <c r="B1378" s="53">
        <v>44396</v>
      </c>
      <c r="C1378" s="291">
        <v>52553.4</v>
      </c>
    </row>
    <row r="1379" spans="2:3" x14ac:dyDescent="0.25">
      <c r="B1379" s="53">
        <v>44397</v>
      </c>
      <c r="C1379" s="291">
        <v>52198.51</v>
      </c>
    </row>
    <row r="1380" spans="2:3" x14ac:dyDescent="0.25">
      <c r="B1380" s="53">
        <v>44399</v>
      </c>
      <c r="C1380" s="291">
        <v>52837.21</v>
      </c>
    </row>
    <row r="1381" spans="2:3" x14ac:dyDescent="0.25">
      <c r="B1381" s="53">
        <v>44400</v>
      </c>
      <c r="C1381" s="291">
        <v>52975.8</v>
      </c>
    </row>
    <row r="1382" spans="2:3" x14ac:dyDescent="0.25">
      <c r="B1382" s="53">
        <v>44403</v>
      </c>
      <c r="C1382" s="291">
        <v>52852.27</v>
      </c>
    </row>
    <row r="1383" spans="2:3" x14ac:dyDescent="0.25">
      <c r="B1383" s="53">
        <v>44404</v>
      </c>
      <c r="C1383" s="291">
        <v>52578.76</v>
      </c>
    </row>
    <row r="1384" spans="2:3" x14ac:dyDescent="0.25">
      <c r="B1384" s="53">
        <v>44405</v>
      </c>
      <c r="C1384" s="291">
        <v>52443.71</v>
      </c>
    </row>
    <row r="1385" spans="2:3" x14ac:dyDescent="0.25">
      <c r="B1385" s="53">
        <v>44406</v>
      </c>
      <c r="C1385" s="291">
        <v>52653.07</v>
      </c>
    </row>
    <row r="1386" spans="2:3" x14ac:dyDescent="0.25">
      <c r="B1386" s="53">
        <v>44407</v>
      </c>
      <c r="C1386" s="291">
        <v>52586.84</v>
      </c>
    </row>
    <row r="1387" spans="2:3" x14ac:dyDescent="0.25">
      <c r="B1387" s="53">
        <v>44410</v>
      </c>
      <c r="C1387" s="291">
        <v>52950.63</v>
      </c>
    </row>
    <row r="1388" spans="2:3" x14ac:dyDescent="0.25">
      <c r="B1388" s="53">
        <v>44411</v>
      </c>
      <c r="C1388" s="291">
        <v>53823.360000000001</v>
      </c>
    </row>
    <row r="1389" spans="2:3" x14ac:dyDescent="0.25">
      <c r="B1389" s="53">
        <v>44412</v>
      </c>
      <c r="C1389" s="291">
        <v>54369.77</v>
      </c>
    </row>
    <row r="1390" spans="2:3" x14ac:dyDescent="0.25">
      <c r="B1390" s="53">
        <v>44413</v>
      </c>
      <c r="C1390" s="291">
        <v>54492.84</v>
      </c>
    </row>
    <row r="1391" spans="2:3" x14ac:dyDescent="0.25">
      <c r="B1391" s="53">
        <v>44414</v>
      </c>
      <c r="C1391" s="291">
        <v>54277.72</v>
      </c>
    </row>
    <row r="1392" spans="2:3" x14ac:dyDescent="0.25">
      <c r="B1392" s="53">
        <v>44417</v>
      </c>
      <c r="C1392" s="291">
        <v>54402.85</v>
      </c>
    </row>
    <row r="1393" spans="2:3" x14ac:dyDescent="0.25">
      <c r="B1393" s="53">
        <v>44418</v>
      </c>
      <c r="C1393" s="291">
        <v>54554.66</v>
      </c>
    </row>
    <row r="1394" spans="2:3" x14ac:dyDescent="0.25">
      <c r="B1394" s="53">
        <v>44419</v>
      </c>
      <c r="C1394" s="291">
        <v>54525.93</v>
      </c>
    </row>
    <row r="1395" spans="2:3" x14ac:dyDescent="0.25">
      <c r="B1395" s="53">
        <v>44420</v>
      </c>
      <c r="C1395" s="291">
        <v>54843.98</v>
      </c>
    </row>
    <row r="1396" spans="2:3" x14ac:dyDescent="0.25">
      <c r="B1396" s="53">
        <v>44421</v>
      </c>
      <c r="C1396" s="291">
        <v>55437.29</v>
      </c>
    </row>
    <row r="1397" spans="2:3" x14ac:dyDescent="0.25">
      <c r="B1397" s="53">
        <v>44424</v>
      </c>
      <c r="C1397" s="291">
        <v>55582.58</v>
      </c>
    </row>
    <row r="1398" spans="2:3" x14ac:dyDescent="0.25">
      <c r="B1398" s="53">
        <v>44425</v>
      </c>
      <c r="C1398" s="291">
        <v>55792.27</v>
      </c>
    </row>
    <row r="1399" spans="2:3" x14ac:dyDescent="0.25">
      <c r="B1399" s="53">
        <v>44426</v>
      </c>
      <c r="C1399" s="291">
        <v>55629.49</v>
      </c>
    </row>
    <row r="1400" spans="2:3" x14ac:dyDescent="0.25">
      <c r="B1400" s="53">
        <v>44428</v>
      </c>
      <c r="C1400" s="291">
        <v>55329.32</v>
      </c>
    </row>
    <row r="1401" spans="2:3" x14ac:dyDescent="0.25">
      <c r="B1401" s="53">
        <v>44431</v>
      </c>
      <c r="C1401" s="291">
        <v>55555.79</v>
      </c>
    </row>
    <row r="1402" spans="2:3" x14ac:dyDescent="0.25">
      <c r="B1402" s="53">
        <v>44432</v>
      </c>
      <c r="C1402" s="291">
        <v>55958.98</v>
      </c>
    </row>
    <row r="1403" spans="2:3" x14ac:dyDescent="0.25">
      <c r="B1403" s="53">
        <v>44433</v>
      </c>
      <c r="C1403" s="291">
        <v>55944.21</v>
      </c>
    </row>
    <row r="1404" spans="2:3" x14ac:dyDescent="0.25">
      <c r="B1404" s="53">
        <v>44434</v>
      </c>
      <c r="C1404" s="291">
        <v>55949.1</v>
      </c>
    </row>
    <row r="1405" spans="2:3" x14ac:dyDescent="0.25">
      <c r="B1405" s="53">
        <v>44435</v>
      </c>
      <c r="C1405" s="291">
        <v>56124.72</v>
      </c>
    </row>
    <row r="1406" spans="2:3" x14ac:dyDescent="0.25">
      <c r="B1406" s="53">
        <v>44438</v>
      </c>
      <c r="C1406" s="291">
        <v>56889.760000000002</v>
      </c>
    </row>
    <row r="1407" spans="2:3" x14ac:dyDescent="0.25">
      <c r="B1407" s="53">
        <v>44439</v>
      </c>
      <c r="C1407" s="291">
        <v>57552.39</v>
      </c>
    </row>
    <row r="1408" spans="2:3" x14ac:dyDescent="0.25">
      <c r="B1408" s="53">
        <v>44440</v>
      </c>
      <c r="C1408" s="291">
        <v>57338.21</v>
      </c>
    </row>
    <row r="1409" spans="2:3" x14ac:dyDescent="0.25">
      <c r="B1409" s="53">
        <v>44441</v>
      </c>
      <c r="C1409" s="291">
        <v>57852.54</v>
      </c>
    </row>
    <row r="1410" spans="2:3" x14ac:dyDescent="0.25">
      <c r="B1410" s="53">
        <v>44442</v>
      </c>
      <c r="C1410" s="291">
        <v>58129.95</v>
      </c>
    </row>
    <row r="1411" spans="2:3" x14ac:dyDescent="0.25">
      <c r="B1411" s="53">
        <v>44445</v>
      </c>
      <c r="C1411" s="291">
        <v>58296.91</v>
      </c>
    </row>
    <row r="1412" spans="2:3" x14ac:dyDescent="0.25">
      <c r="B1412" s="53">
        <v>44446</v>
      </c>
      <c r="C1412" s="291">
        <v>58279.48</v>
      </c>
    </row>
    <row r="1413" spans="2:3" x14ac:dyDescent="0.25">
      <c r="B1413" s="53">
        <v>44447</v>
      </c>
      <c r="C1413" s="291">
        <v>58250.26</v>
      </c>
    </row>
    <row r="1414" spans="2:3" x14ac:dyDescent="0.25">
      <c r="B1414" s="53">
        <v>44448</v>
      </c>
      <c r="C1414" s="291">
        <v>58305.07</v>
      </c>
    </row>
    <row r="1415" spans="2:3" x14ac:dyDescent="0.25">
      <c r="B1415" s="53">
        <v>44452</v>
      </c>
      <c r="C1415" s="291">
        <v>58177.760000000002</v>
      </c>
    </row>
    <row r="1416" spans="2:3" x14ac:dyDescent="0.25">
      <c r="B1416" s="53">
        <v>44453</v>
      </c>
      <c r="C1416" s="291">
        <v>58247.09</v>
      </c>
    </row>
    <row r="1417" spans="2:3" x14ac:dyDescent="0.25">
      <c r="B1417" s="53">
        <v>44454</v>
      </c>
      <c r="C1417" s="291">
        <v>58723.199999999997</v>
      </c>
    </row>
    <row r="1418" spans="2:3" x14ac:dyDescent="0.25">
      <c r="B1418" s="53">
        <v>44455</v>
      </c>
      <c r="C1418" s="291">
        <v>59141.16</v>
      </c>
    </row>
    <row r="1419" spans="2:3" x14ac:dyDescent="0.25">
      <c r="B1419" s="53">
        <v>44456</v>
      </c>
      <c r="C1419" s="291">
        <v>59015.89</v>
      </c>
    </row>
    <row r="1420" spans="2:3" x14ac:dyDescent="0.25">
      <c r="B1420" s="53">
        <v>44459</v>
      </c>
      <c r="C1420" s="291">
        <v>58490.93</v>
      </c>
    </row>
    <row r="1421" spans="2:3" x14ac:dyDescent="0.25">
      <c r="B1421" s="53">
        <v>44460</v>
      </c>
      <c r="C1421" s="291">
        <v>59005.27</v>
      </c>
    </row>
    <row r="1422" spans="2:3" x14ac:dyDescent="0.25">
      <c r="B1422" s="53">
        <v>44461</v>
      </c>
      <c r="C1422" s="291">
        <v>58927.33</v>
      </c>
    </row>
    <row r="1423" spans="2:3" x14ac:dyDescent="0.25">
      <c r="B1423" s="53">
        <v>44462</v>
      </c>
      <c r="C1423" s="291">
        <v>59885.36</v>
      </c>
    </row>
    <row r="1424" spans="2:3" x14ac:dyDescent="0.25">
      <c r="B1424" s="53">
        <v>44463</v>
      </c>
      <c r="C1424" s="291">
        <v>60048.47</v>
      </c>
    </row>
    <row r="1425" spans="2:3" x14ac:dyDescent="0.25">
      <c r="B1425" s="53">
        <v>44466</v>
      </c>
      <c r="C1425" s="291">
        <v>60077.88</v>
      </c>
    </row>
    <row r="1426" spans="2:3" x14ac:dyDescent="0.25">
      <c r="B1426" s="53">
        <v>44467</v>
      </c>
      <c r="C1426" s="291">
        <v>59667.6</v>
      </c>
    </row>
    <row r="1427" spans="2:3" x14ac:dyDescent="0.25">
      <c r="B1427" s="53">
        <v>44468</v>
      </c>
      <c r="C1427" s="291">
        <v>59413.27</v>
      </c>
    </row>
    <row r="1428" spans="2:3" x14ac:dyDescent="0.25">
      <c r="B1428" s="53">
        <v>44469</v>
      </c>
      <c r="C1428" s="291">
        <v>59126.36</v>
      </c>
    </row>
    <row r="1429" spans="2:3" x14ac:dyDescent="0.25">
      <c r="B1429" s="53">
        <v>44470</v>
      </c>
      <c r="C1429" s="291">
        <v>58765.58</v>
      </c>
    </row>
    <row r="1430" spans="2:3" x14ac:dyDescent="0.25">
      <c r="B1430" s="53">
        <v>44473</v>
      </c>
      <c r="C1430" s="291">
        <v>59299.32</v>
      </c>
    </row>
    <row r="1431" spans="2:3" x14ac:dyDescent="0.25">
      <c r="B1431" s="53">
        <v>44474</v>
      </c>
      <c r="C1431" s="291">
        <v>59744.88</v>
      </c>
    </row>
    <row r="1432" spans="2:3" x14ac:dyDescent="0.25">
      <c r="B1432" s="53">
        <v>44475</v>
      </c>
      <c r="C1432" s="291">
        <v>59189.73</v>
      </c>
    </row>
    <row r="1433" spans="2:3" x14ac:dyDescent="0.25">
      <c r="B1433" s="53">
        <v>44476</v>
      </c>
      <c r="C1433" s="291">
        <v>59677.83</v>
      </c>
    </row>
    <row r="1434" spans="2:3" x14ac:dyDescent="0.25">
      <c r="B1434" s="53">
        <v>44477</v>
      </c>
      <c r="C1434" s="291">
        <v>60059.06</v>
      </c>
    </row>
    <row r="1435" spans="2:3" x14ac:dyDescent="0.25">
      <c r="B1435" s="53">
        <v>44480</v>
      </c>
      <c r="C1435" s="291">
        <v>60135.78</v>
      </c>
    </row>
    <row r="1436" spans="2:3" x14ac:dyDescent="0.25">
      <c r="B1436" s="53">
        <v>44481</v>
      </c>
      <c r="C1436" s="291">
        <v>60284.31</v>
      </c>
    </row>
    <row r="1437" spans="2:3" x14ac:dyDescent="0.25">
      <c r="B1437" s="53">
        <v>44482</v>
      </c>
      <c r="C1437" s="291">
        <v>60737.05</v>
      </c>
    </row>
    <row r="1438" spans="2:3" x14ac:dyDescent="0.25">
      <c r="B1438" s="53">
        <v>44483</v>
      </c>
      <c r="C1438" s="291">
        <v>61305.95</v>
      </c>
    </row>
    <row r="1439" spans="2:3" x14ac:dyDescent="0.25">
      <c r="B1439" s="53">
        <v>44487</v>
      </c>
      <c r="C1439" s="291">
        <v>61765.59</v>
      </c>
    </row>
    <row r="1440" spans="2:3" x14ac:dyDescent="0.25">
      <c r="B1440" s="53">
        <v>44488</v>
      </c>
      <c r="C1440" s="291">
        <v>61716.05</v>
      </c>
    </row>
    <row r="1441" spans="2:3" x14ac:dyDescent="0.25">
      <c r="B1441" s="53">
        <v>44489</v>
      </c>
      <c r="C1441" s="291">
        <v>61259.96</v>
      </c>
    </row>
    <row r="1442" spans="2:3" x14ac:dyDescent="0.25">
      <c r="B1442" s="53">
        <v>44490</v>
      </c>
      <c r="C1442" s="291">
        <v>60923.5</v>
      </c>
    </row>
    <row r="1443" spans="2:3" x14ac:dyDescent="0.25">
      <c r="B1443" s="53">
        <v>44491</v>
      </c>
      <c r="C1443" s="291">
        <v>60821.62</v>
      </c>
    </row>
    <row r="1444" spans="2:3" x14ac:dyDescent="0.25">
      <c r="B1444" s="53">
        <v>44494</v>
      </c>
      <c r="C1444" s="291">
        <v>60967.05</v>
      </c>
    </row>
    <row r="1445" spans="2:3" x14ac:dyDescent="0.25">
      <c r="B1445" s="53">
        <v>44495</v>
      </c>
      <c r="C1445" s="291">
        <v>61350.26</v>
      </c>
    </row>
    <row r="1446" spans="2:3" x14ac:dyDescent="0.25">
      <c r="B1446" s="53">
        <v>44496</v>
      </c>
      <c r="C1446" s="291">
        <v>61143.33</v>
      </c>
    </row>
    <row r="1447" spans="2:3" x14ac:dyDescent="0.25">
      <c r="B1447" s="53">
        <v>44497</v>
      </c>
      <c r="C1447" s="291">
        <v>59984.7</v>
      </c>
    </row>
    <row r="1448" spans="2:3" x14ac:dyDescent="0.25">
      <c r="B1448" s="53">
        <v>44498</v>
      </c>
      <c r="C1448" s="291">
        <v>59306.93</v>
      </c>
    </row>
    <row r="1449" spans="2:3" x14ac:dyDescent="0.25">
      <c r="B1449" s="53">
        <v>44501</v>
      </c>
      <c r="C1449" s="291">
        <v>60138.46</v>
      </c>
    </row>
    <row r="1450" spans="2:3" x14ac:dyDescent="0.25">
      <c r="B1450" s="53">
        <v>44502</v>
      </c>
      <c r="C1450" s="291">
        <v>60029.06</v>
      </c>
    </row>
    <row r="1451" spans="2:3" x14ac:dyDescent="0.25">
      <c r="B1451" s="53">
        <v>44503</v>
      </c>
      <c r="C1451" s="291">
        <v>59771.92</v>
      </c>
    </row>
    <row r="1452" spans="2:3" x14ac:dyDescent="0.25">
      <c r="B1452" s="53">
        <v>44504</v>
      </c>
      <c r="C1452" s="291">
        <v>60067.62</v>
      </c>
    </row>
    <row r="1453" spans="2:3" x14ac:dyDescent="0.25">
      <c r="B1453" s="53">
        <v>44508</v>
      </c>
      <c r="C1453" s="291">
        <v>60545.61</v>
      </c>
    </row>
    <row r="1454" spans="2:3" x14ac:dyDescent="0.25">
      <c r="B1454" s="53">
        <v>44509</v>
      </c>
      <c r="C1454" s="291">
        <v>60433.45</v>
      </c>
    </row>
    <row r="1455" spans="2:3" x14ac:dyDescent="0.25">
      <c r="B1455" s="53">
        <v>44510</v>
      </c>
      <c r="C1455" s="291">
        <v>60352.82</v>
      </c>
    </row>
    <row r="1456" spans="2:3" x14ac:dyDescent="0.25">
      <c r="B1456" s="53">
        <v>44511</v>
      </c>
      <c r="C1456" s="291">
        <v>59919.69</v>
      </c>
    </row>
    <row r="1457" spans="2:3" x14ac:dyDescent="0.25">
      <c r="B1457" s="53">
        <v>44512</v>
      </c>
      <c r="C1457" s="291">
        <v>60686.69</v>
      </c>
    </row>
    <row r="1458" spans="2:3" x14ac:dyDescent="0.25">
      <c r="B1458" s="53">
        <v>44515</v>
      </c>
      <c r="C1458" s="291">
        <v>60718.71</v>
      </c>
    </row>
    <row r="1459" spans="2:3" x14ac:dyDescent="0.25">
      <c r="B1459" s="53">
        <v>44516</v>
      </c>
      <c r="C1459" s="291">
        <v>60322.37</v>
      </c>
    </row>
    <row r="1460" spans="2:3" x14ac:dyDescent="0.25">
      <c r="B1460" s="53">
        <v>44517</v>
      </c>
      <c r="C1460" s="291">
        <v>60008.33</v>
      </c>
    </row>
    <row r="1461" spans="2:3" x14ac:dyDescent="0.25">
      <c r="B1461" s="53">
        <v>44518</v>
      </c>
      <c r="C1461" s="291">
        <v>59636.01</v>
      </c>
    </row>
    <row r="1462" spans="2:3" x14ac:dyDescent="0.25">
      <c r="B1462" s="53">
        <v>44522</v>
      </c>
      <c r="C1462" s="291">
        <v>58465.89</v>
      </c>
    </row>
    <row r="1463" spans="2:3" x14ac:dyDescent="0.25">
      <c r="B1463" s="53">
        <v>44523</v>
      </c>
      <c r="C1463" s="291">
        <v>58664.33</v>
      </c>
    </row>
    <row r="1464" spans="2:3" x14ac:dyDescent="0.25">
      <c r="B1464" s="53">
        <v>44524</v>
      </c>
      <c r="C1464" s="291">
        <v>58340.99</v>
      </c>
    </row>
    <row r="1465" spans="2:3" x14ac:dyDescent="0.25">
      <c r="B1465" s="53">
        <v>44525</v>
      </c>
      <c r="C1465" s="291">
        <v>58795.09</v>
      </c>
    </row>
    <row r="1466" spans="2:3" x14ac:dyDescent="0.25">
      <c r="B1466" s="53">
        <v>44526</v>
      </c>
      <c r="C1466" s="291">
        <v>57107.15</v>
      </c>
    </row>
    <row r="1467" spans="2:3" x14ac:dyDescent="0.25">
      <c r="B1467" s="53">
        <v>44529</v>
      </c>
      <c r="C1467" s="291">
        <v>57260.58</v>
      </c>
    </row>
    <row r="1468" spans="2:3" x14ac:dyDescent="0.25">
      <c r="B1468" s="53">
        <v>44530</v>
      </c>
      <c r="C1468" s="291">
        <v>57064.87</v>
      </c>
    </row>
    <row r="1469" spans="2:3" x14ac:dyDescent="0.25">
      <c r="B1469" s="53">
        <v>44531</v>
      </c>
      <c r="C1469" s="291">
        <v>57684.79</v>
      </c>
    </row>
    <row r="1470" spans="2:3" x14ac:dyDescent="0.25">
      <c r="B1470" s="53">
        <v>44532</v>
      </c>
      <c r="C1470" s="291">
        <v>58461.29</v>
      </c>
    </row>
    <row r="1471" spans="2:3" x14ac:dyDescent="0.25">
      <c r="B1471" s="53">
        <v>44533</v>
      </c>
      <c r="C1471" s="291">
        <v>57696.46</v>
      </c>
    </row>
    <row r="1472" spans="2:3" x14ac:dyDescent="0.25">
      <c r="B1472" s="53">
        <v>44536</v>
      </c>
      <c r="C1472" s="291">
        <v>56747.14</v>
      </c>
    </row>
    <row r="1473" spans="2:3" x14ac:dyDescent="0.25">
      <c r="B1473" s="53">
        <v>44537</v>
      </c>
      <c r="C1473" s="291">
        <v>57633.65</v>
      </c>
    </row>
    <row r="1474" spans="2:3" x14ac:dyDescent="0.25">
      <c r="B1474" s="53">
        <v>44538</v>
      </c>
      <c r="C1474" s="291">
        <v>58649.68</v>
      </c>
    </row>
    <row r="1475" spans="2:3" x14ac:dyDescent="0.25">
      <c r="B1475" s="53">
        <v>44539</v>
      </c>
      <c r="C1475" s="291">
        <v>58807.13</v>
      </c>
    </row>
    <row r="1476" spans="2:3" x14ac:dyDescent="0.25">
      <c r="B1476" s="53">
        <v>44540</v>
      </c>
      <c r="C1476" s="291">
        <v>58786.67</v>
      </c>
    </row>
    <row r="1477" spans="2:3" x14ac:dyDescent="0.25">
      <c r="B1477" s="53">
        <v>44543</v>
      </c>
      <c r="C1477" s="291">
        <v>58283.42</v>
      </c>
    </row>
    <row r="1478" spans="2:3" x14ac:dyDescent="0.25">
      <c r="B1478" s="53">
        <v>44544</v>
      </c>
      <c r="C1478" s="291">
        <v>58117.09</v>
      </c>
    </row>
    <row r="1479" spans="2:3" x14ac:dyDescent="0.25">
      <c r="B1479" s="53">
        <v>44545</v>
      </c>
      <c r="C1479" s="291">
        <v>57788.03</v>
      </c>
    </row>
    <row r="1480" spans="2:3" x14ac:dyDescent="0.25">
      <c r="B1480" s="53">
        <v>44546</v>
      </c>
      <c r="C1480" s="291">
        <v>57901.14</v>
      </c>
    </row>
    <row r="1481" spans="2:3" x14ac:dyDescent="0.25">
      <c r="B1481" s="53">
        <v>44547</v>
      </c>
      <c r="C1481" s="291">
        <v>57011.74</v>
      </c>
    </row>
    <row r="1482" spans="2:3" x14ac:dyDescent="0.25">
      <c r="B1482" s="53">
        <v>44550</v>
      </c>
      <c r="C1482" s="291">
        <v>55822.01</v>
      </c>
    </row>
    <row r="1483" spans="2:3" x14ac:dyDescent="0.25">
      <c r="B1483" s="53">
        <v>44551</v>
      </c>
      <c r="C1483" s="291">
        <v>56319.01</v>
      </c>
    </row>
    <row r="1484" spans="2:3" x14ac:dyDescent="0.25">
      <c r="B1484" s="53">
        <v>44552</v>
      </c>
      <c r="C1484" s="291">
        <v>56930.559999999998</v>
      </c>
    </row>
    <row r="1485" spans="2:3" x14ac:dyDescent="0.25">
      <c r="B1485" s="53">
        <v>44553</v>
      </c>
      <c r="C1485" s="291">
        <v>57315.28</v>
      </c>
    </row>
    <row r="1486" spans="2:3" x14ac:dyDescent="0.25">
      <c r="B1486" s="53">
        <v>44554</v>
      </c>
      <c r="C1486" s="291">
        <v>57124.31</v>
      </c>
    </row>
    <row r="1487" spans="2:3" x14ac:dyDescent="0.25">
      <c r="B1487" s="53">
        <v>44557</v>
      </c>
      <c r="C1487" s="291">
        <v>57420.24</v>
      </c>
    </row>
    <row r="1488" spans="2:3" x14ac:dyDescent="0.25">
      <c r="B1488" s="53">
        <v>44558</v>
      </c>
      <c r="C1488" s="291">
        <v>57897.48</v>
      </c>
    </row>
    <row r="1489" spans="2:3" x14ac:dyDescent="0.25">
      <c r="B1489" s="53">
        <v>44559</v>
      </c>
      <c r="C1489" s="291">
        <v>57806.49</v>
      </c>
    </row>
    <row r="1490" spans="2:3" x14ac:dyDescent="0.25">
      <c r="B1490" s="53">
        <v>44560</v>
      </c>
      <c r="C1490" s="291">
        <v>57794.32</v>
      </c>
    </row>
    <row r="1491" spans="2:3" x14ac:dyDescent="0.25">
      <c r="B1491" s="53">
        <v>44561</v>
      </c>
      <c r="C1491" s="291">
        <v>58253.82</v>
      </c>
    </row>
    <row r="1492" spans="2:3" x14ac:dyDescent="0.25">
      <c r="B1492" s="53">
        <v>44564</v>
      </c>
      <c r="C1492" s="291">
        <v>59183.22</v>
      </c>
    </row>
    <row r="1493" spans="2:3" x14ac:dyDescent="0.25">
      <c r="B1493" s="53">
        <v>44565</v>
      </c>
      <c r="C1493" s="291">
        <v>59855.93</v>
      </c>
    </row>
    <row r="1494" spans="2:3" x14ac:dyDescent="0.25">
      <c r="B1494" s="53">
        <v>44566</v>
      </c>
      <c r="C1494" s="291">
        <v>60223.15</v>
      </c>
    </row>
    <row r="1495" spans="2:3" x14ac:dyDescent="0.25">
      <c r="B1495" s="53">
        <v>44567</v>
      </c>
      <c r="C1495" s="291">
        <v>59601.84</v>
      </c>
    </row>
    <row r="1496" spans="2:3" x14ac:dyDescent="0.25">
      <c r="B1496" s="53">
        <v>44568</v>
      </c>
      <c r="C1496" s="291">
        <v>59744.65</v>
      </c>
    </row>
    <row r="1497" spans="2:3" x14ac:dyDescent="0.25">
      <c r="B1497" s="53">
        <v>44571</v>
      </c>
      <c r="C1497" s="291">
        <v>60395.63</v>
      </c>
    </row>
    <row r="1498" spans="2:3" x14ac:dyDescent="0.25">
      <c r="B1498" s="53">
        <v>44572</v>
      </c>
      <c r="C1498" s="291">
        <v>60616.89</v>
      </c>
    </row>
    <row r="1499" spans="2:3" x14ac:dyDescent="0.25">
      <c r="B1499" s="53">
        <v>44573</v>
      </c>
      <c r="C1499" s="291">
        <v>61150.04</v>
      </c>
    </row>
    <row r="1500" spans="2:3" x14ac:dyDescent="0.25">
      <c r="B1500" s="53">
        <v>44574</v>
      </c>
      <c r="C1500" s="291">
        <v>61235.3</v>
      </c>
    </row>
    <row r="1501" spans="2:3" x14ac:dyDescent="0.25">
      <c r="B1501" s="53">
        <v>44575</v>
      </c>
      <c r="C1501" s="291">
        <v>61223.03</v>
      </c>
    </row>
    <row r="1502" spans="2:3" x14ac:dyDescent="0.25">
      <c r="B1502" s="53">
        <v>44578</v>
      </c>
      <c r="C1502" s="291">
        <v>61308.91</v>
      </c>
    </row>
    <row r="1503" spans="2:3" x14ac:dyDescent="0.25">
      <c r="B1503" s="53">
        <v>44579</v>
      </c>
      <c r="C1503" s="291">
        <v>60754.86</v>
      </c>
    </row>
    <row r="1504" spans="2:3" x14ac:dyDescent="0.25">
      <c r="B1504" s="53">
        <v>44580</v>
      </c>
      <c r="C1504" s="291">
        <v>60098.82</v>
      </c>
    </row>
    <row r="1505" spans="2:3" x14ac:dyDescent="0.25">
      <c r="B1505" s="53">
        <v>44581</v>
      </c>
      <c r="C1505" s="291">
        <v>59464.62</v>
      </c>
    </row>
    <row r="1506" spans="2:3" x14ac:dyDescent="0.25">
      <c r="B1506" s="53">
        <v>44582</v>
      </c>
      <c r="C1506" s="291">
        <v>59037.18</v>
      </c>
    </row>
    <row r="1507" spans="2:3" x14ac:dyDescent="0.25">
      <c r="B1507" s="53">
        <v>44585</v>
      </c>
      <c r="C1507" s="291">
        <v>57491.51</v>
      </c>
    </row>
    <row r="1508" spans="2:3" x14ac:dyDescent="0.25">
      <c r="B1508" s="53">
        <v>44586</v>
      </c>
      <c r="C1508" s="291">
        <v>57858.15</v>
      </c>
    </row>
    <row r="1509" spans="2:3" x14ac:dyDescent="0.25">
      <c r="B1509" s="53">
        <v>44588</v>
      </c>
      <c r="C1509" s="291">
        <v>57276.94</v>
      </c>
    </row>
    <row r="1510" spans="2:3" x14ac:dyDescent="0.25">
      <c r="B1510" s="53">
        <v>44589</v>
      </c>
      <c r="C1510" s="291">
        <v>57200.23</v>
      </c>
    </row>
    <row r="1511" spans="2:3" x14ac:dyDescent="0.25">
      <c r="B1511" s="53">
        <v>44592</v>
      </c>
      <c r="C1511" s="291">
        <v>58014.17</v>
      </c>
    </row>
    <row r="1512" spans="2:3" x14ac:dyDescent="0.25">
      <c r="B1512" s="53">
        <v>44593</v>
      </c>
      <c r="C1512" s="291">
        <v>58862.57</v>
      </c>
    </row>
    <row r="1513" spans="2:3" x14ac:dyDescent="0.25">
      <c r="B1513" s="53">
        <v>44594</v>
      </c>
      <c r="C1513" s="291">
        <v>59558.33</v>
      </c>
    </row>
    <row r="1514" spans="2:3" x14ac:dyDescent="0.25">
      <c r="B1514" s="53">
        <v>44595</v>
      </c>
      <c r="C1514" s="291">
        <v>58788.02</v>
      </c>
    </row>
    <row r="1515" spans="2:3" x14ac:dyDescent="0.25">
      <c r="B1515" s="53">
        <v>44596</v>
      </c>
      <c r="C1515" s="291">
        <v>58644.82</v>
      </c>
    </row>
    <row r="1516" spans="2:3" x14ac:dyDescent="0.25">
      <c r="B1516" s="53">
        <v>44599</v>
      </c>
      <c r="C1516" s="291">
        <v>57621.19</v>
      </c>
    </row>
    <row r="1517" spans="2:3" x14ac:dyDescent="0.25">
      <c r="B1517" s="53">
        <v>44600</v>
      </c>
      <c r="C1517" s="291">
        <v>57808.58</v>
      </c>
    </row>
    <row r="1518" spans="2:3" x14ac:dyDescent="0.25">
      <c r="B1518" s="53">
        <v>44601</v>
      </c>
      <c r="C1518" s="291">
        <v>58465.97</v>
      </c>
    </row>
    <row r="1519" spans="2:3" x14ac:dyDescent="0.25">
      <c r="B1519" s="53">
        <v>44602</v>
      </c>
      <c r="C1519" s="291">
        <v>58926.03</v>
      </c>
    </row>
    <row r="1520" spans="2:3" x14ac:dyDescent="0.25">
      <c r="B1520" s="53">
        <v>44603</v>
      </c>
      <c r="C1520" s="291">
        <v>58152.92</v>
      </c>
    </row>
    <row r="1521" spans="2:3" x14ac:dyDescent="0.25">
      <c r="B1521" s="53">
        <v>44606</v>
      </c>
      <c r="C1521" s="291">
        <v>56405.84</v>
      </c>
    </row>
    <row r="1522" spans="2:3" x14ac:dyDescent="0.25">
      <c r="B1522" s="53">
        <v>44607</v>
      </c>
      <c r="C1522" s="291">
        <v>58142.05</v>
      </c>
    </row>
    <row r="1523" spans="2:3" x14ac:dyDescent="0.25">
      <c r="B1523" s="53">
        <v>44608</v>
      </c>
      <c r="C1523" s="291">
        <v>57996.68</v>
      </c>
    </row>
    <row r="1524" spans="2:3" x14ac:dyDescent="0.25">
      <c r="B1524" s="53">
        <v>44609</v>
      </c>
      <c r="C1524" s="291">
        <v>57892.01</v>
      </c>
    </row>
    <row r="1525" spans="2:3" x14ac:dyDescent="0.25">
      <c r="B1525" s="53">
        <v>44610</v>
      </c>
      <c r="C1525" s="291">
        <v>57832.97</v>
      </c>
    </row>
    <row r="1526" spans="2:3" x14ac:dyDescent="0.25">
      <c r="B1526" s="53">
        <v>44613</v>
      </c>
      <c r="C1526" s="291">
        <v>57683.59</v>
      </c>
    </row>
    <row r="1527" spans="2:3" x14ac:dyDescent="0.25">
      <c r="B1527" s="53">
        <v>44614</v>
      </c>
      <c r="C1527" s="291">
        <v>57300.68</v>
      </c>
    </row>
    <row r="1528" spans="2:3" x14ac:dyDescent="0.25">
      <c r="B1528" s="53">
        <v>44615</v>
      </c>
      <c r="C1528" s="291">
        <v>57232.06</v>
      </c>
    </row>
    <row r="1529" spans="2:3" x14ac:dyDescent="0.25">
      <c r="B1529" s="53">
        <v>44616</v>
      </c>
      <c r="C1529" s="291">
        <v>54529.91</v>
      </c>
    </row>
    <row r="1530" spans="2:3" x14ac:dyDescent="0.25">
      <c r="B1530" s="53">
        <v>44617</v>
      </c>
      <c r="C1530" s="291">
        <v>55858.52</v>
      </c>
    </row>
    <row r="1531" spans="2:3" x14ac:dyDescent="0.25">
      <c r="B1531" s="53">
        <v>44620</v>
      </c>
      <c r="C1531" s="291">
        <v>56247.28</v>
      </c>
    </row>
    <row r="1532" spans="2:3" x14ac:dyDescent="0.25">
      <c r="B1532" s="53">
        <v>44622</v>
      </c>
      <c r="C1532" s="291">
        <v>55468.9</v>
      </c>
    </row>
    <row r="1533" spans="2:3" x14ac:dyDescent="0.25">
      <c r="B1533" s="53">
        <v>44623</v>
      </c>
      <c r="C1533" s="291">
        <v>55102.68</v>
      </c>
    </row>
    <row r="1534" spans="2:3" x14ac:dyDescent="0.25">
      <c r="B1534" s="53">
        <v>44624</v>
      </c>
      <c r="C1534" s="291">
        <v>54333.81</v>
      </c>
    </row>
    <row r="1535" spans="2:3" x14ac:dyDescent="0.25">
      <c r="B1535" s="53">
        <v>44627</v>
      </c>
      <c r="C1535" s="291">
        <v>52842.75</v>
      </c>
    </row>
    <row r="1536" spans="2:3" x14ac:dyDescent="0.25">
      <c r="B1536" s="53">
        <v>44628</v>
      </c>
      <c r="C1536" s="291">
        <v>53424.09</v>
      </c>
    </row>
    <row r="1537" spans="2:3" x14ac:dyDescent="0.25">
      <c r="B1537" s="53">
        <v>44629</v>
      </c>
      <c r="C1537" s="291">
        <v>54647.33</v>
      </c>
    </row>
    <row r="1538" spans="2:3" x14ac:dyDescent="0.25">
      <c r="B1538" s="53">
        <v>44630</v>
      </c>
      <c r="C1538" s="291">
        <v>55464.39</v>
      </c>
    </row>
    <row r="1539" spans="2:3" x14ac:dyDescent="0.25">
      <c r="B1539" s="53">
        <v>44631</v>
      </c>
      <c r="C1539" s="291">
        <v>55550.3</v>
      </c>
    </row>
    <row r="1540" spans="2:3" x14ac:dyDescent="0.25">
      <c r="B1540" s="53">
        <v>44634</v>
      </c>
      <c r="C1540" s="291">
        <v>56486.02</v>
      </c>
    </row>
    <row r="1541" spans="2:3" x14ac:dyDescent="0.25">
      <c r="B1541" s="53">
        <v>44635</v>
      </c>
      <c r="C1541" s="291">
        <v>55776.85</v>
      </c>
    </row>
    <row r="1542" spans="2:3" x14ac:dyDescent="0.25">
      <c r="B1542" s="53">
        <v>44636</v>
      </c>
      <c r="C1542" s="291">
        <v>56816.65</v>
      </c>
    </row>
    <row r="1543" spans="2:3" x14ac:dyDescent="0.25">
      <c r="B1543" s="53">
        <v>44637</v>
      </c>
      <c r="C1543" s="291">
        <v>57863.93</v>
      </c>
    </row>
    <row r="1544" spans="2:3" x14ac:dyDescent="0.25">
      <c r="B1544" s="53">
        <v>44641</v>
      </c>
      <c r="C1544" s="291">
        <v>57292.49</v>
      </c>
    </row>
    <row r="1545" spans="2:3" x14ac:dyDescent="0.25">
      <c r="B1545" s="53">
        <v>44642</v>
      </c>
      <c r="C1545" s="291">
        <v>57989.3</v>
      </c>
    </row>
    <row r="1546" spans="2:3" x14ac:dyDescent="0.25">
      <c r="B1546" s="53">
        <v>44643</v>
      </c>
      <c r="C1546" s="291">
        <v>57684.82</v>
      </c>
    </row>
    <row r="1547" spans="2:3" x14ac:dyDescent="0.25">
      <c r="B1547" s="53">
        <v>44644</v>
      </c>
      <c r="C1547" s="291">
        <v>57595.68</v>
      </c>
    </row>
    <row r="1548" spans="2:3" x14ac:dyDescent="0.25">
      <c r="B1548" s="53">
        <v>44645</v>
      </c>
      <c r="C1548" s="291">
        <v>57362.2</v>
      </c>
    </row>
    <row r="1549" spans="2:3" x14ac:dyDescent="0.25">
      <c r="B1549" s="53">
        <v>44648</v>
      </c>
      <c r="C1549" s="291">
        <v>57593.49</v>
      </c>
    </row>
    <row r="1550" spans="2:3" x14ac:dyDescent="0.25">
      <c r="B1550" s="53">
        <v>44649</v>
      </c>
      <c r="C1550" s="291">
        <v>57943.65</v>
      </c>
    </row>
    <row r="1551" spans="2:3" x14ac:dyDescent="0.25">
      <c r="B1551" s="53">
        <v>44650</v>
      </c>
      <c r="C1551" s="291">
        <v>58683.99</v>
      </c>
    </row>
    <row r="1552" spans="2:3" x14ac:dyDescent="0.25">
      <c r="B1552" s="53">
        <v>44651</v>
      </c>
      <c r="C1552" s="291">
        <v>58568.51</v>
      </c>
    </row>
    <row r="1553" spans="2:3" x14ac:dyDescent="0.25">
      <c r="B1553" s="53">
        <v>44652</v>
      </c>
      <c r="C1553" s="291">
        <v>59276.69</v>
      </c>
    </row>
    <row r="1554" spans="2:3" x14ac:dyDescent="0.25">
      <c r="B1554" s="53">
        <v>44655</v>
      </c>
      <c r="C1554" s="291">
        <v>60611.74</v>
      </c>
    </row>
    <row r="1555" spans="2:3" x14ac:dyDescent="0.25">
      <c r="B1555" s="53">
        <v>44656</v>
      </c>
      <c r="C1555" s="291">
        <v>60176.5</v>
      </c>
    </row>
    <row r="1556" spans="2:3" x14ac:dyDescent="0.25">
      <c r="B1556" s="53">
        <v>44657</v>
      </c>
      <c r="C1556" s="291">
        <v>59610.41</v>
      </c>
    </row>
    <row r="1557" spans="2:3" x14ac:dyDescent="0.25">
      <c r="B1557" s="53">
        <v>44658</v>
      </c>
      <c r="C1557" s="291">
        <v>59034.95</v>
      </c>
    </row>
    <row r="1558" spans="2:3" x14ac:dyDescent="0.25">
      <c r="B1558" s="53">
        <v>44659</v>
      </c>
      <c r="C1558" s="291">
        <v>59447.18</v>
      </c>
    </row>
    <row r="1559" spans="2:3" x14ac:dyDescent="0.25">
      <c r="B1559" s="53">
        <v>44662</v>
      </c>
      <c r="C1559" s="291">
        <v>58964.57</v>
      </c>
    </row>
    <row r="1560" spans="2:3" x14ac:dyDescent="0.25">
      <c r="B1560" s="53">
        <v>44663</v>
      </c>
      <c r="C1560" s="291">
        <v>58576.37</v>
      </c>
    </row>
    <row r="1561" spans="2:3" x14ac:dyDescent="0.25">
      <c r="B1561" s="53">
        <v>44664</v>
      </c>
      <c r="C1561" s="291">
        <v>58338.93</v>
      </c>
    </row>
    <row r="1562" spans="2:3" x14ac:dyDescent="0.25">
      <c r="B1562" s="53">
        <v>44669</v>
      </c>
      <c r="C1562" s="291">
        <v>57166.74</v>
      </c>
    </row>
    <row r="1563" spans="2:3" x14ac:dyDescent="0.25">
      <c r="B1563" s="53">
        <v>44670</v>
      </c>
      <c r="C1563" s="291">
        <v>56463.15</v>
      </c>
    </row>
    <row r="1564" spans="2:3" x14ac:dyDescent="0.25">
      <c r="B1564" s="53">
        <v>44671</v>
      </c>
      <c r="C1564" s="291">
        <v>57037.5</v>
      </c>
    </row>
    <row r="1565" spans="2:3" x14ac:dyDescent="0.25">
      <c r="B1565" s="53">
        <v>44672</v>
      </c>
      <c r="C1565" s="291">
        <v>57911.68</v>
      </c>
    </row>
    <row r="1566" spans="2:3" x14ac:dyDescent="0.25">
      <c r="B1566" s="53">
        <v>44673</v>
      </c>
      <c r="C1566" s="291">
        <v>57197.15</v>
      </c>
    </row>
    <row r="1567" spans="2:3" x14ac:dyDescent="0.25">
      <c r="B1567" s="53">
        <v>44676</v>
      </c>
      <c r="C1567" s="291">
        <v>56579.89</v>
      </c>
    </row>
    <row r="1568" spans="2:3" x14ac:dyDescent="0.25">
      <c r="B1568" s="53">
        <v>44677</v>
      </c>
      <c r="C1568" s="291">
        <v>57356.61</v>
      </c>
    </row>
    <row r="1569" spans="2:3" x14ac:dyDescent="0.25">
      <c r="B1569" s="53">
        <v>44678</v>
      </c>
      <c r="C1569" s="291">
        <v>56819.39</v>
      </c>
    </row>
    <row r="1570" spans="2:3" x14ac:dyDescent="0.25">
      <c r="B1570" s="53">
        <v>44679</v>
      </c>
      <c r="C1570" s="291">
        <v>57521.06</v>
      </c>
    </row>
    <row r="1571" spans="2:3" x14ac:dyDescent="0.25">
      <c r="B1571" s="53">
        <v>44680</v>
      </c>
      <c r="C1571" s="291">
        <v>57060.87</v>
      </c>
    </row>
    <row r="1572" spans="2:3" x14ac:dyDescent="0.25">
      <c r="B1572" s="53">
        <v>44683</v>
      </c>
      <c r="C1572" s="291">
        <v>56975.99</v>
      </c>
    </row>
    <row r="1573" spans="2:3" x14ac:dyDescent="0.25">
      <c r="B1573" s="53">
        <v>44685</v>
      </c>
      <c r="C1573" s="291">
        <v>55669.03</v>
      </c>
    </row>
    <row r="1574" spans="2:3" x14ac:dyDescent="0.25">
      <c r="B1574" s="53">
        <v>44686</v>
      </c>
      <c r="C1574" s="291">
        <v>55702.23</v>
      </c>
    </row>
    <row r="1575" spans="2:3" x14ac:dyDescent="0.25">
      <c r="B1575" s="53">
        <v>44687</v>
      </c>
      <c r="C1575" s="291">
        <v>54835.58</v>
      </c>
    </row>
    <row r="1576" spans="2:3" x14ac:dyDescent="0.25">
      <c r="B1576" s="53">
        <v>44690</v>
      </c>
      <c r="C1576" s="291">
        <v>54470.67</v>
      </c>
    </row>
    <row r="1577" spans="2:3" x14ac:dyDescent="0.25">
      <c r="B1577" s="53">
        <v>44691</v>
      </c>
      <c r="C1577" s="291">
        <v>54364.85</v>
      </c>
    </row>
    <row r="1578" spans="2:3" x14ac:dyDescent="0.25">
      <c r="B1578" s="53">
        <v>44692</v>
      </c>
      <c r="C1578" s="291">
        <v>54088.39</v>
      </c>
    </row>
    <row r="1579" spans="2:3" x14ac:dyDescent="0.25">
      <c r="B1579" s="53">
        <v>44693</v>
      </c>
      <c r="C1579" s="291">
        <v>52930.31</v>
      </c>
    </row>
    <row r="1580" spans="2:3" x14ac:dyDescent="0.25">
      <c r="B1580" s="53">
        <v>44694</v>
      </c>
      <c r="C1580" s="291">
        <v>52793.62</v>
      </c>
    </row>
    <row r="1581" spans="2:3" x14ac:dyDescent="0.25">
      <c r="B1581" s="53">
        <v>44697</v>
      </c>
      <c r="C1581" s="291">
        <v>52973.84</v>
      </c>
    </row>
    <row r="1582" spans="2:3" x14ac:dyDescent="0.25">
      <c r="B1582" s="53">
        <v>44698</v>
      </c>
      <c r="C1582" s="291">
        <v>54318.47</v>
      </c>
    </row>
    <row r="1583" spans="2:3" x14ac:dyDescent="0.25">
      <c r="B1583" s="53">
        <v>44699</v>
      </c>
      <c r="C1583" s="291">
        <v>54208.53</v>
      </c>
    </row>
    <row r="1584" spans="2:3" x14ac:dyDescent="0.25">
      <c r="B1584" s="53">
        <v>44700</v>
      </c>
      <c r="C1584" s="291">
        <v>52792.23</v>
      </c>
    </row>
    <row r="1585" spans="2:3" x14ac:dyDescent="0.25">
      <c r="B1585" s="53">
        <v>44701</v>
      </c>
      <c r="C1585" s="291">
        <v>54326.39</v>
      </c>
    </row>
    <row r="1586" spans="2:3" x14ac:dyDescent="0.25">
      <c r="B1586" s="53">
        <v>44704</v>
      </c>
      <c r="C1586" s="291">
        <v>54288.61</v>
      </c>
    </row>
    <row r="1587" spans="2:3" x14ac:dyDescent="0.25">
      <c r="B1587" s="53">
        <v>44705</v>
      </c>
      <c r="C1587" s="291">
        <v>54052.61</v>
      </c>
    </row>
    <row r="1588" spans="2:3" x14ac:dyDescent="0.25">
      <c r="B1588" s="53">
        <v>44706</v>
      </c>
      <c r="C1588" s="291">
        <v>53749.26</v>
      </c>
    </row>
    <row r="1589" spans="2:3" x14ac:dyDescent="0.25">
      <c r="B1589" s="53">
        <v>44707</v>
      </c>
      <c r="C1589" s="291">
        <v>54252.53</v>
      </c>
    </row>
    <row r="1590" spans="2:3" x14ac:dyDescent="0.25">
      <c r="B1590" s="53">
        <v>44708</v>
      </c>
      <c r="C1590" s="291">
        <v>54884.66</v>
      </c>
    </row>
    <row r="1591" spans="2:3" x14ac:dyDescent="0.25">
      <c r="B1591" s="53">
        <v>44711</v>
      </c>
      <c r="C1591" s="291">
        <v>55925.74</v>
      </c>
    </row>
    <row r="1592" spans="2:3" x14ac:dyDescent="0.25">
      <c r="B1592" s="53">
        <v>44712</v>
      </c>
      <c r="C1592" s="291">
        <v>55566.41</v>
      </c>
    </row>
    <row r="1593" spans="2:3" x14ac:dyDescent="0.25">
      <c r="B1593" s="53">
        <v>44713</v>
      </c>
      <c r="C1593" s="291">
        <v>55381.17</v>
      </c>
    </row>
    <row r="1594" spans="2:3" x14ac:dyDescent="0.25">
      <c r="B1594" s="53">
        <v>44714</v>
      </c>
      <c r="C1594" s="291">
        <v>55818.11</v>
      </c>
    </row>
    <row r="1595" spans="2:3" x14ac:dyDescent="0.25">
      <c r="B1595" s="53">
        <v>44715</v>
      </c>
      <c r="C1595" s="291">
        <v>55769.23</v>
      </c>
    </row>
    <row r="1596" spans="2:3" x14ac:dyDescent="0.25">
      <c r="B1596" s="53">
        <v>44718</v>
      </c>
      <c r="C1596" s="291">
        <v>55675.32</v>
      </c>
    </row>
    <row r="1597" spans="2:3" x14ac:dyDescent="0.25">
      <c r="B1597" s="53">
        <v>44719</v>
      </c>
      <c r="C1597" s="291">
        <v>55107.34</v>
      </c>
    </row>
    <row r="1598" spans="2:3" x14ac:dyDescent="0.25">
      <c r="B1598" s="53">
        <v>44720</v>
      </c>
      <c r="C1598" s="291">
        <v>54892.49</v>
      </c>
    </row>
    <row r="1599" spans="2:3" x14ac:dyDescent="0.25">
      <c r="B1599" s="53">
        <v>44721</v>
      </c>
      <c r="C1599" s="291">
        <v>55320.28</v>
      </c>
    </row>
    <row r="1600" spans="2:3" x14ac:dyDescent="0.25">
      <c r="B1600" s="53">
        <v>44722</v>
      </c>
      <c r="C1600" s="291">
        <v>54303.44</v>
      </c>
    </row>
    <row r="1601" spans="2:3" x14ac:dyDescent="0.25">
      <c r="B1601" s="53">
        <v>44725</v>
      </c>
      <c r="C1601" s="291">
        <v>52846.7</v>
      </c>
    </row>
    <row r="1602" spans="2:3" x14ac:dyDescent="0.25">
      <c r="B1602" s="53">
        <v>44726</v>
      </c>
      <c r="C1602" s="291">
        <v>52693.57</v>
      </c>
    </row>
    <row r="1603" spans="2:3" x14ac:dyDescent="0.25">
      <c r="B1603" s="53">
        <v>44727</v>
      </c>
      <c r="C1603" s="291">
        <v>52541.39</v>
      </c>
    </row>
    <row r="1604" spans="2:3" x14ac:dyDescent="0.25">
      <c r="B1604" s="53">
        <v>44728</v>
      </c>
      <c r="C1604" s="291">
        <v>51495.79</v>
      </c>
    </row>
    <row r="1605" spans="2:3" x14ac:dyDescent="0.25">
      <c r="B1605" s="53">
        <v>44729</v>
      </c>
      <c r="C1605" s="291">
        <v>51360.42</v>
      </c>
    </row>
    <row r="1606" spans="2:3" x14ac:dyDescent="0.25">
      <c r="B1606" s="53">
        <v>44732</v>
      </c>
      <c r="C1606" s="291">
        <v>51597.84</v>
      </c>
    </row>
    <row r="1607" spans="2:3" x14ac:dyDescent="0.25">
      <c r="B1607" s="53">
        <v>44733</v>
      </c>
      <c r="C1607" s="291">
        <v>52532.07</v>
      </c>
    </row>
    <row r="1608" spans="2:3" x14ac:dyDescent="0.25">
      <c r="B1608" s="53">
        <v>44734</v>
      </c>
      <c r="C1608" s="291">
        <v>51822.53</v>
      </c>
    </row>
    <row r="1609" spans="2:3" x14ac:dyDescent="0.25">
      <c r="B1609" s="53">
        <v>44735</v>
      </c>
      <c r="C1609" s="291">
        <v>52265.72</v>
      </c>
    </row>
    <row r="1610" spans="2:3" x14ac:dyDescent="0.25">
      <c r="B1610" s="53">
        <v>44736</v>
      </c>
      <c r="C1610" s="291">
        <v>52727.98</v>
      </c>
    </row>
    <row r="1611" spans="2:3" x14ac:dyDescent="0.25">
      <c r="B1611" s="53">
        <v>44739</v>
      </c>
      <c r="C1611" s="291">
        <v>53161.279999999999</v>
      </c>
    </row>
    <row r="1612" spans="2:3" x14ac:dyDescent="0.25">
      <c r="B1612" s="53">
        <v>44740</v>
      </c>
      <c r="C1612" s="291">
        <v>53177.45</v>
      </c>
    </row>
    <row r="1613" spans="2:3" x14ac:dyDescent="0.25">
      <c r="B1613" s="53">
        <v>44741</v>
      </c>
      <c r="C1613" s="291">
        <v>53026.97</v>
      </c>
    </row>
    <row r="1614" spans="2:3" x14ac:dyDescent="0.25">
      <c r="B1614" s="53">
        <v>44742</v>
      </c>
      <c r="C1614" s="291">
        <v>53018.94</v>
      </c>
    </row>
    <row r="1615" spans="2:3" x14ac:dyDescent="0.25">
      <c r="B1615" s="53">
        <v>44743</v>
      </c>
      <c r="C1615" s="291">
        <v>52907.93</v>
      </c>
    </row>
    <row r="1616" spans="2:3" x14ac:dyDescent="0.25">
      <c r="B1616" s="53">
        <v>44746</v>
      </c>
      <c r="C1616" s="291">
        <v>53234.77</v>
      </c>
    </row>
    <row r="1617" spans="2:3" x14ac:dyDescent="0.25">
      <c r="B1617" s="53">
        <v>44747</v>
      </c>
      <c r="C1617" s="291">
        <v>53134.35</v>
      </c>
    </row>
    <row r="1618" spans="2:3" x14ac:dyDescent="0.25">
      <c r="B1618" s="53">
        <v>44748</v>
      </c>
      <c r="C1618" s="291">
        <v>53750.97</v>
      </c>
    </row>
    <row r="1619" spans="2:3" x14ac:dyDescent="0.25">
      <c r="B1619" s="53">
        <v>44749</v>
      </c>
      <c r="C1619" s="291">
        <v>54178.46</v>
      </c>
    </row>
    <row r="1620" spans="2:3" x14ac:dyDescent="0.25">
      <c r="B1620" s="53">
        <v>44750</v>
      </c>
      <c r="C1620" s="291">
        <v>54481.84</v>
      </c>
    </row>
    <row r="1621" spans="2:3" x14ac:dyDescent="0.25">
      <c r="B1621" s="53">
        <v>44753</v>
      </c>
      <c r="C1621" s="291">
        <v>54395.23</v>
      </c>
    </row>
    <row r="1622" spans="2:3" x14ac:dyDescent="0.25">
      <c r="B1622" s="53">
        <v>44754</v>
      </c>
      <c r="C1622" s="291">
        <v>53886.61</v>
      </c>
    </row>
    <row r="1623" spans="2:3" x14ac:dyDescent="0.25">
      <c r="B1623" s="53">
        <v>44755</v>
      </c>
      <c r="C1623" s="291">
        <v>53514.15</v>
      </c>
    </row>
    <row r="1624" spans="2:3" x14ac:dyDescent="0.25">
      <c r="B1624" s="53">
        <v>44756</v>
      </c>
      <c r="C1624" s="291">
        <v>53416.15</v>
      </c>
    </row>
    <row r="1625" spans="2:3" x14ac:dyDescent="0.25">
      <c r="B1625" s="53">
        <v>44757</v>
      </c>
      <c r="C1625" s="291">
        <v>53760.78</v>
      </c>
    </row>
    <row r="1626" spans="2:3" x14ac:dyDescent="0.25">
      <c r="B1626" s="53">
        <v>44760</v>
      </c>
      <c r="C1626" s="291">
        <v>54521.15</v>
      </c>
    </row>
    <row r="1627" spans="2:3" x14ac:dyDescent="0.25">
      <c r="B1627" s="53">
        <v>44761</v>
      </c>
      <c r="C1627" s="291">
        <v>54767.62</v>
      </c>
    </row>
    <row r="1628" spans="2:3" x14ac:dyDescent="0.25">
      <c r="B1628" s="53">
        <v>44762</v>
      </c>
      <c r="C1628" s="291">
        <v>55397.53</v>
      </c>
    </row>
    <row r="1629" spans="2:3" x14ac:dyDescent="0.25">
      <c r="B1629" s="53">
        <v>44763</v>
      </c>
      <c r="C1629" s="291">
        <v>55681.95</v>
      </c>
    </row>
    <row r="1630" spans="2:3" x14ac:dyDescent="0.25">
      <c r="B1630" s="53">
        <v>44764</v>
      </c>
      <c r="C1630" s="291">
        <v>56072.23</v>
      </c>
    </row>
    <row r="1631" spans="2:3" x14ac:dyDescent="0.25">
      <c r="B1631" s="53">
        <v>44767</v>
      </c>
      <c r="C1631" s="291">
        <v>55766.22</v>
      </c>
    </row>
    <row r="1632" spans="2:3" x14ac:dyDescent="0.25">
      <c r="B1632" s="53">
        <v>44768</v>
      </c>
      <c r="C1632" s="291">
        <v>55268.49</v>
      </c>
    </row>
    <row r="1633" spans="2:3" x14ac:dyDescent="0.25">
      <c r="B1633" s="53">
        <v>44769</v>
      </c>
      <c r="C1633" s="291">
        <v>55816.32</v>
      </c>
    </row>
    <row r="1634" spans="2:3" x14ac:dyDescent="0.25">
      <c r="B1634" s="53">
        <v>44770</v>
      </c>
      <c r="C1634" s="291">
        <v>56857.79</v>
      </c>
    </row>
    <row r="1635" spans="2:3" x14ac:dyDescent="0.25">
      <c r="B1635" s="53">
        <v>44771</v>
      </c>
      <c r="C1635" s="291">
        <v>57570.25</v>
      </c>
    </row>
    <row r="1636" spans="2:3" x14ac:dyDescent="0.25">
      <c r="B1636" s="53">
        <v>44774</v>
      </c>
      <c r="C1636" s="291">
        <v>58115.5</v>
      </c>
    </row>
    <row r="1637" spans="2:3" x14ac:dyDescent="0.25">
      <c r="B1637" s="53">
        <v>44775</v>
      </c>
      <c r="C1637" s="291">
        <v>58136.36</v>
      </c>
    </row>
    <row r="1638" spans="2:3" x14ac:dyDescent="0.25">
      <c r="B1638" s="53">
        <v>44776</v>
      </c>
      <c r="C1638" s="291">
        <v>58350.53</v>
      </c>
    </row>
    <row r="1639" spans="2:3" x14ac:dyDescent="0.25">
      <c r="B1639" s="53">
        <v>44777</v>
      </c>
      <c r="C1639" s="291">
        <v>58298.8</v>
      </c>
    </row>
    <row r="1640" spans="2:3" x14ac:dyDescent="0.25">
      <c r="B1640" s="53">
        <v>44778</v>
      </c>
      <c r="C1640" s="291">
        <v>58387.93</v>
      </c>
    </row>
    <row r="1641" spans="2:3" x14ac:dyDescent="0.25">
      <c r="B1641" s="53">
        <v>44781</v>
      </c>
      <c r="C1641" s="291">
        <v>58853.07</v>
      </c>
    </row>
    <row r="1642" spans="2:3" x14ac:dyDescent="0.25">
      <c r="B1642" s="53">
        <v>44783</v>
      </c>
      <c r="C1642" s="291">
        <v>58817.29</v>
      </c>
    </row>
    <row r="1643" spans="2:3" x14ac:dyDescent="0.25">
      <c r="B1643" s="53">
        <v>44784</v>
      </c>
      <c r="C1643" s="291">
        <v>59332.6</v>
      </c>
    </row>
    <row r="1644" spans="2:3" x14ac:dyDescent="0.25">
      <c r="B1644" s="53">
        <v>44785</v>
      </c>
      <c r="C1644" s="291">
        <v>59462.78</v>
      </c>
    </row>
    <row r="1645" spans="2:3" x14ac:dyDescent="0.25">
      <c r="B1645" s="53">
        <v>44789</v>
      </c>
      <c r="C1645" s="291">
        <v>59842.21</v>
      </c>
    </row>
    <row r="1646" spans="2:3" x14ac:dyDescent="0.25">
      <c r="B1646" s="53">
        <v>44790</v>
      </c>
      <c r="C1646" s="291">
        <v>60260.13</v>
      </c>
    </row>
    <row r="1647" spans="2:3" x14ac:dyDescent="0.25">
      <c r="B1647" s="53">
        <v>44791</v>
      </c>
      <c r="C1647" s="291">
        <v>60298</v>
      </c>
    </row>
    <row r="1648" spans="2:3" x14ac:dyDescent="0.25">
      <c r="B1648" s="53">
        <v>44792</v>
      </c>
      <c r="C1648" s="291">
        <v>59646.15</v>
      </c>
    </row>
    <row r="1649" spans="2:3" x14ac:dyDescent="0.25">
      <c r="B1649" s="53">
        <v>44795</v>
      </c>
      <c r="C1649" s="291">
        <v>58773.87</v>
      </c>
    </row>
    <row r="1650" spans="2:3" x14ac:dyDescent="0.25">
      <c r="B1650" s="53">
        <v>44796</v>
      </c>
      <c r="C1650" s="291">
        <v>59031.3</v>
      </c>
    </row>
    <row r="1651" spans="2:3" x14ac:dyDescent="0.25">
      <c r="B1651" s="53">
        <v>44797</v>
      </c>
      <c r="C1651" s="291">
        <v>59085.43</v>
      </c>
    </row>
    <row r="1652" spans="2:3" x14ac:dyDescent="0.25">
      <c r="B1652" s="53">
        <v>44798</v>
      </c>
      <c r="C1652" s="291">
        <v>58774.720000000001</v>
      </c>
    </row>
    <row r="1653" spans="2:3" x14ac:dyDescent="0.25">
      <c r="B1653" s="53">
        <v>44799</v>
      </c>
      <c r="C1653" s="291">
        <v>58833.87</v>
      </c>
    </row>
    <row r="1654" spans="2:3" x14ac:dyDescent="0.25">
      <c r="B1654" s="53">
        <v>44802</v>
      </c>
      <c r="C1654" s="291">
        <v>57972.62</v>
      </c>
    </row>
    <row r="1655" spans="2:3" x14ac:dyDescent="0.25">
      <c r="B1655" s="53">
        <v>44803</v>
      </c>
      <c r="C1655" s="291">
        <v>59537.07</v>
      </c>
    </row>
    <row r="1656" spans="2:3" x14ac:dyDescent="0.25">
      <c r="B1656" s="53">
        <v>44805</v>
      </c>
      <c r="C1656" s="291">
        <v>58766.59</v>
      </c>
    </row>
    <row r="1657" spans="2:3" x14ac:dyDescent="0.25">
      <c r="B1657" s="53">
        <v>44806</v>
      </c>
      <c r="C1657" s="291">
        <v>58803.33</v>
      </c>
    </row>
    <row r="1658" spans="2:3" x14ac:dyDescent="0.25">
      <c r="B1658" s="53">
        <v>44809</v>
      </c>
      <c r="C1658" s="291">
        <v>59245.98</v>
      </c>
    </row>
    <row r="1659" spans="2:3" x14ac:dyDescent="0.25">
      <c r="B1659" s="53">
        <v>44810</v>
      </c>
      <c r="C1659" s="291">
        <v>59196.99</v>
      </c>
    </row>
    <row r="1660" spans="2:3" x14ac:dyDescent="0.25">
      <c r="B1660" s="53">
        <v>44811</v>
      </c>
      <c r="C1660" s="291">
        <v>59028.91</v>
      </c>
    </row>
    <row r="1661" spans="2:3" x14ac:dyDescent="0.25">
      <c r="B1661" s="53">
        <v>44812</v>
      </c>
      <c r="C1661" s="291">
        <v>59688.22</v>
      </c>
    </row>
    <row r="1662" spans="2:3" x14ac:dyDescent="0.25">
      <c r="B1662" s="53">
        <v>44813</v>
      </c>
      <c r="C1662" s="291">
        <v>59793.14</v>
      </c>
    </row>
    <row r="1663" spans="2:3" x14ac:dyDescent="0.25">
      <c r="B1663" s="53">
        <v>44816</v>
      </c>
      <c r="C1663" s="291">
        <v>60115.13</v>
      </c>
    </row>
    <row r="1664" spans="2:3" x14ac:dyDescent="0.25">
      <c r="B1664" s="53">
        <v>44817</v>
      </c>
      <c r="C1664" s="291">
        <v>60571.08</v>
      </c>
    </row>
    <row r="1665" spans="2:3" x14ac:dyDescent="0.25">
      <c r="B1665" s="53">
        <v>44818</v>
      </c>
      <c r="C1665" s="291">
        <v>60346.97</v>
      </c>
    </row>
    <row r="1666" spans="2:3" x14ac:dyDescent="0.25">
      <c r="B1666" s="53">
        <v>44819</v>
      </c>
      <c r="C1666" s="291">
        <v>59934.01</v>
      </c>
    </row>
    <row r="1667" spans="2:3" x14ac:dyDescent="0.25">
      <c r="B1667" s="53">
        <v>44820</v>
      </c>
      <c r="C1667" s="291">
        <v>58840.79</v>
      </c>
    </row>
    <row r="1668" spans="2:3" x14ac:dyDescent="0.25">
      <c r="B1668" s="53">
        <v>44823</v>
      </c>
      <c r="C1668" s="291">
        <v>59141.23</v>
      </c>
    </row>
    <row r="1669" spans="2:3" x14ac:dyDescent="0.25">
      <c r="B1669" s="53">
        <v>44824</v>
      </c>
      <c r="C1669" s="291">
        <v>59719.74</v>
      </c>
    </row>
    <row r="1670" spans="2:3" x14ac:dyDescent="0.25">
      <c r="B1670" s="53">
        <v>44825</v>
      </c>
      <c r="C1670" s="291">
        <v>59456.78</v>
      </c>
    </row>
    <row r="1671" spans="2:3" x14ac:dyDescent="0.25">
      <c r="B1671" s="53">
        <v>44826</v>
      </c>
      <c r="C1671" s="291">
        <v>59119.72</v>
      </c>
    </row>
    <row r="1672" spans="2:3" x14ac:dyDescent="0.25">
      <c r="B1672" s="53">
        <v>44827</v>
      </c>
      <c r="C1672" s="291">
        <v>58098.92</v>
      </c>
    </row>
    <row r="1673" spans="2:3" x14ac:dyDescent="0.25">
      <c r="B1673" s="53">
        <v>44830</v>
      </c>
      <c r="C1673" s="291">
        <v>57145.22</v>
      </c>
    </row>
    <row r="1674" spans="2:3" x14ac:dyDescent="0.25">
      <c r="B1674" s="53">
        <v>44831</v>
      </c>
      <c r="C1674" s="291">
        <v>57107.519999999997</v>
      </c>
    </row>
    <row r="1675" spans="2:3" x14ac:dyDescent="0.25">
      <c r="B1675" s="53">
        <v>44832</v>
      </c>
      <c r="C1675" s="291">
        <v>56598.28</v>
      </c>
    </row>
    <row r="1676" spans="2:3" x14ac:dyDescent="0.25">
      <c r="B1676" s="53">
        <v>44833</v>
      </c>
      <c r="C1676" s="291">
        <v>56409.96</v>
      </c>
    </row>
    <row r="1677" spans="2:3" x14ac:dyDescent="0.25">
      <c r="B1677" s="53">
        <v>44834</v>
      </c>
      <c r="C1677" s="291">
        <v>57426.92</v>
      </c>
    </row>
    <row r="1678" spans="2:3" x14ac:dyDescent="0.25">
      <c r="B1678" s="53">
        <v>44837</v>
      </c>
      <c r="C1678" s="291">
        <v>56788.81</v>
      </c>
    </row>
    <row r="1679" spans="2:3" x14ac:dyDescent="0.25">
      <c r="B1679" s="53">
        <v>44838</v>
      </c>
      <c r="C1679" s="291">
        <v>58065.47</v>
      </c>
    </row>
    <row r="1680" spans="2:3" x14ac:dyDescent="0.25">
      <c r="B1680" s="53">
        <v>44840</v>
      </c>
      <c r="C1680" s="291">
        <v>58222.1</v>
      </c>
    </row>
    <row r="1681" spans="2:3" x14ac:dyDescent="0.25">
      <c r="B1681" s="53">
        <v>44841</v>
      </c>
      <c r="C1681" s="291">
        <v>58191.29</v>
      </c>
    </row>
    <row r="1682" spans="2:3" x14ac:dyDescent="0.25">
      <c r="B1682" s="53">
        <v>44844</v>
      </c>
      <c r="C1682" s="291">
        <v>57991.11</v>
      </c>
    </row>
    <row r="1683" spans="2:3" x14ac:dyDescent="0.25">
      <c r="B1683" s="53">
        <v>44845</v>
      </c>
      <c r="C1683" s="291">
        <v>57147.32</v>
      </c>
    </row>
    <row r="1684" spans="2:3" x14ac:dyDescent="0.25">
      <c r="B1684" s="53">
        <v>44846</v>
      </c>
      <c r="C1684" s="291">
        <v>57625.91</v>
      </c>
    </row>
    <row r="1685" spans="2:3" x14ac:dyDescent="0.25">
      <c r="B1685" s="53">
        <v>44847</v>
      </c>
      <c r="C1685" s="291">
        <v>57235.33</v>
      </c>
    </row>
    <row r="1686" spans="2:3" x14ac:dyDescent="0.25">
      <c r="B1686" s="53">
        <v>44848</v>
      </c>
      <c r="C1686" s="291">
        <v>57919.97</v>
      </c>
    </row>
    <row r="1687" spans="2:3" x14ac:dyDescent="0.25">
      <c r="B1687" s="53">
        <v>44851</v>
      </c>
      <c r="C1687" s="291">
        <v>58410.98</v>
      </c>
    </row>
    <row r="1688" spans="2:3" x14ac:dyDescent="0.25">
      <c r="B1688" s="53">
        <v>44852</v>
      </c>
      <c r="C1688" s="291">
        <v>58960.6</v>
      </c>
    </row>
    <row r="1689" spans="2:3" x14ac:dyDescent="0.25">
      <c r="B1689" s="53">
        <v>44853</v>
      </c>
      <c r="C1689" s="291">
        <v>59107.19</v>
      </c>
    </row>
    <row r="1690" spans="2:3" x14ac:dyDescent="0.25">
      <c r="B1690" s="53">
        <v>44854</v>
      </c>
      <c r="C1690" s="291">
        <v>59202.9</v>
      </c>
    </row>
    <row r="1691" spans="2:3" x14ac:dyDescent="0.25">
      <c r="B1691" s="53">
        <v>44855</v>
      </c>
      <c r="C1691" s="291">
        <v>59307.15</v>
      </c>
    </row>
    <row r="1692" spans="2:3" x14ac:dyDescent="0.25">
      <c r="B1692" s="53">
        <v>44858</v>
      </c>
      <c r="C1692" s="291">
        <v>59831.66</v>
      </c>
    </row>
    <row r="1693" spans="2:3" x14ac:dyDescent="0.25">
      <c r="B1693" s="53">
        <v>44859</v>
      </c>
      <c r="C1693" s="291">
        <v>59543.96</v>
      </c>
    </row>
    <row r="1694" spans="2:3" x14ac:dyDescent="0.25">
      <c r="B1694" s="53">
        <v>44861</v>
      </c>
      <c r="C1694" s="291">
        <v>59756.84</v>
      </c>
    </row>
    <row r="1695" spans="2:3" x14ac:dyDescent="0.25">
      <c r="B1695" s="53">
        <v>44862</v>
      </c>
      <c r="C1695" s="291">
        <v>59959.85</v>
      </c>
    </row>
    <row r="1696" spans="2:3" x14ac:dyDescent="0.25">
      <c r="B1696" s="53">
        <v>44865</v>
      </c>
      <c r="C1696" s="291">
        <v>60746.59</v>
      </c>
    </row>
    <row r="1697" spans="2:3" x14ac:dyDescent="0.25">
      <c r="B1697" s="53">
        <v>44866</v>
      </c>
      <c r="C1697" s="291">
        <v>61121.35</v>
      </c>
    </row>
    <row r="1698" spans="2:3" x14ac:dyDescent="0.25">
      <c r="B1698" s="53">
        <v>44867</v>
      </c>
      <c r="C1698" s="291">
        <v>60906.09</v>
      </c>
    </row>
    <row r="1699" spans="2:3" x14ac:dyDescent="0.25">
      <c r="B1699" s="53">
        <v>44868</v>
      </c>
      <c r="C1699" s="291">
        <v>60836.41</v>
      </c>
    </row>
    <row r="1700" spans="2:3" x14ac:dyDescent="0.25">
      <c r="B1700" s="53">
        <v>44869</v>
      </c>
      <c r="C1700" s="291">
        <v>60950.36</v>
      </c>
    </row>
    <row r="1701" spans="2:3" x14ac:dyDescent="0.25">
      <c r="B1701" s="53">
        <v>44872</v>
      </c>
      <c r="C1701" s="291">
        <v>61185.15</v>
      </c>
    </row>
    <row r="1702" spans="2:3" x14ac:dyDescent="0.25">
      <c r="B1702" s="53">
        <v>44874</v>
      </c>
      <c r="C1702" s="291">
        <v>61033.55</v>
      </c>
    </row>
    <row r="1703" spans="2:3" x14ac:dyDescent="0.25">
      <c r="B1703" s="53">
        <v>44875</v>
      </c>
      <c r="C1703" s="291">
        <v>60613.7</v>
      </c>
    </row>
    <row r="1704" spans="2:3" x14ac:dyDescent="0.25">
      <c r="B1704" s="53">
        <v>44876</v>
      </c>
      <c r="C1704" s="291">
        <v>61795.040000000001</v>
      </c>
    </row>
    <row r="1705" spans="2:3" x14ac:dyDescent="0.25">
      <c r="B1705" s="53">
        <v>44879</v>
      </c>
      <c r="C1705" s="291">
        <v>61624.15</v>
      </c>
    </row>
    <row r="1706" spans="2:3" x14ac:dyDescent="0.25">
      <c r="B1706" s="53">
        <v>44880</v>
      </c>
      <c r="C1706" s="291">
        <v>61872.99</v>
      </c>
    </row>
    <row r="1707" spans="2:3" x14ac:dyDescent="0.25">
      <c r="B1707" s="53">
        <v>44881</v>
      </c>
      <c r="C1707" s="291">
        <v>61980.72</v>
      </c>
    </row>
    <row r="1708" spans="2:3" x14ac:dyDescent="0.25">
      <c r="B1708" s="53">
        <v>44882</v>
      </c>
      <c r="C1708" s="291">
        <v>61750.6</v>
      </c>
    </row>
    <row r="1709" spans="2:3" x14ac:dyDescent="0.25">
      <c r="B1709" s="53">
        <v>44883</v>
      </c>
      <c r="C1709" s="291">
        <v>61663.48</v>
      </c>
    </row>
    <row r="1710" spans="2:3" x14ac:dyDescent="0.25">
      <c r="B1710" s="53">
        <v>44886</v>
      </c>
      <c r="C1710" s="291">
        <v>61144.84</v>
      </c>
    </row>
    <row r="1711" spans="2:3" x14ac:dyDescent="0.25">
      <c r="B1711" s="53">
        <v>44887</v>
      </c>
      <c r="C1711" s="291">
        <v>61418.96</v>
      </c>
    </row>
    <row r="1712" spans="2:3" x14ac:dyDescent="0.25">
      <c r="B1712" s="53">
        <v>44888</v>
      </c>
      <c r="C1712" s="291">
        <v>61510.58</v>
      </c>
    </row>
    <row r="1713" spans="2:3" x14ac:dyDescent="0.25">
      <c r="B1713" s="53">
        <v>44889</v>
      </c>
      <c r="C1713" s="291">
        <v>62272.68</v>
      </c>
    </row>
    <row r="1714" spans="2:3" x14ac:dyDescent="0.25">
      <c r="B1714" s="53">
        <v>44890</v>
      </c>
      <c r="C1714" s="291">
        <v>62293.64</v>
      </c>
    </row>
    <row r="1715" spans="2:3" x14ac:dyDescent="0.25">
      <c r="B1715" s="53">
        <v>44893</v>
      </c>
      <c r="C1715" s="291">
        <v>62504.800000000003</v>
      </c>
    </row>
    <row r="1716" spans="2:3" x14ac:dyDescent="0.25">
      <c r="B1716" s="53">
        <v>44894</v>
      </c>
      <c r="C1716" s="291">
        <v>62681.84</v>
      </c>
    </row>
    <row r="1717" spans="2:3" x14ac:dyDescent="0.25">
      <c r="B1717" s="53">
        <v>44895</v>
      </c>
      <c r="C1717" s="291">
        <v>63099.65</v>
      </c>
    </row>
    <row r="1718" spans="2:3" x14ac:dyDescent="0.25">
      <c r="B1718" s="53">
        <v>44896</v>
      </c>
      <c r="C1718" s="291">
        <v>63284.19</v>
      </c>
    </row>
    <row r="1719" spans="2:3" x14ac:dyDescent="0.25">
      <c r="B1719" s="53">
        <v>44897</v>
      </c>
      <c r="C1719" s="291">
        <v>62868.5</v>
      </c>
    </row>
    <row r="1720" spans="2:3" x14ac:dyDescent="0.25">
      <c r="B1720" s="53">
        <v>44900</v>
      </c>
      <c r="C1720" s="291">
        <v>62834.6</v>
      </c>
    </row>
    <row r="1721" spans="2:3" x14ac:dyDescent="0.25">
      <c r="B1721" s="53">
        <v>44901</v>
      </c>
      <c r="C1721" s="291">
        <v>62626.36</v>
      </c>
    </row>
    <row r="1722" spans="2:3" x14ac:dyDescent="0.25">
      <c r="B1722" s="53">
        <v>44902</v>
      </c>
      <c r="C1722" s="291">
        <v>62410.68</v>
      </c>
    </row>
    <row r="1723" spans="2:3" x14ac:dyDescent="0.25">
      <c r="B1723" s="53">
        <v>44903</v>
      </c>
      <c r="C1723" s="291">
        <v>62570.68</v>
      </c>
    </row>
    <row r="1724" spans="2:3" x14ac:dyDescent="0.25">
      <c r="B1724" s="53">
        <v>44904</v>
      </c>
      <c r="C1724" s="291">
        <v>62181.67</v>
      </c>
    </row>
    <row r="1725" spans="2:3" x14ac:dyDescent="0.25">
      <c r="B1725" s="53">
        <v>44907</v>
      </c>
      <c r="C1725" s="291">
        <v>62130.57</v>
      </c>
    </row>
    <row r="1726" spans="2:3" x14ac:dyDescent="0.25">
      <c r="B1726" s="53">
        <v>44908</v>
      </c>
      <c r="C1726" s="291">
        <v>62533.3</v>
      </c>
    </row>
    <row r="1727" spans="2:3" x14ac:dyDescent="0.25">
      <c r="B1727" s="53">
        <v>44909</v>
      </c>
      <c r="C1727" s="291">
        <v>62677.91</v>
      </c>
    </row>
    <row r="1728" spans="2:3" x14ac:dyDescent="0.25">
      <c r="B1728" s="53">
        <v>44910</v>
      </c>
      <c r="C1728" s="291">
        <v>61799.03</v>
      </c>
    </row>
    <row r="1729" spans="2:3" x14ac:dyDescent="0.25">
      <c r="B1729" s="53">
        <v>44911</v>
      </c>
      <c r="C1729" s="291">
        <v>61337.81</v>
      </c>
    </row>
    <row r="1730" spans="2:3" x14ac:dyDescent="0.25">
      <c r="B1730" s="53">
        <v>44914</v>
      </c>
      <c r="C1730" s="291">
        <v>61806.19</v>
      </c>
    </row>
    <row r="1731" spans="2:3" x14ac:dyDescent="0.25">
      <c r="B1731" s="53">
        <v>44915</v>
      </c>
      <c r="C1731" s="291">
        <v>61702.29</v>
      </c>
    </row>
    <row r="1732" spans="2:3" x14ac:dyDescent="0.25">
      <c r="B1732" s="53">
        <v>44916</v>
      </c>
      <c r="C1732" s="291">
        <v>61067.24</v>
      </c>
    </row>
    <row r="1733" spans="2:3" x14ac:dyDescent="0.25">
      <c r="B1733" s="53">
        <v>44917</v>
      </c>
      <c r="C1733" s="291">
        <v>60826.22</v>
      </c>
    </row>
    <row r="1734" spans="2:3" x14ac:dyDescent="0.25">
      <c r="B1734" s="53">
        <v>44918</v>
      </c>
      <c r="C1734" s="291">
        <v>59845.29</v>
      </c>
    </row>
    <row r="1735" spans="2:3" x14ac:dyDescent="0.25">
      <c r="B1735" s="53">
        <v>44921</v>
      </c>
      <c r="C1735" s="291">
        <v>60566.42</v>
      </c>
    </row>
    <row r="1736" spans="2:3" x14ac:dyDescent="0.25">
      <c r="B1736" s="53">
        <v>44922</v>
      </c>
      <c r="C1736" s="291">
        <v>60927.43</v>
      </c>
    </row>
    <row r="1737" spans="2:3" x14ac:dyDescent="0.25">
      <c r="B1737" s="53">
        <v>44923</v>
      </c>
      <c r="C1737" s="291">
        <v>60910.28</v>
      </c>
    </row>
    <row r="1738" spans="2:3" x14ac:dyDescent="0.25">
      <c r="B1738" s="53">
        <v>44924</v>
      </c>
      <c r="C1738" s="291">
        <v>61133.88</v>
      </c>
    </row>
    <row r="1739" spans="2:3" x14ac:dyDescent="0.25">
      <c r="B1739" s="53">
        <v>44925</v>
      </c>
      <c r="C1739" s="291">
        <v>60840.74</v>
      </c>
    </row>
    <row r="1740" spans="2:3" x14ac:dyDescent="0.25">
      <c r="B1740" s="53">
        <v>44928</v>
      </c>
      <c r="C1740" s="291">
        <v>61167.79</v>
      </c>
    </row>
    <row r="1741" spans="2:3" x14ac:dyDescent="0.25">
      <c r="B1741" s="53">
        <v>44929</v>
      </c>
      <c r="C1741" s="291">
        <v>61294.2</v>
      </c>
    </row>
    <row r="1742" spans="2:3" x14ac:dyDescent="0.25">
      <c r="B1742" s="53">
        <v>44930</v>
      </c>
      <c r="C1742" s="291">
        <v>60657.45</v>
      </c>
    </row>
    <row r="1743" spans="2:3" x14ac:dyDescent="0.25">
      <c r="B1743" s="53">
        <v>44931</v>
      </c>
      <c r="C1743" s="291">
        <v>60353.27</v>
      </c>
    </row>
    <row r="1744" spans="2:3" x14ac:dyDescent="0.25">
      <c r="B1744" s="53">
        <v>44932</v>
      </c>
      <c r="C1744" s="291">
        <v>59900.37</v>
      </c>
    </row>
    <row r="1745" spans="2:3" x14ac:dyDescent="0.25">
      <c r="B1745" s="53">
        <v>44935</v>
      </c>
      <c r="C1745" s="291">
        <v>60747.31</v>
      </c>
    </row>
    <row r="1746" spans="2:3" x14ac:dyDescent="0.25">
      <c r="B1746" s="53">
        <v>44936</v>
      </c>
      <c r="C1746" s="291">
        <v>60115.48</v>
      </c>
    </row>
    <row r="1747" spans="2:3" x14ac:dyDescent="0.25">
      <c r="B1747" s="53">
        <v>44937</v>
      </c>
      <c r="C1747" s="291">
        <v>60105.5</v>
      </c>
    </row>
    <row r="1748" spans="2:3" x14ac:dyDescent="0.25">
      <c r="B1748" s="53">
        <v>44938</v>
      </c>
      <c r="C1748" s="291">
        <v>59958.03</v>
      </c>
    </row>
    <row r="1749" spans="2:3" x14ac:dyDescent="0.25">
      <c r="B1749" s="53">
        <v>44939</v>
      </c>
      <c r="C1749" s="291">
        <v>60261.18</v>
      </c>
    </row>
    <row r="1750" spans="2:3" x14ac:dyDescent="0.25">
      <c r="B1750" s="53">
        <v>44942</v>
      </c>
      <c r="C1750" s="291">
        <v>60092.97</v>
      </c>
    </row>
    <row r="1751" spans="2:3" x14ac:dyDescent="0.25">
      <c r="B1751" s="53">
        <v>44943</v>
      </c>
      <c r="C1751" s="291">
        <v>60655.72</v>
      </c>
    </row>
    <row r="1752" spans="2:3" x14ac:dyDescent="0.25">
      <c r="B1752" s="53">
        <v>44944</v>
      </c>
      <c r="C1752" s="291">
        <v>61045.74</v>
      </c>
    </row>
    <row r="1753" spans="2:3" x14ac:dyDescent="0.25">
      <c r="B1753" s="53">
        <v>44945</v>
      </c>
      <c r="C1753" s="291">
        <v>60858.43</v>
      </c>
    </row>
    <row r="1754" spans="2:3" x14ac:dyDescent="0.25">
      <c r="B1754" s="53">
        <v>44946</v>
      </c>
      <c r="C1754" s="291">
        <v>60621.77</v>
      </c>
    </row>
    <row r="1755" spans="2:3" x14ac:dyDescent="0.25">
      <c r="B1755" s="53">
        <v>44949</v>
      </c>
      <c r="C1755" s="291">
        <v>60941.67</v>
      </c>
    </row>
    <row r="1756" spans="2:3" x14ac:dyDescent="0.25">
      <c r="B1756" s="53">
        <v>44950</v>
      </c>
      <c r="C1756" s="291">
        <v>60978.75</v>
      </c>
    </row>
    <row r="1757" spans="2:3" x14ac:dyDescent="0.25">
      <c r="B1757" s="53">
        <v>44951</v>
      </c>
      <c r="C1757" s="291">
        <v>60205.06</v>
      </c>
    </row>
    <row r="1758" spans="2:3" x14ac:dyDescent="0.25">
      <c r="B1758" s="53">
        <v>44953</v>
      </c>
      <c r="C1758" s="291">
        <v>59330.9</v>
      </c>
    </row>
    <row r="1759" spans="2:3" x14ac:dyDescent="0.25">
      <c r="B1759" s="53">
        <v>44956</v>
      </c>
      <c r="C1759" s="291">
        <v>59500.41</v>
      </c>
    </row>
    <row r="1760" spans="2:3" x14ac:dyDescent="0.25">
      <c r="B1760" s="53">
        <v>44957</v>
      </c>
      <c r="C1760" s="291">
        <v>59549.9</v>
      </c>
    </row>
    <row r="1761" spans="2:3" x14ac:dyDescent="0.25">
      <c r="B1761" s="53">
        <v>44958</v>
      </c>
      <c r="C1761" s="291">
        <v>59708.08</v>
      </c>
    </row>
    <row r="1762" spans="2:3" x14ac:dyDescent="0.25">
      <c r="B1762" s="53">
        <v>44959</v>
      </c>
      <c r="C1762" s="291">
        <v>59932.24</v>
      </c>
    </row>
    <row r="1763" spans="2:3" x14ac:dyDescent="0.25">
      <c r="B1763" s="53">
        <v>44960</v>
      </c>
      <c r="C1763" s="291">
        <v>60841.88</v>
      </c>
    </row>
    <row r="1764" spans="2:3" x14ac:dyDescent="0.25">
      <c r="B1764" s="53">
        <v>44963</v>
      </c>
      <c r="C1764" s="291">
        <v>60506.9</v>
      </c>
    </row>
    <row r="1765" spans="2:3" x14ac:dyDescent="0.25">
      <c r="B1765" s="53">
        <v>44964</v>
      </c>
      <c r="C1765" s="291">
        <v>60286.04</v>
      </c>
    </row>
    <row r="1766" spans="2:3" x14ac:dyDescent="0.25">
      <c r="B1766" s="53">
        <v>44965</v>
      </c>
      <c r="C1766" s="291">
        <v>60663.79</v>
      </c>
    </row>
    <row r="1767" spans="2:3" x14ac:dyDescent="0.25">
      <c r="B1767" s="53">
        <v>44966</v>
      </c>
      <c r="C1767" s="291">
        <v>60806.22</v>
      </c>
    </row>
    <row r="1768" spans="2:3" x14ac:dyDescent="0.25">
      <c r="B1768" s="53">
        <v>44967</v>
      </c>
      <c r="C1768" s="291">
        <v>60682.7</v>
      </c>
    </row>
    <row r="1769" spans="2:3" x14ac:dyDescent="0.25">
      <c r="B1769" s="53">
        <v>44970</v>
      </c>
      <c r="C1769" s="291">
        <v>60431.839999999997</v>
      </c>
    </row>
    <row r="1770" spans="2:3" x14ac:dyDescent="0.25">
      <c r="B1770" s="53">
        <v>44971</v>
      </c>
      <c r="C1770" s="291">
        <v>61032.26</v>
      </c>
    </row>
    <row r="1771" spans="2:3" x14ac:dyDescent="0.25">
      <c r="B1771" s="53">
        <v>44972</v>
      </c>
      <c r="C1771" s="291">
        <v>61275.09</v>
      </c>
    </row>
    <row r="1772" spans="2:3" x14ac:dyDescent="0.25">
      <c r="B1772" s="53">
        <v>44973</v>
      </c>
      <c r="C1772" s="291">
        <v>61319.51</v>
      </c>
    </row>
    <row r="1773" spans="2:3" x14ac:dyDescent="0.25">
      <c r="B1773" s="53">
        <v>44974</v>
      </c>
      <c r="C1773" s="291">
        <v>61002.57</v>
      </c>
    </row>
    <row r="1774" spans="2:3" x14ac:dyDescent="0.25">
      <c r="B1774" s="53">
        <v>44977</v>
      </c>
      <c r="C1774" s="291">
        <v>60691.54</v>
      </c>
    </row>
    <row r="1775" spans="2:3" x14ac:dyDescent="0.25">
      <c r="B1775" s="53">
        <v>44978</v>
      </c>
      <c r="C1775" s="291">
        <v>60672.72</v>
      </c>
    </row>
    <row r="1776" spans="2:3" x14ac:dyDescent="0.25">
      <c r="B1776" s="53">
        <v>44979</v>
      </c>
      <c r="C1776" s="291">
        <v>59744.98</v>
      </c>
    </row>
    <row r="1777" spans="2:3" x14ac:dyDescent="0.25">
      <c r="B1777" s="53">
        <v>44980</v>
      </c>
      <c r="C1777" s="291">
        <v>59605.8</v>
      </c>
    </row>
    <row r="1778" spans="2:3" x14ac:dyDescent="0.25">
      <c r="B1778" s="53">
        <v>44981</v>
      </c>
      <c r="C1778" s="291">
        <v>59463.93</v>
      </c>
    </row>
    <row r="1779" spans="2:3" x14ac:dyDescent="0.25">
      <c r="B1779" s="53">
        <v>44984</v>
      </c>
      <c r="C1779" s="291">
        <v>59288.35</v>
      </c>
    </row>
    <row r="1780" spans="2:3" x14ac:dyDescent="0.25">
      <c r="B1780" s="53">
        <v>44985</v>
      </c>
      <c r="C1780" s="291">
        <v>58962.12</v>
      </c>
    </row>
    <row r="1781" spans="2:3" x14ac:dyDescent="0.25">
      <c r="B1781" s="53">
        <v>44986</v>
      </c>
      <c r="C1781" s="291">
        <v>59411.08</v>
      </c>
    </row>
    <row r="1782" spans="2:3" x14ac:dyDescent="0.25">
      <c r="B1782" s="53">
        <v>44987</v>
      </c>
      <c r="C1782" s="291">
        <v>58909.35</v>
      </c>
    </row>
    <row r="1783" spans="2:3" x14ac:dyDescent="0.25">
      <c r="B1783" s="53">
        <v>44988</v>
      </c>
      <c r="C1783" s="291">
        <v>59808.97</v>
      </c>
    </row>
    <row r="1784" spans="2:3" x14ac:dyDescent="0.25">
      <c r="B1784" s="53">
        <v>44991</v>
      </c>
      <c r="C1784" s="291">
        <v>60224.46</v>
      </c>
    </row>
    <row r="1785" spans="2:3" x14ac:dyDescent="0.25">
      <c r="B1785" s="53">
        <v>44993</v>
      </c>
      <c r="C1785" s="291">
        <v>60348.09</v>
      </c>
    </row>
    <row r="1786" spans="2:3" x14ac:dyDescent="0.25">
      <c r="B1786" s="53">
        <v>44994</v>
      </c>
      <c r="C1786" s="291">
        <v>59806.28</v>
      </c>
    </row>
    <row r="1787" spans="2:3" x14ac:dyDescent="0.25">
      <c r="B1787" s="53">
        <v>44995</v>
      </c>
      <c r="C1787" s="291">
        <v>59135.13</v>
      </c>
    </row>
    <row r="1788" spans="2:3" x14ac:dyDescent="0.25">
      <c r="B1788" s="53">
        <v>44998</v>
      </c>
      <c r="C1788" s="291">
        <v>58237.85</v>
      </c>
    </row>
    <row r="1789" spans="2:3" x14ac:dyDescent="0.25">
      <c r="B1789" s="53">
        <v>44999</v>
      </c>
      <c r="C1789" s="291">
        <v>57900.19</v>
      </c>
    </row>
    <row r="1790" spans="2:3" x14ac:dyDescent="0.25">
      <c r="B1790" s="53">
        <v>45000</v>
      </c>
      <c r="C1790" s="291">
        <v>57555.9</v>
      </c>
    </row>
    <row r="1791" spans="2:3" x14ac:dyDescent="0.25">
      <c r="B1791" s="53">
        <v>45001</v>
      </c>
      <c r="C1791" s="291">
        <v>57634.84</v>
      </c>
    </row>
    <row r="1792" spans="2:3" x14ac:dyDescent="0.25">
      <c r="B1792" s="53">
        <v>45002</v>
      </c>
      <c r="C1792" s="291">
        <v>57989.9</v>
      </c>
    </row>
    <row r="1793" spans="2:3" x14ac:dyDescent="0.25">
      <c r="B1793" s="53">
        <v>45005</v>
      </c>
      <c r="C1793" s="291">
        <v>57628.95</v>
      </c>
    </row>
    <row r="1794" spans="2:3" x14ac:dyDescent="0.25">
      <c r="B1794" s="53">
        <v>45006</v>
      </c>
      <c r="C1794" s="291">
        <v>58074.68</v>
      </c>
    </row>
    <row r="1795" spans="2:3" x14ac:dyDescent="0.25">
      <c r="B1795" s="53">
        <v>45007</v>
      </c>
      <c r="C1795" s="291">
        <v>58214.59</v>
      </c>
    </row>
    <row r="1796" spans="2:3" x14ac:dyDescent="0.25">
      <c r="B1796" s="53">
        <v>45008</v>
      </c>
      <c r="C1796" s="291">
        <v>57925.279999999999</v>
      </c>
    </row>
    <row r="1797" spans="2:3" x14ac:dyDescent="0.25">
      <c r="B1797" s="53">
        <v>45009</v>
      </c>
      <c r="C1797" s="291">
        <v>57527.1</v>
      </c>
    </row>
    <row r="1798" spans="2:3" x14ac:dyDescent="0.25">
      <c r="B1798" s="53">
        <v>45012</v>
      </c>
      <c r="C1798" s="291">
        <v>57653.86</v>
      </c>
    </row>
    <row r="1799" spans="2:3" x14ac:dyDescent="0.25">
      <c r="B1799" s="53">
        <v>45013</v>
      </c>
      <c r="C1799" s="291">
        <v>57613.72</v>
      </c>
    </row>
    <row r="1800" spans="2:3" x14ac:dyDescent="0.25">
      <c r="B1800" s="53">
        <v>45014</v>
      </c>
      <c r="C1800" s="291">
        <v>57960.09</v>
      </c>
    </row>
    <row r="1801" spans="2:3" x14ac:dyDescent="0.25">
      <c r="B1801" s="53">
        <v>45016</v>
      </c>
      <c r="C1801" s="291">
        <v>58991.519999999997</v>
      </c>
    </row>
    <row r="1802" spans="2:3" x14ac:dyDescent="0.25">
      <c r="B1802" s="53">
        <v>45019</v>
      </c>
      <c r="C1802" s="291">
        <v>59106.44</v>
      </c>
    </row>
    <row r="1803" spans="2:3" x14ac:dyDescent="0.25">
      <c r="B1803" s="53">
        <v>45021</v>
      </c>
      <c r="C1803" s="291">
        <v>59689.31</v>
      </c>
    </row>
    <row r="1804" spans="2:3" x14ac:dyDescent="0.25">
      <c r="B1804" s="53">
        <v>45022</v>
      </c>
      <c r="C1804" s="291">
        <v>59832.97</v>
      </c>
    </row>
    <row r="1805" spans="2:3" x14ac:dyDescent="0.25">
      <c r="B1805" s="53">
        <v>45026</v>
      </c>
      <c r="C1805" s="291">
        <v>59846.51</v>
      </c>
    </row>
    <row r="1806" spans="2:3" x14ac:dyDescent="0.25">
      <c r="B1806" s="53">
        <v>45027</v>
      </c>
      <c r="C1806" s="291">
        <v>60157.72</v>
      </c>
    </row>
    <row r="1807" spans="2:3" x14ac:dyDescent="0.25">
      <c r="B1807" s="53">
        <v>45028</v>
      </c>
      <c r="C1807" s="291">
        <v>60392.77</v>
      </c>
    </row>
    <row r="1808" spans="2:3" x14ac:dyDescent="0.25">
      <c r="B1808" s="53">
        <v>45029</v>
      </c>
      <c r="C1808" s="291">
        <v>60431</v>
      </c>
    </row>
    <row r="1809" spans="2:3" x14ac:dyDescent="0.25">
      <c r="B1809" s="53">
        <v>45033</v>
      </c>
      <c r="C1809" s="291">
        <v>59910.75</v>
      </c>
    </row>
    <row r="1810" spans="2:3" x14ac:dyDescent="0.25">
      <c r="B1810" s="53">
        <v>45034</v>
      </c>
      <c r="C1810" s="291">
        <v>59727.01</v>
      </c>
    </row>
    <row r="1811" spans="2:3" x14ac:dyDescent="0.25">
      <c r="B1811" s="53">
        <v>45035</v>
      </c>
      <c r="C1811" s="291">
        <v>59567.8</v>
      </c>
    </row>
    <row r="1812" spans="2:3" x14ac:dyDescent="0.25">
      <c r="B1812" s="53">
        <v>45036</v>
      </c>
      <c r="C1812" s="291">
        <v>59632.35</v>
      </c>
    </row>
    <row r="1813" spans="2:3" x14ac:dyDescent="0.25">
      <c r="B1813" s="53">
        <v>45037</v>
      </c>
      <c r="C1813" s="291">
        <v>59655.06</v>
      </c>
    </row>
    <row r="1814" spans="2:3" x14ac:dyDescent="0.25">
      <c r="B1814" s="53">
        <v>45040</v>
      </c>
      <c r="C1814" s="291">
        <v>60056.1</v>
      </c>
    </row>
    <row r="1815" spans="2:3" x14ac:dyDescent="0.25">
      <c r="B1815" s="53">
        <v>45041</v>
      </c>
      <c r="C1815" s="291">
        <v>60130.71</v>
      </c>
    </row>
    <row r="1816" spans="2:3" x14ac:dyDescent="0.25">
      <c r="B1816" s="53">
        <v>45042</v>
      </c>
      <c r="C1816" s="291">
        <v>60300.58</v>
      </c>
    </row>
    <row r="1817" spans="2:3" x14ac:dyDescent="0.25">
      <c r="B1817" s="53">
        <v>45043</v>
      </c>
      <c r="C1817" s="291">
        <v>60649.38</v>
      </c>
    </row>
    <row r="1818" spans="2:3" x14ac:dyDescent="0.25">
      <c r="B1818" s="53">
        <v>45044</v>
      </c>
      <c r="C1818" s="291">
        <v>61112.44</v>
      </c>
    </row>
    <row r="1819" spans="2:3" x14ac:dyDescent="0.25">
      <c r="B1819" s="53">
        <v>45048</v>
      </c>
      <c r="C1819" s="291">
        <v>61354.71</v>
      </c>
    </row>
    <row r="1820" spans="2:3" x14ac:dyDescent="0.25">
      <c r="B1820" s="53">
        <v>45049</v>
      </c>
      <c r="C1820" s="291">
        <v>61193.3</v>
      </c>
    </row>
    <row r="1821" spans="2:3" x14ac:dyDescent="0.25">
      <c r="B1821" s="53">
        <v>45050</v>
      </c>
      <c r="C1821" s="291">
        <v>61749.25</v>
      </c>
    </row>
    <row r="1822" spans="2:3" x14ac:dyDescent="0.25">
      <c r="B1822" s="53">
        <v>45051</v>
      </c>
      <c r="C1822" s="291">
        <v>61054.29</v>
      </c>
    </row>
    <row r="1823" spans="2:3" x14ac:dyDescent="0.25">
      <c r="B1823" s="53">
        <v>45054</v>
      </c>
      <c r="C1823" s="291">
        <v>61764.25</v>
      </c>
    </row>
    <row r="1824" spans="2:3" x14ac:dyDescent="0.25">
      <c r="B1824" s="53">
        <v>45055</v>
      </c>
      <c r="C1824" s="291">
        <v>61761.33</v>
      </c>
    </row>
    <row r="1825" spans="2:3" x14ac:dyDescent="0.25">
      <c r="B1825" s="53">
        <v>45056</v>
      </c>
      <c r="C1825" s="291">
        <v>61940.2</v>
      </c>
    </row>
    <row r="1826" spans="2:3" x14ac:dyDescent="0.25">
      <c r="B1826" s="53">
        <v>45057</v>
      </c>
      <c r="C1826" s="291">
        <v>61904.52</v>
      </c>
    </row>
    <row r="1827" spans="2:3" x14ac:dyDescent="0.25">
      <c r="B1827" s="53">
        <v>45058</v>
      </c>
      <c r="C1827" s="291">
        <v>62027.9</v>
      </c>
    </row>
    <row r="1828" spans="2:3" x14ac:dyDescent="0.25">
      <c r="B1828" s="53">
        <v>45061</v>
      </c>
      <c r="C1828" s="291">
        <v>62345.71</v>
      </c>
    </row>
    <row r="1829" spans="2:3" x14ac:dyDescent="0.25">
      <c r="B1829" s="53">
        <v>45062</v>
      </c>
      <c r="C1829" s="291">
        <v>61932.47</v>
      </c>
    </row>
    <row r="1830" spans="2:3" x14ac:dyDescent="0.25">
      <c r="B1830" s="53">
        <v>45063</v>
      </c>
      <c r="C1830" s="291">
        <v>61560.639999999999</v>
      </c>
    </row>
    <row r="1831" spans="2:3" x14ac:dyDescent="0.25">
      <c r="B1831" s="53">
        <v>45064</v>
      </c>
      <c r="C1831" s="291">
        <v>61431.74</v>
      </c>
    </row>
    <row r="1832" spans="2:3" x14ac:dyDescent="0.25">
      <c r="B1832" s="53">
        <v>45065</v>
      </c>
      <c r="C1832" s="291">
        <v>61729.68</v>
      </c>
    </row>
    <row r="1833" spans="2:3" x14ac:dyDescent="0.25">
      <c r="B1833" s="53">
        <v>45068</v>
      </c>
      <c r="C1833" s="291">
        <v>61963.68</v>
      </c>
    </row>
    <row r="1834" spans="2:3" x14ac:dyDescent="0.25">
      <c r="B1834" s="53">
        <v>45069</v>
      </c>
      <c r="C1834" s="291">
        <v>61981.79</v>
      </c>
    </row>
    <row r="1835" spans="2:3" x14ac:dyDescent="0.25">
      <c r="B1835" s="53">
        <v>45070</v>
      </c>
      <c r="C1835" s="291">
        <v>61773.78</v>
      </c>
    </row>
    <row r="1836" spans="2:3" x14ac:dyDescent="0.25">
      <c r="B1836" s="53">
        <v>45071</v>
      </c>
      <c r="C1836" s="291">
        <v>61872.62</v>
      </c>
    </row>
    <row r="1837" spans="2:3" x14ac:dyDescent="0.25">
      <c r="B1837" s="53">
        <v>45072</v>
      </c>
      <c r="C1837" s="291">
        <v>62501.69</v>
      </c>
    </row>
    <row r="1838" spans="2:3" x14ac:dyDescent="0.25">
      <c r="B1838" s="53">
        <v>45075</v>
      </c>
      <c r="C1838" s="291">
        <v>62846.38</v>
      </c>
    </row>
    <row r="1839" spans="2:3" x14ac:dyDescent="0.25">
      <c r="B1839" s="53">
        <v>45076</v>
      </c>
      <c r="C1839" s="291">
        <v>62969.13</v>
      </c>
    </row>
    <row r="1840" spans="2:3" x14ac:dyDescent="0.25">
      <c r="B1840" s="53">
        <v>45077</v>
      </c>
      <c r="C1840" s="291">
        <v>62622.239999999998</v>
      </c>
    </row>
    <row r="1841" spans="2:3" x14ac:dyDescent="0.25">
      <c r="B1841" s="53">
        <v>45078</v>
      </c>
      <c r="C1841" s="291">
        <v>62428.54</v>
      </c>
    </row>
    <row r="1842" spans="2:3" x14ac:dyDescent="0.25">
      <c r="B1842" s="53">
        <v>45079</v>
      </c>
      <c r="C1842" s="291">
        <v>62547.11</v>
      </c>
    </row>
    <row r="1843" spans="2:3" x14ac:dyDescent="0.25">
      <c r="B1843" s="53">
        <v>45082</v>
      </c>
      <c r="C1843" s="291">
        <v>62787.47</v>
      </c>
    </row>
    <row r="1844" spans="2:3" x14ac:dyDescent="0.25">
      <c r="B1844" s="53">
        <v>45083</v>
      </c>
      <c r="C1844" s="291">
        <v>62792.88</v>
      </c>
    </row>
    <row r="1845" spans="2:3" x14ac:dyDescent="0.25">
      <c r="B1845" s="53">
        <v>45084</v>
      </c>
      <c r="C1845" s="291">
        <v>63142.96</v>
      </c>
    </row>
    <row r="1846" spans="2:3" x14ac:dyDescent="0.25">
      <c r="B1846" s="53">
        <v>45085</v>
      </c>
      <c r="C1846" s="291">
        <v>62848.639999999999</v>
      </c>
    </row>
    <row r="1847" spans="2:3" x14ac:dyDescent="0.25">
      <c r="B1847" s="53">
        <v>45086</v>
      </c>
      <c r="C1847" s="291">
        <v>62625.63</v>
      </c>
    </row>
    <row r="1848" spans="2:3" x14ac:dyDescent="0.25">
      <c r="B1848" s="53">
        <v>45089</v>
      </c>
      <c r="C1848" s="291">
        <v>62724.71</v>
      </c>
    </row>
    <row r="1849" spans="2:3" x14ac:dyDescent="0.25">
      <c r="B1849" s="53">
        <v>45090</v>
      </c>
      <c r="C1849" s="291">
        <v>63143.16</v>
      </c>
    </row>
    <row r="1850" spans="2:3" x14ac:dyDescent="0.25">
      <c r="B1850" s="53">
        <v>45091</v>
      </c>
      <c r="C1850" s="291">
        <v>63228.51</v>
      </c>
    </row>
    <row r="1851" spans="2:3" x14ac:dyDescent="0.25">
      <c r="B1851" s="53">
        <v>45092</v>
      </c>
      <c r="C1851" s="291">
        <v>62917.63</v>
      </c>
    </row>
    <row r="1852" spans="2:3" x14ac:dyDescent="0.25">
      <c r="B1852" s="53">
        <v>45093</v>
      </c>
      <c r="C1852" s="291">
        <v>63384.58</v>
      </c>
    </row>
    <row r="1853" spans="2:3" x14ac:dyDescent="0.25">
      <c r="B1853" s="53">
        <v>45096</v>
      </c>
      <c r="C1853" s="291">
        <v>63168.3</v>
      </c>
    </row>
    <row r="1854" spans="2:3" x14ac:dyDescent="0.25">
      <c r="B1854" s="53">
        <v>45097</v>
      </c>
      <c r="C1854" s="291">
        <v>63327.7</v>
      </c>
    </row>
    <row r="1855" spans="2:3" x14ac:dyDescent="0.25">
      <c r="B1855" s="53">
        <v>45098</v>
      </c>
      <c r="C1855" s="291">
        <v>63523.15</v>
      </c>
    </row>
    <row r="1856" spans="2:3" x14ac:dyDescent="0.25">
      <c r="B1856" s="53">
        <v>45099</v>
      </c>
      <c r="C1856" s="291">
        <v>63238.89</v>
      </c>
    </row>
    <row r="1857" spans="2:3" x14ac:dyDescent="0.25">
      <c r="B1857" s="53">
        <v>45100</v>
      </c>
      <c r="C1857" s="291">
        <v>62979.37</v>
      </c>
    </row>
    <row r="1858" spans="2:3" x14ac:dyDescent="0.25">
      <c r="B1858" s="53">
        <v>45103</v>
      </c>
      <c r="C1858" s="291">
        <v>62970</v>
      </c>
    </row>
    <row r="1859" spans="2:3" x14ac:dyDescent="0.25">
      <c r="B1859" s="53">
        <v>45104</v>
      </c>
      <c r="C1859" s="291">
        <v>63416.03</v>
      </c>
    </row>
    <row r="1860" spans="2:3" x14ac:dyDescent="0.25">
      <c r="B1860" s="53">
        <v>45105</v>
      </c>
      <c r="C1860" s="291">
        <v>63915.42</v>
      </c>
    </row>
    <row r="1861" spans="2:3" x14ac:dyDescent="0.25">
      <c r="B1861" s="53">
        <v>45107</v>
      </c>
      <c r="C1861" s="291">
        <v>64718.559999999998</v>
      </c>
    </row>
    <row r="1862" spans="2:3" x14ac:dyDescent="0.25">
      <c r="B1862" s="53">
        <v>45110</v>
      </c>
      <c r="C1862" s="291">
        <v>65205.05</v>
      </c>
    </row>
    <row r="1863" spans="2:3" x14ac:dyDescent="0.25">
      <c r="B1863" s="53">
        <v>45111</v>
      </c>
      <c r="C1863" s="291">
        <v>65479.05</v>
      </c>
    </row>
    <row r="1864" spans="2:3" x14ac:dyDescent="0.25">
      <c r="B1864" s="53">
        <v>45112</v>
      </c>
      <c r="C1864" s="291">
        <v>65446.04</v>
      </c>
    </row>
    <row r="1865" spans="2:3" x14ac:dyDescent="0.25">
      <c r="B1865" s="53">
        <v>45113</v>
      </c>
      <c r="C1865" s="291">
        <v>65785.64</v>
      </c>
    </row>
    <row r="1866" spans="2:3" x14ac:dyDescent="0.25">
      <c r="B1866" s="53">
        <v>45114</v>
      </c>
      <c r="C1866" s="291">
        <v>65280.45</v>
      </c>
    </row>
    <row r="1867" spans="2:3" x14ac:dyDescent="0.25">
      <c r="B1867" s="53">
        <v>45117</v>
      </c>
      <c r="C1867" s="291">
        <v>65344.17</v>
      </c>
    </row>
    <row r="1868" spans="2:3" x14ac:dyDescent="0.25">
      <c r="B1868" s="53">
        <v>45118</v>
      </c>
      <c r="C1868" s="291">
        <v>65617.84</v>
      </c>
    </row>
    <row r="1869" spans="2:3" x14ac:dyDescent="0.25">
      <c r="B1869" s="53">
        <v>45119</v>
      </c>
      <c r="C1869" s="291">
        <v>65393.9</v>
      </c>
    </row>
    <row r="1870" spans="2:3" x14ac:dyDescent="0.25">
      <c r="B1870" s="53">
        <v>45120</v>
      </c>
      <c r="C1870" s="291">
        <v>65558.89</v>
      </c>
    </row>
    <row r="1871" spans="2:3" x14ac:dyDescent="0.25">
      <c r="B1871" s="53">
        <v>45121</v>
      </c>
      <c r="C1871" s="291">
        <v>66060.899999999994</v>
      </c>
    </row>
    <row r="1872" spans="2:3" x14ac:dyDescent="0.25">
      <c r="B1872" s="53">
        <v>45124</v>
      </c>
      <c r="C1872" s="291">
        <v>66589.929999999993</v>
      </c>
    </row>
    <row r="1873" spans="2:3" x14ac:dyDescent="0.25">
      <c r="B1873" s="53">
        <v>45125</v>
      </c>
      <c r="C1873" s="291">
        <v>66795.14</v>
      </c>
    </row>
    <row r="1874" spans="2:3" x14ac:dyDescent="0.25">
      <c r="B1874" s="53">
        <v>45126</v>
      </c>
      <c r="C1874" s="291">
        <v>67097.440000000002</v>
      </c>
    </row>
    <row r="1875" spans="2:3" x14ac:dyDescent="0.25">
      <c r="B1875" s="53">
        <v>45127</v>
      </c>
      <c r="C1875" s="291">
        <v>67571.899999999994</v>
      </c>
    </row>
    <row r="1876" spans="2:3" x14ac:dyDescent="0.25">
      <c r="B1876" s="53">
        <v>45128</v>
      </c>
      <c r="C1876" s="291">
        <v>66684.259999999995</v>
      </c>
    </row>
    <row r="1877" spans="2:3" x14ac:dyDescent="0.25">
      <c r="B1877" s="53">
        <v>45131</v>
      </c>
      <c r="C1877" s="291">
        <v>66384.78</v>
      </c>
    </row>
    <row r="1878" spans="2:3" x14ac:dyDescent="0.25">
      <c r="B1878" s="53">
        <v>45132</v>
      </c>
      <c r="C1878" s="291">
        <v>66355.710000000006</v>
      </c>
    </row>
    <row r="1879" spans="2:3" x14ac:dyDescent="0.25">
      <c r="B1879" s="53">
        <v>45133</v>
      </c>
      <c r="C1879" s="291">
        <v>66707.199999999997</v>
      </c>
    </row>
    <row r="1880" spans="2:3" x14ac:dyDescent="0.25">
      <c r="B1880" s="53">
        <v>45134</v>
      </c>
      <c r="C1880" s="291">
        <v>66266.820000000007</v>
      </c>
    </row>
    <row r="1881" spans="2:3" x14ac:dyDescent="0.25">
      <c r="B1881" s="53">
        <v>45135</v>
      </c>
      <c r="C1881" s="291">
        <v>66160.2</v>
      </c>
    </row>
    <row r="1882" spans="2:3" x14ac:dyDescent="0.25">
      <c r="B1882" s="53">
        <v>45138</v>
      </c>
      <c r="C1882" s="291">
        <v>66527.67</v>
      </c>
    </row>
    <row r="1883" spans="2:3" x14ac:dyDescent="0.25">
      <c r="B1883" s="53">
        <v>45139</v>
      </c>
      <c r="C1883" s="291">
        <v>66459.31</v>
      </c>
    </row>
    <row r="1884" spans="2:3" x14ac:dyDescent="0.25">
      <c r="B1884" s="53">
        <v>45140</v>
      </c>
      <c r="C1884" s="291">
        <v>65782.78</v>
      </c>
    </row>
    <row r="1885" spans="2:3" x14ac:dyDescent="0.25">
      <c r="B1885" s="53">
        <v>45141</v>
      </c>
      <c r="C1885" s="291">
        <v>65240.68</v>
      </c>
    </row>
    <row r="1886" spans="2:3" x14ac:dyDescent="0.25">
      <c r="B1886" s="53">
        <v>45142</v>
      </c>
      <c r="C1886" s="291">
        <v>65721.25</v>
      </c>
    </row>
    <row r="1887" spans="2:3" x14ac:dyDescent="0.25">
      <c r="B1887" s="53">
        <v>45145</v>
      </c>
      <c r="C1887" s="291">
        <v>65953.48</v>
      </c>
    </row>
    <row r="1888" spans="2:3" x14ac:dyDescent="0.25">
      <c r="B1888" s="53">
        <v>45146</v>
      </c>
      <c r="C1888" s="291">
        <v>65846.5</v>
      </c>
    </row>
    <row r="1889" spans="2:3" x14ac:dyDescent="0.25">
      <c r="B1889" s="53">
        <v>45147</v>
      </c>
      <c r="C1889" s="291">
        <v>65995.81</v>
      </c>
    </row>
    <row r="1890" spans="2:3" x14ac:dyDescent="0.25">
      <c r="B1890" s="53">
        <v>45148</v>
      </c>
      <c r="C1890" s="291">
        <v>65688.179999999993</v>
      </c>
    </row>
    <row r="1891" spans="2:3" x14ac:dyDescent="0.25">
      <c r="B1891" s="53">
        <v>45149</v>
      </c>
      <c r="C1891" s="291">
        <v>65322.65</v>
      </c>
    </row>
    <row r="1892" spans="2:3" x14ac:dyDescent="0.25">
      <c r="B1892" s="53">
        <v>45152</v>
      </c>
      <c r="C1892" s="291">
        <v>65401.919999999998</v>
      </c>
    </row>
    <row r="1893" spans="2:3" x14ac:dyDescent="0.25">
      <c r="B1893" s="53">
        <v>45154</v>
      </c>
      <c r="C1893" s="291">
        <v>65539.42</v>
      </c>
    </row>
    <row r="1894" spans="2:3" x14ac:dyDescent="0.25">
      <c r="B1894" s="53">
        <v>45155</v>
      </c>
      <c r="C1894" s="291">
        <v>65151.02</v>
      </c>
    </row>
    <row r="1895" spans="2:3" x14ac:dyDescent="0.25">
      <c r="B1895" s="53">
        <v>45156</v>
      </c>
      <c r="C1895" s="291">
        <v>64948.66</v>
      </c>
    </row>
    <row r="1896" spans="2:3" x14ac:dyDescent="0.25">
      <c r="B1896" s="53">
        <v>45159</v>
      </c>
      <c r="C1896" s="291">
        <v>65216.09</v>
      </c>
    </row>
    <row r="1897" spans="2:3" x14ac:dyDescent="0.25">
      <c r="B1897" s="53">
        <v>45160</v>
      </c>
      <c r="C1897" s="291">
        <v>65220.03</v>
      </c>
    </row>
    <row r="1898" spans="2:3" x14ac:dyDescent="0.25">
      <c r="B1898" s="53">
        <v>45161</v>
      </c>
      <c r="C1898" s="291">
        <v>65433.3</v>
      </c>
    </row>
    <row r="1899" spans="2:3" x14ac:dyDescent="0.25">
      <c r="B1899" s="53">
        <v>45162</v>
      </c>
      <c r="C1899" s="291">
        <v>65252.34</v>
      </c>
    </row>
    <row r="1900" spans="2:3" x14ac:dyDescent="0.25">
      <c r="B1900" s="53">
        <v>45163</v>
      </c>
      <c r="C1900" s="291">
        <v>64886.51</v>
      </c>
    </row>
    <row r="1901" spans="2:3" x14ac:dyDescent="0.25">
      <c r="B1901" s="53">
        <v>45166</v>
      </c>
      <c r="C1901" s="291">
        <v>64996.6</v>
      </c>
    </row>
    <row r="1902" spans="2:3" x14ac:dyDescent="0.25">
      <c r="B1902" s="53">
        <v>45167</v>
      </c>
      <c r="C1902" s="291">
        <v>65075.82</v>
      </c>
    </row>
    <row r="1903" spans="2:3" x14ac:dyDescent="0.25">
      <c r="B1903" s="53">
        <v>45168</v>
      </c>
      <c r="C1903" s="291">
        <v>65087.25</v>
      </c>
    </row>
    <row r="1904" spans="2:3" x14ac:dyDescent="0.25">
      <c r="B1904" s="53">
        <v>45169</v>
      </c>
      <c r="C1904" s="291">
        <v>64831.41</v>
      </c>
    </row>
    <row r="1905" spans="2:3" x14ac:dyDescent="0.25">
      <c r="B1905" s="53">
        <v>45170</v>
      </c>
      <c r="C1905" s="291">
        <v>65387.16</v>
      </c>
    </row>
    <row r="1906" spans="2:3" x14ac:dyDescent="0.25">
      <c r="B1906" s="53">
        <v>45173</v>
      </c>
      <c r="C1906" s="291">
        <v>65628.14</v>
      </c>
    </row>
    <row r="1907" spans="2:3" x14ac:dyDescent="0.25">
      <c r="B1907" s="53">
        <v>45174</v>
      </c>
      <c r="C1907" s="291">
        <v>65780.259999999995</v>
      </c>
    </row>
    <row r="1908" spans="2:3" x14ac:dyDescent="0.25">
      <c r="B1908" s="53">
        <v>45175</v>
      </c>
      <c r="C1908" s="291">
        <v>65880.52</v>
      </c>
    </row>
    <row r="1909" spans="2:3" x14ac:dyDescent="0.25">
      <c r="B1909" s="53">
        <v>45176</v>
      </c>
      <c r="C1909" s="291">
        <v>66265.56</v>
      </c>
    </row>
    <row r="1910" spans="2:3" x14ac:dyDescent="0.25">
      <c r="B1910" s="53">
        <v>45177</v>
      </c>
      <c r="C1910" s="291">
        <v>66598.91</v>
      </c>
    </row>
    <row r="1911" spans="2:3" x14ac:dyDescent="0.25">
      <c r="B1911" s="53">
        <v>45180</v>
      </c>
      <c r="C1911" s="291">
        <v>67127.08</v>
      </c>
    </row>
    <row r="1912" spans="2:3" x14ac:dyDescent="0.25">
      <c r="B1912" s="53">
        <v>45181</v>
      </c>
      <c r="C1912" s="291">
        <v>67221.13</v>
      </c>
    </row>
    <row r="1913" spans="2:3" x14ac:dyDescent="0.25">
      <c r="B1913" s="53">
        <v>45182</v>
      </c>
      <c r="C1913" s="291">
        <v>67466.990000000005</v>
      </c>
    </row>
    <row r="1914" spans="2:3" x14ac:dyDescent="0.25">
      <c r="B1914" s="53">
        <v>45183</v>
      </c>
      <c r="C1914" s="291">
        <v>67519</v>
      </c>
    </row>
    <row r="1915" spans="2:3" x14ac:dyDescent="0.25">
      <c r="B1915" s="53">
        <v>45184</v>
      </c>
      <c r="C1915" s="291">
        <v>67838.63</v>
      </c>
    </row>
    <row r="1916" spans="2:3" x14ac:dyDescent="0.25">
      <c r="B1916" s="53">
        <v>45187</v>
      </c>
      <c r="C1916" s="291">
        <v>67596.84</v>
      </c>
    </row>
    <row r="1917" spans="2:3" x14ac:dyDescent="0.25">
      <c r="B1917" s="53">
        <v>45189</v>
      </c>
      <c r="C1917" s="291">
        <v>66800.84</v>
      </c>
    </row>
    <row r="1918" spans="2:3" x14ac:dyDescent="0.25">
      <c r="B1918" s="53">
        <v>45190</v>
      </c>
      <c r="C1918" s="291">
        <v>66230.240000000005</v>
      </c>
    </row>
    <row r="1919" spans="2:3" x14ac:dyDescent="0.25">
      <c r="B1919" s="53">
        <v>45191</v>
      </c>
      <c r="C1919" s="291">
        <v>66009.149999999994</v>
      </c>
    </row>
    <row r="1920" spans="2:3" x14ac:dyDescent="0.25">
      <c r="B1920" s="53">
        <v>45194</v>
      </c>
      <c r="C1920" s="291">
        <v>66023.69</v>
      </c>
    </row>
    <row r="1921" spans="2:3" x14ac:dyDescent="0.25">
      <c r="B1921" s="53">
        <v>45195</v>
      </c>
      <c r="C1921" s="291">
        <v>65945.47</v>
      </c>
    </row>
    <row r="1922" spans="2:3" x14ac:dyDescent="0.25">
      <c r="B1922" s="53">
        <v>45196</v>
      </c>
      <c r="C1922" s="291">
        <v>66118.69</v>
      </c>
    </row>
    <row r="1923" spans="2:3" x14ac:dyDescent="0.25">
      <c r="B1923" s="53">
        <v>45197</v>
      </c>
      <c r="C1923" s="291">
        <v>65508.32</v>
      </c>
    </row>
    <row r="1924" spans="2:3" x14ac:dyDescent="0.25">
      <c r="B1924" s="53">
        <v>45198</v>
      </c>
      <c r="C1924" s="291">
        <v>65828.41</v>
      </c>
    </row>
    <row r="1925" spans="2:3" x14ac:dyDescent="0.25">
      <c r="B1925" s="53">
        <v>45202</v>
      </c>
      <c r="C1925" s="291">
        <v>65512.1</v>
      </c>
    </row>
    <row r="1926" spans="2:3" x14ac:dyDescent="0.25">
      <c r="B1926" s="53">
        <v>45203</v>
      </c>
      <c r="C1926" s="291">
        <v>65226.04</v>
      </c>
    </row>
    <row r="1927" spans="2:3" x14ac:dyDescent="0.25">
      <c r="B1927" s="53">
        <v>45204</v>
      </c>
      <c r="C1927" s="291">
        <v>65631.570000000007</v>
      </c>
    </row>
    <row r="1928" spans="2:3" x14ac:dyDescent="0.25">
      <c r="B1928" s="53">
        <v>45205</v>
      </c>
      <c r="C1928" s="291">
        <v>65995.63</v>
      </c>
    </row>
    <row r="1929" spans="2:3" x14ac:dyDescent="0.25">
      <c r="B1929" s="53">
        <v>45208</v>
      </c>
      <c r="C1929" s="291">
        <v>65512.39</v>
      </c>
    </row>
    <row r="1930" spans="2:3" x14ac:dyDescent="0.25">
      <c r="B1930" s="53">
        <v>45209</v>
      </c>
      <c r="C1930" s="291">
        <v>66079.360000000001</v>
      </c>
    </row>
    <row r="1931" spans="2:3" x14ac:dyDescent="0.25">
      <c r="B1931" s="53">
        <v>45210</v>
      </c>
      <c r="C1931" s="291">
        <v>66473.05</v>
      </c>
    </row>
    <row r="1932" spans="2:3" x14ac:dyDescent="0.25">
      <c r="B1932" s="53">
        <v>45211</v>
      </c>
      <c r="C1932" s="291">
        <v>66408.39</v>
      </c>
    </row>
    <row r="1933" spans="2:3" x14ac:dyDescent="0.25">
      <c r="B1933" s="53">
        <v>45212</v>
      </c>
      <c r="C1933" s="291">
        <v>66282.740000000005</v>
      </c>
    </row>
    <row r="1934" spans="2:3" x14ac:dyDescent="0.25">
      <c r="B1934" s="53">
        <v>45215</v>
      </c>
      <c r="C1934" s="291">
        <v>66166.929999999993</v>
      </c>
    </row>
    <row r="1935" spans="2:3" x14ac:dyDescent="0.25">
      <c r="B1935" s="53">
        <v>45216</v>
      </c>
      <c r="C1935" s="291">
        <v>66428.09</v>
      </c>
    </row>
    <row r="1936" spans="2:3" x14ac:dyDescent="0.25">
      <c r="B1936" s="53">
        <v>45217</v>
      </c>
      <c r="C1936" s="291">
        <v>65877.02</v>
      </c>
    </row>
    <row r="1937" spans="2:3" x14ac:dyDescent="0.25">
      <c r="B1937" s="53">
        <v>45218</v>
      </c>
      <c r="C1937" s="291">
        <v>65629.240000000005</v>
      </c>
    </row>
    <row r="1938" spans="2:3" x14ac:dyDescent="0.25">
      <c r="B1938" s="53">
        <v>45219</v>
      </c>
      <c r="C1938" s="291">
        <v>65397.62</v>
      </c>
    </row>
    <row r="1939" spans="2:3" x14ac:dyDescent="0.25">
      <c r="B1939" s="53">
        <v>45222</v>
      </c>
      <c r="C1939" s="291">
        <v>64571.88</v>
      </c>
    </row>
    <row r="1940" spans="2:3" x14ac:dyDescent="0.25">
      <c r="B1940" s="53">
        <v>45224</v>
      </c>
      <c r="C1940" s="291">
        <v>64049.06</v>
      </c>
    </row>
    <row r="1941" spans="2:3" x14ac:dyDescent="0.25">
      <c r="B1941" s="53">
        <v>45225</v>
      </c>
      <c r="C1941" s="291">
        <v>63148.15</v>
      </c>
    </row>
    <row r="1942" spans="2:3" x14ac:dyDescent="0.25">
      <c r="B1942" s="53">
        <v>45226</v>
      </c>
      <c r="C1942" s="291">
        <v>63782.8</v>
      </c>
    </row>
    <row r="1943" spans="2:3" x14ac:dyDescent="0.25">
      <c r="B1943" s="53">
        <v>45229</v>
      </c>
      <c r="C1943" s="291">
        <v>64112.65</v>
      </c>
    </row>
    <row r="1944" spans="2:3" x14ac:dyDescent="0.25">
      <c r="B1944" s="53">
        <v>45230</v>
      </c>
      <c r="C1944" s="291">
        <v>63874.93</v>
      </c>
    </row>
    <row r="1945" spans="2:3" x14ac:dyDescent="0.25">
      <c r="B1945" s="53">
        <v>45231</v>
      </c>
      <c r="C1945" s="291">
        <v>63591.33</v>
      </c>
    </row>
    <row r="1946" spans="2:3" x14ac:dyDescent="0.25">
      <c r="B1946" s="53">
        <v>45232</v>
      </c>
      <c r="C1946" s="291">
        <v>64080.9</v>
      </c>
    </row>
    <row r="1947" spans="2:3" x14ac:dyDescent="0.25">
      <c r="B1947" s="53">
        <v>45233</v>
      </c>
      <c r="C1947" s="291">
        <v>64363.78</v>
      </c>
    </row>
    <row r="1948" spans="2:3" x14ac:dyDescent="0.25">
      <c r="B1948" s="53">
        <v>45236</v>
      </c>
      <c r="C1948" s="291">
        <v>64958.69</v>
      </c>
    </row>
    <row r="1949" spans="2:3" x14ac:dyDescent="0.25">
      <c r="B1949" s="53">
        <v>45237</v>
      </c>
      <c r="C1949" s="291">
        <v>64942.400000000001</v>
      </c>
    </row>
    <row r="1950" spans="2:3" x14ac:dyDescent="0.25">
      <c r="B1950" s="53">
        <v>45238</v>
      </c>
      <c r="C1950" s="291">
        <v>64975.61</v>
      </c>
    </row>
    <row r="1951" spans="2:3" x14ac:dyDescent="0.25">
      <c r="B1951" s="53">
        <v>45239</v>
      </c>
      <c r="C1951" s="291">
        <v>64832.2</v>
      </c>
    </row>
    <row r="1952" spans="2:3" x14ac:dyDescent="0.25">
      <c r="B1952" s="53">
        <v>45240</v>
      </c>
      <c r="C1952" s="291">
        <v>64904.68</v>
      </c>
    </row>
    <row r="1953" spans="2:3" x14ac:dyDescent="0.25">
      <c r="B1953" s="53">
        <v>45242</v>
      </c>
      <c r="C1953" s="291">
        <v>65259.45</v>
      </c>
    </row>
    <row r="1954" spans="2:3" x14ac:dyDescent="0.25">
      <c r="B1954" s="53">
        <v>45243</v>
      </c>
      <c r="C1954" s="291">
        <v>64933.87</v>
      </c>
    </row>
    <row r="1955" spans="2:3" x14ac:dyDescent="0.25">
      <c r="B1955" s="53">
        <v>45245</v>
      </c>
      <c r="C1955" s="291">
        <v>65675.929999999993</v>
      </c>
    </row>
    <row r="1956" spans="2:3" x14ac:dyDescent="0.25">
      <c r="B1956" s="53">
        <v>45246</v>
      </c>
      <c r="C1956" s="291">
        <v>65982.48</v>
      </c>
    </row>
    <row r="1957" spans="2:3" x14ac:dyDescent="0.25">
      <c r="B1957" s="53">
        <v>45247</v>
      </c>
      <c r="C1957" s="291">
        <v>65794.73</v>
      </c>
    </row>
    <row r="1958" spans="2:3" x14ac:dyDescent="0.25">
      <c r="B1958" s="53">
        <v>45250</v>
      </c>
      <c r="C1958" s="291">
        <v>65655.149999999994</v>
      </c>
    </row>
    <row r="1959" spans="2:3" x14ac:dyDescent="0.25">
      <c r="B1959" s="53">
        <v>45251</v>
      </c>
      <c r="C1959" s="291">
        <v>65930.77</v>
      </c>
    </row>
    <row r="1960" spans="2:3" x14ac:dyDescent="0.25">
      <c r="B1960" s="53">
        <v>45252</v>
      </c>
      <c r="C1960" s="291">
        <v>66023.240000000005</v>
      </c>
    </row>
    <row r="1961" spans="2:3" x14ac:dyDescent="0.25">
      <c r="B1961" s="53">
        <v>45253</v>
      </c>
      <c r="C1961" s="291">
        <v>66017.81</v>
      </c>
    </row>
    <row r="1962" spans="2:3" x14ac:dyDescent="0.25">
      <c r="B1962" s="53">
        <v>45254</v>
      </c>
      <c r="C1962" s="291">
        <v>65970.039999999994</v>
      </c>
    </row>
    <row r="1963" spans="2:3" x14ac:dyDescent="0.25">
      <c r="B1963" s="53">
        <v>45258</v>
      </c>
      <c r="C1963" s="291">
        <v>66174.2</v>
      </c>
    </row>
    <row r="1964" spans="2:3" x14ac:dyDescent="0.25">
      <c r="B1964" s="53">
        <v>45259</v>
      </c>
      <c r="C1964" s="291">
        <v>66901.91</v>
      </c>
    </row>
    <row r="1965" spans="2:3" x14ac:dyDescent="0.25">
      <c r="B1965" s="53">
        <v>45260</v>
      </c>
      <c r="C1965" s="291">
        <v>66988.44</v>
      </c>
    </row>
    <row r="1966" spans="2:3" x14ac:dyDescent="0.25">
      <c r="B1966" s="53">
        <v>45261</v>
      </c>
      <c r="C1966" s="291">
        <v>67481.19</v>
      </c>
    </row>
    <row r="1967" spans="2:3" x14ac:dyDescent="0.25">
      <c r="B1967" s="53">
        <v>45264</v>
      </c>
      <c r="C1967" s="291">
        <v>68865.119999999995</v>
      </c>
    </row>
    <row r="1968" spans="2:3" x14ac:dyDescent="0.25">
      <c r="B1968" s="53">
        <v>45265</v>
      </c>
      <c r="C1968" s="291">
        <v>69296.14</v>
      </c>
    </row>
    <row r="1969" spans="2:3" x14ac:dyDescent="0.25">
      <c r="B1969" s="53">
        <v>45266</v>
      </c>
      <c r="C1969" s="291">
        <v>69653.73</v>
      </c>
    </row>
    <row r="1970" spans="2:3" x14ac:dyDescent="0.25">
      <c r="B1970" s="53">
        <v>45267</v>
      </c>
      <c r="C1970" s="291">
        <v>69521.69</v>
      </c>
    </row>
    <row r="1971" spans="2:3" x14ac:dyDescent="0.25">
      <c r="B1971" s="53">
        <v>45268</v>
      </c>
      <c r="C1971" s="291">
        <v>69825.600000000006</v>
      </c>
    </row>
    <row r="1972" spans="2:3" x14ac:dyDescent="0.25">
      <c r="B1972" s="53">
        <v>45271</v>
      </c>
      <c r="C1972" s="291">
        <v>69928.53</v>
      </c>
    </row>
    <row r="1973" spans="2:3" x14ac:dyDescent="0.25">
      <c r="B1973" s="53">
        <v>45272</v>
      </c>
      <c r="C1973" s="291">
        <v>69551.03</v>
      </c>
    </row>
    <row r="1974" spans="2:3" x14ac:dyDescent="0.25">
      <c r="B1974" s="53">
        <v>45273</v>
      </c>
      <c r="C1974" s="291">
        <v>69584.600000000006</v>
      </c>
    </row>
    <row r="1975" spans="2:3" x14ac:dyDescent="0.25">
      <c r="B1975" s="53">
        <v>45274</v>
      </c>
      <c r="C1975" s="291">
        <v>70514.2</v>
      </c>
    </row>
    <row r="1976" spans="2:3" x14ac:dyDescent="0.25">
      <c r="B1976" s="53">
        <v>45275</v>
      </c>
      <c r="C1976" s="291">
        <v>71483.75</v>
      </c>
    </row>
    <row r="1977" spans="2:3" x14ac:dyDescent="0.25">
      <c r="B1977" s="53">
        <v>45278</v>
      </c>
      <c r="C1977" s="291">
        <v>71315.09</v>
      </c>
    </row>
    <row r="1978" spans="2:3" x14ac:dyDescent="0.25">
      <c r="B1978" s="53">
        <v>45279</v>
      </c>
      <c r="C1978" s="291">
        <v>71437.19</v>
      </c>
    </row>
    <row r="1979" spans="2:3" x14ac:dyDescent="0.25">
      <c r="B1979" s="53">
        <v>45280</v>
      </c>
      <c r="C1979" s="291">
        <v>70506.31</v>
      </c>
    </row>
    <row r="1980" spans="2:3" x14ac:dyDescent="0.25">
      <c r="B1980" s="53">
        <v>45281</v>
      </c>
      <c r="C1980" s="291">
        <v>70865.100000000006</v>
      </c>
    </row>
    <row r="1981" spans="2:3" x14ac:dyDescent="0.25">
      <c r="B1981" s="53">
        <v>45282</v>
      </c>
      <c r="C1981" s="291">
        <v>71106.960000000006</v>
      </c>
    </row>
    <row r="1982" spans="2:3" x14ac:dyDescent="0.25">
      <c r="B1982" s="53">
        <v>45286</v>
      </c>
      <c r="C1982" s="291">
        <v>71336.800000000003</v>
      </c>
    </row>
    <row r="1983" spans="2:3" x14ac:dyDescent="0.25">
      <c r="B1983" s="53">
        <v>45287</v>
      </c>
      <c r="C1983" s="291">
        <v>72038.429999999993</v>
      </c>
    </row>
    <row r="1984" spans="2:3" x14ac:dyDescent="0.25">
      <c r="B1984" s="53">
        <v>45288</v>
      </c>
      <c r="C1984" s="291">
        <v>72410.38</v>
      </c>
    </row>
    <row r="1985" spans="2:3" x14ac:dyDescent="0.25">
      <c r="B1985" s="53">
        <v>45289</v>
      </c>
      <c r="C1985" s="291">
        <v>72240.259999999995</v>
      </c>
    </row>
    <row r="1986" spans="2:3" x14ac:dyDescent="0.25">
      <c r="B1986" s="53">
        <v>45292</v>
      </c>
      <c r="C1986" s="291">
        <v>72271.94</v>
      </c>
    </row>
    <row r="1987" spans="2:3" x14ac:dyDescent="0.25">
      <c r="B1987" s="53">
        <v>45293</v>
      </c>
      <c r="C1987" s="291">
        <v>71892.479999999996</v>
      </c>
    </row>
    <row r="1988" spans="2:3" x14ac:dyDescent="0.25">
      <c r="B1988" s="53">
        <v>45294</v>
      </c>
      <c r="C1988" s="291">
        <v>71356.600000000006</v>
      </c>
    </row>
    <row r="1989" spans="2:3" x14ac:dyDescent="0.25">
      <c r="B1989" s="53">
        <v>45295</v>
      </c>
      <c r="C1989" s="291">
        <v>71847.570000000007</v>
      </c>
    </row>
    <row r="1990" spans="2:3" x14ac:dyDescent="0.25">
      <c r="B1990" s="53">
        <v>45296</v>
      </c>
      <c r="C1990" s="291">
        <v>72026.149999999994</v>
      </c>
    </row>
    <row r="1991" spans="2:3" x14ac:dyDescent="0.25">
      <c r="B1991" s="53">
        <v>45299</v>
      </c>
      <c r="C1991" s="291">
        <v>71355.22</v>
      </c>
    </row>
    <row r="1992" spans="2:3" x14ac:dyDescent="0.25">
      <c r="B1992" s="53">
        <v>45300</v>
      </c>
      <c r="C1992" s="291">
        <v>71386.210000000006</v>
      </c>
    </row>
    <row r="1993" spans="2:3" x14ac:dyDescent="0.25">
      <c r="B1993" s="53">
        <v>45301</v>
      </c>
      <c r="C1993" s="291">
        <v>71657.710000000006</v>
      </c>
    </row>
    <row r="1994" spans="2:3" x14ac:dyDescent="0.25">
      <c r="B1994" s="53">
        <v>45302</v>
      </c>
      <c r="C1994" s="291">
        <v>71721.179999999993</v>
      </c>
    </row>
    <row r="1995" spans="2:3" x14ac:dyDescent="0.25">
      <c r="B1995" s="53">
        <v>45303</v>
      </c>
      <c r="C1995" s="291">
        <v>72568.45</v>
      </c>
    </row>
    <row r="1996" spans="2:3" x14ac:dyDescent="0.25">
      <c r="B1996" s="53">
        <v>45306</v>
      </c>
      <c r="C1996" s="291">
        <v>73327.94</v>
      </c>
    </row>
    <row r="1997" spans="2:3" x14ac:dyDescent="0.25">
      <c r="B1997" s="53">
        <v>45307</v>
      </c>
      <c r="C1997" s="291">
        <v>73128.77</v>
      </c>
    </row>
    <row r="1998" spans="2:3" x14ac:dyDescent="0.25">
      <c r="B1998" s="53">
        <v>45308</v>
      </c>
      <c r="C1998" s="291">
        <v>71500.759999999995</v>
      </c>
    </row>
    <row r="1999" spans="2:3" x14ac:dyDescent="0.25">
      <c r="B1999" s="53">
        <v>45309</v>
      </c>
      <c r="C1999" s="291">
        <v>71186.86</v>
      </c>
    </row>
    <row r="2000" spans="2:3" x14ac:dyDescent="0.25">
      <c r="B2000" s="53">
        <v>45310</v>
      </c>
      <c r="C2000" s="291">
        <v>71683.23</v>
      </c>
    </row>
    <row r="2001" spans="2:3" x14ac:dyDescent="0.25">
      <c r="B2001" s="53">
        <v>45311</v>
      </c>
      <c r="C2001" s="291">
        <v>71423.649999999994</v>
      </c>
    </row>
    <row r="2002" spans="2:3" x14ac:dyDescent="0.25">
      <c r="B2002" s="53">
        <v>45314</v>
      </c>
      <c r="C2002" s="291">
        <v>70370.55</v>
      </c>
    </row>
    <row r="2003" spans="2:3" x14ac:dyDescent="0.25">
      <c r="B2003" s="53">
        <v>45315</v>
      </c>
      <c r="C2003" s="291">
        <v>71060.31</v>
      </c>
    </row>
    <row r="2004" spans="2:3" x14ac:dyDescent="0.25">
      <c r="B2004" s="53">
        <v>45316</v>
      </c>
      <c r="C2004" s="291">
        <v>70700.67</v>
      </c>
    </row>
    <row r="2005" spans="2:3" x14ac:dyDescent="0.25">
      <c r="B2005" s="53">
        <v>45320</v>
      </c>
      <c r="C2005" s="291">
        <v>71941.570000000007</v>
      </c>
    </row>
    <row r="2006" spans="2:3" x14ac:dyDescent="0.25">
      <c r="B2006" s="53">
        <v>45321</v>
      </c>
      <c r="C2006" s="291">
        <v>71139.899999999994</v>
      </c>
    </row>
    <row r="2007" spans="2:3" x14ac:dyDescent="0.25">
      <c r="B2007" s="53">
        <v>45322</v>
      </c>
      <c r="C2007" s="291">
        <v>71752.11</v>
      </c>
    </row>
    <row r="2008" spans="2:3" x14ac:dyDescent="0.25">
      <c r="B2008" s="53">
        <v>45323</v>
      </c>
      <c r="C2008" s="291">
        <v>71645.3</v>
      </c>
    </row>
    <row r="2009" spans="2:3" x14ac:dyDescent="0.25">
      <c r="B2009" s="53">
        <v>45324</v>
      </c>
      <c r="C2009" s="291">
        <v>72085.63</v>
      </c>
    </row>
    <row r="2010" spans="2:3" x14ac:dyDescent="0.25">
      <c r="B2010" s="53">
        <v>45327</v>
      </c>
      <c r="C2010" s="291">
        <v>71731.42</v>
      </c>
    </row>
    <row r="2011" spans="2:3" x14ac:dyDescent="0.25">
      <c r="B2011" s="53">
        <v>45328</v>
      </c>
      <c r="C2011" s="291">
        <v>72186.09</v>
      </c>
    </row>
    <row r="2012" spans="2:3" x14ac:dyDescent="0.25">
      <c r="B2012" s="53">
        <v>45329</v>
      </c>
      <c r="C2012" s="291">
        <v>72152</v>
      </c>
    </row>
    <row r="2013" spans="2:3" x14ac:dyDescent="0.25">
      <c r="B2013" s="53">
        <v>45330</v>
      </c>
      <c r="C2013" s="291">
        <v>71428.429999999993</v>
      </c>
    </row>
    <row r="2014" spans="2:3" x14ac:dyDescent="0.25">
      <c r="B2014" s="53">
        <v>45331</v>
      </c>
      <c r="C2014" s="291">
        <v>71595.490000000005</v>
      </c>
    </row>
    <row r="2015" spans="2:3" x14ac:dyDescent="0.25">
      <c r="B2015" s="53">
        <v>45334</v>
      </c>
      <c r="C2015" s="291">
        <v>71072.490000000005</v>
      </c>
    </row>
    <row r="2016" spans="2:3" x14ac:dyDescent="0.25">
      <c r="B2016" s="53">
        <v>45335</v>
      </c>
      <c r="C2016" s="291">
        <v>71555.19</v>
      </c>
    </row>
    <row r="2017" spans="2:3" x14ac:dyDescent="0.25">
      <c r="B2017" s="53">
        <v>45336</v>
      </c>
      <c r="C2017" s="291">
        <v>71822.83</v>
      </c>
    </row>
    <row r="2018" spans="2:3" x14ac:dyDescent="0.25">
      <c r="B2018" s="53">
        <v>45337</v>
      </c>
      <c r="C2018" s="291">
        <v>72050.38</v>
      </c>
    </row>
    <row r="2019" spans="2:3" x14ac:dyDescent="0.25">
      <c r="B2019" s="53">
        <v>45338</v>
      </c>
      <c r="C2019" s="291">
        <v>72426.64</v>
      </c>
    </row>
    <row r="2020" spans="2:3" x14ac:dyDescent="0.25">
      <c r="B2020" s="53">
        <v>45341</v>
      </c>
      <c r="C2020" s="291">
        <v>72708.160000000003</v>
      </c>
    </row>
    <row r="2021" spans="2:3" x14ac:dyDescent="0.25">
      <c r="B2021" s="53">
        <v>45342</v>
      </c>
      <c r="C2021" s="291">
        <v>73057.399999999994</v>
      </c>
    </row>
    <row r="2022" spans="2:3" x14ac:dyDescent="0.25">
      <c r="B2022" s="53">
        <v>45343</v>
      </c>
      <c r="C2022" s="291">
        <v>72623.09</v>
      </c>
    </row>
    <row r="2023" spans="2:3" x14ac:dyDescent="0.25">
      <c r="B2023" s="53">
        <v>45344</v>
      </c>
      <c r="C2023" s="291">
        <v>73158.240000000005</v>
      </c>
    </row>
    <row r="2024" spans="2:3" x14ac:dyDescent="0.25">
      <c r="B2024" s="53">
        <v>45345</v>
      </c>
      <c r="C2024" s="291">
        <v>73142.8</v>
      </c>
    </row>
    <row r="2025" spans="2:3" x14ac:dyDescent="0.25">
      <c r="B2025" s="53">
        <v>45348</v>
      </c>
      <c r="C2025" s="291">
        <v>72790.13</v>
      </c>
    </row>
    <row r="2026" spans="2:3" x14ac:dyDescent="0.25">
      <c r="B2026" s="53">
        <v>45349</v>
      </c>
      <c r="C2026" s="291">
        <v>73095.22</v>
      </c>
    </row>
    <row r="2027" spans="2:3" x14ac:dyDescent="0.25">
      <c r="B2027" s="53">
        <v>45350</v>
      </c>
      <c r="C2027" s="291">
        <v>72304.88</v>
      </c>
    </row>
    <row r="2028" spans="2:3" x14ac:dyDescent="0.25">
      <c r="B2028" s="53">
        <v>45351</v>
      </c>
      <c r="C2028" s="291">
        <v>72500.3</v>
      </c>
    </row>
    <row r="2029" spans="2:3" x14ac:dyDescent="0.25">
      <c r="B2029" s="53">
        <v>45352</v>
      </c>
      <c r="C2029" s="291">
        <v>73745.350000000006</v>
      </c>
    </row>
    <row r="2030" spans="2:3" x14ac:dyDescent="0.25">
      <c r="B2030" s="53">
        <v>45353</v>
      </c>
      <c r="C2030" s="291">
        <v>73806.149999999994</v>
      </c>
    </row>
    <row r="2031" spans="2:3" x14ac:dyDescent="0.25">
      <c r="B2031" s="53">
        <v>45355</v>
      </c>
      <c r="C2031" s="291">
        <v>73872.289999999994</v>
      </c>
    </row>
    <row r="2032" spans="2:3" x14ac:dyDescent="0.25">
      <c r="B2032" s="53">
        <v>45356</v>
      </c>
      <c r="C2032" s="291">
        <v>73677.13</v>
      </c>
    </row>
    <row r="2033" spans="2:3" x14ac:dyDescent="0.25">
      <c r="B2033" s="53">
        <v>45357</v>
      </c>
      <c r="C2033" s="291">
        <v>74085.990000000005</v>
      </c>
    </row>
    <row r="2034" spans="2:3" x14ac:dyDescent="0.25">
      <c r="B2034" s="53">
        <v>45358</v>
      </c>
      <c r="C2034" s="291">
        <v>74119.39</v>
      </c>
    </row>
    <row r="2035" spans="2:3" x14ac:dyDescent="0.25">
      <c r="B2035" s="53">
        <v>45362</v>
      </c>
      <c r="C2035" s="291">
        <v>73502.64</v>
      </c>
    </row>
    <row r="2036" spans="2:3" x14ac:dyDescent="0.25">
      <c r="B2036" s="53">
        <v>45363</v>
      </c>
      <c r="C2036" s="291">
        <v>73667.960000000006</v>
      </c>
    </row>
    <row r="2037" spans="2:3" x14ac:dyDescent="0.25">
      <c r="B2037" s="53">
        <v>45364</v>
      </c>
      <c r="C2037" s="291">
        <v>72761.89</v>
      </c>
    </row>
    <row r="2038" spans="2:3" x14ac:dyDescent="0.25">
      <c r="B2038" s="53">
        <v>45365</v>
      </c>
      <c r="C2038" s="291">
        <v>73097.279999999999</v>
      </c>
    </row>
    <row r="2039" spans="2:3" x14ac:dyDescent="0.25">
      <c r="B2039" s="53">
        <v>45366</v>
      </c>
      <c r="C2039" s="291">
        <v>72643.429999999993</v>
      </c>
    </row>
    <row r="2040" spans="2:3" x14ac:dyDescent="0.25">
      <c r="B2040" s="53">
        <v>45369</v>
      </c>
      <c r="C2040" s="291">
        <v>72748.42</v>
      </c>
    </row>
    <row r="2041" spans="2:3" x14ac:dyDescent="0.25">
      <c r="B2041" s="53">
        <v>45370</v>
      </c>
      <c r="C2041" s="291">
        <v>72012.05</v>
      </c>
    </row>
    <row r="2042" spans="2:3" x14ac:dyDescent="0.25">
      <c r="B2042" s="53">
        <v>45371</v>
      </c>
      <c r="C2042" s="291">
        <v>72101.69</v>
      </c>
    </row>
    <row r="2043" spans="2:3" x14ac:dyDescent="0.25">
      <c r="B2043" s="53">
        <v>45372</v>
      </c>
      <c r="C2043" s="291">
        <v>72641.19</v>
      </c>
    </row>
    <row r="2044" spans="2:3" x14ac:dyDescent="0.25">
      <c r="B2044" s="53">
        <v>45373</v>
      </c>
      <c r="C2044" s="291">
        <v>72831.94</v>
      </c>
    </row>
    <row r="2045" spans="2:3" x14ac:dyDescent="0.25">
      <c r="B2045" s="53">
        <v>45377</v>
      </c>
      <c r="C2045" s="291">
        <v>72470.3</v>
      </c>
    </row>
    <row r="2046" spans="2:3" x14ac:dyDescent="0.25">
      <c r="B2046" s="53">
        <v>45378</v>
      </c>
      <c r="C2046" s="291">
        <v>72996.31</v>
      </c>
    </row>
    <row r="2047" spans="2:3" x14ac:dyDescent="0.25">
      <c r="B2047" s="53">
        <v>45379</v>
      </c>
      <c r="C2047" s="291">
        <v>73651.350000000006</v>
      </c>
    </row>
    <row r="2048" spans="2:3" x14ac:dyDescent="0.25">
      <c r="B2048" s="53">
        <v>45383</v>
      </c>
      <c r="C2048" s="291">
        <v>74014.55</v>
      </c>
    </row>
    <row r="2049" spans="2:3" x14ac:dyDescent="0.25">
      <c r="B2049" s="53">
        <v>45384</v>
      </c>
      <c r="C2049" s="291">
        <v>73903.91</v>
      </c>
    </row>
    <row r="2050" spans="2:3" x14ac:dyDescent="0.25">
      <c r="B2050" s="53">
        <v>45385</v>
      </c>
      <c r="C2050" s="291">
        <v>73876.820000000007</v>
      </c>
    </row>
    <row r="2051" spans="2:3" x14ac:dyDescent="0.25">
      <c r="B2051" s="53">
        <v>45386</v>
      </c>
      <c r="C2051" s="291">
        <v>74227.63</v>
      </c>
    </row>
    <row r="2052" spans="2:3" x14ac:dyDescent="0.25">
      <c r="B2052" s="53">
        <v>45387</v>
      </c>
      <c r="C2052" s="291">
        <v>74248.22</v>
      </c>
    </row>
    <row r="2053" spans="2:3" x14ac:dyDescent="0.25">
      <c r="B2053" s="53">
        <v>45390</v>
      </c>
      <c r="C2053" s="291">
        <v>74742.5</v>
      </c>
    </row>
    <row r="2054" spans="2:3" x14ac:dyDescent="0.25">
      <c r="B2054" s="53">
        <v>45391</v>
      </c>
      <c r="C2054" s="291">
        <v>74683.7</v>
      </c>
    </row>
    <row r="2055" spans="2:3" x14ac:dyDescent="0.25">
      <c r="B2055" s="53">
        <v>45392</v>
      </c>
      <c r="C2055" s="291">
        <v>75038.149999999994</v>
      </c>
    </row>
    <row r="2056" spans="2:3" x14ac:dyDescent="0.25">
      <c r="B2056" s="53">
        <v>45394</v>
      </c>
      <c r="C2056" s="291">
        <v>74244.899999999994</v>
      </c>
    </row>
    <row r="2057" spans="2:3" x14ac:dyDescent="0.25">
      <c r="B2057" s="53">
        <v>45397</v>
      </c>
      <c r="C2057" s="291">
        <v>73399.78</v>
      </c>
    </row>
    <row r="2058" spans="2:3" x14ac:dyDescent="0.25">
      <c r="B2058" s="53">
        <v>45398</v>
      </c>
      <c r="C2058" s="291">
        <v>72943.679999999993</v>
      </c>
    </row>
    <row r="2059" spans="2:3" x14ac:dyDescent="0.25">
      <c r="B2059" s="53">
        <v>45400</v>
      </c>
      <c r="C2059" s="291">
        <v>72488.990000000005</v>
      </c>
    </row>
    <row r="2060" spans="2:3" x14ac:dyDescent="0.25">
      <c r="B2060" s="53">
        <v>45401</v>
      </c>
      <c r="C2060" s="291">
        <v>73088.33</v>
      </c>
    </row>
    <row r="2061" spans="2:3" x14ac:dyDescent="0.25">
      <c r="B2061" s="53">
        <v>45404</v>
      </c>
      <c r="C2061" s="291">
        <v>73648.62</v>
      </c>
    </row>
    <row r="2062" spans="2:3" x14ac:dyDescent="0.25">
      <c r="B2062" s="53">
        <v>45405</v>
      </c>
      <c r="C2062" s="291">
        <v>73738.45</v>
      </c>
    </row>
    <row r="2063" spans="2:3" x14ac:dyDescent="0.25">
      <c r="B2063" s="53">
        <v>45406</v>
      </c>
      <c r="C2063" s="291">
        <v>73852.94</v>
      </c>
    </row>
    <row r="2064" spans="2:3" x14ac:dyDescent="0.25">
      <c r="B2064" s="53">
        <v>45407</v>
      </c>
      <c r="C2064" s="291">
        <v>74339.44</v>
      </c>
    </row>
    <row r="2065" spans="2:3" x14ac:dyDescent="0.25">
      <c r="B2065" s="53">
        <v>45408</v>
      </c>
      <c r="C2065" s="291">
        <v>73730.16</v>
      </c>
    </row>
    <row r="2066" spans="2:3" x14ac:dyDescent="0.25">
      <c r="B2066" s="53">
        <v>45411</v>
      </c>
      <c r="C2066" s="291">
        <v>74671.28</v>
      </c>
    </row>
    <row r="2067" spans="2:3" x14ac:dyDescent="0.25">
      <c r="B2067" s="53">
        <v>45412</v>
      </c>
      <c r="C2067" s="291">
        <v>74482.78</v>
      </c>
    </row>
    <row r="2068" spans="2:3" x14ac:dyDescent="0.25">
      <c r="B2068" s="53">
        <v>45414</v>
      </c>
      <c r="C2068" s="291">
        <v>74611.11</v>
      </c>
    </row>
    <row r="2069" spans="2:3" x14ac:dyDescent="0.25">
      <c r="B2069" s="53">
        <v>45415</v>
      </c>
      <c r="C2069" s="291">
        <v>73878.149999999994</v>
      </c>
    </row>
    <row r="2070" spans="2:3" x14ac:dyDescent="0.25">
      <c r="B2070" s="53">
        <v>45418</v>
      </c>
      <c r="C2070" s="291">
        <v>73895.539999999994</v>
      </c>
    </row>
    <row r="2071" spans="2:3" x14ac:dyDescent="0.25">
      <c r="B2071" s="53">
        <v>45419</v>
      </c>
      <c r="C2071" s="291">
        <v>73511.850000000006</v>
      </c>
    </row>
    <row r="2072" spans="2:3" x14ac:dyDescent="0.25">
      <c r="B2072" s="53">
        <v>45420</v>
      </c>
      <c r="C2072" s="291">
        <v>73466.39</v>
      </c>
    </row>
    <row r="2073" spans="2:3" x14ac:dyDescent="0.25">
      <c r="B2073" s="53">
        <v>45421</v>
      </c>
      <c r="C2073" s="291">
        <v>72404.17</v>
      </c>
    </row>
    <row r="2074" spans="2:3" x14ac:dyDescent="0.25">
      <c r="B2074" s="53">
        <v>45422</v>
      </c>
      <c r="C2074" s="291">
        <v>72664.47</v>
      </c>
    </row>
    <row r="2075" spans="2:3" x14ac:dyDescent="0.25">
      <c r="B2075" s="53">
        <v>45425</v>
      </c>
      <c r="C2075" s="291">
        <v>72776.13</v>
      </c>
    </row>
    <row r="2076" spans="2:3" x14ac:dyDescent="0.25">
      <c r="B2076" s="53">
        <v>45426</v>
      </c>
      <c r="C2076" s="291">
        <v>73104.61</v>
      </c>
    </row>
    <row r="2077" spans="2:3" x14ac:dyDescent="0.25">
      <c r="B2077" s="53">
        <v>45427</v>
      </c>
      <c r="C2077" s="291">
        <v>72987.03</v>
      </c>
    </row>
    <row r="2078" spans="2:3" x14ac:dyDescent="0.25">
      <c r="B2078" s="53">
        <v>45428</v>
      </c>
      <c r="C2078" s="291">
        <v>73663.72</v>
      </c>
    </row>
    <row r="2079" spans="2:3" x14ac:dyDescent="0.25">
      <c r="B2079" s="53">
        <v>45429</v>
      </c>
      <c r="C2079" s="291">
        <v>73917.03</v>
      </c>
    </row>
    <row r="2080" spans="2:3" x14ac:dyDescent="0.25">
      <c r="B2080" s="53">
        <v>45430</v>
      </c>
      <c r="C2080" s="291">
        <v>74005.94</v>
      </c>
    </row>
    <row r="2081" spans="2:3" x14ac:dyDescent="0.25">
      <c r="B2081" s="53">
        <v>45433</v>
      </c>
      <c r="C2081" s="291">
        <v>73953.31</v>
      </c>
    </row>
    <row r="2082" spans="2:3" x14ac:dyDescent="0.25">
      <c r="B2082" s="53">
        <v>45434</v>
      </c>
      <c r="C2082" s="291">
        <v>74221.06</v>
      </c>
    </row>
    <row r="2083" spans="2:3" x14ac:dyDescent="0.25">
      <c r="B2083" s="53">
        <v>45435</v>
      </c>
      <c r="C2083" s="291">
        <v>75418.039999999994</v>
      </c>
    </row>
    <row r="2084" spans="2:3" x14ac:dyDescent="0.25">
      <c r="B2084" s="53">
        <v>45436</v>
      </c>
      <c r="C2084" s="291">
        <v>75410.39</v>
      </c>
    </row>
    <row r="2085" spans="2:3" x14ac:dyDescent="0.25">
      <c r="B2085" s="53">
        <v>45439</v>
      </c>
      <c r="C2085" s="291">
        <v>75390.5</v>
      </c>
    </row>
    <row r="2086" spans="2:3" x14ac:dyDescent="0.25">
      <c r="B2086" s="53">
        <v>45440</v>
      </c>
      <c r="C2086" s="291">
        <v>75170.45</v>
      </c>
    </row>
    <row r="2087" spans="2:3" x14ac:dyDescent="0.25">
      <c r="B2087" s="53">
        <v>45441</v>
      </c>
      <c r="C2087" s="291">
        <v>74502.899999999994</v>
      </c>
    </row>
    <row r="2088" spans="2:3" x14ac:dyDescent="0.25">
      <c r="B2088" s="53">
        <v>45442</v>
      </c>
      <c r="C2088" s="291">
        <v>73885.600000000006</v>
      </c>
    </row>
    <row r="2089" spans="2:3" x14ac:dyDescent="0.25">
      <c r="B2089" s="53">
        <v>45443</v>
      </c>
      <c r="C2089" s="291">
        <v>73961.31</v>
      </c>
    </row>
    <row r="2090" spans="2:3" x14ac:dyDescent="0.25">
      <c r="B2090" s="53">
        <v>45446</v>
      </c>
      <c r="C2090" s="291">
        <v>76468.78</v>
      </c>
    </row>
    <row r="2091" spans="2:3" x14ac:dyDescent="0.25">
      <c r="B2091" s="53">
        <v>45447</v>
      </c>
      <c r="C2091" s="291">
        <v>72079.05</v>
      </c>
    </row>
    <row r="2092" spans="2:3" x14ac:dyDescent="0.25">
      <c r="B2092" s="53">
        <v>45448</v>
      </c>
      <c r="C2092" s="291">
        <v>74382.240000000005</v>
      </c>
    </row>
    <row r="2093" spans="2:3" x14ac:dyDescent="0.25">
      <c r="B2093" s="53">
        <v>45449</v>
      </c>
      <c r="C2093" s="291">
        <v>75074.509999999995</v>
      </c>
    </row>
    <row r="2094" spans="2:3" x14ac:dyDescent="0.25">
      <c r="B2094" s="53">
        <v>45450</v>
      </c>
      <c r="C2094" s="291">
        <v>76693.36</v>
      </c>
    </row>
    <row r="2095" spans="2:3" x14ac:dyDescent="0.25">
      <c r="B2095" s="53">
        <v>45453</v>
      </c>
      <c r="C2095" s="291">
        <v>76490.080000000002</v>
      </c>
    </row>
    <row r="2096" spans="2:3" x14ac:dyDescent="0.25">
      <c r="B2096" s="53">
        <v>45454</v>
      </c>
      <c r="C2096" s="291">
        <v>76456.59</v>
      </c>
    </row>
    <row r="2097" spans="2:3" x14ac:dyDescent="0.25">
      <c r="B2097" s="53">
        <v>45455</v>
      </c>
      <c r="C2097" s="291">
        <v>76606.570000000007</v>
      </c>
    </row>
    <row r="2098" spans="2:3" x14ac:dyDescent="0.25">
      <c r="B2098" s="53">
        <v>45456</v>
      </c>
      <c r="C2098" s="291">
        <v>76810.899999999994</v>
      </c>
    </row>
    <row r="2099" spans="2:3" x14ac:dyDescent="0.25">
      <c r="B2099" s="53">
        <v>45457</v>
      </c>
      <c r="C2099" s="291">
        <v>76992.77</v>
      </c>
    </row>
    <row r="2100" spans="2:3" x14ac:dyDescent="0.25">
      <c r="B2100" s="53">
        <v>45461</v>
      </c>
      <c r="C2100" s="291">
        <v>77301.14</v>
      </c>
    </row>
    <row r="2101" spans="2:3" x14ac:dyDescent="0.25">
      <c r="B2101" s="53">
        <v>45462</v>
      </c>
      <c r="C2101" s="291">
        <v>77337.59</v>
      </c>
    </row>
    <row r="2102" spans="2:3" x14ac:dyDescent="0.25">
      <c r="B2102" s="53">
        <v>45463</v>
      </c>
      <c r="C2102" s="291">
        <v>77478.929999999993</v>
      </c>
    </row>
    <row r="2103" spans="2:3" x14ac:dyDescent="0.25">
      <c r="B2103" s="53">
        <v>45464</v>
      </c>
      <c r="C2103" s="291">
        <v>77209.899999999994</v>
      </c>
    </row>
    <row r="2104" spans="2:3" x14ac:dyDescent="0.25">
      <c r="B2104" s="53">
        <v>45467</v>
      </c>
      <c r="C2104" s="291">
        <v>77341.08</v>
      </c>
    </row>
    <row r="2105" spans="2:3" x14ac:dyDescent="0.25">
      <c r="B2105" s="53">
        <v>45468</v>
      </c>
      <c r="C2105" s="291">
        <v>78053.52</v>
      </c>
    </row>
    <row r="2106" spans="2:3" x14ac:dyDescent="0.25">
      <c r="B2106" s="53">
        <v>45469</v>
      </c>
      <c r="C2106" s="291">
        <v>78674.25</v>
      </c>
    </row>
    <row r="2107" spans="2:3" x14ac:dyDescent="0.25">
      <c r="B2107" s="53">
        <v>45470</v>
      </c>
      <c r="C2107" s="291">
        <v>79243.179999999993</v>
      </c>
    </row>
    <row r="2108" spans="2:3" x14ac:dyDescent="0.25">
      <c r="B2108" s="53">
        <v>45471</v>
      </c>
      <c r="C2108" s="291">
        <v>79032.73</v>
      </c>
    </row>
    <row r="2109" spans="2:3" x14ac:dyDescent="0.25">
      <c r="B2109" s="53">
        <v>45474</v>
      </c>
      <c r="C2109" s="291">
        <v>79476.19</v>
      </c>
    </row>
    <row r="2110" spans="2:3" x14ac:dyDescent="0.25">
      <c r="B2110" s="53">
        <v>45475</v>
      </c>
      <c r="C2110" s="291">
        <v>79441.45</v>
      </c>
    </row>
    <row r="2111" spans="2:3" x14ac:dyDescent="0.25">
      <c r="B2111" s="53">
        <v>45476</v>
      </c>
      <c r="C2111" s="291">
        <v>79986.8</v>
      </c>
    </row>
    <row r="2112" spans="2:3" x14ac:dyDescent="0.25">
      <c r="B2112" s="53">
        <v>45477</v>
      </c>
      <c r="C2112" s="291">
        <v>80049.67</v>
      </c>
    </row>
    <row r="2113" spans="2:3" x14ac:dyDescent="0.25">
      <c r="B2113" s="53">
        <v>45478</v>
      </c>
      <c r="C2113" s="291">
        <v>79996.600000000006</v>
      </c>
    </row>
    <row r="2114" spans="2:3" x14ac:dyDescent="0.25">
      <c r="B2114" s="53">
        <v>45481</v>
      </c>
      <c r="C2114" s="291">
        <v>79960.38</v>
      </c>
    </row>
    <row r="2115" spans="2:3" x14ac:dyDescent="0.25">
      <c r="B2115" s="53">
        <v>45482</v>
      </c>
      <c r="C2115" s="291">
        <v>80351.64</v>
      </c>
    </row>
    <row r="2116" spans="2:3" x14ac:dyDescent="0.25">
      <c r="B2116" s="53">
        <v>45483</v>
      </c>
      <c r="C2116" s="291">
        <v>79924.77</v>
      </c>
    </row>
    <row r="2117" spans="2:3" x14ac:dyDescent="0.25">
      <c r="B2117" s="53">
        <v>45484</v>
      </c>
      <c r="C2117" s="291">
        <v>79897.34</v>
      </c>
    </row>
    <row r="2118" spans="2:3" x14ac:dyDescent="0.25">
      <c r="B2118" s="53">
        <v>45485</v>
      </c>
      <c r="C2118" s="291">
        <v>80519.34</v>
      </c>
    </row>
    <row r="2119" spans="2:3" x14ac:dyDescent="0.25">
      <c r="B2119" s="53">
        <v>45488</v>
      </c>
      <c r="C2119" s="291">
        <v>80664.86</v>
      </c>
    </row>
    <row r="2120" spans="2:3" x14ac:dyDescent="0.25">
      <c r="B2120" s="53">
        <v>45489</v>
      </c>
      <c r="C2120" s="291">
        <v>80716.55</v>
      </c>
    </row>
    <row r="2121" spans="2:3" x14ac:dyDescent="0.25">
      <c r="B2121" s="53">
        <v>45491</v>
      </c>
      <c r="C2121" s="291">
        <v>81343.460000000006</v>
      </c>
    </row>
    <row r="2122" spans="2:3" x14ac:dyDescent="0.25">
      <c r="B2122" s="53">
        <v>45492</v>
      </c>
      <c r="C2122" s="291">
        <v>80604.649999999994</v>
      </c>
    </row>
    <row r="2123" spans="2:3" x14ac:dyDescent="0.25">
      <c r="B2123" s="53">
        <v>45495</v>
      </c>
      <c r="C2123" s="291">
        <v>80502.080000000002</v>
      </c>
    </row>
    <row r="2124" spans="2:3" x14ac:dyDescent="0.25">
      <c r="B2124" s="53">
        <v>45496</v>
      </c>
      <c r="C2124" s="291">
        <v>80429.039999999994</v>
      </c>
    </row>
    <row r="2125" spans="2:3" x14ac:dyDescent="0.25">
      <c r="B2125" s="53">
        <v>45497</v>
      </c>
      <c r="C2125" s="291">
        <v>80148.88</v>
      </c>
    </row>
    <row r="2126" spans="2:3" x14ac:dyDescent="0.25">
      <c r="B2126" s="53">
        <v>45498</v>
      </c>
      <c r="C2126" s="291">
        <v>80039.8</v>
      </c>
    </row>
    <row r="2127" spans="2:3" x14ac:dyDescent="0.25">
      <c r="B2127" s="53">
        <v>45499</v>
      </c>
      <c r="C2127" s="291">
        <v>81332.72</v>
      </c>
    </row>
    <row r="2128" spans="2:3" x14ac:dyDescent="0.25">
      <c r="B2128" s="53">
        <v>45502</v>
      </c>
      <c r="C2128" s="291">
        <v>81355.839999999997</v>
      </c>
    </row>
    <row r="2129" spans="2:3" x14ac:dyDescent="0.25">
      <c r="B2129" s="53">
        <v>45503</v>
      </c>
      <c r="C2129" s="291">
        <v>81455.399999999994</v>
      </c>
    </row>
    <row r="2130" spans="2:3" x14ac:dyDescent="0.25">
      <c r="B2130" s="53">
        <v>45504</v>
      </c>
      <c r="C2130" s="291">
        <v>81741.34</v>
      </c>
    </row>
    <row r="2131" spans="2:3" x14ac:dyDescent="0.25">
      <c r="B2131" s="53">
        <v>45505</v>
      </c>
      <c r="C2131" s="291">
        <v>81867.55</v>
      </c>
    </row>
    <row r="2132" spans="2:3" x14ac:dyDescent="0.25">
      <c r="B2132" s="53">
        <v>45506</v>
      </c>
      <c r="C2132" s="291">
        <v>80981.95</v>
      </c>
    </row>
    <row r="2133" spans="2:3" x14ac:dyDescent="0.25">
      <c r="B2133" s="53">
        <v>45509</v>
      </c>
      <c r="C2133" s="291">
        <v>78759.399999999994</v>
      </c>
    </row>
    <row r="2134" spans="2:3" x14ac:dyDescent="0.25">
      <c r="B2134" s="53">
        <v>45510</v>
      </c>
      <c r="C2134" s="291">
        <v>78593.070000000007</v>
      </c>
    </row>
    <row r="2135" spans="2:3" x14ac:dyDescent="0.25">
      <c r="B2135" s="53">
        <v>45511</v>
      </c>
      <c r="C2135" s="291">
        <v>79468.009999999995</v>
      </c>
    </row>
    <row r="2136" spans="2:3" x14ac:dyDescent="0.25">
      <c r="B2136" s="53">
        <v>45512</v>
      </c>
      <c r="C2136" s="291">
        <v>78886.22</v>
      </c>
    </row>
    <row r="2137" spans="2:3" x14ac:dyDescent="0.25">
      <c r="B2137" s="53">
        <v>45513</v>
      </c>
      <c r="C2137" s="291">
        <v>79705.91</v>
      </c>
    </row>
    <row r="2138" spans="2:3" x14ac:dyDescent="0.25">
      <c r="B2138" s="53">
        <v>45516</v>
      </c>
      <c r="C2138" s="291">
        <v>79648.92</v>
      </c>
    </row>
    <row r="2139" spans="2:3" x14ac:dyDescent="0.25">
      <c r="B2139" s="53">
        <v>45517</v>
      </c>
      <c r="C2139" s="291">
        <v>78956.03</v>
      </c>
    </row>
    <row r="2140" spans="2:3" x14ac:dyDescent="0.25">
      <c r="B2140" s="53">
        <v>45518</v>
      </c>
      <c r="C2140" s="291">
        <v>79105.88</v>
      </c>
    </row>
    <row r="2141" spans="2:3" x14ac:dyDescent="0.25">
      <c r="B2141" s="53">
        <v>45520</v>
      </c>
      <c r="C2141" s="291">
        <v>80436.84</v>
      </c>
    </row>
    <row r="2142" spans="2:3" x14ac:dyDescent="0.25">
      <c r="B2142" s="53">
        <v>45523</v>
      </c>
      <c r="C2142" s="291">
        <v>80424.679999999993</v>
      </c>
    </row>
    <row r="2143" spans="2:3" x14ac:dyDescent="0.25">
      <c r="B2143" s="53">
        <v>45524</v>
      </c>
      <c r="C2143" s="291">
        <v>80802.86</v>
      </c>
    </row>
    <row r="2144" spans="2:3" x14ac:dyDescent="0.25">
      <c r="B2144" s="53">
        <v>45525</v>
      </c>
      <c r="C2144" s="291">
        <v>80905.3</v>
      </c>
    </row>
    <row r="2145" spans="2:3" x14ac:dyDescent="0.25">
      <c r="B2145" s="53">
        <v>45526</v>
      </c>
      <c r="C2145" s="291">
        <v>81053.19</v>
      </c>
    </row>
    <row r="2146" spans="2:3" x14ac:dyDescent="0.25">
      <c r="B2146" s="53">
        <v>45527</v>
      </c>
      <c r="C2146" s="291">
        <v>81086.210000000006</v>
      </c>
    </row>
    <row r="2147" spans="2:3" x14ac:dyDescent="0.25">
      <c r="B2147" s="53">
        <v>45530</v>
      </c>
      <c r="C2147" s="291">
        <v>81698.11</v>
      </c>
    </row>
    <row r="2148" spans="2:3" x14ac:dyDescent="0.25">
      <c r="B2148" s="53">
        <v>45531</v>
      </c>
      <c r="C2148" s="291">
        <v>81711.759999999995</v>
      </c>
    </row>
    <row r="2149" spans="2:3" x14ac:dyDescent="0.25">
      <c r="B2149" s="53">
        <v>45532</v>
      </c>
      <c r="C2149" s="291">
        <v>81785.56</v>
      </c>
    </row>
    <row r="2150" spans="2:3" x14ac:dyDescent="0.25">
      <c r="B2150" s="53">
        <v>45533</v>
      </c>
      <c r="C2150" s="291">
        <v>82134.61</v>
      </c>
    </row>
    <row r="2151" spans="2:3" x14ac:dyDescent="0.25">
      <c r="B2151" s="53">
        <v>45534</v>
      </c>
      <c r="C2151" s="291">
        <v>82365.77</v>
      </c>
    </row>
    <row r="2152" spans="2:3" x14ac:dyDescent="0.25">
      <c r="B2152" s="53">
        <v>45537</v>
      </c>
      <c r="C2152" s="291">
        <v>82559.839999999997</v>
      </c>
    </row>
    <row r="2153" spans="2:3" x14ac:dyDescent="0.25">
      <c r="B2153" s="53">
        <v>45538</v>
      </c>
      <c r="C2153" s="291">
        <v>82555.44</v>
      </c>
    </row>
    <row r="2154" spans="2:3" x14ac:dyDescent="0.25">
      <c r="B2154" s="53">
        <v>45539</v>
      </c>
      <c r="C2154" s="291">
        <v>82352.639999999999</v>
      </c>
    </row>
    <row r="2155" spans="2:3" x14ac:dyDescent="0.25">
      <c r="B2155" s="53">
        <v>45540</v>
      </c>
      <c r="C2155" s="291">
        <v>82201.16</v>
      </c>
    </row>
    <row r="2156" spans="2:3" x14ac:dyDescent="0.25">
      <c r="B2156" s="53">
        <v>45541</v>
      </c>
      <c r="C2156" s="291">
        <v>81183.929999999993</v>
      </c>
    </row>
    <row r="2157" spans="2:3" x14ac:dyDescent="0.25">
      <c r="B2157" s="53">
        <v>45544</v>
      </c>
      <c r="C2157" s="291">
        <v>81559.539999999994</v>
      </c>
    </row>
    <row r="2158" spans="2:3" x14ac:dyDescent="0.25">
      <c r="B2158" s="53">
        <v>45545</v>
      </c>
      <c r="C2158" s="291">
        <v>81921.289999999994</v>
      </c>
    </row>
    <row r="2159" spans="2:3" x14ac:dyDescent="0.25">
      <c r="B2159" s="53">
        <v>45546</v>
      </c>
      <c r="C2159" s="291">
        <v>81523.16</v>
      </c>
    </row>
    <row r="2160" spans="2:3" x14ac:dyDescent="0.25">
      <c r="B2160" s="53">
        <v>45547</v>
      </c>
      <c r="C2160" s="291">
        <v>82962.710000000006</v>
      </c>
    </row>
    <row r="2161" spans="2:3" x14ac:dyDescent="0.25">
      <c r="B2161" s="53">
        <v>45548</v>
      </c>
      <c r="C2161" s="291">
        <v>82890.94</v>
      </c>
    </row>
    <row r="2162" spans="2:3" x14ac:dyDescent="0.25">
      <c r="B2162" s="53">
        <v>45551</v>
      </c>
      <c r="C2162" s="291">
        <v>82988.78</v>
      </c>
    </row>
    <row r="2163" spans="2:3" x14ac:dyDescent="0.25">
      <c r="B2163" s="53">
        <v>45552</v>
      </c>
      <c r="C2163" s="291">
        <v>83079.66</v>
      </c>
    </row>
    <row r="2164" spans="2:3" x14ac:dyDescent="0.25">
      <c r="B2164" s="53">
        <v>45553</v>
      </c>
      <c r="C2164" s="291">
        <v>82948.23</v>
      </c>
    </row>
    <row r="2165" spans="2:3" x14ac:dyDescent="0.25">
      <c r="B2165" s="53">
        <v>45554</v>
      </c>
      <c r="C2165" s="291">
        <v>83184.800000000003</v>
      </c>
    </row>
    <row r="2166" spans="2:3" x14ac:dyDescent="0.25">
      <c r="B2166" s="53">
        <v>45555</v>
      </c>
      <c r="C2166" s="291">
        <v>84544.31</v>
      </c>
    </row>
    <row r="2167" spans="2:3" x14ac:dyDescent="0.25">
      <c r="B2167" s="53">
        <v>45558</v>
      </c>
      <c r="C2167" s="291">
        <v>84928.61</v>
      </c>
    </row>
    <row r="2168" spans="2:3" x14ac:dyDescent="0.25">
      <c r="B2168" s="53">
        <v>45559</v>
      </c>
      <c r="C2168" s="291">
        <v>84914.04</v>
      </c>
    </row>
    <row r="2169" spans="2:3" x14ac:dyDescent="0.25">
      <c r="B2169" s="53">
        <v>45560</v>
      </c>
      <c r="C2169" s="291">
        <v>85169.87</v>
      </c>
    </row>
    <row r="2170" spans="2:3" x14ac:dyDescent="0.25">
      <c r="B2170" s="53">
        <v>45561</v>
      </c>
      <c r="C2170" s="291">
        <v>85836.12</v>
      </c>
    </row>
    <row r="2171" spans="2:3" x14ac:dyDescent="0.25">
      <c r="B2171" s="53">
        <v>45562</v>
      </c>
      <c r="C2171" s="291">
        <v>85571.85</v>
      </c>
    </row>
    <row r="2172" spans="2:3" x14ac:dyDescent="0.25">
      <c r="B2172" s="53">
        <v>45565</v>
      </c>
      <c r="C2172" s="291">
        <v>84299.78</v>
      </c>
    </row>
    <row r="2173" spans="2:3" x14ac:dyDescent="0.25">
      <c r="B2173" s="53">
        <v>45566</v>
      </c>
      <c r="C2173" s="291">
        <v>84266.29</v>
      </c>
    </row>
    <row r="2174" spans="2:3" x14ac:dyDescent="0.25">
      <c r="B2174" s="53">
        <v>45568</v>
      </c>
      <c r="C2174" s="291">
        <v>82497.100000000006</v>
      </c>
    </row>
    <row r="2175" spans="2:3" x14ac:dyDescent="0.25">
      <c r="B2175" s="53">
        <v>45569</v>
      </c>
      <c r="C2175" s="291">
        <v>81688.45</v>
      </c>
    </row>
    <row r="2176" spans="2:3" x14ac:dyDescent="0.25">
      <c r="B2176" s="53">
        <v>45572</v>
      </c>
      <c r="C2176" s="291">
        <v>81050</v>
      </c>
    </row>
    <row r="2177" spans="2:3" x14ac:dyDescent="0.25">
      <c r="B2177" s="53">
        <v>45573</v>
      </c>
      <c r="C2177" s="291">
        <v>81634.81</v>
      </c>
    </row>
    <row r="2178" spans="2:3" x14ac:dyDescent="0.25">
      <c r="B2178" s="53">
        <v>45574</v>
      </c>
      <c r="C2178" s="291">
        <v>81467.100000000006</v>
      </c>
    </row>
    <row r="2179" spans="2:3" x14ac:dyDescent="0.25">
      <c r="B2179" s="53">
        <v>45575</v>
      </c>
      <c r="C2179" s="291">
        <v>81611.41</v>
      </c>
    </row>
    <row r="2180" spans="2:3" x14ac:dyDescent="0.25">
      <c r="B2180" s="53">
        <v>45576</v>
      </c>
      <c r="C2180" s="291">
        <v>81381.36</v>
      </c>
    </row>
    <row r="2181" spans="2:3" x14ac:dyDescent="0.25">
      <c r="B2181" s="53">
        <v>45579</v>
      </c>
      <c r="C2181" s="291">
        <v>81973.05</v>
      </c>
    </row>
    <row r="2182" spans="2:3" x14ac:dyDescent="0.25">
      <c r="B2182" s="53">
        <v>45580</v>
      </c>
      <c r="C2182" s="291">
        <v>81820.12</v>
      </c>
    </row>
    <row r="2183" spans="2:3" x14ac:dyDescent="0.25">
      <c r="B2183" s="53">
        <v>45581</v>
      </c>
      <c r="C2183" s="291">
        <v>81501.36</v>
      </c>
    </row>
    <row r="2184" spans="2:3" x14ac:dyDescent="0.25">
      <c r="B2184" s="53">
        <v>45582</v>
      </c>
      <c r="C2184" s="291">
        <v>81006.61</v>
      </c>
    </row>
    <row r="2185" spans="2:3" x14ac:dyDescent="0.25">
      <c r="B2185" s="53">
        <v>45583</v>
      </c>
      <c r="C2185" s="291">
        <v>81224.75</v>
      </c>
    </row>
    <row r="2186" spans="2:3" x14ac:dyDescent="0.25">
      <c r="B2186" s="53">
        <v>45586</v>
      </c>
      <c r="C2186" s="291">
        <v>81151.27</v>
      </c>
    </row>
    <row r="2187" spans="2:3" x14ac:dyDescent="0.25">
      <c r="B2187" s="53">
        <v>45587</v>
      </c>
      <c r="C2187" s="291">
        <v>80220.72</v>
      </c>
    </row>
    <row r="2188" spans="2:3" x14ac:dyDescent="0.25">
      <c r="B2188" s="53">
        <v>45588</v>
      </c>
      <c r="C2188" s="291">
        <v>80081.98</v>
      </c>
    </row>
    <row r="2189" spans="2:3" x14ac:dyDescent="0.25">
      <c r="B2189" s="53">
        <v>45589</v>
      </c>
      <c r="C2189" s="291">
        <v>80065.16</v>
      </c>
    </row>
    <row r="2190" spans="2:3" x14ac:dyDescent="0.25">
      <c r="B2190" s="53">
        <v>45590</v>
      </c>
      <c r="C2190" s="291">
        <v>79402.289999999994</v>
      </c>
    </row>
    <row r="2191" spans="2:3" x14ac:dyDescent="0.25">
      <c r="B2191" s="53">
        <v>45593</v>
      </c>
      <c r="C2191" s="291">
        <v>80005.039999999994</v>
      </c>
    </row>
    <row r="2192" spans="2:3" x14ac:dyDescent="0.25">
      <c r="B2192" s="53">
        <v>45594</v>
      </c>
      <c r="C2192" s="291">
        <v>80369.03</v>
      </c>
    </row>
    <row r="2193" spans="2:3" x14ac:dyDescent="0.25">
      <c r="B2193" s="53">
        <v>45595</v>
      </c>
      <c r="C2193" s="291">
        <v>79942.179999999993</v>
      </c>
    </row>
    <row r="2194" spans="2:3" x14ac:dyDescent="0.25">
      <c r="B2194" s="53">
        <v>45596</v>
      </c>
      <c r="C2194" s="291">
        <v>79389.06</v>
      </c>
    </row>
    <row r="2195" spans="2:3" x14ac:dyDescent="0.25">
      <c r="B2195" s="53">
        <v>45597</v>
      </c>
      <c r="C2195" s="291">
        <v>79724.12</v>
      </c>
    </row>
    <row r="2196" spans="2:3" x14ac:dyDescent="0.25">
      <c r="B2196" s="53">
        <v>45600</v>
      </c>
      <c r="C2196" s="291">
        <v>78782.240000000005</v>
      </c>
    </row>
    <row r="2197" spans="2:3" x14ac:dyDescent="0.25">
      <c r="B2197" s="53">
        <v>45601</v>
      </c>
      <c r="C2197" s="291">
        <v>79476.63</v>
      </c>
    </row>
    <row r="2198" spans="2:3" x14ac:dyDescent="0.25">
      <c r="B2198" s="53">
        <v>45602</v>
      </c>
      <c r="C2198" s="291">
        <v>80378.13</v>
      </c>
    </row>
    <row r="2199" spans="2:3" x14ac:dyDescent="0.25">
      <c r="B2199" s="53">
        <v>45603</v>
      </c>
      <c r="C2199" s="291">
        <v>79541.789999999994</v>
      </c>
    </row>
    <row r="2200" spans="2:3" x14ac:dyDescent="0.25">
      <c r="B2200" s="53">
        <v>45604</v>
      </c>
      <c r="C2200" s="291">
        <v>79486.320000000007</v>
      </c>
    </row>
    <row r="2201" spans="2:3" x14ac:dyDescent="0.25">
      <c r="B2201" s="53">
        <v>45607</v>
      </c>
      <c r="C2201" s="291">
        <v>79496.149999999994</v>
      </c>
    </row>
    <row r="2202" spans="2:3" x14ac:dyDescent="0.25">
      <c r="B2202" s="53">
        <v>45608</v>
      </c>
      <c r="C2202" s="291">
        <v>78675.179999999993</v>
      </c>
    </row>
    <row r="2203" spans="2:3" x14ac:dyDescent="0.25">
      <c r="B2203" s="53">
        <v>45609</v>
      </c>
      <c r="C2203" s="291">
        <v>77690.95</v>
      </c>
    </row>
    <row r="2204" spans="2:3" x14ac:dyDescent="0.25">
      <c r="B2204" s="53">
        <v>45610</v>
      </c>
      <c r="C2204" s="291">
        <v>77580.31</v>
      </c>
    </row>
    <row r="2205" spans="2:3" x14ac:dyDescent="0.25">
      <c r="B2205" s="53">
        <v>45614</v>
      </c>
      <c r="C2205" s="291">
        <v>77339.009999999995</v>
      </c>
    </row>
    <row r="2206" spans="2:3" x14ac:dyDescent="0.25">
      <c r="B2206" s="53">
        <v>45615</v>
      </c>
      <c r="C2206" s="291">
        <v>77578.38</v>
      </c>
    </row>
    <row r="2207" spans="2:3" x14ac:dyDescent="0.25">
      <c r="B2207" s="53">
        <v>45617</v>
      </c>
      <c r="C2207" s="291">
        <v>77155.789999999994</v>
      </c>
    </row>
    <row r="2208" spans="2:3" x14ac:dyDescent="0.25">
      <c r="B2208" s="53">
        <v>45618</v>
      </c>
      <c r="C2208" s="291">
        <v>79117.11</v>
      </c>
    </row>
    <row r="2209" spans="2:3" x14ac:dyDescent="0.25">
      <c r="B2209" s="53">
        <v>45621</v>
      </c>
      <c r="C2209" s="291">
        <v>80109.850000000006</v>
      </c>
    </row>
    <row r="2210" spans="2:3" x14ac:dyDescent="0.25">
      <c r="B2210" s="53">
        <v>45622</v>
      </c>
      <c r="C2210" s="291">
        <v>80004.06</v>
      </c>
    </row>
    <row r="2211" spans="2:3" x14ac:dyDescent="0.25">
      <c r="B2211" s="53">
        <v>45623</v>
      </c>
      <c r="C2211" s="291">
        <v>80234.080000000002</v>
      </c>
    </row>
    <row r="2212" spans="2:3" x14ac:dyDescent="0.25">
      <c r="B2212" s="53">
        <v>45624</v>
      </c>
      <c r="C2212" s="291">
        <v>79043.740000000005</v>
      </c>
    </row>
    <row r="2213" spans="2:3" x14ac:dyDescent="0.25">
      <c r="B2213" s="53">
        <v>45625</v>
      </c>
      <c r="C2213" s="291">
        <v>79802.789999999994</v>
      </c>
    </row>
    <row r="2214" spans="2:3" x14ac:dyDescent="0.25">
      <c r="B2214" s="53">
        <v>45628</v>
      </c>
      <c r="C2214" s="291">
        <v>80248.08</v>
      </c>
    </row>
    <row r="2215" spans="2:3" x14ac:dyDescent="0.25">
      <c r="B2215" s="53">
        <v>45629</v>
      </c>
      <c r="C2215" s="291">
        <v>80845.75</v>
      </c>
    </row>
    <row r="2216" spans="2:3" x14ac:dyDescent="0.25">
      <c r="B2216" s="53">
        <v>45630</v>
      </c>
      <c r="C2216" s="291">
        <v>80956.33</v>
      </c>
    </row>
    <row r="2217" spans="2:3" x14ac:dyDescent="0.25">
      <c r="B2217" s="53">
        <v>45631</v>
      </c>
      <c r="C2217" s="291">
        <v>81765.86</v>
      </c>
    </row>
    <row r="2218" spans="2:3" x14ac:dyDescent="0.25">
      <c r="B2218" s="53">
        <v>45632</v>
      </c>
      <c r="C2218" s="291">
        <v>81709.119999999995</v>
      </c>
    </row>
    <row r="2219" spans="2:3" x14ac:dyDescent="0.25">
      <c r="B2219" s="53">
        <v>45635</v>
      </c>
      <c r="C2219" s="291">
        <v>81508.460000000006</v>
      </c>
    </row>
    <row r="2220" spans="2:3" x14ac:dyDescent="0.25">
      <c r="B2220" s="53">
        <v>45636</v>
      </c>
      <c r="C2220" s="291">
        <v>81510.05</v>
      </c>
    </row>
    <row r="2221" spans="2:3" x14ac:dyDescent="0.25">
      <c r="B2221" s="53">
        <v>45637</v>
      </c>
      <c r="C2221" s="291">
        <v>81526.14</v>
      </c>
    </row>
    <row r="2222" spans="2:3" x14ac:dyDescent="0.25">
      <c r="B2222" s="53">
        <v>45638</v>
      </c>
      <c r="C2222" s="291">
        <v>81289.960000000006</v>
      </c>
    </row>
    <row r="2223" spans="2:3" x14ac:dyDescent="0.25">
      <c r="B2223" s="53">
        <v>45639</v>
      </c>
      <c r="C2223" s="291">
        <v>82133.119999999995</v>
      </c>
    </row>
    <row r="2224" spans="2:3" x14ac:dyDescent="0.25">
      <c r="B2224" s="53">
        <v>45642</v>
      </c>
      <c r="C2224" s="291">
        <v>81748.570000000007</v>
      </c>
    </row>
    <row r="2225" spans="2:3" x14ac:dyDescent="0.25">
      <c r="B2225" s="53">
        <v>45643</v>
      </c>
      <c r="C2225" s="291">
        <v>80684.45</v>
      </c>
    </row>
    <row r="2226" spans="2:3" x14ac:dyDescent="0.25">
      <c r="B2226" s="53">
        <v>45644</v>
      </c>
      <c r="C2226" s="291">
        <v>80182.2</v>
      </c>
    </row>
    <row r="2227" spans="2:3" x14ac:dyDescent="0.25">
      <c r="B2227" s="53">
        <v>45645</v>
      </c>
      <c r="C2227" s="291">
        <v>79218.05</v>
      </c>
    </row>
    <row r="2228" spans="2:3" x14ac:dyDescent="0.25">
      <c r="B2228" s="53">
        <v>45646</v>
      </c>
      <c r="C2228" s="291">
        <v>78041.59</v>
      </c>
    </row>
    <row r="2229" spans="2:3" x14ac:dyDescent="0.25">
      <c r="B2229" s="53">
        <v>45649</v>
      </c>
      <c r="C2229" s="291">
        <v>78540.17</v>
      </c>
    </row>
    <row r="2230" spans="2:3" x14ac:dyDescent="0.25">
      <c r="B2230" s="53">
        <v>45650</v>
      </c>
      <c r="C2230" s="291">
        <v>78472.87</v>
      </c>
    </row>
    <row r="2231" spans="2:3" x14ac:dyDescent="0.25">
      <c r="B2231" s="53">
        <v>45652</v>
      </c>
      <c r="C2231" s="291">
        <v>78472.479999999996</v>
      </c>
    </row>
    <row r="2232" spans="2:3" x14ac:dyDescent="0.25">
      <c r="B2232" s="53">
        <v>45653</v>
      </c>
      <c r="C2232" s="291">
        <v>78699.070000000007</v>
      </c>
    </row>
    <row r="2233" spans="2:3" x14ac:dyDescent="0.25">
      <c r="B2233" s="53">
        <v>45656</v>
      </c>
      <c r="C2233" s="291">
        <v>78248.13</v>
      </c>
    </row>
    <row r="2234" spans="2:3" x14ac:dyDescent="0.25">
      <c r="B2234" s="53">
        <v>45657</v>
      </c>
      <c r="C2234" s="291">
        <v>78139.009999999995</v>
      </c>
    </row>
    <row r="2235" spans="2:3" x14ac:dyDescent="0.25">
      <c r="B2235" s="53">
        <v>45658</v>
      </c>
      <c r="C2235" s="291">
        <v>78507.41</v>
      </c>
    </row>
    <row r="2236" spans="2:3" x14ac:dyDescent="0.25">
      <c r="B2236" s="53">
        <v>45659</v>
      </c>
      <c r="C2236" s="291">
        <v>79943.710000000006</v>
      </c>
    </row>
    <row r="2237" spans="2:3" x14ac:dyDescent="0.25">
      <c r="B2237" s="53">
        <v>45660</v>
      </c>
      <c r="C2237" s="291">
        <v>79223.11</v>
      </c>
    </row>
    <row r="2238" spans="2:3" x14ac:dyDescent="0.25">
      <c r="B2238" s="53">
        <v>45663</v>
      </c>
      <c r="C2238" s="291">
        <v>77964.990000000005</v>
      </c>
    </row>
    <row r="2239" spans="2:3" x14ac:dyDescent="0.25">
      <c r="B2239" s="53">
        <v>45664</v>
      </c>
      <c r="C2239" s="291">
        <v>78199.11</v>
      </c>
    </row>
    <row r="2240" spans="2:3" x14ac:dyDescent="0.25">
      <c r="B2240" s="53">
        <v>45665</v>
      </c>
      <c r="C2240" s="291">
        <v>78148.490000000005</v>
      </c>
    </row>
    <row r="2241" spans="2:3" x14ac:dyDescent="0.25">
      <c r="B2241" s="53">
        <v>45666</v>
      </c>
      <c r="C2241" s="291">
        <v>77620.210000000006</v>
      </c>
    </row>
    <row r="2242" spans="2:3" x14ac:dyDescent="0.25">
      <c r="B2242" s="53">
        <v>45667</v>
      </c>
      <c r="C2242" s="291">
        <v>77378.91</v>
      </c>
    </row>
    <row r="2243" spans="2:3" x14ac:dyDescent="0.25">
      <c r="B2243" s="53">
        <v>45670</v>
      </c>
      <c r="C2243" s="291">
        <v>76330.009999999995</v>
      </c>
    </row>
    <row r="2244" spans="2:3" x14ac:dyDescent="0.25">
      <c r="B2244" s="53">
        <v>45671</v>
      </c>
      <c r="C2244" s="291">
        <v>76499.63</v>
      </c>
    </row>
    <row r="2245" spans="2:3" x14ac:dyDescent="0.25">
      <c r="B2245" s="53">
        <v>45672</v>
      </c>
      <c r="C2245" s="291">
        <v>76724.08</v>
      </c>
    </row>
    <row r="2246" spans="2:3" x14ac:dyDescent="0.25">
      <c r="B2246" s="53">
        <v>45673</v>
      </c>
      <c r="C2246" s="291">
        <v>77042.820000000007</v>
      </c>
    </row>
    <row r="2247" spans="2:3" x14ac:dyDescent="0.25">
      <c r="B2247" s="53">
        <v>45674</v>
      </c>
      <c r="C2247" s="291">
        <v>76619.33</v>
      </c>
    </row>
    <row r="2248" spans="2:3" x14ac:dyDescent="0.25">
      <c r="B2248" s="53">
        <v>45677</v>
      </c>
      <c r="C2248" s="291">
        <v>77073.440000000002</v>
      </c>
    </row>
    <row r="2249" spans="2:3" x14ac:dyDescent="0.25">
      <c r="B2249" s="53">
        <v>45678</v>
      </c>
      <c r="C2249" s="291">
        <v>75838.36</v>
      </c>
    </row>
    <row r="2250" spans="2:3" x14ac:dyDescent="0.25">
      <c r="B2250" s="53">
        <v>45679</v>
      </c>
      <c r="C2250" s="291">
        <v>76404.990000000005</v>
      </c>
    </row>
    <row r="2251" spans="2:3" x14ac:dyDescent="0.25">
      <c r="B2251" s="53">
        <v>45680</v>
      </c>
      <c r="C2251" s="291">
        <v>76520.38</v>
      </c>
    </row>
    <row r="2252" spans="2:3" x14ac:dyDescent="0.25">
      <c r="B2252" s="53">
        <v>45681</v>
      </c>
      <c r="C2252" s="291">
        <v>76190.460000000006</v>
      </c>
    </row>
    <row r="2253" spans="2:3" x14ac:dyDescent="0.25">
      <c r="B2253" s="53">
        <v>45684</v>
      </c>
      <c r="C2253" s="291">
        <v>75366.17</v>
      </c>
    </row>
    <row r="2254" spans="2:3" x14ac:dyDescent="0.25">
      <c r="B2254" s="53">
        <v>45685</v>
      </c>
      <c r="C2254" s="291">
        <v>75901.41</v>
      </c>
    </row>
    <row r="2255" spans="2:3" x14ac:dyDescent="0.25">
      <c r="B2255" s="53">
        <v>45686</v>
      </c>
      <c r="C2255" s="291">
        <v>76532.960000000006</v>
      </c>
    </row>
    <row r="2256" spans="2:3" x14ac:dyDescent="0.25">
      <c r="B2256" s="53">
        <v>45687</v>
      </c>
      <c r="C2256" s="291">
        <v>76759.81</v>
      </c>
    </row>
    <row r="2257" spans="2:3" x14ac:dyDescent="0.25">
      <c r="B2257" s="53">
        <v>45688</v>
      </c>
      <c r="C2257" s="291">
        <v>77500.570000000007</v>
      </c>
    </row>
    <row r="2258" spans="2:3" x14ac:dyDescent="0.25">
      <c r="B2258" s="53">
        <v>45689</v>
      </c>
      <c r="C2258" s="291">
        <v>77505.960000000006</v>
      </c>
    </row>
    <row r="2259" spans="2:3" x14ac:dyDescent="0.25">
      <c r="B2259" s="53">
        <v>45691</v>
      </c>
      <c r="C2259" s="291">
        <v>77186.740000000005</v>
      </c>
    </row>
    <row r="2260" spans="2:3" x14ac:dyDescent="0.25">
      <c r="B2260" s="53">
        <v>45692</v>
      </c>
      <c r="C2260" s="291">
        <v>78583.81</v>
      </c>
    </row>
    <row r="2261" spans="2:3" x14ac:dyDescent="0.25">
      <c r="B2261" s="53">
        <v>45693</v>
      </c>
      <c r="C2261" s="291">
        <v>78271.28</v>
      </c>
    </row>
    <row r="2262" spans="2:3" x14ac:dyDescent="0.25">
      <c r="B2262" s="53">
        <v>45694</v>
      </c>
      <c r="C2262" s="291">
        <v>78058.16</v>
      </c>
    </row>
    <row r="2263" spans="2:3" x14ac:dyDescent="0.25">
      <c r="B2263" s="53">
        <v>45695</v>
      </c>
      <c r="C2263" s="291">
        <v>77860.19</v>
      </c>
    </row>
    <row r="2264" spans="2:3" x14ac:dyDescent="0.25">
      <c r="B2264" s="53">
        <v>45698</v>
      </c>
      <c r="C2264" s="291">
        <v>77311.8</v>
      </c>
    </row>
    <row r="2265" spans="2:3" x14ac:dyDescent="0.25">
      <c r="B2265" s="53">
        <v>45699</v>
      </c>
      <c r="C2265" s="291">
        <v>76293.600000000006</v>
      </c>
    </row>
    <row r="2266" spans="2:3" x14ac:dyDescent="0.25">
      <c r="B2266" s="53">
        <v>45700</v>
      </c>
      <c r="C2266" s="291">
        <v>76171.08</v>
      </c>
    </row>
    <row r="2267" spans="2:3" x14ac:dyDescent="0.25">
      <c r="B2267" s="53">
        <v>45701</v>
      </c>
      <c r="C2267" s="291">
        <v>76138.97</v>
      </c>
    </row>
    <row r="2268" spans="2:3" x14ac:dyDescent="0.25">
      <c r="B2268" s="53">
        <v>45702</v>
      </c>
      <c r="C2268" s="291">
        <v>75939.210000000006</v>
      </c>
    </row>
    <row r="2269" spans="2:3" x14ac:dyDescent="0.25">
      <c r="B2269" s="53">
        <v>45705</v>
      </c>
      <c r="C2269" s="291">
        <v>75996.86</v>
      </c>
    </row>
    <row r="2270" spans="2:3" x14ac:dyDescent="0.25">
      <c r="B2270" s="53">
        <v>45706</v>
      </c>
      <c r="C2270" s="291">
        <v>75967.39</v>
      </c>
    </row>
    <row r="2271" spans="2:3" x14ac:dyDescent="0.25">
      <c r="B2271" s="53">
        <v>45707</v>
      </c>
      <c r="C2271" s="291">
        <v>75939.179999999993</v>
      </c>
    </row>
    <row r="2272" spans="2:3" x14ac:dyDescent="0.25">
      <c r="B2272" s="53">
        <v>45708</v>
      </c>
      <c r="C2272" s="291">
        <v>75735.960000000006</v>
      </c>
    </row>
    <row r="2273" spans="2:3" x14ac:dyDescent="0.25">
      <c r="B2273" s="53">
        <v>45709</v>
      </c>
      <c r="C2273" s="291">
        <v>75311.06</v>
      </c>
    </row>
    <row r="2274" spans="2:3" x14ac:dyDescent="0.25">
      <c r="B2274" s="53">
        <v>45712</v>
      </c>
      <c r="C2274" s="291">
        <v>74454.41</v>
      </c>
    </row>
    <row r="2275" spans="2:3" x14ac:dyDescent="0.25">
      <c r="B2275" s="53">
        <v>45713</v>
      </c>
      <c r="C2275" s="291">
        <v>74602.12</v>
      </c>
    </row>
    <row r="2276" spans="2:3" x14ac:dyDescent="0.25">
      <c r="B2276" s="53">
        <v>45715</v>
      </c>
      <c r="C2276" s="291">
        <v>74612.429999999993</v>
      </c>
    </row>
    <row r="2277" spans="2:3" x14ac:dyDescent="0.25">
      <c r="B2277" s="53">
        <v>45716</v>
      </c>
      <c r="C2277" s="291">
        <v>73198.100000000006</v>
      </c>
    </row>
    <row r="2278" spans="2:3" x14ac:dyDescent="0.25">
      <c r="B2278" s="53">
        <v>45719</v>
      </c>
      <c r="C2278" s="291">
        <v>73085.94</v>
      </c>
    </row>
    <row r="2279" spans="2:3" x14ac:dyDescent="0.25">
      <c r="B2279" s="53">
        <v>45720</v>
      </c>
      <c r="C2279" s="291">
        <v>72989.929999999993</v>
      </c>
    </row>
    <row r="2280" spans="2:3" x14ac:dyDescent="0.25">
      <c r="B2280" s="53">
        <v>45721</v>
      </c>
      <c r="C2280" s="291">
        <v>73730.23</v>
      </c>
    </row>
    <row r="2281" spans="2:3" x14ac:dyDescent="0.25">
      <c r="B2281" s="53">
        <v>45722</v>
      </c>
      <c r="C2281" s="291">
        <v>74340.09</v>
      </c>
    </row>
    <row r="2282" spans="2:3" x14ac:dyDescent="0.25">
      <c r="B2282" s="53">
        <v>45723</v>
      </c>
      <c r="C2282" s="291">
        <v>74332.58</v>
      </c>
    </row>
    <row r="2283" spans="2:3" x14ac:dyDescent="0.25">
      <c r="B2283" s="53">
        <v>45726</v>
      </c>
      <c r="C2283" s="291">
        <v>74115.17</v>
      </c>
    </row>
    <row r="2284" spans="2:3" x14ac:dyDescent="0.25">
      <c r="B2284" s="53">
        <v>45727</v>
      </c>
      <c r="C2284" s="291">
        <v>74102.320000000007</v>
      </c>
    </row>
    <row r="2285" spans="2:3" x14ac:dyDescent="0.25">
      <c r="B2285" s="53">
        <v>45728</v>
      </c>
      <c r="C2285" s="291">
        <v>74029.759999999995</v>
      </c>
    </row>
    <row r="2286" spans="2:3" x14ac:dyDescent="0.25">
      <c r="B2286" s="53">
        <v>45729</v>
      </c>
      <c r="C2286" s="291">
        <v>73828.91</v>
      </c>
    </row>
    <row r="2287" spans="2:3" x14ac:dyDescent="0.25">
      <c r="B2287" s="53">
        <v>45733</v>
      </c>
      <c r="C2287" s="291">
        <v>74169.95</v>
      </c>
    </row>
    <row r="2288" spans="2:3" x14ac:dyDescent="0.25">
      <c r="B2288" s="53">
        <v>45734</v>
      </c>
      <c r="C2288" s="291">
        <v>75301.259999999995</v>
      </c>
    </row>
    <row r="2289" spans="2:3" x14ac:dyDescent="0.25">
      <c r="B2289" s="53">
        <v>45735</v>
      </c>
      <c r="C2289" s="291">
        <v>75449.05</v>
      </c>
    </row>
    <row r="2290" spans="2:3" x14ac:dyDescent="0.25">
      <c r="B2290" s="53">
        <v>45736</v>
      </c>
      <c r="C2290" s="291">
        <v>76348.06</v>
      </c>
    </row>
    <row r="2291" spans="2:3" x14ac:dyDescent="0.25">
      <c r="B2291" s="53">
        <v>45737</v>
      </c>
      <c r="C2291" s="291">
        <v>76905.509999999995</v>
      </c>
    </row>
    <row r="2292" spans="2:3" x14ac:dyDescent="0.25">
      <c r="B2292" s="53">
        <v>45740</v>
      </c>
      <c r="C2292" s="291">
        <v>77984.38</v>
      </c>
    </row>
    <row r="2293" spans="2:3" x14ac:dyDescent="0.25">
      <c r="B2293" s="53">
        <v>45741</v>
      </c>
      <c r="C2293" s="291">
        <v>78017.19</v>
      </c>
    </row>
    <row r="2294" spans="2:3" x14ac:dyDescent="0.25">
      <c r="B2294" s="53">
        <v>45742</v>
      </c>
      <c r="C2294" s="291">
        <v>77288.5</v>
      </c>
    </row>
    <row r="2295" spans="2:3" x14ac:dyDescent="0.25">
      <c r="B2295" s="53">
        <v>45743</v>
      </c>
      <c r="C2295" s="291">
        <v>77606.429999999993</v>
      </c>
    </row>
    <row r="2296" spans="2:3" x14ac:dyDescent="0.25">
      <c r="B2296" s="53">
        <v>45744</v>
      </c>
      <c r="C2296" s="291">
        <v>77414.92</v>
      </c>
    </row>
    <row r="2297" spans="2:3" x14ac:dyDescent="0.25">
      <c r="B2297" s="53">
        <v>45748</v>
      </c>
      <c r="C2297" s="291">
        <v>76024.509999999995</v>
      </c>
    </row>
    <row r="2298" spans="2:3" x14ac:dyDescent="0.25">
      <c r="B2298" s="53">
        <v>45749</v>
      </c>
      <c r="C2298" s="291">
        <v>76617.440000000002</v>
      </c>
    </row>
    <row r="2299" spans="2:3" x14ac:dyDescent="0.25">
      <c r="B2299" s="53">
        <v>45750</v>
      </c>
      <c r="C2299" s="291">
        <v>76295.360000000001</v>
      </c>
    </row>
    <row r="2300" spans="2:3" x14ac:dyDescent="0.25">
      <c r="B2300" s="53">
        <v>45751</v>
      </c>
      <c r="C2300" s="291">
        <v>75364.69</v>
      </c>
    </row>
    <row r="2301" spans="2:3" x14ac:dyDescent="0.25">
      <c r="B2301" s="53">
        <v>45754</v>
      </c>
      <c r="C2301" s="291">
        <v>73137.899999999994</v>
      </c>
    </row>
    <row r="2302" spans="2:3" x14ac:dyDescent="0.25">
      <c r="B2302" s="53">
        <v>45755</v>
      </c>
      <c r="C2302" s="291">
        <v>74227.08</v>
      </c>
    </row>
    <row r="2303" spans="2:3" x14ac:dyDescent="0.25">
      <c r="B2303" s="53">
        <v>45756</v>
      </c>
      <c r="C2303" s="291">
        <v>73847.149999999994</v>
      </c>
    </row>
    <row r="2304" spans="2:3" x14ac:dyDescent="0.25">
      <c r="B2304" s="53">
        <v>45758</v>
      </c>
      <c r="C2304" s="291">
        <v>75157.259999999995</v>
      </c>
    </row>
    <row r="2305" spans="2:3" x14ac:dyDescent="0.25">
      <c r="B2305" s="53">
        <v>45762</v>
      </c>
      <c r="C2305" s="291">
        <v>76734.89</v>
      </c>
    </row>
    <row r="2306" spans="2:3" x14ac:dyDescent="0.25">
      <c r="B2306" s="53">
        <v>45763</v>
      </c>
      <c r="C2306" s="291">
        <v>77044.289999999994</v>
      </c>
    </row>
    <row r="2307" spans="2:3" x14ac:dyDescent="0.25">
      <c r="B2307" s="53">
        <v>45764</v>
      </c>
      <c r="C2307" s="291">
        <v>78553.2</v>
      </c>
    </row>
    <row r="2308" spans="2:3" x14ac:dyDescent="0.25">
      <c r="B2308" s="53">
        <v>45768</v>
      </c>
      <c r="C2308" s="291">
        <v>79408.5</v>
      </c>
    </row>
    <row r="2309" spans="2:3" x14ac:dyDescent="0.25">
      <c r="B2309" s="53">
        <v>45769</v>
      </c>
      <c r="C2309" s="291">
        <v>79595.59</v>
      </c>
    </row>
    <row r="2310" spans="2:3" x14ac:dyDescent="0.25">
      <c r="B2310" s="53">
        <v>45770</v>
      </c>
      <c r="C2310" s="291">
        <v>80116.490000000005</v>
      </c>
    </row>
    <row r="2311" spans="2:3" x14ac:dyDescent="0.25">
      <c r="B2311" s="53">
        <v>45771</v>
      </c>
      <c r="C2311" s="291">
        <v>79801.429999999993</v>
      </c>
    </row>
    <row r="2312" spans="2:3" x14ac:dyDescent="0.25">
      <c r="B2312" s="53">
        <v>45772</v>
      </c>
      <c r="C2312" s="291">
        <v>79212.53</v>
      </c>
    </row>
    <row r="2313" spans="2:3" x14ac:dyDescent="0.25">
      <c r="B2313" s="53">
        <v>45775</v>
      </c>
      <c r="C2313" s="291">
        <v>80218.37</v>
      </c>
    </row>
    <row r="2314" spans="2:3" x14ac:dyDescent="0.25">
      <c r="B2314" s="53">
        <v>45776</v>
      </c>
      <c r="C2314" s="291">
        <v>80288.38</v>
      </c>
    </row>
    <row r="2315" spans="2:3" x14ac:dyDescent="0.25">
      <c r="B2315" s="53">
        <v>45777</v>
      </c>
      <c r="C2315" s="291">
        <v>80242.240000000005</v>
      </c>
    </row>
    <row r="2316" spans="2:3" x14ac:dyDescent="0.25">
      <c r="B2316" s="53">
        <v>45779</v>
      </c>
      <c r="C2316" s="291">
        <v>80501.990000000005</v>
      </c>
    </row>
    <row r="2317" spans="2:3" x14ac:dyDescent="0.25">
      <c r="B2317" s="53">
        <v>45782</v>
      </c>
      <c r="C2317" s="291">
        <v>80796.84</v>
      </c>
    </row>
    <row r="2318" spans="2:3" x14ac:dyDescent="0.25">
      <c r="B2318" s="53">
        <v>45783</v>
      </c>
      <c r="C2318" s="291">
        <v>80641.070000000007</v>
      </c>
    </row>
    <row r="2319" spans="2:3" x14ac:dyDescent="0.25">
      <c r="B2319" s="53">
        <v>45784</v>
      </c>
      <c r="C2319" s="291">
        <v>80746.78</v>
      </c>
    </row>
    <row r="2320" spans="2:3" x14ac:dyDescent="0.25">
      <c r="B2320" s="53">
        <v>45785</v>
      </c>
      <c r="C2320" s="291">
        <v>80334.81</v>
      </c>
    </row>
    <row r="2321" spans="2:3" x14ac:dyDescent="0.25">
      <c r="B2321" s="53">
        <v>45786</v>
      </c>
      <c r="C2321" s="291">
        <v>79454.47</v>
      </c>
    </row>
    <row r="2322" spans="2:3" x14ac:dyDescent="0.25">
      <c r="B2322" s="53">
        <v>45789</v>
      </c>
      <c r="C2322" s="291">
        <v>82429.899999999994</v>
      </c>
    </row>
    <row r="2323" spans="2:3" x14ac:dyDescent="0.25">
      <c r="B2323" s="53">
        <v>45790</v>
      </c>
      <c r="C2323" s="291">
        <v>81148.22</v>
      </c>
    </row>
    <row r="2324" spans="2:3" x14ac:dyDescent="0.25">
      <c r="B2324" s="53">
        <v>45791</v>
      </c>
      <c r="C2324" s="291">
        <v>81330.559999999998</v>
      </c>
    </row>
    <row r="2325" spans="2:3" x14ac:dyDescent="0.25">
      <c r="B2325" s="53">
        <v>45792</v>
      </c>
      <c r="C2325" s="291">
        <v>82530.740000000005</v>
      </c>
    </row>
    <row r="2326" spans="2:3" x14ac:dyDescent="0.25">
      <c r="B2326" s="53">
        <v>45793</v>
      </c>
      <c r="C2326" s="291">
        <v>82330.59</v>
      </c>
    </row>
    <row r="2327" spans="2:3" x14ac:dyDescent="0.25">
      <c r="B2327" s="53">
        <v>45796</v>
      </c>
      <c r="C2327" s="291">
        <v>82059.42</v>
      </c>
    </row>
    <row r="2328" spans="2:3" x14ac:dyDescent="0.25">
      <c r="B2328" s="53">
        <v>45797</v>
      </c>
      <c r="C2328" s="291">
        <v>81186.44</v>
      </c>
    </row>
    <row r="2329" spans="2:3" x14ac:dyDescent="0.25">
      <c r="B2329" s="53">
        <v>45798</v>
      </c>
      <c r="C2329" s="291">
        <v>81596.63</v>
      </c>
    </row>
    <row r="2330" spans="2:3" x14ac:dyDescent="0.25">
      <c r="B2330" s="53">
        <v>45799</v>
      </c>
      <c r="C2330" s="291">
        <v>80951.990000000005</v>
      </c>
    </row>
    <row r="2331" spans="2:3" x14ac:dyDescent="0.25">
      <c r="B2331" s="53">
        <v>45800</v>
      </c>
      <c r="C2331" s="291">
        <v>81721.08</v>
      </c>
    </row>
    <row r="2332" spans="2:3" x14ac:dyDescent="0.25">
      <c r="B2332" s="53">
        <v>45803</v>
      </c>
      <c r="C2332" s="291">
        <v>82176.45</v>
      </c>
    </row>
    <row r="2333" spans="2:3" x14ac:dyDescent="0.25">
      <c r="B2333" s="53">
        <v>45804</v>
      </c>
      <c r="C2333" s="291">
        <v>81551.63</v>
      </c>
    </row>
    <row r="2334" spans="2:3" x14ac:dyDescent="0.25">
      <c r="B2334" s="53">
        <v>45805</v>
      </c>
      <c r="C2334" s="291">
        <v>81312.320000000007</v>
      </c>
    </row>
    <row r="2335" spans="2:3" x14ac:dyDescent="0.25">
      <c r="B2335" s="53">
        <v>45806</v>
      </c>
      <c r="C2335" s="291">
        <v>81633.02</v>
      </c>
    </row>
    <row r="2336" spans="2:3" x14ac:dyDescent="0.25">
      <c r="B2336" s="53">
        <v>45807</v>
      </c>
      <c r="C2336" s="291">
        <v>81451.009999999995</v>
      </c>
    </row>
    <row r="2337" spans="2:3" x14ac:dyDescent="0.25">
      <c r="B2337" s="53">
        <v>45810</v>
      </c>
      <c r="C2337" s="291">
        <v>81373.75</v>
      </c>
    </row>
    <row r="2338" spans="2:3" x14ac:dyDescent="0.25">
      <c r="B2338" s="53">
        <v>45811</v>
      </c>
      <c r="C2338" s="291">
        <v>80737.509999999995</v>
      </c>
    </row>
    <row r="2339" spans="2:3" x14ac:dyDescent="0.25">
      <c r="B2339" s="53">
        <v>45812</v>
      </c>
      <c r="C2339" s="291">
        <v>80998.25</v>
      </c>
    </row>
    <row r="2340" spans="2:3" x14ac:dyDescent="0.25">
      <c r="B2340" s="53">
        <v>45813</v>
      </c>
      <c r="C2340" s="291">
        <v>81442.039999999994</v>
      </c>
    </row>
    <row r="2341" spans="2:3" x14ac:dyDescent="0.25">
      <c r="B2341" s="53">
        <v>45814</v>
      </c>
      <c r="C2341" s="291">
        <v>82188.990000000005</v>
      </c>
    </row>
    <row r="2342" spans="2:3" x14ac:dyDescent="0.25">
      <c r="B2342" s="53">
        <v>45817</v>
      </c>
      <c r="C2342" s="291">
        <v>82445.210000000006</v>
      </c>
    </row>
    <row r="2343" spans="2:3" x14ac:dyDescent="0.25">
      <c r="B2343" s="53">
        <v>45818</v>
      </c>
      <c r="C2343" s="291">
        <v>82391.72</v>
      </c>
    </row>
    <row r="2344" spans="2:3" x14ac:dyDescent="0.25">
      <c r="B2344" s="53">
        <v>45819</v>
      </c>
      <c r="C2344" s="291">
        <v>82515.14</v>
      </c>
    </row>
    <row r="2345" spans="2:3" x14ac:dyDescent="0.25">
      <c r="B2345" s="53">
        <v>45820</v>
      </c>
      <c r="C2345" s="291">
        <v>81691.98</v>
      </c>
    </row>
    <row r="2346" spans="2:3" x14ac:dyDescent="0.25">
      <c r="B2346" s="53">
        <v>45821</v>
      </c>
      <c r="C2346" s="291">
        <v>81118.600000000006</v>
      </c>
    </row>
    <row r="2347" spans="2:3" x14ac:dyDescent="0.25">
      <c r="B2347" s="53">
        <v>45824</v>
      </c>
      <c r="C2347" s="291">
        <v>81796.149999999994</v>
      </c>
    </row>
    <row r="2348" spans="2:3" x14ac:dyDescent="0.25">
      <c r="B2348" s="53">
        <v>45825</v>
      </c>
      <c r="C2348" s="291">
        <v>81583.3</v>
      </c>
    </row>
    <row r="2349" spans="2:3" x14ac:dyDescent="0.25">
      <c r="B2349" s="53">
        <v>45826</v>
      </c>
      <c r="C2349" s="291">
        <v>81444.66</v>
      </c>
    </row>
    <row r="2350" spans="2:3" x14ac:dyDescent="0.25">
      <c r="B2350" s="53">
        <v>45827</v>
      </c>
      <c r="C2350" s="291">
        <v>81361.87</v>
      </c>
    </row>
    <row r="2351" spans="2:3" x14ac:dyDescent="0.25">
      <c r="B2351" s="53">
        <v>45828</v>
      </c>
      <c r="C2351" s="291">
        <v>82408.17</v>
      </c>
    </row>
    <row r="2352" spans="2:3" x14ac:dyDescent="0.25">
      <c r="B2352" s="53">
        <v>45831</v>
      </c>
      <c r="C2352" s="291">
        <v>81896.789999999994</v>
      </c>
    </row>
    <row r="2353" spans="2:3" x14ac:dyDescent="0.25">
      <c r="B2353" s="53">
        <v>45832</v>
      </c>
      <c r="C2353" s="291">
        <v>82055.11</v>
      </c>
    </row>
    <row r="2354" spans="2:3" x14ac:dyDescent="0.25">
      <c r="B2354" s="53">
        <v>45833</v>
      </c>
      <c r="C2354" s="291">
        <v>82755.509999999995</v>
      </c>
    </row>
    <row r="2355" spans="2:3" x14ac:dyDescent="0.25">
      <c r="B2355" s="53">
        <v>45834</v>
      </c>
      <c r="C2355" s="291">
        <v>83755.87</v>
      </c>
    </row>
    <row r="2356" spans="2:3" x14ac:dyDescent="0.25">
      <c r="B2356" s="53">
        <v>45835</v>
      </c>
      <c r="C2356" s="291">
        <v>84058.9</v>
      </c>
    </row>
    <row r="2357" spans="2:3" x14ac:dyDescent="0.25">
      <c r="B2357" s="53">
        <v>45838</v>
      </c>
      <c r="C2357" s="291">
        <v>83606.460000000006</v>
      </c>
    </row>
    <row r="2358" spans="2:3" x14ac:dyDescent="0.25">
      <c r="B2358" s="53">
        <v>45839</v>
      </c>
      <c r="C2358" s="291">
        <v>83697.289999999994</v>
      </c>
    </row>
    <row r="2359" spans="2:3" x14ac:dyDescent="0.25">
      <c r="B2359" s="53">
        <v>45840</v>
      </c>
      <c r="C2359" s="291">
        <v>83409.69</v>
      </c>
    </row>
    <row r="2360" spans="2:3" x14ac:dyDescent="0.25">
      <c r="B2360" s="53">
        <v>45841</v>
      </c>
      <c r="C2360" s="291">
        <v>83239.47</v>
      </c>
    </row>
    <row r="2361" spans="2:3" x14ac:dyDescent="0.25">
      <c r="B2361" s="53">
        <v>45842</v>
      </c>
      <c r="C2361" s="291">
        <v>83432.89</v>
      </c>
    </row>
    <row r="2362" spans="2:3" x14ac:dyDescent="0.25">
      <c r="B2362" s="53">
        <v>45845</v>
      </c>
      <c r="C2362" s="291">
        <v>83442.5</v>
      </c>
    </row>
    <row r="2363" spans="2:3" x14ac:dyDescent="0.25">
      <c r="B2363" s="53">
        <v>45846</v>
      </c>
      <c r="C2363" s="291">
        <v>83712.509999999995</v>
      </c>
    </row>
    <row r="2364" spans="2:3" x14ac:dyDescent="0.25">
      <c r="B2364" s="53">
        <v>45847</v>
      </c>
      <c r="C2364" s="291">
        <v>83536.08</v>
      </c>
    </row>
    <row r="2365" spans="2:3" x14ac:dyDescent="0.25">
      <c r="B2365" s="53">
        <v>45848</v>
      </c>
      <c r="C2365" s="291">
        <v>83190.28</v>
      </c>
    </row>
    <row r="2366" spans="2:3" x14ac:dyDescent="0.25">
      <c r="B2366" s="53">
        <v>45849</v>
      </c>
      <c r="C2366" s="291">
        <v>82500.47</v>
      </c>
    </row>
    <row r="2367" spans="2:3" x14ac:dyDescent="0.25">
      <c r="B2367" s="53">
        <v>45852</v>
      </c>
      <c r="C2367" s="291">
        <v>82253.460000000006</v>
      </c>
    </row>
    <row r="2368" spans="2:3" x14ac:dyDescent="0.25">
      <c r="B2368" s="53">
        <v>45853</v>
      </c>
      <c r="C2368" s="291">
        <v>82570.91</v>
      </c>
    </row>
    <row r="2369" spans="2:3" x14ac:dyDescent="0.25">
      <c r="B2369" s="53">
        <v>45854</v>
      </c>
      <c r="C2369" s="291">
        <v>82634.48</v>
      </c>
    </row>
    <row r="2370" spans="2:3" x14ac:dyDescent="0.25">
      <c r="B2370" s="53">
        <v>45855</v>
      </c>
      <c r="C2370" s="291">
        <v>82259.240000000005</v>
      </c>
    </row>
    <row r="2371" spans="2:3" x14ac:dyDescent="0.25">
      <c r="B2371" s="53">
        <v>45856</v>
      </c>
      <c r="C2371" s="291">
        <v>81757.73</v>
      </c>
    </row>
    <row r="2372" spans="2:3" x14ac:dyDescent="0.25">
      <c r="B2372" s="53">
        <v>45859</v>
      </c>
      <c r="C2372" s="291">
        <v>82200.34</v>
      </c>
    </row>
    <row r="2373" spans="2:3" x14ac:dyDescent="0.25">
      <c r="B2373" s="53">
        <v>45860</v>
      </c>
      <c r="C2373" s="291">
        <v>82186.81</v>
      </c>
    </row>
    <row r="2374" spans="2:3" x14ac:dyDescent="0.25">
      <c r="B2374" s="53">
        <v>45861</v>
      </c>
      <c r="C2374" s="291">
        <v>82726.64</v>
      </c>
    </row>
    <row r="2375" spans="2:3" x14ac:dyDescent="0.25">
      <c r="B2375" s="53">
        <v>45862</v>
      </c>
      <c r="C2375" s="291">
        <v>82184.17</v>
      </c>
    </row>
    <row r="2376" spans="2:3" x14ac:dyDescent="0.25">
      <c r="B2376" s="53">
        <v>45863</v>
      </c>
      <c r="C2376" s="291">
        <v>81463.09</v>
      </c>
    </row>
    <row r="2377" spans="2:3" x14ac:dyDescent="0.25">
      <c r="B2377" s="53">
        <v>45866</v>
      </c>
      <c r="C2377" s="291">
        <v>80891.02</v>
      </c>
    </row>
    <row r="2378" spans="2:3" x14ac:dyDescent="0.25">
      <c r="B2378" s="53">
        <v>45867</v>
      </c>
      <c r="C2378" s="291">
        <v>81337.95</v>
      </c>
    </row>
    <row r="2379" spans="2:3" x14ac:dyDescent="0.25">
      <c r="B2379" s="53">
        <v>45868</v>
      </c>
      <c r="C2379" s="291">
        <v>81481.86</v>
      </c>
    </row>
    <row r="2380" spans="2:3" x14ac:dyDescent="0.25">
      <c r="B2380" s="53">
        <v>45869</v>
      </c>
      <c r="C2380" s="291">
        <v>81185.58</v>
      </c>
    </row>
    <row r="2381" spans="2:3" x14ac:dyDescent="0.25">
      <c r="B2381" s="53">
        <v>45870</v>
      </c>
      <c r="C2381" s="291">
        <v>80599.91</v>
      </c>
    </row>
    <row r="2382" spans="2:3" x14ac:dyDescent="0.25">
      <c r="B2382" s="53">
        <v>45873</v>
      </c>
      <c r="C2382" s="291">
        <v>81018.720000000001</v>
      </c>
    </row>
    <row r="2383" spans="2:3" x14ac:dyDescent="0.25">
      <c r="B2383" s="53">
        <v>45874</v>
      </c>
      <c r="C2383" s="291">
        <v>80710.25</v>
      </c>
    </row>
    <row r="2384" spans="2:3" x14ac:dyDescent="0.25">
      <c r="B2384" s="53">
        <v>45875</v>
      </c>
      <c r="C2384" s="291">
        <v>80543.990000000005</v>
      </c>
    </row>
    <row r="2385" spans="2:3" x14ac:dyDescent="0.25">
      <c r="B2385" s="53">
        <v>45876</v>
      </c>
      <c r="C2385" s="291">
        <v>80623.259999999995</v>
      </c>
    </row>
    <row r="2386" spans="2:3" x14ac:dyDescent="0.25">
      <c r="B2386" s="53">
        <v>45877</v>
      </c>
      <c r="C2386" s="291">
        <v>79857.789999999994</v>
      </c>
    </row>
    <row r="2387" spans="2:3" x14ac:dyDescent="0.25">
      <c r="B2387" s="53">
        <v>45880</v>
      </c>
      <c r="C2387" s="291">
        <v>80604.08</v>
      </c>
    </row>
    <row r="2388" spans="2:3" x14ac:dyDescent="0.25">
      <c r="B2388" s="53">
        <v>45881</v>
      </c>
      <c r="C2388" s="291">
        <v>80235.59</v>
      </c>
    </row>
    <row r="2389" spans="2:3" x14ac:dyDescent="0.25">
      <c r="B2389" s="53">
        <v>45882</v>
      </c>
      <c r="C2389" s="291">
        <v>80539.91</v>
      </c>
    </row>
    <row r="2390" spans="2:3" x14ac:dyDescent="0.25">
      <c r="B2390" s="53">
        <v>45883</v>
      </c>
      <c r="C2390" s="291">
        <v>80597.66</v>
      </c>
    </row>
    <row r="2391" spans="2:3" x14ac:dyDescent="0.25">
      <c r="B2391" s="53">
        <v>45887</v>
      </c>
      <c r="C2391" s="291">
        <v>81273.75</v>
      </c>
    </row>
    <row r="2392" spans="2:3" x14ac:dyDescent="0.25">
      <c r="B2392" s="53">
        <v>45888</v>
      </c>
      <c r="C2392" s="291">
        <v>81644.39</v>
      </c>
    </row>
    <row r="2393" spans="2:3" x14ac:dyDescent="0.25">
      <c r="B2393" s="53">
        <v>45889</v>
      </c>
      <c r="C2393" s="291">
        <v>81857.84</v>
      </c>
    </row>
    <row r="2394" spans="2:3" x14ac:dyDescent="0.25">
      <c r="B2394" s="53">
        <v>45890</v>
      </c>
      <c r="C2394" s="291">
        <v>82000.710000000006</v>
      </c>
    </row>
    <row r="2395" spans="2:3" x14ac:dyDescent="0.25">
      <c r="B2395" s="53">
        <v>45891</v>
      </c>
      <c r="C2395" s="291">
        <v>81306.850000000006</v>
      </c>
    </row>
    <row r="2396" spans="2:3" x14ac:dyDescent="0.25">
      <c r="B2396" s="53">
        <v>45894</v>
      </c>
      <c r="C2396" s="291">
        <v>81635.91</v>
      </c>
    </row>
    <row r="2397" spans="2:3" x14ac:dyDescent="0.25">
      <c r="B2397" s="53">
        <v>45895</v>
      </c>
      <c r="C2397" s="291">
        <v>80786.539999999994</v>
      </c>
    </row>
    <row r="2398" spans="2:3" x14ac:dyDescent="0.25">
      <c r="B2398" s="53">
        <v>45897</v>
      </c>
      <c r="C2398" s="291">
        <v>80080.570000000007</v>
      </c>
    </row>
    <row r="2399" spans="2:3" x14ac:dyDescent="0.25">
      <c r="B2399" s="53">
        <v>45898</v>
      </c>
      <c r="C2399" s="291">
        <v>79809.649999999994</v>
      </c>
    </row>
    <row r="2400" spans="2:3" x14ac:dyDescent="0.25">
      <c r="B2400" s="53">
        <v>45901</v>
      </c>
      <c r="C2400" s="291">
        <v>80364.490000000005</v>
      </c>
    </row>
    <row r="2401" spans="2:3" x14ac:dyDescent="0.25">
      <c r="B2401" s="53">
        <v>45902</v>
      </c>
      <c r="C2401" s="291">
        <v>80157.88</v>
      </c>
    </row>
    <row r="2402" spans="2:3" x14ac:dyDescent="0.25">
      <c r="B2402" s="53">
        <v>45903</v>
      </c>
      <c r="C2402" s="291">
        <v>80567.710000000006</v>
      </c>
    </row>
    <row r="2403" spans="2:3" x14ac:dyDescent="0.25">
      <c r="B2403" s="53">
        <v>45904</v>
      </c>
      <c r="C2403" s="291">
        <v>80718.009999999995</v>
      </c>
    </row>
    <row r="2404" spans="2:3" x14ac:dyDescent="0.25">
      <c r="B2404" s="53">
        <v>45905</v>
      </c>
      <c r="C2404" s="291">
        <v>80710.759999999995</v>
      </c>
    </row>
    <row r="2405" spans="2:3" x14ac:dyDescent="0.25">
      <c r="B2405" s="53">
        <v>45908</v>
      </c>
      <c r="C2405" s="291">
        <v>80787.3</v>
      </c>
    </row>
    <row r="2406" spans="2:3" x14ac:dyDescent="0.25">
      <c r="B2406" s="53">
        <v>45909</v>
      </c>
      <c r="C2406" s="291">
        <v>81101.320000000007</v>
      </c>
    </row>
    <row r="2407" spans="2:3" x14ac:dyDescent="0.25">
      <c r="B2407" s="53">
        <v>45910</v>
      </c>
      <c r="C2407" s="291">
        <v>81425.149999999994</v>
      </c>
    </row>
    <row r="2408" spans="2:3" x14ac:dyDescent="0.25">
      <c r="B2408" s="53">
        <v>45911</v>
      </c>
      <c r="C2408" s="291">
        <v>81548.73</v>
      </c>
    </row>
    <row r="2409" spans="2:3" x14ac:dyDescent="0.25">
      <c r="B2409" s="53">
        <v>45912</v>
      </c>
      <c r="C2409" s="291">
        <v>81904.7</v>
      </c>
    </row>
    <row r="2410" spans="2:3" x14ac:dyDescent="0.25">
      <c r="B2410" s="53">
        <v>45915</v>
      </c>
      <c r="C2410" s="291">
        <v>81785.740000000005</v>
      </c>
    </row>
    <row r="2411" spans="2:3" x14ac:dyDescent="0.25">
      <c r="B2411" s="53">
        <v>45916</v>
      </c>
      <c r="C2411" s="291">
        <v>82380.69</v>
      </c>
    </row>
    <row r="2412" spans="2:3" x14ac:dyDescent="0.25">
      <c r="B2412" s="53">
        <v>45917</v>
      </c>
      <c r="C2412" s="291">
        <v>82693.710000000006</v>
      </c>
    </row>
    <row r="2413" spans="2:3" x14ac:dyDescent="0.25">
      <c r="B2413" s="53">
        <v>45918</v>
      </c>
      <c r="C2413" s="291">
        <v>83013.960000000006</v>
      </c>
    </row>
    <row r="2414" spans="2:3" x14ac:dyDescent="0.25">
      <c r="B2414" s="53">
        <v>45919</v>
      </c>
      <c r="C2414" s="291">
        <v>82626.23</v>
      </c>
    </row>
    <row r="2415" spans="2:3" x14ac:dyDescent="0.25">
      <c r="B2415" s="53">
        <v>45922</v>
      </c>
      <c r="C2415" s="291">
        <v>82159.97</v>
      </c>
    </row>
    <row r="2416" spans="2:3" x14ac:dyDescent="0.25">
      <c r="B2416" s="53">
        <v>45923</v>
      </c>
      <c r="C2416" s="291">
        <v>82102.100000000006</v>
      </c>
    </row>
    <row r="2417" spans="2:3" x14ac:dyDescent="0.25">
      <c r="B2417" s="53">
        <v>45924</v>
      </c>
      <c r="C2417" s="291">
        <v>81715.63</v>
      </c>
    </row>
    <row r="2418" spans="2:3" x14ac:dyDescent="0.25">
      <c r="B2418" s="53">
        <v>45925</v>
      </c>
      <c r="C2418" s="291">
        <v>81159.679999999993</v>
      </c>
    </row>
    <row r="2419" spans="2:3" x14ac:dyDescent="0.25">
      <c r="B2419" s="53">
        <v>45926</v>
      </c>
      <c r="C2419" s="291">
        <v>80426.460000000006</v>
      </c>
    </row>
    <row r="2420" spans="2:3" x14ac:dyDescent="0.25">
      <c r="B2420" s="53">
        <v>45929</v>
      </c>
      <c r="C2420" s="291">
        <v>80364.94</v>
      </c>
    </row>
    <row r="2421" spans="2:3" x14ac:dyDescent="0.25">
      <c r="B2421" s="53">
        <v>45930</v>
      </c>
      <c r="C2421" s="291">
        <v>80267.62</v>
      </c>
    </row>
    <row r="2422" spans="2:3" x14ac:dyDescent="0.25">
      <c r="B2422" s="53">
        <v>45931</v>
      </c>
      <c r="C2422" s="291">
        <v>80983.31</v>
      </c>
    </row>
    <row r="2423" spans="2:3" x14ac:dyDescent="0.25">
      <c r="B2423" s="53">
        <v>45933</v>
      </c>
      <c r="C2423" s="291">
        <v>81207.17</v>
      </c>
    </row>
    <row r="2424" spans="2:3" x14ac:dyDescent="0.25">
      <c r="B2424" s="53">
        <v>45936</v>
      </c>
      <c r="C2424" s="291">
        <v>81790.12</v>
      </c>
    </row>
    <row r="2425" spans="2:3" x14ac:dyDescent="0.25">
      <c r="B2425" s="53">
        <v>45937</v>
      </c>
      <c r="C2425" s="291">
        <v>81926.75</v>
      </c>
    </row>
    <row r="2426" spans="2:3" x14ac:dyDescent="0.25">
      <c r="B2426" s="53">
        <v>45938</v>
      </c>
      <c r="C2426" s="291">
        <v>81773.66</v>
      </c>
    </row>
    <row r="2427" spans="2:3" x14ac:dyDescent="0.25">
      <c r="B2427" s="53">
        <v>45939</v>
      </c>
      <c r="C2427" s="291">
        <v>82172.100000000006</v>
      </c>
    </row>
    <row r="2428" spans="2:3" x14ac:dyDescent="0.25">
      <c r="B2428" s="53">
        <v>45940</v>
      </c>
      <c r="C2428" s="291">
        <v>82500.820000000007</v>
      </c>
    </row>
    <row r="2429" spans="2:3" x14ac:dyDescent="0.25">
      <c r="B2429" s="53">
        <v>45943</v>
      </c>
      <c r="C2429" s="291">
        <v>82327.05</v>
      </c>
    </row>
    <row r="2430" spans="2:3" x14ac:dyDescent="0.25">
      <c r="B2430" s="53">
        <v>45944</v>
      </c>
      <c r="C2430" s="291">
        <v>82029.98</v>
      </c>
    </row>
    <row r="2431" spans="2:3" x14ac:dyDescent="0.25">
      <c r="B2431" s="53">
        <v>45945</v>
      </c>
      <c r="C2431" s="291">
        <v>82605.429999999993</v>
      </c>
    </row>
    <row r="2432" spans="2:3" x14ac:dyDescent="0.25">
      <c r="B2432" s="53">
        <v>45946</v>
      </c>
      <c r="C2432" s="291">
        <v>83467.66</v>
      </c>
    </row>
    <row r="2433" spans="2:3" x14ac:dyDescent="0.25">
      <c r="B2433" s="53">
        <v>45947</v>
      </c>
      <c r="C2433" s="291">
        <v>83952.19</v>
      </c>
    </row>
    <row r="2434" spans="2:3" x14ac:dyDescent="0.25">
      <c r="B2434" s="53">
        <v>45950</v>
      </c>
      <c r="C2434" s="291">
        <v>84363.37</v>
      </c>
    </row>
    <row r="2435" spans="2:3" x14ac:dyDescent="0.25">
      <c r="B2435" s="53">
        <v>45951</v>
      </c>
      <c r="C2435" s="291">
        <v>84426.34</v>
      </c>
    </row>
    <row r="2436" spans="2:3" x14ac:dyDescent="0.25">
      <c r="B2436" s="53">
        <v>45953</v>
      </c>
      <c r="C2436" s="291">
        <v>84556.4</v>
      </c>
    </row>
    <row r="2437" spans="2:3" x14ac:dyDescent="0.25">
      <c r="B2437" s="53">
        <v>45954</v>
      </c>
      <c r="C2437" s="291">
        <v>84211.88</v>
      </c>
    </row>
    <row r="2438" spans="2:3" x14ac:dyDescent="0.25">
      <c r="B2438" s="53">
        <v>45957</v>
      </c>
      <c r="C2438" s="291">
        <v>84778.84</v>
      </c>
    </row>
    <row r="2439" spans="2:3" x14ac:dyDescent="0.25">
      <c r="B2439" s="53">
        <v>45958</v>
      </c>
      <c r="C2439" s="291">
        <v>84628.160000000003</v>
      </c>
    </row>
    <row r="2440" spans="2:3" x14ac:dyDescent="0.25">
      <c r="B2440" s="53">
        <v>45959</v>
      </c>
      <c r="C2440" s="291">
        <v>84997.13</v>
      </c>
    </row>
    <row r="2441" spans="2:3" x14ac:dyDescent="0.25">
      <c r="B2441" s="53">
        <v>45960</v>
      </c>
      <c r="C2441" s="291">
        <v>84404.46</v>
      </c>
    </row>
    <row r="2442" spans="2:3" x14ac:dyDescent="0.25">
      <c r="B2442" s="53">
        <v>45961</v>
      </c>
      <c r="C2442" s="291">
        <v>83938.71</v>
      </c>
    </row>
    <row r="2443" spans="2:3" x14ac:dyDescent="0.25">
      <c r="B2443" s="53">
        <v>45964</v>
      </c>
      <c r="C2443" s="291">
        <v>83978.49</v>
      </c>
    </row>
    <row r="2444" spans="2:3" x14ac:dyDescent="0.25">
      <c r="B2444" s="53">
        <v>45965</v>
      </c>
      <c r="C2444" s="291">
        <v>83459.149999999994</v>
      </c>
    </row>
    <row r="2445" spans="2:3" x14ac:dyDescent="0.25">
      <c r="B2445" s="53">
        <v>45967</v>
      </c>
      <c r="C2445" s="291">
        <v>83311.009999999995</v>
      </c>
    </row>
    <row r="2446" spans="2:3" x14ac:dyDescent="0.25">
      <c r="B2446" s="53">
        <v>45968</v>
      </c>
      <c r="C2446" s="291">
        <v>83216.28</v>
      </c>
    </row>
    <row r="2447" spans="2:3" x14ac:dyDescent="0.25">
      <c r="B2447" s="53">
        <v>45971</v>
      </c>
      <c r="C2447" s="291">
        <v>83535.350000000006</v>
      </c>
    </row>
    <row r="2448" spans="2:3" x14ac:dyDescent="0.25">
      <c r="B2448" s="53">
        <v>45972</v>
      </c>
      <c r="C2448" s="291">
        <v>83871.320000000007</v>
      </c>
    </row>
    <row r="2449" spans="2:3" x14ac:dyDescent="0.25">
      <c r="B2449" s="53">
        <v>45973</v>
      </c>
      <c r="C2449" s="291">
        <v>84466.51</v>
      </c>
    </row>
    <row r="2450" spans="2:3" x14ac:dyDescent="0.25">
      <c r="B2450" s="53">
        <v>45974</v>
      </c>
      <c r="C2450" s="291">
        <v>84478.67</v>
      </c>
    </row>
    <row r="2451" spans="2:3" x14ac:dyDescent="0.25">
      <c r="B2451" s="53">
        <v>45975</v>
      </c>
      <c r="C2451" s="291">
        <v>84562.78</v>
      </c>
    </row>
    <row r="2452" spans="2:3" x14ac:dyDescent="0.25">
      <c r="B2452" s="53">
        <v>45978</v>
      </c>
      <c r="C2452" s="291">
        <v>84950.95</v>
      </c>
    </row>
    <row r="2453" spans="2:3" x14ac:dyDescent="0.25">
      <c r="B2453" s="53">
        <v>45979</v>
      </c>
      <c r="C2453" s="291">
        <v>84673.02</v>
      </c>
    </row>
    <row r="2454" spans="2:3" x14ac:dyDescent="0.25">
      <c r="B2454" s="53">
        <v>45980</v>
      </c>
      <c r="C2454" s="291">
        <v>85186.47</v>
      </c>
    </row>
    <row r="2455" spans="2:3" x14ac:dyDescent="0.25">
      <c r="B2455" s="53">
        <v>45981</v>
      </c>
      <c r="C2455" s="291">
        <v>85632.68</v>
      </c>
    </row>
    <row r="2456" spans="2:3" x14ac:dyDescent="0.25">
      <c r="B2456" s="53">
        <v>45982</v>
      </c>
      <c r="C2456" s="291">
        <v>85231.92</v>
      </c>
    </row>
    <row r="2457" spans="2:3" x14ac:dyDescent="0.25">
      <c r="B2457" s="53">
        <v>45985</v>
      </c>
      <c r="C2457" s="291">
        <v>84900.71</v>
      </c>
    </row>
    <row r="2458" spans="2:3" x14ac:dyDescent="0.25">
      <c r="B2458" s="53">
        <v>45986</v>
      </c>
      <c r="C2458" s="291">
        <v>84587.01</v>
      </c>
    </row>
    <row r="2459" spans="2:3" x14ac:dyDescent="0.25">
      <c r="B2459" s="53">
        <v>45987</v>
      </c>
      <c r="C2459" s="291">
        <v>85609.51</v>
      </c>
    </row>
    <row r="2460" spans="2:3" x14ac:dyDescent="0.25">
      <c r="B2460" s="53">
        <v>45988</v>
      </c>
      <c r="C2460" s="291">
        <v>85720.38</v>
      </c>
    </row>
    <row r="2461" spans="2:3" x14ac:dyDescent="0.25">
      <c r="B2461" s="53">
        <v>45989</v>
      </c>
      <c r="C2461" s="291">
        <v>85706.67</v>
      </c>
    </row>
    <row r="2462" spans="2:3" x14ac:dyDescent="0.25">
      <c r="B2462" s="53">
        <v>45992</v>
      </c>
      <c r="C2462" s="291">
        <v>85641.9</v>
      </c>
    </row>
    <row r="2463" spans="2:3" x14ac:dyDescent="0.25">
      <c r="B2463" s="53">
        <v>45993</v>
      </c>
      <c r="C2463" s="291">
        <v>85138.27</v>
      </c>
    </row>
    <row r="2464" spans="2:3" x14ac:dyDescent="0.25">
      <c r="B2464" s="53">
        <v>45994</v>
      </c>
      <c r="C2464" s="291">
        <v>85106.81</v>
      </c>
    </row>
    <row r="2465" spans="2:3" x14ac:dyDescent="0.25">
      <c r="B2465" s="53">
        <v>45995</v>
      </c>
      <c r="C2465" s="291">
        <v>85265.32</v>
      </c>
    </row>
    <row r="2466" spans="2:3" x14ac:dyDescent="0.25">
      <c r="B2466" s="53">
        <v>45996</v>
      </c>
      <c r="C2466" s="291">
        <v>85712.37</v>
      </c>
    </row>
    <row r="2467" spans="2:3" x14ac:dyDescent="0.25">
      <c r="B2467" s="53">
        <v>45999</v>
      </c>
      <c r="C2467" s="291">
        <v>85102.69</v>
      </c>
    </row>
    <row r="2468" spans="2:3" x14ac:dyDescent="0.25">
      <c r="B2468" s="53">
        <v>46000</v>
      </c>
      <c r="C2468" s="291">
        <v>84666.28</v>
      </c>
    </row>
    <row r="2469" spans="2:3" x14ac:dyDescent="0.25">
      <c r="B2469" s="53">
        <v>46001</v>
      </c>
      <c r="C2469" s="291">
        <v>84391.27</v>
      </c>
    </row>
    <row r="2470" spans="2:3" x14ac:dyDescent="0.25">
      <c r="B2470" s="53">
        <v>46002</v>
      </c>
      <c r="C2470" s="291">
        <v>84818.13</v>
      </c>
    </row>
    <row r="2471" spans="2:3" x14ac:dyDescent="0.25">
      <c r="B2471" s="53">
        <v>46003</v>
      </c>
      <c r="C2471" s="291">
        <v>85267.66</v>
      </c>
    </row>
    <row r="2472" spans="2:3" x14ac:dyDescent="0.25">
      <c r="B2472" s="53">
        <v>46006</v>
      </c>
      <c r="C2472" s="291">
        <v>85213.36</v>
      </c>
    </row>
    <row r="2473" spans="2:3" x14ac:dyDescent="0.25">
      <c r="B2473" s="53">
        <v>46007</v>
      </c>
      <c r="C2473" s="291">
        <v>84679.86</v>
      </c>
    </row>
    <row r="2474" spans="2:3" x14ac:dyDescent="0.25">
      <c r="B2474" s="53">
        <v>46008</v>
      </c>
      <c r="C2474" s="291">
        <v>84559.65</v>
      </c>
    </row>
    <row r="2475" spans="2:3" x14ac:dyDescent="0.25">
      <c r="B2475" s="53">
        <v>46009</v>
      </c>
      <c r="C2475" s="291">
        <v>84481.81</v>
      </c>
    </row>
    <row r="2476" spans="2:3" x14ac:dyDescent="0.25">
      <c r="B2476" s="53">
        <v>46010</v>
      </c>
      <c r="C2476" s="291">
        <v>84929.36</v>
      </c>
    </row>
    <row r="2477" spans="2:3" x14ac:dyDescent="0.25">
      <c r="B2477" s="53">
        <v>46013</v>
      </c>
      <c r="C2477" s="291">
        <v>85567.48</v>
      </c>
    </row>
    <row r="2478" spans="2:3" x14ac:dyDescent="0.25">
      <c r="B2478" s="53">
        <v>46014</v>
      </c>
      <c r="C2478" s="291">
        <v>85524.84</v>
      </c>
    </row>
    <row r="2479" spans="2:3" x14ac:dyDescent="0.25">
      <c r="B2479" s="53">
        <v>46015</v>
      </c>
      <c r="C2479" s="291">
        <v>85408.7</v>
      </c>
    </row>
    <row r="2480" spans="2:3" x14ac:dyDescent="0.25">
      <c r="B2480" s="53">
        <v>46017</v>
      </c>
      <c r="C2480" s="291">
        <v>85041.45</v>
      </c>
    </row>
    <row r="2481" spans="2:3" x14ac:dyDescent="0.25">
      <c r="B2481" s="53">
        <v>46020</v>
      </c>
      <c r="C2481" s="291">
        <v>84695.54</v>
      </c>
    </row>
    <row r="2482" spans="2:3" x14ac:dyDescent="0.25">
      <c r="B2482" s="53">
        <v>46021</v>
      </c>
      <c r="C2482" s="291">
        <v>84675.08</v>
      </c>
    </row>
    <row r="2483" spans="2:3" x14ac:dyDescent="0.25">
      <c r="B2483" s="53">
        <v>46022</v>
      </c>
      <c r="C2483" s="291">
        <v>85220.6</v>
      </c>
    </row>
    <row r="2484" spans="2:3" x14ac:dyDescent="0.25">
      <c r="B2484" s="53">
        <v>46023</v>
      </c>
      <c r="C2484" s="291">
        <v>85188.6</v>
      </c>
    </row>
    <row r="2485" spans="2:3" x14ac:dyDescent="0.25">
      <c r="B2485" s="53">
        <v>46024</v>
      </c>
      <c r="C2485" s="291">
        <v>85762.01</v>
      </c>
    </row>
    <row r="2486" spans="2:3" x14ac:dyDescent="0.25">
      <c r="B2486" s="53">
        <v>46027</v>
      </c>
      <c r="C2486" s="291">
        <v>85439.62</v>
      </c>
    </row>
    <row r="2487" spans="2:3" x14ac:dyDescent="0.25">
      <c r="B2487" s="53">
        <v>46028</v>
      </c>
      <c r="C2487" s="291">
        <v>85063.34</v>
      </c>
    </row>
    <row r="2488" spans="2:3" x14ac:dyDescent="0.25">
      <c r="B2488" s="53">
        <v>46029</v>
      </c>
      <c r="C2488" s="291">
        <v>84961.14</v>
      </c>
    </row>
  </sheetData>
  <mergeCells count="2">
    <mergeCell ref="B7:C7"/>
    <mergeCell ref="B5:G5"/>
  </mergeCells>
  <hyperlinks>
    <hyperlink ref="F7" r:id="rId1" display="https://www.bseindia.com/indices/IndexArchiveData.html"/>
  </hyperlinks>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P69"/>
  <sheetViews>
    <sheetView showGridLines="0" topLeftCell="A4" workbookViewId="0">
      <selection activeCell="I11" sqref="I11"/>
    </sheetView>
  </sheetViews>
  <sheetFormatPr defaultRowHeight="15" x14ac:dyDescent="0.25"/>
  <cols>
    <col min="1" max="1" width="1.85546875" customWidth="1"/>
    <col min="8" max="8" width="18" bestFit="1" customWidth="1"/>
    <col min="9" max="9" width="10.5703125" bestFit="1" customWidth="1"/>
    <col min="10" max="13" width="9.5703125" bestFit="1" customWidth="1"/>
    <col min="16" max="16" width="12.5703125" bestFit="1" customWidth="1"/>
  </cols>
  <sheetData>
    <row r="5" spans="2:16" x14ac:dyDescent="0.25">
      <c r="B5" s="422" t="s">
        <v>363</v>
      </c>
      <c r="C5" s="422"/>
      <c r="D5" s="422"/>
      <c r="E5" s="422"/>
      <c r="F5" s="422"/>
      <c r="G5" s="422"/>
      <c r="H5" s="422"/>
      <c r="I5" s="422"/>
      <c r="J5" s="422"/>
    </row>
    <row r="7" spans="2:16" x14ac:dyDescent="0.25">
      <c r="B7" s="426" t="s">
        <v>184</v>
      </c>
      <c r="C7" s="428" t="s">
        <v>185</v>
      </c>
      <c r="D7" s="428" t="s">
        <v>186</v>
      </c>
      <c r="E7" s="428" t="s">
        <v>187</v>
      </c>
      <c r="F7" s="428" t="s">
        <v>186</v>
      </c>
      <c r="H7" s="47" t="s">
        <v>178</v>
      </c>
      <c r="I7" s="48" t="s">
        <v>179</v>
      </c>
      <c r="J7" s="49"/>
    </row>
    <row r="8" spans="2:16" ht="15.75" thickBot="1" x14ac:dyDescent="0.3">
      <c r="B8" s="427"/>
      <c r="C8" s="429"/>
      <c r="D8" s="429"/>
      <c r="E8" s="429"/>
      <c r="F8" s="429"/>
    </row>
    <row r="9" spans="2:16" x14ac:dyDescent="0.25">
      <c r="B9" s="62">
        <v>44197</v>
      </c>
      <c r="C9" s="56">
        <v>46285.77</v>
      </c>
      <c r="D9" s="60"/>
      <c r="E9" s="56">
        <v>347.25</v>
      </c>
      <c r="F9" s="60"/>
      <c r="H9" s="58" t="s">
        <v>188</v>
      </c>
      <c r="I9" s="59">
        <f>SLOPE(F10:F69,D10:D69)</f>
        <v>1.2602979368779437</v>
      </c>
    </row>
    <row r="10" spans="2:16" x14ac:dyDescent="0.25">
      <c r="B10" s="63">
        <v>44228</v>
      </c>
      <c r="C10" s="57">
        <v>49099.99</v>
      </c>
      <c r="D10" s="61">
        <f>C10/C9-1</f>
        <v>6.0800976196355938E-2</v>
      </c>
      <c r="E10" s="57">
        <v>531.85</v>
      </c>
      <c r="F10" s="61">
        <f>E10/E9-1</f>
        <v>0.53160547156227511</v>
      </c>
      <c r="H10" s="58" t="s">
        <v>188</v>
      </c>
      <c r="I10" s="59">
        <f>_xlfn.COVARIANCE.S(F10:F69,D10:D69)/_xlfn.VAR.S(D10:D69)</f>
        <v>1.2602979368779439</v>
      </c>
    </row>
    <row r="11" spans="2:16" x14ac:dyDescent="0.25">
      <c r="B11" s="63">
        <v>44256</v>
      </c>
      <c r="C11" s="57">
        <v>49509.15</v>
      </c>
      <c r="D11" s="61">
        <f t="shared" ref="D11:F69" si="0">C11/C10-1</f>
        <v>8.3331992531974208E-3</v>
      </c>
      <c r="E11" s="57">
        <v>540.1</v>
      </c>
      <c r="F11" s="61">
        <f t="shared" si="0"/>
        <v>1.5511892450879028E-2</v>
      </c>
      <c r="H11" s="58" t="s">
        <v>188</v>
      </c>
      <c r="I11" s="59">
        <f>I30</f>
        <v>1.2602979368779437</v>
      </c>
    </row>
    <row r="12" spans="2:16" ht="15.75" thickBot="1" x14ac:dyDescent="0.3">
      <c r="B12" s="63">
        <v>44287</v>
      </c>
      <c r="C12" s="57">
        <v>48782.36</v>
      </c>
      <c r="D12" s="61">
        <f t="shared" si="0"/>
        <v>-1.4679912703005393E-2</v>
      </c>
      <c r="E12" s="57">
        <v>723.8</v>
      </c>
      <c r="F12" s="61">
        <f t="shared" si="0"/>
        <v>0.34012219959266798</v>
      </c>
    </row>
    <row r="13" spans="2:16" x14ac:dyDescent="0.25">
      <c r="B13" s="63">
        <v>44317</v>
      </c>
      <c r="C13" s="57">
        <v>51937.440000000002</v>
      </c>
      <c r="D13" s="61">
        <f t="shared" si="0"/>
        <v>6.4676657709877183E-2</v>
      </c>
      <c r="E13" s="57">
        <v>868.3</v>
      </c>
      <c r="F13" s="61">
        <f t="shared" si="0"/>
        <v>0.19964078474716773</v>
      </c>
      <c r="H13" s="232" t="s">
        <v>189</v>
      </c>
      <c r="I13" s="233"/>
      <c r="J13" s="233"/>
      <c r="K13" s="233"/>
      <c r="L13" s="233"/>
      <c r="M13" s="233"/>
      <c r="N13" s="233"/>
      <c r="O13" s="233"/>
      <c r="P13" s="234"/>
    </row>
    <row r="14" spans="2:16" ht="15.75" thickBot="1" x14ac:dyDescent="0.3">
      <c r="B14" s="63">
        <v>44348</v>
      </c>
      <c r="C14" s="57">
        <v>52482.71</v>
      </c>
      <c r="D14" s="61">
        <f t="shared" si="0"/>
        <v>1.0498592152404784E-2</v>
      </c>
      <c r="E14" s="57">
        <v>1006.8</v>
      </c>
      <c r="F14" s="61">
        <f t="shared" si="0"/>
        <v>0.15950708280548209</v>
      </c>
      <c r="H14" s="235"/>
      <c r="I14" s="96"/>
      <c r="J14" s="96"/>
      <c r="K14" s="96"/>
      <c r="L14" s="96"/>
      <c r="M14" s="96"/>
      <c r="N14" s="96"/>
      <c r="O14" s="96"/>
      <c r="P14" s="236"/>
    </row>
    <row r="15" spans="2:16" x14ac:dyDescent="0.25">
      <c r="B15" s="63">
        <v>44378</v>
      </c>
      <c r="C15" s="57">
        <v>52586.84</v>
      </c>
      <c r="D15" s="61">
        <f t="shared" si="0"/>
        <v>1.9840819957657185E-3</v>
      </c>
      <c r="E15" s="57">
        <v>1361.65</v>
      </c>
      <c r="F15" s="61">
        <f t="shared" si="0"/>
        <v>0.35245331744139863</v>
      </c>
      <c r="H15" s="237" t="s">
        <v>190</v>
      </c>
      <c r="I15" s="66"/>
      <c r="J15" s="96"/>
      <c r="K15" s="96"/>
      <c r="L15" s="96"/>
      <c r="M15" s="96"/>
      <c r="N15" s="96"/>
      <c r="O15" s="96"/>
      <c r="P15" s="236"/>
    </row>
    <row r="16" spans="2:16" x14ac:dyDescent="0.25">
      <c r="B16" s="63">
        <v>44409</v>
      </c>
      <c r="C16" s="57">
        <v>57552.39</v>
      </c>
      <c r="D16" s="61">
        <f t="shared" si="0"/>
        <v>9.4425715635318763E-2</v>
      </c>
      <c r="E16" s="57">
        <v>1428.7</v>
      </c>
      <c r="F16" s="61">
        <f t="shared" si="0"/>
        <v>4.924172878493005E-2</v>
      </c>
      <c r="H16" s="238" t="s">
        <v>191</v>
      </c>
      <c r="I16" s="292">
        <v>0.37127902838291066</v>
      </c>
      <c r="J16" s="96"/>
      <c r="K16" s="96"/>
      <c r="L16" s="96"/>
      <c r="M16" s="96"/>
      <c r="N16" s="96"/>
      <c r="O16" s="96"/>
      <c r="P16" s="236"/>
    </row>
    <row r="17" spans="2:16" x14ac:dyDescent="0.25">
      <c r="B17" s="63">
        <v>44440</v>
      </c>
      <c r="C17" s="57">
        <v>59126.36</v>
      </c>
      <c r="D17" s="61">
        <f t="shared" si="0"/>
        <v>2.7348473277999386E-2</v>
      </c>
      <c r="E17" s="57">
        <v>1382.95</v>
      </c>
      <c r="F17" s="61">
        <f t="shared" si="0"/>
        <v>-3.2022118009379152E-2</v>
      </c>
      <c r="H17" s="238" t="s">
        <v>192</v>
      </c>
      <c r="I17" s="292">
        <v>0.1378481169169582</v>
      </c>
      <c r="J17" s="96"/>
      <c r="K17" s="96"/>
      <c r="L17" s="96"/>
      <c r="M17" s="96"/>
      <c r="N17" s="96"/>
      <c r="O17" s="96"/>
      <c r="P17" s="236"/>
    </row>
    <row r="18" spans="2:16" x14ac:dyDescent="0.25">
      <c r="B18" s="63">
        <v>44470</v>
      </c>
      <c r="C18" s="57">
        <v>59306.93</v>
      </c>
      <c r="D18" s="61">
        <f t="shared" si="0"/>
        <v>3.0539678072520893E-3</v>
      </c>
      <c r="E18" s="57">
        <v>1271.8499999999999</v>
      </c>
      <c r="F18" s="61">
        <f t="shared" si="0"/>
        <v>-8.0335514660689222E-2</v>
      </c>
      <c r="H18" s="238" t="s">
        <v>193</v>
      </c>
      <c r="I18" s="292">
        <v>0.12298342927759541</v>
      </c>
      <c r="J18" s="96"/>
      <c r="K18" s="96"/>
      <c r="L18" s="96"/>
      <c r="M18" s="96"/>
      <c r="N18" s="96"/>
      <c r="O18" s="96"/>
      <c r="P18" s="236"/>
    </row>
    <row r="19" spans="2:16" x14ac:dyDescent="0.25">
      <c r="B19" s="63">
        <v>44501</v>
      </c>
      <c r="C19" s="57">
        <v>57064.87</v>
      </c>
      <c r="D19" s="61">
        <f t="shared" si="0"/>
        <v>-3.7804351026094252E-2</v>
      </c>
      <c r="E19" s="57">
        <v>1206.75</v>
      </c>
      <c r="F19" s="61">
        <f t="shared" si="0"/>
        <v>-5.1185281283170125E-2</v>
      </c>
      <c r="H19" s="238" t="s">
        <v>194</v>
      </c>
      <c r="I19" s="292">
        <v>0.11168832872589378</v>
      </c>
      <c r="J19" s="96"/>
      <c r="K19" s="96"/>
      <c r="L19" s="96"/>
      <c r="M19" s="96"/>
      <c r="N19" s="96"/>
      <c r="O19" s="96"/>
      <c r="P19" s="236"/>
    </row>
    <row r="20" spans="2:16" ht="15.75" thickBot="1" x14ac:dyDescent="0.3">
      <c r="B20" s="63">
        <v>44531</v>
      </c>
      <c r="C20" s="57">
        <v>58253.82</v>
      </c>
      <c r="D20" s="61">
        <f t="shared" si="0"/>
        <v>2.0835060169242414E-2</v>
      </c>
      <c r="E20" s="57">
        <v>1296.3499999999999</v>
      </c>
      <c r="F20" s="61">
        <f t="shared" si="0"/>
        <v>7.4249015951936892E-2</v>
      </c>
      <c r="H20" s="239" t="s">
        <v>195</v>
      </c>
      <c r="I20" s="64">
        <v>60</v>
      </c>
      <c r="J20" s="96"/>
      <c r="K20" s="96"/>
      <c r="L20" s="96"/>
      <c r="M20" s="96"/>
      <c r="N20" s="96"/>
      <c r="O20" s="96"/>
      <c r="P20" s="236"/>
    </row>
    <row r="21" spans="2:16" x14ac:dyDescent="0.25">
      <c r="B21" s="63">
        <v>44562</v>
      </c>
      <c r="C21" s="57">
        <v>58014.17</v>
      </c>
      <c r="D21" s="61">
        <f t="shared" si="0"/>
        <v>-4.113893303477778E-3</v>
      </c>
      <c r="E21" s="57">
        <v>1150.75</v>
      </c>
      <c r="F21" s="61">
        <f t="shared" si="0"/>
        <v>-0.11231534693562684</v>
      </c>
      <c r="H21" s="235"/>
      <c r="I21" s="96"/>
      <c r="J21" s="96"/>
      <c r="K21" s="96"/>
      <c r="L21" s="96"/>
      <c r="M21" s="96"/>
      <c r="N21" s="96"/>
      <c r="O21" s="96"/>
      <c r="P21" s="236"/>
    </row>
    <row r="22" spans="2:16" ht="15.75" thickBot="1" x14ac:dyDescent="0.3">
      <c r="B22" s="63">
        <v>44593</v>
      </c>
      <c r="C22" s="57">
        <v>56247.28</v>
      </c>
      <c r="D22" s="61">
        <f t="shared" si="0"/>
        <v>-3.0456179929834404E-2</v>
      </c>
      <c r="E22" s="57">
        <v>979.55</v>
      </c>
      <c r="F22" s="61">
        <f t="shared" si="0"/>
        <v>-0.1487725396480557</v>
      </c>
      <c r="H22" s="235" t="s">
        <v>196</v>
      </c>
      <c r="I22" s="96"/>
      <c r="J22" s="96"/>
      <c r="K22" s="96"/>
      <c r="L22" s="96"/>
      <c r="M22" s="96"/>
      <c r="N22" s="96"/>
      <c r="O22" s="96"/>
      <c r="P22" s="236"/>
    </row>
    <row r="23" spans="2:16" x14ac:dyDescent="0.25">
      <c r="B23" s="63">
        <v>44621</v>
      </c>
      <c r="C23" s="57">
        <v>58568.51</v>
      </c>
      <c r="D23" s="61">
        <f t="shared" si="0"/>
        <v>4.1268306663006626E-2</v>
      </c>
      <c r="E23" s="57">
        <v>1055.2</v>
      </c>
      <c r="F23" s="61">
        <f t="shared" si="0"/>
        <v>7.7229340003062807E-2</v>
      </c>
      <c r="H23" s="240"/>
      <c r="I23" s="65" t="s">
        <v>201</v>
      </c>
      <c r="J23" s="65" t="s">
        <v>202</v>
      </c>
      <c r="K23" s="65" t="s">
        <v>203</v>
      </c>
      <c r="L23" s="65" t="s">
        <v>204</v>
      </c>
      <c r="M23" s="65" t="s">
        <v>205</v>
      </c>
      <c r="N23" s="96"/>
      <c r="O23" s="96"/>
      <c r="P23" s="236"/>
    </row>
    <row r="24" spans="2:16" x14ac:dyDescent="0.25">
      <c r="B24" s="63">
        <v>44652</v>
      </c>
      <c r="C24" s="57">
        <v>57060.87</v>
      </c>
      <c r="D24" s="61">
        <f t="shared" si="0"/>
        <v>-2.5741477800954815E-2</v>
      </c>
      <c r="E24" s="57">
        <v>1000.15</v>
      </c>
      <c r="F24" s="61">
        <f t="shared" si="0"/>
        <v>-5.2170204700530798E-2</v>
      </c>
      <c r="H24" s="238" t="s">
        <v>197</v>
      </c>
      <c r="I24" s="292">
        <v>1</v>
      </c>
      <c r="J24" s="292">
        <v>0.11568062726556039</v>
      </c>
      <c r="K24" s="292">
        <v>0.11568062726556039</v>
      </c>
      <c r="L24" s="292">
        <v>9.2735293375372514</v>
      </c>
      <c r="M24" s="292">
        <v>3.4936684447918667E-3</v>
      </c>
      <c r="N24" s="96"/>
      <c r="O24" s="96"/>
      <c r="P24" s="236"/>
    </row>
    <row r="25" spans="2:16" x14ac:dyDescent="0.25">
      <c r="B25" s="63">
        <v>44682</v>
      </c>
      <c r="C25" s="57">
        <v>55566.41</v>
      </c>
      <c r="D25" s="61">
        <f t="shared" si="0"/>
        <v>-2.6190627657797672E-2</v>
      </c>
      <c r="E25" s="57">
        <v>904.8</v>
      </c>
      <c r="F25" s="61">
        <f t="shared" si="0"/>
        <v>-9.5335699645053285E-2</v>
      </c>
      <c r="H25" s="238" t="s">
        <v>198</v>
      </c>
      <c r="I25" s="292">
        <v>58</v>
      </c>
      <c r="J25" s="292">
        <v>0.72350840086783197</v>
      </c>
      <c r="K25" s="292">
        <v>1.247428277358331E-2</v>
      </c>
      <c r="L25" s="292"/>
      <c r="M25" s="292"/>
      <c r="N25" s="96"/>
      <c r="O25" s="96"/>
      <c r="P25" s="236"/>
    </row>
    <row r="26" spans="2:16" ht="15.75" thickBot="1" x14ac:dyDescent="0.3">
      <c r="B26" s="63">
        <v>44713</v>
      </c>
      <c r="C26" s="57">
        <v>53018.94</v>
      </c>
      <c r="D26" s="61">
        <f t="shared" si="0"/>
        <v>-4.5845502705681329E-2</v>
      </c>
      <c r="E26" s="57">
        <v>829.5</v>
      </c>
      <c r="F26" s="61">
        <f t="shared" si="0"/>
        <v>-8.3222811671087471E-2</v>
      </c>
      <c r="H26" s="239" t="s">
        <v>199</v>
      </c>
      <c r="I26" s="293">
        <v>59</v>
      </c>
      <c r="J26" s="293">
        <v>0.83918902813339236</v>
      </c>
      <c r="K26" s="293"/>
      <c r="L26" s="293"/>
      <c r="M26" s="293"/>
      <c r="N26" s="96"/>
      <c r="O26" s="96"/>
      <c r="P26" s="236"/>
    </row>
    <row r="27" spans="2:16" ht="15.75" thickBot="1" x14ac:dyDescent="0.3">
      <c r="B27" s="63">
        <v>44743</v>
      </c>
      <c r="C27" s="57">
        <v>57570.25</v>
      </c>
      <c r="D27" s="61">
        <f t="shared" si="0"/>
        <v>8.5843096825398479E-2</v>
      </c>
      <c r="E27" s="57">
        <v>967.3</v>
      </c>
      <c r="F27" s="61">
        <f t="shared" si="0"/>
        <v>0.16612417118746237</v>
      </c>
      <c r="H27" s="235"/>
      <c r="I27" s="96"/>
      <c r="J27" s="96"/>
      <c r="K27" s="96"/>
      <c r="L27" s="96"/>
      <c r="M27" s="96"/>
      <c r="N27" s="96"/>
      <c r="O27" s="96"/>
      <c r="P27" s="236"/>
    </row>
    <row r="28" spans="2:16" x14ac:dyDescent="0.25">
      <c r="B28" s="63">
        <v>44774</v>
      </c>
      <c r="C28" s="57">
        <v>59537.07</v>
      </c>
      <c r="D28" s="61">
        <f t="shared" si="0"/>
        <v>3.4163825934401926E-2</v>
      </c>
      <c r="E28" s="57">
        <v>1031.8</v>
      </c>
      <c r="F28" s="61">
        <f t="shared" si="0"/>
        <v>6.6680450739170949E-2</v>
      </c>
      <c r="H28" s="240"/>
      <c r="I28" s="65" t="s">
        <v>206</v>
      </c>
      <c r="J28" s="65" t="s">
        <v>194</v>
      </c>
      <c r="K28" s="65" t="s">
        <v>207</v>
      </c>
      <c r="L28" s="65" t="s">
        <v>208</v>
      </c>
      <c r="M28" s="65" t="s">
        <v>209</v>
      </c>
      <c r="N28" s="65" t="s">
        <v>210</v>
      </c>
      <c r="O28" s="65" t="s">
        <v>211</v>
      </c>
      <c r="P28" s="241" t="s">
        <v>212</v>
      </c>
    </row>
    <row r="29" spans="2:16" x14ac:dyDescent="0.25">
      <c r="B29" s="63">
        <v>44805</v>
      </c>
      <c r="C29" s="57">
        <v>57426.92</v>
      </c>
      <c r="D29" s="61">
        <f t="shared" si="0"/>
        <v>-3.5442624233943731E-2</v>
      </c>
      <c r="E29" s="57">
        <v>992.95</v>
      </c>
      <c r="F29" s="61">
        <f t="shared" si="0"/>
        <v>-3.7652645861600997E-2</v>
      </c>
      <c r="H29" s="238" t="s">
        <v>200</v>
      </c>
      <c r="I29" s="294">
        <v>-3.0299461646304138E-3</v>
      </c>
      <c r="J29" s="294">
        <v>1.5097843885822877E-2</v>
      </c>
      <c r="K29" s="294">
        <v>-0.20068734234797481</v>
      </c>
      <c r="L29" s="294">
        <v>0.84164514427056969</v>
      </c>
      <c r="M29" s="294">
        <v>-3.3251564243777301E-2</v>
      </c>
      <c r="N29" s="294">
        <v>2.7191671914516477E-2</v>
      </c>
      <c r="O29" s="294">
        <v>-3.3251564243777301E-2</v>
      </c>
      <c r="P29" s="295">
        <v>2.7191671914516477E-2</v>
      </c>
    </row>
    <row r="30" spans="2:16" ht="15.75" thickBot="1" x14ac:dyDescent="0.3">
      <c r="B30" s="63">
        <v>44835</v>
      </c>
      <c r="C30" s="57">
        <v>60746.59</v>
      </c>
      <c r="D30" s="61">
        <f t="shared" si="0"/>
        <v>5.7806861311733293E-2</v>
      </c>
      <c r="E30" s="57">
        <v>970.85</v>
      </c>
      <c r="F30" s="61">
        <f t="shared" si="0"/>
        <v>-2.2256911224130094E-2</v>
      </c>
      <c r="H30" s="239" t="s">
        <v>213</v>
      </c>
      <c r="I30" s="296">
        <v>1.2602979368779437</v>
      </c>
      <c r="J30" s="297">
        <v>0.41385737633639708</v>
      </c>
      <c r="K30" s="297">
        <v>3.0452470076394906</v>
      </c>
      <c r="L30" s="297">
        <v>3.4936684447918359E-3</v>
      </c>
      <c r="M30" s="297">
        <v>0.43187239072290307</v>
      </c>
      <c r="N30" s="297">
        <v>2.0887234830329842</v>
      </c>
      <c r="O30" s="297">
        <v>0.43187239072290307</v>
      </c>
      <c r="P30" s="298">
        <v>2.0887234830329842</v>
      </c>
    </row>
    <row r="31" spans="2:16" x14ac:dyDescent="0.25">
      <c r="B31" s="63">
        <v>44866</v>
      </c>
      <c r="C31" s="57">
        <v>63099.65</v>
      </c>
      <c r="D31" s="61">
        <f t="shared" si="0"/>
        <v>3.8735672241026364E-2</v>
      </c>
      <c r="E31" s="57">
        <v>947.85</v>
      </c>
      <c r="F31" s="61">
        <f t="shared" si="0"/>
        <v>-2.3690580419220231E-2</v>
      </c>
    </row>
    <row r="32" spans="2:16" x14ac:dyDescent="0.25">
      <c r="B32" s="63">
        <v>44896</v>
      </c>
      <c r="C32" s="57">
        <v>60840.74</v>
      </c>
      <c r="D32" s="61">
        <f t="shared" si="0"/>
        <v>-3.5799089218403024E-2</v>
      </c>
      <c r="E32" s="57">
        <v>880.6</v>
      </c>
      <c r="F32" s="61">
        <f t="shared" si="0"/>
        <v>-7.0950044838318349E-2</v>
      </c>
    </row>
    <row r="33" spans="2:6" x14ac:dyDescent="0.25">
      <c r="B33" s="63">
        <v>44927</v>
      </c>
      <c r="C33" s="57">
        <v>59549.9</v>
      </c>
      <c r="D33" s="61">
        <f t="shared" si="0"/>
        <v>-2.1216704464804281E-2</v>
      </c>
      <c r="E33" s="57">
        <v>846.95</v>
      </c>
      <c r="F33" s="61">
        <f t="shared" si="0"/>
        <v>-3.8212582330229394E-2</v>
      </c>
    </row>
    <row r="34" spans="2:6" x14ac:dyDescent="0.25">
      <c r="B34" s="63">
        <v>44958</v>
      </c>
      <c r="C34" s="57">
        <v>58962.12</v>
      </c>
      <c r="D34" s="61">
        <f t="shared" si="0"/>
        <v>-9.8703776160833367E-3</v>
      </c>
      <c r="E34" s="57">
        <v>855.3</v>
      </c>
      <c r="F34" s="61">
        <f t="shared" si="0"/>
        <v>9.85890548438495E-3</v>
      </c>
    </row>
    <row r="35" spans="2:6" x14ac:dyDescent="0.25">
      <c r="B35" s="63">
        <v>44986</v>
      </c>
      <c r="C35" s="57">
        <v>58991.519999999997</v>
      </c>
      <c r="D35" s="61">
        <f t="shared" si="0"/>
        <v>4.9862521903887291E-4</v>
      </c>
      <c r="E35" s="57">
        <v>767.8</v>
      </c>
      <c r="F35" s="61">
        <f t="shared" si="0"/>
        <v>-0.10230328539693678</v>
      </c>
    </row>
    <row r="36" spans="2:6" x14ac:dyDescent="0.25">
      <c r="B36" s="63">
        <v>45017</v>
      </c>
      <c r="C36" s="57">
        <v>61112.44</v>
      </c>
      <c r="D36" s="61">
        <f t="shared" si="0"/>
        <v>3.5952964087041739E-2</v>
      </c>
      <c r="E36" s="57">
        <v>822.4</v>
      </c>
      <c r="F36" s="61">
        <f t="shared" si="0"/>
        <v>7.1112268820005209E-2</v>
      </c>
    </row>
    <row r="37" spans="2:6" x14ac:dyDescent="0.25">
      <c r="B37" s="63">
        <v>45047</v>
      </c>
      <c r="C37" s="57">
        <v>62622.239999999998</v>
      </c>
      <c r="D37" s="61">
        <f t="shared" si="0"/>
        <v>2.4705280954254061E-2</v>
      </c>
      <c r="E37" s="57">
        <v>919.4</v>
      </c>
      <c r="F37" s="61">
        <f t="shared" si="0"/>
        <v>0.11794747081712065</v>
      </c>
    </row>
    <row r="38" spans="2:6" x14ac:dyDescent="0.25">
      <c r="B38" s="63">
        <v>45078</v>
      </c>
      <c r="C38" s="57">
        <v>64718.559999999998</v>
      </c>
      <c r="D38" s="61">
        <f t="shared" si="0"/>
        <v>3.3475646990589913E-2</v>
      </c>
      <c r="E38" s="57">
        <v>978.2</v>
      </c>
      <c r="F38" s="61">
        <f t="shared" si="0"/>
        <v>6.3954753099847883E-2</v>
      </c>
    </row>
    <row r="39" spans="2:6" x14ac:dyDescent="0.25">
      <c r="B39" s="63">
        <v>45108</v>
      </c>
      <c r="C39" s="57">
        <v>66527.67</v>
      </c>
      <c r="D39" s="61">
        <f t="shared" si="0"/>
        <v>2.7953495875062684E-2</v>
      </c>
      <c r="E39" s="57">
        <v>924.9</v>
      </c>
      <c r="F39" s="61">
        <f t="shared" si="0"/>
        <v>-5.4487834798609747E-2</v>
      </c>
    </row>
    <row r="40" spans="2:6" x14ac:dyDescent="0.25">
      <c r="B40" s="63">
        <v>45139</v>
      </c>
      <c r="C40" s="57">
        <v>64831.41</v>
      </c>
      <c r="D40" s="61">
        <f t="shared" si="0"/>
        <v>-2.5497060095445945E-2</v>
      </c>
      <c r="E40" s="57">
        <v>927.45</v>
      </c>
      <c r="F40" s="61">
        <f t="shared" si="0"/>
        <v>2.7570548167370479E-3</v>
      </c>
    </row>
    <row r="41" spans="2:6" x14ac:dyDescent="0.25">
      <c r="B41" s="63">
        <v>45170</v>
      </c>
      <c r="C41" s="57">
        <v>65828.41</v>
      </c>
      <c r="D41" s="61">
        <f t="shared" si="0"/>
        <v>1.5378348242001794E-2</v>
      </c>
      <c r="E41" s="57">
        <v>873.95</v>
      </c>
      <c r="F41" s="61">
        <f t="shared" si="0"/>
        <v>-5.7685050407029981E-2</v>
      </c>
    </row>
    <row r="42" spans="2:6" x14ac:dyDescent="0.25">
      <c r="B42" s="63">
        <v>45200</v>
      </c>
      <c r="C42" s="57">
        <v>63874.93</v>
      </c>
      <c r="D42" s="61">
        <f t="shared" si="0"/>
        <v>-2.9675333188208586E-2</v>
      </c>
      <c r="E42" s="57">
        <v>819.2</v>
      </c>
      <c r="F42" s="61">
        <f t="shared" si="0"/>
        <v>-6.2646604496824798E-2</v>
      </c>
    </row>
    <row r="43" spans="2:6" x14ac:dyDescent="0.25">
      <c r="B43" s="63">
        <v>45231</v>
      </c>
      <c r="C43" s="57">
        <v>66988.44</v>
      </c>
      <c r="D43" s="61">
        <f t="shared" si="0"/>
        <v>4.8743849895412916E-2</v>
      </c>
      <c r="E43" s="57">
        <v>836.3</v>
      </c>
      <c r="F43" s="61">
        <f t="shared" si="0"/>
        <v>2.0874023437499778E-2</v>
      </c>
    </row>
    <row r="44" spans="2:6" x14ac:dyDescent="0.25">
      <c r="B44" s="63">
        <v>45261</v>
      </c>
      <c r="C44" s="57">
        <v>72240.259999999995</v>
      </c>
      <c r="D44" s="61">
        <f t="shared" si="0"/>
        <v>7.8398899869887906E-2</v>
      </c>
      <c r="E44" s="57">
        <v>895.8</v>
      </c>
      <c r="F44" s="61">
        <f t="shared" si="0"/>
        <v>7.1146717685041327E-2</v>
      </c>
    </row>
    <row r="45" spans="2:6" x14ac:dyDescent="0.25">
      <c r="B45" s="63">
        <v>45292</v>
      </c>
      <c r="C45" s="57">
        <v>71752.11</v>
      </c>
      <c r="D45" s="61">
        <f t="shared" si="0"/>
        <v>-6.7573123352545617E-3</v>
      </c>
      <c r="E45" s="57">
        <v>876.35</v>
      </c>
      <c r="F45" s="61">
        <f t="shared" si="0"/>
        <v>-2.1712435811565012E-2</v>
      </c>
    </row>
    <row r="46" spans="2:6" x14ac:dyDescent="0.25">
      <c r="B46" s="63">
        <v>45323</v>
      </c>
      <c r="C46" s="57">
        <v>72500.3</v>
      </c>
      <c r="D46" s="61">
        <f t="shared" si="0"/>
        <v>1.0427428545306983E-2</v>
      </c>
      <c r="E46" s="57">
        <v>846.6</v>
      </c>
      <c r="F46" s="61">
        <f t="shared" si="0"/>
        <v>-3.3947623666343407E-2</v>
      </c>
    </row>
    <row r="47" spans="2:6" x14ac:dyDescent="0.25">
      <c r="B47" s="63">
        <v>45352</v>
      </c>
      <c r="C47" s="57">
        <v>73651.350000000006</v>
      </c>
      <c r="D47" s="61">
        <f t="shared" si="0"/>
        <v>1.5876486028333803E-2</v>
      </c>
      <c r="E47" s="57">
        <v>744.1</v>
      </c>
      <c r="F47" s="61">
        <f t="shared" si="0"/>
        <v>-0.12107252539570046</v>
      </c>
    </row>
    <row r="48" spans="2:6" x14ac:dyDescent="0.25">
      <c r="B48" s="63">
        <v>45383</v>
      </c>
      <c r="C48" s="57">
        <v>74482.78</v>
      </c>
      <c r="D48" s="61">
        <f t="shared" si="0"/>
        <v>1.1288727226316908E-2</v>
      </c>
      <c r="E48" s="57">
        <v>814.15</v>
      </c>
      <c r="F48" s="61">
        <f t="shared" si="0"/>
        <v>9.4140572503695674E-2</v>
      </c>
    </row>
    <row r="49" spans="2:6" x14ac:dyDescent="0.25">
      <c r="B49" s="63">
        <v>45413</v>
      </c>
      <c r="C49" s="57">
        <v>73961.31</v>
      </c>
      <c r="D49" s="61">
        <f t="shared" si="0"/>
        <v>-7.0012155829843881E-3</v>
      </c>
      <c r="E49" s="57">
        <v>788.95</v>
      </c>
      <c r="F49" s="61">
        <f t="shared" si="0"/>
        <v>-3.0952527175581834E-2</v>
      </c>
    </row>
    <row r="50" spans="2:6" x14ac:dyDescent="0.25">
      <c r="B50" s="63">
        <v>45444</v>
      </c>
      <c r="C50" s="57">
        <v>79032.73</v>
      </c>
      <c r="D50" s="61">
        <f t="shared" si="0"/>
        <v>6.8568552936663751E-2</v>
      </c>
      <c r="E50" s="57">
        <v>817.95</v>
      </c>
      <c r="F50" s="61">
        <f t="shared" si="0"/>
        <v>3.6757715951581282E-2</v>
      </c>
    </row>
    <row r="51" spans="2:6" x14ac:dyDescent="0.25">
      <c r="B51" s="63">
        <v>45474</v>
      </c>
      <c r="C51" s="57">
        <v>81741.34</v>
      </c>
      <c r="D51" s="61">
        <f t="shared" si="0"/>
        <v>3.427200351044446E-2</v>
      </c>
      <c r="E51" s="57">
        <v>813.45</v>
      </c>
      <c r="F51" s="61">
        <f t="shared" si="0"/>
        <v>-5.5015587749862593E-3</v>
      </c>
    </row>
    <row r="52" spans="2:6" x14ac:dyDescent="0.25">
      <c r="B52" s="63">
        <v>45505</v>
      </c>
      <c r="C52" s="57">
        <v>82365.77</v>
      </c>
      <c r="D52" s="61">
        <f t="shared" si="0"/>
        <v>7.6390966920778514E-3</v>
      </c>
      <c r="E52" s="57">
        <v>810.3</v>
      </c>
      <c r="F52" s="61">
        <f t="shared" si="0"/>
        <v>-3.8723953531256683E-3</v>
      </c>
    </row>
    <row r="53" spans="2:6" x14ac:dyDescent="0.25">
      <c r="B53" s="63">
        <v>45536</v>
      </c>
      <c r="C53" s="57">
        <v>84299.78</v>
      </c>
      <c r="D53" s="61">
        <f t="shared" si="0"/>
        <v>2.3480749345268004E-2</v>
      </c>
      <c r="E53" s="57">
        <v>808.85</v>
      </c>
      <c r="F53" s="61">
        <f t="shared" si="0"/>
        <v>-1.7894606935702217E-3</v>
      </c>
    </row>
    <row r="54" spans="2:6" x14ac:dyDescent="0.25">
      <c r="B54" s="63">
        <v>45566</v>
      </c>
      <c r="C54" s="57">
        <v>79389.06</v>
      </c>
      <c r="D54" s="61">
        <f t="shared" si="0"/>
        <v>-5.8253058311658723E-2</v>
      </c>
      <c r="E54" s="57">
        <v>764.95</v>
      </c>
      <c r="F54" s="61">
        <f t="shared" si="0"/>
        <v>-5.4274587377140304E-2</v>
      </c>
    </row>
    <row r="55" spans="2:6" x14ac:dyDescent="0.25">
      <c r="B55" s="63">
        <v>45597</v>
      </c>
      <c r="C55" s="57">
        <v>79802.789999999994</v>
      </c>
      <c r="D55" s="61">
        <f t="shared" si="0"/>
        <v>5.2114233371700625E-3</v>
      </c>
      <c r="E55" s="57">
        <v>723.45</v>
      </c>
      <c r="F55" s="61">
        <f t="shared" si="0"/>
        <v>-5.4251911889665938E-2</v>
      </c>
    </row>
    <row r="56" spans="2:6" x14ac:dyDescent="0.25">
      <c r="B56" s="63">
        <v>45627</v>
      </c>
      <c r="C56" s="57">
        <v>78139.009999999995</v>
      </c>
      <c r="D56" s="61">
        <f t="shared" si="0"/>
        <v>-2.0848644514809611E-2</v>
      </c>
      <c r="E56" s="57">
        <v>734.4</v>
      </c>
      <c r="F56" s="61">
        <f t="shared" si="0"/>
        <v>1.513580758863764E-2</v>
      </c>
    </row>
    <row r="57" spans="2:6" x14ac:dyDescent="0.25">
      <c r="B57" s="63">
        <v>45658</v>
      </c>
      <c r="C57" s="57">
        <v>77500.570000000007</v>
      </c>
      <c r="D57" s="61">
        <f t="shared" si="0"/>
        <v>-8.1705667885987321E-3</v>
      </c>
      <c r="E57" s="57">
        <v>688.6</v>
      </c>
      <c r="F57" s="61">
        <f t="shared" si="0"/>
        <v>-6.2363834422657916E-2</v>
      </c>
    </row>
    <row r="58" spans="2:6" x14ac:dyDescent="0.25">
      <c r="B58" s="63">
        <v>45689</v>
      </c>
      <c r="C58" s="57">
        <v>73198.100000000006</v>
      </c>
      <c r="D58" s="61">
        <f t="shared" si="0"/>
        <v>-5.5515333629159169E-2</v>
      </c>
      <c r="E58" s="57">
        <v>684.45</v>
      </c>
      <c r="F58" s="61">
        <f t="shared" si="0"/>
        <v>-6.0267208829508645E-3</v>
      </c>
    </row>
    <row r="59" spans="2:6" x14ac:dyDescent="0.25">
      <c r="B59" s="63">
        <v>45717</v>
      </c>
      <c r="C59" s="57">
        <v>77414.92</v>
      </c>
      <c r="D59" s="61">
        <f t="shared" si="0"/>
        <v>5.760832589916931E-2</v>
      </c>
      <c r="E59" s="57">
        <v>595.75</v>
      </c>
      <c r="F59" s="61">
        <f t="shared" si="0"/>
        <v>-0.12959310395207835</v>
      </c>
    </row>
    <row r="60" spans="2:6" x14ac:dyDescent="0.25">
      <c r="B60" s="63">
        <v>45748</v>
      </c>
      <c r="C60" s="57">
        <v>80242.240000000005</v>
      </c>
      <c r="D60" s="61">
        <f t="shared" si="0"/>
        <v>3.652164208139741E-2</v>
      </c>
      <c r="E60" s="57">
        <v>572.20000000000005</v>
      </c>
      <c r="F60" s="61">
        <f t="shared" si="0"/>
        <v>-3.9530004196391078E-2</v>
      </c>
    </row>
    <row r="61" spans="2:6" x14ac:dyDescent="0.25">
      <c r="B61" s="63">
        <v>45778</v>
      </c>
      <c r="C61" s="57">
        <v>81451.009999999995</v>
      </c>
      <c r="D61" s="61">
        <f t="shared" si="0"/>
        <v>1.5064011174164449E-2</v>
      </c>
      <c r="E61" s="57">
        <v>594.65</v>
      </c>
      <c r="F61" s="61">
        <f t="shared" si="0"/>
        <v>3.9234533379936876E-2</v>
      </c>
    </row>
    <row r="62" spans="2:6" x14ac:dyDescent="0.25">
      <c r="B62" s="63">
        <v>45809</v>
      </c>
      <c r="C62" s="57">
        <v>83606.460000000006</v>
      </c>
      <c r="D62" s="61">
        <f t="shared" si="0"/>
        <v>2.6463146374735125E-2</v>
      </c>
      <c r="E62" s="57">
        <v>656.1</v>
      </c>
      <c r="F62" s="61">
        <f t="shared" si="0"/>
        <v>0.10333809804086447</v>
      </c>
    </row>
    <row r="63" spans="2:6" x14ac:dyDescent="0.25">
      <c r="B63" s="63">
        <v>45839</v>
      </c>
      <c r="C63" s="57">
        <v>81185.58</v>
      </c>
      <c r="D63" s="61">
        <f t="shared" si="0"/>
        <v>-2.89556572542361E-2</v>
      </c>
      <c r="E63" s="57">
        <v>607.1</v>
      </c>
      <c r="F63" s="61">
        <f t="shared" si="0"/>
        <v>-7.4683737235177516E-2</v>
      </c>
    </row>
    <row r="64" spans="2:6" x14ac:dyDescent="0.25">
      <c r="B64" s="63">
        <v>45870</v>
      </c>
      <c r="C64" s="57">
        <v>79809.649999999994</v>
      </c>
      <c r="D64" s="61">
        <f t="shared" si="0"/>
        <v>-1.6947960462929568E-2</v>
      </c>
      <c r="E64" s="57">
        <v>565</v>
      </c>
      <c r="F64" s="61">
        <f t="shared" si="0"/>
        <v>-6.934607148739913E-2</v>
      </c>
    </row>
    <row r="65" spans="2:6" x14ac:dyDescent="0.25">
      <c r="B65" s="63">
        <v>45901</v>
      </c>
      <c r="C65" s="57">
        <v>80267.62</v>
      </c>
      <c r="D65" s="61">
        <f t="shared" si="0"/>
        <v>5.7382785164450389E-3</v>
      </c>
      <c r="E65" s="57">
        <v>531.45000000000005</v>
      </c>
      <c r="F65" s="61">
        <f t="shared" si="0"/>
        <v>-5.9380530973451195E-2</v>
      </c>
    </row>
    <row r="66" spans="2:6" x14ac:dyDescent="0.25">
      <c r="B66" s="63">
        <v>45931</v>
      </c>
      <c r="C66" s="57">
        <v>83938.71</v>
      </c>
      <c r="D66" s="61">
        <f t="shared" si="0"/>
        <v>4.5735627890798547E-2</v>
      </c>
      <c r="E66" s="57">
        <v>515.54999999999995</v>
      </c>
      <c r="F66" s="61">
        <f t="shared" si="0"/>
        <v>-2.9918148461755778E-2</v>
      </c>
    </row>
    <row r="67" spans="2:6" x14ac:dyDescent="0.25">
      <c r="B67" s="63">
        <v>45962</v>
      </c>
      <c r="C67" s="57">
        <v>85706.67</v>
      </c>
      <c r="D67" s="61">
        <f t="shared" si="0"/>
        <v>2.1062510967823966E-2</v>
      </c>
      <c r="E67" s="57">
        <v>498.85</v>
      </c>
      <c r="F67" s="61">
        <f t="shared" si="0"/>
        <v>-3.239259043739684E-2</v>
      </c>
    </row>
    <row r="68" spans="2:6" x14ac:dyDescent="0.25">
      <c r="B68" s="63">
        <v>45992</v>
      </c>
      <c r="C68" s="57">
        <v>85220.6</v>
      </c>
      <c r="D68" s="61">
        <f t="shared" si="0"/>
        <v>-5.6713205634986164E-3</v>
      </c>
      <c r="E68" s="57">
        <v>460.3</v>
      </c>
      <c r="F68" s="61">
        <f t="shared" si="0"/>
        <v>-7.7277738799238271E-2</v>
      </c>
    </row>
    <row r="69" spans="2:6" x14ac:dyDescent="0.25">
      <c r="B69" s="63">
        <v>46023</v>
      </c>
      <c r="C69" s="57">
        <v>85188.6</v>
      </c>
      <c r="D69" s="61">
        <f t="shared" si="0"/>
        <v>-3.7549606550524306E-4</v>
      </c>
      <c r="E69" s="57">
        <v>456</v>
      </c>
      <c r="F69" s="61">
        <f t="shared" si="0"/>
        <v>-9.3417336519661109E-3</v>
      </c>
    </row>
  </sheetData>
  <mergeCells count="6">
    <mergeCell ref="B5:J5"/>
    <mergeCell ref="B7:B8"/>
    <mergeCell ref="C7:C8"/>
    <mergeCell ref="D7:D8"/>
    <mergeCell ref="E7:E8"/>
    <mergeCell ref="F7:F8"/>
  </mergeCells>
  <conditionalFormatting sqref="D10:D69">
    <cfRule type="dataBar" priority="2">
      <dataBar>
        <cfvo type="min"/>
        <cfvo type="max"/>
        <color rgb="FF63C384"/>
      </dataBar>
      <extLst>
        <ext xmlns:x14="http://schemas.microsoft.com/office/spreadsheetml/2009/9/main" uri="{B025F937-C7B1-47D3-B67F-A62EFF666E3E}">
          <x14:id>{8E9D5CAE-092A-4E78-8215-07F6ABD05219}</x14:id>
        </ext>
      </extLst>
    </cfRule>
  </conditionalFormatting>
  <conditionalFormatting sqref="F10:F69">
    <cfRule type="dataBar" priority="1">
      <dataBar>
        <cfvo type="min"/>
        <cfvo type="max"/>
        <color rgb="FF63C384"/>
      </dataBar>
      <extLst>
        <ext xmlns:x14="http://schemas.microsoft.com/office/spreadsheetml/2009/9/main" uri="{B025F937-C7B1-47D3-B67F-A62EFF666E3E}">
          <x14:id>{5F1212B2-4D8A-4344-A060-B2B0F9A2F836}</x14:id>
        </ext>
      </extLst>
    </cfRule>
  </conditionalFormatting>
  <hyperlinks>
    <hyperlink ref="I7" r:id="rId1" display="https://www.bseindia.com/indices/IndexArchiveData.html"/>
  </hyperlinks>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8E9D5CAE-092A-4E78-8215-07F6ABD05219}">
            <x14:dataBar minLength="0" maxLength="100" border="1" negativeBarBorderColorSameAsPositive="0">
              <x14:cfvo type="autoMin"/>
              <x14:cfvo type="autoMax"/>
              <x14:borderColor rgb="FF63C384"/>
              <x14:negativeFillColor rgb="FFFF0000"/>
              <x14:negativeBorderColor rgb="FFFF0000"/>
              <x14:axisColor rgb="FF000000"/>
            </x14:dataBar>
          </x14:cfRule>
          <xm:sqref>D10:D69</xm:sqref>
        </x14:conditionalFormatting>
        <x14:conditionalFormatting xmlns:xm="http://schemas.microsoft.com/office/excel/2006/main">
          <x14:cfRule type="dataBar" id="{5F1212B2-4D8A-4344-A060-B2B0F9A2F836}">
            <x14:dataBar minLength="0" maxLength="100" border="1" negativeBarBorderColorSameAsPositive="0">
              <x14:cfvo type="autoMin"/>
              <x14:cfvo type="autoMax"/>
              <x14:borderColor rgb="FF63C384"/>
              <x14:negativeFillColor rgb="FFFF0000"/>
              <x14:negativeBorderColor rgb="FFFF0000"/>
              <x14:axisColor rgb="FF000000"/>
            </x14:dataBar>
          </x14:cfRule>
          <xm:sqref>F10:F69</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R61"/>
  <sheetViews>
    <sheetView showGridLines="0" tabSelected="1" topLeftCell="A17" workbookViewId="0">
      <selection activeCell="A38" sqref="A38"/>
    </sheetView>
  </sheetViews>
  <sheetFormatPr defaultRowHeight="15" x14ac:dyDescent="0.25"/>
  <cols>
    <col min="1" max="1" width="1.85546875" customWidth="1"/>
    <col min="2" max="2" width="20.85546875" bestFit="1" customWidth="1"/>
    <col min="3" max="3" width="12.28515625" bestFit="1" customWidth="1"/>
    <col min="4" max="4" width="15.7109375" bestFit="1" customWidth="1"/>
    <col min="5" max="5" width="21" bestFit="1" customWidth="1"/>
    <col min="6" max="6" width="12.7109375" customWidth="1"/>
    <col min="7" max="7" width="12.7109375" bestFit="1" customWidth="1"/>
    <col min="8" max="8" width="8.85546875" customWidth="1"/>
    <col min="9" max="9" width="14.140625" bestFit="1" customWidth="1"/>
    <col min="10" max="10" width="16" bestFit="1" customWidth="1"/>
  </cols>
  <sheetData>
    <row r="6" spans="1:15" x14ac:dyDescent="0.25">
      <c r="B6" s="422" t="s">
        <v>264</v>
      </c>
      <c r="C6" s="422"/>
      <c r="D6" s="422"/>
      <c r="E6" s="422"/>
      <c r="F6" s="422"/>
      <c r="G6" s="422"/>
      <c r="H6" s="422"/>
      <c r="I6" s="422"/>
      <c r="J6" s="422"/>
      <c r="K6" s="422"/>
    </row>
    <row r="7" spans="1:15" x14ac:dyDescent="0.25">
      <c r="B7" s="70" t="s">
        <v>353</v>
      </c>
      <c r="C7" s="2"/>
      <c r="D7" s="2"/>
      <c r="E7" s="103"/>
      <c r="F7" s="104"/>
      <c r="G7" s="105"/>
      <c r="H7" s="105"/>
      <c r="I7" s="106"/>
      <c r="J7" s="107"/>
      <c r="K7" s="107"/>
    </row>
    <row r="8" spans="1:15" x14ac:dyDescent="0.25">
      <c r="B8" s="350" t="s">
        <v>224</v>
      </c>
      <c r="C8" s="351"/>
      <c r="D8" s="352" t="s">
        <v>265</v>
      </c>
      <c r="E8" s="352" t="s">
        <v>266</v>
      </c>
      <c r="F8" s="353" t="s">
        <v>267</v>
      </c>
      <c r="G8" s="354" t="s">
        <v>268</v>
      </c>
      <c r="H8" s="354" t="s">
        <v>269</v>
      </c>
      <c r="I8" s="354" t="s">
        <v>270</v>
      </c>
      <c r="J8" s="354" t="s">
        <v>271</v>
      </c>
      <c r="K8" s="190"/>
    </row>
    <row r="9" spans="1:15" s="96" customFormat="1" x14ac:dyDescent="0.25">
      <c r="A9" s="121"/>
    </row>
    <row r="10" spans="1:15" x14ac:dyDescent="0.25">
      <c r="B10" s="198" t="str">
        <f>'Comparable Valuation'!B12</f>
        <v>TCS</v>
      </c>
      <c r="C10" s="192"/>
      <c r="D10" s="355">
        <f>'Comparable Valuation'!G12</f>
        <v>115960105</v>
      </c>
      <c r="E10" s="355">
        <f>'Comparable Valuation'!H12</f>
        <v>1093200</v>
      </c>
      <c r="F10" s="194">
        <f>E10/D10</f>
        <v>9.4273802183949384E-3</v>
      </c>
      <c r="G10" s="194">
        <f>E10/(D10+E10)</f>
        <v>9.3393347586383825E-3</v>
      </c>
      <c r="H10" s="195">
        <v>0.2485</v>
      </c>
      <c r="I10" s="196">
        <v>0.31</v>
      </c>
      <c r="J10" s="197">
        <f>I10/(1+F10*(1-H10))</f>
        <v>0.30781920062492557</v>
      </c>
      <c r="K10" s="198"/>
      <c r="L10" s="39"/>
      <c r="M10" s="39"/>
      <c r="N10" s="39"/>
      <c r="O10" s="2"/>
    </row>
    <row r="11" spans="1:15" x14ac:dyDescent="0.25">
      <c r="B11" s="198" t="str">
        <f>'Comparable Valuation'!B13</f>
        <v>Infosys</v>
      </c>
      <c r="C11" s="199"/>
      <c r="D11" s="355">
        <f>'Comparable Valuation'!G13</f>
        <v>67384368</v>
      </c>
      <c r="E11" s="355">
        <f>'Comparable Valuation'!H13</f>
        <v>848500</v>
      </c>
      <c r="F11" s="194">
        <f t="shared" ref="F11:F18" si="0">E11/D11</f>
        <v>1.2591941205117484E-2</v>
      </c>
      <c r="G11" s="194">
        <f t="shared" ref="G11:G18" si="1">E11/(D11+E11)</f>
        <v>1.243535593432772E-2</v>
      </c>
      <c r="H11" s="195">
        <v>0.2878</v>
      </c>
      <c r="I11" s="200">
        <v>0.34</v>
      </c>
      <c r="J11" s="197">
        <f t="shared" ref="J11:J18" si="2">I11/(1+F11*(1-H11))</f>
        <v>0.3369779879661331</v>
      </c>
      <c r="K11" s="198"/>
      <c r="L11" s="2"/>
      <c r="M11" s="2"/>
      <c r="N11" s="2"/>
      <c r="O11" s="2"/>
    </row>
    <row r="12" spans="1:15" x14ac:dyDescent="0.25">
      <c r="B12" s="198" t="str">
        <f>'Comparable Valuation'!B14</f>
        <v>HCL Technologies</v>
      </c>
      <c r="C12" s="199"/>
      <c r="D12" s="355">
        <f>'Comparable Valuation'!G14</f>
        <v>44586091</v>
      </c>
      <c r="E12" s="355">
        <f>'Comparable Valuation'!H14</f>
        <v>627600</v>
      </c>
      <c r="F12" s="194">
        <f t="shared" si="0"/>
        <v>1.4076138677418481E-2</v>
      </c>
      <c r="G12" s="194">
        <f t="shared" si="1"/>
        <v>1.3880751297212165E-2</v>
      </c>
      <c r="H12" s="195">
        <v>0.253</v>
      </c>
      <c r="I12" s="200">
        <v>0.22</v>
      </c>
      <c r="J12" s="197">
        <f t="shared" si="2"/>
        <v>0.21771079804353036</v>
      </c>
      <c r="K12" s="198"/>
      <c r="L12" s="2"/>
      <c r="M12" s="2"/>
      <c r="N12" s="2"/>
      <c r="O12" s="2"/>
    </row>
    <row r="13" spans="1:15" x14ac:dyDescent="0.25">
      <c r="B13" s="198" t="str">
        <f>'Comparable Valuation'!B15</f>
        <v>Wipro</v>
      </c>
      <c r="C13" s="199"/>
      <c r="D13" s="355">
        <f>'Comparable Valuation'!G15</f>
        <v>27886908.000000004</v>
      </c>
      <c r="E13" s="355">
        <f>'Comparable Valuation'!H15</f>
        <v>1920350</v>
      </c>
      <c r="F13" s="194">
        <f t="shared" si="0"/>
        <v>6.8862062441630303E-2</v>
      </c>
      <c r="G13" s="194">
        <f t="shared" si="1"/>
        <v>6.4425583862829636E-2</v>
      </c>
      <c r="H13" s="195">
        <v>0.23769999999999999</v>
      </c>
      <c r="I13" s="196">
        <v>0.57999999999999996</v>
      </c>
      <c r="J13" s="197">
        <f t="shared" si="2"/>
        <v>0.55107226062354131</v>
      </c>
      <c r="K13" s="198"/>
      <c r="L13" s="2"/>
      <c r="M13" s="2"/>
      <c r="N13" s="2"/>
      <c r="O13" s="2"/>
    </row>
    <row r="14" spans="1:15" x14ac:dyDescent="0.25">
      <c r="B14" s="198" t="str">
        <f>'Comparable Valuation'!B16</f>
        <v>LTIMindtree</v>
      </c>
      <c r="C14" s="199"/>
      <c r="D14" s="355">
        <f>'Comparable Valuation'!G16</f>
        <v>17872920</v>
      </c>
      <c r="E14" s="355">
        <f>'Comparable Valuation'!H16</f>
        <v>218730.00000000003</v>
      </c>
      <c r="F14" s="194">
        <f t="shared" si="0"/>
        <v>1.2238067422670723E-2</v>
      </c>
      <c r="G14" s="194">
        <f t="shared" si="1"/>
        <v>1.2090107867441611E-2</v>
      </c>
      <c r="H14" s="195">
        <v>0.26400000000000001</v>
      </c>
      <c r="I14" s="201">
        <v>0.42</v>
      </c>
      <c r="J14" s="197">
        <f t="shared" si="2"/>
        <v>0.41625073900798482</v>
      </c>
      <c r="K14" s="198"/>
      <c r="L14" s="2"/>
      <c r="M14" s="2"/>
      <c r="N14" s="2"/>
      <c r="O14" s="2"/>
    </row>
    <row r="15" spans="1:15" x14ac:dyDescent="0.25">
      <c r="B15" s="198" t="str">
        <f>'Comparable Valuation'!B17</f>
        <v>Tech Mahindra</v>
      </c>
      <c r="C15" s="199"/>
      <c r="D15" s="355">
        <f>'Comparable Valuation'!G17</f>
        <v>15683396</v>
      </c>
      <c r="E15" s="355">
        <f>'Comparable Valuation'!H17</f>
        <v>202520</v>
      </c>
      <c r="F15" s="194">
        <f t="shared" si="0"/>
        <v>1.291301960366237E-2</v>
      </c>
      <c r="G15" s="194">
        <f t="shared" si="1"/>
        <v>1.2748399273922888E-2</v>
      </c>
      <c r="H15" s="195">
        <v>0.25869999999999999</v>
      </c>
      <c r="I15" s="200">
        <v>0.3</v>
      </c>
      <c r="J15" s="197">
        <f t="shared" si="2"/>
        <v>0.29715550230107851</v>
      </c>
      <c r="K15" s="198"/>
      <c r="L15" s="2"/>
      <c r="M15" s="2"/>
      <c r="N15" s="2"/>
      <c r="O15" s="2"/>
    </row>
    <row r="16" spans="1:15" x14ac:dyDescent="0.25">
      <c r="B16" s="198" t="str">
        <f>'Comparable Valuation'!B18</f>
        <v>Newgen Software</v>
      </c>
      <c r="C16" s="199"/>
      <c r="D16" s="355">
        <f>'Comparable Valuation'!G18</f>
        <v>1171859</v>
      </c>
      <c r="E16" s="355">
        <f>'Comparable Valuation'!H18</f>
        <v>5348</v>
      </c>
      <c r="F16" s="194">
        <f t="shared" si="0"/>
        <v>4.5636889762334888E-3</v>
      </c>
      <c r="G16" s="194">
        <f t="shared" si="1"/>
        <v>4.5429563364811796E-3</v>
      </c>
      <c r="H16" s="195">
        <v>0.2155</v>
      </c>
      <c r="I16" s="200">
        <v>0.7</v>
      </c>
      <c r="J16" s="197">
        <f t="shared" si="2"/>
        <v>0.69750279074225141</v>
      </c>
      <c r="K16" s="198"/>
      <c r="L16" s="2"/>
      <c r="M16" s="2"/>
      <c r="N16" s="2"/>
      <c r="O16" s="2"/>
    </row>
    <row r="17" spans="2:18" x14ac:dyDescent="0.25">
      <c r="B17" s="198" t="str">
        <f>'Comparable Valuation'!B19</f>
        <v>Sonata Software</v>
      </c>
      <c r="C17" s="199"/>
      <c r="D17" s="355">
        <f>'Comparable Valuation'!G19</f>
        <v>1017852</v>
      </c>
      <c r="E17" s="355">
        <f>'Comparable Valuation'!H19</f>
        <v>51602</v>
      </c>
      <c r="F17" s="194">
        <f t="shared" si="0"/>
        <v>5.0696957907436446E-2</v>
      </c>
      <c r="G17" s="194">
        <f t="shared" si="1"/>
        <v>4.8250789655282039E-2</v>
      </c>
      <c r="H17" s="195">
        <v>0.26729999999999998</v>
      </c>
      <c r="I17" s="200">
        <v>0.34</v>
      </c>
      <c r="J17" s="197">
        <f t="shared" si="2"/>
        <v>0.32782280519103579</v>
      </c>
      <c r="K17" s="198"/>
      <c r="L17" s="2"/>
      <c r="M17" s="2"/>
      <c r="N17" s="2"/>
      <c r="O17" s="2"/>
    </row>
    <row r="18" spans="2:18" x14ac:dyDescent="0.25">
      <c r="B18" s="198" t="str">
        <f>'Comparable Valuation'!B20</f>
        <v>Birlasoft Ltd</v>
      </c>
      <c r="C18" s="199"/>
      <c r="D18" s="355">
        <f>'Comparable Valuation'!G20</f>
        <v>1217045</v>
      </c>
      <c r="E18" s="355">
        <f>'Comparable Valuation'!H20</f>
        <v>15100</v>
      </c>
      <c r="F18" s="194">
        <f t="shared" si="0"/>
        <v>1.2407100805639891E-2</v>
      </c>
      <c r="G18" s="194">
        <f t="shared" si="1"/>
        <v>1.225505115063568E-2</v>
      </c>
      <c r="H18" s="195">
        <v>0.28129999999999999</v>
      </c>
      <c r="I18" s="200">
        <v>0.52</v>
      </c>
      <c r="J18" s="197">
        <f t="shared" si="2"/>
        <v>0.51540414977841342</v>
      </c>
      <c r="K18" s="198"/>
      <c r="L18" s="2"/>
      <c r="M18" s="2"/>
      <c r="N18" s="2"/>
      <c r="O18" s="2"/>
    </row>
    <row r="19" spans="2:18" ht="6" customHeight="1" x14ac:dyDescent="0.25">
      <c r="B19" s="191"/>
      <c r="C19" s="202"/>
      <c r="D19" s="193"/>
      <c r="E19" s="193"/>
      <c r="F19" s="194"/>
      <c r="G19" s="194"/>
      <c r="H19" s="203"/>
      <c r="I19" s="204"/>
      <c r="J19" s="197"/>
      <c r="K19" s="198"/>
      <c r="L19" s="2"/>
      <c r="M19" s="2"/>
      <c r="N19" s="2"/>
      <c r="O19" s="2"/>
    </row>
    <row r="20" spans="2:18" x14ac:dyDescent="0.25">
      <c r="B20" s="108"/>
      <c r="C20" s="111"/>
      <c r="D20" s="111"/>
      <c r="E20" s="111"/>
      <c r="F20" s="111"/>
      <c r="G20" s="111"/>
      <c r="H20" s="2"/>
      <c r="I20" s="2"/>
      <c r="J20" s="2"/>
      <c r="K20" s="2"/>
      <c r="L20" s="2"/>
      <c r="M20" s="2"/>
      <c r="N20" s="2"/>
      <c r="O20" s="2"/>
    </row>
    <row r="21" spans="2:18" x14ac:dyDescent="0.25">
      <c r="B21" s="108"/>
      <c r="C21" s="111"/>
      <c r="D21" s="111"/>
      <c r="E21" s="111"/>
      <c r="F21" s="111"/>
      <c r="G21" s="111"/>
      <c r="H21" s="2"/>
      <c r="I21" s="2"/>
      <c r="J21" s="2"/>
      <c r="K21" s="2"/>
      <c r="L21" s="2"/>
      <c r="M21" s="2"/>
      <c r="N21" s="2"/>
      <c r="O21" s="2"/>
    </row>
    <row r="22" spans="2:18" x14ac:dyDescent="0.25">
      <c r="B22" s="155" t="s">
        <v>250</v>
      </c>
      <c r="C22" s="156"/>
      <c r="D22" s="156"/>
      <c r="E22" s="156"/>
      <c r="F22" s="157">
        <f>AVERAGE(F10:F19)</f>
        <v>2.1975150806467128E-2</v>
      </c>
      <c r="G22" s="157">
        <f t="shared" ref="G22:I22" si="3">AVERAGE(G10:G19)</f>
        <v>2.1107592237419034E-2</v>
      </c>
      <c r="H22" s="157">
        <f t="shared" si="3"/>
        <v>0.25708888888888887</v>
      </c>
      <c r="I22" s="157">
        <f t="shared" si="3"/>
        <v>0.41444444444444445</v>
      </c>
      <c r="J22" s="158">
        <f>AVERAGE(J10:J18)</f>
        <v>0.40752402603098825</v>
      </c>
      <c r="K22" s="2"/>
      <c r="L22" s="2"/>
      <c r="M22" s="2"/>
      <c r="N22" s="2"/>
      <c r="O22" s="2"/>
    </row>
    <row r="23" spans="2:18" x14ac:dyDescent="0.25">
      <c r="B23" s="159" t="s">
        <v>251</v>
      </c>
      <c r="C23" s="160"/>
      <c r="D23" s="160"/>
      <c r="E23" s="160"/>
      <c r="F23" s="161">
        <f>MEDIAN(F10:F19)</f>
        <v>1.2591941205117484E-2</v>
      </c>
      <c r="G23" s="161">
        <f t="shared" ref="G23:I23" si="4">MEDIAN(G10:G19)</f>
        <v>1.243535593432772E-2</v>
      </c>
      <c r="H23" s="161">
        <f t="shared" si="4"/>
        <v>0.25869999999999999</v>
      </c>
      <c r="I23" s="161">
        <f t="shared" si="4"/>
        <v>0.34</v>
      </c>
      <c r="J23" s="162">
        <f>MEDIAN(J10:J18)</f>
        <v>0.3369779879661331</v>
      </c>
      <c r="K23" s="2"/>
      <c r="L23" s="2"/>
      <c r="M23" s="2"/>
      <c r="N23" s="2"/>
      <c r="O23" s="2"/>
    </row>
    <row r="24" spans="2:18" x14ac:dyDescent="0.25">
      <c r="B24" s="110"/>
      <c r="C24" s="111"/>
      <c r="D24" s="111"/>
      <c r="E24" s="111"/>
      <c r="F24" s="111"/>
      <c r="G24" s="111"/>
      <c r="H24" s="2"/>
      <c r="I24" s="2"/>
      <c r="J24" s="2"/>
      <c r="K24" s="2"/>
      <c r="L24" s="2"/>
      <c r="M24" s="2"/>
      <c r="N24" s="2"/>
      <c r="O24" s="2"/>
    </row>
    <row r="25" spans="2:18" x14ac:dyDescent="0.25">
      <c r="B25" s="331" t="str">
        <f>'Comparable Valuation'!B31</f>
        <v>Happiest Minds</v>
      </c>
      <c r="C25" s="332"/>
      <c r="D25" s="333">
        <f>'Comparable Valuation'!G31</f>
        <v>699057</v>
      </c>
      <c r="E25" s="333">
        <f>'Comparable Valuation'!H31</f>
        <v>124358.99999999999</v>
      </c>
      <c r="F25" s="334">
        <f>E25/D25</f>
        <v>0.17789536475566367</v>
      </c>
      <c r="G25" s="334">
        <f>E25/(D25+E25)</f>
        <v>0.15102815587746654</v>
      </c>
      <c r="H25" s="335">
        <v>0.2772</v>
      </c>
      <c r="I25" s="336">
        <v>0.05</v>
      </c>
      <c r="J25" s="2"/>
      <c r="K25" s="2"/>
      <c r="L25" s="2"/>
      <c r="M25" s="2"/>
      <c r="N25" s="2"/>
      <c r="O25" s="2"/>
    </row>
    <row r="26" spans="2:18" x14ac:dyDescent="0.25">
      <c r="B26" s="2"/>
      <c r="C26" s="2"/>
      <c r="D26" s="39" t="s">
        <v>68</v>
      </c>
      <c r="E26" s="108"/>
      <c r="F26" s="109"/>
      <c r="G26" s="109"/>
      <c r="H26" s="109"/>
      <c r="I26" s="109"/>
      <c r="J26" s="109"/>
      <c r="K26" s="2"/>
      <c r="L26" s="2"/>
      <c r="M26" s="2"/>
      <c r="N26" s="2"/>
      <c r="O26" s="2"/>
      <c r="P26" s="2"/>
      <c r="Q26" s="2"/>
      <c r="R26" s="2"/>
    </row>
    <row r="27" spans="2:18" x14ac:dyDescent="0.25">
      <c r="B27" s="2"/>
      <c r="C27" s="2"/>
      <c r="D27" s="39"/>
      <c r="E27" s="108"/>
      <c r="F27" s="109"/>
      <c r="G27" s="109"/>
      <c r="H27" s="109"/>
      <c r="I27" s="109"/>
      <c r="J27" s="109"/>
      <c r="K27" s="2"/>
      <c r="L27" s="2"/>
      <c r="M27" s="2"/>
      <c r="N27" s="2"/>
      <c r="O27" s="2"/>
      <c r="P27" s="2"/>
      <c r="Q27" s="2"/>
      <c r="R27" s="2"/>
    </row>
    <row r="28" spans="2:18" x14ac:dyDescent="0.25">
      <c r="B28" s="422" t="s">
        <v>272</v>
      </c>
      <c r="C28" s="422"/>
      <c r="D28" s="422"/>
      <c r="E28" s="422"/>
      <c r="F28" s="422"/>
      <c r="G28" s="422"/>
      <c r="H28" s="422"/>
      <c r="I28" s="422"/>
      <c r="J28" s="422"/>
      <c r="K28" s="2"/>
      <c r="L28" s="2"/>
      <c r="M28" s="2"/>
      <c r="N28" s="2"/>
      <c r="O28" s="2"/>
      <c r="P28" s="2"/>
      <c r="Q28" s="2"/>
      <c r="R28" s="2"/>
    </row>
    <row r="29" spans="2:18" x14ac:dyDescent="0.25">
      <c r="B29" s="2"/>
      <c r="C29" s="2"/>
      <c r="D29" s="39"/>
      <c r="E29" s="132"/>
      <c r="F29" s="133"/>
      <c r="G29" s="109"/>
      <c r="H29" s="109"/>
      <c r="I29" s="109"/>
      <c r="J29" s="109"/>
      <c r="K29" s="2"/>
      <c r="L29" s="2"/>
      <c r="M29" s="2"/>
      <c r="N29" s="2"/>
      <c r="O29" s="2"/>
      <c r="P29" s="2"/>
      <c r="Q29" s="2"/>
      <c r="R29" s="2"/>
    </row>
    <row r="30" spans="2:18" x14ac:dyDescent="0.25">
      <c r="B30" s="431" t="s">
        <v>273</v>
      </c>
      <c r="C30" s="431"/>
      <c r="D30" s="357"/>
      <c r="E30" s="422" t="s">
        <v>290</v>
      </c>
      <c r="F30" s="422"/>
      <c r="G30" s="111"/>
      <c r="H30" s="2"/>
      <c r="I30" s="2"/>
      <c r="J30" s="2"/>
      <c r="K30" s="2"/>
      <c r="L30" s="2"/>
      <c r="M30" s="2"/>
      <c r="N30" s="2"/>
      <c r="O30" s="2"/>
    </row>
    <row r="31" spans="2:18" x14ac:dyDescent="0.25">
      <c r="B31" s="39"/>
      <c r="C31" s="117"/>
      <c r="D31" s="117"/>
      <c r="E31" s="39"/>
      <c r="F31" s="117"/>
      <c r="G31" s="109"/>
      <c r="H31" s="2"/>
      <c r="I31" s="2"/>
      <c r="J31" s="2"/>
      <c r="K31" s="2"/>
      <c r="L31" s="2"/>
      <c r="M31" s="2"/>
      <c r="N31" s="2"/>
      <c r="O31" s="2"/>
    </row>
    <row r="32" spans="2:18" x14ac:dyDescent="0.25">
      <c r="B32" s="39" t="s">
        <v>274</v>
      </c>
      <c r="C32" s="356">
        <f>G22</f>
        <v>2.1107592237419034E-2</v>
      </c>
      <c r="D32" s="357"/>
      <c r="E32" s="425" t="s">
        <v>288</v>
      </c>
      <c r="F32" s="425"/>
      <c r="G32" s="111"/>
      <c r="H32" s="2"/>
      <c r="I32" s="2"/>
      <c r="J32" s="2"/>
      <c r="K32" s="2"/>
      <c r="L32" s="2"/>
      <c r="M32" s="2"/>
      <c r="N32" s="2"/>
      <c r="O32" s="2"/>
    </row>
    <row r="33" spans="2:15" x14ac:dyDescent="0.25">
      <c r="B33" s="39" t="s">
        <v>275</v>
      </c>
      <c r="C33" s="356">
        <f>1-C32</f>
        <v>0.97889240776258102</v>
      </c>
      <c r="D33" s="39"/>
      <c r="E33" s="2"/>
      <c r="F33" s="2"/>
      <c r="G33" s="39"/>
      <c r="H33" s="2"/>
      <c r="I33" s="2"/>
      <c r="J33" s="2"/>
      <c r="K33" s="2"/>
      <c r="L33" s="2"/>
      <c r="M33" s="2"/>
      <c r="N33" s="2"/>
      <c r="O33" s="2"/>
    </row>
    <row r="34" spans="2:15" ht="15.75" thickBot="1" x14ac:dyDescent="0.3">
      <c r="B34" s="430" t="s">
        <v>276</v>
      </c>
      <c r="C34" s="430"/>
      <c r="D34" s="39"/>
      <c r="E34" s="430" t="s">
        <v>276</v>
      </c>
      <c r="F34" s="430"/>
      <c r="G34" s="39"/>
      <c r="H34" s="2"/>
      <c r="I34" s="2"/>
      <c r="J34" s="2"/>
      <c r="K34" s="2"/>
      <c r="L34" s="2"/>
      <c r="M34" s="2"/>
      <c r="N34" s="2"/>
      <c r="O34" s="2"/>
    </row>
    <row r="35" spans="2:15" ht="15.75" x14ac:dyDescent="0.25">
      <c r="B35" s="358" t="s">
        <v>277</v>
      </c>
      <c r="C35" s="337">
        <f>D25</f>
        <v>699057</v>
      </c>
      <c r="D35" s="359"/>
      <c r="E35" s="119" t="s">
        <v>277</v>
      </c>
      <c r="F35" s="360">
        <f>D25</f>
        <v>699057</v>
      </c>
      <c r="G35" s="112"/>
      <c r="H35" s="2"/>
      <c r="I35" s="2"/>
      <c r="J35" s="2"/>
      <c r="K35" s="2"/>
      <c r="L35" s="2"/>
      <c r="M35" s="2"/>
      <c r="N35" s="2"/>
      <c r="O35" s="2"/>
    </row>
    <row r="36" spans="2:15" x14ac:dyDescent="0.25">
      <c r="B36" s="39" t="s">
        <v>266</v>
      </c>
      <c r="C36" s="337">
        <f>E25</f>
        <v>124358.99999999999</v>
      </c>
      <c r="D36" s="39"/>
      <c r="E36" s="39" t="s">
        <v>266</v>
      </c>
      <c r="F36" s="361">
        <f>E25</f>
        <v>124358.99999999999</v>
      </c>
      <c r="G36" s="113"/>
      <c r="H36" s="2"/>
      <c r="I36" s="2"/>
      <c r="J36" s="2"/>
      <c r="K36" s="2"/>
      <c r="L36" s="2"/>
      <c r="M36" s="2"/>
      <c r="N36" s="2"/>
      <c r="O36" s="2"/>
    </row>
    <row r="37" spans="2:15" ht="15.75" thickBot="1" x14ac:dyDescent="0.3">
      <c r="B37" s="114" t="s">
        <v>278</v>
      </c>
      <c r="C37" s="115">
        <f>C36/C35</f>
        <v>0.17789536475566367</v>
      </c>
      <c r="D37" s="116"/>
      <c r="E37" s="122" t="s">
        <v>289</v>
      </c>
      <c r="F37" s="129">
        <f>(F35-F36)/F35</f>
        <v>0.8221046352443363</v>
      </c>
      <c r="G37" s="116"/>
      <c r="H37" s="2"/>
      <c r="I37" s="2"/>
      <c r="J37" s="2"/>
      <c r="K37" s="2"/>
      <c r="L37" s="2"/>
      <c r="M37" s="2"/>
      <c r="N37" s="2"/>
      <c r="O37" s="2"/>
    </row>
    <row r="38" spans="2:15" x14ac:dyDescent="0.25">
      <c r="B38" s="40"/>
      <c r="C38" s="39"/>
      <c r="D38" s="39"/>
      <c r="E38" s="2"/>
      <c r="F38" s="2"/>
      <c r="G38" s="113"/>
      <c r="H38" s="2"/>
      <c r="I38" s="2"/>
      <c r="J38" s="2"/>
      <c r="K38" s="2"/>
      <c r="L38" s="2"/>
      <c r="M38" s="2"/>
      <c r="N38" s="2"/>
      <c r="O38" s="2"/>
    </row>
    <row r="39" spans="2:15" ht="15.75" thickBot="1" x14ac:dyDescent="0.3">
      <c r="B39" s="430" t="s">
        <v>279</v>
      </c>
      <c r="C39" s="430"/>
      <c r="D39" s="117"/>
      <c r="E39" s="430" t="s">
        <v>279</v>
      </c>
      <c r="F39" s="430"/>
      <c r="G39" s="113"/>
      <c r="H39" s="2"/>
      <c r="I39" s="2"/>
      <c r="J39" s="2"/>
      <c r="K39" s="2"/>
      <c r="L39" s="2"/>
      <c r="M39" s="2"/>
      <c r="N39" s="2"/>
      <c r="O39" s="2"/>
    </row>
    <row r="40" spans="2:15" x14ac:dyDescent="0.25">
      <c r="B40" s="39" t="s">
        <v>280</v>
      </c>
      <c r="C40" s="123">
        <f>'Debt Schedules'!H15</f>
        <v>6.6215489837202351E-2</v>
      </c>
      <c r="D40" s="117"/>
      <c r="E40" s="39" t="s">
        <v>280</v>
      </c>
      <c r="F40" s="123">
        <f>'Debt Schedules'!H15</f>
        <v>6.6215489837202351E-2</v>
      </c>
      <c r="G40" s="113"/>
      <c r="H40" s="2"/>
      <c r="I40" s="2"/>
      <c r="J40" s="2"/>
      <c r="K40" s="2"/>
      <c r="L40" s="2"/>
      <c r="M40" s="2"/>
      <c r="N40" s="2"/>
      <c r="O40" s="2"/>
    </row>
    <row r="41" spans="2:15" x14ac:dyDescent="0.25">
      <c r="B41" s="119" t="s">
        <v>281</v>
      </c>
      <c r="C41" s="123">
        <f>H25</f>
        <v>0.2772</v>
      </c>
      <c r="D41" s="117"/>
      <c r="E41" s="119" t="s">
        <v>281</v>
      </c>
      <c r="F41" s="123">
        <f>H25</f>
        <v>0.2772</v>
      </c>
      <c r="G41" s="113"/>
      <c r="H41" s="2"/>
      <c r="I41" s="2"/>
      <c r="J41" s="2"/>
      <c r="K41" s="2"/>
      <c r="L41" s="2"/>
      <c r="M41" s="2"/>
      <c r="N41" s="2"/>
      <c r="O41" s="2"/>
    </row>
    <row r="42" spans="2:15" ht="15.75" thickBot="1" x14ac:dyDescent="0.3">
      <c r="B42" s="8" t="s">
        <v>282</v>
      </c>
      <c r="C42" s="130">
        <f>C40*(1-+C41)</f>
        <v>4.7860556054329859E-2</v>
      </c>
      <c r="D42" s="117"/>
      <c r="E42" s="42" t="s">
        <v>282</v>
      </c>
      <c r="F42" s="124">
        <f>F40*(1-F41)</f>
        <v>4.7860556054329859E-2</v>
      </c>
      <c r="G42" s="113"/>
      <c r="H42" s="2"/>
      <c r="I42" s="2"/>
      <c r="J42" s="2"/>
      <c r="K42" s="2"/>
      <c r="L42" s="2"/>
      <c r="M42" s="2"/>
      <c r="N42" s="2"/>
      <c r="O42" s="2"/>
    </row>
    <row r="43" spans="2:15" x14ac:dyDescent="0.25">
      <c r="B43" s="39"/>
      <c r="C43" s="117"/>
      <c r="D43" s="117"/>
      <c r="E43" s="40"/>
      <c r="F43" s="118"/>
      <c r="G43" s="113"/>
      <c r="H43" s="2"/>
      <c r="I43" s="2"/>
      <c r="J43" s="2"/>
      <c r="K43" s="2"/>
      <c r="L43" s="2"/>
      <c r="M43" s="2"/>
      <c r="N43" s="2"/>
      <c r="O43" s="2"/>
    </row>
    <row r="44" spans="2:15" ht="15.75" thickBot="1" x14ac:dyDescent="0.3">
      <c r="B44" s="430" t="s">
        <v>283</v>
      </c>
      <c r="C44" s="430"/>
      <c r="D44" s="117"/>
      <c r="E44" s="430" t="s">
        <v>283</v>
      </c>
      <c r="F44" s="430"/>
      <c r="G44" s="113"/>
      <c r="H44" s="2"/>
      <c r="I44" s="2"/>
      <c r="J44" s="2"/>
      <c r="K44" s="2"/>
      <c r="L44" s="2"/>
      <c r="M44" s="2"/>
      <c r="N44" s="2"/>
      <c r="O44" s="2"/>
    </row>
    <row r="45" spans="2:15" x14ac:dyDescent="0.25">
      <c r="B45" s="119" t="s">
        <v>284</v>
      </c>
      <c r="C45" s="163">
        <f>Assumption!C13</f>
        <v>6.615E-2</v>
      </c>
      <c r="D45" s="117"/>
      <c r="E45" s="119" t="s">
        <v>284</v>
      </c>
      <c r="F45" s="118">
        <f>Assumption!C13</f>
        <v>6.615E-2</v>
      </c>
      <c r="G45" s="113"/>
      <c r="H45" s="2"/>
      <c r="I45" s="2"/>
      <c r="J45" s="2"/>
      <c r="K45" s="2"/>
      <c r="L45" s="2"/>
      <c r="M45" s="2"/>
      <c r="N45" s="2"/>
      <c r="O45" s="2"/>
    </row>
    <row r="46" spans="2:15" x14ac:dyDescent="0.25">
      <c r="B46" s="39" t="s">
        <v>285</v>
      </c>
      <c r="C46" s="123">
        <f>' Market Return'!F10</f>
        <v>0.13080103077300076</v>
      </c>
      <c r="D46" s="117"/>
      <c r="E46" s="39" t="s">
        <v>285</v>
      </c>
      <c r="F46" s="123">
        <f>' Market Return'!F10</f>
        <v>0.13080103077300076</v>
      </c>
      <c r="G46" s="113"/>
      <c r="H46" s="2"/>
      <c r="I46" s="2"/>
      <c r="J46" s="2"/>
      <c r="K46" s="2"/>
      <c r="L46" s="2"/>
      <c r="M46" s="2"/>
      <c r="N46" s="2"/>
      <c r="O46" s="2"/>
    </row>
    <row r="47" spans="2:15" x14ac:dyDescent="0.25">
      <c r="B47" s="119" t="s">
        <v>286</v>
      </c>
      <c r="C47" s="118">
        <f>C46-C45</f>
        <v>6.4651030773000759E-2</v>
      </c>
      <c r="D47" s="117"/>
      <c r="E47" s="119" t="s">
        <v>286</v>
      </c>
      <c r="F47" s="118">
        <f>F46-F45</f>
        <v>6.4651030773000759E-2</v>
      </c>
      <c r="G47" s="113"/>
      <c r="H47" s="2"/>
      <c r="I47" s="2"/>
      <c r="J47" s="2"/>
      <c r="K47" s="2"/>
      <c r="L47" s="2"/>
      <c r="M47" s="2"/>
      <c r="N47" s="2"/>
      <c r="O47" s="2"/>
    </row>
    <row r="48" spans="2:15" x14ac:dyDescent="0.25">
      <c r="B48" s="119" t="s">
        <v>287</v>
      </c>
      <c r="C48" s="113">
        <f>J23*(1+C37*(1-C41))</f>
        <v>0.38030755096835062</v>
      </c>
      <c r="D48" s="117"/>
      <c r="E48" s="119" t="s">
        <v>188</v>
      </c>
      <c r="F48" s="113">
        <f>'Equity Return'!I9</f>
        <v>1.2602979368779437</v>
      </c>
      <c r="G48" s="113"/>
      <c r="H48" s="2"/>
      <c r="I48" s="2"/>
      <c r="J48" s="2"/>
      <c r="K48" s="2"/>
      <c r="L48" s="2"/>
      <c r="M48" s="2"/>
      <c r="N48" s="2"/>
      <c r="O48" s="2"/>
    </row>
    <row r="49" spans="2:15" ht="15.75" thickBot="1" x14ac:dyDescent="0.3">
      <c r="B49" s="120" t="s">
        <v>283</v>
      </c>
      <c r="C49" s="131">
        <f>C45+(C47*C48)</f>
        <v>9.0737275180859389E-2</v>
      </c>
      <c r="D49" s="117"/>
      <c r="E49" s="125" t="s">
        <v>283</v>
      </c>
      <c r="F49" s="126">
        <f>F45+(F48*F47)</f>
        <v>0.1476295607002453</v>
      </c>
      <c r="G49" s="113"/>
      <c r="H49" s="2"/>
      <c r="I49" s="2"/>
      <c r="J49" s="2"/>
      <c r="K49" s="2"/>
      <c r="L49" s="2"/>
      <c r="M49" s="2"/>
      <c r="N49" s="2"/>
      <c r="O49" s="2"/>
    </row>
    <row r="50" spans="2:15" x14ac:dyDescent="0.25">
      <c r="B50" s="39"/>
      <c r="C50" s="117"/>
      <c r="D50" s="117"/>
      <c r="E50" s="2"/>
      <c r="F50" s="2"/>
      <c r="G50" s="113"/>
      <c r="H50" s="2"/>
      <c r="I50" s="2"/>
      <c r="J50" s="2"/>
      <c r="K50" s="2"/>
      <c r="L50" s="2"/>
      <c r="M50" s="2"/>
      <c r="N50" s="2"/>
      <c r="O50" s="2"/>
    </row>
    <row r="51" spans="2:15" ht="15.75" thickBot="1" x14ac:dyDescent="0.3">
      <c r="B51" s="206" t="s">
        <v>288</v>
      </c>
      <c r="C51" s="205">
        <f>(C42*C32)+(C49*C33)</f>
        <v>8.9832250877058262E-2</v>
      </c>
      <c r="D51" s="117"/>
      <c r="E51" s="127" t="s">
        <v>288</v>
      </c>
      <c r="F51" s="128">
        <f>(F49*F37)+((1-F37)*F42)</f>
        <v>0.12988111722745066</v>
      </c>
      <c r="G51" s="113"/>
      <c r="H51" s="2"/>
      <c r="I51" s="2"/>
      <c r="J51" s="2"/>
      <c r="K51" s="2"/>
      <c r="L51" s="2"/>
      <c r="M51" s="2"/>
      <c r="N51" s="2"/>
      <c r="O51" s="2"/>
    </row>
    <row r="52" spans="2:15" x14ac:dyDescent="0.25">
      <c r="B52" s="2"/>
      <c r="C52" s="2"/>
      <c r="D52" s="2"/>
      <c r="E52" s="117"/>
      <c r="F52" s="117"/>
    </row>
    <row r="53" spans="2:15" x14ac:dyDescent="0.25">
      <c r="B53" s="2"/>
      <c r="C53" s="2"/>
      <c r="D53" s="2"/>
      <c r="E53" s="117"/>
      <c r="F53" s="117"/>
    </row>
    <row r="54" spans="2:15" x14ac:dyDescent="0.25">
      <c r="B54" s="2"/>
      <c r="C54" s="2"/>
      <c r="D54" s="2"/>
      <c r="E54" s="2"/>
      <c r="F54" s="2"/>
    </row>
    <row r="55" spans="2:15" x14ac:dyDescent="0.25">
      <c r="B55" s="2"/>
      <c r="C55" s="2"/>
      <c r="D55" s="2"/>
      <c r="E55" s="2"/>
      <c r="F55" s="2"/>
    </row>
    <row r="56" spans="2:15" x14ac:dyDescent="0.25">
      <c r="B56" s="2"/>
      <c r="C56" s="2"/>
      <c r="D56" s="2"/>
      <c r="E56" s="2"/>
      <c r="F56" s="2"/>
    </row>
    <row r="57" spans="2:15" x14ac:dyDescent="0.25">
      <c r="B57" s="2"/>
      <c r="C57" s="2"/>
      <c r="D57" s="2"/>
      <c r="E57" s="2"/>
      <c r="F57" s="2"/>
    </row>
    <row r="58" spans="2:15" x14ac:dyDescent="0.25">
      <c r="B58" s="2"/>
      <c r="C58" s="2"/>
      <c r="D58" s="2"/>
      <c r="E58" s="2"/>
      <c r="F58" s="2"/>
    </row>
    <row r="59" spans="2:15" x14ac:dyDescent="0.25">
      <c r="B59" s="2"/>
      <c r="C59" s="2"/>
      <c r="D59" s="2"/>
      <c r="E59" s="2"/>
      <c r="F59" s="2"/>
    </row>
    <row r="60" spans="2:15" x14ac:dyDescent="0.25">
      <c r="B60" s="2"/>
      <c r="C60" s="2"/>
      <c r="D60" s="2"/>
      <c r="E60" s="2"/>
      <c r="F60" s="2"/>
    </row>
    <row r="61" spans="2:15" x14ac:dyDescent="0.25">
      <c r="B61" s="2"/>
      <c r="C61" s="2"/>
      <c r="D61" s="2"/>
      <c r="E61" s="2"/>
      <c r="F61" s="2"/>
    </row>
  </sheetData>
  <mergeCells count="11">
    <mergeCell ref="E30:F30"/>
    <mergeCell ref="B6:K6"/>
    <mergeCell ref="B28:J28"/>
    <mergeCell ref="B30:C30"/>
    <mergeCell ref="B34:C34"/>
    <mergeCell ref="B44:C44"/>
    <mergeCell ref="E32:F32"/>
    <mergeCell ref="E34:F34"/>
    <mergeCell ref="E39:F39"/>
    <mergeCell ref="E44:F44"/>
    <mergeCell ref="B39:C39"/>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R45"/>
  <sheetViews>
    <sheetView showGridLines="0" topLeftCell="B8" workbookViewId="0">
      <selection activeCell="C8" sqref="C8"/>
    </sheetView>
  </sheetViews>
  <sheetFormatPr defaultRowHeight="15" x14ac:dyDescent="0.25"/>
  <cols>
    <col min="1" max="1" width="1.85546875" customWidth="1"/>
    <col min="2" max="2" width="31.5703125" bestFit="1" customWidth="1"/>
    <col min="3" max="3" width="13.42578125" bestFit="1" customWidth="1"/>
    <col min="4" max="4" width="10.7109375" bestFit="1" customWidth="1"/>
    <col min="5" max="5" width="11.42578125" bestFit="1" customWidth="1"/>
    <col min="6" max="6" width="20.5703125" bestFit="1" customWidth="1"/>
    <col min="7" max="8" width="11.42578125" bestFit="1" customWidth="1"/>
    <col min="9" max="12" width="10.85546875" bestFit="1" customWidth="1"/>
    <col min="13" max="17" width="12.28515625" bestFit="1" customWidth="1"/>
    <col min="18" max="18" width="13.42578125" bestFit="1" customWidth="1"/>
  </cols>
  <sheetData>
    <row r="5" spans="2:18" x14ac:dyDescent="0.25">
      <c r="B5" s="422" t="s">
        <v>365</v>
      </c>
      <c r="C5" s="422"/>
      <c r="D5" s="422"/>
      <c r="E5" s="422"/>
      <c r="F5" s="422"/>
      <c r="G5" s="422"/>
      <c r="H5" s="422"/>
      <c r="I5" s="422"/>
      <c r="J5" s="422"/>
      <c r="K5" s="422"/>
      <c r="L5" s="422"/>
      <c r="M5" s="422"/>
      <c r="N5" s="422"/>
      <c r="O5" s="422"/>
      <c r="P5" s="422"/>
      <c r="Q5" s="422"/>
      <c r="R5" s="422"/>
    </row>
    <row r="6" spans="2:18" x14ac:dyDescent="0.25">
      <c r="B6" s="70" t="s">
        <v>353</v>
      </c>
    </row>
    <row r="7" spans="2:18" x14ac:dyDescent="0.25">
      <c r="B7" s="423" t="s">
        <v>17</v>
      </c>
      <c r="C7" s="346">
        <v>2021</v>
      </c>
      <c r="D7" s="346">
        <f>C7+1</f>
        <v>2022</v>
      </c>
      <c r="E7" s="346">
        <f t="shared" ref="E7:G7" si="0">D7+1</f>
        <v>2023</v>
      </c>
      <c r="F7" s="346">
        <f t="shared" si="0"/>
        <v>2024</v>
      </c>
      <c r="G7" s="346">
        <f t="shared" si="0"/>
        <v>2025</v>
      </c>
      <c r="H7" s="346">
        <f>G7+1</f>
        <v>2026</v>
      </c>
      <c r="I7" s="346">
        <f t="shared" ref="I7:Q7" si="1">H7+1</f>
        <v>2027</v>
      </c>
      <c r="J7" s="346">
        <f t="shared" si="1"/>
        <v>2028</v>
      </c>
      <c r="K7" s="346">
        <f t="shared" si="1"/>
        <v>2029</v>
      </c>
      <c r="L7" s="346">
        <f t="shared" si="1"/>
        <v>2030</v>
      </c>
      <c r="M7" s="346">
        <f t="shared" si="1"/>
        <v>2031</v>
      </c>
      <c r="N7" s="346">
        <f t="shared" si="1"/>
        <v>2032</v>
      </c>
      <c r="O7" s="346">
        <f t="shared" si="1"/>
        <v>2033</v>
      </c>
      <c r="P7" s="346">
        <f t="shared" si="1"/>
        <v>2034</v>
      </c>
      <c r="Q7" s="346">
        <f t="shared" si="1"/>
        <v>2035</v>
      </c>
      <c r="R7" s="96"/>
    </row>
    <row r="8" spans="2:18" x14ac:dyDescent="0.25">
      <c r="B8" s="424"/>
      <c r="C8" s="347" t="s">
        <v>291</v>
      </c>
      <c r="D8" s="347" t="s">
        <v>291</v>
      </c>
      <c r="E8" s="347" t="s">
        <v>291</v>
      </c>
      <c r="F8" s="347" t="s">
        <v>291</v>
      </c>
      <c r="G8" s="347" t="s">
        <v>291</v>
      </c>
      <c r="H8" s="347" t="s">
        <v>509</v>
      </c>
      <c r="I8" s="347" t="s">
        <v>510</v>
      </c>
      <c r="J8" s="347" t="s">
        <v>510</v>
      </c>
      <c r="K8" s="347" t="s">
        <v>510</v>
      </c>
      <c r="L8" s="347" t="s">
        <v>510</v>
      </c>
      <c r="M8" s="347" t="s">
        <v>510</v>
      </c>
      <c r="N8" s="347" t="s">
        <v>510</v>
      </c>
      <c r="O8" s="347" t="s">
        <v>510</v>
      </c>
      <c r="P8" s="347" t="s">
        <v>510</v>
      </c>
      <c r="Q8" s="347" t="s">
        <v>510</v>
      </c>
      <c r="R8" s="362"/>
    </row>
    <row r="9" spans="2:18" x14ac:dyDescent="0.25">
      <c r="B9" s="134"/>
      <c r="C9" s="134"/>
      <c r="D9" s="134"/>
      <c r="E9" s="134"/>
      <c r="F9" s="134"/>
      <c r="G9" s="134" t="s">
        <v>292</v>
      </c>
      <c r="H9" s="134"/>
      <c r="I9" s="134"/>
      <c r="J9" s="134"/>
      <c r="K9" s="134"/>
      <c r="L9" s="134"/>
      <c r="M9" s="134"/>
      <c r="N9" s="134"/>
      <c r="O9" s="134"/>
      <c r="P9" s="134"/>
      <c r="Q9" s="134"/>
      <c r="R9" s="135" t="s">
        <v>293</v>
      </c>
    </row>
    <row r="10" spans="2:18" x14ac:dyDescent="0.25">
      <c r="B10" s="136" t="s">
        <v>294</v>
      </c>
      <c r="C10" s="136"/>
      <c r="D10" s="136"/>
      <c r="E10" s="136"/>
      <c r="F10" s="136"/>
      <c r="G10" s="137">
        <f>Assumption!C11</f>
        <v>46030</v>
      </c>
      <c r="H10" s="138">
        <f>DATE(YEAR(Assumption!$C$12)+H11,MONTH(Assumption!$C$12),DAY(Assumption!$C$12))</f>
        <v>46112</v>
      </c>
      <c r="I10" s="138">
        <f>DATE(YEAR(Assumption!$C$12)+I11,MONTH(Assumption!$C$12),DAY(Assumption!$C$12))</f>
        <v>46477</v>
      </c>
      <c r="J10" s="138">
        <f>DATE(YEAR(Assumption!$C$12)+J11,MONTH(Assumption!$C$12),DAY(Assumption!$C$12))</f>
        <v>46843</v>
      </c>
      <c r="K10" s="138">
        <f>DATE(YEAR(Assumption!$C$12)+K11,MONTH(Assumption!$C$12),DAY(Assumption!$C$12))</f>
        <v>47208</v>
      </c>
      <c r="L10" s="138">
        <f>DATE(YEAR(Assumption!$C$12)+L11,MONTH(Assumption!$C$12),DAY(Assumption!$C$12))</f>
        <v>47573</v>
      </c>
      <c r="M10" s="138">
        <f>DATE(YEAR(Assumption!$C$12)+M11,MONTH(Assumption!$C$12),DAY(Assumption!$C$12))</f>
        <v>47938</v>
      </c>
      <c r="N10" s="138">
        <f>DATE(YEAR(Assumption!$C$12)+N11,MONTH(Assumption!$C$12),DAY(Assumption!$C$12))</f>
        <v>48304</v>
      </c>
      <c r="O10" s="138">
        <f>DATE(YEAR(Assumption!$C$12)+O11,MONTH(Assumption!$C$12),DAY(Assumption!$C$12))</f>
        <v>48669</v>
      </c>
      <c r="P10" s="138">
        <f>DATE(YEAR(Assumption!$C$12)+P11,MONTH(Assumption!$C$12),DAY(Assumption!$C$12))</f>
        <v>49034</v>
      </c>
      <c r="Q10" s="138">
        <f>DATE(YEAR(Assumption!$C$12)+Q11,MONTH(Assumption!$C$12),DAY(Assumption!$C$12))</f>
        <v>49399</v>
      </c>
      <c r="R10" s="138">
        <f>Q10</f>
        <v>49399</v>
      </c>
    </row>
    <row r="11" spans="2:18" x14ac:dyDescent="0.25">
      <c r="B11" s="136" t="s">
        <v>295</v>
      </c>
      <c r="C11" s="136"/>
      <c r="D11" s="136"/>
      <c r="E11" s="136"/>
      <c r="F11" s="136"/>
      <c r="G11" s="136"/>
      <c r="H11" s="136">
        <v>0</v>
      </c>
      <c r="I11" s="136">
        <v>1</v>
      </c>
      <c r="J11" s="136">
        <v>2</v>
      </c>
      <c r="K11" s="136">
        <v>3</v>
      </c>
      <c r="L11" s="136">
        <v>4</v>
      </c>
      <c r="M11" s="136">
        <v>5</v>
      </c>
      <c r="N11" s="136">
        <v>6</v>
      </c>
      <c r="O11" s="136">
        <v>7</v>
      </c>
      <c r="P11" s="136">
        <v>8</v>
      </c>
      <c r="Q11" s="136">
        <v>9</v>
      </c>
      <c r="R11" s="136"/>
    </row>
    <row r="12" spans="2:18" x14ac:dyDescent="0.25">
      <c r="B12" s="139" t="s">
        <v>296</v>
      </c>
      <c r="C12" s="139">
        <v>0</v>
      </c>
      <c r="D12" s="139">
        <v>0</v>
      </c>
      <c r="E12" s="139">
        <v>0</v>
      </c>
      <c r="F12" s="139">
        <v>0</v>
      </c>
      <c r="G12" s="139">
        <v>0</v>
      </c>
      <c r="H12" s="140">
        <f>YEARFRAC(G10,H10)</f>
        <v>0.23055555555555557</v>
      </c>
      <c r="I12" s="139">
        <f t="shared" ref="I12:Q12" si="2">YEARFRAC(H10,I10)</f>
        <v>1</v>
      </c>
      <c r="J12" s="139">
        <f t="shared" si="2"/>
        <v>1</v>
      </c>
      <c r="K12" s="139">
        <f t="shared" si="2"/>
        <v>1</v>
      </c>
      <c r="L12" s="139">
        <f t="shared" si="2"/>
        <v>1</v>
      </c>
      <c r="M12" s="139">
        <f t="shared" si="2"/>
        <v>1</v>
      </c>
      <c r="N12" s="139">
        <f t="shared" si="2"/>
        <v>1</v>
      </c>
      <c r="O12" s="139">
        <f t="shared" si="2"/>
        <v>1</v>
      </c>
      <c r="P12" s="139">
        <f t="shared" si="2"/>
        <v>1</v>
      </c>
      <c r="Q12" s="139">
        <f t="shared" si="2"/>
        <v>1</v>
      </c>
      <c r="R12" s="139">
        <v>1</v>
      </c>
    </row>
    <row r="13" spans="2:18" x14ac:dyDescent="0.25">
      <c r="B13" s="1" t="s">
        <v>297</v>
      </c>
      <c r="C13" s="321">
        <f>'Profit &amp; Loss Statement'!C23</f>
        <v>16875</v>
      </c>
      <c r="D13" s="321">
        <f>'Profit &amp; Loss Statement'!D23</f>
        <v>22479</v>
      </c>
      <c r="E13" s="321">
        <f>'Profit &amp; Loss Statement'!E23</f>
        <v>31695</v>
      </c>
      <c r="F13" s="321">
        <f>'Profit &amp; Loss Statement'!F23</f>
        <v>27756</v>
      </c>
      <c r="G13" s="321">
        <f>'Profit &amp; Loss Statement'!G23</f>
        <v>26572</v>
      </c>
      <c r="H13" s="321">
        <f>'Profit &amp; Loss Statement'!H23</f>
        <v>51165.426316681973</v>
      </c>
      <c r="I13" s="321">
        <f>'Profit &amp; Loss Statement'!I23</f>
        <v>61875.016211847782</v>
      </c>
      <c r="J13" s="321">
        <f>'Profit &amp; Loss Statement'!J23</f>
        <v>72900.565975308215</v>
      </c>
      <c r="K13" s="321">
        <f>'Profit &amp; Loss Statement'!K23</f>
        <v>83994.571154586505</v>
      </c>
      <c r="L13" s="321">
        <f>'Profit &amp; Loss Statement'!L23</f>
        <v>94933.740270651877</v>
      </c>
      <c r="M13" s="321">
        <f>'Profit &amp; Loss Statement'!M23</f>
        <v>105529.45302846128</v>
      </c>
      <c r="N13" s="321">
        <f>'Profit &amp; Loss Statement'!N23</f>
        <v>115632.7991436975</v>
      </c>
      <c r="O13" s="321">
        <f>'Profit &amp; Loss Statement'!O23</f>
        <v>125135.14268460163</v>
      </c>
      <c r="P13" s="321">
        <f>'Profit &amp; Loss Statement'!P23</f>
        <v>133965.44715870547</v>
      </c>
      <c r="Q13" s="321">
        <f>'Profit &amp; Loss Statement'!Q23</f>
        <v>142085.58878698872</v>
      </c>
      <c r="R13" s="150"/>
    </row>
    <row r="14" spans="2:18" x14ac:dyDescent="0.25">
      <c r="B14" t="s">
        <v>269</v>
      </c>
      <c r="C14" s="150">
        <f>C13*'Cost Buildup'!C23</f>
        <v>2137.2701860015054</v>
      </c>
      <c r="D14" s="150">
        <f>D13*'Cost Buildup'!D23</f>
        <v>5911.1952410006097</v>
      </c>
      <c r="E14" s="150">
        <f>E13*'Cost Buildup'!E23</f>
        <v>8067.4648228232109</v>
      </c>
      <c r="F14" s="150">
        <f>F13*'Cost Buildup'!F23</f>
        <v>7156.2843313015419</v>
      </c>
      <c r="G14" s="150">
        <f>G13*'Cost Buildup'!G23</f>
        <v>7364.3529319658655</v>
      </c>
      <c r="H14" s="150">
        <f>H13*'Cost Buildup'!H23</f>
        <v>14436.177022842643</v>
      </c>
      <c r="I14" s="150">
        <f>I13*'Cost Buildup'!I23</f>
        <v>17457.856830839333</v>
      </c>
      <c r="J14" s="150">
        <f>J13*'Cost Buildup'!J23</f>
        <v>20933.186631536617</v>
      </c>
      <c r="K14" s="150">
        <f>K13*'Cost Buildup'!K23</f>
        <v>24118.798125797508</v>
      </c>
      <c r="L14" s="150">
        <f>L13*'Cost Buildup'!L23</f>
        <v>27734.617593773055</v>
      </c>
      <c r="M14" s="150">
        <f>M13*'Cost Buildup'!M23</f>
        <v>30830.124424468882</v>
      </c>
      <c r="N14" s="150">
        <f>N13*'Cost Buildup'!N23</f>
        <v>34359.951760583899</v>
      </c>
      <c r="O14" s="150">
        <f>O13*'Cost Buildup'!O23</f>
        <v>37183.545655186579</v>
      </c>
      <c r="P14" s="150">
        <f>P13*'Cost Buildup'!P23</f>
        <v>40189.634147611643</v>
      </c>
      <c r="Q14" s="150">
        <f>Q13*'Cost Buildup'!Q23</f>
        <v>42625.676636096614</v>
      </c>
      <c r="R14" s="150"/>
    </row>
    <row r="15" spans="2:18" x14ac:dyDescent="0.25">
      <c r="B15" s="8" t="s">
        <v>298</v>
      </c>
      <c r="C15" s="320">
        <f>C13-C14</f>
        <v>14737.729813998494</v>
      </c>
      <c r="D15" s="320">
        <f t="shared" ref="D15:Q15" si="3">D13-D14</f>
        <v>16567.804758999391</v>
      </c>
      <c r="E15" s="320">
        <f t="shared" si="3"/>
        <v>23627.535177176789</v>
      </c>
      <c r="F15" s="320">
        <f t="shared" si="3"/>
        <v>20599.71566869846</v>
      </c>
      <c r="G15" s="320">
        <f t="shared" si="3"/>
        <v>19207.647068034134</v>
      </c>
      <c r="H15" s="320">
        <f t="shared" si="3"/>
        <v>36729.249293839326</v>
      </c>
      <c r="I15" s="320">
        <f t="shared" si="3"/>
        <v>44417.159381008445</v>
      </c>
      <c r="J15" s="320">
        <f t="shared" si="3"/>
        <v>51967.379343771594</v>
      </c>
      <c r="K15" s="320">
        <f t="shared" si="3"/>
        <v>59875.773028789001</v>
      </c>
      <c r="L15" s="320">
        <f t="shared" si="3"/>
        <v>67199.122676878818</v>
      </c>
      <c r="M15" s="320">
        <f t="shared" si="3"/>
        <v>74699.328603992399</v>
      </c>
      <c r="N15" s="320">
        <f t="shared" si="3"/>
        <v>81272.847383113607</v>
      </c>
      <c r="O15" s="320">
        <f t="shared" si="3"/>
        <v>87951.597029415047</v>
      </c>
      <c r="P15" s="320">
        <f t="shared" si="3"/>
        <v>93775.813011093822</v>
      </c>
      <c r="Q15" s="320">
        <f t="shared" si="3"/>
        <v>99459.912150892109</v>
      </c>
      <c r="R15" s="326"/>
    </row>
    <row r="16" spans="2:18" x14ac:dyDescent="0.25">
      <c r="B16" t="s">
        <v>299</v>
      </c>
      <c r="C16" s="150">
        <f>'Profit &amp; Loss Statement'!C21</f>
        <v>2274</v>
      </c>
      <c r="D16" s="150">
        <f>'Profit &amp; Loss Statement'!D21</f>
        <v>3288</v>
      </c>
      <c r="E16" s="150">
        <f>'Profit &amp; Loss Statement'!E21</f>
        <v>4191</v>
      </c>
      <c r="F16" s="150">
        <f>'Profit &amp; Loss Statement'!F21</f>
        <v>5829</v>
      </c>
      <c r="G16" s="150">
        <f>'Profit &amp; Loss Statement'!G21</f>
        <v>8870</v>
      </c>
      <c r="H16" s="150">
        <f>'Profit &amp; Loss Statement'!H21</f>
        <v>4870.2</v>
      </c>
      <c r="I16" s="150">
        <f>'Profit &amp; Loss Statement'!I21</f>
        <v>4894.5509999999995</v>
      </c>
      <c r="J16" s="150">
        <f>'Profit &amp; Loss Statement'!J21</f>
        <v>4919.0237549999983</v>
      </c>
      <c r="K16" s="150">
        <f>'Profit &amp; Loss Statement'!K21</f>
        <v>4943.6188737749981</v>
      </c>
      <c r="L16" s="150">
        <f>'Profit &amp; Loss Statement'!L21</f>
        <v>4968.3369681438726</v>
      </c>
      <c r="M16" s="150">
        <f>'Profit &amp; Loss Statement'!M21</f>
        <v>4993.1786529845922</v>
      </c>
      <c r="N16" s="150">
        <f>'Profit &amp; Loss Statement'!N21</f>
        <v>5018.144546249514</v>
      </c>
      <c r="O16" s="150">
        <f>'Profit &amp; Loss Statement'!O21</f>
        <v>5043.2352689807612</v>
      </c>
      <c r="P16" s="150">
        <f>'Profit &amp; Loss Statement'!P21</f>
        <v>5068.4514453256634</v>
      </c>
      <c r="Q16" s="150">
        <f>'Profit &amp; Loss Statement'!Q21</f>
        <v>5093.7937025522924</v>
      </c>
      <c r="R16" s="150"/>
    </row>
    <row r="17" spans="2:18" x14ac:dyDescent="0.25">
      <c r="B17" t="s">
        <v>300</v>
      </c>
      <c r="C17" s="150"/>
      <c r="D17" s="150">
        <f>-FAS!D376</f>
        <v>-5953</v>
      </c>
      <c r="E17" s="150">
        <f>-FAS!E376</f>
        <v>-25758</v>
      </c>
      <c r="F17" s="150">
        <f>-FAS!F376</f>
        <v>-3669</v>
      </c>
      <c r="G17" s="150">
        <f>-FAS!G376</f>
        <v>-26484</v>
      </c>
      <c r="H17" s="150">
        <f>-FAS!H376</f>
        <v>-6620.0000000000027</v>
      </c>
      <c r="I17" s="150">
        <f>-FAS!I376</f>
        <v>-6691.9799999999959</v>
      </c>
      <c r="J17" s="150">
        <f>-FAS!J376</f>
        <v>-6688.5698999999986</v>
      </c>
      <c r="K17" s="150">
        <f>-FAS!K376</f>
        <v>-6758.8827495000078</v>
      </c>
      <c r="L17" s="150">
        <f>-FAS!L376</f>
        <v>-6755.8071632474912</v>
      </c>
      <c r="M17" s="150">
        <f>-FAS!M376</f>
        <v>-6826.456199063723</v>
      </c>
      <c r="N17" s="150">
        <f>-FAS!N376</f>
        <v>-6823.7184800590585</v>
      </c>
      <c r="O17" s="150">
        <f>-FAS!O376</f>
        <v>-6894.7070724593377</v>
      </c>
      <c r="P17" s="150">
        <f>-FAS!P376</f>
        <v>-6892.3106078216733</v>
      </c>
      <c r="Q17" s="150">
        <f>-FAS!Q376</f>
        <v>-6963.6421608607425</v>
      </c>
      <c r="R17" s="150"/>
    </row>
    <row r="18" spans="2:18" x14ac:dyDescent="0.25">
      <c r="B18" t="s">
        <v>301</v>
      </c>
      <c r="C18" s="150"/>
      <c r="D18" s="150">
        <f>(SUM('Balance sheet'!C25,'Balance sheet'!C28:C30)-SUM('Balance sheet'!D25,'Balance sheet'!D28:D30))+('Balance sheet'!D64-'Balance sheet'!C64)</f>
        <v>70</v>
      </c>
      <c r="E18" s="150">
        <f>(SUM('Balance sheet'!D25,'Balance sheet'!D28:D30)-SUM('Balance sheet'!E25,'Balance sheet'!E28:E30))+('Balance sheet'!E64-'Balance sheet'!D64)</f>
        <v>12363</v>
      </c>
      <c r="F18" s="150">
        <f>(SUM('Balance sheet'!E25,'Balance sheet'!E28:E30)-SUM('Balance sheet'!F25,'Balance sheet'!F28:F30))+('Balance sheet'!F64-'Balance sheet'!E64)</f>
        <v>-6951</v>
      </c>
      <c r="G18" s="150">
        <f>(SUM('Balance sheet'!F25,'Balance sheet'!F28:F30)-SUM('Balance sheet'!G25,'Balance sheet'!G28:G30))+('Balance sheet'!G64-'Balance sheet'!F64)</f>
        <v>48983</v>
      </c>
      <c r="H18" s="150">
        <f>(SUM('Balance sheet'!G25,'Balance sheet'!G28:G30)-SUM('Balance sheet'!H25,'Balance sheet'!H28:H30))+('Balance sheet'!H64-'Balance sheet'!G64)</f>
        <v>-27829.820331226962</v>
      </c>
      <c r="I18" s="150">
        <f>(SUM('Balance sheet'!H25,'Balance sheet'!H28:H30)-SUM('Balance sheet'!I25,'Balance sheet'!I28:I30))+('Balance sheet'!I64-'Balance sheet'!H64)</f>
        <v>6460.6318680062977</v>
      </c>
      <c r="J18" s="150">
        <f>(SUM('Balance sheet'!I25,'Balance sheet'!I28:I30)-SUM('Balance sheet'!J25,'Balance sheet'!J28:J30))+('Balance sheet'!J64-'Balance sheet'!I64)</f>
        <v>6650.8776526899164</v>
      </c>
      <c r="K18" s="150">
        <f>(SUM('Balance sheet'!J25,'Balance sheet'!J28:J30)-SUM('Balance sheet'!K25,'Balance sheet'!K28:K30))+('Balance sheet'!K64-'Balance sheet'!J64)</f>
        <v>6692.1538058383594</v>
      </c>
      <c r="L18" s="150">
        <f>(SUM('Balance sheet'!K25,'Balance sheet'!K28:K30)-SUM('Balance sheet'!L25,'Balance sheet'!L28:L30))+('Balance sheet'!L64-'Balance sheet'!K64)</f>
        <v>6599.0338311680389</v>
      </c>
      <c r="M18" s="150">
        <f>(SUM('Balance sheet'!L25,'Balance sheet'!L28:L30)-SUM('Balance sheet'!M25,'Balance sheet'!M28:M30))+('Balance sheet'!M64-'Balance sheet'!L64)</f>
        <v>6392.3859054398054</v>
      </c>
      <c r="N18" s="150">
        <f>(SUM('Balance sheet'!M25,'Balance sheet'!M28:M30)-SUM('Balance sheet'!N25,'Balance sheet'!N28:N30))+('Balance sheet'!N64-'Balance sheet'!M64)</f>
        <v>6096.1110155453498</v>
      </c>
      <c r="O18" s="150">
        <f>(SUM('Balance sheet'!N25,'Balance sheet'!N28:N30)-SUM('Balance sheet'!O25,'Balance sheet'!O28:O30))+('Balance sheet'!O64-'Balance sheet'!N64)</f>
        <v>5734.449819050089</v>
      </c>
      <c r="P18" s="150">
        <f>(SUM('Balance sheet'!O25,'Balance sheet'!O28:O30)-SUM('Balance sheet'!P25,'Balance sheet'!P28:P30))+('Balance sheet'!P64-'Balance sheet'!O64)</f>
        <v>5330.032974920061</v>
      </c>
      <c r="Q18" s="150">
        <f>(SUM('Balance sheet'!P25,'Balance sheet'!P28:P30)-SUM('Balance sheet'!Q25,'Balance sheet'!Q28:Q30))+('Balance sheet'!Q64-'Balance sheet'!P64)</f>
        <v>4902.6702573662915</v>
      </c>
      <c r="R18" s="150"/>
    </row>
    <row r="19" spans="2:18" x14ac:dyDescent="0.25">
      <c r="C19" s="150"/>
      <c r="D19" s="150"/>
      <c r="E19" s="150"/>
      <c r="F19" s="150"/>
      <c r="G19" s="150"/>
      <c r="H19" s="150"/>
      <c r="I19" s="150"/>
      <c r="J19" s="150"/>
      <c r="K19" s="150"/>
      <c r="L19" s="150"/>
      <c r="M19" s="150"/>
      <c r="N19" s="150"/>
      <c r="O19" s="150"/>
      <c r="P19" s="150"/>
      <c r="Q19" s="150"/>
      <c r="R19" s="150"/>
    </row>
    <row r="20" spans="2:18" x14ac:dyDescent="0.25">
      <c r="B20" s="141" t="s">
        <v>302</v>
      </c>
      <c r="C20" s="338">
        <f>C15+C16+C17+C18</f>
        <v>17011.729813998492</v>
      </c>
      <c r="D20" s="338">
        <f t="shared" ref="D20:Q20" si="4">D15+D16+D17+D18</f>
        <v>13972.804758999391</v>
      </c>
      <c r="E20" s="338">
        <f t="shared" si="4"/>
        <v>14423.535177176789</v>
      </c>
      <c r="F20" s="338">
        <f t="shared" si="4"/>
        <v>15808.71566869846</v>
      </c>
      <c r="G20" s="338">
        <f t="shared" si="4"/>
        <v>50576.64706803413</v>
      </c>
      <c r="H20" s="338">
        <f t="shared" si="4"/>
        <v>7149.6289626123616</v>
      </c>
      <c r="I20" s="338">
        <f t="shared" si="4"/>
        <v>49080.362249014746</v>
      </c>
      <c r="J20" s="338">
        <f t="shared" si="4"/>
        <v>56848.71085146151</v>
      </c>
      <c r="K20" s="338">
        <f t="shared" si="4"/>
        <v>64752.662958902351</v>
      </c>
      <c r="L20" s="338">
        <f t="shared" si="4"/>
        <v>72010.686312943246</v>
      </c>
      <c r="M20" s="338">
        <f t="shared" si="4"/>
        <v>79258.436963353088</v>
      </c>
      <c r="N20" s="338">
        <f t="shared" si="4"/>
        <v>85563.384464849412</v>
      </c>
      <c r="O20" s="338">
        <f t="shared" si="4"/>
        <v>91834.575044986559</v>
      </c>
      <c r="P20" s="338">
        <f t="shared" si="4"/>
        <v>97281.986823517858</v>
      </c>
      <c r="Q20" s="338">
        <f t="shared" si="4"/>
        <v>102492.73394994995</v>
      </c>
      <c r="R20" s="339">
        <f>C32</f>
        <v>1918372.4888104913</v>
      </c>
    </row>
    <row r="21" spans="2:18" ht="6" customHeight="1" x14ac:dyDescent="0.25">
      <c r="B21" s="142"/>
      <c r="C21" s="340"/>
      <c r="D21" s="340"/>
      <c r="E21" s="340"/>
      <c r="F21" s="340"/>
      <c r="G21" s="340"/>
      <c r="H21" s="340"/>
      <c r="I21" s="340"/>
      <c r="J21" s="340"/>
      <c r="K21" s="340"/>
      <c r="L21" s="340"/>
      <c r="M21" s="340"/>
      <c r="N21" s="340"/>
      <c r="O21" s="340"/>
      <c r="P21" s="340"/>
      <c r="Q21" s="340"/>
      <c r="R21" s="341"/>
    </row>
    <row r="22" spans="2:18" x14ac:dyDescent="0.25">
      <c r="B22" s="143" t="s">
        <v>303</v>
      </c>
      <c r="C22" s="342">
        <f>C20*C12</f>
        <v>0</v>
      </c>
      <c r="D22" s="342">
        <f t="shared" ref="D22:Q22" si="5">D20*D12</f>
        <v>0</v>
      </c>
      <c r="E22" s="342">
        <f t="shared" si="5"/>
        <v>0</v>
      </c>
      <c r="F22" s="342">
        <f t="shared" si="5"/>
        <v>0</v>
      </c>
      <c r="G22" s="342">
        <f t="shared" si="5"/>
        <v>0</v>
      </c>
      <c r="H22" s="342">
        <f t="shared" si="5"/>
        <v>1648.3866774911835</v>
      </c>
      <c r="I22" s="342">
        <f t="shared" si="5"/>
        <v>49080.362249014746</v>
      </c>
      <c r="J22" s="342">
        <f t="shared" si="5"/>
        <v>56848.71085146151</v>
      </c>
      <c r="K22" s="342">
        <f t="shared" si="5"/>
        <v>64752.662958902351</v>
      </c>
      <c r="L22" s="342">
        <f t="shared" si="5"/>
        <v>72010.686312943246</v>
      </c>
      <c r="M22" s="342">
        <f t="shared" si="5"/>
        <v>79258.436963353088</v>
      </c>
      <c r="N22" s="342">
        <f t="shared" si="5"/>
        <v>85563.384464849412</v>
      </c>
      <c r="O22" s="342">
        <f t="shared" si="5"/>
        <v>91834.575044986559</v>
      </c>
      <c r="P22" s="342">
        <f t="shared" si="5"/>
        <v>97281.986823517858</v>
      </c>
      <c r="Q22" s="342">
        <f t="shared" si="5"/>
        <v>102492.73394994995</v>
      </c>
      <c r="R22" s="343">
        <f>R20*R12</f>
        <v>1918372.4888104913</v>
      </c>
    </row>
    <row r="25" spans="2:18" x14ac:dyDescent="0.25">
      <c r="B25" s="144" t="s">
        <v>152</v>
      </c>
      <c r="C25" s="145">
        <f>'Comparable Valuation'!E36</f>
        <v>15.505376974844351</v>
      </c>
    </row>
    <row r="26" spans="2:18" x14ac:dyDescent="0.25">
      <c r="B26" s="146" t="s">
        <v>153</v>
      </c>
      <c r="C26" s="18">
        <f>Assumption!C19</f>
        <v>0.06</v>
      </c>
    </row>
    <row r="27" spans="2:18" ht="15.75" thickBot="1" x14ac:dyDescent="0.3">
      <c r="B27" s="147" t="s">
        <v>154</v>
      </c>
      <c r="C27" s="242">
        <f>'Comps Beta'!F51</f>
        <v>0.12988111722745066</v>
      </c>
    </row>
    <row r="28" spans="2:18" x14ac:dyDescent="0.25">
      <c r="B28" s="148"/>
      <c r="C28" s="149"/>
      <c r="F28" s="150"/>
      <c r="G28" s="11"/>
      <c r="H28" s="11"/>
      <c r="I28" s="11"/>
      <c r="J28" s="11"/>
      <c r="K28" s="11"/>
      <c r="M28" s="150"/>
      <c r="N28" s="367"/>
      <c r="O28" s="367"/>
      <c r="P28" s="11"/>
      <c r="Q28" s="366"/>
      <c r="R28" s="366"/>
    </row>
    <row r="29" spans="2:18" ht="15.75" thickBot="1" x14ac:dyDescent="0.3">
      <c r="B29" s="432" t="s">
        <v>304</v>
      </c>
      <c r="C29" s="432"/>
      <c r="F29" s="11"/>
      <c r="M29" s="11"/>
    </row>
    <row r="30" spans="2:18" x14ac:dyDescent="0.25">
      <c r="B30" t="s">
        <v>244</v>
      </c>
      <c r="C30" s="370">
        <f>C25*(Q13+Q16)</f>
        <v>2282071.8084251392</v>
      </c>
      <c r="F30" s="11"/>
      <c r="M30" s="11"/>
    </row>
    <row r="31" spans="2:18" x14ac:dyDescent="0.25">
      <c r="B31" t="s">
        <v>305</v>
      </c>
      <c r="C31" s="150">
        <f>Q22*(1+C26)/(C27-C26)</f>
        <v>1554673.1691958432</v>
      </c>
      <c r="F31" s="367"/>
      <c r="M31" s="11"/>
    </row>
    <row r="32" spans="2:18" ht="15.75" thickBot="1" x14ac:dyDescent="0.3">
      <c r="B32" s="127" t="s">
        <v>250</v>
      </c>
      <c r="C32" s="151">
        <f>AVERAGE(C30:C31)</f>
        <v>1918372.4888104913</v>
      </c>
      <c r="F32" s="11"/>
      <c r="M32" s="11"/>
    </row>
    <row r="33" spans="2:13" x14ac:dyDescent="0.25">
      <c r="F33" s="11"/>
      <c r="M33" s="11"/>
    </row>
    <row r="34" spans="2:13" ht="15.75" thickBot="1" x14ac:dyDescent="0.3">
      <c r="B34" s="432" t="s">
        <v>306</v>
      </c>
      <c r="C34" s="432"/>
    </row>
    <row r="35" spans="2:13" x14ac:dyDescent="0.25">
      <c r="B35" t="s">
        <v>307</v>
      </c>
      <c r="C35" s="152">
        <f>XNPV(C27,G22:R22,G10:R10)</f>
        <v>983943.64888396242</v>
      </c>
      <c r="D35" s="4"/>
    </row>
    <row r="36" spans="2:13" x14ac:dyDescent="0.25">
      <c r="B36" t="s">
        <v>308</v>
      </c>
      <c r="C36" s="152">
        <f>'Balance sheet'!G24+'Balance sheet'!G26+'Balance sheet'!G27+'Balance sheet'!G29</f>
        <v>158588</v>
      </c>
      <c r="D36" s="4"/>
    </row>
    <row r="37" spans="2:13" x14ac:dyDescent="0.25">
      <c r="B37" t="s">
        <v>309</v>
      </c>
      <c r="C37" s="152">
        <f>-SUM('Balance sheet'!G45,'Balance sheet'!G56)</f>
        <v>-116091</v>
      </c>
      <c r="D37" s="4"/>
    </row>
    <row r="38" spans="2:13" x14ac:dyDescent="0.25">
      <c r="B38" t="s">
        <v>310</v>
      </c>
      <c r="C38" s="152">
        <v>0</v>
      </c>
      <c r="D38" s="4"/>
    </row>
    <row r="39" spans="2:13" ht="15.75" thickBot="1" x14ac:dyDescent="0.3">
      <c r="B39" s="42" t="s">
        <v>311</v>
      </c>
      <c r="C39" s="153">
        <f>SUM(C35:C38)</f>
        <v>1026440.6488839625</v>
      </c>
    </row>
    <row r="40" spans="2:13" x14ac:dyDescent="0.25">
      <c r="C40" s="152"/>
    </row>
    <row r="41" spans="2:13" ht="15.75" thickBot="1" x14ac:dyDescent="0.3">
      <c r="B41" s="127" t="s">
        <v>312</v>
      </c>
      <c r="C41" s="151">
        <f>C39/'Comparable Valuation'!F31</f>
        <v>673.95971692971932</v>
      </c>
    </row>
    <row r="43" spans="2:13" ht="15.75" thickBot="1" x14ac:dyDescent="0.3">
      <c r="B43" s="127" t="s">
        <v>453</v>
      </c>
      <c r="C43" s="274">
        <f>C41/Assumption!C22-1</f>
        <v>0.46832182337629491</v>
      </c>
    </row>
    <row r="45" spans="2:13" x14ac:dyDescent="0.25">
      <c r="B45" s="222"/>
      <c r="C45" s="222"/>
      <c r="D45" s="222"/>
      <c r="E45" s="222"/>
      <c r="F45" s="222"/>
      <c r="G45" s="222"/>
      <c r="H45" s="222"/>
      <c r="I45" s="222"/>
      <c r="J45" s="222"/>
      <c r="K45" s="222"/>
    </row>
  </sheetData>
  <mergeCells count="4">
    <mergeCell ref="B5:R5"/>
    <mergeCell ref="B29:C29"/>
    <mergeCell ref="B34:C34"/>
    <mergeCell ref="B7:B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O25"/>
  <sheetViews>
    <sheetView showGridLines="0" topLeftCell="C7" workbookViewId="0">
      <selection activeCell="C20" sqref="C20"/>
    </sheetView>
  </sheetViews>
  <sheetFormatPr defaultRowHeight="15" x14ac:dyDescent="0.25"/>
  <cols>
    <col min="1" max="1" width="1.85546875" customWidth="1"/>
    <col min="2" max="2" width="28.85546875" bestFit="1" customWidth="1"/>
    <col min="3" max="3" width="8" customWidth="1"/>
    <col min="4" max="4" width="16.5703125" bestFit="1" customWidth="1"/>
    <col min="5" max="6" width="13.42578125" bestFit="1" customWidth="1"/>
    <col min="7" max="7" width="15.28515625" bestFit="1" customWidth="1"/>
    <col min="8" max="8" width="17.42578125" bestFit="1" customWidth="1"/>
    <col min="9" max="9" width="16.7109375" bestFit="1" customWidth="1"/>
    <col min="10" max="10" width="16.42578125" bestFit="1" customWidth="1"/>
    <col min="11" max="11" width="11.28515625" bestFit="1" customWidth="1"/>
    <col min="12" max="13" width="18.140625" bestFit="1" customWidth="1"/>
    <col min="14" max="14" width="16.42578125" bestFit="1" customWidth="1"/>
    <col min="15" max="15" width="6.5703125" bestFit="1" customWidth="1"/>
  </cols>
  <sheetData>
    <row r="6" spans="2:15" x14ac:dyDescent="0.25">
      <c r="B6" s="422" t="s">
        <v>364</v>
      </c>
      <c r="C6" s="422"/>
      <c r="D6" s="422"/>
      <c r="E6" s="422"/>
      <c r="F6" s="422"/>
      <c r="G6" s="422"/>
      <c r="H6" s="422"/>
      <c r="I6" s="422"/>
      <c r="J6" s="422"/>
      <c r="K6" s="422"/>
      <c r="L6" s="422"/>
      <c r="M6" s="422"/>
      <c r="N6" s="422"/>
      <c r="O6" s="422"/>
    </row>
    <row r="7" spans="2:15" x14ac:dyDescent="0.25">
      <c r="B7" s="70" t="s">
        <v>353</v>
      </c>
    </row>
    <row r="8" spans="2:15" x14ac:dyDescent="0.25">
      <c r="B8" s="67" t="s">
        <v>224</v>
      </c>
      <c r="C8" s="301" t="s">
        <v>225</v>
      </c>
      <c r="D8" s="67" t="s">
        <v>226</v>
      </c>
      <c r="E8" s="67" t="s">
        <v>468</v>
      </c>
      <c r="F8" s="67" t="s">
        <v>469</v>
      </c>
      <c r="G8" s="67" t="s">
        <v>470</v>
      </c>
      <c r="H8" s="67" t="s">
        <v>471</v>
      </c>
      <c r="I8" s="67" t="s">
        <v>472</v>
      </c>
      <c r="J8" s="67" t="s">
        <v>473</v>
      </c>
      <c r="K8" s="67" t="s">
        <v>227</v>
      </c>
      <c r="L8" s="67" t="s">
        <v>474</v>
      </c>
      <c r="M8" s="67" t="s">
        <v>475</v>
      </c>
      <c r="N8" s="67" t="s">
        <v>476</v>
      </c>
      <c r="O8" s="67" t="s">
        <v>228</v>
      </c>
    </row>
    <row r="9" spans="2:15" x14ac:dyDescent="0.25">
      <c r="B9" s="9" t="s">
        <v>218</v>
      </c>
      <c r="C9" s="302">
        <v>3205</v>
      </c>
      <c r="D9" s="299">
        <v>36181</v>
      </c>
      <c r="E9" s="302">
        <v>1093200</v>
      </c>
      <c r="F9" s="302">
        <v>1445300</v>
      </c>
      <c r="G9" s="302">
        <v>4879700</v>
      </c>
      <c r="H9" s="302">
        <v>25532400</v>
      </c>
      <c r="I9" s="302">
        <v>524200</v>
      </c>
      <c r="J9" s="302">
        <v>6608100</v>
      </c>
      <c r="K9" s="299">
        <v>1482</v>
      </c>
      <c r="L9" s="302">
        <v>109205499</v>
      </c>
      <c r="M9" s="302">
        <v>109557599</v>
      </c>
      <c r="N9" s="302">
        <v>16428</v>
      </c>
      <c r="O9" s="304">
        <v>21.79</v>
      </c>
    </row>
    <row r="10" spans="2:15" x14ac:dyDescent="0.25">
      <c r="B10" s="96" t="s">
        <v>219</v>
      </c>
      <c r="C10" s="303">
        <v>1622</v>
      </c>
      <c r="D10" s="300">
        <v>41544</v>
      </c>
      <c r="E10" s="303">
        <v>848500</v>
      </c>
      <c r="F10" s="303">
        <v>2745900</v>
      </c>
      <c r="G10" s="303">
        <v>2675000</v>
      </c>
      <c r="H10" s="303">
        <v>16299000</v>
      </c>
      <c r="I10" s="303">
        <v>481200</v>
      </c>
      <c r="J10" s="303">
        <v>3773300</v>
      </c>
      <c r="K10" s="300">
        <v>1402</v>
      </c>
      <c r="L10" s="303">
        <v>61033456.999999993</v>
      </c>
      <c r="M10" s="303">
        <v>62930856.999999993</v>
      </c>
      <c r="N10" s="303">
        <v>11026</v>
      </c>
      <c r="O10" s="305">
        <v>23.08</v>
      </c>
    </row>
    <row r="11" spans="2:15" x14ac:dyDescent="0.25">
      <c r="B11" s="96" t="s">
        <v>220</v>
      </c>
      <c r="C11" s="303">
        <v>1643</v>
      </c>
      <c r="D11" s="300">
        <v>27137</v>
      </c>
      <c r="E11" s="303">
        <v>627600</v>
      </c>
      <c r="F11" s="303">
        <v>2128900</v>
      </c>
      <c r="G11" s="303">
        <v>1739900</v>
      </c>
      <c r="H11" s="303">
        <v>11705500</v>
      </c>
      <c r="I11" s="303">
        <v>408400</v>
      </c>
      <c r="J11" s="303">
        <v>2370300</v>
      </c>
      <c r="K11" s="300">
        <v>1417</v>
      </c>
      <c r="L11" s="303">
        <v>39084292</v>
      </c>
      <c r="M11" s="303">
        <v>40585592</v>
      </c>
      <c r="N11" s="303">
        <v>5759</v>
      </c>
      <c r="O11" s="305">
        <v>23.91</v>
      </c>
    </row>
    <row r="12" spans="2:15" x14ac:dyDescent="0.25">
      <c r="B12" s="96" t="s">
        <v>221</v>
      </c>
      <c r="C12" s="303">
        <v>266</v>
      </c>
      <c r="D12" s="300">
        <v>104838.00000000001</v>
      </c>
      <c r="E12" s="303">
        <v>1920350</v>
      </c>
      <c r="F12" s="303">
        <v>1219740</v>
      </c>
      <c r="G12" s="303">
        <v>1321800</v>
      </c>
      <c r="H12" s="303">
        <v>8908840</v>
      </c>
      <c r="I12" s="303">
        <v>295790</v>
      </c>
      <c r="J12" s="303">
        <v>1891209.9999999998</v>
      </c>
      <c r="K12" s="300">
        <v>1209</v>
      </c>
      <c r="L12" s="303">
        <v>26784338</v>
      </c>
      <c r="M12" s="303">
        <v>26083728</v>
      </c>
      <c r="N12" s="303">
        <v>4214.5</v>
      </c>
      <c r="O12" s="305">
        <v>19.37</v>
      </c>
    </row>
    <row r="13" spans="2:15" x14ac:dyDescent="0.25">
      <c r="B13" s="96" t="s">
        <v>222</v>
      </c>
      <c r="C13" s="303">
        <v>6030</v>
      </c>
      <c r="D13" s="300">
        <v>2964</v>
      </c>
      <c r="E13" s="303">
        <v>218730.00000000003</v>
      </c>
      <c r="F13" s="303">
        <v>358820</v>
      </c>
      <c r="G13" s="303">
        <v>460200</v>
      </c>
      <c r="H13" s="303">
        <v>3800810</v>
      </c>
      <c r="I13" s="303">
        <v>99150</v>
      </c>
      <c r="J13" s="303">
        <v>649310</v>
      </c>
      <c r="K13" s="300">
        <v>2090</v>
      </c>
      <c r="L13" s="303">
        <v>16075817.000000002</v>
      </c>
      <c r="M13" s="303">
        <v>16215907</v>
      </c>
      <c r="N13" s="303">
        <v>1693.3</v>
      </c>
      <c r="O13" s="305">
        <v>34.36</v>
      </c>
    </row>
    <row r="14" spans="2:15" x14ac:dyDescent="0.25">
      <c r="B14" s="96" t="s">
        <v>223</v>
      </c>
      <c r="C14" s="303">
        <v>1601</v>
      </c>
      <c r="D14" s="300">
        <v>9796</v>
      </c>
      <c r="E14" s="303">
        <v>202520</v>
      </c>
      <c r="F14" s="303">
        <v>454220</v>
      </c>
      <c r="G14" s="303">
        <v>425300</v>
      </c>
      <c r="H14" s="303">
        <v>5298830</v>
      </c>
      <c r="I14" s="303">
        <v>185290</v>
      </c>
      <c r="J14" s="303">
        <v>552130</v>
      </c>
      <c r="K14" s="300">
        <v>1696</v>
      </c>
      <c r="L14" s="303">
        <v>14025403</v>
      </c>
      <c r="M14" s="303">
        <v>14277103</v>
      </c>
      <c r="N14" s="303">
        <v>1576.2</v>
      </c>
      <c r="O14" s="305">
        <v>31.44</v>
      </c>
    </row>
    <row r="15" spans="2:15" x14ac:dyDescent="0.25">
      <c r="B15" s="96" t="s">
        <v>214</v>
      </c>
      <c r="C15" s="303">
        <v>827</v>
      </c>
      <c r="D15" s="300">
        <v>1417</v>
      </c>
      <c r="E15" s="303">
        <v>5348</v>
      </c>
      <c r="F15" s="303">
        <v>41550</v>
      </c>
      <c r="G15" s="303">
        <v>31524</v>
      </c>
      <c r="H15" s="303">
        <v>148688</v>
      </c>
      <c r="I15" s="303">
        <v>3304</v>
      </c>
      <c r="J15" s="303">
        <v>39747</v>
      </c>
      <c r="K15" s="300">
        <v>2704</v>
      </c>
      <c r="L15" s="303">
        <v>1200371</v>
      </c>
      <c r="M15" s="303">
        <v>1236573</v>
      </c>
      <c r="N15" s="303">
        <v>87.19</v>
      </c>
      <c r="O15" s="305">
        <v>38.96</v>
      </c>
    </row>
    <row r="16" spans="2:15" x14ac:dyDescent="0.25">
      <c r="B16" s="96" t="s">
        <v>215</v>
      </c>
      <c r="C16" s="303">
        <v>363</v>
      </c>
      <c r="D16" s="300">
        <v>2804</v>
      </c>
      <c r="E16" s="303">
        <v>51602</v>
      </c>
      <c r="F16" s="303">
        <v>44943</v>
      </c>
      <c r="G16" s="303">
        <v>42467</v>
      </c>
      <c r="H16" s="303">
        <v>1015725</v>
      </c>
      <c r="I16" s="303">
        <v>12149</v>
      </c>
      <c r="J16" s="303">
        <v>63929.999999999993</v>
      </c>
      <c r="K16" s="300">
        <v>1390</v>
      </c>
      <c r="L16" s="303">
        <v>1041276</v>
      </c>
      <c r="M16" s="303">
        <v>1034617</v>
      </c>
      <c r="N16" s="303">
        <v>156.25</v>
      </c>
      <c r="O16" s="305">
        <v>24.15</v>
      </c>
    </row>
    <row r="17" spans="2:15" x14ac:dyDescent="0.25">
      <c r="B17" s="96" t="s">
        <v>216</v>
      </c>
      <c r="C17" s="303">
        <v>437</v>
      </c>
      <c r="D17" s="300">
        <v>2785</v>
      </c>
      <c r="E17" s="303">
        <v>15100</v>
      </c>
      <c r="F17" s="303">
        <v>44488</v>
      </c>
      <c r="G17" s="303">
        <v>51676</v>
      </c>
      <c r="H17" s="303">
        <v>537524</v>
      </c>
      <c r="I17" s="303">
        <v>8571</v>
      </c>
      <c r="J17" s="303">
        <v>70894</v>
      </c>
      <c r="K17" s="300">
        <v>1265</v>
      </c>
      <c r="L17" s="303">
        <v>971695.99999999988</v>
      </c>
      <c r="M17" s="303">
        <v>1001084</v>
      </c>
      <c r="N17" s="303">
        <v>185.16</v>
      </c>
      <c r="O17" s="305">
        <v>21.17</v>
      </c>
    </row>
    <row r="18" spans="2:15" x14ac:dyDescent="0.25">
      <c r="B18" s="96"/>
      <c r="C18" s="154"/>
      <c r="D18" s="96"/>
      <c r="E18" s="96"/>
      <c r="F18" s="96"/>
      <c r="G18" s="96"/>
      <c r="H18" s="96"/>
      <c r="I18" s="96"/>
      <c r="J18" s="96"/>
      <c r="K18" s="96"/>
      <c r="L18" s="96"/>
      <c r="M18" s="96"/>
      <c r="N18" s="154"/>
      <c r="O18" s="154"/>
    </row>
    <row r="19" spans="2:15" ht="15.75" thickBot="1" x14ac:dyDescent="0.3">
      <c r="B19" s="96"/>
      <c r="C19" s="96"/>
      <c r="D19" s="96"/>
      <c r="E19" s="96"/>
      <c r="F19" s="96"/>
      <c r="G19" s="96"/>
      <c r="H19" s="96"/>
      <c r="I19" s="96"/>
      <c r="J19" s="96"/>
      <c r="K19" s="96"/>
      <c r="L19" s="96"/>
      <c r="M19" s="96"/>
      <c r="N19" s="96"/>
      <c r="O19" s="96"/>
    </row>
    <row r="20" spans="2:15" ht="15.75" thickBot="1" x14ac:dyDescent="0.3">
      <c r="B20" s="306" t="s">
        <v>217</v>
      </c>
      <c r="C20" s="312">
        <f>Assumption!C22</f>
        <v>459</v>
      </c>
      <c r="D20" s="308">
        <v>1523</v>
      </c>
      <c r="E20" s="307">
        <v>124358.99999999999</v>
      </c>
      <c r="F20" s="307">
        <v>105823</v>
      </c>
      <c r="G20" s="307">
        <v>18466</v>
      </c>
      <c r="H20" s="307">
        <v>206084</v>
      </c>
      <c r="I20" s="307">
        <v>8870</v>
      </c>
      <c r="J20" s="307">
        <v>36691</v>
      </c>
      <c r="K20" s="308">
        <v>1664</v>
      </c>
      <c r="L20" s="307">
        <v>781205</v>
      </c>
      <c r="M20" s="307">
        <v>762669</v>
      </c>
      <c r="N20" s="307">
        <v>7316</v>
      </c>
      <c r="O20" s="309">
        <v>38</v>
      </c>
    </row>
    <row r="21" spans="2:15" x14ac:dyDescent="0.25">
      <c r="B21" s="1"/>
      <c r="C21" s="19"/>
      <c r="D21" s="19"/>
      <c r="E21" s="19"/>
      <c r="F21" s="19"/>
      <c r="G21" s="19"/>
      <c r="H21" s="19"/>
      <c r="I21" s="19"/>
      <c r="J21" s="19"/>
      <c r="K21" s="19"/>
      <c r="L21" s="19"/>
      <c r="M21" s="19"/>
      <c r="N21" s="19"/>
      <c r="O21" s="19"/>
    </row>
    <row r="22" spans="2:15" x14ac:dyDescent="0.25">
      <c r="B22" s="69" t="s">
        <v>230</v>
      </c>
    </row>
    <row r="23" spans="2:15" x14ac:dyDescent="0.25">
      <c r="B23" s="68" t="s">
        <v>229</v>
      </c>
    </row>
    <row r="25" spans="2:15" x14ac:dyDescent="0.25">
      <c r="B25" s="222"/>
      <c r="C25" s="222"/>
      <c r="D25" s="222"/>
      <c r="E25" s="222"/>
      <c r="F25" s="222"/>
      <c r="G25" s="222"/>
      <c r="H25" s="222"/>
      <c r="I25" s="222"/>
      <c r="J25" s="222"/>
      <c r="K25" s="222"/>
      <c r="L25" s="222"/>
      <c r="M25" s="222"/>
      <c r="N25" s="222"/>
      <c r="O25" s="222"/>
    </row>
  </sheetData>
  <mergeCells count="1">
    <mergeCell ref="B6:O6"/>
  </mergeCells>
  <hyperlinks>
    <hyperlink ref="B23" r:id="rId1" display="https://www.screener.in/market/IN08/IN0801/IN080101/"/>
  </hyperlinks>
  <pageMargins left="0.7" right="0.7" top="0.75" bottom="0.75" header="0.3" footer="0.3"/>
  <pageSetup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R46"/>
  <sheetViews>
    <sheetView showGridLines="0" topLeftCell="A24" workbookViewId="0">
      <selection activeCell="F37" sqref="F37"/>
    </sheetView>
  </sheetViews>
  <sheetFormatPr defaultRowHeight="15" x14ac:dyDescent="0.25"/>
  <cols>
    <col min="1" max="1" width="1.85546875" customWidth="1"/>
    <col min="2" max="2" width="13.140625" bestFit="1" customWidth="1"/>
    <col min="5" max="5" width="7" customWidth="1"/>
    <col min="6" max="6" width="12.140625" customWidth="1"/>
    <col min="7" max="7" width="18.140625" customWidth="1"/>
    <col min="8" max="8" width="21.42578125" customWidth="1"/>
    <col min="9" max="9" width="14.140625" customWidth="1"/>
    <col min="10" max="10" width="13.42578125" bestFit="1" customWidth="1"/>
    <col min="12" max="12" width="15" bestFit="1" customWidth="1"/>
    <col min="13" max="14" width="13.42578125" bestFit="1" customWidth="1"/>
    <col min="16" max="16" width="8.85546875" customWidth="1"/>
    <col min="17" max="17" width="11.7109375" bestFit="1" customWidth="1"/>
    <col min="18" max="18" width="6.5703125" bestFit="1" customWidth="1"/>
  </cols>
  <sheetData>
    <row r="6" spans="2:18" x14ac:dyDescent="0.25">
      <c r="B6" s="425" t="s">
        <v>231</v>
      </c>
      <c r="C6" s="425"/>
      <c r="D6" s="425"/>
      <c r="E6" s="425"/>
      <c r="F6" s="425"/>
      <c r="G6" s="425"/>
      <c r="H6" s="425"/>
      <c r="I6" s="425"/>
      <c r="J6" s="425"/>
      <c r="K6" s="425"/>
      <c r="L6" s="425"/>
      <c r="M6" s="425"/>
      <c r="N6" s="425"/>
      <c r="O6" s="425"/>
      <c r="P6" s="425"/>
      <c r="Q6" s="425"/>
      <c r="R6" s="425"/>
    </row>
    <row r="7" spans="2:18" ht="15.75" thickBot="1" x14ac:dyDescent="0.3">
      <c r="B7" s="70" t="s">
        <v>353</v>
      </c>
    </row>
    <row r="8" spans="2:18" ht="15.75" thickBot="1" x14ac:dyDescent="0.3">
      <c r="B8" s="433" t="s">
        <v>232</v>
      </c>
      <c r="C8" s="434"/>
      <c r="D8" s="2"/>
      <c r="E8" s="433" t="s">
        <v>233</v>
      </c>
      <c r="F8" s="435"/>
      <c r="G8" s="435"/>
      <c r="H8" s="435"/>
      <c r="I8" s="435"/>
      <c r="J8" s="434"/>
      <c r="K8" s="2"/>
      <c r="L8" s="433" t="s">
        <v>234</v>
      </c>
      <c r="M8" s="435"/>
      <c r="N8" s="434"/>
      <c r="O8" s="2"/>
      <c r="P8" s="433" t="s">
        <v>235</v>
      </c>
      <c r="Q8" s="435"/>
      <c r="R8" s="434"/>
    </row>
    <row r="9" spans="2:18" x14ac:dyDescent="0.25">
      <c r="B9" s="71"/>
      <c r="C9" s="72"/>
      <c r="D9" s="73"/>
      <c r="E9" s="74" t="s">
        <v>236</v>
      </c>
      <c r="F9" s="75" t="s">
        <v>237</v>
      </c>
      <c r="G9" s="76" t="s">
        <v>238</v>
      </c>
      <c r="H9" s="76" t="s">
        <v>140</v>
      </c>
      <c r="I9" s="76" t="s">
        <v>239</v>
      </c>
      <c r="J9" s="76" t="s">
        <v>240</v>
      </c>
      <c r="K9" s="77"/>
      <c r="L9" s="74" t="s">
        <v>241</v>
      </c>
      <c r="M9" s="75" t="s">
        <v>159</v>
      </c>
      <c r="N9" s="76" t="s">
        <v>242</v>
      </c>
      <c r="O9" s="77"/>
      <c r="P9" s="76" t="s">
        <v>243</v>
      </c>
      <c r="Q9" s="76" t="s">
        <v>244</v>
      </c>
      <c r="R9" s="74" t="s">
        <v>228</v>
      </c>
    </row>
    <row r="10" spans="2:18" x14ac:dyDescent="0.25">
      <c r="B10" s="78" t="s">
        <v>245</v>
      </c>
      <c r="C10" s="79"/>
      <c r="D10" s="80"/>
      <c r="E10" s="81" t="s">
        <v>246</v>
      </c>
      <c r="F10" s="82" t="s">
        <v>254</v>
      </c>
      <c r="G10" s="82" t="s">
        <v>254</v>
      </c>
      <c r="H10" s="82" t="s">
        <v>254</v>
      </c>
      <c r="I10" s="82" t="s">
        <v>254</v>
      </c>
      <c r="J10" s="82" t="s">
        <v>254</v>
      </c>
      <c r="K10" s="83"/>
      <c r="L10" s="82" t="s">
        <v>254</v>
      </c>
      <c r="M10" s="82" t="s">
        <v>254</v>
      </c>
      <c r="N10" s="82" t="s">
        <v>254</v>
      </c>
      <c r="O10" s="83"/>
      <c r="P10" s="84" t="s">
        <v>247</v>
      </c>
      <c r="Q10" s="84" t="s">
        <v>247</v>
      </c>
      <c r="R10" s="81" t="s">
        <v>247</v>
      </c>
    </row>
    <row r="12" spans="2:18" x14ac:dyDescent="0.25">
      <c r="B12" s="15" t="str">
        <f>'Comps Data'!B9</f>
        <v>TCS</v>
      </c>
      <c r="C12" s="15"/>
      <c r="E12" s="310">
        <f>'Comps Data'!C9</f>
        <v>3205</v>
      </c>
      <c r="F12" s="283">
        <f>'Comps Data'!D9</f>
        <v>36181</v>
      </c>
      <c r="G12" s="95">
        <f>F12*E12</f>
        <v>115960105</v>
      </c>
      <c r="H12" s="310">
        <f>'Comps Data'!E9</f>
        <v>1093200</v>
      </c>
      <c r="I12" s="310">
        <f>'Comps Data'!F9</f>
        <v>1445300</v>
      </c>
      <c r="J12" s="95">
        <f>G12+H12-I12</f>
        <v>115608005</v>
      </c>
      <c r="K12" s="4"/>
      <c r="L12" s="310">
        <f>'Comps Data'!H9</f>
        <v>25532400</v>
      </c>
      <c r="M12" s="310">
        <f>'Comps Data'!J9+'Comps Data'!I9</f>
        <v>7132300</v>
      </c>
      <c r="N12" s="310">
        <f>'Comps Data'!G9</f>
        <v>4879700</v>
      </c>
      <c r="P12" s="223">
        <f>J12/L12</f>
        <v>4.5278941658441827</v>
      </c>
      <c r="Q12" s="223">
        <f>J12/M12</f>
        <v>16.209077716865526</v>
      </c>
      <c r="R12" s="223">
        <f>G12/N12</f>
        <v>23.76377748632088</v>
      </c>
    </row>
    <row r="13" spans="2:18" x14ac:dyDescent="0.25">
      <c r="B13" s="15" t="str">
        <f>'Comps Data'!B10</f>
        <v>Infosys</v>
      </c>
      <c r="C13" s="15"/>
      <c r="E13" s="310">
        <f>'Comps Data'!C10</f>
        <v>1622</v>
      </c>
      <c r="F13" s="283">
        <f>'Comps Data'!D10</f>
        <v>41544</v>
      </c>
      <c r="G13" s="95">
        <f t="shared" ref="G13:G20" si="0">F13*E13</f>
        <v>67384368</v>
      </c>
      <c r="H13" s="310">
        <f>'Comps Data'!E10</f>
        <v>848500</v>
      </c>
      <c r="I13" s="310">
        <f>'Comps Data'!F10</f>
        <v>2745900</v>
      </c>
      <c r="J13" s="95">
        <f t="shared" ref="J13:J20" si="1">G13+H13-I13</f>
        <v>65486968</v>
      </c>
      <c r="K13" s="4"/>
      <c r="L13" s="310">
        <f>'Comps Data'!H10</f>
        <v>16299000</v>
      </c>
      <c r="M13" s="310">
        <f>'Comps Data'!J10+'Comps Data'!I10</f>
        <v>4254500</v>
      </c>
      <c r="N13" s="310">
        <f>'Comps Data'!G10</f>
        <v>2675000</v>
      </c>
      <c r="P13" s="223">
        <f t="shared" ref="P13:P20" si="2">J13/L13</f>
        <v>4.0178518927541571</v>
      </c>
      <c r="Q13" s="223">
        <f t="shared" ref="Q13:Q20" si="3">J13/M13</f>
        <v>15.392400517099542</v>
      </c>
      <c r="R13" s="223">
        <f t="shared" ref="R13:R20" si="4">G13/N13</f>
        <v>25.190417943925233</v>
      </c>
    </row>
    <row r="14" spans="2:18" x14ac:dyDescent="0.25">
      <c r="B14" s="15" t="str">
        <f>'Comps Data'!B11</f>
        <v>HCL Technologies</v>
      </c>
      <c r="C14" s="15"/>
      <c r="E14" s="310">
        <f>'Comps Data'!C11</f>
        <v>1643</v>
      </c>
      <c r="F14" s="283">
        <f>'Comps Data'!D11</f>
        <v>27137</v>
      </c>
      <c r="G14" s="95">
        <f t="shared" si="0"/>
        <v>44586091</v>
      </c>
      <c r="H14" s="310">
        <f>'Comps Data'!E11</f>
        <v>627600</v>
      </c>
      <c r="I14" s="310">
        <f>'Comps Data'!F11</f>
        <v>2128900</v>
      </c>
      <c r="J14" s="95">
        <f t="shared" si="1"/>
        <v>43084791</v>
      </c>
      <c r="K14" s="4"/>
      <c r="L14" s="310">
        <f>'Comps Data'!H11</f>
        <v>11705500</v>
      </c>
      <c r="M14" s="310">
        <f>'Comps Data'!J11+'Comps Data'!I11</f>
        <v>2778700</v>
      </c>
      <c r="N14" s="310">
        <f>'Comps Data'!G11</f>
        <v>1739900</v>
      </c>
      <c r="P14" s="223">
        <f t="shared" si="2"/>
        <v>3.6807305112981079</v>
      </c>
      <c r="Q14" s="223">
        <f t="shared" si="3"/>
        <v>15.505376974844351</v>
      </c>
      <c r="R14" s="223">
        <f t="shared" si="4"/>
        <v>25.625662969136158</v>
      </c>
    </row>
    <row r="15" spans="2:18" x14ac:dyDescent="0.25">
      <c r="B15" s="15" t="str">
        <f>'Comps Data'!B12</f>
        <v>Wipro</v>
      </c>
      <c r="C15" s="15"/>
      <c r="E15" s="310">
        <f>'Comps Data'!C12</f>
        <v>266</v>
      </c>
      <c r="F15" s="283">
        <f>'Comps Data'!D12</f>
        <v>104838.00000000001</v>
      </c>
      <c r="G15" s="95">
        <f t="shared" si="0"/>
        <v>27886908.000000004</v>
      </c>
      <c r="H15" s="310">
        <f>'Comps Data'!E12</f>
        <v>1920350</v>
      </c>
      <c r="I15" s="310">
        <f>'Comps Data'!F12</f>
        <v>1219740</v>
      </c>
      <c r="J15" s="95">
        <f t="shared" si="1"/>
        <v>28587518.000000004</v>
      </c>
      <c r="K15" s="4"/>
      <c r="L15" s="310">
        <f>'Comps Data'!H12</f>
        <v>8908840</v>
      </c>
      <c r="M15" s="310">
        <f>'Comps Data'!J12+'Comps Data'!I12</f>
        <v>2187000</v>
      </c>
      <c r="N15" s="310">
        <f>'Comps Data'!G12</f>
        <v>1321800</v>
      </c>
      <c r="P15" s="223">
        <f t="shared" si="2"/>
        <v>3.2088934137328771</v>
      </c>
      <c r="Q15" s="223">
        <f t="shared" si="3"/>
        <v>13.071567443987199</v>
      </c>
      <c r="R15" s="223">
        <f t="shared" si="4"/>
        <v>21.097675896504768</v>
      </c>
    </row>
    <row r="16" spans="2:18" x14ac:dyDescent="0.25">
      <c r="B16" s="15" t="str">
        <f>'Comps Data'!B13</f>
        <v>LTIMindtree</v>
      </c>
      <c r="C16" s="15"/>
      <c r="E16" s="310">
        <f>'Comps Data'!C13</f>
        <v>6030</v>
      </c>
      <c r="F16" s="283">
        <f>'Comps Data'!D13</f>
        <v>2964</v>
      </c>
      <c r="G16" s="95">
        <f t="shared" si="0"/>
        <v>17872920</v>
      </c>
      <c r="H16" s="310">
        <f>'Comps Data'!E13</f>
        <v>218730.00000000003</v>
      </c>
      <c r="I16" s="310">
        <f>'Comps Data'!F13</f>
        <v>358820</v>
      </c>
      <c r="J16" s="95">
        <f t="shared" si="1"/>
        <v>17732830</v>
      </c>
      <c r="K16" s="4"/>
      <c r="L16" s="310">
        <f>'Comps Data'!H13</f>
        <v>3800810</v>
      </c>
      <c r="M16" s="310">
        <f>'Comps Data'!J13+'Comps Data'!I13</f>
        <v>748460</v>
      </c>
      <c r="N16" s="310">
        <f>'Comps Data'!G13</f>
        <v>460200</v>
      </c>
      <c r="P16" s="223">
        <f t="shared" si="2"/>
        <v>4.6655397139030894</v>
      </c>
      <c r="Q16" s="223">
        <f t="shared" si="3"/>
        <v>23.692421772706624</v>
      </c>
      <c r="R16" s="223">
        <f t="shared" si="4"/>
        <v>38.837288135593219</v>
      </c>
    </row>
    <row r="17" spans="2:18" x14ac:dyDescent="0.25">
      <c r="B17" s="15" t="str">
        <f>'Comps Data'!B14</f>
        <v>Tech Mahindra</v>
      </c>
      <c r="C17" s="15"/>
      <c r="E17" s="310">
        <f>'Comps Data'!C14</f>
        <v>1601</v>
      </c>
      <c r="F17" s="283">
        <f>'Comps Data'!D14</f>
        <v>9796</v>
      </c>
      <c r="G17" s="95">
        <f t="shared" si="0"/>
        <v>15683396</v>
      </c>
      <c r="H17" s="310">
        <f>'Comps Data'!E14</f>
        <v>202520</v>
      </c>
      <c r="I17" s="310">
        <f>'Comps Data'!F14</f>
        <v>454220</v>
      </c>
      <c r="J17" s="95">
        <f t="shared" si="1"/>
        <v>15431696</v>
      </c>
      <c r="K17" s="4"/>
      <c r="L17" s="310">
        <f>'Comps Data'!H14</f>
        <v>5298830</v>
      </c>
      <c r="M17" s="310">
        <f>'Comps Data'!J14+'Comps Data'!I14</f>
        <v>737420</v>
      </c>
      <c r="N17" s="310">
        <f>'Comps Data'!G14</f>
        <v>425300</v>
      </c>
      <c r="P17" s="223">
        <f t="shared" si="2"/>
        <v>2.9122836550710249</v>
      </c>
      <c r="Q17" s="223">
        <f t="shared" si="3"/>
        <v>20.926603563776411</v>
      </c>
      <c r="R17" s="223">
        <f t="shared" si="4"/>
        <v>36.876078062544089</v>
      </c>
    </row>
    <row r="18" spans="2:18" x14ac:dyDescent="0.25">
      <c r="B18" s="15" t="str">
        <f>'Comps Data'!B15</f>
        <v>Newgen Software</v>
      </c>
      <c r="C18" s="15"/>
      <c r="E18" s="310">
        <f>'Comps Data'!C15</f>
        <v>827</v>
      </c>
      <c r="F18" s="283">
        <f>'Comps Data'!D15</f>
        <v>1417</v>
      </c>
      <c r="G18" s="95">
        <f t="shared" si="0"/>
        <v>1171859</v>
      </c>
      <c r="H18" s="310">
        <f>'Comps Data'!E15</f>
        <v>5348</v>
      </c>
      <c r="I18" s="310">
        <f>'Comps Data'!F15</f>
        <v>41550</v>
      </c>
      <c r="J18" s="95">
        <f t="shared" si="1"/>
        <v>1135657</v>
      </c>
      <c r="K18" s="4"/>
      <c r="L18" s="310">
        <f>'Comps Data'!H15</f>
        <v>148688</v>
      </c>
      <c r="M18" s="310">
        <f>'Comps Data'!J15+'Comps Data'!I15</f>
        <v>43051</v>
      </c>
      <c r="N18" s="310">
        <f>'Comps Data'!G15</f>
        <v>31524</v>
      </c>
      <c r="P18" s="223">
        <f t="shared" si="2"/>
        <v>7.6378524157968366</v>
      </c>
      <c r="Q18" s="223">
        <f t="shared" si="3"/>
        <v>26.37934078186337</v>
      </c>
      <c r="R18" s="223">
        <f t="shared" si="4"/>
        <v>37.173550310874255</v>
      </c>
    </row>
    <row r="19" spans="2:18" x14ac:dyDescent="0.25">
      <c r="B19" s="15" t="str">
        <f>'Comps Data'!B16</f>
        <v>Sonata Software</v>
      </c>
      <c r="C19" s="15"/>
      <c r="E19" s="310">
        <f>'Comps Data'!C16</f>
        <v>363</v>
      </c>
      <c r="F19" s="283">
        <f>'Comps Data'!D16</f>
        <v>2804</v>
      </c>
      <c r="G19" s="95">
        <f t="shared" si="0"/>
        <v>1017852</v>
      </c>
      <c r="H19" s="310">
        <f>'Comps Data'!E16</f>
        <v>51602</v>
      </c>
      <c r="I19" s="310">
        <f>'Comps Data'!F16</f>
        <v>44943</v>
      </c>
      <c r="J19" s="95">
        <f t="shared" si="1"/>
        <v>1024511</v>
      </c>
      <c r="K19" s="4"/>
      <c r="L19" s="310">
        <f>'Comps Data'!H16</f>
        <v>1015725</v>
      </c>
      <c r="M19" s="310">
        <f>'Comps Data'!J16+'Comps Data'!I16</f>
        <v>76079</v>
      </c>
      <c r="N19" s="310">
        <f>'Comps Data'!G16</f>
        <v>42467</v>
      </c>
      <c r="P19" s="223">
        <f t="shared" si="2"/>
        <v>1.0086499790789829</v>
      </c>
      <c r="Q19" s="223">
        <f t="shared" si="3"/>
        <v>13.466409916008359</v>
      </c>
      <c r="R19" s="223">
        <f t="shared" si="4"/>
        <v>23.968069324416607</v>
      </c>
    </row>
    <row r="20" spans="2:18" x14ac:dyDescent="0.25">
      <c r="B20" s="15" t="str">
        <f>'Comps Data'!B17</f>
        <v>Birlasoft Ltd</v>
      </c>
      <c r="C20" s="15"/>
      <c r="E20" s="310">
        <f>'Comps Data'!C17</f>
        <v>437</v>
      </c>
      <c r="F20" s="283">
        <f>'Comps Data'!D17</f>
        <v>2785</v>
      </c>
      <c r="G20" s="95">
        <f t="shared" si="0"/>
        <v>1217045</v>
      </c>
      <c r="H20" s="310">
        <f>'Comps Data'!E17</f>
        <v>15100</v>
      </c>
      <c r="I20" s="310">
        <f>'Comps Data'!F17</f>
        <v>44488</v>
      </c>
      <c r="J20" s="95">
        <f t="shared" si="1"/>
        <v>1187657</v>
      </c>
      <c r="K20" s="4"/>
      <c r="L20" s="310">
        <f>'Comps Data'!H17</f>
        <v>537524</v>
      </c>
      <c r="M20" s="310">
        <f>'Comps Data'!J17+'Comps Data'!I17</f>
        <v>79465</v>
      </c>
      <c r="N20" s="310">
        <f>'Comps Data'!G17</f>
        <v>51676</v>
      </c>
      <c r="P20" s="223">
        <f t="shared" si="2"/>
        <v>2.2094957620496944</v>
      </c>
      <c r="Q20" s="223">
        <f t="shared" si="3"/>
        <v>14.945661612030454</v>
      </c>
      <c r="R20" s="223">
        <f t="shared" si="4"/>
        <v>23.551455220992338</v>
      </c>
    </row>
    <row r="24" spans="2:18" x14ac:dyDescent="0.25">
      <c r="B24" s="85" t="s">
        <v>248</v>
      </c>
      <c r="C24" s="86"/>
      <c r="D24" s="86"/>
      <c r="E24" s="86"/>
      <c r="F24" s="86"/>
      <c r="G24" s="86"/>
      <c r="H24" s="86"/>
      <c r="I24" s="86"/>
      <c r="J24" s="86"/>
      <c r="K24" s="86"/>
      <c r="L24" s="86"/>
      <c r="M24" s="86"/>
      <c r="N24" s="86"/>
      <c r="O24" s="86"/>
      <c r="P24" s="87">
        <f>MAX(P12:P20)</f>
        <v>7.6378524157968366</v>
      </c>
      <c r="Q24" s="87">
        <f>MAX(Q12:Q20)</f>
        <v>26.37934078186337</v>
      </c>
      <c r="R24" s="87">
        <f>MAX(R12:R20)</f>
        <v>38.837288135593219</v>
      </c>
    </row>
    <row r="25" spans="2:18" x14ac:dyDescent="0.25">
      <c r="B25" s="85" t="s">
        <v>249</v>
      </c>
      <c r="C25" s="86"/>
      <c r="D25" s="86"/>
      <c r="E25" s="86"/>
      <c r="F25" s="86"/>
      <c r="G25" s="86"/>
      <c r="H25" s="86"/>
      <c r="I25" s="86"/>
      <c r="J25" s="86"/>
      <c r="K25" s="86"/>
      <c r="L25" s="86"/>
      <c r="M25" s="86"/>
      <c r="N25" s="86"/>
      <c r="O25" s="86"/>
      <c r="P25" s="87">
        <f>_xlfn.QUARTILE.EXC(P12:P20,3)</f>
        <v>4.5967169398736356</v>
      </c>
      <c r="Q25" s="87">
        <f>_xlfn.QUARTILE.EXC(Q12:Q20,3)</f>
        <v>22.309512668241517</v>
      </c>
      <c r="R25" s="87">
        <f>_xlfn.QUARTILE.EXC(R12:R20,3)</f>
        <v>37.024814186709172</v>
      </c>
    </row>
    <row r="26" spans="2:18" x14ac:dyDescent="0.25">
      <c r="B26" s="88" t="s">
        <v>250</v>
      </c>
      <c r="C26" s="88"/>
      <c r="D26" s="88"/>
      <c r="E26" s="88"/>
      <c r="F26" s="88"/>
      <c r="G26" s="88"/>
      <c r="H26" s="88"/>
      <c r="I26" s="88"/>
      <c r="J26" s="88"/>
      <c r="K26" s="88"/>
      <c r="L26" s="88"/>
      <c r="M26" s="88"/>
      <c r="N26" s="88"/>
      <c r="O26" s="88"/>
      <c r="P26" s="89">
        <f>AVERAGE(P12:P20)</f>
        <v>3.7632435010587724</v>
      </c>
      <c r="Q26" s="89">
        <f>AVERAGE(Q12:Q20)</f>
        <v>17.732095588797979</v>
      </c>
      <c r="R26" s="89">
        <f>AVERAGE(R12:R20)</f>
        <v>28.453775038923059</v>
      </c>
    </row>
    <row r="27" spans="2:18" x14ac:dyDescent="0.25">
      <c r="B27" s="88" t="s">
        <v>251</v>
      </c>
      <c r="C27" s="88"/>
      <c r="D27" s="88"/>
      <c r="E27" s="88"/>
      <c r="F27" s="88"/>
      <c r="G27" s="88"/>
      <c r="H27" s="88"/>
      <c r="I27" s="88"/>
      <c r="J27" s="88"/>
      <c r="K27" s="88"/>
      <c r="L27" s="88"/>
      <c r="M27" s="88"/>
      <c r="N27" s="88"/>
      <c r="O27" s="88"/>
      <c r="P27" s="89">
        <f>MEDIAN(P12:P20)</f>
        <v>3.6807305112981079</v>
      </c>
      <c r="Q27" s="89">
        <f>MEDIAN(Q12:Q20)</f>
        <v>15.505376974844351</v>
      </c>
      <c r="R27" s="89">
        <f>MEDIAN(R12:R20)</f>
        <v>25.190417943925233</v>
      </c>
    </row>
    <row r="28" spans="2:18" x14ac:dyDescent="0.25">
      <c r="B28" s="85" t="s">
        <v>252</v>
      </c>
      <c r="C28" s="86"/>
      <c r="D28" s="86"/>
      <c r="E28" s="86"/>
      <c r="F28" s="86"/>
      <c r="G28" s="86"/>
      <c r="H28" s="86"/>
      <c r="I28" s="86"/>
      <c r="J28" s="86"/>
      <c r="K28" s="86"/>
      <c r="L28" s="86"/>
      <c r="M28" s="86"/>
      <c r="N28" s="86"/>
      <c r="O28" s="86"/>
      <c r="P28" s="87">
        <f>_xlfn.QUARTILE.EXC(P12:P20,1)</f>
        <v>2.5608897085603597</v>
      </c>
      <c r="Q28" s="87">
        <f>_xlfn.QUARTILE.EXC(Q12:Q20,1)</f>
        <v>14.206035764019408</v>
      </c>
      <c r="R28" s="87">
        <f>_xlfn.QUARTILE.EXC(R12:R20,1)</f>
        <v>23.657616353656607</v>
      </c>
    </row>
    <row r="29" spans="2:18" x14ac:dyDescent="0.25">
      <c r="B29" s="85" t="s">
        <v>253</v>
      </c>
      <c r="C29" s="86"/>
      <c r="D29" s="86"/>
      <c r="E29" s="86"/>
      <c r="F29" s="86"/>
      <c r="G29" s="86"/>
      <c r="H29" s="86"/>
      <c r="I29" s="86"/>
      <c r="J29" s="86"/>
      <c r="K29" s="86"/>
      <c r="L29" s="86"/>
      <c r="M29" s="86"/>
      <c r="N29" s="86"/>
      <c r="O29" s="86"/>
      <c r="P29" s="87">
        <f>MIN(P16:P20)</f>
        <v>1.0086499790789829</v>
      </c>
      <c r="Q29" s="87">
        <f>MIN(Q16:Q20)</f>
        <v>13.466409916008359</v>
      </c>
      <c r="R29" s="87">
        <f>MIN(R16:R20)</f>
        <v>23.551455220992338</v>
      </c>
    </row>
    <row r="30" spans="2:18" ht="15.75" thickBot="1" x14ac:dyDescent="0.3"/>
    <row r="31" spans="2:18" ht="15.75" thickBot="1" x14ac:dyDescent="0.3">
      <c r="B31" s="306" t="str">
        <f>'Comps Data'!B20</f>
        <v>Happiest Minds</v>
      </c>
      <c r="C31" s="311"/>
      <c r="D31" s="311"/>
      <c r="E31" s="312">
        <f>'Comps Data'!C20</f>
        <v>459</v>
      </c>
      <c r="F31" s="313">
        <f>'Comps Data'!D20</f>
        <v>1523</v>
      </c>
      <c r="G31" s="314">
        <f t="shared" ref="G31" si="5">F31*E31</f>
        <v>699057</v>
      </c>
      <c r="H31" s="312">
        <f>'Comps Data'!E20</f>
        <v>124358.99999999999</v>
      </c>
      <c r="I31" s="312">
        <f>'Comps Data'!F20</f>
        <v>105823</v>
      </c>
      <c r="J31" s="314">
        <f t="shared" ref="J31" si="6">G31+H31-I31</f>
        <v>717593</v>
      </c>
      <c r="K31" s="315"/>
      <c r="L31" s="312">
        <f>'Comps Data'!H20</f>
        <v>206084</v>
      </c>
      <c r="M31" s="312">
        <f>'Comps Data'!I20+'Comps Data'!J20</f>
        <v>45561</v>
      </c>
      <c r="N31" s="312">
        <f>'Comps Data'!G20</f>
        <v>18466</v>
      </c>
      <c r="O31" s="311"/>
      <c r="P31" s="316">
        <f t="shared" ref="P31" si="7">J31/L31</f>
        <v>3.4820413035461266</v>
      </c>
      <c r="Q31" s="316">
        <f t="shared" ref="Q31" si="8">J31/M31</f>
        <v>15.750159127323808</v>
      </c>
      <c r="R31" s="317">
        <f t="shared" ref="R31" si="9">G31/N31</f>
        <v>37.856438860608684</v>
      </c>
    </row>
    <row r="33" spans="2:18" x14ac:dyDescent="0.25">
      <c r="B33" s="272" t="s">
        <v>251</v>
      </c>
    </row>
    <row r="34" spans="2:18" x14ac:dyDescent="0.25">
      <c r="B34" s="67" t="s">
        <v>255</v>
      </c>
      <c r="C34" s="67"/>
      <c r="D34" s="67"/>
      <c r="E34" s="67" t="s">
        <v>256</v>
      </c>
      <c r="F34" s="67" t="s">
        <v>257</v>
      </c>
      <c r="G34" s="67" t="s">
        <v>258</v>
      </c>
      <c r="H34" s="67" t="s">
        <v>259</v>
      </c>
      <c r="I34" s="67" t="s">
        <v>260</v>
      </c>
      <c r="J34" s="67" t="s">
        <v>261</v>
      </c>
      <c r="L34" s="67" t="s">
        <v>262</v>
      </c>
    </row>
    <row r="35" spans="2:18" x14ac:dyDescent="0.25">
      <c r="B35" s="90" t="s">
        <v>263</v>
      </c>
      <c r="C35" s="90"/>
      <c r="D35" s="90"/>
      <c r="E35" s="91">
        <f>P27</f>
        <v>3.6807305112981079</v>
      </c>
      <c r="F35" s="92">
        <f>E35*L31</f>
        <v>758539.66669035924</v>
      </c>
      <c r="G35" s="92">
        <f>$H$31-$I$31</f>
        <v>18535.999999999985</v>
      </c>
      <c r="H35" s="92">
        <f>F35-G35</f>
        <v>740003.66669035924</v>
      </c>
      <c r="I35" s="284">
        <f>$F$31</f>
        <v>1523</v>
      </c>
      <c r="J35" s="92">
        <f>H35/I35</f>
        <v>485.88553295493057</v>
      </c>
      <c r="L35" s="318" t="str">
        <f>IF(J35&gt;$E$31,"Undervalued","Overvalued")</f>
        <v>Undervalued</v>
      </c>
    </row>
    <row r="36" spans="2:18" x14ac:dyDescent="0.25">
      <c r="B36" s="15" t="s">
        <v>244</v>
      </c>
      <c r="C36" s="15"/>
      <c r="D36" s="15"/>
      <c r="E36" s="94">
        <f>Q27</f>
        <v>15.505376974844351</v>
      </c>
      <c r="F36" s="95">
        <f>E36*M31</f>
        <v>706440.48035088344</v>
      </c>
      <c r="G36" s="92">
        <f t="shared" ref="G36:G37" si="10">$H$31-$I$31</f>
        <v>18535.999999999985</v>
      </c>
      <c r="H36" s="95">
        <f t="shared" ref="H36" si="11">F36-G36</f>
        <v>687904.48035088344</v>
      </c>
      <c r="I36" s="284">
        <f t="shared" ref="I36:I37" si="12">$F$31</f>
        <v>1523</v>
      </c>
      <c r="J36" s="95">
        <f t="shared" ref="J36:J37" si="13">H36/I36</f>
        <v>451.67726877930625</v>
      </c>
      <c r="L36" s="93" t="str">
        <f t="shared" ref="L36:L37" si="14">IF(J36&gt;$E$31,"Undervalued","Overvalued")</f>
        <v>Overvalued</v>
      </c>
    </row>
    <row r="37" spans="2:18" x14ac:dyDescent="0.25">
      <c r="B37" s="15" t="s">
        <v>228</v>
      </c>
      <c r="C37" s="15"/>
      <c r="D37" s="15"/>
      <c r="E37" s="94">
        <f>R27</f>
        <v>25.190417943925233</v>
      </c>
      <c r="F37" s="95">
        <f>H37+G37</f>
        <v>483702.25775252335</v>
      </c>
      <c r="G37" s="92">
        <f t="shared" si="10"/>
        <v>18535.999999999985</v>
      </c>
      <c r="H37" s="95">
        <f>E37*N31</f>
        <v>465166.25775252335</v>
      </c>
      <c r="I37" s="284">
        <f t="shared" si="12"/>
        <v>1523</v>
      </c>
      <c r="J37" s="95">
        <f t="shared" si="13"/>
        <v>305.4276150705997</v>
      </c>
      <c r="L37" s="93" t="str">
        <f t="shared" si="14"/>
        <v>Overvalued</v>
      </c>
    </row>
    <row r="38" spans="2:18" x14ac:dyDescent="0.25">
      <c r="B38" s="96"/>
      <c r="C38" s="96"/>
      <c r="D38" s="96"/>
      <c r="E38" s="97"/>
      <c r="F38" s="98"/>
      <c r="G38" s="98"/>
      <c r="H38" s="98"/>
      <c r="I38" s="99"/>
      <c r="J38" s="98"/>
      <c r="K38" s="96"/>
      <c r="L38" s="100"/>
    </row>
    <row r="39" spans="2:18" x14ac:dyDescent="0.25">
      <c r="B39" s="273" t="s">
        <v>250</v>
      </c>
    </row>
    <row r="40" spans="2:18" x14ac:dyDescent="0.25">
      <c r="B40" s="67" t="s">
        <v>255</v>
      </c>
      <c r="C40" s="67"/>
      <c r="D40" s="67"/>
      <c r="E40" s="67" t="s">
        <v>256</v>
      </c>
      <c r="F40" s="67" t="s">
        <v>257</v>
      </c>
      <c r="G40" s="67" t="s">
        <v>258</v>
      </c>
      <c r="H40" s="67" t="s">
        <v>259</v>
      </c>
      <c r="I40" s="67" t="s">
        <v>260</v>
      </c>
      <c r="J40" s="67" t="s">
        <v>261</v>
      </c>
      <c r="L40" s="67" t="s">
        <v>262</v>
      </c>
    </row>
    <row r="41" spans="2:18" x14ac:dyDescent="0.25">
      <c r="B41" s="101" t="s">
        <v>263</v>
      </c>
      <c r="C41" s="101"/>
      <c r="D41" s="101"/>
      <c r="E41" s="102">
        <f>P26</f>
        <v>3.7632435010587724</v>
      </c>
      <c r="F41" s="92">
        <f>E41*L31</f>
        <v>775544.27367219608</v>
      </c>
      <c r="G41" s="92">
        <f>G35</f>
        <v>18535.999999999985</v>
      </c>
      <c r="H41" s="92">
        <f>F41-G41</f>
        <v>757008.27367219608</v>
      </c>
      <c r="I41" s="364">
        <f>$F$31</f>
        <v>1523</v>
      </c>
      <c r="J41" s="92">
        <f>H41/I41</f>
        <v>497.05073780183591</v>
      </c>
      <c r="L41" s="318" t="str">
        <f>IF(J41&gt;$E$31,"Undervalued","Overvalued")</f>
        <v>Undervalued</v>
      </c>
    </row>
    <row r="42" spans="2:18" x14ac:dyDescent="0.25">
      <c r="B42" s="15" t="s">
        <v>244</v>
      </c>
      <c r="C42" s="15"/>
      <c r="D42" s="15"/>
      <c r="E42" s="94">
        <f>Q26</f>
        <v>17.732095588797979</v>
      </c>
      <c r="F42" s="95">
        <f>E42*M31</f>
        <v>807892.00712122465</v>
      </c>
      <c r="G42" s="92">
        <f t="shared" ref="G42:G43" si="15">G36</f>
        <v>18535.999999999985</v>
      </c>
      <c r="H42" s="95">
        <f t="shared" ref="H42" si="16">F42-G42</f>
        <v>789356.00712122465</v>
      </c>
      <c r="I42" s="365">
        <f t="shared" ref="I42:I43" si="17">$F$31</f>
        <v>1523</v>
      </c>
      <c r="J42" s="95">
        <f t="shared" ref="J42:J43" si="18">H42/I42</f>
        <v>518.29022135339767</v>
      </c>
      <c r="L42" s="318" t="str">
        <f t="shared" ref="L42:L43" si="19">IF(J42&gt;$E$31,"Undervalued","Overvalued")</f>
        <v>Undervalued</v>
      </c>
    </row>
    <row r="43" spans="2:18" x14ac:dyDescent="0.25">
      <c r="B43" s="15" t="s">
        <v>228</v>
      </c>
      <c r="C43" s="15"/>
      <c r="D43" s="15"/>
      <c r="E43" s="94">
        <f>R26</f>
        <v>28.453775038923059</v>
      </c>
      <c r="F43" s="95">
        <f>H43+G43</f>
        <v>543963.40986875317</v>
      </c>
      <c r="G43" s="92">
        <f t="shared" si="15"/>
        <v>18535.999999999985</v>
      </c>
      <c r="H43" s="95">
        <f>E43*N31</f>
        <v>525427.40986875317</v>
      </c>
      <c r="I43" s="284">
        <f t="shared" si="17"/>
        <v>1523</v>
      </c>
      <c r="J43" s="95">
        <f t="shared" si="18"/>
        <v>344.99501632879395</v>
      </c>
      <c r="L43" s="93" t="str">
        <f t="shared" si="19"/>
        <v>Overvalued</v>
      </c>
    </row>
    <row r="46" spans="2:18" x14ac:dyDescent="0.25">
      <c r="B46" s="222"/>
      <c r="C46" s="222"/>
      <c r="D46" s="222"/>
      <c r="E46" s="222"/>
      <c r="F46" s="222"/>
      <c r="G46" s="222"/>
      <c r="H46" s="222"/>
      <c r="I46" s="222"/>
      <c r="J46" s="222"/>
      <c r="K46" s="222"/>
      <c r="L46" s="222"/>
      <c r="M46" s="222"/>
      <c r="N46" s="222"/>
      <c r="O46" s="222"/>
      <c r="P46" s="222"/>
      <c r="Q46" s="222"/>
      <c r="R46" s="222"/>
    </row>
  </sheetData>
  <mergeCells count="5">
    <mergeCell ref="B6:R6"/>
    <mergeCell ref="B8:C8"/>
    <mergeCell ref="E8:J8"/>
    <mergeCell ref="L8:N8"/>
    <mergeCell ref="P8:R8"/>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AK99"/>
  <sheetViews>
    <sheetView showGridLines="0" topLeftCell="A7" zoomScaleNormal="100" workbookViewId="0">
      <selection activeCell="C24" sqref="C24"/>
    </sheetView>
  </sheetViews>
  <sheetFormatPr defaultRowHeight="15" x14ac:dyDescent="0.25"/>
  <cols>
    <col min="1" max="1" width="1.85546875" customWidth="1"/>
    <col min="2" max="2" width="31.28515625" bestFit="1" customWidth="1"/>
    <col min="3" max="3" width="12.85546875" bestFit="1" customWidth="1"/>
    <col min="30" max="30" width="14.42578125" customWidth="1"/>
    <col min="32" max="32" width="11.140625" customWidth="1"/>
    <col min="33" max="33" width="7.42578125" customWidth="1"/>
    <col min="34" max="34" width="10.85546875" customWidth="1"/>
    <col min="35" max="35" width="8.140625" customWidth="1"/>
    <col min="36" max="36" width="10.140625" customWidth="1"/>
  </cols>
  <sheetData>
    <row r="6" spans="2:37" x14ac:dyDescent="0.25">
      <c r="B6" s="431" t="s">
        <v>366</v>
      </c>
      <c r="C6" s="431"/>
      <c r="D6" s="431"/>
      <c r="E6" s="431"/>
      <c r="F6" s="431"/>
      <c r="G6" s="431"/>
      <c r="H6" s="431"/>
      <c r="I6" s="431"/>
      <c r="J6" s="431"/>
      <c r="K6" s="431"/>
      <c r="L6" s="431"/>
      <c r="M6" s="431"/>
      <c r="N6" s="431"/>
      <c r="O6" s="431"/>
      <c r="P6" s="431"/>
      <c r="Q6" s="431"/>
      <c r="R6" s="431"/>
      <c r="S6" s="431"/>
      <c r="T6" s="431"/>
      <c r="U6" s="431"/>
      <c r="V6" s="431"/>
      <c r="W6" s="431"/>
      <c r="X6" s="431"/>
      <c r="Y6" s="431"/>
      <c r="Z6" s="431"/>
      <c r="AA6" s="431"/>
      <c r="AB6" s="431"/>
      <c r="AC6" s="431"/>
      <c r="AD6" s="431"/>
      <c r="AE6" s="431"/>
      <c r="AF6" s="431"/>
      <c r="AG6" s="431"/>
      <c r="AH6" s="431"/>
      <c r="AI6" s="431"/>
      <c r="AJ6" s="431"/>
      <c r="AK6" s="431"/>
    </row>
    <row r="8" spans="2:37" x14ac:dyDescent="0.25">
      <c r="B8" s="423" t="s">
        <v>17</v>
      </c>
      <c r="C8" s="346">
        <v>2021</v>
      </c>
      <c r="D8" s="346">
        <f>C8+1</f>
        <v>2022</v>
      </c>
      <c r="E8" s="346">
        <f t="shared" ref="E8:G8" si="0">D8+1</f>
        <v>2023</v>
      </c>
      <c r="F8" s="346">
        <f t="shared" si="0"/>
        <v>2024</v>
      </c>
      <c r="G8" s="346">
        <f t="shared" si="0"/>
        <v>2025</v>
      </c>
      <c r="H8" s="346">
        <f>G8+1</f>
        <v>2026</v>
      </c>
      <c r="I8" s="346">
        <f t="shared" ref="I8:Q8" si="1">H8+1</f>
        <v>2027</v>
      </c>
      <c r="J8" s="346">
        <f t="shared" si="1"/>
        <v>2028</v>
      </c>
      <c r="K8" s="346">
        <f t="shared" si="1"/>
        <v>2029</v>
      </c>
      <c r="L8" s="346">
        <f t="shared" si="1"/>
        <v>2030</v>
      </c>
      <c r="M8" s="346">
        <f t="shared" si="1"/>
        <v>2031</v>
      </c>
      <c r="N8" s="346">
        <f t="shared" si="1"/>
        <v>2032</v>
      </c>
      <c r="O8" s="346">
        <f t="shared" si="1"/>
        <v>2033</v>
      </c>
      <c r="P8" s="346">
        <f t="shared" si="1"/>
        <v>2034</v>
      </c>
      <c r="Q8" s="346">
        <f t="shared" si="1"/>
        <v>2035</v>
      </c>
      <c r="S8" s="439" t="s">
        <v>367</v>
      </c>
      <c r="T8" s="439"/>
      <c r="U8" s="439"/>
      <c r="V8" s="439"/>
      <c r="W8" s="439"/>
      <c r="X8" s="439"/>
      <c r="Y8" s="439"/>
      <c r="Z8" s="439"/>
      <c r="AA8" s="439"/>
      <c r="AB8" s="439"/>
      <c r="AC8" s="439"/>
      <c r="AD8" s="439"/>
      <c r="AE8" s="439"/>
      <c r="AF8" s="439"/>
      <c r="AG8" s="439"/>
      <c r="AH8" s="439"/>
      <c r="AI8" s="439"/>
      <c r="AJ8" s="439"/>
    </row>
    <row r="9" spans="2:37" s="209" customFormat="1" x14ac:dyDescent="0.25">
      <c r="B9" s="424"/>
      <c r="C9" s="347" t="s">
        <v>291</v>
      </c>
      <c r="D9" s="347" t="s">
        <v>291</v>
      </c>
      <c r="E9" s="347" t="s">
        <v>291</v>
      </c>
      <c r="F9" s="347" t="s">
        <v>291</v>
      </c>
      <c r="G9" s="347" t="s">
        <v>291</v>
      </c>
      <c r="H9" s="347" t="s">
        <v>509</v>
      </c>
      <c r="I9" s="347" t="s">
        <v>510</v>
      </c>
      <c r="J9" s="347" t="s">
        <v>510</v>
      </c>
      <c r="K9" s="347" t="s">
        <v>510</v>
      </c>
      <c r="L9" s="347" t="s">
        <v>510</v>
      </c>
      <c r="M9" s="347" t="s">
        <v>510</v>
      </c>
      <c r="N9" s="347" t="s">
        <v>510</v>
      </c>
      <c r="O9" s="347" t="s">
        <v>510</v>
      </c>
      <c r="P9" s="347" t="s">
        <v>510</v>
      </c>
      <c r="Q9" s="347" t="s">
        <v>510</v>
      </c>
      <c r="S9" s="210"/>
      <c r="T9" s="210"/>
      <c r="U9" s="210"/>
      <c r="V9" s="210"/>
      <c r="W9" s="210"/>
      <c r="X9" s="210"/>
      <c r="Y9" s="210"/>
      <c r="Z9" s="210"/>
      <c r="AA9" s="210"/>
      <c r="AB9" s="210"/>
      <c r="AC9" s="210"/>
      <c r="AD9" s="210"/>
      <c r="AE9" s="210"/>
      <c r="AF9" s="210"/>
      <c r="AG9" s="210"/>
      <c r="AH9" s="210"/>
      <c r="AI9" s="210"/>
      <c r="AJ9" s="210"/>
    </row>
    <row r="10" spans="2:37" s="209" customFormat="1" ht="15.75" x14ac:dyDescent="0.25">
      <c r="B10" s="440" t="s">
        <v>373</v>
      </c>
      <c r="C10" s="440"/>
      <c r="D10" s="440"/>
      <c r="E10" s="440"/>
      <c r="F10" s="440"/>
      <c r="G10" s="440"/>
      <c r="H10" s="440"/>
      <c r="I10" s="440"/>
      <c r="J10" s="440"/>
      <c r="K10" s="440"/>
      <c r="L10" s="440"/>
      <c r="M10" s="440"/>
      <c r="N10" s="440"/>
      <c r="O10" s="440"/>
      <c r="P10" s="440"/>
      <c r="Q10" s="440"/>
      <c r="R10"/>
      <c r="S10" s="221"/>
      <c r="T10" s="221"/>
      <c r="U10" s="221"/>
      <c r="V10" s="221"/>
      <c r="W10" s="221"/>
      <c r="X10" s="221"/>
      <c r="Y10" s="221"/>
      <c r="Z10" s="221"/>
      <c r="AA10" s="221"/>
      <c r="AB10" s="221"/>
      <c r="AC10" s="221"/>
      <c r="AD10" s="221"/>
      <c r="AE10" s="221"/>
      <c r="AF10" s="221"/>
      <c r="AG10" s="221"/>
      <c r="AH10" s="221"/>
      <c r="AI10" s="221"/>
      <c r="AJ10" s="221"/>
    </row>
    <row r="12" spans="2:37" x14ac:dyDescent="0.25">
      <c r="B12" s="208" t="s">
        <v>369</v>
      </c>
      <c r="C12" s="215">
        <f>'Profit &amp; Loss Statement'!C19/'Profit &amp; Loss Statement'!C10</f>
        <v>0.24759183356822384</v>
      </c>
      <c r="D12" s="215">
        <f>'Profit &amp; Loss Statement'!D19/'Profit &amp; Loss Statement'!D10</f>
        <v>0.23560554107804141</v>
      </c>
      <c r="E12" s="215">
        <f>'Profit &amp; Loss Statement'!E19/'Profit &amp; Loss Statement'!E10</f>
        <v>0.25107570891841402</v>
      </c>
      <c r="F12" s="215">
        <f>'Profit &amp; Loss Statement'!F19/'Profit &amp; Loss Statement'!F10</f>
        <v>0.20672017529821624</v>
      </c>
      <c r="G12" s="215">
        <f>'Profit &amp; Loss Statement'!G19/'Profit &amp; Loss Statement'!G10</f>
        <v>0.17197841656800139</v>
      </c>
      <c r="H12" s="215">
        <f>'Profit &amp; Loss Statement'!H19/'Profit &amp; Loss Statement'!H10</f>
        <v>0.22259433508617946</v>
      </c>
      <c r="I12" s="215">
        <f>'Profit &amp; Loss Statement'!I19/'Profit &amp; Loss Statement'!I10</f>
        <v>0.22259433508617948</v>
      </c>
      <c r="J12" s="215">
        <f>'Profit &amp; Loss Statement'!J19/'Profit &amp; Loss Statement'!J10</f>
        <v>0.22259433508617946</v>
      </c>
      <c r="K12" s="215">
        <f>'Profit &amp; Loss Statement'!K19/'Profit &amp; Loss Statement'!K10</f>
        <v>0.22259433508617937</v>
      </c>
      <c r="L12" s="215">
        <f>'Profit &amp; Loss Statement'!L19/'Profit &amp; Loss Statement'!L10</f>
        <v>0.22259433508617948</v>
      </c>
      <c r="M12" s="215">
        <f>'Profit &amp; Loss Statement'!M19/'Profit &amp; Loss Statement'!M10</f>
        <v>0.2225943350861794</v>
      </c>
      <c r="N12" s="215">
        <f>'Profit &amp; Loss Statement'!N19/'Profit &amp; Loss Statement'!N10</f>
        <v>0.22259433508617954</v>
      </c>
      <c r="O12" s="215">
        <f>'Profit &amp; Loss Statement'!O19/'Profit &amp; Loss Statement'!O10</f>
        <v>0.22259433508617946</v>
      </c>
      <c r="P12" s="215">
        <f>'Profit &amp; Loss Statement'!P19/'Profit &amp; Loss Statement'!P10</f>
        <v>0.22259433508617951</v>
      </c>
      <c r="Q12" s="215">
        <f>'Profit &amp; Loss Statement'!Q19/'Profit &amp; Loss Statement'!Q10</f>
        <v>0.22259433508617943</v>
      </c>
      <c r="S12" s="436" t="s">
        <v>514</v>
      </c>
      <c r="T12" s="437"/>
      <c r="U12" s="437"/>
      <c r="V12" s="437"/>
      <c r="W12" s="437"/>
      <c r="X12" s="437"/>
      <c r="Y12" s="437"/>
      <c r="Z12" s="437"/>
      <c r="AA12" s="437"/>
      <c r="AB12" s="437"/>
      <c r="AC12" s="437"/>
      <c r="AD12" s="437"/>
      <c r="AE12" s="437"/>
      <c r="AF12" s="437"/>
      <c r="AG12" s="437"/>
      <c r="AH12" s="437"/>
      <c r="AI12" s="437"/>
      <c r="AJ12" s="438"/>
    </row>
    <row r="13" spans="2:37" ht="15" customHeight="1" x14ac:dyDescent="0.25">
      <c r="B13" s="217"/>
      <c r="C13" s="218"/>
      <c r="D13" s="218"/>
      <c r="E13" s="218"/>
      <c r="F13" s="218"/>
      <c r="G13" s="218"/>
      <c r="H13" s="218"/>
      <c r="I13" s="218"/>
      <c r="J13" s="218"/>
      <c r="K13" s="218"/>
      <c r="L13" s="218"/>
      <c r="M13" s="218"/>
      <c r="N13" s="218"/>
      <c r="O13" s="218"/>
      <c r="P13" s="218"/>
      <c r="Q13" s="218"/>
      <c r="S13" s="436"/>
      <c r="T13" s="437"/>
      <c r="U13" s="437"/>
      <c r="V13" s="437"/>
      <c r="W13" s="437"/>
      <c r="X13" s="437"/>
      <c r="Y13" s="437"/>
      <c r="Z13" s="437"/>
      <c r="AA13" s="437"/>
      <c r="AB13" s="437"/>
      <c r="AC13" s="437"/>
      <c r="AD13" s="437"/>
      <c r="AE13" s="437"/>
      <c r="AF13" s="437"/>
      <c r="AG13" s="437"/>
      <c r="AH13" s="437"/>
      <c r="AI13" s="437"/>
      <c r="AJ13" s="438"/>
    </row>
    <row r="14" spans="2:37" ht="36" customHeight="1" x14ac:dyDescent="0.25">
      <c r="B14" s="207"/>
      <c r="C14" s="214"/>
      <c r="D14" s="214"/>
      <c r="E14" s="214"/>
      <c r="F14" s="214"/>
      <c r="G14" s="214"/>
      <c r="H14" s="214"/>
      <c r="I14" s="214"/>
      <c r="J14" s="214"/>
      <c r="K14" s="214"/>
      <c r="L14" s="214"/>
      <c r="M14" s="214"/>
      <c r="N14" s="214"/>
      <c r="O14" s="214"/>
      <c r="P14" s="214"/>
      <c r="Q14" s="214"/>
      <c r="S14" s="436"/>
      <c r="T14" s="437"/>
      <c r="U14" s="437"/>
      <c r="V14" s="437"/>
      <c r="W14" s="437"/>
      <c r="X14" s="437"/>
      <c r="Y14" s="437"/>
      <c r="Z14" s="437"/>
      <c r="AA14" s="437"/>
      <c r="AB14" s="437"/>
      <c r="AC14" s="437"/>
      <c r="AD14" s="437"/>
      <c r="AE14" s="437"/>
      <c r="AF14" s="437"/>
      <c r="AG14" s="437"/>
      <c r="AH14" s="437"/>
      <c r="AI14" s="437"/>
      <c r="AJ14" s="438"/>
    </row>
    <row r="15" spans="2:37" ht="15" customHeight="1" x14ac:dyDescent="0.25">
      <c r="B15" s="208" t="s">
        <v>477</v>
      </c>
      <c r="C15" s="215">
        <f>'Profit &amp; Loss Statement'!C23/'Profit &amp; Loss Statement'!C10</f>
        <v>0.21818957603341049</v>
      </c>
      <c r="D15" s="215">
        <f>'Profit &amp; Loss Statement'!D23/'Profit &amp; Loss Statement'!D10</f>
        <v>0.20554107804142094</v>
      </c>
      <c r="E15" s="215">
        <f>'Profit &amp; Loss Statement'!E23/'Profit &amp; Loss Statement'!E10</f>
        <v>0.22175345801062066</v>
      </c>
      <c r="F15" s="215">
        <f>'Profit &amp; Loss Statement'!F23/'Profit &amp; Loss Statement'!F10</f>
        <v>0.17084189922814619</v>
      </c>
      <c r="G15" s="215">
        <f>'Profit &amp; Loss Statement'!G23/'Profit &amp; Loss Statement'!G10</f>
        <v>0.12893771471827023</v>
      </c>
      <c r="H15" s="215">
        <f>'Profit &amp; Loss Statement'!H23/'Profit &amp; Loss Statement'!H10</f>
        <v>0.20324809052722506</v>
      </c>
      <c r="I15" s="215">
        <f>'Profit &amp; Loss Statement'!I23/'Profit &amp; Loss Statement'!I10</f>
        <v>0.20627703109746842</v>
      </c>
      <c r="J15" s="215">
        <f>'Profit &amp; Loss Statement'!J23/'Profit &amp; Loss Statement'!J10</f>
        <v>0.20852401133078577</v>
      </c>
      <c r="K15" s="215">
        <f>'Profit &amp; Loss Statement'!K23/'Profit &amp; Loss Statement'!K10</f>
        <v>0.21022145504694628</v>
      </c>
      <c r="L15" s="215">
        <f>'Profit &amp; Loss Statement'!L23/'Profit &amp; Loss Statement'!L10</f>
        <v>0.2115242583222641</v>
      </c>
      <c r="M15" s="215">
        <f>'Profit &amp; Loss Statement'!M23/'Profit &amp; Loss Statement'!M10</f>
        <v>0.21253799399731446</v>
      </c>
      <c r="N15" s="215">
        <f>'Profit &amp; Loss Statement'!N23/'Profit &amp; Loss Statement'!N10</f>
        <v>0.21333613523728914</v>
      </c>
      <c r="O15" s="215">
        <f>'Profit &amp; Loss Statement'!O23/'Profit &amp; Loss Statement'!O10</f>
        <v>0.21397081696412831</v>
      </c>
      <c r="P15" s="215">
        <f>'Profit &amp; Loss Statement'!P23/'Profit &amp; Loss Statement'!P10</f>
        <v>0.21447970555542031</v>
      </c>
      <c r="Q15" s="215">
        <f>'Profit &amp; Loss Statement'!Q23/'Profit &amp; Loss Statement'!Q10</f>
        <v>0.21489047328769437</v>
      </c>
      <c r="S15" s="436" t="s">
        <v>515</v>
      </c>
      <c r="T15" s="437"/>
      <c r="U15" s="437"/>
      <c r="V15" s="437"/>
      <c r="W15" s="437"/>
      <c r="X15" s="437"/>
      <c r="Y15" s="437"/>
      <c r="Z15" s="437"/>
      <c r="AA15" s="437"/>
      <c r="AB15" s="437"/>
      <c r="AC15" s="437"/>
      <c r="AD15" s="437"/>
      <c r="AE15" s="437"/>
      <c r="AF15" s="437"/>
      <c r="AG15" s="437"/>
      <c r="AH15" s="437"/>
      <c r="AI15" s="437"/>
      <c r="AJ15" s="438"/>
    </row>
    <row r="16" spans="2:37" x14ac:dyDescent="0.25">
      <c r="B16" s="217"/>
      <c r="C16" s="218"/>
      <c r="D16" s="218"/>
      <c r="E16" s="218"/>
      <c r="F16" s="218"/>
      <c r="G16" s="218"/>
      <c r="H16" s="218"/>
      <c r="I16" s="218"/>
      <c r="J16" s="218"/>
      <c r="K16" s="218"/>
      <c r="L16" s="218"/>
      <c r="M16" s="218"/>
      <c r="N16" s="218"/>
      <c r="O16" s="218"/>
      <c r="P16" s="218"/>
      <c r="Q16" s="218"/>
      <c r="S16" s="436"/>
      <c r="T16" s="437"/>
      <c r="U16" s="437"/>
      <c r="V16" s="437"/>
      <c r="W16" s="437"/>
      <c r="X16" s="437"/>
      <c r="Y16" s="437"/>
      <c r="Z16" s="437"/>
      <c r="AA16" s="437"/>
      <c r="AB16" s="437"/>
      <c r="AC16" s="437"/>
      <c r="AD16" s="437"/>
      <c r="AE16" s="437"/>
      <c r="AF16" s="437"/>
      <c r="AG16" s="437"/>
      <c r="AH16" s="437"/>
      <c r="AI16" s="437"/>
      <c r="AJ16" s="438"/>
    </row>
    <row r="17" spans="2:36" ht="30" customHeight="1" x14ac:dyDescent="0.25">
      <c r="B17" s="207"/>
      <c r="C17" s="214"/>
      <c r="D17" s="214"/>
      <c r="E17" s="214"/>
      <c r="F17" s="214"/>
      <c r="G17" s="214"/>
      <c r="H17" s="214"/>
      <c r="I17" s="214"/>
      <c r="J17" s="214"/>
      <c r="K17" s="214"/>
      <c r="L17" s="214"/>
      <c r="M17" s="214"/>
      <c r="N17" s="214"/>
      <c r="O17" s="214"/>
      <c r="P17" s="214"/>
      <c r="Q17" s="214"/>
      <c r="S17" s="436"/>
      <c r="T17" s="437"/>
      <c r="U17" s="437"/>
      <c r="V17" s="437"/>
      <c r="W17" s="437"/>
      <c r="X17" s="437"/>
      <c r="Y17" s="437"/>
      <c r="Z17" s="437"/>
      <c r="AA17" s="437"/>
      <c r="AB17" s="437"/>
      <c r="AC17" s="437"/>
      <c r="AD17" s="437"/>
      <c r="AE17" s="437"/>
      <c r="AF17" s="437"/>
      <c r="AG17" s="437"/>
      <c r="AH17" s="437"/>
      <c r="AI17" s="437"/>
      <c r="AJ17" s="438"/>
    </row>
    <row r="18" spans="2:36" x14ac:dyDescent="0.25">
      <c r="B18" s="208" t="s">
        <v>370</v>
      </c>
      <c r="C18" s="215">
        <f>'Profit &amp; Loss Statement'!C28/'Profit &amp; Loss Statement'!C10</f>
        <v>0.24051925886657788</v>
      </c>
      <c r="D18" s="215">
        <f>'Profit &amp; Loss Statement'!D28/'Profit &amp; Loss Statement'!D10</f>
        <v>0.22479769578932932</v>
      </c>
      <c r="E18" s="215">
        <f>'Profit &amp; Loss Statement'!E28/'Profit &amp; Loss Statement'!E10</f>
        <v>0.21679295314456828</v>
      </c>
      <c r="F18" s="215">
        <f>'Profit &amp; Loss Statement'!F28/'Profit &amp; Loss Statement'!F10</f>
        <v>0.20600002462053599</v>
      </c>
      <c r="G18" s="215">
        <f>'Profit &amp; Loss Statement'!G28/'Profit &amp; Loss Statement'!G10</f>
        <v>0.12395916228334078</v>
      </c>
      <c r="H18" s="215">
        <f>'Profit &amp; Loss Statement'!H28/'Profit &amp; Loss Statement'!H10</f>
        <v>0.21007437421958777</v>
      </c>
      <c r="I18" s="215">
        <f>'Profit &amp; Loss Statement'!I28/'Profit &amp; Loss Statement'!I10</f>
        <v>0.21962410160645324</v>
      </c>
      <c r="J18" s="215">
        <f>'Profit &amp; Loss Statement'!J28/'Profit &amp; Loss Statement'!J10</f>
        <v>0.22165118120378366</v>
      </c>
      <c r="K18" s="215">
        <f>'Profit &amp; Loss Statement'!K28/'Profit &amp; Loss Statement'!K10</f>
        <v>0.22314964289452077</v>
      </c>
      <c r="L18" s="215">
        <f>'Profit &amp; Loss Statement'!L28/'Profit &amp; Loss Statement'!L10</f>
        <v>0.22427352458766597</v>
      </c>
      <c r="M18" s="215">
        <f>'Profit &amp; Loss Statement'!M28/'Profit &amp; Loss Statement'!M10</f>
        <v>0.22512727744487268</v>
      </c>
      <c r="N18" s="215">
        <f>'Profit &amp; Loss Statement'!N28/'Profit &amp; Loss Statement'!N10</f>
        <v>0.22578308005950715</v>
      </c>
      <c r="O18" s="215">
        <f>'Profit &amp; Loss Statement'!O28/'Profit &amp; Loss Statement'!O10</f>
        <v>0.22629167659861976</v>
      </c>
      <c r="P18" s="215">
        <f>'Profit &amp; Loss Statement'!P28/'Profit &amp; Loss Statement'!P10</f>
        <v>0.22668930843309806</v>
      </c>
      <c r="Q18" s="215">
        <f>'Profit &amp; Loss Statement'!Q28/'Profit &amp; Loss Statement'!Q10</f>
        <v>0.22700223632065139</v>
      </c>
      <c r="S18" s="441" t="s">
        <v>516</v>
      </c>
      <c r="T18" s="442"/>
      <c r="U18" s="442"/>
      <c r="V18" s="442"/>
      <c r="W18" s="442"/>
      <c r="X18" s="442"/>
      <c r="Y18" s="442"/>
      <c r="Z18" s="442"/>
      <c r="AA18" s="442"/>
      <c r="AB18" s="442"/>
      <c r="AC18" s="442"/>
      <c r="AD18" s="442"/>
      <c r="AE18" s="442"/>
      <c r="AF18" s="442"/>
      <c r="AG18" s="442"/>
      <c r="AH18" s="442"/>
      <c r="AI18" s="442"/>
      <c r="AJ18" s="443"/>
    </row>
    <row r="19" spans="2:36" x14ac:dyDescent="0.25">
      <c r="B19" s="217"/>
      <c r="C19" s="218"/>
      <c r="D19" s="218"/>
      <c r="E19" s="218"/>
      <c r="F19" s="218"/>
      <c r="G19" s="218"/>
      <c r="H19" s="218"/>
      <c r="I19" s="218"/>
      <c r="J19" s="218"/>
      <c r="K19" s="218"/>
      <c r="L19" s="218"/>
      <c r="M19" s="218"/>
      <c r="N19" s="218"/>
      <c r="O19" s="218"/>
      <c r="P19" s="218"/>
      <c r="Q19" s="218"/>
      <c r="S19" s="441"/>
      <c r="T19" s="442"/>
      <c r="U19" s="442"/>
      <c r="V19" s="442"/>
      <c r="W19" s="442"/>
      <c r="X19" s="442"/>
      <c r="Y19" s="442"/>
      <c r="Z19" s="442"/>
      <c r="AA19" s="442"/>
      <c r="AB19" s="442"/>
      <c r="AC19" s="442"/>
      <c r="AD19" s="442"/>
      <c r="AE19" s="442"/>
      <c r="AF19" s="442"/>
      <c r="AG19" s="442"/>
      <c r="AH19" s="442"/>
      <c r="AI19" s="442"/>
      <c r="AJ19" s="443"/>
    </row>
    <row r="20" spans="2:36" ht="30.75" customHeight="1" x14ac:dyDescent="0.25">
      <c r="B20" s="207"/>
      <c r="C20" s="214"/>
      <c r="D20" s="214"/>
      <c r="E20" s="214"/>
      <c r="F20" s="214"/>
      <c r="G20" s="214"/>
      <c r="H20" s="214"/>
      <c r="I20" s="214"/>
      <c r="J20" s="214"/>
      <c r="K20" s="214"/>
      <c r="L20" s="214"/>
      <c r="M20" s="214"/>
      <c r="N20" s="214"/>
      <c r="O20" s="214"/>
      <c r="P20" s="214"/>
      <c r="Q20" s="214"/>
      <c r="S20" s="441"/>
      <c r="T20" s="442"/>
      <c r="U20" s="442"/>
      <c r="V20" s="442"/>
      <c r="W20" s="442"/>
      <c r="X20" s="442"/>
      <c r="Y20" s="442"/>
      <c r="Z20" s="442"/>
      <c r="AA20" s="442"/>
      <c r="AB20" s="442"/>
      <c r="AC20" s="442"/>
      <c r="AD20" s="442"/>
      <c r="AE20" s="442"/>
      <c r="AF20" s="442"/>
      <c r="AG20" s="442"/>
      <c r="AH20" s="442"/>
      <c r="AI20" s="442"/>
      <c r="AJ20" s="443"/>
    </row>
    <row r="21" spans="2:36" x14ac:dyDescent="0.25">
      <c r="B21" s="208" t="s">
        <v>346</v>
      </c>
      <c r="C21" s="215">
        <f>'Cost Buildup'!C23</f>
        <v>0.12665304805934846</v>
      </c>
      <c r="D21" s="215">
        <f>'Cost Buildup'!D23</f>
        <v>0.26296522269676631</v>
      </c>
      <c r="E21" s="215">
        <f>'Cost Buildup'!E23</f>
        <v>0.2545343058155296</v>
      </c>
      <c r="F21" s="215">
        <f>'Cost Buildup'!F23</f>
        <v>0.25782837337157882</v>
      </c>
      <c r="G21" s="215">
        <f>'Cost Buildup'!G23</f>
        <v>0.27714710717920615</v>
      </c>
      <c r="H21" s="215">
        <f>'Cost Buildup'!H23</f>
        <v>0.28214710717920616</v>
      </c>
      <c r="I21" s="215">
        <f>'Cost Buildup'!I23</f>
        <v>0.28214710717920616</v>
      </c>
      <c r="J21" s="215">
        <f>'Cost Buildup'!J23</f>
        <v>0.28714710717920616</v>
      </c>
      <c r="K21" s="215">
        <f>'Cost Buildup'!K23</f>
        <v>0.28714710717920616</v>
      </c>
      <c r="L21" s="215">
        <f>'Cost Buildup'!L23</f>
        <v>0.29214710717920617</v>
      </c>
      <c r="M21" s="215">
        <f>'Cost Buildup'!M23</f>
        <v>0.29214710717920617</v>
      </c>
      <c r="N21" s="215">
        <f>'Cost Buildup'!N23</f>
        <v>0.29714710717920617</v>
      </c>
      <c r="O21" s="215">
        <f>'Cost Buildup'!O23</f>
        <v>0.29714710717920617</v>
      </c>
      <c r="P21" s="215">
        <f>'Cost Buildup'!P23</f>
        <v>0.3</v>
      </c>
      <c r="Q21" s="215">
        <f>'Cost Buildup'!Q23</f>
        <v>0.3</v>
      </c>
      <c r="S21" s="441" t="s">
        <v>517</v>
      </c>
      <c r="T21" s="442"/>
      <c r="U21" s="442"/>
      <c r="V21" s="442"/>
      <c r="W21" s="442"/>
      <c r="X21" s="442"/>
      <c r="Y21" s="442"/>
      <c r="Z21" s="442"/>
      <c r="AA21" s="442"/>
      <c r="AB21" s="442"/>
      <c r="AC21" s="442"/>
      <c r="AD21" s="442"/>
      <c r="AE21" s="442"/>
      <c r="AF21" s="442"/>
      <c r="AG21" s="442"/>
      <c r="AH21" s="442"/>
      <c r="AI21" s="442"/>
      <c r="AJ21" s="443"/>
    </row>
    <row r="22" spans="2:36" x14ac:dyDescent="0.25">
      <c r="B22" s="217"/>
      <c r="C22" s="218"/>
      <c r="D22" s="218"/>
      <c r="E22" s="218"/>
      <c r="F22" s="218"/>
      <c r="G22" s="218"/>
      <c r="H22" s="218"/>
      <c r="I22" s="218"/>
      <c r="J22" s="218"/>
      <c r="K22" s="218"/>
      <c r="L22" s="218"/>
      <c r="M22" s="218"/>
      <c r="N22" s="218"/>
      <c r="O22" s="218"/>
      <c r="P22" s="218"/>
      <c r="Q22" s="218"/>
      <c r="S22" s="441"/>
      <c r="T22" s="442"/>
      <c r="U22" s="442"/>
      <c r="V22" s="442"/>
      <c r="W22" s="442"/>
      <c r="X22" s="442"/>
      <c r="Y22" s="442"/>
      <c r="Z22" s="442"/>
      <c r="AA22" s="442"/>
      <c r="AB22" s="442"/>
      <c r="AC22" s="442"/>
      <c r="AD22" s="442"/>
      <c r="AE22" s="442"/>
      <c r="AF22" s="442"/>
      <c r="AG22" s="442"/>
      <c r="AH22" s="442"/>
      <c r="AI22" s="442"/>
      <c r="AJ22" s="443"/>
    </row>
    <row r="23" spans="2:36" ht="30.75" customHeight="1" x14ac:dyDescent="0.25">
      <c r="B23" s="207"/>
      <c r="C23" s="214"/>
      <c r="D23" s="214"/>
      <c r="E23" s="214"/>
      <c r="F23" s="214"/>
      <c r="G23" s="214"/>
      <c r="H23" s="214"/>
      <c r="I23" s="214"/>
      <c r="J23" s="214"/>
      <c r="K23" s="214"/>
      <c r="L23" s="214"/>
      <c r="M23" s="214"/>
      <c r="N23" s="214"/>
      <c r="O23" s="214"/>
      <c r="P23" s="214"/>
      <c r="Q23" s="214"/>
      <c r="S23" s="441"/>
      <c r="T23" s="442"/>
      <c r="U23" s="442"/>
      <c r="V23" s="442"/>
      <c r="W23" s="442"/>
      <c r="X23" s="442"/>
      <c r="Y23" s="442"/>
      <c r="Z23" s="442"/>
      <c r="AA23" s="442"/>
      <c r="AB23" s="442"/>
      <c r="AC23" s="442"/>
      <c r="AD23" s="442"/>
      <c r="AE23" s="442"/>
      <c r="AF23" s="442"/>
      <c r="AG23" s="442"/>
      <c r="AH23" s="442"/>
      <c r="AI23" s="442"/>
      <c r="AJ23" s="443"/>
    </row>
    <row r="24" spans="2:36" x14ac:dyDescent="0.25">
      <c r="B24" s="363" t="s">
        <v>371</v>
      </c>
      <c r="C24" s="215">
        <f>'Profit &amp; Loss Statement'!C32/'Profit &amp; Loss Statement'!C10</f>
        <v>0.21005676161415032</v>
      </c>
      <c r="D24" s="215">
        <f>'Profit &amp; Loss Statement'!D32/'Profit &amp; Loss Statement'!D10</f>
        <v>0.1656837196543684</v>
      </c>
      <c r="E24" s="215">
        <f>'Profit &amp; Loss Statement'!E32/'Profit &amp; Loss Statement'!E10</f>
        <v>0.16161170931021696</v>
      </c>
      <c r="F24" s="215">
        <f>'Profit &amp; Loss Statement'!F32/'Profit &amp; Loss Statement'!F10</f>
        <v>0.152887373358118</v>
      </c>
      <c r="G24" s="215">
        <f>'Profit &amp; Loss Statement'!G32/'Profit &amp; Loss Statement'!G10</f>
        <v>8.9604239048155121E-2</v>
      </c>
      <c r="H24" s="215">
        <f>'Profit &amp; Loss Statement'!H32/'Profit &amp; Loss Statement'!H10</f>
        <v>0.15080249724104908</v>
      </c>
      <c r="I24" s="215">
        <f>'Profit &amp; Loss Statement'!I32/'Profit &amp; Loss Statement'!I10</f>
        <v>0.15765779667136043</v>
      </c>
      <c r="J24" s="215">
        <f>'Profit &amp; Loss Statement'!J32/'Profit &amp; Loss Statement'!J10</f>
        <v>0.15800468571826315</v>
      </c>
      <c r="K24" s="215">
        <f>'Profit &amp; Loss Statement'!K32/'Profit &amp; Loss Statement'!K10</f>
        <v>0.15907286846928623</v>
      </c>
      <c r="L24" s="215">
        <f>'Profit &amp; Loss Statement'!L32/'Profit &amp; Loss Statement'!L10</f>
        <v>0.15875266316249481</v>
      </c>
      <c r="M24" s="215">
        <f>'Profit &amp; Loss Statement'!M32/'Profit &amp; Loss Statement'!M10</f>
        <v>0.15935699459222258</v>
      </c>
      <c r="N24" s="215">
        <f>'Profit &amp; Loss Statement'!N32/'Profit &amp; Loss Statement'!N10</f>
        <v>0.15869229096981349</v>
      </c>
      <c r="O24" s="215">
        <f>'Profit &amp; Loss Statement'!O32/'Profit &amp; Loss Statement'!O10</f>
        <v>0.15904975951860742</v>
      </c>
      <c r="P24" s="215">
        <f>'Profit &amp; Loss Statement'!P32/'Profit &amp; Loss Statement'!P10</f>
        <v>0.15868251590316865</v>
      </c>
      <c r="Q24" s="215">
        <f>'Profit &amp; Loss Statement'!Q32/'Profit &amp; Loss Statement'!Q10</f>
        <v>0.15890156542445596</v>
      </c>
      <c r="S24" s="441" t="s">
        <v>518</v>
      </c>
      <c r="T24" s="442"/>
      <c r="U24" s="442"/>
      <c r="V24" s="442"/>
      <c r="W24" s="442"/>
      <c r="X24" s="442"/>
      <c r="Y24" s="442"/>
      <c r="Z24" s="442"/>
      <c r="AA24" s="442"/>
      <c r="AB24" s="442"/>
      <c r="AC24" s="442"/>
      <c r="AD24" s="442"/>
      <c r="AE24" s="442"/>
      <c r="AF24" s="442"/>
      <c r="AG24" s="442"/>
      <c r="AH24" s="442"/>
      <c r="AI24" s="442"/>
      <c r="AJ24" s="443"/>
    </row>
    <row r="25" spans="2:36" x14ac:dyDescent="0.25">
      <c r="B25" s="217"/>
      <c r="C25" s="218"/>
      <c r="D25" s="218"/>
      <c r="E25" s="218"/>
      <c r="F25" s="218"/>
      <c r="G25" s="218"/>
      <c r="H25" s="218"/>
      <c r="I25" s="218"/>
      <c r="J25" s="218"/>
      <c r="K25" s="218"/>
      <c r="L25" s="218"/>
      <c r="M25" s="218"/>
      <c r="N25" s="218"/>
      <c r="O25" s="218"/>
      <c r="P25" s="218"/>
      <c r="Q25" s="218"/>
      <c r="S25" s="441"/>
      <c r="T25" s="442"/>
      <c r="U25" s="442"/>
      <c r="V25" s="442"/>
      <c r="W25" s="442"/>
      <c r="X25" s="442"/>
      <c r="Y25" s="442"/>
      <c r="Z25" s="442"/>
      <c r="AA25" s="442"/>
      <c r="AB25" s="442"/>
      <c r="AC25" s="442"/>
      <c r="AD25" s="442"/>
      <c r="AE25" s="442"/>
      <c r="AF25" s="442"/>
      <c r="AG25" s="442"/>
      <c r="AH25" s="442"/>
      <c r="AI25" s="442"/>
      <c r="AJ25" s="443"/>
    </row>
    <row r="26" spans="2:36" ht="31.5" customHeight="1" x14ac:dyDescent="0.25">
      <c r="B26" s="207"/>
      <c r="C26" s="214"/>
      <c r="D26" s="214"/>
      <c r="E26" s="214"/>
      <c r="F26" s="214"/>
      <c r="G26" s="214"/>
      <c r="H26" s="214"/>
      <c r="I26" s="214"/>
      <c r="J26" s="214"/>
      <c r="K26" s="214"/>
      <c r="L26" s="214"/>
      <c r="M26" s="214"/>
      <c r="N26" s="214"/>
      <c r="O26" s="214"/>
      <c r="P26" s="214"/>
      <c r="Q26" s="214"/>
      <c r="S26" s="441"/>
      <c r="T26" s="442"/>
      <c r="U26" s="442"/>
      <c r="V26" s="442"/>
      <c r="W26" s="442"/>
      <c r="X26" s="442"/>
      <c r="Y26" s="442"/>
      <c r="Z26" s="442"/>
      <c r="AA26" s="442"/>
      <c r="AB26" s="442"/>
      <c r="AC26" s="442"/>
      <c r="AD26" s="442"/>
      <c r="AE26" s="442"/>
      <c r="AF26" s="442"/>
      <c r="AG26" s="442"/>
      <c r="AH26" s="442"/>
      <c r="AI26" s="442"/>
      <c r="AJ26" s="443"/>
    </row>
    <row r="27" spans="2:36" ht="15" customHeight="1" x14ac:dyDescent="0.25">
      <c r="B27" s="208" t="s">
        <v>372</v>
      </c>
      <c r="C27" s="215"/>
      <c r="D27" s="215">
        <f>'Profit &amp; Loss Statement'!D32/AVERAGE('Balance sheet'!C40:D40)</f>
        <v>0.29906171861461145</v>
      </c>
      <c r="E27" s="215">
        <f>'Profit &amp; Loss Statement'!E32/AVERAGE('Balance sheet'!D40:E40)</f>
        <v>0.30704098044689027</v>
      </c>
      <c r="F27" s="215">
        <f>'Profit &amp; Loss Statement'!F32/AVERAGE('Balance sheet'!E40:F40)</f>
        <v>0.21421610480108319</v>
      </c>
      <c r="G27" s="215">
        <f>'Profit &amp; Loss Statement'!G32/AVERAGE('Balance sheet'!F40:G40)</f>
        <v>0.12089746695386308</v>
      </c>
      <c r="H27" s="215">
        <f>'Profit &amp; Loss Statement'!H32/AVERAGE('Balance sheet'!G40:H40)</f>
        <v>0.22380316155159999</v>
      </c>
      <c r="I27" s="215">
        <f>'Profit &amp; Loss Statement'!I32/AVERAGE('Balance sheet'!H40:I40)</f>
        <v>0.24011515551275428</v>
      </c>
      <c r="J27" s="215">
        <f>'Profit &amp; Loss Statement'!J32/AVERAGE('Balance sheet'!I40:J40)</f>
        <v>0.24036200144250838</v>
      </c>
      <c r="K27" s="215">
        <f>'Profit &amp; Loss Statement'!K32/AVERAGE('Balance sheet'!J40:K40)</f>
        <v>0.23725183477391804</v>
      </c>
      <c r="L27" s="215">
        <f>'Profit &amp; Loss Statement'!L32/AVERAGE('Balance sheet'!K40:L40)</f>
        <v>0.22902301415802903</v>
      </c>
      <c r="M27" s="215">
        <f>'Profit &amp; Loss Statement'!M32/AVERAGE('Balance sheet'!L40:M40)</f>
        <v>0.22021711328289698</v>
      </c>
      <c r="N27" s="215">
        <f>'Profit &amp; Loss Statement'!N32/AVERAGE('Balance sheet'!M40:N40)</f>
        <v>0.20865649428419439</v>
      </c>
      <c r="O27" s="215">
        <f>'Profit &amp; Loss Statement'!O32/AVERAGE('Balance sheet'!N40:O40)</f>
        <v>0.19806886559572526</v>
      </c>
      <c r="P27" s="215">
        <f>'Profit &amp; Loss Statement'!P32/AVERAGE('Balance sheet'!O40:P40)</f>
        <v>0.18658645761023046</v>
      </c>
      <c r="Q27" s="215">
        <f>'Profit &amp; Loss Statement'!Q32/AVERAGE('Balance sheet'!P40:Q40)</f>
        <v>0.17609522491795057</v>
      </c>
      <c r="S27" s="441" t="s">
        <v>519</v>
      </c>
      <c r="T27" s="442"/>
      <c r="U27" s="442"/>
      <c r="V27" s="442"/>
      <c r="W27" s="442"/>
      <c r="X27" s="442"/>
      <c r="Y27" s="442"/>
      <c r="Z27" s="442"/>
      <c r="AA27" s="442"/>
      <c r="AB27" s="442"/>
      <c r="AC27" s="442"/>
      <c r="AD27" s="442"/>
      <c r="AE27" s="442"/>
      <c r="AF27" s="442"/>
      <c r="AG27" s="442"/>
      <c r="AH27" s="442"/>
      <c r="AI27" s="442"/>
      <c r="AJ27" s="443"/>
    </row>
    <row r="28" spans="2:36" ht="15" customHeight="1" x14ac:dyDescent="0.25">
      <c r="B28" s="207"/>
      <c r="C28" s="214"/>
      <c r="D28" s="214"/>
      <c r="E28" s="214"/>
      <c r="F28" s="214"/>
      <c r="G28" s="214"/>
      <c r="H28" s="214"/>
      <c r="I28" s="214"/>
      <c r="J28" s="214"/>
      <c r="K28" s="214"/>
      <c r="L28" s="214"/>
      <c r="M28" s="214"/>
      <c r="N28" s="214"/>
      <c r="O28" s="214"/>
      <c r="P28" s="214"/>
      <c r="Q28" s="214"/>
      <c r="S28" s="441"/>
      <c r="T28" s="442"/>
      <c r="U28" s="442"/>
      <c r="V28" s="442"/>
      <c r="W28" s="442"/>
      <c r="X28" s="442"/>
      <c r="Y28" s="442"/>
      <c r="Z28" s="442"/>
      <c r="AA28" s="442"/>
      <c r="AB28" s="442"/>
      <c r="AC28" s="442"/>
      <c r="AD28" s="442"/>
      <c r="AE28" s="442"/>
      <c r="AF28" s="442"/>
      <c r="AG28" s="442"/>
      <c r="AH28" s="442"/>
      <c r="AI28" s="442"/>
      <c r="AJ28" s="443"/>
    </row>
    <row r="29" spans="2:36" ht="41.25" customHeight="1" x14ac:dyDescent="0.25">
      <c r="B29" s="207"/>
      <c r="C29" s="214"/>
      <c r="D29" s="214"/>
      <c r="E29" s="214"/>
      <c r="F29" s="214"/>
      <c r="G29" s="214"/>
      <c r="H29" s="214"/>
      <c r="I29" s="214"/>
      <c r="J29" s="214"/>
      <c r="K29" s="214"/>
      <c r="L29" s="214"/>
      <c r="M29" s="214"/>
      <c r="N29" s="214"/>
      <c r="O29" s="214"/>
      <c r="P29" s="214"/>
      <c r="Q29" s="214"/>
      <c r="S29" s="441"/>
      <c r="T29" s="442"/>
      <c r="U29" s="442"/>
      <c r="V29" s="442"/>
      <c r="W29" s="442"/>
      <c r="X29" s="442"/>
      <c r="Y29" s="442"/>
      <c r="Z29" s="442"/>
      <c r="AA29" s="442"/>
      <c r="AB29" s="442"/>
      <c r="AC29" s="442"/>
      <c r="AD29" s="442"/>
      <c r="AE29" s="442"/>
      <c r="AF29" s="442"/>
      <c r="AG29" s="442"/>
      <c r="AH29" s="442"/>
      <c r="AI29" s="442"/>
      <c r="AJ29" s="443"/>
    </row>
    <row r="30" spans="2:36" ht="15" customHeight="1" x14ac:dyDescent="0.25">
      <c r="B30" s="208" t="s">
        <v>482</v>
      </c>
      <c r="C30" s="215"/>
      <c r="D30" s="215">
        <f>'Profit &amp; Loss Statement'!D32/AVERAGE('Balance sheet'!C34:D34)</f>
        <v>0.17704302966350099</v>
      </c>
      <c r="E30" s="215">
        <f>'Profit &amp; Loss Statement'!E32/AVERAGE('Balance sheet'!D34:E34)</f>
        <v>0.16703063083909409</v>
      </c>
      <c r="F30" s="215">
        <f>'Profit &amp; Loss Statement'!F32/AVERAGE('Balance sheet'!E34:F34)</f>
        <v>0.1277522617278109</v>
      </c>
      <c r="G30" s="215">
        <f>'Profit &amp; Loss Statement'!G32/AVERAGE('Balance sheet'!F34:G34)</f>
        <v>6.5869427575198189E-2</v>
      </c>
      <c r="H30" s="215">
        <f>'Profit &amp; Loss Statement'!H32/AVERAGE('Balance sheet'!G34:H34)</f>
        <v>0.11522248257039033</v>
      </c>
      <c r="I30" s="215">
        <f>'Profit &amp; Loss Statement'!I32/AVERAGE('Balance sheet'!H34:I34)</f>
        <v>0.1344534396940473</v>
      </c>
      <c r="J30" s="215">
        <f>'Profit &amp; Loss Statement'!J32/AVERAGE('Balance sheet'!I34:J34)</f>
        <v>0.13405947348011987</v>
      </c>
      <c r="K30" s="215">
        <f>'Profit &amp; Loss Statement'!K32/AVERAGE('Balance sheet'!J34:K34)</f>
        <v>0.13294850247017531</v>
      </c>
      <c r="L30" s="215">
        <f>'Profit &amp; Loss Statement'!L32/AVERAGE('Balance sheet'!K34:L34)</f>
        <v>0.12975546467186755</v>
      </c>
      <c r="M30" s="215">
        <f>'Profit &amp; Loss Statement'!M32/AVERAGE('Balance sheet'!L34:M34)</f>
        <v>0.12669821299345407</v>
      </c>
      <c r="N30" s="215">
        <f>'Profit &amp; Loss Statement'!N32/AVERAGE('Balance sheet'!M34:N34)</f>
        <v>0.12225122685429109</v>
      </c>
      <c r="O30" s="215">
        <f>'Profit &amp; Loss Statement'!O32/AVERAGE('Balance sheet'!N34:O34)</f>
        <v>0.11837925583914324</v>
      </c>
      <c r="P30" s="215">
        <f>'Profit &amp; Loss Statement'!P32/AVERAGE('Balance sheet'!O34:P34)</f>
        <v>0.11385924419244742</v>
      </c>
      <c r="Q30" s="215">
        <f>'Profit &amp; Loss Statement'!Q32/AVERAGE('Balance sheet'!P34:Q34)</f>
        <v>0.10974423805508805</v>
      </c>
      <c r="S30" s="441" t="s">
        <v>520</v>
      </c>
      <c r="T30" s="442"/>
      <c r="U30" s="442"/>
      <c r="V30" s="442"/>
      <c r="W30" s="442"/>
      <c r="X30" s="442"/>
      <c r="Y30" s="442"/>
      <c r="Z30" s="442"/>
      <c r="AA30" s="442"/>
      <c r="AB30" s="442"/>
      <c r="AC30" s="442"/>
      <c r="AD30" s="442"/>
      <c r="AE30" s="442"/>
      <c r="AF30" s="442"/>
      <c r="AG30" s="442"/>
      <c r="AH30" s="442"/>
      <c r="AI30" s="442"/>
      <c r="AJ30" s="443"/>
    </row>
    <row r="31" spans="2:36" ht="15" customHeight="1" x14ac:dyDescent="0.25">
      <c r="B31" s="207"/>
      <c r="C31" s="214"/>
      <c r="D31" s="214"/>
      <c r="E31" s="214"/>
      <c r="F31" s="214"/>
      <c r="G31" s="214"/>
      <c r="H31" s="214"/>
      <c r="I31" s="214"/>
      <c r="J31" s="214"/>
      <c r="K31" s="214"/>
      <c r="L31" s="214"/>
      <c r="M31" s="214"/>
      <c r="N31" s="214"/>
      <c r="O31" s="214"/>
      <c r="P31" s="214"/>
      <c r="Q31" s="214"/>
      <c r="S31" s="441"/>
      <c r="T31" s="442"/>
      <c r="U31" s="442"/>
      <c r="V31" s="442"/>
      <c r="W31" s="442"/>
      <c r="X31" s="442"/>
      <c r="Y31" s="442"/>
      <c r="Z31" s="442"/>
      <c r="AA31" s="442"/>
      <c r="AB31" s="442"/>
      <c r="AC31" s="442"/>
      <c r="AD31" s="442"/>
      <c r="AE31" s="442"/>
      <c r="AF31" s="442"/>
      <c r="AG31" s="442"/>
      <c r="AH31" s="442"/>
      <c r="AI31" s="442"/>
      <c r="AJ31" s="443"/>
    </row>
    <row r="32" spans="2:36" ht="31.5" customHeight="1" x14ac:dyDescent="0.25">
      <c r="B32" s="207"/>
      <c r="C32" s="214"/>
      <c r="D32" s="214"/>
      <c r="E32" s="214"/>
      <c r="F32" s="214"/>
      <c r="G32" s="214"/>
      <c r="H32" s="214"/>
      <c r="I32" s="214"/>
      <c r="J32" s="214"/>
      <c r="K32" s="214"/>
      <c r="L32" s="214"/>
      <c r="M32" s="214"/>
      <c r="N32" s="214"/>
      <c r="O32" s="214"/>
      <c r="P32" s="214"/>
      <c r="Q32" s="214"/>
      <c r="S32" s="441"/>
      <c r="T32" s="442"/>
      <c r="U32" s="442"/>
      <c r="V32" s="442"/>
      <c r="W32" s="442"/>
      <c r="X32" s="442"/>
      <c r="Y32" s="442"/>
      <c r="Z32" s="442"/>
      <c r="AA32" s="442"/>
      <c r="AB32" s="442"/>
      <c r="AC32" s="442"/>
      <c r="AD32" s="442"/>
      <c r="AE32" s="442"/>
      <c r="AF32" s="442"/>
      <c r="AG32" s="442"/>
      <c r="AH32" s="442"/>
      <c r="AI32" s="442"/>
      <c r="AJ32" s="443"/>
    </row>
    <row r="33" spans="2:36" ht="15" customHeight="1" x14ac:dyDescent="0.25">
      <c r="B33" s="207"/>
      <c r="C33" s="214"/>
      <c r="D33" s="214"/>
      <c r="E33" s="214"/>
      <c r="F33" s="214"/>
      <c r="G33" s="214"/>
      <c r="H33" s="214"/>
      <c r="I33" s="214"/>
      <c r="J33" s="214"/>
      <c r="K33" s="214"/>
      <c r="L33" s="214"/>
      <c r="M33" s="214"/>
      <c r="N33" s="214"/>
      <c r="O33" s="214"/>
      <c r="P33" s="214"/>
      <c r="Q33" s="214"/>
      <c r="S33" s="285"/>
      <c r="T33" s="285"/>
      <c r="U33" s="285"/>
      <c r="V33" s="285"/>
      <c r="W33" s="285"/>
      <c r="X33" s="285"/>
      <c r="Y33" s="285"/>
      <c r="Z33" s="285"/>
      <c r="AA33" s="285"/>
      <c r="AB33" s="285"/>
      <c r="AC33" s="285"/>
      <c r="AD33" s="285"/>
      <c r="AE33" s="285"/>
      <c r="AF33" s="285"/>
      <c r="AG33" s="285"/>
      <c r="AH33" s="285"/>
      <c r="AI33" s="285"/>
      <c r="AJ33" s="285"/>
    </row>
    <row r="34" spans="2:36" ht="15" customHeight="1" x14ac:dyDescent="0.25">
      <c r="B34" s="440" t="s">
        <v>374</v>
      </c>
      <c r="C34" s="440"/>
      <c r="D34" s="440"/>
      <c r="E34" s="440"/>
      <c r="F34" s="440"/>
      <c r="G34" s="440"/>
      <c r="H34" s="440"/>
      <c r="I34" s="440"/>
      <c r="J34" s="440"/>
      <c r="K34" s="440"/>
      <c r="L34" s="440"/>
      <c r="M34" s="440"/>
      <c r="N34" s="440"/>
      <c r="O34" s="440"/>
      <c r="P34" s="440"/>
      <c r="Q34" s="440"/>
      <c r="S34" s="222"/>
      <c r="T34" s="222"/>
      <c r="U34" s="222"/>
      <c r="V34" s="222"/>
      <c r="W34" s="222"/>
      <c r="X34" s="222"/>
      <c r="Y34" s="222"/>
      <c r="Z34" s="222"/>
      <c r="AA34" s="222"/>
      <c r="AB34" s="222"/>
      <c r="AC34" s="222"/>
      <c r="AD34" s="222"/>
      <c r="AE34" s="222"/>
      <c r="AF34" s="222"/>
      <c r="AG34" s="222"/>
      <c r="AH34" s="222"/>
      <c r="AI34" s="222"/>
      <c r="AJ34" s="222"/>
    </row>
    <row r="36" spans="2:36" ht="15" customHeight="1" x14ac:dyDescent="0.25">
      <c r="B36" s="208" t="s">
        <v>375</v>
      </c>
      <c r="C36" s="212">
        <f>'Balance sheet'!C32/'Balance sheet'!C64</f>
        <v>2.6705764195272428</v>
      </c>
      <c r="D36" s="212">
        <f>'Balance sheet'!D32/'Balance sheet'!D64</f>
        <v>2.5268793765837443</v>
      </c>
      <c r="E36" s="212">
        <f>'Balance sheet'!E32/'Balance sheet'!E64</f>
        <v>1.8615197779319916</v>
      </c>
      <c r="F36" s="212">
        <f>'Balance sheet'!F32/'Balance sheet'!F64</f>
        <v>3.1355074253060073</v>
      </c>
      <c r="G36" s="212">
        <f>'Balance sheet'!G32/'Balance sheet'!G64</f>
        <v>1.6565526947595</v>
      </c>
      <c r="H36" s="212">
        <f>'Balance sheet'!H32/'Balance sheet'!H64</f>
        <v>1.8072090477363705</v>
      </c>
      <c r="I36" s="212">
        <f>'Balance sheet'!I32/'Balance sheet'!I64</f>
        <v>1.9483828770315887</v>
      </c>
      <c r="J36" s="212">
        <f>'Balance sheet'!J32/'Balance sheet'!J64</f>
        <v>2.0831405429488705</v>
      </c>
      <c r="K36" s="212">
        <f>'Balance sheet'!K32/'Balance sheet'!K64</f>
        <v>2.2161747082240137</v>
      </c>
      <c r="L36" s="212">
        <f>'Balance sheet'!L32/'Balance sheet'!L64</f>
        <v>2.3484793443438883</v>
      </c>
      <c r="M36" s="212">
        <f>'Balance sheet'!M32/'Balance sheet'!M64</f>
        <v>2.4831741096940552</v>
      </c>
      <c r="N36" s="212">
        <f>'Balance sheet'!N32/'Balance sheet'!N64</f>
        <v>2.6199646324495474</v>
      </c>
      <c r="O36" s="212">
        <f>'Balance sheet'!O32/'Balance sheet'!O64</f>
        <v>2.761176700853532</v>
      </c>
      <c r="P36" s="212">
        <f>'Balance sheet'!P32/'Balance sheet'!P64</f>
        <v>2.9065989069056815</v>
      </c>
      <c r="Q36" s="212">
        <f>'Balance sheet'!Q32/'Balance sheet'!Q64</f>
        <v>3.0573127230945896</v>
      </c>
      <c r="S36" s="441" t="s">
        <v>521</v>
      </c>
      <c r="T36" s="442"/>
      <c r="U36" s="442"/>
      <c r="V36" s="442"/>
      <c r="W36" s="442"/>
      <c r="X36" s="442"/>
      <c r="Y36" s="442"/>
      <c r="Z36" s="442"/>
      <c r="AA36" s="442"/>
      <c r="AB36" s="442"/>
      <c r="AC36" s="442"/>
      <c r="AD36" s="442"/>
      <c r="AE36" s="442"/>
      <c r="AF36" s="442"/>
      <c r="AG36" s="442"/>
      <c r="AH36" s="442"/>
      <c r="AI36" s="442"/>
      <c r="AJ36" s="443"/>
    </row>
    <row r="37" spans="2:36" ht="15" customHeight="1" x14ac:dyDescent="0.25">
      <c r="B37" s="217"/>
      <c r="C37" s="219"/>
      <c r="D37" s="219"/>
      <c r="E37" s="219"/>
      <c r="F37" s="219"/>
      <c r="G37" s="219"/>
      <c r="H37" s="219"/>
      <c r="I37" s="219"/>
      <c r="J37" s="219"/>
      <c r="K37" s="219"/>
      <c r="L37" s="219"/>
      <c r="M37" s="219"/>
      <c r="N37" s="219"/>
      <c r="O37" s="219"/>
      <c r="P37" s="219"/>
      <c r="Q37" s="219"/>
      <c r="S37" s="441"/>
      <c r="T37" s="442"/>
      <c r="U37" s="442"/>
      <c r="V37" s="442"/>
      <c r="W37" s="442"/>
      <c r="X37" s="442"/>
      <c r="Y37" s="442"/>
      <c r="Z37" s="442"/>
      <c r="AA37" s="442"/>
      <c r="AB37" s="442"/>
      <c r="AC37" s="442"/>
      <c r="AD37" s="442"/>
      <c r="AE37" s="442"/>
      <c r="AF37" s="442"/>
      <c r="AG37" s="442"/>
      <c r="AH37" s="442"/>
      <c r="AI37" s="442"/>
      <c r="AJ37" s="443"/>
    </row>
    <row r="38" spans="2:36" ht="33" customHeight="1" x14ac:dyDescent="0.25">
      <c r="B38" s="211"/>
      <c r="C38" s="213"/>
      <c r="D38" s="213"/>
      <c r="E38" s="213"/>
      <c r="F38" s="213"/>
      <c r="G38" s="213"/>
      <c r="H38" s="213"/>
      <c r="I38" s="213"/>
      <c r="J38" s="213"/>
      <c r="K38" s="213"/>
      <c r="L38" s="213"/>
      <c r="M38" s="213"/>
      <c r="N38" s="213"/>
      <c r="O38" s="213"/>
      <c r="P38" s="213"/>
      <c r="Q38" s="213"/>
      <c r="S38" s="441"/>
      <c r="T38" s="442"/>
      <c r="U38" s="442"/>
      <c r="V38" s="442"/>
      <c r="W38" s="442"/>
      <c r="X38" s="442"/>
      <c r="Y38" s="442"/>
      <c r="Z38" s="442"/>
      <c r="AA38" s="442"/>
      <c r="AB38" s="442"/>
      <c r="AC38" s="442"/>
      <c r="AD38" s="442"/>
      <c r="AE38" s="442"/>
      <c r="AF38" s="442"/>
      <c r="AG38" s="442"/>
      <c r="AH38" s="442"/>
      <c r="AI38" s="442"/>
      <c r="AJ38" s="443"/>
    </row>
    <row r="39" spans="2:36" x14ac:dyDescent="0.25">
      <c r="B39" s="208" t="s">
        <v>479</v>
      </c>
      <c r="C39" s="212">
        <f>SUM('Balance sheet'!C25,'Balance sheet'!C26,'Balance sheet'!C24,'Balance sheet'!C27,'Balance sheet'!C29+'Balance sheet'!C30)/'Balance sheet'!C64</f>
        <v>2.6700742494350584</v>
      </c>
      <c r="D39" s="212">
        <f>SUM('Balance sheet'!D25,'Balance sheet'!D26,'Balance sheet'!D24,'Balance sheet'!D27,'Balance sheet'!D29+'Balance sheet'!D30)/'Balance sheet'!D64</f>
        <v>2.5267703877278547</v>
      </c>
      <c r="E39" s="212">
        <f>SUM('Balance sheet'!E25,'Balance sheet'!E26,'Balance sheet'!E24,'Balance sheet'!E27,'Balance sheet'!E29+'Balance sheet'!E30)/'Balance sheet'!E64</f>
        <v>1.860409437890354</v>
      </c>
      <c r="F39" s="212">
        <f>SUM('Balance sheet'!F25,'Balance sheet'!F26,'Balance sheet'!F24,'Balance sheet'!F27,'Balance sheet'!F29+'Balance sheet'!F30)/'Balance sheet'!F64</f>
        <v>3.1348548449680766</v>
      </c>
      <c r="G39" s="212">
        <f>SUM('Balance sheet'!G25,'Balance sheet'!G26,'Balance sheet'!G24,'Balance sheet'!G27,'Balance sheet'!G29+'Balance sheet'!G30)/'Balance sheet'!G64</f>
        <v>1.6564533487871513</v>
      </c>
      <c r="H39" s="212">
        <f>SUM('Balance sheet'!H25,'Balance sheet'!H26,'Balance sheet'!H24,'Balance sheet'!H27,'Balance sheet'!H29+'Balance sheet'!H30)/'Balance sheet'!H64</f>
        <v>1.8067414309642496</v>
      </c>
      <c r="I39" s="212">
        <f>SUM('Balance sheet'!I25,'Balance sheet'!I26,'Balance sheet'!I24,'Balance sheet'!I27,'Balance sheet'!I29+'Balance sheet'!I30)/'Balance sheet'!I64</f>
        <v>1.9479152602594683</v>
      </c>
      <c r="J39" s="212">
        <f>SUM('Balance sheet'!J25,'Balance sheet'!J26,'Balance sheet'!J24,'Balance sheet'!J27,'Balance sheet'!J29+'Balance sheet'!J30)/'Balance sheet'!J64</f>
        <v>2.0826729261767496</v>
      </c>
      <c r="K39" s="212">
        <f>SUM('Balance sheet'!K25,'Balance sheet'!K26,'Balance sheet'!K24,'Balance sheet'!K27,'Balance sheet'!K29+'Balance sheet'!K30)/'Balance sheet'!K64</f>
        <v>2.2157070914518928</v>
      </c>
      <c r="L39" s="212">
        <f>SUM('Balance sheet'!L25,'Balance sheet'!L26,'Balance sheet'!L24,'Balance sheet'!L27,'Balance sheet'!L29+'Balance sheet'!L30)/'Balance sheet'!L64</f>
        <v>2.3480117275717678</v>
      </c>
      <c r="M39" s="212">
        <f>SUM('Balance sheet'!M25,'Balance sheet'!M26,'Balance sheet'!M24,'Balance sheet'!M27,'Balance sheet'!M29+'Balance sheet'!M30)/'Balance sheet'!M64</f>
        <v>2.4827064929219347</v>
      </c>
      <c r="N39" s="212">
        <f>SUM('Balance sheet'!N25,'Balance sheet'!N26,'Balance sheet'!N24,'Balance sheet'!N27,'Balance sheet'!N29+'Balance sheet'!N30)/'Balance sheet'!N64</f>
        <v>2.6194970156774264</v>
      </c>
      <c r="O39" s="212">
        <f>SUM('Balance sheet'!O25,'Balance sheet'!O26,'Balance sheet'!O24,'Balance sheet'!O27,'Balance sheet'!O29+'Balance sheet'!O30)/'Balance sheet'!O64</f>
        <v>2.7607090840814115</v>
      </c>
      <c r="P39" s="212">
        <f>SUM('Balance sheet'!P25,'Balance sheet'!P26,'Balance sheet'!P24,'Balance sheet'!P27,'Balance sheet'!P29+'Balance sheet'!P30)/'Balance sheet'!P64</f>
        <v>2.9061312901335605</v>
      </c>
      <c r="Q39" s="212">
        <f>SUM('Balance sheet'!Q25,'Balance sheet'!Q26,'Balance sheet'!Q24,'Balance sheet'!Q27,'Balance sheet'!Q29+'Balance sheet'!Q30)/'Balance sheet'!Q64</f>
        <v>3.0568451063224691</v>
      </c>
      <c r="S39" s="441" t="s">
        <v>522</v>
      </c>
      <c r="T39" s="442"/>
      <c r="U39" s="442"/>
      <c r="V39" s="442"/>
      <c r="W39" s="442"/>
      <c r="X39" s="442"/>
      <c r="Y39" s="442"/>
      <c r="Z39" s="442"/>
      <c r="AA39" s="442"/>
      <c r="AB39" s="442"/>
      <c r="AC39" s="442"/>
      <c r="AD39" s="442"/>
      <c r="AE39" s="442"/>
      <c r="AF39" s="442"/>
      <c r="AG39" s="442"/>
      <c r="AH39" s="442"/>
      <c r="AI39" s="442"/>
      <c r="AJ39" s="443"/>
    </row>
    <row r="40" spans="2:36" x14ac:dyDescent="0.25">
      <c r="B40" s="217"/>
      <c r="C40" s="219"/>
      <c r="D40" s="219"/>
      <c r="E40" s="219"/>
      <c r="F40" s="219"/>
      <c r="G40" s="219"/>
      <c r="H40" s="219"/>
      <c r="I40" s="219"/>
      <c r="J40" s="219"/>
      <c r="K40" s="219"/>
      <c r="L40" s="219"/>
      <c r="M40" s="219"/>
      <c r="N40" s="219"/>
      <c r="O40" s="219"/>
      <c r="P40" s="219"/>
      <c r="Q40" s="219"/>
      <c r="S40" s="441"/>
      <c r="T40" s="442"/>
      <c r="U40" s="442"/>
      <c r="V40" s="442"/>
      <c r="W40" s="442"/>
      <c r="X40" s="442"/>
      <c r="Y40" s="442"/>
      <c r="Z40" s="442"/>
      <c r="AA40" s="442"/>
      <c r="AB40" s="442"/>
      <c r="AC40" s="442"/>
      <c r="AD40" s="442"/>
      <c r="AE40" s="442"/>
      <c r="AF40" s="442"/>
      <c r="AG40" s="442"/>
      <c r="AH40" s="442"/>
      <c r="AI40" s="442"/>
      <c r="AJ40" s="443"/>
    </row>
    <row r="41" spans="2:36" ht="27" customHeight="1" x14ac:dyDescent="0.25">
      <c r="B41" s="217"/>
      <c r="C41" s="219"/>
      <c r="D41" s="219"/>
      <c r="E41" s="219"/>
      <c r="F41" s="219"/>
      <c r="G41" s="219"/>
      <c r="H41" s="219"/>
      <c r="I41" s="219"/>
      <c r="J41" s="219"/>
      <c r="K41" s="219"/>
      <c r="L41" s="219"/>
      <c r="M41" s="219"/>
      <c r="N41" s="219"/>
      <c r="O41" s="219"/>
      <c r="P41" s="219"/>
      <c r="Q41" s="219"/>
      <c r="S41" s="441"/>
      <c r="T41" s="442"/>
      <c r="U41" s="442"/>
      <c r="V41" s="442"/>
      <c r="W41" s="442"/>
      <c r="X41" s="442"/>
      <c r="Y41" s="442"/>
      <c r="Z41" s="442"/>
      <c r="AA41" s="442"/>
      <c r="AB41" s="442"/>
      <c r="AC41" s="442"/>
      <c r="AD41" s="442"/>
      <c r="AE41" s="442"/>
      <c r="AF41" s="442"/>
      <c r="AG41" s="442"/>
      <c r="AH41" s="442"/>
      <c r="AI41" s="442"/>
      <c r="AJ41" s="443"/>
    </row>
    <row r="42" spans="2:36" x14ac:dyDescent="0.25">
      <c r="B42" s="208" t="s">
        <v>480</v>
      </c>
      <c r="C42" s="212">
        <f>('Balance sheet'!C26+'Balance sheet'!C27)/'Balance sheet'!C64</f>
        <v>0.52075038559489217</v>
      </c>
      <c r="D42" s="212">
        <f>('Balance sheet'!D26+'Balance sheet'!D27)/'Balance sheet'!D64</f>
        <v>0.45775319473583825</v>
      </c>
      <c r="E42" s="212">
        <f>('Balance sheet'!E26+'Balance sheet'!E27)/'Balance sheet'!E64</f>
        <v>1.2002602359472589</v>
      </c>
      <c r="F42" s="212">
        <f>('Balance sheet'!F26+'Balance sheet'!F27)/'Balance sheet'!F64</f>
        <v>2.3572789163638928</v>
      </c>
      <c r="G42" s="212">
        <f>('Balance sheet'!G26+'Balance sheet'!G27)/'Balance sheet'!G64</f>
        <v>0.87609073598807852</v>
      </c>
      <c r="H42" s="212">
        <f>('Balance sheet'!H26+'Balance sheet'!H27)/'Balance sheet'!H64</f>
        <v>0.2349498961791516</v>
      </c>
      <c r="I42" s="212">
        <f>('Balance sheet'!I26+'Balance sheet'!I27)/'Balance sheet'!I64</f>
        <v>0.3761237254743704</v>
      </c>
      <c r="J42" s="212">
        <f>('Balance sheet'!J26+'Balance sheet'!J27)/'Balance sheet'!J64</f>
        <v>0.5108813913916519</v>
      </c>
      <c r="K42" s="212">
        <f>('Balance sheet'!K26+'Balance sheet'!K27)/'Balance sheet'!K64</f>
        <v>0.64391555666679545</v>
      </c>
      <c r="L42" s="212">
        <f>('Balance sheet'!L26+'Balance sheet'!L27)/'Balance sheet'!L64</f>
        <v>0.77622019278666965</v>
      </c>
      <c r="M42" s="212">
        <f>('Balance sheet'!M26+'Balance sheet'!M27)/'Balance sheet'!M64</f>
        <v>0.91091495813683654</v>
      </c>
      <c r="N42" s="212">
        <f>('Balance sheet'!N26+'Balance sheet'!N27)/'Balance sheet'!N64</f>
        <v>1.0477054808923285</v>
      </c>
      <c r="O42" s="212">
        <f>('Balance sheet'!O26+'Balance sheet'!O27)/'Balance sheet'!O64</f>
        <v>1.1889175492963135</v>
      </c>
      <c r="P42" s="212">
        <f>('Balance sheet'!P26+'Balance sheet'!P27)/'Balance sheet'!P64</f>
        <v>1.3343397553484628</v>
      </c>
      <c r="Q42" s="212">
        <f>('Balance sheet'!Q26+'Balance sheet'!Q27)/'Balance sheet'!Q64</f>
        <v>1.4850535715373709</v>
      </c>
      <c r="S42" s="441" t="s">
        <v>523</v>
      </c>
      <c r="T42" s="442"/>
      <c r="U42" s="442"/>
      <c r="V42" s="442"/>
      <c r="W42" s="442"/>
      <c r="X42" s="442"/>
      <c r="Y42" s="442"/>
      <c r="Z42" s="442"/>
      <c r="AA42" s="442"/>
      <c r="AB42" s="442"/>
      <c r="AC42" s="442"/>
      <c r="AD42" s="442"/>
      <c r="AE42" s="442"/>
      <c r="AF42" s="442"/>
      <c r="AG42" s="442"/>
      <c r="AH42" s="442"/>
      <c r="AI42" s="442"/>
      <c r="AJ42" s="443"/>
    </row>
    <row r="43" spans="2:36" x14ac:dyDescent="0.25">
      <c r="B43" s="211"/>
      <c r="C43" s="213"/>
      <c r="D43" s="213"/>
      <c r="E43" s="213"/>
      <c r="F43" s="213"/>
      <c r="G43" s="213"/>
      <c r="H43" s="213"/>
      <c r="I43" s="213"/>
      <c r="J43" s="213"/>
      <c r="K43" s="213"/>
      <c r="L43" s="213"/>
      <c r="M43" s="213"/>
      <c r="N43" s="213"/>
      <c r="O43" s="213"/>
      <c r="P43" s="213"/>
      <c r="Q43" s="213"/>
      <c r="S43" s="441"/>
      <c r="T43" s="442"/>
      <c r="U43" s="442"/>
      <c r="V43" s="442"/>
      <c r="W43" s="442"/>
      <c r="X43" s="442"/>
      <c r="Y43" s="442"/>
      <c r="Z43" s="442"/>
      <c r="AA43" s="442"/>
      <c r="AB43" s="442"/>
      <c r="AC43" s="442"/>
      <c r="AD43" s="442"/>
      <c r="AE43" s="442"/>
      <c r="AF43" s="442"/>
      <c r="AG43" s="442"/>
      <c r="AH43" s="442"/>
      <c r="AI43" s="442"/>
      <c r="AJ43" s="443"/>
    </row>
    <row r="44" spans="2:36" ht="30" customHeight="1" x14ac:dyDescent="0.25">
      <c r="B44" s="211"/>
      <c r="C44" s="213"/>
      <c r="D44" s="213"/>
      <c r="E44" s="213"/>
      <c r="F44" s="213"/>
      <c r="G44" s="213"/>
      <c r="H44" s="213"/>
      <c r="I44" s="213"/>
      <c r="J44" s="213"/>
      <c r="K44" s="213"/>
      <c r="L44" s="213"/>
      <c r="M44" s="213"/>
      <c r="N44" s="213"/>
      <c r="O44" s="213"/>
      <c r="P44" s="213"/>
      <c r="Q44" s="213"/>
      <c r="S44" s="441"/>
      <c r="T44" s="442"/>
      <c r="U44" s="442"/>
      <c r="V44" s="442"/>
      <c r="W44" s="442"/>
      <c r="X44" s="442"/>
      <c r="Y44" s="442"/>
      <c r="Z44" s="442"/>
      <c r="AA44" s="442"/>
      <c r="AB44" s="442"/>
      <c r="AC44" s="442"/>
      <c r="AD44" s="442"/>
      <c r="AE44" s="442"/>
      <c r="AF44" s="442"/>
      <c r="AG44" s="442"/>
      <c r="AH44" s="442"/>
      <c r="AI44" s="442"/>
      <c r="AJ44" s="443"/>
    </row>
    <row r="45" spans="2:36" ht="15.75" customHeight="1" x14ac:dyDescent="0.25"/>
    <row r="46" spans="2:36" ht="15" customHeight="1" x14ac:dyDescent="0.25">
      <c r="B46" s="440" t="s">
        <v>376</v>
      </c>
      <c r="C46" s="440"/>
      <c r="D46" s="440"/>
      <c r="E46" s="440"/>
      <c r="F46" s="440"/>
      <c r="G46" s="440"/>
      <c r="H46" s="440"/>
      <c r="I46" s="440"/>
      <c r="J46" s="440"/>
      <c r="K46" s="440"/>
      <c r="L46" s="440"/>
      <c r="M46" s="440"/>
      <c r="N46" s="440"/>
      <c r="O46" s="440"/>
      <c r="P46" s="440"/>
      <c r="Q46" s="440"/>
      <c r="S46" s="222"/>
      <c r="T46" s="222"/>
      <c r="U46" s="222"/>
      <c r="V46" s="222"/>
      <c r="W46" s="222"/>
      <c r="X46" s="222"/>
      <c r="Y46" s="222"/>
      <c r="Z46" s="222"/>
      <c r="AA46" s="222"/>
      <c r="AB46" s="222"/>
      <c r="AC46" s="222"/>
      <c r="AD46" s="222"/>
      <c r="AE46" s="222"/>
      <c r="AF46" s="222"/>
      <c r="AG46" s="222"/>
      <c r="AH46" s="222"/>
      <c r="AI46" s="222"/>
      <c r="AJ46" s="222"/>
    </row>
    <row r="49" spans="2:36" x14ac:dyDescent="0.25">
      <c r="B49" s="15" t="s">
        <v>377</v>
      </c>
      <c r="C49" s="94">
        <f>'Balance sheet'!C34/'Balance sheet'!C40</f>
        <v>1.6885840400007326</v>
      </c>
      <c r="D49" s="94">
        <f>'Balance sheet'!D34/'Balance sheet'!D40</f>
        <v>1.6897116251126465</v>
      </c>
      <c r="E49" s="94">
        <f>'Balance sheet'!E34/'Balance sheet'!E40</f>
        <v>1.9561169261581746</v>
      </c>
      <c r="F49" s="94">
        <f>'Balance sheet'!F34/'Balance sheet'!F40</f>
        <v>1.5185307787926283</v>
      </c>
      <c r="G49" s="94">
        <f>'Balance sheet'!G34/'Balance sheet'!G40</f>
        <v>2.1333053893736742</v>
      </c>
      <c r="H49" s="94">
        <f>'Balance sheet'!H34/'Balance sheet'!H40</f>
        <v>1.7769695320198107</v>
      </c>
      <c r="I49" s="94">
        <f>'Balance sheet'!I34/'Balance sheet'!I40</f>
        <v>1.793481667770122</v>
      </c>
      <c r="J49" s="94">
        <f>'Balance sheet'!J34/'Balance sheet'!J40</f>
        <v>1.7924953420067873</v>
      </c>
      <c r="K49" s="94">
        <f>'Balance sheet'!K34/'Balance sheet'!K40</f>
        <v>1.7777078787955196</v>
      </c>
      <c r="L49" s="94">
        <f>'Balance sheet'!L34/'Balance sheet'!L40</f>
        <v>1.7540965625089122</v>
      </c>
      <c r="M49" s="94">
        <f>'Balance sheet'!M34/'Balance sheet'!M40</f>
        <v>1.7242562679444347</v>
      </c>
      <c r="N49" s="94">
        <f>'Balance sheet'!N34/'Balance sheet'!N40</f>
        <v>1.6915031629492097</v>
      </c>
      <c r="O49" s="94">
        <f>'Balance sheet'!O34/'Balance sheet'!O40</f>
        <v>1.6570295800049641</v>
      </c>
      <c r="P49" s="94">
        <f>'Balance sheet'!P34/'Balance sheet'!P40</f>
        <v>1.6225271972400321</v>
      </c>
      <c r="Q49" s="94">
        <f>'Balance sheet'!Q34/'Balance sheet'!Q40</f>
        <v>1.5885818566135521</v>
      </c>
      <c r="S49" s="447" t="s">
        <v>524</v>
      </c>
      <c r="T49" s="448"/>
      <c r="U49" s="448"/>
      <c r="V49" s="448"/>
      <c r="W49" s="448"/>
      <c r="X49" s="448"/>
      <c r="Y49" s="448"/>
      <c r="Z49" s="448"/>
      <c r="AA49" s="448"/>
      <c r="AB49" s="448"/>
      <c r="AC49" s="448"/>
      <c r="AD49" s="448"/>
      <c r="AE49" s="448"/>
      <c r="AF49" s="448"/>
      <c r="AG49" s="448"/>
      <c r="AH49" s="448"/>
      <c r="AI49" s="448"/>
      <c r="AJ49" s="449"/>
    </row>
    <row r="50" spans="2:36" x14ac:dyDescent="0.25">
      <c r="B50" s="96"/>
      <c r="C50" s="213"/>
      <c r="D50" s="213"/>
      <c r="E50" s="213"/>
      <c r="F50" s="213"/>
      <c r="G50" s="213"/>
      <c r="H50" s="213"/>
      <c r="I50" s="213"/>
      <c r="J50" s="213"/>
      <c r="K50" s="213"/>
      <c r="L50" s="213"/>
      <c r="M50" s="213"/>
      <c r="N50" s="213"/>
      <c r="O50" s="213"/>
      <c r="P50" s="213"/>
      <c r="Q50" s="213"/>
      <c r="S50" s="450"/>
      <c r="T50" s="451"/>
      <c r="U50" s="451"/>
      <c r="V50" s="451"/>
      <c r="W50" s="451"/>
      <c r="X50" s="451"/>
      <c r="Y50" s="451"/>
      <c r="Z50" s="451"/>
      <c r="AA50" s="451"/>
      <c r="AB50" s="451"/>
      <c r="AC50" s="451"/>
      <c r="AD50" s="451"/>
      <c r="AE50" s="451"/>
      <c r="AF50" s="451"/>
      <c r="AG50" s="451"/>
      <c r="AH50" s="451"/>
      <c r="AI50" s="451"/>
      <c r="AJ50" s="452"/>
    </row>
    <row r="51" spans="2:36" ht="28.5" customHeight="1" x14ac:dyDescent="0.25">
      <c r="C51" s="213"/>
      <c r="D51" s="213"/>
      <c r="E51" s="213"/>
      <c r="F51" s="213"/>
      <c r="G51" s="213"/>
      <c r="H51" s="213"/>
      <c r="I51" s="213"/>
      <c r="J51" s="213"/>
      <c r="K51" s="213"/>
      <c r="L51" s="213"/>
      <c r="M51" s="213"/>
      <c r="N51" s="213"/>
      <c r="O51" s="213"/>
      <c r="P51" s="213"/>
      <c r="Q51" s="213"/>
      <c r="S51" s="453"/>
      <c r="T51" s="454"/>
      <c r="U51" s="454"/>
      <c r="V51" s="454"/>
      <c r="W51" s="454"/>
      <c r="X51" s="454"/>
      <c r="Y51" s="454"/>
      <c r="Z51" s="454"/>
      <c r="AA51" s="454"/>
      <c r="AB51" s="454"/>
      <c r="AC51" s="454"/>
      <c r="AD51" s="454"/>
      <c r="AE51" s="454"/>
      <c r="AF51" s="454"/>
      <c r="AG51" s="454"/>
      <c r="AH51" s="454"/>
      <c r="AI51" s="454"/>
      <c r="AJ51" s="455"/>
    </row>
    <row r="52" spans="2:36" x14ac:dyDescent="0.25">
      <c r="B52" s="15" t="s">
        <v>378</v>
      </c>
      <c r="C52" s="94">
        <f>'Debt Schedules'!C12/'Balance sheet'!C40</f>
        <v>0.35302844374439091</v>
      </c>
      <c r="D52" s="94">
        <f>'Debt Schedules'!D12/'Balance sheet'!D40</f>
        <v>0.37511264644037251</v>
      </c>
      <c r="E52" s="94">
        <f>'Debt Schedules'!E12/'Balance sheet'!E40</f>
        <v>0.63631053146086169</v>
      </c>
      <c r="F52" s="94">
        <f>'Debt Schedules'!F12/'Balance sheet'!F40</f>
        <v>0.34601821326271415</v>
      </c>
      <c r="G52" s="94">
        <f>'Debt Schedules'!G12/'Balance sheet'!G40</f>
        <v>0.78979156346454293</v>
      </c>
      <c r="H52" s="94">
        <f>'Debt Schedules'!H12/'Balance sheet'!H40</f>
        <v>0.49012304266613615</v>
      </c>
      <c r="I52" s="94">
        <f>'Debt Schedules'!I12/'Balance sheet'!I40</f>
        <v>0.50053912448316751</v>
      </c>
      <c r="J52" s="94">
        <f>'Debt Schedules'!J12/'Balance sheet'!J40</f>
        <v>0.49991693665692288</v>
      </c>
      <c r="K52" s="94">
        <f>'Debt Schedules'!K12/'Balance sheet'!K40</f>
        <v>0.49058880194412541</v>
      </c>
      <c r="L52" s="94">
        <f>'Debt Schedules'!L12/'Balance sheet'!L40</f>
        <v>0.47569445962717438</v>
      </c>
      <c r="M52" s="94">
        <f>'Debt Schedules'!M12/'Balance sheet'!M40</f>
        <v>0.4568707923361604</v>
      </c>
      <c r="N52" s="94">
        <f>'Debt Schedules'!N12/'Balance sheet'!N40</f>
        <v>0.4362096842547511</v>
      </c>
      <c r="O52" s="94">
        <f>'Debt Schedules'!O12/'Balance sheet'!O40</f>
        <v>0.41446327507405495</v>
      </c>
      <c r="P52" s="94">
        <f>'Debt Schedules'!P12/'Balance sheet'!P40</f>
        <v>0.39269869857126755</v>
      </c>
      <c r="Q52" s="94">
        <f>'Debt Schedules'!Q12/'Balance sheet'!Q40</f>
        <v>0.37128551189335718</v>
      </c>
      <c r="S52" s="441" t="s">
        <v>525</v>
      </c>
      <c r="T52" s="442"/>
      <c r="U52" s="442"/>
      <c r="V52" s="442"/>
      <c r="W52" s="442"/>
      <c r="X52" s="442"/>
      <c r="Y52" s="442"/>
      <c r="Z52" s="442"/>
      <c r="AA52" s="442"/>
      <c r="AB52" s="442"/>
      <c r="AC52" s="442"/>
      <c r="AD52" s="442"/>
      <c r="AE52" s="442"/>
      <c r="AF52" s="442"/>
      <c r="AG52" s="442"/>
      <c r="AH52" s="442"/>
      <c r="AI52" s="442"/>
      <c r="AJ52" s="443"/>
    </row>
    <row r="53" spans="2:36" x14ac:dyDescent="0.25">
      <c r="B53" s="96"/>
      <c r="C53" s="213"/>
      <c r="D53" s="213"/>
      <c r="E53" s="213"/>
      <c r="F53" s="213"/>
      <c r="G53" s="213"/>
      <c r="H53" s="213"/>
      <c r="I53" s="213"/>
      <c r="J53" s="213"/>
      <c r="K53" s="213"/>
      <c r="L53" s="213"/>
      <c r="M53" s="213"/>
      <c r="N53" s="213"/>
      <c r="O53" s="213"/>
      <c r="P53" s="213"/>
      <c r="Q53" s="213"/>
      <c r="S53" s="441"/>
      <c r="T53" s="442"/>
      <c r="U53" s="442"/>
      <c r="V53" s="442"/>
      <c r="W53" s="442"/>
      <c r="X53" s="442"/>
      <c r="Y53" s="442"/>
      <c r="Z53" s="442"/>
      <c r="AA53" s="442"/>
      <c r="AB53" s="442"/>
      <c r="AC53" s="442"/>
      <c r="AD53" s="442"/>
      <c r="AE53" s="442"/>
      <c r="AF53" s="442"/>
      <c r="AG53" s="442"/>
      <c r="AH53" s="442"/>
      <c r="AI53" s="442"/>
      <c r="AJ53" s="443"/>
    </row>
    <row r="54" spans="2:36" ht="31.5" customHeight="1" x14ac:dyDescent="0.25">
      <c r="C54" s="213"/>
      <c r="D54" s="213"/>
      <c r="E54" s="213"/>
      <c r="F54" s="213"/>
      <c r="G54" s="213"/>
      <c r="H54" s="213"/>
      <c r="I54" s="213"/>
      <c r="J54" s="213"/>
      <c r="K54" s="213"/>
      <c r="L54" s="213"/>
      <c r="M54" s="213"/>
      <c r="N54" s="213"/>
      <c r="O54" s="213"/>
      <c r="P54" s="213"/>
      <c r="Q54" s="213"/>
      <c r="S54" s="441"/>
      <c r="T54" s="442"/>
      <c r="U54" s="442"/>
      <c r="V54" s="442"/>
      <c r="W54" s="442"/>
      <c r="X54" s="442"/>
      <c r="Y54" s="442"/>
      <c r="Z54" s="442"/>
      <c r="AA54" s="442"/>
      <c r="AB54" s="442"/>
      <c r="AC54" s="442"/>
      <c r="AD54" s="442"/>
      <c r="AE54" s="442"/>
      <c r="AF54" s="442"/>
      <c r="AG54" s="442"/>
      <c r="AH54" s="442"/>
      <c r="AI54" s="442"/>
      <c r="AJ54" s="443"/>
    </row>
    <row r="55" spans="2:36" x14ac:dyDescent="0.25">
      <c r="B55" s="15" t="s">
        <v>379</v>
      </c>
      <c r="C55" s="94">
        <f>'Debt Schedules'!C12/'Balance sheet'!C34</f>
        <v>0.2090677368620858</v>
      </c>
      <c r="D55" s="94">
        <f>'Debt Schedules'!D12/'Balance sheet'!D34</f>
        <v>0.22199802668420726</v>
      </c>
      <c r="E55" s="94">
        <f>'Debt Schedules'!E12/'Balance sheet'!E34</f>
        <v>0.32529268723755661</v>
      </c>
      <c r="F55" s="94">
        <f>'Debt Schedules'!F12/'Balance sheet'!F34</f>
        <v>0.22786381290067131</v>
      </c>
      <c r="G55" s="94">
        <f>'Debt Schedules'!G12/'Balance sheet'!G34</f>
        <v>0.37021964478157582</v>
      </c>
      <c r="H55" s="94">
        <f>'Debt Schedules'!H12/'Balance sheet'!H34</f>
        <v>0.275819609641271</v>
      </c>
      <c r="I55" s="94">
        <f>'Debt Schedules'!I12/'Balance sheet'!I34</f>
        <v>0.27908795137309633</v>
      </c>
      <c r="J55" s="94">
        <f>'Debt Schedules'!J12/'Balance sheet'!J34</f>
        <v>0.27889441324697734</v>
      </c>
      <c r="K55" s="94">
        <f>'Debt Schedules'!K12/'Balance sheet'!K34</f>
        <v>0.27596705161509566</v>
      </c>
      <c r="L55" s="94">
        <f>'Debt Schedules'!L12/'Balance sheet'!L34</f>
        <v>0.27119057741426789</v>
      </c>
      <c r="M55" s="94">
        <f>'Debt Schedules'!M12/'Balance sheet'!M34</f>
        <v>0.26496687344556796</v>
      </c>
      <c r="N55" s="94">
        <f>'Debt Schedules'!N12/'Balance sheet'!N34</f>
        <v>0.25788286644063996</v>
      </c>
      <c r="O55" s="94">
        <f>'Debt Schedules'!O12/'Balance sheet'!O34</f>
        <v>0.25012424646807646</v>
      </c>
      <c r="P55" s="94">
        <f>'Debt Schedules'!P12/'Balance sheet'!P34</f>
        <v>0.24202903916757751</v>
      </c>
      <c r="Q55" s="94">
        <f>'Debt Schedules'!Q12/'Balance sheet'!Q34</f>
        <v>0.23372135993347071</v>
      </c>
      <c r="S55" s="441" t="s">
        <v>526</v>
      </c>
      <c r="T55" s="442"/>
      <c r="U55" s="442"/>
      <c r="V55" s="442"/>
      <c r="W55" s="442"/>
      <c r="X55" s="442"/>
      <c r="Y55" s="442"/>
      <c r="Z55" s="442"/>
      <c r="AA55" s="442"/>
      <c r="AB55" s="442"/>
      <c r="AC55" s="442"/>
      <c r="AD55" s="442"/>
      <c r="AE55" s="442"/>
      <c r="AF55" s="442"/>
      <c r="AG55" s="442"/>
      <c r="AH55" s="442"/>
      <c r="AI55" s="442"/>
      <c r="AJ55" s="443"/>
    </row>
    <row r="56" spans="2:36" x14ac:dyDescent="0.25">
      <c r="B56" s="96"/>
      <c r="C56" s="213"/>
      <c r="D56" s="213"/>
      <c r="E56" s="213"/>
      <c r="F56" s="213"/>
      <c r="G56" s="213"/>
      <c r="H56" s="213"/>
      <c r="I56" s="213"/>
      <c r="J56" s="213"/>
      <c r="K56" s="213"/>
      <c r="L56" s="213"/>
      <c r="M56" s="213"/>
      <c r="N56" s="213"/>
      <c r="O56" s="213"/>
      <c r="P56" s="213"/>
      <c r="Q56" s="213"/>
      <c r="S56" s="441"/>
      <c r="T56" s="442"/>
      <c r="U56" s="442"/>
      <c r="V56" s="442"/>
      <c r="W56" s="442"/>
      <c r="X56" s="442"/>
      <c r="Y56" s="442"/>
      <c r="Z56" s="442"/>
      <c r="AA56" s="442"/>
      <c r="AB56" s="442"/>
      <c r="AC56" s="442"/>
      <c r="AD56" s="442"/>
      <c r="AE56" s="442"/>
      <c r="AF56" s="442"/>
      <c r="AG56" s="442"/>
      <c r="AH56" s="442"/>
      <c r="AI56" s="442"/>
      <c r="AJ56" s="443"/>
    </row>
    <row r="57" spans="2:36" ht="30.75" customHeight="1" x14ac:dyDescent="0.25">
      <c r="C57" s="213"/>
      <c r="D57" s="213"/>
      <c r="E57" s="213"/>
      <c r="F57" s="213"/>
      <c r="G57" s="213"/>
      <c r="H57" s="213"/>
      <c r="I57" s="213"/>
      <c r="J57" s="213"/>
      <c r="K57" s="213"/>
      <c r="L57" s="213"/>
      <c r="M57" s="213"/>
      <c r="N57" s="213"/>
      <c r="O57" s="213"/>
      <c r="P57" s="213"/>
      <c r="Q57" s="213"/>
      <c r="S57" s="441"/>
      <c r="T57" s="442"/>
      <c r="U57" s="442"/>
      <c r="V57" s="442"/>
      <c r="W57" s="442"/>
      <c r="X57" s="442"/>
      <c r="Y57" s="442"/>
      <c r="Z57" s="442"/>
      <c r="AA57" s="442"/>
      <c r="AB57" s="442"/>
      <c r="AC57" s="442"/>
      <c r="AD57" s="442"/>
      <c r="AE57" s="442"/>
      <c r="AF57" s="442"/>
      <c r="AG57" s="442"/>
      <c r="AH57" s="442"/>
      <c r="AI57" s="442"/>
      <c r="AJ57" s="443"/>
    </row>
    <row r="58" spans="2:36" ht="21.75" customHeight="1" x14ac:dyDescent="0.25">
      <c r="B58" s="15" t="s">
        <v>380</v>
      </c>
      <c r="C58" s="94">
        <f>'Profit &amp; Loss Statement'!C23/'Profit &amp; Loss Statement'!C25</f>
        <v>24.21090387374462</v>
      </c>
      <c r="D58" s="94">
        <f>'Profit &amp; Loss Statement'!D23/'Profit &amp; Loss Statement'!D25</f>
        <v>22.591959798994974</v>
      </c>
      <c r="E58" s="94">
        <f>'Profit &amp; Loss Statement'!E23/'Profit &amp; Loss Statement'!E25</f>
        <v>14.499085086916743</v>
      </c>
      <c r="F58" s="94">
        <f>'Profit &amp; Loss Statement'!F23/'Profit &amp; Loss Statement'!F25</f>
        <v>6.5663591199432219</v>
      </c>
      <c r="G58" s="94">
        <f>'Profit &amp; Loss Statement'!G23/'Profit &amp; Loss Statement'!G25</f>
        <v>2.6710896662645758</v>
      </c>
      <c r="H58" s="94">
        <f>'Profit &amp; Loss Statement'!H23/'Profit &amp; Loss Statement'!H25</f>
        <v>7.2398506261292166</v>
      </c>
      <c r="I58" s="94">
        <f>'Profit &amp; Loss Statement'!I23/'Profit &amp; Loss Statement'!I25</f>
        <v>9.5708061910111191</v>
      </c>
      <c r="J58" s="94">
        <f>'Profit &amp; Loss Statement'!J23/'Profit &amp; Loss Statement'!J25</f>
        <v>9.5773443924492287</v>
      </c>
      <c r="K58" s="94">
        <f>'Profit &amp; Loss Statement'!K23/'Profit &amp; Loss Statement'!K25</f>
        <v>9.5678650864311994</v>
      </c>
      <c r="L58" s="94">
        <f>'Profit &amp; Loss Statement'!L23/'Profit &amp; Loss Statement'!L25</f>
        <v>9.5493962665478271</v>
      </c>
      <c r="M58" s="94">
        <f>'Profit &amp; Loss Statement'!M23/'Profit &amp; Loss Statement'!M25</f>
        <v>9.5263576441690052</v>
      </c>
      <c r="N58" s="94">
        <f>'Profit &amp; Loss Statement'!N23/'Profit &amp; Loss Statement'!N25</f>
        <v>9.5015132616498779</v>
      </c>
      <c r="O58" s="94">
        <f>'Profit &amp; Loss Statement'!O23/'Profit &amp; Loss Statement'!O25</f>
        <v>9.4765644262290518</v>
      </c>
      <c r="P58" s="94">
        <f>'Profit &amp; Loss Statement'!P23/'Profit &amp; Loss Statement'!P25</f>
        <v>9.4525257127909423</v>
      </c>
      <c r="Q58" s="94">
        <f>'Profit &amp; Loss Statement'!Q23/'Profit &amp; Loss Statement'!Q25</f>
        <v>9.4299671292808345</v>
      </c>
      <c r="S58" s="441" t="s">
        <v>527</v>
      </c>
      <c r="T58" s="442"/>
      <c r="U58" s="442"/>
      <c r="V58" s="442"/>
      <c r="W58" s="442"/>
      <c r="X58" s="442"/>
      <c r="Y58" s="442"/>
      <c r="Z58" s="442"/>
      <c r="AA58" s="442"/>
      <c r="AB58" s="442"/>
      <c r="AC58" s="442"/>
      <c r="AD58" s="442"/>
      <c r="AE58" s="442"/>
      <c r="AF58" s="442"/>
      <c r="AG58" s="442"/>
      <c r="AH58" s="442"/>
      <c r="AI58" s="442"/>
      <c r="AJ58" s="443"/>
    </row>
    <row r="59" spans="2:36" x14ac:dyDescent="0.25">
      <c r="S59" s="441"/>
      <c r="T59" s="442"/>
      <c r="U59" s="442"/>
      <c r="V59" s="442"/>
      <c r="W59" s="442"/>
      <c r="X59" s="442"/>
      <c r="Y59" s="442"/>
      <c r="Z59" s="442"/>
      <c r="AA59" s="442"/>
      <c r="AB59" s="442"/>
      <c r="AC59" s="442"/>
      <c r="AD59" s="442"/>
      <c r="AE59" s="442"/>
      <c r="AF59" s="442"/>
      <c r="AG59" s="442"/>
      <c r="AH59" s="442"/>
      <c r="AI59" s="442"/>
      <c r="AJ59" s="443"/>
    </row>
    <row r="60" spans="2:36" ht="24" customHeight="1" x14ac:dyDescent="0.25">
      <c r="S60" s="441"/>
      <c r="T60" s="442"/>
      <c r="U60" s="442"/>
      <c r="V60" s="442"/>
      <c r="W60" s="442"/>
      <c r="X60" s="442"/>
      <c r="Y60" s="442"/>
      <c r="Z60" s="442"/>
      <c r="AA60" s="442"/>
      <c r="AB60" s="442"/>
      <c r="AC60" s="442"/>
      <c r="AD60" s="442"/>
      <c r="AE60" s="442"/>
      <c r="AF60" s="442"/>
      <c r="AG60" s="442"/>
      <c r="AH60" s="442"/>
      <c r="AI60" s="442"/>
      <c r="AJ60" s="443"/>
    </row>
    <row r="61" spans="2:36" ht="15.75" x14ac:dyDescent="0.25">
      <c r="B61" s="440" t="s">
        <v>381</v>
      </c>
      <c r="C61" s="440"/>
      <c r="D61" s="440"/>
      <c r="E61" s="440"/>
      <c r="F61" s="440"/>
      <c r="G61" s="440"/>
      <c r="H61" s="440"/>
      <c r="I61" s="440"/>
      <c r="J61" s="440"/>
      <c r="K61" s="440"/>
      <c r="L61" s="440"/>
      <c r="M61" s="440"/>
      <c r="N61" s="440"/>
      <c r="O61" s="440"/>
      <c r="P61" s="440"/>
      <c r="Q61" s="440"/>
      <c r="S61" s="222"/>
      <c r="T61" s="222"/>
      <c r="U61" s="222"/>
      <c r="V61" s="222"/>
      <c r="W61" s="222"/>
      <c r="X61" s="222"/>
      <c r="Y61" s="222"/>
      <c r="Z61" s="222"/>
      <c r="AA61" s="222"/>
      <c r="AB61" s="222"/>
      <c r="AC61" s="222"/>
      <c r="AD61" s="222"/>
      <c r="AE61" s="222"/>
      <c r="AF61" s="222"/>
      <c r="AG61" s="222"/>
      <c r="AH61" s="222"/>
      <c r="AI61" s="222"/>
      <c r="AJ61" s="222"/>
    </row>
    <row r="63" spans="2:36" x14ac:dyDescent="0.25">
      <c r="B63" s="15" t="s">
        <v>382</v>
      </c>
      <c r="C63" s="94"/>
      <c r="D63" s="94">
        <f>'Profit &amp; Loss Statement'!D10/AVERAGE('Balance sheet'!C11:D11)</f>
        <v>16.699496106275767</v>
      </c>
      <c r="E63" s="94">
        <f>'Profit &amp; Loss Statement'!E10/AVERAGE('Balance sheet'!D11:E11)</f>
        <v>7.6410146748282592</v>
      </c>
      <c r="F63" s="94">
        <f>'Profit &amp; Loss Statement'!F10/AVERAGE('Balance sheet'!E11:F11)</f>
        <v>5.7201302702226915</v>
      </c>
      <c r="G63" s="94">
        <f>'Profit &amp; Loss Statement'!G10/AVERAGE('Balance sheet'!F11:G11)</f>
        <v>5.7090143498254751</v>
      </c>
      <c r="H63" s="94">
        <f>'Profit &amp; Loss Statement'!H10/AVERAGE('Balance sheet'!G11:H11)</f>
        <v>5.5002147714395306</v>
      </c>
      <c r="I63" s="94">
        <f>'Profit &amp; Loss Statement'!I10/AVERAGE('Balance sheet'!H11:I11)</f>
        <v>6.3105109929326861</v>
      </c>
      <c r="J63" s="94">
        <f>'Profit &amp; Loss Statement'!J10/AVERAGE('Balance sheet'!I11:J11)</f>
        <v>7.0888887512797183</v>
      </c>
      <c r="K63" s="94">
        <f>'Profit &amp; Loss Statement'!K10/AVERAGE('Balance sheet'!J11:K11)</f>
        <v>7.817598043414737</v>
      </c>
      <c r="L63" s="94">
        <f>'Profit &amp; Loss Statement'!L10/AVERAGE('Balance sheet'!K11:L11)</f>
        <v>8.4823520885255963</v>
      </c>
      <c r="M63" s="94">
        <f>'Profit &amp; Loss Statement'!M10/AVERAGE('Balance sheet'!L11:M11)</f>
        <v>9.0736476383093798</v>
      </c>
      <c r="N63" s="94">
        <f>'Profit &amp; Loss Statement'!N10/AVERAGE('Balance sheet'!M11:N11)</f>
        <v>9.5864189442879031</v>
      </c>
      <c r="O63" s="94">
        <f>'Profit &amp; Loss Statement'!O10/AVERAGE('Balance sheet'!N11:O11)</f>
        <v>10.01940142079609</v>
      </c>
      <c r="P63" s="94">
        <f>'Profit &amp; Loss Statement'!P10/AVERAGE('Balance sheet'!O11:P11)</f>
        <v>10.374360178123071</v>
      </c>
      <c r="Q63" s="94">
        <f>'Profit &amp; Loss Statement'!Q10/AVERAGE('Balance sheet'!P11:Q11)</f>
        <v>10.655302306467044</v>
      </c>
      <c r="S63" s="441" t="s">
        <v>529</v>
      </c>
      <c r="T63" s="442"/>
      <c r="U63" s="442"/>
      <c r="V63" s="442"/>
      <c r="W63" s="442"/>
      <c r="X63" s="442"/>
      <c r="Y63" s="442"/>
      <c r="Z63" s="442"/>
      <c r="AA63" s="442"/>
      <c r="AB63" s="442"/>
      <c r="AC63" s="442"/>
      <c r="AD63" s="442"/>
      <c r="AE63" s="442"/>
      <c r="AF63" s="442"/>
      <c r="AG63" s="442"/>
      <c r="AH63" s="442"/>
      <c r="AI63" s="442"/>
      <c r="AJ63" s="443"/>
    </row>
    <row r="64" spans="2:36" x14ac:dyDescent="0.25">
      <c r="B64" s="96"/>
      <c r="C64" s="213"/>
      <c r="D64" s="213"/>
      <c r="E64" s="213"/>
      <c r="F64" s="213"/>
      <c r="G64" s="213"/>
      <c r="H64" s="213"/>
      <c r="I64" s="213"/>
      <c r="J64" s="213"/>
      <c r="K64" s="213"/>
      <c r="L64" s="213"/>
      <c r="M64" s="213"/>
      <c r="N64" s="213"/>
      <c r="O64" s="213"/>
      <c r="P64" s="213"/>
      <c r="Q64" s="213"/>
      <c r="S64" s="441"/>
      <c r="T64" s="442"/>
      <c r="U64" s="442"/>
      <c r="V64" s="442"/>
      <c r="W64" s="442"/>
      <c r="X64" s="442"/>
      <c r="Y64" s="442"/>
      <c r="Z64" s="442"/>
      <c r="AA64" s="442"/>
      <c r="AB64" s="442"/>
      <c r="AC64" s="442"/>
      <c r="AD64" s="442"/>
      <c r="AE64" s="442"/>
      <c r="AF64" s="442"/>
      <c r="AG64" s="442"/>
      <c r="AH64" s="442"/>
      <c r="AI64" s="442"/>
      <c r="AJ64" s="443"/>
    </row>
    <row r="65" spans="2:36" ht="29.25" customHeight="1" x14ac:dyDescent="0.25">
      <c r="C65" s="213"/>
      <c r="D65" s="213"/>
      <c r="E65" s="213"/>
      <c r="F65" s="213"/>
      <c r="G65" s="213"/>
      <c r="H65" s="213"/>
      <c r="I65" s="213"/>
      <c r="J65" s="213"/>
      <c r="K65" s="213"/>
      <c r="L65" s="213"/>
      <c r="M65" s="213"/>
      <c r="N65" s="213"/>
      <c r="O65" s="213"/>
      <c r="P65" s="213"/>
      <c r="Q65" s="213"/>
      <c r="S65" s="441"/>
      <c r="T65" s="442"/>
      <c r="U65" s="442"/>
      <c r="V65" s="442"/>
      <c r="W65" s="442"/>
      <c r="X65" s="442"/>
      <c r="Y65" s="442"/>
      <c r="Z65" s="442"/>
      <c r="AA65" s="442"/>
      <c r="AB65" s="442"/>
      <c r="AC65" s="442"/>
      <c r="AD65" s="442"/>
      <c r="AE65" s="442"/>
      <c r="AF65" s="442"/>
      <c r="AG65" s="442"/>
      <c r="AH65" s="442"/>
      <c r="AI65" s="442"/>
      <c r="AJ65" s="443"/>
    </row>
    <row r="66" spans="2:36" x14ac:dyDescent="0.25">
      <c r="B66" s="15" t="s">
        <v>383</v>
      </c>
      <c r="C66" s="94"/>
      <c r="D66" s="94">
        <f>'Profit &amp; Loss Statement'!D10/AVERAGE('Balance sheet'!C34:D34)</f>
        <v>1.0685602063547894</v>
      </c>
      <c r="E66" s="94">
        <f>'Profit &amp; Loss Statement'!E10/AVERAGE('Balance sheet'!D34:E34)</f>
        <v>1.0335305006797211</v>
      </c>
      <c r="F66" s="94">
        <f>'Profit &amp; Loss Statement'!F10/AVERAGE('Balance sheet'!E34:F34)</f>
        <v>0.83559720414954408</v>
      </c>
      <c r="G66" s="94">
        <f>'Profit &amp; Loss Statement'!G10/AVERAGE('Balance sheet'!F34:G34)</f>
        <v>0.73511508244379642</v>
      </c>
      <c r="H66" s="94">
        <f>'Profit &amp; Loss Statement'!H10/AVERAGE('Balance sheet'!G34:H34)</f>
        <v>0.76406216527179827</v>
      </c>
      <c r="I66" s="94">
        <f>'Profit &amp; Loss Statement'!I10/AVERAGE('Balance sheet'!H34:I34)</f>
        <v>0.85281820837771261</v>
      </c>
      <c r="J66" s="94">
        <f>'Profit &amp; Loss Statement'!J10/AVERAGE('Balance sheet'!I34:J34)</f>
        <v>0.84845251816873468</v>
      </c>
      <c r="K66" s="94">
        <f>'Profit &amp; Loss Statement'!K10/AVERAGE('Balance sheet'!J34:K34)</f>
        <v>0.83577107617094981</v>
      </c>
      <c r="L66" s="94">
        <f>'Profit &amp; Loss Statement'!L10/AVERAGE('Balance sheet'!K34:L34)</f>
        <v>0.81734354616182692</v>
      </c>
      <c r="M66" s="94">
        <f>'Profit &amp; Loss Statement'!M10/AVERAGE('Balance sheet'!L34:M34)</f>
        <v>0.79505900144302533</v>
      </c>
      <c r="N66" s="94">
        <f>'Profit &amp; Loss Statement'!N10/AVERAGE('Balance sheet'!M34:N34)</f>
        <v>0.77036651312536508</v>
      </c>
      <c r="O66" s="94">
        <f>'Profit &amp; Loss Statement'!O10/AVERAGE('Balance sheet'!N34:O34)</f>
        <v>0.74429069366366385</v>
      </c>
      <c r="P66" s="94">
        <f>'Profit &amp; Loss Statement'!P10/AVERAGE('Balance sheet'!O34:P34)</f>
        <v>0.71752860448675193</v>
      </c>
      <c r="Q66" s="94">
        <f>'Profit &amp; Loss Statement'!Q10/AVERAGE('Balance sheet'!P34:Q34)</f>
        <v>0.6906429006029019</v>
      </c>
      <c r="S66" s="441" t="s">
        <v>530</v>
      </c>
      <c r="T66" s="442"/>
      <c r="U66" s="442"/>
      <c r="V66" s="442"/>
      <c r="W66" s="442"/>
      <c r="X66" s="442"/>
      <c r="Y66" s="442"/>
      <c r="Z66" s="442"/>
      <c r="AA66" s="442"/>
      <c r="AB66" s="442"/>
      <c r="AC66" s="442"/>
      <c r="AD66" s="442"/>
      <c r="AE66" s="442"/>
      <c r="AF66" s="442"/>
      <c r="AG66" s="442"/>
      <c r="AH66" s="442"/>
      <c r="AI66" s="442"/>
      <c r="AJ66" s="443"/>
    </row>
    <row r="67" spans="2:36" x14ac:dyDescent="0.25">
      <c r="B67" s="96"/>
      <c r="C67" s="213"/>
      <c r="D67" s="213"/>
      <c r="E67" s="213"/>
      <c r="F67" s="213"/>
      <c r="G67" s="213"/>
      <c r="H67" s="213"/>
      <c r="I67" s="213"/>
      <c r="J67" s="213"/>
      <c r="K67" s="213"/>
      <c r="L67" s="213"/>
      <c r="M67" s="213"/>
      <c r="N67" s="213"/>
      <c r="O67" s="213"/>
      <c r="P67" s="213"/>
      <c r="Q67" s="213"/>
      <c r="S67" s="441"/>
      <c r="T67" s="442"/>
      <c r="U67" s="442"/>
      <c r="V67" s="442"/>
      <c r="W67" s="442"/>
      <c r="X67" s="442"/>
      <c r="Y67" s="442"/>
      <c r="Z67" s="442"/>
      <c r="AA67" s="442"/>
      <c r="AB67" s="442"/>
      <c r="AC67" s="442"/>
      <c r="AD67" s="442"/>
      <c r="AE67" s="442"/>
      <c r="AF67" s="442"/>
      <c r="AG67" s="442"/>
      <c r="AH67" s="442"/>
      <c r="AI67" s="442"/>
      <c r="AJ67" s="443"/>
    </row>
    <row r="68" spans="2:36" ht="29.25" customHeight="1" x14ac:dyDescent="0.25">
      <c r="C68" s="213"/>
      <c r="D68" s="213"/>
      <c r="E68" s="213"/>
      <c r="F68" s="213"/>
      <c r="G68" s="213"/>
      <c r="H68" s="213"/>
      <c r="I68" s="213"/>
      <c r="J68" s="213"/>
      <c r="K68" s="213"/>
      <c r="L68" s="213"/>
      <c r="M68" s="213"/>
      <c r="N68" s="213"/>
      <c r="O68" s="213"/>
      <c r="P68" s="213"/>
      <c r="Q68" s="213"/>
      <c r="S68" s="441"/>
      <c r="T68" s="442"/>
      <c r="U68" s="442"/>
      <c r="V68" s="442"/>
      <c r="W68" s="442"/>
      <c r="X68" s="442"/>
      <c r="Y68" s="442"/>
      <c r="Z68" s="442"/>
      <c r="AA68" s="442"/>
      <c r="AB68" s="442"/>
      <c r="AC68" s="442"/>
      <c r="AD68" s="442"/>
      <c r="AE68" s="442"/>
      <c r="AF68" s="442"/>
      <c r="AG68" s="442"/>
      <c r="AH68" s="442"/>
      <c r="AI68" s="442"/>
      <c r="AJ68" s="443"/>
    </row>
    <row r="69" spans="2:36" ht="20.25" customHeight="1" x14ac:dyDescent="0.25">
      <c r="B69" s="15" t="s">
        <v>384</v>
      </c>
      <c r="C69" s="94"/>
      <c r="D69" s="94">
        <f>'Profit &amp; Loss Statement'!D10/AVERAGE('Balance sheet'!C25:D25)</f>
        <v>7.5606636709298307</v>
      </c>
      <c r="E69" s="94">
        <f>'Profit &amp; Loss Statement'!E10/AVERAGE('Balance sheet'!D25:E25)</f>
        <v>7.5113119793993217</v>
      </c>
      <c r="F69" s="94">
        <f>'Profit &amp; Loss Statement'!F10/AVERAGE('Balance sheet'!E25:F25)</f>
        <v>6.948484913286145</v>
      </c>
      <c r="G69" s="94">
        <f>'Profit &amp; Loss Statement'!G10/AVERAGE('Balance sheet'!F25:G25)</f>
        <v>6.72850449744519</v>
      </c>
      <c r="H69" s="94">
        <f>'Profit &amp; Loss Statement'!H10/AVERAGE('Balance sheet'!G25:H25)</f>
        <v>6.6597969909941188</v>
      </c>
      <c r="I69" s="94">
        <f>'Profit &amp; Loss Statement'!I10/AVERAGE('Balance sheet'!H25:I25)</f>
        <v>6.8802753827256726</v>
      </c>
      <c r="J69" s="94">
        <f>'Profit &amp; Loss Statement'!J10/AVERAGE('Balance sheet'!I25:J25)</f>
        <v>6.8107855381403724</v>
      </c>
      <c r="K69" s="94">
        <f>'Profit &amp; Loss Statement'!K10/AVERAGE('Balance sheet'!J25:K25)</f>
        <v>6.7491048716985444</v>
      </c>
      <c r="L69" s="94">
        <f>'Profit &amp; Loss Statement'!L10/AVERAGE('Balance sheet'!K25:L25)</f>
        <v>6.6945887890947793</v>
      </c>
      <c r="M69" s="94">
        <f>'Profit &amp; Loss Statement'!M10/AVERAGE('Balance sheet'!L25:M25)</f>
        <v>6.6465836698736451</v>
      </c>
      <c r="N69" s="94">
        <f>'Profit &amp; Loss Statement'!N10/AVERAGE('Balance sheet'!M25:N25)</f>
        <v>6.6044480294620351</v>
      </c>
      <c r="O69" s="94">
        <f>'Profit &amp; Loss Statement'!O10/AVERAGE('Balance sheet'!N25:O25)</f>
        <v>6.5675675149579078</v>
      </c>
      <c r="P69" s="94">
        <f>'Profit &amp; Loss Statement'!P10/AVERAGE('Balance sheet'!O25:P25)</f>
        <v>6.5353647913462849</v>
      </c>
      <c r="Q69" s="94">
        <f>'Profit &amp; Loss Statement'!Q10/AVERAGE('Balance sheet'!P25:Q25)</f>
        <v>6.5073053767997182</v>
      </c>
      <c r="S69" s="441" t="s">
        <v>531</v>
      </c>
      <c r="T69" s="442"/>
      <c r="U69" s="442"/>
      <c r="V69" s="442"/>
      <c r="W69" s="442"/>
      <c r="X69" s="442"/>
      <c r="Y69" s="442"/>
      <c r="Z69" s="442"/>
      <c r="AA69" s="442"/>
      <c r="AB69" s="442"/>
      <c r="AC69" s="442"/>
      <c r="AD69" s="442"/>
      <c r="AE69" s="442"/>
      <c r="AF69" s="442"/>
      <c r="AG69" s="442"/>
      <c r="AH69" s="442"/>
      <c r="AI69" s="442"/>
      <c r="AJ69" s="443"/>
    </row>
    <row r="70" spans="2:36" x14ac:dyDescent="0.25">
      <c r="B70" s="96"/>
      <c r="C70" s="213"/>
      <c r="D70" s="213"/>
      <c r="E70" s="213"/>
      <c r="F70" s="213"/>
      <c r="G70" s="213"/>
      <c r="H70" s="213"/>
      <c r="I70" s="213"/>
      <c r="J70" s="213"/>
      <c r="K70" s="213"/>
      <c r="L70" s="213"/>
      <c r="M70" s="213"/>
      <c r="N70" s="213"/>
      <c r="O70" s="213"/>
      <c r="P70" s="213"/>
      <c r="Q70" s="213"/>
      <c r="S70" s="441"/>
      <c r="T70" s="442"/>
      <c r="U70" s="442"/>
      <c r="V70" s="442"/>
      <c r="W70" s="442"/>
      <c r="X70" s="442"/>
      <c r="Y70" s="442"/>
      <c r="Z70" s="442"/>
      <c r="AA70" s="442"/>
      <c r="AB70" s="442"/>
      <c r="AC70" s="442"/>
      <c r="AD70" s="442"/>
      <c r="AE70" s="442"/>
      <c r="AF70" s="442"/>
      <c r="AG70" s="442"/>
      <c r="AH70" s="442"/>
      <c r="AI70" s="442"/>
      <c r="AJ70" s="443"/>
    </row>
    <row r="71" spans="2:36" ht="24.75" customHeight="1" x14ac:dyDescent="0.25">
      <c r="C71" s="213"/>
      <c r="D71" s="213"/>
      <c r="E71" s="213"/>
      <c r="F71" s="213"/>
      <c r="G71" s="213"/>
      <c r="H71" s="213"/>
      <c r="I71" s="213"/>
      <c r="J71" s="213"/>
      <c r="K71" s="213"/>
      <c r="L71" s="213"/>
      <c r="M71" s="213"/>
      <c r="N71" s="213"/>
      <c r="O71" s="213"/>
      <c r="P71" s="213"/>
      <c r="Q71" s="213"/>
      <c r="S71" s="441"/>
      <c r="T71" s="442"/>
      <c r="U71" s="442"/>
      <c r="V71" s="442"/>
      <c r="W71" s="442"/>
      <c r="X71" s="442"/>
      <c r="Y71" s="442"/>
      <c r="Z71" s="442"/>
      <c r="AA71" s="442"/>
      <c r="AB71" s="442"/>
      <c r="AC71" s="442"/>
      <c r="AD71" s="442"/>
      <c r="AE71" s="442"/>
      <c r="AF71" s="442"/>
      <c r="AG71" s="442"/>
      <c r="AH71" s="442"/>
      <c r="AI71" s="442"/>
      <c r="AJ71" s="443"/>
    </row>
    <row r="72" spans="2:36" x14ac:dyDescent="0.25">
      <c r="B72" s="15" t="s">
        <v>385</v>
      </c>
      <c r="C72" s="94"/>
      <c r="D72" s="94">
        <f>'Profit &amp; Loss Statement'!D15/AVERAGE('Balance sheet'!C58:D58)</f>
        <v>4.0862737678554533</v>
      </c>
      <c r="E72" s="94">
        <f>'Profit &amp; Loss Statement'!E15/AVERAGE('Balance sheet'!D58:E58)</f>
        <v>4.0173727522096918</v>
      </c>
      <c r="F72" s="94">
        <f>'Profit &amp; Loss Statement'!F15/AVERAGE('Balance sheet'!E58:F58)</f>
        <v>3.59216943943342</v>
      </c>
      <c r="G72" s="94">
        <f>'Profit &amp; Loss Statement'!G15/AVERAGE('Balance sheet'!F58:G58)</f>
        <v>3.5353337682104806</v>
      </c>
      <c r="H72" s="94">
        <f>'Profit &amp; Loss Statement'!H15/AVERAGE('Balance sheet'!G58:H58)</f>
        <v>3.7073525458861831</v>
      </c>
      <c r="I72" s="94">
        <f>'Profit &amp; Loss Statement'!I15/AVERAGE('Balance sheet'!H58:I58)</f>
        <v>3.6135747254466128</v>
      </c>
      <c r="J72" s="94">
        <f>'Profit &amp; Loss Statement'!J15/AVERAGE('Balance sheet'!I58:J58)</f>
        <v>3.5770781127239424</v>
      </c>
      <c r="K72" s="94">
        <f>'Profit &amp; Loss Statement'!K15/AVERAGE('Balance sheet'!J58:K58)</f>
        <v>3.544682941759929</v>
      </c>
      <c r="L72" s="94">
        <f>'Profit &amp; Loss Statement'!L15/AVERAGE('Balance sheet'!K58:L58)</f>
        <v>3.5160506665574096</v>
      </c>
      <c r="M72" s="94">
        <f>'Profit &amp; Loss Statement'!M15/AVERAGE('Balance sheet'!L58:M58)</f>
        <v>3.490838000514263</v>
      </c>
      <c r="N72" s="94">
        <f>'Profit &amp; Loss Statement'!N15/AVERAGE('Balance sheet'!M58:N58)</f>
        <v>3.4687080308891836</v>
      </c>
      <c r="O72" s="94">
        <f>'Profit &amp; Loss Statement'!O15/AVERAGE('Balance sheet'!N58:O58)</f>
        <v>3.4493380947078238</v>
      </c>
      <c r="P72" s="94">
        <f>'Profit &amp; Loss Statement'!P15/AVERAGE('Balance sheet'!O58:P58)</f>
        <v>3.4324249710811636</v>
      </c>
      <c r="Q72" s="94">
        <f>'Profit &amp; Loss Statement'!Q15/AVERAGE('Balance sheet'!P58:Q58)</f>
        <v>3.4176879459511995</v>
      </c>
      <c r="S72" s="441" t="s">
        <v>532</v>
      </c>
      <c r="T72" s="442"/>
      <c r="U72" s="442"/>
      <c r="V72" s="442"/>
      <c r="W72" s="442"/>
      <c r="X72" s="442"/>
      <c r="Y72" s="442"/>
      <c r="Z72" s="442"/>
      <c r="AA72" s="442"/>
      <c r="AB72" s="442"/>
      <c r="AC72" s="442"/>
      <c r="AD72" s="442"/>
      <c r="AE72" s="442"/>
      <c r="AF72" s="442"/>
      <c r="AG72" s="442"/>
      <c r="AH72" s="442"/>
      <c r="AI72" s="442"/>
      <c r="AJ72" s="443"/>
    </row>
    <row r="73" spans="2:36" x14ac:dyDescent="0.25">
      <c r="S73" s="441"/>
      <c r="T73" s="442"/>
      <c r="U73" s="442"/>
      <c r="V73" s="442"/>
      <c r="W73" s="442"/>
      <c r="X73" s="442"/>
      <c r="Y73" s="442"/>
      <c r="Z73" s="442"/>
      <c r="AA73" s="442"/>
      <c r="AB73" s="442"/>
      <c r="AC73" s="442"/>
      <c r="AD73" s="442"/>
      <c r="AE73" s="442"/>
      <c r="AF73" s="442"/>
      <c r="AG73" s="442"/>
      <c r="AH73" s="442"/>
      <c r="AI73" s="442"/>
      <c r="AJ73" s="443"/>
    </row>
    <row r="74" spans="2:36" ht="31.5" customHeight="1" x14ac:dyDescent="0.25">
      <c r="S74" s="441"/>
      <c r="T74" s="442"/>
      <c r="U74" s="442"/>
      <c r="V74" s="442"/>
      <c r="W74" s="442"/>
      <c r="X74" s="442"/>
      <c r="Y74" s="442"/>
      <c r="Z74" s="442"/>
      <c r="AA74" s="442"/>
      <c r="AB74" s="442"/>
      <c r="AC74" s="442"/>
      <c r="AD74" s="442"/>
      <c r="AE74" s="442"/>
      <c r="AF74" s="442"/>
      <c r="AG74" s="442"/>
      <c r="AH74" s="442"/>
      <c r="AI74" s="442"/>
      <c r="AJ74" s="443"/>
    </row>
    <row r="75" spans="2:36" x14ac:dyDescent="0.25">
      <c r="B75" s="15" t="s">
        <v>481</v>
      </c>
      <c r="C75" s="220">
        <f>'Profit &amp; Loss Statement'!C32/SUM('Balance sheet'!C40,'Balance sheet'!C45,'Balance sheet'!C56)</f>
        <v>0.22808125903775148</v>
      </c>
      <c r="D75" s="220">
        <f>'Profit &amp; Loss Statement'!D32/SUM('Balance sheet'!D40,'Balance sheet'!D45,'Balance sheet'!D56)</f>
        <v>0.21157349026201486</v>
      </c>
      <c r="E75" s="220">
        <f>'Profit &amp; Loss Statement'!E32/SUM('Balance sheet'!E40,'Balance sheet'!E45,'Balance sheet'!E56)</f>
        <v>0.176818206174361</v>
      </c>
      <c r="F75" s="220">
        <f>'Profit &amp; Loss Statement'!F32/SUM('Balance sheet'!F40,'Balance sheet'!F45,'Balance sheet'!F56)</f>
        <v>0.12919416834407393</v>
      </c>
      <c r="G75" s="220">
        <f>'Profit &amp; Loss Statement'!G32/SUM('Balance sheet'!G40,'Balance sheet'!G45,'Balance sheet'!G56)</f>
        <v>6.750527327827921E-2</v>
      </c>
      <c r="H75" s="220">
        <f>'Profit &amp; Loss Statement'!H32/SUM('Balance sheet'!H40,'Balance sheet'!H45,'Balance sheet'!H56)</f>
        <v>0.14604640605687749</v>
      </c>
      <c r="I75" s="220">
        <f>'Profit &amp; Loss Statement'!I32/SUM('Balance sheet'!I40,'Balance sheet'!I45,'Balance sheet'!I56)</f>
        <v>0.15494048117317741</v>
      </c>
      <c r="J75" s="220">
        <f>'Profit &amp; Loss Statement'!J32/SUM('Balance sheet'!J40,'Balance sheet'!J45,'Balance sheet'!J56)</f>
        <v>0.15514720342687885</v>
      </c>
      <c r="K75" s="220">
        <f>'Profit &amp; Loss Statement'!K32/SUM('Balance sheet'!K40,'Balance sheet'!K45,'Balance sheet'!K56)</f>
        <v>0.1541583000078191</v>
      </c>
      <c r="L75" s="220">
        <f>'Profit &amp; Loss Statement'!L32/SUM('Balance sheet'!L40,'Balance sheet'!L45,'Balance sheet'!L56)</f>
        <v>0.1505521339650113</v>
      </c>
      <c r="M75" s="220">
        <f>'Profit &amp; Loss Statement'!M32/SUM('Balance sheet'!M40,'Balance sheet'!M45,'Balance sheet'!M56)</f>
        <v>0.14685577521903645</v>
      </c>
      <c r="N75" s="220">
        <f>'Profit &amp; Loss Statement'!N32/SUM('Balance sheet'!N40,'Balance sheet'!N45,'Balance sheet'!N56)</f>
        <v>0.14145964808070569</v>
      </c>
      <c r="O75" s="220">
        <f>'Profit &amp; Loss Statement'!O32/SUM('Balance sheet'!O40,'Balance sheet'!O45,'Balance sheet'!O56)</f>
        <v>0.13659446993703536</v>
      </c>
      <c r="P75" s="220">
        <f>'Profit &amp; Loss Statement'!P32/SUM('Balance sheet'!P40,'Balance sheet'!P45,'Balance sheet'!P56)</f>
        <v>0.13095597436393863</v>
      </c>
      <c r="Q75" s="220">
        <f>'Profit &amp; Loss Statement'!Q32/SUM('Balance sheet'!Q40,'Balance sheet'!Q45,'Balance sheet'!Q56)</f>
        <v>0.12574255097460563</v>
      </c>
      <c r="S75" s="441" t="s">
        <v>528</v>
      </c>
      <c r="T75" s="442"/>
      <c r="U75" s="442"/>
      <c r="V75" s="442"/>
      <c r="W75" s="442"/>
      <c r="X75" s="442"/>
      <c r="Y75" s="442"/>
      <c r="Z75" s="442"/>
      <c r="AA75" s="442"/>
      <c r="AB75" s="442"/>
      <c r="AC75" s="442"/>
      <c r="AD75" s="442"/>
      <c r="AE75" s="442"/>
      <c r="AF75" s="442"/>
      <c r="AG75" s="442"/>
      <c r="AH75" s="442"/>
      <c r="AI75" s="442"/>
      <c r="AJ75" s="443"/>
    </row>
    <row r="76" spans="2:36" x14ac:dyDescent="0.25">
      <c r="S76" s="441"/>
      <c r="T76" s="442"/>
      <c r="U76" s="442"/>
      <c r="V76" s="442"/>
      <c r="W76" s="442"/>
      <c r="X76" s="442"/>
      <c r="Y76" s="442"/>
      <c r="Z76" s="442"/>
      <c r="AA76" s="442"/>
      <c r="AB76" s="442"/>
      <c r="AC76" s="442"/>
      <c r="AD76" s="442"/>
      <c r="AE76" s="442"/>
      <c r="AF76" s="442"/>
      <c r="AG76" s="442"/>
      <c r="AH76" s="442"/>
      <c r="AI76" s="442"/>
      <c r="AJ76" s="443"/>
    </row>
    <row r="77" spans="2:36" ht="27" customHeight="1" x14ac:dyDescent="0.25">
      <c r="S77" s="441"/>
      <c r="T77" s="442"/>
      <c r="U77" s="442"/>
      <c r="V77" s="442"/>
      <c r="W77" s="442"/>
      <c r="X77" s="442"/>
      <c r="Y77" s="442"/>
      <c r="Z77" s="442"/>
      <c r="AA77" s="442"/>
      <c r="AB77" s="442"/>
      <c r="AC77" s="442"/>
      <c r="AD77" s="442"/>
      <c r="AE77" s="442"/>
      <c r="AF77" s="442"/>
      <c r="AG77" s="442"/>
      <c r="AH77" s="442"/>
      <c r="AI77" s="442"/>
      <c r="AJ77" s="443"/>
    </row>
    <row r="78" spans="2:36" x14ac:dyDescent="0.25">
      <c r="S78" s="285"/>
      <c r="T78" s="285"/>
      <c r="U78" s="285"/>
      <c r="V78" s="285"/>
      <c r="W78" s="285"/>
      <c r="X78" s="285"/>
      <c r="Y78" s="285"/>
      <c r="Z78" s="285"/>
      <c r="AA78" s="285"/>
      <c r="AB78" s="285"/>
      <c r="AC78" s="285"/>
      <c r="AD78" s="285"/>
      <c r="AE78" s="285"/>
      <c r="AF78" s="285"/>
      <c r="AG78" s="285"/>
      <c r="AH78" s="285"/>
      <c r="AI78" s="285"/>
      <c r="AJ78" s="285"/>
    </row>
    <row r="79" spans="2:36" ht="15.75" x14ac:dyDescent="0.25">
      <c r="B79" s="440" t="s">
        <v>386</v>
      </c>
      <c r="C79" s="440"/>
      <c r="D79" s="440"/>
      <c r="E79" s="440"/>
      <c r="F79" s="440"/>
      <c r="G79" s="440"/>
      <c r="H79" s="440"/>
      <c r="I79" s="440"/>
      <c r="J79" s="440"/>
      <c r="K79" s="440"/>
      <c r="L79" s="440"/>
      <c r="M79" s="440"/>
      <c r="N79" s="440"/>
      <c r="O79" s="440"/>
      <c r="P79" s="440"/>
      <c r="Q79" s="440"/>
      <c r="S79" s="222"/>
      <c r="T79" s="222"/>
      <c r="U79" s="222"/>
      <c r="V79" s="222"/>
      <c r="W79" s="222"/>
      <c r="X79" s="222"/>
      <c r="Y79" s="222"/>
      <c r="Z79" s="222"/>
      <c r="AA79" s="222"/>
      <c r="AB79" s="222"/>
      <c r="AC79" s="222"/>
      <c r="AD79" s="222"/>
      <c r="AE79" s="222"/>
      <c r="AF79" s="222"/>
      <c r="AG79" s="222"/>
      <c r="AH79" s="222"/>
      <c r="AI79" s="222"/>
      <c r="AJ79" s="222"/>
    </row>
    <row r="81" spans="2:36" x14ac:dyDescent="0.25">
      <c r="B81" s="15" t="s">
        <v>371</v>
      </c>
      <c r="C81" s="220"/>
      <c r="D81" s="220">
        <f>'Profit &amp; Loss Statement'!D32/'Profit &amp; Loss Statement'!D10</f>
        <v>0.1656837196543684</v>
      </c>
      <c r="E81" s="220">
        <f>'Profit &amp; Loss Statement'!E32/'Profit &amp; Loss Statement'!E10</f>
        <v>0.16161170931021696</v>
      </c>
      <c r="F81" s="220">
        <f>'Profit &amp; Loss Statement'!F32/'Profit &amp; Loss Statement'!F10</f>
        <v>0.152887373358118</v>
      </c>
      <c r="G81" s="220">
        <f>'Profit &amp; Loss Statement'!G32/'Profit &amp; Loss Statement'!G10</f>
        <v>8.9604239048155121E-2</v>
      </c>
      <c r="H81" s="220">
        <f>'Profit &amp; Loss Statement'!H32/'Profit &amp; Loss Statement'!H10</f>
        <v>0.15080249724104908</v>
      </c>
      <c r="I81" s="220">
        <f>'Profit &amp; Loss Statement'!I32/'Profit &amp; Loss Statement'!I10</f>
        <v>0.15765779667136043</v>
      </c>
      <c r="J81" s="220">
        <f>'Profit &amp; Loss Statement'!J32/'Profit &amp; Loss Statement'!J10</f>
        <v>0.15800468571826315</v>
      </c>
      <c r="K81" s="220">
        <f>'Profit &amp; Loss Statement'!K32/'Profit &amp; Loss Statement'!K10</f>
        <v>0.15907286846928623</v>
      </c>
      <c r="L81" s="220">
        <f>'Profit &amp; Loss Statement'!L32/'Profit &amp; Loss Statement'!L10</f>
        <v>0.15875266316249481</v>
      </c>
      <c r="M81" s="220">
        <f>'Profit &amp; Loss Statement'!M32/'Profit &amp; Loss Statement'!M10</f>
        <v>0.15935699459222258</v>
      </c>
      <c r="N81" s="220">
        <f>'Profit &amp; Loss Statement'!N32/'Profit &amp; Loss Statement'!N10</f>
        <v>0.15869229096981349</v>
      </c>
      <c r="O81" s="220">
        <f>'Profit &amp; Loss Statement'!O32/'Profit &amp; Loss Statement'!O10</f>
        <v>0.15904975951860742</v>
      </c>
      <c r="P81" s="220">
        <f>'Profit &amp; Loss Statement'!P32/'Profit &amp; Loss Statement'!P10</f>
        <v>0.15868251590316865</v>
      </c>
      <c r="Q81" s="220">
        <f>'Profit &amp; Loss Statement'!Q32/'Profit &amp; Loss Statement'!Q10</f>
        <v>0.15890156542445596</v>
      </c>
      <c r="S81" s="441" t="s">
        <v>533</v>
      </c>
      <c r="T81" s="442"/>
      <c r="U81" s="442"/>
      <c r="V81" s="442"/>
      <c r="W81" s="442"/>
      <c r="X81" s="442"/>
      <c r="Y81" s="442"/>
      <c r="Z81" s="442"/>
      <c r="AA81" s="442"/>
      <c r="AB81" s="442"/>
      <c r="AC81" s="442"/>
      <c r="AD81" s="442"/>
      <c r="AE81" s="442"/>
      <c r="AF81" s="442"/>
      <c r="AG81" s="442"/>
      <c r="AH81" s="442"/>
      <c r="AI81" s="442"/>
      <c r="AJ81" s="443"/>
    </row>
    <row r="82" spans="2:36" x14ac:dyDescent="0.25">
      <c r="B82" s="96"/>
      <c r="C82" s="216"/>
      <c r="D82" s="216"/>
      <c r="E82" s="216"/>
      <c r="F82" s="216"/>
      <c r="G82" s="216"/>
      <c r="H82" s="216"/>
      <c r="I82" s="216"/>
      <c r="J82" s="216"/>
      <c r="K82" s="216"/>
      <c r="L82" s="216"/>
      <c r="M82" s="216"/>
      <c r="N82" s="216"/>
      <c r="O82" s="216"/>
      <c r="P82" s="216"/>
      <c r="Q82" s="216"/>
      <c r="S82" s="441"/>
      <c r="T82" s="442"/>
      <c r="U82" s="442"/>
      <c r="V82" s="442"/>
      <c r="W82" s="442"/>
      <c r="X82" s="442"/>
      <c r="Y82" s="442"/>
      <c r="Z82" s="442"/>
      <c r="AA82" s="442"/>
      <c r="AB82" s="442"/>
      <c r="AC82" s="442"/>
      <c r="AD82" s="442"/>
      <c r="AE82" s="442"/>
      <c r="AF82" s="442"/>
      <c r="AG82" s="442"/>
      <c r="AH82" s="442"/>
      <c r="AI82" s="442"/>
      <c r="AJ82" s="443"/>
    </row>
    <row r="83" spans="2:36" ht="27" customHeight="1" x14ac:dyDescent="0.25">
      <c r="C83" s="213"/>
      <c r="D83" s="213"/>
      <c r="E83" s="213"/>
      <c r="F83" s="213"/>
      <c r="G83" s="213"/>
      <c r="H83" s="213"/>
      <c r="I83" s="213"/>
      <c r="J83" s="213"/>
      <c r="K83" s="213"/>
      <c r="L83" s="213"/>
      <c r="M83" s="213"/>
      <c r="N83" s="213"/>
      <c r="O83" s="213"/>
      <c r="P83" s="213"/>
      <c r="Q83" s="213"/>
      <c r="S83" s="441"/>
      <c r="T83" s="442"/>
      <c r="U83" s="442"/>
      <c r="V83" s="442"/>
      <c r="W83" s="442"/>
      <c r="X83" s="442"/>
      <c r="Y83" s="442"/>
      <c r="Z83" s="442"/>
      <c r="AA83" s="442"/>
      <c r="AB83" s="442"/>
      <c r="AC83" s="442"/>
      <c r="AD83" s="442"/>
      <c r="AE83" s="442"/>
      <c r="AF83" s="442"/>
      <c r="AG83" s="442"/>
      <c r="AH83" s="442"/>
      <c r="AI83" s="442"/>
      <c r="AJ83" s="443"/>
    </row>
    <row r="84" spans="2:36" x14ac:dyDescent="0.25">
      <c r="B84" s="15" t="s">
        <v>387</v>
      </c>
      <c r="C84" s="94"/>
      <c r="D84" s="94">
        <f>'Profit &amp; Loss Statement'!D10/AVERAGE('Balance sheet'!C34:D34)</f>
        <v>1.0685602063547894</v>
      </c>
      <c r="E84" s="94">
        <f>'Profit &amp; Loss Statement'!E10/AVERAGE('Balance sheet'!D34:E34)</f>
        <v>1.0335305006797211</v>
      </c>
      <c r="F84" s="94">
        <f>'Profit &amp; Loss Statement'!F10/AVERAGE('Balance sheet'!E34:F34)</f>
        <v>0.83559720414954408</v>
      </c>
      <c r="G84" s="94">
        <f>'Profit &amp; Loss Statement'!G10/AVERAGE('Balance sheet'!F34:G34)</f>
        <v>0.73511508244379642</v>
      </c>
      <c r="H84" s="94">
        <f>'Profit &amp; Loss Statement'!H10/AVERAGE('Balance sheet'!G34:H34)</f>
        <v>0.76406216527179827</v>
      </c>
      <c r="I84" s="94">
        <f>'Profit &amp; Loss Statement'!I10/AVERAGE('Balance sheet'!H34:I34)</f>
        <v>0.85281820837771261</v>
      </c>
      <c r="J84" s="94">
        <f>'Profit &amp; Loss Statement'!J10/AVERAGE('Balance sheet'!I34:J34)</f>
        <v>0.84845251816873468</v>
      </c>
      <c r="K84" s="94">
        <f>'Profit &amp; Loss Statement'!K10/AVERAGE('Balance sheet'!J34:K34)</f>
        <v>0.83577107617094981</v>
      </c>
      <c r="L84" s="94">
        <f>'Profit &amp; Loss Statement'!L10/AVERAGE('Balance sheet'!K34:L34)</f>
        <v>0.81734354616182692</v>
      </c>
      <c r="M84" s="94">
        <f>'Profit &amp; Loss Statement'!M10/AVERAGE('Balance sheet'!L34:M34)</f>
        <v>0.79505900144302533</v>
      </c>
      <c r="N84" s="94">
        <f>'Profit &amp; Loss Statement'!N10/AVERAGE('Balance sheet'!M34:N34)</f>
        <v>0.77036651312536508</v>
      </c>
      <c r="O84" s="94">
        <f>'Profit &amp; Loss Statement'!O10/AVERAGE('Balance sheet'!N34:O34)</f>
        <v>0.74429069366366385</v>
      </c>
      <c r="P84" s="94">
        <f>'Profit &amp; Loss Statement'!P10/AVERAGE('Balance sheet'!O34:P34)</f>
        <v>0.71752860448675193</v>
      </c>
      <c r="Q84" s="94">
        <f>'Profit &amp; Loss Statement'!Q10/AVERAGE('Balance sheet'!P34:Q34)</f>
        <v>0.6906429006029019</v>
      </c>
      <c r="S84" s="441" t="s">
        <v>534</v>
      </c>
      <c r="T84" s="442"/>
      <c r="U84" s="442"/>
      <c r="V84" s="442"/>
      <c r="W84" s="442"/>
      <c r="X84" s="442"/>
      <c r="Y84" s="442"/>
      <c r="Z84" s="442"/>
      <c r="AA84" s="442"/>
      <c r="AB84" s="442"/>
      <c r="AC84" s="442"/>
      <c r="AD84" s="442"/>
      <c r="AE84" s="442"/>
      <c r="AF84" s="442"/>
      <c r="AG84" s="442"/>
      <c r="AH84" s="442"/>
      <c r="AI84" s="442"/>
      <c r="AJ84" s="443"/>
    </row>
    <row r="85" spans="2:36" x14ac:dyDescent="0.25">
      <c r="B85" s="96"/>
      <c r="C85" s="213"/>
      <c r="D85" s="213"/>
      <c r="E85" s="213"/>
      <c r="F85" s="213"/>
      <c r="G85" s="213"/>
      <c r="H85" s="213"/>
      <c r="I85" s="213"/>
      <c r="J85" s="213"/>
      <c r="K85" s="213"/>
      <c r="L85" s="213"/>
      <c r="M85" s="213"/>
      <c r="N85" s="213"/>
      <c r="O85" s="213"/>
      <c r="P85" s="213"/>
      <c r="Q85" s="213"/>
      <c r="S85" s="441"/>
      <c r="T85" s="442"/>
      <c r="U85" s="442"/>
      <c r="V85" s="442"/>
      <c r="W85" s="442"/>
      <c r="X85" s="442"/>
      <c r="Y85" s="442"/>
      <c r="Z85" s="442"/>
      <c r="AA85" s="442"/>
      <c r="AB85" s="442"/>
      <c r="AC85" s="442"/>
      <c r="AD85" s="442"/>
      <c r="AE85" s="442"/>
      <c r="AF85" s="442"/>
      <c r="AG85" s="442"/>
      <c r="AH85" s="442"/>
      <c r="AI85" s="442"/>
      <c r="AJ85" s="443"/>
    </row>
    <row r="86" spans="2:36" ht="30.75" customHeight="1" x14ac:dyDescent="0.25">
      <c r="C86" s="213"/>
      <c r="D86" s="213"/>
      <c r="E86" s="213"/>
      <c r="F86" s="213"/>
      <c r="G86" s="213"/>
      <c r="H86" s="213"/>
      <c r="I86" s="213"/>
      <c r="J86" s="213"/>
      <c r="K86" s="213"/>
      <c r="L86" s="213"/>
      <c r="M86" s="213"/>
      <c r="N86" s="213"/>
      <c r="O86" s="213"/>
      <c r="P86" s="213"/>
      <c r="Q86" s="213"/>
      <c r="S86" s="441"/>
      <c r="T86" s="442"/>
      <c r="U86" s="442"/>
      <c r="V86" s="442"/>
      <c r="W86" s="442"/>
      <c r="X86" s="442"/>
      <c r="Y86" s="442"/>
      <c r="Z86" s="442"/>
      <c r="AA86" s="442"/>
      <c r="AB86" s="442"/>
      <c r="AC86" s="442"/>
      <c r="AD86" s="442"/>
      <c r="AE86" s="442"/>
      <c r="AF86" s="442"/>
      <c r="AG86" s="442"/>
      <c r="AH86" s="442"/>
      <c r="AI86" s="442"/>
      <c r="AJ86" s="443"/>
    </row>
    <row r="87" spans="2:36" x14ac:dyDescent="0.25">
      <c r="B87" s="15" t="s">
        <v>388</v>
      </c>
      <c r="C87" s="94"/>
      <c r="D87" s="94">
        <f>AVERAGE('Balance sheet'!C34:D34)/AVERAGE('Balance sheet'!C40:D40)</f>
        <v>1.689203574876835</v>
      </c>
      <c r="E87" s="94">
        <f>AVERAGE('Balance sheet'!D34:E34)/AVERAGE('Balance sheet'!D40:E40)</f>
        <v>1.8382315800667277</v>
      </c>
      <c r="F87" s="94">
        <f>AVERAGE('Balance sheet'!E34:F34)/AVERAGE('Balance sheet'!E40:F40)</f>
        <v>1.6768087069761024</v>
      </c>
      <c r="G87" s="94">
        <f>AVERAGE('Balance sheet'!F34:G34)/AVERAGE('Balance sheet'!F40:G40)</f>
        <v>1.8354109243752497</v>
      </c>
      <c r="H87" s="94">
        <f>AVERAGE('Balance sheet'!G34:H34)/AVERAGE('Balance sheet'!G40:H40)</f>
        <v>1.9423567046897885</v>
      </c>
      <c r="I87" s="94">
        <f>AVERAGE('Balance sheet'!H34:I34)/AVERAGE('Balance sheet'!H40:I40)</f>
        <v>1.7858610092768417</v>
      </c>
      <c r="J87" s="94">
        <f>AVERAGE('Balance sheet'!I34:J34)/AVERAGE('Balance sheet'!I40:J40)</f>
        <v>1.7929505107160699</v>
      </c>
      <c r="K87" s="94">
        <f>AVERAGE('Balance sheet'!J34:K34)/AVERAGE('Balance sheet'!J40:K40)</f>
        <v>1.7845393544552437</v>
      </c>
      <c r="L87" s="94">
        <f>AVERAGE('Balance sheet'!K34:L34)/AVERAGE('Balance sheet'!K40:L40)</f>
        <v>1.7650355978239107</v>
      </c>
      <c r="M87" s="94">
        <f>AVERAGE('Balance sheet'!L34:M34)/AVERAGE('Balance sheet'!L40:M40)</f>
        <v>1.7381232779839966</v>
      </c>
      <c r="N87" s="94">
        <f>AVERAGE('Balance sheet'!M34:N34)/AVERAGE('Balance sheet'!M40:N40)</f>
        <v>1.7067844606000406</v>
      </c>
      <c r="O87" s="94">
        <f>AVERAGE('Balance sheet'!N34:O34)/AVERAGE('Balance sheet'!N40:O40)</f>
        <v>1.6731720789397957</v>
      </c>
      <c r="P87" s="94">
        <f>AVERAGE('Balance sheet'!O34:P34)/AVERAGE('Balance sheet'!O40:P40)</f>
        <v>1.6387466729961593</v>
      </c>
      <c r="Q87" s="94">
        <f>AVERAGE('Balance sheet'!P34:Q34)/AVERAGE('Balance sheet'!P40:Q40)</f>
        <v>1.6045965422763833</v>
      </c>
      <c r="S87" s="441" t="s">
        <v>535</v>
      </c>
      <c r="T87" s="442"/>
      <c r="U87" s="442"/>
      <c r="V87" s="442"/>
      <c r="W87" s="442"/>
      <c r="X87" s="442"/>
      <c r="Y87" s="442"/>
      <c r="Z87" s="442"/>
      <c r="AA87" s="442"/>
      <c r="AB87" s="442"/>
      <c r="AC87" s="442"/>
      <c r="AD87" s="442"/>
      <c r="AE87" s="442"/>
      <c r="AF87" s="442"/>
      <c r="AG87" s="442"/>
      <c r="AH87" s="442"/>
      <c r="AI87" s="442"/>
      <c r="AJ87" s="443"/>
    </row>
    <row r="88" spans="2:36" x14ac:dyDescent="0.25">
      <c r="B88" s="96"/>
      <c r="C88" s="213"/>
      <c r="D88" s="213"/>
      <c r="E88" s="213"/>
      <c r="F88" s="213"/>
      <c r="G88" s="213"/>
      <c r="H88" s="213"/>
      <c r="I88" s="213"/>
      <c r="J88" s="213"/>
      <c r="K88" s="213"/>
      <c r="L88" s="213"/>
      <c r="M88" s="213"/>
      <c r="N88" s="213"/>
      <c r="O88" s="213"/>
      <c r="P88" s="213"/>
      <c r="Q88" s="213"/>
      <c r="S88" s="441"/>
      <c r="T88" s="442"/>
      <c r="U88" s="442"/>
      <c r="V88" s="442"/>
      <c r="W88" s="442"/>
      <c r="X88" s="442"/>
      <c r="Y88" s="442"/>
      <c r="Z88" s="442"/>
      <c r="AA88" s="442"/>
      <c r="AB88" s="442"/>
      <c r="AC88" s="442"/>
      <c r="AD88" s="442"/>
      <c r="AE88" s="442"/>
      <c r="AF88" s="442"/>
      <c r="AG88" s="442"/>
      <c r="AH88" s="442"/>
      <c r="AI88" s="442"/>
      <c r="AJ88" s="443"/>
    </row>
    <row r="89" spans="2:36" ht="29.25" customHeight="1" x14ac:dyDescent="0.25">
      <c r="S89" s="441"/>
      <c r="T89" s="442"/>
      <c r="U89" s="442"/>
      <c r="V89" s="442"/>
      <c r="W89" s="442"/>
      <c r="X89" s="442"/>
      <c r="Y89" s="442"/>
      <c r="Z89" s="442"/>
      <c r="AA89" s="442"/>
      <c r="AB89" s="442"/>
      <c r="AC89" s="442"/>
      <c r="AD89" s="442"/>
      <c r="AE89" s="442"/>
      <c r="AF89" s="442"/>
      <c r="AG89" s="442"/>
      <c r="AH89" s="442"/>
      <c r="AI89" s="442"/>
      <c r="AJ89" s="443"/>
    </row>
    <row r="90" spans="2:36" x14ac:dyDescent="0.25">
      <c r="B90" s="15" t="s">
        <v>389</v>
      </c>
      <c r="C90" s="220"/>
      <c r="D90" s="220">
        <f>D87*D84*D81</f>
        <v>0.29906171861461139</v>
      </c>
      <c r="E90" s="220">
        <f t="shared" ref="E90:Q90" si="2">E87*E84*E81</f>
        <v>0.30704098044689021</v>
      </c>
      <c r="F90" s="220">
        <f t="shared" si="2"/>
        <v>0.21421610480108322</v>
      </c>
      <c r="G90" s="220">
        <f t="shared" si="2"/>
        <v>0.12089746695386307</v>
      </c>
      <c r="H90" s="220">
        <f t="shared" si="2"/>
        <v>0.22380316155159996</v>
      </c>
      <c r="I90" s="220">
        <f t="shared" si="2"/>
        <v>0.24011515551275428</v>
      </c>
      <c r="J90" s="220">
        <f t="shared" si="2"/>
        <v>0.24036200144250836</v>
      </c>
      <c r="K90" s="220">
        <f t="shared" si="2"/>
        <v>0.23725183477391801</v>
      </c>
      <c r="L90" s="220">
        <f t="shared" si="2"/>
        <v>0.22902301415802903</v>
      </c>
      <c r="M90" s="220">
        <f t="shared" si="2"/>
        <v>0.22021711328289698</v>
      </c>
      <c r="N90" s="220">
        <f t="shared" si="2"/>
        <v>0.20865649428419439</v>
      </c>
      <c r="O90" s="220">
        <f t="shared" si="2"/>
        <v>0.19806886559572523</v>
      </c>
      <c r="P90" s="220">
        <f t="shared" si="2"/>
        <v>0.18658645761023049</v>
      </c>
      <c r="Q90" s="220">
        <f t="shared" si="2"/>
        <v>0.17609522491795057</v>
      </c>
      <c r="S90" s="444" t="s">
        <v>519</v>
      </c>
      <c r="T90" s="445"/>
      <c r="U90" s="445"/>
      <c r="V90" s="445"/>
      <c r="W90" s="445"/>
      <c r="X90" s="445"/>
      <c r="Y90" s="445"/>
      <c r="Z90" s="445"/>
      <c r="AA90" s="445"/>
      <c r="AB90" s="445"/>
      <c r="AC90" s="445"/>
      <c r="AD90" s="445"/>
      <c r="AE90" s="445"/>
      <c r="AF90" s="445"/>
      <c r="AG90" s="445"/>
      <c r="AH90" s="445"/>
      <c r="AI90" s="445"/>
      <c r="AJ90" s="446"/>
    </row>
    <row r="91" spans="2:36" x14ac:dyDescent="0.25">
      <c r="S91" s="444"/>
      <c r="T91" s="445"/>
      <c r="U91" s="445"/>
      <c r="V91" s="445"/>
      <c r="W91" s="445"/>
      <c r="X91" s="445"/>
      <c r="Y91" s="445"/>
      <c r="Z91" s="445"/>
      <c r="AA91" s="445"/>
      <c r="AB91" s="445"/>
      <c r="AC91" s="445"/>
      <c r="AD91" s="445"/>
      <c r="AE91" s="445"/>
      <c r="AF91" s="445"/>
      <c r="AG91" s="445"/>
      <c r="AH91" s="445"/>
      <c r="AI91" s="445"/>
      <c r="AJ91" s="446"/>
    </row>
    <row r="92" spans="2:36" ht="48.75" customHeight="1" x14ac:dyDescent="0.25">
      <c r="S92" s="444"/>
      <c r="T92" s="445"/>
      <c r="U92" s="445"/>
      <c r="V92" s="445"/>
      <c r="W92" s="445"/>
      <c r="X92" s="445"/>
      <c r="Y92" s="445"/>
      <c r="Z92" s="445"/>
      <c r="AA92" s="445"/>
      <c r="AB92" s="445"/>
      <c r="AC92" s="445"/>
      <c r="AD92" s="445"/>
      <c r="AE92" s="445"/>
      <c r="AF92" s="445"/>
      <c r="AG92" s="445"/>
      <c r="AH92" s="445"/>
      <c r="AI92" s="445"/>
      <c r="AJ92" s="446"/>
    </row>
    <row r="93" spans="2:36" ht="15" customHeight="1" x14ac:dyDescent="0.25"/>
    <row r="94" spans="2:36" x14ac:dyDescent="0.25">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row>
    <row r="99" ht="15" customHeight="1" x14ac:dyDescent="0.25"/>
  </sheetData>
  <mergeCells count="31">
    <mergeCell ref="S81:AJ83"/>
    <mergeCell ref="S84:AJ86"/>
    <mergeCell ref="S87:AJ89"/>
    <mergeCell ref="S90:AJ92"/>
    <mergeCell ref="S36:AJ38"/>
    <mergeCell ref="S49:AJ51"/>
    <mergeCell ref="S39:AJ41"/>
    <mergeCell ref="S42:AJ44"/>
    <mergeCell ref="S75:AJ77"/>
    <mergeCell ref="B46:Q46"/>
    <mergeCell ref="B61:Q61"/>
    <mergeCell ref="B79:Q79"/>
    <mergeCell ref="S69:AJ71"/>
    <mergeCell ref="S52:AJ54"/>
    <mergeCell ref="S55:AJ57"/>
    <mergeCell ref="S58:AJ60"/>
    <mergeCell ref="S63:AJ65"/>
    <mergeCell ref="S66:AJ68"/>
    <mergeCell ref="S72:AJ74"/>
    <mergeCell ref="S12:AJ14"/>
    <mergeCell ref="B6:AK6"/>
    <mergeCell ref="S8:AJ8"/>
    <mergeCell ref="B10:Q10"/>
    <mergeCell ref="B34:Q34"/>
    <mergeCell ref="S15:AJ17"/>
    <mergeCell ref="S18:AJ20"/>
    <mergeCell ref="S21:AJ23"/>
    <mergeCell ref="S24:AJ26"/>
    <mergeCell ref="S27:AJ29"/>
    <mergeCell ref="S30:AJ32"/>
    <mergeCell ref="B8:B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I13"/>
  <sheetViews>
    <sheetView showGridLines="0" topLeftCell="A7" workbookViewId="0">
      <selection activeCell="M18" sqref="M18"/>
    </sheetView>
  </sheetViews>
  <sheetFormatPr defaultRowHeight="15" x14ac:dyDescent="0.25"/>
  <cols>
    <col min="1" max="1" width="1.85546875" customWidth="1"/>
    <col min="5" max="5" width="14.42578125" bestFit="1" customWidth="1"/>
    <col min="6" max="6" width="14.85546875" bestFit="1" customWidth="1"/>
    <col min="7" max="7" width="13.7109375" bestFit="1" customWidth="1"/>
    <col min="8" max="8" width="14.5703125" bestFit="1" customWidth="1"/>
    <col min="9" max="9" width="17.5703125" bestFit="1" customWidth="1"/>
  </cols>
  <sheetData>
    <row r="6" spans="2:9" x14ac:dyDescent="0.25">
      <c r="B6" s="425" t="s">
        <v>313</v>
      </c>
      <c r="C6" s="425"/>
      <c r="D6" s="425"/>
      <c r="E6" s="425"/>
      <c r="F6" s="425"/>
      <c r="G6" s="425"/>
      <c r="H6" s="425"/>
      <c r="I6" s="425"/>
    </row>
    <row r="7" spans="2:9" ht="15.75" thickBot="1" x14ac:dyDescent="0.3"/>
    <row r="8" spans="2:9" x14ac:dyDescent="0.25">
      <c r="B8" s="164" t="s">
        <v>314</v>
      </c>
      <c r="C8" s="165"/>
      <c r="D8" s="165"/>
      <c r="E8" s="165"/>
      <c r="F8" s="165"/>
      <c r="G8" s="165"/>
      <c r="H8" s="165"/>
      <c r="I8" s="166"/>
    </row>
    <row r="9" spans="2:9" ht="15.75" thickBot="1" x14ac:dyDescent="0.3">
      <c r="B9" s="167"/>
      <c r="C9" s="42"/>
      <c r="D9" s="42"/>
      <c r="E9" s="168" t="s">
        <v>315</v>
      </c>
      <c r="F9" s="168" t="s">
        <v>316</v>
      </c>
      <c r="G9" s="168" t="s">
        <v>317</v>
      </c>
      <c r="H9" s="168" t="s">
        <v>318</v>
      </c>
      <c r="I9" s="169" t="s">
        <v>319</v>
      </c>
    </row>
    <row r="10" spans="2:9" x14ac:dyDescent="0.25">
      <c r="B10" s="170" t="s">
        <v>248</v>
      </c>
      <c r="C10" s="90"/>
      <c r="D10" s="90"/>
      <c r="E10" s="92">
        <f>'Comparable Valuation'!J35</f>
        <v>485.88553295493057</v>
      </c>
      <c r="F10" s="92">
        <f>'Comparable Valuation'!J42</f>
        <v>518.29022135339767</v>
      </c>
      <c r="G10" s="92">
        <v>872</v>
      </c>
      <c r="H10" s="92">
        <v>774</v>
      </c>
      <c r="I10" s="171">
        <v>690</v>
      </c>
    </row>
    <row r="11" spans="2:9" x14ac:dyDescent="0.25">
      <c r="B11" s="172" t="s">
        <v>248</v>
      </c>
      <c r="C11" s="15"/>
      <c r="D11" s="15"/>
      <c r="E11" s="95">
        <f t="shared" ref="E11:I11" si="0">E10</f>
        <v>485.88553295493057</v>
      </c>
      <c r="F11" s="95">
        <f t="shared" si="0"/>
        <v>518.29022135339767</v>
      </c>
      <c r="G11" s="95">
        <f t="shared" si="0"/>
        <v>872</v>
      </c>
      <c r="H11" s="95">
        <f t="shared" si="0"/>
        <v>774</v>
      </c>
      <c r="I11" s="173">
        <f t="shared" si="0"/>
        <v>690</v>
      </c>
    </row>
    <row r="12" spans="2:9" x14ac:dyDescent="0.25">
      <c r="B12" s="172" t="s">
        <v>253</v>
      </c>
      <c r="C12" s="15"/>
      <c r="D12" s="15"/>
      <c r="E12" s="174">
        <f>'Comparable Valuation'!J37</f>
        <v>305.4276150705997</v>
      </c>
      <c r="F12" s="95">
        <f>'Comparable Valuation'!J43</f>
        <v>344.99501632879395</v>
      </c>
      <c r="G12" s="95">
        <v>557</v>
      </c>
      <c r="H12" s="95">
        <v>474</v>
      </c>
      <c r="I12" s="173">
        <v>400</v>
      </c>
    </row>
    <row r="13" spans="2:9" ht="15.75" thickBot="1" x14ac:dyDescent="0.3">
      <c r="B13" s="175" t="s">
        <v>253</v>
      </c>
      <c r="C13" s="176"/>
      <c r="D13" s="176"/>
      <c r="E13" s="177">
        <f t="shared" ref="E13:I13" si="1">E12</f>
        <v>305.4276150705997</v>
      </c>
      <c r="F13" s="177">
        <f t="shared" si="1"/>
        <v>344.99501632879395</v>
      </c>
      <c r="G13" s="177">
        <f t="shared" si="1"/>
        <v>557</v>
      </c>
      <c r="H13" s="177">
        <f t="shared" si="1"/>
        <v>474</v>
      </c>
      <c r="I13" s="178">
        <f t="shared" si="1"/>
        <v>400</v>
      </c>
    </row>
  </sheetData>
  <mergeCells count="1">
    <mergeCell ref="B6:I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Assumption</vt:lpstr>
      <vt:lpstr>Historical P&amp;L</vt:lpstr>
      <vt:lpstr>Historical Balance Sheet</vt:lpstr>
      <vt:lpstr>Revenue BuildUp</vt:lpstr>
      <vt:lpstr>Common Size Statement</vt:lpstr>
      <vt:lpstr>Cost Buildup</vt:lpstr>
      <vt:lpstr>FAS</vt:lpstr>
      <vt:lpstr>BS Items</vt:lpstr>
      <vt:lpstr>Working Capital</vt:lpstr>
      <vt:lpstr>Debt Schedules</vt:lpstr>
      <vt:lpstr>Profit &amp; Loss Statement</vt:lpstr>
      <vt:lpstr>Balance sheet</vt:lpstr>
      <vt:lpstr>CashFlow</vt:lpstr>
      <vt:lpstr> Market Return</vt:lpstr>
      <vt:lpstr>Equity Return</vt:lpstr>
      <vt:lpstr>Comps Beta</vt:lpstr>
      <vt:lpstr>DCF Valuation</vt:lpstr>
      <vt:lpstr>Comps Data</vt:lpstr>
      <vt:lpstr>Comparable Valuation</vt:lpstr>
      <vt:lpstr>Ratio Analysis</vt:lpstr>
      <vt:lpstr>Football Field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Dhiraj Kumar</dc:creator>
  <cp:lastModifiedBy>Dhiraj Kumar</cp:lastModifiedBy>
  <dcterms:created xsi:type="dcterms:W3CDTF">2025-10-06T14:11:39Z</dcterms:created>
  <dcterms:modified xsi:type="dcterms:W3CDTF">2026-02-10T07:33:44Z</dcterms:modified>
</cp:coreProperties>
</file>