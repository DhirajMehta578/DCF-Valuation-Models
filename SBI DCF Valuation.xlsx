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2.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raj Kumar\OneDrive\Desktop\Jobaaj Assigment\"/>
    </mc:Choice>
  </mc:AlternateContent>
  <bookViews>
    <workbookView xWindow="0" yWindow="0" windowWidth="20145" windowHeight="7590" firstSheet="9" activeTab="11"/>
  </bookViews>
  <sheets>
    <sheet name="SBI" sheetId="24" r:id="rId1"/>
    <sheet name="Assumptions" sheetId="6" r:id="rId2"/>
    <sheet name="P&amp;L_Input" sheetId="1" r:id="rId3"/>
    <sheet name="BS_Input" sheetId="2" r:id="rId4"/>
    <sheet name="Revenue_Build Up" sheetId="5" r:id="rId5"/>
    <sheet name="Cost_BuildUp" sheetId="4" r:id="rId6"/>
    <sheet name="Debt Schedules" sheetId="10" r:id="rId7"/>
    <sheet name="FAS" sheetId="7" r:id="rId8"/>
    <sheet name="Working Capital" sheetId="19" r:id="rId9"/>
    <sheet name="BS_Items" sheetId="8" r:id="rId10"/>
    <sheet name="Income Statement" sheetId="11" r:id="rId11"/>
    <sheet name="Balance Sheet" sheetId="12" r:id="rId12"/>
    <sheet name="Cash Flow" sheetId="3" r:id="rId13"/>
    <sheet name="Common Size Statement" sheetId="23" r:id="rId14"/>
    <sheet name="Ratio Analysis" sheetId="20" r:id="rId15"/>
    <sheet name="Charts" sheetId="22" r:id="rId16"/>
    <sheet name="Market Return" sheetId="15" r:id="rId17"/>
    <sheet name="Equity Beta" sheetId="16" r:id="rId18"/>
    <sheet name="Comps Data" sheetId="13" r:id="rId19"/>
    <sheet name="Comparable Valuation" sheetId="14" r:id="rId20"/>
    <sheet name="DCF Analysis" sheetId="18" r:id="rId21"/>
    <sheet name="Football Field Analysis" sheetId="25" r:id="rId22"/>
  </sheets>
  <externalReferences>
    <externalReference r:id="rId23"/>
  </externalReferences>
  <calcPr calcId="162913"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18" l="1"/>
  <c r="F29" i="18"/>
  <c r="F26" i="18"/>
  <c r="I12" i="25"/>
  <c r="I10" i="25"/>
  <c r="H12" i="25"/>
  <c r="H10" i="25"/>
  <c r="G10" i="25"/>
  <c r="G12" i="25"/>
  <c r="F12" i="25"/>
  <c r="F11" i="25"/>
  <c r="F9" i="25"/>
  <c r="F10" i="25" s="1"/>
  <c r="E11" i="25"/>
  <c r="E12" i="25" s="1"/>
  <c r="E9" i="25"/>
  <c r="E10" i="25" s="1"/>
  <c r="G107" i="20"/>
  <c r="F107" i="20"/>
  <c r="E107" i="20"/>
  <c r="G97" i="20"/>
  <c r="F97" i="20"/>
  <c r="E97" i="20"/>
  <c r="D97" i="20"/>
  <c r="C97" i="20"/>
  <c r="G93" i="20"/>
  <c r="F93" i="20"/>
  <c r="E93" i="20"/>
  <c r="D93" i="20"/>
  <c r="C93" i="20"/>
  <c r="G83" i="20"/>
  <c r="F83" i="20"/>
  <c r="E83" i="20"/>
  <c r="D83" i="20"/>
  <c r="C83" i="20"/>
  <c r="G79" i="20"/>
  <c r="F79" i="20"/>
  <c r="E79" i="20"/>
  <c r="D79" i="20"/>
  <c r="G75" i="20"/>
  <c r="F75" i="20"/>
  <c r="E75" i="20"/>
  <c r="D75" i="20"/>
  <c r="G61" i="20"/>
  <c r="F61" i="20"/>
  <c r="E61" i="20"/>
  <c r="D61" i="20"/>
  <c r="G40" i="20"/>
  <c r="F40" i="20"/>
  <c r="E40" i="20"/>
  <c r="D40" i="20"/>
  <c r="G44" i="20"/>
  <c r="F44" i="20"/>
  <c r="E44" i="20"/>
  <c r="D44" i="20"/>
  <c r="G35" i="12"/>
  <c r="F35" i="12"/>
  <c r="E35" i="12"/>
  <c r="D35" i="12"/>
  <c r="C35" i="12"/>
  <c r="G24" i="12"/>
  <c r="F24" i="12"/>
  <c r="E24" i="12"/>
  <c r="D24" i="12"/>
  <c r="C24" i="12"/>
  <c r="G12" i="1"/>
  <c r="B31" i="8" l="1"/>
  <c r="B28" i="8"/>
  <c r="B25" i="8"/>
  <c r="B22" i="8"/>
  <c r="B19" i="8"/>
  <c r="B16" i="8"/>
  <c r="B13" i="8"/>
  <c r="H68" i="5" l="1"/>
  <c r="H76" i="5"/>
  <c r="H35" i="5" l="1"/>
  <c r="H26" i="5"/>
  <c r="G91" i="5" l="1"/>
  <c r="F91" i="5"/>
  <c r="E91" i="5"/>
  <c r="D91" i="5"/>
  <c r="G90" i="5"/>
  <c r="F90" i="5"/>
  <c r="E90" i="5"/>
  <c r="D90" i="5"/>
  <c r="C90" i="5"/>
  <c r="H17" i="5"/>
  <c r="H19" i="5"/>
  <c r="I39" i="18" l="1"/>
  <c r="I40" i="18"/>
  <c r="I43" i="18"/>
  <c r="I42" i="18"/>
  <c r="I30" i="18" l="1"/>
  <c r="I31" i="18"/>
  <c r="G27" i="23" l="1"/>
  <c r="F27" i="23"/>
  <c r="E27" i="23"/>
  <c r="D27" i="23"/>
  <c r="C27" i="23"/>
  <c r="G26" i="23"/>
  <c r="F26" i="23"/>
  <c r="E26" i="23"/>
  <c r="D26" i="23"/>
  <c r="C26" i="23"/>
  <c r="G25" i="23"/>
  <c r="F25" i="23"/>
  <c r="E25" i="23"/>
  <c r="D25" i="23"/>
  <c r="C25" i="23"/>
  <c r="G21" i="23"/>
  <c r="F21" i="23"/>
  <c r="E21" i="23"/>
  <c r="D21" i="23"/>
  <c r="C21" i="23"/>
  <c r="G11" i="23"/>
  <c r="F11" i="23"/>
  <c r="E11" i="23"/>
  <c r="D11" i="23"/>
  <c r="C11" i="23"/>
  <c r="D7" i="23"/>
  <c r="E7" i="23" s="1"/>
  <c r="F7" i="23" s="1"/>
  <c r="G7" i="23" s="1"/>
  <c r="H7" i="23" s="1"/>
  <c r="I7" i="23" s="1"/>
  <c r="J7" i="23" s="1"/>
  <c r="K7" i="23" s="1"/>
  <c r="L7" i="23" s="1"/>
  <c r="M7" i="23" s="1"/>
  <c r="N7" i="23" s="1"/>
  <c r="O7" i="23" s="1"/>
  <c r="P7" i="23" s="1"/>
  <c r="Q7" i="23" s="1"/>
  <c r="Q32" i="20" l="1"/>
  <c r="P32" i="20"/>
  <c r="O32" i="20"/>
  <c r="N32" i="20"/>
  <c r="M32" i="20"/>
  <c r="L32" i="20"/>
  <c r="K32" i="20"/>
  <c r="J32" i="20"/>
  <c r="I32" i="20"/>
  <c r="H32" i="20"/>
  <c r="D7" i="20"/>
  <c r="E7" i="20" s="1"/>
  <c r="F7" i="20" s="1"/>
  <c r="G7" i="20" s="1"/>
  <c r="H7" i="20" s="1"/>
  <c r="I7" i="20" s="1"/>
  <c r="J7" i="20" s="1"/>
  <c r="K7" i="20" s="1"/>
  <c r="L7" i="20" s="1"/>
  <c r="M7" i="20" s="1"/>
  <c r="N7" i="20" s="1"/>
  <c r="O7" i="20" s="1"/>
  <c r="P7" i="20" s="1"/>
  <c r="Q7" i="20" s="1"/>
  <c r="F7" i="15" l="1"/>
  <c r="F8" i="15" s="1"/>
  <c r="M29" i="18"/>
  <c r="N29" i="18" s="1"/>
  <c r="K29" i="18"/>
  <c r="J29" i="18" s="1"/>
  <c r="I33" i="18"/>
  <c r="I34" i="18" s="1"/>
  <c r="D7" i="19"/>
  <c r="E7" i="19" s="1"/>
  <c r="F7" i="19" s="1"/>
  <c r="G7" i="19" s="1"/>
  <c r="H7" i="19" s="1"/>
  <c r="I7" i="19" s="1"/>
  <c r="J7" i="19" s="1"/>
  <c r="K7" i="19" s="1"/>
  <c r="L7" i="19" s="1"/>
  <c r="M7" i="19" s="1"/>
  <c r="N7" i="19" s="1"/>
  <c r="O7" i="19" s="1"/>
  <c r="P7" i="19" s="1"/>
  <c r="Q7" i="19" s="1"/>
  <c r="G19" i="12" l="1"/>
  <c r="F19" i="12"/>
  <c r="E19" i="12"/>
  <c r="D19" i="12"/>
  <c r="G18" i="12"/>
  <c r="F18" i="12"/>
  <c r="E18" i="12"/>
  <c r="D18" i="12"/>
  <c r="C19" i="12"/>
  <c r="C18" i="12"/>
  <c r="G15" i="8"/>
  <c r="F15" i="8"/>
  <c r="E15" i="8"/>
  <c r="D15" i="8"/>
  <c r="G12" i="8"/>
  <c r="F12" i="8"/>
  <c r="E12" i="8"/>
  <c r="D12" i="8"/>
  <c r="C15" i="8"/>
  <c r="C12" i="8"/>
  <c r="B15" i="8"/>
  <c r="B12" i="8"/>
  <c r="D10" i="19" l="1"/>
  <c r="E10" i="19"/>
  <c r="F10" i="19"/>
  <c r="G10" i="19"/>
  <c r="C22" i="6"/>
  <c r="F42" i="18"/>
  <c r="C27" i="18"/>
  <c r="D18" i="18"/>
  <c r="I10" i="18"/>
  <c r="I12" i="18" s="1"/>
  <c r="H10" i="18"/>
  <c r="J11" i="18"/>
  <c r="J10" i="18" s="1"/>
  <c r="E7" i="18"/>
  <c r="F7" i="18" s="1"/>
  <c r="G7" i="18" s="1"/>
  <c r="H7" i="18" s="1"/>
  <c r="I7" i="18" s="1"/>
  <c r="J7" i="18" s="1"/>
  <c r="K7" i="18" s="1"/>
  <c r="L7" i="18" s="1"/>
  <c r="M7" i="18" s="1"/>
  <c r="N7" i="18" s="1"/>
  <c r="O7" i="18" s="1"/>
  <c r="P7" i="18" s="1"/>
  <c r="Q7" i="18" s="1"/>
  <c r="R7" i="18" s="1"/>
  <c r="J12" i="18" l="1"/>
  <c r="K11" i="18"/>
  <c r="K10" i="18" s="1"/>
  <c r="L11" i="18" l="1"/>
  <c r="L10" i="18" s="1"/>
  <c r="K12" i="18" l="1"/>
  <c r="M11" i="18"/>
  <c r="M10" i="18" s="1"/>
  <c r="N11" i="18" l="1"/>
  <c r="N10" i="18" s="1"/>
  <c r="L12" i="18"/>
  <c r="O11" i="18" l="1"/>
  <c r="O10" i="18" s="1"/>
  <c r="M12" i="18"/>
  <c r="O12" i="18" l="1"/>
  <c r="P11" i="18"/>
  <c r="P10" i="18" s="1"/>
  <c r="N12" i="18"/>
  <c r="Q11" i="18" l="1"/>
  <c r="Q10" i="18" s="1"/>
  <c r="P12" i="18"/>
  <c r="R11" i="18" l="1"/>
  <c r="R10" i="18" s="1"/>
  <c r="S10" i="18" s="1"/>
  <c r="R12" i="18" l="1"/>
  <c r="S12" i="18" s="1"/>
  <c r="Q12" i="18"/>
  <c r="I11" i="16" l="1"/>
  <c r="F69" i="16" l="1"/>
  <c r="F68" i="16"/>
  <c r="F67" i="16"/>
  <c r="F66" i="16"/>
  <c r="F65" i="16"/>
  <c r="F64"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I9" i="16" s="1"/>
  <c r="C30" i="18" s="1"/>
  <c r="C28" i="18"/>
  <c r="C29" i="18" s="1"/>
  <c r="I42" i="14"/>
  <c r="I41" i="14"/>
  <c r="I40" i="14"/>
  <c r="I36" i="14"/>
  <c r="I35" i="14"/>
  <c r="I34" i="14"/>
  <c r="G36" i="14"/>
  <c r="G35" i="14"/>
  <c r="G34" i="14"/>
  <c r="M30" i="14"/>
  <c r="N30" i="14"/>
  <c r="L30" i="14"/>
  <c r="I30" i="14"/>
  <c r="H30" i="14"/>
  <c r="F30" i="14"/>
  <c r="E30" i="14"/>
  <c r="B30" i="14"/>
  <c r="N20" i="14"/>
  <c r="M20" i="14"/>
  <c r="L20" i="14"/>
  <c r="N19" i="14"/>
  <c r="M19" i="14"/>
  <c r="L19" i="14"/>
  <c r="N18" i="14"/>
  <c r="M18" i="14"/>
  <c r="L18" i="14"/>
  <c r="N17" i="14"/>
  <c r="M17" i="14"/>
  <c r="L17" i="14"/>
  <c r="N16" i="14"/>
  <c r="M16" i="14"/>
  <c r="L16" i="14"/>
  <c r="N15" i="14"/>
  <c r="M15" i="14"/>
  <c r="L15" i="14"/>
  <c r="N14" i="14"/>
  <c r="M14" i="14"/>
  <c r="L14" i="14"/>
  <c r="N13" i="14"/>
  <c r="M13" i="14"/>
  <c r="L13" i="14"/>
  <c r="N12" i="14"/>
  <c r="M12" i="14"/>
  <c r="L12" i="14"/>
  <c r="N11" i="14"/>
  <c r="M11" i="14"/>
  <c r="L11" i="14"/>
  <c r="I20" i="14"/>
  <c r="H20" i="14"/>
  <c r="I19" i="14"/>
  <c r="H19" i="14"/>
  <c r="I18" i="14"/>
  <c r="H18" i="14"/>
  <c r="I17" i="14"/>
  <c r="H17" i="14"/>
  <c r="I16" i="14"/>
  <c r="H16" i="14"/>
  <c r="I15" i="14"/>
  <c r="H15" i="14"/>
  <c r="I14" i="14"/>
  <c r="H14" i="14"/>
  <c r="I13" i="14"/>
  <c r="H13" i="14"/>
  <c r="I12" i="14"/>
  <c r="H12" i="14"/>
  <c r="I11" i="14"/>
  <c r="H11" i="14"/>
  <c r="F20" i="14"/>
  <c r="E20" i="14"/>
  <c r="G20" i="14" s="1"/>
  <c r="F19" i="14"/>
  <c r="E19" i="14"/>
  <c r="G19" i="14" s="1"/>
  <c r="J19" i="14" s="1"/>
  <c r="F18" i="14"/>
  <c r="E18" i="14"/>
  <c r="G18" i="14" s="1"/>
  <c r="F17" i="14"/>
  <c r="E17" i="14"/>
  <c r="F16" i="14"/>
  <c r="E16" i="14"/>
  <c r="G16" i="14" s="1"/>
  <c r="F15" i="14"/>
  <c r="E15" i="14"/>
  <c r="G15" i="14" s="1"/>
  <c r="F14" i="14"/>
  <c r="E14" i="14"/>
  <c r="F13" i="14"/>
  <c r="E13" i="14"/>
  <c r="F12" i="14"/>
  <c r="E12" i="14"/>
  <c r="G12" i="14" s="1"/>
  <c r="G14" i="14"/>
  <c r="R14" i="14" s="1"/>
  <c r="F11" i="14"/>
  <c r="E11" i="14"/>
  <c r="G11" i="14" s="1"/>
  <c r="B20" i="14"/>
  <c r="B19" i="14"/>
  <c r="B18" i="14"/>
  <c r="B17" i="14"/>
  <c r="B16" i="14"/>
  <c r="B15" i="14"/>
  <c r="B14" i="14"/>
  <c r="B13" i="14"/>
  <c r="B12" i="14"/>
  <c r="B11" i="14"/>
  <c r="G41" i="14"/>
  <c r="G42" i="14"/>
  <c r="G40" i="14"/>
  <c r="I10" i="16" l="1"/>
  <c r="C31" i="18"/>
  <c r="C23" i="6"/>
  <c r="C24" i="6" s="1"/>
  <c r="G30" i="14"/>
  <c r="J20" i="14"/>
  <c r="R20" i="14"/>
  <c r="P19" i="14"/>
  <c r="Q19" i="14"/>
  <c r="R19" i="14"/>
  <c r="J18" i="14"/>
  <c r="R18" i="14"/>
  <c r="G17" i="14"/>
  <c r="J16" i="14"/>
  <c r="R16" i="14"/>
  <c r="R15" i="14"/>
  <c r="J15" i="14"/>
  <c r="J14" i="14"/>
  <c r="G13" i="14"/>
  <c r="R12" i="14"/>
  <c r="J12" i="14"/>
  <c r="R11" i="14"/>
  <c r="J11" i="14"/>
  <c r="D6" i="3"/>
  <c r="E6" i="3" s="1"/>
  <c r="F6" i="3" s="1"/>
  <c r="G6" i="3" s="1"/>
  <c r="H6" i="3" s="1"/>
  <c r="I6" i="3" s="1"/>
  <c r="J6" i="3" s="1"/>
  <c r="K6" i="3" s="1"/>
  <c r="L6" i="3" s="1"/>
  <c r="M6" i="3" s="1"/>
  <c r="N6" i="3" s="1"/>
  <c r="O6" i="3" s="1"/>
  <c r="P6" i="3" s="1"/>
  <c r="Q6" i="3" s="1"/>
  <c r="H62" i="3"/>
  <c r="G32" i="12"/>
  <c r="F32" i="12"/>
  <c r="E32" i="12"/>
  <c r="D32" i="12"/>
  <c r="G31" i="12"/>
  <c r="F31" i="12"/>
  <c r="E31" i="12"/>
  <c r="D31" i="12"/>
  <c r="G30" i="12"/>
  <c r="F30" i="12"/>
  <c r="E30" i="12"/>
  <c r="D30" i="12"/>
  <c r="G29" i="12"/>
  <c r="F29" i="12"/>
  <c r="E29" i="12"/>
  <c r="D29" i="12"/>
  <c r="G28" i="12"/>
  <c r="F28" i="12"/>
  <c r="E28" i="12"/>
  <c r="D28" i="12"/>
  <c r="G27" i="12"/>
  <c r="F27" i="12"/>
  <c r="E27" i="12"/>
  <c r="D27" i="12"/>
  <c r="C32" i="12"/>
  <c r="C31" i="12"/>
  <c r="C30" i="12"/>
  <c r="C29" i="12"/>
  <c r="C28" i="12"/>
  <c r="C27" i="12"/>
  <c r="G21" i="12"/>
  <c r="F21" i="12"/>
  <c r="E21" i="12"/>
  <c r="D21" i="12"/>
  <c r="G20" i="12"/>
  <c r="G22" i="12" s="1"/>
  <c r="F20" i="12"/>
  <c r="F22" i="12" s="1"/>
  <c r="E20" i="12"/>
  <c r="E22" i="12" s="1"/>
  <c r="D20" i="12"/>
  <c r="D22" i="12" s="1"/>
  <c r="G14" i="12"/>
  <c r="F14" i="12"/>
  <c r="E14" i="12"/>
  <c r="D14" i="12"/>
  <c r="G13" i="12"/>
  <c r="F13" i="12"/>
  <c r="E13" i="12"/>
  <c r="D13" i="12"/>
  <c r="G12" i="12"/>
  <c r="F12" i="12"/>
  <c r="F15" i="12" s="1"/>
  <c r="E12" i="12"/>
  <c r="E15" i="12" s="1"/>
  <c r="D12" i="12"/>
  <c r="D15" i="12" s="1"/>
  <c r="C21" i="12"/>
  <c r="C20" i="12"/>
  <c r="C22" i="12" s="1"/>
  <c r="C14" i="12"/>
  <c r="C13" i="12"/>
  <c r="C12" i="12"/>
  <c r="D7" i="12"/>
  <c r="E7" i="12" s="1"/>
  <c r="F7" i="12" s="1"/>
  <c r="G7" i="12" s="1"/>
  <c r="H7" i="12" s="1"/>
  <c r="I7" i="12" s="1"/>
  <c r="J7" i="12" s="1"/>
  <c r="K7" i="12" s="1"/>
  <c r="L7" i="12" s="1"/>
  <c r="M7" i="12" s="1"/>
  <c r="N7" i="12" s="1"/>
  <c r="O7" i="12" s="1"/>
  <c r="P7" i="12" s="1"/>
  <c r="Q7" i="12" s="1"/>
  <c r="G34" i="11"/>
  <c r="F34" i="11"/>
  <c r="E34" i="11"/>
  <c r="D34" i="11"/>
  <c r="C34" i="11"/>
  <c r="G10" i="11"/>
  <c r="F10" i="11"/>
  <c r="E10" i="11"/>
  <c r="D10" i="11"/>
  <c r="C10" i="11"/>
  <c r="D7" i="11"/>
  <c r="E7" i="11" s="1"/>
  <c r="F7" i="11" s="1"/>
  <c r="G7" i="11" s="1"/>
  <c r="H7" i="11" s="1"/>
  <c r="I7" i="11" s="1"/>
  <c r="J7" i="11" s="1"/>
  <c r="K7" i="11" s="1"/>
  <c r="L7" i="11" s="1"/>
  <c r="M7" i="11" s="1"/>
  <c r="N7" i="11" s="1"/>
  <c r="O7" i="11" s="1"/>
  <c r="P7" i="11" s="1"/>
  <c r="Q7" i="11" s="1"/>
  <c r="G14" i="10"/>
  <c r="G24" i="11" s="1"/>
  <c r="F14" i="10"/>
  <c r="F24" i="11" s="1"/>
  <c r="E14" i="10"/>
  <c r="E24" i="11" s="1"/>
  <c r="D14" i="10"/>
  <c r="D24" i="11" s="1"/>
  <c r="C14" i="10"/>
  <c r="C24" i="11" s="1"/>
  <c r="D7" i="10"/>
  <c r="E7" i="10" s="1"/>
  <c r="F7" i="10" s="1"/>
  <c r="G7" i="10" s="1"/>
  <c r="H7" i="10" s="1"/>
  <c r="I7" i="10" s="1"/>
  <c r="J7" i="10" s="1"/>
  <c r="K7" i="10" s="1"/>
  <c r="L7" i="10" s="1"/>
  <c r="M7" i="10" s="1"/>
  <c r="N7" i="10" s="1"/>
  <c r="O7" i="10" s="1"/>
  <c r="P7" i="10" s="1"/>
  <c r="Q7" i="10" s="1"/>
  <c r="C15" i="12" l="1"/>
  <c r="G15" i="12"/>
  <c r="F87" i="20"/>
  <c r="F11" i="19"/>
  <c r="E16" i="19"/>
  <c r="G11" i="19"/>
  <c r="G12" i="19"/>
  <c r="C75" i="20"/>
  <c r="D16" i="19"/>
  <c r="E33" i="12"/>
  <c r="E48" i="23" s="1"/>
  <c r="F16" i="19"/>
  <c r="E53" i="23"/>
  <c r="F17" i="19"/>
  <c r="F12" i="19"/>
  <c r="F39" i="18"/>
  <c r="D87" i="20"/>
  <c r="D11" i="19"/>
  <c r="D12" i="19"/>
  <c r="C79" i="20"/>
  <c r="D107" i="20"/>
  <c r="F33" i="12"/>
  <c r="F43" i="23" s="1"/>
  <c r="G16" i="19"/>
  <c r="G17" i="19"/>
  <c r="D33" i="12"/>
  <c r="D50" i="23" s="1"/>
  <c r="E17" i="19"/>
  <c r="H12" i="12"/>
  <c r="E38" i="23"/>
  <c r="E11" i="19"/>
  <c r="E12" i="19"/>
  <c r="D17" i="19"/>
  <c r="F37" i="18"/>
  <c r="H28" i="12"/>
  <c r="I28" i="12" s="1"/>
  <c r="J28" i="12" s="1"/>
  <c r="K28" i="12" s="1"/>
  <c r="L28" i="12" s="1"/>
  <c r="M28" i="12" s="1"/>
  <c r="N28" i="12" s="1"/>
  <c r="O28" i="12" s="1"/>
  <c r="P28" i="12" s="1"/>
  <c r="Q28" i="12" s="1"/>
  <c r="C39" i="18"/>
  <c r="J30" i="14"/>
  <c r="R30" i="14"/>
  <c r="Q20" i="14"/>
  <c r="P20" i="14"/>
  <c r="Q18" i="14"/>
  <c r="P18" i="14"/>
  <c r="R17" i="14"/>
  <c r="R28" i="14" s="1"/>
  <c r="J17" i="14"/>
  <c r="Q16" i="14"/>
  <c r="P16" i="14"/>
  <c r="Q15" i="14"/>
  <c r="P15" i="14"/>
  <c r="Q14" i="14"/>
  <c r="P14" i="14"/>
  <c r="R13" i="14"/>
  <c r="J13" i="14"/>
  <c r="P12" i="14"/>
  <c r="Q12" i="14"/>
  <c r="Q11" i="14"/>
  <c r="P11" i="14"/>
  <c r="R26" i="14"/>
  <c r="E36" i="14" s="1"/>
  <c r="H36" i="14" s="1"/>
  <c r="R24" i="14"/>
  <c r="R27" i="14"/>
  <c r="R25" i="14"/>
  <c r="E42" i="14" s="1"/>
  <c r="H42" i="14" s="1"/>
  <c r="R23" i="14"/>
  <c r="C33" i="12"/>
  <c r="C51" i="23" s="1"/>
  <c r="G33" i="12"/>
  <c r="G43" i="23" s="1"/>
  <c r="H48" i="3" l="1"/>
  <c r="C45" i="23"/>
  <c r="D48" i="23"/>
  <c r="G13" i="19"/>
  <c r="G20" i="19" s="1"/>
  <c r="H19" i="18" s="1"/>
  <c r="E45" i="23"/>
  <c r="E50" i="23"/>
  <c r="D18" i="19"/>
  <c r="E43" i="23"/>
  <c r="E44" i="23"/>
  <c r="E40" i="23"/>
  <c r="E52" i="23"/>
  <c r="E49" i="23"/>
  <c r="E39" i="23"/>
  <c r="D53" i="23"/>
  <c r="F52" i="23"/>
  <c r="F50" i="23"/>
  <c r="G53" i="23"/>
  <c r="F51" i="23"/>
  <c r="I12" i="12"/>
  <c r="G50" i="23"/>
  <c r="E13" i="19"/>
  <c r="F39" i="23"/>
  <c r="C49" i="23"/>
  <c r="F48" i="23"/>
  <c r="D39" i="23"/>
  <c r="D52" i="23"/>
  <c r="D51" i="23"/>
  <c r="G52" i="23"/>
  <c r="G49" i="23"/>
  <c r="G48" i="23"/>
  <c r="E87" i="20"/>
  <c r="C38" i="23"/>
  <c r="G18" i="19"/>
  <c r="F49" i="23"/>
  <c r="D38" i="23"/>
  <c r="D49" i="23"/>
  <c r="C87" i="20"/>
  <c r="G39" i="23"/>
  <c r="F54" i="23"/>
  <c r="G53" i="20"/>
  <c r="F41" i="23"/>
  <c r="F42" i="23"/>
  <c r="C48" i="23"/>
  <c r="G40" i="23"/>
  <c r="F40" i="23"/>
  <c r="F18" i="19"/>
  <c r="G44" i="23"/>
  <c r="G45" i="23"/>
  <c r="C40" i="23"/>
  <c r="D54" i="23"/>
  <c r="E53" i="20"/>
  <c r="D41" i="23"/>
  <c r="D42" i="23"/>
  <c r="F53" i="23"/>
  <c r="C52" i="23"/>
  <c r="D44" i="23"/>
  <c r="D43" i="23"/>
  <c r="D45" i="23"/>
  <c r="C44" i="23"/>
  <c r="E51" i="23"/>
  <c r="G87" i="20"/>
  <c r="E18" i="19"/>
  <c r="F13" i="19"/>
  <c r="F20" i="19" s="1"/>
  <c r="G19" i="18" s="1"/>
  <c r="F38" i="23"/>
  <c r="G54" i="23"/>
  <c r="G42" i="23"/>
  <c r="G41" i="23"/>
  <c r="C54" i="23"/>
  <c r="D53" i="20"/>
  <c r="C42" i="23"/>
  <c r="C41" i="23"/>
  <c r="G51" i="23"/>
  <c r="C53" i="23"/>
  <c r="E20" i="19"/>
  <c r="F19" i="18" s="1"/>
  <c r="G38" i="23"/>
  <c r="C50" i="23"/>
  <c r="D13" i="19"/>
  <c r="D40" i="23"/>
  <c r="C39" i="23"/>
  <c r="F44" i="23"/>
  <c r="C43" i="23"/>
  <c r="E54" i="23"/>
  <c r="F53" i="20"/>
  <c r="E42" i="23"/>
  <c r="E41" i="23"/>
  <c r="F45" i="23"/>
  <c r="Q30" i="14"/>
  <c r="P30" i="14"/>
  <c r="Q17" i="14"/>
  <c r="P17" i="14"/>
  <c r="P28" i="14" s="1"/>
  <c r="Q28" i="14"/>
  <c r="P13" i="14"/>
  <c r="P27" i="14" s="1"/>
  <c r="Q13" i="14"/>
  <c r="Q24" i="14" s="1"/>
  <c r="P26" i="14"/>
  <c r="E34" i="14" s="1"/>
  <c r="Q26" i="14"/>
  <c r="E35" i="14" s="1"/>
  <c r="Q27" i="14"/>
  <c r="Q25" i="14"/>
  <c r="E41" i="14" s="1"/>
  <c r="Q23" i="14"/>
  <c r="J12" i="12"/>
  <c r="J42" i="14"/>
  <c r="L42" i="14" s="1"/>
  <c r="F42" i="14"/>
  <c r="J36" i="14"/>
  <c r="L36" i="14" s="1"/>
  <c r="F36" i="14"/>
  <c r="D20" i="19" l="1"/>
  <c r="E19" i="18" s="1"/>
  <c r="I48" i="3"/>
  <c r="P24" i="14"/>
  <c r="P25" i="14"/>
  <c r="E40" i="14" s="1"/>
  <c r="F40" i="14" s="1"/>
  <c r="H40" i="14" s="1"/>
  <c r="J40" i="14" s="1"/>
  <c r="L40" i="14" s="1"/>
  <c r="P23" i="14"/>
  <c r="C19" i="6"/>
  <c r="F35" i="14"/>
  <c r="H35" i="14" s="1"/>
  <c r="J35" i="14" s="1"/>
  <c r="L35" i="14" s="1"/>
  <c r="F41" i="14"/>
  <c r="H41" i="14" s="1"/>
  <c r="J41" i="14" s="1"/>
  <c r="L41" i="14" s="1"/>
  <c r="F34" i="14"/>
  <c r="H34" i="14" s="1"/>
  <c r="J34" i="14" s="1"/>
  <c r="L34" i="14" s="1"/>
  <c r="K12" i="12"/>
  <c r="J48" i="3"/>
  <c r="Q46" i="7"/>
  <c r="P46" i="7"/>
  <c r="O46" i="7"/>
  <c r="N46" i="7"/>
  <c r="M46" i="7"/>
  <c r="L46" i="7"/>
  <c r="K46" i="7"/>
  <c r="J46" i="7"/>
  <c r="I46" i="7"/>
  <c r="H46" i="7"/>
  <c r="H43" i="7"/>
  <c r="Q41" i="7"/>
  <c r="P41" i="7"/>
  <c r="O41" i="7"/>
  <c r="N41" i="7"/>
  <c r="M41" i="7"/>
  <c r="L41" i="7"/>
  <c r="K41" i="7"/>
  <c r="J41" i="7"/>
  <c r="I41" i="7"/>
  <c r="H41" i="7"/>
  <c r="H40" i="7"/>
  <c r="H34" i="7"/>
  <c r="I34" i="7" s="1"/>
  <c r="J34" i="7" s="1"/>
  <c r="K34" i="7" s="1"/>
  <c r="L34" i="7" s="1"/>
  <c r="M34" i="7" s="1"/>
  <c r="N34" i="7" s="1"/>
  <c r="O34" i="7" s="1"/>
  <c r="P34" i="7" s="1"/>
  <c r="Q34" i="7" s="1"/>
  <c r="H25" i="7"/>
  <c r="I25" i="7" s="1"/>
  <c r="J25" i="7" s="1"/>
  <c r="K25" i="7" s="1"/>
  <c r="L25" i="7" s="1"/>
  <c r="M25" i="7" s="1"/>
  <c r="N25" i="7" s="1"/>
  <c r="O25" i="7" s="1"/>
  <c r="P25" i="7" s="1"/>
  <c r="Q25" i="7" s="1"/>
  <c r="H31" i="7"/>
  <c r="I31" i="7" s="1"/>
  <c r="J31" i="7" s="1"/>
  <c r="K31" i="7" s="1"/>
  <c r="L31" i="7" s="1"/>
  <c r="M31" i="7" s="1"/>
  <c r="N31" i="7" s="1"/>
  <c r="O31" i="7" s="1"/>
  <c r="P31" i="7" s="1"/>
  <c r="Q31" i="7" s="1"/>
  <c r="H22" i="7"/>
  <c r="I22" i="7" s="1"/>
  <c r="J22" i="7" s="1"/>
  <c r="K22" i="7" s="1"/>
  <c r="L22" i="7" s="1"/>
  <c r="M22" i="7" s="1"/>
  <c r="N22" i="7" s="1"/>
  <c r="O22" i="7" s="1"/>
  <c r="P22" i="7" s="1"/>
  <c r="Q22" i="7" s="1"/>
  <c r="I16" i="7"/>
  <c r="J16" i="7" s="1"/>
  <c r="K16" i="7" s="1"/>
  <c r="L16" i="7" s="1"/>
  <c r="M16" i="7" s="1"/>
  <c r="H16" i="7"/>
  <c r="I13" i="7"/>
  <c r="J13" i="7" s="1"/>
  <c r="K13" i="7" s="1"/>
  <c r="L13" i="7" s="1"/>
  <c r="M13" i="7" s="1"/>
  <c r="N13" i="7" s="1"/>
  <c r="O13" i="7" s="1"/>
  <c r="P13" i="7" s="1"/>
  <c r="Q13" i="7" s="1"/>
  <c r="H13" i="7"/>
  <c r="D56" i="7"/>
  <c r="G54" i="7"/>
  <c r="G20" i="11" s="1"/>
  <c r="H17" i="18" s="1"/>
  <c r="F54" i="7"/>
  <c r="F20" i="11" s="1"/>
  <c r="G17" i="18" s="1"/>
  <c r="E54" i="7"/>
  <c r="E20" i="11" s="1"/>
  <c r="F17" i="18" s="1"/>
  <c r="D54" i="7"/>
  <c r="D20" i="11" s="1"/>
  <c r="E17" i="18" s="1"/>
  <c r="C54" i="7"/>
  <c r="C20" i="11" s="1"/>
  <c r="D17" i="18" s="1"/>
  <c r="C15" i="7"/>
  <c r="C17" i="7" s="1"/>
  <c r="G46" i="7"/>
  <c r="F46" i="7"/>
  <c r="E46" i="7"/>
  <c r="D46" i="7"/>
  <c r="C46" i="7"/>
  <c r="C43" i="7"/>
  <c r="G30" i="8"/>
  <c r="F30" i="8"/>
  <c r="E30" i="8"/>
  <c r="D30" i="8"/>
  <c r="G27" i="8"/>
  <c r="F27" i="8"/>
  <c r="E27" i="8"/>
  <c r="D27" i="8"/>
  <c r="G24" i="8"/>
  <c r="F24" i="8"/>
  <c r="E24" i="8"/>
  <c r="D24" i="8"/>
  <c r="G21" i="8"/>
  <c r="F21" i="8"/>
  <c r="E21" i="8"/>
  <c r="D21" i="8"/>
  <c r="G18" i="8"/>
  <c r="G12" i="10" s="1"/>
  <c r="F18" i="8"/>
  <c r="F12" i="10" s="1"/>
  <c r="E18" i="8"/>
  <c r="E12" i="10" s="1"/>
  <c r="D18" i="8"/>
  <c r="D12" i="10" s="1"/>
  <c r="C30" i="8"/>
  <c r="C27" i="8"/>
  <c r="C24" i="8"/>
  <c r="C21" i="8"/>
  <c r="C18" i="8"/>
  <c r="C12" i="10" s="1"/>
  <c r="G10" i="8"/>
  <c r="G16" i="8" s="1"/>
  <c r="F10" i="8"/>
  <c r="F16" i="8" s="1"/>
  <c r="E10" i="8"/>
  <c r="E16" i="8" s="1"/>
  <c r="D10" i="8"/>
  <c r="D16" i="8" s="1"/>
  <c r="C10" i="8"/>
  <c r="C16" i="8" s="1"/>
  <c r="D7" i="8"/>
  <c r="E7" i="8" s="1"/>
  <c r="F7" i="8" s="1"/>
  <c r="G7" i="8" s="1"/>
  <c r="H7" i="8" s="1"/>
  <c r="I7" i="8" s="1"/>
  <c r="J7" i="8" s="1"/>
  <c r="K7" i="8" s="1"/>
  <c r="L7" i="8" s="1"/>
  <c r="M7" i="8" s="1"/>
  <c r="N7" i="8" s="1"/>
  <c r="O7" i="8" s="1"/>
  <c r="P7" i="8" s="1"/>
  <c r="Q7" i="8" s="1"/>
  <c r="D7" i="7"/>
  <c r="E7" i="7" s="1"/>
  <c r="F7" i="7" s="1"/>
  <c r="G7" i="7" s="1"/>
  <c r="H7" i="7" s="1"/>
  <c r="I7" i="7" s="1"/>
  <c r="J7" i="7" s="1"/>
  <c r="K7" i="7" s="1"/>
  <c r="L7" i="7" s="1"/>
  <c r="M7" i="7" s="1"/>
  <c r="N7" i="7" s="1"/>
  <c r="O7" i="7" s="1"/>
  <c r="P7" i="7" s="1"/>
  <c r="Q7" i="7" s="1"/>
  <c r="D22" i="8" l="1"/>
  <c r="D25" i="8"/>
  <c r="D28" i="8"/>
  <c r="D31" i="8"/>
  <c r="H16" i="8"/>
  <c r="I16" i="8" s="1"/>
  <c r="J16" i="8" s="1"/>
  <c r="K16" i="8" s="1"/>
  <c r="L16" i="8" s="1"/>
  <c r="M16" i="8" s="1"/>
  <c r="N16" i="8" s="1"/>
  <c r="O16" i="8" s="1"/>
  <c r="P16" i="8" s="1"/>
  <c r="Q16" i="8" s="1"/>
  <c r="C22" i="8"/>
  <c r="D13" i="8"/>
  <c r="I43" i="7"/>
  <c r="F56" i="7"/>
  <c r="E56" i="7"/>
  <c r="C56" i="7"/>
  <c r="G56" i="7"/>
  <c r="H56" i="7" s="1"/>
  <c r="I56" i="7" s="1"/>
  <c r="C25" i="8"/>
  <c r="E13" i="8"/>
  <c r="E22" i="8"/>
  <c r="E25" i="8"/>
  <c r="E28" i="8"/>
  <c r="E31" i="8"/>
  <c r="C13" i="8"/>
  <c r="C28" i="8"/>
  <c r="F13" i="8"/>
  <c r="F22" i="8"/>
  <c r="F25" i="8"/>
  <c r="F28" i="8"/>
  <c r="F31" i="8"/>
  <c r="C31" i="8"/>
  <c r="G13" i="8"/>
  <c r="G22" i="8"/>
  <c r="G25" i="8"/>
  <c r="G28" i="8"/>
  <c r="G31" i="8"/>
  <c r="F19" i="8"/>
  <c r="C19" i="8"/>
  <c r="G19" i="8"/>
  <c r="E10" i="10"/>
  <c r="E15" i="10" s="1"/>
  <c r="F10" i="10"/>
  <c r="F15" i="10" s="1"/>
  <c r="G10" i="10"/>
  <c r="G11" i="10" s="1"/>
  <c r="D19" i="8"/>
  <c r="D10" i="10"/>
  <c r="D15" i="10" s="1"/>
  <c r="C15" i="10"/>
  <c r="H10" i="10"/>
  <c r="C40" i="18"/>
  <c r="C41" i="18" s="1"/>
  <c r="F38" i="18"/>
  <c r="E19" i="8"/>
  <c r="L12" i="12"/>
  <c r="K48" i="3"/>
  <c r="Q40" i="7"/>
  <c r="N16" i="7"/>
  <c r="O16" i="7" s="1"/>
  <c r="P16" i="7" s="1"/>
  <c r="Q16" i="7" s="1"/>
  <c r="Q43" i="7" s="1"/>
  <c r="M43" i="7"/>
  <c r="I40" i="7"/>
  <c r="M40" i="7"/>
  <c r="J40" i="7"/>
  <c r="N40" i="7"/>
  <c r="J43" i="7"/>
  <c r="K40" i="7"/>
  <c r="O40" i="7"/>
  <c r="K43" i="7"/>
  <c r="L40" i="7"/>
  <c r="P40" i="7"/>
  <c r="H54" i="7"/>
  <c r="L43" i="7"/>
  <c r="D12" i="7"/>
  <c r="D15" i="7" s="1"/>
  <c r="F40" i="7"/>
  <c r="E41" i="7"/>
  <c r="E43" i="7"/>
  <c r="C39" i="7"/>
  <c r="G40" i="7"/>
  <c r="G41" i="7"/>
  <c r="G43" i="7"/>
  <c r="C41" i="7"/>
  <c r="E40" i="7"/>
  <c r="F43" i="7"/>
  <c r="F41" i="7"/>
  <c r="C40" i="7"/>
  <c r="D40" i="7"/>
  <c r="D41" i="7"/>
  <c r="D43" i="7"/>
  <c r="C24" i="7"/>
  <c r="C33" i="7"/>
  <c r="F22" i="4"/>
  <c r="F32" i="20" s="1"/>
  <c r="G21" i="4"/>
  <c r="G30" i="11" s="1"/>
  <c r="G31" i="23" s="1"/>
  <c r="F21" i="4"/>
  <c r="F30" i="11" s="1"/>
  <c r="F31" i="23" s="1"/>
  <c r="E21" i="4"/>
  <c r="E30" i="11" s="1"/>
  <c r="E31" i="23" s="1"/>
  <c r="D21" i="4"/>
  <c r="D30" i="11" s="1"/>
  <c r="D31" i="23" s="1"/>
  <c r="G18" i="4"/>
  <c r="G15" i="11" s="1"/>
  <c r="G16" i="23" s="1"/>
  <c r="F18" i="4"/>
  <c r="F15" i="11" s="1"/>
  <c r="F16" i="23" s="1"/>
  <c r="E18" i="4"/>
  <c r="E15" i="11" s="1"/>
  <c r="E16" i="23" s="1"/>
  <c r="D18" i="4"/>
  <c r="D15" i="11" s="1"/>
  <c r="D16" i="23" s="1"/>
  <c r="G15" i="4"/>
  <c r="G14" i="11" s="1"/>
  <c r="F15" i="4"/>
  <c r="F14" i="11" s="1"/>
  <c r="E15" i="4"/>
  <c r="E14" i="11" s="1"/>
  <c r="D15" i="4"/>
  <c r="D14" i="11" s="1"/>
  <c r="G12" i="4"/>
  <c r="G13" i="11" s="1"/>
  <c r="F12" i="4"/>
  <c r="F13" i="11" s="1"/>
  <c r="E12" i="4"/>
  <c r="E13" i="11" s="1"/>
  <c r="D12" i="4"/>
  <c r="D13" i="11" s="1"/>
  <c r="C21" i="4"/>
  <c r="C30" i="11" s="1"/>
  <c r="C31" i="23" s="1"/>
  <c r="C18" i="4"/>
  <c r="C15" i="11" s="1"/>
  <c r="C16" i="23" s="1"/>
  <c r="C15" i="4"/>
  <c r="C14" i="11" s="1"/>
  <c r="C12" i="4"/>
  <c r="C13" i="11" s="1"/>
  <c r="G80" i="5"/>
  <c r="G25" i="11" s="1"/>
  <c r="F80" i="5"/>
  <c r="F25" i="11" s="1"/>
  <c r="E80" i="5"/>
  <c r="E25" i="11" s="1"/>
  <c r="D80" i="5"/>
  <c r="D25" i="11" s="1"/>
  <c r="G83" i="5"/>
  <c r="G26" i="11" s="1"/>
  <c r="F83" i="5"/>
  <c r="F26" i="11" s="1"/>
  <c r="E83" i="5"/>
  <c r="E26" i="11" s="1"/>
  <c r="D83" i="5"/>
  <c r="C83" i="5"/>
  <c r="C26" i="11" s="1"/>
  <c r="C80" i="5"/>
  <c r="C25" i="11" s="1"/>
  <c r="G10" i="4"/>
  <c r="F10" i="4"/>
  <c r="F16" i="4" s="1"/>
  <c r="E10" i="4"/>
  <c r="D10" i="4"/>
  <c r="C10" i="4"/>
  <c r="D7" i="4"/>
  <c r="E7" i="4" s="1"/>
  <c r="F7" i="4" s="1"/>
  <c r="G7" i="4" s="1"/>
  <c r="H7" i="4" s="1"/>
  <c r="I7" i="4" s="1"/>
  <c r="J7" i="4" s="1"/>
  <c r="K7" i="4" s="1"/>
  <c r="L7" i="4" s="1"/>
  <c r="M7" i="4" s="1"/>
  <c r="N7" i="4" s="1"/>
  <c r="O7" i="4" s="1"/>
  <c r="P7" i="4" s="1"/>
  <c r="Q7" i="4" s="1"/>
  <c r="G84" i="5"/>
  <c r="F84" i="5"/>
  <c r="E84" i="5"/>
  <c r="D81" i="5"/>
  <c r="C16" i="11" l="1"/>
  <c r="C14" i="23"/>
  <c r="E16" i="11"/>
  <c r="E14" i="23"/>
  <c r="E12" i="20"/>
  <c r="D16" i="11"/>
  <c r="D14" i="23"/>
  <c r="D12" i="20"/>
  <c r="D15" i="23"/>
  <c r="D103" i="20"/>
  <c r="E15" i="23"/>
  <c r="E103" i="20"/>
  <c r="F16" i="11"/>
  <c r="F14" i="23"/>
  <c r="F12" i="20"/>
  <c r="F15" i="23"/>
  <c r="F103" i="20"/>
  <c r="C15" i="23"/>
  <c r="C103" i="20"/>
  <c r="G16" i="11"/>
  <c r="G14" i="23"/>
  <c r="G12" i="20"/>
  <c r="G15" i="23"/>
  <c r="G103" i="20"/>
  <c r="P43" i="7"/>
  <c r="E81" i="5"/>
  <c r="G81" i="5"/>
  <c r="H31" i="8"/>
  <c r="I31" i="8" s="1"/>
  <c r="J31" i="8" s="1"/>
  <c r="K31" i="8" s="1"/>
  <c r="F81" i="5"/>
  <c r="C84" i="5"/>
  <c r="J84" i="5" s="1"/>
  <c r="F19" i="4"/>
  <c r="H25" i="8"/>
  <c r="I25" i="8" s="1"/>
  <c r="J25" i="8" s="1"/>
  <c r="K25" i="8" s="1"/>
  <c r="H13" i="8"/>
  <c r="I13" i="8" s="1"/>
  <c r="J13" i="8" s="1"/>
  <c r="K13" i="8" s="1"/>
  <c r="L13" i="8" s="1"/>
  <c r="M13" i="8" s="1"/>
  <c r="N13" i="8" s="1"/>
  <c r="O13" i="8" s="1"/>
  <c r="P13" i="8" s="1"/>
  <c r="Q13" i="8" s="1"/>
  <c r="F13" i="4"/>
  <c r="J56" i="7"/>
  <c r="K56" i="7" s="1"/>
  <c r="L56" i="7" s="1"/>
  <c r="M56" i="7" s="1"/>
  <c r="C13" i="4"/>
  <c r="G19" i="4"/>
  <c r="G22" i="4"/>
  <c r="D13" i="4"/>
  <c r="D16" i="4"/>
  <c r="D19" i="4"/>
  <c r="C16" i="4"/>
  <c r="D22" i="4"/>
  <c r="D32" i="20" s="1"/>
  <c r="D84" i="5"/>
  <c r="D26" i="11"/>
  <c r="G13" i="4"/>
  <c r="G16" i="4"/>
  <c r="C22" i="4"/>
  <c r="C32" i="20" s="1"/>
  <c r="C81" i="5"/>
  <c r="E13" i="4"/>
  <c r="E16" i="4"/>
  <c r="E19" i="4"/>
  <c r="C19" i="4"/>
  <c r="E22" i="4"/>
  <c r="E32" i="20" s="1"/>
  <c r="H28" i="8"/>
  <c r="I28" i="8" s="1"/>
  <c r="J28" i="8" s="1"/>
  <c r="K28" i="8" s="1"/>
  <c r="H22" i="8"/>
  <c r="I22" i="8" s="1"/>
  <c r="J22" i="8" s="1"/>
  <c r="E11" i="10"/>
  <c r="H19" i="8"/>
  <c r="I19" i="8" s="1"/>
  <c r="J19" i="8" s="1"/>
  <c r="F11" i="10"/>
  <c r="G15" i="10"/>
  <c r="C35" i="18" s="1"/>
  <c r="M12" i="12"/>
  <c r="L48" i="3"/>
  <c r="D11" i="10"/>
  <c r="I54" i="7"/>
  <c r="H20" i="11"/>
  <c r="O43" i="7"/>
  <c r="N43" i="7"/>
  <c r="C35" i="7"/>
  <c r="D30" i="7"/>
  <c r="C26" i="7"/>
  <c r="D21" i="7"/>
  <c r="D24" i="7" s="1"/>
  <c r="E21" i="7" s="1"/>
  <c r="C42" i="7"/>
  <c r="C45" i="7" s="1"/>
  <c r="D17" i="7"/>
  <c r="E12" i="7"/>
  <c r="E15" i="7" s="1"/>
  <c r="C50" i="7"/>
  <c r="C47" i="7"/>
  <c r="N81" i="5"/>
  <c r="G11" i="5"/>
  <c r="F11" i="5"/>
  <c r="E11" i="5"/>
  <c r="D11" i="5"/>
  <c r="C10" i="6"/>
  <c r="G23" i="5"/>
  <c r="F23" i="5"/>
  <c r="E23" i="5"/>
  <c r="D23" i="5"/>
  <c r="G15" i="5"/>
  <c r="F15" i="5"/>
  <c r="E15" i="5"/>
  <c r="D15" i="5"/>
  <c r="G73" i="5"/>
  <c r="F73" i="5"/>
  <c r="E73" i="5"/>
  <c r="D73" i="5"/>
  <c r="G65" i="5"/>
  <c r="F65" i="5"/>
  <c r="E65" i="5"/>
  <c r="D65" i="5"/>
  <c r="G32" i="5"/>
  <c r="F32" i="5"/>
  <c r="E32" i="5"/>
  <c r="D32" i="5"/>
  <c r="G40" i="5"/>
  <c r="F40" i="5"/>
  <c r="E40" i="5"/>
  <c r="D40" i="5"/>
  <c r="G49" i="5"/>
  <c r="F49" i="5"/>
  <c r="E49" i="5"/>
  <c r="D49" i="5"/>
  <c r="G57" i="5"/>
  <c r="F57" i="5"/>
  <c r="E57" i="5"/>
  <c r="D57" i="5"/>
  <c r="D7" i="5"/>
  <c r="E7" i="5" s="1"/>
  <c r="F7" i="5" s="1"/>
  <c r="G7" i="5" s="1"/>
  <c r="H7" i="5" s="1"/>
  <c r="I7" i="5" s="1"/>
  <c r="J7" i="5" s="1"/>
  <c r="K7" i="5" s="1"/>
  <c r="L7" i="5" s="1"/>
  <c r="M7" i="5" s="1"/>
  <c r="N7" i="5" s="1"/>
  <c r="O7" i="5" s="1"/>
  <c r="P7" i="5" s="1"/>
  <c r="Q7" i="5" s="1"/>
  <c r="N56" i="7" l="1"/>
  <c r="G18" i="11"/>
  <c r="G17" i="23"/>
  <c r="F18" i="11"/>
  <c r="F17" i="23"/>
  <c r="E18" i="11"/>
  <c r="E17" i="23"/>
  <c r="D18" i="11"/>
  <c r="D17" i="23"/>
  <c r="C18" i="6"/>
  <c r="C36" i="18" s="1"/>
  <c r="C37" i="18" s="1"/>
  <c r="C43" i="18" s="1"/>
  <c r="G32" i="20"/>
  <c r="C18" i="11"/>
  <c r="C17" i="23"/>
  <c r="N84" i="5"/>
  <c r="H84" i="5"/>
  <c r="O81" i="5"/>
  <c r="I84" i="5"/>
  <c r="K84" i="5"/>
  <c r="M84" i="5"/>
  <c r="O84" i="5"/>
  <c r="Q84" i="5"/>
  <c r="J81" i="5"/>
  <c r="H81" i="5"/>
  <c r="L84" i="5"/>
  <c r="P84" i="5"/>
  <c r="M81" i="5"/>
  <c r="O56" i="7"/>
  <c r="P56" i="7" s="1"/>
  <c r="Q56" i="7" s="1"/>
  <c r="O13" i="4"/>
  <c r="K13" i="4"/>
  <c r="Q13" i="4"/>
  <c r="I13" i="4"/>
  <c r="L13" i="4"/>
  <c r="N13" i="4"/>
  <c r="J13" i="4"/>
  <c r="M13" i="4"/>
  <c r="H13" i="4"/>
  <c r="P13" i="4"/>
  <c r="I81" i="5"/>
  <c r="L81" i="5"/>
  <c r="K81" i="5"/>
  <c r="Q81" i="5"/>
  <c r="P81" i="5"/>
  <c r="Q19" i="4"/>
  <c r="M19" i="4"/>
  <c r="I19" i="4"/>
  <c r="H19" i="4"/>
  <c r="O19" i="4"/>
  <c r="J19" i="4"/>
  <c r="P19" i="4"/>
  <c r="L19" i="4"/>
  <c r="K19" i="4"/>
  <c r="N19" i="4"/>
  <c r="N16" i="4"/>
  <c r="J16" i="4"/>
  <c r="P16" i="4"/>
  <c r="K16" i="4"/>
  <c r="Q16" i="4"/>
  <c r="M16" i="4"/>
  <c r="I16" i="4"/>
  <c r="H16" i="4"/>
  <c r="L16" i="4"/>
  <c r="O16" i="4"/>
  <c r="H15" i="10"/>
  <c r="I15" i="10" s="1"/>
  <c r="J15" i="10" s="1"/>
  <c r="K15" i="10" s="1"/>
  <c r="L15" i="10" s="1"/>
  <c r="M15" i="10" s="1"/>
  <c r="N12" i="12"/>
  <c r="M48" i="3"/>
  <c r="I17" i="18"/>
  <c r="H11" i="3"/>
  <c r="J54" i="7"/>
  <c r="I20" i="11"/>
  <c r="D26" i="7"/>
  <c r="D33" i="7"/>
  <c r="D39" i="7"/>
  <c r="D42" i="7" s="1"/>
  <c r="D45" i="7" s="1"/>
  <c r="D47" i="7" s="1"/>
  <c r="D52" i="7" s="1"/>
  <c r="E18" i="18" s="1"/>
  <c r="E17" i="7"/>
  <c r="F12" i="7"/>
  <c r="F15" i="7" s="1"/>
  <c r="E24" i="7"/>
  <c r="L31" i="8"/>
  <c r="L28" i="8"/>
  <c r="L25" i="8"/>
  <c r="K22" i="8"/>
  <c r="K19" i="8"/>
  <c r="I26" i="5"/>
  <c r="I17" i="5"/>
  <c r="J17" i="5" s="1"/>
  <c r="K17" i="5" s="1"/>
  <c r="L17" i="5" s="1"/>
  <c r="M17" i="5" s="1"/>
  <c r="N17" i="5" s="1"/>
  <c r="O17" i="5" s="1"/>
  <c r="P17" i="5" s="1"/>
  <c r="Q17" i="5" s="1"/>
  <c r="H15" i="5"/>
  <c r="H14" i="5" s="1"/>
  <c r="I18" i="5"/>
  <c r="I19" i="5"/>
  <c r="J19" i="5" s="1"/>
  <c r="K19" i="5" s="1"/>
  <c r="L19" i="5" s="1"/>
  <c r="M19" i="5" s="1"/>
  <c r="N19" i="5" s="1"/>
  <c r="O19" i="5" s="1"/>
  <c r="P19" i="5" s="1"/>
  <c r="Q19" i="5" s="1"/>
  <c r="H59" i="5"/>
  <c r="I59" i="5" s="1"/>
  <c r="J59" i="5" s="1"/>
  <c r="K59" i="5" s="1"/>
  <c r="L59" i="5" s="1"/>
  <c r="M59" i="5" s="1"/>
  <c r="N59" i="5" s="1"/>
  <c r="O59" i="5" s="1"/>
  <c r="P59" i="5" s="1"/>
  <c r="Q59" i="5" s="1"/>
  <c r="H32" i="5"/>
  <c r="H31" i="5" s="1"/>
  <c r="H73" i="5"/>
  <c r="H72" i="5" s="1"/>
  <c r="H49" i="5"/>
  <c r="H48" i="5" s="1"/>
  <c r="H40" i="5"/>
  <c r="H39" i="5" s="1"/>
  <c r="H34" i="5"/>
  <c r="I34" i="5" s="1"/>
  <c r="J34" i="5" s="1"/>
  <c r="K34" i="5" s="1"/>
  <c r="L34" i="5" s="1"/>
  <c r="M34" i="5" s="1"/>
  <c r="N34" i="5" s="1"/>
  <c r="O34" i="5" s="1"/>
  <c r="P34" i="5" s="1"/>
  <c r="Q34" i="5" s="1"/>
  <c r="H61" i="5"/>
  <c r="I61" i="5" s="1"/>
  <c r="J61" i="5" s="1"/>
  <c r="K61" i="5" s="1"/>
  <c r="L61" i="5" s="1"/>
  <c r="M61" i="5" s="1"/>
  <c r="N61" i="5" s="1"/>
  <c r="O61" i="5" s="1"/>
  <c r="P61" i="5" s="1"/>
  <c r="Q61" i="5" s="1"/>
  <c r="C21" i="6" l="1"/>
  <c r="F22" i="11"/>
  <c r="F19" i="23"/>
  <c r="F16" i="20"/>
  <c r="C22" i="11"/>
  <c r="C19" i="23"/>
  <c r="C16" i="20"/>
  <c r="D22" i="11"/>
  <c r="D19" i="23"/>
  <c r="D16" i="20"/>
  <c r="E22" i="11"/>
  <c r="E19" i="23"/>
  <c r="E16" i="20"/>
  <c r="G22" i="11"/>
  <c r="G19" i="23"/>
  <c r="G16" i="20"/>
  <c r="I35" i="5"/>
  <c r="H42" i="5"/>
  <c r="I42" i="5" s="1"/>
  <c r="J42" i="5" s="1"/>
  <c r="K42" i="5" s="1"/>
  <c r="L42" i="5" s="1"/>
  <c r="M42" i="5" s="1"/>
  <c r="N42" i="5" s="1"/>
  <c r="O42" i="5" s="1"/>
  <c r="P42" i="5" s="1"/>
  <c r="Q42" i="5" s="1"/>
  <c r="H27" i="5"/>
  <c r="I27" i="5" s="1"/>
  <c r="J27" i="5" s="1"/>
  <c r="K27" i="5" s="1"/>
  <c r="L27" i="5" s="1"/>
  <c r="M27" i="5" s="1"/>
  <c r="N27" i="5" s="1"/>
  <c r="O27" i="5" s="1"/>
  <c r="P27" i="5" s="1"/>
  <c r="Q27" i="5" s="1"/>
  <c r="H25" i="5"/>
  <c r="I25" i="5" s="1"/>
  <c r="J25" i="5" s="1"/>
  <c r="K25" i="5" s="1"/>
  <c r="L25" i="5" s="1"/>
  <c r="M25" i="5" s="1"/>
  <c r="N25" i="5" s="1"/>
  <c r="O25" i="5" s="1"/>
  <c r="P25" i="5" s="1"/>
  <c r="Q25" i="5" s="1"/>
  <c r="I43" i="5"/>
  <c r="I40" i="5" s="1"/>
  <c r="I39" i="5" s="1"/>
  <c r="H36" i="5"/>
  <c r="I36" i="5" s="1"/>
  <c r="J36" i="5" s="1"/>
  <c r="K36" i="5" s="1"/>
  <c r="L36" i="5" s="1"/>
  <c r="M36" i="5" s="1"/>
  <c r="N36" i="5" s="1"/>
  <c r="O36" i="5" s="1"/>
  <c r="P36" i="5" s="1"/>
  <c r="Q36" i="5" s="1"/>
  <c r="H44" i="5"/>
  <c r="I44" i="5" s="1"/>
  <c r="J44" i="5" s="1"/>
  <c r="K44" i="5" s="1"/>
  <c r="L44" i="5" s="1"/>
  <c r="M44" i="5" s="1"/>
  <c r="N44" i="5" s="1"/>
  <c r="O44" i="5" s="1"/>
  <c r="P44" i="5" s="1"/>
  <c r="Q44" i="5" s="1"/>
  <c r="H23" i="5"/>
  <c r="H22" i="5" s="1"/>
  <c r="O12" i="12"/>
  <c r="N48" i="3"/>
  <c r="J17" i="18"/>
  <c r="I11" i="3"/>
  <c r="K54" i="7"/>
  <c r="J20" i="11"/>
  <c r="D35" i="7"/>
  <c r="E30" i="7"/>
  <c r="N15" i="10"/>
  <c r="G12" i="7"/>
  <c r="G15" i="7" s="1"/>
  <c r="H12" i="7" s="1"/>
  <c r="H15" i="7" s="1"/>
  <c r="F17" i="7"/>
  <c r="E26" i="7"/>
  <c r="F21" i="7"/>
  <c r="D50" i="7"/>
  <c r="G17" i="7"/>
  <c r="M31" i="8"/>
  <c r="M28" i="8"/>
  <c r="M25" i="8"/>
  <c r="L22" i="8"/>
  <c r="L19" i="8"/>
  <c r="I52" i="5"/>
  <c r="H51" i="5"/>
  <c r="I51" i="5" s="1"/>
  <c r="J51" i="5" s="1"/>
  <c r="K51" i="5" s="1"/>
  <c r="L51" i="5" s="1"/>
  <c r="M51" i="5" s="1"/>
  <c r="N51" i="5" s="1"/>
  <c r="O51" i="5" s="1"/>
  <c r="P51" i="5" s="1"/>
  <c r="Q51" i="5" s="1"/>
  <c r="I76" i="5"/>
  <c r="J76" i="5" s="1"/>
  <c r="H53" i="5"/>
  <c r="I53" i="5" s="1"/>
  <c r="J53" i="5" s="1"/>
  <c r="K53" i="5" s="1"/>
  <c r="L53" i="5" s="1"/>
  <c r="M53" i="5" s="1"/>
  <c r="N53" i="5" s="1"/>
  <c r="O53" i="5" s="1"/>
  <c r="P53" i="5" s="1"/>
  <c r="Q53" i="5" s="1"/>
  <c r="H67" i="5"/>
  <c r="I67" i="5" s="1"/>
  <c r="J67" i="5" s="1"/>
  <c r="K67" i="5" s="1"/>
  <c r="L67" i="5" s="1"/>
  <c r="M67" i="5" s="1"/>
  <c r="N67" i="5" s="1"/>
  <c r="O67" i="5" s="1"/>
  <c r="P67" i="5" s="1"/>
  <c r="Q67" i="5" s="1"/>
  <c r="I68" i="5"/>
  <c r="H65" i="5"/>
  <c r="H64" i="5" s="1"/>
  <c r="H69" i="5"/>
  <c r="I69" i="5" s="1"/>
  <c r="J69" i="5" s="1"/>
  <c r="K69" i="5" s="1"/>
  <c r="L69" i="5" s="1"/>
  <c r="M69" i="5" s="1"/>
  <c r="N69" i="5" s="1"/>
  <c r="O69" i="5" s="1"/>
  <c r="P69" i="5" s="1"/>
  <c r="Q69" i="5" s="1"/>
  <c r="J18" i="5"/>
  <c r="I15" i="5"/>
  <c r="I14" i="5" s="1"/>
  <c r="H75" i="5"/>
  <c r="I75" i="5" s="1"/>
  <c r="J75" i="5" s="1"/>
  <c r="K75" i="5" s="1"/>
  <c r="L75" i="5" s="1"/>
  <c r="M75" i="5" s="1"/>
  <c r="N75" i="5" s="1"/>
  <c r="O75" i="5" s="1"/>
  <c r="P75" i="5" s="1"/>
  <c r="Q75" i="5" s="1"/>
  <c r="H77" i="5"/>
  <c r="I77" i="5" s="1"/>
  <c r="J77" i="5" s="1"/>
  <c r="K77" i="5" s="1"/>
  <c r="L77" i="5" s="1"/>
  <c r="M77" i="5" s="1"/>
  <c r="N77" i="5" s="1"/>
  <c r="O77" i="5" s="1"/>
  <c r="P77" i="5" s="1"/>
  <c r="Q77" i="5" s="1"/>
  <c r="I60" i="5"/>
  <c r="H57" i="5"/>
  <c r="H56" i="5" s="1"/>
  <c r="H90" i="5" s="1"/>
  <c r="H91" i="5" s="1"/>
  <c r="I23" i="5"/>
  <c r="J26" i="5"/>
  <c r="J52" i="5"/>
  <c r="I49" i="5"/>
  <c r="I48" i="5" s="1"/>
  <c r="J43" i="5"/>
  <c r="J35" i="5"/>
  <c r="I32" i="5"/>
  <c r="I31" i="5" s="1"/>
  <c r="E23" i="23" l="1"/>
  <c r="E20" i="20"/>
  <c r="F14" i="18"/>
  <c r="F15" i="18" s="1"/>
  <c r="F16" i="18" s="1"/>
  <c r="E28" i="11"/>
  <c r="F23" i="23"/>
  <c r="F20" i="20"/>
  <c r="G14" i="18"/>
  <c r="G15" i="18" s="1"/>
  <c r="G16" i="18" s="1"/>
  <c r="F28" i="11"/>
  <c r="C23" i="23"/>
  <c r="C40" i="20"/>
  <c r="C20" i="20"/>
  <c r="C28" i="11"/>
  <c r="D14" i="18"/>
  <c r="D15" i="18" s="1"/>
  <c r="D16" i="18" s="1"/>
  <c r="D20" i="18" s="1"/>
  <c r="D22" i="18" s="1"/>
  <c r="G23" i="23"/>
  <c r="G20" i="20"/>
  <c r="G28" i="11"/>
  <c r="H14" i="18"/>
  <c r="H15" i="18" s="1"/>
  <c r="H16" i="18" s="1"/>
  <c r="D23" i="23"/>
  <c r="D20" i="20"/>
  <c r="E14" i="18"/>
  <c r="E15" i="18" s="1"/>
  <c r="E16" i="18" s="1"/>
  <c r="E20" i="18" s="1"/>
  <c r="E22" i="18" s="1"/>
  <c r="D28" i="11"/>
  <c r="I22" i="5"/>
  <c r="I73" i="5"/>
  <c r="I72" i="5" s="1"/>
  <c r="P12" i="12"/>
  <c r="O48" i="3"/>
  <c r="K17" i="18"/>
  <c r="J11" i="3"/>
  <c r="L54" i="7"/>
  <c r="K20" i="11"/>
  <c r="E33" i="7"/>
  <c r="E39" i="7"/>
  <c r="E42" i="7" s="1"/>
  <c r="E45" i="7" s="1"/>
  <c r="I12" i="7"/>
  <c r="I15" i="7" s="1"/>
  <c r="H17" i="7"/>
  <c r="O15" i="10"/>
  <c r="F24" i="7"/>
  <c r="N31" i="8"/>
  <c r="N28" i="8"/>
  <c r="N25" i="8"/>
  <c r="M22" i="8"/>
  <c r="M19" i="8"/>
  <c r="H10" i="5"/>
  <c r="J60" i="5"/>
  <c r="I57" i="5"/>
  <c r="I56" i="5" s="1"/>
  <c r="I90" i="5" s="1"/>
  <c r="I91" i="5" s="1"/>
  <c r="K18" i="5"/>
  <c r="J15" i="5"/>
  <c r="J14" i="5" s="1"/>
  <c r="J68" i="5"/>
  <c r="I65" i="5"/>
  <c r="I64" i="5" s="1"/>
  <c r="K26" i="5"/>
  <c r="J23" i="5"/>
  <c r="K76" i="5"/>
  <c r="J73" i="5"/>
  <c r="K52" i="5"/>
  <c r="J49" i="5"/>
  <c r="J48" i="5" s="1"/>
  <c r="K43" i="5"/>
  <c r="J40" i="5"/>
  <c r="J39" i="5" s="1"/>
  <c r="K35" i="5"/>
  <c r="J32" i="5"/>
  <c r="J31" i="5" s="1"/>
  <c r="J72" i="5" l="1"/>
  <c r="J22" i="5"/>
  <c r="G32" i="11"/>
  <c r="G29" i="23"/>
  <c r="G57" i="20"/>
  <c r="G28" i="20"/>
  <c r="G24" i="20"/>
  <c r="C32" i="11"/>
  <c r="C29" i="23"/>
  <c r="C24" i="20"/>
  <c r="C28" i="20"/>
  <c r="F32" i="11"/>
  <c r="F29" i="23"/>
  <c r="F57" i="20"/>
  <c r="F28" i="20"/>
  <c r="F24" i="20"/>
  <c r="D32" i="11"/>
  <c r="D29" i="23"/>
  <c r="D24" i="20"/>
  <c r="D57" i="20"/>
  <c r="D28" i="20"/>
  <c r="E32" i="11"/>
  <c r="E29" i="23"/>
  <c r="E24" i="20"/>
  <c r="E57" i="20"/>
  <c r="E28" i="20"/>
  <c r="Q12" i="12"/>
  <c r="P48" i="3"/>
  <c r="L17" i="18"/>
  <c r="K11" i="3"/>
  <c r="M54" i="7"/>
  <c r="L20" i="11"/>
  <c r="H10" i="11"/>
  <c r="H10" i="8"/>
  <c r="H15" i="8" s="1"/>
  <c r="H19" i="12" s="1"/>
  <c r="H10" i="4"/>
  <c r="I10" i="5"/>
  <c r="I11" i="5" s="1"/>
  <c r="J12" i="7"/>
  <c r="J15" i="7" s="1"/>
  <c r="I17" i="7"/>
  <c r="E47" i="7"/>
  <c r="E52" i="7" s="1"/>
  <c r="F18" i="18" s="1"/>
  <c r="F20" i="18" s="1"/>
  <c r="F22" i="18" s="1"/>
  <c r="E50" i="7"/>
  <c r="E35" i="7"/>
  <c r="F30" i="7"/>
  <c r="P15" i="10"/>
  <c r="F26" i="7"/>
  <c r="G21" i="7"/>
  <c r="O31" i="8"/>
  <c r="O28" i="8"/>
  <c r="O25" i="8"/>
  <c r="N22" i="8"/>
  <c r="N19" i="8"/>
  <c r="H83" i="5"/>
  <c r="H26" i="11" s="1"/>
  <c r="H80" i="5"/>
  <c r="H25" i="11" s="1"/>
  <c r="H11" i="5"/>
  <c r="L26" i="5"/>
  <c r="K23" i="5"/>
  <c r="L18" i="5"/>
  <c r="K15" i="5"/>
  <c r="K14" i="5" s="1"/>
  <c r="K68" i="5"/>
  <c r="J65" i="5"/>
  <c r="J64" i="5" s="1"/>
  <c r="K60" i="5"/>
  <c r="J57" i="5"/>
  <c r="J56" i="5" s="1"/>
  <c r="J90" i="5" s="1"/>
  <c r="J91" i="5" s="1"/>
  <c r="L76" i="5"/>
  <c r="K73" i="5"/>
  <c r="K72" i="5" s="1"/>
  <c r="L52" i="5"/>
  <c r="K49" i="5"/>
  <c r="K48" i="5" s="1"/>
  <c r="L43" i="5"/>
  <c r="K40" i="5"/>
  <c r="K39" i="5" s="1"/>
  <c r="L35" i="5"/>
  <c r="K32" i="5"/>
  <c r="K31" i="5" s="1"/>
  <c r="K22" i="5" l="1"/>
  <c r="Q48" i="3"/>
  <c r="C33" i="23"/>
  <c r="C65" i="20"/>
  <c r="C36" i="20"/>
  <c r="C37" i="11"/>
  <c r="C35" i="11"/>
  <c r="E33" i="23"/>
  <c r="E48" i="20"/>
  <c r="E36" i="20"/>
  <c r="E65" i="20"/>
  <c r="E35" i="11"/>
  <c r="E37" i="11"/>
  <c r="F33" i="23"/>
  <c r="F36" i="20"/>
  <c r="F48" i="20"/>
  <c r="F65" i="20"/>
  <c r="F35" i="11"/>
  <c r="F37" i="11"/>
  <c r="D33" i="23"/>
  <c r="D36" i="20"/>
  <c r="D48" i="20"/>
  <c r="D65" i="20"/>
  <c r="D35" i="11"/>
  <c r="D37" i="11"/>
  <c r="G33" i="23"/>
  <c r="G65" i="20"/>
  <c r="G36" i="20"/>
  <c r="G48" i="20"/>
  <c r="G37" i="11"/>
  <c r="G35" i="11"/>
  <c r="H11" i="23"/>
  <c r="H21" i="23"/>
  <c r="H20" i="3"/>
  <c r="H26" i="23"/>
  <c r="H27" i="23"/>
  <c r="M17" i="18"/>
  <c r="L11" i="3"/>
  <c r="N54" i="7"/>
  <c r="M20" i="11"/>
  <c r="I10" i="11"/>
  <c r="I10" i="8"/>
  <c r="I15" i="8" s="1"/>
  <c r="I19" i="12" s="1"/>
  <c r="I10" i="4"/>
  <c r="I80" i="5"/>
  <c r="I25" i="11" s="1"/>
  <c r="H12" i="4"/>
  <c r="H13" i="11" s="1"/>
  <c r="H14" i="23" s="1"/>
  <c r="H15" i="4"/>
  <c r="H14" i="11" s="1"/>
  <c r="H18" i="4"/>
  <c r="H15" i="11" s="1"/>
  <c r="H16" i="23" s="1"/>
  <c r="I83" i="5"/>
  <c r="I26" i="11" s="1"/>
  <c r="H24" i="8"/>
  <c r="H29" i="12" s="1"/>
  <c r="H30" i="8"/>
  <c r="H32" i="12" s="1"/>
  <c r="H12" i="8"/>
  <c r="H18" i="12" s="1"/>
  <c r="H18" i="8"/>
  <c r="H27" i="8"/>
  <c r="H30" i="12" s="1"/>
  <c r="H21" i="8"/>
  <c r="H21" i="12" s="1"/>
  <c r="F33" i="7"/>
  <c r="F39" i="7"/>
  <c r="F42" i="7" s="1"/>
  <c r="F45" i="7" s="1"/>
  <c r="F47" i="7" s="1"/>
  <c r="F52" i="7" s="1"/>
  <c r="G18" i="18" s="1"/>
  <c r="G20" i="18" s="1"/>
  <c r="G22" i="18" s="1"/>
  <c r="K12" i="7"/>
  <c r="K15" i="7" s="1"/>
  <c r="J17" i="7"/>
  <c r="Q15" i="10"/>
  <c r="G24" i="7"/>
  <c r="P31" i="8"/>
  <c r="P28" i="8"/>
  <c r="P25" i="8"/>
  <c r="O22" i="8"/>
  <c r="O19" i="8"/>
  <c r="J10" i="5"/>
  <c r="J80" i="5" s="1"/>
  <c r="J25" i="11" s="1"/>
  <c r="L68" i="5"/>
  <c r="K65" i="5"/>
  <c r="K64" i="5" s="1"/>
  <c r="M26" i="5"/>
  <c r="L23" i="5"/>
  <c r="L22" i="5" s="1"/>
  <c r="L60" i="5"/>
  <c r="K57" i="5"/>
  <c r="K56" i="5" s="1"/>
  <c r="K90" i="5" s="1"/>
  <c r="K91" i="5" s="1"/>
  <c r="M18" i="5"/>
  <c r="L15" i="5"/>
  <c r="L14" i="5" s="1"/>
  <c r="M76" i="5"/>
  <c r="L73" i="5"/>
  <c r="L72" i="5" s="1"/>
  <c r="M52" i="5"/>
  <c r="L49" i="5"/>
  <c r="L48" i="5" s="1"/>
  <c r="M43" i="5"/>
  <c r="L40" i="5"/>
  <c r="L39" i="5" s="1"/>
  <c r="M35" i="5"/>
  <c r="L32" i="5"/>
  <c r="L31" i="5" s="1"/>
  <c r="H75" i="20" l="1"/>
  <c r="I27" i="23"/>
  <c r="G38" i="11"/>
  <c r="G69" i="20"/>
  <c r="E38" i="11"/>
  <c r="E69" i="20"/>
  <c r="F38" i="11"/>
  <c r="F69" i="20"/>
  <c r="C38" i="11"/>
  <c r="C69" i="20"/>
  <c r="D38" i="11"/>
  <c r="D69" i="20"/>
  <c r="H35" i="11"/>
  <c r="I35" i="11" s="1"/>
  <c r="J35" i="11" s="1"/>
  <c r="K35" i="11" s="1"/>
  <c r="L35" i="11" s="1"/>
  <c r="M35" i="11" s="1"/>
  <c r="N35" i="11" s="1"/>
  <c r="O35" i="11" s="1"/>
  <c r="P35" i="11" s="1"/>
  <c r="Q35" i="11" s="1"/>
  <c r="I11" i="23"/>
  <c r="I21" i="23"/>
  <c r="H10" i="19"/>
  <c r="I20" i="3"/>
  <c r="I26" i="23"/>
  <c r="J20" i="3"/>
  <c r="H12" i="19"/>
  <c r="H15" i="23"/>
  <c r="H103" i="20"/>
  <c r="H12" i="20"/>
  <c r="H17" i="19"/>
  <c r="H16" i="19"/>
  <c r="J11" i="5"/>
  <c r="H25" i="3"/>
  <c r="H29" i="3"/>
  <c r="N17" i="18"/>
  <c r="M11" i="3"/>
  <c r="O54" i="7"/>
  <c r="N20" i="11"/>
  <c r="H30" i="3"/>
  <c r="I18" i="4"/>
  <c r="I15" i="11" s="1"/>
  <c r="I16" i="23" s="1"/>
  <c r="I12" i="4"/>
  <c r="I13" i="11" s="1"/>
  <c r="I14" i="23" s="1"/>
  <c r="I15" i="4"/>
  <c r="I14" i="11" s="1"/>
  <c r="J83" i="5"/>
  <c r="J26" i="11" s="1"/>
  <c r="J10" i="11"/>
  <c r="J10" i="8"/>
  <c r="J15" i="8" s="1"/>
  <c r="J19" i="12" s="1"/>
  <c r="J10" i="4"/>
  <c r="H28" i="3"/>
  <c r="H27" i="3"/>
  <c r="I12" i="8"/>
  <c r="I18" i="12" s="1"/>
  <c r="I24" i="8"/>
  <c r="I29" i="12" s="1"/>
  <c r="I30" i="8"/>
  <c r="I32" i="12" s="1"/>
  <c r="I27" i="8"/>
  <c r="I30" i="12" s="1"/>
  <c r="I21" i="8"/>
  <c r="I21" i="12" s="1"/>
  <c r="I18" i="8"/>
  <c r="H20" i="12"/>
  <c r="H12" i="10"/>
  <c r="H16" i="11"/>
  <c r="F50" i="7"/>
  <c r="L12" i="7"/>
  <c r="L15" i="7" s="1"/>
  <c r="K17" i="7"/>
  <c r="F35" i="7"/>
  <c r="G30" i="7"/>
  <c r="G26" i="7"/>
  <c r="H21" i="7"/>
  <c r="H24" i="7" s="1"/>
  <c r="Q31" i="8"/>
  <c r="Q28" i="8"/>
  <c r="Q25" i="8"/>
  <c r="P22" i="8"/>
  <c r="P19" i="8"/>
  <c r="K10" i="5"/>
  <c r="K80" i="5" s="1"/>
  <c r="K25" i="11" s="1"/>
  <c r="N18" i="5"/>
  <c r="M15" i="5"/>
  <c r="M14" i="5" s="1"/>
  <c r="N26" i="5"/>
  <c r="M23" i="5"/>
  <c r="M22" i="5" s="1"/>
  <c r="M60" i="5"/>
  <c r="L57" i="5"/>
  <c r="L56" i="5" s="1"/>
  <c r="L90" i="5" s="1"/>
  <c r="L91" i="5" s="1"/>
  <c r="M68" i="5"/>
  <c r="L65" i="5"/>
  <c r="L64" i="5" s="1"/>
  <c r="N76" i="5"/>
  <c r="M73" i="5"/>
  <c r="M72" i="5" s="1"/>
  <c r="N52" i="5"/>
  <c r="M49" i="5"/>
  <c r="M48" i="5" s="1"/>
  <c r="N43" i="5"/>
  <c r="M40" i="5"/>
  <c r="M39" i="5" s="1"/>
  <c r="N35" i="5"/>
  <c r="M32" i="5"/>
  <c r="M31" i="5" s="1"/>
  <c r="I75" i="20" l="1"/>
  <c r="H22" i="12"/>
  <c r="J27" i="23"/>
  <c r="J11" i="23"/>
  <c r="J21" i="23"/>
  <c r="H11" i="19"/>
  <c r="H13" i="19" s="1"/>
  <c r="K20" i="3"/>
  <c r="H18" i="11"/>
  <c r="H17" i="23"/>
  <c r="I12" i="19"/>
  <c r="I10" i="19"/>
  <c r="I15" i="23"/>
  <c r="I103" i="20"/>
  <c r="J26" i="23"/>
  <c r="I12" i="20"/>
  <c r="H18" i="19"/>
  <c r="I16" i="19"/>
  <c r="I17" i="19"/>
  <c r="I25" i="3"/>
  <c r="I29" i="3"/>
  <c r="I28" i="3"/>
  <c r="H26" i="3"/>
  <c r="O17" i="18"/>
  <c r="N11" i="3"/>
  <c r="P54" i="7"/>
  <c r="O20" i="11"/>
  <c r="I16" i="11"/>
  <c r="K11" i="5"/>
  <c r="K10" i="11"/>
  <c r="K10" i="8"/>
  <c r="K15" i="8" s="1"/>
  <c r="K19" i="12" s="1"/>
  <c r="K10" i="4"/>
  <c r="K83" i="5"/>
  <c r="K26" i="11" s="1"/>
  <c r="I27" i="3"/>
  <c r="J12" i="4"/>
  <c r="J13" i="11" s="1"/>
  <c r="J14" i="23" s="1"/>
  <c r="J15" i="4"/>
  <c r="J14" i="11" s="1"/>
  <c r="J18" i="4"/>
  <c r="J15" i="11" s="1"/>
  <c r="J16" i="23" s="1"/>
  <c r="I12" i="10"/>
  <c r="I20" i="12"/>
  <c r="H11" i="10"/>
  <c r="I10" i="10"/>
  <c r="H14" i="10"/>
  <c r="H24" i="11" s="1"/>
  <c r="H25" i="23" s="1"/>
  <c r="J12" i="8"/>
  <c r="J18" i="12" s="1"/>
  <c r="J27" i="8"/>
  <c r="J30" i="12" s="1"/>
  <c r="J24" i="8"/>
  <c r="J29" i="12" s="1"/>
  <c r="J30" i="8"/>
  <c r="J32" i="12" s="1"/>
  <c r="J18" i="8"/>
  <c r="J21" i="8"/>
  <c r="J21" i="12" s="1"/>
  <c r="I30" i="3"/>
  <c r="G33" i="7"/>
  <c r="G39" i="7"/>
  <c r="G42" i="7" s="1"/>
  <c r="G45" i="7" s="1"/>
  <c r="I21" i="7"/>
  <c r="I24" i="7" s="1"/>
  <c r="H26" i="7"/>
  <c r="M12" i="7"/>
  <c r="M15" i="7" s="1"/>
  <c r="L17" i="7"/>
  <c r="G50" i="7"/>
  <c r="G47" i="7"/>
  <c r="G52" i="7" s="1"/>
  <c r="H18" i="18" s="1"/>
  <c r="H20" i="18" s="1"/>
  <c r="H22" i="18" s="1"/>
  <c r="Q22" i="8"/>
  <c r="Q19" i="8"/>
  <c r="L10" i="5"/>
  <c r="L83" i="5" s="1"/>
  <c r="L26" i="11" s="1"/>
  <c r="N68" i="5"/>
  <c r="M65" i="5"/>
  <c r="M64" i="5" s="1"/>
  <c r="O26" i="5"/>
  <c r="N23" i="5"/>
  <c r="N22" i="5" s="1"/>
  <c r="N60" i="5"/>
  <c r="M57" i="5"/>
  <c r="M56" i="5" s="1"/>
  <c r="M90" i="5" s="1"/>
  <c r="M91" i="5" s="1"/>
  <c r="O18" i="5"/>
  <c r="N15" i="5"/>
  <c r="N14" i="5" s="1"/>
  <c r="O76" i="5"/>
  <c r="N73" i="5"/>
  <c r="N72" i="5" s="1"/>
  <c r="O52" i="5"/>
  <c r="N49" i="5"/>
  <c r="N48" i="5" s="1"/>
  <c r="O43" i="5"/>
  <c r="N40" i="5"/>
  <c r="N39" i="5" s="1"/>
  <c r="O35" i="5"/>
  <c r="N32" i="5"/>
  <c r="N31" i="5" s="1"/>
  <c r="K26" i="23" l="1"/>
  <c r="I22" i="12"/>
  <c r="J75" i="20"/>
  <c r="H20" i="19"/>
  <c r="I19" i="18" s="1"/>
  <c r="K27" i="23"/>
  <c r="J10" i="19"/>
  <c r="J15" i="23"/>
  <c r="J103" i="20"/>
  <c r="I18" i="11"/>
  <c r="I17" i="23"/>
  <c r="H22" i="11"/>
  <c r="H28" i="11" s="1"/>
  <c r="H19" i="23"/>
  <c r="H16" i="20"/>
  <c r="I11" i="19"/>
  <c r="I13" i="19" s="1"/>
  <c r="J12" i="19"/>
  <c r="K11" i="23"/>
  <c r="K21" i="23"/>
  <c r="J12" i="20"/>
  <c r="J17" i="19"/>
  <c r="J25" i="3"/>
  <c r="I18" i="19"/>
  <c r="J16" i="19"/>
  <c r="J27" i="3"/>
  <c r="J29" i="3"/>
  <c r="J28" i="3"/>
  <c r="I26" i="3"/>
  <c r="P17" i="18"/>
  <c r="O11" i="3"/>
  <c r="Q54" i="7"/>
  <c r="Q20" i="11" s="1"/>
  <c r="P20" i="11"/>
  <c r="J16" i="11"/>
  <c r="K12" i="4"/>
  <c r="K13" i="11" s="1"/>
  <c r="K14" i="23" s="1"/>
  <c r="K15" i="4"/>
  <c r="K14" i="11" s="1"/>
  <c r="K18" i="4"/>
  <c r="K15" i="11" s="1"/>
  <c r="K16" i="23" s="1"/>
  <c r="J20" i="12"/>
  <c r="J12" i="10"/>
  <c r="H22" i="3"/>
  <c r="H51" i="3"/>
  <c r="K12" i="8"/>
  <c r="K18" i="12" s="1"/>
  <c r="K30" i="8"/>
  <c r="K32" i="12" s="1"/>
  <c r="K24" i="8"/>
  <c r="K29" i="12" s="1"/>
  <c r="K27" i="8"/>
  <c r="K30" i="12" s="1"/>
  <c r="K18" i="8"/>
  <c r="K21" i="8"/>
  <c r="K21" i="12" s="1"/>
  <c r="J30" i="3"/>
  <c r="I11" i="10"/>
  <c r="J10" i="10"/>
  <c r="I14" i="10"/>
  <c r="I24" i="11" s="1"/>
  <c r="I25" i="23" s="1"/>
  <c r="L11" i="5"/>
  <c r="L10" i="11"/>
  <c r="L10" i="8"/>
  <c r="L15" i="8" s="1"/>
  <c r="L19" i="12" s="1"/>
  <c r="L10" i="4"/>
  <c r="L80" i="5"/>
  <c r="L25" i="11" s="1"/>
  <c r="J21" i="7"/>
  <c r="J24" i="7" s="1"/>
  <c r="I26" i="7"/>
  <c r="N12" i="7"/>
  <c r="N15" i="7" s="1"/>
  <c r="M17" i="7"/>
  <c r="H30" i="7"/>
  <c r="G35" i="7"/>
  <c r="M10" i="5"/>
  <c r="M83" i="5" s="1"/>
  <c r="M26" i="11" s="1"/>
  <c r="P26" i="5"/>
  <c r="O23" i="5"/>
  <c r="O22" i="5" s="1"/>
  <c r="P18" i="5"/>
  <c r="O15" i="5"/>
  <c r="O14" i="5" s="1"/>
  <c r="O68" i="5"/>
  <c r="N65" i="5"/>
  <c r="N64" i="5" s="1"/>
  <c r="O60" i="5"/>
  <c r="N57" i="5"/>
  <c r="N56" i="5" s="1"/>
  <c r="N90" i="5" s="1"/>
  <c r="N91" i="5" s="1"/>
  <c r="P76" i="5"/>
  <c r="O73" i="5"/>
  <c r="O72" i="5" s="1"/>
  <c r="P52" i="5"/>
  <c r="O49" i="5"/>
  <c r="O48" i="5" s="1"/>
  <c r="P43" i="5"/>
  <c r="O40" i="5"/>
  <c r="O39" i="5" s="1"/>
  <c r="P35" i="5"/>
  <c r="O32" i="5"/>
  <c r="O31" i="5" s="1"/>
  <c r="K75" i="20" l="1"/>
  <c r="J22" i="12"/>
  <c r="I20" i="19"/>
  <c r="J19" i="18" s="1"/>
  <c r="L11" i="23"/>
  <c r="L21" i="23"/>
  <c r="H23" i="23"/>
  <c r="H20" i="20"/>
  <c r="I14" i="18"/>
  <c r="L20" i="3"/>
  <c r="L26" i="23"/>
  <c r="K15" i="23"/>
  <c r="K103" i="20"/>
  <c r="J18" i="11"/>
  <c r="J17" i="23"/>
  <c r="K12" i="20"/>
  <c r="L27" i="23"/>
  <c r="K12" i="19"/>
  <c r="K17" i="19"/>
  <c r="I22" i="11"/>
  <c r="I19" i="23"/>
  <c r="I16" i="20"/>
  <c r="H29" i="23"/>
  <c r="H24" i="20"/>
  <c r="H28" i="20"/>
  <c r="K10" i="19"/>
  <c r="J11" i="19"/>
  <c r="J13" i="19" s="1"/>
  <c r="K16" i="19"/>
  <c r="J18" i="19"/>
  <c r="K25" i="3"/>
  <c r="K27" i="3"/>
  <c r="K29" i="3"/>
  <c r="K30" i="3"/>
  <c r="J26" i="3"/>
  <c r="Q17" i="18"/>
  <c r="P11" i="3"/>
  <c r="R17" i="18"/>
  <c r="Q11" i="3"/>
  <c r="M80" i="5"/>
  <c r="M25" i="11" s="1"/>
  <c r="H21" i="4"/>
  <c r="H30" i="11" s="1"/>
  <c r="H9" i="3"/>
  <c r="H23" i="3" s="1"/>
  <c r="H31" i="3" s="1"/>
  <c r="L12" i="4"/>
  <c r="L13" i="11" s="1"/>
  <c r="L14" i="23" s="1"/>
  <c r="L18" i="4"/>
  <c r="L15" i="11" s="1"/>
  <c r="L16" i="23" s="1"/>
  <c r="L15" i="4"/>
  <c r="L14" i="11" s="1"/>
  <c r="L12" i="8"/>
  <c r="L18" i="12" s="1"/>
  <c r="L30" i="8"/>
  <c r="L32" i="12" s="1"/>
  <c r="L24" i="8"/>
  <c r="L29" i="12" s="1"/>
  <c r="L27" i="8"/>
  <c r="L30" i="12" s="1"/>
  <c r="L18" i="8"/>
  <c r="L21" i="8"/>
  <c r="L21" i="12" s="1"/>
  <c r="I51" i="3"/>
  <c r="I22" i="3"/>
  <c r="K28" i="3"/>
  <c r="K10" i="10"/>
  <c r="J11" i="10"/>
  <c r="J14" i="10"/>
  <c r="J24" i="11" s="1"/>
  <c r="J25" i="23" s="1"/>
  <c r="K16" i="11"/>
  <c r="M11" i="5"/>
  <c r="M10" i="11"/>
  <c r="M10" i="8"/>
  <c r="M15" i="8" s="1"/>
  <c r="M19" i="12" s="1"/>
  <c r="M10" i="4"/>
  <c r="K20" i="12"/>
  <c r="K12" i="10"/>
  <c r="O12" i="7"/>
  <c r="O15" i="7" s="1"/>
  <c r="N17" i="7"/>
  <c r="H33" i="7"/>
  <c r="H39" i="7"/>
  <c r="H42" i="7" s="1"/>
  <c r="H45" i="7" s="1"/>
  <c r="K21" i="7"/>
  <c r="K24" i="7" s="1"/>
  <c r="J26" i="7"/>
  <c r="N10" i="5"/>
  <c r="N83" i="5" s="1"/>
  <c r="N26" i="11" s="1"/>
  <c r="P68" i="5"/>
  <c r="O65" i="5"/>
  <c r="O64" i="5" s="1"/>
  <c r="P60" i="5"/>
  <c r="O57" i="5"/>
  <c r="O56" i="5" s="1"/>
  <c r="O90" i="5" s="1"/>
  <c r="O91" i="5" s="1"/>
  <c r="Q18" i="5"/>
  <c r="Q15" i="5" s="1"/>
  <c r="P15" i="5"/>
  <c r="P14" i="5" s="1"/>
  <c r="Q26" i="5"/>
  <c r="Q23" i="5" s="1"/>
  <c r="P23" i="5"/>
  <c r="P22" i="5" s="1"/>
  <c r="Q76" i="5"/>
  <c r="Q73" i="5" s="1"/>
  <c r="P73" i="5"/>
  <c r="P72" i="5" s="1"/>
  <c r="Q52" i="5"/>
  <c r="Q49" i="5" s="1"/>
  <c r="P49" i="5"/>
  <c r="P48" i="5" s="1"/>
  <c r="Q43" i="5"/>
  <c r="Q40" i="5" s="1"/>
  <c r="P40" i="5"/>
  <c r="P39" i="5" s="1"/>
  <c r="Q35" i="5"/>
  <c r="Q32" i="5" s="1"/>
  <c r="P32" i="5"/>
  <c r="P31" i="5" s="1"/>
  <c r="L75" i="20" l="1"/>
  <c r="I28" i="11"/>
  <c r="I28" i="20" s="1"/>
  <c r="K22" i="12"/>
  <c r="J20" i="19"/>
  <c r="K19" i="18" s="1"/>
  <c r="L10" i="19"/>
  <c r="J14" i="18"/>
  <c r="I23" i="23"/>
  <c r="I20" i="20"/>
  <c r="L15" i="23"/>
  <c r="L103" i="20"/>
  <c r="I15" i="18"/>
  <c r="I16" i="18" s="1"/>
  <c r="M11" i="23"/>
  <c r="M21" i="23"/>
  <c r="K11" i="19"/>
  <c r="K13" i="19" s="1"/>
  <c r="H32" i="3"/>
  <c r="H34" i="3" s="1"/>
  <c r="H31" i="23"/>
  <c r="K18" i="19"/>
  <c r="L12" i="20"/>
  <c r="K18" i="11"/>
  <c r="K17" i="23"/>
  <c r="L12" i="19"/>
  <c r="L17" i="19"/>
  <c r="M20" i="3"/>
  <c r="M26" i="23"/>
  <c r="J22" i="11"/>
  <c r="J19" i="23"/>
  <c r="J16" i="20"/>
  <c r="M27" i="23"/>
  <c r="L25" i="3"/>
  <c r="L16" i="19"/>
  <c r="L29" i="3"/>
  <c r="K26" i="3"/>
  <c r="Q22" i="5"/>
  <c r="N80" i="5"/>
  <c r="N25" i="11" s="1"/>
  <c r="N11" i="5"/>
  <c r="Q14" i="5"/>
  <c r="M12" i="8"/>
  <c r="M18" i="12" s="1"/>
  <c r="M30" i="8"/>
  <c r="M32" i="12" s="1"/>
  <c r="M24" i="8"/>
  <c r="M29" i="12" s="1"/>
  <c r="M27" i="8"/>
  <c r="M30" i="12" s="1"/>
  <c r="M21" i="8"/>
  <c r="M21" i="12" s="1"/>
  <c r="M18" i="8"/>
  <c r="J51" i="3"/>
  <c r="J22" i="3"/>
  <c r="J28" i="11"/>
  <c r="L10" i="10"/>
  <c r="K11" i="10"/>
  <c r="K14" i="10"/>
  <c r="K24" i="11" s="1"/>
  <c r="L28" i="3"/>
  <c r="L16" i="11"/>
  <c r="L27" i="3"/>
  <c r="Q39" i="5"/>
  <c r="Q72" i="5"/>
  <c r="N10" i="11"/>
  <c r="N10" i="8"/>
  <c r="N15" i="8" s="1"/>
  <c r="N19" i="12" s="1"/>
  <c r="N10" i="4"/>
  <c r="M12" i="4"/>
  <c r="M13" i="11" s="1"/>
  <c r="M14" i="23" s="1"/>
  <c r="M18" i="4"/>
  <c r="M15" i="11" s="1"/>
  <c r="M16" i="23" s="1"/>
  <c r="M15" i="4"/>
  <c r="M14" i="11" s="1"/>
  <c r="L30" i="3"/>
  <c r="I9" i="3"/>
  <c r="I23" i="3" s="1"/>
  <c r="I31" i="3" s="1"/>
  <c r="L20" i="12"/>
  <c r="L12" i="10"/>
  <c r="H32" i="11"/>
  <c r="H47" i="7"/>
  <c r="H52" i="7" s="1"/>
  <c r="H50" i="7"/>
  <c r="H31" i="12" s="1"/>
  <c r="I30" i="7"/>
  <c r="H35" i="7"/>
  <c r="L21" i="7"/>
  <c r="L24" i="7" s="1"/>
  <c r="K26" i="7"/>
  <c r="P12" i="7"/>
  <c r="P15" i="7" s="1"/>
  <c r="O17" i="7"/>
  <c r="O10" i="5"/>
  <c r="O83" i="5" s="1"/>
  <c r="O26" i="11" s="1"/>
  <c r="Q60" i="5"/>
  <c r="Q57" i="5" s="1"/>
  <c r="P57" i="5"/>
  <c r="P56" i="5" s="1"/>
  <c r="P90" i="5" s="1"/>
  <c r="P91" i="5" s="1"/>
  <c r="Q48" i="5"/>
  <c r="Q68" i="5"/>
  <c r="Q65" i="5" s="1"/>
  <c r="P65" i="5"/>
  <c r="P64" i="5" s="1"/>
  <c r="Q31" i="5"/>
  <c r="I29" i="23" l="1"/>
  <c r="I21" i="4"/>
  <c r="I30" i="11" s="1"/>
  <c r="I32" i="3" s="1"/>
  <c r="I34" i="3" s="1"/>
  <c r="H107" i="20"/>
  <c r="M75" i="20"/>
  <c r="L22" i="12"/>
  <c r="I24" i="20"/>
  <c r="M12" i="19"/>
  <c r="H33" i="23"/>
  <c r="H36" i="20"/>
  <c r="H65" i="20"/>
  <c r="K25" i="23"/>
  <c r="J15" i="18"/>
  <c r="J16" i="18" s="1"/>
  <c r="M15" i="23"/>
  <c r="M103" i="20"/>
  <c r="J29" i="23"/>
  <c r="J28" i="20"/>
  <c r="J24" i="20"/>
  <c r="K22" i="11"/>
  <c r="K19" i="23"/>
  <c r="K16" i="20"/>
  <c r="N11" i="23"/>
  <c r="N21" i="23"/>
  <c r="K20" i="19"/>
  <c r="L19" i="18" s="1"/>
  <c r="M12" i="20"/>
  <c r="M10" i="19"/>
  <c r="K14" i="18"/>
  <c r="J23" i="23"/>
  <c r="J20" i="20"/>
  <c r="L11" i="19"/>
  <c r="L13" i="19" s="1"/>
  <c r="L18" i="11"/>
  <c r="L17" i="23"/>
  <c r="M17" i="19"/>
  <c r="N20" i="3"/>
  <c r="N26" i="23"/>
  <c r="L18" i="19"/>
  <c r="N27" i="23"/>
  <c r="M16" i="19"/>
  <c r="M25" i="3"/>
  <c r="M27" i="3"/>
  <c r="L26" i="3"/>
  <c r="M30" i="3"/>
  <c r="M29" i="3"/>
  <c r="H42" i="3"/>
  <c r="H45" i="3" s="1"/>
  <c r="I18" i="18"/>
  <c r="O11" i="5"/>
  <c r="O10" i="11"/>
  <c r="O10" i="8"/>
  <c r="O15" i="8" s="1"/>
  <c r="O19" i="12" s="1"/>
  <c r="O10" i="4"/>
  <c r="I32" i="11"/>
  <c r="M16" i="11"/>
  <c r="N12" i="4"/>
  <c r="N13" i="11" s="1"/>
  <c r="N14" i="23" s="1"/>
  <c r="N15" i="4"/>
  <c r="N14" i="11" s="1"/>
  <c r="N18" i="4"/>
  <c r="N15" i="11" s="1"/>
  <c r="N16" i="23" s="1"/>
  <c r="M28" i="3"/>
  <c r="M20" i="12"/>
  <c r="M12" i="10"/>
  <c r="O80" i="5"/>
  <c r="O25" i="11" s="1"/>
  <c r="H34" i="11"/>
  <c r="H52" i="3" s="1"/>
  <c r="L11" i="10"/>
  <c r="M10" i="10"/>
  <c r="L14" i="10"/>
  <c r="L24" i="11" s="1"/>
  <c r="Q64" i="5"/>
  <c r="N12" i="8"/>
  <c r="N18" i="12" s="1"/>
  <c r="N27" i="8"/>
  <c r="N30" i="12" s="1"/>
  <c r="N30" i="8"/>
  <c r="N32" i="12" s="1"/>
  <c r="N24" i="8"/>
  <c r="N29" i="12" s="1"/>
  <c r="N18" i="8"/>
  <c r="N21" i="8"/>
  <c r="N21" i="12" s="1"/>
  <c r="K51" i="3"/>
  <c r="K22" i="3"/>
  <c r="J9" i="3"/>
  <c r="J23" i="3" s="1"/>
  <c r="J31" i="3" s="1"/>
  <c r="J21" i="4"/>
  <c r="J30" i="11" s="1"/>
  <c r="Q12" i="7"/>
  <c r="Q15" i="7" s="1"/>
  <c r="Q17" i="7" s="1"/>
  <c r="P17" i="7"/>
  <c r="I33" i="7"/>
  <c r="I39" i="7"/>
  <c r="I42" i="7" s="1"/>
  <c r="I45" i="7" s="1"/>
  <c r="M21" i="7"/>
  <c r="M24" i="7" s="1"/>
  <c r="L26" i="7"/>
  <c r="Q56" i="5"/>
  <c r="Q90" i="5" s="1"/>
  <c r="Q91" i="5" s="1"/>
  <c r="P10" i="5"/>
  <c r="I31" i="23" l="1"/>
  <c r="N75" i="20"/>
  <c r="O27" i="23"/>
  <c r="M22" i="12"/>
  <c r="M18" i="19"/>
  <c r="L20" i="19"/>
  <c r="M19" i="18" s="1"/>
  <c r="L22" i="11"/>
  <c r="L19" i="23"/>
  <c r="L16" i="20"/>
  <c r="K15" i="18"/>
  <c r="K16" i="18" s="1"/>
  <c r="N10" i="19"/>
  <c r="I33" i="23"/>
  <c r="I65" i="20"/>
  <c r="I36" i="20"/>
  <c r="N17" i="19"/>
  <c r="L25" i="23"/>
  <c r="K23" i="23"/>
  <c r="K20" i="20"/>
  <c r="L14" i="18"/>
  <c r="N15" i="23"/>
  <c r="N103" i="20"/>
  <c r="J32" i="3"/>
  <c r="J34" i="3" s="1"/>
  <c r="J31" i="23"/>
  <c r="N12" i="19"/>
  <c r="O20" i="3"/>
  <c r="O26" i="23"/>
  <c r="M11" i="19"/>
  <c r="M13" i="19" s="1"/>
  <c r="M18" i="11"/>
  <c r="M17" i="23"/>
  <c r="O11" i="23"/>
  <c r="O21" i="23"/>
  <c r="N12" i="20"/>
  <c r="K28" i="11"/>
  <c r="N16" i="19"/>
  <c r="N25" i="3"/>
  <c r="I20" i="18"/>
  <c r="I22" i="18" s="1"/>
  <c r="N29" i="3"/>
  <c r="M26" i="3"/>
  <c r="N27" i="3"/>
  <c r="N30" i="3"/>
  <c r="J32" i="11"/>
  <c r="Q10" i="5"/>
  <c r="Q10" i="11" s="1"/>
  <c r="N16" i="11"/>
  <c r="I34" i="11"/>
  <c r="I52" i="3" s="1"/>
  <c r="P10" i="11"/>
  <c r="P10" i="8"/>
  <c r="P15" i="8" s="1"/>
  <c r="P19" i="12" s="1"/>
  <c r="P10" i="4"/>
  <c r="N20" i="12"/>
  <c r="N12" i="10"/>
  <c r="O15" i="4"/>
  <c r="O14" i="11" s="1"/>
  <c r="O12" i="4"/>
  <c r="O13" i="11" s="1"/>
  <c r="O14" i="23" s="1"/>
  <c r="O18" i="4"/>
  <c r="O15" i="11" s="1"/>
  <c r="O16" i="23" s="1"/>
  <c r="P11" i="5"/>
  <c r="H37" i="11"/>
  <c r="M11" i="10"/>
  <c r="N10" i="10"/>
  <c r="M14" i="10"/>
  <c r="M24" i="11" s="1"/>
  <c r="O12" i="8"/>
  <c r="O18" i="12" s="1"/>
  <c r="O30" i="8"/>
  <c r="O32" i="12" s="1"/>
  <c r="O24" i="8"/>
  <c r="O29" i="12" s="1"/>
  <c r="O27" i="8"/>
  <c r="O30" i="12" s="1"/>
  <c r="O18" i="8"/>
  <c r="O21" i="8"/>
  <c r="O21" i="12" s="1"/>
  <c r="P80" i="5"/>
  <c r="P25" i="11" s="1"/>
  <c r="L22" i="3"/>
  <c r="L51" i="3"/>
  <c r="P83" i="5"/>
  <c r="P26" i="11" s="1"/>
  <c r="N28" i="3"/>
  <c r="I50" i="7"/>
  <c r="I31" i="12" s="1"/>
  <c r="I47" i="7"/>
  <c r="I52" i="7" s="1"/>
  <c r="J30" i="7"/>
  <c r="I35" i="7"/>
  <c r="N21" i="7"/>
  <c r="N24" i="7" s="1"/>
  <c r="M26" i="7"/>
  <c r="N18" i="19" l="1"/>
  <c r="O75" i="20"/>
  <c r="I107" i="20"/>
  <c r="N22" i="12"/>
  <c r="L28" i="11"/>
  <c r="L24" i="20" s="1"/>
  <c r="M20" i="19"/>
  <c r="N19" i="18" s="1"/>
  <c r="P27" i="23"/>
  <c r="J34" i="11"/>
  <c r="J52" i="3" s="1"/>
  <c r="J33" i="23"/>
  <c r="J36" i="20"/>
  <c r="J65" i="20"/>
  <c r="P11" i="23"/>
  <c r="P21" i="23"/>
  <c r="K29" i="23"/>
  <c r="K28" i="20"/>
  <c r="K24" i="20"/>
  <c r="K21" i="4"/>
  <c r="K30" i="11" s="1"/>
  <c r="K9" i="3"/>
  <c r="K23" i="3" s="1"/>
  <c r="K31" i="3" s="1"/>
  <c r="O12" i="20"/>
  <c r="L15" i="18"/>
  <c r="L16" i="18" s="1"/>
  <c r="L23" i="23"/>
  <c r="L20" i="20"/>
  <c r="M14" i="18"/>
  <c r="O10" i="19"/>
  <c r="N18" i="11"/>
  <c r="N17" i="23"/>
  <c r="P20" i="3"/>
  <c r="P26" i="23"/>
  <c r="N11" i="19"/>
  <c r="N13" i="19" s="1"/>
  <c r="N20" i="19" s="1"/>
  <c r="O19" i="18" s="1"/>
  <c r="M22" i="11"/>
  <c r="M19" i="23"/>
  <c r="M16" i="20"/>
  <c r="O12" i="19"/>
  <c r="M25" i="23"/>
  <c r="H69" i="20"/>
  <c r="O15" i="23"/>
  <c r="O103" i="20"/>
  <c r="Q11" i="23"/>
  <c r="Q21" i="23"/>
  <c r="Q11" i="5"/>
  <c r="Q80" i="5"/>
  <c r="Q25" i="11" s="1"/>
  <c r="O25" i="3"/>
  <c r="O16" i="19"/>
  <c r="O17" i="19"/>
  <c r="N26" i="3"/>
  <c r="O29" i="3"/>
  <c r="O30" i="3"/>
  <c r="O28" i="3"/>
  <c r="I42" i="3"/>
  <c r="I45" i="3" s="1"/>
  <c r="J18" i="18"/>
  <c r="Q10" i="4"/>
  <c r="Q83" i="5"/>
  <c r="Q26" i="11" s="1"/>
  <c r="Q27" i="23" s="1"/>
  <c r="Q10" i="8"/>
  <c r="Q18" i="8" s="1"/>
  <c r="O20" i="12"/>
  <c r="O12" i="10"/>
  <c r="O27" i="3"/>
  <c r="P12" i="8"/>
  <c r="P18" i="12" s="1"/>
  <c r="P30" i="8"/>
  <c r="P32" i="12" s="1"/>
  <c r="P24" i="8"/>
  <c r="P29" i="12" s="1"/>
  <c r="P27" i="8"/>
  <c r="P30" i="12" s="1"/>
  <c r="P18" i="8"/>
  <c r="P21" i="8"/>
  <c r="P21" i="12" s="1"/>
  <c r="M51" i="3"/>
  <c r="M22" i="3"/>
  <c r="H13" i="12"/>
  <c r="H38" i="11"/>
  <c r="O16" i="11"/>
  <c r="O10" i="10"/>
  <c r="N11" i="10"/>
  <c r="N14" i="10"/>
  <c r="N24" i="11" s="1"/>
  <c r="P12" i="4"/>
  <c r="P13" i="11" s="1"/>
  <c r="P14" i="23" s="1"/>
  <c r="P18" i="4"/>
  <c r="P15" i="11" s="1"/>
  <c r="P16" i="23" s="1"/>
  <c r="P15" i="4"/>
  <c r="P14" i="11" s="1"/>
  <c r="I37" i="11"/>
  <c r="J33" i="7"/>
  <c r="J39" i="7"/>
  <c r="J42" i="7" s="1"/>
  <c r="J45" i="7" s="1"/>
  <c r="O21" i="7"/>
  <c r="O24" i="7" s="1"/>
  <c r="N26" i="7"/>
  <c r="L28" i="20" l="1"/>
  <c r="L29" i="23"/>
  <c r="L9" i="3"/>
  <c r="L23" i="3" s="1"/>
  <c r="L31" i="3" s="1"/>
  <c r="P75" i="20"/>
  <c r="O22" i="12"/>
  <c r="M28" i="11"/>
  <c r="M21" i="4" s="1"/>
  <c r="M30" i="11" s="1"/>
  <c r="M32" i="3" s="1"/>
  <c r="L21" i="4"/>
  <c r="L30" i="11" s="1"/>
  <c r="L32" i="3" s="1"/>
  <c r="J37" i="11"/>
  <c r="J38" i="11" s="1"/>
  <c r="Q20" i="3"/>
  <c r="Q26" i="23"/>
  <c r="N22" i="11"/>
  <c r="N19" i="23"/>
  <c r="N16" i="20"/>
  <c r="I38" i="11"/>
  <c r="I69" i="20"/>
  <c r="O18" i="11"/>
  <c r="O17" i="23"/>
  <c r="P10" i="19"/>
  <c r="M23" i="23"/>
  <c r="M20" i="20"/>
  <c r="N14" i="18"/>
  <c r="P17" i="19"/>
  <c r="P15" i="23"/>
  <c r="P103" i="20"/>
  <c r="N25" i="23"/>
  <c r="P12" i="20"/>
  <c r="P12" i="19"/>
  <c r="O11" i="19"/>
  <c r="O13" i="19" s="1"/>
  <c r="M15" i="18"/>
  <c r="M16" i="18" s="1"/>
  <c r="K32" i="3"/>
  <c r="K34" i="3" s="1"/>
  <c r="K31" i="23"/>
  <c r="K32" i="11"/>
  <c r="Q15" i="4"/>
  <c r="Q14" i="11" s="1"/>
  <c r="Q24" i="8"/>
  <c r="Q29" i="12" s="1"/>
  <c r="Q15" i="8"/>
  <c r="Q19" i="12" s="1"/>
  <c r="Q30" i="8"/>
  <c r="Q32" i="12" s="1"/>
  <c r="P25" i="3"/>
  <c r="Q27" i="8"/>
  <c r="Q30" i="12" s="1"/>
  <c r="Q21" i="8"/>
  <c r="Q21" i="12" s="1"/>
  <c r="Q12" i="8"/>
  <c r="Q18" i="12" s="1"/>
  <c r="O18" i="19"/>
  <c r="P16" i="19"/>
  <c r="J20" i="18"/>
  <c r="J22" i="18" s="1"/>
  <c r="P29" i="3"/>
  <c r="O26" i="3"/>
  <c r="Q18" i="4"/>
  <c r="Q15" i="11" s="1"/>
  <c r="Q16" i="23" s="1"/>
  <c r="Q12" i="4"/>
  <c r="Q13" i="11" s="1"/>
  <c r="P30" i="3"/>
  <c r="H14" i="12"/>
  <c r="H15" i="12" s="1"/>
  <c r="I13" i="12"/>
  <c r="P10" i="10"/>
  <c r="O11" i="10"/>
  <c r="O14" i="10"/>
  <c r="O24" i="11" s="1"/>
  <c r="O25" i="23" s="1"/>
  <c r="P27" i="3"/>
  <c r="P16" i="11"/>
  <c r="P28" i="3"/>
  <c r="P20" i="12"/>
  <c r="P12" i="10"/>
  <c r="N51" i="3"/>
  <c r="N22" i="3"/>
  <c r="Q12" i="10"/>
  <c r="Q20" i="12"/>
  <c r="P21" i="7"/>
  <c r="P24" i="7" s="1"/>
  <c r="O26" i="7"/>
  <c r="J50" i="7"/>
  <c r="J31" i="12" s="1"/>
  <c r="J47" i="7"/>
  <c r="J52" i="7" s="1"/>
  <c r="K30" i="7"/>
  <c r="J35" i="7"/>
  <c r="L34" i="3" l="1"/>
  <c r="M24" i="20"/>
  <c r="M29" i="23"/>
  <c r="M28" i="20"/>
  <c r="L31" i="23"/>
  <c r="N28" i="11"/>
  <c r="N24" i="20" s="1"/>
  <c r="L32" i="11"/>
  <c r="L65" i="20" s="1"/>
  <c r="Q75" i="20"/>
  <c r="J107" i="20"/>
  <c r="P22" i="12"/>
  <c r="H97" i="20"/>
  <c r="H24" i="12"/>
  <c r="H61" i="20"/>
  <c r="H44" i="20"/>
  <c r="M9" i="3"/>
  <c r="M23" i="3" s="1"/>
  <c r="M31" i="3" s="1"/>
  <c r="M34" i="3" s="1"/>
  <c r="Q22" i="12"/>
  <c r="M32" i="11"/>
  <c r="M31" i="23"/>
  <c r="J69" i="20"/>
  <c r="P18" i="19"/>
  <c r="P18" i="11"/>
  <c r="P17" i="23"/>
  <c r="O20" i="19"/>
  <c r="P19" i="18" s="1"/>
  <c r="Q15" i="23"/>
  <c r="Q103" i="20"/>
  <c r="N15" i="18"/>
  <c r="N16" i="18" s="1"/>
  <c r="N23" i="23"/>
  <c r="N20" i="20"/>
  <c r="O14" i="18"/>
  <c r="Q27" i="3"/>
  <c r="P11" i="19"/>
  <c r="P13" i="19" s="1"/>
  <c r="Q10" i="19"/>
  <c r="Q17" i="19"/>
  <c r="O22" i="11"/>
  <c r="O19" i="23"/>
  <c r="O16" i="20"/>
  <c r="Q28" i="3"/>
  <c r="Q14" i="23"/>
  <c r="Q12" i="20"/>
  <c r="Q12" i="19"/>
  <c r="K33" i="23"/>
  <c r="K36" i="20"/>
  <c r="K65" i="20"/>
  <c r="K34" i="11"/>
  <c r="Q16" i="11"/>
  <c r="Q30" i="3"/>
  <c r="Q25" i="3"/>
  <c r="Q16" i="19"/>
  <c r="Q11" i="19"/>
  <c r="Q29" i="3"/>
  <c r="P26" i="3"/>
  <c r="J42" i="3"/>
  <c r="J45" i="3" s="1"/>
  <c r="K18" i="18"/>
  <c r="I14" i="12"/>
  <c r="I15" i="12" s="1"/>
  <c r="I44" i="20" s="1"/>
  <c r="H54" i="3"/>
  <c r="H56" i="3" s="1"/>
  <c r="H60" i="3" s="1"/>
  <c r="H64" i="3" s="1"/>
  <c r="H27" i="12" s="1"/>
  <c r="O51" i="3"/>
  <c r="O22" i="3"/>
  <c r="Q26" i="3"/>
  <c r="P11" i="10"/>
  <c r="Q10" i="10"/>
  <c r="Q14" i="10" s="1"/>
  <c r="Q24" i="11" s="1"/>
  <c r="Q25" i="23" s="1"/>
  <c r="P14" i="10"/>
  <c r="P24" i="11" s="1"/>
  <c r="P25" i="23" s="1"/>
  <c r="J13" i="12"/>
  <c r="K33" i="7"/>
  <c r="K39" i="7"/>
  <c r="K42" i="7" s="1"/>
  <c r="K45" i="7" s="1"/>
  <c r="Q21" i="7"/>
  <c r="Q24" i="7" s="1"/>
  <c r="Q26" i="7" s="1"/>
  <c r="P26" i="7"/>
  <c r="N9" i="3" l="1"/>
  <c r="N23" i="3" s="1"/>
  <c r="N31" i="3" s="1"/>
  <c r="O28" i="11"/>
  <c r="O28" i="20" s="1"/>
  <c r="N21" i="4"/>
  <c r="N30" i="11" s="1"/>
  <c r="N32" i="11" s="1"/>
  <c r="N33" i="23" s="1"/>
  <c r="I97" i="20"/>
  <c r="I24" i="12"/>
  <c r="I61" i="20"/>
  <c r="L36" i="20"/>
  <c r="L34" i="11"/>
  <c r="L33" i="23"/>
  <c r="H79" i="20"/>
  <c r="N29" i="23"/>
  <c r="M36" i="20"/>
  <c r="N28" i="20"/>
  <c r="P20" i="19"/>
  <c r="Q19" i="18" s="1"/>
  <c r="M65" i="20"/>
  <c r="M33" i="23"/>
  <c r="M34" i="11"/>
  <c r="M52" i="3" s="1"/>
  <c r="Q13" i="19"/>
  <c r="K52" i="3"/>
  <c r="K37" i="11"/>
  <c r="K13" i="12" s="1"/>
  <c r="O23" i="23"/>
  <c r="O20" i="20"/>
  <c r="P14" i="18"/>
  <c r="Q18" i="19"/>
  <c r="Q18" i="11"/>
  <c r="Q17" i="23"/>
  <c r="O15" i="18"/>
  <c r="O16" i="18" s="1"/>
  <c r="P22" i="11"/>
  <c r="P19" i="23"/>
  <c r="P16" i="20"/>
  <c r="O24" i="20"/>
  <c r="H87" i="20"/>
  <c r="K20" i="18"/>
  <c r="K22" i="18" s="1"/>
  <c r="Q51" i="3"/>
  <c r="Q22" i="3"/>
  <c r="I62" i="3"/>
  <c r="Q11" i="10"/>
  <c r="P22" i="3"/>
  <c r="P51" i="3"/>
  <c r="I54" i="3"/>
  <c r="I56" i="3" s="1"/>
  <c r="I60" i="3" s="1"/>
  <c r="J14" i="12"/>
  <c r="J15" i="12" s="1"/>
  <c r="O9" i="3"/>
  <c r="O23" i="3" s="1"/>
  <c r="O31" i="3" s="1"/>
  <c r="K47" i="7"/>
  <c r="K52" i="7" s="1"/>
  <c r="K50" i="7"/>
  <c r="K31" i="12" s="1"/>
  <c r="L30" i="7"/>
  <c r="K35" i="7"/>
  <c r="N32" i="3" l="1"/>
  <c r="N34" i="3" s="1"/>
  <c r="N34" i="11"/>
  <c r="N52" i="3" s="1"/>
  <c r="N65" i="20"/>
  <c r="N36" i="20"/>
  <c r="N31" i="23"/>
  <c r="J97" i="20"/>
  <c r="J24" i="12"/>
  <c r="P28" i="11"/>
  <c r="P29" i="23" s="1"/>
  <c r="L52" i="3"/>
  <c r="L37" i="11"/>
  <c r="L13" i="12" s="1"/>
  <c r="J44" i="20"/>
  <c r="K107" i="20"/>
  <c r="O29" i="23"/>
  <c r="O21" i="4"/>
  <c r="O30" i="11" s="1"/>
  <c r="O31" i="23" s="1"/>
  <c r="J61" i="20"/>
  <c r="M37" i="11"/>
  <c r="Q20" i="19"/>
  <c r="R19" i="18" s="1"/>
  <c r="I87" i="20"/>
  <c r="P23" i="23"/>
  <c r="P20" i="20"/>
  <c r="Q14" i="18"/>
  <c r="Q22" i="11"/>
  <c r="Q19" i="23"/>
  <c r="Q16" i="20"/>
  <c r="P15" i="18"/>
  <c r="P16" i="18" s="1"/>
  <c r="K38" i="11"/>
  <c r="K69" i="20"/>
  <c r="I64" i="3"/>
  <c r="K42" i="3"/>
  <c r="K45" i="3" s="1"/>
  <c r="L18" i="18"/>
  <c r="N37" i="11"/>
  <c r="K14" i="12"/>
  <c r="J54" i="3"/>
  <c r="J56" i="3" s="1"/>
  <c r="J60" i="3" s="1"/>
  <c r="L33" i="7"/>
  <c r="L39" i="7"/>
  <c r="L42" i="7" s="1"/>
  <c r="L45" i="7" s="1"/>
  <c r="O32" i="11" l="1"/>
  <c r="O32" i="3"/>
  <c r="O34" i="3" s="1"/>
  <c r="P28" i="20"/>
  <c r="P9" i="3"/>
  <c r="P23" i="3" s="1"/>
  <c r="P31" i="3" s="1"/>
  <c r="P24" i="20"/>
  <c r="P21" i="4"/>
  <c r="P30" i="11" s="1"/>
  <c r="P32" i="3" s="1"/>
  <c r="L69" i="20"/>
  <c r="L38" i="11"/>
  <c r="K15" i="12"/>
  <c r="M38" i="11"/>
  <c r="M69" i="20"/>
  <c r="J62" i="3"/>
  <c r="J64" i="3" s="1"/>
  <c r="I27" i="12"/>
  <c r="O33" i="23"/>
  <c r="O36" i="20"/>
  <c r="O65" i="20"/>
  <c r="R14" i="18"/>
  <c r="F30" i="18" s="1"/>
  <c r="Q23" i="23"/>
  <c r="Q20" i="20"/>
  <c r="Q28" i="11"/>
  <c r="Q15" i="18"/>
  <c r="Q16" i="18" s="1"/>
  <c r="N38" i="11"/>
  <c r="N69" i="20"/>
  <c r="J87" i="20"/>
  <c r="L20" i="18"/>
  <c r="L22" i="18" s="1"/>
  <c r="L14" i="12"/>
  <c r="K54" i="3"/>
  <c r="K56" i="3" s="1"/>
  <c r="K60" i="3" s="1"/>
  <c r="O34" i="11"/>
  <c r="O52" i="3" s="1"/>
  <c r="M13" i="12"/>
  <c r="L50" i="7"/>
  <c r="L31" i="12" s="1"/>
  <c r="L47" i="7"/>
  <c r="L52" i="7" s="1"/>
  <c r="M30" i="7"/>
  <c r="L35" i="7"/>
  <c r="P34" i="3" l="1"/>
  <c r="P32" i="11"/>
  <c r="P65" i="20" s="1"/>
  <c r="P31" i="23"/>
  <c r="L107" i="20"/>
  <c r="I79" i="20"/>
  <c r="K97" i="20"/>
  <c r="K24" i="12"/>
  <c r="K44" i="20"/>
  <c r="K61" i="20"/>
  <c r="L15" i="12"/>
  <c r="L61" i="20" s="1"/>
  <c r="K62" i="3"/>
  <c r="K64" i="3" s="1"/>
  <c r="K27" i="12" s="1"/>
  <c r="J27" i="12"/>
  <c r="Q29" i="23"/>
  <c r="Q24" i="20"/>
  <c r="Q28" i="20"/>
  <c r="Q21" i="4"/>
  <c r="Q30" i="11" s="1"/>
  <c r="Q9" i="3"/>
  <c r="Q23" i="3" s="1"/>
  <c r="Q31" i="3" s="1"/>
  <c r="P34" i="11"/>
  <c r="P52" i="3" s="1"/>
  <c r="P33" i="23"/>
  <c r="P36" i="20"/>
  <c r="K87" i="20"/>
  <c r="R15" i="18"/>
  <c r="R16" i="18" s="1"/>
  <c r="L42" i="3"/>
  <c r="L45" i="3" s="1"/>
  <c r="M18" i="18"/>
  <c r="O37" i="11"/>
  <c r="N13" i="12"/>
  <c r="M14" i="12"/>
  <c r="M15" i="12" s="1"/>
  <c r="L54" i="3"/>
  <c r="L56" i="3" s="1"/>
  <c r="M33" i="7"/>
  <c r="M39" i="7"/>
  <c r="M42" i="7" s="1"/>
  <c r="M45" i="7" s="1"/>
  <c r="L44" i="20" l="1"/>
  <c r="M97" i="20"/>
  <c r="M24" i="12"/>
  <c r="J79" i="20"/>
  <c r="K79" i="20"/>
  <c r="L97" i="20"/>
  <c r="L24" i="12"/>
  <c r="M61" i="20"/>
  <c r="M44" i="20"/>
  <c r="L60" i="3"/>
  <c r="P37" i="11"/>
  <c r="P38" i="11" s="1"/>
  <c r="L87" i="20"/>
  <c r="Q32" i="3"/>
  <c r="Q34" i="3" s="1"/>
  <c r="Q31" i="23"/>
  <c r="Q32" i="11"/>
  <c r="O38" i="11"/>
  <c r="O69" i="20"/>
  <c r="M20" i="18"/>
  <c r="M22" i="18" s="1"/>
  <c r="L62" i="3"/>
  <c r="N14" i="12"/>
  <c r="N15" i="12" s="1"/>
  <c r="N61" i="20" s="1"/>
  <c r="M54" i="3"/>
  <c r="M56" i="3" s="1"/>
  <c r="O13" i="12"/>
  <c r="M50" i="7"/>
  <c r="M31" i="12" s="1"/>
  <c r="M47" i="7"/>
  <c r="M52" i="7" s="1"/>
  <c r="N30" i="7"/>
  <c r="M35" i="7"/>
  <c r="N97" i="20" l="1"/>
  <c r="N24" i="12"/>
  <c r="M107" i="20"/>
  <c r="N44" i="20"/>
  <c r="L64" i="3"/>
  <c r="L27" i="12" s="1"/>
  <c r="P69" i="20"/>
  <c r="M87" i="20"/>
  <c r="Q34" i="11"/>
  <c r="Q52" i="3" s="1"/>
  <c r="Q33" i="23"/>
  <c r="Q65" i="20"/>
  <c r="Q36" i="20"/>
  <c r="M42" i="3"/>
  <c r="M45" i="3" s="1"/>
  <c r="M60" i="3" s="1"/>
  <c r="N18" i="18"/>
  <c r="O14" i="12"/>
  <c r="N54" i="3"/>
  <c r="N56" i="3" s="1"/>
  <c r="P13" i="12"/>
  <c r="N33" i="7"/>
  <c r="N39" i="7"/>
  <c r="N42" i="7" s="1"/>
  <c r="N45" i="7" s="1"/>
  <c r="L79" i="20" l="1"/>
  <c r="O15" i="12"/>
  <c r="M62" i="3"/>
  <c r="M64" i="3" s="1"/>
  <c r="M27" i="12" s="1"/>
  <c r="N87" i="20"/>
  <c r="Q37" i="11"/>
  <c r="Q13" i="12" s="1"/>
  <c r="N20" i="18"/>
  <c r="N22" i="18" s="1"/>
  <c r="P14" i="12"/>
  <c r="O54" i="3"/>
  <c r="O56" i="3" s="1"/>
  <c r="N47" i="7"/>
  <c r="N52" i="7" s="1"/>
  <c r="N50" i="7"/>
  <c r="N31" i="12" s="1"/>
  <c r="O30" i="7"/>
  <c r="N35" i="7"/>
  <c r="M79" i="20" l="1"/>
  <c r="O97" i="20"/>
  <c r="O24" i="12"/>
  <c r="O61" i="20"/>
  <c r="O44" i="20"/>
  <c r="N107" i="20"/>
  <c r="P15" i="12"/>
  <c r="P44" i="20" s="1"/>
  <c r="O87" i="20"/>
  <c r="Q38" i="11"/>
  <c r="Q69" i="20"/>
  <c r="N42" i="3"/>
  <c r="N45" i="3" s="1"/>
  <c r="N60" i="3" s="1"/>
  <c r="O18" i="18"/>
  <c r="N62" i="3"/>
  <c r="Q14" i="12"/>
  <c r="P54" i="3"/>
  <c r="P56" i="3" s="1"/>
  <c r="O33" i="7"/>
  <c r="O39" i="7"/>
  <c r="O42" i="7" s="1"/>
  <c r="O45" i="7" s="1"/>
  <c r="P97" i="20" l="1"/>
  <c r="P24" i="12"/>
  <c r="Q44" i="20"/>
  <c r="P61" i="20"/>
  <c r="Q15" i="12"/>
  <c r="Q61" i="20" s="1"/>
  <c r="Q54" i="3"/>
  <c r="Q56" i="3" s="1"/>
  <c r="P87" i="20"/>
  <c r="O20" i="18"/>
  <c r="O22" i="18" s="1"/>
  <c r="N64" i="3"/>
  <c r="O47" i="7"/>
  <c r="O52" i="7" s="1"/>
  <c r="O50" i="7"/>
  <c r="O31" i="12" s="1"/>
  <c r="P30" i="7"/>
  <c r="O35" i="7"/>
  <c r="O107" i="20" l="1"/>
  <c r="Q97" i="20"/>
  <c r="Q24" i="12"/>
  <c r="O62" i="3"/>
  <c r="N27" i="12"/>
  <c r="Q87" i="20"/>
  <c r="O42" i="3"/>
  <c r="O45" i="3" s="1"/>
  <c r="O60" i="3" s="1"/>
  <c r="P18" i="18"/>
  <c r="P33" i="7"/>
  <c r="P39" i="7"/>
  <c r="P42" i="7" s="1"/>
  <c r="P45" i="7" s="1"/>
  <c r="O64" i="3" l="1"/>
  <c r="P62" i="3" s="1"/>
  <c r="N79" i="20"/>
  <c r="P20" i="18"/>
  <c r="P22" i="18" s="1"/>
  <c r="P50" i="7"/>
  <c r="P31" i="12" s="1"/>
  <c r="P47" i="7"/>
  <c r="P52" i="7" s="1"/>
  <c r="Q30" i="7"/>
  <c r="P35" i="7"/>
  <c r="O27" i="12" l="1"/>
  <c r="O79" i="20"/>
  <c r="P107" i="20"/>
  <c r="P42" i="3"/>
  <c r="P45" i="3" s="1"/>
  <c r="P60" i="3" s="1"/>
  <c r="P64" i="3" s="1"/>
  <c r="P27" i="12" s="1"/>
  <c r="Q18" i="18"/>
  <c r="Q33" i="7"/>
  <c r="Q35" i="7" s="1"/>
  <c r="Q39" i="7"/>
  <c r="Q42" i="7" s="1"/>
  <c r="Q45" i="7" s="1"/>
  <c r="P79" i="20" l="1"/>
  <c r="Q20" i="18"/>
  <c r="Q22" i="18" s="1"/>
  <c r="Q62" i="3"/>
  <c r="Q50" i="7"/>
  <c r="Q31" i="12" s="1"/>
  <c r="Q107" i="20" s="1"/>
  <c r="Q47" i="7"/>
  <c r="Q52" i="7" s="1"/>
  <c r="Q42" i="3" l="1"/>
  <c r="Q45" i="3" s="1"/>
  <c r="Q60" i="3" s="1"/>
  <c r="Q64" i="3" s="1"/>
  <c r="Q27" i="12" s="1"/>
  <c r="R18" i="18"/>
  <c r="G45" i="3"/>
  <c r="G23" i="3"/>
  <c r="F56" i="3"/>
  <c r="F45" i="3"/>
  <c r="E56" i="3"/>
  <c r="E45" i="3"/>
  <c r="E23" i="3"/>
  <c r="D34" i="3"/>
  <c r="D56" i="3"/>
  <c r="D45" i="3"/>
  <c r="D31" i="3"/>
  <c r="F23" i="3"/>
  <c r="D23" i="3"/>
  <c r="G56" i="3"/>
  <c r="C56" i="3"/>
  <c r="C45" i="3"/>
  <c r="C23" i="3"/>
  <c r="C31" i="3" s="1"/>
  <c r="C34" i="3" s="1"/>
  <c r="D16" i="2"/>
  <c r="C25" i="2"/>
  <c r="C16" i="2"/>
  <c r="D7" i="2"/>
  <c r="E7" i="2" s="1"/>
  <c r="F7" i="2" s="1"/>
  <c r="G7" i="2" s="1"/>
  <c r="F17" i="1"/>
  <c r="F11" i="1"/>
  <c r="E17" i="1"/>
  <c r="G11" i="1"/>
  <c r="E11" i="1"/>
  <c r="D17" i="1"/>
  <c r="Q79" i="20" l="1"/>
  <c r="R20" i="18"/>
  <c r="R22" i="18" s="1"/>
  <c r="F31" i="18" s="1"/>
  <c r="C27" i="2"/>
  <c r="E19" i="1"/>
  <c r="E23" i="1" s="1"/>
  <c r="C60" i="3"/>
  <c r="C64" i="3" s="1"/>
  <c r="D62" i="3" s="1"/>
  <c r="D60" i="3"/>
  <c r="G31" i="3"/>
  <c r="G34" i="3" s="1"/>
  <c r="G60" i="3" s="1"/>
  <c r="F31" i="3"/>
  <c r="F34" i="3" s="1"/>
  <c r="F60" i="3" s="1"/>
  <c r="E31" i="3"/>
  <c r="E34" i="3" s="1"/>
  <c r="E60" i="3" s="1"/>
  <c r="G25" i="2"/>
  <c r="G16" i="2"/>
  <c r="F25" i="2"/>
  <c r="F16" i="2"/>
  <c r="E25" i="2"/>
  <c r="E16" i="2"/>
  <c r="D25" i="2"/>
  <c r="D27" i="2" s="1"/>
  <c r="G17" i="1"/>
  <c r="G19" i="1" s="1"/>
  <c r="G23" i="1" s="1"/>
  <c r="G29" i="1" s="1"/>
  <c r="G33" i="1" s="1"/>
  <c r="F19" i="1"/>
  <c r="F23" i="1" s="1"/>
  <c r="F29" i="1" s="1"/>
  <c r="F33" i="1" s="1"/>
  <c r="E29" i="1"/>
  <c r="E33" i="1" s="1"/>
  <c r="F32" i="18" l="1"/>
  <c r="D64" i="3"/>
  <c r="E62" i="3" s="1"/>
  <c r="G27" i="2"/>
  <c r="F27" i="2"/>
  <c r="E27" i="2"/>
  <c r="S20" i="18" l="1"/>
  <c r="S22" i="18" s="1"/>
  <c r="F36" i="18" s="1"/>
  <c r="F40" i="18" s="1"/>
  <c r="F43" i="18" s="1"/>
  <c r="E64" i="3"/>
  <c r="F62" i="3" s="1"/>
  <c r="D11" i="1"/>
  <c r="D19" i="1" s="1"/>
  <c r="D23" i="1" s="1"/>
  <c r="D29" i="1" s="1"/>
  <c r="D33" i="1" s="1"/>
  <c r="C11" i="1"/>
  <c r="F7" i="1"/>
  <c r="G7" i="1" s="1"/>
  <c r="E7" i="1"/>
  <c r="D7" i="1"/>
  <c r="I29" i="18" l="1"/>
  <c r="F45" i="18"/>
  <c r="I38" i="18"/>
  <c r="F64" i="3"/>
  <c r="G62" i="3" s="1"/>
  <c r="C17" i="1"/>
  <c r="C19" i="1" s="1"/>
  <c r="C23" i="1" s="1"/>
  <c r="C29" i="1" s="1"/>
  <c r="C33" i="1" s="1"/>
  <c r="G64" i="3" l="1"/>
  <c r="H33" i="12" l="1"/>
  <c r="H93" i="20" l="1"/>
  <c r="H35" i="12"/>
  <c r="H40" i="20"/>
  <c r="H83" i="20"/>
  <c r="H39" i="23"/>
  <c r="H41" i="23"/>
  <c r="H38" i="23"/>
  <c r="H40" i="23"/>
  <c r="H43" i="23"/>
  <c r="H52" i="23"/>
  <c r="H53" i="23"/>
  <c r="H44" i="23"/>
  <c r="H50" i="23"/>
  <c r="H51" i="23"/>
  <c r="H57" i="20"/>
  <c r="H45" i="23"/>
  <c r="H54" i="23"/>
  <c r="H42" i="23"/>
  <c r="H48" i="23"/>
  <c r="H49" i="23"/>
  <c r="H48" i="20"/>
  <c r="H53" i="20"/>
  <c r="I33" i="12"/>
  <c r="M33" i="12"/>
  <c r="Q33" i="12"/>
  <c r="J33" i="12"/>
  <c r="K33" i="12"/>
  <c r="L33" i="12"/>
  <c r="N33" i="12"/>
  <c r="O33" i="12"/>
  <c r="P33" i="12"/>
  <c r="I93" i="20" l="1"/>
  <c r="I35" i="12"/>
  <c r="I40" i="20"/>
  <c r="I83" i="20"/>
  <c r="M93" i="20"/>
  <c r="M35" i="12"/>
  <c r="M40" i="20"/>
  <c r="M83" i="20"/>
  <c r="K38" i="23"/>
  <c r="K93" i="20"/>
  <c r="K35" i="12"/>
  <c r="K40" i="20"/>
  <c r="K83" i="20"/>
  <c r="J93" i="20"/>
  <c r="J35" i="12"/>
  <c r="J40" i="20"/>
  <c r="J83" i="20"/>
  <c r="L93" i="20"/>
  <c r="L35" i="12"/>
  <c r="L40" i="20"/>
  <c r="L83" i="20"/>
  <c r="P93" i="20"/>
  <c r="P35" i="12"/>
  <c r="P40" i="20"/>
  <c r="P83" i="20"/>
  <c r="O38" i="23"/>
  <c r="O93" i="20"/>
  <c r="O35" i="12"/>
  <c r="O40" i="20"/>
  <c r="O83" i="20"/>
  <c r="N41" i="23"/>
  <c r="N93" i="20"/>
  <c r="N35" i="12"/>
  <c r="N40" i="20"/>
  <c r="N83" i="20"/>
  <c r="Q93" i="20"/>
  <c r="Q35" i="12"/>
  <c r="Q40" i="20"/>
  <c r="Q83" i="20"/>
  <c r="K51" i="23"/>
  <c r="K54" i="23"/>
  <c r="K44" i="23"/>
  <c r="P54" i="23"/>
  <c r="K41" i="23"/>
  <c r="P44" i="23"/>
  <c r="L54" i="23"/>
  <c r="L44" i="23"/>
  <c r="N44" i="23"/>
  <c r="N42" i="23"/>
  <c r="L40" i="23"/>
  <c r="L50" i="23"/>
  <c r="N53" i="23"/>
  <c r="N49" i="23"/>
  <c r="N54" i="23"/>
  <c r="N52" i="23"/>
  <c r="N43" i="23"/>
  <c r="N39" i="23"/>
  <c r="N48" i="23"/>
  <c r="N38" i="23"/>
  <c r="N50" i="23"/>
  <c r="N45" i="23"/>
  <c r="N40" i="23"/>
  <c r="O54" i="23"/>
  <c r="J54" i="23"/>
  <c r="O57" i="20"/>
  <c r="J51" i="23"/>
  <c r="J49" i="23"/>
  <c r="J42" i="23"/>
  <c r="O44" i="23"/>
  <c r="J44" i="23"/>
  <c r="P57" i="20"/>
  <c r="J52" i="23"/>
  <c r="O45" i="23"/>
  <c r="J41" i="23"/>
  <c r="J39" i="23"/>
  <c r="L57" i="20"/>
  <c r="O51" i="23"/>
  <c r="P50" i="23"/>
  <c r="K50" i="23"/>
  <c r="K45" i="23"/>
  <c r="O41" i="23"/>
  <c r="P40" i="23"/>
  <c r="K40" i="23"/>
  <c r="K57" i="20"/>
  <c r="J53" i="23"/>
  <c r="N51" i="23"/>
  <c r="O50" i="23"/>
  <c r="J50" i="23"/>
  <c r="J48" i="23"/>
  <c r="J45" i="23"/>
  <c r="J43" i="23"/>
  <c r="O40" i="23"/>
  <c r="J40" i="23"/>
  <c r="J38" i="23"/>
  <c r="Q40" i="23"/>
  <c r="Q44" i="23"/>
  <c r="Q50" i="23"/>
  <c r="Q54" i="23"/>
  <c r="Q39" i="23"/>
  <c r="Q43" i="23"/>
  <c r="Q41" i="23"/>
  <c r="Q45" i="23"/>
  <c r="Q51" i="23"/>
  <c r="Q38" i="23"/>
  <c r="Q42" i="23"/>
  <c r="Q52" i="23"/>
  <c r="Q49" i="23"/>
  <c r="Q53" i="23"/>
  <c r="Q53" i="20"/>
  <c r="I40" i="23"/>
  <c r="I44" i="23"/>
  <c r="I50" i="23"/>
  <c r="I54" i="23"/>
  <c r="J53" i="20"/>
  <c r="I57" i="20"/>
  <c r="I38" i="23"/>
  <c r="I39" i="23"/>
  <c r="I41" i="23"/>
  <c r="I45" i="23"/>
  <c r="I51" i="23"/>
  <c r="J57" i="20"/>
  <c r="I42" i="23"/>
  <c r="I52" i="23"/>
  <c r="I48" i="20"/>
  <c r="I43" i="23"/>
  <c r="I49" i="23"/>
  <c r="I53" i="23"/>
  <c r="J48" i="20"/>
  <c r="I53" i="20"/>
  <c r="M40" i="23"/>
  <c r="M44" i="23"/>
  <c r="M50" i="23"/>
  <c r="M54" i="23"/>
  <c r="N53" i="20"/>
  <c r="M38" i="23"/>
  <c r="M42" i="23"/>
  <c r="M52" i="23"/>
  <c r="M43" i="23"/>
  <c r="M49" i="23"/>
  <c r="M53" i="23"/>
  <c r="N48" i="20"/>
  <c r="M53" i="20"/>
  <c r="M41" i="23"/>
  <c r="M45" i="23"/>
  <c r="M51" i="23"/>
  <c r="N57" i="20"/>
  <c r="M39" i="23"/>
  <c r="P53" i="20"/>
  <c r="Q48" i="20"/>
  <c r="P53" i="23"/>
  <c r="L49" i="23"/>
  <c r="M48" i="23"/>
  <c r="P43" i="23"/>
  <c r="O53" i="20"/>
  <c r="K53" i="20"/>
  <c r="P48" i="20"/>
  <c r="L48" i="20"/>
  <c r="O53" i="23"/>
  <c r="K53" i="23"/>
  <c r="P52" i="23"/>
  <c r="L52" i="23"/>
  <c r="O49" i="23"/>
  <c r="K49" i="23"/>
  <c r="P48" i="23"/>
  <c r="L48" i="23"/>
  <c r="O43" i="23"/>
  <c r="K43" i="23"/>
  <c r="P42" i="23"/>
  <c r="L42" i="23"/>
  <c r="O39" i="23"/>
  <c r="K39" i="23"/>
  <c r="P38" i="23"/>
  <c r="L38" i="23"/>
  <c r="L53" i="20"/>
  <c r="M48" i="20"/>
  <c r="L53" i="23"/>
  <c r="P49" i="23"/>
  <c r="Q48" i="23"/>
  <c r="I48" i="23"/>
  <c r="L43" i="23"/>
  <c r="P39" i="23"/>
  <c r="L39" i="23"/>
  <c r="Q57" i="20"/>
  <c r="M57" i="20"/>
  <c r="O48" i="20"/>
  <c r="K48" i="20"/>
  <c r="O52" i="23"/>
  <c r="K52" i="23"/>
  <c r="P51" i="23"/>
  <c r="L51" i="23"/>
  <c r="O48" i="23"/>
  <c r="K48" i="23"/>
  <c r="P45" i="23"/>
  <c r="L45" i="23"/>
  <c r="O42" i="23"/>
  <c r="K42" i="23"/>
  <c r="P41" i="23"/>
  <c r="L41" i="23"/>
  <c r="C9" i="12" l="1"/>
</calcChain>
</file>

<file path=xl/comments1.xml><?xml version="1.0" encoding="utf-8"?>
<comments xmlns="http://schemas.openxmlformats.org/spreadsheetml/2006/main">
  <authors>
    <author>Dhiraj Kumar</author>
  </authors>
  <commentList>
    <comment ref="H43" authorId="0" shapeId="0">
      <text>
        <r>
          <rPr>
            <b/>
            <sz val="9"/>
            <color indexed="81"/>
            <rFont val="Tahoma"/>
            <family val="2"/>
          </rPr>
          <t xml:space="preserve">Dhiraj Kumar: 
</t>
        </r>
        <r>
          <rPr>
            <sz val="9"/>
            <color indexed="81"/>
            <rFont val="Tahoma"/>
            <family val="2"/>
          </rPr>
          <t xml:space="preserve">This Value is given by the SBI Management  for the future year.  the bank recently revised its  growth guidance upward to 14-15% for FY26.
</t>
        </r>
      </text>
    </comment>
    <comment ref="H52" authorId="0" shapeId="0">
      <text>
        <r>
          <rPr>
            <b/>
            <sz val="9"/>
            <color indexed="81"/>
            <rFont val="Tahoma"/>
            <family val="2"/>
          </rPr>
          <t>Dhiraj Kumar:</t>
        </r>
        <r>
          <rPr>
            <sz val="9"/>
            <color indexed="81"/>
            <rFont val="Tahoma"/>
            <family val="2"/>
          </rPr>
          <t xml:space="preserve">
Source : IBEF Pg.24
https://www.ibef.org/download/1769688967_Banking-November-PPT-2025.pdf
</t>
        </r>
      </text>
    </comment>
  </commentList>
</comments>
</file>

<file path=xl/comments2.xml><?xml version="1.0" encoding="utf-8"?>
<comments xmlns="http://schemas.openxmlformats.org/spreadsheetml/2006/main">
  <authors>
    <author>Dhiraj Kumar</author>
  </authors>
  <commentList>
    <comment ref="G64" authorId="0" shapeId="0">
      <text>
        <r>
          <rPr>
            <b/>
            <sz val="9"/>
            <color indexed="81"/>
            <rFont val="Tahoma"/>
            <family val="2"/>
          </rPr>
          <t>Dhiraj Kumar:</t>
        </r>
        <r>
          <rPr>
            <sz val="9"/>
            <color indexed="81"/>
            <rFont val="Tahoma"/>
            <family val="2"/>
          </rPr>
          <t xml:space="preserve">
It Consider Both Cash &amp; Cash Equivalent and  Bank Balance</t>
        </r>
      </text>
    </comment>
  </commentList>
</comments>
</file>

<file path=xl/sharedStrings.xml><?xml version="1.0" encoding="utf-8"?>
<sst xmlns="http://schemas.openxmlformats.org/spreadsheetml/2006/main" count="929" uniqueCount="453">
  <si>
    <t>INCOME</t>
  </si>
  <si>
    <t>Income Statement</t>
  </si>
  <si>
    <t>Particular</t>
  </si>
  <si>
    <t>Interest earned</t>
  </si>
  <si>
    <t>Other Income</t>
  </si>
  <si>
    <t>Total</t>
  </si>
  <si>
    <t>EXPENDITURE</t>
  </si>
  <si>
    <t>Operating expenses</t>
  </si>
  <si>
    <t>Provisions and contingencies</t>
  </si>
  <si>
    <t>Add: Share in Profit/(Loss) of Associates</t>
  </si>
  <si>
    <t>Less: Minority Interest</t>
  </si>
  <si>
    <t>EBITDA</t>
  </si>
  <si>
    <t>EBIT</t>
  </si>
  <si>
    <t>Interest on Borrowings</t>
  </si>
  <si>
    <t>EBT</t>
  </si>
  <si>
    <t>Tax Expenses</t>
  </si>
  <si>
    <t>Depreciation &amp; Amortization Expenses</t>
  </si>
  <si>
    <t>Post Tax Income</t>
  </si>
  <si>
    <t>Interest on Deposit</t>
  </si>
  <si>
    <t>Balance Sheet</t>
  </si>
  <si>
    <t>CAPITAL AND LIABILITIES</t>
  </si>
  <si>
    <t>Capital</t>
  </si>
  <si>
    <t>Reserves &amp; Surplus</t>
  </si>
  <si>
    <t>Minority Interest</t>
  </si>
  <si>
    <t>Borrowings</t>
  </si>
  <si>
    <t>Other Liabilities and Provisions</t>
  </si>
  <si>
    <t>TOTAL</t>
  </si>
  <si>
    <t>ASSETS</t>
  </si>
  <si>
    <t>Cash and Balances with Reserve Bank of India</t>
  </si>
  <si>
    <t>Balances with Banks and Money at Call &amp; Short Notice</t>
  </si>
  <si>
    <t>Investments</t>
  </si>
  <si>
    <t>Advances</t>
  </si>
  <si>
    <t>Fixed Assets</t>
  </si>
  <si>
    <t>Other Assets</t>
  </si>
  <si>
    <t>Check</t>
  </si>
  <si>
    <t>CashFlow Statement</t>
  </si>
  <si>
    <t>Net Profit/(Loss) before taxes (including share in profit from associates and net of minority interest)</t>
  </si>
  <si>
    <t>Adjustments for :</t>
  </si>
  <si>
    <t>Depreciation on Fixed Assets</t>
  </si>
  <si>
    <t>(Profit)/Loss on sale of Fixed Assets (Net)</t>
  </si>
  <si>
    <t>(Profit)/Loss on revaluation of Investments (Net)</t>
  </si>
  <si>
    <t>(Profit) on sale of Investments in Subsidiaries/Joint Ventures/ Associates</t>
  </si>
  <si>
    <t>Loss on sale of Investments in Subsidiaries/Joint Ventures/ Associates</t>
  </si>
  <si>
    <t>Provision for diminution in fair value &amp; Non Performing Assets</t>
  </si>
  <si>
    <t>Provision on Standard Assets</t>
  </si>
  <si>
    <t>Provision on non-performing Investments</t>
  </si>
  <si>
    <t>Other Provisions including provision for contingencies</t>
  </si>
  <si>
    <t>Share in Profit of Associates</t>
  </si>
  <si>
    <t>Dividend from Associates</t>
  </si>
  <si>
    <t>Interest charged on Capital Instruments</t>
  </si>
  <si>
    <t>Increase/(Decrease) in Deposits</t>
  </si>
  <si>
    <t>Increase/(Decrease) in Borrowings other than Capital Instruments</t>
  </si>
  <si>
    <t>(Increase)/Decrease in Investments other than Investment in Subsidiaries / Joint Ventures / Associates</t>
  </si>
  <si>
    <t>(Increase)/Decrease in Advances</t>
  </si>
  <si>
    <t>Increase/(Decrease) in Other Liabilities</t>
  </si>
  <si>
    <t>(Increase)/Decrease in Other Assets</t>
  </si>
  <si>
    <t>Tax refund / (Taxes paid)</t>
  </si>
  <si>
    <t>NET CASH GENERATED FROM / (USED IN) OPERATING ACTIVITIES</t>
  </si>
  <si>
    <t>CASH FLOW FROM INVESTING ACTIVITIES</t>
  </si>
  <si>
    <t>Purchase of Shares in Subsidiaries/Joint Ventures/Associates</t>
  </si>
  <si>
    <t>Sale of Shares in Subsidiaries/Joint Ventures/Associates</t>
  </si>
  <si>
    <t>Profit on sale of Investments in Subsidiaries/Joint Ventures/ Associates</t>
  </si>
  <si>
    <t>(Loss) on sale of Investments in Subsidiaries/Joint Ventures/ Associates</t>
  </si>
  <si>
    <t>(Increase) in Fixed Assets</t>
  </si>
  <si>
    <t>Decrease in Fixed Assets</t>
  </si>
  <si>
    <t>NET CASH GENERATED FROM / (USED IN) INVESTING ACTIVITIES</t>
  </si>
  <si>
    <t>CASH FLOW FROM OPERATING ACTIVITIES</t>
  </si>
  <si>
    <t>CASH FLOW FROM FINANCING ACTIVITIES</t>
  </si>
  <si>
    <t>Proceeds from issue of Equity shares including share premium (Net of share issue expenses)</t>
  </si>
  <si>
    <t>Issue of Capital Instruments</t>
  </si>
  <si>
    <t>Redemption of Capital Instruments</t>
  </si>
  <si>
    <t>Interest paid on Capital Instruments</t>
  </si>
  <si>
    <t>Dividend paid</t>
  </si>
  <si>
    <t>Dividend tax paid by Subsidiaries/Joint Ventures</t>
  </si>
  <si>
    <t>Increase/(Decrease) in Minority Interest</t>
  </si>
  <si>
    <t>NET CASH GENERATED FROM / (USED IN) FINANCING ACTIVITIES</t>
  </si>
  <si>
    <t>EFFECT OF EXCHANGE FLUCTUATION ON TRANSLATION RESERVE</t>
  </si>
  <si>
    <t>NET INCREASE / (DECREASE) IN CASH AND CASH EQUIVALENTS</t>
  </si>
  <si>
    <t>CASH AND CASH EQUIVALENTS AS AT 1ST APRIL</t>
  </si>
  <si>
    <t>CASH AND CASH EQUIVALENTS AS AT THE PERIOD END</t>
  </si>
  <si>
    <t>Revenue BuildUp</t>
  </si>
  <si>
    <t>Treasury</t>
  </si>
  <si>
    <t>Bussiness Segment</t>
  </si>
  <si>
    <t>Corporate / Wholesale Banking</t>
  </si>
  <si>
    <t>Best Case</t>
  </si>
  <si>
    <t>Base Case</t>
  </si>
  <si>
    <t>Worst Case</t>
  </si>
  <si>
    <t>Retail Banking</t>
  </si>
  <si>
    <t>Insurance Business</t>
  </si>
  <si>
    <t>Other Banking Operations</t>
  </si>
  <si>
    <t>Unalloacated Revenue</t>
  </si>
  <si>
    <t>Less : Inter Segment Revenue</t>
  </si>
  <si>
    <t>Digital Banking</t>
  </si>
  <si>
    <t>Other Retail Banking</t>
  </si>
  <si>
    <t>Annual Tapering Rate</t>
  </si>
  <si>
    <t>Scenario Manager</t>
  </si>
  <si>
    <t xml:space="preserve"> Share in Profit/(Loss) of Associates</t>
  </si>
  <si>
    <t>% of Revenue</t>
  </si>
  <si>
    <t>Audited</t>
  </si>
  <si>
    <t>Forecasted</t>
  </si>
  <si>
    <t>Y-O-Y Growth Rate</t>
  </si>
  <si>
    <t>Cost BuildUp</t>
  </si>
  <si>
    <t>Interest on Deposits</t>
  </si>
  <si>
    <t>Operating Expenses</t>
  </si>
  <si>
    <t>Provisions and Contingencies</t>
  </si>
  <si>
    <t>Tax Expense</t>
  </si>
  <si>
    <t>% of EBT</t>
  </si>
  <si>
    <t>Fixed Assets Schedules</t>
  </si>
  <si>
    <t>Balance Sheet Forecast</t>
  </si>
  <si>
    <t xml:space="preserve">Premises </t>
  </si>
  <si>
    <t>Additions:</t>
  </si>
  <si>
    <t>Deductions</t>
  </si>
  <si>
    <t>Depreciation to date</t>
  </si>
  <si>
    <t>Closing Gross Block</t>
  </si>
  <si>
    <t>Opening Gross Block</t>
  </si>
  <si>
    <t>Premises under construction</t>
  </si>
  <si>
    <t>Other Fixed Assets</t>
  </si>
  <si>
    <t>Net Block</t>
  </si>
  <si>
    <t>Leased Assets</t>
  </si>
  <si>
    <t>Addition</t>
  </si>
  <si>
    <t>Deductions/ Adjustments</t>
  </si>
  <si>
    <t>Capex</t>
  </si>
  <si>
    <t>CWIP</t>
  </si>
  <si>
    <t>Net Fixed Assets</t>
  </si>
  <si>
    <t>Net Block + Premises Under Construction</t>
  </si>
  <si>
    <t>Dep For the Year</t>
  </si>
  <si>
    <t>Accumulated Dep</t>
  </si>
  <si>
    <t>Transaction Date</t>
  </si>
  <si>
    <t>Tax Rate</t>
  </si>
  <si>
    <t>Assumptions</t>
  </si>
  <si>
    <t>Fiscal Year End</t>
  </si>
  <si>
    <t>Risk Free Rate</t>
  </si>
  <si>
    <t>Addition In FSA</t>
  </si>
  <si>
    <t xml:space="preserve">Addition In Dep </t>
  </si>
  <si>
    <t>EV/EBITDA Multiple</t>
  </si>
  <si>
    <t>Perpetual Growth Rate</t>
  </si>
  <si>
    <t>Discount Rate</t>
  </si>
  <si>
    <t>Current Market Price</t>
  </si>
  <si>
    <t>Addition / Repayment'</t>
  </si>
  <si>
    <t>Opening Balance</t>
  </si>
  <si>
    <t>Ending Balance</t>
  </si>
  <si>
    <t>Interest  on Borrowing</t>
  </si>
  <si>
    <t>% of Borrowing</t>
  </si>
  <si>
    <t>Borrowing Schedule</t>
  </si>
  <si>
    <t>Income</t>
  </si>
  <si>
    <t xml:space="preserve">Dividened PayOut </t>
  </si>
  <si>
    <t>Dividends Paid</t>
  </si>
  <si>
    <t>Retained Earning</t>
  </si>
  <si>
    <t>Retained Earning %</t>
  </si>
  <si>
    <t>#</t>
  </si>
  <si>
    <t>SBI</t>
  </si>
  <si>
    <t>Bank of Baroda</t>
  </si>
  <si>
    <t>Punjab Natl.Bank</t>
  </si>
  <si>
    <t>Canara Bank</t>
  </si>
  <si>
    <t>Union Bank (I)</t>
  </si>
  <si>
    <t>Indian Bank</t>
  </si>
  <si>
    <t>Bank of India</t>
  </si>
  <si>
    <t>Name</t>
  </si>
  <si>
    <t>CMP Rs.</t>
  </si>
  <si>
    <t>No. Eq. Shares Cr.</t>
  </si>
  <si>
    <t>Debt Rs.Cr.</t>
  </si>
  <si>
    <t>Cash End Rs.Cr.</t>
  </si>
  <si>
    <t>NP Ann Rs.Cr.</t>
  </si>
  <si>
    <t>Sales Rs.Cr.</t>
  </si>
  <si>
    <t>Dep Ann Rs.Cr.</t>
  </si>
  <si>
    <t>EBIT Ann Rs.Cr.</t>
  </si>
  <si>
    <t>EV / EBITDA</t>
  </si>
  <si>
    <t>EV Rs.Cr.</t>
  </si>
  <si>
    <t xml:space="preserve">Mar Cap Rs.Cr. </t>
  </si>
  <si>
    <t>Tax Ann Rs.Cr.</t>
  </si>
  <si>
    <t>P/E</t>
  </si>
  <si>
    <t>Debt / Eq</t>
  </si>
  <si>
    <t>Tax 12M Rs.Cr.</t>
  </si>
  <si>
    <t>I O B</t>
  </si>
  <si>
    <t>Bank of Maha</t>
  </si>
  <si>
    <t>UCO Bank</t>
  </si>
  <si>
    <t>Central Bank</t>
  </si>
  <si>
    <t>Comps Data</t>
  </si>
  <si>
    <t>Comparable Valuation</t>
  </si>
  <si>
    <t>Companies</t>
  </si>
  <si>
    <t>Market Data</t>
  </si>
  <si>
    <t>Financial data</t>
  </si>
  <si>
    <t>Valution</t>
  </si>
  <si>
    <t>Price</t>
  </si>
  <si>
    <t>Share</t>
  </si>
  <si>
    <t>Market Cap</t>
  </si>
  <si>
    <t>Debt</t>
  </si>
  <si>
    <t xml:space="preserve">Cash </t>
  </si>
  <si>
    <t>EV</t>
  </si>
  <si>
    <t>Sales</t>
  </si>
  <si>
    <t>Earnings</t>
  </si>
  <si>
    <t>EV/Sales</t>
  </si>
  <si>
    <t>EV/EBITDA</t>
  </si>
  <si>
    <t>Company Name</t>
  </si>
  <si>
    <t>(/share)</t>
  </si>
  <si>
    <t>x</t>
  </si>
  <si>
    <t>High</t>
  </si>
  <si>
    <t>75th Percentile</t>
  </si>
  <si>
    <t>Average</t>
  </si>
  <si>
    <t>Median</t>
  </si>
  <si>
    <t>25th Percentile</t>
  </si>
  <si>
    <t>Low</t>
  </si>
  <si>
    <t>Metric</t>
  </si>
  <si>
    <t>Comps</t>
  </si>
  <si>
    <t xml:space="preserve">Share Price </t>
  </si>
  <si>
    <t>Stock Value</t>
  </si>
  <si>
    <t>EV/REVENUE</t>
  </si>
  <si>
    <t>(INR Cr)</t>
  </si>
  <si>
    <t>Country</t>
  </si>
  <si>
    <t>(All amounts in INR Cr., unless otherwise stated)</t>
  </si>
  <si>
    <t>India</t>
  </si>
  <si>
    <t>EV (₹ Cr.)</t>
  </si>
  <si>
    <t>Net Debt (₹ Cr.)</t>
  </si>
  <si>
    <t>Equity Value (₹ Cr.)</t>
  </si>
  <si>
    <t xml:space="preserve">Shares (Cr) </t>
  </si>
  <si>
    <t>BSE Sensex</t>
  </si>
  <si>
    <t>Source -</t>
  </si>
  <si>
    <t>Historical - Indices</t>
  </si>
  <si>
    <t>Date</t>
  </si>
  <si>
    <t>Close Price</t>
  </si>
  <si>
    <t>Year</t>
  </si>
  <si>
    <t>Return</t>
  </si>
  <si>
    <t>Equity Return</t>
  </si>
  <si>
    <t>Month</t>
  </si>
  <si>
    <t>Closing price of Sensex</t>
  </si>
  <si>
    <t>% Change Of Return</t>
  </si>
  <si>
    <t>Closing Price Of Stocks</t>
  </si>
  <si>
    <t>Beta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</si>
  <si>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</si>
  <si>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</si>
  <si>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</si>
  <si>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</si>
  <si>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</si>
  <si>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</si>
  <si>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</si>
  <si>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</si>
  <si>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</si>
  <si>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</si>
  <si>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</si>
  <si>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</si>
  <si>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</si>
  <si>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</si>
  <si>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</si>
  <si>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</si>
  <si>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</si>
  <si>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</si>
  <si>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</si>
  <si>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</si>
  <si>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</si>
  <si>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</si>
  <si>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</si>
  <si>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</si>
  <si>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Equity Value</t>
  </si>
  <si>
    <t>WACC</t>
  </si>
  <si>
    <t>Cost of Debt</t>
  </si>
  <si>
    <t>Cost of Equity</t>
  </si>
  <si>
    <t>DCF Analysis</t>
  </si>
  <si>
    <t>Particulars</t>
  </si>
  <si>
    <t>Aduited</t>
  </si>
  <si>
    <t>Estimated</t>
  </si>
  <si>
    <t>Entry</t>
  </si>
  <si>
    <t>Time Period</t>
  </si>
  <si>
    <t>Tax</t>
  </si>
  <si>
    <t>NOPAT</t>
  </si>
  <si>
    <t>Add: Depreciation &amp; Amortization</t>
  </si>
  <si>
    <t>Less: CapEx</t>
  </si>
  <si>
    <t>Unlevered FCFF</t>
  </si>
  <si>
    <t>Transaction FCFF</t>
  </si>
  <si>
    <t>Cost of Equity (Ke)</t>
  </si>
  <si>
    <t>Risk-free Rate</t>
  </si>
  <si>
    <t>Equity Market Returns</t>
  </si>
  <si>
    <t>Equity Market Premium</t>
  </si>
  <si>
    <t>Cost of Debt (Kd)</t>
  </si>
  <si>
    <t>Pre-tax Cost of Debt</t>
  </si>
  <si>
    <t>Market Cap.</t>
  </si>
  <si>
    <t>Total Borrowing</t>
  </si>
  <si>
    <t xml:space="preserve">Total </t>
  </si>
  <si>
    <t>Terminal Value</t>
  </si>
  <si>
    <t>Perpetual Growth rate</t>
  </si>
  <si>
    <t>Prep.Growth</t>
  </si>
  <si>
    <t>Intrinsic Value</t>
  </si>
  <si>
    <t>Enterprise Value</t>
  </si>
  <si>
    <t>Add: Cash</t>
  </si>
  <si>
    <t>Less: Debt</t>
  </si>
  <si>
    <t>Less: NCI</t>
  </si>
  <si>
    <t>Share Outstanding (cr)</t>
  </si>
  <si>
    <t>Equity Value/Share</t>
  </si>
  <si>
    <t>Target Price (Up side)</t>
  </si>
  <si>
    <t>Shares Outstanding(Cr)</t>
  </si>
  <si>
    <t>Market Cap (Cr.)</t>
  </si>
  <si>
    <t>ISIN Code</t>
  </si>
  <si>
    <t>Sector Name</t>
  </si>
  <si>
    <t>Industry</t>
  </si>
  <si>
    <t>Exchange Name</t>
  </si>
  <si>
    <t>Website</t>
  </si>
  <si>
    <t>Company Description</t>
  </si>
  <si>
    <t>Colour Code</t>
  </si>
  <si>
    <t>Blue colour</t>
  </si>
  <si>
    <t>Hardcoded Figures</t>
  </si>
  <si>
    <t>Black colour</t>
  </si>
  <si>
    <t>Calculated Figures</t>
  </si>
  <si>
    <t>Green Colour</t>
  </si>
  <si>
    <t>Purple Colour</t>
  </si>
  <si>
    <t>Link Data figures in same sheet</t>
  </si>
  <si>
    <t>Link Data figures from Different Sheets</t>
  </si>
  <si>
    <t xml:space="preserve">State Bank of India
</t>
  </si>
  <si>
    <t xml:space="preserve"> BSE: 500112 | NSE: SBIN</t>
  </si>
  <si>
    <t>INE062A01020</t>
  </si>
  <si>
    <t>sbi.co.in</t>
  </si>
  <si>
    <t xml:space="preserve">The State Bank of India (SBI) is the nation's largest bank, boasting a distinguished heritage that spans more than 200 years. Under the current leadership of Chairman Challa Sreenivasulu Setty, the institution continues to pursue its vision of being the "bank of choice for a transforming India" for its customer base of over 52 crores.
The bank maintains an unrivalled physical and digital reach, operating 22,937 domestic branches and 63,791 ATMs. Globally, it acts as India’s partner with 244 overseas offices across 29 countries. Its digital transformation is led by the YONO app, which has 8.77 crore registered users, and the bank now processes approximately 220 million financial UPI transactions every day.
</t>
  </si>
  <si>
    <t>Items</t>
  </si>
  <si>
    <t>Sheet</t>
  </si>
  <si>
    <t>Reference</t>
  </si>
  <si>
    <t>CASA Deposits</t>
  </si>
  <si>
    <t>Fixed Deposits</t>
  </si>
  <si>
    <t>Change in working capital</t>
  </si>
  <si>
    <t>Change in Working Capital</t>
  </si>
  <si>
    <t>Change in Net Working Capital</t>
  </si>
  <si>
    <t>State Bank of India</t>
  </si>
  <si>
    <t>BSE: 500112 | NSE: SBIN</t>
  </si>
  <si>
    <t>Terminal Growth Rate</t>
  </si>
  <si>
    <t>Sensitivity Analysis</t>
  </si>
  <si>
    <t>Master Check</t>
  </si>
  <si>
    <t>Profitability Ratios</t>
  </si>
  <si>
    <t>NIIs Margin</t>
  </si>
  <si>
    <t>Pre Provision Margin</t>
  </si>
  <si>
    <t>Pretax Margin</t>
  </si>
  <si>
    <t>Effective Tax rate</t>
  </si>
  <si>
    <t>Net Margin</t>
  </si>
  <si>
    <t>Asset Turnover</t>
  </si>
  <si>
    <t>Pre tax ROA</t>
  </si>
  <si>
    <t>Return on Assets</t>
  </si>
  <si>
    <t>Pre Tax ROE</t>
  </si>
  <si>
    <t>Tax Complement</t>
  </si>
  <si>
    <t>Equity Retention</t>
  </si>
  <si>
    <t>Liquidity Ratio</t>
  </si>
  <si>
    <t xml:space="preserve">Loan to Deposit Ratio
</t>
  </si>
  <si>
    <t>Cash to Deposit Ratio</t>
  </si>
  <si>
    <t>Liquid Assets to Total Assets</t>
  </si>
  <si>
    <t>Short term Borrowings to Total Liabilities</t>
  </si>
  <si>
    <t>Leverage Ratio</t>
  </si>
  <si>
    <t>Asset/Equity</t>
  </si>
  <si>
    <t>EBITDA Margin</t>
  </si>
  <si>
    <t>EBIT Margin</t>
  </si>
  <si>
    <t>Return on Equity</t>
  </si>
  <si>
    <t>Return on Capital Employed</t>
  </si>
  <si>
    <t>Dupont/Earning Power</t>
  </si>
  <si>
    <t>Debt/Equity</t>
  </si>
  <si>
    <t>Efficiency Ratios</t>
  </si>
  <si>
    <t>Efficiency Ratio</t>
  </si>
  <si>
    <t>Fixed Asset Turnover Ratio</t>
  </si>
  <si>
    <t>Trend</t>
  </si>
  <si>
    <t>The pretax margin showed a strong and consistent improvement during the historical period, rising from 6.81% in 2021 to 16.78% in 2025, indicating robust growth in operating profitability, better cost control, and lower credit-related pressures. This expansion reflects improved income quality and operational efficiency across the business cycle. From 2026 onward, margins are forecast to moderate to 14.00% and gradually stabilize around 13.73%–13.74%, suggesting normalization after peak profitability. The softening trend implies higher operating or credit costs in a mature cycle; however, margins at these levels remain healthy, signaling sustained earnings resilience and a stable long-term profitability outlook.</t>
  </si>
  <si>
    <t>Interpretation of ratios</t>
  </si>
  <si>
    <t>Ratio Analysis</t>
  </si>
  <si>
    <t>(INR in Crores)</t>
  </si>
  <si>
    <t>All Fingure In INR Cr.</t>
  </si>
  <si>
    <t>Charts</t>
  </si>
  <si>
    <t>Common Size Statement</t>
  </si>
  <si>
    <t>Revenue_Build_Up</t>
  </si>
  <si>
    <t>Corporate/Wholesale</t>
  </si>
  <si>
    <t>Share of earnings in Associates</t>
  </si>
  <si>
    <t xml:space="preserve">The "Share of Earnings in Associates" estimate is based on the average percentage of income/revenue from prior years.
</t>
  </si>
  <si>
    <t>Minority Expense</t>
  </si>
  <si>
    <t xml:space="preserve">The "Minority Expense" estimate is based on the average percentage of income/revenue from prior years.
</t>
  </si>
  <si>
    <t>Cost_Build_Up</t>
  </si>
  <si>
    <t xml:space="preserve">Interest on deposits, operating expenses, and provisions and contingencies have been analysed by calculating the average percentage of these expenses relative to income/revenue.
</t>
  </si>
  <si>
    <t>Addition in F. Assets</t>
  </si>
  <si>
    <t>FAS</t>
  </si>
  <si>
    <t>Addition in Depreciation</t>
  </si>
  <si>
    <t>Deposits, Borrowings, Other Liabilities &amp; Provisions, Investments, Loans &amp; Advances, and Other Assets</t>
  </si>
  <si>
    <t>BS_Items</t>
  </si>
  <si>
    <t>Deposits, borrowings, other liabilities and provisions, investments, loans and advances, and other assets have all been projected by calculating their average times in relation to income/revenue.</t>
  </si>
  <si>
    <t xml:space="preserve"> Inter Segment Revenue</t>
  </si>
  <si>
    <t>B14:Q20</t>
  </si>
  <si>
    <t>B22:Q28</t>
  </si>
  <si>
    <t>B31:Q37</t>
  </si>
  <si>
    <t>B39:Q45</t>
  </si>
  <si>
    <t>B47:Q54</t>
  </si>
  <si>
    <t>B56:Q62</t>
  </si>
  <si>
    <t>B64:Q70</t>
  </si>
  <si>
    <t>B72:Q78</t>
  </si>
  <si>
    <t>B80:Q81</t>
  </si>
  <si>
    <t>B83:Q84</t>
  </si>
  <si>
    <t>Interest of Deposits, Operating Expenses, Provisions &amp; Contingencies</t>
  </si>
  <si>
    <t>For the projection period, the tax rate has been standardized at 30% for all forecasted years, compared with 30.33% in the previous year. This approach reflects long-term tax normalization and ensures stability and comparability across the ten-year forecast horizon.</t>
  </si>
  <si>
    <t>Debt Schedules</t>
  </si>
  <si>
    <t>B12:Q19</t>
  </si>
  <si>
    <t>B21:Q22</t>
  </si>
  <si>
    <t>B14:Q15</t>
  </si>
  <si>
    <t>Interest on borrowings is based on the historical average cost, calculated as interest expense divided by the average of opening and closing borrowings. For the forecast period, a constant borrowing rate of 4.93% is assumed to maintain consistency in projections.</t>
  </si>
  <si>
    <t>B13:Q13, B22:Q22, B31:Q31, B40:Q40</t>
  </si>
  <si>
    <t>In the fixed asset schedule, additions to PPE and other assets have been made by increasing the Average of the last 5 year contribution by 0.5% each year.</t>
  </si>
  <si>
    <t>B14:Q14, B23:Q23, B32:Q32, B41:Q41</t>
  </si>
  <si>
    <t>In the fixed asset schedule, adjustments to "depreciation to date" have been made by increasing the Average of the last 5 year contribution' "depreciation to date" by 0.5% each year.</t>
  </si>
  <si>
    <t>B12:Q31</t>
  </si>
  <si>
    <t>B22:Q22</t>
  </si>
  <si>
    <t>Riskfree Rate</t>
  </si>
  <si>
    <t>The risk-free rate is based on the 10-year Indian government bond yield, reflecting long-term returns with minimal default risk.</t>
  </si>
  <si>
    <t>C15</t>
  </si>
  <si>
    <t>SBIN</t>
  </si>
  <si>
    <t>BSE :</t>
  </si>
  <si>
    <t>NSE :</t>
  </si>
  <si>
    <t xml:space="preserve">Detailed DCF Financial Analysis </t>
  </si>
  <si>
    <t xml:space="preserve">  - Dhiraj Mehta</t>
  </si>
  <si>
    <t xml:space="preserve">Financial Services </t>
  </si>
  <si>
    <t xml:space="preserve">Total Income </t>
  </si>
  <si>
    <t>Total Income</t>
  </si>
  <si>
    <t>Treasury revenues are forecast using the average growth rate (10.10%) of the last five years as the base case. The best and worst cases are derived by applying a ±5% variation to the base growth rate. A 12% annual tapering is applied from 2026 to 2035 to ensure revenues converge toward a sustainable perpetual growth rate.</t>
  </si>
  <si>
    <t>Corporate/Wholesale revenues are forecast as 14 % for the base , This avlue is given by the SBI Management for the future year, ±5% adjustments for best and worst cases. A 12% annual tapering is applied from 2026 to 2035 to ensure revenues converge toward a sustainable perpetual growth rate.</t>
  </si>
  <si>
    <t>To forecast the business segment "digital banking", CAGR was used as a reference for future years' projections for the Base scenario. +5% and -5% were calculated for the best and worst case scenarios, respectively. Additionally, a 12% annual tapering rate is applied.</t>
  </si>
  <si>
    <t>Retail revenue is projected based on IBEF forecasts for housing, auto, and credit cards, with an initial growth rate of 13%, .  grow by 13% in the base case scenario,  with ±5% variations for best and worst scenarios. Given the segment’s large contribution, a 12% annual Tapering rate  is applied to gradually moderate growth and align it with a perpetual growth rate of ~4%, ensuring consistency and sustainability across all segments.</t>
  </si>
  <si>
    <t>Other Banking Operations are projected using the historical five-year Min growth rate as the base case, with ±5% adjustments applied for best and worst scenarios. A 12% annual tapering is applied from 2026 to 2035 to ensure revenues converge toward a sustainable perpetual growth rate.</t>
  </si>
  <si>
    <t>Insurance Business are projected using the historical five-year average growth rate as the base case, with ±5% adjustments applied for best and worst scenarios. A 12% annual tapering is applied from 2026 to 2035 to ensure revenues converge toward a sustainable perpetual growth rate.</t>
  </si>
  <si>
    <t>Unallocated income is projected based on a minimum inflation rate of 3% growth rate as the base case, with ±2% adjustments applied for best and worst scenarios. A 12% annual tapering is applied from 2026 to 2035 to ensure revenues converge toward a sustainable perpetual growth rate.</t>
  </si>
  <si>
    <t>Inter segment Revenue are projected using the historical year average growth rate of year 2022 and 2025 only (other years growth rate  is outlier) for base case, with ±5% adjustments applied for best and worst scenarios. A 12% annual tapering is applied from 2026 to 2035 to ensure revenues converge toward a sustainable perpetual growth rate.</t>
  </si>
  <si>
    <t>EQUITY AND LIABILITIES</t>
  </si>
  <si>
    <t xml:space="preserve">EQUITY </t>
  </si>
  <si>
    <t>TOTAL EQUITY</t>
  </si>
  <si>
    <t>LIABILITIES</t>
  </si>
  <si>
    <t>TOTAL LIABILITIES</t>
  </si>
  <si>
    <t>TOTAL EQUITY &amp; LIABILITIES</t>
  </si>
  <si>
    <t>The NII Margin demonstrated a strong upward trend during the historical period, increasing from 6.12% in 2022 to 6.36% in 2023 and reaching a peak of 6.70% in 2024, before slightly moderating to 6.54% in 2025. This improvement reflects better pricing power on loans, higher yields on earning assets, and effective control over funding costs, indicating efficient asset-liability management and strong core banking profitability. Looking ahead, the margin is projected to gradually decline from 6.63% in 2026 to 6.16% by 2035, indicating steady compression in spreads due to competitive intensity and normalization of interest rates. Despite this moderation, the margin remains consistently above 6.00%, suggesting sustainable profitability, stable operational performance, and no immediate concerns regarding earning efficiency over the forecast period.</t>
  </si>
  <si>
    <t>The EBITDA Margin rose strongly from 11.62% in 2021 to 23.89% in 2025, indicating improved operational efficiency and strong cost control. However, during the forecast period, the margin is expected to decline to 19.32% in 2026 and remain stable at 19.32% through 2035. This reduction suggests normalization after peak performance, likely due to higher operating costs, competitive pricing pressure, or conservative growth assumptions. The flat trend reflects expectations of steady revenue growth aligned with expenses. Although lower than historical highs, maintaining a consistent 19.32% margin indicates sustainable profitability, stable operations, and predictable earnings over the long term.</t>
  </si>
  <si>
    <t>The EBIT Margin improved significantly during the historical period, increasing from 10.65% in 2021 to 23.29% in 2025, reflecting strong operating performance, better cost absorption, and improved efficiency after depreciation. However, in the forecast period, the margin is expected to decline to 18.86% in 2026 and gradually increase to 19.06% by 2035. The initial drop suggests normalization from peak levels, possibly due to higher depreciation, expansion investments, or moderate pricing pressure. The slow and steady rise from 18.86% to 19.06% indicates stable cost management and incremental operational improvements. Overall, the forecasted trend reflects sustainable operating profitability with controlled expenses, though without aggressive margin expansion, suggesting a mature and steady growth phase.</t>
  </si>
  <si>
    <t>The Pre-Provision Margin remained relatively stable during the historical period, moving from 20.98% in 2021 to 23.84% in 2025, with some fluctuations in between. This indicates consistent operating strength before accounting for credit provisions, reflecting stable core income generation and expense control. In the forecast period, the margin is expected to moderate to 22.77% in 2026 and gradually stabilize around 22.46%–22.47% through 2035. The slight decline from the 2025 peak suggests normalization of operating income or marginal increase in operating expenses. However, the stable trend above 22.00% indicates sustained pre-provision profitability, strong internal accrual generation, and adequate buffer to absorb potential credit costs, supporting long-term financial stability.</t>
  </si>
  <si>
    <t>The Pre-Tax Margin improved substantially during the historical period, rising from 6.81% in 2021 to 16.78% in 2025, reflecting stronger operating performance, improved cost efficiency, and better control over provisions and non-operating expenses. However, in the forecast period, the margin is expected to decline to 13.95% in 2026 and gradually stabilize around 13.64%–13.66% through 2035. The initial drop suggests normalization from peak profitability, possibly due to higher operating costs, increased provisions, or conservative growth assumptions. The stable trend thereafter indicates steady earnings before tax, controlled expense structure, and predictable profitability. Although lower than historical highs, maintaining margins above 13.60% reflects sustainable financial performance and operational stability over the long term.</t>
  </si>
  <si>
    <t>The Net Margin increased significantly during the historical period, rising from 5.81% in 2021 to 11.76% in 2023, before slightly moderating to 11.28% in 2024 and improving to 11.69% in 2025, reflecting strong bottom-line growth driven by higher operating efficiency and controlled tax and interest expenses. In the forecast period, the margin is expected to decline to 9.77% in 2026 and gradually stabilize around 9.55%–9.56% through 2035. The initial reduction suggests normalization of profitability due to higher costs, provisions, or conservative revenue assumptions. However, the stable trend above 9.50% indicates sustainable net profitability, steady earnings generation, and long-term financial resilience despite lower margins compared to historical peaks.</t>
  </si>
  <si>
    <t>The Return on Capital Employed (ROCE) improved during the historical period, increasing from 1.77% in 2021 to 4.03% in 2025, indicating better utilization of total capital and improved operating efficiency. This upward trend reflects stronger earnings generation relative to the capital invested in the business. However, in the forecast period, ROCE is expected to decline to 3.13% in 2026 and gradually moderate to 3.02% by 2035. The reduction suggests normalization of returns, possibly due to incremental capital deployment, moderate profit growth, or expansion-related investments. The gradual downward trend indicates slightly lower efficiency in capital utilization over time. Nevertheless, maintaining ROCE above 3.00% reflects stable operational performance and the company’s ability to generate consistent returns on its capital base over the long term.</t>
  </si>
  <si>
    <t>The Return on Equity (ROE) strengthened during the historical period, rising from 11.75% in 2022 to 16.16% in 2023 and peaking at 16.72% in 2024, before slightly moderating to 16.58% in 2025. This improvement reflects enhanced profitability and efficient utilization of shareholders’ funds. However, in the forecast period, ROE is projected to decline to 13.57% in 2026 and gradually decrease to 9.55% by 2035. The consistent downward trend suggests moderating earnings growth relative to equity expansion, possibly due to retained earnings accumulation or conservative profit assumptions. While the decline indicates reduced return efficiency over time, maintaining ROE near 9.55% still reflects stable profitability and reasonable shareholder value generation in the long term.</t>
  </si>
  <si>
    <t>The Return on Assets (ROA) improved during the historical period, increasing from 0.69% in 2022 to 0.98% in 2023, further rising to 1.06% in 2024, and reaching 1.10% in 2025, reflecting improved asset utilization and stronger profitability relative to total assets. This upward trend indicates better operational efficiency and effective deployment of resources. However, in the forecast period, ROA is expected to decline to 0.89% in 2026 and gradually moderate to 0.79% by 2035. The consistent decline suggests normalization of returns due to asset base expansion or moderate earnings growth. Despite the reduction, maintaining ROA near 0.79% indicates stable asset productivity and sustainable long-term performance</t>
  </si>
  <si>
    <t>The Asset Turnover ratio improved during the historical period, increasing from 7.97% in 2022 to 8.37% in 2023, further rising to 9.37% in 2024, and peaking at 9.44% in 2025, indicating more efficient utilization of assets to generate revenue. The improvement reflects stronger operational performance and better revenue generation from the existing asset base. However, in the forecast period, the ratio is expected to decline to 9.12% in 2026 and gradually moderate to 8.23% by 2035. The steady downward trend suggests that asset growth may outpace revenue growth, possibly due to expansion or conservative revenue assumptions. Despite the decline, maintaining levels above 8.00% indicates stable operational efficiency and sustainable revenue generation capacity over the long term.</t>
  </si>
  <si>
    <t>The Pre-Tax Return on Assets (Pre-Tax ROA) improved during the historical period, increasing from 0.87% in 2022 to 1.29% in 2023, further rising to 1.55% in 2024, and reaching 1.58% in 2025, reflecting stronger operating profitability relative to the asset base before the impact of taxes. This upward trend indicates improved asset efficiency and better core earnings generation. However, in the forecast period, Pre-Tax ROA is expected to decline to 1.27% in 2026 and gradually moderate to 1.12% by 2035. The steady decline suggests normalization of profitability, possibly due to asset expansion or conservative earnings assumptions. Despite this moderation, maintaining Pre-Tax ROA above 1.10% indicates stable operating performance and sustainable asset productivity over the long term.</t>
  </si>
  <si>
    <t>The Pre-Tax Return on Equity (Pre-Tax ROE) strengthened significantly during the historical period, rising from 14.75% in 2022 to 21.20% in 2023 and peaking at 24.52% in 2024, before slightly moderating to 23.80% in 2025, reflecting strong profitability and efficient utilization of shareholders’ funds before tax impact. However, in the forecast period, Pre-Tax ROE is expected to decline to 19.38% in 2026 and gradually decrease to 13.64% by 2035. The consistent downward trend suggests normalization of earnings growth relative to equity expansion, possibly due to retained earnings accumulation or moderate profit projections. Despite the decline, maintaining levels above 13.60% indicates sustainable pre-tax profitability and steady long-term value creation for shareholders.</t>
  </si>
  <si>
    <t>The Fixed Asset Turnover Ratio improved during the historical period from 10.22x in 2022 to 11.28x in 2023, further rising to 13.34x in 2024 and reaching 14.57x in 2025, reflecting strong improvement in the company’s ability to generate revenue from its fixed asset base. This trend indicates better capacity utilization and operational efficiency. In the forecast period from 2026 to 2035, the ratio is expected to moderate from 14.46x in 2026 to 13.40x by 2035. The gradual decline suggests fixed asset growth may outpace revenue growth due to expansion or capital expenditure plans. However, maintaining levels above 13.00x indicates sustained asset productivity and stable long-term operational performance.</t>
  </si>
  <si>
    <t>The Tax Complement (1 – Tax Rate) declined during the historical period from 0.85x in 2021 to 0.80x in 2022 and 0.76x in 2023, further dropping to 0.68x in 2024, before slightly improving to 0.70x in 2025. The decline indicates an increase in the effective tax rate over time, reducing the proportion of pre-tax income retained as net profit. In the forecast period from 2026 to 2035, the Tax Complement is expected to remain stable at 0.70x throughout. This stability suggests a consistent effective tax rate assumption in projections, leading to predictable post-tax earnings. Maintaining a steady 0.70x implies stable tax planning and no significant anticipated changes in tax structure, supporting earnings visibility over the long term.</t>
  </si>
  <si>
    <t>The Equity Retention Ratio declined during the historical period from 1.00x in 2021 to 0.90x in 2022, further moderating to 0.89x in 2023, 0.85x in 2024, and 0.84x in 2025. This downward trend indicates that a smaller proportion of earnings was retained within the business, possibly due to higher dividend payouts or profit distribution to shareholders. In the forecast period from 2026 to 2035, the ratio is expected to improve and stabilize at 0.87x throughout. The increase from 0.84x to 0.87x suggests a slightly higher retention of earnings to support growth and capital strengthening. The stable trend reflects a balanced dividend policy and consistent reinvestment strategy, supporting sustainable long-term expansion.</t>
  </si>
  <si>
    <t>The Loan to Deposit Ratio increased during the historical period from 0.67x in 2021 to 0.68x in 2022, rising further to 0.73x in 2023, 0.76x in 2024, and peaking at 0.78x in 2025. This upward trend indicates stronger credit growth relative to deposit mobilization, reflecting improved lending activity and higher utilization of available funds. However, in the forecast period from 2026 to 2035, the ratio is projected to decline to 0.72x and remain stable at 0.72x throughout. The moderation suggests a more balanced approach between loan growth and deposit expansion, reducing liquidity risk. Maintaining a steady 0.72x indicates prudent asset-liability management, adequate liquidity buffers, and sustainable credit growth over the long term.</t>
  </si>
  <si>
    <t>The Cash to Deposit Ratio showed moderate fluctuations during the historical period, increasing from 0.09x in 2021 to 0.10x in 2022, before declining to 0.07x in 2023, and remaining at 0.07x through 2025. The decline suggests a lower proportion of deposits held in cash, possibly due to higher deployment of funds into earning assets to enhance profitability. In the forecast period from 2026 to 2035, the ratio is expected to gradually improve from 0.08x in 2026 to 0.11x by 2035. The steady increase indicates a strengthening liquidity position and a more conservative liquidity buffer. Maintaining levels around 0.10x–0.11x reflects improved cash reserves relative to deposits, supporting financial stability and risk management over the long term.</t>
  </si>
  <si>
    <t>The Liquid Assets to Total Assets ratio improved slightly from 0.40x in 2021 to 0.41x in 2022, but then declined to 0.37x in 2023, 0.36x in 2024, and 0.35x in 2025, indicating a gradual reduction in the proportion of highly liquid assets within the overall asset base. This decline suggests greater deployment of funds into loans or higher-yielding assets to enhance profitability. In the forecast period from 2026 to 2035, the ratio is expected to recover to 0.38x in 2026 and gradually increase to 0.40x by 2035. The upward trend reflects a strengthening liquidity position and a more balanced asset allocation. Maintaining levels near 0.40x indicates adequate liquidity buffers and prudent risk management over the long term.</t>
  </si>
  <si>
    <t>The Short-Term Borrowings to Total Liabilities ratio remained relatively stable during the historical period, moving from 0.10x in 2021 to 0.09x in 2022 and 2023, rising slightly to 0.10x in 2024, and moderating again to 0.09x in 2025. This consistency indicates a controlled reliance on short-term funding within the overall liability structure, reflecting prudent liability management and limited refinancing risk. In the forecast period from 2026 to 2035, the ratio is expected to remain stable at 0.09x throughout. The flat trend suggests no significant shift toward short-term leverage, supporting financial stability, lower liquidity risk, and a well-balanced funding mix over the long term.</t>
  </si>
  <si>
    <t>The Asset-to-Equity ratio declined during the historical period from 16.99x in 2021 to 16.92x in 2022, further decreasing to 16.02x in 2023, 15.64x in 2024, and 14.48x in 2025, indicating a gradual reduction in financial leverage. This trend suggests stronger equity growth relative to total assets, reflecting improved capitalization and lower dependency on debt funding. In the forecast period from 2026 to 2035, the ratio is projected to rise to 15.90x in 2026 but then steadily decline to 11.91x by 2035. The long-term downward trend implies continued strengthening of the equity base and a more conservative capital structure. Lower leverage enhances financial stability, reduces risk exposure, and improves the company’s resilience against economic volatility over time.</t>
  </si>
  <si>
    <t>The Debt-to-Equity ratio declined during the historical period from 1.52x in 2021 to 1.42x in 2022 and 1.40x in 2023, briefly increasing to 1.49x in 2024, before falling sharply to 1.21x in 2025. This overall downward movement indicates reduced financial leverage and strengthening of the equity base relative to debt. In the forecast period from 2026 to 2035, the ratio is projected to rise to 1.40x in 2026 and then gradually decline to 1.02x by 2035. The long-term decreasing trend suggests a shift toward a more conservative capital structure with lower reliance on external borrowings. A ratio nearing 1.00x reflects balanced financing, reduced financial risk, improved solvency, and stronger long-term financial stability.</t>
  </si>
  <si>
    <t>The Efficiency Ratio improved significantly during the historical period, declining from 51.00% in 2021 to 50.00% in 2022, further reducing to 43.00% in 2023, 39.00% in 2024, and reaching 37.00% in 2025. Since a lower ratio indicates better cost efficiency, this trend reflects strong expense control and improved operational productivity relative to revenue generation. However, in the forecast period from 2026 to 2035, the ratio is expected to increase to 44.00% and remain stable at 44.00% throughout. The rise suggests normalization of operating costs or conservative revenue assumptions. Despite the increase from peak efficiency, maintaining 44.00% still indicates healthy cost management and sustainable operational performance over the long term.</t>
  </si>
  <si>
    <t>Football Field Data</t>
  </si>
  <si>
    <t>Comps Median</t>
  </si>
  <si>
    <t>Comps Average</t>
  </si>
  <si>
    <t>DCF (Average)</t>
  </si>
  <si>
    <t>52-Week Hi/LO</t>
  </si>
  <si>
    <t>Market Consenses</t>
  </si>
  <si>
    <t>Football Field Analysis</t>
  </si>
  <si>
    <t>Banks</t>
  </si>
  <si>
    <t>In cash flow, the closing cash balance for each year is defined as the sum of Cash and Balances with the Reserve Bank of India and Balances with Banks and Money at Call &amp; Short Notice, as reported in the balance sheet. For the forecast period, closing cash from cash flow is bifurcated in cash and bank balance in balance sheet. Bank balance for the forecasted year taken as the same as latest year (2025) and cash is consider by subtract bank balance from the closing balance of cash flow for forecasted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</si>
</sst>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7" formatCode="&quot;₹&quot;\ #,##0.00;&quot;₹&quot;\ \-#,##0.00"/>
    <numFmt numFmtId="8" formatCode="&quot;₹&quot;\ #,##0.00;[Red]&quot;₹&quot;\ \-#,##0.00"/>
    <numFmt numFmtId="44" formatCode="_ &quot;₹&quot;\ * #,##0.00_ ;_ &quot;₹&quot;\ * \-#,##0.00_ ;_ &quot;₹&quot;\ * &quot;-&quot;??_ ;_ @_ "/>
    <numFmt numFmtId="164" formatCode="&quot;FY&quot;\ 0"/>
    <numFmt numFmtId="165" formatCode="_ &quot;₹&quot;\ * #,##0_ ;_ &quot;₹&quot;\ * \-#,##0_ ;_ &quot;₹&quot;\ * &quot;-&quot;??_ ;_ @_ "/>
    <numFmt numFmtId="166" formatCode="0.00&quot;x&quot;"/>
    <numFmt numFmtId="167" formatCode="0.0%"/>
    <numFmt numFmtId="168" formatCode="&quot;₹&quot;\ #,##0"/>
    <numFmt numFmtId="169" formatCode="0.0&quot;x&quot;"/>
    <numFmt numFmtId="170" formatCode="0.0"/>
    <numFmt numFmtId="171" formatCode="&quot;₹&quot;\ #,##0.00"/>
  </numFmts>
  <fonts count="33">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i/>
      <sz val="10"/>
      <color theme="1"/>
      <name val="Calibri"/>
      <family val="2"/>
      <scheme val="minor"/>
    </font>
    <font>
      <b/>
      <i/>
      <sz val="11"/>
      <color theme="1"/>
      <name val="Calibri"/>
      <family val="2"/>
      <scheme val="minor"/>
    </font>
    <font>
      <sz val="11"/>
      <color theme="0"/>
      <name val="Calibri"/>
      <family val="2"/>
      <scheme val="minor"/>
    </font>
    <font>
      <sz val="11"/>
      <color rgb="FF7030A0"/>
      <name val="Calibri"/>
      <family val="2"/>
      <scheme val="minor"/>
    </font>
    <font>
      <sz val="11"/>
      <color rgb="FF00B050"/>
      <name val="Calibri"/>
      <family val="2"/>
      <scheme val="minor"/>
    </font>
    <font>
      <sz val="11"/>
      <color rgb="FF0000FF"/>
      <name val="Calibri"/>
      <family val="2"/>
      <scheme val="minor"/>
    </font>
    <font>
      <i/>
      <sz val="11"/>
      <color rgb="FF0000FF"/>
      <name val="Calibri"/>
      <family val="2"/>
      <scheme val="minor"/>
    </font>
    <font>
      <b/>
      <sz val="11"/>
      <color rgb="FF0000FF"/>
      <name val="Calibri"/>
      <family val="2"/>
      <scheme val="minor"/>
    </font>
    <font>
      <b/>
      <sz val="11"/>
      <color rgb="FF00B050"/>
      <name val="Calibri"/>
      <family val="2"/>
      <scheme val="minor"/>
    </font>
    <font>
      <sz val="9"/>
      <color indexed="81"/>
      <name val="Tahoma"/>
      <family val="2"/>
    </font>
    <font>
      <b/>
      <sz val="9"/>
      <color indexed="81"/>
      <name val="Tahoma"/>
      <family val="2"/>
    </font>
    <font>
      <b/>
      <sz val="11"/>
      <color theme="1"/>
      <name val="Times New Roman"/>
      <family val="1"/>
    </font>
    <font>
      <b/>
      <i/>
      <sz val="10"/>
      <color theme="1"/>
      <name val="Calibri"/>
      <family val="2"/>
      <scheme val="minor"/>
    </font>
    <font>
      <b/>
      <i/>
      <u/>
      <sz val="11"/>
      <color theme="1"/>
      <name val="Calibri"/>
      <family val="2"/>
      <scheme val="minor"/>
    </font>
    <font>
      <b/>
      <sz val="11"/>
      <color rgb="FF7030A0"/>
      <name val="Calibri"/>
      <family val="2"/>
      <scheme val="minor"/>
    </font>
    <font>
      <b/>
      <i/>
      <u/>
      <sz val="10"/>
      <color theme="1"/>
      <name val="Calibri"/>
      <family val="2"/>
      <scheme val="minor"/>
    </font>
    <font>
      <b/>
      <i/>
      <u/>
      <sz val="10"/>
      <color rgb="FF0000FF"/>
      <name val="Calibri"/>
      <family val="2"/>
      <scheme val="minor"/>
    </font>
    <font>
      <u/>
      <sz val="11"/>
      <color theme="10"/>
      <name val="Calibri"/>
      <family val="2"/>
      <scheme val="minor"/>
    </font>
    <font>
      <b/>
      <i/>
      <u/>
      <sz val="10"/>
      <color theme="10"/>
      <name val="Calibri"/>
      <family val="2"/>
      <scheme val="minor"/>
    </font>
    <font>
      <i/>
      <sz val="9"/>
      <color theme="1"/>
      <name val="Calibri"/>
      <family val="2"/>
      <scheme val="minor"/>
    </font>
    <font>
      <b/>
      <u/>
      <sz val="11"/>
      <color theme="1"/>
      <name val="Calibri"/>
      <family val="2"/>
      <scheme val="minor"/>
    </font>
    <font>
      <u/>
      <sz val="11"/>
      <color rgb="FF0000FF"/>
      <name val="Calibri"/>
      <family val="2"/>
      <scheme val="minor"/>
    </font>
    <font>
      <b/>
      <i/>
      <u/>
      <sz val="12"/>
      <color theme="1"/>
      <name val="Calibri"/>
      <family val="2"/>
      <scheme val="minor"/>
    </font>
    <font>
      <i/>
      <sz val="9"/>
      <color rgb="FF00B050"/>
      <name val="Calibri"/>
      <family val="2"/>
      <scheme val="minor"/>
    </font>
    <font>
      <sz val="11"/>
      <color theme="1"/>
      <name val="Gothic Century"/>
    </font>
    <font>
      <sz val="10"/>
      <color theme="1"/>
      <name val="Calibri"/>
      <family val="2"/>
      <scheme val="minor"/>
    </font>
    <font>
      <b/>
      <i/>
      <sz val="18"/>
      <color theme="1"/>
      <name val="Calibri"/>
      <family val="2"/>
      <scheme val="minor"/>
    </font>
    <font>
      <b/>
      <u/>
      <sz val="28"/>
      <color theme="1"/>
      <name val="Calibri"/>
      <family val="2"/>
      <scheme val="minor"/>
    </font>
    <font>
      <b/>
      <sz val="22"/>
      <color theme="1"/>
      <name val="Calibri"/>
      <family val="2"/>
      <scheme val="minor"/>
    </font>
  </fonts>
  <fills count="12">
    <fill>
      <patternFill patternType="none"/>
    </fill>
    <fill>
      <patternFill patternType="gray125"/>
    </fill>
    <fill>
      <patternFill patternType="mediumGray">
        <bgColor theme="2"/>
      </patternFill>
    </fill>
    <fill>
      <patternFill patternType="solid">
        <fgColor theme="0" tint="-0.14999847407452621"/>
        <bgColor indexed="64"/>
      </patternFill>
    </fill>
    <fill>
      <patternFill patternType="solid">
        <fgColor theme="0"/>
        <bgColor indexed="64"/>
      </patternFill>
    </fill>
    <fill>
      <patternFill patternType="solid">
        <fgColor rgb="FF99CCFF"/>
        <bgColor indexed="64"/>
      </patternFill>
    </fill>
    <fill>
      <patternFill patternType="solid">
        <fgColor rgb="FFCCECFF"/>
        <bgColor indexed="64"/>
      </patternFill>
    </fill>
    <fill>
      <patternFill patternType="solid">
        <fgColor theme="0" tint="-4.9989318521683403E-2"/>
        <bgColor indexed="64"/>
      </patternFill>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120">
    <border>
      <left/>
      <right/>
      <top/>
      <bottom/>
      <diagonal/>
    </border>
    <border>
      <left/>
      <right/>
      <top/>
      <bottom style="thin">
        <color indexed="64"/>
      </bottom>
      <diagonal/>
    </border>
    <border>
      <left/>
      <right/>
      <top style="thin">
        <color indexed="64"/>
      </top>
      <bottom/>
      <diagonal/>
    </border>
    <border>
      <left/>
      <right style="dashed">
        <color auto="1"/>
      </right>
      <top style="dashed">
        <color auto="1"/>
      </top>
      <bottom style="dashed">
        <color auto="1"/>
      </bottom>
      <diagonal/>
    </border>
    <border>
      <left/>
      <right/>
      <top style="dashed">
        <color auto="1"/>
      </top>
      <bottom style="dashed">
        <color auto="1"/>
      </bottom>
      <diagonal/>
    </border>
    <border>
      <left/>
      <right style="dashed">
        <color auto="1"/>
      </right>
      <top/>
      <bottom style="dashed">
        <color auto="1"/>
      </bottom>
      <diagonal/>
    </border>
    <border>
      <left/>
      <right style="thin">
        <color indexed="64"/>
      </right>
      <top/>
      <bottom/>
      <diagonal/>
    </border>
    <border>
      <left/>
      <right/>
      <top/>
      <bottom style="dashed">
        <color auto="1"/>
      </bottom>
      <diagonal/>
    </border>
    <border>
      <left/>
      <right style="dotted">
        <color auto="1"/>
      </right>
      <top/>
      <bottom/>
      <diagonal/>
    </border>
    <border>
      <left/>
      <right style="dotted">
        <color auto="1"/>
      </right>
      <top/>
      <bottom style="thin">
        <color indexed="64"/>
      </bottom>
      <diagonal/>
    </border>
    <border>
      <left/>
      <right style="dotted">
        <color auto="1"/>
      </right>
      <top style="dashed">
        <color auto="1"/>
      </top>
      <bottom style="dashed">
        <color auto="1"/>
      </bottom>
      <diagonal/>
    </border>
    <border>
      <left/>
      <right/>
      <top style="thin">
        <color indexed="64"/>
      </top>
      <bottom style="double">
        <color indexed="64"/>
      </bottom>
      <diagonal/>
    </border>
    <border>
      <left/>
      <right/>
      <top style="thin">
        <color indexed="64"/>
      </top>
      <bottom style="medium">
        <color indexed="64"/>
      </bottom>
      <diagonal/>
    </border>
    <border>
      <left style="double">
        <color auto="1"/>
      </left>
      <right style="double">
        <color auto="1"/>
      </right>
      <top style="double">
        <color auto="1"/>
      </top>
      <bottom style="double">
        <color auto="1"/>
      </bottom>
      <diagonal/>
    </border>
    <border>
      <left/>
      <right/>
      <top style="thin">
        <color indexed="64"/>
      </top>
      <bottom style="thin">
        <color indexed="64"/>
      </bottom>
      <diagonal/>
    </border>
    <border>
      <left/>
      <right/>
      <top style="hair">
        <color auto="1"/>
      </top>
      <bottom style="hair">
        <color auto="1"/>
      </bottom>
      <diagonal/>
    </border>
    <border>
      <left/>
      <right/>
      <top/>
      <bottom style="hair">
        <color auto="1"/>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hair">
        <color indexed="64"/>
      </left>
      <right style="hair">
        <color indexed="64"/>
      </right>
      <top style="medium">
        <color indexed="64"/>
      </top>
      <bottom/>
      <diagonal/>
    </border>
    <border>
      <left style="dashed">
        <color indexed="64"/>
      </left>
      <right style="dashed">
        <color indexed="64"/>
      </right>
      <top style="dashed">
        <color indexed="64"/>
      </top>
      <bottom/>
      <diagonal/>
    </border>
    <border>
      <left style="hair">
        <color indexed="64"/>
      </left>
      <right style="hair">
        <color indexed="64"/>
      </right>
      <top style="thin">
        <color indexed="64"/>
      </top>
      <bottom/>
      <diagonal/>
    </border>
    <border>
      <left style="dashed">
        <color indexed="64"/>
      </left>
      <right style="dashed">
        <color indexed="64"/>
      </right>
      <top/>
      <bottom/>
      <diagonal/>
    </border>
    <border>
      <left style="hair">
        <color indexed="64"/>
      </left>
      <right style="hair">
        <color indexed="64"/>
      </right>
      <top/>
      <bottom style="medium">
        <color indexed="64"/>
      </bottom>
      <diagonal/>
    </border>
    <border>
      <left style="hair">
        <color indexed="64"/>
      </left>
      <right style="hair">
        <color indexed="64"/>
      </right>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dotted">
        <color auto="1"/>
      </bottom>
      <diagonal/>
    </border>
    <border>
      <left/>
      <right style="thin">
        <color indexed="64"/>
      </right>
      <top/>
      <bottom style="dotted">
        <color auto="1"/>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auto="1"/>
      </top>
      <bottom style="hair">
        <color auto="1"/>
      </bottom>
      <diagonal/>
    </border>
    <border>
      <left style="hair">
        <color indexed="64"/>
      </left>
      <right/>
      <top style="hair">
        <color indexed="64"/>
      </top>
      <bottom style="hair">
        <color indexed="64"/>
      </bottom>
      <diagonal/>
    </border>
    <border>
      <left/>
      <right style="medium">
        <color indexed="64"/>
      </right>
      <top style="hair">
        <color auto="1"/>
      </top>
      <bottom style="hair">
        <color auto="1"/>
      </bottom>
      <diagonal/>
    </border>
    <border>
      <left style="medium">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top style="thick">
        <color theme="1"/>
      </top>
      <bottom/>
      <diagonal/>
    </border>
    <border>
      <left style="thin">
        <color indexed="64"/>
      </left>
      <right style="dashed">
        <color indexed="64"/>
      </right>
      <top/>
      <bottom/>
      <diagonal/>
    </border>
    <border>
      <left/>
      <right/>
      <top style="thin">
        <color indexed="64"/>
      </top>
      <bottom style="dashed">
        <color indexed="64"/>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style="dashed">
        <color indexed="64"/>
      </left>
      <right/>
      <top style="thin">
        <color indexed="64"/>
      </top>
      <bottom style="dashed">
        <color indexed="64"/>
      </bottom>
      <diagonal/>
    </border>
    <border>
      <left/>
      <right style="dashed">
        <color indexed="64"/>
      </right>
      <top style="thin">
        <color indexed="64"/>
      </top>
      <bottom style="dashed">
        <color indexed="64"/>
      </bottom>
      <diagonal/>
    </border>
    <border>
      <left style="dashed">
        <color auto="1"/>
      </left>
      <right/>
      <top style="dashed">
        <color auto="1"/>
      </top>
      <bottom style="dashed">
        <color auto="1"/>
      </bottom>
      <diagonal/>
    </border>
    <border>
      <left style="thin">
        <color indexed="64"/>
      </left>
      <right style="thin">
        <color indexed="64"/>
      </right>
      <top style="thin">
        <color indexed="64"/>
      </top>
      <bottom style="thin">
        <color indexed="64"/>
      </bottom>
      <diagonal/>
    </border>
    <border>
      <left/>
      <right style="dotted">
        <color auto="1"/>
      </right>
      <top style="thin">
        <color indexed="64"/>
      </top>
      <bottom/>
      <diagonal/>
    </border>
    <border>
      <left/>
      <right/>
      <top style="dashed">
        <color indexed="64"/>
      </top>
      <bottom style="thin">
        <color indexed="64"/>
      </bottom>
      <diagonal/>
    </border>
    <border>
      <left style="dotted">
        <color auto="1"/>
      </left>
      <right style="dotted">
        <color auto="1"/>
      </right>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top/>
      <bottom/>
      <diagonal/>
    </border>
    <border>
      <left style="dotted">
        <color auto="1"/>
      </left>
      <right style="dashed">
        <color auto="1"/>
      </right>
      <top style="thin">
        <color indexed="64"/>
      </top>
      <bottom style="dashed">
        <color auto="1"/>
      </bottom>
      <diagonal/>
    </border>
    <border>
      <left style="dashed">
        <color auto="1"/>
      </left>
      <right style="dashed">
        <color auto="1"/>
      </right>
      <top style="thin">
        <color indexed="64"/>
      </top>
      <bottom style="dashed">
        <color auto="1"/>
      </bottom>
      <diagonal/>
    </border>
    <border>
      <left style="dotted">
        <color auto="1"/>
      </left>
      <right style="dashed">
        <color auto="1"/>
      </right>
      <top style="dashed">
        <color auto="1"/>
      </top>
      <bottom style="dashed">
        <color auto="1"/>
      </bottom>
      <diagonal/>
    </border>
    <border>
      <left style="dashed">
        <color auto="1"/>
      </left>
      <right style="dashed">
        <color auto="1"/>
      </right>
      <top style="thin">
        <color indexed="64"/>
      </top>
      <bottom/>
      <diagonal/>
    </border>
    <border>
      <left style="dashed">
        <color auto="1"/>
      </left>
      <right style="dashed">
        <color auto="1"/>
      </right>
      <top/>
      <bottom style="dashed">
        <color auto="1"/>
      </bottom>
      <diagonal/>
    </border>
    <border>
      <left style="dotted">
        <color auto="1"/>
      </left>
      <right/>
      <top style="dashed">
        <color auto="1"/>
      </top>
      <bottom/>
      <diagonal/>
    </border>
    <border>
      <left style="dotted">
        <color auto="1"/>
      </left>
      <right/>
      <top/>
      <bottom style="dash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dashed">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hair">
        <color auto="1"/>
      </bottom>
      <diagonal/>
    </border>
    <border>
      <left/>
      <right style="medium">
        <color indexed="64"/>
      </right>
      <top/>
      <bottom style="hair">
        <color auto="1"/>
      </bottom>
      <diagonal/>
    </border>
    <border>
      <left style="medium">
        <color indexed="64"/>
      </left>
      <right/>
      <top style="hair">
        <color auto="1"/>
      </top>
      <bottom style="medium">
        <color indexed="64"/>
      </bottom>
      <diagonal/>
    </border>
    <border>
      <left/>
      <right/>
      <top style="hair">
        <color indexed="64"/>
      </top>
      <bottom style="medium">
        <color indexed="64"/>
      </bottom>
      <diagonal/>
    </border>
    <border>
      <left/>
      <right style="medium">
        <color indexed="64"/>
      </right>
      <top style="hair">
        <color auto="1"/>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1" fillId="0" borderId="0" applyNumberFormat="0" applyFill="0" applyBorder="0" applyAlignment="0" applyProtection="0"/>
  </cellStyleXfs>
  <cellXfs count="453">
    <xf numFmtId="0" fontId="0" fillId="0" borderId="0" xfId="0"/>
    <xf numFmtId="0" fontId="2" fillId="0" borderId="0" xfId="0" applyFont="1"/>
    <xf numFmtId="0" fontId="2" fillId="0" borderId="1" xfId="0" applyFont="1" applyBorder="1"/>
    <xf numFmtId="164" fontId="2" fillId="0" borderId="1" xfId="0" applyNumberFormat="1" applyFont="1" applyBorder="1"/>
    <xf numFmtId="0" fontId="0" fillId="0" borderId="0" xfId="0" applyFont="1"/>
    <xf numFmtId="0" fontId="3" fillId="0" borderId="0" xfId="0" applyFont="1"/>
    <xf numFmtId="0" fontId="4" fillId="0" borderId="0" xfId="0" applyFont="1"/>
    <xf numFmtId="0" fontId="2" fillId="0" borderId="2" xfId="0" applyFont="1" applyBorder="1"/>
    <xf numFmtId="165" fontId="0" fillId="0" borderId="0" xfId="0" applyNumberFormat="1"/>
    <xf numFmtId="165" fontId="0" fillId="0" borderId="0" xfId="1" applyNumberFormat="1" applyFont="1"/>
    <xf numFmtId="0" fontId="5" fillId="0" borderId="0" xfId="0" applyFont="1"/>
    <xf numFmtId="4" fontId="0" fillId="0" borderId="0" xfId="0" applyNumberFormat="1"/>
    <xf numFmtId="165" fontId="2" fillId="0" borderId="0" xfId="0" applyNumberFormat="1" applyFont="1" applyFill="1" applyBorder="1"/>
    <xf numFmtId="2" fontId="0" fillId="0" borderId="0" xfId="0" applyNumberFormat="1"/>
    <xf numFmtId="9" fontId="0" fillId="0" borderId="0" xfId="2" applyFont="1"/>
    <xf numFmtId="9" fontId="0" fillId="0" borderId="0" xfId="0" applyNumberFormat="1"/>
    <xf numFmtId="10" fontId="0" fillId="0" borderId="0" xfId="0" applyNumberFormat="1"/>
    <xf numFmtId="10" fontId="0" fillId="0" borderId="0" xfId="2" applyNumberFormat="1" applyFont="1"/>
    <xf numFmtId="9" fontId="10" fillId="0" borderId="3" xfId="0" applyNumberFormat="1" applyFont="1" applyBorder="1"/>
    <xf numFmtId="0" fontId="0" fillId="0" borderId="0" xfId="0" applyAlignment="1">
      <alignment horizontal="left" indent="1"/>
    </xf>
    <xf numFmtId="9" fontId="10" fillId="0" borderId="0" xfId="0" applyNumberFormat="1" applyFont="1" applyBorder="1"/>
    <xf numFmtId="0" fontId="3" fillId="0" borderId="0" xfId="0" applyFont="1" applyBorder="1" applyAlignment="1">
      <alignment horizontal="left" indent="1"/>
    </xf>
    <xf numFmtId="0" fontId="2" fillId="0" borderId="0" xfId="0" applyFont="1" applyAlignment="1">
      <alignment horizontal="left" indent="1"/>
    </xf>
    <xf numFmtId="0" fontId="0" fillId="0" borderId="0" xfId="0" applyAlignment="1">
      <alignment horizontal="left" indent="2"/>
    </xf>
    <xf numFmtId="10" fontId="3" fillId="0" borderId="0" xfId="2" applyNumberFormat="1" applyFont="1"/>
    <xf numFmtId="4" fontId="3" fillId="0" borderId="0" xfId="0" applyNumberFormat="1" applyFont="1"/>
    <xf numFmtId="44" fontId="9" fillId="0" borderId="0" xfId="1" applyFont="1"/>
    <xf numFmtId="44" fontId="0" fillId="0" borderId="0" xfId="1" applyFont="1"/>
    <xf numFmtId="9" fontId="10" fillId="0" borderId="5" xfId="0" applyNumberFormat="1" applyFont="1" applyBorder="1"/>
    <xf numFmtId="0" fontId="3" fillId="0" borderId="4" xfId="0" applyFont="1" applyBorder="1" applyAlignment="1">
      <alignment horizontal="left" indent="1"/>
    </xf>
    <xf numFmtId="0" fontId="3" fillId="0" borderId="4" xfId="0" applyFont="1" applyBorder="1"/>
    <xf numFmtId="10" fontId="3" fillId="0" borderId="4" xfId="0" applyNumberFormat="1" applyFont="1" applyBorder="1"/>
    <xf numFmtId="10" fontId="3" fillId="0" borderId="4" xfId="2" applyNumberFormat="1" applyFont="1" applyBorder="1"/>
    <xf numFmtId="0" fontId="3" fillId="2" borderId="0" xfId="0" applyFont="1" applyFill="1" applyBorder="1"/>
    <xf numFmtId="9" fontId="3" fillId="2" borderId="0" xfId="2" applyFont="1" applyFill="1" applyBorder="1"/>
    <xf numFmtId="44" fontId="8" fillId="0" borderId="0" xfId="1" applyFont="1"/>
    <xf numFmtId="0" fontId="3" fillId="0" borderId="7" xfId="0" applyFont="1" applyBorder="1" applyAlignment="1">
      <alignment horizontal="left" indent="1"/>
    </xf>
    <xf numFmtId="0" fontId="3" fillId="0" borderId="4" xfId="0" applyFont="1" applyBorder="1" applyAlignment="1">
      <alignment horizontal="left" indent="2"/>
    </xf>
    <xf numFmtId="0" fontId="0" fillId="0" borderId="6" xfId="0" applyBorder="1"/>
    <xf numFmtId="0" fontId="2" fillId="0" borderId="0" xfId="0" applyFont="1" applyBorder="1"/>
    <xf numFmtId="0" fontId="0" fillId="4" borderId="0" xfId="0" applyFill="1" applyBorder="1"/>
    <xf numFmtId="164" fontId="5" fillId="4" borderId="0" xfId="0" applyNumberFormat="1" applyFont="1" applyFill="1" applyBorder="1" applyAlignment="1">
      <alignment horizontal="center"/>
    </xf>
    <xf numFmtId="164" fontId="5" fillId="4" borderId="1" xfId="0" applyNumberFormat="1" applyFont="1" applyFill="1" applyBorder="1" applyAlignment="1">
      <alignment horizontal="center"/>
    </xf>
    <xf numFmtId="164" fontId="5" fillId="6" borderId="0" xfId="0" applyNumberFormat="1" applyFont="1" applyFill="1" applyBorder="1" applyAlignment="1">
      <alignment horizontal="center"/>
    </xf>
    <xf numFmtId="164" fontId="5" fillId="6" borderId="1" xfId="0" applyNumberFormat="1" applyFont="1" applyFill="1" applyBorder="1" applyAlignment="1">
      <alignment horizontal="center"/>
    </xf>
    <xf numFmtId="44" fontId="11" fillId="0" borderId="1" xfId="1" applyFont="1" applyBorder="1"/>
    <xf numFmtId="44" fontId="2" fillId="0" borderId="1" xfId="1" applyFont="1" applyBorder="1"/>
    <xf numFmtId="2" fontId="3" fillId="0" borderId="0" xfId="0" applyNumberFormat="1" applyFont="1"/>
    <xf numFmtId="10" fontId="1" fillId="0" borderId="0" xfId="2" applyNumberFormat="1" applyFont="1"/>
    <xf numFmtId="164" fontId="5" fillId="4" borderId="8" xfId="0" applyNumberFormat="1" applyFont="1" applyFill="1" applyBorder="1" applyAlignment="1">
      <alignment horizontal="center"/>
    </xf>
    <xf numFmtId="164" fontId="5" fillId="4" borderId="9" xfId="0" applyNumberFormat="1" applyFont="1" applyFill="1" applyBorder="1" applyAlignment="1">
      <alignment horizontal="center"/>
    </xf>
    <xf numFmtId="0" fontId="0" fillId="0" borderId="8" xfId="0" applyBorder="1"/>
    <xf numFmtId="44" fontId="11" fillId="0" borderId="9" xfId="1" applyFont="1" applyBorder="1"/>
    <xf numFmtId="10" fontId="3" fillId="0" borderId="8" xfId="2" applyNumberFormat="1" applyFont="1" applyBorder="1"/>
    <xf numFmtId="9" fontId="0" fillId="0" borderId="8" xfId="2" applyFont="1" applyBorder="1"/>
    <xf numFmtId="44" fontId="9" fillId="0" borderId="8" xfId="1" applyFont="1" applyBorder="1"/>
    <xf numFmtId="10" fontId="1" fillId="0" borderId="8" xfId="2" applyNumberFormat="1" applyFont="1" applyBorder="1"/>
    <xf numFmtId="9" fontId="3" fillId="2" borderId="8" xfId="2" applyFont="1" applyFill="1" applyBorder="1"/>
    <xf numFmtId="10" fontId="0" fillId="0" borderId="8" xfId="2" applyNumberFormat="1" applyFont="1" applyBorder="1"/>
    <xf numFmtId="10" fontId="3" fillId="0" borderId="10" xfId="2" applyNumberFormat="1" applyFont="1" applyBorder="1"/>
    <xf numFmtId="44" fontId="0" fillId="0" borderId="0" xfId="0" applyNumberFormat="1"/>
    <xf numFmtId="44" fontId="2" fillId="0" borderId="2" xfId="0" applyNumberFormat="1" applyFont="1" applyBorder="1"/>
    <xf numFmtId="44" fontId="2" fillId="0" borderId="2" xfId="1" applyNumberFormat="1" applyFont="1" applyBorder="1"/>
    <xf numFmtId="44" fontId="2" fillId="0" borderId="2" xfId="1" applyFont="1" applyBorder="1"/>
    <xf numFmtId="0" fontId="6" fillId="0" borderId="0" xfId="0" applyFont="1"/>
    <xf numFmtId="44" fontId="2" fillId="0" borderId="0" xfId="0" applyNumberFormat="1" applyFont="1"/>
    <xf numFmtId="44" fontId="8" fillId="0" borderId="0" xfId="0" applyNumberFormat="1" applyFont="1"/>
    <xf numFmtId="0" fontId="2" fillId="4" borderId="0" xfId="0" applyFont="1" applyFill="1" applyBorder="1" applyAlignment="1">
      <alignment horizontal="center" vertical="center"/>
    </xf>
    <xf numFmtId="0" fontId="0" fillId="4" borderId="0" xfId="0" applyFill="1"/>
    <xf numFmtId="44" fontId="0" fillId="0" borderId="0" xfId="1" applyNumberFormat="1" applyFont="1"/>
    <xf numFmtId="44" fontId="8" fillId="0" borderId="0" xfId="1" applyNumberFormat="1" applyFont="1"/>
    <xf numFmtId="166" fontId="3" fillId="0" borderId="4" xfId="2" applyNumberFormat="1" applyFont="1" applyBorder="1"/>
    <xf numFmtId="166" fontId="3" fillId="0" borderId="4" xfId="0" applyNumberFormat="1" applyFont="1" applyBorder="1"/>
    <xf numFmtId="0" fontId="0" fillId="4" borderId="1" xfId="0" applyFont="1" applyFill="1" applyBorder="1" applyAlignment="1">
      <alignment horizontal="center" vertical="center"/>
    </xf>
    <xf numFmtId="44" fontId="8" fillId="4" borderId="1" xfId="1" applyFont="1" applyFill="1" applyBorder="1" applyAlignment="1">
      <alignment horizontal="center"/>
    </xf>
    <xf numFmtId="1" fontId="0" fillId="0" borderId="0" xfId="0" applyNumberFormat="1"/>
    <xf numFmtId="0" fontId="2" fillId="0" borderId="11" xfId="0" applyFont="1" applyBorder="1"/>
    <xf numFmtId="44" fontId="12" fillId="0" borderId="11" xfId="1" applyFont="1" applyBorder="1"/>
    <xf numFmtId="44" fontId="2" fillId="0" borderId="11" xfId="1" applyFont="1" applyBorder="1"/>
    <xf numFmtId="0" fontId="2" fillId="0" borderId="12" xfId="0" applyFont="1" applyBorder="1"/>
    <xf numFmtId="44" fontId="2" fillId="0" borderId="12" xfId="1" applyFont="1" applyBorder="1"/>
    <xf numFmtId="0" fontId="0" fillId="5" borderId="0" xfId="0" applyFill="1"/>
    <xf numFmtId="165" fontId="0" fillId="5" borderId="0" xfId="0" applyNumberFormat="1" applyFill="1"/>
    <xf numFmtId="44" fontId="0" fillId="5" borderId="0" xfId="0" applyNumberFormat="1" applyFill="1"/>
    <xf numFmtId="44" fontId="12" fillId="0" borderId="2" xfId="0" applyNumberFormat="1" applyFont="1" applyBorder="1"/>
    <xf numFmtId="44" fontId="7" fillId="0" borderId="0" xfId="1" applyFont="1"/>
    <xf numFmtId="0" fontId="3" fillId="0" borderId="2" xfId="0" applyFont="1" applyBorder="1"/>
    <xf numFmtId="9" fontId="3" fillId="0" borderId="2" xfId="2" applyFont="1" applyBorder="1"/>
    <xf numFmtId="9" fontId="3" fillId="0" borderId="2" xfId="0" applyNumberFormat="1" applyFont="1" applyBorder="1"/>
    <xf numFmtId="44" fontId="7" fillId="0" borderId="0" xfId="0" applyNumberFormat="1" applyFont="1"/>
    <xf numFmtId="0" fontId="2" fillId="3" borderId="13" xfId="0" applyFont="1" applyFill="1" applyBorder="1"/>
    <xf numFmtId="44" fontId="12" fillId="0" borderId="0" xfId="0" applyNumberFormat="1" applyFont="1"/>
    <xf numFmtId="44" fontId="7" fillId="0" borderId="0" xfId="1" applyNumberFormat="1" applyFont="1"/>
    <xf numFmtId="44" fontId="9" fillId="0" borderId="0" xfId="1" applyNumberFormat="1" applyFont="1"/>
    <xf numFmtId="44" fontId="12" fillId="0" borderId="1" xfId="0" applyNumberFormat="1" applyFont="1" applyBorder="1"/>
    <xf numFmtId="0" fontId="5" fillId="3" borderId="13" xfId="0" applyFont="1" applyFill="1" applyBorder="1"/>
    <xf numFmtId="44" fontId="9" fillId="0" borderId="0" xfId="0" applyNumberFormat="1" applyFont="1"/>
    <xf numFmtId="0" fontId="16" fillId="0" borderId="0" xfId="0" applyFont="1"/>
    <xf numFmtId="0" fontId="16" fillId="0" borderId="1" xfId="0" applyFont="1" applyBorder="1"/>
    <xf numFmtId="0" fontId="0" fillId="0" borderId="15" xfId="0" applyBorder="1"/>
    <xf numFmtId="168" fontId="8" fillId="0" borderId="15" xfId="0" applyNumberFormat="1" applyFont="1" applyBorder="1"/>
    <xf numFmtId="3" fontId="8" fillId="0" borderId="15" xfId="0" applyNumberFormat="1" applyFont="1" applyBorder="1"/>
    <xf numFmtId="168" fontId="0" fillId="0" borderId="15" xfId="0" applyNumberFormat="1" applyBorder="1"/>
    <xf numFmtId="3" fontId="0" fillId="0" borderId="0" xfId="0" applyNumberFormat="1"/>
    <xf numFmtId="169" fontId="0" fillId="0" borderId="15" xfId="0" applyNumberFormat="1" applyBorder="1"/>
    <xf numFmtId="0" fontId="17" fillId="0" borderId="0" xfId="0" applyFont="1"/>
    <xf numFmtId="0" fontId="0" fillId="0" borderId="16" xfId="0" applyBorder="1"/>
    <xf numFmtId="166" fontId="0" fillId="0" borderId="16" xfId="0" applyNumberFormat="1" applyBorder="1"/>
    <xf numFmtId="168" fontId="0" fillId="0" borderId="16" xfId="0" applyNumberFormat="1" applyBorder="1"/>
    <xf numFmtId="3" fontId="0" fillId="0" borderId="16" xfId="0" applyNumberFormat="1" applyBorder="1"/>
    <xf numFmtId="0" fontId="18" fillId="0" borderId="16" xfId="0" applyFont="1" applyBorder="1"/>
    <xf numFmtId="166" fontId="0" fillId="0" borderId="15" xfId="0" applyNumberFormat="1" applyBorder="1"/>
    <xf numFmtId="0" fontId="0" fillId="0" borderId="0" xfId="0" applyBorder="1"/>
    <xf numFmtId="166" fontId="0" fillId="0" borderId="0" xfId="0" applyNumberFormat="1" applyBorder="1"/>
    <xf numFmtId="168" fontId="0" fillId="0" borderId="0" xfId="0" applyNumberFormat="1" applyBorder="1"/>
    <xf numFmtId="170" fontId="0" fillId="0" borderId="0" xfId="0" applyNumberFormat="1" applyBorder="1"/>
    <xf numFmtId="0" fontId="12" fillId="0" borderId="0" xfId="0" applyFont="1" applyBorder="1"/>
    <xf numFmtId="0" fontId="17" fillId="0" borderId="0" xfId="0" applyFont="1" applyFill="1" applyBorder="1"/>
    <xf numFmtId="0" fontId="0" fillId="0" borderId="17" xfId="0" applyBorder="1"/>
    <xf numFmtId="166" fontId="0" fillId="0" borderId="17" xfId="0" applyNumberFormat="1" applyBorder="1"/>
    <xf numFmtId="171" fontId="0" fillId="0" borderId="15" xfId="0" applyNumberFormat="1" applyBorder="1"/>
    <xf numFmtId="0" fontId="3" fillId="0" borderId="15" xfId="0" applyFont="1" applyBorder="1"/>
    <xf numFmtId="0" fontId="0" fillId="0" borderId="0" xfId="0" applyFont="1" applyBorder="1"/>
    <xf numFmtId="2" fontId="2" fillId="0" borderId="0" xfId="0" applyNumberFormat="1" applyFont="1" applyBorder="1"/>
    <xf numFmtId="0" fontId="16" fillId="6" borderId="0" xfId="0" applyFont="1" applyFill="1"/>
    <xf numFmtId="9" fontId="16" fillId="6" borderId="0" xfId="2" applyFont="1" applyFill="1"/>
    <xf numFmtId="0" fontId="19" fillId="6" borderId="1" xfId="0" applyFont="1" applyFill="1" applyBorder="1" applyAlignment="1">
      <alignment horizontal="center"/>
    </xf>
    <xf numFmtId="9" fontId="19" fillId="6" borderId="1" xfId="2" applyFont="1" applyFill="1" applyBorder="1" applyAlignment="1">
      <alignment horizontal="center"/>
    </xf>
    <xf numFmtId="3" fontId="16" fillId="6" borderId="0" xfId="0" applyNumberFormat="1" applyFont="1" applyFill="1" applyAlignment="1">
      <alignment horizontal="center"/>
    </xf>
    <xf numFmtId="9" fontId="16" fillId="6" borderId="0" xfId="0" applyNumberFormat="1" applyFont="1" applyFill="1" applyAlignment="1">
      <alignment horizontal="center"/>
    </xf>
    <xf numFmtId="167" fontId="16" fillId="6" borderId="0" xfId="2" applyNumberFormat="1" applyFont="1" applyFill="1" applyAlignment="1">
      <alignment horizontal="center"/>
    </xf>
    <xf numFmtId="3" fontId="16" fillId="6" borderId="1" xfId="0" applyNumberFormat="1" applyFont="1" applyFill="1" applyBorder="1" applyAlignment="1">
      <alignment horizontal="center"/>
    </xf>
    <xf numFmtId="9" fontId="16" fillId="6" borderId="1" xfId="0" applyNumberFormat="1" applyFont="1" applyFill="1" applyBorder="1" applyAlignment="1">
      <alignment horizontal="center"/>
    </xf>
    <xf numFmtId="167" fontId="16" fillId="6" borderId="1" xfId="2" applyNumberFormat="1" applyFont="1" applyFill="1" applyBorder="1" applyAlignment="1">
      <alignment horizontal="center"/>
    </xf>
    <xf numFmtId="0" fontId="2" fillId="6" borderId="15" xfId="0" applyNumberFormat="1" applyFont="1" applyFill="1" applyBorder="1"/>
    <xf numFmtId="166" fontId="2" fillId="6" borderId="15" xfId="0" applyNumberFormat="1" applyFont="1" applyFill="1" applyBorder="1"/>
    <xf numFmtId="0" fontId="0" fillId="4" borderId="15" xfId="0" applyNumberFormat="1" applyFont="1" applyFill="1" applyBorder="1"/>
    <xf numFmtId="0" fontId="0" fillId="4" borderId="15" xfId="0" applyNumberFormat="1" applyFill="1" applyBorder="1"/>
    <xf numFmtId="166" fontId="0" fillId="4" borderId="15" xfId="0" applyNumberFormat="1" applyFill="1" applyBorder="1"/>
    <xf numFmtId="0" fontId="0" fillId="0" borderId="18" xfId="0" applyFont="1" applyBorder="1"/>
    <xf numFmtId="0" fontId="3" fillId="0" borderId="14" xfId="0" applyFont="1" applyBorder="1"/>
    <xf numFmtId="0" fontId="0" fillId="0" borderId="14" xfId="0" applyFont="1" applyBorder="1"/>
    <xf numFmtId="168" fontId="8" fillId="0" borderId="14" xfId="0" applyNumberFormat="1" applyFont="1" applyBorder="1"/>
    <xf numFmtId="3" fontId="8" fillId="0" borderId="14" xfId="0" applyNumberFormat="1" applyFont="1" applyBorder="1"/>
    <xf numFmtId="168" fontId="0" fillId="0" borderId="14" xfId="0" applyNumberFormat="1" applyFont="1" applyBorder="1"/>
    <xf numFmtId="3" fontId="0" fillId="0" borderId="14" xfId="0" applyNumberFormat="1" applyFont="1" applyBorder="1"/>
    <xf numFmtId="169" fontId="0" fillId="0" borderId="14" xfId="0" applyNumberFormat="1" applyFont="1" applyBorder="1"/>
    <xf numFmtId="169" fontId="0" fillId="0" borderId="19" xfId="0" applyNumberFormat="1" applyFont="1" applyBorder="1"/>
    <xf numFmtId="0" fontId="2" fillId="6" borderId="1" xfId="0" applyFont="1" applyFill="1" applyBorder="1"/>
    <xf numFmtId="0" fontId="16" fillId="0" borderId="18" xfId="0" applyFont="1" applyBorder="1"/>
    <xf numFmtId="0" fontId="22" fillId="0" borderId="14" xfId="3" applyFont="1" applyBorder="1"/>
    <xf numFmtId="0" fontId="2" fillId="7" borderId="20" xfId="0" applyFont="1" applyFill="1" applyBorder="1"/>
    <xf numFmtId="170" fontId="2" fillId="7" borderId="21" xfId="0" applyNumberFormat="1" applyFont="1" applyFill="1" applyBorder="1"/>
    <xf numFmtId="10" fontId="2" fillId="7" borderId="21" xfId="2" applyNumberFormat="1" applyFont="1" applyFill="1" applyBorder="1"/>
    <xf numFmtId="0" fontId="2" fillId="6" borderId="24" xfId="0" applyFont="1" applyFill="1" applyBorder="1" applyAlignment="1">
      <alignment horizontal="center"/>
    </xf>
    <xf numFmtId="14" fontId="9" fillId="0" borderId="23" xfId="0" applyNumberFormat="1" applyFont="1" applyBorder="1"/>
    <xf numFmtId="44" fontId="9" fillId="0" borderId="23" xfId="1" applyFont="1" applyBorder="1"/>
    <xf numFmtId="14" fontId="9" fillId="0" borderId="25" xfId="0" applyNumberFormat="1" applyFont="1" applyBorder="1"/>
    <xf numFmtId="44" fontId="9" fillId="0" borderId="25" xfId="1" applyFont="1" applyBorder="1"/>
    <xf numFmtId="0" fontId="20" fillId="0" borderId="14" xfId="3" applyFont="1" applyBorder="1"/>
    <xf numFmtId="0" fontId="0" fillId="0" borderId="19" xfId="0" applyBorder="1"/>
    <xf numFmtId="0" fontId="0" fillId="0" borderId="22" xfId="0" applyBorder="1"/>
    <xf numFmtId="0" fontId="2" fillId="8" borderId="20" xfId="0" applyFont="1" applyFill="1" applyBorder="1"/>
    <xf numFmtId="2" fontId="2" fillId="8" borderId="21" xfId="0" applyNumberFormat="1" applyFont="1" applyFill="1" applyBorder="1"/>
    <xf numFmtId="9" fontId="0" fillId="0" borderId="27" xfId="2" applyFont="1" applyBorder="1"/>
    <xf numFmtId="44" fontId="9" fillId="0" borderId="22" xfId="1" applyFont="1" applyBorder="1"/>
    <xf numFmtId="44" fontId="9" fillId="0" borderId="27" xfId="1" applyFont="1" applyBorder="1"/>
    <xf numFmtId="17" fontId="9" fillId="0" borderId="22" xfId="0" applyNumberFormat="1" applyFont="1" applyBorder="1"/>
    <xf numFmtId="17" fontId="9" fillId="0" borderId="27" xfId="0" applyNumberFormat="1" applyFont="1" applyBorder="1"/>
    <xf numFmtId="0" fontId="0" fillId="0" borderId="0" xfId="0" applyFill="1" applyBorder="1" applyAlignment="1"/>
    <xf numFmtId="0" fontId="0" fillId="0" borderId="28" xfId="0" applyFill="1" applyBorder="1" applyAlignment="1"/>
    <xf numFmtId="0" fontId="3" fillId="0" borderId="29" xfId="0" applyFont="1" applyFill="1" applyBorder="1" applyAlignment="1">
      <alignment horizontal="center"/>
    </xf>
    <xf numFmtId="0" fontId="3" fillId="0" borderId="29" xfId="0" applyFont="1" applyFill="1" applyBorder="1" applyAlignment="1">
      <alignment horizontal="centerContinuous"/>
    </xf>
    <xf numFmtId="0" fontId="0" fillId="0" borderId="30" xfId="0" applyBorder="1"/>
    <xf numFmtId="0" fontId="0" fillId="0" borderId="2" xfId="0" applyBorder="1"/>
    <xf numFmtId="0" fontId="0" fillId="0" borderId="31" xfId="0" applyBorder="1"/>
    <xf numFmtId="0" fontId="0" fillId="0" borderId="32" xfId="0" applyBorder="1"/>
    <xf numFmtId="0" fontId="3" fillId="0" borderId="33" xfId="0" applyFont="1" applyFill="1" applyBorder="1" applyAlignment="1">
      <alignment horizontal="centerContinuous"/>
    </xf>
    <xf numFmtId="0" fontId="0" fillId="0" borderId="32" xfId="0" applyFill="1" applyBorder="1" applyAlignment="1"/>
    <xf numFmtId="0" fontId="0" fillId="0" borderId="34" xfId="0" applyFill="1" applyBorder="1" applyAlignment="1"/>
    <xf numFmtId="0" fontId="3" fillId="0" borderId="33" xfId="0" applyFont="1" applyFill="1" applyBorder="1" applyAlignment="1">
      <alignment horizontal="center"/>
    </xf>
    <xf numFmtId="0" fontId="3" fillId="0" borderId="35" xfId="0" applyFont="1" applyFill="1" applyBorder="1" applyAlignment="1">
      <alignment horizontal="center"/>
    </xf>
    <xf numFmtId="0" fontId="0" fillId="0" borderId="6" xfId="0" applyFill="1" applyBorder="1" applyAlignment="1"/>
    <xf numFmtId="0" fontId="0" fillId="0" borderId="36" xfId="0" applyFill="1" applyBorder="1" applyAlignment="1"/>
    <xf numFmtId="0" fontId="0" fillId="0" borderId="1" xfId="0" applyFill="1" applyBorder="1" applyAlignment="1"/>
    <xf numFmtId="0" fontId="0" fillId="0" borderId="37" xfId="0" applyFill="1" applyBorder="1" applyAlignment="1"/>
    <xf numFmtId="0" fontId="23" fillId="4" borderId="0" xfId="0" applyFont="1" applyFill="1" applyAlignment="1">
      <alignment horizontal="left"/>
    </xf>
    <xf numFmtId="0" fontId="3" fillId="7" borderId="0" xfId="0" applyFont="1" applyFill="1" applyBorder="1" applyAlignment="1">
      <alignment horizontal="center"/>
    </xf>
    <xf numFmtId="0" fontId="3" fillId="7" borderId="1" xfId="0" applyFont="1" applyFill="1" applyBorder="1" applyAlignment="1">
      <alignment horizontal="center"/>
    </xf>
    <xf numFmtId="44" fontId="0" fillId="0" borderId="31" xfId="0" applyNumberFormat="1" applyBorder="1"/>
    <xf numFmtId="44" fontId="0" fillId="0" borderId="6" xfId="0" applyNumberFormat="1" applyBorder="1"/>
    <xf numFmtId="0" fontId="2" fillId="0" borderId="18" xfId="0" applyFont="1" applyBorder="1"/>
    <xf numFmtId="44" fontId="2" fillId="0" borderId="19" xfId="0" applyNumberFormat="1" applyFont="1" applyBorder="1"/>
    <xf numFmtId="10" fontId="0" fillId="0" borderId="6" xfId="0" applyNumberFormat="1" applyBorder="1"/>
    <xf numFmtId="10" fontId="0" fillId="0" borderId="6" xfId="2" applyNumberFormat="1" applyFont="1" applyBorder="1"/>
    <xf numFmtId="2" fontId="0" fillId="0" borderId="6" xfId="0" applyNumberFormat="1" applyBorder="1"/>
    <xf numFmtId="10" fontId="2" fillId="0" borderId="19" xfId="2" applyNumberFormat="1" applyFont="1" applyBorder="1"/>
    <xf numFmtId="10" fontId="2" fillId="0" borderId="19" xfId="0" applyNumberFormat="1" applyFont="1" applyBorder="1"/>
    <xf numFmtId="0" fontId="0" fillId="6" borderId="2" xfId="0" applyFill="1" applyBorder="1"/>
    <xf numFmtId="0" fontId="0" fillId="6" borderId="1" xfId="0" applyFill="1" applyBorder="1"/>
    <xf numFmtId="0" fontId="0" fillId="7" borderId="38" xfId="0" applyFont="1" applyFill="1" applyBorder="1"/>
    <xf numFmtId="0" fontId="0" fillId="7" borderId="40" xfId="0" applyFont="1" applyFill="1" applyBorder="1"/>
    <xf numFmtId="166" fontId="1" fillId="7" borderId="41" xfId="2" applyNumberFormat="1" applyFont="1" applyFill="1" applyBorder="1"/>
    <xf numFmtId="0" fontId="0" fillId="4" borderId="42" xfId="0" applyFont="1" applyFill="1" applyBorder="1" applyAlignment="1">
      <alignment horizontal="left"/>
    </xf>
    <xf numFmtId="0" fontId="0" fillId="4" borderId="44" xfId="0" applyFont="1" applyFill="1" applyBorder="1" applyAlignment="1">
      <alignment horizontal="left"/>
    </xf>
    <xf numFmtId="165" fontId="0" fillId="4" borderId="45" xfId="1" applyNumberFormat="1" applyFont="1" applyFill="1" applyBorder="1" applyAlignment="1">
      <alignment horizontal="right"/>
    </xf>
    <xf numFmtId="0" fontId="0" fillId="4" borderId="32" xfId="0" applyFill="1" applyBorder="1"/>
    <xf numFmtId="0" fontId="0" fillId="4" borderId="6" xfId="0" applyFill="1" applyBorder="1"/>
    <xf numFmtId="0" fontId="0" fillId="4" borderId="48" xfId="0" applyFill="1" applyBorder="1"/>
    <xf numFmtId="165" fontId="0" fillId="4" borderId="49" xfId="1" applyNumberFormat="1" applyFont="1" applyFill="1" applyBorder="1"/>
    <xf numFmtId="0" fontId="0" fillId="4" borderId="50" xfId="0" applyFill="1" applyBorder="1"/>
    <xf numFmtId="165" fontId="0" fillId="4" borderId="51" xfId="1" applyNumberFormat="1" applyFont="1" applyFill="1" applyBorder="1"/>
    <xf numFmtId="0" fontId="2" fillId="4" borderId="52" xfId="0" applyFont="1" applyFill="1" applyBorder="1"/>
    <xf numFmtId="165" fontId="2" fillId="4" borderId="53" xfId="1" applyNumberFormat="1" applyFont="1" applyFill="1" applyBorder="1"/>
    <xf numFmtId="0" fontId="0" fillId="4" borderId="54" xfId="0" applyFill="1" applyBorder="1"/>
    <xf numFmtId="1" fontId="0" fillId="4" borderId="55" xfId="0" applyNumberFormat="1" applyFill="1" applyBorder="1"/>
    <xf numFmtId="171" fontId="0" fillId="0" borderId="14" xfId="0" applyNumberFormat="1" applyFont="1" applyBorder="1"/>
    <xf numFmtId="166" fontId="0" fillId="0" borderId="6" xfId="2" applyNumberFormat="1" applyFont="1" applyBorder="1"/>
    <xf numFmtId="3" fontId="0" fillId="0" borderId="6" xfId="0" applyNumberFormat="1" applyBorder="1"/>
    <xf numFmtId="0" fontId="0" fillId="0" borderId="36" xfId="0" applyBorder="1"/>
    <xf numFmtId="0" fontId="2" fillId="4" borderId="0"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36" xfId="0" applyFont="1" applyFill="1" applyBorder="1"/>
    <xf numFmtId="0" fontId="2" fillId="4" borderId="37" xfId="0" applyFont="1" applyFill="1" applyBorder="1"/>
    <xf numFmtId="0" fontId="2" fillId="4" borderId="56" xfId="0" applyFont="1" applyFill="1" applyBorder="1"/>
    <xf numFmtId="0" fontId="2" fillId="4" borderId="60" xfId="0" applyFont="1" applyFill="1" applyBorder="1"/>
    <xf numFmtId="0" fontId="2" fillId="4" borderId="63" xfId="0" applyFont="1" applyFill="1" applyBorder="1"/>
    <xf numFmtId="0" fontId="2" fillId="4" borderId="75" xfId="0" applyFont="1" applyFill="1" applyBorder="1"/>
    <xf numFmtId="0" fontId="2" fillId="4" borderId="76" xfId="0" applyFont="1" applyFill="1" applyBorder="1"/>
    <xf numFmtId="0" fontId="12" fillId="4" borderId="75" xfId="0" applyFont="1" applyFill="1" applyBorder="1"/>
    <xf numFmtId="0" fontId="12" fillId="4" borderId="76" xfId="0" applyFont="1" applyFill="1" applyBorder="1"/>
    <xf numFmtId="0" fontId="18" fillId="0" borderId="77" xfId="0" applyFont="1" applyBorder="1"/>
    <xf numFmtId="0" fontId="18" fillId="4" borderId="78" xfId="0" applyFont="1" applyFill="1" applyBorder="1"/>
    <xf numFmtId="0" fontId="11" fillId="4" borderId="75" xfId="0" applyFont="1" applyFill="1" applyBorder="1"/>
    <xf numFmtId="0" fontId="11" fillId="4" borderId="76" xfId="0" applyFont="1" applyFill="1" applyBorder="1"/>
    <xf numFmtId="7" fontId="0" fillId="0" borderId="6" xfId="1" applyNumberFormat="1" applyFont="1" applyBorder="1"/>
    <xf numFmtId="7" fontId="0" fillId="0" borderId="37" xfId="1" applyNumberFormat="1" applyFont="1" applyBorder="1"/>
    <xf numFmtId="14" fontId="9" fillId="0" borderId="6" xfId="0" applyNumberFormat="1" applyFont="1" applyBorder="1"/>
    <xf numFmtId="10" fontId="9" fillId="0" borderId="6" xfId="0" applyNumberFormat="1" applyFont="1" applyBorder="1"/>
    <xf numFmtId="9" fontId="9" fillId="0" borderId="6" xfId="0" applyNumberFormat="1" applyFont="1" applyBorder="1"/>
    <xf numFmtId="0" fontId="2" fillId="4" borderId="0" xfId="0" applyFont="1" applyFill="1" applyBorder="1" applyAlignment="1">
      <alignment horizontal="center" vertical="center"/>
    </xf>
    <xf numFmtId="0" fontId="3" fillId="0" borderId="0" xfId="0" applyFont="1" applyBorder="1"/>
    <xf numFmtId="166" fontId="3" fillId="0" borderId="0" xfId="2" applyNumberFormat="1" applyFont="1" applyBorder="1"/>
    <xf numFmtId="166" fontId="3" fillId="0" borderId="0" xfId="0" applyNumberFormat="1" applyFont="1" applyBorder="1"/>
    <xf numFmtId="167" fontId="0" fillId="0" borderId="0" xfId="2" applyNumberFormat="1" applyFont="1"/>
    <xf numFmtId="44" fontId="2" fillId="0" borderId="11" xfId="0" applyNumberFormat="1" applyFont="1" applyBorder="1"/>
    <xf numFmtId="9" fontId="0" fillId="0" borderId="6" xfId="0" applyNumberFormat="1" applyBorder="1"/>
    <xf numFmtId="0" fontId="0" fillId="6" borderId="0" xfId="0" applyFill="1"/>
    <xf numFmtId="0" fontId="26" fillId="0" borderId="79" xfId="0" applyFont="1" applyBorder="1" applyAlignment="1"/>
    <xf numFmtId="0" fontId="16" fillId="6" borderId="1" xfId="0" applyFont="1" applyFill="1" applyBorder="1"/>
    <xf numFmtId="0" fontId="2" fillId="6" borderId="1" xfId="0" applyFont="1" applyFill="1" applyBorder="1" applyAlignment="1"/>
    <xf numFmtId="0" fontId="2" fillId="6" borderId="18" xfId="0" applyFont="1" applyFill="1" applyBorder="1"/>
    <xf numFmtId="10" fontId="2" fillId="6" borderId="19" xfId="2" applyNumberFormat="1" applyFont="1" applyFill="1" applyBorder="1"/>
    <xf numFmtId="10" fontId="1" fillId="7" borderId="39" xfId="2" applyNumberFormat="1" applyFont="1" applyFill="1" applyBorder="1"/>
    <xf numFmtId="10" fontId="5" fillId="0" borderId="81" xfId="0" applyNumberFormat="1" applyFont="1" applyBorder="1"/>
    <xf numFmtId="10" fontId="5" fillId="0" borderId="81" xfId="2" applyNumberFormat="1" applyFont="1" applyBorder="1"/>
    <xf numFmtId="10" fontId="5" fillId="0" borderId="80" xfId="0" applyNumberFormat="1" applyFont="1" applyBorder="1"/>
    <xf numFmtId="0" fontId="5" fillId="4" borderId="52" xfId="0" applyFont="1" applyFill="1" applyBorder="1"/>
    <xf numFmtId="8" fontId="5" fillId="4" borderId="53" xfId="0" applyNumberFormat="1" applyFont="1" applyFill="1" applyBorder="1"/>
    <xf numFmtId="10" fontId="0" fillId="4" borderId="43" xfId="0" applyNumberFormat="1" applyFont="1" applyFill="1" applyBorder="1" applyAlignment="1">
      <alignment horizontal="right"/>
    </xf>
    <xf numFmtId="0" fontId="0" fillId="4" borderId="46" xfId="0" applyFont="1" applyFill="1" applyBorder="1" applyAlignment="1">
      <alignment horizontal="left"/>
    </xf>
    <xf numFmtId="165" fontId="0" fillId="4" borderId="47" xfId="1" applyNumberFormat="1" applyFont="1" applyFill="1" applyBorder="1"/>
    <xf numFmtId="0" fontId="2" fillId="0" borderId="30" xfId="0" applyFont="1" applyBorder="1"/>
    <xf numFmtId="0" fontId="5" fillId="9" borderId="89" xfId="0" applyFont="1" applyFill="1" applyBorder="1"/>
    <xf numFmtId="0" fontId="5" fillId="9" borderId="90" xfId="0" applyFont="1" applyFill="1" applyBorder="1" applyAlignment="1">
      <alignment horizontal="right"/>
    </xf>
    <xf numFmtId="166" fontId="0" fillId="0" borderId="0" xfId="0" applyNumberFormat="1"/>
    <xf numFmtId="164" fontId="5" fillId="4" borderId="2" xfId="0" applyNumberFormat="1" applyFont="1" applyFill="1" applyBorder="1" applyAlignment="1">
      <alignment horizontal="center"/>
    </xf>
    <xf numFmtId="164" fontId="5" fillId="4" borderId="93" xfId="0" applyNumberFormat="1" applyFont="1" applyFill="1" applyBorder="1" applyAlignment="1">
      <alignment horizontal="center"/>
    </xf>
    <xf numFmtId="164" fontId="5" fillId="6" borderId="2" xfId="0" applyNumberFormat="1" applyFont="1" applyFill="1" applyBorder="1" applyAlignment="1">
      <alignment horizontal="center"/>
    </xf>
    <xf numFmtId="164" fontId="5" fillId="6" borderId="31" xfId="0" applyNumberFormat="1" applyFont="1" applyFill="1" applyBorder="1" applyAlignment="1">
      <alignment horizontal="center"/>
    </xf>
    <xf numFmtId="164" fontId="5" fillId="6" borderId="37" xfId="0" applyNumberFormat="1" applyFont="1" applyFill="1" applyBorder="1" applyAlignment="1">
      <alignment horizontal="center"/>
    </xf>
    <xf numFmtId="0" fontId="2" fillId="6" borderId="0" xfId="0" applyFont="1" applyFill="1" applyBorder="1" applyAlignment="1">
      <alignment horizontal="left" vertical="center"/>
    </xf>
    <xf numFmtId="0" fontId="2" fillId="6" borderId="0" xfId="0" applyFont="1" applyFill="1"/>
    <xf numFmtId="0" fontId="0" fillId="6" borderId="0" xfId="0" applyFont="1" applyFill="1"/>
    <xf numFmtId="0" fontId="0" fillId="6" borderId="14" xfId="0" applyFill="1" applyBorder="1"/>
    <xf numFmtId="0" fontId="0" fillId="6" borderId="19" xfId="0" applyFill="1" applyBorder="1"/>
    <xf numFmtId="0" fontId="9" fillId="0" borderId="4" xfId="0" applyFont="1" applyBorder="1"/>
    <xf numFmtId="44" fontId="9" fillId="0" borderId="4" xfId="1" applyNumberFormat="1" applyFont="1" applyBorder="1"/>
    <xf numFmtId="165" fontId="9" fillId="0" borderId="4" xfId="1" applyNumberFormat="1" applyFont="1" applyBorder="1"/>
    <xf numFmtId="2" fontId="9" fillId="0" borderId="4" xfId="1" applyNumberFormat="1" applyFont="1" applyBorder="1"/>
    <xf numFmtId="44" fontId="9" fillId="0" borderId="4" xfId="1" applyFont="1" applyBorder="1"/>
    <xf numFmtId="0" fontId="9" fillId="0" borderId="0" xfId="0" applyFont="1"/>
    <xf numFmtId="0" fontId="11" fillId="0" borderId="18" xfId="0" applyFont="1" applyBorder="1"/>
    <xf numFmtId="44" fontId="11" fillId="0" borderId="14" xfId="1" applyFont="1" applyBorder="1"/>
    <xf numFmtId="0" fontId="11" fillId="0" borderId="14" xfId="0" applyFont="1" applyBorder="1"/>
    <xf numFmtId="2" fontId="11" fillId="0" borderId="14" xfId="0" applyNumberFormat="1" applyFont="1" applyBorder="1"/>
    <xf numFmtId="44" fontId="11" fillId="0" borderId="19" xfId="1" applyFont="1" applyBorder="1"/>
    <xf numFmtId="171" fontId="5" fillId="9" borderId="83" xfId="0" applyNumberFormat="1" applyFont="1" applyFill="1" applyBorder="1"/>
    <xf numFmtId="171" fontId="5" fillId="9" borderId="84" xfId="0" applyNumberFormat="1" applyFont="1" applyFill="1" applyBorder="1"/>
    <xf numFmtId="171" fontId="5" fillId="9" borderId="85" xfId="0" applyNumberFormat="1" applyFont="1" applyFill="1" applyBorder="1"/>
    <xf numFmtId="171" fontId="5" fillId="9" borderId="86" xfId="0" applyNumberFormat="1" applyFont="1" applyFill="1" applyBorder="1"/>
    <xf numFmtId="171" fontId="5" fillId="9" borderId="87" xfId="0" applyNumberFormat="1" applyFont="1" applyFill="1" applyBorder="1"/>
    <xf numFmtId="171" fontId="5" fillId="9" borderId="88" xfId="0" applyNumberFormat="1" applyFont="1" applyFill="1" applyBorder="1"/>
    <xf numFmtId="171" fontId="5" fillId="9" borderId="7" xfId="0" applyNumberFormat="1" applyFont="1" applyFill="1" applyBorder="1"/>
    <xf numFmtId="171" fontId="5" fillId="9" borderId="5" xfId="0" applyNumberFormat="1" applyFont="1" applyFill="1" applyBorder="1"/>
    <xf numFmtId="171" fontId="5" fillId="11" borderId="82" xfId="0" applyNumberFormat="1" applyFont="1" applyFill="1" applyBorder="1"/>
    <xf numFmtId="0" fontId="23" fillId="7" borderId="81" xfId="0" applyFont="1" applyFill="1" applyBorder="1" applyAlignment="1">
      <alignment horizontal="center" vertical="center"/>
    </xf>
    <xf numFmtId="0" fontId="23" fillId="7" borderId="81" xfId="0" applyFont="1" applyFill="1" applyBorder="1" applyAlignment="1">
      <alignment horizontal="center"/>
    </xf>
    <xf numFmtId="0" fontId="23" fillId="7" borderId="4" xfId="0" applyFont="1" applyFill="1" applyBorder="1" applyAlignment="1">
      <alignment horizontal="center" vertical="center"/>
    </xf>
    <xf numFmtId="0" fontId="23" fillId="7" borderId="4" xfId="0" applyFont="1" applyFill="1" applyBorder="1" applyAlignment="1">
      <alignment horizontal="center"/>
    </xf>
    <xf numFmtId="14" fontId="27" fillId="7" borderId="4" xfId="0" applyNumberFormat="1" applyFont="1" applyFill="1" applyBorder="1" applyAlignment="1">
      <alignment horizontal="center"/>
    </xf>
    <xf numFmtId="14" fontId="23" fillId="7" borderId="4" xfId="0" applyNumberFormat="1" applyFont="1" applyFill="1" applyBorder="1" applyAlignment="1">
      <alignment horizontal="center"/>
    </xf>
    <xf numFmtId="0" fontId="23" fillId="7" borderId="94" xfId="0" applyFont="1" applyFill="1" applyBorder="1" applyAlignment="1">
      <alignment horizontal="center" vertical="center"/>
    </xf>
    <xf numFmtId="0" fontId="23" fillId="7" borderId="94" xfId="0" applyFont="1" applyFill="1" applyBorder="1" applyAlignment="1">
      <alignment horizontal="center"/>
    </xf>
    <xf numFmtId="2" fontId="23" fillId="7" borderId="94" xfId="0" applyNumberFormat="1" applyFont="1" applyFill="1" applyBorder="1" applyAlignment="1">
      <alignment horizontal="center"/>
    </xf>
    <xf numFmtId="10" fontId="2" fillId="0" borderId="0" xfId="2" applyNumberFormat="1" applyFont="1"/>
    <xf numFmtId="10" fontId="2" fillId="0" borderId="2" xfId="2" applyNumberFormat="1" applyFont="1" applyBorder="1"/>
    <xf numFmtId="0" fontId="0" fillId="11" borderId="0" xfId="0" applyFill="1"/>
    <xf numFmtId="0" fontId="0" fillId="7" borderId="82" xfId="0" applyFont="1" applyFill="1" applyBorder="1" applyAlignment="1">
      <alignment horizontal="center"/>
    </xf>
    <xf numFmtId="0" fontId="28" fillId="4" borderId="0" xfId="0" applyFont="1" applyFill="1" applyBorder="1" applyAlignment="1">
      <alignment vertical="center"/>
    </xf>
    <xf numFmtId="0" fontId="28" fillId="4" borderId="0" xfId="0" applyFont="1" applyFill="1" applyBorder="1" applyAlignment="1">
      <alignment vertical="center" wrapText="1"/>
    </xf>
    <xf numFmtId="2" fontId="5" fillId="3" borderId="13" xfId="0" applyNumberFormat="1" applyFont="1" applyFill="1" applyBorder="1" applyAlignment="1">
      <alignment horizontal="center"/>
    </xf>
    <xf numFmtId="0" fontId="0" fillId="7" borderId="82" xfId="0" applyFont="1" applyFill="1" applyBorder="1" applyAlignment="1">
      <alignment horizontal="center" vertical="center"/>
    </xf>
    <xf numFmtId="0" fontId="0" fillId="7" borderId="82" xfId="0" applyFont="1" applyFill="1" applyBorder="1" applyAlignment="1"/>
    <xf numFmtId="0" fontId="30" fillId="6" borderId="0" xfId="0" applyFont="1" applyFill="1"/>
    <xf numFmtId="0" fontId="30" fillId="6" borderId="0" xfId="0" applyFont="1" applyFill="1" applyAlignment="1">
      <alignment horizontal="left"/>
    </xf>
    <xf numFmtId="0" fontId="31" fillId="6" borderId="0" xfId="0" applyFont="1" applyFill="1" applyAlignment="1">
      <alignment horizontal="left" indent="4"/>
    </xf>
    <xf numFmtId="0" fontId="32" fillId="6" borderId="0" xfId="0" applyFont="1" applyFill="1"/>
    <xf numFmtId="9" fontId="2" fillId="6" borderId="19" xfId="2" applyFont="1" applyFill="1" applyBorder="1"/>
    <xf numFmtId="0" fontId="0" fillId="6" borderId="30" xfId="0" applyFill="1" applyBorder="1"/>
    <xf numFmtId="8" fontId="6" fillId="0" borderId="0" xfId="0" applyNumberFormat="1" applyFont="1" applyBorder="1"/>
    <xf numFmtId="10" fontId="5" fillId="0" borderId="74" xfId="0" applyNumberFormat="1" applyFont="1" applyBorder="1"/>
    <xf numFmtId="171" fontId="3" fillId="10" borderId="0" xfId="0" applyNumberFormat="1" applyFont="1" applyFill="1" applyBorder="1"/>
    <xf numFmtId="171" fontId="3" fillId="10" borderId="6" xfId="0" applyNumberFormat="1" applyFont="1" applyFill="1" applyBorder="1"/>
    <xf numFmtId="10" fontId="5" fillId="0" borderId="108" xfId="0" applyNumberFormat="1" applyFont="1" applyBorder="1"/>
    <xf numFmtId="171" fontId="3" fillId="10" borderId="1" xfId="0" applyNumberFormat="1" applyFont="1" applyFill="1" applyBorder="1"/>
    <xf numFmtId="171" fontId="3" fillId="10" borderId="37" xfId="0" applyNumberFormat="1" applyFont="1" applyFill="1" applyBorder="1"/>
    <xf numFmtId="0" fontId="2" fillId="7" borderId="30" xfId="0" applyFont="1" applyFill="1" applyBorder="1" applyAlignment="1">
      <alignment horizontal="left"/>
    </xf>
    <xf numFmtId="0" fontId="0" fillId="7" borderId="2" xfId="0" applyFill="1" applyBorder="1"/>
    <xf numFmtId="44" fontId="2" fillId="7" borderId="2" xfId="0" applyNumberFormat="1" applyFont="1" applyFill="1" applyBorder="1"/>
    <xf numFmtId="44" fontId="2" fillId="7" borderId="31" xfId="0" applyNumberFormat="1" applyFont="1" applyFill="1" applyBorder="1"/>
    <xf numFmtId="0" fontId="2" fillId="7" borderId="32" xfId="0" applyFont="1" applyFill="1" applyBorder="1"/>
    <xf numFmtId="0" fontId="0" fillId="7" borderId="0" xfId="0" applyFill="1" applyBorder="1"/>
    <xf numFmtId="0" fontId="2" fillId="7" borderId="0" xfId="0" applyFont="1" applyFill="1" applyBorder="1"/>
    <xf numFmtId="0" fontId="0" fillId="7" borderId="6" xfId="0" applyFill="1" applyBorder="1"/>
    <xf numFmtId="0" fontId="2" fillId="7" borderId="36" xfId="0" applyFont="1" applyFill="1" applyBorder="1"/>
    <xf numFmtId="0" fontId="0" fillId="7" borderId="1" xfId="0" applyFill="1" applyBorder="1"/>
    <xf numFmtId="44" fontId="2" fillId="7" borderId="1" xfId="0" applyNumberFormat="1" applyFont="1" applyFill="1" applyBorder="1"/>
    <xf numFmtId="44" fontId="2" fillId="7" borderId="37" xfId="0" applyNumberFormat="1" applyFont="1" applyFill="1" applyBorder="1"/>
    <xf numFmtId="1" fontId="0" fillId="6" borderId="0" xfId="0" applyNumberFormat="1" applyFill="1"/>
    <xf numFmtId="0" fontId="2" fillId="4" borderId="18" xfId="0" applyFont="1" applyFill="1" applyBorder="1" applyAlignment="1">
      <alignment horizontal="left"/>
    </xf>
    <xf numFmtId="165" fontId="2" fillId="4" borderId="19" xfId="1" applyNumberFormat="1" applyFont="1" applyFill="1" applyBorder="1"/>
    <xf numFmtId="8" fontId="6" fillId="0" borderId="0" xfId="0" quotePrefix="1" applyNumberFormat="1" applyFont="1" applyBorder="1"/>
    <xf numFmtId="166" fontId="5" fillId="0" borderId="80" xfId="0" applyNumberFormat="1" applyFont="1" applyBorder="1"/>
    <xf numFmtId="166" fontId="5" fillId="0" borderId="108" xfId="0" applyNumberFormat="1" applyFont="1" applyBorder="1"/>
    <xf numFmtId="0" fontId="0" fillId="7" borderId="82" xfId="0" applyFont="1" applyFill="1" applyBorder="1" applyAlignment="1">
      <alignment horizontal="center" vertical="center" wrapText="1"/>
    </xf>
    <xf numFmtId="0" fontId="0" fillId="7" borderId="104" xfId="0" applyFont="1" applyFill="1" applyBorder="1" applyAlignment="1">
      <alignment horizontal="center" vertical="center" wrapText="1"/>
    </xf>
    <xf numFmtId="0" fontId="0" fillId="7" borderId="84" xfId="0" applyFont="1" applyFill="1" applyBorder="1" applyAlignment="1">
      <alignment horizontal="center" vertical="center" wrapText="1"/>
    </xf>
    <xf numFmtId="0" fontId="0" fillId="7" borderId="85" xfId="0" applyFont="1" applyFill="1" applyBorder="1" applyAlignment="1">
      <alignment horizontal="center" vertical="center" wrapText="1"/>
    </xf>
    <xf numFmtId="0" fontId="0" fillId="7" borderId="98" xfId="0" applyFont="1" applyFill="1" applyBorder="1" applyAlignment="1">
      <alignment horizontal="center" vertical="center" wrapText="1"/>
    </xf>
    <xf numFmtId="0" fontId="0" fillId="7" borderId="0" xfId="0" applyFont="1" applyFill="1" applyBorder="1" applyAlignment="1">
      <alignment horizontal="center" vertical="center" wrapText="1"/>
    </xf>
    <xf numFmtId="0" fontId="0" fillId="7" borderId="87" xfId="0" applyFont="1" applyFill="1" applyBorder="1" applyAlignment="1">
      <alignment horizontal="center" vertical="center" wrapText="1"/>
    </xf>
    <xf numFmtId="0" fontId="0" fillId="7" borderId="105" xfId="0" applyFont="1" applyFill="1" applyBorder="1" applyAlignment="1">
      <alignment horizontal="center" vertical="center" wrapText="1"/>
    </xf>
    <xf numFmtId="0" fontId="0" fillId="7" borderId="7" xfId="0" applyFont="1" applyFill="1" applyBorder="1" applyAlignment="1">
      <alignment horizontal="center" vertical="center" wrapText="1"/>
    </xf>
    <xf numFmtId="0" fontId="0" fillId="7" borderId="5" xfId="0" applyFont="1" applyFill="1" applyBorder="1" applyAlignment="1">
      <alignment horizontal="center" vertical="center" wrapText="1"/>
    </xf>
    <xf numFmtId="0" fontId="0" fillId="7" borderId="82" xfId="0" applyFill="1" applyBorder="1" applyAlignment="1">
      <alignment horizontal="center"/>
    </xf>
    <xf numFmtId="0" fontId="0" fillId="7" borderId="96" xfId="0" applyFont="1" applyFill="1" applyBorder="1" applyAlignment="1">
      <alignment horizontal="center" vertical="center" wrapText="1"/>
    </xf>
    <xf numFmtId="0" fontId="0" fillId="7" borderId="97" xfId="0" applyFont="1" applyFill="1" applyBorder="1" applyAlignment="1">
      <alignment horizontal="center" vertical="center" wrapText="1"/>
    </xf>
    <xf numFmtId="0" fontId="0" fillId="7" borderId="95" xfId="0" applyFont="1" applyFill="1" applyBorder="1" applyAlignment="1">
      <alignment horizontal="center" vertical="center" wrapText="1"/>
    </xf>
    <xf numFmtId="0" fontId="0" fillId="7" borderId="23" xfId="0" applyFont="1" applyFill="1" applyBorder="1" applyAlignment="1">
      <alignment horizontal="center"/>
    </xf>
    <xf numFmtId="0" fontId="0" fillId="7" borderId="25" xfId="0" applyFont="1" applyFill="1" applyBorder="1" applyAlignment="1">
      <alignment horizontal="center"/>
    </xf>
    <xf numFmtId="0" fontId="0" fillId="7" borderId="103" xfId="0" applyFont="1" applyFill="1" applyBorder="1" applyAlignment="1">
      <alignment horizontal="center"/>
    </xf>
    <xf numFmtId="0" fontId="0" fillId="7" borderId="102" xfId="0" applyFont="1" applyFill="1" applyBorder="1" applyAlignment="1">
      <alignment horizontal="center"/>
    </xf>
    <xf numFmtId="0" fontId="0" fillId="7" borderId="100" xfId="0" applyFont="1" applyFill="1" applyBorder="1" applyAlignment="1">
      <alignment horizontal="center" vertical="center" wrapText="1"/>
    </xf>
    <xf numFmtId="0" fontId="0" fillId="7" borderId="82" xfId="0" applyFont="1" applyFill="1" applyBorder="1" applyAlignment="1">
      <alignment horizontal="center" vertical="top" wrapText="1"/>
    </xf>
    <xf numFmtId="0" fontId="28" fillId="4" borderId="0" xfId="0" applyFont="1" applyFill="1" applyBorder="1" applyAlignment="1">
      <alignment horizontal="center" vertical="center" wrapText="1"/>
    </xf>
    <xf numFmtId="0" fontId="0" fillId="7" borderId="100" xfId="0" applyFont="1" applyFill="1" applyBorder="1" applyAlignment="1">
      <alignment horizontal="center" vertical="center"/>
    </xf>
    <xf numFmtId="0" fontId="0" fillId="7" borderId="82" xfId="0" applyFont="1" applyFill="1" applyBorder="1" applyAlignment="1">
      <alignment horizontal="center" vertical="center"/>
    </xf>
    <xf numFmtId="0" fontId="0" fillId="7" borderId="96" xfId="0" applyFont="1" applyFill="1" applyBorder="1" applyAlignment="1">
      <alignment horizontal="center" vertical="center"/>
    </xf>
    <xf numFmtId="0" fontId="0" fillId="7" borderId="97" xfId="0" applyFont="1" applyFill="1" applyBorder="1" applyAlignment="1">
      <alignment horizontal="center" vertical="center"/>
    </xf>
    <xf numFmtId="0" fontId="0" fillId="7" borderId="95" xfId="0" applyFont="1" applyFill="1" applyBorder="1" applyAlignment="1">
      <alignment horizontal="center" vertical="center"/>
    </xf>
    <xf numFmtId="0" fontId="29" fillId="7" borderId="96" xfId="0" applyFont="1" applyFill="1" applyBorder="1" applyAlignment="1">
      <alignment horizontal="center" vertical="center" wrapText="1"/>
    </xf>
    <xf numFmtId="0" fontId="29" fillId="7" borderId="97" xfId="0" applyFont="1" applyFill="1" applyBorder="1" applyAlignment="1">
      <alignment horizontal="center" vertical="center" wrapText="1"/>
    </xf>
    <xf numFmtId="0" fontId="29" fillId="7" borderId="95" xfId="0" applyFont="1" applyFill="1" applyBorder="1" applyAlignment="1">
      <alignment horizontal="center" vertical="center" wrapText="1"/>
    </xf>
    <xf numFmtId="0" fontId="0" fillId="7" borderId="101" xfId="0" applyFont="1" applyFill="1" applyBorder="1" applyAlignment="1">
      <alignment horizontal="center" vertical="center"/>
    </xf>
    <xf numFmtId="0" fontId="0" fillId="7" borderId="101" xfId="0" applyFont="1" applyFill="1" applyBorder="1" applyAlignment="1">
      <alignment horizontal="center" vertical="center" wrapText="1"/>
    </xf>
    <xf numFmtId="0" fontId="0" fillId="7" borderId="99" xfId="0" applyFont="1" applyFill="1" applyBorder="1" applyAlignment="1">
      <alignment horizontal="center" vertical="center"/>
    </xf>
    <xf numFmtId="0" fontId="2" fillId="3" borderId="18" xfId="0" applyFont="1" applyFill="1" applyBorder="1" applyAlignment="1">
      <alignment horizontal="center"/>
    </xf>
    <xf numFmtId="0" fontId="2" fillId="3" borderId="19" xfId="0" applyFont="1" applyFill="1" applyBorder="1" applyAlignment="1">
      <alignment horizontal="center"/>
    </xf>
    <xf numFmtId="0" fontId="25" fillId="4" borderId="64" xfId="3" applyFont="1" applyFill="1" applyBorder="1" applyAlignment="1">
      <alignment horizontal="center"/>
    </xf>
    <xf numFmtId="0" fontId="9" fillId="4" borderId="64" xfId="0" applyFont="1" applyFill="1" applyBorder="1" applyAlignment="1">
      <alignment horizontal="center"/>
    </xf>
    <xf numFmtId="0" fontId="9" fillId="4" borderId="65" xfId="0" applyFont="1" applyFill="1" applyBorder="1" applyAlignment="1">
      <alignment horizontal="center"/>
    </xf>
    <xf numFmtId="0" fontId="2" fillId="4" borderId="66" xfId="0" applyFont="1" applyFill="1" applyBorder="1" applyAlignment="1">
      <alignment horizontal="center" vertical="center" wrapText="1"/>
    </xf>
    <xf numFmtId="0" fontId="2" fillId="4" borderId="69"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0" fillId="4" borderId="67" xfId="0" applyFont="1" applyFill="1" applyBorder="1" applyAlignment="1">
      <alignment horizontal="center" vertical="center" wrapText="1"/>
    </xf>
    <xf numFmtId="0" fontId="0" fillId="4" borderId="68" xfId="0" applyFont="1" applyFill="1" applyBorder="1" applyAlignment="1">
      <alignment horizontal="center" vertical="center" wrapText="1"/>
    </xf>
    <xf numFmtId="0" fontId="0" fillId="4" borderId="27" xfId="0" applyFont="1" applyFill="1" applyBorder="1" applyAlignment="1">
      <alignment horizontal="center" vertical="center" wrapText="1"/>
    </xf>
    <xf numFmtId="0" fontId="0" fillId="4" borderId="70" xfId="0" applyFont="1" applyFill="1" applyBorder="1" applyAlignment="1">
      <alignment horizontal="center" vertical="center" wrapText="1"/>
    </xf>
    <xf numFmtId="0" fontId="0" fillId="4" borderId="26" xfId="0" applyFont="1" applyFill="1" applyBorder="1" applyAlignment="1">
      <alignment horizontal="center" vertical="center" wrapText="1"/>
    </xf>
    <xf numFmtId="0" fontId="0" fillId="4" borderId="72" xfId="0" applyFont="1" applyFill="1" applyBorder="1" applyAlignment="1">
      <alignment horizontal="center" vertical="center" wrapText="1"/>
    </xf>
    <xf numFmtId="0" fontId="2" fillId="7" borderId="73" xfId="0" applyFont="1" applyFill="1" applyBorder="1" applyAlignment="1">
      <alignment horizontal="center"/>
    </xf>
    <xf numFmtId="0" fontId="2" fillId="7" borderId="74" xfId="0" applyFont="1" applyFill="1" applyBorder="1" applyAlignment="1">
      <alignment horizontal="center"/>
    </xf>
    <xf numFmtId="0" fontId="0" fillId="4" borderId="57" xfId="0" applyFont="1" applyFill="1" applyBorder="1" applyAlignment="1">
      <alignment horizontal="center" vertical="top" wrapText="1"/>
    </xf>
    <xf numFmtId="0" fontId="0" fillId="4" borderId="58" xfId="0" applyFont="1" applyFill="1" applyBorder="1" applyAlignment="1">
      <alignment horizontal="center" vertical="top"/>
    </xf>
    <xf numFmtId="0" fontId="0" fillId="4" borderId="59" xfId="0" applyFont="1" applyFill="1" applyBorder="1" applyAlignment="1">
      <alignment horizontal="center" vertical="top"/>
    </xf>
    <xf numFmtId="0" fontId="0" fillId="4" borderId="61" xfId="0" applyFill="1" applyBorder="1" applyAlignment="1">
      <alignment horizontal="center"/>
    </xf>
    <xf numFmtId="0" fontId="0" fillId="4" borderId="15" xfId="0" applyFill="1" applyBorder="1" applyAlignment="1">
      <alignment horizontal="center"/>
    </xf>
    <xf numFmtId="0" fontId="0" fillId="4" borderId="62" xfId="0" applyFill="1" applyBorder="1" applyAlignment="1">
      <alignment horizontal="center"/>
    </xf>
    <xf numFmtId="0" fontId="2" fillId="4" borderId="0"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91"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2" fillId="4" borderId="30" xfId="0" applyFont="1" applyFill="1" applyBorder="1" applyAlignment="1">
      <alignment horizontal="center" vertical="center"/>
    </xf>
    <xf numFmtId="0" fontId="2" fillId="4" borderId="36" xfId="0" applyFont="1" applyFill="1" applyBorder="1" applyAlignment="1">
      <alignment horizontal="center" vertical="center"/>
    </xf>
    <xf numFmtId="0" fontId="2" fillId="6" borderId="92" xfId="0" applyFont="1" applyFill="1" applyBorder="1" applyAlignment="1">
      <alignment horizontal="center" vertical="center"/>
    </xf>
    <xf numFmtId="0" fontId="2" fillId="6" borderId="30"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1" xfId="0" applyFont="1" applyFill="1" applyBorder="1" applyAlignment="1">
      <alignment horizontal="center" vertical="center"/>
    </xf>
    <xf numFmtId="0" fontId="2" fillId="6" borderId="36"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37" xfId="0" applyFont="1" applyFill="1" applyBorder="1" applyAlignment="1">
      <alignment horizontal="center" vertical="center"/>
    </xf>
    <xf numFmtId="0" fontId="2" fillId="6" borderId="1" xfId="0" applyFont="1" applyFill="1" applyBorder="1" applyAlignment="1">
      <alignment horizontal="center"/>
    </xf>
    <xf numFmtId="0" fontId="2" fillId="6" borderId="24" xfId="0" applyNumberFormat="1" applyFont="1" applyFill="1" applyBorder="1" applyAlignment="1">
      <alignment horizontal="center"/>
    </xf>
    <xf numFmtId="0" fontId="2" fillId="6" borderId="26" xfId="0" applyNumberFormat="1" applyFont="1" applyFill="1" applyBorder="1" applyAlignment="1">
      <alignment horizontal="center"/>
    </xf>
    <xf numFmtId="0" fontId="2" fillId="6" borderId="24" xfId="0" applyNumberFormat="1" applyFont="1" applyFill="1" applyBorder="1" applyAlignment="1">
      <alignment horizontal="left" wrapText="1"/>
    </xf>
    <xf numFmtId="0" fontId="2" fillId="6" borderId="26" xfId="0" applyNumberFormat="1" applyFont="1" applyFill="1" applyBorder="1" applyAlignment="1">
      <alignment horizontal="left" wrapText="1"/>
    </xf>
    <xf numFmtId="0" fontId="2" fillId="6" borderId="0" xfId="0" applyFont="1" applyFill="1" applyBorder="1" applyAlignment="1">
      <alignment horizontal="center"/>
    </xf>
    <xf numFmtId="0" fontId="2" fillId="6" borderId="14" xfId="0" applyFont="1" applyFill="1" applyBorder="1" applyAlignment="1">
      <alignment horizontal="center"/>
    </xf>
    <xf numFmtId="0" fontId="15" fillId="6" borderId="1" xfId="0" applyFont="1" applyFill="1" applyBorder="1" applyAlignment="1">
      <alignment horizontal="center"/>
    </xf>
    <xf numFmtId="0" fontId="2" fillId="6" borderId="106" xfId="0" applyFont="1" applyFill="1" applyBorder="1" applyAlignment="1">
      <alignment horizontal="center" vertical="center" textRotation="90" wrapText="1"/>
    </xf>
    <xf numFmtId="0" fontId="2" fillId="6" borderId="107" xfId="0" applyFont="1" applyFill="1" applyBorder="1" applyAlignment="1">
      <alignment horizontal="center" vertical="center" textRotation="90" wrapText="1"/>
    </xf>
    <xf numFmtId="0" fontId="2" fillId="6" borderId="19" xfId="0" applyFont="1" applyFill="1" applyBorder="1" applyAlignment="1">
      <alignment horizontal="center"/>
    </xf>
    <xf numFmtId="0" fontId="2" fillId="6" borderId="18" xfId="0" applyFont="1" applyFill="1" applyBorder="1" applyAlignment="1">
      <alignment horizontal="center"/>
    </xf>
    <xf numFmtId="0" fontId="3" fillId="7" borderId="0" xfId="0" applyFont="1" applyFill="1" applyBorder="1" applyAlignment="1">
      <alignment horizontal="center" vertical="center"/>
    </xf>
    <xf numFmtId="0" fontId="3" fillId="7" borderId="1" xfId="0" applyFont="1" applyFill="1" applyBorder="1" applyAlignment="1">
      <alignment horizontal="center" vertical="center"/>
    </xf>
    <xf numFmtId="0" fontId="24" fillId="6" borderId="30" xfId="0" applyFont="1" applyFill="1" applyBorder="1" applyAlignment="1">
      <alignment horizontal="center"/>
    </xf>
    <xf numFmtId="0" fontId="24" fillId="6" borderId="31" xfId="0" applyFont="1" applyFill="1" applyBorder="1" applyAlignment="1">
      <alignment horizontal="center"/>
    </xf>
    <xf numFmtId="0" fontId="24" fillId="6" borderId="18" xfId="0" applyFont="1" applyFill="1" applyBorder="1" applyAlignment="1">
      <alignment horizontal="center"/>
    </xf>
    <xf numFmtId="0" fontId="24" fillId="6" borderId="19" xfId="0" applyFont="1" applyFill="1" applyBorder="1" applyAlignment="1">
      <alignment horizontal="center"/>
    </xf>
    <xf numFmtId="10" fontId="10" fillId="0" borderId="4" xfId="2" applyNumberFormat="1" applyFont="1" applyBorder="1"/>
    <xf numFmtId="10" fontId="10" fillId="0" borderId="4" xfId="0" applyNumberFormat="1" applyFont="1" applyBorder="1"/>
    <xf numFmtId="44" fontId="2" fillId="0" borderId="0" xfId="0" applyNumberFormat="1" applyFont="1" applyBorder="1"/>
    <xf numFmtId="0" fontId="2" fillId="0" borderId="112" xfId="0" applyFont="1" applyBorder="1"/>
    <xf numFmtId="0" fontId="2" fillId="0" borderId="113" xfId="0" applyFont="1" applyBorder="1" applyAlignment="1">
      <alignment horizontal="center"/>
    </xf>
    <xf numFmtId="0" fontId="2" fillId="0" borderId="114" xfId="0" applyFont="1" applyBorder="1" applyAlignment="1">
      <alignment horizontal="center"/>
    </xf>
    <xf numFmtId="168" fontId="0" fillId="0" borderId="15" xfId="0" applyNumberFormat="1" applyFont="1" applyBorder="1"/>
    <xf numFmtId="0" fontId="2" fillId="5" borderId="14" xfId="0" applyFont="1" applyFill="1" applyBorder="1" applyAlignment="1">
      <alignment horizontal="center"/>
    </xf>
    <xf numFmtId="0" fontId="0" fillId="5" borderId="110" xfId="0" applyFill="1" applyBorder="1"/>
    <xf numFmtId="0" fontId="0" fillId="5" borderId="111" xfId="0" applyFill="1" applyBorder="1"/>
    <xf numFmtId="0" fontId="2" fillId="5" borderId="109" xfId="0" applyFont="1" applyFill="1" applyBorder="1"/>
    <xf numFmtId="0" fontId="0" fillId="0" borderId="115" xfId="0" applyFont="1" applyBorder="1"/>
    <xf numFmtId="0" fontId="0" fillId="0" borderId="16" xfId="0" applyFont="1" applyBorder="1"/>
    <xf numFmtId="168" fontId="0" fillId="0" borderId="16" xfId="0" applyNumberFormat="1" applyFont="1" applyBorder="1"/>
    <xf numFmtId="168" fontId="0" fillId="0" borderId="116" xfId="0" applyNumberFormat="1" applyFont="1" applyBorder="1"/>
    <xf numFmtId="0" fontId="0" fillId="0" borderId="60" xfId="0" applyFont="1" applyBorder="1"/>
    <xf numFmtId="0" fontId="0" fillId="0" borderId="15" xfId="0" applyFont="1" applyBorder="1"/>
    <xf numFmtId="168" fontId="0" fillId="0" borderId="62" xfId="0" applyNumberFormat="1" applyFont="1" applyBorder="1"/>
    <xf numFmtId="0" fontId="0" fillId="0" borderId="117" xfId="0" applyFont="1" applyBorder="1"/>
    <xf numFmtId="0" fontId="0" fillId="0" borderId="118" xfId="0" applyFont="1" applyBorder="1"/>
    <xf numFmtId="168" fontId="0" fillId="0" borderId="118" xfId="0" applyNumberFormat="1" applyFont="1" applyBorder="1"/>
    <xf numFmtId="168" fontId="0" fillId="0" borderId="119" xfId="0" applyNumberFormat="1" applyFont="1" applyBorder="1"/>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0000FF"/>
      <color rgb="FF3399FF"/>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r>
              <a:rPr lang="en-IN" sz="1200" b="1" i="0" baseline="0">
                <a:solidFill>
                  <a:srgbClr val="002060"/>
                </a:solidFill>
                <a:effectLst/>
              </a:rPr>
              <a:t>Revenue &amp; YoY Growth</a:t>
            </a:r>
            <a:endParaRPr lang="en-IN" sz="1200">
              <a:solidFill>
                <a:srgbClr val="002060"/>
              </a:solidFill>
              <a:effectLst/>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[1]Sheet35!$B$3</c:f>
              <c:strCache>
                <c:ptCount val="1"/>
                <c:pt idx="0">
                  <c:v>Revenue</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cat>
            <c:numRef>
              <c:f>[1]Sheet35!$C$2:$P$2</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[1]Sheet35!$C$3:$P$3</c:f>
              <c:numCache>
                <c:formatCode>_("₹"* #,##0.00_);_("₹"* \(#,##0.00\);_("₹"* "-"??_);_(@_)</c:formatCode>
                <c:ptCount val="14"/>
                <c:pt idx="0">
                  <c:v>406973.08970000001</c:v>
                </c:pt>
                <c:pt idx="1">
                  <c:v>473378.14120000001</c:v>
                </c:pt>
                <c:pt idx="2">
                  <c:v>594574.90449999995</c:v>
                </c:pt>
                <c:pt idx="3">
                  <c:v>663343.31740000006</c:v>
                </c:pt>
                <c:pt idx="4">
                  <c:v>762037.344799518</c:v>
                </c:pt>
                <c:pt idx="5">
                  <c:v>864350.24469455355</c:v>
                </c:pt>
                <c:pt idx="6">
                  <c:v>969017.14955865138</c:v>
                </c:pt>
                <c:pt idx="7">
                  <c:v>1074799.1845377216</c:v>
                </c:pt>
                <c:pt idx="8">
                  <c:v>1180527.8730334695</c:v>
                </c:pt>
                <c:pt idx="9">
                  <c:v>1285138.8678862399</c:v>
                </c:pt>
                <c:pt idx="10">
                  <c:v>1387694.8347101717</c:v>
                </c:pt>
                <c:pt idx="11">
                  <c:v>1487398.2557894788</c:v>
                </c:pt>
                <c:pt idx="12">
                  <c:v>1583595.5359701805</c:v>
                </c:pt>
                <c:pt idx="13">
                  <c:v>1675774.103323468</c:v>
                </c:pt>
              </c:numCache>
            </c:numRef>
          </c:val>
          <c:extLst>
            <c:ext xmlns:c16="http://schemas.microsoft.com/office/drawing/2014/chart" uri="{C3380CC4-5D6E-409C-BE32-E72D297353CC}">
              <c16:uniqueId val="{00000000-7D71-4425-B70E-BD1E8AFC5B4E}"/>
            </c:ext>
          </c:extLst>
        </c:ser>
        <c:dLbls>
          <c:showLegendKey val="0"/>
          <c:showVal val="0"/>
          <c:showCatName val="0"/>
          <c:showSerName val="0"/>
          <c:showPercent val="0"/>
          <c:showBubbleSize val="0"/>
        </c:dLbls>
        <c:gapWidth val="150"/>
        <c:axId val="707998672"/>
        <c:axId val="707994736"/>
      </c:barChart>
      <c:lineChart>
        <c:grouping val="standard"/>
        <c:varyColors val="0"/>
        <c:ser>
          <c:idx val="1"/>
          <c:order val="1"/>
          <c:tx>
            <c:strRef>
              <c:f>[1]Sheet35!$B$4</c:f>
              <c:strCache>
                <c:ptCount val="1"/>
                <c:pt idx="0">
                  <c:v>Y-O-Y Growth Rate</c:v>
                </c:pt>
              </c:strCache>
            </c:strRef>
          </c:tx>
          <c:spPr>
            <a:ln w="28575" cap="rnd">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round/>
            </a:ln>
            <a:effectLst/>
          </c:spPr>
          <c:marker>
            <c:symbol val="none"/>
          </c:marker>
          <c:cat>
            <c:numRef>
              <c:f>[1]Sheet35!$C$2:$P$2</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[1]Sheet35!$C$4:$P$4</c:f>
              <c:numCache>
                <c:formatCode>0.00%</c:formatCode>
                <c:ptCount val="14"/>
                <c:pt idx="0">
                  <c:v>5.6146046712216569E-2</c:v>
                </c:pt>
                <c:pt idx="1">
                  <c:v>0.16316816315533411</c:v>
                </c:pt>
                <c:pt idx="2">
                  <c:v>0.25602526342422482</c:v>
                </c:pt>
                <c:pt idx="3">
                  <c:v>0.11565979724258635</c:v>
                </c:pt>
                <c:pt idx="4">
                  <c:v>0.14878272654702096</c:v>
                </c:pt>
                <c:pt idx="5">
                  <c:v>0.1342623174484352</c:v>
                </c:pt>
                <c:pt idx="6">
                  <c:v>0.12109316276191406</c:v>
                </c:pt>
                <c:pt idx="7">
                  <c:v>0.10916425475777158</c:v>
                </c:pt>
                <c:pt idx="8">
                  <c:v>9.837064450437083E-2</c:v>
                </c:pt>
                <c:pt idx="9">
                  <c:v>8.861374410750944E-2</c:v>
                </c:pt>
                <c:pt idx="10">
                  <c:v>7.9801466897202245E-2</c:v>
                </c:pt>
                <c:pt idx="11">
                  <c:v>7.184823246829386E-2</c:v>
                </c:pt>
                <c:pt idx="12">
                  <c:v>6.4674864183999148E-2</c:v>
                </c:pt>
                <c:pt idx="13">
                  <c:v>5.8208403130421082E-2</c:v>
                </c:pt>
              </c:numCache>
            </c:numRef>
          </c:val>
          <c:smooth val="0"/>
          <c:extLst>
            <c:ext xmlns:c16="http://schemas.microsoft.com/office/drawing/2014/chart" uri="{C3380CC4-5D6E-409C-BE32-E72D297353CC}">
              <c16:uniqueId val="{00000001-7D71-4425-B70E-BD1E8AFC5B4E}"/>
            </c:ext>
          </c:extLst>
        </c:ser>
        <c:dLbls>
          <c:showLegendKey val="0"/>
          <c:showVal val="0"/>
          <c:showCatName val="0"/>
          <c:showSerName val="0"/>
          <c:showPercent val="0"/>
          <c:showBubbleSize val="0"/>
        </c:dLbls>
        <c:marker val="1"/>
        <c:smooth val="0"/>
        <c:axId val="853938176"/>
        <c:axId val="853936208"/>
      </c:lineChart>
      <c:catAx>
        <c:axId val="707998672"/>
        <c:scaling>
          <c:orientation val="minMax"/>
        </c:scaling>
        <c:delete val="0"/>
        <c:axPos val="b"/>
        <c:numFmt formatCode="&quot;FY&quot;\ 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707994736"/>
        <c:crosses val="autoZero"/>
        <c:auto val="1"/>
        <c:lblAlgn val="ctr"/>
        <c:lblOffset val="100"/>
        <c:noMultiLvlLbl val="0"/>
      </c:catAx>
      <c:valAx>
        <c:axId val="7079947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07998672"/>
        <c:crosses val="autoZero"/>
        <c:crossBetween val="between"/>
      </c:valAx>
      <c:valAx>
        <c:axId val="85393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53938176"/>
        <c:crosses val="max"/>
        <c:crossBetween val="between"/>
      </c:valAx>
      <c:catAx>
        <c:axId val="853938176"/>
        <c:scaling>
          <c:orientation val="minMax"/>
        </c:scaling>
        <c:delete val="1"/>
        <c:axPos val="b"/>
        <c:numFmt formatCode="&quot;FY&quot;\ 0" sourceLinked="1"/>
        <c:majorTickMark val="out"/>
        <c:minorTickMark val="none"/>
        <c:tickLblPos val="nextTo"/>
        <c:crossAx val="853936208"/>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rgbClr val="002060"/>
                </a:solidFill>
                <a:effectLst/>
              </a:rPr>
              <a:t>NIIs vs Net Profit</a:t>
            </a:r>
            <a:endParaRPr lang="en-IN" sz="1050">
              <a:solidFill>
                <a:srgbClr val="002060"/>
              </a:solidFill>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[1]Sheet36!$B$4</c:f>
              <c:strCache>
                <c:ptCount val="1"/>
                <c:pt idx="0">
                  <c:v>Net Profit</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cat>
            <c:numRef>
              <c:f>[1]Sheet36!$C$3:$P$3</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[1]Sheet36!$C$4:$P$4</c:f>
              <c:numCache>
                <c:formatCode>_("₹"* #,##0.00_);_("₹"* \(#,##0.00\);_("₹"* "-"??_);_(@_)</c:formatCode>
                <c:ptCount val="14"/>
                <c:pt idx="0">
                  <c:v>35373.879800000017</c:v>
                </c:pt>
                <c:pt idx="1">
                  <c:v>55648.172799999928</c:v>
                </c:pt>
                <c:pt idx="2">
                  <c:v>67084.666099999886</c:v>
                </c:pt>
                <c:pt idx="3">
                  <c:v>77561.337100000048</c:v>
                </c:pt>
                <c:pt idx="4">
                  <c:v>74666.326165213264</c:v>
                </c:pt>
                <c:pt idx="5">
                  <c:v>82948.817496481366</c:v>
                </c:pt>
                <c:pt idx="6">
                  <c:v>93090.250839007742</c:v>
                </c:pt>
                <c:pt idx="7">
                  <c:v>103316.55392505754</c:v>
                </c:pt>
                <c:pt idx="8">
                  <c:v>113516.15263872658</c:v>
                </c:pt>
                <c:pt idx="9">
                  <c:v>123588.15158715955</c:v>
                </c:pt>
                <c:pt idx="10">
                  <c:v>133444.34499567887</c:v>
                </c:pt>
                <c:pt idx="11">
                  <c:v>143010.26811568876</c:v>
                </c:pt>
                <c:pt idx="12">
                  <c:v>152225.43385918066</c:v>
                </c:pt>
                <c:pt idx="13">
                  <c:v>161042.92389910115</c:v>
                </c:pt>
              </c:numCache>
            </c:numRef>
          </c:val>
          <c:extLst>
            <c:ext xmlns:c16="http://schemas.microsoft.com/office/drawing/2014/chart" uri="{C3380CC4-5D6E-409C-BE32-E72D297353CC}">
              <c16:uniqueId val="{00000000-0653-4F60-B6A2-EC3816BE42A7}"/>
            </c:ext>
          </c:extLst>
        </c:ser>
        <c:dLbls>
          <c:showLegendKey val="0"/>
          <c:showVal val="0"/>
          <c:showCatName val="0"/>
          <c:showSerName val="0"/>
          <c:showPercent val="0"/>
          <c:showBubbleSize val="0"/>
        </c:dLbls>
        <c:gapWidth val="219"/>
        <c:overlap val="-27"/>
        <c:axId val="856555584"/>
        <c:axId val="856558208"/>
      </c:barChart>
      <c:lineChart>
        <c:grouping val="standard"/>
        <c:varyColors val="0"/>
        <c:ser>
          <c:idx val="1"/>
          <c:order val="1"/>
          <c:tx>
            <c:strRef>
              <c:f>[1]Sheet36!$B$5</c:f>
              <c:strCache>
                <c:ptCount val="1"/>
                <c:pt idx="0">
                  <c:v>NIIs Margin</c:v>
                </c:pt>
              </c:strCache>
            </c:strRef>
          </c:tx>
          <c:spPr>
            <a:ln w="28575" cap="rnd">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ound/>
            </a:ln>
            <a:effectLst/>
          </c:spPr>
          <c:marker>
            <c:symbol val="none"/>
          </c:marker>
          <c:cat>
            <c:numRef>
              <c:f>[1]Sheet36!$C$3:$P$3</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[1]Sheet36!$C$5:$P$5</c:f>
              <c:numCache>
                <c:formatCode>0.00%</c:formatCode>
                <c:ptCount val="14"/>
                <c:pt idx="0">
                  <c:v>6.1204637060238445E-2</c:v>
                </c:pt>
                <c:pt idx="1">
                  <c:v>6.3550622315080865E-2</c:v>
                </c:pt>
                <c:pt idx="2">
                  <c:v>6.7046200870963024E-2</c:v>
                </c:pt>
                <c:pt idx="3">
                  <c:v>6.5437119095663437E-2</c:v>
                </c:pt>
                <c:pt idx="4">
                  <c:v>6.6838843581739055E-2</c:v>
                </c:pt>
                <c:pt idx="5">
                  <c:v>6.421113575185923E-2</c:v>
                </c:pt>
                <c:pt idx="6">
                  <c:v>6.3859660296335469E-2</c:v>
                </c:pt>
                <c:pt idx="7">
                  <c:v>6.353749764789908E-2</c:v>
                </c:pt>
                <c:pt idx="8">
                  <c:v>6.3242839284963173E-2</c:v>
                </c:pt>
                <c:pt idx="9">
                  <c:v>6.2973861642936627E-2</c:v>
                </c:pt>
                <c:pt idx="10">
                  <c:v>6.2728756297504865E-2</c:v>
                </c:pt>
                <c:pt idx="11">
                  <c:v>6.2505754374260758E-2</c:v>
                </c:pt>
                <c:pt idx="12">
                  <c:v>6.23031456404032E-2</c:v>
                </c:pt>
                <c:pt idx="13">
                  <c:v>6.2119292821634552E-2</c:v>
                </c:pt>
              </c:numCache>
            </c:numRef>
          </c:val>
          <c:smooth val="0"/>
          <c:extLst>
            <c:ext xmlns:c16="http://schemas.microsoft.com/office/drawing/2014/chart" uri="{C3380CC4-5D6E-409C-BE32-E72D297353CC}">
              <c16:uniqueId val="{00000001-0653-4F60-B6A2-EC3816BE42A7}"/>
            </c:ext>
          </c:extLst>
        </c:ser>
        <c:dLbls>
          <c:showLegendKey val="0"/>
          <c:showVal val="0"/>
          <c:showCatName val="0"/>
          <c:showSerName val="0"/>
          <c:showPercent val="0"/>
          <c:showBubbleSize val="0"/>
        </c:dLbls>
        <c:marker val="1"/>
        <c:smooth val="0"/>
        <c:axId val="775037464"/>
        <c:axId val="789140440"/>
      </c:lineChart>
      <c:catAx>
        <c:axId val="856555584"/>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856558208"/>
        <c:crosses val="autoZero"/>
        <c:auto val="1"/>
        <c:lblAlgn val="ctr"/>
        <c:lblOffset val="100"/>
        <c:noMultiLvlLbl val="0"/>
      </c:catAx>
      <c:valAx>
        <c:axId val="8565582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56555584"/>
        <c:crosses val="autoZero"/>
        <c:crossBetween val="between"/>
      </c:valAx>
      <c:valAx>
        <c:axId val="78914044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5037464"/>
        <c:crosses val="max"/>
        <c:crossBetween val="between"/>
      </c:valAx>
      <c:catAx>
        <c:axId val="775037464"/>
        <c:scaling>
          <c:orientation val="minMax"/>
        </c:scaling>
        <c:delete val="1"/>
        <c:axPos val="b"/>
        <c:numFmt formatCode="&quot;FY&quot;\ 0" sourceLinked="1"/>
        <c:majorTickMark val="none"/>
        <c:minorTickMark val="none"/>
        <c:tickLblPos val="nextTo"/>
        <c:crossAx val="78914044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002060"/>
                </a:solidFill>
                <a:latin typeface="+mn-lt"/>
                <a:ea typeface="+mn-ea"/>
                <a:cs typeface="+mn-cs"/>
              </a:defRPr>
            </a:pPr>
            <a:r>
              <a:rPr lang="en-US" sz="1100" b="1" i="0" baseline="0">
                <a:solidFill>
                  <a:srgbClr val="002060"/>
                </a:solidFill>
                <a:effectLst/>
              </a:rPr>
              <a:t>Loan to Deposit vs Cash to Deposit</a:t>
            </a:r>
            <a:endParaRPr lang="en-IN" sz="1100">
              <a:solidFill>
                <a:srgbClr val="002060"/>
              </a:solidFill>
              <a:effectLst/>
            </a:endParaRP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rgbClr val="002060"/>
              </a:solidFill>
              <a:latin typeface="+mn-lt"/>
              <a:ea typeface="+mn-ea"/>
              <a:cs typeface="+mn-cs"/>
            </a:defRPr>
          </a:pPr>
          <a:endParaRPr lang="en-US"/>
        </a:p>
      </c:txPr>
    </c:title>
    <c:autoTitleDeleted val="0"/>
    <c:plotArea>
      <c:layout/>
      <c:barChart>
        <c:barDir val="col"/>
        <c:grouping val="stacked"/>
        <c:varyColors val="0"/>
        <c:ser>
          <c:idx val="0"/>
          <c:order val="0"/>
          <c:tx>
            <c:strRef>
              <c:f>[1]Sheet36!$C$22</c:f>
              <c:strCache>
                <c:ptCount val="1"/>
                <c:pt idx="0">
                  <c:v>Loan to Deposit Ratio
</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cat>
            <c:numRef>
              <c:f>[1]Sheet36!$D$21:$Q$21</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[1]Sheet36!$D$22:$Q$22</c:f>
              <c:numCache>
                <c:formatCode>0%</c:formatCode>
                <c:ptCount val="14"/>
                <c:pt idx="0">
                  <c:v>0.68358094520522394</c:v>
                </c:pt>
                <c:pt idx="1">
                  <c:v>0.73131389967184224</c:v>
                </c:pt>
                <c:pt idx="2">
                  <c:v>0.76195391261074952</c:v>
                </c:pt>
                <c:pt idx="3">
                  <c:v>0.78141735772893683</c:v>
                </c:pt>
                <c:pt idx="4">
                  <c:v>0.72311844294537164</c:v>
                </c:pt>
                <c:pt idx="5">
                  <c:v>0.72311844294537164</c:v>
                </c:pt>
                <c:pt idx="6">
                  <c:v>0.72311844294537164</c:v>
                </c:pt>
                <c:pt idx="7">
                  <c:v>0.72311844294537164</c:v>
                </c:pt>
                <c:pt idx="8">
                  <c:v>0.72311844294537164</c:v>
                </c:pt>
                <c:pt idx="9">
                  <c:v>0.72311844294537164</c:v>
                </c:pt>
                <c:pt idx="10">
                  <c:v>0.72311844294537175</c:v>
                </c:pt>
                <c:pt idx="11">
                  <c:v>0.72311844294537164</c:v>
                </c:pt>
                <c:pt idx="12">
                  <c:v>0.72311844294537153</c:v>
                </c:pt>
                <c:pt idx="13">
                  <c:v>0.72311844294537153</c:v>
                </c:pt>
              </c:numCache>
            </c:numRef>
          </c:val>
          <c:extLst>
            <c:ext xmlns:c16="http://schemas.microsoft.com/office/drawing/2014/chart" uri="{C3380CC4-5D6E-409C-BE32-E72D297353CC}">
              <c16:uniqueId val="{00000000-920C-41D6-80C5-4F941D98D5BC}"/>
            </c:ext>
          </c:extLst>
        </c:ser>
        <c:ser>
          <c:idx val="1"/>
          <c:order val="1"/>
          <c:tx>
            <c:strRef>
              <c:f>[1]Sheet36!$C$23</c:f>
              <c:strCache>
                <c:ptCount val="1"/>
                <c:pt idx="0">
                  <c:v>Cash to Deposit Ratio</c:v>
                </c:pt>
              </c:strCache>
            </c:strRef>
          </c:tx>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c:spPr>
          <c:invertIfNegative val="0"/>
          <c:cat>
            <c:numRef>
              <c:f>[1]Sheet36!$D$21:$Q$21</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[1]Sheet36!$D$23:$Q$23</c:f>
              <c:numCache>
                <c:formatCode>0%</c:formatCode>
                <c:ptCount val="14"/>
                <c:pt idx="0">
                  <c:v>9.759360159252016E-2</c:v>
                </c:pt>
                <c:pt idx="1">
                  <c:v>7.1234056261969603E-2</c:v>
                </c:pt>
                <c:pt idx="2">
                  <c:v>6.5754523013600102E-2</c:v>
                </c:pt>
                <c:pt idx="3">
                  <c:v>6.5797730314660935E-2</c:v>
                </c:pt>
                <c:pt idx="4">
                  <c:v>8.0470485940194209E-2</c:v>
                </c:pt>
                <c:pt idx="5">
                  <c:v>8.0501174741233944E-2</c:v>
                </c:pt>
                <c:pt idx="6">
                  <c:v>8.1375115710185617E-2</c:v>
                </c:pt>
                <c:pt idx="7">
                  <c:v>8.2936333977289708E-2</c:v>
                </c:pt>
                <c:pt idx="8">
                  <c:v>8.5071341231147291E-2</c:v>
                </c:pt>
                <c:pt idx="9">
                  <c:v>8.7696335486389082E-2</c:v>
                </c:pt>
                <c:pt idx="10">
                  <c:v>9.0748474319282443E-2</c:v>
                </c:pt>
                <c:pt idx="11">
                  <c:v>9.4179852288652263E-2</c:v>
                </c:pt>
                <c:pt idx="12">
                  <c:v>9.7953297553961899E-2</c:v>
                </c:pt>
                <c:pt idx="13">
                  <c:v>0.10203940796161726</c:v>
                </c:pt>
              </c:numCache>
            </c:numRef>
          </c:val>
          <c:extLst>
            <c:ext xmlns:c16="http://schemas.microsoft.com/office/drawing/2014/chart" uri="{C3380CC4-5D6E-409C-BE32-E72D297353CC}">
              <c16:uniqueId val="{00000001-920C-41D6-80C5-4F941D98D5BC}"/>
            </c:ext>
          </c:extLst>
        </c:ser>
        <c:dLbls>
          <c:showLegendKey val="0"/>
          <c:showVal val="0"/>
          <c:showCatName val="0"/>
          <c:showSerName val="0"/>
          <c:showPercent val="0"/>
          <c:showBubbleSize val="0"/>
        </c:dLbls>
        <c:gapWidth val="150"/>
        <c:overlap val="100"/>
        <c:axId val="863370720"/>
        <c:axId val="863375312"/>
      </c:barChart>
      <c:catAx>
        <c:axId val="863370720"/>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863375312"/>
        <c:crosses val="autoZero"/>
        <c:auto val="1"/>
        <c:lblAlgn val="ctr"/>
        <c:lblOffset val="100"/>
        <c:noMultiLvlLbl val="0"/>
      </c:catAx>
      <c:valAx>
        <c:axId val="863375312"/>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633707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r>
              <a:rPr lang="en-US" sz="1200" b="1" i="0" baseline="0">
                <a:solidFill>
                  <a:srgbClr val="002060"/>
                </a:solidFill>
                <a:effectLst/>
              </a:rPr>
              <a:t>ROE vs ROA</a:t>
            </a:r>
            <a:endParaRPr lang="en-IN" sz="1200">
              <a:solidFill>
                <a:srgbClr val="002060"/>
              </a:solidFill>
              <a:effectLst/>
            </a:endParaRPr>
          </a:p>
        </c:rich>
      </c:tx>
      <c:layout/>
      <c:overlay val="0"/>
      <c:spPr>
        <a:noFill/>
        <a:ln>
          <a:noFill/>
        </a:ln>
        <a:effectLst/>
      </c:spPr>
      <c:txPr>
        <a:bodyPr rot="0" spcFirstLastPara="1" vertOverflow="ellipsis" vert="horz" wrap="square" anchor="ctr" anchorCtr="1"/>
        <a:lstStyle/>
        <a:p>
          <a:pPr>
            <a:defRPr sz="1200" b="0" i="0" u="none" strike="noStrike" kern="1200" spc="0" baseline="0">
              <a:solidFill>
                <a:srgbClr val="002060"/>
              </a:solidFill>
              <a:latin typeface="+mn-lt"/>
              <a:ea typeface="+mn-ea"/>
              <a:cs typeface="+mn-cs"/>
            </a:defRPr>
          </a:pPr>
          <a:endParaRPr lang="en-US"/>
        </a:p>
      </c:txPr>
    </c:title>
    <c:autoTitleDeleted val="0"/>
    <c:plotArea>
      <c:layout/>
      <c:barChart>
        <c:barDir val="col"/>
        <c:grouping val="stacked"/>
        <c:varyColors val="0"/>
        <c:ser>
          <c:idx val="0"/>
          <c:order val="0"/>
          <c:tx>
            <c:strRef>
              <c:f>[1]Sheet37!$C$6</c:f>
              <c:strCache>
                <c:ptCount val="1"/>
                <c:pt idx="0">
                  <c:v>Return on Equity</c:v>
                </c:pt>
              </c:strCache>
            </c:strRef>
          </c:tx>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noFill/>
            </a:ln>
            <a:effectLst/>
          </c:spPr>
          <c:invertIfNegative val="0"/>
          <c:cat>
            <c:numRef>
              <c:f>[1]Sheet37!$D$5:$Q$5</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[1]Sheet37!$D$6:$Q$6</c:f>
              <c:numCache>
                <c:formatCode>0.00%</c:formatCode>
                <c:ptCount val="14"/>
                <c:pt idx="0">
                  <c:v>0.11752452498261774</c:v>
                </c:pt>
                <c:pt idx="1">
                  <c:v>0.16163558029248681</c:v>
                </c:pt>
                <c:pt idx="2">
                  <c:v>0.16722565077753815</c:v>
                </c:pt>
                <c:pt idx="3">
                  <c:v>0.16579671098629428</c:v>
                </c:pt>
                <c:pt idx="4">
                  <c:v>0.13860005225961849</c:v>
                </c:pt>
                <c:pt idx="5">
                  <c:v>0.1360348081511514</c:v>
                </c:pt>
                <c:pt idx="6">
                  <c:v>0.13508765255746727</c:v>
                </c:pt>
                <c:pt idx="7">
                  <c:v>0.1328592974019161</c:v>
                </c:pt>
                <c:pt idx="8">
                  <c:v>0.12967723342406751</c:v>
                </c:pt>
                <c:pt idx="9">
                  <c:v>0.12582179777020305</c:v>
                </c:pt>
                <c:pt idx="10">
                  <c:v>0.12152261279862989</c:v>
                </c:pt>
                <c:pt idx="11">
                  <c:v>0.11696145319091514</c:v>
                </c:pt>
                <c:pt idx="12">
                  <c:v>0.11227819189806515</c:v>
                </c:pt>
                <c:pt idx="13">
                  <c:v>0.10757772019841902</c:v>
                </c:pt>
              </c:numCache>
            </c:numRef>
          </c:val>
          <c:extLst>
            <c:ext xmlns:c16="http://schemas.microsoft.com/office/drawing/2014/chart" uri="{C3380CC4-5D6E-409C-BE32-E72D297353CC}">
              <c16:uniqueId val="{00000000-24E0-4BCB-9CD5-C5895A4D136E}"/>
            </c:ext>
          </c:extLst>
        </c:ser>
        <c:ser>
          <c:idx val="1"/>
          <c:order val="1"/>
          <c:tx>
            <c:strRef>
              <c:f>[1]Sheet37!$C$7</c:f>
              <c:strCache>
                <c:ptCount val="1"/>
                <c:pt idx="0">
                  <c:v>Return on Assets</c:v>
                </c:pt>
              </c:strCache>
            </c:strRef>
          </c:tx>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invertIfNegative val="0"/>
          <c:cat>
            <c:numRef>
              <c:f>[1]Sheet37!$D$5:$Q$5</c:f>
              <c:numCache>
                <c:formatCode>"FY"\ 0</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[1]Sheet37!$D$7:$Q$7</c:f>
              <c:numCache>
                <c:formatCode>0.00%</c:formatCode>
                <c:ptCount val="14"/>
                <c:pt idx="0">
                  <c:v>6.931636232853219E-3</c:v>
                </c:pt>
                <c:pt idx="1">
                  <c:v>9.8359148620864364E-3</c:v>
                </c:pt>
                <c:pt idx="2">
                  <c:v>1.0574341726091901E-2</c:v>
                </c:pt>
                <c:pt idx="3">
                  <c:v>1.1042359778865363E-2</c:v>
                </c:pt>
                <c:pt idx="4">
                  <c:v>9.0194335103189974E-3</c:v>
                </c:pt>
                <c:pt idx="5">
                  <c:v>8.4109438997738567E-3</c:v>
                </c:pt>
                <c:pt idx="6">
                  <c:v>8.3723044078281086E-3</c:v>
                </c:pt>
                <c:pt idx="7">
                  <c:v>8.3289102125597789E-3</c:v>
                </c:pt>
                <c:pt idx="8">
                  <c:v>8.2824918716105939E-3</c:v>
                </c:pt>
                <c:pt idx="9">
                  <c:v>8.2342607309671065E-3</c:v>
                </c:pt>
                <c:pt idx="10">
                  <c:v>8.1850573229807939E-3</c:v>
                </c:pt>
                <c:pt idx="11">
                  <c:v>8.1354569785209632E-3</c:v>
                </c:pt>
                <c:pt idx="12">
                  <c:v>8.0858454717454269E-3</c:v>
                </c:pt>
                <c:pt idx="13">
                  <c:v>8.0364735091097116E-3</c:v>
                </c:pt>
              </c:numCache>
            </c:numRef>
          </c:val>
          <c:extLst>
            <c:ext xmlns:c16="http://schemas.microsoft.com/office/drawing/2014/chart" uri="{C3380CC4-5D6E-409C-BE32-E72D297353CC}">
              <c16:uniqueId val="{00000001-24E0-4BCB-9CD5-C5895A4D136E}"/>
            </c:ext>
          </c:extLst>
        </c:ser>
        <c:dLbls>
          <c:showLegendKey val="0"/>
          <c:showVal val="0"/>
          <c:showCatName val="0"/>
          <c:showSerName val="0"/>
          <c:showPercent val="0"/>
          <c:showBubbleSize val="0"/>
        </c:dLbls>
        <c:gapWidth val="150"/>
        <c:overlap val="100"/>
        <c:axId val="777027808"/>
        <c:axId val="777026496"/>
      </c:barChart>
      <c:catAx>
        <c:axId val="777027808"/>
        <c:scaling>
          <c:orientation val="minMax"/>
        </c:scaling>
        <c:delete val="0"/>
        <c:axPos val="b"/>
        <c:numFmt formatCode="&quot;FY&quot;\ 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77026496"/>
        <c:crosses val="autoZero"/>
        <c:auto val="1"/>
        <c:lblAlgn val="ctr"/>
        <c:lblOffset val="100"/>
        <c:noMultiLvlLbl val="0"/>
      </c:catAx>
      <c:valAx>
        <c:axId val="777026496"/>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770278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Valuation </a:t>
            </a:r>
            <a:r>
              <a:rPr lang="en-US" b="1" baseline="0">
                <a:solidFill>
                  <a:schemeClr val="tx1"/>
                </a:solidFill>
              </a:rPr>
              <a:t> Summary</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tockChart>
        <c:ser>
          <c:idx val="0"/>
          <c:order val="0"/>
          <c:tx>
            <c:strRef>
              <c:f>'Football Field Analysis'!$B$9:$D$9</c:f>
              <c:strCache>
                <c:ptCount val="3"/>
                <c:pt idx="0">
                  <c:v>High</c:v>
                </c:pt>
              </c:strCache>
            </c:strRef>
          </c:tx>
          <c:spPr>
            <a:ln w="19050" cap="rnd">
              <a:noFill/>
              <a:round/>
            </a:ln>
            <a:effectLst/>
          </c:spPr>
          <c:marker>
            <c:symbol val="none"/>
          </c:marker>
          <c:dLbls>
            <c:delete val="1"/>
          </c:dLbls>
          <c:cat>
            <c:strRef>
              <c:f>'Football Field Analysis'!$E$8:$I$8</c:f>
              <c:strCache>
                <c:ptCount val="5"/>
                <c:pt idx="0">
                  <c:v>Comps Median</c:v>
                </c:pt>
                <c:pt idx="1">
                  <c:v>Comps Average</c:v>
                </c:pt>
                <c:pt idx="2">
                  <c:v>DCF (Average)</c:v>
                </c:pt>
                <c:pt idx="3">
                  <c:v>52-Week Hi/LO</c:v>
                </c:pt>
                <c:pt idx="4">
                  <c:v>Market Consenses</c:v>
                </c:pt>
              </c:strCache>
            </c:strRef>
          </c:cat>
          <c:val>
            <c:numRef>
              <c:f>'Football Field Analysis'!$E$9:$I$9</c:f>
              <c:numCache>
                <c:formatCode>"₹"\ #,##0</c:formatCode>
                <c:ptCount val="5"/>
                <c:pt idx="0">
                  <c:v>1258.8106397508836</c:v>
                </c:pt>
                <c:pt idx="1">
                  <c:v>1239.1266387758276</c:v>
                </c:pt>
                <c:pt idx="2">
                  <c:v>1607.5264612266258</c:v>
                </c:pt>
                <c:pt idx="3">
                  <c:v>1188</c:v>
                </c:pt>
                <c:pt idx="4">
                  <c:v>1300</c:v>
                </c:pt>
              </c:numCache>
            </c:numRef>
          </c:val>
          <c:smooth val="0"/>
          <c:extLst>
            <c:ext xmlns:c16="http://schemas.microsoft.com/office/drawing/2014/chart" uri="{C3380CC4-5D6E-409C-BE32-E72D297353CC}">
              <c16:uniqueId val="{00000000-0FE1-404C-927E-B9E6B79C27B9}"/>
            </c:ext>
          </c:extLst>
        </c:ser>
        <c:ser>
          <c:idx val="1"/>
          <c:order val="1"/>
          <c:tx>
            <c:strRef>
              <c:f>'Football Field Analysis'!$B$10:$D$10</c:f>
              <c:strCache>
                <c:ptCount val="3"/>
                <c:pt idx="0">
                  <c:v>High</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'Football Field Analysis'!$E$8:$I$8</c:f>
              <c:strCache>
                <c:ptCount val="5"/>
                <c:pt idx="0">
                  <c:v>Comps Median</c:v>
                </c:pt>
                <c:pt idx="1">
                  <c:v>Comps Average</c:v>
                </c:pt>
                <c:pt idx="2">
                  <c:v>DCF (Average)</c:v>
                </c:pt>
                <c:pt idx="3">
                  <c:v>52-Week Hi/LO</c:v>
                </c:pt>
                <c:pt idx="4">
                  <c:v>Market Consenses</c:v>
                </c:pt>
              </c:strCache>
            </c:strRef>
          </c:cat>
          <c:val>
            <c:numRef>
              <c:f>'Football Field Analysis'!$E$10:$I$10</c:f>
              <c:numCache>
                <c:formatCode>"₹"\ #,##0</c:formatCode>
                <c:ptCount val="5"/>
                <c:pt idx="0">
                  <c:v>1258.8106397508836</c:v>
                </c:pt>
                <c:pt idx="1">
                  <c:v>1239.1266387758276</c:v>
                </c:pt>
                <c:pt idx="2">
                  <c:v>1607.5264612266258</c:v>
                </c:pt>
                <c:pt idx="3">
                  <c:v>1188</c:v>
                </c:pt>
                <c:pt idx="4">
                  <c:v>1300</c:v>
                </c:pt>
              </c:numCache>
            </c:numRef>
          </c:val>
          <c:smooth val="0"/>
          <c:extLst>
            <c:ext xmlns:c16="http://schemas.microsoft.com/office/drawing/2014/chart" uri="{C3380CC4-5D6E-409C-BE32-E72D297353CC}">
              <c16:uniqueId val="{00000001-0FE1-404C-927E-B9E6B79C27B9}"/>
            </c:ext>
          </c:extLst>
        </c:ser>
        <c:ser>
          <c:idx val="2"/>
          <c:order val="2"/>
          <c:tx>
            <c:strRef>
              <c:f>'Football Field Analysis'!$B$11:$D$11</c:f>
              <c:strCache>
                <c:ptCount val="3"/>
                <c:pt idx="0">
                  <c:v>Low</c:v>
                </c:pt>
              </c:strCache>
            </c:strRef>
          </c:tx>
          <c:spPr>
            <a:ln w="19050" cap="rnd">
              <a:noFill/>
              <a:round/>
            </a:ln>
            <a:effectLst/>
          </c:spPr>
          <c:marker>
            <c:symbol val="none"/>
          </c:marker>
          <c:dLbls>
            <c:delete val="1"/>
          </c:dLbls>
          <c:cat>
            <c:strRef>
              <c:f>'Football Field Analysis'!$E$8:$I$8</c:f>
              <c:strCache>
                <c:ptCount val="5"/>
                <c:pt idx="0">
                  <c:v>Comps Median</c:v>
                </c:pt>
                <c:pt idx="1">
                  <c:v>Comps Average</c:v>
                </c:pt>
                <c:pt idx="2">
                  <c:v>DCF (Average)</c:v>
                </c:pt>
                <c:pt idx="3">
                  <c:v>52-Week Hi/LO</c:v>
                </c:pt>
                <c:pt idx="4">
                  <c:v>Market Consenses</c:v>
                </c:pt>
              </c:strCache>
            </c:strRef>
          </c:cat>
          <c:val>
            <c:numRef>
              <c:f>'Football Field Analysis'!$E$11:$I$11</c:f>
              <c:numCache>
                <c:formatCode>"₹"\ #,##0</c:formatCode>
                <c:ptCount val="5"/>
                <c:pt idx="0">
                  <c:v>728.41256212786857</c:v>
                </c:pt>
                <c:pt idx="1">
                  <c:v>878.0069840403695</c:v>
                </c:pt>
                <c:pt idx="2">
                  <c:v>1292.8610098619906</c:v>
                </c:pt>
                <c:pt idx="3">
                  <c:v>680</c:v>
                </c:pt>
                <c:pt idx="4">
                  <c:v>1018</c:v>
                </c:pt>
              </c:numCache>
            </c:numRef>
          </c:val>
          <c:smooth val="0"/>
          <c:extLst>
            <c:ext xmlns:c16="http://schemas.microsoft.com/office/drawing/2014/chart" uri="{C3380CC4-5D6E-409C-BE32-E72D297353CC}">
              <c16:uniqueId val="{00000002-0FE1-404C-927E-B9E6B79C27B9}"/>
            </c:ext>
          </c:extLst>
        </c:ser>
        <c:ser>
          <c:idx val="3"/>
          <c:order val="3"/>
          <c:tx>
            <c:strRef>
              <c:f>'Football Field Analysis'!$B$12:$D$12</c:f>
              <c:strCache>
                <c:ptCount val="3"/>
                <c:pt idx="0">
                  <c:v>Low</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'Football Field Analysis'!$E$8:$I$8</c:f>
              <c:strCache>
                <c:ptCount val="5"/>
                <c:pt idx="0">
                  <c:v>Comps Median</c:v>
                </c:pt>
                <c:pt idx="1">
                  <c:v>Comps Average</c:v>
                </c:pt>
                <c:pt idx="2">
                  <c:v>DCF (Average)</c:v>
                </c:pt>
                <c:pt idx="3">
                  <c:v>52-Week Hi/LO</c:v>
                </c:pt>
                <c:pt idx="4">
                  <c:v>Market Consenses</c:v>
                </c:pt>
              </c:strCache>
            </c:strRef>
          </c:cat>
          <c:val>
            <c:numRef>
              <c:f>'Football Field Analysis'!$E$12:$I$12</c:f>
              <c:numCache>
                <c:formatCode>"₹"\ #,##0</c:formatCode>
                <c:ptCount val="5"/>
                <c:pt idx="0">
                  <c:v>728.41256212786857</c:v>
                </c:pt>
                <c:pt idx="1">
                  <c:v>878.0069840403695</c:v>
                </c:pt>
                <c:pt idx="2">
                  <c:v>1292.8610098619906</c:v>
                </c:pt>
                <c:pt idx="3">
                  <c:v>680</c:v>
                </c:pt>
                <c:pt idx="4">
                  <c:v>1018</c:v>
                </c:pt>
              </c:numCache>
            </c:numRef>
          </c:val>
          <c:smooth val="0"/>
          <c:extLst>
            <c:ext xmlns:c16="http://schemas.microsoft.com/office/drawing/2014/chart" uri="{C3380CC4-5D6E-409C-BE32-E72D297353CC}">
              <c16:uniqueId val="{00000003-0FE1-404C-927E-B9E6B79C27B9}"/>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9525" cap="flat" cmpd="sng" algn="ctr">
                <a:noFill/>
                <a:round/>
              </a:ln>
              <a:effectLst/>
            </c:spPr>
          </c:downBars>
        </c:upDownBars>
        <c:axId val="743762488"/>
        <c:axId val="743760520"/>
      </c:stockChart>
      <c:catAx>
        <c:axId val="743762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760520"/>
        <c:crosses val="autoZero"/>
        <c:auto val="1"/>
        <c:lblAlgn val="ctr"/>
        <c:lblOffset val="100"/>
        <c:noMultiLvlLbl val="0"/>
      </c:catAx>
      <c:valAx>
        <c:axId val="743760520"/>
        <c:scaling>
          <c:orientation val="minMax"/>
          <c:min val="400"/>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7624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161925</xdr:colOff>
      <xdr:row>0</xdr:row>
      <xdr:rowOff>0</xdr:rowOff>
    </xdr:from>
    <xdr:to>
      <xdr:col>12</xdr:col>
      <xdr:colOff>333375</xdr:colOff>
      <xdr:row>11</xdr:row>
      <xdr:rowOff>28575</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895350" y="0"/>
          <a:ext cx="6667500" cy="2124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17</xdr:row>
      <xdr:rowOff>0</xdr:rowOff>
    </xdr:from>
    <xdr:to>
      <xdr:col>5</xdr:col>
      <xdr:colOff>304800</xdr:colOff>
      <xdr:row>18</xdr:row>
      <xdr:rowOff>114300</xdr:rowOff>
    </xdr:to>
    <xdr:sp macro="" textlink="">
      <xdr:nvSpPr>
        <xdr:cNvPr id="2" name="AutoShape 2" descr="Top 10 Garment Manufacturers in India 2023"/>
        <xdr:cNvSpPr>
          <a:spLocks noChangeAspect="1" noChangeArrowheads="1"/>
        </xdr:cNvSpPr>
      </xdr:nvSpPr>
      <xdr:spPr bwMode="auto">
        <a:xfrm>
          <a:off x="7353300" y="289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123825</xdr:rowOff>
    </xdr:from>
    <xdr:to>
      <xdr:col>2</xdr:col>
      <xdr:colOff>209550</xdr:colOff>
      <xdr:row>5</xdr:row>
      <xdr:rowOff>161001</xdr:rowOff>
    </xdr:to>
    <xdr:pic>
      <xdr:nvPicPr>
        <xdr:cNvPr id="5" name="Picture 4"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0" y="333375"/>
          <a:ext cx="3133725" cy="799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xdr:row>
      <xdr:rowOff>0</xdr:rowOff>
    </xdr:from>
    <xdr:to>
      <xdr:col>19</xdr:col>
      <xdr:colOff>561975</xdr:colOff>
      <xdr:row>29</xdr:row>
      <xdr:rowOff>161925</xdr:rowOff>
    </xdr:to>
    <xdr:pic>
      <xdr:nvPicPr>
        <xdr:cNvPr id="3" name="Picture 2"/>
        <xdr:cNvPicPr>
          <a:picLocks noChangeAspect="1"/>
        </xdr:cNvPicPr>
      </xdr:nvPicPr>
      <xdr:blipFill>
        <a:blip xmlns:r="http://schemas.openxmlformats.org/officeDocument/2006/relationships" r:embed="rId2"/>
        <a:stretch>
          <a:fillRect/>
        </a:stretch>
      </xdr:blipFill>
      <xdr:spPr>
        <a:xfrm>
          <a:off x="9934575" y="1552575"/>
          <a:ext cx="5438775" cy="4162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619125</xdr:colOff>
      <xdr:row>0</xdr:row>
      <xdr:rowOff>9525</xdr:rowOff>
    </xdr:from>
    <xdr:to>
      <xdr:col>7</xdr:col>
      <xdr:colOff>38100</xdr:colOff>
      <xdr:row>4</xdr:row>
      <xdr:rowOff>18126</xdr:rowOff>
    </xdr:to>
    <xdr:pic>
      <xdr:nvPicPr>
        <xdr:cNvPr id="3" name="Picture 2"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5686425" y="9525"/>
          <a:ext cx="3133725" cy="780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619125</xdr:colOff>
      <xdr:row>0</xdr:row>
      <xdr:rowOff>9525</xdr:rowOff>
    </xdr:from>
    <xdr:to>
      <xdr:col>6</xdr:col>
      <xdr:colOff>1143000</xdr:colOff>
      <xdr:row>4</xdr:row>
      <xdr:rowOff>27651</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5686425" y="9525"/>
          <a:ext cx="3133725" cy="780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17</xdr:col>
      <xdr:colOff>123825</xdr:colOff>
      <xdr:row>4</xdr:row>
      <xdr:rowOff>37176</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2811125" y="0"/>
          <a:ext cx="3133725" cy="81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17</xdr:col>
      <xdr:colOff>123825</xdr:colOff>
      <xdr:row>4</xdr:row>
      <xdr:rowOff>56226</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2811125" y="0"/>
          <a:ext cx="3133725" cy="81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17</xdr:col>
      <xdr:colOff>123825</xdr:colOff>
      <xdr:row>4</xdr:row>
      <xdr:rowOff>75276</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2696825" y="0"/>
          <a:ext cx="3133725" cy="83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17</xdr:col>
      <xdr:colOff>390525</xdr:colOff>
      <xdr:row>4</xdr:row>
      <xdr:rowOff>94326</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2363450" y="0"/>
          <a:ext cx="3133725" cy="856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16</xdr:col>
      <xdr:colOff>933450</xdr:colOff>
      <xdr:row>4</xdr:row>
      <xdr:rowOff>57150</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4925675" y="0"/>
          <a:ext cx="3133725" cy="81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16</xdr:col>
      <xdr:colOff>762000</xdr:colOff>
      <xdr:row>4</xdr:row>
      <xdr:rowOff>113376</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3401675" y="0"/>
          <a:ext cx="3133725" cy="875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17</xdr:col>
      <xdr:colOff>123825</xdr:colOff>
      <xdr:row>4</xdr:row>
      <xdr:rowOff>19050</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3335000" y="0"/>
          <a:ext cx="31337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800100</xdr:colOff>
      <xdr:row>0</xdr:row>
      <xdr:rowOff>0</xdr:rowOff>
    </xdr:from>
    <xdr:to>
      <xdr:col>16</xdr:col>
      <xdr:colOff>762000</xdr:colOff>
      <xdr:row>4</xdr:row>
      <xdr:rowOff>38100</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3335000" y="0"/>
          <a:ext cx="313372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13</xdr:col>
      <xdr:colOff>800100</xdr:colOff>
      <xdr:row>0</xdr:row>
      <xdr:rowOff>1</xdr:rowOff>
    </xdr:from>
    <xdr:to>
      <xdr:col>16</xdr:col>
      <xdr:colOff>733426</xdr:colOff>
      <xdr:row>3</xdr:row>
      <xdr:rowOff>178594</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9052381" y="1"/>
          <a:ext cx="3148013" cy="773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666750</xdr:colOff>
      <xdr:row>0</xdr:row>
      <xdr:rowOff>28575</xdr:rowOff>
    </xdr:from>
    <xdr:to>
      <xdr:col>17</xdr:col>
      <xdr:colOff>85725</xdr:colOff>
      <xdr:row>3</xdr:row>
      <xdr:rowOff>180975</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0163175" y="28575"/>
          <a:ext cx="313372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209551</xdr:colOff>
      <xdr:row>0</xdr:row>
      <xdr:rowOff>0</xdr:rowOff>
    </xdr:from>
    <xdr:to>
      <xdr:col>17</xdr:col>
      <xdr:colOff>114301</xdr:colOff>
      <xdr:row>4</xdr:row>
      <xdr:rowOff>5848</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0515601" y="0"/>
          <a:ext cx="2876550" cy="786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123824</xdr:colOff>
      <xdr:row>6</xdr:row>
      <xdr:rowOff>0</xdr:rowOff>
    </xdr:from>
    <xdr:to>
      <xdr:col>9</xdr:col>
      <xdr:colOff>323850</xdr:colOff>
      <xdr:row>22</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571499</xdr:colOff>
      <xdr:row>5</xdr:row>
      <xdr:rowOff>180975</xdr:rowOff>
    </xdr:from>
    <xdr:to>
      <xdr:col>18</xdr:col>
      <xdr:colOff>590550</xdr:colOff>
      <xdr:row>22</xdr:row>
      <xdr:rowOff>142875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123824</xdr:colOff>
      <xdr:row>23</xdr:row>
      <xdr:rowOff>190499</xdr:rowOff>
    </xdr:from>
    <xdr:to>
      <xdr:col>9</xdr:col>
      <xdr:colOff>314324</xdr:colOff>
      <xdr:row>43</xdr:row>
      <xdr:rowOff>47625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171451</xdr:colOff>
      <xdr:row>0</xdr:row>
      <xdr:rowOff>9525</xdr:rowOff>
    </xdr:from>
    <xdr:to>
      <xdr:col>19</xdr:col>
      <xdr:colOff>1</xdr:colOff>
      <xdr:row>4</xdr:row>
      <xdr:rowOff>19050</xdr:rowOff>
    </xdr:to>
    <xdr:pic>
      <xdr:nvPicPr>
        <xdr:cNvPr id="5" name="Picture 4" descr="SBI Logo [State Bank of India] - PNG Logo Vector Brand Downloads (SVG, EPS)"/>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0100" b="20974"/>
        <a:stretch/>
      </xdr:blipFill>
      <xdr:spPr bwMode="auto">
        <a:xfrm>
          <a:off x="7791451" y="9525"/>
          <a:ext cx="28765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23</xdr:row>
      <xdr:rowOff>190499</xdr:rowOff>
    </xdr:from>
    <xdr:to>
      <xdr:col>18</xdr:col>
      <xdr:colOff>557213</xdr:colOff>
      <xdr:row>43</xdr:row>
      <xdr:rowOff>66674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447675</xdr:colOff>
      <xdr:row>0</xdr:row>
      <xdr:rowOff>0</xdr:rowOff>
    </xdr:from>
    <xdr:to>
      <xdr:col>8</xdr:col>
      <xdr:colOff>104775</xdr:colOff>
      <xdr:row>4</xdr:row>
      <xdr:rowOff>26193</xdr:rowOff>
    </xdr:to>
    <xdr:pic>
      <xdr:nvPicPr>
        <xdr:cNvPr id="3" name="Picture 2"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2038350" y="0"/>
          <a:ext cx="3133725" cy="807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19050</xdr:colOff>
      <xdr:row>0</xdr:row>
      <xdr:rowOff>1</xdr:rowOff>
    </xdr:from>
    <xdr:to>
      <xdr:col>10</xdr:col>
      <xdr:colOff>123825</xdr:colOff>
      <xdr:row>3</xdr:row>
      <xdr:rowOff>133351</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4829175" y="1"/>
          <a:ext cx="31337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12</xdr:col>
      <xdr:colOff>866775</xdr:colOff>
      <xdr:row>0</xdr:row>
      <xdr:rowOff>0</xdr:rowOff>
    </xdr:from>
    <xdr:to>
      <xdr:col>17</xdr:col>
      <xdr:colOff>66675</xdr:colOff>
      <xdr:row>4</xdr:row>
      <xdr:rowOff>7143</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0525125" y="0"/>
          <a:ext cx="3133725" cy="788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12</xdr:col>
      <xdr:colOff>866775</xdr:colOff>
      <xdr:row>0</xdr:row>
      <xdr:rowOff>0</xdr:rowOff>
    </xdr:from>
    <xdr:to>
      <xdr:col>17</xdr:col>
      <xdr:colOff>533400</xdr:colOff>
      <xdr:row>4</xdr:row>
      <xdr:rowOff>26193</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0525125" y="0"/>
          <a:ext cx="3133725" cy="788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15</xdr:col>
      <xdr:colOff>714375</xdr:colOff>
      <xdr:row>0</xdr:row>
      <xdr:rowOff>1</xdr:rowOff>
    </xdr:from>
    <xdr:to>
      <xdr:col>18</xdr:col>
      <xdr:colOff>158750</xdr:colOff>
      <xdr:row>4</xdr:row>
      <xdr:rowOff>1</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15182850" y="1"/>
          <a:ext cx="31337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238125</xdr:colOff>
      <xdr:row>0</xdr:row>
      <xdr:rowOff>0</xdr:rowOff>
    </xdr:from>
    <xdr:to>
      <xdr:col>7</xdr:col>
      <xdr:colOff>295275</xdr:colOff>
      <xdr:row>4</xdr:row>
      <xdr:rowOff>0</xdr:rowOff>
    </xdr:to>
    <xdr:pic>
      <xdr:nvPicPr>
        <xdr:cNvPr id="2" name="Picture 1" descr="SBI Logo [State Bank of India] - PNG Logo Vector Brand Downloads (SVG, EPS)"/>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0100" b="20974"/>
        <a:stretch/>
      </xdr:blipFill>
      <xdr:spPr bwMode="auto">
        <a:xfrm>
          <a:off x="2190750" y="0"/>
          <a:ext cx="292417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xdr:row>
      <xdr:rowOff>66674</xdr:rowOff>
    </xdr:from>
    <xdr:to>
      <xdr:col>8</xdr:col>
      <xdr:colOff>1143000</xdr:colOff>
      <xdr:row>31</xdr:row>
      <xdr:rowOff>76199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22</xdr:row>
      <xdr:rowOff>57151</xdr:rowOff>
    </xdr:from>
    <xdr:to>
      <xdr:col>8</xdr:col>
      <xdr:colOff>1066800</xdr:colOff>
      <xdr:row>22</xdr:row>
      <xdr:rowOff>66675</xdr:rowOff>
    </xdr:to>
    <xdr:cxnSp macro="">
      <xdr:nvCxnSpPr>
        <xdr:cNvPr id="5" name="Straight Connector 4"/>
        <xdr:cNvCxnSpPr/>
      </xdr:nvCxnSpPr>
      <xdr:spPr>
        <a:xfrm>
          <a:off x="781050" y="4295776"/>
          <a:ext cx="6076950" cy="9524"/>
        </a:xfrm>
        <a:prstGeom prst="line">
          <a:avLst/>
        </a:prstGeom>
        <a:ln w="28575">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prstDash val="sysDash"/>
        </a:ln>
      </xdr:spPr>
      <xdr:style>
        <a:lnRef idx="3">
          <a:schemeClr val="accent2"/>
        </a:lnRef>
        <a:fillRef idx="0">
          <a:schemeClr val="accent2"/>
        </a:fillRef>
        <a:effectRef idx="2">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bi%20euity%20roug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32"/>
      <sheetName val="Sheet34"/>
      <sheetName val="Sheet35"/>
      <sheetName val="Sheet36"/>
      <sheetName val="Sheet37"/>
      <sheetName val="Sheet33"/>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8"/>
      <sheetName val="Income Statement"/>
      <sheetName val="CF"/>
      <sheetName val="Shareho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C2">
            <v>2022</v>
          </cell>
          <cell r="D2">
            <v>2023</v>
          </cell>
          <cell r="E2">
            <v>2024</v>
          </cell>
          <cell r="F2">
            <v>2025</v>
          </cell>
          <cell r="G2">
            <v>2026</v>
          </cell>
          <cell r="H2">
            <v>2027</v>
          </cell>
          <cell r="I2">
            <v>2028</v>
          </cell>
          <cell r="J2">
            <v>2029</v>
          </cell>
          <cell r="K2">
            <v>2030</v>
          </cell>
          <cell r="L2">
            <v>2031</v>
          </cell>
          <cell r="M2">
            <v>2032</v>
          </cell>
          <cell r="N2">
            <v>2033</v>
          </cell>
          <cell r="O2">
            <v>2034</v>
          </cell>
          <cell r="P2">
            <v>2035</v>
          </cell>
        </row>
        <row r="3">
          <cell r="B3" t="str">
            <v>Revenue</v>
          </cell>
          <cell r="C3">
            <v>406973.08970000001</v>
          </cell>
          <cell r="D3">
            <v>473378.14120000001</v>
          </cell>
          <cell r="E3">
            <v>594574.90449999995</v>
          </cell>
          <cell r="F3">
            <v>663343.31740000006</v>
          </cell>
          <cell r="G3">
            <v>762037.344799518</v>
          </cell>
          <cell r="H3">
            <v>864350.24469455355</v>
          </cell>
          <cell r="I3">
            <v>969017.14955865138</v>
          </cell>
          <cell r="J3">
            <v>1074799.1845377216</v>
          </cell>
          <cell r="K3">
            <v>1180527.8730334695</v>
          </cell>
          <cell r="L3">
            <v>1285138.8678862399</v>
          </cell>
          <cell r="M3">
            <v>1387694.8347101717</v>
          </cell>
          <cell r="N3">
            <v>1487398.2557894788</v>
          </cell>
          <cell r="O3">
            <v>1583595.5359701805</v>
          </cell>
          <cell r="P3">
            <v>1675774.103323468</v>
          </cell>
        </row>
        <row r="4">
          <cell r="B4" t="str">
            <v>Y-O-Y Growth Rate</v>
          </cell>
          <cell r="C4">
            <v>5.6146046712216569E-2</v>
          </cell>
          <cell r="D4">
            <v>0.16316816315533411</v>
          </cell>
          <cell r="E4">
            <v>0.25602526342422482</v>
          </cell>
          <cell r="F4">
            <v>0.11565979724258635</v>
          </cell>
          <cell r="G4">
            <v>0.14878272654702096</v>
          </cell>
          <cell r="H4">
            <v>0.1342623174484352</v>
          </cell>
          <cell r="I4">
            <v>0.12109316276191406</v>
          </cell>
          <cell r="J4">
            <v>0.10916425475777158</v>
          </cell>
          <cell r="K4">
            <v>9.837064450437083E-2</v>
          </cell>
          <cell r="L4">
            <v>8.861374410750944E-2</v>
          </cell>
          <cell r="M4">
            <v>7.9801466897202245E-2</v>
          </cell>
          <cell r="N4">
            <v>7.184823246829386E-2</v>
          </cell>
          <cell r="O4">
            <v>6.4674864183999148E-2</v>
          </cell>
          <cell r="P4">
            <v>5.8208403130421082E-2</v>
          </cell>
        </row>
      </sheetData>
      <sheetData sheetId="14">
        <row r="3">
          <cell r="C3">
            <v>2022</v>
          </cell>
          <cell r="D3">
            <v>2023</v>
          </cell>
          <cell r="E3">
            <v>2024</v>
          </cell>
          <cell r="F3">
            <v>2025</v>
          </cell>
          <cell r="G3">
            <v>2026</v>
          </cell>
          <cell r="H3">
            <v>2027</v>
          </cell>
          <cell r="I3">
            <v>2028</v>
          </cell>
          <cell r="J3">
            <v>2029</v>
          </cell>
          <cell r="K3">
            <v>2030</v>
          </cell>
          <cell r="L3">
            <v>2031</v>
          </cell>
          <cell r="M3">
            <v>2032</v>
          </cell>
          <cell r="N3">
            <v>2033</v>
          </cell>
          <cell r="O3">
            <v>2034</v>
          </cell>
          <cell r="P3">
            <v>2035</v>
          </cell>
        </row>
        <row r="4">
          <cell r="B4" t="str">
            <v>Net Profit</v>
          </cell>
          <cell r="C4">
            <v>35373.879800000017</v>
          </cell>
          <cell r="D4">
            <v>55648.172799999928</v>
          </cell>
          <cell r="E4">
            <v>67084.666099999886</v>
          </cell>
          <cell r="F4">
            <v>77561.337100000048</v>
          </cell>
          <cell r="G4">
            <v>74666.326165213264</v>
          </cell>
          <cell r="H4">
            <v>82948.817496481366</v>
          </cell>
          <cell r="I4">
            <v>93090.250839007742</v>
          </cell>
          <cell r="J4">
            <v>103316.55392505754</v>
          </cell>
          <cell r="K4">
            <v>113516.15263872658</v>
          </cell>
          <cell r="L4">
            <v>123588.15158715955</v>
          </cell>
          <cell r="M4">
            <v>133444.34499567887</v>
          </cell>
          <cell r="N4">
            <v>143010.26811568876</v>
          </cell>
          <cell r="O4">
            <v>152225.43385918066</v>
          </cell>
          <cell r="P4">
            <v>161042.92389910115</v>
          </cell>
        </row>
        <row r="5">
          <cell r="B5" t="str">
            <v>NIIs Margin</v>
          </cell>
          <cell r="C5">
            <v>6.1204637060238445E-2</v>
          </cell>
          <cell r="D5">
            <v>6.3550622315080865E-2</v>
          </cell>
          <cell r="E5">
            <v>6.7046200870963024E-2</v>
          </cell>
          <cell r="F5">
            <v>6.5437119095663437E-2</v>
          </cell>
          <cell r="G5">
            <v>6.6838843581739055E-2</v>
          </cell>
          <cell r="H5">
            <v>6.421113575185923E-2</v>
          </cell>
          <cell r="I5">
            <v>6.3859660296335469E-2</v>
          </cell>
          <cell r="J5">
            <v>6.353749764789908E-2</v>
          </cell>
          <cell r="K5">
            <v>6.3242839284963173E-2</v>
          </cell>
          <cell r="L5">
            <v>6.2973861642936627E-2</v>
          </cell>
          <cell r="M5">
            <v>6.2728756297504865E-2</v>
          </cell>
          <cell r="N5">
            <v>6.2505754374260758E-2</v>
          </cell>
          <cell r="O5">
            <v>6.23031456404032E-2</v>
          </cell>
          <cell r="P5">
            <v>6.2119292821634552E-2</v>
          </cell>
        </row>
        <row r="21">
          <cell r="D21">
            <v>2022</v>
          </cell>
          <cell r="E21">
            <v>2023</v>
          </cell>
          <cell r="F21">
            <v>2024</v>
          </cell>
          <cell r="G21">
            <v>2025</v>
          </cell>
          <cell r="H21">
            <v>2026</v>
          </cell>
          <cell r="I21">
            <v>2027</v>
          </cell>
          <cell r="J21">
            <v>2028</v>
          </cell>
          <cell r="K21">
            <v>2029</v>
          </cell>
          <cell r="L21">
            <v>2030</v>
          </cell>
          <cell r="M21">
            <v>2031</v>
          </cell>
          <cell r="N21">
            <v>2032</v>
          </cell>
          <cell r="O21">
            <v>2033</v>
          </cell>
          <cell r="P21">
            <v>2034</v>
          </cell>
          <cell r="Q21">
            <v>2035</v>
          </cell>
        </row>
        <row r="22">
          <cell r="C22" t="str">
            <v xml:space="preserve">Loan to Deposit Ratio
</v>
          </cell>
          <cell r="D22">
            <v>0.68358094520522394</v>
          </cell>
          <cell r="E22">
            <v>0.73131389967184224</v>
          </cell>
          <cell r="F22">
            <v>0.76195391261074952</v>
          </cell>
          <cell r="G22">
            <v>0.78141735772893683</v>
          </cell>
          <cell r="H22">
            <v>0.72311844294537164</v>
          </cell>
          <cell r="I22">
            <v>0.72311844294537164</v>
          </cell>
          <cell r="J22">
            <v>0.72311844294537164</v>
          </cell>
          <cell r="K22">
            <v>0.72311844294537164</v>
          </cell>
          <cell r="L22">
            <v>0.72311844294537164</v>
          </cell>
          <cell r="M22">
            <v>0.72311844294537164</v>
          </cell>
          <cell r="N22">
            <v>0.72311844294537175</v>
          </cell>
          <cell r="O22">
            <v>0.72311844294537164</v>
          </cell>
          <cell r="P22">
            <v>0.72311844294537153</v>
          </cell>
          <cell r="Q22">
            <v>0.72311844294537153</v>
          </cell>
        </row>
        <row r="23">
          <cell r="C23" t="str">
            <v>Cash to Deposit Ratio</v>
          </cell>
          <cell r="D23">
            <v>9.759360159252016E-2</v>
          </cell>
          <cell r="E23">
            <v>7.1234056261969603E-2</v>
          </cell>
          <cell r="F23">
            <v>6.5754523013600102E-2</v>
          </cell>
          <cell r="G23">
            <v>6.5797730314660935E-2</v>
          </cell>
          <cell r="H23">
            <v>8.0470485940194209E-2</v>
          </cell>
          <cell r="I23">
            <v>8.0501174741233944E-2</v>
          </cell>
          <cell r="J23">
            <v>8.1375115710185617E-2</v>
          </cell>
          <cell r="K23">
            <v>8.2936333977289708E-2</v>
          </cell>
          <cell r="L23">
            <v>8.5071341231147291E-2</v>
          </cell>
          <cell r="M23">
            <v>8.7696335486389082E-2</v>
          </cell>
          <cell r="N23">
            <v>9.0748474319282443E-2</v>
          </cell>
          <cell r="O23">
            <v>9.4179852288652263E-2</v>
          </cell>
          <cell r="P23">
            <v>9.7953297553961899E-2</v>
          </cell>
          <cell r="Q23">
            <v>0.10203940796161726</v>
          </cell>
        </row>
      </sheetData>
      <sheetData sheetId="15">
        <row r="5">
          <cell r="D5">
            <v>2022</v>
          </cell>
          <cell r="E5">
            <v>2023</v>
          </cell>
          <cell r="F5">
            <v>2024</v>
          </cell>
          <cell r="G5">
            <v>2025</v>
          </cell>
          <cell r="H5">
            <v>2026</v>
          </cell>
          <cell r="I5">
            <v>2027</v>
          </cell>
          <cell r="J5">
            <v>2028</v>
          </cell>
          <cell r="K5">
            <v>2029</v>
          </cell>
          <cell r="L5">
            <v>2030</v>
          </cell>
          <cell r="M5">
            <v>2031</v>
          </cell>
          <cell r="N5">
            <v>2032</v>
          </cell>
          <cell r="O5">
            <v>2033</v>
          </cell>
          <cell r="P5">
            <v>2034</v>
          </cell>
          <cell r="Q5">
            <v>2035</v>
          </cell>
        </row>
        <row r="6">
          <cell r="C6" t="str">
            <v>Return on Equity</v>
          </cell>
          <cell r="D6">
            <v>0.11752452498261774</v>
          </cell>
          <cell r="E6">
            <v>0.16163558029248681</v>
          </cell>
          <cell r="F6">
            <v>0.16722565077753815</v>
          </cell>
          <cell r="G6">
            <v>0.16579671098629428</v>
          </cell>
          <cell r="H6">
            <v>0.13860005225961849</v>
          </cell>
          <cell r="I6">
            <v>0.1360348081511514</v>
          </cell>
          <cell r="J6">
            <v>0.13508765255746727</v>
          </cell>
          <cell r="K6">
            <v>0.1328592974019161</v>
          </cell>
          <cell r="L6">
            <v>0.12967723342406751</v>
          </cell>
          <cell r="M6">
            <v>0.12582179777020305</v>
          </cell>
          <cell r="N6">
            <v>0.12152261279862989</v>
          </cell>
          <cell r="O6">
            <v>0.11696145319091514</v>
          </cell>
          <cell r="P6">
            <v>0.11227819189806515</v>
          </cell>
          <cell r="Q6">
            <v>0.10757772019841902</v>
          </cell>
        </row>
        <row r="7">
          <cell r="C7" t="str">
            <v>Return on Assets</v>
          </cell>
          <cell r="D7">
            <v>6.931636232853219E-3</v>
          </cell>
          <cell r="E7">
            <v>9.8359148620864364E-3</v>
          </cell>
          <cell r="F7">
            <v>1.0574341726091901E-2</v>
          </cell>
          <cell r="G7">
            <v>1.1042359778865363E-2</v>
          </cell>
          <cell r="H7">
            <v>9.0194335103189974E-3</v>
          </cell>
          <cell r="I7">
            <v>8.4109438997738567E-3</v>
          </cell>
          <cell r="J7">
            <v>8.3723044078281086E-3</v>
          </cell>
          <cell r="K7">
            <v>8.3289102125597789E-3</v>
          </cell>
          <cell r="L7">
            <v>8.2824918716105939E-3</v>
          </cell>
          <cell r="M7">
            <v>8.2342607309671065E-3</v>
          </cell>
          <cell r="N7">
            <v>8.1850573229807939E-3</v>
          </cell>
          <cell r="O7">
            <v>8.1354569785209632E-3</v>
          </cell>
          <cell r="P7">
            <v>8.0858454717454269E-3</v>
          </cell>
          <cell r="Q7">
            <v>8.0364735091097116E-3</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aarti-industrie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https://www.bseindia.com/indices/IndexArchiveData.html"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https://www.bseindia.com/indices/IndexArchiveData.html"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B1:M32"/>
  <sheetViews>
    <sheetView showGridLines="0" topLeftCell="A9" workbookViewId="0">
      <selection activeCell="Q14" sqref="Q14"/>
    </sheetView>
  </sheetViews>
  <sheetFormatPr defaultRowHeight="15"/>
  <cols>
    <col min="1" max="1" width="1.85546875" customWidth="1"/>
    <col min="5" max="5" width="15.140625" bestFit="1" customWidth="1"/>
  </cols>
  <sheetData>
    <row r="1" spans="2:13">
      <c r="B1" s="247"/>
      <c r="C1" s="247"/>
      <c r="D1" s="247"/>
      <c r="E1" s="247"/>
      <c r="F1" s="247"/>
      <c r="G1" s="247"/>
      <c r="H1" s="247"/>
      <c r="I1" s="247"/>
      <c r="J1" s="247"/>
      <c r="K1" s="247"/>
      <c r="L1" s="247"/>
      <c r="M1" s="247"/>
    </row>
    <row r="2" spans="2:13">
      <c r="B2" s="247"/>
      <c r="C2" s="247"/>
      <c r="D2" s="247"/>
      <c r="E2" s="247"/>
      <c r="F2" s="247"/>
      <c r="G2" s="247"/>
      <c r="H2" s="247"/>
      <c r="I2" s="247"/>
      <c r="J2" s="247"/>
      <c r="K2" s="247"/>
      <c r="L2" s="247"/>
      <c r="M2" s="247"/>
    </row>
    <row r="3" spans="2:13">
      <c r="B3" s="247"/>
      <c r="C3" s="247"/>
      <c r="D3" s="247"/>
      <c r="E3" s="247"/>
      <c r="F3" s="247"/>
      <c r="G3" s="247"/>
      <c r="H3" s="247"/>
      <c r="I3" s="247"/>
      <c r="J3" s="247"/>
      <c r="K3" s="247"/>
      <c r="L3" s="247"/>
      <c r="M3" s="247"/>
    </row>
    <row r="4" spans="2:13">
      <c r="B4" s="247"/>
      <c r="C4" s="247"/>
      <c r="D4" s="247"/>
      <c r="E4" s="247"/>
      <c r="F4" s="247"/>
      <c r="G4" s="247"/>
      <c r="H4" s="247"/>
      <c r="I4" s="247"/>
      <c r="J4" s="247"/>
      <c r="K4" s="247"/>
      <c r="L4" s="247"/>
      <c r="M4" s="247"/>
    </row>
    <row r="5" spans="2:13">
      <c r="B5" s="247"/>
      <c r="C5" s="247"/>
      <c r="D5" s="247"/>
      <c r="E5" s="247"/>
      <c r="F5" s="247"/>
      <c r="G5" s="247"/>
      <c r="H5" s="247"/>
      <c r="I5" s="247"/>
      <c r="J5" s="247"/>
      <c r="K5" s="247"/>
      <c r="L5" s="247"/>
      <c r="M5" s="247"/>
    </row>
    <row r="6" spans="2:13">
      <c r="B6" s="247"/>
      <c r="C6" s="247"/>
      <c r="D6" s="247"/>
      <c r="E6" s="247"/>
      <c r="F6" s="247"/>
      <c r="G6" s="247"/>
      <c r="H6" s="247"/>
      <c r="I6" s="247"/>
      <c r="J6" s="247"/>
      <c r="K6" s="247"/>
      <c r="L6" s="247"/>
      <c r="M6" s="247"/>
    </row>
    <row r="7" spans="2:13">
      <c r="B7" s="247"/>
      <c r="C7" s="247"/>
      <c r="D7" s="247"/>
      <c r="E7" s="247"/>
      <c r="F7" s="247"/>
      <c r="G7" s="247"/>
      <c r="H7" s="247"/>
      <c r="I7" s="247"/>
      <c r="J7" s="247"/>
      <c r="K7" s="247"/>
      <c r="L7" s="247"/>
      <c r="M7" s="247"/>
    </row>
    <row r="8" spans="2:13">
      <c r="B8" s="247"/>
      <c r="C8" s="247"/>
      <c r="D8" s="247"/>
      <c r="E8" s="247"/>
      <c r="F8" s="247"/>
      <c r="G8" s="247"/>
      <c r="H8" s="247"/>
      <c r="I8" s="247"/>
      <c r="J8" s="247"/>
      <c r="K8" s="247"/>
      <c r="L8" s="247"/>
      <c r="M8" s="247"/>
    </row>
    <row r="9" spans="2:13">
      <c r="B9" s="247"/>
      <c r="C9" s="247"/>
      <c r="D9" s="247"/>
      <c r="E9" s="247"/>
      <c r="F9" s="247"/>
      <c r="G9" s="247"/>
      <c r="H9" s="247"/>
      <c r="I9" s="247"/>
      <c r="J9" s="247"/>
      <c r="K9" s="247"/>
      <c r="L9" s="247"/>
      <c r="M9" s="247"/>
    </row>
    <row r="10" spans="2:13">
      <c r="B10" s="247"/>
      <c r="C10" s="247"/>
      <c r="D10" s="247"/>
      <c r="E10" s="247"/>
      <c r="F10" s="247"/>
      <c r="G10" s="247"/>
      <c r="H10" s="247"/>
      <c r="I10" s="247"/>
      <c r="J10" s="247"/>
      <c r="K10" s="247"/>
      <c r="L10" s="247"/>
      <c r="M10" s="247"/>
    </row>
    <row r="11" spans="2:13">
      <c r="B11" s="247"/>
      <c r="C11" s="247"/>
      <c r="D11" s="247"/>
      <c r="E11" s="247"/>
      <c r="F11" s="247"/>
      <c r="G11" s="247"/>
      <c r="H11" s="247"/>
      <c r="I11" s="247"/>
      <c r="J11" s="247"/>
      <c r="K11" s="247"/>
      <c r="L11" s="247"/>
      <c r="M11" s="247"/>
    </row>
    <row r="12" spans="2:13">
      <c r="B12" s="247"/>
      <c r="C12" s="247"/>
      <c r="D12" s="247"/>
      <c r="E12" s="247"/>
      <c r="F12" s="247"/>
      <c r="G12" s="247"/>
      <c r="H12" s="247"/>
      <c r="I12" s="247"/>
      <c r="J12" s="247"/>
      <c r="K12" s="247"/>
      <c r="L12" s="247"/>
      <c r="M12" s="247"/>
    </row>
    <row r="13" spans="2:13" ht="23.25">
      <c r="B13" s="247"/>
      <c r="C13" s="247"/>
      <c r="D13" s="314" t="s">
        <v>402</v>
      </c>
      <c r="E13" s="315" t="s">
        <v>400</v>
      </c>
      <c r="F13" s="247"/>
      <c r="G13" s="247"/>
      <c r="H13" s="247"/>
      <c r="I13" s="247"/>
      <c r="J13" s="247"/>
      <c r="K13" s="247"/>
      <c r="L13" s="247"/>
      <c r="M13" s="247"/>
    </row>
    <row r="14" spans="2:13" ht="23.25">
      <c r="B14" s="247"/>
      <c r="C14" s="247"/>
      <c r="D14" s="314" t="s">
        <v>401</v>
      </c>
      <c r="E14" s="315">
        <v>500112</v>
      </c>
      <c r="F14" s="247"/>
      <c r="G14" s="247"/>
      <c r="H14" s="247"/>
      <c r="I14" s="247"/>
      <c r="J14" s="247"/>
      <c r="K14" s="247"/>
      <c r="L14" s="247"/>
      <c r="M14" s="247"/>
    </row>
    <row r="15" spans="2:13">
      <c r="B15" s="247"/>
      <c r="C15" s="247"/>
      <c r="D15" s="247"/>
      <c r="E15" s="247"/>
      <c r="F15" s="247"/>
      <c r="G15" s="247"/>
      <c r="H15" s="247"/>
      <c r="I15" s="247"/>
      <c r="J15" s="247"/>
      <c r="K15" s="247"/>
      <c r="L15" s="247"/>
      <c r="M15" s="247"/>
    </row>
    <row r="16" spans="2:13" ht="36">
      <c r="B16" s="316" t="s">
        <v>403</v>
      </c>
      <c r="C16" s="247"/>
      <c r="D16" s="247"/>
      <c r="E16" s="247"/>
      <c r="F16" s="247"/>
      <c r="G16" s="247"/>
      <c r="H16" s="247"/>
      <c r="I16" s="247"/>
      <c r="J16" s="247"/>
      <c r="K16" s="247"/>
      <c r="L16" s="247"/>
      <c r="M16" s="247"/>
    </row>
    <row r="17" spans="2:13">
      <c r="B17" s="247"/>
      <c r="C17" s="247"/>
      <c r="D17" s="247"/>
      <c r="E17" s="247"/>
      <c r="F17" s="247"/>
      <c r="G17" s="247"/>
      <c r="H17" s="247"/>
      <c r="I17" s="247"/>
      <c r="J17" s="247"/>
      <c r="K17" s="247"/>
      <c r="L17" s="247"/>
      <c r="M17" s="247"/>
    </row>
    <row r="18" spans="2:13">
      <c r="B18" s="247"/>
      <c r="C18" s="247"/>
      <c r="D18" s="247"/>
      <c r="E18" s="247"/>
      <c r="F18" s="247"/>
      <c r="G18" s="247"/>
      <c r="H18" s="247"/>
      <c r="I18" s="247"/>
      <c r="J18" s="247"/>
      <c r="K18" s="247"/>
      <c r="L18" s="247"/>
      <c r="M18" s="247"/>
    </row>
    <row r="19" spans="2:13">
      <c r="B19" s="247"/>
      <c r="C19" s="247"/>
      <c r="D19" s="247"/>
      <c r="E19" s="247"/>
      <c r="F19" s="247"/>
      <c r="G19" s="247"/>
      <c r="H19" s="247"/>
      <c r="I19" s="247"/>
      <c r="J19" s="247"/>
      <c r="K19" s="247"/>
      <c r="L19" s="247"/>
      <c r="M19" s="247"/>
    </row>
    <row r="20" spans="2:13" ht="28.5">
      <c r="B20" s="247"/>
      <c r="C20" s="247"/>
      <c r="D20" s="247"/>
      <c r="E20" s="247"/>
      <c r="F20" s="247"/>
      <c r="G20" s="247"/>
      <c r="H20" s="247"/>
      <c r="I20" s="247"/>
      <c r="J20" s="317" t="s">
        <v>404</v>
      </c>
      <c r="K20" s="247"/>
      <c r="L20" s="247"/>
      <c r="M20" s="247"/>
    </row>
    <row r="21" spans="2:13">
      <c r="B21" s="247"/>
      <c r="C21" s="247"/>
      <c r="D21" s="247"/>
      <c r="E21" s="247"/>
      <c r="F21" s="247"/>
      <c r="G21" s="247"/>
      <c r="H21" s="247"/>
      <c r="I21" s="247"/>
      <c r="J21" s="247"/>
      <c r="K21" s="247"/>
      <c r="L21" s="247"/>
      <c r="M21" s="247"/>
    </row>
    <row r="22" spans="2:13">
      <c r="B22" s="247"/>
      <c r="C22" s="247"/>
      <c r="D22" s="247"/>
      <c r="E22" s="247"/>
      <c r="F22" s="247"/>
      <c r="G22" s="247"/>
      <c r="H22" s="247"/>
      <c r="I22" s="247"/>
      <c r="J22" s="247"/>
      <c r="K22" s="247"/>
      <c r="L22" s="247"/>
      <c r="M22" s="247"/>
    </row>
    <row r="23" spans="2:13">
      <c r="B23" s="247"/>
      <c r="C23" s="247"/>
      <c r="D23" s="247"/>
      <c r="E23" s="247"/>
      <c r="F23" s="247"/>
      <c r="G23" s="247"/>
      <c r="H23" s="247"/>
      <c r="I23" s="247"/>
      <c r="J23" s="247"/>
      <c r="K23" s="247"/>
      <c r="L23" s="247"/>
      <c r="M23" s="247"/>
    </row>
    <row r="24" spans="2:13">
      <c r="B24" s="247"/>
      <c r="C24" s="247"/>
      <c r="D24" s="247"/>
      <c r="E24" s="247"/>
      <c r="F24" s="247"/>
      <c r="G24" s="247"/>
      <c r="H24" s="247"/>
      <c r="I24" s="247"/>
      <c r="J24" s="247"/>
      <c r="K24" s="247"/>
      <c r="L24" s="247"/>
      <c r="M24" s="247"/>
    </row>
    <row r="25" spans="2:13">
      <c r="B25" s="247"/>
      <c r="C25" s="247"/>
      <c r="D25" s="247"/>
      <c r="E25" s="247"/>
      <c r="F25" s="247"/>
      <c r="G25" s="247"/>
      <c r="H25" s="247"/>
      <c r="I25" s="247"/>
      <c r="J25" s="247"/>
      <c r="K25" s="247"/>
      <c r="L25" s="247"/>
      <c r="M25" s="247"/>
    </row>
    <row r="26" spans="2:13">
      <c r="B26" s="247"/>
      <c r="C26" s="247"/>
      <c r="D26" s="247"/>
      <c r="E26" s="247"/>
      <c r="F26" s="247"/>
      <c r="G26" s="247"/>
      <c r="H26" s="247"/>
      <c r="I26" s="247"/>
      <c r="J26" s="247"/>
      <c r="K26" s="247"/>
      <c r="L26" s="247"/>
      <c r="M26" s="247"/>
    </row>
    <row r="27" spans="2:13">
      <c r="B27" s="247"/>
      <c r="C27" s="247"/>
      <c r="D27" s="247"/>
      <c r="E27" s="247"/>
      <c r="F27" s="247"/>
      <c r="G27" s="247"/>
      <c r="H27" s="247"/>
      <c r="I27" s="247"/>
      <c r="J27" s="247"/>
      <c r="K27" s="247"/>
      <c r="L27" s="247"/>
      <c r="M27" s="247"/>
    </row>
    <row r="28" spans="2:13">
      <c r="B28" s="247"/>
      <c r="C28" s="247"/>
      <c r="D28" s="247"/>
      <c r="E28" s="247"/>
      <c r="F28" s="247"/>
      <c r="G28" s="247"/>
      <c r="H28" s="247"/>
      <c r="I28" s="247"/>
      <c r="J28" s="247"/>
      <c r="K28" s="247"/>
      <c r="L28" s="247"/>
      <c r="M28" s="247"/>
    </row>
    <row r="29" spans="2:13">
      <c r="B29" s="247"/>
      <c r="C29" s="247"/>
      <c r="D29" s="247"/>
      <c r="E29" s="247"/>
      <c r="F29" s="247"/>
      <c r="G29" s="247"/>
      <c r="H29" s="247"/>
      <c r="I29" s="247"/>
      <c r="J29" s="247"/>
      <c r="K29" s="247"/>
      <c r="L29" s="247"/>
      <c r="M29" s="247"/>
    </row>
    <row r="30" spans="2:13">
      <c r="B30" s="247"/>
      <c r="C30" s="247"/>
      <c r="D30" s="247"/>
      <c r="E30" s="247"/>
      <c r="F30" s="247"/>
      <c r="G30" s="247"/>
      <c r="H30" s="247"/>
      <c r="I30" s="247"/>
      <c r="J30" s="247"/>
      <c r="K30" s="247"/>
      <c r="L30" s="247"/>
      <c r="M30" s="247"/>
    </row>
    <row r="31" spans="2:13">
      <c r="B31" s="247"/>
      <c r="C31" s="247"/>
      <c r="D31" s="247"/>
      <c r="E31" s="247"/>
      <c r="F31" s="247"/>
      <c r="G31" s="247"/>
      <c r="H31" s="247"/>
      <c r="I31" s="247"/>
      <c r="J31" s="247"/>
      <c r="K31" s="247"/>
      <c r="L31" s="247"/>
      <c r="M31" s="247"/>
    </row>
    <row r="32" spans="2:13">
      <c r="B32" s="247"/>
      <c r="C32" s="247"/>
      <c r="D32" s="247"/>
      <c r="E32" s="247"/>
      <c r="F32" s="247"/>
      <c r="G32" s="247"/>
      <c r="H32" s="247"/>
      <c r="I32" s="247"/>
      <c r="J32" s="247"/>
      <c r="K32" s="247"/>
      <c r="L32" s="247"/>
      <c r="M32" s="24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B1:XFD92"/>
  <sheetViews>
    <sheetView showGridLines="0" topLeftCell="A3" workbookViewId="0">
      <selection activeCell="B10" sqref="B10"/>
    </sheetView>
  </sheetViews>
  <sheetFormatPr defaultRowHeight="15"/>
  <cols>
    <col min="1" max="1" width="1.85546875" customWidth="1"/>
    <col min="2" max="2" width="42" customWidth="1"/>
    <col min="3" max="3" width="36.140625" bestFit="1" customWidth="1"/>
    <col min="4" max="4" width="2.28515625" customWidth="1"/>
    <col min="5" max="5" width="15.85546875" customWidth="1"/>
    <col min="11" max="11" width="5.140625" customWidth="1"/>
    <col min="20" max="20" width="9.140625" customWidth="1"/>
    <col min="21" max="21" width="2.140625" customWidth="1"/>
  </cols>
  <sheetData>
    <row r="1" spans="2:20" ht="16.5" thickTop="1">
      <c r="B1" s="248" t="s">
        <v>318</v>
      </c>
    </row>
    <row r="2" spans="2:20">
      <c r="B2" s="10" t="s">
        <v>319</v>
      </c>
    </row>
    <row r="3" spans="2:20">
      <c r="C3" s="64">
        <v>10000</v>
      </c>
    </row>
    <row r="7" spans="2:20">
      <c r="B7" s="81"/>
      <c r="C7" s="81"/>
      <c r="D7" s="81"/>
      <c r="E7" s="81"/>
      <c r="F7" s="81"/>
      <c r="G7" s="81"/>
      <c r="H7" s="81"/>
      <c r="I7" s="81"/>
      <c r="J7" s="81"/>
      <c r="K7" s="81"/>
      <c r="L7" s="81"/>
      <c r="M7" s="81"/>
      <c r="N7" s="81"/>
      <c r="O7" s="81"/>
      <c r="P7" s="81"/>
      <c r="Q7" s="81"/>
      <c r="R7" s="81"/>
      <c r="S7" s="81"/>
      <c r="T7" s="81"/>
    </row>
    <row r="8" spans="2:20" ht="15.75" thickBot="1"/>
    <row r="9" spans="2:20">
      <c r="B9" s="377" t="s">
        <v>95</v>
      </c>
      <c r="C9" s="378"/>
      <c r="E9" s="224" t="s">
        <v>193</v>
      </c>
      <c r="F9" s="393" t="s">
        <v>305</v>
      </c>
      <c r="G9" s="394"/>
      <c r="H9" s="394"/>
      <c r="I9" s="394"/>
      <c r="J9" s="395"/>
    </row>
    <row r="10" spans="2:20">
      <c r="B10" s="222" t="s">
        <v>85</v>
      </c>
      <c r="C10" s="223">
        <f>IF(B10="Best Case",1,IF(B10="Base Case",2,3))</f>
        <v>2</v>
      </c>
      <c r="E10" s="225" t="s">
        <v>290</v>
      </c>
      <c r="F10" s="396" t="s">
        <v>307</v>
      </c>
      <c r="G10" s="397"/>
      <c r="H10" s="397"/>
      <c r="I10" s="397"/>
      <c r="J10" s="398"/>
    </row>
    <row r="11" spans="2:20">
      <c r="E11" s="225" t="s">
        <v>291</v>
      </c>
      <c r="F11" s="396" t="s">
        <v>405</v>
      </c>
      <c r="G11" s="397"/>
      <c r="H11" s="397"/>
      <c r="I11" s="397"/>
      <c r="J11" s="398"/>
    </row>
    <row r="12" spans="2:20">
      <c r="B12" s="377" t="s">
        <v>129</v>
      </c>
      <c r="C12" s="378"/>
      <c r="E12" s="225" t="s">
        <v>292</v>
      </c>
      <c r="F12" s="396" t="s">
        <v>451</v>
      </c>
      <c r="G12" s="397"/>
      <c r="H12" s="397"/>
      <c r="I12" s="397"/>
      <c r="J12" s="398"/>
    </row>
    <row r="13" spans="2:20">
      <c r="B13" s="176" t="s">
        <v>127</v>
      </c>
      <c r="C13" s="237">
        <v>46063</v>
      </c>
      <c r="E13" s="225" t="s">
        <v>293</v>
      </c>
      <c r="F13" s="396" t="s">
        <v>306</v>
      </c>
      <c r="G13" s="397"/>
      <c r="H13" s="397"/>
      <c r="I13" s="397"/>
      <c r="J13" s="398"/>
    </row>
    <row r="14" spans="2:20">
      <c r="B14" s="176" t="s">
        <v>130</v>
      </c>
      <c r="C14" s="237">
        <v>46112</v>
      </c>
      <c r="E14" s="226" t="s">
        <v>294</v>
      </c>
      <c r="F14" s="379" t="s">
        <v>308</v>
      </c>
      <c r="G14" s="380"/>
      <c r="H14" s="380"/>
      <c r="I14" s="380"/>
      <c r="J14" s="381"/>
    </row>
    <row r="15" spans="2:20">
      <c r="B15" s="176" t="s">
        <v>131</v>
      </c>
      <c r="C15" s="238">
        <v>6.7150000000000001E-2</v>
      </c>
      <c r="E15" s="382" t="s">
        <v>295</v>
      </c>
      <c r="F15" s="385" t="s">
        <v>309</v>
      </c>
      <c r="G15" s="385"/>
      <c r="H15" s="385"/>
      <c r="I15" s="385"/>
      <c r="J15" s="386"/>
    </row>
    <row r="16" spans="2:20">
      <c r="B16" s="176" t="s">
        <v>132</v>
      </c>
      <c r="C16" s="238">
        <v>5.0000000000000001E-3</v>
      </c>
      <c r="E16" s="383"/>
      <c r="F16" s="387"/>
      <c r="G16" s="387"/>
      <c r="H16" s="387"/>
      <c r="I16" s="387"/>
      <c r="J16" s="388"/>
    </row>
    <row r="17" spans="2:16384">
      <c r="B17" s="176" t="s">
        <v>133</v>
      </c>
      <c r="C17" s="238">
        <v>5.0000000000000001E-3</v>
      </c>
      <c r="E17" s="383"/>
      <c r="F17" s="387"/>
      <c r="G17" s="387"/>
      <c r="H17" s="387"/>
      <c r="I17" s="387"/>
      <c r="J17" s="388"/>
    </row>
    <row r="18" spans="2:16384">
      <c r="B18" s="176" t="s">
        <v>128</v>
      </c>
      <c r="C18" s="246">
        <f>Cost_BuildUp!G22</f>
        <v>0.30327525446987991</v>
      </c>
      <c r="E18" s="383"/>
      <c r="F18" s="387"/>
      <c r="G18" s="387"/>
      <c r="H18" s="387"/>
      <c r="I18" s="387"/>
      <c r="J18" s="388"/>
    </row>
    <row r="19" spans="2:16384">
      <c r="B19" s="176" t="s">
        <v>134</v>
      </c>
      <c r="C19" s="217">
        <f>'Comparable Valuation'!E35</f>
        <v>17.648038852841225</v>
      </c>
      <c r="E19" s="383"/>
      <c r="F19" s="387"/>
      <c r="G19" s="387"/>
      <c r="H19" s="387"/>
      <c r="I19" s="387"/>
      <c r="J19" s="388"/>
    </row>
    <row r="20" spans="2:16384">
      <c r="B20" s="176" t="s">
        <v>135</v>
      </c>
      <c r="C20" s="239">
        <v>0.04</v>
      </c>
      <c r="E20" s="383"/>
      <c r="F20" s="387"/>
      <c r="G20" s="387"/>
      <c r="H20" s="387"/>
      <c r="I20" s="387"/>
      <c r="J20" s="388"/>
    </row>
    <row r="21" spans="2:16384">
      <c r="B21" s="176" t="s">
        <v>136</v>
      </c>
      <c r="C21" s="193">
        <f>'DCF Analysis'!C43</f>
        <v>0.10307780242762332</v>
      </c>
      <c r="E21" s="383"/>
      <c r="F21" s="387"/>
      <c r="G21" s="387"/>
      <c r="H21" s="387"/>
      <c r="I21" s="387"/>
      <c r="J21" s="388"/>
    </row>
    <row r="22" spans="2:16384">
      <c r="B22" s="176" t="s">
        <v>288</v>
      </c>
      <c r="C22" s="218">
        <f>'Comparable Valuation'!F30</f>
        <v>923.06</v>
      </c>
      <c r="E22" s="383"/>
      <c r="F22" s="387"/>
      <c r="G22" s="387"/>
      <c r="H22" s="387"/>
      <c r="I22" s="387"/>
      <c r="J22" s="388"/>
    </row>
    <row r="23" spans="2:16384">
      <c r="B23" s="176" t="s">
        <v>137</v>
      </c>
      <c r="C23" s="235">
        <f>'Comparable Valuation'!E30</f>
        <v>1144.0999999999999</v>
      </c>
      <c r="E23" s="383"/>
      <c r="F23" s="387"/>
      <c r="G23" s="387"/>
      <c r="H23" s="387"/>
      <c r="I23" s="387"/>
      <c r="J23" s="388"/>
    </row>
    <row r="24" spans="2:16384">
      <c r="B24" s="219" t="s">
        <v>289</v>
      </c>
      <c r="C24" s="236">
        <f>C23*C22</f>
        <v>1056072.9459999998</v>
      </c>
      <c r="E24" s="383"/>
      <c r="F24" s="387"/>
      <c r="G24" s="387"/>
      <c r="H24" s="387"/>
      <c r="I24" s="387"/>
      <c r="J24" s="388"/>
    </row>
    <row r="25" spans="2:16384">
      <c r="E25" s="383"/>
      <c r="F25" s="387"/>
      <c r="G25" s="387"/>
      <c r="H25" s="387"/>
      <c r="I25" s="387"/>
      <c r="J25" s="388"/>
    </row>
    <row r="26" spans="2:16384">
      <c r="B26" s="391" t="s">
        <v>296</v>
      </c>
      <c r="C26" s="392"/>
      <c r="E26" s="383"/>
      <c r="F26" s="387"/>
      <c r="G26" s="387"/>
      <c r="H26" s="387"/>
      <c r="I26" s="387"/>
      <c r="J26" s="388"/>
    </row>
    <row r="27" spans="2:16384">
      <c r="B27" s="233" t="s">
        <v>297</v>
      </c>
      <c r="C27" s="234" t="s">
        <v>298</v>
      </c>
      <c r="E27" s="383"/>
      <c r="F27" s="387"/>
      <c r="G27" s="387"/>
      <c r="H27" s="387"/>
      <c r="I27" s="387"/>
      <c r="J27" s="388"/>
    </row>
    <row r="28" spans="2:16384">
      <c r="B28" s="227" t="s">
        <v>299</v>
      </c>
      <c r="C28" s="228" t="s">
        <v>300</v>
      </c>
      <c r="E28" s="383"/>
      <c r="F28" s="387"/>
      <c r="G28" s="387"/>
      <c r="H28" s="387"/>
      <c r="I28" s="387"/>
      <c r="J28" s="388"/>
    </row>
    <row r="29" spans="2:16384">
      <c r="B29" s="229" t="s">
        <v>301</v>
      </c>
      <c r="C29" s="230" t="s">
        <v>304</v>
      </c>
      <c r="E29" s="383"/>
      <c r="F29" s="387"/>
      <c r="G29" s="387"/>
      <c r="H29" s="387"/>
      <c r="I29" s="387"/>
      <c r="J29" s="388"/>
    </row>
    <row r="30" spans="2:16384" ht="15.75" thickBot="1">
      <c r="B30" s="231" t="s">
        <v>302</v>
      </c>
      <c r="C30" s="232" t="s">
        <v>303</v>
      </c>
      <c r="E30" s="384"/>
      <c r="F30" s="389"/>
      <c r="G30" s="389"/>
      <c r="H30" s="389"/>
      <c r="I30" s="389"/>
      <c r="J30" s="390"/>
    </row>
    <row r="32" spans="2:16384">
      <c r="B32" s="148" t="s">
        <v>310</v>
      </c>
      <c r="C32" s="148" t="s">
        <v>311</v>
      </c>
      <c r="D32" s="148"/>
      <c r="E32" s="148" t="s">
        <v>312</v>
      </c>
      <c r="F32" s="148" t="s">
        <v>129</v>
      </c>
      <c r="G32" s="148"/>
      <c r="H32" s="148"/>
      <c r="I32" s="148"/>
      <c r="J32" s="148"/>
      <c r="K32" s="148"/>
      <c r="L32" s="148"/>
      <c r="M32" s="148"/>
      <c r="N32" s="148"/>
      <c r="O32" s="148"/>
      <c r="P32" s="148"/>
      <c r="Q32" s="148"/>
      <c r="R32" s="148"/>
      <c r="S32" s="148"/>
      <c r="T32" s="148"/>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c r="WXE32" s="1"/>
      <c r="WXF32" s="1"/>
      <c r="WXG32" s="1"/>
      <c r="WXH32" s="1"/>
      <c r="WXI32" s="1"/>
      <c r="WXJ32" s="1"/>
      <c r="WXK32" s="1"/>
      <c r="WXL32" s="1"/>
      <c r="WXM32" s="1"/>
      <c r="WXN32" s="1"/>
      <c r="WXO32" s="1"/>
      <c r="WXP32" s="1"/>
      <c r="WXQ32" s="1"/>
      <c r="WXR32" s="1"/>
      <c r="WXS32" s="1"/>
      <c r="WXT32" s="1"/>
      <c r="WXU32" s="1"/>
      <c r="WXV32" s="1"/>
      <c r="WXW32" s="1"/>
      <c r="WXX32" s="1"/>
      <c r="WXY32" s="1"/>
      <c r="WXZ32" s="1"/>
      <c r="WYA32" s="1"/>
      <c r="WYB32" s="1"/>
      <c r="WYC32" s="1"/>
      <c r="WYD32" s="1"/>
      <c r="WYE32" s="1"/>
      <c r="WYF32" s="1"/>
      <c r="WYG32" s="1"/>
      <c r="WYH32" s="1"/>
      <c r="WYI32" s="1"/>
      <c r="WYJ32" s="1"/>
      <c r="WYK32" s="1"/>
      <c r="WYL32" s="1"/>
      <c r="WYM32" s="1"/>
      <c r="WYN32" s="1"/>
      <c r="WYO32" s="1"/>
      <c r="WYP32" s="1"/>
      <c r="WYQ32" s="1"/>
      <c r="WYR32" s="1"/>
      <c r="WYS32" s="1"/>
      <c r="WYT32" s="1"/>
      <c r="WYU32" s="1"/>
      <c r="WYV32" s="1"/>
      <c r="WYW32" s="1"/>
      <c r="WYX32" s="1"/>
      <c r="WYY32" s="1"/>
      <c r="WYZ32" s="1"/>
      <c r="WZA32" s="1"/>
      <c r="WZB32" s="1"/>
      <c r="WZC32" s="1"/>
      <c r="WZD32" s="1"/>
      <c r="WZE32" s="1"/>
      <c r="WZF32" s="1"/>
      <c r="WZG32" s="1"/>
      <c r="WZH32" s="1"/>
      <c r="WZI32" s="1"/>
      <c r="WZJ32" s="1"/>
      <c r="WZK32" s="1"/>
      <c r="WZL32" s="1"/>
      <c r="WZM32" s="1"/>
      <c r="WZN32" s="1"/>
      <c r="WZO32" s="1"/>
      <c r="WZP32" s="1"/>
      <c r="WZQ32" s="1"/>
      <c r="WZR32" s="1"/>
      <c r="WZS32" s="1"/>
      <c r="WZT32" s="1"/>
      <c r="WZU32" s="1"/>
      <c r="WZV32" s="1"/>
      <c r="WZW32" s="1"/>
      <c r="WZX32" s="1"/>
      <c r="WZY32" s="1"/>
      <c r="WZZ32" s="1"/>
      <c r="XAA32" s="1"/>
      <c r="XAB32" s="1"/>
      <c r="XAC32" s="1"/>
      <c r="XAD32" s="1"/>
      <c r="XAE32" s="1"/>
      <c r="XAF32" s="1"/>
      <c r="XAG32" s="1"/>
      <c r="XAH32" s="1"/>
      <c r="XAI32" s="1"/>
      <c r="XAJ32" s="1"/>
      <c r="XAK32" s="1"/>
      <c r="XAL32" s="1"/>
      <c r="XAM32" s="1"/>
      <c r="XAN32" s="1"/>
      <c r="XAO32" s="1"/>
      <c r="XAP32" s="1"/>
      <c r="XAQ32" s="1"/>
      <c r="XAR32" s="1"/>
      <c r="XAS32" s="1"/>
      <c r="XAT32" s="1"/>
      <c r="XAU32" s="1"/>
      <c r="XAV32" s="1"/>
      <c r="XAW32" s="1"/>
      <c r="XAX32" s="1"/>
      <c r="XAY32" s="1"/>
      <c r="XAZ32" s="1"/>
      <c r="XBA32" s="1"/>
      <c r="XBB32" s="1"/>
      <c r="XBC32" s="1"/>
      <c r="XBD32" s="1"/>
      <c r="XBE32" s="1"/>
      <c r="XBF32" s="1"/>
      <c r="XBG32" s="1"/>
      <c r="XBH32" s="1"/>
      <c r="XBI32" s="1"/>
      <c r="XBJ32" s="1"/>
      <c r="XBK32" s="1"/>
      <c r="XBL32" s="1"/>
      <c r="XBM32" s="1"/>
      <c r="XBN32" s="1"/>
      <c r="XBO32" s="1"/>
      <c r="XBP32" s="1"/>
      <c r="XBQ32" s="1"/>
      <c r="XBR32" s="1"/>
      <c r="XBS32" s="1"/>
      <c r="XBT32" s="1"/>
      <c r="XBU32" s="1"/>
      <c r="XBV32" s="1"/>
      <c r="XBW32" s="1"/>
      <c r="XBX32" s="1"/>
      <c r="XBY32" s="1"/>
      <c r="XBZ32" s="1"/>
      <c r="XCA32" s="1"/>
      <c r="XCB32" s="1"/>
      <c r="XCC32" s="1"/>
      <c r="XCD32" s="1"/>
      <c r="XCE32" s="1"/>
      <c r="XCF32" s="1"/>
      <c r="XCG32" s="1"/>
      <c r="XCH32" s="1"/>
      <c r="XCI32" s="1"/>
      <c r="XCJ32" s="1"/>
      <c r="XCK32" s="1"/>
      <c r="XCL32" s="1"/>
      <c r="XCM32" s="1"/>
      <c r="XCN32" s="1"/>
      <c r="XCO32" s="1"/>
      <c r="XCP32" s="1"/>
      <c r="XCQ32" s="1"/>
      <c r="XCR32" s="1"/>
      <c r="XCS32" s="1"/>
      <c r="XCT32" s="1"/>
      <c r="XCU32" s="1"/>
      <c r="XCV32" s="1"/>
      <c r="XCW32" s="1"/>
      <c r="XCX32" s="1"/>
      <c r="XCY32" s="1"/>
      <c r="XCZ32" s="1"/>
      <c r="XDA32" s="1"/>
      <c r="XDB32" s="1"/>
      <c r="XDC32" s="1"/>
      <c r="XDD32" s="1"/>
      <c r="XDE32" s="1"/>
      <c r="XDF32" s="1"/>
      <c r="XDG32" s="1"/>
      <c r="XDH32" s="1"/>
      <c r="XDI32" s="1"/>
      <c r="XDJ32" s="1"/>
      <c r="XDK32" s="1"/>
      <c r="XDL32" s="1"/>
      <c r="XDM32" s="1"/>
      <c r="XDN32" s="1"/>
      <c r="XDO32" s="1"/>
      <c r="XDP32" s="1"/>
      <c r="XDQ32" s="1"/>
      <c r="XDR32" s="1"/>
      <c r="XDS32" s="1"/>
      <c r="XDT32" s="1"/>
      <c r="XDU32" s="1"/>
      <c r="XDV32" s="1"/>
      <c r="XDW32" s="1"/>
      <c r="XDX32" s="1"/>
      <c r="XDY32" s="1"/>
      <c r="XDZ32" s="1"/>
      <c r="XEA32" s="1"/>
      <c r="XEB32" s="1"/>
      <c r="XEC32" s="1"/>
      <c r="XED32" s="1"/>
      <c r="XEE32" s="1"/>
      <c r="XEF32" s="1"/>
      <c r="XEG32" s="1"/>
      <c r="XEH32" s="1"/>
      <c r="XEI32" s="1"/>
      <c r="XEJ32" s="1"/>
      <c r="XEK32" s="1"/>
      <c r="XEL32" s="1"/>
      <c r="XEM32" s="1"/>
      <c r="XEN32" s="1"/>
      <c r="XEO32" s="1"/>
      <c r="XEP32" s="1"/>
      <c r="XEQ32" s="1"/>
      <c r="XER32" s="1"/>
      <c r="XES32" s="1"/>
      <c r="XET32" s="1"/>
      <c r="XEU32" s="1"/>
      <c r="XEV32" s="1"/>
      <c r="XEW32" s="1"/>
      <c r="XEX32" s="1"/>
      <c r="XEY32" s="1"/>
      <c r="XEZ32" s="1"/>
      <c r="XFA32" s="1"/>
      <c r="XFB32" s="1"/>
      <c r="XFC32" s="1"/>
      <c r="XFD32" s="1"/>
    </row>
    <row r="33" spans="2:20" ht="15" customHeight="1">
      <c r="B33" s="376" t="s">
        <v>81</v>
      </c>
      <c r="C33" s="363" t="s">
        <v>359</v>
      </c>
      <c r="D33" s="362"/>
      <c r="E33" s="366" t="s">
        <v>376</v>
      </c>
      <c r="F33" s="363" t="s">
        <v>408</v>
      </c>
      <c r="G33" s="363"/>
      <c r="H33" s="363"/>
      <c r="I33" s="363"/>
      <c r="J33" s="363"/>
      <c r="K33" s="363"/>
      <c r="L33" s="363"/>
      <c r="M33" s="363"/>
      <c r="N33" s="363"/>
      <c r="O33" s="363"/>
      <c r="P33" s="363"/>
      <c r="Q33" s="363"/>
      <c r="R33" s="363"/>
      <c r="S33" s="363"/>
      <c r="T33" s="363"/>
    </row>
    <row r="34" spans="2:20">
      <c r="B34" s="374"/>
      <c r="C34" s="345"/>
      <c r="D34" s="360"/>
      <c r="E34" s="367"/>
      <c r="F34" s="345"/>
      <c r="G34" s="345"/>
      <c r="H34" s="345"/>
      <c r="I34" s="345"/>
      <c r="J34" s="345"/>
      <c r="K34" s="345"/>
      <c r="L34" s="345"/>
      <c r="M34" s="345"/>
      <c r="N34" s="345"/>
      <c r="O34" s="345"/>
      <c r="P34" s="345"/>
      <c r="Q34" s="345"/>
      <c r="R34" s="345"/>
      <c r="S34" s="345"/>
      <c r="T34" s="345"/>
    </row>
    <row r="35" spans="2:20">
      <c r="B35" s="374"/>
      <c r="C35" s="345"/>
      <c r="D35" s="361"/>
      <c r="E35" s="367"/>
      <c r="F35" s="345"/>
      <c r="G35" s="345"/>
      <c r="H35" s="345"/>
      <c r="I35" s="345"/>
      <c r="J35" s="345"/>
      <c r="K35" s="345"/>
      <c r="L35" s="345"/>
      <c r="M35" s="345"/>
      <c r="N35" s="345"/>
      <c r="O35" s="345"/>
      <c r="P35" s="345"/>
      <c r="Q35" s="345"/>
      <c r="R35" s="345"/>
      <c r="S35" s="345"/>
      <c r="T35" s="345"/>
    </row>
    <row r="36" spans="2:20" ht="15" customHeight="1">
      <c r="B36" s="374" t="s">
        <v>360</v>
      </c>
      <c r="C36" s="345" t="s">
        <v>359</v>
      </c>
      <c r="D36" s="359"/>
      <c r="E36" s="367" t="s">
        <v>377</v>
      </c>
      <c r="F36" s="345" t="s">
        <v>409</v>
      </c>
      <c r="G36" s="345"/>
      <c r="H36" s="345"/>
      <c r="I36" s="345"/>
      <c r="J36" s="345"/>
      <c r="K36" s="345"/>
      <c r="L36" s="345"/>
      <c r="M36" s="345"/>
      <c r="N36" s="345"/>
      <c r="O36" s="345"/>
      <c r="P36" s="345"/>
      <c r="Q36" s="345"/>
      <c r="R36" s="345"/>
      <c r="S36" s="345"/>
      <c r="T36" s="345"/>
    </row>
    <row r="37" spans="2:20">
      <c r="B37" s="374"/>
      <c r="C37" s="345"/>
      <c r="D37" s="360"/>
      <c r="E37" s="367"/>
      <c r="F37" s="345"/>
      <c r="G37" s="345"/>
      <c r="H37" s="345"/>
      <c r="I37" s="345"/>
      <c r="J37" s="345"/>
      <c r="K37" s="345"/>
      <c r="L37" s="345"/>
      <c r="M37" s="345"/>
      <c r="N37" s="345"/>
      <c r="O37" s="345"/>
      <c r="P37" s="345"/>
      <c r="Q37" s="345"/>
      <c r="R37" s="345"/>
      <c r="S37" s="345"/>
      <c r="T37" s="345"/>
    </row>
    <row r="38" spans="2:20">
      <c r="B38" s="374"/>
      <c r="C38" s="345"/>
      <c r="D38" s="361"/>
      <c r="E38" s="367"/>
      <c r="F38" s="345"/>
      <c r="G38" s="345"/>
      <c r="H38" s="345"/>
      <c r="I38" s="345"/>
      <c r="J38" s="345"/>
      <c r="K38" s="345"/>
      <c r="L38" s="345"/>
      <c r="M38" s="345"/>
      <c r="N38" s="345"/>
      <c r="O38" s="345"/>
      <c r="P38" s="345"/>
      <c r="Q38" s="345"/>
      <c r="R38" s="345"/>
      <c r="S38" s="345"/>
      <c r="T38" s="345"/>
    </row>
    <row r="39" spans="2:20" ht="15" customHeight="1">
      <c r="B39" s="374" t="s">
        <v>92</v>
      </c>
      <c r="C39" s="345" t="s">
        <v>359</v>
      </c>
      <c r="D39" s="359"/>
      <c r="E39" s="367" t="s">
        <v>379</v>
      </c>
      <c r="F39" s="345" t="s">
        <v>410</v>
      </c>
      <c r="G39" s="345"/>
      <c r="H39" s="345"/>
      <c r="I39" s="345"/>
      <c r="J39" s="345"/>
      <c r="K39" s="345"/>
      <c r="L39" s="345"/>
      <c r="M39" s="345"/>
      <c r="N39" s="345"/>
      <c r="O39" s="345"/>
      <c r="P39" s="345"/>
      <c r="Q39" s="345"/>
      <c r="R39" s="345"/>
      <c r="S39" s="345"/>
      <c r="T39" s="345"/>
    </row>
    <row r="40" spans="2:20">
      <c r="B40" s="374"/>
      <c r="C40" s="345"/>
      <c r="D40" s="360"/>
      <c r="E40" s="367"/>
      <c r="F40" s="345"/>
      <c r="G40" s="345"/>
      <c r="H40" s="345"/>
      <c r="I40" s="345"/>
      <c r="J40" s="345"/>
      <c r="K40" s="345"/>
      <c r="L40" s="345"/>
      <c r="M40" s="345"/>
      <c r="N40" s="345"/>
      <c r="O40" s="345"/>
      <c r="P40" s="345"/>
      <c r="Q40" s="345"/>
      <c r="R40" s="345"/>
      <c r="S40" s="345"/>
      <c r="T40" s="345"/>
    </row>
    <row r="41" spans="2:20">
      <c r="B41" s="374"/>
      <c r="C41" s="345"/>
      <c r="D41" s="361"/>
      <c r="E41" s="367"/>
      <c r="F41" s="345"/>
      <c r="G41" s="345"/>
      <c r="H41" s="345"/>
      <c r="I41" s="345"/>
      <c r="J41" s="345"/>
      <c r="K41" s="345"/>
      <c r="L41" s="345"/>
      <c r="M41" s="345"/>
      <c r="N41" s="345"/>
      <c r="O41" s="345"/>
      <c r="P41" s="345"/>
      <c r="Q41" s="345"/>
      <c r="R41" s="345"/>
      <c r="S41" s="345"/>
      <c r="T41" s="345"/>
    </row>
    <row r="42" spans="2:20" ht="15" customHeight="1">
      <c r="B42" s="374" t="s">
        <v>93</v>
      </c>
      <c r="C42" s="345" t="s">
        <v>359</v>
      </c>
      <c r="D42" s="359"/>
      <c r="E42" s="367" t="s">
        <v>378</v>
      </c>
      <c r="F42" s="345" t="s">
        <v>411</v>
      </c>
      <c r="G42" s="345"/>
      <c r="H42" s="345"/>
      <c r="I42" s="345"/>
      <c r="J42" s="345"/>
      <c r="K42" s="345"/>
      <c r="L42" s="345"/>
      <c r="M42" s="345"/>
      <c r="N42" s="345"/>
      <c r="O42" s="345"/>
      <c r="P42" s="345"/>
      <c r="Q42" s="345"/>
      <c r="R42" s="345"/>
      <c r="S42" s="345"/>
      <c r="T42" s="345"/>
    </row>
    <row r="43" spans="2:20">
      <c r="B43" s="374"/>
      <c r="C43" s="345"/>
      <c r="D43" s="360"/>
      <c r="E43" s="367"/>
      <c r="F43" s="345"/>
      <c r="G43" s="345"/>
      <c r="H43" s="345"/>
      <c r="I43" s="345"/>
      <c r="J43" s="345"/>
      <c r="K43" s="345"/>
      <c r="L43" s="345"/>
      <c r="M43" s="345"/>
      <c r="N43" s="345"/>
      <c r="O43" s="345"/>
      <c r="P43" s="345"/>
      <c r="Q43" s="345"/>
      <c r="R43" s="345"/>
      <c r="S43" s="345"/>
      <c r="T43" s="345"/>
    </row>
    <row r="44" spans="2:20">
      <c r="B44" s="374"/>
      <c r="C44" s="345"/>
      <c r="D44" s="361"/>
      <c r="E44" s="367"/>
      <c r="F44" s="345"/>
      <c r="G44" s="345"/>
      <c r="H44" s="345"/>
      <c r="I44" s="345"/>
      <c r="J44" s="345"/>
      <c r="K44" s="345"/>
      <c r="L44" s="345"/>
      <c r="M44" s="345"/>
      <c r="N44" s="345"/>
      <c r="O44" s="345"/>
      <c r="P44" s="345"/>
      <c r="Q44" s="345"/>
      <c r="R44" s="345"/>
      <c r="S44" s="345"/>
      <c r="T44" s="345"/>
    </row>
    <row r="45" spans="2:20" ht="15" customHeight="1">
      <c r="B45" s="374" t="s">
        <v>88</v>
      </c>
      <c r="C45" s="345" t="s">
        <v>359</v>
      </c>
      <c r="D45" s="359"/>
      <c r="E45" s="367" t="s">
        <v>380</v>
      </c>
      <c r="F45" s="345" t="s">
        <v>413</v>
      </c>
      <c r="G45" s="345"/>
      <c r="H45" s="345"/>
      <c r="I45" s="345"/>
      <c r="J45" s="345"/>
      <c r="K45" s="345"/>
      <c r="L45" s="345"/>
      <c r="M45" s="345"/>
      <c r="N45" s="345"/>
      <c r="O45" s="345"/>
      <c r="P45" s="345"/>
      <c r="Q45" s="345"/>
      <c r="R45" s="345"/>
      <c r="S45" s="345"/>
      <c r="T45" s="345"/>
    </row>
    <row r="46" spans="2:20">
      <c r="B46" s="374"/>
      <c r="C46" s="345"/>
      <c r="D46" s="360"/>
      <c r="E46" s="367"/>
      <c r="F46" s="345"/>
      <c r="G46" s="345"/>
      <c r="H46" s="345"/>
      <c r="I46" s="345"/>
      <c r="J46" s="345"/>
      <c r="K46" s="345"/>
      <c r="L46" s="345"/>
      <c r="M46" s="345"/>
      <c r="N46" s="345"/>
      <c r="O46" s="345"/>
      <c r="P46" s="345"/>
      <c r="Q46" s="345"/>
      <c r="R46" s="345"/>
      <c r="S46" s="345"/>
      <c r="T46" s="345"/>
    </row>
    <row r="47" spans="2:20">
      <c r="B47" s="374"/>
      <c r="C47" s="345"/>
      <c r="D47" s="361"/>
      <c r="E47" s="367"/>
      <c r="F47" s="345"/>
      <c r="G47" s="345"/>
      <c r="H47" s="345"/>
      <c r="I47" s="345"/>
      <c r="J47" s="345"/>
      <c r="K47" s="345"/>
      <c r="L47" s="345"/>
      <c r="M47" s="345"/>
      <c r="N47" s="345"/>
      <c r="O47" s="345"/>
      <c r="P47" s="345"/>
      <c r="Q47" s="345"/>
      <c r="R47" s="345"/>
      <c r="S47" s="345"/>
      <c r="T47" s="345"/>
    </row>
    <row r="48" spans="2:20" ht="15" customHeight="1">
      <c r="B48" s="374" t="s">
        <v>89</v>
      </c>
      <c r="C48" s="345" t="s">
        <v>359</v>
      </c>
      <c r="D48" s="359"/>
      <c r="E48" s="345" t="s">
        <v>381</v>
      </c>
      <c r="F48" s="345" t="s">
        <v>412</v>
      </c>
      <c r="G48" s="345"/>
      <c r="H48" s="345"/>
      <c r="I48" s="345"/>
      <c r="J48" s="345"/>
      <c r="K48" s="345"/>
      <c r="L48" s="345"/>
      <c r="M48" s="345"/>
      <c r="N48" s="345"/>
      <c r="O48" s="345"/>
      <c r="P48" s="345"/>
      <c r="Q48" s="345"/>
      <c r="R48" s="345"/>
      <c r="S48" s="345"/>
      <c r="T48" s="345"/>
    </row>
    <row r="49" spans="2:20">
      <c r="B49" s="374"/>
      <c r="C49" s="345"/>
      <c r="D49" s="360"/>
      <c r="E49" s="345"/>
      <c r="F49" s="345"/>
      <c r="G49" s="345"/>
      <c r="H49" s="345"/>
      <c r="I49" s="345"/>
      <c r="J49" s="345"/>
      <c r="K49" s="345"/>
      <c r="L49" s="345"/>
      <c r="M49" s="345"/>
      <c r="N49" s="345"/>
      <c r="O49" s="345"/>
      <c r="P49" s="345"/>
      <c r="Q49" s="345"/>
      <c r="R49" s="345"/>
      <c r="S49" s="345"/>
      <c r="T49" s="345"/>
    </row>
    <row r="50" spans="2:20">
      <c r="B50" s="374"/>
      <c r="C50" s="345"/>
      <c r="D50" s="361"/>
      <c r="E50" s="345"/>
      <c r="F50" s="345"/>
      <c r="G50" s="345"/>
      <c r="H50" s="345"/>
      <c r="I50" s="345"/>
      <c r="J50" s="345"/>
      <c r="K50" s="345"/>
      <c r="L50" s="345"/>
      <c r="M50" s="345"/>
      <c r="N50" s="345"/>
      <c r="O50" s="345"/>
      <c r="P50" s="345"/>
      <c r="Q50" s="345"/>
      <c r="R50" s="345"/>
      <c r="S50" s="345"/>
      <c r="T50" s="345"/>
    </row>
    <row r="51" spans="2:20">
      <c r="B51" s="374" t="s">
        <v>90</v>
      </c>
      <c r="C51" s="345" t="s">
        <v>359</v>
      </c>
      <c r="D51" s="359"/>
      <c r="E51" s="345" t="s">
        <v>374</v>
      </c>
      <c r="F51" s="345" t="s">
        <v>414</v>
      </c>
      <c r="G51" s="345"/>
      <c r="H51" s="345"/>
      <c r="I51" s="345"/>
      <c r="J51" s="345"/>
      <c r="K51" s="345"/>
      <c r="L51" s="345"/>
      <c r="M51" s="345"/>
      <c r="N51" s="345"/>
      <c r="O51" s="345"/>
      <c r="P51" s="345"/>
      <c r="Q51" s="345"/>
      <c r="R51" s="345"/>
      <c r="S51" s="345"/>
      <c r="T51" s="345"/>
    </row>
    <row r="52" spans="2:20">
      <c r="B52" s="374"/>
      <c r="C52" s="345"/>
      <c r="D52" s="360"/>
      <c r="E52" s="345"/>
      <c r="F52" s="345"/>
      <c r="G52" s="345"/>
      <c r="H52" s="345"/>
      <c r="I52" s="345"/>
      <c r="J52" s="345"/>
      <c r="K52" s="345"/>
      <c r="L52" s="345"/>
      <c r="M52" s="345"/>
      <c r="N52" s="345"/>
      <c r="O52" s="345"/>
      <c r="P52" s="345"/>
      <c r="Q52" s="345"/>
      <c r="R52" s="345"/>
      <c r="S52" s="345"/>
      <c r="T52" s="345"/>
    </row>
    <row r="53" spans="2:20">
      <c r="B53" s="374"/>
      <c r="C53" s="345"/>
      <c r="D53" s="361"/>
      <c r="E53" s="345"/>
      <c r="F53" s="345"/>
      <c r="G53" s="345"/>
      <c r="H53" s="345"/>
      <c r="I53" s="345"/>
      <c r="J53" s="345"/>
      <c r="K53" s="345"/>
      <c r="L53" s="345"/>
      <c r="M53" s="345"/>
      <c r="N53" s="345"/>
      <c r="O53" s="345"/>
      <c r="P53" s="345"/>
      <c r="Q53" s="345"/>
      <c r="R53" s="345"/>
      <c r="S53" s="345"/>
      <c r="T53" s="345"/>
    </row>
    <row r="54" spans="2:20">
      <c r="B54" s="374" t="s">
        <v>373</v>
      </c>
      <c r="C54" s="345" t="s">
        <v>359</v>
      </c>
      <c r="D54" s="359"/>
      <c r="E54" s="345" t="s">
        <v>375</v>
      </c>
      <c r="F54" s="345" t="s">
        <v>415</v>
      </c>
      <c r="G54" s="345"/>
      <c r="H54" s="345"/>
      <c r="I54" s="345"/>
      <c r="J54" s="345"/>
      <c r="K54" s="345"/>
      <c r="L54" s="345"/>
      <c r="M54" s="345"/>
      <c r="N54" s="345"/>
      <c r="O54" s="345"/>
      <c r="P54" s="345"/>
      <c r="Q54" s="345"/>
      <c r="R54" s="345"/>
      <c r="S54" s="345"/>
      <c r="T54" s="345"/>
    </row>
    <row r="55" spans="2:20">
      <c r="B55" s="374"/>
      <c r="C55" s="345"/>
      <c r="D55" s="360"/>
      <c r="E55" s="345"/>
      <c r="F55" s="345"/>
      <c r="G55" s="345"/>
      <c r="H55" s="345"/>
      <c r="I55" s="345"/>
      <c r="J55" s="345"/>
      <c r="K55" s="345"/>
      <c r="L55" s="345"/>
      <c r="M55" s="345"/>
      <c r="N55" s="345"/>
      <c r="O55" s="345"/>
      <c r="P55" s="345"/>
      <c r="Q55" s="345"/>
      <c r="R55" s="345"/>
      <c r="S55" s="345"/>
      <c r="T55" s="345"/>
    </row>
    <row r="56" spans="2:20">
      <c r="B56" s="374"/>
      <c r="C56" s="345"/>
      <c r="D56" s="361"/>
      <c r="E56" s="345"/>
      <c r="F56" s="345"/>
      <c r="G56" s="345"/>
      <c r="H56" s="345"/>
      <c r="I56" s="345"/>
      <c r="J56" s="345"/>
      <c r="K56" s="345"/>
      <c r="L56" s="345"/>
      <c r="M56" s="345"/>
      <c r="N56" s="345"/>
      <c r="O56" s="345"/>
      <c r="P56" s="345"/>
      <c r="Q56" s="345"/>
      <c r="R56" s="345"/>
      <c r="S56" s="345"/>
      <c r="T56" s="345"/>
    </row>
    <row r="57" spans="2:20" ht="15" customHeight="1">
      <c r="B57" s="374" t="s">
        <v>361</v>
      </c>
      <c r="C57" s="345" t="s">
        <v>359</v>
      </c>
      <c r="D57" s="359"/>
      <c r="E57" s="345" t="s">
        <v>382</v>
      </c>
      <c r="F57" s="345" t="s">
        <v>362</v>
      </c>
      <c r="G57" s="345"/>
      <c r="H57" s="345"/>
      <c r="I57" s="345"/>
      <c r="J57" s="345"/>
      <c r="K57" s="345"/>
      <c r="L57" s="345"/>
      <c r="M57" s="345"/>
      <c r="N57" s="345"/>
      <c r="O57" s="345"/>
      <c r="P57" s="345"/>
      <c r="Q57" s="345"/>
      <c r="R57" s="345"/>
      <c r="S57" s="345"/>
      <c r="T57" s="345"/>
    </row>
    <row r="58" spans="2:20">
      <c r="B58" s="374"/>
      <c r="C58" s="345"/>
      <c r="D58" s="360"/>
      <c r="E58" s="345"/>
      <c r="F58" s="345"/>
      <c r="G58" s="345"/>
      <c r="H58" s="345"/>
      <c r="I58" s="345"/>
      <c r="J58" s="345"/>
      <c r="K58" s="345"/>
      <c r="L58" s="345"/>
      <c r="M58" s="345"/>
      <c r="N58" s="345"/>
      <c r="O58" s="345"/>
      <c r="P58" s="345"/>
      <c r="Q58" s="345"/>
      <c r="R58" s="345"/>
      <c r="S58" s="345"/>
      <c r="T58" s="345"/>
    </row>
    <row r="59" spans="2:20">
      <c r="B59" s="374"/>
      <c r="C59" s="345"/>
      <c r="D59" s="361"/>
      <c r="E59" s="345"/>
      <c r="F59" s="345"/>
      <c r="G59" s="345"/>
      <c r="H59" s="345"/>
      <c r="I59" s="345"/>
      <c r="J59" s="345"/>
      <c r="K59" s="345"/>
      <c r="L59" s="345"/>
      <c r="M59" s="345"/>
      <c r="N59" s="345"/>
      <c r="O59" s="345"/>
      <c r="P59" s="345"/>
      <c r="Q59" s="345"/>
      <c r="R59" s="345"/>
      <c r="S59" s="345"/>
      <c r="T59" s="345"/>
    </row>
    <row r="60" spans="2:20" ht="15" customHeight="1">
      <c r="B60" s="374" t="s">
        <v>363</v>
      </c>
      <c r="C60" s="345" t="s">
        <v>359</v>
      </c>
      <c r="D60" s="359"/>
      <c r="E60" s="345" t="s">
        <v>383</v>
      </c>
      <c r="F60" s="345" t="s">
        <v>364</v>
      </c>
      <c r="G60" s="345"/>
      <c r="H60" s="345"/>
      <c r="I60" s="345"/>
      <c r="J60" s="345"/>
      <c r="K60" s="345"/>
      <c r="L60" s="345"/>
      <c r="M60" s="345"/>
      <c r="N60" s="345"/>
      <c r="O60" s="345"/>
      <c r="P60" s="345"/>
      <c r="Q60" s="345"/>
      <c r="R60" s="345"/>
      <c r="S60" s="345"/>
      <c r="T60" s="345"/>
    </row>
    <row r="61" spans="2:20">
      <c r="B61" s="374"/>
      <c r="C61" s="345"/>
      <c r="D61" s="360"/>
      <c r="E61" s="345"/>
      <c r="F61" s="345"/>
      <c r="G61" s="345"/>
      <c r="H61" s="345"/>
      <c r="I61" s="345"/>
      <c r="J61" s="345"/>
      <c r="K61" s="345"/>
      <c r="L61" s="345"/>
      <c r="M61" s="345"/>
      <c r="N61" s="345"/>
      <c r="O61" s="345"/>
      <c r="P61" s="345"/>
      <c r="Q61" s="345"/>
      <c r="R61" s="345"/>
      <c r="S61" s="345"/>
      <c r="T61" s="345"/>
    </row>
    <row r="62" spans="2:20">
      <c r="B62" s="374"/>
      <c r="C62" s="345"/>
      <c r="D62" s="361"/>
      <c r="E62" s="345"/>
      <c r="F62" s="345"/>
      <c r="G62" s="345"/>
      <c r="H62" s="345"/>
      <c r="I62" s="345"/>
      <c r="J62" s="345"/>
      <c r="K62" s="345"/>
      <c r="L62" s="345"/>
      <c r="M62" s="345"/>
      <c r="N62" s="345"/>
      <c r="O62" s="345"/>
      <c r="P62" s="345"/>
      <c r="Q62" s="345"/>
      <c r="R62" s="345"/>
      <c r="S62" s="345"/>
      <c r="T62" s="345"/>
    </row>
    <row r="63" spans="2:20">
      <c r="B63" s="309"/>
      <c r="C63" s="310"/>
      <c r="D63" s="40"/>
      <c r="E63" s="309"/>
      <c r="F63" s="365"/>
      <c r="G63" s="365"/>
      <c r="H63" s="365"/>
      <c r="I63" s="365"/>
      <c r="J63" s="365"/>
      <c r="K63" s="365"/>
      <c r="L63" s="365"/>
      <c r="M63" s="40"/>
      <c r="N63" s="40"/>
      <c r="O63" s="40"/>
      <c r="P63" s="40"/>
      <c r="Q63" s="40"/>
      <c r="R63" s="40"/>
      <c r="S63" s="40"/>
      <c r="T63" s="40"/>
    </row>
    <row r="64" spans="2:20" ht="15" customHeight="1">
      <c r="B64" s="375" t="s">
        <v>384</v>
      </c>
      <c r="C64" s="345" t="s">
        <v>365</v>
      </c>
      <c r="D64" s="355"/>
      <c r="E64" s="345" t="s">
        <v>387</v>
      </c>
      <c r="F64" s="364" t="s">
        <v>366</v>
      </c>
      <c r="G64" s="364"/>
      <c r="H64" s="364"/>
      <c r="I64" s="364"/>
      <c r="J64" s="364"/>
      <c r="K64" s="364"/>
      <c r="L64" s="364"/>
      <c r="M64" s="364"/>
      <c r="N64" s="364"/>
      <c r="O64" s="364"/>
      <c r="P64" s="364"/>
      <c r="Q64" s="364"/>
      <c r="R64" s="364"/>
      <c r="S64" s="364"/>
      <c r="T64" s="364"/>
    </row>
    <row r="65" spans="2:20">
      <c r="B65" s="375"/>
      <c r="C65" s="345"/>
      <c r="D65" s="355"/>
      <c r="E65" s="345"/>
      <c r="F65" s="364"/>
      <c r="G65" s="364"/>
      <c r="H65" s="364"/>
      <c r="I65" s="364"/>
      <c r="J65" s="364"/>
      <c r="K65" s="364"/>
      <c r="L65" s="364"/>
      <c r="M65" s="364"/>
      <c r="N65" s="364"/>
      <c r="O65" s="364"/>
      <c r="P65" s="364"/>
      <c r="Q65" s="364"/>
      <c r="R65" s="364"/>
      <c r="S65" s="364"/>
      <c r="T65" s="364"/>
    </row>
    <row r="66" spans="2:20">
      <c r="B66" s="375"/>
      <c r="C66" s="345"/>
      <c r="D66" s="355"/>
      <c r="E66" s="345"/>
      <c r="F66" s="364"/>
      <c r="G66" s="364"/>
      <c r="H66" s="364"/>
      <c r="I66" s="364"/>
      <c r="J66" s="364"/>
      <c r="K66" s="364"/>
      <c r="L66" s="364"/>
      <c r="M66" s="364"/>
      <c r="N66" s="364"/>
      <c r="O66" s="364"/>
      <c r="P66" s="364"/>
      <c r="Q66" s="364"/>
      <c r="R66" s="364"/>
      <c r="S66" s="364"/>
      <c r="T66" s="364"/>
    </row>
    <row r="67" spans="2:20" ht="15" customHeight="1">
      <c r="B67" s="375" t="s">
        <v>105</v>
      </c>
      <c r="C67" s="345" t="s">
        <v>365</v>
      </c>
      <c r="D67" s="355"/>
      <c r="E67" s="345" t="s">
        <v>388</v>
      </c>
      <c r="F67" s="345" t="s">
        <v>385</v>
      </c>
      <c r="G67" s="345"/>
      <c r="H67" s="345"/>
      <c r="I67" s="345"/>
      <c r="J67" s="345"/>
      <c r="K67" s="345"/>
      <c r="L67" s="345"/>
      <c r="M67" s="345"/>
      <c r="N67" s="345"/>
      <c r="O67" s="345"/>
      <c r="P67" s="345"/>
      <c r="Q67" s="345"/>
      <c r="R67" s="345"/>
      <c r="S67" s="345"/>
      <c r="T67" s="345"/>
    </row>
    <row r="68" spans="2:20">
      <c r="B68" s="375"/>
      <c r="C68" s="345"/>
      <c r="D68" s="355"/>
      <c r="E68" s="345"/>
      <c r="F68" s="345"/>
      <c r="G68" s="345"/>
      <c r="H68" s="345"/>
      <c r="I68" s="345"/>
      <c r="J68" s="345"/>
      <c r="K68" s="345"/>
      <c r="L68" s="345"/>
      <c r="M68" s="345"/>
      <c r="N68" s="345"/>
      <c r="O68" s="345"/>
      <c r="P68" s="345"/>
      <c r="Q68" s="345"/>
      <c r="R68" s="345"/>
      <c r="S68" s="345"/>
      <c r="T68" s="345"/>
    </row>
    <row r="69" spans="2:20">
      <c r="B69" s="375"/>
      <c r="C69" s="345"/>
      <c r="D69" s="355"/>
      <c r="E69" s="345"/>
      <c r="F69" s="345"/>
      <c r="G69" s="345"/>
      <c r="H69" s="345"/>
      <c r="I69" s="345"/>
      <c r="J69" s="345"/>
      <c r="K69" s="345"/>
      <c r="L69" s="345"/>
      <c r="M69" s="345"/>
      <c r="N69" s="345"/>
      <c r="O69" s="345"/>
      <c r="P69" s="345"/>
      <c r="Q69" s="345"/>
      <c r="R69" s="345"/>
      <c r="S69" s="345"/>
      <c r="T69" s="345"/>
    </row>
    <row r="70" spans="2:20" ht="15" customHeight="1"/>
    <row r="71" spans="2:20" ht="15" customHeight="1">
      <c r="B71" s="368" t="s">
        <v>141</v>
      </c>
      <c r="C71" s="356" t="s">
        <v>386</v>
      </c>
      <c r="D71" s="355"/>
      <c r="E71" s="368" t="s">
        <v>389</v>
      </c>
      <c r="F71" s="346" t="s">
        <v>390</v>
      </c>
      <c r="G71" s="347"/>
      <c r="H71" s="347"/>
      <c r="I71" s="347"/>
      <c r="J71" s="347"/>
      <c r="K71" s="347"/>
      <c r="L71" s="347"/>
      <c r="M71" s="347"/>
      <c r="N71" s="347"/>
      <c r="O71" s="347"/>
      <c r="P71" s="347"/>
      <c r="Q71" s="347"/>
      <c r="R71" s="347"/>
      <c r="S71" s="347"/>
      <c r="T71" s="348"/>
    </row>
    <row r="72" spans="2:20" ht="15" customHeight="1">
      <c r="B72" s="369"/>
      <c r="C72" s="357"/>
      <c r="D72" s="355"/>
      <c r="E72" s="369"/>
      <c r="F72" s="349"/>
      <c r="G72" s="350"/>
      <c r="H72" s="350"/>
      <c r="I72" s="350"/>
      <c r="J72" s="350"/>
      <c r="K72" s="350"/>
      <c r="L72" s="350"/>
      <c r="M72" s="350"/>
      <c r="N72" s="350"/>
      <c r="O72" s="350"/>
      <c r="P72" s="350"/>
      <c r="Q72" s="350"/>
      <c r="R72" s="350"/>
      <c r="S72" s="350"/>
      <c r="T72" s="351"/>
    </row>
    <row r="73" spans="2:20" ht="15" customHeight="1">
      <c r="B73" s="370"/>
      <c r="C73" s="358"/>
      <c r="D73" s="355"/>
      <c r="E73" s="370"/>
      <c r="F73" s="352"/>
      <c r="G73" s="353"/>
      <c r="H73" s="353"/>
      <c r="I73" s="353"/>
      <c r="J73" s="353"/>
      <c r="K73" s="353"/>
      <c r="L73" s="353"/>
      <c r="M73" s="353"/>
      <c r="N73" s="353"/>
      <c r="O73" s="353"/>
      <c r="P73" s="353"/>
      <c r="Q73" s="353"/>
      <c r="R73" s="353"/>
      <c r="S73" s="353"/>
      <c r="T73" s="354"/>
    </row>
    <row r="74" spans="2:20" ht="15" customHeight="1"/>
    <row r="75" spans="2:20" ht="15" customHeight="1">
      <c r="B75" s="368" t="s">
        <v>367</v>
      </c>
      <c r="C75" s="356" t="s">
        <v>368</v>
      </c>
      <c r="D75" s="355"/>
      <c r="E75" s="371" t="s">
        <v>391</v>
      </c>
      <c r="F75" s="346" t="s">
        <v>392</v>
      </c>
      <c r="G75" s="347"/>
      <c r="H75" s="347"/>
      <c r="I75" s="347"/>
      <c r="J75" s="347"/>
      <c r="K75" s="347"/>
      <c r="L75" s="347"/>
      <c r="M75" s="347"/>
      <c r="N75" s="347"/>
      <c r="O75" s="347"/>
      <c r="P75" s="347"/>
      <c r="Q75" s="347"/>
      <c r="R75" s="347"/>
      <c r="S75" s="347"/>
      <c r="T75" s="348"/>
    </row>
    <row r="76" spans="2:20">
      <c r="B76" s="369"/>
      <c r="C76" s="357"/>
      <c r="D76" s="355"/>
      <c r="E76" s="372"/>
      <c r="F76" s="349"/>
      <c r="G76" s="350"/>
      <c r="H76" s="350"/>
      <c r="I76" s="350"/>
      <c r="J76" s="350"/>
      <c r="K76" s="350"/>
      <c r="L76" s="350"/>
      <c r="M76" s="350"/>
      <c r="N76" s="350"/>
      <c r="O76" s="350"/>
      <c r="P76" s="350"/>
      <c r="Q76" s="350"/>
      <c r="R76" s="350"/>
      <c r="S76" s="350"/>
      <c r="T76" s="351"/>
    </row>
    <row r="77" spans="2:20">
      <c r="B77" s="370"/>
      <c r="C77" s="358"/>
      <c r="D77" s="355"/>
      <c r="E77" s="373"/>
      <c r="F77" s="352"/>
      <c r="G77" s="353"/>
      <c r="H77" s="353"/>
      <c r="I77" s="353"/>
      <c r="J77" s="353"/>
      <c r="K77" s="353"/>
      <c r="L77" s="353"/>
      <c r="M77" s="353"/>
      <c r="N77" s="353"/>
      <c r="O77" s="353"/>
      <c r="P77" s="353"/>
      <c r="Q77" s="353"/>
      <c r="R77" s="353"/>
      <c r="S77" s="353"/>
      <c r="T77" s="354"/>
    </row>
    <row r="78" spans="2:20" ht="15" customHeight="1">
      <c r="B78" s="368" t="s">
        <v>369</v>
      </c>
      <c r="C78" s="356" t="s">
        <v>368</v>
      </c>
      <c r="D78" s="355"/>
      <c r="E78" s="371" t="s">
        <v>393</v>
      </c>
      <c r="F78" s="346" t="s">
        <v>394</v>
      </c>
      <c r="G78" s="347"/>
      <c r="H78" s="347"/>
      <c r="I78" s="347"/>
      <c r="J78" s="347"/>
      <c r="K78" s="347"/>
      <c r="L78" s="347"/>
      <c r="M78" s="347"/>
      <c r="N78" s="347"/>
      <c r="O78" s="347"/>
      <c r="P78" s="347"/>
      <c r="Q78" s="347"/>
      <c r="R78" s="347"/>
      <c r="S78" s="347"/>
      <c r="T78" s="348"/>
    </row>
    <row r="79" spans="2:20">
      <c r="B79" s="369"/>
      <c r="C79" s="357"/>
      <c r="D79" s="355"/>
      <c r="E79" s="372"/>
      <c r="F79" s="349"/>
      <c r="G79" s="350"/>
      <c r="H79" s="350"/>
      <c r="I79" s="350"/>
      <c r="J79" s="350"/>
      <c r="K79" s="350"/>
      <c r="L79" s="350"/>
      <c r="M79" s="350"/>
      <c r="N79" s="350"/>
      <c r="O79" s="350"/>
      <c r="P79" s="350"/>
      <c r="Q79" s="350"/>
      <c r="R79" s="350"/>
      <c r="S79" s="350"/>
      <c r="T79" s="351"/>
    </row>
    <row r="80" spans="2:20">
      <c r="B80" s="370"/>
      <c r="C80" s="358"/>
      <c r="D80" s="355"/>
      <c r="E80" s="373"/>
      <c r="F80" s="352"/>
      <c r="G80" s="353"/>
      <c r="H80" s="353"/>
      <c r="I80" s="353"/>
      <c r="J80" s="353"/>
      <c r="K80" s="353"/>
      <c r="L80" s="353"/>
      <c r="M80" s="353"/>
      <c r="N80" s="353"/>
      <c r="O80" s="353"/>
      <c r="P80" s="353"/>
      <c r="Q80" s="353"/>
      <c r="R80" s="353"/>
      <c r="S80" s="353"/>
      <c r="T80" s="354"/>
    </row>
    <row r="81" spans="2:20" ht="15" customHeight="1"/>
    <row r="82" spans="2:20" ht="15" customHeight="1">
      <c r="B82" s="356" t="s">
        <v>370</v>
      </c>
      <c r="C82" s="356" t="s">
        <v>371</v>
      </c>
      <c r="D82" s="355"/>
      <c r="E82" s="356" t="s">
        <v>395</v>
      </c>
      <c r="F82" s="346" t="s">
        <v>372</v>
      </c>
      <c r="G82" s="347"/>
      <c r="H82" s="347"/>
      <c r="I82" s="347"/>
      <c r="J82" s="347"/>
      <c r="K82" s="347"/>
      <c r="L82" s="347"/>
      <c r="M82" s="347"/>
      <c r="N82" s="347"/>
      <c r="O82" s="347"/>
      <c r="P82" s="347"/>
      <c r="Q82" s="347"/>
      <c r="R82" s="347"/>
      <c r="S82" s="347"/>
      <c r="T82" s="348"/>
    </row>
    <row r="83" spans="2:20">
      <c r="B83" s="357"/>
      <c r="C83" s="357"/>
      <c r="D83" s="355"/>
      <c r="E83" s="357"/>
      <c r="F83" s="349"/>
      <c r="G83" s="350"/>
      <c r="H83" s="350"/>
      <c r="I83" s="350"/>
      <c r="J83" s="350"/>
      <c r="K83" s="350"/>
      <c r="L83" s="350"/>
      <c r="M83" s="350"/>
      <c r="N83" s="350"/>
      <c r="O83" s="350"/>
      <c r="P83" s="350"/>
      <c r="Q83" s="350"/>
      <c r="R83" s="350"/>
      <c r="S83" s="350"/>
      <c r="T83" s="351"/>
    </row>
    <row r="84" spans="2:20">
      <c r="B84" s="358"/>
      <c r="C84" s="358"/>
      <c r="D84" s="355"/>
      <c r="E84" s="358"/>
      <c r="F84" s="352"/>
      <c r="G84" s="353"/>
      <c r="H84" s="353"/>
      <c r="I84" s="353"/>
      <c r="J84" s="353"/>
      <c r="K84" s="353"/>
      <c r="L84" s="353"/>
      <c r="M84" s="353"/>
      <c r="N84" s="353"/>
      <c r="O84" s="353"/>
      <c r="P84" s="353"/>
      <c r="Q84" s="353"/>
      <c r="R84" s="353"/>
      <c r="S84" s="353"/>
      <c r="T84" s="354"/>
    </row>
    <row r="85" spans="2:20" ht="15" customHeight="1"/>
    <row r="86" spans="2:20">
      <c r="B86" s="356" t="s">
        <v>28</v>
      </c>
      <c r="C86" s="356" t="s">
        <v>19</v>
      </c>
      <c r="D86" s="355"/>
      <c r="E86" s="356" t="s">
        <v>396</v>
      </c>
      <c r="F86" s="346" t="s">
        <v>452</v>
      </c>
      <c r="G86" s="347"/>
      <c r="H86" s="347"/>
      <c r="I86" s="347"/>
      <c r="J86" s="347"/>
      <c r="K86" s="347"/>
      <c r="L86" s="347"/>
      <c r="M86" s="347"/>
      <c r="N86" s="347"/>
      <c r="O86" s="347"/>
      <c r="P86" s="347"/>
      <c r="Q86" s="347"/>
      <c r="R86" s="347"/>
      <c r="S86" s="347"/>
      <c r="T86" s="348"/>
    </row>
    <row r="87" spans="2:20">
      <c r="B87" s="357"/>
      <c r="C87" s="357"/>
      <c r="D87" s="355"/>
      <c r="E87" s="357"/>
      <c r="F87" s="349"/>
      <c r="G87" s="350"/>
      <c r="H87" s="350"/>
      <c r="I87" s="350"/>
      <c r="J87" s="350"/>
      <c r="K87" s="350"/>
      <c r="L87" s="350"/>
      <c r="M87" s="350"/>
      <c r="N87" s="350"/>
      <c r="O87" s="350"/>
      <c r="P87" s="350"/>
      <c r="Q87" s="350"/>
      <c r="R87" s="350"/>
      <c r="S87" s="350"/>
      <c r="T87" s="351"/>
    </row>
    <row r="88" spans="2:20" ht="41.25" customHeight="1">
      <c r="B88" s="358"/>
      <c r="C88" s="358"/>
      <c r="D88" s="355"/>
      <c r="E88" s="358"/>
      <c r="F88" s="352"/>
      <c r="G88" s="353"/>
      <c r="H88" s="353"/>
      <c r="I88" s="353"/>
      <c r="J88" s="353"/>
      <c r="K88" s="353"/>
      <c r="L88" s="353"/>
      <c r="M88" s="353"/>
      <c r="N88" s="353"/>
      <c r="O88" s="353"/>
      <c r="P88" s="353"/>
      <c r="Q88" s="353"/>
      <c r="R88" s="353"/>
      <c r="S88" s="353"/>
      <c r="T88" s="354"/>
    </row>
    <row r="90" spans="2:20">
      <c r="B90" s="308" t="s">
        <v>397</v>
      </c>
      <c r="C90" s="312" t="s">
        <v>129</v>
      </c>
      <c r="D90" s="313"/>
      <c r="E90" s="308" t="s">
        <v>399</v>
      </c>
      <c r="F90" s="345" t="s">
        <v>398</v>
      </c>
      <c r="G90" s="345"/>
      <c r="H90" s="345"/>
      <c r="I90" s="345"/>
      <c r="J90" s="345"/>
      <c r="K90" s="345"/>
      <c r="L90" s="345"/>
      <c r="M90" s="345"/>
      <c r="N90" s="345"/>
      <c r="O90" s="345"/>
      <c r="P90" s="345"/>
      <c r="Q90" s="345"/>
      <c r="R90" s="345"/>
      <c r="S90" s="345"/>
      <c r="T90" s="345"/>
    </row>
    <row r="92" spans="2:20">
      <c r="B92" s="198"/>
      <c r="C92" s="198"/>
      <c r="D92" s="198"/>
      <c r="E92" s="198"/>
      <c r="F92" s="198"/>
      <c r="G92" s="198"/>
      <c r="H92" s="198"/>
      <c r="I92" s="198"/>
      <c r="J92" s="198"/>
      <c r="K92" s="198"/>
      <c r="L92" s="198"/>
      <c r="M92" s="198"/>
      <c r="N92" s="198"/>
      <c r="O92" s="198"/>
      <c r="P92" s="198"/>
      <c r="Q92" s="198"/>
      <c r="R92" s="198"/>
      <c r="S92" s="198"/>
      <c r="T92" s="198"/>
    </row>
  </sheetData>
  <mergeCells count="98">
    <mergeCell ref="F14:J14"/>
    <mergeCell ref="E15:E30"/>
    <mergeCell ref="F15:J30"/>
    <mergeCell ref="B26:C26"/>
    <mergeCell ref="F9:J9"/>
    <mergeCell ref="F10:J10"/>
    <mergeCell ref="F11:J11"/>
    <mergeCell ref="F12:J12"/>
    <mergeCell ref="F13:J13"/>
    <mergeCell ref="B33:B35"/>
    <mergeCell ref="C33:C35"/>
    <mergeCell ref="B36:B38"/>
    <mergeCell ref="C36:C38"/>
    <mergeCell ref="B9:C9"/>
    <mergeCell ref="B12:C12"/>
    <mergeCell ref="F48:T50"/>
    <mergeCell ref="B51:B53"/>
    <mergeCell ref="C51:C53"/>
    <mergeCell ref="E51:E53"/>
    <mergeCell ref="B39:B41"/>
    <mergeCell ref="C39:C41"/>
    <mergeCell ref="B42:B44"/>
    <mergeCell ref="C42:C44"/>
    <mergeCell ref="F51:T53"/>
    <mergeCell ref="E57:E59"/>
    <mergeCell ref="E60:E62"/>
    <mergeCell ref="B45:B47"/>
    <mergeCell ref="C45:C47"/>
    <mergeCell ref="D45:D47"/>
    <mergeCell ref="B48:B50"/>
    <mergeCell ref="C48:C50"/>
    <mergeCell ref="E48:E50"/>
    <mergeCell ref="D57:D59"/>
    <mergeCell ref="D60:D62"/>
    <mergeCell ref="E54:E56"/>
    <mergeCell ref="D64:D66"/>
    <mergeCell ref="B57:B59"/>
    <mergeCell ref="C57:C59"/>
    <mergeCell ref="B60:B62"/>
    <mergeCell ref="C60:C62"/>
    <mergeCell ref="F78:T80"/>
    <mergeCell ref="F82:T84"/>
    <mergeCell ref="D75:D77"/>
    <mergeCell ref="B67:B69"/>
    <mergeCell ref="C67:C69"/>
    <mergeCell ref="E67:E69"/>
    <mergeCell ref="B71:B73"/>
    <mergeCell ref="C71:C73"/>
    <mergeCell ref="E71:E73"/>
    <mergeCell ref="E42:E44"/>
    <mergeCell ref="E45:E47"/>
    <mergeCell ref="B78:B80"/>
    <mergeCell ref="C78:C80"/>
    <mergeCell ref="E78:E80"/>
    <mergeCell ref="D78:D80"/>
    <mergeCell ref="B75:B77"/>
    <mergeCell ref="C75:C77"/>
    <mergeCell ref="E75:E77"/>
    <mergeCell ref="B54:B56"/>
    <mergeCell ref="C54:C56"/>
    <mergeCell ref="D67:D69"/>
    <mergeCell ref="D71:D73"/>
    <mergeCell ref="B64:B66"/>
    <mergeCell ref="C64:C66"/>
    <mergeCell ref="E64:E66"/>
    <mergeCell ref="F57:T59"/>
    <mergeCell ref="F60:T62"/>
    <mergeCell ref="F64:T66"/>
    <mergeCell ref="F67:T69"/>
    <mergeCell ref="F75:T77"/>
    <mergeCell ref="F63:L63"/>
    <mergeCell ref="F71:T73"/>
    <mergeCell ref="F54:T56"/>
    <mergeCell ref="D51:D53"/>
    <mergeCell ref="D54:D56"/>
    <mergeCell ref="D33:D35"/>
    <mergeCell ref="D36:D38"/>
    <mergeCell ref="D39:D41"/>
    <mergeCell ref="D42:D44"/>
    <mergeCell ref="D48:D50"/>
    <mergeCell ref="F33:T35"/>
    <mergeCell ref="F36:T38"/>
    <mergeCell ref="F39:T41"/>
    <mergeCell ref="F42:T44"/>
    <mergeCell ref="F45:T47"/>
    <mergeCell ref="E33:E35"/>
    <mergeCell ref="E36:E38"/>
    <mergeCell ref="E39:E41"/>
    <mergeCell ref="F90:T90"/>
    <mergeCell ref="F86:T88"/>
    <mergeCell ref="D82:D84"/>
    <mergeCell ref="B86:B88"/>
    <mergeCell ref="C86:C88"/>
    <mergeCell ref="D86:D88"/>
    <mergeCell ref="E86:E88"/>
    <mergeCell ref="E82:E84"/>
    <mergeCell ref="B82:B84"/>
    <mergeCell ref="C82:C84"/>
  </mergeCells>
  <dataValidations count="1">
    <dataValidation type="list" allowBlank="1" showInputMessage="1" showErrorMessage="1" sqref="B10">
      <formula1>"Best Case, Base Case, Worst Case"</formula1>
    </dataValidation>
  </dataValidations>
  <hyperlinks>
    <hyperlink ref="F14" r:id="rId1" display="www.aarti-industries.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B1:I37"/>
  <sheetViews>
    <sheetView showGridLines="0" topLeftCell="C1" workbookViewId="0">
      <selection activeCell="H1" sqref="H1"/>
    </sheetView>
  </sheetViews>
  <sheetFormatPr defaultRowHeight="15"/>
  <cols>
    <col min="1" max="1" width="1.85546875" customWidth="1"/>
    <col min="2" max="2" width="37" bestFit="1" customWidth="1"/>
    <col min="3" max="7" width="18.5703125" bestFit="1" customWidth="1"/>
    <col min="8" max="8" width="51.85546875" bestFit="1" customWidth="1"/>
    <col min="9" max="9" width="12" bestFit="1" customWidth="1"/>
    <col min="10" max="10" width="10.7109375" bestFit="1" customWidth="1"/>
    <col min="11" max="11" width="12.5703125" bestFit="1" customWidth="1"/>
    <col min="12" max="12" width="11" bestFit="1" customWidth="1"/>
  </cols>
  <sheetData>
    <row r="1" spans="2:7" ht="15.75" customHeight="1" thickTop="1">
      <c r="B1" s="248" t="s">
        <v>318</v>
      </c>
    </row>
    <row r="2" spans="2:7" ht="15" customHeight="1">
      <c r="B2" s="10" t="s">
        <v>319</v>
      </c>
    </row>
    <row r="3" spans="2:7">
      <c r="C3" s="64">
        <v>10000</v>
      </c>
    </row>
    <row r="4" spans="2:7">
      <c r="B4" s="6" t="s">
        <v>355</v>
      </c>
    </row>
    <row r="5" spans="2:7">
      <c r="B5" s="250" t="s">
        <v>1</v>
      </c>
      <c r="C5" s="250"/>
      <c r="D5" s="250"/>
      <c r="E5" s="250"/>
      <c r="F5" s="250"/>
      <c r="G5" s="250"/>
    </row>
    <row r="7" spans="2:7">
      <c r="B7" s="2" t="s">
        <v>2</v>
      </c>
      <c r="C7" s="3">
        <v>2021</v>
      </c>
      <c r="D7" s="3">
        <f>C7+1</f>
        <v>2022</v>
      </c>
      <c r="E7" s="3">
        <f t="shared" ref="E7:G7" si="0">D7+1</f>
        <v>2023</v>
      </c>
      <c r="F7" s="3">
        <f t="shared" si="0"/>
        <v>2024</v>
      </c>
      <c r="G7" s="3">
        <f t="shared" si="0"/>
        <v>2025</v>
      </c>
    </row>
    <row r="8" spans="2:7">
      <c r="B8" s="1" t="s">
        <v>0</v>
      </c>
    </row>
    <row r="9" spans="2:7">
      <c r="B9" t="s">
        <v>3</v>
      </c>
      <c r="C9" s="96">
        <v>278115.4767</v>
      </c>
      <c r="D9" s="96">
        <v>289972.68599999999</v>
      </c>
      <c r="E9" s="96">
        <v>350844.58010000002</v>
      </c>
      <c r="F9" s="96">
        <v>439188.5123</v>
      </c>
      <c r="G9" s="96">
        <v>490937.78509999998</v>
      </c>
    </row>
    <row r="10" spans="2:7">
      <c r="B10" s="4" t="s">
        <v>4</v>
      </c>
      <c r="C10" s="96">
        <v>107222.41379999999</v>
      </c>
      <c r="D10" s="96">
        <v>117000.4037</v>
      </c>
      <c r="E10" s="96">
        <v>122533.56110000001</v>
      </c>
      <c r="F10" s="96">
        <v>155386.3922</v>
      </c>
      <c r="G10" s="96">
        <v>172405.53229999999</v>
      </c>
    </row>
    <row r="11" spans="2:7">
      <c r="B11" s="7" t="s">
        <v>407</v>
      </c>
      <c r="C11" s="61">
        <f>SUM(C9:C10)</f>
        <v>385337.89049999998</v>
      </c>
      <c r="D11" s="61">
        <f>SUM(D9:D10)</f>
        <v>406973.08970000001</v>
      </c>
      <c r="E11" s="61">
        <f>SUM(E9:E10)</f>
        <v>473378.14120000001</v>
      </c>
      <c r="F11" s="61">
        <f t="shared" ref="F11:G11" si="1">SUM(F9:F10)</f>
        <v>594574.90449999995</v>
      </c>
      <c r="G11" s="61">
        <f t="shared" si="1"/>
        <v>663343.31739999994</v>
      </c>
    </row>
    <row r="12" spans="2:7">
      <c r="C12" s="103"/>
      <c r="D12" s="103"/>
      <c r="E12" s="103"/>
      <c r="F12" s="103"/>
      <c r="G12" s="14">
        <f>G10/'Revenue_Build Up'!G10</f>
        <v>0.25990392573147519</v>
      </c>
    </row>
    <row r="13" spans="2:7">
      <c r="B13" s="1" t="s">
        <v>6</v>
      </c>
      <c r="C13" s="103"/>
      <c r="D13" s="60"/>
      <c r="E13" s="60"/>
      <c r="F13" s="60"/>
      <c r="G13" s="60"/>
    </row>
    <row r="14" spans="2:7">
      <c r="B14" t="s">
        <v>18</v>
      </c>
      <c r="C14" s="96">
        <v>143060.44620000001</v>
      </c>
      <c r="D14" s="96">
        <v>141765.283</v>
      </c>
      <c r="E14" s="96">
        <v>163518.78320000001</v>
      </c>
      <c r="F14" s="96">
        <v>223278.71350000001</v>
      </c>
      <c r="G14" s="96">
        <v>259228.11910000001</v>
      </c>
    </row>
    <row r="15" spans="2:7">
      <c r="B15" t="s">
        <v>7</v>
      </c>
      <c r="C15" s="96">
        <v>142899.03829999999</v>
      </c>
      <c r="D15" s="96">
        <v>161647.85279999999</v>
      </c>
      <c r="E15" s="96">
        <v>168795.16510000001</v>
      </c>
      <c r="F15" s="96">
        <v>200776.4461</v>
      </c>
      <c r="G15" s="96">
        <v>198820.5968</v>
      </c>
    </row>
    <row r="16" spans="2:7">
      <c r="B16" t="s">
        <v>8</v>
      </c>
      <c r="C16" s="96">
        <v>54618.4087</v>
      </c>
      <c r="D16" s="96">
        <v>40059.148399999998</v>
      </c>
      <c r="E16" s="96">
        <v>37024.4087</v>
      </c>
      <c r="F16" s="96">
        <v>30806.756700000002</v>
      </c>
      <c r="G16" s="96">
        <v>46809.309099999999</v>
      </c>
    </row>
    <row r="17" spans="2:9">
      <c r="B17" s="7" t="s">
        <v>5</v>
      </c>
      <c r="C17" s="61">
        <f>SUM(C14:C16)</f>
        <v>340577.89320000005</v>
      </c>
      <c r="D17" s="61">
        <f>SUM(D14:D16)</f>
        <v>343472.28419999999</v>
      </c>
      <c r="E17" s="61">
        <f>SUM(E14:E16)</f>
        <v>369338.35700000008</v>
      </c>
      <c r="F17" s="61">
        <f t="shared" ref="F17:G17" si="2">SUM(F14:F16)</f>
        <v>454861.91630000004</v>
      </c>
      <c r="G17" s="61">
        <f t="shared" si="2"/>
        <v>504858.02500000002</v>
      </c>
      <c r="H17" s="60"/>
      <c r="I17" s="12"/>
    </row>
    <row r="18" spans="2:9">
      <c r="C18" s="60"/>
      <c r="D18" s="60"/>
      <c r="E18" s="60"/>
      <c r="F18" s="60"/>
      <c r="G18" s="60"/>
      <c r="H18" s="60"/>
    </row>
    <row r="19" spans="2:9">
      <c r="B19" s="7" t="s">
        <v>11</v>
      </c>
      <c r="C19" s="61">
        <f>C11-C17</f>
        <v>44759.99729999993</v>
      </c>
      <c r="D19" s="61">
        <f>D11-D17</f>
        <v>63500.805500000017</v>
      </c>
      <c r="E19" s="61">
        <f>E11-E17</f>
        <v>104039.78419999994</v>
      </c>
      <c r="F19" s="61">
        <f t="shared" ref="F19:G19" si="3">F11-F17</f>
        <v>139712.98819999991</v>
      </c>
      <c r="G19" s="61">
        <f t="shared" si="3"/>
        <v>158485.29239999992</v>
      </c>
    </row>
    <row r="20" spans="2:9">
      <c r="C20" s="60"/>
      <c r="D20" s="60"/>
      <c r="E20" s="60"/>
      <c r="F20" s="60"/>
      <c r="G20" s="60"/>
    </row>
    <row r="21" spans="2:9">
      <c r="B21" s="4" t="s">
        <v>16</v>
      </c>
      <c r="C21" s="96">
        <v>3711.0636</v>
      </c>
      <c r="D21" s="96">
        <v>3691.27</v>
      </c>
      <c r="E21" s="96">
        <v>3695.5985999999998</v>
      </c>
      <c r="F21" s="96">
        <v>3849.1244999999999</v>
      </c>
      <c r="G21" s="96">
        <v>3991.4767000000002</v>
      </c>
    </row>
    <row r="22" spans="2:9">
      <c r="B22" s="4"/>
      <c r="C22" s="60"/>
      <c r="D22" s="60"/>
      <c r="E22" s="60"/>
      <c r="F22" s="60"/>
      <c r="G22" s="60"/>
    </row>
    <row r="23" spans="2:9">
      <c r="B23" s="7" t="s">
        <v>12</v>
      </c>
      <c r="C23" s="61">
        <f>C19-C21</f>
        <v>41048.933699999929</v>
      </c>
      <c r="D23" s="61">
        <f>D19-D21</f>
        <v>59809.53550000002</v>
      </c>
      <c r="E23" s="61">
        <f>E19-E21</f>
        <v>100344.18559999994</v>
      </c>
      <c r="F23" s="61">
        <f t="shared" ref="F23:G23" si="4">F19-F21</f>
        <v>135863.8636999999</v>
      </c>
      <c r="G23" s="61">
        <f t="shared" si="4"/>
        <v>154493.81569999992</v>
      </c>
    </row>
    <row r="24" spans="2:9">
      <c r="B24" s="4"/>
      <c r="C24" s="60"/>
      <c r="D24" s="60"/>
      <c r="E24" s="60"/>
      <c r="F24" s="60"/>
      <c r="G24" s="60"/>
    </row>
    <row r="25" spans="2:9">
      <c r="B25" t="s">
        <v>13</v>
      </c>
      <c r="C25" s="96">
        <v>12949.7209</v>
      </c>
      <c r="D25" s="96">
        <v>14429.061100000001</v>
      </c>
      <c r="E25" s="96">
        <v>26462.033500000001</v>
      </c>
      <c r="F25" s="96">
        <v>36457.334600000002</v>
      </c>
      <c r="G25" s="96">
        <v>41715.216200000003</v>
      </c>
    </row>
    <row r="26" spans="2:9">
      <c r="B26" t="s">
        <v>9</v>
      </c>
      <c r="C26" s="96">
        <v>-391.90449999999998</v>
      </c>
      <c r="D26" s="96">
        <v>827.01329999999996</v>
      </c>
      <c r="E26" s="96">
        <v>1191.4521</v>
      </c>
      <c r="F26" s="96">
        <v>1405.1542999999999</v>
      </c>
      <c r="G26" s="96">
        <v>1505.4709</v>
      </c>
    </row>
    <row r="27" spans="2:9">
      <c r="B27" t="s">
        <v>10</v>
      </c>
      <c r="C27" s="96">
        <v>1482.3572999999999</v>
      </c>
      <c r="D27" s="96">
        <v>1809.3049000000001</v>
      </c>
      <c r="E27" s="96">
        <v>2101.7091999999998</v>
      </c>
      <c r="F27" s="96">
        <v>2458.7491</v>
      </c>
      <c r="G27" s="96">
        <v>2961.2882</v>
      </c>
    </row>
    <row r="28" spans="2:9">
      <c r="C28" s="60"/>
      <c r="D28" s="60"/>
      <c r="E28" s="60"/>
      <c r="F28" s="60"/>
      <c r="G28" s="60"/>
    </row>
    <row r="29" spans="2:9">
      <c r="B29" s="7" t="s">
        <v>14</v>
      </c>
      <c r="C29" s="61">
        <f>C23-C25+C26-C27</f>
        <v>26224.950999999928</v>
      </c>
      <c r="D29" s="61">
        <f>D23-D25+D26-D27</f>
        <v>44398.182800000017</v>
      </c>
      <c r="E29" s="61">
        <f>E23-E25+E26-E27</f>
        <v>72971.894999999931</v>
      </c>
      <c r="F29" s="61">
        <f>F23-F25+F26-F27</f>
        <v>98352.934299999892</v>
      </c>
      <c r="G29" s="61">
        <f>G23-G25+G26-G27</f>
        <v>111322.78219999993</v>
      </c>
    </row>
    <row r="30" spans="2:9">
      <c r="C30" s="60"/>
      <c r="D30" s="60"/>
      <c r="E30" s="60"/>
      <c r="F30" s="60"/>
      <c r="G30" s="60"/>
    </row>
    <row r="31" spans="2:9">
      <c r="B31" t="s">
        <v>15</v>
      </c>
      <c r="C31" s="96">
        <v>-3819.4933999999998</v>
      </c>
      <c r="D31" s="96">
        <v>-9024.3029999999999</v>
      </c>
      <c r="E31" s="96">
        <v>-17323.7222</v>
      </c>
      <c r="F31" s="96">
        <v>-31268.268199999999</v>
      </c>
      <c r="G31" s="96">
        <v>-33761.445099999997</v>
      </c>
    </row>
    <row r="32" spans="2:9">
      <c r="C32" s="60"/>
      <c r="D32" s="60"/>
      <c r="E32" s="60"/>
      <c r="F32" s="60"/>
      <c r="G32" s="60"/>
    </row>
    <row r="33" spans="2:7">
      <c r="B33" s="7" t="s">
        <v>17</v>
      </c>
      <c r="C33" s="61">
        <f>C29+C31</f>
        <v>22405.457599999929</v>
      </c>
      <c r="D33" s="61">
        <f>D29+D31</f>
        <v>35373.879800000017</v>
      </c>
      <c r="E33" s="61">
        <f>E29+E31</f>
        <v>55648.172799999928</v>
      </c>
      <c r="F33" s="61">
        <f t="shared" ref="F33:G33" si="5">F29+F31</f>
        <v>67084.666099999886</v>
      </c>
      <c r="G33" s="61">
        <f t="shared" si="5"/>
        <v>77561.337099999932</v>
      </c>
    </row>
    <row r="35" spans="2:7">
      <c r="B35" s="81"/>
      <c r="C35" s="83"/>
      <c r="D35" s="83"/>
      <c r="E35" s="83"/>
      <c r="F35" s="83"/>
      <c r="G35" s="83"/>
    </row>
    <row r="36" spans="2:7">
      <c r="C36" s="8"/>
      <c r="D36" s="8"/>
      <c r="E36" s="8"/>
      <c r="F36" s="8"/>
      <c r="G36" s="8"/>
    </row>
    <row r="37" spans="2:7">
      <c r="C37" s="60"/>
      <c r="D37" s="60"/>
      <c r="E37" s="60"/>
      <c r="F37" s="60"/>
      <c r="G37" s="6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B1:K37"/>
  <sheetViews>
    <sheetView showGridLines="0" workbookViewId="0">
      <selection activeCell="A4" sqref="A4"/>
    </sheetView>
  </sheetViews>
  <sheetFormatPr defaultRowHeight="15"/>
  <cols>
    <col min="1" max="1" width="1.85546875" customWidth="1"/>
    <col min="2" max="2" width="49.42578125" bestFit="1" customWidth="1"/>
    <col min="3" max="3" width="20.28515625" bestFit="1" customWidth="1"/>
    <col min="4" max="7" width="19.5703125" bestFit="1" customWidth="1"/>
    <col min="11" max="12" width="13.28515625" bestFit="1" customWidth="1"/>
  </cols>
  <sheetData>
    <row r="1" spans="2:11" ht="16.5" thickTop="1">
      <c r="B1" s="248" t="s">
        <v>318</v>
      </c>
    </row>
    <row r="2" spans="2:11">
      <c r="B2" s="10" t="s">
        <v>319</v>
      </c>
    </row>
    <row r="3" spans="2:11">
      <c r="C3" s="64">
        <v>10000</v>
      </c>
    </row>
    <row r="4" spans="2:11">
      <c r="B4" s="6" t="s">
        <v>355</v>
      </c>
    </row>
    <row r="5" spans="2:11">
      <c r="B5" s="148" t="s">
        <v>19</v>
      </c>
      <c r="C5" s="148"/>
      <c r="D5" s="148"/>
      <c r="E5" s="148"/>
      <c r="F5" s="148"/>
      <c r="G5" s="249"/>
    </row>
    <row r="7" spans="2:11">
      <c r="B7" s="2" t="s">
        <v>2</v>
      </c>
      <c r="C7" s="3">
        <v>2021</v>
      </c>
      <c r="D7" s="3">
        <f>C7+1</f>
        <v>2022</v>
      </c>
      <c r="E7" s="3">
        <f t="shared" ref="E7:G7" si="0">D7+1</f>
        <v>2023</v>
      </c>
      <c r="F7" s="3">
        <f t="shared" si="0"/>
        <v>2024</v>
      </c>
      <c r="G7" s="3">
        <f t="shared" si="0"/>
        <v>2025</v>
      </c>
    </row>
    <row r="8" spans="2:11">
      <c r="B8" s="1" t="s">
        <v>20</v>
      </c>
    </row>
    <row r="9" spans="2:11">
      <c r="B9" t="s">
        <v>21</v>
      </c>
      <c r="C9" s="26">
        <v>892.46119999999996</v>
      </c>
      <c r="D9" s="26">
        <v>892.46119999999996</v>
      </c>
      <c r="E9" s="26">
        <v>892.46119999999996</v>
      </c>
      <c r="F9" s="26">
        <v>892.46119999999996</v>
      </c>
      <c r="G9" s="26">
        <v>892.46199999999999</v>
      </c>
    </row>
    <row r="10" spans="2:11">
      <c r="B10" t="s">
        <v>22</v>
      </c>
      <c r="C10" s="26">
        <v>274669.09879999998</v>
      </c>
      <c r="D10" s="26">
        <v>304695.58390000003</v>
      </c>
      <c r="E10" s="26">
        <v>358038.85690000001</v>
      </c>
      <c r="F10" s="26">
        <v>414046.71029999998</v>
      </c>
      <c r="G10" s="26">
        <v>486144.29670000001</v>
      </c>
    </row>
    <row r="11" spans="2:11">
      <c r="B11" t="s">
        <v>23</v>
      </c>
      <c r="C11" s="26">
        <v>9625.9166000000005</v>
      </c>
      <c r="D11" s="26">
        <v>11207.4228</v>
      </c>
      <c r="E11" s="26">
        <v>12836.6194</v>
      </c>
      <c r="F11" s="26">
        <v>15617.9624</v>
      </c>
      <c r="G11" s="26">
        <v>18025.838800000001</v>
      </c>
    </row>
    <row r="12" spans="2:11">
      <c r="B12" t="s">
        <v>313</v>
      </c>
      <c r="C12" s="26">
        <v>1686779.5035999999</v>
      </c>
      <c r="D12" s="26">
        <v>1819711.9749</v>
      </c>
      <c r="E12" s="26">
        <v>1906519.4391999999</v>
      </c>
      <c r="F12" s="26">
        <v>1982929.8232</v>
      </c>
      <c r="G12" s="26">
        <v>2108936.5847</v>
      </c>
      <c r="K12">
        <v>10000</v>
      </c>
    </row>
    <row r="13" spans="2:11">
      <c r="B13" t="s">
        <v>314</v>
      </c>
      <c r="C13" s="26">
        <v>2028551.7381</v>
      </c>
      <c r="D13" s="26">
        <v>2267698.6257000002</v>
      </c>
      <c r="E13" s="26">
        <v>2562016.0676000002</v>
      </c>
      <c r="F13" s="26">
        <v>2983607.6639999999</v>
      </c>
      <c r="G13" s="26">
        <v>3330961.4344000001</v>
      </c>
    </row>
    <row r="14" spans="2:11">
      <c r="B14" t="s">
        <v>24</v>
      </c>
      <c r="C14" s="26">
        <v>433796.20809999999</v>
      </c>
      <c r="D14" s="26">
        <v>449159.78360000002</v>
      </c>
      <c r="E14" s="26">
        <v>521151.9498</v>
      </c>
      <c r="F14" s="26">
        <v>639609.50289999996</v>
      </c>
      <c r="G14" s="26">
        <v>610857.245</v>
      </c>
    </row>
    <row r="15" spans="2:11">
      <c r="B15" t="s">
        <v>25</v>
      </c>
      <c r="C15" s="26">
        <v>411303.6201</v>
      </c>
      <c r="D15" s="26">
        <v>507517.67729999998</v>
      </c>
      <c r="E15" s="26">
        <v>592962.92290000001</v>
      </c>
      <c r="F15" s="26">
        <v>697074.67570000002</v>
      </c>
      <c r="G15" s="26">
        <v>758367.47919999994</v>
      </c>
    </row>
    <row r="16" spans="2:11">
      <c r="B16" s="7" t="s">
        <v>26</v>
      </c>
      <c r="C16" s="63">
        <f>SUM(C9:C15)</f>
        <v>4845618.5465000002</v>
      </c>
      <c r="D16" s="63">
        <f t="shared" ref="D16:G16" si="1">SUM(D9:D15)</f>
        <v>5360883.5294000003</v>
      </c>
      <c r="E16" s="63">
        <f t="shared" si="1"/>
        <v>5954418.3169999989</v>
      </c>
      <c r="F16" s="63">
        <f t="shared" si="1"/>
        <v>6733778.7996999994</v>
      </c>
      <c r="G16" s="63">
        <f t="shared" si="1"/>
        <v>7314185.3408000004</v>
      </c>
    </row>
    <row r="18" spans="2:7">
      <c r="B18" s="1" t="s">
        <v>27</v>
      </c>
    </row>
    <row r="19" spans="2:7">
      <c r="B19" t="s">
        <v>28</v>
      </c>
      <c r="C19" s="26">
        <v>213498.6159</v>
      </c>
      <c r="D19" s="26">
        <v>318492.4301</v>
      </c>
      <c r="E19" s="26">
        <v>247321.0497</v>
      </c>
      <c r="F19" s="26">
        <v>225356.33609999999</v>
      </c>
      <c r="G19" s="26">
        <v>227485.1569</v>
      </c>
    </row>
    <row r="20" spans="2:7">
      <c r="B20" t="s">
        <v>29</v>
      </c>
      <c r="C20" s="26">
        <v>134208.4198</v>
      </c>
      <c r="D20" s="26">
        <v>80412.691600000006</v>
      </c>
      <c r="E20" s="26">
        <v>70990.86</v>
      </c>
      <c r="F20" s="26">
        <v>101215.96739999999</v>
      </c>
      <c r="G20" s="26">
        <v>130447.7859</v>
      </c>
    </row>
    <row r="21" spans="2:7">
      <c r="B21" t="s">
        <v>30</v>
      </c>
      <c r="C21" s="26">
        <v>1595100.2664000001</v>
      </c>
      <c r="D21" s="26">
        <v>1776489.8988000001</v>
      </c>
      <c r="E21" s="26">
        <v>1913107.8563999999</v>
      </c>
      <c r="F21" s="26">
        <v>2110548.2259</v>
      </c>
      <c r="G21" s="26">
        <v>2205601.1083</v>
      </c>
    </row>
    <row r="22" spans="2:7">
      <c r="B22" t="s">
        <v>31</v>
      </c>
      <c r="C22" s="26">
        <v>2500598.9866999998</v>
      </c>
      <c r="D22" s="26">
        <v>2794076.0018000002</v>
      </c>
      <c r="E22" s="26">
        <v>3267902.1272999998</v>
      </c>
      <c r="F22" s="26">
        <v>3784272.6705</v>
      </c>
      <c r="G22" s="26">
        <v>4250830.7363999998</v>
      </c>
    </row>
    <row r="23" spans="2:7">
      <c r="B23" t="s">
        <v>32</v>
      </c>
      <c r="C23" s="26">
        <v>40166.788200000003</v>
      </c>
      <c r="D23" s="26">
        <v>39510.030500000001</v>
      </c>
      <c r="E23" s="26">
        <v>44407.381000000001</v>
      </c>
      <c r="F23" s="26">
        <v>44708.177300000003</v>
      </c>
      <c r="G23" s="26">
        <v>46337.695399999997</v>
      </c>
    </row>
    <row r="24" spans="2:7">
      <c r="B24" t="s">
        <v>33</v>
      </c>
      <c r="C24" s="26">
        <v>362045.46950000001</v>
      </c>
      <c r="D24" s="26">
        <v>351902.47659999999</v>
      </c>
      <c r="E24" s="26">
        <v>410689.04259999999</v>
      </c>
      <c r="F24" s="26">
        <v>467677.42249999999</v>
      </c>
      <c r="G24" s="26">
        <v>453482.8579</v>
      </c>
    </row>
    <row r="25" spans="2:7">
      <c r="B25" s="7" t="s">
        <v>26</v>
      </c>
      <c r="C25" s="63">
        <f>SUM(C19:C24)</f>
        <v>4845618.5464999992</v>
      </c>
      <c r="D25" s="63">
        <f t="shared" ref="D25:G25" si="2">SUM(D19:D24)</f>
        <v>5360883.5294000003</v>
      </c>
      <c r="E25" s="63">
        <f t="shared" si="2"/>
        <v>5954418.3170000007</v>
      </c>
      <c r="F25" s="63">
        <f t="shared" si="2"/>
        <v>6733778.7996999994</v>
      </c>
      <c r="G25" s="63">
        <f t="shared" si="2"/>
        <v>7314185.3407999994</v>
      </c>
    </row>
    <row r="26" spans="2:7" ht="15.75" thickBot="1"/>
    <row r="27" spans="2:7" ht="16.5" thickTop="1" thickBot="1">
      <c r="B27" s="95" t="s">
        <v>34</v>
      </c>
      <c r="C27" s="95" t="b">
        <f>C25=C16</f>
        <v>1</v>
      </c>
      <c r="D27" s="95" t="b">
        <f t="shared" ref="D27:G27" si="3">D25=D16</f>
        <v>1</v>
      </c>
      <c r="E27" s="95" t="b">
        <f t="shared" si="3"/>
        <v>1</v>
      </c>
      <c r="F27" s="95" t="b">
        <f t="shared" si="3"/>
        <v>1</v>
      </c>
      <c r="G27" s="95" t="b">
        <f t="shared" si="3"/>
        <v>1</v>
      </c>
    </row>
    <row r="28" spans="2:7" ht="15.75" thickTop="1"/>
    <row r="29" spans="2:7">
      <c r="B29" s="81"/>
      <c r="C29" s="81"/>
      <c r="D29" s="81"/>
      <c r="E29" s="81"/>
      <c r="F29" s="81"/>
      <c r="G29" s="81"/>
    </row>
    <row r="34" spans="3:7">
      <c r="C34" s="8"/>
      <c r="D34" s="8"/>
      <c r="E34" s="8"/>
      <c r="F34" s="8"/>
      <c r="G34" s="8"/>
    </row>
    <row r="35" spans="3:7">
      <c r="C35" s="60"/>
      <c r="D35" s="60"/>
      <c r="E35" s="60"/>
      <c r="F35" s="60"/>
      <c r="G35" s="60"/>
    </row>
    <row r="36" spans="3:7">
      <c r="C36" s="8"/>
      <c r="D36" s="8"/>
      <c r="E36" s="8"/>
      <c r="F36" s="8"/>
      <c r="G36" s="8"/>
    </row>
    <row r="37" spans="3:7">
      <c r="C37" s="6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Q91"/>
  <sheetViews>
    <sheetView showGridLines="0" workbookViewId="0">
      <pane xSplit="2" ySplit="8" topLeftCell="C75" activePane="bottomRight" state="frozen"/>
      <selection pane="topRight" activeCell="C1" sqref="C1"/>
      <selection pane="bottomLeft" activeCell="A9" sqref="A9"/>
      <selection pane="bottomRight" activeCell="H88" sqref="H88"/>
    </sheetView>
  </sheetViews>
  <sheetFormatPr defaultRowHeight="15"/>
  <cols>
    <col min="1" max="1" width="1.85546875" customWidth="1"/>
    <col min="2" max="2" width="29.140625" bestFit="1" customWidth="1"/>
    <col min="3" max="3" width="13.85546875" bestFit="1" customWidth="1"/>
    <col min="4" max="7" width="13.28515625" bestFit="1" customWidth="1"/>
    <col min="8" max="8" width="21" bestFit="1" customWidth="1"/>
    <col min="9" max="9" width="13.28515625" bestFit="1" customWidth="1"/>
    <col min="10" max="17" width="14.28515625" bestFit="1" customWidth="1"/>
  </cols>
  <sheetData>
    <row r="1" spans="1:17" ht="16.5" thickTop="1">
      <c r="B1" s="248" t="s">
        <v>318</v>
      </c>
    </row>
    <row r="2" spans="1:17">
      <c r="B2" s="10" t="s">
        <v>319</v>
      </c>
    </row>
    <row r="3" spans="1:17">
      <c r="C3" s="64">
        <v>10000</v>
      </c>
    </row>
    <row r="4" spans="1:17">
      <c r="B4" s="6" t="s">
        <v>355</v>
      </c>
    </row>
    <row r="5" spans="1:17">
      <c r="B5" s="148" t="s">
        <v>80</v>
      </c>
      <c r="C5" s="199"/>
      <c r="D5" s="199"/>
      <c r="E5" s="199"/>
      <c r="F5" s="199"/>
      <c r="G5" s="199"/>
      <c r="H5" s="199"/>
      <c r="I5" s="199"/>
      <c r="J5" s="199"/>
      <c r="K5" s="199"/>
      <c r="L5" s="199"/>
      <c r="M5" s="199"/>
      <c r="N5" s="199"/>
      <c r="O5" s="199"/>
      <c r="P5" s="199"/>
      <c r="Q5" s="199"/>
    </row>
    <row r="7" spans="1:17">
      <c r="A7" s="40"/>
      <c r="B7" s="399" t="s">
        <v>2</v>
      </c>
      <c r="C7" s="41">
        <v>2021</v>
      </c>
      <c r="D7" s="41">
        <f>C7+1</f>
        <v>2022</v>
      </c>
      <c r="E7" s="41">
        <f t="shared" ref="E7:G7" si="0">D7+1</f>
        <v>2023</v>
      </c>
      <c r="F7" s="41">
        <f t="shared" si="0"/>
        <v>2024</v>
      </c>
      <c r="G7" s="49">
        <f t="shared" si="0"/>
        <v>2025</v>
      </c>
      <c r="H7" s="43">
        <f t="shared" ref="H7" si="1">G7+1</f>
        <v>2026</v>
      </c>
      <c r="I7" s="43">
        <f t="shared" ref="I7" si="2">H7+1</f>
        <v>2027</v>
      </c>
      <c r="J7" s="43">
        <f t="shared" ref="J7" si="3">I7+1</f>
        <v>2028</v>
      </c>
      <c r="K7" s="43">
        <f t="shared" ref="K7" si="4">J7+1</f>
        <v>2029</v>
      </c>
      <c r="L7" s="43">
        <f t="shared" ref="L7" si="5">K7+1</f>
        <v>2030</v>
      </c>
      <c r="M7" s="43">
        <f t="shared" ref="M7" si="6">L7+1</f>
        <v>2031</v>
      </c>
      <c r="N7" s="43">
        <f t="shared" ref="N7" si="7">M7+1</f>
        <v>2032</v>
      </c>
      <c r="O7" s="43">
        <f t="shared" ref="O7" si="8">N7+1</f>
        <v>2033</v>
      </c>
      <c r="P7" s="43">
        <f t="shared" ref="P7" si="9">O7+1</f>
        <v>2034</v>
      </c>
      <c r="Q7" s="43">
        <f t="shared" ref="Q7" si="10">P7+1</f>
        <v>2035</v>
      </c>
    </row>
    <row r="8" spans="1:17">
      <c r="A8" s="40"/>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9" spans="1:17">
      <c r="A9" s="38"/>
      <c r="C9" s="60"/>
      <c r="D9" s="60"/>
      <c r="E9" s="60"/>
      <c r="F9" s="60"/>
      <c r="G9" s="60"/>
    </row>
    <row r="10" spans="1:17">
      <c r="A10" s="38"/>
      <c r="B10" s="2" t="s">
        <v>406</v>
      </c>
      <c r="C10" s="45">
        <v>385337.89049999998</v>
      </c>
      <c r="D10" s="45">
        <v>406973.08970000001</v>
      </c>
      <c r="E10" s="45">
        <v>473378.14120000001</v>
      </c>
      <c r="F10" s="45">
        <v>594574.90449999995</v>
      </c>
      <c r="G10" s="52">
        <v>663343.31740000006</v>
      </c>
      <c r="H10" s="46">
        <f>H14-H22+H31+H39+H48+H56+H64+H72</f>
        <v>747480.98423564713</v>
      </c>
      <c r="I10" s="46">
        <f t="shared" ref="I10:Q10" si="11">I14-I22+I31+I39+I48+I56+I64+I72</f>
        <v>831100.28963413183</v>
      </c>
      <c r="J10" s="46">
        <f t="shared" si="11"/>
        <v>913085.4572614677</v>
      </c>
      <c r="K10" s="46">
        <f t="shared" si="11"/>
        <v>992499.22003404552</v>
      </c>
      <c r="L10" s="46">
        <f t="shared" si="11"/>
        <v>1068592.9640498918</v>
      </c>
      <c r="M10" s="46">
        <f t="shared" si="11"/>
        <v>1140803.6933664968</v>
      </c>
      <c r="N10" s="46">
        <f t="shared" si="11"/>
        <v>1208741.4361204687</v>
      </c>
      <c r="O10" s="46">
        <f t="shared" si="11"/>
        <v>1272170.4908936713</v>
      </c>
      <c r="P10" s="46">
        <f t="shared" si="11"/>
        <v>1330987.4097932768</v>
      </c>
      <c r="Q10" s="46">
        <f t="shared" si="11"/>
        <v>1385197.9927536482</v>
      </c>
    </row>
    <row r="11" spans="1:17">
      <c r="A11" s="38"/>
      <c r="B11" s="5" t="s">
        <v>100</v>
      </c>
      <c r="C11" s="47"/>
      <c r="D11" s="24">
        <f>D10/C10-1</f>
        <v>5.6146046712216569E-2</v>
      </c>
      <c r="E11" s="24">
        <f t="shared" ref="E11:Q11" si="12">E10/D10-1</f>
        <v>0.16316816315533411</v>
      </c>
      <c r="F11" s="24">
        <f t="shared" si="12"/>
        <v>0.25602526342422482</v>
      </c>
      <c r="G11" s="53">
        <f t="shared" si="12"/>
        <v>0.11565979724258635</v>
      </c>
      <c r="H11" s="24">
        <f t="shared" si="12"/>
        <v>0.1268387946763796</v>
      </c>
      <c r="I11" s="24">
        <f t="shared" si="12"/>
        <v>0.11186813733327461</v>
      </c>
      <c r="J11" s="24">
        <f t="shared" si="12"/>
        <v>9.8646539593227001E-2</v>
      </c>
      <c r="K11" s="24">
        <f t="shared" si="12"/>
        <v>8.6972979517991877E-2</v>
      </c>
      <c r="L11" s="24">
        <f t="shared" si="12"/>
        <v>7.6668819964650581E-2</v>
      </c>
      <c r="M11" s="24">
        <f t="shared" si="12"/>
        <v>6.7575523839247031E-2</v>
      </c>
      <c r="N11" s="24">
        <f t="shared" si="12"/>
        <v>5.9552527002685762E-2</v>
      </c>
      <c r="O11" s="24">
        <f t="shared" si="12"/>
        <v>5.2475287830606732E-2</v>
      </c>
      <c r="P11" s="24">
        <f t="shared" si="12"/>
        <v>4.6233519265399758E-2</v>
      </c>
      <c r="Q11" s="24">
        <f t="shared" si="12"/>
        <v>4.0729598613401752E-2</v>
      </c>
    </row>
    <row r="12" spans="1:17">
      <c r="A12" s="38"/>
      <c r="B12" s="5"/>
      <c r="C12" s="47"/>
      <c r="D12" s="24"/>
      <c r="E12" s="24"/>
      <c r="F12" s="24"/>
      <c r="G12" s="53"/>
      <c r="H12" s="24"/>
      <c r="I12" s="24"/>
      <c r="J12" s="24"/>
      <c r="K12" s="24"/>
      <c r="L12" s="24"/>
      <c r="M12" s="24"/>
      <c r="N12" s="24"/>
      <c r="O12" s="24"/>
      <c r="P12" s="24"/>
      <c r="Q12" s="24"/>
    </row>
    <row r="13" spans="1:17">
      <c r="A13" s="38"/>
      <c r="C13" s="13"/>
      <c r="D13" s="14"/>
      <c r="E13" s="14"/>
      <c r="F13" s="14"/>
      <c r="G13" s="54"/>
      <c r="H13" s="14"/>
      <c r="I13" s="14"/>
      <c r="J13" s="14"/>
      <c r="K13" s="14"/>
      <c r="L13" s="14"/>
      <c r="M13" s="14"/>
      <c r="N13" s="14"/>
      <c r="O13" s="14"/>
      <c r="P13" s="14"/>
      <c r="Q13" s="14"/>
    </row>
    <row r="14" spans="1:17">
      <c r="A14" s="38"/>
      <c r="B14" s="19" t="s">
        <v>90</v>
      </c>
      <c r="C14" s="26">
        <v>1651.31</v>
      </c>
      <c r="D14" s="26">
        <v>3155.89</v>
      </c>
      <c r="E14" s="26">
        <v>1861.43</v>
      </c>
      <c r="F14" s="26">
        <v>2261.66</v>
      </c>
      <c r="G14" s="55">
        <v>1815.45</v>
      </c>
      <c r="H14" s="27">
        <f>G14*(1+H15)</f>
        <v>1869.9135000000001</v>
      </c>
      <c r="I14" s="27">
        <f t="shared" ref="I14:Q14" si="13">H14*(1+I15)</f>
        <v>1919.2792164</v>
      </c>
      <c r="J14" s="27">
        <f t="shared" si="13"/>
        <v>1963.8679111554047</v>
      </c>
      <c r="K14" s="27">
        <f t="shared" si="13"/>
        <v>2004.0175409499318</v>
      </c>
      <c r="L14" s="27">
        <f t="shared" si="13"/>
        <v>2040.0715415699201</v>
      </c>
      <c r="M14" s="27">
        <f t="shared" si="13"/>
        <v>2072.3698675211749</v>
      </c>
      <c r="N14" s="27">
        <f t="shared" si="13"/>
        <v>2101.2423785953206</v>
      </c>
      <c r="O14" s="27">
        <f t="shared" si="13"/>
        <v>2127.0041730610264</v>
      </c>
      <c r="P14" s="27">
        <f t="shared" si="13"/>
        <v>2149.9524971121718</v>
      </c>
      <c r="Q14" s="27">
        <f t="shared" si="13"/>
        <v>2170.3649017310217</v>
      </c>
    </row>
    <row r="15" spans="1:17">
      <c r="A15" s="38"/>
      <c r="B15" s="5" t="s">
        <v>100</v>
      </c>
      <c r="C15" s="25"/>
      <c r="D15" s="48">
        <f>IFERROR(D14/C14-1,0)</f>
        <v>0.9111432741278136</v>
      </c>
      <c r="E15" s="48">
        <f t="shared" ref="E15" si="14">IFERROR(E14/D14-1,0)</f>
        <v>-0.41017272465136612</v>
      </c>
      <c r="F15" s="48">
        <f t="shared" ref="F15" si="15">IFERROR(F14/E14-1,0)</f>
        <v>0.21501211434219925</v>
      </c>
      <c r="G15" s="56">
        <f t="shared" ref="G15" si="16">IFERROR(G14/F14-1,0)</f>
        <v>-0.19729313866805787</v>
      </c>
      <c r="H15" s="48">
        <f>CHOOSE(Assumptions!$C$10,'Revenue_Build Up'!$H17:$Q17,'Revenue_Build Up'!$H18:$Q18,'Revenue_Build Up'!$H19:$Q19)</f>
        <v>0.03</v>
      </c>
      <c r="I15" s="48">
        <f>CHOOSE(Assumptions!$C$10,'Revenue_Build Up'!$H17:$Q17,'Revenue_Build Up'!$H18:$Q18,'Revenue_Build Up'!$H19:$Q19)</f>
        <v>2.64E-2</v>
      </c>
      <c r="J15" s="48">
        <f>CHOOSE(Assumptions!$C$10,'Revenue_Build Up'!$H17:$Q17,'Revenue_Build Up'!$H18:$Q18,'Revenue_Build Up'!$H19:$Q19)</f>
        <v>2.3231999999999999E-2</v>
      </c>
      <c r="K15" s="48">
        <f>CHOOSE(Assumptions!$C$10,'Revenue_Build Up'!$H17:$Q17,'Revenue_Build Up'!$H18:$Q18,'Revenue_Build Up'!$H19:$Q19)</f>
        <v>2.0444159999999999E-2</v>
      </c>
      <c r="L15" s="48">
        <f>CHOOSE(Assumptions!$C$10,'Revenue_Build Up'!$H17:$Q17,'Revenue_Build Up'!$H18:$Q18,'Revenue_Build Up'!$H19:$Q19)</f>
        <v>1.7990860800000001E-2</v>
      </c>
      <c r="M15" s="48">
        <f>CHOOSE(Assumptions!$C$10,'Revenue_Build Up'!$H17:$Q17,'Revenue_Build Up'!$H18:$Q18,'Revenue_Build Up'!$H19:$Q19)</f>
        <v>1.5831957504000002E-2</v>
      </c>
      <c r="N15" s="48">
        <f>CHOOSE(Assumptions!$C$10,'Revenue_Build Up'!$H17:$Q17,'Revenue_Build Up'!$H18:$Q18,'Revenue_Build Up'!$H19:$Q19)</f>
        <v>1.3932122603520001E-2</v>
      </c>
      <c r="O15" s="48">
        <f>CHOOSE(Assumptions!$C$10,'Revenue_Build Up'!$H17:$Q17,'Revenue_Build Up'!$H18:$Q18,'Revenue_Build Up'!$H19:$Q19)</f>
        <v>1.2260267891097602E-2</v>
      </c>
      <c r="P15" s="48">
        <f>CHOOSE(Assumptions!$C$10,'Revenue_Build Up'!$H17:$Q17,'Revenue_Build Up'!$H18:$Q18,'Revenue_Build Up'!$H19:$Q19)</f>
        <v>1.0789035744165889E-2</v>
      </c>
      <c r="Q15" s="48">
        <f>CHOOSE(Assumptions!$C$10,'Revenue_Build Up'!$H17:$Q17,'Revenue_Build Up'!$H18:$Q18,'Revenue_Build Up'!$H19:$Q19)</f>
        <v>9.4943514548659833E-3</v>
      </c>
    </row>
    <row r="16" spans="1:17">
      <c r="A16" s="38"/>
      <c r="B16" s="19"/>
      <c r="C16" s="11"/>
      <c r="D16" s="14"/>
      <c r="E16" s="14"/>
      <c r="F16" s="14"/>
      <c r="G16" s="54"/>
    </row>
    <row r="17" spans="1:17">
      <c r="A17" s="38"/>
      <c r="B17" s="29" t="s">
        <v>84</v>
      </c>
      <c r="C17" s="33"/>
      <c r="D17" s="34"/>
      <c r="E17" s="34"/>
      <c r="F17" s="34"/>
      <c r="G17" s="57"/>
      <c r="H17" s="31">
        <f>H18+2%</f>
        <v>0.05</v>
      </c>
      <c r="I17" s="32">
        <f>H17*(1-$C$20)</f>
        <v>4.4000000000000004E-2</v>
      </c>
      <c r="J17" s="32">
        <f t="shared" ref="J17:Q17" si="17">I17*(1-$C$20)</f>
        <v>3.8720000000000004E-2</v>
      </c>
      <c r="K17" s="32">
        <f t="shared" si="17"/>
        <v>3.4073600000000002E-2</v>
      </c>
      <c r="L17" s="32">
        <f t="shared" si="17"/>
        <v>2.9984768000000002E-2</v>
      </c>
      <c r="M17" s="32">
        <f t="shared" si="17"/>
        <v>2.6386595840000002E-2</v>
      </c>
      <c r="N17" s="32">
        <f t="shared" si="17"/>
        <v>2.3220204339200003E-2</v>
      </c>
      <c r="O17" s="32">
        <f t="shared" si="17"/>
        <v>2.0433779818496003E-2</v>
      </c>
      <c r="P17" s="32">
        <f t="shared" si="17"/>
        <v>1.7981726240276483E-2</v>
      </c>
      <c r="Q17" s="32">
        <f t="shared" si="17"/>
        <v>1.5823919091443307E-2</v>
      </c>
    </row>
    <row r="18" spans="1:17">
      <c r="A18" s="38"/>
      <c r="B18" s="29" t="s">
        <v>85</v>
      </c>
      <c r="C18" s="33"/>
      <c r="D18" s="34"/>
      <c r="E18" s="34"/>
      <c r="F18" s="34"/>
      <c r="G18" s="57"/>
      <c r="H18" s="431">
        <v>0.03</v>
      </c>
      <c r="I18" s="32">
        <f t="shared" ref="I18:Q18" si="18">H18*(1-$C$20)</f>
        <v>2.64E-2</v>
      </c>
      <c r="J18" s="32">
        <f t="shared" si="18"/>
        <v>2.3231999999999999E-2</v>
      </c>
      <c r="K18" s="32">
        <f t="shared" si="18"/>
        <v>2.0444159999999999E-2</v>
      </c>
      <c r="L18" s="32">
        <f t="shared" si="18"/>
        <v>1.7990860800000001E-2</v>
      </c>
      <c r="M18" s="32">
        <f t="shared" si="18"/>
        <v>1.5831957504000002E-2</v>
      </c>
      <c r="N18" s="32">
        <f t="shared" si="18"/>
        <v>1.3932122603520001E-2</v>
      </c>
      <c r="O18" s="32">
        <f t="shared" si="18"/>
        <v>1.2260267891097602E-2</v>
      </c>
      <c r="P18" s="32">
        <f t="shared" si="18"/>
        <v>1.0789035744165889E-2</v>
      </c>
      <c r="Q18" s="32">
        <f t="shared" si="18"/>
        <v>9.4943514548659833E-3</v>
      </c>
    </row>
    <row r="19" spans="1:17">
      <c r="A19" s="38"/>
      <c r="B19" s="29" t="s">
        <v>86</v>
      </c>
      <c r="C19" s="33"/>
      <c r="D19" s="34"/>
      <c r="E19" s="34"/>
      <c r="F19" s="34"/>
      <c r="G19" s="57"/>
      <c r="H19" s="31">
        <f>H18-2%</f>
        <v>9.9999999999999985E-3</v>
      </c>
      <c r="I19" s="32">
        <f t="shared" ref="I19:Q19" si="19">H19*(1-$C$20)</f>
        <v>8.7999999999999988E-3</v>
      </c>
      <c r="J19" s="32">
        <f t="shared" si="19"/>
        <v>7.7439999999999991E-3</v>
      </c>
      <c r="K19" s="32">
        <f t="shared" si="19"/>
        <v>6.8147199999999989E-3</v>
      </c>
      <c r="L19" s="32">
        <f t="shared" si="19"/>
        <v>5.9969535999999995E-3</v>
      </c>
      <c r="M19" s="32">
        <f t="shared" si="19"/>
        <v>5.2773191679999993E-3</v>
      </c>
      <c r="N19" s="32">
        <f t="shared" si="19"/>
        <v>4.644040867839999E-3</v>
      </c>
      <c r="O19" s="32">
        <f t="shared" si="19"/>
        <v>4.0867559636991995E-3</v>
      </c>
      <c r="P19" s="32">
        <f t="shared" si="19"/>
        <v>3.5963452480552954E-3</v>
      </c>
      <c r="Q19" s="32">
        <f t="shared" si="19"/>
        <v>3.1647838182886599E-3</v>
      </c>
    </row>
    <row r="20" spans="1:17">
      <c r="A20" s="38"/>
      <c r="B20" s="36" t="s">
        <v>94</v>
      </c>
      <c r="C20" s="28">
        <v>0.12</v>
      </c>
      <c r="D20" s="14"/>
      <c r="E20" s="14"/>
      <c r="F20" s="14"/>
      <c r="G20" s="54"/>
    </row>
    <row r="21" spans="1:17">
      <c r="A21" s="38"/>
      <c r="B21" s="21"/>
      <c r="C21" s="20"/>
      <c r="D21" s="14"/>
      <c r="E21" s="17"/>
      <c r="F21" s="14"/>
      <c r="G21" s="54"/>
    </row>
    <row r="22" spans="1:17">
      <c r="A22" s="38"/>
      <c r="B22" s="19" t="s">
        <v>91</v>
      </c>
      <c r="C22" s="26">
        <v>3097.34</v>
      </c>
      <c r="D22" s="26">
        <v>3717.19</v>
      </c>
      <c r="E22" s="26">
        <v>5566.62</v>
      </c>
      <c r="F22" s="26">
        <v>7569.44</v>
      </c>
      <c r="G22" s="55">
        <v>9025.1200000000008</v>
      </c>
      <c r="H22" s="27">
        <f>G22*(1+H23)</f>
        <v>10795.999547333258</v>
      </c>
      <c r="I22" s="27">
        <f t="shared" ref="I22" si="20">H22*(1+I23)</f>
        <v>12660.152601965729</v>
      </c>
      <c r="J22" s="27">
        <f t="shared" ref="J22" si="21">I22*(1+J23)</f>
        <v>14583.865788188448</v>
      </c>
      <c r="K22" s="27">
        <f t="shared" ref="K22" si="22">J22*(1+K23)</f>
        <v>16533.965025401929</v>
      </c>
      <c r="L22" s="27">
        <f t="shared" ref="L22" si="23">K22*(1+L23)</f>
        <v>18479.521045057063</v>
      </c>
      <c r="M22" s="27">
        <f t="shared" ref="M22" si="24">L22*(1+M23)</f>
        <v>20393.072340938001</v>
      </c>
      <c r="N22" s="27">
        <f t="shared" ref="N22" si="25">M22*(1+N23)</f>
        <v>22251.367646355648</v>
      </c>
      <c r="O22" s="27">
        <f t="shared" ref="O22" si="26">N22*(1+O23)</f>
        <v>24035.68233830803</v>
      </c>
      <c r="P22" s="27">
        <f t="shared" ref="P22" si="27">O22*(1+P23)</f>
        <v>25731.791772652999</v>
      </c>
      <c r="Q22" s="27">
        <f t="shared" ref="Q22" si="28">P22*(1+Q23)</f>
        <v>27329.693678370939</v>
      </c>
    </row>
    <row r="23" spans="1:17">
      <c r="A23" s="38"/>
      <c r="B23" s="5" t="s">
        <v>100</v>
      </c>
      <c r="C23" s="11"/>
      <c r="D23" s="17">
        <f>IFERROR(D22/C22-1,0)</f>
        <v>0.2001233316329496</v>
      </c>
      <c r="E23" s="17">
        <f t="shared" ref="E23" si="29">IFERROR(E22/D22-1,0)</f>
        <v>0.49753442788773228</v>
      </c>
      <c r="F23" s="17">
        <f t="shared" ref="F23" si="30">IFERROR(F22/E22-1,0)</f>
        <v>0.35979104016440844</v>
      </c>
      <c r="G23" s="58">
        <f t="shared" ref="G23" si="31">IFERROR(G22/F22-1,0)</f>
        <v>0.19231013126466445</v>
      </c>
      <c r="H23" s="17">
        <f>CHOOSE(Assumptions!$C$10,'Revenue_Build Up'!$H25:$Q25,'Revenue_Build Up'!$H26:$Q26,'Revenue_Build Up'!$H27:$Q27)</f>
        <v>0.19621673144880702</v>
      </c>
      <c r="I23" s="17">
        <f>CHOOSE(Assumptions!$C$10,'Revenue_Build Up'!$H25:$Q25,'Revenue_Build Up'!$H26:$Q26,'Revenue_Build Up'!$H27:$Q27)</f>
        <v>0.17267072367495018</v>
      </c>
      <c r="J23" s="17">
        <f>CHOOSE(Assumptions!$C$10,'Revenue_Build Up'!$H25:$Q25,'Revenue_Build Up'!$H26:$Q26,'Revenue_Build Up'!$H27:$Q27)</f>
        <v>0.15195023683395617</v>
      </c>
      <c r="K23" s="17">
        <f>CHOOSE(Assumptions!$C$10,'Revenue_Build Up'!$H25:$Q25,'Revenue_Build Up'!$H26:$Q26,'Revenue_Build Up'!$H27:$Q27)</f>
        <v>0.13371620841388143</v>
      </c>
      <c r="L23" s="17">
        <f>CHOOSE(Assumptions!$C$10,'Revenue_Build Up'!$H25:$Q25,'Revenue_Build Up'!$H26:$Q26,'Revenue_Build Up'!$H27:$Q27)</f>
        <v>0.11767026340421566</v>
      </c>
      <c r="M23" s="17">
        <f>CHOOSE(Assumptions!$C$10,'Revenue_Build Up'!$H25:$Q25,'Revenue_Build Up'!$H26:$Q26,'Revenue_Build Up'!$H27:$Q27)</f>
        <v>0.10354983179570978</v>
      </c>
      <c r="N23" s="17">
        <f>CHOOSE(Assumptions!$C$10,'Revenue_Build Up'!$H25:$Q25,'Revenue_Build Up'!$H26:$Q26,'Revenue_Build Up'!$H27:$Q27)</f>
        <v>9.1123851980224616E-2</v>
      </c>
      <c r="O23" s="17">
        <f>CHOOSE(Assumptions!$C$10,'Revenue_Build Up'!$H25:$Q25,'Revenue_Build Up'!$H26:$Q26,'Revenue_Build Up'!$H27:$Q27)</f>
        <v>8.0188989742597666E-2</v>
      </c>
      <c r="P23" s="17">
        <f>CHOOSE(Assumptions!$C$10,'Revenue_Build Up'!$H25:$Q25,'Revenue_Build Up'!$H26:$Q26,'Revenue_Build Up'!$H27:$Q27)</f>
        <v>7.0566310973485952E-2</v>
      </c>
      <c r="Q23" s="17">
        <f>CHOOSE(Assumptions!$C$10,'Revenue_Build Up'!$H25:$Q25,'Revenue_Build Up'!$H26:$Q26,'Revenue_Build Up'!$H27:$Q27)</f>
        <v>6.2098353656667639E-2</v>
      </c>
    </row>
    <row r="24" spans="1:17">
      <c r="A24" s="38"/>
      <c r="B24" s="19"/>
      <c r="C24" s="11"/>
      <c r="D24" s="14"/>
      <c r="E24" s="14"/>
      <c r="F24" s="14"/>
      <c r="G24" s="54"/>
    </row>
    <row r="25" spans="1:17">
      <c r="A25" s="38"/>
      <c r="B25" s="29" t="s">
        <v>84</v>
      </c>
      <c r="C25" s="33"/>
      <c r="D25" s="34"/>
      <c r="E25" s="34"/>
      <c r="F25" s="34"/>
      <c r="G25" s="57"/>
      <c r="H25" s="32">
        <f>H26+5%</f>
        <v>0.24621673144880701</v>
      </c>
      <c r="I25" s="32">
        <f>H25*(1-$C$28)</f>
        <v>0.21667072367495016</v>
      </c>
      <c r="J25" s="32">
        <f t="shared" ref="J25:Q25" si="32">I25*(1-$C$28)</f>
        <v>0.19067023683395615</v>
      </c>
      <c r="K25" s="32">
        <f t="shared" si="32"/>
        <v>0.16778980841388141</v>
      </c>
      <c r="L25" s="32">
        <f t="shared" si="32"/>
        <v>0.14765503140421565</v>
      </c>
      <c r="M25" s="32">
        <f t="shared" si="32"/>
        <v>0.12993642763570978</v>
      </c>
      <c r="N25" s="32">
        <f t="shared" si="32"/>
        <v>0.11434405631942461</v>
      </c>
      <c r="O25" s="32">
        <f t="shared" si="32"/>
        <v>0.10062276956109366</v>
      </c>
      <c r="P25" s="32">
        <f t="shared" si="32"/>
        <v>8.8548037213762421E-2</v>
      </c>
      <c r="Q25" s="32">
        <f t="shared" si="32"/>
        <v>7.7922272748110935E-2</v>
      </c>
    </row>
    <row r="26" spans="1:17">
      <c r="A26" s="38"/>
      <c r="B26" s="29" t="s">
        <v>85</v>
      </c>
      <c r="C26" s="33"/>
      <c r="D26" s="34"/>
      <c r="E26" s="34"/>
      <c r="F26" s="34"/>
      <c r="G26" s="57"/>
      <c r="H26" s="32">
        <f>AVERAGE(G23,D23)</f>
        <v>0.19621673144880702</v>
      </c>
      <c r="I26" s="32">
        <f t="shared" ref="I26:Q26" si="33">H26*(1-$C$28)</f>
        <v>0.17267072367495018</v>
      </c>
      <c r="J26" s="32">
        <f t="shared" si="33"/>
        <v>0.15195023683395617</v>
      </c>
      <c r="K26" s="32">
        <f t="shared" si="33"/>
        <v>0.13371620841388143</v>
      </c>
      <c r="L26" s="32">
        <f t="shared" si="33"/>
        <v>0.11767026340421566</v>
      </c>
      <c r="M26" s="32">
        <f t="shared" si="33"/>
        <v>0.10354983179570978</v>
      </c>
      <c r="N26" s="32">
        <f t="shared" si="33"/>
        <v>9.1123851980224616E-2</v>
      </c>
      <c r="O26" s="32">
        <f t="shared" si="33"/>
        <v>8.0188989742597666E-2</v>
      </c>
      <c r="P26" s="32">
        <f t="shared" si="33"/>
        <v>7.0566310973485952E-2</v>
      </c>
      <c r="Q26" s="32">
        <f t="shared" si="33"/>
        <v>6.2098353656667639E-2</v>
      </c>
    </row>
    <row r="27" spans="1:17">
      <c r="A27" s="38"/>
      <c r="B27" s="29" t="s">
        <v>86</v>
      </c>
      <c r="C27" s="33"/>
      <c r="D27" s="34"/>
      <c r="E27" s="34"/>
      <c r="F27" s="34"/>
      <c r="G27" s="57"/>
      <c r="H27" s="32">
        <f>H26-5%</f>
        <v>0.14621673144880704</v>
      </c>
      <c r="I27" s="32">
        <f t="shared" ref="I27:Q27" si="34">H27*(1-$C$28)</f>
        <v>0.12867072367495019</v>
      </c>
      <c r="J27" s="32">
        <f t="shared" si="34"/>
        <v>0.11323023683395617</v>
      </c>
      <c r="K27" s="32">
        <f t="shared" si="34"/>
        <v>9.9642608413881423E-2</v>
      </c>
      <c r="L27" s="32">
        <f t="shared" si="34"/>
        <v>8.7685495404215649E-2</v>
      </c>
      <c r="M27" s="32">
        <f t="shared" si="34"/>
        <v>7.7163235955709772E-2</v>
      </c>
      <c r="N27" s="32">
        <f t="shared" si="34"/>
        <v>6.7903647641024606E-2</v>
      </c>
      <c r="O27" s="32">
        <f t="shared" si="34"/>
        <v>5.9755209924101653E-2</v>
      </c>
      <c r="P27" s="32">
        <f t="shared" si="34"/>
        <v>5.2584584733209455E-2</v>
      </c>
      <c r="Q27" s="32">
        <f t="shared" si="34"/>
        <v>4.6274434565224322E-2</v>
      </c>
    </row>
    <row r="28" spans="1:17">
      <c r="A28" s="38"/>
      <c r="B28" s="29" t="s">
        <v>94</v>
      </c>
      <c r="C28" s="18">
        <v>0.12</v>
      </c>
      <c r="D28" s="17"/>
      <c r="E28" s="17"/>
      <c r="F28" s="17"/>
      <c r="G28" s="58"/>
    </row>
    <row r="29" spans="1:17">
      <c r="A29" s="38"/>
      <c r="B29" s="21"/>
      <c r="C29" s="11"/>
      <c r="D29" s="17"/>
      <c r="E29" s="17"/>
      <c r="F29" s="17"/>
      <c r="G29" s="58"/>
    </row>
    <row r="30" spans="1:17">
      <c r="A30" s="38"/>
      <c r="B30" s="22" t="s">
        <v>82</v>
      </c>
      <c r="C30" s="11"/>
      <c r="D30" s="17"/>
      <c r="E30" s="17"/>
      <c r="F30" s="17"/>
      <c r="G30" s="58"/>
    </row>
    <row r="31" spans="1:17">
      <c r="A31" s="38"/>
      <c r="B31" s="22" t="s">
        <v>81</v>
      </c>
      <c r="C31" s="26">
        <v>92399.77</v>
      </c>
      <c r="D31" s="26">
        <v>99649.8</v>
      </c>
      <c r="E31" s="26">
        <v>101804.55</v>
      </c>
      <c r="F31" s="26">
        <v>124225.02</v>
      </c>
      <c r="G31" s="55">
        <v>134627.51</v>
      </c>
      <c r="H31" s="27">
        <f>G31*(1+H32)</f>
        <v>148226.79237541341</v>
      </c>
      <c r="I31" s="27">
        <f t="shared" ref="I31" si="35">H31*(1+I32)</f>
        <v>161403.03432255494</v>
      </c>
      <c r="J31" s="27">
        <f t="shared" ref="J31" si="36">I31*(1+J32)</f>
        <v>174028.84339186587</v>
      </c>
      <c r="K31" s="27">
        <f t="shared" ref="K31" si="37">J31*(1+K32)</f>
        <v>186008.69472135391</v>
      </c>
      <c r="L31" s="27">
        <f t="shared" ref="L31" si="38">K31*(1+L32)</f>
        <v>197276.67587599467</v>
      </c>
      <c r="M31" s="27">
        <f t="shared" ref="M31" si="39">L31*(1+M32)</f>
        <v>207793.17718809066</v>
      </c>
      <c r="N31" s="27">
        <f t="shared" ref="N31" si="40">M31*(1+N32)</f>
        <v>217541.04193458889</v>
      </c>
      <c r="O31" s="27">
        <f t="shared" ref="O31" si="41">N31*(1+O32)</f>
        <v>226521.57440640646</v>
      </c>
      <c r="P31" s="27">
        <f t="shared" ref="P31" si="42">O31*(1+P32)</f>
        <v>234750.68931760272</v>
      </c>
      <c r="Q31" s="27">
        <f t="shared" ref="Q31" si="43">P31*(1+Q32)</f>
        <v>242255.38530334525</v>
      </c>
    </row>
    <row r="32" spans="1:17">
      <c r="A32" s="38"/>
      <c r="B32" s="5" t="s">
        <v>100</v>
      </c>
      <c r="C32" s="11"/>
      <c r="D32" s="17">
        <f>IFERROR(D31/C31-1,0)</f>
        <v>7.8463723448662259E-2</v>
      </c>
      <c r="E32" s="17">
        <f t="shared" ref="E32" si="44">IFERROR(E31/D31-1,0)</f>
        <v>2.1623224532312246E-2</v>
      </c>
      <c r="F32" s="17">
        <f t="shared" ref="F32" si="45">IFERROR(F31/E31-1,0)</f>
        <v>0.22023052997140113</v>
      </c>
      <c r="G32" s="58">
        <f t="shared" ref="G32" si="46">IFERROR(G31/F31-1,0)</f>
        <v>8.3739088953256102E-2</v>
      </c>
      <c r="H32" s="17">
        <f>CHOOSE(Assumptions!$C$10,'Revenue_Build Up'!$H34:$Q34,'Revenue_Build Up'!$H35:$Q35,'Revenue_Build Up'!$H36:$Q36)</f>
        <v>0.10101414172640794</v>
      </c>
      <c r="I32" s="17">
        <f>CHOOSE(Assumptions!$C$10,'Revenue_Build Up'!$H34:$Q34,'Revenue_Build Up'!$H35:$Q35,'Revenue_Build Up'!$H36:$Q36)</f>
        <v>8.8892444719238989E-2</v>
      </c>
      <c r="J32" s="17">
        <f>CHOOSE(Assumptions!$C$10,'Revenue_Build Up'!$H34:$Q34,'Revenue_Build Up'!$H35:$Q35,'Revenue_Build Up'!$H36:$Q36)</f>
        <v>7.8225351352930309E-2</v>
      </c>
      <c r="K32" s="17">
        <f>CHOOSE(Assumptions!$C$10,'Revenue_Build Up'!$H34:$Q34,'Revenue_Build Up'!$H35:$Q35,'Revenue_Build Up'!$H36:$Q36)</f>
        <v>6.8838309190578678E-2</v>
      </c>
      <c r="L32" s="17">
        <f>CHOOSE(Assumptions!$C$10,'Revenue_Build Up'!$H34:$Q34,'Revenue_Build Up'!$H35:$Q35,'Revenue_Build Up'!$H36:$Q36)</f>
        <v>6.0577712087709235E-2</v>
      </c>
      <c r="M32" s="17">
        <f>CHOOSE(Assumptions!$C$10,'Revenue_Build Up'!$H34:$Q34,'Revenue_Build Up'!$H35:$Q35,'Revenue_Build Up'!$H36:$Q36)</f>
        <v>5.3308386637184124E-2</v>
      </c>
      <c r="N32" s="17">
        <f>CHOOSE(Assumptions!$C$10,'Revenue_Build Up'!$H34:$Q34,'Revenue_Build Up'!$H35:$Q35,'Revenue_Build Up'!$H36:$Q36)</f>
        <v>4.6911380240722028E-2</v>
      </c>
      <c r="O32" s="17">
        <f>CHOOSE(Assumptions!$C$10,'Revenue_Build Up'!$H34:$Q34,'Revenue_Build Up'!$H35:$Q35,'Revenue_Build Up'!$H36:$Q36)</f>
        <v>4.1282014611835387E-2</v>
      </c>
      <c r="P32" s="17">
        <f>CHOOSE(Assumptions!$C$10,'Revenue_Build Up'!$H34:$Q34,'Revenue_Build Up'!$H35:$Q35,'Revenue_Build Up'!$H36:$Q36)</f>
        <v>3.6328172858415143E-2</v>
      </c>
      <c r="Q32" s="17">
        <f>CHOOSE(Assumptions!$C$10,'Revenue_Build Up'!$H34:$Q34,'Revenue_Build Up'!$H35:$Q35,'Revenue_Build Up'!$H36:$Q36)</f>
        <v>3.1968792115405327E-2</v>
      </c>
    </row>
    <row r="33" spans="1:17">
      <c r="A33" s="38"/>
      <c r="B33" s="19"/>
      <c r="C33" s="14"/>
      <c r="D33" s="14"/>
      <c r="E33" s="14"/>
      <c r="F33" s="14"/>
      <c r="G33" s="54"/>
    </row>
    <row r="34" spans="1:17">
      <c r="A34" s="38"/>
      <c r="B34" s="29" t="s">
        <v>84</v>
      </c>
      <c r="C34" s="33"/>
      <c r="D34" s="34"/>
      <c r="E34" s="34"/>
      <c r="F34" s="34"/>
      <c r="G34" s="57"/>
      <c r="H34" s="31">
        <f>H35+5%</f>
        <v>0.15101414172640792</v>
      </c>
      <c r="I34" s="32">
        <f>H34*(1-$C$37)</f>
        <v>0.13289244471923897</v>
      </c>
      <c r="J34" s="32">
        <f t="shared" ref="J34:P34" si="47">I34*(1-$C$37)</f>
        <v>0.1169453513529303</v>
      </c>
      <c r="K34" s="32">
        <f t="shared" si="47"/>
        <v>0.10291190919057866</v>
      </c>
      <c r="L34" s="32">
        <f t="shared" si="47"/>
        <v>9.0562480087709216E-2</v>
      </c>
      <c r="M34" s="32">
        <f t="shared" si="47"/>
        <v>7.9694982477184109E-2</v>
      </c>
      <c r="N34" s="32">
        <f t="shared" si="47"/>
        <v>7.013158457992201E-2</v>
      </c>
      <c r="O34" s="32">
        <f t="shared" si="47"/>
        <v>6.1715794430331372E-2</v>
      </c>
      <c r="P34" s="32">
        <f t="shared" si="47"/>
        <v>5.4309899098691605E-2</v>
      </c>
      <c r="Q34" s="32">
        <f t="shared" ref="Q34" si="48">P34*(1-$C$37)</f>
        <v>4.7792711206848616E-2</v>
      </c>
    </row>
    <row r="35" spans="1:17">
      <c r="A35" s="38"/>
      <c r="B35" s="29" t="s">
        <v>85</v>
      </c>
      <c r="C35" s="33"/>
      <c r="D35" s="34"/>
      <c r="E35" s="34"/>
      <c r="F35" s="34"/>
      <c r="G35" s="57"/>
      <c r="H35" s="32">
        <f>AVERAGE(D32:G32)</f>
        <v>0.10101414172640794</v>
      </c>
      <c r="I35" s="32">
        <f>H35*(1-$C$37)</f>
        <v>8.8892444719238989E-2</v>
      </c>
      <c r="J35" s="32">
        <f t="shared" ref="J35:P35" si="49">I35*(1-$C$37)</f>
        <v>7.8225351352930309E-2</v>
      </c>
      <c r="K35" s="32">
        <f t="shared" si="49"/>
        <v>6.8838309190578678E-2</v>
      </c>
      <c r="L35" s="32">
        <f t="shared" si="49"/>
        <v>6.0577712087709235E-2</v>
      </c>
      <c r="M35" s="32">
        <f t="shared" si="49"/>
        <v>5.3308386637184124E-2</v>
      </c>
      <c r="N35" s="32">
        <f t="shared" si="49"/>
        <v>4.6911380240722028E-2</v>
      </c>
      <c r="O35" s="32">
        <f t="shared" si="49"/>
        <v>4.1282014611835387E-2</v>
      </c>
      <c r="P35" s="32">
        <f t="shared" si="49"/>
        <v>3.6328172858415143E-2</v>
      </c>
      <c r="Q35" s="32">
        <f t="shared" ref="Q35" si="50">P35*(1-$C$37)</f>
        <v>3.1968792115405327E-2</v>
      </c>
    </row>
    <row r="36" spans="1:17">
      <c r="A36" s="38"/>
      <c r="B36" s="29" t="s">
        <v>86</v>
      </c>
      <c r="C36" s="33"/>
      <c r="D36" s="34"/>
      <c r="E36" s="34"/>
      <c r="F36" s="34"/>
      <c r="G36" s="57"/>
      <c r="H36" s="31">
        <f>H35-5%</f>
        <v>5.1014141726407933E-2</v>
      </c>
      <c r="I36" s="32">
        <f>H36*(1-$C$37)</f>
        <v>4.4892444719238984E-2</v>
      </c>
      <c r="J36" s="32">
        <f t="shared" ref="J36:P36" si="51">I36*(1-$C$37)</f>
        <v>3.9505351352930304E-2</v>
      </c>
      <c r="K36" s="32">
        <f t="shared" si="51"/>
        <v>3.4764709190578669E-2</v>
      </c>
      <c r="L36" s="32">
        <f t="shared" si="51"/>
        <v>3.0592944087709229E-2</v>
      </c>
      <c r="M36" s="32">
        <f t="shared" si="51"/>
        <v>2.6921790797184122E-2</v>
      </c>
      <c r="N36" s="32">
        <f t="shared" si="51"/>
        <v>2.3691175901522029E-2</v>
      </c>
      <c r="O36" s="32">
        <f t="shared" si="51"/>
        <v>2.0848234793339384E-2</v>
      </c>
      <c r="P36" s="32">
        <f t="shared" si="51"/>
        <v>1.8346446618138657E-2</v>
      </c>
      <c r="Q36" s="32">
        <f t="shared" ref="Q36" si="52">P36*(1-$C$37)</f>
        <v>1.6144873023962017E-2</v>
      </c>
    </row>
    <row r="37" spans="1:17">
      <c r="A37" s="38"/>
      <c r="B37" s="29" t="s">
        <v>94</v>
      </c>
      <c r="C37" s="18">
        <v>0.12</v>
      </c>
      <c r="G37" s="51"/>
      <c r="H37" s="15"/>
    </row>
    <row r="38" spans="1:17">
      <c r="A38" s="38"/>
      <c r="B38" s="19"/>
      <c r="G38" s="51"/>
    </row>
    <row r="39" spans="1:17">
      <c r="A39" s="38"/>
      <c r="B39" s="22" t="s">
        <v>83</v>
      </c>
      <c r="C39" s="26">
        <v>83073.070000000007</v>
      </c>
      <c r="D39" s="26">
        <v>75675.429999999993</v>
      </c>
      <c r="E39" s="26">
        <v>100160.24</v>
      </c>
      <c r="F39" s="26">
        <v>132845.5</v>
      </c>
      <c r="G39" s="55">
        <v>148999.81</v>
      </c>
      <c r="H39" s="27">
        <f>G39*(1+H40)</f>
        <v>169859.78340000001</v>
      </c>
      <c r="I39" s="27">
        <f t="shared" ref="I39" si="53">H39*(1+I40)</f>
        <v>190786.50871488001</v>
      </c>
      <c r="J39" s="27">
        <f t="shared" ref="J39" si="54">I39*(1+J40)</f>
        <v>211470.81884371245</v>
      </c>
      <c r="K39" s="27">
        <f t="shared" ref="K39" si="55">J39*(1+K40)</f>
        <v>231646.42070398119</v>
      </c>
      <c r="L39" s="27">
        <f t="shared" ref="L39" si="56">K39*(1+L40)</f>
        <v>251094.84041593113</v>
      </c>
      <c r="M39" s="27">
        <f t="shared" ref="M39" si="57">L39*(1+M40)</f>
        <v>269646.34701631166</v>
      </c>
      <c r="N39" s="27">
        <f t="shared" ref="N39" si="58">M39*(1+N40)</f>
        <v>287177.82819201692</v>
      </c>
      <c r="O39" s="27">
        <f t="shared" ref="O39" si="59">N39*(1+O40)</f>
        <v>303608.58802009962</v>
      </c>
      <c r="P39" s="27">
        <f t="shared" ref="P39" si="60">O39*(1+P40)</f>
        <v>318894.92625922774</v>
      </c>
      <c r="Q39" s="27">
        <f t="shared" ref="Q39" si="61">P39*(1+Q40)</f>
        <v>333024.1952922616</v>
      </c>
    </row>
    <row r="40" spans="1:17">
      <c r="A40" s="38"/>
      <c r="B40" s="5" t="s">
        <v>100</v>
      </c>
      <c r="D40" s="17">
        <f>IFERROR(D39/C39-1,0)</f>
        <v>-8.9049796763259303E-2</v>
      </c>
      <c r="E40" s="17">
        <f t="shared" ref="E40" si="62">IFERROR(E39/D39-1,0)</f>
        <v>0.32355032538302075</v>
      </c>
      <c r="F40" s="17">
        <f t="shared" ref="F40" si="63">IFERROR(F39/E39-1,0)</f>
        <v>0.32632968930585626</v>
      </c>
      <c r="G40" s="58">
        <f t="shared" ref="G40" si="64">IFERROR(G39/F39-1,0)</f>
        <v>0.12160223718530161</v>
      </c>
      <c r="H40" s="17">
        <f>CHOOSE(Assumptions!$C$10,'Revenue_Build Up'!$H42:$Q42,'Revenue_Build Up'!$H43:$Q43,'Revenue_Build Up'!$H44:$Q44)</f>
        <v>0.14000000000000001</v>
      </c>
      <c r="I40" s="17">
        <f>CHOOSE(Assumptions!$C$10,'Revenue_Build Up'!$H42:$Q42,'Revenue_Build Up'!$H43:$Q43,'Revenue_Build Up'!$H44:$Q44)</f>
        <v>0.12320000000000002</v>
      </c>
      <c r="J40" s="17">
        <f>CHOOSE(Assumptions!$C$10,'Revenue_Build Up'!$H42:$Q42,'Revenue_Build Up'!$H43:$Q43,'Revenue_Build Up'!$H44:$Q44)</f>
        <v>0.10841600000000001</v>
      </c>
      <c r="K40" s="17">
        <f>CHOOSE(Assumptions!$C$10,'Revenue_Build Up'!$H42:$Q42,'Revenue_Build Up'!$H43:$Q43,'Revenue_Build Up'!$H44:$Q44)</f>
        <v>9.5406080000000018E-2</v>
      </c>
      <c r="L40" s="17">
        <f>CHOOSE(Assumptions!$C$10,'Revenue_Build Up'!$H42:$Q42,'Revenue_Build Up'!$H43:$Q43,'Revenue_Build Up'!$H44:$Q44)</f>
        <v>8.3957350400000019E-2</v>
      </c>
      <c r="M40" s="17">
        <f>CHOOSE(Assumptions!$C$10,'Revenue_Build Up'!$H42:$Q42,'Revenue_Build Up'!$H43:$Q43,'Revenue_Build Up'!$H44:$Q44)</f>
        <v>7.3882468352000019E-2</v>
      </c>
      <c r="N40" s="17">
        <f>CHOOSE(Assumptions!$C$10,'Revenue_Build Up'!$H42:$Q42,'Revenue_Build Up'!$H43:$Q43,'Revenue_Build Up'!$H44:$Q44)</f>
        <v>6.5016572149760019E-2</v>
      </c>
      <c r="O40" s="17">
        <f>CHOOSE(Assumptions!$C$10,'Revenue_Build Up'!$H42:$Q42,'Revenue_Build Up'!$H43:$Q43,'Revenue_Build Up'!$H44:$Q44)</f>
        <v>5.7214583491788817E-2</v>
      </c>
      <c r="P40" s="17">
        <f>CHOOSE(Assumptions!$C$10,'Revenue_Build Up'!$H42:$Q42,'Revenue_Build Up'!$H43:$Q43,'Revenue_Build Up'!$H44:$Q44)</f>
        <v>5.0348833472774163E-2</v>
      </c>
      <c r="Q40" s="17">
        <f>CHOOSE(Assumptions!$C$10,'Revenue_Build Up'!$H42:$Q42,'Revenue_Build Up'!$H43:$Q43,'Revenue_Build Up'!$H44:$Q44)</f>
        <v>4.4306973456041267E-2</v>
      </c>
    </row>
    <row r="41" spans="1:17">
      <c r="A41" s="38"/>
      <c r="B41" s="19"/>
      <c r="D41" s="14"/>
      <c r="E41" s="14"/>
      <c r="F41" s="14"/>
      <c r="G41" s="54"/>
    </row>
    <row r="42" spans="1:17">
      <c r="A42" s="38"/>
      <c r="B42" s="29" t="s">
        <v>84</v>
      </c>
      <c r="C42" s="33"/>
      <c r="D42" s="34"/>
      <c r="E42" s="34"/>
      <c r="F42" s="34"/>
      <c r="G42" s="57"/>
      <c r="H42" s="31">
        <f>H43+5%</f>
        <v>0.19</v>
      </c>
      <c r="I42" s="32">
        <f>H42*(1-$C$45)</f>
        <v>0.16720000000000002</v>
      </c>
      <c r="J42" s="32">
        <f t="shared" ref="J42:Q42" si="65">I42*(1-$C$45)</f>
        <v>0.14713600000000002</v>
      </c>
      <c r="K42" s="32">
        <f t="shared" si="65"/>
        <v>0.12947968000000001</v>
      </c>
      <c r="L42" s="32">
        <f t="shared" si="65"/>
        <v>0.11394211840000001</v>
      </c>
      <c r="M42" s="32">
        <f t="shared" si="65"/>
        <v>0.10026906419200002</v>
      </c>
      <c r="N42" s="32">
        <f t="shared" si="65"/>
        <v>8.8236776488960014E-2</v>
      </c>
      <c r="O42" s="32">
        <f t="shared" si="65"/>
        <v>7.764836331028481E-2</v>
      </c>
      <c r="P42" s="32">
        <f t="shared" si="65"/>
        <v>6.8330559713050631E-2</v>
      </c>
      <c r="Q42" s="32">
        <f t="shared" si="65"/>
        <v>6.0130892547484556E-2</v>
      </c>
    </row>
    <row r="43" spans="1:17">
      <c r="A43" s="38"/>
      <c r="B43" s="29" t="s">
        <v>85</v>
      </c>
      <c r="C43" s="33"/>
      <c r="D43" s="34"/>
      <c r="E43" s="34"/>
      <c r="F43" s="34"/>
      <c r="G43" s="57"/>
      <c r="H43" s="431">
        <v>0.14000000000000001</v>
      </c>
      <c r="I43" s="32">
        <f t="shared" ref="I43:Q44" si="66">H43*(1-$C$45)</f>
        <v>0.12320000000000002</v>
      </c>
      <c r="J43" s="32">
        <f t="shared" si="66"/>
        <v>0.10841600000000001</v>
      </c>
      <c r="K43" s="32">
        <f t="shared" si="66"/>
        <v>9.5406080000000018E-2</v>
      </c>
      <c r="L43" s="32">
        <f t="shared" si="66"/>
        <v>8.3957350400000019E-2</v>
      </c>
      <c r="M43" s="32">
        <f t="shared" si="66"/>
        <v>7.3882468352000019E-2</v>
      </c>
      <c r="N43" s="32">
        <f t="shared" si="66"/>
        <v>6.5016572149760019E-2</v>
      </c>
      <c r="O43" s="32">
        <f t="shared" si="66"/>
        <v>5.7214583491788817E-2</v>
      </c>
      <c r="P43" s="32">
        <f t="shared" si="66"/>
        <v>5.0348833472774163E-2</v>
      </c>
      <c r="Q43" s="32">
        <f t="shared" si="66"/>
        <v>4.4306973456041267E-2</v>
      </c>
    </row>
    <row r="44" spans="1:17">
      <c r="A44" s="38"/>
      <c r="B44" s="29" t="s">
        <v>86</v>
      </c>
      <c r="C44" s="33"/>
      <c r="D44" s="34"/>
      <c r="E44" s="34"/>
      <c r="F44" s="34"/>
      <c r="G44" s="57"/>
      <c r="H44" s="31">
        <f>H43-5%</f>
        <v>9.0000000000000011E-2</v>
      </c>
      <c r="I44" s="32">
        <f t="shared" si="66"/>
        <v>7.9200000000000007E-2</v>
      </c>
      <c r="J44" s="32">
        <f t="shared" si="66"/>
        <v>6.9696000000000008E-2</v>
      </c>
      <c r="K44" s="32">
        <f t="shared" si="66"/>
        <v>6.1332480000000009E-2</v>
      </c>
      <c r="L44" s="32">
        <f t="shared" si="66"/>
        <v>5.397258240000001E-2</v>
      </c>
      <c r="M44" s="32">
        <f t="shared" si="66"/>
        <v>4.7495872512000006E-2</v>
      </c>
      <c r="N44" s="32">
        <f t="shared" si="66"/>
        <v>4.1796367810560009E-2</v>
      </c>
      <c r="O44" s="32">
        <f t="shared" si="66"/>
        <v>3.6780803673292811E-2</v>
      </c>
      <c r="P44" s="32">
        <f t="shared" si="66"/>
        <v>3.2367107232497673E-2</v>
      </c>
      <c r="Q44" s="32">
        <f t="shared" si="66"/>
        <v>2.8483054364597953E-2</v>
      </c>
    </row>
    <row r="45" spans="1:17">
      <c r="A45" s="38"/>
      <c r="B45" s="29" t="s">
        <v>94</v>
      </c>
      <c r="C45" s="18">
        <v>0.12</v>
      </c>
      <c r="G45" s="51"/>
      <c r="H45" s="15"/>
    </row>
    <row r="46" spans="1:17">
      <c r="A46" s="38"/>
      <c r="B46" s="19"/>
      <c r="G46" s="51"/>
      <c r="H46" s="15"/>
    </row>
    <row r="47" spans="1:17">
      <c r="A47" s="38"/>
      <c r="B47" s="22" t="s">
        <v>87</v>
      </c>
      <c r="G47" s="51"/>
    </row>
    <row r="48" spans="1:17">
      <c r="A48" s="38"/>
      <c r="B48" s="23" t="s">
        <v>93</v>
      </c>
      <c r="C48" s="26">
        <v>132094.85999999999</v>
      </c>
      <c r="D48" s="26">
        <v>138896.25</v>
      </c>
      <c r="E48" s="26">
        <v>163755.15</v>
      </c>
      <c r="F48" s="26">
        <v>204491.84</v>
      </c>
      <c r="G48" s="55">
        <v>233942.93</v>
      </c>
      <c r="H48" s="27">
        <f>G48*(1+H49)</f>
        <v>264355.51089999999</v>
      </c>
      <c r="I48" s="27">
        <f t="shared" ref="I48" si="67">H48*(1+I49)</f>
        <v>294597.78134695999</v>
      </c>
      <c r="J48" s="27">
        <f t="shared" ref="J48" si="68">I48*(1+J49)</f>
        <v>324255.52919072116</v>
      </c>
      <c r="K48" s="27">
        <f t="shared" ref="K48" si="69">J48*(1+K49)</f>
        <v>352981.76750924683</v>
      </c>
      <c r="L48" s="27">
        <f t="shared" ref="L48" si="70">K48*(1+L49)</f>
        <v>380500.36616743304</v>
      </c>
      <c r="M48" s="27">
        <f t="shared" ref="M48" si="71">L48*(1+M49)</f>
        <v>406604.65055291646</v>
      </c>
      <c r="N48" s="27">
        <f t="shared" ref="N48" si="72">M48*(1+N49)</f>
        <v>431152.40253779659</v>
      </c>
      <c r="O48" s="27">
        <f t="shared" ref="O48" si="73">N48*(1+O49)</f>
        <v>454058.59301814606</v>
      </c>
      <c r="P48" s="27">
        <f t="shared" ref="P48" si="74">O48*(1+P49)</f>
        <v>475286.96204155928</v>
      </c>
      <c r="Q48" s="27">
        <f t="shared" ref="Q48" si="75">P48*(1+Q49)</f>
        <v>494841.30836622446</v>
      </c>
    </row>
    <row r="49" spans="1:17">
      <c r="A49" s="38"/>
      <c r="B49" s="5" t="s">
        <v>100</v>
      </c>
      <c r="D49" s="17">
        <f>IFERROR(D48/C48-1,0)</f>
        <v>5.1488680180288737E-2</v>
      </c>
      <c r="E49" s="17">
        <f t="shared" ref="E49" si="76">IFERROR(E48/D48-1,0)</f>
        <v>0.17897459434649954</v>
      </c>
      <c r="F49" s="17">
        <f t="shared" ref="F49" si="77">IFERROR(F48/E48-1,0)</f>
        <v>0.2487658556082053</v>
      </c>
      <c r="G49" s="58">
        <f t="shared" ref="G49" si="78">IFERROR(G48/F48-1,0)</f>
        <v>0.14402085677355148</v>
      </c>
      <c r="H49" s="17">
        <f>CHOOSE(Assumptions!$C$10,'Revenue_Build Up'!$H51:$Q51,'Revenue_Build Up'!$H52:$Q52,'Revenue_Build Up'!$H53:$Q53)</f>
        <v>0.13</v>
      </c>
      <c r="I49" s="17">
        <f>CHOOSE(Assumptions!$C$10,'Revenue_Build Up'!$H51:$Q51,'Revenue_Build Up'!$H52:$Q52,'Revenue_Build Up'!$H53:$Q53)</f>
        <v>0.1144</v>
      </c>
      <c r="J49" s="17">
        <f>CHOOSE(Assumptions!$C$10,'Revenue_Build Up'!$H51:$Q51,'Revenue_Build Up'!$H52:$Q52,'Revenue_Build Up'!$H53:$Q53)</f>
        <v>0.100672</v>
      </c>
      <c r="K49" s="17">
        <f>CHOOSE(Assumptions!$C$10,'Revenue_Build Up'!$H51:$Q51,'Revenue_Build Up'!$H52:$Q52,'Revenue_Build Up'!$H53:$Q53)</f>
        <v>8.8591359999999994E-2</v>
      </c>
      <c r="L49" s="17">
        <f>CHOOSE(Assumptions!$C$10,'Revenue_Build Up'!$H51:$Q51,'Revenue_Build Up'!$H52:$Q52,'Revenue_Build Up'!$H53:$Q53)</f>
        <v>7.7960396799999998E-2</v>
      </c>
      <c r="M49" s="17">
        <f>CHOOSE(Assumptions!$C$10,'Revenue_Build Up'!$H51:$Q51,'Revenue_Build Up'!$H52:$Q52,'Revenue_Build Up'!$H53:$Q53)</f>
        <v>6.8605149184E-2</v>
      </c>
      <c r="N49" s="17">
        <f>CHOOSE(Assumptions!$C$10,'Revenue_Build Up'!$H51:$Q51,'Revenue_Build Up'!$H52:$Q52,'Revenue_Build Up'!$H53:$Q53)</f>
        <v>6.0372531281920001E-2</v>
      </c>
      <c r="O49" s="17">
        <f>CHOOSE(Assumptions!$C$10,'Revenue_Build Up'!$H51:$Q51,'Revenue_Build Up'!$H52:$Q52,'Revenue_Build Up'!$H53:$Q53)</f>
        <v>5.3127827528089602E-2</v>
      </c>
      <c r="P49" s="17">
        <f>CHOOSE(Assumptions!$C$10,'Revenue_Build Up'!$H51:$Q51,'Revenue_Build Up'!$H52:$Q52,'Revenue_Build Up'!$H53:$Q53)</f>
        <v>4.6752488224718849E-2</v>
      </c>
      <c r="Q49" s="17">
        <f>CHOOSE(Assumptions!$C$10,'Revenue_Build Up'!$H51:$Q51,'Revenue_Build Up'!$H52:$Q52,'Revenue_Build Up'!$H53:$Q53)</f>
        <v>4.1142189637752589E-2</v>
      </c>
    </row>
    <row r="50" spans="1:17">
      <c r="A50" s="38"/>
      <c r="B50" s="19"/>
      <c r="D50" s="14"/>
      <c r="E50" s="14"/>
      <c r="F50" s="14"/>
      <c r="G50" s="54"/>
    </row>
    <row r="51" spans="1:17">
      <c r="A51" s="38"/>
      <c r="B51" s="29" t="s">
        <v>84</v>
      </c>
      <c r="C51" s="33"/>
      <c r="D51" s="34"/>
      <c r="E51" s="34"/>
      <c r="F51" s="34"/>
      <c r="G51" s="57"/>
      <c r="H51" s="31">
        <f>H52+5%</f>
        <v>0.18</v>
      </c>
      <c r="I51" s="32">
        <f>H51*(1-$C$54)</f>
        <v>0.15839999999999999</v>
      </c>
      <c r="J51" s="32">
        <f t="shared" ref="J51:Q51" si="79">I51*(1-$C$54)</f>
        <v>0.13939199999999999</v>
      </c>
      <c r="K51" s="32">
        <f t="shared" si="79"/>
        <v>0.12266495999999999</v>
      </c>
      <c r="L51" s="32">
        <f t="shared" si="79"/>
        <v>0.10794516479999999</v>
      </c>
      <c r="M51" s="32">
        <f t="shared" si="79"/>
        <v>9.4991745023999999E-2</v>
      </c>
      <c r="N51" s="32">
        <f t="shared" si="79"/>
        <v>8.3592735621120004E-2</v>
      </c>
      <c r="O51" s="32">
        <f t="shared" si="79"/>
        <v>7.3561607346585609E-2</v>
      </c>
      <c r="P51" s="32">
        <f t="shared" si="79"/>
        <v>6.4734214464995332E-2</v>
      </c>
      <c r="Q51" s="32">
        <f t="shared" si="79"/>
        <v>5.6966108729195893E-2</v>
      </c>
    </row>
    <row r="52" spans="1:17">
      <c r="A52" s="38"/>
      <c r="B52" s="29" t="s">
        <v>85</v>
      </c>
      <c r="C52" s="33"/>
      <c r="D52" s="34"/>
      <c r="E52" s="34"/>
      <c r="F52" s="34"/>
      <c r="G52" s="57"/>
      <c r="H52" s="431">
        <v>0.13</v>
      </c>
      <c r="I52" s="32">
        <f t="shared" ref="I52:Q53" si="80">H52*(1-$C$54)</f>
        <v>0.1144</v>
      </c>
      <c r="J52" s="32">
        <f t="shared" si="80"/>
        <v>0.100672</v>
      </c>
      <c r="K52" s="32">
        <f t="shared" si="80"/>
        <v>8.8591359999999994E-2</v>
      </c>
      <c r="L52" s="32">
        <f t="shared" si="80"/>
        <v>7.7960396799999998E-2</v>
      </c>
      <c r="M52" s="32">
        <f t="shared" si="80"/>
        <v>6.8605149184E-2</v>
      </c>
      <c r="N52" s="32">
        <f t="shared" si="80"/>
        <v>6.0372531281920001E-2</v>
      </c>
      <c r="O52" s="32">
        <f t="shared" si="80"/>
        <v>5.3127827528089602E-2</v>
      </c>
      <c r="P52" s="32">
        <f t="shared" si="80"/>
        <v>4.6752488224718849E-2</v>
      </c>
      <c r="Q52" s="32">
        <f t="shared" si="80"/>
        <v>4.1142189637752589E-2</v>
      </c>
    </row>
    <row r="53" spans="1:17">
      <c r="A53" s="38"/>
      <c r="B53" s="29" t="s">
        <v>86</v>
      </c>
      <c r="C53" s="33"/>
      <c r="D53" s="34"/>
      <c r="E53" s="34"/>
      <c r="F53" s="34"/>
      <c r="G53" s="57"/>
      <c r="H53" s="31">
        <f>H52-5%</f>
        <v>0.08</v>
      </c>
      <c r="I53" s="32">
        <f t="shared" si="80"/>
        <v>7.0400000000000004E-2</v>
      </c>
      <c r="J53" s="32">
        <f t="shared" si="80"/>
        <v>6.1952000000000007E-2</v>
      </c>
      <c r="K53" s="32">
        <f t="shared" si="80"/>
        <v>5.4517760000000005E-2</v>
      </c>
      <c r="L53" s="32">
        <f t="shared" si="80"/>
        <v>4.7975628800000003E-2</v>
      </c>
      <c r="M53" s="32">
        <f t="shared" si="80"/>
        <v>4.2218553344000001E-2</v>
      </c>
      <c r="N53" s="32">
        <f t="shared" si="80"/>
        <v>3.7152326942719999E-2</v>
      </c>
      <c r="O53" s="32">
        <f t="shared" si="80"/>
        <v>3.2694047709593596E-2</v>
      </c>
      <c r="P53" s="32">
        <f t="shared" si="80"/>
        <v>2.8770761984442363E-2</v>
      </c>
      <c r="Q53" s="32">
        <f t="shared" si="80"/>
        <v>2.5318270546309279E-2</v>
      </c>
    </row>
    <row r="54" spans="1:17">
      <c r="A54" s="38"/>
      <c r="B54" s="37" t="s">
        <v>94</v>
      </c>
      <c r="C54" s="18">
        <v>0.12</v>
      </c>
      <c r="G54" s="51"/>
      <c r="H54" s="15"/>
    </row>
    <row r="55" spans="1:17">
      <c r="A55" s="38"/>
      <c r="B55" s="19"/>
      <c r="G55" s="51"/>
    </row>
    <row r="56" spans="1:17">
      <c r="A56" s="38"/>
      <c r="B56" s="23" t="s">
        <v>92</v>
      </c>
      <c r="C56" s="26">
        <v>0</v>
      </c>
      <c r="D56" s="26">
        <v>0</v>
      </c>
      <c r="E56" s="26">
        <v>3766.65</v>
      </c>
      <c r="F56" s="26">
        <v>5244.9</v>
      </c>
      <c r="G56" s="55">
        <v>7731.44</v>
      </c>
      <c r="H56" s="27">
        <f>G56*(1+H57)</f>
        <v>9664.2999999999993</v>
      </c>
      <c r="I56" s="27">
        <f t="shared" ref="I56" si="81">H56*(1+I57)</f>
        <v>11790.445999999998</v>
      </c>
      <c r="J56" s="27">
        <f t="shared" ref="J56" si="82">I56*(1+J57)</f>
        <v>14073.076345599997</v>
      </c>
      <c r="K56" s="27">
        <f t="shared" ref="K56" si="83">J56*(1+K57)</f>
        <v>16470.678216447177</v>
      </c>
      <c r="L56" s="27">
        <f t="shared" ref="L56" si="84">K56*(1+L57)</f>
        <v>18940.025542061288</v>
      </c>
      <c r="M56" s="27">
        <f t="shared" ref="M56" si="85">L56*(1+M57)</f>
        <v>21438.839537949527</v>
      </c>
      <c r="N56" s="27">
        <f t="shared" ref="N56" si="86">M56*(1+N57)</f>
        <v>23927.910712282064</v>
      </c>
      <c r="O56" s="27">
        <f t="shared" ref="O56" si="87">N56*(1+O57)</f>
        <v>26372.599007339082</v>
      </c>
      <c r="P56" s="27">
        <f t="shared" ref="P56" si="88">O56*(1+P57)</f>
        <v>28743.723285311873</v>
      </c>
      <c r="Q56" s="27">
        <f t="shared" ref="Q56" si="89">P56*(1+Q57)</f>
        <v>31017.915043579924</v>
      </c>
    </row>
    <row r="57" spans="1:17">
      <c r="A57" s="38"/>
      <c r="B57" s="5" t="s">
        <v>100</v>
      </c>
      <c r="D57" s="17">
        <f>IFERROR(D56/C56-1,0)</f>
        <v>0</v>
      </c>
      <c r="E57" s="17">
        <f t="shared" ref="E57:G57" si="90">IFERROR(E56/D56-1,0)</f>
        <v>0</v>
      </c>
      <c r="F57" s="17">
        <f t="shared" si="90"/>
        <v>0.39245748874995012</v>
      </c>
      <c r="G57" s="58">
        <f t="shared" si="90"/>
        <v>0.47408720852637809</v>
      </c>
      <c r="H57" s="17">
        <f>CHOOSE(Assumptions!$C$10,'Revenue_Build Up'!$H59:$Q59,'Revenue_Build Up'!$H60:$Q60,'Revenue_Build Up'!$H61:$Q61)</f>
        <v>0.25</v>
      </c>
      <c r="I57" s="17">
        <f>CHOOSE(Assumptions!$C$10,'Revenue_Build Up'!$H59:$Q59,'Revenue_Build Up'!$H60:$Q60,'Revenue_Build Up'!$H61:$Q61)</f>
        <v>0.22</v>
      </c>
      <c r="J57" s="17">
        <f>CHOOSE(Assumptions!$C$10,'Revenue_Build Up'!$H59:$Q59,'Revenue_Build Up'!$H60:$Q60,'Revenue_Build Up'!$H61:$Q61)</f>
        <v>0.19359999999999999</v>
      </c>
      <c r="K57" s="17">
        <f>CHOOSE(Assumptions!$C$10,'Revenue_Build Up'!$H59:$Q59,'Revenue_Build Up'!$H60:$Q60,'Revenue_Build Up'!$H61:$Q61)</f>
        <v>0.17036799999999999</v>
      </c>
      <c r="L57" s="17">
        <f>CHOOSE(Assumptions!$C$10,'Revenue_Build Up'!$H59:$Q59,'Revenue_Build Up'!$H60:$Q60,'Revenue_Build Up'!$H61:$Q61)</f>
        <v>0.14992384</v>
      </c>
      <c r="M57" s="17">
        <f>CHOOSE(Assumptions!$C$10,'Revenue_Build Up'!$H59:$Q59,'Revenue_Build Up'!$H60:$Q60,'Revenue_Build Up'!$H61:$Q61)</f>
        <v>0.13193297919999999</v>
      </c>
      <c r="N57" s="17">
        <f>CHOOSE(Assumptions!$C$10,'Revenue_Build Up'!$H59:$Q59,'Revenue_Build Up'!$H60:$Q60,'Revenue_Build Up'!$H61:$Q61)</f>
        <v>0.11610102169599999</v>
      </c>
      <c r="O57" s="17">
        <f>CHOOSE(Assumptions!$C$10,'Revenue_Build Up'!$H59:$Q59,'Revenue_Build Up'!$H60:$Q60,'Revenue_Build Up'!$H61:$Q61)</f>
        <v>0.10216889909247999</v>
      </c>
      <c r="P57" s="17">
        <f>CHOOSE(Assumptions!$C$10,'Revenue_Build Up'!$H59:$Q59,'Revenue_Build Up'!$H60:$Q60,'Revenue_Build Up'!$H61:$Q61)</f>
        <v>8.9908631201382386E-2</v>
      </c>
      <c r="Q57" s="17">
        <f>CHOOSE(Assumptions!$C$10,'Revenue_Build Up'!$H59:$Q59,'Revenue_Build Up'!$H60:$Q60,'Revenue_Build Up'!$H61:$Q61)</f>
        <v>7.9119595457216502E-2</v>
      </c>
    </row>
    <row r="58" spans="1:17">
      <c r="A58" s="38"/>
      <c r="B58" s="23"/>
      <c r="D58" s="14"/>
      <c r="E58" s="14"/>
      <c r="F58" s="14"/>
      <c r="G58" s="54"/>
    </row>
    <row r="59" spans="1:17">
      <c r="A59" s="38"/>
      <c r="B59" s="29" t="s">
        <v>84</v>
      </c>
      <c r="C59" s="33"/>
      <c r="D59" s="34"/>
      <c r="E59" s="34"/>
      <c r="F59" s="34"/>
      <c r="G59" s="57"/>
      <c r="H59" s="31">
        <f>H60+5%</f>
        <v>0.3</v>
      </c>
      <c r="I59" s="32">
        <f>H59*(1-$C$62)</f>
        <v>0.26400000000000001</v>
      </c>
      <c r="J59" s="32">
        <f t="shared" ref="J59:Q59" si="91">I59*(1-$C$62)</f>
        <v>0.23232</v>
      </c>
      <c r="K59" s="32">
        <f t="shared" si="91"/>
        <v>0.2044416</v>
      </c>
      <c r="L59" s="32">
        <f t="shared" si="91"/>
        <v>0.179908608</v>
      </c>
      <c r="M59" s="32">
        <f t="shared" si="91"/>
        <v>0.15831957503999999</v>
      </c>
      <c r="N59" s="32">
        <f t="shared" si="91"/>
        <v>0.1393212260352</v>
      </c>
      <c r="O59" s="32">
        <f t="shared" si="91"/>
        <v>0.122602678910976</v>
      </c>
      <c r="P59" s="32">
        <f t="shared" si="91"/>
        <v>0.10789035744165888</v>
      </c>
      <c r="Q59" s="32">
        <f t="shared" si="91"/>
        <v>9.4943514548659819E-2</v>
      </c>
    </row>
    <row r="60" spans="1:17">
      <c r="A60" s="38"/>
      <c r="B60" s="29" t="s">
        <v>85</v>
      </c>
      <c r="C60" s="33"/>
      <c r="D60" s="34"/>
      <c r="E60" s="34"/>
      <c r="F60" s="34"/>
      <c r="G60" s="57"/>
      <c r="H60" s="431">
        <v>0.25</v>
      </c>
      <c r="I60" s="32">
        <f t="shared" ref="I60:Q61" si="92">H60*(1-$C$62)</f>
        <v>0.22</v>
      </c>
      <c r="J60" s="32">
        <f t="shared" si="92"/>
        <v>0.19359999999999999</v>
      </c>
      <c r="K60" s="32">
        <f t="shared" si="92"/>
        <v>0.17036799999999999</v>
      </c>
      <c r="L60" s="32">
        <f t="shared" si="92"/>
        <v>0.14992384</v>
      </c>
      <c r="M60" s="32">
        <f t="shared" si="92"/>
        <v>0.13193297919999999</v>
      </c>
      <c r="N60" s="32">
        <f t="shared" si="92"/>
        <v>0.11610102169599999</v>
      </c>
      <c r="O60" s="32">
        <f t="shared" si="92"/>
        <v>0.10216889909247999</v>
      </c>
      <c r="P60" s="32">
        <f t="shared" si="92"/>
        <v>8.9908631201382386E-2</v>
      </c>
      <c r="Q60" s="32">
        <f t="shared" si="92"/>
        <v>7.9119595457216502E-2</v>
      </c>
    </row>
    <row r="61" spans="1:17">
      <c r="A61" s="38"/>
      <c r="B61" s="29" t="s">
        <v>86</v>
      </c>
      <c r="C61" s="33"/>
      <c r="D61" s="34"/>
      <c r="E61" s="34"/>
      <c r="F61" s="34"/>
      <c r="G61" s="57"/>
      <c r="H61" s="31">
        <f>H60-5%</f>
        <v>0.2</v>
      </c>
      <c r="I61" s="32">
        <f t="shared" si="92"/>
        <v>0.17600000000000002</v>
      </c>
      <c r="J61" s="32">
        <f t="shared" si="92"/>
        <v>0.15488000000000002</v>
      </c>
      <c r="K61" s="32">
        <f t="shared" si="92"/>
        <v>0.13629440000000001</v>
      </c>
      <c r="L61" s="32">
        <f t="shared" si="92"/>
        <v>0.11993907200000001</v>
      </c>
      <c r="M61" s="32">
        <f t="shared" si="92"/>
        <v>0.10554638336000001</v>
      </c>
      <c r="N61" s="32">
        <f t="shared" si="92"/>
        <v>9.2880817356800011E-2</v>
      </c>
      <c r="O61" s="32">
        <f t="shared" si="92"/>
        <v>8.1735119273984011E-2</v>
      </c>
      <c r="P61" s="32">
        <f t="shared" si="92"/>
        <v>7.1926904961105931E-2</v>
      </c>
      <c r="Q61" s="32">
        <f t="shared" si="92"/>
        <v>6.3295676365773226E-2</v>
      </c>
    </row>
    <row r="62" spans="1:17">
      <c r="A62" s="38"/>
      <c r="B62" s="37" t="s">
        <v>94</v>
      </c>
      <c r="C62" s="18">
        <v>0.12</v>
      </c>
      <c r="G62" s="51"/>
      <c r="H62" s="15"/>
    </row>
    <row r="63" spans="1:17">
      <c r="A63" s="38"/>
      <c r="B63" s="19"/>
      <c r="G63" s="51"/>
    </row>
    <row r="64" spans="1:17">
      <c r="A64" s="38"/>
      <c r="B64" s="22" t="s">
        <v>88</v>
      </c>
      <c r="C64" s="26">
        <v>64569.16</v>
      </c>
      <c r="D64" s="26">
        <v>76586.87</v>
      </c>
      <c r="E64" s="26">
        <v>86451.82</v>
      </c>
      <c r="F64" s="26">
        <v>105459.4</v>
      </c>
      <c r="G64" s="55">
        <v>114142.61</v>
      </c>
      <c r="H64" s="27">
        <f>G64*(1+H65)</f>
        <v>129257.59653288711</v>
      </c>
      <c r="I64" s="27">
        <f t="shared" ref="I64" si="93">H64*(1+I65)</f>
        <v>144320.15390005955</v>
      </c>
      <c r="J64" s="27">
        <f t="shared" ref="J64" si="94">I64*(1+J65)</f>
        <v>159119.8328124632</v>
      </c>
      <c r="K64" s="27">
        <f t="shared" ref="K64" si="95">J64*(1+K65)</f>
        <v>173479.10063550403</v>
      </c>
      <c r="L64" s="27">
        <f t="shared" ref="L64" si="96">K64*(1+L65)</f>
        <v>187255.56636483895</v>
      </c>
      <c r="M64" s="27">
        <f t="shared" ref="M64" si="97">L64*(1+M65)</f>
        <v>200341.60092011324</v>
      </c>
      <c r="N64" s="27">
        <f t="shared" ref="N64" si="98">M64*(1+N65)</f>
        <v>212662.06702847258</v>
      </c>
      <c r="O64" s="27">
        <f t="shared" ref="O64" si="99">N64*(1+O65)</f>
        <v>224170.83147901914</v>
      </c>
      <c r="P64" s="27">
        <f t="shared" ref="P64" si="100">O64*(1+P65)</f>
        <v>234846.6318808379</v>
      </c>
      <c r="Q64" s="27">
        <f t="shared" ref="Q64" si="101">P64*(1+Q65)</f>
        <v>244688.74497112111</v>
      </c>
    </row>
    <row r="65" spans="1:17">
      <c r="A65" s="38"/>
      <c r="B65" s="5" t="s">
        <v>100</v>
      </c>
      <c r="D65" s="17">
        <f>IFERROR(D64/C64-1,0)</f>
        <v>0.18612151683559142</v>
      </c>
      <c r="E65" s="17">
        <f t="shared" ref="E65" si="102">IFERROR(E64/D64-1,0)</f>
        <v>0.12880732689558938</v>
      </c>
      <c r="F65" s="17">
        <f t="shared" ref="F65" si="103">IFERROR(F64/E64-1,0)</f>
        <v>0.21986327182007259</v>
      </c>
      <c r="G65" s="58">
        <f t="shared" ref="G65" si="104">IFERROR(G64/F64-1,0)</f>
        <v>8.2336994141821496E-2</v>
      </c>
      <c r="H65" s="17">
        <f>CHOOSE(Assumptions!$C$10,'Revenue_Build Up'!$H67:$Q67,'Revenue_Build Up'!$H68:$Q68,'Revenue_Build Up'!$H69:$Q69)</f>
        <v>0.13242194595766743</v>
      </c>
      <c r="I65" s="17">
        <f>CHOOSE(Assumptions!$C$10,'Revenue_Build Up'!$H67:$Q67,'Revenue_Build Up'!$H68:$Q68,'Revenue_Build Up'!$H69:$Q69)</f>
        <v>0.11653131244274734</v>
      </c>
      <c r="J65" s="17">
        <f>CHOOSE(Assumptions!$C$10,'Revenue_Build Up'!$H67:$Q67,'Revenue_Build Up'!$H68:$Q68,'Revenue_Build Up'!$H69:$Q69)</f>
        <v>0.10254755494961766</v>
      </c>
      <c r="K65" s="17">
        <f>CHOOSE(Assumptions!$C$10,'Revenue_Build Up'!$H67:$Q67,'Revenue_Build Up'!$H68:$Q68,'Revenue_Build Up'!$H69:$Q69)</f>
        <v>9.024184835566354E-2</v>
      </c>
      <c r="L65" s="17">
        <f>CHOOSE(Assumptions!$C$10,'Revenue_Build Up'!$H67:$Q67,'Revenue_Build Up'!$H68:$Q68,'Revenue_Build Up'!$H69:$Q69)</f>
        <v>7.9412826552983914E-2</v>
      </c>
      <c r="M65" s="17">
        <f>CHOOSE(Assumptions!$C$10,'Revenue_Build Up'!$H67:$Q67,'Revenue_Build Up'!$H68:$Q68,'Revenue_Build Up'!$H69:$Q69)</f>
        <v>6.9883287366625843E-2</v>
      </c>
      <c r="N65" s="17">
        <f>CHOOSE(Assumptions!$C$10,'Revenue_Build Up'!$H67:$Q67,'Revenue_Build Up'!$H68:$Q68,'Revenue_Build Up'!$H69:$Q69)</f>
        <v>6.1497292882630741E-2</v>
      </c>
      <c r="O65" s="17">
        <f>CHOOSE(Assumptions!$C$10,'Revenue_Build Up'!$H67:$Q67,'Revenue_Build Up'!$H68:$Q68,'Revenue_Build Up'!$H69:$Q69)</f>
        <v>5.411761773671505E-2</v>
      </c>
      <c r="P65" s="17">
        <f>CHOOSE(Assumptions!$C$10,'Revenue_Build Up'!$H67:$Q67,'Revenue_Build Up'!$H68:$Q68,'Revenue_Build Up'!$H69:$Q69)</f>
        <v>4.7623503608309241E-2</v>
      </c>
      <c r="Q65" s="17">
        <f>CHOOSE(Assumptions!$C$10,'Revenue_Build Up'!$H67:$Q67,'Revenue_Build Up'!$H68:$Q68,'Revenue_Build Up'!$H69:$Q69)</f>
        <v>4.1908683175312135E-2</v>
      </c>
    </row>
    <row r="66" spans="1:17">
      <c r="A66" s="38"/>
      <c r="B66" s="19"/>
      <c r="D66" s="14"/>
      <c r="E66" s="14"/>
      <c r="F66" s="14"/>
      <c r="G66" s="54"/>
    </row>
    <row r="67" spans="1:17">
      <c r="A67" s="38"/>
      <c r="B67" s="29" t="s">
        <v>84</v>
      </c>
      <c r="C67" s="33"/>
      <c r="D67" s="34"/>
      <c r="E67" s="34"/>
      <c r="F67" s="34"/>
      <c r="G67" s="57"/>
      <c r="H67" s="31">
        <f>H68+5%</f>
        <v>0.18242194595766742</v>
      </c>
      <c r="I67" s="32">
        <f>H67*(1-$C$70)</f>
        <v>0.16053131244274732</v>
      </c>
      <c r="J67" s="32">
        <f t="shared" ref="J67:Q67" si="105">I67*(1-$C$70)</f>
        <v>0.14126755494961765</v>
      </c>
      <c r="K67" s="32">
        <f t="shared" si="105"/>
        <v>0.12431544835566354</v>
      </c>
      <c r="L67" s="32">
        <f t="shared" si="105"/>
        <v>0.10939759455298391</v>
      </c>
      <c r="M67" s="32">
        <f t="shared" si="105"/>
        <v>9.6269883206625842E-2</v>
      </c>
      <c r="N67" s="32">
        <f t="shared" si="105"/>
        <v>8.4717497221830737E-2</v>
      </c>
      <c r="O67" s="32">
        <f t="shared" si="105"/>
        <v>7.4551397555211049E-2</v>
      </c>
      <c r="P67" s="32">
        <f t="shared" si="105"/>
        <v>6.560522984858573E-2</v>
      </c>
      <c r="Q67" s="32">
        <f t="shared" si="105"/>
        <v>5.7732602266755445E-2</v>
      </c>
    </row>
    <row r="68" spans="1:17">
      <c r="A68" s="38"/>
      <c r="B68" s="29" t="s">
        <v>85</v>
      </c>
      <c r="C68" s="33"/>
      <c r="D68" s="34"/>
      <c r="E68" s="34"/>
      <c r="F68" s="34"/>
      <c r="G68" s="57"/>
      <c r="H68" s="32">
        <f>AVERAGE(G65,D65:E65)</f>
        <v>0.13242194595766743</v>
      </c>
      <c r="I68" s="32">
        <f t="shared" ref="I68:Q69" si="106">H68*(1-$C$70)</f>
        <v>0.11653131244274734</v>
      </c>
      <c r="J68" s="32">
        <f t="shared" si="106"/>
        <v>0.10254755494961766</v>
      </c>
      <c r="K68" s="32">
        <f t="shared" si="106"/>
        <v>9.024184835566354E-2</v>
      </c>
      <c r="L68" s="32">
        <f t="shared" si="106"/>
        <v>7.9412826552983914E-2</v>
      </c>
      <c r="M68" s="32">
        <f t="shared" si="106"/>
        <v>6.9883287366625843E-2</v>
      </c>
      <c r="N68" s="32">
        <f t="shared" si="106"/>
        <v>6.1497292882630741E-2</v>
      </c>
      <c r="O68" s="32">
        <f t="shared" si="106"/>
        <v>5.411761773671505E-2</v>
      </c>
      <c r="P68" s="32">
        <f t="shared" si="106"/>
        <v>4.7623503608309241E-2</v>
      </c>
      <c r="Q68" s="32">
        <f t="shared" si="106"/>
        <v>4.1908683175312135E-2</v>
      </c>
    </row>
    <row r="69" spans="1:17">
      <c r="A69" s="38"/>
      <c r="B69" s="29" t="s">
        <v>86</v>
      </c>
      <c r="C69" s="33"/>
      <c r="D69" s="34"/>
      <c r="E69" s="34"/>
      <c r="F69" s="34"/>
      <c r="G69" s="57"/>
      <c r="H69" s="31">
        <f>H68-5%</f>
        <v>8.2421945957667428E-2</v>
      </c>
      <c r="I69" s="32">
        <f t="shared" si="106"/>
        <v>7.2531312442747339E-2</v>
      </c>
      <c r="J69" s="32">
        <f t="shared" si="106"/>
        <v>6.3827554949617657E-2</v>
      </c>
      <c r="K69" s="32">
        <f t="shared" si="106"/>
        <v>5.6168248355663537E-2</v>
      </c>
      <c r="L69" s="32">
        <f t="shared" si="106"/>
        <v>4.9428058552983913E-2</v>
      </c>
      <c r="M69" s="32">
        <f t="shared" si="106"/>
        <v>4.3496691526625844E-2</v>
      </c>
      <c r="N69" s="32">
        <f t="shared" si="106"/>
        <v>3.8277088543430746E-2</v>
      </c>
      <c r="O69" s="32">
        <f t="shared" si="106"/>
        <v>3.3683837918219058E-2</v>
      </c>
      <c r="P69" s="32">
        <f t="shared" si="106"/>
        <v>2.9641777368032772E-2</v>
      </c>
      <c r="Q69" s="32">
        <f t="shared" si="106"/>
        <v>2.6084764083868839E-2</v>
      </c>
    </row>
    <row r="70" spans="1:17">
      <c r="A70" s="38"/>
      <c r="B70" s="29" t="s">
        <v>94</v>
      </c>
      <c r="C70" s="18">
        <v>0.12</v>
      </c>
      <c r="G70" s="51"/>
      <c r="H70" s="15"/>
    </row>
    <row r="71" spans="1:17">
      <c r="A71" s="38"/>
      <c r="B71" s="19"/>
      <c r="G71" s="51"/>
    </row>
    <row r="72" spans="1:17">
      <c r="A72" s="38"/>
      <c r="B72" s="22" t="s">
        <v>89</v>
      </c>
      <c r="C72" s="26">
        <v>14647.06</v>
      </c>
      <c r="D72" s="26">
        <v>16726.04</v>
      </c>
      <c r="E72" s="26">
        <v>21144.92</v>
      </c>
      <c r="F72" s="26">
        <v>27616.02</v>
      </c>
      <c r="G72" s="55">
        <v>31108.69</v>
      </c>
      <c r="H72" s="27">
        <f>G72*(1+H73)</f>
        <v>35043.087074679839</v>
      </c>
      <c r="I72" s="27">
        <f t="shared" ref="I72" si="107">H72*(1+I73)</f>
        <v>38943.238735243067</v>
      </c>
      <c r="J72" s="27">
        <f t="shared" ref="J72" si="108">I72*(1+J73)</f>
        <v>42757.354554138103</v>
      </c>
      <c r="K72" s="27">
        <f t="shared" ref="K72" si="109">J72*(1+K73)</f>
        <v>46442.505731964528</v>
      </c>
      <c r="L72" s="27">
        <f t="shared" ref="L72" si="110">K72*(1+L73)</f>
        <v>49964.939187119911</v>
      </c>
      <c r="M72" s="27">
        <f t="shared" ref="M72" si="111">L72*(1+M73)</f>
        <v>53299.780624532206</v>
      </c>
      <c r="N72" s="27">
        <f t="shared" ref="N72" si="112">M72*(1+N73)</f>
        <v>56430.31098307202</v>
      </c>
      <c r="O72" s="27">
        <f t="shared" ref="O72" si="113">N72*(1+O73)</f>
        <v>59346.983127907733</v>
      </c>
      <c r="P72" s="27">
        <f t="shared" ref="P72" si="114">O72*(1+P73)</f>
        <v>62046.316284278131</v>
      </c>
      <c r="Q72" s="27">
        <f t="shared" ref="Q72" si="115">P72*(1+Q73)</f>
        <v>64529.772553755691</v>
      </c>
    </row>
    <row r="73" spans="1:17">
      <c r="A73" s="38"/>
      <c r="B73" s="5" t="s">
        <v>100</v>
      </c>
      <c r="D73" s="17">
        <f>IFERROR(D72/C72-1,0)</f>
        <v>0.14193838217362398</v>
      </c>
      <c r="E73" s="17">
        <f t="shared" ref="E73" si="116">IFERROR(E72/D72-1,0)</f>
        <v>0.26419164368852388</v>
      </c>
      <c r="F73" s="17">
        <f t="shared" ref="F73" si="117">IFERROR(F72/E72-1,0)</f>
        <v>0.30603568138351922</v>
      </c>
      <c r="G73" s="58">
        <f t="shared" ref="G73" si="118">IFERROR(G72/F72-1,0)</f>
        <v>0.12647260539353611</v>
      </c>
      <c r="H73" s="17">
        <f>CHOOSE(Assumptions!$C$10,'Revenue_Build Up'!$H75:$Q75,'Revenue_Build Up'!$H76:$Q76,'Revenue_Build Up'!$H77:$Q77)</f>
        <v>0.12647260539353611</v>
      </c>
      <c r="I73" s="17">
        <f>CHOOSE(Assumptions!$C$10,'Revenue_Build Up'!$H75:$Q75,'Revenue_Build Up'!$H76:$Q76,'Revenue_Build Up'!$H77:$Q77)</f>
        <v>0.11129589274631177</v>
      </c>
      <c r="J73" s="17">
        <f>CHOOSE(Assumptions!$C$10,'Revenue_Build Up'!$H75:$Q75,'Revenue_Build Up'!$H76:$Q76,'Revenue_Build Up'!$H77:$Q77)</f>
        <v>9.7940385616754361E-2</v>
      </c>
      <c r="K73" s="17">
        <f>CHOOSE(Assumptions!$C$10,'Revenue_Build Up'!$H75:$Q75,'Revenue_Build Up'!$H76:$Q76,'Revenue_Build Up'!$H77:$Q77)</f>
        <v>8.6187539342743841E-2</v>
      </c>
      <c r="L73" s="17">
        <f>CHOOSE(Assumptions!$C$10,'Revenue_Build Up'!$H75:$Q75,'Revenue_Build Up'!$H76:$Q76,'Revenue_Build Up'!$H77:$Q77)</f>
        <v>7.5845034621614585E-2</v>
      </c>
      <c r="M73" s="17">
        <f>CHOOSE(Assumptions!$C$10,'Revenue_Build Up'!$H75:$Q75,'Revenue_Build Up'!$H76:$Q76,'Revenue_Build Up'!$H77:$Q77)</f>
        <v>6.6743630467020837E-2</v>
      </c>
      <c r="N73" s="17">
        <f>CHOOSE(Assumptions!$C$10,'Revenue_Build Up'!$H75:$Q75,'Revenue_Build Up'!$H76:$Q76,'Revenue_Build Up'!$H77:$Q77)</f>
        <v>5.8734394810978335E-2</v>
      </c>
      <c r="O73" s="17">
        <f>CHOOSE(Assumptions!$C$10,'Revenue_Build Up'!$H75:$Q75,'Revenue_Build Up'!$H76:$Q76,'Revenue_Build Up'!$H77:$Q77)</f>
        <v>5.1686267433660935E-2</v>
      </c>
      <c r="P73" s="17">
        <f>CHOOSE(Assumptions!$C$10,'Revenue_Build Up'!$H75:$Q75,'Revenue_Build Up'!$H76:$Q76,'Revenue_Build Up'!$H77:$Q77)</f>
        <v>4.548391534162162E-2</v>
      </c>
      <c r="Q73" s="17">
        <f>CHOOSE(Assumptions!$C$10,'Revenue_Build Up'!$H75:$Q75,'Revenue_Build Up'!$H76:$Q76,'Revenue_Build Up'!$H77:$Q77)</f>
        <v>4.0025845500627023E-2</v>
      </c>
    </row>
    <row r="74" spans="1:17">
      <c r="A74" s="38"/>
      <c r="B74" s="19"/>
      <c r="D74" s="14"/>
      <c r="E74" s="14"/>
      <c r="F74" s="14"/>
      <c r="G74" s="54"/>
    </row>
    <row r="75" spans="1:17">
      <c r="A75" s="38"/>
      <c r="B75" s="29" t="s">
        <v>84</v>
      </c>
      <c r="C75" s="33"/>
      <c r="D75" s="34"/>
      <c r="E75" s="34"/>
      <c r="F75" s="34"/>
      <c r="G75" s="57"/>
      <c r="H75" s="31">
        <f>H76+5%</f>
        <v>0.1764726053935361</v>
      </c>
      <c r="I75" s="32">
        <f>H75*(1-$C$78)</f>
        <v>0.15529589274631175</v>
      </c>
      <c r="J75" s="32">
        <f t="shared" ref="J75:Q75" si="119">I75*(1-$C$78)</f>
        <v>0.13666038561675434</v>
      </c>
      <c r="K75" s="32">
        <f t="shared" si="119"/>
        <v>0.12026113934274382</v>
      </c>
      <c r="L75" s="32">
        <f t="shared" si="119"/>
        <v>0.10582980262161457</v>
      </c>
      <c r="M75" s="32">
        <f t="shared" si="119"/>
        <v>9.3130226307020822E-2</v>
      </c>
      <c r="N75" s="32">
        <f t="shared" si="119"/>
        <v>8.1954599150178317E-2</v>
      </c>
      <c r="O75" s="32">
        <f t="shared" si="119"/>
        <v>7.2120047252156913E-2</v>
      </c>
      <c r="P75" s="32">
        <f t="shared" si="119"/>
        <v>6.3465641581898088E-2</v>
      </c>
      <c r="Q75" s="32">
        <f t="shared" si="119"/>
        <v>5.584976459207032E-2</v>
      </c>
    </row>
    <row r="76" spans="1:17">
      <c r="A76" s="38"/>
      <c r="B76" s="29" t="s">
        <v>85</v>
      </c>
      <c r="C76" s="33"/>
      <c r="D76" s="34"/>
      <c r="E76" s="34"/>
      <c r="F76" s="34"/>
      <c r="G76" s="57"/>
      <c r="H76" s="32">
        <f>MIN(D73:G73)</f>
        <v>0.12647260539353611</v>
      </c>
      <c r="I76" s="32">
        <f t="shared" ref="I76:Q77" si="120">H76*(1-$C$78)</f>
        <v>0.11129589274631177</v>
      </c>
      <c r="J76" s="32">
        <f t="shared" si="120"/>
        <v>9.7940385616754361E-2</v>
      </c>
      <c r="K76" s="32">
        <f t="shared" si="120"/>
        <v>8.6187539342743841E-2</v>
      </c>
      <c r="L76" s="32">
        <f t="shared" si="120"/>
        <v>7.5845034621614585E-2</v>
      </c>
      <c r="M76" s="32">
        <f t="shared" si="120"/>
        <v>6.6743630467020837E-2</v>
      </c>
      <c r="N76" s="32">
        <f t="shared" si="120"/>
        <v>5.8734394810978335E-2</v>
      </c>
      <c r="O76" s="32">
        <f t="shared" si="120"/>
        <v>5.1686267433660935E-2</v>
      </c>
      <c r="P76" s="32">
        <f t="shared" si="120"/>
        <v>4.548391534162162E-2</v>
      </c>
      <c r="Q76" s="32">
        <f t="shared" si="120"/>
        <v>4.0025845500627023E-2</v>
      </c>
    </row>
    <row r="77" spans="1:17">
      <c r="A77" s="38"/>
      <c r="B77" s="29" t="s">
        <v>86</v>
      </c>
      <c r="C77" s="33"/>
      <c r="D77" s="34"/>
      <c r="E77" s="34"/>
      <c r="F77" s="34"/>
      <c r="G77" s="57"/>
      <c r="H77" s="31">
        <f>H76-5%</f>
        <v>7.6472605393536106E-2</v>
      </c>
      <c r="I77" s="32">
        <f t="shared" si="120"/>
        <v>6.7295892746311772E-2</v>
      </c>
      <c r="J77" s="32">
        <f t="shared" si="120"/>
        <v>5.9220385616754363E-2</v>
      </c>
      <c r="K77" s="32">
        <f t="shared" si="120"/>
        <v>5.2113939342743838E-2</v>
      </c>
      <c r="L77" s="32">
        <f t="shared" si="120"/>
        <v>4.5860266621614576E-2</v>
      </c>
      <c r="M77" s="32">
        <f t="shared" si="120"/>
        <v>4.0357034627020824E-2</v>
      </c>
      <c r="N77" s="32">
        <f t="shared" si="120"/>
        <v>3.5514190471778326E-2</v>
      </c>
      <c r="O77" s="32">
        <f t="shared" si="120"/>
        <v>3.1252487615164928E-2</v>
      </c>
      <c r="P77" s="32">
        <f t="shared" si="120"/>
        <v>2.7502189101345137E-2</v>
      </c>
      <c r="Q77" s="32">
        <f t="shared" si="120"/>
        <v>2.420192640918372E-2</v>
      </c>
    </row>
    <row r="78" spans="1:17">
      <c r="A78" s="38"/>
      <c r="B78" s="29" t="s">
        <v>94</v>
      </c>
      <c r="C78" s="18">
        <v>0.12</v>
      </c>
      <c r="G78" s="51"/>
    </row>
    <row r="79" spans="1:17">
      <c r="A79" s="38"/>
      <c r="G79" s="51"/>
    </row>
    <row r="80" spans="1:17">
      <c r="A80" s="38"/>
      <c r="B80" t="s">
        <v>96</v>
      </c>
      <c r="C80" s="35">
        <f>'P&amp;L_Input'!C26</f>
        <v>-391.90449999999998</v>
      </c>
      <c r="D80" s="35">
        <f>'P&amp;L_Input'!D26</f>
        <v>827.01329999999996</v>
      </c>
      <c r="E80" s="35">
        <f>'P&amp;L_Input'!E26</f>
        <v>1191.4521</v>
      </c>
      <c r="F80" s="35">
        <f>'P&amp;L_Input'!F26</f>
        <v>1405.1542999999999</v>
      </c>
      <c r="G80" s="35">
        <f>'P&amp;L_Input'!G26</f>
        <v>1505.4709</v>
      </c>
      <c r="H80" s="27">
        <f t="shared" ref="H80:Q80" si="121">H81*H10</f>
        <v>1220.6055361271053</v>
      </c>
      <c r="I80" s="27">
        <f t="shared" si="121"/>
        <v>1357.1524038723276</v>
      </c>
      <c r="J80" s="27">
        <f t="shared" si="121"/>
        <v>1491.0307922149625</v>
      </c>
      <c r="K80" s="27">
        <f t="shared" si="121"/>
        <v>1620.7101827669694</v>
      </c>
      <c r="L80" s="27">
        <f t="shared" si="121"/>
        <v>1744.968119984406</v>
      </c>
      <c r="M80" s="27">
        <f t="shared" si="121"/>
        <v>1862.8852547751383</v>
      </c>
      <c r="N80" s="27">
        <f t="shared" si="121"/>
        <v>1973.8247792130396</v>
      </c>
      <c r="O80" s="27">
        <f t="shared" si="121"/>
        <v>2077.4018026294279</v>
      </c>
      <c r="P80" s="27">
        <f t="shared" si="121"/>
        <v>2173.4473988932714</v>
      </c>
      <c r="Q80" s="27">
        <f t="shared" si="121"/>
        <v>2261.9710390575365</v>
      </c>
    </row>
    <row r="81" spans="1:17">
      <c r="A81" s="38"/>
      <c r="B81" s="30" t="s">
        <v>97</v>
      </c>
      <c r="C81" s="32">
        <f>C80/C10</f>
        <v>-1.0170411725965475E-3</v>
      </c>
      <c r="D81" s="32">
        <f>D80/D10</f>
        <v>2.0321080703631592E-3</v>
      </c>
      <c r="E81" s="32">
        <f>E80/E10</f>
        <v>2.516914061514761E-3</v>
      </c>
      <c r="F81" s="32">
        <f>F80/F10</f>
        <v>2.3632923108008507E-3</v>
      </c>
      <c r="G81" s="59">
        <f>G80/G10</f>
        <v>2.2695199612483498E-3</v>
      </c>
      <c r="H81" s="31">
        <f>AVERAGE($C$81:$G$81)</f>
        <v>1.6329586462661145E-3</v>
      </c>
      <c r="I81" s="31">
        <f t="shared" ref="I81:Q81" si="122">AVERAGE($C$81:$G$81)</f>
        <v>1.6329586462661145E-3</v>
      </c>
      <c r="J81" s="31">
        <f t="shared" si="122"/>
        <v>1.6329586462661145E-3</v>
      </c>
      <c r="K81" s="31">
        <f t="shared" si="122"/>
        <v>1.6329586462661145E-3</v>
      </c>
      <c r="L81" s="31">
        <f t="shared" si="122"/>
        <v>1.6329586462661145E-3</v>
      </c>
      <c r="M81" s="31">
        <f t="shared" si="122"/>
        <v>1.6329586462661145E-3</v>
      </c>
      <c r="N81" s="31">
        <f t="shared" si="122"/>
        <v>1.6329586462661145E-3</v>
      </c>
      <c r="O81" s="31">
        <f t="shared" si="122"/>
        <v>1.6329586462661145E-3</v>
      </c>
      <c r="P81" s="31">
        <f t="shared" si="122"/>
        <v>1.6329586462661145E-3</v>
      </c>
      <c r="Q81" s="31">
        <f t="shared" si="122"/>
        <v>1.6329586462661145E-3</v>
      </c>
    </row>
    <row r="82" spans="1:17">
      <c r="A82" s="38"/>
      <c r="G82" s="51"/>
    </row>
    <row r="83" spans="1:17">
      <c r="A83" s="38"/>
      <c r="B83" t="s">
        <v>23</v>
      </c>
      <c r="C83" s="35">
        <f>'P&amp;L_Input'!C27</f>
        <v>1482.3572999999999</v>
      </c>
      <c r="D83" s="35">
        <f>'P&amp;L_Input'!D27</f>
        <v>1809.3049000000001</v>
      </c>
      <c r="E83" s="35">
        <f>'P&amp;L_Input'!E27</f>
        <v>2101.7091999999998</v>
      </c>
      <c r="F83" s="35">
        <f>'P&amp;L_Input'!F27</f>
        <v>2458.7491</v>
      </c>
      <c r="G83" s="35">
        <f>'P&amp;L_Input'!G27</f>
        <v>2961.2882</v>
      </c>
      <c r="H83" s="27">
        <f t="shared" ref="H83:Q83" si="123">H84*H10</f>
        <v>3189.0477459772237</v>
      </c>
      <c r="I83" s="27">
        <f t="shared" si="123"/>
        <v>3545.8005771865737</v>
      </c>
      <c r="J83" s="27">
        <f t="shared" si="123"/>
        <v>3895.5815342136966</v>
      </c>
      <c r="K83" s="27">
        <f t="shared" si="123"/>
        <v>4234.3918671995316</v>
      </c>
      <c r="L83" s="27">
        <f t="shared" si="123"/>
        <v>4559.0376949256324</v>
      </c>
      <c r="M83" s="27">
        <f t="shared" si="123"/>
        <v>4867.1170553631055</v>
      </c>
      <c r="N83" s="27">
        <f t="shared" si="123"/>
        <v>5156.966175227848</v>
      </c>
      <c r="O83" s="27">
        <f t="shared" si="123"/>
        <v>5427.579459605633</v>
      </c>
      <c r="P83" s="27">
        <f t="shared" si="123"/>
        <v>5678.5155591157982</v>
      </c>
      <c r="Q83" s="27">
        <f t="shared" si="123"/>
        <v>5909.7992185585408</v>
      </c>
    </row>
    <row r="84" spans="1:17">
      <c r="A84" s="38"/>
      <c r="B84" s="30" t="s">
        <v>97</v>
      </c>
      <c r="C84" s="32">
        <f>C83/C10</f>
        <v>3.846902514768399E-3</v>
      </c>
      <c r="D84" s="32">
        <f>D83/D10</f>
        <v>4.445760532554445E-3</v>
      </c>
      <c r="E84" s="32">
        <f>E83/E10</f>
        <v>4.4398104117613609E-3</v>
      </c>
      <c r="F84" s="32">
        <f>F83/F10</f>
        <v>4.1353058822212706E-3</v>
      </c>
      <c r="G84" s="59">
        <f>G83/G10</f>
        <v>4.4641863757773036E-3</v>
      </c>
      <c r="H84" s="31">
        <f>AVERAGE($C$84:$G$84)</f>
        <v>4.2663931434165558E-3</v>
      </c>
      <c r="I84" s="31">
        <f t="shared" ref="I84:Q84" si="124">AVERAGE($C$84:$G$84)</f>
        <v>4.2663931434165558E-3</v>
      </c>
      <c r="J84" s="31">
        <f t="shared" si="124"/>
        <v>4.2663931434165558E-3</v>
      </c>
      <c r="K84" s="31">
        <f t="shared" si="124"/>
        <v>4.2663931434165558E-3</v>
      </c>
      <c r="L84" s="31">
        <f t="shared" si="124"/>
        <v>4.2663931434165558E-3</v>
      </c>
      <c r="M84" s="31">
        <f t="shared" si="124"/>
        <v>4.2663931434165558E-3</v>
      </c>
      <c r="N84" s="31">
        <f t="shared" si="124"/>
        <v>4.2663931434165558E-3</v>
      </c>
      <c r="O84" s="31">
        <f t="shared" si="124"/>
        <v>4.2663931434165558E-3</v>
      </c>
      <c r="P84" s="31">
        <f t="shared" si="124"/>
        <v>4.2663931434165558E-3</v>
      </c>
      <c r="Q84" s="31">
        <f t="shared" si="124"/>
        <v>4.2663931434165558E-3</v>
      </c>
    </row>
    <row r="85" spans="1:17">
      <c r="A85" s="38"/>
    </row>
    <row r="86" spans="1:17">
      <c r="A86" s="38"/>
      <c r="C86" s="60"/>
      <c r="D86" s="60"/>
      <c r="E86" s="60"/>
      <c r="F86" s="60"/>
      <c r="G86" s="60"/>
    </row>
    <row r="87" spans="1:17">
      <c r="A87" s="38"/>
      <c r="B87" s="81"/>
      <c r="C87" s="83"/>
      <c r="D87" s="81"/>
      <c r="E87" s="81"/>
      <c r="F87" s="81"/>
      <c r="G87" s="81"/>
      <c r="H87" s="81"/>
      <c r="I87" s="81"/>
      <c r="J87" s="81"/>
      <c r="K87" s="81"/>
      <c r="L87" s="81"/>
      <c r="M87" s="81"/>
      <c r="N87" s="81"/>
      <c r="O87" s="81"/>
      <c r="P87" s="81"/>
      <c r="Q87" s="81"/>
    </row>
    <row r="90" spans="1:17">
      <c r="C90" s="60">
        <f>C48+C56</f>
        <v>132094.85999999999</v>
      </c>
      <c r="D90" s="60">
        <f t="shared" ref="D90:Q90" si="125">D48+D56</f>
        <v>138896.25</v>
      </c>
      <c r="E90" s="60">
        <f t="shared" si="125"/>
        <v>167521.79999999999</v>
      </c>
      <c r="F90" s="60">
        <f t="shared" si="125"/>
        <v>209736.74</v>
      </c>
      <c r="G90" s="60">
        <f t="shared" si="125"/>
        <v>241674.37</v>
      </c>
      <c r="H90" s="60">
        <f t="shared" si="125"/>
        <v>274019.81089999998</v>
      </c>
      <c r="I90" s="60">
        <f t="shared" si="125"/>
        <v>306388.22734695999</v>
      </c>
      <c r="J90" s="60">
        <f t="shared" si="125"/>
        <v>338328.60553632118</v>
      </c>
      <c r="K90" s="60">
        <f t="shared" si="125"/>
        <v>369452.44572569401</v>
      </c>
      <c r="L90" s="60">
        <f t="shared" si="125"/>
        <v>399440.39170949435</v>
      </c>
      <c r="M90" s="60">
        <f t="shared" si="125"/>
        <v>428043.49009086599</v>
      </c>
      <c r="N90" s="60">
        <f t="shared" si="125"/>
        <v>455080.31325007865</v>
      </c>
      <c r="O90" s="60">
        <f t="shared" si="125"/>
        <v>480431.19202548516</v>
      </c>
      <c r="P90" s="60">
        <f t="shared" si="125"/>
        <v>504030.68532687117</v>
      </c>
      <c r="Q90" s="60">
        <f t="shared" si="125"/>
        <v>525859.2234098044</v>
      </c>
    </row>
    <row r="91" spans="1:17">
      <c r="D91" s="17">
        <f>D90/C90-1</f>
        <v>5.1488680180288737E-2</v>
      </c>
      <c r="E91" s="17">
        <f t="shared" ref="E91:Q91" si="126">E90/D90-1</f>
        <v>0.20609303706903526</v>
      </c>
      <c r="F91" s="17">
        <f t="shared" si="126"/>
        <v>0.2519966953554702</v>
      </c>
      <c r="G91" s="17">
        <f t="shared" si="126"/>
        <v>0.15227484702966199</v>
      </c>
      <c r="H91" s="17">
        <f t="shared" si="126"/>
        <v>0.13383893749262699</v>
      </c>
      <c r="I91" s="17">
        <f t="shared" si="126"/>
        <v>0.11812436604728727</v>
      </c>
      <c r="J91" s="17">
        <f t="shared" si="126"/>
        <v>0.10424805961356753</v>
      </c>
      <c r="K91" s="17">
        <f t="shared" si="126"/>
        <v>9.1992931369297315E-2</v>
      </c>
      <c r="L91" s="17">
        <f t="shared" si="126"/>
        <v>8.116862218870069E-2</v>
      </c>
      <c r="M91" s="17">
        <f t="shared" si="126"/>
        <v>7.1607926927365284E-2</v>
      </c>
      <c r="N91" s="17">
        <f t="shared" si="126"/>
        <v>6.3163729352532005E-2</v>
      </c>
      <c r="O91" s="17">
        <f t="shared" si="126"/>
        <v>5.5706384208001447E-2</v>
      </c>
      <c r="P91" s="17">
        <f t="shared" si="126"/>
        <v>4.9121484393823689E-2</v>
      </c>
      <c r="Q91" s="17">
        <f t="shared" si="126"/>
        <v>4.3307954690848138E-2</v>
      </c>
    </row>
  </sheetData>
  <mergeCells count="1">
    <mergeCell ref="B7:B8"/>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B1:Q24"/>
  <sheetViews>
    <sheetView showGridLines="0" topLeftCell="A7" workbookViewId="0">
      <selection activeCell="B11" sqref="B11"/>
    </sheetView>
  </sheetViews>
  <sheetFormatPr defaultRowHeight="15"/>
  <cols>
    <col min="1" max="1" width="1.85546875" customWidth="1"/>
    <col min="2" max="2" width="27.42578125" bestFit="1" customWidth="1"/>
    <col min="3" max="7" width="13.28515625" customWidth="1"/>
    <col min="8" max="9" width="13.28515625" bestFit="1" customWidth="1"/>
    <col min="10" max="17" width="14.28515625" bestFit="1" customWidth="1"/>
  </cols>
  <sheetData>
    <row r="1" spans="2:17" ht="16.5" thickTop="1">
      <c r="B1" s="248" t="s">
        <v>318</v>
      </c>
    </row>
    <row r="2" spans="2:17">
      <c r="B2" s="10" t="s">
        <v>319</v>
      </c>
    </row>
    <row r="3" spans="2:17">
      <c r="C3" s="64">
        <v>10000</v>
      </c>
    </row>
    <row r="4" spans="2:17">
      <c r="B4" s="6" t="s">
        <v>355</v>
      </c>
    </row>
    <row r="5" spans="2:17">
      <c r="B5" s="148" t="s">
        <v>101</v>
      </c>
      <c r="C5" s="199"/>
      <c r="D5" s="199"/>
      <c r="E5" s="199"/>
      <c r="F5" s="199"/>
      <c r="G5" s="199"/>
      <c r="H5" s="199"/>
      <c r="I5" s="199"/>
      <c r="J5" s="199"/>
      <c r="K5" s="199"/>
      <c r="L5" s="199"/>
      <c r="M5" s="199"/>
      <c r="N5" s="199"/>
      <c r="O5" s="199"/>
      <c r="P5" s="199"/>
      <c r="Q5" s="199"/>
    </row>
    <row r="7" spans="2:17">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2:17">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10" spans="2:17">
      <c r="B10" s="2" t="s">
        <v>407</v>
      </c>
      <c r="C10" s="94">
        <f>'Revenue_Build Up'!C10</f>
        <v>385337.89049999998</v>
      </c>
      <c r="D10" s="94">
        <f>'Revenue_Build Up'!D10</f>
        <v>406973.08970000001</v>
      </c>
      <c r="E10" s="94">
        <f>'Revenue_Build Up'!E10</f>
        <v>473378.14120000001</v>
      </c>
      <c r="F10" s="94">
        <f>'Revenue_Build Up'!F10</f>
        <v>594574.90449999995</v>
      </c>
      <c r="G10" s="94">
        <f>'Revenue_Build Up'!G10</f>
        <v>663343.31740000006</v>
      </c>
      <c r="H10" s="94">
        <f>'Revenue_Build Up'!H10</f>
        <v>747480.98423564713</v>
      </c>
      <c r="I10" s="94">
        <f>'Revenue_Build Up'!I10</f>
        <v>831100.28963413183</v>
      </c>
      <c r="J10" s="94">
        <f>'Revenue_Build Up'!J10</f>
        <v>913085.4572614677</v>
      </c>
      <c r="K10" s="94">
        <f>'Revenue_Build Up'!K10</f>
        <v>992499.22003404552</v>
      </c>
      <c r="L10" s="94">
        <f>'Revenue_Build Up'!L10</f>
        <v>1068592.9640498918</v>
      </c>
      <c r="M10" s="94">
        <f>'Revenue_Build Up'!M10</f>
        <v>1140803.6933664968</v>
      </c>
      <c r="N10" s="94">
        <f>'Revenue_Build Up'!N10</f>
        <v>1208741.4361204687</v>
      </c>
      <c r="O10" s="94">
        <f>'Revenue_Build Up'!O10</f>
        <v>1272170.4908936713</v>
      </c>
      <c r="P10" s="94">
        <f>'Revenue_Build Up'!P10</f>
        <v>1330987.4097932768</v>
      </c>
      <c r="Q10" s="94">
        <f>'Revenue_Build Up'!Q10</f>
        <v>1385197.9927536482</v>
      </c>
    </row>
    <row r="12" spans="2:17">
      <c r="B12" t="s">
        <v>102</v>
      </c>
      <c r="C12" s="66">
        <f>'P&amp;L_Input'!C14</f>
        <v>143060.44620000001</v>
      </c>
      <c r="D12" s="66">
        <f>'P&amp;L_Input'!D14</f>
        <v>141765.283</v>
      </c>
      <c r="E12" s="66">
        <f>'P&amp;L_Input'!E14</f>
        <v>163518.78320000001</v>
      </c>
      <c r="F12" s="66">
        <f>'P&amp;L_Input'!F14</f>
        <v>223278.71350000001</v>
      </c>
      <c r="G12" s="66">
        <f>'P&amp;L_Input'!G14</f>
        <v>259228.11910000001</v>
      </c>
      <c r="H12" s="60">
        <f>H13*H$10</f>
        <v>273779.38988900516</v>
      </c>
      <c r="I12" s="60">
        <f t="shared" ref="I12:Q12" si="1">I13*I$10</f>
        <v>304406.58027612854</v>
      </c>
      <c r="J12" s="60">
        <f t="shared" si="1"/>
        <v>334435.23604977655</v>
      </c>
      <c r="K12" s="60">
        <f t="shared" si="1"/>
        <v>363522.06498482847</v>
      </c>
      <c r="L12" s="60">
        <f t="shared" si="1"/>
        <v>391392.8727383283</v>
      </c>
      <c r="M12" s="60">
        <f t="shared" si="1"/>
        <v>417841.45114056853</v>
      </c>
      <c r="N12" s="60">
        <f t="shared" si="1"/>
        <v>442724.96544245863</v>
      </c>
      <c r="O12" s="60">
        <f t="shared" si="1"/>
        <v>465957.0854338471</v>
      </c>
      <c r="P12" s="60">
        <f t="shared" si="1"/>
        <v>487499.92132010235</v>
      </c>
      <c r="Q12" s="60">
        <f t="shared" si="1"/>
        <v>507355.59743953502</v>
      </c>
    </row>
    <row r="13" spans="2:17">
      <c r="B13" s="30" t="s">
        <v>97</v>
      </c>
      <c r="C13" s="32">
        <f>C12/C$10</f>
        <v>0.37125974301247705</v>
      </c>
      <c r="D13" s="32">
        <f t="shared" ref="D13:G13" si="2">D12/D$10</f>
        <v>0.34834068047226957</v>
      </c>
      <c r="E13" s="32">
        <f t="shared" si="2"/>
        <v>0.34542951811311901</v>
      </c>
      <c r="F13" s="32">
        <f t="shared" si="2"/>
        <v>0.37552663560155358</v>
      </c>
      <c r="G13" s="32">
        <f t="shared" si="2"/>
        <v>0.39079027752334144</v>
      </c>
      <c r="H13" s="31">
        <f>AVERAGE($C$13:$G$13)</f>
        <v>0.36626937094455214</v>
      </c>
      <c r="I13" s="31">
        <f t="shared" ref="I13:Q13" si="3">AVERAGE($C$13:$G$13)</f>
        <v>0.36626937094455214</v>
      </c>
      <c r="J13" s="31">
        <f t="shared" si="3"/>
        <v>0.36626937094455214</v>
      </c>
      <c r="K13" s="31">
        <f t="shared" si="3"/>
        <v>0.36626937094455214</v>
      </c>
      <c r="L13" s="31">
        <f t="shared" si="3"/>
        <v>0.36626937094455214</v>
      </c>
      <c r="M13" s="31">
        <f t="shared" si="3"/>
        <v>0.36626937094455214</v>
      </c>
      <c r="N13" s="31">
        <f t="shared" si="3"/>
        <v>0.36626937094455214</v>
      </c>
      <c r="O13" s="31">
        <f t="shared" si="3"/>
        <v>0.36626937094455214</v>
      </c>
      <c r="P13" s="31">
        <f t="shared" si="3"/>
        <v>0.36626937094455214</v>
      </c>
      <c r="Q13" s="31">
        <f t="shared" si="3"/>
        <v>0.36626937094455214</v>
      </c>
    </row>
    <row r="15" spans="2:17">
      <c r="B15" t="s">
        <v>103</v>
      </c>
      <c r="C15" s="66">
        <f>'P&amp;L_Input'!C15</f>
        <v>142899.03829999999</v>
      </c>
      <c r="D15" s="66">
        <f>'P&amp;L_Input'!D15</f>
        <v>161647.85279999999</v>
      </c>
      <c r="E15" s="66">
        <f>'P&amp;L_Input'!E15</f>
        <v>168795.16510000001</v>
      </c>
      <c r="F15" s="66">
        <f>'P&amp;L_Input'!F15</f>
        <v>200776.4461</v>
      </c>
      <c r="G15" s="66">
        <f>'P&amp;L_Input'!G15</f>
        <v>198820.5968</v>
      </c>
      <c r="H15" s="60">
        <f>H16*H$10</f>
        <v>263414.95136442885</v>
      </c>
      <c r="I15" s="60">
        <f t="shared" ref="I15" si="4">I16*I$10</f>
        <v>292882.69131930266</v>
      </c>
      <c r="J15" s="60">
        <f t="shared" ref="J15" si="5">J16*J$10</f>
        <v>321774.55532470311</v>
      </c>
      <c r="K15" s="60">
        <f t="shared" ref="K15" si="6">K16*K$10</f>
        <v>349760.24713436945</v>
      </c>
      <c r="L15" s="60">
        <f t="shared" ref="L15" si="7">L16*L$10</f>
        <v>376575.95255270612</v>
      </c>
      <c r="M15" s="60">
        <f t="shared" ref="M15" si="8">M16*M$10</f>
        <v>402023.26981171861</v>
      </c>
      <c r="N15" s="60">
        <f t="shared" ref="N15" si="9">N16*N$10</f>
        <v>425964.77144288894</v>
      </c>
      <c r="O15" s="60">
        <f t="shared" ref="O15" si="10">O16*O$10</f>
        <v>448317.39543005324</v>
      </c>
      <c r="P15" s="60">
        <f t="shared" ref="P15" si="11">P16*P$10</f>
        <v>469044.68636868236</v>
      </c>
      <c r="Q15" s="60">
        <f t="shared" ref="Q15" si="12">Q16*Q$10</f>
        <v>488148.68817622773</v>
      </c>
    </row>
    <row r="16" spans="2:17">
      <c r="B16" s="30" t="s">
        <v>97</v>
      </c>
      <c r="C16" s="32">
        <f>C15/C$10</f>
        <v>0.37084086933309246</v>
      </c>
      <c r="D16" s="32">
        <f t="shared" ref="D16" si="13">D15/D$10</f>
        <v>0.39719543353384523</v>
      </c>
      <c r="E16" s="32">
        <f t="shared" ref="E16" si="14">E15/E$10</f>
        <v>0.35657574866492381</v>
      </c>
      <c r="F16" s="32">
        <f t="shared" ref="F16" si="15">F15/F$10</f>
        <v>0.33768065988059209</v>
      </c>
      <c r="G16" s="32">
        <f t="shared" ref="G16" si="16">G15/G$10</f>
        <v>0.29972503164618447</v>
      </c>
      <c r="H16" s="31">
        <f>AVERAGE($C$16:$G$16)</f>
        <v>0.35240354861172757</v>
      </c>
      <c r="I16" s="31">
        <f t="shared" ref="I16:Q16" si="17">AVERAGE($C$16:$G$16)</f>
        <v>0.35240354861172757</v>
      </c>
      <c r="J16" s="31">
        <f t="shared" si="17"/>
        <v>0.35240354861172757</v>
      </c>
      <c r="K16" s="31">
        <f t="shared" si="17"/>
        <v>0.35240354861172757</v>
      </c>
      <c r="L16" s="31">
        <f t="shared" si="17"/>
        <v>0.35240354861172757</v>
      </c>
      <c r="M16" s="31">
        <f t="shared" si="17"/>
        <v>0.35240354861172757</v>
      </c>
      <c r="N16" s="31">
        <f t="shared" si="17"/>
        <v>0.35240354861172757</v>
      </c>
      <c r="O16" s="31">
        <f t="shared" si="17"/>
        <v>0.35240354861172757</v>
      </c>
      <c r="P16" s="31">
        <f t="shared" si="17"/>
        <v>0.35240354861172757</v>
      </c>
      <c r="Q16" s="31">
        <f t="shared" si="17"/>
        <v>0.35240354861172757</v>
      </c>
    </row>
    <row r="18" spans="2:17">
      <c r="B18" t="s">
        <v>104</v>
      </c>
      <c r="C18" s="66">
        <f>'P&amp;L_Input'!C16</f>
        <v>54618.4087</v>
      </c>
      <c r="D18" s="66">
        <f>'P&amp;L_Input'!D16</f>
        <v>40059.148399999998</v>
      </c>
      <c r="E18" s="66">
        <f>'P&amp;L_Input'!E16</f>
        <v>37024.4087</v>
      </c>
      <c r="F18" s="66">
        <f>'P&amp;L_Input'!F16</f>
        <v>30806.756700000002</v>
      </c>
      <c r="G18" s="66">
        <f>'P&amp;L_Input'!G16</f>
        <v>46809.309099999999</v>
      </c>
      <c r="H18" s="60">
        <f>H19*H$10</f>
        <v>65892.769794532578</v>
      </c>
      <c r="I18" s="60">
        <f t="shared" ref="I18" si="18">I19*I$10</f>
        <v>73264.071215177188</v>
      </c>
      <c r="J18" s="60">
        <f t="shared" ref="J18" si="19">J19*J$10</f>
        <v>80491.31831706618</v>
      </c>
      <c r="K18" s="60">
        <f t="shared" ref="K18" si="20">K19*K$10</f>
        <v>87491.888096432536</v>
      </c>
      <c r="L18" s="60">
        <f t="shared" ref="L18" si="21">L19*L$10</f>
        <v>94199.787913265274</v>
      </c>
      <c r="M18" s="60">
        <f t="shared" ref="M18" si="22">M19*M$10</f>
        <v>100565.38792705013</v>
      </c>
      <c r="N18" s="60">
        <f t="shared" ref="N18" si="23">N19*N$10</f>
        <v>106554.31090711134</v>
      </c>
      <c r="O18" s="60">
        <f t="shared" ref="O18" si="24">O19*O$10</f>
        <v>112145.77904155398</v>
      </c>
      <c r="P18" s="60">
        <f t="shared" ref="P18" si="25">P19*P$10</f>
        <v>117330.67307740492</v>
      </c>
      <c r="Q18" s="60">
        <f t="shared" ref="Q18" si="26">Q19*Q$10</f>
        <v>122109.50429688788</v>
      </c>
    </row>
    <row r="19" spans="2:17">
      <c r="B19" s="30" t="s">
        <v>97</v>
      </c>
      <c r="C19" s="32">
        <f>C18/C$10</f>
        <v>0.14174159885789897</v>
      </c>
      <c r="D19" s="32">
        <f t="shared" ref="D19" si="27">D18/D$10</f>
        <v>9.8431934233119883E-2</v>
      </c>
      <c r="E19" s="32">
        <f t="shared" ref="E19" si="28">E18/E$10</f>
        <v>7.8213177748647597E-2</v>
      </c>
      <c r="F19" s="32">
        <f t="shared" ref="F19" si="29">F18/F$10</f>
        <v>5.1813079339274405E-2</v>
      </c>
      <c r="G19" s="32">
        <f t="shared" ref="G19" si="30">G18/G$10</f>
        <v>7.0565735528128795E-2</v>
      </c>
      <c r="H19" s="31">
        <f>AVERAGE($C$19:$G$19)</f>
        <v>8.8153105141413932E-2</v>
      </c>
      <c r="I19" s="31">
        <f t="shared" ref="I19:Q19" si="31">AVERAGE($C$19:$G$19)</f>
        <v>8.8153105141413932E-2</v>
      </c>
      <c r="J19" s="31">
        <f t="shared" si="31"/>
        <v>8.8153105141413932E-2</v>
      </c>
      <c r="K19" s="31">
        <f t="shared" si="31"/>
        <v>8.8153105141413932E-2</v>
      </c>
      <c r="L19" s="31">
        <f t="shared" si="31"/>
        <v>8.8153105141413932E-2</v>
      </c>
      <c r="M19" s="31">
        <f t="shared" si="31"/>
        <v>8.8153105141413932E-2</v>
      </c>
      <c r="N19" s="31">
        <f t="shared" si="31"/>
        <v>8.8153105141413932E-2</v>
      </c>
      <c r="O19" s="31">
        <f t="shared" si="31"/>
        <v>8.8153105141413932E-2</v>
      </c>
      <c r="P19" s="31">
        <f t="shared" si="31"/>
        <v>8.8153105141413932E-2</v>
      </c>
      <c r="Q19" s="31">
        <f t="shared" si="31"/>
        <v>8.8153105141413932E-2</v>
      </c>
    </row>
    <row r="21" spans="2:17">
      <c r="B21" t="s">
        <v>105</v>
      </c>
      <c r="C21" s="66">
        <f>'P&amp;L_Input'!C31</f>
        <v>-3819.4933999999998</v>
      </c>
      <c r="D21" s="66">
        <f>'P&amp;L_Input'!D31</f>
        <v>-9024.3029999999999</v>
      </c>
      <c r="E21" s="66">
        <f>'P&amp;L_Input'!E31</f>
        <v>-17323.7222</v>
      </c>
      <c r="F21" s="66">
        <f>'P&amp;L_Input'!F31</f>
        <v>-31268.268199999999</v>
      </c>
      <c r="G21" s="66">
        <f>'P&amp;L_Input'!G31</f>
        <v>-33761.445099999997</v>
      </c>
      <c r="H21" s="60">
        <f>H22*-'Income Statement'!H28</f>
        <v>-31282.517624788332</v>
      </c>
      <c r="I21" s="60">
        <f>I22*-'Income Statement'!I28</f>
        <v>-34025.674315673881</v>
      </c>
      <c r="J21" s="60">
        <f>J22*-'Income Statement'!J28</f>
        <v>-37401.595674442673</v>
      </c>
      <c r="K21" s="60">
        <f>K22*-'Income Statement'!K28</f>
        <v>-40663.65305384215</v>
      </c>
      <c r="L21" s="60">
        <f>L22*-'Income Statement'!L28</f>
        <v>-43782.342438230757</v>
      </c>
      <c r="M21" s="60">
        <f>M22*-'Income Statement'!M28</f>
        <v>-46735.820043597043</v>
      </c>
      <c r="N21" s="60">
        <f>N22*-'Income Statement'!N28</f>
        <v>-49509.305616322577</v>
      </c>
      <c r="O21" s="60">
        <f>O22*-'Income Statement'!O28</f>
        <v>-52094.257523269851</v>
      </c>
      <c r="P21" s="60">
        <f>P22*-'Income Statement'!P28</f>
        <v>-54487.435579956182</v>
      </c>
      <c r="Q21" s="60">
        <f>Q22*-'Income Statement'!Q28</f>
        <v>-56689.940873783351</v>
      </c>
    </row>
    <row r="22" spans="2:17">
      <c r="B22" s="30" t="s">
        <v>106</v>
      </c>
      <c r="C22" s="32">
        <f>-C21/'P&amp;L_Input'!C29</f>
        <v>0.14564349043016364</v>
      </c>
      <c r="D22" s="32">
        <f>-D21/'P&amp;L_Input'!D29</f>
        <v>0.20325838651216141</v>
      </c>
      <c r="E22" s="32">
        <f>-E21/'P&amp;L_Input'!E29</f>
        <v>0.23740266303896887</v>
      </c>
      <c r="F22" s="32">
        <f>-F21/'P&amp;L_Input'!F29</f>
        <v>0.31791901708417086</v>
      </c>
      <c r="G22" s="32">
        <f>-G21/'P&amp;L_Input'!G29</f>
        <v>0.30327525446987991</v>
      </c>
      <c r="H22" s="432">
        <v>0.3</v>
      </c>
      <c r="I22" s="432">
        <v>0.3</v>
      </c>
      <c r="J22" s="432">
        <v>0.3</v>
      </c>
      <c r="K22" s="432">
        <v>0.3</v>
      </c>
      <c r="L22" s="432">
        <v>0.3</v>
      </c>
      <c r="M22" s="432">
        <v>0.3</v>
      </c>
      <c r="N22" s="432">
        <v>0.3</v>
      </c>
      <c r="O22" s="432">
        <v>0.3</v>
      </c>
      <c r="P22" s="432">
        <v>0.3</v>
      </c>
      <c r="Q22" s="432">
        <v>0.3</v>
      </c>
    </row>
    <row r="24" spans="2:17">
      <c r="B24" s="81"/>
      <c r="C24" s="83"/>
      <c r="D24" s="83"/>
      <c r="E24" s="83"/>
      <c r="F24" s="83"/>
      <c r="G24" s="83"/>
      <c r="H24" s="81"/>
      <c r="I24" s="81"/>
      <c r="J24" s="81"/>
      <c r="K24" s="81"/>
      <c r="L24" s="81"/>
      <c r="M24" s="81"/>
      <c r="N24" s="81"/>
      <c r="O24" s="81"/>
      <c r="P24" s="81"/>
      <c r="Q24" s="81"/>
    </row>
  </sheetData>
  <mergeCells count="1">
    <mergeCell ref="B7:B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B1:Q17"/>
  <sheetViews>
    <sheetView showGridLines="0" topLeftCell="E1" workbookViewId="0">
      <selection activeCell="B15" sqref="B15:Q15"/>
    </sheetView>
  </sheetViews>
  <sheetFormatPr defaultRowHeight="15"/>
  <cols>
    <col min="1" max="1" width="1.85546875" customWidth="1"/>
    <col min="2" max="2" width="21.42578125" bestFit="1" customWidth="1"/>
    <col min="3" max="9" width="13.28515625" bestFit="1" customWidth="1"/>
    <col min="10" max="17" width="14.28515625" bestFit="1" customWidth="1"/>
  </cols>
  <sheetData>
    <row r="1" spans="2:17" ht="16.5" thickTop="1">
      <c r="B1" s="248" t="s">
        <v>318</v>
      </c>
    </row>
    <row r="2" spans="2:17">
      <c r="B2" s="10" t="s">
        <v>319</v>
      </c>
    </row>
    <row r="3" spans="2:17">
      <c r="C3" s="64">
        <v>10000</v>
      </c>
    </row>
    <row r="4" spans="2:17">
      <c r="B4" s="6" t="s">
        <v>355</v>
      </c>
    </row>
    <row r="5" spans="2:17">
      <c r="B5" s="148" t="s">
        <v>143</v>
      </c>
      <c r="C5" s="199"/>
      <c r="D5" s="199"/>
      <c r="E5" s="199"/>
      <c r="F5" s="199"/>
      <c r="G5" s="199"/>
      <c r="H5" s="199"/>
      <c r="I5" s="199"/>
      <c r="J5" s="199"/>
      <c r="K5" s="199"/>
      <c r="L5" s="199"/>
      <c r="M5" s="199"/>
      <c r="N5" s="199"/>
      <c r="O5" s="199"/>
      <c r="P5" s="199"/>
      <c r="Q5" s="199"/>
    </row>
    <row r="7" spans="2:17">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2:17">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10" spans="2:17">
      <c r="B10" t="s">
        <v>139</v>
      </c>
      <c r="D10" s="85">
        <f>C12</f>
        <v>433796.20809999999</v>
      </c>
      <c r="E10" s="85">
        <f t="shared" ref="E10:Q10" si="1">D12</f>
        <v>449159.78360000002</v>
      </c>
      <c r="F10" s="85">
        <f t="shared" si="1"/>
        <v>521151.9498</v>
      </c>
      <c r="G10" s="85">
        <f t="shared" si="1"/>
        <v>639609.50289999996</v>
      </c>
      <c r="H10" s="85">
        <f t="shared" si="1"/>
        <v>610857.245</v>
      </c>
      <c r="I10" s="85">
        <f t="shared" si="1"/>
        <v>796359.52193562745</v>
      </c>
      <c r="J10" s="85">
        <f t="shared" si="1"/>
        <v>885446.77830218326</v>
      </c>
      <c r="K10" s="85">
        <f t="shared" si="1"/>
        <v>972793.03897566488</v>
      </c>
      <c r="L10" s="85">
        <f t="shared" si="1"/>
        <v>1057399.7480297405</v>
      </c>
      <c r="M10" s="85">
        <f t="shared" si="1"/>
        <v>1138469.3389420994</v>
      </c>
      <c r="N10" s="85">
        <f t="shared" si="1"/>
        <v>1215402.0008960329</v>
      </c>
      <c r="O10" s="85">
        <f t="shared" si="1"/>
        <v>1287782.2613735122</v>
      </c>
      <c r="P10" s="85">
        <f t="shared" si="1"/>
        <v>1355359.006202237</v>
      </c>
      <c r="Q10" s="85">
        <f t="shared" si="1"/>
        <v>1418022.0229270209</v>
      </c>
    </row>
    <row r="11" spans="2:17">
      <c r="B11" t="s">
        <v>138</v>
      </c>
      <c r="D11" s="60">
        <f>D12-D10</f>
        <v>15363.575500000035</v>
      </c>
      <c r="E11" s="60">
        <f t="shared" ref="E11:Q11" si="2">E12-E10</f>
        <v>71992.166199999978</v>
      </c>
      <c r="F11" s="60">
        <f t="shared" si="2"/>
        <v>118457.55309999996</v>
      </c>
      <c r="G11" s="60">
        <f t="shared" si="2"/>
        <v>-28752.257899999968</v>
      </c>
      <c r="H11" s="60">
        <f t="shared" si="2"/>
        <v>185502.27693562745</v>
      </c>
      <c r="I11" s="60">
        <f t="shared" si="2"/>
        <v>89087.256366555812</v>
      </c>
      <c r="J11" s="60">
        <f t="shared" si="2"/>
        <v>87346.260673481622</v>
      </c>
      <c r="K11" s="60">
        <f t="shared" si="2"/>
        <v>84606.709054075647</v>
      </c>
      <c r="L11" s="60">
        <f t="shared" si="2"/>
        <v>81069.590912358835</v>
      </c>
      <c r="M11" s="60">
        <f t="shared" si="2"/>
        <v>76932.661953933537</v>
      </c>
      <c r="N11" s="60">
        <f t="shared" si="2"/>
        <v>72380.260477479314</v>
      </c>
      <c r="O11" s="60">
        <f t="shared" si="2"/>
        <v>67576.744828724768</v>
      </c>
      <c r="P11" s="60">
        <f t="shared" si="2"/>
        <v>62663.016724783927</v>
      </c>
      <c r="Q11" s="60">
        <f t="shared" si="2"/>
        <v>57755.467818781501</v>
      </c>
    </row>
    <row r="12" spans="2:17">
      <c r="B12" s="7" t="s">
        <v>140</v>
      </c>
      <c r="C12" s="84">
        <f>BS_Items!C18</f>
        <v>433796.20809999999</v>
      </c>
      <c r="D12" s="84">
        <f>BS_Items!D18</f>
        <v>449159.78360000002</v>
      </c>
      <c r="E12" s="84">
        <f>BS_Items!E18</f>
        <v>521151.9498</v>
      </c>
      <c r="F12" s="84">
        <f>BS_Items!F18</f>
        <v>639609.50289999996</v>
      </c>
      <c r="G12" s="84">
        <f>BS_Items!G18</f>
        <v>610857.245</v>
      </c>
      <c r="H12" s="84">
        <f>BS_Items!H18</f>
        <v>796359.52193562745</v>
      </c>
      <c r="I12" s="84">
        <f>BS_Items!I18</f>
        <v>885446.77830218326</v>
      </c>
      <c r="J12" s="84">
        <f>BS_Items!J18</f>
        <v>972793.03897566488</v>
      </c>
      <c r="K12" s="84">
        <f>BS_Items!K18</f>
        <v>1057399.7480297405</v>
      </c>
      <c r="L12" s="84">
        <f>BS_Items!L18</f>
        <v>1138469.3389420994</v>
      </c>
      <c r="M12" s="84">
        <f>BS_Items!M18</f>
        <v>1215402.0008960329</v>
      </c>
      <c r="N12" s="84">
        <f>BS_Items!N18</f>
        <v>1287782.2613735122</v>
      </c>
      <c r="O12" s="84">
        <f>BS_Items!O18</f>
        <v>1355359.006202237</v>
      </c>
      <c r="P12" s="84">
        <f>BS_Items!P18</f>
        <v>1418022.0229270209</v>
      </c>
      <c r="Q12" s="84">
        <f>BS_Items!Q18</f>
        <v>1475777.4907458024</v>
      </c>
    </row>
    <row r="14" spans="2:17">
      <c r="B14" t="s">
        <v>141</v>
      </c>
      <c r="C14" s="66">
        <f>'P&amp;L_Input'!C25</f>
        <v>12949.7209</v>
      </c>
      <c r="D14" s="66">
        <f>'P&amp;L_Input'!D25</f>
        <v>14429.061100000001</v>
      </c>
      <c r="E14" s="66">
        <f>'P&amp;L_Input'!E25</f>
        <v>26462.033500000001</v>
      </c>
      <c r="F14" s="66">
        <f>'P&amp;L_Input'!F25</f>
        <v>36457.334600000002</v>
      </c>
      <c r="G14" s="66">
        <f>'P&amp;L_Input'!G25</f>
        <v>41715.216200000003</v>
      </c>
      <c r="H14" s="60">
        <f t="shared" ref="H14:Q14" si="3">H15*AVERAGE(H12,H10)</f>
        <v>34704.027809300358</v>
      </c>
      <c r="I14" s="60">
        <f t="shared" si="3"/>
        <v>41475.808123297778</v>
      </c>
      <c r="J14" s="60">
        <f t="shared" si="3"/>
        <v>45826.917224409153</v>
      </c>
      <c r="K14" s="60">
        <f t="shared" si="3"/>
        <v>50067.529462360057</v>
      </c>
      <c r="L14" s="60">
        <f t="shared" si="3"/>
        <v>54153.349825272307</v>
      </c>
      <c r="M14" s="60">
        <f t="shared" si="3"/>
        <v>58049.91694004913</v>
      </c>
      <c r="N14" s="60">
        <f t="shared" si="3"/>
        <v>61732.192431714517</v>
      </c>
      <c r="O14" s="60">
        <f t="shared" si="3"/>
        <v>65183.73729557349</v>
      </c>
      <c r="P14" s="60">
        <f t="shared" si="3"/>
        <v>68395.640687452542</v>
      </c>
      <c r="Q14" s="60">
        <f t="shared" si="3"/>
        <v>71365.336994762722</v>
      </c>
    </row>
    <row r="15" spans="2:17">
      <c r="B15" s="30" t="s">
        <v>142</v>
      </c>
      <c r="C15" s="32">
        <f>C14/AVERAGE(C12,C10)</f>
        <v>2.9852084131207511E-2</v>
      </c>
      <c r="D15" s="32">
        <f>D14/AVERAGE(D12,D10)</f>
        <v>3.2683534028052741E-2</v>
      </c>
      <c r="E15" s="32">
        <f>E14/AVERAGE(E12,E10)</f>
        <v>5.45433649601995E-2</v>
      </c>
      <c r="F15" s="32">
        <f>F14/AVERAGE(F12,F10)</f>
        <v>6.2816239314629332E-2</v>
      </c>
      <c r="G15" s="32">
        <f>G14/AVERAGE(G12,G10)</f>
        <v>6.6719432995808028E-2</v>
      </c>
      <c r="H15" s="31">
        <f>AVERAGE(C15:G15)</f>
        <v>4.9322931085979425E-2</v>
      </c>
      <c r="I15" s="31">
        <f>H15</f>
        <v>4.9322931085979425E-2</v>
      </c>
      <c r="J15" s="31">
        <f t="shared" ref="J15:Q15" si="4">I15</f>
        <v>4.9322931085979425E-2</v>
      </c>
      <c r="K15" s="31">
        <f t="shared" si="4"/>
        <v>4.9322931085979425E-2</v>
      </c>
      <c r="L15" s="31">
        <f t="shared" si="4"/>
        <v>4.9322931085979425E-2</v>
      </c>
      <c r="M15" s="31">
        <f t="shared" si="4"/>
        <v>4.9322931085979425E-2</v>
      </c>
      <c r="N15" s="31">
        <f t="shared" si="4"/>
        <v>4.9322931085979425E-2</v>
      </c>
      <c r="O15" s="31">
        <f t="shared" si="4"/>
        <v>4.9322931085979425E-2</v>
      </c>
      <c r="P15" s="31">
        <f t="shared" si="4"/>
        <v>4.9322931085979425E-2</v>
      </c>
      <c r="Q15" s="31">
        <f t="shared" si="4"/>
        <v>4.9322931085979425E-2</v>
      </c>
    </row>
    <row r="16" spans="2:17">
      <c r="C16" s="17"/>
      <c r="D16" s="17"/>
      <c r="E16" s="17"/>
      <c r="F16" s="17"/>
      <c r="G16" s="17"/>
      <c r="H16" s="16"/>
    </row>
    <row r="17" spans="2:17">
      <c r="B17" s="81"/>
      <c r="C17" s="81"/>
      <c r="D17" s="81"/>
      <c r="E17" s="81"/>
      <c r="F17" s="81"/>
      <c r="G17" s="81"/>
      <c r="H17" s="81"/>
      <c r="I17" s="81"/>
      <c r="J17" s="81"/>
      <c r="K17" s="81"/>
      <c r="L17" s="81"/>
      <c r="M17" s="81"/>
      <c r="N17" s="81"/>
      <c r="O17" s="81"/>
      <c r="P17" s="81"/>
      <c r="Q17" s="81"/>
    </row>
  </sheetData>
  <mergeCells count="1">
    <mergeCell ref="B7:B8"/>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R60"/>
  <sheetViews>
    <sheetView showGridLines="0" workbookViewId="0">
      <selection activeCell="H7" sqref="H7"/>
    </sheetView>
  </sheetViews>
  <sheetFormatPr defaultRowHeight="15"/>
  <cols>
    <col min="1" max="1" width="1.85546875" customWidth="1"/>
    <col min="2" max="2" width="30.28515625" bestFit="1" customWidth="1"/>
    <col min="3" max="3" width="17" bestFit="1" customWidth="1"/>
    <col min="4" max="4" width="15.85546875" customWidth="1"/>
    <col min="5" max="5" width="16" bestFit="1" customWidth="1"/>
    <col min="6" max="7" width="15.85546875" customWidth="1"/>
    <col min="8" max="9" width="11.5703125" bestFit="1" customWidth="1"/>
    <col min="10" max="17" width="13.28515625" bestFit="1" customWidth="1"/>
  </cols>
  <sheetData>
    <row r="1" spans="1:18" ht="16.5" thickTop="1">
      <c r="B1" s="248" t="s">
        <v>318</v>
      </c>
    </row>
    <row r="2" spans="1:18">
      <c r="B2" s="10" t="s">
        <v>319</v>
      </c>
    </row>
    <row r="3" spans="1:18">
      <c r="C3" s="64">
        <v>10000</v>
      </c>
    </row>
    <row r="4" spans="1:18">
      <c r="B4" s="6" t="s">
        <v>355</v>
      </c>
    </row>
    <row r="5" spans="1:18">
      <c r="B5" s="148" t="s">
        <v>107</v>
      </c>
      <c r="C5" s="199"/>
      <c r="D5" s="199"/>
      <c r="E5" s="199"/>
      <c r="F5" s="199"/>
      <c r="G5" s="199"/>
      <c r="H5" s="199"/>
      <c r="I5" s="199"/>
      <c r="J5" s="199"/>
      <c r="K5" s="199"/>
      <c r="L5" s="199"/>
      <c r="M5" s="199"/>
      <c r="N5" s="199"/>
      <c r="O5" s="199"/>
      <c r="P5" s="199"/>
      <c r="Q5" s="199"/>
      <c r="R5" s="199"/>
    </row>
    <row r="7" spans="1:18">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1:18">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9" spans="1:18">
      <c r="C9" s="64">
        <v>10000</v>
      </c>
    </row>
    <row r="11" spans="1:18">
      <c r="A11" t="s">
        <v>149</v>
      </c>
      <c r="B11" s="1" t="s">
        <v>109</v>
      </c>
    </row>
    <row r="12" spans="1:18">
      <c r="B12" t="s">
        <v>114</v>
      </c>
      <c r="C12" s="93">
        <v>31094.3554</v>
      </c>
      <c r="D12" s="92">
        <f>C15</f>
        <v>31130.034299999999</v>
      </c>
      <c r="E12" s="92">
        <f t="shared" ref="E12:Q12" si="1">D15</f>
        <v>31336.608700000001</v>
      </c>
      <c r="F12" s="92">
        <f t="shared" si="1"/>
        <v>35945.976499999997</v>
      </c>
      <c r="G12" s="92">
        <f t="shared" si="1"/>
        <v>36023.909199999995</v>
      </c>
      <c r="H12" s="92">
        <f t="shared" si="1"/>
        <v>36413.533099999993</v>
      </c>
      <c r="I12" s="92">
        <f t="shared" si="1"/>
        <v>37858.756259999995</v>
      </c>
      <c r="J12" s="92">
        <f t="shared" si="1"/>
        <v>39311.205535799993</v>
      </c>
      <c r="K12" s="92">
        <f t="shared" si="1"/>
        <v>40770.917057978993</v>
      </c>
      <c r="L12" s="92">
        <f t="shared" si="1"/>
        <v>42237.927137768886</v>
      </c>
      <c r="M12" s="92">
        <f t="shared" si="1"/>
        <v>43712.272267957727</v>
      </c>
      <c r="N12" s="92">
        <f t="shared" si="1"/>
        <v>45193.989123797517</v>
      </c>
      <c r="O12" s="92">
        <f t="shared" si="1"/>
        <v>46683.114563916504</v>
      </c>
      <c r="P12" s="92">
        <f t="shared" si="1"/>
        <v>48179.685631236083</v>
      </c>
      <c r="Q12" s="92">
        <f t="shared" si="1"/>
        <v>49683.739553892265</v>
      </c>
    </row>
    <row r="13" spans="1:18">
      <c r="B13" t="s">
        <v>110</v>
      </c>
      <c r="C13" s="93">
        <v>81.649600000000007</v>
      </c>
      <c r="D13" s="93">
        <v>226.5368</v>
      </c>
      <c r="E13" s="93">
        <v>6445.0955000000004</v>
      </c>
      <c r="F13" s="93">
        <v>82.621899999999997</v>
      </c>
      <c r="G13" s="93">
        <v>390.21199999999999</v>
      </c>
      <c r="H13" s="69">
        <f>AVERAGE(C13:G13)</f>
        <v>1445.22316</v>
      </c>
      <c r="I13" s="69">
        <f>H13*(1+Assumptions!$C$16)</f>
        <v>1452.4492757999999</v>
      </c>
      <c r="J13" s="69">
        <f>I13*(1+Assumptions!$C$16)</f>
        <v>1459.7115221789998</v>
      </c>
      <c r="K13" s="69">
        <f>J13*(1+Assumptions!$C$16)</f>
        <v>1467.0100797898947</v>
      </c>
      <c r="L13" s="69">
        <f>K13*(1+Assumptions!$C$16)</f>
        <v>1474.345130188844</v>
      </c>
      <c r="M13" s="69">
        <f>L13*(1+Assumptions!$C$16)</f>
        <v>1481.716855839788</v>
      </c>
      <c r="N13" s="69">
        <f>M13*(1+Assumptions!$C$16)</f>
        <v>1489.1254401189867</v>
      </c>
      <c r="O13" s="69">
        <f>N13*(1+Assumptions!$C$16)</f>
        <v>1496.5710673195815</v>
      </c>
      <c r="P13" s="69">
        <f>O13*(1+Assumptions!$C$16)</f>
        <v>1504.0539226561793</v>
      </c>
      <c r="Q13" s="69">
        <f>P13*(1+Assumptions!$C$16)</f>
        <v>1511.5741922694601</v>
      </c>
    </row>
    <row r="14" spans="1:18">
      <c r="B14" t="s">
        <v>111</v>
      </c>
      <c r="C14" s="93">
        <v>-45.970700000000001</v>
      </c>
      <c r="D14" s="93">
        <v>-19.962399999999999</v>
      </c>
      <c r="E14" s="93">
        <v>-1835.7276999999999</v>
      </c>
      <c r="F14" s="93">
        <v>-4.6891999999999996</v>
      </c>
      <c r="G14" s="93">
        <v>-0.58809999999999996</v>
      </c>
      <c r="H14" s="69"/>
      <c r="I14" s="69"/>
      <c r="J14" s="69"/>
      <c r="K14" s="69"/>
      <c r="L14" s="69"/>
      <c r="M14" s="69"/>
      <c r="N14" s="69"/>
      <c r="O14" s="69"/>
      <c r="P14" s="69"/>
      <c r="Q14" s="69"/>
    </row>
    <row r="15" spans="1:18">
      <c r="B15" s="7" t="s">
        <v>113</v>
      </c>
      <c r="C15" s="62">
        <f>SUM(C12:C14)</f>
        <v>31130.034299999999</v>
      </c>
      <c r="D15" s="62">
        <f>SUM(D12:D14)</f>
        <v>31336.608700000001</v>
      </c>
      <c r="E15" s="62">
        <f>SUM(E12:E14)</f>
        <v>35945.976499999997</v>
      </c>
      <c r="F15" s="62">
        <f>SUM(F12:F14)</f>
        <v>36023.909199999995</v>
      </c>
      <c r="G15" s="62">
        <f>SUM(G12:G14)</f>
        <v>36413.533099999993</v>
      </c>
      <c r="H15" s="62">
        <f t="shared" ref="H15:Q15" si="2">SUM(H12:H14)</f>
        <v>37858.756259999995</v>
      </c>
      <c r="I15" s="62">
        <f t="shared" si="2"/>
        <v>39311.205535799993</v>
      </c>
      <c r="J15" s="62">
        <f t="shared" si="2"/>
        <v>40770.917057978993</v>
      </c>
      <c r="K15" s="62">
        <f t="shared" si="2"/>
        <v>42237.927137768886</v>
      </c>
      <c r="L15" s="62">
        <f t="shared" si="2"/>
        <v>43712.272267957727</v>
      </c>
      <c r="M15" s="62">
        <f t="shared" si="2"/>
        <v>45193.989123797517</v>
      </c>
      <c r="N15" s="62">
        <f t="shared" si="2"/>
        <v>46683.114563916504</v>
      </c>
      <c r="O15" s="62">
        <f t="shared" si="2"/>
        <v>48179.685631236083</v>
      </c>
      <c r="P15" s="62">
        <f t="shared" si="2"/>
        <v>49683.739553892265</v>
      </c>
      <c r="Q15" s="62">
        <f t="shared" si="2"/>
        <v>51195.313746161723</v>
      </c>
    </row>
    <row r="16" spans="1:18">
      <c r="B16" t="s">
        <v>112</v>
      </c>
      <c r="C16" s="93">
        <v>1893.9793</v>
      </c>
      <c r="D16" s="93">
        <v>2197.6738999999998</v>
      </c>
      <c r="E16" s="93">
        <v>2545.9369000000002</v>
      </c>
      <c r="F16" s="93">
        <v>2885.7395000000001</v>
      </c>
      <c r="G16" s="93">
        <v>3227.4558000000002</v>
      </c>
      <c r="H16" s="69">
        <f>AVERAGE(C16:G16)</f>
        <v>2550.15708</v>
      </c>
      <c r="I16" s="69">
        <f>H16*(1+Assumptions!$C$17)</f>
        <v>2562.9078653999995</v>
      </c>
      <c r="J16" s="69">
        <f>I16*(1+Assumptions!$C$17)</f>
        <v>2575.7224047269992</v>
      </c>
      <c r="K16" s="69">
        <f>J16*(1+Assumptions!$C$17)</f>
        <v>2588.6010167506338</v>
      </c>
      <c r="L16" s="69">
        <f>K16*(1+Assumptions!$C$17)</f>
        <v>2601.5440218343865</v>
      </c>
      <c r="M16" s="69">
        <f>L16*(1+Assumptions!$C$17)</f>
        <v>2614.5517419435582</v>
      </c>
      <c r="N16" s="69">
        <f>M16*(1+Assumptions!$C$17)</f>
        <v>2627.6245006532758</v>
      </c>
      <c r="O16" s="69">
        <f>N16*(1+Assumptions!$C$17)</f>
        <v>2640.7626231565418</v>
      </c>
      <c r="P16" s="69">
        <f>O16*(1+Assumptions!$C$17)</f>
        <v>2653.9664362723242</v>
      </c>
      <c r="Q16" s="69">
        <f>P16*(1+Assumptions!$C$17)</f>
        <v>2667.2362684536856</v>
      </c>
    </row>
    <row r="17" spans="1:17">
      <c r="B17" s="7" t="s">
        <v>117</v>
      </c>
      <c r="C17" s="62">
        <f>C15-C16</f>
        <v>29236.055</v>
      </c>
      <c r="D17" s="62">
        <f>D15-D16</f>
        <v>29138.934800000003</v>
      </c>
      <c r="E17" s="62">
        <f>E15-E16</f>
        <v>33400.039599999996</v>
      </c>
      <c r="F17" s="62">
        <f>F15-F16</f>
        <v>33138.169699999991</v>
      </c>
      <c r="G17" s="62">
        <f>G15-G16</f>
        <v>33186.07729999999</v>
      </c>
      <c r="H17" s="62">
        <f t="shared" ref="H17:Q17" si="3">H15-H16</f>
        <v>35308.599179999997</v>
      </c>
      <c r="I17" s="62">
        <f t="shared" si="3"/>
        <v>36748.297670399996</v>
      </c>
      <c r="J17" s="62">
        <f t="shared" si="3"/>
        <v>38195.194653251994</v>
      </c>
      <c r="K17" s="62">
        <f t="shared" si="3"/>
        <v>39649.326121018254</v>
      </c>
      <c r="L17" s="62">
        <f t="shared" si="3"/>
        <v>41110.728246123341</v>
      </c>
      <c r="M17" s="62">
        <f t="shared" si="3"/>
        <v>42579.437381853961</v>
      </c>
      <c r="N17" s="62">
        <f t="shared" si="3"/>
        <v>44055.490063263227</v>
      </c>
      <c r="O17" s="62">
        <f t="shared" si="3"/>
        <v>45538.923008079539</v>
      </c>
      <c r="P17" s="62">
        <f t="shared" si="3"/>
        <v>47029.773117619938</v>
      </c>
      <c r="Q17" s="62">
        <f t="shared" si="3"/>
        <v>48528.077477708037</v>
      </c>
    </row>
    <row r="18" spans="1:17">
      <c r="B18" t="s">
        <v>115</v>
      </c>
      <c r="C18" s="93">
        <v>351.83449999999999</v>
      </c>
      <c r="D18" s="93">
        <v>252.96549999999999</v>
      </c>
      <c r="E18" s="93">
        <v>317.54599999999999</v>
      </c>
      <c r="F18" s="93">
        <v>528.43409999999994</v>
      </c>
      <c r="G18" s="93">
        <v>532.81219999999996</v>
      </c>
      <c r="H18" s="69">
        <v>0</v>
      </c>
      <c r="I18" s="69">
        <v>0</v>
      </c>
      <c r="J18" s="69">
        <v>0</v>
      </c>
      <c r="K18" s="69">
        <v>0</v>
      </c>
      <c r="L18" s="69">
        <v>0</v>
      </c>
      <c r="M18" s="69">
        <v>0</v>
      </c>
      <c r="N18" s="69">
        <v>0</v>
      </c>
      <c r="O18" s="69">
        <v>0</v>
      </c>
      <c r="P18" s="69">
        <v>0</v>
      </c>
      <c r="Q18" s="69">
        <v>0</v>
      </c>
    </row>
    <row r="20" spans="1:17">
      <c r="A20" t="s">
        <v>149</v>
      </c>
      <c r="B20" s="1" t="s">
        <v>116</v>
      </c>
    </row>
    <row r="21" spans="1:17">
      <c r="B21" t="s">
        <v>114</v>
      </c>
      <c r="C21" s="26">
        <v>36021.193399999996</v>
      </c>
      <c r="D21" s="85">
        <f>C24</f>
        <v>38991.322699999997</v>
      </c>
      <c r="E21" s="85">
        <f t="shared" ref="E21:Q21" si="4">D24</f>
        <v>41202.178299999992</v>
      </c>
      <c r="F21" s="85">
        <f t="shared" si="4"/>
        <v>44177.262299999995</v>
      </c>
      <c r="G21" s="85">
        <f t="shared" si="4"/>
        <v>46975.334999999999</v>
      </c>
      <c r="H21" s="85">
        <f t="shared" si="4"/>
        <v>51314.365400000002</v>
      </c>
      <c r="I21" s="85">
        <f t="shared" si="4"/>
        <v>55265.463200000006</v>
      </c>
      <c r="J21" s="85">
        <f t="shared" si="4"/>
        <v>59236.316489000004</v>
      </c>
      <c r="K21" s="85">
        <f t="shared" si="4"/>
        <v>63227.024044445003</v>
      </c>
      <c r="L21" s="85">
        <f t="shared" si="4"/>
        <v>67237.685137667228</v>
      </c>
      <c r="M21" s="85">
        <f t="shared" si="4"/>
        <v>71268.399536355559</v>
      </c>
      <c r="N21" s="85">
        <f t="shared" si="4"/>
        <v>75319.267507037337</v>
      </c>
      <c r="O21" s="85">
        <f t="shared" si="4"/>
        <v>79390.389817572519</v>
      </c>
      <c r="P21" s="85">
        <f t="shared" si="4"/>
        <v>83481.867739660374</v>
      </c>
      <c r="Q21" s="85">
        <f t="shared" si="4"/>
        <v>87593.803051358671</v>
      </c>
    </row>
    <row r="22" spans="1:17">
      <c r="B22" t="s">
        <v>119</v>
      </c>
      <c r="C22" s="26">
        <v>3753.8335000000002</v>
      </c>
      <c r="D22" s="26">
        <v>2952.3616000000002</v>
      </c>
      <c r="E22" s="26">
        <v>3771.9049</v>
      </c>
      <c r="F22" s="26">
        <v>3832.0093999999999</v>
      </c>
      <c r="G22" s="26">
        <v>5445.3796000000002</v>
      </c>
      <c r="H22" s="69">
        <f>AVERAGE(C22:G22)</f>
        <v>3951.0978000000005</v>
      </c>
      <c r="I22" s="69">
        <f>H22*(1+Assumptions!$C$16)</f>
        <v>3970.8532890000001</v>
      </c>
      <c r="J22" s="69">
        <f>I22*(1+Assumptions!$C$16)</f>
        <v>3990.7075554449998</v>
      </c>
      <c r="K22" s="69">
        <f>J22*(1+Assumptions!$C$16)</f>
        <v>4010.6610932222243</v>
      </c>
      <c r="L22" s="69">
        <f>K22*(1+Assumptions!$C$16)</f>
        <v>4030.7143986883348</v>
      </c>
      <c r="M22" s="69">
        <f>L22*(1+Assumptions!$C$16)</f>
        <v>4050.8679706817761</v>
      </c>
      <c r="N22" s="69">
        <f>M22*(1+Assumptions!$C$16)</f>
        <v>4071.1223105351846</v>
      </c>
      <c r="O22" s="69">
        <f>N22*(1+Assumptions!$C$16)</f>
        <v>4091.47792208786</v>
      </c>
      <c r="P22" s="69">
        <f>O22*(1+Assumptions!$C$16)</f>
        <v>4111.9353116982984</v>
      </c>
      <c r="Q22" s="69">
        <f>P22*(1+Assumptions!$C$16)</f>
        <v>4132.4949882567898</v>
      </c>
    </row>
    <row r="23" spans="1:17">
      <c r="B23" t="s">
        <v>120</v>
      </c>
      <c r="C23" s="26">
        <v>-783.70420000000001</v>
      </c>
      <c r="D23" s="26">
        <v>-741.50599999999997</v>
      </c>
      <c r="E23" s="26">
        <v>-796.82090000000005</v>
      </c>
      <c r="F23" s="26">
        <v>-1033.9367</v>
      </c>
      <c r="G23" s="26">
        <v>-1106.3492000000001</v>
      </c>
      <c r="H23" s="27"/>
      <c r="I23" s="27"/>
      <c r="J23" s="27"/>
      <c r="K23" s="27"/>
      <c r="L23" s="27"/>
      <c r="M23" s="27"/>
      <c r="N23" s="27"/>
      <c r="O23" s="27"/>
      <c r="P23" s="27"/>
      <c r="Q23" s="27"/>
    </row>
    <row r="24" spans="1:17">
      <c r="B24" s="7" t="s">
        <v>113</v>
      </c>
      <c r="C24" s="63">
        <f>SUM(C21:C23)</f>
        <v>38991.322699999997</v>
      </c>
      <c r="D24" s="63">
        <f t="shared" ref="D24:G24" si="5">SUM(D21:D23)</f>
        <v>41202.178299999992</v>
      </c>
      <c r="E24" s="63">
        <f t="shared" si="5"/>
        <v>44177.262299999995</v>
      </c>
      <c r="F24" s="63">
        <f t="shared" si="5"/>
        <v>46975.334999999999</v>
      </c>
      <c r="G24" s="63">
        <f t="shared" si="5"/>
        <v>51314.365400000002</v>
      </c>
      <c r="H24" s="63">
        <f t="shared" ref="H24" si="6">SUM(H21:H23)</f>
        <v>55265.463200000006</v>
      </c>
      <c r="I24" s="63">
        <f t="shared" ref="I24" si="7">SUM(I21:I23)</f>
        <v>59236.316489000004</v>
      </c>
      <c r="J24" s="63">
        <f t="shared" ref="J24" si="8">SUM(J21:J23)</f>
        <v>63227.024044445003</v>
      </c>
      <c r="K24" s="63">
        <f t="shared" ref="K24" si="9">SUM(K21:K23)</f>
        <v>67237.685137667228</v>
      </c>
      <c r="L24" s="63">
        <f t="shared" ref="L24" si="10">SUM(L21:L23)</f>
        <v>71268.399536355559</v>
      </c>
      <c r="M24" s="63">
        <f t="shared" ref="M24" si="11">SUM(M21:M23)</f>
        <v>75319.267507037337</v>
      </c>
      <c r="N24" s="63">
        <f t="shared" ref="N24" si="12">SUM(N21:N23)</f>
        <v>79390.389817572519</v>
      </c>
      <c r="O24" s="63">
        <f t="shared" ref="O24" si="13">SUM(O21:O23)</f>
        <v>83481.867739660374</v>
      </c>
      <c r="P24" s="63">
        <f t="shared" ref="P24" si="14">SUM(P21:P23)</f>
        <v>87593.803051358671</v>
      </c>
      <c r="Q24" s="63">
        <f t="shared" ref="Q24" si="15">SUM(Q21:Q23)</f>
        <v>91726.29803961546</v>
      </c>
    </row>
    <row r="25" spans="1:17">
      <c r="B25" t="s">
        <v>112</v>
      </c>
      <c r="C25" s="26">
        <v>28686.495299999999</v>
      </c>
      <c r="D25" s="26">
        <v>31339.276300000001</v>
      </c>
      <c r="E25" s="26">
        <v>33883.539700000001</v>
      </c>
      <c r="F25" s="26">
        <v>36342.8753</v>
      </c>
      <c r="G25" s="26">
        <v>38907.425900000002</v>
      </c>
      <c r="H25" s="69">
        <f>AVERAGE(C25:G25)</f>
        <v>33831.922500000001</v>
      </c>
      <c r="I25" s="69">
        <f>H25*(1+Assumptions!$C$17)</f>
        <v>34001.0821125</v>
      </c>
      <c r="J25" s="69">
        <f>I25*(1+Assumptions!$C$17)</f>
        <v>34171.087523062495</v>
      </c>
      <c r="K25" s="69">
        <f>J25*(1+Assumptions!$C$17)</f>
        <v>34341.942960677807</v>
      </c>
      <c r="L25" s="69">
        <f>K25*(1+Assumptions!$C$17)</f>
        <v>34513.652675481193</v>
      </c>
      <c r="M25" s="69">
        <f>L25*(1+Assumptions!$C$17)</f>
        <v>34686.220938858598</v>
      </c>
      <c r="N25" s="69">
        <f>M25*(1+Assumptions!$C$17)</f>
        <v>34859.652043552887</v>
      </c>
      <c r="O25" s="69">
        <f>N25*(1+Assumptions!$C$17)</f>
        <v>35033.950303770645</v>
      </c>
      <c r="P25" s="69">
        <f>O25*(1+Assumptions!$C$17)</f>
        <v>35209.120055289495</v>
      </c>
      <c r="Q25" s="69">
        <f>P25*(1+Assumptions!$C$17)</f>
        <v>35385.165655565936</v>
      </c>
    </row>
    <row r="26" spans="1:17">
      <c r="B26" s="7" t="s">
        <v>117</v>
      </c>
      <c r="C26" s="63">
        <f>C24-C25</f>
        <v>10304.827399999998</v>
      </c>
      <c r="D26" s="63">
        <f>D24-D25</f>
        <v>9862.9019999999909</v>
      </c>
      <c r="E26" s="63">
        <f>E24-E25</f>
        <v>10293.722599999994</v>
      </c>
      <c r="F26" s="63">
        <f>F24-F25</f>
        <v>10632.459699999999</v>
      </c>
      <c r="G26" s="63">
        <f>G24-G25</f>
        <v>12406.9395</v>
      </c>
      <c r="H26" s="63">
        <f t="shared" ref="H26:Q26" si="16">H24-H25</f>
        <v>21433.540700000005</v>
      </c>
      <c r="I26" s="63">
        <f t="shared" si="16"/>
        <v>25235.234376500004</v>
      </c>
      <c r="J26" s="63">
        <f t="shared" si="16"/>
        <v>29055.936521382508</v>
      </c>
      <c r="K26" s="63">
        <f t="shared" si="16"/>
        <v>32895.742176989421</v>
      </c>
      <c r="L26" s="63">
        <f t="shared" si="16"/>
        <v>36754.746860874366</v>
      </c>
      <c r="M26" s="63">
        <f t="shared" si="16"/>
        <v>40633.046568178739</v>
      </c>
      <c r="N26" s="63">
        <f t="shared" si="16"/>
        <v>44530.737774019632</v>
      </c>
      <c r="O26" s="63">
        <f t="shared" si="16"/>
        <v>48447.917435889729</v>
      </c>
      <c r="P26" s="63">
        <f t="shared" si="16"/>
        <v>52384.682996069176</v>
      </c>
      <c r="Q26" s="63">
        <f t="shared" si="16"/>
        <v>56341.132384049524</v>
      </c>
    </row>
    <row r="29" spans="1:17">
      <c r="A29" t="s">
        <v>149</v>
      </c>
      <c r="B29" s="1" t="s">
        <v>118</v>
      </c>
    </row>
    <row r="30" spans="1:17">
      <c r="B30" t="s">
        <v>114</v>
      </c>
      <c r="C30" s="26">
        <v>240.38839999999999</v>
      </c>
      <c r="D30" s="85">
        <f>C33</f>
        <v>288.85629999999998</v>
      </c>
      <c r="E30" s="85">
        <f t="shared" ref="E30:Q30" si="17">D33</f>
        <v>397.94019999999995</v>
      </c>
      <c r="F30" s="85">
        <f t="shared" si="17"/>
        <v>505.90269999999992</v>
      </c>
      <c r="G30" s="85">
        <f t="shared" si="17"/>
        <v>621.77919999999995</v>
      </c>
      <c r="H30" s="85">
        <f t="shared" si="17"/>
        <v>393.85929999999991</v>
      </c>
      <c r="I30" s="85">
        <f t="shared" si="17"/>
        <v>499.21059999999989</v>
      </c>
      <c r="J30" s="85">
        <f t="shared" si="17"/>
        <v>605.08865649999984</v>
      </c>
      <c r="K30" s="85">
        <f t="shared" si="17"/>
        <v>711.4961032824998</v>
      </c>
      <c r="L30" s="85">
        <f t="shared" si="17"/>
        <v>818.43558729891231</v>
      </c>
      <c r="M30" s="85">
        <f t="shared" si="17"/>
        <v>925.90976873540683</v>
      </c>
      <c r="N30" s="85">
        <f t="shared" si="17"/>
        <v>1033.9213210790838</v>
      </c>
      <c r="O30" s="85">
        <f t="shared" si="17"/>
        <v>1142.4729311844792</v>
      </c>
      <c r="P30" s="85">
        <f t="shared" si="17"/>
        <v>1251.5672993404014</v>
      </c>
      <c r="Q30" s="85">
        <f t="shared" si="17"/>
        <v>1361.2071393371034</v>
      </c>
    </row>
    <row r="31" spans="1:17">
      <c r="B31" t="s">
        <v>119</v>
      </c>
      <c r="C31" s="26">
        <v>74.341899999999995</v>
      </c>
      <c r="D31" s="26">
        <v>126.3617</v>
      </c>
      <c r="E31" s="26">
        <v>178.4134</v>
      </c>
      <c r="F31" s="26">
        <v>136.00710000000001</v>
      </c>
      <c r="G31" s="26">
        <v>11.632400000000001</v>
      </c>
      <c r="H31" s="69">
        <f>AVERAGE(C31:G31)</f>
        <v>105.35129999999999</v>
      </c>
      <c r="I31" s="69">
        <f>H31*(1+Assumptions!$C$16)</f>
        <v>105.87805649999999</v>
      </c>
      <c r="J31" s="69">
        <f>I31*(1+Assumptions!$C$16)</f>
        <v>106.40744678249997</v>
      </c>
      <c r="K31" s="69">
        <f>J31*(1+Assumptions!$C$16)</f>
        <v>106.93948401641246</v>
      </c>
      <c r="L31" s="69">
        <f>K31*(1+Assumptions!$C$16)</f>
        <v>107.47418143649452</v>
      </c>
      <c r="M31" s="69">
        <f>L31*(1+Assumptions!$C$16)</f>
        <v>108.01155234367698</v>
      </c>
      <c r="N31" s="69">
        <f>M31*(1+Assumptions!$C$16)</f>
        <v>108.55161010539535</v>
      </c>
      <c r="O31" s="69">
        <f>N31*(1+Assumptions!$C$16)</f>
        <v>109.09436815592233</v>
      </c>
      <c r="P31" s="69">
        <f>O31*(1+Assumptions!$C$16)</f>
        <v>109.63983999670192</v>
      </c>
      <c r="Q31" s="69">
        <f>P31*(1+Assumptions!$C$16)</f>
        <v>110.18803919668542</v>
      </c>
    </row>
    <row r="32" spans="1:17">
      <c r="B32" t="s">
        <v>120</v>
      </c>
      <c r="C32" s="26">
        <v>-25.873999999999999</v>
      </c>
      <c r="D32" s="26">
        <v>-17.277799999999999</v>
      </c>
      <c r="E32" s="26">
        <v>-70.450900000000004</v>
      </c>
      <c r="F32" s="26">
        <v>-20.130600000000001</v>
      </c>
      <c r="G32" s="26">
        <v>-239.5523</v>
      </c>
      <c r="H32" s="27"/>
      <c r="I32" s="27"/>
      <c r="J32" s="27"/>
      <c r="K32" s="27"/>
      <c r="L32" s="27"/>
      <c r="M32" s="27"/>
      <c r="N32" s="27"/>
      <c r="O32" s="27"/>
      <c r="P32" s="27"/>
      <c r="Q32" s="27"/>
    </row>
    <row r="33" spans="1:17">
      <c r="B33" s="7" t="s">
        <v>113</v>
      </c>
      <c r="C33" s="63">
        <f>SUM(C30:C32)</f>
        <v>288.85629999999998</v>
      </c>
      <c r="D33" s="63">
        <f t="shared" ref="D33:G33" si="18">SUM(D30:D32)</f>
        <v>397.94019999999995</v>
      </c>
      <c r="E33" s="63">
        <f t="shared" si="18"/>
        <v>505.90269999999992</v>
      </c>
      <c r="F33" s="63">
        <f t="shared" si="18"/>
        <v>621.77919999999995</v>
      </c>
      <c r="G33" s="63">
        <f t="shared" si="18"/>
        <v>393.85929999999991</v>
      </c>
      <c r="H33" s="63">
        <f t="shared" ref="H33" si="19">SUM(H30:H32)</f>
        <v>499.21059999999989</v>
      </c>
      <c r="I33" s="63">
        <f t="shared" ref="I33" si="20">SUM(I30:I32)</f>
        <v>605.08865649999984</v>
      </c>
      <c r="J33" s="63">
        <f t="shared" ref="J33" si="21">SUM(J30:J32)</f>
        <v>711.4961032824998</v>
      </c>
      <c r="K33" s="63">
        <f t="shared" ref="K33" si="22">SUM(K30:K32)</f>
        <v>818.43558729891231</v>
      </c>
      <c r="L33" s="63">
        <f t="shared" ref="L33" si="23">SUM(L30:L32)</f>
        <v>925.90976873540683</v>
      </c>
      <c r="M33" s="63">
        <f t="shared" ref="M33" si="24">SUM(M30:M32)</f>
        <v>1033.9213210790838</v>
      </c>
      <c r="N33" s="63">
        <f t="shared" ref="N33" si="25">SUM(N30:N32)</f>
        <v>1142.4729311844792</v>
      </c>
      <c r="O33" s="63">
        <f t="shared" ref="O33" si="26">SUM(O30:O32)</f>
        <v>1251.5672993404014</v>
      </c>
      <c r="P33" s="63">
        <f t="shared" ref="P33" si="27">SUM(P30:P32)</f>
        <v>1361.2071393371034</v>
      </c>
      <c r="Q33" s="63">
        <f t="shared" ref="Q33" si="28">SUM(Q30:Q32)</f>
        <v>1471.3951785337888</v>
      </c>
    </row>
    <row r="34" spans="1:17">
      <c r="B34" t="s">
        <v>112</v>
      </c>
      <c r="C34" s="26">
        <v>131.1319</v>
      </c>
      <c r="D34" s="26">
        <v>170.27879999999999</v>
      </c>
      <c r="E34" s="26">
        <v>175.8503</v>
      </c>
      <c r="F34" s="26">
        <v>255.11770000000001</v>
      </c>
      <c r="G34" s="26">
        <v>223.39580000000001</v>
      </c>
      <c r="H34" s="69">
        <f>AVERAGE(C34:G34)</f>
        <v>191.1549</v>
      </c>
      <c r="I34" s="69">
        <f>H34*(1+Assumptions!$C$17)</f>
        <v>192.11067449999999</v>
      </c>
      <c r="J34" s="69">
        <f>I34*(1+Assumptions!$C$17)</f>
        <v>193.07122787249997</v>
      </c>
      <c r="K34" s="69">
        <f>J34*(1+Assumptions!$C$17)</f>
        <v>194.03658401186246</v>
      </c>
      <c r="L34" s="69">
        <f>K34*(1+Assumptions!$C$17)</f>
        <v>195.00676693192176</v>
      </c>
      <c r="M34" s="69">
        <f>L34*(1+Assumptions!$C$17)</f>
        <v>195.98180076658136</v>
      </c>
      <c r="N34" s="69">
        <f>M34*(1+Assumptions!$C$17)</f>
        <v>196.96170977041425</v>
      </c>
      <c r="O34" s="69">
        <f>N34*(1+Assumptions!$C$17)</f>
        <v>197.94651831926629</v>
      </c>
      <c r="P34" s="69">
        <f>O34*(1+Assumptions!$C$17)</f>
        <v>198.93625091086261</v>
      </c>
      <c r="Q34" s="69">
        <f>P34*(1+Assumptions!$C$17)</f>
        <v>199.93093216541689</v>
      </c>
    </row>
    <row r="35" spans="1:17">
      <c r="B35" s="7" t="s">
        <v>117</v>
      </c>
      <c r="C35" s="63">
        <f>C33-C34</f>
        <v>157.72439999999997</v>
      </c>
      <c r="D35" s="63">
        <f t="shared" ref="D35:G35" si="29">D33-D34</f>
        <v>227.66139999999996</v>
      </c>
      <c r="E35" s="63">
        <f t="shared" si="29"/>
        <v>330.05239999999992</v>
      </c>
      <c r="F35" s="63">
        <f t="shared" si="29"/>
        <v>366.66149999999993</v>
      </c>
      <c r="G35" s="63">
        <f t="shared" si="29"/>
        <v>170.4634999999999</v>
      </c>
      <c r="H35" s="63">
        <f t="shared" ref="H35" si="30">H33-H34</f>
        <v>308.05569999999989</v>
      </c>
      <c r="I35" s="63">
        <f t="shared" ref="I35" si="31">I33-I34</f>
        <v>412.97798199999988</v>
      </c>
      <c r="J35" s="63">
        <f t="shared" ref="J35" si="32">J33-J34</f>
        <v>518.4248754099998</v>
      </c>
      <c r="K35" s="63">
        <f t="shared" ref="K35" si="33">K33-K34</f>
        <v>624.39900328704982</v>
      </c>
      <c r="L35" s="63">
        <f t="shared" ref="L35" si="34">L33-L34</f>
        <v>730.90300180348504</v>
      </c>
      <c r="M35" s="63">
        <f t="shared" ref="M35" si="35">M33-M34</f>
        <v>837.9395203125024</v>
      </c>
      <c r="N35" s="63">
        <f t="shared" ref="N35" si="36">N33-N34</f>
        <v>945.51122141406495</v>
      </c>
      <c r="O35" s="63">
        <f t="shared" ref="O35" si="37">O33-O34</f>
        <v>1053.6207810211351</v>
      </c>
      <c r="P35" s="63">
        <f t="shared" ref="P35" si="38">P33-P34</f>
        <v>1162.2708884262408</v>
      </c>
      <c r="Q35" s="63">
        <f t="shared" ref="Q35" si="39">Q33-Q34</f>
        <v>1271.464246368372</v>
      </c>
    </row>
    <row r="38" spans="1:17">
      <c r="A38" t="s">
        <v>149</v>
      </c>
      <c r="B38" s="1" t="s">
        <v>32</v>
      </c>
    </row>
    <row r="39" spans="1:17">
      <c r="B39" t="s">
        <v>114</v>
      </c>
      <c r="C39" s="27">
        <f t="shared" ref="C39:G41" si="40">C30+C21+C12</f>
        <v>67355.9372</v>
      </c>
      <c r="D39" s="27">
        <f t="shared" si="40"/>
        <v>70410.213300000003</v>
      </c>
      <c r="E39" s="27">
        <f t="shared" si="40"/>
        <v>72936.727199999994</v>
      </c>
      <c r="F39" s="27">
        <f t="shared" si="40"/>
        <v>80629.141499999998</v>
      </c>
      <c r="G39" s="27">
        <f t="shared" si="40"/>
        <v>83621.023399999991</v>
      </c>
      <c r="H39" s="27">
        <f t="shared" ref="H39:Q39" si="41">H30+H21+H12</f>
        <v>88121.757799999992</v>
      </c>
      <c r="I39" s="27">
        <f t="shared" si="41"/>
        <v>93623.430059999999</v>
      </c>
      <c r="J39" s="27">
        <f t="shared" si="41"/>
        <v>99152.610681299993</v>
      </c>
      <c r="K39" s="27">
        <f t="shared" si="41"/>
        <v>104709.43720570649</v>
      </c>
      <c r="L39" s="27">
        <f t="shared" si="41"/>
        <v>110294.04786273502</v>
      </c>
      <c r="M39" s="27">
        <f t="shared" si="41"/>
        <v>115906.58157304869</v>
      </c>
      <c r="N39" s="27">
        <f t="shared" si="41"/>
        <v>121547.17795191394</v>
      </c>
      <c r="O39" s="27">
        <f t="shared" si="41"/>
        <v>127215.97731267351</v>
      </c>
      <c r="P39" s="27">
        <f t="shared" si="41"/>
        <v>132913.12067023685</v>
      </c>
      <c r="Q39" s="27">
        <f t="shared" si="41"/>
        <v>138638.74974458804</v>
      </c>
    </row>
    <row r="40" spans="1:17">
      <c r="B40" t="s">
        <v>110</v>
      </c>
      <c r="C40" s="27">
        <f t="shared" si="40"/>
        <v>3909.8250000000003</v>
      </c>
      <c r="D40" s="27">
        <f t="shared" si="40"/>
        <v>3305.2601</v>
      </c>
      <c r="E40" s="27">
        <f t="shared" si="40"/>
        <v>10395.4138</v>
      </c>
      <c r="F40" s="27">
        <f t="shared" si="40"/>
        <v>4050.6383999999998</v>
      </c>
      <c r="G40" s="27">
        <f t="shared" si="40"/>
        <v>5847.2240000000002</v>
      </c>
      <c r="H40" s="27">
        <f t="shared" ref="H40:Q40" si="42">H31+H22+H13</f>
        <v>5501.6722600000003</v>
      </c>
      <c r="I40" s="27">
        <f t="shared" si="42"/>
        <v>5529.1806213</v>
      </c>
      <c r="J40" s="27">
        <f t="shared" si="42"/>
        <v>5556.8265244064996</v>
      </c>
      <c r="K40" s="27">
        <f t="shared" si="42"/>
        <v>5584.6106570285319</v>
      </c>
      <c r="L40" s="27">
        <f t="shared" si="42"/>
        <v>5612.5337103136735</v>
      </c>
      <c r="M40" s="27">
        <f t="shared" si="42"/>
        <v>5640.5963788652407</v>
      </c>
      <c r="N40" s="27">
        <f t="shared" si="42"/>
        <v>5668.7993607595672</v>
      </c>
      <c r="O40" s="27">
        <f t="shared" si="42"/>
        <v>5697.1433575633637</v>
      </c>
      <c r="P40" s="27">
        <f t="shared" si="42"/>
        <v>5725.62907435118</v>
      </c>
      <c r="Q40" s="27">
        <f t="shared" si="42"/>
        <v>5754.2572197229347</v>
      </c>
    </row>
    <row r="41" spans="1:17">
      <c r="B41" t="s">
        <v>111</v>
      </c>
      <c r="C41" s="27">
        <f t="shared" si="40"/>
        <v>-855.5489</v>
      </c>
      <c r="D41" s="27">
        <f t="shared" si="40"/>
        <v>-778.74619999999993</v>
      </c>
      <c r="E41" s="27">
        <f t="shared" si="40"/>
        <v>-2702.9994999999999</v>
      </c>
      <c r="F41" s="27">
        <f t="shared" si="40"/>
        <v>-1058.7565</v>
      </c>
      <c r="G41" s="27">
        <f t="shared" si="40"/>
        <v>-1346.4896000000001</v>
      </c>
      <c r="H41" s="27">
        <f t="shared" ref="H41:Q41" si="43">H32+H23+H14</f>
        <v>0</v>
      </c>
      <c r="I41" s="27">
        <f t="shared" si="43"/>
        <v>0</v>
      </c>
      <c r="J41" s="27">
        <f t="shared" si="43"/>
        <v>0</v>
      </c>
      <c r="K41" s="27">
        <f t="shared" si="43"/>
        <v>0</v>
      </c>
      <c r="L41" s="27">
        <f t="shared" si="43"/>
        <v>0</v>
      </c>
      <c r="M41" s="27">
        <f t="shared" si="43"/>
        <v>0</v>
      </c>
      <c r="N41" s="27">
        <f t="shared" si="43"/>
        <v>0</v>
      </c>
      <c r="O41" s="27">
        <f t="shared" si="43"/>
        <v>0</v>
      </c>
      <c r="P41" s="27">
        <f t="shared" si="43"/>
        <v>0</v>
      </c>
      <c r="Q41" s="27">
        <f t="shared" si="43"/>
        <v>0</v>
      </c>
    </row>
    <row r="42" spans="1:17">
      <c r="B42" s="7" t="s">
        <v>113</v>
      </c>
      <c r="C42" s="63">
        <f>SUM(C39:C41)</f>
        <v>70410.213300000003</v>
      </c>
      <c r="D42" s="63">
        <f t="shared" ref="D42:G42" si="44">SUM(D39:D41)</f>
        <v>72936.727200000008</v>
      </c>
      <c r="E42" s="63">
        <f t="shared" si="44"/>
        <v>80629.141499999983</v>
      </c>
      <c r="F42" s="63">
        <f t="shared" si="44"/>
        <v>83621.023399999991</v>
      </c>
      <c r="G42" s="63">
        <f t="shared" si="44"/>
        <v>88121.757799999992</v>
      </c>
      <c r="H42" s="63">
        <f t="shared" ref="H42" si="45">SUM(H39:H41)</f>
        <v>93623.430059999999</v>
      </c>
      <c r="I42" s="63">
        <f t="shared" ref="I42" si="46">SUM(I39:I41)</f>
        <v>99152.610681299993</v>
      </c>
      <c r="J42" s="63">
        <f t="shared" ref="J42" si="47">SUM(J39:J41)</f>
        <v>104709.43720570649</v>
      </c>
      <c r="K42" s="63">
        <f t="shared" ref="K42" si="48">SUM(K39:K41)</f>
        <v>110294.04786273502</v>
      </c>
      <c r="L42" s="63">
        <f t="shared" ref="L42" si="49">SUM(L39:L41)</f>
        <v>115906.58157304869</v>
      </c>
      <c r="M42" s="63">
        <f t="shared" ref="M42" si="50">SUM(M39:M41)</f>
        <v>121547.17795191394</v>
      </c>
      <c r="N42" s="63">
        <f t="shared" ref="N42" si="51">SUM(N39:N41)</f>
        <v>127215.97731267351</v>
      </c>
      <c r="O42" s="63">
        <f t="shared" ref="O42" si="52">SUM(O39:O41)</f>
        <v>132913.12067023688</v>
      </c>
      <c r="P42" s="63">
        <f t="shared" ref="P42" si="53">SUM(P39:P41)</f>
        <v>138638.74974458804</v>
      </c>
      <c r="Q42" s="63">
        <f t="shared" ref="Q42" si="54">SUM(Q39:Q41)</f>
        <v>144393.00696431097</v>
      </c>
    </row>
    <row r="43" spans="1:17">
      <c r="B43" t="s">
        <v>112</v>
      </c>
      <c r="C43" s="27">
        <f>C34+C25+C16</f>
        <v>30711.606499999998</v>
      </c>
      <c r="D43" s="27">
        <f>D34+D25+D16</f>
        <v>33707.228999999999</v>
      </c>
      <c r="E43" s="27">
        <f>E34+E25+E16</f>
        <v>36605.3269</v>
      </c>
      <c r="F43" s="27">
        <f>F34+F25+F16</f>
        <v>39483.732500000006</v>
      </c>
      <c r="G43" s="27">
        <f>G34+G25+G16</f>
        <v>42358.277500000004</v>
      </c>
      <c r="H43" s="27">
        <f t="shared" ref="H43:Q43" si="55">H34+H25+H16</f>
        <v>36573.234479999999</v>
      </c>
      <c r="I43" s="27">
        <f t="shared" si="55"/>
        <v>36756.100652399997</v>
      </c>
      <c r="J43" s="27">
        <f t="shared" si="55"/>
        <v>36939.881155661991</v>
      </c>
      <c r="K43" s="27">
        <f t="shared" si="55"/>
        <v>37124.5805614403</v>
      </c>
      <c r="L43" s="27">
        <f t="shared" si="55"/>
        <v>37310.203464247505</v>
      </c>
      <c r="M43" s="27">
        <f t="shared" si="55"/>
        <v>37496.754481568736</v>
      </c>
      <c r="N43" s="27">
        <f t="shared" si="55"/>
        <v>37684.238253976582</v>
      </c>
      <c r="O43" s="27">
        <f t="shared" si="55"/>
        <v>37872.659445246456</v>
      </c>
      <c r="P43" s="27">
        <f t="shared" si="55"/>
        <v>38062.022742472684</v>
      </c>
      <c r="Q43" s="27">
        <f t="shared" si="55"/>
        <v>38252.332856185036</v>
      </c>
    </row>
    <row r="44" spans="1:17">
      <c r="C44" s="27"/>
      <c r="D44" s="27"/>
      <c r="E44" s="27"/>
      <c r="F44" s="27"/>
      <c r="G44" s="27"/>
      <c r="H44" s="27"/>
      <c r="I44" s="27"/>
      <c r="J44" s="27"/>
      <c r="K44" s="27"/>
      <c r="L44" s="27"/>
      <c r="M44" s="27"/>
      <c r="N44" s="27"/>
      <c r="O44" s="27"/>
      <c r="P44" s="27"/>
      <c r="Q44" s="27"/>
    </row>
    <row r="45" spans="1:17">
      <c r="B45" s="7" t="s">
        <v>117</v>
      </c>
      <c r="C45" s="63">
        <f>C42-C43</f>
        <v>39698.606800000009</v>
      </c>
      <c r="D45" s="63">
        <f t="shared" ref="D45:G45" si="56">D42-D43</f>
        <v>39229.498200000009</v>
      </c>
      <c r="E45" s="63">
        <f t="shared" si="56"/>
        <v>44023.814599999983</v>
      </c>
      <c r="F45" s="63">
        <f t="shared" si="56"/>
        <v>44137.290899999985</v>
      </c>
      <c r="G45" s="63">
        <f t="shared" si="56"/>
        <v>45763.480299999988</v>
      </c>
      <c r="H45" s="63">
        <f t="shared" ref="H45:Q45" si="57">H42-H43</f>
        <v>57050.19558</v>
      </c>
      <c r="I45" s="63">
        <f t="shared" si="57"/>
        <v>62396.510028899997</v>
      </c>
      <c r="J45" s="63">
        <f t="shared" si="57"/>
        <v>67769.556050044499</v>
      </c>
      <c r="K45" s="63">
        <f t="shared" si="57"/>
        <v>73169.467301294731</v>
      </c>
      <c r="L45" s="63">
        <f t="shared" si="57"/>
        <v>78596.378108801189</v>
      </c>
      <c r="M45" s="63">
        <f t="shared" si="57"/>
        <v>84050.423470345209</v>
      </c>
      <c r="N45" s="63">
        <f t="shared" si="57"/>
        <v>89531.739058696927</v>
      </c>
      <c r="O45" s="63">
        <f t="shared" si="57"/>
        <v>95040.461224990431</v>
      </c>
      <c r="P45" s="63">
        <f t="shared" si="57"/>
        <v>100576.72700211537</v>
      </c>
      <c r="Q45" s="63">
        <f t="shared" si="57"/>
        <v>106140.67410812594</v>
      </c>
    </row>
    <row r="46" spans="1:17">
      <c r="B46" t="s">
        <v>115</v>
      </c>
      <c r="C46" s="85">
        <f>C18</f>
        <v>351.83449999999999</v>
      </c>
      <c r="D46" s="85">
        <f t="shared" ref="D46:G46" si="58">D18</f>
        <v>252.96549999999999</v>
      </c>
      <c r="E46" s="85">
        <f t="shared" si="58"/>
        <v>317.54599999999999</v>
      </c>
      <c r="F46" s="85">
        <f t="shared" si="58"/>
        <v>528.43409999999994</v>
      </c>
      <c r="G46" s="85">
        <f t="shared" si="58"/>
        <v>532.81219999999996</v>
      </c>
      <c r="H46" s="27">
        <f t="shared" ref="H46:Q46" si="59">H18</f>
        <v>0</v>
      </c>
      <c r="I46" s="27">
        <f t="shared" si="59"/>
        <v>0</v>
      </c>
      <c r="J46" s="27">
        <f t="shared" si="59"/>
        <v>0</v>
      </c>
      <c r="K46" s="27">
        <f t="shared" si="59"/>
        <v>0</v>
      </c>
      <c r="L46" s="27">
        <f t="shared" si="59"/>
        <v>0</v>
      </c>
      <c r="M46" s="27">
        <f t="shared" si="59"/>
        <v>0</v>
      </c>
      <c r="N46" s="27">
        <f t="shared" si="59"/>
        <v>0</v>
      </c>
      <c r="O46" s="27">
        <f t="shared" si="59"/>
        <v>0</v>
      </c>
      <c r="P46" s="27">
        <f t="shared" si="59"/>
        <v>0</v>
      </c>
      <c r="Q46" s="27">
        <f t="shared" si="59"/>
        <v>0</v>
      </c>
    </row>
    <row r="47" spans="1:17">
      <c r="B47" t="s">
        <v>124</v>
      </c>
      <c r="C47" s="27">
        <f>C45+C46</f>
        <v>40050.441300000006</v>
      </c>
      <c r="D47" s="27">
        <f t="shared" ref="D47:G47" si="60">D45+D46</f>
        <v>39482.463700000008</v>
      </c>
      <c r="E47" s="27">
        <f t="shared" si="60"/>
        <v>44341.360599999985</v>
      </c>
      <c r="F47" s="27">
        <f t="shared" si="60"/>
        <v>44665.724999999984</v>
      </c>
      <c r="G47" s="27">
        <f t="shared" si="60"/>
        <v>46296.292499999989</v>
      </c>
      <c r="H47" s="27">
        <f t="shared" ref="H47" si="61">H45+H46</f>
        <v>57050.19558</v>
      </c>
      <c r="I47" s="27">
        <f t="shared" ref="I47" si="62">I45+I46</f>
        <v>62396.510028899997</v>
      </c>
      <c r="J47" s="27">
        <f t="shared" ref="J47" si="63">J45+J46</f>
        <v>67769.556050044499</v>
      </c>
      <c r="K47" s="27">
        <f t="shared" ref="K47" si="64">K45+K46</f>
        <v>73169.467301294731</v>
      </c>
      <c r="L47" s="27">
        <f t="shared" ref="L47" si="65">L45+L46</f>
        <v>78596.378108801189</v>
      </c>
      <c r="M47" s="27">
        <f t="shared" ref="M47" si="66">M45+M46</f>
        <v>84050.423470345209</v>
      </c>
      <c r="N47" s="27">
        <f t="shared" ref="N47" si="67">N45+N46</f>
        <v>89531.739058696927</v>
      </c>
      <c r="O47" s="27">
        <f t="shared" ref="O47" si="68">O45+O46</f>
        <v>95040.461224990431</v>
      </c>
      <c r="P47" s="27">
        <f t="shared" ref="P47" si="69">P45+P46</f>
        <v>100576.72700211537</v>
      </c>
      <c r="Q47" s="27">
        <f t="shared" ref="Q47" si="70">Q45+Q46</f>
        <v>106140.67410812594</v>
      </c>
    </row>
    <row r="48" spans="1:17">
      <c r="B48" t="s">
        <v>122</v>
      </c>
      <c r="C48" s="26">
        <v>116.34690000000001</v>
      </c>
      <c r="D48" s="26">
        <v>27.566800000000001</v>
      </c>
      <c r="E48" s="26">
        <v>66.020399999999995</v>
      </c>
      <c r="F48" s="26">
        <v>42.452300000000001</v>
      </c>
      <c r="G48" s="93">
        <v>41.402900000000002</v>
      </c>
      <c r="H48" s="69">
        <v>0</v>
      </c>
      <c r="I48" s="69">
        <v>0</v>
      </c>
      <c r="J48" s="69">
        <v>0</v>
      </c>
      <c r="K48" s="69">
        <v>0</v>
      </c>
      <c r="L48" s="69">
        <v>0</v>
      </c>
      <c r="M48" s="69">
        <v>0</v>
      </c>
      <c r="N48" s="69">
        <v>0</v>
      </c>
      <c r="O48" s="69">
        <v>0</v>
      </c>
      <c r="P48" s="69">
        <v>0</v>
      </c>
      <c r="Q48" s="69">
        <v>0</v>
      </c>
    </row>
    <row r="49" spans="1:17">
      <c r="C49" s="27"/>
      <c r="D49" s="27"/>
      <c r="E49" s="27"/>
      <c r="F49" s="27"/>
      <c r="G49" s="27"/>
      <c r="H49" s="27"/>
      <c r="I49" s="27"/>
      <c r="J49" s="27"/>
      <c r="K49" s="27"/>
      <c r="L49" s="27"/>
      <c r="M49" s="27"/>
      <c r="N49" s="27"/>
      <c r="O49" s="27"/>
      <c r="P49" s="27"/>
      <c r="Q49" s="27"/>
    </row>
    <row r="50" spans="1:17" ht="15.75" thickBot="1">
      <c r="A50" t="s">
        <v>149</v>
      </c>
      <c r="B50" s="79" t="s">
        <v>123</v>
      </c>
      <c r="C50" s="80">
        <f>C48+C45+C46</f>
        <v>40166.788200000003</v>
      </c>
      <c r="D50" s="80">
        <f t="shared" ref="D50:G50" si="71">D48+D45+D46</f>
        <v>39510.030500000008</v>
      </c>
      <c r="E50" s="80">
        <f t="shared" si="71"/>
        <v>44407.380999999987</v>
      </c>
      <c r="F50" s="80">
        <f t="shared" si="71"/>
        <v>44708.177299999981</v>
      </c>
      <c r="G50" s="80">
        <f t="shared" si="71"/>
        <v>46337.69539999999</v>
      </c>
      <c r="H50" s="80">
        <f t="shared" ref="H50" si="72">H48+H45+H46</f>
        <v>57050.19558</v>
      </c>
      <c r="I50" s="80">
        <f t="shared" ref="I50" si="73">I48+I45+I46</f>
        <v>62396.510028899997</v>
      </c>
      <c r="J50" s="80">
        <f t="shared" ref="J50" si="74">J48+J45+J46</f>
        <v>67769.556050044499</v>
      </c>
      <c r="K50" s="80">
        <f t="shared" ref="K50" si="75">K48+K45+K46</f>
        <v>73169.467301294731</v>
      </c>
      <c r="L50" s="80">
        <f t="shared" ref="L50" si="76">L48+L45+L46</f>
        <v>78596.378108801189</v>
      </c>
      <c r="M50" s="80">
        <f t="shared" ref="M50" si="77">M48+M45+M46</f>
        <v>84050.423470345209</v>
      </c>
      <c r="N50" s="80">
        <f t="shared" ref="N50" si="78">N48+N45+N46</f>
        <v>89531.739058696927</v>
      </c>
      <c r="O50" s="80">
        <f t="shared" ref="O50" si="79">O48+O45+O46</f>
        <v>95040.461224990431</v>
      </c>
      <c r="P50" s="80">
        <f t="shared" ref="P50" si="80">P48+P45+P46</f>
        <v>100576.72700211537</v>
      </c>
      <c r="Q50" s="80">
        <f t="shared" ref="Q50" si="81">Q48+Q45+Q46</f>
        <v>106140.67410812594</v>
      </c>
    </row>
    <row r="51" spans="1:17">
      <c r="C51" s="27"/>
      <c r="D51" s="27"/>
      <c r="E51" s="27"/>
      <c r="F51" s="27"/>
      <c r="G51" s="27"/>
      <c r="H51" s="27"/>
      <c r="I51" s="27"/>
      <c r="J51" s="27"/>
      <c r="K51" s="27"/>
      <c r="L51" s="27"/>
      <c r="M51" s="27"/>
      <c r="N51" s="27"/>
      <c r="O51" s="27"/>
      <c r="P51" s="27"/>
      <c r="Q51" s="27"/>
    </row>
    <row r="52" spans="1:17" ht="15.75" thickBot="1">
      <c r="A52" t="s">
        <v>149</v>
      </c>
      <c r="B52" s="76" t="s">
        <v>121</v>
      </c>
      <c r="C52" s="78">
        <v>0</v>
      </c>
      <c r="D52" s="78">
        <f>SUM(D47:D48)-SUM(C47:C48)+D54</f>
        <v>3034.5123000000053</v>
      </c>
      <c r="E52" s="78">
        <f t="shared" ref="E52:Q52" si="82">SUM(E47:E48)-SUM(D47:D48)+E54</f>
        <v>8592.949099999978</v>
      </c>
      <c r="F52" s="78">
        <f t="shared" si="82"/>
        <v>4149.9207999999944</v>
      </c>
      <c r="G52" s="78">
        <f t="shared" si="82"/>
        <v>5620.9948000000086</v>
      </c>
      <c r="H52" s="78">
        <f t="shared" si="82"/>
        <v>14158.844599235579</v>
      </c>
      <c r="I52" s="78">
        <f t="shared" si="82"/>
        <v>8809.8905902317438</v>
      </c>
      <c r="J52" s="78">
        <f t="shared" si="82"/>
        <v>8853.940043182909</v>
      </c>
      <c r="K52" s="78">
        <f t="shared" si="82"/>
        <v>8898.2097433988311</v>
      </c>
      <c r="L52" s="78">
        <f t="shared" si="82"/>
        <v>8942.7007921157983</v>
      </c>
      <c r="M52" s="78">
        <f t="shared" si="82"/>
        <v>8987.4142960764075</v>
      </c>
      <c r="N52" s="78">
        <f t="shared" si="82"/>
        <v>9032.3513675567665</v>
      </c>
      <c r="O52" s="78">
        <f t="shared" si="82"/>
        <v>9077.513124394578</v>
      </c>
      <c r="P52" s="78">
        <f t="shared" si="82"/>
        <v>9122.900690016515</v>
      </c>
      <c r="Q52" s="78">
        <f t="shared" si="82"/>
        <v>9168.5151934666064</v>
      </c>
    </row>
    <row r="53" spans="1:17" ht="15.75" thickTop="1">
      <c r="C53" s="27"/>
      <c r="D53" s="27"/>
      <c r="E53" s="27"/>
      <c r="F53" s="27"/>
      <c r="G53" s="27"/>
      <c r="H53" s="27"/>
      <c r="I53" s="27"/>
      <c r="J53" s="27"/>
      <c r="K53" s="27"/>
      <c r="L53" s="27"/>
      <c r="M53" s="27"/>
      <c r="N53" s="27"/>
      <c r="O53" s="27"/>
      <c r="P53" s="27"/>
      <c r="Q53" s="27"/>
    </row>
    <row r="54" spans="1:17" ht="15.75" thickBot="1">
      <c r="A54" t="s">
        <v>149</v>
      </c>
      <c r="B54" s="76" t="s">
        <v>125</v>
      </c>
      <c r="C54" s="77">
        <f>'P&amp;L_Input'!C21</f>
        <v>3711.0636</v>
      </c>
      <c r="D54" s="77">
        <f>'P&amp;L_Input'!D21</f>
        <v>3691.27</v>
      </c>
      <c r="E54" s="77">
        <f>'P&amp;L_Input'!E21</f>
        <v>3695.5985999999998</v>
      </c>
      <c r="F54" s="77">
        <f>'P&amp;L_Input'!F21</f>
        <v>3849.1244999999999</v>
      </c>
      <c r="G54" s="77">
        <f>'P&amp;L_Input'!G21</f>
        <v>3991.4767000000002</v>
      </c>
      <c r="H54" s="78">
        <f>G54/G43*H43</f>
        <v>3446.3444192355696</v>
      </c>
      <c r="I54" s="78">
        <f t="shared" ref="I54:Q54" si="83">H54/H43*I43</f>
        <v>3463.5761413317473</v>
      </c>
      <c r="J54" s="78">
        <f t="shared" si="83"/>
        <v>3480.8940220384056</v>
      </c>
      <c r="K54" s="78">
        <f t="shared" si="83"/>
        <v>3498.2984921485977</v>
      </c>
      <c r="L54" s="78">
        <f t="shared" si="83"/>
        <v>3515.789984609341</v>
      </c>
      <c r="M54" s="78">
        <f t="shared" si="83"/>
        <v>3533.3689345323869</v>
      </c>
      <c r="N54" s="78">
        <f t="shared" si="83"/>
        <v>3551.035779205049</v>
      </c>
      <c r="O54" s="78">
        <f t="shared" si="83"/>
        <v>3568.7909581010736</v>
      </c>
      <c r="P54" s="78">
        <f t="shared" si="83"/>
        <v>3586.6349128915786</v>
      </c>
      <c r="Q54" s="78">
        <f t="shared" si="83"/>
        <v>3604.5680874560353</v>
      </c>
    </row>
    <row r="55" spans="1:17" ht="15.75" thickTop="1">
      <c r="C55" s="27"/>
      <c r="D55" s="27"/>
      <c r="E55" s="27"/>
      <c r="F55" s="27"/>
      <c r="G55" s="27"/>
      <c r="H55" s="27"/>
      <c r="I55" s="27"/>
      <c r="J55" s="27"/>
      <c r="K55" s="27"/>
      <c r="L55" s="27"/>
      <c r="M55" s="27"/>
      <c r="N55" s="27"/>
      <c r="O55" s="27"/>
      <c r="P55" s="27"/>
      <c r="Q55" s="27"/>
    </row>
    <row r="56" spans="1:17">
      <c r="B56" t="s">
        <v>126</v>
      </c>
      <c r="C56" s="27">
        <f>C43-C54</f>
        <v>27000.542899999997</v>
      </c>
      <c r="D56" s="27">
        <f t="shared" ref="D56:G56" si="84">D43-D54</f>
        <v>30015.958999999999</v>
      </c>
      <c r="E56" s="27">
        <f t="shared" si="84"/>
        <v>32909.728300000002</v>
      </c>
      <c r="F56" s="27">
        <f t="shared" si="84"/>
        <v>35634.608000000007</v>
      </c>
      <c r="G56" s="27">
        <f t="shared" si="84"/>
        <v>38366.800800000005</v>
      </c>
      <c r="H56" s="27">
        <f>G56/G43*H43</f>
        <v>33126.890060764432</v>
      </c>
      <c r="I56" s="27">
        <f t="shared" ref="I56:Q56" si="85">H56/H43*I43</f>
        <v>33292.524511068252</v>
      </c>
      <c r="J56" s="27">
        <f t="shared" si="85"/>
        <v>33458.987133623588</v>
      </c>
      <c r="K56" s="27">
        <f t="shared" si="85"/>
        <v>33626.282069291708</v>
      </c>
      <c r="L56" s="27">
        <f t="shared" si="85"/>
        <v>33794.41347963817</v>
      </c>
      <c r="M56" s="27">
        <f t="shared" si="85"/>
        <v>33963.385547036356</v>
      </c>
      <c r="N56" s="27">
        <f t="shared" si="85"/>
        <v>34133.20247477154</v>
      </c>
      <c r="O56" s="27">
        <f t="shared" si="85"/>
        <v>34303.868487145388</v>
      </c>
      <c r="P56" s="27">
        <f t="shared" si="85"/>
        <v>34475.387829581108</v>
      </c>
      <c r="Q56" s="27">
        <f t="shared" si="85"/>
        <v>34647.764768729001</v>
      </c>
    </row>
    <row r="57" spans="1:17">
      <c r="C57" s="75"/>
      <c r="D57" s="75"/>
      <c r="E57" s="75"/>
      <c r="F57" s="75"/>
      <c r="G57" s="75"/>
    </row>
    <row r="58" spans="1:17">
      <c r="B58" s="81"/>
      <c r="C58" s="82"/>
      <c r="D58" s="82"/>
      <c r="E58" s="82"/>
      <c r="F58" s="82"/>
      <c r="G58" s="82"/>
      <c r="H58" s="83"/>
      <c r="I58" s="83"/>
      <c r="J58" s="83"/>
      <c r="K58" s="83"/>
      <c r="L58" s="83"/>
      <c r="M58" s="83"/>
      <c r="N58" s="83"/>
      <c r="O58" s="83"/>
      <c r="P58" s="83"/>
      <c r="Q58" s="83"/>
    </row>
    <row r="60" spans="1:17">
      <c r="C60" s="9"/>
    </row>
  </sheetData>
  <mergeCells count="1">
    <mergeCell ref="B7:B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B1:Q21"/>
  <sheetViews>
    <sheetView showGridLines="0" topLeftCell="A2" workbookViewId="0">
      <selection activeCell="B2" sqref="B2"/>
    </sheetView>
  </sheetViews>
  <sheetFormatPr defaultRowHeight="15"/>
  <cols>
    <col min="1" max="1" width="1.85546875" customWidth="1"/>
    <col min="2" max="2" width="29" bestFit="1" customWidth="1"/>
    <col min="4" max="7" width="14" bestFit="1" customWidth="1"/>
    <col min="8" max="17" width="15" bestFit="1" customWidth="1"/>
  </cols>
  <sheetData>
    <row r="1" spans="2:17" ht="16.5" thickTop="1">
      <c r="B1" s="248" t="s">
        <v>318</v>
      </c>
    </row>
    <row r="2" spans="2:17">
      <c r="B2" s="10" t="s">
        <v>319</v>
      </c>
    </row>
    <row r="3" spans="2:17">
      <c r="C3" s="64">
        <v>10000</v>
      </c>
    </row>
    <row r="4" spans="2:17">
      <c r="B4" s="6" t="s">
        <v>355</v>
      </c>
    </row>
    <row r="5" spans="2:17">
      <c r="B5" s="148" t="s">
        <v>316</v>
      </c>
      <c r="C5" s="199"/>
      <c r="D5" s="199"/>
      <c r="E5" s="199"/>
      <c r="F5" s="199"/>
      <c r="G5" s="199"/>
      <c r="H5" s="199"/>
      <c r="I5" s="199"/>
      <c r="J5" s="199"/>
      <c r="K5" s="199"/>
      <c r="L5" s="199"/>
      <c r="M5" s="199"/>
      <c r="N5" s="199"/>
      <c r="O5" s="199"/>
      <c r="P5" s="199"/>
      <c r="Q5" s="199"/>
    </row>
    <row r="7" spans="2:17">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2:17">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10" spans="2:17">
      <c r="B10" t="s">
        <v>313</v>
      </c>
      <c r="D10" s="60">
        <f>'Balance Sheet'!D18-'Balance Sheet'!C18</f>
        <v>132932.47130000009</v>
      </c>
      <c r="E10" s="60">
        <f>'Balance Sheet'!E18-'Balance Sheet'!D18</f>
        <v>86807.464299999876</v>
      </c>
      <c r="F10" s="60">
        <f>'Balance Sheet'!F18-'Balance Sheet'!E18</f>
        <v>76410.384000000078</v>
      </c>
      <c r="G10" s="60">
        <f>'Balance Sheet'!G18-'Balance Sheet'!F18</f>
        <v>126006.76150000002</v>
      </c>
      <c r="H10" s="60">
        <f>'Balance Sheet'!H18-'Balance Sheet'!G18</f>
        <v>789870.05332980305</v>
      </c>
      <c r="I10" s="60">
        <f>'Balance Sheet'!I18-'Balance Sheet'!H18</f>
        <v>324284.09908572631</v>
      </c>
      <c r="J10" s="60">
        <f>'Balance Sheet'!J18-'Balance Sheet'!I18</f>
        <v>317946.74801143073</v>
      </c>
      <c r="K10" s="60">
        <f>'Balance Sheet'!K18-'Balance Sheet'!J18</f>
        <v>307974.58066638838</v>
      </c>
      <c r="L10" s="60">
        <f>'Balance Sheet'!L18-'Balance Sheet'!K18</f>
        <v>295099.21311407769</v>
      </c>
      <c r="M10" s="60">
        <f>'Balance Sheet'!M18-'Balance Sheet'!L18</f>
        <v>280040.49052030081</v>
      </c>
      <c r="N10" s="60">
        <f>'Balance Sheet'!N18-'Balance Sheet'!M18</f>
        <v>263469.41771282442</v>
      </c>
      <c r="O10" s="60">
        <f>'Balance Sheet'!O18-'Balance Sheet'!N18</f>
        <v>245984.27103605121</v>
      </c>
      <c r="P10" s="60">
        <f>'Balance Sheet'!P18-'Balance Sheet'!O18</f>
        <v>228097.94299848843</v>
      </c>
      <c r="Q10" s="60">
        <f>'Balance Sheet'!Q18-'Balance Sheet'!P18</f>
        <v>210234.10769129265</v>
      </c>
    </row>
    <row r="11" spans="2:17">
      <c r="B11" t="s">
        <v>24</v>
      </c>
      <c r="D11" s="60">
        <f>'Balance Sheet'!D20-'Balance Sheet'!C20</f>
        <v>15363.575500000035</v>
      </c>
      <c r="E11" s="60">
        <f>'Balance Sheet'!E20-'Balance Sheet'!D20</f>
        <v>71992.166199999978</v>
      </c>
      <c r="F11" s="60">
        <f>'Balance Sheet'!F20-'Balance Sheet'!E20</f>
        <v>118457.55309999996</v>
      </c>
      <c r="G11" s="60">
        <f>'Balance Sheet'!G20-'Balance Sheet'!F20</f>
        <v>-28752.257899999968</v>
      </c>
      <c r="H11" s="60">
        <f>'Balance Sheet'!H20-'Balance Sheet'!G20</f>
        <v>185502.27693562745</v>
      </c>
      <c r="I11" s="60">
        <f>'Balance Sheet'!I20-'Balance Sheet'!H20</f>
        <v>89087.256366555812</v>
      </c>
      <c r="J11" s="60">
        <f>'Balance Sheet'!J20-'Balance Sheet'!I20</f>
        <v>87346.260673481622</v>
      </c>
      <c r="K11" s="60">
        <f>'Balance Sheet'!K20-'Balance Sheet'!J20</f>
        <v>84606.709054075647</v>
      </c>
      <c r="L11" s="60">
        <f>'Balance Sheet'!L20-'Balance Sheet'!K20</f>
        <v>81069.590912358835</v>
      </c>
      <c r="M11" s="60">
        <f>'Balance Sheet'!M20-'Balance Sheet'!L20</f>
        <v>76932.661953933537</v>
      </c>
      <c r="N11" s="60">
        <f>'Balance Sheet'!N20-'Balance Sheet'!M20</f>
        <v>72380.260477479314</v>
      </c>
      <c r="O11" s="60">
        <f>'Balance Sheet'!O20-'Balance Sheet'!N20</f>
        <v>67576.744828724768</v>
      </c>
      <c r="P11" s="60">
        <f>'Balance Sheet'!P20-'Balance Sheet'!O20</f>
        <v>62663.016724783927</v>
      </c>
      <c r="Q11" s="60">
        <f>'Balance Sheet'!Q20-'Balance Sheet'!P20</f>
        <v>57755.467818781501</v>
      </c>
    </row>
    <row r="12" spans="2:17">
      <c r="B12" t="s">
        <v>25</v>
      </c>
      <c r="D12" s="60">
        <f>'Balance Sheet'!D21-'Balance Sheet'!C21</f>
        <v>96214.057199999981</v>
      </c>
      <c r="E12" s="60">
        <f>'Balance Sheet'!E21-'Balance Sheet'!D21</f>
        <v>85445.245600000024</v>
      </c>
      <c r="F12" s="60">
        <f>'Balance Sheet'!F21-'Balance Sheet'!E21</f>
        <v>104111.75280000002</v>
      </c>
      <c r="G12" s="60">
        <f>'Balance Sheet'!G21-'Balance Sheet'!F21</f>
        <v>61292.803499999922</v>
      </c>
      <c r="H12" s="60">
        <f>'Balance Sheet'!H21-'Balance Sheet'!G21</f>
        <v>121073.94386680715</v>
      </c>
      <c r="I12" s="60">
        <f>'Balance Sheet'!I21-'Balance Sheet'!H21</f>
        <v>98381.473892208072</v>
      </c>
      <c r="J12" s="60">
        <f>'Balance Sheet'!J21-'Balance Sheet'!I21</f>
        <v>96458.845120031387</v>
      </c>
      <c r="K12" s="60">
        <f>'Balance Sheet'!K21-'Balance Sheet'!J21</f>
        <v>93433.483950393507</v>
      </c>
      <c r="L12" s="60">
        <f>'Balance Sheet'!L21-'Balance Sheet'!K21</f>
        <v>89527.34843443241</v>
      </c>
      <c r="M12" s="60">
        <f>'Balance Sheet'!M21-'Balance Sheet'!L21</f>
        <v>84958.825562399579</v>
      </c>
      <c r="N12" s="60">
        <f>'Balance Sheet'!N21-'Balance Sheet'!M21</f>
        <v>79931.485118106939</v>
      </c>
      <c r="O12" s="60">
        <f>'Balance Sheet'!O21-'Balance Sheet'!N21</f>
        <v>74626.832481322577</v>
      </c>
      <c r="P12" s="60">
        <f>'Balance Sheet'!P21-'Balance Sheet'!O21</f>
        <v>69200.469240522245</v>
      </c>
      <c r="Q12" s="60">
        <f>'Balance Sheet'!Q21-'Balance Sheet'!P21</f>
        <v>63780.92985562887</v>
      </c>
    </row>
    <row r="13" spans="2:17">
      <c r="B13" s="7" t="s">
        <v>276</v>
      </c>
      <c r="C13" s="7"/>
      <c r="D13" s="61">
        <f>SUM(D10:D12)</f>
        <v>244510.10400000011</v>
      </c>
      <c r="E13" s="61">
        <f t="shared" ref="E13:Q13" si="1">SUM(E10:E12)</f>
        <v>244244.87609999988</v>
      </c>
      <c r="F13" s="61">
        <f t="shared" si="1"/>
        <v>298979.68990000006</v>
      </c>
      <c r="G13" s="61">
        <f t="shared" si="1"/>
        <v>158547.30709999998</v>
      </c>
      <c r="H13" s="61">
        <f t="shared" si="1"/>
        <v>1096446.2741322378</v>
      </c>
      <c r="I13" s="61">
        <f t="shared" si="1"/>
        <v>511752.82934449019</v>
      </c>
      <c r="J13" s="61">
        <f t="shared" si="1"/>
        <v>501751.85380494373</v>
      </c>
      <c r="K13" s="61">
        <f t="shared" si="1"/>
        <v>486014.77367085754</v>
      </c>
      <c r="L13" s="61">
        <f t="shared" si="1"/>
        <v>465696.15246086894</v>
      </c>
      <c r="M13" s="61">
        <f t="shared" si="1"/>
        <v>441931.97803663393</v>
      </c>
      <c r="N13" s="61">
        <f t="shared" si="1"/>
        <v>415781.16330841067</v>
      </c>
      <c r="O13" s="61">
        <f t="shared" si="1"/>
        <v>388187.84834609856</v>
      </c>
      <c r="P13" s="61">
        <f t="shared" si="1"/>
        <v>359961.42896379461</v>
      </c>
      <c r="Q13" s="61">
        <f t="shared" si="1"/>
        <v>331770.50536570302</v>
      </c>
    </row>
    <row r="16" spans="2:17">
      <c r="B16" t="s">
        <v>31</v>
      </c>
      <c r="D16" s="60">
        <f>'Balance Sheet'!C30-'Balance Sheet'!D30</f>
        <v>-293477.01510000043</v>
      </c>
      <c r="E16" s="60">
        <f>'Balance Sheet'!D30-'Balance Sheet'!E30</f>
        <v>-473826.12549999962</v>
      </c>
      <c r="F16" s="60">
        <f>'Balance Sheet'!E30-'Balance Sheet'!F30</f>
        <v>-516370.54320000019</v>
      </c>
      <c r="G16" s="60">
        <f>'Balance Sheet'!F30-'Balance Sheet'!G30</f>
        <v>-466558.06589999981</v>
      </c>
      <c r="H16" s="60">
        <f>'Balance Sheet'!G30-'Balance Sheet'!H30</f>
        <v>-687192.7989475308</v>
      </c>
      <c r="I16" s="60">
        <f>'Balance Sheet'!H30-'Balance Sheet'!I30</f>
        <v>-552407.49500720017</v>
      </c>
      <c r="J16" s="60">
        <f>'Balance Sheet'!I30-'Balance Sheet'!J30</f>
        <v>-541612.02201977093</v>
      </c>
      <c r="K16" s="60">
        <f>'Balance Sheet'!J30-'Balance Sheet'!K30</f>
        <v>-524624.75684581231</v>
      </c>
      <c r="L16" s="60">
        <f>'Balance Sheet'!K30-'Balance Sheet'!L30</f>
        <v>-502691.98383313138</v>
      </c>
      <c r="M16" s="60">
        <f>'Balance Sheet'!L30-'Balance Sheet'!M30</f>
        <v>-477039.93598530442</v>
      </c>
      <c r="N16" s="60">
        <f>'Balance Sheet'!M30-'Balance Sheet'!N30</f>
        <v>-448811.64836661331</v>
      </c>
      <c r="O16" s="60">
        <f>'Balance Sheet'!N30-'Balance Sheet'!O30</f>
        <v>-419026.26541758236</v>
      </c>
      <c r="P16" s="60">
        <f>'Balance Sheet'!O30-'Balance Sheet'!P30</f>
        <v>-388557.48297045194</v>
      </c>
      <c r="Q16" s="60">
        <f>'Balance Sheet'!P30-'Balance Sheet'!Q30</f>
        <v>-358127.01616344042</v>
      </c>
    </row>
    <row r="17" spans="2:17">
      <c r="B17" t="s">
        <v>33</v>
      </c>
      <c r="D17" s="60">
        <f>'Balance Sheet'!C32-'Balance Sheet'!D32</f>
        <v>10142.992900000012</v>
      </c>
      <c r="E17" s="60">
        <f>'Balance Sheet'!D32-'Balance Sheet'!E32</f>
        <v>-58786.565999999992</v>
      </c>
      <c r="F17" s="60">
        <f>'Balance Sheet'!E32-'Balance Sheet'!F32</f>
        <v>-56988.3799</v>
      </c>
      <c r="G17" s="60">
        <f>'Balance Sheet'!F32-'Balance Sheet'!G32</f>
        <v>14194.564599999983</v>
      </c>
      <c r="H17" s="60">
        <f>'Balance Sheet'!G32-'Balance Sheet'!H32</f>
        <v>-165732.34862435522</v>
      </c>
      <c r="I17" s="60">
        <f>'Balance Sheet'!H32-'Balance Sheet'!I32</f>
        <v>-69270.451762318611</v>
      </c>
      <c r="J17" s="60">
        <f>'Balance Sheet'!I32-'Balance Sheet'!J32</f>
        <v>-67916.72774954536</v>
      </c>
      <c r="K17" s="60">
        <f>'Balance Sheet'!J32-'Balance Sheet'!K32</f>
        <v>-65786.56922808825</v>
      </c>
      <c r="L17" s="60">
        <f>'Balance Sheet'!K32-'Balance Sheet'!L32</f>
        <v>-63036.256988083245</v>
      </c>
      <c r="M17" s="60">
        <f>'Balance Sheet'!L32-'Balance Sheet'!M32</f>
        <v>-59819.557433663867</v>
      </c>
      <c r="N17" s="60">
        <f>'Balance Sheet'!M32-'Balance Sheet'!N32</f>
        <v>-56279.804165475653</v>
      </c>
      <c r="O17" s="60">
        <f>'Balance Sheet'!N32-'Balance Sheet'!O32</f>
        <v>-52544.79522471875</v>
      </c>
      <c r="P17" s="60">
        <f>'Balance Sheet'!O32-'Balance Sheet'!P32</f>
        <v>-48724.089778401423</v>
      </c>
      <c r="Q17" s="60">
        <f>'Balance Sheet'!P32-'Balance Sheet'!Q32</f>
        <v>-44908.189012912102</v>
      </c>
    </row>
    <row r="18" spans="2:17">
      <c r="B18" s="7" t="s">
        <v>276</v>
      </c>
      <c r="C18" s="7"/>
      <c r="D18" s="61">
        <f>SUM(D16:D17)</f>
        <v>-283334.02220000041</v>
      </c>
      <c r="E18" s="61">
        <f t="shared" ref="E18" si="2">SUM(E15:E17)</f>
        <v>-532612.69149999961</v>
      </c>
      <c r="F18" s="61">
        <f t="shared" ref="F18" si="3">SUM(F15:F17)</f>
        <v>-573358.92310000025</v>
      </c>
      <c r="G18" s="61">
        <f t="shared" ref="G18" si="4">SUM(G15:G17)</f>
        <v>-452363.50129999983</v>
      </c>
      <c r="H18" s="61">
        <f t="shared" ref="H18" si="5">SUM(H15:H17)</f>
        <v>-852925.14757188596</v>
      </c>
      <c r="I18" s="61">
        <f t="shared" ref="I18" si="6">SUM(I15:I17)</f>
        <v>-621677.94676951878</v>
      </c>
      <c r="J18" s="61">
        <f t="shared" ref="J18" si="7">SUM(J15:J17)</f>
        <v>-609528.74976931629</v>
      </c>
      <c r="K18" s="61">
        <f t="shared" ref="K18" si="8">SUM(K15:K17)</f>
        <v>-590411.32607390056</v>
      </c>
      <c r="L18" s="61">
        <f t="shared" ref="L18" si="9">SUM(L15:L17)</f>
        <v>-565728.24082121463</v>
      </c>
      <c r="M18" s="61">
        <f t="shared" ref="M18" si="10">SUM(M15:M17)</f>
        <v>-536859.49341896828</v>
      </c>
      <c r="N18" s="61">
        <f t="shared" ref="N18" si="11">SUM(N15:N17)</f>
        <v>-505091.45253208897</v>
      </c>
      <c r="O18" s="61">
        <f t="shared" ref="O18" si="12">SUM(O15:O17)</f>
        <v>-471571.0606423011</v>
      </c>
      <c r="P18" s="61">
        <f t="shared" ref="P18" si="13">SUM(P15:P17)</f>
        <v>-437281.57274885336</v>
      </c>
      <c r="Q18" s="61">
        <f t="shared" ref="Q18" si="14">SUM(Q15:Q17)</f>
        <v>-403035.20517635252</v>
      </c>
    </row>
    <row r="20" spans="2:17" ht="15.75" thickBot="1">
      <c r="B20" s="76" t="s">
        <v>317</v>
      </c>
      <c r="C20" s="76"/>
      <c r="D20" s="245">
        <f>D13+D18</f>
        <v>-38823.918200000306</v>
      </c>
      <c r="E20" s="245">
        <f t="shared" ref="E20:Q20" si="15">E13+E18</f>
        <v>-288367.81539999973</v>
      </c>
      <c r="F20" s="245">
        <f t="shared" si="15"/>
        <v>-274379.23320000019</v>
      </c>
      <c r="G20" s="245">
        <f t="shared" si="15"/>
        <v>-293816.19419999985</v>
      </c>
      <c r="H20" s="245">
        <f t="shared" si="15"/>
        <v>243521.12656035181</v>
      </c>
      <c r="I20" s="245">
        <f t="shared" si="15"/>
        <v>-109925.11742502858</v>
      </c>
      <c r="J20" s="245">
        <f t="shared" si="15"/>
        <v>-107776.89596437255</v>
      </c>
      <c r="K20" s="245">
        <f t="shared" si="15"/>
        <v>-104396.55240304302</v>
      </c>
      <c r="L20" s="245">
        <f t="shared" si="15"/>
        <v>-100032.08836034569</v>
      </c>
      <c r="M20" s="245">
        <f t="shared" si="15"/>
        <v>-94927.515382334357</v>
      </c>
      <c r="N20" s="245">
        <f t="shared" si="15"/>
        <v>-89310.289223678294</v>
      </c>
      <c r="O20" s="245">
        <f t="shared" si="15"/>
        <v>-83383.212296202546</v>
      </c>
      <c r="P20" s="245">
        <f t="shared" si="15"/>
        <v>-77320.143785058754</v>
      </c>
      <c r="Q20" s="245">
        <f t="shared" si="15"/>
        <v>-71264.699810649501</v>
      </c>
    </row>
    <row r="21" spans="2:17" ht="15.75" thickTop="1"/>
  </sheetData>
  <mergeCells count="1">
    <mergeCell ref="B7:B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Q33"/>
  <sheetViews>
    <sheetView showGridLines="0" topLeftCell="A13" workbookViewId="0">
      <selection activeCell="B30" sqref="B30"/>
    </sheetView>
  </sheetViews>
  <sheetFormatPr defaultRowHeight="15"/>
  <cols>
    <col min="1" max="1" width="1.85546875" customWidth="1"/>
    <col min="2" max="2" width="40.5703125" bestFit="1" customWidth="1"/>
    <col min="3" max="8" width="14.5703125" bestFit="1" customWidth="1"/>
    <col min="9" max="10" width="14.28515625" bestFit="1" customWidth="1"/>
    <col min="11" max="11" width="14.5703125" bestFit="1" customWidth="1"/>
    <col min="12" max="17" width="15.85546875" bestFit="1" customWidth="1"/>
  </cols>
  <sheetData>
    <row r="1" spans="1:17" ht="16.5" thickTop="1">
      <c r="B1" s="248" t="s">
        <v>318</v>
      </c>
    </row>
    <row r="2" spans="1:17">
      <c r="B2" s="10" t="s">
        <v>319</v>
      </c>
    </row>
    <row r="3" spans="1:17">
      <c r="C3" s="64">
        <v>10000</v>
      </c>
    </row>
    <row r="4" spans="1:17">
      <c r="B4" s="6" t="s">
        <v>355</v>
      </c>
    </row>
    <row r="5" spans="1:17">
      <c r="B5" s="148" t="s">
        <v>108</v>
      </c>
      <c r="C5" s="199"/>
      <c r="D5" s="199"/>
      <c r="E5" s="199"/>
      <c r="F5" s="199"/>
      <c r="G5" s="199"/>
      <c r="H5" s="199"/>
      <c r="I5" s="199"/>
      <c r="J5" s="199"/>
      <c r="K5" s="199"/>
      <c r="L5" s="199"/>
      <c r="M5" s="199"/>
      <c r="N5" s="199"/>
      <c r="O5" s="199"/>
      <c r="P5" s="199"/>
      <c r="Q5" s="199"/>
    </row>
    <row r="7" spans="1:17">
      <c r="B7" s="220"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1:17">
      <c r="B8" s="221"/>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9" spans="1:17" s="68" customFormat="1">
      <c r="A9"/>
      <c r="B9" s="67"/>
      <c r="C9" s="41"/>
      <c r="D9" s="41"/>
      <c r="E9" s="41"/>
      <c r="F9" s="41"/>
      <c r="G9" s="41"/>
      <c r="H9" s="41"/>
      <c r="I9" s="41"/>
      <c r="J9" s="41"/>
      <c r="K9" s="41"/>
      <c r="L9" s="41"/>
      <c r="M9" s="41"/>
      <c r="N9" s="41"/>
      <c r="O9" s="41"/>
      <c r="P9" s="41"/>
      <c r="Q9" s="41"/>
    </row>
    <row r="10" spans="1:17" s="68" customFormat="1">
      <c r="A10"/>
      <c r="B10" s="73" t="s">
        <v>407</v>
      </c>
      <c r="C10" s="74">
        <f>'Revenue_Build Up'!C10</f>
        <v>385337.89049999998</v>
      </c>
      <c r="D10" s="74">
        <f>'Revenue_Build Up'!D10</f>
        <v>406973.08970000001</v>
      </c>
      <c r="E10" s="74">
        <f>'Revenue_Build Up'!E10</f>
        <v>473378.14120000001</v>
      </c>
      <c r="F10" s="74">
        <f>'Revenue_Build Up'!F10</f>
        <v>594574.90449999995</v>
      </c>
      <c r="G10" s="74">
        <f>'Revenue_Build Up'!G10</f>
        <v>663343.31740000006</v>
      </c>
      <c r="H10" s="74">
        <f>'Revenue_Build Up'!H10</f>
        <v>747480.98423564713</v>
      </c>
      <c r="I10" s="74">
        <f>'Revenue_Build Up'!I10</f>
        <v>831100.28963413183</v>
      </c>
      <c r="J10" s="74">
        <f>'Revenue_Build Up'!J10</f>
        <v>913085.4572614677</v>
      </c>
      <c r="K10" s="74">
        <f>'Revenue_Build Up'!K10</f>
        <v>992499.22003404552</v>
      </c>
      <c r="L10" s="74">
        <f>'Revenue_Build Up'!L10</f>
        <v>1068592.9640498918</v>
      </c>
      <c r="M10" s="74">
        <f>'Revenue_Build Up'!M10</f>
        <v>1140803.6933664968</v>
      </c>
      <c r="N10" s="74">
        <f>'Revenue_Build Up'!N10</f>
        <v>1208741.4361204687</v>
      </c>
      <c r="O10" s="74">
        <f>'Revenue_Build Up'!O10</f>
        <v>1272170.4908936713</v>
      </c>
      <c r="P10" s="74">
        <f>'Revenue_Build Up'!P10</f>
        <v>1330987.4097932768</v>
      </c>
      <c r="Q10" s="74">
        <f>'Revenue_Build Up'!Q10</f>
        <v>1385197.9927536482</v>
      </c>
    </row>
    <row r="11" spans="1:17" s="68" customFormat="1">
      <c r="A11"/>
      <c r="B11" s="67"/>
      <c r="C11" s="41"/>
      <c r="D11" s="41"/>
      <c r="E11" s="41"/>
      <c r="F11" s="41"/>
      <c r="G11" s="41"/>
      <c r="H11" s="41"/>
      <c r="I11" s="41"/>
      <c r="J11" s="41"/>
      <c r="K11" s="41"/>
      <c r="L11" s="41"/>
      <c r="M11" s="41"/>
      <c r="N11" s="41"/>
      <c r="O11" s="41"/>
      <c r="P11" s="41"/>
      <c r="Q11" s="41"/>
    </row>
    <row r="12" spans="1:17">
      <c r="B12" t="str">
        <f>BS_Input!B12</f>
        <v>CASA Deposits</v>
      </c>
      <c r="C12" s="70">
        <f>BS_Input!C12</f>
        <v>1686779.5035999999</v>
      </c>
      <c r="D12" s="70">
        <f>BS_Input!D12</f>
        <v>1819711.9749</v>
      </c>
      <c r="E12" s="70">
        <f>BS_Input!E12</f>
        <v>1906519.4391999999</v>
      </c>
      <c r="F12" s="70">
        <f>BS_Input!F12</f>
        <v>1982929.8232</v>
      </c>
      <c r="G12" s="70">
        <f>BS_Input!G12</f>
        <v>2108936.5847</v>
      </c>
      <c r="H12" s="60">
        <f>H$10*H13</f>
        <v>2898806.6380298031</v>
      </c>
      <c r="I12" s="60">
        <f t="shared" ref="I12:Q12" si="1">I$10*I13</f>
        <v>3223090.7371155294</v>
      </c>
      <c r="J12" s="60">
        <f t="shared" si="1"/>
        <v>3541037.4851269601</v>
      </c>
      <c r="K12" s="60">
        <f t="shared" si="1"/>
        <v>3849012.0657933485</v>
      </c>
      <c r="L12" s="60">
        <f t="shared" si="1"/>
        <v>4144111.2789074262</v>
      </c>
      <c r="M12" s="60">
        <f t="shared" si="1"/>
        <v>4424151.769427727</v>
      </c>
      <c r="N12" s="60">
        <f t="shared" si="1"/>
        <v>4687621.1871405514</v>
      </c>
      <c r="O12" s="60">
        <f t="shared" si="1"/>
        <v>4933605.4581766026</v>
      </c>
      <c r="P12" s="60">
        <f t="shared" si="1"/>
        <v>5161703.401175091</v>
      </c>
      <c r="Q12" s="60">
        <f t="shared" si="1"/>
        <v>5371937.5088663837</v>
      </c>
    </row>
    <row r="13" spans="1:17">
      <c r="B13" s="30" t="str">
        <f>B12&amp;" x of Total Income"</f>
        <v>CASA Deposits x of Total Income</v>
      </c>
      <c r="C13" s="71">
        <f>C12/C$10</f>
        <v>4.3774036895548951</v>
      </c>
      <c r="D13" s="71">
        <f t="shared" ref="D13:G13" si="2">D12/D$10</f>
        <v>4.4713324319340124</v>
      </c>
      <c r="E13" s="71">
        <f t="shared" si="2"/>
        <v>4.02747671104337</v>
      </c>
      <c r="F13" s="71">
        <f t="shared" si="2"/>
        <v>3.3350378702369201</v>
      </c>
      <c r="G13" s="71">
        <f t="shared" si="2"/>
        <v>3.1792535318906339</v>
      </c>
      <c r="H13" s="72">
        <f>AVERAGE(C13:G13)</f>
        <v>3.8781008469319667</v>
      </c>
      <c r="I13" s="72">
        <f>H13</f>
        <v>3.8781008469319667</v>
      </c>
      <c r="J13" s="72">
        <f t="shared" ref="J13:Q13" si="3">I13</f>
        <v>3.8781008469319667</v>
      </c>
      <c r="K13" s="72">
        <f t="shared" si="3"/>
        <v>3.8781008469319667</v>
      </c>
      <c r="L13" s="72">
        <f t="shared" si="3"/>
        <v>3.8781008469319667</v>
      </c>
      <c r="M13" s="72">
        <f t="shared" si="3"/>
        <v>3.8781008469319667</v>
      </c>
      <c r="N13" s="72">
        <f t="shared" si="3"/>
        <v>3.8781008469319667</v>
      </c>
      <c r="O13" s="72">
        <f t="shared" si="3"/>
        <v>3.8781008469319667</v>
      </c>
      <c r="P13" s="72">
        <f t="shared" si="3"/>
        <v>3.8781008469319667</v>
      </c>
      <c r="Q13" s="72">
        <f t="shared" si="3"/>
        <v>3.8781008469319667</v>
      </c>
    </row>
    <row r="14" spans="1:17">
      <c r="B14" s="241"/>
      <c r="C14" s="242"/>
      <c r="D14" s="242"/>
      <c r="E14" s="242"/>
      <c r="F14" s="242"/>
      <c r="G14" s="242"/>
      <c r="H14" s="243"/>
      <c r="I14" s="243"/>
      <c r="J14" s="243"/>
      <c r="K14" s="243"/>
      <c r="L14" s="243"/>
      <c r="M14" s="243"/>
      <c r="N14" s="243"/>
      <c r="O14" s="243"/>
      <c r="P14" s="243"/>
      <c r="Q14" s="243"/>
    </row>
    <row r="15" spans="1:17">
      <c r="B15" t="str">
        <f>BS_Input!B13</f>
        <v>Fixed Deposits</v>
      </c>
      <c r="C15" s="70">
        <f>BS_Input!C13</f>
        <v>2028551.7381</v>
      </c>
      <c r="D15" s="70">
        <f>BS_Input!D13</f>
        <v>2267698.6257000002</v>
      </c>
      <c r="E15" s="70">
        <f>BS_Input!E13</f>
        <v>2562016.0676000002</v>
      </c>
      <c r="F15" s="70">
        <f>BS_Input!F13</f>
        <v>2983607.6639999999</v>
      </c>
      <c r="G15" s="70">
        <f>BS_Input!G13</f>
        <v>3330961.4344000001</v>
      </c>
      <c r="H15" s="60">
        <f>H$10*H16</f>
        <v>3929982.7304645316</v>
      </c>
      <c r="I15" s="60">
        <f t="shared" ref="I15:Q15" si="4">I$10*I16</f>
        <v>4369622.5782735357</v>
      </c>
      <c r="J15" s="60">
        <f t="shared" si="4"/>
        <v>4800670.7249486549</v>
      </c>
      <c r="K15" s="60">
        <f t="shared" si="4"/>
        <v>5218199.3615822373</v>
      </c>
      <c r="L15" s="60">
        <f t="shared" si="4"/>
        <v>5618272.5489750402</v>
      </c>
      <c r="M15" s="60">
        <f t="shared" si="4"/>
        <v>5997930.259543689</v>
      </c>
      <c r="N15" s="60">
        <f t="shared" si="4"/>
        <v>6355122.1632853905</v>
      </c>
      <c r="O15" s="60">
        <f t="shared" si="4"/>
        <v>6688609.0280024596</v>
      </c>
      <c r="P15" s="60">
        <f t="shared" si="4"/>
        <v>6997846.9623573376</v>
      </c>
      <c r="Q15" s="60">
        <f t="shared" si="4"/>
        <v>7282866.4602921642</v>
      </c>
    </row>
    <row r="16" spans="1:17">
      <c r="B16" s="30" t="str">
        <f>B15 &amp; " x of Total Inomce"</f>
        <v>Fixed Deposits x of Total Inomce</v>
      </c>
      <c r="C16" s="71">
        <f>C15/C$10</f>
        <v>5.264345365745962</v>
      </c>
      <c r="D16" s="71">
        <f t="shared" ref="D16:G16" si="5">D15/D$10</f>
        <v>5.5721095155741942</v>
      </c>
      <c r="E16" s="71">
        <f t="shared" si="5"/>
        <v>5.4121976589484317</v>
      </c>
      <c r="F16" s="71">
        <f t="shared" si="5"/>
        <v>5.0180517903106354</v>
      </c>
      <c r="G16" s="71">
        <f t="shared" si="5"/>
        <v>5.0214743211039394</v>
      </c>
      <c r="H16" s="72">
        <f>AVERAGE(C16:G16)</f>
        <v>5.2576357303366326</v>
      </c>
      <c r="I16" s="72">
        <f>H16</f>
        <v>5.2576357303366326</v>
      </c>
      <c r="J16" s="72">
        <f t="shared" ref="J16" si="6">I16</f>
        <v>5.2576357303366326</v>
      </c>
      <c r="K16" s="72">
        <f t="shared" ref="K16" si="7">J16</f>
        <v>5.2576357303366326</v>
      </c>
      <c r="L16" s="72">
        <f t="shared" ref="L16" si="8">K16</f>
        <v>5.2576357303366326</v>
      </c>
      <c r="M16" s="72">
        <f t="shared" ref="M16" si="9">L16</f>
        <v>5.2576357303366326</v>
      </c>
      <c r="N16" s="72">
        <f t="shared" ref="N16" si="10">M16</f>
        <v>5.2576357303366326</v>
      </c>
      <c r="O16" s="72">
        <f t="shared" ref="O16" si="11">N16</f>
        <v>5.2576357303366326</v>
      </c>
      <c r="P16" s="72">
        <f t="shared" ref="P16" si="12">O16</f>
        <v>5.2576357303366326</v>
      </c>
      <c r="Q16" s="72">
        <f t="shared" ref="Q16" si="13">P16</f>
        <v>5.2576357303366326</v>
      </c>
    </row>
    <row r="18" spans="2:17">
      <c r="B18" t="s">
        <v>24</v>
      </c>
      <c r="C18" s="35">
        <f>BS_Input!C14</f>
        <v>433796.20809999999</v>
      </c>
      <c r="D18" s="35">
        <f>BS_Input!D14</f>
        <v>449159.78360000002</v>
      </c>
      <c r="E18" s="35">
        <f>BS_Input!E14</f>
        <v>521151.9498</v>
      </c>
      <c r="F18" s="35">
        <f>BS_Input!F14</f>
        <v>639609.50289999996</v>
      </c>
      <c r="G18" s="35">
        <f>BS_Input!G14</f>
        <v>610857.245</v>
      </c>
      <c r="H18" s="60">
        <f>H$10*H19</f>
        <v>796359.52193562745</v>
      </c>
      <c r="I18" s="60">
        <f t="shared" ref="I18" si="14">I$10*I19</f>
        <v>885446.77830218326</v>
      </c>
      <c r="J18" s="60">
        <f t="shared" ref="J18" si="15">J$10*J19</f>
        <v>972793.03897566488</v>
      </c>
      <c r="K18" s="60">
        <f t="shared" ref="K18" si="16">K$10*K19</f>
        <v>1057399.7480297405</v>
      </c>
      <c r="L18" s="60">
        <f t="shared" ref="L18" si="17">L$10*L19</f>
        <v>1138469.3389420994</v>
      </c>
      <c r="M18" s="60">
        <f t="shared" ref="M18" si="18">M$10*M19</f>
        <v>1215402.0008960329</v>
      </c>
      <c r="N18" s="60">
        <f t="shared" ref="N18" si="19">N$10*N19</f>
        <v>1287782.2613735122</v>
      </c>
      <c r="O18" s="60">
        <f t="shared" ref="O18" si="20">O$10*O19</f>
        <v>1355359.006202237</v>
      </c>
      <c r="P18" s="60">
        <f t="shared" ref="P18" si="21">P$10*P19</f>
        <v>1418022.0229270209</v>
      </c>
      <c r="Q18" s="60">
        <f t="shared" ref="Q18" si="22">Q$10*Q19</f>
        <v>1475777.4907458024</v>
      </c>
    </row>
    <row r="19" spans="2:17">
      <c r="B19" s="30" t="str">
        <f>B18 &amp; " x of Total Inomce"</f>
        <v>Borrowings x of Total Inomce</v>
      </c>
      <c r="C19" s="71">
        <f>C18/C$10</f>
        <v>1.1257553923314478</v>
      </c>
      <c r="D19" s="71">
        <f t="shared" ref="D19" si="23">D18/D$10</f>
        <v>1.1036596644045873</v>
      </c>
      <c r="E19" s="71">
        <f t="shared" ref="E19" si="24">E18/E$10</f>
        <v>1.1009210279099384</v>
      </c>
      <c r="F19" s="71">
        <f t="shared" ref="F19" si="25">F18/F$10</f>
        <v>1.0757425146254218</v>
      </c>
      <c r="G19" s="71">
        <f t="shared" ref="G19" si="26">G18/G$10</f>
        <v>0.92087645865534418</v>
      </c>
      <c r="H19" s="72">
        <f>AVERAGE(C19:G19)</f>
        <v>1.0653910115853478</v>
      </c>
      <c r="I19" s="72">
        <f>H19</f>
        <v>1.0653910115853478</v>
      </c>
      <c r="J19" s="72">
        <f t="shared" ref="J19:Q19" si="27">I19</f>
        <v>1.0653910115853478</v>
      </c>
      <c r="K19" s="72">
        <f t="shared" si="27"/>
        <v>1.0653910115853478</v>
      </c>
      <c r="L19" s="72">
        <f t="shared" si="27"/>
        <v>1.0653910115853478</v>
      </c>
      <c r="M19" s="72">
        <f t="shared" si="27"/>
        <v>1.0653910115853478</v>
      </c>
      <c r="N19" s="72">
        <f t="shared" si="27"/>
        <v>1.0653910115853478</v>
      </c>
      <c r="O19" s="72">
        <f t="shared" si="27"/>
        <v>1.0653910115853478</v>
      </c>
      <c r="P19" s="72">
        <f t="shared" si="27"/>
        <v>1.0653910115853478</v>
      </c>
      <c r="Q19" s="72">
        <f t="shared" si="27"/>
        <v>1.0653910115853478</v>
      </c>
    </row>
    <row r="21" spans="2:17">
      <c r="B21" t="s">
        <v>25</v>
      </c>
      <c r="C21" s="35">
        <f>BS_Input!C15</f>
        <v>411303.6201</v>
      </c>
      <c r="D21" s="35">
        <f>BS_Input!D15</f>
        <v>507517.67729999998</v>
      </c>
      <c r="E21" s="35">
        <f>BS_Input!E15</f>
        <v>592962.92290000001</v>
      </c>
      <c r="F21" s="35">
        <f>BS_Input!F15</f>
        <v>697074.67570000002</v>
      </c>
      <c r="G21" s="35">
        <f>BS_Input!G15</f>
        <v>758367.47919999994</v>
      </c>
      <c r="H21" s="60">
        <f>H$10*H22</f>
        <v>879441.4230668071</v>
      </c>
      <c r="I21" s="60">
        <f t="shared" ref="I21" si="28">I$10*I22</f>
        <v>977822.89695901517</v>
      </c>
      <c r="J21" s="60">
        <f t="shared" ref="J21" si="29">J$10*J22</f>
        <v>1074281.7420790466</v>
      </c>
      <c r="K21" s="60">
        <f t="shared" ref="K21" si="30">K$10*K22</f>
        <v>1167715.2260294401</v>
      </c>
      <c r="L21" s="60">
        <f t="shared" ref="L21" si="31">L$10*L22</f>
        <v>1257242.5744638725</v>
      </c>
      <c r="M21" s="60">
        <f t="shared" ref="M21" si="32">M$10*M22</f>
        <v>1342201.4000262721</v>
      </c>
      <c r="N21" s="60">
        <f t="shared" ref="N21" si="33">N$10*N22</f>
        <v>1422132.885144379</v>
      </c>
      <c r="O21" s="60">
        <f t="shared" ref="O21" si="34">O$10*O22</f>
        <v>1496759.7176257016</v>
      </c>
      <c r="P21" s="60">
        <f t="shared" ref="P21" si="35">P$10*P22</f>
        <v>1565960.1868662238</v>
      </c>
      <c r="Q21" s="60">
        <f t="shared" ref="Q21" si="36">Q$10*Q22</f>
        <v>1629741.1167218527</v>
      </c>
    </row>
    <row r="22" spans="2:17">
      <c r="B22" s="30" t="str">
        <f>B21 &amp; " x of Income"</f>
        <v>Other Liabilities and Provisions x of Income</v>
      </c>
      <c r="C22" s="71">
        <f>C21/C$10</f>
        <v>1.0673843144942425</v>
      </c>
      <c r="D22" s="71">
        <f t="shared" ref="D22" si="37">D21/D$10</f>
        <v>1.2470546336960913</v>
      </c>
      <c r="E22" s="71">
        <f t="shared" ref="E22" si="38">E21/E$10</f>
        <v>1.2526199908530968</v>
      </c>
      <c r="F22" s="71">
        <f t="shared" ref="F22" si="39">F21/F$10</f>
        <v>1.1723916876145251</v>
      </c>
      <c r="G22" s="71">
        <f t="shared" ref="G22" si="40">G21/G$10</f>
        <v>1.1432503491140165</v>
      </c>
      <c r="H22" s="72">
        <f>AVERAGE(C22:G22)</f>
        <v>1.1765401951543943</v>
      </c>
      <c r="I22" s="72">
        <f>H22</f>
        <v>1.1765401951543943</v>
      </c>
      <c r="J22" s="72">
        <f t="shared" ref="J22:Q22" si="41">I22</f>
        <v>1.1765401951543943</v>
      </c>
      <c r="K22" s="72">
        <f t="shared" si="41"/>
        <v>1.1765401951543943</v>
      </c>
      <c r="L22" s="72">
        <f t="shared" si="41"/>
        <v>1.1765401951543943</v>
      </c>
      <c r="M22" s="72">
        <f t="shared" si="41"/>
        <v>1.1765401951543943</v>
      </c>
      <c r="N22" s="72">
        <f t="shared" si="41"/>
        <v>1.1765401951543943</v>
      </c>
      <c r="O22" s="72">
        <f t="shared" si="41"/>
        <v>1.1765401951543943</v>
      </c>
      <c r="P22" s="72">
        <f t="shared" si="41"/>
        <v>1.1765401951543943</v>
      </c>
      <c r="Q22" s="72">
        <f t="shared" si="41"/>
        <v>1.1765401951543943</v>
      </c>
    </row>
    <row r="24" spans="2:17">
      <c r="B24" t="s">
        <v>30</v>
      </c>
      <c r="C24" s="35">
        <f>BS_Input!C21</f>
        <v>1595100.2664000001</v>
      </c>
      <c r="D24" s="35">
        <f>BS_Input!D21</f>
        <v>1776489.8988000001</v>
      </c>
      <c r="E24" s="35">
        <f>BS_Input!E21</f>
        <v>1913107.8563999999</v>
      </c>
      <c r="F24" s="35">
        <f>BS_Input!F21</f>
        <v>2110548.2259</v>
      </c>
      <c r="G24" s="35">
        <f>BS_Input!G21</f>
        <v>2205601.1083</v>
      </c>
      <c r="H24" s="60">
        <f>H$10*H25</f>
        <v>2903314.8900901848</v>
      </c>
      <c r="I24" s="60">
        <f t="shared" ref="I24" si="42">I$10*I25</f>
        <v>3228103.3189365352</v>
      </c>
      <c r="J24" s="60">
        <f t="shared" ref="J24" si="43">J$10*J25</f>
        <v>3546544.5407990357</v>
      </c>
      <c r="K24" s="60">
        <f t="shared" ref="K24" si="44">K$10*K25</f>
        <v>3854998.0865055956</v>
      </c>
      <c r="L24" s="60">
        <f t="shared" ref="L24" si="45">L$10*L25</f>
        <v>4150556.2407639655</v>
      </c>
      <c r="M24" s="60">
        <f t="shared" ref="M24" si="46">M$10*M25</f>
        <v>4431032.252957846</v>
      </c>
      <c r="N24" s="60">
        <f t="shared" ref="N24" si="47">N$10*N25</f>
        <v>4694911.4208518891</v>
      </c>
      <c r="O24" s="60">
        <f t="shared" ref="O24" si="48">O$10*O25</f>
        <v>4941278.2490002951</v>
      </c>
      <c r="P24" s="60">
        <f t="shared" ref="P24" si="49">P$10*P25</f>
        <v>5169730.9321211511</v>
      </c>
      <c r="Q24" s="60">
        <f t="shared" ref="Q24" si="50">Q$10*Q25</f>
        <v>5380291.9979257323</v>
      </c>
    </row>
    <row r="25" spans="2:17">
      <c r="B25" s="30" t="str">
        <f>B24 &amp; " x of Income"</f>
        <v>Investments x of Income</v>
      </c>
      <c r="C25" s="71">
        <f>C24/C$10</f>
        <v>4.1394846074707523</v>
      </c>
      <c r="D25" s="71">
        <f t="shared" ref="D25" si="51">D24/D$10</f>
        <v>4.365128662707253</v>
      </c>
      <c r="E25" s="71">
        <f t="shared" ref="E25" si="52">E24/E$10</f>
        <v>4.0413945847823189</v>
      </c>
      <c r="F25" s="71">
        <f t="shared" ref="F25" si="53">F24/F$10</f>
        <v>3.5496759280058048</v>
      </c>
      <c r="G25" s="71">
        <f t="shared" ref="G25" si="54">G24/G$10</f>
        <v>3.3249767510207828</v>
      </c>
      <c r="H25" s="72">
        <f>AVERAGE(C25:G25)</f>
        <v>3.8841321067973822</v>
      </c>
      <c r="I25" s="72">
        <f>H25</f>
        <v>3.8841321067973822</v>
      </c>
      <c r="J25" s="72">
        <f t="shared" ref="J25:Q25" si="55">I25</f>
        <v>3.8841321067973822</v>
      </c>
      <c r="K25" s="72">
        <f t="shared" si="55"/>
        <v>3.8841321067973822</v>
      </c>
      <c r="L25" s="72">
        <f t="shared" si="55"/>
        <v>3.8841321067973822</v>
      </c>
      <c r="M25" s="72">
        <f t="shared" si="55"/>
        <v>3.8841321067973822</v>
      </c>
      <c r="N25" s="72">
        <f t="shared" si="55"/>
        <v>3.8841321067973822</v>
      </c>
      <c r="O25" s="72">
        <f t="shared" si="55"/>
        <v>3.8841321067973822</v>
      </c>
      <c r="P25" s="72">
        <f t="shared" si="55"/>
        <v>3.8841321067973822</v>
      </c>
      <c r="Q25" s="72">
        <f t="shared" si="55"/>
        <v>3.8841321067973822</v>
      </c>
    </row>
    <row r="27" spans="2:17">
      <c r="B27" t="s">
        <v>31</v>
      </c>
      <c r="C27" s="35">
        <f>BS_Input!C22</f>
        <v>2500598.9866999998</v>
      </c>
      <c r="D27" s="35">
        <f>BS_Input!D22</f>
        <v>2794076.0018000002</v>
      </c>
      <c r="E27" s="35">
        <f>BS_Input!E22</f>
        <v>3267902.1272999998</v>
      </c>
      <c r="F27" s="35">
        <f>BS_Input!F22</f>
        <v>3784272.6705</v>
      </c>
      <c r="G27" s="35">
        <f>BS_Input!G22</f>
        <v>4250830.7363999998</v>
      </c>
      <c r="H27" s="60">
        <f>H$10*H28</f>
        <v>4938023.5353475306</v>
      </c>
      <c r="I27" s="60">
        <f t="shared" ref="I27" si="56">I$10*I28</f>
        <v>5490431.0303547308</v>
      </c>
      <c r="J27" s="60">
        <f t="shared" ref="J27" si="57">J$10*J28</f>
        <v>6032043.0523745017</v>
      </c>
      <c r="K27" s="60">
        <f t="shared" ref="K27" si="58">K$10*K28</f>
        <v>6556667.809220314</v>
      </c>
      <c r="L27" s="60">
        <f t="shared" ref="L27" si="59">L$10*L28</f>
        <v>7059359.7930534454</v>
      </c>
      <c r="M27" s="60">
        <f t="shared" ref="M27" si="60">M$10*M28</f>
        <v>7536399.7290387498</v>
      </c>
      <c r="N27" s="60">
        <f t="shared" ref="N27" si="61">N$10*N28</f>
        <v>7985211.3774053631</v>
      </c>
      <c r="O27" s="60">
        <f t="shared" ref="O27" si="62">O$10*O28</f>
        <v>8404237.6428229455</v>
      </c>
      <c r="P27" s="60">
        <f t="shared" ref="P27" si="63">P$10*P28</f>
        <v>8792795.1257933974</v>
      </c>
      <c r="Q27" s="60">
        <f t="shared" ref="Q27" si="64">Q$10*Q28</f>
        <v>9150922.1419568378</v>
      </c>
    </row>
    <row r="28" spans="2:17">
      <c r="B28" s="30" t="str">
        <f>B27 &amp; " x of Income"</f>
        <v>Advances x of Income</v>
      </c>
      <c r="C28" s="71">
        <f>C27/C$10</f>
        <v>6.4893669902415159</v>
      </c>
      <c r="D28" s="71">
        <f t="shared" ref="D28" si="65">D27/D$10</f>
        <v>6.8655055395914548</v>
      </c>
      <c r="E28" s="71">
        <f t="shared" ref="E28" si="66">E27/E$10</f>
        <v>6.9033650751510445</v>
      </c>
      <c r="F28" s="71">
        <f t="shared" ref="F28" si="67">F27/F$10</f>
        <v>6.3646693492426074</v>
      </c>
      <c r="G28" s="71">
        <f t="shared" ref="G28" si="68">G27/G$10</f>
        <v>6.4081910903411163</v>
      </c>
      <c r="H28" s="72">
        <f>AVERAGE(C28:G28)</f>
        <v>6.6062196089135483</v>
      </c>
      <c r="I28" s="72">
        <f>H28</f>
        <v>6.6062196089135483</v>
      </c>
      <c r="J28" s="72">
        <f t="shared" ref="J28:Q28" si="69">I28</f>
        <v>6.6062196089135483</v>
      </c>
      <c r="K28" s="72">
        <f t="shared" si="69"/>
        <v>6.6062196089135483</v>
      </c>
      <c r="L28" s="72">
        <f t="shared" si="69"/>
        <v>6.6062196089135483</v>
      </c>
      <c r="M28" s="72">
        <f t="shared" si="69"/>
        <v>6.6062196089135483</v>
      </c>
      <c r="N28" s="72">
        <f t="shared" si="69"/>
        <v>6.6062196089135483</v>
      </c>
      <c r="O28" s="72">
        <f t="shared" si="69"/>
        <v>6.6062196089135483</v>
      </c>
      <c r="P28" s="72">
        <f t="shared" si="69"/>
        <v>6.6062196089135483</v>
      </c>
      <c r="Q28" s="72">
        <f t="shared" si="69"/>
        <v>6.6062196089135483</v>
      </c>
    </row>
    <row r="30" spans="2:17">
      <c r="B30" t="s">
        <v>33</v>
      </c>
      <c r="C30" s="35">
        <f>BS_Input!C24</f>
        <v>362045.46950000001</v>
      </c>
      <c r="D30" s="35">
        <f>BS_Input!D24</f>
        <v>351902.47659999999</v>
      </c>
      <c r="E30" s="35">
        <f>BS_Input!E24</f>
        <v>410689.04259999999</v>
      </c>
      <c r="F30" s="35">
        <f>BS_Input!F24</f>
        <v>467677.42249999999</v>
      </c>
      <c r="G30" s="35">
        <f>BS_Input!G24</f>
        <v>453482.8579</v>
      </c>
      <c r="H30" s="60">
        <f>H$10*H31</f>
        <v>619215.20652435522</v>
      </c>
      <c r="I30" s="60">
        <f t="shared" ref="I30" si="70">I$10*I31</f>
        <v>688485.65828667383</v>
      </c>
      <c r="J30" s="60">
        <f t="shared" ref="J30" si="71">J$10*J31</f>
        <v>756402.38603621919</v>
      </c>
      <c r="K30" s="60">
        <f t="shared" ref="K30" si="72">K$10*K31</f>
        <v>822188.95526430744</v>
      </c>
      <c r="L30" s="60">
        <f t="shared" ref="L30" si="73">L$10*L31</f>
        <v>885225.21225239069</v>
      </c>
      <c r="M30" s="60">
        <f t="shared" ref="M30" si="74">M$10*M31</f>
        <v>945044.76968605455</v>
      </c>
      <c r="N30" s="60">
        <f t="shared" ref="N30" si="75">N$10*N31</f>
        <v>1001324.5738515302</v>
      </c>
      <c r="O30" s="60">
        <f t="shared" ref="O30" si="76">O$10*O31</f>
        <v>1053869.369076249</v>
      </c>
      <c r="P30" s="60">
        <f t="shared" ref="P30" si="77">P$10*P31</f>
        <v>1102593.4588546504</v>
      </c>
      <c r="Q30" s="60">
        <f t="shared" ref="Q30" si="78">Q$10*Q31</f>
        <v>1147501.6478675625</v>
      </c>
    </row>
    <row r="31" spans="2:17">
      <c r="B31" s="30" t="str">
        <f>B30 &amp; " x of Income"</f>
        <v>Other Assets x of Income</v>
      </c>
      <c r="C31" s="71">
        <f>C30/C$10</f>
        <v>0.93955325553431401</v>
      </c>
      <c r="D31" s="71">
        <f t="shared" ref="D31" si="79">D30/D$10</f>
        <v>0.86468242128590056</v>
      </c>
      <c r="E31" s="71">
        <f t="shared" ref="E31" si="80">E30/E$10</f>
        <v>0.86757077874131461</v>
      </c>
      <c r="F31" s="71">
        <f t="shared" ref="F31" si="81">F30/F$10</f>
        <v>0.78657443992407861</v>
      </c>
      <c r="G31" s="71">
        <f t="shared" ref="G31" si="82">G30/G$10</f>
        <v>0.68363220975443562</v>
      </c>
      <c r="H31" s="72">
        <f>AVERAGE(C31:G31)</f>
        <v>0.82840262104800855</v>
      </c>
      <c r="I31" s="72">
        <f>H31</f>
        <v>0.82840262104800855</v>
      </c>
      <c r="J31" s="72">
        <f t="shared" ref="J31:Q31" si="83">I31</f>
        <v>0.82840262104800855</v>
      </c>
      <c r="K31" s="72">
        <f t="shared" si="83"/>
        <v>0.82840262104800855</v>
      </c>
      <c r="L31" s="72">
        <f t="shared" si="83"/>
        <v>0.82840262104800855</v>
      </c>
      <c r="M31" s="72">
        <f t="shared" si="83"/>
        <v>0.82840262104800855</v>
      </c>
      <c r="N31" s="72">
        <f t="shared" si="83"/>
        <v>0.82840262104800855</v>
      </c>
      <c r="O31" s="72">
        <f t="shared" si="83"/>
        <v>0.82840262104800855</v>
      </c>
      <c r="P31" s="72">
        <f t="shared" si="83"/>
        <v>0.82840262104800855</v>
      </c>
      <c r="Q31" s="72">
        <f t="shared" si="83"/>
        <v>0.82840262104800855</v>
      </c>
    </row>
    <row r="33" spans="2:17">
      <c r="B33" s="81"/>
      <c r="C33" s="81"/>
      <c r="D33" s="81"/>
      <c r="E33" s="81"/>
      <c r="F33" s="81"/>
      <c r="G33" s="81"/>
      <c r="H33" s="81"/>
      <c r="I33" s="81"/>
      <c r="J33" s="81"/>
      <c r="K33" s="81"/>
      <c r="L33" s="81"/>
      <c r="M33" s="81"/>
      <c r="N33" s="81"/>
      <c r="O33" s="81"/>
      <c r="P33" s="81"/>
      <c r="Q33" s="8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Q43"/>
  <sheetViews>
    <sheetView showGridLines="0" topLeftCell="A7" workbookViewId="0">
      <selection activeCell="C11" sqref="C11"/>
    </sheetView>
  </sheetViews>
  <sheetFormatPr defaultRowHeight="15"/>
  <cols>
    <col min="1" max="1" width="1.85546875" customWidth="1"/>
    <col min="2" max="2" width="37" bestFit="1" customWidth="1"/>
    <col min="3" max="10" width="13.28515625" bestFit="1" customWidth="1"/>
    <col min="11" max="17" width="14.28515625" bestFit="1" customWidth="1"/>
  </cols>
  <sheetData>
    <row r="1" spans="2:17" ht="16.5" thickTop="1">
      <c r="B1" s="248" t="s">
        <v>318</v>
      </c>
    </row>
    <row r="2" spans="2:17">
      <c r="B2" s="10" t="s">
        <v>319</v>
      </c>
    </row>
    <row r="3" spans="2:17">
      <c r="C3" s="64">
        <v>10000</v>
      </c>
    </row>
    <row r="4" spans="2:17">
      <c r="B4" s="6" t="s">
        <v>355</v>
      </c>
    </row>
    <row r="5" spans="2:17">
      <c r="B5" s="148" t="s">
        <v>1</v>
      </c>
      <c r="C5" s="199"/>
      <c r="D5" s="199"/>
      <c r="E5" s="199"/>
      <c r="F5" s="199"/>
      <c r="G5" s="199"/>
      <c r="H5" s="199"/>
      <c r="I5" s="199"/>
      <c r="J5" s="199"/>
      <c r="K5" s="199"/>
      <c r="L5" s="199"/>
      <c r="M5" s="199"/>
      <c r="N5" s="199"/>
      <c r="O5" s="199"/>
      <c r="P5" s="199"/>
      <c r="Q5" s="199"/>
    </row>
    <row r="7" spans="2:17">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2:17">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9" spans="2:17">
      <c r="B9" s="1"/>
    </row>
    <row r="10" spans="2:17">
      <c r="B10" s="39" t="s">
        <v>407</v>
      </c>
      <c r="C10" s="91">
        <f>'Revenue_Build Up'!C10</f>
        <v>385337.89049999998</v>
      </c>
      <c r="D10" s="91">
        <f>'Revenue_Build Up'!D10</f>
        <v>406973.08970000001</v>
      </c>
      <c r="E10" s="91">
        <f>'Revenue_Build Up'!E10</f>
        <v>473378.14120000001</v>
      </c>
      <c r="F10" s="91">
        <f>'Revenue_Build Up'!F10</f>
        <v>594574.90449999995</v>
      </c>
      <c r="G10" s="91">
        <f>'Revenue_Build Up'!G10</f>
        <v>663343.31740000006</v>
      </c>
      <c r="H10" s="91">
        <f>'Revenue_Build Up'!H10</f>
        <v>747480.98423564713</v>
      </c>
      <c r="I10" s="91">
        <f>'Revenue_Build Up'!I10</f>
        <v>831100.28963413183</v>
      </c>
      <c r="J10" s="91">
        <f>'Revenue_Build Up'!J10</f>
        <v>913085.4572614677</v>
      </c>
      <c r="K10" s="91">
        <f>'Revenue_Build Up'!K10</f>
        <v>992499.22003404552</v>
      </c>
      <c r="L10" s="91">
        <f>'Revenue_Build Up'!L10</f>
        <v>1068592.9640498918</v>
      </c>
      <c r="M10" s="91">
        <f>'Revenue_Build Up'!M10</f>
        <v>1140803.6933664968</v>
      </c>
      <c r="N10" s="91">
        <f>'Revenue_Build Up'!N10</f>
        <v>1208741.4361204687</v>
      </c>
      <c r="O10" s="91">
        <f>'Revenue_Build Up'!O10</f>
        <v>1272170.4908936713</v>
      </c>
      <c r="P10" s="91">
        <f>'Revenue_Build Up'!P10</f>
        <v>1330987.4097932768</v>
      </c>
      <c r="Q10" s="91">
        <f>'Revenue_Build Up'!Q10</f>
        <v>1385197.9927536482</v>
      </c>
    </row>
    <row r="12" spans="2:17">
      <c r="B12" s="1" t="s">
        <v>6</v>
      </c>
    </row>
    <row r="13" spans="2:17">
      <c r="B13" t="s">
        <v>18</v>
      </c>
      <c r="C13" s="66">
        <f>Cost_BuildUp!C12</f>
        <v>143060.44620000001</v>
      </c>
      <c r="D13" s="66">
        <f>Cost_BuildUp!D12</f>
        <v>141765.283</v>
      </c>
      <c r="E13" s="66">
        <f>Cost_BuildUp!E12</f>
        <v>163518.78320000001</v>
      </c>
      <c r="F13" s="66">
        <f>Cost_BuildUp!F12</f>
        <v>223278.71350000001</v>
      </c>
      <c r="G13" s="66">
        <f>Cost_BuildUp!G12</f>
        <v>259228.11910000001</v>
      </c>
      <c r="H13" s="66">
        <f>Cost_BuildUp!H12</f>
        <v>273779.38988900516</v>
      </c>
      <c r="I13" s="66">
        <f>Cost_BuildUp!I12</f>
        <v>304406.58027612854</v>
      </c>
      <c r="J13" s="66">
        <f>Cost_BuildUp!J12</f>
        <v>334435.23604977655</v>
      </c>
      <c r="K13" s="66">
        <f>Cost_BuildUp!K12</f>
        <v>363522.06498482847</v>
      </c>
      <c r="L13" s="66">
        <f>Cost_BuildUp!L12</f>
        <v>391392.8727383283</v>
      </c>
      <c r="M13" s="66">
        <f>Cost_BuildUp!M12</f>
        <v>417841.45114056853</v>
      </c>
      <c r="N13" s="66">
        <f>Cost_BuildUp!N12</f>
        <v>442724.96544245863</v>
      </c>
      <c r="O13" s="66">
        <f>Cost_BuildUp!O12</f>
        <v>465957.0854338471</v>
      </c>
      <c r="P13" s="66">
        <f>Cost_BuildUp!P12</f>
        <v>487499.92132010235</v>
      </c>
      <c r="Q13" s="66">
        <f>Cost_BuildUp!Q12</f>
        <v>507355.59743953502</v>
      </c>
    </row>
    <row r="14" spans="2:17">
      <c r="B14" t="s">
        <v>7</v>
      </c>
      <c r="C14" s="66">
        <f>Cost_BuildUp!C15</f>
        <v>142899.03829999999</v>
      </c>
      <c r="D14" s="66">
        <f>Cost_BuildUp!D15</f>
        <v>161647.85279999999</v>
      </c>
      <c r="E14" s="66">
        <f>Cost_BuildUp!E15</f>
        <v>168795.16510000001</v>
      </c>
      <c r="F14" s="66">
        <f>Cost_BuildUp!F15</f>
        <v>200776.4461</v>
      </c>
      <c r="G14" s="66">
        <f>Cost_BuildUp!G15</f>
        <v>198820.5968</v>
      </c>
      <c r="H14" s="66">
        <f>Cost_BuildUp!H15</f>
        <v>263414.95136442885</v>
      </c>
      <c r="I14" s="66">
        <f>Cost_BuildUp!I15</f>
        <v>292882.69131930266</v>
      </c>
      <c r="J14" s="66">
        <f>Cost_BuildUp!J15</f>
        <v>321774.55532470311</v>
      </c>
      <c r="K14" s="66">
        <f>Cost_BuildUp!K15</f>
        <v>349760.24713436945</v>
      </c>
      <c r="L14" s="66">
        <f>Cost_BuildUp!L15</f>
        <v>376575.95255270612</v>
      </c>
      <c r="M14" s="66">
        <f>Cost_BuildUp!M15</f>
        <v>402023.26981171861</v>
      </c>
      <c r="N14" s="66">
        <f>Cost_BuildUp!N15</f>
        <v>425964.77144288894</v>
      </c>
      <c r="O14" s="66">
        <f>Cost_BuildUp!O15</f>
        <v>448317.39543005324</v>
      </c>
      <c r="P14" s="66">
        <f>Cost_BuildUp!P15</f>
        <v>469044.68636868236</v>
      </c>
      <c r="Q14" s="66">
        <f>Cost_BuildUp!Q15</f>
        <v>488148.68817622773</v>
      </c>
    </row>
    <row r="15" spans="2:17">
      <c r="B15" t="s">
        <v>8</v>
      </c>
      <c r="C15" s="66">
        <f>Cost_BuildUp!C18</f>
        <v>54618.4087</v>
      </c>
      <c r="D15" s="66">
        <f>Cost_BuildUp!D18</f>
        <v>40059.148399999998</v>
      </c>
      <c r="E15" s="66">
        <f>Cost_BuildUp!E18</f>
        <v>37024.4087</v>
      </c>
      <c r="F15" s="66">
        <f>Cost_BuildUp!F18</f>
        <v>30806.756700000002</v>
      </c>
      <c r="G15" s="66">
        <f>Cost_BuildUp!G18</f>
        <v>46809.309099999999</v>
      </c>
      <c r="H15" s="66">
        <f>Cost_BuildUp!H18</f>
        <v>65892.769794532578</v>
      </c>
      <c r="I15" s="66">
        <f>Cost_BuildUp!I18</f>
        <v>73264.071215177188</v>
      </c>
      <c r="J15" s="66">
        <f>Cost_BuildUp!J18</f>
        <v>80491.31831706618</v>
      </c>
      <c r="K15" s="66">
        <f>Cost_BuildUp!K18</f>
        <v>87491.888096432536</v>
      </c>
      <c r="L15" s="66">
        <f>Cost_BuildUp!L18</f>
        <v>94199.787913265274</v>
      </c>
      <c r="M15" s="66">
        <f>Cost_BuildUp!M18</f>
        <v>100565.38792705013</v>
      </c>
      <c r="N15" s="66">
        <f>Cost_BuildUp!N18</f>
        <v>106554.31090711134</v>
      </c>
      <c r="O15" s="66">
        <f>Cost_BuildUp!O18</f>
        <v>112145.77904155398</v>
      </c>
      <c r="P15" s="66">
        <f>Cost_BuildUp!P18</f>
        <v>117330.67307740492</v>
      </c>
      <c r="Q15" s="66">
        <f>Cost_BuildUp!Q18</f>
        <v>122109.50429688788</v>
      </c>
    </row>
    <row r="16" spans="2:17">
      <c r="B16" s="7" t="s">
        <v>5</v>
      </c>
      <c r="C16" s="61">
        <f>SUM(C13:C15)</f>
        <v>340577.89320000005</v>
      </c>
      <c r="D16" s="61">
        <f t="shared" ref="D16:Q16" si="1">SUM(D13:D15)</f>
        <v>343472.28419999999</v>
      </c>
      <c r="E16" s="61">
        <f t="shared" si="1"/>
        <v>369338.35700000008</v>
      </c>
      <c r="F16" s="61">
        <f t="shared" si="1"/>
        <v>454861.91630000004</v>
      </c>
      <c r="G16" s="61">
        <f t="shared" si="1"/>
        <v>504858.02500000002</v>
      </c>
      <c r="H16" s="61">
        <f t="shared" si="1"/>
        <v>603087.11104796664</v>
      </c>
      <c r="I16" s="61">
        <f t="shared" si="1"/>
        <v>670553.34281060845</v>
      </c>
      <c r="J16" s="61">
        <f t="shared" si="1"/>
        <v>736701.10969154583</v>
      </c>
      <c r="K16" s="61">
        <f t="shared" si="1"/>
        <v>800774.20021563047</v>
      </c>
      <c r="L16" s="61">
        <f t="shared" si="1"/>
        <v>862168.61320429971</v>
      </c>
      <c r="M16" s="61">
        <f t="shared" si="1"/>
        <v>920430.1088793372</v>
      </c>
      <c r="N16" s="61">
        <f t="shared" si="1"/>
        <v>975244.04779245902</v>
      </c>
      <c r="O16" s="61">
        <f t="shared" si="1"/>
        <v>1026420.2599054544</v>
      </c>
      <c r="P16" s="61">
        <f t="shared" si="1"/>
        <v>1073875.2807661896</v>
      </c>
      <c r="Q16" s="61">
        <f t="shared" si="1"/>
        <v>1117613.7899126506</v>
      </c>
    </row>
    <row r="18" spans="2:17">
      <c r="B18" s="7" t="s">
        <v>11</v>
      </c>
      <c r="C18" s="61">
        <f>C10-C16</f>
        <v>44759.99729999993</v>
      </c>
      <c r="D18" s="61">
        <f t="shared" ref="D18:Q18" si="2">D10-D16</f>
        <v>63500.805500000017</v>
      </c>
      <c r="E18" s="61">
        <f t="shared" si="2"/>
        <v>104039.78419999994</v>
      </c>
      <c r="F18" s="61">
        <f t="shared" si="2"/>
        <v>139712.98819999991</v>
      </c>
      <c r="G18" s="61">
        <f t="shared" si="2"/>
        <v>158485.29240000003</v>
      </c>
      <c r="H18" s="61">
        <f t="shared" si="2"/>
        <v>144393.8731876805</v>
      </c>
      <c r="I18" s="61">
        <f t="shared" si="2"/>
        <v>160546.94682352338</v>
      </c>
      <c r="J18" s="61">
        <f t="shared" si="2"/>
        <v>176384.34756992187</v>
      </c>
      <c r="K18" s="61">
        <f t="shared" si="2"/>
        <v>191725.01981841505</v>
      </c>
      <c r="L18" s="61">
        <f t="shared" si="2"/>
        <v>206424.3508455921</v>
      </c>
      <c r="M18" s="61">
        <f t="shared" si="2"/>
        <v>220373.58448715962</v>
      </c>
      <c r="N18" s="61">
        <f t="shared" si="2"/>
        <v>233497.38832800963</v>
      </c>
      <c r="O18" s="61">
        <f t="shared" si="2"/>
        <v>245750.23098821694</v>
      </c>
      <c r="P18" s="61">
        <f t="shared" si="2"/>
        <v>257112.12902708724</v>
      </c>
      <c r="Q18" s="61">
        <f t="shared" si="2"/>
        <v>267584.2028409976</v>
      </c>
    </row>
    <row r="20" spans="2:17">
      <c r="B20" s="4" t="s">
        <v>16</v>
      </c>
      <c r="C20" s="66">
        <f>FAS!C54</f>
        <v>3711.0636</v>
      </c>
      <c r="D20" s="66">
        <f>FAS!D54</f>
        <v>3691.27</v>
      </c>
      <c r="E20" s="66">
        <f>FAS!E54</f>
        <v>3695.5985999999998</v>
      </c>
      <c r="F20" s="66">
        <f>FAS!F54</f>
        <v>3849.1244999999999</v>
      </c>
      <c r="G20" s="66">
        <f>FAS!G54</f>
        <v>3991.4767000000002</v>
      </c>
      <c r="H20" s="66">
        <f>FAS!H54</f>
        <v>3446.3444192355696</v>
      </c>
      <c r="I20" s="66">
        <f>FAS!I54</f>
        <v>3463.5761413317473</v>
      </c>
      <c r="J20" s="66">
        <f>FAS!J54</f>
        <v>3480.8940220384056</v>
      </c>
      <c r="K20" s="66">
        <f>FAS!K54</f>
        <v>3498.2984921485977</v>
      </c>
      <c r="L20" s="66">
        <f>FAS!L54</f>
        <v>3515.789984609341</v>
      </c>
      <c r="M20" s="66">
        <f>FAS!M54</f>
        <v>3533.3689345323869</v>
      </c>
      <c r="N20" s="66">
        <f>FAS!N54</f>
        <v>3551.035779205049</v>
      </c>
      <c r="O20" s="66">
        <f>FAS!O54</f>
        <v>3568.7909581010736</v>
      </c>
      <c r="P20" s="66">
        <f>FAS!P54</f>
        <v>3586.6349128915786</v>
      </c>
      <c r="Q20" s="66">
        <f>FAS!Q54</f>
        <v>3604.5680874560353</v>
      </c>
    </row>
    <row r="21" spans="2:17">
      <c r="B21" s="4"/>
    </row>
    <row r="22" spans="2:17">
      <c r="B22" s="7" t="s">
        <v>12</v>
      </c>
      <c r="C22" s="61">
        <f>C18-C20</f>
        <v>41048.933699999929</v>
      </c>
      <c r="D22" s="61">
        <f t="shared" ref="D22:Q22" si="3">D18-D20</f>
        <v>59809.53550000002</v>
      </c>
      <c r="E22" s="61">
        <f t="shared" si="3"/>
        <v>100344.18559999994</v>
      </c>
      <c r="F22" s="61">
        <f t="shared" si="3"/>
        <v>135863.8636999999</v>
      </c>
      <c r="G22" s="61">
        <f t="shared" si="3"/>
        <v>154493.81570000004</v>
      </c>
      <c r="H22" s="61">
        <f t="shared" si="3"/>
        <v>140947.52876844493</v>
      </c>
      <c r="I22" s="61">
        <f t="shared" si="3"/>
        <v>157083.37068219163</v>
      </c>
      <c r="J22" s="61">
        <f t="shared" si="3"/>
        <v>172903.45354788346</v>
      </c>
      <c r="K22" s="61">
        <f t="shared" si="3"/>
        <v>188226.72132626644</v>
      </c>
      <c r="L22" s="61">
        <f t="shared" si="3"/>
        <v>202908.56086098275</v>
      </c>
      <c r="M22" s="61">
        <f t="shared" si="3"/>
        <v>216840.21555262723</v>
      </c>
      <c r="N22" s="61">
        <f t="shared" si="3"/>
        <v>229946.3525488046</v>
      </c>
      <c r="O22" s="61">
        <f t="shared" si="3"/>
        <v>242181.44003011586</v>
      </c>
      <c r="P22" s="61">
        <f t="shared" si="3"/>
        <v>253525.49411419567</v>
      </c>
      <c r="Q22" s="61">
        <f t="shared" si="3"/>
        <v>263979.63475354156</v>
      </c>
    </row>
    <row r="23" spans="2:17">
      <c r="B23" s="4"/>
    </row>
    <row r="24" spans="2:17">
      <c r="B24" t="s">
        <v>13</v>
      </c>
      <c r="C24" s="66">
        <f>'Debt Schedules'!C14</f>
        <v>12949.7209</v>
      </c>
      <c r="D24" s="66">
        <f>'Debt Schedules'!D14</f>
        <v>14429.061100000001</v>
      </c>
      <c r="E24" s="66">
        <f>'Debt Schedules'!E14</f>
        <v>26462.033500000001</v>
      </c>
      <c r="F24" s="66">
        <f>'Debt Schedules'!F14</f>
        <v>36457.334600000002</v>
      </c>
      <c r="G24" s="66">
        <f>'Debt Schedules'!G14</f>
        <v>41715.216200000003</v>
      </c>
      <c r="H24" s="66">
        <f>'Debt Schedules'!H14</f>
        <v>34704.027809300358</v>
      </c>
      <c r="I24" s="66">
        <f>'Debt Schedules'!I14</f>
        <v>41475.808123297778</v>
      </c>
      <c r="J24" s="66">
        <f>'Debt Schedules'!J14</f>
        <v>45826.917224409153</v>
      </c>
      <c r="K24" s="66">
        <f>'Debt Schedules'!K14</f>
        <v>50067.529462360057</v>
      </c>
      <c r="L24" s="66">
        <f>'Debt Schedules'!L14</f>
        <v>54153.349825272307</v>
      </c>
      <c r="M24" s="66">
        <f>'Debt Schedules'!M14</f>
        <v>58049.91694004913</v>
      </c>
      <c r="N24" s="66">
        <f>'Debt Schedules'!N14</f>
        <v>61732.192431714517</v>
      </c>
      <c r="O24" s="66">
        <f>'Debt Schedules'!O14</f>
        <v>65183.73729557349</v>
      </c>
      <c r="P24" s="66">
        <f>'Debt Schedules'!P14</f>
        <v>68395.640687452542</v>
      </c>
      <c r="Q24" s="66">
        <f>'Debt Schedules'!Q14</f>
        <v>71365.336994762722</v>
      </c>
    </row>
    <row r="25" spans="2:17">
      <c r="B25" t="s">
        <v>9</v>
      </c>
      <c r="C25" s="66">
        <f>'Revenue_Build Up'!C80</f>
        <v>-391.90449999999998</v>
      </c>
      <c r="D25" s="66">
        <f>'Revenue_Build Up'!D80</f>
        <v>827.01329999999996</v>
      </c>
      <c r="E25" s="66">
        <f>'Revenue_Build Up'!E80</f>
        <v>1191.4521</v>
      </c>
      <c r="F25" s="66">
        <f>'Revenue_Build Up'!F80</f>
        <v>1405.1542999999999</v>
      </c>
      <c r="G25" s="66">
        <f>'Revenue_Build Up'!G80</f>
        <v>1505.4709</v>
      </c>
      <c r="H25" s="66">
        <f>'Revenue_Build Up'!H80</f>
        <v>1220.6055361271053</v>
      </c>
      <c r="I25" s="66">
        <f>'Revenue_Build Up'!I80</f>
        <v>1357.1524038723276</v>
      </c>
      <c r="J25" s="66">
        <f>'Revenue_Build Up'!J80</f>
        <v>1491.0307922149625</v>
      </c>
      <c r="K25" s="66">
        <f>'Revenue_Build Up'!K80</f>
        <v>1620.7101827669694</v>
      </c>
      <c r="L25" s="66">
        <f>'Revenue_Build Up'!L80</f>
        <v>1744.968119984406</v>
      </c>
      <c r="M25" s="66">
        <f>'Revenue_Build Up'!M80</f>
        <v>1862.8852547751383</v>
      </c>
      <c r="N25" s="66">
        <f>'Revenue_Build Up'!N80</f>
        <v>1973.8247792130396</v>
      </c>
      <c r="O25" s="66">
        <f>'Revenue_Build Up'!O80</f>
        <v>2077.4018026294279</v>
      </c>
      <c r="P25" s="66">
        <f>'Revenue_Build Up'!P80</f>
        <v>2173.4473988932714</v>
      </c>
      <c r="Q25" s="66">
        <f>'Revenue_Build Up'!Q80</f>
        <v>2261.9710390575365</v>
      </c>
    </row>
    <row r="26" spans="2:17">
      <c r="B26" t="s">
        <v>10</v>
      </c>
      <c r="C26" s="66">
        <f>'Revenue_Build Up'!C83</f>
        <v>1482.3572999999999</v>
      </c>
      <c r="D26" s="66">
        <f>'Revenue_Build Up'!D83</f>
        <v>1809.3049000000001</v>
      </c>
      <c r="E26" s="66">
        <f>'Revenue_Build Up'!E83</f>
        <v>2101.7091999999998</v>
      </c>
      <c r="F26" s="66">
        <f>'Revenue_Build Up'!F83</f>
        <v>2458.7491</v>
      </c>
      <c r="G26" s="66">
        <f>'Revenue_Build Up'!G83</f>
        <v>2961.2882</v>
      </c>
      <c r="H26" s="66">
        <f>'Revenue_Build Up'!H83</f>
        <v>3189.0477459772237</v>
      </c>
      <c r="I26" s="66">
        <f>'Revenue_Build Up'!I83</f>
        <v>3545.8005771865737</v>
      </c>
      <c r="J26" s="66">
        <f>'Revenue_Build Up'!J83</f>
        <v>3895.5815342136966</v>
      </c>
      <c r="K26" s="66">
        <f>'Revenue_Build Up'!K83</f>
        <v>4234.3918671995316</v>
      </c>
      <c r="L26" s="66">
        <f>'Revenue_Build Up'!L83</f>
        <v>4559.0376949256324</v>
      </c>
      <c r="M26" s="66">
        <f>'Revenue_Build Up'!M83</f>
        <v>4867.1170553631055</v>
      </c>
      <c r="N26" s="66">
        <f>'Revenue_Build Up'!N83</f>
        <v>5156.966175227848</v>
      </c>
      <c r="O26" s="66">
        <f>'Revenue_Build Up'!O83</f>
        <v>5427.579459605633</v>
      </c>
      <c r="P26" s="66">
        <f>'Revenue_Build Up'!P83</f>
        <v>5678.5155591157982</v>
      </c>
      <c r="Q26" s="66">
        <f>'Revenue_Build Up'!Q83</f>
        <v>5909.7992185585408</v>
      </c>
    </row>
    <row r="28" spans="2:17">
      <c r="B28" s="7" t="s">
        <v>14</v>
      </c>
      <c r="C28" s="61">
        <f>C22-C24+C25-C26</f>
        <v>26224.950999999928</v>
      </c>
      <c r="D28" s="61">
        <f t="shared" ref="D28:Q28" si="4">D22-D24+D25-D26</f>
        <v>44398.182800000017</v>
      </c>
      <c r="E28" s="61">
        <f t="shared" si="4"/>
        <v>72971.894999999931</v>
      </c>
      <c r="F28" s="61">
        <f t="shared" si="4"/>
        <v>98352.934299999892</v>
      </c>
      <c r="G28" s="61">
        <f>G22-G24+G25-G26</f>
        <v>111322.78220000005</v>
      </c>
      <c r="H28" s="61">
        <f t="shared" si="4"/>
        <v>104275.05874929445</v>
      </c>
      <c r="I28" s="61">
        <f t="shared" si="4"/>
        <v>113418.9143855796</v>
      </c>
      <c r="J28" s="61">
        <f t="shared" si="4"/>
        <v>124671.98558147559</v>
      </c>
      <c r="K28" s="61">
        <f t="shared" si="4"/>
        <v>135545.51017947384</v>
      </c>
      <c r="L28" s="61">
        <f t="shared" si="4"/>
        <v>145941.1414607692</v>
      </c>
      <c r="M28" s="61">
        <f t="shared" si="4"/>
        <v>155786.06681199014</v>
      </c>
      <c r="N28" s="61">
        <f t="shared" si="4"/>
        <v>165031.01872107526</v>
      </c>
      <c r="O28" s="61">
        <f t="shared" si="4"/>
        <v>173647.52507756618</v>
      </c>
      <c r="P28" s="61">
        <f t="shared" si="4"/>
        <v>181624.7852665206</v>
      </c>
      <c r="Q28" s="61">
        <f t="shared" si="4"/>
        <v>188966.46957927785</v>
      </c>
    </row>
    <row r="30" spans="2:17">
      <c r="B30" t="s">
        <v>15</v>
      </c>
      <c r="C30" s="66">
        <f>Cost_BuildUp!C21</f>
        <v>-3819.4933999999998</v>
      </c>
      <c r="D30" s="66">
        <f>Cost_BuildUp!D21</f>
        <v>-9024.3029999999999</v>
      </c>
      <c r="E30" s="66">
        <f>Cost_BuildUp!E21</f>
        <v>-17323.7222</v>
      </c>
      <c r="F30" s="66">
        <f>Cost_BuildUp!F21</f>
        <v>-31268.268199999999</v>
      </c>
      <c r="G30" s="66">
        <f>Cost_BuildUp!G21</f>
        <v>-33761.445099999997</v>
      </c>
      <c r="H30" s="66">
        <f>Cost_BuildUp!H21</f>
        <v>-31282.517624788332</v>
      </c>
      <c r="I30" s="66">
        <f>Cost_BuildUp!I21</f>
        <v>-34025.674315673881</v>
      </c>
      <c r="J30" s="66">
        <f>Cost_BuildUp!J21</f>
        <v>-37401.595674442673</v>
      </c>
      <c r="K30" s="66">
        <f>Cost_BuildUp!K21</f>
        <v>-40663.65305384215</v>
      </c>
      <c r="L30" s="66">
        <f>Cost_BuildUp!L21</f>
        <v>-43782.342438230757</v>
      </c>
      <c r="M30" s="66">
        <f>Cost_BuildUp!M21</f>
        <v>-46735.820043597043</v>
      </c>
      <c r="N30" s="66">
        <f>Cost_BuildUp!N21</f>
        <v>-49509.305616322577</v>
      </c>
      <c r="O30" s="66">
        <f>Cost_BuildUp!O21</f>
        <v>-52094.257523269851</v>
      </c>
      <c r="P30" s="66">
        <f>Cost_BuildUp!P21</f>
        <v>-54487.435579956182</v>
      </c>
      <c r="Q30" s="66">
        <f>Cost_BuildUp!Q21</f>
        <v>-56689.940873783351</v>
      </c>
    </row>
    <row r="32" spans="2:17">
      <c r="B32" s="7" t="s">
        <v>17</v>
      </c>
      <c r="C32" s="61">
        <f>SUM(C28:C30)</f>
        <v>22405.457599999929</v>
      </c>
      <c r="D32" s="61">
        <f t="shared" ref="D32:Q32" si="5">SUM(D28:D30)</f>
        <v>35373.879800000017</v>
      </c>
      <c r="E32" s="61">
        <f t="shared" si="5"/>
        <v>55648.172799999928</v>
      </c>
      <c r="F32" s="61">
        <f t="shared" si="5"/>
        <v>67084.666099999886</v>
      </c>
      <c r="G32" s="61">
        <f t="shared" si="5"/>
        <v>77561.337100000048</v>
      </c>
      <c r="H32" s="61">
        <f t="shared" si="5"/>
        <v>72992.541124506111</v>
      </c>
      <c r="I32" s="61">
        <f t="shared" si="5"/>
        <v>79393.240069905718</v>
      </c>
      <c r="J32" s="61">
        <f t="shared" si="5"/>
        <v>87270.389907032921</v>
      </c>
      <c r="K32" s="61">
        <f t="shared" si="5"/>
        <v>94881.857125631694</v>
      </c>
      <c r="L32" s="61">
        <f t="shared" si="5"/>
        <v>102158.79902253844</v>
      </c>
      <c r="M32" s="61">
        <f t="shared" si="5"/>
        <v>109050.24676839309</v>
      </c>
      <c r="N32" s="61">
        <f t="shared" si="5"/>
        <v>115521.71310475268</v>
      </c>
      <c r="O32" s="61">
        <f t="shared" si="5"/>
        <v>121553.26755429633</v>
      </c>
      <c r="P32" s="61">
        <f t="shared" si="5"/>
        <v>127137.34968656441</v>
      </c>
      <c r="Q32" s="61">
        <f t="shared" si="5"/>
        <v>132276.52870549451</v>
      </c>
    </row>
    <row r="34" spans="2:17">
      <c r="B34" s="1" t="s">
        <v>146</v>
      </c>
      <c r="C34" s="91">
        <f>'Cash Flow'!C52</f>
        <v>0</v>
      </c>
      <c r="D34" s="91">
        <f>'Cash Flow'!D52</f>
        <v>-3569.8445999999999</v>
      </c>
      <c r="E34" s="91">
        <f>'Cash Flow'!E52</f>
        <v>-6336.7215999999999</v>
      </c>
      <c r="F34" s="91">
        <f>'Cash Flow'!F52</f>
        <v>-10084.8115</v>
      </c>
      <c r="G34" s="91">
        <f>'Cash Flow'!G52</f>
        <v>-12226.7183</v>
      </c>
      <c r="H34" s="65">
        <f>H35*-H32</f>
        <v>-9539.3520397157572</v>
      </c>
      <c r="I34" s="65">
        <f t="shared" ref="I34:Q34" si="6">I35*-I32</f>
        <v>-10375.855600213185</v>
      </c>
      <c r="J34" s="65">
        <f t="shared" si="6"/>
        <v>-11405.315654738099</v>
      </c>
      <c r="K34" s="65">
        <f t="shared" si="6"/>
        <v>-12400.05380494332</v>
      </c>
      <c r="L34" s="65">
        <f t="shared" si="6"/>
        <v>-13351.073038658486</v>
      </c>
      <c r="M34" s="65">
        <f t="shared" si="6"/>
        <v>-14251.712269711943</v>
      </c>
      <c r="N34" s="65">
        <f t="shared" si="6"/>
        <v>-15097.464378689796</v>
      </c>
      <c r="O34" s="65">
        <f t="shared" si="6"/>
        <v>-15885.724663295692</v>
      </c>
      <c r="P34" s="65">
        <f t="shared" si="6"/>
        <v>-16615.505055343281</v>
      </c>
      <c r="Q34" s="65">
        <f t="shared" si="6"/>
        <v>-17287.141322576019</v>
      </c>
    </row>
    <row r="35" spans="2:17">
      <c r="B35" s="86" t="s">
        <v>145</v>
      </c>
      <c r="C35" s="87">
        <f>-C34/C32</f>
        <v>0</v>
      </c>
      <c r="D35" s="87">
        <f t="shared" ref="D35:G35" si="7">-D34/D32</f>
        <v>0.10091753068036372</v>
      </c>
      <c r="E35" s="87">
        <f t="shared" si="7"/>
        <v>0.11387115301654627</v>
      </c>
      <c r="F35" s="87">
        <f t="shared" si="7"/>
        <v>0.15032960714102767</v>
      </c>
      <c r="G35" s="87">
        <f t="shared" si="7"/>
        <v>0.15763934399733281</v>
      </c>
      <c r="H35" s="88">
        <f>AVERAGE(D35:G35)</f>
        <v>0.13068940870881762</v>
      </c>
      <c r="I35" s="88">
        <f>H35</f>
        <v>0.13068940870881762</v>
      </c>
      <c r="J35" s="88">
        <f t="shared" ref="J35:Q35" si="8">I35</f>
        <v>0.13068940870881762</v>
      </c>
      <c r="K35" s="88">
        <f t="shared" si="8"/>
        <v>0.13068940870881762</v>
      </c>
      <c r="L35" s="88">
        <f t="shared" si="8"/>
        <v>0.13068940870881762</v>
      </c>
      <c r="M35" s="88">
        <f t="shared" si="8"/>
        <v>0.13068940870881762</v>
      </c>
      <c r="N35" s="88">
        <f t="shared" si="8"/>
        <v>0.13068940870881762</v>
      </c>
      <c r="O35" s="88">
        <f t="shared" si="8"/>
        <v>0.13068940870881762</v>
      </c>
      <c r="P35" s="88">
        <f t="shared" si="8"/>
        <v>0.13068940870881762</v>
      </c>
      <c r="Q35" s="88">
        <f t="shared" si="8"/>
        <v>0.13068940870881762</v>
      </c>
    </row>
    <row r="37" spans="2:17">
      <c r="B37" s="39" t="s">
        <v>147</v>
      </c>
      <c r="C37" s="65">
        <f>C32+C34</f>
        <v>22405.457599999929</v>
      </c>
      <c r="D37" s="65">
        <f t="shared" ref="D37:Q37" si="9">D32+D34</f>
        <v>31804.035200000017</v>
      </c>
      <c r="E37" s="65">
        <f t="shared" si="9"/>
        <v>49311.45119999993</v>
      </c>
      <c r="F37" s="65">
        <f t="shared" si="9"/>
        <v>56999.85459999989</v>
      </c>
      <c r="G37" s="65">
        <f t="shared" si="9"/>
        <v>65334.618800000047</v>
      </c>
      <c r="H37" s="65">
        <f t="shared" si="9"/>
        <v>63453.189084790356</v>
      </c>
      <c r="I37" s="65">
        <f t="shared" si="9"/>
        <v>69017.384469692537</v>
      </c>
      <c r="J37" s="65">
        <f t="shared" si="9"/>
        <v>75865.074252294828</v>
      </c>
      <c r="K37" s="65">
        <f t="shared" si="9"/>
        <v>82481.80332068837</v>
      </c>
      <c r="L37" s="65">
        <f t="shared" si="9"/>
        <v>88807.725983879951</v>
      </c>
      <c r="M37" s="65">
        <f t="shared" si="9"/>
        <v>94798.53449868114</v>
      </c>
      <c r="N37" s="65">
        <f t="shared" si="9"/>
        <v>100424.24872606288</v>
      </c>
      <c r="O37" s="65">
        <f t="shared" si="9"/>
        <v>105667.54289100063</v>
      </c>
      <c r="P37" s="65">
        <f t="shared" si="9"/>
        <v>110521.84463122113</v>
      </c>
      <c r="Q37" s="65">
        <f t="shared" si="9"/>
        <v>114989.38738291849</v>
      </c>
    </row>
    <row r="38" spans="2:17">
      <c r="B38" s="87" t="s">
        <v>148</v>
      </c>
      <c r="C38" s="87">
        <f>C37/C32</f>
        <v>1</v>
      </c>
      <c r="D38" s="87">
        <f t="shared" ref="D38:Q38" si="10">D37/D32</f>
        <v>0.89908246931963631</v>
      </c>
      <c r="E38" s="87">
        <f t="shared" si="10"/>
        <v>0.88612884698345373</v>
      </c>
      <c r="F38" s="87">
        <f t="shared" si="10"/>
        <v>0.84967039285897239</v>
      </c>
      <c r="G38" s="87">
        <f t="shared" si="10"/>
        <v>0.84236065600266719</v>
      </c>
      <c r="H38" s="87">
        <f t="shared" si="10"/>
        <v>0.86931059129118238</v>
      </c>
      <c r="I38" s="87">
        <f t="shared" si="10"/>
        <v>0.86931059129118238</v>
      </c>
      <c r="J38" s="87">
        <f t="shared" si="10"/>
        <v>0.86931059129118238</v>
      </c>
      <c r="K38" s="87">
        <f t="shared" si="10"/>
        <v>0.86931059129118238</v>
      </c>
      <c r="L38" s="87">
        <f t="shared" si="10"/>
        <v>0.86931059129118227</v>
      </c>
      <c r="M38" s="87">
        <f t="shared" si="10"/>
        <v>0.86931059129118238</v>
      </c>
      <c r="N38" s="87">
        <f t="shared" si="10"/>
        <v>0.86931059129118238</v>
      </c>
      <c r="O38" s="87">
        <f t="shared" si="10"/>
        <v>0.86931059129118238</v>
      </c>
      <c r="P38" s="87">
        <f t="shared" si="10"/>
        <v>0.86931059129118238</v>
      </c>
      <c r="Q38" s="87">
        <f t="shared" si="10"/>
        <v>0.86931059129118238</v>
      </c>
    </row>
    <row r="40" spans="2:17">
      <c r="B40" s="81"/>
      <c r="C40" s="81"/>
      <c r="D40" s="81"/>
      <c r="E40" s="81"/>
      <c r="F40" s="81"/>
      <c r="G40" s="81"/>
      <c r="H40" s="81"/>
      <c r="I40" s="81"/>
      <c r="J40" s="81"/>
      <c r="K40" s="81"/>
      <c r="L40" s="81"/>
      <c r="M40" s="81"/>
      <c r="N40" s="81"/>
      <c r="O40" s="81"/>
      <c r="P40" s="81"/>
      <c r="Q40" s="81"/>
    </row>
    <row r="42" spans="2:17">
      <c r="C42" s="60"/>
      <c r="D42" s="60"/>
      <c r="E42" s="60"/>
      <c r="F42" s="60"/>
      <c r="G42" s="60"/>
      <c r="H42" s="60"/>
      <c r="I42" s="60"/>
      <c r="J42" s="60"/>
    </row>
    <row r="43" spans="2:17">
      <c r="G43" s="14"/>
      <c r="H43" s="14"/>
      <c r="I43" s="14"/>
    </row>
  </sheetData>
  <mergeCells count="1">
    <mergeCell ref="B7:B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Q40"/>
  <sheetViews>
    <sheetView showGridLines="0" tabSelected="1" workbookViewId="0"/>
  </sheetViews>
  <sheetFormatPr defaultRowHeight="15"/>
  <cols>
    <col min="1" max="1" width="1.85546875" customWidth="1"/>
    <col min="2" max="2" width="49.42578125" bestFit="1" customWidth="1"/>
    <col min="3" max="4" width="14.28515625" bestFit="1" customWidth="1"/>
    <col min="5" max="7" width="14" customWidth="1"/>
    <col min="8" max="8" width="15" bestFit="1" customWidth="1"/>
    <col min="9" max="17" width="15.85546875" customWidth="1"/>
  </cols>
  <sheetData>
    <row r="1" spans="2:17" ht="16.5" thickTop="1">
      <c r="B1" s="248" t="s">
        <v>318</v>
      </c>
    </row>
    <row r="2" spans="2:17">
      <c r="B2" s="10" t="s">
        <v>319</v>
      </c>
    </row>
    <row r="3" spans="2:17">
      <c r="C3" s="64">
        <v>10000</v>
      </c>
    </row>
    <row r="4" spans="2:17">
      <c r="B4" s="6" t="s">
        <v>355</v>
      </c>
    </row>
    <row r="5" spans="2:17">
      <c r="B5" s="148" t="s">
        <v>19</v>
      </c>
      <c r="C5" s="199"/>
      <c r="D5" s="199"/>
      <c r="E5" s="199"/>
      <c r="F5" s="199"/>
      <c r="G5" s="199"/>
      <c r="H5" s="199"/>
      <c r="I5" s="199"/>
      <c r="J5" s="199"/>
      <c r="K5" s="199"/>
      <c r="L5" s="199"/>
      <c r="M5" s="199"/>
      <c r="N5" s="199"/>
      <c r="O5" s="199"/>
      <c r="P5" s="199"/>
      <c r="Q5" s="199"/>
    </row>
    <row r="7" spans="2:17">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2:17">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9" spans="2:17">
      <c r="B9" s="263" t="s">
        <v>322</v>
      </c>
      <c r="C9" s="264" t="str">
        <f>IF(SUM(C35:Q35)=0,"OK","ERROR")</f>
        <v>OK</v>
      </c>
    </row>
    <row r="10" spans="2:17">
      <c r="B10" s="1" t="s">
        <v>416</v>
      </c>
      <c r="H10" s="60"/>
    </row>
    <row r="11" spans="2:17">
      <c r="B11" s="1" t="s">
        <v>417</v>
      </c>
      <c r="H11" s="60"/>
    </row>
    <row r="12" spans="2:17">
      <c r="B12" t="s">
        <v>21</v>
      </c>
      <c r="C12" s="66">
        <f>BS_Input!C9</f>
        <v>892.46119999999996</v>
      </c>
      <c r="D12" s="66">
        <f>BS_Input!D9</f>
        <v>892.46119999999996</v>
      </c>
      <c r="E12" s="66">
        <f>BS_Input!E9</f>
        <v>892.46119999999996</v>
      </c>
      <c r="F12" s="66">
        <f>BS_Input!F9</f>
        <v>892.46119999999996</v>
      </c>
      <c r="G12" s="66">
        <f>BS_Input!G9</f>
        <v>892.46199999999999</v>
      </c>
      <c r="H12" s="89">
        <f>G12</f>
        <v>892.46199999999999</v>
      </c>
      <c r="I12" s="89">
        <f t="shared" ref="I12:Q12" si="1">H12</f>
        <v>892.46199999999999</v>
      </c>
      <c r="J12" s="89">
        <f t="shared" si="1"/>
        <v>892.46199999999999</v>
      </c>
      <c r="K12" s="89">
        <f t="shared" si="1"/>
        <v>892.46199999999999</v>
      </c>
      <c r="L12" s="89">
        <f t="shared" si="1"/>
        <v>892.46199999999999</v>
      </c>
      <c r="M12" s="89">
        <f t="shared" si="1"/>
        <v>892.46199999999999</v>
      </c>
      <c r="N12" s="89">
        <f t="shared" si="1"/>
        <v>892.46199999999999</v>
      </c>
      <c r="O12" s="89">
        <f t="shared" si="1"/>
        <v>892.46199999999999</v>
      </c>
      <c r="P12" s="89">
        <f t="shared" si="1"/>
        <v>892.46199999999999</v>
      </c>
      <c r="Q12" s="89">
        <f t="shared" si="1"/>
        <v>892.46199999999999</v>
      </c>
    </row>
    <row r="13" spans="2:17">
      <c r="B13" t="s">
        <v>22</v>
      </c>
      <c r="C13" s="66">
        <f>BS_Input!C10</f>
        <v>274669.09879999998</v>
      </c>
      <c r="D13" s="66">
        <f>BS_Input!D10</f>
        <v>304695.58390000003</v>
      </c>
      <c r="E13" s="66">
        <f>BS_Input!E10</f>
        <v>358038.85690000001</v>
      </c>
      <c r="F13" s="66">
        <f>BS_Input!F10</f>
        <v>414046.71029999998</v>
      </c>
      <c r="G13" s="66">
        <f>BS_Input!G10</f>
        <v>486144.29670000001</v>
      </c>
      <c r="H13" s="60">
        <f>G13+'Income Statement'!H37</f>
        <v>549597.48578479036</v>
      </c>
      <c r="I13" s="60">
        <f>H13+'Income Statement'!I37</f>
        <v>618614.87025448284</v>
      </c>
      <c r="J13" s="60">
        <f>I13+'Income Statement'!J37</f>
        <v>694479.94450677768</v>
      </c>
      <c r="K13" s="60">
        <f>J13+'Income Statement'!K37</f>
        <v>776961.74782746611</v>
      </c>
      <c r="L13" s="60">
        <f>K13+'Income Statement'!L37</f>
        <v>865769.47381134611</v>
      </c>
      <c r="M13" s="60">
        <f>L13+'Income Statement'!M37</f>
        <v>960568.00831002719</v>
      </c>
      <c r="N13" s="60">
        <f>M13+'Income Statement'!N37</f>
        <v>1060992.2570360901</v>
      </c>
      <c r="O13" s="60">
        <f>N13+'Income Statement'!O37</f>
        <v>1166659.7999270908</v>
      </c>
      <c r="P13" s="60">
        <f>O13+'Income Statement'!P37</f>
        <v>1277181.6445583119</v>
      </c>
      <c r="Q13" s="60">
        <f>P13+'Income Statement'!Q37</f>
        <v>1392171.0319412304</v>
      </c>
    </row>
    <row r="14" spans="2:17">
      <c r="B14" t="s">
        <v>23</v>
      </c>
      <c r="C14" s="66">
        <f>BS_Input!C11</f>
        <v>9625.9166000000005</v>
      </c>
      <c r="D14" s="66">
        <f>BS_Input!D11</f>
        <v>11207.4228</v>
      </c>
      <c r="E14" s="66">
        <f>BS_Input!E11</f>
        <v>12836.6194</v>
      </c>
      <c r="F14" s="66">
        <f>BS_Input!F11</f>
        <v>15617.9624</v>
      </c>
      <c r="G14" s="66">
        <f>BS_Input!G11</f>
        <v>18025.838800000001</v>
      </c>
      <c r="H14" s="60">
        <f>(G14/SUM(G12:G13))*SUM(H12:H13)</f>
        <v>20374.320587784103</v>
      </c>
      <c r="I14" s="60">
        <f t="shared" ref="I14:Q14" si="2">(H14/SUM(H12:H13))*SUM(I12:I13)</f>
        <v>22928.740197032996</v>
      </c>
      <c r="J14" s="60">
        <f t="shared" si="2"/>
        <v>25736.601358626049</v>
      </c>
      <c r="K14" s="60">
        <f t="shared" si="2"/>
        <v>28789.355928035995</v>
      </c>
      <c r="L14" s="60">
        <f t="shared" si="2"/>
        <v>32076.240796958296</v>
      </c>
      <c r="M14" s="60">
        <f t="shared" si="2"/>
        <v>35584.852972167944</v>
      </c>
      <c r="N14" s="60">
        <f t="shared" si="2"/>
        <v>39301.679858046111</v>
      </c>
      <c r="O14" s="60">
        <f t="shared" si="2"/>
        <v>43212.567610398553</v>
      </c>
      <c r="P14" s="60">
        <f t="shared" si="2"/>
        <v>47303.119133693748</v>
      </c>
      <c r="Q14" s="60">
        <f t="shared" si="2"/>
        <v>51559.019994663489</v>
      </c>
    </row>
    <row r="15" spans="2:17">
      <c r="B15" s="7" t="s">
        <v>418</v>
      </c>
      <c r="C15" s="61">
        <f>SUM(C12:C14)</f>
        <v>285187.47659999999</v>
      </c>
      <c r="D15" s="61">
        <f t="shared" ref="D15:Q15" si="3">SUM(D12:D14)</f>
        <v>316795.46790000005</v>
      </c>
      <c r="E15" s="61">
        <f t="shared" si="3"/>
        <v>371767.93750000006</v>
      </c>
      <c r="F15" s="61">
        <f t="shared" si="3"/>
        <v>430557.13390000002</v>
      </c>
      <c r="G15" s="61">
        <f t="shared" si="3"/>
        <v>505062.59750000003</v>
      </c>
      <c r="H15" s="61">
        <f t="shared" si="3"/>
        <v>570864.26837257447</v>
      </c>
      <c r="I15" s="61">
        <f t="shared" si="3"/>
        <v>642436.07245151594</v>
      </c>
      <c r="J15" s="61">
        <f t="shared" si="3"/>
        <v>721109.00786540378</v>
      </c>
      <c r="K15" s="61">
        <f t="shared" si="3"/>
        <v>806643.5657555022</v>
      </c>
      <c r="L15" s="61">
        <f t="shared" si="3"/>
        <v>898738.17660830449</v>
      </c>
      <c r="M15" s="61">
        <f t="shared" si="3"/>
        <v>997045.32328219514</v>
      </c>
      <c r="N15" s="61">
        <f t="shared" si="3"/>
        <v>1101186.3988941363</v>
      </c>
      <c r="O15" s="61">
        <f t="shared" si="3"/>
        <v>1210764.8295374895</v>
      </c>
      <c r="P15" s="61">
        <f t="shared" si="3"/>
        <v>1325377.2256920058</v>
      </c>
      <c r="Q15" s="61">
        <f t="shared" si="3"/>
        <v>1444622.513935894</v>
      </c>
    </row>
    <row r="16" spans="2:17">
      <c r="B16" s="39"/>
      <c r="C16" s="433"/>
      <c r="D16" s="433"/>
      <c r="E16" s="433"/>
      <c r="F16" s="433"/>
      <c r="G16" s="433"/>
      <c r="H16" s="433"/>
      <c r="I16" s="433"/>
      <c r="J16" s="433"/>
      <c r="K16" s="433"/>
      <c r="L16" s="433"/>
      <c r="M16" s="433"/>
      <c r="N16" s="433"/>
      <c r="O16" s="433"/>
      <c r="P16" s="433"/>
      <c r="Q16" s="433"/>
    </row>
    <row r="17" spans="2:17">
      <c r="B17" s="1" t="s">
        <v>419</v>
      </c>
      <c r="C17" s="66"/>
      <c r="D17" s="66"/>
      <c r="E17" s="66"/>
      <c r="F17" s="66"/>
      <c r="G17" s="66"/>
      <c r="H17" s="60"/>
      <c r="I17" s="60"/>
      <c r="J17" s="60"/>
      <c r="K17" s="60"/>
      <c r="L17" s="60"/>
      <c r="M17" s="60"/>
      <c r="N17" s="60"/>
      <c r="O17" s="60"/>
      <c r="P17" s="60"/>
      <c r="Q17" s="60"/>
    </row>
    <row r="18" spans="2:17">
      <c r="B18" t="s">
        <v>313</v>
      </c>
      <c r="C18" s="66">
        <f>BS_Items!C12</f>
        <v>1686779.5035999999</v>
      </c>
      <c r="D18" s="66">
        <f>BS_Items!D12</f>
        <v>1819711.9749</v>
      </c>
      <c r="E18" s="66">
        <f>BS_Items!E12</f>
        <v>1906519.4391999999</v>
      </c>
      <c r="F18" s="66">
        <f>BS_Items!F12</f>
        <v>1982929.8232</v>
      </c>
      <c r="G18" s="66">
        <f>BS_Items!G12</f>
        <v>2108936.5847</v>
      </c>
      <c r="H18" s="66">
        <f>BS_Items!H12</f>
        <v>2898806.6380298031</v>
      </c>
      <c r="I18" s="66">
        <f>BS_Items!I12</f>
        <v>3223090.7371155294</v>
      </c>
      <c r="J18" s="66">
        <f>BS_Items!J12</f>
        <v>3541037.4851269601</v>
      </c>
      <c r="K18" s="66">
        <f>BS_Items!K12</f>
        <v>3849012.0657933485</v>
      </c>
      <c r="L18" s="66">
        <f>BS_Items!L12</f>
        <v>4144111.2789074262</v>
      </c>
      <c r="M18" s="66">
        <f>BS_Items!M12</f>
        <v>4424151.769427727</v>
      </c>
      <c r="N18" s="66">
        <f>BS_Items!N12</f>
        <v>4687621.1871405514</v>
      </c>
      <c r="O18" s="66">
        <f>BS_Items!O12</f>
        <v>4933605.4581766026</v>
      </c>
      <c r="P18" s="66">
        <f>BS_Items!P12</f>
        <v>5161703.401175091</v>
      </c>
      <c r="Q18" s="66">
        <f>BS_Items!Q12</f>
        <v>5371937.5088663837</v>
      </c>
    </row>
    <row r="19" spans="2:17">
      <c r="B19" t="s">
        <v>314</v>
      </c>
      <c r="C19" s="66">
        <f>BS_Items!C15</f>
        <v>2028551.7381</v>
      </c>
      <c r="D19" s="66">
        <f>BS_Items!D15</f>
        <v>2267698.6257000002</v>
      </c>
      <c r="E19" s="66">
        <f>BS_Items!E15</f>
        <v>2562016.0676000002</v>
      </c>
      <c r="F19" s="66">
        <f>BS_Items!F15</f>
        <v>2983607.6639999999</v>
      </c>
      <c r="G19" s="66">
        <f>BS_Items!G15</f>
        <v>3330961.4344000001</v>
      </c>
      <c r="H19" s="66">
        <f>BS_Items!H15</f>
        <v>3929982.7304645316</v>
      </c>
      <c r="I19" s="66">
        <f>BS_Items!I15</f>
        <v>4369622.5782735357</v>
      </c>
      <c r="J19" s="66">
        <f>BS_Items!J15</f>
        <v>4800670.7249486549</v>
      </c>
      <c r="K19" s="66">
        <f>BS_Items!K15</f>
        <v>5218199.3615822373</v>
      </c>
      <c r="L19" s="66">
        <f>BS_Items!L15</f>
        <v>5618272.5489750402</v>
      </c>
      <c r="M19" s="66">
        <f>BS_Items!M15</f>
        <v>5997930.259543689</v>
      </c>
      <c r="N19" s="66">
        <f>BS_Items!N15</f>
        <v>6355122.1632853905</v>
      </c>
      <c r="O19" s="66">
        <f>BS_Items!O15</f>
        <v>6688609.0280024596</v>
      </c>
      <c r="P19" s="66">
        <f>BS_Items!P15</f>
        <v>6997846.9623573376</v>
      </c>
      <c r="Q19" s="66">
        <f>BS_Items!Q15</f>
        <v>7282866.4602921642</v>
      </c>
    </row>
    <row r="20" spans="2:17">
      <c r="B20" t="s">
        <v>24</v>
      </c>
      <c r="C20" s="66">
        <f>BS_Input!C14</f>
        <v>433796.20809999999</v>
      </c>
      <c r="D20" s="66">
        <f>BS_Input!D14</f>
        <v>449159.78360000002</v>
      </c>
      <c r="E20" s="66">
        <f>BS_Input!E14</f>
        <v>521151.9498</v>
      </c>
      <c r="F20" s="66">
        <f>BS_Input!F14</f>
        <v>639609.50289999996</v>
      </c>
      <c r="G20" s="66">
        <f>BS_Input!G14</f>
        <v>610857.245</v>
      </c>
      <c r="H20" s="66">
        <f>BS_Items!H18</f>
        <v>796359.52193562745</v>
      </c>
      <c r="I20" s="66">
        <f>BS_Items!I18</f>
        <v>885446.77830218326</v>
      </c>
      <c r="J20" s="66">
        <f>BS_Items!J18</f>
        <v>972793.03897566488</v>
      </c>
      <c r="K20" s="66">
        <f>BS_Items!K18</f>
        <v>1057399.7480297405</v>
      </c>
      <c r="L20" s="66">
        <f>BS_Items!L18</f>
        <v>1138469.3389420994</v>
      </c>
      <c r="M20" s="66">
        <f>BS_Items!M18</f>
        <v>1215402.0008960329</v>
      </c>
      <c r="N20" s="66">
        <f>BS_Items!N18</f>
        <v>1287782.2613735122</v>
      </c>
      <c r="O20" s="66">
        <f>BS_Items!O18</f>
        <v>1355359.006202237</v>
      </c>
      <c r="P20" s="66">
        <f>BS_Items!P18</f>
        <v>1418022.0229270209</v>
      </c>
      <c r="Q20" s="66">
        <f>BS_Items!Q18</f>
        <v>1475777.4907458024</v>
      </c>
    </row>
    <row r="21" spans="2:17">
      <c r="B21" t="s">
        <v>25</v>
      </c>
      <c r="C21" s="66">
        <f>BS_Input!C15</f>
        <v>411303.6201</v>
      </c>
      <c r="D21" s="66">
        <f>BS_Input!D15</f>
        <v>507517.67729999998</v>
      </c>
      <c r="E21" s="66">
        <f>BS_Input!E15</f>
        <v>592962.92290000001</v>
      </c>
      <c r="F21" s="66">
        <f>BS_Input!F15</f>
        <v>697074.67570000002</v>
      </c>
      <c r="G21" s="66">
        <f>BS_Input!G15</f>
        <v>758367.47919999994</v>
      </c>
      <c r="H21" s="66">
        <f>BS_Items!H21</f>
        <v>879441.4230668071</v>
      </c>
      <c r="I21" s="66">
        <f>BS_Items!I21</f>
        <v>977822.89695901517</v>
      </c>
      <c r="J21" s="66">
        <f>BS_Items!J21</f>
        <v>1074281.7420790466</v>
      </c>
      <c r="K21" s="66">
        <f>BS_Items!K21</f>
        <v>1167715.2260294401</v>
      </c>
      <c r="L21" s="66">
        <f>BS_Items!L21</f>
        <v>1257242.5744638725</v>
      </c>
      <c r="M21" s="66">
        <f>BS_Items!M21</f>
        <v>1342201.4000262721</v>
      </c>
      <c r="N21" s="66">
        <f>BS_Items!N21</f>
        <v>1422132.885144379</v>
      </c>
      <c r="O21" s="66">
        <f>BS_Items!O21</f>
        <v>1496759.7176257016</v>
      </c>
      <c r="P21" s="66">
        <f>BS_Items!P21</f>
        <v>1565960.1868662238</v>
      </c>
      <c r="Q21" s="66">
        <f>BS_Items!Q21</f>
        <v>1629741.1167218527</v>
      </c>
    </row>
    <row r="22" spans="2:17">
      <c r="B22" s="7" t="s">
        <v>420</v>
      </c>
      <c r="C22" s="61">
        <f>SUM(C18:C21)</f>
        <v>4560431.0699000005</v>
      </c>
      <c r="D22" s="61">
        <f t="shared" ref="D22:Q22" si="4">SUM(D18:D21)</f>
        <v>5044088.0614999998</v>
      </c>
      <c r="E22" s="61">
        <f t="shared" si="4"/>
        <v>5582650.3794999989</v>
      </c>
      <c r="F22" s="61">
        <f t="shared" si="4"/>
        <v>6303221.6657999996</v>
      </c>
      <c r="G22" s="61">
        <f t="shared" si="4"/>
        <v>6809122.7433000002</v>
      </c>
      <c r="H22" s="61">
        <f t="shared" si="4"/>
        <v>8504590.3134967703</v>
      </c>
      <c r="I22" s="61">
        <f t="shared" si="4"/>
        <v>9455982.9906502627</v>
      </c>
      <c r="J22" s="61">
        <f t="shared" si="4"/>
        <v>10388782.991130326</v>
      </c>
      <c r="K22" s="61">
        <f t="shared" si="4"/>
        <v>11292326.401434766</v>
      </c>
      <c r="L22" s="61">
        <f t="shared" si="4"/>
        <v>12158095.741288438</v>
      </c>
      <c r="M22" s="61">
        <f t="shared" si="4"/>
        <v>12979685.429893721</v>
      </c>
      <c r="N22" s="61">
        <f t="shared" si="4"/>
        <v>13752658.496943833</v>
      </c>
      <c r="O22" s="61">
        <f t="shared" si="4"/>
        <v>14474333.210007001</v>
      </c>
      <c r="P22" s="61">
        <f t="shared" si="4"/>
        <v>15143532.573325673</v>
      </c>
      <c r="Q22" s="61">
        <f t="shared" si="4"/>
        <v>15760322.576626204</v>
      </c>
    </row>
    <row r="23" spans="2:17">
      <c r="B23" s="39"/>
      <c r="C23" s="433"/>
      <c r="D23" s="433"/>
      <c r="E23" s="433"/>
      <c r="F23" s="433"/>
      <c r="G23" s="433"/>
      <c r="H23" s="433"/>
      <c r="I23" s="433"/>
      <c r="J23" s="433"/>
      <c r="K23" s="433"/>
      <c r="L23" s="433"/>
      <c r="M23" s="433"/>
      <c r="N23" s="433"/>
      <c r="O23" s="433"/>
      <c r="P23" s="433"/>
      <c r="Q23" s="433"/>
    </row>
    <row r="24" spans="2:17">
      <c r="B24" s="7" t="s">
        <v>421</v>
      </c>
      <c r="C24" s="61">
        <f>C22+C15</f>
        <v>4845618.5465000002</v>
      </c>
      <c r="D24" s="61">
        <f t="shared" ref="D24:Q24" si="5">D22+D15</f>
        <v>5360883.5294000003</v>
      </c>
      <c r="E24" s="61">
        <f t="shared" si="5"/>
        <v>5954418.3169999989</v>
      </c>
      <c r="F24" s="61">
        <f t="shared" si="5"/>
        <v>6733778.7996999994</v>
      </c>
      <c r="G24" s="61">
        <f t="shared" si="5"/>
        <v>7314185.3408000004</v>
      </c>
      <c r="H24" s="61">
        <f t="shared" si="5"/>
        <v>9075454.5818693452</v>
      </c>
      <c r="I24" s="61">
        <f t="shared" si="5"/>
        <v>10098419.063101778</v>
      </c>
      <c r="J24" s="61">
        <f t="shared" si="5"/>
        <v>11109891.998995729</v>
      </c>
      <c r="K24" s="61">
        <f t="shared" si="5"/>
        <v>12098969.967190268</v>
      </c>
      <c r="L24" s="61">
        <f t="shared" si="5"/>
        <v>13056833.917896744</v>
      </c>
      <c r="M24" s="61">
        <f t="shared" si="5"/>
        <v>13976730.753175916</v>
      </c>
      <c r="N24" s="61">
        <f t="shared" si="5"/>
        <v>14853844.89583797</v>
      </c>
      <c r="O24" s="61">
        <f t="shared" si="5"/>
        <v>15685098.039544489</v>
      </c>
      <c r="P24" s="61">
        <f t="shared" si="5"/>
        <v>16468909.799017679</v>
      </c>
      <c r="Q24" s="61">
        <f t="shared" si="5"/>
        <v>17204945.090562098</v>
      </c>
    </row>
    <row r="25" spans="2:17">
      <c r="D25" s="244"/>
      <c r="E25" s="244"/>
      <c r="F25" s="244"/>
      <c r="G25" s="244"/>
      <c r="H25" s="244"/>
      <c r="I25" s="244"/>
      <c r="J25" s="244"/>
      <c r="K25" s="244"/>
      <c r="L25" s="244"/>
      <c r="M25" s="244"/>
      <c r="N25" s="244"/>
      <c r="O25" s="244"/>
      <c r="P25" s="244"/>
      <c r="Q25" s="244"/>
    </row>
    <row r="26" spans="2:17">
      <c r="B26" s="1" t="s">
        <v>27</v>
      </c>
      <c r="E26" s="17"/>
      <c r="F26" s="17"/>
      <c r="G26" s="17"/>
      <c r="H26" s="17"/>
      <c r="I26" s="17"/>
      <c r="J26" s="17"/>
      <c r="K26" s="17"/>
      <c r="L26" s="17"/>
      <c r="M26" s="17"/>
      <c r="N26" s="17"/>
      <c r="O26" s="17"/>
      <c r="P26" s="17"/>
      <c r="Q26" s="17"/>
    </row>
    <row r="27" spans="2:17">
      <c r="B27" t="s">
        <v>28</v>
      </c>
      <c r="C27" s="66">
        <f>BS_Input!C19</f>
        <v>213498.6159</v>
      </c>
      <c r="D27" s="66">
        <f>BS_Input!D19</f>
        <v>318492.4301</v>
      </c>
      <c r="E27" s="66">
        <f>BS_Input!E19</f>
        <v>247321.0497</v>
      </c>
      <c r="F27" s="66">
        <f>BS_Input!F19</f>
        <v>225356.33609999999</v>
      </c>
      <c r="G27" s="66">
        <f>BS_Input!G19</f>
        <v>227485.1569</v>
      </c>
      <c r="H27" s="66">
        <f>'Cash Flow'!H64-'Balance Sheet'!H28</f>
        <v>427402.96842727275</v>
      </c>
      <c r="I27" s="66">
        <f>'Cash Flow'!I64-'Balance Sheet'!I28</f>
        <v>498554.7595949393</v>
      </c>
      <c r="J27" s="66">
        <f>'Cash Flow'!J64-'Balance Sheet'!J28</f>
        <v>576684.67783592874</v>
      </c>
      <c r="K27" s="66">
        <f>'Cash Flow'!K64-'Balance Sheet'!K28</f>
        <v>661497.86299875542</v>
      </c>
      <c r="L27" s="66">
        <f>'Cash Flow'!L64-'Balance Sheet'!L28</f>
        <v>752648.50781813997</v>
      </c>
      <c r="M27" s="66">
        <f>'Cash Flow'!M64-'Balance Sheet'!M28</f>
        <v>849755.79212291923</v>
      </c>
      <c r="N27" s="66">
        <f>'Cash Flow'!N64-'Balance Sheet'!N28</f>
        <v>952417.99877048959</v>
      </c>
      <c r="O27" s="66">
        <f>'Cash Flow'!O64-'Balance Sheet'!O28</f>
        <v>1060224.5315200088</v>
      </c>
      <c r="P27" s="66">
        <f>'Cash Flow'!P64-'Balance Sheet'!P28</f>
        <v>1172765.7693463634</v>
      </c>
      <c r="Q27" s="66">
        <f>'Cash Flow'!Q64-'Balance Sheet'!Q28</f>
        <v>1289640.8428038389</v>
      </c>
    </row>
    <row r="28" spans="2:17">
      <c r="B28" t="s">
        <v>29</v>
      </c>
      <c r="C28" s="66">
        <f>BS_Input!C20</f>
        <v>134208.4198</v>
      </c>
      <c r="D28" s="66">
        <f>BS_Input!D20</f>
        <v>80412.691600000006</v>
      </c>
      <c r="E28" s="66">
        <f>BS_Input!E20</f>
        <v>70990.86</v>
      </c>
      <c r="F28" s="66">
        <f>BS_Input!F20</f>
        <v>101215.96739999999</v>
      </c>
      <c r="G28" s="66">
        <f>BS_Input!G20</f>
        <v>130447.7859</v>
      </c>
      <c r="H28" s="66">
        <f>G28</f>
        <v>130447.7859</v>
      </c>
      <c r="I28" s="66">
        <f t="shared" ref="I28:Q28" si="6">H28</f>
        <v>130447.7859</v>
      </c>
      <c r="J28" s="66">
        <f t="shared" si="6"/>
        <v>130447.7859</v>
      </c>
      <c r="K28" s="66">
        <f t="shared" si="6"/>
        <v>130447.7859</v>
      </c>
      <c r="L28" s="66">
        <f t="shared" si="6"/>
        <v>130447.7859</v>
      </c>
      <c r="M28" s="66">
        <f t="shared" si="6"/>
        <v>130447.7859</v>
      </c>
      <c r="N28" s="66">
        <f t="shared" si="6"/>
        <v>130447.7859</v>
      </c>
      <c r="O28" s="66">
        <f t="shared" si="6"/>
        <v>130447.7859</v>
      </c>
      <c r="P28" s="66">
        <f t="shared" si="6"/>
        <v>130447.7859</v>
      </c>
      <c r="Q28" s="66">
        <f t="shared" si="6"/>
        <v>130447.7859</v>
      </c>
    </row>
    <row r="29" spans="2:17">
      <c r="B29" t="s">
        <v>30</v>
      </c>
      <c r="C29" s="66">
        <f>BS_Input!C21</f>
        <v>1595100.2664000001</v>
      </c>
      <c r="D29" s="66">
        <f>BS_Input!D21</f>
        <v>1776489.8988000001</v>
      </c>
      <c r="E29" s="66">
        <f>BS_Input!E21</f>
        <v>1913107.8563999999</v>
      </c>
      <c r="F29" s="66">
        <f>BS_Input!F21</f>
        <v>2110548.2259</v>
      </c>
      <c r="G29" s="66">
        <f>BS_Input!G21</f>
        <v>2205601.1083</v>
      </c>
      <c r="H29" s="66">
        <f>BS_Items!H24</f>
        <v>2903314.8900901848</v>
      </c>
      <c r="I29" s="66">
        <f>BS_Items!I24</f>
        <v>3228103.3189365352</v>
      </c>
      <c r="J29" s="66">
        <f>BS_Items!J24</f>
        <v>3546544.5407990357</v>
      </c>
      <c r="K29" s="66">
        <f>BS_Items!K24</f>
        <v>3854998.0865055956</v>
      </c>
      <c r="L29" s="66">
        <f>BS_Items!L24</f>
        <v>4150556.2407639655</v>
      </c>
      <c r="M29" s="66">
        <f>BS_Items!M24</f>
        <v>4431032.252957846</v>
      </c>
      <c r="N29" s="66">
        <f>BS_Items!N24</f>
        <v>4694911.4208518891</v>
      </c>
      <c r="O29" s="66">
        <f>BS_Items!O24</f>
        <v>4941278.2490002951</v>
      </c>
      <c r="P29" s="66">
        <f>BS_Items!P24</f>
        <v>5169730.9321211511</v>
      </c>
      <c r="Q29" s="66">
        <f>BS_Items!Q24</f>
        <v>5380291.9979257323</v>
      </c>
    </row>
    <row r="30" spans="2:17">
      <c r="B30" t="s">
        <v>31</v>
      </c>
      <c r="C30" s="66">
        <f>BS_Input!C22</f>
        <v>2500598.9866999998</v>
      </c>
      <c r="D30" s="66">
        <f>BS_Input!D22</f>
        <v>2794076.0018000002</v>
      </c>
      <c r="E30" s="66">
        <f>BS_Input!E22</f>
        <v>3267902.1272999998</v>
      </c>
      <c r="F30" s="66">
        <f>BS_Input!F22</f>
        <v>3784272.6705</v>
      </c>
      <c r="G30" s="66">
        <f>BS_Input!G22</f>
        <v>4250830.7363999998</v>
      </c>
      <c r="H30" s="66">
        <f>BS_Items!H27</f>
        <v>4938023.5353475306</v>
      </c>
      <c r="I30" s="66">
        <f>BS_Items!I27</f>
        <v>5490431.0303547308</v>
      </c>
      <c r="J30" s="66">
        <f>BS_Items!J27</f>
        <v>6032043.0523745017</v>
      </c>
      <c r="K30" s="66">
        <f>BS_Items!K27</f>
        <v>6556667.809220314</v>
      </c>
      <c r="L30" s="66">
        <f>BS_Items!L27</f>
        <v>7059359.7930534454</v>
      </c>
      <c r="M30" s="66">
        <f>BS_Items!M27</f>
        <v>7536399.7290387498</v>
      </c>
      <c r="N30" s="66">
        <f>BS_Items!N27</f>
        <v>7985211.3774053631</v>
      </c>
      <c r="O30" s="66">
        <f>BS_Items!O27</f>
        <v>8404237.6428229455</v>
      </c>
      <c r="P30" s="66">
        <f>BS_Items!P27</f>
        <v>8792795.1257933974</v>
      </c>
      <c r="Q30" s="66">
        <f>BS_Items!Q27</f>
        <v>9150922.1419568378</v>
      </c>
    </row>
    <row r="31" spans="2:17">
      <c r="B31" t="s">
        <v>32</v>
      </c>
      <c r="C31" s="66">
        <f>BS_Input!C23</f>
        <v>40166.788200000003</v>
      </c>
      <c r="D31" s="66">
        <f>BS_Input!D23</f>
        <v>39510.030500000001</v>
      </c>
      <c r="E31" s="66">
        <f>BS_Input!E23</f>
        <v>44407.381000000001</v>
      </c>
      <c r="F31" s="66">
        <f>BS_Input!F23</f>
        <v>44708.177300000003</v>
      </c>
      <c r="G31" s="66">
        <f>BS_Input!G23</f>
        <v>46337.695399999997</v>
      </c>
      <c r="H31" s="66">
        <f>FAS!H50</f>
        <v>57050.19558</v>
      </c>
      <c r="I31" s="66">
        <f>FAS!I50</f>
        <v>62396.510028899997</v>
      </c>
      <c r="J31" s="66">
        <f>FAS!J50</f>
        <v>67769.556050044499</v>
      </c>
      <c r="K31" s="66">
        <f>FAS!K50</f>
        <v>73169.467301294731</v>
      </c>
      <c r="L31" s="66">
        <f>FAS!L50</f>
        <v>78596.378108801189</v>
      </c>
      <c r="M31" s="66">
        <f>FAS!M50</f>
        <v>84050.423470345209</v>
      </c>
      <c r="N31" s="66">
        <f>FAS!N50</f>
        <v>89531.739058696927</v>
      </c>
      <c r="O31" s="66">
        <f>FAS!O50</f>
        <v>95040.461224990431</v>
      </c>
      <c r="P31" s="66">
        <f>FAS!P50</f>
        <v>100576.72700211537</v>
      </c>
      <c r="Q31" s="66">
        <f>FAS!Q50</f>
        <v>106140.67410812594</v>
      </c>
    </row>
    <row r="32" spans="2:17">
      <c r="B32" t="s">
        <v>33</v>
      </c>
      <c r="C32" s="66">
        <f>BS_Input!C24</f>
        <v>362045.46950000001</v>
      </c>
      <c r="D32" s="66">
        <f>BS_Input!D24</f>
        <v>351902.47659999999</v>
      </c>
      <c r="E32" s="66">
        <f>BS_Input!E24</f>
        <v>410689.04259999999</v>
      </c>
      <c r="F32" s="66">
        <f>BS_Input!F24</f>
        <v>467677.42249999999</v>
      </c>
      <c r="G32" s="66">
        <f>BS_Input!G24</f>
        <v>453482.8579</v>
      </c>
      <c r="H32" s="66">
        <f>BS_Items!H30</f>
        <v>619215.20652435522</v>
      </c>
      <c r="I32" s="66">
        <f>BS_Items!I30</f>
        <v>688485.65828667383</v>
      </c>
      <c r="J32" s="66">
        <f>BS_Items!J30</f>
        <v>756402.38603621919</v>
      </c>
      <c r="K32" s="66">
        <f>BS_Items!K30</f>
        <v>822188.95526430744</v>
      </c>
      <c r="L32" s="66">
        <f>BS_Items!L30</f>
        <v>885225.21225239069</v>
      </c>
      <c r="M32" s="66">
        <f>BS_Items!M30</f>
        <v>945044.76968605455</v>
      </c>
      <c r="N32" s="66">
        <f>BS_Items!N30</f>
        <v>1001324.5738515302</v>
      </c>
      <c r="O32" s="66">
        <f>BS_Items!O30</f>
        <v>1053869.369076249</v>
      </c>
      <c r="P32" s="66">
        <f>BS_Items!P30</f>
        <v>1102593.4588546504</v>
      </c>
      <c r="Q32" s="66">
        <f>BS_Items!Q30</f>
        <v>1147501.6478675625</v>
      </c>
    </row>
    <row r="33" spans="2:17">
      <c r="B33" s="7" t="s">
        <v>26</v>
      </c>
      <c r="C33" s="61">
        <f>SUM(C27:C32)</f>
        <v>4845618.5464999992</v>
      </c>
      <c r="D33" s="61">
        <f t="shared" ref="D33:H33" si="7">SUM(D27:D32)</f>
        <v>5360883.5294000003</v>
      </c>
      <c r="E33" s="61">
        <f t="shared" si="7"/>
        <v>5954418.3170000007</v>
      </c>
      <c r="F33" s="61">
        <f t="shared" si="7"/>
        <v>6733778.7996999994</v>
      </c>
      <c r="G33" s="61">
        <f t="shared" si="7"/>
        <v>7314185.3407999994</v>
      </c>
      <c r="H33" s="61">
        <f t="shared" si="7"/>
        <v>9075454.5818693433</v>
      </c>
      <c r="I33" s="61">
        <f t="shared" ref="I33" si="8">SUM(I27:I32)</f>
        <v>10098419.06310178</v>
      </c>
      <c r="J33" s="61">
        <f t="shared" ref="J33" si="9">SUM(J27:J32)</f>
        <v>11109891.998995731</v>
      </c>
      <c r="K33" s="61">
        <f t="shared" ref="K33" si="10">SUM(K27:K32)</f>
        <v>12098969.967190266</v>
      </c>
      <c r="L33" s="61">
        <f t="shared" ref="L33" si="11">SUM(L27:L32)</f>
        <v>13056833.917896744</v>
      </c>
      <c r="M33" s="61">
        <f t="shared" ref="M33" si="12">SUM(M27:M32)</f>
        <v>13976730.753175914</v>
      </c>
      <c r="N33" s="61">
        <f t="shared" ref="N33" si="13">SUM(N27:N32)</f>
        <v>14853844.895837968</v>
      </c>
      <c r="O33" s="61">
        <f t="shared" ref="O33" si="14">SUM(O27:O32)</f>
        <v>15685098.039544487</v>
      </c>
      <c r="P33" s="61">
        <f t="shared" ref="P33" si="15">SUM(P27:P32)</f>
        <v>16468909.799017679</v>
      </c>
      <c r="Q33" s="61">
        <f t="shared" ref="Q33" si="16">SUM(Q27:Q32)</f>
        <v>17204945.090562098</v>
      </c>
    </row>
    <row r="34" spans="2:17" ht="15.75" thickBot="1">
      <c r="D34" s="244"/>
      <c r="E34" s="244"/>
      <c r="F34" s="244"/>
      <c r="G34" s="244"/>
      <c r="H34" s="244"/>
      <c r="I34" s="244"/>
      <c r="J34" s="244"/>
      <c r="K34" s="244"/>
      <c r="L34" s="244"/>
      <c r="M34" s="244"/>
      <c r="N34" s="244"/>
      <c r="O34" s="244"/>
      <c r="P34" s="244"/>
      <c r="Q34" s="244"/>
    </row>
    <row r="35" spans="2:17" ht="16.5" thickTop="1" thickBot="1">
      <c r="B35" s="90" t="s">
        <v>34</v>
      </c>
      <c r="C35" s="311">
        <f>ROUND(C33,0)-ROUND(C24,0)</f>
        <v>0</v>
      </c>
      <c r="D35" s="311">
        <f t="shared" ref="D35:Q35" si="17">ROUND(D33,0)-ROUND(D24,0)</f>
        <v>0</v>
      </c>
      <c r="E35" s="311">
        <f t="shared" si="17"/>
        <v>0</v>
      </c>
      <c r="F35" s="311">
        <f t="shared" si="17"/>
        <v>0</v>
      </c>
      <c r="G35" s="311">
        <f t="shared" si="17"/>
        <v>0</v>
      </c>
      <c r="H35" s="311">
        <f t="shared" si="17"/>
        <v>0</v>
      </c>
      <c r="I35" s="311">
        <f t="shared" si="17"/>
        <v>0</v>
      </c>
      <c r="J35" s="311">
        <f t="shared" si="17"/>
        <v>0</v>
      </c>
      <c r="K35" s="311">
        <f t="shared" si="17"/>
        <v>0</v>
      </c>
      <c r="L35" s="311">
        <f t="shared" si="17"/>
        <v>0</v>
      </c>
      <c r="M35" s="311">
        <f t="shared" si="17"/>
        <v>0</v>
      </c>
      <c r="N35" s="311">
        <f t="shared" si="17"/>
        <v>0</v>
      </c>
      <c r="O35" s="311">
        <f t="shared" si="17"/>
        <v>0</v>
      </c>
      <c r="P35" s="311">
        <f t="shared" si="17"/>
        <v>0</v>
      </c>
      <c r="Q35" s="311">
        <f t="shared" si="17"/>
        <v>0</v>
      </c>
    </row>
    <row r="36" spans="2:17" ht="15.75" thickTop="1"/>
    <row r="37" spans="2:17">
      <c r="B37" s="81"/>
      <c r="C37" s="81"/>
      <c r="D37" s="81"/>
      <c r="E37" s="81"/>
      <c r="F37" s="81"/>
      <c r="G37" s="83"/>
      <c r="H37" s="81"/>
      <c r="I37" s="81"/>
      <c r="J37" s="81"/>
      <c r="K37" s="81"/>
      <c r="L37" s="81"/>
      <c r="M37" s="81"/>
      <c r="N37" s="81"/>
      <c r="O37" s="81"/>
      <c r="P37" s="81"/>
      <c r="Q37" s="81"/>
    </row>
    <row r="40" spans="2:17">
      <c r="H40" s="60"/>
    </row>
  </sheetData>
  <mergeCells count="1">
    <mergeCell ref="B7:B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249977111117893"/>
  </sheetPr>
  <dimension ref="A1:Q66"/>
  <sheetViews>
    <sheetView showGridLines="0" topLeftCell="A42" zoomScale="80" zoomScaleNormal="80" workbookViewId="0">
      <selection activeCell="B68" sqref="B68"/>
    </sheetView>
  </sheetViews>
  <sheetFormatPr defaultRowHeight="15"/>
  <cols>
    <col min="1" max="1" width="2.28515625" bestFit="1" customWidth="1"/>
    <col min="2" max="2" width="105.7109375" bestFit="1" customWidth="1"/>
    <col min="3" max="7" width="15" bestFit="1" customWidth="1"/>
    <col min="8" max="8" width="16" bestFit="1" customWidth="1"/>
    <col min="9" max="9" width="15" bestFit="1" customWidth="1"/>
    <col min="10" max="17" width="16" bestFit="1" customWidth="1"/>
  </cols>
  <sheetData>
    <row r="1" spans="1:17" ht="16.5" thickTop="1">
      <c r="B1" s="248" t="s">
        <v>318</v>
      </c>
    </row>
    <row r="2" spans="1:17">
      <c r="B2" s="10" t="s">
        <v>319</v>
      </c>
    </row>
    <row r="3" spans="1:17">
      <c r="C3" s="64">
        <v>10000</v>
      </c>
    </row>
    <row r="4" spans="1:17">
      <c r="B4" s="6" t="s">
        <v>355</v>
      </c>
    </row>
    <row r="5" spans="1:17">
      <c r="B5" s="148" t="s">
        <v>35</v>
      </c>
      <c r="C5" s="199"/>
      <c r="D5" s="199"/>
      <c r="E5" s="199"/>
      <c r="F5" s="199"/>
      <c r="G5" s="199"/>
      <c r="H5" s="199"/>
      <c r="I5" s="199"/>
      <c r="J5" s="199"/>
      <c r="K5" s="199"/>
      <c r="L5" s="199"/>
      <c r="M5" s="199"/>
      <c r="N5" s="199"/>
      <c r="O5" s="199"/>
      <c r="P5" s="199"/>
      <c r="Q5" s="199"/>
    </row>
    <row r="6" spans="1:17">
      <c r="B6" s="399" t="s">
        <v>2</v>
      </c>
      <c r="C6" s="41">
        <v>2021</v>
      </c>
      <c r="D6" s="41">
        <f>C6+1</f>
        <v>2022</v>
      </c>
      <c r="E6" s="41">
        <f t="shared" ref="E6:Q6" si="0">D6+1</f>
        <v>2023</v>
      </c>
      <c r="F6" s="41">
        <f t="shared" si="0"/>
        <v>2024</v>
      </c>
      <c r="G6" s="49">
        <f t="shared" si="0"/>
        <v>2025</v>
      </c>
      <c r="H6" s="43">
        <f t="shared" si="0"/>
        <v>2026</v>
      </c>
      <c r="I6" s="43">
        <f t="shared" si="0"/>
        <v>2027</v>
      </c>
      <c r="J6" s="43">
        <f t="shared" si="0"/>
        <v>2028</v>
      </c>
      <c r="K6" s="43">
        <f t="shared" si="0"/>
        <v>2029</v>
      </c>
      <c r="L6" s="43">
        <f t="shared" si="0"/>
        <v>2030</v>
      </c>
      <c r="M6" s="43">
        <f t="shared" si="0"/>
        <v>2031</v>
      </c>
      <c r="N6" s="43">
        <f t="shared" si="0"/>
        <v>2032</v>
      </c>
      <c r="O6" s="43">
        <f t="shared" si="0"/>
        <v>2033</v>
      </c>
      <c r="P6" s="43">
        <f t="shared" si="0"/>
        <v>2034</v>
      </c>
      <c r="Q6" s="43">
        <f t="shared" si="0"/>
        <v>2035</v>
      </c>
    </row>
    <row r="7" spans="1:17">
      <c r="B7" s="400"/>
      <c r="C7" s="42" t="s">
        <v>98</v>
      </c>
      <c r="D7" s="42" t="s">
        <v>98</v>
      </c>
      <c r="E7" s="42" t="s">
        <v>98</v>
      </c>
      <c r="F7" s="42" t="s">
        <v>98</v>
      </c>
      <c r="G7" s="50" t="s">
        <v>98</v>
      </c>
      <c r="H7" s="44" t="s">
        <v>99</v>
      </c>
      <c r="I7" s="44" t="s">
        <v>99</v>
      </c>
      <c r="J7" s="44" t="s">
        <v>99</v>
      </c>
      <c r="K7" s="44" t="s">
        <v>99</v>
      </c>
      <c r="L7" s="44" t="s">
        <v>99</v>
      </c>
      <c r="M7" s="44" t="s">
        <v>99</v>
      </c>
      <c r="N7" s="44" t="s">
        <v>99</v>
      </c>
      <c r="O7" s="44" t="s">
        <v>99</v>
      </c>
      <c r="P7" s="44" t="s">
        <v>99</v>
      </c>
      <c r="Q7" s="44" t="s">
        <v>99</v>
      </c>
    </row>
    <row r="8" spans="1:17">
      <c r="A8" t="s">
        <v>149</v>
      </c>
      <c r="B8" s="1" t="s">
        <v>66</v>
      </c>
      <c r="C8" s="123"/>
      <c r="D8" s="123"/>
      <c r="E8" s="123"/>
      <c r="F8" s="123"/>
      <c r="G8" s="123"/>
    </row>
    <row r="9" spans="1:17">
      <c r="B9" t="s">
        <v>36</v>
      </c>
      <c r="C9" s="26">
        <v>30921.7078</v>
      </c>
      <c r="D9" s="26">
        <v>48756.343000000001</v>
      </c>
      <c r="E9" s="26">
        <v>74488.304099999994</v>
      </c>
      <c r="F9" s="26">
        <v>90186.4473</v>
      </c>
      <c r="G9" s="26">
        <v>104909.4768</v>
      </c>
      <c r="H9" s="60">
        <f>'Income Statement'!H28+'Income Statement'!H25</f>
        <v>105495.66428542155</v>
      </c>
      <c r="I9" s="60">
        <f>'Income Statement'!I28+'Income Statement'!I25</f>
        <v>114776.06678945193</v>
      </c>
      <c r="J9" s="60">
        <f>'Income Statement'!J28+'Income Statement'!J25</f>
        <v>126163.01637369055</v>
      </c>
      <c r="K9" s="60">
        <f>'Income Statement'!K28+'Income Statement'!K25</f>
        <v>137166.22036224083</v>
      </c>
      <c r="L9" s="60">
        <f>'Income Statement'!L28+'Income Statement'!L25</f>
        <v>147686.1095807536</v>
      </c>
      <c r="M9" s="60">
        <f>'Income Statement'!M28+'Income Statement'!M25</f>
        <v>157648.95206676528</v>
      </c>
      <c r="N9" s="60">
        <f>'Income Statement'!N28+'Income Statement'!N25</f>
        <v>167004.84350028829</v>
      </c>
      <c r="O9" s="60">
        <f>'Income Statement'!O28+'Income Statement'!O25</f>
        <v>175724.92688019562</v>
      </c>
      <c r="P9" s="60">
        <f>'Income Statement'!P28+'Income Statement'!P25</f>
        <v>183798.23266541387</v>
      </c>
      <c r="Q9" s="60">
        <f>'Income Statement'!Q28+'Income Statement'!Q25</f>
        <v>191228.44061833539</v>
      </c>
    </row>
    <row r="10" spans="1:17">
      <c r="B10" s="10" t="s">
        <v>37</v>
      </c>
      <c r="C10" s="27"/>
      <c r="D10" s="27"/>
      <c r="E10" s="27"/>
      <c r="F10" s="27"/>
      <c r="G10" s="27"/>
    </row>
    <row r="11" spans="1:17">
      <c r="B11" t="s">
        <v>38</v>
      </c>
      <c r="C11" s="26">
        <v>3711.0636</v>
      </c>
      <c r="D11" s="26">
        <v>3691.27</v>
      </c>
      <c r="E11" s="26">
        <v>3695.5985999999998</v>
      </c>
      <c r="F11" s="26">
        <v>3849.1244999999999</v>
      </c>
      <c r="G11" s="26">
        <v>3991.4767000000002</v>
      </c>
      <c r="H11" s="66">
        <f>'Income Statement'!H20</f>
        <v>3446.3444192355696</v>
      </c>
      <c r="I11" s="66">
        <f>'Income Statement'!I20</f>
        <v>3463.5761413317473</v>
      </c>
      <c r="J11" s="66">
        <f>'Income Statement'!J20</f>
        <v>3480.8940220384056</v>
      </c>
      <c r="K11" s="66">
        <f>'Income Statement'!K20</f>
        <v>3498.2984921485977</v>
      </c>
      <c r="L11" s="66">
        <f>'Income Statement'!L20</f>
        <v>3515.789984609341</v>
      </c>
      <c r="M11" s="66">
        <f>'Income Statement'!M20</f>
        <v>3533.3689345323869</v>
      </c>
      <c r="N11" s="66">
        <f>'Income Statement'!N20</f>
        <v>3551.035779205049</v>
      </c>
      <c r="O11" s="66">
        <f>'Income Statement'!O20</f>
        <v>3568.7909581010736</v>
      </c>
      <c r="P11" s="66">
        <f>'Income Statement'!P20</f>
        <v>3586.6349128915786</v>
      </c>
      <c r="Q11" s="66">
        <f>'Income Statement'!Q20</f>
        <v>3604.5680874560353</v>
      </c>
    </row>
    <row r="12" spans="1:17">
      <c r="B12" t="s">
        <v>39</v>
      </c>
      <c r="C12" s="26">
        <v>28.336400000000001</v>
      </c>
      <c r="D12" s="26">
        <v>16.404699999999998</v>
      </c>
      <c r="E12" s="26">
        <v>29.031600000000001</v>
      </c>
      <c r="F12" s="26">
        <v>25.205400000000001</v>
      </c>
      <c r="G12" s="26">
        <v>16.229299999999999</v>
      </c>
    </row>
    <row r="13" spans="1:17">
      <c r="B13" t="s">
        <v>40</v>
      </c>
      <c r="C13" s="26">
        <v>5.1547999999999998</v>
      </c>
      <c r="D13" s="26">
        <v>445.73689999999999</v>
      </c>
      <c r="E13" s="26">
        <v>4922.6098000000002</v>
      </c>
      <c r="F13" s="26">
        <v>-4892.7871999999998</v>
      </c>
      <c r="G13" s="26">
        <v>-5179.3793999999998</v>
      </c>
    </row>
    <row r="14" spans="1:17">
      <c r="B14" t="s">
        <v>41</v>
      </c>
      <c r="C14" s="26">
        <v>-1577.8431</v>
      </c>
      <c r="D14" s="26">
        <v>-9.7431999999999999</v>
      </c>
      <c r="E14" s="26">
        <v>0</v>
      </c>
      <c r="F14" s="26">
        <v>0</v>
      </c>
      <c r="G14" s="26">
        <v>7.5190000000000001</v>
      </c>
    </row>
    <row r="15" spans="1:17">
      <c r="B15" t="s">
        <v>42</v>
      </c>
      <c r="C15" s="26">
        <v>254.41309999999999</v>
      </c>
      <c r="D15" s="26">
        <v>0</v>
      </c>
      <c r="E15" s="26">
        <v>0</v>
      </c>
      <c r="F15" s="26">
        <v>0</v>
      </c>
      <c r="G15" s="26">
        <v>0</v>
      </c>
    </row>
    <row r="16" spans="1:17">
      <c r="B16" t="s">
        <v>43</v>
      </c>
      <c r="C16" s="26">
        <v>29732.652900000001</v>
      </c>
      <c r="D16" s="26">
        <v>15845.8997</v>
      </c>
      <c r="E16" s="26">
        <v>10826.881600000001</v>
      </c>
      <c r="F16" s="26">
        <v>12241.867</v>
      </c>
      <c r="G16" s="26">
        <v>18505.5154</v>
      </c>
    </row>
    <row r="17" spans="2:17">
      <c r="B17" t="s">
        <v>44</v>
      </c>
      <c r="C17" s="26">
        <v>3601.3226</v>
      </c>
      <c r="D17" s="26">
        <v>4581.8141999999998</v>
      </c>
      <c r="E17" s="26">
        <v>5641.5051000000003</v>
      </c>
      <c r="F17" s="26">
        <v>-1264.4725000000001</v>
      </c>
      <c r="G17" s="26">
        <v>338.0915</v>
      </c>
    </row>
    <row r="18" spans="2:17">
      <c r="B18" t="s">
        <v>45</v>
      </c>
      <c r="C18" s="26">
        <v>2820.9883</v>
      </c>
      <c r="D18" s="26">
        <v>3471.788</v>
      </c>
      <c r="E18" s="26">
        <v>1483.8759</v>
      </c>
      <c r="F18" s="26">
        <v>-604.11069999999995</v>
      </c>
      <c r="G18" s="26">
        <v>482.8852</v>
      </c>
    </row>
    <row r="19" spans="2:17">
      <c r="B19" t="s">
        <v>46</v>
      </c>
      <c r="C19" s="26">
        <v>9947.1949000000004</v>
      </c>
      <c r="D19" s="26">
        <v>2777.1833000000001</v>
      </c>
      <c r="E19" s="26">
        <v>232.01480000000001</v>
      </c>
      <c r="F19" s="26">
        <v>-2668.3083000000001</v>
      </c>
      <c r="G19" s="26">
        <v>134.6773</v>
      </c>
    </row>
    <row r="20" spans="2:17">
      <c r="B20" t="s">
        <v>47</v>
      </c>
      <c r="C20" s="26">
        <v>391.90449999999998</v>
      </c>
      <c r="D20" s="26">
        <v>-827.01329999999996</v>
      </c>
      <c r="E20" s="26">
        <v>-1191.4521</v>
      </c>
      <c r="F20" s="26">
        <v>-1405.1542999999999</v>
      </c>
      <c r="G20" s="26">
        <v>-1505.4709</v>
      </c>
      <c r="H20" s="66">
        <f>-'Income Statement'!H25</f>
        <v>-1220.6055361271053</v>
      </c>
      <c r="I20" s="66">
        <f>-'Income Statement'!I25</f>
        <v>-1357.1524038723276</v>
      </c>
      <c r="J20" s="66">
        <f>-'Income Statement'!J25</f>
        <v>-1491.0307922149625</v>
      </c>
      <c r="K20" s="66">
        <f>-'Income Statement'!K25</f>
        <v>-1620.7101827669694</v>
      </c>
      <c r="L20" s="66">
        <f>-'Income Statement'!L25</f>
        <v>-1744.968119984406</v>
      </c>
      <c r="M20" s="66">
        <f>-'Income Statement'!M25</f>
        <v>-1862.8852547751383</v>
      </c>
      <c r="N20" s="66">
        <f>-'Income Statement'!N25</f>
        <v>-1973.8247792130396</v>
      </c>
      <c r="O20" s="66">
        <f>-'Income Statement'!O25</f>
        <v>-2077.4018026294279</v>
      </c>
      <c r="P20" s="66">
        <f>-'Income Statement'!P25</f>
        <v>-2173.4473988932714</v>
      </c>
      <c r="Q20" s="66">
        <f>-'Income Statement'!Q25</f>
        <v>-2261.9710390575365</v>
      </c>
    </row>
    <row r="21" spans="2:17">
      <c r="B21" t="s">
        <v>48</v>
      </c>
      <c r="C21" s="26">
        <v>-3.1949999999999998</v>
      </c>
      <c r="D21" s="26">
        <v>-3.1949999999999998</v>
      </c>
      <c r="E21" s="26">
        <v>-2.6625000000000001</v>
      </c>
      <c r="F21" s="26">
        <v>-5.5719000000000003</v>
      </c>
      <c r="G21" s="26">
        <v>-8.8146000000000004</v>
      </c>
    </row>
    <row r="22" spans="2:17">
      <c r="B22" t="s">
        <v>49</v>
      </c>
      <c r="C22" s="26">
        <v>5900.3121000000001</v>
      </c>
      <c r="D22" s="26">
        <v>5587.8873999999996</v>
      </c>
      <c r="E22" s="26">
        <v>6543.7305999999999</v>
      </c>
      <c r="F22" s="26">
        <v>9661.5236999999997</v>
      </c>
      <c r="G22" s="26">
        <v>11922.815000000001</v>
      </c>
      <c r="H22" s="66">
        <f>'Income Statement'!H24</f>
        <v>34704.027809300358</v>
      </c>
      <c r="I22" s="66">
        <f>'Income Statement'!I24</f>
        <v>41475.808123297778</v>
      </c>
      <c r="J22" s="66">
        <f>'Income Statement'!J24</f>
        <v>45826.917224409153</v>
      </c>
      <c r="K22" s="66">
        <f>'Income Statement'!K24</f>
        <v>50067.529462360057</v>
      </c>
      <c r="L22" s="66">
        <f>'Income Statement'!L24</f>
        <v>54153.349825272307</v>
      </c>
      <c r="M22" s="66">
        <f>'Income Statement'!M24</f>
        <v>58049.91694004913</v>
      </c>
      <c r="N22" s="66">
        <f>'Income Statement'!N24</f>
        <v>61732.192431714517</v>
      </c>
      <c r="O22" s="66">
        <f>'Income Statement'!O24</f>
        <v>65183.73729557349</v>
      </c>
      <c r="P22" s="66">
        <f>'Income Statement'!P24</f>
        <v>68395.640687452542</v>
      </c>
      <c r="Q22" s="66">
        <f>'Income Statement'!Q24</f>
        <v>71365.336994762722</v>
      </c>
    </row>
    <row r="23" spans="2:17">
      <c r="C23" s="62">
        <f>SUM(C9:C22)</f>
        <v>85734.012899999987</v>
      </c>
      <c r="D23" s="62">
        <f t="shared" ref="D23:Q23" si="1">SUM(D9:D22)</f>
        <v>84334.375699999975</v>
      </c>
      <c r="E23" s="62">
        <f t="shared" si="1"/>
        <v>106669.43749999999</v>
      </c>
      <c r="F23" s="62">
        <f t="shared" si="1"/>
        <v>105123.76300000001</v>
      </c>
      <c r="G23" s="62">
        <f t="shared" si="1"/>
        <v>133615.02129999999</v>
      </c>
      <c r="H23" s="62">
        <f t="shared" si="1"/>
        <v>142425.43097783037</v>
      </c>
      <c r="I23" s="62">
        <f t="shared" si="1"/>
        <v>158358.29865020912</v>
      </c>
      <c r="J23" s="62">
        <f t="shared" si="1"/>
        <v>173979.79682792316</v>
      </c>
      <c r="K23" s="62">
        <f t="shared" si="1"/>
        <v>189111.3381339825</v>
      </c>
      <c r="L23" s="62">
        <f t="shared" si="1"/>
        <v>203610.28127065086</v>
      </c>
      <c r="M23" s="62">
        <f t="shared" si="1"/>
        <v>217369.35268657166</v>
      </c>
      <c r="N23" s="62">
        <f t="shared" si="1"/>
        <v>230314.24693199486</v>
      </c>
      <c r="O23" s="62">
        <f t="shared" si="1"/>
        <v>242400.05333124075</v>
      </c>
      <c r="P23" s="62">
        <f t="shared" si="1"/>
        <v>253607.06086686472</v>
      </c>
      <c r="Q23" s="62">
        <f t="shared" si="1"/>
        <v>263936.37466149661</v>
      </c>
    </row>
    <row r="24" spans="2:17">
      <c r="B24" t="s">
        <v>37</v>
      </c>
      <c r="C24" s="9"/>
      <c r="D24" s="9"/>
      <c r="E24" s="9"/>
      <c r="F24" s="9"/>
      <c r="G24" s="9"/>
    </row>
    <row r="25" spans="2:17">
      <c r="B25" t="s">
        <v>50</v>
      </c>
      <c r="C25" s="26">
        <v>441170.61629999999</v>
      </c>
      <c r="D25" s="26">
        <v>372079.35889999999</v>
      </c>
      <c r="E25" s="26">
        <v>381124.90620000003</v>
      </c>
      <c r="F25" s="26">
        <v>498001.9804</v>
      </c>
      <c r="G25" s="26">
        <v>473360.5319</v>
      </c>
      <c r="H25" s="60">
        <f>('Balance Sheet'!H19+'Balance Sheet'!H18)-('Balance Sheet'!G19+'Balance Sheet'!G18)</f>
        <v>1388891.3493943345</v>
      </c>
      <c r="I25" s="60">
        <f>('Balance Sheet'!I19+'Balance Sheet'!I18)-('Balance Sheet'!H19+'Balance Sheet'!H18)</f>
        <v>763923.94689473044</v>
      </c>
      <c r="J25" s="60">
        <f>('Balance Sheet'!J19+'Balance Sheet'!J18)-('Balance Sheet'!I19+'Balance Sheet'!I18)</f>
        <v>748994.8946865499</v>
      </c>
      <c r="K25" s="60">
        <f>('Balance Sheet'!K19+'Balance Sheet'!K18)-('Balance Sheet'!J19+'Balance Sheet'!J18)</f>
        <v>725503.21729996987</v>
      </c>
      <c r="L25" s="60">
        <f>('Balance Sheet'!L19+'Balance Sheet'!L18)-('Balance Sheet'!K19+'Balance Sheet'!K18)</f>
        <v>695172.400506882</v>
      </c>
      <c r="M25" s="60">
        <f>('Balance Sheet'!M19+'Balance Sheet'!M18)-('Balance Sheet'!L19+'Balance Sheet'!L18)</f>
        <v>659698.20108894818</v>
      </c>
      <c r="N25" s="60">
        <f>('Balance Sheet'!N19+'Balance Sheet'!N18)-('Balance Sheet'!M19+'Balance Sheet'!M18)</f>
        <v>620661.32145452686</v>
      </c>
      <c r="O25" s="60">
        <f>('Balance Sheet'!O19+'Balance Sheet'!O18)-('Balance Sheet'!N19+'Balance Sheet'!N18)</f>
        <v>579471.13575311936</v>
      </c>
      <c r="P25" s="60">
        <f>('Balance Sheet'!P19+'Balance Sheet'!P18)-('Balance Sheet'!O19+'Balance Sheet'!O18)</f>
        <v>537335.87735336646</v>
      </c>
      <c r="Q25" s="60">
        <f>('Balance Sheet'!Q19+'Balance Sheet'!Q18)-('Balance Sheet'!P19+'Balance Sheet'!P18)</f>
        <v>495253.60562612116</v>
      </c>
    </row>
    <row r="26" spans="2:17">
      <c r="B26" t="s">
        <v>51</v>
      </c>
      <c r="C26" s="26">
        <v>90438.851800000004</v>
      </c>
      <c r="D26" s="26">
        <v>11807.8755</v>
      </c>
      <c r="E26" s="26">
        <v>54584.073600000003</v>
      </c>
      <c r="F26" s="26">
        <v>112581.10520000001</v>
      </c>
      <c r="G26" s="26">
        <v>-35148.357900000003</v>
      </c>
      <c r="H26" s="60">
        <f>'Balance Sheet'!H20-'Balance Sheet'!G20</f>
        <v>185502.27693562745</v>
      </c>
      <c r="I26" s="60">
        <f>'Balance Sheet'!I20-'Balance Sheet'!H20</f>
        <v>89087.256366555812</v>
      </c>
      <c r="J26" s="60">
        <f>'Balance Sheet'!J20-'Balance Sheet'!I20</f>
        <v>87346.260673481622</v>
      </c>
      <c r="K26" s="60">
        <f>'Balance Sheet'!K20-'Balance Sheet'!J20</f>
        <v>84606.709054075647</v>
      </c>
      <c r="L26" s="60">
        <f>'Balance Sheet'!L20-'Balance Sheet'!K20</f>
        <v>81069.590912358835</v>
      </c>
      <c r="M26" s="60">
        <f>'Balance Sheet'!M20-'Balance Sheet'!L20</f>
        <v>76932.661953933537</v>
      </c>
      <c r="N26" s="60">
        <f>'Balance Sheet'!N20-'Balance Sheet'!M20</f>
        <v>72380.260477479314</v>
      </c>
      <c r="O26" s="60">
        <f>'Balance Sheet'!O20-'Balance Sheet'!N20</f>
        <v>67576.744828724768</v>
      </c>
      <c r="P26" s="60">
        <f>'Balance Sheet'!P20-'Balance Sheet'!O20</f>
        <v>62663.016724783927</v>
      </c>
      <c r="Q26" s="60">
        <f>'Balance Sheet'!Q20-'Balance Sheet'!P20</f>
        <v>57755.467818781501</v>
      </c>
    </row>
    <row r="27" spans="2:17">
      <c r="B27" t="s">
        <v>52</v>
      </c>
      <c r="C27" s="26">
        <v>-368800.15429999999</v>
      </c>
      <c r="D27" s="26">
        <v>-183899.64019999999</v>
      </c>
      <c r="E27" s="26">
        <v>-141597.38449999999</v>
      </c>
      <c r="F27" s="26">
        <v>-190457.1079</v>
      </c>
      <c r="G27" s="26">
        <v>-81890.966799999995</v>
      </c>
      <c r="H27" s="60">
        <f>'Balance Sheet'!G29-'Balance Sheet'!H29</f>
        <v>-697713.78179018479</v>
      </c>
      <c r="I27" s="60">
        <f>'Balance Sheet'!H29-'Balance Sheet'!I29</f>
        <v>-324788.42884635041</v>
      </c>
      <c r="J27" s="60">
        <f>'Balance Sheet'!I29-'Balance Sheet'!J29</f>
        <v>-318441.22186250053</v>
      </c>
      <c r="K27" s="60">
        <f>'Balance Sheet'!J29-'Balance Sheet'!K29</f>
        <v>-308453.5457065599</v>
      </c>
      <c r="L27" s="60">
        <f>'Balance Sheet'!K29-'Balance Sheet'!L29</f>
        <v>-295558.15425836993</v>
      </c>
      <c r="M27" s="60">
        <f>'Balance Sheet'!L29-'Balance Sheet'!M29</f>
        <v>-280476.01219388051</v>
      </c>
      <c r="N27" s="60">
        <f>'Balance Sheet'!M29-'Balance Sheet'!N29</f>
        <v>-263879.16789404303</v>
      </c>
      <c r="O27" s="60">
        <f>'Balance Sheet'!N29-'Balance Sheet'!O29</f>
        <v>-246366.828148406</v>
      </c>
      <c r="P27" s="60">
        <f>'Balance Sheet'!O29-'Balance Sheet'!P29</f>
        <v>-228452.68312085606</v>
      </c>
      <c r="Q27" s="60">
        <f>'Balance Sheet'!P29-'Balance Sheet'!Q29</f>
        <v>-210561.06580458116</v>
      </c>
    </row>
    <row r="28" spans="2:17">
      <c r="B28" t="s">
        <v>53</v>
      </c>
      <c r="C28" s="26">
        <v>-156020.4583</v>
      </c>
      <c r="D28" s="26">
        <v>-309322.91480000003</v>
      </c>
      <c r="E28" s="26">
        <v>-484653.00709999999</v>
      </c>
      <c r="F28" s="26">
        <v>-528612.41020000004</v>
      </c>
      <c r="G28" s="26">
        <v>-485063.58130000002</v>
      </c>
      <c r="H28" s="60">
        <f>'Balance Sheet'!G30-'Balance Sheet'!H30</f>
        <v>-687192.7989475308</v>
      </c>
      <c r="I28" s="60">
        <f>'Balance Sheet'!H30-'Balance Sheet'!I30</f>
        <v>-552407.49500720017</v>
      </c>
      <c r="J28" s="60">
        <f>'Balance Sheet'!I30-'Balance Sheet'!J30</f>
        <v>-541612.02201977093</v>
      </c>
      <c r="K28" s="60">
        <f>'Balance Sheet'!J30-'Balance Sheet'!K30</f>
        <v>-524624.75684581231</v>
      </c>
      <c r="L28" s="60">
        <f>'Balance Sheet'!K30-'Balance Sheet'!L30</f>
        <v>-502691.98383313138</v>
      </c>
      <c r="M28" s="60">
        <f>'Balance Sheet'!L30-'Balance Sheet'!M30</f>
        <v>-477039.93598530442</v>
      </c>
      <c r="N28" s="60">
        <f>'Balance Sheet'!M30-'Balance Sheet'!N30</f>
        <v>-448811.64836661331</v>
      </c>
      <c r="O28" s="60">
        <f>'Balance Sheet'!N30-'Balance Sheet'!O30</f>
        <v>-419026.26541758236</v>
      </c>
      <c r="P28" s="60">
        <f>'Balance Sheet'!O30-'Balance Sheet'!P30</f>
        <v>-388557.48297045194</v>
      </c>
      <c r="Q28" s="60">
        <f>'Balance Sheet'!P30-'Balance Sheet'!Q30</f>
        <v>-358127.01616344042</v>
      </c>
    </row>
    <row r="29" spans="2:17">
      <c r="B29" t="s">
        <v>54</v>
      </c>
      <c r="C29" s="26">
        <v>67465.501399999994</v>
      </c>
      <c r="D29" s="26">
        <v>86464.266399999993</v>
      </c>
      <c r="E29" s="26">
        <v>75713.739700000006</v>
      </c>
      <c r="F29" s="26">
        <v>102500.2751</v>
      </c>
      <c r="G29" s="26">
        <v>56832.987800000003</v>
      </c>
      <c r="H29" s="60">
        <f>'Balance Sheet'!H21-'Balance Sheet'!G21</f>
        <v>121073.94386680715</v>
      </c>
      <c r="I29" s="60">
        <f>'Balance Sheet'!I21-'Balance Sheet'!H21</f>
        <v>98381.473892208072</v>
      </c>
      <c r="J29" s="60">
        <f>'Balance Sheet'!J21-'Balance Sheet'!I21</f>
        <v>96458.845120031387</v>
      </c>
      <c r="K29" s="60">
        <f>'Balance Sheet'!K21-'Balance Sheet'!J21</f>
        <v>93433.483950393507</v>
      </c>
      <c r="L29" s="60">
        <f>'Balance Sheet'!L21-'Balance Sheet'!K21</f>
        <v>89527.34843443241</v>
      </c>
      <c r="M29" s="60">
        <f>'Balance Sheet'!M21-'Balance Sheet'!L21</f>
        <v>84958.825562399579</v>
      </c>
      <c r="N29" s="60">
        <f>'Balance Sheet'!N21-'Balance Sheet'!M21</f>
        <v>79931.485118106939</v>
      </c>
      <c r="O29" s="60">
        <f>'Balance Sheet'!O21-'Balance Sheet'!N21</f>
        <v>74626.832481322577</v>
      </c>
      <c r="P29" s="60">
        <f>'Balance Sheet'!P21-'Balance Sheet'!O21</f>
        <v>69200.469240522245</v>
      </c>
      <c r="Q29" s="60">
        <f>'Balance Sheet'!Q21-'Balance Sheet'!P21</f>
        <v>63780.92985562887</v>
      </c>
    </row>
    <row r="30" spans="2:17">
      <c r="B30" t="s">
        <v>55</v>
      </c>
      <c r="C30" s="26">
        <v>-66249.946299999996</v>
      </c>
      <c r="D30" s="26">
        <v>5255.8279000000002</v>
      </c>
      <c r="E30" s="26">
        <v>-60531.722800000003</v>
      </c>
      <c r="F30" s="26">
        <v>-46236.9064</v>
      </c>
      <c r="G30" s="26">
        <v>20542.1047</v>
      </c>
      <c r="H30" s="60">
        <f>'Balance Sheet'!G32-'Balance Sheet'!H32</f>
        <v>-165732.34862435522</v>
      </c>
      <c r="I30" s="60">
        <f>'Balance Sheet'!H32-'Balance Sheet'!I32</f>
        <v>-69270.451762318611</v>
      </c>
      <c r="J30" s="60">
        <f>'Balance Sheet'!I32-'Balance Sheet'!J32</f>
        <v>-67916.72774954536</v>
      </c>
      <c r="K30" s="60">
        <f>'Balance Sheet'!J32-'Balance Sheet'!K32</f>
        <v>-65786.56922808825</v>
      </c>
      <c r="L30" s="60">
        <f>'Balance Sheet'!K32-'Balance Sheet'!L32</f>
        <v>-63036.256988083245</v>
      </c>
      <c r="M30" s="60">
        <f>'Balance Sheet'!L32-'Balance Sheet'!M32</f>
        <v>-59819.557433663867</v>
      </c>
      <c r="N30" s="60">
        <f>'Balance Sheet'!M32-'Balance Sheet'!N32</f>
        <v>-56279.804165475653</v>
      </c>
      <c r="O30" s="60">
        <f>'Balance Sheet'!N32-'Balance Sheet'!O32</f>
        <v>-52544.79522471875</v>
      </c>
      <c r="P30" s="60">
        <f>'Balance Sheet'!O32-'Balance Sheet'!P32</f>
        <v>-48724.089778401423</v>
      </c>
      <c r="Q30" s="60">
        <f>'Balance Sheet'!P32-'Balance Sheet'!Q32</f>
        <v>-44908.189012912102</v>
      </c>
    </row>
    <row r="31" spans="2:17">
      <c r="C31" s="63">
        <f>SUM(C23:C30)</f>
        <v>93738.423499999932</v>
      </c>
      <c r="D31" s="63">
        <f t="shared" ref="D31:G31" si="2">SUM(D23:D30)</f>
        <v>66719.149399999995</v>
      </c>
      <c r="E31" s="63">
        <f t="shared" si="2"/>
        <v>-68689.957399999883</v>
      </c>
      <c r="F31" s="63">
        <f t="shared" si="2"/>
        <v>52900.699199999923</v>
      </c>
      <c r="G31" s="63">
        <f t="shared" si="2"/>
        <v>82247.739700000006</v>
      </c>
      <c r="H31" s="63">
        <f>SUM(H23:H30)</f>
        <v>287254.07181252871</v>
      </c>
      <c r="I31" s="63">
        <f t="shared" ref="I31:Q31" si="3">SUM(I23:I30)</f>
        <v>163284.60018783424</v>
      </c>
      <c r="J31" s="63">
        <f t="shared" si="3"/>
        <v>178809.82567616925</v>
      </c>
      <c r="K31" s="63">
        <f t="shared" si="3"/>
        <v>193789.87665796105</v>
      </c>
      <c r="L31" s="63">
        <f t="shared" si="3"/>
        <v>208093.2260447396</v>
      </c>
      <c r="M31" s="63">
        <f t="shared" si="3"/>
        <v>221623.53567900416</v>
      </c>
      <c r="N31" s="63">
        <f t="shared" si="3"/>
        <v>234316.69355597591</v>
      </c>
      <c r="O31" s="63">
        <f t="shared" si="3"/>
        <v>246136.87760370038</v>
      </c>
      <c r="P31" s="63">
        <f t="shared" si="3"/>
        <v>257072.16831582796</v>
      </c>
      <c r="Q31" s="63">
        <f t="shared" si="3"/>
        <v>267130.10698109446</v>
      </c>
    </row>
    <row r="32" spans="2:17">
      <c r="B32" t="s">
        <v>56</v>
      </c>
      <c r="C32" s="26">
        <v>-3819.4933999999998</v>
      </c>
      <c r="D32" s="26">
        <v>-9024.3029999999999</v>
      </c>
      <c r="E32" s="26">
        <v>-17323.7222</v>
      </c>
      <c r="F32" s="26">
        <v>-31268.268199999999</v>
      </c>
      <c r="G32" s="26">
        <v>-33761.445099999997</v>
      </c>
      <c r="H32" s="66">
        <f>'Income Statement'!H30</f>
        <v>-31282.517624788332</v>
      </c>
      <c r="I32" s="66">
        <f>'Income Statement'!I30</f>
        <v>-34025.674315673881</v>
      </c>
      <c r="J32" s="66">
        <f>'Income Statement'!J30</f>
        <v>-37401.595674442673</v>
      </c>
      <c r="K32" s="66">
        <f>'Income Statement'!K30</f>
        <v>-40663.65305384215</v>
      </c>
      <c r="L32" s="66">
        <f>'Income Statement'!L30</f>
        <v>-43782.342438230757</v>
      </c>
      <c r="M32" s="66">
        <f>'Income Statement'!M30</f>
        <v>-46735.820043597043</v>
      </c>
      <c r="N32" s="66">
        <f>'Income Statement'!N30</f>
        <v>-49509.305616322577</v>
      </c>
      <c r="O32" s="66">
        <f>'Income Statement'!O30</f>
        <v>-52094.257523269851</v>
      </c>
      <c r="P32" s="66">
        <f>'Income Statement'!P30</f>
        <v>-54487.435579956182</v>
      </c>
      <c r="Q32" s="66">
        <f>'Income Statement'!Q30</f>
        <v>-56689.940873783351</v>
      </c>
    </row>
    <row r="33" spans="1:17">
      <c r="C33" s="27"/>
      <c r="D33" s="27"/>
      <c r="E33" s="27"/>
      <c r="F33" s="27"/>
      <c r="G33" s="27"/>
    </row>
    <row r="34" spans="1:17">
      <c r="B34" s="7" t="s">
        <v>57</v>
      </c>
      <c r="C34" s="63">
        <f t="shared" ref="C34:H34" si="4">SUM(C31:C32)</f>
        <v>89918.930099999925</v>
      </c>
      <c r="D34" s="63">
        <f t="shared" si="4"/>
        <v>57694.846399999995</v>
      </c>
      <c r="E34" s="63">
        <f t="shared" si="4"/>
        <v>-86013.679599999887</v>
      </c>
      <c r="F34" s="63">
        <f t="shared" si="4"/>
        <v>21632.430999999924</v>
      </c>
      <c r="G34" s="63">
        <f t="shared" si="4"/>
        <v>48486.294600000008</v>
      </c>
      <c r="H34" s="63">
        <f t="shared" si="4"/>
        <v>255971.55418774037</v>
      </c>
      <c r="I34" s="63">
        <f t="shared" ref="I34:Q34" si="5">SUM(I31:I32)</f>
        <v>129258.92587216035</v>
      </c>
      <c r="J34" s="63">
        <f t="shared" si="5"/>
        <v>141408.23000172657</v>
      </c>
      <c r="K34" s="63">
        <f t="shared" si="5"/>
        <v>153126.22360411892</v>
      </c>
      <c r="L34" s="63">
        <f t="shared" si="5"/>
        <v>164310.88360650884</v>
      </c>
      <c r="M34" s="63">
        <f t="shared" si="5"/>
        <v>174887.7156354071</v>
      </c>
      <c r="N34" s="63">
        <f t="shared" si="5"/>
        <v>184807.38793965333</v>
      </c>
      <c r="O34" s="63">
        <f t="shared" si="5"/>
        <v>194042.62008043053</v>
      </c>
      <c r="P34" s="63">
        <f t="shared" si="5"/>
        <v>202584.73273587177</v>
      </c>
      <c r="Q34" s="63">
        <f t="shared" si="5"/>
        <v>210440.16610731112</v>
      </c>
    </row>
    <row r="35" spans="1:17">
      <c r="C35" s="27"/>
      <c r="D35" s="27"/>
      <c r="E35" s="27"/>
      <c r="F35" s="27"/>
      <c r="G35" s="27"/>
    </row>
    <row r="36" spans="1:17">
      <c r="A36" t="s">
        <v>149</v>
      </c>
      <c r="B36" s="1" t="s">
        <v>58</v>
      </c>
      <c r="C36" s="27"/>
      <c r="D36" s="27"/>
      <c r="E36" s="27"/>
      <c r="F36" s="27"/>
      <c r="G36" s="27"/>
    </row>
    <row r="37" spans="1:17">
      <c r="B37" t="s">
        <v>59</v>
      </c>
      <c r="C37" s="26">
        <v>-3176.9416000000001</v>
      </c>
      <c r="D37" s="26">
        <v>-582.76400000000001</v>
      </c>
      <c r="E37" s="26">
        <v>0</v>
      </c>
      <c r="F37" s="26">
        <v>-82.161000000000001</v>
      </c>
      <c r="G37" s="26">
        <v>1</v>
      </c>
    </row>
    <row r="38" spans="1:17">
      <c r="B38" t="s">
        <v>60</v>
      </c>
      <c r="C38" s="26">
        <v>1942.1097</v>
      </c>
      <c r="D38" s="26">
        <v>2.2296</v>
      </c>
      <c r="E38" s="26">
        <v>0</v>
      </c>
      <c r="F38" s="26">
        <v>0</v>
      </c>
      <c r="G38" s="26">
        <v>0</v>
      </c>
    </row>
    <row r="39" spans="1:17">
      <c r="B39" t="s">
        <v>61</v>
      </c>
      <c r="C39" s="26">
        <v>1577.8431</v>
      </c>
      <c r="D39" s="26">
        <v>9.7431999999999999</v>
      </c>
      <c r="E39" s="26">
        <v>0</v>
      </c>
      <c r="F39" s="26">
        <v>0</v>
      </c>
      <c r="G39" s="26">
        <v>-7.5190000000000001</v>
      </c>
      <c r="H39" s="60"/>
      <c r="I39" s="60"/>
      <c r="J39" s="60"/>
      <c r="K39" s="60"/>
      <c r="L39" s="60"/>
      <c r="M39" s="60"/>
      <c r="N39" s="60"/>
      <c r="O39" s="60"/>
      <c r="P39" s="60"/>
      <c r="Q39" s="60"/>
    </row>
    <row r="40" spans="1:17">
      <c r="B40" t="s">
        <v>62</v>
      </c>
      <c r="C40" s="26">
        <v>-254.41309999999999</v>
      </c>
      <c r="D40" s="26">
        <v>0</v>
      </c>
      <c r="E40" s="26">
        <v>0</v>
      </c>
      <c r="F40" s="26">
        <v>0</v>
      </c>
      <c r="G40" s="26">
        <v>0</v>
      </c>
    </row>
    <row r="41" spans="1:17">
      <c r="B41" t="s">
        <v>48</v>
      </c>
      <c r="C41" s="26">
        <v>3.1949999999999998</v>
      </c>
      <c r="D41" s="26">
        <v>3.1949999999999998</v>
      </c>
      <c r="E41" s="26">
        <v>2.6625000000000001</v>
      </c>
      <c r="F41" s="26">
        <v>5.5719000000000003</v>
      </c>
      <c r="G41" s="26">
        <v>9.0008999999999997</v>
      </c>
    </row>
    <row r="42" spans="1:17">
      <c r="B42" t="s">
        <v>63</v>
      </c>
      <c r="C42" s="26">
        <v>-3909.8249999999998</v>
      </c>
      <c r="D42" s="26">
        <v>-3305.2601</v>
      </c>
      <c r="E42" s="26">
        <v>-4671.0213000000003</v>
      </c>
      <c r="F42" s="26">
        <v>-4175.1261999999997</v>
      </c>
      <c r="G42" s="26">
        <v>-5637.2241000000004</v>
      </c>
      <c r="H42" s="66">
        <f>-FAS!H52</f>
        <v>-14158.844599235579</v>
      </c>
      <c r="I42" s="66">
        <f>-FAS!I52</f>
        <v>-8809.8905902317438</v>
      </c>
      <c r="J42" s="66">
        <f>-FAS!J52</f>
        <v>-8853.940043182909</v>
      </c>
      <c r="K42" s="66">
        <f>-FAS!K52</f>
        <v>-8898.2097433988311</v>
      </c>
      <c r="L42" s="66">
        <f>-FAS!L52</f>
        <v>-8942.7007921157983</v>
      </c>
      <c r="M42" s="66">
        <f>-FAS!M52</f>
        <v>-8987.4142960764075</v>
      </c>
      <c r="N42" s="66">
        <f>-FAS!N52</f>
        <v>-9032.3513675567665</v>
      </c>
      <c r="O42" s="66">
        <f>-FAS!O52</f>
        <v>-9077.513124394578</v>
      </c>
      <c r="P42" s="66">
        <f>-FAS!P52</f>
        <v>-9122.900690016515</v>
      </c>
      <c r="Q42" s="66">
        <f>-FAS!Q52</f>
        <v>-9168.5151934666064</v>
      </c>
    </row>
    <row r="43" spans="1:17">
      <c r="B43" t="s">
        <v>64</v>
      </c>
      <c r="C43" s="26">
        <v>81.804699999999997</v>
      </c>
      <c r="D43" s="26">
        <v>254.34309999999999</v>
      </c>
      <c r="E43" s="26">
        <v>627.38980000000004</v>
      </c>
      <c r="F43" s="26">
        <v>0</v>
      </c>
      <c r="G43" s="26">
        <v>0</v>
      </c>
    </row>
    <row r="44" spans="1:17">
      <c r="C44" s="27"/>
      <c r="D44" s="27"/>
      <c r="E44" s="27"/>
      <c r="F44" s="27"/>
      <c r="G44" s="27"/>
    </row>
    <row r="45" spans="1:17">
      <c r="A45" t="s">
        <v>149</v>
      </c>
      <c r="B45" s="7" t="s">
        <v>65</v>
      </c>
      <c r="C45" s="63">
        <f t="shared" ref="C45:H45" si="6">SUM(C37:C43)</f>
        <v>-3736.2271999999998</v>
      </c>
      <c r="D45" s="63">
        <f t="shared" si="6"/>
        <v>-3618.5131999999999</v>
      </c>
      <c r="E45" s="63">
        <f t="shared" si="6"/>
        <v>-4040.9690000000001</v>
      </c>
      <c r="F45" s="63">
        <f t="shared" si="6"/>
        <v>-4251.7152999999998</v>
      </c>
      <c r="G45" s="63">
        <f t="shared" si="6"/>
        <v>-5634.7422000000006</v>
      </c>
      <c r="H45" s="63">
        <f t="shared" si="6"/>
        <v>-14158.844599235579</v>
      </c>
      <c r="I45" s="63">
        <f t="shared" ref="I45:Q45" si="7">SUM(I37:I43)</f>
        <v>-8809.8905902317438</v>
      </c>
      <c r="J45" s="63">
        <f t="shared" si="7"/>
        <v>-8853.940043182909</v>
      </c>
      <c r="K45" s="63">
        <f t="shared" si="7"/>
        <v>-8898.2097433988311</v>
      </c>
      <c r="L45" s="63">
        <f t="shared" si="7"/>
        <v>-8942.7007921157983</v>
      </c>
      <c r="M45" s="63">
        <f t="shared" si="7"/>
        <v>-8987.4142960764075</v>
      </c>
      <c r="N45" s="63">
        <f t="shared" si="7"/>
        <v>-9032.3513675567665</v>
      </c>
      <c r="O45" s="63">
        <f t="shared" si="7"/>
        <v>-9077.513124394578</v>
      </c>
      <c r="P45" s="63">
        <f t="shared" si="7"/>
        <v>-9122.900690016515</v>
      </c>
      <c r="Q45" s="63">
        <f t="shared" si="7"/>
        <v>-9168.5151934666064</v>
      </c>
    </row>
    <row r="46" spans="1:17">
      <c r="C46" s="27"/>
      <c r="D46" s="27"/>
      <c r="E46" s="27"/>
      <c r="F46" s="27"/>
      <c r="G46" s="27"/>
    </row>
    <row r="47" spans="1:17">
      <c r="B47" s="1" t="s">
        <v>67</v>
      </c>
      <c r="C47" s="27"/>
      <c r="D47" s="27"/>
      <c r="E47" s="27"/>
      <c r="F47" s="27"/>
      <c r="G47" s="27"/>
    </row>
    <row r="48" spans="1:17">
      <c r="B48" t="s">
        <v>68</v>
      </c>
      <c r="C48" s="26">
        <v>0</v>
      </c>
      <c r="D48" s="26">
        <v>0</v>
      </c>
      <c r="E48" s="26">
        <v>6.4000000000000003E-3</v>
      </c>
      <c r="F48" s="26">
        <v>0</v>
      </c>
      <c r="G48" s="26">
        <v>0.1288</v>
      </c>
      <c r="H48" s="60">
        <f>'Balance Sheet'!H12-'Balance Sheet'!G12</f>
        <v>0</v>
      </c>
      <c r="I48" s="60">
        <f>'Balance Sheet'!I12-'Balance Sheet'!H12</f>
        <v>0</v>
      </c>
      <c r="J48" s="60">
        <f>'Balance Sheet'!J12-'Balance Sheet'!I12</f>
        <v>0</v>
      </c>
      <c r="K48" s="60">
        <f>'Balance Sheet'!K12-'Balance Sheet'!J12</f>
        <v>0</v>
      </c>
      <c r="L48" s="60">
        <f>'Balance Sheet'!L12-'Balance Sheet'!K12</f>
        <v>0</v>
      </c>
      <c r="M48" s="60">
        <f>'Balance Sheet'!M12-'Balance Sheet'!L12</f>
        <v>0</v>
      </c>
      <c r="N48" s="60">
        <f>'Balance Sheet'!N12-'Balance Sheet'!M12</f>
        <v>0</v>
      </c>
      <c r="O48" s="60">
        <f>'Balance Sheet'!O12-'Balance Sheet'!N12</f>
        <v>0</v>
      </c>
      <c r="P48" s="60">
        <f>'Balance Sheet'!P12-'Balance Sheet'!O12</f>
        <v>0</v>
      </c>
      <c r="Q48" s="60">
        <f>'Balance Sheet'!Q12-'Balance Sheet'!P12</f>
        <v>0</v>
      </c>
    </row>
    <row r="49" spans="1:17">
      <c r="B49" t="s">
        <v>69</v>
      </c>
      <c r="C49" s="26">
        <v>27431</v>
      </c>
      <c r="D49" s="26">
        <v>14074</v>
      </c>
      <c r="E49" s="26">
        <v>19533.0926</v>
      </c>
      <c r="F49" s="26">
        <v>20164.6479</v>
      </c>
      <c r="G49" s="26">
        <v>21500</v>
      </c>
    </row>
    <row r="50" spans="1:17">
      <c r="B50" t="s">
        <v>70</v>
      </c>
      <c r="C50" s="26">
        <v>-16897.664000000001</v>
      </c>
      <c r="D50" s="26">
        <v>-10518.3</v>
      </c>
      <c r="E50" s="26">
        <v>-2125</v>
      </c>
      <c r="F50" s="26">
        <v>-14288.2</v>
      </c>
      <c r="G50" s="26">
        <v>-15103.9</v>
      </c>
    </row>
    <row r="51" spans="1:17">
      <c r="B51" t="s">
        <v>71</v>
      </c>
      <c r="C51" s="26">
        <v>-5069.1088</v>
      </c>
      <c r="D51" s="26">
        <v>-5411.0088999999998</v>
      </c>
      <c r="E51" s="26">
        <v>-6324.6256000000003</v>
      </c>
      <c r="F51" s="26">
        <v>-8589.2531999999992</v>
      </c>
      <c r="G51" s="26">
        <v>-10270.9</v>
      </c>
      <c r="H51" s="66">
        <f>-'Income Statement'!H24</f>
        <v>-34704.027809300358</v>
      </c>
      <c r="I51" s="66">
        <f>-'Income Statement'!I24</f>
        <v>-41475.808123297778</v>
      </c>
      <c r="J51" s="66">
        <f>-'Income Statement'!J24</f>
        <v>-45826.917224409153</v>
      </c>
      <c r="K51" s="66">
        <f>-'Income Statement'!K24</f>
        <v>-50067.529462360057</v>
      </c>
      <c r="L51" s="66">
        <f>-'Income Statement'!L24</f>
        <v>-54153.349825272307</v>
      </c>
      <c r="M51" s="66">
        <f>-'Income Statement'!M24</f>
        <v>-58049.91694004913</v>
      </c>
      <c r="N51" s="66">
        <f>-'Income Statement'!N24</f>
        <v>-61732.192431714517</v>
      </c>
      <c r="O51" s="66">
        <f>-'Income Statement'!O24</f>
        <v>-65183.73729557349</v>
      </c>
      <c r="P51" s="66">
        <f>-'Income Statement'!P24</f>
        <v>-68395.640687452542</v>
      </c>
      <c r="Q51" s="66">
        <f>-'Income Statement'!Q24</f>
        <v>-71365.336994762722</v>
      </c>
    </row>
    <row r="52" spans="1:17">
      <c r="B52" t="s">
        <v>72</v>
      </c>
      <c r="C52" s="26">
        <v>0</v>
      </c>
      <c r="D52" s="26">
        <v>-3569.8445999999999</v>
      </c>
      <c r="E52" s="26">
        <v>-6336.7215999999999</v>
      </c>
      <c r="F52" s="26">
        <v>-10084.8115</v>
      </c>
      <c r="G52" s="26">
        <v>-12226.7183</v>
      </c>
      <c r="H52" s="66">
        <f>'Income Statement'!H34</f>
        <v>-9539.3520397157572</v>
      </c>
      <c r="I52" s="66">
        <f>'Income Statement'!I34</f>
        <v>-10375.855600213185</v>
      </c>
      <c r="J52" s="66">
        <f>'Income Statement'!J34</f>
        <v>-11405.315654738099</v>
      </c>
      <c r="K52" s="66">
        <f>'Income Statement'!K34</f>
        <v>-12400.05380494332</v>
      </c>
      <c r="L52" s="66">
        <f>'Income Statement'!L34</f>
        <v>-13351.073038658486</v>
      </c>
      <c r="M52" s="66">
        <f>'Income Statement'!M34</f>
        <v>-14251.712269711943</v>
      </c>
      <c r="N52" s="66">
        <f>'Income Statement'!N34</f>
        <v>-15097.464378689796</v>
      </c>
      <c r="O52" s="66">
        <f>'Income Statement'!O34</f>
        <v>-15885.724663295692</v>
      </c>
      <c r="P52" s="66">
        <f>'Income Statement'!P34</f>
        <v>-16615.505055343281</v>
      </c>
      <c r="Q52" s="66">
        <f>'Income Statement'!Q34</f>
        <v>-17287.141322576019</v>
      </c>
    </row>
    <row r="53" spans="1:17">
      <c r="B53" t="s">
        <v>73</v>
      </c>
      <c r="C53" s="26">
        <v>-3.6516000000000002</v>
      </c>
      <c r="D53" s="26">
        <v>-0.86639999999999995</v>
      </c>
      <c r="E53" s="26">
        <v>-1.2282999999999999</v>
      </c>
      <c r="F53" s="26">
        <v>-12.408099999999999</v>
      </c>
      <c r="G53" s="26">
        <v>-31.849299999999999</v>
      </c>
    </row>
    <row r="54" spans="1:17">
      <c r="B54" t="s">
        <v>74</v>
      </c>
      <c r="C54" s="26">
        <v>1682.0945999999999</v>
      </c>
      <c r="D54" s="26">
        <v>1581.5062</v>
      </c>
      <c r="E54" s="26">
        <v>1640.8585</v>
      </c>
      <c r="F54" s="26">
        <v>2913.7449000000001</v>
      </c>
      <c r="G54" s="26">
        <v>2394.1588000000002</v>
      </c>
      <c r="H54" s="60">
        <f>'Balance Sheet'!H14-'Balance Sheet'!G14</f>
        <v>2348.4817877841015</v>
      </c>
      <c r="I54" s="60">
        <f>'Balance Sheet'!I14-'Balance Sheet'!H14</f>
        <v>2554.4196092488928</v>
      </c>
      <c r="J54" s="60">
        <f>'Balance Sheet'!J14-'Balance Sheet'!I14</f>
        <v>2807.8611615930531</v>
      </c>
      <c r="K54" s="60">
        <f>'Balance Sheet'!K14-'Balance Sheet'!J14</f>
        <v>3052.7545694099463</v>
      </c>
      <c r="L54" s="60">
        <f>'Balance Sheet'!L14-'Balance Sheet'!K14</f>
        <v>3286.8848689223014</v>
      </c>
      <c r="M54" s="60">
        <f>'Balance Sheet'!M14-'Balance Sheet'!L14</f>
        <v>3508.6121752096478</v>
      </c>
      <c r="N54" s="60">
        <f>'Balance Sheet'!N14-'Balance Sheet'!M14</f>
        <v>3716.8268858781666</v>
      </c>
      <c r="O54" s="60">
        <f>'Balance Sheet'!O14-'Balance Sheet'!N14</f>
        <v>3910.8877523524425</v>
      </c>
      <c r="P54" s="60">
        <f>'Balance Sheet'!P14-'Balance Sheet'!O14</f>
        <v>4090.5515232951948</v>
      </c>
      <c r="Q54" s="60">
        <f>'Balance Sheet'!Q14-'Balance Sheet'!P14</f>
        <v>4255.9008609697412</v>
      </c>
    </row>
    <row r="55" spans="1:17">
      <c r="C55" s="27"/>
      <c r="D55" s="27"/>
      <c r="E55" s="27"/>
      <c r="F55" s="27"/>
      <c r="G55" s="27"/>
    </row>
    <row r="56" spans="1:17">
      <c r="A56" t="s">
        <v>149</v>
      </c>
      <c r="B56" s="7" t="s">
        <v>75</v>
      </c>
      <c r="C56" s="63">
        <f>SUM(C48:C54)</f>
        <v>7142.6701999999987</v>
      </c>
      <c r="D56" s="63">
        <f t="shared" ref="D56:H56" si="8">SUM(D48:D54)</f>
        <v>-3844.5136999999986</v>
      </c>
      <c r="E56" s="63">
        <f t="shared" si="8"/>
        <v>6386.3819999999996</v>
      </c>
      <c r="F56" s="63">
        <f t="shared" si="8"/>
        <v>-9896.2800000000007</v>
      </c>
      <c r="G56" s="63">
        <f t="shared" si="8"/>
        <v>-13739.080000000002</v>
      </c>
      <c r="H56" s="63">
        <f t="shared" si="8"/>
        <v>-41894.898061232016</v>
      </c>
      <c r="I56" s="63">
        <f t="shared" ref="I56:Q56" si="9">SUM(I48:I54)</f>
        <v>-49297.244114262074</v>
      </c>
      <c r="J56" s="63">
        <f t="shared" si="9"/>
        <v>-54424.371717554197</v>
      </c>
      <c r="K56" s="63">
        <f t="shared" si="9"/>
        <v>-59414.828697893427</v>
      </c>
      <c r="L56" s="63">
        <f t="shared" si="9"/>
        <v>-64217.537995008497</v>
      </c>
      <c r="M56" s="63">
        <f t="shared" si="9"/>
        <v>-68793.01703455142</v>
      </c>
      <c r="N56" s="63">
        <f t="shared" si="9"/>
        <v>-73112.829924526144</v>
      </c>
      <c r="O56" s="63">
        <f t="shared" si="9"/>
        <v>-77158.574206516743</v>
      </c>
      <c r="P56" s="63">
        <f t="shared" si="9"/>
        <v>-80920.594219500636</v>
      </c>
      <c r="Q56" s="63">
        <f t="shared" si="9"/>
        <v>-84396.577456369007</v>
      </c>
    </row>
    <row r="57" spans="1:17">
      <c r="C57" s="27"/>
      <c r="D57" s="27"/>
      <c r="E57" s="27"/>
      <c r="F57" s="27"/>
      <c r="G57" s="27"/>
    </row>
    <row r="58" spans="1:17">
      <c r="B58" t="s">
        <v>76</v>
      </c>
      <c r="C58" s="26">
        <v>66.399000000000001</v>
      </c>
      <c r="D58" s="26">
        <v>966.26649999999995</v>
      </c>
      <c r="E58" s="26">
        <v>3075.0545999999999</v>
      </c>
      <c r="F58" s="26">
        <v>775.95809999999994</v>
      </c>
      <c r="G58" s="26">
        <v>2248.1669000000002</v>
      </c>
    </row>
    <row r="59" spans="1:17">
      <c r="C59" s="27"/>
      <c r="D59" s="27"/>
      <c r="E59" s="27"/>
      <c r="F59" s="27"/>
      <c r="G59" s="27"/>
    </row>
    <row r="60" spans="1:17">
      <c r="B60" s="7" t="s">
        <v>77</v>
      </c>
      <c r="C60" s="63">
        <f t="shared" ref="C60:H60" si="10">SUM(C34,C45,C56,C58)</f>
        <v>93391.772099999929</v>
      </c>
      <c r="D60" s="63">
        <f t="shared" si="10"/>
        <v>51198.085999999996</v>
      </c>
      <c r="E60" s="63">
        <f t="shared" si="10"/>
        <v>-80593.211999999883</v>
      </c>
      <c r="F60" s="63">
        <f t="shared" si="10"/>
        <v>8260.3937999999234</v>
      </c>
      <c r="G60" s="63">
        <f t="shared" si="10"/>
        <v>31360.639300000006</v>
      </c>
      <c r="H60" s="63">
        <f t="shared" si="10"/>
        <v>199917.8115272728</v>
      </c>
      <c r="I60" s="63">
        <f t="shared" ref="I60:Q60" si="11">SUM(I34,I45,I56,I58)</f>
        <v>71151.791167666524</v>
      </c>
      <c r="J60" s="63">
        <f t="shared" si="11"/>
        <v>78129.918240989471</v>
      </c>
      <c r="K60" s="63">
        <f t="shared" si="11"/>
        <v>84813.185162826674</v>
      </c>
      <c r="L60" s="63">
        <f t="shared" si="11"/>
        <v>91150.644819384557</v>
      </c>
      <c r="M60" s="63">
        <f t="shared" si="11"/>
        <v>97107.284304779285</v>
      </c>
      <c r="N60" s="63">
        <f t="shared" si="11"/>
        <v>102662.20664757043</v>
      </c>
      <c r="O60" s="63">
        <f t="shared" si="11"/>
        <v>107806.5327495192</v>
      </c>
      <c r="P60" s="63">
        <f t="shared" si="11"/>
        <v>112541.23782635463</v>
      </c>
      <c r="Q60" s="63">
        <f t="shared" si="11"/>
        <v>116875.07345747552</v>
      </c>
    </row>
    <row r="61" spans="1:17">
      <c r="C61" s="27"/>
      <c r="D61" s="27"/>
      <c r="E61" s="27"/>
      <c r="F61" s="27"/>
      <c r="G61" s="27"/>
    </row>
    <row r="62" spans="1:17">
      <c r="B62" t="s">
        <v>78</v>
      </c>
      <c r="C62" s="26">
        <v>254315.26360000001</v>
      </c>
      <c r="D62" s="85">
        <f>C64</f>
        <v>347707.03569999995</v>
      </c>
      <c r="E62" s="85">
        <f t="shared" ref="E62:H62" si="12">D64</f>
        <v>398905.12169999996</v>
      </c>
      <c r="F62" s="85">
        <f t="shared" si="12"/>
        <v>318311.90970000008</v>
      </c>
      <c r="G62" s="85">
        <f t="shared" si="12"/>
        <v>326572.30349999998</v>
      </c>
      <c r="H62" s="85">
        <f t="shared" si="12"/>
        <v>357932.94279999996</v>
      </c>
      <c r="I62" s="85">
        <f t="shared" ref="I62:Q62" si="13">H64</f>
        <v>557850.75432727276</v>
      </c>
      <c r="J62" s="85">
        <f t="shared" si="13"/>
        <v>629002.54549493932</v>
      </c>
      <c r="K62" s="85">
        <f t="shared" si="13"/>
        <v>707132.46373592876</v>
      </c>
      <c r="L62" s="85">
        <f t="shared" si="13"/>
        <v>791945.64889875543</v>
      </c>
      <c r="M62" s="85">
        <f t="shared" si="13"/>
        <v>883096.29371813999</v>
      </c>
      <c r="N62" s="85">
        <f t="shared" si="13"/>
        <v>980203.57802291925</v>
      </c>
      <c r="O62" s="85">
        <f t="shared" si="13"/>
        <v>1082865.7846704896</v>
      </c>
      <c r="P62" s="85">
        <f t="shared" si="13"/>
        <v>1190672.3174200088</v>
      </c>
      <c r="Q62" s="85">
        <f t="shared" si="13"/>
        <v>1303213.5552463634</v>
      </c>
    </row>
    <row r="63" spans="1:17">
      <c r="C63" s="27"/>
      <c r="D63" s="27"/>
      <c r="E63" s="27"/>
      <c r="F63" s="27"/>
      <c r="G63" s="27"/>
    </row>
    <row r="64" spans="1:17">
      <c r="A64" t="s">
        <v>149</v>
      </c>
      <c r="B64" s="7" t="s">
        <v>79</v>
      </c>
      <c r="C64" s="63">
        <f t="shared" ref="C64:H64" si="14">C60+C62</f>
        <v>347707.03569999995</v>
      </c>
      <c r="D64" s="63">
        <f t="shared" si="14"/>
        <v>398905.12169999996</v>
      </c>
      <c r="E64" s="63">
        <f t="shared" si="14"/>
        <v>318311.90970000008</v>
      </c>
      <c r="F64" s="63">
        <f t="shared" si="14"/>
        <v>326572.30349999998</v>
      </c>
      <c r="G64" s="63">
        <f t="shared" si="14"/>
        <v>357932.94279999996</v>
      </c>
      <c r="H64" s="63">
        <f t="shared" si="14"/>
        <v>557850.75432727276</v>
      </c>
      <c r="I64" s="63">
        <f t="shared" ref="I64:Q64" si="15">I60+I62</f>
        <v>629002.54549493932</v>
      </c>
      <c r="J64" s="63">
        <f t="shared" si="15"/>
        <v>707132.46373592876</v>
      </c>
      <c r="K64" s="63">
        <f t="shared" si="15"/>
        <v>791945.64889875543</v>
      </c>
      <c r="L64" s="63">
        <f t="shared" si="15"/>
        <v>883096.29371813999</v>
      </c>
      <c r="M64" s="63">
        <f t="shared" si="15"/>
        <v>980203.57802291925</v>
      </c>
      <c r="N64" s="63">
        <f t="shared" si="15"/>
        <v>1082865.7846704896</v>
      </c>
      <c r="O64" s="63">
        <f t="shared" si="15"/>
        <v>1190672.3174200088</v>
      </c>
      <c r="P64" s="63">
        <f t="shared" si="15"/>
        <v>1303213.5552463634</v>
      </c>
      <c r="Q64" s="63">
        <f t="shared" si="15"/>
        <v>1420088.6287038389</v>
      </c>
    </row>
    <row r="66" spans="2:17">
      <c r="B66" s="81"/>
      <c r="C66" s="81"/>
      <c r="D66" s="81"/>
      <c r="E66" s="81"/>
      <c r="F66" s="81"/>
      <c r="G66" s="81"/>
      <c r="H66" s="81"/>
      <c r="I66" s="81"/>
      <c r="J66" s="81"/>
      <c r="K66" s="81"/>
      <c r="L66" s="81"/>
      <c r="M66" s="81"/>
      <c r="N66" s="81"/>
      <c r="O66" s="81"/>
      <c r="P66" s="81"/>
      <c r="Q66" s="81"/>
    </row>
  </sheetData>
  <mergeCells count="1">
    <mergeCell ref="B6:B7"/>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Q56"/>
  <sheetViews>
    <sheetView showGridLines="0" topLeftCell="A34" workbookViewId="0">
      <selection activeCell="C48" sqref="C48"/>
    </sheetView>
  </sheetViews>
  <sheetFormatPr defaultRowHeight="15"/>
  <cols>
    <col min="1" max="1" width="1.85546875" customWidth="1"/>
    <col min="2" max="2" width="37" bestFit="1" customWidth="1"/>
    <col min="3" max="7" width="9.5703125" bestFit="1" customWidth="1"/>
    <col min="8" max="17" width="11.140625" bestFit="1" customWidth="1"/>
  </cols>
  <sheetData>
    <row r="1" spans="2:17" ht="16.5" thickTop="1">
      <c r="B1" s="248" t="s">
        <v>318</v>
      </c>
    </row>
    <row r="2" spans="2:17">
      <c r="B2" s="10" t="s">
        <v>319</v>
      </c>
    </row>
    <row r="3" spans="2:17">
      <c r="C3" s="64">
        <v>10000</v>
      </c>
    </row>
    <row r="4" spans="2:17">
      <c r="B4" s="6"/>
    </row>
    <row r="5" spans="2:17">
      <c r="B5" s="148" t="s">
        <v>358</v>
      </c>
      <c r="C5" s="199"/>
      <c r="D5" s="199"/>
      <c r="E5" s="199"/>
      <c r="F5" s="199"/>
      <c r="G5" s="199"/>
      <c r="H5" s="199"/>
      <c r="I5" s="199"/>
      <c r="J5" s="199"/>
      <c r="K5" s="199"/>
      <c r="L5" s="199"/>
      <c r="M5" s="199"/>
      <c r="N5" s="199"/>
      <c r="O5" s="199"/>
      <c r="P5" s="199"/>
      <c r="Q5" s="199"/>
    </row>
    <row r="7" spans="2:17">
      <c r="B7" s="399" t="s">
        <v>2</v>
      </c>
      <c r="C7" s="41">
        <v>2021</v>
      </c>
      <c r="D7" s="41">
        <f>C7+1</f>
        <v>2022</v>
      </c>
      <c r="E7" s="41">
        <f t="shared" ref="E7:Q7" si="0">D7+1</f>
        <v>2023</v>
      </c>
      <c r="F7" s="41">
        <f t="shared" si="0"/>
        <v>2024</v>
      </c>
      <c r="G7" s="49">
        <f t="shared" si="0"/>
        <v>2025</v>
      </c>
      <c r="H7" s="43">
        <f t="shared" si="0"/>
        <v>2026</v>
      </c>
      <c r="I7" s="43">
        <f t="shared" si="0"/>
        <v>2027</v>
      </c>
      <c r="J7" s="43">
        <f t="shared" si="0"/>
        <v>2028</v>
      </c>
      <c r="K7" s="43">
        <f t="shared" si="0"/>
        <v>2029</v>
      </c>
      <c r="L7" s="43">
        <f t="shared" si="0"/>
        <v>2030</v>
      </c>
      <c r="M7" s="43">
        <f t="shared" si="0"/>
        <v>2031</v>
      </c>
      <c r="N7" s="43">
        <f t="shared" si="0"/>
        <v>2032</v>
      </c>
      <c r="O7" s="43">
        <f t="shared" si="0"/>
        <v>2033</v>
      </c>
      <c r="P7" s="43">
        <f t="shared" si="0"/>
        <v>2034</v>
      </c>
      <c r="Q7" s="43">
        <f t="shared" si="0"/>
        <v>2035</v>
      </c>
    </row>
    <row r="8" spans="2:17">
      <c r="B8" s="400"/>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44" t="s">
        <v>99</v>
      </c>
    </row>
    <row r="9" spans="2:17">
      <c r="B9" s="1" t="s">
        <v>1</v>
      </c>
    </row>
    <row r="11" spans="2:17">
      <c r="B11" s="39" t="s">
        <v>144</v>
      </c>
      <c r="C11" s="305">
        <f>'Income Statement'!C10/'Income Statement'!C$10</f>
        <v>1</v>
      </c>
      <c r="D11" s="305">
        <f>'Income Statement'!D10/'Income Statement'!D$10</f>
        <v>1</v>
      </c>
      <c r="E11" s="305">
        <f>'Income Statement'!E10/'Income Statement'!E$10</f>
        <v>1</v>
      </c>
      <c r="F11" s="305">
        <f>'Income Statement'!F10/'Income Statement'!F$10</f>
        <v>1</v>
      </c>
      <c r="G11" s="305">
        <f>'Income Statement'!G10/'Income Statement'!G$10</f>
        <v>1</v>
      </c>
      <c r="H11" s="305">
        <f>'Income Statement'!H10/'Income Statement'!H$10</f>
        <v>1</v>
      </c>
      <c r="I11" s="305">
        <f>'Income Statement'!I10/'Income Statement'!I$10</f>
        <v>1</v>
      </c>
      <c r="J11" s="305">
        <f>'Income Statement'!J10/'Income Statement'!J$10</f>
        <v>1</v>
      </c>
      <c r="K11" s="305">
        <f>'Income Statement'!K10/'Income Statement'!K$10</f>
        <v>1</v>
      </c>
      <c r="L11" s="305">
        <f>'Income Statement'!L10/'Income Statement'!L$10</f>
        <v>1</v>
      </c>
      <c r="M11" s="305">
        <f>'Income Statement'!M10/'Income Statement'!M$10</f>
        <v>1</v>
      </c>
      <c r="N11" s="305">
        <f>'Income Statement'!N10/'Income Statement'!N$10</f>
        <v>1</v>
      </c>
      <c r="O11" s="305">
        <f>'Income Statement'!O10/'Income Statement'!O$10</f>
        <v>1</v>
      </c>
      <c r="P11" s="305">
        <f>'Income Statement'!P10/'Income Statement'!P$10</f>
        <v>1</v>
      </c>
      <c r="Q11" s="305">
        <f>'Income Statement'!Q10/'Income Statement'!Q$10</f>
        <v>1</v>
      </c>
    </row>
    <row r="12" spans="2:17">
      <c r="C12" s="17"/>
      <c r="D12" s="17"/>
      <c r="E12" s="17"/>
      <c r="F12" s="17"/>
      <c r="G12" s="17"/>
      <c r="H12" s="17"/>
      <c r="I12" s="17"/>
      <c r="J12" s="17"/>
      <c r="K12" s="17"/>
      <c r="L12" s="17"/>
      <c r="M12" s="17"/>
      <c r="N12" s="17"/>
      <c r="O12" s="17"/>
      <c r="P12" s="17"/>
      <c r="Q12" s="17"/>
    </row>
    <row r="13" spans="2:17">
      <c r="B13" s="1" t="s">
        <v>6</v>
      </c>
      <c r="C13" s="17"/>
      <c r="D13" s="17"/>
      <c r="E13" s="17"/>
      <c r="F13" s="17"/>
      <c r="G13" s="17"/>
      <c r="H13" s="17"/>
      <c r="I13" s="17"/>
      <c r="J13" s="17"/>
      <c r="K13" s="17"/>
      <c r="L13" s="17"/>
      <c r="M13" s="17"/>
      <c r="N13" s="17"/>
      <c r="O13" s="17"/>
      <c r="P13" s="17"/>
      <c r="Q13" s="17"/>
    </row>
    <row r="14" spans="2:17">
      <c r="B14" t="s">
        <v>18</v>
      </c>
      <c r="C14" s="17">
        <f>'Income Statement'!C13/'Income Statement'!C$10</f>
        <v>0.37125974301247705</v>
      </c>
      <c r="D14" s="17">
        <f>'Income Statement'!D13/'Income Statement'!D$10</f>
        <v>0.34834068047226957</v>
      </c>
      <c r="E14" s="17">
        <f>'Income Statement'!E13/'Income Statement'!E$10</f>
        <v>0.34542951811311901</v>
      </c>
      <c r="F14" s="17">
        <f>'Income Statement'!F13/'Income Statement'!F$10</f>
        <v>0.37552663560155358</v>
      </c>
      <c r="G14" s="17">
        <f>'Income Statement'!G13/'Income Statement'!G$10</f>
        <v>0.39079027752334144</v>
      </c>
      <c r="H14" s="17">
        <f>'Income Statement'!H13/'Income Statement'!H$10</f>
        <v>0.36626937094455214</v>
      </c>
      <c r="I14" s="17">
        <f>'Income Statement'!I13/'Income Statement'!I$10</f>
        <v>0.36626937094455214</v>
      </c>
      <c r="J14" s="17">
        <f>'Income Statement'!J13/'Income Statement'!J$10</f>
        <v>0.36626937094455214</v>
      </c>
      <c r="K14" s="17">
        <f>'Income Statement'!K13/'Income Statement'!K$10</f>
        <v>0.36626937094455214</v>
      </c>
      <c r="L14" s="17">
        <f>'Income Statement'!L13/'Income Statement'!L$10</f>
        <v>0.36626937094455214</v>
      </c>
      <c r="M14" s="17">
        <f>'Income Statement'!M13/'Income Statement'!M$10</f>
        <v>0.36626937094455214</v>
      </c>
      <c r="N14" s="17">
        <f>'Income Statement'!N13/'Income Statement'!N$10</f>
        <v>0.36626937094455214</v>
      </c>
      <c r="O14" s="17">
        <f>'Income Statement'!O13/'Income Statement'!O$10</f>
        <v>0.36626937094455214</v>
      </c>
      <c r="P14" s="17">
        <f>'Income Statement'!P13/'Income Statement'!P$10</f>
        <v>0.36626937094455214</v>
      </c>
      <c r="Q14" s="17">
        <f>'Income Statement'!Q13/'Income Statement'!Q$10</f>
        <v>0.36626937094455214</v>
      </c>
    </row>
    <row r="15" spans="2:17">
      <c r="B15" t="s">
        <v>7</v>
      </c>
      <c r="C15" s="17">
        <f>'Income Statement'!C14/'Income Statement'!C$10</f>
        <v>0.37084086933309246</v>
      </c>
      <c r="D15" s="17">
        <f>'Income Statement'!D14/'Income Statement'!D$10</f>
        <v>0.39719543353384523</v>
      </c>
      <c r="E15" s="17">
        <f>'Income Statement'!E14/'Income Statement'!E$10</f>
        <v>0.35657574866492381</v>
      </c>
      <c r="F15" s="17">
        <f>'Income Statement'!F14/'Income Statement'!F$10</f>
        <v>0.33768065988059209</v>
      </c>
      <c r="G15" s="17">
        <f>'Income Statement'!G14/'Income Statement'!G$10</f>
        <v>0.29972503164618447</v>
      </c>
      <c r="H15" s="17">
        <f>'Income Statement'!H14/'Income Statement'!H$10</f>
        <v>0.35240354861172757</v>
      </c>
      <c r="I15" s="17">
        <f>'Income Statement'!I14/'Income Statement'!I$10</f>
        <v>0.35240354861172757</v>
      </c>
      <c r="J15" s="17">
        <f>'Income Statement'!J14/'Income Statement'!J$10</f>
        <v>0.35240354861172757</v>
      </c>
      <c r="K15" s="17">
        <f>'Income Statement'!K14/'Income Statement'!K$10</f>
        <v>0.35240354861172757</v>
      </c>
      <c r="L15" s="17">
        <f>'Income Statement'!L14/'Income Statement'!L$10</f>
        <v>0.35240354861172757</v>
      </c>
      <c r="M15" s="17">
        <f>'Income Statement'!M14/'Income Statement'!M$10</f>
        <v>0.35240354861172757</v>
      </c>
      <c r="N15" s="17">
        <f>'Income Statement'!N14/'Income Statement'!N$10</f>
        <v>0.35240354861172757</v>
      </c>
      <c r="O15" s="17">
        <f>'Income Statement'!O14/'Income Statement'!O$10</f>
        <v>0.35240354861172757</v>
      </c>
      <c r="P15" s="17">
        <f>'Income Statement'!P14/'Income Statement'!P$10</f>
        <v>0.35240354861172757</v>
      </c>
      <c r="Q15" s="17">
        <f>'Income Statement'!Q14/'Income Statement'!Q$10</f>
        <v>0.35240354861172757</v>
      </c>
    </row>
    <row r="16" spans="2:17">
      <c r="B16" t="s">
        <v>8</v>
      </c>
      <c r="C16" s="17">
        <f>'Income Statement'!C15/'Income Statement'!C$10</f>
        <v>0.14174159885789897</v>
      </c>
      <c r="D16" s="17">
        <f>'Income Statement'!D15/'Income Statement'!D$10</f>
        <v>9.8431934233119883E-2</v>
      </c>
      <c r="E16" s="17">
        <f>'Income Statement'!E15/'Income Statement'!E$10</f>
        <v>7.8213177748647597E-2</v>
      </c>
      <c r="F16" s="17">
        <f>'Income Statement'!F15/'Income Statement'!F$10</f>
        <v>5.1813079339274405E-2</v>
      </c>
      <c r="G16" s="17">
        <f>'Income Statement'!G15/'Income Statement'!G$10</f>
        <v>7.0565735528128795E-2</v>
      </c>
      <c r="H16" s="17">
        <f>'Income Statement'!H15/'Income Statement'!H$10</f>
        <v>8.8153105141413945E-2</v>
      </c>
      <c r="I16" s="17">
        <f>'Income Statement'!I15/'Income Statement'!I$10</f>
        <v>8.8153105141413918E-2</v>
      </c>
      <c r="J16" s="17">
        <f>'Income Statement'!J15/'Income Statement'!J$10</f>
        <v>8.8153105141413932E-2</v>
      </c>
      <c r="K16" s="17">
        <f>'Income Statement'!K15/'Income Statement'!K$10</f>
        <v>8.8153105141413932E-2</v>
      </c>
      <c r="L16" s="17">
        <f>'Income Statement'!L15/'Income Statement'!L$10</f>
        <v>8.8153105141413932E-2</v>
      </c>
      <c r="M16" s="17">
        <f>'Income Statement'!M15/'Income Statement'!M$10</f>
        <v>8.8153105141413932E-2</v>
      </c>
      <c r="N16" s="17">
        <f>'Income Statement'!N15/'Income Statement'!N$10</f>
        <v>8.8153105141413932E-2</v>
      </c>
      <c r="O16" s="17">
        <f>'Income Statement'!O15/'Income Statement'!O$10</f>
        <v>8.8153105141413932E-2</v>
      </c>
      <c r="P16" s="17">
        <f>'Income Statement'!P15/'Income Statement'!P$10</f>
        <v>8.8153105141413932E-2</v>
      </c>
      <c r="Q16" s="17">
        <f>'Income Statement'!Q15/'Income Statement'!Q$10</f>
        <v>8.8153105141413932E-2</v>
      </c>
    </row>
    <row r="17" spans="2:17">
      <c r="B17" s="7" t="s">
        <v>5</v>
      </c>
      <c r="C17" s="306">
        <f>'Income Statement'!C16/'Income Statement'!C$10</f>
        <v>0.88384221120346862</v>
      </c>
      <c r="D17" s="306">
        <f>'Income Statement'!D16/'Income Statement'!D$10</f>
        <v>0.84396804823923466</v>
      </c>
      <c r="E17" s="306">
        <f>'Income Statement'!E16/'Income Statement'!E$10</f>
        <v>0.78021844452669054</v>
      </c>
      <c r="F17" s="306">
        <f>'Income Statement'!F16/'Income Statement'!F$10</f>
        <v>0.76502037482142016</v>
      </c>
      <c r="G17" s="306">
        <f>'Income Statement'!G16/'Income Statement'!G$10</f>
        <v>0.7610810446976547</v>
      </c>
      <c r="H17" s="306">
        <f>'Income Statement'!H16/'Income Statement'!H$10</f>
        <v>0.80682602469769371</v>
      </c>
      <c r="I17" s="306">
        <f>'Income Statement'!I16/'Income Statement'!I$10</f>
        <v>0.80682602469769371</v>
      </c>
      <c r="J17" s="306">
        <f>'Income Statement'!J16/'Income Statement'!J$10</f>
        <v>0.8068260246976936</v>
      </c>
      <c r="K17" s="306">
        <f>'Income Statement'!K16/'Income Statement'!K$10</f>
        <v>0.8068260246976936</v>
      </c>
      <c r="L17" s="306">
        <f>'Income Statement'!L16/'Income Statement'!L$10</f>
        <v>0.80682602469769371</v>
      </c>
      <c r="M17" s="306">
        <f>'Income Statement'!M16/'Income Statement'!M$10</f>
        <v>0.8068260246976936</v>
      </c>
      <c r="N17" s="306">
        <f>'Income Statement'!N16/'Income Statement'!N$10</f>
        <v>0.80682602469769371</v>
      </c>
      <c r="O17" s="306">
        <f>'Income Statement'!O16/'Income Statement'!O$10</f>
        <v>0.80682602469769371</v>
      </c>
      <c r="P17" s="306">
        <f>'Income Statement'!P16/'Income Statement'!P$10</f>
        <v>0.8068260246976936</v>
      </c>
      <c r="Q17" s="306">
        <f>'Income Statement'!Q16/'Income Statement'!Q$10</f>
        <v>0.8068260246976936</v>
      </c>
    </row>
    <row r="18" spans="2:17">
      <c r="C18" s="17"/>
      <c r="D18" s="17"/>
      <c r="E18" s="17"/>
      <c r="F18" s="17"/>
      <c r="G18" s="17"/>
      <c r="H18" s="17"/>
      <c r="I18" s="17"/>
      <c r="J18" s="17"/>
      <c r="K18" s="17"/>
      <c r="L18" s="17"/>
      <c r="M18" s="17"/>
      <c r="N18" s="17"/>
      <c r="O18" s="17"/>
      <c r="P18" s="17"/>
      <c r="Q18" s="17"/>
    </row>
    <row r="19" spans="2:17">
      <c r="B19" s="7" t="s">
        <v>11</v>
      </c>
      <c r="C19" s="306">
        <f>'Income Statement'!C18/'Income Statement'!C$10</f>
        <v>0.11615778879653137</v>
      </c>
      <c r="D19" s="306">
        <f>'Income Statement'!D18/'Income Statement'!D$10</f>
        <v>0.15603195176076531</v>
      </c>
      <c r="E19" s="306">
        <f>'Income Statement'!E18/'Income Statement'!E$10</f>
        <v>0.21978155547330949</v>
      </c>
      <c r="F19" s="306">
        <f>'Income Statement'!F18/'Income Statement'!F$10</f>
        <v>0.23497962517857987</v>
      </c>
      <c r="G19" s="306">
        <f>'Income Statement'!G18/'Income Statement'!G$10</f>
        <v>0.23891895530234525</v>
      </c>
      <c r="H19" s="306">
        <f>'Income Statement'!H18/'Income Statement'!H$10</f>
        <v>0.19317397530230629</v>
      </c>
      <c r="I19" s="306">
        <f>'Income Statement'!I18/'Income Statement'!I$10</f>
        <v>0.19317397530230629</v>
      </c>
      <c r="J19" s="306">
        <f>'Income Statement'!J18/'Income Statement'!J$10</f>
        <v>0.19317397530230634</v>
      </c>
      <c r="K19" s="306">
        <f>'Income Statement'!K18/'Income Statement'!K$10</f>
        <v>0.19317397530230637</v>
      </c>
      <c r="L19" s="306">
        <f>'Income Statement'!L18/'Income Statement'!L$10</f>
        <v>0.19317397530230632</v>
      </c>
      <c r="M19" s="306">
        <f>'Income Statement'!M18/'Income Statement'!M$10</f>
        <v>0.19317397530230643</v>
      </c>
      <c r="N19" s="306">
        <f>'Income Statement'!N18/'Income Statement'!N$10</f>
        <v>0.19317397530230629</v>
      </c>
      <c r="O19" s="306">
        <f>'Income Statement'!O18/'Income Statement'!O$10</f>
        <v>0.19317397530230629</v>
      </c>
      <c r="P19" s="306">
        <f>'Income Statement'!P18/'Income Statement'!P$10</f>
        <v>0.19317397530230643</v>
      </c>
      <c r="Q19" s="306">
        <f>'Income Statement'!Q18/'Income Statement'!Q$10</f>
        <v>0.19317397530230637</v>
      </c>
    </row>
    <row r="20" spans="2:17">
      <c r="C20" s="17"/>
      <c r="D20" s="17"/>
      <c r="E20" s="17"/>
      <c r="F20" s="17"/>
      <c r="G20" s="17"/>
      <c r="H20" s="17"/>
      <c r="I20" s="17"/>
      <c r="J20" s="17"/>
      <c r="K20" s="17"/>
      <c r="L20" s="17"/>
      <c r="M20" s="17"/>
      <c r="N20" s="17"/>
      <c r="O20" s="17"/>
      <c r="P20" s="17"/>
      <c r="Q20" s="17"/>
    </row>
    <row r="21" spans="2:17">
      <c r="B21" s="4" t="s">
        <v>16</v>
      </c>
      <c r="C21" s="17">
        <f>'Income Statement'!C20/'Income Statement'!C$10</f>
        <v>9.6306739915575472E-3</v>
      </c>
      <c r="D21" s="17">
        <f>'Income Statement'!D20/'Income Statement'!D$10</f>
        <v>9.070059159737116E-3</v>
      </c>
      <c r="E21" s="17">
        <f>'Income Statement'!E20/'Income Statement'!E$10</f>
        <v>7.8068636431580119E-3</v>
      </c>
      <c r="F21" s="17">
        <f>'Income Statement'!F20/'Income Statement'!F$10</f>
        <v>6.4737419471763129E-3</v>
      </c>
      <c r="G21" s="17">
        <f>'Income Statement'!G20/'Income Statement'!G$10</f>
        <v>6.0172109905994812E-3</v>
      </c>
      <c r="H21" s="17">
        <f>'Income Statement'!H20/'Income Statement'!H$10</f>
        <v>4.6106114963709796E-3</v>
      </c>
      <c r="I21" s="17">
        <f>'Income Statement'!I20/'Income Statement'!I$10</f>
        <v>4.167458710496284E-3</v>
      </c>
      <c r="J21" s="17">
        <f>'Income Statement'!J20/'Income Statement'!J$10</f>
        <v>3.8122324634085481E-3</v>
      </c>
      <c r="K21" s="17">
        <f>'Income Statement'!K20/'Income Statement'!K$10</f>
        <v>3.524736767076347E-3</v>
      </c>
      <c r="L21" s="17">
        <f>'Income Statement'!L20/'Income Statement'!L$10</f>
        <v>3.2901114857473378E-3</v>
      </c>
      <c r="M21" s="17">
        <f>'Income Statement'!M20/'Income Statement'!M$10</f>
        <v>3.0972628814914345E-3</v>
      </c>
      <c r="N21" s="17">
        <f>'Income Statement'!N20/'Income Statement'!N$10</f>
        <v>2.9377960191406369E-3</v>
      </c>
      <c r="O21" s="17">
        <f>'Income Statement'!O20/'Income Statement'!O$10</f>
        <v>2.8052772671955926E-3</v>
      </c>
      <c r="P21" s="17">
        <f>'Income Statement'!P20/'Income Statement'!P$10</f>
        <v>2.6947173853798054E-3</v>
      </c>
      <c r="Q21" s="17">
        <f>'Income Statement'!Q20/'Income Statement'!Q$10</f>
        <v>2.6022042381757138E-3</v>
      </c>
    </row>
    <row r="22" spans="2:17">
      <c r="B22" s="4"/>
      <c r="C22" s="17"/>
      <c r="D22" s="17"/>
      <c r="E22" s="17"/>
      <c r="F22" s="17"/>
      <c r="G22" s="17"/>
      <c r="H22" s="17"/>
      <c r="I22" s="17"/>
      <c r="J22" s="17"/>
      <c r="K22" s="17"/>
      <c r="L22" s="17"/>
      <c r="M22" s="17"/>
      <c r="N22" s="17"/>
      <c r="O22" s="17"/>
      <c r="P22" s="17"/>
      <c r="Q22" s="17"/>
    </row>
    <row r="23" spans="2:17">
      <c r="B23" s="7" t="s">
        <v>12</v>
      </c>
      <c r="C23" s="306">
        <f>'Income Statement'!C22/'Income Statement'!C$10</f>
        <v>0.10652711480497382</v>
      </c>
      <c r="D23" s="306">
        <f>'Income Statement'!D22/'Income Statement'!D$10</f>
        <v>0.14696189260102821</v>
      </c>
      <c r="E23" s="306">
        <f>'Income Statement'!E22/'Income Statement'!E$10</f>
        <v>0.2119746918301515</v>
      </c>
      <c r="F23" s="306">
        <f>'Income Statement'!F22/'Income Statement'!F$10</f>
        <v>0.22850588323140353</v>
      </c>
      <c r="G23" s="306">
        <f>'Income Statement'!G22/'Income Statement'!G$10</f>
        <v>0.23290174431174576</v>
      </c>
      <c r="H23" s="306">
        <f>'Income Statement'!H22/'Income Statement'!H$10</f>
        <v>0.1885633638059353</v>
      </c>
      <c r="I23" s="306">
        <f>'Income Statement'!I22/'Income Statement'!I$10</f>
        <v>0.18900651659181</v>
      </c>
      <c r="J23" s="306">
        <f>'Income Statement'!J22/'Income Statement'!J$10</f>
        <v>0.18936174283889781</v>
      </c>
      <c r="K23" s="306">
        <f>'Income Statement'!K22/'Income Statement'!K$10</f>
        <v>0.18964923853523002</v>
      </c>
      <c r="L23" s="306">
        <f>'Income Statement'!L22/'Income Statement'!L$10</f>
        <v>0.18988386381655897</v>
      </c>
      <c r="M23" s="306">
        <f>'Income Statement'!M22/'Income Statement'!M$10</f>
        <v>0.190076712420815</v>
      </c>
      <c r="N23" s="306">
        <f>'Income Statement'!N22/'Income Statement'!N$10</f>
        <v>0.19023617928316566</v>
      </c>
      <c r="O23" s="306">
        <f>'Income Statement'!O22/'Income Statement'!O$10</f>
        <v>0.19036869803511069</v>
      </c>
      <c r="P23" s="306">
        <f>'Income Statement'!P22/'Income Statement'!P$10</f>
        <v>0.1904792579169266</v>
      </c>
      <c r="Q23" s="306">
        <f>'Income Statement'!Q22/'Income Statement'!Q$10</f>
        <v>0.19057177106413065</v>
      </c>
    </row>
    <row r="24" spans="2:17">
      <c r="B24" s="4"/>
      <c r="C24" s="17"/>
      <c r="D24" s="17"/>
      <c r="E24" s="17"/>
      <c r="F24" s="17"/>
      <c r="G24" s="17"/>
      <c r="H24" s="17"/>
      <c r="I24" s="17"/>
      <c r="J24" s="17"/>
      <c r="K24" s="17"/>
      <c r="L24" s="17"/>
      <c r="M24" s="17"/>
      <c r="N24" s="17"/>
      <c r="O24" s="17"/>
      <c r="P24" s="17"/>
      <c r="Q24" s="17"/>
    </row>
    <row r="25" spans="2:17">
      <c r="B25" t="s">
        <v>13</v>
      </c>
      <c r="C25" s="17">
        <f>'Income Statement'!C24/'Income Statement'!C$10</f>
        <v>3.3606144683038901E-2</v>
      </c>
      <c r="D25" s="17">
        <f>'Income Statement'!D24/'Income Statement'!D$10</f>
        <v>3.5454582784911835E-2</v>
      </c>
      <c r="E25" s="17">
        <f>'Income Statement'!E24/'Income Statement'!E$10</f>
        <v>5.5900412792444336E-2</v>
      </c>
      <c r="F25" s="17">
        <f>'Income Statement'!F24/'Income Statement'!F$10</f>
        <v>6.1316638701154606E-2</v>
      </c>
      <c r="G25" s="17">
        <f>'Income Statement'!G24/'Income Statement'!G$10</f>
        <v>6.2886314078665045E-2</v>
      </c>
      <c r="H25" s="17">
        <f>'Income Statement'!H24/'Income Statement'!H$10</f>
        <v>4.6427974144101755E-2</v>
      </c>
      <c r="I25" s="17">
        <f>'Income Statement'!I24/'Income Statement'!I$10</f>
        <v>4.9904696990968826E-2</v>
      </c>
      <c r="J25" s="17">
        <f>'Income Statement'!J24/'Income Statement'!J$10</f>
        <v>5.0189077988224196E-2</v>
      </c>
      <c r="K25" s="17">
        <f>'Income Statement'!K24/'Income Statement'!K$10</f>
        <v>5.0445913157133364E-2</v>
      </c>
      <c r="L25" s="17">
        <f>'Income Statement'!L24/'Income Statement'!L$10</f>
        <v>5.0677247228013686E-2</v>
      </c>
      <c r="M25" s="17">
        <f>'Income Statement'!M24/'Income Statement'!M$10</f>
        <v>5.0885106068288208E-2</v>
      </c>
      <c r="N25" s="17">
        <f>'Income Statement'!N24/'Income Statement'!N$10</f>
        <v>5.1071462090228212E-2</v>
      </c>
      <c r="O25" s="17">
        <f>'Income Statement'!O24/'Income Statement'!O$10</f>
        <v>5.1238208842419676E-2</v>
      </c>
      <c r="P25" s="17">
        <f>'Income Statement'!P24/'Income Statement'!P$10</f>
        <v>5.1387143247339548E-2</v>
      </c>
      <c r="Q25" s="17">
        <f>'Income Statement'!Q24/'Income Statement'!Q$10</f>
        <v>5.1519954091829787E-2</v>
      </c>
    </row>
    <row r="26" spans="2:17">
      <c r="B26" t="s">
        <v>9</v>
      </c>
      <c r="C26" s="17">
        <f>'Income Statement'!C25/'Income Statement'!C$10</f>
        <v>-1.0170411725965475E-3</v>
      </c>
      <c r="D26" s="17">
        <f>'Income Statement'!D25/'Income Statement'!D$10</f>
        <v>2.0321080703631592E-3</v>
      </c>
      <c r="E26" s="17">
        <f>'Income Statement'!E25/'Income Statement'!E$10</f>
        <v>2.516914061514761E-3</v>
      </c>
      <c r="F26" s="17">
        <f>'Income Statement'!F25/'Income Statement'!F$10</f>
        <v>2.3632923108008507E-3</v>
      </c>
      <c r="G26" s="17">
        <f>'Income Statement'!G25/'Income Statement'!G$10</f>
        <v>2.2695199612483498E-3</v>
      </c>
      <c r="H26" s="17">
        <f>'Income Statement'!H25/'Income Statement'!H$10</f>
        <v>1.6329586462661147E-3</v>
      </c>
      <c r="I26" s="17">
        <f>'Income Statement'!I25/'Income Statement'!I$10</f>
        <v>1.6329586462661145E-3</v>
      </c>
      <c r="J26" s="17">
        <f>'Income Statement'!J25/'Income Statement'!J$10</f>
        <v>1.6329586462661145E-3</v>
      </c>
      <c r="K26" s="17">
        <f>'Income Statement'!K25/'Income Statement'!K$10</f>
        <v>1.6329586462661145E-3</v>
      </c>
      <c r="L26" s="17">
        <f>'Income Statement'!L25/'Income Statement'!L$10</f>
        <v>1.6329586462661145E-3</v>
      </c>
      <c r="M26" s="17">
        <f>'Income Statement'!M25/'Income Statement'!M$10</f>
        <v>1.6329586462661145E-3</v>
      </c>
      <c r="N26" s="17">
        <f>'Income Statement'!N25/'Income Statement'!N$10</f>
        <v>1.6329586462661145E-3</v>
      </c>
      <c r="O26" s="17">
        <f>'Income Statement'!O25/'Income Statement'!O$10</f>
        <v>1.6329586462661145E-3</v>
      </c>
      <c r="P26" s="17">
        <f>'Income Statement'!P25/'Income Statement'!P$10</f>
        <v>1.6329586462661145E-3</v>
      </c>
      <c r="Q26" s="17">
        <f>'Income Statement'!Q25/'Income Statement'!Q$10</f>
        <v>1.6329586462661145E-3</v>
      </c>
    </row>
    <row r="27" spans="2:17">
      <c r="B27" t="s">
        <v>10</v>
      </c>
      <c r="C27" s="17">
        <f>'Income Statement'!C26/'Income Statement'!C$10</f>
        <v>3.846902514768399E-3</v>
      </c>
      <c r="D27" s="17">
        <f>'Income Statement'!D26/'Income Statement'!D$10</f>
        <v>4.445760532554445E-3</v>
      </c>
      <c r="E27" s="17">
        <f>'Income Statement'!E26/'Income Statement'!E$10</f>
        <v>4.4398104117613609E-3</v>
      </c>
      <c r="F27" s="17">
        <f>'Income Statement'!F26/'Income Statement'!F$10</f>
        <v>4.1353058822212706E-3</v>
      </c>
      <c r="G27" s="17">
        <f>'Income Statement'!G26/'Income Statement'!G$10</f>
        <v>4.4641863757773036E-3</v>
      </c>
      <c r="H27" s="17">
        <f>'Income Statement'!H26/'Income Statement'!H$10</f>
        <v>4.2663931434165558E-3</v>
      </c>
      <c r="I27" s="17">
        <f>'Income Statement'!I26/'Income Statement'!I$10</f>
        <v>4.2663931434165558E-3</v>
      </c>
      <c r="J27" s="17">
        <f>'Income Statement'!J26/'Income Statement'!J$10</f>
        <v>4.2663931434165558E-3</v>
      </c>
      <c r="K27" s="17">
        <f>'Income Statement'!K26/'Income Statement'!K$10</f>
        <v>4.2663931434165558E-3</v>
      </c>
      <c r="L27" s="17">
        <f>'Income Statement'!L26/'Income Statement'!L$10</f>
        <v>4.2663931434165558E-3</v>
      </c>
      <c r="M27" s="17">
        <f>'Income Statement'!M26/'Income Statement'!M$10</f>
        <v>4.2663931434165558E-3</v>
      </c>
      <c r="N27" s="17">
        <f>'Income Statement'!N26/'Income Statement'!N$10</f>
        <v>4.2663931434165558E-3</v>
      </c>
      <c r="O27" s="17">
        <f>'Income Statement'!O26/'Income Statement'!O$10</f>
        <v>4.2663931434165558E-3</v>
      </c>
      <c r="P27" s="17">
        <f>'Income Statement'!P26/'Income Statement'!P$10</f>
        <v>4.2663931434165558E-3</v>
      </c>
      <c r="Q27" s="17">
        <f>'Income Statement'!Q26/'Income Statement'!Q$10</f>
        <v>4.2663931434165558E-3</v>
      </c>
    </row>
    <row r="28" spans="2:17">
      <c r="C28" s="17"/>
      <c r="D28" s="17"/>
      <c r="E28" s="17"/>
      <c r="F28" s="17"/>
      <c r="G28" s="17"/>
      <c r="H28" s="17"/>
      <c r="I28" s="17"/>
      <c r="J28" s="17"/>
      <c r="K28" s="17"/>
      <c r="L28" s="17"/>
      <c r="M28" s="17"/>
      <c r="N28" s="17"/>
      <c r="O28" s="17"/>
      <c r="P28" s="17"/>
      <c r="Q28" s="17"/>
    </row>
    <row r="29" spans="2:17">
      <c r="B29" s="7" t="s">
        <v>14</v>
      </c>
      <c r="C29" s="306">
        <f>'Income Statement'!C28/'Income Statement'!C$10</f>
        <v>6.805702643456997E-2</v>
      </c>
      <c r="D29" s="306">
        <f>'Income Statement'!D28/'Income Statement'!D$10</f>
        <v>0.10909365735392508</v>
      </c>
      <c r="E29" s="306">
        <f>'Income Statement'!E28/'Income Statement'!E$10</f>
        <v>0.15415138268746054</v>
      </c>
      <c r="F29" s="306">
        <f>'Income Statement'!F28/'Income Statement'!F$10</f>
        <v>0.16541723095882852</v>
      </c>
      <c r="G29" s="306">
        <f>'Income Statement'!G28/'Income Statement'!G$10</f>
        <v>0.16782076381855179</v>
      </c>
      <c r="H29" s="306">
        <f>'Income Statement'!H28/'Income Statement'!H$10</f>
        <v>0.13950195516468311</v>
      </c>
      <c r="I29" s="306">
        <f>'Income Statement'!I28/'Income Statement'!I$10</f>
        <v>0.13646838510369072</v>
      </c>
      <c r="J29" s="306">
        <f>'Income Statement'!J28/'Income Statement'!J$10</f>
        <v>0.13653923035352319</v>
      </c>
      <c r="K29" s="306">
        <f>'Income Statement'!K28/'Income Statement'!K$10</f>
        <v>0.13656989088094623</v>
      </c>
      <c r="L29" s="306">
        <f>'Income Statement'!L28/'Income Statement'!L$10</f>
        <v>0.13657318209139482</v>
      </c>
      <c r="M29" s="306">
        <f>'Income Statement'!M28/'Income Statement'!M$10</f>
        <v>0.13655817185537636</v>
      </c>
      <c r="N29" s="306">
        <f>'Income Statement'!N28/'Income Statement'!N$10</f>
        <v>0.13653128269578699</v>
      </c>
      <c r="O29" s="306">
        <f>'Income Statement'!O28/'Income Statement'!O$10</f>
        <v>0.1364970546955406</v>
      </c>
      <c r="P29" s="306">
        <f>'Income Statement'!P28/'Income Statement'!P$10</f>
        <v>0.13645868017243662</v>
      </c>
      <c r="Q29" s="306">
        <f>'Income Statement'!Q28/'Income Statement'!Q$10</f>
        <v>0.13641838247515045</v>
      </c>
    </row>
    <row r="30" spans="2:17">
      <c r="C30" s="17"/>
      <c r="D30" s="17"/>
      <c r="E30" s="17"/>
      <c r="F30" s="17"/>
      <c r="G30" s="17"/>
      <c r="H30" s="17"/>
      <c r="I30" s="17"/>
      <c r="J30" s="17"/>
      <c r="K30" s="17"/>
      <c r="L30" s="17"/>
      <c r="M30" s="17"/>
      <c r="N30" s="17"/>
      <c r="O30" s="17"/>
      <c r="P30" s="17"/>
      <c r="Q30" s="17"/>
    </row>
    <row r="31" spans="2:17">
      <c r="B31" t="s">
        <v>15</v>
      </c>
      <c r="C31" s="17">
        <f>'Income Statement'!C30/'Income Statement'!C$10</f>
        <v>-9.9120628782286852E-3</v>
      </c>
      <c r="D31" s="17">
        <f>'Income Statement'!D30/'Income Statement'!D$10</f>
        <v>-2.2174200772469402E-2</v>
      </c>
      <c r="E31" s="17">
        <f>'Income Statement'!E30/'Income Statement'!E$10</f>
        <v>-3.6595948761142333E-2</v>
      </c>
      <c r="F31" s="17">
        <f>'Income Statement'!F30/'Income Statement'!F$10</f>
        <v>-5.2589283475216034E-2</v>
      </c>
      <c r="G31" s="17">
        <f>'Income Statement'!G30/'Income Statement'!G$10</f>
        <v>-5.0895884852400861E-2</v>
      </c>
      <c r="H31" s="17">
        <f>'Income Statement'!H30/'Income Statement'!H$10</f>
        <v>-4.1850586549404926E-2</v>
      </c>
      <c r="I31" s="17">
        <f>'Income Statement'!I30/'Income Statement'!I$10</f>
        <v>-4.0940515531107217E-2</v>
      </c>
      <c r="J31" s="17">
        <f>'Income Statement'!J30/'Income Statement'!J$10</f>
        <v>-4.096176910605695E-2</v>
      </c>
      <c r="K31" s="17">
        <f>'Income Statement'!K30/'Income Statement'!K$10</f>
        <v>-4.097096726428387E-2</v>
      </c>
      <c r="L31" s="17">
        <f>'Income Statement'!L30/'Income Statement'!L$10</f>
        <v>-4.0971954627418448E-2</v>
      </c>
      <c r="M31" s="17">
        <f>'Income Statement'!M30/'Income Statement'!M$10</f>
        <v>-4.0967451556612904E-2</v>
      </c>
      <c r="N31" s="17">
        <f>'Income Statement'!N30/'Income Statement'!N$10</f>
        <v>-4.09593848087361E-2</v>
      </c>
      <c r="O31" s="17">
        <f>'Income Statement'!O30/'Income Statement'!O$10</f>
        <v>-4.0949116408662174E-2</v>
      </c>
      <c r="P31" s="17">
        <f>'Income Statement'!P30/'Income Statement'!P$10</f>
        <v>-4.093760405173099E-2</v>
      </c>
      <c r="Q31" s="17">
        <f>'Income Statement'!Q30/'Income Statement'!Q$10</f>
        <v>-4.0925514742545133E-2</v>
      </c>
    </row>
    <row r="32" spans="2:17">
      <c r="C32" s="17"/>
      <c r="D32" s="17"/>
      <c r="E32" s="17"/>
      <c r="F32" s="17"/>
      <c r="G32" s="17"/>
      <c r="H32" s="17"/>
      <c r="I32" s="17"/>
      <c r="J32" s="17"/>
      <c r="K32" s="17"/>
      <c r="L32" s="17"/>
      <c r="M32" s="17"/>
      <c r="N32" s="17"/>
      <c r="O32" s="17"/>
      <c r="P32" s="17"/>
      <c r="Q32" s="17"/>
    </row>
    <row r="33" spans="2:17">
      <c r="B33" s="7" t="s">
        <v>17</v>
      </c>
      <c r="C33" s="306">
        <f>'Income Statement'!C32/'Income Statement'!C$10</f>
        <v>5.8144963556341286E-2</v>
      </c>
      <c r="D33" s="306">
        <f>'Income Statement'!D32/'Income Statement'!D$10</f>
        <v>8.6919456581455681E-2</v>
      </c>
      <c r="E33" s="306">
        <f>'Income Statement'!E32/'Income Statement'!E$10</f>
        <v>0.1175554339263182</v>
      </c>
      <c r="F33" s="306">
        <f>'Income Statement'!F32/'Income Statement'!F$10</f>
        <v>0.11282794748361245</v>
      </c>
      <c r="G33" s="306">
        <f>'Income Statement'!G32/'Income Statement'!G$10</f>
        <v>0.11692487896615093</v>
      </c>
      <c r="H33" s="306">
        <f>'Income Statement'!H32/'Income Statement'!H$10</f>
        <v>9.7651368615278178E-2</v>
      </c>
      <c r="I33" s="306">
        <f>'Income Statement'!I32/'Income Statement'!I$10</f>
        <v>9.5527869572583496E-2</v>
      </c>
      <c r="J33" s="306">
        <f>'Income Statement'!J32/'Income Statement'!J$10</f>
        <v>9.5577461247466244E-2</v>
      </c>
      <c r="K33" s="306">
        <f>'Income Statement'!K32/'Income Statement'!K$10</f>
        <v>9.5598923616662362E-2</v>
      </c>
      <c r="L33" s="306">
        <f>'Income Statement'!L32/'Income Statement'!L$10</f>
        <v>9.5601227463976382E-2</v>
      </c>
      <c r="M33" s="306">
        <f>'Income Statement'!M32/'Income Statement'!M$10</f>
        <v>9.5590720298763435E-2</v>
      </c>
      <c r="N33" s="306">
        <f>'Income Statement'!N32/'Income Statement'!N$10</f>
        <v>9.5571897887050894E-2</v>
      </c>
      <c r="O33" s="306">
        <f>'Income Statement'!O32/'Income Statement'!O$10</f>
        <v>9.5547938286878423E-2</v>
      </c>
      <c r="P33" s="306">
        <f>'Income Statement'!P32/'Income Statement'!P$10</f>
        <v>9.5521076120705636E-2</v>
      </c>
      <c r="Q33" s="306">
        <f>'Income Statement'!Q32/'Income Statement'!Q$10</f>
        <v>9.5492867732605319E-2</v>
      </c>
    </row>
    <row r="35" spans="2:17">
      <c r="B35" s="1" t="s">
        <v>19</v>
      </c>
    </row>
    <row r="37" spans="2:17">
      <c r="B37" s="1" t="s">
        <v>20</v>
      </c>
    </row>
    <row r="38" spans="2:17">
      <c r="B38" t="s">
        <v>21</v>
      </c>
      <c r="C38" s="17">
        <f>'Balance Sheet'!C12/'Balance Sheet'!C$33</f>
        <v>1.8417900448326182E-4</v>
      </c>
      <c r="D38" s="17">
        <f>'Balance Sheet'!D12/'Balance Sheet'!D$33</f>
        <v>1.6647651363913997E-4</v>
      </c>
      <c r="E38" s="17">
        <f>'Balance Sheet'!E12/'Balance Sheet'!E$33</f>
        <v>1.4988218033859039E-4</v>
      </c>
      <c r="F38" s="17">
        <f>'Balance Sheet'!F12/'Balance Sheet'!F$33</f>
        <v>1.3253497427622072E-4</v>
      </c>
      <c r="G38" s="17">
        <f>'Balance Sheet'!G12/'Balance Sheet'!G$33</f>
        <v>1.220179635073871E-4</v>
      </c>
      <c r="H38" s="17">
        <f>'Balance Sheet'!H12/'Balance Sheet'!H$33</f>
        <v>9.8337994196228182E-5</v>
      </c>
      <c r="I38" s="17">
        <f>'Balance Sheet'!I12/'Balance Sheet'!I$33</f>
        <v>8.8376407675626393E-5</v>
      </c>
      <c r="J38" s="17">
        <f>'Balance Sheet'!J12/'Balance Sheet'!J$33</f>
        <v>8.0330393858074706E-5</v>
      </c>
      <c r="K38" s="17">
        <f>'Balance Sheet'!K12/'Balance Sheet'!K$33</f>
        <v>7.3763469321781923E-5</v>
      </c>
      <c r="L38" s="17">
        <f>'Balance Sheet'!L12/'Balance Sheet'!L$33</f>
        <v>6.8352098649023939E-5</v>
      </c>
      <c r="M38" s="17">
        <f>'Balance Sheet'!M12/'Balance Sheet'!M$33</f>
        <v>6.3853415778021414E-5</v>
      </c>
      <c r="N38" s="17">
        <f>'Balance Sheet'!N12/'Balance Sheet'!N$33</f>
        <v>6.0082894783024623E-5</v>
      </c>
      <c r="O38" s="17">
        <f>'Balance Sheet'!O12/'Balance Sheet'!O$33</f>
        <v>5.6898719902800048E-5</v>
      </c>
      <c r="P38" s="17">
        <f>'Balance Sheet'!P12/'Balance Sheet'!P$33</f>
        <v>5.4190715165203751E-5</v>
      </c>
      <c r="Q38" s="17">
        <f>'Balance Sheet'!Q12/'Balance Sheet'!Q$33</f>
        <v>5.1872411989827664E-5</v>
      </c>
    </row>
    <row r="39" spans="2:17">
      <c r="B39" t="s">
        <v>22</v>
      </c>
      <c r="C39" s="17">
        <f>'Balance Sheet'!C13/'Balance Sheet'!C$33</f>
        <v>5.6684011785945072E-2</v>
      </c>
      <c r="D39" s="17">
        <f>'Balance Sheet'!D13/'Balance Sheet'!D$33</f>
        <v>5.6836822182201395E-2</v>
      </c>
      <c r="E39" s="17">
        <f>'Balance Sheet'!E13/'Balance Sheet'!E$33</f>
        <v>6.0129946845990122E-2</v>
      </c>
      <c r="F39" s="17">
        <f>'Balance Sheet'!F13/'Balance Sheet'!F$33</f>
        <v>6.1488017741011397E-2</v>
      </c>
      <c r="G39" s="17">
        <f>'Balance Sheet'!G13/'Balance Sheet'!G$33</f>
        <v>6.6465952672567538E-2</v>
      </c>
      <c r="H39" s="17">
        <f>'Balance Sheet'!H13/'Balance Sheet'!H$33</f>
        <v>6.0558672937745604E-2</v>
      </c>
      <c r="I39" s="17">
        <f>'Balance Sheet'!I13/'Balance Sheet'!I$33</f>
        <v>6.1258585763668258E-2</v>
      </c>
      <c r="J39" s="17">
        <f>'Balance Sheet'!J13/'Balance Sheet'!J$33</f>
        <v>6.2510053614342476E-2</v>
      </c>
      <c r="K39" s="17">
        <f>'Balance Sheet'!K13/'Balance Sheet'!K$33</f>
        <v>6.4217181291830197E-2</v>
      </c>
      <c r="L39" s="17">
        <f>'Balance Sheet'!L13/'Balance Sheet'!L$33</f>
        <v>6.6307764903454358E-2</v>
      </c>
      <c r="M39" s="17">
        <f>'Balance Sheet'!M13/'Balance Sheet'!M$33</f>
        <v>6.8726229708028011E-2</v>
      </c>
      <c r="N39" s="17">
        <f>'Balance Sheet'!N13/'Balance Sheet'!N$33</f>
        <v>7.142879601047801E-2</v>
      </c>
      <c r="O39" s="17">
        <f>'Balance Sheet'!O13/'Balance Sheet'!O$33</f>
        <v>7.4380140754349525E-2</v>
      </c>
      <c r="P39" s="17">
        <f>'Balance Sheet'!P13/'Balance Sheet'!P$33</f>
        <v>7.7551074123588429E-2</v>
      </c>
      <c r="Q39" s="17">
        <f>'Balance Sheet'!Q13/'Balance Sheet'!Q$33</f>
        <v>8.0916912237337879E-2</v>
      </c>
    </row>
    <row r="40" spans="2:17">
      <c r="B40" t="s">
        <v>23</v>
      </c>
      <c r="C40" s="17">
        <f>'Balance Sheet'!C14/'Balance Sheet'!C$33</f>
        <v>1.986519679092945E-3</v>
      </c>
      <c r="D40" s="17">
        <f>'Balance Sheet'!D14/'Balance Sheet'!D$33</f>
        <v>2.0905924813580785E-3</v>
      </c>
      <c r="E40" s="17">
        <f>'Balance Sheet'!E14/'Balance Sheet'!E$33</f>
        <v>2.1558141730404056E-3</v>
      </c>
      <c r="F40" s="17">
        <f>'Balance Sheet'!F14/'Balance Sheet'!F$33</f>
        <v>2.3193459221879705E-3</v>
      </c>
      <c r="G40" s="17">
        <f>'Balance Sheet'!G14/'Balance Sheet'!G$33</f>
        <v>2.4645039686714311E-3</v>
      </c>
      <c r="H40" s="17">
        <f>'Balance Sheet'!H14/'Balance Sheet'!H$33</f>
        <v>2.2449917416244116E-3</v>
      </c>
      <c r="I40" s="17">
        <f>'Balance Sheet'!I14/'Balance Sheet'!I$33</f>
        <v>2.2705276988168798E-3</v>
      </c>
      <c r="J40" s="17">
        <f>'Balance Sheet'!J14/'Balance Sheet'!J$33</f>
        <v>2.3165482941645598E-3</v>
      </c>
      <c r="K40" s="17">
        <f>'Balance Sheet'!K14/'Balance Sheet'!K$33</f>
        <v>2.3794881718118459E-3</v>
      </c>
      <c r="L40" s="17">
        <f>'Balance Sheet'!L14/'Balance Sheet'!L$33</f>
        <v>2.4566630010505095E-3</v>
      </c>
      <c r="M40" s="17">
        <f>'Balance Sheet'!M14/'Balance Sheet'!M$33</f>
        <v>2.5460069025141693E-3</v>
      </c>
      <c r="N40" s="17">
        <f>'Balance Sheet'!N14/'Balance Sheet'!N$33</f>
        <v>2.6458927054676868E-3</v>
      </c>
      <c r="O40" s="17">
        <f>'Balance Sheet'!O14/'Balance Sheet'!O$33</f>
        <v>2.7550078106909617E-3</v>
      </c>
      <c r="P40" s="17">
        <f>'Balance Sheet'!P14/'Balance Sheet'!P$33</f>
        <v>2.8722677888803083E-3</v>
      </c>
      <c r="Q40" s="17">
        <f>'Balance Sheet'!Q14/'Balance Sheet'!Q$33</f>
        <v>2.9967558584622616E-3</v>
      </c>
    </row>
    <row r="41" spans="2:17">
      <c r="B41" t="s">
        <v>313</v>
      </c>
      <c r="C41" s="17">
        <f>'Balance Sheet'!C18/'Balance Sheet'!C$33</f>
        <v>0.34810406296186158</v>
      </c>
      <c r="D41" s="17">
        <f>'Balance Sheet'!D18/'Balance Sheet'!D$33</f>
        <v>0.33944254989320116</v>
      </c>
      <c r="E41" s="17">
        <f>'Balance Sheet'!E18/'Balance Sheet'!E$33</f>
        <v>0.32018567351185978</v>
      </c>
      <c r="F41" s="17">
        <f>'Balance Sheet'!F18/'Balance Sheet'!F$33</f>
        <v>0.29447504620857795</v>
      </c>
      <c r="G41" s="17">
        <f>'Balance Sheet'!G18/'Balance Sheet'!G$33</f>
        <v>0.28833513049442799</v>
      </c>
      <c r="H41" s="17">
        <f>'Balance Sheet'!H18/'Balance Sheet'!H$33</f>
        <v>0.31941172884286673</v>
      </c>
      <c r="I41" s="17">
        <f>'Balance Sheet'!I18/'Balance Sheet'!I$33</f>
        <v>0.31916785359920891</v>
      </c>
      <c r="J41" s="17">
        <f>'Balance Sheet'!J18/'Balance Sheet'!J$33</f>
        <v>0.31872834456420002</v>
      </c>
      <c r="K41" s="17">
        <f>'Balance Sheet'!K18/'Balance Sheet'!K$33</f>
        <v>0.31812725184300972</v>
      </c>
      <c r="L41" s="17">
        <f>'Balance Sheet'!L18/'Balance Sheet'!L$33</f>
        <v>0.31739021151423047</v>
      </c>
      <c r="M41" s="17">
        <f>'Balance Sheet'!M18/'Balance Sheet'!M$33</f>
        <v>0.316536953280182</v>
      </c>
      <c r="N41" s="17">
        <f>'Balance Sheet'!N18/'Balance Sheet'!N$33</f>
        <v>0.31558301705802905</v>
      </c>
      <c r="O41" s="17">
        <f>'Balance Sheet'!O18/'Balance Sheet'!O$33</f>
        <v>0.31454093852255449</v>
      </c>
      <c r="P41" s="17">
        <f>'Balance Sheet'!P18/'Balance Sheet'!P$33</f>
        <v>0.31342107426461047</v>
      </c>
      <c r="Q41" s="17">
        <f>'Balance Sheet'!Q18/'Balance Sheet'!Q$33</f>
        <v>0.3122321797942384</v>
      </c>
    </row>
    <row r="42" spans="2:17">
      <c r="B42" t="s">
        <v>314</v>
      </c>
      <c r="C42" s="17">
        <f>'Balance Sheet'!C19/'Balance Sheet'!C$33</f>
        <v>0.41863628319757595</v>
      </c>
      <c r="D42" s="17">
        <f>'Balance Sheet'!D19/'Balance Sheet'!D$33</f>
        <v>0.42300837413526221</v>
      </c>
      <c r="E42" s="17">
        <f>'Balance Sheet'!E19/'Balance Sheet'!E$33</f>
        <v>0.43027142723335132</v>
      </c>
      <c r="F42" s="17">
        <f>'Balance Sheet'!F19/'Balance Sheet'!F$33</f>
        <v>0.44308073560909433</v>
      </c>
      <c r="G42" s="17">
        <f>'Balance Sheet'!G19/'Balance Sheet'!G$33</f>
        <v>0.45541113318789261</v>
      </c>
      <c r="H42" s="17">
        <f>'Balance Sheet'!H19/'Balance Sheet'!H$33</f>
        <v>0.43303425685317481</v>
      </c>
      <c r="I42" s="17">
        <f>'Balance Sheet'!I19/'Balance Sheet'!I$33</f>
        <v>0.43270362924821865</v>
      </c>
      <c r="J42" s="17">
        <f>'Balance Sheet'!J19/'Balance Sheet'!J$33</f>
        <v>0.4321077761496338</v>
      </c>
      <c r="K42" s="17">
        <f>'Balance Sheet'!K19/'Balance Sheet'!K$33</f>
        <v>0.43129286011394702</v>
      </c>
      <c r="L42" s="17">
        <f>'Balance Sheet'!L19/'Balance Sheet'!L$33</f>
        <v>0.43029363659701492</v>
      </c>
      <c r="M42" s="17">
        <f>'Balance Sheet'!M19/'Balance Sheet'!M$33</f>
        <v>0.42913685363659076</v>
      </c>
      <c r="N42" s="17">
        <f>'Balance Sheet'!N19/'Balance Sheet'!N$33</f>
        <v>0.4278435790766934</v>
      </c>
      <c r="O42" s="17">
        <f>'Balance Sheet'!O19/'Balance Sheet'!O$33</f>
        <v>0.42643080783680609</v>
      </c>
      <c r="P42" s="17">
        <f>'Balance Sheet'!P19/'Balance Sheet'!P$33</f>
        <v>0.42491258059927794</v>
      </c>
      <c r="Q42" s="17">
        <f>'Balance Sheet'!Q19/'Balance Sheet'!Q$33</f>
        <v>0.42330076742222417</v>
      </c>
    </row>
    <row r="43" spans="2:17">
      <c r="B43" t="s">
        <v>24</v>
      </c>
      <c r="C43" s="17">
        <f>'Balance Sheet'!C20/'Balance Sheet'!C$33</f>
        <v>8.9523391892523591E-2</v>
      </c>
      <c r="D43" s="17">
        <f>'Balance Sheet'!D20/'Balance Sheet'!D$33</f>
        <v>8.3784656230028329E-2</v>
      </c>
      <c r="E43" s="17">
        <f>'Balance Sheet'!E20/'Balance Sheet'!E$33</f>
        <v>8.7523570238943277E-2</v>
      </c>
      <c r="F43" s="17">
        <f>'Balance Sheet'!F20/'Balance Sheet'!F$33</f>
        <v>9.4985226263817224E-2</v>
      </c>
      <c r="G43" s="17">
        <f>'Balance Sheet'!G20/'Balance Sheet'!G$33</f>
        <v>8.3516785060465337E-2</v>
      </c>
      <c r="H43" s="17">
        <f>'Balance Sheet'!H20/'Balance Sheet'!H$33</f>
        <v>8.7748719885235207E-2</v>
      </c>
      <c r="I43" s="17">
        <f>'Balance Sheet'!I20/'Balance Sheet'!I$33</f>
        <v>8.7681722531943909E-2</v>
      </c>
      <c r="J43" s="17">
        <f>'Balance Sheet'!J20/'Balance Sheet'!J$33</f>
        <v>8.7560980706527097E-2</v>
      </c>
      <c r="K43" s="17">
        <f>'Balance Sheet'!K20/'Balance Sheet'!K$33</f>
        <v>8.7395848646386845E-2</v>
      </c>
      <c r="L43" s="17">
        <f>'Balance Sheet'!L20/'Balance Sheet'!L$33</f>
        <v>8.719336908939479E-2</v>
      </c>
      <c r="M43" s="17">
        <f>'Balance Sheet'!M20/'Balance Sheet'!M$33</f>
        <v>8.6958962175032142E-2</v>
      </c>
      <c r="N43" s="17">
        <f>'Balance Sheet'!N20/'Balance Sheet'!N$33</f>
        <v>8.6696897025924077E-2</v>
      </c>
      <c r="O43" s="17">
        <f>'Balance Sheet'!O20/'Balance Sheet'!O$33</f>
        <v>8.6410617439889342E-2</v>
      </c>
      <c r="P43" s="17">
        <f>'Balance Sheet'!P20/'Balance Sheet'!P$33</f>
        <v>8.6102968577288691E-2</v>
      </c>
      <c r="Q43" s="17">
        <f>'Balance Sheet'!Q20/'Balance Sheet'!Q$33</f>
        <v>8.5776355749914671E-2</v>
      </c>
    </row>
    <row r="44" spans="2:17">
      <c r="B44" t="s">
        <v>25</v>
      </c>
      <c r="C44" s="17">
        <f>'Balance Sheet'!C21/'Balance Sheet'!C$33</f>
        <v>8.4881551478517739E-2</v>
      </c>
      <c r="D44" s="17">
        <f>'Balance Sheet'!D21/'Balance Sheet'!D$33</f>
        <v>9.4670528564309672E-2</v>
      </c>
      <c r="E44" s="17">
        <f>'Balance Sheet'!E21/'Balance Sheet'!E$33</f>
        <v>9.9583685816476364E-2</v>
      </c>
      <c r="F44" s="17">
        <f>'Balance Sheet'!F21/'Balance Sheet'!F$33</f>
        <v>0.10351909328103498</v>
      </c>
      <c r="G44" s="17">
        <f>'Balance Sheet'!G21/'Balance Sheet'!G$33</f>
        <v>0.10368447665246783</v>
      </c>
      <c r="H44" s="17">
        <f>'Balance Sheet'!H21/'Balance Sheet'!H$33</f>
        <v>9.6903291745157036E-2</v>
      </c>
      <c r="I44" s="17">
        <f>'Balance Sheet'!I21/'Balance Sheet'!I$33</f>
        <v>9.6829304750467748E-2</v>
      </c>
      <c r="J44" s="17">
        <f>'Balance Sheet'!J21/'Balance Sheet'!J$33</f>
        <v>9.669596627727392E-2</v>
      </c>
      <c r="K44" s="17">
        <f>'Balance Sheet'!K21/'Balance Sheet'!K$33</f>
        <v>9.651360646369285E-2</v>
      </c>
      <c r="L44" s="17">
        <f>'Balance Sheet'!L21/'Balance Sheet'!L$33</f>
        <v>9.6290002796205823E-2</v>
      </c>
      <c r="M44" s="17">
        <f>'Balance Sheet'!M21/'Balance Sheet'!M$33</f>
        <v>9.6031140881875074E-2</v>
      </c>
      <c r="N44" s="17">
        <f>'Balance Sheet'!N21/'Balance Sheet'!N$33</f>
        <v>9.5741735228624822E-2</v>
      </c>
      <c r="O44" s="17">
        <f>'Balance Sheet'!O21/'Balance Sheet'!O$33</f>
        <v>9.5425588915806936E-2</v>
      </c>
      <c r="P44" s="17">
        <f>'Balance Sheet'!P21/'Balance Sheet'!P$33</f>
        <v>9.5085843931188976E-2</v>
      </c>
      <c r="Q44" s="17">
        <f>'Balance Sheet'!Q21/'Balance Sheet'!Q$33</f>
        <v>9.4725156525832771E-2</v>
      </c>
    </row>
    <row r="45" spans="2:17">
      <c r="B45" s="7" t="s">
        <v>26</v>
      </c>
      <c r="C45" s="306">
        <f>'Balance Sheet'!C22/'Balance Sheet'!C$33</f>
        <v>0.94114528953047893</v>
      </c>
      <c r="D45" s="306">
        <f>'Balance Sheet'!D22/'Balance Sheet'!D$33</f>
        <v>0.94090610882280135</v>
      </c>
      <c r="E45" s="306">
        <f>'Balance Sheet'!E22/'Balance Sheet'!E$33</f>
        <v>0.93756435680063055</v>
      </c>
      <c r="F45" s="306">
        <f>'Balance Sheet'!F22/'Balance Sheet'!F$33</f>
        <v>0.93606010136252449</v>
      </c>
      <c r="G45" s="306">
        <f>'Balance Sheet'!G22/'Balance Sheet'!G$33</f>
        <v>0.93094752539525372</v>
      </c>
      <c r="H45" s="306">
        <f>'Balance Sheet'!H22/'Balance Sheet'!H$33</f>
        <v>0.93709799732643395</v>
      </c>
      <c r="I45" s="306">
        <f>'Balance Sheet'!I22/'Balance Sheet'!I$33</f>
        <v>0.93638251012983909</v>
      </c>
      <c r="J45" s="306">
        <f>'Balance Sheet'!J22/'Balance Sheet'!J$33</f>
        <v>0.93509306769763478</v>
      </c>
      <c r="K45" s="306">
        <f>'Balance Sheet'!K22/'Balance Sheet'!K$33</f>
        <v>0.9333295670670364</v>
      </c>
      <c r="L45" s="306">
        <f>'Balance Sheet'!L22/'Balance Sheet'!L$33</f>
        <v>0.93116721999684604</v>
      </c>
      <c r="M45" s="306">
        <f>'Balance Sheet'!M22/'Balance Sheet'!M$33</f>
        <v>0.92866390997367998</v>
      </c>
      <c r="N45" s="306">
        <f>'Balance Sheet'!N22/'Balance Sheet'!N$33</f>
        <v>0.92586522838927132</v>
      </c>
      <c r="O45" s="306">
        <f>'Balance Sheet'!O22/'Balance Sheet'!O$33</f>
        <v>0.92280795271505689</v>
      </c>
      <c r="P45" s="306">
        <f>'Balance Sheet'!P22/'Balance Sheet'!P$33</f>
        <v>0.91952246737236609</v>
      </c>
      <c r="Q45" s="306">
        <f>'Balance Sheet'!Q22/'Balance Sheet'!Q$33</f>
        <v>0.91603445949221007</v>
      </c>
    </row>
    <row r="47" spans="2:17">
      <c r="B47" s="1" t="s">
        <v>27</v>
      </c>
    </row>
    <row r="48" spans="2:17">
      <c r="B48" t="s">
        <v>28</v>
      </c>
      <c r="C48" s="17">
        <f>'Balance Sheet'!C27/'Balance Sheet'!C$33</f>
        <v>4.4060136771230274E-2</v>
      </c>
      <c r="D48" s="17">
        <f>'Balance Sheet'!D27/'Balance Sheet'!D$33</f>
        <v>5.9410436424020996E-2</v>
      </c>
      <c r="E48" s="17">
        <f>'Balance Sheet'!E27/'Balance Sheet'!E$33</f>
        <v>4.1535719617463343E-2</v>
      </c>
      <c r="F48" s="17">
        <f>'Balance Sheet'!F27/'Balance Sheet'!F$33</f>
        <v>3.3466548694774466E-2</v>
      </c>
      <c r="G48" s="17">
        <f>'Balance Sheet'!G27/'Balance Sheet'!G$33</f>
        <v>3.1101913104531542E-2</v>
      </c>
      <c r="H48" s="17">
        <f>'Balance Sheet'!H27/'Balance Sheet'!H$33</f>
        <v>4.7094386795910465E-2</v>
      </c>
      <c r="I48" s="17">
        <f>'Balance Sheet'!I27/'Balance Sheet'!I$33</f>
        <v>4.9369585128090906E-2</v>
      </c>
      <c r="J48" s="17">
        <f>'Balance Sheet'!J27/'Balance Sheet'!J$33</f>
        <v>5.1907316280667505E-2</v>
      </c>
      <c r="K48" s="17">
        <f>'Balance Sheet'!K27/'Balance Sheet'!K$33</f>
        <v>5.467389908335929E-2</v>
      </c>
      <c r="L48" s="17">
        <f>'Balance Sheet'!L27/'Balance Sheet'!L$33</f>
        <v>5.7644028602255523E-2</v>
      </c>
      <c r="M48" s="17">
        <f>'Balance Sheet'!M27/'Balance Sheet'!M$33</f>
        <v>6.0797893808595425E-2</v>
      </c>
      <c r="N48" s="17">
        <f>'Balance Sheet'!N27/'Balance Sheet'!N$33</f>
        <v>6.411929069202521E-2</v>
      </c>
      <c r="O48" s="17">
        <f>'Balance Sheet'!O27/'Balance Sheet'!O$33</f>
        <v>6.7594383461743346E-2</v>
      </c>
      <c r="P48" s="17">
        <f>'Balance Sheet'!P27/'Balance Sheet'!P$33</f>
        <v>7.1210892746301602E-2</v>
      </c>
      <c r="Q48" s="17">
        <f>'Balance Sheet'!Q27/'Balance Sheet'!Q$33</f>
        <v>7.4957568072174852E-2</v>
      </c>
    </row>
    <row r="49" spans="2:17">
      <c r="B49" t="s">
        <v>29</v>
      </c>
      <c r="C49" s="17">
        <f>'Balance Sheet'!C28/'Balance Sheet'!C$33</f>
        <v>2.7696860269147482E-2</v>
      </c>
      <c r="D49" s="17">
        <f>'Balance Sheet'!D28/'Balance Sheet'!D$33</f>
        <v>1.4999895289461725E-2</v>
      </c>
      <c r="E49" s="17">
        <f>'Balance Sheet'!E28/'Balance Sheet'!E$33</f>
        <v>1.1922383719215607E-2</v>
      </c>
      <c r="F49" s="17">
        <f>'Balance Sheet'!F28/'Balance Sheet'!F$33</f>
        <v>1.5031079934569477E-2</v>
      </c>
      <c r="G49" s="17">
        <f>'Balance Sheet'!G28/'Balance Sheet'!G$33</f>
        <v>1.7834902975774482E-2</v>
      </c>
      <c r="H49" s="17">
        <f>'Balance Sheet'!H28/'Balance Sheet'!H$33</f>
        <v>1.4373691667258682E-2</v>
      </c>
      <c r="I49" s="17">
        <f>'Balance Sheet'!I28/'Balance Sheet'!I$33</f>
        <v>1.2917644344612128E-2</v>
      </c>
      <c r="J49" s="17">
        <f>'Balance Sheet'!J28/'Balance Sheet'!J$33</f>
        <v>1.1741589019208442E-2</v>
      </c>
      <c r="K49" s="17">
        <f>'Balance Sheet'!K28/'Balance Sheet'!K$33</f>
        <v>1.0781726564636955E-2</v>
      </c>
      <c r="L49" s="17">
        <f>'Balance Sheet'!L28/'Balance Sheet'!L$33</f>
        <v>9.9907670358889838E-3</v>
      </c>
      <c r="M49" s="17">
        <f>'Balance Sheet'!M28/'Balance Sheet'!M$33</f>
        <v>9.3332116217777553E-3</v>
      </c>
      <c r="N49" s="17">
        <f>'Balance Sheet'!N28/'Balance Sheet'!N$33</f>
        <v>8.7820888675464309E-3</v>
      </c>
      <c r="O49" s="17">
        <f>'Balance Sheet'!O28/'Balance Sheet'!O$33</f>
        <v>8.316670101208264E-3</v>
      </c>
      <c r="P49" s="17">
        <f>'Balance Sheet'!P28/'Balance Sheet'!P$33</f>
        <v>7.920851318754616E-3</v>
      </c>
      <c r="Q49" s="17">
        <f>'Balance Sheet'!Q28/'Balance Sheet'!Q$33</f>
        <v>7.5819937357171872E-3</v>
      </c>
    </row>
    <row r="50" spans="2:17">
      <c r="B50" t="s">
        <v>30</v>
      </c>
      <c r="C50" s="17">
        <f>'Balance Sheet'!C29/'Balance Sheet'!C$33</f>
        <v>0.32918403524605633</v>
      </c>
      <c r="D50" s="17">
        <f>'Balance Sheet'!D29/'Balance Sheet'!D$33</f>
        <v>0.33138005872678006</v>
      </c>
      <c r="E50" s="17">
        <f>'Balance Sheet'!E29/'Balance Sheet'!E$33</f>
        <v>0.32129214888010693</v>
      </c>
      <c r="F50" s="17">
        <f>'Balance Sheet'!F29/'Balance Sheet'!F$33</f>
        <v>0.31342702050058852</v>
      </c>
      <c r="G50" s="17">
        <f>'Balance Sheet'!G29/'Balance Sheet'!G$33</f>
        <v>0.30155116469317678</v>
      </c>
      <c r="H50" s="17">
        <f>'Balance Sheet'!H29/'Balance Sheet'!H$33</f>
        <v>0.31990848104626468</v>
      </c>
      <c r="I50" s="17">
        <f>'Balance Sheet'!I29/'Balance Sheet'!I$33</f>
        <v>0.31966422652547427</v>
      </c>
      <c r="J50" s="17">
        <f>'Balance Sheet'!J29/'Balance Sheet'!J$33</f>
        <v>0.31922403396177235</v>
      </c>
      <c r="K50" s="17">
        <f>'Balance Sheet'!K29/'Balance Sheet'!K$33</f>
        <v>0.31862200641538074</v>
      </c>
      <c r="L50" s="17">
        <f>'Balance Sheet'!L29/'Balance Sheet'!L$33</f>
        <v>0.31788381983436892</v>
      </c>
      <c r="M50" s="17">
        <f>'Balance Sheet'!M29/'Balance Sheet'!M$33</f>
        <v>0.31702923460487986</v>
      </c>
      <c r="N50" s="17">
        <f>'Balance Sheet'!N29/'Balance Sheet'!N$33</f>
        <v>0.31607381481190761</v>
      </c>
      <c r="O50" s="17">
        <f>'Balance Sheet'!O29/'Balance Sheet'!O$33</f>
        <v>0.31503011562583738</v>
      </c>
      <c r="P50" s="17">
        <f>'Balance Sheet'!P29/'Balance Sheet'!P$33</f>
        <v>0.31390850974419143</v>
      </c>
      <c r="Q50" s="17">
        <f>'Balance Sheet'!Q29/'Balance Sheet'!Q$33</f>
        <v>0.31271776629366471</v>
      </c>
    </row>
    <row r="51" spans="2:17">
      <c r="B51" t="s">
        <v>31</v>
      </c>
      <c r="C51" s="17">
        <f>'Balance Sheet'!C30/'Balance Sheet'!C$33</f>
        <v>0.51605361889375045</v>
      </c>
      <c r="D51" s="17">
        <f>'Balance Sheet'!D30/'Balance Sheet'!D$33</f>
        <v>0.52119692331997336</v>
      </c>
      <c r="E51" s="17">
        <f>'Balance Sheet'!E30/'Balance Sheet'!E$33</f>
        <v>0.54881970888240494</v>
      </c>
      <c r="F51" s="17">
        <f>'Balance Sheet'!F30/'Balance Sheet'!F$33</f>
        <v>0.56198351372465571</v>
      </c>
      <c r="G51" s="17">
        <f>'Balance Sheet'!G30/'Balance Sheet'!G$33</f>
        <v>0.5811762401874081</v>
      </c>
      <c r="H51" s="17">
        <f>'Balance Sheet'!H30/'Balance Sheet'!H$33</f>
        <v>0.54410756957701689</v>
      </c>
      <c r="I51" s="17">
        <f>'Balance Sheet'!I30/'Balance Sheet'!I$33</f>
        <v>0.54369213597165944</v>
      </c>
      <c r="J51" s="17">
        <f>'Balance Sheet'!J30/'Balance Sheet'!J$33</f>
        <v>0.54294344651773063</v>
      </c>
      <c r="K51" s="17">
        <f>'Balance Sheet'!K30/'Balance Sheet'!K$33</f>
        <v>0.5419195044702606</v>
      </c>
      <c r="L51" s="17">
        <f>'Balance Sheet'!L30/'Balance Sheet'!L$33</f>
        <v>0.54066398006160743</v>
      </c>
      <c r="M51" s="17">
        <f>'Balance Sheet'!M30/'Balance Sheet'!M$33</f>
        <v>0.53921048220280432</v>
      </c>
      <c r="N51" s="17">
        <f>'Balance Sheet'!N30/'Balance Sheet'!N$33</f>
        <v>0.53758548264111816</v>
      </c>
      <c r="O51" s="17">
        <f>'Balance Sheet'!O30/'Balance Sheet'!O$33</f>
        <v>0.53581033549389367</v>
      </c>
      <c r="P51" s="17">
        <f>'Balance Sheet'!P30/'Balance Sheet'!P$33</f>
        <v>0.5339026828793404</v>
      </c>
      <c r="Q51" s="17">
        <f>'Balance Sheet'!Q30/'Balance Sheet'!Q$33</f>
        <v>0.5318774395261886</v>
      </c>
    </row>
    <row r="52" spans="2:17">
      <c r="B52" t="s">
        <v>32</v>
      </c>
      <c r="C52" s="17">
        <f>'Balance Sheet'!C31/'Balance Sheet'!C$33</f>
        <v>8.289300491680791E-3</v>
      </c>
      <c r="D52" s="17">
        <f>'Balance Sheet'!D31/'Balance Sheet'!D$33</f>
        <v>7.3700594842846801E-3</v>
      </c>
      <c r="E52" s="17">
        <f>'Balance Sheet'!E31/'Balance Sheet'!E$33</f>
        <v>7.4578873427847536E-3</v>
      </c>
      <c r="F52" s="17">
        <f>'Balance Sheet'!F31/'Balance Sheet'!F$33</f>
        <v>6.6393890607145904E-3</v>
      </c>
      <c r="G52" s="17">
        <f>'Balance Sheet'!G31/'Balance Sheet'!G$33</f>
        <v>6.3353187321517537E-3</v>
      </c>
      <c r="H52" s="17">
        <f>'Balance Sheet'!H31/'Balance Sheet'!H$33</f>
        <v>6.2862080422916864E-3</v>
      </c>
      <c r="I52" s="17">
        <f>'Balance Sheet'!I31/'Balance Sheet'!I$33</f>
        <v>6.1788394439767488E-3</v>
      </c>
      <c r="J52" s="17">
        <f>'Balance Sheet'!J31/'Balance Sheet'!J$33</f>
        <v>6.0999293293013531E-3</v>
      </c>
      <c r="K52" s="17">
        <f>'Balance Sheet'!K31/'Balance Sheet'!K$33</f>
        <v>6.0475782235772275E-3</v>
      </c>
      <c r="L52" s="17">
        <f>'Balance Sheet'!L31/'Balance Sheet'!L$33</f>
        <v>6.0195586926376299E-3</v>
      </c>
      <c r="M52" s="17">
        <f>'Balance Sheet'!M31/'Balance Sheet'!M$33</f>
        <v>6.0135968099154051E-3</v>
      </c>
      <c r="N52" s="17">
        <f>'Balance Sheet'!N31/'Balance Sheet'!N$33</f>
        <v>6.0275127205470973E-3</v>
      </c>
      <c r="O52" s="17">
        <f>'Balance Sheet'!O31/'Balance Sheet'!O$33</f>
        <v>6.0592838492548248E-3</v>
      </c>
      <c r="P52" s="17">
        <f>'Balance Sheet'!P31/'Balance Sheet'!P$33</f>
        <v>6.1070664803880622E-3</v>
      </c>
      <c r="Q52" s="17">
        <f>'Balance Sheet'!Q31/'Balance Sheet'!Q$33</f>
        <v>6.1691957486310258E-3</v>
      </c>
    </row>
    <row r="53" spans="2:17">
      <c r="B53" t="s">
        <v>33</v>
      </c>
      <c r="C53" s="17">
        <f>'Balance Sheet'!C32/'Balance Sheet'!C$33</f>
        <v>7.4716048328134749E-2</v>
      </c>
      <c r="D53" s="17">
        <f>'Balance Sheet'!D32/'Balance Sheet'!D$33</f>
        <v>6.5642626755479161E-2</v>
      </c>
      <c r="E53" s="17">
        <f>'Balance Sheet'!E32/'Balance Sheet'!E$33</f>
        <v>6.8972151558024289E-2</v>
      </c>
      <c r="F53" s="17">
        <f>'Balance Sheet'!F32/'Balance Sheet'!F$33</f>
        <v>6.9452448084697374E-2</v>
      </c>
      <c r="G53" s="17">
        <f>'Balance Sheet'!G32/'Balance Sheet'!G$33</f>
        <v>6.2000460306957397E-2</v>
      </c>
      <c r="H53" s="17">
        <f>'Balance Sheet'!H32/'Balance Sheet'!H$33</f>
        <v>6.8229662871257576E-2</v>
      </c>
      <c r="I53" s="17">
        <f>'Balance Sheet'!I32/'Balance Sheet'!I$33</f>
        <v>6.8177568586186399E-2</v>
      </c>
      <c r="J53" s="17">
        <f>'Balance Sheet'!J32/'Balance Sheet'!J$33</f>
        <v>6.808368489131969E-2</v>
      </c>
      <c r="K53" s="17">
        <f>'Balance Sheet'!K32/'Balance Sheet'!K$33</f>
        <v>6.7955285242785324E-2</v>
      </c>
      <c r="L53" s="17">
        <f>'Balance Sheet'!L32/'Balance Sheet'!L$33</f>
        <v>6.7797845773241397E-2</v>
      </c>
      <c r="M53" s="17">
        <f>'Balance Sheet'!M32/'Balance Sheet'!M$33</f>
        <v>6.7615580952027229E-2</v>
      </c>
      <c r="N53" s="17">
        <f>'Balance Sheet'!N32/'Balance Sheet'!N$33</f>
        <v>6.7411810266855568E-2</v>
      </c>
      <c r="O53" s="17">
        <f>'Balance Sheet'!O32/'Balance Sheet'!O$33</f>
        <v>6.7189211468062615E-2</v>
      </c>
      <c r="P53" s="17">
        <f>'Balance Sheet'!P32/'Balance Sheet'!P$33</f>
        <v>6.6949996831023803E-2</v>
      </c>
      <c r="Q53" s="17">
        <f>'Balance Sheet'!Q32/'Balance Sheet'!Q$33</f>
        <v>6.6696036623623584E-2</v>
      </c>
    </row>
    <row r="54" spans="2:17">
      <c r="B54" s="7" t="s">
        <v>26</v>
      </c>
      <c r="C54" s="306">
        <f>'Balance Sheet'!C33/'Balance Sheet'!C$33</f>
        <v>1</v>
      </c>
      <c r="D54" s="306">
        <f>'Balance Sheet'!D33/'Balance Sheet'!D$33</f>
        <v>1</v>
      </c>
      <c r="E54" s="306">
        <f>'Balance Sheet'!E33/'Balance Sheet'!E$33</f>
        <v>1</v>
      </c>
      <c r="F54" s="306">
        <f>'Balance Sheet'!F33/'Balance Sheet'!F$33</f>
        <v>1</v>
      </c>
      <c r="G54" s="306">
        <f>'Balance Sheet'!G33/'Balance Sheet'!G$33</f>
        <v>1</v>
      </c>
      <c r="H54" s="306">
        <f>'Balance Sheet'!H33/'Balance Sheet'!H$33</f>
        <v>1</v>
      </c>
      <c r="I54" s="306">
        <f>'Balance Sheet'!I33/'Balance Sheet'!I$33</f>
        <v>1</v>
      </c>
      <c r="J54" s="306">
        <f>'Balance Sheet'!J33/'Balance Sheet'!J$33</f>
        <v>1</v>
      </c>
      <c r="K54" s="306">
        <f>'Balance Sheet'!K33/'Balance Sheet'!K$33</f>
        <v>1</v>
      </c>
      <c r="L54" s="306">
        <f>'Balance Sheet'!L33/'Balance Sheet'!L$33</f>
        <v>1</v>
      </c>
      <c r="M54" s="306">
        <f>'Balance Sheet'!M33/'Balance Sheet'!M$33</f>
        <v>1</v>
      </c>
      <c r="N54" s="306">
        <f>'Balance Sheet'!N33/'Balance Sheet'!N$33</f>
        <v>1</v>
      </c>
      <c r="O54" s="306">
        <f>'Balance Sheet'!O33/'Balance Sheet'!O$33</f>
        <v>1</v>
      </c>
      <c r="P54" s="306">
        <f>'Balance Sheet'!P33/'Balance Sheet'!P$33</f>
        <v>1</v>
      </c>
      <c r="Q54" s="306">
        <f>'Balance Sheet'!Q33/'Balance Sheet'!Q$33</f>
        <v>1</v>
      </c>
    </row>
    <row r="56" spans="2:17">
      <c r="B56" s="307"/>
      <c r="C56" s="307"/>
      <c r="D56" s="307"/>
      <c r="E56" s="307"/>
      <c r="F56" s="307"/>
      <c r="G56" s="307"/>
      <c r="H56" s="307"/>
      <c r="I56" s="307"/>
      <c r="J56" s="307"/>
      <c r="K56" s="307"/>
      <c r="L56" s="307"/>
      <c r="M56" s="307"/>
      <c r="N56" s="307"/>
      <c r="O56" s="307"/>
      <c r="P56" s="307"/>
      <c r="Q56" s="307"/>
    </row>
  </sheetData>
  <mergeCells count="1">
    <mergeCell ref="B7:B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AI112"/>
  <sheetViews>
    <sheetView showGridLines="0" topLeftCell="A86" workbookViewId="0">
      <selection activeCell="A107" sqref="A107"/>
    </sheetView>
  </sheetViews>
  <sheetFormatPr defaultRowHeight="15"/>
  <cols>
    <col min="1" max="1" width="1.85546875" customWidth="1"/>
    <col min="2" max="2" width="38" bestFit="1" customWidth="1"/>
    <col min="3" max="7" width="9.5703125" bestFit="1" customWidth="1"/>
    <col min="8" max="17" width="11.140625" bestFit="1" customWidth="1"/>
    <col min="18" max="18" width="12.42578125" style="4" customWidth="1"/>
    <col min="26" max="26" width="23.7109375" customWidth="1"/>
    <col min="28" max="28" width="20.140625" customWidth="1"/>
    <col min="34" max="34" width="10.42578125" customWidth="1"/>
    <col min="35" max="35" width="17.5703125" customWidth="1"/>
  </cols>
  <sheetData>
    <row r="1" spans="2:35" ht="16.5" thickTop="1">
      <c r="B1" s="248" t="s">
        <v>318</v>
      </c>
      <c r="R1"/>
    </row>
    <row r="2" spans="2:35">
      <c r="B2" s="10" t="s">
        <v>319</v>
      </c>
      <c r="R2"/>
    </row>
    <row r="3" spans="2:35">
      <c r="C3" s="64">
        <v>10000</v>
      </c>
      <c r="R3"/>
    </row>
    <row r="4" spans="2:35">
      <c r="R4"/>
    </row>
    <row r="5" spans="2:35">
      <c r="B5" s="148" t="s">
        <v>354</v>
      </c>
      <c r="C5" s="199"/>
      <c r="D5" s="199"/>
      <c r="E5" s="199"/>
      <c r="F5" s="199"/>
      <c r="G5" s="199"/>
      <c r="H5" s="199"/>
      <c r="I5" s="199"/>
      <c r="J5" s="199"/>
      <c r="K5" s="199"/>
      <c r="L5" s="199"/>
      <c r="M5" s="199"/>
      <c r="N5" s="199"/>
      <c r="O5" s="199"/>
      <c r="P5" s="199"/>
      <c r="Q5" s="199"/>
      <c r="R5"/>
    </row>
    <row r="6" spans="2:35">
      <c r="R6"/>
    </row>
    <row r="7" spans="2:35">
      <c r="B7" s="404" t="s">
        <v>2</v>
      </c>
      <c r="C7" s="266">
        <v>2021</v>
      </c>
      <c r="D7" s="266">
        <f>C7+1</f>
        <v>2022</v>
      </c>
      <c r="E7" s="266">
        <f t="shared" ref="E7:Q7" si="0">D7+1</f>
        <v>2023</v>
      </c>
      <c r="F7" s="266">
        <f t="shared" si="0"/>
        <v>2024</v>
      </c>
      <c r="G7" s="267">
        <f t="shared" si="0"/>
        <v>2025</v>
      </c>
      <c r="H7" s="268">
        <f t="shared" si="0"/>
        <v>2026</v>
      </c>
      <c r="I7" s="268">
        <f t="shared" si="0"/>
        <v>2027</v>
      </c>
      <c r="J7" s="268">
        <f t="shared" si="0"/>
        <v>2028</v>
      </c>
      <c r="K7" s="268">
        <f t="shared" si="0"/>
        <v>2029</v>
      </c>
      <c r="L7" s="268">
        <f t="shared" si="0"/>
        <v>2030</v>
      </c>
      <c r="M7" s="268">
        <f t="shared" si="0"/>
        <v>2031</v>
      </c>
      <c r="N7" s="268">
        <f t="shared" si="0"/>
        <v>2032</v>
      </c>
      <c r="O7" s="268">
        <f t="shared" si="0"/>
        <v>2033</v>
      </c>
      <c r="P7" s="268">
        <f t="shared" si="0"/>
        <v>2034</v>
      </c>
      <c r="Q7" s="269">
        <f t="shared" si="0"/>
        <v>2035</v>
      </c>
      <c r="R7" s="406" t="s">
        <v>351</v>
      </c>
      <c r="S7" s="407" t="s">
        <v>353</v>
      </c>
      <c r="T7" s="408"/>
      <c r="U7" s="408"/>
      <c r="V7" s="408"/>
      <c r="W7" s="408"/>
      <c r="X7" s="408"/>
      <c r="Y7" s="408"/>
      <c r="Z7" s="408"/>
      <c r="AA7" s="408"/>
      <c r="AB7" s="408"/>
      <c r="AC7" s="408"/>
      <c r="AD7" s="408"/>
      <c r="AE7" s="408"/>
      <c r="AF7" s="408"/>
      <c r="AG7" s="408"/>
      <c r="AH7" s="408"/>
      <c r="AI7" s="409"/>
    </row>
    <row r="8" spans="2:35">
      <c r="B8" s="405"/>
      <c r="C8" s="42" t="s">
        <v>98</v>
      </c>
      <c r="D8" s="42" t="s">
        <v>98</v>
      </c>
      <c r="E8" s="42" t="s">
        <v>98</v>
      </c>
      <c r="F8" s="42" t="s">
        <v>98</v>
      </c>
      <c r="G8" s="50" t="s">
        <v>98</v>
      </c>
      <c r="H8" s="44" t="s">
        <v>99</v>
      </c>
      <c r="I8" s="44" t="s">
        <v>99</v>
      </c>
      <c r="J8" s="44" t="s">
        <v>99</v>
      </c>
      <c r="K8" s="44" t="s">
        <v>99</v>
      </c>
      <c r="L8" s="44" t="s">
        <v>99</v>
      </c>
      <c r="M8" s="44" t="s">
        <v>99</v>
      </c>
      <c r="N8" s="44" t="s">
        <v>99</v>
      </c>
      <c r="O8" s="44" t="s">
        <v>99</v>
      </c>
      <c r="P8" s="44" t="s">
        <v>99</v>
      </c>
      <c r="Q8" s="270" t="s">
        <v>99</v>
      </c>
      <c r="R8" s="406"/>
      <c r="S8" s="410"/>
      <c r="T8" s="411"/>
      <c r="U8" s="411"/>
      <c r="V8" s="411"/>
      <c r="W8" s="411"/>
      <c r="X8" s="411"/>
      <c r="Y8" s="411"/>
      <c r="Z8" s="411"/>
      <c r="AA8" s="411"/>
      <c r="AB8" s="411"/>
      <c r="AC8" s="411"/>
      <c r="AD8" s="411"/>
      <c r="AE8" s="411"/>
      <c r="AF8" s="411"/>
      <c r="AG8" s="411"/>
      <c r="AH8" s="411"/>
      <c r="AI8" s="412"/>
    </row>
    <row r="9" spans="2:35">
      <c r="B9" s="240"/>
      <c r="C9" s="41"/>
      <c r="D9" s="41"/>
      <c r="E9" s="41"/>
      <c r="F9" s="41"/>
      <c r="G9" s="41"/>
      <c r="R9"/>
    </row>
    <row r="10" spans="2:35">
      <c r="B10" s="271" t="s">
        <v>323</v>
      </c>
      <c r="C10" s="43"/>
      <c r="D10" s="43"/>
      <c r="E10" s="43"/>
      <c r="F10" s="43"/>
      <c r="G10" s="43"/>
      <c r="H10" s="247"/>
      <c r="I10" s="247"/>
      <c r="J10" s="247"/>
      <c r="K10" s="247"/>
      <c r="L10" s="247"/>
      <c r="M10" s="247"/>
      <c r="N10" s="247"/>
      <c r="O10" s="247"/>
      <c r="P10" s="247"/>
      <c r="Q10" s="247"/>
      <c r="R10" s="247"/>
    </row>
    <row r="11" spans="2:35">
      <c r="B11" s="240"/>
      <c r="C11" s="41"/>
      <c r="D11" s="41"/>
      <c r="E11" s="41"/>
      <c r="F11" s="41"/>
      <c r="G11" s="41"/>
      <c r="R11"/>
    </row>
    <row r="12" spans="2:35">
      <c r="B12" t="s">
        <v>324</v>
      </c>
      <c r="C12" s="17"/>
      <c r="D12" s="17">
        <f>('Income Statement'!D10-'Income Statement'!D13)/AVERAGE(SUM('Balance Sheet'!C29:C30),SUM('Balance Sheet'!D29:D30))</f>
        <v>6.1204637060238445E-2</v>
      </c>
      <c r="E12" s="17">
        <f>('Income Statement'!E10-'Income Statement'!E13)/AVERAGE(SUM('Balance Sheet'!D29:D30),SUM('Balance Sheet'!E29:E30))</f>
        <v>6.3550622315080865E-2</v>
      </c>
      <c r="F12" s="17">
        <f>('Income Statement'!F10-'Income Statement'!F13)/AVERAGE(SUM('Balance Sheet'!E29:E30),SUM('Balance Sheet'!F29:F30))</f>
        <v>6.7046200870963024E-2</v>
      </c>
      <c r="G12" s="17">
        <f>('Income Statement'!G10-'Income Statement'!G13)/AVERAGE(SUM('Balance Sheet'!F29:F30),SUM('Balance Sheet'!G29:G30))</f>
        <v>6.5437119095663437E-2</v>
      </c>
      <c r="H12" s="17">
        <f>('Income Statement'!H10-'Income Statement'!H13)/AVERAGE(SUM('Balance Sheet'!G29:G30),SUM('Balance Sheet'!H29:H30))</f>
        <v>6.62623031978649E-2</v>
      </c>
      <c r="I12" s="17">
        <f>('Income Statement'!I10-'Income Statement'!I13)/AVERAGE(SUM('Balance Sheet'!H29:H30),SUM('Balance Sheet'!I29:I30))</f>
        <v>6.36108400738149E-2</v>
      </c>
      <c r="J12" s="17">
        <f>('Income Statement'!J10-'Income Statement'!J13)/AVERAGE(SUM('Balance Sheet'!I29:I30),SUM('Balance Sheet'!J29:J30))</f>
        <v>6.3250408783551149E-2</v>
      </c>
      <c r="K12" s="17">
        <f>('Income Statement'!K10-'Income Statement'!K13)/AVERAGE(SUM('Balance Sheet'!J29:J30),SUM('Balance Sheet'!K29:K30))</f>
        <v>6.2928382113662237E-2</v>
      </c>
      <c r="L12" s="17">
        <f>('Income Statement'!L10-'Income Statement'!L13)/AVERAGE(SUM('Balance Sheet'!K29:K30),SUM('Balance Sheet'!L29:L30))</f>
        <v>6.2641123440302038E-2</v>
      </c>
      <c r="M12" s="17">
        <f>('Income Statement'!M10-'Income Statement'!M13)/AVERAGE(SUM('Balance Sheet'!L29:L30),SUM('Balance Sheet'!M29:M30))</f>
        <v>6.2385242844232906E-2</v>
      </c>
      <c r="N12" s="17">
        <f>('Income Statement'!N10-'Income Statement'!N13)/AVERAGE(SUM('Balance Sheet'!M29:M30),SUM('Balance Sheet'!N29:N30))</f>
        <v>6.2157603665552799E-2</v>
      </c>
      <c r="O12" s="17">
        <f>('Income Statement'!O10-'Income Statement'!O13)/AVERAGE(SUM('Balance Sheet'!N29:N30),SUM('Balance Sheet'!O29:O30))</f>
        <v>6.1955321447469978E-2</v>
      </c>
      <c r="P12" s="17">
        <f>('Income Statement'!P10-'Income Statement'!P13)/AVERAGE(SUM('Balance Sheet'!O29:O30),SUM('Balance Sheet'!P29:P30))</f>
        <v>6.1775757487531877E-2</v>
      </c>
      <c r="Q12" s="17">
        <f>('Income Statement'!Q10-'Income Statement'!Q13)/AVERAGE(SUM('Balance Sheet'!P29:P30),SUM('Balance Sheet'!Q29:Q30))</f>
        <v>6.1616508694213486E-2</v>
      </c>
      <c r="R12" s="1"/>
      <c r="S12" s="401" t="s">
        <v>422</v>
      </c>
      <c r="T12" s="402"/>
      <c r="U12" s="402"/>
      <c r="V12" s="402"/>
      <c r="W12" s="402"/>
      <c r="X12" s="402"/>
      <c r="Y12" s="402"/>
      <c r="Z12" s="402"/>
      <c r="AA12" s="402"/>
      <c r="AB12" s="402"/>
      <c r="AC12" s="402"/>
      <c r="AD12" s="402"/>
      <c r="AE12" s="402"/>
      <c r="AF12" s="402"/>
      <c r="AG12" s="402"/>
      <c r="AH12" s="402"/>
      <c r="AI12" s="403"/>
    </row>
    <row r="13" spans="2:35">
      <c r="C13" s="17"/>
      <c r="D13" s="17"/>
      <c r="E13" s="17"/>
      <c r="F13" s="17"/>
      <c r="G13" s="17"/>
      <c r="H13" s="17"/>
      <c r="I13" s="17"/>
      <c r="J13" s="17"/>
      <c r="K13" s="17"/>
      <c r="L13" s="17"/>
      <c r="M13" s="17"/>
      <c r="N13" s="17"/>
      <c r="O13" s="17"/>
      <c r="P13" s="17"/>
      <c r="Q13" s="17"/>
      <c r="R13" s="1"/>
      <c r="S13" s="401"/>
      <c r="T13" s="402"/>
      <c r="U13" s="402"/>
      <c r="V13" s="402"/>
      <c r="W13" s="402"/>
      <c r="X13" s="402"/>
      <c r="Y13" s="402"/>
      <c r="Z13" s="402"/>
      <c r="AA13" s="402"/>
      <c r="AB13" s="402"/>
      <c r="AC13" s="402"/>
      <c r="AD13" s="402"/>
      <c r="AE13" s="402"/>
      <c r="AF13" s="402"/>
      <c r="AG13" s="402"/>
      <c r="AH13" s="402"/>
      <c r="AI13" s="403"/>
    </row>
    <row r="14" spans="2:35">
      <c r="C14" s="17"/>
      <c r="D14" s="17"/>
      <c r="E14" s="17"/>
      <c r="F14" s="17"/>
      <c r="G14" s="17"/>
      <c r="H14" s="17"/>
      <c r="I14" s="17"/>
      <c r="J14" s="17"/>
      <c r="K14" s="17"/>
      <c r="L14" s="17"/>
      <c r="M14" s="17"/>
      <c r="N14" s="17"/>
      <c r="O14" s="17"/>
      <c r="P14" s="17"/>
      <c r="Q14" s="17"/>
      <c r="R14" s="1"/>
      <c r="S14" s="401"/>
      <c r="T14" s="402"/>
      <c r="U14" s="402"/>
      <c r="V14" s="402"/>
      <c r="W14" s="402"/>
      <c r="X14" s="402"/>
      <c r="Y14" s="402"/>
      <c r="Z14" s="402"/>
      <c r="AA14" s="402"/>
      <c r="AB14" s="402"/>
      <c r="AC14" s="402"/>
      <c r="AD14" s="402"/>
      <c r="AE14" s="402"/>
      <c r="AF14" s="402"/>
      <c r="AG14" s="402"/>
      <c r="AH14" s="402"/>
      <c r="AI14" s="403"/>
    </row>
    <row r="15" spans="2:35">
      <c r="C15" s="17"/>
      <c r="D15" s="17"/>
      <c r="E15" s="17"/>
      <c r="F15" s="17"/>
      <c r="G15" s="17"/>
      <c r="H15" s="17"/>
      <c r="I15" s="17"/>
      <c r="J15" s="17"/>
      <c r="K15" s="17"/>
      <c r="L15" s="17"/>
      <c r="M15" s="17"/>
      <c r="N15" s="17"/>
      <c r="O15" s="17"/>
      <c r="P15" s="17"/>
      <c r="Q15" s="17"/>
      <c r="R15" s="1"/>
      <c r="S15" s="401"/>
      <c r="T15" s="402"/>
      <c r="U15" s="402"/>
      <c r="V15" s="402"/>
      <c r="W15" s="402"/>
      <c r="X15" s="402"/>
      <c r="Y15" s="402"/>
      <c r="Z15" s="402"/>
      <c r="AA15" s="402"/>
      <c r="AB15" s="402"/>
      <c r="AC15" s="402"/>
      <c r="AD15" s="402"/>
      <c r="AE15" s="402"/>
      <c r="AF15" s="402"/>
      <c r="AG15" s="402"/>
      <c r="AH15" s="402"/>
      <c r="AI15" s="403"/>
    </row>
    <row r="16" spans="2:35">
      <c r="B16" t="s">
        <v>342</v>
      </c>
      <c r="C16" s="17">
        <f>'Income Statement'!C18/'Income Statement'!C10</f>
        <v>0.11615778879653137</v>
      </c>
      <c r="D16" s="17">
        <f>'Income Statement'!D18/'Income Statement'!D10</f>
        <v>0.15603195176076531</v>
      </c>
      <c r="E16" s="17">
        <f>'Income Statement'!E18/'Income Statement'!E10</f>
        <v>0.21978155547330949</v>
      </c>
      <c r="F16" s="17">
        <f>'Income Statement'!F18/'Income Statement'!F10</f>
        <v>0.23497962517857987</v>
      </c>
      <c r="G16" s="17">
        <f>'Income Statement'!G18/'Income Statement'!G10</f>
        <v>0.23891895530234525</v>
      </c>
      <c r="H16" s="17">
        <f>'Income Statement'!H18/'Income Statement'!H10</f>
        <v>0.19317397530230629</v>
      </c>
      <c r="I16" s="17">
        <f>'Income Statement'!I18/'Income Statement'!I10</f>
        <v>0.19317397530230629</v>
      </c>
      <c r="J16" s="17">
        <f>'Income Statement'!J18/'Income Statement'!J10</f>
        <v>0.19317397530230634</v>
      </c>
      <c r="K16" s="17">
        <f>'Income Statement'!K18/'Income Statement'!K10</f>
        <v>0.19317397530230637</v>
      </c>
      <c r="L16" s="17">
        <f>'Income Statement'!L18/'Income Statement'!L10</f>
        <v>0.19317397530230632</v>
      </c>
      <c r="M16" s="17">
        <f>'Income Statement'!M18/'Income Statement'!M10</f>
        <v>0.19317397530230643</v>
      </c>
      <c r="N16" s="17">
        <f>'Income Statement'!N18/'Income Statement'!N10</f>
        <v>0.19317397530230629</v>
      </c>
      <c r="O16" s="17">
        <f>'Income Statement'!O18/'Income Statement'!O10</f>
        <v>0.19317397530230629</v>
      </c>
      <c r="P16" s="17">
        <f>'Income Statement'!P18/'Income Statement'!P10</f>
        <v>0.19317397530230643</v>
      </c>
      <c r="Q16" s="17">
        <f>'Income Statement'!Q18/'Income Statement'!Q10</f>
        <v>0.19317397530230637</v>
      </c>
      <c r="S16" s="401" t="s">
        <v>423</v>
      </c>
      <c r="T16" s="402"/>
      <c r="U16" s="402"/>
      <c r="V16" s="402"/>
      <c r="W16" s="402"/>
      <c r="X16" s="402"/>
      <c r="Y16" s="402"/>
      <c r="Z16" s="402"/>
      <c r="AA16" s="402"/>
      <c r="AB16" s="402"/>
      <c r="AC16" s="402"/>
      <c r="AD16" s="402"/>
      <c r="AE16" s="402"/>
      <c r="AF16" s="402"/>
      <c r="AG16" s="402"/>
      <c r="AH16" s="402"/>
      <c r="AI16" s="403"/>
    </row>
    <row r="17" spans="2:35">
      <c r="C17" s="17"/>
      <c r="D17" s="17"/>
      <c r="E17" s="17"/>
      <c r="F17" s="17"/>
      <c r="G17" s="17"/>
      <c r="H17" s="17"/>
      <c r="I17" s="17"/>
      <c r="J17" s="17"/>
      <c r="K17" s="17"/>
      <c r="L17" s="17"/>
      <c r="M17" s="17"/>
      <c r="N17" s="17"/>
      <c r="O17" s="17"/>
      <c r="P17" s="17"/>
      <c r="Q17" s="17"/>
      <c r="S17" s="401"/>
      <c r="T17" s="402"/>
      <c r="U17" s="402"/>
      <c r="V17" s="402"/>
      <c r="W17" s="402"/>
      <c r="X17" s="402"/>
      <c r="Y17" s="402"/>
      <c r="Z17" s="402"/>
      <c r="AA17" s="402"/>
      <c r="AB17" s="402"/>
      <c r="AC17" s="402"/>
      <c r="AD17" s="402"/>
      <c r="AE17" s="402"/>
      <c r="AF17" s="402"/>
      <c r="AG17" s="402"/>
      <c r="AH17" s="402"/>
      <c r="AI17" s="403"/>
    </row>
    <row r="18" spans="2:35">
      <c r="C18" s="17"/>
      <c r="D18" s="17"/>
      <c r="E18" s="17"/>
      <c r="F18" s="17"/>
      <c r="G18" s="17"/>
      <c r="H18" s="17"/>
      <c r="I18" s="17"/>
      <c r="J18" s="17"/>
      <c r="K18" s="17"/>
      <c r="L18" s="17"/>
      <c r="M18" s="17"/>
      <c r="N18" s="17"/>
      <c r="O18" s="17"/>
      <c r="P18" s="17"/>
      <c r="Q18" s="17"/>
      <c r="S18" s="401"/>
      <c r="T18" s="402"/>
      <c r="U18" s="402"/>
      <c r="V18" s="402"/>
      <c r="W18" s="402"/>
      <c r="X18" s="402"/>
      <c r="Y18" s="402"/>
      <c r="Z18" s="402"/>
      <c r="AA18" s="402"/>
      <c r="AB18" s="402"/>
      <c r="AC18" s="402"/>
      <c r="AD18" s="402"/>
      <c r="AE18" s="402"/>
      <c r="AF18" s="402"/>
      <c r="AG18" s="402"/>
      <c r="AH18" s="402"/>
      <c r="AI18" s="403"/>
    </row>
    <row r="19" spans="2:35">
      <c r="C19" s="17"/>
      <c r="D19" s="17"/>
      <c r="E19" s="17"/>
      <c r="F19" s="17"/>
      <c r="G19" s="17"/>
      <c r="H19" s="17"/>
      <c r="I19" s="17"/>
      <c r="J19" s="17"/>
      <c r="K19" s="17"/>
      <c r="L19" s="17"/>
      <c r="M19" s="17"/>
      <c r="N19" s="17"/>
      <c r="O19" s="17"/>
      <c r="P19" s="17"/>
      <c r="Q19" s="17"/>
      <c r="S19" s="401"/>
      <c r="T19" s="402"/>
      <c r="U19" s="402"/>
      <c r="V19" s="402"/>
      <c r="W19" s="402"/>
      <c r="X19" s="402"/>
      <c r="Y19" s="402"/>
      <c r="Z19" s="402"/>
      <c r="AA19" s="402"/>
      <c r="AB19" s="402"/>
      <c r="AC19" s="402"/>
      <c r="AD19" s="402"/>
      <c r="AE19" s="402"/>
      <c r="AF19" s="402"/>
      <c r="AG19" s="402"/>
      <c r="AH19" s="402"/>
      <c r="AI19" s="403"/>
    </row>
    <row r="20" spans="2:35">
      <c r="B20" t="s">
        <v>343</v>
      </c>
      <c r="C20" s="17">
        <f>'Income Statement'!C22/'Income Statement'!C10</f>
        <v>0.10652711480497382</v>
      </c>
      <c r="D20" s="17">
        <f>'Income Statement'!D22/'Income Statement'!D10</f>
        <v>0.14696189260102821</v>
      </c>
      <c r="E20" s="17">
        <f>'Income Statement'!E22/'Income Statement'!E10</f>
        <v>0.2119746918301515</v>
      </c>
      <c r="F20" s="17">
        <f>'Income Statement'!F22/'Income Statement'!F10</f>
        <v>0.22850588323140353</v>
      </c>
      <c r="G20" s="17">
        <f>'Income Statement'!G22/'Income Statement'!G10</f>
        <v>0.23290174431174576</v>
      </c>
      <c r="H20" s="17">
        <f>'Income Statement'!H22/'Income Statement'!H10</f>
        <v>0.1885633638059353</v>
      </c>
      <c r="I20" s="17">
        <f>'Income Statement'!I22/'Income Statement'!I10</f>
        <v>0.18900651659181</v>
      </c>
      <c r="J20" s="17">
        <f>'Income Statement'!J22/'Income Statement'!J10</f>
        <v>0.18936174283889781</v>
      </c>
      <c r="K20" s="17">
        <f>'Income Statement'!K22/'Income Statement'!K10</f>
        <v>0.18964923853523002</v>
      </c>
      <c r="L20" s="17">
        <f>'Income Statement'!L22/'Income Statement'!L10</f>
        <v>0.18988386381655897</v>
      </c>
      <c r="M20" s="17">
        <f>'Income Statement'!M22/'Income Statement'!M10</f>
        <v>0.190076712420815</v>
      </c>
      <c r="N20" s="17">
        <f>'Income Statement'!N22/'Income Statement'!N10</f>
        <v>0.19023617928316566</v>
      </c>
      <c r="O20" s="17">
        <f>'Income Statement'!O22/'Income Statement'!O10</f>
        <v>0.19036869803511069</v>
      </c>
      <c r="P20" s="17">
        <f>'Income Statement'!P22/'Income Statement'!P10</f>
        <v>0.1904792579169266</v>
      </c>
      <c r="Q20" s="17">
        <f>'Income Statement'!Q22/'Income Statement'!Q10</f>
        <v>0.19057177106413065</v>
      </c>
      <c r="S20" s="401" t="s">
        <v>424</v>
      </c>
      <c r="T20" s="402"/>
      <c r="U20" s="402"/>
      <c r="V20" s="402"/>
      <c r="W20" s="402"/>
      <c r="X20" s="402"/>
      <c r="Y20" s="402"/>
      <c r="Z20" s="402"/>
      <c r="AA20" s="402"/>
      <c r="AB20" s="402"/>
      <c r="AC20" s="402"/>
      <c r="AD20" s="402"/>
      <c r="AE20" s="402"/>
      <c r="AF20" s="402"/>
      <c r="AG20" s="402"/>
      <c r="AH20" s="402"/>
      <c r="AI20" s="403"/>
    </row>
    <row r="21" spans="2:35">
      <c r="C21" s="17"/>
      <c r="D21" s="17"/>
      <c r="E21" s="17"/>
      <c r="F21" s="17"/>
      <c r="G21" s="17"/>
      <c r="H21" s="17"/>
      <c r="I21" s="17"/>
      <c r="J21" s="17"/>
      <c r="K21" s="17"/>
      <c r="L21" s="17"/>
      <c r="M21" s="17"/>
      <c r="N21" s="17"/>
      <c r="O21" s="17"/>
      <c r="P21" s="17"/>
      <c r="Q21" s="17"/>
      <c r="S21" s="401"/>
      <c r="T21" s="402"/>
      <c r="U21" s="402"/>
      <c r="V21" s="402"/>
      <c r="W21" s="402"/>
      <c r="X21" s="402"/>
      <c r="Y21" s="402"/>
      <c r="Z21" s="402"/>
      <c r="AA21" s="402"/>
      <c r="AB21" s="402"/>
      <c r="AC21" s="402"/>
      <c r="AD21" s="402"/>
      <c r="AE21" s="402"/>
      <c r="AF21" s="402"/>
      <c r="AG21" s="402"/>
      <c r="AH21" s="402"/>
      <c r="AI21" s="403"/>
    </row>
    <row r="22" spans="2:35">
      <c r="C22" s="17"/>
      <c r="D22" s="17"/>
      <c r="E22" s="17"/>
      <c r="F22" s="17"/>
      <c r="G22" s="17"/>
      <c r="H22" s="17"/>
      <c r="I22" s="17"/>
      <c r="J22" s="17"/>
      <c r="K22" s="17"/>
      <c r="L22" s="17"/>
      <c r="M22" s="17"/>
      <c r="N22" s="17"/>
      <c r="O22" s="17"/>
      <c r="P22" s="17"/>
      <c r="Q22" s="17"/>
      <c r="S22" s="401"/>
      <c r="T22" s="402"/>
      <c r="U22" s="402"/>
      <c r="V22" s="402"/>
      <c r="W22" s="402"/>
      <c r="X22" s="402"/>
      <c r="Y22" s="402"/>
      <c r="Z22" s="402"/>
      <c r="AA22" s="402"/>
      <c r="AB22" s="402"/>
      <c r="AC22" s="402"/>
      <c r="AD22" s="402"/>
      <c r="AE22" s="402"/>
      <c r="AF22" s="402"/>
      <c r="AG22" s="402"/>
      <c r="AH22" s="402"/>
      <c r="AI22" s="403"/>
    </row>
    <row r="23" spans="2:35">
      <c r="C23" s="17"/>
      <c r="D23" s="17"/>
      <c r="E23" s="17"/>
      <c r="F23" s="17"/>
      <c r="G23" s="17"/>
      <c r="H23" s="17"/>
      <c r="I23" s="17"/>
      <c r="J23" s="17"/>
      <c r="K23" s="17"/>
      <c r="L23" s="17"/>
      <c r="M23" s="17"/>
      <c r="N23" s="17"/>
      <c r="O23" s="17"/>
      <c r="P23" s="17"/>
      <c r="Q23" s="17"/>
      <c r="S23" s="401"/>
      <c r="T23" s="402"/>
      <c r="U23" s="402"/>
      <c r="V23" s="402"/>
      <c r="W23" s="402"/>
      <c r="X23" s="402"/>
      <c r="Y23" s="402"/>
      <c r="Z23" s="402"/>
      <c r="AA23" s="402"/>
      <c r="AB23" s="402"/>
      <c r="AC23" s="402"/>
      <c r="AD23" s="402"/>
      <c r="AE23" s="402"/>
      <c r="AF23" s="402"/>
      <c r="AG23" s="402"/>
      <c r="AH23" s="402"/>
      <c r="AI23" s="403"/>
    </row>
    <row r="24" spans="2:35">
      <c r="B24" t="s">
        <v>325</v>
      </c>
      <c r="C24" s="17">
        <f>('Income Statement'!C28+'Income Statement'!C15)/'Income Statement'!C10</f>
        <v>0.20979862529246895</v>
      </c>
      <c r="D24" s="17">
        <f>('Income Statement'!D28+'Income Statement'!D15)/'Income Statement'!D10</f>
        <v>0.20752559158704495</v>
      </c>
      <c r="E24" s="17">
        <f>('Income Statement'!E28+'Income Statement'!E15)/'Income Statement'!E10</f>
        <v>0.23236456043610812</v>
      </c>
      <c r="F24" s="17">
        <f>('Income Statement'!F28+'Income Statement'!F15)/'Income Statement'!F10</f>
        <v>0.21723031029810291</v>
      </c>
      <c r="G24" s="17">
        <f>('Income Statement'!G28+'Income Statement'!G15)/'Income Statement'!G10</f>
        <v>0.23838649934668055</v>
      </c>
      <c r="H24" s="17">
        <f>('Income Statement'!H28+'Income Statement'!H15)/'Income Statement'!H10</f>
        <v>0.22765506030609706</v>
      </c>
      <c r="I24" s="17">
        <f>('Income Statement'!I28+'Income Statement'!I15)/'Income Statement'!I10</f>
        <v>0.22462149024510464</v>
      </c>
      <c r="J24" s="17">
        <f>('Income Statement'!J28+'Income Statement'!J15)/'Income Statement'!J10</f>
        <v>0.22469233549493714</v>
      </c>
      <c r="K24" s="17">
        <f>('Income Statement'!K28+'Income Statement'!K15)/'Income Statement'!K10</f>
        <v>0.22472299602236018</v>
      </c>
      <c r="L24" s="17">
        <f>('Income Statement'!L28+'Income Statement'!L15)/'Income Statement'!L10</f>
        <v>0.22472628723280874</v>
      </c>
      <c r="M24" s="17">
        <f>('Income Statement'!M28+'Income Statement'!M15)/'Income Statement'!M10</f>
        <v>0.2247112769967903</v>
      </c>
      <c r="N24" s="17">
        <f>('Income Statement'!N28+'Income Statement'!N15)/'Income Statement'!N10</f>
        <v>0.22468438783720091</v>
      </c>
      <c r="O24" s="17">
        <f>('Income Statement'!O28+'Income Statement'!O15)/'Income Statement'!O10</f>
        <v>0.22465015983695455</v>
      </c>
      <c r="P24" s="17">
        <f>('Income Statement'!P28+'Income Statement'!P15)/'Income Statement'!P10</f>
        <v>0.22461178531385056</v>
      </c>
      <c r="Q24" s="17">
        <f>('Income Statement'!Q28+'Income Statement'!Q15)/'Income Statement'!Q10</f>
        <v>0.2245714876165644</v>
      </c>
      <c r="S24" s="401" t="s">
        <v>425</v>
      </c>
      <c r="T24" s="402"/>
      <c r="U24" s="402"/>
      <c r="V24" s="402"/>
      <c r="W24" s="402"/>
      <c r="X24" s="402"/>
      <c r="Y24" s="402"/>
      <c r="Z24" s="402"/>
      <c r="AA24" s="402"/>
      <c r="AB24" s="402"/>
      <c r="AC24" s="402"/>
      <c r="AD24" s="402"/>
      <c r="AE24" s="402"/>
      <c r="AF24" s="402"/>
      <c r="AG24" s="402"/>
      <c r="AH24" s="402"/>
      <c r="AI24" s="403"/>
    </row>
    <row r="25" spans="2:35">
      <c r="C25" s="17"/>
      <c r="D25" s="17"/>
      <c r="E25" s="17"/>
      <c r="F25" s="17"/>
      <c r="G25" s="17"/>
      <c r="H25" s="17"/>
      <c r="I25" s="17"/>
      <c r="J25" s="17"/>
      <c r="K25" s="17"/>
      <c r="L25" s="17"/>
      <c r="M25" s="17"/>
      <c r="N25" s="17"/>
      <c r="O25" s="17"/>
      <c r="P25" s="17"/>
      <c r="Q25" s="17"/>
      <c r="S25" s="401"/>
      <c r="T25" s="402"/>
      <c r="U25" s="402"/>
      <c r="V25" s="402"/>
      <c r="W25" s="402"/>
      <c r="X25" s="402"/>
      <c r="Y25" s="402"/>
      <c r="Z25" s="402"/>
      <c r="AA25" s="402"/>
      <c r="AB25" s="402"/>
      <c r="AC25" s="402"/>
      <c r="AD25" s="402"/>
      <c r="AE25" s="402"/>
      <c r="AF25" s="402"/>
      <c r="AG25" s="402"/>
      <c r="AH25" s="402"/>
      <c r="AI25" s="403"/>
    </row>
    <row r="26" spans="2:35">
      <c r="C26" s="17"/>
      <c r="D26" s="17"/>
      <c r="E26" s="17"/>
      <c r="F26" s="17"/>
      <c r="G26" s="17"/>
      <c r="H26" s="17"/>
      <c r="I26" s="17"/>
      <c r="J26" s="17"/>
      <c r="K26" s="17"/>
      <c r="L26" s="17"/>
      <c r="M26" s="17"/>
      <c r="N26" s="17"/>
      <c r="O26" s="17"/>
      <c r="P26" s="17"/>
      <c r="Q26" s="17"/>
      <c r="S26" s="401"/>
      <c r="T26" s="402"/>
      <c r="U26" s="402"/>
      <c r="V26" s="402"/>
      <c r="W26" s="402"/>
      <c r="X26" s="402"/>
      <c r="Y26" s="402"/>
      <c r="Z26" s="402"/>
      <c r="AA26" s="402"/>
      <c r="AB26" s="402"/>
      <c r="AC26" s="402"/>
      <c r="AD26" s="402"/>
      <c r="AE26" s="402"/>
      <c r="AF26" s="402"/>
      <c r="AG26" s="402"/>
      <c r="AH26" s="402"/>
      <c r="AI26" s="403"/>
    </row>
    <row r="27" spans="2:35">
      <c r="C27" s="17"/>
      <c r="D27" s="17"/>
      <c r="E27" s="17"/>
      <c r="F27" s="17"/>
      <c r="G27" s="17"/>
      <c r="H27" s="17"/>
      <c r="I27" s="17"/>
      <c r="J27" s="17"/>
      <c r="K27" s="17"/>
      <c r="L27" s="17"/>
      <c r="M27" s="17"/>
      <c r="N27" s="17"/>
      <c r="O27" s="17"/>
      <c r="P27" s="17"/>
      <c r="Q27" s="17"/>
      <c r="S27" s="401"/>
      <c r="T27" s="402"/>
      <c r="U27" s="402"/>
      <c r="V27" s="402"/>
      <c r="W27" s="402"/>
      <c r="X27" s="402"/>
      <c r="Y27" s="402"/>
      <c r="Z27" s="402"/>
      <c r="AA27" s="402"/>
      <c r="AB27" s="402"/>
      <c r="AC27" s="402"/>
      <c r="AD27" s="402"/>
      <c r="AE27" s="402"/>
      <c r="AF27" s="402"/>
      <c r="AG27" s="402"/>
      <c r="AH27" s="402"/>
      <c r="AI27" s="403"/>
    </row>
    <row r="28" spans="2:35">
      <c r="B28" t="s">
        <v>326</v>
      </c>
      <c r="C28" s="17">
        <f>'Income Statement'!C28/'Income Statement'!C10</f>
        <v>6.805702643456997E-2</v>
      </c>
      <c r="D28" s="17">
        <f>'Income Statement'!D28/'Income Statement'!D10</f>
        <v>0.10909365735392508</v>
      </c>
      <c r="E28" s="17">
        <f>'Income Statement'!E28/'Income Statement'!E10</f>
        <v>0.15415138268746054</v>
      </c>
      <c r="F28" s="17">
        <f>'Income Statement'!F28/'Income Statement'!F10</f>
        <v>0.16541723095882852</v>
      </c>
      <c r="G28" s="17">
        <f>'Income Statement'!G28/'Income Statement'!G10</f>
        <v>0.16782076381855179</v>
      </c>
      <c r="H28" s="17">
        <f>'Income Statement'!H28/'Income Statement'!H10</f>
        <v>0.13950195516468311</v>
      </c>
      <c r="I28" s="17">
        <f>'Income Statement'!I28/'Income Statement'!I10</f>
        <v>0.13646838510369072</v>
      </c>
      <c r="J28" s="17">
        <f>'Income Statement'!J28/'Income Statement'!J10</f>
        <v>0.13653923035352319</v>
      </c>
      <c r="K28" s="17">
        <f>'Income Statement'!K28/'Income Statement'!K10</f>
        <v>0.13656989088094623</v>
      </c>
      <c r="L28" s="17">
        <f>'Income Statement'!L28/'Income Statement'!L10</f>
        <v>0.13657318209139482</v>
      </c>
      <c r="M28" s="17">
        <f>'Income Statement'!M28/'Income Statement'!M10</f>
        <v>0.13655817185537636</v>
      </c>
      <c r="N28" s="17">
        <f>'Income Statement'!N28/'Income Statement'!N10</f>
        <v>0.13653128269578699</v>
      </c>
      <c r="O28" s="17">
        <f>'Income Statement'!O28/'Income Statement'!O10</f>
        <v>0.1364970546955406</v>
      </c>
      <c r="P28" s="17">
        <f>'Income Statement'!P28/'Income Statement'!P10</f>
        <v>0.13645868017243662</v>
      </c>
      <c r="Q28" s="17">
        <f>'Income Statement'!Q28/'Income Statement'!Q10</f>
        <v>0.13641838247515045</v>
      </c>
      <c r="S28" s="401" t="s">
        <v>352</v>
      </c>
      <c r="T28" s="402"/>
      <c r="U28" s="402"/>
      <c r="V28" s="402"/>
      <c r="W28" s="402"/>
      <c r="X28" s="402"/>
      <c r="Y28" s="402"/>
      <c r="Z28" s="402"/>
      <c r="AA28" s="402"/>
      <c r="AB28" s="402"/>
      <c r="AC28" s="402"/>
      <c r="AD28" s="402"/>
      <c r="AE28" s="402"/>
      <c r="AF28" s="402"/>
      <c r="AG28" s="402"/>
      <c r="AH28" s="402"/>
      <c r="AI28" s="403"/>
    </row>
    <row r="29" spans="2:35">
      <c r="C29" s="17"/>
      <c r="D29" s="17"/>
      <c r="E29" s="17"/>
      <c r="F29" s="17"/>
      <c r="G29" s="17"/>
      <c r="H29" s="17"/>
      <c r="I29" s="17"/>
      <c r="J29" s="17"/>
      <c r="K29" s="17"/>
      <c r="L29" s="17"/>
      <c r="M29" s="17"/>
      <c r="N29" s="17"/>
      <c r="O29" s="17"/>
      <c r="P29" s="17"/>
      <c r="Q29" s="17"/>
      <c r="S29" s="401"/>
      <c r="T29" s="402"/>
      <c r="U29" s="402"/>
      <c r="V29" s="402"/>
      <c r="W29" s="402"/>
      <c r="X29" s="402"/>
      <c r="Y29" s="402"/>
      <c r="Z29" s="402"/>
      <c r="AA29" s="402"/>
      <c r="AB29" s="402"/>
      <c r="AC29" s="402"/>
      <c r="AD29" s="402"/>
      <c r="AE29" s="402"/>
      <c r="AF29" s="402"/>
      <c r="AG29" s="402"/>
      <c r="AH29" s="402"/>
      <c r="AI29" s="403"/>
    </row>
    <row r="30" spans="2:35">
      <c r="C30" s="17"/>
      <c r="D30" s="17"/>
      <c r="E30" s="17"/>
      <c r="F30" s="17"/>
      <c r="G30" s="17"/>
      <c r="H30" s="17"/>
      <c r="I30" s="17"/>
      <c r="J30" s="17"/>
      <c r="K30" s="17"/>
      <c r="L30" s="17"/>
      <c r="M30" s="17"/>
      <c r="N30" s="17"/>
      <c r="O30" s="17"/>
      <c r="P30" s="17"/>
      <c r="Q30" s="17"/>
      <c r="S30" s="401"/>
      <c r="T30" s="402"/>
      <c r="U30" s="402"/>
      <c r="V30" s="402"/>
      <c r="W30" s="402"/>
      <c r="X30" s="402"/>
      <c r="Y30" s="402"/>
      <c r="Z30" s="402"/>
      <c r="AA30" s="402"/>
      <c r="AB30" s="402"/>
      <c r="AC30" s="402"/>
      <c r="AD30" s="402"/>
      <c r="AE30" s="402"/>
      <c r="AF30" s="402"/>
      <c r="AG30" s="402"/>
      <c r="AH30" s="402"/>
      <c r="AI30" s="403"/>
    </row>
    <row r="31" spans="2:35">
      <c r="C31" s="17"/>
      <c r="D31" s="17"/>
      <c r="E31" s="17"/>
      <c r="F31" s="17"/>
      <c r="G31" s="17"/>
      <c r="H31" s="17"/>
      <c r="I31" s="17"/>
      <c r="J31" s="17"/>
      <c r="K31" s="17"/>
      <c r="L31" s="17"/>
      <c r="M31" s="17"/>
      <c r="N31" s="17"/>
      <c r="O31" s="17"/>
      <c r="P31" s="17"/>
      <c r="Q31" s="17"/>
      <c r="S31" s="401"/>
      <c r="T31" s="402"/>
      <c r="U31" s="402"/>
      <c r="V31" s="402"/>
      <c r="W31" s="402"/>
      <c r="X31" s="402"/>
      <c r="Y31" s="402"/>
      <c r="Z31" s="402"/>
      <c r="AA31" s="402"/>
      <c r="AB31" s="402"/>
      <c r="AC31" s="402"/>
      <c r="AD31" s="402"/>
      <c r="AE31" s="402"/>
      <c r="AF31" s="402"/>
      <c r="AG31" s="402"/>
      <c r="AH31" s="402"/>
      <c r="AI31" s="403"/>
    </row>
    <row r="32" spans="2:35">
      <c r="B32" t="s">
        <v>327</v>
      </c>
      <c r="C32" s="16">
        <f>Cost_BuildUp!C22</f>
        <v>0.14564349043016364</v>
      </c>
      <c r="D32" s="16">
        <f>Cost_BuildUp!D22</f>
        <v>0.20325838651216141</v>
      </c>
      <c r="E32" s="16">
        <f>Cost_BuildUp!E22</f>
        <v>0.23740266303896887</v>
      </c>
      <c r="F32" s="16">
        <f>Cost_BuildUp!F22</f>
        <v>0.31791901708417086</v>
      </c>
      <c r="G32" s="16">
        <f>Cost_BuildUp!G22</f>
        <v>0.30327525446987991</v>
      </c>
      <c r="H32" s="16">
        <f>Cost_BuildUp!H22</f>
        <v>0.3</v>
      </c>
      <c r="I32" s="16">
        <f>Cost_BuildUp!I22</f>
        <v>0.3</v>
      </c>
      <c r="J32" s="16">
        <f>Cost_BuildUp!J22</f>
        <v>0.3</v>
      </c>
      <c r="K32" s="16">
        <f>Cost_BuildUp!K22</f>
        <v>0.3</v>
      </c>
      <c r="L32" s="16">
        <f>Cost_BuildUp!L22</f>
        <v>0.3</v>
      </c>
      <c r="M32" s="16">
        <f>Cost_BuildUp!M22</f>
        <v>0.3</v>
      </c>
      <c r="N32" s="16">
        <f>Cost_BuildUp!N22</f>
        <v>0.3</v>
      </c>
      <c r="O32" s="16">
        <f>Cost_BuildUp!O22</f>
        <v>0.3</v>
      </c>
      <c r="P32" s="16">
        <f>Cost_BuildUp!P22</f>
        <v>0.3</v>
      </c>
      <c r="Q32" s="16">
        <f>Cost_BuildUp!Q22</f>
        <v>0.3</v>
      </c>
      <c r="S32" s="401" t="s">
        <v>426</v>
      </c>
      <c r="T32" s="402"/>
      <c r="U32" s="402"/>
      <c r="V32" s="402"/>
      <c r="W32" s="402"/>
      <c r="X32" s="402"/>
      <c r="Y32" s="402"/>
      <c r="Z32" s="402"/>
      <c r="AA32" s="402"/>
      <c r="AB32" s="402"/>
      <c r="AC32" s="402"/>
      <c r="AD32" s="402"/>
      <c r="AE32" s="402"/>
      <c r="AF32" s="402"/>
      <c r="AG32" s="402"/>
      <c r="AH32" s="402"/>
      <c r="AI32" s="403"/>
    </row>
    <row r="33" spans="2:35">
      <c r="C33" s="16"/>
      <c r="D33" s="16"/>
      <c r="E33" s="16"/>
      <c r="F33" s="16"/>
      <c r="G33" s="16"/>
      <c r="H33" s="16"/>
      <c r="I33" s="16"/>
      <c r="J33" s="16"/>
      <c r="K33" s="16"/>
      <c r="L33" s="16"/>
      <c r="M33" s="16"/>
      <c r="N33" s="16"/>
      <c r="O33" s="16"/>
      <c r="P33" s="16"/>
      <c r="Q33" s="16"/>
      <c r="S33" s="401"/>
      <c r="T33" s="402"/>
      <c r="U33" s="402"/>
      <c r="V33" s="402"/>
      <c r="W33" s="402"/>
      <c r="X33" s="402"/>
      <c r="Y33" s="402"/>
      <c r="Z33" s="402"/>
      <c r="AA33" s="402"/>
      <c r="AB33" s="402"/>
      <c r="AC33" s="402"/>
      <c r="AD33" s="402"/>
      <c r="AE33" s="402"/>
      <c r="AF33" s="402"/>
      <c r="AG33" s="402"/>
      <c r="AH33" s="402"/>
      <c r="AI33" s="403"/>
    </row>
    <row r="34" spans="2:35">
      <c r="C34" s="16"/>
      <c r="D34" s="16"/>
      <c r="E34" s="16"/>
      <c r="F34" s="16"/>
      <c r="G34" s="16"/>
      <c r="H34" s="16"/>
      <c r="I34" s="16"/>
      <c r="J34" s="16"/>
      <c r="K34" s="16"/>
      <c r="L34" s="16"/>
      <c r="M34" s="16"/>
      <c r="N34" s="16"/>
      <c r="O34" s="16"/>
      <c r="P34" s="16"/>
      <c r="Q34" s="16"/>
      <c r="S34" s="401"/>
      <c r="T34" s="402"/>
      <c r="U34" s="402"/>
      <c r="V34" s="402"/>
      <c r="W34" s="402"/>
      <c r="X34" s="402"/>
      <c r="Y34" s="402"/>
      <c r="Z34" s="402"/>
      <c r="AA34" s="402"/>
      <c r="AB34" s="402"/>
      <c r="AC34" s="402"/>
      <c r="AD34" s="402"/>
      <c r="AE34" s="402"/>
      <c r="AF34" s="402"/>
      <c r="AG34" s="402"/>
      <c r="AH34" s="402"/>
      <c r="AI34" s="403"/>
    </row>
    <row r="35" spans="2:35">
      <c r="C35" s="16"/>
      <c r="D35" s="16"/>
      <c r="E35" s="16"/>
      <c r="F35" s="16"/>
      <c r="G35" s="16"/>
      <c r="H35" s="16"/>
      <c r="I35" s="16"/>
      <c r="J35" s="16"/>
      <c r="K35" s="16"/>
      <c r="L35" s="16"/>
      <c r="M35" s="16"/>
      <c r="N35" s="16"/>
      <c r="O35" s="16"/>
      <c r="P35" s="16"/>
      <c r="Q35" s="16"/>
      <c r="S35" s="401"/>
      <c r="T35" s="402"/>
      <c r="U35" s="402"/>
      <c r="V35" s="402"/>
      <c r="W35" s="402"/>
      <c r="X35" s="402"/>
      <c r="Y35" s="402"/>
      <c r="Z35" s="402"/>
      <c r="AA35" s="402"/>
      <c r="AB35" s="402"/>
      <c r="AC35" s="402"/>
      <c r="AD35" s="402"/>
      <c r="AE35" s="402"/>
      <c r="AF35" s="402"/>
      <c r="AG35" s="402"/>
      <c r="AH35" s="402"/>
      <c r="AI35" s="403"/>
    </row>
    <row r="36" spans="2:35">
      <c r="B36" t="s">
        <v>328</v>
      </c>
      <c r="C36" s="17">
        <f>'Income Statement'!C32/'Income Statement'!C10</f>
        <v>5.8144963556341286E-2</v>
      </c>
      <c r="D36" s="17">
        <f>'Income Statement'!D32/'Income Statement'!D10</f>
        <v>8.6919456581455681E-2</v>
      </c>
      <c r="E36" s="17">
        <f>'Income Statement'!E32/'Income Statement'!E10</f>
        <v>0.1175554339263182</v>
      </c>
      <c r="F36" s="17">
        <f>'Income Statement'!F32/'Income Statement'!F10</f>
        <v>0.11282794748361245</v>
      </c>
      <c r="G36" s="17">
        <f>'Income Statement'!G32/'Income Statement'!G10</f>
        <v>0.11692487896615093</v>
      </c>
      <c r="H36" s="17">
        <f>'Income Statement'!H32/'Income Statement'!H10</f>
        <v>9.7651368615278178E-2</v>
      </c>
      <c r="I36" s="17">
        <f>'Income Statement'!I32/'Income Statement'!I10</f>
        <v>9.5527869572583496E-2</v>
      </c>
      <c r="J36" s="17">
        <f>'Income Statement'!J32/'Income Statement'!J10</f>
        <v>9.5577461247466244E-2</v>
      </c>
      <c r="K36" s="17">
        <f>'Income Statement'!K32/'Income Statement'!K10</f>
        <v>9.5598923616662362E-2</v>
      </c>
      <c r="L36" s="17">
        <f>'Income Statement'!L32/'Income Statement'!L10</f>
        <v>9.5601227463976382E-2</v>
      </c>
      <c r="M36" s="17">
        <f>'Income Statement'!M32/'Income Statement'!M10</f>
        <v>9.5590720298763435E-2</v>
      </c>
      <c r="N36" s="17">
        <f>'Income Statement'!N32/'Income Statement'!N10</f>
        <v>9.5571897887050894E-2</v>
      </c>
      <c r="O36" s="17">
        <f>'Income Statement'!O32/'Income Statement'!O10</f>
        <v>9.5547938286878423E-2</v>
      </c>
      <c r="P36" s="17">
        <f>'Income Statement'!P32/'Income Statement'!P10</f>
        <v>9.5521076120705636E-2</v>
      </c>
      <c r="Q36" s="17">
        <f>'Income Statement'!Q32/'Income Statement'!Q10</f>
        <v>9.5492867732605319E-2</v>
      </c>
      <c r="S36" s="401" t="s">
        <v>427</v>
      </c>
      <c r="T36" s="402"/>
      <c r="U36" s="402"/>
      <c r="V36" s="402"/>
      <c r="W36" s="402"/>
      <c r="X36" s="402"/>
      <c r="Y36" s="402"/>
      <c r="Z36" s="402"/>
      <c r="AA36" s="402"/>
      <c r="AB36" s="402"/>
      <c r="AC36" s="402"/>
      <c r="AD36" s="402"/>
      <c r="AE36" s="402"/>
      <c r="AF36" s="402"/>
      <c r="AG36" s="402"/>
      <c r="AH36" s="402"/>
      <c r="AI36" s="403"/>
    </row>
    <row r="37" spans="2:35">
      <c r="C37" s="17"/>
      <c r="D37" s="17"/>
      <c r="E37" s="17"/>
      <c r="F37" s="17"/>
      <c r="G37" s="17"/>
      <c r="H37" s="17"/>
      <c r="I37" s="17"/>
      <c r="J37" s="17"/>
      <c r="K37" s="17"/>
      <c r="L37" s="17"/>
      <c r="M37" s="17"/>
      <c r="N37" s="17"/>
      <c r="O37" s="17"/>
      <c r="P37" s="17"/>
      <c r="Q37" s="17"/>
      <c r="S37" s="401"/>
      <c r="T37" s="402"/>
      <c r="U37" s="402"/>
      <c r="V37" s="402"/>
      <c r="W37" s="402"/>
      <c r="X37" s="402"/>
      <c r="Y37" s="402"/>
      <c r="Z37" s="402"/>
      <c r="AA37" s="402"/>
      <c r="AB37" s="402"/>
      <c r="AC37" s="402"/>
      <c r="AD37" s="402"/>
      <c r="AE37" s="402"/>
      <c r="AF37" s="402"/>
      <c r="AG37" s="402"/>
      <c r="AH37" s="402"/>
      <c r="AI37" s="403"/>
    </row>
    <row r="38" spans="2:35">
      <c r="C38" s="17"/>
      <c r="D38" s="17"/>
      <c r="E38" s="17"/>
      <c r="F38" s="17"/>
      <c r="G38" s="17"/>
      <c r="H38" s="17"/>
      <c r="I38" s="17"/>
      <c r="J38" s="17"/>
      <c r="K38" s="17"/>
      <c r="L38" s="17"/>
      <c r="M38" s="17"/>
      <c r="N38" s="17"/>
      <c r="O38" s="17"/>
      <c r="P38" s="17"/>
      <c r="Q38" s="17"/>
      <c r="S38" s="401"/>
      <c r="T38" s="402"/>
      <c r="U38" s="402"/>
      <c r="V38" s="402"/>
      <c r="W38" s="402"/>
      <c r="X38" s="402"/>
      <c r="Y38" s="402"/>
      <c r="Z38" s="402"/>
      <c r="AA38" s="402"/>
      <c r="AB38" s="402"/>
      <c r="AC38" s="402"/>
      <c r="AD38" s="402"/>
      <c r="AE38" s="402"/>
      <c r="AF38" s="402"/>
      <c r="AG38" s="402"/>
      <c r="AH38" s="402"/>
      <c r="AI38" s="403"/>
    </row>
    <row r="39" spans="2:35">
      <c r="C39" s="17"/>
      <c r="D39" s="17"/>
      <c r="E39" s="17"/>
      <c r="F39" s="17"/>
      <c r="G39" s="17"/>
      <c r="H39" s="17"/>
      <c r="I39" s="17"/>
      <c r="J39" s="17"/>
      <c r="K39" s="17"/>
      <c r="L39" s="17"/>
      <c r="M39" s="17"/>
      <c r="N39" s="17"/>
      <c r="O39" s="17"/>
      <c r="P39" s="17"/>
      <c r="Q39" s="17"/>
      <c r="S39" s="401"/>
      <c r="T39" s="402"/>
      <c r="U39" s="402"/>
      <c r="V39" s="402"/>
      <c r="W39" s="402"/>
      <c r="X39" s="402"/>
      <c r="Y39" s="402"/>
      <c r="Z39" s="402"/>
      <c r="AA39" s="402"/>
      <c r="AB39" s="402"/>
      <c r="AC39" s="402"/>
      <c r="AD39" s="402"/>
      <c r="AE39" s="402"/>
      <c r="AF39" s="402"/>
      <c r="AG39" s="402"/>
      <c r="AH39" s="402"/>
      <c r="AI39" s="403"/>
    </row>
    <row r="40" spans="2:35">
      <c r="B40" t="s">
        <v>345</v>
      </c>
      <c r="C40" s="17">
        <f>'Income Statement'!C22/('Balance Sheet'!C33-'Balance Sheet'!C18-'Balance Sheet'!C20-'Balance Sheet'!C21)</f>
        <v>1.7741383056137705E-2</v>
      </c>
      <c r="D40" s="17">
        <f>'Income Statement'!D22/('Balance Sheet'!D33-'Balance Sheet'!D18-'Balance Sheet'!D20-'Balance Sheet'!D21)</f>
        <v>2.3141680086677996E-2</v>
      </c>
      <c r="E40" s="17">
        <f>'Income Statement'!E22/('Balance Sheet'!E33-'Balance Sheet'!E18-'Balance Sheet'!E20-'Balance Sheet'!E21)</f>
        <v>3.4202990208401389E-2</v>
      </c>
      <c r="F40" s="17">
        <f>'Income Statement'!F22/('Balance Sheet'!F33-'Balance Sheet'!F18-'Balance Sheet'!F20-'Balance Sheet'!F21)</f>
        <v>3.9794172731078388E-2</v>
      </c>
      <c r="G40" s="17">
        <f>'Income Statement'!G22/('Balance Sheet'!G33-'Balance Sheet'!G18-'Balance Sheet'!G20-'Balance Sheet'!G21)</f>
        <v>4.0274465022962488E-2</v>
      </c>
      <c r="H40" s="17">
        <f>'Income Statement'!H22/('Balance Sheet'!H33-'Balance Sheet'!H18-'Balance Sheet'!H20-'Balance Sheet'!H21)</f>
        <v>3.1315778742281586E-2</v>
      </c>
      <c r="I40" s="17">
        <f>'Income Statement'!I22/('Balance Sheet'!I33-'Balance Sheet'!I18-'Balance Sheet'!I20-'Balance Sheet'!I21)</f>
        <v>3.1341087889996601E-2</v>
      </c>
      <c r="J40" s="17">
        <f>'Income Statement'!J22/('Balance Sheet'!J33-'Balance Sheet'!J18-'Balance Sheet'!J20-'Balance Sheet'!J21)</f>
        <v>3.1312993620585226E-2</v>
      </c>
      <c r="K40" s="17">
        <f>'Income Statement'!K22/('Balance Sheet'!K33-'Balance Sheet'!K18-'Balance Sheet'!K20-'Balance Sheet'!K21)</f>
        <v>3.1241764075240423E-2</v>
      </c>
      <c r="L40" s="17">
        <f>'Income Statement'!L22/('Balance Sheet'!L33-'Balance Sheet'!L18-'Balance Sheet'!L20-'Balance Sheet'!L21)</f>
        <v>3.1135219720360385E-2</v>
      </c>
      <c r="M40" s="17">
        <f>'Income Statement'!M22/('Balance Sheet'!M33-'Balance Sheet'!M18-'Balance Sheet'!M20-'Balance Sheet'!M21)</f>
        <v>3.099942422744334E-2</v>
      </c>
      <c r="N40" s="17">
        <f>'Income Statement'!N22/('Balance Sheet'!N33-'Balance Sheet'!N18-'Balance Sheet'!N20-'Balance Sheet'!N21)</f>
        <v>3.0839168018764219E-2</v>
      </c>
      <c r="O40" s="17">
        <f>'Income Statement'!O22/('Balance Sheet'!O33-'Balance Sheet'!O18-'Balance Sheet'!O20-'Balance Sheet'!O21)</f>
        <v>3.0658308417565769E-2</v>
      </c>
      <c r="P40" s="17">
        <f>'Income Statement'!P22/('Balance Sheet'!P33-'Balance Sheet'!P18-'Balance Sheet'!P20-'Balance Sheet'!P21)</f>
        <v>3.0460010253984607E-2</v>
      </c>
      <c r="Q40" s="17">
        <f>'Income Statement'!Q22/('Balance Sheet'!Q33-'Balance Sheet'!Q18-'Balance Sheet'!Q20-'Balance Sheet'!Q21)</f>
        <v>3.024691701508456E-2</v>
      </c>
      <c r="S40" s="401" t="s">
        <v>428</v>
      </c>
      <c r="T40" s="402"/>
      <c r="U40" s="402"/>
      <c r="V40" s="402"/>
      <c r="W40" s="402"/>
      <c r="X40" s="402"/>
      <c r="Y40" s="402"/>
      <c r="Z40" s="402"/>
      <c r="AA40" s="402"/>
      <c r="AB40" s="402"/>
      <c r="AC40" s="402"/>
      <c r="AD40" s="402"/>
      <c r="AE40" s="402"/>
      <c r="AF40" s="402"/>
      <c r="AG40" s="402"/>
      <c r="AH40" s="402"/>
      <c r="AI40" s="403"/>
    </row>
    <row r="41" spans="2:35">
      <c r="C41" s="17"/>
      <c r="D41" s="17"/>
      <c r="E41" s="17"/>
      <c r="F41" s="17"/>
      <c r="G41" s="17"/>
      <c r="H41" s="17"/>
      <c r="I41" s="17"/>
      <c r="J41" s="17"/>
      <c r="K41" s="17"/>
      <c r="L41" s="17"/>
      <c r="M41" s="17"/>
      <c r="N41" s="17"/>
      <c r="O41" s="17"/>
      <c r="P41" s="17"/>
      <c r="Q41" s="17"/>
      <c r="S41" s="401"/>
      <c r="T41" s="402"/>
      <c r="U41" s="402"/>
      <c r="V41" s="402"/>
      <c r="W41" s="402"/>
      <c r="X41" s="402"/>
      <c r="Y41" s="402"/>
      <c r="Z41" s="402"/>
      <c r="AA41" s="402"/>
      <c r="AB41" s="402"/>
      <c r="AC41" s="402"/>
      <c r="AD41" s="402"/>
      <c r="AE41" s="402"/>
      <c r="AF41" s="402"/>
      <c r="AG41" s="402"/>
      <c r="AH41" s="402"/>
      <c r="AI41" s="403"/>
    </row>
    <row r="42" spans="2:35">
      <c r="C42" s="17"/>
      <c r="D42" s="17"/>
      <c r="E42" s="17"/>
      <c r="F42" s="17"/>
      <c r="G42" s="17"/>
      <c r="H42" s="17"/>
      <c r="I42" s="17"/>
      <c r="J42" s="17"/>
      <c r="K42" s="17"/>
      <c r="L42" s="17"/>
      <c r="M42" s="17"/>
      <c r="N42" s="17"/>
      <c r="O42" s="17"/>
      <c r="P42" s="17"/>
      <c r="Q42" s="17"/>
      <c r="S42" s="401"/>
      <c r="T42" s="402"/>
      <c r="U42" s="402"/>
      <c r="V42" s="402"/>
      <c r="W42" s="402"/>
      <c r="X42" s="402"/>
      <c r="Y42" s="402"/>
      <c r="Z42" s="402"/>
      <c r="AA42" s="402"/>
      <c r="AB42" s="402"/>
      <c r="AC42" s="402"/>
      <c r="AD42" s="402"/>
      <c r="AE42" s="402"/>
      <c r="AF42" s="402"/>
      <c r="AG42" s="402"/>
      <c r="AH42" s="402"/>
      <c r="AI42" s="403"/>
    </row>
    <row r="43" spans="2:35">
      <c r="C43" s="17"/>
      <c r="D43" s="17"/>
      <c r="E43" s="17"/>
      <c r="F43" s="17"/>
      <c r="G43" s="17"/>
      <c r="H43" s="17"/>
      <c r="I43" s="17"/>
      <c r="J43" s="17"/>
      <c r="K43" s="17"/>
      <c r="L43" s="17"/>
      <c r="M43" s="17"/>
      <c r="N43" s="17"/>
      <c r="O43" s="17"/>
      <c r="P43" s="17"/>
      <c r="Q43" s="17"/>
      <c r="S43" s="401"/>
      <c r="T43" s="402"/>
      <c r="U43" s="402"/>
      <c r="V43" s="402"/>
      <c r="W43" s="402"/>
      <c r="X43" s="402"/>
      <c r="Y43" s="402"/>
      <c r="Z43" s="402"/>
      <c r="AA43" s="402"/>
      <c r="AB43" s="402"/>
      <c r="AC43" s="402"/>
      <c r="AD43" s="402"/>
      <c r="AE43" s="402"/>
      <c r="AF43" s="402"/>
      <c r="AG43" s="402"/>
      <c r="AH43" s="402"/>
      <c r="AI43" s="403"/>
    </row>
    <row r="44" spans="2:35">
      <c r="B44" t="s">
        <v>344</v>
      </c>
      <c r="C44" s="17"/>
      <c r="D44" s="17">
        <f>'Income Statement'!D32/AVERAGE('Balance Sheet'!C15:D15)</f>
        <v>0.11752452498261774</v>
      </c>
      <c r="E44" s="17">
        <f>'Income Statement'!E32/AVERAGE('Balance Sheet'!D15:E15)</f>
        <v>0.16163558029248681</v>
      </c>
      <c r="F44" s="17">
        <f>'Income Statement'!F32/AVERAGE('Balance Sheet'!E15:F15)</f>
        <v>0.16722565077753815</v>
      </c>
      <c r="G44" s="17">
        <f>'Income Statement'!G32/AVERAGE('Balance Sheet'!F15:G15)</f>
        <v>0.16579671098629428</v>
      </c>
      <c r="H44" s="17">
        <f>'Income Statement'!H32/AVERAGE('Balance Sheet'!G15:H15)</f>
        <v>0.1356830904399981</v>
      </c>
      <c r="I44" s="17">
        <f>'Income Statement'!I32/AVERAGE('Balance Sheet'!H15:I15)</f>
        <v>0.13087153674741528</v>
      </c>
      <c r="J44" s="17">
        <f>'Income Statement'!J32/AVERAGE('Balance Sheet'!I15:J15)</f>
        <v>0.12800514066868876</v>
      </c>
      <c r="K44" s="17">
        <f>'Income Statement'!K32/AVERAGE('Balance Sheet'!J15:K15)</f>
        <v>0.12421102574319802</v>
      </c>
      <c r="L44" s="17">
        <f>'Income Statement'!L32/AVERAGE('Balance Sheet'!K15:L15)</f>
        <v>0.11980754394724256</v>
      </c>
      <c r="M44" s="17">
        <f>'Income Statement'!M32/AVERAGE('Balance Sheet'!L15:M15)</f>
        <v>0.11504504261661927</v>
      </c>
      <c r="N44" s="17">
        <f>'Income Statement'!N32/AVERAGE('Balance Sheet'!M15:N15)</f>
        <v>0.11011339870977743</v>
      </c>
      <c r="O44" s="17">
        <f>'Income Statement'!O32/AVERAGE('Balance Sheet'!N15:O15)</f>
        <v>0.10515210360795997</v>
      </c>
      <c r="P44" s="17">
        <f>'Income Statement'!P32/AVERAGE('Balance Sheet'!O15:P15)</f>
        <v>0.10026043251355632</v>
      </c>
      <c r="Q44" s="17">
        <f>'Income Statement'!Q32/AVERAGE('Balance Sheet'!P15:Q15)</f>
        <v>9.550652789827592E-2</v>
      </c>
      <c r="S44" s="401" t="s">
        <v>429</v>
      </c>
      <c r="T44" s="402"/>
      <c r="U44" s="402"/>
      <c r="V44" s="402"/>
      <c r="W44" s="402"/>
      <c r="X44" s="402"/>
      <c r="Y44" s="402"/>
      <c r="Z44" s="402"/>
      <c r="AA44" s="402"/>
      <c r="AB44" s="402"/>
      <c r="AC44" s="402"/>
      <c r="AD44" s="402"/>
      <c r="AE44" s="402"/>
      <c r="AF44" s="402"/>
      <c r="AG44" s="402"/>
      <c r="AH44" s="402"/>
      <c r="AI44" s="403"/>
    </row>
    <row r="45" spans="2:35">
      <c r="C45" s="17"/>
      <c r="D45" s="17"/>
      <c r="E45" s="17"/>
      <c r="F45" s="17"/>
      <c r="G45" s="17"/>
      <c r="H45" s="17"/>
      <c r="I45" s="17"/>
      <c r="J45" s="17"/>
      <c r="K45" s="17"/>
      <c r="L45" s="17"/>
      <c r="M45" s="17"/>
      <c r="N45" s="17"/>
      <c r="O45" s="17"/>
      <c r="P45" s="17"/>
      <c r="Q45" s="17"/>
      <c r="S45" s="401"/>
      <c r="T45" s="402"/>
      <c r="U45" s="402"/>
      <c r="V45" s="402"/>
      <c r="W45" s="402"/>
      <c r="X45" s="402"/>
      <c r="Y45" s="402"/>
      <c r="Z45" s="402"/>
      <c r="AA45" s="402"/>
      <c r="AB45" s="402"/>
      <c r="AC45" s="402"/>
      <c r="AD45" s="402"/>
      <c r="AE45" s="402"/>
      <c r="AF45" s="402"/>
      <c r="AG45" s="402"/>
      <c r="AH45" s="402"/>
      <c r="AI45" s="403"/>
    </row>
    <row r="46" spans="2:35">
      <c r="C46" s="17"/>
      <c r="D46" s="17"/>
      <c r="E46" s="17"/>
      <c r="F46" s="17"/>
      <c r="G46" s="17"/>
      <c r="H46" s="17"/>
      <c r="I46" s="17"/>
      <c r="J46" s="17"/>
      <c r="K46" s="17"/>
      <c r="L46" s="17"/>
      <c r="M46" s="17"/>
      <c r="N46" s="17"/>
      <c r="O46" s="17"/>
      <c r="P46" s="17"/>
      <c r="Q46" s="17"/>
      <c r="S46" s="401"/>
      <c r="T46" s="402"/>
      <c r="U46" s="402"/>
      <c r="V46" s="402"/>
      <c r="W46" s="402"/>
      <c r="X46" s="402"/>
      <c r="Y46" s="402"/>
      <c r="Z46" s="402"/>
      <c r="AA46" s="402"/>
      <c r="AB46" s="402"/>
      <c r="AC46" s="402"/>
      <c r="AD46" s="402"/>
      <c r="AE46" s="402"/>
      <c r="AF46" s="402"/>
      <c r="AG46" s="402"/>
      <c r="AH46" s="402"/>
      <c r="AI46" s="403"/>
    </row>
    <row r="47" spans="2:35">
      <c r="C47" s="17"/>
      <c r="D47" s="17"/>
      <c r="E47" s="17"/>
      <c r="F47" s="17"/>
      <c r="G47" s="17"/>
      <c r="H47" s="17"/>
      <c r="I47" s="17"/>
      <c r="J47" s="17"/>
      <c r="K47" s="17"/>
      <c r="L47" s="17"/>
      <c r="M47" s="17"/>
      <c r="N47" s="17"/>
      <c r="O47" s="17"/>
      <c r="P47" s="17"/>
      <c r="Q47" s="17"/>
      <c r="S47" s="401"/>
      <c r="T47" s="402"/>
      <c r="U47" s="402"/>
      <c r="V47" s="402"/>
      <c r="W47" s="402"/>
      <c r="X47" s="402"/>
      <c r="Y47" s="402"/>
      <c r="Z47" s="402"/>
      <c r="AA47" s="402"/>
      <c r="AB47" s="402"/>
      <c r="AC47" s="402"/>
      <c r="AD47" s="402"/>
      <c r="AE47" s="402"/>
      <c r="AF47" s="402"/>
      <c r="AG47" s="402"/>
      <c r="AH47" s="402"/>
      <c r="AI47" s="403"/>
    </row>
    <row r="48" spans="2:35">
      <c r="B48" t="s">
        <v>331</v>
      </c>
      <c r="D48" s="17">
        <f>'Income Statement'!D32/AVERAGE('Balance Sheet'!C33:D33)</f>
        <v>6.931636232853219E-3</v>
      </c>
      <c r="E48" s="17">
        <f>'Income Statement'!E32/AVERAGE('Balance Sheet'!D33:E33)</f>
        <v>9.8359148620864364E-3</v>
      </c>
      <c r="F48" s="17">
        <f>'Income Statement'!F32/AVERAGE('Balance Sheet'!E33:F33)</f>
        <v>1.0574341726091901E-2</v>
      </c>
      <c r="G48" s="17">
        <f>'Income Statement'!G32/AVERAGE('Balance Sheet'!F33:G33)</f>
        <v>1.1042359778865363E-2</v>
      </c>
      <c r="H48" s="17">
        <f>'Income Statement'!H32/AVERAGE('Balance Sheet'!G33:H33)</f>
        <v>8.9071561631499201E-3</v>
      </c>
      <c r="I48" s="17">
        <f>'Income Statement'!I32/AVERAGE('Balance Sheet'!H33:I33)</f>
        <v>8.2813980669710716E-3</v>
      </c>
      <c r="J48" s="17">
        <f>'Income Statement'!J32/AVERAGE('Balance Sheet'!I33:J33)</f>
        <v>8.2298293014947729E-3</v>
      </c>
      <c r="K48" s="17">
        <f>'Income Statement'!K32/AVERAGE('Balance Sheet'!J33:K33)</f>
        <v>8.1763472301114304E-3</v>
      </c>
      <c r="L48" s="17">
        <f>'Income Statement'!L32/AVERAGE('Balance Sheet'!K33:L33)</f>
        <v>8.1220858207676477E-3</v>
      </c>
      <c r="M48" s="17">
        <f>'Income Statement'!M32/AVERAGE('Balance Sheet'!L33:M33)</f>
        <v>8.0677667259384852E-3</v>
      </c>
      <c r="N48" s="17">
        <f>'Income Statement'!N32/AVERAGE('Balance Sheet'!M33:N33)</f>
        <v>8.0138332658442057E-3</v>
      </c>
      <c r="O48" s="17">
        <f>'Income Statement'!O32/AVERAGE('Balance Sheet'!N33:O33)</f>
        <v>7.9605419094885936E-3</v>
      </c>
      <c r="P48" s="17">
        <f>'Income Statement'!P32/AVERAGE('Balance Sheet'!O33:P33)</f>
        <v>7.9080250477571324E-3</v>
      </c>
      <c r="Q48" s="17">
        <f>'Income Statement'!Q32/AVERAGE('Balance Sheet'!P33:Q33)</f>
        <v>7.8563341880069047E-3</v>
      </c>
      <c r="S48" s="401" t="s">
        <v>430</v>
      </c>
      <c r="T48" s="402"/>
      <c r="U48" s="402"/>
      <c r="V48" s="402"/>
      <c r="W48" s="402"/>
      <c r="X48" s="402"/>
      <c r="Y48" s="402"/>
      <c r="Z48" s="402"/>
      <c r="AA48" s="402"/>
      <c r="AB48" s="402"/>
      <c r="AC48" s="402"/>
      <c r="AD48" s="402"/>
      <c r="AE48" s="402"/>
      <c r="AF48" s="402"/>
      <c r="AG48" s="402"/>
      <c r="AH48" s="402"/>
      <c r="AI48" s="403"/>
    </row>
    <row r="49" spans="2:35">
      <c r="D49" s="17"/>
      <c r="E49" s="17"/>
      <c r="F49" s="17"/>
      <c r="G49" s="17"/>
      <c r="H49" s="17"/>
      <c r="I49" s="17"/>
      <c r="J49" s="17"/>
      <c r="K49" s="17"/>
      <c r="L49" s="17"/>
      <c r="M49" s="17"/>
      <c r="N49" s="17"/>
      <c r="O49" s="17"/>
      <c r="P49" s="17"/>
      <c r="Q49" s="17"/>
      <c r="S49" s="401"/>
      <c r="T49" s="402"/>
      <c r="U49" s="402"/>
      <c r="V49" s="402"/>
      <c r="W49" s="402"/>
      <c r="X49" s="402"/>
      <c r="Y49" s="402"/>
      <c r="Z49" s="402"/>
      <c r="AA49" s="402"/>
      <c r="AB49" s="402"/>
      <c r="AC49" s="402"/>
      <c r="AD49" s="402"/>
      <c r="AE49" s="402"/>
      <c r="AF49" s="402"/>
      <c r="AG49" s="402"/>
      <c r="AH49" s="402"/>
      <c r="AI49" s="403"/>
    </row>
    <row r="50" spans="2:35">
      <c r="S50" s="401"/>
      <c r="T50" s="402"/>
      <c r="U50" s="402"/>
      <c r="V50" s="402"/>
      <c r="W50" s="402"/>
      <c r="X50" s="402"/>
      <c r="Y50" s="402"/>
      <c r="Z50" s="402"/>
      <c r="AA50" s="402"/>
      <c r="AB50" s="402"/>
      <c r="AC50" s="402"/>
      <c r="AD50" s="402"/>
      <c r="AE50" s="402"/>
      <c r="AF50" s="402"/>
      <c r="AG50" s="402"/>
      <c r="AH50" s="402"/>
      <c r="AI50" s="403"/>
    </row>
    <row r="51" spans="2:35">
      <c r="S51" s="401"/>
      <c r="T51" s="402"/>
      <c r="U51" s="402"/>
      <c r="V51" s="402"/>
      <c r="W51" s="402"/>
      <c r="X51" s="402"/>
      <c r="Y51" s="402"/>
      <c r="Z51" s="402"/>
      <c r="AA51" s="402"/>
      <c r="AB51" s="402"/>
      <c r="AC51" s="402"/>
      <c r="AD51" s="402"/>
      <c r="AE51" s="402"/>
      <c r="AF51" s="402"/>
      <c r="AG51" s="402"/>
      <c r="AH51" s="402"/>
      <c r="AI51" s="403"/>
    </row>
    <row r="52" spans="2:35">
      <c r="B52" s="272" t="s">
        <v>346</v>
      </c>
      <c r="C52" s="247"/>
      <c r="D52" s="247"/>
      <c r="E52" s="247"/>
      <c r="F52" s="247"/>
      <c r="G52" s="247"/>
      <c r="H52" s="247"/>
      <c r="I52" s="247"/>
      <c r="J52" s="247"/>
      <c r="K52" s="247"/>
      <c r="L52" s="247"/>
      <c r="M52" s="247"/>
      <c r="N52" s="247"/>
      <c r="O52" s="247"/>
      <c r="P52" s="247"/>
      <c r="Q52" s="247"/>
      <c r="R52" s="273"/>
      <c r="S52" s="112"/>
      <c r="T52" s="112"/>
      <c r="U52" s="112"/>
      <c r="V52" s="112"/>
      <c r="W52" s="112"/>
      <c r="X52" s="112"/>
      <c r="Y52" s="112"/>
      <c r="Z52" s="112"/>
      <c r="AA52" s="112"/>
      <c r="AB52" s="112"/>
      <c r="AC52" s="112"/>
      <c r="AD52" s="112"/>
      <c r="AE52" s="112"/>
      <c r="AF52" s="112"/>
      <c r="AG52" s="112"/>
      <c r="AH52" s="112"/>
      <c r="AI52" s="112"/>
    </row>
    <row r="53" spans="2:35">
      <c r="B53" t="s">
        <v>329</v>
      </c>
      <c r="D53" s="17">
        <f>'Income Statement'!D10/AVERAGE('Balance Sheet'!C33:D33)</f>
        <v>7.9747809126686234E-2</v>
      </c>
      <c r="E53" s="17">
        <f>'Income Statement'!E10/AVERAGE('Balance Sheet'!D33:E33)</f>
        <v>8.3670439839058613E-2</v>
      </c>
      <c r="F53" s="17">
        <f>'Income Statement'!F10/AVERAGE('Balance Sheet'!E33:F33)</f>
        <v>9.3720943808073415E-2</v>
      </c>
      <c r="G53" s="17">
        <f>'Income Statement'!G10/AVERAGE('Balance Sheet'!F33:G33)</f>
        <v>9.4439779425061973E-2</v>
      </c>
      <c r="H53" s="17">
        <f>'Income Statement'!H10/AVERAGE('Balance Sheet'!G33:H33)</f>
        <v>9.1213838468991407E-2</v>
      </c>
      <c r="I53" s="17">
        <f>'Income Statement'!I10/AVERAGE('Balance Sheet'!H33:I33)</f>
        <v>8.6690911291377029E-2</v>
      </c>
      <c r="J53" s="17">
        <f>'Income Statement'!J10/AVERAGE('Balance Sheet'!I33:J33)</f>
        <v>8.610638108692123E-2</v>
      </c>
      <c r="K53" s="17">
        <f>'Income Statement'!K10/AVERAGE('Balance Sheet'!J33:K33)</f>
        <v>8.5527607642292933E-2</v>
      </c>
      <c r="L53" s="17">
        <f>'Income Statement'!L10/AVERAGE('Balance Sheet'!K33:L33)</f>
        <v>8.4957965877876837E-2</v>
      </c>
      <c r="M53" s="17">
        <f>'Income Statement'!M10/AVERAGE('Balance Sheet'!L33:M33)</f>
        <v>8.4399057782210796E-2</v>
      </c>
      <c r="N53" s="17">
        <f>'Income Statement'!N10/AVERAGE('Balance Sheet'!M33:N33)</f>
        <v>8.3851356340282596E-2</v>
      </c>
      <c r="O53" s="17">
        <f>'Income Statement'!O10/AVERAGE('Balance Sheet'!N33:O33)</f>
        <v>8.3314638203782293E-2</v>
      </c>
      <c r="P53" s="17">
        <f>'Income Statement'!P10/AVERAGE('Balance Sheet'!O33:P33)</f>
        <v>8.2788274262782832E-2</v>
      </c>
      <c r="Q53" s="17">
        <f>'Income Statement'!Q10/AVERAGE('Balance Sheet'!P33:Q33)</f>
        <v>8.2271423767540888E-2</v>
      </c>
      <c r="S53" s="401" t="s">
        <v>431</v>
      </c>
      <c r="T53" s="402"/>
      <c r="U53" s="402"/>
      <c r="V53" s="402"/>
      <c r="W53" s="402"/>
      <c r="X53" s="402"/>
      <c r="Y53" s="402"/>
      <c r="Z53" s="402"/>
      <c r="AA53" s="402"/>
      <c r="AB53" s="402"/>
      <c r="AC53" s="402"/>
      <c r="AD53" s="402"/>
      <c r="AE53" s="402"/>
      <c r="AF53" s="402"/>
      <c r="AG53" s="402"/>
      <c r="AH53" s="402"/>
      <c r="AI53" s="403"/>
    </row>
    <row r="54" spans="2:35">
      <c r="D54" s="17"/>
      <c r="E54" s="17"/>
      <c r="F54" s="17"/>
      <c r="G54" s="17"/>
      <c r="H54" s="17"/>
      <c r="I54" s="17"/>
      <c r="J54" s="17"/>
      <c r="K54" s="17"/>
      <c r="L54" s="17"/>
      <c r="M54" s="17"/>
      <c r="N54" s="17"/>
      <c r="O54" s="17"/>
      <c r="P54" s="17"/>
      <c r="Q54" s="17"/>
      <c r="S54" s="401"/>
      <c r="T54" s="402"/>
      <c r="U54" s="402"/>
      <c r="V54" s="402"/>
      <c r="W54" s="402"/>
      <c r="X54" s="402"/>
      <c r="Y54" s="402"/>
      <c r="Z54" s="402"/>
      <c r="AA54" s="402"/>
      <c r="AB54" s="402"/>
      <c r="AC54" s="402"/>
      <c r="AD54" s="402"/>
      <c r="AE54" s="402"/>
      <c r="AF54" s="402"/>
      <c r="AG54" s="402"/>
      <c r="AH54" s="402"/>
      <c r="AI54" s="403"/>
    </row>
    <row r="55" spans="2:35">
      <c r="D55" s="17"/>
      <c r="E55" s="17"/>
      <c r="F55" s="17"/>
      <c r="G55" s="17"/>
      <c r="H55" s="17"/>
      <c r="I55" s="17"/>
      <c r="J55" s="17"/>
      <c r="K55" s="17"/>
      <c r="L55" s="17"/>
      <c r="M55" s="17"/>
      <c r="N55" s="17"/>
      <c r="O55" s="17"/>
      <c r="P55" s="17"/>
      <c r="Q55" s="17"/>
      <c r="S55" s="401"/>
      <c r="T55" s="402"/>
      <c r="U55" s="402"/>
      <c r="V55" s="402"/>
      <c r="W55" s="402"/>
      <c r="X55" s="402"/>
      <c r="Y55" s="402"/>
      <c r="Z55" s="402"/>
      <c r="AA55" s="402"/>
      <c r="AB55" s="402"/>
      <c r="AC55" s="402"/>
      <c r="AD55" s="402"/>
      <c r="AE55" s="402"/>
      <c r="AF55" s="402"/>
      <c r="AG55" s="402"/>
      <c r="AH55" s="402"/>
      <c r="AI55" s="403"/>
    </row>
    <row r="56" spans="2:35">
      <c r="D56" s="17"/>
      <c r="E56" s="17"/>
      <c r="F56" s="17"/>
      <c r="G56" s="17"/>
      <c r="H56" s="17"/>
      <c r="I56" s="17"/>
      <c r="J56" s="17"/>
      <c r="K56" s="17"/>
      <c r="L56" s="17"/>
      <c r="M56" s="17"/>
      <c r="N56" s="17"/>
      <c r="O56" s="17"/>
      <c r="P56" s="17"/>
      <c r="Q56" s="17"/>
      <c r="S56" s="401"/>
      <c r="T56" s="402"/>
      <c r="U56" s="402"/>
      <c r="V56" s="402"/>
      <c r="W56" s="402"/>
      <c r="X56" s="402"/>
      <c r="Y56" s="402"/>
      <c r="Z56" s="402"/>
      <c r="AA56" s="402"/>
      <c r="AB56" s="402"/>
      <c r="AC56" s="402"/>
      <c r="AD56" s="402"/>
      <c r="AE56" s="402"/>
      <c r="AF56" s="402"/>
      <c r="AG56" s="402"/>
      <c r="AH56" s="402"/>
      <c r="AI56" s="403"/>
    </row>
    <row r="57" spans="2:35">
      <c r="B57" t="s">
        <v>330</v>
      </c>
      <c r="D57" s="17">
        <f>'Income Statement'!D28/AVERAGE('Balance Sheet'!C33:D33)</f>
        <v>8.6999801635929269E-3</v>
      </c>
      <c r="E57" s="17">
        <f>'Income Statement'!E28/AVERAGE('Balance Sheet'!D33:E33)</f>
        <v>1.2897913991258867E-2</v>
      </c>
      <c r="F57" s="17">
        <f>'Income Statement'!F28/AVERAGE('Balance Sheet'!E33:F33)</f>
        <v>1.5503059007579468E-2</v>
      </c>
      <c r="G57" s="17">
        <f>'Income Statement'!G28/AVERAGE('Balance Sheet'!F33:G33)</f>
        <v>1.5848955917969452E-2</v>
      </c>
      <c r="H57" s="17">
        <f>'Income Statement'!H28/AVERAGE('Balance Sheet'!G33:H33)</f>
        <v>1.2724508804499886E-2</v>
      </c>
      <c r="I57" s="17">
        <f>'Income Statement'!I28/AVERAGE('Balance Sheet'!H33:I33)</f>
        <v>1.183056866710153E-2</v>
      </c>
      <c r="J57" s="17">
        <f>'Income Statement'!J28/AVERAGE('Balance Sheet'!I33:J33)</f>
        <v>1.1756899002135389E-2</v>
      </c>
      <c r="K57" s="17">
        <f>'Income Statement'!K28/AVERAGE('Balance Sheet'!J33:K33)</f>
        <v>1.1680496043016329E-2</v>
      </c>
      <c r="L57" s="17">
        <f>'Income Statement'!L28/AVERAGE('Balance Sheet'!K33:L33)</f>
        <v>1.1602979743953782E-2</v>
      </c>
      <c r="M57" s="17">
        <f>'Income Statement'!M28/AVERAGE('Balance Sheet'!L33:M33)</f>
        <v>1.152538103705498E-2</v>
      </c>
      <c r="N57" s="17">
        <f>'Income Statement'!N28/AVERAGE('Balance Sheet'!M33:N33)</f>
        <v>1.1448333236920294E-2</v>
      </c>
      <c r="O57" s="17">
        <f>'Income Statement'!O28/AVERAGE('Balance Sheet'!N33:O33)</f>
        <v>1.1372202727840848E-2</v>
      </c>
      <c r="P57" s="17">
        <f>'Income Statement'!P28/AVERAGE('Balance Sheet'!O33:P33)</f>
        <v>1.1297178639653047E-2</v>
      </c>
      <c r="Q57" s="17">
        <f>'Income Statement'!Q28/AVERAGE('Balance Sheet'!P33:Q33)</f>
        <v>1.1223334554295576E-2</v>
      </c>
      <c r="S57" s="401" t="s">
        <v>432</v>
      </c>
      <c r="T57" s="402"/>
      <c r="U57" s="402"/>
      <c r="V57" s="402"/>
      <c r="W57" s="402"/>
      <c r="X57" s="402"/>
      <c r="Y57" s="402"/>
      <c r="Z57" s="402"/>
      <c r="AA57" s="402"/>
      <c r="AB57" s="402"/>
      <c r="AC57" s="402"/>
      <c r="AD57" s="402"/>
      <c r="AE57" s="402"/>
      <c r="AF57" s="402"/>
      <c r="AG57" s="402"/>
      <c r="AH57" s="402"/>
      <c r="AI57" s="403"/>
    </row>
    <row r="58" spans="2:35">
      <c r="D58" s="17"/>
      <c r="E58" s="17"/>
      <c r="F58" s="17"/>
      <c r="G58" s="17"/>
      <c r="H58" s="17"/>
      <c r="I58" s="17"/>
      <c r="J58" s="17"/>
      <c r="K58" s="17"/>
      <c r="L58" s="17"/>
      <c r="M58" s="17"/>
      <c r="N58" s="17"/>
      <c r="O58" s="17"/>
      <c r="P58" s="17"/>
      <c r="Q58" s="17"/>
      <c r="S58" s="401"/>
      <c r="T58" s="402"/>
      <c r="U58" s="402"/>
      <c r="V58" s="402"/>
      <c r="W58" s="402"/>
      <c r="X58" s="402"/>
      <c r="Y58" s="402"/>
      <c r="Z58" s="402"/>
      <c r="AA58" s="402"/>
      <c r="AB58" s="402"/>
      <c r="AC58" s="402"/>
      <c r="AD58" s="402"/>
      <c r="AE58" s="402"/>
      <c r="AF58" s="402"/>
      <c r="AG58" s="402"/>
      <c r="AH58" s="402"/>
      <c r="AI58" s="403"/>
    </row>
    <row r="59" spans="2:35">
      <c r="D59" s="17"/>
      <c r="E59" s="17"/>
      <c r="F59" s="17"/>
      <c r="G59" s="17"/>
      <c r="H59" s="17"/>
      <c r="I59" s="17"/>
      <c r="J59" s="17"/>
      <c r="K59" s="17"/>
      <c r="L59" s="17"/>
      <c r="M59" s="17"/>
      <c r="N59" s="17"/>
      <c r="O59" s="17"/>
      <c r="P59" s="17"/>
      <c r="Q59" s="17"/>
      <c r="S59" s="401"/>
      <c r="T59" s="402"/>
      <c r="U59" s="402"/>
      <c r="V59" s="402"/>
      <c r="W59" s="402"/>
      <c r="X59" s="402"/>
      <c r="Y59" s="402"/>
      <c r="Z59" s="402"/>
      <c r="AA59" s="402"/>
      <c r="AB59" s="402"/>
      <c r="AC59" s="402"/>
      <c r="AD59" s="402"/>
      <c r="AE59" s="402"/>
      <c r="AF59" s="402"/>
      <c r="AG59" s="402"/>
      <c r="AH59" s="402"/>
      <c r="AI59" s="403"/>
    </row>
    <row r="60" spans="2:35">
      <c r="D60" s="17"/>
      <c r="E60" s="17"/>
      <c r="F60" s="17"/>
      <c r="G60" s="17"/>
      <c r="H60" s="17"/>
      <c r="I60" s="17"/>
      <c r="J60" s="17"/>
      <c r="K60" s="17"/>
      <c r="L60" s="17"/>
      <c r="M60" s="17"/>
      <c r="N60" s="17"/>
      <c r="O60" s="17"/>
      <c r="P60" s="17"/>
      <c r="Q60" s="17"/>
      <c r="S60" s="401"/>
      <c r="T60" s="402"/>
      <c r="U60" s="402"/>
      <c r="V60" s="402"/>
      <c r="W60" s="402"/>
      <c r="X60" s="402"/>
      <c r="Y60" s="402"/>
      <c r="Z60" s="402"/>
      <c r="AA60" s="402"/>
      <c r="AB60" s="402"/>
      <c r="AC60" s="402"/>
      <c r="AD60" s="402"/>
      <c r="AE60" s="402"/>
      <c r="AF60" s="402"/>
      <c r="AG60" s="402"/>
      <c r="AH60" s="402"/>
      <c r="AI60" s="403"/>
    </row>
    <row r="61" spans="2:35">
      <c r="B61" t="s">
        <v>332</v>
      </c>
      <c r="D61" s="17">
        <f>'Income Statement'!D28/AVERAGE('Balance Sheet'!C15:D15)</f>
        <v>0.14750644750201894</v>
      </c>
      <c r="E61" s="17">
        <f>'Income Statement'!E28/AVERAGE('Balance Sheet'!D15:E15)</f>
        <v>0.211954031909695</v>
      </c>
      <c r="F61" s="17">
        <f>'Income Statement'!F28/AVERAGE('Balance Sheet'!E15:F15)</f>
        <v>0.24516978916882415</v>
      </c>
      <c r="G61" s="17">
        <f>'Income Statement'!G28/AVERAGE('Balance Sheet'!F15:G15)</f>
        <v>0.23796587109898576</v>
      </c>
      <c r="H61" s="17">
        <f>'Income Statement'!H28/AVERAGE('Balance Sheet'!G15:H15)</f>
        <v>0.19383298634285442</v>
      </c>
      <c r="I61" s="17">
        <f>'Income Statement'!I28/AVERAGE('Balance Sheet'!H15:I15)</f>
        <v>0.18695933821059327</v>
      </c>
      <c r="J61" s="17">
        <f>'Income Statement'!J28/AVERAGE('Balance Sheet'!I15:J15)</f>
        <v>0.18286448666955535</v>
      </c>
      <c r="K61" s="17">
        <f>'Income Statement'!K28/AVERAGE('Balance Sheet'!J15:K15)</f>
        <v>0.17744432249028289</v>
      </c>
      <c r="L61" s="17">
        <f>'Income Statement'!L28/AVERAGE('Balance Sheet'!K15:L15)</f>
        <v>0.17115363421034652</v>
      </c>
      <c r="M61" s="17">
        <f>'Income Statement'!M28/AVERAGE('Balance Sheet'!L15:M15)</f>
        <v>0.16435006088088469</v>
      </c>
      <c r="N61" s="17">
        <f>'Income Statement'!N28/AVERAGE('Balance Sheet'!M15:N15)</f>
        <v>0.15730485529968205</v>
      </c>
      <c r="O61" s="17">
        <f>'Income Statement'!O28/AVERAGE('Balance Sheet'!N15:O15)</f>
        <v>0.15021729086851426</v>
      </c>
      <c r="P61" s="17">
        <f>'Income Statement'!P28/AVERAGE('Balance Sheet'!O15:P15)</f>
        <v>0.14322918930508047</v>
      </c>
      <c r="Q61" s="17">
        <f>'Income Statement'!Q28/AVERAGE('Balance Sheet'!P15:Q15)</f>
        <v>0.136437896997537</v>
      </c>
      <c r="S61" s="401" t="s">
        <v>433</v>
      </c>
      <c r="T61" s="402"/>
      <c r="U61" s="402"/>
      <c r="V61" s="402"/>
      <c r="W61" s="402"/>
      <c r="X61" s="402"/>
      <c r="Y61" s="402"/>
      <c r="Z61" s="402"/>
      <c r="AA61" s="402"/>
      <c r="AB61" s="402"/>
      <c r="AC61" s="402"/>
      <c r="AD61" s="402"/>
      <c r="AE61" s="402"/>
      <c r="AF61" s="402"/>
      <c r="AG61" s="402"/>
      <c r="AH61" s="402"/>
      <c r="AI61" s="403"/>
    </row>
    <row r="62" spans="2:35">
      <c r="D62" s="17"/>
      <c r="E62" s="17"/>
      <c r="F62" s="17"/>
      <c r="G62" s="17"/>
      <c r="H62" s="17"/>
      <c r="I62" s="17"/>
      <c r="J62" s="17"/>
      <c r="K62" s="17"/>
      <c r="L62" s="17"/>
      <c r="M62" s="17"/>
      <c r="N62" s="17"/>
      <c r="O62" s="17"/>
      <c r="P62" s="17"/>
      <c r="Q62" s="17"/>
      <c r="S62" s="401"/>
      <c r="T62" s="402"/>
      <c r="U62" s="402"/>
      <c r="V62" s="402"/>
      <c r="W62" s="402"/>
      <c r="X62" s="402"/>
      <c r="Y62" s="402"/>
      <c r="Z62" s="402"/>
      <c r="AA62" s="402"/>
      <c r="AB62" s="402"/>
      <c r="AC62" s="402"/>
      <c r="AD62" s="402"/>
      <c r="AE62" s="402"/>
      <c r="AF62" s="402"/>
      <c r="AG62" s="402"/>
      <c r="AH62" s="402"/>
      <c r="AI62" s="403"/>
    </row>
    <row r="63" spans="2:35">
      <c r="D63" s="17"/>
      <c r="E63" s="17"/>
      <c r="F63" s="17"/>
      <c r="G63" s="17"/>
      <c r="H63" s="17"/>
      <c r="I63" s="17"/>
      <c r="J63" s="17"/>
      <c r="K63" s="17"/>
      <c r="L63" s="17"/>
      <c r="M63" s="17"/>
      <c r="N63" s="17"/>
      <c r="O63" s="17"/>
      <c r="P63" s="17"/>
      <c r="Q63" s="17"/>
      <c r="S63" s="401"/>
      <c r="T63" s="402"/>
      <c r="U63" s="402"/>
      <c r="V63" s="402"/>
      <c r="W63" s="402"/>
      <c r="X63" s="402"/>
      <c r="Y63" s="402"/>
      <c r="Z63" s="402"/>
      <c r="AA63" s="402"/>
      <c r="AB63" s="402"/>
      <c r="AC63" s="402"/>
      <c r="AD63" s="402"/>
      <c r="AE63" s="402"/>
      <c r="AF63" s="402"/>
      <c r="AG63" s="402"/>
      <c r="AH63" s="402"/>
      <c r="AI63" s="403"/>
    </row>
    <row r="64" spans="2:35">
      <c r="D64" s="17"/>
      <c r="E64" s="17"/>
      <c r="F64" s="17"/>
      <c r="G64" s="17"/>
      <c r="H64" s="17"/>
      <c r="I64" s="17"/>
      <c r="J64" s="17"/>
      <c r="K64" s="17"/>
      <c r="L64" s="17"/>
      <c r="M64" s="17"/>
      <c r="N64" s="17"/>
      <c r="O64" s="17"/>
      <c r="P64" s="17"/>
      <c r="Q64" s="17"/>
      <c r="S64" s="401"/>
      <c r="T64" s="402"/>
      <c r="U64" s="402"/>
      <c r="V64" s="402"/>
      <c r="W64" s="402"/>
      <c r="X64" s="402"/>
      <c r="Y64" s="402"/>
      <c r="Z64" s="402"/>
      <c r="AA64" s="402"/>
      <c r="AB64" s="402"/>
      <c r="AC64" s="402"/>
      <c r="AD64" s="402"/>
      <c r="AE64" s="402"/>
      <c r="AF64" s="402"/>
      <c r="AG64" s="402"/>
      <c r="AH64" s="402"/>
      <c r="AI64" s="403"/>
    </row>
    <row r="65" spans="2:35" ht="15" customHeight="1">
      <c r="B65" t="s">
        <v>333</v>
      </c>
      <c r="C65" s="265">
        <f>'Income Statement'!C32/'Income Statement'!C28</f>
        <v>0.85435650956983633</v>
      </c>
      <c r="D65" s="265">
        <f>'Income Statement'!D32/'Income Statement'!D28</f>
        <v>0.79674161348783856</v>
      </c>
      <c r="E65" s="265">
        <f>'Income Statement'!E32/'Income Statement'!E28</f>
        <v>0.76259733696103105</v>
      </c>
      <c r="F65" s="265">
        <f>'Income Statement'!F32/'Income Statement'!F28</f>
        <v>0.68208098291582908</v>
      </c>
      <c r="G65" s="265">
        <f>'Income Statement'!G32/'Income Statement'!G28</f>
        <v>0.69672474553012043</v>
      </c>
      <c r="H65" s="265">
        <f>'Income Statement'!H32/'Income Statement'!H28</f>
        <v>0.7</v>
      </c>
      <c r="I65" s="265">
        <f>'Income Statement'!I32/'Income Statement'!I28</f>
        <v>0.7</v>
      </c>
      <c r="J65" s="265">
        <f>'Income Statement'!J32/'Income Statement'!J28</f>
        <v>0.70000000000000007</v>
      </c>
      <c r="K65" s="265">
        <f>'Income Statement'!K32/'Income Statement'!K28</f>
        <v>0.70000000000000007</v>
      </c>
      <c r="L65" s="265">
        <f>'Income Statement'!L32/'Income Statement'!L28</f>
        <v>0.70000000000000007</v>
      </c>
      <c r="M65" s="265">
        <f>'Income Statement'!M32/'Income Statement'!M28</f>
        <v>0.7</v>
      </c>
      <c r="N65" s="265">
        <f>'Income Statement'!N32/'Income Statement'!N28</f>
        <v>0.7</v>
      </c>
      <c r="O65" s="265">
        <f>'Income Statement'!O32/'Income Statement'!O28</f>
        <v>0.7</v>
      </c>
      <c r="P65" s="265">
        <f>'Income Statement'!P32/'Income Statement'!P28</f>
        <v>0.7</v>
      </c>
      <c r="Q65" s="265">
        <f>'Income Statement'!Q32/'Income Statement'!Q28</f>
        <v>0.70000000000000007</v>
      </c>
      <c r="S65" s="401" t="s">
        <v>435</v>
      </c>
      <c r="T65" s="402"/>
      <c r="U65" s="402"/>
      <c r="V65" s="402"/>
      <c r="W65" s="402"/>
      <c r="X65" s="402"/>
      <c r="Y65" s="402"/>
      <c r="Z65" s="402"/>
      <c r="AA65" s="402"/>
      <c r="AB65" s="402"/>
      <c r="AC65" s="402"/>
      <c r="AD65" s="402"/>
      <c r="AE65" s="402"/>
      <c r="AF65" s="402"/>
      <c r="AG65" s="402"/>
      <c r="AH65" s="402"/>
      <c r="AI65" s="403"/>
    </row>
    <row r="66" spans="2:35">
      <c r="C66" s="265"/>
      <c r="D66" s="265"/>
      <c r="E66" s="265"/>
      <c r="F66" s="265"/>
      <c r="G66" s="265"/>
      <c r="H66" s="265"/>
      <c r="I66" s="265"/>
      <c r="J66" s="265"/>
      <c r="K66" s="265"/>
      <c r="L66" s="265"/>
      <c r="M66" s="265"/>
      <c r="N66" s="265"/>
      <c r="O66" s="265"/>
      <c r="P66" s="265"/>
      <c r="Q66" s="265"/>
      <c r="S66" s="401"/>
      <c r="T66" s="402"/>
      <c r="U66" s="402"/>
      <c r="V66" s="402"/>
      <c r="W66" s="402"/>
      <c r="X66" s="402"/>
      <c r="Y66" s="402"/>
      <c r="Z66" s="402"/>
      <c r="AA66" s="402"/>
      <c r="AB66" s="402"/>
      <c r="AC66" s="402"/>
      <c r="AD66" s="402"/>
      <c r="AE66" s="402"/>
      <c r="AF66" s="402"/>
      <c r="AG66" s="402"/>
      <c r="AH66" s="402"/>
      <c r="AI66" s="403"/>
    </row>
    <row r="67" spans="2:35">
      <c r="C67" s="265"/>
      <c r="D67" s="265"/>
      <c r="E67" s="265"/>
      <c r="F67" s="265"/>
      <c r="G67" s="265"/>
      <c r="H67" s="265"/>
      <c r="I67" s="265"/>
      <c r="J67" s="265"/>
      <c r="K67" s="265"/>
      <c r="L67" s="265"/>
      <c r="M67" s="265"/>
      <c r="N67" s="265"/>
      <c r="O67" s="265"/>
      <c r="P67" s="265"/>
      <c r="Q67" s="265"/>
      <c r="S67" s="401"/>
      <c r="T67" s="402"/>
      <c r="U67" s="402"/>
      <c r="V67" s="402"/>
      <c r="W67" s="402"/>
      <c r="X67" s="402"/>
      <c r="Y67" s="402"/>
      <c r="Z67" s="402"/>
      <c r="AA67" s="402"/>
      <c r="AB67" s="402"/>
      <c r="AC67" s="402"/>
      <c r="AD67" s="402"/>
      <c r="AE67" s="402"/>
      <c r="AF67" s="402"/>
      <c r="AG67" s="402"/>
      <c r="AH67" s="402"/>
      <c r="AI67" s="403"/>
    </row>
    <row r="68" spans="2:35">
      <c r="C68" s="265"/>
      <c r="D68" s="265"/>
      <c r="E68" s="265"/>
      <c r="F68" s="265"/>
      <c r="G68" s="265"/>
      <c r="H68" s="265"/>
      <c r="I68" s="265"/>
      <c r="J68" s="265"/>
      <c r="K68" s="265"/>
      <c r="L68" s="265"/>
      <c r="M68" s="265"/>
      <c r="N68" s="265"/>
      <c r="O68" s="265"/>
      <c r="P68" s="265"/>
      <c r="Q68" s="265"/>
      <c r="S68" s="401"/>
      <c r="T68" s="402"/>
      <c r="U68" s="402"/>
      <c r="V68" s="402"/>
      <c r="W68" s="402"/>
      <c r="X68" s="402"/>
      <c r="Y68" s="402"/>
      <c r="Z68" s="402"/>
      <c r="AA68" s="402"/>
      <c r="AB68" s="402"/>
      <c r="AC68" s="402"/>
      <c r="AD68" s="402"/>
      <c r="AE68" s="402"/>
      <c r="AF68" s="402"/>
      <c r="AG68" s="402"/>
      <c r="AH68" s="402"/>
      <c r="AI68" s="403"/>
    </row>
    <row r="69" spans="2:35">
      <c r="B69" t="s">
        <v>334</v>
      </c>
      <c r="C69" s="265">
        <f>'Income Statement'!C37/'Income Statement'!C32</f>
        <v>1</v>
      </c>
      <c r="D69" s="265">
        <f>'Income Statement'!D37/'Income Statement'!D32</f>
        <v>0.89908246931963631</v>
      </c>
      <c r="E69" s="265">
        <f>'Income Statement'!E37/'Income Statement'!E32</f>
        <v>0.88612884698345373</v>
      </c>
      <c r="F69" s="265">
        <f>'Income Statement'!F37/'Income Statement'!F32</f>
        <v>0.84967039285897239</v>
      </c>
      <c r="G69" s="265">
        <f>'Income Statement'!G37/'Income Statement'!G32</f>
        <v>0.84236065600266719</v>
      </c>
      <c r="H69" s="265">
        <f>'Income Statement'!H37/'Income Statement'!H32</f>
        <v>0.86931059129118238</v>
      </c>
      <c r="I69" s="265">
        <f>'Income Statement'!I37/'Income Statement'!I32</f>
        <v>0.86931059129118238</v>
      </c>
      <c r="J69" s="265">
        <f>'Income Statement'!J37/'Income Statement'!J32</f>
        <v>0.86931059129118238</v>
      </c>
      <c r="K69" s="265">
        <f>'Income Statement'!K37/'Income Statement'!K32</f>
        <v>0.86931059129118238</v>
      </c>
      <c r="L69" s="265">
        <f>'Income Statement'!L37/'Income Statement'!L32</f>
        <v>0.86931059129118227</v>
      </c>
      <c r="M69" s="265">
        <f>'Income Statement'!M37/'Income Statement'!M32</f>
        <v>0.86931059129118238</v>
      </c>
      <c r="N69" s="265">
        <f>'Income Statement'!N37/'Income Statement'!N32</f>
        <v>0.86931059129118238</v>
      </c>
      <c r="O69" s="265">
        <f>'Income Statement'!O37/'Income Statement'!O32</f>
        <v>0.86931059129118238</v>
      </c>
      <c r="P69" s="265">
        <f>'Income Statement'!P37/'Income Statement'!P32</f>
        <v>0.86931059129118238</v>
      </c>
      <c r="Q69" s="265">
        <f>'Income Statement'!Q37/'Income Statement'!Q32</f>
        <v>0.86931059129118238</v>
      </c>
      <c r="S69" s="401" t="s">
        <v>436</v>
      </c>
      <c r="T69" s="402"/>
      <c r="U69" s="402"/>
      <c r="V69" s="402"/>
      <c r="W69" s="402"/>
      <c r="X69" s="402"/>
      <c r="Y69" s="402"/>
      <c r="Z69" s="402"/>
      <c r="AA69" s="402"/>
      <c r="AB69" s="402"/>
      <c r="AC69" s="402"/>
      <c r="AD69" s="402"/>
      <c r="AE69" s="402"/>
      <c r="AF69" s="402"/>
      <c r="AG69" s="402"/>
      <c r="AH69" s="402"/>
      <c r="AI69" s="403"/>
    </row>
    <row r="70" spans="2:35">
      <c r="C70" s="265"/>
      <c r="D70" s="265"/>
      <c r="E70" s="265"/>
      <c r="F70" s="265"/>
      <c r="G70" s="265"/>
      <c r="H70" s="265"/>
      <c r="I70" s="265"/>
      <c r="J70" s="265"/>
      <c r="K70" s="265"/>
      <c r="L70" s="265"/>
      <c r="M70" s="265"/>
      <c r="N70" s="265"/>
      <c r="O70" s="265"/>
      <c r="P70" s="265"/>
      <c r="Q70" s="265"/>
      <c r="S70" s="401"/>
      <c r="T70" s="402"/>
      <c r="U70" s="402"/>
      <c r="V70" s="402"/>
      <c r="W70" s="402"/>
      <c r="X70" s="402"/>
      <c r="Y70" s="402"/>
      <c r="Z70" s="402"/>
      <c r="AA70" s="402"/>
      <c r="AB70" s="402"/>
      <c r="AC70" s="402"/>
      <c r="AD70" s="402"/>
      <c r="AE70" s="402"/>
      <c r="AF70" s="402"/>
      <c r="AG70" s="402"/>
      <c r="AH70" s="402"/>
      <c r="AI70" s="403"/>
    </row>
    <row r="71" spans="2:35">
      <c r="C71" s="265"/>
      <c r="D71" s="265"/>
      <c r="E71" s="265"/>
      <c r="F71" s="265"/>
      <c r="G71" s="265"/>
      <c r="H71" s="265"/>
      <c r="I71" s="265"/>
      <c r="J71" s="265"/>
      <c r="K71" s="265"/>
      <c r="L71" s="265"/>
      <c r="M71" s="265"/>
      <c r="N71" s="265"/>
      <c r="O71" s="265"/>
      <c r="P71" s="265"/>
      <c r="Q71" s="265"/>
      <c r="S71" s="401"/>
      <c r="T71" s="402"/>
      <c r="U71" s="402"/>
      <c r="V71" s="402"/>
      <c r="W71" s="402"/>
      <c r="X71" s="402"/>
      <c r="Y71" s="402"/>
      <c r="Z71" s="402"/>
      <c r="AA71" s="402"/>
      <c r="AB71" s="402"/>
      <c r="AC71" s="402"/>
      <c r="AD71" s="402"/>
      <c r="AE71" s="402"/>
      <c r="AF71" s="402"/>
      <c r="AG71" s="402"/>
      <c r="AH71" s="402"/>
      <c r="AI71" s="403"/>
    </row>
    <row r="72" spans="2:35">
      <c r="C72" s="265"/>
      <c r="D72" s="265"/>
      <c r="E72" s="265"/>
      <c r="F72" s="265"/>
      <c r="G72" s="265"/>
      <c r="H72" s="265"/>
      <c r="I72" s="265"/>
      <c r="J72" s="265"/>
      <c r="K72" s="265"/>
      <c r="L72" s="265"/>
      <c r="M72" s="265"/>
      <c r="N72" s="265"/>
      <c r="O72" s="265"/>
      <c r="P72" s="265"/>
      <c r="Q72" s="265"/>
      <c r="S72" s="401"/>
      <c r="T72" s="402"/>
      <c r="U72" s="402"/>
      <c r="V72" s="402"/>
      <c r="W72" s="402"/>
      <c r="X72" s="402"/>
      <c r="Y72" s="402"/>
      <c r="Z72" s="402"/>
      <c r="AA72" s="402"/>
      <c r="AB72" s="402"/>
      <c r="AC72" s="402"/>
      <c r="AD72" s="402"/>
      <c r="AE72" s="402"/>
      <c r="AF72" s="402"/>
      <c r="AG72" s="402"/>
      <c r="AH72" s="402"/>
      <c r="AI72" s="403"/>
    </row>
    <row r="73" spans="2:35">
      <c r="B73" s="272" t="s">
        <v>335</v>
      </c>
      <c r="C73" s="247"/>
      <c r="D73" s="247"/>
      <c r="E73" s="247"/>
      <c r="F73" s="247"/>
      <c r="G73" s="247"/>
      <c r="H73" s="247"/>
      <c r="I73" s="247"/>
      <c r="J73" s="247"/>
      <c r="K73" s="247"/>
      <c r="L73" s="247"/>
      <c r="M73" s="247"/>
      <c r="N73" s="247"/>
      <c r="O73" s="247"/>
      <c r="P73" s="247"/>
      <c r="Q73" s="247"/>
      <c r="R73" s="273"/>
    </row>
    <row r="75" spans="2:35">
      <c r="B75" t="s">
        <v>336</v>
      </c>
      <c r="C75" s="265">
        <f>'Balance Sheet'!C30/SUM('Balance Sheet'!C18:C19)</f>
        <v>0.67304873348407468</v>
      </c>
      <c r="D75" s="265">
        <f>'Balance Sheet'!D30/SUM('Balance Sheet'!D18:D19)</f>
        <v>0.68358094520522394</v>
      </c>
      <c r="E75" s="265">
        <f>'Balance Sheet'!E30/SUM('Balance Sheet'!E18:E19)</f>
        <v>0.73131389967184224</v>
      </c>
      <c r="F75" s="265">
        <f>'Balance Sheet'!F30/SUM('Balance Sheet'!F18:F19)</f>
        <v>0.76195391261074952</v>
      </c>
      <c r="G75" s="265">
        <f>'Balance Sheet'!G30/SUM('Balance Sheet'!G18:G19)</f>
        <v>0.78141735772893683</v>
      </c>
      <c r="H75" s="265">
        <f>'Balance Sheet'!H30/SUM('Balance Sheet'!H18:H19)</f>
        <v>0.72311844294537164</v>
      </c>
      <c r="I75" s="265">
        <f>'Balance Sheet'!I30/SUM('Balance Sheet'!I18:I19)</f>
        <v>0.72311844294537153</v>
      </c>
      <c r="J75" s="265">
        <f>'Balance Sheet'!J30/SUM('Balance Sheet'!J18:J19)</f>
        <v>0.72311844294537164</v>
      </c>
      <c r="K75" s="265">
        <f>'Balance Sheet'!K30/SUM('Balance Sheet'!K18:K19)</f>
        <v>0.72311844294537164</v>
      </c>
      <c r="L75" s="265">
        <f>'Balance Sheet'!L30/SUM('Balance Sheet'!L18:L19)</f>
        <v>0.72311844294537153</v>
      </c>
      <c r="M75" s="265">
        <f>'Balance Sheet'!M30/SUM('Balance Sheet'!M18:M19)</f>
        <v>0.72311844294537164</v>
      </c>
      <c r="N75" s="265">
        <f>'Balance Sheet'!N30/SUM('Balance Sheet'!N18:N19)</f>
        <v>0.72311844294537164</v>
      </c>
      <c r="O75" s="265">
        <f>'Balance Sheet'!O30/SUM('Balance Sheet'!O18:O19)</f>
        <v>0.72311844294537164</v>
      </c>
      <c r="P75" s="265">
        <f>'Balance Sheet'!P30/SUM('Balance Sheet'!P18:P19)</f>
        <v>0.72311844294537164</v>
      </c>
      <c r="Q75" s="265">
        <f>'Balance Sheet'!Q30/SUM('Balance Sheet'!Q18:Q19)</f>
        <v>0.72311844294537153</v>
      </c>
      <c r="S75" s="401" t="s">
        <v>437</v>
      </c>
      <c r="T75" s="402"/>
      <c r="U75" s="402"/>
      <c r="V75" s="402"/>
      <c r="W75" s="402"/>
      <c r="X75" s="402"/>
      <c r="Y75" s="402"/>
      <c r="Z75" s="402"/>
      <c r="AA75" s="402"/>
      <c r="AB75" s="402"/>
      <c r="AC75" s="402"/>
      <c r="AD75" s="402"/>
      <c r="AE75" s="402"/>
      <c r="AF75" s="402"/>
      <c r="AG75" s="402"/>
      <c r="AH75" s="402"/>
      <c r="AI75" s="403"/>
    </row>
    <row r="76" spans="2:35">
      <c r="C76" s="265"/>
      <c r="D76" s="265"/>
      <c r="E76" s="265"/>
      <c r="F76" s="265"/>
      <c r="G76" s="265"/>
      <c r="H76" s="265"/>
      <c r="I76" s="265"/>
      <c r="J76" s="265"/>
      <c r="K76" s="265"/>
      <c r="L76" s="265"/>
      <c r="M76" s="265"/>
      <c r="N76" s="265"/>
      <c r="O76" s="265"/>
      <c r="P76" s="265"/>
      <c r="Q76" s="265"/>
      <c r="S76" s="401"/>
      <c r="T76" s="402"/>
      <c r="U76" s="402"/>
      <c r="V76" s="402"/>
      <c r="W76" s="402"/>
      <c r="X76" s="402"/>
      <c r="Y76" s="402"/>
      <c r="Z76" s="402"/>
      <c r="AA76" s="402"/>
      <c r="AB76" s="402"/>
      <c r="AC76" s="402"/>
      <c r="AD76" s="402"/>
      <c r="AE76" s="402"/>
      <c r="AF76" s="402"/>
      <c r="AG76" s="402"/>
      <c r="AH76" s="402"/>
      <c r="AI76" s="403"/>
    </row>
    <row r="77" spans="2:35">
      <c r="C77" s="265"/>
      <c r="D77" s="265"/>
      <c r="E77" s="265"/>
      <c r="F77" s="265"/>
      <c r="G77" s="265"/>
      <c r="H77" s="265"/>
      <c r="I77" s="265"/>
      <c r="J77" s="265"/>
      <c r="K77" s="265"/>
      <c r="L77" s="265"/>
      <c r="M77" s="265"/>
      <c r="N77" s="265"/>
      <c r="O77" s="265"/>
      <c r="P77" s="265"/>
      <c r="Q77" s="265"/>
      <c r="S77" s="401"/>
      <c r="T77" s="402"/>
      <c r="U77" s="402"/>
      <c r="V77" s="402"/>
      <c r="W77" s="402"/>
      <c r="X77" s="402"/>
      <c r="Y77" s="402"/>
      <c r="Z77" s="402"/>
      <c r="AA77" s="402"/>
      <c r="AB77" s="402"/>
      <c r="AC77" s="402"/>
      <c r="AD77" s="402"/>
      <c r="AE77" s="402"/>
      <c r="AF77" s="402"/>
      <c r="AG77" s="402"/>
      <c r="AH77" s="402"/>
      <c r="AI77" s="403"/>
    </row>
    <row r="78" spans="2:35">
      <c r="C78" s="265"/>
      <c r="D78" s="265"/>
      <c r="E78" s="265"/>
      <c r="F78" s="265"/>
      <c r="G78" s="265"/>
      <c r="H78" s="265"/>
      <c r="I78" s="265"/>
      <c r="J78" s="265"/>
      <c r="K78" s="265"/>
      <c r="L78" s="265"/>
      <c r="M78" s="265"/>
      <c r="N78" s="265"/>
      <c r="O78" s="265"/>
      <c r="P78" s="265"/>
      <c r="Q78" s="265"/>
      <c r="S78" s="401"/>
      <c r="T78" s="402"/>
      <c r="U78" s="402"/>
      <c r="V78" s="402"/>
      <c r="W78" s="402"/>
      <c r="X78" s="402"/>
      <c r="Y78" s="402"/>
      <c r="Z78" s="402"/>
      <c r="AA78" s="402"/>
      <c r="AB78" s="402"/>
      <c r="AC78" s="402"/>
      <c r="AD78" s="402"/>
      <c r="AE78" s="402"/>
      <c r="AF78" s="402"/>
      <c r="AG78" s="402"/>
      <c r="AH78" s="402"/>
      <c r="AI78" s="403"/>
    </row>
    <row r="79" spans="2:35">
      <c r="B79" t="s">
        <v>337</v>
      </c>
      <c r="C79" s="265">
        <f>SUM('Balance Sheet'!C27:C28)/SUM('Balance Sheet'!C18:C19)</f>
        <v>9.3587089031906059E-2</v>
      </c>
      <c r="D79" s="265">
        <f>SUM('Balance Sheet'!D27:D28)/SUM('Balance Sheet'!D18:D19)</f>
        <v>9.759360159252016E-2</v>
      </c>
      <c r="E79" s="265">
        <f>SUM('Balance Sheet'!E27:E28)/SUM('Balance Sheet'!E18:E19)</f>
        <v>7.1234056261969603E-2</v>
      </c>
      <c r="F79" s="265">
        <f>SUM('Balance Sheet'!F27:F28)/SUM('Balance Sheet'!F18:F19)</f>
        <v>6.5754523013600102E-2</v>
      </c>
      <c r="G79" s="265">
        <f>SUM('Balance Sheet'!G27:G28)/SUM('Balance Sheet'!G18:G19)</f>
        <v>6.5797730314660935E-2</v>
      </c>
      <c r="H79" s="265">
        <f>SUM('Balance Sheet'!H27:H28)/SUM('Balance Sheet'!H18:H19)</f>
        <v>8.169101786928773E-2</v>
      </c>
      <c r="I79" s="265">
        <f>SUM('Balance Sheet'!I27:I28)/SUM('Balance Sheet'!I18:I19)</f>
        <v>8.2842920490632008E-2</v>
      </c>
      <c r="J79" s="265">
        <f>SUM('Balance Sheet'!J27:J28)/SUM('Balance Sheet'!J18:J19)</f>
        <v>8.4770702346290638E-2</v>
      </c>
      <c r="K79" s="265">
        <f>SUM('Balance Sheet'!K27:K28)/SUM('Balance Sheet'!K18:K19)</f>
        <v>8.7341698739672638E-2</v>
      </c>
      <c r="L79" s="265">
        <f>SUM('Balance Sheet'!L27:L28)/SUM('Balance Sheet'!L18:L19)</f>
        <v>9.0459083486957109E-2</v>
      </c>
      <c r="M79" s="265">
        <f>SUM('Balance Sheet'!M27:M28)/SUM('Balance Sheet'!M18:M19)</f>
        <v>9.4050648929660974E-2</v>
      </c>
      <c r="N79" s="265">
        <f>SUM('Balance Sheet'!N27:N28)/SUM('Balance Sheet'!N18:N19)</f>
        <v>9.8061301463528192E-2</v>
      </c>
      <c r="O79" s="265">
        <f>SUM('Balance Sheet'!O27:O28)/SUM('Balance Sheet'!O18:O19)</f>
        <v>0.10244797313248143</v>
      </c>
      <c r="P79" s="265">
        <f>SUM('Balance Sheet'!P27:P28)/SUM('Balance Sheet'!P18:P19)</f>
        <v>0.10717613039005264</v>
      </c>
      <c r="Q79" s="265">
        <f>SUM('Balance Sheet'!Q27:Q28)/SUM('Balance Sheet'!Q18:Q19)</f>
        <v>0.11221735494005163</v>
      </c>
      <c r="S79" s="401" t="s">
        <v>438</v>
      </c>
      <c r="T79" s="402"/>
      <c r="U79" s="402"/>
      <c r="V79" s="402"/>
      <c r="W79" s="402"/>
      <c r="X79" s="402"/>
      <c r="Y79" s="402"/>
      <c r="Z79" s="402"/>
      <c r="AA79" s="402"/>
      <c r="AB79" s="402"/>
      <c r="AC79" s="402"/>
      <c r="AD79" s="402"/>
      <c r="AE79" s="402"/>
      <c r="AF79" s="402"/>
      <c r="AG79" s="402"/>
      <c r="AH79" s="402"/>
      <c r="AI79" s="403"/>
    </row>
    <row r="80" spans="2:35">
      <c r="C80" s="265"/>
      <c r="D80" s="265"/>
      <c r="E80" s="265"/>
      <c r="F80" s="265"/>
      <c r="G80" s="265"/>
      <c r="H80" s="265"/>
      <c r="I80" s="265"/>
      <c r="J80" s="265"/>
      <c r="K80" s="265"/>
      <c r="L80" s="265"/>
      <c r="M80" s="265"/>
      <c r="N80" s="265"/>
      <c r="O80" s="265"/>
      <c r="P80" s="265"/>
      <c r="Q80" s="265"/>
      <c r="S80" s="401"/>
      <c r="T80" s="402"/>
      <c r="U80" s="402"/>
      <c r="V80" s="402"/>
      <c r="W80" s="402"/>
      <c r="X80" s="402"/>
      <c r="Y80" s="402"/>
      <c r="Z80" s="402"/>
      <c r="AA80" s="402"/>
      <c r="AB80" s="402"/>
      <c r="AC80" s="402"/>
      <c r="AD80" s="402"/>
      <c r="AE80" s="402"/>
      <c r="AF80" s="402"/>
      <c r="AG80" s="402"/>
      <c r="AH80" s="402"/>
      <c r="AI80" s="403"/>
    </row>
    <row r="81" spans="2:35">
      <c r="C81" s="265"/>
      <c r="D81" s="265"/>
      <c r="E81" s="265"/>
      <c r="F81" s="265"/>
      <c r="G81" s="265"/>
      <c r="H81" s="265"/>
      <c r="I81" s="265"/>
      <c r="J81" s="265"/>
      <c r="K81" s="265"/>
      <c r="L81" s="265"/>
      <c r="M81" s="265"/>
      <c r="N81" s="265"/>
      <c r="O81" s="265"/>
      <c r="P81" s="265"/>
      <c r="Q81" s="265"/>
      <c r="S81" s="401"/>
      <c r="T81" s="402"/>
      <c r="U81" s="402"/>
      <c r="V81" s="402"/>
      <c r="W81" s="402"/>
      <c r="X81" s="402"/>
      <c r="Y81" s="402"/>
      <c r="Z81" s="402"/>
      <c r="AA81" s="402"/>
      <c r="AB81" s="402"/>
      <c r="AC81" s="402"/>
      <c r="AD81" s="402"/>
      <c r="AE81" s="402"/>
      <c r="AF81" s="402"/>
      <c r="AG81" s="402"/>
      <c r="AH81" s="402"/>
      <c r="AI81" s="403"/>
    </row>
    <row r="82" spans="2:35">
      <c r="C82" s="265"/>
      <c r="D82" s="265"/>
      <c r="E82" s="265"/>
      <c r="F82" s="265"/>
      <c r="G82" s="265"/>
      <c r="H82" s="265"/>
      <c r="I82" s="265"/>
      <c r="J82" s="265"/>
      <c r="K82" s="265"/>
      <c r="L82" s="265"/>
      <c r="M82" s="265"/>
      <c r="N82" s="265"/>
      <c r="O82" s="265"/>
      <c r="P82" s="265"/>
      <c r="Q82" s="265"/>
      <c r="S82" s="401"/>
      <c r="T82" s="402"/>
      <c r="U82" s="402"/>
      <c r="V82" s="402"/>
      <c r="W82" s="402"/>
      <c r="X82" s="402"/>
      <c r="Y82" s="402"/>
      <c r="Z82" s="402"/>
      <c r="AA82" s="402"/>
      <c r="AB82" s="402"/>
      <c r="AC82" s="402"/>
      <c r="AD82" s="402"/>
      <c r="AE82" s="402"/>
      <c r="AF82" s="402"/>
      <c r="AG82" s="402"/>
      <c r="AH82" s="402"/>
      <c r="AI82" s="403"/>
    </row>
    <row r="83" spans="2:35">
      <c r="B83" t="s">
        <v>338</v>
      </c>
      <c r="C83" s="265">
        <f>SUM('Balance Sheet'!C27:C29)/'Balance Sheet'!C33</f>
        <v>0.40094103228643407</v>
      </c>
      <c r="D83" s="265">
        <f>SUM('Balance Sheet'!D27:D29)/'Balance Sheet'!D33</f>
        <v>0.40579039044026277</v>
      </c>
      <c r="E83" s="265">
        <f>SUM('Balance Sheet'!E27:E29)/'Balance Sheet'!E33</f>
        <v>0.37475025221678593</v>
      </c>
      <c r="F83" s="265">
        <f>SUM('Balance Sheet'!F27:F29)/'Balance Sheet'!F33</f>
        <v>0.36192464912993244</v>
      </c>
      <c r="G83" s="265">
        <f>SUM('Balance Sheet'!G27:G29)/'Balance Sheet'!G33</f>
        <v>0.35048798077348275</v>
      </c>
      <c r="H83" s="265">
        <f>SUM('Balance Sheet'!H27:H29)/'Balance Sheet'!H33</f>
        <v>0.38137655950943378</v>
      </c>
      <c r="I83" s="265">
        <f>SUM('Balance Sheet'!I27:I29)/'Balance Sheet'!I33</f>
        <v>0.38195145599817731</v>
      </c>
      <c r="J83" s="265">
        <f>SUM('Balance Sheet'!J27:J29)/'Balance Sheet'!J33</f>
        <v>0.38287293926164828</v>
      </c>
      <c r="K83" s="265">
        <f>SUM('Balance Sheet'!K27:K29)/'Balance Sheet'!K33</f>
        <v>0.38407763206337697</v>
      </c>
      <c r="L83" s="265">
        <f>SUM('Balance Sheet'!L27:L29)/'Balance Sheet'!L33</f>
        <v>0.38551861547251343</v>
      </c>
      <c r="M83" s="265">
        <f>SUM('Balance Sheet'!M27:M29)/'Balance Sheet'!M33</f>
        <v>0.38716034003525307</v>
      </c>
      <c r="N83" s="265">
        <f>SUM('Balance Sheet'!N27:N29)/'Balance Sheet'!N33</f>
        <v>0.38897519437147926</v>
      </c>
      <c r="O83" s="265">
        <f>SUM('Balance Sheet'!O27:O29)/'Balance Sheet'!O33</f>
        <v>0.39094116918878896</v>
      </c>
      <c r="P83" s="265">
        <f>SUM('Balance Sheet'!P27:P29)/'Balance Sheet'!P33</f>
        <v>0.39304025380924767</v>
      </c>
      <c r="Q83" s="265">
        <f>SUM('Balance Sheet'!Q27:Q29)/'Balance Sheet'!Q33</f>
        <v>0.39525732810155678</v>
      </c>
      <c r="S83" s="401" t="s">
        <v>439</v>
      </c>
      <c r="T83" s="402"/>
      <c r="U83" s="402"/>
      <c r="V83" s="402"/>
      <c r="W83" s="402"/>
      <c r="X83" s="402"/>
      <c r="Y83" s="402"/>
      <c r="Z83" s="402"/>
      <c r="AA83" s="402"/>
      <c r="AB83" s="402"/>
      <c r="AC83" s="402"/>
      <c r="AD83" s="402"/>
      <c r="AE83" s="402"/>
      <c r="AF83" s="402"/>
      <c r="AG83" s="402"/>
      <c r="AH83" s="402"/>
      <c r="AI83" s="403"/>
    </row>
    <row r="84" spans="2:35">
      <c r="C84" s="265"/>
      <c r="D84" s="265"/>
      <c r="E84" s="265"/>
      <c r="F84" s="265"/>
      <c r="G84" s="265"/>
      <c r="H84" s="265"/>
      <c r="I84" s="265"/>
      <c r="J84" s="265"/>
      <c r="K84" s="265"/>
      <c r="L84" s="265"/>
      <c r="M84" s="265"/>
      <c r="N84" s="265"/>
      <c r="O84" s="265"/>
      <c r="P84" s="265"/>
      <c r="Q84" s="265"/>
      <c r="S84" s="401"/>
      <c r="T84" s="402"/>
      <c r="U84" s="402"/>
      <c r="V84" s="402"/>
      <c r="W84" s="402"/>
      <c r="X84" s="402"/>
      <c r="Y84" s="402"/>
      <c r="Z84" s="402"/>
      <c r="AA84" s="402"/>
      <c r="AB84" s="402"/>
      <c r="AC84" s="402"/>
      <c r="AD84" s="402"/>
      <c r="AE84" s="402"/>
      <c r="AF84" s="402"/>
      <c r="AG84" s="402"/>
      <c r="AH84" s="402"/>
      <c r="AI84" s="403"/>
    </row>
    <row r="85" spans="2:35">
      <c r="C85" s="265"/>
      <c r="D85" s="265"/>
      <c r="E85" s="265"/>
      <c r="F85" s="265"/>
      <c r="G85" s="265"/>
      <c r="H85" s="265"/>
      <c r="I85" s="265"/>
      <c r="J85" s="265"/>
      <c r="K85" s="265"/>
      <c r="L85" s="265"/>
      <c r="M85" s="265"/>
      <c r="N85" s="265"/>
      <c r="O85" s="265"/>
      <c r="P85" s="265"/>
      <c r="Q85" s="265"/>
      <c r="S85" s="401"/>
      <c r="T85" s="402"/>
      <c r="U85" s="402"/>
      <c r="V85" s="402"/>
      <c r="W85" s="402"/>
      <c r="X85" s="402"/>
      <c r="Y85" s="402"/>
      <c r="Z85" s="402"/>
      <c r="AA85" s="402"/>
      <c r="AB85" s="402"/>
      <c r="AC85" s="402"/>
      <c r="AD85" s="402"/>
      <c r="AE85" s="402"/>
      <c r="AF85" s="402"/>
      <c r="AG85" s="402"/>
      <c r="AH85" s="402"/>
      <c r="AI85" s="403"/>
    </row>
    <row r="86" spans="2:35">
      <c r="C86" s="265"/>
      <c r="D86" s="265"/>
      <c r="E86" s="265"/>
      <c r="F86" s="265"/>
      <c r="G86" s="265"/>
      <c r="H86" s="265"/>
      <c r="I86" s="265"/>
      <c r="J86" s="265"/>
      <c r="K86" s="265"/>
      <c r="L86" s="265"/>
      <c r="M86" s="265"/>
      <c r="N86" s="265"/>
      <c r="O86" s="265"/>
      <c r="P86" s="265"/>
      <c r="Q86" s="265"/>
      <c r="S86" s="401"/>
      <c r="T86" s="402"/>
      <c r="U86" s="402"/>
      <c r="V86" s="402"/>
      <c r="W86" s="402"/>
      <c r="X86" s="402"/>
      <c r="Y86" s="402"/>
      <c r="Z86" s="402"/>
      <c r="AA86" s="402"/>
      <c r="AB86" s="402"/>
      <c r="AC86" s="402"/>
      <c r="AD86" s="402"/>
      <c r="AE86" s="402"/>
      <c r="AF86" s="402"/>
      <c r="AG86" s="402"/>
      <c r="AH86" s="402"/>
      <c r="AI86" s="403"/>
    </row>
    <row r="87" spans="2:35">
      <c r="B87" t="s">
        <v>339</v>
      </c>
      <c r="C87" s="265">
        <f>'Balance Sheet'!C20/'Balance Sheet'!C22</f>
        <v>9.512175525755992E-2</v>
      </c>
      <c r="D87" s="265">
        <f>'Balance Sheet'!D20/'Balance Sheet'!D22</f>
        <v>8.9046776765913535E-2</v>
      </c>
      <c r="E87" s="265">
        <f>'Balance Sheet'!E20/'Balance Sheet'!E22</f>
        <v>9.3352066558514482E-2</v>
      </c>
      <c r="F87" s="265">
        <f>'Balance Sheet'!F20/'Balance Sheet'!F22</f>
        <v>0.10147342689380436</v>
      </c>
      <c r="G87" s="265">
        <f>'Balance Sheet'!G20/'Balance Sheet'!G22</f>
        <v>8.9711592525052897E-2</v>
      </c>
      <c r="H87" s="265">
        <f>'Balance Sheet'!H20/'Balance Sheet'!H22</f>
        <v>9.3638787123208778E-2</v>
      </c>
      <c r="I87" s="265">
        <f>'Balance Sheet'!I20/'Balance Sheet'!I22</f>
        <v>9.3638787123208805E-2</v>
      </c>
      <c r="J87" s="265">
        <f>'Balance Sheet'!J20/'Balance Sheet'!J22</f>
        <v>9.3638787123208791E-2</v>
      </c>
      <c r="K87" s="265">
        <f>'Balance Sheet'!K20/'Balance Sheet'!K22</f>
        <v>9.3638787123208791E-2</v>
      </c>
      <c r="L87" s="265">
        <f>'Balance Sheet'!L20/'Balance Sheet'!L22</f>
        <v>9.3638787123208778E-2</v>
      </c>
      <c r="M87" s="265">
        <f>'Balance Sheet'!M20/'Balance Sheet'!M22</f>
        <v>9.3638787123208791E-2</v>
      </c>
      <c r="N87" s="265">
        <f>'Balance Sheet'!N20/'Balance Sheet'!N22</f>
        <v>9.3638787123208791E-2</v>
      </c>
      <c r="O87" s="265">
        <f>'Balance Sheet'!O20/'Balance Sheet'!O22</f>
        <v>9.3638787123208791E-2</v>
      </c>
      <c r="P87" s="265">
        <f>'Balance Sheet'!P20/'Balance Sheet'!P22</f>
        <v>9.3638787123208791E-2</v>
      </c>
      <c r="Q87" s="265">
        <f>'Balance Sheet'!Q20/'Balance Sheet'!Q22</f>
        <v>9.3638787123208778E-2</v>
      </c>
      <c r="S87" s="401" t="s">
        <v>440</v>
      </c>
      <c r="T87" s="402"/>
      <c r="U87" s="402"/>
      <c r="V87" s="402"/>
      <c r="W87" s="402"/>
      <c r="X87" s="402"/>
      <c r="Y87" s="402"/>
      <c r="Z87" s="402"/>
      <c r="AA87" s="402"/>
      <c r="AB87" s="402"/>
      <c r="AC87" s="402"/>
      <c r="AD87" s="402"/>
      <c r="AE87" s="402"/>
      <c r="AF87" s="402"/>
      <c r="AG87" s="402"/>
      <c r="AH87" s="402"/>
      <c r="AI87" s="403"/>
    </row>
    <row r="88" spans="2:35">
      <c r="C88" s="265"/>
      <c r="D88" s="265"/>
      <c r="E88" s="265"/>
      <c r="F88" s="265"/>
      <c r="G88" s="265"/>
      <c r="H88" s="265"/>
      <c r="I88" s="265"/>
      <c r="J88" s="265"/>
      <c r="K88" s="265"/>
      <c r="L88" s="265"/>
      <c r="M88" s="265"/>
      <c r="N88" s="265"/>
      <c r="O88" s="265"/>
      <c r="P88" s="265"/>
      <c r="Q88" s="265"/>
      <c r="S88" s="401"/>
      <c r="T88" s="402"/>
      <c r="U88" s="402"/>
      <c r="V88" s="402"/>
      <c r="W88" s="402"/>
      <c r="X88" s="402"/>
      <c r="Y88" s="402"/>
      <c r="Z88" s="402"/>
      <c r="AA88" s="402"/>
      <c r="AB88" s="402"/>
      <c r="AC88" s="402"/>
      <c r="AD88" s="402"/>
      <c r="AE88" s="402"/>
      <c r="AF88" s="402"/>
      <c r="AG88" s="402"/>
      <c r="AH88" s="402"/>
      <c r="AI88" s="403"/>
    </row>
    <row r="89" spans="2:35">
      <c r="C89" s="265"/>
      <c r="D89" s="265"/>
      <c r="E89" s="265"/>
      <c r="F89" s="265"/>
      <c r="G89" s="265"/>
      <c r="H89" s="265"/>
      <c r="I89" s="265"/>
      <c r="J89" s="265"/>
      <c r="K89" s="265"/>
      <c r="L89" s="265"/>
      <c r="M89" s="265"/>
      <c r="N89" s="265"/>
      <c r="O89" s="265"/>
      <c r="P89" s="265"/>
      <c r="Q89" s="265"/>
      <c r="S89" s="401"/>
      <c r="T89" s="402"/>
      <c r="U89" s="402"/>
      <c r="V89" s="402"/>
      <c r="W89" s="402"/>
      <c r="X89" s="402"/>
      <c r="Y89" s="402"/>
      <c r="Z89" s="402"/>
      <c r="AA89" s="402"/>
      <c r="AB89" s="402"/>
      <c r="AC89" s="402"/>
      <c r="AD89" s="402"/>
      <c r="AE89" s="402"/>
      <c r="AF89" s="402"/>
      <c r="AG89" s="402"/>
      <c r="AH89" s="402"/>
      <c r="AI89" s="403"/>
    </row>
    <row r="90" spans="2:35">
      <c r="C90" s="265"/>
      <c r="D90" s="265"/>
      <c r="E90" s="265"/>
      <c r="F90" s="265"/>
      <c r="G90" s="265"/>
      <c r="H90" s="265"/>
      <c r="I90" s="265"/>
      <c r="J90" s="265"/>
      <c r="K90" s="265"/>
      <c r="L90" s="265"/>
      <c r="M90" s="265"/>
      <c r="N90" s="265"/>
      <c r="O90" s="265"/>
      <c r="P90" s="265"/>
      <c r="Q90" s="265"/>
      <c r="S90" s="401"/>
      <c r="T90" s="402"/>
      <c r="U90" s="402"/>
      <c r="V90" s="402"/>
      <c r="W90" s="402"/>
      <c r="X90" s="402"/>
      <c r="Y90" s="402"/>
      <c r="Z90" s="402"/>
      <c r="AA90" s="402"/>
      <c r="AB90" s="402"/>
      <c r="AC90" s="402"/>
      <c r="AD90" s="402"/>
      <c r="AE90" s="402"/>
      <c r="AF90" s="402"/>
      <c r="AG90" s="402"/>
      <c r="AH90" s="402"/>
      <c r="AI90" s="403"/>
    </row>
    <row r="91" spans="2:35">
      <c r="B91" s="272" t="s">
        <v>340</v>
      </c>
      <c r="C91" s="247"/>
      <c r="D91" s="247"/>
      <c r="E91" s="247"/>
      <c r="F91" s="247"/>
      <c r="G91" s="247"/>
      <c r="H91" s="247"/>
      <c r="I91" s="247"/>
      <c r="J91" s="247"/>
      <c r="K91" s="247"/>
      <c r="L91" s="247"/>
      <c r="M91" s="247"/>
      <c r="N91" s="247"/>
      <c r="O91" s="247"/>
      <c r="P91" s="247"/>
      <c r="Q91" s="247"/>
      <c r="R91" s="273"/>
    </row>
    <row r="92" spans="2:35">
      <c r="B92" s="1"/>
    </row>
    <row r="93" spans="2:35">
      <c r="B93" t="s">
        <v>341</v>
      </c>
      <c r="C93" s="265">
        <f>'Balance Sheet'!C33/'Balance Sheet'!C15</f>
        <v>16.990993448483003</v>
      </c>
      <c r="D93" s="265">
        <f>'Balance Sheet'!D33/'Balance Sheet'!D15</f>
        <v>16.92222292489431</v>
      </c>
      <c r="E93" s="265">
        <f>'Balance Sheet'!E33/'Balance Sheet'!E15</f>
        <v>16.016492323252056</v>
      </c>
      <c r="F93" s="265">
        <f>'Balance Sheet'!F33/'Balance Sheet'!F15</f>
        <v>15.639686976511619</v>
      </c>
      <c r="G93" s="265">
        <f>'Balance Sheet'!G33/'Balance Sheet'!G15</f>
        <v>14.481740237753398</v>
      </c>
      <c r="H93" s="265">
        <f>'Balance Sheet'!H33/'Balance Sheet'!H15</f>
        <v>15.897745023947181</v>
      </c>
      <c r="I93" s="265">
        <f>'Balance Sheet'!I33/'Balance Sheet'!I15</f>
        <v>15.718947761707291</v>
      </c>
      <c r="J93" s="265">
        <f>'Balance Sheet'!J33/'Balance Sheet'!J15</f>
        <v>15.406674826990111</v>
      </c>
      <c r="K93" s="265">
        <f>'Balance Sheet'!K33/'Balance Sheet'!K15</f>
        <v>14.999152637954005</v>
      </c>
      <c r="L93" s="265">
        <f>'Balance Sheet'!L33/'Balance Sheet'!L15</f>
        <v>14.527961822175138</v>
      </c>
      <c r="M93" s="265">
        <f>'Balance Sheet'!M33/'Balance Sheet'!M15</f>
        <v>14.01814985417675</v>
      </c>
      <c r="N93" s="265">
        <f>'Balance Sheet'!N33/'Balance Sheet'!N15</f>
        <v>13.4889469310145</v>
      </c>
      <c r="O93" s="265">
        <f>'Balance Sheet'!O33/'Balance Sheet'!O15</f>
        <v>12.954702397108919</v>
      </c>
      <c r="P93" s="265">
        <f>'Balance Sheet'!P33/'Balance Sheet'!P15</f>
        <v>12.425828269698036</v>
      </c>
      <c r="Q93" s="265">
        <f>'Balance Sheet'!Q33/'Balance Sheet'!Q15</f>
        <v>11.909647623922867</v>
      </c>
      <c r="S93" s="401" t="s">
        <v>441</v>
      </c>
      <c r="T93" s="402"/>
      <c r="U93" s="402"/>
      <c r="V93" s="402"/>
      <c r="W93" s="402"/>
      <c r="X93" s="402"/>
      <c r="Y93" s="402"/>
      <c r="Z93" s="402"/>
      <c r="AA93" s="402"/>
      <c r="AB93" s="402"/>
      <c r="AC93" s="402"/>
      <c r="AD93" s="402"/>
      <c r="AE93" s="402"/>
      <c r="AF93" s="402"/>
      <c r="AG93" s="402"/>
      <c r="AH93" s="402"/>
      <c r="AI93" s="403"/>
    </row>
    <row r="94" spans="2:35">
      <c r="C94" s="265"/>
      <c r="D94" s="265"/>
      <c r="E94" s="265"/>
      <c r="F94" s="265"/>
      <c r="G94" s="265"/>
      <c r="H94" s="265"/>
      <c r="I94" s="265"/>
      <c r="J94" s="265"/>
      <c r="K94" s="265"/>
      <c r="L94" s="265"/>
      <c r="M94" s="265"/>
      <c r="N94" s="265"/>
      <c r="O94" s="265"/>
      <c r="P94" s="265"/>
      <c r="Q94" s="265"/>
      <c r="S94" s="401"/>
      <c r="T94" s="402"/>
      <c r="U94" s="402"/>
      <c r="V94" s="402"/>
      <c r="W94" s="402"/>
      <c r="X94" s="402"/>
      <c r="Y94" s="402"/>
      <c r="Z94" s="402"/>
      <c r="AA94" s="402"/>
      <c r="AB94" s="402"/>
      <c r="AC94" s="402"/>
      <c r="AD94" s="402"/>
      <c r="AE94" s="402"/>
      <c r="AF94" s="402"/>
      <c r="AG94" s="402"/>
      <c r="AH94" s="402"/>
      <c r="AI94" s="403"/>
    </row>
    <row r="95" spans="2:35">
      <c r="C95" s="265"/>
      <c r="D95" s="265"/>
      <c r="E95" s="265"/>
      <c r="F95" s="265"/>
      <c r="G95" s="265"/>
      <c r="H95" s="265"/>
      <c r="I95" s="265"/>
      <c r="J95" s="265"/>
      <c r="K95" s="265"/>
      <c r="L95" s="265"/>
      <c r="M95" s="265"/>
      <c r="N95" s="265"/>
      <c r="O95" s="265"/>
      <c r="P95" s="265"/>
      <c r="Q95" s="265"/>
      <c r="S95" s="401"/>
      <c r="T95" s="402"/>
      <c r="U95" s="402"/>
      <c r="V95" s="402"/>
      <c r="W95" s="402"/>
      <c r="X95" s="402"/>
      <c r="Y95" s="402"/>
      <c r="Z95" s="402"/>
      <c r="AA95" s="402"/>
      <c r="AB95" s="402"/>
      <c r="AC95" s="402"/>
      <c r="AD95" s="402"/>
      <c r="AE95" s="402"/>
      <c r="AF95" s="402"/>
      <c r="AG95" s="402"/>
      <c r="AH95" s="402"/>
      <c r="AI95" s="403"/>
    </row>
    <row r="96" spans="2:35">
      <c r="C96" s="265"/>
      <c r="D96" s="265"/>
      <c r="E96" s="265"/>
      <c r="F96" s="265"/>
      <c r="G96" s="265"/>
      <c r="H96" s="265"/>
      <c r="I96" s="265"/>
      <c r="J96" s="265"/>
      <c r="K96" s="265"/>
      <c r="L96" s="265"/>
      <c r="M96" s="265"/>
      <c r="N96" s="265"/>
      <c r="O96" s="265"/>
      <c r="P96" s="265"/>
      <c r="Q96" s="265"/>
      <c r="S96" s="401"/>
      <c r="T96" s="402"/>
      <c r="U96" s="402"/>
      <c r="V96" s="402"/>
      <c r="W96" s="402"/>
      <c r="X96" s="402"/>
      <c r="Y96" s="402"/>
      <c r="Z96" s="402"/>
      <c r="AA96" s="402"/>
      <c r="AB96" s="402"/>
      <c r="AC96" s="402"/>
      <c r="AD96" s="402"/>
      <c r="AE96" s="402"/>
      <c r="AF96" s="402"/>
      <c r="AG96" s="402"/>
      <c r="AH96" s="402"/>
      <c r="AI96" s="403"/>
    </row>
    <row r="97" spans="2:35">
      <c r="B97" t="s">
        <v>347</v>
      </c>
      <c r="C97" s="265">
        <f>'Balance Sheet'!C20/'Balance Sheet'!C15</f>
        <v>1.5210913651318447</v>
      </c>
      <c r="D97" s="265">
        <f>'Balance Sheet'!D20/'Balance Sheet'!D15</f>
        <v>1.4178226304101744</v>
      </c>
      <c r="E97" s="265">
        <f>'Balance Sheet'!E20/'Balance Sheet'!E15</f>
        <v>1.4018205908356471</v>
      </c>
      <c r="F97" s="265">
        <f>'Balance Sheet'!F20/'Balance Sheet'!F15</f>
        <v>1.4855392061592314</v>
      </c>
      <c r="G97" s="265">
        <f>'Balance Sheet'!G20/'Balance Sheet'!G15</f>
        <v>1.2094683867379428</v>
      </c>
      <c r="H97" s="265">
        <f>'Balance Sheet'!H20/'Balance Sheet'!H15</f>
        <v>1.3950067749132331</v>
      </c>
      <c r="I97" s="265">
        <f>'Balance Sheet'!I20/'Balance Sheet'!I15</f>
        <v>1.3782644161361395</v>
      </c>
      <c r="J97" s="265">
        <f>'Balance Sheet'!J20/'Balance Sheet'!J15</f>
        <v>1.3490235572778178</v>
      </c>
      <c r="K97" s="265">
        <f>'Balance Sheet'!K20/'Balance Sheet'!K15</f>
        <v>1.3108636737706822</v>
      </c>
      <c r="L97" s="265">
        <f>'Balance Sheet'!L20/'Balance Sheet'!L15</f>
        <v>1.2667419372775532</v>
      </c>
      <c r="M97" s="265">
        <f>'Balance Sheet'!M20/'Balance Sheet'!M15</f>
        <v>1.2190037629332884</v>
      </c>
      <c r="N97" s="265">
        <f>'Balance Sheet'!N20/'Balance Sheet'!N15</f>
        <v>1.1694498430663185</v>
      </c>
      <c r="O97" s="265">
        <f>'Balance Sheet'!O20/'Balance Sheet'!O15</f>
        <v>1.1194238328841963</v>
      </c>
      <c r="P97" s="265">
        <f>'Balance Sheet'!P20/'Balance Sheet'!P15</f>
        <v>1.0699007010525954</v>
      </c>
      <c r="Q97" s="265">
        <f>'Balance Sheet'!Q20/'Balance Sheet'!Q15</f>
        <v>1.0215661714457338</v>
      </c>
      <c r="S97" s="401" t="s">
        <v>442</v>
      </c>
      <c r="T97" s="402"/>
      <c r="U97" s="402"/>
      <c r="V97" s="402"/>
      <c r="W97" s="402"/>
      <c r="X97" s="402"/>
      <c r="Y97" s="402"/>
      <c r="Z97" s="402"/>
      <c r="AA97" s="402"/>
      <c r="AB97" s="402"/>
      <c r="AC97" s="402"/>
      <c r="AD97" s="402"/>
      <c r="AE97" s="402"/>
      <c r="AF97" s="402"/>
      <c r="AG97" s="402"/>
      <c r="AH97" s="402"/>
      <c r="AI97" s="403"/>
    </row>
    <row r="98" spans="2:35">
      <c r="C98" s="13"/>
      <c r="D98" s="13"/>
      <c r="E98" s="13"/>
      <c r="F98" s="13"/>
      <c r="G98" s="13"/>
      <c r="H98" s="13"/>
      <c r="I98" s="13"/>
      <c r="J98" s="13"/>
      <c r="K98" s="13"/>
      <c r="L98" s="13"/>
      <c r="M98" s="13"/>
      <c r="N98" s="13"/>
      <c r="O98" s="13"/>
      <c r="P98" s="13"/>
      <c r="Q98" s="13"/>
      <c r="S98" s="401"/>
      <c r="T98" s="402"/>
      <c r="U98" s="402"/>
      <c r="V98" s="402"/>
      <c r="W98" s="402"/>
      <c r="X98" s="402"/>
      <c r="Y98" s="402"/>
      <c r="Z98" s="402"/>
      <c r="AA98" s="402"/>
      <c r="AB98" s="402"/>
      <c r="AC98" s="402"/>
      <c r="AD98" s="402"/>
      <c r="AE98" s="402"/>
      <c r="AF98" s="402"/>
      <c r="AG98" s="402"/>
      <c r="AH98" s="402"/>
      <c r="AI98" s="403"/>
    </row>
    <row r="99" spans="2:35">
      <c r="C99" s="13"/>
      <c r="D99" s="13"/>
      <c r="E99" s="13"/>
      <c r="F99" s="13"/>
      <c r="G99" s="13"/>
      <c r="H99" s="13"/>
      <c r="I99" s="13"/>
      <c r="J99" s="13"/>
      <c r="K99" s="13"/>
      <c r="L99" s="13"/>
      <c r="M99" s="13"/>
      <c r="N99" s="13"/>
      <c r="O99" s="13"/>
      <c r="P99" s="13"/>
      <c r="Q99" s="13"/>
      <c r="S99" s="401"/>
      <c r="T99" s="402"/>
      <c r="U99" s="402"/>
      <c r="V99" s="402"/>
      <c r="W99" s="402"/>
      <c r="X99" s="402"/>
      <c r="Y99" s="402"/>
      <c r="Z99" s="402"/>
      <c r="AA99" s="402"/>
      <c r="AB99" s="402"/>
      <c r="AC99" s="402"/>
      <c r="AD99" s="402"/>
      <c r="AE99" s="402"/>
      <c r="AF99" s="402"/>
      <c r="AG99" s="402"/>
      <c r="AH99" s="402"/>
      <c r="AI99" s="403"/>
    </row>
    <row r="100" spans="2:35">
      <c r="C100" s="13"/>
      <c r="D100" s="13"/>
      <c r="E100" s="13"/>
      <c r="F100" s="13"/>
      <c r="G100" s="13"/>
      <c r="H100" s="13"/>
      <c r="I100" s="13"/>
      <c r="J100" s="13"/>
      <c r="K100" s="13"/>
      <c r="L100" s="13"/>
      <c r="M100" s="13"/>
      <c r="N100" s="13"/>
      <c r="O100" s="13"/>
      <c r="P100" s="13"/>
      <c r="Q100" s="13"/>
      <c r="S100" s="401"/>
      <c r="T100" s="402"/>
      <c r="U100" s="402"/>
      <c r="V100" s="402"/>
      <c r="W100" s="402"/>
      <c r="X100" s="402"/>
      <c r="Y100" s="402"/>
      <c r="Z100" s="402"/>
      <c r="AA100" s="402"/>
      <c r="AB100" s="402"/>
      <c r="AC100" s="402"/>
      <c r="AD100" s="402"/>
      <c r="AE100" s="402"/>
      <c r="AF100" s="402"/>
      <c r="AG100" s="402"/>
      <c r="AH100" s="402"/>
      <c r="AI100" s="403"/>
    </row>
    <row r="101" spans="2:35">
      <c r="B101" s="272" t="s">
        <v>348</v>
      </c>
      <c r="C101" s="247"/>
      <c r="D101" s="247"/>
      <c r="E101" s="247"/>
      <c r="F101" s="247"/>
      <c r="G101" s="247"/>
      <c r="H101" s="247"/>
      <c r="I101" s="247"/>
      <c r="J101" s="247"/>
      <c r="K101" s="247"/>
      <c r="L101" s="247"/>
      <c r="M101" s="247"/>
      <c r="N101" s="247"/>
      <c r="O101" s="247"/>
      <c r="P101" s="247"/>
      <c r="Q101" s="247"/>
      <c r="R101" s="273"/>
    </row>
    <row r="102" spans="2:35">
      <c r="B102" s="1"/>
    </row>
    <row r="103" spans="2:35">
      <c r="B103" t="s">
        <v>349</v>
      </c>
      <c r="C103" s="14">
        <f>('Income Statement'!C14+'Income Statement'!C15)/'Income Statement'!C10</f>
        <v>0.5125824681909914</v>
      </c>
      <c r="D103" s="14">
        <f>('Income Statement'!D14+'Income Statement'!D15)/'Income Statement'!D10</f>
        <v>0.49562736776696514</v>
      </c>
      <c r="E103" s="14">
        <f>('Income Statement'!E14+'Income Statement'!E15)/'Income Statement'!E10</f>
        <v>0.43478892641357136</v>
      </c>
      <c r="F103" s="14">
        <f>('Income Statement'!F14+'Income Statement'!F15)/'Income Statement'!F10</f>
        <v>0.38949373921986646</v>
      </c>
      <c r="G103" s="14">
        <f>('Income Statement'!G14+'Income Statement'!G15)/'Income Statement'!G10</f>
        <v>0.37029076717431325</v>
      </c>
      <c r="H103" s="14">
        <f>('Income Statement'!H14+'Income Statement'!H15)/'Income Statement'!H10</f>
        <v>0.44055665375314151</v>
      </c>
      <c r="I103" s="14">
        <f>('Income Statement'!I14+'Income Statement'!I15)/'Income Statement'!I10</f>
        <v>0.44055665375314151</v>
      </c>
      <c r="J103" s="14">
        <f>('Income Statement'!J14+'Income Statement'!J15)/'Income Statement'!J10</f>
        <v>0.44055665375314146</v>
      </c>
      <c r="K103" s="14">
        <f>('Income Statement'!K14+'Income Statement'!K15)/'Income Statement'!K10</f>
        <v>0.44055665375314151</v>
      </c>
      <c r="L103" s="14">
        <f>('Income Statement'!L14+'Income Statement'!L15)/'Income Statement'!L10</f>
        <v>0.44055665375314151</v>
      </c>
      <c r="M103" s="14">
        <f>('Income Statement'!M14+'Income Statement'!M15)/'Income Statement'!M10</f>
        <v>0.44055665375314146</v>
      </c>
      <c r="N103" s="14">
        <f>('Income Statement'!N14+'Income Statement'!N15)/'Income Statement'!N10</f>
        <v>0.44055665375314146</v>
      </c>
      <c r="O103" s="14">
        <f>('Income Statement'!O14+'Income Statement'!O15)/'Income Statement'!O10</f>
        <v>0.44055665375314151</v>
      </c>
      <c r="P103" s="14">
        <f>('Income Statement'!P14+'Income Statement'!P15)/'Income Statement'!P10</f>
        <v>0.44055665375314146</v>
      </c>
      <c r="Q103" s="14">
        <f>('Income Statement'!Q14+'Income Statement'!Q15)/'Income Statement'!Q10</f>
        <v>0.44055665375314151</v>
      </c>
      <c r="S103" s="401" t="s">
        <v>443</v>
      </c>
      <c r="T103" s="402"/>
      <c r="U103" s="402"/>
      <c r="V103" s="402"/>
      <c r="W103" s="402"/>
      <c r="X103" s="402"/>
      <c r="Y103" s="402"/>
      <c r="Z103" s="402"/>
      <c r="AA103" s="402"/>
      <c r="AB103" s="402"/>
      <c r="AC103" s="402"/>
      <c r="AD103" s="402"/>
      <c r="AE103" s="402"/>
      <c r="AF103" s="402"/>
      <c r="AG103" s="402"/>
      <c r="AH103" s="402"/>
      <c r="AI103" s="403"/>
    </row>
    <row r="104" spans="2:35">
      <c r="C104" s="14"/>
      <c r="D104" s="14"/>
      <c r="E104" s="14"/>
      <c r="F104" s="14"/>
      <c r="G104" s="14"/>
      <c r="H104" s="14"/>
      <c r="I104" s="14"/>
      <c r="J104" s="14"/>
      <c r="K104" s="14"/>
      <c r="L104" s="14"/>
      <c r="M104" s="14"/>
      <c r="N104" s="14"/>
      <c r="O104" s="14"/>
      <c r="P104" s="14"/>
      <c r="Q104" s="14"/>
      <c r="S104" s="401"/>
      <c r="T104" s="402"/>
      <c r="U104" s="402"/>
      <c r="V104" s="402"/>
      <c r="W104" s="402"/>
      <c r="X104" s="402"/>
      <c r="Y104" s="402"/>
      <c r="Z104" s="402"/>
      <c r="AA104" s="402"/>
      <c r="AB104" s="402"/>
      <c r="AC104" s="402"/>
      <c r="AD104" s="402"/>
      <c r="AE104" s="402"/>
      <c r="AF104" s="402"/>
      <c r="AG104" s="402"/>
      <c r="AH104" s="402"/>
      <c r="AI104" s="403"/>
    </row>
    <row r="105" spans="2:35">
      <c r="C105" s="14"/>
      <c r="D105" s="14"/>
      <c r="E105" s="14"/>
      <c r="F105" s="14"/>
      <c r="G105" s="14"/>
      <c r="H105" s="14"/>
      <c r="I105" s="14"/>
      <c r="J105" s="14"/>
      <c r="K105" s="14"/>
      <c r="L105" s="14"/>
      <c r="M105" s="14"/>
      <c r="N105" s="14"/>
      <c r="O105" s="14"/>
      <c r="P105" s="14"/>
      <c r="Q105" s="14"/>
      <c r="S105" s="401"/>
      <c r="T105" s="402"/>
      <c r="U105" s="402"/>
      <c r="V105" s="402"/>
      <c r="W105" s="402"/>
      <c r="X105" s="402"/>
      <c r="Y105" s="402"/>
      <c r="Z105" s="402"/>
      <c r="AA105" s="402"/>
      <c r="AB105" s="402"/>
      <c r="AC105" s="402"/>
      <c r="AD105" s="402"/>
      <c r="AE105" s="402"/>
      <c r="AF105" s="402"/>
      <c r="AG105" s="402"/>
      <c r="AH105" s="402"/>
      <c r="AI105" s="403"/>
    </row>
    <row r="106" spans="2:35">
      <c r="C106" s="14"/>
      <c r="D106" s="14"/>
      <c r="E106" s="14"/>
      <c r="F106" s="14"/>
      <c r="G106" s="14"/>
      <c r="H106" s="14"/>
      <c r="I106" s="14"/>
      <c r="J106" s="14"/>
      <c r="K106" s="14"/>
      <c r="L106" s="14"/>
      <c r="M106" s="14"/>
      <c r="N106" s="14"/>
      <c r="O106" s="14"/>
      <c r="P106" s="14"/>
      <c r="Q106" s="14"/>
      <c r="S106" s="401"/>
      <c r="T106" s="402"/>
      <c r="U106" s="402"/>
      <c r="V106" s="402"/>
      <c r="W106" s="402"/>
      <c r="X106" s="402"/>
      <c r="Y106" s="402"/>
      <c r="Z106" s="402"/>
      <c r="AA106" s="402"/>
      <c r="AB106" s="402"/>
      <c r="AC106" s="402"/>
      <c r="AD106" s="402"/>
      <c r="AE106" s="402"/>
      <c r="AF106" s="402"/>
      <c r="AG106" s="402"/>
      <c r="AH106" s="402"/>
      <c r="AI106" s="403"/>
    </row>
    <row r="107" spans="2:35">
      <c r="B107" t="s">
        <v>350</v>
      </c>
      <c r="D107" s="265">
        <f>'Income Statement'!D10/AVERAGE('Balance Sheet'!C31:D31)</f>
        <v>10.215595861886488</v>
      </c>
      <c r="E107" s="265">
        <f>'Income Statement'!E10/AVERAGE('Balance Sheet'!D31:E31)</f>
        <v>11.282000546453938</v>
      </c>
      <c r="F107" s="265">
        <f>'Income Statement'!F10/AVERAGE('Balance Sheet'!E31:F31)</f>
        <v>13.343907973923335</v>
      </c>
      <c r="G107" s="265">
        <f>'Income Statement'!G10/AVERAGE('Balance Sheet'!F31:G31)</f>
        <v>14.571628514907959</v>
      </c>
      <c r="H107" s="265">
        <f>'Income Statement'!H10/AVERAGE('Balance Sheet'!G31:H31)</f>
        <v>14.459739475297829</v>
      </c>
      <c r="I107" s="265">
        <f>'Income Statement'!I10/AVERAGE('Balance Sheet'!H31:I31)</f>
        <v>13.915834436746598</v>
      </c>
      <c r="J107" s="265">
        <f>'Income Statement'!J10/AVERAGE('Balance Sheet'!I31:J31)</f>
        <v>14.029546789985801</v>
      </c>
      <c r="K107" s="265">
        <f>'Income Statement'!K10/AVERAGE('Balance Sheet'!J31:K31)</f>
        <v>14.084093907191315</v>
      </c>
      <c r="L107" s="265">
        <f>'Income Statement'!L10/AVERAGE('Balance Sheet'!K31:L31)</f>
        <v>14.08212712369348</v>
      </c>
      <c r="M107" s="265">
        <f>'Income Statement'!M10/AVERAGE('Balance Sheet'!L31:M31)</f>
        <v>14.027988036535282</v>
      </c>
      <c r="N107" s="265">
        <f>'Income Statement'!N10/AVERAGE('Balance Sheet'!M31:N31)</f>
        <v>13.92702358939944</v>
      </c>
      <c r="O107" s="265">
        <f>'Income Statement'!O10/AVERAGE('Balance Sheet'!N31:O31)</f>
        <v>13.785071521478814</v>
      </c>
      <c r="P107" s="265">
        <f>'Income Statement'!P10/AVERAGE('Balance Sheet'!O31:P31)</f>
        <v>13.608082417052632</v>
      </c>
      <c r="Q107" s="265">
        <f>'Income Statement'!Q10/AVERAGE('Balance Sheet'!P31:Q31)</f>
        <v>13.401851854889848</v>
      </c>
      <c r="S107" s="401" t="s">
        <v>434</v>
      </c>
      <c r="T107" s="402"/>
      <c r="U107" s="402"/>
      <c r="V107" s="402"/>
      <c r="W107" s="402"/>
      <c r="X107" s="402"/>
      <c r="Y107" s="402"/>
      <c r="Z107" s="402"/>
      <c r="AA107" s="402"/>
      <c r="AB107" s="402"/>
      <c r="AC107" s="402"/>
      <c r="AD107" s="402"/>
      <c r="AE107" s="402"/>
      <c r="AF107" s="402"/>
      <c r="AG107" s="402"/>
      <c r="AH107" s="402"/>
      <c r="AI107" s="403"/>
    </row>
    <row r="108" spans="2:35">
      <c r="S108" s="401"/>
      <c r="T108" s="402"/>
      <c r="U108" s="402"/>
      <c r="V108" s="402"/>
      <c r="W108" s="402"/>
      <c r="X108" s="402"/>
      <c r="Y108" s="402"/>
      <c r="Z108" s="402"/>
      <c r="AA108" s="402"/>
      <c r="AB108" s="402"/>
      <c r="AC108" s="402"/>
      <c r="AD108" s="402"/>
      <c r="AE108" s="402"/>
      <c r="AF108" s="402"/>
      <c r="AG108" s="402"/>
      <c r="AH108" s="402"/>
      <c r="AI108" s="403"/>
    </row>
    <row r="109" spans="2:35">
      <c r="S109" s="401"/>
      <c r="T109" s="402"/>
      <c r="U109" s="402"/>
      <c r="V109" s="402"/>
      <c r="W109" s="402"/>
      <c r="X109" s="402"/>
      <c r="Y109" s="402"/>
      <c r="Z109" s="402"/>
      <c r="AA109" s="402"/>
      <c r="AB109" s="402"/>
      <c r="AC109" s="402"/>
      <c r="AD109" s="402"/>
      <c r="AE109" s="402"/>
      <c r="AF109" s="402"/>
      <c r="AG109" s="402"/>
      <c r="AH109" s="402"/>
      <c r="AI109" s="403"/>
    </row>
    <row r="110" spans="2:35">
      <c r="S110" s="401"/>
      <c r="T110" s="402"/>
      <c r="U110" s="402"/>
      <c r="V110" s="402"/>
      <c r="W110" s="402"/>
      <c r="X110" s="402"/>
      <c r="Y110" s="402"/>
      <c r="Z110" s="402"/>
      <c r="AA110" s="402"/>
      <c r="AB110" s="402"/>
      <c r="AC110" s="402"/>
      <c r="AD110" s="402"/>
      <c r="AE110" s="402"/>
      <c r="AF110" s="402"/>
      <c r="AG110" s="402"/>
      <c r="AH110" s="402"/>
      <c r="AI110" s="403"/>
    </row>
    <row r="112" spans="2:35">
      <c r="B112" s="247"/>
      <c r="C112" s="247"/>
      <c r="D112" s="247"/>
      <c r="E112" s="247"/>
      <c r="F112" s="247"/>
      <c r="G112" s="247"/>
      <c r="H112" s="247"/>
      <c r="I112" s="247"/>
      <c r="J112" s="247"/>
      <c r="K112" s="247"/>
      <c r="L112" s="247"/>
      <c r="M112" s="247"/>
      <c r="N112" s="247"/>
      <c r="O112" s="247"/>
      <c r="P112" s="247"/>
      <c r="Q112" s="247"/>
      <c r="R112" s="273"/>
      <c r="S112" s="247"/>
      <c r="T112" s="247"/>
      <c r="U112" s="247"/>
      <c r="V112" s="247"/>
      <c r="W112" s="247"/>
      <c r="X112" s="247"/>
      <c r="Y112" s="247"/>
      <c r="Z112" s="247"/>
      <c r="AA112" s="247"/>
      <c r="AB112" s="247"/>
      <c r="AC112" s="247"/>
      <c r="AD112" s="247"/>
      <c r="AE112" s="247"/>
      <c r="AF112" s="247"/>
      <c r="AG112" s="247"/>
      <c r="AH112" s="247"/>
      <c r="AI112" s="247"/>
    </row>
  </sheetData>
  <mergeCells count="26">
    <mergeCell ref="S103:AI106"/>
    <mergeCell ref="S107:AI110"/>
    <mergeCell ref="S7:AI8"/>
    <mergeCell ref="S75:AI78"/>
    <mergeCell ref="S79:AI82"/>
    <mergeCell ref="S83:AI86"/>
    <mergeCell ref="S87:AI90"/>
    <mergeCell ref="S93:AI96"/>
    <mergeCell ref="S97:AI100"/>
    <mergeCell ref="S53:AI56"/>
    <mergeCell ref="S57:AI60"/>
    <mergeCell ref="S61:AI64"/>
    <mergeCell ref="S65:AI68"/>
    <mergeCell ref="S69:AI72"/>
    <mergeCell ref="S48:AI51"/>
    <mergeCell ref="B7:B8"/>
    <mergeCell ref="R7:R8"/>
    <mergeCell ref="S12:AI15"/>
    <mergeCell ref="S16:AI19"/>
    <mergeCell ref="S20:AI23"/>
    <mergeCell ref="S24:AI27"/>
    <mergeCell ref="S28:AI31"/>
    <mergeCell ref="S32:AI35"/>
    <mergeCell ref="S36:AI39"/>
    <mergeCell ref="S40:AI43"/>
    <mergeCell ref="S44:AI47"/>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Analysis'!C65:Q65</xm:f>
              <xm:sqref>R65</xm:sqref>
            </x14:sparkline>
            <x14:sparkline>
              <xm:f>'Ratio Analysis'!C66:Q66</xm:f>
              <xm:sqref>R66</xm:sqref>
            </x14:sparkline>
            <x14:sparkline>
              <xm:f>'Ratio Analysis'!C67:Q67</xm:f>
              <xm:sqref>R67</xm:sqref>
            </x14:sparkline>
            <x14:sparkline>
              <xm:f>'Ratio Analysis'!C68:Q68</xm:f>
              <xm:sqref>R68</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Analysis'!D107:Q107</xm:f>
              <xm:sqref>R107</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Analysis'!C103:Q103</xm:f>
              <xm:sqref>R103</xm:sqref>
            </x14:sparkline>
            <x14:sparkline>
              <xm:f>'Ratio Analysis'!C104:Q104</xm:f>
              <xm:sqref>R104</xm:sqref>
            </x14:sparkline>
            <x14:sparkline>
              <xm:f>'Ratio Analysis'!C105:Q105</xm:f>
              <xm:sqref>R105</xm:sqref>
            </x14:sparkline>
            <x14:sparkline>
              <xm:f>'Ratio Analysis'!C106:Q106</xm:f>
              <xm:sqref>R106</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Analysis'!C75:Q75</xm:f>
              <xm:sqref>R75</xm:sqref>
            </x14:sparkline>
            <x14:sparkline>
              <xm:f>'Ratio Analysis'!C76:Q76</xm:f>
              <xm:sqref>R76</xm:sqref>
            </x14:sparkline>
            <x14:sparkline>
              <xm:f>'Ratio Analysis'!C77:Q77</xm:f>
              <xm:sqref>R77</xm:sqref>
            </x14:sparkline>
            <x14:sparkline>
              <xm:f>'Ratio Analysis'!C78:Q78</xm:f>
              <xm:sqref>R78</xm:sqref>
            </x14:sparkline>
            <x14:sparkline>
              <xm:f>'Ratio Analysis'!C79:Q79</xm:f>
              <xm:sqref>R79</xm:sqref>
            </x14:sparkline>
            <x14:sparkline>
              <xm:f>'Ratio Analysis'!C80:Q80</xm:f>
              <xm:sqref>R80</xm:sqref>
            </x14:sparkline>
            <x14:sparkline>
              <xm:f>'Ratio Analysis'!C81:Q81</xm:f>
              <xm:sqref>R81</xm:sqref>
            </x14:sparkline>
            <x14:sparkline>
              <xm:f>'Ratio Analysis'!C82:Q82</xm:f>
              <xm:sqref>R82</xm:sqref>
            </x14:sparkline>
            <x14:sparkline>
              <xm:f>'Ratio Analysis'!C83:Q83</xm:f>
              <xm:sqref>R83</xm:sqref>
            </x14:sparkline>
            <x14:sparkline>
              <xm:f>'Ratio Analysis'!C84:Q84</xm:f>
              <xm:sqref>R84</xm:sqref>
            </x14:sparkline>
            <x14:sparkline>
              <xm:f>'Ratio Analysis'!C85:Q85</xm:f>
              <xm:sqref>R85</xm:sqref>
            </x14:sparkline>
            <x14:sparkline>
              <xm:f>'Ratio Analysis'!C86:Q86</xm:f>
              <xm:sqref>R86</xm:sqref>
            </x14:sparkline>
            <x14:sparkline>
              <xm:f>'Ratio Analysis'!C87:Q87</xm:f>
              <xm:sqref>R87</xm:sqref>
            </x14:sparkline>
            <x14:sparkline>
              <xm:f>'Ratio Analysis'!C88:Q88</xm:f>
              <xm:sqref>R88</xm:sqref>
            </x14:sparkline>
            <x14:sparkline>
              <xm:f>'Ratio Analysis'!C89:Q89</xm:f>
              <xm:sqref>R89</xm:sqref>
            </x14:sparkline>
            <x14:sparkline>
              <xm:f>'Ratio Analysis'!C90:Q90</xm:f>
              <xm:sqref>R90</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Analysis'!C93:Q93</xm:f>
              <xm:sqref>R93</xm:sqref>
            </x14:sparkline>
            <x14:sparkline>
              <xm:f>'Ratio Analysis'!C94:Q94</xm:f>
              <xm:sqref>R94</xm:sqref>
            </x14:sparkline>
            <x14:sparkline>
              <xm:f>'Ratio Analysis'!C95:Q95</xm:f>
              <xm:sqref>R95</xm:sqref>
            </x14:sparkline>
            <x14:sparkline>
              <xm:f>'Ratio Analysis'!C96:Q96</xm:f>
              <xm:sqref>R96</xm:sqref>
            </x14:sparkline>
            <x14:sparkline>
              <xm:f>'Ratio Analysis'!C97:Q97</xm:f>
              <xm:sqref>R97</xm:sqref>
            </x14:sparkline>
            <x14:sparkline>
              <xm:f>'Ratio Analysis'!C98:Q98</xm:f>
              <xm:sqref>R98</xm:sqref>
            </x14:sparkline>
            <x14:sparkline>
              <xm:f>'Ratio Analysis'!C99:Q99</xm:f>
              <xm:sqref>R99</xm:sqref>
            </x14:sparkline>
            <x14:sparkline>
              <xm:f>'Ratio Analysis'!C100:Q100</xm:f>
              <xm:sqref>R100</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Analysis'!C69:Q69</xm:f>
              <xm:sqref>R69</xm:sqref>
            </x14:sparkline>
            <x14:sparkline>
              <xm:f>'Ratio Analysis'!C70:Q70</xm:f>
              <xm:sqref>R70</xm:sqref>
            </x14:sparkline>
            <x14:sparkline>
              <xm:f>'Ratio Analysis'!C71:Q71</xm:f>
              <xm:sqref>R71</xm:sqref>
            </x14:sparkline>
            <x14:sparkline>
              <xm:f>'Ratio Analysis'!C72:Q72</xm:f>
              <xm:sqref>R72</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Analysis'!D53:Q53</xm:f>
              <xm:sqref>R53</xm:sqref>
            </x14:sparkline>
            <x14:sparkline>
              <xm:f>'Ratio Analysis'!D54:Q54</xm:f>
              <xm:sqref>R54</xm:sqref>
            </x14:sparkline>
            <x14:sparkline>
              <xm:f>'Ratio Analysis'!D55:Q55</xm:f>
              <xm:sqref>R55</xm:sqref>
            </x14:sparkline>
            <x14:sparkline>
              <xm:f>'Ratio Analysis'!D56:Q56</xm:f>
              <xm:sqref>R56</xm:sqref>
            </x14:sparkline>
            <x14:sparkline>
              <xm:f>'Ratio Analysis'!D57:Q57</xm:f>
              <xm:sqref>R57</xm:sqref>
            </x14:sparkline>
            <x14:sparkline>
              <xm:f>'Ratio Analysis'!D58:Q58</xm:f>
              <xm:sqref>R58</xm:sqref>
            </x14:sparkline>
            <x14:sparkline>
              <xm:f>'Ratio Analysis'!D59:Q59</xm:f>
              <xm:sqref>R59</xm:sqref>
            </x14:sparkline>
            <x14:sparkline>
              <xm:f>'Ratio Analysis'!D60:Q60</xm:f>
              <xm:sqref>R60</xm:sqref>
            </x14:sparkline>
            <x14:sparkline>
              <xm:f>'Ratio Analysis'!D61:Q61</xm:f>
              <xm:sqref>R61</xm:sqref>
            </x14:sparkline>
            <x14:sparkline>
              <xm:f>'Ratio Analysis'!D62:Q62</xm:f>
              <xm:sqref>R62</xm:sqref>
            </x14:sparkline>
            <x14:sparkline>
              <xm:f>'Ratio Analysis'!D63:Q63</xm:f>
              <xm:sqref>R63</xm:sqref>
            </x14:sparkline>
            <x14:sparkline>
              <xm:f>'Ratio Analysis'!D64:Q64</xm:f>
              <xm:sqref>R64</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Analysis'!D48:Q48</xm:f>
              <xm:sqref>R48</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Analysis'!C16:Q16</xm:f>
              <xm:sqref>R16</xm:sqref>
            </x14:sparkline>
            <x14:sparkline>
              <xm:f>'Ratio Analysis'!C17:Q17</xm:f>
              <xm:sqref>R17</xm:sqref>
            </x14:sparkline>
            <x14:sparkline>
              <xm:f>'Ratio Analysis'!C18:Q18</xm:f>
              <xm:sqref>R18</xm:sqref>
            </x14:sparkline>
            <x14:sparkline>
              <xm:f>'Ratio Analysis'!C19:Q19</xm:f>
              <xm:sqref>R19</xm:sqref>
            </x14:sparkline>
            <x14:sparkline>
              <xm:f>'Ratio Analysis'!C20:Q20</xm:f>
              <xm:sqref>R20</xm:sqref>
            </x14:sparkline>
            <x14:sparkline>
              <xm:f>'Ratio Analysis'!C21:Q21</xm:f>
              <xm:sqref>R21</xm:sqref>
            </x14:sparkline>
            <x14:sparkline>
              <xm:f>'Ratio Analysis'!C22:Q22</xm:f>
              <xm:sqref>R22</xm:sqref>
            </x14:sparkline>
            <x14:sparkline>
              <xm:f>'Ratio Analysis'!C23:Q23</xm:f>
              <xm:sqref>R23</xm:sqref>
            </x14:sparkline>
            <x14:sparkline>
              <xm:f>'Ratio Analysis'!C24:Q24</xm:f>
              <xm:sqref>R24</xm:sqref>
            </x14:sparkline>
            <x14:sparkline>
              <xm:f>'Ratio Analysis'!C25:Q25</xm:f>
              <xm:sqref>R25</xm:sqref>
            </x14:sparkline>
            <x14:sparkline>
              <xm:f>'Ratio Analysis'!C26:Q26</xm:f>
              <xm:sqref>R26</xm:sqref>
            </x14:sparkline>
            <x14:sparkline>
              <xm:f>'Ratio Analysis'!C27:Q27</xm:f>
              <xm:sqref>R27</xm:sqref>
            </x14:sparkline>
            <x14:sparkline>
              <xm:f>'Ratio Analysis'!C28:Q28</xm:f>
              <xm:sqref>R28</xm:sqref>
            </x14:sparkline>
            <x14:sparkline>
              <xm:f>'Ratio Analysis'!C29:Q29</xm:f>
              <xm:sqref>R29</xm:sqref>
            </x14:sparkline>
            <x14:sparkline>
              <xm:f>'Ratio Analysis'!C30:Q30</xm:f>
              <xm:sqref>R30</xm:sqref>
            </x14:sparkline>
            <x14:sparkline>
              <xm:f>'Ratio Analysis'!C31:Q31</xm:f>
              <xm:sqref>R31</xm:sqref>
            </x14:sparkline>
            <x14:sparkline>
              <xm:f>'Ratio Analysis'!C32:Q32</xm:f>
              <xm:sqref>R32</xm:sqref>
            </x14:sparkline>
            <x14:sparkline>
              <xm:f>'Ratio Analysis'!C33:Q33</xm:f>
              <xm:sqref>R33</xm:sqref>
            </x14:sparkline>
            <x14:sparkline>
              <xm:f>'Ratio Analysis'!C34:Q34</xm:f>
              <xm:sqref>R34</xm:sqref>
            </x14:sparkline>
            <x14:sparkline>
              <xm:f>'Ratio Analysis'!C35:Q35</xm:f>
              <xm:sqref>R35</xm:sqref>
            </x14:sparkline>
            <x14:sparkline>
              <xm:f>'Ratio Analysis'!C36:Q36</xm:f>
              <xm:sqref>R36</xm:sqref>
            </x14:sparkline>
            <x14:sparkline>
              <xm:f>'Ratio Analysis'!C37:Q37</xm:f>
              <xm:sqref>R37</xm:sqref>
            </x14:sparkline>
            <x14:sparkline>
              <xm:f>'Ratio Analysis'!C38:Q38</xm:f>
              <xm:sqref>R38</xm:sqref>
            </x14:sparkline>
            <x14:sparkline>
              <xm:f>'Ratio Analysis'!C39:Q39</xm:f>
              <xm:sqref>R39</xm:sqref>
            </x14:sparkline>
            <x14:sparkline>
              <xm:f>'Ratio Analysis'!C40:Q40</xm:f>
              <xm:sqref>R40</xm:sqref>
            </x14:sparkline>
            <x14:sparkline>
              <xm:f>'Ratio Analysis'!C41:Q41</xm:f>
              <xm:sqref>R41</xm:sqref>
            </x14:sparkline>
            <x14:sparkline>
              <xm:f>'Ratio Analysis'!C42:Q42</xm:f>
              <xm:sqref>R42</xm:sqref>
            </x14:sparkline>
            <x14:sparkline>
              <xm:f>'Ratio Analysis'!C43:Q43</xm:f>
              <xm:sqref>R43</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Analysis'!D44:Q44</xm:f>
              <xm:sqref>R44</xm:sqref>
            </x14:sparkline>
            <x14:sparkline>
              <xm:f>'Ratio Analysis'!D45:Q45</xm:f>
              <xm:sqref>R45</xm:sqref>
            </x14:sparkline>
            <x14:sparkline>
              <xm:f>'Ratio Analysis'!D46:Q46</xm:f>
              <xm:sqref>R46</xm:sqref>
            </x14:sparkline>
            <x14:sparkline>
              <xm:f>'Ratio Analysis'!D47:Q47</xm:f>
              <xm:sqref>R47</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'Ratio Analysis'!D12:Q12</xm:f>
              <xm:sqref>R12</xm:sqref>
            </x14:sparkline>
            <x14:sparkline>
              <xm:f>'Ratio Analysis'!D13:Q13</xm:f>
              <xm:sqref>R13</xm:sqref>
            </x14:sparkline>
            <x14:sparkline>
              <xm:f>'Ratio Analysis'!D14:Q14</xm:f>
              <xm:sqref>R14</xm:sqref>
            </x14:sparkline>
            <x14:sparkline>
              <xm:f>'Ratio Analysis'!D15:Q15</xm:f>
              <xm:sqref>R15</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S5"/>
  <sheetViews>
    <sheetView showGridLines="0" workbookViewId="0">
      <selection activeCell="V4" sqref="V4"/>
    </sheetView>
  </sheetViews>
  <sheetFormatPr defaultRowHeight="15"/>
  <cols>
    <col min="1" max="1" width="1.85546875" customWidth="1"/>
    <col min="13" max="13" width="2.7109375" customWidth="1"/>
  </cols>
  <sheetData>
    <row r="1" spans="2:19" ht="16.5" thickTop="1">
      <c r="B1" s="248" t="s">
        <v>318</v>
      </c>
    </row>
    <row r="2" spans="2:19">
      <c r="B2" s="10" t="s">
        <v>319</v>
      </c>
    </row>
    <row r="3" spans="2:19">
      <c r="C3" s="64">
        <v>10000</v>
      </c>
    </row>
    <row r="5" spans="2:19">
      <c r="B5" s="251" t="s">
        <v>357</v>
      </c>
      <c r="C5" s="274"/>
      <c r="D5" s="274"/>
      <c r="E5" s="274"/>
      <c r="F5" s="274"/>
      <c r="G5" s="274"/>
      <c r="H5" s="274"/>
      <c r="I5" s="274"/>
      <c r="J5" s="274"/>
      <c r="K5" s="274"/>
      <c r="L5" s="274"/>
      <c r="M5" s="274"/>
      <c r="N5" s="274"/>
      <c r="O5" s="274"/>
      <c r="P5" s="274"/>
      <c r="Q5" s="274"/>
      <c r="R5" s="274"/>
      <c r="S5" s="275"/>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H2486"/>
  <sheetViews>
    <sheetView showGridLines="0" workbookViewId="0">
      <selection activeCell="H10" sqref="H10"/>
    </sheetView>
  </sheetViews>
  <sheetFormatPr defaultRowHeight="15"/>
  <cols>
    <col min="1" max="1" width="1.85546875" customWidth="1"/>
    <col min="2" max="2" width="10.42578125" bestFit="1" customWidth="1"/>
    <col min="3" max="3" width="11.5703125" bestFit="1" customWidth="1"/>
    <col min="6" max="6" width="15.5703125" bestFit="1" customWidth="1"/>
  </cols>
  <sheetData>
    <row r="1" spans="2:8" ht="16.5" thickTop="1">
      <c r="B1" s="248" t="s">
        <v>318</v>
      </c>
    </row>
    <row r="2" spans="2:8">
      <c r="B2" s="10" t="s">
        <v>319</v>
      </c>
    </row>
    <row r="3" spans="2:8">
      <c r="C3" s="64">
        <v>10000</v>
      </c>
    </row>
    <row r="5" spans="2:8">
      <c r="B5" s="413" t="s">
        <v>215</v>
      </c>
      <c r="C5" s="413"/>
      <c r="D5" s="413"/>
      <c r="E5" s="413"/>
      <c r="F5" s="413"/>
      <c r="G5" s="413"/>
      <c r="H5" s="413"/>
    </row>
    <row r="7" spans="2:8">
      <c r="B7" s="154" t="s">
        <v>218</v>
      </c>
      <c r="C7" s="154" t="s">
        <v>219</v>
      </c>
      <c r="E7" s="151" t="s">
        <v>220</v>
      </c>
      <c r="F7" s="152">
        <f>YEARFRAC(B8,B2486)</f>
        <v>10</v>
      </c>
    </row>
    <row r="8" spans="2:8">
      <c r="B8" s="155">
        <v>42410</v>
      </c>
      <c r="C8" s="156">
        <v>23758.9</v>
      </c>
      <c r="E8" s="151" t="s">
        <v>221</v>
      </c>
      <c r="F8" s="153">
        <f>_xlfn.RRI(F7,C8,C2486)</f>
        <v>0.13497602217399174</v>
      </c>
    </row>
    <row r="9" spans="2:8">
      <c r="B9" s="157">
        <v>42411</v>
      </c>
      <c r="C9" s="158">
        <v>22951.83</v>
      </c>
    </row>
    <row r="10" spans="2:8">
      <c r="B10" s="157">
        <v>42412</v>
      </c>
      <c r="C10" s="158">
        <v>22986.12</v>
      </c>
      <c r="E10" s="149" t="s">
        <v>216</v>
      </c>
      <c r="F10" s="159" t="s">
        <v>217</v>
      </c>
    </row>
    <row r="11" spans="2:8">
      <c r="B11" s="157">
        <v>42415</v>
      </c>
      <c r="C11" s="158">
        <v>23554.12</v>
      </c>
    </row>
    <row r="12" spans="2:8">
      <c r="B12" s="157">
        <v>42416</v>
      </c>
      <c r="C12" s="158">
        <v>23191.97</v>
      </c>
    </row>
    <row r="13" spans="2:8">
      <c r="B13" s="157">
        <v>42417</v>
      </c>
      <c r="C13" s="158">
        <v>23381.87</v>
      </c>
    </row>
    <row r="14" spans="2:8">
      <c r="B14" s="157">
        <v>42418</v>
      </c>
      <c r="C14" s="158">
        <v>23649.22</v>
      </c>
    </row>
    <row r="15" spans="2:8">
      <c r="B15" s="157">
        <v>42419</v>
      </c>
      <c r="C15" s="158">
        <v>23709.15</v>
      </c>
    </row>
    <row r="16" spans="2:8">
      <c r="B16" s="157">
        <v>42422</v>
      </c>
      <c r="C16" s="158">
        <v>23788.79</v>
      </c>
    </row>
    <row r="17" spans="2:3">
      <c r="B17" s="157">
        <v>42423</v>
      </c>
      <c r="C17" s="158">
        <v>23410.18</v>
      </c>
    </row>
    <row r="18" spans="2:3">
      <c r="B18" s="157">
        <v>42424</v>
      </c>
      <c r="C18" s="158">
        <v>23088.93</v>
      </c>
    </row>
    <row r="19" spans="2:3">
      <c r="B19" s="157">
        <v>42425</v>
      </c>
      <c r="C19" s="158">
        <v>22976</v>
      </c>
    </row>
    <row r="20" spans="2:3">
      <c r="B20" s="157">
        <v>42426</v>
      </c>
      <c r="C20" s="158">
        <v>23154.3</v>
      </c>
    </row>
    <row r="21" spans="2:3">
      <c r="B21" s="157">
        <v>42429</v>
      </c>
      <c r="C21" s="158">
        <v>23002</v>
      </c>
    </row>
    <row r="22" spans="2:3">
      <c r="B22" s="157">
        <v>42430</v>
      </c>
      <c r="C22" s="158">
        <v>23779.35</v>
      </c>
    </row>
    <row r="23" spans="2:3">
      <c r="B23" s="157">
        <v>42431</v>
      </c>
      <c r="C23" s="158">
        <v>24242.98</v>
      </c>
    </row>
    <row r="24" spans="2:3">
      <c r="B24" s="157">
        <v>42432</v>
      </c>
      <c r="C24" s="158">
        <v>24606.99</v>
      </c>
    </row>
    <row r="25" spans="2:3">
      <c r="B25" s="157">
        <v>42433</v>
      </c>
      <c r="C25" s="158">
        <v>24646.48</v>
      </c>
    </row>
    <row r="26" spans="2:3">
      <c r="B26" s="157">
        <v>42437</v>
      </c>
      <c r="C26" s="158">
        <v>24659.23</v>
      </c>
    </row>
    <row r="27" spans="2:3">
      <c r="B27" s="157">
        <v>42438</v>
      </c>
      <c r="C27" s="158">
        <v>24793.96</v>
      </c>
    </row>
    <row r="28" spans="2:3">
      <c r="B28" s="157">
        <v>42439</v>
      </c>
      <c r="C28" s="158">
        <v>24623.34</v>
      </c>
    </row>
    <row r="29" spans="2:3">
      <c r="B29" s="157">
        <v>42440</v>
      </c>
      <c r="C29" s="158">
        <v>24717.99</v>
      </c>
    </row>
    <row r="30" spans="2:3">
      <c r="B30" s="157">
        <v>42443</v>
      </c>
      <c r="C30" s="158">
        <v>24804.28</v>
      </c>
    </row>
    <row r="31" spans="2:3">
      <c r="B31" s="157">
        <v>42444</v>
      </c>
      <c r="C31" s="158">
        <v>24551.17</v>
      </c>
    </row>
    <row r="32" spans="2:3">
      <c r="B32" s="157">
        <v>42445</v>
      </c>
      <c r="C32" s="158">
        <v>24682.48</v>
      </c>
    </row>
    <row r="33" spans="2:3">
      <c r="B33" s="157">
        <v>42446</v>
      </c>
      <c r="C33" s="158">
        <v>24677.37</v>
      </c>
    </row>
    <row r="34" spans="2:3">
      <c r="B34" s="157">
        <v>42447</v>
      </c>
      <c r="C34" s="158">
        <v>24952.74</v>
      </c>
    </row>
    <row r="35" spans="2:3">
      <c r="B35" s="157">
        <v>42450</v>
      </c>
      <c r="C35" s="158">
        <v>25285.37</v>
      </c>
    </row>
    <row r="36" spans="2:3">
      <c r="B36" s="157">
        <v>42451</v>
      </c>
      <c r="C36" s="158">
        <v>25330.49</v>
      </c>
    </row>
    <row r="37" spans="2:3">
      <c r="B37" s="157">
        <v>42452</v>
      </c>
      <c r="C37" s="158">
        <v>25337.56</v>
      </c>
    </row>
    <row r="38" spans="2:3">
      <c r="B38" s="157">
        <v>42457</v>
      </c>
      <c r="C38" s="158">
        <v>24966.400000000001</v>
      </c>
    </row>
    <row r="39" spans="2:3">
      <c r="B39" s="157">
        <v>42458</v>
      </c>
      <c r="C39" s="158">
        <v>24900.46</v>
      </c>
    </row>
    <row r="40" spans="2:3">
      <c r="B40" s="157">
        <v>42459</v>
      </c>
      <c r="C40" s="158">
        <v>25338.58</v>
      </c>
    </row>
    <row r="41" spans="2:3">
      <c r="B41" s="157">
        <v>42460</v>
      </c>
      <c r="C41" s="158">
        <v>25341.86</v>
      </c>
    </row>
    <row r="42" spans="2:3">
      <c r="B42" s="157">
        <v>42461</v>
      </c>
      <c r="C42" s="158">
        <v>25269.64</v>
      </c>
    </row>
    <row r="43" spans="2:3">
      <c r="B43" s="157">
        <v>42464</v>
      </c>
      <c r="C43" s="158">
        <v>25399.65</v>
      </c>
    </row>
    <row r="44" spans="2:3">
      <c r="B44" s="157">
        <v>42465</v>
      </c>
      <c r="C44" s="158">
        <v>24883.59</v>
      </c>
    </row>
    <row r="45" spans="2:3">
      <c r="B45" s="157">
        <v>42466</v>
      </c>
      <c r="C45" s="158">
        <v>24900.63</v>
      </c>
    </row>
    <row r="46" spans="2:3">
      <c r="B46" s="157">
        <v>42467</v>
      </c>
      <c r="C46" s="158">
        <v>24685.42</v>
      </c>
    </row>
    <row r="47" spans="2:3">
      <c r="B47" s="157">
        <v>42468</v>
      </c>
      <c r="C47" s="158">
        <v>24673.84</v>
      </c>
    </row>
    <row r="48" spans="2:3">
      <c r="B48" s="157">
        <v>42471</v>
      </c>
      <c r="C48" s="158">
        <v>25022.16</v>
      </c>
    </row>
    <row r="49" spans="2:3">
      <c r="B49" s="157">
        <v>42472</v>
      </c>
      <c r="C49" s="158">
        <v>25145.59</v>
      </c>
    </row>
    <row r="50" spans="2:3">
      <c r="B50" s="157">
        <v>42473</v>
      </c>
      <c r="C50" s="158">
        <v>25626.75</v>
      </c>
    </row>
    <row r="51" spans="2:3">
      <c r="B51" s="157">
        <v>42478</v>
      </c>
      <c r="C51" s="158">
        <v>25816.36</v>
      </c>
    </row>
    <row r="52" spans="2:3">
      <c r="B52" s="157">
        <v>42480</v>
      </c>
      <c r="C52" s="158">
        <v>25844.18</v>
      </c>
    </row>
    <row r="53" spans="2:3">
      <c r="B53" s="157">
        <v>42481</v>
      </c>
      <c r="C53" s="158">
        <v>25880.38</v>
      </c>
    </row>
    <row r="54" spans="2:3">
      <c r="B54" s="157">
        <v>42482</v>
      </c>
      <c r="C54" s="158">
        <v>25838.14</v>
      </c>
    </row>
    <row r="55" spans="2:3">
      <c r="B55" s="157">
        <v>42485</v>
      </c>
      <c r="C55" s="158">
        <v>25678.93</v>
      </c>
    </row>
    <row r="56" spans="2:3">
      <c r="B56" s="157">
        <v>42486</v>
      </c>
      <c r="C56" s="158">
        <v>26007.3</v>
      </c>
    </row>
    <row r="57" spans="2:3">
      <c r="B57" s="157">
        <v>42487</v>
      </c>
      <c r="C57" s="158">
        <v>26064.12</v>
      </c>
    </row>
    <row r="58" spans="2:3">
      <c r="B58" s="157">
        <v>42488</v>
      </c>
      <c r="C58" s="158">
        <v>25603.1</v>
      </c>
    </row>
    <row r="59" spans="2:3">
      <c r="B59" s="157">
        <v>42489</v>
      </c>
      <c r="C59" s="158">
        <v>25606.62</v>
      </c>
    </row>
    <row r="60" spans="2:3">
      <c r="B60" s="157">
        <v>42492</v>
      </c>
      <c r="C60" s="158">
        <v>25436.97</v>
      </c>
    </row>
    <row r="61" spans="2:3">
      <c r="B61" s="157">
        <v>42493</v>
      </c>
      <c r="C61" s="158">
        <v>25229.7</v>
      </c>
    </row>
    <row r="62" spans="2:3">
      <c r="B62" s="157">
        <v>42494</v>
      </c>
      <c r="C62" s="158">
        <v>25101.73</v>
      </c>
    </row>
    <row r="63" spans="2:3">
      <c r="B63" s="157">
        <v>42495</v>
      </c>
      <c r="C63" s="158">
        <v>25262.21</v>
      </c>
    </row>
    <row r="64" spans="2:3">
      <c r="B64" s="157">
        <v>42496</v>
      </c>
      <c r="C64" s="158">
        <v>25228.5</v>
      </c>
    </row>
    <row r="65" spans="2:3">
      <c r="B65" s="157">
        <v>42499</v>
      </c>
      <c r="C65" s="158">
        <v>25688.86</v>
      </c>
    </row>
    <row r="66" spans="2:3">
      <c r="B66" s="157">
        <v>42500</v>
      </c>
      <c r="C66" s="158">
        <v>25772.53</v>
      </c>
    </row>
    <row r="67" spans="2:3">
      <c r="B67" s="157">
        <v>42501</v>
      </c>
      <c r="C67" s="158">
        <v>25597.02</v>
      </c>
    </row>
    <row r="68" spans="2:3">
      <c r="B68" s="157">
        <v>42502</v>
      </c>
      <c r="C68" s="158">
        <v>25790.22</v>
      </c>
    </row>
    <row r="69" spans="2:3">
      <c r="B69" s="157">
        <v>42503</v>
      </c>
      <c r="C69" s="158">
        <v>25489.57</v>
      </c>
    </row>
    <row r="70" spans="2:3">
      <c r="B70" s="157">
        <v>42506</v>
      </c>
      <c r="C70" s="158">
        <v>25653.23</v>
      </c>
    </row>
    <row r="71" spans="2:3">
      <c r="B71" s="157">
        <v>42507</v>
      </c>
      <c r="C71" s="158">
        <v>25773.61</v>
      </c>
    </row>
    <row r="72" spans="2:3">
      <c r="B72" s="157">
        <v>42508</v>
      </c>
      <c r="C72" s="158">
        <v>25704.61</v>
      </c>
    </row>
    <row r="73" spans="2:3">
      <c r="B73" s="157">
        <v>42509</v>
      </c>
      <c r="C73" s="158">
        <v>25399.72</v>
      </c>
    </row>
    <row r="74" spans="2:3">
      <c r="B74" s="157">
        <v>42510</v>
      </c>
      <c r="C74" s="158">
        <v>25301.9</v>
      </c>
    </row>
    <row r="75" spans="2:3">
      <c r="B75" s="157">
        <v>42513</v>
      </c>
      <c r="C75" s="158">
        <v>25230.36</v>
      </c>
    </row>
    <row r="76" spans="2:3">
      <c r="B76" s="157">
        <v>42514</v>
      </c>
      <c r="C76" s="158">
        <v>25305.47</v>
      </c>
    </row>
    <row r="77" spans="2:3">
      <c r="B77" s="157">
        <v>42515</v>
      </c>
      <c r="C77" s="158">
        <v>25881.17</v>
      </c>
    </row>
    <row r="78" spans="2:3">
      <c r="B78" s="157">
        <v>42516</v>
      </c>
      <c r="C78" s="158">
        <v>26366.68</v>
      </c>
    </row>
    <row r="79" spans="2:3">
      <c r="B79" s="157">
        <v>42517</v>
      </c>
      <c r="C79" s="158">
        <v>26653.599999999999</v>
      </c>
    </row>
    <row r="80" spans="2:3">
      <c r="B80" s="157">
        <v>42520</v>
      </c>
      <c r="C80" s="158">
        <v>26725.599999999999</v>
      </c>
    </row>
    <row r="81" spans="2:3">
      <c r="B81" s="157">
        <v>42521</v>
      </c>
      <c r="C81" s="158">
        <v>26667.96</v>
      </c>
    </row>
    <row r="82" spans="2:3">
      <c r="B82" s="157">
        <v>42522</v>
      </c>
      <c r="C82" s="158">
        <v>26713.93</v>
      </c>
    </row>
    <row r="83" spans="2:3">
      <c r="B83" s="157">
        <v>42523</v>
      </c>
      <c r="C83" s="158">
        <v>26843.14</v>
      </c>
    </row>
    <row r="84" spans="2:3">
      <c r="B84" s="157">
        <v>42524</v>
      </c>
      <c r="C84" s="158">
        <v>26843.03</v>
      </c>
    </row>
    <row r="85" spans="2:3">
      <c r="B85" s="157">
        <v>42527</v>
      </c>
      <c r="C85" s="158">
        <v>26777.45</v>
      </c>
    </row>
    <row r="86" spans="2:3">
      <c r="B86" s="157">
        <v>42528</v>
      </c>
      <c r="C86" s="158">
        <v>27009.67</v>
      </c>
    </row>
    <row r="87" spans="2:3">
      <c r="B87" s="157">
        <v>42529</v>
      </c>
      <c r="C87" s="158">
        <v>27020.66</v>
      </c>
    </row>
    <row r="88" spans="2:3">
      <c r="B88" s="157">
        <v>42530</v>
      </c>
      <c r="C88" s="158">
        <v>26763.46</v>
      </c>
    </row>
    <row r="89" spans="2:3">
      <c r="B89" s="157">
        <v>42531</v>
      </c>
      <c r="C89" s="158">
        <v>26635.75</v>
      </c>
    </row>
    <row r="90" spans="2:3">
      <c r="B90" s="157">
        <v>42534</v>
      </c>
      <c r="C90" s="158">
        <v>26396.77</v>
      </c>
    </row>
    <row r="91" spans="2:3">
      <c r="B91" s="157">
        <v>42535</v>
      </c>
      <c r="C91" s="158">
        <v>26395.71</v>
      </c>
    </row>
    <row r="92" spans="2:3">
      <c r="B92" s="157">
        <v>42536</v>
      </c>
      <c r="C92" s="158">
        <v>26726.34</v>
      </c>
    </row>
    <row r="93" spans="2:3">
      <c r="B93" s="157">
        <v>42537</v>
      </c>
      <c r="C93" s="158">
        <v>26525.46</v>
      </c>
    </row>
    <row r="94" spans="2:3">
      <c r="B94" s="157">
        <v>42538</v>
      </c>
      <c r="C94" s="158">
        <v>26625.91</v>
      </c>
    </row>
    <row r="95" spans="2:3">
      <c r="B95" s="157">
        <v>42541</v>
      </c>
      <c r="C95" s="158">
        <v>26866.92</v>
      </c>
    </row>
    <row r="96" spans="2:3">
      <c r="B96" s="157">
        <v>42542</v>
      </c>
      <c r="C96" s="158">
        <v>26812.78</v>
      </c>
    </row>
    <row r="97" spans="2:3">
      <c r="B97" s="157">
        <v>42543</v>
      </c>
      <c r="C97" s="158">
        <v>26765.65</v>
      </c>
    </row>
    <row r="98" spans="2:3">
      <c r="B98" s="157">
        <v>42544</v>
      </c>
      <c r="C98" s="158">
        <v>27002.22</v>
      </c>
    </row>
    <row r="99" spans="2:3">
      <c r="B99" s="157">
        <v>42545</v>
      </c>
      <c r="C99" s="158">
        <v>26397.71</v>
      </c>
    </row>
    <row r="100" spans="2:3">
      <c r="B100" s="157">
        <v>42548</v>
      </c>
      <c r="C100" s="158">
        <v>26402.959999999999</v>
      </c>
    </row>
    <row r="101" spans="2:3">
      <c r="B101" s="157">
        <v>42549</v>
      </c>
      <c r="C101" s="158">
        <v>26524.55</v>
      </c>
    </row>
    <row r="102" spans="2:3">
      <c r="B102" s="157">
        <v>42550</v>
      </c>
      <c r="C102" s="158">
        <v>26740.39</v>
      </c>
    </row>
    <row r="103" spans="2:3">
      <c r="B103" s="157">
        <v>42551</v>
      </c>
      <c r="C103" s="158">
        <v>26999.72</v>
      </c>
    </row>
    <row r="104" spans="2:3">
      <c r="B104" s="157">
        <v>42552</v>
      </c>
      <c r="C104" s="158">
        <v>27144.91</v>
      </c>
    </row>
    <row r="105" spans="2:3">
      <c r="B105" s="157">
        <v>42555</v>
      </c>
      <c r="C105" s="158">
        <v>27278.76</v>
      </c>
    </row>
    <row r="106" spans="2:3">
      <c r="B106" s="157">
        <v>42556</v>
      </c>
      <c r="C106" s="158">
        <v>27166.87</v>
      </c>
    </row>
    <row r="107" spans="2:3">
      <c r="B107" s="157">
        <v>42558</v>
      </c>
      <c r="C107" s="158">
        <v>27201.49</v>
      </c>
    </row>
    <row r="108" spans="2:3">
      <c r="B108" s="157">
        <v>42559</v>
      </c>
      <c r="C108" s="158">
        <v>27126.9</v>
      </c>
    </row>
    <row r="109" spans="2:3">
      <c r="B109" s="157">
        <v>42562</v>
      </c>
      <c r="C109" s="158">
        <v>27626.69</v>
      </c>
    </row>
    <row r="110" spans="2:3">
      <c r="B110" s="157">
        <v>42563</v>
      </c>
      <c r="C110" s="158">
        <v>27808.14</v>
      </c>
    </row>
    <row r="111" spans="2:3">
      <c r="B111" s="157">
        <v>42564</v>
      </c>
      <c r="C111" s="158">
        <v>27815.18</v>
      </c>
    </row>
    <row r="112" spans="2:3">
      <c r="B112" s="157">
        <v>42565</v>
      </c>
      <c r="C112" s="158">
        <v>27942.11</v>
      </c>
    </row>
    <row r="113" spans="2:3">
      <c r="B113" s="157">
        <v>42566</v>
      </c>
      <c r="C113" s="158">
        <v>27836.5</v>
      </c>
    </row>
    <row r="114" spans="2:3">
      <c r="B114" s="157">
        <v>42569</v>
      </c>
      <c r="C114" s="158">
        <v>27746.66</v>
      </c>
    </row>
    <row r="115" spans="2:3">
      <c r="B115" s="157">
        <v>42570</v>
      </c>
      <c r="C115" s="158">
        <v>27787.62</v>
      </c>
    </row>
    <row r="116" spans="2:3">
      <c r="B116" s="157">
        <v>42571</v>
      </c>
      <c r="C116" s="158">
        <v>27915.89</v>
      </c>
    </row>
    <row r="117" spans="2:3">
      <c r="B117" s="157">
        <v>42572</v>
      </c>
      <c r="C117" s="158">
        <v>27710.52</v>
      </c>
    </row>
    <row r="118" spans="2:3">
      <c r="B118" s="157">
        <v>42573</v>
      </c>
      <c r="C118" s="158">
        <v>27803.24</v>
      </c>
    </row>
    <row r="119" spans="2:3">
      <c r="B119" s="157">
        <v>42576</v>
      </c>
      <c r="C119" s="158">
        <v>28095.34</v>
      </c>
    </row>
    <row r="120" spans="2:3">
      <c r="B120" s="157">
        <v>42577</v>
      </c>
      <c r="C120" s="158">
        <v>27976.52</v>
      </c>
    </row>
    <row r="121" spans="2:3">
      <c r="B121" s="157">
        <v>42578</v>
      </c>
      <c r="C121" s="158">
        <v>28024.33</v>
      </c>
    </row>
    <row r="122" spans="2:3">
      <c r="B122" s="157">
        <v>42579</v>
      </c>
      <c r="C122" s="158">
        <v>28208.62</v>
      </c>
    </row>
    <row r="123" spans="2:3">
      <c r="B123" s="157">
        <v>42580</v>
      </c>
      <c r="C123" s="158">
        <v>28051.86</v>
      </c>
    </row>
    <row r="124" spans="2:3">
      <c r="B124" s="157">
        <v>42583</v>
      </c>
      <c r="C124" s="158">
        <v>28003.119999999999</v>
      </c>
    </row>
    <row r="125" spans="2:3">
      <c r="B125" s="157">
        <v>42584</v>
      </c>
      <c r="C125" s="158">
        <v>27981.71</v>
      </c>
    </row>
    <row r="126" spans="2:3">
      <c r="B126" s="157">
        <v>42585</v>
      </c>
      <c r="C126" s="158">
        <v>27697.51</v>
      </c>
    </row>
    <row r="127" spans="2:3">
      <c r="B127" s="157">
        <v>42586</v>
      </c>
      <c r="C127" s="158">
        <v>27714.37</v>
      </c>
    </row>
    <row r="128" spans="2:3">
      <c r="B128" s="157">
        <v>42587</v>
      </c>
      <c r="C128" s="158">
        <v>28078.35</v>
      </c>
    </row>
    <row r="129" spans="2:3">
      <c r="B129" s="157">
        <v>42590</v>
      </c>
      <c r="C129" s="158">
        <v>28182.57</v>
      </c>
    </row>
    <row r="130" spans="2:3">
      <c r="B130" s="157">
        <v>42591</v>
      </c>
      <c r="C130" s="158">
        <v>28085.16</v>
      </c>
    </row>
    <row r="131" spans="2:3">
      <c r="B131" s="157">
        <v>42592</v>
      </c>
      <c r="C131" s="158">
        <v>27774.880000000001</v>
      </c>
    </row>
    <row r="132" spans="2:3">
      <c r="B132" s="157">
        <v>42593</v>
      </c>
      <c r="C132" s="158">
        <v>27859.599999999999</v>
      </c>
    </row>
    <row r="133" spans="2:3">
      <c r="B133" s="157">
        <v>42594</v>
      </c>
      <c r="C133" s="158">
        <v>28152.400000000001</v>
      </c>
    </row>
    <row r="134" spans="2:3">
      <c r="B134" s="157">
        <v>42598</v>
      </c>
      <c r="C134" s="158">
        <v>28064.61</v>
      </c>
    </row>
    <row r="135" spans="2:3">
      <c r="B135" s="157">
        <v>42599</v>
      </c>
      <c r="C135" s="158">
        <v>28005.37</v>
      </c>
    </row>
    <row r="136" spans="2:3">
      <c r="B136" s="157">
        <v>42600</v>
      </c>
      <c r="C136" s="158">
        <v>28123.439999999999</v>
      </c>
    </row>
    <row r="137" spans="2:3">
      <c r="B137" s="157">
        <v>42601</v>
      </c>
      <c r="C137" s="158">
        <v>28077</v>
      </c>
    </row>
    <row r="138" spans="2:3">
      <c r="B138" s="157">
        <v>42604</v>
      </c>
      <c r="C138" s="158">
        <v>27985.54</v>
      </c>
    </row>
    <row r="139" spans="2:3">
      <c r="B139" s="157">
        <v>42605</v>
      </c>
      <c r="C139" s="158">
        <v>27990.21</v>
      </c>
    </row>
    <row r="140" spans="2:3">
      <c r="B140" s="157">
        <v>42606</v>
      </c>
      <c r="C140" s="158">
        <v>28059.94</v>
      </c>
    </row>
    <row r="141" spans="2:3">
      <c r="B141" s="157">
        <v>42607</v>
      </c>
      <c r="C141" s="158">
        <v>27835.91</v>
      </c>
    </row>
    <row r="142" spans="2:3">
      <c r="B142" s="157">
        <v>42608</v>
      </c>
      <c r="C142" s="158">
        <v>27782.25</v>
      </c>
    </row>
    <row r="143" spans="2:3">
      <c r="B143" s="157">
        <v>42611</v>
      </c>
      <c r="C143" s="158">
        <v>27902.66</v>
      </c>
    </row>
    <row r="144" spans="2:3">
      <c r="B144" s="157">
        <v>42612</v>
      </c>
      <c r="C144" s="158">
        <v>28343.01</v>
      </c>
    </row>
    <row r="145" spans="2:3">
      <c r="B145" s="157">
        <v>42613</v>
      </c>
      <c r="C145" s="158">
        <v>28452.17</v>
      </c>
    </row>
    <row r="146" spans="2:3">
      <c r="B146" s="157">
        <v>42614</v>
      </c>
      <c r="C146" s="158">
        <v>28423.48</v>
      </c>
    </row>
    <row r="147" spans="2:3">
      <c r="B147" s="157">
        <v>42615</v>
      </c>
      <c r="C147" s="158">
        <v>28532.11</v>
      </c>
    </row>
    <row r="148" spans="2:3">
      <c r="B148" s="157">
        <v>42619</v>
      </c>
      <c r="C148" s="158">
        <v>28978.02</v>
      </c>
    </row>
    <row r="149" spans="2:3">
      <c r="B149" s="157">
        <v>42620</v>
      </c>
      <c r="C149" s="158">
        <v>28926.36</v>
      </c>
    </row>
    <row r="150" spans="2:3">
      <c r="B150" s="157">
        <v>42621</v>
      </c>
      <c r="C150" s="158">
        <v>29045.279999999999</v>
      </c>
    </row>
    <row r="151" spans="2:3">
      <c r="B151" s="157">
        <v>42622</v>
      </c>
      <c r="C151" s="158">
        <v>28797.25</v>
      </c>
    </row>
    <row r="152" spans="2:3">
      <c r="B152" s="157">
        <v>42625</v>
      </c>
      <c r="C152" s="158">
        <v>28353.54</v>
      </c>
    </row>
    <row r="153" spans="2:3">
      <c r="B153" s="157">
        <v>42627</v>
      </c>
      <c r="C153" s="158">
        <v>28372.23</v>
      </c>
    </row>
    <row r="154" spans="2:3">
      <c r="B154" s="157">
        <v>42628</v>
      </c>
      <c r="C154" s="158">
        <v>28412.89</v>
      </c>
    </row>
    <row r="155" spans="2:3">
      <c r="B155" s="157">
        <v>42629</v>
      </c>
      <c r="C155" s="158">
        <v>28599.03</v>
      </c>
    </row>
    <row r="156" spans="2:3">
      <c r="B156" s="157">
        <v>42632</v>
      </c>
      <c r="C156" s="158">
        <v>28634.5</v>
      </c>
    </row>
    <row r="157" spans="2:3">
      <c r="B157" s="157">
        <v>42633</v>
      </c>
      <c r="C157" s="158">
        <v>28523.200000000001</v>
      </c>
    </row>
    <row r="158" spans="2:3">
      <c r="B158" s="157">
        <v>42634</v>
      </c>
      <c r="C158" s="158">
        <v>28507.42</v>
      </c>
    </row>
    <row r="159" spans="2:3">
      <c r="B159" s="157">
        <v>42635</v>
      </c>
      <c r="C159" s="158">
        <v>28773.13</v>
      </c>
    </row>
    <row r="160" spans="2:3">
      <c r="B160" s="157">
        <v>42636</v>
      </c>
      <c r="C160" s="158">
        <v>28668.22</v>
      </c>
    </row>
    <row r="161" spans="2:3">
      <c r="B161" s="157">
        <v>42639</v>
      </c>
      <c r="C161" s="158">
        <v>28294.28</v>
      </c>
    </row>
    <row r="162" spans="2:3">
      <c r="B162" s="157">
        <v>42640</v>
      </c>
      <c r="C162" s="158">
        <v>28223.7</v>
      </c>
    </row>
    <row r="163" spans="2:3">
      <c r="B163" s="157">
        <v>42641</v>
      </c>
      <c r="C163" s="158">
        <v>28292.81</v>
      </c>
    </row>
    <row r="164" spans="2:3">
      <c r="B164" s="157">
        <v>42642</v>
      </c>
      <c r="C164" s="158">
        <v>27827.53</v>
      </c>
    </row>
    <row r="165" spans="2:3">
      <c r="B165" s="157">
        <v>42643</v>
      </c>
      <c r="C165" s="158">
        <v>27865.96</v>
      </c>
    </row>
    <row r="166" spans="2:3">
      <c r="B166" s="157">
        <v>42646</v>
      </c>
      <c r="C166" s="158">
        <v>28243.29</v>
      </c>
    </row>
    <row r="167" spans="2:3">
      <c r="B167" s="157">
        <v>42647</v>
      </c>
      <c r="C167" s="158">
        <v>28334.55</v>
      </c>
    </row>
    <row r="168" spans="2:3">
      <c r="B168" s="157">
        <v>42648</v>
      </c>
      <c r="C168" s="158">
        <v>28220.98</v>
      </c>
    </row>
    <row r="169" spans="2:3">
      <c r="B169" s="157">
        <v>42649</v>
      </c>
      <c r="C169" s="158">
        <v>28106.21</v>
      </c>
    </row>
    <row r="170" spans="2:3">
      <c r="B170" s="157">
        <v>42650</v>
      </c>
      <c r="C170" s="158">
        <v>28061.14</v>
      </c>
    </row>
    <row r="171" spans="2:3">
      <c r="B171" s="157">
        <v>42653</v>
      </c>
      <c r="C171" s="158">
        <v>28082.34</v>
      </c>
    </row>
    <row r="172" spans="2:3">
      <c r="B172" s="157">
        <v>42656</v>
      </c>
      <c r="C172" s="158">
        <v>27643.11</v>
      </c>
    </row>
    <row r="173" spans="2:3">
      <c r="B173" s="157">
        <v>42657</v>
      </c>
      <c r="C173" s="158">
        <v>27673.599999999999</v>
      </c>
    </row>
    <row r="174" spans="2:3">
      <c r="B174" s="157">
        <v>42660</v>
      </c>
      <c r="C174" s="158">
        <v>27529.97</v>
      </c>
    </row>
    <row r="175" spans="2:3">
      <c r="B175" s="157">
        <v>42661</v>
      </c>
      <c r="C175" s="158">
        <v>28050.880000000001</v>
      </c>
    </row>
    <row r="176" spans="2:3">
      <c r="B176" s="157">
        <v>42662</v>
      </c>
      <c r="C176" s="158">
        <v>27984.37</v>
      </c>
    </row>
    <row r="177" spans="2:3">
      <c r="B177" s="157">
        <v>42663</v>
      </c>
      <c r="C177" s="158">
        <v>28129.84</v>
      </c>
    </row>
    <row r="178" spans="2:3">
      <c r="B178" s="157">
        <v>42664</v>
      </c>
      <c r="C178" s="158">
        <v>28077.18</v>
      </c>
    </row>
    <row r="179" spans="2:3">
      <c r="B179" s="157">
        <v>42667</v>
      </c>
      <c r="C179" s="158">
        <v>28179.08</v>
      </c>
    </row>
    <row r="180" spans="2:3">
      <c r="B180" s="157">
        <v>42668</v>
      </c>
      <c r="C180" s="158">
        <v>28091.42</v>
      </c>
    </row>
    <row r="181" spans="2:3">
      <c r="B181" s="157">
        <v>42669</v>
      </c>
      <c r="C181" s="158">
        <v>27836.51</v>
      </c>
    </row>
    <row r="182" spans="2:3">
      <c r="B182" s="157">
        <v>42670</v>
      </c>
      <c r="C182" s="158">
        <v>27915.9</v>
      </c>
    </row>
    <row r="183" spans="2:3">
      <c r="B183" s="157">
        <v>42671</v>
      </c>
      <c r="C183" s="158">
        <v>27941.51</v>
      </c>
    </row>
    <row r="184" spans="2:3">
      <c r="B184" s="157">
        <v>42673</v>
      </c>
      <c r="C184" s="158">
        <v>27930.21</v>
      </c>
    </row>
    <row r="185" spans="2:3">
      <c r="B185" s="157">
        <v>42675</v>
      </c>
      <c r="C185" s="158">
        <v>27876.61</v>
      </c>
    </row>
    <row r="186" spans="2:3">
      <c r="B186" s="157">
        <v>42676</v>
      </c>
      <c r="C186" s="158">
        <v>27527.22</v>
      </c>
    </row>
    <row r="187" spans="2:3">
      <c r="B187" s="157">
        <v>42677</v>
      </c>
      <c r="C187" s="158">
        <v>27430.28</v>
      </c>
    </row>
    <row r="188" spans="2:3">
      <c r="B188" s="157">
        <v>42678</v>
      </c>
      <c r="C188" s="158">
        <v>27274.15</v>
      </c>
    </row>
    <row r="189" spans="2:3">
      <c r="B189" s="157">
        <v>42681</v>
      </c>
      <c r="C189" s="158">
        <v>27458.99</v>
      </c>
    </row>
    <row r="190" spans="2:3">
      <c r="B190" s="157">
        <v>42682</v>
      </c>
      <c r="C190" s="158">
        <v>27591.14</v>
      </c>
    </row>
    <row r="191" spans="2:3">
      <c r="B191" s="157">
        <v>42683</v>
      </c>
      <c r="C191" s="158">
        <v>27252.53</v>
      </c>
    </row>
    <row r="192" spans="2:3">
      <c r="B192" s="157">
        <v>42684</v>
      </c>
      <c r="C192" s="158">
        <v>27517.68</v>
      </c>
    </row>
    <row r="193" spans="2:3">
      <c r="B193" s="157">
        <v>42685</v>
      </c>
      <c r="C193" s="158">
        <v>26818.82</v>
      </c>
    </row>
    <row r="194" spans="2:3">
      <c r="B194" s="157">
        <v>42689</v>
      </c>
      <c r="C194" s="158">
        <v>26304.63</v>
      </c>
    </row>
    <row r="195" spans="2:3">
      <c r="B195" s="157">
        <v>42690</v>
      </c>
      <c r="C195" s="158">
        <v>26298.69</v>
      </c>
    </row>
    <row r="196" spans="2:3">
      <c r="B196" s="157">
        <v>42691</v>
      </c>
      <c r="C196" s="158">
        <v>26227.62</v>
      </c>
    </row>
    <row r="197" spans="2:3">
      <c r="B197" s="157">
        <v>42692</v>
      </c>
      <c r="C197" s="158">
        <v>26150.240000000002</v>
      </c>
    </row>
    <row r="198" spans="2:3">
      <c r="B198" s="157">
        <v>42695</v>
      </c>
      <c r="C198" s="158">
        <v>25765.14</v>
      </c>
    </row>
    <row r="199" spans="2:3">
      <c r="B199" s="157">
        <v>42696</v>
      </c>
      <c r="C199" s="158">
        <v>25960.78</v>
      </c>
    </row>
    <row r="200" spans="2:3">
      <c r="B200" s="157">
        <v>42697</v>
      </c>
      <c r="C200" s="158">
        <v>26051.81</v>
      </c>
    </row>
    <row r="201" spans="2:3">
      <c r="B201" s="157">
        <v>42698</v>
      </c>
      <c r="C201" s="158">
        <v>25860.17</v>
      </c>
    </row>
    <row r="202" spans="2:3">
      <c r="B202" s="157">
        <v>42699</v>
      </c>
      <c r="C202" s="158">
        <v>26316.34</v>
      </c>
    </row>
    <row r="203" spans="2:3">
      <c r="B203" s="157">
        <v>42702</v>
      </c>
      <c r="C203" s="158">
        <v>26350.17</v>
      </c>
    </row>
    <row r="204" spans="2:3">
      <c r="B204" s="157">
        <v>42703</v>
      </c>
      <c r="C204" s="158">
        <v>26394.01</v>
      </c>
    </row>
    <row r="205" spans="2:3">
      <c r="B205" s="157">
        <v>42704</v>
      </c>
      <c r="C205" s="158">
        <v>26652.81</v>
      </c>
    </row>
    <row r="206" spans="2:3">
      <c r="B206" s="157">
        <v>42705</v>
      </c>
      <c r="C206" s="158">
        <v>26559.919999999998</v>
      </c>
    </row>
    <row r="207" spans="2:3">
      <c r="B207" s="157">
        <v>42706</v>
      </c>
      <c r="C207" s="158">
        <v>26230.66</v>
      </c>
    </row>
    <row r="208" spans="2:3">
      <c r="B208" s="157">
        <v>42709</v>
      </c>
      <c r="C208" s="158">
        <v>26349.1</v>
      </c>
    </row>
    <row r="209" spans="2:3">
      <c r="B209" s="157">
        <v>42710</v>
      </c>
      <c r="C209" s="158">
        <v>26392.76</v>
      </c>
    </row>
    <row r="210" spans="2:3">
      <c r="B210" s="157">
        <v>42711</v>
      </c>
      <c r="C210" s="158">
        <v>26236.87</v>
      </c>
    </row>
    <row r="211" spans="2:3">
      <c r="B211" s="157">
        <v>42712</v>
      </c>
      <c r="C211" s="158">
        <v>26694.28</v>
      </c>
    </row>
    <row r="212" spans="2:3">
      <c r="B212" s="157">
        <v>42713</v>
      </c>
      <c r="C212" s="158">
        <v>26747.18</v>
      </c>
    </row>
    <row r="213" spans="2:3">
      <c r="B213" s="157">
        <v>42716</v>
      </c>
      <c r="C213" s="158">
        <v>26515.24</v>
      </c>
    </row>
    <row r="214" spans="2:3">
      <c r="B214" s="157">
        <v>42717</v>
      </c>
      <c r="C214" s="158">
        <v>26697.82</v>
      </c>
    </row>
    <row r="215" spans="2:3">
      <c r="B215" s="157">
        <v>42718</v>
      </c>
      <c r="C215" s="158">
        <v>26602.84</v>
      </c>
    </row>
    <row r="216" spans="2:3">
      <c r="B216" s="157">
        <v>42719</v>
      </c>
      <c r="C216" s="158">
        <v>26519.07</v>
      </c>
    </row>
    <row r="217" spans="2:3">
      <c r="B217" s="157">
        <v>42720</v>
      </c>
      <c r="C217" s="158">
        <v>26489.56</v>
      </c>
    </row>
    <row r="218" spans="2:3">
      <c r="B218" s="157">
        <v>42723</v>
      </c>
      <c r="C218" s="158">
        <v>26374.7</v>
      </c>
    </row>
    <row r="219" spans="2:3">
      <c r="B219" s="157">
        <v>42724</v>
      </c>
      <c r="C219" s="158">
        <v>26307.98</v>
      </c>
    </row>
    <row r="220" spans="2:3">
      <c r="B220" s="157">
        <v>42725</v>
      </c>
      <c r="C220" s="158">
        <v>26242.38</v>
      </c>
    </row>
    <row r="221" spans="2:3">
      <c r="B221" s="157">
        <v>42726</v>
      </c>
      <c r="C221" s="158">
        <v>25979.599999999999</v>
      </c>
    </row>
    <row r="222" spans="2:3">
      <c r="B222" s="157">
        <v>42727</v>
      </c>
      <c r="C222" s="158">
        <v>26040.7</v>
      </c>
    </row>
    <row r="223" spans="2:3">
      <c r="B223" s="157">
        <v>42730</v>
      </c>
      <c r="C223" s="158">
        <v>25807.1</v>
      </c>
    </row>
    <row r="224" spans="2:3">
      <c r="B224" s="157">
        <v>42731</v>
      </c>
      <c r="C224" s="158">
        <v>26213.439999999999</v>
      </c>
    </row>
    <row r="225" spans="2:3">
      <c r="B225" s="157">
        <v>42732</v>
      </c>
      <c r="C225" s="158">
        <v>26210.68</v>
      </c>
    </row>
    <row r="226" spans="2:3">
      <c r="B226" s="157">
        <v>42733</v>
      </c>
      <c r="C226" s="158">
        <v>26366.15</v>
      </c>
    </row>
    <row r="227" spans="2:3">
      <c r="B227" s="157">
        <v>42734</v>
      </c>
      <c r="C227" s="158">
        <v>26626.46</v>
      </c>
    </row>
    <row r="228" spans="2:3">
      <c r="B228" s="157">
        <v>42737</v>
      </c>
      <c r="C228" s="158">
        <v>26595.45</v>
      </c>
    </row>
    <row r="229" spans="2:3">
      <c r="B229" s="157">
        <v>42738</v>
      </c>
      <c r="C229" s="158">
        <v>26643.24</v>
      </c>
    </row>
    <row r="230" spans="2:3">
      <c r="B230" s="157">
        <v>42739</v>
      </c>
      <c r="C230" s="158">
        <v>26633.13</v>
      </c>
    </row>
    <row r="231" spans="2:3">
      <c r="B231" s="157">
        <v>42740</v>
      </c>
      <c r="C231" s="158">
        <v>26878.240000000002</v>
      </c>
    </row>
    <row r="232" spans="2:3">
      <c r="B232" s="157">
        <v>42741</v>
      </c>
      <c r="C232" s="158">
        <v>26759.23</v>
      </c>
    </row>
    <row r="233" spans="2:3">
      <c r="B233" s="157">
        <v>42744</v>
      </c>
      <c r="C233" s="158">
        <v>26726.55</v>
      </c>
    </row>
    <row r="234" spans="2:3">
      <c r="B234" s="157">
        <v>42745</v>
      </c>
      <c r="C234" s="158">
        <v>26899.56</v>
      </c>
    </row>
    <row r="235" spans="2:3">
      <c r="B235" s="157">
        <v>42746</v>
      </c>
      <c r="C235" s="158">
        <v>27140.41</v>
      </c>
    </row>
    <row r="236" spans="2:3">
      <c r="B236" s="157">
        <v>42747</v>
      </c>
      <c r="C236" s="158">
        <v>27247.16</v>
      </c>
    </row>
    <row r="237" spans="2:3">
      <c r="B237" s="157">
        <v>42748</v>
      </c>
      <c r="C237" s="158">
        <v>27238.06</v>
      </c>
    </row>
    <row r="238" spans="2:3">
      <c r="B238" s="157">
        <v>42751</v>
      </c>
      <c r="C238" s="158">
        <v>27288.17</v>
      </c>
    </row>
    <row r="239" spans="2:3">
      <c r="B239" s="157">
        <v>42752</v>
      </c>
      <c r="C239" s="158">
        <v>27235.66</v>
      </c>
    </row>
    <row r="240" spans="2:3">
      <c r="B240" s="157">
        <v>42753</v>
      </c>
      <c r="C240" s="158">
        <v>27257.64</v>
      </c>
    </row>
    <row r="241" spans="2:3">
      <c r="B241" s="157">
        <v>42754</v>
      </c>
      <c r="C241" s="158">
        <v>27308.6</v>
      </c>
    </row>
    <row r="242" spans="2:3">
      <c r="B242" s="157">
        <v>42755</v>
      </c>
      <c r="C242" s="158">
        <v>27034.5</v>
      </c>
    </row>
    <row r="243" spans="2:3">
      <c r="B243" s="157">
        <v>42758</v>
      </c>
      <c r="C243" s="158">
        <v>27117.34</v>
      </c>
    </row>
    <row r="244" spans="2:3">
      <c r="B244" s="157">
        <v>42759</v>
      </c>
      <c r="C244" s="158">
        <v>27375.58</v>
      </c>
    </row>
    <row r="245" spans="2:3">
      <c r="B245" s="157">
        <v>42760</v>
      </c>
      <c r="C245" s="158">
        <v>27708.14</v>
      </c>
    </row>
    <row r="246" spans="2:3">
      <c r="B246" s="157">
        <v>42762</v>
      </c>
      <c r="C246" s="158">
        <v>27882.46</v>
      </c>
    </row>
    <row r="247" spans="2:3">
      <c r="B247" s="157">
        <v>42765</v>
      </c>
      <c r="C247" s="158">
        <v>27849.56</v>
      </c>
    </row>
    <row r="248" spans="2:3">
      <c r="B248" s="157">
        <v>42766</v>
      </c>
      <c r="C248" s="158">
        <v>27655.96</v>
      </c>
    </row>
    <row r="249" spans="2:3">
      <c r="B249" s="157">
        <v>42767</v>
      </c>
      <c r="C249" s="158">
        <v>28141.64</v>
      </c>
    </row>
    <row r="250" spans="2:3">
      <c r="B250" s="157">
        <v>42768</v>
      </c>
      <c r="C250" s="158">
        <v>28226.61</v>
      </c>
    </row>
    <row r="251" spans="2:3">
      <c r="B251" s="157">
        <v>42769</v>
      </c>
      <c r="C251" s="158">
        <v>28240.52</v>
      </c>
    </row>
    <row r="252" spans="2:3">
      <c r="B252" s="157">
        <v>42772</v>
      </c>
      <c r="C252" s="158">
        <v>28439.279999999999</v>
      </c>
    </row>
    <row r="253" spans="2:3">
      <c r="B253" s="157">
        <v>42773</v>
      </c>
      <c r="C253" s="158">
        <v>28335.16</v>
      </c>
    </row>
    <row r="254" spans="2:3">
      <c r="B254" s="157">
        <v>42774</v>
      </c>
      <c r="C254" s="158">
        <v>28289.919999999998</v>
      </c>
    </row>
    <row r="255" spans="2:3">
      <c r="B255" s="157">
        <v>42775</v>
      </c>
      <c r="C255" s="158">
        <v>28329.7</v>
      </c>
    </row>
    <row r="256" spans="2:3">
      <c r="B256" s="157">
        <v>42776</v>
      </c>
      <c r="C256" s="158">
        <v>28334.25</v>
      </c>
    </row>
    <row r="257" spans="2:3">
      <c r="B257" s="157">
        <v>42779</v>
      </c>
      <c r="C257" s="158">
        <v>28351.62</v>
      </c>
    </row>
    <row r="258" spans="2:3">
      <c r="B258" s="157">
        <v>42780</v>
      </c>
      <c r="C258" s="158">
        <v>28339.31</v>
      </c>
    </row>
    <row r="259" spans="2:3">
      <c r="B259" s="157">
        <v>42781</v>
      </c>
      <c r="C259" s="158">
        <v>28155.56</v>
      </c>
    </row>
    <row r="260" spans="2:3">
      <c r="B260" s="157">
        <v>42782</v>
      </c>
      <c r="C260" s="158">
        <v>28301.27</v>
      </c>
    </row>
    <row r="261" spans="2:3">
      <c r="B261" s="157">
        <v>42783</v>
      </c>
      <c r="C261" s="158">
        <v>28468.75</v>
      </c>
    </row>
    <row r="262" spans="2:3">
      <c r="B262" s="157">
        <v>42786</v>
      </c>
      <c r="C262" s="158">
        <v>28661.58</v>
      </c>
    </row>
    <row r="263" spans="2:3">
      <c r="B263" s="157">
        <v>42787</v>
      </c>
      <c r="C263" s="158">
        <v>28761.59</v>
      </c>
    </row>
    <row r="264" spans="2:3">
      <c r="B264" s="157">
        <v>42788</v>
      </c>
      <c r="C264" s="158">
        <v>28864.71</v>
      </c>
    </row>
    <row r="265" spans="2:3">
      <c r="B265" s="157">
        <v>42789</v>
      </c>
      <c r="C265" s="158">
        <v>28892.97</v>
      </c>
    </row>
    <row r="266" spans="2:3">
      <c r="B266" s="157">
        <v>42793</v>
      </c>
      <c r="C266" s="158">
        <v>28812.880000000001</v>
      </c>
    </row>
    <row r="267" spans="2:3">
      <c r="B267" s="157">
        <v>42794</v>
      </c>
      <c r="C267" s="158">
        <v>28743.32</v>
      </c>
    </row>
    <row r="268" spans="2:3">
      <c r="B268" s="157">
        <v>42795</v>
      </c>
      <c r="C268" s="158">
        <v>28984.49</v>
      </c>
    </row>
    <row r="269" spans="2:3">
      <c r="B269" s="157">
        <v>42796</v>
      </c>
      <c r="C269" s="158">
        <v>28839.79</v>
      </c>
    </row>
    <row r="270" spans="2:3">
      <c r="B270" s="157">
        <v>42797</v>
      </c>
      <c r="C270" s="158">
        <v>28832.45</v>
      </c>
    </row>
    <row r="271" spans="2:3">
      <c r="B271" s="157">
        <v>42800</v>
      </c>
      <c r="C271" s="158">
        <v>29048.19</v>
      </c>
    </row>
    <row r="272" spans="2:3">
      <c r="B272" s="157">
        <v>42801</v>
      </c>
      <c r="C272" s="158">
        <v>28999.56</v>
      </c>
    </row>
    <row r="273" spans="2:3">
      <c r="B273" s="157">
        <v>42802</v>
      </c>
      <c r="C273" s="158">
        <v>28901.94</v>
      </c>
    </row>
    <row r="274" spans="2:3">
      <c r="B274" s="157">
        <v>42803</v>
      </c>
      <c r="C274" s="158">
        <v>28929.13</v>
      </c>
    </row>
    <row r="275" spans="2:3">
      <c r="B275" s="157">
        <v>42804</v>
      </c>
      <c r="C275" s="158">
        <v>28946.23</v>
      </c>
    </row>
    <row r="276" spans="2:3">
      <c r="B276" s="157">
        <v>42808</v>
      </c>
      <c r="C276" s="158">
        <v>29442.63</v>
      </c>
    </row>
    <row r="277" spans="2:3">
      <c r="B277" s="157">
        <v>42809</v>
      </c>
      <c r="C277" s="158">
        <v>29398.11</v>
      </c>
    </row>
    <row r="278" spans="2:3">
      <c r="B278" s="157">
        <v>42810</v>
      </c>
      <c r="C278" s="158">
        <v>29585.85</v>
      </c>
    </row>
    <row r="279" spans="2:3">
      <c r="B279" s="157">
        <v>42811</v>
      </c>
      <c r="C279" s="158">
        <v>29648.99</v>
      </c>
    </row>
    <row r="280" spans="2:3">
      <c r="B280" s="157">
        <v>42814</v>
      </c>
      <c r="C280" s="158">
        <v>29518.74</v>
      </c>
    </row>
    <row r="281" spans="2:3">
      <c r="B281" s="157">
        <v>42815</v>
      </c>
      <c r="C281" s="158">
        <v>29485.45</v>
      </c>
    </row>
    <row r="282" spans="2:3">
      <c r="B282" s="157">
        <v>42816</v>
      </c>
      <c r="C282" s="158">
        <v>29167.68</v>
      </c>
    </row>
    <row r="283" spans="2:3">
      <c r="B283" s="157">
        <v>42817</v>
      </c>
      <c r="C283" s="158">
        <v>29332.16</v>
      </c>
    </row>
    <row r="284" spans="2:3">
      <c r="B284" s="157">
        <v>42818</v>
      </c>
      <c r="C284" s="158">
        <v>29421.4</v>
      </c>
    </row>
    <row r="285" spans="2:3">
      <c r="B285" s="157">
        <v>42821</v>
      </c>
      <c r="C285" s="158">
        <v>29237.15</v>
      </c>
    </row>
    <row r="286" spans="2:3">
      <c r="B286" s="157">
        <v>42822</v>
      </c>
      <c r="C286" s="158">
        <v>29409.52</v>
      </c>
    </row>
    <row r="287" spans="2:3">
      <c r="B287" s="157">
        <v>42823</v>
      </c>
      <c r="C287" s="158">
        <v>29531.43</v>
      </c>
    </row>
    <row r="288" spans="2:3">
      <c r="B288" s="157">
        <v>42824</v>
      </c>
      <c r="C288" s="158">
        <v>29647.42</v>
      </c>
    </row>
    <row r="289" spans="2:3">
      <c r="B289" s="157">
        <v>42825</v>
      </c>
      <c r="C289" s="158">
        <v>29620.5</v>
      </c>
    </row>
    <row r="290" spans="2:3">
      <c r="B290" s="157">
        <v>42828</v>
      </c>
      <c r="C290" s="158">
        <v>29910.22</v>
      </c>
    </row>
    <row r="291" spans="2:3">
      <c r="B291" s="157">
        <v>42830</v>
      </c>
      <c r="C291" s="158">
        <v>29974.240000000002</v>
      </c>
    </row>
    <row r="292" spans="2:3">
      <c r="B292" s="157">
        <v>42831</v>
      </c>
      <c r="C292" s="158">
        <v>29927.34</v>
      </c>
    </row>
    <row r="293" spans="2:3">
      <c r="B293" s="157">
        <v>42832</v>
      </c>
      <c r="C293" s="158">
        <v>29706.61</v>
      </c>
    </row>
    <row r="294" spans="2:3">
      <c r="B294" s="157">
        <v>42835</v>
      </c>
      <c r="C294" s="158">
        <v>29575.74</v>
      </c>
    </row>
    <row r="295" spans="2:3">
      <c r="B295" s="157">
        <v>42836</v>
      </c>
      <c r="C295" s="158">
        <v>29788.35</v>
      </c>
    </row>
    <row r="296" spans="2:3">
      <c r="B296" s="157">
        <v>42837</v>
      </c>
      <c r="C296" s="158">
        <v>29643.48</v>
      </c>
    </row>
    <row r="297" spans="2:3">
      <c r="B297" s="157">
        <v>42838</v>
      </c>
      <c r="C297" s="158">
        <v>29461.45</v>
      </c>
    </row>
    <row r="298" spans="2:3">
      <c r="B298" s="157">
        <v>42842</v>
      </c>
      <c r="C298" s="158">
        <v>29413.66</v>
      </c>
    </row>
    <row r="299" spans="2:3">
      <c r="B299" s="157">
        <v>42843</v>
      </c>
      <c r="C299" s="158">
        <v>29319.1</v>
      </c>
    </row>
    <row r="300" spans="2:3">
      <c r="B300" s="157">
        <v>42844</v>
      </c>
      <c r="C300" s="158">
        <v>29336.57</v>
      </c>
    </row>
    <row r="301" spans="2:3">
      <c r="B301" s="157">
        <v>42845</v>
      </c>
      <c r="C301" s="158">
        <v>29422.39</v>
      </c>
    </row>
    <row r="302" spans="2:3">
      <c r="B302" s="157">
        <v>42846</v>
      </c>
      <c r="C302" s="158">
        <v>29365.3</v>
      </c>
    </row>
    <row r="303" spans="2:3">
      <c r="B303" s="157">
        <v>42849</v>
      </c>
      <c r="C303" s="158">
        <v>29655.84</v>
      </c>
    </row>
    <row r="304" spans="2:3">
      <c r="B304" s="157">
        <v>42850</v>
      </c>
      <c r="C304" s="158">
        <v>29943.24</v>
      </c>
    </row>
    <row r="305" spans="2:3">
      <c r="B305" s="157">
        <v>42851</v>
      </c>
      <c r="C305" s="158">
        <v>30133.35</v>
      </c>
    </row>
    <row r="306" spans="2:3">
      <c r="B306" s="157">
        <v>42852</v>
      </c>
      <c r="C306" s="158">
        <v>30029.74</v>
      </c>
    </row>
    <row r="307" spans="2:3">
      <c r="B307" s="157">
        <v>42853</v>
      </c>
      <c r="C307" s="158">
        <v>29918.400000000001</v>
      </c>
    </row>
    <row r="308" spans="2:3">
      <c r="B308" s="157">
        <v>42857</v>
      </c>
      <c r="C308" s="158">
        <v>29921.18</v>
      </c>
    </row>
    <row r="309" spans="2:3">
      <c r="B309" s="157">
        <v>42858</v>
      </c>
      <c r="C309" s="158">
        <v>29894.799999999999</v>
      </c>
    </row>
    <row r="310" spans="2:3">
      <c r="B310" s="157">
        <v>42859</v>
      </c>
      <c r="C310" s="158">
        <v>30126.21</v>
      </c>
    </row>
    <row r="311" spans="2:3">
      <c r="B311" s="157">
        <v>42860</v>
      </c>
      <c r="C311" s="158">
        <v>29858.799999999999</v>
      </c>
    </row>
    <row r="312" spans="2:3">
      <c r="B312" s="157">
        <v>42863</v>
      </c>
      <c r="C312" s="158">
        <v>29926.15</v>
      </c>
    </row>
    <row r="313" spans="2:3">
      <c r="B313" s="157">
        <v>42864</v>
      </c>
      <c r="C313" s="158">
        <v>29933.25</v>
      </c>
    </row>
    <row r="314" spans="2:3">
      <c r="B314" s="157">
        <v>42865</v>
      </c>
      <c r="C314" s="158">
        <v>30248.17</v>
      </c>
    </row>
    <row r="315" spans="2:3">
      <c r="B315" s="157">
        <v>42866</v>
      </c>
      <c r="C315" s="158">
        <v>30250.98</v>
      </c>
    </row>
    <row r="316" spans="2:3">
      <c r="B316" s="157">
        <v>42867</v>
      </c>
      <c r="C316" s="158">
        <v>30188.15</v>
      </c>
    </row>
    <row r="317" spans="2:3">
      <c r="B317" s="157">
        <v>42870</v>
      </c>
      <c r="C317" s="158">
        <v>30322.12</v>
      </c>
    </row>
    <row r="318" spans="2:3">
      <c r="B318" s="157">
        <v>42871</v>
      </c>
      <c r="C318" s="158">
        <v>30582.6</v>
      </c>
    </row>
    <row r="319" spans="2:3">
      <c r="B319" s="157">
        <v>42872</v>
      </c>
      <c r="C319" s="158">
        <v>30658.77</v>
      </c>
    </row>
    <row r="320" spans="2:3">
      <c r="B320" s="157">
        <v>42873</v>
      </c>
      <c r="C320" s="158">
        <v>30434.79</v>
      </c>
    </row>
    <row r="321" spans="2:3">
      <c r="B321" s="157">
        <v>42874</v>
      </c>
      <c r="C321" s="158">
        <v>30464.92</v>
      </c>
    </row>
    <row r="322" spans="2:3">
      <c r="B322" s="157">
        <v>42877</v>
      </c>
      <c r="C322" s="158">
        <v>30570.97</v>
      </c>
    </row>
    <row r="323" spans="2:3">
      <c r="B323" s="157">
        <v>42878</v>
      </c>
      <c r="C323" s="158">
        <v>30365.25</v>
      </c>
    </row>
    <row r="324" spans="2:3">
      <c r="B324" s="157">
        <v>42879</v>
      </c>
      <c r="C324" s="158">
        <v>30301.64</v>
      </c>
    </row>
    <row r="325" spans="2:3">
      <c r="B325" s="157">
        <v>42880</v>
      </c>
      <c r="C325" s="158">
        <v>30750.03</v>
      </c>
    </row>
    <row r="326" spans="2:3">
      <c r="B326" s="157">
        <v>42881</v>
      </c>
      <c r="C326" s="158">
        <v>31028.21</v>
      </c>
    </row>
    <row r="327" spans="2:3">
      <c r="B327" s="157">
        <v>42884</v>
      </c>
      <c r="C327" s="158">
        <v>31109.279999999999</v>
      </c>
    </row>
    <row r="328" spans="2:3">
      <c r="B328" s="157">
        <v>42885</v>
      </c>
      <c r="C328" s="158">
        <v>31159.4</v>
      </c>
    </row>
    <row r="329" spans="2:3">
      <c r="B329" s="157">
        <v>42886</v>
      </c>
      <c r="C329" s="158">
        <v>31145.8</v>
      </c>
    </row>
    <row r="330" spans="2:3">
      <c r="B330" s="157">
        <v>42887</v>
      </c>
      <c r="C330" s="158">
        <v>31137.59</v>
      </c>
    </row>
    <row r="331" spans="2:3">
      <c r="B331" s="157">
        <v>42888</v>
      </c>
      <c r="C331" s="158">
        <v>31273.29</v>
      </c>
    </row>
    <row r="332" spans="2:3">
      <c r="B332" s="157">
        <v>42891</v>
      </c>
      <c r="C332" s="158">
        <v>31309.49</v>
      </c>
    </row>
    <row r="333" spans="2:3">
      <c r="B333" s="157">
        <v>42892</v>
      </c>
      <c r="C333" s="158">
        <v>31190.560000000001</v>
      </c>
    </row>
    <row r="334" spans="2:3">
      <c r="B334" s="157">
        <v>42893</v>
      </c>
      <c r="C334" s="158">
        <v>31271.279999999999</v>
      </c>
    </row>
    <row r="335" spans="2:3">
      <c r="B335" s="157">
        <v>42894</v>
      </c>
      <c r="C335" s="158">
        <v>31213.360000000001</v>
      </c>
    </row>
    <row r="336" spans="2:3">
      <c r="B336" s="157">
        <v>42895</v>
      </c>
      <c r="C336" s="158">
        <v>31262.06</v>
      </c>
    </row>
    <row r="337" spans="2:3">
      <c r="B337" s="157">
        <v>42898</v>
      </c>
      <c r="C337" s="158">
        <v>31095.7</v>
      </c>
    </row>
    <row r="338" spans="2:3">
      <c r="B338" s="157">
        <v>42899</v>
      </c>
      <c r="C338" s="158">
        <v>31103.49</v>
      </c>
    </row>
    <row r="339" spans="2:3">
      <c r="B339" s="157">
        <v>42900</v>
      </c>
      <c r="C339" s="158">
        <v>31155.91</v>
      </c>
    </row>
    <row r="340" spans="2:3">
      <c r="B340" s="157">
        <v>42901</v>
      </c>
      <c r="C340" s="158">
        <v>31075.73</v>
      </c>
    </row>
    <row r="341" spans="2:3">
      <c r="B341" s="157">
        <v>42902</v>
      </c>
      <c r="C341" s="158">
        <v>31056.400000000001</v>
      </c>
    </row>
    <row r="342" spans="2:3">
      <c r="B342" s="157">
        <v>42905</v>
      </c>
      <c r="C342" s="158">
        <v>31311.57</v>
      </c>
    </row>
    <row r="343" spans="2:3">
      <c r="B343" s="157">
        <v>42906</v>
      </c>
      <c r="C343" s="158">
        <v>31297.53</v>
      </c>
    </row>
    <row r="344" spans="2:3">
      <c r="B344" s="157">
        <v>42907</v>
      </c>
      <c r="C344" s="158">
        <v>31283.64</v>
      </c>
    </row>
    <row r="345" spans="2:3">
      <c r="B345" s="157">
        <v>42908</v>
      </c>
      <c r="C345" s="158">
        <v>31290.74</v>
      </c>
    </row>
    <row r="346" spans="2:3">
      <c r="B346" s="157">
        <v>42909</v>
      </c>
      <c r="C346" s="158">
        <v>31138.21</v>
      </c>
    </row>
    <row r="347" spans="2:3">
      <c r="B347" s="157">
        <v>42913</v>
      </c>
      <c r="C347" s="158">
        <v>30958.25</v>
      </c>
    </row>
    <row r="348" spans="2:3">
      <c r="B348" s="157">
        <v>42914</v>
      </c>
      <c r="C348" s="158">
        <v>30834.32</v>
      </c>
    </row>
    <row r="349" spans="2:3">
      <c r="B349" s="157">
        <v>42915</v>
      </c>
      <c r="C349" s="158">
        <v>30857.52</v>
      </c>
    </row>
    <row r="350" spans="2:3">
      <c r="B350" s="157">
        <v>42916</v>
      </c>
      <c r="C350" s="158">
        <v>30921.61</v>
      </c>
    </row>
    <row r="351" spans="2:3">
      <c r="B351" s="157">
        <v>42919</v>
      </c>
      <c r="C351" s="158">
        <v>31221.62</v>
      </c>
    </row>
    <row r="352" spans="2:3">
      <c r="B352" s="157">
        <v>42920</v>
      </c>
      <c r="C352" s="158">
        <v>31209.79</v>
      </c>
    </row>
    <row r="353" spans="2:3">
      <c r="B353" s="157">
        <v>42921</v>
      </c>
      <c r="C353" s="158">
        <v>31245.56</v>
      </c>
    </row>
    <row r="354" spans="2:3">
      <c r="B354" s="157">
        <v>42922</v>
      </c>
      <c r="C354" s="158">
        <v>31369.34</v>
      </c>
    </row>
    <row r="355" spans="2:3">
      <c r="B355" s="157">
        <v>42923</v>
      </c>
      <c r="C355" s="158">
        <v>31360.63</v>
      </c>
    </row>
    <row r="356" spans="2:3">
      <c r="B356" s="157">
        <v>42926</v>
      </c>
      <c r="C356" s="158">
        <v>31715.64</v>
      </c>
    </row>
    <row r="357" spans="2:3">
      <c r="B357" s="157">
        <v>42927</v>
      </c>
      <c r="C357" s="158">
        <v>31747.09</v>
      </c>
    </row>
    <row r="358" spans="2:3">
      <c r="B358" s="157">
        <v>42928</v>
      </c>
      <c r="C358" s="158">
        <v>31804.82</v>
      </c>
    </row>
    <row r="359" spans="2:3">
      <c r="B359" s="157">
        <v>42929</v>
      </c>
      <c r="C359" s="158">
        <v>32037.38</v>
      </c>
    </row>
    <row r="360" spans="2:3">
      <c r="B360" s="157">
        <v>42930</v>
      </c>
      <c r="C360" s="158">
        <v>32020.75</v>
      </c>
    </row>
    <row r="361" spans="2:3">
      <c r="B361" s="157">
        <v>42933</v>
      </c>
      <c r="C361" s="158">
        <v>32074.78</v>
      </c>
    </row>
    <row r="362" spans="2:3">
      <c r="B362" s="157">
        <v>42934</v>
      </c>
      <c r="C362" s="158">
        <v>31710.99</v>
      </c>
    </row>
    <row r="363" spans="2:3">
      <c r="B363" s="157">
        <v>42935</v>
      </c>
      <c r="C363" s="158">
        <v>31955.35</v>
      </c>
    </row>
    <row r="364" spans="2:3">
      <c r="B364" s="157">
        <v>42936</v>
      </c>
      <c r="C364" s="158">
        <v>31904.400000000001</v>
      </c>
    </row>
    <row r="365" spans="2:3">
      <c r="B365" s="157">
        <v>42937</v>
      </c>
      <c r="C365" s="158">
        <v>32028.89</v>
      </c>
    </row>
    <row r="366" spans="2:3">
      <c r="B366" s="157">
        <v>42940</v>
      </c>
      <c r="C366" s="158">
        <v>32245.87</v>
      </c>
    </row>
    <row r="367" spans="2:3">
      <c r="B367" s="157">
        <v>42941</v>
      </c>
      <c r="C367" s="158">
        <v>32228.27</v>
      </c>
    </row>
    <row r="368" spans="2:3">
      <c r="B368" s="157">
        <v>42942</v>
      </c>
      <c r="C368" s="158">
        <v>32382.46</v>
      </c>
    </row>
    <row r="369" spans="2:3">
      <c r="B369" s="157">
        <v>42943</v>
      </c>
      <c r="C369" s="158">
        <v>32383.3</v>
      </c>
    </row>
    <row r="370" spans="2:3">
      <c r="B370" s="157">
        <v>42944</v>
      </c>
      <c r="C370" s="158">
        <v>32309.88</v>
      </c>
    </row>
    <row r="371" spans="2:3">
      <c r="B371" s="157">
        <v>42947</v>
      </c>
      <c r="C371" s="158">
        <v>32514.94</v>
      </c>
    </row>
    <row r="372" spans="2:3">
      <c r="B372" s="157">
        <v>42948</v>
      </c>
      <c r="C372" s="158">
        <v>32575.17</v>
      </c>
    </row>
    <row r="373" spans="2:3">
      <c r="B373" s="157">
        <v>42949</v>
      </c>
      <c r="C373" s="158">
        <v>32476.74</v>
      </c>
    </row>
    <row r="374" spans="2:3">
      <c r="B374" s="157">
        <v>42950</v>
      </c>
      <c r="C374" s="158">
        <v>32237.88</v>
      </c>
    </row>
    <row r="375" spans="2:3">
      <c r="B375" s="157">
        <v>42951</v>
      </c>
      <c r="C375" s="158">
        <v>32325.41</v>
      </c>
    </row>
    <row r="376" spans="2:3">
      <c r="B376" s="157">
        <v>42954</v>
      </c>
      <c r="C376" s="158">
        <v>32273.67</v>
      </c>
    </row>
    <row r="377" spans="2:3">
      <c r="B377" s="157">
        <v>42955</v>
      </c>
      <c r="C377" s="158">
        <v>32014.19</v>
      </c>
    </row>
    <row r="378" spans="2:3">
      <c r="B378" s="157">
        <v>42956</v>
      </c>
      <c r="C378" s="158">
        <v>31797.84</v>
      </c>
    </row>
    <row r="379" spans="2:3">
      <c r="B379" s="157">
        <v>42957</v>
      </c>
      <c r="C379" s="158">
        <v>31531.33</v>
      </c>
    </row>
    <row r="380" spans="2:3">
      <c r="B380" s="157">
        <v>42958</v>
      </c>
      <c r="C380" s="158">
        <v>31213.59</v>
      </c>
    </row>
    <row r="381" spans="2:3">
      <c r="B381" s="157">
        <v>42961</v>
      </c>
      <c r="C381" s="158">
        <v>31449.03</v>
      </c>
    </row>
    <row r="382" spans="2:3">
      <c r="B382" s="157">
        <v>42963</v>
      </c>
      <c r="C382" s="158">
        <v>31770.89</v>
      </c>
    </row>
    <row r="383" spans="2:3">
      <c r="B383" s="157">
        <v>42964</v>
      </c>
      <c r="C383" s="158">
        <v>31795.46</v>
      </c>
    </row>
    <row r="384" spans="2:3">
      <c r="B384" s="157">
        <v>42965</v>
      </c>
      <c r="C384" s="158">
        <v>31524.68</v>
      </c>
    </row>
    <row r="385" spans="2:3">
      <c r="B385" s="157">
        <v>42968</v>
      </c>
      <c r="C385" s="158">
        <v>31258.85</v>
      </c>
    </row>
    <row r="386" spans="2:3">
      <c r="B386" s="157">
        <v>42969</v>
      </c>
      <c r="C386" s="158">
        <v>31291.85</v>
      </c>
    </row>
    <row r="387" spans="2:3">
      <c r="B387" s="157">
        <v>42970</v>
      </c>
      <c r="C387" s="158">
        <v>31568.01</v>
      </c>
    </row>
    <row r="388" spans="2:3">
      <c r="B388" s="157">
        <v>42971</v>
      </c>
      <c r="C388" s="158">
        <v>31596.06</v>
      </c>
    </row>
    <row r="389" spans="2:3">
      <c r="B389" s="157">
        <v>42975</v>
      </c>
      <c r="C389" s="158">
        <v>31750.82</v>
      </c>
    </row>
    <row r="390" spans="2:3">
      <c r="B390" s="157">
        <v>42976</v>
      </c>
      <c r="C390" s="158">
        <v>31388.39</v>
      </c>
    </row>
    <row r="391" spans="2:3">
      <c r="B391" s="157">
        <v>42977</v>
      </c>
      <c r="C391" s="158">
        <v>31646.46</v>
      </c>
    </row>
    <row r="392" spans="2:3">
      <c r="B392" s="157">
        <v>42978</v>
      </c>
      <c r="C392" s="158">
        <v>31730.49</v>
      </c>
    </row>
    <row r="393" spans="2:3">
      <c r="B393" s="157">
        <v>42979</v>
      </c>
      <c r="C393" s="158">
        <v>31892.23</v>
      </c>
    </row>
    <row r="394" spans="2:3">
      <c r="B394" s="157">
        <v>42982</v>
      </c>
      <c r="C394" s="158">
        <v>31702.25</v>
      </c>
    </row>
    <row r="395" spans="2:3">
      <c r="B395" s="157">
        <v>42983</v>
      </c>
      <c r="C395" s="158">
        <v>31809.55</v>
      </c>
    </row>
    <row r="396" spans="2:3">
      <c r="B396" s="157">
        <v>42984</v>
      </c>
      <c r="C396" s="158">
        <v>31661.97</v>
      </c>
    </row>
    <row r="397" spans="2:3">
      <c r="B397" s="157">
        <v>42985</v>
      </c>
      <c r="C397" s="158">
        <v>31662.74</v>
      </c>
    </row>
    <row r="398" spans="2:3">
      <c r="B398" s="157">
        <v>42986</v>
      </c>
      <c r="C398" s="158">
        <v>31687.52</v>
      </c>
    </row>
    <row r="399" spans="2:3">
      <c r="B399" s="157">
        <v>42989</v>
      </c>
      <c r="C399" s="158">
        <v>31882.16</v>
      </c>
    </row>
    <row r="400" spans="2:3">
      <c r="B400" s="157">
        <v>42990</v>
      </c>
      <c r="C400" s="158">
        <v>32158.66</v>
      </c>
    </row>
    <row r="401" spans="2:3">
      <c r="B401" s="157">
        <v>42991</v>
      </c>
      <c r="C401" s="158">
        <v>32186.41</v>
      </c>
    </row>
    <row r="402" spans="2:3">
      <c r="B402" s="157">
        <v>42992</v>
      </c>
      <c r="C402" s="158">
        <v>32241.93</v>
      </c>
    </row>
    <row r="403" spans="2:3">
      <c r="B403" s="157">
        <v>42993</v>
      </c>
      <c r="C403" s="158">
        <v>32272.61</v>
      </c>
    </row>
    <row r="404" spans="2:3">
      <c r="B404" s="157">
        <v>42996</v>
      </c>
      <c r="C404" s="158">
        <v>32423.759999999998</v>
      </c>
    </row>
    <row r="405" spans="2:3">
      <c r="B405" s="157">
        <v>42997</v>
      </c>
      <c r="C405" s="158">
        <v>32402.37</v>
      </c>
    </row>
    <row r="406" spans="2:3">
      <c r="B406" s="157">
        <v>42998</v>
      </c>
      <c r="C406" s="158">
        <v>32400.51</v>
      </c>
    </row>
    <row r="407" spans="2:3">
      <c r="B407" s="157">
        <v>42999</v>
      </c>
      <c r="C407" s="158">
        <v>32370.04</v>
      </c>
    </row>
    <row r="408" spans="2:3">
      <c r="B408" s="157">
        <v>43000</v>
      </c>
      <c r="C408" s="158">
        <v>31922.44</v>
      </c>
    </row>
    <row r="409" spans="2:3">
      <c r="B409" s="157">
        <v>43003</v>
      </c>
      <c r="C409" s="158">
        <v>31626.63</v>
      </c>
    </row>
    <row r="410" spans="2:3">
      <c r="B410" s="157">
        <v>43004</v>
      </c>
      <c r="C410" s="158">
        <v>31599.759999999998</v>
      </c>
    </row>
    <row r="411" spans="2:3">
      <c r="B411" s="157">
        <v>43005</v>
      </c>
      <c r="C411" s="158">
        <v>31159.81</v>
      </c>
    </row>
    <row r="412" spans="2:3">
      <c r="B412" s="157">
        <v>43006</v>
      </c>
      <c r="C412" s="158">
        <v>31282.48</v>
      </c>
    </row>
    <row r="413" spans="2:3">
      <c r="B413" s="157">
        <v>43007</v>
      </c>
      <c r="C413" s="158">
        <v>31283.72</v>
      </c>
    </row>
    <row r="414" spans="2:3">
      <c r="B414" s="157">
        <v>43011</v>
      </c>
      <c r="C414" s="158">
        <v>31497.38</v>
      </c>
    </row>
    <row r="415" spans="2:3">
      <c r="B415" s="157">
        <v>43012</v>
      </c>
      <c r="C415" s="158">
        <v>31671.71</v>
      </c>
    </row>
    <row r="416" spans="2:3">
      <c r="B416" s="157">
        <v>43013</v>
      </c>
      <c r="C416" s="158">
        <v>31592.03</v>
      </c>
    </row>
    <row r="417" spans="2:3">
      <c r="B417" s="157">
        <v>43014</v>
      </c>
      <c r="C417" s="158">
        <v>31814.22</v>
      </c>
    </row>
    <row r="418" spans="2:3">
      <c r="B418" s="157">
        <v>43017</v>
      </c>
      <c r="C418" s="158">
        <v>31846.89</v>
      </c>
    </row>
    <row r="419" spans="2:3">
      <c r="B419" s="157">
        <v>43018</v>
      </c>
      <c r="C419" s="158">
        <v>31924.41</v>
      </c>
    </row>
    <row r="420" spans="2:3">
      <c r="B420" s="157">
        <v>43019</v>
      </c>
      <c r="C420" s="158">
        <v>31833.99</v>
      </c>
    </row>
    <row r="421" spans="2:3">
      <c r="B421" s="157">
        <v>43020</v>
      </c>
      <c r="C421" s="158">
        <v>32182.22</v>
      </c>
    </row>
    <row r="422" spans="2:3">
      <c r="B422" s="157">
        <v>43021</v>
      </c>
      <c r="C422" s="158">
        <v>32432.69</v>
      </c>
    </row>
    <row r="423" spans="2:3">
      <c r="B423" s="157">
        <v>43024</v>
      </c>
      <c r="C423" s="158">
        <v>32633.64</v>
      </c>
    </row>
    <row r="424" spans="2:3">
      <c r="B424" s="157">
        <v>43025</v>
      </c>
      <c r="C424" s="158">
        <v>32609.16</v>
      </c>
    </row>
    <row r="425" spans="2:3">
      <c r="B425" s="157">
        <v>43026</v>
      </c>
      <c r="C425" s="158">
        <v>32584.35</v>
      </c>
    </row>
    <row r="426" spans="2:3">
      <c r="B426" s="157">
        <v>43027</v>
      </c>
      <c r="C426" s="158">
        <v>32389.96</v>
      </c>
    </row>
    <row r="427" spans="2:3">
      <c r="B427" s="157">
        <v>43031</v>
      </c>
      <c r="C427" s="158">
        <v>32506.720000000001</v>
      </c>
    </row>
    <row r="428" spans="2:3">
      <c r="B428" s="157">
        <v>43032</v>
      </c>
      <c r="C428" s="158">
        <v>32607.34</v>
      </c>
    </row>
    <row r="429" spans="2:3">
      <c r="B429" s="157">
        <v>43033</v>
      </c>
      <c r="C429" s="158">
        <v>33042.5</v>
      </c>
    </row>
    <row r="430" spans="2:3">
      <c r="B430" s="157">
        <v>43034</v>
      </c>
      <c r="C430" s="158">
        <v>33147.129999999997</v>
      </c>
    </row>
    <row r="431" spans="2:3">
      <c r="B431" s="157">
        <v>43035</v>
      </c>
      <c r="C431" s="158">
        <v>33157.22</v>
      </c>
    </row>
    <row r="432" spans="2:3">
      <c r="B432" s="157">
        <v>43038</v>
      </c>
      <c r="C432" s="158">
        <v>33266.160000000003</v>
      </c>
    </row>
    <row r="433" spans="2:3">
      <c r="B433" s="157">
        <v>43039</v>
      </c>
      <c r="C433" s="158">
        <v>33213.129999999997</v>
      </c>
    </row>
    <row r="434" spans="2:3">
      <c r="B434" s="157">
        <v>43040</v>
      </c>
      <c r="C434" s="158">
        <v>33600.269999999997</v>
      </c>
    </row>
    <row r="435" spans="2:3">
      <c r="B435" s="157">
        <v>43041</v>
      </c>
      <c r="C435" s="158">
        <v>33573.22</v>
      </c>
    </row>
    <row r="436" spans="2:3">
      <c r="B436" s="157">
        <v>43042</v>
      </c>
      <c r="C436" s="158">
        <v>33685.56</v>
      </c>
    </row>
    <row r="437" spans="2:3">
      <c r="B437" s="157">
        <v>43045</v>
      </c>
      <c r="C437" s="158">
        <v>33731.19</v>
      </c>
    </row>
    <row r="438" spans="2:3">
      <c r="B438" s="157">
        <v>43046</v>
      </c>
      <c r="C438" s="158">
        <v>33370.76</v>
      </c>
    </row>
    <row r="439" spans="2:3">
      <c r="B439" s="157">
        <v>43047</v>
      </c>
      <c r="C439" s="158">
        <v>33218.81</v>
      </c>
    </row>
    <row r="440" spans="2:3">
      <c r="B440" s="157">
        <v>43048</v>
      </c>
      <c r="C440" s="158">
        <v>33250.93</v>
      </c>
    </row>
    <row r="441" spans="2:3">
      <c r="B441" s="157">
        <v>43049</v>
      </c>
      <c r="C441" s="158">
        <v>33314.559999999998</v>
      </c>
    </row>
    <row r="442" spans="2:3">
      <c r="B442" s="157">
        <v>43052</v>
      </c>
      <c r="C442" s="158">
        <v>33033.56</v>
      </c>
    </row>
    <row r="443" spans="2:3">
      <c r="B443" s="157">
        <v>43053</v>
      </c>
      <c r="C443" s="158">
        <v>32941.870000000003</v>
      </c>
    </row>
    <row r="444" spans="2:3">
      <c r="B444" s="157">
        <v>43054</v>
      </c>
      <c r="C444" s="158">
        <v>32760.44</v>
      </c>
    </row>
    <row r="445" spans="2:3">
      <c r="B445" s="157">
        <v>43055</v>
      </c>
      <c r="C445" s="158">
        <v>33106.82</v>
      </c>
    </row>
    <row r="446" spans="2:3">
      <c r="B446" s="157">
        <v>43056</v>
      </c>
      <c r="C446" s="158">
        <v>33342.800000000003</v>
      </c>
    </row>
    <row r="447" spans="2:3">
      <c r="B447" s="157">
        <v>43059</v>
      </c>
      <c r="C447" s="158">
        <v>33359.9</v>
      </c>
    </row>
    <row r="448" spans="2:3">
      <c r="B448" s="157">
        <v>43060</v>
      </c>
      <c r="C448" s="158">
        <v>33478.35</v>
      </c>
    </row>
    <row r="449" spans="2:3">
      <c r="B449" s="157">
        <v>43061</v>
      </c>
      <c r="C449" s="158">
        <v>33561.550000000003</v>
      </c>
    </row>
    <row r="450" spans="2:3">
      <c r="B450" s="157">
        <v>43062</v>
      </c>
      <c r="C450" s="158">
        <v>33588.080000000002</v>
      </c>
    </row>
    <row r="451" spans="2:3">
      <c r="B451" s="157">
        <v>43063</v>
      </c>
      <c r="C451" s="158">
        <v>33679.24</v>
      </c>
    </row>
    <row r="452" spans="2:3">
      <c r="B452" s="157">
        <v>43066</v>
      </c>
      <c r="C452" s="158">
        <v>33724.44</v>
      </c>
    </row>
    <row r="453" spans="2:3">
      <c r="B453" s="157">
        <v>43067</v>
      </c>
      <c r="C453" s="158">
        <v>33618.589999999997</v>
      </c>
    </row>
    <row r="454" spans="2:3">
      <c r="B454" s="157">
        <v>43068</v>
      </c>
      <c r="C454" s="158">
        <v>33602.76</v>
      </c>
    </row>
    <row r="455" spans="2:3">
      <c r="B455" s="157">
        <v>43069</v>
      </c>
      <c r="C455" s="158">
        <v>33149.35</v>
      </c>
    </row>
    <row r="456" spans="2:3">
      <c r="B456" s="157">
        <v>43070</v>
      </c>
      <c r="C456" s="158">
        <v>32832.94</v>
      </c>
    </row>
    <row r="457" spans="2:3">
      <c r="B457" s="157">
        <v>43073</v>
      </c>
      <c r="C457" s="158">
        <v>32869.72</v>
      </c>
    </row>
    <row r="458" spans="2:3">
      <c r="B458" s="157">
        <v>43074</v>
      </c>
      <c r="C458" s="158">
        <v>32802.44</v>
      </c>
    </row>
    <row r="459" spans="2:3">
      <c r="B459" s="157">
        <v>43075</v>
      </c>
      <c r="C459" s="158">
        <v>32597.18</v>
      </c>
    </row>
    <row r="460" spans="2:3">
      <c r="B460" s="157">
        <v>43076</v>
      </c>
      <c r="C460" s="158">
        <v>32949.21</v>
      </c>
    </row>
    <row r="461" spans="2:3">
      <c r="B461" s="157">
        <v>43077</v>
      </c>
      <c r="C461" s="158">
        <v>33250.300000000003</v>
      </c>
    </row>
    <row r="462" spans="2:3">
      <c r="B462" s="157">
        <v>43080</v>
      </c>
      <c r="C462" s="158">
        <v>33455.79</v>
      </c>
    </row>
    <row r="463" spans="2:3">
      <c r="B463" s="157">
        <v>43081</v>
      </c>
      <c r="C463" s="158">
        <v>33227.99</v>
      </c>
    </row>
    <row r="464" spans="2:3">
      <c r="B464" s="157">
        <v>43082</v>
      </c>
      <c r="C464" s="158">
        <v>33053.040000000001</v>
      </c>
    </row>
    <row r="465" spans="2:3">
      <c r="B465" s="157">
        <v>43083</v>
      </c>
      <c r="C465" s="158">
        <v>33246.699999999997</v>
      </c>
    </row>
    <row r="466" spans="2:3">
      <c r="B466" s="157">
        <v>43084</v>
      </c>
      <c r="C466" s="158">
        <v>33462.97</v>
      </c>
    </row>
    <row r="467" spans="2:3">
      <c r="B467" s="157">
        <v>43087</v>
      </c>
      <c r="C467" s="158">
        <v>33601.68</v>
      </c>
    </row>
    <row r="468" spans="2:3">
      <c r="B468" s="157">
        <v>43088</v>
      </c>
      <c r="C468" s="158">
        <v>33836.74</v>
      </c>
    </row>
    <row r="469" spans="2:3">
      <c r="B469" s="157">
        <v>43089</v>
      </c>
      <c r="C469" s="158">
        <v>33777.379999999997</v>
      </c>
    </row>
    <row r="470" spans="2:3">
      <c r="B470" s="157">
        <v>43090</v>
      </c>
      <c r="C470" s="158">
        <v>33756.28</v>
      </c>
    </row>
    <row r="471" spans="2:3">
      <c r="B471" s="157">
        <v>43091</v>
      </c>
      <c r="C471" s="158">
        <v>33940.300000000003</v>
      </c>
    </row>
    <row r="472" spans="2:3">
      <c r="B472" s="157">
        <v>43095</v>
      </c>
      <c r="C472" s="158">
        <v>34010.61</v>
      </c>
    </row>
    <row r="473" spans="2:3">
      <c r="B473" s="157">
        <v>43096</v>
      </c>
      <c r="C473" s="158">
        <v>33911.81</v>
      </c>
    </row>
    <row r="474" spans="2:3">
      <c r="B474" s="157">
        <v>43097</v>
      </c>
      <c r="C474" s="158">
        <v>33848.03</v>
      </c>
    </row>
    <row r="475" spans="2:3">
      <c r="B475" s="157">
        <v>43098</v>
      </c>
      <c r="C475" s="158">
        <v>34056.83</v>
      </c>
    </row>
    <row r="476" spans="2:3">
      <c r="B476" s="157">
        <v>43101</v>
      </c>
      <c r="C476" s="158">
        <v>33812.75</v>
      </c>
    </row>
    <row r="477" spans="2:3">
      <c r="B477" s="157">
        <v>43102</v>
      </c>
      <c r="C477" s="158">
        <v>33812.26</v>
      </c>
    </row>
    <row r="478" spans="2:3">
      <c r="B478" s="157">
        <v>43103</v>
      </c>
      <c r="C478" s="158">
        <v>33793.379999999997</v>
      </c>
    </row>
    <row r="479" spans="2:3">
      <c r="B479" s="157">
        <v>43104</v>
      </c>
      <c r="C479" s="158">
        <v>33969.64</v>
      </c>
    </row>
    <row r="480" spans="2:3">
      <c r="B480" s="157">
        <v>43105</v>
      </c>
      <c r="C480" s="158">
        <v>34153.85</v>
      </c>
    </row>
    <row r="481" spans="2:3">
      <c r="B481" s="157">
        <v>43108</v>
      </c>
      <c r="C481" s="158">
        <v>34352.79</v>
      </c>
    </row>
    <row r="482" spans="2:3">
      <c r="B482" s="157">
        <v>43109</v>
      </c>
      <c r="C482" s="158">
        <v>34443.19</v>
      </c>
    </row>
    <row r="483" spans="2:3">
      <c r="B483" s="157">
        <v>43110</v>
      </c>
      <c r="C483" s="158">
        <v>34433.07</v>
      </c>
    </row>
    <row r="484" spans="2:3">
      <c r="B484" s="157">
        <v>43111</v>
      </c>
      <c r="C484" s="158">
        <v>34503.49</v>
      </c>
    </row>
    <row r="485" spans="2:3">
      <c r="B485" s="157">
        <v>43112</v>
      </c>
      <c r="C485" s="158">
        <v>34592.39</v>
      </c>
    </row>
    <row r="486" spans="2:3">
      <c r="B486" s="157">
        <v>43115</v>
      </c>
      <c r="C486" s="158">
        <v>34843.51</v>
      </c>
    </row>
    <row r="487" spans="2:3">
      <c r="B487" s="157">
        <v>43116</v>
      </c>
      <c r="C487" s="158">
        <v>34771.050000000003</v>
      </c>
    </row>
    <row r="488" spans="2:3">
      <c r="B488" s="157">
        <v>43117</v>
      </c>
      <c r="C488" s="158">
        <v>35081.82</v>
      </c>
    </row>
    <row r="489" spans="2:3">
      <c r="B489" s="157">
        <v>43118</v>
      </c>
      <c r="C489" s="158">
        <v>35260.29</v>
      </c>
    </row>
    <row r="490" spans="2:3">
      <c r="B490" s="157">
        <v>43119</v>
      </c>
      <c r="C490" s="158">
        <v>35511.58</v>
      </c>
    </row>
    <row r="491" spans="2:3">
      <c r="B491" s="157">
        <v>43122</v>
      </c>
      <c r="C491" s="158">
        <v>35798.01</v>
      </c>
    </row>
    <row r="492" spans="2:3">
      <c r="B492" s="157">
        <v>43123</v>
      </c>
      <c r="C492" s="158">
        <v>36139.980000000003</v>
      </c>
    </row>
    <row r="493" spans="2:3">
      <c r="B493" s="157">
        <v>43124</v>
      </c>
      <c r="C493" s="158">
        <v>36161.64</v>
      </c>
    </row>
    <row r="494" spans="2:3">
      <c r="B494" s="157">
        <v>43125</v>
      </c>
      <c r="C494" s="158">
        <v>36050.44</v>
      </c>
    </row>
    <row r="495" spans="2:3">
      <c r="B495" s="157">
        <v>43129</v>
      </c>
      <c r="C495" s="158">
        <v>36283.25</v>
      </c>
    </row>
    <row r="496" spans="2:3">
      <c r="B496" s="157">
        <v>43130</v>
      </c>
      <c r="C496" s="158">
        <v>36033.730000000003</v>
      </c>
    </row>
    <row r="497" spans="2:3">
      <c r="B497" s="157">
        <v>43131</v>
      </c>
      <c r="C497" s="158">
        <v>35965.019999999997</v>
      </c>
    </row>
    <row r="498" spans="2:3">
      <c r="B498" s="157">
        <v>43132</v>
      </c>
      <c r="C498" s="158">
        <v>35906.660000000003</v>
      </c>
    </row>
    <row r="499" spans="2:3">
      <c r="B499" s="157">
        <v>43133</v>
      </c>
      <c r="C499" s="158">
        <v>35066.75</v>
      </c>
    </row>
    <row r="500" spans="2:3">
      <c r="B500" s="157">
        <v>43136</v>
      </c>
      <c r="C500" s="158">
        <v>34757.160000000003</v>
      </c>
    </row>
    <row r="501" spans="2:3">
      <c r="B501" s="157">
        <v>43137</v>
      </c>
      <c r="C501" s="158">
        <v>34195.94</v>
      </c>
    </row>
    <row r="502" spans="2:3">
      <c r="B502" s="157">
        <v>43138</v>
      </c>
      <c r="C502" s="158">
        <v>34082.71</v>
      </c>
    </row>
    <row r="503" spans="2:3">
      <c r="B503" s="157">
        <v>43139</v>
      </c>
      <c r="C503" s="158">
        <v>34413.160000000003</v>
      </c>
    </row>
    <row r="504" spans="2:3">
      <c r="B504" s="157">
        <v>43140</v>
      </c>
      <c r="C504" s="158">
        <v>34005.760000000002</v>
      </c>
    </row>
    <row r="505" spans="2:3">
      <c r="B505" s="157">
        <v>43143</v>
      </c>
      <c r="C505" s="158">
        <v>34300.47</v>
      </c>
    </row>
    <row r="506" spans="2:3">
      <c r="B506" s="157">
        <v>43145</v>
      </c>
      <c r="C506" s="158">
        <v>34155.949999999997</v>
      </c>
    </row>
    <row r="507" spans="2:3">
      <c r="B507" s="157">
        <v>43146</v>
      </c>
      <c r="C507" s="158">
        <v>34297.47</v>
      </c>
    </row>
    <row r="508" spans="2:3">
      <c r="B508" s="157">
        <v>43147</v>
      </c>
      <c r="C508" s="158">
        <v>34010.76</v>
      </c>
    </row>
    <row r="509" spans="2:3">
      <c r="B509" s="157">
        <v>43150</v>
      </c>
      <c r="C509" s="158">
        <v>33774.660000000003</v>
      </c>
    </row>
    <row r="510" spans="2:3">
      <c r="B510" s="157">
        <v>43151</v>
      </c>
      <c r="C510" s="158">
        <v>33703.589999999997</v>
      </c>
    </row>
    <row r="511" spans="2:3">
      <c r="B511" s="157">
        <v>43152</v>
      </c>
      <c r="C511" s="158">
        <v>33844.86</v>
      </c>
    </row>
    <row r="512" spans="2:3">
      <c r="B512" s="157">
        <v>43153</v>
      </c>
      <c r="C512" s="158">
        <v>33819.5</v>
      </c>
    </row>
    <row r="513" spans="2:3">
      <c r="B513" s="157">
        <v>43154</v>
      </c>
      <c r="C513" s="158">
        <v>34142.15</v>
      </c>
    </row>
    <row r="514" spans="2:3">
      <c r="B514" s="157">
        <v>43157</v>
      </c>
      <c r="C514" s="158">
        <v>34445.75</v>
      </c>
    </row>
    <row r="515" spans="2:3">
      <c r="B515" s="157">
        <v>43158</v>
      </c>
      <c r="C515" s="158">
        <v>34346.39</v>
      </c>
    </row>
    <row r="516" spans="2:3">
      <c r="B516" s="157">
        <v>43159</v>
      </c>
      <c r="C516" s="158">
        <v>34184.04</v>
      </c>
    </row>
    <row r="517" spans="2:3">
      <c r="B517" s="157">
        <v>43160</v>
      </c>
      <c r="C517" s="158">
        <v>34046.94</v>
      </c>
    </row>
    <row r="518" spans="2:3">
      <c r="B518" s="157">
        <v>43164</v>
      </c>
      <c r="C518" s="158">
        <v>33746.78</v>
      </c>
    </row>
    <row r="519" spans="2:3">
      <c r="B519" s="157">
        <v>43165</v>
      </c>
      <c r="C519" s="158">
        <v>33317.199999999997</v>
      </c>
    </row>
    <row r="520" spans="2:3">
      <c r="B520" s="157">
        <v>43166</v>
      </c>
      <c r="C520" s="158">
        <v>33033.089999999997</v>
      </c>
    </row>
    <row r="521" spans="2:3">
      <c r="B521" s="157">
        <v>43167</v>
      </c>
      <c r="C521" s="158">
        <v>33351.57</v>
      </c>
    </row>
    <row r="522" spans="2:3">
      <c r="B522" s="157">
        <v>43168</v>
      </c>
      <c r="C522" s="158">
        <v>33307.14</v>
      </c>
    </row>
    <row r="523" spans="2:3">
      <c r="B523" s="157">
        <v>43171</v>
      </c>
      <c r="C523" s="158">
        <v>33917.94</v>
      </c>
    </row>
    <row r="524" spans="2:3">
      <c r="B524" s="157">
        <v>43172</v>
      </c>
      <c r="C524" s="158">
        <v>33856.78</v>
      </c>
    </row>
    <row r="525" spans="2:3">
      <c r="B525" s="157">
        <v>43173</v>
      </c>
      <c r="C525" s="158">
        <v>33835.74</v>
      </c>
    </row>
    <row r="526" spans="2:3">
      <c r="B526" s="157">
        <v>43174</v>
      </c>
      <c r="C526" s="158">
        <v>33685.54</v>
      </c>
    </row>
    <row r="527" spans="2:3">
      <c r="B527" s="157">
        <v>43175</v>
      </c>
      <c r="C527" s="158">
        <v>33176</v>
      </c>
    </row>
    <row r="528" spans="2:3">
      <c r="B528" s="157">
        <v>43178</v>
      </c>
      <c r="C528" s="158">
        <v>32923.120000000003</v>
      </c>
    </row>
    <row r="529" spans="2:3">
      <c r="B529" s="157">
        <v>43179</v>
      </c>
      <c r="C529" s="158">
        <v>32996.76</v>
      </c>
    </row>
    <row r="530" spans="2:3">
      <c r="B530" s="157">
        <v>43180</v>
      </c>
      <c r="C530" s="158">
        <v>33136.18</v>
      </c>
    </row>
    <row r="531" spans="2:3">
      <c r="B531" s="157">
        <v>43181</v>
      </c>
      <c r="C531" s="158">
        <v>33006.269999999997</v>
      </c>
    </row>
    <row r="532" spans="2:3">
      <c r="B532" s="157">
        <v>43182</v>
      </c>
      <c r="C532" s="158">
        <v>32596.54</v>
      </c>
    </row>
    <row r="533" spans="2:3">
      <c r="B533" s="157">
        <v>43185</v>
      </c>
      <c r="C533" s="158">
        <v>33066.410000000003</v>
      </c>
    </row>
    <row r="534" spans="2:3">
      <c r="B534" s="157">
        <v>43186</v>
      </c>
      <c r="C534" s="158">
        <v>33174.39</v>
      </c>
    </row>
    <row r="535" spans="2:3">
      <c r="B535" s="157">
        <v>43187</v>
      </c>
      <c r="C535" s="158">
        <v>32968.68</v>
      </c>
    </row>
    <row r="536" spans="2:3">
      <c r="B536" s="157">
        <v>43192</v>
      </c>
      <c r="C536" s="158">
        <v>33255.360000000001</v>
      </c>
    </row>
    <row r="537" spans="2:3">
      <c r="B537" s="157">
        <v>43193</v>
      </c>
      <c r="C537" s="158">
        <v>33370.629999999997</v>
      </c>
    </row>
    <row r="538" spans="2:3">
      <c r="B538" s="157">
        <v>43194</v>
      </c>
      <c r="C538" s="158">
        <v>33019.07</v>
      </c>
    </row>
    <row r="539" spans="2:3">
      <c r="B539" s="157">
        <v>43195</v>
      </c>
      <c r="C539" s="158">
        <v>33596.800000000003</v>
      </c>
    </row>
    <row r="540" spans="2:3">
      <c r="B540" s="157">
        <v>43196</v>
      </c>
      <c r="C540" s="158">
        <v>33626.97</v>
      </c>
    </row>
    <row r="541" spans="2:3">
      <c r="B541" s="157">
        <v>43199</v>
      </c>
      <c r="C541" s="158">
        <v>33788.54</v>
      </c>
    </row>
    <row r="542" spans="2:3">
      <c r="B542" s="157">
        <v>43200</v>
      </c>
      <c r="C542" s="158">
        <v>33880.25</v>
      </c>
    </row>
    <row r="543" spans="2:3">
      <c r="B543" s="157">
        <v>43201</v>
      </c>
      <c r="C543" s="158">
        <v>33940.44</v>
      </c>
    </row>
    <row r="544" spans="2:3">
      <c r="B544" s="157">
        <v>43202</v>
      </c>
      <c r="C544" s="158">
        <v>34101.129999999997</v>
      </c>
    </row>
    <row r="545" spans="2:3">
      <c r="B545" s="157">
        <v>43203</v>
      </c>
      <c r="C545" s="158">
        <v>34192.65</v>
      </c>
    </row>
    <row r="546" spans="2:3">
      <c r="B546" s="157">
        <v>43206</v>
      </c>
      <c r="C546" s="158">
        <v>34305.43</v>
      </c>
    </row>
    <row r="547" spans="2:3">
      <c r="B547" s="157">
        <v>43207</v>
      </c>
      <c r="C547" s="158">
        <v>34395.06</v>
      </c>
    </row>
    <row r="548" spans="2:3">
      <c r="B548" s="157">
        <v>43208</v>
      </c>
      <c r="C548" s="158">
        <v>34331.68</v>
      </c>
    </row>
    <row r="549" spans="2:3">
      <c r="B549" s="157">
        <v>43209</v>
      </c>
      <c r="C549" s="158">
        <v>34427.29</v>
      </c>
    </row>
    <row r="550" spans="2:3">
      <c r="B550" s="157">
        <v>43210</v>
      </c>
      <c r="C550" s="158">
        <v>34415.58</v>
      </c>
    </row>
    <row r="551" spans="2:3">
      <c r="B551" s="157">
        <v>43213</v>
      </c>
      <c r="C551" s="158">
        <v>34450.769999999997</v>
      </c>
    </row>
    <row r="552" spans="2:3">
      <c r="B552" s="157">
        <v>43214</v>
      </c>
      <c r="C552" s="158">
        <v>34616.639999999999</v>
      </c>
    </row>
    <row r="553" spans="2:3">
      <c r="B553" s="157">
        <v>43215</v>
      </c>
      <c r="C553" s="158">
        <v>34501.269999999997</v>
      </c>
    </row>
    <row r="554" spans="2:3">
      <c r="B554" s="157">
        <v>43216</v>
      </c>
      <c r="C554" s="158">
        <v>34713.599999999999</v>
      </c>
    </row>
    <row r="555" spans="2:3">
      <c r="B555" s="157">
        <v>43217</v>
      </c>
      <c r="C555" s="158">
        <v>34969.699999999997</v>
      </c>
    </row>
    <row r="556" spans="2:3">
      <c r="B556" s="157">
        <v>43220</v>
      </c>
      <c r="C556" s="158">
        <v>35160.36</v>
      </c>
    </row>
    <row r="557" spans="2:3">
      <c r="B557" s="157">
        <v>43222</v>
      </c>
      <c r="C557" s="158">
        <v>35176.42</v>
      </c>
    </row>
    <row r="558" spans="2:3">
      <c r="B558" s="157">
        <v>43223</v>
      </c>
      <c r="C558" s="158">
        <v>35103.14</v>
      </c>
    </row>
    <row r="559" spans="2:3">
      <c r="B559" s="157">
        <v>43224</v>
      </c>
      <c r="C559" s="158">
        <v>34915.379999999997</v>
      </c>
    </row>
    <row r="560" spans="2:3">
      <c r="B560" s="157">
        <v>43227</v>
      </c>
      <c r="C560" s="158">
        <v>35208.14</v>
      </c>
    </row>
    <row r="561" spans="2:3">
      <c r="B561" s="157">
        <v>43228</v>
      </c>
      <c r="C561" s="158">
        <v>35216.32</v>
      </c>
    </row>
    <row r="562" spans="2:3">
      <c r="B562" s="157">
        <v>43229</v>
      </c>
      <c r="C562" s="158">
        <v>35319.35</v>
      </c>
    </row>
    <row r="563" spans="2:3">
      <c r="B563" s="157">
        <v>43230</v>
      </c>
      <c r="C563" s="158">
        <v>35246.269999999997</v>
      </c>
    </row>
    <row r="564" spans="2:3">
      <c r="B564" s="157">
        <v>43231</v>
      </c>
      <c r="C564" s="158">
        <v>35535.79</v>
      </c>
    </row>
    <row r="565" spans="2:3">
      <c r="B565" s="157">
        <v>43234</v>
      </c>
      <c r="C565" s="158">
        <v>35556.71</v>
      </c>
    </row>
    <row r="566" spans="2:3">
      <c r="B566" s="157">
        <v>43235</v>
      </c>
      <c r="C566" s="158">
        <v>35543.94</v>
      </c>
    </row>
    <row r="567" spans="2:3">
      <c r="B567" s="157">
        <v>43236</v>
      </c>
      <c r="C567" s="158">
        <v>35387.879999999997</v>
      </c>
    </row>
    <row r="568" spans="2:3">
      <c r="B568" s="157">
        <v>43237</v>
      </c>
      <c r="C568" s="158">
        <v>35149.120000000003</v>
      </c>
    </row>
    <row r="569" spans="2:3">
      <c r="B569" s="157">
        <v>43238</v>
      </c>
      <c r="C569" s="158">
        <v>34848.300000000003</v>
      </c>
    </row>
    <row r="570" spans="2:3">
      <c r="B570" s="157">
        <v>43241</v>
      </c>
      <c r="C570" s="158">
        <v>34616.129999999997</v>
      </c>
    </row>
    <row r="571" spans="2:3">
      <c r="B571" s="157">
        <v>43242</v>
      </c>
      <c r="C571" s="158">
        <v>34651.24</v>
      </c>
    </row>
    <row r="572" spans="2:3">
      <c r="B572" s="157">
        <v>43243</v>
      </c>
      <c r="C572" s="158">
        <v>34344.910000000003</v>
      </c>
    </row>
    <row r="573" spans="2:3">
      <c r="B573" s="157">
        <v>43244</v>
      </c>
      <c r="C573" s="158">
        <v>34663.11</v>
      </c>
    </row>
    <row r="574" spans="2:3">
      <c r="B574" s="157">
        <v>43245</v>
      </c>
      <c r="C574" s="158">
        <v>34924.870000000003</v>
      </c>
    </row>
    <row r="575" spans="2:3">
      <c r="B575" s="157">
        <v>43248</v>
      </c>
      <c r="C575" s="158">
        <v>35165.480000000003</v>
      </c>
    </row>
    <row r="576" spans="2:3">
      <c r="B576" s="157">
        <v>43249</v>
      </c>
      <c r="C576" s="158">
        <v>34949.24</v>
      </c>
    </row>
    <row r="577" spans="2:3">
      <c r="B577" s="157">
        <v>43250</v>
      </c>
      <c r="C577" s="158">
        <v>34906.11</v>
      </c>
    </row>
    <row r="578" spans="2:3">
      <c r="B578" s="157">
        <v>43251</v>
      </c>
      <c r="C578" s="158">
        <v>35322.379999999997</v>
      </c>
    </row>
    <row r="579" spans="2:3">
      <c r="B579" s="157">
        <v>43252</v>
      </c>
      <c r="C579" s="158">
        <v>35227.26</v>
      </c>
    </row>
    <row r="580" spans="2:3">
      <c r="B580" s="157">
        <v>43255</v>
      </c>
      <c r="C580" s="158">
        <v>35011.89</v>
      </c>
    </row>
    <row r="581" spans="2:3">
      <c r="B581" s="157">
        <v>43256</v>
      </c>
      <c r="C581" s="158">
        <v>34903.21</v>
      </c>
    </row>
    <row r="582" spans="2:3">
      <c r="B582" s="157">
        <v>43257</v>
      </c>
      <c r="C582" s="158">
        <v>35178.879999999997</v>
      </c>
    </row>
    <row r="583" spans="2:3">
      <c r="B583" s="157">
        <v>43258</v>
      </c>
      <c r="C583" s="158">
        <v>35463.08</v>
      </c>
    </row>
    <row r="584" spans="2:3">
      <c r="B584" s="157">
        <v>43259</v>
      </c>
      <c r="C584" s="158">
        <v>35443.67</v>
      </c>
    </row>
    <row r="585" spans="2:3">
      <c r="B585" s="157">
        <v>43262</v>
      </c>
      <c r="C585" s="158">
        <v>35483.47</v>
      </c>
    </row>
    <row r="586" spans="2:3">
      <c r="B586" s="157">
        <v>43263</v>
      </c>
      <c r="C586" s="158">
        <v>35692.519999999997</v>
      </c>
    </row>
    <row r="587" spans="2:3">
      <c r="B587" s="157">
        <v>43264</v>
      </c>
      <c r="C587" s="158">
        <v>35739.160000000003</v>
      </c>
    </row>
    <row r="588" spans="2:3">
      <c r="B588" s="157">
        <v>43265</v>
      </c>
      <c r="C588" s="158">
        <v>35599.82</v>
      </c>
    </row>
    <row r="589" spans="2:3">
      <c r="B589" s="157">
        <v>43266</v>
      </c>
      <c r="C589" s="158">
        <v>35622.14</v>
      </c>
    </row>
    <row r="590" spans="2:3">
      <c r="B590" s="157">
        <v>43269</v>
      </c>
      <c r="C590" s="158">
        <v>35548.26</v>
      </c>
    </row>
    <row r="591" spans="2:3">
      <c r="B591" s="157">
        <v>43270</v>
      </c>
      <c r="C591" s="158">
        <v>35286.74</v>
      </c>
    </row>
    <row r="592" spans="2:3">
      <c r="B592" s="157">
        <v>43271</v>
      </c>
      <c r="C592" s="158">
        <v>35547.33</v>
      </c>
    </row>
    <row r="593" spans="2:3">
      <c r="B593" s="157">
        <v>43272</v>
      </c>
      <c r="C593" s="158">
        <v>35432.39</v>
      </c>
    </row>
    <row r="594" spans="2:3">
      <c r="B594" s="157">
        <v>43273</v>
      </c>
      <c r="C594" s="158">
        <v>35689.599999999999</v>
      </c>
    </row>
    <row r="595" spans="2:3">
      <c r="B595" s="157">
        <v>43276</v>
      </c>
      <c r="C595" s="158">
        <v>35470.35</v>
      </c>
    </row>
    <row r="596" spans="2:3">
      <c r="B596" s="157">
        <v>43277</v>
      </c>
      <c r="C596" s="158">
        <v>35490.04</v>
      </c>
    </row>
    <row r="597" spans="2:3">
      <c r="B597" s="157">
        <v>43278</v>
      </c>
      <c r="C597" s="158">
        <v>35217.11</v>
      </c>
    </row>
    <row r="598" spans="2:3">
      <c r="B598" s="157">
        <v>43279</v>
      </c>
      <c r="C598" s="158">
        <v>35037.64</v>
      </c>
    </row>
    <row r="599" spans="2:3">
      <c r="B599" s="157">
        <v>43280</v>
      </c>
      <c r="C599" s="158">
        <v>35423.480000000003</v>
      </c>
    </row>
    <row r="600" spans="2:3">
      <c r="B600" s="157">
        <v>43283</v>
      </c>
      <c r="C600" s="158">
        <v>35264.410000000003</v>
      </c>
    </row>
    <row r="601" spans="2:3">
      <c r="B601" s="157">
        <v>43284</v>
      </c>
      <c r="C601" s="158">
        <v>35378.6</v>
      </c>
    </row>
    <row r="602" spans="2:3">
      <c r="B602" s="157">
        <v>43285</v>
      </c>
      <c r="C602" s="158">
        <v>35645.4</v>
      </c>
    </row>
    <row r="603" spans="2:3">
      <c r="B603" s="157">
        <v>43286</v>
      </c>
      <c r="C603" s="158">
        <v>35574.550000000003</v>
      </c>
    </row>
    <row r="604" spans="2:3">
      <c r="B604" s="157">
        <v>43287</v>
      </c>
      <c r="C604" s="158">
        <v>35657.86</v>
      </c>
    </row>
    <row r="605" spans="2:3">
      <c r="B605" s="157">
        <v>43290</v>
      </c>
      <c r="C605" s="158">
        <v>35934.720000000001</v>
      </c>
    </row>
    <row r="606" spans="2:3">
      <c r="B606" s="157">
        <v>43291</v>
      </c>
      <c r="C606" s="158">
        <v>36239.620000000003</v>
      </c>
    </row>
    <row r="607" spans="2:3">
      <c r="B607" s="157">
        <v>43292</v>
      </c>
      <c r="C607" s="158">
        <v>36265.93</v>
      </c>
    </row>
    <row r="608" spans="2:3">
      <c r="B608" s="157">
        <v>43293</v>
      </c>
      <c r="C608" s="158">
        <v>36548.410000000003</v>
      </c>
    </row>
    <row r="609" spans="2:3">
      <c r="B609" s="157">
        <v>43294</v>
      </c>
      <c r="C609" s="158">
        <v>36541.629999999997</v>
      </c>
    </row>
    <row r="610" spans="2:3">
      <c r="B610" s="157">
        <v>43297</v>
      </c>
      <c r="C610" s="158">
        <v>36323.769999999997</v>
      </c>
    </row>
    <row r="611" spans="2:3">
      <c r="B611" s="157">
        <v>43298</v>
      </c>
      <c r="C611" s="158">
        <v>36519.96</v>
      </c>
    </row>
    <row r="612" spans="2:3">
      <c r="B612" s="157">
        <v>43299</v>
      </c>
      <c r="C612" s="158">
        <v>36373.440000000002</v>
      </c>
    </row>
    <row r="613" spans="2:3">
      <c r="B613" s="157">
        <v>43300</v>
      </c>
      <c r="C613" s="158">
        <v>36351.230000000003</v>
      </c>
    </row>
    <row r="614" spans="2:3">
      <c r="B614" s="157">
        <v>43301</v>
      </c>
      <c r="C614" s="158">
        <v>36496.370000000003</v>
      </c>
    </row>
    <row r="615" spans="2:3">
      <c r="B615" s="157">
        <v>43304</v>
      </c>
      <c r="C615" s="158">
        <v>36718.6</v>
      </c>
    </row>
    <row r="616" spans="2:3">
      <c r="B616" s="157">
        <v>43305</v>
      </c>
      <c r="C616" s="158">
        <v>36825.1</v>
      </c>
    </row>
    <row r="617" spans="2:3">
      <c r="B617" s="157">
        <v>43306</v>
      </c>
      <c r="C617" s="158">
        <v>36858.230000000003</v>
      </c>
    </row>
    <row r="618" spans="2:3">
      <c r="B618" s="157">
        <v>43307</v>
      </c>
      <c r="C618" s="158">
        <v>36984.639999999999</v>
      </c>
    </row>
    <row r="619" spans="2:3">
      <c r="B619" s="157">
        <v>43308</v>
      </c>
      <c r="C619" s="158">
        <v>37336.85</v>
      </c>
    </row>
    <row r="620" spans="2:3">
      <c r="B620" s="157">
        <v>43311</v>
      </c>
      <c r="C620" s="158">
        <v>37494.400000000001</v>
      </c>
    </row>
    <row r="621" spans="2:3">
      <c r="B621" s="157">
        <v>43312</v>
      </c>
      <c r="C621" s="158">
        <v>37606.58</v>
      </c>
    </row>
    <row r="622" spans="2:3">
      <c r="B622" s="157">
        <v>43313</v>
      </c>
      <c r="C622" s="158">
        <v>37521.620000000003</v>
      </c>
    </row>
    <row r="623" spans="2:3">
      <c r="B623" s="157">
        <v>43314</v>
      </c>
      <c r="C623" s="158">
        <v>37165.160000000003</v>
      </c>
    </row>
    <row r="624" spans="2:3">
      <c r="B624" s="157">
        <v>43315</v>
      </c>
      <c r="C624" s="158">
        <v>37556.160000000003</v>
      </c>
    </row>
    <row r="625" spans="2:3">
      <c r="B625" s="157">
        <v>43318</v>
      </c>
      <c r="C625" s="158">
        <v>37691.89</v>
      </c>
    </row>
    <row r="626" spans="2:3">
      <c r="B626" s="157">
        <v>43319</v>
      </c>
      <c r="C626" s="158">
        <v>37665.800000000003</v>
      </c>
    </row>
    <row r="627" spans="2:3">
      <c r="B627" s="157">
        <v>43320</v>
      </c>
      <c r="C627" s="158">
        <v>37887.56</v>
      </c>
    </row>
    <row r="628" spans="2:3">
      <c r="B628" s="157">
        <v>43321</v>
      </c>
      <c r="C628" s="158">
        <v>38024.370000000003</v>
      </c>
    </row>
    <row r="629" spans="2:3">
      <c r="B629" s="157">
        <v>43322</v>
      </c>
      <c r="C629" s="158">
        <v>37869.230000000003</v>
      </c>
    </row>
    <row r="630" spans="2:3">
      <c r="B630" s="157">
        <v>43325</v>
      </c>
      <c r="C630" s="158">
        <v>37644.9</v>
      </c>
    </row>
    <row r="631" spans="2:3">
      <c r="B631" s="157">
        <v>43326</v>
      </c>
      <c r="C631" s="158">
        <v>37852</v>
      </c>
    </row>
    <row r="632" spans="2:3">
      <c r="B632" s="157">
        <v>43328</v>
      </c>
      <c r="C632" s="158">
        <v>37663.56</v>
      </c>
    </row>
    <row r="633" spans="2:3">
      <c r="B633" s="157">
        <v>43329</v>
      </c>
      <c r="C633" s="158">
        <v>37947.879999999997</v>
      </c>
    </row>
    <row r="634" spans="2:3">
      <c r="B634" s="157">
        <v>43332</v>
      </c>
      <c r="C634" s="158">
        <v>38278.75</v>
      </c>
    </row>
    <row r="635" spans="2:3">
      <c r="B635" s="157">
        <v>43333</v>
      </c>
      <c r="C635" s="158">
        <v>38285.75</v>
      </c>
    </row>
    <row r="636" spans="2:3">
      <c r="B636" s="157">
        <v>43335</v>
      </c>
      <c r="C636" s="158">
        <v>38336.76</v>
      </c>
    </row>
    <row r="637" spans="2:3">
      <c r="B637" s="157">
        <v>43336</v>
      </c>
      <c r="C637" s="158">
        <v>38251.800000000003</v>
      </c>
    </row>
    <row r="638" spans="2:3">
      <c r="B638" s="157">
        <v>43339</v>
      </c>
      <c r="C638" s="158">
        <v>38694.11</v>
      </c>
    </row>
    <row r="639" spans="2:3">
      <c r="B639" s="157">
        <v>43340</v>
      </c>
      <c r="C639" s="158">
        <v>38896.629999999997</v>
      </c>
    </row>
    <row r="640" spans="2:3">
      <c r="B640" s="157">
        <v>43341</v>
      </c>
      <c r="C640" s="158">
        <v>38722.93</v>
      </c>
    </row>
    <row r="641" spans="2:3">
      <c r="B641" s="157">
        <v>43342</v>
      </c>
      <c r="C641" s="158">
        <v>38690.1</v>
      </c>
    </row>
    <row r="642" spans="2:3">
      <c r="B642" s="157">
        <v>43343</v>
      </c>
      <c r="C642" s="158">
        <v>38645.07</v>
      </c>
    </row>
    <row r="643" spans="2:3">
      <c r="B643" s="157">
        <v>43346</v>
      </c>
      <c r="C643" s="158">
        <v>38312.519999999997</v>
      </c>
    </row>
    <row r="644" spans="2:3">
      <c r="B644" s="157">
        <v>43347</v>
      </c>
      <c r="C644" s="158">
        <v>38157.919999999998</v>
      </c>
    </row>
    <row r="645" spans="2:3">
      <c r="B645" s="157">
        <v>43348</v>
      </c>
      <c r="C645" s="158">
        <v>38018.31</v>
      </c>
    </row>
    <row r="646" spans="2:3">
      <c r="B646" s="157">
        <v>43349</v>
      </c>
      <c r="C646" s="158">
        <v>38242.81</v>
      </c>
    </row>
    <row r="647" spans="2:3">
      <c r="B647" s="157">
        <v>43350</v>
      </c>
      <c r="C647" s="158">
        <v>38389.82</v>
      </c>
    </row>
    <row r="648" spans="2:3">
      <c r="B648" s="157">
        <v>43353</v>
      </c>
      <c r="C648" s="158">
        <v>37922.17</v>
      </c>
    </row>
    <row r="649" spans="2:3">
      <c r="B649" s="157">
        <v>43354</v>
      </c>
      <c r="C649" s="158">
        <v>37413.129999999997</v>
      </c>
    </row>
    <row r="650" spans="2:3">
      <c r="B650" s="157">
        <v>43355</v>
      </c>
      <c r="C650" s="158">
        <v>37717.96</v>
      </c>
    </row>
    <row r="651" spans="2:3">
      <c r="B651" s="157">
        <v>43357</v>
      </c>
      <c r="C651" s="158">
        <v>38090.639999999999</v>
      </c>
    </row>
    <row r="652" spans="2:3">
      <c r="B652" s="157">
        <v>43360</v>
      </c>
      <c r="C652" s="158">
        <v>37585.51</v>
      </c>
    </row>
    <row r="653" spans="2:3">
      <c r="B653" s="157">
        <v>43361</v>
      </c>
      <c r="C653" s="158">
        <v>37290.67</v>
      </c>
    </row>
    <row r="654" spans="2:3">
      <c r="B654" s="157">
        <v>43362</v>
      </c>
      <c r="C654" s="158">
        <v>37121.22</v>
      </c>
    </row>
    <row r="655" spans="2:3">
      <c r="B655" s="157">
        <v>43364</v>
      </c>
      <c r="C655" s="158">
        <v>36841.599999999999</v>
      </c>
    </row>
    <row r="656" spans="2:3">
      <c r="B656" s="157">
        <v>43367</v>
      </c>
      <c r="C656" s="158">
        <v>36305.019999999997</v>
      </c>
    </row>
    <row r="657" spans="2:3">
      <c r="B657" s="157">
        <v>43368</v>
      </c>
      <c r="C657" s="158">
        <v>36652.06</v>
      </c>
    </row>
    <row r="658" spans="2:3">
      <c r="B658" s="157">
        <v>43369</v>
      </c>
      <c r="C658" s="158">
        <v>36542.269999999997</v>
      </c>
    </row>
    <row r="659" spans="2:3">
      <c r="B659" s="157">
        <v>43370</v>
      </c>
      <c r="C659" s="158">
        <v>36324.17</v>
      </c>
    </row>
    <row r="660" spans="2:3">
      <c r="B660" s="157">
        <v>43371</v>
      </c>
      <c r="C660" s="158">
        <v>36227.14</v>
      </c>
    </row>
    <row r="661" spans="2:3">
      <c r="B661" s="157">
        <v>43374</v>
      </c>
      <c r="C661" s="158">
        <v>36526.14</v>
      </c>
    </row>
    <row r="662" spans="2:3">
      <c r="B662" s="157">
        <v>43376</v>
      </c>
      <c r="C662" s="158">
        <v>35975.629999999997</v>
      </c>
    </row>
    <row r="663" spans="2:3">
      <c r="B663" s="157">
        <v>43377</v>
      </c>
      <c r="C663" s="158">
        <v>35169.160000000003</v>
      </c>
    </row>
    <row r="664" spans="2:3">
      <c r="B664" s="157">
        <v>43378</v>
      </c>
      <c r="C664" s="158">
        <v>34376.99</v>
      </c>
    </row>
    <row r="665" spans="2:3">
      <c r="B665" s="157">
        <v>43381</v>
      </c>
      <c r="C665" s="158">
        <v>34474.379999999997</v>
      </c>
    </row>
    <row r="666" spans="2:3">
      <c r="B666" s="157">
        <v>43382</v>
      </c>
      <c r="C666" s="158">
        <v>34299.47</v>
      </c>
    </row>
    <row r="667" spans="2:3">
      <c r="B667" s="157">
        <v>43383</v>
      </c>
      <c r="C667" s="158">
        <v>34760.89</v>
      </c>
    </row>
    <row r="668" spans="2:3">
      <c r="B668" s="157">
        <v>43384</v>
      </c>
      <c r="C668" s="158">
        <v>34001.15</v>
      </c>
    </row>
    <row r="669" spans="2:3">
      <c r="B669" s="157">
        <v>43385</v>
      </c>
      <c r="C669" s="158">
        <v>34733.58</v>
      </c>
    </row>
    <row r="670" spans="2:3">
      <c r="B670" s="157">
        <v>43388</v>
      </c>
      <c r="C670" s="158">
        <v>34865.1</v>
      </c>
    </row>
    <row r="671" spans="2:3">
      <c r="B671" s="157">
        <v>43389</v>
      </c>
      <c r="C671" s="158">
        <v>35162.480000000003</v>
      </c>
    </row>
    <row r="672" spans="2:3">
      <c r="B672" s="157">
        <v>43390</v>
      </c>
      <c r="C672" s="158">
        <v>34779.58</v>
      </c>
    </row>
    <row r="673" spans="2:3">
      <c r="B673" s="157">
        <v>43392</v>
      </c>
      <c r="C673" s="158">
        <v>34315.629999999997</v>
      </c>
    </row>
    <row r="674" spans="2:3">
      <c r="B674" s="157">
        <v>43395</v>
      </c>
      <c r="C674" s="158">
        <v>34134.379999999997</v>
      </c>
    </row>
    <row r="675" spans="2:3">
      <c r="B675" s="157">
        <v>43396</v>
      </c>
      <c r="C675" s="158">
        <v>33847.230000000003</v>
      </c>
    </row>
    <row r="676" spans="2:3">
      <c r="B676" s="157">
        <v>43397</v>
      </c>
      <c r="C676" s="158">
        <v>34033.96</v>
      </c>
    </row>
    <row r="677" spans="2:3">
      <c r="B677" s="157">
        <v>43398</v>
      </c>
      <c r="C677" s="158">
        <v>33690.089999999997</v>
      </c>
    </row>
    <row r="678" spans="2:3">
      <c r="B678" s="157">
        <v>43399</v>
      </c>
      <c r="C678" s="158">
        <v>33349.31</v>
      </c>
    </row>
    <row r="679" spans="2:3">
      <c r="B679" s="157">
        <v>43402</v>
      </c>
      <c r="C679" s="158">
        <v>34067.4</v>
      </c>
    </row>
    <row r="680" spans="2:3">
      <c r="B680" s="157">
        <v>43403</v>
      </c>
      <c r="C680" s="158">
        <v>33891.129999999997</v>
      </c>
    </row>
    <row r="681" spans="2:3">
      <c r="B681" s="157">
        <v>43404</v>
      </c>
      <c r="C681" s="158">
        <v>34442.050000000003</v>
      </c>
    </row>
    <row r="682" spans="2:3">
      <c r="B682" s="157">
        <v>43405</v>
      </c>
      <c r="C682" s="158">
        <v>34431.97</v>
      </c>
    </row>
    <row r="683" spans="2:3">
      <c r="B683" s="157">
        <v>43406</v>
      </c>
      <c r="C683" s="158">
        <v>35011.65</v>
      </c>
    </row>
    <row r="684" spans="2:3">
      <c r="B684" s="157">
        <v>43409</v>
      </c>
      <c r="C684" s="158">
        <v>34950.92</v>
      </c>
    </row>
    <row r="685" spans="2:3">
      <c r="B685" s="157">
        <v>43410</v>
      </c>
      <c r="C685" s="158">
        <v>34991.910000000003</v>
      </c>
    </row>
    <row r="686" spans="2:3">
      <c r="B686" s="157">
        <v>43411</v>
      </c>
      <c r="C686" s="158">
        <v>35237.68</v>
      </c>
    </row>
    <row r="687" spans="2:3">
      <c r="B687" s="157">
        <v>43413</v>
      </c>
      <c r="C687" s="158">
        <v>35158.550000000003</v>
      </c>
    </row>
    <row r="688" spans="2:3">
      <c r="B688" s="157">
        <v>43416</v>
      </c>
      <c r="C688" s="158">
        <v>34812.99</v>
      </c>
    </row>
    <row r="689" spans="2:3">
      <c r="B689" s="157">
        <v>43417</v>
      </c>
      <c r="C689" s="158">
        <v>35144.49</v>
      </c>
    </row>
    <row r="690" spans="2:3">
      <c r="B690" s="157">
        <v>43418</v>
      </c>
      <c r="C690" s="158">
        <v>35141.99</v>
      </c>
    </row>
    <row r="691" spans="2:3">
      <c r="B691" s="157">
        <v>43419</v>
      </c>
      <c r="C691" s="158">
        <v>35260.54</v>
      </c>
    </row>
    <row r="692" spans="2:3">
      <c r="B692" s="157">
        <v>43420</v>
      </c>
      <c r="C692" s="158">
        <v>35457.160000000003</v>
      </c>
    </row>
    <row r="693" spans="2:3">
      <c r="B693" s="157">
        <v>43423</v>
      </c>
      <c r="C693" s="158">
        <v>35774.879999999997</v>
      </c>
    </row>
    <row r="694" spans="2:3">
      <c r="B694" s="157">
        <v>43424</v>
      </c>
      <c r="C694" s="158">
        <v>35474.51</v>
      </c>
    </row>
    <row r="695" spans="2:3">
      <c r="B695" s="157">
        <v>43425</v>
      </c>
      <c r="C695" s="158">
        <v>35199.800000000003</v>
      </c>
    </row>
    <row r="696" spans="2:3">
      <c r="B696" s="157">
        <v>43426</v>
      </c>
      <c r="C696" s="158">
        <v>34981.019999999997</v>
      </c>
    </row>
    <row r="697" spans="2:3">
      <c r="B697" s="157">
        <v>43430</v>
      </c>
      <c r="C697" s="158">
        <v>35354.080000000002</v>
      </c>
    </row>
    <row r="698" spans="2:3">
      <c r="B698" s="157">
        <v>43431</v>
      </c>
      <c r="C698" s="158">
        <v>35513.14</v>
      </c>
    </row>
    <row r="699" spans="2:3">
      <c r="B699" s="157">
        <v>43432</v>
      </c>
      <c r="C699" s="158">
        <v>35716.949999999997</v>
      </c>
    </row>
    <row r="700" spans="2:3">
      <c r="B700" s="157">
        <v>43433</v>
      </c>
      <c r="C700" s="158">
        <v>36170.410000000003</v>
      </c>
    </row>
    <row r="701" spans="2:3">
      <c r="B701" s="157">
        <v>43434</v>
      </c>
      <c r="C701" s="158">
        <v>36194.300000000003</v>
      </c>
    </row>
    <row r="702" spans="2:3">
      <c r="B702" s="157">
        <v>43437</v>
      </c>
      <c r="C702" s="158">
        <v>36241</v>
      </c>
    </row>
    <row r="703" spans="2:3">
      <c r="B703" s="157">
        <v>43438</v>
      </c>
      <c r="C703" s="158">
        <v>36134.31</v>
      </c>
    </row>
    <row r="704" spans="2:3">
      <c r="B704" s="157">
        <v>43439</v>
      </c>
      <c r="C704" s="158">
        <v>35884.410000000003</v>
      </c>
    </row>
    <row r="705" spans="2:3">
      <c r="B705" s="157">
        <v>43440</v>
      </c>
      <c r="C705" s="158">
        <v>35312.129999999997</v>
      </c>
    </row>
    <row r="706" spans="2:3">
      <c r="B706" s="157">
        <v>43441</v>
      </c>
      <c r="C706" s="158">
        <v>35673.25</v>
      </c>
    </row>
    <row r="707" spans="2:3">
      <c r="B707" s="157">
        <v>43444</v>
      </c>
      <c r="C707" s="158">
        <v>34959.72</v>
      </c>
    </row>
    <row r="708" spans="2:3">
      <c r="B708" s="157">
        <v>43445</v>
      </c>
      <c r="C708" s="158">
        <v>35150.01</v>
      </c>
    </row>
    <row r="709" spans="2:3">
      <c r="B709" s="157">
        <v>43446</v>
      </c>
      <c r="C709" s="158">
        <v>35779.07</v>
      </c>
    </row>
    <row r="710" spans="2:3">
      <c r="B710" s="157">
        <v>43447</v>
      </c>
      <c r="C710" s="158">
        <v>35929.64</v>
      </c>
    </row>
    <row r="711" spans="2:3">
      <c r="B711" s="157">
        <v>43448</v>
      </c>
      <c r="C711" s="158">
        <v>35962.93</v>
      </c>
    </row>
    <row r="712" spans="2:3">
      <c r="B712" s="157">
        <v>43451</v>
      </c>
      <c r="C712" s="158">
        <v>36270.07</v>
      </c>
    </row>
    <row r="713" spans="2:3">
      <c r="B713" s="157">
        <v>43452</v>
      </c>
      <c r="C713" s="158">
        <v>36347.08</v>
      </c>
    </row>
    <row r="714" spans="2:3">
      <c r="B714" s="157">
        <v>43453</v>
      </c>
      <c r="C714" s="158">
        <v>36484.33</v>
      </c>
    </row>
    <row r="715" spans="2:3">
      <c r="B715" s="157">
        <v>43454</v>
      </c>
      <c r="C715" s="158">
        <v>36431.67</v>
      </c>
    </row>
    <row r="716" spans="2:3">
      <c r="B716" s="157">
        <v>43455</v>
      </c>
      <c r="C716" s="158">
        <v>35742.07</v>
      </c>
    </row>
    <row r="717" spans="2:3">
      <c r="B717" s="157">
        <v>43458</v>
      </c>
      <c r="C717" s="158">
        <v>35470.15</v>
      </c>
    </row>
    <row r="718" spans="2:3">
      <c r="B718" s="157">
        <v>43460</v>
      </c>
      <c r="C718" s="158">
        <v>35649.94</v>
      </c>
    </row>
    <row r="719" spans="2:3">
      <c r="B719" s="157">
        <v>43461</v>
      </c>
      <c r="C719" s="158">
        <v>35807.279999999999</v>
      </c>
    </row>
    <row r="720" spans="2:3">
      <c r="B720" s="157">
        <v>43462</v>
      </c>
      <c r="C720" s="158">
        <v>36076.720000000001</v>
      </c>
    </row>
    <row r="721" spans="2:3">
      <c r="B721" s="157">
        <v>43465</v>
      </c>
      <c r="C721" s="158">
        <v>36068.33</v>
      </c>
    </row>
    <row r="722" spans="2:3">
      <c r="B722" s="157">
        <v>43466</v>
      </c>
      <c r="C722" s="158">
        <v>36254.57</v>
      </c>
    </row>
    <row r="723" spans="2:3">
      <c r="B723" s="157">
        <v>43467</v>
      </c>
      <c r="C723" s="158">
        <v>35891.519999999997</v>
      </c>
    </row>
    <row r="724" spans="2:3">
      <c r="B724" s="157">
        <v>43468</v>
      </c>
      <c r="C724" s="158">
        <v>35513.71</v>
      </c>
    </row>
    <row r="725" spans="2:3">
      <c r="B725" s="157">
        <v>43469</v>
      </c>
      <c r="C725" s="158">
        <v>35695.1</v>
      </c>
    </row>
    <row r="726" spans="2:3">
      <c r="B726" s="157">
        <v>43472</v>
      </c>
      <c r="C726" s="158">
        <v>35850.160000000003</v>
      </c>
    </row>
    <row r="727" spans="2:3">
      <c r="B727" s="157">
        <v>43473</v>
      </c>
      <c r="C727" s="158">
        <v>35980.93</v>
      </c>
    </row>
    <row r="728" spans="2:3">
      <c r="B728" s="157">
        <v>43474</v>
      </c>
      <c r="C728" s="158">
        <v>36212.910000000003</v>
      </c>
    </row>
    <row r="729" spans="2:3">
      <c r="B729" s="157">
        <v>43475</v>
      </c>
      <c r="C729" s="158">
        <v>36106.5</v>
      </c>
    </row>
    <row r="730" spans="2:3">
      <c r="B730" s="157">
        <v>43476</v>
      </c>
      <c r="C730" s="158">
        <v>36009.839999999997</v>
      </c>
    </row>
    <row r="731" spans="2:3">
      <c r="B731" s="157">
        <v>43479</v>
      </c>
      <c r="C731" s="158">
        <v>35853.56</v>
      </c>
    </row>
    <row r="732" spans="2:3">
      <c r="B732" s="157">
        <v>43480</v>
      </c>
      <c r="C732" s="158">
        <v>36318.33</v>
      </c>
    </row>
    <row r="733" spans="2:3">
      <c r="B733" s="157">
        <v>43481</v>
      </c>
      <c r="C733" s="158">
        <v>36321.29</v>
      </c>
    </row>
    <row r="734" spans="2:3">
      <c r="B734" s="157">
        <v>43482</v>
      </c>
      <c r="C734" s="158">
        <v>36374.080000000002</v>
      </c>
    </row>
    <row r="735" spans="2:3">
      <c r="B735" s="157">
        <v>43483</v>
      </c>
      <c r="C735" s="158">
        <v>36386.61</v>
      </c>
    </row>
    <row r="736" spans="2:3">
      <c r="B736" s="157">
        <v>43486</v>
      </c>
      <c r="C736" s="158">
        <v>36578.959999999999</v>
      </c>
    </row>
    <row r="737" spans="2:3">
      <c r="B737" s="157">
        <v>43487</v>
      </c>
      <c r="C737" s="158">
        <v>36444.639999999999</v>
      </c>
    </row>
    <row r="738" spans="2:3">
      <c r="B738" s="157">
        <v>43488</v>
      </c>
      <c r="C738" s="158">
        <v>36108.47</v>
      </c>
    </row>
    <row r="739" spans="2:3">
      <c r="B739" s="157">
        <v>43489</v>
      </c>
      <c r="C739" s="158">
        <v>36195.1</v>
      </c>
    </row>
    <row r="740" spans="2:3">
      <c r="B740" s="157">
        <v>43490</v>
      </c>
      <c r="C740" s="158">
        <v>36025.54</v>
      </c>
    </row>
    <row r="741" spans="2:3">
      <c r="B741" s="157">
        <v>43493</v>
      </c>
      <c r="C741" s="158">
        <v>35656.699999999997</v>
      </c>
    </row>
    <row r="742" spans="2:3">
      <c r="B742" s="157">
        <v>43494</v>
      </c>
      <c r="C742" s="158">
        <v>35592.5</v>
      </c>
    </row>
    <row r="743" spans="2:3">
      <c r="B743" s="157">
        <v>43495</v>
      </c>
      <c r="C743" s="158">
        <v>35591.25</v>
      </c>
    </row>
    <row r="744" spans="2:3">
      <c r="B744" s="157">
        <v>43496</v>
      </c>
      <c r="C744" s="158">
        <v>36256.69</v>
      </c>
    </row>
    <row r="745" spans="2:3">
      <c r="B745" s="157">
        <v>43497</v>
      </c>
      <c r="C745" s="158">
        <v>36469.43</v>
      </c>
    </row>
    <row r="746" spans="2:3">
      <c r="B746" s="157">
        <v>43500</v>
      </c>
      <c r="C746" s="158">
        <v>36582.74</v>
      </c>
    </row>
    <row r="747" spans="2:3">
      <c r="B747" s="157">
        <v>43501</v>
      </c>
      <c r="C747" s="158">
        <v>36616.81</v>
      </c>
    </row>
    <row r="748" spans="2:3">
      <c r="B748" s="157">
        <v>43502</v>
      </c>
      <c r="C748" s="158">
        <v>36975.230000000003</v>
      </c>
    </row>
    <row r="749" spans="2:3">
      <c r="B749" s="157">
        <v>43503</v>
      </c>
      <c r="C749" s="158">
        <v>36971.089999999997</v>
      </c>
    </row>
    <row r="750" spans="2:3">
      <c r="B750" s="157">
        <v>43504</v>
      </c>
      <c r="C750" s="158">
        <v>36546.480000000003</v>
      </c>
    </row>
    <row r="751" spans="2:3">
      <c r="B751" s="157">
        <v>43507</v>
      </c>
      <c r="C751" s="158">
        <v>36395.03</v>
      </c>
    </row>
    <row r="752" spans="2:3">
      <c r="B752" s="157">
        <v>43508</v>
      </c>
      <c r="C752" s="158">
        <v>36153.620000000003</v>
      </c>
    </row>
    <row r="753" spans="2:3">
      <c r="B753" s="157">
        <v>43509</v>
      </c>
      <c r="C753" s="158">
        <v>36034.11</v>
      </c>
    </row>
    <row r="754" spans="2:3">
      <c r="B754" s="157">
        <v>43510</v>
      </c>
      <c r="C754" s="158">
        <v>35876.22</v>
      </c>
    </row>
    <row r="755" spans="2:3">
      <c r="B755" s="157">
        <v>43511</v>
      </c>
      <c r="C755" s="158">
        <v>35808.949999999997</v>
      </c>
    </row>
    <row r="756" spans="2:3">
      <c r="B756" s="157">
        <v>43514</v>
      </c>
      <c r="C756" s="158">
        <v>35498.44</v>
      </c>
    </row>
    <row r="757" spans="2:3">
      <c r="B757" s="157">
        <v>43515</v>
      </c>
      <c r="C757" s="158">
        <v>35352.61</v>
      </c>
    </row>
    <row r="758" spans="2:3">
      <c r="B758" s="157">
        <v>43516</v>
      </c>
      <c r="C758" s="158">
        <v>35756.26</v>
      </c>
    </row>
    <row r="759" spans="2:3">
      <c r="B759" s="157">
        <v>43517</v>
      </c>
      <c r="C759" s="158">
        <v>35898.35</v>
      </c>
    </row>
    <row r="760" spans="2:3">
      <c r="B760" s="157">
        <v>43518</v>
      </c>
      <c r="C760" s="158">
        <v>35871.480000000003</v>
      </c>
    </row>
    <row r="761" spans="2:3">
      <c r="B761" s="157">
        <v>43521</v>
      </c>
      <c r="C761" s="158">
        <v>36213.379999999997</v>
      </c>
    </row>
    <row r="762" spans="2:3">
      <c r="B762" s="157">
        <v>43522</v>
      </c>
      <c r="C762" s="158">
        <v>35973.71</v>
      </c>
    </row>
    <row r="763" spans="2:3">
      <c r="B763" s="157">
        <v>43523</v>
      </c>
      <c r="C763" s="158">
        <v>35905.43</v>
      </c>
    </row>
    <row r="764" spans="2:3">
      <c r="B764" s="157">
        <v>43524</v>
      </c>
      <c r="C764" s="158">
        <v>35867.440000000002</v>
      </c>
    </row>
    <row r="765" spans="2:3">
      <c r="B765" s="157">
        <v>43525</v>
      </c>
      <c r="C765" s="158">
        <v>36063.81</v>
      </c>
    </row>
    <row r="766" spans="2:3">
      <c r="B766" s="157">
        <v>43529</v>
      </c>
      <c r="C766" s="158">
        <v>36442.54</v>
      </c>
    </row>
    <row r="767" spans="2:3">
      <c r="B767" s="157">
        <v>43530</v>
      </c>
      <c r="C767" s="158">
        <v>36636.1</v>
      </c>
    </row>
    <row r="768" spans="2:3">
      <c r="B768" s="157">
        <v>43531</v>
      </c>
      <c r="C768" s="158">
        <v>36725.42</v>
      </c>
    </row>
    <row r="769" spans="2:3">
      <c r="B769" s="157">
        <v>43532</v>
      </c>
      <c r="C769" s="158">
        <v>36671.43</v>
      </c>
    </row>
    <row r="770" spans="2:3">
      <c r="B770" s="157">
        <v>43535</v>
      </c>
      <c r="C770" s="158">
        <v>37054.1</v>
      </c>
    </row>
    <row r="771" spans="2:3">
      <c r="B771" s="157">
        <v>43536</v>
      </c>
      <c r="C771" s="158">
        <v>37535.660000000003</v>
      </c>
    </row>
    <row r="772" spans="2:3">
      <c r="B772" s="157">
        <v>43537</v>
      </c>
      <c r="C772" s="158">
        <v>37752.17</v>
      </c>
    </row>
    <row r="773" spans="2:3">
      <c r="B773" s="157">
        <v>43538</v>
      </c>
      <c r="C773" s="158">
        <v>37754.89</v>
      </c>
    </row>
    <row r="774" spans="2:3">
      <c r="B774" s="157">
        <v>43539</v>
      </c>
      <c r="C774" s="158">
        <v>38024.32</v>
      </c>
    </row>
    <row r="775" spans="2:3">
      <c r="B775" s="157">
        <v>43542</v>
      </c>
      <c r="C775" s="158">
        <v>38095.07</v>
      </c>
    </row>
    <row r="776" spans="2:3">
      <c r="B776" s="157">
        <v>43543</v>
      </c>
      <c r="C776" s="158">
        <v>38363.47</v>
      </c>
    </row>
    <row r="777" spans="2:3">
      <c r="B777" s="157">
        <v>43544</v>
      </c>
      <c r="C777" s="158">
        <v>38386.75</v>
      </c>
    </row>
    <row r="778" spans="2:3">
      <c r="B778" s="157">
        <v>43546</v>
      </c>
      <c r="C778" s="158">
        <v>38164.61</v>
      </c>
    </row>
    <row r="779" spans="2:3">
      <c r="B779" s="157">
        <v>43549</v>
      </c>
      <c r="C779" s="158">
        <v>37808.910000000003</v>
      </c>
    </row>
    <row r="780" spans="2:3">
      <c r="B780" s="157">
        <v>43550</v>
      </c>
      <c r="C780" s="158">
        <v>38233.410000000003</v>
      </c>
    </row>
    <row r="781" spans="2:3">
      <c r="B781" s="157">
        <v>43551</v>
      </c>
      <c r="C781" s="158">
        <v>38132.879999999997</v>
      </c>
    </row>
    <row r="782" spans="2:3">
      <c r="B782" s="157">
        <v>43552</v>
      </c>
      <c r="C782" s="158">
        <v>38545.72</v>
      </c>
    </row>
    <row r="783" spans="2:3">
      <c r="B783" s="157">
        <v>43553</v>
      </c>
      <c r="C783" s="158">
        <v>38672.910000000003</v>
      </c>
    </row>
    <row r="784" spans="2:3">
      <c r="B784" s="157">
        <v>43556</v>
      </c>
      <c r="C784" s="158">
        <v>38871.870000000003</v>
      </c>
    </row>
    <row r="785" spans="2:3">
      <c r="B785" s="157">
        <v>43557</v>
      </c>
      <c r="C785" s="158">
        <v>39056.65</v>
      </c>
    </row>
    <row r="786" spans="2:3">
      <c r="B786" s="157">
        <v>43558</v>
      </c>
      <c r="C786" s="158">
        <v>38877.120000000003</v>
      </c>
    </row>
    <row r="787" spans="2:3">
      <c r="B787" s="157">
        <v>43559</v>
      </c>
      <c r="C787" s="158">
        <v>38684.720000000001</v>
      </c>
    </row>
    <row r="788" spans="2:3">
      <c r="B788" s="157">
        <v>43560</v>
      </c>
      <c r="C788" s="158">
        <v>38862.230000000003</v>
      </c>
    </row>
    <row r="789" spans="2:3">
      <c r="B789" s="157">
        <v>43563</v>
      </c>
      <c r="C789" s="158">
        <v>38700.53</v>
      </c>
    </row>
    <row r="790" spans="2:3">
      <c r="B790" s="157">
        <v>43564</v>
      </c>
      <c r="C790" s="158">
        <v>38939.22</v>
      </c>
    </row>
    <row r="791" spans="2:3">
      <c r="B791" s="157">
        <v>43565</v>
      </c>
      <c r="C791" s="158">
        <v>38585.35</v>
      </c>
    </row>
    <row r="792" spans="2:3">
      <c r="B792" s="157">
        <v>43566</v>
      </c>
      <c r="C792" s="158">
        <v>38607.01</v>
      </c>
    </row>
    <row r="793" spans="2:3">
      <c r="B793" s="157">
        <v>43567</v>
      </c>
      <c r="C793" s="158">
        <v>38767.11</v>
      </c>
    </row>
    <row r="794" spans="2:3">
      <c r="B794" s="157">
        <v>43570</v>
      </c>
      <c r="C794" s="158">
        <v>38905.839999999997</v>
      </c>
    </row>
    <row r="795" spans="2:3">
      <c r="B795" s="157">
        <v>43571</v>
      </c>
      <c r="C795" s="158">
        <v>39275.64</v>
      </c>
    </row>
    <row r="796" spans="2:3">
      <c r="B796" s="157">
        <v>43573</v>
      </c>
      <c r="C796" s="158">
        <v>39140.28</v>
      </c>
    </row>
    <row r="797" spans="2:3">
      <c r="B797" s="157">
        <v>43577</v>
      </c>
      <c r="C797" s="158">
        <v>38645.18</v>
      </c>
    </row>
    <row r="798" spans="2:3">
      <c r="B798" s="157">
        <v>43578</v>
      </c>
      <c r="C798" s="158">
        <v>38564.879999999997</v>
      </c>
    </row>
    <row r="799" spans="2:3">
      <c r="B799" s="157">
        <v>43579</v>
      </c>
      <c r="C799" s="158">
        <v>39054.68</v>
      </c>
    </row>
    <row r="800" spans="2:3">
      <c r="B800" s="157">
        <v>43580</v>
      </c>
      <c r="C800" s="158">
        <v>38730.86</v>
      </c>
    </row>
    <row r="801" spans="2:3">
      <c r="B801" s="157">
        <v>43581</v>
      </c>
      <c r="C801" s="158">
        <v>39067.33</v>
      </c>
    </row>
    <row r="802" spans="2:3">
      <c r="B802" s="157">
        <v>43585</v>
      </c>
      <c r="C802" s="158">
        <v>39031.550000000003</v>
      </c>
    </row>
    <row r="803" spans="2:3">
      <c r="B803" s="157">
        <v>43587</v>
      </c>
      <c r="C803" s="158">
        <v>38981.43</v>
      </c>
    </row>
    <row r="804" spans="2:3">
      <c r="B804" s="157">
        <v>43588</v>
      </c>
      <c r="C804" s="158">
        <v>38963.26</v>
      </c>
    </row>
    <row r="805" spans="2:3">
      <c r="B805" s="157">
        <v>43591</v>
      </c>
      <c r="C805" s="158">
        <v>38600.339999999997</v>
      </c>
    </row>
    <row r="806" spans="2:3">
      <c r="B806" s="157">
        <v>43592</v>
      </c>
      <c r="C806" s="158">
        <v>38276.629999999997</v>
      </c>
    </row>
    <row r="807" spans="2:3">
      <c r="B807" s="157">
        <v>43593</v>
      </c>
      <c r="C807" s="158">
        <v>37789.129999999997</v>
      </c>
    </row>
    <row r="808" spans="2:3">
      <c r="B808" s="157">
        <v>43594</v>
      </c>
      <c r="C808" s="158">
        <v>37558.910000000003</v>
      </c>
    </row>
    <row r="809" spans="2:3">
      <c r="B809" s="157">
        <v>43595</v>
      </c>
      <c r="C809" s="158">
        <v>37462.99</v>
      </c>
    </row>
    <row r="810" spans="2:3">
      <c r="B810" s="157">
        <v>43598</v>
      </c>
      <c r="C810" s="158">
        <v>37090.82</v>
      </c>
    </row>
    <row r="811" spans="2:3">
      <c r="B811" s="157">
        <v>43599</v>
      </c>
      <c r="C811" s="158">
        <v>37318.53</v>
      </c>
    </row>
    <row r="812" spans="2:3">
      <c r="B812" s="157">
        <v>43600</v>
      </c>
      <c r="C812" s="158">
        <v>37114.879999999997</v>
      </c>
    </row>
    <row r="813" spans="2:3">
      <c r="B813" s="157">
        <v>43601</v>
      </c>
      <c r="C813" s="158">
        <v>37393.480000000003</v>
      </c>
    </row>
    <row r="814" spans="2:3">
      <c r="B814" s="157">
        <v>43602</v>
      </c>
      <c r="C814" s="158">
        <v>37930.769999999997</v>
      </c>
    </row>
    <row r="815" spans="2:3">
      <c r="B815" s="157">
        <v>43605</v>
      </c>
      <c r="C815" s="158">
        <v>39352.67</v>
      </c>
    </row>
    <row r="816" spans="2:3">
      <c r="B816" s="157">
        <v>43606</v>
      </c>
      <c r="C816" s="158">
        <v>38969.800000000003</v>
      </c>
    </row>
    <row r="817" spans="2:3">
      <c r="B817" s="157">
        <v>43607</v>
      </c>
      <c r="C817" s="158">
        <v>39110.21</v>
      </c>
    </row>
    <row r="818" spans="2:3">
      <c r="B818" s="157">
        <v>43608</v>
      </c>
      <c r="C818" s="158">
        <v>38811.39</v>
      </c>
    </row>
    <row r="819" spans="2:3">
      <c r="B819" s="157">
        <v>43609</v>
      </c>
      <c r="C819" s="158">
        <v>39434.720000000001</v>
      </c>
    </row>
    <row r="820" spans="2:3">
      <c r="B820" s="157">
        <v>43612</v>
      </c>
      <c r="C820" s="158">
        <v>39683.29</v>
      </c>
    </row>
    <row r="821" spans="2:3">
      <c r="B821" s="157">
        <v>43613</v>
      </c>
      <c r="C821" s="158">
        <v>39749.730000000003</v>
      </c>
    </row>
    <row r="822" spans="2:3">
      <c r="B822" s="157">
        <v>43614</v>
      </c>
      <c r="C822" s="158">
        <v>39502.050000000003</v>
      </c>
    </row>
    <row r="823" spans="2:3">
      <c r="B823" s="157">
        <v>43615</v>
      </c>
      <c r="C823" s="158">
        <v>39831.97</v>
      </c>
    </row>
    <row r="824" spans="2:3">
      <c r="B824" s="157">
        <v>43616</v>
      </c>
      <c r="C824" s="158">
        <v>39714.199999999997</v>
      </c>
    </row>
    <row r="825" spans="2:3">
      <c r="B825" s="157">
        <v>43619</v>
      </c>
      <c r="C825" s="158">
        <v>40267.620000000003</v>
      </c>
    </row>
    <row r="826" spans="2:3">
      <c r="B826" s="157">
        <v>43620</v>
      </c>
      <c r="C826" s="158">
        <v>40083.54</v>
      </c>
    </row>
    <row r="827" spans="2:3">
      <c r="B827" s="157">
        <v>43622</v>
      </c>
      <c r="C827" s="158">
        <v>39529.72</v>
      </c>
    </row>
    <row r="828" spans="2:3">
      <c r="B828" s="157">
        <v>43623</v>
      </c>
      <c r="C828" s="158">
        <v>39615.9</v>
      </c>
    </row>
    <row r="829" spans="2:3">
      <c r="B829" s="157">
        <v>43626</v>
      </c>
      <c r="C829" s="158">
        <v>39784.519999999997</v>
      </c>
    </row>
    <row r="830" spans="2:3">
      <c r="B830" s="157">
        <v>43627</v>
      </c>
      <c r="C830" s="158">
        <v>39950.46</v>
      </c>
    </row>
    <row r="831" spans="2:3">
      <c r="B831" s="157">
        <v>43628</v>
      </c>
      <c r="C831" s="158">
        <v>39756.81</v>
      </c>
    </row>
    <row r="832" spans="2:3">
      <c r="B832" s="157">
        <v>43629</v>
      </c>
      <c r="C832" s="158">
        <v>39741.360000000001</v>
      </c>
    </row>
    <row r="833" spans="2:3">
      <c r="B833" s="157">
        <v>43630</v>
      </c>
      <c r="C833" s="158">
        <v>39452.07</v>
      </c>
    </row>
    <row r="834" spans="2:3">
      <c r="B834" s="157">
        <v>43633</v>
      </c>
      <c r="C834" s="158">
        <v>38960.79</v>
      </c>
    </row>
    <row r="835" spans="2:3">
      <c r="B835" s="157">
        <v>43634</v>
      </c>
      <c r="C835" s="158">
        <v>39046.339999999997</v>
      </c>
    </row>
    <row r="836" spans="2:3">
      <c r="B836" s="157">
        <v>43635</v>
      </c>
      <c r="C836" s="158">
        <v>39112.74</v>
      </c>
    </row>
    <row r="837" spans="2:3">
      <c r="B837" s="157">
        <v>43636</v>
      </c>
      <c r="C837" s="158">
        <v>39601.629999999997</v>
      </c>
    </row>
    <row r="838" spans="2:3">
      <c r="B838" s="157">
        <v>43637</v>
      </c>
      <c r="C838" s="158">
        <v>39194.49</v>
      </c>
    </row>
    <row r="839" spans="2:3">
      <c r="B839" s="157">
        <v>43640</v>
      </c>
      <c r="C839" s="158">
        <v>39122.959999999999</v>
      </c>
    </row>
    <row r="840" spans="2:3">
      <c r="B840" s="157">
        <v>43641</v>
      </c>
      <c r="C840" s="158">
        <v>39434.94</v>
      </c>
    </row>
    <row r="841" spans="2:3">
      <c r="B841" s="157">
        <v>43642</v>
      </c>
      <c r="C841" s="158">
        <v>39592.080000000002</v>
      </c>
    </row>
    <row r="842" spans="2:3">
      <c r="B842" s="157">
        <v>43643</v>
      </c>
      <c r="C842" s="158">
        <v>39586.410000000003</v>
      </c>
    </row>
    <row r="843" spans="2:3">
      <c r="B843" s="157">
        <v>43644</v>
      </c>
      <c r="C843" s="158">
        <v>39394.639999999999</v>
      </c>
    </row>
    <row r="844" spans="2:3">
      <c r="B844" s="157">
        <v>43647</v>
      </c>
      <c r="C844" s="158">
        <v>39686.5</v>
      </c>
    </row>
    <row r="845" spans="2:3">
      <c r="B845" s="157">
        <v>43648</v>
      </c>
      <c r="C845" s="158">
        <v>39816.480000000003</v>
      </c>
    </row>
    <row r="846" spans="2:3">
      <c r="B846" s="157">
        <v>43649</v>
      </c>
      <c r="C846" s="158">
        <v>39839.25</v>
      </c>
    </row>
    <row r="847" spans="2:3">
      <c r="B847" s="157">
        <v>43650</v>
      </c>
      <c r="C847" s="158">
        <v>39908.06</v>
      </c>
    </row>
    <row r="848" spans="2:3">
      <c r="B848" s="157">
        <v>43651</v>
      </c>
      <c r="C848" s="158">
        <v>39513.39</v>
      </c>
    </row>
    <row r="849" spans="2:3">
      <c r="B849" s="157">
        <v>43654</v>
      </c>
      <c r="C849" s="158">
        <v>38720.57</v>
      </c>
    </row>
    <row r="850" spans="2:3">
      <c r="B850" s="157">
        <v>43655</v>
      </c>
      <c r="C850" s="158">
        <v>38730.82</v>
      </c>
    </row>
    <row r="851" spans="2:3">
      <c r="B851" s="157">
        <v>43656</v>
      </c>
      <c r="C851" s="158">
        <v>38557.040000000001</v>
      </c>
    </row>
    <row r="852" spans="2:3">
      <c r="B852" s="157">
        <v>43657</v>
      </c>
      <c r="C852" s="158">
        <v>38823.11</v>
      </c>
    </row>
    <row r="853" spans="2:3">
      <c r="B853" s="157">
        <v>43658</v>
      </c>
      <c r="C853" s="158">
        <v>38736.230000000003</v>
      </c>
    </row>
    <row r="854" spans="2:3">
      <c r="B854" s="157">
        <v>43661</v>
      </c>
      <c r="C854" s="158">
        <v>38896.71</v>
      </c>
    </row>
    <row r="855" spans="2:3">
      <c r="B855" s="157">
        <v>43662</v>
      </c>
      <c r="C855" s="158">
        <v>39131.040000000001</v>
      </c>
    </row>
    <row r="856" spans="2:3">
      <c r="B856" s="157">
        <v>43663</v>
      </c>
      <c r="C856" s="158">
        <v>39215.64</v>
      </c>
    </row>
    <row r="857" spans="2:3">
      <c r="B857" s="157">
        <v>43664</v>
      </c>
      <c r="C857" s="158">
        <v>38897.46</v>
      </c>
    </row>
    <row r="858" spans="2:3">
      <c r="B858" s="157">
        <v>43665</v>
      </c>
      <c r="C858" s="158">
        <v>38337.01</v>
      </c>
    </row>
    <row r="859" spans="2:3">
      <c r="B859" s="157">
        <v>43668</v>
      </c>
      <c r="C859" s="158">
        <v>38031.129999999997</v>
      </c>
    </row>
    <row r="860" spans="2:3">
      <c r="B860" s="157">
        <v>43669</v>
      </c>
      <c r="C860" s="158">
        <v>37982.74</v>
      </c>
    </row>
    <row r="861" spans="2:3">
      <c r="B861" s="157">
        <v>43670</v>
      </c>
      <c r="C861" s="158">
        <v>37847.65</v>
      </c>
    </row>
    <row r="862" spans="2:3">
      <c r="B862" s="157">
        <v>43671</v>
      </c>
      <c r="C862" s="158">
        <v>37830.980000000003</v>
      </c>
    </row>
    <row r="863" spans="2:3">
      <c r="B863" s="157">
        <v>43672</v>
      </c>
      <c r="C863" s="158">
        <v>37882.79</v>
      </c>
    </row>
    <row r="864" spans="2:3">
      <c r="B864" s="157">
        <v>43675</v>
      </c>
      <c r="C864" s="158">
        <v>37686.370000000003</v>
      </c>
    </row>
    <row r="865" spans="2:3">
      <c r="B865" s="157">
        <v>43676</v>
      </c>
      <c r="C865" s="158">
        <v>37397.24</v>
      </c>
    </row>
    <row r="866" spans="2:3">
      <c r="B866" s="157">
        <v>43677</v>
      </c>
      <c r="C866" s="158">
        <v>37481.120000000003</v>
      </c>
    </row>
    <row r="867" spans="2:3">
      <c r="B867" s="157">
        <v>43678</v>
      </c>
      <c r="C867" s="158">
        <v>37018.32</v>
      </c>
    </row>
    <row r="868" spans="2:3">
      <c r="B868" s="157">
        <v>43679</v>
      </c>
      <c r="C868" s="158">
        <v>37118.22</v>
      </c>
    </row>
    <row r="869" spans="2:3">
      <c r="B869" s="157">
        <v>43682</v>
      </c>
      <c r="C869" s="158">
        <v>36699.839999999997</v>
      </c>
    </row>
    <row r="870" spans="2:3">
      <c r="B870" s="157">
        <v>43683</v>
      </c>
      <c r="C870" s="158">
        <v>36976.85</v>
      </c>
    </row>
    <row r="871" spans="2:3">
      <c r="B871" s="157">
        <v>43684</v>
      </c>
      <c r="C871" s="158">
        <v>36690.5</v>
      </c>
    </row>
    <row r="872" spans="2:3">
      <c r="B872" s="157">
        <v>43685</v>
      </c>
      <c r="C872" s="158">
        <v>37327.360000000001</v>
      </c>
    </row>
    <row r="873" spans="2:3">
      <c r="B873" s="157">
        <v>43686</v>
      </c>
      <c r="C873" s="158">
        <v>37581.910000000003</v>
      </c>
    </row>
    <row r="874" spans="2:3">
      <c r="B874" s="157">
        <v>43690</v>
      </c>
      <c r="C874" s="158">
        <v>36958.160000000003</v>
      </c>
    </row>
    <row r="875" spans="2:3">
      <c r="B875" s="157">
        <v>43691</v>
      </c>
      <c r="C875" s="158">
        <v>37311.53</v>
      </c>
    </row>
    <row r="876" spans="2:3">
      <c r="B876" s="157">
        <v>43693</v>
      </c>
      <c r="C876" s="158">
        <v>37350.33</v>
      </c>
    </row>
    <row r="877" spans="2:3">
      <c r="B877" s="157">
        <v>43696</v>
      </c>
      <c r="C877" s="158">
        <v>37402.49</v>
      </c>
    </row>
    <row r="878" spans="2:3">
      <c r="B878" s="157">
        <v>43697</v>
      </c>
      <c r="C878" s="158">
        <v>37328.01</v>
      </c>
    </row>
    <row r="879" spans="2:3">
      <c r="B879" s="157">
        <v>43698</v>
      </c>
      <c r="C879" s="158">
        <v>37060.370000000003</v>
      </c>
    </row>
    <row r="880" spans="2:3">
      <c r="B880" s="157">
        <v>43699</v>
      </c>
      <c r="C880" s="158">
        <v>36472.93</v>
      </c>
    </row>
    <row r="881" spans="2:3">
      <c r="B881" s="157">
        <v>43700</v>
      </c>
      <c r="C881" s="158">
        <v>36701.160000000003</v>
      </c>
    </row>
    <row r="882" spans="2:3">
      <c r="B882" s="157">
        <v>43703</v>
      </c>
      <c r="C882" s="158">
        <v>37494.120000000003</v>
      </c>
    </row>
    <row r="883" spans="2:3">
      <c r="B883" s="157">
        <v>43704</v>
      </c>
      <c r="C883" s="158">
        <v>37641.269999999997</v>
      </c>
    </row>
    <row r="884" spans="2:3">
      <c r="B884" s="157">
        <v>43705</v>
      </c>
      <c r="C884" s="158">
        <v>37451.839999999997</v>
      </c>
    </row>
    <row r="885" spans="2:3">
      <c r="B885" s="157">
        <v>43706</v>
      </c>
      <c r="C885" s="158">
        <v>37068.93</v>
      </c>
    </row>
    <row r="886" spans="2:3">
      <c r="B886" s="157">
        <v>43707</v>
      </c>
      <c r="C886" s="158">
        <v>37332.79</v>
      </c>
    </row>
    <row r="887" spans="2:3">
      <c r="B887" s="157">
        <v>43711</v>
      </c>
      <c r="C887" s="158">
        <v>36562.910000000003</v>
      </c>
    </row>
    <row r="888" spans="2:3">
      <c r="B888" s="157">
        <v>43712</v>
      </c>
      <c r="C888" s="158">
        <v>36724.74</v>
      </c>
    </row>
    <row r="889" spans="2:3">
      <c r="B889" s="157">
        <v>43713</v>
      </c>
      <c r="C889" s="158">
        <v>36644.42</v>
      </c>
    </row>
    <row r="890" spans="2:3">
      <c r="B890" s="157">
        <v>43714</v>
      </c>
      <c r="C890" s="158">
        <v>36981.769999999997</v>
      </c>
    </row>
    <row r="891" spans="2:3">
      <c r="B891" s="157">
        <v>43717</v>
      </c>
      <c r="C891" s="158">
        <v>37145.449999999997</v>
      </c>
    </row>
    <row r="892" spans="2:3">
      <c r="B892" s="157">
        <v>43719</v>
      </c>
      <c r="C892" s="158">
        <v>37270.82</v>
      </c>
    </row>
    <row r="893" spans="2:3">
      <c r="B893" s="157">
        <v>43720</v>
      </c>
      <c r="C893" s="158">
        <v>37104.28</v>
      </c>
    </row>
    <row r="894" spans="2:3">
      <c r="B894" s="157">
        <v>43721</v>
      </c>
      <c r="C894" s="158">
        <v>37384.99</v>
      </c>
    </row>
    <row r="895" spans="2:3">
      <c r="B895" s="157">
        <v>43724</v>
      </c>
      <c r="C895" s="158">
        <v>37123.31</v>
      </c>
    </row>
    <row r="896" spans="2:3">
      <c r="B896" s="157">
        <v>43725</v>
      </c>
      <c r="C896" s="158">
        <v>36481.089999999997</v>
      </c>
    </row>
    <row r="897" spans="2:3">
      <c r="B897" s="157">
        <v>43726</v>
      </c>
      <c r="C897" s="158">
        <v>36563.879999999997</v>
      </c>
    </row>
    <row r="898" spans="2:3">
      <c r="B898" s="157">
        <v>43727</v>
      </c>
      <c r="C898" s="158">
        <v>36093.47</v>
      </c>
    </row>
    <row r="899" spans="2:3">
      <c r="B899" s="157">
        <v>43728</v>
      </c>
      <c r="C899" s="158">
        <v>38014.620000000003</v>
      </c>
    </row>
    <row r="900" spans="2:3">
      <c r="B900" s="157">
        <v>43731</v>
      </c>
      <c r="C900" s="158">
        <v>39090.03</v>
      </c>
    </row>
    <row r="901" spans="2:3">
      <c r="B901" s="157">
        <v>43732</v>
      </c>
      <c r="C901" s="158">
        <v>39097.14</v>
      </c>
    </row>
    <row r="902" spans="2:3">
      <c r="B902" s="157">
        <v>43733</v>
      </c>
      <c r="C902" s="158">
        <v>38593.519999999997</v>
      </c>
    </row>
    <row r="903" spans="2:3">
      <c r="B903" s="157">
        <v>43734</v>
      </c>
      <c r="C903" s="158">
        <v>38989.74</v>
      </c>
    </row>
    <row r="904" spans="2:3">
      <c r="B904" s="157">
        <v>43735</v>
      </c>
      <c r="C904" s="158">
        <v>38822.57</v>
      </c>
    </row>
    <row r="905" spans="2:3">
      <c r="B905" s="157">
        <v>43738</v>
      </c>
      <c r="C905" s="158">
        <v>38667.33</v>
      </c>
    </row>
    <row r="906" spans="2:3">
      <c r="B906" s="157">
        <v>43739</v>
      </c>
      <c r="C906" s="158">
        <v>38305.410000000003</v>
      </c>
    </row>
    <row r="907" spans="2:3">
      <c r="B907" s="157">
        <v>43741</v>
      </c>
      <c r="C907" s="158">
        <v>38106.870000000003</v>
      </c>
    </row>
    <row r="908" spans="2:3">
      <c r="B908" s="157">
        <v>43742</v>
      </c>
      <c r="C908" s="158">
        <v>37673.31</v>
      </c>
    </row>
    <row r="909" spans="2:3">
      <c r="B909" s="157">
        <v>43745</v>
      </c>
      <c r="C909" s="158">
        <v>37531.980000000003</v>
      </c>
    </row>
    <row r="910" spans="2:3">
      <c r="B910" s="157">
        <v>43747</v>
      </c>
      <c r="C910" s="158">
        <v>38177.949999999997</v>
      </c>
    </row>
    <row r="911" spans="2:3">
      <c r="B911" s="157">
        <v>43748</v>
      </c>
      <c r="C911" s="158">
        <v>37880.400000000001</v>
      </c>
    </row>
    <row r="912" spans="2:3">
      <c r="B912" s="157">
        <v>43749</v>
      </c>
      <c r="C912" s="158">
        <v>38127.08</v>
      </c>
    </row>
    <row r="913" spans="2:3">
      <c r="B913" s="157">
        <v>43752</v>
      </c>
      <c r="C913" s="158">
        <v>38214.47</v>
      </c>
    </row>
    <row r="914" spans="2:3">
      <c r="B914" s="157">
        <v>43753</v>
      </c>
      <c r="C914" s="158">
        <v>38506.089999999997</v>
      </c>
    </row>
    <row r="915" spans="2:3">
      <c r="B915" s="157">
        <v>43754</v>
      </c>
      <c r="C915" s="158">
        <v>38598.99</v>
      </c>
    </row>
    <row r="916" spans="2:3">
      <c r="B916" s="157">
        <v>43755</v>
      </c>
      <c r="C916" s="158">
        <v>39052.06</v>
      </c>
    </row>
    <row r="917" spans="2:3">
      <c r="B917" s="157">
        <v>43756</v>
      </c>
      <c r="C917" s="158">
        <v>39298.379999999997</v>
      </c>
    </row>
    <row r="918" spans="2:3">
      <c r="B918" s="157">
        <v>43760</v>
      </c>
      <c r="C918" s="158">
        <v>38963.839999999997</v>
      </c>
    </row>
    <row r="919" spans="2:3">
      <c r="B919" s="157">
        <v>43761</v>
      </c>
      <c r="C919" s="158">
        <v>39058.83</v>
      </c>
    </row>
    <row r="920" spans="2:3">
      <c r="B920" s="157">
        <v>43762</v>
      </c>
      <c r="C920" s="158">
        <v>39020.39</v>
      </c>
    </row>
    <row r="921" spans="2:3">
      <c r="B921" s="157">
        <v>43763</v>
      </c>
      <c r="C921" s="158">
        <v>39058.06</v>
      </c>
    </row>
    <row r="922" spans="2:3">
      <c r="B922" s="157">
        <v>43765</v>
      </c>
      <c r="C922" s="158">
        <v>39250.199999999997</v>
      </c>
    </row>
    <row r="923" spans="2:3">
      <c r="B923" s="157">
        <v>43767</v>
      </c>
      <c r="C923" s="158">
        <v>39831.839999999997</v>
      </c>
    </row>
    <row r="924" spans="2:3">
      <c r="B924" s="157">
        <v>43768</v>
      </c>
      <c r="C924" s="158">
        <v>40051.870000000003</v>
      </c>
    </row>
    <row r="925" spans="2:3">
      <c r="B925" s="157">
        <v>43769</v>
      </c>
      <c r="C925" s="158">
        <v>40129.050000000003</v>
      </c>
    </row>
    <row r="926" spans="2:3">
      <c r="B926" s="157">
        <v>43770</v>
      </c>
      <c r="C926" s="158">
        <v>40165.03</v>
      </c>
    </row>
    <row r="927" spans="2:3">
      <c r="B927" s="157">
        <v>43773</v>
      </c>
      <c r="C927" s="158">
        <v>40301.96</v>
      </c>
    </row>
    <row r="928" spans="2:3">
      <c r="B928" s="157">
        <v>43774</v>
      </c>
      <c r="C928" s="158">
        <v>40248.230000000003</v>
      </c>
    </row>
    <row r="929" spans="2:3">
      <c r="B929" s="157">
        <v>43775</v>
      </c>
      <c r="C929" s="158">
        <v>40469.78</v>
      </c>
    </row>
    <row r="930" spans="2:3">
      <c r="B930" s="157">
        <v>43776</v>
      </c>
      <c r="C930" s="158">
        <v>40653.74</v>
      </c>
    </row>
    <row r="931" spans="2:3">
      <c r="B931" s="157">
        <v>43777</v>
      </c>
      <c r="C931" s="158">
        <v>40323.61</v>
      </c>
    </row>
    <row r="932" spans="2:3">
      <c r="B932" s="157">
        <v>43780</v>
      </c>
      <c r="C932" s="158">
        <v>40345.08</v>
      </c>
    </row>
    <row r="933" spans="2:3">
      <c r="B933" s="157">
        <v>43782</v>
      </c>
      <c r="C933" s="158">
        <v>40116.06</v>
      </c>
    </row>
    <row r="934" spans="2:3">
      <c r="B934" s="157">
        <v>43783</v>
      </c>
      <c r="C934" s="158">
        <v>40286.480000000003</v>
      </c>
    </row>
    <row r="935" spans="2:3">
      <c r="B935" s="157">
        <v>43784</v>
      </c>
      <c r="C935" s="158">
        <v>40356.69</v>
      </c>
    </row>
    <row r="936" spans="2:3">
      <c r="B936" s="157">
        <v>43787</v>
      </c>
      <c r="C936" s="158">
        <v>40284.19</v>
      </c>
    </row>
    <row r="937" spans="2:3">
      <c r="B937" s="157">
        <v>43788</v>
      </c>
      <c r="C937" s="158">
        <v>40469.699999999997</v>
      </c>
    </row>
    <row r="938" spans="2:3">
      <c r="B938" s="157">
        <v>43789</v>
      </c>
      <c r="C938" s="158">
        <v>40651.64</v>
      </c>
    </row>
    <row r="939" spans="2:3">
      <c r="B939" s="157">
        <v>43790</v>
      </c>
      <c r="C939" s="158">
        <v>40575.17</v>
      </c>
    </row>
    <row r="940" spans="2:3">
      <c r="B940" s="157">
        <v>43791</v>
      </c>
      <c r="C940" s="158">
        <v>40359.410000000003</v>
      </c>
    </row>
    <row r="941" spans="2:3">
      <c r="B941" s="157">
        <v>43794</v>
      </c>
      <c r="C941" s="158">
        <v>40889.230000000003</v>
      </c>
    </row>
    <row r="942" spans="2:3">
      <c r="B942" s="157">
        <v>43795</v>
      </c>
      <c r="C942" s="158">
        <v>40821.300000000003</v>
      </c>
    </row>
    <row r="943" spans="2:3">
      <c r="B943" s="157">
        <v>43796</v>
      </c>
      <c r="C943" s="158">
        <v>41020.61</v>
      </c>
    </row>
    <row r="944" spans="2:3">
      <c r="B944" s="157">
        <v>43797</v>
      </c>
      <c r="C944" s="158">
        <v>41130.17</v>
      </c>
    </row>
    <row r="945" spans="2:3">
      <c r="B945" s="157">
        <v>43798</v>
      </c>
      <c r="C945" s="158">
        <v>40793.81</v>
      </c>
    </row>
    <row r="946" spans="2:3">
      <c r="B946" s="157">
        <v>43801</v>
      </c>
      <c r="C946" s="158">
        <v>40802.17</v>
      </c>
    </row>
    <row r="947" spans="2:3">
      <c r="B947" s="157">
        <v>43802</v>
      </c>
      <c r="C947" s="158">
        <v>40675.449999999997</v>
      </c>
    </row>
    <row r="948" spans="2:3">
      <c r="B948" s="157">
        <v>43803</v>
      </c>
      <c r="C948" s="158">
        <v>40850.29</v>
      </c>
    </row>
    <row r="949" spans="2:3">
      <c r="B949" s="157">
        <v>43804</v>
      </c>
      <c r="C949" s="158">
        <v>40779.589999999997</v>
      </c>
    </row>
    <row r="950" spans="2:3">
      <c r="B950" s="157">
        <v>43805</v>
      </c>
      <c r="C950" s="158">
        <v>40445.15</v>
      </c>
    </row>
    <row r="951" spans="2:3">
      <c r="B951" s="157">
        <v>43808</v>
      </c>
      <c r="C951" s="158">
        <v>40487.43</v>
      </c>
    </row>
    <row r="952" spans="2:3">
      <c r="B952" s="157">
        <v>43809</v>
      </c>
      <c r="C952" s="158">
        <v>40239.879999999997</v>
      </c>
    </row>
    <row r="953" spans="2:3">
      <c r="B953" s="157">
        <v>43810</v>
      </c>
      <c r="C953" s="158">
        <v>40412.57</v>
      </c>
    </row>
    <row r="954" spans="2:3">
      <c r="B954" s="157">
        <v>43811</v>
      </c>
      <c r="C954" s="158">
        <v>40581.71</v>
      </c>
    </row>
    <row r="955" spans="2:3">
      <c r="B955" s="157">
        <v>43812</v>
      </c>
      <c r="C955" s="158">
        <v>41009.71</v>
      </c>
    </row>
    <row r="956" spans="2:3">
      <c r="B956" s="157">
        <v>43815</v>
      </c>
      <c r="C956" s="158">
        <v>40938.720000000001</v>
      </c>
    </row>
    <row r="957" spans="2:3">
      <c r="B957" s="157">
        <v>43816</v>
      </c>
      <c r="C957" s="158">
        <v>41352.17</v>
      </c>
    </row>
    <row r="958" spans="2:3">
      <c r="B958" s="157">
        <v>43817</v>
      </c>
      <c r="C958" s="158">
        <v>41558.57</v>
      </c>
    </row>
    <row r="959" spans="2:3">
      <c r="B959" s="157">
        <v>43818</v>
      </c>
      <c r="C959" s="158">
        <v>41673.919999999998</v>
      </c>
    </row>
    <row r="960" spans="2:3">
      <c r="B960" s="157">
        <v>43819</v>
      </c>
      <c r="C960" s="158">
        <v>41681.54</v>
      </c>
    </row>
    <row r="961" spans="2:3">
      <c r="B961" s="157">
        <v>43822</v>
      </c>
      <c r="C961" s="158">
        <v>41642.660000000003</v>
      </c>
    </row>
    <row r="962" spans="2:3">
      <c r="B962" s="157">
        <v>43823</v>
      </c>
      <c r="C962" s="158">
        <v>41461.26</v>
      </c>
    </row>
    <row r="963" spans="2:3">
      <c r="B963" s="157">
        <v>43825</v>
      </c>
      <c r="C963" s="158">
        <v>41163.760000000002</v>
      </c>
    </row>
    <row r="964" spans="2:3">
      <c r="B964" s="157">
        <v>43826</v>
      </c>
      <c r="C964" s="158">
        <v>41575.14</v>
      </c>
    </row>
    <row r="965" spans="2:3">
      <c r="B965" s="157">
        <v>43829</v>
      </c>
      <c r="C965" s="158">
        <v>41558</v>
      </c>
    </row>
    <row r="966" spans="2:3">
      <c r="B966" s="157">
        <v>43830</v>
      </c>
      <c r="C966" s="158">
        <v>41253.74</v>
      </c>
    </row>
    <row r="967" spans="2:3">
      <c r="B967" s="157">
        <v>43831</v>
      </c>
      <c r="C967" s="158">
        <v>41306.019999999997</v>
      </c>
    </row>
    <row r="968" spans="2:3">
      <c r="B968" s="157">
        <v>43832</v>
      </c>
      <c r="C968" s="158">
        <v>41626.639999999999</v>
      </c>
    </row>
    <row r="969" spans="2:3">
      <c r="B969" s="157">
        <v>43833</v>
      </c>
      <c r="C969" s="158">
        <v>41464.61</v>
      </c>
    </row>
    <row r="970" spans="2:3">
      <c r="B970" s="157">
        <v>43836</v>
      </c>
      <c r="C970" s="158">
        <v>40676.629999999997</v>
      </c>
    </row>
    <row r="971" spans="2:3">
      <c r="B971" s="157">
        <v>43837</v>
      </c>
      <c r="C971" s="158">
        <v>40869.47</v>
      </c>
    </row>
    <row r="972" spans="2:3">
      <c r="B972" s="157">
        <v>43838</v>
      </c>
      <c r="C972" s="158">
        <v>40817.74</v>
      </c>
    </row>
    <row r="973" spans="2:3">
      <c r="B973" s="157">
        <v>43839</v>
      </c>
      <c r="C973" s="158">
        <v>41452.35</v>
      </c>
    </row>
    <row r="974" spans="2:3">
      <c r="B974" s="157">
        <v>43840</v>
      </c>
      <c r="C974" s="158">
        <v>41599.72</v>
      </c>
    </row>
    <row r="975" spans="2:3">
      <c r="B975" s="157">
        <v>43843</v>
      </c>
      <c r="C975" s="158">
        <v>41859.69</v>
      </c>
    </row>
    <row r="976" spans="2:3">
      <c r="B976" s="157">
        <v>43844</v>
      </c>
      <c r="C976" s="158">
        <v>41952.63</v>
      </c>
    </row>
    <row r="977" spans="2:3">
      <c r="B977" s="157">
        <v>43845</v>
      </c>
      <c r="C977" s="158">
        <v>41872.730000000003</v>
      </c>
    </row>
    <row r="978" spans="2:3">
      <c r="B978" s="157">
        <v>43846</v>
      </c>
      <c r="C978" s="158">
        <v>41932.559999999998</v>
      </c>
    </row>
    <row r="979" spans="2:3">
      <c r="B979" s="157">
        <v>43847</v>
      </c>
      <c r="C979" s="158">
        <v>41945.37</v>
      </c>
    </row>
    <row r="980" spans="2:3">
      <c r="B980" s="157">
        <v>43850</v>
      </c>
      <c r="C980" s="158">
        <v>41528.910000000003</v>
      </c>
    </row>
    <row r="981" spans="2:3">
      <c r="B981" s="157">
        <v>43851</v>
      </c>
      <c r="C981" s="158">
        <v>41323.81</v>
      </c>
    </row>
    <row r="982" spans="2:3">
      <c r="B982" s="157">
        <v>43852</v>
      </c>
      <c r="C982" s="158">
        <v>41115.379999999997</v>
      </c>
    </row>
    <row r="983" spans="2:3">
      <c r="B983" s="157">
        <v>43853</v>
      </c>
      <c r="C983" s="158">
        <v>41386.400000000001</v>
      </c>
    </row>
    <row r="984" spans="2:3">
      <c r="B984" s="157">
        <v>43854</v>
      </c>
      <c r="C984" s="158">
        <v>41613.19</v>
      </c>
    </row>
    <row r="985" spans="2:3">
      <c r="B985" s="157">
        <v>43857</v>
      </c>
      <c r="C985" s="158">
        <v>41155.120000000003</v>
      </c>
    </row>
    <row r="986" spans="2:3">
      <c r="B986" s="157">
        <v>43858</v>
      </c>
      <c r="C986" s="158">
        <v>40966.86</v>
      </c>
    </row>
    <row r="987" spans="2:3">
      <c r="B987" s="157">
        <v>43859</v>
      </c>
      <c r="C987" s="158">
        <v>41198.660000000003</v>
      </c>
    </row>
    <row r="988" spans="2:3">
      <c r="B988" s="157">
        <v>43860</v>
      </c>
      <c r="C988" s="158">
        <v>40913.82</v>
      </c>
    </row>
    <row r="989" spans="2:3">
      <c r="B989" s="157">
        <v>43861</v>
      </c>
      <c r="C989" s="158">
        <v>40723.49</v>
      </c>
    </row>
    <row r="990" spans="2:3">
      <c r="B990" s="157">
        <v>43862</v>
      </c>
      <c r="C990" s="158">
        <v>39735.53</v>
      </c>
    </row>
    <row r="991" spans="2:3">
      <c r="B991" s="157">
        <v>43864</v>
      </c>
      <c r="C991" s="158">
        <v>39872.31</v>
      </c>
    </row>
    <row r="992" spans="2:3">
      <c r="B992" s="157">
        <v>43865</v>
      </c>
      <c r="C992" s="158">
        <v>40789.379999999997</v>
      </c>
    </row>
    <row r="993" spans="2:3">
      <c r="B993" s="157">
        <v>43866</v>
      </c>
      <c r="C993" s="158">
        <v>41142.660000000003</v>
      </c>
    </row>
    <row r="994" spans="2:3">
      <c r="B994" s="157">
        <v>43867</v>
      </c>
      <c r="C994" s="158">
        <v>41306.03</v>
      </c>
    </row>
    <row r="995" spans="2:3">
      <c r="B995" s="157">
        <v>43868</v>
      </c>
      <c r="C995" s="158">
        <v>41141.85</v>
      </c>
    </row>
    <row r="996" spans="2:3">
      <c r="B996" s="157">
        <v>43871</v>
      </c>
      <c r="C996" s="158">
        <v>40979.620000000003</v>
      </c>
    </row>
    <row r="997" spans="2:3">
      <c r="B997" s="157">
        <v>43872</v>
      </c>
      <c r="C997" s="158">
        <v>41216.14</v>
      </c>
    </row>
    <row r="998" spans="2:3">
      <c r="B998" s="157">
        <v>43873</v>
      </c>
      <c r="C998" s="158">
        <v>41565.9</v>
      </c>
    </row>
    <row r="999" spans="2:3">
      <c r="B999" s="157">
        <v>43874</v>
      </c>
      <c r="C999" s="158">
        <v>41459.79</v>
      </c>
    </row>
    <row r="1000" spans="2:3">
      <c r="B1000" s="157">
        <v>43875</v>
      </c>
      <c r="C1000" s="158">
        <v>41257.74</v>
      </c>
    </row>
    <row r="1001" spans="2:3">
      <c r="B1001" s="157">
        <v>43878</v>
      </c>
      <c r="C1001" s="158">
        <v>41055.69</v>
      </c>
    </row>
    <row r="1002" spans="2:3">
      <c r="B1002" s="157">
        <v>43879</v>
      </c>
      <c r="C1002" s="158">
        <v>40894.379999999997</v>
      </c>
    </row>
    <row r="1003" spans="2:3">
      <c r="B1003" s="157">
        <v>43880</v>
      </c>
      <c r="C1003" s="158">
        <v>41323</v>
      </c>
    </row>
    <row r="1004" spans="2:3">
      <c r="B1004" s="157">
        <v>43881</v>
      </c>
      <c r="C1004" s="158">
        <v>41170.120000000003</v>
      </c>
    </row>
    <row r="1005" spans="2:3">
      <c r="B1005" s="157">
        <v>43885</v>
      </c>
      <c r="C1005" s="158">
        <v>40363.230000000003</v>
      </c>
    </row>
    <row r="1006" spans="2:3">
      <c r="B1006" s="157">
        <v>43886</v>
      </c>
      <c r="C1006" s="158">
        <v>40281.199999999997</v>
      </c>
    </row>
    <row r="1007" spans="2:3">
      <c r="B1007" s="157">
        <v>43887</v>
      </c>
      <c r="C1007" s="158">
        <v>39888.959999999999</v>
      </c>
    </row>
    <row r="1008" spans="2:3">
      <c r="B1008" s="157">
        <v>43888</v>
      </c>
      <c r="C1008" s="158">
        <v>39745.660000000003</v>
      </c>
    </row>
    <row r="1009" spans="2:3">
      <c r="B1009" s="157">
        <v>43889</v>
      </c>
      <c r="C1009" s="158">
        <v>38297.29</v>
      </c>
    </row>
    <row r="1010" spans="2:3">
      <c r="B1010" s="157">
        <v>43892</v>
      </c>
      <c r="C1010" s="158">
        <v>38144.019999999997</v>
      </c>
    </row>
    <row r="1011" spans="2:3">
      <c r="B1011" s="157">
        <v>43893</v>
      </c>
      <c r="C1011" s="158">
        <v>38623.699999999997</v>
      </c>
    </row>
    <row r="1012" spans="2:3">
      <c r="B1012" s="157">
        <v>43894</v>
      </c>
      <c r="C1012" s="158">
        <v>38409.480000000003</v>
      </c>
    </row>
    <row r="1013" spans="2:3">
      <c r="B1013" s="157">
        <v>43895</v>
      </c>
      <c r="C1013" s="158">
        <v>38470.61</v>
      </c>
    </row>
    <row r="1014" spans="2:3">
      <c r="B1014" s="157">
        <v>43896</v>
      </c>
      <c r="C1014" s="158">
        <v>37576.620000000003</v>
      </c>
    </row>
    <row r="1015" spans="2:3">
      <c r="B1015" s="157">
        <v>43899</v>
      </c>
      <c r="C1015" s="158">
        <v>35634.949999999997</v>
      </c>
    </row>
    <row r="1016" spans="2:3">
      <c r="B1016" s="157">
        <v>43901</v>
      </c>
      <c r="C1016" s="158">
        <v>35697.4</v>
      </c>
    </row>
    <row r="1017" spans="2:3">
      <c r="B1017" s="157">
        <v>43902</v>
      </c>
      <c r="C1017" s="158">
        <v>32778.14</v>
      </c>
    </row>
    <row r="1018" spans="2:3">
      <c r="B1018" s="157">
        <v>43903</v>
      </c>
      <c r="C1018" s="158">
        <v>34103.480000000003</v>
      </c>
    </row>
    <row r="1019" spans="2:3">
      <c r="B1019" s="157">
        <v>43906</v>
      </c>
      <c r="C1019" s="158">
        <v>31390.07</v>
      </c>
    </row>
    <row r="1020" spans="2:3">
      <c r="B1020" s="157">
        <v>43907</v>
      </c>
      <c r="C1020" s="158">
        <v>30579.09</v>
      </c>
    </row>
    <row r="1021" spans="2:3">
      <c r="B1021" s="157">
        <v>43908</v>
      </c>
      <c r="C1021" s="158">
        <v>28869.51</v>
      </c>
    </row>
    <row r="1022" spans="2:3">
      <c r="B1022" s="157">
        <v>43909</v>
      </c>
      <c r="C1022" s="158">
        <v>28288.23</v>
      </c>
    </row>
    <row r="1023" spans="2:3">
      <c r="B1023" s="157">
        <v>43910</v>
      </c>
      <c r="C1023" s="158">
        <v>29915.96</v>
      </c>
    </row>
    <row r="1024" spans="2:3">
      <c r="B1024" s="157">
        <v>43913</v>
      </c>
      <c r="C1024" s="158">
        <v>25981.24</v>
      </c>
    </row>
    <row r="1025" spans="2:3">
      <c r="B1025" s="157">
        <v>43914</v>
      </c>
      <c r="C1025" s="158">
        <v>26674.03</v>
      </c>
    </row>
    <row r="1026" spans="2:3">
      <c r="B1026" s="157">
        <v>43915</v>
      </c>
      <c r="C1026" s="158">
        <v>28535.78</v>
      </c>
    </row>
    <row r="1027" spans="2:3">
      <c r="B1027" s="157">
        <v>43916</v>
      </c>
      <c r="C1027" s="158">
        <v>29946.77</v>
      </c>
    </row>
    <row r="1028" spans="2:3">
      <c r="B1028" s="157">
        <v>43917</v>
      </c>
      <c r="C1028" s="158">
        <v>29815.59</v>
      </c>
    </row>
    <row r="1029" spans="2:3">
      <c r="B1029" s="157">
        <v>43920</v>
      </c>
      <c r="C1029" s="158">
        <v>28440.32</v>
      </c>
    </row>
    <row r="1030" spans="2:3">
      <c r="B1030" s="157">
        <v>43921</v>
      </c>
      <c r="C1030" s="158">
        <v>29468.49</v>
      </c>
    </row>
    <row r="1031" spans="2:3">
      <c r="B1031" s="157">
        <v>43922</v>
      </c>
      <c r="C1031" s="158">
        <v>28265.31</v>
      </c>
    </row>
    <row r="1032" spans="2:3">
      <c r="B1032" s="157">
        <v>43924</v>
      </c>
      <c r="C1032" s="158">
        <v>27590.95</v>
      </c>
    </row>
    <row r="1033" spans="2:3">
      <c r="B1033" s="157">
        <v>43928</v>
      </c>
      <c r="C1033" s="158">
        <v>30067.21</v>
      </c>
    </row>
    <row r="1034" spans="2:3">
      <c r="B1034" s="157">
        <v>43929</v>
      </c>
      <c r="C1034" s="158">
        <v>29893.96</v>
      </c>
    </row>
    <row r="1035" spans="2:3">
      <c r="B1035" s="157">
        <v>43930</v>
      </c>
      <c r="C1035" s="158">
        <v>31159.62</v>
      </c>
    </row>
    <row r="1036" spans="2:3">
      <c r="B1036" s="157">
        <v>43934</v>
      </c>
      <c r="C1036" s="158">
        <v>30690.02</v>
      </c>
    </row>
    <row r="1037" spans="2:3">
      <c r="B1037" s="157">
        <v>43936</v>
      </c>
      <c r="C1037" s="158">
        <v>30379.81</v>
      </c>
    </row>
    <row r="1038" spans="2:3">
      <c r="B1038" s="157">
        <v>43937</v>
      </c>
      <c r="C1038" s="158">
        <v>30602.61</v>
      </c>
    </row>
    <row r="1039" spans="2:3">
      <c r="B1039" s="157">
        <v>43938</v>
      </c>
      <c r="C1039" s="158">
        <v>31588.720000000001</v>
      </c>
    </row>
    <row r="1040" spans="2:3">
      <c r="B1040" s="157">
        <v>43941</v>
      </c>
      <c r="C1040" s="158">
        <v>31648</v>
      </c>
    </row>
    <row r="1041" spans="2:3">
      <c r="B1041" s="157">
        <v>43942</v>
      </c>
      <c r="C1041" s="158">
        <v>30636.71</v>
      </c>
    </row>
    <row r="1042" spans="2:3">
      <c r="B1042" s="157">
        <v>43943</v>
      </c>
      <c r="C1042" s="158">
        <v>31379.55</v>
      </c>
    </row>
    <row r="1043" spans="2:3">
      <c r="B1043" s="157">
        <v>43944</v>
      </c>
      <c r="C1043" s="158">
        <v>31863.08</v>
      </c>
    </row>
    <row r="1044" spans="2:3">
      <c r="B1044" s="157">
        <v>43945</v>
      </c>
      <c r="C1044" s="158">
        <v>31327.22</v>
      </c>
    </row>
    <row r="1045" spans="2:3">
      <c r="B1045" s="157">
        <v>43948</v>
      </c>
      <c r="C1045" s="158">
        <v>31743.08</v>
      </c>
    </row>
    <row r="1046" spans="2:3">
      <c r="B1046" s="157">
        <v>43949</v>
      </c>
      <c r="C1046" s="158">
        <v>32114.52</v>
      </c>
    </row>
    <row r="1047" spans="2:3">
      <c r="B1047" s="157">
        <v>43950</v>
      </c>
      <c r="C1047" s="158">
        <v>32720.16</v>
      </c>
    </row>
    <row r="1048" spans="2:3">
      <c r="B1048" s="157">
        <v>43951</v>
      </c>
      <c r="C1048" s="158">
        <v>33717.620000000003</v>
      </c>
    </row>
    <row r="1049" spans="2:3">
      <c r="B1049" s="157">
        <v>43955</v>
      </c>
      <c r="C1049" s="158">
        <v>31715.35</v>
      </c>
    </row>
    <row r="1050" spans="2:3">
      <c r="B1050" s="157">
        <v>43956</v>
      </c>
      <c r="C1050" s="158">
        <v>31453.51</v>
      </c>
    </row>
    <row r="1051" spans="2:3">
      <c r="B1051" s="157">
        <v>43957</v>
      </c>
      <c r="C1051" s="158">
        <v>31685.75</v>
      </c>
    </row>
    <row r="1052" spans="2:3">
      <c r="B1052" s="157">
        <v>43958</v>
      </c>
      <c r="C1052" s="158">
        <v>31443.38</v>
      </c>
    </row>
    <row r="1053" spans="2:3">
      <c r="B1053" s="157">
        <v>43959</v>
      </c>
      <c r="C1053" s="158">
        <v>31642.7</v>
      </c>
    </row>
    <row r="1054" spans="2:3">
      <c r="B1054" s="157">
        <v>43962</v>
      </c>
      <c r="C1054" s="158">
        <v>31561.22</v>
      </c>
    </row>
    <row r="1055" spans="2:3">
      <c r="B1055" s="157">
        <v>43963</v>
      </c>
      <c r="C1055" s="158">
        <v>31371.119999999999</v>
      </c>
    </row>
    <row r="1056" spans="2:3">
      <c r="B1056" s="157">
        <v>43964</v>
      </c>
      <c r="C1056" s="158">
        <v>32008.61</v>
      </c>
    </row>
    <row r="1057" spans="2:3">
      <c r="B1057" s="157">
        <v>43965</v>
      </c>
      <c r="C1057" s="158">
        <v>31122.89</v>
      </c>
    </row>
    <row r="1058" spans="2:3">
      <c r="B1058" s="157">
        <v>43966</v>
      </c>
      <c r="C1058" s="158">
        <v>31097.73</v>
      </c>
    </row>
    <row r="1059" spans="2:3">
      <c r="B1059" s="157">
        <v>43969</v>
      </c>
      <c r="C1059" s="158">
        <v>30028.98</v>
      </c>
    </row>
    <row r="1060" spans="2:3">
      <c r="B1060" s="157">
        <v>43970</v>
      </c>
      <c r="C1060" s="158">
        <v>30196.17</v>
      </c>
    </row>
    <row r="1061" spans="2:3">
      <c r="B1061" s="157">
        <v>43971</v>
      </c>
      <c r="C1061" s="158">
        <v>30818.61</v>
      </c>
    </row>
    <row r="1062" spans="2:3">
      <c r="B1062" s="157">
        <v>43972</v>
      </c>
      <c r="C1062" s="158">
        <v>30932.9</v>
      </c>
    </row>
    <row r="1063" spans="2:3">
      <c r="B1063" s="157">
        <v>43973</v>
      </c>
      <c r="C1063" s="158">
        <v>30672.59</v>
      </c>
    </row>
    <row r="1064" spans="2:3">
      <c r="B1064" s="157">
        <v>43977</v>
      </c>
      <c r="C1064" s="158">
        <v>30609.3</v>
      </c>
    </row>
    <row r="1065" spans="2:3">
      <c r="B1065" s="157">
        <v>43978</v>
      </c>
      <c r="C1065" s="158">
        <v>31605.22</v>
      </c>
    </row>
    <row r="1066" spans="2:3">
      <c r="B1066" s="157">
        <v>43979</v>
      </c>
      <c r="C1066" s="158">
        <v>32200.59</v>
      </c>
    </row>
    <row r="1067" spans="2:3">
      <c r="B1067" s="157">
        <v>43980</v>
      </c>
      <c r="C1067" s="158">
        <v>32424.1</v>
      </c>
    </row>
    <row r="1068" spans="2:3">
      <c r="B1068" s="157">
        <v>43983</v>
      </c>
      <c r="C1068" s="158">
        <v>33303.519999999997</v>
      </c>
    </row>
    <row r="1069" spans="2:3">
      <c r="B1069" s="157">
        <v>43984</v>
      </c>
      <c r="C1069" s="158">
        <v>33825.53</v>
      </c>
    </row>
    <row r="1070" spans="2:3">
      <c r="B1070" s="157">
        <v>43985</v>
      </c>
      <c r="C1070" s="158">
        <v>34109.54</v>
      </c>
    </row>
    <row r="1071" spans="2:3">
      <c r="B1071" s="157">
        <v>43986</v>
      </c>
      <c r="C1071" s="158">
        <v>33980.699999999997</v>
      </c>
    </row>
    <row r="1072" spans="2:3">
      <c r="B1072" s="157">
        <v>43987</v>
      </c>
      <c r="C1072" s="158">
        <v>34287.24</v>
      </c>
    </row>
    <row r="1073" spans="2:3">
      <c r="B1073" s="157">
        <v>43990</v>
      </c>
      <c r="C1073" s="158">
        <v>34370.58</v>
      </c>
    </row>
    <row r="1074" spans="2:3">
      <c r="B1074" s="157">
        <v>43991</v>
      </c>
      <c r="C1074" s="158">
        <v>33956.69</v>
      </c>
    </row>
    <row r="1075" spans="2:3">
      <c r="B1075" s="157">
        <v>43992</v>
      </c>
      <c r="C1075" s="158">
        <v>34247.050000000003</v>
      </c>
    </row>
    <row r="1076" spans="2:3">
      <c r="B1076" s="157">
        <v>43993</v>
      </c>
      <c r="C1076" s="158">
        <v>33538.370000000003</v>
      </c>
    </row>
    <row r="1077" spans="2:3">
      <c r="B1077" s="157">
        <v>43994</v>
      </c>
      <c r="C1077" s="158">
        <v>33780.89</v>
      </c>
    </row>
    <row r="1078" spans="2:3">
      <c r="B1078" s="157">
        <v>43997</v>
      </c>
      <c r="C1078" s="158">
        <v>33228.800000000003</v>
      </c>
    </row>
    <row r="1079" spans="2:3">
      <c r="B1079" s="157">
        <v>43998</v>
      </c>
      <c r="C1079" s="158">
        <v>33605.22</v>
      </c>
    </row>
    <row r="1080" spans="2:3">
      <c r="B1080" s="157">
        <v>43999</v>
      </c>
      <c r="C1080" s="158">
        <v>33507.919999999998</v>
      </c>
    </row>
    <row r="1081" spans="2:3">
      <c r="B1081" s="157">
        <v>44000</v>
      </c>
      <c r="C1081" s="158">
        <v>34208.050000000003</v>
      </c>
    </row>
    <row r="1082" spans="2:3">
      <c r="B1082" s="157">
        <v>44001</v>
      </c>
      <c r="C1082" s="158">
        <v>34731.730000000003</v>
      </c>
    </row>
    <row r="1083" spans="2:3">
      <c r="B1083" s="157">
        <v>44004</v>
      </c>
      <c r="C1083" s="158">
        <v>34911.32</v>
      </c>
    </row>
    <row r="1084" spans="2:3">
      <c r="B1084" s="157">
        <v>44005</v>
      </c>
      <c r="C1084" s="158">
        <v>35430.43</v>
      </c>
    </row>
    <row r="1085" spans="2:3">
      <c r="B1085" s="157">
        <v>44006</v>
      </c>
      <c r="C1085" s="158">
        <v>34868.980000000003</v>
      </c>
    </row>
    <row r="1086" spans="2:3">
      <c r="B1086" s="157">
        <v>44007</v>
      </c>
      <c r="C1086" s="158">
        <v>34842.1</v>
      </c>
    </row>
    <row r="1087" spans="2:3">
      <c r="B1087" s="157">
        <v>44008</v>
      </c>
      <c r="C1087" s="158">
        <v>35171.269999999997</v>
      </c>
    </row>
    <row r="1088" spans="2:3">
      <c r="B1088" s="157">
        <v>44011</v>
      </c>
      <c r="C1088" s="158">
        <v>34961.519999999997</v>
      </c>
    </row>
    <row r="1089" spans="2:3">
      <c r="B1089" s="157">
        <v>44012</v>
      </c>
      <c r="C1089" s="158">
        <v>34915.800000000003</v>
      </c>
    </row>
    <row r="1090" spans="2:3">
      <c r="B1090" s="157">
        <v>44013</v>
      </c>
      <c r="C1090" s="158">
        <v>35414.449999999997</v>
      </c>
    </row>
    <row r="1091" spans="2:3">
      <c r="B1091" s="157">
        <v>44014</v>
      </c>
      <c r="C1091" s="158">
        <v>35843.699999999997</v>
      </c>
    </row>
    <row r="1092" spans="2:3">
      <c r="B1092" s="157">
        <v>44015</v>
      </c>
      <c r="C1092" s="158">
        <v>36021.42</v>
      </c>
    </row>
    <row r="1093" spans="2:3">
      <c r="B1093" s="157">
        <v>44018</v>
      </c>
      <c r="C1093" s="158">
        <v>36487.279999999999</v>
      </c>
    </row>
    <row r="1094" spans="2:3">
      <c r="B1094" s="157">
        <v>44019</v>
      </c>
      <c r="C1094" s="158">
        <v>36674.519999999997</v>
      </c>
    </row>
    <row r="1095" spans="2:3">
      <c r="B1095" s="157">
        <v>44020</v>
      </c>
      <c r="C1095" s="158">
        <v>36329.01</v>
      </c>
    </row>
    <row r="1096" spans="2:3">
      <c r="B1096" s="157">
        <v>44021</v>
      </c>
      <c r="C1096" s="158">
        <v>36737.69</v>
      </c>
    </row>
    <row r="1097" spans="2:3">
      <c r="B1097" s="157">
        <v>44022</v>
      </c>
      <c r="C1097" s="158">
        <v>36594.33</v>
      </c>
    </row>
    <row r="1098" spans="2:3">
      <c r="B1098" s="157">
        <v>44025</v>
      </c>
      <c r="C1098" s="158">
        <v>36693.69</v>
      </c>
    </row>
    <row r="1099" spans="2:3">
      <c r="B1099" s="157">
        <v>44026</v>
      </c>
      <c r="C1099" s="158">
        <v>36033.06</v>
      </c>
    </row>
    <row r="1100" spans="2:3">
      <c r="B1100" s="157">
        <v>44027</v>
      </c>
      <c r="C1100" s="158">
        <v>36051.81</v>
      </c>
    </row>
    <row r="1101" spans="2:3">
      <c r="B1101" s="157">
        <v>44028</v>
      </c>
      <c r="C1101" s="158">
        <v>36471.68</v>
      </c>
    </row>
    <row r="1102" spans="2:3">
      <c r="B1102" s="157">
        <v>44029</v>
      </c>
      <c r="C1102" s="158">
        <v>37020.14</v>
      </c>
    </row>
    <row r="1103" spans="2:3">
      <c r="B1103" s="157">
        <v>44032</v>
      </c>
      <c r="C1103" s="158">
        <v>37418.99</v>
      </c>
    </row>
    <row r="1104" spans="2:3">
      <c r="B1104" s="157">
        <v>44033</v>
      </c>
      <c r="C1104" s="158">
        <v>37930.33</v>
      </c>
    </row>
    <row r="1105" spans="2:3">
      <c r="B1105" s="157">
        <v>44034</v>
      </c>
      <c r="C1105" s="158">
        <v>37871.519999999997</v>
      </c>
    </row>
    <row r="1106" spans="2:3">
      <c r="B1106" s="157">
        <v>44035</v>
      </c>
      <c r="C1106" s="158">
        <v>38140.47</v>
      </c>
    </row>
    <row r="1107" spans="2:3">
      <c r="B1107" s="157">
        <v>44036</v>
      </c>
      <c r="C1107" s="158">
        <v>38128.9</v>
      </c>
    </row>
    <row r="1108" spans="2:3">
      <c r="B1108" s="157">
        <v>44039</v>
      </c>
      <c r="C1108" s="158">
        <v>37934.730000000003</v>
      </c>
    </row>
    <row r="1109" spans="2:3">
      <c r="B1109" s="157">
        <v>44040</v>
      </c>
      <c r="C1109" s="158">
        <v>38492.949999999997</v>
      </c>
    </row>
    <row r="1110" spans="2:3">
      <c r="B1110" s="157">
        <v>44041</v>
      </c>
      <c r="C1110" s="158">
        <v>38071.129999999997</v>
      </c>
    </row>
    <row r="1111" spans="2:3">
      <c r="B1111" s="157">
        <v>44042</v>
      </c>
      <c r="C1111" s="158">
        <v>37736.07</v>
      </c>
    </row>
    <row r="1112" spans="2:3">
      <c r="B1112" s="157">
        <v>44043</v>
      </c>
      <c r="C1112" s="158">
        <v>37606.89</v>
      </c>
    </row>
    <row r="1113" spans="2:3">
      <c r="B1113" s="157">
        <v>44046</v>
      </c>
      <c r="C1113" s="158">
        <v>36939.599999999999</v>
      </c>
    </row>
    <row r="1114" spans="2:3">
      <c r="B1114" s="157">
        <v>44047</v>
      </c>
      <c r="C1114" s="158">
        <v>37687.910000000003</v>
      </c>
    </row>
    <row r="1115" spans="2:3">
      <c r="B1115" s="157">
        <v>44048</v>
      </c>
      <c r="C1115" s="158">
        <v>37663.33</v>
      </c>
    </row>
    <row r="1116" spans="2:3">
      <c r="B1116" s="157">
        <v>44049</v>
      </c>
      <c r="C1116" s="158">
        <v>38025.449999999997</v>
      </c>
    </row>
    <row r="1117" spans="2:3">
      <c r="B1117" s="157">
        <v>44050</v>
      </c>
      <c r="C1117" s="158">
        <v>38040.57</v>
      </c>
    </row>
    <row r="1118" spans="2:3">
      <c r="B1118" s="157">
        <v>44053</v>
      </c>
      <c r="C1118" s="158">
        <v>38182.080000000002</v>
      </c>
    </row>
    <row r="1119" spans="2:3">
      <c r="B1119" s="157">
        <v>44054</v>
      </c>
      <c r="C1119" s="158">
        <v>38407.01</v>
      </c>
    </row>
    <row r="1120" spans="2:3">
      <c r="B1120" s="157">
        <v>44055</v>
      </c>
      <c r="C1120" s="158">
        <v>38369.629999999997</v>
      </c>
    </row>
    <row r="1121" spans="2:3">
      <c r="B1121" s="157">
        <v>44056</v>
      </c>
      <c r="C1121" s="158">
        <v>38310.49</v>
      </c>
    </row>
    <row r="1122" spans="2:3">
      <c r="B1122" s="157">
        <v>44057</v>
      </c>
      <c r="C1122" s="158">
        <v>37877.339999999997</v>
      </c>
    </row>
    <row r="1123" spans="2:3">
      <c r="B1123" s="157">
        <v>44060</v>
      </c>
      <c r="C1123" s="158">
        <v>38050.78</v>
      </c>
    </row>
    <row r="1124" spans="2:3">
      <c r="B1124" s="157">
        <v>44061</v>
      </c>
      <c r="C1124" s="158">
        <v>38528.32</v>
      </c>
    </row>
    <row r="1125" spans="2:3">
      <c r="B1125" s="157">
        <v>44062</v>
      </c>
      <c r="C1125" s="158">
        <v>38614.79</v>
      </c>
    </row>
    <row r="1126" spans="2:3">
      <c r="B1126" s="157">
        <v>44063</v>
      </c>
      <c r="C1126" s="158">
        <v>38220.39</v>
      </c>
    </row>
    <row r="1127" spans="2:3">
      <c r="B1127" s="157">
        <v>44064</v>
      </c>
      <c r="C1127" s="158">
        <v>38434.720000000001</v>
      </c>
    </row>
    <row r="1128" spans="2:3">
      <c r="B1128" s="157">
        <v>44067</v>
      </c>
      <c r="C1128" s="158">
        <v>38799.08</v>
      </c>
    </row>
    <row r="1129" spans="2:3">
      <c r="B1129" s="157">
        <v>44068</v>
      </c>
      <c r="C1129" s="158">
        <v>38843.879999999997</v>
      </c>
    </row>
    <row r="1130" spans="2:3">
      <c r="B1130" s="157">
        <v>44069</v>
      </c>
      <c r="C1130" s="158">
        <v>39073.919999999998</v>
      </c>
    </row>
    <row r="1131" spans="2:3">
      <c r="B1131" s="157">
        <v>44070</v>
      </c>
      <c r="C1131" s="158">
        <v>39113.47</v>
      </c>
    </row>
    <row r="1132" spans="2:3">
      <c r="B1132" s="157">
        <v>44071</v>
      </c>
      <c r="C1132" s="158">
        <v>39467.31</v>
      </c>
    </row>
    <row r="1133" spans="2:3">
      <c r="B1133" s="157">
        <v>44074</v>
      </c>
      <c r="C1133" s="158">
        <v>38628.29</v>
      </c>
    </row>
    <row r="1134" spans="2:3">
      <c r="B1134" s="157">
        <v>44075</v>
      </c>
      <c r="C1134" s="158">
        <v>38900.800000000003</v>
      </c>
    </row>
    <row r="1135" spans="2:3">
      <c r="B1135" s="157">
        <v>44076</v>
      </c>
      <c r="C1135" s="158">
        <v>39086.03</v>
      </c>
    </row>
    <row r="1136" spans="2:3">
      <c r="B1136" s="157">
        <v>44077</v>
      </c>
      <c r="C1136" s="158">
        <v>38990.94</v>
      </c>
    </row>
    <row r="1137" spans="2:3">
      <c r="B1137" s="157">
        <v>44078</v>
      </c>
      <c r="C1137" s="158">
        <v>38357.18</v>
      </c>
    </row>
    <row r="1138" spans="2:3">
      <c r="B1138" s="157">
        <v>44081</v>
      </c>
      <c r="C1138" s="158">
        <v>38417.230000000003</v>
      </c>
    </row>
    <row r="1139" spans="2:3">
      <c r="B1139" s="157">
        <v>44082</v>
      </c>
      <c r="C1139" s="158">
        <v>38365.35</v>
      </c>
    </row>
    <row r="1140" spans="2:3">
      <c r="B1140" s="157">
        <v>44083</v>
      </c>
      <c r="C1140" s="158">
        <v>38193.919999999998</v>
      </c>
    </row>
    <row r="1141" spans="2:3">
      <c r="B1141" s="157">
        <v>44084</v>
      </c>
      <c r="C1141" s="158">
        <v>38840.32</v>
      </c>
    </row>
    <row r="1142" spans="2:3">
      <c r="B1142" s="157">
        <v>44085</v>
      </c>
      <c r="C1142" s="158">
        <v>38854.550000000003</v>
      </c>
    </row>
    <row r="1143" spans="2:3">
      <c r="B1143" s="157">
        <v>44088</v>
      </c>
      <c r="C1143" s="158">
        <v>38756.629999999997</v>
      </c>
    </row>
    <row r="1144" spans="2:3">
      <c r="B1144" s="157">
        <v>44089</v>
      </c>
      <c r="C1144" s="158">
        <v>39044.35</v>
      </c>
    </row>
    <row r="1145" spans="2:3">
      <c r="B1145" s="157">
        <v>44090</v>
      </c>
      <c r="C1145" s="158">
        <v>39302.85</v>
      </c>
    </row>
    <row r="1146" spans="2:3">
      <c r="B1146" s="157">
        <v>44091</v>
      </c>
      <c r="C1146" s="158">
        <v>38979.85</v>
      </c>
    </row>
    <row r="1147" spans="2:3">
      <c r="B1147" s="157">
        <v>44092</v>
      </c>
      <c r="C1147" s="158">
        <v>38845.82</v>
      </c>
    </row>
    <row r="1148" spans="2:3">
      <c r="B1148" s="157">
        <v>44095</v>
      </c>
      <c r="C1148" s="158">
        <v>38034.14</v>
      </c>
    </row>
    <row r="1149" spans="2:3">
      <c r="B1149" s="157">
        <v>44096</v>
      </c>
      <c r="C1149" s="158">
        <v>37734.080000000002</v>
      </c>
    </row>
    <row r="1150" spans="2:3">
      <c r="B1150" s="157">
        <v>44097</v>
      </c>
      <c r="C1150" s="158">
        <v>37668.42</v>
      </c>
    </row>
    <row r="1151" spans="2:3">
      <c r="B1151" s="157">
        <v>44098</v>
      </c>
      <c r="C1151" s="158">
        <v>36553.599999999999</v>
      </c>
    </row>
    <row r="1152" spans="2:3">
      <c r="B1152" s="157">
        <v>44099</v>
      </c>
      <c r="C1152" s="158">
        <v>37388.660000000003</v>
      </c>
    </row>
    <row r="1153" spans="2:3">
      <c r="B1153" s="157">
        <v>44102</v>
      </c>
      <c r="C1153" s="158">
        <v>37981.629999999997</v>
      </c>
    </row>
    <row r="1154" spans="2:3">
      <c r="B1154" s="157">
        <v>44103</v>
      </c>
      <c r="C1154" s="158">
        <v>37973.22</v>
      </c>
    </row>
    <row r="1155" spans="2:3">
      <c r="B1155" s="157">
        <v>44104</v>
      </c>
      <c r="C1155" s="158">
        <v>38067.93</v>
      </c>
    </row>
    <row r="1156" spans="2:3">
      <c r="B1156" s="157">
        <v>44105</v>
      </c>
      <c r="C1156" s="158">
        <v>38697.050000000003</v>
      </c>
    </row>
    <row r="1157" spans="2:3">
      <c r="B1157" s="157">
        <v>44109</v>
      </c>
      <c r="C1157" s="158">
        <v>38973.699999999997</v>
      </c>
    </row>
    <row r="1158" spans="2:3">
      <c r="B1158" s="157">
        <v>44110</v>
      </c>
      <c r="C1158" s="158">
        <v>39574.57</v>
      </c>
    </row>
    <row r="1159" spans="2:3">
      <c r="B1159" s="157">
        <v>44111</v>
      </c>
      <c r="C1159" s="158">
        <v>39878.949999999997</v>
      </c>
    </row>
    <row r="1160" spans="2:3">
      <c r="B1160" s="157">
        <v>44112</v>
      </c>
      <c r="C1160" s="158">
        <v>40182.67</v>
      </c>
    </row>
    <row r="1161" spans="2:3">
      <c r="B1161" s="157">
        <v>44113</v>
      </c>
      <c r="C1161" s="158">
        <v>40509.49</v>
      </c>
    </row>
    <row r="1162" spans="2:3">
      <c r="B1162" s="157">
        <v>44116</v>
      </c>
      <c r="C1162" s="158">
        <v>40593.800000000003</v>
      </c>
    </row>
    <row r="1163" spans="2:3">
      <c r="B1163" s="157">
        <v>44117</v>
      </c>
      <c r="C1163" s="158">
        <v>40625.51</v>
      </c>
    </row>
    <row r="1164" spans="2:3">
      <c r="B1164" s="157">
        <v>44118</v>
      </c>
      <c r="C1164" s="158">
        <v>40794.74</v>
      </c>
    </row>
    <row r="1165" spans="2:3">
      <c r="B1165" s="157">
        <v>44119</v>
      </c>
      <c r="C1165" s="158">
        <v>39728.410000000003</v>
      </c>
    </row>
    <row r="1166" spans="2:3">
      <c r="B1166" s="157">
        <v>44120</v>
      </c>
      <c r="C1166" s="158">
        <v>39982.980000000003</v>
      </c>
    </row>
    <row r="1167" spans="2:3">
      <c r="B1167" s="157">
        <v>44123</v>
      </c>
      <c r="C1167" s="158">
        <v>40431.599999999999</v>
      </c>
    </row>
    <row r="1168" spans="2:3">
      <c r="B1168" s="157">
        <v>44124</v>
      </c>
      <c r="C1168" s="158">
        <v>40544.370000000003</v>
      </c>
    </row>
    <row r="1169" spans="2:3">
      <c r="B1169" s="157">
        <v>44125</v>
      </c>
      <c r="C1169" s="158">
        <v>40707.31</v>
      </c>
    </row>
    <row r="1170" spans="2:3">
      <c r="B1170" s="157">
        <v>44126</v>
      </c>
      <c r="C1170" s="158">
        <v>40558.49</v>
      </c>
    </row>
    <row r="1171" spans="2:3">
      <c r="B1171" s="157">
        <v>44127</v>
      </c>
      <c r="C1171" s="158">
        <v>40685.5</v>
      </c>
    </row>
    <row r="1172" spans="2:3">
      <c r="B1172" s="157">
        <v>44130</v>
      </c>
      <c r="C1172" s="158">
        <v>40145.5</v>
      </c>
    </row>
    <row r="1173" spans="2:3">
      <c r="B1173" s="157">
        <v>44131</v>
      </c>
      <c r="C1173" s="158">
        <v>40522.1</v>
      </c>
    </row>
    <row r="1174" spans="2:3">
      <c r="B1174" s="157">
        <v>44132</v>
      </c>
      <c r="C1174" s="158">
        <v>39922.46</v>
      </c>
    </row>
    <row r="1175" spans="2:3">
      <c r="B1175" s="157">
        <v>44133</v>
      </c>
      <c r="C1175" s="158">
        <v>39749.85</v>
      </c>
    </row>
    <row r="1176" spans="2:3">
      <c r="B1176" s="157">
        <v>44134</v>
      </c>
      <c r="C1176" s="158">
        <v>39614.07</v>
      </c>
    </row>
    <row r="1177" spans="2:3">
      <c r="B1177" s="157">
        <v>44137</v>
      </c>
      <c r="C1177" s="158">
        <v>39757.58</v>
      </c>
    </row>
    <row r="1178" spans="2:3">
      <c r="B1178" s="157">
        <v>44138</v>
      </c>
      <c r="C1178" s="158">
        <v>40261.129999999997</v>
      </c>
    </row>
    <row r="1179" spans="2:3">
      <c r="B1179" s="157">
        <v>44139</v>
      </c>
      <c r="C1179" s="158">
        <v>40616.14</v>
      </c>
    </row>
    <row r="1180" spans="2:3">
      <c r="B1180" s="157">
        <v>44140</v>
      </c>
      <c r="C1180" s="158">
        <v>41340.160000000003</v>
      </c>
    </row>
    <row r="1181" spans="2:3">
      <c r="B1181" s="157">
        <v>44141</v>
      </c>
      <c r="C1181" s="158">
        <v>41893.06</v>
      </c>
    </row>
    <row r="1182" spans="2:3">
      <c r="B1182" s="157">
        <v>44144</v>
      </c>
      <c r="C1182" s="158">
        <v>42597.43</v>
      </c>
    </row>
    <row r="1183" spans="2:3">
      <c r="B1183" s="157">
        <v>44145</v>
      </c>
      <c r="C1183" s="158">
        <v>43277.65</v>
      </c>
    </row>
    <row r="1184" spans="2:3">
      <c r="B1184" s="157">
        <v>44146</v>
      </c>
      <c r="C1184" s="158">
        <v>43593.67</v>
      </c>
    </row>
    <row r="1185" spans="2:3">
      <c r="B1185" s="157">
        <v>44147</v>
      </c>
      <c r="C1185" s="158">
        <v>43357.19</v>
      </c>
    </row>
    <row r="1186" spans="2:3">
      <c r="B1186" s="157">
        <v>44148</v>
      </c>
      <c r="C1186" s="158">
        <v>43443</v>
      </c>
    </row>
    <row r="1187" spans="2:3">
      <c r="B1187" s="157">
        <v>44149</v>
      </c>
      <c r="C1187" s="158">
        <v>43637.98</v>
      </c>
    </row>
    <row r="1188" spans="2:3">
      <c r="B1188" s="157">
        <v>44152</v>
      </c>
      <c r="C1188" s="158">
        <v>43952.71</v>
      </c>
    </row>
    <row r="1189" spans="2:3">
      <c r="B1189" s="157">
        <v>44153</v>
      </c>
      <c r="C1189" s="158">
        <v>44180.05</v>
      </c>
    </row>
    <row r="1190" spans="2:3">
      <c r="B1190" s="157">
        <v>44154</v>
      </c>
      <c r="C1190" s="158">
        <v>43599.96</v>
      </c>
    </row>
    <row r="1191" spans="2:3">
      <c r="B1191" s="157">
        <v>44155</v>
      </c>
      <c r="C1191" s="158">
        <v>43882.25</v>
      </c>
    </row>
    <row r="1192" spans="2:3">
      <c r="B1192" s="157">
        <v>44158</v>
      </c>
      <c r="C1192" s="158">
        <v>44077.15</v>
      </c>
    </row>
    <row r="1193" spans="2:3">
      <c r="B1193" s="157">
        <v>44159</v>
      </c>
      <c r="C1193" s="158">
        <v>44523.02</v>
      </c>
    </row>
    <row r="1194" spans="2:3">
      <c r="B1194" s="157">
        <v>44160</v>
      </c>
      <c r="C1194" s="158">
        <v>43828.1</v>
      </c>
    </row>
    <row r="1195" spans="2:3">
      <c r="B1195" s="157">
        <v>44161</v>
      </c>
      <c r="C1195" s="158">
        <v>44259.74</v>
      </c>
    </row>
    <row r="1196" spans="2:3">
      <c r="B1196" s="157">
        <v>44162</v>
      </c>
      <c r="C1196" s="158">
        <v>44149.72</v>
      </c>
    </row>
    <row r="1197" spans="2:3">
      <c r="B1197" s="157">
        <v>44166</v>
      </c>
      <c r="C1197" s="158">
        <v>44655.44</v>
      </c>
    </row>
    <row r="1198" spans="2:3">
      <c r="B1198" s="157">
        <v>44167</v>
      </c>
      <c r="C1198" s="158">
        <v>44618.04</v>
      </c>
    </row>
    <row r="1199" spans="2:3">
      <c r="B1199" s="157">
        <v>44168</v>
      </c>
      <c r="C1199" s="158">
        <v>44632.65</v>
      </c>
    </row>
    <row r="1200" spans="2:3">
      <c r="B1200" s="157">
        <v>44169</v>
      </c>
      <c r="C1200" s="158">
        <v>45079.55</v>
      </c>
    </row>
    <row r="1201" spans="2:3">
      <c r="B1201" s="157">
        <v>44172</v>
      </c>
      <c r="C1201" s="158">
        <v>45426.97</v>
      </c>
    </row>
    <row r="1202" spans="2:3">
      <c r="B1202" s="157">
        <v>44173</v>
      </c>
      <c r="C1202" s="158">
        <v>45608.51</v>
      </c>
    </row>
    <row r="1203" spans="2:3">
      <c r="B1203" s="157">
        <v>44174</v>
      </c>
      <c r="C1203" s="158">
        <v>46103.5</v>
      </c>
    </row>
    <row r="1204" spans="2:3">
      <c r="B1204" s="157">
        <v>44175</v>
      </c>
      <c r="C1204" s="158">
        <v>45959.88</v>
      </c>
    </row>
    <row r="1205" spans="2:3">
      <c r="B1205" s="157">
        <v>44176</v>
      </c>
      <c r="C1205" s="158">
        <v>46099.01</v>
      </c>
    </row>
    <row r="1206" spans="2:3">
      <c r="B1206" s="157">
        <v>44179</v>
      </c>
      <c r="C1206" s="158">
        <v>46253.46</v>
      </c>
    </row>
    <row r="1207" spans="2:3">
      <c r="B1207" s="157">
        <v>44180</v>
      </c>
      <c r="C1207" s="158">
        <v>46263.17</v>
      </c>
    </row>
    <row r="1208" spans="2:3">
      <c r="B1208" s="157">
        <v>44181</v>
      </c>
      <c r="C1208" s="158">
        <v>46666.46</v>
      </c>
    </row>
    <row r="1209" spans="2:3">
      <c r="B1209" s="157">
        <v>44182</v>
      </c>
      <c r="C1209" s="158">
        <v>46890.34</v>
      </c>
    </row>
    <row r="1210" spans="2:3">
      <c r="B1210" s="157">
        <v>44183</v>
      </c>
      <c r="C1210" s="158">
        <v>46960.69</v>
      </c>
    </row>
    <row r="1211" spans="2:3">
      <c r="B1211" s="157">
        <v>44186</v>
      </c>
      <c r="C1211" s="158">
        <v>45553.96</v>
      </c>
    </row>
    <row r="1212" spans="2:3">
      <c r="B1212" s="157">
        <v>44187</v>
      </c>
      <c r="C1212" s="158">
        <v>46006.69</v>
      </c>
    </row>
    <row r="1213" spans="2:3">
      <c r="B1213" s="157">
        <v>44188</v>
      </c>
      <c r="C1213" s="158">
        <v>46444.18</v>
      </c>
    </row>
    <row r="1214" spans="2:3">
      <c r="B1214" s="157">
        <v>44189</v>
      </c>
      <c r="C1214" s="158">
        <v>46973.54</v>
      </c>
    </row>
    <row r="1215" spans="2:3">
      <c r="B1215" s="157">
        <v>44193</v>
      </c>
      <c r="C1215" s="158">
        <v>47353.75</v>
      </c>
    </row>
    <row r="1216" spans="2:3">
      <c r="B1216" s="157">
        <v>44194</v>
      </c>
      <c r="C1216" s="158">
        <v>47613.08</v>
      </c>
    </row>
    <row r="1217" spans="2:3">
      <c r="B1217" s="157">
        <v>44195</v>
      </c>
      <c r="C1217" s="158">
        <v>47746.22</v>
      </c>
    </row>
    <row r="1218" spans="2:3">
      <c r="B1218" s="157">
        <v>44196</v>
      </c>
      <c r="C1218" s="158">
        <v>47751.33</v>
      </c>
    </row>
    <row r="1219" spans="2:3">
      <c r="B1219" s="157">
        <v>44197</v>
      </c>
      <c r="C1219" s="158">
        <v>47868.98</v>
      </c>
    </row>
    <row r="1220" spans="2:3">
      <c r="B1220" s="157">
        <v>44200</v>
      </c>
      <c r="C1220" s="158">
        <v>48176.800000000003</v>
      </c>
    </row>
    <row r="1221" spans="2:3">
      <c r="B1221" s="157">
        <v>44201</v>
      </c>
      <c r="C1221" s="158">
        <v>48437.78</v>
      </c>
    </row>
    <row r="1222" spans="2:3">
      <c r="B1222" s="157">
        <v>44202</v>
      </c>
      <c r="C1222" s="158">
        <v>48174.06</v>
      </c>
    </row>
    <row r="1223" spans="2:3">
      <c r="B1223" s="157">
        <v>44203</v>
      </c>
      <c r="C1223" s="158">
        <v>48093.32</v>
      </c>
    </row>
    <row r="1224" spans="2:3">
      <c r="B1224" s="157">
        <v>44204</v>
      </c>
      <c r="C1224" s="158">
        <v>48782.51</v>
      </c>
    </row>
    <row r="1225" spans="2:3">
      <c r="B1225" s="157">
        <v>44207</v>
      </c>
      <c r="C1225" s="158">
        <v>49269.32</v>
      </c>
    </row>
    <row r="1226" spans="2:3">
      <c r="B1226" s="157">
        <v>44208</v>
      </c>
      <c r="C1226" s="158">
        <v>49517.11</v>
      </c>
    </row>
    <row r="1227" spans="2:3">
      <c r="B1227" s="157">
        <v>44209</v>
      </c>
      <c r="C1227" s="158">
        <v>49492.32</v>
      </c>
    </row>
    <row r="1228" spans="2:3">
      <c r="B1228" s="157">
        <v>44210</v>
      </c>
      <c r="C1228" s="158">
        <v>49584.160000000003</v>
      </c>
    </row>
    <row r="1229" spans="2:3">
      <c r="B1229" s="157">
        <v>44211</v>
      </c>
      <c r="C1229" s="158">
        <v>49034.67</v>
      </c>
    </row>
    <row r="1230" spans="2:3">
      <c r="B1230" s="157">
        <v>44214</v>
      </c>
      <c r="C1230" s="158">
        <v>48564.27</v>
      </c>
    </row>
    <row r="1231" spans="2:3">
      <c r="B1231" s="157">
        <v>44215</v>
      </c>
      <c r="C1231" s="158">
        <v>49398.29</v>
      </c>
    </row>
    <row r="1232" spans="2:3">
      <c r="B1232" s="157">
        <v>44216</v>
      </c>
      <c r="C1232" s="158">
        <v>49792.12</v>
      </c>
    </row>
    <row r="1233" spans="2:3">
      <c r="B1233" s="157">
        <v>44217</v>
      </c>
      <c r="C1233" s="158">
        <v>49624.76</v>
      </c>
    </row>
    <row r="1234" spans="2:3">
      <c r="B1234" s="157">
        <v>44218</v>
      </c>
      <c r="C1234" s="158">
        <v>48878.54</v>
      </c>
    </row>
    <row r="1235" spans="2:3">
      <c r="B1235" s="157">
        <v>44221</v>
      </c>
      <c r="C1235" s="158">
        <v>48347.59</v>
      </c>
    </row>
    <row r="1236" spans="2:3">
      <c r="B1236" s="157">
        <v>44223</v>
      </c>
      <c r="C1236" s="158">
        <v>47409.93</v>
      </c>
    </row>
    <row r="1237" spans="2:3">
      <c r="B1237" s="157">
        <v>44224</v>
      </c>
      <c r="C1237" s="158">
        <v>46874.36</v>
      </c>
    </row>
    <row r="1238" spans="2:3">
      <c r="B1238" s="157">
        <v>44225</v>
      </c>
      <c r="C1238" s="158">
        <v>46285.77</v>
      </c>
    </row>
    <row r="1239" spans="2:3">
      <c r="B1239" s="157">
        <v>44228</v>
      </c>
      <c r="C1239" s="158">
        <v>48600.61</v>
      </c>
    </row>
    <row r="1240" spans="2:3">
      <c r="B1240" s="157">
        <v>44229</v>
      </c>
      <c r="C1240" s="158">
        <v>49797.72</v>
      </c>
    </row>
    <row r="1241" spans="2:3">
      <c r="B1241" s="157">
        <v>44230</v>
      </c>
      <c r="C1241" s="158">
        <v>50255.75</v>
      </c>
    </row>
    <row r="1242" spans="2:3">
      <c r="B1242" s="157">
        <v>44231</v>
      </c>
      <c r="C1242" s="158">
        <v>50614.29</v>
      </c>
    </row>
    <row r="1243" spans="2:3">
      <c r="B1243" s="157">
        <v>44232</v>
      </c>
      <c r="C1243" s="158">
        <v>50731.63</v>
      </c>
    </row>
    <row r="1244" spans="2:3">
      <c r="B1244" s="157">
        <v>44235</v>
      </c>
      <c r="C1244" s="158">
        <v>51348.77</v>
      </c>
    </row>
    <row r="1245" spans="2:3">
      <c r="B1245" s="157">
        <v>44236</v>
      </c>
      <c r="C1245" s="158">
        <v>51329.08</v>
      </c>
    </row>
    <row r="1246" spans="2:3">
      <c r="B1246" s="157">
        <v>44237</v>
      </c>
      <c r="C1246" s="158">
        <v>51309.39</v>
      </c>
    </row>
    <row r="1247" spans="2:3">
      <c r="B1247" s="157">
        <v>44238</v>
      </c>
      <c r="C1247" s="158">
        <v>51531.519999999997</v>
      </c>
    </row>
    <row r="1248" spans="2:3">
      <c r="B1248" s="157">
        <v>44239</v>
      </c>
      <c r="C1248" s="158">
        <v>51544.3</v>
      </c>
    </row>
    <row r="1249" spans="2:3">
      <c r="B1249" s="157">
        <v>44242</v>
      </c>
      <c r="C1249" s="158">
        <v>52154.13</v>
      </c>
    </row>
    <row r="1250" spans="2:3">
      <c r="B1250" s="157">
        <v>44243</v>
      </c>
      <c r="C1250" s="158">
        <v>52104.17</v>
      </c>
    </row>
    <row r="1251" spans="2:3">
      <c r="B1251" s="157">
        <v>44244</v>
      </c>
      <c r="C1251" s="158">
        <v>51703.83</v>
      </c>
    </row>
    <row r="1252" spans="2:3">
      <c r="B1252" s="157">
        <v>44245</v>
      </c>
      <c r="C1252" s="158">
        <v>51324.69</v>
      </c>
    </row>
    <row r="1253" spans="2:3">
      <c r="B1253" s="157">
        <v>44246</v>
      </c>
      <c r="C1253" s="158">
        <v>50889.760000000002</v>
      </c>
    </row>
    <row r="1254" spans="2:3">
      <c r="B1254" s="157">
        <v>44249</v>
      </c>
      <c r="C1254" s="158">
        <v>49744.32</v>
      </c>
    </row>
    <row r="1255" spans="2:3">
      <c r="B1255" s="157">
        <v>44250</v>
      </c>
      <c r="C1255" s="158">
        <v>49751.41</v>
      </c>
    </row>
    <row r="1256" spans="2:3">
      <c r="B1256" s="157">
        <v>44251</v>
      </c>
      <c r="C1256" s="158">
        <v>50781.69</v>
      </c>
    </row>
    <row r="1257" spans="2:3">
      <c r="B1257" s="157">
        <v>44252</v>
      </c>
      <c r="C1257" s="158">
        <v>51039.31</v>
      </c>
    </row>
    <row r="1258" spans="2:3">
      <c r="B1258" s="157">
        <v>44253</v>
      </c>
      <c r="C1258" s="158">
        <v>49099.99</v>
      </c>
    </row>
    <row r="1259" spans="2:3">
      <c r="B1259" s="157">
        <v>44256</v>
      </c>
      <c r="C1259" s="158">
        <v>49849.84</v>
      </c>
    </row>
    <row r="1260" spans="2:3">
      <c r="B1260" s="157">
        <v>44257</v>
      </c>
      <c r="C1260" s="158">
        <v>50296.89</v>
      </c>
    </row>
    <row r="1261" spans="2:3">
      <c r="B1261" s="157">
        <v>44258</v>
      </c>
      <c r="C1261" s="158">
        <v>51444.65</v>
      </c>
    </row>
    <row r="1262" spans="2:3">
      <c r="B1262" s="157">
        <v>44259</v>
      </c>
      <c r="C1262" s="158">
        <v>50846.080000000002</v>
      </c>
    </row>
    <row r="1263" spans="2:3">
      <c r="B1263" s="157">
        <v>44260</v>
      </c>
      <c r="C1263" s="158">
        <v>50405.32</v>
      </c>
    </row>
    <row r="1264" spans="2:3">
      <c r="B1264" s="157">
        <v>44263</v>
      </c>
      <c r="C1264" s="158">
        <v>50441.07</v>
      </c>
    </row>
    <row r="1265" spans="2:3">
      <c r="B1265" s="157">
        <v>44264</v>
      </c>
      <c r="C1265" s="158">
        <v>51025.48</v>
      </c>
    </row>
    <row r="1266" spans="2:3">
      <c r="B1266" s="157">
        <v>44265</v>
      </c>
      <c r="C1266" s="158">
        <v>51279.51</v>
      </c>
    </row>
    <row r="1267" spans="2:3">
      <c r="B1267" s="157">
        <v>44267</v>
      </c>
      <c r="C1267" s="158">
        <v>50792.08</v>
      </c>
    </row>
    <row r="1268" spans="2:3">
      <c r="B1268" s="157">
        <v>44270</v>
      </c>
      <c r="C1268" s="158">
        <v>50395.08</v>
      </c>
    </row>
    <row r="1269" spans="2:3">
      <c r="B1269" s="157">
        <v>44271</v>
      </c>
      <c r="C1269" s="158">
        <v>50363.96</v>
      </c>
    </row>
    <row r="1270" spans="2:3">
      <c r="B1270" s="157">
        <v>44272</v>
      </c>
      <c r="C1270" s="158">
        <v>49801.62</v>
      </c>
    </row>
    <row r="1271" spans="2:3">
      <c r="B1271" s="157">
        <v>44273</v>
      </c>
      <c r="C1271" s="158">
        <v>49216.52</v>
      </c>
    </row>
    <row r="1272" spans="2:3">
      <c r="B1272" s="157">
        <v>44274</v>
      </c>
      <c r="C1272" s="158">
        <v>49858.239999999998</v>
      </c>
    </row>
    <row r="1273" spans="2:3">
      <c r="B1273" s="157">
        <v>44277</v>
      </c>
      <c r="C1273" s="158">
        <v>49771.29</v>
      </c>
    </row>
    <row r="1274" spans="2:3">
      <c r="B1274" s="157">
        <v>44278</v>
      </c>
      <c r="C1274" s="158">
        <v>50051.44</v>
      </c>
    </row>
    <row r="1275" spans="2:3">
      <c r="B1275" s="157">
        <v>44279</v>
      </c>
      <c r="C1275" s="158">
        <v>49180.31</v>
      </c>
    </row>
    <row r="1276" spans="2:3">
      <c r="B1276" s="157">
        <v>44280</v>
      </c>
      <c r="C1276" s="158">
        <v>48440.12</v>
      </c>
    </row>
    <row r="1277" spans="2:3">
      <c r="B1277" s="157">
        <v>44281</v>
      </c>
      <c r="C1277" s="158">
        <v>49008.5</v>
      </c>
    </row>
    <row r="1278" spans="2:3">
      <c r="B1278" s="157">
        <v>44285</v>
      </c>
      <c r="C1278" s="158">
        <v>50136.58</v>
      </c>
    </row>
    <row r="1279" spans="2:3">
      <c r="B1279" s="157">
        <v>44286</v>
      </c>
      <c r="C1279" s="158">
        <v>49509.15</v>
      </c>
    </row>
    <row r="1280" spans="2:3">
      <c r="B1280" s="157">
        <v>44287</v>
      </c>
      <c r="C1280" s="158">
        <v>50029.83</v>
      </c>
    </row>
    <row r="1281" spans="2:3">
      <c r="B1281" s="157">
        <v>44291</v>
      </c>
      <c r="C1281" s="158">
        <v>49159.32</v>
      </c>
    </row>
    <row r="1282" spans="2:3">
      <c r="B1282" s="157">
        <v>44292</v>
      </c>
      <c r="C1282" s="158">
        <v>49201.39</v>
      </c>
    </row>
    <row r="1283" spans="2:3">
      <c r="B1283" s="157">
        <v>44293</v>
      </c>
      <c r="C1283" s="158">
        <v>49661.760000000002</v>
      </c>
    </row>
    <row r="1284" spans="2:3">
      <c r="B1284" s="157">
        <v>44294</v>
      </c>
      <c r="C1284" s="158">
        <v>49746.21</v>
      </c>
    </row>
    <row r="1285" spans="2:3">
      <c r="B1285" s="157">
        <v>44295</v>
      </c>
      <c r="C1285" s="158">
        <v>49591.32</v>
      </c>
    </row>
    <row r="1286" spans="2:3">
      <c r="B1286" s="157">
        <v>44298</v>
      </c>
      <c r="C1286" s="158">
        <v>47883.38</v>
      </c>
    </row>
    <row r="1287" spans="2:3">
      <c r="B1287" s="157">
        <v>44299</v>
      </c>
      <c r="C1287" s="158">
        <v>48544.06</v>
      </c>
    </row>
    <row r="1288" spans="2:3">
      <c r="B1288" s="157">
        <v>44301</v>
      </c>
      <c r="C1288" s="158">
        <v>48803.68</v>
      </c>
    </row>
    <row r="1289" spans="2:3">
      <c r="B1289" s="157">
        <v>44302</v>
      </c>
      <c r="C1289" s="158">
        <v>48832.03</v>
      </c>
    </row>
    <row r="1290" spans="2:3">
      <c r="B1290" s="157">
        <v>44305</v>
      </c>
      <c r="C1290" s="158">
        <v>47949.42</v>
      </c>
    </row>
    <row r="1291" spans="2:3">
      <c r="B1291" s="157">
        <v>44306</v>
      </c>
      <c r="C1291" s="158">
        <v>47705.8</v>
      </c>
    </row>
    <row r="1292" spans="2:3">
      <c r="B1292" s="157">
        <v>44308</v>
      </c>
      <c r="C1292" s="158">
        <v>48080.67</v>
      </c>
    </row>
    <row r="1293" spans="2:3">
      <c r="B1293" s="157">
        <v>44309</v>
      </c>
      <c r="C1293" s="158">
        <v>47878.45</v>
      </c>
    </row>
    <row r="1294" spans="2:3">
      <c r="B1294" s="157">
        <v>44312</v>
      </c>
      <c r="C1294" s="158">
        <v>48386.51</v>
      </c>
    </row>
    <row r="1295" spans="2:3">
      <c r="B1295" s="157">
        <v>44313</v>
      </c>
      <c r="C1295" s="158">
        <v>48944.14</v>
      </c>
    </row>
    <row r="1296" spans="2:3">
      <c r="B1296" s="157">
        <v>44314</v>
      </c>
      <c r="C1296" s="158">
        <v>49733.84</v>
      </c>
    </row>
    <row r="1297" spans="2:3">
      <c r="B1297" s="157">
        <v>44315</v>
      </c>
      <c r="C1297" s="158">
        <v>49765.94</v>
      </c>
    </row>
    <row r="1298" spans="2:3">
      <c r="B1298" s="157">
        <v>44316</v>
      </c>
      <c r="C1298" s="158">
        <v>48782.36</v>
      </c>
    </row>
    <row r="1299" spans="2:3">
      <c r="B1299" s="157">
        <v>44319</v>
      </c>
      <c r="C1299" s="158">
        <v>48718.52</v>
      </c>
    </row>
    <row r="1300" spans="2:3">
      <c r="B1300" s="157">
        <v>44320</v>
      </c>
      <c r="C1300" s="158">
        <v>48253.51</v>
      </c>
    </row>
    <row r="1301" spans="2:3">
      <c r="B1301" s="157">
        <v>44321</v>
      </c>
      <c r="C1301" s="158">
        <v>48677.55</v>
      </c>
    </row>
    <row r="1302" spans="2:3">
      <c r="B1302" s="157">
        <v>44322</v>
      </c>
      <c r="C1302" s="158">
        <v>48949.760000000002</v>
      </c>
    </row>
    <row r="1303" spans="2:3">
      <c r="B1303" s="157">
        <v>44323</v>
      </c>
      <c r="C1303" s="158">
        <v>49206.47</v>
      </c>
    </row>
    <row r="1304" spans="2:3">
      <c r="B1304" s="157">
        <v>44326</v>
      </c>
      <c r="C1304" s="158">
        <v>49502.41</v>
      </c>
    </row>
    <row r="1305" spans="2:3">
      <c r="B1305" s="157">
        <v>44327</v>
      </c>
      <c r="C1305" s="158">
        <v>49161.81</v>
      </c>
    </row>
    <row r="1306" spans="2:3">
      <c r="B1306" s="157">
        <v>44328</v>
      </c>
      <c r="C1306" s="158">
        <v>48690.8</v>
      </c>
    </row>
    <row r="1307" spans="2:3">
      <c r="B1307" s="157">
        <v>44330</v>
      </c>
      <c r="C1307" s="158">
        <v>48732.55</v>
      </c>
    </row>
    <row r="1308" spans="2:3">
      <c r="B1308" s="157">
        <v>44333</v>
      </c>
      <c r="C1308" s="158">
        <v>49580.73</v>
      </c>
    </row>
    <row r="1309" spans="2:3">
      <c r="B1309" s="157">
        <v>44334</v>
      </c>
      <c r="C1309" s="158">
        <v>50193.33</v>
      </c>
    </row>
    <row r="1310" spans="2:3">
      <c r="B1310" s="157">
        <v>44335</v>
      </c>
      <c r="C1310" s="158">
        <v>49902.64</v>
      </c>
    </row>
    <row r="1311" spans="2:3">
      <c r="B1311" s="157">
        <v>44336</v>
      </c>
      <c r="C1311" s="158">
        <v>49564.86</v>
      </c>
    </row>
    <row r="1312" spans="2:3">
      <c r="B1312" s="157">
        <v>44337</v>
      </c>
      <c r="C1312" s="158">
        <v>50540.480000000003</v>
      </c>
    </row>
    <row r="1313" spans="2:3">
      <c r="B1313" s="157">
        <v>44340</v>
      </c>
      <c r="C1313" s="158">
        <v>50651.9</v>
      </c>
    </row>
    <row r="1314" spans="2:3">
      <c r="B1314" s="157">
        <v>44341</v>
      </c>
      <c r="C1314" s="158">
        <v>50637.53</v>
      </c>
    </row>
    <row r="1315" spans="2:3">
      <c r="B1315" s="157">
        <v>44342</v>
      </c>
      <c r="C1315" s="158">
        <v>51017.52</v>
      </c>
    </row>
    <row r="1316" spans="2:3">
      <c r="B1316" s="157">
        <v>44343</v>
      </c>
      <c r="C1316" s="158">
        <v>51115.22</v>
      </c>
    </row>
    <row r="1317" spans="2:3">
      <c r="B1317" s="157">
        <v>44344</v>
      </c>
      <c r="C1317" s="158">
        <v>51422.879999999997</v>
      </c>
    </row>
    <row r="1318" spans="2:3">
      <c r="B1318" s="157">
        <v>44347</v>
      </c>
      <c r="C1318" s="158">
        <v>51937.440000000002</v>
      </c>
    </row>
    <row r="1319" spans="2:3">
      <c r="B1319" s="157">
        <v>44348</v>
      </c>
      <c r="C1319" s="158">
        <v>51934.879999999997</v>
      </c>
    </row>
    <row r="1320" spans="2:3">
      <c r="B1320" s="157">
        <v>44349</v>
      </c>
      <c r="C1320" s="158">
        <v>51849.48</v>
      </c>
    </row>
    <row r="1321" spans="2:3">
      <c r="B1321" s="157">
        <v>44350</v>
      </c>
      <c r="C1321" s="158">
        <v>52232.43</v>
      </c>
    </row>
    <row r="1322" spans="2:3">
      <c r="B1322" s="157">
        <v>44351</v>
      </c>
      <c r="C1322" s="158">
        <v>52100.05</v>
      </c>
    </row>
    <row r="1323" spans="2:3">
      <c r="B1323" s="157">
        <v>44354</v>
      </c>
      <c r="C1323" s="158">
        <v>52328.51</v>
      </c>
    </row>
    <row r="1324" spans="2:3">
      <c r="B1324" s="157">
        <v>44355</v>
      </c>
      <c r="C1324" s="158">
        <v>52275.57</v>
      </c>
    </row>
    <row r="1325" spans="2:3">
      <c r="B1325" s="157">
        <v>44356</v>
      </c>
      <c r="C1325" s="158">
        <v>51941.64</v>
      </c>
    </row>
    <row r="1326" spans="2:3">
      <c r="B1326" s="157">
        <v>44357</v>
      </c>
      <c r="C1326" s="158">
        <v>52300.47</v>
      </c>
    </row>
    <row r="1327" spans="2:3">
      <c r="B1327" s="157">
        <v>44358</v>
      </c>
      <c r="C1327" s="158">
        <v>52474.76</v>
      </c>
    </row>
    <row r="1328" spans="2:3">
      <c r="B1328" s="157">
        <v>44361</v>
      </c>
      <c r="C1328" s="158">
        <v>52551.53</v>
      </c>
    </row>
    <row r="1329" spans="2:3">
      <c r="B1329" s="157">
        <v>44362</v>
      </c>
      <c r="C1329" s="158">
        <v>52773.05</v>
      </c>
    </row>
    <row r="1330" spans="2:3">
      <c r="B1330" s="157">
        <v>44363</v>
      </c>
      <c r="C1330" s="158">
        <v>52501.98</v>
      </c>
    </row>
    <row r="1331" spans="2:3">
      <c r="B1331" s="157">
        <v>44364</v>
      </c>
      <c r="C1331" s="158">
        <v>52323.33</v>
      </c>
    </row>
    <row r="1332" spans="2:3">
      <c r="B1332" s="157">
        <v>44365</v>
      </c>
      <c r="C1332" s="158">
        <v>52344.45</v>
      </c>
    </row>
    <row r="1333" spans="2:3">
      <c r="B1333" s="157">
        <v>44368</v>
      </c>
      <c r="C1333" s="158">
        <v>52574.46</v>
      </c>
    </row>
    <row r="1334" spans="2:3">
      <c r="B1334" s="157">
        <v>44369</v>
      </c>
      <c r="C1334" s="158">
        <v>52588.71</v>
      </c>
    </row>
    <row r="1335" spans="2:3">
      <c r="B1335" s="157">
        <v>44370</v>
      </c>
      <c r="C1335" s="158">
        <v>52306.080000000002</v>
      </c>
    </row>
    <row r="1336" spans="2:3">
      <c r="B1336" s="157">
        <v>44371</v>
      </c>
      <c r="C1336" s="158">
        <v>52699</v>
      </c>
    </row>
    <row r="1337" spans="2:3">
      <c r="B1337" s="157">
        <v>44372</v>
      </c>
      <c r="C1337" s="158">
        <v>52925.04</v>
      </c>
    </row>
    <row r="1338" spans="2:3">
      <c r="B1338" s="157">
        <v>44375</v>
      </c>
      <c r="C1338" s="158">
        <v>52735.59</v>
      </c>
    </row>
    <row r="1339" spans="2:3">
      <c r="B1339" s="157">
        <v>44376</v>
      </c>
      <c r="C1339" s="158">
        <v>52549.66</v>
      </c>
    </row>
    <row r="1340" spans="2:3">
      <c r="B1340" s="157">
        <v>44377</v>
      </c>
      <c r="C1340" s="158">
        <v>52482.71</v>
      </c>
    </row>
    <row r="1341" spans="2:3">
      <c r="B1341" s="157">
        <v>44378</v>
      </c>
      <c r="C1341" s="158">
        <v>52318.6</v>
      </c>
    </row>
    <row r="1342" spans="2:3">
      <c r="B1342" s="157">
        <v>44379</v>
      </c>
      <c r="C1342" s="158">
        <v>52484.67</v>
      </c>
    </row>
    <row r="1343" spans="2:3">
      <c r="B1343" s="157">
        <v>44382</v>
      </c>
      <c r="C1343" s="158">
        <v>52880</v>
      </c>
    </row>
    <row r="1344" spans="2:3">
      <c r="B1344" s="157">
        <v>44383</v>
      </c>
      <c r="C1344" s="158">
        <v>52861.18</v>
      </c>
    </row>
    <row r="1345" spans="2:3">
      <c r="B1345" s="157">
        <v>44384</v>
      </c>
      <c r="C1345" s="158">
        <v>53054.76</v>
      </c>
    </row>
    <row r="1346" spans="2:3">
      <c r="B1346" s="157">
        <v>44385</v>
      </c>
      <c r="C1346" s="158">
        <v>52568.94</v>
      </c>
    </row>
    <row r="1347" spans="2:3">
      <c r="B1347" s="157">
        <v>44386</v>
      </c>
      <c r="C1347" s="158">
        <v>52386.19</v>
      </c>
    </row>
    <row r="1348" spans="2:3">
      <c r="B1348" s="157">
        <v>44389</v>
      </c>
      <c r="C1348" s="158">
        <v>52372.69</v>
      </c>
    </row>
    <row r="1349" spans="2:3">
      <c r="B1349" s="157">
        <v>44390</v>
      </c>
      <c r="C1349" s="158">
        <v>52769.73</v>
      </c>
    </row>
    <row r="1350" spans="2:3">
      <c r="B1350" s="157">
        <v>44391</v>
      </c>
      <c r="C1350" s="158">
        <v>52904.05</v>
      </c>
    </row>
    <row r="1351" spans="2:3">
      <c r="B1351" s="157">
        <v>44392</v>
      </c>
      <c r="C1351" s="158">
        <v>53158.85</v>
      </c>
    </row>
    <row r="1352" spans="2:3">
      <c r="B1352" s="157">
        <v>44393</v>
      </c>
      <c r="C1352" s="158">
        <v>53140.06</v>
      </c>
    </row>
    <row r="1353" spans="2:3">
      <c r="B1353" s="157">
        <v>44396</v>
      </c>
      <c r="C1353" s="158">
        <v>52553.4</v>
      </c>
    </row>
    <row r="1354" spans="2:3">
      <c r="B1354" s="157">
        <v>44397</v>
      </c>
      <c r="C1354" s="158">
        <v>52198.51</v>
      </c>
    </row>
    <row r="1355" spans="2:3">
      <c r="B1355" s="157">
        <v>44399</v>
      </c>
      <c r="C1355" s="158">
        <v>52837.21</v>
      </c>
    </row>
    <row r="1356" spans="2:3">
      <c r="B1356" s="157">
        <v>44400</v>
      </c>
      <c r="C1356" s="158">
        <v>52975.8</v>
      </c>
    </row>
    <row r="1357" spans="2:3">
      <c r="B1357" s="157">
        <v>44403</v>
      </c>
      <c r="C1357" s="158">
        <v>52852.27</v>
      </c>
    </row>
    <row r="1358" spans="2:3">
      <c r="B1358" s="157">
        <v>44404</v>
      </c>
      <c r="C1358" s="158">
        <v>52578.76</v>
      </c>
    </row>
    <row r="1359" spans="2:3">
      <c r="B1359" s="157">
        <v>44405</v>
      </c>
      <c r="C1359" s="158">
        <v>52443.71</v>
      </c>
    </row>
    <row r="1360" spans="2:3">
      <c r="B1360" s="157">
        <v>44406</v>
      </c>
      <c r="C1360" s="158">
        <v>52653.07</v>
      </c>
    </row>
    <row r="1361" spans="2:3">
      <c r="B1361" s="157">
        <v>44407</v>
      </c>
      <c r="C1361" s="158">
        <v>52586.84</v>
      </c>
    </row>
    <row r="1362" spans="2:3">
      <c r="B1362" s="157">
        <v>44410</v>
      </c>
      <c r="C1362" s="158">
        <v>52950.63</v>
      </c>
    </row>
    <row r="1363" spans="2:3">
      <c r="B1363" s="157">
        <v>44411</v>
      </c>
      <c r="C1363" s="158">
        <v>53823.360000000001</v>
      </c>
    </row>
    <row r="1364" spans="2:3">
      <c r="B1364" s="157">
        <v>44412</v>
      </c>
      <c r="C1364" s="158">
        <v>54369.77</v>
      </c>
    </row>
    <row r="1365" spans="2:3">
      <c r="B1365" s="157">
        <v>44413</v>
      </c>
      <c r="C1365" s="158">
        <v>54492.84</v>
      </c>
    </row>
    <row r="1366" spans="2:3">
      <c r="B1366" s="157">
        <v>44414</v>
      </c>
      <c r="C1366" s="158">
        <v>54277.72</v>
      </c>
    </row>
    <row r="1367" spans="2:3">
      <c r="B1367" s="157">
        <v>44417</v>
      </c>
      <c r="C1367" s="158">
        <v>54402.85</v>
      </c>
    </row>
    <row r="1368" spans="2:3">
      <c r="B1368" s="157">
        <v>44418</v>
      </c>
      <c r="C1368" s="158">
        <v>54554.66</v>
      </c>
    </row>
    <row r="1369" spans="2:3">
      <c r="B1369" s="157">
        <v>44419</v>
      </c>
      <c r="C1369" s="158">
        <v>54525.93</v>
      </c>
    </row>
    <row r="1370" spans="2:3">
      <c r="B1370" s="157">
        <v>44420</v>
      </c>
      <c r="C1370" s="158">
        <v>54843.98</v>
      </c>
    </row>
    <row r="1371" spans="2:3">
      <c r="B1371" s="157">
        <v>44421</v>
      </c>
      <c r="C1371" s="158">
        <v>55437.29</v>
      </c>
    </row>
    <row r="1372" spans="2:3">
      <c r="B1372" s="157">
        <v>44424</v>
      </c>
      <c r="C1372" s="158">
        <v>55582.58</v>
      </c>
    </row>
    <row r="1373" spans="2:3">
      <c r="B1373" s="157">
        <v>44425</v>
      </c>
      <c r="C1373" s="158">
        <v>55792.27</v>
      </c>
    </row>
    <row r="1374" spans="2:3">
      <c r="B1374" s="157">
        <v>44426</v>
      </c>
      <c r="C1374" s="158">
        <v>55629.49</v>
      </c>
    </row>
    <row r="1375" spans="2:3">
      <c r="B1375" s="157">
        <v>44428</v>
      </c>
      <c r="C1375" s="158">
        <v>55329.32</v>
      </c>
    </row>
    <row r="1376" spans="2:3">
      <c r="B1376" s="157">
        <v>44431</v>
      </c>
      <c r="C1376" s="158">
        <v>55555.79</v>
      </c>
    </row>
    <row r="1377" spans="2:3">
      <c r="B1377" s="157">
        <v>44432</v>
      </c>
      <c r="C1377" s="158">
        <v>55958.98</v>
      </c>
    </row>
    <row r="1378" spans="2:3">
      <c r="B1378" s="157">
        <v>44433</v>
      </c>
      <c r="C1378" s="158">
        <v>55944.21</v>
      </c>
    </row>
    <row r="1379" spans="2:3">
      <c r="B1379" s="157">
        <v>44434</v>
      </c>
      <c r="C1379" s="158">
        <v>55949.1</v>
      </c>
    </row>
    <row r="1380" spans="2:3">
      <c r="B1380" s="157">
        <v>44435</v>
      </c>
      <c r="C1380" s="158">
        <v>56124.72</v>
      </c>
    </row>
    <row r="1381" spans="2:3">
      <c r="B1381" s="157">
        <v>44438</v>
      </c>
      <c r="C1381" s="158">
        <v>56889.760000000002</v>
      </c>
    </row>
    <row r="1382" spans="2:3">
      <c r="B1382" s="157">
        <v>44439</v>
      </c>
      <c r="C1382" s="158">
        <v>57552.39</v>
      </c>
    </row>
    <row r="1383" spans="2:3">
      <c r="B1383" s="157">
        <v>44440</v>
      </c>
      <c r="C1383" s="158">
        <v>57338.21</v>
      </c>
    </row>
    <row r="1384" spans="2:3">
      <c r="B1384" s="157">
        <v>44441</v>
      </c>
      <c r="C1384" s="158">
        <v>57852.54</v>
      </c>
    </row>
    <row r="1385" spans="2:3">
      <c r="B1385" s="157">
        <v>44442</v>
      </c>
      <c r="C1385" s="158">
        <v>58129.95</v>
      </c>
    </row>
    <row r="1386" spans="2:3">
      <c r="B1386" s="157">
        <v>44445</v>
      </c>
      <c r="C1386" s="158">
        <v>58296.91</v>
      </c>
    </row>
    <row r="1387" spans="2:3">
      <c r="B1387" s="157">
        <v>44446</v>
      </c>
      <c r="C1387" s="158">
        <v>58279.48</v>
      </c>
    </row>
    <row r="1388" spans="2:3">
      <c r="B1388" s="157">
        <v>44447</v>
      </c>
      <c r="C1388" s="158">
        <v>58250.26</v>
      </c>
    </row>
    <row r="1389" spans="2:3">
      <c r="B1389" s="157">
        <v>44448</v>
      </c>
      <c r="C1389" s="158">
        <v>58305.07</v>
      </c>
    </row>
    <row r="1390" spans="2:3">
      <c r="B1390" s="157">
        <v>44452</v>
      </c>
      <c r="C1390" s="158">
        <v>58177.760000000002</v>
      </c>
    </row>
    <row r="1391" spans="2:3">
      <c r="B1391" s="157">
        <v>44453</v>
      </c>
      <c r="C1391" s="158">
        <v>58247.09</v>
      </c>
    </row>
    <row r="1392" spans="2:3">
      <c r="B1392" s="157">
        <v>44454</v>
      </c>
      <c r="C1392" s="158">
        <v>58723.199999999997</v>
      </c>
    </row>
    <row r="1393" spans="2:3">
      <c r="B1393" s="157">
        <v>44455</v>
      </c>
      <c r="C1393" s="158">
        <v>59141.16</v>
      </c>
    </row>
    <row r="1394" spans="2:3">
      <c r="B1394" s="157">
        <v>44456</v>
      </c>
      <c r="C1394" s="158">
        <v>59015.89</v>
      </c>
    </row>
    <row r="1395" spans="2:3">
      <c r="B1395" s="157">
        <v>44459</v>
      </c>
      <c r="C1395" s="158">
        <v>58490.93</v>
      </c>
    </row>
    <row r="1396" spans="2:3">
      <c r="B1396" s="157">
        <v>44460</v>
      </c>
      <c r="C1396" s="158">
        <v>59005.27</v>
      </c>
    </row>
    <row r="1397" spans="2:3">
      <c r="B1397" s="157">
        <v>44461</v>
      </c>
      <c r="C1397" s="158">
        <v>58927.33</v>
      </c>
    </row>
    <row r="1398" spans="2:3">
      <c r="B1398" s="157">
        <v>44462</v>
      </c>
      <c r="C1398" s="158">
        <v>59885.36</v>
      </c>
    </row>
    <row r="1399" spans="2:3">
      <c r="B1399" s="157">
        <v>44463</v>
      </c>
      <c r="C1399" s="158">
        <v>60048.47</v>
      </c>
    </row>
    <row r="1400" spans="2:3">
      <c r="B1400" s="157">
        <v>44466</v>
      </c>
      <c r="C1400" s="158">
        <v>60077.88</v>
      </c>
    </row>
    <row r="1401" spans="2:3">
      <c r="B1401" s="157">
        <v>44467</v>
      </c>
      <c r="C1401" s="158">
        <v>59667.6</v>
      </c>
    </row>
    <row r="1402" spans="2:3">
      <c r="B1402" s="157">
        <v>44468</v>
      </c>
      <c r="C1402" s="158">
        <v>59413.27</v>
      </c>
    </row>
    <row r="1403" spans="2:3">
      <c r="B1403" s="157">
        <v>44469</v>
      </c>
      <c r="C1403" s="158">
        <v>59126.36</v>
      </c>
    </row>
    <row r="1404" spans="2:3">
      <c r="B1404" s="157">
        <v>44470</v>
      </c>
      <c r="C1404" s="158">
        <v>58765.58</v>
      </c>
    </row>
    <row r="1405" spans="2:3">
      <c r="B1405" s="157">
        <v>44473</v>
      </c>
      <c r="C1405" s="158">
        <v>59299.32</v>
      </c>
    </row>
    <row r="1406" spans="2:3">
      <c r="B1406" s="157">
        <v>44474</v>
      </c>
      <c r="C1406" s="158">
        <v>59744.88</v>
      </c>
    </row>
    <row r="1407" spans="2:3">
      <c r="B1407" s="157">
        <v>44475</v>
      </c>
      <c r="C1407" s="158">
        <v>59189.73</v>
      </c>
    </row>
    <row r="1408" spans="2:3">
      <c r="B1408" s="157">
        <v>44476</v>
      </c>
      <c r="C1408" s="158">
        <v>59677.83</v>
      </c>
    </row>
    <row r="1409" spans="2:3">
      <c r="B1409" s="157">
        <v>44477</v>
      </c>
      <c r="C1409" s="158">
        <v>60059.06</v>
      </c>
    </row>
    <row r="1410" spans="2:3">
      <c r="B1410" s="157">
        <v>44480</v>
      </c>
      <c r="C1410" s="158">
        <v>60135.78</v>
      </c>
    </row>
    <row r="1411" spans="2:3">
      <c r="B1411" s="157">
        <v>44481</v>
      </c>
      <c r="C1411" s="158">
        <v>60284.31</v>
      </c>
    </row>
    <row r="1412" spans="2:3">
      <c r="B1412" s="157">
        <v>44482</v>
      </c>
      <c r="C1412" s="158">
        <v>60737.05</v>
      </c>
    </row>
    <row r="1413" spans="2:3">
      <c r="B1413" s="157">
        <v>44483</v>
      </c>
      <c r="C1413" s="158">
        <v>61305.95</v>
      </c>
    </row>
    <row r="1414" spans="2:3">
      <c r="B1414" s="157">
        <v>44487</v>
      </c>
      <c r="C1414" s="158">
        <v>61765.59</v>
      </c>
    </row>
    <row r="1415" spans="2:3">
      <c r="B1415" s="157">
        <v>44488</v>
      </c>
      <c r="C1415" s="158">
        <v>61716.05</v>
      </c>
    </row>
    <row r="1416" spans="2:3">
      <c r="B1416" s="157">
        <v>44489</v>
      </c>
      <c r="C1416" s="158">
        <v>61259.96</v>
      </c>
    </row>
    <row r="1417" spans="2:3">
      <c r="B1417" s="157">
        <v>44490</v>
      </c>
      <c r="C1417" s="158">
        <v>60923.5</v>
      </c>
    </row>
    <row r="1418" spans="2:3">
      <c r="B1418" s="157">
        <v>44491</v>
      </c>
      <c r="C1418" s="158">
        <v>60821.62</v>
      </c>
    </row>
    <row r="1419" spans="2:3">
      <c r="B1419" s="157">
        <v>44494</v>
      </c>
      <c r="C1419" s="158">
        <v>60967.05</v>
      </c>
    </row>
    <row r="1420" spans="2:3">
      <c r="B1420" s="157">
        <v>44495</v>
      </c>
      <c r="C1420" s="158">
        <v>61350.26</v>
      </c>
    </row>
    <row r="1421" spans="2:3">
      <c r="B1421" s="157">
        <v>44496</v>
      </c>
      <c r="C1421" s="158">
        <v>61143.33</v>
      </c>
    </row>
    <row r="1422" spans="2:3">
      <c r="B1422" s="157">
        <v>44497</v>
      </c>
      <c r="C1422" s="158">
        <v>59984.7</v>
      </c>
    </row>
    <row r="1423" spans="2:3">
      <c r="B1423" s="157">
        <v>44498</v>
      </c>
      <c r="C1423" s="158">
        <v>59306.93</v>
      </c>
    </row>
    <row r="1424" spans="2:3">
      <c r="B1424" s="157">
        <v>44501</v>
      </c>
      <c r="C1424" s="158">
        <v>60138.46</v>
      </c>
    </row>
    <row r="1425" spans="2:3">
      <c r="B1425" s="157">
        <v>44502</v>
      </c>
      <c r="C1425" s="158">
        <v>60029.06</v>
      </c>
    </row>
    <row r="1426" spans="2:3">
      <c r="B1426" s="157">
        <v>44503</v>
      </c>
      <c r="C1426" s="158">
        <v>59771.92</v>
      </c>
    </row>
    <row r="1427" spans="2:3">
      <c r="B1427" s="157">
        <v>44504</v>
      </c>
      <c r="C1427" s="158">
        <v>60067.62</v>
      </c>
    </row>
    <row r="1428" spans="2:3">
      <c r="B1428" s="157">
        <v>44508</v>
      </c>
      <c r="C1428" s="158">
        <v>60545.61</v>
      </c>
    </row>
    <row r="1429" spans="2:3">
      <c r="B1429" s="157">
        <v>44509</v>
      </c>
      <c r="C1429" s="158">
        <v>60433.45</v>
      </c>
    </row>
    <row r="1430" spans="2:3">
      <c r="B1430" s="157">
        <v>44510</v>
      </c>
      <c r="C1430" s="158">
        <v>60352.82</v>
      </c>
    </row>
    <row r="1431" spans="2:3">
      <c r="B1431" s="157">
        <v>44511</v>
      </c>
      <c r="C1431" s="158">
        <v>59919.69</v>
      </c>
    </row>
    <row r="1432" spans="2:3">
      <c r="B1432" s="157">
        <v>44512</v>
      </c>
      <c r="C1432" s="158">
        <v>60686.69</v>
      </c>
    </row>
    <row r="1433" spans="2:3">
      <c r="B1433" s="157">
        <v>44515</v>
      </c>
      <c r="C1433" s="158">
        <v>60718.71</v>
      </c>
    </row>
    <row r="1434" spans="2:3">
      <c r="B1434" s="157">
        <v>44516</v>
      </c>
      <c r="C1434" s="158">
        <v>60322.37</v>
      </c>
    </row>
    <row r="1435" spans="2:3">
      <c r="B1435" s="157">
        <v>44517</v>
      </c>
      <c r="C1435" s="158">
        <v>60008.33</v>
      </c>
    </row>
    <row r="1436" spans="2:3">
      <c r="B1436" s="157">
        <v>44518</v>
      </c>
      <c r="C1436" s="158">
        <v>59636.01</v>
      </c>
    </row>
    <row r="1437" spans="2:3">
      <c r="B1437" s="157">
        <v>44522</v>
      </c>
      <c r="C1437" s="158">
        <v>58465.89</v>
      </c>
    </row>
    <row r="1438" spans="2:3">
      <c r="B1438" s="157">
        <v>44523</v>
      </c>
      <c r="C1438" s="158">
        <v>58664.33</v>
      </c>
    </row>
    <row r="1439" spans="2:3">
      <c r="B1439" s="157">
        <v>44524</v>
      </c>
      <c r="C1439" s="158">
        <v>58340.99</v>
      </c>
    </row>
    <row r="1440" spans="2:3">
      <c r="B1440" s="157">
        <v>44525</v>
      </c>
      <c r="C1440" s="158">
        <v>58795.09</v>
      </c>
    </row>
    <row r="1441" spans="2:3">
      <c r="B1441" s="157">
        <v>44526</v>
      </c>
      <c r="C1441" s="158">
        <v>57107.15</v>
      </c>
    </row>
    <row r="1442" spans="2:3">
      <c r="B1442" s="157">
        <v>44529</v>
      </c>
      <c r="C1442" s="158">
        <v>57260.58</v>
      </c>
    </row>
    <row r="1443" spans="2:3">
      <c r="B1443" s="157">
        <v>44530</v>
      </c>
      <c r="C1443" s="158">
        <v>57064.87</v>
      </c>
    </row>
    <row r="1444" spans="2:3">
      <c r="B1444" s="157">
        <v>44531</v>
      </c>
      <c r="C1444" s="158">
        <v>57684.79</v>
      </c>
    </row>
    <row r="1445" spans="2:3">
      <c r="B1445" s="157">
        <v>44532</v>
      </c>
      <c r="C1445" s="158">
        <v>58461.29</v>
      </c>
    </row>
    <row r="1446" spans="2:3">
      <c r="B1446" s="157">
        <v>44533</v>
      </c>
      <c r="C1446" s="158">
        <v>57696.46</v>
      </c>
    </row>
    <row r="1447" spans="2:3">
      <c r="B1447" s="157">
        <v>44536</v>
      </c>
      <c r="C1447" s="158">
        <v>56747.14</v>
      </c>
    </row>
    <row r="1448" spans="2:3">
      <c r="B1448" s="157">
        <v>44537</v>
      </c>
      <c r="C1448" s="158">
        <v>57633.65</v>
      </c>
    </row>
    <row r="1449" spans="2:3">
      <c r="B1449" s="157">
        <v>44538</v>
      </c>
      <c r="C1449" s="158">
        <v>58649.68</v>
      </c>
    </row>
    <row r="1450" spans="2:3">
      <c r="B1450" s="157">
        <v>44539</v>
      </c>
      <c r="C1450" s="158">
        <v>58807.13</v>
      </c>
    </row>
    <row r="1451" spans="2:3">
      <c r="B1451" s="157">
        <v>44540</v>
      </c>
      <c r="C1451" s="158">
        <v>58786.67</v>
      </c>
    </row>
    <row r="1452" spans="2:3">
      <c r="B1452" s="157">
        <v>44543</v>
      </c>
      <c r="C1452" s="158">
        <v>58283.42</v>
      </c>
    </row>
    <row r="1453" spans="2:3">
      <c r="B1453" s="157">
        <v>44544</v>
      </c>
      <c r="C1453" s="158">
        <v>58117.09</v>
      </c>
    </row>
    <row r="1454" spans="2:3">
      <c r="B1454" s="157">
        <v>44545</v>
      </c>
      <c r="C1454" s="158">
        <v>57788.03</v>
      </c>
    </row>
    <row r="1455" spans="2:3">
      <c r="B1455" s="157">
        <v>44546</v>
      </c>
      <c r="C1455" s="158">
        <v>57901.14</v>
      </c>
    </row>
    <row r="1456" spans="2:3">
      <c r="B1456" s="157">
        <v>44547</v>
      </c>
      <c r="C1456" s="158">
        <v>57011.74</v>
      </c>
    </row>
    <row r="1457" spans="2:3">
      <c r="B1457" s="157">
        <v>44550</v>
      </c>
      <c r="C1457" s="158">
        <v>55822.01</v>
      </c>
    </row>
    <row r="1458" spans="2:3">
      <c r="B1458" s="157">
        <v>44551</v>
      </c>
      <c r="C1458" s="158">
        <v>56319.01</v>
      </c>
    </row>
    <row r="1459" spans="2:3">
      <c r="B1459" s="157">
        <v>44552</v>
      </c>
      <c r="C1459" s="158">
        <v>56930.559999999998</v>
      </c>
    </row>
    <row r="1460" spans="2:3">
      <c r="B1460" s="157">
        <v>44553</v>
      </c>
      <c r="C1460" s="158">
        <v>57315.28</v>
      </c>
    </row>
    <row r="1461" spans="2:3">
      <c r="B1461" s="157">
        <v>44554</v>
      </c>
      <c r="C1461" s="158">
        <v>57124.31</v>
      </c>
    </row>
    <row r="1462" spans="2:3">
      <c r="B1462" s="157">
        <v>44557</v>
      </c>
      <c r="C1462" s="158">
        <v>57420.24</v>
      </c>
    </row>
    <row r="1463" spans="2:3">
      <c r="B1463" s="157">
        <v>44558</v>
      </c>
      <c r="C1463" s="158">
        <v>57897.48</v>
      </c>
    </row>
    <row r="1464" spans="2:3">
      <c r="B1464" s="157">
        <v>44559</v>
      </c>
      <c r="C1464" s="158">
        <v>57806.49</v>
      </c>
    </row>
    <row r="1465" spans="2:3">
      <c r="B1465" s="157">
        <v>44560</v>
      </c>
      <c r="C1465" s="158">
        <v>57794.32</v>
      </c>
    </row>
    <row r="1466" spans="2:3">
      <c r="B1466" s="157">
        <v>44561</v>
      </c>
      <c r="C1466" s="158">
        <v>58253.82</v>
      </c>
    </row>
    <row r="1467" spans="2:3">
      <c r="B1467" s="157">
        <v>44564</v>
      </c>
      <c r="C1467" s="158">
        <v>59183.22</v>
      </c>
    </row>
    <row r="1468" spans="2:3">
      <c r="B1468" s="157">
        <v>44565</v>
      </c>
      <c r="C1468" s="158">
        <v>59855.93</v>
      </c>
    </row>
    <row r="1469" spans="2:3">
      <c r="B1469" s="157">
        <v>44566</v>
      </c>
      <c r="C1469" s="158">
        <v>60223.15</v>
      </c>
    </row>
    <row r="1470" spans="2:3">
      <c r="B1470" s="157">
        <v>44567</v>
      </c>
      <c r="C1470" s="158">
        <v>59601.84</v>
      </c>
    </row>
    <row r="1471" spans="2:3">
      <c r="B1471" s="157">
        <v>44568</v>
      </c>
      <c r="C1471" s="158">
        <v>59744.65</v>
      </c>
    </row>
    <row r="1472" spans="2:3">
      <c r="B1472" s="157">
        <v>44571</v>
      </c>
      <c r="C1472" s="158">
        <v>60395.63</v>
      </c>
    </row>
    <row r="1473" spans="2:3">
      <c r="B1473" s="157">
        <v>44572</v>
      </c>
      <c r="C1473" s="158">
        <v>60616.89</v>
      </c>
    </row>
    <row r="1474" spans="2:3">
      <c r="B1474" s="157">
        <v>44573</v>
      </c>
      <c r="C1474" s="158">
        <v>61150.04</v>
      </c>
    </row>
    <row r="1475" spans="2:3">
      <c r="B1475" s="157">
        <v>44574</v>
      </c>
      <c r="C1475" s="158">
        <v>61235.3</v>
      </c>
    </row>
    <row r="1476" spans="2:3">
      <c r="B1476" s="157">
        <v>44575</v>
      </c>
      <c r="C1476" s="158">
        <v>61223.03</v>
      </c>
    </row>
    <row r="1477" spans="2:3">
      <c r="B1477" s="157">
        <v>44578</v>
      </c>
      <c r="C1477" s="158">
        <v>61308.91</v>
      </c>
    </row>
    <row r="1478" spans="2:3">
      <c r="B1478" s="157">
        <v>44579</v>
      </c>
      <c r="C1478" s="158">
        <v>60754.86</v>
      </c>
    </row>
    <row r="1479" spans="2:3">
      <c r="B1479" s="157">
        <v>44580</v>
      </c>
      <c r="C1479" s="158">
        <v>60098.82</v>
      </c>
    </row>
    <row r="1480" spans="2:3">
      <c r="B1480" s="157">
        <v>44581</v>
      </c>
      <c r="C1480" s="158">
        <v>59464.62</v>
      </c>
    </row>
    <row r="1481" spans="2:3">
      <c r="B1481" s="157">
        <v>44582</v>
      </c>
      <c r="C1481" s="158">
        <v>59037.18</v>
      </c>
    </row>
    <row r="1482" spans="2:3">
      <c r="B1482" s="157">
        <v>44585</v>
      </c>
      <c r="C1482" s="158">
        <v>57491.51</v>
      </c>
    </row>
    <row r="1483" spans="2:3">
      <c r="B1483" s="157">
        <v>44586</v>
      </c>
      <c r="C1483" s="158">
        <v>57858.15</v>
      </c>
    </row>
    <row r="1484" spans="2:3">
      <c r="B1484" s="157">
        <v>44588</v>
      </c>
      <c r="C1484" s="158">
        <v>57276.94</v>
      </c>
    </row>
    <row r="1485" spans="2:3">
      <c r="B1485" s="157">
        <v>44589</v>
      </c>
      <c r="C1485" s="158">
        <v>57200.23</v>
      </c>
    </row>
    <row r="1486" spans="2:3">
      <c r="B1486" s="157">
        <v>44592</v>
      </c>
      <c r="C1486" s="158">
        <v>58014.17</v>
      </c>
    </row>
    <row r="1487" spans="2:3">
      <c r="B1487" s="157">
        <v>44593</v>
      </c>
      <c r="C1487" s="158">
        <v>58862.57</v>
      </c>
    </row>
    <row r="1488" spans="2:3">
      <c r="B1488" s="157">
        <v>44594</v>
      </c>
      <c r="C1488" s="158">
        <v>59558.33</v>
      </c>
    </row>
    <row r="1489" spans="2:3">
      <c r="B1489" s="157">
        <v>44595</v>
      </c>
      <c r="C1489" s="158">
        <v>58788.02</v>
      </c>
    </row>
    <row r="1490" spans="2:3">
      <c r="B1490" s="157">
        <v>44596</v>
      </c>
      <c r="C1490" s="158">
        <v>58644.82</v>
      </c>
    </row>
    <row r="1491" spans="2:3">
      <c r="B1491" s="157">
        <v>44599</v>
      </c>
      <c r="C1491" s="158">
        <v>57621.19</v>
      </c>
    </row>
    <row r="1492" spans="2:3">
      <c r="B1492" s="157">
        <v>44600</v>
      </c>
      <c r="C1492" s="158">
        <v>57808.58</v>
      </c>
    </row>
    <row r="1493" spans="2:3">
      <c r="B1493" s="157">
        <v>44601</v>
      </c>
      <c r="C1493" s="158">
        <v>58465.97</v>
      </c>
    </row>
    <row r="1494" spans="2:3">
      <c r="B1494" s="157">
        <v>44602</v>
      </c>
      <c r="C1494" s="158">
        <v>58926.03</v>
      </c>
    </row>
    <row r="1495" spans="2:3">
      <c r="B1495" s="157">
        <v>44603</v>
      </c>
      <c r="C1495" s="158">
        <v>58152.92</v>
      </c>
    </row>
    <row r="1496" spans="2:3">
      <c r="B1496" s="157">
        <v>44606</v>
      </c>
      <c r="C1496" s="158">
        <v>56405.84</v>
      </c>
    </row>
    <row r="1497" spans="2:3">
      <c r="B1497" s="157">
        <v>44607</v>
      </c>
      <c r="C1497" s="158">
        <v>58142.05</v>
      </c>
    </row>
    <row r="1498" spans="2:3">
      <c r="B1498" s="157">
        <v>44608</v>
      </c>
      <c r="C1498" s="158">
        <v>57996.68</v>
      </c>
    </row>
    <row r="1499" spans="2:3">
      <c r="B1499" s="157">
        <v>44609</v>
      </c>
      <c r="C1499" s="158">
        <v>57892.01</v>
      </c>
    </row>
    <row r="1500" spans="2:3">
      <c r="B1500" s="157">
        <v>44610</v>
      </c>
      <c r="C1500" s="158">
        <v>57832.97</v>
      </c>
    </row>
    <row r="1501" spans="2:3">
      <c r="B1501" s="157">
        <v>44613</v>
      </c>
      <c r="C1501" s="158">
        <v>57683.59</v>
      </c>
    </row>
    <row r="1502" spans="2:3">
      <c r="B1502" s="157">
        <v>44614</v>
      </c>
      <c r="C1502" s="158">
        <v>57300.68</v>
      </c>
    </row>
    <row r="1503" spans="2:3">
      <c r="B1503" s="157">
        <v>44615</v>
      </c>
      <c r="C1503" s="158">
        <v>57232.06</v>
      </c>
    </row>
    <row r="1504" spans="2:3">
      <c r="B1504" s="157">
        <v>44616</v>
      </c>
      <c r="C1504" s="158">
        <v>54529.91</v>
      </c>
    </row>
    <row r="1505" spans="2:3">
      <c r="B1505" s="157">
        <v>44617</v>
      </c>
      <c r="C1505" s="158">
        <v>55858.52</v>
      </c>
    </row>
    <row r="1506" spans="2:3">
      <c r="B1506" s="157">
        <v>44620</v>
      </c>
      <c r="C1506" s="158">
        <v>56247.28</v>
      </c>
    </row>
    <row r="1507" spans="2:3">
      <c r="B1507" s="157">
        <v>44622</v>
      </c>
      <c r="C1507" s="158">
        <v>55468.9</v>
      </c>
    </row>
    <row r="1508" spans="2:3">
      <c r="B1508" s="157">
        <v>44623</v>
      </c>
      <c r="C1508" s="158">
        <v>55102.68</v>
      </c>
    </row>
    <row r="1509" spans="2:3">
      <c r="B1509" s="157">
        <v>44624</v>
      </c>
      <c r="C1509" s="158">
        <v>54333.81</v>
      </c>
    </row>
    <row r="1510" spans="2:3">
      <c r="B1510" s="157">
        <v>44627</v>
      </c>
      <c r="C1510" s="158">
        <v>52842.75</v>
      </c>
    </row>
    <row r="1511" spans="2:3">
      <c r="B1511" s="157">
        <v>44628</v>
      </c>
      <c r="C1511" s="158">
        <v>53424.09</v>
      </c>
    </row>
    <row r="1512" spans="2:3">
      <c r="B1512" s="157">
        <v>44629</v>
      </c>
      <c r="C1512" s="158">
        <v>54647.33</v>
      </c>
    </row>
    <row r="1513" spans="2:3">
      <c r="B1513" s="157">
        <v>44630</v>
      </c>
      <c r="C1513" s="158">
        <v>55464.39</v>
      </c>
    </row>
    <row r="1514" spans="2:3">
      <c r="B1514" s="157">
        <v>44631</v>
      </c>
      <c r="C1514" s="158">
        <v>55550.3</v>
      </c>
    </row>
    <row r="1515" spans="2:3">
      <c r="B1515" s="157">
        <v>44634</v>
      </c>
      <c r="C1515" s="158">
        <v>56486.02</v>
      </c>
    </row>
    <row r="1516" spans="2:3">
      <c r="B1516" s="157">
        <v>44635</v>
      </c>
      <c r="C1516" s="158">
        <v>55776.85</v>
      </c>
    </row>
    <row r="1517" spans="2:3">
      <c r="B1517" s="157">
        <v>44636</v>
      </c>
      <c r="C1517" s="158">
        <v>56816.65</v>
      </c>
    </row>
    <row r="1518" spans="2:3">
      <c r="B1518" s="157">
        <v>44637</v>
      </c>
      <c r="C1518" s="158">
        <v>57863.93</v>
      </c>
    </row>
    <row r="1519" spans="2:3">
      <c r="B1519" s="157">
        <v>44641</v>
      </c>
      <c r="C1519" s="158">
        <v>57292.49</v>
      </c>
    </row>
    <row r="1520" spans="2:3">
      <c r="B1520" s="157">
        <v>44642</v>
      </c>
      <c r="C1520" s="158">
        <v>57989.3</v>
      </c>
    </row>
    <row r="1521" spans="2:3">
      <c r="B1521" s="157">
        <v>44643</v>
      </c>
      <c r="C1521" s="158">
        <v>57684.82</v>
      </c>
    </row>
    <row r="1522" spans="2:3">
      <c r="B1522" s="157">
        <v>44644</v>
      </c>
      <c r="C1522" s="158">
        <v>57595.68</v>
      </c>
    </row>
    <row r="1523" spans="2:3">
      <c r="B1523" s="157">
        <v>44645</v>
      </c>
      <c r="C1523" s="158">
        <v>57362.2</v>
      </c>
    </row>
    <row r="1524" spans="2:3">
      <c r="B1524" s="157">
        <v>44648</v>
      </c>
      <c r="C1524" s="158">
        <v>57593.49</v>
      </c>
    </row>
    <row r="1525" spans="2:3">
      <c r="B1525" s="157">
        <v>44649</v>
      </c>
      <c r="C1525" s="158">
        <v>57943.65</v>
      </c>
    </row>
    <row r="1526" spans="2:3">
      <c r="B1526" s="157">
        <v>44650</v>
      </c>
      <c r="C1526" s="158">
        <v>58683.99</v>
      </c>
    </row>
    <row r="1527" spans="2:3">
      <c r="B1527" s="157">
        <v>44651</v>
      </c>
      <c r="C1527" s="158">
        <v>58568.51</v>
      </c>
    </row>
    <row r="1528" spans="2:3">
      <c r="B1528" s="157">
        <v>44652</v>
      </c>
      <c r="C1528" s="158">
        <v>59276.69</v>
      </c>
    </row>
    <row r="1529" spans="2:3">
      <c r="B1529" s="157">
        <v>44655</v>
      </c>
      <c r="C1529" s="158">
        <v>60611.74</v>
      </c>
    </row>
    <row r="1530" spans="2:3">
      <c r="B1530" s="157">
        <v>44656</v>
      </c>
      <c r="C1530" s="158">
        <v>60176.5</v>
      </c>
    </row>
    <row r="1531" spans="2:3">
      <c r="B1531" s="157">
        <v>44657</v>
      </c>
      <c r="C1531" s="158">
        <v>59610.41</v>
      </c>
    </row>
    <row r="1532" spans="2:3">
      <c r="B1532" s="157">
        <v>44658</v>
      </c>
      <c r="C1532" s="158">
        <v>59034.95</v>
      </c>
    </row>
    <row r="1533" spans="2:3">
      <c r="B1533" s="157">
        <v>44659</v>
      </c>
      <c r="C1533" s="158">
        <v>59447.18</v>
      </c>
    </row>
    <row r="1534" spans="2:3">
      <c r="B1534" s="157">
        <v>44662</v>
      </c>
      <c r="C1534" s="158">
        <v>58964.57</v>
      </c>
    </row>
    <row r="1535" spans="2:3">
      <c r="B1535" s="157">
        <v>44663</v>
      </c>
      <c r="C1535" s="158">
        <v>58576.37</v>
      </c>
    </row>
    <row r="1536" spans="2:3">
      <c r="B1536" s="157">
        <v>44664</v>
      </c>
      <c r="C1536" s="158">
        <v>58338.93</v>
      </c>
    </row>
    <row r="1537" spans="2:3">
      <c r="B1537" s="157">
        <v>44669</v>
      </c>
      <c r="C1537" s="158">
        <v>57166.74</v>
      </c>
    </row>
    <row r="1538" spans="2:3">
      <c r="B1538" s="157">
        <v>44670</v>
      </c>
      <c r="C1538" s="158">
        <v>56463.15</v>
      </c>
    </row>
    <row r="1539" spans="2:3">
      <c r="B1539" s="157">
        <v>44671</v>
      </c>
      <c r="C1539" s="158">
        <v>57037.5</v>
      </c>
    </row>
    <row r="1540" spans="2:3">
      <c r="B1540" s="157">
        <v>44672</v>
      </c>
      <c r="C1540" s="158">
        <v>57911.68</v>
      </c>
    </row>
    <row r="1541" spans="2:3">
      <c r="B1541" s="157">
        <v>44673</v>
      </c>
      <c r="C1541" s="158">
        <v>57197.15</v>
      </c>
    </row>
    <row r="1542" spans="2:3">
      <c r="B1542" s="157">
        <v>44676</v>
      </c>
      <c r="C1542" s="158">
        <v>56579.89</v>
      </c>
    </row>
    <row r="1543" spans="2:3">
      <c r="B1543" s="157">
        <v>44677</v>
      </c>
      <c r="C1543" s="158">
        <v>57356.61</v>
      </c>
    </row>
    <row r="1544" spans="2:3">
      <c r="B1544" s="157">
        <v>44678</v>
      </c>
      <c r="C1544" s="158">
        <v>56819.39</v>
      </c>
    </row>
    <row r="1545" spans="2:3">
      <c r="B1545" s="157">
        <v>44679</v>
      </c>
      <c r="C1545" s="158">
        <v>57521.06</v>
      </c>
    </row>
    <row r="1546" spans="2:3">
      <c r="B1546" s="157">
        <v>44680</v>
      </c>
      <c r="C1546" s="158">
        <v>57060.87</v>
      </c>
    </row>
    <row r="1547" spans="2:3">
      <c r="B1547" s="157">
        <v>44683</v>
      </c>
      <c r="C1547" s="158">
        <v>56975.99</v>
      </c>
    </row>
    <row r="1548" spans="2:3">
      <c r="B1548" s="157">
        <v>44685</v>
      </c>
      <c r="C1548" s="158">
        <v>55669.03</v>
      </c>
    </row>
    <row r="1549" spans="2:3">
      <c r="B1549" s="157">
        <v>44686</v>
      </c>
      <c r="C1549" s="158">
        <v>55702.23</v>
      </c>
    </row>
    <row r="1550" spans="2:3">
      <c r="B1550" s="157">
        <v>44687</v>
      </c>
      <c r="C1550" s="158">
        <v>54835.58</v>
      </c>
    </row>
    <row r="1551" spans="2:3">
      <c r="B1551" s="157">
        <v>44690</v>
      </c>
      <c r="C1551" s="158">
        <v>54470.67</v>
      </c>
    </row>
    <row r="1552" spans="2:3">
      <c r="B1552" s="157">
        <v>44691</v>
      </c>
      <c r="C1552" s="158">
        <v>54364.85</v>
      </c>
    </row>
    <row r="1553" spans="2:3">
      <c r="B1553" s="157">
        <v>44692</v>
      </c>
      <c r="C1553" s="158">
        <v>54088.39</v>
      </c>
    </row>
    <row r="1554" spans="2:3">
      <c r="B1554" s="157">
        <v>44693</v>
      </c>
      <c r="C1554" s="158">
        <v>52930.31</v>
      </c>
    </row>
    <row r="1555" spans="2:3">
      <c r="B1555" s="157">
        <v>44694</v>
      </c>
      <c r="C1555" s="158">
        <v>52793.62</v>
      </c>
    </row>
    <row r="1556" spans="2:3">
      <c r="B1556" s="157">
        <v>44697</v>
      </c>
      <c r="C1556" s="158">
        <v>52973.84</v>
      </c>
    </row>
    <row r="1557" spans="2:3">
      <c r="B1557" s="157">
        <v>44698</v>
      </c>
      <c r="C1557" s="158">
        <v>54318.47</v>
      </c>
    </row>
    <row r="1558" spans="2:3">
      <c r="B1558" s="157">
        <v>44699</v>
      </c>
      <c r="C1558" s="158">
        <v>54208.53</v>
      </c>
    </row>
    <row r="1559" spans="2:3">
      <c r="B1559" s="157">
        <v>44700</v>
      </c>
      <c r="C1559" s="158">
        <v>52792.23</v>
      </c>
    </row>
    <row r="1560" spans="2:3">
      <c r="B1560" s="157">
        <v>44701</v>
      </c>
      <c r="C1560" s="158">
        <v>54326.39</v>
      </c>
    </row>
    <row r="1561" spans="2:3">
      <c r="B1561" s="157">
        <v>44704</v>
      </c>
      <c r="C1561" s="158">
        <v>54288.61</v>
      </c>
    </row>
    <row r="1562" spans="2:3">
      <c r="B1562" s="157">
        <v>44705</v>
      </c>
      <c r="C1562" s="158">
        <v>54052.61</v>
      </c>
    </row>
    <row r="1563" spans="2:3">
      <c r="B1563" s="157">
        <v>44706</v>
      </c>
      <c r="C1563" s="158">
        <v>53749.26</v>
      </c>
    </row>
    <row r="1564" spans="2:3">
      <c r="B1564" s="157">
        <v>44707</v>
      </c>
      <c r="C1564" s="158">
        <v>54252.53</v>
      </c>
    </row>
    <row r="1565" spans="2:3">
      <c r="B1565" s="157">
        <v>44708</v>
      </c>
      <c r="C1565" s="158">
        <v>54884.66</v>
      </c>
    </row>
    <row r="1566" spans="2:3">
      <c r="B1566" s="157">
        <v>44711</v>
      </c>
      <c r="C1566" s="158">
        <v>55925.74</v>
      </c>
    </row>
    <row r="1567" spans="2:3">
      <c r="B1567" s="157">
        <v>44712</v>
      </c>
      <c r="C1567" s="158">
        <v>55566.41</v>
      </c>
    </row>
    <row r="1568" spans="2:3">
      <c r="B1568" s="157">
        <v>44713</v>
      </c>
      <c r="C1568" s="158">
        <v>55381.17</v>
      </c>
    </row>
    <row r="1569" spans="2:3">
      <c r="B1569" s="157">
        <v>44714</v>
      </c>
      <c r="C1569" s="158">
        <v>55818.11</v>
      </c>
    </row>
    <row r="1570" spans="2:3">
      <c r="B1570" s="157">
        <v>44715</v>
      </c>
      <c r="C1570" s="158">
        <v>55769.23</v>
      </c>
    </row>
    <row r="1571" spans="2:3">
      <c r="B1571" s="157">
        <v>44718</v>
      </c>
      <c r="C1571" s="158">
        <v>55675.32</v>
      </c>
    </row>
    <row r="1572" spans="2:3">
      <c r="B1572" s="157">
        <v>44719</v>
      </c>
      <c r="C1572" s="158">
        <v>55107.34</v>
      </c>
    </row>
    <row r="1573" spans="2:3">
      <c r="B1573" s="157">
        <v>44720</v>
      </c>
      <c r="C1573" s="158">
        <v>54892.49</v>
      </c>
    </row>
    <row r="1574" spans="2:3">
      <c r="B1574" s="157">
        <v>44721</v>
      </c>
      <c r="C1574" s="158">
        <v>55320.28</v>
      </c>
    </row>
    <row r="1575" spans="2:3">
      <c r="B1575" s="157">
        <v>44722</v>
      </c>
      <c r="C1575" s="158">
        <v>54303.44</v>
      </c>
    </row>
    <row r="1576" spans="2:3">
      <c r="B1576" s="157">
        <v>44725</v>
      </c>
      <c r="C1576" s="158">
        <v>52846.7</v>
      </c>
    </row>
    <row r="1577" spans="2:3">
      <c r="B1577" s="157">
        <v>44726</v>
      </c>
      <c r="C1577" s="158">
        <v>52693.57</v>
      </c>
    </row>
    <row r="1578" spans="2:3">
      <c r="B1578" s="157">
        <v>44727</v>
      </c>
      <c r="C1578" s="158">
        <v>52541.39</v>
      </c>
    </row>
    <row r="1579" spans="2:3">
      <c r="B1579" s="157">
        <v>44728</v>
      </c>
      <c r="C1579" s="158">
        <v>51495.79</v>
      </c>
    </row>
    <row r="1580" spans="2:3">
      <c r="B1580" s="157">
        <v>44729</v>
      </c>
      <c r="C1580" s="158">
        <v>51360.42</v>
      </c>
    </row>
    <row r="1581" spans="2:3">
      <c r="B1581" s="157">
        <v>44732</v>
      </c>
      <c r="C1581" s="158">
        <v>51597.84</v>
      </c>
    </row>
    <row r="1582" spans="2:3">
      <c r="B1582" s="157">
        <v>44733</v>
      </c>
      <c r="C1582" s="158">
        <v>52532.07</v>
      </c>
    </row>
    <row r="1583" spans="2:3">
      <c r="B1583" s="157">
        <v>44734</v>
      </c>
      <c r="C1583" s="158">
        <v>51822.53</v>
      </c>
    </row>
    <row r="1584" spans="2:3">
      <c r="B1584" s="157">
        <v>44735</v>
      </c>
      <c r="C1584" s="158">
        <v>52265.72</v>
      </c>
    </row>
    <row r="1585" spans="2:3">
      <c r="B1585" s="157">
        <v>44736</v>
      </c>
      <c r="C1585" s="158">
        <v>52727.98</v>
      </c>
    </row>
    <row r="1586" spans="2:3">
      <c r="B1586" s="157">
        <v>44739</v>
      </c>
      <c r="C1586" s="158">
        <v>53161.279999999999</v>
      </c>
    </row>
    <row r="1587" spans="2:3">
      <c r="B1587" s="157">
        <v>44740</v>
      </c>
      <c r="C1587" s="158">
        <v>53177.45</v>
      </c>
    </row>
    <row r="1588" spans="2:3">
      <c r="B1588" s="157">
        <v>44741</v>
      </c>
      <c r="C1588" s="158">
        <v>53026.97</v>
      </c>
    </row>
    <row r="1589" spans="2:3">
      <c r="B1589" s="157">
        <v>44742</v>
      </c>
      <c r="C1589" s="158">
        <v>53018.94</v>
      </c>
    </row>
    <row r="1590" spans="2:3">
      <c r="B1590" s="157">
        <v>44743</v>
      </c>
      <c r="C1590" s="158">
        <v>52907.93</v>
      </c>
    </row>
    <row r="1591" spans="2:3">
      <c r="B1591" s="157">
        <v>44746</v>
      </c>
      <c r="C1591" s="158">
        <v>53234.77</v>
      </c>
    </row>
    <row r="1592" spans="2:3">
      <c r="B1592" s="157">
        <v>44747</v>
      </c>
      <c r="C1592" s="158">
        <v>53134.35</v>
      </c>
    </row>
    <row r="1593" spans="2:3">
      <c r="B1593" s="157">
        <v>44748</v>
      </c>
      <c r="C1593" s="158">
        <v>53750.97</v>
      </c>
    </row>
    <row r="1594" spans="2:3">
      <c r="B1594" s="157">
        <v>44749</v>
      </c>
      <c r="C1594" s="158">
        <v>54178.46</v>
      </c>
    </row>
    <row r="1595" spans="2:3">
      <c r="B1595" s="157">
        <v>44750</v>
      </c>
      <c r="C1595" s="158">
        <v>54481.84</v>
      </c>
    </row>
    <row r="1596" spans="2:3">
      <c r="B1596" s="157">
        <v>44753</v>
      </c>
      <c r="C1596" s="158">
        <v>54395.23</v>
      </c>
    </row>
    <row r="1597" spans="2:3">
      <c r="B1597" s="157">
        <v>44754</v>
      </c>
      <c r="C1597" s="158">
        <v>53886.61</v>
      </c>
    </row>
    <row r="1598" spans="2:3">
      <c r="B1598" s="157">
        <v>44755</v>
      </c>
      <c r="C1598" s="158">
        <v>53514.15</v>
      </c>
    </row>
    <row r="1599" spans="2:3">
      <c r="B1599" s="157">
        <v>44756</v>
      </c>
      <c r="C1599" s="158">
        <v>53416.15</v>
      </c>
    </row>
    <row r="1600" spans="2:3">
      <c r="B1600" s="157">
        <v>44757</v>
      </c>
      <c r="C1600" s="158">
        <v>53760.78</v>
      </c>
    </row>
    <row r="1601" spans="2:3">
      <c r="B1601" s="157">
        <v>44760</v>
      </c>
      <c r="C1601" s="158">
        <v>54521.15</v>
      </c>
    </row>
    <row r="1602" spans="2:3">
      <c r="B1602" s="157">
        <v>44761</v>
      </c>
      <c r="C1602" s="158">
        <v>54767.62</v>
      </c>
    </row>
    <row r="1603" spans="2:3">
      <c r="B1603" s="157">
        <v>44762</v>
      </c>
      <c r="C1603" s="158">
        <v>55397.53</v>
      </c>
    </row>
    <row r="1604" spans="2:3">
      <c r="B1604" s="157">
        <v>44763</v>
      </c>
      <c r="C1604" s="158">
        <v>55681.95</v>
      </c>
    </row>
    <row r="1605" spans="2:3">
      <c r="B1605" s="157">
        <v>44764</v>
      </c>
      <c r="C1605" s="158">
        <v>56072.23</v>
      </c>
    </row>
    <row r="1606" spans="2:3">
      <c r="B1606" s="157">
        <v>44767</v>
      </c>
      <c r="C1606" s="158">
        <v>55766.22</v>
      </c>
    </row>
    <row r="1607" spans="2:3">
      <c r="B1607" s="157">
        <v>44768</v>
      </c>
      <c r="C1607" s="158">
        <v>55268.49</v>
      </c>
    </row>
    <row r="1608" spans="2:3">
      <c r="B1608" s="157">
        <v>44769</v>
      </c>
      <c r="C1608" s="158">
        <v>55816.32</v>
      </c>
    </row>
    <row r="1609" spans="2:3">
      <c r="B1609" s="157">
        <v>44770</v>
      </c>
      <c r="C1609" s="158">
        <v>56857.79</v>
      </c>
    </row>
    <row r="1610" spans="2:3">
      <c r="B1610" s="157">
        <v>44771</v>
      </c>
      <c r="C1610" s="158">
        <v>57570.25</v>
      </c>
    </row>
    <row r="1611" spans="2:3">
      <c r="B1611" s="157">
        <v>44774</v>
      </c>
      <c r="C1611" s="158">
        <v>58115.5</v>
      </c>
    </row>
    <row r="1612" spans="2:3">
      <c r="B1612" s="157">
        <v>44775</v>
      </c>
      <c r="C1612" s="158">
        <v>58136.36</v>
      </c>
    </row>
    <row r="1613" spans="2:3">
      <c r="B1613" s="157">
        <v>44776</v>
      </c>
      <c r="C1613" s="158">
        <v>58350.53</v>
      </c>
    </row>
    <row r="1614" spans="2:3">
      <c r="B1614" s="157">
        <v>44777</v>
      </c>
      <c r="C1614" s="158">
        <v>58298.8</v>
      </c>
    </row>
    <row r="1615" spans="2:3">
      <c r="B1615" s="157">
        <v>44778</v>
      </c>
      <c r="C1615" s="158">
        <v>58387.93</v>
      </c>
    </row>
    <row r="1616" spans="2:3">
      <c r="B1616" s="157">
        <v>44781</v>
      </c>
      <c r="C1616" s="158">
        <v>58853.07</v>
      </c>
    </row>
    <row r="1617" spans="2:3">
      <c r="B1617" s="157">
        <v>44783</v>
      </c>
      <c r="C1617" s="158">
        <v>58817.29</v>
      </c>
    </row>
    <row r="1618" spans="2:3">
      <c r="B1618" s="157">
        <v>44784</v>
      </c>
      <c r="C1618" s="158">
        <v>59332.6</v>
      </c>
    </row>
    <row r="1619" spans="2:3">
      <c r="B1619" s="157">
        <v>44785</v>
      </c>
      <c r="C1619" s="158">
        <v>59462.78</v>
      </c>
    </row>
    <row r="1620" spans="2:3">
      <c r="B1620" s="157">
        <v>44789</v>
      </c>
      <c r="C1620" s="158">
        <v>59842.21</v>
      </c>
    </row>
    <row r="1621" spans="2:3">
      <c r="B1621" s="157">
        <v>44790</v>
      </c>
      <c r="C1621" s="158">
        <v>60260.13</v>
      </c>
    </row>
    <row r="1622" spans="2:3">
      <c r="B1622" s="157">
        <v>44791</v>
      </c>
      <c r="C1622" s="158">
        <v>60298</v>
      </c>
    </row>
    <row r="1623" spans="2:3">
      <c r="B1623" s="157">
        <v>44792</v>
      </c>
      <c r="C1623" s="158">
        <v>59646.15</v>
      </c>
    </row>
    <row r="1624" spans="2:3">
      <c r="B1624" s="157">
        <v>44795</v>
      </c>
      <c r="C1624" s="158">
        <v>58773.87</v>
      </c>
    </row>
    <row r="1625" spans="2:3">
      <c r="B1625" s="157">
        <v>44796</v>
      </c>
      <c r="C1625" s="158">
        <v>59031.3</v>
      </c>
    </row>
    <row r="1626" spans="2:3">
      <c r="B1626" s="157">
        <v>44797</v>
      </c>
      <c r="C1626" s="158">
        <v>59085.43</v>
      </c>
    </row>
    <row r="1627" spans="2:3">
      <c r="B1627" s="157">
        <v>44798</v>
      </c>
      <c r="C1627" s="158">
        <v>58774.720000000001</v>
      </c>
    </row>
    <row r="1628" spans="2:3">
      <c r="B1628" s="157">
        <v>44799</v>
      </c>
      <c r="C1628" s="158">
        <v>58833.87</v>
      </c>
    </row>
    <row r="1629" spans="2:3">
      <c r="B1629" s="157">
        <v>44802</v>
      </c>
      <c r="C1629" s="158">
        <v>57972.62</v>
      </c>
    </row>
    <row r="1630" spans="2:3">
      <c r="B1630" s="157">
        <v>44803</v>
      </c>
      <c r="C1630" s="158">
        <v>59537.07</v>
      </c>
    </row>
    <row r="1631" spans="2:3">
      <c r="B1631" s="157">
        <v>44805</v>
      </c>
      <c r="C1631" s="158">
        <v>58766.59</v>
      </c>
    </row>
    <row r="1632" spans="2:3">
      <c r="B1632" s="157">
        <v>44806</v>
      </c>
      <c r="C1632" s="158">
        <v>58803.33</v>
      </c>
    </row>
    <row r="1633" spans="2:3">
      <c r="B1633" s="157">
        <v>44809</v>
      </c>
      <c r="C1633" s="158">
        <v>59245.98</v>
      </c>
    </row>
    <row r="1634" spans="2:3">
      <c r="B1634" s="157">
        <v>44810</v>
      </c>
      <c r="C1634" s="158">
        <v>59196.99</v>
      </c>
    </row>
    <row r="1635" spans="2:3">
      <c r="B1635" s="157">
        <v>44811</v>
      </c>
      <c r="C1635" s="158">
        <v>59028.91</v>
      </c>
    </row>
    <row r="1636" spans="2:3">
      <c r="B1636" s="157">
        <v>44812</v>
      </c>
      <c r="C1636" s="158">
        <v>59688.22</v>
      </c>
    </row>
    <row r="1637" spans="2:3">
      <c r="B1637" s="157">
        <v>44813</v>
      </c>
      <c r="C1637" s="158">
        <v>59793.14</v>
      </c>
    </row>
    <row r="1638" spans="2:3">
      <c r="B1638" s="157">
        <v>44816</v>
      </c>
      <c r="C1638" s="158">
        <v>60115.13</v>
      </c>
    </row>
    <row r="1639" spans="2:3">
      <c r="B1639" s="157">
        <v>44817</v>
      </c>
      <c r="C1639" s="158">
        <v>60571.08</v>
      </c>
    </row>
    <row r="1640" spans="2:3">
      <c r="B1640" s="157">
        <v>44818</v>
      </c>
      <c r="C1640" s="158">
        <v>60346.97</v>
      </c>
    </row>
    <row r="1641" spans="2:3">
      <c r="B1641" s="157">
        <v>44819</v>
      </c>
      <c r="C1641" s="158">
        <v>59934.01</v>
      </c>
    </row>
    <row r="1642" spans="2:3">
      <c r="B1642" s="157">
        <v>44820</v>
      </c>
      <c r="C1642" s="158">
        <v>58840.79</v>
      </c>
    </row>
    <row r="1643" spans="2:3">
      <c r="B1643" s="157">
        <v>44823</v>
      </c>
      <c r="C1643" s="158">
        <v>59141.23</v>
      </c>
    </row>
    <row r="1644" spans="2:3">
      <c r="B1644" s="157">
        <v>44824</v>
      </c>
      <c r="C1644" s="158">
        <v>59719.74</v>
      </c>
    </row>
    <row r="1645" spans="2:3">
      <c r="B1645" s="157">
        <v>44825</v>
      </c>
      <c r="C1645" s="158">
        <v>59456.78</v>
      </c>
    </row>
    <row r="1646" spans="2:3">
      <c r="B1646" s="157">
        <v>44826</v>
      </c>
      <c r="C1646" s="158">
        <v>59119.72</v>
      </c>
    </row>
    <row r="1647" spans="2:3">
      <c r="B1647" s="157">
        <v>44827</v>
      </c>
      <c r="C1647" s="158">
        <v>58098.92</v>
      </c>
    </row>
    <row r="1648" spans="2:3">
      <c r="B1648" s="157">
        <v>44830</v>
      </c>
      <c r="C1648" s="158">
        <v>57145.22</v>
      </c>
    </row>
    <row r="1649" spans="2:3">
      <c r="B1649" s="157">
        <v>44831</v>
      </c>
      <c r="C1649" s="158">
        <v>57107.519999999997</v>
      </c>
    </row>
    <row r="1650" spans="2:3">
      <c r="B1650" s="157">
        <v>44832</v>
      </c>
      <c r="C1650" s="158">
        <v>56598.28</v>
      </c>
    </row>
    <row r="1651" spans="2:3">
      <c r="B1651" s="157">
        <v>44833</v>
      </c>
      <c r="C1651" s="158">
        <v>56409.96</v>
      </c>
    </row>
    <row r="1652" spans="2:3">
      <c r="B1652" s="157">
        <v>44834</v>
      </c>
      <c r="C1652" s="158">
        <v>57426.92</v>
      </c>
    </row>
    <row r="1653" spans="2:3">
      <c r="B1653" s="157">
        <v>44837</v>
      </c>
      <c r="C1653" s="158">
        <v>56788.81</v>
      </c>
    </row>
    <row r="1654" spans="2:3">
      <c r="B1654" s="157">
        <v>44838</v>
      </c>
      <c r="C1654" s="158">
        <v>58065.47</v>
      </c>
    </row>
    <row r="1655" spans="2:3">
      <c r="B1655" s="157">
        <v>44840</v>
      </c>
      <c r="C1655" s="158">
        <v>58222.1</v>
      </c>
    </row>
    <row r="1656" spans="2:3">
      <c r="B1656" s="157">
        <v>44841</v>
      </c>
      <c r="C1656" s="158">
        <v>58191.29</v>
      </c>
    </row>
    <row r="1657" spans="2:3">
      <c r="B1657" s="157">
        <v>44844</v>
      </c>
      <c r="C1657" s="158">
        <v>57991.11</v>
      </c>
    </row>
    <row r="1658" spans="2:3">
      <c r="B1658" s="157">
        <v>44845</v>
      </c>
      <c r="C1658" s="158">
        <v>57147.32</v>
      </c>
    </row>
    <row r="1659" spans="2:3">
      <c r="B1659" s="157">
        <v>44846</v>
      </c>
      <c r="C1659" s="158">
        <v>57625.91</v>
      </c>
    </row>
    <row r="1660" spans="2:3">
      <c r="B1660" s="157">
        <v>44847</v>
      </c>
      <c r="C1660" s="158">
        <v>57235.33</v>
      </c>
    </row>
    <row r="1661" spans="2:3">
      <c r="B1661" s="157">
        <v>44848</v>
      </c>
      <c r="C1661" s="158">
        <v>57919.97</v>
      </c>
    </row>
    <row r="1662" spans="2:3">
      <c r="B1662" s="157">
        <v>44851</v>
      </c>
      <c r="C1662" s="158">
        <v>58410.98</v>
      </c>
    </row>
    <row r="1663" spans="2:3">
      <c r="B1663" s="157">
        <v>44852</v>
      </c>
      <c r="C1663" s="158">
        <v>58960.6</v>
      </c>
    </row>
    <row r="1664" spans="2:3">
      <c r="B1664" s="157">
        <v>44853</v>
      </c>
      <c r="C1664" s="158">
        <v>59107.19</v>
      </c>
    </row>
    <row r="1665" spans="2:3">
      <c r="B1665" s="157">
        <v>44854</v>
      </c>
      <c r="C1665" s="158">
        <v>59202.9</v>
      </c>
    </row>
    <row r="1666" spans="2:3">
      <c r="B1666" s="157">
        <v>44855</v>
      </c>
      <c r="C1666" s="158">
        <v>59307.15</v>
      </c>
    </row>
    <row r="1667" spans="2:3">
      <c r="B1667" s="157">
        <v>44858</v>
      </c>
      <c r="C1667" s="158">
        <v>59831.66</v>
      </c>
    </row>
    <row r="1668" spans="2:3">
      <c r="B1668" s="157">
        <v>44859</v>
      </c>
      <c r="C1668" s="158">
        <v>59543.96</v>
      </c>
    </row>
    <row r="1669" spans="2:3">
      <c r="B1669" s="157">
        <v>44861</v>
      </c>
      <c r="C1669" s="158">
        <v>59756.84</v>
      </c>
    </row>
    <row r="1670" spans="2:3">
      <c r="B1670" s="157">
        <v>44862</v>
      </c>
      <c r="C1670" s="158">
        <v>59959.85</v>
      </c>
    </row>
    <row r="1671" spans="2:3">
      <c r="B1671" s="157">
        <v>44865</v>
      </c>
      <c r="C1671" s="158">
        <v>60746.59</v>
      </c>
    </row>
    <row r="1672" spans="2:3">
      <c r="B1672" s="157">
        <v>44866</v>
      </c>
      <c r="C1672" s="158">
        <v>61121.35</v>
      </c>
    </row>
    <row r="1673" spans="2:3">
      <c r="B1673" s="157">
        <v>44867</v>
      </c>
      <c r="C1673" s="158">
        <v>60906.09</v>
      </c>
    </row>
    <row r="1674" spans="2:3">
      <c r="B1674" s="157">
        <v>44868</v>
      </c>
      <c r="C1674" s="158">
        <v>60836.41</v>
      </c>
    </row>
    <row r="1675" spans="2:3">
      <c r="B1675" s="157">
        <v>44869</v>
      </c>
      <c r="C1675" s="158">
        <v>60950.36</v>
      </c>
    </row>
    <row r="1676" spans="2:3">
      <c r="B1676" s="157">
        <v>44872</v>
      </c>
      <c r="C1676" s="158">
        <v>61185.15</v>
      </c>
    </row>
    <row r="1677" spans="2:3">
      <c r="B1677" s="157">
        <v>44874</v>
      </c>
      <c r="C1677" s="158">
        <v>61033.55</v>
      </c>
    </row>
    <row r="1678" spans="2:3">
      <c r="B1678" s="157">
        <v>44875</v>
      </c>
      <c r="C1678" s="158">
        <v>60613.7</v>
      </c>
    </row>
    <row r="1679" spans="2:3">
      <c r="B1679" s="157">
        <v>44876</v>
      </c>
      <c r="C1679" s="158">
        <v>61795.040000000001</v>
      </c>
    </row>
    <row r="1680" spans="2:3">
      <c r="B1680" s="157">
        <v>44879</v>
      </c>
      <c r="C1680" s="158">
        <v>61624.15</v>
      </c>
    </row>
    <row r="1681" spans="2:3">
      <c r="B1681" s="157">
        <v>44880</v>
      </c>
      <c r="C1681" s="158">
        <v>61872.99</v>
      </c>
    </row>
    <row r="1682" spans="2:3">
      <c r="B1682" s="157">
        <v>44881</v>
      </c>
      <c r="C1682" s="158">
        <v>61980.72</v>
      </c>
    </row>
    <row r="1683" spans="2:3">
      <c r="B1683" s="157">
        <v>44882</v>
      </c>
      <c r="C1683" s="158">
        <v>61750.6</v>
      </c>
    </row>
    <row r="1684" spans="2:3">
      <c r="B1684" s="157">
        <v>44883</v>
      </c>
      <c r="C1684" s="158">
        <v>61663.48</v>
      </c>
    </row>
    <row r="1685" spans="2:3">
      <c r="B1685" s="157">
        <v>44886</v>
      </c>
      <c r="C1685" s="158">
        <v>61144.84</v>
      </c>
    </row>
    <row r="1686" spans="2:3">
      <c r="B1686" s="157">
        <v>44887</v>
      </c>
      <c r="C1686" s="158">
        <v>61418.96</v>
      </c>
    </row>
    <row r="1687" spans="2:3">
      <c r="B1687" s="157">
        <v>44888</v>
      </c>
      <c r="C1687" s="158">
        <v>61510.58</v>
      </c>
    </row>
    <row r="1688" spans="2:3">
      <c r="B1688" s="157">
        <v>44889</v>
      </c>
      <c r="C1688" s="158">
        <v>62272.68</v>
      </c>
    </row>
    <row r="1689" spans="2:3">
      <c r="B1689" s="157">
        <v>44890</v>
      </c>
      <c r="C1689" s="158">
        <v>62293.64</v>
      </c>
    </row>
    <row r="1690" spans="2:3">
      <c r="B1690" s="157">
        <v>44893</v>
      </c>
      <c r="C1690" s="158">
        <v>62504.800000000003</v>
      </c>
    </row>
    <row r="1691" spans="2:3">
      <c r="B1691" s="157">
        <v>44894</v>
      </c>
      <c r="C1691" s="158">
        <v>62681.84</v>
      </c>
    </row>
    <row r="1692" spans="2:3">
      <c r="B1692" s="157">
        <v>44895</v>
      </c>
      <c r="C1692" s="158">
        <v>63099.65</v>
      </c>
    </row>
    <row r="1693" spans="2:3">
      <c r="B1693" s="157">
        <v>44896</v>
      </c>
      <c r="C1693" s="158">
        <v>63284.19</v>
      </c>
    </row>
    <row r="1694" spans="2:3">
      <c r="B1694" s="157">
        <v>44897</v>
      </c>
      <c r="C1694" s="158">
        <v>62868.5</v>
      </c>
    </row>
    <row r="1695" spans="2:3">
      <c r="B1695" s="157">
        <v>44900</v>
      </c>
      <c r="C1695" s="158">
        <v>62834.6</v>
      </c>
    </row>
    <row r="1696" spans="2:3">
      <c r="B1696" s="157">
        <v>44901</v>
      </c>
      <c r="C1696" s="158">
        <v>62626.36</v>
      </c>
    </row>
    <row r="1697" spans="2:3">
      <c r="B1697" s="157">
        <v>44902</v>
      </c>
      <c r="C1697" s="158">
        <v>62410.68</v>
      </c>
    </row>
    <row r="1698" spans="2:3">
      <c r="B1698" s="157">
        <v>44903</v>
      </c>
      <c r="C1698" s="158">
        <v>62570.68</v>
      </c>
    </row>
    <row r="1699" spans="2:3">
      <c r="B1699" s="157">
        <v>44904</v>
      </c>
      <c r="C1699" s="158">
        <v>62181.67</v>
      </c>
    </row>
    <row r="1700" spans="2:3">
      <c r="B1700" s="157">
        <v>44907</v>
      </c>
      <c r="C1700" s="158">
        <v>62130.57</v>
      </c>
    </row>
    <row r="1701" spans="2:3">
      <c r="B1701" s="157">
        <v>44908</v>
      </c>
      <c r="C1701" s="158">
        <v>62533.3</v>
      </c>
    </row>
    <row r="1702" spans="2:3">
      <c r="B1702" s="157">
        <v>44909</v>
      </c>
      <c r="C1702" s="158">
        <v>62677.91</v>
      </c>
    </row>
    <row r="1703" spans="2:3">
      <c r="B1703" s="157">
        <v>44910</v>
      </c>
      <c r="C1703" s="158">
        <v>61799.03</v>
      </c>
    </row>
    <row r="1704" spans="2:3">
      <c r="B1704" s="157">
        <v>44911</v>
      </c>
      <c r="C1704" s="158">
        <v>61337.81</v>
      </c>
    </row>
    <row r="1705" spans="2:3">
      <c r="B1705" s="157">
        <v>44914</v>
      </c>
      <c r="C1705" s="158">
        <v>61806.19</v>
      </c>
    </row>
    <row r="1706" spans="2:3">
      <c r="B1706" s="157">
        <v>44915</v>
      </c>
      <c r="C1706" s="158">
        <v>61702.29</v>
      </c>
    </row>
    <row r="1707" spans="2:3">
      <c r="B1707" s="157">
        <v>44916</v>
      </c>
      <c r="C1707" s="158">
        <v>61067.24</v>
      </c>
    </row>
    <row r="1708" spans="2:3">
      <c r="B1708" s="157">
        <v>44917</v>
      </c>
      <c r="C1708" s="158">
        <v>60826.22</v>
      </c>
    </row>
    <row r="1709" spans="2:3">
      <c r="B1709" s="157">
        <v>44918</v>
      </c>
      <c r="C1709" s="158">
        <v>59845.29</v>
      </c>
    </row>
    <row r="1710" spans="2:3">
      <c r="B1710" s="157">
        <v>44921</v>
      </c>
      <c r="C1710" s="158">
        <v>60566.42</v>
      </c>
    </row>
    <row r="1711" spans="2:3">
      <c r="B1711" s="157">
        <v>44922</v>
      </c>
      <c r="C1711" s="158">
        <v>60927.43</v>
      </c>
    </row>
    <row r="1712" spans="2:3">
      <c r="B1712" s="157">
        <v>44923</v>
      </c>
      <c r="C1712" s="158">
        <v>60910.28</v>
      </c>
    </row>
    <row r="1713" spans="2:3">
      <c r="B1713" s="157">
        <v>44924</v>
      </c>
      <c r="C1713" s="158">
        <v>61133.88</v>
      </c>
    </row>
    <row r="1714" spans="2:3">
      <c r="B1714" s="157">
        <v>44925</v>
      </c>
      <c r="C1714" s="158">
        <v>60840.74</v>
      </c>
    </row>
    <row r="1715" spans="2:3">
      <c r="B1715" s="157">
        <v>44928</v>
      </c>
      <c r="C1715" s="158">
        <v>61167.79</v>
      </c>
    </row>
    <row r="1716" spans="2:3">
      <c r="B1716" s="157">
        <v>44929</v>
      </c>
      <c r="C1716" s="158">
        <v>61294.2</v>
      </c>
    </row>
    <row r="1717" spans="2:3">
      <c r="B1717" s="157">
        <v>44930</v>
      </c>
      <c r="C1717" s="158">
        <v>60657.45</v>
      </c>
    </row>
    <row r="1718" spans="2:3">
      <c r="B1718" s="157">
        <v>44931</v>
      </c>
      <c r="C1718" s="158">
        <v>60353.27</v>
      </c>
    </row>
    <row r="1719" spans="2:3">
      <c r="B1719" s="157">
        <v>44932</v>
      </c>
      <c r="C1719" s="158">
        <v>59900.37</v>
      </c>
    </row>
    <row r="1720" spans="2:3">
      <c r="B1720" s="157">
        <v>44935</v>
      </c>
      <c r="C1720" s="158">
        <v>60747.31</v>
      </c>
    </row>
    <row r="1721" spans="2:3">
      <c r="B1721" s="157">
        <v>44936</v>
      </c>
      <c r="C1721" s="158">
        <v>60115.48</v>
      </c>
    </row>
    <row r="1722" spans="2:3">
      <c r="B1722" s="157">
        <v>44937</v>
      </c>
      <c r="C1722" s="158">
        <v>60105.5</v>
      </c>
    </row>
    <row r="1723" spans="2:3">
      <c r="B1723" s="157">
        <v>44938</v>
      </c>
      <c r="C1723" s="158">
        <v>59958.03</v>
      </c>
    </row>
    <row r="1724" spans="2:3">
      <c r="B1724" s="157">
        <v>44939</v>
      </c>
      <c r="C1724" s="158">
        <v>60261.18</v>
      </c>
    </row>
    <row r="1725" spans="2:3">
      <c r="B1725" s="157">
        <v>44942</v>
      </c>
      <c r="C1725" s="158">
        <v>60092.97</v>
      </c>
    </row>
    <row r="1726" spans="2:3">
      <c r="B1726" s="157">
        <v>44943</v>
      </c>
      <c r="C1726" s="158">
        <v>60655.72</v>
      </c>
    </row>
    <row r="1727" spans="2:3">
      <c r="B1727" s="157">
        <v>44944</v>
      </c>
      <c r="C1727" s="158">
        <v>61045.74</v>
      </c>
    </row>
    <row r="1728" spans="2:3">
      <c r="B1728" s="157">
        <v>44945</v>
      </c>
      <c r="C1728" s="158">
        <v>60858.43</v>
      </c>
    </row>
    <row r="1729" spans="2:3">
      <c r="B1729" s="157">
        <v>44946</v>
      </c>
      <c r="C1729" s="158">
        <v>60621.77</v>
      </c>
    </row>
    <row r="1730" spans="2:3">
      <c r="B1730" s="157">
        <v>44949</v>
      </c>
      <c r="C1730" s="158">
        <v>60941.67</v>
      </c>
    </row>
    <row r="1731" spans="2:3">
      <c r="B1731" s="157">
        <v>44950</v>
      </c>
      <c r="C1731" s="158">
        <v>60978.75</v>
      </c>
    </row>
    <row r="1732" spans="2:3">
      <c r="B1732" s="157">
        <v>44951</v>
      </c>
      <c r="C1732" s="158">
        <v>60205.06</v>
      </c>
    </row>
    <row r="1733" spans="2:3">
      <c r="B1733" s="157">
        <v>44953</v>
      </c>
      <c r="C1733" s="158">
        <v>59330.9</v>
      </c>
    </row>
    <row r="1734" spans="2:3">
      <c r="B1734" s="157">
        <v>44956</v>
      </c>
      <c r="C1734" s="158">
        <v>59500.41</v>
      </c>
    </row>
    <row r="1735" spans="2:3">
      <c r="B1735" s="157">
        <v>44957</v>
      </c>
      <c r="C1735" s="158">
        <v>59549.9</v>
      </c>
    </row>
    <row r="1736" spans="2:3">
      <c r="B1736" s="157">
        <v>44958</v>
      </c>
      <c r="C1736" s="158">
        <v>59708.08</v>
      </c>
    </row>
    <row r="1737" spans="2:3">
      <c r="B1737" s="157">
        <v>44959</v>
      </c>
      <c r="C1737" s="158">
        <v>59932.24</v>
      </c>
    </row>
    <row r="1738" spans="2:3">
      <c r="B1738" s="157">
        <v>44960</v>
      </c>
      <c r="C1738" s="158">
        <v>60841.88</v>
      </c>
    </row>
    <row r="1739" spans="2:3">
      <c r="B1739" s="157">
        <v>44963</v>
      </c>
      <c r="C1739" s="158">
        <v>60506.9</v>
      </c>
    </row>
    <row r="1740" spans="2:3">
      <c r="B1740" s="157">
        <v>44964</v>
      </c>
      <c r="C1740" s="158">
        <v>60286.04</v>
      </c>
    </row>
    <row r="1741" spans="2:3">
      <c r="B1741" s="157">
        <v>44965</v>
      </c>
      <c r="C1741" s="158">
        <v>60663.79</v>
      </c>
    </row>
    <row r="1742" spans="2:3">
      <c r="B1742" s="157">
        <v>44966</v>
      </c>
      <c r="C1742" s="158">
        <v>60806.22</v>
      </c>
    </row>
    <row r="1743" spans="2:3">
      <c r="B1743" s="157">
        <v>44967</v>
      </c>
      <c r="C1743" s="158">
        <v>60682.7</v>
      </c>
    </row>
    <row r="1744" spans="2:3">
      <c r="B1744" s="157">
        <v>44970</v>
      </c>
      <c r="C1744" s="158">
        <v>60431.839999999997</v>
      </c>
    </row>
    <row r="1745" spans="2:3">
      <c r="B1745" s="157">
        <v>44971</v>
      </c>
      <c r="C1745" s="158">
        <v>61032.26</v>
      </c>
    </row>
    <row r="1746" spans="2:3">
      <c r="B1746" s="157">
        <v>44972</v>
      </c>
      <c r="C1746" s="158">
        <v>61275.09</v>
      </c>
    </row>
    <row r="1747" spans="2:3">
      <c r="B1747" s="157">
        <v>44973</v>
      </c>
      <c r="C1747" s="158">
        <v>61319.51</v>
      </c>
    </row>
    <row r="1748" spans="2:3">
      <c r="B1748" s="157">
        <v>44974</v>
      </c>
      <c r="C1748" s="158">
        <v>61002.57</v>
      </c>
    </row>
    <row r="1749" spans="2:3">
      <c r="B1749" s="157">
        <v>44977</v>
      </c>
      <c r="C1749" s="158">
        <v>60691.54</v>
      </c>
    </row>
    <row r="1750" spans="2:3">
      <c r="B1750" s="157">
        <v>44978</v>
      </c>
      <c r="C1750" s="158">
        <v>60672.72</v>
      </c>
    </row>
    <row r="1751" spans="2:3">
      <c r="B1751" s="157">
        <v>44979</v>
      </c>
      <c r="C1751" s="158">
        <v>59744.98</v>
      </c>
    </row>
    <row r="1752" spans="2:3">
      <c r="B1752" s="157">
        <v>44980</v>
      </c>
      <c r="C1752" s="158">
        <v>59605.8</v>
      </c>
    </row>
    <row r="1753" spans="2:3">
      <c r="B1753" s="157">
        <v>44981</v>
      </c>
      <c r="C1753" s="158">
        <v>59463.93</v>
      </c>
    </row>
    <row r="1754" spans="2:3">
      <c r="B1754" s="157">
        <v>44984</v>
      </c>
      <c r="C1754" s="158">
        <v>59288.35</v>
      </c>
    </row>
    <row r="1755" spans="2:3">
      <c r="B1755" s="157">
        <v>44985</v>
      </c>
      <c r="C1755" s="158">
        <v>58962.12</v>
      </c>
    </row>
    <row r="1756" spans="2:3">
      <c r="B1756" s="157">
        <v>44986</v>
      </c>
      <c r="C1756" s="158">
        <v>59411.08</v>
      </c>
    </row>
    <row r="1757" spans="2:3">
      <c r="B1757" s="157">
        <v>44987</v>
      </c>
      <c r="C1757" s="158">
        <v>58909.35</v>
      </c>
    </row>
    <row r="1758" spans="2:3">
      <c r="B1758" s="157">
        <v>44988</v>
      </c>
      <c r="C1758" s="158">
        <v>59808.97</v>
      </c>
    </row>
    <row r="1759" spans="2:3">
      <c r="B1759" s="157">
        <v>44991</v>
      </c>
      <c r="C1759" s="158">
        <v>60224.46</v>
      </c>
    </row>
    <row r="1760" spans="2:3">
      <c r="B1760" s="157">
        <v>44993</v>
      </c>
      <c r="C1760" s="158">
        <v>60348.09</v>
      </c>
    </row>
    <row r="1761" spans="2:3">
      <c r="B1761" s="157">
        <v>44994</v>
      </c>
      <c r="C1761" s="158">
        <v>59806.28</v>
      </c>
    </row>
    <row r="1762" spans="2:3">
      <c r="B1762" s="157">
        <v>44995</v>
      </c>
      <c r="C1762" s="158">
        <v>59135.13</v>
      </c>
    </row>
    <row r="1763" spans="2:3">
      <c r="B1763" s="157">
        <v>44998</v>
      </c>
      <c r="C1763" s="158">
        <v>58237.85</v>
      </c>
    </row>
    <row r="1764" spans="2:3">
      <c r="B1764" s="157">
        <v>44999</v>
      </c>
      <c r="C1764" s="158">
        <v>57900.19</v>
      </c>
    </row>
    <row r="1765" spans="2:3">
      <c r="B1765" s="157">
        <v>45000</v>
      </c>
      <c r="C1765" s="158">
        <v>57555.9</v>
      </c>
    </row>
    <row r="1766" spans="2:3">
      <c r="B1766" s="157">
        <v>45001</v>
      </c>
      <c r="C1766" s="158">
        <v>57634.84</v>
      </c>
    </row>
    <row r="1767" spans="2:3">
      <c r="B1767" s="157">
        <v>45002</v>
      </c>
      <c r="C1767" s="158">
        <v>57989.9</v>
      </c>
    </row>
    <row r="1768" spans="2:3">
      <c r="B1768" s="157">
        <v>45005</v>
      </c>
      <c r="C1768" s="158">
        <v>57628.95</v>
      </c>
    </row>
    <row r="1769" spans="2:3">
      <c r="B1769" s="157">
        <v>45006</v>
      </c>
      <c r="C1769" s="158">
        <v>58074.68</v>
      </c>
    </row>
    <row r="1770" spans="2:3">
      <c r="B1770" s="157">
        <v>45007</v>
      </c>
      <c r="C1770" s="158">
        <v>58214.59</v>
      </c>
    </row>
    <row r="1771" spans="2:3">
      <c r="B1771" s="157">
        <v>45008</v>
      </c>
      <c r="C1771" s="158">
        <v>57925.279999999999</v>
      </c>
    </row>
    <row r="1772" spans="2:3">
      <c r="B1772" s="157">
        <v>45009</v>
      </c>
      <c r="C1772" s="158">
        <v>57527.1</v>
      </c>
    </row>
    <row r="1773" spans="2:3">
      <c r="B1773" s="157">
        <v>45012</v>
      </c>
      <c r="C1773" s="158">
        <v>57653.86</v>
      </c>
    </row>
    <row r="1774" spans="2:3">
      <c r="B1774" s="157">
        <v>45013</v>
      </c>
      <c r="C1774" s="158">
        <v>57613.72</v>
      </c>
    </row>
    <row r="1775" spans="2:3">
      <c r="B1775" s="157">
        <v>45014</v>
      </c>
      <c r="C1775" s="158">
        <v>57960.09</v>
      </c>
    </row>
    <row r="1776" spans="2:3">
      <c r="B1776" s="157">
        <v>45016</v>
      </c>
      <c r="C1776" s="158">
        <v>58991.519999999997</v>
      </c>
    </row>
    <row r="1777" spans="2:3">
      <c r="B1777" s="157">
        <v>45019</v>
      </c>
      <c r="C1777" s="158">
        <v>59106.44</v>
      </c>
    </row>
    <row r="1778" spans="2:3">
      <c r="B1778" s="157">
        <v>45021</v>
      </c>
      <c r="C1778" s="158">
        <v>59689.31</v>
      </c>
    </row>
    <row r="1779" spans="2:3">
      <c r="B1779" s="157">
        <v>45022</v>
      </c>
      <c r="C1779" s="158">
        <v>59832.97</v>
      </c>
    </row>
    <row r="1780" spans="2:3">
      <c r="B1780" s="157">
        <v>45026</v>
      </c>
      <c r="C1780" s="158">
        <v>59846.51</v>
      </c>
    </row>
    <row r="1781" spans="2:3">
      <c r="B1781" s="157">
        <v>45027</v>
      </c>
      <c r="C1781" s="158">
        <v>60157.72</v>
      </c>
    </row>
    <row r="1782" spans="2:3">
      <c r="B1782" s="157">
        <v>45028</v>
      </c>
      <c r="C1782" s="158">
        <v>60392.77</v>
      </c>
    </row>
    <row r="1783" spans="2:3">
      <c r="B1783" s="157">
        <v>45029</v>
      </c>
      <c r="C1783" s="158">
        <v>60431</v>
      </c>
    </row>
    <row r="1784" spans="2:3">
      <c r="B1784" s="157">
        <v>45033</v>
      </c>
      <c r="C1784" s="158">
        <v>59910.75</v>
      </c>
    </row>
    <row r="1785" spans="2:3">
      <c r="B1785" s="157">
        <v>45034</v>
      </c>
      <c r="C1785" s="158">
        <v>59727.01</v>
      </c>
    </row>
    <row r="1786" spans="2:3">
      <c r="B1786" s="157">
        <v>45035</v>
      </c>
      <c r="C1786" s="158">
        <v>59567.8</v>
      </c>
    </row>
    <row r="1787" spans="2:3">
      <c r="B1787" s="157">
        <v>45036</v>
      </c>
      <c r="C1787" s="158">
        <v>59632.35</v>
      </c>
    </row>
    <row r="1788" spans="2:3">
      <c r="B1788" s="157">
        <v>45037</v>
      </c>
      <c r="C1788" s="158">
        <v>59655.06</v>
      </c>
    </row>
    <row r="1789" spans="2:3">
      <c r="B1789" s="157">
        <v>45040</v>
      </c>
      <c r="C1789" s="158">
        <v>60056.1</v>
      </c>
    </row>
    <row r="1790" spans="2:3">
      <c r="B1790" s="157">
        <v>45041</v>
      </c>
      <c r="C1790" s="158">
        <v>60130.71</v>
      </c>
    </row>
    <row r="1791" spans="2:3">
      <c r="B1791" s="157">
        <v>45042</v>
      </c>
      <c r="C1791" s="158">
        <v>60300.58</v>
      </c>
    </row>
    <row r="1792" spans="2:3">
      <c r="B1792" s="157">
        <v>45043</v>
      </c>
      <c r="C1792" s="158">
        <v>60649.38</v>
      </c>
    </row>
    <row r="1793" spans="2:3">
      <c r="B1793" s="157">
        <v>45044</v>
      </c>
      <c r="C1793" s="158">
        <v>61112.44</v>
      </c>
    </row>
    <row r="1794" spans="2:3">
      <c r="B1794" s="157">
        <v>45048</v>
      </c>
      <c r="C1794" s="158">
        <v>61354.71</v>
      </c>
    </row>
    <row r="1795" spans="2:3">
      <c r="B1795" s="157">
        <v>45049</v>
      </c>
      <c r="C1795" s="158">
        <v>61193.3</v>
      </c>
    </row>
    <row r="1796" spans="2:3">
      <c r="B1796" s="157">
        <v>45050</v>
      </c>
      <c r="C1796" s="158">
        <v>61749.25</v>
      </c>
    </row>
    <row r="1797" spans="2:3">
      <c r="B1797" s="157">
        <v>45051</v>
      </c>
      <c r="C1797" s="158">
        <v>61054.29</v>
      </c>
    </row>
    <row r="1798" spans="2:3">
      <c r="B1798" s="157">
        <v>45054</v>
      </c>
      <c r="C1798" s="158">
        <v>61764.25</v>
      </c>
    </row>
    <row r="1799" spans="2:3">
      <c r="B1799" s="157">
        <v>45055</v>
      </c>
      <c r="C1799" s="158">
        <v>61761.33</v>
      </c>
    </row>
    <row r="1800" spans="2:3">
      <c r="B1800" s="157">
        <v>45056</v>
      </c>
      <c r="C1800" s="158">
        <v>61940.2</v>
      </c>
    </row>
    <row r="1801" spans="2:3">
      <c r="B1801" s="157">
        <v>45057</v>
      </c>
      <c r="C1801" s="158">
        <v>61904.52</v>
      </c>
    </row>
    <row r="1802" spans="2:3">
      <c r="B1802" s="157">
        <v>45058</v>
      </c>
      <c r="C1802" s="158">
        <v>62027.9</v>
      </c>
    </row>
    <row r="1803" spans="2:3">
      <c r="B1803" s="157">
        <v>45061</v>
      </c>
      <c r="C1803" s="158">
        <v>62345.71</v>
      </c>
    </row>
    <row r="1804" spans="2:3">
      <c r="B1804" s="157">
        <v>45062</v>
      </c>
      <c r="C1804" s="158">
        <v>61932.47</v>
      </c>
    </row>
    <row r="1805" spans="2:3">
      <c r="B1805" s="157">
        <v>45063</v>
      </c>
      <c r="C1805" s="158">
        <v>61560.639999999999</v>
      </c>
    </row>
    <row r="1806" spans="2:3">
      <c r="B1806" s="157">
        <v>45064</v>
      </c>
      <c r="C1806" s="158">
        <v>61431.74</v>
      </c>
    </row>
    <row r="1807" spans="2:3">
      <c r="B1807" s="157">
        <v>45065</v>
      </c>
      <c r="C1807" s="158">
        <v>61729.68</v>
      </c>
    </row>
    <row r="1808" spans="2:3">
      <c r="B1808" s="157">
        <v>45068</v>
      </c>
      <c r="C1808" s="158">
        <v>61963.68</v>
      </c>
    </row>
    <row r="1809" spans="2:3">
      <c r="B1809" s="157">
        <v>45069</v>
      </c>
      <c r="C1809" s="158">
        <v>61981.79</v>
      </c>
    </row>
    <row r="1810" spans="2:3">
      <c r="B1810" s="157">
        <v>45070</v>
      </c>
      <c r="C1810" s="158">
        <v>61773.78</v>
      </c>
    </row>
    <row r="1811" spans="2:3">
      <c r="B1811" s="157">
        <v>45071</v>
      </c>
      <c r="C1811" s="158">
        <v>61872.62</v>
      </c>
    </row>
    <row r="1812" spans="2:3">
      <c r="B1812" s="157">
        <v>45072</v>
      </c>
      <c r="C1812" s="158">
        <v>62501.69</v>
      </c>
    </row>
    <row r="1813" spans="2:3">
      <c r="B1813" s="157">
        <v>45075</v>
      </c>
      <c r="C1813" s="158">
        <v>62846.38</v>
      </c>
    </row>
    <row r="1814" spans="2:3">
      <c r="B1814" s="157">
        <v>45076</v>
      </c>
      <c r="C1814" s="158">
        <v>62969.13</v>
      </c>
    </row>
    <row r="1815" spans="2:3">
      <c r="B1815" s="157">
        <v>45077</v>
      </c>
      <c r="C1815" s="158">
        <v>62622.239999999998</v>
      </c>
    </row>
    <row r="1816" spans="2:3">
      <c r="B1816" s="157">
        <v>45078</v>
      </c>
      <c r="C1816" s="158">
        <v>62428.54</v>
      </c>
    </row>
    <row r="1817" spans="2:3">
      <c r="B1817" s="157">
        <v>45079</v>
      </c>
      <c r="C1817" s="158">
        <v>62547.11</v>
      </c>
    </row>
    <row r="1818" spans="2:3">
      <c r="B1818" s="157">
        <v>45082</v>
      </c>
      <c r="C1818" s="158">
        <v>62787.47</v>
      </c>
    </row>
    <row r="1819" spans="2:3">
      <c r="B1819" s="157">
        <v>45083</v>
      </c>
      <c r="C1819" s="158">
        <v>62792.88</v>
      </c>
    </row>
    <row r="1820" spans="2:3">
      <c r="B1820" s="157">
        <v>45084</v>
      </c>
      <c r="C1820" s="158">
        <v>63142.96</v>
      </c>
    </row>
    <row r="1821" spans="2:3">
      <c r="B1821" s="157">
        <v>45085</v>
      </c>
      <c r="C1821" s="158">
        <v>62848.639999999999</v>
      </c>
    </row>
    <row r="1822" spans="2:3">
      <c r="B1822" s="157">
        <v>45086</v>
      </c>
      <c r="C1822" s="158">
        <v>62625.63</v>
      </c>
    </row>
    <row r="1823" spans="2:3">
      <c r="B1823" s="157">
        <v>45089</v>
      </c>
      <c r="C1823" s="158">
        <v>62724.71</v>
      </c>
    </row>
    <row r="1824" spans="2:3">
      <c r="B1824" s="157">
        <v>45090</v>
      </c>
      <c r="C1824" s="158">
        <v>63143.16</v>
      </c>
    </row>
    <row r="1825" spans="2:3">
      <c r="B1825" s="157">
        <v>45091</v>
      </c>
      <c r="C1825" s="158">
        <v>63228.51</v>
      </c>
    </row>
    <row r="1826" spans="2:3">
      <c r="B1826" s="157">
        <v>45092</v>
      </c>
      <c r="C1826" s="158">
        <v>62917.63</v>
      </c>
    </row>
    <row r="1827" spans="2:3">
      <c r="B1827" s="157">
        <v>45093</v>
      </c>
      <c r="C1827" s="158">
        <v>63384.58</v>
      </c>
    </row>
    <row r="1828" spans="2:3">
      <c r="B1828" s="157">
        <v>45096</v>
      </c>
      <c r="C1828" s="158">
        <v>63168.3</v>
      </c>
    </row>
    <row r="1829" spans="2:3">
      <c r="B1829" s="157">
        <v>45097</v>
      </c>
      <c r="C1829" s="158">
        <v>63327.7</v>
      </c>
    </row>
    <row r="1830" spans="2:3">
      <c r="B1830" s="157">
        <v>45098</v>
      </c>
      <c r="C1830" s="158">
        <v>63523.15</v>
      </c>
    </row>
    <row r="1831" spans="2:3">
      <c r="B1831" s="157">
        <v>45099</v>
      </c>
      <c r="C1831" s="158">
        <v>63238.89</v>
      </c>
    </row>
    <row r="1832" spans="2:3">
      <c r="B1832" s="157">
        <v>45100</v>
      </c>
      <c r="C1832" s="158">
        <v>62979.37</v>
      </c>
    </row>
    <row r="1833" spans="2:3">
      <c r="B1833" s="157">
        <v>45103</v>
      </c>
      <c r="C1833" s="158">
        <v>62970</v>
      </c>
    </row>
    <row r="1834" spans="2:3">
      <c r="B1834" s="157">
        <v>45104</v>
      </c>
      <c r="C1834" s="158">
        <v>63416.03</v>
      </c>
    </row>
    <row r="1835" spans="2:3">
      <c r="B1835" s="157">
        <v>45105</v>
      </c>
      <c r="C1835" s="158">
        <v>63915.42</v>
      </c>
    </row>
    <row r="1836" spans="2:3">
      <c r="B1836" s="157">
        <v>45107</v>
      </c>
      <c r="C1836" s="158">
        <v>64718.559999999998</v>
      </c>
    </row>
    <row r="1837" spans="2:3">
      <c r="B1837" s="157">
        <v>45110</v>
      </c>
      <c r="C1837" s="158">
        <v>65205.05</v>
      </c>
    </row>
    <row r="1838" spans="2:3">
      <c r="B1838" s="157">
        <v>45111</v>
      </c>
      <c r="C1838" s="158">
        <v>65479.05</v>
      </c>
    </row>
    <row r="1839" spans="2:3">
      <c r="B1839" s="157">
        <v>45112</v>
      </c>
      <c r="C1839" s="158">
        <v>65446.04</v>
      </c>
    </row>
    <row r="1840" spans="2:3">
      <c r="B1840" s="157">
        <v>45113</v>
      </c>
      <c r="C1840" s="158">
        <v>65785.64</v>
      </c>
    </row>
    <row r="1841" spans="2:3">
      <c r="B1841" s="157">
        <v>45114</v>
      </c>
      <c r="C1841" s="158">
        <v>65280.45</v>
      </c>
    </row>
    <row r="1842" spans="2:3">
      <c r="B1842" s="157">
        <v>45117</v>
      </c>
      <c r="C1842" s="158">
        <v>65344.17</v>
      </c>
    </row>
    <row r="1843" spans="2:3">
      <c r="B1843" s="157">
        <v>45118</v>
      </c>
      <c r="C1843" s="158">
        <v>65617.84</v>
      </c>
    </row>
    <row r="1844" spans="2:3">
      <c r="B1844" s="157">
        <v>45119</v>
      </c>
      <c r="C1844" s="158">
        <v>65393.9</v>
      </c>
    </row>
    <row r="1845" spans="2:3">
      <c r="B1845" s="157">
        <v>45120</v>
      </c>
      <c r="C1845" s="158">
        <v>65558.89</v>
      </c>
    </row>
    <row r="1846" spans="2:3">
      <c r="B1846" s="157">
        <v>45121</v>
      </c>
      <c r="C1846" s="158">
        <v>66060.899999999994</v>
      </c>
    </row>
    <row r="1847" spans="2:3">
      <c r="B1847" s="157">
        <v>45124</v>
      </c>
      <c r="C1847" s="158">
        <v>66589.929999999993</v>
      </c>
    </row>
    <row r="1848" spans="2:3">
      <c r="B1848" s="157">
        <v>45125</v>
      </c>
      <c r="C1848" s="158">
        <v>66795.14</v>
      </c>
    </row>
    <row r="1849" spans="2:3">
      <c r="B1849" s="157">
        <v>45126</v>
      </c>
      <c r="C1849" s="158">
        <v>67097.440000000002</v>
      </c>
    </row>
    <row r="1850" spans="2:3">
      <c r="B1850" s="157">
        <v>45127</v>
      </c>
      <c r="C1850" s="158">
        <v>67571.899999999994</v>
      </c>
    </row>
    <row r="1851" spans="2:3">
      <c r="B1851" s="157">
        <v>45128</v>
      </c>
      <c r="C1851" s="158">
        <v>66684.259999999995</v>
      </c>
    </row>
    <row r="1852" spans="2:3">
      <c r="B1852" s="157">
        <v>45131</v>
      </c>
      <c r="C1852" s="158">
        <v>66384.78</v>
      </c>
    </row>
    <row r="1853" spans="2:3">
      <c r="B1853" s="157">
        <v>45132</v>
      </c>
      <c r="C1853" s="158">
        <v>66355.710000000006</v>
      </c>
    </row>
    <row r="1854" spans="2:3">
      <c r="B1854" s="157">
        <v>45133</v>
      </c>
      <c r="C1854" s="158">
        <v>66707.199999999997</v>
      </c>
    </row>
    <row r="1855" spans="2:3">
      <c r="B1855" s="157">
        <v>45134</v>
      </c>
      <c r="C1855" s="158">
        <v>66266.820000000007</v>
      </c>
    </row>
    <row r="1856" spans="2:3">
      <c r="B1856" s="157">
        <v>45135</v>
      </c>
      <c r="C1856" s="158">
        <v>66160.2</v>
      </c>
    </row>
    <row r="1857" spans="2:3">
      <c r="B1857" s="157">
        <v>45138</v>
      </c>
      <c r="C1857" s="158">
        <v>66527.67</v>
      </c>
    </row>
    <row r="1858" spans="2:3">
      <c r="B1858" s="157">
        <v>45139</v>
      </c>
      <c r="C1858" s="158">
        <v>66459.31</v>
      </c>
    </row>
    <row r="1859" spans="2:3">
      <c r="B1859" s="157">
        <v>45140</v>
      </c>
      <c r="C1859" s="158">
        <v>65782.78</v>
      </c>
    </row>
    <row r="1860" spans="2:3">
      <c r="B1860" s="157">
        <v>45141</v>
      </c>
      <c r="C1860" s="158">
        <v>65240.68</v>
      </c>
    </row>
    <row r="1861" spans="2:3">
      <c r="B1861" s="157">
        <v>45142</v>
      </c>
      <c r="C1861" s="158">
        <v>65721.25</v>
      </c>
    </row>
    <row r="1862" spans="2:3">
      <c r="B1862" s="157">
        <v>45145</v>
      </c>
      <c r="C1862" s="158">
        <v>65953.48</v>
      </c>
    </row>
    <row r="1863" spans="2:3">
      <c r="B1863" s="157">
        <v>45146</v>
      </c>
      <c r="C1863" s="158">
        <v>65846.5</v>
      </c>
    </row>
    <row r="1864" spans="2:3">
      <c r="B1864" s="157">
        <v>45147</v>
      </c>
      <c r="C1864" s="158">
        <v>65995.81</v>
      </c>
    </row>
    <row r="1865" spans="2:3">
      <c r="B1865" s="157">
        <v>45148</v>
      </c>
      <c r="C1865" s="158">
        <v>65688.179999999993</v>
      </c>
    </row>
    <row r="1866" spans="2:3">
      <c r="B1866" s="157">
        <v>45149</v>
      </c>
      <c r="C1866" s="158">
        <v>65322.65</v>
      </c>
    </row>
    <row r="1867" spans="2:3">
      <c r="B1867" s="157">
        <v>45152</v>
      </c>
      <c r="C1867" s="158">
        <v>65401.919999999998</v>
      </c>
    </row>
    <row r="1868" spans="2:3">
      <c r="B1868" s="157">
        <v>45154</v>
      </c>
      <c r="C1868" s="158">
        <v>65539.42</v>
      </c>
    </row>
    <row r="1869" spans="2:3">
      <c r="B1869" s="157">
        <v>45155</v>
      </c>
      <c r="C1869" s="158">
        <v>65151.02</v>
      </c>
    </row>
    <row r="1870" spans="2:3">
      <c r="B1870" s="157">
        <v>45156</v>
      </c>
      <c r="C1870" s="158">
        <v>64948.66</v>
      </c>
    </row>
    <row r="1871" spans="2:3">
      <c r="B1871" s="157">
        <v>45159</v>
      </c>
      <c r="C1871" s="158">
        <v>65216.09</v>
      </c>
    </row>
    <row r="1872" spans="2:3">
      <c r="B1872" s="157">
        <v>45160</v>
      </c>
      <c r="C1872" s="158">
        <v>65220.03</v>
      </c>
    </row>
    <row r="1873" spans="2:3">
      <c r="B1873" s="157">
        <v>45161</v>
      </c>
      <c r="C1873" s="158">
        <v>65433.3</v>
      </c>
    </row>
    <row r="1874" spans="2:3">
      <c r="B1874" s="157">
        <v>45162</v>
      </c>
      <c r="C1874" s="158">
        <v>65252.34</v>
      </c>
    </row>
    <row r="1875" spans="2:3">
      <c r="B1875" s="157">
        <v>45163</v>
      </c>
      <c r="C1875" s="158">
        <v>64886.51</v>
      </c>
    </row>
    <row r="1876" spans="2:3">
      <c r="B1876" s="157">
        <v>45166</v>
      </c>
      <c r="C1876" s="158">
        <v>64996.6</v>
      </c>
    </row>
    <row r="1877" spans="2:3">
      <c r="B1877" s="157">
        <v>45167</v>
      </c>
      <c r="C1877" s="158">
        <v>65075.82</v>
      </c>
    </row>
    <row r="1878" spans="2:3">
      <c r="B1878" s="157">
        <v>45168</v>
      </c>
      <c r="C1878" s="158">
        <v>65087.25</v>
      </c>
    </row>
    <row r="1879" spans="2:3">
      <c r="B1879" s="157">
        <v>45169</v>
      </c>
      <c r="C1879" s="158">
        <v>64831.41</v>
      </c>
    </row>
    <row r="1880" spans="2:3">
      <c r="B1880" s="157">
        <v>45170</v>
      </c>
      <c r="C1880" s="158">
        <v>65387.16</v>
      </c>
    </row>
    <row r="1881" spans="2:3">
      <c r="B1881" s="157">
        <v>45173</v>
      </c>
      <c r="C1881" s="158">
        <v>65628.14</v>
      </c>
    </row>
    <row r="1882" spans="2:3">
      <c r="B1882" s="157">
        <v>45174</v>
      </c>
      <c r="C1882" s="158">
        <v>65780.259999999995</v>
      </c>
    </row>
    <row r="1883" spans="2:3">
      <c r="B1883" s="157">
        <v>45175</v>
      </c>
      <c r="C1883" s="158">
        <v>65880.52</v>
      </c>
    </row>
    <row r="1884" spans="2:3">
      <c r="B1884" s="157">
        <v>45176</v>
      </c>
      <c r="C1884" s="158">
        <v>66265.56</v>
      </c>
    </row>
    <row r="1885" spans="2:3">
      <c r="B1885" s="157">
        <v>45177</v>
      </c>
      <c r="C1885" s="158">
        <v>66598.91</v>
      </c>
    </row>
    <row r="1886" spans="2:3">
      <c r="B1886" s="157">
        <v>45180</v>
      </c>
      <c r="C1886" s="158">
        <v>67127.08</v>
      </c>
    </row>
    <row r="1887" spans="2:3">
      <c r="B1887" s="157">
        <v>45181</v>
      </c>
      <c r="C1887" s="158">
        <v>67221.13</v>
      </c>
    </row>
    <row r="1888" spans="2:3">
      <c r="B1888" s="157">
        <v>45182</v>
      </c>
      <c r="C1888" s="158">
        <v>67466.990000000005</v>
      </c>
    </row>
    <row r="1889" spans="2:3">
      <c r="B1889" s="157">
        <v>45183</v>
      </c>
      <c r="C1889" s="158">
        <v>67519</v>
      </c>
    </row>
    <row r="1890" spans="2:3">
      <c r="B1890" s="157">
        <v>45184</v>
      </c>
      <c r="C1890" s="158">
        <v>67838.63</v>
      </c>
    </row>
    <row r="1891" spans="2:3">
      <c r="B1891" s="157">
        <v>45187</v>
      </c>
      <c r="C1891" s="158">
        <v>67596.84</v>
      </c>
    </row>
    <row r="1892" spans="2:3">
      <c r="B1892" s="157">
        <v>45189</v>
      </c>
      <c r="C1892" s="158">
        <v>66800.84</v>
      </c>
    </row>
    <row r="1893" spans="2:3">
      <c r="B1893" s="157">
        <v>45190</v>
      </c>
      <c r="C1893" s="158">
        <v>66230.240000000005</v>
      </c>
    </row>
    <row r="1894" spans="2:3">
      <c r="B1894" s="157">
        <v>45191</v>
      </c>
      <c r="C1894" s="158">
        <v>66009.149999999994</v>
      </c>
    </row>
    <row r="1895" spans="2:3">
      <c r="B1895" s="157">
        <v>45194</v>
      </c>
      <c r="C1895" s="158">
        <v>66023.69</v>
      </c>
    </row>
    <row r="1896" spans="2:3">
      <c r="B1896" s="157">
        <v>45195</v>
      </c>
      <c r="C1896" s="158">
        <v>65945.47</v>
      </c>
    </row>
    <row r="1897" spans="2:3">
      <c r="B1897" s="157">
        <v>45196</v>
      </c>
      <c r="C1897" s="158">
        <v>66118.69</v>
      </c>
    </row>
    <row r="1898" spans="2:3">
      <c r="B1898" s="157">
        <v>45197</v>
      </c>
      <c r="C1898" s="158">
        <v>65508.32</v>
      </c>
    </row>
    <row r="1899" spans="2:3">
      <c r="B1899" s="157">
        <v>45198</v>
      </c>
      <c r="C1899" s="158">
        <v>65828.41</v>
      </c>
    </row>
    <row r="1900" spans="2:3">
      <c r="B1900" s="157">
        <v>45202</v>
      </c>
      <c r="C1900" s="158">
        <v>65512.1</v>
      </c>
    </row>
    <row r="1901" spans="2:3">
      <c r="B1901" s="157">
        <v>45203</v>
      </c>
      <c r="C1901" s="158">
        <v>65226.04</v>
      </c>
    </row>
    <row r="1902" spans="2:3">
      <c r="B1902" s="157">
        <v>45204</v>
      </c>
      <c r="C1902" s="158">
        <v>65631.570000000007</v>
      </c>
    </row>
    <row r="1903" spans="2:3">
      <c r="B1903" s="157">
        <v>45205</v>
      </c>
      <c r="C1903" s="158">
        <v>65995.63</v>
      </c>
    </row>
    <row r="1904" spans="2:3">
      <c r="B1904" s="157">
        <v>45208</v>
      </c>
      <c r="C1904" s="158">
        <v>65512.39</v>
      </c>
    </row>
    <row r="1905" spans="2:3">
      <c r="B1905" s="157">
        <v>45209</v>
      </c>
      <c r="C1905" s="158">
        <v>66079.360000000001</v>
      </c>
    </row>
    <row r="1906" spans="2:3">
      <c r="B1906" s="157">
        <v>45210</v>
      </c>
      <c r="C1906" s="158">
        <v>66473.05</v>
      </c>
    </row>
    <row r="1907" spans="2:3">
      <c r="B1907" s="157">
        <v>45211</v>
      </c>
      <c r="C1907" s="158">
        <v>66408.39</v>
      </c>
    </row>
    <row r="1908" spans="2:3">
      <c r="B1908" s="157">
        <v>45212</v>
      </c>
      <c r="C1908" s="158">
        <v>66282.740000000005</v>
      </c>
    </row>
    <row r="1909" spans="2:3">
      <c r="B1909" s="157">
        <v>45215</v>
      </c>
      <c r="C1909" s="158">
        <v>66166.929999999993</v>
      </c>
    </row>
    <row r="1910" spans="2:3">
      <c r="B1910" s="157">
        <v>45216</v>
      </c>
      <c r="C1910" s="158">
        <v>66428.09</v>
      </c>
    </row>
    <row r="1911" spans="2:3">
      <c r="B1911" s="157">
        <v>45217</v>
      </c>
      <c r="C1911" s="158">
        <v>65877.02</v>
      </c>
    </row>
    <row r="1912" spans="2:3">
      <c r="B1912" s="157">
        <v>45218</v>
      </c>
      <c r="C1912" s="158">
        <v>65629.240000000005</v>
      </c>
    </row>
    <row r="1913" spans="2:3">
      <c r="B1913" s="157">
        <v>45219</v>
      </c>
      <c r="C1913" s="158">
        <v>65397.62</v>
      </c>
    </row>
    <row r="1914" spans="2:3">
      <c r="B1914" s="157">
        <v>45222</v>
      </c>
      <c r="C1914" s="158">
        <v>64571.88</v>
      </c>
    </row>
    <row r="1915" spans="2:3">
      <c r="B1915" s="157">
        <v>45224</v>
      </c>
      <c r="C1915" s="158">
        <v>64049.06</v>
      </c>
    </row>
    <row r="1916" spans="2:3">
      <c r="B1916" s="157">
        <v>45225</v>
      </c>
      <c r="C1916" s="158">
        <v>63148.15</v>
      </c>
    </row>
    <row r="1917" spans="2:3">
      <c r="B1917" s="157">
        <v>45226</v>
      </c>
      <c r="C1917" s="158">
        <v>63782.8</v>
      </c>
    </row>
    <row r="1918" spans="2:3">
      <c r="B1918" s="157">
        <v>45229</v>
      </c>
      <c r="C1918" s="158">
        <v>64112.65</v>
      </c>
    </row>
    <row r="1919" spans="2:3">
      <c r="B1919" s="157">
        <v>45230</v>
      </c>
      <c r="C1919" s="158">
        <v>63874.93</v>
      </c>
    </row>
    <row r="1920" spans="2:3">
      <c r="B1920" s="157">
        <v>45231</v>
      </c>
      <c r="C1920" s="158">
        <v>63591.33</v>
      </c>
    </row>
    <row r="1921" spans="2:3">
      <c r="B1921" s="157">
        <v>45232</v>
      </c>
      <c r="C1921" s="158">
        <v>64080.9</v>
      </c>
    </row>
    <row r="1922" spans="2:3">
      <c r="B1922" s="157">
        <v>45233</v>
      </c>
      <c r="C1922" s="158">
        <v>64363.78</v>
      </c>
    </row>
    <row r="1923" spans="2:3">
      <c r="B1923" s="157">
        <v>45236</v>
      </c>
      <c r="C1923" s="158">
        <v>64958.69</v>
      </c>
    </row>
    <row r="1924" spans="2:3">
      <c r="B1924" s="157">
        <v>45237</v>
      </c>
      <c r="C1924" s="158">
        <v>64942.400000000001</v>
      </c>
    </row>
    <row r="1925" spans="2:3">
      <c r="B1925" s="157">
        <v>45238</v>
      </c>
      <c r="C1925" s="158">
        <v>64975.61</v>
      </c>
    </row>
    <row r="1926" spans="2:3">
      <c r="B1926" s="157">
        <v>45239</v>
      </c>
      <c r="C1926" s="158">
        <v>64832.2</v>
      </c>
    </row>
    <row r="1927" spans="2:3">
      <c r="B1927" s="157">
        <v>45240</v>
      </c>
      <c r="C1927" s="158">
        <v>64904.68</v>
      </c>
    </row>
    <row r="1928" spans="2:3">
      <c r="B1928" s="157">
        <v>45242</v>
      </c>
      <c r="C1928" s="158">
        <v>65259.45</v>
      </c>
    </row>
    <row r="1929" spans="2:3">
      <c r="B1929" s="157">
        <v>45243</v>
      </c>
      <c r="C1929" s="158">
        <v>64933.87</v>
      </c>
    </row>
    <row r="1930" spans="2:3">
      <c r="B1930" s="157">
        <v>45245</v>
      </c>
      <c r="C1930" s="158">
        <v>65675.929999999993</v>
      </c>
    </row>
    <row r="1931" spans="2:3">
      <c r="B1931" s="157">
        <v>45246</v>
      </c>
      <c r="C1931" s="158">
        <v>65982.48</v>
      </c>
    </row>
    <row r="1932" spans="2:3">
      <c r="B1932" s="157">
        <v>45247</v>
      </c>
      <c r="C1932" s="158">
        <v>65794.73</v>
      </c>
    </row>
    <row r="1933" spans="2:3">
      <c r="B1933" s="157">
        <v>45250</v>
      </c>
      <c r="C1933" s="158">
        <v>65655.149999999994</v>
      </c>
    </row>
    <row r="1934" spans="2:3">
      <c r="B1934" s="157">
        <v>45251</v>
      </c>
      <c r="C1934" s="158">
        <v>65930.77</v>
      </c>
    </row>
    <row r="1935" spans="2:3">
      <c r="B1935" s="157">
        <v>45252</v>
      </c>
      <c r="C1935" s="158">
        <v>66023.240000000005</v>
      </c>
    </row>
    <row r="1936" spans="2:3">
      <c r="B1936" s="157">
        <v>45253</v>
      </c>
      <c r="C1936" s="158">
        <v>66017.81</v>
      </c>
    </row>
    <row r="1937" spans="2:3">
      <c r="B1937" s="157">
        <v>45254</v>
      </c>
      <c r="C1937" s="158">
        <v>65970.039999999994</v>
      </c>
    </row>
    <row r="1938" spans="2:3">
      <c r="B1938" s="157">
        <v>45258</v>
      </c>
      <c r="C1938" s="158">
        <v>66174.2</v>
      </c>
    </row>
    <row r="1939" spans="2:3">
      <c r="B1939" s="157">
        <v>45259</v>
      </c>
      <c r="C1939" s="158">
        <v>66901.91</v>
      </c>
    </row>
    <row r="1940" spans="2:3">
      <c r="B1940" s="157">
        <v>45260</v>
      </c>
      <c r="C1940" s="158">
        <v>66988.44</v>
      </c>
    </row>
    <row r="1941" spans="2:3">
      <c r="B1941" s="157">
        <v>45261</v>
      </c>
      <c r="C1941" s="158">
        <v>67481.19</v>
      </c>
    </row>
    <row r="1942" spans="2:3">
      <c r="B1942" s="157">
        <v>45264</v>
      </c>
      <c r="C1942" s="158">
        <v>68865.119999999995</v>
      </c>
    </row>
    <row r="1943" spans="2:3">
      <c r="B1943" s="157">
        <v>45265</v>
      </c>
      <c r="C1943" s="158">
        <v>69296.14</v>
      </c>
    </row>
    <row r="1944" spans="2:3">
      <c r="B1944" s="157">
        <v>45266</v>
      </c>
      <c r="C1944" s="158">
        <v>69653.73</v>
      </c>
    </row>
    <row r="1945" spans="2:3">
      <c r="B1945" s="157">
        <v>45267</v>
      </c>
      <c r="C1945" s="158">
        <v>69521.69</v>
      </c>
    </row>
    <row r="1946" spans="2:3">
      <c r="B1946" s="157">
        <v>45268</v>
      </c>
      <c r="C1946" s="158">
        <v>69825.600000000006</v>
      </c>
    </row>
    <row r="1947" spans="2:3">
      <c r="B1947" s="157">
        <v>45271</v>
      </c>
      <c r="C1947" s="158">
        <v>69928.53</v>
      </c>
    </row>
    <row r="1948" spans="2:3">
      <c r="B1948" s="157">
        <v>45272</v>
      </c>
      <c r="C1948" s="158">
        <v>69551.03</v>
      </c>
    </row>
    <row r="1949" spans="2:3">
      <c r="B1949" s="157">
        <v>45273</v>
      </c>
      <c r="C1949" s="158">
        <v>69584.600000000006</v>
      </c>
    </row>
    <row r="1950" spans="2:3">
      <c r="B1950" s="157">
        <v>45274</v>
      </c>
      <c r="C1950" s="158">
        <v>70514.2</v>
      </c>
    </row>
    <row r="1951" spans="2:3">
      <c r="B1951" s="157">
        <v>45275</v>
      </c>
      <c r="C1951" s="158">
        <v>71483.75</v>
      </c>
    </row>
    <row r="1952" spans="2:3">
      <c r="B1952" s="157">
        <v>45278</v>
      </c>
      <c r="C1952" s="158">
        <v>71315.09</v>
      </c>
    </row>
    <row r="1953" spans="2:3">
      <c r="B1953" s="157">
        <v>45279</v>
      </c>
      <c r="C1953" s="158">
        <v>71437.19</v>
      </c>
    </row>
    <row r="1954" spans="2:3">
      <c r="B1954" s="157">
        <v>45280</v>
      </c>
      <c r="C1954" s="158">
        <v>70506.31</v>
      </c>
    </row>
    <row r="1955" spans="2:3">
      <c r="B1955" s="157">
        <v>45281</v>
      </c>
      <c r="C1955" s="158">
        <v>70865.100000000006</v>
      </c>
    </row>
    <row r="1956" spans="2:3">
      <c r="B1956" s="157">
        <v>45282</v>
      </c>
      <c r="C1956" s="158">
        <v>71106.960000000006</v>
      </c>
    </row>
    <row r="1957" spans="2:3">
      <c r="B1957" s="157">
        <v>45286</v>
      </c>
      <c r="C1957" s="158">
        <v>71336.800000000003</v>
      </c>
    </row>
    <row r="1958" spans="2:3">
      <c r="B1958" s="157">
        <v>45287</v>
      </c>
      <c r="C1958" s="158">
        <v>72038.429999999993</v>
      </c>
    </row>
    <row r="1959" spans="2:3">
      <c r="B1959" s="157">
        <v>45288</v>
      </c>
      <c r="C1959" s="158">
        <v>72410.38</v>
      </c>
    </row>
    <row r="1960" spans="2:3">
      <c r="B1960" s="157">
        <v>45289</v>
      </c>
      <c r="C1960" s="158">
        <v>72240.259999999995</v>
      </c>
    </row>
    <row r="1961" spans="2:3">
      <c r="B1961" s="157">
        <v>45292</v>
      </c>
      <c r="C1961" s="158">
        <v>72271.94</v>
      </c>
    </row>
    <row r="1962" spans="2:3">
      <c r="B1962" s="157">
        <v>45293</v>
      </c>
      <c r="C1962" s="158">
        <v>71892.479999999996</v>
      </c>
    </row>
    <row r="1963" spans="2:3">
      <c r="B1963" s="157">
        <v>45294</v>
      </c>
      <c r="C1963" s="158">
        <v>71356.600000000006</v>
      </c>
    </row>
    <row r="1964" spans="2:3">
      <c r="B1964" s="157">
        <v>45295</v>
      </c>
      <c r="C1964" s="158">
        <v>71847.570000000007</v>
      </c>
    </row>
    <row r="1965" spans="2:3">
      <c r="B1965" s="157">
        <v>45296</v>
      </c>
      <c r="C1965" s="158">
        <v>72026.149999999994</v>
      </c>
    </row>
    <row r="1966" spans="2:3">
      <c r="B1966" s="157">
        <v>45299</v>
      </c>
      <c r="C1966" s="158">
        <v>71355.22</v>
      </c>
    </row>
    <row r="1967" spans="2:3">
      <c r="B1967" s="157">
        <v>45300</v>
      </c>
      <c r="C1967" s="158">
        <v>71386.210000000006</v>
      </c>
    </row>
    <row r="1968" spans="2:3">
      <c r="B1968" s="157">
        <v>45301</v>
      </c>
      <c r="C1968" s="158">
        <v>71657.710000000006</v>
      </c>
    </row>
    <row r="1969" spans="2:3">
      <c r="B1969" s="157">
        <v>45302</v>
      </c>
      <c r="C1969" s="158">
        <v>71721.179999999993</v>
      </c>
    </row>
    <row r="1970" spans="2:3">
      <c r="B1970" s="157">
        <v>45303</v>
      </c>
      <c r="C1970" s="158">
        <v>72568.45</v>
      </c>
    </row>
    <row r="1971" spans="2:3">
      <c r="B1971" s="157">
        <v>45306</v>
      </c>
      <c r="C1971" s="158">
        <v>73327.94</v>
      </c>
    </row>
    <row r="1972" spans="2:3">
      <c r="B1972" s="157">
        <v>45307</v>
      </c>
      <c r="C1972" s="158">
        <v>73128.77</v>
      </c>
    </row>
    <row r="1973" spans="2:3">
      <c r="B1973" s="157">
        <v>45308</v>
      </c>
      <c r="C1973" s="158">
        <v>71500.759999999995</v>
      </c>
    </row>
    <row r="1974" spans="2:3">
      <c r="B1974" s="157">
        <v>45309</v>
      </c>
      <c r="C1974" s="158">
        <v>71186.86</v>
      </c>
    </row>
    <row r="1975" spans="2:3">
      <c r="B1975" s="157">
        <v>45310</v>
      </c>
      <c r="C1975" s="158">
        <v>71683.23</v>
      </c>
    </row>
    <row r="1976" spans="2:3">
      <c r="B1976" s="157">
        <v>45311</v>
      </c>
      <c r="C1976" s="158">
        <v>71423.649999999994</v>
      </c>
    </row>
    <row r="1977" spans="2:3">
      <c r="B1977" s="157">
        <v>45314</v>
      </c>
      <c r="C1977" s="158">
        <v>70370.55</v>
      </c>
    </row>
    <row r="1978" spans="2:3">
      <c r="B1978" s="157">
        <v>45315</v>
      </c>
      <c r="C1978" s="158">
        <v>71060.31</v>
      </c>
    </row>
    <row r="1979" spans="2:3">
      <c r="B1979" s="157">
        <v>45316</v>
      </c>
      <c r="C1979" s="158">
        <v>70700.67</v>
      </c>
    </row>
    <row r="1980" spans="2:3">
      <c r="B1980" s="157">
        <v>45320</v>
      </c>
      <c r="C1980" s="158">
        <v>71941.570000000007</v>
      </c>
    </row>
    <row r="1981" spans="2:3">
      <c r="B1981" s="157">
        <v>45321</v>
      </c>
      <c r="C1981" s="158">
        <v>71139.899999999994</v>
      </c>
    </row>
    <row r="1982" spans="2:3">
      <c r="B1982" s="157">
        <v>45322</v>
      </c>
      <c r="C1982" s="158">
        <v>71752.11</v>
      </c>
    </row>
    <row r="1983" spans="2:3">
      <c r="B1983" s="157">
        <v>45323</v>
      </c>
      <c r="C1983" s="158">
        <v>71645.3</v>
      </c>
    </row>
    <row r="1984" spans="2:3">
      <c r="B1984" s="157">
        <v>45324</v>
      </c>
      <c r="C1984" s="158">
        <v>72085.63</v>
      </c>
    </row>
    <row r="1985" spans="2:3">
      <c r="B1985" s="157">
        <v>45327</v>
      </c>
      <c r="C1985" s="158">
        <v>71731.42</v>
      </c>
    </row>
    <row r="1986" spans="2:3">
      <c r="B1986" s="157">
        <v>45328</v>
      </c>
      <c r="C1986" s="158">
        <v>72186.09</v>
      </c>
    </row>
    <row r="1987" spans="2:3">
      <c r="B1987" s="157">
        <v>45329</v>
      </c>
      <c r="C1987" s="158">
        <v>72152</v>
      </c>
    </row>
    <row r="1988" spans="2:3">
      <c r="B1988" s="157">
        <v>45330</v>
      </c>
      <c r="C1988" s="158">
        <v>71428.429999999993</v>
      </c>
    </row>
    <row r="1989" spans="2:3">
      <c r="B1989" s="157">
        <v>45331</v>
      </c>
      <c r="C1989" s="158">
        <v>71595.490000000005</v>
      </c>
    </row>
    <row r="1990" spans="2:3">
      <c r="B1990" s="157">
        <v>45334</v>
      </c>
      <c r="C1990" s="158">
        <v>71072.490000000005</v>
      </c>
    </row>
    <row r="1991" spans="2:3">
      <c r="B1991" s="157">
        <v>45335</v>
      </c>
      <c r="C1991" s="158">
        <v>71555.19</v>
      </c>
    </row>
    <row r="1992" spans="2:3">
      <c r="B1992" s="157">
        <v>45336</v>
      </c>
      <c r="C1992" s="158">
        <v>71822.83</v>
      </c>
    </row>
    <row r="1993" spans="2:3">
      <c r="B1993" s="157">
        <v>45337</v>
      </c>
      <c r="C1993" s="158">
        <v>72050.38</v>
      </c>
    </row>
    <row r="1994" spans="2:3">
      <c r="B1994" s="157">
        <v>45338</v>
      </c>
      <c r="C1994" s="158">
        <v>72426.64</v>
      </c>
    </row>
    <row r="1995" spans="2:3">
      <c r="B1995" s="157">
        <v>45341</v>
      </c>
      <c r="C1995" s="158">
        <v>72708.160000000003</v>
      </c>
    </row>
    <row r="1996" spans="2:3">
      <c r="B1996" s="157">
        <v>45342</v>
      </c>
      <c r="C1996" s="158">
        <v>73057.399999999994</v>
      </c>
    </row>
    <row r="1997" spans="2:3">
      <c r="B1997" s="157">
        <v>45343</v>
      </c>
      <c r="C1997" s="158">
        <v>72623.09</v>
      </c>
    </row>
    <row r="1998" spans="2:3">
      <c r="B1998" s="157">
        <v>45344</v>
      </c>
      <c r="C1998" s="158">
        <v>73158.240000000005</v>
      </c>
    </row>
    <row r="1999" spans="2:3">
      <c r="B1999" s="157">
        <v>45345</v>
      </c>
      <c r="C1999" s="158">
        <v>73142.8</v>
      </c>
    </row>
    <row r="2000" spans="2:3">
      <c r="B2000" s="157">
        <v>45348</v>
      </c>
      <c r="C2000" s="158">
        <v>72790.13</v>
      </c>
    </row>
    <row r="2001" spans="2:3">
      <c r="B2001" s="157">
        <v>45349</v>
      </c>
      <c r="C2001" s="158">
        <v>73095.22</v>
      </c>
    </row>
    <row r="2002" spans="2:3">
      <c r="B2002" s="157">
        <v>45350</v>
      </c>
      <c r="C2002" s="158">
        <v>72304.88</v>
      </c>
    </row>
    <row r="2003" spans="2:3">
      <c r="B2003" s="157">
        <v>45351</v>
      </c>
      <c r="C2003" s="158">
        <v>72500.3</v>
      </c>
    </row>
    <row r="2004" spans="2:3">
      <c r="B2004" s="157">
        <v>45352</v>
      </c>
      <c r="C2004" s="158">
        <v>73745.350000000006</v>
      </c>
    </row>
    <row r="2005" spans="2:3">
      <c r="B2005" s="157">
        <v>45353</v>
      </c>
      <c r="C2005" s="158">
        <v>73806.149999999994</v>
      </c>
    </row>
    <row r="2006" spans="2:3">
      <c r="B2006" s="157">
        <v>45355</v>
      </c>
      <c r="C2006" s="158">
        <v>73872.289999999994</v>
      </c>
    </row>
    <row r="2007" spans="2:3">
      <c r="B2007" s="157">
        <v>45356</v>
      </c>
      <c r="C2007" s="158">
        <v>73677.13</v>
      </c>
    </row>
    <row r="2008" spans="2:3">
      <c r="B2008" s="157">
        <v>45357</v>
      </c>
      <c r="C2008" s="158">
        <v>74085.990000000005</v>
      </c>
    </row>
    <row r="2009" spans="2:3">
      <c r="B2009" s="157">
        <v>45358</v>
      </c>
      <c r="C2009" s="158">
        <v>74119.39</v>
      </c>
    </row>
    <row r="2010" spans="2:3">
      <c r="B2010" s="157">
        <v>45362</v>
      </c>
      <c r="C2010" s="158">
        <v>73502.64</v>
      </c>
    </row>
    <row r="2011" spans="2:3">
      <c r="B2011" s="157">
        <v>45363</v>
      </c>
      <c r="C2011" s="158">
        <v>73667.960000000006</v>
      </c>
    </row>
    <row r="2012" spans="2:3">
      <c r="B2012" s="157">
        <v>45364</v>
      </c>
      <c r="C2012" s="158">
        <v>72761.89</v>
      </c>
    </row>
    <row r="2013" spans="2:3">
      <c r="B2013" s="157">
        <v>45365</v>
      </c>
      <c r="C2013" s="158">
        <v>73097.279999999999</v>
      </c>
    </row>
    <row r="2014" spans="2:3">
      <c r="B2014" s="157">
        <v>45366</v>
      </c>
      <c r="C2014" s="158">
        <v>72643.429999999993</v>
      </c>
    </row>
    <row r="2015" spans="2:3">
      <c r="B2015" s="157">
        <v>45369</v>
      </c>
      <c r="C2015" s="158">
        <v>72748.42</v>
      </c>
    </row>
    <row r="2016" spans="2:3">
      <c r="B2016" s="157">
        <v>45370</v>
      </c>
      <c r="C2016" s="158">
        <v>72012.05</v>
      </c>
    </row>
    <row r="2017" spans="2:3">
      <c r="B2017" s="157">
        <v>45371</v>
      </c>
      <c r="C2017" s="158">
        <v>72101.69</v>
      </c>
    </row>
    <row r="2018" spans="2:3">
      <c r="B2018" s="157">
        <v>45372</v>
      </c>
      <c r="C2018" s="158">
        <v>72641.19</v>
      </c>
    </row>
    <row r="2019" spans="2:3">
      <c r="B2019" s="157">
        <v>45373</v>
      </c>
      <c r="C2019" s="158">
        <v>72831.94</v>
      </c>
    </row>
    <row r="2020" spans="2:3">
      <c r="B2020" s="157">
        <v>45377</v>
      </c>
      <c r="C2020" s="158">
        <v>72470.3</v>
      </c>
    </row>
    <row r="2021" spans="2:3">
      <c r="B2021" s="157">
        <v>45378</v>
      </c>
      <c r="C2021" s="158">
        <v>72996.31</v>
      </c>
    </row>
    <row r="2022" spans="2:3">
      <c r="B2022" s="157">
        <v>45379</v>
      </c>
      <c r="C2022" s="158">
        <v>73651.350000000006</v>
      </c>
    </row>
    <row r="2023" spans="2:3">
      <c r="B2023" s="157">
        <v>45383</v>
      </c>
      <c r="C2023" s="158">
        <v>74014.55</v>
      </c>
    </row>
    <row r="2024" spans="2:3">
      <c r="B2024" s="157">
        <v>45384</v>
      </c>
      <c r="C2024" s="158">
        <v>73903.91</v>
      </c>
    </row>
    <row r="2025" spans="2:3">
      <c r="B2025" s="157">
        <v>45385</v>
      </c>
      <c r="C2025" s="158">
        <v>73876.820000000007</v>
      </c>
    </row>
    <row r="2026" spans="2:3">
      <c r="B2026" s="157">
        <v>45386</v>
      </c>
      <c r="C2026" s="158">
        <v>74227.63</v>
      </c>
    </row>
    <row r="2027" spans="2:3">
      <c r="B2027" s="157">
        <v>45387</v>
      </c>
      <c r="C2027" s="158">
        <v>74248.22</v>
      </c>
    </row>
    <row r="2028" spans="2:3">
      <c r="B2028" s="157">
        <v>45390</v>
      </c>
      <c r="C2028" s="158">
        <v>74742.5</v>
      </c>
    </row>
    <row r="2029" spans="2:3">
      <c r="B2029" s="157">
        <v>45391</v>
      </c>
      <c r="C2029" s="158">
        <v>74683.7</v>
      </c>
    </row>
    <row r="2030" spans="2:3">
      <c r="B2030" s="157">
        <v>45392</v>
      </c>
      <c r="C2030" s="158">
        <v>75038.149999999994</v>
      </c>
    </row>
    <row r="2031" spans="2:3">
      <c r="B2031" s="157">
        <v>45394</v>
      </c>
      <c r="C2031" s="158">
        <v>74244.899999999994</v>
      </c>
    </row>
    <row r="2032" spans="2:3">
      <c r="B2032" s="157">
        <v>45397</v>
      </c>
      <c r="C2032" s="158">
        <v>73399.78</v>
      </c>
    </row>
    <row r="2033" spans="2:3">
      <c r="B2033" s="157">
        <v>45398</v>
      </c>
      <c r="C2033" s="158">
        <v>72943.679999999993</v>
      </c>
    </row>
    <row r="2034" spans="2:3">
      <c r="B2034" s="157">
        <v>45400</v>
      </c>
      <c r="C2034" s="158">
        <v>72488.990000000005</v>
      </c>
    </row>
    <row r="2035" spans="2:3">
      <c r="B2035" s="157">
        <v>45401</v>
      </c>
      <c r="C2035" s="158">
        <v>73088.33</v>
      </c>
    </row>
    <row r="2036" spans="2:3">
      <c r="B2036" s="157">
        <v>45404</v>
      </c>
      <c r="C2036" s="158">
        <v>73648.62</v>
      </c>
    </row>
    <row r="2037" spans="2:3">
      <c r="B2037" s="157">
        <v>45405</v>
      </c>
      <c r="C2037" s="158">
        <v>73738.45</v>
      </c>
    </row>
    <row r="2038" spans="2:3">
      <c r="B2038" s="157">
        <v>45406</v>
      </c>
      <c r="C2038" s="158">
        <v>73852.94</v>
      </c>
    </row>
    <row r="2039" spans="2:3">
      <c r="B2039" s="157">
        <v>45407</v>
      </c>
      <c r="C2039" s="158">
        <v>74339.44</v>
      </c>
    </row>
    <row r="2040" spans="2:3">
      <c r="B2040" s="157">
        <v>45408</v>
      </c>
      <c r="C2040" s="158">
        <v>73730.16</v>
      </c>
    </row>
    <row r="2041" spans="2:3">
      <c r="B2041" s="157">
        <v>45411</v>
      </c>
      <c r="C2041" s="158">
        <v>74671.28</v>
      </c>
    </row>
    <row r="2042" spans="2:3">
      <c r="B2042" s="157">
        <v>45412</v>
      </c>
      <c r="C2042" s="158">
        <v>74482.78</v>
      </c>
    </row>
    <row r="2043" spans="2:3">
      <c r="B2043" s="157">
        <v>45414</v>
      </c>
      <c r="C2043" s="158">
        <v>74611.11</v>
      </c>
    </row>
    <row r="2044" spans="2:3">
      <c r="B2044" s="157">
        <v>45415</v>
      </c>
      <c r="C2044" s="158">
        <v>73878.149999999994</v>
      </c>
    </row>
    <row r="2045" spans="2:3">
      <c r="B2045" s="157">
        <v>45418</v>
      </c>
      <c r="C2045" s="158">
        <v>73895.539999999994</v>
      </c>
    </row>
    <row r="2046" spans="2:3">
      <c r="B2046" s="157">
        <v>45419</v>
      </c>
      <c r="C2046" s="158">
        <v>73511.850000000006</v>
      </c>
    </row>
    <row r="2047" spans="2:3">
      <c r="B2047" s="157">
        <v>45420</v>
      </c>
      <c r="C2047" s="158">
        <v>73466.39</v>
      </c>
    </row>
    <row r="2048" spans="2:3">
      <c r="B2048" s="157">
        <v>45421</v>
      </c>
      <c r="C2048" s="158">
        <v>72404.17</v>
      </c>
    </row>
    <row r="2049" spans="2:3">
      <c r="B2049" s="157">
        <v>45422</v>
      </c>
      <c r="C2049" s="158">
        <v>72664.47</v>
      </c>
    </row>
    <row r="2050" spans="2:3">
      <c r="B2050" s="157">
        <v>45425</v>
      </c>
      <c r="C2050" s="158">
        <v>72776.13</v>
      </c>
    </row>
    <row r="2051" spans="2:3">
      <c r="B2051" s="157">
        <v>45426</v>
      </c>
      <c r="C2051" s="158">
        <v>73104.61</v>
      </c>
    </row>
    <row r="2052" spans="2:3">
      <c r="B2052" s="157">
        <v>45427</v>
      </c>
      <c r="C2052" s="158">
        <v>72987.03</v>
      </c>
    </row>
    <row r="2053" spans="2:3">
      <c r="B2053" s="157">
        <v>45428</v>
      </c>
      <c r="C2053" s="158">
        <v>73663.72</v>
      </c>
    </row>
    <row r="2054" spans="2:3">
      <c r="B2054" s="157">
        <v>45429</v>
      </c>
      <c r="C2054" s="158">
        <v>73917.03</v>
      </c>
    </row>
    <row r="2055" spans="2:3">
      <c r="B2055" s="157">
        <v>45430</v>
      </c>
      <c r="C2055" s="158">
        <v>74005.94</v>
      </c>
    </row>
    <row r="2056" spans="2:3">
      <c r="B2056" s="157">
        <v>45433</v>
      </c>
      <c r="C2056" s="158">
        <v>73953.31</v>
      </c>
    </row>
    <row r="2057" spans="2:3">
      <c r="B2057" s="157">
        <v>45434</v>
      </c>
      <c r="C2057" s="158">
        <v>74221.06</v>
      </c>
    </row>
    <row r="2058" spans="2:3">
      <c r="B2058" s="157">
        <v>45435</v>
      </c>
      <c r="C2058" s="158">
        <v>75418.039999999994</v>
      </c>
    </row>
    <row r="2059" spans="2:3">
      <c r="B2059" s="157">
        <v>45436</v>
      </c>
      <c r="C2059" s="158">
        <v>75410.39</v>
      </c>
    </row>
    <row r="2060" spans="2:3">
      <c r="B2060" s="157">
        <v>45439</v>
      </c>
      <c r="C2060" s="158">
        <v>75390.5</v>
      </c>
    </row>
    <row r="2061" spans="2:3">
      <c r="B2061" s="157">
        <v>45440</v>
      </c>
      <c r="C2061" s="158">
        <v>75170.45</v>
      </c>
    </row>
    <row r="2062" spans="2:3">
      <c r="B2062" s="157">
        <v>45441</v>
      </c>
      <c r="C2062" s="158">
        <v>74502.899999999994</v>
      </c>
    </row>
    <row r="2063" spans="2:3">
      <c r="B2063" s="157">
        <v>45442</v>
      </c>
      <c r="C2063" s="158">
        <v>73885.600000000006</v>
      </c>
    </row>
    <row r="2064" spans="2:3">
      <c r="B2064" s="157">
        <v>45443</v>
      </c>
      <c r="C2064" s="158">
        <v>73961.31</v>
      </c>
    </row>
    <row r="2065" spans="2:3">
      <c r="B2065" s="157">
        <v>45446</v>
      </c>
      <c r="C2065" s="158">
        <v>76468.78</v>
      </c>
    </row>
    <row r="2066" spans="2:3">
      <c r="B2066" s="157">
        <v>45447</v>
      </c>
      <c r="C2066" s="158">
        <v>72079.05</v>
      </c>
    </row>
    <row r="2067" spans="2:3">
      <c r="B2067" s="157">
        <v>45448</v>
      </c>
      <c r="C2067" s="158">
        <v>74382.240000000005</v>
      </c>
    </row>
    <row r="2068" spans="2:3">
      <c r="B2068" s="157">
        <v>45449</v>
      </c>
      <c r="C2068" s="158">
        <v>75074.509999999995</v>
      </c>
    </row>
    <row r="2069" spans="2:3">
      <c r="B2069" s="157">
        <v>45450</v>
      </c>
      <c r="C2069" s="158">
        <v>76693.36</v>
      </c>
    </row>
    <row r="2070" spans="2:3">
      <c r="B2070" s="157">
        <v>45453</v>
      </c>
      <c r="C2070" s="158">
        <v>76490.080000000002</v>
      </c>
    </row>
    <row r="2071" spans="2:3">
      <c r="B2071" s="157">
        <v>45454</v>
      </c>
      <c r="C2071" s="158">
        <v>76456.59</v>
      </c>
    </row>
    <row r="2072" spans="2:3">
      <c r="B2072" s="157">
        <v>45455</v>
      </c>
      <c r="C2072" s="158">
        <v>76606.570000000007</v>
      </c>
    </row>
    <row r="2073" spans="2:3">
      <c r="B2073" s="157">
        <v>45456</v>
      </c>
      <c r="C2073" s="158">
        <v>76810.899999999994</v>
      </c>
    </row>
    <row r="2074" spans="2:3">
      <c r="B2074" s="157">
        <v>45457</v>
      </c>
      <c r="C2074" s="158">
        <v>76992.77</v>
      </c>
    </row>
    <row r="2075" spans="2:3">
      <c r="B2075" s="157">
        <v>45461</v>
      </c>
      <c r="C2075" s="158">
        <v>77301.14</v>
      </c>
    </row>
    <row r="2076" spans="2:3">
      <c r="B2076" s="157">
        <v>45462</v>
      </c>
      <c r="C2076" s="158">
        <v>77337.59</v>
      </c>
    </row>
    <row r="2077" spans="2:3">
      <c r="B2077" s="157">
        <v>45463</v>
      </c>
      <c r="C2077" s="158">
        <v>77478.929999999993</v>
      </c>
    </row>
    <row r="2078" spans="2:3">
      <c r="B2078" s="157">
        <v>45464</v>
      </c>
      <c r="C2078" s="158">
        <v>77209.899999999994</v>
      </c>
    </row>
    <row r="2079" spans="2:3">
      <c r="B2079" s="157">
        <v>45467</v>
      </c>
      <c r="C2079" s="158">
        <v>77341.08</v>
      </c>
    </row>
    <row r="2080" spans="2:3">
      <c r="B2080" s="157">
        <v>45468</v>
      </c>
      <c r="C2080" s="158">
        <v>78053.52</v>
      </c>
    </row>
    <row r="2081" spans="2:3">
      <c r="B2081" s="157">
        <v>45469</v>
      </c>
      <c r="C2081" s="158">
        <v>78674.25</v>
      </c>
    </row>
    <row r="2082" spans="2:3">
      <c r="B2082" s="157">
        <v>45470</v>
      </c>
      <c r="C2082" s="158">
        <v>79243.179999999993</v>
      </c>
    </row>
    <row r="2083" spans="2:3">
      <c r="B2083" s="157">
        <v>45471</v>
      </c>
      <c r="C2083" s="158">
        <v>79032.73</v>
      </c>
    </row>
    <row r="2084" spans="2:3">
      <c r="B2084" s="157">
        <v>45474</v>
      </c>
      <c r="C2084" s="158">
        <v>79476.19</v>
      </c>
    </row>
    <row r="2085" spans="2:3">
      <c r="B2085" s="157">
        <v>45475</v>
      </c>
      <c r="C2085" s="158">
        <v>79441.45</v>
      </c>
    </row>
    <row r="2086" spans="2:3">
      <c r="B2086" s="157">
        <v>45476</v>
      </c>
      <c r="C2086" s="158">
        <v>79986.8</v>
      </c>
    </row>
    <row r="2087" spans="2:3">
      <c r="B2087" s="157">
        <v>45477</v>
      </c>
      <c r="C2087" s="158">
        <v>80049.67</v>
      </c>
    </row>
    <row r="2088" spans="2:3">
      <c r="B2088" s="157">
        <v>45478</v>
      </c>
      <c r="C2088" s="158">
        <v>79996.600000000006</v>
      </c>
    </row>
    <row r="2089" spans="2:3">
      <c r="B2089" s="157">
        <v>45481</v>
      </c>
      <c r="C2089" s="158">
        <v>79960.38</v>
      </c>
    </row>
    <row r="2090" spans="2:3">
      <c r="B2090" s="157">
        <v>45482</v>
      </c>
      <c r="C2090" s="158">
        <v>80351.64</v>
      </c>
    </row>
    <row r="2091" spans="2:3">
      <c r="B2091" s="157">
        <v>45483</v>
      </c>
      <c r="C2091" s="158">
        <v>79924.77</v>
      </c>
    </row>
    <row r="2092" spans="2:3">
      <c r="B2092" s="157">
        <v>45484</v>
      </c>
      <c r="C2092" s="158">
        <v>79897.34</v>
      </c>
    </row>
    <row r="2093" spans="2:3">
      <c r="B2093" s="157">
        <v>45485</v>
      </c>
      <c r="C2093" s="158">
        <v>80519.34</v>
      </c>
    </row>
    <row r="2094" spans="2:3">
      <c r="B2094" s="157">
        <v>45488</v>
      </c>
      <c r="C2094" s="158">
        <v>80664.86</v>
      </c>
    </row>
    <row r="2095" spans="2:3">
      <c r="B2095" s="157">
        <v>45489</v>
      </c>
      <c r="C2095" s="158">
        <v>80716.55</v>
      </c>
    </row>
    <row r="2096" spans="2:3">
      <c r="B2096" s="157">
        <v>45491</v>
      </c>
      <c r="C2096" s="158">
        <v>81343.460000000006</v>
      </c>
    </row>
    <row r="2097" spans="2:3">
      <c r="B2097" s="157">
        <v>45492</v>
      </c>
      <c r="C2097" s="158">
        <v>80604.649999999994</v>
      </c>
    </row>
    <row r="2098" spans="2:3">
      <c r="B2098" s="157">
        <v>45495</v>
      </c>
      <c r="C2098" s="158">
        <v>80502.080000000002</v>
      </c>
    </row>
    <row r="2099" spans="2:3">
      <c r="B2099" s="157">
        <v>45496</v>
      </c>
      <c r="C2099" s="158">
        <v>80429.039999999994</v>
      </c>
    </row>
    <row r="2100" spans="2:3">
      <c r="B2100" s="157">
        <v>45497</v>
      </c>
      <c r="C2100" s="158">
        <v>80148.88</v>
      </c>
    </row>
    <row r="2101" spans="2:3">
      <c r="B2101" s="157">
        <v>45498</v>
      </c>
      <c r="C2101" s="158">
        <v>80039.8</v>
      </c>
    </row>
    <row r="2102" spans="2:3">
      <c r="B2102" s="157">
        <v>45499</v>
      </c>
      <c r="C2102" s="158">
        <v>81332.72</v>
      </c>
    </row>
    <row r="2103" spans="2:3">
      <c r="B2103" s="157">
        <v>45502</v>
      </c>
      <c r="C2103" s="158">
        <v>81355.839999999997</v>
      </c>
    </row>
    <row r="2104" spans="2:3">
      <c r="B2104" s="157">
        <v>45503</v>
      </c>
      <c r="C2104" s="158">
        <v>81455.399999999994</v>
      </c>
    </row>
    <row r="2105" spans="2:3">
      <c r="B2105" s="157">
        <v>45504</v>
      </c>
      <c r="C2105" s="158">
        <v>81741.34</v>
      </c>
    </row>
    <row r="2106" spans="2:3">
      <c r="B2106" s="157">
        <v>45505</v>
      </c>
      <c r="C2106" s="158">
        <v>81867.55</v>
      </c>
    </row>
    <row r="2107" spans="2:3">
      <c r="B2107" s="157">
        <v>45506</v>
      </c>
      <c r="C2107" s="158">
        <v>80981.95</v>
      </c>
    </row>
    <row r="2108" spans="2:3">
      <c r="B2108" s="157">
        <v>45509</v>
      </c>
      <c r="C2108" s="158">
        <v>78759.399999999994</v>
      </c>
    </row>
    <row r="2109" spans="2:3">
      <c r="B2109" s="157">
        <v>45510</v>
      </c>
      <c r="C2109" s="158">
        <v>78593.070000000007</v>
      </c>
    </row>
    <row r="2110" spans="2:3">
      <c r="B2110" s="157">
        <v>45511</v>
      </c>
      <c r="C2110" s="158">
        <v>79468.009999999995</v>
      </c>
    </row>
    <row r="2111" spans="2:3">
      <c r="B2111" s="157">
        <v>45512</v>
      </c>
      <c r="C2111" s="158">
        <v>78886.22</v>
      </c>
    </row>
    <row r="2112" spans="2:3">
      <c r="B2112" s="157">
        <v>45513</v>
      </c>
      <c r="C2112" s="158">
        <v>79705.91</v>
      </c>
    </row>
    <row r="2113" spans="2:3">
      <c r="B2113" s="157">
        <v>45516</v>
      </c>
      <c r="C2113" s="158">
        <v>79648.92</v>
      </c>
    </row>
    <row r="2114" spans="2:3">
      <c r="B2114" s="157">
        <v>45517</v>
      </c>
      <c r="C2114" s="158">
        <v>78956.03</v>
      </c>
    </row>
    <row r="2115" spans="2:3">
      <c r="B2115" s="157">
        <v>45518</v>
      </c>
      <c r="C2115" s="158">
        <v>79105.88</v>
      </c>
    </row>
    <row r="2116" spans="2:3">
      <c r="B2116" s="157">
        <v>45520</v>
      </c>
      <c r="C2116" s="158">
        <v>80436.84</v>
      </c>
    </row>
    <row r="2117" spans="2:3">
      <c r="B2117" s="157">
        <v>45523</v>
      </c>
      <c r="C2117" s="158">
        <v>80424.679999999993</v>
      </c>
    </row>
    <row r="2118" spans="2:3">
      <c r="B2118" s="157">
        <v>45524</v>
      </c>
      <c r="C2118" s="158">
        <v>80802.86</v>
      </c>
    </row>
    <row r="2119" spans="2:3">
      <c r="B2119" s="157">
        <v>45525</v>
      </c>
      <c r="C2119" s="158">
        <v>80905.3</v>
      </c>
    </row>
    <row r="2120" spans="2:3">
      <c r="B2120" s="157">
        <v>45526</v>
      </c>
      <c r="C2120" s="158">
        <v>81053.19</v>
      </c>
    </row>
    <row r="2121" spans="2:3">
      <c r="B2121" s="157">
        <v>45527</v>
      </c>
      <c r="C2121" s="158">
        <v>81086.210000000006</v>
      </c>
    </row>
    <row r="2122" spans="2:3">
      <c r="B2122" s="157">
        <v>45530</v>
      </c>
      <c r="C2122" s="158">
        <v>81698.11</v>
      </c>
    </row>
    <row r="2123" spans="2:3">
      <c r="B2123" s="157">
        <v>45531</v>
      </c>
      <c r="C2123" s="158">
        <v>81711.759999999995</v>
      </c>
    </row>
    <row r="2124" spans="2:3">
      <c r="B2124" s="157">
        <v>45532</v>
      </c>
      <c r="C2124" s="158">
        <v>81785.56</v>
      </c>
    </row>
    <row r="2125" spans="2:3">
      <c r="B2125" s="157">
        <v>45533</v>
      </c>
      <c r="C2125" s="158">
        <v>82134.61</v>
      </c>
    </row>
    <row r="2126" spans="2:3">
      <c r="B2126" s="157">
        <v>45534</v>
      </c>
      <c r="C2126" s="158">
        <v>82365.77</v>
      </c>
    </row>
    <row r="2127" spans="2:3">
      <c r="B2127" s="157">
        <v>45537</v>
      </c>
      <c r="C2127" s="158">
        <v>82559.839999999997</v>
      </c>
    </row>
    <row r="2128" spans="2:3">
      <c r="B2128" s="157">
        <v>45538</v>
      </c>
      <c r="C2128" s="158">
        <v>82555.44</v>
      </c>
    </row>
    <row r="2129" spans="2:3">
      <c r="B2129" s="157">
        <v>45539</v>
      </c>
      <c r="C2129" s="158">
        <v>82352.639999999999</v>
      </c>
    </row>
    <row r="2130" spans="2:3">
      <c r="B2130" s="157">
        <v>45540</v>
      </c>
      <c r="C2130" s="158">
        <v>82201.16</v>
      </c>
    </row>
    <row r="2131" spans="2:3">
      <c r="B2131" s="157">
        <v>45541</v>
      </c>
      <c r="C2131" s="158">
        <v>81183.929999999993</v>
      </c>
    </row>
    <row r="2132" spans="2:3">
      <c r="B2132" s="157">
        <v>45544</v>
      </c>
      <c r="C2132" s="158">
        <v>81559.539999999994</v>
      </c>
    </row>
    <row r="2133" spans="2:3">
      <c r="B2133" s="157">
        <v>45545</v>
      </c>
      <c r="C2133" s="158">
        <v>81921.289999999994</v>
      </c>
    </row>
    <row r="2134" spans="2:3">
      <c r="B2134" s="157">
        <v>45546</v>
      </c>
      <c r="C2134" s="158">
        <v>81523.16</v>
      </c>
    </row>
    <row r="2135" spans="2:3">
      <c r="B2135" s="157">
        <v>45547</v>
      </c>
      <c r="C2135" s="158">
        <v>82962.710000000006</v>
      </c>
    </row>
    <row r="2136" spans="2:3">
      <c r="B2136" s="157">
        <v>45548</v>
      </c>
      <c r="C2136" s="158">
        <v>82890.94</v>
      </c>
    </row>
    <row r="2137" spans="2:3">
      <c r="B2137" s="157">
        <v>45551</v>
      </c>
      <c r="C2137" s="158">
        <v>82988.78</v>
      </c>
    </row>
    <row r="2138" spans="2:3">
      <c r="B2138" s="157">
        <v>45552</v>
      </c>
      <c r="C2138" s="158">
        <v>83079.66</v>
      </c>
    </row>
    <row r="2139" spans="2:3">
      <c r="B2139" s="157">
        <v>45553</v>
      </c>
      <c r="C2139" s="158">
        <v>82948.23</v>
      </c>
    </row>
    <row r="2140" spans="2:3">
      <c r="B2140" s="157">
        <v>45554</v>
      </c>
      <c r="C2140" s="158">
        <v>83184.800000000003</v>
      </c>
    </row>
    <row r="2141" spans="2:3">
      <c r="B2141" s="157">
        <v>45555</v>
      </c>
      <c r="C2141" s="158">
        <v>84544.31</v>
      </c>
    </row>
    <row r="2142" spans="2:3">
      <c r="B2142" s="157">
        <v>45558</v>
      </c>
      <c r="C2142" s="158">
        <v>84928.61</v>
      </c>
    </row>
    <row r="2143" spans="2:3">
      <c r="B2143" s="157">
        <v>45559</v>
      </c>
      <c r="C2143" s="158">
        <v>84914.04</v>
      </c>
    </row>
    <row r="2144" spans="2:3">
      <c r="B2144" s="157">
        <v>45560</v>
      </c>
      <c r="C2144" s="158">
        <v>85169.87</v>
      </c>
    </row>
    <row r="2145" spans="2:3">
      <c r="B2145" s="157">
        <v>45561</v>
      </c>
      <c r="C2145" s="158">
        <v>85836.12</v>
      </c>
    </row>
    <row r="2146" spans="2:3">
      <c r="B2146" s="157">
        <v>45562</v>
      </c>
      <c r="C2146" s="158">
        <v>85571.85</v>
      </c>
    </row>
    <row r="2147" spans="2:3">
      <c r="B2147" s="157">
        <v>45565</v>
      </c>
      <c r="C2147" s="158">
        <v>84299.78</v>
      </c>
    </row>
    <row r="2148" spans="2:3">
      <c r="B2148" s="157">
        <v>45566</v>
      </c>
      <c r="C2148" s="158">
        <v>84266.29</v>
      </c>
    </row>
    <row r="2149" spans="2:3">
      <c r="B2149" s="157">
        <v>45568</v>
      </c>
      <c r="C2149" s="158">
        <v>82497.100000000006</v>
      </c>
    </row>
    <row r="2150" spans="2:3">
      <c r="B2150" s="157">
        <v>45569</v>
      </c>
      <c r="C2150" s="158">
        <v>81688.45</v>
      </c>
    </row>
    <row r="2151" spans="2:3">
      <c r="B2151" s="157">
        <v>45572</v>
      </c>
      <c r="C2151" s="158">
        <v>81050</v>
      </c>
    </row>
    <row r="2152" spans="2:3">
      <c r="B2152" s="157">
        <v>45573</v>
      </c>
      <c r="C2152" s="158">
        <v>81634.81</v>
      </c>
    </row>
    <row r="2153" spans="2:3">
      <c r="B2153" s="157">
        <v>45574</v>
      </c>
      <c r="C2153" s="158">
        <v>81467.100000000006</v>
      </c>
    </row>
    <row r="2154" spans="2:3">
      <c r="B2154" s="157">
        <v>45575</v>
      </c>
      <c r="C2154" s="158">
        <v>81611.41</v>
      </c>
    </row>
    <row r="2155" spans="2:3">
      <c r="B2155" s="157">
        <v>45576</v>
      </c>
      <c r="C2155" s="158">
        <v>81381.36</v>
      </c>
    </row>
    <row r="2156" spans="2:3">
      <c r="B2156" s="157">
        <v>45579</v>
      </c>
      <c r="C2156" s="158">
        <v>81973.05</v>
      </c>
    </row>
    <row r="2157" spans="2:3">
      <c r="B2157" s="157">
        <v>45580</v>
      </c>
      <c r="C2157" s="158">
        <v>81820.12</v>
      </c>
    </row>
    <row r="2158" spans="2:3">
      <c r="B2158" s="157">
        <v>45581</v>
      </c>
      <c r="C2158" s="158">
        <v>81501.36</v>
      </c>
    </row>
    <row r="2159" spans="2:3">
      <c r="B2159" s="157">
        <v>45582</v>
      </c>
      <c r="C2159" s="158">
        <v>81006.61</v>
      </c>
    </row>
    <row r="2160" spans="2:3">
      <c r="B2160" s="157">
        <v>45583</v>
      </c>
      <c r="C2160" s="158">
        <v>81224.75</v>
      </c>
    </row>
    <row r="2161" spans="2:3">
      <c r="B2161" s="157">
        <v>45586</v>
      </c>
      <c r="C2161" s="158">
        <v>81151.27</v>
      </c>
    </row>
    <row r="2162" spans="2:3">
      <c r="B2162" s="157">
        <v>45587</v>
      </c>
      <c r="C2162" s="158">
        <v>80220.72</v>
      </c>
    </row>
    <row r="2163" spans="2:3">
      <c r="B2163" s="157">
        <v>45588</v>
      </c>
      <c r="C2163" s="158">
        <v>80081.98</v>
      </c>
    </row>
    <row r="2164" spans="2:3">
      <c r="B2164" s="157">
        <v>45589</v>
      </c>
      <c r="C2164" s="158">
        <v>80065.16</v>
      </c>
    </row>
    <row r="2165" spans="2:3">
      <c r="B2165" s="157">
        <v>45590</v>
      </c>
      <c r="C2165" s="158">
        <v>79402.289999999994</v>
      </c>
    </row>
    <row r="2166" spans="2:3">
      <c r="B2166" s="157">
        <v>45593</v>
      </c>
      <c r="C2166" s="158">
        <v>80005.039999999994</v>
      </c>
    </row>
    <row r="2167" spans="2:3">
      <c r="B2167" s="157">
        <v>45594</v>
      </c>
      <c r="C2167" s="158">
        <v>80369.03</v>
      </c>
    </row>
    <row r="2168" spans="2:3">
      <c r="B2168" s="157">
        <v>45595</v>
      </c>
      <c r="C2168" s="158">
        <v>79942.179999999993</v>
      </c>
    </row>
    <row r="2169" spans="2:3">
      <c r="B2169" s="157">
        <v>45596</v>
      </c>
      <c r="C2169" s="158">
        <v>79389.06</v>
      </c>
    </row>
    <row r="2170" spans="2:3">
      <c r="B2170" s="157">
        <v>45597</v>
      </c>
      <c r="C2170" s="158">
        <v>79724.12</v>
      </c>
    </row>
    <row r="2171" spans="2:3">
      <c r="B2171" s="157">
        <v>45600</v>
      </c>
      <c r="C2171" s="158">
        <v>78782.240000000005</v>
      </c>
    </row>
    <row r="2172" spans="2:3">
      <c r="B2172" s="157">
        <v>45601</v>
      </c>
      <c r="C2172" s="158">
        <v>79476.63</v>
      </c>
    </row>
    <row r="2173" spans="2:3">
      <c r="B2173" s="157">
        <v>45602</v>
      </c>
      <c r="C2173" s="158">
        <v>80378.13</v>
      </c>
    </row>
    <row r="2174" spans="2:3">
      <c r="B2174" s="157">
        <v>45603</v>
      </c>
      <c r="C2174" s="158">
        <v>79541.789999999994</v>
      </c>
    </row>
    <row r="2175" spans="2:3">
      <c r="B2175" s="157">
        <v>45604</v>
      </c>
      <c r="C2175" s="158">
        <v>79486.320000000007</v>
      </c>
    </row>
    <row r="2176" spans="2:3">
      <c r="B2176" s="157">
        <v>45607</v>
      </c>
      <c r="C2176" s="158">
        <v>79496.149999999994</v>
      </c>
    </row>
    <row r="2177" spans="2:3">
      <c r="B2177" s="157">
        <v>45608</v>
      </c>
      <c r="C2177" s="158">
        <v>78675.179999999993</v>
      </c>
    </row>
    <row r="2178" spans="2:3">
      <c r="B2178" s="157">
        <v>45609</v>
      </c>
      <c r="C2178" s="158">
        <v>77690.95</v>
      </c>
    </row>
    <row r="2179" spans="2:3">
      <c r="B2179" s="157">
        <v>45610</v>
      </c>
      <c r="C2179" s="158">
        <v>77580.31</v>
      </c>
    </row>
    <row r="2180" spans="2:3">
      <c r="B2180" s="157">
        <v>45614</v>
      </c>
      <c r="C2180" s="158">
        <v>77339.009999999995</v>
      </c>
    </row>
    <row r="2181" spans="2:3">
      <c r="B2181" s="157">
        <v>45615</v>
      </c>
      <c r="C2181" s="158">
        <v>77578.38</v>
      </c>
    </row>
    <row r="2182" spans="2:3">
      <c r="B2182" s="157">
        <v>45617</v>
      </c>
      <c r="C2182" s="158">
        <v>77155.789999999994</v>
      </c>
    </row>
    <row r="2183" spans="2:3">
      <c r="B2183" s="157">
        <v>45618</v>
      </c>
      <c r="C2183" s="158">
        <v>79117.11</v>
      </c>
    </row>
    <row r="2184" spans="2:3">
      <c r="B2184" s="157">
        <v>45621</v>
      </c>
      <c r="C2184" s="158">
        <v>80109.850000000006</v>
      </c>
    </row>
    <row r="2185" spans="2:3">
      <c r="B2185" s="157">
        <v>45622</v>
      </c>
      <c r="C2185" s="158">
        <v>80004.06</v>
      </c>
    </row>
    <row r="2186" spans="2:3">
      <c r="B2186" s="157">
        <v>45623</v>
      </c>
      <c r="C2186" s="158">
        <v>80234.080000000002</v>
      </c>
    </row>
    <row r="2187" spans="2:3">
      <c r="B2187" s="157">
        <v>45624</v>
      </c>
      <c r="C2187" s="158">
        <v>79043.740000000005</v>
      </c>
    </row>
    <row r="2188" spans="2:3">
      <c r="B2188" s="157">
        <v>45625</v>
      </c>
      <c r="C2188" s="158">
        <v>79802.789999999994</v>
      </c>
    </row>
    <row r="2189" spans="2:3">
      <c r="B2189" s="157">
        <v>45628</v>
      </c>
      <c r="C2189" s="158">
        <v>80248.08</v>
      </c>
    </row>
    <row r="2190" spans="2:3">
      <c r="B2190" s="157">
        <v>45629</v>
      </c>
      <c r="C2190" s="158">
        <v>80845.75</v>
      </c>
    </row>
    <row r="2191" spans="2:3">
      <c r="B2191" s="157">
        <v>45630</v>
      </c>
      <c r="C2191" s="158">
        <v>80956.33</v>
      </c>
    </row>
    <row r="2192" spans="2:3">
      <c r="B2192" s="157">
        <v>45631</v>
      </c>
      <c r="C2192" s="158">
        <v>81765.86</v>
      </c>
    </row>
    <row r="2193" spans="2:3">
      <c r="B2193" s="157">
        <v>45632</v>
      </c>
      <c r="C2193" s="158">
        <v>81709.119999999995</v>
      </c>
    </row>
    <row r="2194" spans="2:3">
      <c r="B2194" s="157">
        <v>45635</v>
      </c>
      <c r="C2194" s="158">
        <v>81508.460000000006</v>
      </c>
    </row>
    <row r="2195" spans="2:3">
      <c r="B2195" s="157">
        <v>45636</v>
      </c>
      <c r="C2195" s="158">
        <v>81510.05</v>
      </c>
    </row>
    <row r="2196" spans="2:3">
      <c r="B2196" s="157">
        <v>45637</v>
      </c>
      <c r="C2196" s="158">
        <v>81526.14</v>
      </c>
    </row>
    <row r="2197" spans="2:3">
      <c r="B2197" s="157">
        <v>45638</v>
      </c>
      <c r="C2197" s="158">
        <v>81289.960000000006</v>
      </c>
    </row>
    <row r="2198" spans="2:3">
      <c r="B2198" s="157">
        <v>45639</v>
      </c>
      <c r="C2198" s="158">
        <v>82133.119999999995</v>
      </c>
    </row>
    <row r="2199" spans="2:3">
      <c r="B2199" s="157">
        <v>45642</v>
      </c>
      <c r="C2199" s="158">
        <v>81748.570000000007</v>
      </c>
    </row>
    <row r="2200" spans="2:3">
      <c r="B2200" s="157">
        <v>45643</v>
      </c>
      <c r="C2200" s="158">
        <v>80684.45</v>
      </c>
    </row>
    <row r="2201" spans="2:3">
      <c r="B2201" s="157">
        <v>45644</v>
      </c>
      <c r="C2201" s="158">
        <v>80182.2</v>
      </c>
    </row>
    <row r="2202" spans="2:3">
      <c r="B2202" s="157">
        <v>45645</v>
      </c>
      <c r="C2202" s="158">
        <v>79218.05</v>
      </c>
    </row>
    <row r="2203" spans="2:3">
      <c r="B2203" s="157">
        <v>45646</v>
      </c>
      <c r="C2203" s="158">
        <v>78041.59</v>
      </c>
    </row>
    <row r="2204" spans="2:3">
      <c r="B2204" s="157">
        <v>45649</v>
      </c>
      <c r="C2204" s="158">
        <v>78540.17</v>
      </c>
    </row>
    <row r="2205" spans="2:3">
      <c r="B2205" s="157">
        <v>45650</v>
      </c>
      <c r="C2205" s="158">
        <v>78472.87</v>
      </c>
    </row>
    <row r="2206" spans="2:3">
      <c r="B2206" s="157">
        <v>45652</v>
      </c>
      <c r="C2206" s="158">
        <v>78472.479999999996</v>
      </c>
    </row>
    <row r="2207" spans="2:3">
      <c r="B2207" s="157">
        <v>45653</v>
      </c>
      <c r="C2207" s="158">
        <v>78699.070000000007</v>
      </c>
    </row>
    <row r="2208" spans="2:3">
      <c r="B2208" s="157">
        <v>45656</v>
      </c>
      <c r="C2208" s="158">
        <v>78248.13</v>
      </c>
    </row>
    <row r="2209" spans="2:3">
      <c r="B2209" s="157">
        <v>45657</v>
      </c>
      <c r="C2209" s="158">
        <v>78139.009999999995</v>
      </c>
    </row>
    <row r="2210" spans="2:3">
      <c r="B2210" s="157">
        <v>45658</v>
      </c>
      <c r="C2210" s="158">
        <v>78507.41</v>
      </c>
    </row>
    <row r="2211" spans="2:3">
      <c r="B2211" s="157">
        <v>45659</v>
      </c>
      <c r="C2211" s="158">
        <v>79943.710000000006</v>
      </c>
    </row>
    <row r="2212" spans="2:3">
      <c r="B2212" s="157">
        <v>45660</v>
      </c>
      <c r="C2212" s="158">
        <v>79223.11</v>
      </c>
    </row>
    <row r="2213" spans="2:3">
      <c r="B2213" s="157">
        <v>45663</v>
      </c>
      <c r="C2213" s="158">
        <v>77964.990000000005</v>
      </c>
    </row>
    <row r="2214" spans="2:3">
      <c r="B2214" s="157">
        <v>45664</v>
      </c>
      <c r="C2214" s="158">
        <v>78199.11</v>
      </c>
    </row>
    <row r="2215" spans="2:3">
      <c r="B2215" s="157">
        <v>45665</v>
      </c>
      <c r="C2215" s="158">
        <v>78148.490000000005</v>
      </c>
    </row>
    <row r="2216" spans="2:3">
      <c r="B2216" s="157">
        <v>45666</v>
      </c>
      <c r="C2216" s="158">
        <v>77620.210000000006</v>
      </c>
    </row>
    <row r="2217" spans="2:3">
      <c r="B2217" s="157">
        <v>45667</v>
      </c>
      <c r="C2217" s="158">
        <v>77378.91</v>
      </c>
    </row>
    <row r="2218" spans="2:3">
      <c r="B2218" s="157">
        <v>45670</v>
      </c>
      <c r="C2218" s="158">
        <v>76330.009999999995</v>
      </c>
    </row>
    <row r="2219" spans="2:3">
      <c r="B2219" s="157">
        <v>45671</v>
      </c>
      <c r="C2219" s="158">
        <v>76499.63</v>
      </c>
    </row>
    <row r="2220" spans="2:3">
      <c r="B2220" s="157">
        <v>45672</v>
      </c>
      <c r="C2220" s="158">
        <v>76724.08</v>
      </c>
    </row>
    <row r="2221" spans="2:3">
      <c r="B2221" s="157">
        <v>45673</v>
      </c>
      <c r="C2221" s="158">
        <v>77042.820000000007</v>
      </c>
    </row>
    <row r="2222" spans="2:3">
      <c r="B2222" s="157">
        <v>45674</v>
      </c>
      <c r="C2222" s="158">
        <v>76619.33</v>
      </c>
    </row>
    <row r="2223" spans="2:3">
      <c r="B2223" s="157">
        <v>45677</v>
      </c>
      <c r="C2223" s="158">
        <v>77073.440000000002</v>
      </c>
    </row>
    <row r="2224" spans="2:3">
      <c r="B2224" s="157">
        <v>45678</v>
      </c>
      <c r="C2224" s="158">
        <v>75838.36</v>
      </c>
    </row>
    <row r="2225" spans="2:3">
      <c r="B2225" s="157">
        <v>45679</v>
      </c>
      <c r="C2225" s="158">
        <v>76404.990000000005</v>
      </c>
    </row>
    <row r="2226" spans="2:3">
      <c r="B2226" s="157">
        <v>45680</v>
      </c>
      <c r="C2226" s="158">
        <v>76520.38</v>
      </c>
    </row>
    <row r="2227" spans="2:3">
      <c r="B2227" s="157">
        <v>45681</v>
      </c>
      <c r="C2227" s="158">
        <v>76190.460000000006</v>
      </c>
    </row>
    <row r="2228" spans="2:3">
      <c r="B2228" s="157">
        <v>45684</v>
      </c>
      <c r="C2228" s="158">
        <v>75366.17</v>
      </c>
    </row>
    <row r="2229" spans="2:3">
      <c r="B2229" s="157">
        <v>45685</v>
      </c>
      <c r="C2229" s="158">
        <v>75901.41</v>
      </c>
    </row>
    <row r="2230" spans="2:3">
      <c r="B2230" s="157">
        <v>45686</v>
      </c>
      <c r="C2230" s="158">
        <v>76532.960000000006</v>
      </c>
    </row>
    <row r="2231" spans="2:3">
      <c r="B2231" s="157">
        <v>45687</v>
      </c>
      <c r="C2231" s="158">
        <v>76759.81</v>
      </c>
    </row>
    <row r="2232" spans="2:3">
      <c r="B2232" s="157">
        <v>45688</v>
      </c>
      <c r="C2232" s="158">
        <v>77500.570000000007</v>
      </c>
    </row>
    <row r="2233" spans="2:3">
      <c r="B2233" s="157">
        <v>45689</v>
      </c>
      <c r="C2233" s="158">
        <v>77505.960000000006</v>
      </c>
    </row>
    <row r="2234" spans="2:3">
      <c r="B2234" s="157">
        <v>45691</v>
      </c>
      <c r="C2234" s="158">
        <v>77186.740000000005</v>
      </c>
    </row>
    <row r="2235" spans="2:3">
      <c r="B2235" s="157">
        <v>45692</v>
      </c>
      <c r="C2235" s="158">
        <v>78583.81</v>
      </c>
    </row>
    <row r="2236" spans="2:3">
      <c r="B2236" s="157">
        <v>45693</v>
      </c>
      <c r="C2236" s="158">
        <v>78271.28</v>
      </c>
    </row>
    <row r="2237" spans="2:3">
      <c r="B2237" s="157">
        <v>45694</v>
      </c>
      <c r="C2237" s="158">
        <v>78058.16</v>
      </c>
    </row>
    <row r="2238" spans="2:3">
      <c r="B2238" s="157">
        <v>45695</v>
      </c>
      <c r="C2238" s="158">
        <v>77860.19</v>
      </c>
    </row>
    <row r="2239" spans="2:3">
      <c r="B2239" s="157">
        <v>45698</v>
      </c>
      <c r="C2239" s="158">
        <v>77311.8</v>
      </c>
    </row>
    <row r="2240" spans="2:3">
      <c r="B2240" s="157">
        <v>45699</v>
      </c>
      <c r="C2240" s="158">
        <v>76293.600000000006</v>
      </c>
    </row>
    <row r="2241" spans="2:3">
      <c r="B2241" s="157">
        <v>45700</v>
      </c>
      <c r="C2241" s="158">
        <v>76171.08</v>
      </c>
    </row>
    <row r="2242" spans="2:3">
      <c r="B2242" s="157">
        <v>45701</v>
      </c>
      <c r="C2242" s="158">
        <v>76138.97</v>
      </c>
    </row>
    <row r="2243" spans="2:3">
      <c r="B2243" s="157">
        <v>45702</v>
      </c>
      <c r="C2243" s="158">
        <v>75939.210000000006</v>
      </c>
    </row>
    <row r="2244" spans="2:3">
      <c r="B2244" s="157">
        <v>45705</v>
      </c>
      <c r="C2244" s="158">
        <v>75996.86</v>
      </c>
    </row>
    <row r="2245" spans="2:3">
      <c r="B2245" s="157">
        <v>45706</v>
      </c>
      <c r="C2245" s="158">
        <v>75967.39</v>
      </c>
    </row>
    <row r="2246" spans="2:3">
      <c r="B2246" s="157">
        <v>45707</v>
      </c>
      <c r="C2246" s="158">
        <v>75939.179999999993</v>
      </c>
    </row>
    <row r="2247" spans="2:3">
      <c r="B2247" s="157">
        <v>45708</v>
      </c>
      <c r="C2247" s="158">
        <v>75735.960000000006</v>
      </c>
    </row>
    <row r="2248" spans="2:3">
      <c r="B2248" s="157">
        <v>45709</v>
      </c>
      <c r="C2248" s="158">
        <v>75311.06</v>
      </c>
    </row>
    <row r="2249" spans="2:3">
      <c r="B2249" s="157">
        <v>45712</v>
      </c>
      <c r="C2249" s="158">
        <v>74454.41</v>
      </c>
    </row>
    <row r="2250" spans="2:3">
      <c r="B2250" s="157">
        <v>45713</v>
      </c>
      <c r="C2250" s="158">
        <v>74602.12</v>
      </c>
    </row>
    <row r="2251" spans="2:3">
      <c r="B2251" s="157">
        <v>45715</v>
      </c>
      <c r="C2251" s="158">
        <v>74612.429999999993</v>
      </c>
    </row>
    <row r="2252" spans="2:3">
      <c r="B2252" s="157">
        <v>45716</v>
      </c>
      <c r="C2252" s="158">
        <v>73198.100000000006</v>
      </c>
    </row>
    <row r="2253" spans="2:3">
      <c r="B2253" s="157">
        <v>45719</v>
      </c>
      <c r="C2253" s="158">
        <v>73085.94</v>
      </c>
    </row>
    <row r="2254" spans="2:3">
      <c r="B2254" s="157">
        <v>45720</v>
      </c>
      <c r="C2254" s="158">
        <v>72989.929999999993</v>
      </c>
    </row>
    <row r="2255" spans="2:3">
      <c r="B2255" s="157">
        <v>45721</v>
      </c>
      <c r="C2255" s="158">
        <v>73730.23</v>
      </c>
    </row>
    <row r="2256" spans="2:3">
      <c r="B2256" s="157">
        <v>45722</v>
      </c>
      <c r="C2256" s="158">
        <v>74340.09</v>
      </c>
    </row>
    <row r="2257" spans="2:3">
      <c r="B2257" s="157">
        <v>45723</v>
      </c>
      <c r="C2257" s="158">
        <v>74332.58</v>
      </c>
    </row>
    <row r="2258" spans="2:3">
      <c r="B2258" s="157">
        <v>45726</v>
      </c>
      <c r="C2258" s="158">
        <v>74115.17</v>
      </c>
    </row>
    <row r="2259" spans="2:3">
      <c r="B2259" s="157">
        <v>45727</v>
      </c>
      <c r="C2259" s="158">
        <v>74102.320000000007</v>
      </c>
    </row>
    <row r="2260" spans="2:3">
      <c r="B2260" s="157">
        <v>45728</v>
      </c>
      <c r="C2260" s="158">
        <v>74029.759999999995</v>
      </c>
    </row>
    <row r="2261" spans="2:3">
      <c r="B2261" s="157">
        <v>45729</v>
      </c>
      <c r="C2261" s="158">
        <v>73828.91</v>
      </c>
    </row>
    <row r="2262" spans="2:3">
      <c r="B2262" s="157">
        <v>45733</v>
      </c>
      <c r="C2262" s="158">
        <v>74169.95</v>
      </c>
    </row>
    <row r="2263" spans="2:3">
      <c r="B2263" s="157">
        <v>45734</v>
      </c>
      <c r="C2263" s="158">
        <v>75301.259999999995</v>
      </c>
    </row>
    <row r="2264" spans="2:3">
      <c r="B2264" s="157">
        <v>45735</v>
      </c>
      <c r="C2264" s="158">
        <v>75449.05</v>
      </c>
    </row>
    <row r="2265" spans="2:3">
      <c r="B2265" s="157">
        <v>45736</v>
      </c>
      <c r="C2265" s="158">
        <v>76348.06</v>
      </c>
    </row>
    <row r="2266" spans="2:3">
      <c r="B2266" s="157">
        <v>45737</v>
      </c>
      <c r="C2266" s="158">
        <v>76905.509999999995</v>
      </c>
    </row>
    <row r="2267" spans="2:3">
      <c r="B2267" s="157">
        <v>45740</v>
      </c>
      <c r="C2267" s="158">
        <v>77984.38</v>
      </c>
    </row>
    <row r="2268" spans="2:3">
      <c r="B2268" s="157">
        <v>45741</v>
      </c>
      <c r="C2268" s="158">
        <v>78017.19</v>
      </c>
    </row>
    <row r="2269" spans="2:3">
      <c r="B2269" s="157">
        <v>45742</v>
      </c>
      <c r="C2269" s="158">
        <v>77288.5</v>
      </c>
    </row>
    <row r="2270" spans="2:3">
      <c r="B2270" s="157">
        <v>45743</v>
      </c>
      <c r="C2270" s="158">
        <v>77606.429999999993</v>
      </c>
    </row>
    <row r="2271" spans="2:3">
      <c r="B2271" s="157">
        <v>45744</v>
      </c>
      <c r="C2271" s="158">
        <v>77414.92</v>
      </c>
    </row>
    <row r="2272" spans="2:3">
      <c r="B2272" s="157">
        <v>45748</v>
      </c>
      <c r="C2272" s="158">
        <v>76024.509999999995</v>
      </c>
    </row>
    <row r="2273" spans="2:3">
      <c r="B2273" s="157">
        <v>45749</v>
      </c>
      <c r="C2273" s="158">
        <v>76617.440000000002</v>
      </c>
    </row>
    <row r="2274" spans="2:3">
      <c r="B2274" s="157">
        <v>45750</v>
      </c>
      <c r="C2274" s="158">
        <v>76295.360000000001</v>
      </c>
    </row>
    <row r="2275" spans="2:3">
      <c r="B2275" s="157">
        <v>45751</v>
      </c>
      <c r="C2275" s="158">
        <v>75364.69</v>
      </c>
    </row>
    <row r="2276" spans="2:3">
      <c r="B2276" s="157">
        <v>45754</v>
      </c>
      <c r="C2276" s="158">
        <v>73137.899999999994</v>
      </c>
    </row>
    <row r="2277" spans="2:3">
      <c r="B2277" s="157">
        <v>45755</v>
      </c>
      <c r="C2277" s="158">
        <v>74227.08</v>
      </c>
    </row>
    <row r="2278" spans="2:3">
      <c r="B2278" s="157">
        <v>45756</v>
      </c>
      <c r="C2278" s="158">
        <v>73847.149999999994</v>
      </c>
    </row>
    <row r="2279" spans="2:3">
      <c r="B2279" s="157">
        <v>45758</v>
      </c>
      <c r="C2279" s="158">
        <v>75157.259999999995</v>
      </c>
    </row>
    <row r="2280" spans="2:3">
      <c r="B2280" s="157">
        <v>45762</v>
      </c>
      <c r="C2280" s="158">
        <v>76734.89</v>
      </c>
    </row>
    <row r="2281" spans="2:3">
      <c r="B2281" s="157">
        <v>45763</v>
      </c>
      <c r="C2281" s="158">
        <v>77044.289999999994</v>
      </c>
    </row>
    <row r="2282" spans="2:3">
      <c r="B2282" s="157">
        <v>45764</v>
      </c>
      <c r="C2282" s="158">
        <v>78553.2</v>
      </c>
    </row>
    <row r="2283" spans="2:3">
      <c r="B2283" s="157">
        <v>45768</v>
      </c>
      <c r="C2283" s="158">
        <v>79408.5</v>
      </c>
    </row>
    <row r="2284" spans="2:3">
      <c r="B2284" s="157">
        <v>45769</v>
      </c>
      <c r="C2284" s="158">
        <v>79595.59</v>
      </c>
    </row>
    <row r="2285" spans="2:3">
      <c r="B2285" s="157">
        <v>45770</v>
      </c>
      <c r="C2285" s="158">
        <v>80116.490000000005</v>
      </c>
    </row>
    <row r="2286" spans="2:3">
      <c r="B2286" s="157">
        <v>45771</v>
      </c>
      <c r="C2286" s="158">
        <v>79801.429999999993</v>
      </c>
    </row>
    <row r="2287" spans="2:3">
      <c r="B2287" s="157">
        <v>45772</v>
      </c>
      <c r="C2287" s="158">
        <v>79212.53</v>
      </c>
    </row>
    <row r="2288" spans="2:3">
      <c r="B2288" s="157">
        <v>45775</v>
      </c>
      <c r="C2288" s="158">
        <v>80218.37</v>
      </c>
    </row>
    <row r="2289" spans="2:3">
      <c r="B2289" s="157">
        <v>45776</v>
      </c>
      <c r="C2289" s="158">
        <v>80288.38</v>
      </c>
    </row>
    <row r="2290" spans="2:3">
      <c r="B2290" s="157">
        <v>45777</v>
      </c>
      <c r="C2290" s="158">
        <v>80242.240000000005</v>
      </c>
    </row>
    <row r="2291" spans="2:3">
      <c r="B2291" s="157">
        <v>45779</v>
      </c>
      <c r="C2291" s="158">
        <v>80501.990000000005</v>
      </c>
    </row>
    <row r="2292" spans="2:3">
      <c r="B2292" s="157">
        <v>45782</v>
      </c>
      <c r="C2292" s="158">
        <v>80796.84</v>
      </c>
    </row>
    <row r="2293" spans="2:3">
      <c r="B2293" s="157">
        <v>45783</v>
      </c>
      <c r="C2293" s="158">
        <v>80641.070000000007</v>
      </c>
    </row>
    <row r="2294" spans="2:3">
      <c r="B2294" s="157">
        <v>45784</v>
      </c>
      <c r="C2294" s="158">
        <v>80746.78</v>
      </c>
    </row>
    <row r="2295" spans="2:3">
      <c r="B2295" s="157">
        <v>45785</v>
      </c>
      <c r="C2295" s="158">
        <v>80334.81</v>
      </c>
    </row>
    <row r="2296" spans="2:3">
      <c r="B2296" s="157">
        <v>45786</v>
      </c>
      <c r="C2296" s="158">
        <v>79454.47</v>
      </c>
    </row>
    <row r="2297" spans="2:3">
      <c r="B2297" s="157">
        <v>45789</v>
      </c>
      <c r="C2297" s="158">
        <v>82429.899999999994</v>
      </c>
    </row>
    <row r="2298" spans="2:3">
      <c r="B2298" s="157">
        <v>45790</v>
      </c>
      <c r="C2298" s="158">
        <v>81148.22</v>
      </c>
    </row>
    <row r="2299" spans="2:3">
      <c r="B2299" s="157">
        <v>45791</v>
      </c>
      <c r="C2299" s="158">
        <v>81330.559999999998</v>
      </c>
    </row>
    <row r="2300" spans="2:3">
      <c r="B2300" s="157">
        <v>45792</v>
      </c>
      <c r="C2300" s="158">
        <v>82530.740000000005</v>
      </c>
    </row>
    <row r="2301" spans="2:3">
      <c r="B2301" s="157">
        <v>45793</v>
      </c>
      <c r="C2301" s="158">
        <v>82330.59</v>
      </c>
    </row>
    <row r="2302" spans="2:3">
      <c r="B2302" s="157">
        <v>45796</v>
      </c>
      <c r="C2302" s="158">
        <v>82059.42</v>
      </c>
    </row>
    <row r="2303" spans="2:3">
      <c r="B2303" s="157">
        <v>45797</v>
      </c>
      <c r="C2303" s="158">
        <v>81186.44</v>
      </c>
    </row>
    <row r="2304" spans="2:3">
      <c r="B2304" s="157">
        <v>45798</v>
      </c>
      <c r="C2304" s="158">
        <v>81596.63</v>
      </c>
    </row>
    <row r="2305" spans="2:3">
      <c r="B2305" s="157">
        <v>45799</v>
      </c>
      <c r="C2305" s="158">
        <v>80951.990000000005</v>
      </c>
    </row>
    <row r="2306" spans="2:3">
      <c r="B2306" s="157">
        <v>45800</v>
      </c>
      <c r="C2306" s="158">
        <v>81721.08</v>
      </c>
    </row>
    <row r="2307" spans="2:3">
      <c r="B2307" s="157">
        <v>45803</v>
      </c>
      <c r="C2307" s="158">
        <v>82176.45</v>
      </c>
    </row>
    <row r="2308" spans="2:3">
      <c r="B2308" s="157">
        <v>45804</v>
      </c>
      <c r="C2308" s="158">
        <v>81551.63</v>
      </c>
    </row>
    <row r="2309" spans="2:3">
      <c r="B2309" s="157">
        <v>45805</v>
      </c>
      <c r="C2309" s="158">
        <v>81312.320000000007</v>
      </c>
    </row>
    <row r="2310" spans="2:3">
      <c r="B2310" s="157">
        <v>45806</v>
      </c>
      <c r="C2310" s="158">
        <v>81633.02</v>
      </c>
    </row>
    <row r="2311" spans="2:3">
      <c r="B2311" s="157">
        <v>45807</v>
      </c>
      <c r="C2311" s="158">
        <v>81451.009999999995</v>
      </c>
    </row>
    <row r="2312" spans="2:3">
      <c r="B2312" s="157">
        <v>45810</v>
      </c>
      <c r="C2312" s="158">
        <v>81373.75</v>
      </c>
    </row>
    <row r="2313" spans="2:3">
      <c r="B2313" s="157">
        <v>45811</v>
      </c>
      <c r="C2313" s="158">
        <v>80737.509999999995</v>
      </c>
    </row>
    <row r="2314" spans="2:3">
      <c r="B2314" s="157">
        <v>45812</v>
      </c>
      <c r="C2314" s="158">
        <v>80998.25</v>
      </c>
    </row>
    <row r="2315" spans="2:3">
      <c r="B2315" s="157">
        <v>45813</v>
      </c>
      <c r="C2315" s="158">
        <v>81442.039999999994</v>
      </c>
    </row>
    <row r="2316" spans="2:3">
      <c r="B2316" s="157">
        <v>45814</v>
      </c>
      <c r="C2316" s="158">
        <v>82188.990000000005</v>
      </c>
    </row>
    <row r="2317" spans="2:3">
      <c r="B2317" s="157">
        <v>45817</v>
      </c>
      <c r="C2317" s="158">
        <v>82445.210000000006</v>
      </c>
    </row>
    <row r="2318" spans="2:3">
      <c r="B2318" s="157">
        <v>45818</v>
      </c>
      <c r="C2318" s="158">
        <v>82391.72</v>
      </c>
    </row>
    <row r="2319" spans="2:3">
      <c r="B2319" s="157">
        <v>45819</v>
      </c>
      <c r="C2319" s="158">
        <v>82515.14</v>
      </c>
    </row>
    <row r="2320" spans="2:3">
      <c r="B2320" s="157">
        <v>45820</v>
      </c>
      <c r="C2320" s="158">
        <v>81691.98</v>
      </c>
    </row>
    <row r="2321" spans="2:3">
      <c r="B2321" s="157">
        <v>45821</v>
      </c>
      <c r="C2321" s="158">
        <v>81118.600000000006</v>
      </c>
    </row>
    <row r="2322" spans="2:3">
      <c r="B2322" s="157">
        <v>45824</v>
      </c>
      <c r="C2322" s="158">
        <v>81796.149999999994</v>
      </c>
    </row>
    <row r="2323" spans="2:3">
      <c r="B2323" s="157">
        <v>45825</v>
      </c>
      <c r="C2323" s="158">
        <v>81583.3</v>
      </c>
    </row>
    <row r="2324" spans="2:3">
      <c r="B2324" s="157">
        <v>45826</v>
      </c>
      <c r="C2324" s="158">
        <v>81444.66</v>
      </c>
    </row>
    <row r="2325" spans="2:3">
      <c r="B2325" s="157">
        <v>45827</v>
      </c>
      <c r="C2325" s="158">
        <v>81361.87</v>
      </c>
    </row>
    <row r="2326" spans="2:3">
      <c r="B2326" s="157">
        <v>45828</v>
      </c>
      <c r="C2326" s="158">
        <v>82408.17</v>
      </c>
    </row>
    <row r="2327" spans="2:3">
      <c r="B2327" s="157">
        <v>45831</v>
      </c>
      <c r="C2327" s="158">
        <v>81896.789999999994</v>
      </c>
    </row>
    <row r="2328" spans="2:3">
      <c r="B2328" s="157">
        <v>45832</v>
      </c>
      <c r="C2328" s="158">
        <v>82055.11</v>
      </c>
    </row>
    <row r="2329" spans="2:3">
      <c r="B2329" s="157">
        <v>45833</v>
      </c>
      <c r="C2329" s="158">
        <v>82755.509999999995</v>
      </c>
    </row>
    <row r="2330" spans="2:3">
      <c r="B2330" s="157">
        <v>45834</v>
      </c>
      <c r="C2330" s="158">
        <v>83755.87</v>
      </c>
    </row>
    <row r="2331" spans="2:3">
      <c r="B2331" s="157">
        <v>45835</v>
      </c>
      <c r="C2331" s="158">
        <v>84058.9</v>
      </c>
    </row>
    <row r="2332" spans="2:3">
      <c r="B2332" s="157">
        <v>45838</v>
      </c>
      <c r="C2332" s="158">
        <v>83606.460000000006</v>
      </c>
    </row>
    <row r="2333" spans="2:3">
      <c r="B2333" s="157">
        <v>45839</v>
      </c>
      <c r="C2333" s="158">
        <v>83697.289999999994</v>
      </c>
    </row>
    <row r="2334" spans="2:3">
      <c r="B2334" s="157">
        <v>45840</v>
      </c>
      <c r="C2334" s="158">
        <v>83409.69</v>
      </c>
    </row>
    <row r="2335" spans="2:3">
      <c r="B2335" s="157">
        <v>45841</v>
      </c>
      <c r="C2335" s="158">
        <v>83239.47</v>
      </c>
    </row>
    <row r="2336" spans="2:3">
      <c r="B2336" s="157">
        <v>45842</v>
      </c>
      <c r="C2336" s="158">
        <v>83432.89</v>
      </c>
    </row>
    <row r="2337" spans="2:3">
      <c r="B2337" s="157">
        <v>45845</v>
      </c>
      <c r="C2337" s="158">
        <v>83442.5</v>
      </c>
    </row>
    <row r="2338" spans="2:3">
      <c r="B2338" s="157">
        <v>45846</v>
      </c>
      <c r="C2338" s="158">
        <v>83712.509999999995</v>
      </c>
    </row>
    <row r="2339" spans="2:3">
      <c r="B2339" s="157">
        <v>45847</v>
      </c>
      <c r="C2339" s="158">
        <v>83536.08</v>
      </c>
    </row>
    <row r="2340" spans="2:3">
      <c r="B2340" s="157">
        <v>45848</v>
      </c>
      <c r="C2340" s="158">
        <v>83190.28</v>
      </c>
    </row>
    <row r="2341" spans="2:3">
      <c r="B2341" s="157">
        <v>45849</v>
      </c>
      <c r="C2341" s="158">
        <v>82500.47</v>
      </c>
    </row>
    <row r="2342" spans="2:3">
      <c r="B2342" s="157">
        <v>45852</v>
      </c>
      <c r="C2342" s="158">
        <v>82253.460000000006</v>
      </c>
    </row>
    <row r="2343" spans="2:3">
      <c r="B2343" s="157">
        <v>45853</v>
      </c>
      <c r="C2343" s="158">
        <v>82570.91</v>
      </c>
    </row>
    <row r="2344" spans="2:3">
      <c r="B2344" s="157">
        <v>45854</v>
      </c>
      <c r="C2344" s="158">
        <v>82634.48</v>
      </c>
    </row>
    <row r="2345" spans="2:3">
      <c r="B2345" s="157">
        <v>45855</v>
      </c>
      <c r="C2345" s="158">
        <v>82259.240000000005</v>
      </c>
    </row>
    <row r="2346" spans="2:3">
      <c r="B2346" s="157">
        <v>45856</v>
      </c>
      <c r="C2346" s="158">
        <v>81757.73</v>
      </c>
    </row>
    <row r="2347" spans="2:3">
      <c r="B2347" s="157">
        <v>45859</v>
      </c>
      <c r="C2347" s="158">
        <v>82200.34</v>
      </c>
    </row>
    <row r="2348" spans="2:3">
      <c r="B2348" s="157">
        <v>45860</v>
      </c>
      <c r="C2348" s="158">
        <v>82186.81</v>
      </c>
    </row>
    <row r="2349" spans="2:3">
      <c r="B2349" s="157">
        <v>45861</v>
      </c>
      <c r="C2349" s="158">
        <v>82726.64</v>
      </c>
    </row>
    <row r="2350" spans="2:3">
      <c r="B2350" s="157">
        <v>45862</v>
      </c>
      <c r="C2350" s="158">
        <v>82184.17</v>
      </c>
    </row>
    <row r="2351" spans="2:3">
      <c r="B2351" s="157">
        <v>45863</v>
      </c>
      <c r="C2351" s="158">
        <v>81463.09</v>
      </c>
    </row>
    <row r="2352" spans="2:3">
      <c r="B2352" s="157">
        <v>45866</v>
      </c>
      <c r="C2352" s="158">
        <v>80891.02</v>
      </c>
    </row>
    <row r="2353" spans="2:3">
      <c r="B2353" s="157">
        <v>45867</v>
      </c>
      <c r="C2353" s="158">
        <v>81337.95</v>
      </c>
    </row>
    <row r="2354" spans="2:3">
      <c r="B2354" s="157">
        <v>45868</v>
      </c>
      <c r="C2354" s="158">
        <v>81481.86</v>
      </c>
    </row>
    <row r="2355" spans="2:3">
      <c r="B2355" s="157">
        <v>45869</v>
      </c>
      <c r="C2355" s="158">
        <v>81185.58</v>
      </c>
    </row>
    <row r="2356" spans="2:3">
      <c r="B2356" s="157">
        <v>45870</v>
      </c>
      <c r="C2356" s="158">
        <v>80599.91</v>
      </c>
    </row>
    <row r="2357" spans="2:3">
      <c r="B2357" s="157">
        <v>45873</v>
      </c>
      <c r="C2357" s="158">
        <v>81018.720000000001</v>
      </c>
    </row>
    <row r="2358" spans="2:3">
      <c r="B2358" s="157">
        <v>45874</v>
      </c>
      <c r="C2358" s="158">
        <v>80710.25</v>
      </c>
    </row>
    <row r="2359" spans="2:3">
      <c r="B2359" s="157">
        <v>45875</v>
      </c>
      <c r="C2359" s="158">
        <v>80543.990000000005</v>
      </c>
    </row>
    <row r="2360" spans="2:3">
      <c r="B2360" s="157">
        <v>45876</v>
      </c>
      <c r="C2360" s="158">
        <v>80623.259999999995</v>
      </c>
    </row>
    <row r="2361" spans="2:3">
      <c r="B2361" s="157">
        <v>45877</v>
      </c>
      <c r="C2361" s="158">
        <v>79857.789999999994</v>
      </c>
    </row>
    <row r="2362" spans="2:3">
      <c r="B2362" s="157">
        <v>45880</v>
      </c>
      <c r="C2362" s="158">
        <v>80604.08</v>
      </c>
    </row>
    <row r="2363" spans="2:3">
      <c r="B2363" s="157">
        <v>45881</v>
      </c>
      <c r="C2363" s="158">
        <v>80235.59</v>
      </c>
    </row>
    <row r="2364" spans="2:3">
      <c r="B2364" s="157">
        <v>45882</v>
      </c>
      <c r="C2364" s="158">
        <v>80539.91</v>
      </c>
    </row>
    <row r="2365" spans="2:3">
      <c r="B2365" s="157">
        <v>45883</v>
      </c>
      <c r="C2365" s="158">
        <v>80597.66</v>
      </c>
    </row>
    <row r="2366" spans="2:3">
      <c r="B2366" s="157">
        <v>45887</v>
      </c>
      <c r="C2366" s="158">
        <v>81273.75</v>
      </c>
    </row>
    <row r="2367" spans="2:3">
      <c r="B2367" s="157">
        <v>45888</v>
      </c>
      <c r="C2367" s="158">
        <v>81644.39</v>
      </c>
    </row>
    <row r="2368" spans="2:3">
      <c r="B2368" s="157">
        <v>45889</v>
      </c>
      <c r="C2368" s="158">
        <v>81857.84</v>
      </c>
    </row>
    <row r="2369" spans="2:3">
      <c r="B2369" s="157">
        <v>45890</v>
      </c>
      <c r="C2369" s="158">
        <v>82000.710000000006</v>
      </c>
    </row>
    <row r="2370" spans="2:3">
      <c r="B2370" s="157">
        <v>45891</v>
      </c>
      <c r="C2370" s="158">
        <v>81306.850000000006</v>
      </c>
    </row>
    <row r="2371" spans="2:3">
      <c r="B2371" s="157">
        <v>45894</v>
      </c>
      <c r="C2371" s="158">
        <v>81635.91</v>
      </c>
    </row>
    <row r="2372" spans="2:3">
      <c r="B2372" s="157">
        <v>45895</v>
      </c>
      <c r="C2372" s="158">
        <v>80786.539999999994</v>
      </c>
    </row>
    <row r="2373" spans="2:3">
      <c r="B2373" s="157">
        <v>45897</v>
      </c>
      <c r="C2373" s="158">
        <v>80080.570000000007</v>
      </c>
    </row>
    <row r="2374" spans="2:3">
      <c r="B2374" s="157">
        <v>45898</v>
      </c>
      <c r="C2374" s="158">
        <v>79809.649999999994</v>
      </c>
    </row>
    <row r="2375" spans="2:3">
      <c r="B2375" s="157">
        <v>45901</v>
      </c>
      <c r="C2375" s="158">
        <v>80364.490000000005</v>
      </c>
    </row>
    <row r="2376" spans="2:3">
      <c r="B2376" s="157">
        <v>45902</v>
      </c>
      <c r="C2376" s="158">
        <v>80157.88</v>
      </c>
    </row>
    <row r="2377" spans="2:3">
      <c r="B2377" s="157">
        <v>45903</v>
      </c>
      <c r="C2377" s="158">
        <v>80567.710000000006</v>
      </c>
    </row>
    <row r="2378" spans="2:3">
      <c r="B2378" s="157">
        <v>45904</v>
      </c>
      <c r="C2378" s="158">
        <v>80718.009999999995</v>
      </c>
    </row>
    <row r="2379" spans="2:3">
      <c r="B2379" s="157">
        <v>45905</v>
      </c>
      <c r="C2379" s="158">
        <v>80710.759999999995</v>
      </c>
    </row>
    <row r="2380" spans="2:3">
      <c r="B2380" s="157">
        <v>45908</v>
      </c>
      <c r="C2380" s="158">
        <v>80787.3</v>
      </c>
    </row>
    <row r="2381" spans="2:3">
      <c r="B2381" s="157">
        <v>45909</v>
      </c>
      <c r="C2381" s="158">
        <v>81101.320000000007</v>
      </c>
    </row>
    <row r="2382" spans="2:3">
      <c r="B2382" s="157">
        <v>45910</v>
      </c>
      <c r="C2382" s="158">
        <v>81425.149999999994</v>
      </c>
    </row>
    <row r="2383" spans="2:3">
      <c r="B2383" s="157">
        <v>45911</v>
      </c>
      <c r="C2383" s="158">
        <v>81548.73</v>
      </c>
    </row>
    <row r="2384" spans="2:3">
      <c r="B2384" s="157">
        <v>45912</v>
      </c>
      <c r="C2384" s="158">
        <v>81904.7</v>
      </c>
    </row>
    <row r="2385" spans="2:3">
      <c r="B2385" s="157">
        <v>45915</v>
      </c>
      <c r="C2385" s="158">
        <v>81785.740000000005</v>
      </c>
    </row>
    <row r="2386" spans="2:3">
      <c r="B2386" s="157">
        <v>45916</v>
      </c>
      <c r="C2386" s="158">
        <v>82380.69</v>
      </c>
    </row>
    <row r="2387" spans="2:3">
      <c r="B2387" s="157">
        <v>45917</v>
      </c>
      <c r="C2387" s="158">
        <v>82693.710000000006</v>
      </c>
    </row>
    <row r="2388" spans="2:3">
      <c r="B2388" s="157">
        <v>45918</v>
      </c>
      <c r="C2388" s="158">
        <v>83013.960000000006</v>
      </c>
    </row>
    <row r="2389" spans="2:3">
      <c r="B2389" s="157">
        <v>45919</v>
      </c>
      <c r="C2389" s="158">
        <v>82626.23</v>
      </c>
    </row>
    <row r="2390" spans="2:3">
      <c r="B2390" s="157">
        <v>45922</v>
      </c>
      <c r="C2390" s="158">
        <v>82159.97</v>
      </c>
    </row>
    <row r="2391" spans="2:3">
      <c r="B2391" s="157">
        <v>45923</v>
      </c>
      <c r="C2391" s="158">
        <v>82102.100000000006</v>
      </c>
    </row>
    <row r="2392" spans="2:3">
      <c r="B2392" s="157">
        <v>45924</v>
      </c>
      <c r="C2392" s="158">
        <v>81715.63</v>
      </c>
    </row>
    <row r="2393" spans="2:3">
      <c r="B2393" s="157">
        <v>45925</v>
      </c>
      <c r="C2393" s="158">
        <v>81159.679999999993</v>
      </c>
    </row>
    <row r="2394" spans="2:3">
      <c r="B2394" s="157">
        <v>45926</v>
      </c>
      <c r="C2394" s="158">
        <v>80426.460000000006</v>
      </c>
    </row>
    <row r="2395" spans="2:3">
      <c r="B2395" s="157">
        <v>45929</v>
      </c>
      <c r="C2395" s="158">
        <v>80364.94</v>
      </c>
    </row>
    <row r="2396" spans="2:3">
      <c r="B2396" s="157">
        <v>45930</v>
      </c>
      <c r="C2396" s="158">
        <v>80267.62</v>
      </c>
    </row>
    <row r="2397" spans="2:3">
      <c r="B2397" s="157">
        <v>45931</v>
      </c>
      <c r="C2397" s="158">
        <v>80983.31</v>
      </c>
    </row>
    <row r="2398" spans="2:3">
      <c r="B2398" s="157">
        <v>45933</v>
      </c>
      <c r="C2398" s="158">
        <v>81207.17</v>
      </c>
    </row>
    <row r="2399" spans="2:3">
      <c r="B2399" s="157">
        <v>45936</v>
      </c>
      <c r="C2399" s="158">
        <v>81790.12</v>
      </c>
    </row>
    <row r="2400" spans="2:3">
      <c r="B2400" s="157">
        <v>45937</v>
      </c>
      <c r="C2400" s="158">
        <v>81926.75</v>
      </c>
    </row>
    <row r="2401" spans="2:3">
      <c r="B2401" s="157">
        <v>45938</v>
      </c>
      <c r="C2401" s="158">
        <v>81773.66</v>
      </c>
    </row>
    <row r="2402" spans="2:3">
      <c r="B2402" s="157">
        <v>45939</v>
      </c>
      <c r="C2402" s="158">
        <v>82172.100000000006</v>
      </c>
    </row>
    <row r="2403" spans="2:3">
      <c r="B2403" s="157">
        <v>45940</v>
      </c>
      <c r="C2403" s="158">
        <v>82500.820000000007</v>
      </c>
    </row>
    <row r="2404" spans="2:3">
      <c r="B2404" s="157">
        <v>45943</v>
      </c>
      <c r="C2404" s="158">
        <v>82327.05</v>
      </c>
    </row>
    <row r="2405" spans="2:3">
      <c r="B2405" s="157">
        <v>45944</v>
      </c>
      <c r="C2405" s="158">
        <v>82029.98</v>
      </c>
    </row>
    <row r="2406" spans="2:3">
      <c r="B2406" s="157">
        <v>45945</v>
      </c>
      <c r="C2406" s="158">
        <v>82605.429999999993</v>
      </c>
    </row>
    <row r="2407" spans="2:3">
      <c r="B2407" s="157">
        <v>45946</v>
      </c>
      <c r="C2407" s="158">
        <v>83467.66</v>
      </c>
    </row>
    <row r="2408" spans="2:3">
      <c r="B2408" s="157">
        <v>45947</v>
      </c>
      <c r="C2408" s="158">
        <v>83952.19</v>
      </c>
    </row>
    <row r="2409" spans="2:3">
      <c r="B2409" s="157">
        <v>45950</v>
      </c>
      <c r="C2409" s="158">
        <v>84363.37</v>
      </c>
    </row>
    <row r="2410" spans="2:3">
      <c r="B2410" s="157">
        <v>45951</v>
      </c>
      <c r="C2410" s="158">
        <v>84426.34</v>
      </c>
    </row>
    <row r="2411" spans="2:3">
      <c r="B2411" s="157">
        <v>45953</v>
      </c>
      <c r="C2411" s="158">
        <v>84556.4</v>
      </c>
    </row>
    <row r="2412" spans="2:3">
      <c r="B2412" s="157">
        <v>45954</v>
      </c>
      <c r="C2412" s="158">
        <v>84211.88</v>
      </c>
    </row>
    <row r="2413" spans="2:3">
      <c r="B2413" s="157">
        <v>45957</v>
      </c>
      <c r="C2413" s="158">
        <v>84778.84</v>
      </c>
    </row>
    <row r="2414" spans="2:3">
      <c r="B2414" s="157">
        <v>45958</v>
      </c>
      <c r="C2414" s="158">
        <v>84628.160000000003</v>
      </c>
    </row>
    <row r="2415" spans="2:3">
      <c r="B2415" s="157">
        <v>45959</v>
      </c>
      <c r="C2415" s="158">
        <v>84997.13</v>
      </c>
    </row>
    <row r="2416" spans="2:3">
      <c r="B2416" s="157">
        <v>45960</v>
      </c>
      <c r="C2416" s="158">
        <v>84404.46</v>
      </c>
    </row>
    <row r="2417" spans="2:3">
      <c r="B2417" s="157">
        <v>45961</v>
      </c>
      <c r="C2417" s="158">
        <v>83938.71</v>
      </c>
    </row>
    <row r="2418" spans="2:3">
      <c r="B2418" s="157">
        <v>45964</v>
      </c>
      <c r="C2418" s="158">
        <v>83978.49</v>
      </c>
    </row>
    <row r="2419" spans="2:3">
      <c r="B2419" s="157">
        <v>45965</v>
      </c>
      <c r="C2419" s="158">
        <v>83459.149999999994</v>
      </c>
    </row>
    <row r="2420" spans="2:3">
      <c r="B2420" s="157">
        <v>45967</v>
      </c>
      <c r="C2420" s="158">
        <v>83311.009999999995</v>
      </c>
    </row>
    <row r="2421" spans="2:3">
      <c r="B2421" s="157">
        <v>45968</v>
      </c>
      <c r="C2421" s="158">
        <v>83216.28</v>
      </c>
    </row>
    <row r="2422" spans="2:3">
      <c r="B2422" s="157">
        <v>45971</v>
      </c>
      <c r="C2422" s="158">
        <v>83535.350000000006</v>
      </c>
    </row>
    <row r="2423" spans="2:3">
      <c r="B2423" s="157">
        <v>45972</v>
      </c>
      <c r="C2423" s="158">
        <v>83871.320000000007</v>
      </c>
    </row>
    <row r="2424" spans="2:3">
      <c r="B2424" s="157">
        <v>45973</v>
      </c>
      <c r="C2424" s="158">
        <v>84466.51</v>
      </c>
    </row>
    <row r="2425" spans="2:3">
      <c r="B2425" s="157">
        <v>45974</v>
      </c>
      <c r="C2425" s="158">
        <v>84478.67</v>
      </c>
    </row>
    <row r="2426" spans="2:3">
      <c r="B2426" s="157">
        <v>45975</v>
      </c>
      <c r="C2426" s="158">
        <v>84562.78</v>
      </c>
    </row>
    <row r="2427" spans="2:3">
      <c r="B2427" s="157">
        <v>45978</v>
      </c>
      <c r="C2427" s="158">
        <v>84950.95</v>
      </c>
    </row>
    <row r="2428" spans="2:3">
      <c r="B2428" s="157">
        <v>45979</v>
      </c>
      <c r="C2428" s="158">
        <v>84673.02</v>
      </c>
    </row>
    <row r="2429" spans="2:3">
      <c r="B2429" s="157">
        <v>45980</v>
      </c>
      <c r="C2429" s="158">
        <v>85186.47</v>
      </c>
    </row>
    <row r="2430" spans="2:3">
      <c r="B2430" s="157">
        <v>45981</v>
      </c>
      <c r="C2430" s="158">
        <v>85632.68</v>
      </c>
    </row>
    <row r="2431" spans="2:3">
      <c r="B2431" s="157">
        <v>45982</v>
      </c>
      <c r="C2431" s="158">
        <v>85231.92</v>
      </c>
    </row>
    <row r="2432" spans="2:3">
      <c r="B2432" s="157">
        <v>45985</v>
      </c>
      <c r="C2432" s="158">
        <v>84900.71</v>
      </c>
    </row>
    <row r="2433" spans="2:3">
      <c r="B2433" s="157">
        <v>45986</v>
      </c>
      <c r="C2433" s="158">
        <v>84587.01</v>
      </c>
    </row>
    <row r="2434" spans="2:3">
      <c r="B2434" s="157">
        <v>45987</v>
      </c>
      <c r="C2434" s="158">
        <v>85609.51</v>
      </c>
    </row>
    <row r="2435" spans="2:3">
      <c r="B2435" s="157">
        <v>45988</v>
      </c>
      <c r="C2435" s="158">
        <v>85720.38</v>
      </c>
    </row>
    <row r="2436" spans="2:3">
      <c r="B2436" s="157">
        <v>45989</v>
      </c>
      <c r="C2436" s="158">
        <v>85706.67</v>
      </c>
    </row>
    <row r="2437" spans="2:3">
      <c r="B2437" s="157">
        <v>45992</v>
      </c>
      <c r="C2437" s="158">
        <v>85641.9</v>
      </c>
    </row>
    <row r="2438" spans="2:3">
      <c r="B2438" s="157">
        <v>45993</v>
      </c>
      <c r="C2438" s="158">
        <v>85138.27</v>
      </c>
    </row>
    <row r="2439" spans="2:3">
      <c r="B2439" s="157">
        <v>45994</v>
      </c>
      <c r="C2439" s="158">
        <v>85106.81</v>
      </c>
    </row>
    <row r="2440" spans="2:3">
      <c r="B2440" s="157">
        <v>45995</v>
      </c>
      <c r="C2440" s="158">
        <v>85265.32</v>
      </c>
    </row>
    <row r="2441" spans="2:3">
      <c r="B2441" s="157">
        <v>45996</v>
      </c>
      <c r="C2441" s="158">
        <v>85712.37</v>
      </c>
    </row>
    <row r="2442" spans="2:3">
      <c r="B2442" s="157">
        <v>45999</v>
      </c>
      <c r="C2442" s="158">
        <v>85102.69</v>
      </c>
    </row>
    <row r="2443" spans="2:3">
      <c r="B2443" s="157">
        <v>46000</v>
      </c>
      <c r="C2443" s="158">
        <v>84666.28</v>
      </c>
    </row>
    <row r="2444" spans="2:3">
      <c r="B2444" s="157">
        <v>46001</v>
      </c>
      <c r="C2444" s="158">
        <v>84391.27</v>
      </c>
    </row>
    <row r="2445" spans="2:3">
      <c r="B2445" s="157">
        <v>46002</v>
      </c>
      <c r="C2445" s="158">
        <v>84818.13</v>
      </c>
    </row>
    <row r="2446" spans="2:3">
      <c r="B2446" s="157">
        <v>46003</v>
      </c>
      <c r="C2446" s="158">
        <v>85267.66</v>
      </c>
    </row>
    <row r="2447" spans="2:3">
      <c r="B2447" s="157">
        <v>46006</v>
      </c>
      <c r="C2447" s="158">
        <v>85213.36</v>
      </c>
    </row>
    <row r="2448" spans="2:3">
      <c r="B2448" s="157">
        <v>46007</v>
      </c>
      <c r="C2448" s="158">
        <v>84679.86</v>
      </c>
    </row>
    <row r="2449" spans="2:3">
      <c r="B2449" s="157">
        <v>46008</v>
      </c>
      <c r="C2449" s="158">
        <v>84559.65</v>
      </c>
    </row>
    <row r="2450" spans="2:3">
      <c r="B2450" s="157">
        <v>46009</v>
      </c>
      <c r="C2450" s="158">
        <v>84481.81</v>
      </c>
    </row>
    <row r="2451" spans="2:3">
      <c r="B2451" s="157">
        <v>46010</v>
      </c>
      <c r="C2451" s="158">
        <v>84929.36</v>
      </c>
    </row>
    <row r="2452" spans="2:3">
      <c r="B2452" s="157">
        <v>46013</v>
      </c>
      <c r="C2452" s="158">
        <v>85567.48</v>
      </c>
    </row>
    <row r="2453" spans="2:3">
      <c r="B2453" s="157">
        <v>46014</v>
      </c>
      <c r="C2453" s="158">
        <v>85524.84</v>
      </c>
    </row>
    <row r="2454" spans="2:3">
      <c r="B2454" s="157">
        <v>46015</v>
      </c>
      <c r="C2454" s="158">
        <v>85408.7</v>
      </c>
    </row>
    <row r="2455" spans="2:3">
      <c r="B2455" s="157">
        <v>46017</v>
      </c>
      <c r="C2455" s="158">
        <v>85041.45</v>
      </c>
    </row>
    <row r="2456" spans="2:3">
      <c r="B2456" s="157">
        <v>46020</v>
      </c>
      <c r="C2456" s="158">
        <v>84695.54</v>
      </c>
    </row>
    <row r="2457" spans="2:3">
      <c r="B2457" s="157">
        <v>46021</v>
      </c>
      <c r="C2457" s="158">
        <v>84675.08</v>
      </c>
    </row>
    <row r="2458" spans="2:3">
      <c r="B2458" s="157">
        <v>46022</v>
      </c>
      <c r="C2458" s="158">
        <v>85220.6</v>
      </c>
    </row>
    <row r="2459" spans="2:3">
      <c r="B2459" s="157">
        <v>46023</v>
      </c>
      <c r="C2459" s="158">
        <v>85188.6</v>
      </c>
    </row>
    <row r="2460" spans="2:3">
      <c r="B2460" s="157">
        <v>46024</v>
      </c>
      <c r="C2460" s="158">
        <v>85762.01</v>
      </c>
    </row>
    <row r="2461" spans="2:3">
      <c r="B2461" s="157">
        <v>46027</v>
      </c>
      <c r="C2461" s="158">
        <v>85439.62</v>
      </c>
    </row>
    <row r="2462" spans="2:3">
      <c r="B2462" s="157">
        <v>46028</v>
      </c>
      <c r="C2462" s="158">
        <v>85063.34</v>
      </c>
    </row>
    <row r="2463" spans="2:3">
      <c r="B2463" s="157">
        <v>46029</v>
      </c>
      <c r="C2463" s="158">
        <v>84961.14</v>
      </c>
    </row>
    <row r="2464" spans="2:3">
      <c r="B2464" s="157">
        <v>46030</v>
      </c>
      <c r="C2464" s="158">
        <v>84180.96</v>
      </c>
    </row>
    <row r="2465" spans="2:3">
      <c r="B2465" s="157">
        <v>46031</v>
      </c>
      <c r="C2465" s="158">
        <v>83576.240000000005</v>
      </c>
    </row>
    <row r="2466" spans="2:3">
      <c r="B2466" s="157">
        <v>46034</v>
      </c>
      <c r="C2466" s="158">
        <v>83878.17</v>
      </c>
    </row>
    <row r="2467" spans="2:3">
      <c r="B2467" s="157">
        <v>46035</v>
      </c>
      <c r="C2467" s="158">
        <v>83627.69</v>
      </c>
    </row>
    <row r="2468" spans="2:3">
      <c r="B2468" s="157">
        <v>46036</v>
      </c>
      <c r="C2468" s="158">
        <v>83382.710000000006</v>
      </c>
    </row>
    <row r="2469" spans="2:3">
      <c r="B2469" s="157">
        <v>46038</v>
      </c>
      <c r="C2469" s="158">
        <v>83570.350000000006</v>
      </c>
    </row>
    <row r="2470" spans="2:3">
      <c r="B2470" s="157">
        <v>46041</v>
      </c>
      <c r="C2470" s="158">
        <v>83246.179999999993</v>
      </c>
    </row>
    <row r="2471" spans="2:3">
      <c r="B2471" s="157">
        <v>46042</v>
      </c>
      <c r="C2471" s="158">
        <v>82180.47</v>
      </c>
    </row>
    <row r="2472" spans="2:3">
      <c r="B2472" s="157">
        <v>46043</v>
      </c>
      <c r="C2472" s="158">
        <v>81909.63</v>
      </c>
    </row>
    <row r="2473" spans="2:3">
      <c r="B2473" s="157">
        <v>46044</v>
      </c>
      <c r="C2473" s="158">
        <v>82307.37</v>
      </c>
    </row>
    <row r="2474" spans="2:3">
      <c r="B2474" s="157">
        <v>46045</v>
      </c>
      <c r="C2474" s="158">
        <v>81537.7</v>
      </c>
    </row>
    <row r="2475" spans="2:3">
      <c r="B2475" s="157">
        <v>46049</v>
      </c>
      <c r="C2475" s="158">
        <v>81857.48</v>
      </c>
    </row>
    <row r="2476" spans="2:3">
      <c r="B2476" s="157">
        <v>46050</v>
      </c>
      <c r="C2476" s="158">
        <v>82344.679999999993</v>
      </c>
    </row>
    <row r="2477" spans="2:3">
      <c r="B2477" s="157">
        <v>46051</v>
      </c>
      <c r="C2477" s="158">
        <v>82566.37</v>
      </c>
    </row>
    <row r="2478" spans="2:3">
      <c r="B2478" s="157">
        <v>46052</v>
      </c>
      <c r="C2478" s="158">
        <v>82269.78</v>
      </c>
    </row>
    <row r="2479" spans="2:3">
      <c r="B2479" s="157">
        <v>46054</v>
      </c>
      <c r="C2479" s="158">
        <v>80722.94</v>
      </c>
    </row>
    <row r="2480" spans="2:3">
      <c r="B2480" s="157">
        <v>46055</v>
      </c>
      <c r="C2480" s="158">
        <v>81666.460000000006</v>
      </c>
    </row>
    <row r="2481" spans="2:3">
      <c r="B2481" s="157">
        <v>46056</v>
      </c>
      <c r="C2481" s="158">
        <v>83739.13</v>
      </c>
    </row>
    <row r="2482" spans="2:3">
      <c r="B2482" s="157">
        <v>46057</v>
      </c>
      <c r="C2482" s="158">
        <v>83817.69</v>
      </c>
    </row>
    <row r="2483" spans="2:3">
      <c r="B2483" s="157">
        <v>46058</v>
      </c>
      <c r="C2483" s="158">
        <v>83313.929999999993</v>
      </c>
    </row>
    <row r="2484" spans="2:3">
      <c r="B2484" s="157">
        <v>46059</v>
      </c>
      <c r="C2484" s="158">
        <v>83580.399999999994</v>
      </c>
    </row>
    <row r="2485" spans="2:3">
      <c r="B2485" s="157">
        <v>46062</v>
      </c>
      <c r="C2485" s="158">
        <v>84065.75</v>
      </c>
    </row>
    <row r="2486" spans="2:3">
      <c r="B2486" s="157">
        <v>46063</v>
      </c>
      <c r="C2486" s="158">
        <v>84273.919999999998</v>
      </c>
    </row>
  </sheetData>
  <mergeCells count="1">
    <mergeCell ref="B5:H5"/>
  </mergeCells>
  <hyperlinks>
    <hyperlink ref="F10" r:id="rId1" display="https://www.bseindia.com/indices/IndexArchiveData.html"/>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P69"/>
  <sheetViews>
    <sheetView showGridLines="0" workbookViewId="0">
      <selection activeCell="B9" sqref="B9"/>
    </sheetView>
  </sheetViews>
  <sheetFormatPr defaultRowHeight="15"/>
  <cols>
    <col min="1" max="1" width="1.85546875" customWidth="1"/>
    <col min="3" max="3" width="21.7109375" bestFit="1" customWidth="1"/>
    <col min="5" max="5" width="21.140625" bestFit="1" customWidth="1"/>
    <col min="8" max="8" width="18" bestFit="1" customWidth="1"/>
  </cols>
  <sheetData>
    <row r="1" spans="2:16" ht="16.5" thickTop="1">
      <c r="B1" s="248" t="s">
        <v>318</v>
      </c>
    </row>
    <row r="2" spans="2:16">
      <c r="B2" s="10" t="s">
        <v>319</v>
      </c>
    </row>
    <row r="3" spans="2:16">
      <c r="C3" s="64">
        <v>10000</v>
      </c>
    </row>
    <row r="5" spans="2:16">
      <c r="B5" s="413" t="s">
        <v>222</v>
      </c>
      <c r="C5" s="413"/>
      <c r="D5" s="413"/>
      <c r="E5" s="413"/>
      <c r="F5" s="413"/>
      <c r="G5" s="413"/>
      <c r="H5" s="413"/>
      <c r="I5" s="413"/>
      <c r="J5" s="413"/>
    </row>
    <row r="7" spans="2:16">
      <c r="B7" s="414" t="s">
        <v>223</v>
      </c>
      <c r="C7" s="416" t="s">
        <v>224</v>
      </c>
      <c r="D7" s="416" t="s">
        <v>225</v>
      </c>
      <c r="E7" s="416" t="s">
        <v>226</v>
      </c>
      <c r="F7" s="416" t="s">
        <v>225</v>
      </c>
      <c r="H7" s="149" t="s">
        <v>216</v>
      </c>
      <c r="I7" s="150" t="s">
        <v>217</v>
      </c>
      <c r="J7" s="160"/>
    </row>
    <row r="8" spans="2:16" ht="15.75" thickBot="1">
      <c r="B8" s="415"/>
      <c r="C8" s="417"/>
      <c r="D8" s="417"/>
      <c r="E8" s="417"/>
      <c r="F8" s="417"/>
    </row>
    <row r="9" spans="2:16">
      <c r="B9" s="167">
        <v>44228</v>
      </c>
      <c r="C9" s="165">
        <v>49099.99</v>
      </c>
      <c r="D9" s="161"/>
      <c r="E9" s="26">
        <v>390.2</v>
      </c>
      <c r="F9" s="161"/>
      <c r="H9" s="162" t="s">
        <v>227</v>
      </c>
      <c r="I9" s="163">
        <f>SLOPE(F10:F69,D10:D69)</f>
        <v>1.0123305480253908</v>
      </c>
    </row>
    <row r="10" spans="2:16">
      <c r="B10" s="168">
        <v>44256</v>
      </c>
      <c r="C10" s="166">
        <v>49509.15</v>
      </c>
      <c r="D10" s="164">
        <f>C10/C9-1</f>
        <v>8.3331992531974208E-3</v>
      </c>
      <c r="E10" s="26">
        <v>364.35</v>
      </c>
      <c r="F10" s="164">
        <f>E10/E9-1</f>
        <v>-6.6248077908764635E-2</v>
      </c>
      <c r="H10" s="162" t="s">
        <v>227</v>
      </c>
      <c r="I10" s="163">
        <f>_xlfn.COVARIANCE.S(F10:F69,D10:D69)/_xlfn.VAR.S(D10:D69)</f>
        <v>1.0123305480253917</v>
      </c>
    </row>
    <row r="11" spans="2:16">
      <c r="B11" s="168">
        <v>44287</v>
      </c>
      <c r="C11" s="166">
        <v>48782.36</v>
      </c>
      <c r="D11" s="164">
        <f t="shared" ref="D11:F69" si="0">C11/C10-1</f>
        <v>-1.4679912703005393E-2</v>
      </c>
      <c r="E11" s="26">
        <v>353.45</v>
      </c>
      <c r="F11" s="164">
        <f t="shared" si="0"/>
        <v>-2.9916289282283626E-2</v>
      </c>
      <c r="H11" s="162" t="s">
        <v>227</v>
      </c>
      <c r="I11" s="163">
        <f>I30</f>
        <v>1.012330548025391</v>
      </c>
    </row>
    <row r="12" spans="2:16">
      <c r="B12" s="168">
        <v>44317</v>
      </c>
      <c r="C12" s="166">
        <v>51937.440000000002</v>
      </c>
      <c r="D12" s="164">
        <f t="shared" si="0"/>
        <v>6.4676657709877183E-2</v>
      </c>
      <c r="E12" s="26">
        <v>424.25</v>
      </c>
      <c r="F12" s="164">
        <f t="shared" si="0"/>
        <v>0.20031121799405871</v>
      </c>
    </row>
    <row r="13" spans="2:16">
      <c r="B13" s="168">
        <v>44348</v>
      </c>
      <c r="C13" s="166">
        <v>52482.71</v>
      </c>
      <c r="D13" s="164">
        <f t="shared" si="0"/>
        <v>1.0498592152404784E-2</v>
      </c>
      <c r="E13" s="26">
        <v>419.25</v>
      </c>
      <c r="F13" s="164">
        <f t="shared" si="0"/>
        <v>-1.1785503830288757E-2</v>
      </c>
      <c r="H13" s="262" t="s">
        <v>228</v>
      </c>
      <c r="I13" s="174"/>
      <c r="J13" s="174"/>
      <c r="K13" s="174"/>
      <c r="L13" s="174"/>
      <c r="M13" s="174"/>
      <c r="N13" s="174"/>
      <c r="O13" s="174"/>
      <c r="P13" s="175"/>
    </row>
    <row r="14" spans="2:16" ht="15.75" thickBot="1">
      <c r="B14" s="168">
        <v>44378</v>
      </c>
      <c r="C14" s="166">
        <v>52586.84</v>
      </c>
      <c r="D14" s="164">
        <f t="shared" si="0"/>
        <v>1.9840819957657185E-3</v>
      </c>
      <c r="E14" s="26">
        <v>431.7</v>
      </c>
      <c r="F14" s="164">
        <f t="shared" si="0"/>
        <v>2.9695885509839037E-2</v>
      </c>
      <c r="H14" s="176"/>
      <c r="I14" s="112"/>
      <c r="J14" s="112"/>
      <c r="K14" s="112"/>
      <c r="L14" s="112"/>
      <c r="M14" s="112"/>
      <c r="N14" s="112"/>
      <c r="O14" s="112"/>
      <c r="P14" s="38"/>
    </row>
    <row r="15" spans="2:16">
      <c r="B15" s="168">
        <v>44409</v>
      </c>
      <c r="C15" s="166">
        <v>57552.39</v>
      </c>
      <c r="D15" s="164">
        <f t="shared" si="0"/>
        <v>9.4425715635318763E-2</v>
      </c>
      <c r="E15" s="26">
        <v>426</v>
      </c>
      <c r="F15" s="164">
        <f t="shared" si="0"/>
        <v>-1.3203613620569765E-2</v>
      </c>
      <c r="H15" s="177" t="s">
        <v>229</v>
      </c>
      <c r="I15" s="172"/>
      <c r="J15" s="112"/>
      <c r="K15" s="112"/>
      <c r="L15" s="112"/>
      <c r="M15" s="112"/>
      <c r="N15" s="112"/>
      <c r="O15" s="112"/>
      <c r="P15" s="38"/>
    </row>
    <row r="16" spans="2:16">
      <c r="B16" s="168">
        <v>44440</v>
      </c>
      <c r="C16" s="166">
        <v>59126.36</v>
      </c>
      <c r="D16" s="164">
        <f t="shared" si="0"/>
        <v>2.7348473277999386E-2</v>
      </c>
      <c r="E16" s="26">
        <v>453.05</v>
      </c>
      <c r="F16" s="164">
        <f t="shared" si="0"/>
        <v>6.3497652582159558E-2</v>
      </c>
      <c r="H16" s="178" t="s">
        <v>230</v>
      </c>
      <c r="I16" s="169">
        <v>0.50508829043265191</v>
      </c>
      <c r="J16" s="112"/>
      <c r="K16" s="112"/>
      <c r="L16" s="112"/>
      <c r="M16" s="112"/>
      <c r="N16" s="112"/>
      <c r="O16" s="112"/>
      <c r="P16" s="38"/>
    </row>
    <row r="17" spans="2:16">
      <c r="B17" s="168">
        <v>44470</v>
      </c>
      <c r="C17" s="166">
        <v>59306.93</v>
      </c>
      <c r="D17" s="164">
        <f t="shared" si="0"/>
        <v>3.0539678072520893E-3</v>
      </c>
      <c r="E17" s="26">
        <v>502.4</v>
      </c>
      <c r="F17" s="164">
        <f t="shared" si="0"/>
        <v>0.10892837435161673</v>
      </c>
      <c r="H17" s="178" t="s">
        <v>231</v>
      </c>
      <c r="I17" s="169">
        <v>0.25511418113217887</v>
      </c>
      <c r="J17" s="112"/>
      <c r="K17" s="112"/>
      <c r="L17" s="112"/>
      <c r="M17" s="112"/>
      <c r="N17" s="112"/>
      <c r="O17" s="112"/>
      <c r="P17" s="38"/>
    </row>
    <row r="18" spans="2:16">
      <c r="B18" s="168">
        <v>44501</v>
      </c>
      <c r="C18" s="166">
        <v>57064.87</v>
      </c>
      <c r="D18" s="164">
        <f t="shared" si="0"/>
        <v>-3.7804351026094252E-2</v>
      </c>
      <c r="E18" s="26">
        <v>460.6</v>
      </c>
      <c r="F18" s="164">
        <f t="shared" si="0"/>
        <v>-8.3200636942675099E-2</v>
      </c>
      <c r="H18" s="178" t="s">
        <v>232</v>
      </c>
      <c r="I18" s="169">
        <v>0.24227132218618197</v>
      </c>
      <c r="J18" s="112"/>
      <c r="K18" s="112"/>
      <c r="L18" s="112"/>
      <c r="M18" s="112"/>
      <c r="N18" s="112"/>
      <c r="O18" s="112"/>
      <c r="P18" s="38"/>
    </row>
    <row r="19" spans="2:16">
      <c r="B19" s="168">
        <v>44531</v>
      </c>
      <c r="C19" s="166">
        <v>58253.82</v>
      </c>
      <c r="D19" s="164">
        <f t="shared" si="0"/>
        <v>2.0835060169242414E-2</v>
      </c>
      <c r="E19" s="26">
        <v>460.45</v>
      </c>
      <c r="F19" s="164">
        <f t="shared" si="0"/>
        <v>-3.2566217976559564E-4</v>
      </c>
      <c r="H19" s="178" t="s">
        <v>233</v>
      </c>
      <c r="I19" s="169">
        <v>6.1127308775908308E-2</v>
      </c>
      <c r="J19" s="112"/>
      <c r="K19" s="112"/>
      <c r="L19" s="112"/>
      <c r="M19" s="112"/>
      <c r="N19" s="112"/>
      <c r="O19" s="112"/>
      <c r="P19" s="38"/>
    </row>
    <row r="20" spans="2:16" ht="15.75" thickBot="1">
      <c r="B20" s="168">
        <v>44562</v>
      </c>
      <c r="C20" s="166">
        <v>58014.17</v>
      </c>
      <c r="D20" s="164">
        <f t="shared" si="0"/>
        <v>-4.113893303477778E-3</v>
      </c>
      <c r="E20" s="26">
        <v>538.35</v>
      </c>
      <c r="F20" s="164">
        <f t="shared" si="0"/>
        <v>0.16918232164187219</v>
      </c>
      <c r="H20" s="179" t="s">
        <v>234</v>
      </c>
      <c r="I20" s="170">
        <v>60</v>
      </c>
      <c r="J20" s="112"/>
      <c r="K20" s="112"/>
      <c r="L20" s="112"/>
      <c r="M20" s="112"/>
      <c r="N20" s="112"/>
      <c r="O20" s="112"/>
      <c r="P20" s="38"/>
    </row>
    <row r="21" spans="2:16">
      <c r="B21" s="168">
        <v>44593</v>
      </c>
      <c r="C21" s="166">
        <v>56247.28</v>
      </c>
      <c r="D21" s="164">
        <f t="shared" si="0"/>
        <v>-3.0456179929834404E-2</v>
      </c>
      <c r="E21" s="26">
        <v>483.3</v>
      </c>
      <c r="F21" s="164">
        <f t="shared" si="0"/>
        <v>-0.10225689607132904</v>
      </c>
      <c r="H21" s="176"/>
      <c r="I21" s="112"/>
      <c r="J21" s="112"/>
      <c r="K21" s="112"/>
      <c r="L21" s="112"/>
      <c r="M21" s="112"/>
      <c r="N21" s="112"/>
      <c r="O21" s="112"/>
      <c r="P21" s="38"/>
    </row>
    <row r="22" spans="2:16" ht="15.75" thickBot="1">
      <c r="B22" s="168">
        <v>44621</v>
      </c>
      <c r="C22" s="166">
        <v>58568.51</v>
      </c>
      <c r="D22" s="164">
        <f t="shared" si="0"/>
        <v>4.1268306663006626E-2</v>
      </c>
      <c r="E22" s="26">
        <v>493.4</v>
      </c>
      <c r="F22" s="164">
        <f t="shared" si="0"/>
        <v>2.089799296503192E-2</v>
      </c>
      <c r="H22" s="176" t="s">
        <v>235</v>
      </c>
      <c r="I22" s="112"/>
      <c r="J22" s="112"/>
      <c r="K22" s="112"/>
      <c r="L22" s="112"/>
      <c r="M22" s="112"/>
      <c r="N22" s="112"/>
      <c r="O22" s="112"/>
      <c r="P22" s="38"/>
    </row>
    <row r="23" spans="2:16">
      <c r="B23" s="168">
        <v>44652</v>
      </c>
      <c r="C23" s="166">
        <v>57060.87</v>
      </c>
      <c r="D23" s="164">
        <f t="shared" si="0"/>
        <v>-2.5741477800954815E-2</v>
      </c>
      <c r="E23" s="26">
        <v>496.5</v>
      </c>
      <c r="F23" s="164">
        <f t="shared" si="0"/>
        <v>6.2829347385489065E-3</v>
      </c>
      <c r="H23" s="180"/>
      <c r="I23" s="171" t="s">
        <v>239</v>
      </c>
      <c r="J23" s="171" t="s">
        <v>240</v>
      </c>
      <c r="K23" s="171" t="s">
        <v>241</v>
      </c>
      <c r="L23" s="171" t="s">
        <v>242</v>
      </c>
      <c r="M23" s="171" t="s">
        <v>243</v>
      </c>
      <c r="N23" s="112"/>
      <c r="O23" s="112"/>
      <c r="P23" s="38"/>
    </row>
    <row r="24" spans="2:16">
      <c r="B24" s="168">
        <v>44682</v>
      </c>
      <c r="C24" s="166">
        <v>55566.41</v>
      </c>
      <c r="D24" s="164">
        <f t="shared" si="0"/>
        <v>-2.6190627657797672E-2</v>
      </c>
      <c r="E24" s="26">
        <v>467.8</v>
      </c>
      <c r="F24" s="164">
        <f t="shared" si="0"/>
        <v>-5.7804632426988856E-2</v>
      </c>
      <c r="H24" s="178" t="s">
        <v>236</v>
      </c>
      <c r="I24" s="169">
        <v>1</v>
      </c>
      <c r="J24" s="169">
        <v>7.4223843476964396E-2</v>
      </c>
      <c r="K24" s="169">
        <v>7.4223843476964396E-2</v>
      </c>
      <c r="L24" s="169">
        <v>19.864282727460559</v>
      </c>
      <c r="M24" s="169">
        <v>3.8592211150717265E-5</v>
      </c>
      <c r="N24" s="112"/>
      <c r="O24" s="112"/>
      <c r="P24" s="38"/>
    </row>
    <row r="25" spans="2:16">
      <c r="B25" s="168">
        <v>44713</v>
      </c>
      <c r="C25" s="166">
        <v>53018.94</v>
      </c>
      <c r="D25" s="164">
        <f t="shared" si="0"/>
        <v>-4.5845502705681329E-2</v>
      </c>
      <c r="E25" s="26">
        <v>465.8</v>
      </c>
      <c r="F25" s="164">
        <f t="shared" si="0"/>
        <v>-4.2753313381787006E-3</v>
      </c>
      <c r="H25" s="178" t="s">
        <v>237</v>
      </c>
      <c r="I25" s="169">
        <v>58</v>
      </c>
      <c r="J25" s="169">
        <v>0.21671977693474373</v>
      </c>
      <c r="K25" s="169">
        <v>3.7365478781852366E-3</v>
      </c>
      <c r="L25" s="169"/>
      <c r="M25" s="169"/>
      <c r="N25" s="112"/>
      <c r="O25" s="112"/>
      <c r="P25" s="38"/>
    </row>
    <row r="26" spans="2:16" ht="15.75" thickBot="1">
      <c r="B26" s="168">
        <v>44743</v>
      </c>
      <c r="C26" s="166">
        <v>57570.25</v>
      </c>
      <c r="D26" s="164">
        <f t="shared" si="0"/>
        <v>8.5843096825398479E-2</v>
      </c>
      <c r="E26" s="26">
        <v>528.20000000000005</v>
      </c>
      <c r="F26" s="164">
        <f t="shared" si="0"/>
        <v>0.13396307428080734</v>
      </c>
      <c r="H26" s="179" t="s">
        <v>5</v>
      </c>
      <c r="I26" s="170">
        <v>59</v>
      </c>
      <c r="J26" s="170">
        <v>0.29094362041170813</v>
      </c>
      <c r="K26" s="170"/>
      <c r="L26" s="170"/>
      <c r="M26" s="170"/>
      <c r="N26" s="112"/>
      <c r="O26" s="112"/>
      <c r="P26" s="38"/>
    </row>
    <row r="27" spans="2:16" ht="15.75" thickBot="1">
      <c r="B27" s="168">
        <v>44774</v>
      </c>
      <c r="C27" s="166">
        <v>59537.07</v>
      </c>
      <c r="D27" s="164">
        <f t="shared" si="0"/>
        <v>3.4163825934401926E-2</v>
      </c>
      <c r="E27" s="26">
        <v>531.15</v>
      </c>
      <c r="F27" s="164">
        <f t="shared" si="0"/>
        <v>5.585005679666688E-3</v>
      </c>
      <c r="H27" s="176"/>
      <c r="I27" s="112"/>
      <c r="J27" s="112"/>
      <c r="K27" s="112"/>
      <c r="L27" s="112"/>
      <c r="M27" s="112"/>
      <c r="N27" s="112"/>
      <c r="O27" s="112"/>
      <c r="P27" s="38"/>
    </row>
    <row r="28" spans="2:16">
      <c r="B28" s="168">
        <v>44805</v>
      </c>
      <c r="C28" s="166">
        <v>57426.92</v>
      </c>
      <c r="D28" s="164">
        <f t="shared" si="0"/>
        <v>-3.5442624233943731E-2</v>
      </c>
      <c r="E28" s="26">
        <v>531.04999999999995</v>
      </c>
      <c r="F28" s="164">
        <f t="shared" si="0"/>
        <v>-1.8827073331451061E-4</v>
      </c>
      <c r="H28" s="180"/>
      <c r="I28" s="171" t="s">
        <v>244</v>
      </c>
      <c r="J28" s="171" t="s">
        <v>233</v>
      </c>
      <c r="K28" s="171" t="s">
        <v>245</v>
      </c>
      <c r="L28" s="171" t="s">
        <v>246</v>
      </c>
      <c r="M28" s="171" t="s">
        <v>247</v>
      </c>
      <c r="N28" s="171" t="s">
        <v>248</v>
      </c>
      <c r="O28" s="171" t="s">
        <v>249</v>
      </c>
      <c r="P28" s="181" t="s">
        <v>250</v>
      </c>
    </row>
    <row r="29" spans="2:16">
      <c r="B29" s="168">
        <v>44835</v>
      </c>
      <c r="C29" s="166">
        <v>60746.59</v>
      </c>
      <c r="D29" s="164">
        <f t="shared" si="0"/>
        <v>5.7806861311733293E-2</v>
      </c>
      <c r="E29" s="26">
        <v>573.79999999999995</v>
      </c>
      <c r="F29" s="164">
        <f t="shared" si="0"/>
        <v>8.0500894454382799E-2</v>
      </c>
      <c r="H29" s="178" t="s">
        <v>238</v>
      </c>
      <c r="I29" s="169">
        <v>9.4054282420827171E-3</v>
      </c>
      <c r="J29" s="169">
        <v>8.1582975579892608E-3</v>
      </c>
      <c r="K29" s="169">
        <v>1.1528665356011887</v>
      </c>
      <c r="L29" s="169">
        <v>0.25369445916904787</v>
      </c>
      <c r="M29" s="169">
        <v>-6.9251786206037617E-3</v>
      </c>
      <c r="N29" s="169">
        <v>2.5736035104769198E-2</v>
      </c>
      <c r="O29" s="169">
        <v>-6.9251786206037617E-3</v>
      </c>
      <c r="P29" s="182">
        <v>2.5736035104769198E-2</v>
      </c>
    </row>
    <row r="30" spans="2:16">
      <c r="B30" s="168">
        <v>44866</v>
      </c>
      <c r="C30" s="166">
        <v>63099.65</v>
      </c>
      <c r="D30" s="164">
        <f t="shared" si="0"/>
        <v>3.8735672241026364E-2</v>
      </c>
      <c r="E30" s="26">
        <v>602.5</v>
      </c>
      <c r="F30" s="164">
        <f t="shared" si="0"/>
        <v>5.0017427675148163E-2</v>
      </c>
      <c r="H30" s="183" t="s">
        <v>251</v>
      </c>
      <c r="I30" s="184">
        <v>1.012330548025391</v>
      </c>
      <c r="J30" s="184">
        <v>0.22713596078360027</v>
      </c>
      <c r="K30" s="184">
        <v>4.4569364733480965</v>
      </c>
      <c r="L30" s="184">
        <v>3.8592211150717265E-5</v>
      </c>
      <c r="M30" s="184">
        <v>0.55766852404673184</v>
      </c>
      <c r="N30" s="184">
        <v>1.4669925720040502</v>
      </c>
      <c r="O30" s="184">
        <v>0.55766852404673184</v>
      </c>
      <c r="P30" s="185">
        <v>1.4669925720040502</v>
      </c>
    </row>
    <row r="31" spans="2:16">
      <c r="B31" s="168">
        <v>44896</v>
      </c>
      <c r="C31" s="166">
        <v>60840.74</v>
      </c>
      <c r="D31" s="164">
        <f t="shared" si="0"/>
        <v>-3.5799089218403024E-2</v>
      </c>
      <c r="E31" s="26">
        <v>613.20000000000005</v>
      </c>
      <c r="F31" s="164">
        <f t="shared" si="0"/>
        <v>1.7759336099585132E-2</v>
      </c>
    </row>
    <row r="32" spans="2:16">
      <c r="B32" s="168">
        <v>44927</v>
      </c>
      <c r="C32" s="166">
        <v>59549.9</v>
      </c>
      <c r="D32" s="164">
        <f t="shared" si="0"/>
        <v>-2.1216704464804281E-2</v>
      </c>
      <c r="E32" s="26">
        <v>553.70000000000005</v>
      </c>
      <c r="F32" s="164">
        <f t="shared" si="0"/>
        <v>-9.7031963470319615E-2</v>
      </c>
    </row>
    <row r="33" spans="2:6">
      <c r="B33" s="168">
        <v>44958</v>
      </c>
      <c r="C33" s="166">
        <v>58962.12</v>
      </c>
      <c r="D33" s="164">
        <f t="shared" si="0"/>
        <v>-9.8703776160833367E-3</v>
      </c>
      <c r="E33" s="26">
        <v>522.75</v>
      </c>
      <c r="F33" s="164">
        <f t="shared" si="0"/>
        <v>-5.5896694961170335E-2</v>
      </c>
    </row>
    <row r="34" spans="2:6">
      <c r="B34" s="168">
        <v>44986</v>
      </c>
      <c r="C34" s="166">
        <v>58991.519999999997</v>
      </c>
      <c r="D34" s="164">
        <f t="shared" si="0"/>
        <v>4.9862521903887291E-4</v>
      </c>
      <c r="E34" s="26">
        <v>523.70000000000005</v>
      </c>
      <c r="F34" s="164">
        <f t="shared" si="0"/>
        <v>1.81731229077009E-3</v>
      </c>
    </row>
    <row r="35" spans="2:6">
      <c r="B35" s="168">
        <v>45017</v>
      </c>
      <c r="C35" s="166">
        <v>61112.44</v>
      </c>
      <c r="D35" s="164">
        <f t="shared" si="0"/>
        <v>3.5952964087041739E-2</v>
      </c>
      <c r="E35" s="26">
        <v>578.04999999999995</v>
      </c>
      <c r="F35" s="164">
        <f t="shared" si="0"/>
        <v>0.10378079052892852</v>
      </c>
    </row>
    <row r="36" spans="2:6">
      <c r="B36" s="168">
        <v>45047</v>
      </c>
      <c r="C36" s="166">
        <v>62622.239999999998</v>
      </c>
      <c r="D36" s="164">
        <f t="shared" si="0"/>
        <v>2.4705280954254061E-2</v>
      </c>
      <c r="E36" s="26">
        <v>580.54999999999995</v>
      </c>
      <c r="F36" s="164">
        <f t="shared" si="0"/>
        <v>4.3248853905371032E-3</v>
      </c>
    </row>
    <row r="37" spans="2:6">
      <c r="B37" s="168">
        <v>45078</v>
      </c>
      <c r="C37" s="166">
        <v>64718.559999999998</v>
      </c>
      <c r="D37" s="164">
        <f t="shared" si="0"/>
        <v>3.3475646990589913E-2</v>
      </c>
      <c r="E37" s="26">
        <v>572.79999999999995</v>
      </c>
      <c r="F37" s="164">
        <f t="shared" si="0"/>
        <v>-1.334941004220136E-2</v>
      </c>
    </row>
    <row r="38" spans="2:6">
      <c r="B38" s="168">
        <v>45108</v>
      </c>
      <c r="C38" s="166">
        <v>66527.67</v>
      </c>
      <c r="D38" s="164">
        <f t="shared" si="0"/>
        <v>2.7953495875062684E-2</v>
      </c>
      <c r="E38" s="26">
        <v>620.1</v>
      </c>
      <c r="F38" s="164">
        <f t="shared" si="0"/>
        <v>8.2576815642458223E-2</v>
      </c>
    </row>
    <row r="39" spans="2:6">
      <c r="B39" s="168">
        <v>45139</v>
      </c>
      <c r="C39" s="166">
        <v>64831.41</v>
      </c>
      <c r="D39" s="164">
        <f t="shared" si="0"/>
        <v>-2.5497060095445945E-2</v>
      </c>
      <c r="E39" s="26">
        <v>561.29999999999995</v>
      </c>
      <c r="F39" s="164">
        <f t="shared" si="0"/>
        <v>-9.4823415578132675E-2</v>
      </c>
    </row>
    <row r="40" spans="2:6">
      <c r="B40" s="168">
        <v>45170</v>
      </c>
      <c r="C40" s="166">
        <v>65828.41</v>
      </c>
      <c r="D40" s="164">
        <f t="shared" si="0"/>
        <v>1.5378348242001794E-2</v>
      </c>
      <c r="E40" s="26">
        <v>598.70000000000005</v>
      </c>
      <c r="F40" s="164">
        <f t="shared" si="0"/>
        <v>6.6631035097096225E-2</v>
      </c>
    </row>
    <row r="41" spans="2:6">
      <c r="B41" s="168">
        <v>45200</v>
      </c>
      <c r="C41" s="166">
        <v>63874.93</v>
      </c>
      <c r="D41" s="164">
        <f t="shared" si="0"/>
        <v>-2.9675333188208586E-2</v>
      </c>
      <c r="E41" s="26">
        <v>565.35</v>
      </c>
      <c r="F41" s="164">
        <f t="shared" si="0"/>
        <v>-5.5704025388341405E-2</v>
      </c>
    </row>
    <row r="42" spans="2:6">
      <c r="B42" s="168">
        <v>45231</v>
      </c>
      <c r="C42" s="166">
        <v>66988.44</v>
      </c>
      <c r="D42" s="164">
        <f t="shared" si="0"/>
        <v>4.8743849895412916E-2</v>
      </c>
      <c r="E42" s="26">
        <v>564.70000000000005</v>
      </c>
      <c r="F42" s="164">
        <f t="shared" si="0"/>
        <v>-1.1497302555938393E-3</v>
      </c>
    </row>
    <row r="43" spans="2:6">
      <c r="B43" s="168">
        <v>45261</v>
      </c>
      <c r="C43" s="166">
        <v>72240.259999999995</v>
      </c>
      <c r="D43" s="164">
        <f t="shared" si="0"/>
        <v>7.8398899869887906E-2</v>
      </c>
      <c r="E43" s="26">
        <v>641.95000000000005</v>
      </c>
      <c r="F43" s="164">
        <f t="shared" si="0"/>
        <v>0.13679829998229143</v>
      </c>
    </row>
    <row r="44" spans="2:6">
      <c r="B44" s="168">
        <v>45292</v>
      </c>
      <c r="C44" s="166">
        <v>71752.11</v>
      </c>
      <c r="D44" s="164">
        <f t="shared" si="0"/>
        <v>-6.7573123352545617E-3</v>
      </c>
      <c r="E44" s="26">
        <v>640.65</v>
      </c>
      <c r="F44" s="164">
        <f t="shared" si="0"/>
        <v>-2.0250798348782073E-3</v>
      </c>
    </row>
    <row r="45" spans="2:6">
      <c r="B45" s="168">
        <v>45323</v>
      </c>
      <c r="C45" s="166">
        <v>72500.3</v>
      </c>
      <c r="D45" s="164">
        <f t="shared" si="0"/>
        <v>1.0427428545306983E-2</v>
      </c>
      <c r="E45" s="26">
        <v>749.3</v>
      </c>
      <c r="F45" s="164">
        <f t="shared" si="0"/>
        <v>0.16959338172168881</v>
      </c>
    </row>
    <row r="46" spans="2:6">
      <c r="B46" s="168">
        <v>45352</v>
      </c>
      <c r="C46" s="166">
        <v>73651.350000000006</v>
      </c>
      <c r="D46" s="164">
        <f t="shared" si="0"/>
        <v>1.5876486028333803E-2</v>
      </c>
      <c r="E46" s="26">
        <v>752.6</v>
      </c>
      <c r="F46" s="164">
        <f t="shared" si="0"/>
        <v>4.4041105031362715E-3</v>
      </c>
    </row>
    <row r="47" spans="2:6">
      <c r="B47" s="168">
        <v>45383</v>
      </c>
      <c r="C47" s="166">
        <v>74482.78</v>
      </c>
      <c r="D47" s="164">
        <f t="shared" si="0"/>
        <v>1.1288727226316908E-2</v>
      </c>
      <c r="E47" s="26">
        <v>825.7</v>
      </c>
      <c r="F47" s="164">
        <f t="shared" si="0"/>
        <v>9.7129949508371061E-2</v>
      </c>
    </row>
    <row r="48" spans="2:6">
      <c r="B48" s="168">
        <v>45413</v>
      </c>
      <c r="C48" s="166">
        <v>73961.31</v>
      </c>
      <c r="D48" s="164">
        <f t="shared" si="0"/>
        <v>-7.0012155829843881E-3</v>
      </c>
      <c r="E48" s="26">
        <v>830.1</v>
      </c>
      <c r="F48" s="164">
        <f t="shared" si="0"/>
        <v>5.3288119171610582E-3</v>
      </c>
    </row>
    <row r="49" spans="2:6">
      <c r="B49" s="168">
        <v>45444</v>
      </c>
      <c r="C49" s="166">
        <v>79032.73</v>
      </c>
      <c r="D49" s="164">
        <f t="shared" si="0"/>
        <v>6.8568552936663751E-2</v>
      </c>
      <c r="E49" s="26">
        <v>848.85</v>
      </c>
      <c r="F49" s="164">
        <f t="shared" si="0"/>
        <v>2.2587640043368218E-2</v>
      </c>
    </row>
    <row r="50" spans="2:6">
      <c r="B50" s="168">
        <v>45474</v>
      </c>
      <c r="C50" s="166">
        <v>81741.34</v>
      </c>
      <c r="D50" s="164">
        <f t="shared" si="0"/>
        <v>3.427200351044446E-2</v>
      </c>
      <c r="E50" s="26">
        <v>872.75</v>
      </c>
      <c r="F50" s="164">
        <f t="shared" si="0"/>
        <v>2.8155740118984474E-2</v>
      </c>
    </row>
    <row r="51" spans="2:6">
      <c r="B51" s="168">
        <v>45505</v>
      </c>
      <c r="C51" s="166">
        <v>82365.77</v>
      </c>
      <c r="D51" s="164">
        <f t="shared" si="0"/>
        <v>7.6390966920778514E-3</v>
      </c>
      <c r="E51" s="26">
        <v>815.65</v>
      </c>
      <c r="F51" s="164">
        <f t="shared" si="0"/>
        <v>-6.542537954740768E-2</v>
      </c>
    </row>
    <row r="52" spans="2:6">
      <c r="B52" s="168">
        <v>45536</v>
      </c>
      <c r="C52" s="166">
        <v>84299.78</v>
      </c>
      <c r="D52" s="164">
        <f t="shared" si="0"/>
        <v>2.3480749345268004E-2</v>
      </c>
      <c r="E52" s="26">
        <v>787.6</v>
      </c>
      <c r="F52" s="164">
        <f t="shared" si="0"/>
        <v>-3.4389750505731564E-2</v>
      </c>
    </row>
    <row r="53" spans="2:6">
      <c r="B53" s="168">
        <v>45566</v>
      </c>
      <c r="C53" s="166">
        <v>79389.06</v>
      </c>
      <c r="D53" s="164">
        <f t="shared" si="0"/>
        <v>-5.8253058311658723E-2</v>
      </c>
      <c r="E53" s="26">
        <v>820.5</v>
      </c>
      <c r="F53" s="164">
        <f t="shared" si="0"/>
        <v>4.1772473336719074E-2</v>
      </c>
    </row>
    <row r="54" spans="2:6">
      <c r="B54" s="168">
        <v>45597</v>
      </c>
      <c r="C54" s="166">
        <v>79802.789999999994</v>
      </c>
      <c r="D54" s="164">
        <f t="shared" si="0"/>
        <v>5.2114233371700625E-3</v>
      </c>
      <c r="E54" s="26">
        <v>839</v>
      </c>
      <c r="F54" s="164">
        <f t="shared" si="0"/>
        <v>2.2547227300426576E-2</v>
      </c>
    </row>
    <row r="55" spans="2:6">
      <c r="B55" s="168">
        <v>45627</v>
      </c>
      <c r="C55" s="166">
        <v>78139.009999999995</v>
      </c>
      <c r="D55" s="164">
        <f t="shared" si="0"/>
        <v>-2.0848644514809611E-2</v>
      </c>
      <c r="E55" s="26">
        <v>795.05</v>
      </c>
      <c r="F55" s="164">
        <f t="shared" si="0"/>
        <v>-5.2383790226460114E-2</v>
      </c>
    </row>
    <row r="56" spans="2:6">
      <c r="B56" s="168">
        <v>45658</v>
      </c>
      <c r="C56" s="166">
        <v>77500.570000000007</v>
      </c>
      <c r="D56" s="164">
        <f t="shared" si="0"/>
        <v>-8.1705667885987321E-3</v>
      </c>
      <c r="E56" s="26">
        <v>773.1</v>
      </c>
      <c r="F56" s="164">
        <f t="shared" si="0"/>
        <v>-2.7608326520344506E-2</v>
      </c>
    </row>
    <row r="57" spans="2:6">
      <c r="B57" s="168">
        <v>45689</v>
      </c>
      <c r="C57" s="166">
        <v>73198.100000000006</v>
      </c>
      <c r="D57" s="164">
        <f t="shared" si="0"/>
        <v>-5.5515333629159169E-2</v>
      </c>
      <c r="E57" s="26">
        <v>688.25</v>
      </c>
      <c r="F57" s="164">
        <f t="shared" si="0"/>
        <v>-0.10975294269822788</v>
      </c>
    </row>
    <row r="58" spans="2:6">
      <c r="B58" s="168">
        <v>45717</v>
      </c>
      <c r="C58" s="166">
        <v>77414.92</v>
      </c>
      <c r="D58" s="164">
        <f t="shared" si="0"/>
        <v>5.760832589916931E-2</v>
      </c>
      <c r="E58" s="26">
        <v>771.6</v>
      </c>
      <c r="F58" s="164">
        <f t="shared" si="0"/>
        <v>0.12110424990919011</v>
      </c>
    </row>
    <row r="59" spans="2:6">
      <c r="B59" s="168">
        <v>45748</v>
      </c>
      <c r="C59" s="166">
        <v>80242.240000000005</v>
      </c>
      <c r="D59" s="164">
        <f t="shared" si="0"/>
        <v>3.652164208139741E-2</v>
      </c>
      <c r="E59" s="26">
        <v>788.15</v>
      </c>
      <c r="F59" s="164">
        <f t="shared" si="0"/>
        <v>2.1448937273198521E-2</v>
      </c>
    </row>
    <row r="60" spans="2:6">
      <c r="B60" s="168">
        <v>45778</v>
      </c>
      <c r="C60" s="166">
        <v>81451.009999999995</v>
      </c>
      <c r="D60" s="164">
        <f t="shared" si="0"/>
        <v>1.5064011174164449E-2</v>
      </c>
      <c r="E60" s="26">
        <v>812.4</v>
      </c>
      <c r="F60" s="164">
        <f t="shared" si="0"/>
        <v>3.0768254773837489E-2</v>
      </c>
    </row>
    <row r="61" spans="2:6">
      <c r="B61" s="168">
        <v>45809</v>
      </c>
      <c r="C61" s="166">
        <v>83606.460000000006</v>
      </c>
      <c r="D61" s="164">
        <f t="shared" si="0"/>
        <v>2.6463146374735125E-2</v>
      </c>
      <c r="E61" s="26">
        <v>820.35</v>
      </c>
      <c r="F61" s="164">
        <f t="shared" si="0"/>
        <v>9.7858197932054747E-3</v>
      </c>
    </row>
    <row r="62" spans="2:6">
      <c r="B62" s="168">
        <v>45839</v>
      </c>
      <c r="C62" s="166">
        <v>81185.58</v>
      </c>
      <c r="D62" s="164">
        <f t="shared" si="0"/>
        <v>-2.89556572542361E-2</v>
      </c>
      <c r="E62" s="26">
        <v>796.45</v>
      </c>
      <c r="F62" s="164">
        <f t="shared" si="0"/>
        <v>-2.913390625952339E-2</v>
      </c>
    </row>
    <row r="63" spans="2:6">
      <c r="B63" s="168">
        <v>45870</v>
      </c>
      <c r="C63" s="166">
        <v>79809.649999999994</v>
      </c>
      <c r="D63" s="164">
        <f t="shared" si="0"/>
        <v>-1.6947960462929568E-2</v>
      </c>
      <c r="E63" s="26">
        <v>802.35</v>
      </c>
      <c r="F63" s="164">
        <f t="shared" si="0"/>
        <v>7.4078724339254887E-3</v>
      </c>
    </row>
    <row r="64" spans="2:6">
      <c r="B64" s="168">
        <v>45901</v>
      </c>
      <c r="C64" s="166">
        <v>80267.62</v>
      </c>
      <c r="D64" s="164">
        <f t="shared" si="0"/>
        <v>5.7382785164450389E-3</v>
      </c>
      <c r="E64" s="26">
        <v>872.55</v>
      </c>
      <c r="F64" s="164">
        <f t="shared" si="0"/>
        <v>8.7492989343802563E-2</v>
      </c>
    </row>
    <row r="65" spans="2:6">
      <c r="B65" s="168">
        <v>45931</v>
      </c>
      <c r="C65" s="166">
        <v>83938.71</v>
      </c>
      <c r="D65" s="164">
        <f t="shared" si="0"/>
        <v>4.5735627890798547E-2</v>
      </c>
      <c r="E65" s="26">
        <v>937</v>
      </c>
      <c r="F65" s="164">
        <f t="shared" si="0"/>
        <v>7.3863961950604518E-2</v>
      </c>
    </row>
    <row r="66" spans="2:6">
      <c r="B66" s="168">
        <v>45962</v>
      </c>
      <c r="C66" s="166">
        <v>85706.67</v>
      </c>
      <c r="D66" s="164">
        <f t="shared" si="0"/>
        <v>2.1062510967823966E-2</v>
      </c>
      <c r="E66" s="26">
        <v>979.55</v>
      </c>
      <c r="F66" s="164">
        <f t="shared" si="0"/>
        <v>4.5410885805763135E-2</v>
      </c>
    </row>
    <row r="67" spans="2:6">
      <c r="B67" s="168">
        <v>45992</v>
      </c>
      <c r="C67" s="166">
        <v>85220.6</v>
      </c>
      <c r="D67" s="164">
        <f t="shared" si="0"/>
        <v>-5.6713205634986164E-3</v>
      </c>
      <c r="E67" s="26">
        <v>982.2</v>
      </c>
      <c r="F67" s="164">
        <f t="shared" si="0"/>
        <v>2.7053238732070994E-3</v>
      </c>
    </row>
    <row r="68" spans="2:6">
      <c r="B68" s="168">
        <v>46023</v>
      </c>
      <c r="C68" s="166">
        <v>82269.78</v>
      </c>
      <c r="D68" s="164">
        <f t="shared" si="0"/>
        <v>-3.4625665625447444E-2</v>
      </c>
      <c r="E68" s="26">
        <v>1077.55</v>
      </c>
      <c r="F68" s="164">
        <f t="shared" si="0"/>
        <v>9.7077988189777864E-2</v>
      </c>
    </row>
    <row r="69" spans="2:6">
      <c r="B69" s="168">
        <v>46054</v>
      </c>
      <c r="C69" s="166">
        <v>81666.460000000006</v>
      </c>
      <c r="D69" s="164">
        <f t="shared" si="0"/>
        <v>-7.333433977822601E-3</v>
      </c>
      <c r="E69" s="26">
        <v>1028.45</v>
      </c>
      <c r="F69" s="164">
        <f t="shared" si="0"/>
        <v>-4.5566331028722429E-2</v>
      </c>
    </row>
  </sheetData>
  <mergeCells count="6">
    <mergeCell ref="B5:J5"/>
    <mergeCell ref="B7:B8"/>
    <mergeCell ref="C7:C8"/>
    <mergeCell ref="D7:D8"/>
    <mergeCell ref="E7:E8"/>
    <mergeCell ref="F7:F8"/>
  </mergeCells>
  <conditionalFormatting sqref="D10:D69">
    <cfRule type="dataBar" priority="3">
      <dataBar>
        <cfvo type="min"/>
        <cfvo type="max"/>
        <color rgb="FF63C384"/>
      </dataBar>
      <extLst>
        <ext xmlns:x14="http://schemas.microsoft.com/office/spreadsheetml/2009/9/main" uri="{B025F937-C7B1-47D3-B67F-A62EFF666E3E}">
          <x14:id>{5C3C703B-E2A0-4EF7-83B2-857889FCF8B0}</x14:id>
        </ext>
      </extLst>
    </cfRule>
  </conditionalFormatting>
  <conditionalFormatting sqref="F10:F69">
    <cfRule type="dataBar" priority="1">
      <dataBar>
        <cfvo type="min"/>
        <cfvo type="max"/>
        <color rgb="FF63C384"/>
      </dataBar>
      <extLst>
        <ext xmlns:x14="http://schemas.microsoft.com/office/spreadsheetml/2009/9/main" uri="{B025F937-C7B1-47D3-B67F-A62EFF666E3E}">
          <x14:id>{797AE148-92B6-4397-8DAC-2667026CD1B6}</x14:id>
        </ext>
      </extLst>
    </cfRule>
  </conditionalFormatting>
  <hyperlinks>
    <hyperlink ref="I7" r:id="rId1" display="https://www.bseindia.com/indices/IndexArchiveData.html"/>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5C3C703B-E2A0-4EF7-83B2-857889FCF8B0}">
            <x14:dataBar minLength="0" maxLength="100" border="1" negativeBarBorderColorSameAsPositive="0">
              <x14:cfvo type="autoMin"/>
              <x14:cfvo type="autoMax"/>
              <x14:borderColor rgb="FF63C384"/>
              <x14:negativeFillColor rgb="FFFF0000"/>
              <x14:negativeBorderColor rgb="FFFF0000"/>
              <x14:axisColor rgb="FF000000"/>
            </x14:dataBar>
          </x14:cfRule>
          <xm:sqref>D10:D69</xm:sqref>
        </x14:conditionalFormatting>
        <x14:conditionalFormatting xmlns:xm="http://schemas.microsoft.com/office/excel/2006/main">
          <x14:cfRule type="dataBar" id="{797AE148-92B6-4397-8DAC-2667026CD1B6}">
            <x14:dataBar minLength="0" maxLength="100" border="1" negativeBarBorderColorSameAsPositive="0">
              <x14:cfvo type="autoMin"/>
              <x14:cfvo type="autoMax"/>
              <x14:borderColor rgb="FF63C384"/>
              <x14:negativeFillColor rgb="FFFF0000"/>
              <x14:negativeBorderColor rgb="FFFF0000"/>
              <x14:axisColor rgb="FF000000"/>
            </x14:dataBar>
          </x14:cfRule>
          <xm:sqref>F10:F69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Q25"/>
  <sheetViews>
    <sheetView showGridLines="0" topLeftCell="A5" workbookViewId="0">
      <selection activeCell="C18" sqref="C18"/>
    </sheetView>
  </sheetViews>
  <sheetFormatPr defaultRowHeight="15"/>
  <cols>
    <col min="1" max="1" width="1.85546875" customWidth="1"/>
    <col min="2" max="2" width="16.28515625" bestFit="1" customWidth="1"/>
    <col min="3" max="3" width="10.5703125" bestFit="1" customWidth="1"/>
    <col min="4" max="4" width="16.5703125" bestFit="1" customWidth="1"/>
    <col min="5" max="5" width="15.140625" bestFit="1" customWidth="1"/>
    <col min="6" max="6" width="14.5703125" bestFit="1" customWidth="1"/>
    <col min="7" max="8" width="13.28515625" bestFit="1" customWidth="1"/>
    <col min="9" max="9" width="14.28515625" bestFit="1" customWidth="1"/>
    <col min="10" max="10" width="14.42578125" bestFit="1" customWidth="1"/>
    <col min="11" max="11" width="11.42578125" bestFit="1" customWidth="1"/>
    <col min="12" max="12" width="14.28515625" bestFit="1" customWidth="1"/>
    <col min="13" max="13" width="14.5703125" bestFit="1" customWidth="1"/>
    <col min="14" max="14" width="13.85546875" bestFit="1" customWidth="1"/>
    <col min="15" max="15" width="7.5703125" bestFit="1" customWidth="1"/>
    <col min="17" max="17" width="13.85546875" bestFit="1" customWidth="1"/>
  </cols>
  <sheetData>
    <row r="1" spans="2:17" ht="16.5" thickTop="1">
      <c r="B1" s="248" t="s">
        <v>318</v>
      </c>
    </row>
    <row r="2" spans="2:17">
      <c r="B2" s="10" t="s">
        <v>319</v>
      </c>
    </row>
    <row r="3" spans="2:17">
      <c r="C3" s="64">
        <v>10000</v>
      </c>
    </row>
    <row r="4" spans="2:17">
      <c r="B4" s="6" t="s">
        <v>355</v>
      </c>
    </row>
    <row r="5" spans="2:17">
      <c r="B5" s="418" t="s">
        <v>177</v>
      </c>
      <c r="C5" s="418"/>
      <c r="D5" s="418"/>
      <c r="E5" s="418"/>
      <c r="F5" s="418"/>
      <c r="G5" s="418"/>
      <c r="H5" s="418"/>
      <c r="I5" s="418"/>
      <c r="J5" s="418"/>
      <c r="K5" s="418"/>
      <c r="L5" s="418"/>
      <c r="M5" s="418"/>
      <c r="N5" s="418"/>
      <c r="O5" s="418"/>
      <c r="P5" s="418"/>
      <c r="Q5" s="418"/>
    </row>
    <row r="7" spans="2:17">
      <c r="B7" s="148" t="s">
        <v>157</v>
      </c>
      <c r="C7" s="148" t="s">
        <v>158</v>
      </c>
      <c r="D7" s="148" t="s">
        <v>159</v>
      </c>
      <c r="E7" s="148" t="s">
        <v>160</v>
      </c>
      <c r="F7" s="148" t="s">
        <v>161</v>
      </c>
      <c r="G7" s="148" t="s">
        <v>162</v>
      </c>
      <c r="H7" s="148" t="s">
        <v>163</v>
      </c>
      <c r="I7" s="148" t="s">
        <v>164</v>
      </c>
      <c r="J7" s="148" t="s">
        <v>165</v>
      </c>
      <c r="K7" s="148" t="s">
        <v>166</v>
      </c>
      <c r="L7" s="148" t="s">
        <v>167</v>
      </c>
      <c r="M7" s="148" t="s">
        <v>168</v>
      </c>
      <c r="N7" s="148" t="s">
        <v>169</v>
      </c>
      <c r="O7" s="148" t="s">
        <v>170</v>
      </c>
      <c r="P7" s="148" t="s">
        <v>171</v>
      </c>
      <c r="Q7" s="148" t="s">
        <v>172</v>
      </c>
    </row>
    <row r="9" spans="2:17">
      <c r="B9" s="276" t="s">
        <v>151</v>
      </c>
      <c r="C9" s="277">
        <v>290.35000000000002</v>
      </c>
      <c r="D9" s="276">
        <v>517.14</v>
      </c>
      <c r="E9" s="278">
        <v>1673450.53</v>
      </c>
      <c r="F9" s="278">
        <v>54139.23</v>
      </c>
      <c r="G9" s="278">
        <v>20865.259999999998</v>
      </c>
      <c r="H9" s="278">
        <v>131574.32</v>
      </c>
      <c r="I9" s="278">
        <v>1466.95</v>
      </c>
      <c r="J9" s="278">
        <v>105844.24</v>
      </c>
      <c r="K9" s="279">
        <v>16.64</v>
      </c>
      <c r="L9" s="278">
        <v>1774606.26</v>
      </c>
      <c r="M9" s="278">
        <v>153149.89000000001</v>
      </c>
      <c r="N9" s="278">
        <v>7159.61</v>
      </c>
      <c r="O9" s="276">
        <v>7.96</v>
      </c>
      <c r="P9" s="276">
        <v>10.53</v>
      </c>
      <c r="Q9" s="280">
        <v>6864.32</v>
      </c>
    </row>
    <row r="10" spans="2:17">
      <c r="B10" s="276" t="s">
        <v>152</v>
      </c>
      <c r="C10" s="277">
        <v>122.96</v>
      </c>
      <c r="D10" s="276">
        <v>1149.29</v>
      </c>
      <c r="E10" s="278">
        <v>1788466.44</v>
      </c>
      <c r="F10" s="278">
        <v>61154.27</v>
      </c>
      <c r="G10" s="278">
        <v>18552.61</v>
      </c>
      <c r="H10" s="278">
        <v>130497.41</v>
      </c>
      <c r="I10" s="278">
        <v>957.51</v>
      </c>
      <c r="J10" s="278">
        <v>106715.25</v>
      </c>
      <c r="K10" s="279">
        <v>16.420000000000002</v>
      </c>
      <c r="L10" s="278">
        <v>1871143.44</v>
      </c>
      <c r="M10" s="278">
        <v>138087.71</v>
      </c>
      <c r="N10" s="278">
        <v>7462.87</v>
      </c>
      <c r="O10" s="276">
        <v>7.76</v>
      </c>
      <c r="P10" s="276">
        <v>12.01</v>
      </c>
      <c r="Q10" s="280">
        <v>9944.65</v>
      </c>
    </row>
    <row r="11" spans="2:17">
      <c r="B11" s="276" t="s">
        <v>153</v>
      </c>
      <c r="C11" s="277">
        <v>146.83000000000001</v>
      </c>
      <c r="D11" s="276">
        <v>907.07</v>
      </c>
      <c r="E11" s="278">
        <v>1618603</v>
      </c>
      <c r="F11" s="278">
        <v>86837.440000000002</v>
      </c>
      <c r="G11" s="278">
        <v>17691.900000000001</v>
      </c>
      <c r="H11" s="278">
        <v>125841.25</v>
      </c>
      <c r="I11" s="278">
        <v>869.77</v>
      </c>
      <c r="J11" s="278">
        <v>105703.43</v>
      </c>
      <c r="K11" s="279">
        <v>15.08</v>
      </c>
      <c r="L11" s="278">
        <v>1687375.97</v>
      </c>
      <c r="M11" s="278">
        <v>137701.56</v>
      </c>
      <c r="N11" s="278">
        <v>5689.03</v>
      </c>
      <c r="O11" s="276">
        <v>7.19</v>
      </c>
      <c r="P11" s="276">
        <v>14.05</v>
      </c>
      <c r="Q11" s="280">
        <v>5788.95</v>
      </c>
    </row>
    <row r="12" spans="2:17">
      <c r="B12" s="276" t="s">
        <v>154</v>
      </c>
      <c r="C12" s="277">
        <v>179.26</v>
      </c>
      <c r="D12" s="276">
        <v>763.36</v>
      </c>
      <c r="E12" s="278">
        <v>1304329.31</v>
      </c>
      <c r="F12" s="278">
        <v>87764.32</v>
      </c>
      <c r="G12" s="278">
        <v>18026.95</v>
      </c>
      <c r="H12" s="278">
        <v>108368.24</v>
      </c>
      <c r="I12" s="278">
        <v>1083.8800000000001</v>
      </c>
      <c r="J12" s="278">
        <v>94154.97</v>
      </c>
      <c r="K12" s="279">
        <v>14.72</v>
      </c>
      <c r="L12" s="278">
        <v>1392977.97</v>
      </c>
      <c r="M12" s="278">
        <v>131885.79999999999</v>
      </c>
      <c r="N12" s="278">
        <v>5502.71</v>
      </c>
      <c r="O12" s="276">
        <v>6.96</v>
      </c>
      <c r="P12" s="276">
        <v>9.9499999999999993</v>
      </c>
      <c r="Q12" s="280">
        <v>5085.83</v>
      </c>
    </row>
    <row r="13" spans="2:17">
      <c r="B13" s="276" t="s">
        <v>155</v>
      </c>
      <c r="C13" s="277">
        <v>906.05</v>
      </c>
      <c r="D13" s="276">
        <v>134.69999999999999</v>
      </c>
      <c r="E13" s="278">
        <v>839819</v>
      </c>
      <c r="F13" s="278">
        <v>24768.04</v>
      </c>
      <c r="G13" s="278">
        <v>11264.39</v>
      </c>
      <c r="H13" s="278">
        <v>65875.22</v>
      </c>
      <c r="I13" s="278">
        <v>542.94000000000005</v>
      </c>
      <c r="J13" s="278">
        <v>51688.06</v>
      </c>
      <c r="K13" s="279">
        <v>16.48</v>
      </c>
      <c r="L13" s="278">
        <v>927776.66</v>
      </c>
      <c r="M13" s="278">
        <v>118054.66</v>
      </c>
      <c r="N13" s="278">
        <v>3868.64</v>
      </c>
      <c r="O13" s="276">
        <v>9.82</v>
      </c>
      <c r="P13" s="276">
        <v>10.51</v>
      </c>
      <c r="Q13" s="280">
        <v>4580.3599999999997</v>
      </c>
    </row>
    <row r="14" spans="2:17">
      <c r="B14" s="276" t="s">
        <v>156</v>
      </c>
      <c r="C14" s="277">
        <v>167.57</v>
      </c>
      <c r="D14" s="276">
        <v>455.27</v>
      </c>
      <c r="E14" s="278">
        <v>996990.99</v>
      </c>
      <c r="F14" s="278">
        <v>50343.93</v>
      </c>
      <c r="G14" s="278">
        <v>9552.17</v>
      </c>
      <c r="H14" s="278">
        <v>74518.880000000005</v>
      </c>
      <c r="I14" s="278">
        <v>603.55999999999995</v>
      </c>
      <c r="J14" s="278">
        <v>59162.21</v>
      </c>
      <c r="K14" s="279">
        <v>16.38</v>
      </c>
      <c r="L14" s="278">
        <v>1035850.26</v>
      </c>
      <c r="M14" s="278">
        <v>72683.34</v>
      </c>
      <c r="N14" s="278">
        <v>3218.86</v>
      </c>
      <c r="O14" s="276">
        <v>7.13</v>
      </c>
      <c r="P14" s="276">
        <v>11.54</v>
      </c>
      <c r="Q14" s="280">
        <v>3337.38</v>
      </c>
    </row>
    <row r="15" spans="2:17">
      <c r="B15" s="276" t="s">
        <v>173</v>
      </c>
      <c r="C15" s="277">
        <v>34.520000000000003</v>
      </c>
      <c r="D15" s="276">
        <v>1925.66</v>
      </c>
      <c r="E15" s="278">
        <v>396107.32</v>
      </c>
      <c r="F15" s="278">
        <v>16880.400000000001</v>
      </c>
      <c r="G15" s="278">
        <v>3334.71</v>
      </c>
      <c r="H15" s="278">
        <v>31040.32</v>
      </c>
      <c r="I15" s="278">
        <v>394.46</v>
      </c>
      <c r="J15" s="278">
        <v>21750.71</v>
      </c>
      <c r="K15" s="279">
        <v>17.91</v>
      </c>
      <c r="L15" s="278">
        <v>447363.19</v>
      </c>
      <c r="M15" s="278">
        <v>65645.710000000006</v>
      </c>
      <c r="N15" s="278">
        <v>1177.01</v>
      </c>
      <c r="O15" s="276">
        <v>13.81</v>
      </c>
      <c r="P15" s="276">
        <v>10.93</v>
      </c>
      <c r="Q15" s="280">
        <v>1409.74</v>
      </c>
    </row>
    <row r="16" spans="2:17">
      <c r="B16" s="276" t="s">
        <v>174</v>
      </c>
      <c r="C16" s="277">
        <v>67.040000000000006</v>
      </c>
      <c r="D16" s="276">
        <v>769.16</v>
      </c>
      <c r="E16" s="278">
        <v>351995.89</v>
      </c>
      <c r="F16" s="278">
        <v>36967.699999999997</v>
      </c>
      <c r="G16" s="278">
        <v>5541.78</v>
      </c>
      <c r="H16" s="278">
        <v>28257.38</v>
      </c>
      <c r="I16" s="278">
        <v>290.60000000000002</v>
      </c>
      <c r="J16" s="278">
        <v>18821.97</v>
      </c>
      <c r="K16" s="279">
        <v>17.61</v>
      </c>
      <c r="L16" s="278">
        <v>391797.24</v>
      </c>
      <c r="M16" s="278">
        <v>50479.68</v>
      </c>
      <c r="N16" s="278">
        <v>0</v>
      </c>
      <c r="O16" s="276">
        <v>7.8</v>
      </c>
      <c r="P16" s="276">
        <v>10.54</v>
      </c>
      <c r="Q16" s="280">
        <v>566.91</v>
      </c>
    </row>
    <row r="17" spans="2:17">
      <c r="B17" s="276" t="s">
        <v>175</v>
      </c>
      <c r="C17" s="277">
        <v>29.08</v>
      </c>
      <c r="D17" s="276">
        <v>1253.96</v>
      </c>
      <c r="E17" s="278">
        <v>335610.79</v>
      </c>
      <c r="F17" s="278">
        <v>9771.52</v>
      </c>
      <c r="G17" s="278">
        <v>2444.9899999999998</v>
      </c>
      <c r="H17" s="278">
        <v>26369.61</v>
      </c>
      <c r="I17" s="278">
        <v>311.26</v>
      </c>
      <c r="J17" s="278">
        <v>19270</v>
      </c>
      <c r="K17" s="279">
        <v>17.899999999999999</v>
      </c>
      <c r="L17" s="278">
        <v>362546.05</v>
      </c>
      <c r="M17" s="278">
        <v>36051.230000000003</v>
      </c>
      <c r="N17" s="278">
        <v>1388.59</v>
      </c>
      <c r="O17" s="276">
        <v>13.76</v>
      </c>
      <c r="P17" s="276">
        <v>10.11</v>
      </c>
      <c r="Q17" s="280">
        <v>1543.38</v>
      </c>
    </row>
    <row r="18" spans="2:17">
      <c r="B18" s="276" t="s">
        <v>176</v>
      </c>
      <c r="C18" s="277">
        <v>37.96</v>
      </c>
      <c r="D18" s="276">
        <v>905.14</v>
      </c>
      <c r="E18" s="278">
        <v>484345.89</v>
      </c>
      <c r="F18" s="278">
        <v>21511.09</v>
      </c>
      <c r="G18" s="278">
        <v>3943.21</v>
      </c>
      <c r="H18" s="278">
        <v>35123.160000000003</v>
      </c>
      <c r="I18" s="278">
        <v>557.57000000000005</v>
      </c>
      <c r="J18" s="278">
        <v>24946.29</v>
      </c>
      <c r="K18" s="279">
        <v>18.2</v>
      </c>
      <c r="L18" s="278">
        <v>501017.54</v>
      </c>
      <c r="M18" s="278">
        <v>32865.64</v>
      </c>
      <c r="N18" s="278">
        <v>1149.01</v>
      </c>
      <c r="O18" s="276">
        <v>6.81</v>
      </c>
      <c r="P18" s="276">
        <v>12.26</v>
      </c>
      <c r="Q18" s="280">
        <v>1332.84</v>
      </c>
    </row>
    <row r="19" spans="2:17">
      <c r="B19" s="281"/>
      <c r="C19" s="281"/>
      <c r="D19" s="281"/>
      <c r="E19" s="281"/>
      <c r="F19" s="281"/>
      <c r="G19" s="281"/>
      <c r="H19" s="281"/>
      <c r="I19" s="281"/>
      <c r="J19" s="281"/>
      <c r="K19" s="281"/>
      <c r="L19" s="281"/>
      <c r="M19" s="281"/>
      <c r="N19" s="281"/>
      <c r="O19" s="281"/>
      <c r="P19" s="281"/>
      <c r="Q19" s="281"/>
    </row>
    <row r="20" spans="2:17">
      <c r="B20" s="281"/>
      <c r="C20" s="281"/>
      <c r="D20" s="281"/>
      <c r="E20" s="281"/>
      <c r="F20" s="281"/>
      <c r="G20" s="281"/>
      <c r="H20" s="281"/>
      <c r="I20" s="281"/>
      <c r="J20" s="281"/>
      <c r="K20" s="281"/>
      <c r="L20" s="281"/>
      <c r="M20" s="281"/>
      <c r="N20" s="281"/>
      <c r="O20" s="281"/>
      <c r="P20" s="281"/>
      <c r="Q20" s="281"/>
    </row>
    <row r="21" spans="2:17">
      <c r="B21" s="282" t="s">
        <v>150</v>
      </c>
      <c r="C21" s="283">
        <v>1144.0999999999999</v>
      </c>
      <c r="D21" s="284">
        <v>923.06</v>
      </c>
      <c r="E21" s="283">
        <v>6305862.6900000004</v>
      </c>
      <c r="F21" s="283">
        <v>208893.69</v>
      </c>
      <c r="G21" s="283">
        <v>80522.63</v>
      </c>
      <c r="H21" s="283">
        <v>505419.84</v>
      </c>
      <c r="I21" s="283">
        <v>3991.48</v>
      </c>
      <c r="J21" s="283">
        <v>407324.86</v>
      </c>
      <c r="K21" s="284">
        <v>16.66</v>
      </c>
      <c r="L21" s="283">
        <v>6982677.7999999998</v>
      </c>
      <c r="M21" s="283">
        <v>950292.08</v>
      </c>
      <c r="N21" s="283">
        <v>27348.14</v>
      </c>
      <c r="O21" s="285">
        <v>12.09</v>
      </c>
      <c r="P21" s="284">
        <v>11.08</v>
      </c>
      <c r="Q21" s="286">
        <v>28101.11</v>
      </c>
    </row>
    <row r="22" spans="2:17">
      <c r="E22" s="60"/>
    </row>
    <row r="23" spans="2:17">
      <c r="E23" s="60"/>
    </row>
    <row r="24" spans="2:17">
      <c r="B24" s="247"/>
      <c r="C24" s="247"/>
      <c r="D24" s="247"/>
      <c r="E24" s="247"/>
      <c r="F24" s="339"/>
      <c r="G24" s="247"/>
      <c r="H24" s="247"/>
      <c r="I24" s="247"/>
      <c r="J24" s="247"/>
      <c r="K24" s="247"/>
      <c r="L24" s="247"/>
      <c r="M24" s="247"/>
      <c r="N24" s="247"/>
      <c r="O24" s="247"/>
      <c r="P24" s="247"/>
      <c r="Q24" s="247"/>
    </row>
    <row r="25" spans="2:17">
      <c r="F25" s="75"/>
    </row>
  </sheetData>
  <mergeCells count="1">
    <mergeCell ref="B5:Q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B1:R44"/>
  <sheetViews>
    <sheetView showGridLines="0" topLeftCell="B1" zoomScaleNormal="100" workbookViewId="0">
      <selection activeCell="B5" sqref="B5:R5"/>
    </sheetView>
  </sheetViews>
  <sheetFormatPr defaultRowHeight="15"/>
  <cols>
    <col min="1" max="1" width="1.85546875" customWidth="1"/>
    <col min="2" max="2" width="20.85546875" customWidth="1"/>
    <col min="6" max="6" width="12.140625" bestFit="1" customWidth="1"/>
    <col min="7" max="7" width="15" customWidth="1"/>
    <col min="8" max="8" width="18.28515625" bestFit="1" customWidth="1"/>
    <col min="9" max="9" width="11" bestFit="1" customWidth="1"/>
    <col min="10" max="10" width="17" bestFit="1" customWidth="1"/>
    <col min="12" max="12" width="12.5703125" bestFit="1" customWidth="1"/>
    <col min="13" max="13" width="9.7109375" bestFit="1" customWidth="1"/>
    <col min="14" max="14" width="11.5703125" bestFit="1" customWidth="1"/>
  </cols>
  <sheetData>
    <row r="1" spans="2:18" ht="16.5" thickTop="1">
      <c r="B1" s="248" t="s">
        <v>318</v>
      </c>
    </row>
    <row r="2" spans="2:18">
      <c r="B2" s="10" t="s">
        <v>319</v>
      </c>
    </row>
    <row r="3" spans="2:18">
      <c r="C3" s="64">
        <v>10000</v>
      </c>
    </row>
    <row r="5" spans="2:18">
      <c r="B5" s="419" t="s">
        <v>178</v>
      </c>
      <c r="C5" s="419"/>
      <c r="D5" s="419"/>
      <c r="E5" s="419"/>
      <c r="F5" s="419"/>
      <c r="G5" s="419"/>
      <c r="H5" s="419"/>
      <c r="I5" s="419"/>
      <c r="J5" s="419"/>
      <c r="K5" s="419"/>
      <c r="L5" s="419"/>
      <c r="M5" s="419"/>
      <c r="N5" s="419"/>
      <c r="O5" s="419"/>
      <c r="P5" s="419"/>
      <c r="Q5" s="419"/>
      <c r="R5" s="419"/>
    </row>
    <row r="6" spans="2:18">
      <c r="B6" s="6" t="s">
        <v>209</v>
      </c>
    </row>
    <row r="7" spans="2:18">
      <c r="B7" s="420" t="s">
        <v>179</v>
      </c>
      <c r="C7" s="420"/>
      <c r="D7" s="122"/>
      <c r="E7" s="420" t="s">
        <v>180</v>
      </c>
      <c r="F7" s="420"/>
      <c r="G7" s="420"/>
      <c r="H7" s="420"/>
      <c r="I7" s="420"/>
      <c r="J7" s="420"/>
      <c r="K7" s="122"/>
      <c r="L7" s="420" t="s">
        <v>181</v>
      </c>
      <c r="M7" s="420"/>
      <c r="N7" s="420"/>
      <c r="O7" s="122"/>
      <c r="P7" s="420" t="s">
        <v>182</v>
      </c>
      <c r="Q7" s="420"/>
      <c r="R7" s="420"/>
    </row>
    <row r="8" spans="2:18">
      <c r="B8" s="124"/>
      <c r="C8" s="125"/>
      <c r="D8" s="97"/>
      <c r="E8" s="128" t="s">
        <v>183</v>
      </c>
      <c r="F8" s="129" t="s">
        <v>184</v>
      </c>
      <c r="G8" s="130" t="s">
        <v>185</v>
      </c>
      <c r="H8" s="130" t="s">
        <v>186</v>
      </c>
      <c r="I8" s="130" t="s">
        <v>187</v>
      </c>
      <c r="J8" s="130" t="s">
        <v>188</v>
      </c>
      <c r="K8" s="97"/>
      <c r="L8" s="128" t="s">
        <v>189</v>
      </c>
      <c r="M8" s="129" t="s">
        <v>11</v>
      </c>
      <c r="N8" s="130" t="s">
        <v>190</v>
      </c>
      <c r="O8" s="97"/>
      <c r="P8" s="130" t="s">
        <v>191</v>
      </c>
      <c r="Q8" s="130" t="s">
        <v>192</v>
      </c>
      <c r="R8" s="128" t="s">
        <v>170</v>
      </c>
    </row>
    <row r="9" spans="2:18">
      <c r="B9" s="126" t="s">
        <v>193</v>
      </c>
      <c r="C9" s="127" t="s">
        <v>208</v>
      </c>
      <c r="D9" s="98"/>
      <c r="E9" s="131" t="s">
        <v>194</v>
      </c>
      <c r="F9" s="132" t="s">
        <v>207</v>
      </c>
      <c r="G9" s="132" t="s">
        <v>207</v>
      </c>
      <c r="H9" s="132" t="s">
        <v>207</v>
      </c>
      <c r="I9" s="132" t="s">
        <v>207</v>
      </c>
      <c r="J9" s="132" t="s">
        <v>207</v>
      </c>
      <c r="K9" s="98"/>
      <c r="L9" s="132" t="s">
        <v>207</v>
      </c>
      <c r="M9" s="132" t="s">
        <v>207</v>
      </c>
      <c r="N9" s="132" t="s">
        <v>207</v>
      </c>
      <c r="O9" s="98"/>
      <c r="P9" s="133" t="s">
        <v>195</v>
      </c>
      <c r="Q9" s="133" t="s">
        <v>195</v>
      </c>
      <c r="R9" s="131" t="s">
        <v>195</v>
      </c>
    </row>
    <row r="11" spans="2:18">
      <c r="B11" s="99" t="str">
        <f>'Comps Data'!B9</f>
        <v>Bank of Baroda</v>
      </c>
      <c r="C11" s="121" t="s">
        <v>210</v>
      </c>
      <c r="E11" s="100">
        <f>'Comps Data'!C9</f>
        <v>290.35000000000002</v>
      </c>
      <c r="F11" s="101">
        <f>'Comps Data'!D9</f>
        <v>517.14</v>
      </c>
      <c r="G11" s="120">
        <f>F11*E11</f>
        <v>150151.59900000002</v>
      </c>
      <c r="H11" s="100">
        <f>'Comps Data'!E9</f>
        <v>1673450.53</v>
      </c>
      <c r="I11" s="100">
        <f>'Comps Data'!F9</f>
        <v>54139.23</v>
      </c>
      <c r="J11" s="102">
        <f>G11+H11-I11</f>
        <v>1769462.899</v>
      </c>
      <c r="K11" s="103"/>
      <c r="L11" s="100">
        <f>'Comps Data'!H9</f>
        <v>131574.32</v>
      </c>
      <c r="M11" s="100">
        <f>'Comps Data'!I9+'Comps Data'!J9</f>
        <v>107311.19</v>
      </c>
      <c r="N11" s="100">
        <f>'Comps Data'!G9</f>
        <v>20865.259999999998</v>
      </c>
      <c r="P11" s="104">
        <f>J11/L11</f>
        <v>13.448390985414175</v>
      </c>
      <c r="Q11" s="104">
        <f>J11/M11</f>
        <v>16.489080952321935</v>
      </c>
      <c r="R11" s="104">
        <f>G11/N11</f>
        <v>7.1962486448767011</v>
      </c>
    </row>
    <row r="12" spans="2:18">
      <c r="B12" s="99" t="str">
        <f>'Comps Data'!B10</f>
        <v>Punjab Natl.Bank</v>
      </c>
      <c r="C12" s="121" t="s">
        <v>210</v>
      </c>
      <c r="E12" s="100">
        <f>'Comps Data'!C10</f>
        <v>122.96</v>
      </c>
      <c r="F12" s="101">
        <f>'Comps Data'!D10</f>
        <v>1149.29</v>
      </c>
      <c r="G12" s="120">
        <f t="shared" ref="G12:G20" si="0">F12*E12</f>
        <v>141316.69839999999</v>
      </c>
      <c r="H12" s="100">
        <f>'Comps Data'!E10</f>
        <v>1788466.44</v>
      </c>
      <c r="I12" s="100">
        <f>'Comps Data'!F10</f>
        <v>61154.27</v>
      </c>
      <c r="J12" s="102">
        <f t="shared" ref="J12:J20" si="1">G12+H12-I12</f>
        <v>1868628.8684</v>
      </c>
      <c r="K12" s="103"/>
      <c r="L12" s="100">
        <f>'Comps Data'!H10</f>
        <v>130497.41</v>
      </c>
      <c r="M12" s="100">
        <f>'Comps Data'!I10+'Comps Data'!J10</f>
        <v>107672.76</v>
      </c>
      <c r="N12" s="100">
        <f>'Comps Data'!G10</f>
        <v>18552.61</v>
      </c>
      <c r="P12" s="104">
        <f t="shared" ref="P12:P20" si="2">J12/L12</f>
        <v>14.319279351214711</v>
      </c>
      <c r="Q12" s="104">
        <f t="shared" ref="Q12:Q20" si="3">J12/M12</f>
        <v>17.354703904683042</v>
      </c>
      <c r="R12" s="104">
        <f t="shared" ref="R12:R20" si="4">G12/N12</f>
        <v>7.6170791279501904</v>
      </c>
    </row>
    <row r="13" spans="2:18">
      <c r="B13" s="99" t="str">
        <f>'Comps Data'!B11</f>
        <v>Canara Bank</v>
      </c>
      <c r="C13" s="121" t="s">
        <v>210</v>
      </c>
      <c r="E13" s="100">
        <f>'Comps Data'!C11</f>
        <v>146.83000000000001</v>
      </c>
      <c r="F13" s="101">
        <f>'Comps Data'!D11</f>
        <v>907.07</v>
      </c>
      <c r="G13" s="120">
        <f t="shared" si="0"/>
        <v>133185.08810000002</v>
      </c>
      <c r="H13" s="100">
        <f>'Comps Data'!E11</f>
        <v>1618603</v>
      </c>
      <c r="I13" s="100">
        <f>'Comps Data'!F11</f>
        <v>86837.440000000002</v>
      </c>
      <c r="J13" s="102">
        <f t="shared" si="1"/>
        <v>1664950.6481000001</v>
      </c>
      <c r="K13" s="103"/>
      <c r="L13" s="100">
        <f>'Comps Data'!H11</f>
        <v>125841.25</v>
      </c>
      <c r="M13" s="100">
        <f>'Comps Data'!I11+'Comps Data'!J11</f>
        <v>106573.2</v>
      </c>
      <c r="N13" s="100">
        <f>'Comps Data'!G11</f>
        <v>17691.900000000001</v>
      </c>
      <c r="P13" s="104">
        <f t="shared" si="2"/>
        <v>13.230563492495506</v>
      </c>
      <c r="Q13" s="104">
        <f t="shared" si="3"/>
        <v>15.622601630616328</v>
      </c>
      <c r="R13" s="104">
        <f t="shared" si="4"/>
        <v>7.5280262775620486</v>
      </c>
    </row>
    <row r="14" spans="2:18">
      <c r="B14" s="99" t="str">
        <f>'Comps Data'!B12</f>
        <v>Union Bank (I)</v>
      </c>
      <c r="C14" s="121" t="s">
        <v>210</v>
      </c>
      <c r="E14" s="100">
        <f>'Comps Data'!C12</f>
        <v>179.26</v>
      </c>
      <c r="F14" s="101">
        <f>'Comps Data'!D12</f>
        <v>763.36</v>
      </c>
      <c r="G14" s="120">
        <f t="shared" si="0"/>
        <v>136839.9136</v>
      </c>
      <c r="H14" s="100">
        <f>'Comps Data'!E12</f>
        <v>1304329.31</v>
      </c>
      <c r="I14" s="100">
        <f>'Comps Data'!F12</f>
        <v>87764.32</v>
      </c>
      <c r="J14" s="102">
        <f t="shared" si="1"/>
        <v>1353404.9036000001</v>
      </c>
      <c r="K14" s="103"/>
      <c r="L14" s="100">
        <f>'Comps Data'!H12</f>
        <v>108368.24</v>
      </c>
      <c r="M14" s="100">
        <f>'Comps Data'!I12+'Comps Data'!J12</f>
        <v>95238.85</v>
      </c>
      <c r="N14" s="100">
        <f>'Comps Data'!G12</f>
        <v>18026.95</v>
      </c>
      <c r="P14" s="104">
        <f t="shared" si="2"/>
        <v>12.488944210960701</v>
      </c>
      <c r="Q14" s="104">
        <f t="shared" si="3"/>
        <v>14.210638868486967</v>
      </c>
      <c r="R14" s="104">
        <f t="shared" si="4"/>
        <v>7.5908522295784921</v>
      </c>
    </row>
    <row r="15" spans="2:18">
      <c r="B15" s="99" t="str">
        <f>'Comps Data'!B13</f>
        <v>Indian Bank</v>
      </c>
      <c r="C15" s="121" t="s">
        <v>210</v>
      </c>
      <c r="E15" s="100">
        <f>'Comps Data'!C13</f>
        <v>906.05</v>
      </c>
      <c r="F15" s="101">
        <f>'Comps Data'!D13</f>
        <v>134.69999999999999</v>
      </c>
      <c r="G15" s="120">
        <f t="shared" si="0"/>
        <v>122044.93499999998</v>
      </c>
      <c r="H15" s="100">
        <f>'Comps Data'!E13</f>
        <v>839819</v>
      </c>
      <c r="I15" s="100">
        <f>'Comps Data'!F13</f>
        <v>24768.04</v>
      </c>
      <c r="J15" s="102">
        <f t="shared" si="1"/>
        <v>937095.8949999999</v>
      </c>
      <c r="K15" s="103"/>
      <c r="L15" s="100">
        <f>'Comps Data'!H13</f>
        <v>65875.22</v>
      </c>
      <c r="M15" s="100">
        <f>'Comps Data'!I13+'Comps Data'!J13</f>
        <v>52231</v>
      </c>
      <c r="N15" s="100">
        <f>'Comps Data'!G13</f>
        <v>11264.39</v>
      </c>
      <c r="P15" s="104">
        <f t="shared" si="2"/>
        <v>14.225317122280577</v>
      </c>
      <c r="Q15" s="104">
        <f t="shared" si="3"/>
        <v>17.941373800999404</v>
      </c>
      <c r="R15" s="104">
        <f t="shared" si="4"/>
        <v>10.834580034959727</v>
      </c>
    </row>
    <row r="16" spans="2:18">
      <c r="B16" s="99" t="str">
        <f>'Comps Data'!B14</f>
        <v>Bank of India</v>
      </c>
      <c r="C16" s="121" t="s">
        <v>210</v>
      </c>
      <c r="E16" s="100">
        <f>'Comps Data'!C14</f>
        <v>167.57</v>
      </c>
      <c r="F16" s="101">
        <f>'Comps Data'!D14</f>
        <v>455.27</v>
      </c>
      <c r="G16" s="120">
        <f t="shared" si="0"/>
        <v>76289.593899999993</v>
      </c>
      <c r="H16" s="100">
        <f>'Comps Data'!E14</f>
        <v>996990.99</v>
      </c>
      <c r="I16" s="100">
        <f>'Comps Data'!F14</f>
        <v>50343.93</v>
      </c>
      <c r="J16" s="102">
        <f t="shared" si="1"/>
        <v>1022936.6538999999</v>
      </c>
      <c r="K16" s="103"/>
      <c r="L16" s="100">
        <f>'Comps Data'!H14</f>
        <v>74518.880000000005</v>
      </c>
      <c r="M16" s="100">
        <f>'Comps Data'!I14+'Comps Data'!J14</f>
        <v>59765.77</v>
      </c>
      <c r="N16" s="100">
        <f>'Comps Data'!G14</f>
        <v>9552.17</v>
      </c>
      <c r="P16" s="104">
        <f t="shared" si="2"/>
        <v>13.727214551533784</v>
      </c>
      <c r="Q16" s="104">
        <f t="shared" si="3"/>
        <v>17.1157613111987</v>
      </c>
      <c r="R16" s="104">
        <f t="shared" si="4"/>
        <v>7.9866243900600589</v>
      </c>
    </row>
    <row r="17" spans="2:18">
      <c r="B17" s="99" t="str">
        <f>'Comps Data'!B15</f>
        <v>I O B</v>
      </c>
      <c r="C17" s="121" t="s">
        <v>210</v>
      </c>
      <c r="E17" s="100">
        <f>'Comps Data'!C15</f>
        <v>34.520000000000003</v>
      </c>
      <c r="F17" s="101">
        <f>'Comps Data'!D15</f>
        <v>1925.66</v>
      </c>
      <c r="G17" s="120">
        <f t="shared" si="0"/>
        <v>66473.783200000005</v>
      </c>
      <c r="H17" s="100">
        <f>'Comps Data'!E15</f>
        <v>396107.32</v>
      </c>
      <c r="I17" s="100">
        <f>'Comps Data'!F15</f>
        <v>16880.400000000001</v>
      </c>
      <c r="J17" s="102">
        <f t="shared" si="1"/>
        <v>445700.70319999999</v>
      </c>
      <c r="K17" s="103"/>
      <c r="L17" s="100">
        <f>'Comps Data'!H15</f>
        <v>31040.32</v>
      </c>
      <c r="M17" s="100">
        <f>'Comps Data'!I15+'Comps Data'!J15</f>
        <v>22145.17</v>
      </c>
      <c r="N17" s="100">
        <f>'Comps Data'!G15</f>
        <v>3334.71</v>
      </c>
      <c r="P17" s="104">
        <f t="shared" si="2"/>
        <v>14.358766378697126</v>
      </c>
      <c r="Q17" s="104">
        <f t="shared" si="3"/>
        <v>20.126316627959959</v>
      </c>
      <c r="R17" s="104">
        <f t="shared" si="4"/>
        <v>19.933902258367297</v>
      </c>
    </row>
    <row r="18" spans="2:18">
      <c r="B18" s="99" t="str">
        <f>'Comps Data'!B16</f>
        <v>Bank of Maha</v>
      </c>
      <c r="C18" s="121" t="s">
        <v>210</v>
      </c>
      <c r="E18" s="100">
        <f>'Comps Data'!C16</f>
        <v>67.040000000000006</v>
      </c>
      <c r="F18" s="101">
        <f>'Comps Data'!D16</f>
        <v>769.16</v>
      </c>
      <c r="G18" s="120">
        <f t="shared" si="0"/>
        <v>51564.486400000002</v>
      </c>
      <c r="H18" s="100">
        <f>'Comps Data'!E16</f>
        <v>351995.89</v>
      </c>
      <c r="I18" s="100">
        <f>'Comps Data'!F16</f>
        <v>36967.699999999997</v>
      </c>
      <c r="J18" s="102">
        <f t="shared" si="1"/>
        <v>366592.6764</v>
      </c>
      <c r="K18" s="103"/>
      <c r="L18" s="100">
        <f>'Comps Data'!H16</f>
        <v>28257.38</v>
      </c>
      <c r="M18" s="100">
        <f>'Comps Data'!I16+'Comps Data'!J16</f>
        <v>19112.57</v>
      </c>
      <c r="N18" s="100">
        <f>'Comps Data'!G16</f>
        <v>5541.78</v>
      </c>
      <c r="P18" s="104">
        <f t="shared" si="2"/>
        <v>12.973342765677497</v>
      </c>
      <c r="Q18" s="104">
        <f t="shared" si="3"/>
        <v>19.180710725977722</v>
      </c>
      <c r="R18" s="104">
        <f t="shared" si="4"/>
        <v>9.3046794351273423</v>
      </c>
    </row>
    <row r="19" spans="2:18">
      <c r="B19" s="99" t="str">
        <f>'Comps Data'!B17</f>
        <v>UCO Bank</v>
      </c>
      <c r="C19" s="121" t="s">
        <v>210</v>
      </c>
      <c r="E19" s="100">
        <f>'Comps Data'!C17</f>
        <v>29.08</v>
      </c>
      <c r="F19" s="101">
        <f>'Comps Data'!D17</f>
        <v>1253.96</v>
      </c>
      <c r="G19" s="120">
        <f t="shared" si="0"/>
        <v>36465.156799999997</v>
      </c>
      <c r="H19" s="100">
        <f>'Comps Data'!E17</f>
        <v>335610.79</v>
      </c>
      <c r="I19" s="100">
        <f>'Comps Data'!F17</f>
        <v>9771.52</v>
      </c>
      <c r="J19" s="102">
        <f t="shared" si="1"/>
        <v>362304.42679999996</v>
      </c>
      <c r="K19" s="103"/>
      <c r="L19" s="100">
        <f>'Comps Data'!H17</f>
        <v>26369.61</v>
      </c>
      <c r="M19" s="100">
        <f>'Comps Data'!I17+'Comps Data'!J17</f>
        <v>19581.259999999998</v>
      </c>
      <c r="N19" s="100">
        <f>'Comps Data'!G17</f>
        <v>2444.9899999999998</v>
      </c>
      <c r="P19" s="104">
        <f t="shared" si="2"/>
        <v>13.739468532147422</v>
      </c>
      <c r="Q19" s="104">
        <f t="shared" si="3"/>
        <v>18.502610495953785</v>
      </c>
      <c r="R19" s="104">
        <f t="shared" si="4"/>
        <v>14.914235559245641</v>
      </c>
    </row>
    <row r="20" spans="2:18">
      <c r="B20" s="99" t="str">
        <f>'Comps Data'!B18</f>
        <v>Central Bank</v>
      </c>
      <c r="C20" s="121" t="s">
        <v>210</v>
      </c>
      <c r="E20" s="100">
        <f>'Comps Data'!C18</f>
        <v>37.96</v>
      </c>
      <c r="F20" s="101">
        <f>'Comps Data'!D18</f>
        <v>905.14</v>
      </c>
      <c r="G20" s="120">
        <f t="shared" si="0"/>
        <v>34359.114399999999</v>
      </c>
      <c r="H20" s="100">
        <f>'Comps Data'!E18</f>
        <v>484345.89</v>
      </c>
      <c r="I20" s="100">
        <f>'Comps Data'!F18</f>
        <v>21511.09</v>
      </c>
      <c r="J20" s="102">
        <f t="shared" si="1"/>
        <v>497193.91440000001</v>
      </c>
      <c r="L20" s="100">
        <f>'Comps Data'!H18</f>
        <v>35123.160000000003</v>
      </c>
      <c r="M20" s="100">
        <f>'Comps Data'!I18+'Comps Data'!J18</f>
        <v>25503.86</v>
      </c>
      <c r="N20" s="100">
        <f>'Comps Data'!G18</f>
        <v>3943.21</v>
      </c>
      <c r="P20" s="104">
        <f t="shared" si="2"/>
        <v>14.155728425346693</v>
      </c>
      <c r="Q20" s="104">
        <f t="shared" si="3"/>
        <v>19.494849579632259</v>
      </c>
      <c r="R20" s="104">
        <f t="shared" si="4"/>
        <v>8.7134883508613541</v>
      </c>
    </row>
    <row r="23" spans="2:18">
      <c r="B23" s="136" t="s">
        <v>196</v>
      </c>
      <c r="C23" s="137"/>
      <c r="D23" s="137"/>
      <c r="E23" s="137"/>
      <c r="F23" s="137"/>
      <c r="G23" s="137"/>
      <c r="H23" s="137"/>
      <c r="I23" s="137"/>
      <c r="J23" s="137"/>
      <c r="K23" s="137"/>
      <c r="L23" s="137"/>
      <c r="M23" s="137"/>
      <c r="N23" s="137"/>
      <c r="O23" s="137"/>
      <c r="P23" s="138">
        <f>MAX(P11:P20)</f>
        <v>14.358766378697126</v>
      </c>
      <c r="Q23" s="138">
        <f t="shared" ref="Q23:R23" si="5">MAX(Q11:Q20)</f>
        <v>20.126316627959959</v>
      </c>
      <c r="R23" s="138">
        <f t="shared" si="5"/>
        <v>19.933902258367297</v>
      </c>
    </row>
    <row r="24" spans="2:18">
      <c r="B24" s="136" t="s">
        <v>197</v>
      </c>
      <c r="C24" s="137"/>
      <c r="D24" s="137"/>
      <c r="E24" s="137"/>
      <c r="F24" s="137"/>
      <c r="G24" s="137"/>
      <c r="H24" s="137"/>
      <c r="I24" s="137"/>
      <c r="J24" s="137"/>
      <c r="K24" s="137"/>
      <c r="L24" s="137"/>
      <c r="M24" s="137"/>
      <c r="N24" s="137"/>
      <c r="O24" s="137"/>
      <c r="P24" s="138">
        <f>_xlfn.QUARTILE.EXC(P11:P20,3)</f>
        <v>14.24880767951411</v>
      </c>
      <c r="Q24" s="138">
        <f t="shared" ref="Q24:R24" si="6">_xlfn.QUARTILE.EXC(Q11:Q20,3)</f>
        <v>19.259245439391357</v>
      </c>
      <c r="R24" s="138">
        <f t="shared" si="6"/>
        <v>11.854493916031206</v>
      </c>
    </row>
    <row r="25" spans="2:18">
      <c r="B25" s="134" t="s">
        <v>198</v>
      </c>
      <c r="C25" s="134"/>
      <c r="D25" s="134"/>
      <c r="E25" s="134"/>
      <c r="F25" s="134"/>
      <c r="G25" s="134"/>
      <c r="H25" s="134"/>
      <c r="I25" s="134"/>
      <c r="J25" s="134"/>
      <c r="K25" s="134"/>
      <c r="L25" s="134"/>
      <c r="M25" s="134"/>
      <c r="N25" s="134"/>
      <c r="O25" s="134"/>
      <c r="P25" s="135">
        <f>AVERAGE(P11:P20)</f>
        <v>13.66670158157682</v>
      </c>
      <c r="Q25" s="135">
        <f t="shared" ref="Q25:R25" si="7">AVERAGE(Q11:Q20)</f>
        <v>17.603864789783007</v>
      </c>
      <c r="R25" s="135">
        <f t="shared" si="7"/>
        <v>10.161971630858885</v>
      </c>
    </row>
    <row r="26" spans="2:18">
      <c r="B26" s="134" t="s">
        <v>199</v>
      </c>
      <c r="C26" s="134"/>
      <c r="D26" s="134"/>
      <c r="E26" s="134"/>
      <c r="F26" s="134"/>
      <c r="G26" s="134"/>
      <c r="H26" s="134"/>
      <c r="I26" s="134"/>
      <c r="J26" s="134"/>
      <c r="K26" s="134"/>
      <c r="L26" s="134"/>
      <c r="M26" s="134"/>
      <c r="N26" s="134"/>
      <c r="O26" s="134"/>
      <c r="P26" s="135">
        <f>MEDIAN(P11:P20)</f>
        <v>13.733341541840602</v>
      </c>
      <c r="Q26" s="135">
        <f t="shared" ref="Q26:R26" si="8">MEDIAN(Q11:Q20)</f>
        <v>17.648038852841225</v>
      </c>
      <c r="R26" s="135">
        <f t="shared" si="8"/>
        <v>8.350056370460706</v>
      </c>
    </row>
    <row r="27" spans="2:18">
      <c r="B27" s="136" t="s">
        <v>200</v>
      </c>
      <c r="C27" s="137"/>
      <c r="D27" s="137"/>
      <c r="E27" s="137"/>
      <c r="F27" s="137"/>
      <c r="G27" s="137"/>
      <c r="H27" s="137"/>
      <c r="I27" s="137"/>
      <c r="J27" s="137"/>
      <c r="K27" s="137"/>
      <c r="L27" s="137"/>
      <c r="M27" s="137"/>
      <c r="N27" s="137"/>
      <c r="O27" s="137"/>
      <c r="P27" s="138">
        <f>_xlfn.QUARTILE.EXC(P11:P20,1)</f>
        <v>13.166258310791005</v>
      </c>
      <c r="Q27" s="138">
        <f t="shared" ref="Q27:R27" si="9">_xlfn.QUARTILE.EXC(Q11:Q20,1)</f>
        <v>16.272461121895532</v>
      </c>
      <c r="R27" s="138">
        <f t="shared" si="9"/>
        <v>7.5751457415743815</v>
      </c>
    </row>
    <row r="28" spans="2:18">
      <c r="B28" s="136" t="s">
        <v>201</v>
      </c>
      <c r="C28" s="137"/>
      <c r="D28" s="137"/>
      <c r="E28" s="137"/>
      <c r="F28" s="137"/>
      <c r="G28" s="137"/>
      <c r="H28" s="137"/>
      <c r="I28" s="137"/>
      <c r="J28" s="137"/>
      <c r="K28" s="137"/>
      <c r="L28" s="137"/>
      <c r="M28" s="137"/>
      <c r="N28" s="137"/>
      <c r="O28" s="137"/>
      <c r="P28" s="138">
        <f>MIN(P15:P20)</f>
        <v>12.973342765677497</v>
      </c>
      <c r="Q28" s="138">
        <f t="shared" ref="Q28:R28" si="10">MIN(Q15:Q20)</f>
        <v>17.1157613111987</v>
      </c>
      <c r="R28" s="138">
        <f t="shared" si="10"/>
        <v>7.9866243900600589</v>
      </c>
    </row>
    <row r="30" spans="2:18">
      <c r="B30" s="139" t="str">
        <f>'Comps Data'!B21</f>
        <v>SBI</v>
      </c>
      <c r="C30" s="140" t="s">
        <v>210</v>
      </c>
      <c r="D30" s="141"/>
      <c r="E30" s="142">
        <f>'Comps Data'!C21</f>
        <v>1144.0999999999999</v>
      </c>
      <c r="F30" s="143">
        <f>'Comps Data'!D21</f>
        <v>923.06</v>
      </c>
      <c r="G30" s="216">
        <f>F30*E30</f>
        <v>1056072.9459999998</v>
      </c>
      <c r="H30" s="142">
        <f>'Comps Data'!E21</f>
        <v>6305862.6900000004</v>
      </c>
      <c r="I30" s="142">
        <f>'Comps Data'!F21</f>
        <v>208893.69</v>
      </c>
      <c r="J30" s="144">
        <f t="shared" ref="J30" si="11">G30+H30-I30</f>
        <v>7153041.9459999995</v>
      </c>
      <c r="K30" s="145"/>
      <c r="L30" s="142">
        <f>'Comps Data'!H21</f>
        <v>505419.84</v>
      </c>
      <c r="M30" s="142">
        <f>'Comps Data'!J21+'Comps Data'!I21</f>
        <v>411316.33999999997</v>
      </c>
      <c r="N30" s="142">
        <f>'Comps Data'!G21</f>
        <v>80522.63</v>
      </c>
      <c r="O30" s="141"/>
      <c r="P30" s="146">
        <f>J30/L30</f>
        <v>14.152673440757686</v>
      </c>
      <c r="Q30" s="146">
        <f>J30/M30</f>
        <v>17.390609733617683</v>
      </c>
      <c r="R30" s="147">
        <f t="shared" ref="R30" si="12">G30/N30</f>
        <v>13.115231655995336</v>
      </c>
    </row>
    <row r="31" spans="2:18">
      <c r="H31" s="60"/>
      <c r="N31" s="60"/>
    </row>
    <row r="32" spans="2:18">
      <c r="B32" s="105" t="s">
        <v>199</v>
      </c>
      <c r="N32" s="60"/>
    </row>
    <row r="33" spans="2:18">
      <c r="B33" s="148" t="s">
        <v>202</v>
      </c>
      <c r="C33" s="148"/>
      <c r="D33" s="148"/>
      <c r="E33" s="148" t="s">
        <v>203</v>
      </c>
      <c r="F33" s="148" t="s">
        <v>211</v>
      </c>
      <c r="G33" s="148" t="s">
        <v>212</v>
      </c>
      <c r="H33" s="148" t="s">
        <v>213</v>
      </c>
      <c r="I33" s="148" t="s">
        <v>214</v>
      </c>
      <c r="J33" s="148" t="s">
        <v>204</v>
      </c>
      <c r="L33" s="148" t="s">
        <v>205</v>
      </c>
      <c r="N33" s="60"/>
    </row>
    <row r="34" spans="2:18">
      <c r="B34" s="106" t="s">
        <v>206</v>
      </c>
      <c r="C34" s="106"/>
      <c r="D34" s="106"/>
      <c r="E34" s="107">
        <f>P26</f>
        <v>13.733341541840602</v>
      </c>
      <c r="F34" s="108">
        <f>E34*L30</f>
        <v>6941103.2847424308</v>
      </c>
      <c r="G34" s="108">
        <f>$H$30-$I$30</f>
        <v>6096969</v>
      </c>
      <c r="H34" s="108">
        <f>F34-G34</f>
        <v>844134.28474243078</v>
      </c>
      <c r="I34" s="109">
        <f>$F$30</f>
        <v>923.06</v>
      </c>
      <c r="J34" s="108">
        <f>H34/I34</f>
        <v>914.49557422316082</v>
      </c>
      <c r="L34" s="110" t="str">
        <f>IF(J34&gt;$E$30,"Undervalued","Overvalued")</f>
        <v>Overvalued</v>
      </c>
      <c r="N34" s="60"/>
    </row>
    <row r="35" spans="2:18">
      <c r="B35" s="99" t="s">
        <v>192</v>
      </c>
      <c r="C35" s="99"/>
      <c r="D35" s="99"/>
      <c r="E35" s="111">
        <f>Q26</f>
        <v>17.648038852841225</v>
      </c>
      <c r="F35" s="102">
        <f>E35*M30</f>
        <v>7258926.7491284506</v>
      </c>
      <c r="G35" s="108">
        <f t="shared" ref="G35:G36" si="13">$H$30-$I$30</f>
        <v>6096969</v>
      </c>
      <c r="H35" s="102">
        <f t="shared" ref="H35" si="14">F35-G35</f>
        <v>1161957.7491284506</v>
      </c>
      <c r="I35" s="109">
        <f t="shared" ref="I35:I36" si="15">$F$30</f>
        <v>923.06</v>
      </c>
      <c r="J35" s="102">
        <f t="shared" ref="J35:J36" si="16">H35/I35</f>
        <v>1258.8106397508836</v>
      </c>
      <c r="L35" s="110" t="str">
        <f t="shared" ref="L35:L36" si="17">IF(J35&gt;$E$30,"Undervalued","Overvalued")</f>
        <v>Undervalued</v>
      </c>
    </row>
    <row r="36" spans="2:18">
      <c r="B36" s="99" t="s">
        <v>170</v>
      </c>
      <c r="C36" s="99"/>
      <c r="D36" s="99"/>
      <c r="E36" s="111">
        <f>R26</f>
        <v>8.350056370460706</v>
      </c>
      <c r="F36" s="102">
        <f>H36+G36</f>
        <v>6769337.4995977506</v>
      </c>
      <c r="G36" s="108">
        <f t="shared" si="13"/>
        <v>6096969</v>
      </c>
      <c r="H36" s="102">
        <f>E36*N30</f>
        <v>672368.49959775037</v>
      </c>
      <c r="I36" s="109">
        <f t="shared" si="15"/>
        <v>923.06</v>
      </c>
      <c r="J36" s="102">
        <f t="shared" si="16"/>
        <v>728.41256212786857</v>
      </c>
      <c r="L36" s="110" t="str">
        <f t="shared" si="17"/>
        <v>Overvalued</v>
      </c>
    </row>
    <row r="37" spans="2:18">
      <c r="B37" s="112"/>
      <c r="C37" s="112"/>
      <c r="D37" s="112"/>
      <c r="E37" s="113"/>
      <c r="F37" s="114"/>
      <c r="G37" s="114"/>
      <c r="H37" s="114"/>
      <c r="I37" s="115"/>
      <c r="J37" s="114"/>
      <c r="K37" s="112"/>
      <c r="L37" s="116"/>
    </row>
    <row r="38" spans="2:18">
      <c r="B38" s="117" t="s">
        <v>198</v>
      </c>
    </row>
    <row r="39" spans="2:18">
      <c r="B39" s="148" t="s">
        <v>202</v>
      </c>
      <c r="C39" s="148"/>
      <c r="D39" s="148"/>
      <c r="E39" s="148" t="s">
        <v>203</v>
      </c>
      <c r="F39" s="148" t="s">
        <v>211</v>
      </c>
      <c r="G39" s="148" t="s">
        <v>212</v>
      </c>
      <c r="H39" s="148" t="s">
        <v>213</v>
      </c>
      <c r="I39" s="148" t="s">
        <v>214</v>
      </c>
      <c r="J39" s="148" t="s">
        <v>204</v>
      </c>
      <c r="L39" s="148" t="s">
        <v>205</v>
      </c>
    </row>
    <row r="40" spans="2:18">
      <c r="B40" s="118" t="s">
        <v>206</v>
      </c>
      <c r="C40" s="118"/>
      <c r="D40" s="118"/>
      <c r="E40" s="119">
        <f>P25</f>
        <v>13.66670158157682</v>
      </c>
      <c r="F40" s="108">
        <f>E40*L30</f>
        <v>6907422.1266883034</v>
      </c>
      <c r="G40" s="108">
        <f>G34</f>
        <v>6096969</v>
      </c>
      <c r="H40" s="108">
        <f>F40-G40</f>
        <v>810453.12668830343</v>
      </c>
      <c r="I40" s="109">
        <f>$F$30</f>
        <v>923.06</v>
      </c>
      <c r="J40" s="108">
        <f>H40/I40</f>
        <v>878.0069840403695</v>
      </c>
      <c r="L40" s="110" t="str">
        <f>IF(J40&gt;$E$30,"Undervalued","Overvalued")</f>
        <v>Overvalued</v>
      </c>
    </row>
    <row r="41" spans="2:18">
      <c r="B41" s="99" t="s">
        <v>192</v>
      </c>
      <c r="C41" s="99"/>
      <c r="D41" s="99"/>
      <c r="E41" s="111">
        <f>Q25</f>
        <v>17.603864789783007</v>
      </c>
      <c r="F41" s="102">
        <f>E41*M30</f>
        <v>7240757.2351884153</v>
      </c>
      <c r="G41" s="108">
        <f t="shared" ref="G41:G42" si="18">G35</f>
        <v>6096969</v>
      </c>
      <c r="H41" s="102">
        <f t="shared" ref="H41" si="19">F41-G41</f>
        <v>1143788.2351884153</v>
      </c>
      <c r="I41" s="109">
        <f t="shared" ref="I41:I42" si="20">$F$30</f>
        <v>923.06</v>
      </c>
      <c r="J41" s="102">
        <f t="shared" ref="J41:J42" si="21">H41/I41</f>
        <v>1239.1266387758276</v>
      </c>
      <c r="L41" s="110" t="str">
        <f t="shared" ref="L41:L42" si="22">IF(J41&gt;$E$30,"Undervalued","Overvalued")</f>
        <v>Undervalued</v>
      </c>
    </row>
    <row r="42" spans="2:18">
      <c r="B42" s="99" t="s">
        <v>170</v>
      </c>
      <c r="C42" s="99"/>
      <c r="D42" s="99"/>
      <c r="E42" s="111">
        <f>R25</f>
        <v>10.161971630858885</v>
      </c>
      <c r="F42" s="102">
        <f>H42+G42</f>
        <v>6915237.6817021463</v>
      </c>
      <c r="G42" s="108">
        <f t="shared" si="18"/>
        <v>6096969</v>
      </c>
      <c r="H42" s="102">
        <f>E42*N30</f>
        <v>818268.68170214654</v>
      </c>
      <c r="I42" s="109">
        <f t="shared" si="20"/>
        <v>923.06</v>
      </c>
      <c r="J42" s="102">
        <f t="shared" si="21"/>
        <v>886.47399053381855</v>
      </c>
      <c r="L42" s="110" t="str">
        <f t="shared" si="22"/>
        <v>Overvalued</v>
      </c>
    </row>
    <row r="44" spans="2:18">
      <c r="B44" s="247"/>
      <c r="C44" s="247"/>
      <c r="D44" s="247"/>
      <c r="E44" s="247"/>
      <c r="F44" s="247"/>
      <c r="G44" s="247"/>
      <c r="H44" s="247"/>
      <c r="I44" s="247"/>
      <c r="J44" s="247"/>
      <c r="K44" s="247"/>
      <c r="L44" s="247"/>
      <c r="M44" s="247"/>
      <c r="N44" s="247"/>
      <c r="O44" s="247"/>
      <c r="P44" s="247"/>
      <c r="Q44" s="247"/>
      <c r="R44" s="247"/>
    </row>
  </sheetData>
  <mergeCells count="5">
    <mergeCell ref="B5:R5"/>
    <mergeCell ref="B7:C7"/>
    <mergeCell ref="E7:J7"/>
    <mergeCell ref="L7:N7"/>
    <mergeCell ref="P7:R7"/>
  </mergeCells>
  <pageMargins left="0.25" right="0.25" top="0.75" bottom="0.75" header="0.3" footer="0.3"/>
  <pageSetup scale="6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B1:T47"/>
  <sheetViews>
    <sheetView showGridLines="0" topLeftCell="F14" zoomScaleNormal="100" workbookViewId="0">
      <selection activeCell="F26" sqref="F26"/>
    </sheetView>
  </sheetViews>
  <sheetFormatPr defaultRowHeight="15"/>
  <cols>
    <col min="1" max="1" width="1.85546875" customWidth="1"/>
    <col min="2" max="2" width="35.42578125" bestFit="1" customWidth="1"/>
    <col min="3" max="3" width="19.85546875" bestFit="1" customWidth="1"/>
    <col min="4" max="4" width="16.85546875" bestFit="1" customWidth="1"/>
    <col min="5" max="5" width="29.140625" bestFit="1" customWidth="1"/>
    <col min="6" max="7" width="19.42578125" bestFit="1" customWidth="1"/>
    <col min="8" max="8" width="25.7109375" customWidth="1"/>
    <col min="9" max="9" width="21" bestFit="1" customWidth="1"/>
    <col min="10" max="10" width="18" bestFit="1" customWidth="1"/>
    <col min="11" max="12" width="18.42578125" bestFit="1" customWidth="1"/>
    <col min="13" max="13" width="18" bestFit="1" customWidth="1"/>
    <col min="14" max="14" width="17.5703125" bestFit="1" customWidth="1"/>
    <col min="15" max="15" width="18" bestFit="1" customWidth="1"/>
    <col min="16" max="16" width="18.42578125" bestFit="1" customWidth="1"/>
    <col min="17" max="17" width="18" bestFit="1" customWidth="1"/>
    <col min="18" max="18" width="19" bestFit="1" customWidth="1"/>
    <col min="19" max="19" width="19.85546875" bestFit="1" customWidth="1"/>
  </cols>
  <sheetData>
    <row r="1" spans="2:19" ht="16.5" thickTop="1">
      <c r="B1" s="248" t="s">
        <v>318</v>
      </c>
    </row>
    <row r="2" spans="2:19">
      <c r="B2" s="10" t="s">
        <v>319</v>
      </c>
    </row>
    <row r="3" spans="2:19">
      <c r="C3" s="64">
        <v>10000</v>
      </c>
    </row>
    <row r="5" spans="2:19">
      <c r="B5" s="413" t="s">
        <v>256</v>
      </c>
      <c r="C5" s="413"/>
      <c r="D5" s="413"/>
      <c r="E5" s="413"/>
      <c r="F5" s="413"/>
      <c r="G5" s="413"/>
      <c r="H5" s="413"/>
      <c r="I5" s="413"/>
      <c r="J5" s="413"/>
      <c r="K5" s="413"/>
      <c r="L5" s="413"/>
      <c r="M5" s="413"/>
      <c r="N5" s="413"/>
      <c r="O5" s="413"/>
      <c r="P5" s="413"/>
      <c r="Q5" s="413"/>
      <c r="R5" s="413"/>
      <c r="S5" s="413"/>
    </row>
    <row r="6" spans="2:19">
      <c r="B6" s="186" t="s">
        <v>356</v>
      </c>
    </row>
    <row r="7" spans="2:19">
      <c r="B7" s="425" t="s">
        <v>257</v>
      </c>
      <c r="C7" s="425"/>
      <c r="D7" s="187">
        <v>2021</v>
      </c>
      <c r="E7" s="187">
        <f>D7+1</f>
        <v>2022</v>
      </c>
      <c r="F7" s="187">
        <f>E7+1</f>
        <v>2023</v>
      </c>
      <c r="G7" s="187">
        <f>F7+1</f>
        <v>2024</v>
      </c>
      <c r="H7" s="187">
        <f>G7+1</f>
        <v>2025</v>
      </c>
      <c r="I7" s="187">
        <f>H7+1</f>
        <v>2026</v>
      </c>
      <c r="J7" s="187">
        <f t="shared" ref="J7:R7" si="0">I7+1</f>
        <v>2027</v>
      </c>
      <c r="K7" s="187">
        <f t="shared" si="0"/>
        <v>2028</v>
      </c>
      <c r="L7" s="187">
        <f t="shared" si="0"/>
        <v>2029</v>
      </c>
      <c r="M7" s="187">
        <f t="shared" si="0"/>
        <v>2030</v>
      </c>
      <c r="N7" s="187">
        <f t="shared" si="0"/>
        <v>2031</v>
      </c>
      <c r="O7" s="187">
        <f t="shared" si="0"/>
        <v>2032</v>
      </c>
      <c r="P7" s="187">
        <f t="shared" si="0"/>
        <v>2033</v>
      </c>
      <c r="Q7" s="187">
        <f t="shared" si="0"/>
        <v>2034</v>
      </c>
      <c r="R7" s="187">
        <f t="shared" si="0"/>
        <v>2035</v>
      </c>
      <c r="S7" s="187"/>
    </row>
    <row r="8" spans="2:19">
      <c r="B8" s="426"/>
      <c r="C8" s="426"/>
      <c r="D8" s="188" t="s">
        <v>258</v>
      </c>
      <c r="E8" s="188" t="s">
        <v>258</v>
      </c>
      <c r="F8" s="188" t="s">
        <v>258</v>
      </c>
      <c r="G8" s="188" t="s">
        <v>258</v>
      </c>
      <c r="H8" s="188" t="s">
        <v>258</v>
      </c>
      <c r="I8" s="188" t="s">
        <v>259</v>
      </c>
      <c r="J8" s="188" t="s">
        <v>99</v>
      </c>
      <c r="K8" s="188" t="s">
        <v>99</v>
      </c>
      <c r="L8" s="188" t="s">
        <v>99</v>
      </c>
      <c r="M8" s="188" t="s">
        <v>99</v>
      </c>
      <c r="N8" s="188" t="s">
        <v>99</v>
      </c>
      <c r="O8" s="188" t="s">
        <v>99</v>
      </c>
      <c r="P8" s="188" t="s">
        <v>99</v>
      </c>
      <c r="Q8" s="188" t="s">
        <v>99</v>
      </c>
      <c r="R8" s="188" t="s">
        <v>99</v>
      </c>
      <c r="S8" s="188"/>
    </row>
    <row r="9" spans="2:19">
      <c r="B9" s="296"/>
      <c r="C9" s="296"/>
      <c r="D9" s="297"/>
      <c r="E9" s="297"/>
      <c r="F9" s="297"/>
      <c r="G9" s="297"/>
      <c r="H9" s="297" t="s">
        <v>260</v>
      </c>
      <c r="I9" s="297"/>
      <c r="J9" s="297"/>
      <c r="K9" s="297"/>
      <c r="L9" s="297"/>
      <c r="M9" s="297"/>
      <c r="N9" s="297"/>
      <c r="O9" s="297"/>
      <c r="P9" s="297"/>
      <c r="Q9" s="297"/>
      <c r="R9" s="297"/>
      <c r="S9" s="297"/>
    </row>
    <row r="10" spans="2:19">
      <c r="B10" s="298" t="s">
        <v>218</v>
      </c>
      <c r="C10" s="298"/>
      <c r="D10" s="299"/>
      <c r="E10" s="299"/>
      <c r="F10" s="299"/>
      <c r="G10" s="299"/>
      <c r="H10" s="300">
        <f>Assumptions!C13</f>
        <v>46063</v>
      </c>
      <c r="I10" s="301">
        <f>DATE(YEAR(Assumptions!$C$14)+I11,MONTH(Assumptions!$C$14),DAY(Assumptions!$C$14))</f>
        <v>46112</v>
      </c>
      <c r="J10" s="301">
        <f>DATE(YEAR(Assumptions!$C$14)+J11,MONTH(Assumptions!$C$14),DAY(Assumptions!$C$14))</f>
        <v>46477</v>
      </c>
      <c r="K10" s="301">
        <f>DATE(YEAR(Assumptions!$C$14)+K11,MONTH(Assumptions!$C$14),DAY(Assumptions!$C$14))</f>
        <v>46843</v>
      </c>
      <c r="L10" s="301">
        <f>DATE(YEAR(Assumptions!$C$14)+L11,MONTH(Assumptions!$C$14),DAY(Assumptions!$C$14))</f>
        <v>47208</v>
      </c>
      <c r="M10" s="301">
        <f>DATE(YEAR(Assumptions!$C$14)+M11,MONTH(Assumptions!$C$14),DAY(Assumptions!$C$14))</f>
        <v>47573</v>
      </c>
      <c r="N10" s="301">
        <f>DATE(YEAR(Assumptions!$C$14)+N11,MONTH(Assumptions!$C$14),DAY(Assumptions!$C$14))</f>
        <v>47938</v>
      </c>
      <c r="O10" s="301">
        <f>DATE(YEAR(Assumptions!$C$14)+O11,MONTH(Assumptions!$C$14),DAY(Assumptions!$C$14))</f>
        <v>48304</v>
      </c>
      <c r="P10" s="301">
        <f>DATE(YEAR(Assumptions!$C$14)+P11,MONTH(Assumptions!$C$14),DAY(Assumptions!$C$14))</f>
        <v>48669</v>
      </c>
      <c r="Q10" s="301">
        <f>DATE(YEAR(Assumptions!$C$14)+Q11,MONTH(Assumptions!$C$14),DAY(Assumptions!$C$14))</f>
        <v>49034</v>
      </c>
      <c r="R10" s="301">
        <f>DATE(YEAR(Assumptions!$C$14)+R11,MONTH(Assumptions!$C$14),DAY(Assumptions!$C$14))</f>
        <v>49399</v>
      </c>
      <c r="S10" s="301">
        <f>R10</f>
        <v>49399</v>
      </c>
    </row>
    <row r="11" spans="2:19">
      <c r="B11" s="298" t="s">
        <v>261</v>
      </c>
      <c r="C11" s="298"/>
      <c r="D11" s="299"/>
      <c r="E11" s="299"/>
      <c r="F11" s="299"/>
      <c r="G11" s="299"/>
      <c r="H11" s="299"/>
      <c r="I11" s="299">
        <v>0</v>
      </c>
      <c r="J11" s="299">
        <f>I11+1</f>
        <v>1</v>
      </c>
      <c r="K11" s="299">
        <f t="shared" ref="K11:R11" si="1">J11+1</f>
        <v>2</v>
      </c>
      <c r="L11" s="299">
        <f t="shared" si="1"/>
        <v>3</v>
      </c>
      <c r="M11" s="299">
        <f t="shared" si="1"/>
        <v>4</v>
      </c>
      <c r="N11" s="299">
        <f t="shared" si="1"/>
        <v>5</v>
      </c>
      <c r="O11" s="299">
        <f t="shared" si="1"/>
        <v>6</v>
      </c>
      <c r="P11" s="299">
        <f t="shared" si="1"/>
        <v>7</v>
      </c>
      <c r="Q11" s="299">
        <f t="shared" si="1"/>
        <v>8</v>
      </c>
      <c r="R11" s="299">
        <f t="shared" si="1"/>
        <v>9</v>
      </c>
      <c r="S11" s="299"/>
    </row>
    <row r="12" spans="2:19">
      <c r="B12" s="302" t="s">
        <v>220</v>
      </c>
      <c r="C12" s="302"/>
      <c r="D12" s="303">
        <v>0</v>
      </c>
      <c r="E12" s="303">
        <v>0</v>
      </c>
      <c r="F12" s="303">
        <v>0</v>
      </c>
      <c r="G12" s="303">
        <v>0</v>
      </c>
      <c r="H12" s="303">
        <v>0</v>
      </c>
      <c r="I12" s="304">
        <f>YEARFRAC(H10,I10)</f>
        <v>0.14166666666666666</v>
      </c>
      <c r="J12" s="303">
        <f t="shared" ref="J12:R12" si="2">YEARFRAC(I10,J10)</f>
        <v>1</v>
      </c>
      <c r="K12" s="303">
        <f t="shared" si="2"/>
        <v>1</v>
      </c>
      <c r="L12" s="303">
        <f t="shared" si="2"/>
        <v>1</v>
      </c>
      <c r="M12" s="303">
        <f t="shared" si="2"/>
        <v>1</v>
      </c>
      <c r="N12" s="303">
        <f t="shared" si="2"/>
        <v>1</v>
      </c>
      <c r="O12" s="303">
        <f t="shared" si="2"/>
        <v>1</v>
      </c>
      <c r="P12" s="303">
        <f t="shared" si="2"/>
        <v>1</v>
      </c>
      <c r="Q12" s="303">
        <f t="shared" si="2"/>
        <v>1</v>
      </c>
      <c r="R12" s="303">
        <f t="shared" si="2"/>
        <v>1</v>
      </c>
      <c r="S12" s="303">
        <f>R12</f>
        <v>1</v>
      </c>
    </row>
    <row r="14" spans="2:19">
      <c r="B14" t="s">
        <v>12</v>
      </c>
      <c r="D14" s="60">
        <f>'Income Statement'!C22</f>
        <v>41048.933699999929</v>
      </c>
      <c r="E14" s="60">
        <f>'Income Statement'!D22</f>
        <v>59809.53550000002</v>
      </c>
      <c r="F14" s="60">
        <f>'Income Statement'!E22</f>
        <v>100344.18559999994</v>
      </c>
      <c r="G14" s="60">
        <f>'Income Statement'!F22</f>
        <v>135863.8636999999</v>
      </c>
      <c r="H14" s="60">
        <f>'Income Statement'!G22</f>
        <v>154493.81570000004</v>
      </c>
      <c r="I14" s="60">
        <f>'Income Statement'!H22</f>
        <v>140947.52876844493</v>
      </c>
      <c r="J14" s="60">
        <f>'Income Statement'!I22</f>
        <v>157083.37068219163</v>
      </c>
      <c r="K14" s="60">
        <f>'Income Statement'!J22</f>
        <v>172903.45354788346</v>
      </c>
      <c r="L14" s="60">
        <f>'Income Statement'!K22</f>
        <v>188226.72132626644</v>
      </c>
      <c r="M14" s="60">
        <f>'Income Statement'!L22</f>
        <v>202908.56086098275</v>
      </c>
      <c r="N14" s="60">
        <f>'Income Statement'!M22</f>
        <v>216840.21555262723</v>
      </c>
      <c r="O14" s="60">
        <f>'Income Statement'!N22</f>
        <v>229946.3525488046</v>
      </c>
      <c r="P14" s="60">
        <f>'Income Statement'!O22</f>
        <v>242181.44003011586</v>
      </c>
      <c r="Q14" s="60">
        <f>'Income Statement'!P22</f>
        <v>253525.49411419567</v>
      </c>
      <c r="R14" s="60">
        <f>'Income Statement'!Q22</f>
        <v>263979.63475354156</v>
      </c>
    </row>
    <row r="15" spans="2:19">
      <c r="B15" t="s">
        <v>262</v>
      </c>
      <c r="D15" s="60">
        <f>D14*-Cost_BuildUp!C22</f>
        <v>-5978.5099825043617</v>
      </c>
      <c r="E15" s="60">
        <f>E14*-Cost_BuildUp!D22</f>
        <v>-12156.789683771844</v>
      </c>
      <c r="F15" s="60">
        <f>F14*-Cost_BuildUp!E22</f>
        <v>-23821.976881916537</v>
      </c>
      <c r="G15" s="60">
        <f>G14*-Cost_BuildUp!F22</f>
        <v>-43193.706004761727</v>
      </c>
      <c r="H15" s="60">
        <f>H14*-Cost_BuildUp!G22</f>
        <v>-46854.151270440241</v>
      </c>
      <c r="I15" s="60">
        <f>I14*-Cost_BuildUp!H22</f>
        <v>-42284.258630533477</v>
      </c>
      <c r="J15" s="60">
        <f>J14*-Cost_BuildUp!I22</f>
        <v>-47125.011204657487</v>
      </c>
      <c r="K15" s="60">
        <f>K14*-Cost_BuildUp!J22</f>
        <v>-51871.036064365035</v>
      </c>
      <c r="L15" s="60">
        <f>L14*-Cost_BuildUp!K22</f>
        <v>-56468.016397879932</v>
      </c>
      <c r="M15" s="60">
        <f>M14*-Cost_BuildUp!L22</f>
        <v>-60872.568258294821</v>
      </c>
      <c r="N15" s="60">
        <f>N14*-Cost_BuildUp!M22</f>
        <v>-65052.064665788166</v>
      </c>
      <c r="O15" s="60">
        <f>O14*-Cost_BuildUp!N22</f>
        <v>-68983.905764641371</v>
      </c>
      <c r="P15" s="60">
        <f>P14*-Cost_BuildUp!O22</f>
        <v>-72654.432009034761</v>
      </c>
      <c r="Q15" s="60">
        <f>Q14*-Cost_BuildUp!P22</f>
        <v>-76057.648234258697</v>
      </c>
      <c r="R15" s="60">
        <f>R14*-Cost_BuildUp!Q22</f>
        <v>-79193.890426062469</v>
      </c>
    </row>
    <row r="16" spans="2:19">
      <c r="B16" s="7" t="s">
        <v>263</v>
      </c>
      <c r="C16" s="7"/>
      <c r="D16" s="61">
        <f>SUM(D14:D15)</f>
        <v>35070.423717495563</v>
      </c>
      <c r="E16" s="61">
        <f t="shared" ref="E16:R16" si="3">SUM(E14:E15)</f>
        <v>47652.745816228176</v>
      </c>
      <c r="F16" s="61">
        <f t="shared" si="3"/>
        <v>76522.208718083406</v>
      </c>
      <c r="G16" s="61">
        <f t="shared" si="3"/>
        <v>92670.157695238173</v>
      </c>
      <c r="H16" s="61">
        <f t="shared" si="3"/>
        <v>107639.66442955979</v>
      </c>
      <c r="I16" s="61">
        <f t="shared" si="3"/>
        <v>98663.270137911459</v>
      </c>
      <c r="J16" s="61">
        <f t="shared" si="3"/>
        <v>109958.35947753413</v>
      </c>
      <c r="K16" s="61">
        <f t="shared" si="3"/>
        <v>121032.41748351842</v>
      </c>
      <c r="L16" s="61">
        <f t="shared" si="3"/>
        <v>131758.70492838652</v>
      </c>
      <c r="M16" s="61">
        <f t="shared" si="3"/>
        <v>142035.99260268791</v>
      </c>
      <c r="N16" s="61">
        <f t="shared" si="3"/>
        <v>151788.15088683905</v>
      </c>
      <c r="O16" s="61">
        <f t="shared" si="3"/>
        <v>160962.44678416324</v>
      </c>
      <c r="P16" s="61">
        <f t="shared" si="3"/>
        <v>169527.0080210811</v>
      </c>
      <c r="Q16" s="61">
        <f t="shared" si="3"/>
        <v>177467.84587993697</v>
      </c>
      <c r="R16" s="61">
        <f t="shared" si="3"/>
        <v>184785.7443274791</v>
      </c>
    </row>
    <row r="17" spans="2:19">
      <c r="B17" t="s">
        <v>264</v>
      </c>
      <c r="D17" s="60">
        <f>'Income Statement'!C20</f>
        <v>3711.0636</v>
      </c>
      <c r="E17" s="60">
        <f>'Income Statement'!D20</f>
        <v>3691.27</v>
      </c>
      <c r="F17" s="60">
        <f>'Income Statement'!E20</f>
        <v>3695.5985999999998</v>
      </c>
      <c r="G17" s="60">
        <f>'Income Statement'!F20</f>
        <v>3849.1244999999999</v>
      </c>
      <c r="H17" s="60">
        <f>'Income Statement'!G20</f>
        <v>3991.4767000000002</v>
      </c>
      <c r="I17" s="60">
        <f>'Income Statement'!H20</f>
        <v>3446.3444192355696</v>
      </c>
      <c r="J17" s="60">
        <f>'Income Statement'!I20</f>
        <v>3463.5761413317473</v>
      </c>
      <c r="K17" s="60">
        <f>'Income Statement'!J20</f>
        <v>3480.8940220384056</v>
      </c>
      <c r="L17" s="60">
        <f>'Income Statement'!K20</f>
        <v>3498.2984921485977</v>
      </c>
      <c r="M17" s="60">
        <f>'Income Statement'!L20</f>
        <v>3515.789984609341</v>
      </c>
      <c r="N17" s="60">
        <f>'Income Statement'!M20</f>
        <v>3533.3689345323869</v>
      </c>
      <c r="O17" s="60">
        <f>'Income Statement'!N20</f>
        <v>3551.035779205049</v>
      </c>
      <c r="P17" s="60">
        <f>'Income Statement'!O20</f>
        <v>3568.7909581010736</v>
      </c>
      <c r="Q17" s="60">
        <f>'Income Statement'!P20</f>
        <v>3586.6349128915786</v>
      </c>
      <c r="R17" s="60">
        <f>'Income Statement'!Q20</f>
        <v>3604.5680874560353</v>
      </c>
    </row>
    <row r="18" spans="2:19">
      <c r="B18" t="s">
        <v>265</v>
      </c>
      <c r="D18" s="60">
        <f>-FAS!C52</f>
        <v>0</v>
      </c>
      <c r="E18" s="60">
        <f>-FAS!D52</f>
        <v>-3034.5123000000053</v>
      </c>
      <c r="F18" s="60">
        <f>-FAS!E52</f>
        <v>-8592.949099999978</v>
      </c>
      <c r="G18" s="60">
        <f>-FAS!F52</f>
        <v>-4149.9207999999944</v>
      </c>
      <c r="H18" s="60">
        <f>-FAS!G52</f>
        <v>-5620.9948000000086</v>
      </c>
      <c r="I18" s="60">
        <f>-FAS!H52</f>
        <v>-14158.844599235579</v>
      </c>
      <c r="J18" s="60">
        <f>-FAS!I52</f>
        <v>-8809.8905902317438</v>
      </c>
      <c r="K18" s="60">
        <f>-FAS!J52</f>
        <v>-8853.940043182909</v>
      </c>
      <c r="L18" s="60">
        <f>-FAS!K52</f>
        <v>-8898.2097433988311</v>
      </c>
      <c r="M18" s="60">
        <f>-FAS!L52</f>
        <v>-8942.7007921157983</v>
      </c>
      <c r="N18" s="60">
        <f>-FAS!M52</f>
        <v>-8987.4142960764075</v>
      </c>
      <c r="O18" s="60">
        <f>-FAS!N52</f>
        <v>-9032.3513675567665</v>
      </c>
      <c r="P18" s="60">
        <f>-FAS!O52</f>
        <v>-9077.513124394578</v>
      </c>
      <c r="Q18" s="60">
        <f>-FAS!P52</f>
        <v>-9122.900690016515</v>
      </c>
      <c r="R18" s="60">
        <f>-FAS!Q52</f>
        <v>-9168.5151934666064</v>
      </c>
    </row>
    <row r="19" spans="2:19">
      <c r="B19" t="s">
        <v>315</v>
      </c>
      <c r="E19" s="60">
        <f>'Working Capital'!D20</f>
        <v>-38823.918200000306</v>
      </c>
      <c r="F19" s="60">
        <f>'Working Capital'!E20</f>
        <v>-288367.81539999973</v>
      </c>
      <c r="G19" s="60">
        <f>'Working Capital'!F20</f>
        <v>-274379.23320000019</v>
      </c>
      <c r="H19" s="60">
        <f>'Working Capital'!G20</f>
        <v>-293816.19419999985</v>
      </c>
      <c r="I19" s="60">
        <f>'Working Capital'!H20</f>
        <v>243521.12656035181</v>
      </c>
      <c r="J19" s="60">
        <f>'Working Capital'!I20</f>
        <v>-109925.11742502858</v>
      </c>
      <c r="K19" s="60">
        <f>'Working Capital'!J20</f>
        <v>-107776.89596437255</v>
      </c>
      <c r="L19" s="60">
        <f>'Working Capital'!K20</f>
        <v>-104396.55240304302</v>
      </c>
      <c r="M19" s="60">
        <f>'Working Capital'!L20</f>
        <v>-100032.08836034569</v>
      </c>
      <c r="N19" s="60">
        <f>'Working Capital'!M20</f>
        <v>-94927.515382334357</v>
      </c>
      <c r="O19" s="60">
        <f>'Working Capital'!N20</f>
        <v>-89310.289223678294</v>
      </c>
      <c r="P19" s="60">
        <f>'Working Capital'!O20</f>
        <v>-83383.212296202546</v>
      </c>
      <c r="Q19" s="60">
        <f>'Working Capital'!P20</f>
        <v>-77320.143785058754</v>
      </c>
      <c r="R19" s="60">
        <f>'Working Capital'!Q20</f>
        <v>-71264.699810649501</v>
      </c>
    </row>
    <row r="20" spans="2:19">
      <c r="B20" s="327" t="s">
        <v>266</v>
      </c>
      <c r="C20" s="328"/>
      <c r="D20" s="329">
        <f>SUM(D16:D19)</f>
        <v>38781.487317495565</v>
      </c>
      <c r="E20" s="329">
        <f t="shared" ref="E20:R20" si="4">SUM(E16:E19)</f>
        <v>9485.5853162278654</v>
      </c>
      <c r="F20" s="329">
        <f t="shared" si="4"/>
        <v>-216742.95718191631</v>
      </c>
      <c r="G20" s="329">
        <f t="shared" si="4"/>
        <v>-182009.87180476199</v>
      </c>
      <c r="H20" s="329">
        <f t="shared" si="4"/>
        <v>-187806.04787044006</v>
      </c>
      <c r="I20" s="329">
        <f t="shared" si="4"/>
        <v>331471.89651826327</v>
      </c>
      <c r="J20" s="329">
        <f t="shared" si="4"/>
        <v>-5313.0723963944474</v>
      </c>
      <c r="K20" s="329">
        <f t="shared" si="4"/>
        <v>7882.4754980013677</v>
      </c>
      <c r="L20" s="329">
        <f t="shared" si="4"/>
        <v>21962.241274093278</v>
      </c>
      <c r="M20" s="329">
        <f t="shared" si="4"/>
        <v>36576.993434835778</v>
      </c>
      <c r="N20" s="329">
        <f t="shared" si="4"/>
        <v>51406.590142960689</v>
      </c>
      <c r="O20" s="329">
        <f t="shared" si="4"/>
        <v>66170.841972133203</v>
      </c>
      <c r="P20" s="329">
        <f t="shared" si="4"/>
        <v>80635.073558585049</v>
      </c>
      <c r="Q20" s="329">
        <f t="shared" si="4"/>
        <v>94611.43631775328</v>
      </c>
      <c r="R20" s="329">
        <f t="shared" si="4"/>
        <v>107957.09741081903</v>
      </c>
      <c r="S20" s="330">
        <f>F32</f>
        <v>3251143.5756467199</v>
      </c>
    </row>
    <row r="21" spans="2:19" ht="4.5" customHeight="1">
      <c r="B21" s="331"/>
      <c r="C21" s="332"/>
      <c r="D21" s="333"/>
      <c r="E21" s="333"/>
      <c r="F21" s="333"/>
      <c r="G21" s="333"/>
      <c r="H21" s="333"/>
      <c r="I21" s="333"/>
      <c r="J21" s="333"/>
      <c r="K21" s="333"/>
      <c r="L21" s="333"/>
      <c r="M21" s="333"/>
      <c r="N21" s="333"/>
      <c r="O21" s="333"/>
      <c r="P21" s="333"/>
      <c r="Q21" s="333"/>
      <c r="R21" s="333"/>
      <c r="S21" s="334"/>
    </row>
    <row r="22" spans="2:19">
      <c r="B22" s="335" t="s">
        <v>267</v>
      </c>
      <c r="C22" s="336"/>
      <c r="D22" s="337">
        <f>D20*D12</f>
        <v>0</v>
      </c>
      <c r="E22" s="337">
        <f t="shared" ref="E22:S22" si="5">E20*E12</f>
        <v>0</v>
      </c>
      <c r="F22" s="337">
        <f t="shared" si="5"/>
        <v>0</v>
      </c>
      <c r="G22" s="337">
        <f t="shared" si="5"/>
        <v>0</v>
      </c>
      <c r="H22" s="337">
        <f t="shared" si="5"/>
        <v>0</v>
      </c>
      <c r="I22" s="337">
        <f t="shared" si="5"/>
        <v>46958.518673420629</v>
      </c>
      <c r="J22" s="337">
        <f t="shared" si="5"/>
        <v>-5313.0723963944474</v>
      </c>
      <c r="K22" s="337">
        <f t="shared" si="5"/>
        <v>7882.4754980013677</v>
      </c>
      <c r="L22" s="337">
        <f t="shared" si="5"/>
        <v>21962.241274093278</v>
      </c>
      <c r="M22" s="337">
        <f t="shared" si="5"/>
        <v>36576.993434835778</v>
      </c>
      <c r="N22" s="337">
        <f t="shared" si="5"/>
        <v>51406.590142960689</v>
      </c>
      <c r="O22" s="337">
        <f t="shared" si="5"/>
        <v>66170.841972133203</v>
      </c>
      <c r="P22" s="337">
        <f t="shared" si="5"/>
        <v>80635.073558585049</v>
      </c>
      <c r="Q22" s="337">
        <f t="shared" si="5"/>
        <v>94611.43631775328</v>
      </c>
      <c r="R22" s="337">
        <f t="shared" si="5"/>
        <v>107957.09741081903</v>
      </c>
      <c r="S22" s="338">
        <f t="shared" si="5"/>
        <v>3251143.5756467199</v>
      </c>
    </row>
    <row r="25" spans="2:19">
      <c r="B25" s="424" t="s">
        <v>268</v>
      </c>
      <c r="C25" s="423"/>
      <c r="E25" s="200" t="s">
        <v>136</v>
      </c>
      <c r="F25" s="253">
        <f>C43</f>
        <v>0.10307780242762332</v>
      </c>
      <c r="H25" s="413" t="s">
        <v>321</v>
      </c>
      <c r="I25" s="413"/>
      <c r="J25" s="413"/>
      <c r="K25" s="413"/>
      <c r="L25" s="413"/>
      <c r="M25" s="413"/>
      <c r="N25" s="413"/>
      <c r="O25" s="68"/>
    </row>
    <row r="26" spans="2:19">
      <c r="B26" s="176"/>
      <c r="C26" s="38"/>
      <c r="E26" s="201" t="s">
        <v>134</v>
      </c>
      <c r="F26" s="202">
        <f>'Comparable Valuation'!E35</f>
        <v>17.648038852841225</v>
      </c>
      <c r="I26" s="60"/>
      <c r="J26" s="60"/>
      <c r="K26" s="60"/>
      <c r="L26" s="60"/>
      <c r="M26" s="60"/>
      <c r="N26" s="60"/>
      <c r="O26" s="60"/>
    </row>
    <row r="27" spans="2:19">
      <c r="B27" s="176" t="s">
        <v>269</v>
      </c>
      <c r="C27" s="193">
        <f>Assumptions!C15</f>
        <v>6.7150000000000001E-2</v>
      </c>
      <c r="I27" s="60"/>
      <c r="J27" s="60"/>
      <c r="K27" s="60"/>
      <c r="L27" s="60"/>
      <c r="M27" s="60"/>
      <c r="N27" s="60"/>
      <c r="O27" s="60"/>
    </row>
    <row r="28" spans="2:19">
      <c r="B28" s="176" t="s">
        <v>270</v>
      </c>
      <c r="C28" s="193">
        <f>'Market Return'!F8</f>
        <v>0.13497602217399174</v>
      </c>
      <c r="E28" s="427" t="s">
        <v>277</v>
      </c>
      <c r="F28" s="428"/>
      <c r="H28" s="319"/>
      <c r="I28" s="419" t="s">
        <v>136</v>
      </c>
      <c r="J28" s="419"/>
      <c r="K28" s="419"/>
      <c r="L28" s="419"/>
      <c r="M28" s="419"/>
      <c r="N28" s="423"/>
      <c r="O28" s="68"/>
    </row>
    <row r="29" spans="2:19">
      <c r="B29" s="176" t="s">
        <v>271</v>
      </c>
      <c r="C29" s="193">
        <f>C28-C27</f>
        <v>6.7826022173991737E-2</v>
      </c>
      <c r="E29" s="203" t="s">
        <v>278</v>
      </c>
      <c r="F29" s="259">
        <f>Assumptions!C20</f>
        <v>0.04</v>
      </c>
      <c r="H29" s="421" t="s">
        <v>320</v>
      </c>
      <c r="I29" s="320">
        <f>F43</f>
        <v>1449.2378771201022</v>
      </c>
      <c r="J29" s="254">
        <f>K29-0.5%</f>
        <v>8.8077802427623322E-2</v>
      </c>
      <c r="K29" s="254">
        <f>L29-1%</f>
        <v>9.3077802427623327E-2</v>
      </c>
      <c r="L29" s="255">
        <v>0.10307780242762332</v>
      </c>
      <c r="M29" s="254">
        <f>L29+2%</f>
        <v>0.12307780242762333</v>
      </c>
      <c r="N29" s="321">
        <f>M29+2%</f>
        <v>0.14307780242762333</v>
      </c>
    </row>
    <row r="30" spans="2:19">
      <c r="B30" s="176" t="s">
        <v>227</v>
      </c>
      <c r="C30" s="195">
        <f>'Equity Beta'!I9</f>
        <v>1.0123305480253908</v>
      </c>
      <c r="E30" s="204" t="s">
        <v>192</v>
      </c>
      <c r="F30" s="205">
        <f>F26*(R14+R17)</f>
        <v>4722336.4081444731</v>
      </c>
      <c r="H30" s="421"/>
      <c r="I30" s="256">
        <f>I31-0.5%</f>
        <v>3.0000000000000002E-2</v>
      </c>
      <c r="J30" s="322">
        <f t="dataTable" ref="J30:N34" dt2D="1" dtr="1" r1="F25" r2="F29"/>
        <v>1699.1580493634592</v>
      </c>
      <c r="K30" s="322">
        <v>1585.9737394997494</v>
      </c>
      <c r="L30" s="322">
        <v>1392.1522351474341</v>
      </c>
      <c r="M30" s="322">
        <v>1092.9688086525443</v>
      </c>
      <c r="N30" s="323">
        <v>868.92427040806945</v>
      </c>
    </row>
    <row r="31" spans="2:19">
      <c r="B31" s="191" t="s">
        <v>255</v>
      </c>
      <c r="C31" s="197">
        <f>C27+(C30*C29)</f>
        <v>0.13581235419777937</v>
      </c>
      <c r="E31" s="260" t="s">
        <v>279</v>
      </c>
      <c r="F31" s="261">
        <f>R22*(1+F29)/(F25-F29)</f>
        <v>1779950.7431489665</v>
      </c>
      <c r="H31" s="421"/>
      <c r="I31" s="256">
        <f>I32-0.5%</f>
        <v>3.5000000000000003E-2</v>
      </c>
      <c r="J31" s="322">
        <v>1746.870993425033</v>
      </c>
      <c r="K31" s="287">
        <v>1624.6518621118948</v>
      </c>
      <c r="L31" s="288">
        <v>1418.5987178290261</v>
      </c>
      <c r="M31" s="289">
        <v>1106.8340160366668</v>
      </c>
      <c r="N31" s="323">
        <v>876.98039885347828</v>
      </c>
    </row>
    <row r="32" spans="2:19">
      <c r="E32" s="340" t="s">
        <v>198</v>
      </c>
      <c r="F32" s="341">
        <f>AVERAGE(F30:F31)</f>
        <v>3251143.5756467199</v>
      </c>
      <c r="H32" s="421"/>
      <c r="I32" s="256">
        <v>0.04</v>
      </c>
      <c r="J32" s="322">
        <v>1804.5080483345189</v>
      </c>
      <c r="K32" s="290">
        <v>1670.6170465169398</v>
      </c>
      <c r="L32" s="295">
        <v>1449.2378771201022</v>
      </c>
      <c r="M32" s="291">
        <v>1122.3681659034944</v>
      </c>
      <c r="N32" s="323">
        <v>885.81808533133187</v>
      </c>
    </row>
    <row r="33" spans="2:20">
      <c r="B33" s="424" t="s">
        <v>272</v>
      </c>
      <c r="C33" s="423"/>
      <c r="H33" s="421"/>
      <c r="I33" s="256">
        <f>I32+1%</f>
        <v>0.05</v>
      </c>
      <c r="J33" s="322">
        <v>1965.1921224120956</v>
      </c>
      <c r="K33" s="292">
        <v>1794.558229584982</v>
      </c>
      <c r="L33" s="293">
        <v>1527.8336944812518</v>
      </c>
      <c r="M33" s="294">
        <v>1159.813566213845</v>
      </c>
      <c r="N33" s="323">
        <v>906.3419418934476</v>
      </c>
    </row>
    <row r="34" spans="2:20">
      <c r="B34" s="176"/>
      <c r="C34" s="38"/>
      <c r="E34" s="429" t="s">
        <v>280</v>
      </c>
      <c r="F34" s="430"/>
      <c r="H34" s="422"/>
      <c r="I34" s="324">
        <f>I33+1%</f>
        <v>6.0000000000000005E-2</v>
      </c>
      <c r="J34" s="325">
        <v>2240.3325001778071</v>
      </c>
      <c r="K34" s="325">
        <v>1993.438600852865</v>
      </c>
      <c r="L34" s="325">
        <v>1642.9196821537585</v>
      </c>
      <c r="M34" s="325">
        <v>1209.1317328125629</v>
      </c>
      <c r="N34" s="326">
        <v>931.80667458911194</v>
      </c>
    </row>
    <row r="35" spans="2:20">
      <c r="B35" s="176" t="s">
        <v>273</v>
      </c>
      <c r="C35" s="193">
        <f>'Debt Schedules'!G15</f>
        <v>6.6719432995808028E-2</v>
      </c>
      <c r="E35" s="206"/>
      <c r="F35" s="207"/>
    </row>
    <row r="36" spans="2:20">
      <c r="B36" s="176" t="s">
        <v>128</v>
      </c>
      <c r="C36" s="194">
        <f>Assumptions!C18</f>
        <v>0.30327525446987991</v>
      </c>
      <c r="E36" s="208" t="s">
        <v>281</v>
      </c>
      <c r="F36" s="209">
        <f>XNPV(F25,H22:S22,H10:S10)</f>
        <v>1608683.6558544813</v>
      </c>
    </row>
    <row r="37" spans="2:20">
      <c r="B37" s="191" t="s">
        <v>254</v>
      </c>
      <c r="C37" s="196">
        <f>C35*(1-C36)</f>
        <v>4.6485079975918248E-2</v>
      </c>
      <c r="E37" s="208" t="s">
        <v>282</v>
      </c>
      <c r="F37" s="209">
        <f>SUM('Balance Sheet'!G27:G28)</f>
        <v>357932.94280000002</v>
      </c>
      <c r="H37" s="319"/>
      <c r="I37" s="419" t="s">
        <v>136</v>
      </c>
      <c r="J37" s="419"/>
      <c r="K37" s="419"/>
      <c r="L37" s="419"/>
      <c r="M37" s="419"/>
      <c r="N37" s="423"/>
    </row>
    <row r="38" spans="2:20">
      <c r="E38" s="210" t="s">
        <v>283</v>
      </c>
      <c r="F38" s="211">
        <f>-'Debt Schedules'!G12</f>
        <v>-610857.245</v>
      </c>
      <c r="H38" s="421" t="s">
        <v>192</v>
      </c>
      <c r="I38" s="342">
        <f>F43</f>
        <v>1449.2378771201022</v>
      </c>
      <c r="J38" s="254">
        <v>8.8073583980171469E-2</v>
      </c>
      <c r="K38" s="254">
        <v>9.3073583980171473E-2</v>
      </c>
      <c r="L38" s="255">
        <v>0.10307780242762332</v>
      </c>
      <c r="M38" s="254">
        <v>0.12307358398017147</v>
      </c>
      <c r="N38" s="321">
        <v>0.14307358398017148</v>
      </c>
    </row>
    <row r="39" spans="2:20">
      <c r="B39" s="173" t="s">
        <v>274</v>
      </c>
      <c r="C39" s="189">
        <f>'Comparable Valuation'!G30</f>
        <v>1056072.9459999998</v>
      </c>
      <c r="E39" s="210" t="s">
        <v>284</v>
      </c>
      <c r="F39" s="211">
        <f>-'Balance Sheet'!G14</f>
        <v>-18025.838800000001</v>
      </c>
      <c r="H39" s="421"/>
      <c r="I39" s="343">
        <f>I40-1</f>
        <v>15.648038852841225</v>
      </c>
      <c r="J39" s="322">
        <f t="dataTable" ref="J39:N43" dt2D="1" dtr="1" r1="F25" r2="F26" ca="1"/>
        <v>1670.6048829634262</v>
      </c>
      <c r="K39" s="322">
        <v>1542.1979974281119</v>
      </c>
      <c r="L39" s="322">
        <v>1330.9821876237625</v>
      </c>
      <c r="M39" s="322">
        <v>1022.076742651496</v>
      </c>
      <c r="N39" s="323">
        <v>800.46326103144952</v>
      </c>
    </row>
    <row r="40" spans="2:20">
      <c r="B40" s="176" t="s">
        <v>275</v>
      </c>
      <c r="C40" s="190">
        <f>'Debt Schedules'!G12</f>
        <v>610857.245</v>
      </c>
      <c r="E40" s="212" t="s">
        <v>252</v>
      </c>
      <c r="F40" s="213">
        <f>SUM(F36:F39)</f>
        <v>1337733.5148544814</v>
      </c>
      <c r="H40" s="421"/>
      <c r="I40" s="343">
        <f>I41-1</f>
        <v>16.648038852841225</v>
      </c>
      <c r="J40" s="322">
        <v>1737.6171065785113</v>
      </c>
      <c r="K40" s="287">
        <v>1606.460202833382</v>
      </c>
      <c r="L40" s="288">
        <v>1390.1100323719324</v>
      </c>
      <c r="M40" s="289">
        <v>1072.2512704588808</v>
      </c>
      <c r="N40" s="323">
        <v>843.16232665496409</v>
      </c>
    </row>
    <row r="41" spans="2:20">
      <c r="B41" s="191" t="s">
        <v>276</v>
      </c>
      <c r="C41" s="192">
        <f>SUM(C39:C40)</f>
        <v>1666930.1909999996</v>
      </c>
      <c r="E41" s="68"/>
      <c r="F41" s="68"/>
      <c r="H41" s="421"/>
      <c r="I41" s="343">
        <v>17.648038852841225</v>
      </c>
      <c r="J41" s="322">
        <v>1804.6293301935966</v>
      </c>
      <c r="K41" s="290">
        <v>1670.7224082386531</v>
      </c>
      <c r="L41" s="295">
        <v>1449.2378771201022</v>
      </c>
      <c r="M41" s="291">
        <v>1122.4257982662652</v>
      </c>
      <c r="N41" s="323">
        <v>885.86139227847877</v>
      </c>
    </row>
    <row r="42" spans="2:20">
      <c r="E42" s="214" t="s">
        <v>285</v>
      </c>
      <c r="F42" s="215">
        <f>'Comparable Valuation'!F30</f>
        <v>923.06</v>
      </c>
      <c r="H42" s="421"/>
      <c r="I42" s="343">
        <f>I41+1.5</f>
        <v>19.148038852841225</v>
      </c>
      <c r="J42" s="322">
        <v>1905.1476656162247</v>
      </c>
      <c r="K42" s="292">
        <v>1767.1157163465589</v>
      </c>
      <c r="L42" s="293">
        <v>1537.929644242357</v>
      </c>
      <c r="M42" s="294">
        <v>1197.6875899773422</v>
      </c>
      <c r="N42" s="323">
        <v>949.90999071375074</v>
      </c>
    </row>
    <row r="43" spans="2:20">
      <c r="B43" s="251" t="s">
        <v>253</v>
      </c>
      <c r="C43" s="252">
        <f>(C31*(C39/C41))+(C37*(C40/C41))</f>
        <v>0.10307780242762332</v>
      </c>
      <c r="E43" s="257" t="s">
        <v>286</v>
      </c>
      <c r="F43" s="258">
        <f>F40/F42</f>
        <v>1449.2378771201022</v>
      </c>
      <c r="H43" s="422"/>
      <c r="I43" s="344">
        <f>I42+1.5</f>
        <v>20.648038852841225</v>
      </c>
      <c r="J43" s="325">
        <v>2005.666001038853</v>
      </c>
      <c r="K43" s="325">
        <v>1863.5090244544649</v>
      </c>
      <c r="L43" s="325">
        <v>1626.621411364611</v>
      </c>
      <c r="M43" s="325">
        <v>1272.9493816884194</v>
      </c>
      <c r="N43" s="326">
        <v>1013.9585891490228</v>
      </c>
    </row>
    <row r="44" spans="2:20">
      <c r="E44" s="68"/>
      <c r="F44" s="68"/>
    </row>
    <row r="45" spans="2:20">
      <c r="E45" s="251" t="s">
        <v>287</v>
      </c>
      <c r="F45" s="318">
        <f>F43/'Comparable Valuation'!E30-1</f>
        <v>0.26670560013993727</v>
      </c>
    </row>
    <row r="47" spans="2:20">
      <c r="B47" s="247"/>
      <c r="C47" s="247"/>
      <c r="D47" s="247"/>
      <c r="E47" s="247"/>
      <c r="F47" s="247"/>
      <c r="G47" s="247"/>
      <c r="H47" s="247"/>
      <c r="I47" s="247"/>
      <c r="J47" s="247"/>
      <c r="K47" s="247"/>
      <c r="L47" s="247"/>
      <c r="M47" s="247"/>
      <c r="N47" s="247"/>
      <c r="O47" s="247"/>
      <c r="P47" s="247"/>
      <c r="Q47" s="247"/>
      <c r="R47" s="247"/>
      <c r="S47" s="247"/>
      <c r="T47" s="247"/>
    </row>
  </sheetData>
  <mergeCells count="11">
    <mergeCell ref="B5:S5"/>
    <mergeCell ref="B7:C8"/>
    <mergeCell ref="E28:F28"/>
    <mergeCell ref="E34:F34"/>
    <mergeCell ref="H29:H34"/>
    <mergeCell ref="I28:N28"/>
    <mergeCell ref="H38:H43"/>
    <mergeCell ref="I37:N37"/>
    <mergeCell ref="H25:N25"/>
    <mergeCell ref="B25:C25"/>
    <mergeCell ref="B33:C33"/>
  </mergeCells>
  <pageMargins left="0.7" right="0.7" top="0.75" bottom="0.75" header="0.3" footer="0.3"/>
  <pageSetup scale="32" orientation="landscape" r:id="rId1"/>
  <colBreaks count="2" manualBreakCount="2">
    <brk id="7" max="1048575" man="1"/>
    <brk id="19" max="1048575"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I34"/>
  <sheetViews>
    <sheetView showGridLines="0" workbookViewId="0">
      <selection activeCell="Q4" sqref="Q4"/>
    </sheetView>
  </sheetViews>
  <sheetFormatPr defaultRowHeight="15"/>
  <cols>
    <col min="1" max="1" width="1.85546875" customWidth="1"/>
    <col min="5" max="5" width="14.42578125" bestFit="1" customWidth="1"/>
    <col min="6" max="6" width="14.85546875" bestFit="1" customWidth="1"/>
    <col min="7" max="7" width="13.7109375" bestFit="1" customWidth="1"/>
    <col min="8" max="8" width="14.5703125" bestFit="1" customWidth="1"/>
    <col min="9" max="9" width="17.5703125" bestFit="1" customWidth="1"/>
    <col min="10" max="10" width="14.5703125" bestFit="1" customWidth="1"/>
    <col min="11" max="11" width="17.5703125" bestFit="1" customWidth="1"/>
  </cols>
  <sheetData>
    <row r="1" spans="2:9" ht="16.5" thickTop="1">
      <c r="B1" s="248" t="s">
        <v>318</v>
      </c>
    </row>
    <row r="2" spans="2:9">
      <c r="B2" s="10" t="s">
        <v>319</v>
      </c>
    </row>
    <row r="5" spans="2:9">
      <c r="B5" s="438" t="s">
        <v>450</v>
      </c>
      <c r="C5" s="438"/>
      <c r="D5" s="438"/>
      <c r="E5" s="438"/>
      <c r="F5" s="438"/>
      <c r="G5" s="438"/>
      <c r="H5" s="438"/>
      <c r="I5" s="438"/>
    </row>
    <row r="6" spans="2:9" ht="15.75" thickBot="1"/>
    <row r="7" spans="2:9">
      <c r="B7" s="441" t="s">
        <v>444</v>
      </c>
      <c r="C7" s="439"/>
      <c r="D7" s="439"/>
      <c r="E7" s="439"/>
      <c r="F7" s="439"/>
      <c r="G7" s="439"/>
      <c r="H7" s="439"/>
      <c r="I7" s="440"/>
    </row>
    <row r="8" spans="2:9" ht="15.75" thickBot="1">
      <c r="B8" s="434"/>
      <c r="C8" s="79"/>
      <c r="D8" s="79"/>
      <c r="E8" s="435" t="s">
        <v>445</v>
      </c>
      <c r="F8" s="435" t="s">
        <v>446</v>
      </c>
      <c r="G8" s="435" t="s">
        <v>447</v>
      </c>
      <c r="H8" s="435" t="s">
        <v>448</v>
      </c>
      <c r="I8" s="436" t="s">
        <v>449</v>
      </c>
    </row>
    <row r="9" spans="2:9">
      <c r="B9" s="442" t="s">
        <v>196</v>
      </c>
      <c r="C9" s="443"/>
      <c r="D9" s="443"/>
      <c r="E9" s="444">
        <f>MAX('Comparable Valuation'!J34:J36)</f>
        <v>1258.8106397508836</v>
      </c>
      <c r="F9" s="444">
        <f>MAX('Comparable Valuation'!J40:J42)</f>
        <v>1239.1266387758276</v>
      </c>
      <c r="G9" s="444">
        <v>1607.5264612266258</v>
      </c>
      <c r="H9" s="444">
        <v>1188</v>
      </c>
      <c r="I9" s="445">
        <v>1300</v>
      </c>
    </row>
    <row r="10" spans="2:9">
      <c r="B10" s="446" t="s">
        <v>196</v>
      </c>
      <c r="C10" s="447"/>
      <c r="D10" s="447"/>
      <c r="E10" s="437">
        <f>E9</f>
        <v>1258.8106397508836</v>
      </c>
      <c r="F10" s="437">
        <f>F9</f>
        <v>1239.1266387758276</v>
      </c>
      <c r="G10" s="437">
        <f>G9</f>
        <v>1607.5264612266258</v>
      </c>
      <c r="H10" s="437">
        <f>H9</f>
        <v>1188</v>
      </c>
      <c r="I10" s="448">
        <f>I9</f>
        <v>1300</v>
      </c>
    </row>
    <row r="11" spans="2:9">
      <c r="B11" s="446" t="s">
        <v>201</v>
      </c>
      <c r="C11" s="447"/>
      <c r="D11" s="447"/>
      <c r="E11" s="437">
        <f>MIN('Comparable Valuation'!J34:J36)</f>
        <v>728.41256212786857</v>
      </c>
      <c r="F11" s="437">
        <f>MIN('Comparable Valuation'!J40:J42)</f>
        <v>878.0069840403695</v>
      </c>
      <c r="G11" s="437">
        <v>1292.8610098619906</v>
      </c>
      <c r="H11" s="437">
        <v>680</v>
      </c>
      <c r="I11" s="448">
        <v>1018</v>
      </c>
    </row>
    <row r="12" spans="2:9" ht="15.75" thickBot="1">
      <c r="B12" s="449" t="s">
        <v>201</v>
      </c>
      <c r="C12" s="450"/>
      <c r="D12" s="450"/>
      <c r="E12" s="451">
        <f>E11</f>
        <v>728.41256212786857</v>
      </c>
      <c r="F12" s="451">
        <f>F11</f>
        <v>878.0069840403695</v>
      </c>
      <c r="G12" s="451">
        <f>G11</f>
        <v>1292.8610098619906</v>
      </c>
      <c r="H12" s="451">
        <f>H11</f>
        <v>680</v>
      </c>
      <c r="I12" s="452">
        <f>I11</f>
        <v>1018</v>
      </c>
    </row>
    <row r="34" spans="2:9">
      <c r="B34" s="81"/>
      <c r="C34" s="81"/>
      <c r="D34" s="81"/>
      <c r="E34" s="81"/>
      <c r="F34" s="81"/>
      <c r="G34" s="81"/>
      <c r="H34" s="81"/>
      <c r="I34" s="81"/>
    </row>
  </sheetData>
  <mergeCells count="1">
    <mergeCell ref="B5:I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SBI</vt:lpstr>
      <vt:lpstr>Assumptions</vt:lpstr>
      <vt:lpstr>P&amp;L_Input</vt:lpstr>
      <vt:lpstr>BS_Input</vt:lpstr>
      <vt:lpstr>Revenue_Build Up</vt:lpstr>
      <vt:lpstr>Cost_BuildUp</vt:lpstr>
      <vt:lpstr>Debt Schedules</vt:lpstr>
      <vt:lpstr>FAS</vt:lpstr>
      <vt:lpstr>Working Capital</vt:lpstr>
      <vt:lpstr>BS_Items</vt:lpstr>
      <vt:lpstr>Income Statement</vt:lpstr>
      <vt:lpstr>Balance Sheet</vt:lpstr>
      <vt:lpstr>Cash Flow</vt:lpstr>
      <vt:lpstr>Common Size Statement</vt:lpstr>
      <vt:lpstr>Ratio Analysis</vt:lpstr>
      <vt:lpstr>Charts</vt:lpstr>
      <vt:lpstr>Market Return</vt:lpstr>
      <vt:lpstr>Equity Beta</vt:lpstr>
      <vt:lpstr>Comps Data</vt:lpstr>
      <vt:lpstr>Comparable Valuation</vt:lpstr>
      <vt:lpstr>DCF Analysis</vt:lpstr>
      <vt:lpstr>Football Field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Dhiraj Kumar</dc:creator>
  <cp:lastModifiedBy>Dhiraj Kumar</cp:lastModifiedBy>
  <cp:lastPrinted>2026-02-09T04:44:29Z</cp:lastPrinted>
  <dcterms:created xsi:type="dcterms:W3CDTF">2026-01-23T12:30:44Z</dcterms:created>
  <dcterms:modified xsi:type="dcterms:W3CDTF">2026-02-11T15:37:29Z</dcterms:modified>
</cp:coreProperties>
</file>