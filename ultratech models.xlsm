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Dhiraj Kumar\OneDrive\Desktop\all models\"/>
    </mc:Choice>
  </mc:AlternateContent>
  <bookViews>
    <workbookView xWindow="0" yWindow="0" windowWidth="20490" windowHeight="7350" firstSheet="3" activeTab="11"/>
  </bookViews>
  <sheets>
    <sheet name="Assumption" sheetId="5" r:id="rId1"/>
    <sheet name="Income statement Historical" sheetId="1" r:id="rId2"/>
    <sheet name="Balance sheet Historical" sheetId="2" r:id="rId3"/>
    <sheet name="Common Size statement" sheetId="4" r:id="rId4"/>
    <sheet name="Revenue Build up" sheetId="3" r:id="rId5"/>
    <sheet name="Cost Build Up" sheetId="6" r:id="rId6"/>
    <sheet name="Working Capital Build up" sheetId="7" r:id="rId7"/>
    <sheet name="FAS" sheetId="8" r:id="rId8"/>
    <sheet name="Income " sheetId="9" r:id="rId9"/>
    <sheet name="BS items" sheetId="10" r:id="rId10"/>
    <sheet name="balance sheet" sheetId="11" r:id="rId11"/>
    <sheet name="Cash Flow" sheetId="12" r:id="rId12"/>
    <sheet name="beta" sheetId="13" r:id="rId13"/>
    <sheet name="ratios Analysis" sheetId="16" r:id="rId14"/>
    <sheet name="Charts" sheetId="18" r:id="rId15"/>
    <sheet name="Ratio Interpretation" sheetId="17" r:id="rId16"/>
    <sheet name="Market data" sheetId="14" r:id="rId17"/>
    <sheet name="DCF" sheetId="15" r:id="rId1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 i="15" l="1"/>
  <c r="C22" i="18" l="1"/>
  <c r="D22" i="18" s="1"/>
  <c r="E22" i="18" s="1"/>
  <c r="F22" i="18" s="1"/>
  <c r="G22" i="18" s="1"/>
  <c r="H22" i="18" s="1"/>
  <c r="I22" i="18" s="1"/>
  <c r="J22" i="18" s="1"/>
  <c r="K22" i="18" s="1"/>
  <c r="L22" i="18" s="1"/>
  <c r="M22" i="18" s="1"/>
  <c r="N22" i="18" s="1"/>
  <c r="O22" i="18" s="1"/>
  <c r="P22" i="18" s="1"/>
  <c r="C3" i="18"/>
  <c r="D3" i="18" s="1"/>
  <c r="E3" i="18" s="1"/>
  <c r="F3" i="18" s="1"/>
  <c r="G3" i="18" s="1"/>
  <c r="H3" i="18" s="1"/>
  <c r="I3" i="18" s="1"/>
  <c r="J3" i="18" s="1"/>
  <c r="K3" i="18" s="1"/>
  <c r="L3" i="18" s="1"/>
  <c r="M3" i="18" s="1"/>
  <c r="N3" i="18" s="1"/>
  <c r="O3" i="18" s="1"/>
  <c r="P3" i="18" s="1"/>
  <c r="G62" i="16" l="1"/>
  <c r="F62" i="16"/>
  <c r="E62" i="16"/>
  <c r="D62" i="16"/>
  <c r="C62" i="16"/>
  <c r="G60" i="16"/>
  <c r="F60" i="16"/>
  <c r="E60" i="16"/>
  <c r="D60" i="16"/>
  <c r="G58" i="16"/>
  <c r="F58" i="16"/>
  <c r="E58" i="16"/>
  <c r="D58" i="16"/>
  <c r="G56" i="16"/>
  <c r="F56" i="16"/>
  <c r="E56" i="16"/>
  <c r="D56" i="16"/>
  <c r="C60" i="16"/>
  <c r="C58" i="16"/>
  <c r="C56" i="16"/>
  <c r="G51" i="16"/>
  <c r="F51" i="16"/>
  <c r="E51" i="16"/>
  <c r="D51" i="16"/>
  <c r="G49" i="16"/>
  <c r="F49" i="16"/>
  <c r="E49" i="16"/>
  <c r="D49" i="16"/>
  <c r="G47" i="16"/>
  <c r="F47" i="16"/>
  <c r="E47" i="16"/>
  <c r="D47" i="16"/>
  <c r="C51" i="16"/>
  <c r="C49" i="16"/>
  <c r="C47" i="16"/>
  <c r="G42" i="16"/>
  <c r="F42" i="16"/>
  <c r="E42" i="16"/>
  <c r="D42" i="16"/>
  <c r="G40" i="16"/>
  <c r="F40" i="16"/>
  <c r="E40" i="16"/>
  <c r="D40" i="16"/>
  <c r="H38" i="16"/>
  <c r="G38" i="16"/>
  <c r="F38" i="16"/>
  <c r="E38" i="16"/>
  <c r="D38" i="16"/>
  <c r="G36" i="16"/>
  <c r="F36" i="16"/>
  <c r="E36" i="16"/>
  <c r="D36" i="16"/>
  <c r="C42" i="16"/>
  <c r="C40" i="16"/>
  <c r="C38" i="16"/>
  <c r="C36" i="16"/>
  <c r="Q31" i="16"/>
  <c r="P31" i="16"/>
  <c r="O31" i="16"/>
  <c r="N31" i="16"/>
  <c r="M31" i="16"/>
  <c r="L31" i="16"/>
  <c r="K31" i="16"/>
  <c r="J31" i="16"/>
  <c r="I31" i="16"/>
  <c r="H31" i="16"/>
  <c r="G31" i="16"/>
  <c r="F31" i="16"/>
  <c r="E31" i="16"/>
  <c r="D31" i="16"/>
  <c r="G29" i="16"/>
  <c r="F29" i="16"/>
  <c r="E29" i="16"/>
  <c r="D29" i="16"/>
  <c r="G27" i="16"/>
  <c r="F27" i="16"/>
  <c r="E27" i="16"/>
  <c r="D27" i="16"/>
  <c r="C31" i="16"/>
  <c r="C29" i="16"/>
  <c r="C27" i="16"/>
  <c r="G22" i="16"/>
  <c r="F22" i="16"/>
  <c r="E22" i="16"/>
  <c r="D22" i="16"/>
  <c r="C22" i="16"/>
  <c r="G20" i="16"/>
  <c r="F20" i="16"/>
  <c r="E20" i="16"/>
  <c r="D20" i="16"/>
  <c r="G18" i="16"/>
  <c r="F18" i="16"/>
  <c r="E18" i="16"/>
  <c r="D18" i="16"/>
  <c r="C20" i="16"/>
  <c r="C18" i="16"/>
  <c r="G16" i="16"/>
  <c r="F16" i="16"/>
  <c r="E16" i="16"/>
  <c r="D16" i="16"/>
  <c r="Q14" i="16"/>
  <c r="P14" i="16"/>
  <c r="O14" i="16"/>
  <c r="N14" i="16"/>
  <c r="M14" i="16"/>
  <c r="L14" i="16"/>
  <c r="K14" i="16"/>
  <c r="J14" i="16"/>
  <c r="I14" i="16"/>
  <c r="H14" i="16"/>
  <c r="G14" i="16"/>
  <c r="F14" i="16"/>
  <c r="E14" i="16"/>
  <c r="D14" i="16"/>
  <c r="C16" i="16"/>
  <c r="C14" i="16"/>
  <c r="G12" i="16"/>
  <c r="F12" i="16"/>
  <c r="E12" i="16"/>
  <c r="D12" i="16"/>
  <c r="C12" i="16"/>
  <c r="G10" i="16"/>
  <c r="F10" i="16"/>
  <c r="E10" i="16"/>
  <c r="D10" i="16"/>
  <c r="C10" i="16"/>
  <c r="G8" i="16" l="1"/>
  <c r="F8" i="16"/>
  <c r="E8" i="16"/>
  <c r="D8" i="16"/>
  <c r="C8" i="16"/>
  <c r="G6" i="16"/>
  <c r="F6" i="16"/>
  <c r="E6" i="16"/>
  <c r="D6" i="16"/>
  <c r="C6" i="16"/>
  <c r="D2" i="16"/>
  <c r="E2" i="16" s="1"/>
  <c r="F2" i="16" s="1"/>
  <c r="G2" i="16" s="1"/>
  <c r="H2" i="16" s="1"/>
  <c r="I2" i="16" s="1"/>
  <c r="J2" i="16" s="1"/>
  <c r="K2" i="16" s="1"/>
  <c r="L2" i="16" s="1"/>
  <c r="M2" i="16" s="1"/>
  <c r="N2" i="16" s="1"/>
  <c r="O2" i="16" s="1"/>
  <c r="P2" i="16" s="1"/>
  <c r="Q2" i="16" s="1"/>
  <c r="K50" i="1" l="1"/>
  <c r="J50" i="1"/>
  <c r="I50" i="1"/>
  <c r="H50" i="1"/>
  <c r="G50" i="1"/>
  <c r="K49" i="1"/>
  <c r="J49" i="1"/>
  <c r="I49" i="1"/>
  <c r="H49" i="1"/>
  <c r="G49" i="1"/>
  <c r="K48" i="1"/>
  <c r="J48" i="1"/>
  <c r="I48" i="1"/>
  <c r="H48" i="1"/>
  <c r="G48" i="1"/>
  <c r="K47" i="1"/>
  <c r="J47" i="1"/>
  <c r="I47" i="1"/>
  <c r="H47" i="1"/>
  <c r="G47" i="1"/>
  <c r="E30" i="10" l="1"/>
  <c r="H43" i="4"/>
  <c r="I43" i="4" s="1"/>
  <c r="J43" i="4" s="1"/>
  <c r="K43" i="4" s="1"/>
  <c r="K10" i="4"/>
  <c r="J10" i="4"/>
  <c r="I10" i="4"/>
  <c r="H10" i="4"/>
  <c r="G10" i="4"/>
  <c r="K44" i="15" l="1"/>
  <c r="L44" i="15" s="1"/>
  <c r="I44" i="15"/>
  <c r="H44" i="15" s="1"/>
  <c r="E56" i="15"/>
  <c r="E53" i="15"/>
  <c r="E27" i="15"/>
  <c r="H39" i="15"/>
  <c r="H38" i="15"/>
  <c r="E19" i="15" l="1"/>
  <c r="F21" i="5"/>
  <c r="E39" i="15"/>
  <c r="E40" i="15" s="1"/>
  <c r="E38" i="15"/>
  <c r="E37" i="15"/>
  <c r="E18" i="15"/>
  <c r="E31" i="15" s="1"/>
  <c r="N7" i="15"/>
  <c r="E8" i="15"/>
  <c r="F5" i="15"/>
  <c r="G5" i="15" s="1"/>
  <c r="H5" i="15" s="1"/>
  <c r="I5" i="15" s="1"/>
  <c r="J5" i="15" s="1"/>
  <c r="K5" i="15" s="1"/>
  <c r="L5" i="15" s="1"/>
  <c r="M5" i="15" s="1"/>
  <c r="N5" i="15" s="1"/>
  <c r="F3" i="15"/>
  <c r="G3" i="15" s="1"/>
  <c r="H3" i="15" s="1"/>
  <c r="I3" i="15" s="1"/>
  <c r="J3" i="15" s="1"/>
  <c r="K3" i="15" s="1"/>
  <c r="L3" i="15" s="1"/>
  <c r="M3" i="15" s="1"/>
  <c r="N3" i="15" s="1"/>
  <c r="G6" i="14"/>
  <c r="G5" i="14"/>
  <c r="E28" i="15" l="1"/>
  <c r="J5" i="13" l="1"/>
  <c r="H251" i="13"/>
  <c r="H250" i="13"/>
  <c r="H249" i="13"/>
  <c r="H248" i="13"/>
  <c r="H247" i="13"/>
  <c r="H246" i="13"/>
  <c r="H245" i="13"/>
  <c r="H244" i="13"/>
  <c r="H243" i="13"/>
  <c r="H242" i="13"/>
  <c r="H241" i="13"/>
  <c r="H240" i="13"/>
  <c r="H239" i="13"/>
  <c r="H238" i="13"/>
  <c r="H237" i="13"/>
  <c r="H236" i="13"/>
  <c r="H235" i="13"/>
  <c r="H234" i="13"/>
  <c r="H233" i="13"/>
  <c r="H232" i="13"/>
  <c r="H231" i="13"/>
  <c r="H230" i="13"/>
  <c r="H229" i="13"/>
  <c r="H228" i="13"/>
  <c r="H227" i="13"/>
  <c r="H226" i="13"/>
  <c r="H225" i="13"/>
  <c r="H224" i="13"/>
  <c r="H223" i="13"/>
  <c r="H222" i="13"/>
  <c r="H221" i="13"/>
  <c r="H220" i="13"/>
  <c r="H219" i="13"/>
  <c r="H218" i="13"/>
  <c r="H217" i="13"/>
  <c r="H216" i="13"/>
  <c r="H215" i="13"/>
  <c r="H214" i="13"/>
  <c r="H213" i="13"/>
  <c r="H212" i="13"/>
  <c r="H211" i="13"/>
  <c r="H210" i="13"/>
  <c r="H209" i="13"/>
  <c r="H208" i="13"/>
  <c r="H207" i="13"/>
  <c r="H206" i="13"/>
  <c r="H205" i="13"/>
  <c r="H204" i="13"/>
  <c r="H203" i="13"/>
  <c r="H202" i="13"/>
  <c r="H201" i="13"/>
  <c r="H200" i="13"/>
  <c r="H199" i="13"/>
  <c r="H198" i="13"/>
  <c r="H197" i="13"/>
  <c r="H196" i="13"/>
  <c r="H195" i="13"/>
  <c r="H194" i="13"/>
  <c r="H193" i="13"/>
  <c r="H192" i="13"/>
  <c r="H191" i="13"/>
  <c r="H190" i="13"/>
  <c r="H189" i="13"/>
  <c r="H188" i="13"/>
  <c r="H187" i="13"/>
  <c r="H186" i="13"/>
  <c r="H185" i="13"/>
  <c r="H184" i="13"/>
  <c r="H183" i="13"/>
  <c r="H182" i="13"/>
  <c r="H181" i="13"/>
  <c r="H180" i="13"/>
  <c r="H179" i="13"/>
  <c r="H178" i="13"/>
  <c r="H177" i="13"/>
  <c r="H176" i="13"/>
  <c r="H175" i="13"/>
  <c r="H174" i="13"/>
  <c r="H173" i="13"/>
  <c r="H172" i="13"/>
  <c r="H171" i="13"/>
  <c r="H170" i="13"/>
  <c r="H169" i="13"/>
  <c r="H168" i="13"/>
  <c r="H167" i="13"/>
  <c r="H166" i="13"/>
  <c r="H165" i="13"/>
  <c r="H164" i="13"/>
  <c r="H163" i="13"/>
  <c r="H162" i="13"/>
  <c r="H161" i="13"/>
  <c r="H160" i="13"/>
  <c r="H159" i="13"/>
  <c r="H158" i="13"/>
  <c r="H157" i="13"/>
  <c r="H156" i="13"/>
  <c r="H155" i="13"/>
  <c r="H154" i="13"/>
  <c r="H153" i="13"/>
  <c r="H152" i="13"/>
  <c r="H151" i="13"/>
  <c r="H150" i="13"/>
  <c r="H149" i="13"/>
  <c r="H148" i="13"/>
  <c r="H147" i="13"/>
  <c r="H146" i="13"/>
  <c r="H145" i="13"/>
  <c r="H144" i="13"/>
  <c r="H143" i="13"/>
  <c r="H142" i="13"/>
  <c r="H141" i="13"/>
  <c r="H140" i="13"/>
  <c r="H139" i="13"/>
  <c r="H138" i="13"/>
  <c r="H137" i="13"/>
  <c r="H136" i="13"/>
  <c r="H135" i="13"/>
  <c r="H134" i="13"/>
  <c r="H133" i="13"/>
  <c r="H132" i="13"/>
  <c r="H131" i="13"/>
  <c r="H130" i="13"/>
  <c r="H129" i="13"/>
  <c r="H128" i="13"/>
  <c r="H127" i="13"/>
  <c r="H126" i="13"/>
  <c r="H125" i="13"/>
  <c r="H124" i="13"/>
  <c r="H123" i="13"/>
  <c r="H122" i="13"/>
  <c r="H121" i="13"/>
  <c r="H120" i="13"/>
  <c r="H119" i="13"/>
  <c r="H118" i="13"/>
  <c r="H117" i="13"/>
  <c r="H116" i="13"/>
  <c r="H115" i="13"/>
  <c r="H114" i="13"/>
  <c r="H113" i="13"/>
  <c r="H112" i="13"/>
  <c r="H111" i="13"/>
  <c r="H110" i="13"/>
  <c r="H109" i="13"/>
  <c r="H108" i="13"/>
  <c r="H107" i="13"/>
  <c r="H106" i="13"/>
  <c r="H105" i="13"/>
  <c r="H104" i="13"/>
  <c r="H103" i="13"/>
  <c r="H102" i="13"/>
  <c r="H101" i="13"/>
  <c r="H100" i="13"/>
  <c r="H99" i="13"/>
  <c r="H98" i="13"/>
  <c r="H97" i="13"/>
  <c r="H96" i="13"/>
  <c r="H95" i="13"/>
  <c r="H94" i="13"/>
  <c r="H93" i="13"/>
  <c r="H92" i="13"/>
  <c r="H91" i="13"/>
  <c r="H90" i="13"/>
  <c r="H89" i="13"/>
  <c r="H88" i="13"/>
  <c r="H87" i="13"/>
  <c r="H86" i="13"/>
  <c r="H85" i="13"/>
  <c r="H84" i="13"/>
  <c r="H83" i="13"/>
  <c r="H82" i="13"/>
  <c r="H81" i="13"/>
  <c r="H80" i="13"/>
  <c r="H79" i="13"/>
  <c r="H78" i="13"/>
  <c r="H77" i="13"/>
  <c r="H76" i="13"/>
  <c r="H75" i="13"/>
  <c r="H74" i="13"/>
  <c r="H73" i="13"/>
  <c r="H72" i="13"/>
  <c r="H71" i="13"/>
  <c r="H70" i="13"/>
  <c r="H69" i="13"/>
  <c r="H68" i="13"/>
  <c r="H67" i="13"/>
  <c r="H66" i="13"/>
  <c r="H65" i="13"/>
  <c r="H64" i="13"/>
  <c r="H63" i="13"/>
  <c r="H62" i="13"/>
  <c r="H61" i="13"/>
  <c r="H60" i="13"/>
  <c r="H59" i="13"/>
  <c r="H58" i="13"/>
  <c r="H57" i="13"/>
  <c r="H56" i="13"/>
  <c r="H55" i="13"/>
  <c r="H54" i="13"/>
  <c r="H53" i="13"/>
  <c r="H52" i="13"/>
  <c r="H51" i="13"/>
  <c r="H50" i="13"/>
  <c r="H49" i="13"/>
  <c r="H48" i="13"/>
  <c r="H47" i="13"/>
  <c r="H46" i="13"/>
  <c r="H45" i="13"/>
  <c r="H44" i="13"/>
  <c r="H43" i="13"/>
  <c r="H42" i="13"/>
  <c r="H41" i="13"/>
  <c r="H40" i="13"/>
  <c r="H39" i="13"/>
  <c r="H38" i="13"/>
  <c r="H37" i="13"/>
  <c r="H36" i="13"/>
  <c r="H35" i="13"/>
  <c r="H34" i="13"/>
  <c r="H33" i="13"/>
  <c r="H32" i="13"/>
  <c r="H31" i="13"/>
  <c r="H30" i="13"/>
  <c r="H29" i="13"/>
  <c r="H28" i="13"/>
  <c r="H27" i="13"/>
  <c r="H26" i="13"/>
  <c r="H25" i="13"/>
  <c r="H24" i="13"/>
  <c r="H23" i="13"/>
  <c r="H22" i="13"/>
  <c r="H21" i="13"/>
  <c r="H20" i="13"/>
  <c r="H19" i="13"/>
  <c r="H18" i="13"/>
  <c r="H17" i="13"/>
  <c r="H16" i="13"/>
  <c r="H15" i="13"/>
  <c r="H14" i="13"/>
  <c r="H13" i="13"/>
  <c r="H12" i="13"/>
  <c r="H11" i="13"/>
  <c r="H10" i="13"/>
  <c r="H9" i="13"/>
  <c r="H8" i="13"/>
  <c r="H7" i="13"/>
  <c r="H6" i="13"/>
  <c r="H5" i="13"/>
  <c r="F251" i="13"/>
  <c r="F250" i="13"/>
  <c r="F249" i="13"/>
  <c r="F248" i="13"/>
  <c r="F247" i="13"/>
  <c r="F246" i="13"/>
  <c r="F245" i="13"/>
  <c r="F244" i="13"/>
  <c r="F243" i="13"/>
  <c r="F242" i="13"/>
  <c r="F241" i="13"/>
  <c r="F240" i="13"/>
  <c r="F239" i="13"/>
  <c r="F238" i="13"/>
  <c r="F237" i="13"/>
  <c r="F236" i="13"/>
  <c r="F235" i="13"/>
  <c r="F234" i="13"/>
  <c r="F233" i="13"/>
  <c r="F232" i="13"/>
  <c r="F231" i="13"/>
  <c r="F230" i="13"/>
  <c r="F229" i="13"/>
  <c r="F228" i="13"/>
  <c r="F227" i="13"/>
  <c r="F226" i="13"/>
  <c r="F225" i="13"/>
  <c r="F224" i="13"/>
  <c r="F223" i="13"/>
  <c r="F222" i="13"/>
  <c r="F221" i="13"/>
  <c r="F220" i="13"/>
  <c r="F219" i="13"/>
  <c r="F218" i="13"/>
  <c r="F217" i="13"/>
  <c r="F216" i="13"/>
  <c r="F215" i="13"/>
  <c r="F214" i="13"/>
  <c r="F213" i="13"/>
  <c r="F212" i="13"/>
  <c r="F211" i="13"/>
  <c r="F210" i="13"/>
  <c r="F209" i="13"/>
  <c r="F208" i="13"/>
  <c r="F207" i="13"/>
  <c r="F206" i="13"/>
  <c r="F205" i="13"/>
  <c r="F204" i="13"/>
  <c r="F203" i="13"/>
  <c r="F202" i="13"/>
  <c r="F201" i="13"/>
  <c r="F200" i="13"/>
  <c r="F199" i="13"/>
  <c r="F198" i="13"/>
  <c r="F197" i="13"/>
  <c r="F196" i="13"/>
  <c r="F195" i="13"/>
  <c r="F194" i="13"/>
  <c r="F193" i="13"/>
  <c r="F192" i="13"/>
  <c r="F191" i="13"/>
  <c r="F190" i="13"/>
  <c r="F189" i="13"/>
  <c r="F188" i="13"/>
  <c r="F187" i="13"/>
  <c r="F186" i="13"/>
  <c r="F185" i="13"/>
  <c r="F184" i="13"/>
  <c r="F183" i="13"/>
  <c r="F182" i="13"/>
  <c r="F181" i="13"/>
  <c r="F180" i="13"/>
  <c r="F179" i="13"/>
  <c r="F178" i="13"/>
  <c r="F177" i="13"/>
  <c r="F176" i="13"/>
  <c r="F175" i="13"/>
  <c r="F174" i="13"/>
  <c r="F173" i="13"/>
  <c r="F172" i="13"/>
  <c r="F171" i="13"/>
  <c r="F170" i="13"/>
  <c r="F169" i="13"/>
  <c r="F168" i="13"/>
  <c r="F167" i="13"/>
  <c r="F166" i="13"/>
  <c r="F165" i="13"/>
  <c r="F164" i="13"/>
  <c r="F163" i="13"/>
  <c r="F162" i="13"/>
  <c r="F161" i="13"/>
  <c r="F160" i="13"/>
  <c r="F159" i="13"/>
  <c r="F158" i="13"/>
  <c r="F157" i="13"/>
  <c r="F156" i="13"/>
  <c r="F155" i="13"/>
  <c r="F154" i="13"/>
  <c r="F153" i="13"/>
  <c r="F152" i="13"/>
  <c r="F151" i="13"/>
  <c r="F150" i="13"/>
  <c r="F149" i="13"/>
  <c r="F148" i="13"/>
  <c r="F147" i="13"/>
  <c r="F146" i="13"/>
  <c r="F145" i="13"/>
  <c r="F144" i="13"/>
  <c r="F143" i="13"/>
  <c r="F142" i="13"/>
  <c r="F141" i="13"/>
  <c r="F140" i="13"/>
  <c r="F139" i="13"/>
  <c r="F138" i="13"/>
  <c r="F137" i="13"/>
  <c r="F136" i="13"/>
  <c r="F135" i="13"/>
  <c r="F134" i="13"/>
  <c r="F133" i="13"/>
  <c r="F132" i="13"/>
  <c r="F131" i="13"/>
  <c r="F130" i="13"/>
  <c r="F129" i="13"/>
  <c r="F128" i="13"/>
  <c r="F127" i="13"/>
  <c r="F126" i="13"/>
  <c r="F125" i="13"/>
  <c r="F124" i="13"/>
  <c r="F123" i="13"/>
  <c r="F122" i="13"/>
  <c r="F121" i="13"/>
  <c r="F120" i="13"/>
  <c r="F119" i="13"/>
  <c r="F118" i="13"/>
  <c r="F117" i="13"/>
  <c r="F116" i="13"/>
  <c r="F115" i="13"/>
  <c r="F114" i="13"/>
  <c r="F113" i="13"/>
  <c r="F112" i="13"/>
  <c r="F111" i="13"/>
  <c r="F110" i="13"/>
  <c r="F109" i="13"/>
  <c r="F108" i="13"/>
  <c r="F107" i="13"/>
  <c r="F106" i="13"/>
  <c r="F105" i="13"/>
  <c r="F104" i="13"/>
  <c r="F103" i="13"/>
  <c r="F102" i="13"/>
  <c r="F101" i="13"/>
  <c r="F100" i="13"/>
  <c r="F99" i="13"/>
  <c r="F98" i="13"/>
  <c r="F97" i="13"/>
  <c r="F96" i="13"/>
  <c r="F95" i="13"/>
  <c r="F94" i="13"/>
  <c r="F93" i="13"/>
  <c r="F92" i="13"/>
  <c r="F91" i="13"/>
  <c r="F90" i="13"/>
  <c r="F89" i="13"/>
  <c r="F88" i="13"/>
  <c r="F87" i="13"/>
  <c r="F86" i="13"/>
  <c r="F85" i="13"/>
  <c r="F84" i="13"/>
  <c r="F83" i="13"/>
  <c r="F82" i="13"/>
  <c r="F81" i="13"/>
  <c r="F80" i="13"/>
  <c r="F79" i="13"/>
  <c r="F78" i="13"/>
  <c r="F77" i="13"/>
  <c r="F76" i="13"/>
  <c r="F75" i="13"/>
  <c r="F74" i="13"/>
  <c r="F73" i="13"/>
  <c r="F72" i="13"/>
  <c r="F71" i="13"/>
  <c r="F70" i="13"/>
  <c r="F69" i="13"/>
  <c r="F68" i="13"/>
  <c r="F67" i="13"/>
  <c r="F66" i="13"/>
  <c r="F65" i="13"/>
  <c r="F64" i="13"/>
  <c r="F63" i="13"/>
  <c r="F62" i="13"/>
  <c r="F61" i="13"/>
  <c r="F60" i="13"/>
  <c r="F59" i="13"/>
  <c r="F58" i="13"/>
  <c r="F57" i="13"/>
  <c r="F56" i="13"/>
  <c r="F55" i="13"/>
  <c r="F54" i="13"/>
  <c r="F53" i="13"/>
  <c r="F52" i="13"/>
  <c r="F51" i="13"/>
  <c r="F50" i="13"/>
  <c r="F49" i="13"/>
  <c r="F48" i="13"/>
  <c r="F47" i="13"/>
  <c r="F46" i="13"/>
  <c r="F45" i="13"/>
  <c r="F44" i="13"/>
  <c r="F43" i="13"/>
  <c r="F42" i="13"/>
  <c r="F41" i="13"/>
  <c r="F40" i="13"/>
  <c r="F39" i="13"/>
  <c r="F38" i="13"/>
  <c r="F37" i="13"/>
  <c r="F36" i="13"/>
  <c r="F35" i="13"/>
  <c r="F34" i="13"/>
  <c r="F33" i="13"/>
  <c r="F32" i="13"/>
  <c r="F31" i="13"/>
  <c r="F30" i="13"/>
  <c r="F29" i="13"/>
  <c r="F28" i="13"/>
  <c r="F27" i="13"/>
  <c r="F26" i="13"/>
  <c r="F25" i="13"/>
  <c r="F24" i="13"/>
  <c r="F23" i="13"/>
  <c r="F22" i="13"/>
  <c r="F21" i="13"/>
  <c r="F20" i="13"/>
  <c r="F19" i="13"/>
  <c r="F18" i="13"/>
  <c r="F17" i="13"/>
  <c r="F16" i="13"/>
  <c r="F15" i="13"/>
  <c r="F14" i="13"/>
  <c r="F13" i="13"/>
  <c r="F12" i="13"/>
  <c r="F11" i="13"/>
  <c r="F10" i="13"/>
  <c r="F9" i="13"/>
  <c r="F8" i="13"/>
  <c r="F7" i="13"/>
  <c r="F6" i="13"/>
  <c r="F5" i="13"/>
  <c r="H4" i="13"/>
  <c r="F4" i="13"/>
  <c r="J40" i="12"/>
  <c r="I40" i="12"/>
  <c r="H40" i="12"/>
  <c r="G40" i="12"/>
  <c r="F40" i="12"/>
  <c r="S34" i="12"/>
  <c r="R34" i="12"/>
  <c r="Q34" i="12"/>
  <c r="P34" i="12"/>
  <c r="O34" i="12"/>
  <c r="N34" i="12"/>
  <c r="M34" i="12"/>
  <c r="L34" i="12"/>
  <c r="K34" i="12"/>
  <c r="J34" i="12"/>
  <c r="I34" i="12"/>
  <c r="H34" i="12"/>
  <c r="G34" i="12"/>
  <c r="S32" i="12"/>
  <c r="R32" i="12"/>
  <c r="Q32" i="12"/>
  <c r="P32" i="12"/>
  <c r="O32" i="12"/>
  <c r="N32" i="12"/>
  <c r="M32" i="12"/>
  <c r="L32" i="12"/>
  <c r="K32" i="12"/>
  <c r="J32" i="12"/>
  <c r="I32" i="12"/>
  <c r="H32" i="12"/>
  <c r="G32" i="12"/>
  <c r="F34" i="12"/>
  <c r="F32" i="12"/>
  <c r="I19" i="12"/>
  <c r="H19" i="12"/>
  <c r="G19" i="12"/>
  <c r="F19" i="12" l="1"/>
  <c r="I15" i="12"/>
  <c r="H15" i="12"/>
  <c r="G15" i="12"/>
  <c r="I14" i="12"/>
  <c r="H14" i="12"/>
  <c r="G14" i="12"/>
  <c r="I13" i="12"/>
  <c r="H13" i="12"/>
  <c r="G13" i="12"/>
  <c r="F15" i="12"/>
  <c r="F14" i="12"/>
  <c r="F13" i="12"/>
  <c r="J7" i="12"/>
  <c r="I7" i="12"/>
  <c r="I25" i="12" s="1"/>
  <c r="H7" i="12"/>
  <c r="H25" i="12" s="1"/>
  <c r="G7" i="12"/>
  <c r="G25" i="12" s="1"/>
  <c r="F7" i="12"/>
  <c r="F25" i="12" s="1"/>
  <c r="E7" i="12"/>
  <c r="F5" i="12"/>
  <c r="G5" i="12" s="1"/>
  <c r="H5" i="12" s="1"/>
  <c r="I5" i="12" s="1"/>
  <c r="J5" i="12" s="1"/>
  <c r="K5" i="12" s="1"/>
  <c r="L5" i="12" s="1"/>
  <c r="M5" i="12" s="1"/>
  <c r="N5" i="12" s="1"/>
  <c r="O5" i="12" s="1"/>
  <c r="P5" i="12" s="1"/>
  <c r="Q5" i="12" s="1"/>
  <c r="R5" i="12" s="1"/>
  <c r="S5" i="12" s="1"/>
  <c r="F3" i="12"/>
  <c r="G3" i="12" s="1"/>
  <c r="H3" i="12" s="1"/>
  <c r="I3" i="12" s="1"/>
  <c r="J3" i="12" s="1"/>
  <c r="K3" i="12" s="1"/>
  <c r="L3" i="12" s="1"/>
  <c r="M3" i="12" s="1"/>
  <c r="N3" i="12" s="1"/>
  <c r="O3" i="12" s="1"/>
  <c r="P3" i="12" s="1"/>
  <c r="Q3" i="12" s="1"/>
  <c r="R3" i="12" s="1"/>
  <c r="S3" i="12" s="1"/>
  <c r="J13" i="11" l="1"/>
  <c r="L70" i="11" l="1"/>
  <c r="M70" i="11" s="1"/>
  <c r="N70" i="11" s="1"/>
  <c r="K70" i="11"/>
  <c r="H69" i="11"/>
  <c r="H71" i="11" s="1"/>
  <c r="I63" i="11"/>
  <c r="H63" i="11"/>
  <c r="G63" i="11"/>
  <c r="F63" i="11"/>
  <c r="E63" i="11"/>
  <c r="I70" i="11"/>
  <c r="H70" i="11"/>
  <c r="G70" i="11"/>
  <c r="F70" i="11"/>
  <c r="I68" i="11"/>
  <c r="H68" i="11"/>
  <c r="G68" i="11"/>
  <c r="F68" i="11"/>
  <c r="G16" i="12" s="1"/>
  <c r="I67" i="11"/>
  <c r="H67" i="11"/>
  <c r="G67" i="11"/>
  <c r="F67" i="11"/>
  <c r="I66" i="11"/>
  <c r="H66" i="11"/>
  <c r="G66" i="11"/>
  <c r="F66" i="11"/>
  <c r="I65" i="11"/>
  <c r="H65" i="11"/>
  <c r="G65" i="11"/>
  <c r="F65" i="11"/>
  <c r="I64" i="11"/>
  <c r="H64" i="11"/>
  <c r="G64" i="11"/>
  <c r="F64" i="11"/>
  <c r="I62" i="11"/>
  <c r="H62" i="11"/>
  <c r="G62" i="11"/>
  <c r="F62" i="11"/>
  <c r="I61" i="11"/>
  <c r="H61" i="11"/>
  <c r="G61" i="11"/>
  <c r="F61" i="11"/>
  <c r="I59" i="11"/>
  <c r="H59" i="11"/>
  <c r="G59" i="11"/>
  <c r="F59" i="11"/>
  <c r="I55" i="11"/>
  <c r="H55" i="11"/>
  <c r="G55" i="11"/>
  <c r="F55" i="11"/>
  <c r="I54" i="11"/>
  <c r="H54" i="11"/>
  <c r="G54" i="11"/>
  <c r="F54" i="11"/>
  <c r="I53" i="11"/>
  <c r="H53" i="11"/>
  <c r="G53" i="11"/>
  <c r="F53" i="11"/>
  <c r="I52" i="11"/>
  <c r="H52" i="11"/>
  <c r="G52" i="11"/>
  <c r="F52" i="11"/>
  <c r="I51" i="11"/>
  <c r="H51" i="11"/>
  <c r="G51" i="11"/>
  <c r="F51" i="11"/>
  <c r="I50" i="11"/>
  <c r="H50" i="11"/>
  <c r="G50" i="11"/>
  <c r="F50" i="11"/>
  <c r="F56" i="11" s="1"/>
  <c r="I49" i="11"/>
  <c r="I56" i="11" s="1"/>
  <c r="H49" i="11"/>
  <c r="H56" i="11" s="1"/>
  <c r="G49" i="11"/>
  <c r="G56" i="11" s="1"/>
  <c r="F49" i="11"/>
  <c r="E70" i="11"/>
  <c r="E68" i="11"/>
  <c r="E67" i="11"/>
  <c r="E66" i="11"/>
  <c r="E65" i="11"/>
  <c r="E64" i="11"/>
  <c r="E62" i="11"/>
  <c r="E61" i="11"/>
  <c r="E59" i="11"/>
  <c r="E55" i="11"/>
  <c r="E54" i="11"/>
  <c r="E53" i="11"/>
  <c r="E52" i="11"/>
  <c r="E51" i="11"/>
  <c r="E50" i="11"/>
  <c r="E49" i="11"/>
  <c r="I255" i="8"/>
  <c r="H255" i="8"/>
  <c r="G255" i="8"/>
  <c r="J255" i="8"/>
  <c r="K255" i="8"/>
  <c r="G252" i="8"/>
  <c r="I25" i="11"/>
  <c r="H25" i="11"/>
  <c r="G25" i="11"/>
  <c r="F25" i="11"/>
  <c r="I24" i="11"/>
  <c r="H24" i="11"/>
  <c r="G24" i="11"/>
  <c r="F24" i="11"/>
  <c r="I23" i="11"/>
  <c r="H23" i="11"/>
  <c r="G23" i="11"/>
  <c r="F23" i="11"/>
  <c r="I22" i="11"/>
  <c r="H22" i="11"/>
  <c r="G22" i="11"/>
  <c r="F22" i="11"/>
  <c r="I21" i="11"/>
  <c r="H21" i="11"/>
  <c r="G21" i="11"/>
  <c r="F21" i="11"/>
  <c r="I20" i="11"/>
  <c r="H20" i="11"/>
  <c r="G20" i="11"/>
  <c r="F20" i="11"/>
  <c r="S39" i="11"/>
  <c r="R39" i="11"/>
  <c r="Q39" i="11"/>
  <c r="P39" i="11"/>
  <c r="O39" i="11"/>
  <c r="N39" i="11"/>
  <c r="M39" i="11"/>
  <c r="L39" i="11"/>
  <c r="K39" i="11"/>
  <c r="J39" i="11"/>
  <c r="I39" i="11"/>
  <c r="H39" i="11"/>
  <c r="G39" i="11"/>
  <c r="F39" i="11"/>
  <c r="I37" i="11"/>
  <c r="H37" i="11"/>
  <c r="G37" i="11"/>
  <c r="F37" i="11"/>
  <c r="I36" i="11"/>
  <c r="H36" i="11"/>
  <c r="H38" i="11" s="1"/>
  <c r="G36" i="11"/>
  <c r="F36" i="11"/>
  <c r="I35" i="11"/>
  <c r="H35" i="11"/>
  <c r="G35" i="11"/>
  <c r="F35" i="11"/>
  <c r="I34" i="11"/>
  <c r="H34" i="11"/>
  <c r="G34" i="11"/>
  <c r="F34" i="11"/>
  <c r="I33" i="11"/>
  <c r="H33" i="11"/>
  <c r="G33" i="11"/>
  <c r="F33" i="11"/>
  <c r="I32" i="11"/>
  <c r="H32" i="11"/>
  <c r="G32" i="11"/>
  <c r="F32" i="11"/>
  <c r="I31" i="11"/>
  <c r="H31" i="11"/>
  <c r="G31" i="11"/>
  <c r="G20" i="12" s="1"/>
  <c r="F31" i="11"/>
  <c r="E39" i="11"/>
  <c r="E37" i="11"/>
  <c r="E36" i="11"/>
  <c r="E35" i="11"/>
  <c r="E34" i="11"/>
  <c r="E33" i="11"/>
  <c r="E32" i="11"/>
  <c r="E31" i="11"/>
  <c r="E25" i="11"/>
  <c r="E24" i="11"/>
  <c r="E23" i="11"/>
  <c r="E22" i="11"/>
  <c r="E21" i="11"/>
  <c r="E20" i="11"/>
  <c r="S15" i="11"/>
  <c r="R15" i="11"/>
  <c r="Q15" i="11"/>
  <c r="P15" i="11"/>
  <c r="O15" i="11"/>
  <c r="N15" i="11"/>
  <c r="M15" i="11"/>
  <c r="L15" i="11"/>
  <c r="K15" i="11"/>
  <c r="J15" i="11"/>
  <c r="I15" i="11"/>
  <c r="H15" i="11"/>
  <c r="G15" i="11"/>
  <c r="F15" i="11"/>
  <c r="S14" i="11"/>
  <c r="R14" i="11"/>
  <c r="Q14" i="11"/>
  <c r="P14" i="11"/>
  <c r="O14" i="11"/>
  <c r="N14" i="11"/>
  <c r="M14" i="11"/>
  <c r="L14" i="11"/>
  <c r="K14" i="11"/>
  <c r="J14" i="11"/>
  <c r="I14" i="11"/>
  <c r="H14" i="11"/>
  <c r="G14" i="11"/>
  <c r="F14" i="11"/>
  <c r="S13" i="11"/>
  <c r="R13" i="11"/>
  <c r="Q13" i="11"/>
  <c r="P13" i="11"/>
  <c r="O13" i="11"/>
  <c r="N13" i="11"/>
  <c r="M13" i="11"/>
  <c r="L13" i="11"/>
  <c r="K13" i="11"/>
  <c r="I13" i="11"/>
  <c r="H13" i="11"/>
  <c r="G13" i="11"/>
  <c r="F13" i="11"/>
  <c r="I12" i="11"/>
  <c r="H12" i="11"/>
  <c r="G12" i="11"/>
  <c r="F12" i="11"/>
  <c r="S11" i="11"/>
  <c r="R11" i="11"/>
  <c r="Q11" i="11"/>
  <c r="P11" i="11"/>
  <c r="O11" i="11"/>
  <c r="N11" i="11"/>
  <c r="M11" i="11"/>
  <c r="L11" i="11"/>
  <c r="K11" i="11"/>
  <c r="J11" i="11"/>
  <c r="I11" i="11"/>
  <c r="I16" i="11" s="1"/>
  <c r="H11" i="11"/>
  <c r="G11" i="11"/>
  <c r="G16" i="11" s="1"/>
  <c r="F11" i="11"/>
  <c r="E15" i="11"/>
  <c r="E14" i="11"/>
  <c r="E13" i="11"/>
  <c r="E12" i="11"/>
  <c r="E11" i="11"/>
  <c r="F8" i="11"/>
  <c r="G8" i="11" s="1"/>
  <c r="H8" i="11" s="1"/>
  <c r="I8" i="11" s="1"/>
  <c r="J8" i="11" s="1"/>
  <c r="K8" i="11" s="1"/>
  <c r="L8" i="11" s="1"/>
  <c r="M8" i="11" s="1"/>
  <c r="N8" i="11" s="1"/>
  <c r="O8" i="11" s="1"/>
  <c r="P8" i="11" s="1"/>
  <c r="Q8" i="11" s="1"/>
  <c r="R8" i="11" s="1"/>
  <c r="S8" i="11" s="1"/>
  <c r="F6" i="11"/>
  <c r="G6" i="11" s="1"/>
  <c r="H6" i="11" s="1"/>
  <c r="I6" i="11" s="1"/>
  <c r="J6" i="11" s="1"/>
  <c r="K6" i="11" s="1"/>
  <c r="L6" i="11" s="1"/>
  <c r="M6" i="11" s="1"/>
  <c r="N6" i="11" s="1"/>
  <c r="O6" i="11" s="1"/>
  <c r="P6" i="11" s="1"/>
  <c r="Q6" i="11" s="1"/>
  <c r="R6" i="11" s="1"/>
  <c r="S6" i="11" s="1"/>
  <c r="D80" i="10"/>
  <c r="D78" i="10"/>
  <c r="D76" i="10"/>
  <c r="D74" i="10"/>
  <c r="D72" i="10"/>
  <c r="I30" i="10"/>
  <c r="H30" i="10"/>
  <c r="G30" i="10"/>
  <c r="F30" i="10"/>
  <c r="I28" i="10"/>
  <c r="H28" i="10"/>
  <c r="G28" i="10"/>
  <c r="F28" i="10"/>
  <c r="E28" i="10"/>
  <c r="I26" i="10"/>
  <c r="H26" i="10"/>
  <c r="G26" i="10"/>
  <c r="F26" i="10"/>
  <c r="E26" i="10"/>
  <c r="I24" i="10"/>
  <c r="H24" i="10"/>
  <c r="G24" i="10"/>
  <c r="F24" i="10"/>
  <c r="E24" i="10"/>
  <c r="I22" i="10"/>
  <c r="H22" i="10"/>
  <c r="G22" i="10"/>
  <c r="F22" i="10"/>
  <c r="E22" i="10"/>
  <c r="I20" i="10"/>
  <c r="H20" i="10"/>
  <c r="G20" i="10"/>
  <c r="F20" i="10"/>
  <c r="E20" i="10"/>
  <c r="I79" i="10"/>
  <c r="H79" i="10"/>
  <c r="G79" i="10"/>
  <c r="F79" i="10"/>
  <c r="I77" i="10"/>
  <c r="H77" i="10"/>
  <c r="G77" i="10"/>
  <c r="F77" i="10"/>
  <c r="I75" i="10"/>
  <c r="H75" i="10"/>
  <c r="G75" i="10"/>
  <c r="F75" i="10"/>
  <c r="I73" i="10"/>
  <c r="H73" i="10"/>
  <c r="G73" i="10"/>
  <c r="F73" i="10"/>
  <c r="I71" i="10"/>
  <c r="H71" i="10"/>
  <c r="G71" i="10"/>
  <c r="F71" i="10"/>
  <c r="E79" i="10"/>
  <c r="E77" i="10"/>
  <c r="E75" i="10"/>
  <c r="E73" i="10"/>
  <c r="E71" i="10"/>
  <c r="I64" i="10"/>
  <c r="H64" i="10"/>
  <c r="G64" i="10"/>
  <c r="F64" i="10"/>
  <c r="I62" i="10"/>
  <c r="H62" i="10"/>
  <c r="G62" i="10"/>
  <c r="F62" i="10"/>
  <c r="I60" i="10"/>
  <c r="H60" i="10"/>
  <c r="G60" i="10"/>
  <c r="F60" i="10"/>
  <c r="I58" i="10"/>
  <c r="H58" i="10"/>
  <c r="G58" i="10"/>
  <c r="F58" i="10"/>
  <c r="I56" i="10"/>
  <c r="H56" i="10"/>
  <c r="G56" i="10"/>
  <c r="F56" i="10"/>
  <c r="I54" i="10"/>
  <c r="H54" i="10"/>
  <c r="G54" i="10"/>
  <c r="F54" i="10"/>
  <c r="E64" i="10"/>
  <c r="E62" i="10"/>
  <c r="E60" i="10"/>
  <c r="E58" i="10"/>
  <c r="E56" i="10"/>
  <c r="E54" i="10"/>
  <c r="I46" i="10"/>
  <c r="H46" i="10"/>
  <c r="G46" i="10"/>
  <c r="F46" i="10"/>
  <c r="I44" i="10"/>
  <c r="H44" i="10"/>
  <c r="G44" i="10"/>
  <c r="F44" i="10"/>
  <c r="I42" i="10"/>
  <c r="H42" i="10"/>
  <c r="G42" i="10"/>
  <c r="F42" i="10"/>
  <c r="I40" i="10"/>
  <c r="H40" i="10"/>
  <c r="G40" i="10"/>
  <c r="F40" i="10"/>
  <c r="I38" i="10"/>
  <c r="H38" i="10"/>
  <c r="G38" i="10"/>
  <c r="F38" i="10"/>
  <c r="I36" i="10"/>
  <c r="H36" i="10"/>
  <c r="G36" i="10"/>
  <c r="F36" i="10"/>
  <c r="E46" i="10"/>
  <c r="E44" i="10"/>
  <c r="E42" i="10"/>
  <c r="E40" i="10"/>
  <c r="E38" i="10"/>
  <c r="E36" i="10"/>
  <c r="I7" i="10"/>
  <c r="I61" i="10" s="1"/>
  <c r="H7" i="10"/>
  <c r="G7" i="10"/>
  <c r="G43" i="10" s="1"/>
  <c r="F7" i="10"/>
  <c r="E7" i="10"/>
  <c r="E25" i="10" s="1"/>
  <c r="D65" i="10"/>
  <c r="D63" i="10"/>
  <c r="D61" i="10"/>
  <c r="D59" i="10"/>
  <c r="D57" i="10"/>
  <c r="D55" i="10"/>
  <c r="D47" i="10"/>
  <c r="D45" i="10"/>
  <c r="D43" i="10"/>
  <c r="D41" i="10"/>
  <c r="D39" i="10"/>
  <c r="D37" i="10"/>
  <c r="D31" i="10"/>
  <c r="D29" i="10"/>
  <c r="D27" i="10"/>
  <c r="D25" i="10"/>
  <c r="D23" i="10"/>
  <c r="D21" i="10"/>
  <c r="J29" i="9"/>
  <c r="I29" i="9"/>
  <c r="H29" i="9"/>
  <c r="G29" i="9"/>
  <c r="F29" i="9"/>
  <c r="H27" i="11" l="1"/>
  <c r="E27" i="11"/>
  <c r="F27" i="11"/>
  <c r="F35" i="12" s="1"/>
  <c r="G27" i="11"/>
  <c r="G35" i="12" s="1"/>
  <c r="I27" i="11"/>
  <c r="I35" i="12" s="1"/>
  <c r="H41" i="11"/>
  <c r="H44" i="11" s="1"/>
  <c r="H73" i="11" s="1"/>
  <c r="H20" i="12"/>
  <c r="I20" i="12"/>
  <c r="F20" i="12"/>
  <c r="G38" i="11"/>
  <c r="I38" i="11"/>
  <c r="E38" i="11"/>
  <c r="E41" i="11" s="1"/>
  <c r="E44" i="11" s="1"/>
  <c r="F21" i="12"/>
  <c r="H21" i="12"/>
  <c r="G21" i="12"/>
  <c r="I21" i="12"/>
  <c r="F38" i="11"/>
  <c r="F26" i="12"/>
  <c r="E56" i="11"/>
  <c r="H26" i="12"/>
  <c r="G26" i="12"/>
  <c r="I26" i="12"/>
  <c r="H16" i="12"/>
  <c r="I69" i="11"/>
  <c r="I71" i="11" s="1"/>
  <c r="F69" i="11"/>
  <c r="F71" i="11" s="1"/>
  <c r="F16" i="12"/>
  <c r="I16" i="12"/>
  <c r="E69" i="11"/>
  <c r="E71" i="11" s="1"/>
  <c r="G69" i="11"/>
  <c r="G71" i="11" s="1"/>
  <c r="G41" i="10"/>
  <c r="G76" i="10"/>
  <c r="H37" i="10"/>
  <c r="H39" i="10"/>
  <c r="H41" i="10"/>
  <c r="H43" i="10"/>
  <c r="H45" i="10"/>
  <c r="H47" i="10"/>
  <c r="F55" i="10"/>
  <c r="F61" i="10"/>
  <c r="F63" i="10"/>
  <c r="H21" i="10"/>
  <c r="H29" i="10"/>
  <c r="K64" i="11"/>
  <c r="O70" i="11"/>
  <c r="P70" i="11" s="1"/>
  <c r="Q70" i="11" s="1"/>
  <c r="R70" i="11" s="1"/>
  <c r="H16" i="11"/>
  <c r="F16" i="11"/>
  <c r="E16" i="11"/>
  <c r="E45" i="10"/>
  <c r="E72" i="10"/>
  <c r="I74" i="10"/>
  <c r="G55" i="10"/>
  <c r="G57" i="10"/>
  <c r="G59" i="10"/>
  <c r="G61" i="10"/>
  <c r="G63" i="10"/>
  <c r="G65" i="10"/>
  <c r="H23" i="10"/>
  <c r="G25" i="10"/>
  <c r="H31" i="10"/>
  <c r="E59" i="10"/>
  <c r="E80" i="10"/>
  <c r="I80" i="10"/>
  <c r="H61" i="10"/>
  <c r="E37" i="10"/>
  <c r="I72" i="10"/>
  <c r="E27" i="10"/>
  <c r="I59" i="10"/>
  <c r="H74" i="10"/>
  <c r="H76" i="10"/>
  <c r="G21" i="10"/>
  <c r="I78" i="10"/>
  <c r="E47" i="10"/>
  <c r="I39" i="10"/>
  <c r="I43" i="10"/>
  <c r="I47" i="10"/>
  <c r="F72" i="10"/>
  <c r="F76" i="10"/>
  <c r="F80" i="10"/>
  <c r="I21" i="10"/>
  <c r="E29" i="10"/>
  <c r="I29" i="10"/>
  <c r="E41" i="10"/>
  <c r="F37" i="10"/>
  <c r="F39" i="10"/>
  <c r="F41" i="10"/>
  <c r="F45" i="10"/>
  <c r="F47" i="10"/>
  <c r="E55" i="10"/>
  <c r="E63" i="10"/>
  <c r="H55" i="10"/>
  <c r="H57" i="10"/>
  <c r="H59" i="10"/>
  <c r="H63" i="10"/>
  <c r="H65" i="10"/>
  <c r="E76" i="10"/>
  <c r="G72" i="10"/>
  <c r="G74" i="10"/>
  <c r="G78" i="10"/>
  <c r="G80" i="10"/>
  <c r="F21" i="10"/>
  <c r="E23" i="10"/>
  <c r="I23" i="10"/>
  <c r="H25" i="10"/>
  <c r="G27" i="10"/>
  <c r="E31" i="10"/>
  <c r="I31" i="10"/>
  <c r="I76" i="10"/>
  <c r="I27" i="10"/>
  <c r="F59" i="10"/>
  <c r="E39" i="10"/>
  <c r="I37" i="10"/>
  <c r="I41" i="10"/>
  <c r="I45" i="10"/>
  <c r="E61" i="10"/>
  <c r="E74" i="10"/>
  <c r="F74" i="10"/>
  <c r="J74" i="10" s="1"/>
  <c r="J73" i="10" s="1"/>
  <c r="J65" i="11" s="1"/>
  <c r="F78" i="10"/>
  <c r="E21" i="10"/>
  <c r="F27" i="10"/>
  <c r="E43" i="10"/>
  <c r="G37" i="10"/>
  <c r="G39" i="10"/>
  <c r="G45" i="10"/>
  <c r="G47" i="10"/>
  <c r="E57" i="10"/>
  <c r="E65" i="10"/>
  <c r="I55" i="10"/>
  <c r="I57" i="10"/>
  <c r="I63" i="10"/>
  <c r="I65" i="10"/>
  <c r="E78" i="10"/>
  <c r="H72" i="10"/>
  <c r="H78" i="10"/>
  <c r="H80" i="10"/>
  <c r="I25" i="10"/>
  <c r="H27" i="10"/>
  <c r="F31" i="10"/>
  <c r="F25" i="10"/>
  <c r="F43" i="10"/>
  <c r="F29" i="10"/>
  <c r="F23" i="10"/>
  <c r="F57" i="10"/>
  <c r="F65" i="10"/>
  <c r="G31" i="10"/>
  <c r="G29" i="10"/>
  <c r="G23" i="10"/>
  <c r="F41" i="11" l="1"/>
  <c r="F44" i="11" s="1"/>
  <c r="E73" i="11"/>
  <c r="I41" i="11"/>
  <c r="I44" i="11" s="1"/>
  <c r="I73" i="11" s="1"/>
  <c r="G41" i="11"/>
  <c r="G44" i="11" s="1"/>
  <c r="G73" i="11" s="1"/>
  <c r="H35" i="12"/>
  <c r="F73" i="11"/>
  <c r="J47" i="10"/>
  <c r="J46" i="10" s="1"/>
  <c r="J37" i="11" s="1"/>
  <c r="J72" i="10"/>
  <c r="J71" i="10" s="1"/>
  <c r="J61" i="11" s="1"/>
  <c r="J41" i="10"/>
  <c r="J40" i="10" s="1"/>
  <c r="J34" i="11" s="1"/>
  <c r="J27" i="10"/>
  <c r="J26" i="10" s="1"/>
  <c r="J65" i="10"/>
  <c r="J64" i="10" s="1"/>
  <c r="J55" i="11" s="1"/>
  <c r="J43" i="10"/>
  <c r="K43" i="10" s="1"/>
  <c r="L43" i="10" s="1"/>
  <c r="M43" i="10" s="1"/>
  <c r="N43" i="10" s="1"/>
  <c r="O43" i="10" s="1"/>
  <c r="P43" i="10" s="1"/>
  <c r="Q43" i="10" s="1"/>
  <c r="R43" i="10" s="1"/>
  <c r="S43" i="10" s="1"/>
  <c r="J29" i="10"/>
  <c r="K29" i="10" s="1"/>
  <c r="L29" i="10" s="1"/>
  <c r="M29" i="10" s="1"/>
  <c r="N29" i="10" s="1"/>
  <c r="O29" i="10" s="1"/>
  <c r="P29" i="10" s="1"/>
  <c r="Q29" i="10" s="1"/>
  <c r="R29" i="10" s="1"/>
  <c r="S29" i="10" s="1"/>
  <c r="J78" i="10"/>
  <c r="K78" i="10" s="1"/>
  <c r="L78" i="10" s="1"/>
  <c r="M78" i="10" s="1"/>
  <c r="N78" i="10" s="1"/>
  <c r="O78" i="10" s="1"/>
  <c r="P78" i="10" s="1"/>
  <c r="Q78" i="10" s="1"/>
  <c r="R78" i="10" s="1"/>
  <c r="S78" i="10" s="1"/>
  <c r="J80" i="10"/>
  <c r="K80" i="10" s="1"/>
  <c r="L80" i="10" s="1"/>
  <c r="M80" i="10" s="1"/>
  <c r="N80" i="10" s="1"/>
  <c r="O80" i="10" s="1"/>
  <c r="P80" i="10" s="1"/>
  <c r="Q80" i="10" s="1"/>
  <c r="R80" i="10" s="1"/>
  <c r="S80" i="10" s="1"/>
  <c r="J76" i="10"/>
  <c r="J75" i="10" s="1"/>
  <c r="J66" i="11" s="1"/>
  <c r="J37" i="10"/>
  <c r="J36" i="10" s="1"/>
  <c r="J59" i="10"/>
  <c r="J63" i="10"/>
  <c r="J62" i="10" s="1"/>
  <c r="J54" i="11" s="1"/>
  <c r="L64" i="11"/>
  <c r="S70" i="11"/>
  <c r="J58" i="10"/>
  <c r="J52" i="11" s="1"/>
  <c r="K59" i="10"/>
  <c r="L59" i="10" s="1"/>
  <c r="M59" i="10" s="1"/>
  <c r="N59" i="10" s="1"/>
  <c r="O59" i="10" s="1"/>
  <c r="P59" i="10" s="1"/>
  <c r="Q59" i="10" s="1"/>
  <c r="R59" i="10" s="1"/>
  <c r="S59" i="10" s="1"/>
  <c r="J21" i="10"/>
  <c r="K21" i="10" s="1"/>
  <c r="L21" i="10" s="1"/>
  <c r="M21" i="10" s="1"/>
  <c r="N21" i="10" s="1"/>
  <c r="O21" i="10" s="1"/>
  <c r="P21" i="10" s="1"/>
  <c r="Q21" i="10" s="1"/>
  <c r="R21" i="10" s="1"/>
  <c r="S21" i="10" s="1"/>
  <c r="J61" i="10"/>
  <c r="J60" i="10" s="1"/>
  <c r="J53" i="11" s="1"/>
  <c r="J39" i="10"/>
  <c r="J38" i="10" s="1"/>
  <c r="J32" i="11" s="1"/>
  <c r="J55" i="10"/>
  <c r="J54" i="10" s="1"/>
  <c r="J45" i="10"/>
  <c r="J44" i="10" s="1"/>
  <c r="J36" i="11" s="1"/>
  <c r="J57" i="10"/>
  <c r="K57" i="10" s="1"/>
  <c r="L57" i="10" s="1"/>
  <c r="M57" i="10" s="1"/>
  <c r="N57" i="10" s="1"/>
  <c r="O57" i="10" s="1"/>
  <c r="P57" i="10" s="1"/>
  <c r="Q57" i="10" s="1"/>
  <c r="R57" i="10" s="1"/>
  <c r="S57" i="10" s="1"/>
  <c r="J25" i="10"/>
  <c r="K25" i="10" s="1"/>
  <c r="L25" i="10" s="1"/>
  <c r="M25" i="10" s="1"/>
  <c r="N25" i="10" s="1"/>
  <c r="O25" i="10" s="1"/>
  <c r="P25" i="10" s="1"/>
  <c r="Q25" i="10" s="1"/>
  <c r="R25" i="10" s="1"/>
  <c r="S25" i="10" s="1"/>
  <c r="K74" i="10"/>
  <c r="L74" i="10" s="1"/>
  <c r="M74" i="10" s="1"/>
  <c r="N74" i="10" s="1"/>
  <c r="O74" i="10" s="1"/>
  <c r="P74" i="10" s="1"/>
  <c r="Q74" i="10" s="1"/>
  <c r="R74" i="10" s="1"/>
  <c r="S74" i="10" s="1"/>
  <c r="K41" i="10"/>
  <c r="L41" i="10" s="1"/>
  <c r="M41" i="10" s="1"/>
  <c r="N41" i="10" s="1"/>
  <c r="O41" i="10" s="1"/>
  <c r="P41" i="10" s="1"/>
  <c r="Q41" i="10" s="1"/>
  <c r="R41" i="10" s="1"/>
  <c r="S41" i="10" s="1"/>
  <c r="J23" i="10"/>
  <c r="J22" i="10" s="1"/>
  <c r="J21" i="11" s="1"/>
  <c r="J20" i="10"/>
  <c r="J31" i="10"/>
  <c r="J30" i="10" s="1"/>
  <c r="J25" i="11" s="1"/>
  <c r="K47" i="10"/>
  <c r="L47" i="10" s="1"/>
  <c r="M47" i="10" s="1"/>
  <c r="N47" i="10" s="1"/>
  <c r="O47" i="10" s="1"/>
  <c r="P47" i="10" s="1"/>
  <c r="Q47" i="10" s="1"/>
  <c r="R47" i="10" s="1"/>
  <c r="S47" i="10" s="1"/>
  <c r="J42" i="10"/>
  <c r="K45" i="10"/>
  <c r="L45" i="10" s="1"/>
  <c r="M45" i="10" s="1"/>
  <c r="N45" i="10" s="1"/>
  <c r="O45" i="10" s="1"/>
  <c r="P45" i="10" s="1"/>
  <c r="Q45" i="10" s="1"/>
  <c r="R45" i="10" s="1"/>
  <c r="S45" i="10" s="1"/>
  <c r="J79" i="10" l="1"/>
  <c r="J77" i="10"/>
  <c r="K76" i="10"/>
  <c r="L76" i="10" s="1"/>
  <c r="M76" i="10" s="1"/>
  <c r="N76" i="10" s="1"/>
  <c r="O76" i="10" s="1"/>
  <c r="P76" i="10" s="1"/>
  <c r="Q76" i="10" s="1"/>
  <c r="R76" i="10" s="1"/>
  <c r="S76" i="10" s="1"/>
  <c r="K72" i="10"/>
  <c r="L72" i="10" s="1"/>
  <c r="M72" i="10" s="1"/>
  <c r="N72" i="10" s="1"/>
  <c r="O72" i="10" s="1"/>
  <c r="P72" i="10" s="1"/>
  <c r="Q72" i="10" s="1"/>
  <c r="R72" i="10" s="1"/>
  <c r="S72" i="10" s="1"/>
  <c r="K55" i="10"/>
  <c r="L55" i="10" s="1"/>
  <c r="M55" i="10" s="1"/>
  <c r="N55" i="10" s="1"/>
  <c r="O55" i="10" s="1"/>
  <c r="P55" i="10" s="1"/>
  <c r="Q55" i="10" s="1"/>
  <c r="R55" i="10" s="1"/>
  <c r="S55" i="10" s="1"/>
  <c r="K39" i="10"/>
  <c r="L39" i="10" s="1"/>
  <c r="M39" i="10" s="1"/>
  <c r="N39" i="10" s="1"/>
  <c r="O39" i="10" s="1"/>
  <c r="P39" i="10" s="1"/>
  <c r="Q39" i="10" s="1"/>
  <c r="R39" i="10" s="1"/>
  <c r="S39" i="10" s="1"/>
  <c r="J24" i="10"/>
  <c r="J22" i="11" s="1"/>
  <c r="K27" i="10"/>
  <c r="L27" i="10" s="1"/>
  <c r="M27" i="10" s="1"/>
  <c r="N27" i="10" s="1"/>
  <c r="O27" i="10" s="1"/>
  <c r="P27" i="10" s="1"/>
  <c r="Q27" i="10" s="1"/>
  <c r="R27" i="10" s="1"/>
  <c r="S27" i="10" s="1"/>
  <c r="K58" i="10"/>
  <c r="K63" i="10"/>
  <c r="L63" i="10" s="1"/>
  <c r="M63" i="10" s="1"/>
  <c r="N63" i="10" s="1"/>
  <c r="O63" i="10" s="1"/>
  <c r="P63" i="10" s="1"/>
  <c r="Q63" i="10" s="1"/>
  <c r="R63" i="10" s="1"/>
  <c r="S63" i="10" s="1"/>
  <c r="K65" i="10"/>
  <c r="L65" i="10" s="1"/>
  <c r="M65" i="10" s="1"/>
  <c r="N65" i="10" s="1"/>
  <c r="O65" i="10" s="1"/>
  <c r="P65" i="10" s="1"/>
  <c r="Q65" i="10" s="1"/>
  <c r="R65" i="10" s="1"/>
  <c r="S65" i="10" s="1"/>
  <c r="K71" i="10"/>
  <c r="J50" i="11"/>
  <c r="K37" i="10"/>
  <c r="L37" i="10" s="1"/>
  <c r="M37" i="10" s="1"/>
  <c r="N37" i="10" s="1"/>
  <c r="O37" i="10" s="1"/>
  <c r="P37" i="10" s="1"/>
  <c r="Q37" i="10" s="1"/>
  <c r="R37" i="10" s="1"/>
  <c r="S37" i="10" s="1"/>
  <c r="K73" i="10"/>
  <c r="L73" i="10" s="1"/>
  <c r="J31" i="11"/>
  <c r="J20" i="12" s="1"/>
  <c r="K20" i="10"/>
  <c r="J20" i="11"/>
  <c r="K40" i="10"/>
  <c r="K31" i="10"/>
  <c r="L31" i="10" s="1"/>
  <c r="M31" i="10" s="1"/>
  <c r="N31" i="10" s="1"/>
  <c r="O31" i="10" s="1"/>
  <c r="P31" i="10" s="1"/>
  <c r="Q31" i="10" s="1"/>
  <c r="R31" i="10" s="1"/>
  <c r="S31" i="10" s="1"/>
  <c r="J28" i="10"/>
  <c r="K79" i="10"/>
  <c r="J68" i="11"/>
  <c r="L71" i="10"/>
  <c r="K61" i="11"/>
  <c r="L58" i="10"/>
  <c r="K52" i="11"/>
  <c r="K42" i="10"/>
  <c r="J35" i="11"/>
  <c r="J23" i="11"/>
  <c r="M64" i="11"/>
  <c r="J56" i="10"/>
  <c r="K46" i="10"/>
  <c r="K44" i="10"/>
  <c r="K61" i="10"/>
  <c r="L61" i="10" s="1"/>
  <c r="M61" i="10" s="1"/>
  <c r="N61" i="10" s="1"/>
  <c r="O61" i="10" s="1"/>
  <c r="P61" i="10" s="1"/>
  <c r="Q61" i="10" s="1"/>
  <c r="R61" i="10" s="1"/>
  <c r="S61" i="10" s="1"/>
  <c r="K23" i="10"/>
  <c r="L23" i="10" s="1"/>
  <c r="M23" i="10" s="1"/>
  <c r="N23" i="10" s="1"/>
  <c r="O23" i="10" s="1"/>
  <c r="P23" i="10" s="1"/>
  <c r="Q23" i="10" s="1"/>
  <c r="R23" i="10" s="1"/>
  <c r="S23" i="10" s="1"/>
  <c r="K64" i="10"/>
  <c r="K38" i="10"/>
  <c r="K75" i="10"/>
  <c r="K30" i="10"/>
  <c r="J16" i="12" l="1"/>
  <c r="J67" i="11"/>
  <c r="K77" i="10"/>
  <c r="K54" i="10"/>
  <c r="K24" i="10"/>
  <c r="K26" i="10"/>
  <c r="L26" i="10" s="1"/>
  <c r="K62" i="10"/>
  <c r="L62" i="10" s="1"/>
  <c r="K65" i="11"/>
  <c r="K36" i="10"/>
  <c r="L24" i="10"/>
  <c r="K22" i="11"/>
  <c r="M58" i="10"/>
  <c r="L52" i="11"/>
  <c r="L75" i="10"/>
  <c r="K66" i="11"/>
  <c r="K56" i="10"/>
  <c r="J51" i="11"/>
  <c r="J26" i="12" s="1"/>
  <c r="J24" i="11"/>
  <c r="J27" i="11" s="1"/>
  <c r="J35" i="12" s="1"/>
  <c r="K28" i="10"/>
  <c r="L30" i="10"/>
  <c r="K25" i="11"/>
  <c r="L38" i="10"/>
  <c r="K32" i="11"/>
  <c r="L44" i="10"/>
  <c r="K36" i="11"/>
  <c r="L42" i="10"/>
  <c r="K35" i="11"/>
  <c r="L79" i="10"/>
  <c r="K68" i="11"/>
  <c r="L20" i="10"/>
  <c r="K20" i="11"/>
  <c r="K60" i="10"/>
  <c r="L64" i="10"/>
  <c r="K55" i="11"/>
  <c r="L40" i="10"/>
  <c r="K34" i="11"/>
  <c r="M73" i="10"/>
  <c r="L65" i="11"/>
  <c r="K23" i="11"/>
  <c r="M71" i="10"/>
  <c r="L61" i="11"/>
  <c r="L46" i="10"/>
  <c r="K37" i="11"/>
  <c r="E32" i="15"/>
  <c r="L36" i="10"/>
  <c r="K31" i="11"/>
  <c r="K20" i="12" s="1"/>
  <c r="N64" i="11"/>
  <c r="K22" i="10"/>
  <c r="L77" i="10" l="1"/>
  <c r="K67" i="11"/>
  <c r="K16" i="12" s="1"/>
  <c r="K54" i="11"/>
  <c r="L54" i="10"/>
  <c r="K50" i="11"/>
  <c r="M79" i="10"/>
  <c r="L68" i="11"/>
  <c r="M42" i="10"/>
  <c r="L35" i="11"/>
  <c r="M38" i="10"/>
  <c r="L32" i="11"/>
  <c r="M75" i="10"/>
  <c r="L66" i="11"/>
  <c r="N58" i="10"/>
  <c r="M52" i="11"/>
  <c r="M36" i="10"/>
  <c r="L31" i="11"/>
  <c r="L20" i="12" s="1"/>
  <c r="M46" i="10"/>
  <c r="L37" i="11"/>
  <c r="M26" i="10"/>
  <c r="L23" i="11"/>
  <c r="M40" i="10"/>
  <c r="L34" i="11"/>
  <c r="M20" i="10"/>
  <c r="L20" i="11"/>
  <c r="L22" i="10"/>
  <c r="K21" i="11"/>
  <c r="M64" i="10"/>
  <c r="L55" i="11"/>
  <c r="M44" i="10"/>
  <c r="L36" i="11"/>
  <c r="M30" i="10"/>
  <c r="L25" i="11"/>
  <c r="L56" i="10"/>
  <c r="K51" i="11"/>
  <c r="M24" i="10"/>
  <c r="L22" i="11"/>
  <c r="M62" i="10"/>
  <c r="L54" i="11"/>
  <c r="E51" i="15"/>
  <c r="E33" i="15"/>
  <c r="F27" i="15" s="1"/>
  <c r="N71" i="10"/>
  <c r="M61" i="11"/>
  <c r="N73" i="10"/>
  <c r="M65" i="11"/>
  <c r="L60" i="10"/>
  <c r="K53" i="11"/>
  <c r="L28" i="10"/>
  <c r="K24" i="11"/>
  <c r="O64" i="11"/>
  <c r="M77" i="10" l="1"/>
  <c r="L67" i="11"/>
  <c r="K26" i="12"/>
  <c r="M54" i="10"/>
  <c r="L50" i="11"/>
  <c r="K27" i="11"/>
  <c r="K35" i="12" s="1"/>
  <c r="L16" i="12"/>
  <c r="M22" i="10"/>
  <c r="L21" i="11"/>
  <c r="M28" i="10"/>
  <c r="L24" i="11"/>
  <c r="O73" i="10"/>
  <c r="N65" i="11"/>
  <c r="N24" i="10"/>
  <c r="M22" i="11"/>
  <c r="M56" i="10"/>
  <c r="L51" i="11"/>
  <c r="N44" i="10"/>
  <c r="M36" i="11"/>
  <c r="N64" i="10"/>
  <c r="M55" i="11"/>
  <c r="N40" i="10"/>
  <c r="M34" i="11"/>
  <c r="N46" i="10"/>
  <c r="M37" i="11"/>
  <c r="O58" i="10"/>
  <c r="N52" i="11"/>
  <c r="N38" i="10"/>
  <c r="M32" i="11"/>
  <c r="N79" i="10"/>
  <c r="M68" i="11"/>
  <c r="G27" i="15"/>
  <c r="F28" i="15"/>
  <c r="G28" i="15" s="1"/>
  <c r="G29" i="15" s="1"/>
  <c r="M60" i="10"/>
  <c r="L53" i="11"/>
  <c r="O71" i="10"/>
  <c r="N61" i="11"/>
  <c r="N62" i="10"/>
  <c r="M54" i="11"/>
  <c r="N30" i="10"/>
  <c r="M25" i="11"/>
  <c r="N20" i="10"/>
  <c r="M20" i="11"/>
  <c r="N26" i="10"/>
  <c r="M23" i="11"/>
  <c r="N36" i="10"/>
  <c r="M31" i="11"/>
  <c r="M20" i="12" s="1"/>
  <c r="N75" i="10"/>
  <c r="M66" i="11"/>
  <c r="N42" i="10"/>
  <c r="M35" i="11"/>
  <c r="P64" i="11"/>
  <c r="N77" i="10" l="1"/>
  <c r="M67" i="11"/>
  <c r="M16" i="12" s="1"/>
  <c r="N54" i="10"/>
  <c r="M50" i="11"/>
  <c r="L27" i="11"/>
  <c r="L35" i="12" s="1"/>
  <c r="O42" i="10"/>
  <c r="N35" i="11"/>
  <c r="O20" i="10"/>
  <c r="N20" i="11"/>
  <c r="O62" i="10"/>
  <c r="N54" i="11"/>
  <c r="N60" i="10"/>
  <c r="M53" i="11"/>
  <c r="O79" i="10"/>
  <c r="N68" i="11"/>
  <c r="P58" i="10"/>
  <c r="O52" i="11"/>
  <c r="O40" i="10"/>
  <c r="N34" i="11"/>
  <c r="O44" i="10"/>
  <c r="N36" i="11"/>
  <c r="O24" i="10"/>
  <c r="N22" i="11"/>
  <c r="N28" i="10"/>
  <c r="M24" i="11"/>
  <c r="O30" i="10"/>
  <c r="N25" i="11"/>
  <c r="L26" i="12"/>
  <c r="O36" i="10"/>
  <c r="N31" i="11"/>
  <c r="N20" i="12" s="1"/>
  <c r="O75" i="10"/>
  <c r="N66" i="11"/>
  <c r="O26" i="10"/>
  <c r="N23" i="11"/>
  <c r="P71" i="10"/>
  <c r="O61" i="11"/>
  <c r="O38" i="10"/>
  <c r="N32" i="11"/>
  <c r="O46" i="10"/>
  <c r="N37" i="11"/>
  <c r="O64" i="10"/>
  <c r="N55" i="11"/>
  <c r="N56" i="10"/>
  <c r="M51" i="11"/>
  <c r="M26" i="12" s="1"/>
  <c r="P73" i="10"/>
  <c r="O65" i="11"/>
  <c r="N22" i="10"/>
  <c r="M21" i="11"/>
  <c r="Q64" i="11"/>
  <c r="O77" i="10" l="1"/>
  <c r="N67" i="11"/>
  <c r="N16" i="12"/>
  <c r="O54" i="10"/>
  <c r="N50" i="11"/>
  <c r="M27" i="11"/>
  <c r="M35" i="12" s="1"/>
  <c r="Q73" i="10"/>
  <c r="P65" i="11"/>
  <c r="Q58" i="10"/>
  <c r="P52" i="11"/>
  <c r="P20" i="10"/>
  <c r="O20" i="11"/>
  <c r="P64" i="10"/>
  <c r="O55" i="11"/>
  <c r="P44" i="10"/>
  <c r="O36" i="11"/>
  <c r="O60" i="10"/>
  <c r="N53" i="11"/>
  <c r="O22" i="10"/>
  <c r="N21" i="11"/>
  <c r="O56" i="10"/>
  <c r="N51" i="11"/>
  <c r="N26" i="12" s="1"/>
  <c r="P46" i="10"/>
  <c r="O37" i="11"/>
  <c r="Q71" i="10"/>
  <c r="P61" i="11"/>
  <c r="P75" i="10"/>
  <c r="O66" i="11"/>
  <c r="P36" i="10"/>
  <c r="O31" i="11"/>
  <c r="O20" i="12" s="1"/>
  <c r="P30" i="10"/>
  <c r="O25" i="11"/>
  <c r="P24" i="10"/>
  <c r="O22" i="11"/>
  <c r="P40" i="10"/>
  <c r="O34" i="11"/>
  <c r="P79" i="10"/>
  <c r="O68" i="11"/>
  <c r="P62" i="10"/>
  <c r="O54" i="11"/>
  <c r="P42" i="10"/>
  <c r="O35" i="11"/>
  <c r="P38" i="10"/>
  <c r="O32" i="11"/>
  <c r="P26" i="10"/>
  <c r="O23" i="11"/>
  <c r="O28" i="10"/>
  <c r="N24" i="11"/>
  <c r="R64" i="11"/>
  <c r="O67" i="11" l="1"/>
  <c r="P77" i="10"/>
  <c r="P54" i="10"/>
  <c r="O50" i="11"/>
  <c r="N27" i="11"/>
  <c r="N35" i="12" s="1"/>
  <c r="O16" i="12"/>
  <c r="Q26" i="10"/>
  <c r="P23" i="11"/>
  <c r="Q42" i="10"/>
  <c r="P35" i="11"/>
  <c r="Q79" i="10"/>
  <c r="P68" i="11"/>
  <c r="Q24" i="10"/>
  <c r="P22" i="11"/>
  <c r="Q36" i="10"/>
  <c r="P31" i="11"/>
  <c r="P20" i="12" s="1"/>
  <c r="Q46" i="10"/>
  <c r="P37" i="11"/>
  <c r="P22" i="10"/>
  <c r="O21" i="11"/>
  <c r="Q44" i="10"/>
  <c r="P36" i="11"/>
  <c r="Q64" i="10"/>
  <c r="P55" i="11"/>
  <c r="R58" i="10"/>
  <c r="Q52" i="11"/>
  <c r="P28" i="10"/>
  <c r="O24" i="11"/>
  <c r="O27" i="11" s="1"/>
  <c r="O35" i="12" s="1"/>
  <c r="Q38" i="10"/>
  <c r="P32" i="11"/>
  <c r="Q62" i="10"/>
  <c r="P54" i="11"/>
  <c r="Q40" i="10"/>
  <c r="P34" i="11"/>
  <c r="Q30" i="10"/>
  <c r="P25" i="11"/>
  <c r="Q75" i="10"/>
  <c r="P66" i="11"/>
  <c r="R71" i="10"/>
  <c r="Q61" i="11"/>
  <c r="P56" i="10"/>
  <c r="O51" i="11"/>
  <c r="P60" i="10"/>
  <c r="O53" i="11"/>
  <c r="Q20" i="10"/>
  <c r="P20" i="11"/>
  <c r="R73" i="10"/>
  <c r="Q65" i="11"/>
  <c r="S64" i="11"/>
  <c r="P16" i="12" l="1"/>
  <c r="Q77" i="10"/>
  <c r="P67" i="11"/>
  <c r="P50" i="11"/>
  <c r="Q54" i="10"/>
  <c r="S73" i="10"/>
  <c r="S65" i="11" s="1"/>
  <c r="R65" i="11"/>
  <c r="R64" i="10"/>
  <c r="Q55" i="11"/>
  <c r="R42" i="10"/>
  <c r="Q35" i="11"/>
  <c r="Q60" i="10"/>
  <c r="P53" i="11"/>
  <c r="R30" i="10"/>
  <c r="Q25" i="11"/>
  <c r="R62" i="10"/>
  <c r="Q54" i="11"/>
  <c r="Q28" i="10"/>
  <c r="P24" i="11"/>
  <c r="Q22" i="10"/>
  <c r="P21" i="11"/>
  <c r="R24" i="10"/>
  <c r="Q22" i="11"/>
  <c r="R20" i="10"/>
  <c r="Q20" i="11"/>
  <c r="S71" i="10"/>
  <c r="S61" i="11" s="1"/>
  <c r="R61" i="11"/>
  <c r="O26" i="12"/>
  <c r="S58" i="10"/>
  <c r="S52" i="11" s="1"/>
  <c r="R52" i="11"/>
  <c r="R44" i="10"/>
  <c r="Q36" i="11"/>
  <c r="R46" i="10"/>
  <c r="Q37" i="11"/>
  <c r="R36" i="10"/>
  <c r="Q31" i="11"/>
  <c r="Q20" i="12" s="1"/>
  <c r="R79" i="10"/>
  <c r="Q68" i="11"/>
  <c r="R26" i="10"/>
  <c r="Q23" i="11"/>
  <c r="Q56" i="10"/>
  <c r="P51" i="11"/>
  <c r="R75" i="10"/>
  <c r="Q66" i="11"/>
  <c r="R40" i="10"/>
  <c r="Q34" i="11"/>
  <c r="R38" i="10"/>
  <c r="Q32" i="11"/>
  <c r="I14" i="10"/>
  <c r="J14" i="10" s="1"/>
  <c r="K14" i="10" s="1"/>
  <c r="L14" i="10" s="1"/>
  <c r="M14" i="10" s="1"/>
  <c r="N14" i="10" s="1"/>
  <c r="O14" i="10" s="1"/>
  <c r="P14" i="10" s="1"/>
  <c r="Q14" i="10" s="1"/>
  <c r="R14" i="10" s="1"/>
  <c r="S14" i="10" s="1"/>
  <c r="H14" i="10"/>
  <c r="G14" i="10"/>
  <c r="F14" i="10"/>
  <c r="I13" i="10"/>
  <c r="J13" i="10" s="1"/>
  <c r="K13" i="10" s="1"/>
  <c r="L13" i="10" s="1"/>
  <c r="M13" i="10" s="1"/>
  <c r="N13" i="10" s="1"/>
  <c r="O13" i="10" s="1"/>
  <c r="P13" i="10" s="1"/>
  <c r="Q13" i="10" s="1"/>
  <c r="R13" i="10" s="1"/>
  <c r="S13" i="10" s="1"/>
  <c r="H13" i="10"/>
  <c r="G13" i="10"/>
  <c r="F13" i="10"/>
  <c r="I12" i="10"/>
  <c r="J12" i="10" s="1"/>
  <c r="K12" i="10" s="1"/>
  <c r="L12" i="10" s="1"/>
  <c r="M12" i="10" s="1"/>
  <c r="N12" i="10" s="1"/>
  <c r="O12" i="10" s="1"/>
  <c r="P12" i="10" s="1"/>
  <c r="Q12" i="10" s="1"/>
  <c r="R12" i="10" s="1"/>
  <c r="S12" i="10" s="1"/>
  <c r="H12" i="10"/>
  <c r="G12" i="10"/>
  <c r="F12" i="10"/>
  <c r="I11" i="10"/>
  <c r="H11" i="10"/>
  <c r="G11" i="10"/>
  <c r="F11" i="10"/>
  <c r="I10" i="10"/>
  <c r="H10" i="10"/>
  <c r="G10" i="10"/>
  <c r="G15" i="10" s="1"/>
  <c r="F10" i="10"/>
  <c r="E14" i="10"/>
  <c r="E13" i="10"/>
  <c r="E12" i="10"/>
  <c r="E11" i="10"/>
  <c r="E10" i="10"/>
  <c r="K306" i="8"/>
  <c r="J306" i="8"/>
  <c r="I306" i="8"/>
  <c r="H306" i="8"/>
  <c r="K303" i="8"/>
  <c r="J303" i="8"/>
  <c r="I303" i="8"/>
  <c r="I304" i="8" s="1"/>
  <c r="H303" i="8"/>
  <c r="K300" i="8"/>
  <c r="J300" i="8"/>
  <c r="I300" i="8"/>
  <c r="I301" i="8" s="1"/>
  <c r="H300" i="8"/>
  <c r="G306" i="8"/>
  <c r="G303" i="8"/>
  <c r="G300" i="8"/>
  <c r="F6" i="10"/>
  <c r="G6" i="10" s="1"/>
  <c r="H6" i="10" s="1"/>
  <c r="I6" i="10" s="1"/>
  <c r="J6" i="10" s="1"/>
  <c r="K6" i="10" s="1"/>
  <c r="L6" i="10" s="1"/>
  <c r="M6" i="10" s="1"/>
  <c r="N6" i="10" s="1"/>
  <c r="O6" i="10" s="1"/>
  <c r="P6" i="10" s="1"/>
  <c r="Q6" i="10" s="1"/>
  <c r="R6" i="10" s="1"/>
  <c r="S6" i="10" s="1"/>
  <c r="F4" i="10"/>
  <c r="G4" i="10" s="1"/>
  <c r="H4" i="10" s="1"/>
  <c r="I4" i="10" s="1"/>
  <c r="J4" i="10" s="1"/>
  <c r="K4" i="10" s="1"/>
  <c r="L4" i="10" s="1"/>
  <c r="M4" i="10" s="1"/>
  <c r="N4" i="10" s="1"/>
  <c r="O4" i="10" s="1"/>
  <c r="P4" i="10" s="1"/>
  <c r="Q4" i="10" s="1"/>
  <c r="R4" i="10" s="1"/>
  <c r="S4" i="10" s="1"/>
  <c r="R77" i="10" l="1"/>
  <c r="Q67" i="11"/>
  <c r="Q16" i="12" s="1"/>
  <c r="R54" i="10"/>
  <c r="Q50" i="11"/>
  <c r="P26" i="12"/>
  <c r="P27" i="11"/>
  <c r="P35" i="12" s="1"/>
  <c r="S24" i="10"/>
  <c r="S22" i="11" s="1"/>
  <c r="R22" i="11"/>
  <c r="R56" i="10"/>
  <c r="Q51" i="11"/>
  <c r="S26" i="10"/>
  <c r="S23" i="11" s="1"/>
  <c r="R23" i="11"/>
  <c r="S44" i="10"/>
  <c r="S36" i="11" s="1"/>
  <c r="R36" i="11"/>
  <c r="R28" i="10"/>
  <c r="Q24" i="11"/>
  <c r="S30" i="10"/>
  <c r="S25" i="11" s="1"/>
  <c r="R25" i="11"/>
  <c r="S42" i="10"/>
  <c r="S35" i="11" s="1"/>
  <c r="R35" i="11"/>
  <c r="S64" i="10"/>
  <c r="S55" i="11" s="1"/>
  <c r="R55" i="11"/>
  <c r="S20" i="10"/>
  <c r="S20" i="11" s="1"/>
  <c r="R20" i="11"/>
  <c r="R22" i="10"/>
  <c r="Q21" i="11"/>
  <c r="S40" i="10"/>
  <c r="S34" i="11" s="1"/>
  <c r="R34" i="11"/>
  <c r="S36" i="10"/>
  <c r="S31" i="11" s="1"/>
  <c r="R31" i="11"/>
  <c r="R20" i="12" s="1"/>
  <c r="S38" i="10"/>
  <c r="S32" i="11" s="1"/>
  <c r="R32" i="11"/>
  <c r="S75" i="10"/>
  <c r="S66" i="11" s="1"/>
  <c r="R66" i="11"/>
  <c r="S79" i="10"/>
  <c r="S68" i="11" s="1"/>
  <c r="R68" i="11"/>
  <c r="S46" i="10"/>
  <c r="S37" i="11" s="1"/>
  <c r="R37" i="11"/>
  <c r="S62" i="10"/>
  <c r="S54" i="11" s="1"/>
  <c r="R54" i="11"/>
  <c r="R60" i="10"/>
  <c r="Q53" i="11"/>
  <c r="I307" i="8"/>
  <c r="J304" i="8"/>
  <c r="J307" i="8"/>
  <c r="K301" i="8"/>
  <c r="L301" i="8" s="1"/>
  <c r="M301" i="8" s="1"/>
  <c r="N301" i="8" s="1"/>
  <c r="O301" i="8" s="1"/>
  <c r="P301" i="8" s="1"/>
  <c r="Q301" i="8" s="1"/>
  <c r="R301" i="8" s="1"/>
  <c r="S301" i="8" s="1"/>
  <c r="T301" i="8" s="1"/>
  <c r="U301" i="8" s="1"/>
  <c r="L300" i="8"/>
  <c r="M300" i="8" s="1"/>
  <c r="N300" i="8" s="1"/>
  <c r="O300" i="8" s="1"/>
  <c r="P300" i="8" s="1"/>
  <c r="Q300" i="8" s="1"/>
  <c r="R300" i="8" s="1"/>
  <c r="S300" i="8" s="1"/>
  <c r="T300" i="8" s="1"/>
  <c r="U300" i="8" s="1"/>
  <c r="K304" i="8"/>
  <c r="L304" i="8" s="1"/>
  <c r="M304" i="8" s="1"/>
  <c r="N304" i="8" s="1"/>
  <c r="O304" i="8" s="1"/>
  <c r="P304" i="8" s="1"/>
  <c r="Q304" i="8" s="1"/>
  <c r="R304" i="8" s="1"/>
  <c r="S304" i="8" s="1"/>
  <c r="T304" i="8" s="1"/>
  <c r="U304" i="8" s="1"/>
  <c r="K307" i="8"/>
  <c r="L307" i="8" s="1"/>
  <c r="M307" i="8" s="1"/>
  <c r="N307" i="8" s="1"/>
  <c r="O307" i="8" s="1"/>
  <c r="P307" i="8" s="1"/>
  <c r="Q307" i="8" s="1"/>
  <c r="R307" i="8" s="1"/>
  <c r="S307" i="8" s="1"/>
  <c r="T307" i="8" s="1"/>
  <c r="U307" i="8" s="1"/>
  <c r="J301" i="8"/>
  <c r="H301" i="8"/>
  <c r="H304" i="8"/>
  <c r="H307" i="8"/>
  <c r="I15" i="10"/>
  <c r="F15" i="10"/>
  <c r="H15" i="10"/>
  <c r="E15" i="10"/>
  <c r="J10" i="10"/>
  <c r="S77" i="10" l="1"/>
  <c r="S67" i="11" s="1"/>
  <c r="R67" i="11"/>
  <c r="R50" i="11"/>
  <c r="S54" i="10"/>
  <c r="S50" i="11" s="1"/>
  <c r="S20" i="12"/>
  <c r="R16" i="12"/>
  <c r="Q27" i="11"/>
  <c r="Q35" i="12" s="1"/>
  <c r="Q26" i="12"/>
  <c r="S56" i="10"/>
  <c r="S51" i="11" s="1"/>
  <c r="R51" i="11"/>
  <c r="S22" i="10"/>
  <c r="S21" i="11" s="1"/>
  <c r="R21" i="11"/>
  <c r="S60" i="10"/>
  <c r="S53" i="11" s="1"/>
  <c r="R53" i="11"/>
  <c r="S16" i="12"/>
  <c r="S28" i="10"/>
  <c r="S24" i="11" s="1"/>
  <c r="R24" i="11"/>
  <c r="L306" i="8"/>
  <c r="L303" i="8"/>
  <c r="M303" i="8" s="1"/>
  <c r="N303" i="8" s="1"/>
  <c r="O303" i="8" s="1"/>
  <c r="P303" i="8" s="1"/>
  <c r="Q303" i="8" s="1"/>
  <c r="R303" i="8" s="1"/>
  <c r="S303" i="8" s="1"/>
  <c r="T303" i="8" s="1"/>
  <c r="U303" i="8" s="1"/>
  <c r="K10" i="10"/>
  <c r="R27" i="11" l="1"/>
  <c r="R35" i="12" s="1"/>
  <c r="S27" i="11"/>
  <c r="R26" i="12"/>
  <c r="S26" i="12"/>
  <c r="M306" i="8"/>
  <c r="L10" i="10"/>
  <c r="S35" i="12" l="1"/>
  <c r="N306" i="8"/>
  <c r="M10" i="10"/>
  <c r="O306" i="8" l="1"/>
  <c r="N10" i="10"/>
  <c r="P306" i="8" l="1"/>
  <c r="O10" i="10"/>
  <c r="Q306" i="8" l="1"/>
  <c r="P10" i="10"/>
  <c r="R306" i="8" l="1"/>
  <c r="Q10" i="10"/>
  <c r="S306" i="8" l="1"/>
  <c r="R10" i="10"/>
  <c r="T306" i="8" l="1"/>
  <c r="S10" i="10"/>
  <c r="U306" i="8" l="1"/>
  <c r="J16" i="9" l="1"/>
  <c r="I16" i="9"/>
  <c r="H16" i="9"/>
  <c r="G16" i="9"/>
  <c r="J9" i="9"/>
  <c r="I9" i="9"/>
  <c r="H9" i="9"/>
  <c r="G9" i="9"/>
  <c r="K47" i="6"/>
  <c r="J21" i="9" s="1"/>
  <c r="J47" i="6"/>
  <c r="I21" i="9" s="1"/>
  <c r="I47" i="6"/>
  <c r="H21" i="9" s="1"/>
  <c r="H47" i="6"/>
  <c r="G21" i="9" s="1"/>
  <c r="G47" i="6"/>
  <c r="F21" i="9" s="1"/>
  <c r="F9" i="9"/>
  <c r="G6" i="9"/>
  <c r="H6" i="9" s="1"/>
  <c r="I6" i="9" s="1"/>
  <c r="J6" i="9" s="1"/>
  <c r="K6" i="9" s="1"/>
  <c r="L6" i="9" s="1"/>
  <c r="M6" i="9" s="1"/>
  <c r="N6" i="9" s="1"/>
  <c r="O6" i="9" s="1"/>
  <c r="P6" i="9" s="1"/>
  <c r="Q6" i="9" s="1"/>
  <c r="R6" i="9" s="1"/>
  <c r="S6" i="9" s="1"/>
  <c r="T6" i="9" s="1"/>
  <c r="G4" i="9"/>
  <c r="H4" i="9" s="1"/>
  <c r="I4" i="9" s="1"/>
  <c r="J4" i="9" s="1"/>
  <c r="K4" i="9" s="1"/>
  <c r="L4" i="9" s="1"/>
  <c r="M4" i="9" s="1"/>
  <c r="N4" i="9" s="1"/>
  <c r="O4" i="9" s="1"/>
  <c r="P4" i="9" s="1"/>
  <c r="Q4" i="9" s="1"/>
  <c r="R4" i="9" s="1"/>
  <c r="S4" i="9" s="1"/>
  <c r="T4" i="9" s="1"/>
  <c r="N254" i="8" l="1"/>
  <c r="O254" i="8" s="1"/>
  <c r="P254" i="8" s="1"/>
  <c r="Q254" i="8" s="1"/>
  <c r="R254" i="8" s="1"/>
  <c r="S254" i="8" s="1"/>
  <c r="T254" i="8" s="1"/>
  <c r="U254" i="8" s="1"/>
  <c r="N253" i="8"/>
  <c r="O253" i="8" s="1"/>
  <c r="P253" i="8" s="1"/>
  <c r="Q253" i="8" s="1"/>
  <c r="R253" i="8" s="1"/>
  <c r="S253" i="8" s="1"/>
  <c r="T253" i="8" s="1"/>
  <c r="U253" i="8" s="1"/>
  <c r="M254" i="8"/>
  <c r="M253" i="8"/>
  <c r="L254" i="8"/>
  <c r="L253" i="8"/>
  <c r="N249" i="8"/>
  <c r="O249" i="8" s="1"/>
  <c r="P249" i="8" s="1"/>
  <c r="Q249" i="8" s="1"/>
  <c r="R249" i="8" s="1"/>
  <c r="S249" i="8" s="1"/>
  <c r="T249" i="8" s="1"/>
  <c r="U249" i="8" s="1"/>
  <c r="M249" i="8"/>
  <c r="L249" i="8"/>
  <c r="N248" i="8"/>
  <c r="O248" i="8" s="1"/>
  <c r="P248" i="8" s="1"/>
  <c r="Q248" i="8" s="1"/>
  <c r="R248" i="8" s="1"/>
  <c r="S248" i="8" s="1"/>
  <c r="T248" i="8" s="1"/>
  <c r="U248" i="8" s="1"/>
  <c r="N247" i="8"/>
  <c r="O247" i="8" s="1"/>
  <c r="P247" i="8" s="1"/>
  <c r="Q247" i="8" s="1"/>
  <c r="R247" i="8" s="1"/>
  <c r="S247" i="8" s="1"/>
  <c r="T247" i="8" s="1"/>
  <c r="U247" i="8" s="1"/>
  <c r="M248" i="8"/>
  <c r="M247" i="8"/>
  <c r="L247" i="8"/>
  <c r="N214" i="8"/>
  <c r="O214" i="8" s="1"/>
  <c r="P214" i="8" s="1"/>
  <c r="Q214" i="8" s="1"/>
  <c r="R214" i="8" s="1"/>
  <c r="S214" i="8" s="1"/>
  <c r="T214" i="8" s="1"/>
  <c r="U214" i="8" s="1"/>
  <c r="M214" i="8"/>
  <c r="L214" i="8"/>
  <c r="N208" i="8"/>
  <c r="O208" i="8" s="1"/>
  <c r="P208" i="8" s="1"/>
  <c r="Q208" i="8" s="1"/>
  <c r="R208" i="8" s="1"/>
  <c r="S208" i="8" s="1"/>
  <c r="T208" i="8" s="1"/>
  <c r="U208" i="8" s="1"/>
  <c r="M208" i="8"/>
  <c r="L208" i="8"/>
  <c r="K189" i="8"/>
  <c r="N161" i="8"/>
  <c r="O161" i="8" s="1"/>
  <c r="P161" i="8" s="1"/>
  <c r="Q161" i="8" s="1"/>
  <c r="R161" i="8" s="1"/>
  <c r="S161" i="8" s="1"/>
  <c r="T161" i="8" s="1"/>
  <c r="U161" i="8" s="1"/>
  <c r="M161" i="8"/>
  <c r="L161" i="8"/>
  <c r="J162" i="8"/>
  <c r="K162" i="8" s="1"/>
  <c r="I162" i="8"/>
  <c r="H162" i="8"/>
  <c r="N157" i="8"/>
  <c r="O157" i="8" s="1"/>
  <c r="P157" i="8" s="1"/>
  <c r="Q157" i="8" s="1"/>
  <c r="R157" i="8" s="1"/>
  <c r="S157" i="8" s="1"/>
  <c r="T157" i="8" s="1"/>
  <c r="U157" i="8" s="1"/>
  <c r="M157" i="8"/>
  <c r="J156" i="8"/>
  <c r="K156" i="8" s="1"/>
  <c r="L156" i="8" s="1"/>
  <c r="M156" i="8" s="1"/>
  <c r="N156" i="8" s="1"/>
  <c r="O156" i="8" s="1"/>
  <c r="P156" i="8" s="1"/>
  <c r="Q156" i="8" s="1"/>
  <c r="R156" i="8" s="1"/>
  <c r="S156" i="8" s="1"/>
  <c r="T156" i="8" s="1"/>
  <c r="U156" i="8" s="1"/>
  <c r="I156" i="8"/>
  <c r="H156" i="8"/>
  <c r="N121" i="8"/>
  <c r="O121" i="8" s="1"/>
  <c r="P121" i="8" s="1"/>
  <c r="Q121" i="8" s="1"/>
  <c r="R121" i="8" s="1"/>
  <c r="S121" i="8" s="1"/>
  <c r="T121" i="8" s="1"/>
  <c r="U121" i="8" s="1"/>
  <c r="N120" i="8"/>
  <c r="O120" i="8" s="1"/>
  <c r="P120" i="8" s="1"/>
  <c r="Q120" i="8" s="1"/>
  <c r="R120" i="8" s="1"/>
  <c r="S120" i="8" s="1"/>
  <c r="T120" i="8" s="1"/>
  <c r="U120" i="8" s="1"/>
  <c r="N116" i="8"/>
  <c r="O116" i="8" s="1"/>
  <c r="P116" i="8" s="1"/>
  <c r="Q116" i="8" s="1"/>
  <c r="R116" i="8" s="1"/>
  <c r="S116" i="8" s="1"/>
  <c r="T116" i="8" s="1"/>
  <c r="U116" i="8" s="1"/>
  <c r="N115" i="8"/>
  <c r="O115" i="8" s="1"/>
  <c r="P115" i="8" s="1"/>
  <c r="Q115" i="8" s="1"/>
  <c r="R115" i="8" s="1"/>
  <c r="S115" i="8" s="1"/>
  <c r="T115" i="8" s="1"/>
  <c r="U115" i="8" s="1"/>
  <c r="M121" i="8"/>
  <c r="M120" i="8"/>
  <c r="M116" i="8"/>
  <c r="M115" i="8"/>
  <c r="N148" i="8"/>
  <c r="O148" i="8" s="1"/>
  <c r="M148" i="8"/>
  <c r="L148" i="8"/>
  <c r="J149" i="8"/>
  <c r="K149" i="8" s="1"/>
  <c r="I149" i="8"/>
  <c r="N144" i="8"/>
  <c r="O144" i="8" s="1"/>
  <c r="M144" i="8"/>
  <c r="L144" i="8"/>
  <c r="J143" i="8"/>
  <c r="K143" i="8" s="1"/>
  <c r="L143" i="8" s="1"/>
  <c r="I143" i="8"/>
  <c r="L121" i="8"/>
  <c r="L120" i="8"/>
  <c r="L116" i="8"/>
  <c r="L115" i="8"/>
  <c r="N108" i="8"/>
  <c r="O108" i="8" s="1"/>
  <c r="P108" i="8" s="1"/>
  <c r="Q108" i="8" s="1"/>
  <c r="R108" i="8" s="1"/>
  <c r="S108" i="8" s="1"/>
  <c r="T108" i="8" s="1"/>
  <c r="U108" i="8" s="1"/>
  <c r="N107" i="8"/>
  <c r="O107" i="8" s="1"/>
  <c r="P107" i="8" s="1"/>
  <c r="Q107" i="8" s="1"/>
  <c r="R107" i="8" s="1"/>
  <c r="S107" i="8" s="1"/>
  <c r="T107" i="8" s="1"/>
  <c r="U107" i="8" s="1"/>
  <c r="N103" i="8"/>
  <c r="O103" i="8" s="1"/>
  <c r="P103" i="8" s="1"/>
  <c r="Q103" i="8" s="1"/>
  <c r="R103" i="8" s="1"/>
  <c r="S103" i="8" s="1"/>
  <c r="T103" i="8" s="1"/>
  <c r="U103" i="8" s="1"/>
  <c r="N102" i="8"/>
  <c r="O102" i="8" s="1"/>
  <c r="P102" i="8" s="1"/>
  <c r="Q102" i="8" s="1"/>
  <c r="R102" i="8" s="1"/>
  <c r="S102" i="8" s="1"/>
  <c r="T102" i="8" s="1"/>
  <c r="U102" i="8" s="1"/>
  <c r="M108" i="8"/>
  <c r="M107" i="8"/>
  <c r="M103" i="8"/>
  <c r="M102" i="8"/>
  <c r="L108" i="8"/>
  <c r="L107" i="8"/>
  <c r="L103" i="8"/>
  <c r="L102" i="8"/>
  <c r="N90" i="8"/>
  <c r="O90" i="8" s="1"/>
  <c r="P90" i="8" s="1"/>
  <c r="Q90" i="8" s="1"/>
  <c r="R90" i="8" s="1"/>
  <c r="S90" i="8" s="1"/>
  <c r="T90" i="8" s="1"/>
  <c r="U90" i="8" s="1"/>
  <c r="N89" i="8"/>
  <c r="O89" i="8" s="1"/>
  <c r="P89" i="8" s="1"/>
  <c r="Q89" i="8" s="1"/>
  <c r="R89" i="8" s="1"/>
  <c r="S89" i="8" s="1"/>
  <c r="T89" i="8" s="1"/>
  <c r="U89" i="8" s="1"/>
  <c r="N95" i="8"/>
  <c r="O95" i="8" s="1"/>
  <c r="P95" i="8" s="1"/>
  <c r="Q95" i="8" s="1"/>
  <c r="R95" i="8" s="1"/>
  <c r="S95" i="8" s="1"/>
  <c r="T95" i="8" s="1"/>
  <c r="U95" i="8" s="1"/>
  <c r="N94" i="8"/>
  <c r="O94" i="8" s="1"/>
  <c r="P94" i="8" s="1"/>
  <c r="Q94" i="8" s="1"/>
  <c r="R94" i="8" s="1"/>
  <c r="S94" i="8" s="1"/>
  <c r="T94" i="8" s="1"/>
  <c r="U94" i="8" s="1"/>
  <c r="M95" i="8"/>
  <c r="M94" i="8"/>
  <c r="M90" i="8"/>
  <c r="M89" i="8"/>
  <c r="L95" i="8"/>
  <c r="L134" i="8" s="1"/>
  <c r="L94" i="8"/>
  <c r="L90" i="8"/>
  <c r="L89" i="8"/>
  <c r="N82" i="8"/>
  <c r="O82" i="8" s="1"/>
  <c r="P82" i="8" s="1"/>
  <c r="Q82" i="8" s="1"/>
  <c r="R82" i="8" s="1"/>
  <c r="S82" i="8" s="1"/>
  <c r="T82" i="8" s="1"/>
  <c r="U82" i="8" s="1"/>
  <c r="M82" i="8"/>
  <c r="H82" i="8"/>
  <c r="I82" i="8" s="1"/>
  <c r="J82" i="8" s="1"/>
  <c r="J81" i="8"/>
  <c r="I81" i="8"/>
  <c r="H81" i="8"/>
  <c r="N77" i="8"/>
  <c r="O77" i="8" s="1"/>
  <c r="P77" i="8" s="1"/>
  <c r="Q77" i="8" s="1"/>
  <c r="R77" i="8" s="1"/>
  <c r="S77" i="8" s="1"/>
  <c r="T77" i="8" s="1"/>
  <c r="U77" i="8" s="1"/>
  <c r="M77" i="8"/>
  <c r="N76" i="8"/>
  <c r="O76" i="8" s="1"/>
  <c r="P76" i="8" s="1"/>
  <c r="Q76" i="8" s="1"/>
  <c r="R76" i="8" s="1"/>
  <c r="S76" i="8" s="1"/>
  <c r="T76" i="8" s="1"/>
  <c r="U76" i="8" s="1"/>
  <c r="M76" i="8"/>
  <c r="L76" i="8"/>
  <c r="I77" i="8"/>
  <c r="J77" i="8" s="1"/>
  <c r="I76" i="8"/>
  <c r="J76" i="8" s="1"/>
  <c r="H77" i="8"/>
  <c r="H76" i="8"/>
  <c r="N64" i="8"/>
  <c r="O64" i="8" s="1"/>
  <c r="P64" i="8" s="1"/>
  <c r="Q64" i="8" s="1"/>
  <c r="R64" i="8" s="1"/>
  <c r="S64" i="8" s="1"/>
  <c r="T64" i="8" s="1"/>
  <c r="U64" i="8" s="1"/>
  <c r="N63" i="8"/>
  <c r="O63" i="8" s="1"/>
  <c r="P63" i="8" s="1"/>
  <c r="Q63" i="8" s="1"/>
  <c r="R63" i="8" s="1"/>
  <c r="S63" i="8" s="1"/>
  <c r="T63" i="8" s="1"/>
  <c r="U63" i="8" s="1"/>
  <c r="N69" i="8"/>
  <c r="O69" i="8" s="1"/>
  <c r="P69" i="8" s="1"/>
  <c r="Q69" i="8" s="1"/>
  <c r="R69" i="8" s="1"/>
  <c r="S69" i="8" s="1"/>
  <c r="T69" i="8" s="1"/>
  <c r="U69" i="8" s="1"/>
  <c r="N68" i="8"/>
  <c r="O68" i="8" s="1"/>
  <c r="P68" i="8" s="1"/>
  <c r="Q68" i="8" s="1"/>
  <c r="R68" i="8" s="1"/>
  <c r="S68" i="8" s="1"/>
  <c r="T68" i="8" s="1"/>
  <c r="U68" i="8" s="1"/>
  <c r="M69" i="8"/>
  <c r="M68" i="8"/>
  <c r="M64" i="8"/>
  <c r="M63" i="8"/>
  <c r="L69" i="8"/>
  <c r="L68" i="8"/>
  <c r="L64" i="8"/>
  <c r="L63" i="8"/>
  <c r="N56" i="8"/>
  <c r="O56" i="8" s="1"/>
  <c r="P56" i="8" s="1"/>
  <c r="Q56" i="8" s="1"/>
  <c r="R56" i="8" s="1"/>
  <c r="S56" i="8" s="1"/>
  <c r="T56" i="8" s="1"/>
  <c r="U56" i="8" s="1"/>
  <c r="N55" i="8"/>
  <c r="O55" i="8" s="1"/>
  <c r="P55" i="8" s="1"/>
  <c r="Q55" i="8" s="1"/>
  <c r="R55" i="8" s="1"/>
  <c r="S55" i="8" s="1"/>
  <c r="T55" i="8" s="1"/>
  <c r="U55" i="8" s="1"/>
  <c r="M56" i="8"/>
  <c r="M55" i="8"/>
  <c r="L55" i="8"/>
  <c r="N51" i="8"/>
  <c r="O51" i="8" s="1"/>
  <c r="P51" i="8" s="1"/>
  <c r="Q51" i="8" s="1"/>
  <c r="R51" i="8" s="1"/>
  <c r="S51" i="8" s="1"/>
  <c r="T51" i="8" s="1"/>
  <c r="U51" i="8" s="1"/>
  <c r="N50" i="8"/>
  <c r="O50" i="8" s="1"/>
  <c r="P50" i="8" s="1"/>
  <c r="Q50" i="8" s="1"/>
  <c r="R50" i="8" s="1"/>
  <c r="S50" i="8" s="1"/>
  <c r="T50" i="8" s="1"/>
  <c r="U50" i="8" s="1"/>
  <c r="M51" i="8"/>
  <c r="M50" i="8"/>
  <c r="L51" i="8"/>
  <c r="N43" i="8"/>
  <c r="O43" i="8" s="1"/>
  <c r="P43" i="8" s="1"/>
  <c r="Q43" i="8" s="1"/>
  <c r="R43" i="8" s="1"/>
  <c r="S43" i="8" s="1"/>
  <c r="T43" i="8" s="1"/>
  <c r="U43" i="8" s="1"/>
  <c r="N42" i="8"/>
  <c r="M43" i="8"/>
  <c r="M42" i="8"/>
  <c r="L43" i="8"/>
  <c r="M40" i="8" s="1"/>
  <c r="L42" i="8"/>
  <c r="N38" i="8"/>
  <c r="O38" i="8" s="1"/>
  <c r="P38" i="8" s="1"/>
  <c r="Q38" i="8" s="1"/>
  <c r="R38" i="8" s="1"/>
  <c r="S38" i="8" s="1"/>
  <c r="T38" i="8" s="1"/>
  <c r="U38" i="8" s="1"/>
  <c r="N37" i="8"/>
  <c r="O37" i="8" s="1"/>
  <c r="P37" i="8" s="1"/>
  <c r="Q37" i="8" s="1"/>
  <c r="R37" i="8" s="1"/>
  <c r="S37" i="8" s="1"/>
  <c r="T37" i="8" s="1"/>
  <c r="U37" i="8" s="1"/>
  <c r="M38" i="8"/>
  <c r="M37" i="8"/>
  <c r="L38" i="8"/>
  <c r="L37" i="8"/>
  <c r="N30" i="8"/>
  <c r="N29" i="8"/>
  <c r="O29" i="8" s="1"/>
  <c r="M30" i="8"/>
  <c r="M29" i="8"/>
  <c r="L29" i="8"/>
  <c r="N25" i="8"/>
  <c r="O25" i="8" s="1"/>
  <c r="P25" i="8" s="1"/>
  <c r="Q25" i="8" s="1"/>
  <c r="R25" i="8" s="1"/>
  <c r="S25" i="8" s="1"/>
  <c r="T25" i="8" s="1"/>
  <c r="U25" i="8" s="1"/>
  <c r="N24" i="8"/>
  <c r="O24" i="8" s="1"/>
  <c r="P24" i="8" s="1"/>
  <c r="Q24" i="8" s="1"/>
  <c r="R24" i="8" s="1"/>
  <c r="S24" i="8" s="1"/>
  <c r="T24" i="8" s="1"/>
  <c r="U24" i="8" s="1"/>
  <c r="M25" i="8"/>
  <c r="M24" i="8"/>
  <c r="L25" i="8"/>
  <c r="N13" i="8"/>
  <c r="N12" i="8"/>
  <c r="O12" i="8" s="1"/>
  <c r="M13" i="8"/>
  <c r="M12" i="8"/>
  <c r="L13" i="8"/>
  <c r="M66" i="8"/>
  <c r="M105" i="8"/>
  <c r="M118" i="8"/>
  <c r="M224" i="8"/>
  <c r="L251" i="8"/>
  <c r="J252" i="8"/>
  <c r="J284" i="8"/>
  <c r="L224" i="8"/>
  <c r="L211" i="8"/>
  <c r="L198" i="8"/>
  <c r="L185" i="8"/>
  <c r="L118" i="8"/>
  <c r="L105" i="8"/>
  <c r="L92" i="8"/>
  <c r="L79" i="8"/>
  <c r="L66" i="8"/>
  <c r="L53" i="8"/>
  <c r="L40" i="8"/>
  <c r="M27" i="8"/>
  <c r="L27" i="8"/>
  <c r="L12" i="8"/>
  <c r="K294" i="8"/>
  <c r="I294" i="8"/>
  <c r="H294" i="8"/>
  <c r="K285" i="8"/>
  <c r="J285" i="8"/>
  <c r="I285" i="8"/>
  <c r="H285" i="8"/>
  <c r="K284" i="8"/>
  <c r="I284" i="8"/>
  <c r="H284" i="8"/>
  <c r="G285" i="8"/>
  <c r="G284" i="8"/>
  <c r="G280" i="8"/>
  <c r="G279" i="8"/>
  <c r="U276" i="8"/>
  <c r="T276" i="8"/>
  <c r="S276" i="8"/>
  <c r="R276" i="8"/>
  <c r="Q276" i="8"/>
  <c r="P276" i="8"/>
  <c r="O276" i="8"/>
  <c r="N276" i="8"/>
  <c r="M276" i="8"/>
  <c r="K277" i="8"/>
  <c r="I277" i="8"/>
  <c r="H277" i="8"/>
  <c r="L276" i="8"/>
  <c r="K270" i="8"/>
  <c r="J270" i="8"/>
  <c r="I270" i="8"/>
  <c r="H270" i="8"/>
  <c r="G270" i="8"/>
  <c r="N268" i="8"/>
  <c r="O268" i="8" s="1"/>
  <c r="P268" i="8" s="1"/>
  <c r="Q268" i="8" s="1"/>
  <c r="R268" i="8" s="1"/>
  <c r="S268" i="8" s="1"/>
  <c r="T268" i="8" s="1"/>
  <c r="U268" i="8" s="1"/>
  <c r="N267" i="8"/>
  <c r="O267" i="8" s="1"/>
  <c r="P267" i="8" s="1"/>
  <c r="Q267" i="8" s="1"/>
  <c r="R267" i="8" s="1"/>
  <c r="S267" i="8" s="1"/>
  <c r="T267" i="8" s="1"/>
  <c r="U267" i="8" s="1"/>
  <c r="M268" i="8"/>
  <c r="M267" i="8"/>
  <c r="L268" i="8"/>
  <c r="L267" i="8"/>
  <c r="N261" i="8"/>
  <c r="O261" i="8" s="1"/>
  <c r="P261" i="8" s="1"/>
  <c r="Q261" i="8" s="1"/>
  <c r="R261" i="8" s="1"/>
  <c r="S261" i="8" s="1"/>
  <c r="T261" i="8" s="1"/>
  <c r="U261" i="8" s="1"/>
  <c r="M261" i="8"/>
  <c r="L261" i="8"/>
  <c r="M239" i="8"/>
  <c r="L239" i="8"/>
  <c r="M235" i="8"/>
  <c r="L235" i="8"/>
  <c r="L219" i="8"/>
  <c r="M134" i="8"/>
  <c r="M133" i="8"/>
  <c r="L133" i="8"/>
  <c r="L131" i="8"/>
  <c r="M129" i="8"/>
  <c r="M128" i="8"/>
  <c r="L100" i="8"/>
  <c r="L48" i="8"/>
  <c r="L35" i="8"/>
  <c r="L41" i="8"/>
  <c r="H296" i="8"/>
  <c r="L10" i="8"/>
  <c r="K267" i="8"/>
  <c r="K276" i="8" s="1"/>
  <c r="K252" i="8"/>
  <c r="K274" i="8" s="1"/>
  <c r="J267" i="8"/>
  <c r="I267" i="8"/>
  <c r="I276" i="8" s="1"/>
  <c r="H267" i="8"/>
  <c r="H276" i="8"/>
  <c r="G267" i="8"/>
  <c r="G276" i="8"/>
  <c r="I252" i="8"/>
  <c r="J276" i="8"/>
  <c r="H275" i="8"/>
  <c r="J274" i="8"/>
  <c r="J277" i="8" s="1"/>
  <c r="J294" i="8" s="1"/>
  <c r="I274" i="8"/>
  <c r="H274" i="8"/>
  <c r="K273" i="8"/>
  <c r="J273" i="8"/>
  <c r="I273" i="8"/>
  <c r="H273" i="8"/>
  <c r="G275" i="8"/>
  <c r="G274" i="8"/>
  <c r="G277" i="8" s="1"/>
  <c r="G294" i="8" s="1"/>
  <c r="G273" i="8"/>
  <c r="H252" i="8"/>
  <c r="D294" i="8"/>
  <c r="F16" i="9" l="1"/>
  <c r="G296" i="8"/>
  <c r="L162" i="8"/>
  <c r="M162" i="8" s="1"/>
  <c r="N162" i="8" s="1"/>
  <c r="O162" i="8" s="1"/>
  <c r="P162" i="8" s="1"/>
  <c r="Q162" i="8" s="1"/>
  <c r="R162" i="8" s="1"/>
  <c r="S162" i="8" s="1"/>
  <c r="T162" i="8" s="1"/>
  <c r="U162" i="8" s="1"/>
  <c r="L159" i="8"/>
  <c r="N235" i="8"/>
  <c r="M282" i="8"/>
  <c r="P148" i="8"/>
  <c r="O239" i="8"/>
  <c r="N239" i="8"/>
  <c r="M286" i="8"/>
  <c r="L286" i="8"/>
  <c r="L149" i="8"/>
  <c r="L146" i="8"/>
  <c r="L237" i="8" s="1"/>
  <c r="L284" i="8" s="1"/>
  <c r="O235" i="8"/>
  <c r="P144" i="8"/>
  <c r="M143" i="8"/>
  <c r="L234" i="8"/>
  <c r="L281" i="8" s="1"/>
  <c r="M92" i="8"/>
  <c r="L128" i="8"/>
  <c r="O42" i="8"/>
  <c r="P42" i="8" s="1"/>
  <c r="Q42" i="8" s="1"/>
  <c r="R42" i="8" s="1"/>
  <c r="S42" i="8" s="1"/>
  <c r="T42" i="8" s="1"/>
  <c r="U42" i="8" s="1"/>
  <c r="N134" i="8"/>
  <c r="N129" i="8"/>
  <c r="N282" i="8" s="1"/>
  <c r="L129" i="8"/>
  <c r="L282" i="8" s="1"/>
  <c r="P29" i="8"/>
  <c r="O30" i="8"/>
  <c r="P12" i="8"/>
  <c r="O13" i="8"/>
  <c r="Q148" i="8" l="1"/>
  <c r="P239" i="8"/>
  <c r="M149" i="8"/>
  <c r="L240" i="8"/>
  <c r="L287" i="8" s="1"/>
  <c r="P235" i="8"/>
  <c r="Q144" i="8"/>
  <c r="M234" i="8"/>
  <c r="M281" i="8" s="1"/>
  <c r="N143" i="8"/>
  <c r="N128" i="8"/>
  <c r="N133" i="8"/>
  <c r="N286" i="8" s="1"/>
  <c r="O134" i="8"/>
  <c r="P30" i="8"/>
  <c r="Q29" i="8"/>
  <c r="O129" i="8"/>
  <c r="O282" i="8" s="1"/>
  <c r="P13" i="8"/>
  <c r="Q12" i="8"/>
  <c r="R148" i="8" l="1"/>
  <c r="Q239" i="8"/>
  <c r="N149" i="8"/>
  <c r="M240" i="8"/>
  <c r="M287" i="8" s="1"/>
  <c r="Q235" i="8"/>
  <c r="R144" i="8"/>
  <c r="R235" i="8" s="1"/>
  <c r="S144" i="8"/>
  <c r="S235" i="8" s="1"/>
  <c r="O143" i="8"/>
  <c r="N234" i="8"/>
  <c r="N281" i="8" s="1"/>
  <c r="P128" i="8"/>
  <c r="O128" i="8"/>
  <c r="Q128" i="8"/>
  <c r="O133" i="8"/>
  <c r="O286" i="8" s="1"/>
  <c r="Q133" i="8"/>
  <c r="R29" i="8"/>
  <c r="Q30" i="8"/>
  <c r="P134" i="8"/>
  <c r="R12" i="8"/>
  <c r="Q13" i="8"/>
  <c r="P129" i="8"/>
  <c r="P282" i="8" s="1"/>
  <c r="Q286" i="8" l="1"/>
  <c r="S148" i="8"/>
  <c r="R239" i="8"/>
  <c r="N240" i="8"/>
  <c r="N287" i="8" s="1"/>
  <c r="O149" i="8"/>
  <c r="T144" i="8"/>
  <c r="T235" i="8" s="1"/>
  <c r="U144" i="8"/>
  <c r="U235" i="8" s="1"/>
  <c r="P143" i="8"/>
  <c r="O234" i="8"/>
  <c r="O281" i="8" s="1"/>
  <c r="P133" i="8"/>
  <c r="P286" i="8" s="1"/>
  <c r="R133" i="8"/>
  <c r="S29" i="8"/>
  <c r="R30" i="8"/>
  <c r="Q134" i="8"/>
  <c r="Q129" i="8"/>
  <c r="Q282" i="8" s="1"/>
  <c r="R13" i="8"/>
  <c r="S12" i="8"/>
  <c r="R128" i="8"/>
  <c r="T148" i="8" l="1"/>
  <c r="S239" i="8"/>
  <c r="R286" i="8"/>
  <c r="O240" i="8"/>
  <c r="O287" i="8" s="1"/>
  <c r="P149" i="8"/>
  <c r="Q143" i="8"/>
  <c r="P234" i="8"/>
  <c r="P281" i="8" s="1"/>
  <c r="R134" i="8"/>
  <c r="S30" i="8"/>
  <c r="T29" i="8"/>
  <c r="S133" i="8"/>
  <c r="S286" i="8" s="1"/>
  <c r="S128" i="8"/>
  <c r="T12" i="8"/>
  <c r="R129" i="8"/>
  <c r="R282" i="8" s="1"/>
  <c r="S13" i="8"/>
  <c r="U148" i="8" l="1"/>
  <c r="U239" i="8" s="1"/>
  <c r="T239" i="8"/>
  <c r="Q149" i="8"/>
  <c r="P240" i="8"/>
  <c r="P287" i="8" s="1"/>
  <c r="R143" i="8"/>
  <c r="Q234" i="8"/>
  <c r="Q281" i="8" s="1"/>
  <c r="U29" i="8"/>
  <c r="U133" i="8" s="1"/>
  <c r="U286" i="8" s="1"/>
  <c r="T133" i="8"/>
  <c r="T286" i="8" s="1"/>
  <c r="S134" i="8"/>
  <c r="T30" i="8"/>
  <c r="U12" i="8"/>
  <c r="U128" i="8" s="1"/>
  <c r="T128" i="8"/>
  <c r="T13" i="8"/>
  <c r="S129" i="8"/>
  <c r="S282" i="8" s="1"/>
  <c r="Q240" i="8" l="1"/>
  <c r="Q287" i="8" s="1"/>
  <c r="R149" i="8"/>
  <c r="S143" i="8"/>
  <c r="R234" i="8"/>
  <c r="R281" i="8" s="1"/>
  <c r="U30" i="8"/>
  <c r="U134" i="8" s="1"/>
  <c r="T134" i="8"/>
  <c r="U13" i="8"/>
  <c r="U129" i="8" s="1"/>
  <c r="U282" i="8" s="1"/>
  <c r="T129" i="8"/>
  <c r="T282" i="8" s="1"/>
  <c r="R240" i="8" l="1"/>
  <c r="R287" i="8" s="1"/>
  <c r="S149" i="8"/>
  <c r="T143" i="8"/>
  <c r="S234" i="8"/>
  <c r="S281" i="8" s="1"/>
  <c r="S240" i="8" l="1"/>
  <c r="S287" i="8" s="1"/>
  <c r="T149" i="8"/>
  <c r="U143" i="8"/>
  <c r="U234" i="8" s="1"/>
  <c r="U281" i="8" s="1"/>
  <c r="T234" i="8"/>
  <c r="T281" i="8" s="1"/>
  <c r="U149" i="8" l="1"/>
  <c r="U240" i="8" s="1"/>
  <c r="U287" i="8" s="1"/>
  <c r="T240" i="8"/>
  <c r="T287" i="8" s="1"/>
  <c r="H250" i="8" l="1"/>
  <c r="K240" i="8"/>
  <c r="K239" i="8"/>
  <c r="K286" i="8" s="1"/>
  <c r="K238" i="8"/>
  <c r="K237" i="8"/>
  <c r="K235" i="8"/>
  <c r="K282" i="8" s="1"/>
  <c r="K234" i="8"/>
  <c r="K233" i="8"/>
  <c r="K223" i="8"/>
  <c r="K228" i="8" s="1"/>
  <c r="L225" i="8" s="1"/>
  <c r="J240" i="8"/>
  <c r="I240" i="8"/>
  <c r="H240" i="8"/>
  <c r="J239" i="8"/>
  <c r="I239" i="8"/>
  <c r="H239" i="8"/>
  <c r="J238" i="8"/>
  <c r="I238" i="8"/>
  <c r="H238" i="8"/>
  <c r="J237" i="8"/>
  <c r="I237" i="8"/>
  <c r="H237" i="8"/>
  <c r="J235" i="8"/>
  <c r="I235" i="8"/>
  <c r="H235" i="8"/>
  <c r="J234" i="8"/>
  <c r="I234" i="8"/>
  <c r="H234" i="8"/>
  <c r="J233" i="8"/>
  <c r="I233" i="8"/>
  <c r="I280" i="8" s="1"/>
  <c r="H233" i="8"/>
  <c r="G240" i="8"/>
  <c r="G287" i="8" s="1"/>
  <c r="G239" i="8"/>
  <c r="G286" i="8" s="1"/>
  <c r="G238" i="8"/>
  <c r="G237" i="8"/>
  <c r="G235" i="8"/>
  <c r="G282" i="8" s="1"/>
  <c r="G234" i="8"/>
  <c r="G281" i="8" s="1"/>
  <c r="G233" i="8"/>
  <c r="G232" i="8"/>
  <c r="J223" i="8"/>
  <c r="J228" i="8" s="1"/>
  <c r="H145" i="8"/>
  <c r="H150" i="8" s="1"/>
  <c r="K134" i="8"/>
  <c r="K133" i="8"/>
  <c r="K132" i="8"/>
  <c r="K131" i="8"/>
  <c r="K129" i="8"/>
  <c r="K128" i="8"/>
  <c r="K127" i="8"/>
  <c r="I127" i="8"/>
  <c r="J127" i="8"/>
  <c r="K104" i="8"/>
  <c r="K109" i="8" s="1"/>
  <c r="L106" i="8" s="1"/>
  <c r="K52" i="8"/>
  <c r="K57" i="8" s="1"/>
  <c r="L54" i="8" s="1"/>
  <c r="K39" i="8"/>
  <c r="K44" i="8" s="1"/>
  <c r="J134" i="8"/>
  <c r="J133" i="8"/>
  <c r="J286" i="8" s="1"/>
  <c r="J132" i="8"/>
  <c r="J131" i="8"/>
  <c r="J129" i="8"/>
  <c r="J128" i="8"/>
  <c r="J117" i="8"/>
  <c r="J122" i="8" s="1"/>
  <c r="J104" i="8"/>
  <c r="J109" i="8" s="1"/>
  <c r="J91" i="8"/>
  <c r="J96" i="8" s="1"/>
  <c r="J39" i="8"/>
  <c r="J44" i="8" s="1"/>
  <c r="I117" i="8"/>
  <c r="I122" i="8" s="1"/>
  <c r="I104" i="8"/>
  <c r="I109" i="8" s="1"/>
  <c r="I91" i="8"/>
  <c r="I96" i="8" s="1"/>
  <c r="I78" i="8"/>
  <c r="I83" i="8" s="1"/>
  <c r="I65" i="8"/>
  <c r="J61" i="8" s="1"/>
  <c r="J65" i="8" s="1"/>
  <c r="I52" i="8"/>
  <c r="J48" i="8" s="1"/>
  <c r="J52" i="8" s="1"/>
  <c r="J57" i="8" s="1"/>
  <c r="I39" i="8"/>
  <c r="I44" i="8" s="1"/>
  <c r="I134" i="8"/>
  <c r="H134" i="8"/>
  <c r="I133" i="8"/>
  <c r="I286" i="8" s="1"/>
  <c r="H133" i="8"/>
  <c r="I132" i="8"/>
  <c r="H132" i="8"/>
  <c r="I131" i="8"/>
  <c r="H131" i="8"/>
  <c r="I129" i="8"/>
  <c r="H129" i="8"/>
  <c r="I128" i="8"/>
  <c r="H128" i="8"/>
  <c r="H127" i="8"/>
  <c r="H280" i="8" s="1"/>
  <c r="H117" i="8"/>
  <c r="H122" i="8" s="1"/>
  <c r="H104" i="8"/>
  <c r="H109" i="8" s="1"/>
  <c r="H91" i="8"/>
  <c r="H96" i="8" s="1"/>
  <c r="H78" i="8"/>
  <c r="H83" i="8" s="1"/>
  <c r="H65" i="8"/>
  <c r="H70" i="8" s="1"/>
  <c r="H52" i="8"/>
  <c r="H57" i="8" s="1"/>
  <c r="H39" i="8"/>
  <c r="H44" i="8" s="1"/>
  <c r="G250" i="8"/>
  <c r="G263" i="8"/>
  <c r="H259" i="8" s="1"/>
  <c r="H263" i="8" s="1"/>
  <c r="G210" i="8"/>
  <c r="H206" i="8" s="1"/>
  <c r="H210" i="8" s="1"/>
  <c r="H215" i="8" s="1"/>
  <c r="G197" i="8"/>
  <c r="G202" i="8" s="1"/>
  <c r="G184" i="8"/>
  <c r="G189" i="8" s="1"/>
  <c r="G171" i="8"/>
  <c r="G176" i="8" s="1"/>
  <c r="G158" i="8"/>
  <c r="G163" i="8" s="1"/>
  <c r="G145" i="8"/>
  <c r="G150" i="8" s="1"/>
  <c r="G134" i="8"/>
  <c r="G133" i="8"/>
  <c r="G132" i="8"/>
  <c r="G131" i="8"/>
  <c r="G129" i="8"/>
  <c r="G128" i="8"/>
  <c r="G127" i="8"/>
  <c r="G126" i="8"/>
  <c r="G117" i="8"/>
  <c r="G122" i="8" s="1"/>
  <c r="G104" i="8"/>
  <c r="G109" i="8" s="1"/>
  <c r="G91" i="8"/>
  <c r="G96" i="8" s="1"/>
  <c r="G78" i="8"/>
  <c r="G83" i="8" s="1"/>
  <c r="G65" i="8"/>
  <c r="G70" i="8" s="1"/>
  <c r="G52" i="8"/>
  <c r="G57" i="8" s="1"/>
  <c r="G39" i="8"/>
  <c r="G44" i="8" s="1"/>
  <c r="G26" i="8"/>
  <c r="G31" i="8" s="1"/>
  <c r="G14" i="8"/>
  <c r="G19" i="8" s="1"/>
  <c r="H6" i="8"/>
  <c r="I6" i="8" s="1"/>
  <c r="J6" i="8" s="1"/>
  <c r="K6" i="8" s="1"/>
  <c r="L6" i="8" s="1"/>
  <c r="M6" i="8" s="1"/>
  <c r="N6" i="8" s="1"/>
  <c r="O6" i="8" s="1"/>
  <c r="P6" i="8" s="1"/>
  <c r="Q6" i="8" s="1"/>
  <c r="R6" i="8" s="1"/>
  <c r="S6" i="8" s="1"/>
  <c r="T6" i="8" s="1"/>
  <c r="U6" i="8" s="1"/>
  <c r="H4" i="8"/>
  <c r="I4" i="8" s="1"/>
  <c r="J4" i="8" s="1"/>
  <c r="K4" i="8" s="1"/>
  <c r="L4" i="8" s="1"/>
  <c r="M4" i="8" s="1"/>
  <c r="N4" i="8" s="1"/>
  <c r="O4" i="8" s="1"/>
  <c r="P4" i="8" s="1"/>
  <c r="Q4" i="8" s="1"/>
  <c r="R4" i="8" s="1"/>
  <c r="S4" i="8" s="1"/>
  <c r="T4" i="8" s="1"/>
  <c r="U4" i="8" s="1"/>
  <c r="J25" i="7"/>
  <c r="I25" i="7"/>
  <c r="H25" i="7"/>
  <c r="G25" i="7"/>
  <c r="J23" i="7"/>
  <c r="I23" i="7"/>
  <c r="H23" i="7"/>
  <c r="G23" i="7"/>
  <c r="J21" i="7"/>
  <c r="I21" i="7"/>
  <c r="H21" i="7"/>
  <c r="G21" i="7"/>
  <c r="F25" i="7"/>
  <c r="F23" i="7"/>
  <c r="F21" i="7"/>
  <c r="G12" i="7"/>
  <c r="J11" i="7"/>
  <c r="I11" i="7"/>
  <c r="H11" i="7"/>
  <c r="G11" i="7"/>
  <c r="J10" i="7"/>
  <c r="I10" i="7"/>
  <c r="H10" i="7"/>
  <c r="G10" i="7"/>
  <c r="G13" i="7" s="1"/>
  <c r="F10" i="7"/>
  <c r="F11" i="7"/>
  <c r="G6" i="7"/>
  <c r="H6" i="7" s="1"/>
  <c r="I6" i="7" s="1"/>
  <c r="J6" i="7" s="1"/>
  <c r="K6" i="7" s="1"/>
  <c r="L6" i="7" s="1"/>
  <c r="M6" i="7" s="1"/>
  <c r="N6" i="7" s="1"/>
  <c r="O6" i="7" s="1"/>
  <c r="P6" i="7" s="1"/>
  <c r="Q6" i="7" s="1"/>
  <c r="R6" i="7" s="1"/>
  <c r="S6" i="7" s="1"/>
  <c r="T6" i="7" s="1"/>
  <c r="G4" i="7"/>
  <c r="H4" i="7" s="1"/>
  <c r="I4" i="7" s="1"/>
  <c r="J4" i="7" s="1"/>
  <c r="K4" i="7" s="1"/>
  <c r="L4" i="7" s="1"/>
  <c r="M4" i="7" s="1"/>
  <c r="N4" i="7" s="1"/>
  <c r="O4" i="7" s="1"/>
  <c r="P4" i="7" s="1"/>
  <c r="Q4" i="7" s="1"/>
  <c r="R4" i="7" s="1"/>
  <c r="S4" i="7" s="1"/>
  <c r="T4" i="7" s="1"/>
  <c r="K44" i="6"/>
  <c r="J44" i="6"/>
  <c r="I44" i="6"/>
  <c r="H44" i="6"/>
  <c r="G44" i="6"/>
  <c r="K38" i="6"/>
  <c r="J38" i="6"/>
  <c r="I38" i="6"/>
  <c r="H38" i="6"/>
  <c r="K36" i="6"/>
  <c r="J36" i="6"/>
  <c r="I36" i="6"/>
  <c r="H36" i="6"/>
  <c r="K34" i="6"/>
  <c r="J34" i="6"/>
  <c r="I34" i="6"/>
  <c r="H34" i="6"/>
  <c r="K32" i="6"/>
  <c r="J32" i="6"/>
  <c r="I32" i="6"/>
  <c r="H32" i="6"/>
  <c r="K30" i="6"/>
  <c r="J30" i="6"/>
  <c r="I30" i="6"/>
  <c r="H30" i="6"/>
  <c r="G38" i="6"/>
  <c r="G36" i="6"/>
  <c r="G34" i="6"/>
  <c r="G32" i="6"/>
  <c r="G30" i="6"/>
  <c r="K20" i="6"/>
  <c r="J20" i="6"/>
  <c r="I20" i="6"/>
  <c r="H20" i="6"/>
  <c r="G20" i="6"/>
  <c r="K18" i="6"/>
  <c r="J18" i="6"/>
  <c r="I18" i="6"/>
  <c r="H18" i="6"/>
  <c r="G18" i="6"/>
  <c r="K16" i="6"/>
  <c r="J16" i="6"/>
  <c r="I16" i="6"/>
  <c r="H16" i="6"/>
  <c r="G16" i="6"/>
  <c r="K13" i="6"/>
  <c r="J13" i="6"/>
  <c r="I13" i="6"/>
  <c r="H13" i="6"/>
  <c r="H48" i="6" s="1"/>
  <c r="G13" i="6"/>
  <c r="K9" i="3"/>
  <c r="H9" i="3"/>
  <c r="G9" i="3"/>
  <c r="H10" i="6"/>
  <c r="I10" i="6" s="1"/>
  <c r="J10" i="6" s="1"/>
  <c r="K10" i="6" s="1"/>
  <c r="L10" i="6" s="1"/>
  <c r="M10" i="6" s="1"/>
  <c r="N10" i="6" s="1"/>
  <c r="O10" i="6" s="1"/>
  <c r="P10" i="6" s="1"/>
  <c r="Q10" i="6" s="1"/>
  <c r="R10" i="6" s="1"/>
  <c r="S10" i="6" s="1"/>
  <c r="T10" i="6" s="1"/>
  <c r="U10" i="6" s="1"/>
  <c r="H8" i="6"/>
  <c r="I8" i="6" s="1"/>
  <c r="J8" i="6" s="1"/>
  <c r="K8" i="6" s="1"/>
  <c r="L8" i="6" s="1"/>
  <c r="M8" i="6" s="1"/>
  <c r="N8" i="6" s="1"/>
  <c r="O8" i="6" s="1"/>
  <c r="P8" i="6" s="1"/>
  <c r="Q8" i="6" s="1"/>
  <c r="R8" i="6" s="1"/>
  <c r="S8" i="6" s="1"/>
  <c r="T8" i="6" s="1"/>
  <c r="U8" i="6" s="1"/>
  <c r="E5" i="5"/>
  <c r="K32" i="3"/>
  <c r="J32" i="3"/>
  <c r="I32" i="3"/>
  <c r="I33" i="3" s="1"/>
  <c r="H32" i="3"/>
  <c r="G32" i="3"/>
  <c r="H33" i="3" s="1"/>
  <c r="K10" i="3"/>
  <c r="N28" i="3"/>
  <c r="O28" i="3" s="1"/>
  <c r="P28" i="3" s="1"/>
  <c r="Q28" i="3" s="1"/>
  <c r="R28" i="3" s="1"/>
  <c r="S28" i="3" s="1"/>
  <c r="T28" i="3" s="1"/>
  <c r="U28" i="3" s="1"/>
  <c r="N27" i="3"/>
  <c r="O27" i="3" s="1"/>
  <c r="P27" i="3" s="1"/>
  <c r="Q27" i="3" s="1"/>
  <c r="R27" i="3" s="1"/>
  <c r="S27" i="3" s="1"/>
  <c r="T27" i="3" s="1"/>
  <c r="U27" i="3" s="1"/>
  <c r="M29" i="3"/>
  <c r="N29" i="3" s="1"/>
  <c r="O29" i="3" s="1"/>
  <c r="P29" i="3" s="1"/>
  <c r="Q29" i="3" s="1"/>
  <c r="R29" i="3" s="1"/>
  <c r="S29" i="3" s="1"/>
  <c r="T29" i="3" s="1"/>
  <c r="U29" i="3" s="1"/>
  <c r="M28" i="3"/>
  <c r="M27" i="3"/>
  <c r="L28" i="3"/>
  <c r="L29" i="3"/>
  <c r="L27" i="3"/>
  <c r="K24" i="3"/>
  <c r="J24" i="3"/>
  <c r="I24" i="3"/>
  <c r="H24" i="3"/>
  <c r="K19" i="3"/>
  <c r="J25" i="9" s="1"/>
  <c r="J19" i="3"/>
  <c r="I25" i="9" s="1"/>
  <c r="I19" i="3"/>
  <c r="H25" i="9" s="1"/>
  <c r="H19" i="3"/>
  <c r="G25" i="9" s="1"/>
  <c r="G19" i="3"/>
  <c r="F25" i="9" s="1"/>
  <c r="K16" i="3"/>
  <c r="J20" i="9" s="1"/>
  <c r="I9" i="12" s="1"/>
  <c r="I27" i="12" s="1"/>
  <c r="I29" i="12" s="1"/>
  <c r="J16" i="3"/>
  <c r="I20" i="9" s="1"/>
  <c r="H9" i="12" s="1"/>
  <c r="H27" i="12" s="1"/>
  <c r="H29" i="12" s="1"/>
  <c r="I16" i="3"/>
  <c r="H20" i="9" s="1"/>
  <c r="G9" i="12" s="1"/>
  <c r="G27" i="12" s="1"/>
  <c r="G29" i="12" s="1"/>
  <c r="H16" i="3"/>
  <c r="G20" i="9" s="1"/>
  <c r="F9" i="12" s="1"/>
  <c r="F27" i="12" s="1"/>
  <c r="F29" i="12" s="1"/>
  <c r="G16" i="3"/>
  <c r="F20" i="9" s="1"/>
  <c r="E9" i="12" s="1"/>
  <c r="J10" i="3"/>
  <c r="J9" i="3" s="1"/>
  <c r="I10" i="3"/>
  <c r="I20" i="3" s="1"/>
  <c r="H10" i="3"/>
  <c r="G10" i="3"/>
  <c r="F20" i="5"/>
  <c r="I8" i="3"/>
  <c r="J8" i="3" s="1"/>
  <c r="K8" i="3" s="1"/>
  <c r="L8" i="3" s="1"/>
  <c r="M8" i="3" s="1"/>
  <c r="N8" i="3" s="1"/>
  <c r="O8" i="3" s="1"/>
  <c r="P8" i="3" s="1"/>
  <c r="Q8" i="3" s="1"/>
  <c r="R8" i="3" s="1"/>
  <c r="S8" i="3" s="1"/>
  <c r="T8" i="3" s="1"/>
  <c r="U8" i="3" s="1"/>
  <c r="H8" i="3"/>
  <c r="I6" i="3"/>
  <c r="J6" i="3" s="1"/>
  <c r="K6" i="3" s="1"/>
  <c r="L6" i="3" s="1"/>
  <c r="M6" i="3" s="1"/>
  <c r="N6" i="3" s="1"/>
  <c r="O6" i="3" s="1"/>
  <c r="P6" i="3" s="1"/>
  <c r="Q6" i="3" s="1"/>
  <c r="R6" i="3" s="1"/>
  <c r="S6" i="3" s="1"/>
  <c r="T6" i="3" s="1"/>
  <c r="U6" i="3" s="1"/>
  <c r="H6" i="3"/>
  <c r="K37" i="4"/>
  <c r="J37" i="4"/>
  <c r="I37" i="4"/>
  <c r="H37" i="4"/>
  <c r="K33" i="4"/>
  <c r="J33" i="4"/>
  <c r="I33" i="4"/>
  <c r="H33" i="4"/>
  <c r="K32" i="4"/>
  <c r="J32" i="4"/>
  <c r="I32" i="4"/>
  <c r="H32" i="4"/>
  <c r="K29" i="4"/>
  <c r="J29" i="4"/>
  <c r="I29" i="4"/>
  <c r="H29" i="4"/>
  <c r="K28" i="4"/>
  <c r="J28" i="4"/>
  <c r="I28" i="4"/>
  <c r="H28" i="4"/>
  <c r="K25" i="4"/>
  <c r="J25" i="4"/>
  <c r="I25" i="4"/>
  <c r="H25" i="4"/>
  <c r="K20" i="4"/>
  <c r="J20" i="4"/>
  <c r="I20" i="4"/>
  <c r="H20" i="4"/>
  <c r="K19" i="4"/>
  <c r="J19" i="4"/>
  <c r="I19" i="4"/>
  <c r="H19" i="4"/>
  <c r="K18" i="4"/>
  <c r="J18" i="4"/>
  <c r="I18" i="4"/>
  <c r="H18" i="4"/>
  <c r="K17" i="4"/>
  <c r="J17" i="4"/>
  <c r="I17" i="4"/>
  <c r="H17" i="4"/>
  <c r="K16" i="4"/>
  <c r="J16" i="4"/>
  <c r="I16" i="4"/>
  <c r="H16" i="4"/>
  <c r="K15" i="4"/>
  <c r="J15" i="4"/>
  <c r="I15" i="4"/>
  <c r="H15" i="4"/>
  <c r="K14" i="4"/>
  <c r="J14" i="4"/>
  <c r="I14" i="4"/>
  <c r="H14" i="4"/>
  <c r="K13" i="4"/>
  <c r="J13" i="4"/>
  <c r="I13" i="4"/>
  <c r="H13" i="4"/>
  <c r="K9" i="4"/>
  <c r="J9" i="4"/>
  <c r="I9" i="4"/>
  <c r="H9" i="4"/>
  <c r="K8" i="4"/>
  <c r="J8" i="4"/>
  <c r="I8" i="4"/>
  <c r="H8" i="4"/>
  <c r="G37" i="4"/>
  <c r="G33" i="4"/>
  <c r="G32" i="4"/>
  <c r="G29" i="4"/>
  <c r="G28" i="4"/>
  <c r="G25" i="4"/>
  <c r="G20" i="4"/>
  <c r="G19" i="4"/>
  <c r="G18" i="4"/>
  <c r="G17" i="4"/>
  <c r="G16" i="4"/>
  <c r="G15" i="4"/>
  <c r="G14" i="4"/>
  <c r="G13" i="4"/>
  <c r="G9" i="4"/>
  <c r="G8" i="4"/>
  <c r="H6" i="4"/>
  <c r="I6" i="4" s="1"/>
  <c r="J6" i="4" s="1"/>
  <c r="K6" i="4" s="1"/>
  <c r="F65" i="2"/>
  <c r="I58" i="2"/>
  <c r="J12" i="7" s="1"/>
  <c r="J13" i="7" s="1"/>
  <c r="H58" i="2"/>
  <c r="I12" i="7" s="1"/>
  <c r="H63" i="2"/>
  <c r="H65" i="2" s="1"/>
  <c r="H53" i="2"/>
  <c r="G58" i="2"/>
  <c r="H12" i="7" s="1"/>
  <c r="G63" i="2"/>
  <c r="G65" i="2" s="1"/>
  <c r="F53" i="2"/>
  <c r="G53" i="2"/>
  <c r="I63" i="2"/>
  <c r="I65" i="2" s="1"/>
  <c r="I53" i="2"/>
  <c r="I22" i="2"/>
  <c r="H22" i="2"/>
  <c r="G22" i="2"/>
  <c r="F22" i="2"/>
  <c r="I34" i="2"/>
  <c r="H34" i="2"/>
  <c r="G34" i="2"/>
  <c r="F34" i="2"/>
  <c r="F58" i="2"/>
  <c r="F63" i="2" s="1"/>
  <c r="H52" i="6" l="1"/>
  <c r="H53" i="6" s="1"/>
  <c r="G19" i="9"/>
  <c r="F8" i="12" s="1"/>
  <c r="F31" i="12" s="1"/>
  <c r="I52" i="6"/>
  <c r="I53" i="6" s="1"/>
  <c r="H19" i="9"/>
  <c r="G8" i="12" s="1"/>
  <c r="G31" i="12" s="1"/>
  <c r="J52" i="6"/>
  <c r="J53" i="6" s="1"/>
  <c r="I19" i="9"/>
  <c r="H8" i="12" s="1"/>
  <c r="H31" i="12" s="1"/>
  <c r="F19" i="9"/>
  <c r="E8" i="12" s="1"/>
  <c r="G52" i="6"/>
  <c r="G53" i="6" s="1"/>
  <c r="L53" i="6" s="1"/>
  <c r="M53" i="6" s="1"/>
  <c r="N53" i="6" s="1"/>
  <c r="O53" i="6" s="1"/>
  <c r="P53" i="6" s="1"/>
  <c r="Q53" i="6" s="1"/>
  <c r="R53" i="6" s="1"/>
  <c r="S53" i="6" s="1"/>
  <c r="T53" i="6" s="1"/>
  <c r="U53" i="6" s="1"/>
  <c r="K52" i="6"/>
  <c r="K53" i="6" s="1"/>
  <c r="J19" i="9"/>
  <c r="I8" i="12" s="1"/>
  <c r="I31" i="12" s="1"/>
  <c r="H24" i="7"/>
  <c r="I48" i="6"/>
  <c r="I22" i="7"/>
  <c r="J48" i="6"/>
  <c r="G19" i="6"/>
  <c r="G48" i="6"/>
  <c r="J22" i="7"/>
  <c r="K48" i="6"/>
  <c r="H13" i="7"/>
  <c r="I13" i="7"/>
  <c r="G17" i="7"/>
  <c r="K45" i="6"/>
  <c r="G37" i="6"/>
  <c r="I45" i="6"/>
  <c r="F17" i="7"/>
  <c r="F24" i="7"/>
  <c r="I24" i="7"/>
  <c r="I26" i="7"/>
  <c r="F26" i="7"/>
  <c r="J26" i="7"/>
  <c r="G31" i="6"/>
  <c r="G39" i="6"/>
  <c r="J45" i="6"/>
  <c r="H17" i="7"/>
  <c r="J24" i="7"/>
  <c r="I17" i="7"/>
  <c r="H45" i="6"/>
  <c r="G45" i="6"/>
  <c r="H26" i="7"/>
  <c r="G24" i="7"/>
  <c r="H22" i="7"/>
  <c r="G33" i="6"/>
  <c r="K39" i="6"/>
  <c r="J17" i="7"/>
  <c r="F22" i="7"/>
  <c r="G22" i="7"/>
  <c r="G26" i="7"/>
  <c r="G35" i="6"/>
  <c r="H31" i="6"/>
  <c r="H33" i="6"/>
  <c r="H35" i="6"/>
  <c r="H37" i="6"/>
  <c r="J280" i="8"/>
  <c r="I281" i="8"/>
  <c r="K280" i="8"/>
  <c r="J281" i="8"/>
  <c r="H282" i="8"/>
  <c r="H287" i="8"/>
  <c r="H286" i="8"/>
  <c r="J282" i="8"/>
  <c r="I282" i="8"/>
  <c r="H281" i="8"/>
  <c r="J287" i="8"/>
  <c r="K287" i="8"/>
  <c r="I287" i="8"/>
  <c r="K281" i="8"/>
  <c r="M53" i="8"/>
  <c r="I259" i="8"/>
  <c r="I263" i="8" s="1"/>
  <c r="J259" i="8" s="1"/>
  <c r="J263" i="8" s="1"/>
  <c r="K259" i="8" s="1"/>
  <c r="K263" i="8" s="1"/>
  <c r="L259" i="8" s="1"/>
  <c r="L263" i="8" s="1"/>
  <c r="M259" i="8" s="1"/>
  <c r="M263" i="8" s="1"/>
  <c r="N259" i="8" s="1"/>
  <c r="N263" i="8" s="1"/>
  <c r="O259" i="8" s="1"/>
  <c r="O263" i="8" s="1"/>
  <c r="P259" i="8" s="1"/>
  <c r="P263" i="8" s="1"/>
  <c r="Q259" i="8" s="1"/>
  <c r="Q263" i="8" s="1"/>
  <c r="R259" i="8" s="1"/>
  <c r="R263" i="8" s="1"/>
  <c r="S259" i="8" s="1"/>
  <c r="S263" i="8" s="1"/>
  <c r="T259" i="8" s="1"/>
  <c r="T263" i="8" s="1"/>
  <c r="U259" i="8" s="1"/>
  <c r="U263" i="8" s="1"/>
  <c r="K275" i="8"/>
  <c r="K296" i="8"/>
  <c r="J275" i="8"/>
  <c r="J296" i="8"/>
  <c r="I296" i="8"/>
  <c r="I275" i="8"/>
  <c r="G36" i="2"/>
  <c r="I50" i="4"/>
  <c r="I55" i="4"/>
  <c r="I64" i="4"/>
  <c r="I68" i="4"/>
  <c r="I72" i="4"/>
  <c r="I82" i="4"/>
  <c r="I89" i="4"/>
  <c r="I95" i="4"/>
  <c r="I103" i="4"/>
  <c r="I49" i="4"/>
  <c r="I53" i="4"/>
  <c r="I63" i="4"/>
  <c r="I67" i="4"/>
  <c r="I71" i="4"/>
  <c r="I81" i="4"/>
  <c r="I88" i="4"/>
  <c r="I92" i="4"/>
  <c r="G215" i="8"/>
  <c r="G241" i="8"/>
  <c r="G288" i="8" s="1"/>
  <c r="I245" i="8"/>
  <c r="I250" i="8" s="1"/>
  <c r="G236" i="8"/>
  <c r="G283" i="8" s="1"/>
  <c r="K87" i="8"/>
  <c r="K91" i="8" s="1"/>
  <c r="K61" i="8"/>
  <c r="K65" i="8" s="1"/>
  <c r="J70" i="8"/>
  <c r="I70" i="8"/>
  <c r="H10" i="8"/>
  <c r="K113" i="8"/>
  <c r="K117" i="8" s="1"/>
  <c r="I141" i="8"/>
  <c r="H167" i="8"/>
  <c r="H171" i="8" s="1"/>
  <c r="H176" i="8" s="1"/>
  <c r="H193" i="8"/>
  <c r="H197" i="8" s="1"/>
  <c r="I193" i="8" s="1"/>
  <c r="I197" i="8" s="1"/>
  <c r="J193" i="8" s="1"/>
  <c r="J197" i="8" s="1"/>
  <c r="K193" i="8" s="1"/>
  <c r="K197" i="8" s="1"/>
  <c r="H22" i="8"/>
  <c r="H26" i="8" s="1"/>
  <c r="I22" i="8" s="1"/>
  <c r="I26" i="8" s="1"/>
  <c r="J22" i="8" s="1"/>
  <c r="J26" i="8" s="1"/>
  <c r="J74" i="8"/>
  <c r="J78" i="8" s="1"/>
  <c r="H154" i="8"/>
  <c r="I57" i="8"/>
  <c r="H180" i="8"/>
  <c r="H184" i="8" s="1"/>
  <c r="H189" i="8" s="1"/>
  <c r="I206" i="8"/>
  <c r="I210" i="8" s="1"/>
  <c r="I31" i="8"/>
  <c r="H31" i="8"/>
  <c r="G135" i="8"/>
  <c r="G130" i="8"/>
  <c r="I31" i="6"/>
  <c r="I33" i="6"/>
  <c r="I35" i="6"/>
  <c r="I37" i="6"/>
  <c r="H39" i="6"/>
  <c r="J31" i="6"/>
  <c r="J33" i="6"/>
  <c r="J35" i="6"/>
  <c r="J37" i="6"/>
  <c r="I39" i="6"/>
  <c r="K31" i="6"/>
  <c r="K33" i="6"/>
  <c r="K35" i="6"/>
  <c r="K37" i="6"/>
  <c r="J39" i="6"/>
  <c r="I23" i="6"/>
  <c r="H10" i="9" s="1"/>
  <c r="H12" i="9" s="1"/>
  <c r="G21" i="6"/>
  <c r="K21" i="6"/>
  <c r="I19" i="6"/>
  <c r="H21" i="6"/>
  <c r="G17" i="6"/>
  <c r="K23" i="6"/>
  <c r="J10" i="9" s="1"/>
  <c r="J12" i="9" s="1"/>
  <c r="J23" i="6"/>
  <c r="I10" i="9" s="1"/>
  <c r="I12" i="9" s="1"/>
  <c r="I21" i="6"/>
  <c r="H19" i="6"/>
  <c r="H23" i="6"/>
  <c r="G10" i="9" s="1"/>
  <c r="G12" i="9" s="1"/>
  <c r="K19" i="6"/>
  <c r="I25" i="6"/>
  <c r="I27" i="6" s="1"/>
  <c r="K17" i="6"/>
  <c r="G23" i="6"/>
  <c r="J19" i="6"/>
  <c r="J21" i="6"/>
  <c r="H17" i="6"/>
  <c r="J17" i="6"/>
  <c r="I17" i="6"/>
  <c r="K33" i="3"/>
  <c r="J33" i="3"/>
  <c r="I9" i="3"/>
  <c r="L36" i="3"/>
  <c r="M36" i="3" s="1"/>
  <c r="N36" i="3" s="1"/>
  <c r="O36" i="3" s="1"/>
  <c r="P36" i="3" s="1"/>
  <c r="Q36" i="3" s="1"/>
  <c r="R36" i="3" s="1"/>
  <c r="S36" i="3" s="1"/>
  <c r="T36" i="3" s="1"/>
  <c r="U36" i="3" s="1"/>
  <c r="L37" i="3"/>
  <c r="L24" i="3" a="1"/>
  <c r="T24" i="3" s="1"/>
  <c r="K17" i="3"/>
  <c r="L17" i="3" s="1"/>
  <c r="M17" i="3" s="1"/>
  <c r="K20" i="3"/>
  <c r="L20" i="3" s="1"/>
  <c r="M20" i="3" s="1"/>
  <c r="J17" i="3"/>
  <c r="J20" i="3"/>
  <c r="I17" i="3"/>
  <c r="H17" i="3"/>
  <c r="H20" i="3"/>
  <c r="G17" i="3"/>
  <c r="G20" i="3"/>
  <c r="I36" i="2"/>
  <c r="H36" i="2"/>
  <c r="H67" i="2" s="1"/>
  <c r="G67" i="2"/>
  <c r="F36" i="2"/>
  <c r="L45" i="6" l="1"/>
  <c r="L48" i="6"/>
  <c r="M48" i="6" s="1"/>
  <c r="N48" i="6" s="1"/>
  <c r="O48" i="6" s="1"/>
  <c r="P48" i="6" s="1"/>
  <c r="Q48" i="6" s="1"/>
  <c r="R48" i="6" s="1"/>
  <c r="S48" i="6" s="1"/>
  <c r="T48" i="6" s="1"/>
  <c r="U48" i="6" s="1"/>
  <c r="Q24" i="3"/>
  <c r="M24" i="3"/>
  <c r="G295" i="8"/>
  <c r="G298" i="8" s="1"/>
  <c r="G308" i="8"/>
  <c r="K26" i="7"/>
  <c r="L26" i="7" s="1"/>
  <c r="M26" i="7" s="1"/>
  <c r="N26" i="7" s="1"/>
  <c r="K24" i="7"/>
  <c r="L24" i="7" s="1"/>
  <c r="G41" i="6"/>
  <c r="G42" i="6" s="1"/>
  <c r="F13" i="9" s="1"/>
  <c r="L33" i="6"/>
  <c r="M33" i="6" s="1"/>
  <c r="K17" i="7"/>
  <c r="L35" i="6"/>
  <c r="M35" i="6" s="1"/>
  <c r="K22" i="7"/>
  <c r="L22" i="7" s="1"/>
  <c r="M22" i="7" s="1"/>
  <c r="N22" i="7" s="1"/>
  <c r="O22" i="7" s="1"/>
  <c r="P22" i="7" s="1"/>
  <c r="Q22" i="7" s="1"/>
  <c r="R22" i="7" s="1"/>
  <c r="S22" i="7" s="1"/>
  <c r="T22" i="7" s="1"/>
  <c r="L31" i="6"/>
  <c r="H18" i="7"/>
  <c r="H16" i="7"/>
  <c r="K41" i="6"/>
  <c r="K42" i="6" s="1"/>
  <c r="J13" i="9" s="1"/>
  <c r="J15" i="9" s="1"/>
  <c r="J18" i="9" s="1"/>
  <c r="J23" i="9" s="1"/>
  <c r="H41" i="6"/>
  <c r="H42" i="6" s="1"/>
  <c r="G13" i="9" s="1"/>
  <c r="G15" i="9" s="1"/>
  <c r="G18" i="9" s="1"/>
  <c r="G23" i="9" s="1"/>
  <c r="F6" i="12" s="1"/>
  <c r="J25" i="6"/>
  <c r="J27" i="6" s="1"/>
  <c r="I16" i="7"/>
  <c r="I18" i="7"/>
  <c r="M45" i="6"/>
  <c r="G25" i="6"/>
  <c r="G27" i="6" s="1"/>
  <c r="F10" i="9"/>
  <c r="F12" i="9" s="1"/>
  <c r="F15" i="9" s="1"/>
  <c r="F18" i="9" s="1"/>
  <c r="F23" i="9" s="1"/>
  <c r="E6" i="12" s="1"/>
  <c r="F16" i="7"/>
  <c r="H25" i="6"/>
  <c r="H27" i="6" s="1"/>
  <c r="G18" i="7"/>
  <c r="G16" i="7"/>
  <c r="K25" i="6"/>
  <c r="K27" i="6" s="1"/>
  <c r="J18" i="7"/>
  <c r="J16" i="7"/>
  <c r="I180" i="8"/>
  <c r="I184" i="8" s="1"/>
  <c r="K202" i="8"/>
  <c r="L193" i="8"/>
  <c r="K122" i="8"/>
  <c r="L119" i="8" s="1"/>
  <c r="L113" i="8"/>
  <c r="K96" i="8"/>
  <c r="L93" i="8" s="1"/>
  <c r="L87" i="8"/>
  <c r="K70" i="8"/>
  <c r="L67" i="8" s="1"/>
  <c r="L61" i="8"/>
  <c r="I102" i="4"/>
  <c r="I104" i="4"/>
  <c r="I96" i="4"/>
  <c r="I86" i="4"/>
  <c r="I73" i="4"/>
  <c r="I65" i="4"/>
  <c r="I56" i="4"/>
  <c r="I47" i="4"/>
  <c r="I87" i="4"/>
  <c r="I57" i="4"/>
  <c r="I101" i="4"/>
  <c r="I91" i="4"/>
  <c r="I80" i="4"/>
  <c r="I70" i="4"/>
  <c r="I52" i="4"/>
  <c r="I74" i="4"/>
  <c r="I66" i="4"/>
  <c r="I100" i="4"/>
  <c r="I90" i="4"/>
  <c r="I79" i="4"/>
  <c r="I69" i="4"/>
  <c r="I60" i="4"/>
  <c r="I51" i="4"/>
  <c r="I97" i="4"/>
  <c r="I48" i="4"/>
  <c r="I98" i="4"/>
  <c r="I75" i="4"/>
  <c r="I58" i="4"/>
  <c r="I99" i="4"/>
  <c r="I78" i="4"/>
  <c r="I59" i="4"/>
  <c r="I61" i="4"/>
  <c r="J103" i="4"/>
  <c r="J99" i="4"/>
  <c r="J95" i="4"/>
  <c r="J89" i="4"/>
  <c r="J82" i="4"/>
  <c r="J78" i="4"/>
  <c r="J72" i="4"/>
  <c r="J68" i="4"/>
  <c r="J64" i="4"/>
  <c r="J59" i="4"/>
  <c r="J55" i="4"/>
  <c r="J50" i="4"/>
  <c r="J104" i="4"/>
  <c r="J100" i="4"/>
  <c r="J96" i="4"/>
  <c r="J90" i="4"/>
  <c r="J86" i="4"/>
  <c r="J79" i="4"/>
  <c r="J73" i="4"/>
  <c r="J69" i="4"/>
  <c r="J65" i="4"/>
  <c r="J60" i="4"/>
  <c r="J56" i="4"/>
  <c r="J51" i="4"/>
  <c r="J47" i="4"/>
  <c r="J101" i="4"/>
  <c r="J97" i="4"/>
  <c r="J91" i="4"/>
  <c r="J87" i="4"/>
  <c r="J80" i="4"/>
  <c r="J71" i="4"/>
  <c r="J63" i="4"/>
  <c r="J53" i="4"/>
  <c r="J70" i="4"/>
  <c r="J61" i="4"/>
  <c r="J52" i="4"/>
  <c r="J102" i="4"/>
  <c r="J98" i="4"/>
  <c r="J92" i="4"/>
  <c r="J88" i="4"/>
  <c r="J81" i="4"/>
  <c r="J75" i="4"/>
  <c r="J67" i="4"/>
  <c r="J58" i="4"/>
  <c r="J49" i="4"/>
  <c r="J74" i="4"/>
  <c r="J66" i="4"/>
  <c r="J57" i="4"/>
  <c r="J48" i="4"/>
  <c r="K104" i="4"/>
  <c r="K100" i="4"/>
  <c r="K96" i="4"/>
  <c r="K90" i="4"/>
  <c r="K86" i="4"/>
  <c r="K79" i="4"/>
  <c r="K73" i="4"/>
  <c r="K69" i="4"/>
  <c r="K65" i="4"/>
  <c r="K60" i="4"/>
  <c r="K56" i="4"/>
  <c r="K51" i="4"/>
  <c r="K47" i="4"/>
  <c r="K101" i="4"/>
  <c r="K97" i="4"/>
  <c r="K91" i="4"/>
  <c r="K87" i="4"/>
  <c r="K80" i="4"/>
  <c r="K74" i="4"/>
  <c r="K70" i="4"/>
  <c r="K66" i="4"/>
  <c r="K57" i="4"/>
  <c r="K52" i="4"/>
  <c r="K48" i="4"/>
  <c r="K102" i="4"/>
  <c r="K98" i="4"/>
  <c r="K92" i="4"/>
  <c r="K88" i="4"/>
  <c r="K81" i="4"/>
  <c r="K75" i="4"/>
  <c r="K68" i="4"/>
  <c r="K59" i="4"/>
  <c r="K50" i="4"/>
  <c r="K103" i="4"/>
  <c r="K99" i="4"/>
  <c r="K95" i="4"/>
  <c r="K89" i="4"/>
  <c r="K82" i="4"/>
  <c r="K78" i="4"/>
  <c r="K67" i="4"/>
  <c r="K58" i="4"/>
  <c r="K49" i="4"/>
  <c r="K72" i="4"/>
  <c r="K64" i="4"/>
  <c r="K55" i="4"/>
  <c r="K71" i="4"/>
  <c r="K63" i="4"/>
  <c r="K53" i="4"/>
  <c r="I67" i="2"/>
  <c r="K61" i="4"/>
  <c r="H103" i="4"/>
  <c r="H101" i="4"/>
  <c r="H99" i="4"/>
  <c r="H98" i="4"/>
  <c r="H96" i="4"/>
  <c r="H92" i="4"/>
  <c r="H91" i="4"/>
  <c r="H90" i="4"/>
  <c r="H89" i="4"/>
  <c r="H88" i="4"/>
  <c r="H87" i="4"/>
  <c r="H86" i="4"/>
  <c r="H82" i="4"/>
  <c r="H75" i="4"/>
  <c r="H73" i="4"/>
  <c r="H72" i="4"/>
  <c r="H70" i="4"/>
  <c r="H68" i="4"/>
  <c r="H66" i="4"/>
  <c r="H65" i="4"/>
  <c r="H63" i="4"/>
  <c r="H60" i="4"/>
  <c r="H58" i="4"/>
  <c r="H57" i="4"/>
  <c r="H55" i="4"/>
  <c r="H52" i="4"/>
  <c r="H50" i="4"/>
  <c r="H48" i="4"/>
  <c r="H47" i="4"/>
  <c r="H104" i="4"/>
  <c r="H102" i="4"/>
  <c r="H100" i="4"/>
  <c r="H97" i="4"/>
  <c r="H95" i="4"/>
  <c r="H81" i="4"/>
  <c r="H80" i="4"/>
  <c r="H79" i="4"/>
  <c r="H78" i="4"/>
  <c r="H74" i="4"/>
  <c r="H71" i="4"/>
  <c r="H69" i="4"/>
  <c r="H67" i="4"/>
  <c r="H64" i="4"/>
  <c r="H59" i="4"/>
  <c r="H56" i="4"/>
  <c r="H53" i="4"/>
  <c r="H51" i="4"/>
  <c r="H49" i="4"/>
  <c r="H61" i="4"/>
  <c r="H232" i="8"/>
  <c r="H279" i="8" s="1"/>
  <c r="J202" i="8"/>
  <c r="J245" i="8"/>
  <c r="J250" i="8" s="1"/>
  <c r="I145" i="8"/>
  <c r="J141" i="8" s="1"/>
  <c r="I167" i="8"/>
  <c r="I171" i="8" s="1"/>
  <c r="H14" i="8"/>
  <c r="H126" i="8"/>
  <c r="H202" i="8"/>
  <c r="H158" i="8"/>
  <c r="H236" i="8" s="1"/>
  <c r="J180" i="8"/>
  <c r="J184" i="8" s="1"/>
  <c r="J189" i="8" s="1"/>
  <c r="I189" i="8"/>
  <c r="J83" i="8"/>
  <c r="K74" i="8"/>
  <c r="K78" i="8" s="1"/>
  <c r="K22" i="8"/>
  <c r="K26" i="8" s="1"/>
  <c r="J31" i="8"/>
  <c r="I202" i="8"/>
  <c r="J206" i="8"/>
  <c r="I215" i="8"/>
  <c r="J167" i="8"/>
  <c r="J171" i="8" s="1"/>
  <c r="J176" i="8" s="1"/>
  <c r="I176" i="8"/>
  <c r="L21" i="6"/>
  <c r="M21" i="6" s="1"/>
  <c r="I41" i="6"/>
  <c r="I42" i="6" s="1"/>
  <c r="H13" i="9" s="1"/>
  <c r="H15" i="9" s="1"/>
  <c r="H18" i="9" s="1"/>
  <c r="H23" i="9" s="1"/>
  <c r="L39" i="6"/>
  <c r="L37" i="6"/>
  <c r="J41" i="6"/>
  <c r="J42" i="6" s="1"/>
  <c r="I13" i="9" s="1"/>
  <c r="I15" i="9" s="1"/>
  <c r="I18" i="9" s="1"/>
  <c r="I23" i="9" s="1"/>
  <c r="L17" i="6"/>
  <c r="M17" i="6" s="1"/>
  <c r="N17" i="6" s="1"/>
  <c r="L19" i="6"/>
  <c r="M19" i="6" s="1"/>
  <c r="M37" i="3"/>
  <c r="L38" i="3"/>
  <c r="M38" i="3" s="1"/>
  <c r="N38" i="3" s="1"/>
  <c r="O38" i="3" s="1"/>
  <c r="P38" i="3" s="1"/>
  <c r="Q38" i="3" s="1"/>
  <c r="R38" i="3" s="1"/>
  <c r="S38" i="3" s="1"/>
  <c r="T38" i="3" s="1"/>
  <c r="U38" i="3" s="1"/>
  <c r="L24" i="3"/>
  <c r="L23" i="3" s="1"/>
  <c r="R24" i="3"/>
  <c r="S24" i="3"/>
  <c r="N24" i="3"/>
  <c r="O24" i="3"/>
  <c r="P24" i="3"/>
  <c r="U24" i="3"/>
  <c r="N20" i="3"/>
  <c r="N17" i="3"/>
  <c r="F67" i="2"/>
  <c r="G6" i="12" l="1"/>
  <c r="H6" i="12"/>
  <c r="I6" i="12"/>
  <c r="L17" i="7"/>
  <c r="M17" i="7" s="1"/>
  <c r="G19" i="7"/>
  <c r="J19" i="7"/>
  <c r="M31" i="6"/>
  <c r="H19" i="7"/>
  <c r="K16" i="7"/>
  <c r="N45" i="6"/>
  <c r="I19" i="7"/>
  <c r="O26" i="7"/>
  <c r="M24" i="7"/>
  <c r="L199" i="8"/>
  <c r="M198" i="8" s="1"/>
  <c r="K83" i="8"/>
  <c r="L80" i="8" s="1"/>
  <c r="L74" i="8"/>
  <c r="L126" i="8" s="1"/>
  <c r="K31" i="8"/>
  <c r="L28" i="8" s="1"/>
  <c r="L22" i="8"/>
  <c r="K245" i="8"/>
  <c r="K250" i="8" s="1"/>
  <c r="I150" i="8"/>
  <c r="J145" i="8"/>
  <c r="J210" i="8"/>
  <c r="K206" i="8" s="1"/>
  <c r="K180" i="8"/>
  <c r="K184" i="8" s="1"/>
  <c r="H19" i="8"/>
  <c r="H135" i="8" s="1"/>
  <c r="I10" i="8"/>
  <c r="H130" i="8"/>
  <c r="H283" i="8" s="1"/>
  <c r="I154" i="8"/>
  <c r="I232" i="8" s="1"/>
  <c r="I279" i="8" s="1"/>
  <c r="H163" i="8"/>
  <c r="H241" i="8" s="1"/>
  <c r="K167" i="8"/>
  <c r="M37" i="6"/>
  <c r="N33" i="6"/>
  <c r="M39" i="6"/>
  <c r="L41" i="6"/>
  <c r="N35" i="6"/>
  <c r="N21" i="6"/>
  <c r="O17" i="6"/>
  <c r="N19" i="6"/>
  <c r="N37" i="3"/>
  <c r="O37" i="3" s="1"/>
  <c r="P37" i="3" s="1"/>
  <c r="Q37" i="3" s="1"/>
  <c r="R37" i="3" s="1"/>
  <c r="S37" i="3" s="1"/>
  <c r="T37" i="3" s="1"/>
  <c r="U37" i="3" s="1"/>
  <c r="L33" i="3" a="1"/>
  <c r="M23" i="3"/>
  <c r="O17" i="3"/>
  <c r="O20" i="3"/>
  <c r="N31" i="6" l="1"/>
  <c r="N24" i="7"/>
  <c r="O45" i="6"/>
  <c r="P26" i="7"/>
  <c r="N17" i="7"/>
  <c r="L16" i="7"/>
  <c r="H288" i="8"/>
  <c r="M79" i="8"/>
  <c r="M131" i="8" s="1"/>
  <c r="L132" i="8"/>
  <c r="L252" i="8"/>
  <c r="M251" i="8" s="1"/>
  <c r="L245" i="8"/>
  <c r="L186" i="8"/>
  <c r="M185" i="8" s="1"/>
  <c r="L180" i="8"/>
  <c r="K210" i="8"/>
  <c r="J215" i="8"/>
  <c r="J150" i="8"/>
  <c r="K141" i="8"/>
  <c r="I126" i="8"/>
  <c r="I14" i="8"/>
  <c r="I158" i="8"/>
  <c r="I236" i="8" s="1"/>
  <c r="K171" i="8"/>
  <c r="L167" i="8" s="1"/>
  <c r="O35" i="6"/>
  <c r="N39" i="6"/>
  <c r="O33" i="6"/>
  <c r="M41" i="6"/>
  <c r="N37" i="6"/>
  <c r="O19" i="6"/>
  <c r="P17" i="6"/>
  <c r="O21" i="6"/>
  <c r="L33" i="3"/>
  <c r="L32" i="3" s="1"/>
  <c r="T33" i="3"/>
  <c r="R33" i="3"/>
  <c r="P33" i="3"/>
  <c r="N33" i="3"/>
  <c r="O33" i="3"/>
  <c r="U33" i="3"/>
  <c r="Q33" i="3"/>
  <c r="M33" i="3"/>
  <c r="S33" i="3"/>
  <c r="N23" i="3"/>
  <c r="P20" i="3"/>
  <c r="P17" i="3"/>
  <c r="H295" i="8" l="1"/>
  <c r="H298" i="8" s="1"/>
  <c r="H308" i="8"/>
  <c r="O31" i="6"/>
  <c r="M16" i="7"/>
  <c r="O17" i="7"/>
  <c r="O24" i="7"/>
  <c r="Q26" i="7"/>
  <c r="P45" i="6"/>
  <c r="L273" i="8"/>
  <c r="L274" i="8"/>
  <c r="L269" i="8"/>
  <c r="K215" i="8"/>
  <c r="L212" i="8" s="1"/>
  <c r="M211" i="8" s="1"/>
  <c r="L206" i="8"/>
  <c r="K145" i="8"/>
  <c r="L141" i="8" s="1"/>
  <c r="J154" i="8"/>
  <c r="J232" i="8" s="1"/>
  <c r="I163" i="8"/>
  <c r="I241" i="8" s="1"/>
  <c r="I130" i="8"/>
  <c r="I283" i="8" s="1"/>
  <c r="I19" i="8"/>
  <c r="I135" i="8" s="1"/>
  <c r="J10" i="8"/>
  <c r="K176" i="8"/>
  <c r="N41" i="6"/>
  <c r="O39" i="6"/>
  <c r="O37" i="6"/>
  <c r="P33" i="6"/>
  <c r="P35" i="6"/>
  <c r="Q17" i="6"/>
  <c r="P21" i="6"/>
  <c r="P19" i="6"/>
  <c r="M32" i="3"/>
  <c r="L11" i="3"/>
  <c r="O23" i="3"/>
  <c r="Q17" i="3"/>
  <c r="Q20" i="3"/>
  <c r="P31" i="6" l="1"/>
  <c r="P17" i="7"/>
  <c r="P24" i="7"/>
  <c r="R26" i="7"/>
  <c r="N16" i="7"/>
  <c r="Q45" i="6"/>
  <c r="I288" i="8"/>
  <c r="K150" i="8"/>
  <c r="L147" i="8" s="1"/>
  <c r="J14" i="8"/>
  <c r="J126" i="8"/>
  <c r="J279" i="8" s="1"/>
  <c r="J158" i="8"/>
  <c r="J236" i="8" s="1"/>
  <c r="Q33" i="6"/>
  <c r="P39" i="6"/>
  <c r="Q35" i="6"/>
  <c r="P37" i="6"/>
  <c r="O41" i="6"/>
  <c r="Q21" i="6"/>
  <c r="Q19" i="6"/>
  <c r="R17" i="6"/>
  <c r="L12" i="3"/>
  <c r="L14" i="3"/>
  <c r="N32" i="3"/>
  <c r="M11" i="3"/>
  <c r="P23" i="3"/>
  <c r="R20" i="3"/>
  <c r="R17" i="3"/>
  <c r="I295" i="8" l="1"/>
  <c r="I298" i="8" s="1"/>
  <c r="I308" i="8"/>
  <c r="Q31" i="6"/>
  <c r="S26" i="7"/>
  <c r="R45" i="6"/>
  <c r="Q24" i="7"/>
  <c r="O16" i="7"/>
  <c r="Q17" i="7"/>
  <c r="M146" i="8"/>
  <c r="J130" i="8"/>
  <c r="J283" i="8" s="1"/>
  <c r="K10" i="8"/>
  <c r="J19" i="8"/>
  <c r="J135" i="8" s="1"/>
  <c r="J163" i="8"/>
  <c r="J241" i="8" s="1"/>
  <c r="K154" i="8"/>
  <c r="K232" i="8" s="1"/>
  <c r="Q37" i="6"/>
  <c r="R35" i="6"/>
  <c r="Q39" i="6"/>
  <c r="P41" i="6"/>
  <c r="R33" i="6"/>
  <c r="S17" i="6"/>
  <c r="R19" i="6"/>
  <c r="R21" i="6"/>
  <c r="M14" i="3"/>
  <c r="O32" i="3"/>
  <c r="N11" i="3"/>
  <c r="L10" i="3"/>
  <c r="M12" i="3"/>
  <c r="M10" i="3" s="1"/>
  <c r="Q23" i="3"/>
  <c r="S17" i="3"/>
  <c r="S20" i="3"/>
  <c r="J7" i="10" l="1"/>
  <c r="K9" i="9"/>
  <c r="L13" i="6"/>
  <c r="K7" i="10"/>
  <c r="L9" i="9"/>
  <c r="M13" i="6"/>
  <c r="R31" i="6"/>
  <c r="R24" i="7"/>
  <c r="R17" i="7"/>
  <c r="P16" i="7"/>
  <c r="S45" i="6"/>
  <c r="T26" i="7"/>
  <c r="J288" i="8"/>
  <c r="K126" i="8"/>
  <c r="K279" i="8" s="1"/>
  <c r="K14" i="8"/>
  <c r="K158" i="8"/>
  <c r="Q41" i="6"/>
  <c r="S35" i="6"/>
  <c r="S33" i="6"/>
  <c r="R39" i="6"/>
  <c r="R37" i="6"/>
  <c r="S19" i="6"/>
  <c r="S21" i="6"/>
  <c r="T17" i="6"/>
  <c r="M16" i="3"/>
  <c r="L20" i="9" s="1"/>
  <c r="K9" i="12" s="1"/>
  <c r="K27" i="12" s="1"/>
  <c r="M19" i="3"/>
  <c r="L25" i="9" s="1"/>
  <c r="N12" i="3"/>
  <c r="P32" i="3"/>
  <c r="O11" i="3"/>
  <c r="N14" i="3"/>
  <c r="L19" i="3"/>
  <c r="K25" i="9" s="1"/>
  <c r="L16" i="3"/>
  <c r="K20" i="9" s="1"/>
  <c r="J9" i="12" s="1"/>
  <c r="J27" i="12" s="1"/>
  <c r="R23" i="3"/>
  <c r="T17" i="3"/>
  <c r="T20" i="3"/>
  <c r="N10" i="3" l="1"/>
  <c r="H47" i="16"/>
  <c r="I47" i="16"/>
  <c r="L7" i="10"/>
  <c r="M9" i="9"/>
  <c r="N13" i="6"/>
  <c r="L47" i="6"/>
  <c r="K21" i="9" s="1"/>
  <c r="K25" i="7"/>
  <c r="L34" i="6"/>
  <c r="L32" i="6"/>
  <c r="L20" i="6"/>
  <c r="K23" i="7"/>
  <c r="L44" i="6"/>
  <c r="L36" i="6"/>
  <c r="L18" i="6"/>
  <c r="L16" i="6"/>
  <c r="L30" i="6"/>
  <c r="K21" i="7"/>
  <c r="K11" i="7"/>
  <c r="J62" i="11" s="1"/>
  <c r="L38" i="6"/>
  <c r="L42" i="6"/>
  <c r="K13" i="9" s="1"/>
  <c r="M47" i="6"/>
  <c r="L21" i="9" s="1"/>
  <c r="L25" i="7"/>
  <c r="M20" i="6"/>
  <c r="M18" i="6"/>
  <c r="L23" i="7"/>
  <c r="M32" i="6"/>
  <c r="L11" i="7"/>
  <c r="K62" i="11" s="1"/>
  <c r="M16" i="6"/>
  <c r="L21" i="7"/>
  <c r="M44" i="6"/>
  <c r="M34" i="6"/>
  <c r="M30" i="6"/>
  <c r="M36" i="6"/>
  <c r="M38" i="6"/>
  <c r="M42" i="6"/>
  <c r="L13" i="9" s="1"/>
  <c r="J295" i="8"/>
  <c r="J298" i="8" s="1"/>
  <c r="J308" i="8"/>
  <c r="S31" i="6"/>
  <c r="Q16" i="7"/>
  <c r="S17" i="7"/>
  <c r="S24" i="7"/>
  <c r="T45" i="6"/>
  <c r="K236" i="8"/>
  <c r="L154" i="8"/>
  <c r="L232" i="8" s="1"/>
  <c r="L279" i="8" s="1"/>
  <c r="K163" i="8"/>
  <c r="K130" i="8"/>
  <c r="K19" i="8"/>
  <c r="K135" i="8" s="1"/>
  <c r="S37" i="6"/>
  <c r="T33" i="6"/>
  <c r="S39" i="6"/>
  <c r="T35" i="6"/>
  <c r="R41" i="6"/>
  <c r="U17" i="6"/>
  <c r="T21" i="6"/>
  <c r="T19" i="6"/>
  <c r="O12" i="3"/>
  <c r="N19" i="3"/>
  <c r="M25" i="9" s="1"/>
  <c r="N16" i="3"/>
  <c r="M20" i="9" s="1"/>
  <c r="L9" i="12" s="1"/>
  <c r="L27" i="12" s="1"/>
  <c r="O14" i="3"/>
  <c r="Q32" i="3"/>
  <c r="P11" i="3"/>
  <c r="S23" i="3"/>
  <c r="U20" i="3"/>
  <c r="U17" i="3"/>
  <c r="J47" i="16" l="1"/>
  <c r="M23" i="6"/>
  <c r="J14" i="12"/>
  <c r="K14" i="12"/>
  <c r="N47" i="6"/>
  <c r="M21" i="9" s="1"/>
  <c r="N16" i="6"/>
  <c r="M21" i="7"/>
  <c r="M25" i="7"/>
  <c r="M23" i="7"/>
  <c r="M11" i="7"/>
  <c r="L62" i="11" s="1"/>
  <c r="N34" i="6"/>
  <c r="N32" i="6"/>
  <c r="N44" i="6"/>
  <c r="N18" i="6"/>
  <c r="N20" i="6"/>
  <c r="N38" i="6"/>
  <c r="N30" i="6"/>
  <c r="N36" i="6"/>
  <c r="N42" i="6"/>
  <c r="M13" i="9" s="1"/>
  <c r="M52" i="6"/>
  <c r="L19" i="9"/>
  <c r="M25" i="6"/>
  <c r="M27" i="6" s="1"/>
  <c r="L10" i="9"/>
  <c r="L10" i="7"/>
  <c r="K59" i="11" s="1"/>
  <c r="L52" i="6"/>
  <c r="K19" i="9"/>
  <c r="J8" i="12" s="1"/>
  <c r="J31" i="12" s="1"/>
  <c r="L23" i="6"/>
  <c r="T31" i="6"/>
  <c r="U45" i="6"/>
  <c r="T17" i="7"/>
  <c r="T24" i="7"/>
  <c r="R16" i="7"/>
  <c r="K283" i="8"/>
  <c r="K241" i="8"/>
  <c r="K288" i="8" s="1"/>
  <c r="K308" i="8" s="1"/>
  <c r="L160" i="8"/>
  <c r="U35" i="6"/>
  <c r="U33" i="6"/>
  <c r="S41" i="6"/>
  <c r="T39" i="6"/>
  <c r="T37" i="6"/>
  <c r="U19" i="6"/>
  <c r="U21" i="6"/>
  <c r="P14" i="3"/>
  <c r="O10" i="3"/>
  <c r="O16" i="3" s="1"/>
  <c r="N20" i="9" s="1"/>
  <c r="M9" i="12" s="1"/>
  <c r="M27" i="12" s="1"/>
  <c r="P12" i="3"/>
  <c r="R32" i="3"/>
  <c r="Q11" i="3"/>
  <c r="Q14" i="3" s="1"/>
  <c r="T23" i="3"/>
  <c r="L12" i="9" l="1"/>
  <c r="I51" i="16"/>
  <c r="Q12" i="3"/>
  <c r="Q10" i="3" s="1"/>
  <c r="Q19" i="3" s="1"/>
  <c r="P25" i="9" s="1"/>
  <c r="L25" i="6"/>
  <c r="L27" i="6" s="1"/>
  <c r="K10" i="9"/>
  <c r="K10" i="7"/>
  <c r="J59" i="11" s="1"/>
  <c r="N52" i="6"/>
  <c r="M19" i="9"/>
  <c r="O19" i="3"/>
  <c r="N25" i="9" s="1"/>
  <c r="M7" i="10"/>
  <c r="N9" i="9"/>
  <c r="O13" i="6"/>
  <c r="N23" i="6"/>
  <c r="L14" i="12"/>
  <c r="E7" i="15"/>
  <c r="K8" i="12"/>
  <c r="K31" i="12" s="1"/>
  <c r="U31" i="6"/>
  <c r="S16" i="7"/>
  <c r="M159" i="8"/>
  <c r="M237" i="8" s="1"/>
  <c r="M284" i="8" s="1"/>
  <c r="L238" i="8"/>
  <c r="K295" i="8"/>
  <c r="K298" i="8" s="1"/>
  <c r="U39" i="6"/>
  <c r="U37" i="6"/>
  <c r="T41" i="6"/>
  <c r="P10" i="3"/>
  <c r="P16" i="3" s="1"/>
  <c r="O20" i="9" s="1"/>
  <c r="N9" i="12" s="1"/>
  <c r="N27" i="12" s="1"/>
  <c r="S32" i="3"/>
  <c r="R11" i="3"/>
  <c r="R14" i="3" s="1"/>
  <c r="U23" i="3"/>
  <c r="K47" i="16" l="1"/>
  <c r="K12" i="9"/>
  <c r="H51" i="16"/>
  <c r="L15" i="9"/>
  <c r="I8" i="16" s="1"/>
  <c r="I6" i="16"/>
  <c r="Q16" i="3"/>
  <c r="P20" i="9" s="1"/>
  <c r="O9" i="12" s="1"/>
  <c r="O27" i="12" s="1"/>
  <c r="O7" i="10"/>
  <c r="P9" i="9"/>
  <c r="Q13" i="6"/>
  <c r="K13" i="12"/>
  <c r="K15" i="12"/>
  <c r="J13" i="12"/>
  <c r="J15" i="12"/>
  <c r="O47" i="6"/>
  <c r="N21" i="9" s="1"/>
  <c r="N25" i="7"/>
  <c r="N21" i="7"/>
  <c r="O16" i="6"/>
  <c r="O20" i="6"/>
  <c r="N23" i="7"/>
  <c r="O44" i="6"/>
  <c r="O18" i="6"/>
  <c r="O32" i="6"/>
  <c r="N11" i="7"/>
  <c r="M62" i="11" s="1"/>
  <c r="O34" i="6"/>
  <c r="O38" i="6"/>
  <c r="O36" i="6"/>
  <c r="O30" i="6"/>
  <c r="O42" i="6"/>
  <c r="N13" i="9" s="1"/>
  <c r="F7" i="15"/>
  <c r="L8" i="12"/>
  <c r="L31" i="12" s="1"/>
  <c r="P19" i="3"/>
  <c r="O25" i="9" s="1"/>
  <c r="N7" i="10"/>
  <c r="O9" i="9"/>
  <c r="P13" i="6"/>
  <c r="N25" i="6"/>
  <c r="N27" i="6" s="1"/>
  <c r="M10" i="9"/>
  <c r="M10" i="7"/>
  <c r="L59" i="11" s="1"/>
  <c r="T16" i="7"/>
  <c r="L275" i="8"/>
  <c r="L277" i="8" s="1"/>
  <c r="L294" i="8" s="1"/>
  <c r="L285" i="8"/>
  <c r="L266" i="8"/>
  <c r="L270" i="8" s="1"/>
  <c r="L295" i="8"/>
  <c r="U41" i="6"/>
  <c r="T32" i="3"/>
  <c r="S11" i="3"/>
  <c r="S14" i="3" s="1"/>
  <c r="R12" i="3"/>
  <c r="M47" i="16" l="1"/>
  <c r="K15" i="9"/>
  <c r="H8" i="16" s="1"/>
  <c r="H6" i="16"/>
  <c r="L47" i="16"/>
  <c r="M12" i="9"/>
  <c r="J51" i="16"/>
  <c r="L13" i="12"/>
  <c r="L15" i="12"/>
  <c r="O23" i="6"/>
  <c r="S12" i="3"/>
  <c r="S10" i="3" s="1"/>
  <c r="S19" i="3" s="1"/>
  <c r="R25" i="9" s="1"/>
  <c r="P47" i="6"/>
  <c r="O21" i="9" s="1"/>
  <c r="O21" i="7"/>
  <c r="O25" i="7"/>
  <c r="P16" i="6"/>
  <c r="O23" i="7"/>
  <c r="P20" i="6"/>
  <c r="P44" i="6"/>
  <c r="P18" i="6"/>
  <c r="P32" i="6"/>
  <c r="O11" i="7"/>
  <c r="N62" i="11" s="1"/>
  <c r="N14" i="12" s="1"/>
  <c r="P34" i="6"/>
  <c r="P36" i="6"/>
  <c r="P38" i="6"/>
  <c r="P30" i="6"/>
  <c r="P42" i="6"/>
  <c r="O13" i="9" s="1"/>
  <c r="O52" i="6"/>
  <c r="N19" i="9"/>
  <c r="Q47" i="6"/>
  <c r="P21" i="9" s="1"/>
  <c r="P21" i="7"/>
  <c r="P25" i="7"/>
  <c r="Q16" i="6"/>
  <c r="P23" i="7"/>
  <c r="P11" i="7"/>
  <c r="O62" i="11" s="1"/>
  <c r="Q32" i="6"/>
  <c r="Q18" i="6"/>
  <c r="Q44" i="6"/>
  <c r="Q34" i="6"/>
  <c r="Q20" i="6"/>
  <c r="Q36" i="6"/>
  <c r="Q38" i="6"/>
  <c r="Q30" i="6"/>
  <c r="Q42" i="6"/>
  <c r="P13" i="9" s="1"/>
  <c r="M14" i="12"/>
  <c r="L296" i="8"/>
  <c r="K16" i="9"/>
  <c r="M295" i="8"/>
  <c r="N295" i="8" s="1"/>
  <c r="O295" i="8" s="1"/>
  <c r="P295" i="8" s="1"/>
  <c r="Q295" i="8" s="1"/>
  <c r="R295" i="8" s="1"/>
  <c r="S295" i="8" s="1"/>
  <c r="T295" i="8" s="1"/>
  <c r="U295" i="8" s="1"/>
  <c r="L298" i="8"/>
  <c r="R10" i="3"/>
  <c r="U32" i="3"/>
  <c r="U11" i="3" s="1"/>
  <c r="T11" i="3"/>
  <c r="T14" i="3" s="1"/>
  <c r="K18" i="9" l="1"/>
  <c r="H42" i="16" s="1"/>
  <c r="M15" i="9"/>
  <c r="J8" i="16" s="1"/>
  <c r="J6" i="16"/>
  <c r="U14" i="3"/>
  <c r="Q7" i="10"/>
  <c r="R9" i="9"/>
  <c r="S13" i="6"/>
  <c r="G7" i="15"/>
  <c r="M8" i="12"/>
  <c r="M31" i="12" s="1"/>
  <c r="P23" i="6"/>
  <c r="Q52" i="6"/>
  <c r="P19" i="9"/>
  <c r="P52" i="6"/>
  <c r="O19" i="9"/>
  <c r="K23" i="9"/>
  <c r="H12" i="16" s="1"/>
  <c r="E6" i="15"/>
  <c r="S16" i="3"/>
  <c r="R20" i="9" s="1"/>
  <c r="Q9" i="12" s="1"/>
  <c r="Q27" i="12" s="1"/>
  <c r="P7" i="10"/>
  <c r="Q9" i="9"/>
  <c r="R13" i="6"/>
  <c r="Q23" i="6"/>
  <c r="O14" i="12"/>
  <c r="O25" i="6"/>
  <c r="O27" i="6" s="1"/>
  <c r="N10" i="9"/>
  <c r="N10" i="7"/>
  <c r="M59" i="11" s="1"/>
  <c r="L246" i="8"/>
  <c r="L250" i="8" s="1"/>
  <c r="L181" i="8"/>
  <c r="L184" i="8" s="1"/>
  <c r="L114" i="8"/>
  <c r="L117" i="8" s="1"/>
  <c r="L62" i="8"/>
  <c r="L65" i="8" s="1"/>
  <c r="L11" i="8"/>
  <c r="L23" i="8"/>
  <c r="L220" i="8"/>
  <c r="L223" i="8" s="1"/>
  <c r="L168" i="8"/>
  <c r="L171" i="8" s="1"/>
  <c r="L101" i="8"/>
  <c r="L104" i="8" s="1"/>
  <c r="L49" i="8"/>
  <c r="L52" i="8" s="1"/>
  <c r="L194" i="8"/>
  <c r="L197" i="8" s="1"/>
  <c r="L75" i="8"/>
  <c r="L78" i="8" s="1"/>
  <c r="L207" i="8"/>
  <c r="L210" i="8" s="1"/>
  <c r="L155" i="8"/>
  <c r="L158" i="8" s="1"/>
  <c r="L88" i="8"/>
  <c r="L91" i="8" s="1"/>
  <c r="L36" i="8"/>
  <c r="L142" i="8"/>
  <c r="R16" i="3"/>
  <c r="Q20" i="9" s="1"/>
  <c r="P9" i="12" s="1"/>
  <c r="P27" i="12" s="1"/>
  <c r="R19" i="3"/>
  <c r="Q25" i="9" s="1"/>
  <c r="T12" i="3"/>
  <c r="H10" i="16" l="1"/>
  <c r="N47" i="16"/>
  <c r="O47" i="16"/>
  <c r="N12" i="9"/>
  <c r="K51" i="16"/>
  <c r="M15" i="12"/>
  <c r="M13" i="12"/>
  <c r="Q25" i="6"/>
  <c r="Q27" i="6" s="1"/>
  <c r="P10" i="9"/>
  <c r="P10" i="7"/>
  <c r="O59" i="11" s="1"/>
  <c r="I7" i="15"/>
  <c r="O8" i="12"/>
  <c r="O31" i="12" s="1"/>
  <c r="H7" i="15"/>
  <c r="N8" i="12"/>
  <c r="N31" i="12" s="1"/>
  <c r="P25" i="6"/>
  <c r="P27" i="6" s="1"/>
  <c r="O10" i="9"/>
  <c r="O10" i="7"/>
  <c r="N59" i="11" s="1"/>
  <c r="S47" i="6"/>
  <c r="R21" i="9" s="1"/>
  <c r="R21" i="7"/>
  <c r="R25" i="7"/>
  <c r="S16" i="6"/>
  <c r="R11" i="7"/>
  <c r="Q62" i="11" s="1"/>
  <c r="S44" i="6"/>
  <c r="R23" i="7"/>
  <c r="S32" i="6"/>
  <c r="S34" i="6"/>
  <c r="S18" i="6"/>
  <c r="S20" i="6"/>
  <c r="S30" i="6"/>
  <c r="S38" i="6"/>
  <c r="S36" i="6"/>
  <c r="S42" i="6"/>
  <c r="R13" i="9" s="1"/>
  <c r="R47" i="6"/>
  <c r="Q21" i="9" s="1"/>
  <c r="Q21" i="7"/>
  <c r="Q25" i="7"/>
  <c r="R16" i="6"/>
  <c r="R32" i="6"/>
  <c r="R20" i="6"/>
  <c r="Q23" i="7"/>
  <c r="R34" i="6"/>
  <c r="R18" i="6"/>
  <c r="Q11" i="7"/>
  <c r="P62" i="11" s="1"/>
  <c r="R44" i="6"/>
  <c r="R30" i="6"/>
  <c r="R36" i="6"/>
  <c r="R38" i="6"/>
  <c r="R42" i="6"/>
  <c r="Q13" i="9" s="1"/>
  <c r="J6" i="12"/>
  <c r="L39" i="8"/>
  <c r="M61" i="8"/>
  <c r="L70" i="8"/>
  <c r="M67" i="8" s="1"/>
  <c r="N66" i="8" s="1"/>
  <c r="M87" i="8"/>
  <c r="L96" i="8"/>
  <c r="M93" i="8" s="1"/>
  <c r="N92" i="8" s="1"/>
  <c r="M219" i="8"/>
  <c r="L228" i="8"/>
  <c r="M225" i="8" s="1"/>
  <c r="N224" i="8" s="1"/>
  <c r="M154" i="8"/>
  <c r="L163" i="8"/>
  <c r="M48" i="8"/>
  <c r="L57" i="8"/>
  <c r="M54" i="8" s="1"/>
  <c r="N53" i="8" s="1"/>
  <c r="L26" i="8"/>
  <c r="M180" i="8"/>
  <c r="L189" i="8"/>
  <c r="M186" i="8" s="1"/>
  <c r="N185" i="8" s="1"/>
  <c r="M74" i="8"/>
  <c r="L83" i="8"/>
  <c r="M80" i="8" s="1"/>
  <c r="N79" i="8" s="1"/>
  <c r="L176" i="8"/>
  <c r="M167" i="8"/>
  <c r="M193" i="8"/>
  <c r="L202" i="8"/>
  <c r="M199" i="8" s="1"/>
  <c r="N198" i="8" s="1"/>
  <c r="M113" i="8"/>
  <c r="L122" i="8"/>
  <c r="M119" i="8" s="1"/>
  <c r="N118" i="8" s="1"/>
  <c r="L233" i="8"/>
  <c r="L145" i="8"/>
  <c r="M206" i="8"/>
  <c r="L215" i="8"/>
  <c r="M212" i="8" s="1"/>
  <c r="N211" i="8" s="1"/>
  <c r="M100" i="8"/>
  <c r="L109" i="8"/>
  <c r="M106" i="8" s="1"/>
  <c r="N105" i="8" s="1"/>
  <c r="L127" i="8"/>
  <c r="L14" i="8"/>
  <c r="M245" i="8"/>
  <c r="L255" i="8"/>
  <c r="M252" i="8" s="1"/>
  <c r="N251" i="8" s="1"/>
  <c r="U12" i="3"/>
  <c r="U10" i="3" s="1"/>
  <c r="T10" i="3"/>
  <c r="P12" i="9" l="1"/>
  <c r="M51" i="16"/>
  <c r="O12" i="9"/>
  <c r="L51" i="16"/>
  <c r="N15" i="9"/>
  <c r="K8" i="16" s="1"/>
  <c r="K6" i="16"/>
  <c r="S7" i="10"/>
  <c r="T9" i="9"/>
  <c r="U13" i="6"/>
  <c r="S23" i="6"/>
  <c r="O13" i="12"/>
  <c r="O15" i="12"/>
  <c r="R7" i="10"/>
  <c r="S9" i="9"/>
  <c r="T13" i="6"/>
  <c r="Q14" i="12"/>
  <c r="P14" i="12"/>
  <c r="R23" i="6"/>
  <c r="R52" i="6"/>
  <c r="Q19" i="9"/>
  <c r="S52" i="6"/>
  <c r="R19" i="9"/>
  <c r="N13" i="12"/>
  <c r="N15" i="12"/>
  <c r="L280" i="8"/>
  <c r="M141" i="8"/>
  <c r="L150" i="8"/>
  <c r="M147" i="8" s="1"/>
  <c r="N146" i="8" s="1"/>
  <c r="L236" i="8"/>
  <c r="M160" i="8"/>
  <c r="N159" i="8" s="1"/>
  <c r="M10" i="8"/>
  <c r="L19" i="8"/>
  <c r="L130" i="8"/>
  <c r="M274" i="8"/>
  <c r="M269" i="8"/>
  <c r="L31" i="8"/>
  <c r="M22" i="8"/>
  <c r="L44" i="8"/>
  <c r="M41" i="8" s="1"/>
  <c r="N40" i="8" s="1"/>
  <c r="M35" i="8"/>
  <c r="T16" i="3"/>
  <c r="S20" i="9" s="1"/>
  <c r="R9" i="12" s="1"/>
  <c r="R27" i="12" s="1"/>
  <c r="T19" i="3"/>
  <c r="S25" i="9" s="1"/>
  <c r="U19" i="3"/>
  <c r="T25" i="9" s="1"/>
  <c r="U16" i="3"/>
  <c r="T20" i="9" s="1"/>
  <c r="S9" i="12" s="1"/>
  <c r="S27" i="12" s="1"/>
  <c r="O15" i="9" l="1"/>
  <c r="L8" i="16" s="1"/>
  <c r="L6" i="16"/>
  <c r="P47" i="16"/>
  <c r="Q47" i="16"/>
  <c r="P15" i="9"/>
  <c r="M8" i="16" s="1"/>
  <c r="M6" i="16"/>
  <c r="S25" i="6"/>
  <c r="S27" i="6" s="1"/>
  <c r="R10" i="9"/>
  <c r="R10" i="7"/>
  <c r="Q59" i="11" s="1"/>
  <c r="T47" i="6"/>
  <c r="S21" i="9" s="1"/>
  <c r="S21" i="7"/>
  <c r="S25" i="7"/>
  <c r="T16" i="6"/>
  <c r="T32" i="6"/>
  <c r="S11" i="7"/>
  <c r="R62" i="11" s="1"/>
  <c r="T18" i="6"/>
  <c r="T34" i="6"/>
  <c r="T44" i="6"/>
  <c r="S23" i="7"/>
  <c r="T20" i="6"/>
  <c r="T36" i="6"/>
  <c r="T30" i="6"/>
  <c r="T38" i="6"/>
  <c r="T42" i="6"/>
  <c r="S13" i="9" s="1"/>
  <c r="K7" i="15"/>
  <c r="Q8" i="12"/>
  <c r="Q31" i="12" s="1"/>
  <c r="J7" i="15"/>
  <c r="P8" i="12"/>
  <c r="P31" i="12" s="1"/>
  <c r="R25" i="6"/>
  <c r="R27" i="6" s="1"/>
  <c r="Q10" i="9"/>
  <c r="Q10" i="7"/>
  <c r="P59" i="11" s="1"/>
  <c r="U47" i="6"/>
  <c r="T21" i="9" s="1"/>
  <c r="T21" i="7"/>
  <c r="T25" i="7"/>
  <c r="U16" i="6"/>
  <c r="U32" i="6"/>
  <c r="U44" i="6"/>
  <c r="U20" i="6"/>
  <c r="T23" i="7"/>
  <c r="U18" i="6"/>
  <c r="U34" i="6"/>
  <c r="T11" i="7"/>
  <c r="S62" i="11" s="1"/>
  <c r="U30" i="6"/>
  <c r="U36" i="6"/>
  <c r="U38" i="6"/>
  <c r="U42" i="6"/>
  <c r="T13" i="9" s="1"/>
  <c r="N237" i="8"/>
  <c r="L283" i="8"/>
  <c r="M126" i="8"/>
  <c r="L135" i="8"/>
  <c r="M28" i="8"/>
  <c r="M238" i="8"/>
  <c r="M275" i="8" s="1"/>
  <c r="L241" i="8"/>
  <c r="M232" i="8"/>
  <c r="E58" i="2"/>
  <c r="E53" i="2"/>
  <c r="E34" i="2"/>
  <c r="E22" i="2"/>
  <c r="F4" i="2"/>
  <c r="G4" i="2" s="1"/>
  <c r="H4" i="2" s="1"/>
  <c r="I4" i="2" s="1"/>
  <c r="K42" i="1"/>
  <c r="J42" i="1"/>
  <c r="I42" i="1"/>
  <c r="K43" i="1"/>
  <c r="J43" i="1"/>
  <c r="I43" i="1"/>
  <c r="H43" i="1"/>
  <c r="G43" i="1"/>
  <c r="H42" i="1"/>
  <c r="K8" i="1"/>
  <c r="K20" i="1"/>
  <c r="J20" i="1"/>
  <c r="J22" i="4" s="1"/>
  <c r="I20" i="1"/>
  <c r="I22" i="4" s="1"/>
  <c r="H20" i="1"/>
  <c r="H22" i="4" s="1"/>
  <c r="J8" i="1"/>
  <c r="I8" i="1"/>
  <c r="H8" i="1"/>
  <c r="J22" i="1"/>
  <c r="G20" i="1"/>
  <c r="G22" i="4" s="1"/>
  <c r="G8" i="1"/>
  <c r="R12" i="9" l="1"/>
  <c r="O51" i="16"/>
  <c r="Q12" i="9"/>
  <c r="N51" i="16"/>
  <c r="J25" i="1"/>
  <c r="J24" i="4"/>
  <c r="K22" i="1"/>
  <c r="K22" i="4"/>
  <c r="J44" i="1"/>
  <c r="I22" i="1"/>
  <c r="T23" i="6"/>
  <c r="T25" i="6" s="1"/>
  <c r="T27" i="6" s="1"/>
  <c r="U23" i="6"/>
  <c r="T10" i="9" s="1"/>
  <c r="U52" i="6"/>
  <c r="T19" i="9"/>
  <c r="Q15" i="12"/>
  <c r="Q13" i="12"/>
  <c r="P15" i="12"/>
  <c r="P13" i="12"/>
  <c r="S14" i="12"/>
  <c r="R14" i="12"/>
  <c r="T52" i="6"/>
  <c r="S19" i="9"/>
  <c r="F12" i="7"/>
  <c r="E63" i="2"/>
  <c r="E65" i="2" s="1"/>
  <c r="L288" i="8"/>
  <c r="L308" i="8" s="1"/>
  <c r="J49" i="11" s="1"/>
  <c r="M279" i="8"/>
  <c r="M132" i="8"/>
  <c r="N27" i="8"/>
  <c r="N131" i="8" s="1"/>
  <c r="N284" i="8" s="1"/>
  <c r="E36" i="2"/>
  <c r="E67" i="2" s="1"/>
  <c r="H22" i="1"/>
  <c r="Q15" i="9" l="1"/>
  <c r="N8" i="16" s="1"/>
  <c r="N6" i="16"/>
  <c r="T12" i="9"/>
  <c r="R15" i="9"/>
  <c r="O8" i="16" s="1"/>
  <c r="O6" i="16"/>
  <c r="K24" i="4"/>
  <c r="K25" i="1"/>
  <c r="K44" i="1"/>
  <c r="H25" i="1"/>
  <c r="H24" i="4"/>
  <c r="H44" i="1"/>
  <c r="I25" i="1"/>
  <c r="I24" i="4"/>
  <c r="I44" i="1"/>
  <c r="T10" i="7"/>
  <c r="S59" i="11" s="1"/>
  <c r="Q51" i="16" s="1"/>
  <c r="J29" i="1"/>
  <c r="J27" i="4"/>
  <c r="J45" i="1"/>
  <c r="U25" i="6"/>
  <c r="U27" i="6" s="1"/>
  <c r="S10" i="7"/>
  <c r="R59" i="11" s="1"/>
  <c r="S10" i="9"/>
  <c r="J25" i="12"/>
  <c r="J56" i="11"/>
  <c r="L7" i="15"/>
  <c r="R8" i="12"/>
  <c r="R31" i="12" s="1"/>
  <c r="M7" i="15"/>
  <c r="S8" i="12"/>
  <c r="S31" i="12" s="1"/>
  <c r="F13" i="7"/>
  <c r="F18" i="7"/>
  <c r="M273" i="8"/>
  <c r="M277" i="8" s="1"/>
  <c r="M294" i="8" s="1"/>
  <c r="M266" i="8"/>
  <c r="M270" i="8" s="1"/>
  <c r="M285" i="8"/>
  <c r="G104" i="4"/>
  <c r="G100" i="4"/>
  <c r="G96" i="4"/>
  <c r="G90" i="4"/>
  <c r="G86" i="4"/>
  <c r="G79" i="4"/>
  <c r="G73" i="4"/>
  <c r="G69" i="4"/>
  <c r="G65" i="4"/>
  <c r="G60" i="4"/>
  <c r="G56" i="4"/>
  <c r="G51" i="4"/>
  <c r="G47" i="4"/>
  <c r="G103" i="4"/>
  <c r="G99" i="4"/>
  <c r="G95" i="4"/>
  <c r="G89" i="4"/>
  <c r="G82" i="4"/>
  <c r="G78" i="4"/>
  <c r="G72" i="4"/>
  <c r="G68" i="4"/>
  <c r="G64" i="4"/>
  <c r="G59" i="4"/>
  <c r="G55" i="4"/>
  <c r="G50" i="4"/>
  <c r="G52" i="4"/>
  <c r="G102" i="4"/>
  <c r="G98" i="4"/>
  <c r="G92" i="4"/>
  <c r="G88" i="4"/>
  <c r="G81" i="4"/>
  <c r="G75" i="4"/>
  <c r="G71" i="4"/>
  <c r="G67" i="4"/>
  <c r="G63" i="4"/>
  <c r="G58" i="4"/>
  <c r="G53" i="4"/>
  <c r="G49" i="4"/>
  <c r="G101" i="4"/>
  <c r="G97" i="4"/>
  <c r="G91" i="4"/>
  <c r="G87" i="4"/>
  <c r="G80" i="4"/>
  <c r="G74" i="4"/>
  <c r="G70" i="4"/>
  <c r="G66" i="4"/>
  <c r="G57" i="4"/>
  <c r="G48" i="4"/>
  <c r="G61" i="4"/>
  <c r="H4" i="1"/>
  <c r="I4" i="1" s="1"/>
  <c r="J4" i="1" s="1"/>
  <c r="K4" i="1" s="1"/>
  <c r="T15" i="9" l="1"/>
  <c r="Q8" i="16" s="1"/>
  <c r="Q6" i="16"/>
  <c r="S12" i="9"/>
  <c r="P51" i="16"/>
  <c r="S13" i="12"/>
  <c r="J33" i="1"/>
  <c r="J31" i="4"/>
  <c r="J50" i="6"/>
  <c r="I24" i="9" s="1"/>
  <c r="I29" i="1"/>
  <c r="I27" i="4"/>
  <c r="I45" i="1"/>
  <c r="H29" i="1"/>
  <c r="H27" i="4"/>
  <c r="H45" i="1"/>
  <c r="K27" i="4"/>
  <c r="K29" i="1"/>
  <c r="K45" i="1"/>
  <c r="R13" i="12"/>
  <c r="S15" i="12"/>
  <c r="R15" i="12"/>
  <c r="E9" i="15"/>
  <c r="J29" i="12"/>
  <c r="K18" i="7"/>
  <c r="F19" i="7"/>
  <c r="M296" i="8"/>
  <c r="M298" i="8" s="1"/>
  <c r="M62" i="8" s="1"/>
  <c r="M65" i="8" s="1"/>
  <c r="L16" i="9"/>
  <c r="G22" i="1"/>
  <c r="S15" i="9" l="1"/>
  <c r="P8" i="16" s="1"/>
  <c r="P6" i="16"/>
  <c r="I22" i="12"/>
  <c r="I23" i="12" s="1"/>
  <c r="I27" i="9"/>
  <c r="G25" i="1"/>
  <c r="G24" i="4"/>
  <c r="G44" i="1"/>
  <c r="I33" i="1"/>
  <c r="I50" i="6"/>
  <c r="H24" i="9" s="1"/>
  <c r="I31" i="4"/>
  <c r="H50" i="6"/>
  <c r="G24" i="9" s="1"/>
  <c r="H33" i="1"/>
  <c r="H31" i="4"/>
  <c r="K50" i="6"/>
  <c r="K31" i="4"/>
  <c r="K33" i="1"/>
  <c r="J37" i="1"/>
  <c r="J39" i="4" s="1"/>
  <c r="J35" i="4"/>
  <c r="J46" i="1"/>
  <c r="L18" i="9"/>
  <c r="F8" i="15"/>
  <c r="K7" i="12"/>
  <c r="M36" i="8"/>
  <c r="M39" i="8" s="1"/>
  <c r="M194" i="8"/>
  <c r="M197" i="8" s="1"/>
  <c r="M142" i="8"/>
  <c r="M145" i="8" s="1"/>
  <c r="M75" i="8"/>
  <c r="M78" i="8" s="1"/>
  <c r="L18" i="7"/>
  <c r="K19" i="7"/>
  <c r="K12" i="7"/>
  <c r="M11" i="8"/>
  <c r="M14" i="8" s="1"/>
  <c r="M207" i="8"/>
  <c r="M210" i="8" s="1"/>
  <c r="N206" i="8" s="1"/>
  <c r="M155" i="8"/>
  <c r="M158" i="8" s="1"/>
  <c r="N154" i="8" s="1"/>
  <c r="M88" i="8"/>
  <c r="M91" i="8" s="1"/>
  <c r="M96" i="8" s="1"/>
  <c r="N93" i="8" s="1"/>
  <c r="O92" i="8" s="1"/>
  <c r="M220" i="8"/>
  <c r="M223" i="8" s="1"/>
  <c r="M168" i="8"/>
  <c r="M171" i="8" s="1"/>
  <c r="M176" i="8" s="1"/>
  <c r="M101" i="8"/>
  <c r="M49" i="8"/>
  <c r="M52" i="8" s="1"/>
  <c r="M23" i="8"/>
  <c r="M26" i="8" s="1"/>
  <c r="M246" i="8"/>
  <c r="M250" i="8" s="1"/>
  <c r="M255" i="8" s="1"/>
  <c r="N252" i="8" s="1"/>
  <c r="M181" i="8"/>
  <c r="M184" i="8" s="1"/>
  <c r="M189" i="8" s="1"/>
  <c r="N186" i="8" s="1"/>
  <c r="O185" i="8" s="1"/>
  <c r="M114" i="8"/>
  <c r="M117" i="8" s="1"/>
  <c r="N113" i="8" s="1"/>
  <c r="M70" i="8"/>
  <c r="N67" i="8" s="1"/>
  <c r="O66" i="8" s="1"/>
  <c r="N61" i="8"/>
  <c r="M104" i="8"/>
  <c r="F6" i="15" l="1"/>
  <c r="I10" i="16"/>
  <c r="I42" i="16"/>
  <c r="H27" i="9"/>
  <c r="H22" i="12"/>
  <c r="H23" i="12" s="1"/>
  <c r="G29" i="1"/>
  <c r="G27" i="4"/>
  <c r="G45" i="1"/>
  <c r="K35" i="4"/>
  <c r="K37" i="1"/>
  <c r="K39" i="4" s="1"/>
  <c r="K46" i="1"/>
  <c r="H35" i="4"/>
  <c r="H37" i="1"/>
  <c r="H39" i="4" s="1"/>
  <c r="H46" i="1"/>
  <c r="I35" i="4"/>
  <c r="I37" i="1"/>
  <c r="I39" i="4" s="1"/>
  <c r="I46" i="1"/>
  <c r="H33" i="12"/>
  <c r="H37" i="12" s="1"/>
  <c r="I30" i="9"/>
  <c r="L50" i="6"/>
  <c r="J24" i="9"/>
  <c r="G22" i="12"/>
  <c r="G23" i="12" s="1"/>
  <c r="G27" i="9"/>
  <c r="L23" i="9"/>
  <c r="I12" i="16" s="1"/>
  <c r="K13" i="7"/>
  <c r="J33" i="11"/>
  <c r="M122" i="8"/>
  <c r="N119" i="8" s="1"/>
  <c r="O118" i="8" s="1"/>
  <c r="M215" i="8"/>
  <c r="N212" i="8" s="1"/>
  <c r="O211" i="8" s="1"/>
  <c r="N167" i="8"/>
  <c r="N245" i="8"/>
  <c r="N180" i="8"/>
  <c r="M163" i="8"/>
  <c r="N160" i="8" s="1"/>
  <c r="O159" i="8" s="1"/>
  <c r="M233" i="8"/>
  <c r="L12" i="7"/>
  <c r="M18" i="7"/>
  <c r="L19" i="7"/>
  <c r="M127" i="8"/>
  <c r="N87" i="8"/>
  <c r="N48" i="8"/>
  <c r="M57" i="8"/>
  <c r="N54" i="8" s="1"/>
  <c r="M83" i="8"/>
  <c r="N80" i="8" s="1"/>
  <c r="O79" i="8" s="1"/>
  <c r="N74" i="8"/>
  <c r="M109" i="8"/>
  <c r="N106" i="8" s="1"/>
  <c r="O105" i="8" s="1"/>
  <c r="N100" i="8"/>
  <c r="N141" i="8"/>
  <c r="M150" i="8"/>
  <c r="N147" i="8" s="1"/>
  <c r="N193" i="8"/>
  <c r="M202" i="8"/>
  <c r="N199" i="8" s="1"/>
  <c r="O198" i="8" s="1"/>
  <c r="N219" i="8"/>
  <c r="M228" i="8"/>
  <c r="M236" i="8"/>
  <c r="O251" i="8"/>
  <c r="N269" i="8"/>
  <c r="N274" i="8"/>
  <c r="M130" i="8"/>
  <c r="N10" i="8"/>
  <c r="M19" i="8"/>
  <c r="N22" i="8"/>
  <c r="M31" i="8"/>
  <c r="N28" i="8" s="1"/>
  <c r="M44" i="8"/>
  <c r="N41" i="8" s="1"/>
  <c r="O40" i="8" s="1"/>
  <c r="N35" i="8"/>
  <c r="K6" i="12" l="1"/>
  <c r="H39" i="12"/>
  <c r="H41" i="12" s="1"/>
  <c r="G33" i="1"/>
  <c r="G50" i="6"/>
  <c r="F24" i="9" s="1"/>
  <c r="G31" i="4"/>
  <c r="J27" i="9"/>
  <c r="J22" i="12"/>
  <c r="G30" i="9"/>
  <c r="F33" i="12"/>
  <c r="F37" i="12" s="1"/>
  <c r="M50" i="6"/>
  <c r="N50" i="6" s="1"/>
  <c r="O50" i="6" s="1"/>
  <c r="P50" i="6" s="1"/>
  <c r="Q50" i="6" s="1"/>
  <c r="R50" i="6" s="1"/>
  <c r="S50" i="6" s="1"/>
  <c r="T50" i="6" s="1"/>
  <c r="U50" i="6" s="1"/>
  <c r="K24" i="9"/>
  <c r="G33" i="12"/>
  <c r="G37" i="12" s="1"/>
  <c r="G39" i="12" s="1"/>
  <c r="G41" i="12" s="1"/>
  <c r="H30" i="9"/>
  <c r="L13" i="7"/>
  <c r="K33" i="11"/>
  <c r="J21" i="12"/>
  <c r="J19" i="12"/>
  <c r="J38" i="11"/>
  <c r="J41" i="11" s="1"/>
  <c r="M280" i="8"/>
  <c r="M19" i="7"/>
  <c r="M12" i="7"/>
  <c r="N18" i="7"/>
  <c r="O53" i="8"/>
  <c r="O146" i="8"/>
  <c r="N225" i="8"/>
  <c r="M241" i="8"/>
  <c r="N232" i="8"/>
  <c r="M283" i="8"/>
  <c r="N126" i="8"/>
  <c r="O27" i="8"/>
  <c r="N132" i="8"/>
  <c r="M135" i="8"/>
  <c r="I33" i="12" l="1"/>
  <c r="I37" i="12" s="1"/>
  <c r="I39" i="12" s="1"/>
  <c r="I41" i="12" s="1"/>
  <c r="J30" i="9"/>
  <c r="J11" i="10"/>
  <c r="F27" i="9"/>
  <c r="F30" i="9" s="1"/>
  <c r="F22" i="12"/>
  <c r="F23" i="12" s="1"/>
  <c r="F39" i="12" s="1"/>
  <c r="F41" i="12" s="1"/>
  <c r="K22" i="12"/>
  <c r="K27" i="9"/>
  <c r="L24" i="9"/>
  <c r="G37" i="1"/>
  <c r="G39" i="4" s="1"/>
  <c r="G35" i="4"/>
  <c r="G46" i="1"/>
  <c r="J23" i="12"/>
  <c r="E10" i="15"/>
  <c r="E11" i="15" s="1"/>
  <c r="M13" i="7"/>
  <c r="L33" i="11"/>
  <c r="K21" i="12"/>
  <c r="K19" i="12"/>
  <c r="K38" i="11"/>
  <c r="K41" i="11" s="1"/>
  <c r="O18" i="7"/>
  <c r="N19" i="7"/>
  <c r="N12" i="7"/>
  <c r="O131" i="8"/>
  <c r="M288" i="8"/>
  <c r="M308" i="8" s="1"/>
  <c r="K49" i="11" s="1"/>
  <c r="N279" i="8"/>
  <c r="O224" i="8"/>
  <c r="O237" i="8" s="1"/>
  <c r="N238" i="8"/>
  <c r="N275" i="8" s="1"/>
  <c r="N273" i="8"/>
  <c r="K29" i="9" l="1"/>
  <c r="K30" i="9" s="1"/>
  <c r="H16" i="16"/>
  <c r="H56" i="16"/>
  <c r="H18" i="16"/>
  <c r="L27" i="9"/>
  <c r="L22" i="12"/>
  <c r="J12" i="11"/>
  <c r="J15" i="10"/>
  <c r="K11" i="10"/>
  <c r="K56" i="11"/>
  <c r="K25" i="12"/>
  <c r="K23" i="12"/>
  <c r="F10" i="15"/>
  <c r="L19" i="12"/>
  <c r="L21" i="12"/>
  <c r="L38" i="11"/>
  <c r="L41" i="11" s="1"/>
  <c r="N13" i="7"/>
  <c r="M33" i="11"/>
  <c r="P18" i="7"/>
  <c r="O12" i="7"/>
  <c r="O19" i="7"/>
  <c r="O284" i="8"/>
  <c r="N266" i="8"/>
  <c r="N270" i="8" s="1"/>
  <c r="N277" i="8"/>
  <c r="N294" i="8" s="1"/>
  <c r="N285" i="8"/>
  <c r="L29" i="9" l="1"/>
  <c r="L30" i="9" s="1"/>
  <c r="I56" i="16"/>
  <c r="I16" i="16"/>
  <c r="K12" i="11"/>
  <c r="K15" i="10"/>
  <c r="L11" i="10"/>
  <c r="L15" i="10" s="1"/>
  <c r="J16" i="11"/>
  <c r="J44" i="11" s="1"/>
  <c r="J63" i="11" s="1"/>
  <c r="J33" i="12"/>
  <c r="J37" i="12" s="1"/>
  <c r="J39" i="12" s="1"/>
  <c r="J41" i="12" s="1"/>
  <c r="F9" i="15"/>
  <c r="F11" i="15" s="1"/>
  <c r="K29" i="12"/>
  <c r="M19" i="12"/>
  <c r="M21" i="12"/>
  <c r="M38" i="11"/>
  <c r="M41" i="11" s="1"/>
  <c r="O13" i="7"/>
  <c r="N33" i="11"/>
  <c r="L23" i="12"/>
  <c r="G10" i="15"/>
  <c r="P12" i="7"/>
  <c r="Q18" i="7"/>
  <c r="P19" i="7"/>
  <c r="N296" i="8"/>
  <c r="N298" i="8" s="1"/>
  <c r="N75" i="8" s="1"/>
  <c r="M16" i="9"/>
  <c r="L12" i="11" l="1"/>
  <c r="L16" i="11" s="1"/>
  <c r="K16" i="11"/>
  <c r="K33" i="12"/>
  <c r="K37" i="12" s="1"/>
  <c r="K39" i="12" s="1"/>
  <c r="K40" i="12"/>
  <c r="E50" i="15"/>
  <c r="M18" i="9"/>
  <c r="G8" i="15"/>
  <c r="L7" i="12"/>
  <c r="P13" i="7"/>
  <c r="O33" i="11"/>
  <c r="N21" i="12"/>
  <c r="N19" i="12"/>
  <c r="N38" i="11"/>
  <c r="N41" i="11" s="1"/>
  <c r="H10" i="15"/>
  <c r="N11" i="8"/>
  <c r="N23" i="8"/>
  <c r="N26" i="8" s="1"/>
  <c r="O22" i="8" s="1"/>
  <c r="N220" i="8"/>
  <c r="N223" i="8" s="1"/>
  <c r="O219" i="8" s="1"/>
  <c r="N88" i="8"/>
  <c r="N91" i="8" s="1"/>
  <c r="O87" i="8" s="1"/>
  <c r="N36" i="8"/>
  <c r="N39" i="8" s="1"/>
  <c r="O35" i="8" s="1"/>
  <c r="N155" i="8"/>
  <c r="N158" i="8" s="1"/>
  <c r="N101" i="8"/>
  <c r="N104" i="8" s="1"/>
  <c r="N49" i="8"/>
  <c r="N52" i="8" s="1"/>
  <c r="N194" i="8"/>
  <c r="N181" i="8"/>
  <c r="N184" i="8" s="1"/>
  <c r="N168" i="8"/>
  <c r="N171" i="8" s="1"/>
  <c r="N176" i="8" s="1"/>
  <c r="N114" i="8"/>
  <c r="N117" i="8" s="1"/>
  <c r="N122" i="8" s="1"/>
  <c r="O119" i="8" s="1"/>
  <c r="P118" i="8" s="1"/>
  <c r="N62" i="8"/>
  <c r="N65" i="8" s="1"/>
  <c r="N207" i="8"/>
  <c r="N210" i="8" s="1"/>
  <c r="O206" i="8" s="1"/>
  <c r="N246" i="8"/>
  <c r="N250" i="8" s="1"/>
  <c r="O245" i="8" s="1"/>
  <c r="N142" i="8"/>
  <c r="Q12" i="7"/>
  <c r="Q19" i="7"/>
  <c r="R18" i="7"/>
  <c r="O61" i="8"/>
  <c r="N70" i="8"/>
  <c r="O67" i="8" s="1"/>
  <c r="P66" i="8" s="1"/>
  <c r="N78" i="8"/>
  <c r="N14" i="8"/>
  <c r="N19" i="8" s="1"/>
  <c r="N197" i="8"/>
  <c r="M23" i="9" l="1"/>
  <c r="J12" i="16" s="1"/>
  <c r="J10" i="16"/>
  <c r="J42" i="16"/>
  <c r="K44" i="11"/>
  <c r="K63" i="11" s="1"/>
  <c r="L40" i="12" s="1"/>
  <c r="I38" i="16"/>
  <c r="I18" i="16"/>
  <c r="L44" i="11"/>
  <c r="J38" i="16"/>
  <c r="G6" i="15"/>
  <c r="K41" i="12"/>
  <c r="N228" i="8"/>
  <c r="N96" i="8"/>
  <c r="O93" i="8" s="1"/>
  <c r="P92" i="8" s="1"/>
  <c r="I10" i="15"/>
  <c r="O21" i="12"/>
  <c r="O19" i="12"/>
  <c r="O38" i="11"/>
  <c r="O41" i="11" s="1"/>
  <c r="Q13" i="7"/>
  <c r="P33" i="11"/>
  <c r="L6" i="12"/>
  <c r="N44" i="8"/>
  <c r="O41" i="8" s="1"/>
  <c r="P40" i="8" s="1"/>
  <c r="N31" i="8"/>
  <c r="O28" i="8" s="1"/>
  <c r="P27" i="8" s="1"/>
  <c r="O167" i="8"/>
  <c r="N215" i="8"/>
  <c r="O212" i="8" s="1"/>
  <c r="P211" i="8" s="1"/>
  <c r="N233" i="8"/>
  <c r="N127" i="8"/>
  <c r="N145" i="8"/>
  <c r="N150" i="8" s="1"/>
  <c r="O147" i="8" s="1"/>
  <c r="N255" i="8"/>
  <c r="O252" i="8" s="1"/>
  <c r="O274" i="8" s="1"/>
  <c r="O113" i="8"/>
  <c r="R12" i="7"/>
  <c r="R19" i="7"/>
  <c r="S18" i="7"/>
  <c r="O10" i="8"/>
  <c r="O48" i="8"/>
  <c r="N57" i="8"/>
  <c r="O54" i="8" s="1"/>
  <c r="P53" i="8" s="1"/>
  <c r="O74" i="8"/>
  <c r="N83" i="8"/>
  <c r="O80" i="8" s="1"/>
  <c r="P79" i="8" s="1"/>
  <c r="O100" i="8"/>
  <c r="N109" i="8"/>
  <c r="O106" i="8" s="1"/>
  <c r="P105" i="8" s="1"/>
  <c r="N163" i="8"/>
  <c r="O160" i="8" s="1"/>
  <c r="P159" i="8" s="1"/>
  <c r="O154" i="8"/>
  <c r="N130" i="8"/>
  <c r="O180" i="8"/>
  <c r="N189" i="8"/>
  <c r="O186" i="8" s="1"/>
  <c r="P185" i="8" s="1"/>
  <c r="O193" i="8"/>
  <c r="N202" i="8"/>
  <c r="O199" i="8" s="1"/>
  <c r="P198" i="8" s="1"/>
  <c r="O225" i="8"/>
  <c r="M24" i="9" l="1"/>
  <c r="K69" i="11"/>
  <c r="O141" i="8"/>
  <c r="R13" i="7"/>
  <c r="Q33" i="11"/>
  <c r="P19" i="12"/>
  <c r="P21" i="12"/>
  <c r="P38" i="11"/>
  <c r="P41" i="11" s="1"/>
  <c r="M27" i="9"/>
  <c r="M22" i="12"/>
  <c r="M23" i="12" s="1"/>
  <c r="J10" i="15"/>
  <c r="O269" i="8"/>
  <c r="N280" i="8"/>
  <c r="N236" i="8"/>
  <c r="N283" i="8" s="1"/>
  <c r="P251" i="8"/>
  <c r="T18" i="7"/>
  <c r="S12" i="7"/>
  <c r="S19" i="7"/>
  <c r="O126" i="8"/>
  <c r="N135" i="8"/>
  <c r="O132" i="8"/>
  <c r="O273" i="8" s="1"/>
  <c r="P131" i="8"/>
  <c r="P146" i="8"/>
  <c r="O232" i="8"/>
  <c r="N241" i="8"/>
  <c r="P224" i="8"/>
  <c r="O238" i="8"/>
  <c r="O275" i="8" s="1"/>
  <c r="J56" i="16" l="1"/>
  <c r="J18" i="16"/>
  <c r="J16" i="16"/>
  <c r="K71" i="11"/>
  <c r="I29" i="16"/>
  <c r="I27" i="16"/>
  <c r="K10" i="15"/>
  <c r="L33" i="12"/>
  <c r="L37" i="12" s="1"/>
  <c r="M29" i="9"/>
  <c r="M30" i="9" s="1"/>
  <c r="Q19" i="12"/>
  <c r="Q21" i="12"/>
  <c r="Q38" i="11"/>
  <c r="Q41" i="11" s="1"/>
  <c r="S13" i="7"/>
  <c r="R33" i="11"/>
  <c r="P237" i="8"/>
  <c r="P284" i="8" s="1"/>
  <c r="T12" i="7"/>
  <c r="T19" i="7"/>
  <c r="O279" i="8"/>
  <c r="N288" i="8"/>
  <c r="N308" i="8" s="1"/>
  <c r="L49" i="11" s="1"/>
  <c r="O285" i="8"/>
  <c r="O266" i="8"/>
  <c r="O270" i="8" s="1"/>
  <c r="O277" i="8"/>
  <c r="O294" i="8" s="1"/>
  <c r="K73" i="11" l="1"/>
  <c r="I60" i="16"/>
  <c r="I40" i="16"/>
  <c r="I36" i="16"/>
  <c r="I49" i="16"/>
  <c r="I58" i="16"/>
  <c r="I62" i="16" s="1"/>
  <c r="I20" i="16"/>
  <c r="I22" i="16"/>
  <c r="L56" i="11"/>
  <c r="L63" i="11" s="1"/>
  <c r="L25" i="12"/>
  <c r="T13" i="7"/>
  <c r="S33" i="11"/>
  <c r="R21" i="12"/>
  <c r="R19" i="12"/>
  <c r="R38" i="11"/>
  <c r="R41" i="11" s="1"/>
  <c r="L10" i="15"/>
  <c r="M11" i="10"/>
  <c r="O296" i="8"/>
  <c r="O298" i="8" s="1"/>
  <c r="O49" i="8" s="1"/>
  <c r="O52" i="8" s="1"/>
  <c r="N16" i="9"/>
  <c r="O114" i="8"/>
  <c r="O155" i="8"/>
  <c r="O220" i="8"/>
  <c r="N18" i="9" l="1"/>
  <c r="H8" i="15"/>
  <c r="M7" i="12"/>
  <c r="O246" i="8"/>
  <c r="O250" i="8" s="1"/>
  <c r="P245" i="8" s="1"/>
  <c r="L69" i="11"/>
  <c r="M40" i="12"/>
  <c r="G9" i="15"/>
  <c r="G11" i="15" s="1"/>
  <c r="L29" i="12"/>
  <c r="L39" i="12" s="1"/>
  <c r="L41" i="12" s="1"/>
  <c r="O88" i="8"/>
  <c r="O11" i="8"/>
  <c r="O14" i="8" s="1"/>
  <c r="M10" i="15"/>
  <c r="M12" i="11"/>
  <c r="M15" i="10"/>
  <c r="S21" i="12"/>
  <c r="S19" i="12"/>
  <c r="S38" i="11"/>
  <c r="S41" i="11" s="1"/>
  <c r="O36" i="8"/>
  <c r="O39" i="8" s="1"/>
  <c r="P35" i="8" s="1"/>
  <c r="O181" i="8"/>
  <c r="O184" i="8" s="1"/>
  <c r="O101" i="8"/>
  <c r="O104" i="8" s="1"/>
  <c r="O207" i="8"/>
  <c r="O210" i="8" s="1"/>
  <c r="O168" i="8"/>
  <c r="O171" i="8" s="1"/>
  <c r="P167" i="8" s="1"/>
  <c r="O62" i="8"/>
  <c r="O65" i="8" s="1"/>
  <c r="O23" i="8"/>
  <c r="O26" i="8" s="1"/>
  <c r="O31" i="8" s="1"/>
  <c r="P28" i="8" s="1"/>
  <c r="O194" i="8"/>
  <c r="O197" i="8" s="1"/>
  <c r="O202" i="8" s="1"/>
  <c r="P199" i="8" s="1"/>
  <c r="Q198" i="8" s="1"/>
  <c r="O142" i="8"/>
  <c r="O145" i="8" s="1"/>
  <c r="O150" i="8" s="1"/>
  <c r="P147" i="8" s="1"/>
  <c r="O75" i="8"/>
  <c r="O78" i="8" s="1"/>
  <c r="O83" i="8" s="1"/>
  <c r="P80" i="8" s="1"/>
  <c r="Q79" i="8" s="1"/>
  <c r="P48" i="8"/>
  <c r="O57" i="8"/>
  <c r="P54" i="8" s="1"/>
  <c r="Q53" i="8" s="1"/>
  <c r="O91" i="8"/>
  <c r="P100" i="8"/>
  <c r="O109" i="8"/>
  <c r="P106" i="8" s="1"/>
  <c r="Q105" i="8" s="1"/>
  <c r="O117" i="8"/>
  <c r="O158" i="8"/>
  <c r="P193" i="8"/>
  <c r="O223" i="8"/>
  <c r="O19" i="8"/>
  <c r="P10" i="8"/>
  <c r="L71" i="11" l="1"/>
  <c r="J27" i="16"/>
  <c r="J29" i="16"/>
  <c r="H6" i="15"/>
  <c r="K42" i="16"/>
  <c r="K10" i="16"/>
  <c r="N23" i="9"/>
  <c r="K12" i="16" s="1"/>
  <c r="O255" i="8"/>
  <c r="P252" i="8" s="1"/>
  <c r="Q251" i="8" s="1"/>
  <c r="N10" i="15"/>
  <c r="M16" i="11"/>
  <c r="P22" i="8"/>
  <c r="O176" i="8"/>
  <c r="P141" i="8"/>
  <c r="O127" i="8"/>
  <c r="P74" i="8"/>
  <c r="O233" i="8"/>
  <c r="O70" i="8"/>
  <c r="P67" i="8" s="1"/>
  <c r="Q66" i="8" s="1"/>
  <c r="P61" i="8"/>
  <c r="P87" i="8"/>
  <c r="O96" i="8"/>
  <c r="P93" i="8" s="1"/>
  <c r="Q92" i="8" s="1"/>
  <c r="P113" i="8"/>
  <c r="O122" i="8"/>
  <c r="P119" i="8" s="1"/>
  <c r="Q118" i="8" s="1"/>
  <c r="Q146" i="8"/>
  <c r="P154" i="8"/>
  <c r="O163" i="8"/>
  <c r="P160" i="8" s="1"/>
  <c r="Q159" i="8" s="1"/>
  <c r="P180" i="8"/>
  <c r="O189" i="8"/>
  <c r="P186" i="8" s="1"/>
  <c r="Q185" i="8" s="1"/>
  <c r="O44" i="8"/>
  <c r="P41" i="8" s="1"/>
  <c r="Q40" i="8" s="1"/>
  <c r="P269" i="8"/>
  <c r="O130" i="8"/>
  <c r="P206" i="8"/>
  <c r="O215" i="8"/>
  <c r="P212" i="8" s="1"/>
  <c r="Q211" i="8" s="1"/>
  <c r="P219" i="8"/>
  <c r="O228" i="8"/>
  <c r="O236" i="8"/>
  <c r="Q27" i="8"/>
  <c r="M6" i="12" l="1"/>
  <c r="N24" i="9"/>
  <c r="M44" i="11"/>
  <c r="K38" i="16"/>
  <c r="L73" i="11"/>
  <c r="J36" i="16"/>
  <c r="J60" i="16"/>
  <c r="J40" i="16"/>
  <c r="J58" i="16"/>
  <c r="J49" i="16"/>
  <c r="J20" i="16"/>
  <c r="J22" i="16"/>
  <c r="P274" i="8"/>
  <c r="N27" i="9"/>
  <c r="N22" i="12"/>
  <c r="N23" i="12" s="1"/>
  <c r="O280" i="8"/>
  <c r="P126" i="8"/>
  <c r="O135" i="8"/>
  <c r="P132" i="8"/>
  <c r="P273" i="8" s="1"/>
  <c r="O283" i="8"/>
  <c r="P225" i="8"/>
  <c r="O241" i="8"/>
  <c r="P232" i="8"/>
  <c r="Q131" i="8"/>
  <c r="J62" i="16" l="1"/>
  <c r="K56" i="16"/>
  <c r="K16" i="16"/>
  <c r="K18" i="16"/>
  <c r="N29" i="9"/>
  <c r="M33" i="12"/>
  <c r="M37" i="12" s="1"/>
  <c r="O288" i="8"/>
  <c r="O308" i="8" s="1"/>
  <c r="M49" i="11" s="1"/>
  <c r="P279" i="8"/>
  <c r="Q224" i="8"/>
  <c r="Q237" i="8" s="1"/>
  <c r="Q284" i="8" s="1"/>
  <c r="P238" i="8"/>
  <c r="M56" i="11" l="1"/>
  <c r="M63" i="11" s="1"/>
  <c r="M25" i="12"/>
  <c r="N11" i="10"/>
  <c r="N30" i="9"/>
  <c r="P275" i="8"/>
  <c r="P277" i="8" s="1"/>
  <c r="P294" i="8" s="1"/>
  <c r="P266" i="8"/>
  <c r="P270" i="8" s="1"/>
  <c r="P285" i="8"/>
  <c r="H9" i="15" l="1"/>
  <c r="H11" i="15" s="1"/>
  <c r="M29" i="12"/>
  <c r="M39" i="12" s="1"/>
  <c r="M41" i="12" s="1"/>
  <c r="N40" i="12"/>
  <c r="M69" i="11"/>
  <c r="N12" i="11"/>
  <c r="N15" i="10"/>
  <c r="P296" i="8"/>
  <c r="P298" i="8" s="1"/>
  <c r="P62" i="8" s="1"/>
  <c r="P65" i="8" s="1"/>
  <c r="O16" i="9"/>
  <c r="M71" i="11" l="1"/>
  <c r="K27" i="16"/>
  <c r="K29" i="16"/>
  <c r="O18" i="9"/>
  <c r="I8" i="15"/>
  <c r="N7" i="12"/>
  <c r="N16" i="11"/>
  <c r="P207" i="8"/>
  <c r="P210" i="8" s="1"/>
  <c r="P215" i="8" s="1"/>
  <c r="Q212" i="8" s="1"/>
  <c r="R211" i="8" s="1"/>
  <c r="P142" i="8"/>
  <c r="P145" i="8" s="1"/>
  <c r="P36" i="8"/>
  <c r="P39" i="8" s="1"/>
  <c r="Q35" i="8" s="1"/>
  <c r="P155" i="8"/>
  <c r="P158" i="8" s="1"/>
  <c r="P163" i="8" s="1"/>
  <c r="Q160" i="8" s="1"/>
  <c r="P23" i="8"/>
  <c r="P26" i="8" s="1"/>
  <c r="Q22" i="8" s="1"/>
  <c r="P88" i="8"/>
  <c r="P91" i="8" s="1"/>
  <c r="Q87" i="8" s="1"/>
  <c r="P194" i="8"/>
  <c r="P197" i="8" s="1"/>
  <c r="P75" i="8"/>
  <c r="P78" i="8" s="1"/>
  <c r="P220" i="8"/>
  <c r="P223" i="8" s="1"/>
  <c r="P168" i="8"/>
  <c r="P171" i="8" s="1"/>
  <c r="P101" i="8"/>
  <c r="P104" i="8" s="1"/>
  <c r="P49" i="8"/>
  <c r="P52" i="8" s="1"/>
  <c r="P11" i="8"/>
  <c r="P14" i="8" s="1"/>
  <c r="P246" i="8"/>
  <c r="P250" i="8" s="1"/>
  <c r="Q245" i="8" s="1"/>
  <c r="P181" i="8"/>
  <c r="P184" i="8" s="1"/>
  <c r="P189" i="8" s="1"/>
  <c r="Q186" i="8" s="1"/>
  <c r="R185" i="8" s="1"/>
  <c r="P114" i="8"/>
  <c r="P117" i="8" s="1"/>
  <c r="Q113" i="8" s="1"/>
  <c r="Q61" i="8"/>
  <c r="P70" i="8"/>
  <c r="Q67" i="8" s="1"/>
  <c r="R66" i="8" s="1"/>
  <c r="Q154" i="8"/>
  <c r="Q206" i="8"/>
  <c r="P44" i="8"/>
  <c r="Q41" i="8" s="1"/>
  <c r="R40" i="8" s="1"/>
  <c r="O23" i="9" l="1"/>
  <c r="L12" i="16" s="1"/>
  <c r="L10" i="16"/>
  <c r="L42" i="16"/>
  <c r="N44" i="11"/>
  <c r="L38" i="16"/>
  <c r="I6" i="15"/>
  <c r="M73" i="11"/>
  <c r="K36" i="16"/>
  <c r="K60" i="16"/>
  <c r="K40" i="16"/>
  <c r="K49" i="16"/>
  <c r="K58" i="16"/>
  <c r="K20" i="16"/>
  <c r="K22" i="16"/>
  <c r="N6" i="12"/>
  <c r="Q180" i="8"/>
  <c r="P96" i="8"/>
  <c r="Q93" i="8" s="1"/>
  <c r="R92" i="8" s="1"/>
  <c r="P31" i="8"/>
  <c r="Q28" i="8" s="1"/>
  <c r="R27" i="8" s="1"/>
  <c r="P255" i="8"/>
  <c r="Q252" i="8" s="1"/>
  <c r="R251" i="8" s="1"/>
  <c r="P127" i="8"/>
  <c r="P233" i="8"/>
  <c r="P122" i="8"/>
  <c r="Q119" i="8" s="1"/>
  <c r="R118" i="8" s="1"/>
  <c r="Q48" i="8"/>
  <c r="P57" i="8"/>
  <c r="Q54" i="8" s="1"/>
  <c r="R53" i="8" s="1"/>
  <c r="P83" i="8"/>
  <c r="Q80" i="8" s="1"/>
  <c r="R79" i="8" s="1"/>
  <c r="Q74" i="8"/>
  <c r="P109" i="8"/>
  <c r="Q106" i="8" s="1"/>
  <c r="R105" i="8" s="1"/>
  <c r="Q100" i="8"/>
  <c r="Q141" i="8"/>
  <c r="P150" i="8"/>
  <c r="Q147" i="8" s="1"/>
  <c r="R159" i="8"/>
  <c r="P176" i="8"/>
  <c r="Q167" i="8"/>
  <c r="Q193" i="8"/>
  <c r="P202" i="8"/>
  <c r="Q199" i="8" s="1"/>
  <c r="R198" i="8" s="1"/>
  <c r="Q269" i="8"/>
  <c r="Q219" i="8"/>
  <c r="P228" i="8"/>
  <c r="P236" i="8"/>
  <c r="Q10" i="8"/>
  <c r="P19" i="8"/>
  <c r="P130" i="8"/>
  <c r="K62" i="16" l="1"/>
  <c r="O24" i="9"/>
  <c r="O27" i="9"/>
  <c r="O22" i="12"/>
  <c r="O23" i="12" s="1"/>
  <c r="Q274" i="8"/>
  <c r="P280" i="8"/>
  <c r="P135" i="8"/>
  <c r="R131" i="8"/>
  <c r="Q132" i="8"/>
  <c r="Q273" i="8" s="1"/>
  <c r="Q126" i="8"/>
  <c r="R146" i="8"/>
  <c r="P283" i="8"/>
  <c r="Q225" i="8"/>
  <c r="P241" i="8"/>
  <c r="Q232" i="8"/>
  <c r="L18" i="16" l="1"/>
  <c r="L56" i="16"/>
  <c r="L16" i="16"/>
  <c r="O29" i="9"/>
  <c r="O30" i="9" s="1"/>
  <c r="N33" i="12"/>
  <c r="N37" i="12" s="1"/>
  <c r="P288" i="8"/>
  <c r="P308" i="8" s="1"/>
  <c r="N49" i="11" s="1"/>
  <c r="Q279" i="8"/>
  <c r="R224" i="8"/>
  <c r="R237" i="8" s="1"/>
  <c r="R284" i="8" s="1"/>
  <c r="Q238" i="8"/>
  <c r="N25" i="12" l="1"/>
  <c r="N56" i="11"/>
  <c r="N63" i="11" s="1"/>
  <c r="O11" i="10"/>
  <c r="O12" i="11" s="1"/>
  <c r="Q275" i="8"/>
  <c r="Q277" i="8" s="1"/>
  <c r="Q294" i="8" s="1"/>
  <c r="Q285" i="8"/>
  <c r="Q266" i="8"/>
  <c r="Q270" i="8" s="1"/>
  <c r="O15" i="10" l="1"/>
  <c r="O40" i="12"/>
  <c r="N69" i="11"/>
  <c r="I9" i="15"/>
  <c r="I11" i="15" s="1"/>
  <c r="N29" i="12"/>
  <c r="N39" i="12" s="1"/>
  <c r="N41" i="12" s="1"/>
  <c r="O16" i="11"/>
  <c r="Q296" i="8"/>
  <c r="Q298" i="8" s="1"/>
  <c r="Q62" i="8" s="1"/>
  <c r="Q65" i="8" s="1"/>
  <c r="P16" i="9"/>
  <c r="N71" i="11" l="1"/>
  <c r="L29" i="16"/>
  <c r="L27" i="16"/>
  <c r="O44" i="11"/>
  <c r="M38" i="16"/>
  <c r="P18" i="9"/>
  <c r="J8" i="15"/>
  <c r="O7" i="12"/>
  <c r="Q23" i="8"/>
  <c r="Q26" i="8" s="1"/>
  <c r="R22" i="8" s="1"/>
  <c r="P23" i="9"/>
  <c r="M12" i="16" s="1"/>
  <c r="Q11" i="8"/>
  <c r="Q14" i="8" s="1"/>
  <c r="Q142" i="8"/>
  <c r="Q145" i="8" s="1"/>
  <c r="Q155" i="8"/>
  <c r="Q158" i="8" s="1"/>
  <c r="Q163" i="8" s="1"/>
  <c r="R160" i="8" s="1"/>
  <c r="Q194" i="8"/>
  <c r="Q197" i="8" s="1"/>
  <c r="Q75" i="8"/>
  <c r="Q78" i="8" s="1"/>
  <c r="Q207" i="8"/>
  <c r="Q210" i="8" s="1"/>
  <c r="Q215" i="8" s="1"/>
  <c r="R212" i="8" s="1"/>
  <c r="S211" i="8" s="1"/>
  <c r="Q88" i="8"/>
  <c r="Q91" i="8" s="1"/>
  <c r="R87" i="8" s="1"/>
  <c r="Q220" i="8"/>
  <c r="Q223" i="8" s="1"/>
  <c r="Q168" i="8"/>
  <c r="Q171" i="8" s="1"/>
  <c r="Q101" i="8"/>
  <c r="Q104" i="8" s="1"/>
  <c r="Q49" i="8"/>
  <c r="Q52" i="8" s="1"/>
  <c r="Q36" i="8"/>
  <c r="Q39" i="8" s="1"/>
  <c r="Q44" i="8" s="1"/>
  <c r="R41" i="8" s="1"/>
  <c r="S40" i="8" s="1"/>
  <c r="Q246" i="8"/>
  <c r="Q250" i="8" s="1"/>
  <c r="Q255" i="8" s="1"/>
  <c r="R252" i="8" s="1"/>
  <c r="Q181" i="8"/>
  <c r="Q184" i="8" s="1"/>
  <c r="R180" i="8" s="1"/>
  <c r="Q114" i="8"/>
  <c r="Q117" i="8" s="1"/>
  <c r="Q122" i="8" s="1"/>
  <c r="R119" i="8" s="1"/>
  <c r="S118" i="8" s="1"/>
  <c r="Q70" i="8"/>
  <c r="R67" i="8" s="1"/>
  <c r="S66" i="8" s="1"/>
  <c r="R61" i="8"/>
  <c r="Q31" i="8"/>
  <c r="R28" i="8" s="1"/>
  <c r="J6" i="15" l="1"/>
  <c r="M10" i="16"/>
  <c r="M42" i="16"/>
  <c r="N73" i="11"/>
  <c r="L40" i="16"/>
  <c r="L60" i="16"/>
  <c r="L36" i="16"/>
  <c r="L49" i="16"/>
  <c r="L58" i="16"/>
  <c r="L20" i="16"/>
  <c r="L22" i="16"/>
  <c r="P24" i="9"/>
  <c r="O6" i="12"/>
  <c r="R154" i="8"/>
  <c r="R206" i="8"/>
  <c r="Q96" i="8"/>
  <c r="R93" i="8" s="1"/>
  <c r="S92" i="8" s="1"/>
  <c r="Q189" i="8"/>
  <c r="R186" i="8" s="1"/>
  <c r="S185" i="8" s="1"/>
  <c r="R245" i="8"/>
  <c r="Q127" i="8"/>
  <c r="R113" i="8"/>
  <c r="R35" i="8"/>
  <c r="Q233" i="8"/>
  <c r="R48" i="8"/>
  <c r="Q57" i="8"/>
  <c r="R54" i="8" s="1"/>
  <c r="S53" i="8" s="1"/>
  <c r="R74" i="8"/>
  <c r="Q83" i="8"/>
  <c r="R80" i="8" s="1"/>
  <c r="S79" i="8" s="1"/>
  <c r="R100" i="8"/>
  <c r="Q109" i="8"/>
  <c r="R106" i="8" s="1"/>
  <c r="S105" i="8" s="1"/>
  <c r="R141" i="8"/>
  <c r="Q150" i="8"/>
  <c r="R147" i="8" s="1"/>
  <c r="S159" i="8"/>
  <c r="R167" i="8"/>
  <c r="Q176" i="8"/>
  <c r="R193" i="8"/>
  <c r="Q202" i="8"/>
  <c r="R199" i="8" s="1"/>
  <c r="S198" i="8" s="1"/>
  <c r="S27" i="8"/>
  <c r="R274" i="8"/>
  <c r="R269" i="8"/>
  <c r="S251" i="8"/>
  <c r="R10" i="8"/>
  <c r="Q130" i="8"/>
  <c r="Q19" i="8"/>
  <c r="R219" i="8"/>
  <c r="Q228" i="8"/>
  <c r="Q236" i="8"/>
  <c r="L62" i="16" l="1"/>
  <c r="P27" i="9"/>
  <c r="P22" i="12"/>
  <c r="P23" i="12" s="1"/>
  <c r="Q280" i="8"/>
  <c r="R132" i="8"/>
  <c r="R273" i="8" s="1"/>
  <c r="R126" i="8"/>
  <c r="S131" i="8"/>
  <c r="Q135" i="8"/>
  <c r="S146" i="8"/>
  <c r="Q283" i="8"/>
  <c r="R225" i="8"/>
  <c r="Q241" i="8"/>
  <c r="R232" i="8"/>
  <c r="M56" i="16" l="1"/>
  <c r="M18" i="16"/>
  <c r="M16" i="16"/>
  <c r="O33" i="12"/>
  <c r="O37" i="12" s="1"/>
  <c r="P29" i="9"/>
  <c r="Q288" i="8"/>
  <c r="Q308" i="8" s="1"/>
  <c r="O49" i="11" s="1"/>
  <c r="R279" i="8"/>
  <c r="S224" i="8"/>
  <c r="S237" i="8" s="1"/>
  <c r="S284" i="8" s="1"/>
  <c r="R238" i="8"/>
  <c r="O56" i="11" l="1"/>
  <c r="O63" i="11" s="1"/>
  <c r="O25" i="12"/>
  <c r="P11" i="10"/>
  <c r="P30" i="9"/>
  <c r="R275" i="8"/>
  <c r="R277" i="8" s="1"/>
  <c r="R294" i="8" s="1"/>
  <c r="R285" i="8"/>
  <c r="R266" i="8"/>
  <c r="R270" i="8" s="1"/>
  <c r="J9" i="15" l="1"/>
  <c r="J11" i="15" s="1"/>
  <c r="O29" i="12"/>
  <c r="O39" i="12" s="1"/>
  <c r="O41" i="12" s="1"/>
  <c r="P40" i="12"/>
  <c r="O69" i="11"/>
  <c r="P15" i="10"/>
  <c r="P12" i="11"/>
  <c r="R296" i="8"/>
  <c r="R298" i="8" s="1"/>
  <c r="R75" i="8" s="1"/>
  <c r="Q16" i="9"/>
  <c r="O71" i="11" l="1"/>
  <c r="M29" i="16"/>
  <c r="M27" i="16"/>
  <c r="Q18" i="9"/>
  <c r="K8" i="15"/>
  <c r="P7" i="12"/>
  <c r="P16" i="11"/>
  <c r="R220" i="8"/>
  <c r="R223" i="8" s="1"/>
  <c r="R207" i="8"/>
  <c r="R210" i="8" s="1"/>
  <c r="R215" i="8" s="1"/>
  <c r="S212" i="8" s="1"/>
  <c r="T211" i="8" s="1"/>
  <c r="R155" i="8"/>
  <c r="R158" i="8" s="1"/>
  <c r="R163" i="8" s="1"/>
  <c r="S160" i="8" s="1"/>
  <c r="R88" i="8"/>
  <c r="R91" i="8" s="1"/>
  <c r="R96" i="8" s="1"/>
  <c r="S93" i="8" s="1"/>
  <c r="T92" i="8" s="1"/>
  <c r="R23" i="8"/>
  <c r="R26" i="8" s="1"/>
  <c r="S22" i="8" s="1"/>
  <c r="R168" i="8"/>
  <c r="R171" i="8" s="1"/>
  <c r="R101" i="8"/>
  <c r="R104" i="8" s="1"/>
  <c r="R49" i="8"/>
  <c r="R52" i="8" s="1"/>
  <c r="R36" i="8"/>
  <c r="R39" i="8" s="1"/>
  <c r="R44" i="8" s="1"/>
  <c r="S41" i="8" s="1"/>
  <c r="T40" i="8" s="1"/>
  <c r="R246" i="8"/>
  <c r="R250" i="8" s="1"/>
  <c r="R255" i="8" s="1"/>
  <c r="S252" i="8" s="1"/>
  <c r="R181" i="8"/>
  <c r="R184" i="8" s="1"/>
  <c r="S180" i="8" s="1"/>
  <c r="R114" i="8"/>
  <c r="R117" i="8" s="1"/>
  <c r="S113" i="8" s="1"/>
  <c r="R62" i="8"/>
  <c r="R65" i="8" s="1"/>
  <c r="S61" i="8" s="1"/>
  <c r="R11" i="8"/>
  <c r="R194" i="8"/>
  <c r="R197" i="8" s="1"/>
  <c r="R142" i="8"/>
  <c r="R145" i="8" s="1"/>
  <c r="R78" i="8"/>
  <c r="S87" i="8"/>
  <c r="Q23" i="9" l="1"/>
  <c r="N12" i="16" s="1"/>
  <c r="N10" i="16"/>
  <c r="N42" i="16"/>
  <c r="P44" i="11"/>
  <c r="N38" i="16"/>
  <c r="K6" i="15"/>
  <c r="O73" i="11"/>
  <c r="M60" i="16"/>
  <c r="M40" i="16"/>
  <c r="M36" i="16"/>
  <c r="M58" i="16"/>
  <c r="M49" i="16"/>
  <c r="M20" i="16"/>
  <c r="M22" i="16"/>
  <c r="Q24" i="9"/>
  <c r="P6" i="12"/>
  <c r="R189" i="8"/>
  <c r="S186" i="8" s="1"/>
  <c r="T185" i="8" s="1"/>
  <c r="S154" i="8"/>
  <c r="S35" i="8"/>
  <c r="R122" i="8"/>
  <c r="S119" i="8" s="1"/>
  <c r="T118" i="8" s="1"/>
  <c r="R70" i="8"/>
  <c r="S67" i="8" s="1"/>
  <c r="T66" i="8" s="1"/>
  <c r="R127" i="8"/>
  <c r="S206" i="8"/>
  <c r="R233" i="8"/>
  <c r="S245" i="8"/>
  <c r="R31" i="8"/>
  <c r="S28" i="8" s="1"/>
  <c r="T27" i="8" s="1"/>
  <c r="R14" i="8"/>
  <c r="R130" i="8" s="1"/>
  <c r="S48" i="8"/>
  <c r="R57" i="8"/>
  <c r="S54" i="8" s="1"/>
  <c r="T53" i="8" s="1"/>
  <c r="R83" i="8"/>
  <c r="S80" i="8" s="1"/>
  <c r="T79" i="8" s="1"/>
  <c r="S74" i="8"/>
  <c r="R109" i="8"/>
  <c r="S106" i="8" s="1"/>
  <c r="T105" i="8" s="1"/>
  <c r="S100" i="8"/>
  <c r="R150" i="8"/>
  <c r="S147" i="8" s="1"/>
  <c r="S141" i="8"/>
  <c r="T159" i="8"/>
  <c r="R176" i="8"/>
  <c r="S167" i="8"/>
  <c r="S193" i="8"/>
  <c r="R202" i="8"/>
  <c r="S199" i="8" s="1"/>
  <c r="T198" i="8" s="1"/>
  <c r="S269" i="8"/>
  <c r="S274" i="8"/>
  <c r="T251" i="8"/>
  <c r="R228" i="8"/>
  <c r="S219" i="8"/>
  <c r="R236" i="8"/>
  <c r="M62" i="16" l="1"/>
  <c r="R280" i="8"/>
  <c r="Q27" i="9"/>
  <c r="Q22" i="12"/>
  <c r="Q23" i="12" s="1"/>
  <c r="S10" i="8"/>
  <c r="S126" i="8" s="1"/>
  <c r="R19" i="8"/>
  <c r="R135" i="8" s="1"/>
  <c r="S132" i="8"/>
  <c r="S273" i="8" s="1"/>
  <c r="T131" i="8"/>
  <c r="T146" i="8"/>
  <c r="R283" i="8"/>
  <c r="S232" i="8"/>
  <c r="S225" i="8"/>
  <c r="R241" i="8"/>
  <c r="N16" i="16" l="1"/>
  <c r="N18" i="16"/>
  <c r="N56" i="16"/>
  <c r="Q29" i="9"/>
  <c r="Q30" i="9" s="1"/>
  <c r="P33" i="12"/>
  <c r="P37" i="12" s="1"/>
  <c r="R288" i="8"/>
  <c r="R308" i="8" s="1"/>
  <c r="P49" i="11" s="1"/>
  <c r="S279" i="8"/>
  <c r="T224" i="8"/>
  <c r="T237" i="8" s="1"/>
  <c r="T284" i="8" s="1"/>
  <c r="S238" i="8"/>
  <c r="Q11" i="10" l="1"/>
  <c r="Q12" i="11" s="1"/>
  <c r="P56" i="11"/>
  <c r="P63" i="11" s="1"/>
  <c r="P25" i="12"/>
  <c r="S275" i="8"/>
  <c r="S277" i="8" s="1"/>
  <c r="S294" i="8" s="1"/>
  <c r="S285" i="8"/>
  <c r="S266" i="8"/>
  <c r="S270" i="8" s="1"/>
  <c r="Q15" i="10" l="1"/>
  <c r="K9" i="15"/>
  <c r="K11" i="15" s="1"/>
  <c r="P29" i="12"/>
  <c r="P39" i="12" s="1"/>
  <c r="P41" i="12" s="1"/>
  <c r="P69" i="11"/>
  <c r="Q40" i="12"/>
  <c r="Q16" i="11"/>
  <c r="S296" i="8"/>
  <c r="S298" i="8" s="1"/>
  <c r="S49" i="8" s="1"/>
  <c r="R16" i="9"/>
  <c r="S207" i="8"/>
  <c r="S210" i="8" s="1"/>
  <c r="S36" i="8"/>
  <c r="S39" i="8" s="1"/>
  <c r="P71" i="11" l="1"/>
  <c r="N27" i="16"/>
  <c r="N29" i="16"/>
  <c r="Q44" i="11"/>
  <c r="O38" i="16"/>
  <c r="R18" i="9"/>
  <c r="L8" i="15"/>
  <c r="Q7" i="12"/>
  <c r="S181" i="8"/>
  <c r="S184" i="8" s="1"/>
  <c r="S189" i="8" s="1"/>
  <c r="T186" i="8" s="1"/>
  <c r="U185" i="8" s="1"/>
  <c r="S75" i="8"/>
  <c r="S78" i="8" s="1"/>
  <c r="S220" i="8"/>
  <c r="S223" i="8" s="1"/>
  <c r="S114" i="8"/>
  <c r="S117" i="8" s="1"/>
  <c r="S122" i="8" s="1"/>
  <c r="T119" i="8" s="1"/>
  <c r="U118" i="8" s="1"/>
  <c r="S246" i="8"/>
  <c r="S250" i="8" s="1"/>
  <c r="S255" i="8" s="1"/>
  <c r="T252" i="8" s="1"/>
  <c r="S142" i="8"/>
  <c r="S145" i="8" s="1"/>
  <c r="S88" i="8"/>
  <c r="S91" i="8" s="1"/>
  <c r="T87" i="8" s="1"/>
  <c r="S23" i="8"/>
  <c r="S26" i="8" s="1"/>
  <c r="T22" i="8" s="1"/>
  <c r="S194" i="8"/>
  <c r="S197" i="8" s="1"/>
  <c r="S155" i="8"/>
  <c r="S158" i="8" s="1"/>
  <c r="S163" i="8" s="1"/>
  <c r="T160" i="8" s="1"/>
  <c r="S62" i="8"/>
  <c r="S65" i="8" s="1"/>
  <c r="T61" i="8" s="1"/>
  <c r="S11" i="8"/>
  <c r="S168" i="8"/>
  <c r="S171" i="8" s="1"/>
  <c r="S101" i="8"/>
  <c r="S104" i="8" s="1"/>
  <c r="S52" i="8"/>
  <c r="T180" i="8"/>
  <c r="T206" i="8"/>
  <c r="S215" i="8"/>
  <c r="T212" i="8" s="1"/>
  <c r="U211" i="8" s="1"/>
  <c r="S44" i="8"/>
  <c r="T41" i="8" s="1"/>
  <c r="U40" i="8" s="1"/>
  <c r="T35" i="8"/>
  <c r="R23" i="9" l="1"/>
  <c r="O12" i="16" s="1"/>
  <c r="O42" i="16"/>
  <c r="O10" i="16"/>
  <c r="P73" i="11"/>
  <c r="N60" i="16"/>
  <c r="N40" i="16"/>
  <c r="N36" i="16"/>
  <c r="N58" i="16"/>
  <c r="N49" i="16"/>
  <c r="N20" i="16"/>
  <c r="N22" i="16"/>
  <c r="L6" i="15"/>
  <c r="Q6" i="12"/>
  <c r="R24" i="9"/>
  <c r="R27" i="9" s="1"/>
  <c r="T113" i="8"/>
  <c r="T245" i="8"/>
  <c r="T154" i="8"/>
  <c r="S70" i="8"/>
  <c r="T67" i="8" s="1"/>
  <c r="U66" i="8" s="1"/>
  <c r="S31" i="8"/>
  <c r="T28" i="8" s="1"/>
  <c r="U27" i="8" s="1"/>
  <c r="S96" i="8"/>
  <c r="T93" i="8" s="1"/>
  <c r="U92" i="8" s="1"/>
  <c r="S127" i="8"/>
  <c r="S233" i="8"/>
  <c r="S14" i="8"/>
  <c r="S19" i="8" s="1"/>
  <c r="T48" i="8"/>
  <c r="S57" i="8"/>
  <c r="T54" i="8" s="1"/>
  <c r="U53" i="8" s="1"/>
  <c r="T74" i="8"/>
  <c r="S83" i="8"/>
  <c r="T80" i="8" s="1"/>
  <c r="U79" i="8" s="1"/>
  <c r="T100" i="8"/>
  <c r="S109" i="8"/>
  <c r="T106" i="8" s="1"/>
  <c r="U105" i="8" s="1"/>
  <c r="T141" i="8"/>
  <c r="S150" i="8"/>
  <c r="T147" i="8" s="1"/>
  <c r="U159" i="8"/>
  <c r="T167" i="8"/>
  <c r="S176" i="8"/>
  <c r="T193" i="8"/>
  <c r="S202" i="8"/>
  <c r="T199" i="8" s="1"/>
  <c r="U198" i="8" s="1"/>
  <c r="T274" i="8"/>
  <c r="T269" i="8"/>
  <c r="U251" i="8"/>
  <c r="T219" i="8"/>
  <c r="S228" i="8"/>
  <c r="S236" i="8"/>
  <c r="O16" i="16" l="1"/>
  <c r="O56" i="16"/>
  <c r="O18" i="16"/>
  <c r="N62" i="16"/>
  <c r="R22" i="12"/>
  <c r="R23" i="12" s="1"/>
  <c r="Q33" i="12"/>
  <c r="Q37" i="12" s="1"/>
  <c r="R29" i="9"/>
  <c r="R11" i="10" s="1"/>
  <c r="R15" i="10" s="1"/>
  <c r="S280" i="8"/>
  <c r="T10" i="8"/>
  <c r="T126" i="8" s="1"/>
  <c r="S130" i="8"/>
  <c r="S283" i="8" s="1"/>
  <c r="S135" i="8"/>
  <c r="U131" i="8"/>
  <c r="T132" i="8"/>
  <c r="T273" i="8" s="1"/>
  <c r="U146" i="8"/>
  <c r="T225" i="8"/>
  <c r="S241" i="8"/>
  <c r="T232" i="8"/>
  <c r="R30" i="9" l="1"/>
  <c r="R12" i="11"/>
  <c r="R16" i="11" s="1"/>
  <c r="S288" i="8"/>
  <c r="S308" i="8" s="1"/>
  <c r="Q49" i="11" s="1"/>
  <c r="T279" i="8"/>
  <c r="U224" i="8"/>
  <c r="U237" i="8" s="1"/>
  <c r="U284" i="8" s="1"/>
  <c r="T238" i="8"/>
  <c r="R44" i="11" l="1"/>
  <c r="P38" i="16"/>
  <c r="Q56" i="11"/>
  <c r="Q63" i="11" s="1"/>
  <c r="Q25" i="12"/>
  <c r="T275" i="8"/>
  <c r="T277" i="8" s="1"/>
  <c r="T294" i="8" s="1"/>
  <c r="T266" i="8"/>
  <c r="T270" i="8" s="1"/>
  <c r="T285" i="8"/>
  <c r="L9" i="15" l="1"/>
  <c r="L11" i="15" s="1"/>
  <c r="Q29" i="12"/>
  <c r="Q39" i="12" s="1"/>
  <c r="Q41" i="12" s="1"/>
  <c r="Q69" i="11"/>
  <c r="R40" i="12"/>
  <c r="T296" i="8"/>
  <c r="T298" i="8" s="1"/>
  <c r="T62" i="8" s="1"/>
  <c r="T65" i="8" s="1"/>
  <c r="S16" i="9"/>
  <c r="T155" i="8"/>
  <c r="T158" i="8" s="1"/>
  <c r="T142" i="8"/>
  <c r="T11" i="8"/>
  <c r="T36" i="8"/>
  <c r="Q71" i="11" l="1"/>
  <c r="O27" i="16"/>
  <c r="O29" i="16"/>
  <c r="S18" i="9"/>
  <c r="M8" i="15"/>
  <c r="R7" i="12"/>
  <c r="T194" i="8"/>
  <c r="T197" i="8" s="1"/>
  <c r="T75" i="8"/>
  <c r="T78" i="8" s="1"/>
  <c r="T207" i="8"/>
  <c r="T210" i="8" s="1"/>
  <c r="U206" i="8" s="1"/>
  <c r="T88" i="8"/>
  <c r="T91" i="8" s="1"/>
  <c r="T23" i="8"/>
  <c r="T26" i="8" s="1"/>
  <c r="T168" i="8"/>
  <c r="T171" i="8" s="1"/>
  <c r="T101" i="8"/>
  <c r="T104" i="8" s="1"/>
  <c r="T49" i="8"/>
  <c r="T220" i="8"/>
  <c r="T223" i="8" s="1"/>
  <c r="T246" i="8"/>
  <c r="T250" i="8" s="1"/>
  <c r="T255" i="8" s="1"/>
  <c r="U252" i="8" s="1"/>
  <c r="T181" i="8"/>
  <c r="T184" i="8" s="1"/>
  <c r="T189" i="8" s="1"/>
  <c r="U186" i="8" s="1"/>
  <c r="T114" i="8"/>
  <c r="T117" i="8" s="1"/>
  <c r="U113" i="8" s="1"/>
  <c r="U61" i="8"/>
  <c r="T70" i="8"/>
  <c r="U67" i="8" s="1"/>
  <c r="T96" i="8"/>
  <c r="U93" i="8" s="1"/>
  <c r="U87" i="8"/>
  <c r="T145" i="8"/>
  <c r="U154" i="8"/>
  <c r="T163" i="8"/>
  <c r="U160" i="8" s="1"/>
  <c r="T39" i="8"/>
  <c r="T14" i="8"/>
  <c r="S23" i="9" l="1"/>
  <c r="P12" i="16" s="1"/>
  <c r="P10" i="16"/>
  <c r="P42" i="16"/>
  <c r="M6" i="15"/>
  <c r="Q73" i="11"/>
  <c r="O60" i="16"/>
  <c r="O40" i="16"/>
  <c r="O36" i="16"/>
  <c r="O49" i="16"/>
  <c r="O58" i="16"/>
  <c r="O62" i="16" s="1"/>
  <c r="O20" i="16"/>
  <c r="O22" i="16"/>
  <c r="T233" i="8"/>
  <c r="T215" i="8"/>
  <c r="U212" i="8" s="1"/>
  <c r="R6" i="12"/>
  <c r="U180" i="8"/>
  <c r="T127" i="8"/>
  <c r="U245" i="8"/>
  <c r="T52" i="8"/>
  <c r="T57" i="8" s="1"/>
  <c r="U54" i="8" s="1"/>
  <c r="T122" i="8"/>
  <c r="U119" i="8" s="1"/>
  <c r="T83" i="8"/>
  <c r="U80" i="8" s="1"/>
  <c r="U74" i="8"/>
  <c r="T109" i="8"/>
  <c r="U106" i="8" s="1"/>
  <c r="U100" i="8"/>
  <c r="T150" i="8"/>
  <c r="U147" i="8" s="1"/>
  <c r="U141" i="8"/>
  <c r="T176" i="8"/>
  <c r="U167" i="8"/>
  <c r="T280" i="8"/>
  <c r="T202" i="8"/>
  <c r="U199" i="8" s="1"/>
  <c r="U193" i="8"/>
  <c r="U274" i="8"/>
  <c r="U269" i="8"/>
  <c r="U10" i="8"/>
  <c r="T130" i="8"/>
  <c r="T19" i="8"/>
  <c r="U219" i="8"/>
  <c r="T228" i="8"/>
  <c r="T236" i="8"/>
  <c r="U22" i="8"/>
  <c r="T31" i="8"/>
  <c r="U28" i="8" s="1"/>
  <c r="T44" i="8"/>
  <c r="U41" i="8" s="1"/>
  <c r="U35" i="8"/>
  <c r="S24" i="9" l="1"/>
  <c r="S27" i="9" s="1"/>
  <c r="U48" i="8"/>
  <c r="U132" i="8"/>
  <c r="U273" i="8" s="1"/>
  <c r="U225" i="8"/>
  <c r="U238" i="8" s="1"/>
  <c r="U275" i="8" s="1"/>
  <c r="T241" i="8"/>
  <c r="U126" i="8"/>
  <c r="U232" i="8"/>
  <c r="T135" i="8"/>
  <c r="T283" i="8"/>
  <c r="S22" i="12" l="1"/>
  <c r="S23" i="12" s="1"/>
  <c r="P16" i="16"/>
  <c r="P56" i="16"/>
  <c r="P18" i="16"/>
  <c r="R33" i="12"/>
  <c r="R37" i="12" s="1"/>
  <c r="S29" i="9"/>
  <c r="S30" i="9" s="1"/>
  <c r="T288" i="8"/>
  <c r="T308" i="8" s="1"/>
  <c r="R49" i="11" s="1"/>
  <c r="U277" i="8"/>
  <c r="U294" i="8" s="1"/>
  <c r="U285" i="8"/>
  <c r="U279" i="8"/>
  <c r="U266" i="8"/>
  <c r="U270" i="8" s="1"/>
  <c r="S11" i="10" l="1"/>
  <c r="S12" i="11" s="1"/>
  <c r="R25" i="12"/>
  <c r="R56" i="11"/>
  <c r="R63" i="11" s="1"/>
  <c r="U296" i="8"/>
  <c r="U298" i="8" s="1"/>
  <c r="U49" i="8" s="1"/>
  <c r="U52" i="8" s="1"/>
  <c r="U57" i="8" s="1"/>
  <c r="T16" i="9"/>
  <c r="U101" i="8"/>
  <c r="U104" i="8" s="1"/>
  <c r="U109" i="8" s="1"/>
  <c r="U11" i="8"/>
  <c r="U14" i="8" s="1"/>
  <c r="U246" i="8"/>
  <c r="U250" i="8" s="1"/>
  <c r="U255" i="8" s="1"/>
  <c r="U181" i="8"/>
  <c r="U184" i="8" s="1"/>
  <c r="U189" i="8" s="1"/>
  <c r="U220" i="8"/>
  <c r="U223" i="8" s="1"/>
  <c r="U23" i="8"/>
  <c r="U26" i="8" s="1"/>
  <c r="U31" i="8" s="1"/>
  <c r="S15" i="10" l="1"/>
  <c r="T18" i="9"/>
  <c r="N6" i="15" s="1"/>
  <c r="N8" i="15"/>
  <c r="S7" i="12"/>
  <c r="S40" i="12"/>
  <c r="R69" i="11"/>
  <c r="U168" i="8"/>
  <c r="U171" i="8" s="1"/>
  <c r="U176" i="8" s="1"/>
  <c r="U88" i="8"/>
  <c r="U91" i="8" s="1"/>
  <c r="U96" i="8" s="1"/>
  <c r="M9" i="15"/>
  <c r="M11" i="15" s="1"/>
  <c r="R29" i="12"/>
  <c r="R39" i="12" s="1"/>
  <c r="R41" i="12" s="1"/>
  <c r="S16" i="11"/>
  <c r="U207" i="8"/>
  <c r="U210" i="8" s="1"/>
  <c r="U215" i="8" s="1"/>
  <c r="U142" i="8"/>
  <c r="U145" i="8" s="1"/>
  <c r="U150" i="8" s="1"/>
  <c r="U114" i="8"/>
  <c r="U117" i="8" s="1"/>
  <c r="U122" i="8" s="1"/>
  <c r="U62" i="8"/>
  <c r="U65" i="8" s="1"/>
  <c r="U70" i="8" s="1"/>
  <c r="U36" i="8"/>
  <c r="U39" i="8" s="1"/>
  <c r="U44" i="8" s="1"/>
  <c r="U155" i="8"/>
  <c r="U158" i="8" s="1"/>
  <c r="U163" i="8" s="1"/>
  <c r="U194" i="8"/>
  <c r="U197" i="8" s="1"/>
  <c r="U202" i="8" s="1"/>
  <c r="U75" i="8"/>
  <c r="U78" i="8" s="1"/>
  <c r="U83" i="8" s="1"/>
  <c r="U228" i="8"/>
  <c r="U19" i="8"/>
  <c r="S44" i="11" l="1"/>
  <c r="Q38" i="16"/>
  <c r="R71" i="11"/>
  <c r="P29" i="16"/>
  <c r="P27" i="16"/>
  <c r="T23" i="9"/>
  <c r="Q12" i="16" s="1"/>
  <c r="Q10" i="16"/>
  <c r="Q42" i="16"/>
  <c r="U241" i="8"/>
  <c r="U135" i="8"/>
  <c r="U288" i="8" s="1"/>
  <c r="U308" i="8" s="1"/>
  <c r="S49" i="11" s="1"/>
  <c r="U233" i="8"/>
  <c r="U130" i="8"/>
  <c r="U127" i="8"/>
  <c r="U236" i="8"/>
  <c r="S6" i="12" l="1"/>
  <c r="T24" i="9"/>
  <c r="T27" i="9" s="1"/>
  <c r="Q16" i="16" s="1"/>
  <c r="R73" i="11"/>
  <c r="P60" i="16"/>
  <c r="P40" i="16"/>
  <c r="P36" i="16"/>
  <c r="P58" i="16"/>
  <c r="P49" i="16"/>
  <c r="P20" i="16"/>
  <c r="P22" i="16"/>
  <c r="Q56" i="16"/>
  <c r="Q18" i="16"/>
  <c r="S56" i="11"/>
  <c r="S63" i="11" s="1"/>
  <c r="S69" i="11" s="1"/>
  <c r="S25" i="12"/>
  <c r="U280" i="8"/>
  <c r="T29" i="9"/>
  <c r="T30" i="9" s="1"/>
  <c r="S33" i="12"/>
  <c r="S37" i="12" s="1"/>
  <c r="U283" i="8"/>
  <c r="S71" i="11" l="1"/>
  <c r="Q29" i="16"/>
  <c r="Q27" i="16"/>
  <c r="P62" i="16"/>
  <c r="N9" i="15"/>
  <c r="N11" i="15" s="1"/>
  <c r="S29" i="12"/>
  <c r="S39" i="12" s="1"/>
  <c r="S41" i="12" s="1"/>
  <c r="J69" i="11"/>
  <c r="J71" i="11" l="1"/>
  <c r="H29" i="16"/>
  <c r="H27" i="16"/>
  <c r="S73" i="11"/>
  <c r="Q60" i="16"/>
  <c r="Q40" i="16"/>
  <c r="Q36" i="16"/>
  <c r="Q58" i="16"/>
  <c r="Q49" i="16"/>
  <c r="Q20" i="16"/>
  <c r="Q22" i="16"/>
  <c r="E43" i="15"/>
  <c r="E48" i="15" s="1"/>
  <c r="E47" i="15"/>
  <c r="Q62" i="16" l="1"/>
  <c r="J73" i="11"/>
  <c r="H36" i="16"/>
  <c r="H60" i="16"/>
  <c r="H40" i="16"/>
  <c r="H49" i="16"/>
  <c r="H58" i="16"/>
  <c r="H20" i="16"/>
  <c r="H22" i="16"/>
  <c r="E49" i="15"/>
  <c r="E54" i="15" s="1"/>
  <c r="E57" i="15" s="1"/>
  <c r="G44" i="15" s="1"/>
  <c r="H62" i="16" l="1"/>
  <c r="E59" i="15"/>
</calcChain>
</file>

<file path=xl/sharedStrings.xml><?xml version="1.0" encoding="utf-8"?>
<sst xmlns="http://schemas.openxmlformats.org/spreadsheetml/2006/main" count="1001" uniqueCount="399">
  <si>
    <t>Income</t>
  </si>
  <si>
    <t>Revenue</t>
  </si>
  <si>
    <t>Other Income</t>
  </si>
  <si>
    <t>Total Income</t>
  </si>
  <si>
    <t>Expenses</t>
  </si>
  <si>
    <t>Cost of materials consumed</t>
  </si>
  <si>
    <t>Purchases of stock-in-trade</t>
  </si>
  <si>
    <t>Changes in inventories of finished goods, work-in-progress and stock-in-trade</t>
  </si>
  <si>
    <t>Employee benefits expenses</t>
  </si>
  <si>
    <t>Other expenses</t>
  </si>
  <si>
    <t>Total Expenses</t>
  </si>
  <si>
    <t>EBITDA</t>
  </si>
  <si>
    <t>Dep &amp; Amotization</t>
  </si>
  <si>
    <t>EBIT</t>
  </si>
  <si>
    <t>Interest Expenses</t>
  </si>
  <si>
    <t>EBT</t>
  </si>
  <si>
    <t>Taxes</t>
  </si>
  <si>
    <t>Profit</t>
  </si>
  <si>
    <t>Particulars</t>
  </si>
  <si>
    <t>Power and Fuel</t>
  </si>
  <si>
    <t>Freight and Forwarding Expense</t>
  </si>
  <si>
    <t>Less: Captive Consumption of Cement</t>
  </si>
  <si>
    <t>Share in Profit / (Loss) of Associate and Joint Venture</t>
  </si>
  <si>
    <t>Exceptional Items</t>
  </si>
  <si>
    <t>Profit / (Loss) attributable to Non-Controlling Interest</t>
  </si>
  <si>
    <t>Profit attributable to Owners of the Parent</t>
  </si>
  <si>
    <t>KPIs</t>
  </si>
  <si>
    <t>Revenue % YOY</t>
  </si>
  <si>
    <t>Gross Profit %</t>
  </si>
  <si>
    <t>EBITDA%</t>
  </si>
  <si>
    <t>EBIT%</t>
  </si>
  <si>
    <t>NP%</t>
  </si>
  <si>
    <t>ROA</t>
  </si>
  <si>
    <t xml:space="preserve">Asset Turnover </t>
  </si>
  <si>
    <t>Asset / Equity</t>
  </si>
  <si>
    <t>ROE</t>
  </si>
  <si>
    <t>NA</t>
  </si>
  <si>
    <t>ASSETS</t>
  </si>
  <si>
    <t>Non-Current Assets</t>
  </si>
  <si>
    <t>Property, Plant and Equipment</t>
  </si>
  <si>
    <t>Capital Work-in-Progress</t>
  </si>
  <si>
    <t>Right of Use Assets</t>
  </si>
  <si>
    <t>Goodwill</t>
  </si>
  <si>
    <t>Other Intangible Assets</t>
  </si>
  <si>
    <t>Intangible Assets under development</t>
  </si>
  <si>
    <t>Investments Accounted using Equity Method</t>
  </si>
  <si>
    <t>Financial Assets</t>
  </si>
  <si>
    <t>Investments</t>
  </si>
  <si>
    <t>Loans</t>
  </si>
  <si>
    <t>Other Financial Assets</t>
  </si>
  <si>
    <t>Income Tax Assets (Net)</t>
  </si>
  <si>
    <t>Deferred Tax Assets (Net)</t>
  </si>
  <si>
    <t>Other Non-Current Assets</t>
  </si>
  <si>
    <t>Total Non-Current Assets</t>
  </si>
  <si>
    <t>Current Assets</t>
  </si>
  <si>
    <t>Inventories</t>
  </si>
  <si>
    <t>Trade Receivables</t>
  </si>
  <si>
    <t>Cash and Cash Equivalents</t>
  </si>
  <si>
    <t>Bank Balances other than Cash and Cash Equivalents</t>
  </si>
  <si>
    <t>Current Tax Assets (Net)</t>
  </si>
  <si>
    <t>Other Current Assets</t>
  </si>
  <si>
    <t>Total Current Assets</t>
  </si>
  <si>
    <t>Non-Current Assets/ Disposal Group held for sale</t>
  </si>
  <si>
    <t>TOTAL ASSETS</t>
  </si>
  <si>
    <t>EQUITY AND LIABILITIES</t>
  </si>
  <si>
    <t>EQUITY</t>
  </si>
  <si>
    <t>Equity Share Capital</t>
  </si>
  <si>
    <t>Other Equity</t>
  </si>
  <si>
    <t>Non-Controlling Interest</t>
  </si>
  <si>
    <t>Shares Pending Issuance</t>
  </si>
  <si>
    <t>Share Application Money Pending Allotment</t>
  </si>
  <si>
    <t>LIABILITIES</t>
  </si>
  <si>
    <t>Non-Current Liabilities</t>
  </si>
  <si>
    <t>Financial Liabilities</t>
  </si>
  <si>
    <t>Borrowings</t>
  </si>
  <si>
    <t>Other Financial Liabilities</t>
  </si>
  <si>
    <t>Provisions</t>
  </si>
  <si>
    <t>Deferred Tax Liabilities (Net)</t>
  </si>
  <si>
    <t>Other Non-Current Liabilities</t>
  </si>
  <si>
    <t>Total Non-Current Liabilities</t>
  </si>
  <si>
    <t>Current Liabilities</t>
  </si>
  <si>
    <t>Trade Payables</t>
  </si>
  <si>
    <t>Other Current Liabilities</t>
  </si>
  <si>
    <t>Current Tax Liabilities (Net)</t>
  </si>
  <si>
    <t>Total Current Liabilities</t>
  </si>
  <si>
    <t>Non-Current Liabilities included in Disposal Group held for sale</t>
  </si>
  <si>
    <t>TOTAL EQUITY AND LIABILITIES</t>
  </si>
  <si>
    <t>Check</t>
  </si>
  <si>
    <t>Lease Laibility</t>
  </si>
  <si>
    <t>%</t>
  </si>
  <si>
    <t>Month Of operation</t>
  </si>
  <si>
    <t>Assumptions</t>
  </si>
  <si>
    <t>Increase in industry Growth Rate</t>
  </si>
  <si>
    <t>Increase in Revenue Growth Rate</t>
  </si>
  <si>
    <t>Increase in Market share Growth Rate</t>
  </si>
  <si>
    <t>Tax Rate</t>
  </si>
  <si>
    <t>Interest Rate</t>
  </si>
  <si>
    <t>Perpetual Growth Rate</t>
  </si>
  <si>
    <t>10 Year bond Yield</t>
  </si>
  <si>
    <t>Market Cap</t>
  </si>
  <si>
    <t>share outstanding</t>
  </si>
  <si>
    <t>Current Market Price</t>
  </si>
  <si>
    <t>INR</t>
  </si>
  <si>
    <t>Colour Code</t>
  </si>
  <si>
    <t>Blue colour</t>
  </si>
  <si>
    <t>Hardcoded Figures</t>
  </si>
  <si>
    <t>Black colour</t>
  </si>
  <si>
    <t>Calculated Figures</t>
  </si>
  <si>
    <t>Yellow Cell Fill</t>
  </si>
  <si>
    <t>Assumption</t>
  </si>
  <si>
    <t>Case No</t>
  </si>
  <si>
    <t>Base Case</t>
  </si>
  <si>
    <t>Revenue From Operation</t>
  </si>
  <si>
    <t>Other Operating Revenues</t>
  </si>
  <si>
    <t>Share of profit in joint ventures</t>
  </si>
  <si>
    <t>Voume Sold</t>
  </si>
  <si>
    <t>Cement (MnT)</t>
  </si>
  <si>
    <t>Sales Growth</t>
  </si>
  <si>
    <t>Volume Sold Scenario</t>
  </si>
  <si>
    <t>Best Case</t>
  </si>
  <si>
    <t>Worst Case</t>
  </si>
  <si>
    <t>N/A</t>
  </si>
  <si>
    <t xml:space="preserve">Sale of Products </t>
  </si>
  <si>
    <t>Sale of Services</t>
  </si>
  <si>
    <t>Price Per Tonnes Scenario</t>
  </si>
  <si>
    <t>Price per Tonnes</t>
  </si>
  <si>
    <t>Growth</t>
  </si>
  <si>
    <t>Aduited</t>
  </si>
  <si>
    <t>Projected</t>
  </si>
  <si>
    <t>COGS</t>
  </si>
  <si>
    <t>Opex</t>
  </si>
  <si>
    <t>Interest</t>
  </si>
  <si>
    <t xml:space="preserve">Effective Tax rate </t>
  </si>
  <si>
    <t>Revenue from Operation</t>
  </si>
  <si>
    <t>% of Revenue</t>
  </si>
  <si>
    <t>Gross Profit</t>
  </si>
  <si>
    <t>Gross Margin</t>
  </si>
  <si>
    <t>Opex as a % of Revenue</t>
  </si>
  <si>
    <t>Inventores</t>
  </si>
  <si>
    <t>Recievables</t>
  </si>
  <si>
    <t>Trade payables</t>
  </si>
  <si>
    <t>New Working Capital</t>
  </si>
  <si>
    <t>Net Trade Cycle</t>
  </si>
  <si>
    <t>Short Term Borrowings</t>
  </si>
  <si>
    <t>Other current laibilities</t>
  </si>
  <si>
    <t>Days Of operation</t>
  </si>
  <si>
    <t>DIO (Days Inventory Outstanding)</t>
  </si>
  <si>
    <t>DSO (Days Sales Outstanding)</t>
  </si>
  <si>
    <t>DPO ( Days Payables Outstanding)</t>
  </si>
  <si>
    <t>as a % of Revenue</t>
  </si>
  <si>
    <t>FreeHold Land</t>
  </si>
  <si>
    <t>Opening Gross Block</t>
  </si>
  <si>
    <t>Addition</t>
  </si>
  <si>
    <t>Disposal/Adjustment</t>
  </si>
  <si>
    <t>Closing Gross Block</t>
  </si>
  <si>
    <t>Other Adjustments</t>
  </si>
  <si>
    <t>Leasehold land</t>
  </si>
  <si>
    <t>Accumulated Dep</t>
  </si>
  <si>
    <t>Dep for the Year</t>
  </si>
  <si>
    <t>Reversal</t>
  </si>
  <si>
    <t>Net Block</t>
  </si>
  <si>
    <t>Other Adjustment</t>
  </si>
  <si>
    <t>Biuldings</t>
  </si>
  <si>
    <t>Railways Shippings</t>
  </si>
  <si>
    <t>Plant &amp; Equiment - Own</t>
  </si>
  <si>
    <t>Plant &amp; Equiment - Given On Lease</t>
  </si>
  <si>
    <t>Office Equipment</t>
  </si>
  <si>
    <t>Furniture and Fixtures</t>
  </si>
  <si>
    <t>Vehicles</t>
  </si>
  <si>
    <t>Total Tangibles Assets</t>
  </si>
  <si>
    <t>Software</t>
  </si>
  <si>
    <t>Mining Rights</t>
  </si>
  <si>
    <t>Brand</t>
  </si>
  <si>
    <t>Mining Reserve</t>
  </si>
  <si>
    <t>Jetty Rights</t>
  </si>
  <si>
    <t>Power Line Rights</t>
  </si>
  <si>
    <t>Total Intangible Assets</t>
  </si>
  <si>
    <t>Opening Balance</t>
  </si>
  <si>
    <t>Add: Exchange difference recognised in foreign currency translation reserve</t>
  </si>
  <si>
    <t>Closing Balance</t>
  </si>
  <si>
    <t xml:space="preserve">Less: Derecognised Goodwill on loss of Control </t>
  </si>
  <si>
    <t>Add: Goodwill recognised on account of Business Combination</t>
  </si>
  <si>
    <t>Reclassified on account of Ind AS 116</t>
  </si>
  <si>
    <t>Intangibles Assets</t>
  </si>
  <si>
    <t>Surface Rights</t>
  </si>
  <si>
    <t>Property, Plant and Equipment and Other Intangible Assets</t>
  </si>
  <si>
    <t>Depreciation and Amortisation for the year</t>
  </si>
  <si>
    <t>Less: Depreciation transferred to Pre-operative Expenses</t>
  </si>
  <si>
    <t>Add: Depreciation on ROU (Refer Note 3)</t>
  </si>
  <si>
    <t>Depreciation as per Statement of Profit and Loss</t>
  </si>
  <si>
    <t xml:space="preserve">Add: Obsolescence (Including impairment of ` Nil Crores (March 31, 2019 ` 18.63 Crores) towards Assets classified as held for disposal) </t>
  </si>
  <si>
    <t>Depreciation</t>
  </si>
  <si>
    <t>Deo of ROU Assets</t>
  </si>
  <si>
    <t>Amotisation</t>
  </si>
  <si>
    <t>Obsolescence</t>
  </si>
  <si>
    <t>Assets Per Tonnes</t>
  </si>
  <si>
    <t>Normal Wear And Tear</t>
  </si>
  <si>
    <t>Additions During the year</t>
  </si>
  <si>
    <t>Depreciation for the year</t>
  </si>
  <si>
    <t>Operating Expenses</t>
  </si>
  <si>
    <t>Dep</t>
  </si>
  <si>
    <t>Net Income</t>
  </si>
  <si>
    <t xml:space="preserve"> Capital Work-in-Progress </t>
  </si>
  <si>
    <t>Intangible Assets under Development</t>
  </si>
  <si>
    <t>Shareholder's  Equity</t>
  </si>
  <si>
    <t>Equity Capital</t>
  </si>
  <si>
    <t>Retained earning</t>
  </si>
  <si>
    <t>Non-controlling Interest</t>
  </si>
  <si>
    <t>Total Equity</t>
  </si>
  <si>
    <t>Non- Current Liabilities</t>
  </si>
  <si>
    <t>Property, plant and equipment</t>
  </si>
  <si>
    <t>Dividend Paid Including Dividend Distribution Tax</t>
  </si>
  <si>
    <t>Dividend Paid</t>
  </si>
  <si>
    <t>Dividend Payout Ratio</t>
  </si>
  <si>
    <t>Assets</t>
  </si>
  <si>
    <t>Capex</t>
  </si>
  <si>
    <t>Total current Laibilities</t>
  </si>
  <si>
    <t>Total Liabilities</t>
  </si>
  <si>
    <t>Total Liabilities and equity</t>
  </si>
  <si>
    <t>Non-current Assets</t>
  </si>
  <si>
    <t>Profit Before Tax</t>
  </si>
  <si>
    <t>Add- Dep &amp; Amotization</t>
  </si>
  <si>
    <t>Add- finance Cost</t>
  </si>
  <si>
    <t>Less- Income on Investment</t>
  </si>
  <si>
    <t>Changes In working Capital</t>
  </si>
  <si>
    <t>Adjustment for (increase)/decrease In current Assets</t>
  </si>
  <si>
    <t>Others</t>
  </si>
  <si>
    <t>Adjustment for (increase)/decrease In current Liabilities</t>
  </si>
  <si>
    <t>Short term Borrowings</t>
  </si>
  <si>
    <t>less-incom tax paid</t>
  </si>
  <si>
    <t>Net cash Flow from operting Activities</t>
  </si>
  <si>
    <t>Capital Expenditure on PP&amp;E and Intangibles Assets</t>
  </si>
  <si>
    <t>Sale/purchase of investments</t>
  </si>
  <si>
    <t>Income on Investments</t>
  </si>
  <si>
    <t>CashFlow From investing activities</t>
  </si>
  <si>
    <t>Interest Paid</t>
  </si>
  <si>
    <t>Proceeds from issue of equity share capital</t>
  </si>
  <si>
    <t>changes in other equity</t>
  </si>
  <si>
    <t>additions to NCI</t>
  </si>
  <si>
    <t>increase/decrease in Non Current Liabilities</t>
  </si>
  <si>
    <t>Cashflow From Financing Activities</t>
  </si>
  <si>
    <t>Increase/Decrease In cash And Cash Equivalent</t>
  </si>
  <si>
    <t>Cash And Cash Equivalent  at the Beginning of the year</t>
  </si>
  <si>
    <t>Cash And Cash Equivalent  at the end of the year</t>
  </si>
  <si>
    <t>Date</t>
  </si>
  <si>
    <t>Close</t>
  </si>
  <si>
    <t>Close price of nifty 50</t>
  </si>
  <si>
    <t>close Price of Ulta tech</t>
  </si>
  <si>
    <t>% change of nifty</t>
  </si>
  <si>
    <t>% change of Ultratech</t>
  </si>
  <si>
    <t>Beta</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</si>
  <si>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</si>
  <si>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</si>
  <si>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</si>
  <si>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</si>
  <si>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</si>
  <si>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</si>
  <si>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</si>
  <si>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</si>
  <si>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</si>
  <si>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</si>
  <si>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</si>
  <si>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</si>
  <si>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</si>
  <si>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</si>
  <si>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</si>
  <si>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</si>
  <si>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</si>
  <si>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</si>
  <si>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</si>
  <si>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</si>
  <si>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</si>
  <si>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</si>
  <si>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</si>
  <si>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</si>
  <si>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</si>
  <si>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Years</t>
  </si>
  <si>
    <t>RRI</t>
  </si>
  <si>
    <t>Less-Taxes on EBIT</t>
  </si>
  <si>
    <t>ADD-Dep</t>
  </si>
  <si>
    <t>Less-Capex</t>
  </si>
  <si>
    <t>Change in Working Capital</t>
  </si>
  <si>
    <t>Unlevered FCFF</t>
  </si>
  <si>
    <t>Inputs</t>
  </si>
  <si>
    <t>Discount Rate</t>
  </si>
  <si>
    <t>Perpetual Growth rate</t>
  </si>
  <si>
    <t>CMP</t>
  </si>
  <si>
    <t>Market Cap (INR in Cr)</t>
  </si>
  <si>
    <t>share outstandings (Cr)</t>
  </si>
  <si>
    <t>Weighted Average Cost of Capital</t>
  </si>
  <si>
    <t>Cost Of Capital</t>
  </si>
  <si>
    <t>proportion of Market</t>
  </si>
  <si>
    <t>WACC</t>
  </si>
  <si>
    <t>Debt (After-tax)</t>
  </si>
  <si>
    <t>Equity</t>
  </si>
  <si>
    <t>Market Capitalization (Mn)</t>
  </si>
  <si>
    <t>Market Value of the debt</t>
  </si>
  <si>
    <t>Cost Of Equity</t>
  </si>
  <si>
    <t>Rf</t>
  </si>
  <si>
    <t>Rm</t>
  </si>
  <si>
    <t>Equity risk premium</t>
  </si>
  <si>
    <t>Terminal Value</t>
  </si>
  <si>
    <t>No in cr</t>
  </si>
  <si>
    <t>INR cr</t>
  </si>
  <si>
    <t>Cost of Debt</t>
  </si>
  <si>
    <t>Pre tax cost of debt</t>
  </si>
  <si>
    <t>tax rate</t>
  </si>
  <si>
    <t>% of Debt</t>
  </si>
  <si>
    <t>After tax cost of debt</t>
  </si>
  <si>
    <t>Debt/equity ratio</t>
  </si>
  <si>
    <t>Intrinsic Value</t>
  </si>
  <si>
    <t>Sum of PV of CashFlows</t>
  </si>
  <si>
    <t>Add-PV of Terminal Value</t>
  </si>
  <si>
    <t>Enterprise Value</t>
  </si>
  <si>
    <t>Plus- Cash &amp; Cash Equivalent</t>
  </si>
  <si>
    <t>Less- Debt</t>
  </si>
  <si>
    <t>Less- Pref. stocks</t>
  </si>
  <si>
    <t>Less- Noncontrolling Interest</t>
  </si>
  <si>
    <t>Equity Value</t>
  </si>
  <si>
    <t>Outstanding Shares (MN)</t>
  </si>
  <si>
    <t>Equity value/Share</t>
  </si>
  <si>
    <t>Upside Potentail</t>
  </si>
  <si>
    <t>Discount rate</t>
  </si>
  <si>
    <t>Terminal Growth rate</t>
  </si>
  <si>
    <t>Common Size Statement</t>
  </si>
  <si>
    <t>Balance Sheet</t>
  </si>
  <si>
    <t>Revenue Build-up</t>
  </si>
  <si>
    <t>Cost Build Up</t>
  </si>
  <si>
    <t>Working Capital Buildup</t>
  </si>
  <si>
    <t>Fixed Assets Schedule</t>
  </si>
  <si>
    <t>EBITDA Margin</t>
  </si>
  <si>
    <t>Operating Margin</t>
  </si>
  <si>
    <t>Pretax Margin</t>
  </si>
  <si>
    <t>Effective Tax Rate</t>
  </si>
  <si>
    <t>Net Margin</t>
  </si>
  <si>
    <t>Return on Equity</t>
  </si>
  <si>
    <t>Return on Capital Employed</t>
  </si>
  <si>
    <t>Return on Assets</t>
  </si>
  <si>
    <t>Current Ratio</t>
  </si>
  <si>
    <t>Quick Ratio</t>
  </si>
  <si>
    <t>Cash Cycle Days</t>
  </si>
  <si>
    <t>Asset/ Equity</t>
  </si>
  <si>
    <t>Debt/ Equity</t>
  </si>
  <si>
    <t>Debt Ratio</t>
  </si>
  <si>
    <t>Interest Coverage</t>
  </si>
  <si>
    <t>Fixed Asset Turnover Ratio</t>
  </si>
  <si>
    <t>Total Asset Turnover Ratio</t>
  </si>
  <si>
    <t>Inventory Turnover</t>
  </si>
  <si>
    <t>Net Profit Margin</t>
  </si>
  <si>
    <t>Asset Turnover Ratio</t>
  </si>
  <si>
    <t>Financial Leverege</t>
  </si>
  <si>
    <t>Profitability Ratios</t>
  </si>
  <si>
    <t>Solvency Ratio</t>
  </si>
  <si>
    <t>Efficiency Ratio</t>
  </si>
  <si>
    <t xml:space="preserve">ROE Dupont Analysis </t>
  </si>
  <si>
    <t>Liquidity Ratio</t>
  </si>
  <si>
    <t>Interpretations and Insights</t>
  </si>
  <si>
    <t>From 2020 to 2024, the gross margin fluctuated slightly between 83% and 85%, From 2025 to 2034 (forecasted data), the gross margin is projected to remain consistently at 84%.</t>
  </si>
  <si>
    <t>From 2020 to 2024, the EBITDA margin showed volatility, ranging from 17% to 26%. From 2025 to 2034 (forecasted data), the EBITDA margin is projected to stabilize at 21%.</t>
  </si>
  <si>
    <t>Between 2020 and 2024, the operating margin fluctuated between 12% and 20%, From 2025 to 2034 (forecasted data), the margin is expected to gradually stabilize and improve, increasing from 17% to 18%.</t>
  </si>
  <si>
    <t>From 2020 to 2024, the pretax margin showed notable fluctuations, ranging from 12% to 18%. In the forecast period from 2025 to 2034, the margin is expected to gradually improve and stabilize, rising from 15% to 17%.</t>
  </si>
  <si>
    <t>from 2020 to 2024, the effective tax rate was highly volatile, ranging from -11% to 32%, From 2025 to 2034, the tax rate is projected to stabilize at 26%.</t>
  </si>
  <si>
    <t>From 2020 to 2024, the net margin declined from 14% to 10%, For the forecast period, the margin is projected to gradually recover and stabilize in the range of 11% to 13%.</t>
  </si>
  <si>
    <t>Return on Equity (ROE) declined from 15% in 2020 to 9% in 2023, reflecting weaker returns on shareholders’ equity. However, a recovery trend is evident from 2024 onward, with ROE projected to rise steadily to 17% by 2034, indicating strengthening profitability and improved capital efficiency over the forecast period.</t>
  </si>
  <si>
    <t>Return on Capital Employed (ROCE) improved significantly from 10% in 2020 to 19% by 2034, indicating stronger efficiency in generating returns from the total capital invested in the business.</t>
  </si>
  <si>
    <t>Return on Assets (ROA) has shown a notable upward trend, rising from 6–7% in the early years (2020–2024) to a steady 10% from 2030 onwards. This reflects increasing efficiency in utilizing total assets to generate profits.</t>
  </si>
  <si>
    <t>From 2020 to 2024, the current ratio fluctuated around 0.8x to 1.1x, indicating relatively tight liquidity. From 2025 to 2034, the forecast shows a steady and significant improvement, rising from 0.9x to 2.1x.</t>
  </si>
  <si>
    <t xml:space="preserve">From 2020 to 2024, the quick ratio remained low and fairly stable between 0.5x and 0.9x, indicating limited immediate liquidity. From 2025 to 2034, the forecast shows a steady increase from 0.6x to 1.7x. </t>
  </si>
  <si>
    <t>From 2020 to 2024, cash cycle days fluctuated significantly, ranging from -14 to 57. From 2025 onward, it stabilizes at 14 days, indicating a consistent and steady cash conversion cycle in the forecast period.</t>
  </si>
  <si>
    <t>From 2020 to 2024, the asset/equity ratio decreased from 2.0x to 1.7x, indicating reduced leverage. From 2025 to 2034, it remains stable around 1.6x, suggesting consistent and moderate use of debt to finance assets.</t>
  </si>
  <si>
    <t>From 2020 to 2024, the debt/equity ratio declined from 0.5x to 0.2x, showing a reduction in debt relative to equity. From 2025 to 2034, it remains steady at 0.2x, indicating a stable and low leverage position in the forecast period.</t>
  </si>
  <si>
    <t>From 2020 to 2024, the debt ratio steadily decreased from 0.3x to 0.1x, reflecting lower overall debt levels. From 2025 to 2034, it remains stable at 0.1x, indicating a consistently low reliance on debt financing in the forecast period.</t>
  </si>
  <si>
    <t>From 2020 to 2024, interest coverage improved significantly from 3.3x to 10.1x, From 2025 to 2034, it stabilizes around 6.7x to 7.4x, indicating a healthy and consistent capacity to cover interest payments.</t>
  </si>
  <si>
    <t>From 2020 to 2024, the ratio improved from 0.7x to 1.0x, From 2025 to 2034, it steadily increases from 1.0x to 1.6x, showing continued enhancement in generating revenue from fixed assets.</t>
  </si>
  <si>
    <t>From 2020 to 2024, the ratio gradually increased from 0.5x to 0.7x, indicating improving efficiency in using assets to generate sales. From 2025 to 2034, it stabilizes around 0.8x, reflecting steady asset utilization in the forecast period.</t>
  </si>
  <si>
    <t>From 2020 to 2024, inventory turnover fluctuated between 1.4x and 1.8x, showing some variability in inventory management. From 2025 to 2034, it remains stable at 1.5x, indicating consistent inventory efficiency in the forecast period.</t>
  </si>
  <si>
    <t>From 2020 to 2024, financial leverage declined from 2.0x to 1.7x, indicating reduced reliance on debt. From 2025 to 2034, it remains steady at 1.6x, reflecting consistent and moderate financial risk going forward.</t>
  </si>
  <si>
    <t>The company experienced fluctuating operating margins in the past, but forecasts indicate a more predictable and stable EBITDA performance going forward. This stability is a positive sign for investors and stakeholders, suggesting a mature and optimized business model.</t>
  </si>
  <si>
    <t>The historical Operating Margin varied between 12% and 20%, showing fluctuations in cost efficiency.The lowest margin was 12%, indicating possible operational challenges in that year.From 2025 onward, the margin is forecasted to stabilize at 17% and rise to 18%. This suggests improved and consistent operational performance going forward.</t>
  </si>
  <si>
    <t>The Gross Margin data shows a stable trend over the years.From the historical period (first 5 years), margins fluctuated slightly between 83% and 85%.The forecast from 2025 to 2034 projects a steady Gross Margin of 84% annually.
This reflects consistent cost control and expected profitability in the future.</t>
  </si>
  <si>
    <t xml:space="preserve"> historical Pretax Margin ranged from 12% to 18%, reflecting some variability in profitability before taxes.The margin dipped to 12% twice, indicating periods of lower pre-tax earnings. From 2025 onward, it is forecasted to gradually improve from 15% to 17%. This suggests a positive outlook with steady growth in pre-tax profitability.</t>
  </si>
  <si>
    <t>The Effective Tax Rate shows significant fluctuation in the historical period, starting with a negative rate of -11% in the first year, indicating possible tax credits or losses.In the following years, it rises sharply to 32% and then settles between 14% and 32%, reflecting varying tax impacts.From 2025 onward, the tax rate stabilizes consistently at 26%.This steady rate suggests predictable tax expenses in the forecasted period.</t>
  </si>
  <si>
    <t>The historical Net Margin fluctuated between 8% and 14%, showing some inconsistency in overall profitability.The lowest margin was 8%, indicating a challenging year for the company’s bottom line.From 2025 onward, the margin is forecasted to stabilize around 11-12%, with a slight increase to 13% by 2034.
This reflects an expectation of steady and modestly improving net profitability in the future.</t>
  </si>
  <si>
    <t>The historical Return on Equity (ROE) ranged from 9% to 15%, showing some variability in how effectively the company generated profit from shareholders’ equity.The lowest point at 9% suggests a period of reduced profitability or efficiency.From 2025 onwards, ROE is forecasted to steadily improve, reaching 17% by 2034.This indicates growing shareholder value and stronger financial performance over time.</t>
  </si>
  <si>
    <t>The historical Return on Capital Employed (ROCE) ranged from 10% to 14%, showing moderate efficiency in using capital to generate profits.After a slight dip to 11% in one year, it quickly rebounded to 13%.From 2025 onward, ROCE is forecasted to steadily increase, reaching 19% by 2034.
This reflects improving capital efficiency and stronger overall business performance over time.</t>
  </si>
  <si>
    <t>The historical Return on Assets (ROA) varied between 6% and 9%, indicating moderate efficiency in using assets to generate profits.There were slight fluctuations, with a low of 6% and a high of 9% during the historical period.From 2025 onward, ROA is forecasted to stabilize around 9-10%.
This suggests consistent and modestly improving asset utilization in the future.</t>
  </si>
  <si>
    <t>The historical Current Ratio fluctuated around 0.9x to 1.1x, indicating tight short-term liquidity during the initial years.From 2025 onward, the ratio shows a steady increase, reaching 2.1x by 2034.This trend suggests improving liquidity and a stronger ability to meet short-term obligations in the future.
The company is expected to maintain a more comfortable buffer of current assets over liabilities over time.</t>
  </si>
  <si>
    <t xml:space="preserve">The historical Quick Ratio ranged from 0.5x to 0.9x, indicating relatively low immediate liquidity in the early years.From 2025 onward, it steadily improves, reaching 1.7x by 2034.This suggests a growing ability to cover short-term liabilities without relying on inventory.
Overall, the company is projected to strengthen its liquid asset position over time.
</t>
  </si>
  <si>
    <t>The historical Cash Cycle Days show significant fluctuations, indicating variability in how quickly the company converts resources into cash. A negative cycle in year 2 suggests the company was able to collect cash faster than it paid its suppliers, which is very efficient.From 2025 onward, reflecting improved and predictable working capital management.This steady cycle indicates the company expects to maintain efficient cash flow operations in the future.</t>
  </si>
  <si>
    <t>The Asset to Equity ratio has decreased from 2.0x in the early years to 1.7x during the historical period, showing reduced leverage.From 2025 onward, it is expected to stabilize around 1.6x, indicating a consistent and conservative capital structure.This suggests the company is lowering its financial risk by relying less on debt relative to equity.Overall, the trend reflects improved balance sheet strength and financial stability.</t>
  </si>
  <si>
    <t>The Debt to Equity ratio decreased from 0.5x to 0.2x during the historical period, showing a significant reduction in debt levels relative to equity.From 2025 onward, the ratio is forecasted to remain stable at 0.2x, indicating a low and consistent debt position.This reflects the company’s conservative approach to leverage and strong financial health.
Overall, the trend suggests reduced financial risk and improved balance sheet stability.</t>
  </si>
  <si>
    <t xml:space="preserve">The Debt Ratio declined from 0.3x to 0.1x during the historical period, indicating a significant reduction in total debt relative to assets.From 2025 onward, it is forecasted to remain steady at 0.1x, reflecting a very low level of debt financing.This suggests the company maintains a strong and conservative balance sheet with minimal reliance on debt.
</t>
  </si>
  <si>
    <t xml:space="preserve">The historical Interest Coverage ratio improved significantly from 3.3x to over 10x, indicating a stronger ability to meet interest expenses from operating earnings.After peaking at 10.1x, it stabilizes around 6.7x to 7.0x in the forecast period, reflecting a conservative but solid coverage level.This suggests the company maintains comfortable earnings relative to interest obligations.
</t>
  </si>
  <si>
    <t>The Fixed Asset Turnover Ratio shows steady improvement from 0.7x to 1.0x during the historical period, indicating better utilization of fixed assets to generate sales.In the forecast period, the ratio continues to increase gradually, reaching 1.6x by 2034.This reflects growing efficiency in asset use and stronger revenue generation relative to fixed assets.</t>
  </si>
  <si>
    <t>The Total Asset Turnover Ratio increased from 0.5x to 0.7x during the historical period, indicating improved efficiency in using assets to generate sales.From 2025 onward, it is forecasted to stabilize at 0.8x, reflecting consistent asset utilization.This suggests the company expects to maintain steady sales relative to its asset base. the trend points to stable and efficient asset management in the future.</t>
  </si>
  <si>
    <t>The Inventory Turnover ratio shows slight fluctuations historically, ranging between 1.4x and 1.8x, indicating moderate efficiency in managing inventory.
From 2025 onward, it is expected to remain steady at 1.5x, reflecting consistent inventory management practices.This suggests the company maintains stable inventory levels relative to sales.</t>
  </si>
  <si>
    <t>The Financial Leverage ratio decreased from 2.0x to 1.7x during the historical period, showing reduced reliance on debt financing.From 2025 onward, it is forecasted to stabilize around 1.6x, indicating a more conservative capital structure.This suggests the company is managing its financial risk by lowering leverage.</t>
  </si>
  <si>
    <t>PAT</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</si>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</sst>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6" formatCode="&quot;₹&quot;\ #,##0;[Red]&quot;₹&quot;\ \-#,##0"/>
    <numFmt numFmtId="8" formatCode="&quot;₹&quot;\ #,##0.00;[Red]&quot;₹&quot;\ \-#,##0.00"/>
    <numFmt numFmtId="164" formatCode="0.0%"/>
    <numFmt numFmtId="165" formatCode="0.000%"/>
    <numFmt numFmtId="166" formatCode="0;\(0\);\-"/>
    <numFmt numFmtId="167" formatCode="0.0"/>
    <numFmt numFmtId="168" formatCode="#,##0;\(#,##0\);\-"/>
    <numFmt numFmtId="169" formatCode="0.0&quot;x&quot;"/>
    <numFmt numFmtId="170" formatCode="0&quot;F&quot;"/>
    <numFmt numFmtId="171" formatCode="###0&quot;A&quot;"/>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1"/>
      <color rgb="FF22222F"/>
      <name val="Arial"/>
      <family val="2"/>
    </font>
    <font>
      <i/>
      <sz val="11"/>
      <color theme="1"/>
      <name val="Calibri"/>
      <family val="2"/>
      <scheme val="minor"/>
    </font>
    <font>
      <b/>
      <i/>
      <sz val="11"/>
      <color theme="1"/>
      <name val="Calibri"/>
      <family val="2"/>
      <scheme val="minor"/>
    </font>
    <font>
      <b/>
      <u/>
      <sz val="11"/>
      <color theme="1"/>
      <name val="Calibri"/>
      <family val="2"/>
      <scheme val="minor"/>
    </font>
    <font>
      <sz val="11"/>
      <color theme="0"/>
      <name val="Calibri"/>
      <family val="2"/>
      <scheme val="minor"/>
    </font>
    <font>
      <b/>
      <i/>
      <u/>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rgb="FFFFFF0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00B0F0"/>
        <bgColor indexed="64"/>
      </patternFill>
    </fill>
    <fill>
      <patternFill patternType="solid">
        <fgColor rgb="FF0070C0"/>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0"/>
        <bgColor indexed="64"/>
      </patternFill>
    </fill>
  </fills>
  <borders count="27">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tted">
        <color auto="1"/>
      </left>
      <right style="dotted">
        <color auto="1"/>
      </right>
      <top style="dotted">
        <color auto="1"/>
      </top>
      <bottom style="dotted">
        <color auto="1"/>
      </bottom>
      <diagonal/>
    </border>
    <border>
      <left style="dotted">
        <color auto="1"/>
      </left>
      <right style="dotted">
        <color auto="1"/>
      </right>
      <top/>
      <bottom style="dotted">
        <color auto="1"/>
      </bottom>
      <diagonal/>
    </border>
    <border>
      <left/>
      <right/>
      <top/>
      <bottom style="medium">
        <color indexed="64"/>
      </bottom>
      <diagonal/>
    </border>
    <border>
      <left/>
      <right/>
      <top style="medium">
        <color indexed="64"/>
      </top>
      <bottom style="thin">
        <color indexed="64"/>
      </bottom>
      <diagonal/>
    </border>
    <border>
      <left style="dashed">
        <color auto="1"/>
      </left>
      <right style="dashed">
        <color auto="1"/>
      </right>
      <top/>
      <bottom/>
      <diagonal/>
    </border>
    <border>
      <left style="hair">
        <color auto="1"/>
      </left>
      <right style="hair">
        <color auto="1"/>
      </right>
      <top style="hair">
        <color auto="1"/>
      </top>
      <bottom style="hair">
        <color auto="1"/>
      </bottom>
      <diagonal/>
    </border>
    <border>
      <left style="thin">
        <color indexed="64"/>
      </left>
      <right/>
      <top style="thin">
        <color indexed="64"/>
      </top>
      <bottom style="thin">
        <color indexed="64"/>
      </bottom>
      <diagonal/>
    </border>
    <border>
      <left style="hair">
        <color auto="1"/>
      </left>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23">
    <xf numFmtId="0" fontId="0" fillId="0" borderId="0" xfId="0"/>
    <xf numFmtId="0" fontId="2" fillId="0" borderId="0" xfId="0" applyFont="1"/>
    <xf numFmtId="0" fontId="0" fillId="0" borderId="0" xfId="0" applyFont="1"/>
    <xf numFmtId="0" fontId="0" fillId="0" borderId="0" xfId="0" applyAlignment="1">
      <alignment wrapText="1"/>
    </xf>
    <xf numFmtId="0" fontId="0" fillId="0" borderId="1" xfId="0" applyBorder="1"/>
    <xf numFmtId="0" fontId="2" fillId="0" borderId="1" xfId="0" applyFont="1" applyBorder="1"/>
    <xf numFmtId="4" fontId="0" fillId="0" borderId="0" xfId="0" applyNumberFormat="1"/>
    <xf numFmtId="4" fontId="2" fillId="0" borderId="0" xfId="0" applyNumberFormat="1" applyFont="1"/>
    <xf numFmtId="0" fontId="2" fillId="0" borderId="2" xfId="0" applyFont="1" applyBorder="1"/>
    <xf numFmtId="0" fontId="0" fillId="0" borderId="2" xfId="0" applyBorder="1"/>
    <xf numFmtId="4" fontId="2" fillId="0" borderId="1" xfId="0" applyNumberFormat="1" applyFont="1" applyBorder="1"/>
    <xf numFmtId="0" fontId="2" fillId="2" borderId="2" xfId="0" applyFont="1" applyFill="1" applyBorder="1"/>
    <xf numFmtId="0" fontId="2" fillId="2" borderId="0" xfId="0" applyFont="1" applyFill="1" applyBorder="1"/>
    <xf numFmtId="0" fontId="0" fillId="0" borderId="0" xfId="0" applyBorder="1"/>
    <xf numFmtId="0" fontId="2" fillId="2" borderId="3" xfId="0" applyFont="1" applyFill="1" applyBorder="1"/>
    <xf numFmtId="0" fontId="0" fillId="0" borderId="3" xfId="0" applyBorder="1"/>
    <xf numFmtId="164" fontId="0" fillId="0" borderId="2" xfId="1" applyNumberFormat="1" applyFont="1" applyBorder="1"/>
    <xf numFmtId="164" fontId="0" fillId="0" borderId="0" xfId="1" applyNumberFormat="1" applyFont="1" applyBorder="1"/>
    <xf numFmtId="9" fontId="0" fillId="0" borderId="0" xfId="1" applyFont="1"/>
    <xf numFmtId="0" fontId="0" fillId="0" borderId="0" xfId="0" applyAlignment="1">
      <alignment vertical="top" wrapText="1"/>
    </xf>
    <xf numFmtId="164" fontId="0" fillId="0" borderId="0" xfId="1" applyNumberFormat="1" applyFont="1"/>
    <xf numFmtId="10" fontId="0" fillId="0" borderId="0" xfId="1" applyNumberFormat="1" applyFont="1"/>
    <xf numFmtId="0" fontId="2" fillId="4" borderId="0" xfId="0" applyFont="1" applyFill="1"/>
    <xf numFmtId="10" fontId="2" fillId="4" borderId="0" xfId="0" applyNumberFormat="1" applyFont="1" applyFill="1"/>
    <xf numFmtId="0" fontId="3" fillId="4" borderId="0" xfId="0" applyFont="1" applyFill="1"/>
    <xf numFmtId="0" fontId="2" fillId="4" borderId="4" xfId="0" applyFont="1" applyFill="1" applyBorder="1"/>
    <xf numFmtId="1" fontId="0" fillId="0" borderId="0" xfId="0" applyNumberFormat="1"/>
    <xf numFmtId="3" fontId="2" fillId="0" borderId="0" xfId="0" applyNumberFormat="1" applyFont="1"/>
    <xf numFmtId="3" fontId="0" fillId="0" borderId="0" xfId="0" applyNumberFormat="1"/>
    <xf numFmtId="0" fontId="4" fillId="0" borderId="0" xfId="0" applyFont="1"/>
    <xf numFmtId="3" fontId="2" fillId="0" borderId="1" xfId="0" applyNumberFormat="1" applyFont="1" applyBorder="1"/>
    <xf numFmtId="1" fontId="2" fillId="0" borderId="1" xfId="0" applyNumberFormat="1" applyFont="1" applyBorder="1"/>
    <xf numFmtId="164" fontId="2" fillId="2" borderId="6" xfId="1" applyNumberFormat="1" applyFont="1" applyFill="1" applyBorder="1"/>
    <xf numFmtId="10" fontId="2" fillId="2" borderId="6" xfId="1" applyNumberFormat="1" applyFont="1" applyFill="1" applyBorder="1"/>
    <xf numFmtId="0" fontId="4" fillId="0" borderId="0" xfId="0" applyFont="1" applyAlignment="1">
      <alignment horizontal="right"/>
    </xf>
    <xf numFmtId="164" fontId="4" fillId="0" borderId="0" xfId="1" applyNumberFormat="1" applyFont="1"/>
    <xf numFmtId="164" fontId="5" fillId="2" borderId="5" xfId="1" applyNumberFormat="1" applyFont="1" applyFill="1" applyBorder="1"/>
    <xf numFmtId="0" fontId="4" fillId="5" borderId="0" xfId="0" applyFont="1" applyFill="1"/>
    <xf numFmtId="10" fontId="4" fillId="0" borderId="0" xfId="1" applyNumberFormat="1" applyFont="1"/>
    <xf numFmtId="164" fontId="5" fillId="2" borderId="6" xfId="1" applyNumberFormat="1" applyFont="1" applyFill="1" applyBorder="1"/>
    <xf numFmtId="0" fontId="2" fillId="0" borderId="3" xfId="0" applyFont="1" applyBorder="1"/>
    <xf numFmtId="0" fontId="4" fillId="0" borderId="3" xfId="0" applyFont="1" applyBorder="1"/>
    <xf numFmtId="0" fontId="5" fillId="0" borderId="0" xfId="0" applyFont="1"/>
    <xf numFmtId="9" fontId="4" fillId="0" borderId="0" xfId="0" applyNumberFormat="1" applyFont="1"/>
    <xf numFmtId="9" fontId="2" fillId="0" borderId="0" xfId="1" applyFont="1"/>
    <xf numFmtId="165" fontId="0" fillId="0" borderId="0" xfId="0" applyNumberFormat="1"/>
    <xf numFmtId="9" fontId="4" fillId="0" borderId="0" xfId="1" applyFont="1"/>
    <xf numFmtId="9" fontId="5" fillId="0" borderId="0" xfId="0" applyNumberFormat="1" applyFont="1"/>
    <xf numFmtId="0" fontId="6" fillId="0" borderId="0" xfId="0" applyFont="1"/>
    <xf numFmtId="9" fontId="2" fillId="0" borderId="0" xfId="1" applyNumberFormat="1" applyFont="1"/>
    <xf numFmtId="2" fontId="0" fillId="0" borderId="0" xfId="0" applyNumberFormat="1"/>
    <xf numFmtId="166" fontId="2" fillId="0" borderId="0" xfId="0" applyNumberFormat="1" applyFont="1"/>
    <xf numFmtId="166" fontId="0" fillId="0" borderId="0" xfId="0" applyNumberFormat="1"/>
    <xf numFmtId="166" fontId="2" fillId="0" borderId="1" xfId="0" applyNumberFormat="1" applyFont="1" applyBorder="1"/>
    <xf numFmtId="166" fontId="6" fillId="0" borderId="0" xfId="0" applyNumberFormat="1" applyFont="1"/>
    <xf numFmtId="166" fontId="0" fillId="0" borderId="1" xfId="0" applyNumberFormat="1" applyBorder="1"/>
    <xf numFmtId="166" fontId="2" fillId="6" borderId="1" xfId="0" applyNumberFormat="1" applyFont="1" applyFill="1" applyBorder="1"/>
    <xf numFmtId="166" fontId="0" fillId="6" borderId="1" xfId="0" applyNumberFormat="1" applyFill="1" applyBorder="1"/>
    <xf numFmtId="166" fontId="0" fillId="6" borderId="1" xfId="0" applyNumberFormat="1" applyFont="1" applyFill="1" applyBorder="1"/>
    <xf numFmtId="166" fontId="0" fillId="0" borderId="0" xfId="0" applyNumberFormat="1" applyAlignment="1">
      <alignment vertical="top"/>
    </xf>
    <xf numFmtId="166" fontId="0" fillId="0" borderId="0" xfId="0" applyNumberFormat="1" applyAlignment="1">
      <alignment vertical="top" wrapText="1"/>
    </xf>
    <xf numFmtId="166" fontId="0" fillId="0" borderId="0" xfId="0" applyNumberFormat="1" applyFont="1"/>
    <xf numFmtId="167" fontId="0" fillId="0" borderId="0" xfId="0" applyNumberFormat="1"/>
    <xf numFmtId="1" fontId="2" fillId="0" borderId="0" xfId="0" applyNumberFormat="1" applyFont="1"/>
    <xf numFmtId="1" fontId="0" fillId="0" borderId="0" xfId="1" applyNumberFormat="1" applyFont="1"/>
    <xf numFmtId="0" fontId="2" fillId="0" borderId="0" xfId="0" applyFont="1" applyBorder="1"/>
    <xf numFmtId="9" fontId="0" fillId="0" borderId="0" xfId="0" applyNumberFormat="1"/>
    <xf numFmtId="0" fontId="6" fillId="3" borderId="0" xfId="0" applyFont="1" applyFill="1"/>
    <xf numFmtId="15" fontId="0" fillId="0" borderId="9" xfId="0" applyNumberFormat="1" applyBorder="1"/>
    <xf numFmtId="1" fontId="0" fillId="0" borderId="9" xfId="0" applyNumberFormat="1" applyBorder="1"/>
    <xf numFmtId="9" fontId="6" fillId="3" borderId="0" xfId="1" applyFont="1" applyFill="1"/>
    <xf numFmtId="0" fontId="0" fillId="0" borderId="10" xfId="0" applyBorder="1"/>
    <xf numFmtId="0" fontId="2" fillId="0" borderId="10" xfId="0" applyFont="1" applyBorder="1"/>
    <xf numFmtId="1" fontId="0" fillId="0" borderId="10" xfId="0" applyNumberFormat="1" applyBorder="1"/>
    <xf numFmtId="3" fontId="0" fillId="0" borderId="10" xfId="0" applyNumberFormat="1" applyBorder="1"/>
    <xf numFmtId="9" fontId="2" fillId="0" borderId="10" xfId="1" applyFont="1" applyBorder="1"/>
    <xf numFmtId="0" fontId="0" fillId="0" borderId="4" xfId="0" applyBorder="1"/>
    <xf numFmtId="9" fontId="0" fillId="0" borderId="4" xfId="0" applyNumberFormat="1" applyBorder="1"/>
    <xf numFmtId="0" fontId="2" fillId="0" borderId="4" xfId="0" applyFont="1" applyBorder="1"/>
    <xf numFmtId="10" fontId="0" fillId="0" borderId="4" xfId="0" applyNumberFormat="1" applyBorder="1"/>
    <xf numFmtId="164" fontId="0" fillId="0" borderId="4" xfId="0" applyNumberFormat="1" applyBorder="1"/>
    <xf numFmtId="164" fontId="0" fillId="0" borderId="4" xfId="1" applyNumberFormat="1" applyFont="1" applyBorder="1"/>
    <xf numFmtId="9" fontId="0" fillId="0" borderId="4" xfId="1" applyFont="1" applyBorder="1"/>
    <xf numFmtId="3" fontId="0" fillId="0" borderId="4" xfId="0" applyNumberFormat="1" applyBorder="1"/>
    <xf numFmtId="0" fontId="3" fillId="4" borderId="4" xfId="0" applyFont="1" applyFill="1" applyBorder="1"/>
    <xf numFmtId="9" fontId="0" fillId="2" borderId="10" xfId="0" applyNumberFormat="1" applyFill="1" applyBorder="1"/>
    <xf numFmtId="167" fontId="0" fillId="0" borderId="10" xfId="0" applyNumberFormat="1" applyBorder="1"/>
    <xf numFmtId="167" fontId="0" fillId="7" borderId="10" xfId="0" applyNumberFormat="1" applyFill="1" applyBorder="1"/>
    <xf numFmtId="167" fontId="0" fillId="8" borderId="10" xfId="0" applyNumberFormat="1" applyFill="1" applyBorder="1"/>
    <xf numFmtId="8" fontId="7" fillId="0" borderId="10" xfId="0" applyNumberFormat="1" applyFont="1" applyBorder="1"/>
    <xf numFmtId="0" fontId="2" fillId="8" borderId="4" xfId="0" applyFont="1" applyFill="1" applyBorder="1" applyAlignment="1">
      <alignment horizontal="center"/>
    </xf>
    <xf numFmtId="0" fontId="2" fillId="2" borderId="1" xfId="0" applyFont="1" applyFill="1" applyBorder="1"/>
    <xf numFmtId="0" fontId="2" fillId="9" borderId="1" xfId="0" applyFont="1" applyFill="1" applyBorder="1"/>
    <xf numFmtId="0" fontId="2" fillId="3" borderId="0" xfId="0" applyFont="1" applyFill="1"/>
    <xf numFmtId="9" fontId="0" fillId="0" borderId="0" xfId="1" applyNumberFormat="1" applyFont="1"/>
    <xf numFmtId="9" fontId="2" fillId="0" borderId="2" xfId="1" applyNumberFormat="1" applyFont="1" applyBorder="1"/>
    <xf numFmtId="9" fontId="2" fillId="0" borderId="1" xfId="1" applyNumberFormat="1" applyFont="1" applyBorder="1"/>
    <xf numFmtId="0" fontId="2" fillId="9" borderId="1" xfId="0" applyNumberFormat="1" applyFont="1" applyFill="1" applyBorder="1"/>
    <xf numFmtId="0" fontId="2" fillId="9" borderId="0" xfId="0" applyFont="1" applyFill="1"/>
    <xf numFmtId="0" fontId="2" fillId="12" borderId="0" xfId="0" applyFont="1" applyFill="1"/>
    <xf numFmtId="0" fontId="2" fillId="13" borderId="0" xfId="0" applyFont="1" applyFill="1"/>
    <xf numFmtId="0" fontId="5" fillId="14" borderId="0" xfId="0" applyFont="1" applyFill="1"/>
    <xf numFmtId="0" fontId="0" fillId="2" borderId="0" xfId="0" applyFill="1"/>
    <xf numFmtId="0" fontId="0" fillId="11" borderId="0" xfId="0" applyFill="1"/>
    <xf numFmtId="0" fontId="0" fillId="10" borderId="0" xfId="0" applyFill="1"/>
    <xf numFmtId="0" fontId="2" fillId="2" borderId="9" xfId="0" applyFont="1" applyFill="1" applyBorder="1"/>
    <xf numFmtId="0" fontId="0" fillId="0" borderId="14" xfId="0" applyNumberFormat="1" applyBorder="1"/>
    <xf numFmtId="0" fontId="0" fillId="0" borderId="14" xfId="1" applyNumberFormat="1" applyFont="1" applyBorder="1"/>
    <xf numFmtId="0" fontId="2" fillId="2" borderId="14" xfId="0" applyNumberFormat="1" applyFont="1" applyFill="1" applyBorder="1"/>
    <xf numFmtId="0" fontId="2" fillId="2" borderId="14" xfId="0" applyNumberFormat="1" applyFont="1" applyFill="1" applyBorder="1" applyAlignment="1">
      <alignment wrapText="1"/>
    </xf>
    <xf numFmtId="0" fontId="2" fillId="2" borderId="14" xfId="1" applyNumberFormat="1" applyFont="1" applyFill="1" applyBorder="1" applyAlignment="1">
      <alignment wrapText="1"/>
    </xf>
    <xf numFmtId="0" fontId="0" fillId="0" borderId="21" xfId="0" applyBorder="1"/>
    <xf numFmtId="0" fontId="0" fillId="8" borderId="18" xfId="0" applyFill="1" applyBorder="1"/>
    <xf numFmtId="0" fontId="0" fillId="8" borderId="2" xfId="0" applyFill="1" applyBorder="1"/>
    <xf numFmtId="0" fontId="0" fillId="8" borderId="19" xfId="0" applyFill="1" applyBorder="1"/>
    <xf numFmtId="0" fontId="2" fillId="8" borderId="20" xfId="0" applyFont="1" applyFill="1" applyBorder="1"/>
    <xf numFmtId="0" fontId="0" fillId="8" borderId="0" xfId="0" applyFill="1" applyBorder="1"/>
    <xf numFmtId="0" fontId="0" fillId="8" borderId="21" xfId="0" applyFill="1" applyBorder="1"/>
    <xf numFmtId="0" fontId="0" fillId="8" borderId="20" xfId="0" applyFill="1" applyBorder="1"/>
    <xf numFmtId="0" fontId="5" fillId="8" borderId="22" xfId="0" applyFont="1" applyFill="1" applyBorder="1" applyAlignment="1">
      <alignment horizontal="centerContinuous"/>
    </xf>
    <xf numFmtId="0" fontId="5" fillId="8" borderId="8" xfId="0" applyFont="1" applyFill="1" applyBorder="1" applyAlignment="1">
      <alignment horizontal="centerContinuous"/>
    </xf>
    <xf numFmtId="0" fontId="0" fillId="8" borderId="20" xfId="0" applyFill="1" applyBorder="1" applyAlignment="1"/>
    <xf numFmtId="0" fontId="0" fillId="8" borderId="0" xfId="0" applyFill="1" applyBorder="1" applyAlignment="1"/>
    <xf numFmtId="0" fontId="0" fillId="8" borderId="23" xfId="0" applyFill="1" applyBorder="1" applyAlignment="1"/>
    <xf numFmtId="0" fontId="0" fillId="8" borderId="7" xfId="0" applyFill="1" applyBorder="1" applyAlignment="1"/>
    <xf numFmtId="0" fontId="2" fillId="8" borderId="0" xfId="0" applyFont="1" applyFill="1" applyBorder="1"/>
    <xf numFmtId="0" fontId="5" fillId="8" borderId="22" xfId="0" applyFont="1" applyFill="1" applyBorder="1" applyAlignment="1">
      <alignment horizontal="center"/>
    </xf>
    <xf numFmtId="0" fontId="5" fillId="8" borderId="8" xfId="0" applyFont="1" applyFill="1" applyBorder="1" applyAlignment="1">
      <alignment horizontal="center"/>
    </xf>
    <xf numFmtId="0" fontId="6" fillId="8" borderId="7" xfId="0" applyFont="1" applyFill="1" applyBorder="1" applyAlignment="1"/>
    <xf numFmtId="0" fontId="0" fillId="8" borderId="24" xfId="0" applyFill="1" applyBorder="1"/>
    <xf numFmtId="0" fontId="0" fillId="8" borderId="3" xfId="0" applyFill="1" applyBorder="1"/>
    <xf numFmtId="0" fontId="0" fillId="8" borderId="25" xfId="0" applyFill="1" applyBorder="1"/>
    <xf numFmtId="9" fontId="4" fillId="13" borderId="16" xfId="0" applyNumberFormat="1" applyFont="1" applyFill="1" applyBorder="1"/>
    <xf numFmtId="9" fontId="5" fillId="13" borderId="16" xfId="0" applyNumberFormat="1" applyFont="1" applyFill="1" applyBorder="1"/>
    <xf numFmtId="0" fontId="2" fillId="9" borderId="21" xfId="0" applyFont="1" applyFill="1" applyBorder="1"/>
    <xf numFmtId="0" fontId="5" fillId="14" borderId="21" xfId="0" applyFont="1" applyFill="1" applyBorder="1"/>
    <xf numFmtId="0" fontId="4" fillId="0" borderId="25" xfId="0" applyFont="1" applyBorder="1"/>
    <xf numFmtId="3" fontId="2" fillId="0" borderId="21" xfId="0" applyNumberFormat="1" applyFont="1" applyBorder="1"/>
    <xf numFmtId="4" fontId="2" fillId="0" borderId="21" xfId="0" applyNumberFormat="1" applyFont="1" applyBorder="1"/>
    <xf numFmtId="3" fontId="0" fillId="0" borderId="21" xfId="0" applyNumberFormat="1" applyBorder="1"/>
    <xf numFmtId="9" fontId="4" fillId="0" borderId="21" xfId="0" applyNumberFormat="1" applyFont="1" applyBorder="1"/>
    <xf numFmtId="9" fontId="2" fillId="0" borderId="21" xfId="1" applyFont="1" applyBorder="1"/>
    <xf numFmtId="9" fontId="4" fillId="0" borderId="21" xfId="1" applyFont="1" applyBorder="1"/>
    <xf numFmtId="9" fontId="0" fillId="0" borderId="21" xfId="1" applyFont="1" applyBorder="1"/>
    <xf numFmtId="9" fontId="5" fillId="0" borderId="21" xfId="0" applyNumberFormat="1" applyFont="1" applyBorder="1"/>
    <xf numFmtId="1" fontId="0" fillId="0" borderId="21" xfId="0" applyNumberFormat="1" applyBorder="1"/>
    <xf numFmtId="4" fontId="0" fillId="0" borderId="21" xfId="0" applyNumberFormat="1" applyBorder="1"/>
    <xf numFmtId="164" fontId="0" fillId="0" borderId="21" xfId="1" applyNumberFormat="1" applyFont="1" applyBorder="1"/>
    <xf numFmtId="10" fontId="0" fillId="0" borderId="21" xfId="1" applyNumberFormat="1" applyFont="1" applyBorder="1"/>
    <xf numFmtId="168" fontId="0" fillId="0" borderId="0" xfId="0" applyNumberFormat="1"/>
    <xf numFmtId="168" fontId="0" fillId="0" borderId="21" xfId="0" applyNumberFormat="1" applyBorder="1"/>
    <xf numFmtId="3" fontId="2" fillId="0" borderId="2" xfId="0" applyNumberFormat="1" applyFont="1" applyBorder="1"/>
    <xf numFmtId="9" fontId="4" fillId="2" borderId="16" xfId="0" applyNumberFormat="1" applyFont="1" applyFill="1" applyBorder="1"/>
    <xf numFmtId="3" fontId="0" fillId="0" borderId="0" xfId="0" applyNumberFormat="1" applyFont="1"/>
    <xf numFmtId="4" fontId="0" fillId="10" borderId="0" xfId="0" applyNumberFormat="1" applyFill="1"/>
    <xf numFmtId="0" fontId="0" fillId="15" borderId="0" xfId="0" applyFill="1"/>
    <xf numFmtId="9" fontId="2" fillId="0" borderId="3" xfId="1" applyFont="1" applyBorder="1"/>
    <xf numFmtId="3" fontId="5" fillId="0" borderId="0" xfId="0" applyNumberFormat="1" applyFont="1" applyBorder="1"/>
    <xf numFmtId="1" fontId="2" fillId="0" borderId="2" xfId="0" applyNumberFormat="1" applyFont="1" applyBorder="1"/>
    <xf numFmtId="9" fontId="4" fillId="2" borderId="16" xfId="1" applyFont="1" applyFill="1" applyBorder="1"/>
    <xf numFmtId="0" fontId="2" fillId="2" borderId="0" xfId="0" applyFont="1" applyFill="1"/>
    <xf numFmtId="168" fontId="2" fillId="0" borderId="0" xfId="0" applyNumberFormat="1" applyFont="1"/>
    <xf numFmtId="168" fontId="2" fillId="0" borderId="1" xfId="0" applyNumberFormat="1" applyFont="1" applyBorder="1"/>
    <xf numFmtId="168" fontId="2" fillId="0" borderId="2" xfId="0" applyNumberFormat="1" applyFont="1" applyBorder="1"/>
    <xf numFmtId="168" fontId="2" fillId="0" borderId="0" xfId="0" applyNumberFormat="1" applyFont="1" applyBorder="1"/>
    <xf numFmtId="168" fontId="2" fillId="0" borderId="3" xfId="0" applyNumberFormat="1" applyFont="1" applyBorder="1"/>
    <xf numFmtId="169" fontId="0" fillId="0" borderId="0" xfId="0" applyNumberFormat="1" applyBorder="1"/>
    <xf numFmtId="169" fontId="0" fillId="0" borderId="3" xfId="0" applyNumberFormat="1" applyBorder="1"/>
    <xf numFmtId="169" fontId="0" fillId="0" borderId="0" xfId="0" applyNumberFormat="1"/>
    <xf numFmtId="169" fontId="4" fillId="0" borderId="0" xfId="0" applyNumberFormat="1" applyFont="1"/>
    <xf numFmtId="3" fontId="4" fillId="0" borderId="0" xfId="0" applyNumberFormat="1" applyFont="1"/>
    <xf numFmtId="0" fontId="8" fillId="16" borderId="1" xfId="0" applyFont="1" applyFill="1" applyBorder="1"/>
    <xf numFmtId="0" fontId="0" fillId="16" borderId="1" xfId="0" applyFill="1" applyBorder="1"/>
    <xf numFmtId="0" fontId="0" fillId="16" borderId="26" xfId="0" applyFill="1" applyBorder="1"/>
    <xf numFmtId="10" fontId="2" fillId="16" borderId="4" xfId="0" applyNumberFormat="1" applyFont="1" applyFill="1" applyBorder="1"/>
    <xf numFmtId="2" fontId="0" fillId="16" borderId="4" xfId="1" applyNumberFormat="1" applyFont="1" applyFill="1" applyBorder="1"/>
    <xf numFmtId="9" fontId="2" fillId="16" borderId="4" xfId="1" applyFont="1" applyFill="1" applyBorder="1"/>
    <xf numFmtId="1" fontId="0" fillId="0" borderId="11" xfId="0" applyNumberFormat="1" applyBorder="1"/>
    <xf numFmtId="167" fontId="0" fillId="0" borderId="4" xfId="0" applyNumberFormat="1" applyBorder="1"/>
    <xf numFmtId="1" fontId="0" fillId="0" borderId="4" xfId="0" applyNumberFormat="1" applyBorder="1"/>
    <xf numFmtId="6" fontId="0" fillId="0" borderId="12" xfId="0" applyNumberFormat="1" applyBorder="1"/>
    <xf numFmtId="6" fontId="2" fillId="0" borderId="12" xfId="0" applyNumberFormat="1" applyFont="1" applyBorder="1"/>
    <xf numFmtId="6" fontId="2" fillId="0" borderId="10" xfId="0" applyNumberFormat="1" applyFont="1" applyBorder="1"/>
    <xf numFmtId="6" fontId="0" fillId="0" borderId="10" xfId="0" applyNumberFormat="1" applyBorder="1"/>
    <xf numFmtId="2" fontId="0" fillId="0" borderId="10" xfId="0" applyNumberFormat="1" applyBorder="1"/>
    <xf numFmtId="0" fontId="0" fillId="17" borderId="18" xfId="0" applyFill="1" applyBorder="1"/>
    <xf numFmtId="171" fontId="2" fillId="17" borderId="2" xfId="0" applyNumberFormat="1" applyFont="1" applyFill="1" applyBorder="1"/>
    <xf numFmtId="170" fontId="2" fillId="17" borderId="2" xfId="0" applyNumberFormat="1" applyFont="1" applyFill="1" applyBorder="1"/>
    <xf numFmtId="170" fontId="2" fillId="17" borderId="19" xfId="0" applyNumberFormat="1" applyFont="1" applyFill="1" applyBorder="1"/>
    <xf numFmtId="0" fontId="0" fillId="17" borderId="24" xfId="0" applyFill="1" applyBorder="1"/>
    <xf numFmtId="1" fontId="0" fillId="17" borderId="3" xfId="0" applyNumberFormat="1" applyFill="1" applyBorder="1"/>
    <xf numFmtId="1" fontId="0" fillId="17" borderId="25" xfId="0" applyNumberFormat="1" applyFill="1" applyBorder="1"/>
    <xf numFmtId="0" fontId="0" fillId="0" borderId="18" xfId="0" applyBorder="1"/>
    <xf numFmtId="0" fontId="0" fillId="0" borderId="20" xfId="0" applyBorder="1"/>
    <xf numFmtId="1" fontId="0" fillId="0" borderId="0" xfId="0" applyNumberFormat="1" applyBorder="1"/>
    <xf numFmtId="0" fontId="0" fillId="0" borderId="24" xfId="0" applyBorder="1"/>
    <xf numFmtId="1" fontId="0" fillId="0" borderId="3" xfId="0" applyNumberFormat="1" applyBorder="1"/>
    <xf numFmtId="1" fontId="0" fillId="0" borderId="25" xfId="0" applyNumberFormat="1" applyBorder="1"/>
    <xf numFmtId="0" fontId="2" fillId="3" borderId="0" xfId="0" applyFont="1" applyFill="1" applyAlignment="1">
      <alignment horizontal="center"/>
    </xf>
    <xf numFmtId="0" fontId="0" fillId="0" borderId="0" xfId="0" applyAlignment="1">
      <alignment horizontal="center"/>
    </xf>
    <xf numFmtId="0" fontId="2" fillId="2" borderId="1" xfId="0" applyFont="1" applyFill="1" applyBorder="1" applyAlignment="1">
      <alignment horizontal="center"/>
    </xf>
    <xf numFmtId="0" fontId="6" fillId="3" borderId="0" xfId="0" applyFont="1" applyFill="1" applyAlignment="1">
      <alignment horizontal="center"/>
    </xf>
    <xf numFmtId="166" fontId="6" fillId="6" borderId="1" xfId="0" applyNumberFormat="1" applyFont="1" applyFill="1" applyBorder="1" applyAlignment="1">
      <alignment horizontal="center"/>
    </xf>
    <xf numFmtId="0" fontId="2" fillId="16" borderId="3" xfId="0" applyFont="1" applyFill="1" applyBorder="1" applyAlignment="1">
      <alignment horizontal="center"/>
    </xf>
    <xf numFmtId="0" fontId="0" fillId="0" borderId="11" xfId="0" applyBorder="1" applyAlignment="1">
      <alignment horizontal="left" vertical="top" wrapText="1"/>
    </xf>
    <xf numFmtId="0" fontId="0" fillId="0" borderId="1" xfId="0" applyBorder="1" applyAlignment="1">
      <alignment horizontal="left" vertical="top" wrapText="1"/>
    </xf>
    <xf numFmtId="0" fontId="0" fillId="0" borderId="26" xfId="0" applyBorder="1" applyAlignment="1">
      <alignment horizontal="left" vertical="top" wrapText="1"/>
    </xf>
    <xf numFmtId="0" fontId="2" fillId="0" borderId="11" xfId="0" applyFont="1" applyBorder="1" applyAlignment="1">
      <alignment horizontal="center" vertical="center"/>
    </xf>
    <xf numFmtId="0" fontId="2" fillId="0" borderId="26" xfId="0" applyFont="1" applyBorder="1" applyAlignment="1">
      <alignment horizontal="center" vertical="center"/>
    </xf>
    <xf numFmtId="0" fontId="0" fillId="0" borderId="11" xfId="0" applyFont="1" applyBorder="1" applyAlignment="1">
      <alignment vertical="top" wrapText="1"/>
    </xf>
    <xf numFmtId="0" fontId="0" fillId="0" borderId="1" xfId="0" applyFont="1" applyBorder="1" applyAlignment="1">
      <alignment vertical="top" wrapText="1"/>
    </xf>
    <xf numFmtId="0" fontId="0" fillId="0" borderId="26" xfId="0" applyFont="1" applyBorder="1" applyAlignment="1">
      <alignment vertical="top" wrapText="1"/>
    </xf>
    <xf numFmtId="0" fontId="8" fillId="16" borderId="11" xfId="0" applyFont="1" applyFill="1" applyBorder="1" applyAlignment="1">
      <alignment horizontal="center"/>
    </xf>
    <xf numFmtId="0" fontId="8" fillId="16" borderId="1" xfId="0" applyFont="1" applyFill="1" applyBorder="1" applyAlignment="1">
      <alignment horizontal="center"/>
    </xf>
    <xf numFmtId="0" fontId="2" fillId="3" borderId="4" xfId="0" applyFont="1" applyFill="1" applyBorder="1" applyAlignment="1">
      <alignment horizontal="center"/>
    </xf>
    <xf numFmtId="0" fontId="2" fillId="3" borderId="10" xfId="0" applyFont="1" applyFill="1" applyBorder="1" applyAlignment="1">
      <alignment horizontal="center"/>
    </xf>
    <xf numFmtId="0" fontId="2" fillId="3" borderId="12" xfId="0" applyFont="1" applyFill="1" applyBorder="1" applyAlignment="1">
      <alignment horizontal="center"/>
    </xf>
    <xf numFmtId="0" fontId="2" fillId="0" borderId="13" xfId="0" applyFont="1" applyBorder="1" applyAlignment="1">
      <alignment horizontal="center" textRotation="90" wrapText="1"/>
    </xf>
    <xf numFmtId="0" fontId="2" fillId="0" borderId="14" xfId="0" applyFont="1" applyBorder="1" applyAlignment="1">
      <alignment horizontal="center" textRotation="90" wrapText="1"/>
    </xf>
    <xf numFmtId="0" fontId="2" fillId="0" borderId="15" xfId="0" applyFont="1" applyBorder="1" applyAlignment="1">
      <alignment horizontal="center" textRotation="90" wrapText="1"/>
    </xf>
    <xf numFmtId="0" fontId="2" fillId="0" borderId="12"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Y-O-Y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Charts!$A$4</c:f>
              <c:strCache>
                <c:ptCount val="1"/>
                <c:pt idx="0">
                  <c:v>Revenue</c:v>
                </c:pt>
              </c:strCache>
            </c:strRef>
          </c:tx>
          <c:spPr>
            <a:solidFill>
              <a:srgbClr val="92D050"/>
            </a:solidFill>
            <a:ln>
              <a:noFill/>
            </a:ln>
            <a:effectLst/>
          </c:spPr>
          <c:invertIfNegative val="0"/>
          <c:dPt>
            <c:idx val="0"/>
            <c:invertIfNegative val="0"/>
            <c:bubble3D val="0"/>
            <c:spPr>
              <a:solidFill>
                <a:schemeClr val="accent2">
                  <a:lumMod val="75000"/>
                </a:schemeClr>
              </a:solidFill>
              <a:ln>
                <a:noFill/>
              </a:ln>
              <a:effectLst/>
            </c:spPr>
            <c:extLst>
              <c:ext xmlns:c16="http://schemas.microsoft.com/office/drawing/2014/chart" uri="{C3380CC4-5D6E-409C-BE32-E72D297353CC}">
                <c16:uniqueId val="{00000006-1C78-446F-A717-350ADEA9C2BD}"/>
              </c:ext>
            </c:extLst>
          </c:dPt>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5-1C78-446F-A717-350ADEA9C2BD}"/>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4-1C78-446F-A717-350ADEA9C2BD}"/>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3-1C78-446F-A717-350ADEA9C2BD}"/>
              </c:ext>
            </c:extLst>
          </c:dPt>
          <c:dPt>
            <c:idx val="4"/>
            <c:invertIfNegative val="0"/>
            <c:bubble3D val="0"/>
            <c:spPr>
              <a:solidFill>
                <a:schemeClr val="accent2">
                  <a:lumMod val="75000"/>
                </a:schemeClr>
              </a:solidFill>
              <a:ln>
                <a:noFill/>
              </a:ln>
              <a:effectLst/>
            </c:spPr>
            <c:extLst>
              <c:ext xmlns:c16="http://schemas.microsoft.com/office/drawing/2014/chart" uri="{C3380CC4-5D6E-409C-BE32-E72D297353CC}">
                <c16:uniqueId val="{00000002-1C78-446F-A717-350ADEA9C2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Charts!$B$3:$P$3</c:f>
              <c:numCache>
                <c:formatCode>###0"A"</c:formatCode>
                <c:ptCount val="15"/>
                <c:pt idx="0">
                  <c:v>2020</c:v>
                </c:pt>
                <c:pt idx="1">
                  <c:v>2021</c:v>
                </c:pt>
                <c:pt idx="2">
                  <c:v>2022</c:v>
                </c:pt>
                <c:pt idx="3">
                  <c:v>2023</c:v>
                </c:pt>
                <c:pt idx="4">
                  <c:v>2024</c:v>
                </c:pt>
                <c:pt idx="5" formatCode="0&quot;F&quot;">
                  <c:v>2025</c:v>
                </c:pt>
                <c:pt idx="6" formatCode="0&quot;F&quot;">
                  <c:v>2026</c:v>
                </c:pt>
                <c:pt idx="7" formatCode="0&quot;F&quot;">
                  <c:v>2027</c:v>
                </c:pt>
                <c:pt idx="8" formatCode="0&quot;F&quot;">
                  <c:v>2028</c:v>
                </c:pt>
                <c:pt idx="9" formatCode="0&quot;F&quot;">
                  <c:v>2029</c:v>
                </c:pt>
                <c:pt idx="10" formatCode="0&quot;F&quot;">
                  <c:v>2030</c:v>
                </c:pt>
                <c:pt idx="11" formatCode="0&quot;F&quot;">
                  <c:v>2031</c:v>
                </c:pt>
                <c:pt idx="12" formatCode="0&quot;F&quot;">
                  <c:v>2032</c:v>
                </c:pt>
                <c:pt idx="13" formatCode="0&quot;F&quot;">
                  <c:v>2033</c:v>
                </c:pt>
                <c:pt idx="14" formatCode="0&quot;F&quot;">
                  <c:v>2034</c:v>
                </c:pt>
              </c:numCache>
            </c:numRef>
          </c:cat>
          <c:val>
            <c:numRef>
              <c:f>Charts!$B$4:$P$4</c:f>
              <c:numCache>
                <c:formatCode>0</c:formatCode>
                <c:ptCount val="15"/>
                <c:pt idx="0">
                  <c:v>42124.829999999994</c:v>
                </c:pt>
                <c:pt idx="1">
                  <c:v>44725.8</c:v>
                </c:pt>
                <c:pt idx="2">
                  <c:v>52598.83</c:v>
                </c:pt>
                <c:pt idx="3">
                  <c:v>63239.979999999996</c:v>
                </c:pt>
                <c:pt idx="4">
                  <c:v>70908.14</c:v>
                </c:pt>
                <c:pt idx="5">
                  <c:v>80848.467274343071</c:v>
                </c:pt>
                <c:pt idx="6">
                  <c:v>92182.289094179068</c:v>
                </c:pt>
                <c:pt idx="7">
                  <c:v>105104.95386149982</c:v>
                </c:pt>
                <c:pt idx="8">
                  <c:v>119839.19508596339</c:v>
                </c:pt>
                <c:pt idx="9">
                  <c:v>136638.97039311889</c:v>
                </c:pt>
                <c:pt idx="10">
                  <c:v>155793.83870777037</c:v>
                </c:pt>
                <c:pt idx="11">
                  <c:v>177633.9510570924</c:v>
                </c:pt>
                <c:pt idx="12">
                  <c:v>202535.74101438277</c:v>
                </c:pt>
                <c:pt idx="13">
                  <c:v>230928.4128632643</c:v>
                </c:pt>
                <c:pt idx="14">
                  <c:v>263301.33931156009</c:v>
                </c:pt>
              </c:numCache>
            </c:numRef>
          </c:val>
          <c:extLst>
            <c:ext xmlns:c16="http://schemas.microsoft.com/office/drawing/2014/chart" uri="{C3380CC4-5D6E-409C-BE32-E72D297353CC}">
              <c16:uniqueId val="{00000000-1C78-446F-A717-350ADEA9C2BD}"/>
            </c:ext>
          </c:extLst>
        </c:ser>
        <c:dLbls>
          <c:dLblPos val="outEnd"/>
          <c:showLegendKey val="0"/>
          <c:showVal val="1"/>
          <c:showCatName val="0"/>
          <c:showSerName val="0"/>
          <c:showPercent val="0"/>
          <c:showBubbleSize val="0"/>
        </c:dLbls>
        <c:gapWidth val="219"/>
        <c:overlap val="-27"/>
        <c:axId val="593621792"/>
        <c:axId val="593629664"/>
      </c:barChart>
      <c:catAx>
        <c:axId val="593621792"/>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629664"/>
        <c:crosses val="autoZero"/>
        <c:auto val="1"/>
        <c:lblAlgn val="ctr"/>
        <c:lblOffset val="100"/>
        <c:noMultiLvlLbl val="0"/>
      </c:catAx>
      <c:valAx>
        <c:axId val="5936296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621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EBITDA V/S PAT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Charts!$A$23</c:f>
              <c:strCache>
                <c:ptCount val="1"/>
                <c:pt idx="0">
                  <c:v>EBITDA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Charts!$B$22:$P$22</c:f>
              <c:numCache>
                <c:formatCode>###0"A"</c:formatCode>
                <c:ptCount val="15"/>
                <c:pt idx="0">
                  <c:v>2020</c:v>
                </c:pt>
                <c:pt idx="1">
                  <c:v>2021</c:v>
                </c:pt>
                <c:pt idx="2">
                  <c:v>2022</c:v>
                </c:pt>
                <c:pt idx="3">
                  <c:v>2023</c:v>
                </c:pt>
                <c:pt idx="4">
                  <c:v>2024</c:v>
                </c:pt>
                <c:pt idx="5" formatCode="0&quot;F&quot;">
                  <c:v>2025</c:v>
                </c:pt>
                <c:pt idx="6" formatCode="0&quot;F&quot;">
                  <c:v>2026</c:v>
                </c:pt>
                <c:pt idx="7" formatCode="0&quot;F&quot;">
                  <c:v>2027</c:v>
                </c:pt>
                <c:pt idx="8" formatCode="0&quot;F&quot;">
                  <c:v>2028</c:v>
                </c:pt>
                <c:pt idx="9" formatCode="0&quot;F&quot;">
                  <c:v>2029</c:v>
                </c:pt>
                <c:pt idx="10" formatCode="0&quot;F&quot;">
                  <c:v>2030</c:v>
                </c:pt>
                <c:pt idx="11" formatCode="0&quot;F&quot;">
                  <c:v>2031</c:v>
                </c:pt>
                <c:pt idx="12" formatCode="0&quot;F&quot;">
                  <c:v>2032</c:v>
                </c:pt>
                <c:pt idx="13" formatCode="0&quot;F&quot;">
                  <c:v>2033</c:v>
                </c:pt>
                <c:pt idx="14" formatCode="0&quot;F&quot;">
                  <c:v>2034</c:v>
                </c:pt>
              </c:numCache>
            </c:numRef>
          </c:cat>
          <c:val>
            <c:numRef>
              <c:f>Charts!$B$23:$P$23</c:f>
              <c:numCache>
                <c:formatCode>0</c:formatCode>
                <c:ptCount val="15"/>
                <c:pt idx="0">
                  <c:v>9283.5699999999961</c:v>
                </c:pt>
                <c:pt idx="1">
                  <c:v>11567.910000000007</c:v>
                </c:pt>
                <c:pt idx="2">
                  <c:v>11514.350000000006</c:v>
                </c:pt>
                <c:pt idx="3">
                  <c:v>10619.849999999999</c:v>
                </c:pt>
                <c:pt idx="4">
                  <c:v>12968.559999999998</c:v>
                </c:pt>
                <c:pt idx="5">
                  <c:v>16958.025134128147</c:v>
                </c:pt>
                <c:pt idx="6">
                  <c:v>19335.302549101514</c:v>
                </c:pt>
                <c:pt idx="7">
                  <c:v>22045.840934208056</c:v>
                </c:pt>
                <c:pt idx="8">
                  <c:v>25136.358805980417</c:v>
                </c:pt>
                <c:pt idx="9">
                  <c:v>28660.12396209313</c:v>
                </c:pt>
                <c:pt idx="10">
                  <c:v>32677.871598774145</c:v>
                </c:pt>
                <c:pt idx="11">
                  <c:v>37258.851135408084</c:v>
                </c:pt>
                <c:pt idx="12">
                  <c:v>42482.019789274709</c:v>
                </c:pt>
                <c:pt idx="13">
                  <c:v>48437.403472734877</c:v>
                </c:pt>
                <c:pt idx="14">
                  <c:v>55227.648469125765</c:v>
                </c:pt>
              </c:numCache>
            </c:numRef>
          </c:val>
          <c:extLst>
            <c:ext xmlns:c16="http://schemas.microsoft.com/office/drawing/2014/chart" uri="{C3380CC4-5D6E-409C-BE32-E72D297353CC}">
              <c16:uniqueId val="{00000000-AD09-47E7-B345-D54C6DE27292}"/>
            </c:ext>
          </c:extLst>
        </c:ser>
        <c:ser>
          <c:idx val="1"/>
          <c:order val="1"/>
          <c:tx>
            <c:strRef>
              <c:f>Charts!$A$24</c:f>
              <c:strCache>
                <c:ptCount val="1"/>
                <c:pt idx="0">
                  <c:v>PAT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Charts!$B$22:$P$22</c:f>
              <c:numCache>
                <c:formatCode>###0"A"</c:formatCode>
                <c:ptCount val="15"/>
                <c:pt idx="0">
                  <c:v>2020</c:v>
                </c:pt>
                <c:pt idx="1">
                  <c:v>2021</c:v>
                </c:pt>
                <c:pt idx="2">
                  <c:v>2022</c:v>
                </c:pt>
                <c:pt idx="3">
                  <c:v>2023</c:v>
                </c:pt>
                <c:pt idx="4">
                  <c:v>2024</c:v>
                </c:pt>
                <c:pt idx="5" formatCode="0&quot;F&quot;">
                  <c:v>2025</c:v>
                </c:pt>
                <c:pt idx="6" formatCode="0&quot;F&quot;">
                  <c:v>2026</c:v>
                </c:pt>
                <c:pt idx="7" formatCode="0&quot;F&quot;">
                  <c:v>2027</c:v>
                </c:pt>
                <c:pt idx="8" formatCode="0&quot;F&quot;">
                  <c:v>2028</c:v>
                </c:pt>
                <c:pt idx="9" formatCode="0&quot;F&quot;">
                  <c:v>2029</c:v>
                </c:pt>
                <c:pt idx="10" formatCode="0&quot;F&quot;">
                  <c:v>2030</c:v>
                </c:pt>
                <c:pt idx="11" formatCode="0&quot;F&quot;">
                  <c:v>2031</c:v>
                </c:pt>
                <c:pt idx="12" formatCode="0&quot;F&quot;">
                  <c:v>2032</c:v>
                </c:pt>
                <c:pt idx="13" formatCode="0&quot;F&quot;">
                  <c:v>2033</c:v>
                </c:pt>
                <c:pt idx="14" formatCode="0&quot;F&quot;">
                  <c:v>2034</c:v>
                </c:pt>
              </c:numCache>
            </c:numRef>
          </c:cat>
          <c:val>
            <c:numRef>
              <c:f>Charts!$B$24:$P$24</c:f>
              <c:numCache>
                <c:formatCode>0</c:formatCode>
                <c:ptCount val="15"/>
                <c:pt idx="0">
                  <c:v>5243.529999999997</c:v>
                </c:pt>
                <c:pt idx="1">
                  <c:v>8116.2000000000062</c:v>
                </c:pt>
                <c:pt idx="2">
                  <c:v>8362.7000000000062</c:v>
                </c:pt>
                <c:pt idx="3">
                  <c:v>7412.2199999999984</c:v>
                </c:pt>
                <c:pt idx="4">
                  <c:v>9472.2099999999991</c:v>
                </c:pt>
                <c:pt idx="5">
                  <c:v>12225.470435782952</c:v>
                </c:pt>
                <c:pt idx="6">
                  <c:v>14043.794343133508</c:v>
                </c:pt>
                <c:pt idx="7">
                  <c:v>16159.846968586129</c:v>
                </c:pt>
                <c:pt idx="8">
                  <c:v>18637.403206767307</c:v>
                </c:pt>
                <c:pt idx="9">
                  <c:v>21522.947474905235</c:v>
                </c:pt>
                <c:pt idx="10">
                  <c:v>24869.972254968965</c:v>
                </c:pt>
                <c:pt idx="11">
                  <c:v>28739.939167752822</c:v>
                </c:pt>
                <c:pt idx="12">
                  <c:v>33205.712005127105</c:v>
                </c:pt>
                <c:pt idx="13">
                  <c:v>38349.662775220138</c:v>
                </c:pt>
                <c:pt idx="14">
                  <c:v>44266.316269967334</c:v>
                </c:pt>
              </c:numCache>
            </c:numRef>
          </c:val>
          <c:extLst>
            <c:ext xmlns:c16="http://schemas.microsoft.com/office/drawing/2014/chart" uri="{C3380CC4-5D6E-409C-BE32-E72D297353CC}">
              <c16:uniqueId val="{00000001-AD09-47E7-B345-D54C6DE27292}"/>
            </c:ext>
          </c:extLst>
        </c:ser>
        <c:dLbls>
          <c:showLegendKey val="0"/>
          <c:showVal val="0"/>
          <c:showCatName val="0"/>
          <c:showSerName val="0"/>
          <c:showPercent val="0"/>
          <c:showBubbleSize val="0"/>
        </c:dLbls>
        <c:gapWidth val="100"/>
        <c:overlap val="-24"/>
        <c:axId val="593583744"/>
        <c:axId val="593584072"/>
      </c:barChart>
      <c:catAx>
        <c:axId val="593583744"/>
        <c:scaling>
          <c:orientation val="minMax"/>
        </c:scaling>
        <c:delete val="0"/>
        <c:axPos val="b"/>
        <c:numFmt formatCode="###0&quot;A&quot;"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584072"/>
        <c:crosses val="autoZero"/>
        <c:auto val="1"/>
        <c:lblAlgn val="ctr"/>
        <c:lblOffset val="100"/>
        <c:noMultiLvlLbl val="0"/>
      </c:catAx>
      <c:valAx>
        <c:axId val="59358407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58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314326</xdr:colOff>
      <xdr:row>4</xdr:row>
      <xdr:rowOff>38099</xdr:rowOff>
    </xdr:from>
    <xdr:to>
      <xdr:col>17</xdr:col>
      <xdr:colOff>457200</xdr:colOff>
      <xdr:row>28</xdr:row>
      <xdr:rowOff>9524</xdr:rowOff>
    </xdr:to>
    <xdr:pic>
      <xdr:nvPicPr>
        <xdr:cNvPr id="2" name="Picture 1"/>
        <xdr:cNvPicPr>
          <a:picLocks noChangeAspect="1"/>
        </xdr:cNvPicPr>
      </xdr:nvPicPr>
      <xdr:blipFill>
        <a:blip xmlns:r="http://schemas.openxmlformats.org/officeDocument/2006/relationships" r:embed="rId1"/>
        <a:stretch>
          <a:fillRect/>
        </a:stretch>
      </xdr:blipFill>
      <xdr:spPr>
        <a:xfrm>
          <a:off x="5343526" y="419099"/>
          <a:ext cx="6238874" cy="4543425"/>
        </a:xfrm>
        <a:prstGeom prst="rect">
          <a:avLst/>
        </a:prstGeom>
      </xdr:spPr>
    </xdr:pic>
    <xdr:clientData/>
  </xdr:twoCellAnchor>
  <xdr:twoCellAnchor editAs="oneCell">
    <xdr:from>
      <xdr:col>7</xdr:col>
      <xdr:colOff>390525</xdr:colOff>
      <xdr:row>28</xdr:row>
      <xdr:rowOff>142875</xdr:rowOff>
    </xdr:from>
    <xdr:to>
      <xdr:col>17</xdr:col>
      <xdr:colOff>333375</xdr:colOff>
      <xdr:row>40</xdr:row>
      <xdr:rowOff>28304</xdr:rowOff>
    </xdr:to>
    <xdr:pic>
      <xdr:nvPicPr>
        <xdr:cNvPr id="3" name="Picture 2"/>
        <xdr:cNvPicPr>
          <a:picLocks noChangeAspect="1"/>
        </xdr:cNvPicPr>
      </xdr:nvPicPr>
      <xdr:blipFill>
        <a:blip xmlns:r="http://schemas.openxmlformats.org/officeDocument/2006/relationships" r:embed="rId2"/>
        <a:stretch>
          <a:fillRect/>
        </a:stretch>
      </xdr:blipFill>
      <xdr:spPr>
        <a:xfrm>
          <a:off x="5419725" y="5095875"/>
          <a:ext cx="6038850" cy="2171429"/>
        </a:xfrm>
        <a:prstGeom prst="rect">
          <a:avLst/>
        </a:prstGeom>
      </xdr:spPr>
    </xdr:pic>
    <xdr:clientData/>
  </xdr:twoCellAnchor>
  <xdr:twoCellAnchor editAs="oneCell">
    <xdr:from>
      <xdr:col>3</xdr:col>
      <xdr:colOff>0</xdr:colOff>
      <xdr:row>0</xdr:row>
      <xdr:rowOff>19050</xdr:rowOff>
    </xdr:from>
    <xdr:to>
      <xdr:col>3</xdr:col>
      <xdr:colOff>1162049</xdr:colOff>
      <xdr:row>2</xdr:row>
      <xdr:rowOff>142875</xdr:rowOff>
    </xdr:to>
    <xdr:pic>
      <xdr:nvPicPr>
        <xdr:cNvPr id="4" name="Picture 3"/>
        <xdr:cNvPicPr>
          <a:picLocks noChangeAspect="1"/>
        </xdr:cNvPicPr>
      </xdr:nvPicPr>
      <xdr:blipFill>
        <a:blip xmlns:r="http://schemas.openxmlformats.org/officeDocument/2006/relationships" r:embed="rId3"/>
        <a:stretch>
          <a:fillRect/>
        </a:stretch>
      </xdr:blipFill>
      <xdr:spPr>
        <a:xfrm>
          <a:off x="285750" y="19050"/>
          <a:ext cx="1162049"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123825</xdr:colOff>
      <xdr:row>0</xdr:row>
      <xdr:rowOff>85725</xdr:rowOff>
    </xdr:from>
    <xdr:to>
      <xdr:col>3</xdr:col>
      <xdr:colOff>1133475</xdr:colOff>
      <xdr:row>2</xdr:row>
      <xdr:rowOff>133350</xdr:rowOff>
    </xdr:to>
    <xdr:pic>
      <xdr:nvPicPr>
        <xdr:cNvPr id="2" name="Picture 1"/>
        <xdr:cNvPicPr>
          <a:picLocks noChangeAspect="1"/>
        </xdr:cNvPicPr>
      </xdr:nvPicPr>
      <xdr:blipFill>
        <a:blip xmlns:r="http://schemas.openxmlformats.org/officeDocument/2006/relationships" r:embed="rId1"/>
        <a:stretch>
          <a:fillRect/>
        </a:stretch>
      </xdr:blipFill>
      <xdr:spPr>
        <a:xfrm>
          <a:off x="409575" y="85725"/>
          <a:ext cx="1009650" cy="428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76199</xdr:colOff>
      <xdr:row>0</xdr:row>
      <xdr:rowOff>38100</xdr:rowOff>
    </xdr:from>
    <xdr:to>
      <xdr:col>3</xdr:col>
      <xdr:colOff>1114424</xdr:colOff>
      <xdr:row>2</xdr:row>
      <xdr:rowOff>152400</xdr:rowOff>
    </xdr:to>
    <xdr:pic>
      <xdr:nvPicPr>
        <xdr:cNvPr id="2" name="Picture 1"/>
        <xdr:cNvPicPr>
          <a:picLocks noChangeAspect="1"/>
        </xdr:cNvPicPr>
      </xdr:nvPicPr>
      <xdr:blipFill>
        <a:blip xmlns:r="http://schemas.openxmlformats.org/officeDocument/2006/relationships" r:embed="rId1"/>
        <a:stretch>
          <a:fillRect/>
        </a:stretch>
      </xdr:blipFill>
      <xdr:spPr>
        <a:xfrm>
          <a:off x="266699" y="38100"/>
          <a:ext cx="1133475" cy="495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95249</xdr:colOff>
      <xdr:row>0</xdr:row>
      <xdr:rowOff>38100</xdr:rowOff>
    </xdr:from>
    <xdr:to>
      <xdr:col>3</xdr:col>
      <xdr:colOff>1190624</xdr:colOff>
      <xdr:row>2</xdr:row>
      <xdr:rowOff>161925</xdr:rowOff>
    </xdr:to>
    <xdr:pic>
      <xdr:nvPicPr>
        <xdr:cNvPr id="2" name="Picture 1"/>
        <xdr:cNvPicPr>
          <a:picLocks noChangeAspect="1"/>
        </xdr:cNvPicPr>
      </xdr:nvPicPr>
      <xdr:blipFill>
        <a:blip xmlns:r="http://schemas.openxmlformats.org/officeDocument/2006/relationships" r:embed="rId1"/>
        <a:stretch>
          <a:fillRect/>
        </a:stretch>
      </xdr:blipFill>
      <xdr:spPr>
        <a:xfrm>
          <a:off x="380999" y="38100"/>
          <a:ext cx="1095375" cy="5048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123826</xdr:rowOff>
    </xdr:from>
    <xdr:to>
      <xdr:col>3</xdr:col>
      <xdr:colOff>1104900</xdr:colOff>
      <xdr:row>3</xdr:row>
      <xdr:rowOff>76200</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50" y="123826"/>
          <a:ext cx="1104900" cy="52387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95249</xdr:colOff>
      <xdr:row>1</xdr:row>
      <xdr:rowOff>0</xdr:rowOff>
    </xdr:from>
    <xdr:to>
      <xdr:col>3</xdr:col>
      <xdr:colOff>1476374</xdr:colOff>
      <xdr:row>4</xdr:row>
      <xdr:rowOff>9525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49" y="190500"/>
          <a:ext cx="1476375" cy="581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38099</xdr:colOff>
      <xdr:row>0</xdr:row>
      <xdr:rowOff>38100</xdr:rowOff>
    </xdr:from>
    <xdr:to>
      <xdr:col>3</xdr:col>
      <xdr:colOff>1323974</xdr:colOff>
      <xdr:row>3</xdr:row>
      <xdr:rowOff>12490</xdr:rowOff>
    </xdr:to>
    <xdr:pic>
      <xdr:nvPicPr>
        <xdr:cNvPr id="2" name="Picture 1"/>
        <xdr:cNvPicPr>
          <a:picLocks noChangeAspect="1"/>
        </xdr:cNvPicPr>
      </xdr:nvPicPr>
      <xdr:blipFill>
        <a:blip xmlns:r="http://schemas.openxmlformats.org/officeDocument/2006/relationships" r:embed="rId1"/>
        <a:stretch>
          <a:fillRect/>
        </a:stretch>
      </xdr:blipFill>
      <xdr:spPr>
        <a:xfrm>
          <a:off x="323849" y="38100"/>
          <a:ext cx="1285875" cy="5458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0</xdr:row>
      <xdr:rowOff>123826</xdr:rowOff>
    </xdr:from>
    <xdr:to>
      <xdr:col>3</xdr:col>
      <xdr:colOff>1676400</xdr:colOff>
      <xdr:row>3</xdr:row>
      <xdr:rowOff>114300</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50" y="123826"/>
          <a:ext cx="1676400" cy="56197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1009650</xdr:colOff>
      <xdr:row>3</xdr:row>
      <xdr:rowOff>47625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50" y="190500"/>
          <a:ext cx="1009650" cy="4286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1009650</xdr:colOff>
      <xdr:row>2</xdr:row>
      <xdr:rowOff>47625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50" y="0"/>
          <a:ext cx="1009650" cy="4286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123824</xdr:colOff>
      <xdr:row>0</xdr:row>
      <xdr:rowOff>95250</xdr:rowOff>
    </xdr:from>
    <xdr:to>
      <xdr:col>3</xdr:col>
      <xdr:colOff>1504949</xdr:colOff>
      <xdr:row>4</xdr:row>
      <xdr:rowOff>9525</xdr:rowOff>
    </xdr:to>
    <xdr:pic>
      <xdr:nvPicPr>
        <xdr:cNvPr id="2" name="Picture 1"/>
        <xdr:cNvPicPr>
          <a:picLocks noChangeAspect="1"/>
        </xdr:cNvPicPr>
      </xdr:nvPicPr>
      <xdr:blipFill>
        <a:blip xmlns:r="http://schemas.openxmlformats.org/officeDocument/2006/relationships" r:embed="rId1"/>
        <a:stretch>
          <a:fillRect/>
        </a:stretch>
      </xdr:blipFill>
      <xdr:spPr>
        <a:xfrm>
          <a:off x="409574" y="95250"/>
          <a:ext cx="1381125" cy="6762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95249</xdr:colOff>
      <xdr:row>0</xdr:row>
      <xdr:rowOff>0</xdr:rowOff>
    </xdr:from>
    <xdr:to>
      <xdr:col>3</xdr:col>
      <xdr:colOff>1171574</xdr:colOff>
      <xdr:row>2</xdr:row>
      <xdr:rowOff>123825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49" y="0"/>
          <a:ext cx="1171575" cy="5048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95249</xdr:colOff>
      <xdr:row>0</xdr:row>
      <xdr:rowOff>0</xdr:rowOff>
    </xdr:from>
    <xdr:to>
      <xdr:col>4</xdr:col>
      <xdr:colOff>609599</xdr:colOff>
      <xdr:row>1</xdr:row>
      <xdr:rowOff>180975</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49" y="0"/>
          <a:ext cx="1285875" cy="3714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466725</xdr:colOff>
      <xdr:row>4</xdr:row>
      <xdr:rowOff>180974</xdr:rowOff>
    </xdr:from>
    <xdr:to>
      <xdr:col>15</xdr:col>
      <xdr:colOff>581025</xdr:colOff>
      <xdr:row>20</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495299</xdr:colOff>
      <xdr:row>24</xdr:row>
      <xdr:rowOff>190499</xdr:rowOff>
    </xdr:from>
    <xdr:to>
      <xdr:col>15</xdr:col>
      <xdr:colOff>561974</xdr:colOff>
      <xdr:row>42</xdr:row>
      <xdr:rowOff>180974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333375</xdr:colOff>
      <xdr:row>2</xdr:row>
      <xdr:rowOff>47625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85750" y="0"/>
          <a:ext cx="1009650" cy="4286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238125</xdr:colOff>
      <xdr:row>42</xdr:row>
      <xdr:rowOff>85725</xdr:rowOff>
    </xdr:from>
    <xdr:to>
      <xdr:col>5</xdr:col>
      <xdr:colOff>523875</xdr:colOff>
      <xdr:row>48</xdr:row>
      <xdr:rowOff>152400</xdr:rowOff>
    </xdr:to>
    <xdr:sp macro="" textlink="">
      <xdr:nvSpPr>
        <xdr:cNvPr id="2" name="Left Brace 1"/>
        <xdr:cNvSpPr/>
      </xdr:nvSpPr>
      <xdr:spPr>
        <a:xfrm>
          <a:off x="3105150" y="8086725"/>
          <a:ext cx="285750" cy="1209675"/>
        </a:xfrm>
        <a:prstGeom prst="leftBrace">
          <a:avLst/>
        </a:prstGeom>
      </xdr:spPr>
      <xdr:style>
        <a:lnRef idx="3">
          <a:schemeClr val="accent1"/>
        </a:lnRef>
        <a:fillRef idx="0">
          <a:schemeClr val="accent1"/>
        </a:fillRef>
        <a:effectRef idx="2">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9</xdr:col>
      <xdr:colOff>533400</xdr:colOff>
      <xdr:row>42</xdr:row>
      <xdr:rowOff>104775</xdr:rowOff>
    </xdr:from>
    <xdr:to>
      <xdr:col>11</xdr:col>
      <xdr:colOff>523875</xdr:colOff>
      <xdr:row>42</xdr:row>
      <xdr:rowOff>104775</xdr:rowOff>
    </xdr:to>
    <xdr:cxnSp macro="">
      <xdr:nvCxnSpPr>
        <xdr:cNvPr id="4" name="Straight Arrow Connector 3"/>
        <xdr:cNvCxnSpPr/>
      </xdr:nvCxnSpPr>
      <xdr:spPr>
        <a:xfrm>
          <a:off x="7600950" y="8105775"/>
          <a:ext cx="1400175" cy="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304801</xdr:colOff>
      <xdr:row>42</xdr:row>
      <xdr:rowOff>123825</xdr:rowOff>
    </xdr:from>
    <xdr:to>
      <xdr:col>8</xdr:col>
      <xdr:colOff>342900</xdr:colOff>
      <xdr:row>42</xdr:row>
      <xdr:rowOff>123825</xdr:rowOff>
    </xdr:to>
    <xdr:cxnSp macro="">
      <xdr:nvCxnSpPr>
        <xdr:cNvPr id="5" name="Straight Arrow Connector 4"/>
        <xdr:cNvCxnSpPr/>
      </xdr:nvCxnSpPr>
      <xdr:spPr>
        <a:xfrm flipH="1">
          <a:off x="5324476" y="8124825"/>
          <a:ext cx="1285874" cy="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0</xdr:colOff>
      <xdr:row>0</xdr:row>
      <xdr:rowOff>0</xdr:rowOff>
    </xdr:from>
    <xdr:to>
      <xdr:col>3</xdr:col>
      <xdr:colOff>1009650</xdr:colOff>
      <xdr:row>2</xdr:row>
      <xdr:rowOff>47625</xdr:rowOff>
    </xdr:to>
    <xdr:pic>
      <xdr:nvPicPr>
        <xdr:cNvPr id="6" name="Picture 5"/>
        <xdr:cNvPicPr>
          <a:picLocks noChangeAspect="1"/>
        </xdr:cNvPicPr>
      </xdr:nvPicPr>
      <xdr:blipFill>
        <a:blip xmlns:r="http://schemas.openxmlformats.org/officeDocument/2006/relationships" r:embed="rId1"/>
        <a:stretch>
          <a:fillRect/>
        </a:stretch>
      </xdr:blipFill>
      <xdr:spPr>
        <a:xfrm>
          <a:off x="285750" y="0"/>
          <a:ext cx="1009650" cy="4286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D1:R22"/>
  <sheetViews>
    <sheetView showGridLines="0" workbookViewId="0">
      <selection activeCell="D5" sqref="D5"/>
    </sheetView>
  </sheetViews>
  <sheetFormatPr defaultRowHeight="15" x14ac:dyDescent="0.25"/>
  <cols>
    <col min="1" max="3" width="1.42578125" customWidth="1"/>
    <col min="4" max="4" width="35.140625" bestFit="1" customWidth="1"/>
    <col min="5" max="5" width="9.28515625" bestFit="1" customWidth="1"/>
    <col min="6" max="6" width="17.7109375" bestFit="1" customWidth="1"/>
  </cols>
  <sheetData>
    <row r="1" spans="4:18" x14ac:dyDescent="0.25">
      <c r="D1" s="199"/>
      <c r="E1" s="199"/>
      <c r="F1" s="199"/>
      <c r="G1" s="199"/>
      <c r="H1" s="199"/>
      <c r="I1" s="199"/>
      <c r="J1" s="199"/>
      <c r="K1" s="199"/>
      <c r="L1" s="199"/>
      <c r="M1" s="199"/>
      <c r="N1" s="199"/>
      <c r="O1" s="199"/>
      <c r="P1" s="199"/>
      <c r="Q1" s="199"/>
      <c r="R1" s="199"/>
    </row>
    <row r="2" spans="4:18" x14ac:dyDescent="0.25">
      <c r="D2" s="199"/>
      <c r="E2" s="199"/>
      <c r="F2" s="199"/>
      <c r="G2" s="199"/>
      <c r="H2" s="199"/>
      <c r="I2" s="199"/>
      <c r="J2" s="199"/>
      <c r="K2" s="199"/>
      <c r="L2" s="199"/>
      <c r="M2" s="199"/>
      <c r="N2" s="199"/>
      <c r="O2" s="199"/>
      <c r="P2" s="199"/>
      <c r="Q2" s="199"/>
      <c r="R2" s="199"/>
    </row>
    <row r="4" spans="4:18" x14ac:dyDescent="0.25">
      <c r="D4" s="90" t="s">
        <v>109</v>
      </c>
      <c r="E4" s="90" t="s">
        <v>110</v>
      </c>
    </row>
    <row r="5" spans="4:18" x14ac:dyDescent="0.25">
      <c r="D5" s="90" t="s">
        <v>111</v>
      </c>
      <c r="E5" s="90">
        <f>IF(D5="Best Case",1,IF(D5="Base Case",2,3))</f>
        <v>2</v>
      </c>
    </row>
    <row r="7" spans="4:18" x14ac:dyDescent="0.25">
      <c r="D7" s="198" t="s">
        <v>103</v>
      </c>
      <c r="E7" s="198"/>
      <c r="F7" s="198"/>
    </row>
    <row r="8" spans="4:18" x14ac:dyDescent="0.25">
      <c r="D8" s="22" t="s">
        <v>104</v>
      </c>
      <c r="E8" s="22"/>
      <c r="F8" s="22" t="s">
        <v>105</v>
      </c>
    </row>
    <row r="9" spans="4:18" x14ac:dyDescent="0.25">
      <c r="D9" s="22" t="s">
        <v>106</v>
      </c>
      <c r="E9" s="22"/>
      <c r="F9" s="22" t="s">
        <v>107</v>
      </c>
    </row>
    <row r="10" spans="4:18" x14ac:dyDescent="0.25">
      <c r="D10" s="22" t="s">
        <v>108</v>
      </c>
      <c r="E10" s="22"/>
      <c r="F10" s="22" t="s">
        <v>109</v>
      </c>
    </row>
    <row r="12" spans="4:18" x14ac:dyDescent="0.25">
      <c r="D12" s="198" t="s">
        <v>91</v>
      </c>
      <c r="E12" s="198"/>
      <c r="F12" s="198"/>
    </row>
    <row r="13" spans="4:18" x14ac:dyDescent="0.25">
      <c r="D13" s="22" t="s">
        <v>92</v>
      </c>
      <c r="E13" s="22" t="s">
        <v>89</v>
      </c>
      <c r="F13" s="23">
        <v>2.5000000000000001E-3</v>
      </c>
    </row>
    <row r="14" spans="4:18" x14ac:dyDescent="0.25">
      <c r="D14" s="22" t="s">
        <v>93</v>
      </c>
      <c r="E14" s="22" t="s">
        <v>89</v>
      </c>
      <c r="F14" s="23">
        <v>2.5000000000000001E-3</v>
      </c>
    </row>
    <row r="15" spans="4:18" x14ac:dyDescent="0.25">
      <c r="D15" s="22" t="s">
        <v>94</v>
      </c>
      <c r="E15" s="22" t="s">
        <v>89</v>
      </c>
      <c r="F15" s="23">
        <v>2.5000000000000001E-3</v>
      </c>
    </row>
    <row r="16" spans="4:18" x14ac:dyDescent="0.25">
      <c r="D16" s="22" t="s">
        <v>95</v>
      </c>
      <c r="E16" s="22" t="s">
        <v>89</v>
      </c>
      <c r="F16" s="23">
        <v>0.25</v>
      </c>
    </row>
    <row r="17" spans="4:6" x14ac:dyDescent="0.25">
      <c r="D17" s="22" t="s">
        <v>96</v>
      </c>
      <c r="E17" s="22" t="s">
        <v>89</v>
      </c>
      <c r="F17" s="23">
        <v>0.15</v>
      </c>
    </row>
    <row r="18" spans="4:6" x14ac:dyDescent="0.25">
      <c r="D18" s="22" t="s">
        <v>97</v>
      </c>
      <c r="E18" s="22" t="s">
        <v>89</v>
      </c>
      <c r="F18" s="23">
        <v>0.05</v>
      </c>
    </row>
    <row r="19" spans="4:6" x14ac:dyDescent="0.25">
      <c r="D19" s="22" t="s">
        <v>98</v>
      </c>
      <c r="E19" s="22" t="s">
        <v>89</v>
      </c>
      <c r="F19" s="23">
        <v>6.4549999999999996E-2</v>
      </c>
    </row>
    <row r="20" spans="4:6" x14ac:dyDescent="0.25">
      <c r="D20" s="22" t="s">
        <v>99</v>
      </c>
      <c r="E20" s="22" t="s">
        <v>303</v>
      </c>
      <c r="F20" s="22">
        <f>F21*F22</f>
        <v>390044.64</v>
      </c>
    </row>
    <row r="21" spans="4:6" x14ac:dyDescent="0.25">
      <c r="D21" s="22" t="s">
        <v>100</v>
      </c>
      <c r="E21" s="22" t="s">
        <v>302</v>
      </c>
      <c r="F21" s="24">
        <f>31.44</f>
        <v>31.44</v>
      </c>
    </row>
    <row r="22" spans="4:6" x14ac:dyDescent="0.25">
      <c r="D22" s="22" t="s">
        <v>101</v>
      </c>
      <c r="E22" s="22" t="s">
        <v>102</v>
      </c>
      <c r="F22" s="22">
        <v>12406</v>
      </c>
    </row>
  </sheetData>
  <mergeCells count="3">
    <mergeCell ref="D12:F12"/>
    <mergeCell ref="D7:F7"/>
    <mergeCell ref="D1:R2"/>
  </mergeCells>
  <dataValidations count="1">
    <dataValidation type="list" allowBlank="1" showInputMessage="1" showErrorMessage="1" sqref="D5">
      <formula1>"Best Case, Base Case, Worst Case"</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4:N50"/>
  <sheetViews>
    <sheetView showGridLines="0" topLeftCell="A20" workbookViewId="0">
      <selection activeCell="G26" sqref="G26"/>
    </sheetView>
  </sheetViews>
  <sheetFormatPr defaultRowHeight="15" x14ac:dyDescent="0.25"/>
  <cols>
    <col min="1" max="3" width="1.42578125" customWidth="1"/>
    <col min="4" max="4" width="71.7109375" bestFit="1" customWidth="1"/>
    <col min="5" max="5" width="3.28515625" customWidth="1"/>
    <col min="6" max="6" width="2.85546875" customWidth="1"/>
    <col min="11" max="11" width="9.85546875" bestFit="1" customWidth="1"/>
  </cols>
  <sheetData>
    <row r="4" spans="1:14" x14ac:dyDescent="0.25">
      <c r="A4" s="4"/>
      <c r="B4" s="4"/>
      <c r="C4" s="4"/>
      <c r="D4" s="91" t="s">
        <v>18</v>
      </c>
      <c r="E4" s="91"/>
      <c r="F4" s="91"/>
      <c r="G4" s="91">
        <v>2020</v>
      </c>
      <c r="H4" s="91">
        <f>G4+1</f>
        <v>2021</v>
      </c>
      <c r="I4" s="91">
        <f t="shared" ref="I4:K4" si="0">H4+1</f>
        <v>2022</v>
      </c>
      <c r="J4" s="91">
        <f t="shared" si="0"/>
        <v>2023</v>
      </c>
      <c r="K4" s="91">
        <f t="shared" si="0"/>
        <v>2024</v>
      </c>
    </row>
    <row r="5" spans="1:14" x14ac:dyDescent="0.25">
      <c r="C5" s="1" t="s">
        <v>0</v>
      </c>
    </row>
    <row r="6" spans="1:14" x14ac:dyDescent="0.25">
      <c r="D6" t="s">
        <v>1</v>
      </c>
      <c r="G6" s="28">
        <v>42124.83</v>
      </c>
      <c r="H6" s="28">
        <v>44725.8</v>
      </c>
      <c r="I6" s="28">
        <v>52598.83</v>
      </c>
      <c r="J6" s="28">
        <v>63239.98</v>
      </c>
      <c r="K6" s="28">
        <v>70908.14</v>
      </c>
    </row>
    <row r="7" spans="1:14" x14ac:dyDescent="0.25">
      <c r="D7" t="s">
        <v>2</v>
      </c>
      <c r="G7" s="28">
        <v>647.77</v>
      </c>
      <c r="H7" s="28">
        <v>734.17</v>
      </c>
      <c r="I7" s="28">
        <v>507.81</v>
      </c>
      <c r="J7" s="28">
        <v>503.08</v>
      </c>
      <c r="K7" s="28">
        <v>616.95000000000005</v>
      </c>
    </row>
    <row r="8" spans="1:14" x14ac:dyDescent="0.25">
      <c r="D8" s="8" t="s">
        <v>3</v>
      </c>
      <c r="E8" s="9"/>
      <c r="F8" s="9"/>
      <c r="G8" s="151">
        <f>SUM(G6:G7)</f>
        <v>42772.6</v>
      </c>
      <c r="H8" s="151">
        <f t="shared" ref="H8:K8" si="1">SUM(H6:H7)</f>
        <v>45459.97</v>
      </c>
      <c r="I8" s="151">
        <f t="shared" si="1"/>
        <v>53106.64</v>
      </c>
      <c r="J8" s="151">
        <f t="shared" si="1"/>
        <v>63743.060000000005</v>
      </c>
      <c r="K8" s="151">
        <f t="shared" si="1"/>
        <v>71525.09</v>
      </c>
    </row>
    <row r="9" spans="1:14" x14ac:dyDescent="0.25">
      <c r="D9" s="1"/>
      <c r="G9" s="7"/>
      <c r="H9" s="7"/>
      <c r="I9" s="7"/>
      <c r="J9" s="7"/>
    </row>
    <row r="10" spans="1:14" x14ac:dyDescent="0.25">
      <c r="C10" s="1" t="s">
        <v>4</v>
      </c>
    </row>
    <row r="11" spans="1:14" x14ac:dyDescent="0.25">
      <c r="D11" t="s">
        <v>5</v>
      </c>
      <c r="G11" s="28">
        <v>5512.68</v>
      </c>
      <c r="H11" s="28">
        <v>5793.67</v>
      </c>
      <c r="I11" s="28">
        <v>7096.49</v>
      </c>
      <c r="J11" s="28">
        <v>8933.49</v>
      </c>
      <c r="K11" s="28">
        <v>10252.41</v>
      </c>
    </row>
    <row r="12" spans="1:14" x14ac:dyDescent="0.25">
      <c r="D12" t="s">
        <v>6</v>
      </c>
      <c r="G12" s="28">
        <v>1159.01</v>
      </c>
      <c r="H12" s="28">
        <v>841.99</v>
      </c>
      <c r="I12" s="28">
        <v>1251.6600000000001</v>
      </c>
      <c r="J12" s="28">
        <v>1299.68</v>
      </c>
      <c r="K12" s="28">
        <v>1733.86</v>
      </c>
      <c r="N12" s="6"/>
    </row>
    <row r="13" spans="1:14" ht="29.25" customHeight="1" x14ac:dyDescent="0.25">
      <c r="D13" s="3" t="s">
        <v>7</v>
      </c>
      <c r="G13" s="149">
        <v>-358.59</v>
      </c>
      <c r="H13" s="149">
        <v>450.15</v>
      </c>
      <c r="I13" s="149">
        <v>-383.16</v>
      </c>
      <c r="J13" s="149">
        <v>-518.21</v>
      </c>
      <c r="K13" s="149">
        <v>-83.35</v>
      </c>
    </row>
    <row r="14" spans="1:14" x14ac:dyDescent="0.25">
      <c r="D14" t="s">
        <v>8</v>
      </c>
      <c r="G14" s="28">
        <v>2509.4299999999998</v>
      </c>
      <c r="H14" s="28">
        <v>2353.02</v>
      </c>
      <c r="I14" s="28">
        <v>2534.6799999999998</v>
      </c>
      <c r="J14" s="28">
        <v>2738.97</v>
      </c>
      <c r="K14" s="28">
        <v>3037.58</v>
      </c>
    </row>
    <row r="15" spans="1:14" x14ac:dyDescent="0.25">
      <c r="D15" s="2" t="s">
        <v>9</v>
      </c>
      <c r="G15" s="28">
        <v>5839.75</v>
      </c>
      <c r="H15" s="28">
        <v>5367.97</v>
      </c>
      <c r="I15" s="28">
        <v>6735.22</v>
      </c>
      <c r="J15" s="28">
        <v>7665.72</v>
      </c>
      <c r="K15" s="28">
        <v>8835.09</v>
      </c>
    </row>
    <row r="16" spans="1:14" x14ac:dyDescent="0.25">
      <c r="D16" t="s">
        <v>19</v>
      </c>
      <c r="G16" s="28">
        <v>8467.9</v>
      </c>
      <c r="H16" s="28">
        <v>8331.18</v>
      </c>
      <c r="I16" s="28">
        <v>12137.26</v>
      </c>
      <c r="J16" s="28">
        <v>18491.32</v>
      </c>
      <c r="K16" s="28">
        <v>18283.32</v>
      </c>
    </row>
    <row r="17" spans="4:11" x14ac:dyDescent="0.25">
      <c r="D17" s="6" t="s">
        <v>20</v>
      </c>
      <c r="G17" s="28">
        <v>9725.3799999999992</v>
      </c>
      <c r="H17" s="28">
        <v>10043.32</v>
      </c>
      <c r="I17" s="28">
        <v>11712.33</v>
      </c>
      <c r="J17" s="28">
        <v>14009.16</v>
      </c>
      <c r="K17" s="28">
        <v>15880.67</v>
      </c>
    </row>
    <row r="18" spans="4:11" x14ac:dyDescent="0.25">
      <c r="D18" s="6" t="s">
        <v>21</v>
      </c>
      <c r="G18" s="149">
        <v>-14.3</v>
      </c>
      <c r="H18" s="149">
        <v>-23.41</v>
      </c>
      <c r="I18" s="149">
        <v>0</v>
      </c>
      <c r="J18" s="149">
        <v>0</v>
      </c>
      <c r="K18" s="149">
        <v>0</v>
      </c>
    </row>
    <row r="19" spans="4:11" x14ac:dyDescent="0.25">
      <c r="D19" s="6"/>
      <c r="G19" s="6"/>
      <c r="I19" s="6"/>
      <c r="J19" s="6"/>
    </row>
    <row r="20" spans="4:11" x14ac:dyDescent="0.25">
      <c r="D20" s="8" t="s">
        <v>10</v>
      </c>
      <c r="E20" s="9"/>
      <c r="F20" s="9"/>
      <c r="G20" s="151">
        <f>SUM(G11:G18)</f>
        <v>32841.259999999995</v>
      </c>
      <c r="H20" s="151">
        <f t="shared" ref="H20:J20" si="2">SUM(H11:H18)</f>
        <v>33157.89</v>
      </c>
      <c r="I20" s="151">
        <f t="shared" si="2"/>
        <v>41084.480000000003</v>
      </c>
      <c r="J20" s="151">
        <f t="shared" si="2"/>
        <v>52620.130000000005</v>
      </c>
      <c r="K20" s="151">
        <f t="shared" ref="K20" si="3">SUM(K11:K18)</f>
        <v>57939.58</v>
      </c>
    </row>
    <row r="21" spans="4:11" x14ac:dyDescent="0.25">
      <c r="D21" s="1"/>
      <c r="G21" s="27"/>
      <c r="H21" s="27"/>
      <c r="I21" s="27"/>
      <c r="J21" s="27"/>
      <c r="K21" s="27"/>
    </row>
    <row r="22" spans="4:11" x14ac:dyDescent="0.25">
      <c r="D22" s="8" t="s">
        <v>11</v>
      </c>
      <c r="E22" s="9"/>
      <c r="F22" s="9"/>
      <c r="G22" s="151">
        <f>G8-G20</f>
        <v>9931.3400000000038</v>
      </c>
      <c r="H22" s="151">
        <f t="shared" ref="H22:J22" si="4">H8-H20</f>
        <v>12302.080000000002</v>
      </c>
      <c r="I22" s="151">
        <f t="shared" si="4"/>
        <v>12022.159999999996</v>
      </c>
      <c r="J22" s="151">
        <f t="shared" si="4"/>
        <v>11122.93</v>
      </c>
      <c r="K22" s="151">
        <f t="shared" ref="K22" si="5">K8-K20</f>
        <v>13585.509999999995</v>
      </c>
    </row>
    <row r="23" spans="4:11" x14ac:dyDescent="0.25">
      <c r="D23" t="s">
        <v>12</v>
      </c>
      <c r="G23" s="28">
        <v>2702.16</v>
      </c>
      <c r="H23" s="28">
        <v>2700.23</v>
      </c>
      <c r="I23" s="28">
        <v>2714.75</v>
      </c>
      <c r="J23" s="28">
        <v>2887.99</v>
      </c>
      <c r="K23" s="28">
        <v>3145.3</v>
      </c>
    </row>
    <row r="24" spans="4:11" x14ac:dyDescent="0.25">
      <c r="G24" s="28"/>
      <c r="H24" s="28"/>
      <c r="I24" s="28"/>
      <c r="J24" s="28"/>
      <c r="K24" s="28"/>
    </row>
    <row r="25" spans="4:11" x14ac:dyDescent="0.25">
      <c r="D25" s="8" t="s">
        <v>13</v>
      </c>
      <c r="E25" s="9"/>
      <c r="F25" s="9"/>
      <c r="G25" s="151">
        <f>G22-G23</f>
        <v>7229.1800000000039</v>
      </c>
      <c r="H25" s="151">
        <f t="shared" ref="H25:K25" si="6">H22-H23</f>
        <v>9601.8500000000022</v>
      </c>
      <c r="I25" s="151">
        <f t="shared" si="6"/>
        <v>9307.4099999999962</v>
      </c>
      <c r="J25" s="151">
        <f t="shared" si="6"/>
        <v>8234.94</v>
      </c>
      <c r="K25" s="151">
        <f t="shared" si="6"/>
        <v>10440.209999999995</v>
      </c>
    </row>
    <row r="26" spans="4:11" x14ac:dyDescent="0.25">
      <c r="D26" t="s">
        <v>14</v>
      </c>
      <c r="G26" s="28">
        <v>1985.65</v>
      </c>
      <c r="H26" s="28">
        <v>1485.65</v>
      </c>
      <c r="I26" s="28">
        <v>944.71</v>
      </c>
      <c r="J26" s="28">
        <v>822.72</v>
      </c>
      <c r="K26" s="28">
        <v>968</v>
      </c>
    </row>
    <row r="27" spans="4:11" x14ac:dyDescent="0.25">
      <c r="D27" t="s">
        <v>23</v>
      </c>
      <c r="G27" s="149">
        <v>0</v>
      </c>
      <c r="H27" s="149">
        <v>260.74</v>
      </c>
      <c r="I27" s="149">
        <v>0</v>
      </c>
      <c r="J27" s="149">
        <v>0</v>
      </c>
      <c r="K27" s="149">
        <v>72</v>
      </c>
    </row>
    <row r="29" spans="4:11" x14ac:dyDescent="0.25">
      <c r="D29" s="8" t="s">
        <v>15</v>
      </c>
      <c r="E29" s="9"/>
      <c r="F29" s="9"/>
      <c r="G29" s="151">
        <f>G25-G26-G27</f>
        <v>5243.5300000000043</v>
      </c>
      <c r="H29" s="151">
        <f t="shared" ref="H29:K29" si="7">H25-H26-H27</f>
        <v>7855.4600000000028</v>
      </c>
      <c r="I29" s="151">
        <f t="shared" si="7"/>
        <v>8362.6999999999971</v>
      </c>
      <c r="J29" s="151">
        <f t="shared" si="7"/>
        <v>7412.22</v>
      </c>
      <c r="K29" s="151">
        <f t="shared" si="7"/>
        <v>9400.2099999999955</v>
      </c>
    </row>
    <row r="30" spans="4:11" x14ac:dyDescent="0.25">
      <c r="D30" t="s">
        <v>16</v>
      </c>
      <c r="G30" s="28">
        <v>-568.16</v>
      </c>
      <c r="H30" s="28">
        <v>2538.6999999999998</v>
      </c>
      <c r="I30" s="28">
        <v>1190.06</v>
      </c>
      <c r="J30" s="28">
        <v>2342.85</v>
      </c>
      <c r="K30" s="28">
        <v>2418.2600000000002</v>
      </c>
    </row>
    <row r="31" spans="4:11" x14ac:dyDescent="0.25">
      <c r="D31" s="2" t="s">
        <v>22</v>
      </c>
      <c r="G31" s="149">
        <v>-1.23</v>
      </c>
      <c r="H31" s="149">
        <v>2.1800000000000002</v>
      </c>
      <c r="I31" s="149">
        <v>1.7</v>
      </c>
      <c r="J31" s="149">
        <v>4.03</v>
      </c>
      <c r="K31" s="149">
        <v>22.01</v>
      </c>
    </row>
    <row r="32" spans="4:11" x14ac:dyDescent="0.25">
      <c r="D32" s="2"/>
      <c r="H32" s="6"/>
      <c r="I32" s="6"/>
      <c r="J32" s="6"/>
    </row>
    <row r="33" spans="4:11" x14ac:dyDescent="0.25">
      <c r="D33" s="5" t="s">
        <v>17</v>
      </c>
      <c r="E33" s="4"/>
      <c r="F33" s="4"/>
      <c r="G33" s="30">
        <f t="shared" ref="G33:K33" si="8">G29-G30+G31</f>
        <v>5810.4600000000046</v>
      </c>
      <c r="H33" s="30">
        <f t="shared" si="8"/>
        <v>5318.9400000000032</v>
      </c>
      <c r="I33" s="30">
        <f t="shared" si="8"/>
        <v>7174.3399999999974</v>
      </c>
      <c r="J33" s="30">
        <f t="shared" si="8"/>
        <v>5073.4000000000005</v>
      </c>
      <c r="K33" s="30">
        <f t="shared" si="8"/>
        <v>7003.9599999999955</v>
      </c>
    </row>
    <row r="34" spans="4:11" x14ac:dyDescent="0.25">
      <c r="D34" s="1" t="s">
        <v>211</v>
      </c>
      <c r="G34" s="27">
        <v>379.98</v>
      </c>
      <c r="H34" s="27">
        <v>374.8</v>
      </c>
      <c r="I34" s="27">
        <v>1065</v>
      </c>
      <c r="J34" s="27">
        <v>1091.27</v>
      </c>
      <c r="K34" s="27">
        <v>1094.43</v>
      </c>
    </row>
    <row r="35" spans="4:11" x14ac:dyDescent="0.25">
      <c r="D35" s="1" t="s">
        <v>24</v>
      </c>
      <c r="G35" s="149">
        <v>-4.38</v>
      </c>
      <c r="H35" s="149">
        <v>-1.25</v>
      </c>
      <c r="I35" s="149">
        <v>-10.050000000000001</v>
      </c>
      <c r="J35" s="149">
        <v>9.44</v>
      </c>
      <c r="K35" s="149">
        <v>-1.04</v>
      </c>
    </row>
    <row r="37" spans="4:11" x14ac:dyDescent="0.25">
      <c r="D37" s="5" t="s">
        <v>25</v>
      </c>
      <c r="E37" s="4"/>
      <c r="F37" s="4"/>
      <c r="G37" s="30">
        <f>G33-G35</f>
        <v>5814.8400000000047</v>
      </c>
      <c r="H37" s="30">
        <f t="shared" ref="H37:K37" si="9">H33-H35</f>
        <v>5320.1900000000032</v>
      </c>
      <c r="I37" s="30">
        <f t="shared" si="9"/>
        <v>7184.3899999999976</v>
      </c>
      <c r="J37" s="30">
        <f t="shared" si="9"/>
        <v>5063.9600000000009</v>
      </c>
      <c r="K37" s="30">
        <f t="shared" si="9"/>
        <v>7004.9999999999955</v>
      </c>
    </row>
    <row r="41" spans="4:11" x14ac:dyDescent="0.25">
      <c r="D41" s="200" t="s">
        <v>26</v>
      </c>
      <c r="E41" s="200"/>
      <c r="F41" s="200"/>
      <c r="G41" s="200"/>
      <c r="H41" s="200"/>
      <c r="I41" s="200"/>
      <c r="J41" s="200"/>
      <c r="K41" s="200"/>
    </row>
    <row r="42" spans="4:11" x14ac:dyDescent="0.25">
      <c r="D42" s="11" t="s">
        <v>27</v>
      </c>
      <c r="E42" s="9"/>
      <c r="F42" s="9"/>
      <c r="G42" s="16" t="s">
        <v>36</v>
      </c>
      <c r="H42" s="16">
        <f>H6/G6-1</f>
        <v>6.174434413147778E-2</v>
      </c>
      <c r="I42" s="16">
        <f t="shared" ref="I42:K42" si="10">I6/H6-1</f>
        <v>0.17602882452633595</v>
      </c>
      <c r="J42" s="16">
        <f t="shared" si="10"/>
        <v>0.20230773194004503</v>
      </c>
      <c r="K42" s="16">
        <f t="shared" si="10"/>
        <v>0.12125494030833028</v>
      </c>
    </row>
    <row r="43" spans="4:11" x14ac:dyDescent="0.25">
      <c r="D43" s="12" t="s">
        <v>28</v>
      </c>
      <c r="E43" s="13"/>
      <c r="F43" s="13"/>
      <c r="G43" s="17">
        <f>(G6-G11-G12-G13)/G6</f>
        <v>0.85013351982666741</v>
      </c>
      <c r="H43" s="17">
        <f t="shared" ref="H43:K43" si="11">(H6-H11-H12-H13)/H6</f>
        <v>0.84157220217413664</v>
      </c>
      <c r="I43" s="17">
        <f t="shared" si="11"/>
        <v>0.84857096631236861</v>
      </c>
      <c r="J43" s="17">
        <f t="shared" si="11"/>
        <v>0.84637945805801962</v>
      </c>
      <c r="K43" s="17">
        <f t="shared" si="11"/>
        <v>0.83213605659378453</v>
      </c>
    </row>
    <row r="44" spans="4:11" x14ac:dyDescent="0.25">
      <c r="D44" s="12" t="s">
        <v>29</v>
      </c>
      <c r="E44" s="13"/>
      <c r="F44" s="13"/>
      <c r="G44" s="17">
        <f>G22/G6</f>
        <v>0.23575976449044431</v>
      </c>
      <c r="H44" s="17">
        <f t="shared" ref="H44:K44" si="12">H22/H6</f>
        <v>0.27505556077252952</v>
      </c>
      <c r="I44" s="17">
        <f t="shared" si="12"/>
        <v>0.2285632589165956</v>
      </c>
      <c r="J44" s="17">
        <f t="shared" si="12"/>
        <v>0.17588446422658577</v>
      </c>
      <c r="K44" s="17">
        <f t="shared" si="12"/>
        <v>0.19159309495355534</v>
      </c>
    </row>
    <row r="45" spans="4:11" x14ac:dyDescent="0.25">
      <c r="D45" s="12" t="s">
        <v>30</v>
      </c>
      <c r="E45" s="13"/>
      <c r="F45" s="13"/>
      <c r="G45" s="17">
        <f>G25/G6</f>
        <v>0.17161327416632907</v>
      </c>
      <c r="H45" s="17">
        <f t="shared" ref="H45:K45" si="13">H25/H6</f>
        <v>0.21468257694663934</v>
      </c>
      <c r="I45" s="17">
        <f t="shared" si="13"/>
        <v>0.17695089415486992</v>
      </c>
      <c r="J45" s="17">
        <f t="shared" si="13"/>
        <v>0.13021730873412674</v>
      </c>
      <c r="K45" s="17">
        <f t="shared" si="13"/>
        <v>0.1472357052377907</v>
      </c>
    </row>
    <row r="46" spans="4:11" x14ac:dyDescent="0.25">
      <c r="D46" s="12" t="s">
        <v>31</v>
      </c>
      <c r="E46" s="13"/>
      <c r="F46" s="13"/>
      <c r="G46" s="17">
        <f>G33/G6</f>
        <v>0.13793432519490298</v>
      </c>
      <c r="H46" s="17">
        <f t="shared" ref="H46:K46" si="14">H33/H6</f>
        <v>0.11892330601129555</v>
      </c>
      <c r="I46" s="17">
        <f t="shared" si="14"/>
        <v>0.13639733051096378</v>
      </c>
      <c r="J46" s="17">
        <f t="shared" si="14"/>
        <v>8.0224566800938271E-2</v>
      </c>
      <c r="K46" s="17">
        <f t="shared" si="14"/>
        <v>9.8775119471473868E-2</v>
      </c>
    </row>
    <row r="47" spans="4:11" x14ac:dyDescent="0.25">
      <c r="D47" s="12" t="s">
        <v>32</v>
      </c>
      <c r="E47" s="13"/>
      <c r="F47" s="13"/>
      <c r="G47" s="17">
        <f>G33/'Balance sheet Historical'!E36</f>
        <v>7.3237587495287582E-2</v>
      </c>
      <c r="H47" s="17">
        <f>H33/'Balance sheet Historical'!F36</f>
        <v>6.1716446684522398E-2</v>
      </c>
      <c r="I47" s="17">
        <f>I33/'Balance sheet Historical'!G36</f>
        <v>8.5584267460707214E-2</v>
      </c>
      <c r="J47" s="17">
        <f>J33/'Balance sheet Historical'!H36</f>
        <v>5.5515579027905076E-2</v>
      </c>
      <c r="K47" s="17">
        <f>K33/'Balance sheet Historical'!I36</f>
        <v>6.9482344647691027E-2</v>
      </c>
    </row>
    <row r="48" spans="4:11" x14ac:dyDescent="0.25">
      <c r="D48" s="12" t="s">
        <v>33</v>
      </c>
      <c r="E48" s="13"/>
      <c r="F48" s="13"/>
      <c r="G48" s="166">
        <f>G6/'Balance sheet Historical'!E36</f>
        <v>0.53095984187983614</v>
      </c>
      <c r="H48" s="166">
        <f>H6/'Balance sheet Historical'!F36</f>
        <v>0.51896006556242602</v>
      </c>
      <c r="I48" s="166">
        <f>I6/'Balance sheet Historical'!G36</f>
        <v>0.62746292130569115</v>
      </c>
      <c r="J48" s="166">
        <f>J6/'Balance sheet Historical'!H36</f>
        <v>0.69200222876436635</v>
      </c>
      <c r="K48" s="166">
        <f>K6/'Balance sheet Historical'!I36</f>
        <v>0.70343974291782485</v>
      </c>
    </row>
    <row r="49" spans="4:11" x14ac:dyDescent="0.25">
      <c r="D49" s="12" t="s">
        <v>34</v>
      </c>
      <c r="E49" s="13"/>
      <c r="F49" s="13"/>
      <c r="G49" s="166">
        <f>'Balance sheet Historical'!E36/'balance sheet'!E16</f>
        <v>2.0278897323824863</v>
      </c>
      <c r="H49" s="166">
        <f>'Balance sheet Historical'!F36/'balance sheet'!F16</f>
        <v>1.9507181917773493</v>
      </c>
      <c r="I49" s="166">
        <f>'Balance sheet Historical'!G36/'balance sheet'!G16</f>
        <v>1.6621875186512745</v>
      </c>
      <c r="J49" s="166">
        <f>'Balance sheet Historical'!H36/'balance sheet'!H16</f>
        <v>1.6805199395294279</v>
      </c>
      <c r="K49" s="166">
        <f>'Balance sheet Historical'!I36/'balance sheet'!I16</f>
        <v>1.6721348921477908</v>
      </c>
    </row>
    <row r="50" spans="4:11" x14ac:dyDescent="0.25">
      <c r="D50" s="14" t="s">
        <v>35</v>
      </c>
      <c r="E50" s="15"/>
      <c r="F50" s="15"/>
      <c r="G50" s="167">
        <f>G46*G48*G49</f>
        <v>0.14851775170615766</v>
      </c>
      <c r="H50" s="167">
        <f t="shared" ref="H50:K50" si="15">H46*H48*H49</f>
        <v>0.1203913952793547</v>
      </c>
      <c r="I50" s="167">
        <f t="shared" si="15"/>
        <v>0.14225710116609994</v>
      </c>
      <c r="J50" s="167">
        <f t="shared" si="15"/>
        <v>9.3295037510916209E-2</v>
      </c>
      <c r="K50" s="167">
        <f t="shared" si="15"/>
        <v>0.11618385287364244</v>
      </c>
    </row>
  </sheetData>
  <mergeCells count="1">
    <mergeCell ref="D41:K4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4:XFB67"/>
  <sheetViews>
    <sheetView showGridLines="0" workbookViewId="0">
      <pane xSplit="4" ySplit="4" topLeftCell="E44" activePane="bottomRight" state="frozen"/>
      <selection pane="topRight" activeCell="E1" sqref="E1"/>
      <selection pane="bottomLeft" activeCell="A5" sqref="A5"/>
      <selection pane="bottomRight" activeCell="I56" sqref="I56"/>
    </sheetView>
  </sheetViews>
  <sheetFormatPr defaultRowHeight="15" x14ac:dyDescent="0.25"/>
  <cols>
    <col min="1" max="3" width="1.42578125" customWidth="1"/>
    <col min="4" max="4" width="57.140625" customWidth="1"/>
    <col min="9" max="9" width="10.7109375" bestFit="1" customWidth="1"/>
  </cols>
  <sheetData>
    <row r="4" spans="1:14" x14ac:dyDescent="0.25">
      <c r="A4" s="4"/>
      <c r="B4" s="4"/>
      <c r="C4" s="4"/>
      <c r="D4" s="91" t="s">
        <v>18</v>
      </c>
      <c r="E4" s="91">
        <v>2020</v>
      </c>
      <c r="F4" s="91">
        <f>E4+1</f>
        <v>2021</v>
      </c>
      <c r="G4" s="91">
        <f t="shared" ref="G4:I4" si="0">F4+1</f>
        <v>2022</v>
      </c>
      <c r="H4" s="91">
        <f t="shared" si="0"/>
        <v>2023</v>
      </c>
      <c r="I4" s="91">
        <f t="shared" si="0"/>
        <v>2024</v>
      </c>
    </row>
    <row r="6" spans="1:14" x14ac:dyDescent="0.25">
      <c r="C6" s="1" t="s">
        <v>37</v>
      </c>
    </row>
    <row r="7" spans="1:14" x14ac:dyDescent="0.25">
      <c r="B7" s="1" t="s">
        <v>38</v>
      </c>
    </row>
    <row r="8" spans="1:14" x14ac:dyDescent="0.25">
      <c r="D8" s="155" t="s">
        <v>39</v>
      </c>
      <c r="E8" s="28">
        <v>43841.45</v>
      </c>
      <c r="F8" s="28">
        <v>42291.09</v>
      </c>
      <c r="G8" s="28">
        <v>42592.19</v>
      </c>
      <c r="H8" s="28">
        <v>46480.28</v>
      </c>
      <c r="I8" s="28">
        <v>50126.09</v>
      </c>
      <c r="K8" s="49"/>
      <c r="L8" s="49"/>
      <c r="M8" s="49"/>
      <c r="N8" s="49"/>
    </row>
    <row r="9" spans="1:14" x14ac:dyDescent="0.25">
      <c r="D9" s="155" t="s">
        <v>40</v>
      </c>
      <c r="E9" s="28">
        <v>909.52</v>
      </c>
      <c r="F9" s="28">
        <v>1680.96</v>
      </c>
      <c r="G9" s="28">
        <v>4777.25</v>
      </c>
      <c r="H9" s="28">
        <v>4034.91</v>
      </c>
      <c r="I9" s="28">
        <v>6782.77</v>
      </c>
      <c r="K9" s="49"/>
      <c r="L9" s="49"/>
      <c r="M9" s="49"/>
      <c r="N9" s="49"/>
    </row>
    <row r="10" spans="1:14" x14ac:dyDescent="0.25">
      <c r="D10" s="155" t="s">
        <v>41</v>
      </c>
      <c r="E10" s="28">
        <v>1271.3800000000001</v>
      </c>
      <c r="F10" s="28">
        <v>1334.26</v>
      </c>
      <c r="G10" s="28">
        <v>1178.5999999999999</v>
      </c>
      <c r="H10" s="28">
        <v>1190.3599999999999</v>
      </c>
      <c r="I10" s="28">
        <v>916.27</v>
      </c>
      <c r="K10" s="49"/>
      <c r="L10" s="49"/>
      <c r="M10" s="49"/>
      <c r="N10" s="49"/>
    </row>
    <row r="11" spans="1:14" x14ac:dyDescent="0.25">
      <c r="D11" s="155" t="s">
        <v>42</v>
      </c>
      <c r="E11" s="28">
        <v>6252.49</v>
      </c>
      <c r="F11" s="28">
        <v>6219.85</v>
      </c>
      <c r="G11" s="28">
        <v>6250.21</v>
      </c>
      <c r="H11" s="28">
        <v>6329.26</v>
      </c>
      <c r="I11" s="28">
        <v>6345.49</v>
      </c>
      <c r="K11" s="49"/>
      <c r="L11" s="49"/>
      <c r="M11" s="49"/>
      <c r="N11" s="49"/>
    </row>
    <row r="12" spans="1:14" x14ac:dyDescent="0.25">
      <c r="D12" s="155" t="s">
        <v>43</v>
      </c>
      <c r="E12" s="28">
        <v>5617.07</v>
      </c>
      <c r="F12" s="28">
        <v>5566.41</v>
      </c>
      <c r="G12" s="28">
        <v>5466.57</v>
      </c>
      <c r="H12" s="28">
        <v>5579.1</v>
      </c>
      <c r="I12" s="28">
        <v>5489.76</v>
      </c>
      <c r="K12" s="49"/>
      <c r="L12" s="49"/>
      <c r="M12" s="49"/>
      <c r="N12" s="49"/>
    </row>
    <row r="13" spans="1:14" x14ac:dyDescent="0.25">
      <c r="D13" s="155" t="s">
        <v>44</v>
      </c>
      <c r="E13" s="28">
        <v>10.07</v>
      </c>
      <c r="F13" s="28">
        <v>5.72</v>
      </c>
      <c r="G13" s="28">
        <v>7.42</v>
      </c>
      <c r="H13" s="28">
        <v>5.48</v>
      </c>
      <c r="I13" s="28">
        <v>28.41</v>
      </c>
      <c r="K13" s="49"/>
      <c r="L13" s="49"/>
      <c r="M13" s="49"/>
      <c r="N13" s="49"/>
    </row>
    <row r="14" spans="1:14" x14ac:dyDescent="0.25">
      <c r="D14" t="s">
        <v>45</v>
      </c>
      <c r="E14" s="28">
        <v>23.2</v>
      </c>
      <c r="F14" s="28">
        <v>28.8</v>
      </c>
      <c r="G14" s="28">
        <v>30.17</v>
      </c>
      <c r="H14" s="28">
        <v>876.01</v>
      </c>
      <c r="I14" s="28">
        <v>968.94</v>
      </c>
      <c r="K14" s="49"/>
      <c r="L14" s="49"/>
      <c r="M14" s="49"/>
      <c r="N14" s="49"/>
    </row>
    <row r="15" spans="1:14" x14ac:dyDescent="0.25">
      <c r="C15" s="1" t="s">
        <v>46</v>
      </c>
      <c r="E15" s="28"/>
      <c r="F15" s="28"/>
      <c r="G15" s="28"/>
      <c r="H15" s="28"/>
      <c r="I15" s="28"/>
      <c r="K15" s="20"/>
      <c r="L15" s="20"/>
      <c r="M15" s="20"/>
      <c r="N15" s="20"/>
    </row>
    <row r="16" spans="1:14" x14ac:dyDescent="0.25">
      <c r="D16" t="s">
        <v>47</v>
      </c>
      <c r="E16" s="28">
        <v>1661.8</v>
      </c>
      <c r="F16" s="28">
        <v>1255.44</v>
      </c>
      <c r="G16" s="28">
        <v>1342.26</v>
      </c>
      <c r="H16" s="28">
        <v>584.34</v>
      </c>
      <c r="I16" s="28">
        <v>1795.21</v>
      </c>
    </row>
    <row r="17" spans="2:9" x14ac:dyDescent="0.25">
      <c r="D17" t="s">
        <v>48</v>
      </c>
      <c r="E17" s="28">
        <v>1231.67</v>
      </c>
      <c r="F17" s="28">
        <v>167.14</v>
      </c>
      <c r="G17" s="28">
        <v>9.59</v>
      </c>
      <c r="H17" s="28">
        <v>9.2200000000000006</v>
      </c>
      <c r="I17" s="28">
        <v>8.31</v>
      </c>
    </row>
    <row r="18" spans="2:9" x14ac:dyDescent="0.25">
      <c r="D18" t="s">
        <v>49</v>
      </c>
      <c r="E18" s="28">
        <v>399.76</v>
      </c>
      <c r="F18" s="28">
        <v>554.58000000000004</v>
      </c>
      <c r="G18" s="28">
        <v>1109.98</v>
      </c>
      <c r="H18" s="28">
        <v>1881.11</v>
      </c>
      <c r="I18" s="28">
        <v>1457.23</v>
      </c>
    </row>
    <row r="19" spans="2:9" x14ac:dyDescent="0.25">
      <c r="D19" t="s">
        <v>50</v>
      </c>
      <c r="E19" s="28">
        <v>279.83</v>
      </c>
      <c r="F19" s="28">
        <v>314.31</v>
      </c>
      <c r="G19" s="28">
        <v>479.46</v>
      </c>
      <c r="H19" s="28">
        <v>401.94</v>
      </c>
      <c r="I19" s="28">
        <v>456.03</v>
      </c>
    </row>
    <row r="20" spans="2:9" x14ac:dyDescent="0.25">
      <c r="D20" t="s">
        <v>51</v>
      </c>
      <c r="E20" s="28">
        <v>5.98</v>
      </c>
      <c r="F20" s="28">
        <v>7.16</v>
      </c>
      <c r="G20" s="28">
        <v>16.350000000000001</v>
      </c>
      <c r="H20" s="28">
        <v>6.56</v>
      </c>
      <c r="I20" s="28">
        <v>4.9000000000000004</v>
      </c>
    </row>
    <row r="21" spans="2:9" x14ac:dyDescent="0.25">
      <c r="D21" t="s">
        <v>52</v>
      </c>
      <c r="E21" s="28">
        <v>2825.54</v>
      </c>
      <c r="F21" s="28">
        <v>2707.5</v>
      </c>
      <c r="G21" s="28">
        <v>3078.27</v>
      </c>
      <c r="H21" s="28">
        <v>3265.49</v>
      </c>
      <c r="I21" s="28">
        <v>3264.23</v>
      </c>
    </row>
    <row r="22" spans="2:9" x14ac:dyDescent="0.25">
      <c r="B22" s="1" t="s">
        <v>53</v>
      </c>
      <c r="E22" s="27">
        <f>SUM(E8:E21)</f>
        <v>64329.759999999995</v>
      </c>
      <c r="F22" s="27">
        <f t="shared" ref="F22:I22" si="1">SUM(F8:F21)</f>
        <v>62133.22</v>
      </c>
      <c r="G22" s="27">
        <f t="shared" si="1"/>
        <v>66338.319999999992</v>
      </c>
      <c r="H22" s="27">
        <f t="shared" si="1"/>
        <v>70644.060000000012</v>
      </c>
      <c r="I22" s="27">
        <f t="shared" si="1"/>
        <v>77643.639999999985</v>
      </c>
    </row>
    <row r="23" spans="2:9" x14ac:dyDescent="0.25">
      <c r="C23" s="1" t="s">
        <v>54</v>
      </c>
      <c r="E23" s="28"/>
      <c r="F23" s="28"/>
      <c r="G23" s="28"/>
      <c r="H23" s="28"/>
      <c r="I23" s="28"/>
    </row>
    <row r="24" spans="2:9" x14ac:dyDescent="0.25">
      <c r="D24" t="s">
        <v>55</v>
      </c>
      <c r="E24" s="28">
        <v>4148.3100000000004</v>
      </c>
      <c r="F24" s="28">
        <v>4017.97</v>
      </c>
      <c r="G24" s="28">
        <v>5595.58</v>
      </c>
      <c r="H24" s="28">
        <v>6611.83</v>
      </c>
      <c r="I24" s="28">
        <v>8329.74</v>
      </c>
    </row>
    <row r="25" spans="2:9" x14ac:dyDescent="0.25">
      <c r="C25" s="1" t="s">
        <v>46</v>
      </c>
      <c r="E25" s="28"/>
      <c r="F25" s="28"/>
      <c r="G25" s="28"/>
      <c r="H25" s="28"/>
      <c r="I25" s="28"/>
    </row>
    <row r="26" spans="2:9" x14ac:dyDescent="0.25">
      <c r="D26" t="s">
        <v>47</v>
      </c>
      <c r="E26" s="28">
        <v>4243.6899999999996</v>
      </c>
      <c r="F26" s="28">
        <v>10893.87</v>
      </c>
      <c r="G26" s="28">
        <v>4963.34</v>
      </c>
      <c r="H26" s="28">
        <v>5836.6</v>
      </c>
      <c r="I26" s="28">
        <v>5484.8</v>
      </c>
    </row>
    <row r="27" spans="2:9" x14ac:dyDescent="0.25">
      <c r="D27" t="s">
        <v>56</v>
      </c>
      <c r="E27" s="28">
        <v>2238.29</v>
      </c>
      <c r="F27" s="28">
        <v>2571.73</v>
      </c>
      <c r="G27" s="28">
        <v>3071.61</v>
      </c>
      <c r="H27" s="28">
        <v>3867.02</v>
      </c>
      <c r="I27" s="28">
        <v>4278.16</v>
      </c>
    </row>
    <row r="28" spans="2:9" x14ac:dyDescent="0.25">
      <c r="D28" t="s">
        <v>57</v>
      </c>
      <c r="E28" s="28">
        <v>146.53</v>
      </c>
      <c r="F28" s="28">
        <v>177.21</v>
      </c>
      <c r="G28" s="28">
        <v>120.54</v>
      </c>
      <c r="H28" s="28">
        <v>370.37</v>
      </c>
      <c r="I28" s="28">
        <v>553.58000000000004</v>
      </c>
    </row>
    <row r="29" spans="2:9" x14ac:dyDescent="0.25">
      <c r="D29" t="s">
        <v>58</v>
      </c>
      <c r="E29" s="28">
        <v>392.68</v>
      </c>
      <c r="F29" s="28">
        <v>1830.34</v>
      </c>
      <c r="G29" s="28">
        <v>238.64</v>
      </c>
      <c r="H29" s="28">
        <v>779.22</v>
      </c>
      <c r="I29" s="28">
        <v>229.63</v>
      </c>
    </row>
    <row r="30" spans="2:9" x14ac:dyDescent="0.25">
      <c r="D30" t="s">
        <v>48</v>
      </c>
      <c r="E30" s="28">
        <v>197.73</v>
      </c>
      <c r="F30" s="28">
        <v>114.65</v>
      </c>
      <c r="G30" s="28">
        <v>6.86</v>
      </c>
      <c r="H30" s="28">
        <v>7.67</v>
      </c>
      <c r="I30" s="28">
        <v>8.91</v>
      </c>
    </row>
    <row r="31" spans="2:9" x14ac:dyDescent="0.25">
      <c r="D31" t="s">
        <v>49</v>
      </c>
      <c r="E31" s="28">
        <v>1060.8800000000001</v>
      </c>
      <c r="F31" s="28">
        <v>1899.65</v>
      </c>
      <c r="G31" s="28">
        <v>1871.95</v>
      </c>
      <c r="H31" s="28">
        <v>1433.82</v>
      </c>
      <c r="I31" s="28">
        <v>2310.35</v>
      </c>
    </row>
    <row r="32" spans="2:9" x14ac:dyDescent="0.25">
      <c r="D32" t="s">
        <v>59</v>
      </c>
      <c r="E32" s="28">
        <v>0.09</v>
      </c>
      <c r="F32" s="28">
        <v>0.1</v>
      </c>
      <c r="G32" s="28">
        <v>0.09</v>
      </c>
      <c r="H32" s="28">
        <v>7.0000000000000007E-2</v>
      </c>
      <c r="I32" s="28">
        <v>7.0000000000000007E-2</v>
      </c>
    </row>
    <row r="33" spans="2:9" x14ac:dyDescent="0.25">
      <c r="D33" t="s">
        <v>60</v>
      </c>
      <c r="E33" s="28">
        <v>1503.38</v>
      </c>
      <c r="F33" s="28">
        <v>1548.17</v>
      </c>
      <c r="G33" s="28">
        <v>1611.33</v>
      </c>
      <c r="H33" s="28">
        <v>1818.28</v>
      </c>
      <c r="I33" s="28">
        <v>1948.23</v>
      </c>
    </row>
    <row r="34" spans="2:9" x14ac:dyDescent="0.25">
      <c r="B34" s="1" t="s">
        <v>61</v>
      </c>
      <c r="E34" s="27">
        <f>SUM(E24:E33)</f>
        <v>13931.580000000002</v>
      </c>
      <c r="F34" s="27">
        <f t="shared" ref="F34:I34" si="2">SUM(F24:F33)</f>
        <v>23053.690000000002</v>
      </c>
      <c r="G34" s="27">
        <f t="shared" si="2"/>
        <v>17479.940000000002</v>
      </c>
      <c r="H34" s="27">
        <f t="shared" si="2"/>
        <v>20724.879999999997</v>
      </c>
      <c r="I34" s="27">
        <f t="shared" si="2"/>
        <v>23143.47</v>
      </c>
    </row>
    <row r="35" spans="2:9" x14ac:dyDescent="0.25">
      <c r="D35" t="s">
        <v>62</v>
      </c>
      <c r="E35" s="28">
        <v>1075.79</v>
      </c>
      <c r="F35" s="28">
        <v>996.6</v>
      </c>
      <c r="G35" s="28">
        <v>9.5299999999999994</v>
      </c>
      <c r="H35" s="28">
        <v>18.02</v>
      </c>
      <c r="I35" s="28">
        <v>14.9</v>
      </c>
    </row>
    <row r="36" spans="2:9" x14ac:dyDescent="0.25">
      <c r="B36" s="1" t="s">
        <v>63</v>
      </c>
      <c r="E36" s="27">
        <f>E22+E34+E35</f>
        <v>79337.12999999999</v>
      </c>
      <c r="F36" s="27">
        <f t="shared" ref="F36:I36" si="3">F22+F34+F35</f>
        <v>86183.510000000009</v>
      </c>
      <c r="G36" s="27">
        <f t="shared" si="3"/>
        <v>83827.789999999994</v>
      </c>
      <c r="H36" s="27">
        <f t="shared" si="3"/>
        <v>91386.96</v>
      </c>
      <c r="I36" s="27">
        <f t="shared" si="3"/>
        <v>100802.00999999998</v>
      </c>
    </row>
    <row r="37" spans="2:9" x14ac:dyDescent="0.25">
      <c r="C37" s="1" t="s">
        <v>64</v>
      </c>
      <c r="E37" s="28"/>
      <c r="F37" s="28"/>
      <c r="G37" s="28"/>
      <c r="H37" s="28"/>
      <c r="I37" s="28"/>
    </row>
    <row r="38" spans="2:9" x14ac:dyDescent="0.25">
      <c r="C38" s="1" t="s">
        <v>65</v>
      </c>
      <c r="E38" s="28"/>
      <c r="F38" s="28"/>
      <c r="G38" s="28"/>
      <c r="H38" s="28"/>
      <c r="I38" s="28"/>
    </row>
    <row r="39" spans="2:9" x14ac:dyDescent="0.25">
      <c r="D39" t="s">
        <v>66</v>
      </c>
      <c r="E39" s="153">
        <v>288.63</v>
      </c>
      <c r="F39" s="28">
        <v>288.64999999999998</v>
      </c>
      <c r="G39" s="28">
        <v>288.67</v>
      </c>
      <c r="H39" s="28">
        <v>288.69</v>
      </c>
      <c r="I39" s="28">
        <v>288.69</v>
      </c>
    </row>
    <row r="40" spans="2:9" x14ac:dyDescent="0.25">
      <c r="D40" t="s">
        <v>67</v>
      </c>
      <c r="E40" s="28">
        <v>38826.85</v>
      </c>
      <c r="F40" s="28">
        <v>43886.03</v>
      </c>
      <c r="G40" s="28">
        <v>50146.6</v>
      </c>
      <c r="H40" s="28">
        <v>54035.85</v>
      </c>
      <c r="I40" s="28">
        <v>59938.78</v>
      </c>
    </row>
    <row r="41" spans="2:9" x14ac:dyDescent="0.25">
      <c r="D41" t="s">
        <v>68</v>
      </c>
      <c r="E41" s="28">
        <v>7.52</v>
      </c>
      <c r="F41" s="28">
        <v>5.72</v>
      </c>
      <c r="G41" s="28">
        <v>-3.06</v>
      </c>
      <c r="H41" s="28">
        <v>55.63</v>
      </c>
      <c r="I41" s="28">
        <v>55.94</v>
      </c>
    </row>
    <row r="42" spans="2:9" x14ac:dyDescent="0.25">
      <c r="D42" t="s">
        <v>69</v>
      </c>
      <c r="E42" s="28"/>
      <c r="F42" s="28"/>
      <c r="G42" s="28"/>
      <c r="H42" s="28"/>
      <c r="I42" s="28"/>
    </row>
    <row r="43" spans="2:9" x14ac:dyDescent="0.25">
      <c r="D43" t="s">
        <v>70</v>
      </c>
      <c r="E43" s="28"/>
      <c r="F43" s="28"/>
      <c r="G43" s="28"/>
      <c r="H43" s="28"/>
      <c r="I43" s="28">
        <v>0.01</v>
      </c>
    </row>
    <row r="44" spans="2:9" x14ac:dyDescent="0.25">
      <c r="B44" s="1" t="s">
        <v>71</v>
      </c>
      <c r="E44" s="28"/>
      <c r="F44" s="28"/>
      <c r="G44" s="28"/>
      <c r="H44" s="28"/>
      <c r="I44" s="28"/>
    </row>
    <row r="45" spans="2:9" x14ac:dyDescent="0.25">
      <c r="C45" s="1" t="s">
        <v>72</v>
      </c>
      <c r="E45" s="28"/>
      <c r="F45" s="28"/>
      <c r="G45" s="28"/>
      <c r="H45" s="28"/>
      <c r="I45" s="28"/>
    </row>
    <row r="46" spans="2:9" x14ac:dyDescent="0.25">
      <c r="C46" s="1" t="s">
        <v>73</v>
      </c>
      <c r="E46" s="28"/>
      <c r="F46" s="28"/>
      <c r="G46" s="28"/>
      <c r="H46" s="28"/>
      <c r="I46" s="28"/>
    </row>
    <row r="47" spans="2:9" x14ac:dyDescent="0.25">
      <c r="D47" t="s">
        <v>74</v>
      </c>
      <c r="E47" s="28">
        <v>17367.52</v>
      </c>
      <c r="F47" s="28">
        <v>13548.45</v>
      </c>
      <c r="G47" s="28">
        <v>5303</v>
      </c>
      <c r="H47" s="28">
        <v>5356.41</v>
      </c>
      <c r="I47" s="28">
        <v>5307.78</v>
      </c>
    </row>
    <row r="48" spans="2:9" x14ac:dyDescent="0.25">
      <c r="D48" t="s">
        <v>88</v>
      </c>
      <c r="E48" s="28"/>
      <c r="F48" s="28">
        <v>1119.05</v>
      </c>
      <c r="G48" s="28">
        <v>978.2</v>
      </c>
      <c r="H48" s="28">
        <v>1010.65</v>
      </c>
      <c r="I48" s="28">
        <v>942.11</v>
      </c>
    </row>
    <row r="49" spans="2:16382" x14ac:dyDescent="0.25">
      <c r="D49" t="s">
        <v>75</v>
      </c>
      <c r="E49" s="28">
        <v>1055.8499999999999</v>
      </c>
      <c r="F49" s="28">
        <v>332.19</v>
      </c>
      <c r="G49" s="28">
        <v>303.48</v>
      </c>
      <c r="H49" s="28">
        <v>319.83999999999997</v>
      </c>
      <c r="I49" s="28">
        <v>240.86</v>
      </c>
      <c r="J49" s="6"/>
    </row>
    <row r="50" spans="2:16382" x14ac:dyDescent="0.25">
      <c r="D50" t="s">
        <v>76</v>
      </c>
      <c r="E50" s="28">
        <v>241.74</v>
      </c>
      <c r="F50" s="28">
        <v>365.49</v>
      </c>
      <c r="G50" s="28">
        <v>617.84</v>
      </c>
      <c r="H50" s="28">
        <v>624.21</v>
      </c>
      <c r="I50" s="28">
        <v>670.57</v>
      </c>
    </row>
    <row r="51" spans="2:16382" x14ac:dyDescent="0.25">
      <c r="D51" t="s">
        <v>77</v>
      </c>
      <c r="E51" s="28">
        <v>4911.99</v>
      </c>
      <c r="F51" s="28">
        <v>6040.68</v>
      </c>
      <c r="G51" s="153">
        <v>6033.24</v>
      </c>
      <c r="H51" s="28">
        <v>6260.11</v>
      </c>
      <c r="I51" s="28">
        <v>6447.78</v>
      </c>
    </row>
    <row r="52" spans="2:16382" x14ac:dyDescent="0.25">
      <c r="D52" t="s">
        <v>78</v>
      </c>
      <c r="E52" s="28">
        <v>6.28</v>
      </c>
      <c r="F52" s="28">
        <v>5.53</v>
      </c>
      <c r="G52" s="28">
        <v>4.63</v>
      </c>
      <c r="H52" s="153">
        <v>3.78</v>
      </c>
      <c r="I52" s="28">
        <v>3.53</v>
      </c>
    </row>
    <row r="53" spans="2:16382" s="1" customFormat="1" x14ac:dyDescent="0.25">
      <c r="B53" s="1" t="s">
        <v>79</v>
      </c>
      <c r="E53" s="27">
        <f>SUM(E47:E52)</f>
        <v>23583.379999999997</v>
      </c>
      <c r="F53" s="27">
        <f>SUM(F47:F52)</f>
        <v>21411.39</v>
      </c>
      <c r="G53" s="27">
        <f>SUM(G47:G52)</f>
        <v>13240.39</v>
      </c>
      <c r="H53" s="27">
        <f>SUM(H47:H52)</f>
        <v>13575</v>
      </c>
      <c r="I53" s="27">
        <f>SUM(I47:I52)</f>
        <v>13612.63</v>
      </c>
    </row>
    <row r="54" spans="2:16382" x14ac:dyDescent="0.25">
      <c r="C54" s="1" t="s">
        <v>80</v>
      </c>
      <c r="E54" s="28"/>
      <c r="F54" s="28"/>
      <c r="G54" s="28"/>
      <c r="H54" s="28"/>
      <c r="I54" s="28"/>
    </row>
    <row r="55" spans="2:16382" x14ac:dyDescent="0.25">
      <c r="D55" s="1" t="s">
        <v>73</v>
      </c>
      <c r="E55" s="28"/>
      <c r="F55" s="28"/>
      <c r="G55" s="28"/>
      <c r="H55" s="28"/>
      <c r="I55" s="28"/>
    </row>
    <row r="56" spans="2:16382" x14ac:dyDescent="0.25">
      <c r="D56" t="s">
        <v>74</v>
      </c>
      <c r="E56" s="28">
        <v>3985.09</v>
      </c>
      <c r="F56" s="28">
        <v>4235.13</v>
      </c>
      <c r="G56" s="28">
        <v>4899.84</v>
      </c>
      <c r="H56" s="28">
        <v>4544.37</v>
      </c>
      <c r="I56" s="28">
        <v>4990.6099999999997</v>
      </c>
    </row>
    <row r="57" spans="2:16382" x14ac:dyDescent="0.25">
      <c r="D57" t="s">
        <v>88</v>
      </c>
      <c r="E57" s="28">
        <v>0</v>
      </c>
      <c r="F57" s="28">
        <v>0</v>
      </c>
      <c r="G57" s="28">
        <v>117.76</v>
      </c>
      <c r="H57" s="28">
        <v>146.31</v>
      </c>
      <c r="I57" s="28">
        <v>162.44999999999999</v>
      </c>
    </row>
    <row r="58" spans="2:16382" x14ac:dyDescent="0.25">
      <c r="D58" t="s">
        <v>81</v>
      </c>
      <c r="E58" s="28">
        <f>56.39+3445.04</f>
        <v>3501.43</v>
      </c>
      <c r="F58" s="28">
        <f>69.33+4629.95</f>
        <v>4699.28</v>
      </c>
      <c r="G58" s="28">
        <f>124.47+5738.36</f>
        <v>5862.83</v>
      </c>
      <c r="H58" s="28">
        <f>183.4+7025.9</f>
        <v>7209.2999999999993</v>
      </c>
      <c r="I58" s="28">
        <f>254.19+8224.14</f>
        <v>8478.33</v>
      </c>
    </row>
    <row r="59" spans="2:16382" x14ac:dyDescent="0.25">
      <c r="D59" t="s">
        <v>75</v>
      </c>
      <c r="E59" s="28">
        <v>3993.72</v>
      </c>
      <c r="F59" s="28">
        <v>5578.98</v>
      </c>
      <c r="G59" s="28">
        <v>3608.55</v>
      </c>
      <c r="H59" s="28">
        <v>4783.5600000000004</v>
      </c>
      <c r="I59" s="28">
        <v>5326.92</v>
      </c>
    </row>
    <row r="60" spans="2:16382" x14ac:dyDescent="0.25">
      <c r="D60" t="s">
        <v>82</v>
      </c>
      <c r="E60" s="28">
        <v>3512.31</v>
      </c>
      <c r="F60" s="28">
        <v>4600.78</v>
      </c>
      <c r="G60" s="28">
        <v>4890.9399999999996</v>
      </c>
      <c r="H60" s="28">
        <v>5177.3999999999996</v>
      </c>
      <c r="I60" s="28">
        <v>5706.68</v>
      </c>
      <c r="K60" s="6"/>
    </row>
    <row r="61" spans="2:16382" x14ac:dyDescent="0.25">
      <c r="D61" t="s">
        <v>76</v>
      </c>
      <c r="E61" s="28">
        <v>548.05999999999995</v>
      </c>
      <c r="F61" s="28">
        <v>521.85</v>
      </c>
      <c r="G61" s="28">
        <v>247.98</v>
      </c>
      <c r="H61" s="28">
        <v>204.43</v>
      </c>
      <c r="I61" s="28">
        <v>257.5</v>
      </c>
      <c r="K61" s="6"/>
    </row>
    <row r="62" spans="2:16382" s="1" customFormat="1" x14ac:dyDescent="0.25">
      <c r="D62" t="s">
        <v>83</v>
      </c>
      <c r="E62" s="28">
        <v>601.14</v>
      </c>
      <c r="F62" s="28">
        <v>711.74</v>
      </c>
      <c r="G62" s="153">
        <v>527.29</v>
      </c>
      <c r="H62" s="153">
        <v>1366.42</v>
      </c>
      <c r="I62" s="28">
        <v>1983.47</v>
      </c>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c r="AMN62"/>
      <c r="AMO62"/>
      <c r="AMP62"/>
      <c r="AMQ62"/>
      <c r="AMR62"/>
      <c r="AMS62"/>
      <c r="AMT62"/>
      <c r="AMU62"/>
      <c r="AMV62"/>
      <c r="AMW62"/>
      <c r="AMX62"/>
      <c r="AMY62"/>
      <c r="AMZ62"/>
      <c r="ANA62"/>
      <c r="ANB62"/>
      <c r="ANC62"/>
      <c r="AND62"/>
      <c r="ANE62"/>
      <c r="ANF62"/>
      <c r="ANG62"/>
      <c r="ANH62"/>
      <c r="ANI62"/>
      <c r="ANJ62"/>
      <c r="ANK62"/>
      <c r="ANL62"/>
      <c r="ANM62"/>
      <c r="ANN62"/>
      <c r="ANO62"/>
      <c r="ANP62"/>
      <c r="ANQ62"/>
      <c r="ANR62"/>
      <c r="ANS62"/>
      <c r="ANT62"/>
      <c r="ANU62"/>
      <c r="ANV62"/>
      <c r="ANW62"/>
      <c r="ANX62"/>
      <c r="ANY62"/>
      <c r="ANZ62"/>
      <c r="AOA62"/>
      <c r="AOB62"/>
      <c r="AOC62"/>
      <c r="AOD62"/>
      <c r="AOE62"/>
      <c r="AOF62"/>
      <c r="AOG62"/>
      <c r="AOH62"/>
      <c r="AOI62"/>
      <c r="AOJ62"/>
      <c r="AOK62"/>
      <c r="AOL62"/>
      <c r="AOM62"/>
      <c r="AON62"/>
      <c r="AOO62"/>
      <c r="AOP62"/>
      <c r="AOQ62"/>
      <c r="AOR62"/>
      <c r="AOS62"/>
      <c r="AOT62"/>
      <c r="AOU62"/>
      <c r="AOV62"/>
      <c r="AOW62"/>
      <c r="AOX62"/>
      <c r="AOY62"/>
      <c r="AOZ62"/>
      <c r="APA62"/>
      <c r="APB62"/>
      <c r="APC62"/>
      <c r="APD62"/>
      <c r="APE62"/>
      <c r="APF62"/>
      <c r="APG62"/>
      <c r="APH62"/>
      <c r="API62"/>
      <c r="APJ62"/>
      <c r="APK62"/>
      <c r="APL62"/>
      <c r="APM62"/>
      <c r="APN62"/>
      <c r="APO62"/>
      <c r="APP62"/>
      <c r="APQ62"/>
      <c r="APR62"/>
      <c r="APS62"/>
      <c r="APT62"/>
      <c r="APU62"/>
      <c r="APV62"/>
      <c r="APW62"/>
      <c r="APX62"/>
      <c r="APY62"/>
      <c r="APZ62"/>
      <c r="AQA62"/>
      <c r="AQB62"/>
      <c r="AQC62"/>
      <c r="AQD62"/>
      <c r="AQE62"/>
      <c r="AQF62"/>
      <c r="AQG62"/>
      <c r="AQH62"/>
      <c r="AQI62"/>
      <c r="AQJ62"/>
      <c r="AQK62"/>
      <c r="AQL62"/>
      <c r="AQM62"/>
      <c r="AQN62"/>
      <c r="AQO62"/>
      <c r="AQP62"/>
      <c r="AQQ62"/>
      <c r="AQR62"/>
      <c r="AQS62"/>
      <c r="AQT62"/>
      <c r="AQU62"/>
      <c r="AQV62"/>
      <c r="AQW62"/>
      <c r="AQX62"/>
      <c r="AQY62"/>
      <c r="AQZ62"/>
      <c r="ARA62"/>
      <c r="ARB62"/>
      <c r="ARC62"/>
      <c r="ARD62"/>
      <c r="ARE62"/>
      <c r="ARF62"/>
      <c r="ARG62"/>
      <c r="ARH62"/>
      <c r="ARI62"/>
      <c r="ARJ62"/>
      <c r="ARK62"/>
      <c r="ARL62"/>
      <c r="ARM62"/>
      <c r="ARN62"/>
      <c r="ARO62"/>
      <c r="ARP62"/>
      <c r="ARQ62"/>
      <c r="ARR62"/>
      <c r="ARS62"/>
      <c r="ART62"/>
      <c r="ARU62"/>
      <c r="ARV62"/>
      <c r="ARW62"/>
      <c r="ARX62"/>
      <c r="ARY62"/>
      <c r="ARZ62"/>
      <c r="ASA62"/>
      <c r="ASB62"/>
      <c r="ASC62"/>
      <c r="ASD62"/>
      <c r="ASE62"/>
      <c r="ASF62"/>
      <c r="ASG62"/>
      <c r="ASH62"/>
      <c r="ASI62"/>
      <c r="ASJ62"/>
      <c r="ASK62"/>
      <c r="ASL62"/>
      <c r="ASM62"/>
      <c r="ASN62"/>
      <c r="ASO62"/>
      <c r="ASP62"/>
      <c r="ASQ62"/>
      <c r="ASR62"/>
      <c r="ASS62"/>
      <c r="AST62"/>
      <c r="ASU62"/>
      <c r="ASV62"/>
      <c r="ASW62"/>
      <c r="ASX62"/>
      <c r="ASY62"/>
      <c r="ASZ62"/>
      <c r="ATA62"/>
      <c r="ATB62"/>
      <c r="ATC62"/>
      <c r="ATD62"/>
      <c r="ATE62"/>
      <c r="ATF62"/>
      <c r="ATG62"/>
      <c r="ATH62"/>
      <c r="ATI62"/>
      <c r="ATJ62"/>
      <c r="ATK62"/>
      <c r="ATL62"/>
      <c r="ATM62"/>
      <c r="ATN62"/>
      <c r="ATO62"/>
      <c r="ATP62"/>
      <c r="ATQ62"/>
      <c r="ATR62"/>
      <c r="ATS62"/>
      <c r="ATT62"/>
      <c r="ATU62"/>
      <c r="ATV62"/>
      <c r="ATW62"/>
      <c r="ATX62"/>
      <c r="ATY62"/>
      <c r="ATZ62"/>
      <c r="AUA62"/>
      <c r="AUB62"/>
      <c r="AUC62"/>
      <c r="AUD62"/>
      <c r="AUE62"/>
      <c r="AUF62"/>
      <c r="AUG62"/>
      <c r="AUH62"/>
      <c r="AUI62"/>
      <c r="AUJ62"/>
      <c r="AUK62"/>
      <c r="AUL62"/>
      <c r="AUM62"/>
      <c r="AUN62"/>
      <c r="AUO62"/>
      <c r="AUP62"/>
      <c r="AUQ62"/>
      <c r="AUR62"/>
      <c r="AUS62"/>
      <c r="AUT62"/>
      <c r="AUU62"/>
      <c r="AUV62"/>
      <c r="AUW62"/>
      <c r="AUX62"/>
      <c r="AUY62"/>
      <c r="AUZ62"/>
      <c r="AVA62"/>
      <c r="AVB62"/>
      <c r="AVC62"/>
      <c r="AVD62"/>
      <c r="AVE62"/>
      <c r="AVF62"/>
      <c r="AVG62"/>
      <c r="AVH62"/>
      <c r="AVI62"/>
      <c r="AVJ62"/>
      <c r="AVK62"/>
      <c r="AVL62"/>
      <c r="AVM62"/>
      <c r="AVN62"/>
      <c r="AVO62"/>
      <c r="AVP62"/>
      <c r="AVQ62"/>
      <c r="AVR62"/>
      <c r="AVS62"/>
      <c r="AVT62"/>
      <c r="AVU62"/>
      <c r="AVV62"/>
      <c r="AVW62"/>
      <c r="AVX62"/>
      <c r="AVY62"/>
      <c r="AVZ62"/>
      <c r="AWA62"/>
      <c r="AWB62"/>
      <c r="AWC62"/>
      <c r="AWD62"/>
      <c r="AWE62"/>
      <c r="AWF62"/>
      <c r="AWG62"/>
      <c r="AWH62"/>
      <c r="AWI62"/>
      <c r="AWJ62"/>
      <c r="AWK62"/>
      <c r="AWL62"/>
      <c r="AWM62"/>
      <c r="AWN62"/>
      <c r="AWO62"/>
      <c r="AWP62"/>
      <c r="AWQ62"/>
      <c r="AWR62"/>
      <c r="AWS62"/>
      <c r="AWT62"/>
      <c r="AWU62"/>
      <c r="AWV62"/>
      <c r="AWW62"/>
      <c r="AWX62"/>
      <c r="AWY62"/>
      <c r="AWZ62"/>
      <c r="AXA62"/>
      <c r="AXB62"/>
      <c r="AXC62"/>
      <c r="AXD62"/>
      <c r="AXE62"/>
      <c r="AXF62"/>
      <c r="AXG62"/>
      <c r="AXH62"/>
      <c r="AXI62"/>
      <c r="AXJ62"/>
      <c r="AXK62"/>
      <c r="AXL62"/>
      <c r="AXM62"/>
      <c r="AXN62"/>
      <c r="AXO62"/>
      <c r="AXP62"/>
      <c r="AXQ62"/>
      <c r="AXR62"/>
      <c r="AXS62"/>
      <c r="AXT62"/>
      <c r="AXU62"/>
      <c r="AXV62"/>
      <c r="AXW62"/>
      <c r="AXX62"/>
      <c r="AXY62"/>
      <c r="AXZ62"/>
      <c r="AYA62"/>
      <c r="AYB62"/>
      <c r="AYC62"/>
      <c r="AYD62"/>
      <c r="AYE62"/>
      <c r="AYF62"/>
      <c r="AYG62"/>
      <c r="AYH62"/>
      <c r="AYI62"/>
      <c r="AYJ62"/>
      <c r="AYK62"/>
      <c r="AYL62"/>
      <c r="AYM62"/>
      <c r="AYN62"/>
      <c r="AYO62"/>
      <c r="AYP62"/>
      <c r="AYQ62"/>
      <c r="AYR62"/>
      <c r="AYS62"/>
      <c r="AYT62"/>
      <c r="AYU62"/>
      <c r="AYV62"/>
      <c r="AYW62"/>
      <c r="AYX62"/>
      <c r="AYY62"/>
      <c r="AYZ62"/>
      <c r="AZA62"/>
      <c r="AZB62"/>
      <c r="AZC62"/>
      <c r="AZD62"/>
      <c r="AZE62"/>
      <c r="AZF62"/>
      <c r="AZG62"/>
      <c r="AZH62"/>
      <c r="AZI62"/>
      <c r="AZJ62"/>
      <c r="AZK62"/>
      <c r="AZL62"/>
      <c r="AZM62"/>
      <c r="AZN62"/>
      <c r="AZO62"/>
      <c r="AZP62"/>
      <c r="AZQ62"/>
      <c r="AZR62"/>
      <c r="AZS62"/>
      <c r="AZT62"/>
      <c r="AZU62"/>
      <c r="AZV62"/>
      <c r="AZW62"/>
      <c r="AZX62"/>
      <c r="AZY62"/>
      <c r="AZZ62"/>
      <c r="BAA62"/>
      <c r="BAB62"/>
      <c r="BAC62"/>
      <c r="BAD62"/>
      <c r="BAE62"/>
      <c r="BAF62"/>
      <c r="BAG62"/>
      <c r="BAH62"/>
      <c r="BAI62"/>
      <c r="BAJ62"/>
      <c r="BAK62"/>
      <c r="BAL62"/>
      <c r="BAM62"/>
      <c r="BAN62"/>
      <c r="BAO62"/>
      <c r="BAP62"/>
      <c r="BAQ62"/>
      <c r="BAR62"/>
      <c r="BAS62"/>
      <c r="BAT62"/>
      <c r="BAU62"/>
      <c r="BAV62"/>
      <c r="BAW62"/>
      <c r="BAX62"/>
      <c r="BAY62"/>
      <c r="BAZ62"/>
      <c r="BBA62"/>
      <c r="BBB62"/>
      <c r="BBC62"/>
      <c r="BBD62"/>
      <c r="BBE62"/>
      <c r="BBF62"/>
      <c r="BBG62"/>
      <c r="BBH62"/>
      <c r="BBI62"/>
      <c r="BBJ62"/>
      <c r="BBK62"/>
      <c r="BBL62"/>
      <c r="BBM62"/>
      <c r="BBN62"/>
      <c r="BBO62"/>
      <c r="BBP62"/>
      <c r="BBQ62"/>
      <c r="BBR62"/>
      <c r="BBS62"/>
      <c r="BBT62"/>
      <c r="BBU62"/>
      <c r="BBV62"/>
      <c r="BBW62"/>
      <c r="BBX62"/>
      <c r="BBY62"/>
      <c r="BBZ62"/>
      <c r="BCA62"/>
      <c r="BCB62"/>
      <c r="BCC62"/>
      <c r="BCD62"/>
      <c r="BCE62"/>
      <c r="BCF62"/>
      <c r="BCG62"/>
      <c r="BCH62"/>
      <c r="BCI62"/>
      <c r="BCJ62"/>
      <c r="BCK62"/>
      <c r="BCL62"/>
      <c r="BCM62"/>
      <c r="BCN62"/>
      <c r="BCO62"/>
      <c r="BCP62"/>
      <c r="BCQ62"/>
      <c r="BCR62"/>
      <c r="BCS62"/>
      <c r="BCT62"/>
      <c r="BCU62"/>
      <c r="BCV62"/>
      <c r="BCW62"/>
      <c r="BCX62"/>
      <c r="BCY62"/>
      <c r="BCZ62"/>
      <c r="BDA62"/>
      <c r="BDB62"/>
      <c r="BDC62"/>
      <c r="BDD62"/>
      <c r="BDE62"/>
      <c r="BDF62"/>
      <c r="BDG62"/>
      <c r="BDH62"/>
      <c r="BDI62"/>
      <c r="BDJ62"/>
      <c r="BDK62"/>
      <c r="BDL62"/>
      <c r="BDM62"/>
      <c r="BDN62"/>
      <c r="BDO62"/>
      <c r="BDP62"/>
      <c r="BDQ62"/>
      <c r="BDR62"/>
      <c r="BDS62"/>
      <c r="BDT62"/>
      <c r="BDU62"/>
      <c r="BDV62"/>
      <c r="BDW62"/>
      <c r="BDX62"/>
      <c r="BDY62"/>
      <c r="BDZ62"/>
      <c r="BEA62"/>
      <c r="BEB62"/>
      <c r="BEC62"/>
      <c r="BED62"/>
      <c r="BEE62"/>
      <c r="BEF62"/>
      <c r="BEG62"/>
      <c r="BEH62"/>
      <c r="BEI62"/>
      <c r="BEJ62"/>
      <c r="BEK62"/>
      <c r="BEL62"/>
      <c r="BEM62"/>
      <c r="BEN62"/>
      <c r="BEO62"/>
      <c r="BEP62"/>
      <c r="BEQ62"/>
      <c r="BER62"/>
      <c r="BES62"/>
      <c r="BET62"/>
      <c r="BEU62"/>
      <c r="BEV62"/>
      <c r="BEW62"/>
      <c r="BEX62"/>
      <c r="BEY62"/>
      <c r="BEZ62"/>
      <c r="BFA62"/>
      <c r="BFB62"/>
      <c r="BFC62"/>
      <c r="BFD62"/>
      <c r="BFE62"/>
      <c r="BFF62"/>
      <c r="BFG62"/>
      <c r="BFH62"/>
      <c r="BFI62"/>
      <c r="BFJ62"/>
      <c r="BFK62"/>
      <c r="BFL62"/>
      <c r="BFM62"/>
      <c r="BFN62"/>
      <c r="BFO62"/>
      <c r="BFP62"/>
      <c r="BFQ62"/>
      <c r="BFR62"/>
      <c r="BFS62"/>
      <c r="BFT62"/>
      <c r="BFU62"/>
      <c r="BFV62"/>
      <c r="BFW62"/>
      <c r="BFX62"/>
      <c r="BFY62"/>
      <c r="BFZ62"/>
      <c r="BGA62"/>
      <c r="BGB62"/>
      <c r="BGC62"/>
      <c r="BGD62"/>
      <c r="BGE62"/>
      <c r="BGF62"/>
      <c r="BGG62"/>
      <c r="BGH62"/>
      <c r="BGI62"/>
      <c r="BGJ62"/>
      <c r="BGK62"/>
      <c r="BGL62"/>
      <c r="BGM62"/>
      <c r="BGN62"/>
      <c r="BGO62"/>
      <c r="BGP62"/>
      <c r="BGQ62"/>
      <c r="BGR62"/>
      <c r="BGS62"/>
      <c r="BGT62"/>
      <c r="BGU62"/>
      <c r="BGV62"/>
      <c r="BGW62"/>
      <c r="BGX62"/>
      <c r="BGY62"/>
      <c r="BGZ62"/>
      <c r="BHA62"/>
      <c r="BHB62"/>
      <c r="BHC62"/>
      <c r="BHD62"/>
      <c r="BHE62"/>
      <c r="BHF62"/>
      <c r="BHG62"/>
      <c r="BHH62"/>
      <c r="BHI62"/>
      <c r="BHJ62"/>
      <c r="BHK62"/>
      <c r="BHL62"/>
      <c r="BHM62"/>
      <c r="BHN62"/>
      <c r="BHO62"/>
      <c r="BHP62"/>
      <c r="BHQ62"/>
      <c r="BHR62"/>
      <c r="BHS62"/>
      <c r="BHT62"/>
      <c r="BHU62"/>
      <c r="BHV62"/>
      <c r="BHW62"/>
      <c r="BHX62"/>
      <c r="BHY62"/>
      <c r="BHZ62"/>
      <c r="BIA62"/>
      <c r="BIB62"/>
      <c r="BIC62"/>
      <c r="BID62"/>
      <c r="BIE62"/>
      <c r="BIF62"/>
      <c r="BIG62"/>
      <c r="BIH62"/>
      <c r="BII62"/>
      <c r="BIJ62"/>
      <c r="BIK62"/>
      <c r="BIL62"/>
      <c r="BIM62"/>
      <c r="BIN62"/>
      <c r="BIO62"/>
      <c r="BIP62"/>
      <c r="BIQ62"/>
      <c r="BIR62"/>
      <c r="BIS62"/>
      <c r="BIT62"/>
      <c r="BIU62"/>
      <c r="BIV62"/>
      <c r="BIW62"/>
      <c r="BIX62"/>
      <c r="BIY62"/>
      <c r="BIZ62"/>
      <c r="BJA62"/>
      <c r="BJB62"/>
      <c r="BJC62"/>
      <c r="BJD62"/>
      <c r="BJE62"/>
      <c r="BJF62"/>
      <c r="BJG62"/>
      <c r="BJH62"/>
      <c r="BJI62"/>
      <c r="BJJ62"/>
      <c r="BJK62"/>
      <c r="BJL62"/>
      <c r="BJM62"/>
      <c r="BJN62"/>
      <c r="BJO62"/>
      <c r="BJP62"/>
      <c r="BJQ62"/>
      <c r="BJR62"/>
      <c r="BJS62"/>
      <c r="BJT62"/>
      <c r="BJU62"/>
      <c r="BJV62"/>
      <c r="BJW62"/>
      <c r="BJX62"/>
      <c r="BJY62"/>
      <c r="BJZ62"/>
      <c r="BKA62"/>
      <c r="BKB62"/>
      <c r="BKC62"/>
      <c r="BKD62"/>
      <c r="BKE62"/>
      <c r="BKF62"/>
      <c r="BKG62"/>
      <c r="BKH62"/>
      <c r="BKI62"/>
      <c r="BKJ62"/>
      <c r="BKK62"/>
      <c r="BKL62"/>
      <c r="BKM62"/>
      <c r="BKN62"/>
      <c r="BKO62"/>
      <c r="BKP62"/>
      <c r="BKQ62"/>
      <c r="BKR62"/>
      <c r="BKS62"/>
      <c r="BKT62"/>
      <c r="BKU62"/>
      <c r="BKV62"/>
      <c r="BKW62"/>
      <c r="BKX62"/>
      <c r="BKY62"/>
      <c r="BKZ62"/>
      <c r="BLA62"/>
      <c r="BLB62"/>
      <c r="BLC62"/>
      <c r="BLD62"/>
      <c r="BLE62"/>
      <c r="BLF62"/>
      <c r="BLG62"/>
      <c r="BLH62"/>
      <c r="BLI62"/>
      <c r="BLJ62"/>
      <c r="BLK62"/>
      <c r="BLL62"/>
      <c r="BLM62"/>
      <c r="BLN62"/>
      <c r="BLO62"/>
      <c r="BLP62"/>
      <c r="BLQ62"/>
      <c r="BLR62"/>
      <c r="BLS62"/>
      <c r="BLT62"/>
      <c r="BLU62"/>
      <c r="BLV62"/>
      <c r="BLW62"/>
      <c r="BLX62"/>
      <c r="BLY62"/>
      <c r="BLZ62"/>
      <c r="BMA62"/>
      <c r="BMB62"/>
      <c r="BMC62"/>
      <c r="BMD62"/>
      <c r="BME62"/>
      <c r="BMF62"/>
      <c r="BMG62"/>
      <c r="BMH62"/>
      <c r="BMI62"/>
      <c r="BMJ62"/>
      <c r="BMK62"/>
      <c r="BML62"/>
      <c r="BMM62"/>
      <c r="BMN62"/>
      <c r="BMO62"/>
      <c r="BMP62"/>
      <c r="BMQ62"/>
      <c r="BMR62"/>
      <c r="BMS62"/>
      <c r="BMT62"/>
      <c r="BMU62"/>
      <c r="BMV62"/>
      <c r="BMW62"/>
      <c r="BMX62"/>
      <c r="BMY62"/>
      <c r="BMZ62"/>
      <c r="BNA62"/>
      <c r="BNB62"/>
      <c r="BNC62"/>
      <c r="BND62"/>
      <c r="BNE62"/>
      <c r="BNF62"/>
      <c r="BNG62"/>
      <c r="BNH62"/>
      <c r="BNI62"/>
      <c r="BNJ62"/>
      <c r="BNK62"/>
      <c r="BNL62"/>
      <c r="BNM62"/>
      <c r="BNN62"/>
      <c r="BNO62"/>
      <c r="BNP62"/>
      <c r="BNQ62"/>
      <c r="BNR62"/>
      <c r="BNS62"/>
      <c r="BNT62"/>
      <c r="BNU62"/>
      <c r="BNV62"/>
      <c r="BNW62"/>
      <c r="BNX62"/>
      <c r="BNY62"/>
      <c r="BNZ62"/>
      <c r="BOA62"/>
      <c r="BOB62"/>
      <c r="BOC62"/>
      <c r="BOD62"/>
      <c r="BOE62"/>
      <c r="BOF62"/>
      <c r="BOG62"/>
      <c r="BOH62"/>
      <c r="BOI62"/>
      <c r="BOJ62"/>
      <c r="BOK62"/>
      <c r="BOL62"/>
      <c r="BOM62"/>
      <c r="BON62"/>
      <c r="BOO62"/>
      <c r="BOP62"/>
      <c r="BOQ62"/>
      <c r="BOR62"/>
      <c r="BOS62"/>
      <c r="BOT62"/>
      <c r="BOU62"/>
      <c r="BOV62"/>
      <c r="BOW62"/>
      <c r="BOX62"/>
      <c r="BOY62"/>
      <c r="BOZ62"/>
      <c r="BPA62"/>
      <c r="BPB62"/>
      <c r="BPC62"/>
      <c r="BPD62"/>
      <c r="BPE62"/>
      <c r="BPF62"/>
      <c r="BPG62"/>
      <c r="BPH62"/>
      <c r="BPI62"/>
      <c r="BPJ62"/>
      <c r="BPK62"/>
      <c r="BPL62"/>
      <c r="BPM62"/>
      <c r="BPN62"/>
      <c r="BPO62"/>
      <c r="BPP62"/>
      <c r="BPQ62"/>
      <c r="BPR62"/>
      <c r="BPS62"/>
      <c r="BPT62"/>
      <c r="BPU62"/>
      <c r="BPV62"/>
      <c r="BPW62"/>
      <c r="BPX62"/>
      <c r="BPY62"/>
      <c r="BPZ62"/>
      <c r="BQA62"/>
      <c r="BQB62"/>
      <c r="BQC62"/>
      <c r="BQD62"/>
      <c r="BQE62"/>
      <c r="BQF62"/>
      <c r="BQG62"/>
      <c r="BQH62"/>
      <c r="BQI62"/>
      <c r="BQJ62"/>
      <c r="BQK62"/>
      <c r="BQL62"/>
      <c r="BQM62"/>
      <c r="BQN62"/>
      <c r="BQO62"/>
      <c r="BQP62"/>
      <c r="BQQ62"/>
      <c r="BQR62"/>
      <c r="BQS62"/>
      <c r="BQT62"/>
      <c r="BQU62"/>
      <c r="BQV62"/>
      <c r="BQW62"/>
      <c r="BQX62"/>
      <c r="BQY62"/>
      <c r="BQZ62"/>
      <c r="BRA62"/>
      <c r="BRB62"/>
      <c r="BRC62"/>
      <c r="BRD62"/>
      <c r="BRE62"/>
      <c r="BRF62"/>
      <c r="BRG62"/>
      <c r="BRH62"/>
      <c r="BRI62"/>
      <c r="BRJ62"/>
      <c r="BRK62"/>
      <c r="BRL62"/>
      <c r="BRM62"/>
      <c r="BRN62"/>
      <c r="BRO62"/>
      <c r="BRP62"/>
      <c r="BRQ62"/>
      <c r="BRR62"/>
      <c r="BRS62"/>
      <c r="BRT62"/>
      <c r="BRU62"/>
      <c r="BRV62"/>
      <c r="BRW62"/>
      <c r="BRX62"/>
      <c r="BRY62"/>
      <c r="BRZ62"/>
      <c r="BSA62"/>
      <c r="BSB62"/>
      <c r="BSC62"/>
      <c r="BSD62"/>
      <c r="BSE62"/>
      <c r="BSF62"/>
      <c r="BSG62"/>
      <c r="BSH62"/>
      <c r="BSI62"/>
      <c r="BSJ62"/>
      <c r="BSK62"/>
      <c r="BSL62"/>
      <c r="BSM62"/>
      <c r="BSN62"/>
      <c r="BSO62"/>
      <c r="BSP62"/>
      <c r="BSQ62"/>
      <c r="BSR62"/>
      <c r="BSS62"/>
      <c r="BST62"/>
      <c r="BSU62"/>
      <c r="BSV62"/>
      <c r="BSW62"/>
      <c r="BSX62"/>
      <c r="BSY62"/>
      <c r="BSZ62"/>
      <c r="BTA62"/>
      <c r="BTB62"/>
      <c r="BTC62"/>
      <c r="BTD62"/>
      <c r="BTE62"/>
      <c r="BTF62"/>
      <c r="BTG62"/>
      <c r="BTH62"/>
      <c r="BTI62"/>
      <c r="BTJ62"/>
      <c r="BTK62"/>
      <c r="BTL62"/>
      <c r="BTM62"/>
      <c r="BTN62"/>
      <c r="BTO62"/>
      <c r="BTP62"/>
      <c r="BTQ62"/>
      <c r="BTR62"/>
      <c r="BTS62"/>
      <c r="BTT62"/>
      <c r="BTU62"/>
      <c r="BTV62"/>
      <c r="BTW62"/>
      <c r="BTX62"/>
      <c r="BTY62"/>
      <c r="BTZ62"/>
      <c r="BUA62"/>
      <c r="BUB62"/>
      <c r="BUC62"/>
      <c r="BUD62"/>
      <c r="BUE62"/>
      <c r="BUF62"/>
      <c r="BUG62"/>
      <c r="BUH62"/>
      <c r="BUI62"/>
      <c r="BUJ62"/>
      <c r="BUK62"/>
      <c r="BUL62"/>
      <c r="BUM62"/>
      <c r="BUN62"/>
      <c r="BUO62"/>
      <c r="BUP62"/>
      <c r="BUQ62"/>
      <c r="BUR62"/>
      <c r="BUS62"/>
      <c r="BUT62"/>
      <c r="BUU62"/>
      <c r="BUV62"/>
      <c r="BUW62"/>
      <c r="BUX62"/>
      <c r="BUY62"/>
      <c r="BUZ62"/>
      <c r="BVA62"/>
      <c r="BVB62"/>
      <c r="BVC62"/>
      <c r="BVD62"/>
      <c r="BVE62"/>
      <c r="BVF62"/>
      <c r="BVG62"/>
      <c r="BVH62"/>
      <c r="BVI62"/>
      <c r="BVJ62"/>
      <c r="BVK62"/>
      <c r="BVL62"/>
      <c r="BVM62"/>
      <c r="BVN62"/>
      <c r="BVO62"/>
      <c r="BVP62"/>
      <c r="BVQ62"/>
      <c r="BVR62"/>
      <c r="BVS62"/>
      <c r="BVT62"/>
      <c r="BVU62"/>
      <c r="BVV62"/>
      <c r="BVW62"/>
      <c r="BVX62"/>
      <c r="BVY62"/>
      <c r="BVZ62"/>
      <c r="BWA62"/>
      <c r="BWB62"/>
      <c r="BWC62"/>
      <c r="BWD62"/>
      <c r="BWE62"/>
      <c r="BWF62"/>
      <c r="BWG62"/>
      <c r="BWH62"/>
      <c r="BWI62"/>
      <c r="BWJ62"/>
      <c r="BWK62"/>
      <c r="BWL62"/>
      <c r="BWM62"/>
      <c r="BWN62"/>
      <c r="BWO62"/>
      <c r="BWP62"/>
      <c r="BWQ62"/>
      <c r="BWR62"/>
      <c r="BWS62"/>
      <c r="BWT62"/>
      <c r="BWU62"/>
      <c r="BWV62"/>
      <c r="BWW62"/>
      <c r="BWX62"/>
      <c r="BWY62"/>
      <c r="BWZ62"/>
      <c r="BXA62"/>
      <c r="BXB62"/>
      <c r="BXC62"/>
      <c r="BXD62"/>
      <c r="BXE62"/>
      <c r="BXF62"/>
      <c r="BXG62"/>
      <c r="BXH62"/>
      <c r="BXI62"/>
      <c r="BXJ62"/>
      <c r="BXK62"/>
      <c r="BXL62"/>
      <c r="BXM62"/>
      <c r="BXN62"/>
      <c r="BXO62"/>
      <c r="BXP62"/>
      <c r="BXQ62"/>
      <c r="BXR62"/>
      <c r="BXS62"/>
      <c r="BXT62"/>
      <c r="BXU62"/>
      <c r="BXV62"/>
      <c r="BXW62"/>
      <c r="BXX62"/>
      <c r="BXY62"/>
      <c r="BXZ62"/>
      <c r="BYA62"/>
      <c r="BYB62"/>
      <c r="BYC62"/>
      <c r="BYD62"/>
      <c r="BYE62"/>
      <c r="BYF62"/>
      <c r="BYG62"/>
      <c r="BYH62"/>
      <c r="BYI62"/>
      <c r="BYJ62"/>
      <c r="BYK62"/>
      <c r="BYL62"/>
      <c r="BYM62"/>
      <c r="BYN62"/>
      <c r="BYO62"/>
      <c r="BYP62"/>
      <c r="BYQ62"/>
      <c r="BYR62"/>
      <c r="BYS62"/>
      <c r="BYT62"/>
      <c r="BYU62"/>
      <c r="BYV62"/>
      <c r="BYW62"/>
      <c r="BYX62"/>
      <c r="BYY62"/>
      <c r="BYZ62"/>
      <c r="BZA62"/>
      <c r="BZB62"/>
      <c r="BZC62"/>
      <c r="BZD62"/>
      <c r="BZE62"/>
      <c r="BZF62"/>
      <c r="BZG62"/>
      <c r="BZH62"/>
      <c r="BZI62"/>
      <c r="BZJ62"/>
      <c r="BZK62"/>
      <c r="BZL62"/>
      <c r="BZM62"/>
      <c r="BZN62"/>
      <c r="BZO62"/>
      <c r="BZP62"/>
      <c r="BZQ62"/>
      <c r="BZR62"/>
      <c r="BZS62"/>
      <c r="BZT62"/>
      <c r="BZU62"/>
      <c r="BZV62"/>
      <c r="BZW62"/>
      <c r="BZX62"/>
      <c r="BZY62"/>
      <c r="BZZ62"/>
      <c r="CAA62"/>
      <c r="CAB62"/>
      <c r="CAC62"/>
      <c r="CAD62"/>
      <c r="CAE62"/>
      <c r="CAF62"/>
      <c r="CAG62"/>
      <c r="CAH62"/>
      <c r="CAI62"/>
      <c r="CAJ62"/>
      <c r="CAK62"/>
      <c r="CAL62"/>
      <c r="CAM62"/>
      <c r="CAN62"/>
      <c r="CAO62"/>
      <c r="CAP62"/>
      <c r="CAQ62"/>
      <c r="CAR62"/>
      <c r="CAS62"/>
      <c r="CAT62"/>
      <c r="CAU62"/>
      <c r="CAV62"/>
      <c r="CAW62"/>
      <c r="CAX62"/>
      <c r="CAY62"/>
      <c r="CAZ62"/>
      <c r="CBA62"/>
      <c r="CBB62"/>
      <c r="CBC62"/>
      <c r="CBD62"/>
      <c r="CBE62"/>
      <c r="CBF62"/>
      <c r="CBG62"/>
      <c r="CBH62"/>
      <c r="CBI62"/>
      <c r="CBJ62"/>
      <c r="CBK62"/>
      <c r="CBL62"/>
      <c r="CBM62"/>
      <c r="CBN62"/>
      <c r="CBO62"/>
      <c r="CBP62"/>
      <c r="CBQ62"/>
      <c r="CBR62"/>
      <c r="CBS62"/>
      <c r="CBT62"/>
      <c r="CBU62"/>
      <c r="CBV62"/>
      <c r="CBW62"/>
      <c r="CBX62"/>
      <c r="CBY62"/>
      <c r="CBZ62"/>
      <c r="CCA62"/>
      <c r="CCB62"/>
      <c r="CCC62"/>
      <c r="CCD62"/>
      <c r="CCE62"/>
      <c r="CCF62"/>
      <c r="CCG62"/>
      <c r="CCH62"/>
      <c r="CCI62"/>
      <c r="CCJ62"/>
      <c r="CCK62"/>
      <c r="CCL62"/>
      <c r="CCM62"/>
      <c r="CCN62"/>
      <c r="CCO62"/>
      <c r="CCP62"/>
      <c r="CCQ62"/>
      <c r="CCR62"/>
      <c r="CCS62"/>
      <c r="CCT62"/>
      <c r="CCU62"/>
      <c r="CCV62"/>
      <c r="CCW62"/>
      <c r="CCX62"/>
      <c r="CCY62"/>
      <c r="CCZ62"/>
      <c r="CDA62"/>
      <c r="CDB62"/>
      <c r="CDC62"/>
      <c r="CDD62"/>
      <c r="CDE62"/>
      <c r="CDF62"/>
      <c r="CDG62"/>
      <c r="CDH62"/>
      <c r="CDI62"/>
      <c r="CDJ62"/>
      <c r="CDK62"/>
      <c r="CDL62"/>
      <c r="CDM62"/>
      <c r="CDN62"/>
      <c r="CDO62"/>
      <c r="CDP62"/>
      <c r="CDQ62"/>
      <c r="CDR62"/>
      <c r="CDS62"/>
      <c r="CDT62"/>
      <c r="CDU62"/>
      <c r="CDV62"/>
      <c r="CDW62"/>
      <c r="CDX62"/>
      <c r="CDY62"/>
      <c r="CDZ62"/>
      <c r="CEA62"/>
      <c r="CEB62"/>
      <c r="CEC62"/>
      <c r="CED62"/>
      <c r="CEE62"/>
      <c r="CEF62"/>
      <c r="CEG62"/>
      <c r="CEH62"/>
      <c r="CEI62"/>
      <c r="CEJ62"/>
      <c r="CEK62"/>
      <c r="CEL62"/>
      <c r="CEM62"/>
      <c r="CEN62"/>
      <c r="CEO62"/>
      <c r="CEP62"/>
      <c r="CEQ62"/>
      <c r="CER62"/>
      <c r="CES62"/>
      <c r="CET62"/>
      <c r="CEU62"/>
      <c r="CEV62"/>
      <c r="CEW62"/>
      <c r="CEX62"/>
      <c r="CEY62"/>
      <c r="CEZ62"/>
      <c r="CFA62"/>
      <c r="CFB62"/>
      <c r="CFC62"/>
      <c r="CFD62"/>
      <c r="CFE62"/>
      <c r="CFF62"/>
      <c r="CFG62"/>
      <c r="CFH62"/>
      <c r="CFI62"/>
      <c r="CFJ62"/>
      <c r="CFK62"/>
      <c r="CFL62"/>
      <c r="CFM62"/>
      <c r="CFN62"/>
      <c r="CFO62"/>
      <c r="CFP62"/>
      <c r="CFQ62"/>
      <c r="CFR62"/>
      <c r="CFS62"/>
      <c r="CFT62"/>
      <c r="CFU62"/>
      <c r="CFV62"/>
      <c r="CFW62"/>
      <c r="CFX62"/>
      <c r="CFY62"/>
      <c r="CFZ62"/>
      <c r="CGA62"/>
      <c r="CGB62"/>
      <c r="CGC62"/>
      <c r="CGD62"/>
      <c r="CGE62"/>
      <c r="CGF62"/>
      <c r="CGG62"/>
      <c r="CGH62"/>
      <c r="CGI62"/>
      <c r="CGJ62"/>
      <c r="CGK62"/>
      <c r="CGL62"/>
      <c r="CGM62"/>
      <c r="CGN62"/>
      <c r="CGO62"/>
      <c r="CGP62"/>
      <c r="CGQ62"/>
      <c r="CGR62"/>
      <c r="CGS62"/>
      <c r="CGT62"/>
      <c r="CGU62"/>
      <c r="CGV62"/>
      <c r="CGW62"/>
      <c r="CGX62"/>
      <c r="CGY62"/>
      <c r="CGZ62"/>
      <c r="CHA62"/>
      <c r="CHB62"/>
      <c r="CHC62"/>
      <c r="CHD62"/>
      <c r="CHE62"/>
      <c r="CHF62"/>
      <c r="CHG62"/>
      <c r="CHH62"/>
      <c r="CHI62"/>
      <c r="CHJ62"/>
      <c r="CHK62"/>
      <c r="CHL62"/>
      <c r="CHM62"/>
      <c r="CHN62"/>
      <c r="CHO62"/>
      <c r="CHP62"/>
      <c r="CHQ62"/>
      <c r="CHR62"/>
      <c r="CHS62"/>
      <c r="CHT62"/>
      <c r="CHU62"/>
      <c r="CHV62"/>
      <c r="CHW62"/>
      <c r="CHX62"/>
      <c r="CHY62"/>
      <c r="CHZ62"/>
      <c r="CIA62"/>
      <c r="CIB62"/>
      <c r="CIC62"/>
      <c r="CID62"/>
      <c r="CIE62"/>
      <c r="CIF62"/>
      <c r="CIG62"/>
      <c r="CIH62"/>
      <c r="CII62"/>
      <c r="CIJ62"/>
      <c r="CIK62"/>
      <c r="CIL62"/>
      <c r="CIM62"/>
      <c r="CIN62"/>
      <c r="CIO62"/>
      <c r="CIP62"/>
      <c r="CIQ62"/>
      <c r="CIR62"/>
      <c r="CIS62"/>
      <c r="CIT62"/>
      <c r="CIU62"/>
      <c r="CIV62"/>
      <c r="CIW62"/>
      <c r="CIX62"/>
      <c r="CIY62"/>
      <c r="CIZ62"/>
      <c r="CJA62"/>
      <c r="CJB62"/>
      <c r="CJC62"/>
      <c r="CJD62"/>
      <c r="CJE62"/>
      <c r="CJF62"/>
      <c r="CJG62"/>
      <c r="CJH62"/>
      <c r="CJI62"/>
      <c r="CJJ62"/>
      <c r="CJK62"/>
      <c r="CJL62"/>
      <c r="CJM62"/>
      <c r="CJN62"/>
      <c r="CJO62"/>
      <c r="CJP62"/>
      <c r="CJQ62"/>
      <c r="CJR62"/>
      <c r="CJS62"/>
      <c r="CJT62"/>
      <c r="CJU62"/>
      <c r="CJV62"/>
      <c r="CJW62"/>
      <c r="CJX62"/>
      <c r="CJY62"/>
      <c r="CJZ62"/>
      <c r="CKA62"/>
      <c r="CKB62"/>
      <c r="CKC62"/>
      <c r="CKD62"/>
      <c r="CKE62"/>
      <c r="CKF62"/>
      <c r="CKG62"/>
      <c r="CKH62"/>
      <c r="CKI62"/>
      <c r="CKJ62"/>
      <c r="CKK62"/>
      <c r="CKL62"/>
      <c r="CKM62"/>
      <c r="CKN62"/>
      <c r="CKO62"/>
      <c r="CKP62"/>
      <c r="CKQ62"/>
      <c r="CKR62"/>
      <c r="CKS62"/>
      <c r="CKT62"/>
      <c r="CKU62"/>
      <c r="CKV62"/>
      <c r="CKW62"/>
      <c r="CKX62"/>
      <c r="CKY62"/>
      <c r="CKZ62"/>
      <c r="CLA62"/>
      <c r="CLB62"/>
      <c r="CLC62"/>
      <c r="CLD62"/>
      <c r="CLE62"/>
      <c r="CLF62"/>
      <c r="CLG62"/>
      <c r="CLH62"/>
      <c r="CLI62"/>
      <c r="CLJ62"/>
      <c r="CLK62"/>
      <c r="CLL62"/>
      <c r="CLM62"/>
      <c r="CLN62"/>
      <c r="CLO62"/>
      <c r="CLP62"/>
      <c r="CLQ62"/>
      <c r="CLR62"/>
      <c r="CLS62"/>
      <c r="CLT62"/>
      <c r="CLU62"/>
      <c r="CLV62"/>
      <c r="CLW62"/>
      <c r="CLX62"/>
      <c r="CLY62"/>
      <c r="CLZ62"/>
      <c r="CMA62"/>
      <c r="CMB62"/>
      <c r="CMC62"/>
      <c r="CMD62"/>
      <c r="CME62"/>
      <c r="CMF62"/>
      <c r="CMG62"/>
      <c r="CMH62"/>
      <c r="CMI62"/>
      <c r="CMJ62"/>
      <c r="CMK62"/>
      <c r="CML62"/>
      <c r="CMM62"/>
      <c r="CMN62"/>
      <c r="CMO62"/>
      <c r="CMP62"/>
      <c r="CMQ62"/>
      <c r="CMR62"/>
      <c r="CMS62"/>
      <c r="CMT62"/>
      <c r="CMU62"/>
      <c r="CMV62"/>
      <c r="CMW62"/>
      <c r="CMX62"/>
      <c r="CMY62"/>
      <c r="CMZ62"/>
      <c r="CNA62"/>
      <c r="CNB62"/>
      <c r="CNC62"/>
      <c r="CND62"/>
      <c r="CNE62"/>
      <c r="CNF62"/>
      <c r="CNG62"/>
      <c r="CNH62"/>
      <c r="CNI62"/>
      <c r="CNJ62"/>
      <c r="CNK62"/>
      <c r="CNL62"/>
      <c r="CNM62"/>
      <c r="CNN62"/>
      <c r="CNO62"/>
      <c r="CNP62"/>
      <c r="CNQ62"/>
      <c r="CNR62"/>
      <c r="CNS62"/>
      <c r="CNT62"/>
      <c r="CNU62"/>
      <c r="CNV62"/>
      <c r="CNW62"/>
      <c r="CNX62"/>
      <c r="CNY62"/>
      <c r="CNZ62"/>
      <c r="COA62"/>
      <c r="COB62"/>
      <c r="COC62"/>
      <c r="COD62"/>
      <c r="COE62"/>
      <c r="COF62"/>
      <c r="COG62"/>
      <c r="COH62"/>
      <c r="COI62"/>
      <c r="COJ62"/>
      <c r="COK62"/>
      <c r="COL62"/>
      <c r="COM62"/>
      <c r="CON62"/>
      <c r="COO62"/>
      <c r="COP62"/>
      <c r="COQ62"/>
      <c r="COR62"/>
      <c r="COS62"/>
      <c r="COT62"/>
      <c r="COU62"/>
      <c r="COV62"/>
      <c r="COW62"/>
      <c r="COX62"/>
      <c r="COY62"/>
      <c r="COZ62"/>
      <c r="CPA62"/>
      <c r="CPB62"/>
      <c r="CPC62"/>
      <c r="CPD62"/>
      <c r="CPE62"/>
      <c r="CPF62"/>
      <c r="CPG62"/>
      <c r="CPH62"/>
      <c r="CPI62"/>
      <c r="CPJ62"/>
      <c r="CPK62"/>
      <c r="CPL62"/>
      <c r="CPM62"/>
      <c r="CPN62"/>
      <c r="CPO62"/>
      <c r="CPP62"/>
      <c r="CPQ62"/>
      <c r="CPR62"/>
      <c r="CPS62"/>
      <c r="CPT62"/>
      <c r="CPU62"/>
      <c r="CPV62"/>
      <c r="CPW62"/>
      <c r="CPX62"/>
      <c r="CPY62"/>
      <c r="CPZ62"/>
      <c r="CQA62"/>
      <c r="CQB62"/>
      <c r="CQC62"/>
      <c r="CQD62"/>
      <c r="CQE62"/>
      <c r="CQF62"/>
      <c r="CQG62"/>
      <c r="CQH62"/>
      <c r="CQI62"/>
      <c r="CQJ62"/>
      <c r="CQK62"/>
      <c r="CQL62"/>
      <c r="CQM62"/>
      <c r="CQN62"/>
      <c r="CQO62"/>
      <c r="CQP62"/>
      <c r="CQQ62"/>
      <c r="CQR62"/>
      <c r="CQS62"/>
      <c r="CQT62"/>
      <c r="CQU62"/>
      <c r="CQV62"/>
      <c r="CQW62"/>
      <c r="CQX62"/>
      <c r="CQY62"/>
      <c r="CQZ62"/>
      <c r="CRA62"/>
      <c r="CRB62"/>
      <c r="CRC62"/>
      <c r="CRD62"/>
      <c r="CRE62"/>
      <c r="CRF62"/>
      <c r="CRG62"/>
      <c r="CRH62"/>
      <c r="CRI62"/>
      <c r="CRJ62"/>
      <c r="CRK62"/>
      <c r="CRL62"/>
      <c r="CRM62"/>
      <c r="CRN62"/>
      <c r="CRO62"/>
      <c r="CRP62"/>
      <c r="CRQ62"/>
      <c r="CRR62"/>
      <c r="CRS62"/>
      <c r="CRT62"/>
      <c r="CRU62"/>
      <c r="CRV62"/>
      <c r="CRW62"/>
      <c r="CRX62"/>
      <c r="CRY62"/>
      <c r="CRZ62"/>
      <c r="CSA62"/>
      <c r="CSB62"/>
      <c r="CSC62"/>
      <c r="CSD62"/>
      <c r="CSE62"/>
      <c r="CSF62"/>
      <c r="CSG62"/>
      <c r="CSH62"/>
      <c r="CSI62"/>
      <c r="CSJ62"/>
      <c r="CSK62"/>
      <c r="CSL62"/>
      <c r="CSM62"/>
      <c r="CSN62"/>
      <c r="CSO62"/>
      <c r="CSP62"/>
      <c r="CSQ62"/>
      <c r="CSR62"/>
      <c r="CSS62"/>
      <c r="CST62"/>
      <c r="CSU62"/>
      <c r="CSV62"/>
      <c r="CSW62"/>
      <c r="CSX62"/>
      <c r="CSY62"/>
      <c r="CSZ62"/>
      <c r="CTA62"/>
      <c r="CTB62"/>
      <c r="CTC62"/>
      <c r="CTD62"/>
      <c r="CTE62"/>
      <c r="CTF62"/>
      <c r="CTG62"/>
      <c r="CTH62"/>
      <c r="CTI62"/>
      <c r="CTJ62"/>
      <c r="CTK62"/>
      <c r="CTL62"/>
      <c r="CTM62"/>
      <c r="CTN62"/>
      <c r="CTO62"/>
      <c r="CTP62"/>
      <c r="CTQ62"/>
      <c r="CTR62"/>
      <c r="CTS62"/>
      <c r="CTT62"/>
      <c r="CTU62"/>
      <c r="CTV62"/>
      <c r="CTW62"/>
      <c r="CTX62"/>
      <c r="CTY62"/>
      <c r="CTZ62"/>
      <c r="CUA62"/>
      <c r="CUB62"/>
      <c r="CUC62"/>
      <c r="CUD62"/>
      <c r="CUE62"/>
      <c r="CUF62"/>
      <c r="CUG62"/>
      <c r="CUH62"/>
      <c r="CUI62"/>
      <c r="CUJ62"/>
      <c r="CUK62"/>
      <c r="CUL62"/>
      <c r="CUM62"/>
      <c r="CUN62"/>
      <c r="CUO62"/>
      <c r="CUP62"/>
      <c r="CUQ62"/>
      <c r="CUR62"/>
      <c r="CUS62"/>
      <c r="CUT62"/>
      <c r="CUU62"/>
      <c r="CUV62"/>
      <c r="CUW62"/>
      <c r="CUX62"/>
      <c r="CUY62"/>
      <c r="CUZ62"/>
      <c r="CVA62"/>
      <c r="CVB62"/>
      <c r="CVC62"/>
      <c r="CVD62"/>
      <c r="CVE62"/>
      <c r="CVF62"/>
      <c r="CVG62"/>
      <c r="CVH62"/>
      <c r="CVI62"/>
      <c r="CVJ62"/>
      <c r="CVK62"/>
      <c r="CVL62"/>
      <c r="CVM62"/>
      <c r="CVN62"/>
      <c r="CVO62"/>
      <c r="CVP62"/>
      <c r="CVQ62"/>
      <c r="CVR62"/>
      <c r="CVS62"/>
      <c r="CVT62"/>
      <c r="CVU62"/>
      <c r="CVV62"/>
      <c r="CVW62"/>
      <c r="CVX62"/>
      <c r="CVY62"/>
      <c r="CVZ62"/>
      <c r="CWA62"/>
      <c r="CWB62"/>
      <c r="CWC62"/>
      <c r="CWD62"/>
      <c r="CWE62"/>
      <c r="CWF62"/>
      <c r="CWG62"/>
      <c r="CWH62"/>
      <c r="CWI62"/>
      <c r="CWJ62"/>
      <c r="CWK62"/>
      <c r="CWL62"/>
      <c r="CWM62"/>
      <c r="CWN62"/>
      <c r="CWO62"/>
      <c r="CWP62"/>
      <c r="CWQ62"/>
      <c r="CWR62"/>
      <c r="CWS62"/>
      <c r="CWT62"/>
      <c r="CWU62"/>
      <c r="CWV62"/>
      <c r="CWW62"/>
      <c r="CWX62"/>
      <c r="CWY62"/>
      <c r="CWZ62"/>
      <c r="CXA62"/>
      <c r="CXB62"/>
      <c r="CXC62"/>
      <c r="CXD62"/>
      <c r="CXE62"/>
      <c r="CXF62"/>
      <c r="CXG62"/>
      <c r="CXH62"/>
      <c r="CXI62"/>
      <c r="CXJ62"/>
      <c r="CXK62"/>
      <c r="CXL62"/>
      <c r="CXM62"/>
      <c r="CXN62"/>
      <c r="CXO62"/>
      <c r="CXP62"/>
      <c r="CXQ62"/>
      <c r="CXR62"/>
      <c r="CXS62"/>
      <c r="CXT62"/>
      <c r="CXU62"/>
      <c r="CXV62"/>
      <c r="CXW62"/>
      <c r="CXX62"/>
      <c r="CXY62"/>
      <c r="CXZ62"/>
      <c r="CYA62"/>
      <c r="CYB62"/>
      <c r="CYC62"/>
      <c r="CYD62"/>
      <c r="CYE62"/>
      <c r="CYF62"/>
      <c r="CYG62"/>
      <c r="CYH62"/>
      <c r="CYI62"/>
      <c r="CYJ62"/>
      <c r="CYK62"/>
      <c r="CYL62"/>
      <c r="CYM62"/>
      <c r="CYN62"/>
      <c r="CYO62"/>
      <c r="CYP62"/>
      <c r="CYQ62"/>
      <c r="CYR62"/>
      <c r="CYS62"/>
      <c r="CYT62"/>
      <c r="CYU62"/>
      <c r="CYV62"/>
      <c r="CYW62"/>
      <c r="CYX62"/>
      <c r="CYY62"/>
      <c r="CYZ62"/>
      <c r="CZA62"/>
      <c r="CZB62"/>
      <c r="CZC62"/>
      <c r="CZD62"/>
      <c r="CZE62"/>
      <c r="CZF62"/>
      <c r="CZG62"/>
      <c r="CZH62"/>
      <c r="CZI62"/>
      <c r="CZJ62"/>
      <c r="CZK62"/>
      <c r="CZL62"/>
      <c r="CZM62"/>
      <c r="CZN62"/>
      <c r="CZO62"/>
      <c r="CZP62"/>
      <c r="CZQ62"/>
      <c r="CZR62"/>
      <c r="CZS62"/>
      <c r="CZT62"/>
      <c r="CZU62"/>
      <c r="CZV62"/>
      <c r="CZW62"/>
      <c r="CZX62"/>
      <c r="CZY62"/>
      <c r="CZZ62"/>
      <c r="DAA62"/>
      <c r="DAB62"/>
      <c r="DAC62"/>
      <c r="DAD62"/>
      <c r="DAE62"/>
      <c r="DAF62"/>
      <c r="DAG62"/>
      <c r="DAH62"/>
      <c r="DAI62"/>
      <c r="DAJ62"/>
      <c r="DAK62"/>
      <c r="DAL62"/>
      <c r="DAM62"/>
      <c r="DAN62"/>
      <c r="DAO62"/>
      <c r="DAP62"/>
      <c r="DAQ62"/>
      <c r="DAR62"/>
      <c r="DAS62"/>
      <c r="DAT62"/>
      <c r="DAU62"/>
      <c r="DAV62"/>
      <c r="DAW62"/>
      <c r="DAX62"/>
      <c r="DAY62"/>
      <c r="DAZ62"/>
      <c r="DBA62"/>
      <c r="DBB62"/>
      <c r="DBC62"/>
      <c r="DBD62"/>
      <c r="DBE62"/>
      <c r="DBF62"/>
      <c r="DBG62"/>
      <c r="DBH62"/>
      <c r="DBI62"/>
      <c r="DBJ62"/>
      <c r="DBK62"/>
      <c r="DBL62"/>
      <c r="DBM62"/>
      <c r="DBN62"/>
      <c r="DBO62"/>
      <c r="DBP62"/>
      <c r="DBQ62"/>
      <c r="DBR62"/>
      <c r="DBS62"/>
      <c r="DBT62"/>
      <c r="DBU62"/>
      <c r="DBV62"/>
      <c r="DBW62"/>
      <c r="DBX62"/>
      <c r="DBY62"/>
      <c r="DBZ62"/>
      <c r="DCA62"/>
      <c r="DCB62"/>
      <c r="DCC62"/>
      <c r="DCD62"/>
      <c r="DCE62"/>
      <c r="DCF62"/>
      <c r="DCG62"/>
      <c r="DCH62"/>
      <c r="DCI62"/>
      <c r="DCJ62"/>
      <c r="DCK62"/>
      <c r="DCL62"/>
      <c r="DCM62"/>
      <c r="DCN62"/>
      <c r="DCO62"/>
      <c r="DCP62"/>
      <c r="DCQ62"/>
      <c r="DCR62"/>
      <c r="DCS62"/>
      <c r="DCT62"/>
      <c r="DCU62"/>
      <c r="DCV62"/>
      <c r="DCW62"/>
      <c r="DCX62"/>
      <c r="DCY62"/>
      <c r="DCZ62"/>
      <c r="DDA62"/>
      <c r="DDB62"/>
      <c r="DDC62"/>
      <c r="DDD62"/>
      <c r="DDE62"/>
      <c r="DDF62"/>
      <c r="DDG62"/>
      <c r="DDH62"/>
      <c r="DDI62"/>
      <c r="DDJ62"/>
      <c r="DDK62"/>
      <c r="DDL62"/>
      <c r="DDM62"/>
      <c r="DDN62"/>
      <c r="DDO62"/>
      <c r="DDP62"/>
      <c r="DDQ62"/>
      <c r="DDR62"/>
      <c r="DDS62"/>
      <c r="DDT62"/>
      <c r="DDU62"/>
      <c r="DDV62"/>
      <c r="DDW62"/>
      <c r="DDX62"/>
      <c r="DDY62"/>
      <c r="DDZ62"/>
      <c r="DEA62"/>
      <c r="DEB62"/>
      <c r="DEC62"/>
      <c r="DED62"/>
      <c r="DEE62"/>
      <c r="DEF62"/>
      <c r="DEG62"/>
      <c r="DEH62"/>
      <c r="DEI62"/>
      <c r="DEJ62"/>
      <c r="DEK62"/>
      <c r="DEL62"/>
      <c r="DEM62"/>
      <c r="DEN62"/>
      <c r="DEO62"/>
      <c r="DEP62"/>
      <c r="DEQ62"/>
      <c r="DER62"/>
      <c r="DES62"/>
      <c r="DET62"/>
      <c r="DEU62"/>
      <c r="DEV62"/>
      <c r="DEW62"/>
      <c r="DEX62"/>
      <c r="DEY62"/>
      <c r="DEZ62"/>
      <c r="DFA62"/>
      <c r="DFB62"/>
      <c r="DFC62"/>
      <c r="DFD62"/>
      <c r="DFE62"/>
      <c r="DFF62"/>
      <c r="DFG62"/>
      <c r="DFH62"/>
      <c r="DFI62"/>
      <c r="DFJ62"/>
      <c r="DFK62"/>
      <c r="DFL62"/>
      <c r="DFM62"/>
      <c r="DFN62"/>
      <c r="DFO62"/>
      <c r="DFP62"/>
      <c r="DFQ62"/>
      <c r="DFR62"/>
      <c r="DFS62"/>
      <c r="DFT62"/>
      <c r="DFU62"/>
      <c r="DFV62"/>
      <c r="DFW62"/>
      <c r="DFX62"/>
      <c r="DFY62"/>
      <c r="DFZ62"/>
      <c r="DGA62"/>
      <c r="DGB62"/>
      <c r="DGC62"/>
      <c r="DGD62"/>
      <c r="DGE62"/>
      <c r="DGF62"/>
      <c r="DGG62"/>
      <c r="DGH62"/>
      <c r="DGI62"/>
      <c r="DGJ62"/>
      <c r="DGK62"/>
      <c r="DGL62"/>
      <c r="DGM62"/>
      <c r="DGN62"/>
      <c r="DGO62"/>
      <c r="DGP62"/>
      <c r="DGQ62"/>
      <c r="DGR62"/>
      <c r="DGS62"/>
      <c r="DGT62"/>
      <c r="DGU62"/>
      <c r="DGV62"/>
      <c r="DGW62"/>
      <c r="DGX62"/>
      <c r="DGY62"/>
      <c r="DGZ62"/>
      <c r="DHA62"/>
      <c r="DHB62"/>
      <c r="DHC62"/>
      <c r="DHD62"/>
      <c r="DHE62"/>
      <c r="DHF62"/>
      <c r="DHG62"/>
      <c r="DHH62"/>
      <c r="DHI62"/>
      <c r="DHJ62"/>
      <c r="DHK62"/>
      <c r="DHL62"/>
      <c r="DHM62"/>
      <c r="DHN62"/>
      <c r="DHO62"/>
      <c r="DHP62"/>
      <c r="DHQ62"/>
      <c r="DHR62"/>
      <c r="DHS62"/>
      <c r="DHT62"/>
      <c r="DHU62"/>
      <c r="DHV62"/>
      <c r="DHW62"/>
      <c r="DHX62"/>
      <c r="DHY62"/>
      <c r="DHZ62"/>
      <c r="DIA62"/>
      <c r="DIB62"/>
      <c r="DIC62"/>
      <c r="DID62"/>
      <c r="DIE62"/>
      <c r="DIF62"/>
      <c r="DIG62"/>
      <c r="DIH62"/>
      <c r="DII62"/>
      <c r="DIJ62"/>
      <c r="DIK62"/>
      <c r="DIL62"/>
      <c r="DIM62"/>
      <c r="DIN62"/>
      <c r="DIO62"/>
      <c r="DIP62"/>
      <c r="DIQ62"/>
      <c r="DIR62"/>
      <c r="DIS62"/>
      <c r="DIT62"/>
      <c r="DIU62"/>
      <c r="DIV62"/>
      <c r="DIW62"/>
      <c r="DIX62"/>
      <c r="DIY62"/>
      <c r="DIZ62"/>
      <c r="DJA62"/>
      <c r="DJB62"/>
      <c r="DJC62"/>
      <c r="DJD62"/>
      <c r="DJE62"/>
      <c r="DJF62"/>
      <c r="DJG62"/>
      <c r="DJH62"/>
      <c r="DJI62"/>
      <c r="DJJ62"/>
      <c r="DJK62"/>
      <c r="DJL62"/>
      <c r="DJM62"/>
      <c r="DJN62"/>
      <c r="DJO62"/>
      <c r="DJP62"/>
      <c r="DJQ62"/>
      <c r="DJR62"/>
      <c r="DJS62"/>
      <c r="DJT62"/>
      <c r="DJU62"/>
      <c r="DJV62"/>
      <c r="DJW62"/>
      <c r="DJX62"/>
      <c r="DJY62"/>
      <c r="DJZ62"/>
      <c r="DKA62"/>
      <c r="DKB62"/>
      <c r="DKC62"/>
      <c r="DKD62"/>
      <c r="DKE62"/>
      <c r="DKF62"/>
      <c r="DKG62"/>
      <c r="DKH62"/>
      <c r="DKI62"/>
      <c r="DKJ62"/>
      <c r="DKK62"/>
      <c r="DKL62"/>
      <c r="DKM62"/>
      <c r="DKN62"/>
      <c r="DKO62"/>
      <c r="DKP62"/>
      <c r="DKQ62"/>
      <c r="DKR62"/>
      <c r="DKS62"/>
      <c r="DKT62"/>
      <c r="DKU62"/>
      <c r="DKV62"/>
      <c r="DKW62"/>
      <c r="DKX62"/>
      <c r="DKY62"/>
      <c r="DKZ62"/>
      <c r="DLA62"/>
      <c r="DLB62"/>
      <c r="DLC62"/>
      <c r="DLD62"/>
      <c r="DLE62"/>
      <c r="DLF62"/>
      <c r="DLG62"/>
      <c r="DLH62"/>
      <c r="DLI62"/>
      <c r="DLJ62"/>
      <c r="DLK62"/>
      <c r="DLL62"/>
      <c r="DLM62"/>
      <c r="DLN62"/>
      <c r="DLO62"/>
      <c r="DLP62"/>
      <c r="DLQ62"/>
      <c r="DLR62"/>
      <c r="DLS62"/>
      <c r="DLT62"/>
      <c r="DLU62"/>
      <c r="DLV62"/>
      <c r="DLW62"/>
      <c r="DLX62"/>
      <c r="DLY62"/>
      <c r="DLZ62"/>
      <c r="DMA62"/>
      <c r="DMB62"/>
      <c r="DMC62"/>
      <c r="DMD62"/>
      <c r="DME62"/>
      <c r="DMF62"/>
      <c r="DMG62"/>
      <c r="DMH62"/>
      <c r="DMI62"/>
      <c r="DMJ62"/>
      <c r="DMK62"/>
      <c r="DML62"/>
      <c r="DMM62"/>
      <c r="DMN62"/>
      <c r="DMO62"/>
      <c r="DMP62"/>
      <c r="DMQ62"/>
      <c r="DMR62"/>
      <c r="DMS62"/>
      <c r="DMT62"/>
      <c r="DMU62"/>
      <c r="DMV62"/>
      <c r="DMW62"/>
      <c r="DMX62"/>
      <c r="DMY62"/>
      <c r="DMZ62"/>
      <c r="DNA62"/>
      <c r="DNB62"/>
      <c r="DNC62"/>
      <c r="DND62"/>
      <c r="DNE62"/>
      <c r="DNF62"/>
      <c r="DNG62"/>
      <c r="DNH62"/>
      <c r="DNI62"/>
      <c r="DNJ62"/>
      <c r="DNK62"/>
      <c r="DNL62"/>
      <c r="DNM62"/>
      <c r="DNN62"/>
      <c r="DNO62"/>
      <c r="DNP62"/>
      <c r="DNQ62"/>
      <c r="DNR62"/>
      <c r="DNS62"/>
      <c r="DNT62"/>
      <c r="DNU62"/>
      <c r="DNV62"/>
      <c r="DNW62"/>
      <c r="DNX62"/>
      <c r="DNY62"/>
      <c r="DNZ62"/>
      <c r="DOA62"/>
      <c r="DOB62"/>
      <c r="DOC62"/>
      <c r="DOD62"/>
      <c r="DOE62"/>
      <c r="DOF62"/>
      <c r="DOG62"/>
      <c r="DOH62"/>
      <c r="DOI62"/>
      <c r="DOJ62"/>
      <c r="DOK62"/>
      <c r="DOL62"/>
      <c r="DOM62"/>
      <c r="DON62"/>
      <c r="DOO62"/>
      <c r="DOP62"/>
      <c r="DOQ62"/>
      <c r="DOR62"/>
      <c r="DOS62"/>
      <c r="DOT62"/>
      <c r="DOU62"/>
      <c r="DOV62"/>
      <c r="DOW62"/>
      <c r="DOX62"/>
      <c r="DOY62"/>
      <c r="DOZ62"/>
      <c r="DPA62"/>
      <c r="DPB62"/>
      <c r="DPC62"/>
      <c r="DPD62"/>
      <c r="DPE62"/>
      <c r="DPF62"/>
      <c r="DPG62"/>
      <c r="DPH62"/>
      <c r="DPI62"/>
      <c r="DPJ62"/>
      <c r="DPK62"/>
      <c r="DPL62"/>
      <c r="DPM62"/>
      <c r="DPN62"/>
      <c r="DPO62"/>
      <c r="DPP62"/>
      <c r="DPQ62"/>
      <c r="DPR62"/>
      <c r="DPS62"/>
      <c r="DPT62"/>
      <c r="DPU62"/>
      <c r="DPV62"/>
      <c r="DPW62"/>
      <c r="DPX62"/>
      <c r="DPY62"/>
      <c r="DPZ62"/>
      <c r="DQA62"/>
      <c r="DQB62"/>
      <c r="DQC62"/>
      <c r="DQD62"/>
      <c r="DQE62"/>
      <c r="DQF62"/>
      <c r="DQG62"/>
      <c r="DQH62"/>
      <c r="DQI62"/>
      <c r="DQJ62"/>
      <c r="DQK62"/>
      <c r="DQL62"/>
      <c r="DQM62"/>
      <c r="DQN62"/>
      <c r="DQO62"/>
      <c r="DQP62"/>
      <c r="DQQ62"/>
      <c r="DQR62"/>
      <c r="DQS62"/>
      <c r="DQT62"/>
      <c r="DQU62"/>
      <c r="DQV62"/>
      <c r="DQW62"/>
      <c r="DQX62"/>
      <c r="DQY62"/>
      <c r="DQZ62"/>
      <c r="DRA62"/>
      <c r="DRB62"/>
      <c r="DRC62"/>
      <c r="DRD62"/>
      <c r="DRE62"/>
      <c r="DRF62"/>
      <c r="DRG62"/>
      <c r="DRH62"/>
      <c r="DRI62"/>
      <c r="DRJ62"/>
      <c r="DRK62"/>
      <c r="DRL62"/>
      <c r="DRM62"/>
      <c r="DRN62"/>
      <c r="DRO62"/>
      <c r="DRP62"/>
      <c r="DRQ62"/>
      <c r="DRR62"/>
      <c r="DRS62"/>
      <c r="DRT62"/>
      <c r="DRU62"/>
      <c r="DRV62"/>
      <c r="DRW62"/>
      <c r="DRX62"/>
      <c r="DRY62"/>
      <c r="DRZ62"/>
      <c r="DSA62"/>
      <c r="DSB62"/>
      <c r="DSC62"/>
      <c r="DSD62"/>
      <c r="DSE62"/>
      <c r="DSF62"/>
      <c r="DSG62"/>
      <c r="DSH62"/>
      <c r="DSI62"/>
      <c r="DSJ62"/>
      <c r="DSK62"/>
      <c r="DSL62"/>
      <c r="DSM62"/>
      <c r="DSN62"/>
      <c r="DSO62"/>
      <c r="DSP62"/>
      <c r="DSQ62"/>
      <c r="DSR62"/>
      <c r="DSS62"/>
      <c r="DST62"/>
      <c r="DSU62"/>
      <c r="DSV62"/>
      <c r="DSW62"/>
      <c r="DSX62"/>
      <c r="DSY62"/>
      <c r="DSZ62"/>
      <c r="DTA62"/>
      <c r="DTB62"/>
      <c r="DTC62"/>
      <c r="DTD62"/>
      <c r="DTE62"/>
      <c r="DTF62"/>
      <c r="DTG62"/>
      <c r="DTH62"/>
      <c r="DTI62"/>
      <c r="DTJ62"/>
      <c r="DTK62"/>
      <c r="DTL62"/>
      <c r="DTM62"/>
      <c r="DTN62"/>
      <c r="DTO62"/>
      <c r="DTP62"/>
      <c r="DTQ62"/>
      <c r="DTR62"/>
      <c r="DTS62"/>
      <c r="DTT62"/>
      <c r="DTU62"/>
      <c r="DTV62"/>
      <c r="DTW62"/>
      <c r="DTX62"/>
      <c r="DTY62"/>
      <c r="DTZ62"/>
      <c r="DUA62"/>
      <c r="DUB62"/>
      <c r="DUC62"/>
      <c r="DUD62"/>
      <c r="DUE62"/>
      <c r="DUF62"/>
      <c r="DUG62"/>
      <c r="DUH62"/>
      <c r="DUI62"/>
      <c r="DUJ62"/>
      <c r="DUK62"/>
      <c r="DUL62"/>
      <c r="DUM62"/>
      <c r="DUN62"/>
      <c r="DUO62"/>
      <c r="DUP62"/>
      <c r="DUQ62"/>
      <c r="DUR62"/>
      <c r="DUS62"/>
      <c r="DUT62"/>
      <c r="DUU62"/>
      <c r="DUV62"/>
      <c r="DUW62"/>
      <c r="DUX62"/>
      <c r="DUY62"/>
      <c r="DUZ62"/>
      <c r="DVA62"/>
      <c r="DVB62"/>
      <c r="DVC62"/>
      <c r="DVD62"/>
      <c r="DVE62"/>
      <c r="DVF62"/>
      <c r="DVG62"/>
      <c r="DVH62"/>
      <c r="DVI62"/>
      <c r="DVJ62"/>
      <c r="DVK62"/>
      <c r="DVL62"/>
      <c r="DVM62"/>
      <c r="DVN62"/>
      <c r="DVO62"/>
      <c r="DVP62"/>
      <c r="DVQ62"/>
      <c r="DVR62"/>
      <c r="DVS62"/>
      <c r="DVT62"/>
      <c r="DVU62"/>
      <c r="DVV62"/>
      <c r="DVW62"/>
      <c r="DVX62"/>
      <c r="DVY62"/>
      <c r="DVZ62"/>
      <c r="DWA62"/>
      <c r="DWB62"/>
      <c r="DWC62"/>
      <c r="DWD62"/>
      <c r="DWE62"/>
      <c r="DWF62"/>
      <c r="DWG62"/>
      <c r="DWH62"/>
      <c r="DWI62"/>
      <c r="DWJ62"/>
      <c r="DWK62"/>
      <c r="DWL62"/>
      <c r="DWM62"/>
      <c r="DWN62"/>
      <c r="DWO62"/>
      <c r="DWP62"/>
      <c r="DWQ62"/>
      <c r="DWR62"/>
      <c r="DWS62"/>
      <c r="DWT62"/>
      <c r="DWU62"/>
      <c r="DWV62"/>
      <c r="DWW62"/>
      <c r="DWX62"/>
      <c r="DWY62"/>
      <c r="DWZ62"/>
      <c r="DXA62"/>
      <c r="DXB62"/>
      <c r="DXC62"/>
      <c r="DXD62"/>
      <c r="DXE62"/>
      <c r="DXF62"/>
      <c r="DXG62"/>
      <c r="DXH62"/>
      <c r="DXI62"/>
      <c r="DXJ62"/>
      <c r="DXK62"/>
      <c r="DXL62"/>
      <c r="DXM62"/>
      <c r="DXN62"/>
      <c r="DXO62"/>
      <c r="DXP62"/>
      <c r="DXQ62"/>
      <c r="DXR62"/>
      <c r="DXS62"/>
      <c r="DXT62"/>
      <c r="DXU62"/>
      <c r="DXV62"/>
      <c r="DXW62"/>
      <c r="DXX62"/>
      <c r="DXY62"/>
      <c r="DXZ62"/>
      <c r="DYA62"/>
      <c r="DYB62"/>
      <c r="DYC62"/>
      <c r="DYD62"/>
      <c r="DYE62"/>
      <c r="DYF62"/>
      <c r="DYG62"/>
      <c r="DYH62"/>
      <c r="DYI62"/>
      <c r="DYJ62"/>
      <c r="DYK62"/>
      <c r="DYL62"/>
      <c r="DYM62"/>
      <c r="DYN62"/>
      <c r="DYO62"/>
      <c r="DYP62"/>
      <c r="DYQ62"/>
      <c r="DYR62"/>
      <c r="DYS62"/>
      <c r="DYT62"/>
      <c r="DYU62"/>
      <c r="DYV62"/>
      <c r="DYW62"/>
      <c r="DYX62"/>
      <c r="DYY62"/>
      <c r="DYZ62"/>
      <c r="DZA62"/>
      <c r="DZB62"/>
      <c r="DZC62"/>
      <c r="DZD62"/>
      <c r="DZE62"/>
      <c r="DZF62"/>
      <c r="DZG62"/>
      <c r="DZH62"/>
      <c r="DZI62"/>
      <c r="DZJ62"/>
      <c r="DZK62"/>
      <c r="DZL62"/>
      <c r="DZM62"/>
      <c r="DZN62"/>
      <c r="DZO62"/>
      <c r="DZP62"/>
      <c r="DZQ62"/>
      <c r="DZR62"/>
      <c r="DZS62"/>
      <c r="DZT62"/>
      <c r="DZU62"/>
      <c r="DZV62"/>
      <c r="DZW62"/>
      <c r="DZX62"/>
      <c r="DZY62"/>
      <c r="DZZ62"/>
      <c r="EAA62"/>
      <c r="EAB62"/>
      <c r="EAC62"/>
      <c r="EAD62"/>
      <c r="EAE62"/>
      <c r="EAF62"/>
      <c r="EAG62"/>
      <c r="EAH62"/>
      <c r="EAI62"/>
      <c r="EAJ62"/>
      <c r="EAK62"/>
      <c r="EAL62"/>
      <c r="EAM62"/>
      <c r="EAN62"/>
      <c r="EAO62"/>
      <c r="EAP62"/>
      <c r="EAQ62"/>
      <c r="EAR62"/>
      <c r="EAS62"/>
      <c r="EAT62"/>
      <c r="EAU62"/>
      <c r="EAV62"/>
      <c r="EAW62"/>
      <c r="EAX62"/>
      <c r="EAY62"/>
      <c r="EAZ62"/>
      <c r="EBA62"/>
      <c r="EBB62"/>
      <c r="EBC62"/>
      <c r="EBD62"/>
      <c r="EBE62"/>
      <c r="EBF62"/>
      <c r="EBG62"/>
      <c r="EBH62"/>
      <c r="EBI62"/>
      <c r="EBJ62"/>
      <c r="EBK62"/>
      <c r="EBL62"/>
      <c r="EBM62"/>
      <c r="EBN62"/>
      <c r="EBO62"/>
      <c r="EBP62"/>
      <c r="EBQ62"/>
      <c r="EBR62"/>
      <c r="EBS62"/>
      <c r="EBT62"/>
      <c r="EBU62"/>
      <c r="EBV62"/>
      <c r="EBW62"/>
      <c r="EBX62"/>
      <c r="EBY62"/>
      <c r="EBZ62"/>
      <c r="ECA62"/>
      <c r="ECB62"/>
      <c r="ECC62"/>
      <c r="ECD62"/>
      <c r="ECE62"/>
      <c r="ECF62"/>
      <c r="ECG62"/>
      <c r="ECH62"/>
      <c r="ECI62"/>
      <c r="ECJ62"/>
      <c r="ECK62"/>
      <c r="ECL62"/>
      <c r="ECM62"/>
      <c r="ECN62"/>
      <c r="ECO62"/>
      <c r="ECP62"/>
      <c r="ECQ62"/>
      <c r="ECR62"/>
      <c r="ECS62"/>
      <c r="ECT62"/>
      <c r="ECU62"/>
      <c r="ECV62"/>
      <c r="ECW62"/>
      <c r="ECX62"/>
      <c r="ECY62"/>
      <c r="ECZ62"/>
      <c r="EDA62"/>
      <c r="EDB62"/>
      <c r="EDC62"/>
      <c r="EDD62"/>
      <c r="EDE62"/>
      <c r="EDF62"/>
      <c r="EDG62"/>
      <c r="EDH62"/>
      <c r="EDI62"/>
      <c r="EDJ62"/>
      <c r="EDK62"/>
      <c r="EDL62"/>
      <c r="EDM62"/>
      <c r="EDN62"/>
      <c r="EDO62"/>
      <c r="EDP62"/>
      <c r="EDQ62"/>
      <c r="EDR62"/>
      <c r="EDS62"/>
      <c r="EDT62"/>
      <c r="EDU62"/>
      <c r="EDV62"/>
      <c r="EDW62"/>
      <c r="EDX62"/>
      <c r="EDY62"/>
      <c r="EDZ62"/>
      <c r="EEA62"/>
      <c r="EEB62"/>
      <c r="EEC62"/>
      <c r="EED62"/>
      <c r="EEE62"/>
      <c r="EEF62"/>
      <c r="EEG62"/>
      <c r="EEH62"/>
      <c r="EEI62"/>
      <c r="EEJ62"/>
      <c r="EEK62"/>
      <c r="EEL62"/>
      <c r="EEM62"/>
      <c r="EEN62"/>
      <c r="EEO62"/>
      <c r="EEP62"/>
      <c r="EEQ62"/>
      <c r="EER62"/>
      <c r="EES62"/>
      <c r="EET62"/>
      <c r="EEU62"/>
      <c r="EEV62"/>
      <c r="EEW62"/>
      <c r="EEX62"/>
      <c r="EEY62"/>
      <c r="EEZ62"/>
      <c r="EFA62"/>
      <c r="EFB62"/>
      <c r="EFC62"/>
      <c r="EFD62"/>
      <c r="EFE62"/>
      <c r="EFF62"/>
      <c r="EFG62"/>
      <c r="EFH62"/>
      <c r="EFI62"/>
      <c r="EFJ62"/>
      <c r="EFK62"/>
      <c r="EFL62"/>
      <c r="EFM62"/>
      <c r="EFN62"/>
      <c r="EFO62"/>
      <c r="EFP62"/>
      <c r="EFQ62"/>
      <c r="EFR62"/>
      <c r="EFS62"/>
      <c r="EFT62"/>
      <c r="EFU62"/>
      <c r="EFV62"/>
      <c r="EFW62"/>
      <c r="EFX62"/>
      <c r="EFY62"/>
      <c r="EFZ62"/>
      <c r="EGA62"/>
      <c r="EGB62"/>
      <c r="EGC62"/>
      <c r="EGD62"/>
      <c r="EGE62"/>
      <c r="EGF62"/>
      <c r="EGG62"/>
      <c r="EGH62"/>
      <c r="EGI62"/>
      <c r="EGJ62"/>
      <c r="EGK62"/>
      <c r="EGL62"/>
      <c r="EGM62"/>
      <c r="EGN62"/>
      <c r="EGO62"/>
      <c r="EGP62"/>
      <c r="EGQ62"/>
      <c r="EGR62"/>
      <c r="EGS62"/>
      <c r="EGT62"/>
      <c r="EGU62"/>
      <c r="EGV62"/>
      <c r="EGW62"/>
      <c r="EGX62"/>
      <c r="EGY62"/>
      <c r="EGZ62"/>
      <c r="EHA62"/>
      <c r="EHB62"/>
      <c r="EHC62"/>
      <c r="EHD62"/>
      <c r="EHE62"/>
      <c r="EHF62"/>
      <c r="EHG62"/>
      <c r="EHH62"/>
      <c r="EHI62"/>
      <c r="EHJ62"/>
      <c r="EHK62"/>
      <c r="EHL62"/>
      <c r="EHM62"/>
      <c r="EHN62"/>
      <c r="EHO62"/>
      <c r="EHP62"/>
      <c r="EHQ62"/>
      <c r="EHR62"/>
      <c r="EHS62"/>
      <c r="EHT62"/>
      <c r="EHU62"/>
      <c r="EHV62"/>
      <c r="EHW62"/>
      <c r="EHX62"/>
      <c r="EHY62"/>
      <c r="EHZ62"/>
      <c r="EIA62"/>
      <c r="EIB62"/>
      <c r="EIC62"/>
      <c r="EID62"/>
      <c r="EIE62"/>
      <c r="EIF62"/>
      <c r="EIG62"/>
      <c r="EIH62"/>
      <c r="EII62"/>
      <c r="EIJ62"/>
      <c r="EIK62"/>
      <c r="EIL62"/>
      <c r="EIM62"/>
      <c r="EIN62"/>
      <c r="EIO62"/>
      <c r="EIP62"/>
      <c r="EIQ62"/>
      <c r="EIR62"/>
      <c r="EIS62"/>
      <c r="EIT62"/>
      <c r="EIU62"/>
      <c r="EIV62"/>
      <c r="EIW62"/>
      <c r="EIX62"/>
      <c r="EIY62"/>
      <c r="EIZ62"/>
      <c r="EJA62"/>
      <c r="EJB62"/>
      <c r="EJC62"/>
      <c r="EJD62"/>
      <c r="EJE62"/>
      <c r="EJF62"/>
      <c r="EJG62"/>
      <c r="EJH62"/>
      <c r="EJI62"/>
      <c r="EJJ62"/>
      <c r="EJK62"/>
      <c r="EJL62"/>
      <c r="EJM62"/>
      <c r="EJN62"/>
      <c r="EJO62"/>
      <c r="EJP62"/>
      <c r="EJQ62"/>
      <c r="EJR62"/>
      <c r="EJS62"/>
      <c r="EJT62"/>
      <c r="EJU62"/>
      <c r="EJV62"/>
      <c r="EJW62"/>
      <c r="EJX62"/>
      <c r="EJY62"/>
      <c r="EJZ62"/>
      <c r="EKA62"/>
      <c r="EKB62"/>
      <c r="EKC62"/>
      <c r="EKD62"/>
      <c r="EKE62"/>
      <c r="EKF62"/>
      <c r="EKG62"/>
      <c r="EKH62"/>
      <c r="EKI62"/>
      <c r="EKJ62"/>
      <c r="EKK62"/>
      <c r="EKL62"/>
      <c r="EKM62"/>
      <c r="EKN62"/>
      <c r="EKO62"/>
      <c r="EKP62"/>
      <c r="EKQ62"/>
      <c r="EKR62"/>
      <c r="EKS62"/>
      <c r="EKT62"/>
      <c r="EKU62"/>
      <c r="EKV62"/>
      <c r="EKW62"/>
      <c r="EKX62"/>
      <c r="EKY62"/>
      <c r="EKZ62"/>
      <c r="ELA62"/>
      <c r="ELB62"/>
      <c r="ELC62"/>
      <c r="ELD62"/>
      <c r="ELE62"/>
      <c r="ELF62"/>
      <c r="ELG62"/>
      <c r="ELH62"/>
      <c r="ELI62"/>
      <c r="ELJ62"/>
      <c r="ELK62"/>
      <c r="ELL62"/>
      <c r="ELM62"/>
      <c r="ELN62"/>
      <c r="ELO62"/>
      <c r="ELP62"/>
      <c r="ELQ62"/>
      <c r="ELR62"/>
      <c r="ELS62"/>
      <c r="ELT62"/>
      <c r="ELU62"/>
      <c r="ELV62"/>
      <c r="ELW62"/>
      <c r="ELX62"/>
      <c r="ELY62"/>
      <c r="ELZ62"/>
      <c r="EMA62"/>
      <c r="EMB62"/>
      <c r="EMC62"/>
      <c r="EMD62"/>
      <c r="EME62"/>
      <c r="EMF62"/>
      <c r="EMG62"/>
      <c r="EMH62"/>
      <c r="EMI62"/>
      <c r="EMJ62"/>
      <c r="EMK62"/>
      <c r="EML62"/>
      <c r="EMM62"/>
      <c r="EMN62"/>
      <c r="EMO62"/>
      <c r="EMP62"/>
      <c r="EMQ62"/>
      <c r="EMR62"/>
      <c r="EMS62"/>
      <c r="EMT62"/>
      <c r="EMU62"/>
      <c r="EMV62"/>
      <c r="EMW62"/>
      <c r="EMX62"/>
      <c r="EMY62"/>
      <c r="EMZ62"/>
      <c r="ENA62"/>
      <c r="ENB62"/>
      <c r="ENC62"/>
      <c r="END62"/>
      <c r="ENE62"/>
      <c r="ENF62"/>
      <c r="ENG62"/>
      <c r="ENH62"/>
      <c r="ENI62"/>
      <c r="ENJ62"/>
      <c r="ENK62"/>
      <c r="ENL62"/>
      <c r="ENM62"/>
      <c r="ENN62"/>
      <c r="ENO62"/>
      <c r="ENP62"/>
      <c r="ENQ62"/>
      <c r="ENR62"/>
      <c r="ENS62"/>
      <c r="ENT62"/>
      <c r="ENU62"/>
      <c r="ENV62"/>
      <c r="ENW62"/>
      <c r="ENX62"/>
      <c r="ENY62"/>
      <c r="ENZ62"/>
      <c r="EOA62"/>
      <c r="EOB62"/>
      <c r="EOC62"/>
      <c r="EOD62"/>
      <c r="EOE62"/>
      <c r="EOF62"/>
      <c r="EOG62"/>
      <c r="EOH62"/>
      <c r="EOI62"/>
      <c r="EOJ62"/>
      <c r="EOK62"/>
      <c r="EOL62"/>
      <c r="EOM62"/>
      <c r="EON62"/>
      <c r="EOO62"/>
      <c r="EOP62"/>
      <c r="EOQ62"/>
      <c r="EOR62"/>
      <c r="EOS62"/>
      <c r="EOT62"/>
      <c r="EOU62"/>
      <c r="EOV62"/>
      <c r="EOW62"/>
      <c r="EOX62"/>
      <c r="EOY62"/>
      <c r="EOZ62"/>
      <c r="EPA62"/>
      <c r="EPB62"/>
      <c r="EPC62"/>
      <c r="EPD62"/>
      <c r="EPE62"/>
      <c r="EPF62"/>
      <c r="EPG62"/>
      <c r="EPH62"/>
      <c r="EPI62"/>
      <c r="EPJ62"/>
      <c r="EPK62"/>
      <c r="EPL62"/>
      <c r="EPM62"/>
      <c r="EPN62"/>
      <c r="EPO62"/>
      <c r="EPP62"/>
      <c r="EPQ62"/>
      <c r="EPR62"/>
      <c r="EPS62"/>
      <c r="EPT62"/>
      <c r="EPU62"/>
      <c r="EPV62"/>
      <c r="EPW62"/>
      <c r="EPX62"/>
      <c r="EPY62"/>
      <c r="EPZ62"/>
      <c r="EQA62"/>
      <c r="EQB62"/>
      <c r="EQC62"/>
      <c r="EQD62"/>
      <c r="EQE62"/>
      <c r="EQF62"/>
      <c r="EQG62"/>
      <c r="EQH62"/>
      <c r="EQI62"/>
      <c r="EQJ62"/>
      <c r="EQK62"/>
      <c r="EQL62"/>
      <c r="EQM62"/>
      <c r="EQN62"/>
      <c r="EQO62"/>
      <c r="EQP62"/>
      <c r="EQQ62"/>
      <c r="EQR62"/>
      <c r="EQS62"/>
      <c r="EQT62"/>
      <c r="EQU62"/>
      <c r="EQV62"/>
      <c r="EQW62"/>
      <c r="EQX62"/>
      <c r="EQY62"/>
      <c r="EQZ62"/>
      <c r="ERA62"/>
      <c r="ERB62"/>
      <c r="ERC62"/>
      <c r="ERD62"/>
      <c r="ERE62"/>
      <c r="ERF62"/>
      <c r="ERG62"/>
      <c r="ERH62"/>
      <c r="ERI62"/>
      <c r="ERJ62"/>
      <c r="ERK62"/>
      <c r="ERL62"/>
      <c r="ERM62"/>
      <c r="ERN62"/>
      <c r="ERO62"/>
      <c r="ERP62"/>
      <c r="ERQ62"/>
      <c r="ERR62"/>
      <c r="ERS62"/>
      <c r="ERT62"/>
      <c r="ERU62"/>
      <c r="ERV62"/>
      <c r="ERW62"/>
      <c r="ERX62"/>
      <c r="ERY62"/>
      <c r="ERZ62"/>
      <c r="ESA62"/>
      <c r="ESB62"/>
      <c r="ESC62"/>
      <c r="ESD62"/>
      <c r="ESE62"/>
      <c r="ESF62"/>
      <c r="ESG62"/>
      <c r="ESH62"/>
      <c r="ESI62"/>
      <c r="ESJ62"/>
      <c r="ESK62"/>
      <c r="ESL62"/>
      <c r="ESM62"/>
      <c r="ESN62"/>
      <c r="ESO62"/>
      <c r="ESP62"/>
      <c r="ESQ62"/>
      <c r="ESR62"/>
      <c r="ESS62"/>
      <c r="EST62"/>
      <c r="ESU62"/>
      <c r="ESV62"/>
      <c r="ESW62"/>
      <c r="ESX62"/>
      <c r="ESY62"/>
      <c r="ESZ62"/>
      <c r="ETA62"/>
      <c r="ETB62"/>
      <c r="ETC62"/>
      <c r="ETD62"/>
      <c r="ETE62"/>
      <c r="ETF62"/>
      <c r="ETG62"/>
      <c r="ETH62"/>
      <c r="ETI62"/>
      <c r="ETJ62"/>
      <c r="ETK62"/>
      <c r="ETL62"/>
      <c r="ETM62"/>
      <c r="ETN62"/>
      <c r="ETO62"/>
      <c r="ETP62"/>
      <c r="ETQ62"/>
      <c r="ETR62"/>
      <c r="ETS62"/>
      <c r="ETT62"/>
      <c r="ETU62"/>
      <c r="ETV62"/>
      <c r="ETW62"/>
      <c r="ETX62"/>
      <c r="ETY62"/>
      <c r="ETZ62"/>
      <c r="EUA62"/>
      <c r="EUB62"/>
      <c r="EUC62"/>
      <c r="EUD62"/>
      <c r="EUE62"/>
      <c r="EUF62"/>
      <c r="EUG62"/>
      <c r="EUH62"/>
      <c r="EUI62"/>
      <c r="EUJ62"/>
      <c r="EUK62"/>
      <c r="EUL62"/>
      <c r="EUM62"/>
      <c r="EUN62"/>
      <c r="EUO62"/>
      <c r="EUP62"/>
      <c r="EUQ62"/>
      <c r="EUR62"/>
      <c r="EUS62"/>
      <c r="EUT62"/>
      <c r="EUU62"/>
      <c r="EUV62"/>
      <c r="EUW62"/>
      <c r="EUX62"/>
      <c r="EUY62"/>
      <c r="EUZ62"/>
      <c r="EVA62"/>
      <c r="EVB62"/>
      <c r="EVC62"/>
      <c r="EVD62"/>
      <c r="EVE62"/>
      <c r="EVF62"/>
      <c r="EVG62"/>
      <c r="EVH62"/>
      <c r="EVI62"/>
      <c r="EVJ62"/>
      <c r="EVK62"/>
      <c r="EVL62"/>
      <c r="EVM62"/>
      <c r="EVN62"/>
      <c r="EVO62"/>
      <c r="EVP62"/>
      <c r="EVQ62"/>
      <c r="EVR62"/>
      <c r="EVS62"/>
      <c r="EVT62"/>
      <c r="EVU62"/>
      <c r="EVV62"/>
      <c r="EVW62"/>
      <c r="EVX62"/>
      <c r="EVY62"/>
      <c r="EVZ62"/>
      <c r="EWA62"/>
      <c r="EWB62"/>
      <c r="EWC62"/>
      <c r="EWD62"/>
      <c r="EWE62"/>
      <c r="EWF62"/>
      <c r="EWG62"/>
      <c r="EWH62"/>
      <c r="EWI62"/>
      <c r="EWJ62"/>
      <c r="EWK62"/>
      <c r="EWL62"/>
      <c r="EWM62"/>
      <c r="EWN62"/>
      <c r="EWO62"/>
      <c r="EWP62"/>
      <c r="EWQ62"/>
      <c r="EWR62"/>
      <c r="EWS62"/>
      <c r="EWT62"/>
      <c r="EWU62"/>
      <c r="EWV62"/>
      <c r="EWW62"/>
      <c r="EWX62"/>
      <c r="EWY62"/>
      <c r="EWZ62"/>
      <c r="EXA62"/>
      <c r="EXB62"/>
      <c r="EXC62"/>
      <c r="EXD62"/>
      <c r="EXE62"/>
      <c r="EXF62"/>
      <c r="EXG62"/>
      <c r="EXH62"/>
      <c r="EXI62"/>
      <c r="EXJ62"/>
      <c r="EXK62"/>
      <c r="EXL62"/>
      <c r="EXM62"/>
      <c r="EXN62"/>
      <c r="EXO62"/>
      <c r="EXP62"/>
      <c r="EXQ62"/>
      <c r="EXR62"/>
      <c r="EXS62"/>
      <c r="EXT62"/>
      <c r="EXU62"/>
      <c r="EXV62"/>
      <c r="EXW62"/>
      <c r="EXX62"/>
      <c r="EXY62"/>
      <c r="EXZ62"/>
      <c r="EYA62"/>
      <c r="EYB62"/>
      <c r="EYC62"/>
      <c r="EYD62"/>
      <c r="EYE62"/>
      <c r="EYF62"/>
      <c r="EYG62"/>
      <c r="EYH62"/>
      <c r="EYI62"/>
      <c r="EYJ62"/>
      <c r="EYK62"/>
      <c r="EYL62"/>
      <c r="EYM62"/>
      <c r="EYN62"/>
      <c r="EYO62"/>
      <c r="EYP62"/>
      <c r="EYQ62"/>
      <c r="EYR62"/>
      <c r="EYS62"/>
      <c r="EYT62"/>
      <c r="EYU62"/>
      <c r="EYV62"/>
      <c r="EYW62"/>
      <c r="EYX62"/>
      <c r="EYY62"/>
      <c r="EYZ62"/>
      <c r="EZA62"/>
      <c r="EZB62"/>
      <c r="EZC62"/>
      <c r="EZD62"/>
      <c r="EZE62"/>
      <c r="EZF62"/>
      <c r="EZG62"/>
      <c r="EZH62"/>
      <c r="EZI62"/>
      <c r="EZJ62"/>
      <c r="EZK62"/>
      <c r="EZL62"/>
      <c r="EZM62"/>
      <c r="EZN62"/>
      <c r="EZO62"/>
      <c r="EZP62"/>
      <c r="EZQ62"/>
      <c r="EZR62"/>
      <c r="EZS62"/>
      <c r="EZT62"/>
      <c r="EZU62"/>
      <c r="EZV62"/>
      <c r="EZW62"/>
      <c r="EZX62"/>
      <c r="EZY62"/>
      <c r="EZZ62"/>
      <c r="FAA62"/>
      <c r="FAB62"/>
      <c r="FAC62"/>
      <c r="FAD62"/>
      <c r="FAE62"/>
      <c r="FAF62"/>
      <c r="FAG62"/>
      <c r="FAH62"/>
      <c r="FAI62"/>
      <c r="FAJ62"/>
      <c r="FAK62"/>
      <c r="FAL62"/>
      <c r="FAM62"/>
      <c r="FAN62"/>
      <c r="FAO62"/>
      <c r="FAP62"/>
      <c r="FAQ62"/>
      <c r="FAR62"/>
      <c r="FAS62"/>
      <c r="FAT62"/>
      <c r="FAU62"/>
      <c r="FAV62"/>
      <c r="FAW62"/>
      <c r="FAX62"/>
      <c r="FAY62"/>
      <c r="FAZ62"/>
      <c r="FBA62"/>
      <c r="FBB62"/>
      <c r="FBC62"/>
      <c r="FBD62"/>
      <c r="FBE62"/>
      <c r="FBF62"/>
      <c r="FBG62"/>
      <c r="FBH62"/>
      <c r="FBI62"/>
      <c r="FBJ62"/>
      <c r="FBK62"/>
      <c r="FBL62"/>
      <c r="FBM62"/>
      <c r="FBN62"/>
      <c r="FBO62"/>
      <c r="FBP62"/>
      <c r="FBQ62"/>
      <c r="FBR62"/>
      <c r="FBS62"/>
      <c r="FBT62"/>
      <c r="FBU62"/>
      <c r="FBV62"/>
      <c r="FBW62"/>
      <c r="FBX62"/>
      <c r="FBY62"/>
      <c r="FBZ62"/>
      <c r="FCA62"/>
      <c r="FCB62"/>
      <c r="FCC62"/>
      <c r="FCD62"/>
      <c r="FCE62"/>
      <c r="FCF62"/>
      <c r="FCG62"/>
      <c r="FCH62"/>
      <c r="FCI62"/>
      <c r="FCJ62"/>
      <c r="FCK62"/>
      <c r="FCL62"/>
      <c r="FCM62"/>
      <c r="FCN62"/>
      <c r="FCO62"/>
      <c r="FCP62"/>
      <c r="FCQ62"/>
      <c r="FCR62"/>
      <c r="FCS62"/>
      <c r="FCT62"/>
      <c r="FCU62"/>
      <c r="FCV62"/>
      <c r="FCW62"/>
      <c r="FCX62"/>
      <c r="FCY62"/>
      <c r="FCZ62"/>
      <c r="FDA62"/>
      <c r="FDB62"/>
      <c r="FDC62"/>
      <c r="FDD62"/>
      <c r="FDE62"/>
      <c r="FDF62"/>
      <c r="FDG62"/>
      <c r="FDH62"/>
      <c r="FDI62"/>
      <c r="FDJ62"/>
      <c r="FDK62"/>
      <c r="FDL62"/>
      <c r="FDM62"/>
      <c r="FDN62"/>
      <c r="FDO62"/>
      <c r="FDP62"/>
      <c r="FDQ62"/>
      <c r="FDR62"/>
      <c r="FDS62"/>
      <c r="FDT62"/>
      <c r="FDU62"/>
      <c r="FDV62"/>
      <c r="FDW62"/>
      <c r="FDX62"/>
      <c r="FDY62"/>
      <c r="FDZ62"/>
      <c r="FEA62"/>
      <c r="FEB62"/>
      <c r="FEC62"/>
      <c r="FED62"/>
      <c r="FEE62"/>
      <c r="FEF62"/>
      <c r="FEG62"/>
      <c r="FEH62"/>
      <c r="FEI62"/>
      <c r="FEJ62"/>
      <c r="FEK62"/>
      <c r="FEL62"/>
      <c r="FEM62"/>
      <c r="FEN62"/>
      <c r="FEO62"/>
      <c r="FEP62"/>
      <c r="FEQ62"/>
      <c r="FER62"/>
      <c r="FES62"/>
      <c r="FET62"/>
      <c r="FEU62"/>
      <c r="FEV62"/>
      <c r="FEW62"/>
      <c r="FEX62"/>
      <c r="FEY62"/>
      <c r="FEZ62"/>
      <c r="FFA62"/>
      <c r="FFB62"/>
      <c r="FFC62"/>
      <c r="FFD62"/>
      <c r="FFE62"/>
      <c r="FFF62"/>
      <c r="FFG62"/>
      <c r="FFH62"/>
      <c r="FFI62"/>
      <c r="FFJ62"/>
      <c r="FFK62"/>
      <c r="FFL62"/>
      <c r="FFM62"/>
      <c r="FFN62"/>
      <c r="FFO62"/>
      <c r="FFP62"/>
      <c r="FFQ62"/>
      <c r="FFR62"/>
      <c r="FFS62"/>
      <c r="FFT62"/>
      <c r="FFU62"/>
      <c r="FFV62"/>
      <c r="FFW62"/>
      <c r="FFX62"/>
      <c r="FFY62"/>
      <c r="FFZ62"/>
      <c r="FGA62"/>
      <c r="FGB62"/>
      <c r="FGC62"/>
      <c r="FGD62"/>
      <c r="FGE62"/>
      <c r="FGF62"/>
      <c r="FGG62"/>
      <c r="FGH62"/>
      <c r="FGI62"/>
      <c r="FGJ62"/>
      <c r="FGK62"/>
      <c r="FGL62"/>
      <c r="FGM62"/>
      <c r="FGN62"/>
      <c r="FGO62"/>
      <c r="FGP62"/>
      <c r="FGQ62"/>
      <c r="FGR62"/>
      <c r="FGS62"/>
      <c r="FGT62"/>
      <c r="FGU62"/>
      <c r="FGV62"/>
      <c r="FGW62"/>
      <c r="FGX62"/>
      <c r="FGY62"/>
      <c r="FGZ62"/>
      <c r="FHA62"/>
      <c r="FHB62"/>
      <c r="FHC62"/>
      <c r="FHD62"/>
      <c r="FHE62"/>
      <c r="FHF62"/>
      <c r="FHG62"/>
      <c r="FHH62"/>
      <c r="FHI62"/>
      <c r="FHJ62"/>
      <c r="FHK62"/>
      <c r="FHL62"/>
      <c r="FHM62"/>
      <c r="FHN62"/>
      <c r="FHO62"/>
      <c r="FHP62"/>
      <c r="FHQ62"/>
      <c r="FHR62"/>
      <c r="FHS62"/>
      <c r="FHT62"/>
      <c r="FHU62"/>
      <c r="FHV62"/>
      <c r="FHW62"/>
      <c r="FHX62"/>
      <c r="FHY62"/>
      <c r="FHZ62"/>
      <c r="FIA62"/>
      <c r="FIB62"/>
      <c r="FIC62"/>
      <c r="FID62"/>
      <c r="FIE62"/>
      <c r="FIF62"/>
      <c r="FIG62"/>
      <c r="FIH62"/>
      <c r="FII62"/>
      <c r="FIJ62"/>
      <c r="FIK62"/>
      <c r="FIL62"/>
      <c r="FIM62"/>
      <c r="FIN62"/>
      <c r="FIO62"/>
      <c r="FIP62"/>
      <c r="FIQ62"/>
      <c r="FIR62"/>
      <c r="FIS62"/>
      <c r="FIT62"/>
      <c r="FIU62"/>
      <c r="FIV62"/>
      <c r="FIW62"/>
      <c r="FIX62"/>
      <c r="FIY62"/>
      <c r="FIZ62"/>
      <c r="FJA62"/>
      <c r="FJB62"/>
      <c r="FJC62"/>
      <c r="FJD62"/>
      <c r="FJE62"/>
      <c r="FJF62"/>
      <c r="FJG62"/>
      <c r="FJH62"/>
      <c r="FJI62"/>
      <c r="FJJ62"/>
      <c r="FJK62"/>
      <c r="FJL62"/>
      <c r="FJM62"/>
      <c r="FJN62"/>
      <c r="FJO62"/>
      <c r="FJP62"/>
      <c r="FJQ62"/>
      <c r="FJR62"/>
      <c r="FJS62"/>
      <c r="FJT62"/>
      <c r="FJU62"/>
      <c r="FJV62"/>
      <c r="FJW62"/>
      <c r="FJX62"/>
      <c r="FJY62"/>
      <c r="FJZ62"/>
      <c r="FKA62"/>
      <c r="FKB62"/>
      <c r="FKC62"/>
      <c r="FKD62"/>
      <c r="FKE62"/>
      <c r="FKF62"/>
      <c r="FKG62"/>
      <c r="FKH62"/>
      <c r="FKI62"/>
      <c r="FKJ62"/>
      <c r="FKK62"/>
      <c r="FKL62"/>
      <c r="FKM62"/>
      <c r="FKN62"/>
      <c r="FKO62"/>
      <c r="FKP62"/>
      <c r="FKQ62"/>
      <c r="FKR62"/>
      <c r="FKS62"/>
      <c r="FKT62"/>
      <c r="FKU62"/>
      <c r="FKV62"/>
      <c r="FKW62"/>
      <c r="FKX62"/>
      <c r="FKY62"/>
      <c r="FKZ62"/>
      <c r="FLA62"/>
      <c r="FLB62"/>
      <c r="FLC62"/>
      <c r="FLD62"/>
      <c r="FLE62"/>
      <c r="FLF62"/>
      <c r="FLG62"/>
      <c r="FLH62"/>
      <c r="FLI62"/>
      <c r="FLJ62"/>
      <c r="FLK62"/>
      <c r="FLL62"/>
      <c r="FLM62"/>
      <c r="FLN62"/>
      <c r="FLO62"/>
      <c r="FLP62"/>
      <c r="FLQ62"/>
      <c r="FLR62"/>
      <c r="FLS62"/>
      <c r="FLT62"/>
      <c r="FLU62"/>
      <c r="FLV62"/>
      <c r="FLW62"/>
      <c r="FLX62"/>
      <c r="FLY62"/>
      <c r="FLZ62"/>
      <c r="FMA62"/>
      <c r="FMB62"/>
      <c r="FMC62"/>
      <c r="FMD62"/>
      <c r="FME62"/>
      <c r="FMF62"/>
      <c r="FMG62"/>
      <c r="FMH62"/>
      <c r="FMI62"/>
      <c r="FMJ62"/>
      <c r="FMK62"/>
      <c r="FML62"/>
      <c r="FMM62"/>
      <c r="FMN62"/>
      <c r="FMO62"/>
      <c r="FMP62"/>
      <c r="FMQ62"/>
      <c r="FMR62"/>
      <c r="FMS62"/>
      <c r="FMT62"/>
      <c r="FMU62"/>
      <c r="FMV62"/>
      <c r="FMW62"/>
      <c r="FMX62"/>
      <c r="FMY62"/>
      <c r="FMZ62"/>
      <c r="FNA62"/>
      <c r="FNB62"/>
      <c r="FNC62"/>
      <c r="FND62"/>
      <c r="FNE62"/>
      <c r="FNF62"/>
      <c r="FNG62"/>
      <c r="FNH62"/>
      <c r="FNI62"/>
      <c r="FNJ62"/>
      <c r="FNK62"/>
      <c r="FNL62"/>
      <c r="FNM62"/>
      <c r="FNN62"/>
      <c r="FNO62"/>
      <c r="FNP62"/>
      <c r="FNQ62"/>
      <c r="FNR62"/>
      <c r="FNS62"/>
      <c r="FNT62"/>
      <c r="FNU62"/>
      <c r="FNV62"/>
      <c r="FNW62"/>
      <c r="FNX62"/>
      <c r="FNY62"/>
      <c r="FNZ62"/>
      <c r="FOA62"/>
      <c r="FOB62"/>
      <c r="FOC62"/>
      <c r="FOD62"/>
      <c r="FOE62"/>
      <c r="FOF62"/>
      <c r="FOG62"/>
      <c r="FOH62"/>
      <c r="FOI62"/>
      <c r="FOJ62"/>
      <c r="FOK62"/>
      <c r="FOL62"/>
      <c r="FOM62"/>
      <c r="FON62"/>
      <c r="FOO62"/>
      <c r="FOP62"/>
      <c r="FOQ62"/>
      <c r="FOR62"/>
      <c r="FOS62"/>
      <c r="FOT62"/>
      <c r="FOU62"/>
      <c r="FOV62"/>
      <c r="FOW62"/>
      <c r="FOX62"/>
      <c r="FOY62"/>
      <c r="FOZ62"/>
      <c r="FPA62"/>
      <c r="FPB62"/>
      <c r="FPC62"/>
      <c r="FPD62"/>
      <c r="FPE62"/>
      <c r="FPF62"/>
      <c r="FPG62"/>
      <c r="FPH62"/>
      <c r="FPI62"/>
      <c r="FPJ62"/>
      <c r="FPK62"/>
      <c r="FPL62"/>
      <c r="FPM62"/>
      <c r="FPN62"/>
      <c r="FPO62"/>
      <c r="FPP62"/>
      <c r="FPQ62"/>
      <c r="FPR62"/>
      <c r="FPS62"/>
      <c r="FPT62"/>
      <c r="FPU62"/>
      <c r="FPV62"/>
      <c r="FPW62"/>
      <c r="FPX62"/>
      <c r="FPY62"/>
      <c r="FPZ62"/>
      <c r="FQA62"/>
      <c r="FQB62"/>
      <c r="FQC62"/>
      <c r="FQD62"/>
      <c r="FQE62"/>
      <c r="FQF62"/>
      <c r="FQG62"/>
      <c r="FQH62"/>
      <c r="FQI62"/>
      <c r="FQJ62"/>
      <c r="FQK62"/>
      <c r="FQL62"/>
      <c r="FQM62"/>
      <c r="FQN62"/>
      <c r="FQO62"/>
      <c r="FQP62"/>
      <c r="FQQ62"/>
      <c r="FQR62"/>
      <c r="FQS62"/>
      <c r="FQT62"/>
      <c r="FQU62"/>
      <c r="FQV62"/>
      <c r="FQW62"/>
      <c r="FQX62"/>
      <c r="FQY62"/>
      <c r="FQZ62"/>
      <c r="FRA62"/>
      <c r="FRB62"/>
      <c r="FRC62"/>
      <c r="FRD62"/>
      <c r="FRE62"/>
      <c r="FRF62"/>
      <c r="FRG62"/>
      <c r="FRH62"/>
      <c r="FRI62"/>
      <c r="FRJ62"/>
      <c r="FRK62"/>
      <c r="FRL62"/>
      <c r="FRM62"/>
      <c r="FRN62"/>
      <c r="FRO62"/>
      <c r="FRP62"/>
      <c r="FRQ62"/>
      <c r="FRR62"/>
      <c r="FRS62"/>
      <c r="FRT62"/>
      <c r="FRU62"/>
      <c r="FRV62"/>
      <c r="FRW62"/>
      <c r="FRX62"/>
      <c r="FRY62"/>
      <c r="FRZ62"/>
      <c r="FSA62"/>
      <c r="FSB62"/>
      <c r="FSC62"/>
      <c r="FSD62"/>
      <c r="FSE62"/>
      <c r="FSF62"/>
      <c r="FSG62"/>
      <c r="FSH62"/>
      <c r="FSI62"/>
      <c r="FSJ62"/>
      <c r="FSK62"/>
      <c r="FSL62"/>
      <c r="FSM62"/>
      <c r="FSN62"/>
      <c r="FSO62"/>
      <c r="FSP62"/>
      <c r="FSQ62"/>
      <c r="FSR62"/>
      <c r="FSS62"/>
      <c r="FST62"/>
      <c r="FSU62"/>
      <c r="FSV62"/>
      <c r="FSW62"/>
      <c r="FSX62"/>
      <c r="FSY62"/>
      <c r="FSZ62"/>
      <c r="FTA62"/>
      <c r="FTB62"/>
      <c r="FTC62"/>
      <c r="FTD62"/>
      <c r="FTE62"/>
      <c r="FTF62"/>
      <c r="FTG62"/>
      <c r="FTH62"/>
      <c r="FTI62"/>
      <c r="FTJ62"/>
      <c r="FTK62"/>
      <c r="FTL62"/>
      <c r="FTM62"/>
      <c r="FTN62"/>
      <c r="FTO62"/>
      <c r="FTP62"/>
      <c r="FTQ62"/>
      <c r="FTR62"/>
      <c r="FTS62"/>
      <c r="FTT62"/>
      <c r="FTU62"/>
      <c r="FTV62"/>
      <c r="FTW62"/>
      <c r="FTX62"/>
      <c r="FTY62"/>
      <c r="FTZ62"/>
      <c r="FUA62"/>
      <c r="FUB62"/>
      <c r="FUC62"/>
      <c r="FUD62"/>
      <c r="FUE62"/>
      <c r="FUF62"/>
      <c r="FUG62"/>
      <c r="FUH62"/>
      <c r="FUI62"/>
      <c r="FUJ62"/>
      <c r="FUK62"/>
      <c r="FUL62"/>
      <c r="FUM62"/>
      <c r="FUN62"/>
      <c r="FUO62"/>
      <c r="FUP62"/>
      <c r="FUQ62"/>
      <c r="FUR62"/>
      <c r="FUS62"/>
      <c r="FUT62"/>
      <c r="FUU62"/>
      <c r="FUV62"/>
      <c r="FUW62"/>
      <c r="FUX62"/>
      <c r="FUY62"/>
      <c r="FUZ62"/>
      <c r="FVA62"/>
      <c r="FVB62"/>
      <c r="FVC62"/>
      <c r="FVD62"/>
      <c r="FVE62"/>
      <c r="FVF62"/>
      <c r="FVG62"/>
      <c r="FVH62"/>
      <c r="FVI62"/>
      <c r="FVJ62"/>
      <c r="FVK62"/>
      <c r="FVL62"/>
      <c r="FVM62"/>
      <c r="FVN62"/>
      <c r="FVO62"/>
      <c r="FVP62"/>
      <c r="FVQ62"/>
      <c r="FVR62"/>
      <c r="FVS62"/>
      <c r="FVT62"/>
      <c r="FVU62"/>
      <c r="FVV62"/>
      <c r="FVW62"/>
      <c r="FVX62"/>
      <c r="FVY62"/>
      <c r="FVZ62"/>
      <c r="FWA62"/>
      <c r="FWB62"/>
      <c r="FWC62"/>
      <c r="FWD62"/>
      <c r="FWE62"/>
      <c r="FWF62"/>
      <c r="FWG62"/>
      <c r="FWH62"/>
      <c r="FWI62"/>
      <c r="FWJ62"/>
      <c r="FWK62"/>
      <c r="FWL62"/>
      <c r="FWM62"/>
      <c r="FWN62"/>
      <c r="FWO62"/>
      <c r="FWP62"/>
      <c r="FWQ62"/>
      <c r="FWR62"/>
      <c r="FWS62"/>
      <c r="FWT62"/>
      <c r="FWU62"/>
      <c r="FWV62"/>
      <c r="FWW62"/>
      <c r="FWX62"/>
      <c r="FWY62"/>
      <c r="FWZ62"/>
      <c r="FXA62"/>
      <c r="FXB62"/>
      <c r="FXC62"/>
      <c r="FXD62"/>
      <c r="FXE62"/>
      <c r="FXF62"/>
      <c r="FXG62"/>
      <c r="FXH62"/>
      <c r="FXI62"/>
      <c r="FXJ62"/>
      <c r="FXK62"/>
      <c r="FXL62"/>
      <c r="FXM62"/>
      <c r="FXN62"/>
      <c r="FXO62"/>
      <c r="FXP62"/>
      <c r="FXQ62"/>
      <c r="FXR62"/>
      <c r="FXS62"/>
      <c r="FXT62"/>
      <c r="FXU62"/>
      <c r="FXV62"/>
      <c r="FXW62"/>
      <c r="FXX62"/>
      <c r="FXY62"/>
      <c r="FXZ62"/>
      <c r="FYA62"/>
      <c r="FYB62"/>
      <c r="FYC62"/>
      <c r="FYD62"/>
      <c r="FYE62"/>
      <c r="FYF62"/>
      <c r="FYG62"/>
      <c r="FYH62"/>
      <c r="FYI62"/>
      <c r="FYJ62"/>
      <c r="FYK62"/>
      <c r="FYL62"/>
      <c r="FYM62"/>
      <c r="FYN62"/>
      <c r="FYO62"/>
      <c r="FYP62"/>
      <c r="FYQ62"/>
      <c r="FYR62"/>
      <c r="FYS62"/>
      <c r="FYT62"/>
      <c r="FYU62"/>
      <c r="FYV62"/>
      <c r="FYW62"/>
      <c r="FYX62"/>
      <c r="FYY62"/>
      <c r="FYZ62"/>
      <c r="FZA62"/>
      <c r="FZB62"/>
      <c r="FZC62"/>
      <c r="FZD62"/>
      <c r="FZE62"/>
      <c r="FZF62"/>
      <c r="FZG62"/>
      <c r="FZH62"/>
      <c r="FZI62"/>
      <c r="FZJ62"/>
      <c r="FZK62"/>
      <c r="FZL62"/>
      <c r="FZM62"/>
      <c r="FZN62"/>
      <c r="FZO62"/>
      <c r="FZP62"/>
      <c r="FZQ62"/>
      <c r="FZR62"/>
      <c r="FZS62"/>
      <c r="FZT62"/>
      <c r="FZU62"/>
      <c r="FZV62"/>
      <c r="FZW62"/>
      <c r="FZX62"/>
      <c r="FZY62"/>
      <c r="FZZ62"/>
      <c r="GAA62"/>
      <c r="GAB62"/>
      <c r="GAC62"/>
      <c r="GAD62"/>
      <c r="GAE62"/>
      <c r="GAF62"/>
      <c r="GAG62"/>
      <c r="GAH62"/>
      <c r="GAI62"/>
      <c r="GAJ62"/>
      <c r="GAK62"/>
      <c r="GAL62"/>
      <c r="GAM62"/>
      <c r="GAN62"/>
      <c r="GAO62"/>
      <c r="GAP62"/>
      <c r="GAQ62"/>
      <c r="GAR62"/>
      <c r="GAS62"/>
      <c r="GAT62"/>
      <c r="GAU62"/>
      <c r="GAV62"/>
      <c r="GAW62"/>
      <c r="GAX62"/>
      <c r="GAY62"/>
      <c r="GAZ62"/>
      <c r="GBA62"/>
      <c r="GBB62"/>
      <c r="GBC62"/>
      <c r="GBD62"/>
      <c r="GBE62"/>
      <c r="GBF62"/>
      <c r="GBG62"/>
      <c r="GBH62"/>
      <c r="GBI62"/>
      <c r="GBJ62"/>
      <c r="GBK62"/>
      <c r="GBL62"/>
      <c r="GBM62"/>
      <c r="GBN62"/>
      <c r="GBO62"/>
      <c r="GBP62"/>
      <c r="GBQ62"/>
      <c r="GBR62"/>
      <c r="GBS62"/>
      <c r="GBT62"/>
      <c r="GBU62"/>
      <c r="GBV62"/>
      <c r="GBW62"/>
      <c r="GBX62"/>
      <c r="GBY62"/>
      <c r="GBZ62"/>
      <c r="GCA62"/>
      <c r="GCB62"/>
      <c r="GCC62"/>
      <c r="GCD62"/>
      <c r="GCE62"/>
      <c r="GCF62"/>
      <c r="GCG62"/>
      <c r="GCH62"/>
      <c r="GCI62"/>
      <c r="GCJ62"/>
      <c r="GCK62"/>
      <c r="GCL62"/>
      <c r="GCM62"/>
      <c r="GCN62"/>
      <c r="GCO62"/>
      <c r="GCP62"/>
      <c r="GCQ62"/>
      <c r="GCR62"/>
      <c r="GCS62"/>
      <c r="GCT62"/>
      <c r="GCU62"/>
      <c r="GCV62"/>
      <c r="GCW62"/>
      <c r="GCX62"/>
      <c r="GCY62"/>
      <c r="GCZ62"/>
      <c r="GDA62"/>
      <c r="GDB62"/>
      <c r="GDC62"/>
      <c r="GDD62"/>
      <c r="GDE62"/>
      <c r="GDF62"/>
      <c r="GDG62"/>
      <c r="GDH62"/>
      <c r="GDI62"/>
      <c r="GDJ62"/>
      <c r="GDK62"/>
      <c r="GDL62"/>
      <c r="GDM62"/>
      <c r="GDN62"/>
      <c r="GDO62"/>
      <c r="GDP62"/>
      <c r="GDQ62"/>
      <c r="GDR62"/>
      <c r="GDS62"/>
      <c r="GDT62"/>
      <c r="GDU62"/>
      <c r="GDV62"/>
      <c r="GDW62"/>
      <c r="GDX62"/>
      <c r="GDY62"/>
      <c r="GDZ62"/>
      <c r="GEA62"/>
      <c r="GEB62"/>
      <c r="GEC62"/>
      <c r="GED62"/>
      <c r="GEE62"/>
      <c r="GEF62"/>
      <c r="GEG62"/>
      <c r="GEH62"/>
      <c r="GEI62"/>
      <c r="GEJ62"/>
      <c r="GEK62"/>
      <c r="GEL62"/>
      <c r="GEM62"/>
      <c r="GEN62"/>
      <c r="GEO62"/>
      <c r="GEP62"/>
      <c r="GEQ62"/>
      <c r="GER62"/>
      <c r="GES62"/>
      <c r="GET62"/>
      <c r="GEU62"/>
      <c r="GEV62"/>
      <c r="GEW62"/>
      <c r="GEX62"/>
      <c r="GEY62"/>
      <c r="GEZ62"/>
      <c r="GFA62"/>
      <c r="GFB62"/>
      <c r="GFC62"/>
      <c r="GFD62"/>
      <c r="GFE62"/>
      <c r="GFF62"/>
      <c r="GFG62"/>
      <c r="GFH62"/>
      <c r="GFI62"/>
      <c r="GFJ62"/>
      <c r="GFK62"/>
      <c r="GFL62"/>
      <c r="GFM62"/>
      <c r="GFN62"/>
      <c r="GFO62"/>
      <c r="GFP62"/>
      <c r="GFQ62"/>
      <c r="GFR62"/>
      <c r="GFS62"/>
      <c r="GFT62"/>
      <c r="GFU62"/>
      <c r="GFV62"/>
      <c r="GFW62"/>
      <c r="GFX62"/>
      <c r="GFY62"/>
      <c r="GFZ62"/>
      <c r="GGA62"/>
      <c r="GGB62"/>
      <c r="GGC62"/>
      <c r="GGD62"/>
      <c r="GGE62"/>
      <c r="GGF62"/>
      <c r="GGG62"/>
      <c r="GGH62"/>
      <c r="GGI62"/>
      <c r="GGJ62"/>
      <c r="GGK62"/>
      <c r="GGL62"/>
      <c r="GGM62"/>
      <c r="GGN62"/>
      <c r="GGO62"/>
      <c r="GGP62"/>
      <c r="GGQ62"/>
      <c r="GGR62"/>
      <c r="GGS62"/>
      <c r="GGT62"/>
      <c r="GGU62"/>
      <c r="GGV62"/>
      <c r="GGW62"/>
      <c r="GGX62"/>
      <c r="GGY62"/>
      <c r="GGZ62"/>
      <c r="GHA62"/>
      <c r="GHB62"/>
      <c r="GHC62"/>
      <c r="GHD62"/>
      <c r="GHE62"/>
      <c r="GHF62"/>
      <c r="GHG62"/>
      <c r="GHH62"/>
      <c r="GHI62"/>
      <c r="GHJ62"/>
      <c r="GHK62"/>
      <c r="GHL62"/>
      <c r="GHM62"/>
      <c r="GHN62"/>
      <c r="GHO62"/>
      <c r="GHP62"/>
      <c r="GHQ62"/>
      <c r="GHR62"/>
      <c r="GHS62"/>
      <c r="GHT62"/>
      <c r="GHU62"/>
      <c r="GHV62"/>
      <c r="GHW62"/>
      <c r="GHX62"/>
      <c r="GHY62"/>
      <c r="GHZ62"/>
      <c r="GIA62"/>
      <c r="GIB62"/>
      <c r="GIC62"/>
      <c r="GID62"/>
      <c r="GIE62"/>
      <c r="GIF62"/>
      <c r="GIG62"/>
      <c r="GIH62"/>
      <c r="GII62"/>
      <c r="GIJ62"/>
      <c r="GIK62"/>
      <c r="GIL62"/>
      <c r="GIM62"/>
      <c r="GIN62"/>
      <c r="GIO62"/>
      <c r="GIP62"/>
      <c r="GIQ62"/>
      <c r="GIR62"/>
      <c r="GIS62"/>
      <c r="GIT62"/>
      <c r="GIU62"/>
      <c r="GIV62"/>
      <c r="GIW62"/>
      <c r="GIX62"/>
      <c r="GIY62"/>
      <c r="GIZ62"/>
      <c r="GJA62"/>
      <c r="GJB62"/>
      <c r="GJC62"/>
      <c r="GJD62"/>
      <c r="GJE62"/>
      <c r="GJF62"/>
      <c r="GJG62"/>
      <c r="GJH62"/>
      <c r="GJI62"/>
      <c r="GJJ62"/>
      <c r="GJK62"/>
      <c r="GJL62"/>
      <c r="GJM62"/>
      <c r="GJN62"/>
      <c r="GJO62"/>
      <c r="GJP62"/>
      <c r="GJQ62"/>
      <c r="GJR62"/>
      <c r="GJS62"/>
      <c r="GJT62"/>
      <c r="GJU62"/>
      <c r="GJV62"/>
      <c r="GJW62"/>
      <c r="GJX62"/>
      <c r="GJY62"/>
      <c r="GJZ62"/>
      <c r="GKA62"/>
      <c r="GKB62"/>
      <c r="GKC62"/>
      <c r="GKD62"/>
      <c r="GKE62"/>
      <c r="GKF62"/>
      <c r="GKG62"/>
      <c r="GKH62"/>
      <c r="GKI62"/>
      <c r="GKJ62"/>
      <c r="GKK62"/>
      <c r="GKL62"/>
      <c r="GKM62"/>
      <c r="GKN62"/>
      <c r="GKO62"/>
      <c r="GKP62"/>
      <c r="GKQ62"/>
      <c r="GKR62"/>
      <c r="GKS62"/>
      <c r="GKT62"/>
      <c r="GKU62"/>
      <c r="GKV62"/>
      <c r="GKW62"/>
      <c r="GKX62"/>
      <c r="GKY62"/>
      <c r="GKZ62"/>
      <c r="GLA62"/>
      <c r="GLB62"/>
      <c r="GLC62"/>
      <c r="GLD62"/>
      <c r="GLE62"/>
      <c r="GLF62"/>
      <c r="GLG62"/>
      <c r="GLH62"/>
      <c r="GLI62"/>
      <c r="GLJ62"/>
      <c r="GLK62"/>
      <c r="GLL62"/>
      <c r="GLM62"/>
      <c r="GLN62"/>
      <c r="GLO62"/>
      <c r="GLP62"/>
      <c r="GLQ62"/>
      <c r="GLR62"/>
      <c r="GLS62"/>
      <c r="GLT62"/>
      <c r="GLU62"/>
      <c r="GLV62"/>
      <c r="GLW62"/>
      <c r="GLX62"/>
      <c r="GLY62"/>
      <c r="GLZ62"/>
      <c r="GMA62"/>
      <c r="GMB62"/>
      <c r="GMC62"/>
      <c r="GMD62"/>
      <c r="GME62"/>
      <c r="GMF62"/>
      <c r="GMG62"/>
      <c r="GMH62"/>
      <c r="GMI62"/>
      <c r="GMJ62"/>
      <c r="GMK62"/>
      <c r="GML62"/>
      <c r="GMM62"/>
      <c r="GMN62"/>
      <c r="GMO62"/>
      <c r="GMP62"/>
      <c r="GMQ62"/>
      <c r="GMR62"/>
      <c r="GMS62"/>
      <c r="GMT62"/>
      <c r="GMU62"/>
      <c r="GMV62"/>
      <c r="GMW62"/>
      <c r="GMX62"/>
      <c r="GMY62"/>
      <c r="GMZ62"/>
      <c r="GNA62"/>
      <c r="GNB62"/>
      <c r="GNC62"/>
      <c r="GND62"/>
      <c r="GNE62"/>
      <c r="GNF62"/>
      <c r="GNG62"/>
      <c r="GNH62"/>
      <c r="GNI62"/>
      <c r="GNJ62"/>
      <c r="GNK62"/>
      <c r="GNL62"/>
      <c r="GNM62"/>
      <c r="GNN62"/>
      <c r="GNO62"/>
      <c r="GNP62"/>
      <c r="GNQ62"/>
      <c r="GNR62"/>
      <c r="GNS62"/>
      <c r="GNT62"/>
      <c r="GNU62"/>
      <c r="GNV62"/>
      <c r="GNW62"/>
      <c r="GNX62"/>
      <c r="GNY62"/>
      <c r="GNZ62"/>
      <c r="GOA62"/>
      <c r="GOB62"/>
      <c r="GOC62"/>
      <c r="GOD62"/>
      <c r="GOE62"/>
      <c r="GOF62"/>
      <c r="GOG62"/>
      <c r="GOH62"/>
      <c r="GOI62"/>
      <c r="GOJ62"/>
      <c r="GOK62"/>
      <c r="GOL62"/>
      <c r="GOM62"/>
      <c r="GON62"/>
      <c r="GOO62"/>
      <c r="GOP62"/>
      <c r="GOQ62"/>
      <c r="GOR62"/>
      <c r="GOS62"/>
      <c r="GOT62"/>
      <c r="GOU62"/>
      <c r="GOV62"/>
      <c r="GOW62"/>
      <c r="GOX62"/>
      <c r="GOY62"/>
      <c r="GOZ62"/>
      <c r="GPA62"/>
      <c r="GPB62"/>
      <c r="GPC62"/>
      <c r="GPD62"/>
      <c r="GPE62"/>
      <c r="GPF62"/>
      <c r="GPG62"/>
      <c r="GPH62"/>
      <c r="GPI62"/>
      <c r="GPJ62"/>
      <c r="GPK62"/>
      <c r="GPL62"/>
      <c r="GPM62"/>
      <c r="GPN62"/>
      <c r="GPO62"/>
      <c r="GPP62"/>
      <c r="GPQ62"/>
      <c r="GPR62"/>
      <c r="GPS62"/>
      <c r="GPT62"/>
      <c r="GPU62"/>
      <c r="GPV62"/>
      <c r="GPW62"/>
      <c r="GPX62"/>
      <c r="GPY62"/>
      <c r="GPZ62"/>
      <c r="GQA62"/>
      <c r="GQB62"/>
      <c r="GQC62"/>
      <c r="GQD62"/>
      <c r="GQE62"/>
      <c r="GQF62"/>
      <c r="GQG62"/>
      <c r="GQH62"/>
      <c r="GQI62"/>
      <c r="GQJ62"/>
      <c r="GQK62"/>
      <c r="GQL62"/>
      <c r="GQM62"/>
      <c r="GQN62"/>
      <c r="GQO62"/>
      <c r="GQP62"/>
      <c r="GQQ62"/>
      <c r="GQR62"/>
      <c r="GQS62"/>
      <c r="GQT62"/>
      <c r="GQU62"/>
      <c r="GQV62"/>
      <c r="GQW62"/>
      <c r="GQX62"/>
      <c r="GQY62"/>
      <c r="GQZ62"/>
      <c r="GRA62"/>
      <c r="GRB62"/>
      <c r="GRC62"/>
      <c r="GRD62"/>
      <c r="GRE62"/>
      <c r="GRF62"/>
      <c r="GRG62"/>
      <c r="GRH62"/>
      <c r="GRI62"/>
      <c r="GRJ62"/>
      <c r="GRK62"/>
      <c r="GRL62"/>
      <c r="GRM62"/>
      <c r="GRN62"/>
      <c r="GRO62"/>
      <c r="GRP62"/>
      <c r="GRQ62"/>
      <c r="GRR62"/>
      <c r="GRS62"/>
      <c r="GRT62"/>
      <c r="GRU62"/>
      <c r="GRV62"/>
      <c r="GRW62"/>
      <c r="GRX62"/>
      <c r="GRY62"/>
      <c r="GRZ62"/>
      <c r="GSA62"/>
      <c r="GSB62"/>
      <c r="GSC62"/>
      <c r="GSD62"/>
      <c r="GSE62"/>
      <c r="GSF62"/>
      <c r="GSG62"/>
      <c r="GSH62"/>
      <c r="GSI62"/>
      <c r="GSJ62"/>
      <c r="GSK62"/>
      <c r="GSL62"/>
      <c r="GSM62"/>
      <c r="GSN62"/>
      <c r="GSO62"/>
      <c r="GSP62"/>
      <c r="GSQ62"/>
      <c r="GSR62"/>
      <c r="GSS62"/>
      <c r="GST62"/>
      <c r="GSU62"/>
      <c r="GSV62"/>
      <c r="GSW62"/>
      <c r="GSX62"/>
      <c r="GSY62"/>
      <c r="GSZ62"/>
      <c r="GTA62"/>
      <c r="GTB62"/>
      <c r="GTC62"/>
      <c r="GTD62"/>
      <c r="GTE62"/>
      <c r="GTF62"/>
      <c r="GTG62"/>
      <c r="GTH62"/>
      <c r="GTI62"/>
      <c r="GTJ62"/>
      <c r="GTK62"/>
      <c r="GTL62"/>
      <c r="GTM62"/>
      <c r="GTN62"/>
      <c r="GTO62"/>
      <c r="GTP62"/>
      <c r="GTQ62"/>
      <c r="GTR62"/>
      <c r="GTS62"/>
      <c r="GTT62"/>
      <c r="GTU62"/>
      <c r="GTV62"/>
      <c r="GTW62"/>
      <c r="GTX62"/>
      <c r="GTY62"/>
      <c r="GTZ62"/>
      <c r="GUA62"/>
      <c r="GUB62"/>
      <c r="GUC62"/>
      <c r="GUD62"/>
      <c r="GUE62"/>
      <c r="GUF62"/>
      <c r="GUG62"/>
      <c r="GUH62"/>
      <c r="GUI62"/>
      <c r="GUJ62"/>
      <c r="GUK62"/>
      <c r="GUL62"/>
      <c r="GUM62"/>
      <c r="GUN62"/>
      <c r="GUO62"/>
      <c r="GUP62"/>
      <c r="GUQ62"/>
      <c r="GUR62"/>
      <c r="GUS62"/>
      <c r="GUT62"/>
      <c r="GUU62"/>
      <c r="GUV62"/>
      <c r="GUW62"/>
      <c r="GUX62"/>
      <c r="GUY62"/>
      <c r="GUZ62"/>
      <c r="GVA62"/>
      <c r="GVB62"/>
      <c r="GVC62"/>
      <c r="GVD62"/>
      <c r="GVE62"/>
      <c r="GVF62"/>
      <c r="GVG62"/>
      <c r="GVH62"/>
      <c r="GVI62"/>
      <c r="GVJ62"/>
      <c r="GVK62"/>
      <c r="GVL62"/>
      <c r="GVM62"/>
      <c r="GVN62"/>
      <c r="GVO62"/>
      <c r="GVP62"/>
      <c r="GVQ62"/>
      <c r="GVR62"/>
      <c r="GVS62"/>
      <c r="GVT62"/>
      <c r="GVU62"/>
      <c r="GVV62"/>
      <c r="GVW62"/>
      <c r="GVX62"/>
      <c r="GVY62"/>
      <c r="GVZ62"/>
      <c r="GWA62"/>
      <c r="GWB62"/>
      <c r="GWC62"/>
      <c r="GWD62"/>
      <c r="GWE62"/>
      <c r="GWF62"/>
      <c r="GWG62"/>
      <c r="GWH62"/>
      <c r="GWI62"/>
      <c r="GWJ62"/>
      <c r="GWK62"/>
      <c r="GWL62"/>
      <c r="GWM62"/>
      <c r="GWN62"/>
      <c r="GWO62"/>
      <c r="GWP62"/>
      <c r="GWQ62"/>
      <c r="GWR62"/>
      <c r="GWS62"/>
      <c r="GWT62"/>
      <c r="GWU62"/>
      <c r="GWV62"/>
      <c r="GWW62"/>
      <c r="GWX62"/>
      <c r="GWY62"/>
      <c r="GWZ62"/>
      <c r="GXA62"/>
      <c r="GXB62"/>
      <c r="GXC62"/>
      <c r="GXD62"/>
      <c r="GXE62"/>
      <c r="GXF62"/>
      <c r="GXG62"/>
      <c r="GXH62"/>
      <c r="GXI62"/>
      <c r="GXJ62"/>
      <c r="GXK62"/>
      <c r="GXL62"/>
      <c r="GXM62"/>
      <c r="GXN62"/>
      <c r="GXO62"/>
      <c r="GXP62"/>
      <c r="GXQ62"/>
      <c r="GXR62"/>
      <c r="GXS62"/>
      <c r="GXT62"/>
      <c r="GXU62"/>
      <c r="GXV62"/>
      <c r="GXW62"/>
      <c r="GXX62"/>
      <c r="GXY62"/>
      <c r="GXZ62"/>
      <c r="GYA62"/>
      <c r="GYB62"/>
      <c r="GYC62"/>
      <c r="GYD62"/>
      <c r="GYE62"/>
      <c r="GYF62"/>
      <c r="GYG62"/>
      <c r="GYH62"/>
      <c r="GYI62"/>
      <c r="GYJ62"/>
      <c r="GYK62"/>
      <c r="GYL62"/>
      <c r="GYM62"/>
      <c r="GYN62"/>
      <c r="GYO62"/>
      <c r="GYP62"/>
      <c r="GYQ62"/>
      <c r="GYR62"/>
      <c r="GYS62"/>
      <c r="GYT62"/>
      <c r="GYU62"/>
      <c r="GYV62"/>
      <c r="GYW62"/>
      <c r="GYX62"/>
      <c r="GYY62"/>
      <c r="GYZ62"/>
      <c r="GZA62"/>
      <c r="GZB62"/>
      <c r="GZC62"/>
      <c r="GZD62"/>
      <c r="GZE62"/>
      <c r="GZF62"/>
      <c r="GZG62"/>
      <c r="GZH62"/>
      <c r="GZI62"/>
      <c r="GZJ62"/>
      <c r="GZK62"/>
      <c r="GZL62"/>
      <c r="GZM62"/>
      <c r="GZN62"/>
      <c r="GZO62"/>
      <c r="GZP62"/>
      <c r="GZQ62"/>
      <c r="GZR62"/>
      <c r="GZS62"/>
      <c r="GZT62"/>
      <c r="GZU62"/>
      <c r="GZV62"/>
      <c r="GZW62"/>
      <c r="GZX62"/>
      <c r="GZY62"/>
      <c r="GZZ62"/>
      <c r="HAA62"/>
      <c r="HAB62"/>
      <c r="HAC62"/>
      <c r="HAD62"/>
      <c r="HAE62"/>
      <c r="HAF62"/>
      <c r="HAG62"/>
      <c r="HAH62"/>
      <c r="HAI62"/>
      <c r="HAJ62"/>
      <c r="HAK62"/>
      <c r="HAL62"/>
      <c r="HAM62"/>
      <c r="HAN62"/>
      <c r="HAO62"/>
      <c r="HAP62"/>
      <c r="HAQ62"/>
      <c r="HAR62"/>
      <c r="HAS62"/>
      <c r="HAT62"/>
      <c r="HAU62"/>
      <c r="HAV62"/>
      <c r="HAW62"/>
      <c r="HAX62"/>
      <c r="HAY62"/>
      <c r="HAZ62"/>
      <c r="HBA62"/>
      <c r="HBB62"/>
      <c r="HBC62"/>
      <c r="HBD62"/>
      <c r="HBE62"/>
      <c r="HBF62"/>
      <c r="HBG62"/>
      <c r="HBH62"/>
      <c r="HBI62"/>
      <c r="HBJ62"/>
      <c r="HBK62"/>
      <c r="HBL62"/>
      <c r="HBM62"/>
      <c r="HBN62"/>
      <c r="HBO62"/>
      <c r="HBP62"/>
      <c r="HBQ62"/>
      <c r="HBR62"/>
      <c r="HBS62"/>
      <c r="HBT62"/>
      <c r="HBU62"/>
      <c r="HBV62"/>
      <c r="HBW62"/>
      <c r="HBX62"/>
      <c r="HBY62"/>
      <c r="HBZ62"/>
      <c r="HCA62"/>
      <c r="HCB62"/>
      <c r="HCC62"/>
      <c r="HCD62"/>
      <c r="HCE62"/>
      <c r="HCF62"/>
      <c r="HCG62"/>
      <c r="HCH62"/>
      <c r="HCI62"/>
      <c r="HCJ62"/>
      <c r="HCK62"/>
      <c r="HCL62"/>
      <c r="HCM62"/>
      <c r="HCN62"/>
      <c r="HCO62"/>
      <c r="HCP62"/>
      <c r="HCQ62"/>
      <c r="HCR62"/>
      <c r="HCS62"/>
      <c r="HCT62"/>
      <c r="HCU62"/>
      <c r="HCV62"/>
      <c r="HCW62"/>
      <c r="HCX62"/>
      <c r="HCY62"/>
      <c r="HCZ62"/>
      <c r="HDA62"/>
      <c r="HDB62"/>
      <c r="HDC62"/>
      <c r="HDD62"/>
      <c r="HDE62"/>
      <c r="HDF62"/>
      <c r="HDG62"/>
      <c r="HDH62"/>
      <c r="HDI62"/>
      <c r="HDJ62"/>
      <c r="HDK62"/>
      <c r="HDL62"/>
      <c r="HDM62"/>
      <c r="HDN62"/>
      <c r="HDO62"/>
      <c r="HDP62"/>
      <c r="HDQ62"/>
      <c r="HDR62"/>
      <c r="HDS62"/>
      <c r="HDT62"/>
      <c r="HDU62"/>
      <c r="HDV62"/>
      <c r="HDW62"/>
      <c r="HDX62"/>
      <c r="HDY62"/>
      <c r="HDZ62"/>
      <c r="HEA62"/>
      <c r="HEB62"/>
      <c r="HEC62"/>
      <c r="HED62"/>
      <c r="HEE62"/>
      <c r="HEF62"/>
      <c r="HEG62"/>
      <c r="HEH62"/>
      <c r="HEI62"/>
      <c r="HEJ62"/>
      <c r="HEK62"/>
      <c r="HEL62"/>
      <c r="HEM62"/>
      <c r="HEN62"/>
      <c r="HEO62"/>
      <c r="HEP62"/>
      <c r="HEQ62"/>
      <c r="HER62"/>
      <c r="HES62"/>
      <c r="HET62"/>
      <c r="HEU62"/>
      <c r="HEV62"/>
      <c r="HEW62"/>
      <c r="HEX62"/>
      <c r="HEY62"/>
      <c r="HEZ62"/>
      <c r="HFA62"/>
      <c r="HFB62"/>
      <c r="HFC62"/>
      <c r="HFD62"/>
      <c r="HFE62"/>
      <c r="HFF62"/>
      <c r="HFG62"/>
      <c r="HFH62"/>
      <c r="HFI62"/>
      <c r="HFJ62"/>
      <c r="HFK62"/>
      <c r="HFL62"/>
      <c r="HFM62"/>
      <c r="HFN62"/>
      <c r="HFO62"/>
      <c r="HFP62"/>
      <c r="HFQ62"/>
      <c r="HFR62"/>
      <c r="HFS62"/>
      <c r="HFT62"/>
      <c r="HFU62"/>
      <c r="HFV62"/>
      <c r="HFW62"/>
      <c r="HFX62"/>
      <c r="HFY62"/>
      <c r="HFZ62"/>
      <c r="HGA62"/>
      <c r="HGB62"/>
      <c r="HGC62"/>
      <c r="HGD62"/>
      <c r="HGE62"/>
      <c r="HGF62"/>
      <c r="HGG62"/>
      <c r="HGH62"/>
      <c r="HGI62"/>
      <c r="HGJ62"/>
      <c r="HGK62"/>
      <c r="HGL62"/>
      <c r="HGM62"/>
      <c r="HGN62"/>
      <c r="HGO62"/>
      <c r="HGP62"/>
      <c r="HGQ62"/>
      <c r="HGR62"/>
      <c r="HGS62"/>
      <c r="HGT62"/>
      <c r="HGU62"/>
      <c r="HGV62"/>
      <c r="HGW62"/>
      <c r="HGX62"/>
      <c r="HGY62"/>
      <c r="HGZ62"/>
      <c r="HHA62"/>
      <c r="HHB62"/>
      <c r="HHC62"/>
      <c r="HHD62"/>
      <c r="HHE62"/>
      <c r="HHF62"/>
      <c r="HHG62"/>
      <c r="HHH62"/>
      <c r="HHI62"/>
      <c r="HHJ62"/>
      <c r="HHK62"/>
      <c r="HHL62"/>
      <c r="HHM62"/>
      <c r="HHN62"/>
      <c r="HHO62"/>
      <c r="HHP62"/>
      <c r="HHQ62"/>
      <c r="HHR62"/>
      <c r="HHS62"/>
      <c r="HHT62"/>
      <c r="HHU62"/>
      <c r="HHV62"/>
      <c r="HHW62"/>
      <c r="HHX62"/>
      <c r="HHY62"/>
      <c r="HHZ62"/>
      <c r="HIA62"/>
      <c r="HIB62"/>
      <c r="HIC62"/>
      <c r="HID62"/>
      <c r="HIE62"/>
      <c r="HIF62"/>
      <c r="HIG62"/>
      <c r="HIH62"/>
      <c r="HII62"/>
      <c r="HIJ62"/>
      <c r="HIK62"/>
      <c r="HIL62"/>
      <c r="HIM62"/>
      <c r="HIN62"/>
      <c r="HIO62"/>
      <c r="HIP62"/>
      <c r="HIQ62"/>
      <c r="HIR62"/>
      <c r="HIS62"/>
      <c r="HIT62"/>
      <c r="HIU62"/>
      <c r="HIV62"/>
      <c r="HIW62"/>
      <c r="HIX62"/>
      <c r="HIY62"/>
      <c r="HIZ62"/>
      <c r="HJA62"/>
      <c r="HJB62"/>
      <c r="HJC62"/>
      <c r="HJD62"/>
      <c r="HJE62"/>
      <c r="HJF62"/>
      <c r="HJG62"/>
      <c r="HJH62"/>
      <c r="HJI62"/>
      <c r="HJJ62"/>
      <c r="HJK62"/>
      <c r="HJL62"/>
      <c r="HJM62"/>
      <c r="HJN62"/>
      <c r="HJO62"/>
      <c r="HJP62"/>
      <c r="HJQ62"/>
      <c r="HJR62"/>
      <c r="HJS62"/>
      <c r="HJT62"/>
      <c r="HJU62"/>
      <c r="HJV62"/>
      <c r="HJW62"/>
      <c r="HJX62"/>
      <c r="HJY62"/>
      <c r="HJZ62"/>
      <c r="HKA62"/>
      <c r="HKB62"/>
      <c r="HKC62"/>
      <c r="HKD62"/>
      <c r="HKE62"/>
      <c r="HKF62"/>
      <c r="HKG62"/>
      <c r="HKH62"/>
      <c r="HKI62"/>
      <c r="HKJ62"/>
      <c r="HKK62"/>
      <c r="HKL62"/>
      <c r="HKM62"/>
      <c r="HKN62"/>
      <c r="HKO62"/>
      <c r="HKP62"/>
      <c r="HKQ62"/>
      <c r="HKR62"/>
      <c r="HKS62"/>
      <c r="HKT62"/>
      <c r="HKU62"/>
      <c r="HKV62"/>
      <c r="HKW62"/>
      <c r="HKX62"/>
      <c r="HKY62"/>
      <c r="HKZ62"/>
      <c r="HLA62"/>
      <c r="HLB62"/>
      <c r="HLC62"/>
      <c r="HLD62"/>
      <c r="HLE62"/>
      <c r="HLF62"/>
      <c r="HLG62"/>
      <c r="HLH62"/>
      <c r="HLI62"/>
      <c r="HLJ62"/>
      <c r="HLK62"/>
      <c r="HLL62"/>
      <c r="HLM62"/>
      <c r="HLN62"/>
      <c r="HLO62"/>
      <c r="HLP62"/>
      <c r="HLQ62"/>
      <c r="HLR62"/>
      <c r="HLS62"/>
      <c r="HLT62"/>
      <c r="HLU62"/>
      <c r="HLV62"/>
      <c r="HLW62"/>
      <c r="HLX62"/>
      <c r="HLY62"/>
      <c r="HLZ62"/>
      <c r="HMA62"/>
      <c r="HMB62"/>
      <c r="HMC62"/>
      <c r="HMD62"/>
      <c r="HME62"/>
      <c r="HMF62"/>
      <c r="HMG62"/>
      <c r="HMH62"/>
      <c r="HMI62"/>
      <c r="HMJ62"/>
      <c r="HMK62"/>
      <c r="HML62"/>
      <c r="HMM62"/>
      <c r="HMN62"/>
      <c r="HMO62"/>
      <c r="HMP62"/>
      <c r="HMQ62"/>
      <c r="HMR62"/>
      <c r="HMS62"/>
      <c r="HMT62"/>
      <c r="HMU62"/>
      <c r="HMV62"/>
      <c r="HMW62"/>
      <c r="HMX62"/>
      <c r="HMY62"/>
      <c r="HMZ62"/>
      <c r="HNA62"/>
      <c r="HNB62"/>
      <c r="HNC62"/>
      <c r="HND62"/>
      <c r="HNE62"/>
      <c r="HNF62"/>
      <c r="HNG62"/>
      <c r="HNH62"/>
      <c r="HNI62"/>
      <c r="HNJ62"/>
      <c r="HNK62"/>
      <c r="HNL62"/>
      <c r="HNM62"/>
      <c r="HNN62"/>
      <c r="HNO62"/>
      <c r="HNP62"/>
      <c r="HNQ62"/>
      <c r="HNR62"/>
      <c r="HNS62"/>
      <c r="HNT62"/>
      <c r="HNU62"/>
      <c r="HNV62"/>
      <c r="HNW62"/>
      <c r="HNX62"/>
      <c r="HNY62"/>
      <c r="HNZ62"/>
      <c r="HOA62"/>
      <c r="HOB62"/>
      <c r="HOC62"/>
      <c r="HOD62"/>
      <c r="HOE62"/>
      <c r="HOF62"/>
      <c r="HOG62"/>
      <c r="HOH62"/>
      <c r="HOI62"/>
      <c r="HOJ62"/>
      <c r="HOK62"/>
      <c r="HOL62"/>
      <c r="HOM62"/>
      <c r="HON62"/>
      <c r="HOO62"/>
      <c r="HOP62"/>
      <c r="HOQ62"/>
      <c r="HOR62"/>
      <c r="HOS62"/>
      <c r="HOT62"/>
      <c r="HOU62"/>
      <c r="HOV62"/>
      <c r="HOW62"/>
      <c r="HOX62"/>
      <c r="HOY62"/>
      <c r="HOZ62"/>
      <c r="HPA62"/>
      <c r="HPB62"/>
      <c r="HPC62"/>
      <c r="HPD62"/>
      <c r="HPE62"/>
      <c r="HPF62"/>
      <c r="HPG62"/>
      <c r="HPH62"/>
      <c r="HPI62"/>
      <c r="HPJ62"/>
      <c r="HPK62"/>
      <c r="HPL62"/>
      <c r="HPM62"/>
      <c r="HPN62"/>
      <c r="HPO62"/>
      <c r="HPP62"/>
      <c r="HPQ62"/>
      <c r="HPR62"/>
      <c r="HPS62"/>
      <c r="HPT62"/>
      <c r="HPU62"/>
      <c r="HPV62"/>
      <c r="HPW62"/>
      <c r="HPX62"/>
      <c r="HPY62"/>
      <c r="HPZ62"/>
      <c r="HQA62"/>
      <c r="HQB62"/>
      <c r="HQC62"/>
      <c r="HQD62"/>
      <c r="HQE62"/>
      <c r="HQF62"/>
      <c r="HQG62"/>
      <c r="HQH62"/>
      <c r="HQI62"/>
      <c r="HQJ62"/>
      <c r="HQK62"/>
      <c r="HQL62"/>
      <c r="HQM62"/>
      <c r="HQN62"/>
      <c r="HQO62"/>
      <c r="HQP62"/>
      <c r="HQQ62"/>
      <c r="HQR62"/>
      <c r="HQS62"/>
      <c r="HQT62"/>
      <c r="HQU62"/>
      <c r="HQV62"/>
      <c r="HQW62"/>
      <c r="HQX62"/>
      <c r="HQY62"/>
      <c r="HQZ62"/>
      <c r="HRA62"/>
      <c r="HRB62"/>
      <c r="HRC62"/>
      <c r="HRD62"/>
      <c r="HRE62"/>
      <c r="HRF62"/>
      <c r="HRG62"/>
      <c r="HRH62"/>
      <c r="HRI62"/>
      <c r="HRJ62"/>
      <c r="HRK62"/>
      <c r="HRL62"/>
      <c r="HRM62"/>
      <c r="HRN62"/>
      <c r="HRO62"/>
      <c r="HRP62"/>
      <c r="HRQ62"/>
      <c r="HRR62"/>
      <c r="HRS62"/>
      <c r="HRT62"/>
      <c r="HRU62"/>
      <c r="HRV62"/>
      <c r="HRW62"/>
      <c r="HRX62"/>
      <c r="HRY62"/>
      <c r="HRZ62"/>
      <c r="HSA62"/>
      <c r="HSB62"/>
      <c r="HSC62"/>
      <c r="HSD62"/>
      <c r="HSE62"/>
      <c r="HSF62"/>
      <c r="HSG62"/>
      <c r="HSH62"/>
      <c r="HSI62"/>
      <c r="HSJ62"/>
      <c r="HSK62"/>
      <c r="HSL62"/>
      <c r="HSM62"/>
      <c r="HSN62"/>
      <c r="HSO62"/>
      <c r="HSP62"/>
      <c r="HSQ62"/>
      <c r="HSR62"/>
      <c r="HSS62"/>
      <c r="HST62"/>
      <c r="HSU62"/>
      <c r="HSV62"/>
      <c r="HSW62"/>
      <c r="HSX62"/>
      <c r="HSY62"/>
      <c r="HSZ62"/>
      <c r="HTA62"/>
      <c r="HTB62"/>
      <c r="HTC62"/>
      <c r="HTD62"/>
      <c r="HTE62"/>
      <c r="HTF62"/>
      <c r="HTG62"/>
      <c r="HTH62"/>
      <c r="HTI62"/>
      <c r="HTJ62"/>
      <c r="HTK62"/>
      <c r="HTL62"/>
      <c r="HTM62"/>
      <c r="HTN62"/>
      <c r="HTO62"/>
      <c r="HTP62"/>
      <c r="HTQ62"/>
      <c r="HTR62"/>
      <c r="HTS62"/>
      <c r="HTT62"/>
      <c r="HTU62"/>
      <c r="HTV62"/>
      <c r="HTW62"/>
      <c r="HTX62"/>
      <c r="HTY62"/>
      <c r="HTZ62"/>
      <c r="HUA62"/>
      <c r="HUB62"/>
      <c r="HUC62"/>
      <c r="HUD62"/>
      <c r="HUE62"/>
      <c r="HUF62"/>
      <c r="HUG62"/>
      <c r="HUH62"/>
      <c r="HUI62"/>
      <c r="HUJ62"/>
      <c r="HUK62"/>
      <c r="HUL62"/>
      <c r="HUM62"/>
      <c r="HUN62"/>
      <c r="HUO62"/>
      <c r="HUP62"/>
      <c r="HUQ62"/>
      <c r="HUR62"/>
      <c r="HUS62"/>
      <c r="HUT62"/>
      <c r="HUU62"/>
      <c r="HUV62"/>
      <c r="HUW62"/>
      <c r="HUX62"/>
      <c r="HUY62"/>
      <c r="HUZ62"/>
      <c r="HVA62"/>
      <c r="HVB62"/>
      <c r="HVC62"/>
      <c r="HVD62"/>
      <c r="HVE62"/>
      <c r="HVF62"/>
      <c r="HVG62"/>
      <c r="HVH62"/>
      <c r="HVI62"/>
      <c r="HVJ62"/>
      <c r="HVK62"/>
      <c r="HVL62"/>
      <c r="HVM62"/>
      <c r="HVN62"/>
      <c r="HVO62"/>
      <c r="HVP62"/>
      <c r="HVQ62"/>
      <c r="HVR62"/>
      <c r="HVS62"/>
      <c r="HVT62"/>
      <c r="HVU62"/>
      <c r="HVV62"/>
      <c r="HVW62"/>
      <c r="HVX62"/>
      <c r="HVY62"/>
      <c r="HVZ62"/>
      <c r="HWA62"/>
      <c r="HWB62"/>
      <c r="HWC62"/>
      <c r="HWD62"/>
      <c r="HWE62"/>
      <c r="HWF62"/>
      <c r="HWG62"/>
      <c r="HWH62"/>
      <c r="HWI62"/>
      <c r="HWJ62"/>
      <c r="HWK62"/>
      <c r="HWL62"/>
      <c r="HWM62"/>
      <c r="HWN62"/>
      <c r="HWO62"/>
      <c r="HWP62"/>
      <c r="HWQ62"/>
      <c r="HWR62"/>
      <c r="HWS62"/>
      <c r="HWT62"/>
      <c r="HWU62"/>
      <c r="HWV62"/>
      <c r="HWW62"/>
      <c r="HWX62"/>
      <c r="HWY62"/>
      <c r="HWZ62"/>
      <c r="HXA62"/>
      <c r="HXB62"/>
      <c r="HXC62"/>
      <c r="HXD62"/>
      <c r="HXE62"/>
      <c r="HXF62"/>
      <c r="HXG62"/>
      <c r="HXH62"/>
      <c r="HXI62"/>
      <c r="HXJ62"/>
      <c r="HXK62"/>
      <c r="HXL62"/>
      <c r="HXM62"/>
      <c r="HXN62"/>
      <c r="HXO62"/>
      <c r="HXP62"/>
      <c r="HXQ62"/>
      <c r="HXR62"/>
      <c r="HXS62"/>
      <c r="HXT62"/>
      <c r="HXU62"/>
      <c r="HXV62"/>
      <c r="HXW62"/>
      <c r="HXX62"/>
      <c r="HXY62"/>
      <c r="HXZ62"/>
      <c r="HYA62"/>
      <c r="HYB62"/>
      <c r="HYC62"/>
      <c r="HYD62"/>
      <c r="HYE62"/>
      <c r="HYF62"/>
      <c r="HYG62"/>
      <c r="HYH62"/>
      <c r="HYI62"/>
      <c r="HYJ62"/>
      <c r="HYK62"/>
      <c r="HYL62"/>
      <c r="HYM62"/>
      <c r="HYN62"/>
      <c r="HYO62"/>
      <c r="HYP62"/>
      <c r="HYQ62"/>
      <c r="HYR62"/>
      <c r="HYS62"/>
      <c r="HYT62"/>
      <c r="HYU62"/>
      <c r="HYV62"/>
      <c r="HYW62"/>
      <c r="HYX62"/>
      <c r="HYY62"/>
      <c r="HYZ62"/>
      <c r="HZA62"/>
      <c r="HZB62"/>
      <c r="HZC62"/>
      <c r="HZD62"/>
      <c r="HZE62"/>
      <c r="HZF62"/>
      <c r="HZG62"/>
      <c r="HZH62"/>
      <c r="HZI62"/>
      <c r="HZJ62"/>
      <c r="HZK62"/>
      <c r="HZL62"/>
      <c r="HZM62"/>
      <c r="HZN62"/>
      <c r="HZO62"/>
      <c r="HZP62"/>
      <c r="HZQ62"/>
      <c r="HZR62"/>
      <c r="HZS62"/>
      <c r="HZT62"/>
      <c r="HZU62"/>
      <c r="HZV62"/>
      <c r="HZW62"/>
      <c r="HZX62"/>
      <c r="HZY62"/>
      <c r="HZZ62"/>
      <c r="IAA62"/>
      <c r="IAB62"/>
      <c r="IAC62"/>
      <c r="IAD62"/>
      <c r="IAE62"/>
      <c r="IAF62"/>
      <c r="IAG62"/>
      <c r="IAH62"/>
      <c r="IAI62"/>
      <c r="IAJ62"/>
      <c r="IAK62"/>
      <c r="IAL62"/>
      <c r="IAM62"/>
      <c r="IAN62"/>
      <c r="IAO62"/>
      <c r="IAP62"/>
      <c r="IAQ62"/>
      <c r="IAR62"/>
      <c r="IAS62"/>
      <c r="IAT62"/>
      <c r="IAU62"/>
      <c r="IAV62"/>
      <c r="IAW62"/>
      <c r="IAX62"/>
      <c r="IAY62"/>
      <c r="IAZ62"/>
      <c r="IBA62"/>
      <c r="IBB62"/>
      <c r="IBC62"/>
      <c r="IBD62"/>
      <c r="IBE62"/>
      <c r="IBF62"/>
      <c r="IBG62"/>
      <c r="IBH62"/>
      <c r="IBI62"/>
      <c r="IBJ62"/>
      <c r="IBK62"/>
      <c r="IBL62"/>
      <c r="IBM62"/>
      <c r="IBN62"/>
      <c r="IBO62"/>
      <c r="IBP62"/>
      <c r="IBQ62"/>
      <c r="IBR62"/>
      <c r="IBS62"/>
      <c r="IBT62"/>
      <c r="IBU62"/>
      <c r="IBV62"/>
      <c r="IBW62"/>
      <c r="IBX62"/>
      <c r="IBY62"/>
      <c r="IBZ62"/>
      <c r="ICA62"/>
      <c r="ICB62"/>
      <c r="ICC62"/>
      <c r="ICD62"/>
      <c r="ICE62"/>
      <c r="ICF62"/>
      <c r="ICG62"/>
      <c r="ICH62"/>
      <c r="ICI62"/>
      <c r="ICJ62"/>
      <c r="ICK62"/>
      <c r="ICL62"/>
      <c r="ICM62"/>
      <c r="ICN62"/>
      <c r="ICO62"/>
      <c r="ICP62"/>
      <c r="ICQ62"/>
      <c r="ICR62"/>
      <c r="ICS62"/>
      <c r="ICT62"/>
      <c r="ICU62"/>
      <c r="ICV62"/>
      <c r="ICW62"/>
      <c r="ICX62"/>
      <c r="ICY62"/>
      <c r="ICZ62"/>
      <c r="IDA62"/>
      <c r="IDB62"/>
      <c r="IDC62"/>
      <c r="IDD62"/>
      <c r="IDE62"/>
      <c r="IDF62"/>
      <c r="IDG62"/>
      <c r="IDH62"/>
      <c r="IDI62"/>
      <c r="IDJ62"/>
      <c r="IDK62"/>
      <c r="IDL62"/>
      <c r="IDM62"/>
      <c r="IDN62"/>
      <c r="IDO62"/>
      <c r="IDP62"/>
      <c r="IDQ62"/>
      <c r="IDR62"/>
      <c r="IDS62"/>
      <c r="IDT62"/>
      <c r="IDU62"/>
      <c r="IDV62"/>
      <c r="IDW62"/>
      <c r="IDX62"/>
      <c r="IDY62"/>
      <c r="IDZ62"/>
      <c r="IEA62"/>
      <c r="IEB62"/>
      <c r="IEC62"/>
      <c r="IED62"/>
      <c r="IEE62"/>
      <c r="IEF62"/>
      <c r="IEG62"/>
      <c r="IEH62"/>
      <c r="IEI62"/>
      <c r="IEJ62"/>
      <c r="IEK62"/>
      <c r="IEL62"/>
      <c r="IEM62"/>
      <c r="IEN62"/>
      <c r="IEO62"/>
      <c r="IEP62"/>
      <c r="IEQ62"/>
      <c r="IER62"/>
      <c r="IES62"/>
      <c r="IET62"/>
      <c r="IEU62"/>
      <c r="IEV62"/>
      <c r="IEW62"/>
      <c r="IEX62"/>
      <c r="IEY62"/>
      <c r="IEZ62"/>
      <c r="IFA62"/>
      <c r="IFB62"/>
      <c r="IFC62"/>
      <c r="IFD62"/>
      <c r="IFE62"/>
      <c r="IFF62"/>
      <c r="IFG62"/>
      <c r="IFH62"/>
      <c r="IFI62"/>
      <c r="IFJ62"/>
      <c r="IFK62"/>
      <c r="IFL62"/>
      <c r="IFM62"/>
      <c r="IFN62"/>
      <c r="IFO62"/>
      <c r="IFP62"/>
      <c r="IFQ62"/>
      <c r="IFR62"/>
      <c r="IFS62"/>
      <c r="IFT62"/>
      <c r="IFU62"/>
      <c r="IFV62"/>
      <c r="IFW62"/>
      <c r="IFX62"/>
      <c r="IFY62"/>
      <c r="IFZ62"/>
      <c r="IGA62"/>
      <c r="IGB62"/>
      <c r="IGC62"/>
      <c r="IGD62"/>
      <c r="IGE62"/>
      <c r="IGF62"/>
      <c r="IGG62"/>
      <c r="IGH62"/>
      <c r="IGI62"/>
      <c r="IGJ62"/>
      <c r="IGK62"/>
      <c r="IGL62"/>
      <c r="IGM62"/>
      <c r="IGN62"/>
      <c r="IGO62"/>
      <c r="IGP62"/>
      <c r="IGQ62"/>
      <c r="IGR62"/>
      <c r="IGS62"/>
      <c r="IGT62"/>
      <c r="IGU62"/>
      <c r="IGV62"/>
      <c r="IGW62"/>
      <c r="IGX62"/>
      <c r="IGY62"/>
      <c r="IGZ62"/>
      <c r="IHA62"/>
      <c r="IHB62"/>
      <c r="IHC62"/>
      <c r="IHD62"/>
      <c r="IHE62"/>
      <c r="IHF62"/>
      <c r="IHG62"/>
      <c r="IHH62"/>
      <c r="IHI62"/>
      <c r="IHJ62"/>
      <c r="IHK62"/>
      <c r="IHL62"/>
      <c r="IHM62"/>
      <c r="IHN62"/>
      <c r="IHO62"/>
      <c r="IHP62"/>
      <c r="IHQ62"/>
      <c r="IHR62"/>
      <c r="IHS62"/>
      <c r="IHT62"/>
      <c r="IHU62"/>
      <c r="IHV62"/>
      <c r="IHW62"/>
      <c r="IHX62"/>
      <c r="IHY62"/>
      <c r="IHZ62"/>
      <c r="IIA62"/>
      <c r="IIB62"/>
      <c r="IIC62"/>
      <c r="IID62"/>
      <c r="IIE62"/>
      <c r="IIF62"/>
      <c r="IIG62"/>
      <c r="IIH62"/>
      <c r="III62"/>
      <c r="IIJ62"/>
      <c r="IIK62"/>
      <c r="IIL62"/>
      <c r="IIM62"/>
      <c r="IIN62"/>
      <c r="IIO62"/>
      <c r="IIP62"/>
      <c r="IIQ62"/>
      <c r="IIR62"/>
      <c r="IIS62"/>
      <c r="IIT62"/>
      <c r="IIU62"/>
      <c r="IIV62"/>
      <c r="IIW62"/>
      <c r="IIX62"/>
      <c r="IIY62"/>
      <c r="IIZ62"/>
      <c r="IJA62"/>
      <c r="IJB62"/>
      <c r="IJC62"/>
      <c r="IJD62"/>
      <c r="IJE62"/>
      <c r="IJF62"/>
      <c r="IJG62"/>
      <c r="IJH62"/>
      <c r="IJI62"/>
      <c r="IJJ62"/>
      <c r="IJK62"/>
      <c r="IJL62"/>
      <c r="IJM62"/>
      <c r="IJN62"/>
      <c r="IJO62"/>
      <c r="IJP62"/>
      <c r="IJQ62"/>
      <c r="IJR62"/>
      <c r="IJS62"/>
      <c r="IJT62"/>
      <c r="IJU62"/>
      <c r="IJV62"/>
      <c r="IJW62"/>
      <c r="IJX62"/>
      <c r="IJY62"/>
      <c r="IJZ62"/>
      <c r="IKA62"/>
      <c r="IKB62"/>
      <c r="IKC62"/>
      <c r="IKD62"/>
      <c r="IKE62"/>
      <c r="IKF62"/>
      <c r="IKG62"/>
      <c r="IKH62"/>
      <c r="IKI62"/>
      <c r="IKJ62"/>
      <c r="IKK62"/>
      <c r="IKL62"/>
      <c r="IKM62"/>
      <c r="IKN62"/>
      <c r="IKO62"/>
      <c r="IKP62"/>
      <c r="IKQ62"/>
      <c r="IKR62"/>
      <c r="IKS62"/>
      <c r="IKT62"/>
      <c r="IKU62"/>
      <c r="IKV62"/>
      <c r="IKW62"/>
      <c r="IKX62"/>
      <c r="IKY62"/>
      <c r="IKZ62"/>
      <c r="ILA62"/>
      <c r="ILB62"/>
      <c r="ILC62"/>
      <c r="ILD62"/>
      <c r="ILE62"/>
      <c r="ILF62"/>
      <c r="ILG62"/>
      <c r="ILH62"/>
      <c r="ILI62"/>
      <c r="ILJ62"/>
      <c r="ILK62"/>
      <c r="ILL62"/>
      <c r="ILM62"/>
      <c r="ILN62"/>
      <c r="ILO62"/>
      <c r="ILP62"/>
      <c r="ILQ62"/>
      <c r="ILR62"/>
      <c r="ILS62"/>
      <c r="ILT62"/>
      <c r="ILU62"/>
      <c r="ILV62"/>
      <c r="ILW62"/>
      <c r="ILX62"/>
      <c r="ILY62"/>
      <c r="ILZ62"/>
      <c r="IMA62"/>
      <c r="IMB62"/>
      <c r="IMC62"/>
      <c r="IMD62"/>
      <c r="IME62"/>
      <c r="IMF62"/>
      <c r="IMG62"/>
      <c r="IMH62"/>
      <c r="IMI62"/>
      <c r="IMJ62"/>
      <c r="IMK62"/>
      <c r="IML62"/>
      <c r="IMM62"/>
      <c r="IMN62"/>
      <c r="IMO62"/>
      <c r="IMP62"/>
      <c r="IMQ62"/>
      <c r="IMR62"/>
      <c r="IMS62"/>
      <c r="IMT62"/>
      <c r="IMU62"/>
      <c r="IMV62"/>
      <c r="IMW62"/>
      <c r="IMX62"/>
      <c r="IMY62"/>
      <c r="IMZ62"/>
      <c r="INA62"/>
      <c r="INB62"/>
      <c r="INC62"/>
      <c r="IND62"/>
      <c r="INE62"/>
      <c r="INF62"/>
      <c r="ING62"/>
      <c r="INH62"/>
      <c r="INI62"/>
      <c r="INJ62"/>
      <c r="INK62"/>
      <c r="INL62"/>
      <c r="INM62"/>
      <c r="INN62"/>
      <c r="INO62"/>
      <c r="INP62"/>
      <c r="INQ62"/>
      <c r="INR62"/>
      <c r="INS62"/>
      <c r="INT62"/>
      <c r="INU62"/>
      <c r="INV62"/>
      <c r="INW62"/>
      <c r="INX62"/>
      <c r="INY62"/>
      <c r="INZ62"/>
      <c r="IOA62"/>
      <c r="IOB62"/>
      <c r="IOC62"/>
      <c r="IOD62"/>
      <c r="IOE62"/>
      <c r="IOF62"/>
      <c r="IOG62"/>
      <c r="IOH62"/>
      <c r="IOI62"/>
      <c r="IOJ62"/>
      <c r="IOK62"/>
      <c r="IOL62"/>
      <c r="IOM62"/>
      <c r="ION62"/>
      <c r="IOO62"/>
      <c r="IOP62"/>
      <c r="IOQ62"/>
      <c r="IOR62"/>
      <c r="IOS62"/>
      <c r="IOT62"/>
      <c r="IOU62"/>
      <c r="IOV62"/>
      <c r="IOW62"/>
      <c r="IOX62"/>
      <c r="IOY62"/>
      <c r="IOZ62"/>
      <c r="IPA62"/>
      <c r="IPB62"/>
      <c r="IPC62"/>
      <c r="IPD62"/>
      <c r="IPE62"/>
      <c r="IPF62"/>
      <c r="IPG62"/>
      <c r="IPH62"/>
      <c r="IPI62"/>
      <c r="IPJ62"/>
      <c r="IPK62"/>
      <c r="IPL62"/>
      <c r="IPM62"/>
      <c r="IPN62"/>
      <c r="IPO62"/>
      <c r="IPP62"/>
      <c r="IPQ62"/>
      <c r="IPR62"/>
      <c r="IPS62"/>
      <c r="IPT62"/>
      <c r="IPU62"/>
      <c r="IPV62"/>
      <c r="IPW62"/>
      <c r="IPX62"/>
      <c r="IPY62"/>
      <c r="IPZ62"/>
      <c r="IQA62"/>
      <c r="IQB62"/>
      <c r="IQC62"/>
      <c r="IQD62"/>
      <c r="IQE62"/>
      <c r="IQF62"/>
      <c r="IQG62"/>
      <c r="IQH62"/>
      <c r="IQI62"/>
      <c r="IQJ62"/>
      <c r="IQK62"/>
      <c r="IQL62"/>
      <c r="IQM62"/>
      <c r="IQN62"/>
      <c r="IQO62"/>
      <c r="IQP62"/>
      <c r="IQQ62"/>
      <c r="IQR62"/>
      <c r="IQS62"/>
      <c r="IQT62"/>
      <c r="IQU62"/>
      <c r="IQV62"/>
      <c r="IQW62"/>
      <c r="IQX62"/>
      <c r="IQY62"/>
      <c r="IQZ62"/>
      <c r="IRA62"/>
      <c r="IRB62"/>
      <c r="IRC62"/>
      <c r="IRD62"/>
      <c r="IRE62"/>
      <c r="IRF62"/>
      <c r="IRG62"/>
      <c r="IRH62"/>
      <c r="IRI62"/>
      <c r="IRJ62"/>
      <c r="IRK62"/>
      <c r="IRL62"/>
      <c r="IRM62"/>
      <c r="IRN62"/>
      <c r="IRO62"/>
      <c r="IRP62"/>
      <c r="IRQ62"/>
      <c r="IRR62"/>
      <c r="IRS62"/>
      <c r="IRT62"/>
      <c r="IRU62"/>
      <c r="IRV62"/>
      <c r="IRW62"/>
      <c r="IRX62"/>
      <c r="IRY62"/>
      <c r="IRZ62"/>
      <c r="ISA62"/>
      <c r="ISB62"/>
      <c r="ISC62"/>
      <c r="ISD62"/>
      <c r="ISE62"/>
      <c r="ISF62"/>
      <c r="ISG62"/>
      <c r="ISH62"/>
      <c r="ISI62"/>
      <c r="ISJ62"/>
      <c r="ISK62"/>
      <c r="ISL62"/>
      <c r="ISM62"/>
      <c r="ISN62"/>
      <c r="ISO62"/>
      <c r="ISP62"/>
      <c r="ISQ62"/>
      <c r="ISR62"/>
      <c r="ISS62"/>
      <c r="IST62"/>
      <c r="ISU62"/>
      <c r="ISV62"/>
      <c r="ISW62"/>
      <c r="ISX62"/>
      <c r="ISY62"/>
      <c r="ISZ62"/>
      <c r="ITA62"/>
      <c r="ITB62"/>
      <c r="ITC62"/>
      <c r="ITD62"/>
      <c r="ITE62"/>
      <c r="ITF62"/>
      <c r="ITG62"/>
      <c r="ITH62"/>
      <c r="ITI62"/>
      <c r="ITJ62"/>
      <c r="ITK62"/>
      <c r="ITL62"/>
      <c r="ITM62"/>
      <c r="ITN62"/>
      <c r="ITO62"/>
      <c r="ITP62"/>
      <c r="ITQ62"/>
      <c r="ITR62"/>
      <c r="ITS62"/>
      <c r="ITT62"/>
      <c r="ITU62"/>
      <c r="ITV62"/>
      <c r="ITW62"/>
      <c r="ITX62"/>
      <c r="ITY62"/>
      <c r="ITZ62"/>
      <c r="IUA62"/>
      <c r="IUB62"/>
      <c r="IUC62"/>
      <c r="IUD62"/>
      <c r="IUE62"/>
      <c r="IUF62"/>
      <c r="IUG62"/>
      <c r="IUH62"/>
      <c r="IUI62"/>
      <c r="IUJ62"/>
      <c r="IUK62"/>
      <c r="IUL62"/>
      <c r="IUM62"/>
      <c r="IUN62"/>
      <c r="IUO62"/>
      <c r="IUP62"/>
      <c r="IUQ62"/>
      <c r="IUR62"/>
      <c r="IUS62"/>
      <c r="IUT62"/>
      <c r="IUU62"/>
      <c r="IUV62"/>
      <c r="IUW62"/>
      <c r="IUX62"/>
      <c r="IUY62"/>
      <c r="IUZ62"/>
      <c r="IVA62"/>
      <c r="IVB62"/>
      <c r="IVC62"/>
      <c r="IVD62"/>
      <c r="IVE62"/>
      <c r="IVF62"/>
      <c r="IVG62"/>
      <c r="IVH62"/>
      <c r="IVI62"/>
      <c r="IVJ62"/>
      <c r="IVK62"/>
      <c r="IVL62"/>
      <c r="IVM62"/>
      <c r="IVN62"/>
      <c r="IVO62"/>
      <c r="IVP62"/>
      <c r="IVQ62"/>
      <c r="IVR62"/>
      <c r="IVS62"/>
      <c r="IVT62"/>
      <c r="IVU62"/>
      <c r="IVV62"/>
      <c r="IVW62"/>
      <c r="IVX62"/>
      <c r="IVY62"/>
      <c r="IVZ62"/>
      <c r="IWA62"/>
      <c r="IWB62"/>
      <c r="IWC62"/>
      <c r="IWD62"/>
      <c r="IWE62"/>
      <c r="IWF62"/>
      <c r="IWG62"/>
      <c r="IWH62"/>
      <c r="IWI62"/>
      <c r="IWJ62"/>
      <c r="IWK62"/>
      <c r="IWL62"/>
      <c r="IWM62"/>
      <c r="IWN62"/>
      <c r="IWO62"/>
      <c r="IWP62"/>
      <c r="IWQ62"/>
      <c r="IWR62"/>
      <c r="IWS62"/>
      <c r="IWT62"/>
      <c r="IWU62"/>
      <c r="IWV62"/>
      <c r="IWW62"/>
      <c r="IWX62"/>
      <c r="IWY62"/>
      <c r="IWZ62"/>
      <c r="IXA62"/>
      <c r="IXB62"/>
      <c r="IXC62"/>
      <c r="IXD62"/>
      <c r="IXE62"/>
      <c r="IXF62"/>
      <c r="IXG62"/>
      <c r="IXH62"/>
      <c r="IXI62"/>
      <c r="IXJ62"/>
      <c r="IXK62"/>
      <c r="IXL62"/>
      <c r="IXM62"/>
      <c r="IXN62"/>
      <c r="IXO62"/>
      <c r="IXP62"/>
      <c r="IXQ62"/>
      <c r="IXR62"/>
      <c r="IXS62"/>
      <c r="IXT62"/>
      <c r="IXU62"/>
      <c r="IXV62"/>
      <c r="IXW62"/>
      <c r="IXX62"/>
      <c r="IXY62"/>
      <c r="IXZ62"/>
      <c r="IYA62"/>
      <c r="IYB62"/>
      <c r="IYC62"/>
      <c r="IYD62"/>
      <c r="IYE62"/>
      <c r="IYF62"/>
      <c r="IYG62"/>
      <c r="IYH62"/>
      <c r="IYI62"/>
      <c r="IYJ62"/>
      <c r="IYK62"/>
      <c r="IYL62"/>
      <c r="IYM62"/>
      <c r="IYN62"/>
      <c r="IYO62"/>
      <c r="IYP62"/>
      <c r="IYQ62"/>
      <c r="IYR62"/>
      <c r="IYS62"/>
      <c r="IYT62"/>
      <c r="IYU62"/>
      <c r="IYV62"/>
      <c r="IYW62"/>
      <c r="IYX62"/>
      <c r="IYY62"/>
      <c r="IYZ62"/>
      <c r="IZA62"/>
      <c r="IZB62"/>
      <c r="IZC62"/>
      <c r="IZD62"/>
      <c r="IZE62"/>
      <c r="IZF62"/>
      <c r="IZG62"/>
      <c r="IZH62"/>
      <c r="IZI62"/>
      <c r="IZJ62"/>
      <c r="IZK62"/>
      <c r="IZL62"/>
      <c r="IZM62"/>
      <c r="IZN62"/>
      <c r="IZO62"/>
      <c r="IZP62"/>
      <c r="IZQ62"/>
      <c r="IZR62"/>
      <c r="IZS62"/>
      <c r="IZT62"/>
      <c r="IZU62"/>
      <c r="IZV62"/>
      <c r="IZW62"/>
      <c r="IZX62"/>
      <c r="IZY62"/>
      <c r="IZZ62"/>
      <c r="JAA62"/>
      <c r="JAB62"/>
      <c r="JAC62"/>
      <c r="JAD62"/>
      <c r="JAE62"/>
      <c r="JAF62"/>
      <c r="JAG62"/>
      <c r="JAH62"/>
      <c r="JAI62"/>
      <c r="JAJ62"/>
      <c r="JAK62"/>
      <c r="JAL62"/>
      <c r="JAM62"/>
      <c r="JAN62"/>
      <c r="JAO62"/>
      <c r="JAP62"/>
      <c r="JAQ62"/>
      <c r="JAR62"/>
      <c r="JAS62"/>
      <c r="JAT62"/>
      <c r="JAU62"/>
      <c r="JAV62"/>
      <c r="JAW62"/>
      <c r="JAX62"/>
      <c r="JAY62"/>
      <c r="JAZ62"/>
      <c r="JBA62"/>
      <c r="JBB62"/>
      <c r="JBC62"/>
      <c r="JBD62"/>
      <c r="JBE62"/>
      <c r="JBF62"/>
      <c r="JBG62"/>
      <c r="JBH62"/>
      <c r="JBI62"/>
      <c r="JBJ62"/>
      <c r="JBK62"/>
      <c r="JBL62"/>
      <c r="JBM62"/>
      <c r="JBN62"/>
      <c r="JBO62"/>
      <c r="JBP62"/>
      <c r="JBQ62"/>
      <c r="JBR62"/>
      <c r="JBS62"/>
      <c r="JBT62"/>
      <c r="JBU62"/>
      <c r="JBV62"/>
      <c r="JBW62"/>
      <c r="JBX62"/>
      <c r="JBY62"/>
      <c r="JBZ62"/>
      <c r="JCA62"/>
      <c r="JCB62"/>
      <c r="JCC62"/>
      <c r="JCD62"/>
      <c r="JCE62"/>
      <c r="JCF62"/>
      <c r="JCG62"/>
      <c r="JCH62"/>
      <c r="JCI62"/>
      <c r="JCJ62"/>
      <c r="JCK62"/>
      <c r="JCL62"/>
      <c r="JCM62"/>
      <c r="JCN62"/>
      <c r="JCO62"/>
      <c r="JCP62"/>
      <c r="JCQ62"/>
      <c r="JCR62"/>
      <c r="JCS62"/>
      <c r="JCT62"/>
      <c r="JCU62"/>
      <c r="JCV62"/>
      <c r="JCW62"/>
      <c r="JCX62"/>
      <c r="JCY62"/>
      <c r="JCZ62"/>
      <c r="JDA62"/>
      <c r="JDB62"/>
      <c r="JDC62"/>
      <c r="JDD62"/>
      <c r="JDE62"/>
      <c r="JDF62"/>
      <c r="JDG62"/>
      <c r="JDH62"/>
      <c r="JDI62"/>
      <c r="JDJ62"/>
      <c r="JDK62"/>
      <c r="JDL62"/>
      <c r="JDM62"/>
      <c r="JDN62"/>
      <c r="JDO62"/>
      <c r="JDP62"/>
      <c r="JDQ62"/>
      <c r="JDR62"/>
      <c r="JDS62"/>
      <c r="JDT62"/>
      <c r="JDU62"/>
      <c r="JDV62"/>
      <c r="JDW62"/>
      <c r="JDX62"/>
      <c r="JDY62"/>
      <c r="JDZ62"/>
      <c r="JEA62"/>
      <c r="JEB62"/>
      <c r="JEC62"/>
      <c r="JED62"/>
      <c r="JEE62"/>
      <c r="JEF62"/>
      <c r="JEG62"/>
      <c r="JEH62"/>
      <c r="JEI62"/>
      <c r="JEJ62"/>
      <c r="JEK62"/>
      <c r="JEL62"/>
      <c r="JEM62"/>
      <c r="JEN62"/>
      <c r="JEO62"/>
      <c r="JEP62"/>
      <c r="JEQ62"/>
      <c r="JER62"/>
      <c r="JES62"/>
      <c r="JET62"/>
      <c r="JEU62"/>
      <c r="JEV62"/>
      <c r="JEW62"/>
      <c r="JEX62"/>
      <c r="JEY62"/>
      <c r="JEZ62"/>
      <c r="JFA62"/>
      <c r="JFB62"/>
      <c r="JFC62"/>
      <c r="JFD62"/>
      <c r="JFE62"/>
      <c r="JFF62"/>
      <c r="JFG62"/>
      <c r="JFH62"/>
      <c r="JFI62"/>
      <c r="JFJ62"/>
      <c r="JFK62"/>
      <c r="JFL62"/>
      <c r="JFM62"/>
      <c r="JFN62"/>
      <c r="JFO62"/>
      <c r="JFP62"/>
      <c r="JFQ62"/>
      <c r="JFR62"/>
      <c r="JFS62"/>
      <c r="JFT62"/>
      <c r="JFU62"/>
      <c r="JFV62"/>
      <c r="JFW62"/>
      <c r="JFX62"/>
      <c r="JFY62"/>
      <c r="JFZ62"/>
      <c r="JGA62"/>
      <c r="JGB62"/>
      <c r="JGC62"/>
      <c r="JGD62"/>
      <c r="JGE62"/>
      <c r="JGF62"/>
      <c r="JGG62"/>
      <c r="JGH62"/>
      <c r="JGI62"/>
      <c r="JGJ62"/>
      <c r="JGK62"/>
      <c r="JGL62"/>
      <c r="JGM62"/>
      <c r="JGN62"/>
      <c r="JGO62"/>
      <c r="JGP62"/>
      <c r="JGQ62"/>
      <c r="JGR62"/>
      <c r="JGS62"/>
      <c r="JGT62"/>
      <c r="JGU62"/>
      <c r="JGV62"/>
      <c r="JGW62"/>
      <c r="JGX62"/>
      <c r="JGY62"/>
      <c r="JGZ62"/>
      <c r="JHA62"/>
      <c r="JHB62"/>
      <c r="JHC62"/>
      <c r="JHD62"/>
      <c r="JHE62"/>
      <c r="JHF62"/>
      <c r="JHG62"/>
      <c r="JHH62"/>
      <c r="JHI62"/>
      <c r="JHJ62"/>
      <c r="JHK62"/>
      <c r="JHL62"/>
      <c r="JHM62"/>
      <c r="JHN62"/>
      <c r="JHO62"/>
      <c r="JHP62"/>
      <c r="JHQ62"/>
      <c r="JHR62"/>
      <c r="JHS62"/>
      <c r="JHT62"/>
      <c r="JHU62"/>
      <c r="JHV62"/>
      <c r="JHW62"/>
      <c r="JHX62"/>
      <c r="JHY62"/>
      <c r="JHZ62"/>
      <c r="JIA62"/>
      <c r="JIB62"/>
      <c r="JIC62"/>
      <c r="JID62"/>
      <c r="JIE62"/>
      <c r="JIF62"/>
      <c r="JIG62"/>
      <c r="JIH62"/>
      <c r="JII62"/>
      <c r="JIJ62"/>
      <c r="JIK62"/>
      <c r="JIL62"/>
      <c r="JIM62"/>
      <c r="JIN62"/>
      <c r="JIO62"/>
      <c r="JIP62"/>
      <c r="JIQ62"/>
      <c r="JIR62"/>
      <c r="JIS62"/>
      <c r="JIT62"/>
      <c r="JIU62"/>
      <c r="JIV62"/>
      <c r="JIW62"/>
      <c r="JIX62"/>
      <c r="JIY62"/>
      <c r="JIZ62"/>
      <c r="JJA62"/>
      <c r="JJB62"/>
      <c r="JJC62"/>
      <c r="JJD62"/>
      <c r="JJE62"/>
      <c r="JJF62"/>
      <c r="JJG62"/>
      <c r="JJH62"/>
      <c r="JJI62"/>
      <c r="JJJ62"/>
      <c r="JJK62"/>
      <c r="JJL62"/>
      <c r="JJM62"/>
      <c r="JJN62"/>
      <c r="JJO62"/>
      <c r="JJP62"/>
      <c r="JJQ62"/>
      <c r="JJR62"/>
      <c r="JJS62"/>
      <c r="JJT62"/>
      <c r="JJU62"/>
      <c r="JJV62"/>
      <c r="JJW62"/>
      <c r="JJX62"/>
      <c r="JJY62"/>
      <c r="JJZ62"/>
      <c r="JKA62"/>
      <c r="JKB62"/>
      <c r="JKC62"/>
      <c r="JKD62"/>
      <c r="JKE62"/>
      <c r="JKF62"/>
      <c r="JKG62"/>
      <c r="JKH62"/>
      <c r="JKI62"/>
      <c r="JKJ62"/>
      <c r="JKK62"/>
      <c r="JKL62"/>
      <c r="JKM62"/>
      <c r="JKN62"/>
      <c r="JKO62"/>
      <c r="JKP62"/>
      <c r="JKQ62"/>
      <c r="JKR62"/>
      <c r="JKS62"/>
      <c r="JKT62"/>
      <c r="JKU62"/>
      <c r="JKV62"/>
      <c r="JKW62"/>
      <c r="JKX62"/>
      <c r="JKY62"/>
      <c r="JKZ62"/>
      <c r="JLA62"/>
      <c r="JLB62"/>
      <c r="JLC62"/>
      <c r="JLD62"/>
      <c r="JLE62"/>
      <c r="JLF62"/>
      <c r="JLG62"/>
      <c r="JLH62"/>
      <c r="JLI62"/>
      <c r="JLJ62"/>
      <c r="JLK62"/>
      <c r="JLL62"/>
      <c r="JLM62"/>
      <c r="JLN62"/>
      <c r="JLO62"/>
      <c r="JLP62"/>
      <c r="JLQ62"/>
      <c r="JLR62"/>
      <c r="JLS62"/>
      <c r="JLT62"/>
      <c r="JLU62"/>
      <c r="JLV62"/>
      <c r="JLW62"/>
      <c r="JLX62"/>
      <c r="JLY62"/>
      <c r="JLZ62"/>
      <c r="JMA62"/>
      <c r="JMB62"/>
      <c r="JMC62"/>
      <c r="JMD62"/>
      <c r="JME62"/>
      <c r="JMF62"/>
      <c r="JMG62"/>
      <c r="JMH62"/>
      <c r="JMI62"/>
      <c r="JMJ62"/>
      <c r="JMK62"/>
      <c r="JML62"/>
      <c r="JMM62"/>
      <c r="JMN62"/>
      <c r="JMO62"/>
      <c r="JMP62"/>
      <c r="JMQ62"/>
      <c r="JMR62"/>
      <c r="JMS62"/>
      <c r="JMT62"/>
      <c r="JMU62"/>
      <c r="JMV62"/>
      <c r="JMW62"/>
      <c r="JMX62"/>
      <c r="JMY62"/>
      <c r="JMZ62"/>
      <c r="JNA62"/>
      <c r="JNB62"/>
      <c r="JNC62"/>
      <c r="JND62"/>
      <c r="JNE62"/>
      <c r="JNF62"/>
      <c r="JNG62"/>
      <c r="JNH62"/>
      <c r="JNI62"/>
      <c r="JNJ62"/>
      <c r="JNK62"/>
      <c r="JNL62"/>
      <c r="JNM62"/>
      <c r="JNN62"/>
      <c r="JNO62"/>
      <c r="JNP62"/>
      <c r="JNQ62"/>
      <c r="JNR62"/>
      <c r="JNS62"/>
      <c r="JNT62"/>
      <c r="JNU62"/>
      <c r="JNV62"/>
      <c r="JNW62"/>
      <c r="JNX62"/>
      <c r="JNY62"/>
      <c r="JNZ62"/>
      <c r="JOA62"/>
      <c r="JOB62"/>
      <c r="JOC62"/>
      <c r="JOD62"/>
      <c r="JOE62"/>
      <c r="JOF62"/>
      <c r="JOG62"/>
      <c r="JOH62"/>
      <c r="JOI62"/>
      <c r="JOJ62"/>
      <c r="JOK62"/>
      <c r="JOL62"/>
      <c r="JOM62"/>
      <c r="JON62"/>
      <c r="JOO62"/>
      <c r="JOP62"/>
      <c r="JOQ62"/>
      <c r="JOR62"/>
      <c r="JOS62"/>
      <c r="JOT62"/>
      <c r="JOU62"/>
      <c r="JOV62"/>
      <c r="JOW62"/>
      <c r="JOX62"/>
      <c r="JOY62"/>
      <c r="JOZ62"/>
      <c r="JPA62"/>
      <c r="JPB62"/>
      <c r="JPC62"/>
      <c r="JPD62"/>
      <c r="JPE62"/>
      <c r="JPF62"/>
      <c r="JPG62"/>
      <c r="JPH62"/>
      <c r="JPI62"/>
      <c r="JPJ62"/>
      <c r="JPK62"/>
      <c r="JPL62"/>
      <c r="JPM62"/>
      <c r="JPN62"/>
      <c r="JPO62"/>
      <c r="JPP62"/>
      <c r="JPQ62"/>
      <c r="JPR62"/>
      <c r="JPS62"/>
      <c r="JPT62"/>
      <c r="JPU62"/>
      <c r="JPV62"/>
      <c r="JPW62"/>
      <c r="JPX62"/>
      <c r="JPY62"/>
      <c r="JPZ62"/>
      <c r="JQA62"/>
      <c r="JQB62"/>
      <c r="JQC62"/>
      <c r="JQD62"/>
      <c r="JQE62"/>
      <c r="JQF62"/>
      <c r="JQG62"/>
      <c r="JQH62"/>
      <c r="JQI62"/>
      <c r="JQJ62"/>
      <c r="JQK62"/>
      <c r="JQL62"/>
      <c r="JQM62"/>
      <c r="JQN62"/>
      <c r="JQO62"/>
      <c r="JQP62"/>
      <c r="JQQ62"/>
      <c r="JQR62"/>
      <c r="JQS62"/>
      <c r="JQT62"/>
      <c r="JQU62"/>
      <c r="JQV62"/>
      <c r="JQW62"/>
      <c r="JQX62"/>
      <c r="JQY62"/>
      <c r="JQZ62"/>
      <c r="JRA62"/>
      <c r="JRB62"/>
      <c r="JRC62"/>
      <c r="JRD62"/>
      <c r="JRE62"/>
      <c r="JRF62"/>
      <c r="JRG62"/>
      <c r="JRH62"/>
      <c r="JRI62"/>
      <c r="JRJ62"/>
      <c r="JRK62"/>
      <c r="JRL62"/>
      <c r="JRM62"/>
      <c r="JRN62"/>
      <c r="JRO62"/>
      <c r="JRP62"/>
      <c r="JRQ62"/>
      <c r="JRR62"/>
      <c r="JRS62"/>
      <c r="JRT62"/>
      <c r="JRU62"/>
      <c r="JRV62"/>
      <c r="JRW62"/>
      <c r="JRX62"/>
      <c r="JRY62"/>
      <c r="JRZ62"/>
      <c r="JSA62"/>
      <c r="JSB62"/>
      <c r="JSC62"/>
      <c r="JSD62"/>
      <c r="JSE62"/>
      <c r="JSF62"/>
      <c r="JSG62"/>
      <c r="JSH62"/>
      <c r="JSI62"/>
      <c r="JSJ62"/>
      <c r="JSK62"/>
      <c r="JSL62"/>
      <c r="JSM62"/>
      <c r="JSN62"/>
      <c r="JSO62"/>
      <c r="JSP62"/>
      <c r="JSQ62"/>
      <c r="JSR62"/>
      <c r="JSS62"/>
      <c r="JST62"/>
      <c r="JSU62"/>
      <c r="JSV62"/>
      <c r="JSW62"/>
      <c r="JSX62"/>
      <c r="JSY62"/>
      <c r="JSZ62"/>
      <c r="JTA62"/>
      <c r="JTB62"/>
      <c r="JTC62"/>
      <c r="JTD62"/>
      <c r="JTE62"/>
      <c r="JTF62"/>
      <c r="JTG62"/>
      <c r="JTH62"/>
      <c r="JTI62"/>
      <c r="JTJ62"/>
      <c r="JTK62"/>
      <c r="JTL62"/>
      <c r="JTM62"/>
      <c r="JTN62"/>
      <c r="JTO62"/>
      <c r="JTP62"/>
      <c r="JTQ62"/>
      <c r="JTR62"/>
      <c r="JTS62"/>
      <c r="JTT62"/>
      <c r="JTU62"/>
      <c r="JTV62"/>
      <c r="JTW62"/>
      <c r="JTX62"/>
      <c r="JTY62"/>
      <c r="JTZ62"/>
      <c r="JUA62"/>
      <c r="JUB62"/>
      <c r="JUC62"/>
      <c r="JUD62"/>
      <c r="JUE62"/>
      <c r="JUF62"/>
      <c r="JUG62"/>
      <c r="JUH62"/>
      <c r="JUI62"/>
      <c r="JUJ62"/>
      <c r="JUK62"/>
      <c r="JUL62"/>
      <c r="JUM62"/>
      <c r="JUN62"/>
      <c r="JUO62"/>
      <c r="JUP62"/>
      <c r="JUQ62"/>
      <c r="JUR62"/>
      <c r="JUS62"/>
      <c r="JUT62"/>
      <c r="JUU62"/>
      <c r="JUV62"/>
      <c r="JUW62"/>
      <c r="JUX62"/>
      <c r="JUY62"/>
      <c r="JUZ62"/>
      <c r="JVA62"/>
      <c r="JVB62"/>
      <c r="JVC62"/>
      <c r="JVD62"/>
      <c r="JVE62"/>
      <c r="JVF62"/>
      <c r="JVG62"/>
      <c r="JVH62"/>
      <c r="JVI62"/>
      <c r="JVJ62"/>
      <c r="JVK62"/>
      <c r="JVL62"/>
      <c r="JVM62"/>
      <c r="JVN62"/>
      <c r="JVO62"/>
      <c r="JVP62"/>
      <c r="JVQ62"/>
      <c r="JVR62"/>
      <c r="JVS62"/>
      <c r="JVT62"/>
      <c r="JVU62"/>
      <c r="JVV62"/>
      <c r="JVW62"/>
      <c r="JVX62"/>
      <c r="JVY62"/>
      <c r="JVZ62"/>
      <c r="JWA62"/>
      <c r="JWB62"/>
      <c r="JWC62"/>
      <c r="JWD62"/>
      <c r="JWE62"/>
      <c r="JWF62"/>
      <c r="JWG62"/>
      <c r="JWH62"/>
      <c r="JWI62"/>
      <c r="JWJ62"/>
      <c r="JWK62"/>
      <c r="JWL62"/>
      <c r="JWM62"/>
      <c r="JWN62"/>
      <c r="JWO62"/>
      <c r="JWP62"/>
      <c r="JWQ62"/>
      <c r="JWR62"/>
      <c r="JWS62"/>
      <c r="JWT62"/>
      <c r="JWU62"/>
      <c r="JWV62"/>
      <c r="JWW62"/>
      <c r="JWX62"/>
      <c r="JWY62"/>
      <c r="JWZ62"/>
      <c r="JXA62"/>
      <c r="JXB62"/>
      <c r="JXC62"/>
      <c r="JXD62"/>
      <c r="JXE62"/>
      <c r="JXF62"/>
      <c r="JXG62"/>
      <c r="JXH62"/>
      <c r="JXI62"/>
      <c r="JXJ62"/>
      <c r="JXK62"/>
      <c r="JXL62"/>
      <c r="JXM62"/>
      <c r="JXN62"/>
      <c r="JXO62"/>
      <c r="JXP62"/>
      <c r="JXQ62"/>
      <c r="JXR62"/>
      <c r="JXS62"/>
      <c r="JXT62"/>
      <c r="JXU62"/>
      <c r="JXV62"/>
      <c r="JXW62"/>
      <c r="JXX62"/>
      <c r="JXY62"/>
      <c r="JXZ62"/>
      <c r="JYA62"/>
      <c r="JYB62"/>
      <c r="JYC62"/>
      <c r="JYD62"/>
      <c r="JYE62"/>
      <c r="JYF62"/>
      <c r="JYG62"/>
      <c r="JYH62"/>
      <c r="JYI62"/>
      <c r="JYJ62"/>
      <c r="JYK62"/>
      <c r="JYL62"/>
      <c r="JYM62"/>
      <c r="JYN62"/>
      <c r="JYO62"/>
      <c r="JYP62"/>
      <c r="JYQ62"/>
      <c r="JYR62"/>
      <c r="JYS62"/>
      <c r="JYT62"/>
      <c r="JYU62"/>
      <c r="JYV62"/>
      <c r="JYW62"/>
      <c r="JYX62"/>
      <c r="JYY62"/>
      <c r="JYZ62"/>
      <c r="JZA62"/>
      <c r="JZB62"/>
      <c r="JZC62"/>
      <c r="JZD62"/>
      <c r="JZE62"/>
      <c r="JZF62"/>
      <c r="JZG62"/>
      <c r="JZH62"/>
      <c r="JZI62"/>
      <c r="JZJ62"/>
      <c r="JZK62"/>
      <c r="JZL62"/>
      <c r="JZM62"/>
      <c r="JZN62"/>
      <c r="JZO62"/>
      <c r="JZP62"/>
      <c r="JZQ62"/>
      <c r="JZR62"/>
      <c r="JZS62"/>
      <c r="JZT62"/>
      <c r="JZU62"/>
      <c r="JZV62"/>
      <c r="JZW62"/>
      <c r="JZX62"/>
      <c r="JZY62"/>
      <c r="JZZ62"/>
      <c r="KAA62"/>
      <c r="KAB62"/>
      <c r="KAC62"/>
      <c r="KAD62"/>
      <c r="KAE62"/>
      <c r="KAF62"/>
      <c r="KAG62"/>
      <c r="KAH62"/>
      <c r="KAI62"/>
      <c r="KAJ62"/>
      <c r="KAK62"/>
      <c r="KAL62"/>
      <c r="KAM62"/>
      <c r="KAN62"/>
      <c r="KAO62"/>
      <c r="KAP62"/>
      <c r="KAQ62"/>
      <c r="KAR62"/>
      <c r="KAS62"/>
      <c r="KAT62"/>
      <c r="KAU62"/>
      <c r="KAV62"/>
      <c r="KAW62"/>
      <c r="KAX62"/>
      <c r="KAY62"/>
      <c r="KAZ62"/>
      <c r="KBA62"/>
      <c r="KBB62"/>
      <c r="KBC62"/>
      <c r="KBD62"/>
      <c r="KBE62"/>
      <c r="KBF62"/>
      <c r="KBG62"/>
      <c r="KBH62"/>
      <c r="KBI62"/>
      <c r="KBJ62"/>
      <c r="KBK62"/>
      <c r="KBL62"/>
      <c r="KBM62"/>
      <c r="KBN62"/>
      <c r="KBO62"/>
      <c r="KBP62"/>
      <c r="KBQ62"/>
      <c r="KBR62"/>
      <c r="KBS62"/>
      <c r="KBT62"/>
      <c r="KBU62"/>
      <c r="KBV62"/>
      <c r="KBW62"/>
      <c r="KBX62"/>
      <c r="KBY62"/>
      <c r="KBZ62"/>
      <c r="KCA62"/>
      <c r="KCB62"/>
      <c r="KCC62"/>
      <c r="KCD62"/>
      <c r="KCE62"/>
      <c r="KCF62"/>
      <c r="KCG62"/>
      <c r="KCH62"/>
      <c r="KCI62"/>
      <c r="KCJ62"/>
      <c r="KCK62"/>
      <c r="KCL62"/>
      <c r="KCM62"/>
      <c r="KCN62"/>
      <c r="KCO62"/>
      <c r="KCP62"/>
      <c r="KCQ62"/>
      <c r="KCR62"/>
      <c r="KCS62"/>
      <c r="KCT62"/>
      <c r="KCU62"/>
      <c r="KCV62"/>
      <c r="KCW62"/>
      <c r="KCX62"/>
      <c r="KCY62"/>
      <c r="KCZ62"/>
      <c r="KDA62"/>
      <c r="KDB62"/>
      <c r="KDC62"/>
      <c r="KDD62"/>
      <c r="KDE62"/>
      <c r="KDF62"/>
      <c r="KDG62"/>
      <c r="KDH62"/>
      <c r="KDI62"/>
      <c r="KDJ62"/>
      <c r="KDK62"/>
      <c r="KDL62"/>
      <c r="KDM62"/>
      <c r="KDN62"/>
      <c r="KDO62"/>
      <c r="KDP62"/>
      <c r="KDQ62"/>
      <c r="KDR62"/>
      <c r="KDS62"/>
      <c r="KDT62"/>
      <c r="KDU62"/>
      <c r="KDV62"/>
      <c r="KDW62"/>
      <c r="KDX62"/>
      <c r="KDY62"/>
      <c r="KDZ62"/>
      <c r="KEA62"/>
      <c r="KEB62"/>
      <c r="KEC62"/>
      <c r="KED62"/>
      <c r="KEE62"/>
      <c r="KEF62"/>
      <c r="KEG62"/>
      <c r="KEH62"/>
      <c r="KEI62"/>
      <c r="KEJ62"/>
      <c r="KEK62"/>
      <c r="KEL62"/>
      <c r="KEM62"/>
      <c r="KEN62"/>
      <c r="KEO62"/>
      <c r="KEP62"/>
      <c r="KEQ62"/>
      <c r="KER62"/>
      <c r="KES62"/>
      <c r="KET62"/>
      <c r="KEU62"/>
      <c r="KEV62"/>
      <c r="KEW62"/>
      <c r="KEX62"/>
      <c r="KEY62"/>
      <c r="KEZ62"/>
      <c r="KFA62"/>
      <c r="KFB62"/>
      <c r="KFC62"/>
      <c r="KFD62"/>
      <c r="KFE62"/>
      <c r="KFF62"/>
      <c r="KFG62"/>
      <c r="KFH62"/>
      <c r="KFI62"/>
      <c r="KFJ62"/>
      <c r="KFK62"/>
      <c r="KFL62"/>
      <c r="KFM62"/>
      <c r="KFN62"/>
      <c r="KFO62"/>
      <c r="KFP62"/>
      <c r="KFQ62"/>
      <c r="KFR62"/>
      <c r="KFS62"/>
      <c r="KFT62"/>
      <c r="KFU62"/>
      <c r="KFV62"/>
      <c r="KFW62"/>
      <c r="KFX62"/>
      <c r="KFY62"/>
      <c r="KFZ62"/>
      <c r="KGA62"/>
      <c r="KGB62"/>
      <c r="KGC62"/>
      <c r="KGD62"/>
      <c r="KGE62"/>
      <c r="KGF62"/>
      <c r="KGG62"/>
      <c r="KGH62"/>
      <c r="KGI62"/>
      <c r="KGJ62"/>
      <c r="KGK62"/>
      <c r="KGL62"/>
      <c r="KGM62"/>
      <c r="KGN62"/>
      <c r="KGO62"/>
      <c r="KGP62"/>
      <c r="KGQ62"/>
      <c r="KGR62"/>
      <c r="KGS62"/>
      <c r="KGT62"/>
      <c r="KGU62"/>
      <c r="KGV62"/>
      <c r="KGW62"/>
      <c r="KGX62"/>
      <c r="KGY62"/>
      <c r="KGZ62"/>
      <c r="KHA62"/>
      <c r="KHB62"/>
      <c r="KHC62"/>
      <c r="KHD62"/>
      <c r="KHE62"/>
      <c r="KHF62"/>
      <c r="KHG62"/>
      <c r="KHH62"/>
      <c r="KHI62"/>
      <c r="KHJ62"/>
      <c r="KHK62"/>
      <c r="KHL62"/>
      <c r="KHM62"/>
      <c r="KHN62"/>
      <c r="KHO62"/>
      <c r="KHP62"/>
      <c r="KHQ62"/>
      <c r="KHR62"/>
      <c r="KHS62"/>
      <c r="KHT62"/>
      <c r="KHU62"/>
      <c r="KHV62"/>
      <c r="KHW62"/>
      <c r="KHX62"/>
      <c r="KHY62"/>
      <c r="KHZ62"/>
      <c r="KIA62"/>
      <c r="KIB62"/>
      <c r="KIC62"/>
      <c r="KID62"/>
      <c r="KIE62"/>
      <c r="KIF62"/>
      <c r="KIG62"/>
      <c r="KIH62"/>
      <c r="KII62"/>
      <c r="KIJ62"/>
      <c r="KIK62"/>
      <c r="KIL62"/>
      <c r="KIM62"/>
      <c r="KIN62"/>
      <c r="KIO62"/>
      <c r="KIP62"/>
      <c r="KIQ62"/>
      <c r="KIR62"/>
      <c r="KIS62"/>
      <c r="KIT62"/>
      <c r="KIU62"/>
      <c r="KIV62"/>
      <c r="KIW62"/>
      <c r="KIX62"/>
      <c r="KIY62"/>
      <c r="KIZ62"/>
      <c r="KJA62"/>
      <c r="KJB62"/>
      <c r="KJC62"/>
      <c r="KJD62"/>
      <c r="KJE62"/>
      <c r="KJF62"/>
      <c r="KJG62"/>
      <c r="KJH62"/>
      <c r="KJI62"/>
      <c r="KJJ62"/>
      <c r="KJK62"/>
      <c r="KJL62"/>
      <c r="KJM62"/>
      <c r="KJN62"/>
      <c r="KJO62"/>
      <c r="KJP62"/>
      <c r="KJQ62"/>
      <c r="KJR62"/>
      <c r="KJS62"/>
      <c r="KJT62"/>
      <c r="KJU62"/>
      <c r="KJV62"/>
      <c r="KJW62"/>
      <c r="KJX62"/>
      <c r="KJY62"/>
      <c r="KJZ62"/>
      <c r="KKA62"/>
      <c r="KKB62"/>
      <c r="KKC62"/>
      <c r="KKD62"/>
      <c r="KKE62"/>
      <c r="KKF62"/>
      <c r="KKG62"/>
      <c r="KKH62"/>
      <c r="KKI62"/>
      <c r="KKJ62"/>
      <c r="KKK62"/>
      <c r="KKL62"/>
      <c r="KKM62"/>
      <c r="KKN62"/>
      <c r="KKO62"/>
      <c r="KKP62"/>
      <c r="KKQ62"/>
      <c r="KKR62"/>
      <c r="KKS62"/>
      <c r="KKT62"/>
      <c r="KKU62"/>
      <c r="KKV62"/>
      <c r="KKW62"/>
      <c r="KKX62"/>
      <c r="KKY62"/>
      <c r="KKZ62"/>
      <c r="KLA62"/>
      <c r="KLB62"/>
      <c r="KLC62"/>
      <c r="KLD62"/>
      <c r="KLE62"/>
      <c r="KLF62"/>
      <c r="KLG62"/>
      <c r="KLH62"/>
      <c r="KLI62"/>
      <c r="KLJ62"/>
      <c r="KLK62"/>
      <c r="KLL62"/>
      <c r="KLM62"/>
      <c r="KLN62"/>
      <c r="KLO62"/>
      <c r="KLP62"/>
      <c r="KLQ62"/>
      <c r="KLR62"/>
      <c r="KLS62"/>
      <c r="KLT62"/>
      <c r="KLU62"/>
      <c r="KLV62"/>
      <c r="KLW62"/>
      <c r="KLX62"/>
      <c r="KLY62"/>
      <c r="KLZ62"/>
      <c r="KMA62"/>
      <c r="KMB62"/>
      <c r="KMC62"/>
      <c r="KMD62"/>
      <c r="KME62"/>
      <c r="KMF62"/>
      <c r="KMG62"/>
      <c r="KMH62"/>
      <c r="KMI62"/>
      <c r="KMJ62"/>
      <c r="KMK62"/>
      <c r="KML62"/>
      <c r="KMM62"/>
      <c r="KMN62"/>
      <c r="KMO62"/>
      <c r="KMP62"/>
      <c r="KMQ62"/>
      <c r="KMR62"/>
      <c r="KMS62"/>
      <c r="KMT62"/>
      <c r="KMU62"/>
      <c r="KMV62"/>
      <c r="KMW62"/>
      <c r="KMX62"/>
      <c r="KMY62"/>
      <c r="KMZ62"/>
      <c r="KNA62"/>
      <c r="KNB62"/>
      <c r="KNC62"/>
      <c r="KND62"/>
      <c r="KNE62"/>
      <c r="KNF62"/>
      <c r="KNG62"/>
      <c r="KNH62"/>
      <c r="KNI62"/>
      <c r="KNJ62"/>
      <c r="KNK62"/>
      <c r="KNL62"/>
      <c r="KNM62"/>
      <c r="KNN62"/>
      <c r="KNO62"/>
      <c r="KNP62"/>
      <c r="KNQ62"/>
      <c r="KNR62"/>
      <c r="KNS62"/>
      <c r="KNT62"/>
      <c r="KNU62"/>
      <c r="KNV62"/>
      <c r="KNW62"/>
      <c r="KNX62"/>
      <c r="KNY62"/>
      <c r="KNZ62"/>
      <c r="KOA62"/>
      <c r="KOB62"/>
      <c r="KOC62"/>
      <c r="KOD62"/>
      <c r="KOE62"/>
      <c r="KOF62"/>
      <c r="KOG62"/>
      <c r="KOH62"/>
      <c r="KOI62"/>
      <c r="KOJ62"/>
      <c r="KOK62"/>
      <c r="KOL62"/>
      <c r="KOM62"/>
      <c r="KON62"/>
      <c r="KOO62"/>
      <c r="KOP62"/>
      <c r="KOQ62"/>
      <c r="KOR62"/>
      <c r="KOS62"/>
      <c r="KOT62"/>
      <c r="KOU62"/>
      <c r="KOV62"/>
      <c r="KOW62"/>
      <c r="KOX62"/>
      <c r="KOY62"/>
      <c r="KOZ62"/>
      <c r="KPA62"/>
      <c r="KPB62"/>
      <c r="KPC62"/>
      <c r="KPD62"/>
      <c r="KPE62"/>
      <c r="KPF62"/>
      <c r="KPG62"/>
      <c r="KPH62"/>
      <c r="KPI62"/>
      <c r="KPJ62"/>
      <c r="KPK62"/>
      <c r="KPL62"/>
      <c r="KPM62"/>
      <c r="KPN62"/>
      <c r="KPO62"/>
      <c r="KPP62"/>
      <c r="KPQ62"/>
      <c r="KPR62"/>
      <c r="KPS62"/>
      <c r="KPT62"/>
      <c r="KPU62"/>
      <c r="KPV62"/>
      <c r="KPW62"/>
      <c r="KPX62"/>
      <c r="KPY62"/>
      <c r="KPZ62"/>
      <c r="KQA62"/>
      <c r="KQB62"/>
      <c r="KQC62"/>
      <c r="KQD62"/>
      <c r="KQE62"/>
      <c r="KQF62"/>
      <c r="KQG62"/>
      <c r="KQH62"/>
      <c r="KQI62"/>
      <c r="KQJ62"/>
      <c r="KQK62"/>
      <c r="KQL62"/>
      <c r="KQM62"/>
      <c r="KQN62"/>
      <c r="KQO62"/>
      <c r="KQP62"/>
      <c r="KQQ62"/>
      <c r="KQR62"/>
      <c r="KQS62"/>
      <c r="KQT62"/>
      <c r="KQU62"/>
      <c r="KQV62"/>
      <c r="KQW62"/>
      <c r="KQX62"/>
      <c r="KQY62"/>
      <c r="KQZ62"/>
      <c r="KRA62"/>
      <c r="KRB62"/>
      <c r="KRC62"/>
      <c r="KRD62"/>
      <c r="KRE62"/>
      <c r="KRF62"/>
      <c r="KRG62"/>
      <c r="KRH62"/>
      <c r="KRI62"/>
      <c r="KRJ62"/>
      <c r="KRK62"/>
      <c r="KRL62"/>
      <c r="KRM62"/>
      <c r="KRN62"/>
      <c r="KRO62"/>
      <c r="KRP62"/>
      <c r="KRQ62"/>
      <c r="KRR62"/>
      <c r="KRS62"/>
      <c r="KRT62"/>
      <c r="KRU62"/>
      <c r="KRV62"/>
      <c r="KRW62"/>
      <c r="KRX62"/>
      <c r="KRY62"/>
      <c r="KRZ62"/>
      <c r="KSA62"/>
      <c r="KSB62"/>
      <c r="KSC62"/>
      <c r="KSD62"/>
      <c r="KSE62"/>
      <c r="KSF62"/>
      <c r="KSG62"/>
      <c r="KSH62"/>
      <c r="KSI62"/>
      <c r="KSJ62"/>
      <c r="KSK62"/>
      <c r="KSL62"/>
      <c r="KSM62"/>
      <c r="KSN62"/>
      <c r="KSO62"/>
      <c r="KSP62"/>
      <c r="KSQ62"/>
      <c r="KSR62"/>
      <c r="KSS62"/>
      <c r="KST62"/>
      <c r="KSU62"/>
      <c r="KSV62"/>
      <c r="KSW62"/>
      <c r="KSX62"/>
      <c r="KSY62"/>
      <c r="KSZ62"/>
      <c r="KTA62"/>
      <c r="KTB62"/>
      <c r="KTC62"/>
      <c r="KTD62"/>
      <c r="KTE62"/>
      <c r="KTF62"/>
      <c r="KTG62"/>
      <c r="KTH62"/>
      <c r="KTI62"/>
      <c r="KTJ62"/>
      <c r="KTK62"/>
      <c r="KTL62"/>
      <c r="KTM62"/>
      <c r="KTN62"/>
      <c r="KTO62"/>
      <c r="KTP62"/>
      <c r="KTQ62"/>
      <c r="KTR62"/>
      <c r="KTS62"/>
      <c r="KTT62"/>
      <c r="KTU62"/>
      <c r="KTV62"/>
      <c r="KTW62"/>
      <c r="KTX62"/>
      <c r="KTY62"/>
      <c r="KTZ62"/>
      <c r="KUA62"/>
      <c r="KUB62"/>
      <c r="KUC62"/>
      <c r="KUD62"/>
      <c r="KUE62"/>
      <c r="KUF62"/>
      <c r="KUG62"/>
      <c r="KUH62"/>
      <c r="KUI62"/>
      <c r="KUJ62"/>
      <c r="KUK62"/>
      <c r="KUL62"/>
      <c r="KUM62"/>
      <c r="KUN62"/>
      <c r="KUO62"/>
      <c r="KUP62"/>
      <c r="KUQ62"/>
      <c r="KUR62"/>
      <c r="KUS62"/>
      <c r="KUT62"/>
      <c r="KUU62"/>
      <c r="KUV62"/>
      <c r="KUW62"/>
      <c r="KUX62"/>
      <c r="KUY62"/>
      <c r="KUZ62"/>
      <c r="KVA62"/>
      <c r="KVB62"/>
      <c r="KVC62"/>
      <c r="KVD62"/>
      <c r="KVE62"/>
      <c r="KVF62"/>
      <c r="KVG62"/>
      <c r="KVH62"/>
      <c r="KVI62"/>
      <c r="KVJ62"/>
      <c r="KVK62"/>
      <c r="KVL62"/>
      <c r="KVM62"/>
      <c r="KVN62"/>
      <c r="KVO62"/>
      <c r="KVP62"/>
      <c r="KVQ62"/>
      <c r="KVR62"/>
      <c r="KVS62"/>
      <c r="KVT62"/>
      <c r="KVU62"/>
      <c r="KVV62"/>
      <c r="KVW62"/>
      <c r="KVX62"/>
      <c r="KVY62"/>
      <c r="KVZ62"/>
      <c r="KWA62"/>
      <c r="KWB62"/>
      <c r="KWC62"/>
      <c r="KWD62"/>
      <c r="KWE62"/>
      <c r="KWF62"/>
      <c r="KWG62"/>
      <c r="KWH62"/>
      <c r="KWI62"/>
      <c r="KWJ62"/>
      <c r="KWK62"/>
      <c r="KWL62"/>
      <c r="KWM62"/>
      <c r="KWN62"/>
      <c r="KWO62"/>
      <c r="KWP62"/>
      <c r="KWQ62"/>
      <c r="KWR62"/>
      <c r="KWS62"/>
      <c r="KWT62"/>
      <c r="KWU62"/>
      <c r="KWV62"/>
      <c r="KWW62"/>
      <c r="KWX62"/>
      <c r="KWY62"/>
      <c r="KWZ62"/>
      <c r="KXA62"/>
      <c r="KXB62"/>
      <c r="KXC62"/>
      <c r="KXD62"/>
      <c r="KXE62"/>
      <c r="KXF62"/>
      <c r="KXG62"/>
      <c r="KXH62"/>
      <c r="KXI62"/>
      <c r="KXJ62"/>
      <c r="KXK62"/>
      <c r="KXL62"/>
      <c r="KXM62"/>
      <c r="KXN62"/>
      <c r="KXO62"/>
      <c r="KXP62"/>
      <c r="KXQ62"/>
      <c r="KXR62"/>
      <c r="KXS62"/>
      <c r="KXT62"/>
      <c r="KXU62"/>
      <c r="KXV62"/>
      <c r="KXW62"/>
      <c r="KXX62"/>
      <c r="KXY62"/>
      <c r="KXZ62"/>
      <c r="KYA62"/>
      <c r="KYB62"/>
      <c r="KYC62"/>
      <c r="KYD62"/>
      <c r="KYE62"/>
      <c r="KYF62"/>
      <c r="KYG62"/>
      <c r="KYH62"/>
      <c r="KYI62"/>
      <c r="KYJ62"/>
      <c r="KYK62"/>
      <c r="KYL62"/>
      <c r="KYM62"/>
      <c r="KYN62"/>
      <c r="KYO62"/>
      <c r="KYP62"/>
      <c r="KYQ62"/>
      <c r="KYR62"/>
      <c r="KYS62"/>
      <c r="KYT62"/>
      <c r="KYU62"/>
      <c r="KYV62"/>
      <c r="KYW62"/>
      <c r="KYX62"/>
      <c r="KYY62"/>
      <c r="KYZ62"/>
      <c r="KZA62"/>
      <c r="KZB62"/>
      <c r="KZC62"/>
      <c r="KZD62"/>
      <c r="KZE62"/>
      <c r="KZF62"/>
      <c r="KZG62"/>
      <c r="KZH62"/>
      <c r="KZI62"/>
      <c r="KZJ62"/>
      <c r="KZK62"/>
      <c r="KZL62"/>
      <c r="KZM62"/>
      <c r="KZN62"/>
      <c r="KZO62"/>
      <c r="KZP62"/>
      <c r="KZQ62"/>
      <c r="KZR62"/>
      <c r="KZS62"/>
      <c r="KZT62"/>
      <c r="KZU62"/>
      <c r="KZV62"/>
      <c r="KZW62"/>
      <c r="KZX62"/>
      <c r="KZY62"/>
      <c r="KZZ62"/>
      <c r="LAA62"/>
      <c r="LAB62"/>
      <c r="LAC62"/>
      <c r="LAD62"/>
      <c r="LAE62"/>
      <c r="LAF62"/>
      <c r="LAG62"/>
      <c r="LAH62"/>
      <c r="LAI62"/>
      <c r="LAJ62"/>
      <c r="LAK62"/>
      <c r="LAL62"/>
      <c r="LAM62"/>
      <c r="LAN62"/>
      <c r="LAO62"/>
      <c r="LAP62"/>
      <c r="LAQ62"/>
      <c r="LAR62"/>
      <c r="LAS62"/>
      <c r="LAT62"/>
      <c r="LAU62"/>
      <c r="LAV62"/>
      <c r="LAW62"/>
      <c r="LAX62"/>
      <c r="LAY62"/>
      <c r="LAZ62"/>
      <c r="LBA62"/>
      <c r="LBB62"/>
      <c r="LBC62"/>
      <c r="LBD62"/>
      <c r="LBE62"/>
      <c r="LBF62"/>
      <c r="LBG62"/>
      <c r="LBH62"/>
      <c r="LBI62"/>
      <c r="LBJ62"/>
      <c r="LBK62"/>
      <c r="LBL62"/>
      <c r="LBM62"/>
      <c r="LBN62"/>
      <c r="LBO62"/>
      <c r="LBP62"/>
      <c r="LBQ62"/>
      <c r="LBR62"/>
      <c r="LBS62"/>
      <c r="LBT62"/>
      <c r="LBU62"/>
      <c r="LBV62"/>
      <c r="LBW62"/>
      <c r="LBX62"/>
      <c r="LBY62"/>
      <c r="LBZ62"/>
      <c r="LCA62"/>
      <c r="LCB62"/>
      <c r="LCC62"/>
      <c r="LCD62"/>
      <c r="LCE62"/>
      <c r="LCF62"/>
      <c r="LCG62"/>
      <c r="LCH62"/>
      <c r="LCI62"/>
      <c r="LCJ62"/>
      <c r="LCK62"/>
      <c r="LCL62"/>
      <c r="LCM62"/>
      <c r="LCN62"/>
      <c r="LCO62"/>
      <c r="LCP62"/>
      <c r="LCQ62"/>
      <c r="LCR62"/>
      <c r="LCS62"/>
      <c r="LCT62"/>
      <c r="LCU62"/>
      <c r="LCV62"/>
      <c r="LCW62"/>
      <c r="LCX62"/>
      <c r="LCY62"/>
      <c r="LCZ62"/>
      <c r="LDA62"/>
      <c r="LDB62"/>
      <c r="LDC62"/>
      <c r="LDD62"/>
      <c r="LDE62"/>
      <c r="LDF62"/>
      <c r="LDG62"/>
      <c r="LDH62"/>
      <c r="LDI62"/>
      <c r="LDJ62"/>
      <c r="LDK62"/>
      <c r="LDL62"/>
      <c r="LDM62"/>
      <c r="LDN62"/>
      <c r="LDO62"/>
      <c r="LDP62"/>
      <c r="LDQ62"/>
      <c r="LDR62"/>
      <c r="LDS62"/>
      <c r="LDT62"/>
      <c r="LDU62"/>
      <c r="LDV62"/>
      <c r="LDW62"/>
      <c r="LDX62"/>
      <c r="LDY62"/>
      <c r="LDZ62"/>
      <c r="LEA62"/>
      <c r="LEB62"/>
      <c r="LEC62"/>
      <c r="LED62"/>
      <c r="LEE62"/>
      <c r="LEF62"/>
      <c r="LEG62"/>
      <c r="LEH62"/>
      <c r="LEI62"/>
      <c r="LEJ62"/>
      <c r="LEK62"/>
      <c r="LEL62"/>
      <c r="LEM62"/>
      <c r="LEN62"/>
      <c r="LEO62"/>
      <c r="LEP62"/>
      <c r="LEQ62"/>
      <c r="LER62"/>
      <c r="LES62"/>
      <c r="LET62"/>
      <c r="LEU62"/>
      <c r="LEV62"/>
      <c r="LEW62"/>
      <c r="LEX62"/>
      <c r="LEY62"/>
      <c r="LEZ62"/>
      <c r="LFA62"/>
      <c r="LFB62"/>
      <c r="LFC62"/>
      <c r="LFD62"/>
      <c r="LFE62"/>
      <c r="LFF62"/>
      <c r="LFG62"/>
      <c r="LFH62"/>
      <c r="LFI62"/>
      <c r="LFJ62"/>
      <c r="LFK62"/>
      <c r="LFL62"/>
      <c r="LFM62"/>
      <c r="LFN62"/>
      <c r="LFO62"/>
      <c r="LFP62"/>
      <c r="LFQ62"/>
      <c r="LFR62"/>
      <c r="LFS62"/>
      <c r="LFT62"/>
      <c r="LFU62"/>
      <c r="LFV62"/>
      <c r="LFW62"/>
      <c r="LFX62"/>
      <c r="LFY62"/>
      <c r="LFZ62"/>
      <c r="LGA62"/>
      <c r="LGB62"/>
      <c r="LGC62"/>
      <c r="LGD62"/>
      <c r="LGE62"/>
      <c r="LGF62"/>
      <c r="LGG62"/>
      <c r="LGH62"/>
      <c r="LGI62"/>
      <c r="LGJ62"/>
      <c r="LGK62"/>
      <c r="LGL62"/>
      <c r="LGM62"/>
      <c r="LGN62"/>
      <c r="LGO62"/>
      <c r="LGP62"/>
      <c r="LGQ62"/>
      <c r="LGR62"/>
      <c r="LGS62"/>
      <c r="LGT62"/>
      <c r="LGU62"/>
      <c r="LGV62"/>
      <c r="LGW62"/>
      <c r="LGX62"/>
      <c r="LGY62"/>
      <c r="LGZ62"/>
      <c r="LHA62"/>
      <c r="LHB62"/>
      <c r="LHC62"/>
      <c r="LHD62"/>
      <c r="LHE62"/>
      <c r="LHF62"/>
      <c r="LHG62"/>
      <c r="LHH62"/>
      <c r="LHI62"/>
      <c r="LHJ62"/>
      <c r="LHK62"/>
      <c r="LHL62"/>
      <c r="LHM62"/>
      <c r="LHN62"/>
      <c r="LHO62"/>
      <c r="LHP62"/>
      <c r="LHQ62"/>
      <c r="LHR62"/>
      <c r="LHS62"/>
      <c r="LHT62"/>
      <c r="LHU62"/>
      <c r="LHV62"/>
      <c r="LHW62"/>
      <c r="LHX62"/>
      <c r="LHY62"/>
      <c r="LHZ62"/>
      <c r="LIA62"/>
      <c r="LIB62"/>
      <c r="LIC62"/>
      <c r="LID62"/>
      <c r="LIE62"/>
      <c r="LIF62"/>
      <c r="LIG62"/>
      <c r="LIH62"/>
      <c r="LII62"/>
      <c r="LIJ62"/>
      <c r="LIK62"/>
      <c r="LIL62"/>
      <c r="LIM62"/>
      <c r="LIN62"/>
      <c r="LIO62"/>
      <c r="LIP62"/>
      <c r="LIQ62"/>
      <c r="LIR62"/>
      <c r="LIS62"/>
      <c r="LIT62"/>
      <c r="LIU62"/>
      <c r="LIV62"/>
      <c r="LIW62"/>
      <c r="LIX62"/>
      <c r="LIY62"/>
      <c r="LIZ62"/>
      <c r="LJA62"/>
      <c r="LJB62"/>
      <c r="LJC62"/>
      <c r="LJD62"/>
      <c r="LJE62"/>
      <c r="LJF62"/>
      <c r="LJG62"/>
      <c r="LJH62"/>
      <c r="LJI62"/>
      <c r="LJJ62"/>
      <c r="LJK62"/>
      <c r="LJL62"/>
      <c r="LJM62"/>
      <c r="LJN62"/>
      <c r="LJO62"/>
      <c r="LJP62"/>
      <c r="LJQ62"/>
      <c r="LJR62"/>
      <c r="LJS62"/>
      <c r="LJT62"/>
      <c r="LJU62"/>
      <c r="LJV62"/>
      <c r="LJW62"/>
      <c r="LJX62"/>
      <c r="LJY62"/>
      <c r="LJZ62"/>
      <c r="LKA62"/>
      <c r="LKB62"/>
      <c r="LKC62"/>
      <c r="LKD62"/>
      <c r="LKE62"/>
      <c r="LKF62"/>
      <c r="LKG62"/>
      <c r="LKH62"/>
      <c r="LKI62"/>
      <c r="LKJ62"/>
      <c r="LKK62"/>
      <c r="LKL62"/>
      <c r="LKM62"/>
      <c r="LKN62"/>
      <c r="LKO62"/>
      <c r="LKP62"/>
      <c r="LKQ62"/>
      <c r="LKR62"/>
      <c r="LKS62"/>
      <c r="LKT62"/>
      <c r="LKU62"/>
      <c r="LKV62"/>
      <c r="LKW62"/>
      <c r="LKX62"/>
      <c r="LKY62"/>
      <c r="LKZ62"/>
      <c r="LLA62"/>
      <c r="LLB62"/>
      <c r="LLC62"/>
      <c r="LLD62"/>
      <c r="LLE62"/>
      <c r="LLF62"/>
      <c r="LLG62"/>
      <c r="LLH62"/>
      <c r="LLI62"/>
      <c r="LLJ62"/>
      <c r="LLK62"/>
      <c r="LLL62"/>
      <c r="LLM62"/>
      <c r="LLN62"/>
      <c r="LLO62"/>
      <c r="LLP62"/>
      <c r="LLQ62"/>
      <c r="LLR62"/>
      <c r="LLS62"/>
      <c r="LLT62"/>
      <c r="LLU62"/>
      <c r="LLV62"/>
      <c r="LLW62"/>
      <c r="LLX62"/>
      <c r="LLY62"/>
      <c r="LLZ62"/>
      <c r="LMA62"/>
      <c r="LMB62"/>
      <c r="LMC62"/>
      <c r="LMD62"/>
      <c r="LME62"/>
      <c r="LMF62"/>
      <c r="LMG62"/>
      <c r="LMH62"/>
      <c r="LMI62"/>
      <c r="LMJ62"/>
      <c r="LMK62"/>
      <c r="LML62"/>
      <c r="LMM62"/>
      <c r="LMN62"/>
      <c r="LMO62"/>
      <c r="LMP62"/>
      <c r="LMQ62"/>
      <c r="LMR62"/>
      <c r="LMS62"/>
      <c r="LMT62"/>
      <c r="LMU62"/>
      <c r="LMV62"/>
      <c r="LMW62"/>
      <c r="LMX62"/>
      <c r="LMY62"/>
      <c r="LMZ62"/>
      <c r="LNA62"/>
      <c r="LNB62"/>
      <c r="LNC62"/>
      <c r="LND62"/>
      <c r="LNE62"/>
      <c r="LNF62"/>
      <c r="LNG62"/>
      <c r="LNH62"/>
      <c r="LNI62"/>
      <c r="LNJ62"/>
      <c r="LNK62"/>
      <c r="LNL62"/>
      <c r="LNM62"/>
      <c r="LNN62"/>
      <c r="LNO62"/>
      <c r="LNP62"/>
      <c r="LNQ62"/>
      <c r="LNR62"/>
      <c r="LNS62"/>
      <c r="LNT62"/>
      <c r="LNU62"/>
      <c r="LNV62"/>
      <c r="LNW62"/>
      <c r="LNX62"/>
      <c r="LNY62"/>
      <c r="LNZ62"/>
      <c r="LOA62"/>
      <c r="LOB62"/>
      <c r="LOC62"/>
      <c r="LOD62"/>
      <c r="LOE62"/>
      <c r="LOF62"/>
      <c r="LOG62"/>
      <c r="LOH62"/>
      <c r="LOI62"/>
      <c r="LOJ62"/>
      <c r="LOK62"/>
      <c r="LOL62"/>
      <c r="LOM62"/>
      <c r="LON62"/>
      <c r="LOO62"/>
      <c r="LOP62"/>
      <c r="LOQ62"/>
      <c r="LOR62"/>
      <c r="LOS62"/>
      <c r="LOT62"/>
      <c r="LOU62"/>
      <c r="LOV62"/>
      <c r="LOW62"/>
      <c r="LOX62"/>
      <c r="LOY62"/>
      <c r="LOZ62"/>
      <c r="LPA62"/>
      <c r="LPB62"/>
      <c r="LPC62"/>
      <c r="LPD62"/>
      <c r="LPE62"/>
      <c r="LPF62"/>
      <c r="LPG62"/>
      <c r="LPH62"/>
      <c r="LPI62"/>
      <c r="LPJ62"/>
      <c r="LPK62"/>
      <c r="LPL62"/>
      <c r="LPM62"/>
      <c r="LPN62"/>
      <c r="LPO62"/>
      <c r="LPP62"/>
      <c r="LPQ62"/>
      <c r="LPR62"/>
      <c r="LPS62"/>
      <c r="LPT62"/>
      <c r="LPU62"/>
      <c r="LPV62"/>
      <c r="LPW62"/>
      <c r="LPX62"/>
      <c r="LPY62"/>
      <c r="LPZ62"/>
      <c r="LQA62"/>
      <c r="LQB62"/>
      <c r="LQC62"/>
      <c r="LQD62"/>
      <c r="LQE62"/>
      <c r="LQF62"/>
      <c r="LQG62"/>
      <c r="LQH62"/>
      <c r="LQI62"/>
      <c r="LQJ62"/>
      <c r="LQK62"/>
      <c r="LQL62"/>
      <c r="LQM62"/>
      <c r="LQN62"/>
      <c r="LQO62"/>
      <c r="LQP62"/>
      <c r="LQQ62"/>
      <c r="LQR62"/>
      <c r="LQS62"/>
      <c r="LQT62"/>
      <c r="LQU62"/>
      <c r="LQV62"/>
      <c r="LQW62"/>
      <c r="LQX62"/>
      <c r="LQY62"/>
      <c r="LQZ62"/>
      <c r="LRA62"/>
      <c r="LRB62"/>
      <c r="LRC62"/>
      <c r="LRD62"/>
      <c r="LRE62"/>
      <c r="LRF62"/>
      <c r="LRG62"/>
      <c r="LRH62"/>
      <c r="LRI62"/>
      <c r="LRJ62"/>
      <c r="LRK62"/>
      <c r="LRL62"/>
      <c r="LRM62"/>
      <c r="LRN62"/>
      <c r="LRO62"/>
      <c r="LRP62"/>
      <c r="LRQ62"/>
      <c r="LRR62"/>
      <c r="LRS62"/>
      <c r="LRT62"/>
      <c r="LRU62"/>
      <c r="LRV62"/>
      <c r="LRW62"/>
      <c r="LRX62"/>
      <c r="LRY62"/>
      <c r="LRZ62"/>
      <c r="LSA62"/>
      <c r="LSB62"/>
      <c r="LSC62"/>
      <c r="LSD62"/>
      <c r="LSE62"/>
      <c r="LSF62"/>
      <c r="LSG62"/>
      <c r="LSH62"/>
      <c r="LSI62"/>
      <c r="LSJ62"/>
      <c r="LSK62"/>
      <c r="LSL62"/>
      <c r="LSM62"/>
      <c r="LSN62"/>
      <c r="LSO62"/>
      <c r="LSP62"/>
      <c r="LSQ62"/>
      <c r="LSR62"/>
      <c r="LSS62"/>
      <c r="LST62"/>
      <c r="LSU62"/>
      <c r="LSV62"/>
      <c r="LSW62"/>
      <c r="LSX62"/>
      <c r="LSY62"/>
      <c r="LSZ62"/>
      <c r="LTA62"/>
      <c r="LTB62"/>
      <c r="LTC62"/>
      <c r="LTD62"/>
      <c r="LTE62"/>
      <c r="LTF62"/>
      <c r="LTG62"/>
      <c r="LTH62"/>
      <c r="LTI62"/>
      <c r="LTJ62"/>
      <c r="LTK62"/>
      <c r="LTL62"/>
      <c r="LTM62"/>
      <c r="LTN62"/>
      <c r="LTO62"/>
      <c r="LTP62"/>
      <c r="LTQ62"/>
      <c r="LTR62"/>
      <c r="LTS62"/>
      <c r="LTT62"/>
      <c r="LTU62"/>
      <c r="LTV62"/>
      <c r="LTW62"/>
      <c r="LTX62"/>
      <c r="LTY62"/>
      <c r="LTZ62"/>
      <c r="LUA62"/>
      <c r="LUB62"/>
      <c r="LUC62"/>
      <c r="LUD62"/>
      <c r="LUE62"/>
      <c r="LUF62"/>
      <c r="LUG62"/>
      <c r="LUH62"/>
      <c r="LUI62"/>
      <c r="LUJ62"/>
      <c r="LUK62"/>
      <c r="LUL62"/>
      <c r="LUM62"/>
      <c r="LUN62"/>
      <c r="LUO62"/>
      <c r="LUP62"/>
      <c r="LUQ62"/>
      <c r="LUR62"/>
      <c r="LUS62"/>
      <c r="LUT62"/>
      <c r="LUU62"/>
      <c r="LUV62"/>
      <c r="LUW62"/>
      <c r="LUX62"/>
      <c r="LUY62"/>
      <c r="LUZ62"/>
      <c r="LVA62"/>
      <c r="LVB62"/>
      <c r="LVC62"/>
      <c r="LVD62"/>
      <c r="LVE62"/>
      <c r="LVF62"/>
      <c r="LVG62"/>
      <c r="LVH62"/>
      <c r="LVI62"/>
      <c r="LVJ62"/>
      <c r="LVK62"/>
      <c r="LVL62"/>
      <c r="LVM62"/>
      <c r="LVN62"/>
      <c r="LVO62"/>
      <c r="LVP62"/>
      <c r="LVQ62"/>
      <c r="LVR62"/>
      <c r="LVS62"/>
      <c r="LVT62"/>
      <c r="LVU62"/>
      <c r="LVV62"/>
      <c r="LVW62"/>
      <c r="LVX62"/>
      <c r="LVY62"/>
      <c r="LVZ62"/>
      <c r="LWA62"/>
      <c r="LWB62"/>
      <c r="LWC62"/>
      <c r="LWD62"/>
      <c r="LWE62"/>
      <c r="LWF62"/>
      <c r="LWG62"/>
      <c r="LWH62"/>
      <c r="LWI62"/>
      <c r="LWJ62"/>
      <c r="LWK62"/>
      <c r="LWL62"/>
      <c r="LWM62"/>
      <c r="LWN62"/>
      <c r="LWO62"/>
      <c r="LWP62"/>
      <c r="LWQ62"/>
      <c r="LWR62"/>
      <c r="LWS62"/>
      <c r="LWT62"/>
      <c r="LWU62"/>
      <c r="LWV62"/>
      <c r="LWW62"/>
      <c r="LWX62"/>
      <c r="LWY62"/>
      <c r="LWZ62"/>
      <c r="LXA62"/>
      <c r="LXB62"/>
      <c r="LXC62"/>
      <c r="LXD62"/>
      <c r="LXE62"/>
      <c r="LXF62"/>
      <c r="LXG62"/>
      <c r="LXH62"/>
      <c r="LXI62"/>
      <c r="LXJ62"/>
      <c r="LXK62"/>
      <c r="LXL62"/>
      <c r="LXM62"/>
      <c r="LXN62"/>
      <c r="LXO62"/>
      <c r="LXP62"/>
      <c r="LXQ62"/>
      <c r="LXR62"/>
      <c r="LXS62"/>
      <c r="LXT62"/>
      <c r="LXU62"/>
      <c r="LXV62"/>
      <c r="LXW62"/>
      <c r="LXX62"/>
      <c r="LXY62"/>
      <c r="LXZ62"/>
      <c r="LYA62"/>
      <c r="LYB62"/>
      <c r="LYC62"/>
      <c r="LYD62"/>
      <c r="LYE62"/>
      <c r="LYF62"/>
      <c r="LYG62"/>
      <c r="LYH62"/>
      <c r="LYI62"/>
      <c r="LYJ62"/>
      <c r="LYK62"/>
      <c r="LYL62"/>
      <c r="LYM62"/>
      <c r="LYN62"/>
      <c r="LYO62"/>
      <c r="LYP62"/>
      <c r="LYQ62"/>
      <c r="LYR62"/>
      <c r="LYS62"/>
      <c r="LYT62"/>
      <c r="LYU62"/>
      <c r="LYV62"/>
      <c r="LYW62"/>
      <c r="LYX62"/>
      <c r="LYY62"/>
      <c r="LYZ62"/>
      <c r="LZA62"/>
      <c r="LZB62"/>
      <c r="LZC62"/>
      <c r="LZD62"/>
      <c r="LZE62"/>
      <c r="LZF62"/>
      <c r="LZG62"/>
      <c r="LZH62"/>
      <c r="LZI62"/>
      <c r="LZJ62"/>
      <c r="LZK62"/>
      <c r="LZL62"/>
      <c r="LZM62"/>
      <c r="LZN62"/>
      <c r="LZO62"/>
      <c r="LZP62"/>
      <c r="LZQ62"/>
      <c r="LZR62"/>
      <c r="LZS62"/>
      <c r="LZT62"/>
      <c r="LZU62"/>
      <c r="LZV62"/>
      <c r="LZW62"/>
      <c r="LZX62"/>
      <c r="LZY62"/>
      <c r="LZZ62"/>
      <c r="MAA62"/>
      <c r="MAB62"/>
      <c r="MAC62"/>
      <c r="MAD62"/>
      <c r="MAE62"/>
      <c r="MAF62"/>
      <c r="MAG62"/>
      <c r="MAH62"/>
      <c r="MAI62"/>
      <c r="MAJ62"/>
      <c r="MAK62"/>
      <c r="MAL62"/>
      <c r="MAM62"/>
      <c r="MAN62"/>
      <c r="MAO62"/>
      <c r="MAP62"/>
      <c r="MAQ62"/>
      <c r="MAR62"/>
      <c r="MAS62"/>
      <c r="MAT62"/>
      <c r="MAU62"/>
      <c r="MAV62"/>
      <c r="MAW62"/>
      <c r="MAX62"/>
      <c r="MAY62"/>
      <c r="MAZ62"/>
      <c r="MBA62"/>
      <c r="MBB62"/>
      <c r="MBC62"/>
      <c r="MBD62"/>
      <c r="MBE62"/>
      <c r="MBF62"/>
      <c r="MBG62"/>
      <c r="MBH62"/>
      <c r="MBI62"/>
      <c r="MBJ62"/>
      <c r="MBK62"/>
      <c r="MBL62"/>
      <c r="MBM62"/>
      <c r="MBN62"/>
      <c r="MBO62"/>
      <c r="MBP62"/>
      <c r="MBQ62"/>
      <c r="MBR62"/>
      <c r="MBS62"/>
      <c r="MBT62"/>
      <c r="MBU62"/>
      <c r="MBV62"/>
      <c r="MBW62"/>
      <c r="MBX62"/>
      <c r="MBY62"/>
      <c r="MBZ62"/>
      <c r="MCA62"/>
      <c r="MCB62"/>
      <c r="MCC62"/>
      <c r="MCD62"/>
      <c r="MCE62"/>
      <c r="MCF62"/>
      <c r="MCG62"/>
      <c r="MCH62"/>
      <c r="MCI62"/>
      <c r="MCJ62"/>
      <c r="MCK62"/>
      <c r="MCL62"/>
      <c r="MCM62"/>
      <c r="MCN62"/>
      <c r="MCO62"/>
      <c r="MCP62"/>
      <c r="MCQ62"/>
      <c r="MCR62"/>
      <c r="MCS62"/>
      <c r="MCT62"/>
      <c r="MCU62"/>
      <c r="MCV62"/>
      <c r="MCW62"/>
      <c r="MCX62"/>
      <c r="MCY62"/>
      <c r="MCZ62"/>
      <c r="MDA62"/>
      <c r="MDB62"/>
      <c r="MDC62"/>
      <c r="MDD62"/>
      <c r="MDE62"/>
      <c r="MDF62"/>
      <c r="MDG62"/>
      <c r="MDH62"/>
      <c r="MDI62"/>
      <c r="MDJ62"/>
      <c r="MDK62"/>
      <c r="MDL62"/>
      <c r="MDM62"/>
      <c r="MDN62"/>
      <c r="MDO62"/>
      <c r="MDP62"/>
      <c r="MDQ62"/>
      <c r="MDR62"/>
      <c r="MDS62"/>
      <c r="MDT62"/>
      <c r="MDU62"/>
      <c r="MDV62"/>
      <c r="MDW62"/>
      <c r="MDX62"/>
      <c r="MDY62"/>
      <c r="MDZ62"/>
      <c r="MEA62"/>
      <c r="MEB62"/>
      <c r="MEC62"/>
      <c r="MED62"/>
      <c r="MEE62"/>
      <c r="MEF62"/>
      <c r="MEG62"/>
      <c r="MEH62"/>
      <c r="MEI62"/>
      <c r="MEJ62"/>
      <c r="MEK62"/>
      <c r="MEL62"/>
      <c r="MEM62"/>
      <c r="MEN62"/>
      <c r="MEO62"/>
      <c r="MEP62"/>
      <c r="MEQ62"/>
      <c r="MER62"/>
      <c r="MES62"/>
      <c r="MET62"/>
      <c r="MEU62"/>
      <c r="MEV62"/>
      <c r="MEW62"/>
      <c r="MEX62"/>
      <c r="MEY62"/>
      <c r="MEZ62"/>
      <c r="MFA62"/>
      <c r="MFB62"/>
      <c r="MFC62"/>
      <c r="MFD62"/>
      <c r="MFE62"/>
      <c r="MFF62"/>
      <c r="MFG62"/>
      <c r="MFH62"/>
      <c r="MFI62"/>
      <c r="MFJ62"/>
      <c r="MFK62"/>
      <c r="MFL62"/>
      <c r="MFM62"/>
      <c r="MFN62"/>
      <c r="MFO62"/>
      <c r="MFP62"/>
      <c r="MFQ62"/>
      <c r="MFR62"/>
      <c r="MFS62"/>
      <c r="MFT62"/>
      <c r="MFU62"/>
      <c r="MFV62"/>
      <c r="MFW62"/>
      <c r="MFX62"/>
      <c r="MFY62"/>
      <c r="MFZ62"/>
      <c r="MGA62"/>
      <c r="MGB62"/>
      <c r="MGC62"/>
      <c r="MGD62"/>
      <c r="MGE62"/>
      <c r="MGF62"/>
      <c r="MGG62"/>
      <c r="MGH62"/>
      <c r="MGI62"/>
      <c r="MGJ62"/>
      <c r="MGK62"/>
      <c r="MGL62"/>
      <c r="MGM62"/>
      <c r="MGN62"/>
      <c r="MGO62"/>
      <c r="MGP62"/>
      <c r="MGQ62"/>
      <c r="MGR62"/>
      <c r="MGS62"/>
      <c r="MGT62"/>
      <c r="MGU62"/>
      <c r="MGV62"/>
      <c r="MGW62"/>
      <c r="MGX62"/>
      <c r="MGY62"/>
      <c r="MGZ62"/>
      <c r="MHA62"/>
      <c r="MHB62"/>
      <c r="MHC62"/>
      <c r="MHD62"/>
      <c r="MHE62"/>
      <c r="MHF62"/>
      <c r="MHG62"/>
      <c r="MHH62"/>
      <c r="MHI62"/>
      <c r="MHJ62"/>
      <c r="MHK62"/>
      <c r="MHL62"/>
      <c r="MHM62"/>
      <c r="MHN62"/>
      <c r="MHO62"/>
      <c r="MHP62"/>
      <c r="MHQ62"/>
      <c r="MHR62"/>
      <c r="MHS62"/>
      <c r="MHT62"/>
      <c r="MHU62"/>
      <c r="MHV62"/>
      <c r="MHW62"/>
      <c r="MHX62"/>
      <c r="MHY62"/>
      <c r="MHZ62"/>
      <c r="MIA62"/>
      <c r="MIB62"/>
      <c r="MIC62"/>
      <c r="MID62"/>
      <c r="MIE62"/>
      <c r="MIF62"/>
      <c r="MIG62"/>
      <c r="MIH62"/>
      <c r="MII62"/>
      <c r="MIJ62"/>
      <c r="MIK62"/>
      <c r="MIL62"/>
      <c r="MIM62"/>
      <c r="MIN62"/>
      <c r="MIO62"/>
      <c r="MIP62"/>
      <c r="MIQ62"/>
      <c r="MIR62"/>
      <c r="MIS62"/>
      <c r="MIT62"/>
      <c r="MIU62"/>
      <c r="MIV62"/>
      <c r="MIW62"/>
      <c r="MIX62"/>
      <c r="MIY62"/>
      <c r="MIZ62"/>
      <c r="MJA62"/>
      <c r="MJB62"/>
      <c r="MJC62"/>
      <c r="MJD62"/>
      <c r="MJE62"/>
      <c r="MJF62"/>
      <c r="MJG62"/>
      <c r="MJH62"/>
      <c r="MJI62"/>
      <c r="MJJ62"/>
      <c r="MJK62"/>
      <c r="MJL62"/>
      <c r="MJM62"/>
      <c r="MJN62"/>
      <c r="MJO62"/>
      <c r="MJP62"/>
      <c r="MJQ62"/>
      <c r="MJR62"/>
      <c r="MJS62"/>
      <c r="MJT62"/>
      <c r="MJU62"/>
      <c r="MJV62"/>
      <c r="MJW62"/>
      <c r="MJX62"/>
      <c r="MJY62"/>
      <c r="MJZ62"/>
      <c r="MKA62"/>
      <c r="MKB62"/>
      <c r="MKC62"/>
      <c r="MKD62"/>
      <c r="MKE62"/>
      <c r="MKF62"/>
      <c r="MKG62"/>
      <c r="MKH62"/>
      <c r="MKI62"/>
      <c r="MKJ62"/>
      <c r="MKK62"/>
      <c r="MKL62"/>
      <c r="MKM62"/>
      <c r="MKN62"/>
      <c r="MKO62"/>
      <c r="MKP62"/>
      <c r="MKQ62"/>
      <c r="MKR62"/>
      <c r="MKS62"/>
      <c r="MKT62"/>
      <c r="MKU62"/>
      <c r="MKV62"/>
      <c r="MKW62"/>
      <c r="MKX62"/>
      <c r="MKY62"/>
      <c r="MKZ62"/>
      <c r="MLA62"/>
      <c r="MLB62"/>
      <c r="MLC62"/>
      <c r="MLD62"/>
      <c r="MLE62"/>
      <c r="MLF62"/>
      <c r="MLG62"/>
      <c r="MLH62"/>
      <c r="MLI62"/>
      <c r="MLJ62"/>
      <c r="MLK62"/>
      <c r="MLL62"/>
      <c r="MLM62"/>
      <c r="MLN62"/>
      <c r="MLO62"/>
      <c r="MLP62"/>
      <c r="MLQ62"/>
      <c r="MLR62"/>
      <c r="MLS62"/>
      <c r="MLT62"/>
      <c r="MLU62"/>
      <c r="MLV62"/>
      <c r="MLW62"/>
      <c r="MLX62"/>
      <c r="MLY62"/>
      <c r="MLZ62"/>
      <c r="MMA62"/>
      <c r="MMB62"/>
      <c r="MMC62"/>
      <c r="MMD62"/>
      <c r="MME62"/>
      <c r="MMF62"/>
      <c r="MMG62"/>
      <c r="MMH62"/>
      <c r="MMI62"/>
      <c r="MMJ62"/>
      <c r="MMK62"/>
      <c r="MML62"/>
      <c r="MMM62"/>
      <c r="MMN62"/>
      <c r="MMO62"/>
      <c r="MMP62"/>
      <c r="MMQ62"/>
      <c r="MMR62"/>
      <c r="MMS62"/>
      <c r="MMT62"/>
      <c r="MMU62"/>
      <c r="MMV62"/>
      <c r="MMW62"/>
      <c r="MMX62"/>
      <c r="MMY62"/>
      <c r="MMZ62"/>
      <c r="MNA62"/>
      <c r="MNB62"/>
      <c r="MNC62"/>
      <c r="MND62"/>
      <c r="MNE62"/>
      <c r="MNF62"/>
      <c r="MNG62"/>
      <c r="MNH62"/>
      <c r="MNI62"/>
      <c r="MNJ62"/>
      <c r="MNK62"/>
      <c r="MNL62"/>
      <c r="MNM62"/>
      <c r="MNN62"/>
      <c r="MNO62"/>
      <c r="MNP62"/>
      <c r="MNQ62"/>
      <c r="MNR62"/>
      <c r="MNS62"/>
      <c r="MNT62"/>
      <c r="MNU62"/>
      <c r="MNV62"/>
      <c r="MNW62"/>
      <c r="MNX62"/>
      <c r="MNY62"/>
      <c r="MNZ62"/>
      <c r="MOA62"/>
      <c r="MOB62"/>
      <c r="MOC62"/>
      <c r="MOD62"/>
      <c r="MOE62"/>
      <c r="MOF62"/>
      <c r="MOG62"/>
      <c r="MOH62"/>
      <c r="MOI62"/>
      <c r="MOJ62"/>
      <c r="MOK62"/>
      <c r="MOL62"/>
      <c r="MOM62"/>
      <c r="MON62"/>
      <c r="MOO62"/>
      <c r="MOP62"/>
      <c r="MOQ62"/>
      <c r="MOR62"/>
      <c r="MOS62"/>
      <c r="MOT62"/>
      <c r="MOU62"/>
      <c r="MOV62"/>
      <c r="MOW62"/>
      <c r="MOX62"/>
      <c r="MOY62"/>
      <c r="MOZ62"/>
      <c r="MPA62"/>
      <c r="MPB62"/>
      <c r="MPC62"/>
      <c r="MPD62"/>
      <c r="MPE62"/>
      <c r="MPF62"/>
      <c r="MPG62"/>
      <c r="MPH62"/>
      <c r="MPI62"/>
      <c r="MPJ62"/>
      <c r="MPK62"/>
      <c r="MPL62"/>
      <c r="MPM62"/>
      <c r="MPN62"/>
      <c r="MPO62"/>
      <c r="MPP62"/>
      <c r="MPQ62"/>
      <c r="MPR62"/>
      <c r="MPS62"/>
      <c r="MPT62"/>
      <c r="MPU62"/>
      <c r="MPV62"/>
      <c r="MPW62"/>
      <c r="MPX62"/>
      <c r="MPY62"/>
      <c r="MPZ62"/>
      <c r="MQA62"/>
      <c r="MQB62"/>
      <c r="MQC62"/>
      <c r="MQD62"/>
      <c r="MQE62"/>
      <c r="MQF62"/>
      <c r="MQG62"/>
      <c r="MQH62"/>
      <c r="MQI62"/>
      <c r="MQJ62"/>
      <c r="MQK62"/>
      <c r="MQL62"/>
      <c r="MQM62"/>
      <c r="MQN62"/>
      <c r="MQO62"/>
      <c r="MQP62"/>
      <c r="MQQ62"/>
      <c r="MQR62"/>
      <c r="MQS62"/>
      <c r="MQT62"/>
      <c r="MQU62"/>
      <c r="MQV62"/>
      <c r="MQW62"/>
      <c r="MQX62"/>
      <c r="MQY62"/>
      <c r="MQZ62"/>
      <c r="MRA62"/>
      <c r="MRB62"/>
      <c r="MRC62"/>
      <c r="MRD62"/>
      <c r="MRE62"/>
      <c r="MRF62"/>
      <c r="MRG62"/>
      <c r="MRH62"/>
      <c r="MRI62"/>
      <c r="MRJ62"/>
      <c r="MRK62"/>
      <c r="MRL62"/>
      <c r="MRM62"/>
      <c r="MRN62"/>
      <c r="MRO62"/>
      <c r="MRP62"/>
      <c r="MRQ62"/>
      <c r="MRR62"/>
      <c r="MRS62"/>
      <c r="MRT62"/>
      <c r="MRU62"/>
      <c r="MRV62"/>
      <c r="MRW62"/>
      <c r="MRX62"/>
      <c r="MRY62"/>
      <c r="MRZ62"/>
      <c r="MSA62"/>
      <c r="MSB62"/>
      <c r="MSC62"/>
      <c r="MSD62"/>
      <c r="MSE62"/>
      <c r="MSF62"/>
      <c r="MSG62"/>
      <c r="MSH62"/>
      <c r="MSI62"/>
      <c r="MSJ62"/>
      <c r="MSK62"/>
      <c r="MSL62"/>
      <c r="MSM62"/>
      <c r="MSN62"/>
      <c r="MSO62"/>
      <c r="MSP62"/>
      <c r="MSQ62"/>
      <c r="MSR62"/>
      <c r="MSS62"/>
      <c r="MST62"/>
      <c r="MSU62"/>
      <c r="MSV62"/>
      <c r="MSW62"/>
      <c r="MSX62"/>
      <c r="MSY62"/>
      <c r="MSZ62"/>
      <c r="MTA62"/>
      <c r="MTB62"/>
      <c r="MTC62"/>
      <c r="MTD62"/>
      <c r="MTE62"/>
      <c r="MTF62"/>
      <c r="MTG62"/>
      <c r="MTH62"/>
      <c r="MTI62"/>
      <c r="MTJ62"/>
      <c r="MTK62"/>
      <c r="MTL62"/>
      <c r="MTM62"/>
      <c r="MTN62"/>
      <c r="MTO62"/>
      <c r="MTP62"/>
      <c r="MTQ62"/>
      <c r="MTR62"/>
      <c r="MTS62"/>
      <c r="MTT62"/>
      <c r="MTU62"/>
      <c r="MTV62"/>
      <c r="MTW62"/>
      <c r="MTX62"/>
      <c r="MTY62"/>
      <c r="MTZ62"/>
      <c r="MUA62"/>
      <c r="MUB62"/>
      <c r="MUC62"/>
      <c r="MUD62"/>
      <c r="MUE62"/>
      <c r="MUF62"/>
      <c r="MUG62"/>
      <c r="MUH62"/>
      <c r="MUI62"/>
      <c r="MUJ62"/>
      <c r="MUK62"/>
      <c r="MUL62"/>
      <c r="MUM62"/>
      <c r="MUN62"/>
      <c r="MUO62"/>
      <c r="MUP62"/>
      <c r="MUQ62"/>
      <c r="MUR62"/>
      <c r="MUS62"/>
      <c r="MUT62"/>
      <c r="MUU62"/>
      <c r="MUV62"/>
      <c r="MUW62"/>
      <c r="MUX62"/>
      <c r="MUY62"/>
      <c r="MUZ62"/>
      <c r="MVA62"/>
      <c r="MVB62"/>
      <c r="MVC62"/>
      <c r="MVD62"/>
      <c r="MVE62"/>
      <c r="MVF62"/>
      <c r="MVG62"/>
      <c r="MVH62"/>
      <c r="MVI62"/>
      <c r="MVJ62"/>
      <c r="MVK62"/>
      <c r="MVL62"/>
      <c r="MVM62"/>
      <c r="MVN62"/>
      <c r="MVO62"/>
      <c r="MVP62"/>
      <c r="MVQ62"/>
      <c r="MVR62"/>
      <c r="MVS62"/>
      <c r="MVT62"/>
      <c r="MVU62"/>
      <c r="MVV62"/>
      <c r="MVW62"/>
      <c r="MVX62"/>
      <c r="MVY62"/>
      <c r="MVZ62"/>
      <c r="MWA62"/>
      <c r="MWB62"/>
      <c r="MWC62"/>
      <c r="MWD62"/>
      <c r="MWE62"/>
      <c r="MWF62"/>
      <c r="MWG62"/>
      <c r="MWH62"/>
      <c r="MWI62"/>
      <c r="MWJ62"/>
      <c r="MWK62"/>
      <c r="MWL62"/>
      <c r="MWM62"/>
      <c r="MWN62"/>
      <c r="MWO62"/>
      <c r="MWP62"/>
      <c r="MWQ62"/>
      <c r="MWR62"/>
      <c r="MWS62"/>
      <c r="MWT62"/>
      <c r="MWU62"/>
      <c r="MWV62"/>
      <c r="MWW62"/>
      <c r="MWX62"/>
      <c r="MWY62"/>
      <c r="MWZ62"/>
      <c r="MXA62"/>
      <c r="MXB62"/>
      <c r="MXC62"/>
      <c r="MXD62"/>
      <c r="MXE62"/>
      <c r="MXF62"/>
      <c r="MXG62"/>
      <c r="MXH62"/>
      <c r="MXI62"/>
      <c r="MXJ62"/>
      <c r="MXK62"/>
      <c r="MXL62"/>
      <c r="MXM62"/>
      <c r="MXN62"/>
      <c r="MXO62"/>
      <c r="MXP62"/>
      <c r="MXQ62"/>
      <c r="MXR62"/>
      <c r="MXS62"/>
      <c r="MXT62"/>
      <c r="MXU62"/>
      <c r="MXV62"/>
      <c r="MXW62"/>
      <c r="MXX62"/>
      <c r="MXY62"/>
      <c r="MXZ62"/>
      <c r="MYA62"/>
      <c r="MYB62"/>
      <c r="MYC62"/>
      <c r="MYD62"/>
      <c r="MYE62"/>
      <c r="MYF62"/>
      <c r="MYG62"/>
      <c r="MYH62"/>
      <c r="MYI62"/>
      <c r="MYJ62"/>
      <c r="MYK62"/>
      <c r="MYL62"/>
      <c r="MYM62"/>
      <c r="MYN62"/>
      <c r="MYO62"/>
      <c r="MYP62"/>
      <c r="MYQ62"/>
      <c r="MYR62"/>
      <c r="MYS62"/>
      <c r="MYT62"/>
      <c r="MYU62"/>
      <c r="MYV62"/>
      <c r="MYW62"/>
      <c r="MYX62"/>
      <c r="MYY62"/>
      <c r="MYZ62"/>
      <c r="MZA62"/>
      <c r="MZB62"/>
      <c r="MZC62"/>
      <c r="MZD62"/>
      <c r="MZE62"/>
      <c r="MZF62"/>
      <c r="MZG62"/>
      <c r="MZH62"/>
      <c r="MZI62"/>
      <c r="MZJ62"/>
      <c r="MZK62"/>
      <c r="MZL62"/>
      <c r="MZM62"/>
      <c r="MZN62"/>
      <c r="MZO62"/>
      <c r="MZP62"/>
      <c r="MZQ62"/>
      <c r="MZR62"/>
      <c r="MZS62"/>
      <c r="MZT62"/>
      <c r="MZU62"/>
      <c r="MZV62"/>
      <c r="MZW62"/>
      <c r="MZX62"/>
      <c r="MZY62"/>
      <c r="MZZ62"/>
      <c r="NAA62"/>
      <c r="NAB62"/>
      <c r="NAC62"/>
      <c r="NAD62"/>
      <c r="NAE62"/>
      <c r="NAF62"/>
      <c r="NAG62"/>
      <c r="NAH62"/>
      <c r="NAI62"/>
      <c r="NAJ62"/>
      <c r="NAK62"/>
      <c r="NAL62"/>
      <c r="NAM62"/>
      <c r="NAN62"/>
      <c r="NAO62"/>
      <c r="NAP62"/>
      <c r="NAQ62"/>
      <c r="NAR62"/>
      <c r="NAS62"/>
      <c r="NAT62"/>
      <c r="NAU62"/>
      <c r="NAV62"/>
      <c r="NAW62"/>
      <c r="NAX62"/>
      <c r="NAY62"/>
      <c r="NAZ62"/>
      <c r="NBA62"/>
      <c r="NBB62"/>
      <c r="NBC62"/>
      <c r="NBD62"/>
      <c r="NBE62"/>
      <c r="NBF62"/>
      <c r="NBG62"/>
      <c r="NBH62"/>
      <c r="NBI62"/>
      <c r="NBJ62"/>
      <c r="NBK62"/>
      <c r="NBL62"/>
      <c r="NBM62"/>
      <c r="NBN62"/>
      <c r="NBO62"/>
      <c r="NBP62"/>
      <c r="NBQ62"/>
      <c r="NBR62"/>
      <c r="NBS62"/>
      <c r="NBT62"/>
      <c r="NBU62"/>
      <c r="NBV62"/>
      <c r="NBW62"/>
      <c r="NBX62"/>
      <c r="NBY62"/>
      <c r="NBZ62"/>
      <c r="NCA62"/>
      <c r="NCB62"/>
      <c r="NCC62"/>
      <c r="NCD62"/>
      <c r="NCE62"/>
      <c r="NCF62"/>
      <c r="NCG62"/>
      <c r="NCH62"/>
      <c r="NCI62"/>
      <c r="NCJ62"/>
      <c r="NCK62"/>
      <c r="NCL62"/>
      <c r="NCM62"/>
      <c r="NCN62"/>
      <c r="NCO62"/>
      <c r="NCP62"/>
      <c r="NCQ62"/>
      <c r="NCR62"/>
      <c r="NCS62"/>
      <c r="NCT62"/>
      <c r="NCU62"/>
      <c r="NCV62"/>
      <c r="NCW62"/>
      <c r="NCX62"/>
      <c r="NCY62"/>
      <c r="NCZ62"/>
      <c r="NDA62"/>
      <c r="NDB62"/>
      <c r="NDC62"/>
      <c r="NDD62"/>
      <c r="NDE62"/>
      <c r="NDF62"/>
      <c r="NDG62"/>
      <c r="NDH62"/>
      <c r="NDI62"/>
      <c r="NDJ62"/>
      <c r="NDK62"/>
      <c r="NDL62"/>
      <c r="NDM62"/>
      <c r="NDN62"/>
      <c r="NDO62"/>
      <c r="NDP62"/>
      <c r="NDQ62"/>
      <c r="NDR62"/>
      <c r="NDS62"/>
      <c r="NDT62"/>
      <c r="NDU62"/>
      <c r="NDV62"/>
      <c r="NDW62"/>
      <c r="NDX62"/>
      <c r="NDY62"/>
      <c r="NDZ62"/>
      <c r="NEA62"/>
      <c r="NEB62"/>
      <c r="NEC62"/>
      <c r="NED62"/>
      <c r="NEE62"/>
      <c r="NEF62"/>
      <c r="NEG62"/>
      <c r="NEH62"/>
      <c r="NEI62"/>
      <c r="NEJ62"/>
      <c r="NEK62"/>
      <c r="NEL62"/>
      <c r="NEM62"/>
      <c r="NEN62"/>
      <c r="NEO62"/>
      <c r="NEP62"/>
      <c r="NEQ62"/>
      <c r="NER62"/>
      <c r="NES62"/>
      <c r="NET62"/>
      <c r="NEU62"/>
      <c r="NEV62"/>
      <c r="NEW62"/>
      <c r="NEX62"/>
      <c r="NEY62"/>
      <c r="NEZ62"/>
      <c r="NFA62"/>
      <c r="NFB62"/>
      <c r="NFC62"/>
      <c r="NFD62"/>
      <c r="NFE62"/>
      <c r="NFF62"/>
      <c r="NFG62"/>
      <c r="NFH62"/>
      <c r="NFI62"/>
      <c r="NFJ62"/>
      <c r="NFK62"/>
      <c r="NFL62"/>
      <c r="NFM62"/>
      <c r="NFN62"/>
      <c r="NFO62"/>
      <c r="NFP62"/>
      <c r="NFQ62"/>
      <c r="NFR62"/>
      <c r="NFS62"/>
      <c r="NFT62"/>
      <c r="NFU62"/>
      <c r="NFV62"/>
      <c r="NFW62"/>
      <c r="NFX62"/>
      <c r="NFY62"/>
      <c r="NFZ62"/>
      <c r="NGA62"/>
      <c r="NGB62"/>
      <c r="NGC62"/>
      <c r="NGD62"/>
      <c r="NGE62"/>
      <c r="NGF62"/>
      <c r="NGG62"/>
      <c r="NGH62"/>
      <c r="NGI62"/>
      <c r="NGJ62"/>
      <c r="NGK62"/>
      <c r="NGL62"/>
      <c r="NGM62"/>
      <c r="NGN62"/>
      <c r="NGO62"/>
      <c r="NGP62"/>
      <c r="NGQ62"/>
      <c r="NGR62"/>
      <c r="NGS62"/>
      <c r="NGT62"/>
      <c r="NGU62"/>
      <c r="NGV62"/>
      <c r="NGW62"/>
      <c r="NGX62"/>
      <c r="NGY62"/>
      <c r="NGZ62"/>
      <c r="NHA62"/>
      <c r="NHB62"/>
      <c r="NHC62"/>
      <c r="NHD62"/>
      <c r="NHE62"/>
      <c r="NHF62"/>
      <c r="NHG62"/>
      <c r="NHH62"/>
      <c r="NHI62"/>
      <c r="NHJ62"/>
      <c r="NHK62"/>
      <c r="NHL62"/>
      <c r="NHM62"/>
      <c r="NHN62"/>
      <c r="NHO62"/>
      <c r="NHP62"/>
      <c r="NHQ62"/>
      <c r="NHR62"/>
      <c r="NHS62"/>
      <c r="NHT62"/>
      <c r="NHU62"/>
      <c r="NHV62"/>
      <c r="NHW62"/>
      <c r="NHX62"/>
      <c r="NHY62"/>
      <c r="NHZ62"/>
      <c r="NIA62"/>
      <c r="NIB62"/>
      <c r="NIC62"/>
      <c r="NID62"/>
      <c r="NIE62"/>
      <c r="NIF62"/>
      <c r="NIG62"/>
      <c r="NIH62"/>
      <c r="NII62"/>
      <c r="NIJ62"/>
      <c r="NIK62"/>
      <c r="NIL62"/>
      <c r="NIM62"/>
      <c r="NIN62"/>
      <c r="NIO62"/>
      <c r="NIP62"/>
      <c r="NIQ62"/>
      <c r="NIR62"/>
      <c r="NIS62"/>
      <c r="NIT62"/>
      <c r="NIU62"/>
      <c r="NIV62"/>
      <c r="NIW62"/>
      <c r="NIX62"/>
      <c r="NIY62"/>
      <c r="NIZ62"/>
      <c r="NJA62"/>
      <c r="NJB62"/>
      <c r="NJC62"/>
      <c r="NJD62"/>
      <c r="NJE62"/>
      <c r="NJF62"/>
      <c r="NJG62"/>
      <c r="NJH62"/>
      <c r="NJI62"/>
      <c r="NJJ62"/>
      <c r="NJK62"/>
      <c r="NJL62"/>
      <c r="NJM62"/>
      <c r="NJN62"/>
      <c r="NJO62"/>
      <c r="NJP62"/>
      <c r="NJQ62"/>
      <c r="NJR62"/>
      <c r="NJS62"/>
      <c r="NJT62"/>
      <c r="NJU62"/>
      <c r="NJV62"/>
      <c r="NJW62"/>
      <c r="NJX62"/>
      <c r="NJY62"/>
      <c r="NJZ62"/>
      <c r="NKA62"/>
      <c r="NKB62"/>
      <c r="NKC62"/>
      <c r="NKD62"/>
      <c r="NKE62"/>
      <c r="NKF62"/>
      <c r="NKG62"/>
      <c r="NKH62"/>
      <c r="NKI62"/>
      <c r="NKJ62"/>
      <c r="NKK62"/>
      <c r="NKL62"/>
      <c r="NKM62"/>
      <c r="NKN62"/>
      <c r="NKO62"/>
      <c r="NKP62"/>
      <c r="NKQ62"/>
      <c r="NKR62"/>
      <c r="NKS62"/>
      <c r="NKT62"/>
      <c r="NKU62"/>
      <c r="NKV62"/>
      <c r="NKW62"/>
      <c r="NKX62"/>
      <c r="NKY62"/>
      <c r="NKZ62"/>
      <c r="NLA62"/>
      <c r="NLB62"/>
      <c r="NLC62"/>
      <c r="NLD62"/>
      <c r="NLE62"/>
      <c r="NLF62"/>
      <c r="NLG62"/>
      <c r="NLH62"/>
      <c r="NLI62"/>
      <c r="NLJ62"/>
      <c r="NLK62"/>
      <c r="NLL62"/>
      <c r="NLM62"/>
      <c r="NLN62"/>
      <c r="NLO62"/>
      <c r="NLP62"/>
      <c r="NLQ62"/>
      <c r="NLR62"/>
      <c r="NLS62"/>
      <c r="NLT62"/>
      <c r="NLU62"/>
      <c r="NLV62"/>
      <c r="NLW62"/>
      <c r="NLX62"/>
      <c r="NLY62"/>
      <c r="NLZ62"/>
      <c r="NMA62"/>
      <c r="NMB62"/>
      <c r="NMC62"/>
      <c r="NMD62"/>
      <c r="NME62"/>
      <c r="NMF62"/>
      <c r="NMG62"/>
      <c r="NMH62"/>
      <c r="NMI62"/>
      <c r="NMJ62"/>
      <c r="NMK62"/>
      <c r="NML62"/>
      <c r="NMM62"/>
      <c r="NMN62"/>
      <c r="NMO62"/>
      <c r="NMP62"/>
      <c r="NMQ62"/>
      <c r="NMR62"/>
      <c r="NMS62"/>
      <c r="NMT62"/>
      <c r="NMU62"/>
      <c r="NMV62"/>
      <c r="NMW62"/>
      <c r="NMX62"/>
      <c r="NMY62"/>
      <c r="NMZ62"/>
      <c r="NNA62"/>
      <c r="NNB62"/>
      <c r="NNC62"/>
      <c r="NND62"/>
      <c r="NNE62"/>
      <c r="NNF62"/>
      <c r="NNG62"/>
      <c r="NNH62"/>
      <c r="NNI62"/>
      <c r="NNJ62"/>
      <c r="NNK62"/>
      <c r="NNL62"/>
      <c r="NNM62"/>
      <c r="NNN62"/>
      <c r="NNO62"/>
      <c r="NNP62"/>
      <c r="NNQ62"/>
      <c r="NNR62"/>
      <c r="NNS62"/>
      <c r="NNT62"/>
      <c r="NNU62"/>
      <c r="NNV62"/>
      <c r="NNW62"/>
      <c r="NNX62"/>
      <c r="NNY62"/>
      <c r="NNZ62"/>
      <c r="NOA62"/>
      <c r="NOB62"/>
      <c r="NOC62"/>
      <c r="NOD62"/>
      <c r="NOE62"/>
      <c r="NOF62"/>
      <c r="NOG62"/>
      <c r="NOH62"/>
      <c r="NOI62"/>
      <c r="NOJ62"/>
      <c r="NOK62"/>
      <c r="NOL62"/>
      <c r="NOM62"/>
      <c r="NON62"/>
      <c r="NOO62"/>
      <c r="NOP62"/>
      <c r="NOQ62"/>
      <c r="NOR62"/>
      <c r="NOS62"/>
      <c r="NOT62"/>
      <c r="NOU62"/>
      <c r="NOV62"/>
      <c r="NOW62"/>
      <c r="NOX62"/>
      <c r="NOY62"/>
      <c r="NOZ62"/>
      <c r="NPA62"/>
      <c r="NPB62"/>
      <c r="NPC62"/>
      <c r="NPD62"/>
      <c r="NPE62"/>
      <c r="NPF62"/>
      <c r="NPG62"/>
      <c r="NPH62"/>
      <c r="NPI62"/>
      <c r="NPJ62"/>
      <c r="NPK62"/>
      <c r="NPL62"/>
      <c r="NPM62"/>
      <c r="NPN62"/>
      <c r="NPO62"/>
      <c r="NPP62"/>
      <c r="NPQ62"/>
      <c r="NPR62"/>
      <c r="NPS62"/>
      <c r="NPT62"/>
      <c r="NPU62"/>
      <c r="NPV62"/>
      <c r="NPW62"/>
      <c r="NPX62"/>
      <c r="NPY62"/>
      <c r="NPZ62"/>
      <c r="NQA62"/>
      <c r="NQB62"/>
      <c r="NQC62"/>
      <c r="NQD62"/>
      <c r="NQE62"/>
      <c r="NQF62"/>
      <c r="NQG62"/>
      <c r="NQH62"/>
      <c r="NQI62"/>
      <c r="NQJ62"/>
      <c r="NQK62"/>
      <c r="NQL62"/>
      <c r="NQM62"/>
      <c r="NQN62"/>
      <c r="NQO62"/>
      <c r="NQP62"/>
      <c r="NQQ62"/>
      <c r="NQR62"/>
      <c r="NQS62"/>
      <c r="NQT62"/>
      <c r="NQU62"/>
      <c r="NQV62"/>
      <c r="NQW62"/>
      <c r="NQX62"/>
      <c r="NQY62"/>
      <c r="NQZ62"/>
      <c r="NRA62"/>
      <c r="NRB62"/>
      <c r="NRC62"/>
      <c r="NRD62"/>
      <c r="NRE62"/>
      <c r="NRF62"/>
      <c r="NRG62"/>
      <c r="NRH62"/>
      <c r="NRI62"/>
      <c r="NRJ62"/>
      <c r="NRK62"/>
      <c r="NRL62"/>
      <c r="NRM62"/>
      <c r="NRN62"/>
      <c r="NRO62"/>
      <c r="NRP62"/>
      <c r="NRQ62"/>
      <c r="NRR62"/>
      <c r="NRS62"/>
      <c r="NRT62"/>
      <c r="NRU62"/>
      <c r="NRV62"/>
      <c r="NRW62"/>
      <c r="NRX62"/>
      <c r="NRY62"/>
      <c r="NRZ62"/>
      <c r="NSA62"/>
      <c r="NSB62"/>
      <c r="NSC62"/>
      <c r="NSD62"/>
      <c r="NSE62"/>
      <c r="NSF62"/>
      <c r="NSG62"/>
      <c r="NSH62"/>
      <c r="NSI62"/>
      <c r="NSJ62"/>
      <c r="NSK62"/>
      <c r="NSL62"/>
      <c r="NSM62"/>
      <c r="NSN62"/>
      <c r="NSO62"/>
      <c r="NSP62"/>
      <c r="NSQ62"/>
      <c r="NSR62"/>
      <c r="NSS62"/>
      <c r="NST62"/>
      <c r="NSU62"/>
      <c r="NSV62"/>
      <c r="NSW62"/>
      <c r="NSX62"/>
      <c r="NSY62"/>
      <c r="NSZ62"/>
      <c r="NTA62"/>
      <c r="NTB62"/>
      <c r="NTC62"/>
      <c r="NTD62"/>
      <c r="NTE62"/>
      <c r="NTF62"/>
      <c r="NTG62"/>
      <c r="NTH62"/>
      <c r="NTI62"/>
      <c r="NTJ62"/>
      <c r="NTK62"/>
      <c r="NTL62"/>
      <c r="NTM62"/>
      <c r="NTN62"/>
      <c r="NTO62"/>
      <c r="NTP62"/>
      <c r="NTQ62"/>
      <c r="NTR62"/>
      <c r="NTS62"/>
      <c r="NTT62"/>
      <c r="NTU62"/>
      <c r="NTV62"/>
      <c r="NTW62"/>
      <c r="NTX62"/>
      <c r="NTY62"/>
      <c r="NTZ62"/>
      <c r="NUA62"/>
      <c r="NUB62"/>
      <c r="NUC62"/>
      <c r="NUD62"/>
      <c r="NUE62"/>
      <c r="NUF62"/>
      <c r="NUG62"/>
      <c r="NUH62"/>
      <c r="NUI62"/>
      <c r="NUJ62"/>
      <c r="NUK62"/>
      <c r="NUL62"/>
      <c r="NUM62"/>
      <c r="NUN62"/>
      <c r="NUO62"/>
      <c r="NUP62"/>
      <c r="NUQ62"/>
      <c r="NUR62"/>
      <c r="NUS62"/>
      <c r="NUT62"/>
      <c r="NUU62"/>
      <c r="NUV62"/>
      <c r="NUW62"/>
      <c r="NUX62"/>
      <c r="NUY62"/>
      <c r="NUZ62"/>
      <c r="NVA62"/>
      <c r="NVB62"/>
      <c r="NVC62"/>
      <c r="NVD62"/>
      <c r="NVE62"/>
      <c r="NVF62"/>
      <c r="NVG62"/>
      <c r="NVH62"/>
      <c r="NVI62"/>
      <c r="NVJ62"/>
      <c r="NVK62"/>
      <c r="NVL62"/>
      <c r="NVM62"/>
      <c r="NVN62"/>
      <c r="NVO62"/>
      <c r="NVP62"/>
      <c r="NVQ62"/>
      <c r="NVR62"/>
      <c r="NVS62"/>
      <c r="NVT62"/>
      <c r="NVU62"/>
      <c r="NVV62"/>
      <c r="NVW62"/>
      <c r="NVX62"/>
      <c r="NVY62"/>
      <c r="NVZ62"/>
      <c r="NWA62"/>
      <c r="NWB62"/>
      <c r="NWC62"/>
      <c r="NWD62"/>
      <c r="NWE62"/>
      <c r="NWF62"/>
      <c r="NWG62"/>
      <c r="NWH62"/>
      <c r="NWI62"/>
      <c r="NWJ62"/>
      <c r="NWK62"/>
      <c r="NWL62"/>
      <c r="NWM62"/>
      <c r="NWN62"/>
      <c r="NWO62"/>
      <c r="NWP62"/>
      <c r="NWQ62"/>
      <c r="NWR62"/>
      <c r="NWS62"/>
      <c r="NWT62"/>
      <c r="NWU62"/>
      <c r="NWV62"/>
      <c r="NWW62"/>
      <c r="NWX62"/>
      <c r="NWY62"/>
      <c r="NWZ62"/>
      <c r="NXA62"/>
      <c r="NXB62"/>
      <c r="NXC62"/>
      <c r="NXD62"/>
      <c r="NXE62"/>
      <c r="NXF62"/>
      <c r="NXG62"/>
      <c r="NXH62"/>
      <c r="NXI62"/>
      <c r="NXJ62"/>
      <c r="NXK62"/>
      <c r="NXL62"/>
      <c r="NXM62"/>
      <c r="NXN62"/>
      <c r="NXO62"/>
      <c r="NXP62"/>
      <c r="NXQ62"/>
      <c r="NXR62"/>
      <c r="NXS62"/>
      <c r="NXT62"/>
      <c r="NXU62"/>
      <c r="NXV62"/>
      <c r="NXW62"/>
      <c r="NXX62"/>
      <c r="NXY62"/>
      <c r="NXZ62"/>
      <c r="NYA62"/>
      <c r="NYB62"/>
      <c r="NYC62"/>
      <c r="NYD62"/>
      <c r="NYE62"/>
      <c r="NYF62"/>
      <c r="NYG62"/>
      <c r="NYH62"/>
      <c r="NYI62"/>
      <c r="NYJ62"/>
      <c r="NYK62"/>
      <c r="NYL62"/>
      <c r="NYM62"/>
      <c r="NYN62"/>
      <c r="NYO62"/>
      <c r="NYP62"/>
      <c r="NYQ62"/>
      <c r="NYR62"/>
      <c r="NYS62"/>
      <c r="NYT62"/>
      <c r="NYU62"/>
      <c r="NYV62"/>
      <c r="NYW62"/>
      <c r="NYX62"/>
      <c r="NYY62"/>
      <c r="NYZ62"/>
      <c r="NZA62"/>
      <c r="NZB62"/>
      <c r="NZC62"/>
      <c r="NZD62"/>
      <c r="NZE62"/>
      <c r="NZF62"/>
      <c r="NZG62"/>
      <c r="NZH62"/>
      <c r="NZI62"/>
      <c r="NZJ62"/>
      <c r="NZK62"/>
      <c r="NZL62"/>
      <c r="NZM62"/>
      <c r="NZN62"/>
      <c r="NZO62"/>
      <c r="NZP62"/>
      <c r="NZQ62"/>
      <c r="NZR62"/>
      <c r="NZS62"/>
      <c r="NZT62"/>
      <c r="NZU62"/>
      <c r="NZV62"/>
      <c r="NZW62"/>
      <c r="NZX62"/>
      <c r="NZY62"/>
      <c r="NZZ62"/>
      <c r="OAA62"/>
      <c r="OAB62"/>
      <c r="OAC62"/>
      <c r="OAD62"/>
      <c r="OAE62"/>
      <c r="OAF62"/>
      <c r="OAG62"/>
      <c r="OAH62"/>
      <c r="OAI62"/>
      <c r="OAJ62"/>
      <c r="OAK62"/>
      <c r="OAL62"/>
      <c r="OAM62"/>
      <c r="OAN62"/>
      <c r="OAO62"/>
      <c r="OAP62"/>
      <c r="OAQ62"/>
      <c r="OAR62"/>
      <c r="OAS62"/>
      <c r="OAT62"/>
      <c r="OAU62"/>
      <c r="OAV62"/>
      <c r="OAW62"/>
      <c r="OAX62"/>
      <c r="OAY62"/>
      <c r="OAZ62"/>
      <c r="OBA62"/>
      <c r="OBB62"/>
      <c r="OBC62"/>
      <c r="OBD62"/>
      <c r="OBE62"/>
      <c r="OBF62"/>
      <c r="OBG62"/>
      <c r="OBH62"/>
      <c r="OBI62"/>
      <c r="OBJ62"/>
      <c r="OBK62"/>
      <c r="OBL62"/>
      <c r="OBM62"/>
      <c r="OBN62"/>
      <c r="OBO62"/>
      <c r="OBP62"/>
      <c r="OBQ62"/>
      <c r="OBR62"/>
      <c r="OBS62"/>
      <c r="OBT62"/>
      <c r="OBU62"/>
      <c r="OBV62"/>
      <c r="OBW62"/>
      <c r="OBX62"/>
      <c r="OBY62"/>
      <c r="OBZ62"/>
      <c r="OCA62"/>
      <c r="OCB62"/>
      <c r="OCC62"/>
      <c r="OCD62"/>
      <c r="OCE62"/>
      <c r="OCF62"/>
      <c r="OCG62"/>
      <c r="OCH62"/>
      <c r="OCI62"/>
      <c r="OCJ62"/>
      <c r="OCK62"/>
      <c r="OCL62"/>
      <c r="OCM62"/>
      <c r="OCN62"/>
      <c r="OCO62"/>
      <c r="OCP62"/>
      <c r="OCQ62"/>
      <c r="OCR62"/>
      <c r="OCS62"/>
      <c r="OCT62"/>
      <c r="OCU62"/>
      <c r="OCV62"/>
      <c r="OCW62"/>
      <c r="OCX62"/>
      <c r="OCY62"/>
      <c r="OCZ62"/>
      <c r="ODA62"/>
      <c r="ODB62"/>
      <c r="ODC62"/>
      <c r="ODD62"/>
      <c r="ODE62"/>
      <c r="ODF62"/>
      <c r="ODG62"/>
      <c r="ODH62"/>
      <c r="ODI62"/>
      <c r="ODJ62"/>
      <c r="ODK62"/>
      <c r="ODL62"/>
      <c r="ODM62"/>
      <c r="ODN62"/>
      <c r="ODO62"/>
      <c r="ODP62"/>
      <c r="ODQ62"/>
      <c r="ODR62"/>
      <c r="ODS62"/>
      <c r="ODT62"/>
      <c r="ODU62"/>
      <c r="ODV62"/>
      <c r="ODW62"/>
      <c r="ODX62"/>
      <c r="ODY62"/>
      <c r="ODZ62"/>
      <c r="OEA62"/>
      <c r="OEB62"/>
      <c r="OEC62"/>
      <c r="OED62"/>
      <c r="OEE62"/>
      <c r="OEF62"/>
      <c r="OEG62"/>
      <c r="OEH62"/>
      <c r="OEI62"/>
      <c r="OEJ62"/>
      <c r="OEK62"/>
      <c r="OEL62"/>
      <c r="OEM62"/>
      <c r="OEN62"/>
      <c r="OEO62"/>
      <c r="OEP62"/>
      <c r="OEQ62"/>
      <c r="OER62"/>
      <c r="OES62"/>
      <c r="OET62"/>
      <c r="OEU62"/>
      <c r="OEV62"/>
      <c r="OEW62"/>
      <c r="OEX62"/>
      <c r="OEY62"/>
      <c r="OEZ62"/>
      <c r="OFA62"/>
      <c r="OFB62"/>
      <c r="OFC62"/>
      <c r="OFD62"/>
      <c r="OFE62"/>
      <c r="OFF62"/>
      <c r="OFG62"/>
      <c r="OFH62"/>
      <c r="OFI62"/>
      <c r="OFJ62"/>
      <c r="OFK62"/>
      <c r="OFL62"/>
      <c r="OFM62"/>
      <c r="OFN62"/>
      <c r="OFO62"/>
      <c r="OFP62"/>
      <c r="OFQ62"/>
      <c r="OFR62"/>
      <c r="OFS62"/>
      <c r="OFT62"/>
      <c r="OFU62"/>
      <c r="OFV62"/>
      <c r="OFW62"/>
      <c r="OFX62"/>
      <c r="OFY62"/>
      <c r="OFZ62"/>
      <c r="OGA62"/>
      <c r="OGB62"/>
      <c r="OGC62"/>
      <c r="OGD62"/>
      <c r="OGE62"/>
      <c r="OGF62"/>
      <c r="OGG62"/>
      <c r="OGH62"/>
      <c r="OGI62"/>
      <c r="OGJ62"/>
      <c r="OGK62"/>
      <c r="OGL62"/>
      <c r="OGM62"/>
      <c r="OGN62"/>
      <c r="OGO62"/>
      <c r="OGP62"/>
      <c r="OGQ62"/>
      <c r="OGR62"/>
      <c r="OGS62"/>
      <c r="OGT62"/>
      <c r="OGU62"/>
      <c r="OGV62"/>
      <c r="OGW62"/>
      <c r="OGX62"/>
      <c r="OGY62"/>
      <c r="OGZ62"/>
      <c r="OHA62"/>
      <c r="OHB62"/>
      <c r="OHC62"/>
      <c r="OHD62"/>
      <c r="OHE62"/>
      <c r="OHF62"/>
      <c r="OHG62"/>
      <c r="OHH62"/>
      <c r="OHI62"/>
      <c r="OHJ62"/>
      <c r="OHK62"/>
      <c r="OHL62"/>
      <c r="OHM62"/>
      <c r="OHN62"/>
      <c r="OHO62"/>
      <c r="OHP62"/>
      <c r="OHQ62"/>
      <c r="OHR62"/>
      <c r="OHS62"/>
      <c r="OHT62"/>
      <c r="OHU62"/>
      <c r="OHV62"/>
      <c r="OHW62"/>
      <c r="OHX62"/>
      <c r="OHY62"/>
      <c r="OHZ62"/>
      <c r="OIA62"/>
      <c r="OIB62"/>
      <c r="OIC62"/>
      <c r="OID62"/>
      <c r="OIE62"/>
      <c r="OIF62"/>
      <c r="OIG62"/>
      <c r="OIH62"/>
      <c r="OII62"/>
      <c r="OIJ62"/>
      <c r="OIK62"/>
      <c r="OIL62"/>
      <c r="OIM62"/>
      <c r="OIN62"/>
      <c r="OIO62"/>
      <c r="OIP62"/>
      <c r="OIQ62"/>
      <c r="OIR62"/>
      <c r="OIS62"/>
      <c r="OIT62"/>
      <c r="OIU62"/>
      <c r="OIV62"/>
      <c r="OIW62"/>
      <c r="OIX62"/>
      <c r="OIY62"/>
      <c r="OIZ62"/>
      <c r="OJA62"/>
      <c r="OJB62"/>
      <c r="OJC62"/>
      <c r="OJD62"/>
      <c r="OJE62"/>
      <c r="OJF62"/>
      <c r="OJG62"/>
      <c r="OJH62"/>
      <c r="OJI62"/>
      <c r="OJJ62"/>
      <c r="OJK62"/>
      <c r="OJL62"/>
      <c r="OJM62"/>
      <c r="OJN62"/>
      <c r="OJO62"/>
      <c r="OJP62"/>
      <c r="OJQ62"/>
      <c r="OJR62"/>
      <c r="OJS62"/>
      <c r="OJT62"/>
      <c r="OJU62"/>
      <c r="OJV62"/>
      <c r="OJW62"/>
      <c r="OJX62"/>
      <c r="OJY62"/>
      <c r="OJZ62"/>
      <c r="OKA62"/>
      <c r="OKB62"/>
      <c r="OKC62"/>
      <c r="OKD62"/>
      <c r="OKE62"/>
      <c r="OKF62"/>
      <c r="OKG62"/>
      <c r="OKH62"/>
      <c r="OKI62"/>
      <c r="OKJ62"/>
      <c r="OKK62"/>
      <c r="OKL62"/>
      <c r="OKM62"/>
      <c r="OKN62"/>
      <c r="OKO62"/>
      <c r="OKP62"/>
      <c r="OKQ62"/>
      <c r="OKR62"/>
      <c r="OKS62"/>
      <c r="OKT62"/>
      <c r="OKU62"/>
      <c r="OKV62"/>
      <c r="OKW62"/>
      <c r="OKX62"/>
      <c r="OKY62"/>
      <c r="OKZ62"/>
      <c r="OLA62"/>
      <c r="OLB62"/>
      <c r="OLC62"/>
      <c r="OLD62"/>
      <c r="OLE62"/>
      <c r="OLF62"/>
      <c r="OLG62"/>
      <c r="OLH62"/>
      <c r="OLI62"/>
      <c r="OLJ62"/>
      <c r="OLK62"/>
      <c r="OLL62"/>
      <c r="OLM62"/>
      <c r="OLN62"/>
      <c r="OLO62"/>
      <c r="OLP62"/>
      <c r="OLQ62"/>
      <c r="OLR62"/>
      <c r="OLS62"/>
      <c r="OLT62"/>
      <c r="OLU62"/>
      <c r="OLV62"/>
      <c r="OLW62"/>
      <c r="OLX62"/>
      <c r="OLY62"/>
      <c r="OLZ62"/>
      <c r="OMA62"/>
      <c r="OMB62"/>
      <c r="OMC62"/>
      <c r="OMD62"/>
      <c r="OME62"/>
      <c r="OMF62"/>
      <c r="OMG62"/>
      <c r="OMH62"/>
      <c r="OMI62"/>
      <c r="OMJ62"/>
      <c r="OMK62"/>
      <c r="OML62"/>
      <c r="OMM62"/>
      <c r="OMN62"/>
      <c r="OMO62"/>
      <c r="OMP62"/>
      <c r="OMQ62"/>
      <c r="OMR62"/>
      <c r="OMS62"/>
      <c r="OMT62"/>
      <c r="OMU62"/>
      <c r="OMV62"/>
      <c r="OMW62"/>
      <c r="OMX62"/>
      <c r="OMY62"/>
      <c r="OMZ62"/>
      <c r="ONA62"/>
      <c r="ONB62"/>
      <c r="ONC62"/>
      <c r="OND62"/>
      <c r="ONE62"/>
      <c r="ONF62"/>
      <c r="ONG62"/>
      <c r="ONH62"/>
      <c r="ONI62"/>
      <c r="ONJ62"/>
      <c r="ONK62"/>
      <c r="ONL62"/>
      <c r="ONM62"/>
      <c r="ONN62"/>
      <c r="ONO62"/>
      <c r="ONP62"/>
      <c r="ONQ62"/>
      <c r="ONR62"/>
      <c r="ONS62"/>
      <c r="ONT62"/>
      <c r="ONU62"/>
      <c r="ONV62"/>
      <c r="ONW62"/>
      <c r="ONX62"/>
      <c r="ONY62"/>
      <c r="ONZ62"/>
      <c r="OOA62"/>
      <c r="OOB62"/>
      <c r="OOC62"/>
      <c r="OOD62"/>
      <c r="OOE62"/>
      <c r="OOF62"/>
      <c r="OOG62"/>
      <c r="OOH62"/>
      <c r="OOI62"/>
      <c r="OOJ62"/>
      <c r="OOK62"/>
      <c r="OOL62"/>
      <c r="OOM62"/>
      <c r="OON62"/>
      <c r="OOO62"/>
      <c r="OOP62"/>
      <c r="OOQ62"/>
      <c r="OOR62"/>
      <c r="OOS62"/>
      <c r="OOT62"/>
      <c r="OOU62"/>
      <c r="OOV62"/>
      <c r="OOW62"/>
      <c r="OOX62"/>
      <c r="OOY62"/>
      <c r="OOZ62"/>
      <c r="OPA62"/>
      <c r="OPB62"/>
      <c r="OPC62"/>
      <c r="OPD62"/>
      <c r="OPE62"/>
      <c r="OPF62"/>
      <c r="OPG62"/>
      <c r="OPH62"/>
      <c r="OPI62"/>
      <c r="OPJ62"/>
      <c r="OPK62"/>
      <c r="OPL62"/>
      <c r="OPM62"/>
      <c r="OPN62"/>
      <c r="OPO62"/>
      <c r="OPP62"/>
      <c r="OPQ62"/>
      <c r="OPR62"/>
      <c r="OPS62"/>
      <c r="OPT62"/>
      <c r="OPU62"/>
      <c r="OPV62"/>
      <c r="OPW62"/>
      <c r="OPX62"/>
      <c r="OPY62"/>
      <c r="OPZ62"/>
      <c r="OQA62"/>
      <c r="OQB62"/>
      <c r="OQC62"/>
      <c r="OQD62"/>
      <c r="OQE62"/>
      <c r="OQF62"/>
      <c r="OQG62"/>
      <c r="OQH62"/>
      <c r="OQI62"/>
      <c r="OQJ62"/>
      <c r="OQK62"/>
      <c r="OQL62"/>
      <c r="OQM62"/>
      <c r="OQN62"/>
      <c r="OQO62"/>
      <c r="OQP62"/>
      <c r="OQQ62"/>
      <c r="OQR62"/>
      <c r="OQS62"/>
      <c r="OQT62"/>
      <c r="OQU62"/>
      <c r="OQV62"/>
      <c r="OQW62"/>
      <c r="OQX62"/>
      <c r="OQY62"/>
      <c r="OQZ62"/>
      <c r="ORA62"/>
      <c r="ORB62"/>
      <c r="ORC62"/>
      <c r="ORD62"/>
      <c r="ORE62"/>
      <c r="ORF62"/>
      <c r="ORG62"/>
      <c r="ORH62"/>
      <c r="ORI62"/>
      <c r="ORJ62"/>
      <c r="ORK62"/>
      <c r="ORL62"/>
      <c r="ORM62"/>
      <c r="ORN62"/>
      <c r="ORO62"/>
      <c r="ORP62"/>
      <c r="ORQ62"/>
      <c r="ORR62"/>
      <c r="ORS62"/>
      <c r="ORT62"/>
      <c r="ORU62"/>
      <c r="ORV62"/>
      <c r="ORW62"/>
      <c r="ORX62"/>
      <c r="ORY62"/>
      <c r="ORZ62"/>
      <c r="OSA62"/>
      <c r="OSB62"/>
      <c r="OSC62"/>
      <c r="OSD62"/>
      <c r="OSE62"/>
      <c r="OSF62"/>
      <c r="OSG62"/>
      <c r="OSH62"/>
      <c r="OSI62"/>
      <c r="OSJ62"/>
      <c r="OSK62"/>
      <c r="OSL62"/>
      <c r="OSM62"/>
      <c r="OSN62"/>
      <c r="OSO62"/>
      <c r="OSP62"/>
      <c r="OSQ62"/>
      <c r="OSR62"/>
      <c r="OSS62"/>
      <c r="OST62"/>
      <c r="OSU62"/>
      <c r="OSV62"/>
      <c r="OSW62"/>
      <c r="OSX62"/>
      <c r="OSY62"/>
      <c r="OSZ62"/>
      <c r="OTA62"/>
      <c r="OTB62"/>
      <c r="OTC62"/>
      <c r="OTD62"/>
      <c r="OTE62"/>
      <c r="OTF62"/>
      <c r="OTG62"/>
      <c r="OTH62"/>
      <c r="OTI62"/>
      <c r="OTJ62"/>
      <c r="OTK62"/>
      <c r="OTL62"/>
      <c r="OTM62"/>
      <c r="OTN62"/>
      <c r="OTO62"/>
      <c r="OTP62"/>
      <c r="OTQ62"/>
      <c r="OTR62"/>
      <c r="OTS62"/>
      <c r="OTT62"/>
      <c r="OTU62"/>
      <c r="OTV62"/>
      <c r="OTW62"/>
      <c r="OTX62"/>
      <c r="OTY62"/>
      <c r="OTZ62"/>
      <c r="OUA62"/>
      <c r="OUB62"/>
      <c r="OUC62"/>
      <c r="OUD62"/>
      <c r="OUE62"/>
      <c r="OUF62"/>
      <c r="OUG62"/>
      <c r="OUH62"/>
      <c r="OUI62"/>
      <c r="OUJ62"/>
      <c r="OUK62"/>
      <c r="OUL62"/>
      <c r="OUM62"/>
      <c r="OUN62"/>
      <c r="OUO62"/>
      <c r="OUP62"/>
      <c r="OUQ62"/>
      <c r="OUR62"/>
      <c r="OUS62"/>
      <c r="OUT62"/>
      <c r="OUU62"/>
      <c r="OUV62"/>
      <c r="OUW62"/>
      <c r="OUX62"/>
      <c r="OUY62"/>
      <c r="OUZ62"/>
      <c r="OVA62"/>
      <c r="OVB62"/>
      <c r="OVC62"/>
      <c r="OVD62"/>
      <c r="OVE62"/>
      <c r="OVF62"/>
      <c r="OVG62"/>
      <c r="OVH62"/>
      <c r="OVI62"/>
      <c r="OVJ62"/>
      <c r="OVK62"/>
      <c r="OVL62"/>
      <c r="OVM62"/>
      <c r="OVN62"/>
      <c r="OVO62"/>
      <c r="OVP62"/>
      <c r="OVQ62"/>
      <c r="OVR62"/>
      <c r="OVS62"/>
      <c r="OVT62"/>
      <c r="OVU62"/>
      <c r="OVV62"/>
      <c r="OVW62"/>
      <c r="OVX62"/>
      <c r="OVY62"/>
      <c r="OVZ62"/>
      <c r="OWA62"/>
      <c r="OWB62"/>
      <c r="OWC62"/>
      <c r="OWD62"/>
      <c r="OWE62"/>
      <c r="OWF62"/>
      <c r="OWG62"/>
      <c r="OWH62"/>
      <c r="OWI62"/>
      <c r="OWJ62"/>
      <c r="OWK62"/>
      <c r="OWL62"/>
      <c r="OWM62"/>
      <c r="OWN62"/>
      <c r="OWO62"/>
      <c r="OWP62"/>
      <c r="OWQ62"/>
      <c r="OWR62"/>
      <c r="OWS62"/>
      <c r="OWT62"/>
      <c r="OWU62"/>
      <c r="OWV62"/>
      <c r="OWW62"/>
      <c r="OWX62"/>
      <c r="OWY62"/>
      <c r="OWZ62"/>
      <c r="OXA62"/>
      <c r="OXB62"/>
      <c r="OXC62"/>
      <c r="OXD62"/>
      <c r="OXE62"/>
      <c r="OXF62"/>
      <c r="OXG62"/>
      <c r="OXH62"/>
      <c r="OXI62"/>
      <c r="OXJ62"/>
      <c r="OXK62"/>
      <c r="OXL62"/>
      <c r="OXM62"/>
      <c r="OXN62"/>
      <c r="OXO62"/>
      <c r="OXP62"/>
      <c r="OXQ62"/>
      <c r="OXR62"/>
      <c r="OXS62"/>
      <c r="OXT62"/>
      <c r="OXU62"/>
      <c r="OXV62"/>
      <c r="OXW62"/>
      <c r="OXX62"/>
      <c r="OXY62"/>
      <c r="OXZ62"/>
      <c r="OYA62"/>
      <c r="OYB62"/>
      <c r="OYC62"/>
      <c r="OYD62"/>
      <c r="OYE62"/>
      <c r="OYF62"/>
      <c r="OYG62"/>
      <c r="OYH62"/>
      <c r="OYI62"/>
      <c r="OYJ62"/>
      <c r="OYK62"/>
      <c r="OYL62"/>
      <c r="OYM62"/>
      <c r="OYN62"/>
      <c r="OYO62"/>
      <c r="OYP62"/>
      <c r="OYQ62"/>
      <c r="OYR62"/>
      <c r="OYS62"/>
      <c r="OYT62"/>
      <c r="OYU62"/>
      <c r="OYV62"/>
      <c r="OYW62"/>
      <c r="OYX62"/>
      <c r="OYY62"/>
      <c r="OYZ62"/>
      <c r="OZA62"/>
      <c r="OZB62"/>
      <c r="OZC62"/>
      <c r="OZD62"/>
      <c r="OZE62"/>
      <c r="OZF62"/>
      <c r="OZG62"/>
      <c r="OZH62"/>
      <c r="OZI62"/>
      <c r="OZJ62"/>
      <c r="OZK62"/>
      <c r="OZL62"/>
      <c r="OZM62"/>
      <c r="OZN62"/>
      <c r="OZO62"/>
      <c r="OZP62"/>
      <c r="OZQ62"/>
      <c r="OZR62"/>
      <c r="OZS62"/>
      <c r="OZT62"/>
      <c r="OZU62"/>
      <c r="OZV62"/>
      <c r="OZW62"/>
      <c r="OZX62"/>
      <c r="OZY62"/>
      <c r="OZZ62"/>
      <c r="PAA62"/>
      <c r="PAB62"/>
      <c r="PAC62"/>
      <c r="PAD62"/>
      <c r="PAE62"/>
      <c r="PAF62"/>
      <c r="PAG62"/>
      <c r="PAH62"/>
      <c r="PAI62"/>
      <c r="PAJ62"/>
      <c r="PAK62"/>
      <c r="PAL62"/>
      <c r="PAM62"/>
      <c r="PAN62"/>
      <c r="PAO62"/>
      <c r="PAP62"/>
      <c r="PAQ62"/>
      <c r="PAR62"/>
      <c r="PAS62"/>
      <c r="PAT62"/>
      <c r="PAU62"/>
      <c r="PAV62"/>
      <c r="PAW62"/>
      <c r="PAX62"/>
      <c r="PAY62"/>
      <c r="PAZ62"/>
      <c r="PBA62"/>
      <c r="PBB62"/>
      <c r="PBC62"/>
      <c r="PBD62"/>
      <c r="PBE62"/>
      <c r="PBF62"/>
      <c r="PBG62"/>
      <c r="PBH62"/>
      <c r="PBI62"/>
      <c r="PBJ62"/>
      <c r="PBK62"/>
      <c r="PBL62"/>
      <c r="PBM62"/>
      <c r="PBN62"/>
      <c r="PBO62"/>
      <c r="PBP62"/>
      <c r="PBQ62"/>
      <c r="PBR62"/>
      <c r="PBS62"/>
      <c r="PBT62"/>
      <c r="PBU62"/>
      <c r="PBV62"/>
      <c r="PBW62"/>
      <c r="PBX62"/>
      <c r="PBY62"/>
      <c r="PBZ62"/>
      <c r="PCA62"/>
      <c r="PCB62"/>
      <c r="PCC62"/>
      <c r="PCD62"/>
      <c r="PCE62"/>
      <c r="PCF62"/>
      <c r="PCG62"/>
      <c r="PCH62"/>
      <c r="PCI62"/>
      <c r="PCJ62"/>
      <c r="PCK62"/>
      <c r="PCL62"/>
      <c r="PCM62"/>
      <c r="PCN62"/>
      <c r="PCO62"/>
      <c r="PCP62"/>
      <c r="PCQ62"/>
      <c r="PCR62"/>
      <c r="PCS62"/>
      <c r="PCT62"/>
      <c r="PCU62"/>
      <c r="PCV62"/>
      <c r="PCW62"/>
      <c r="PCX62"/>
      <c r="PCY62"/>
      <c r="PCZ62"/>
      <c r="PDA62"/>
      <c r="PDB62"/>
      <c r="PDC62"/>
      <c r="PDD62"/>
      <c r="PDE62"/>
      <c r="PDF62"/>
      <c r="PDG62"/>
      <c r="PDH62"/>
      <c r="PDI62"/>
      <c r="PDJ62"/>
      <c r="PDK62"/>
      <c r="PDL62"/>
      <c r="PDM62"/>
      <c r="PDN62"/>
      <c r="PDO62"/>
      <c r="PDP62"/>
      <c r="PDQ62"/>
      <c r="PDR62"/>
      <c r="PDS62"/>
      <c r="PDT62"/>
      <c r="PDU62"/>
      <c r="PDV62"/>
      <c r="PDW62"/>
      <c r="PDX62"/>
      <c r="PDY62"/>
      <c r="PDZ62"/>
      <c r="PEA62"/>
      <c r="PEB62"/>
      <c r="PEC62"/>
      <c r="PED62"/>
      <c r="PEE62"/>
      <c r="PEF62"/>
      <c r="PEG62"/>
      <c r="PEH62"/>
      <c r="PEI62"/>
      <c r="PEJ62"/>
      <c r="PEK62"/>
      <c r="PEL62"/>
      <c r="PEM62"/>
      <c r="PEN62"/>
      <c r="PEO62"/>
      <c r="PEP62"/>
      <c r="PEQ62"/>
      <c r="PER62"/>
      <c r="PES62"/>
      <c r="PET62"/>
      <c r="PEU62"/>
      <c r="PEV62"/>
      <c r="PEW62"/>
      <c r="PEX62"/>
      <c r="PEY62"/>
      <c r="PEZ62"/>
      <c r="PFA62"/>
      <c r="PFB62"/>
      <c r="PFC62"/>
      <c r="PFD62"/>
      <c r="PFE62"/>
      <c r="PFF62"/>
      <c r="PFG62"/>
      <c r="PFH62"/>
      <c r="PFI62"/>
      <c r="PFJ62"/>
      <c r="PFK62"/>
      <c r="PFL62"/>
      <c r="PFM62"/>
      <c r="PFN62"/>
      <c r="PFO62"/>
      <c r="PFP62"/>
      <c r="PFQ62"/>
      <c r="PFR62"/>
      <c r="PFS62"/>
      <c r="PFT62"/>
      <c r="PFU62"/>
      <c r="PFV62"/>
      <c r="PFW62"/>
      <c r="PFX62"/>
      <c r="PFY62"/>
      <c r="PFZ62"/>
      <c r="PGA62"/>
      <c r="PGB62"/>
      <c r="PGC62"/>
      <c r="PGD62"/>
      <c r="PGE62"/>
      <c r="PGF62"/>
      <c r="PGG62"/>
      <c r="PGH62"/>
      <c r="PGI62"/>
      <c r="PGJ62"/>
      <c r="PGK62"/>
      <c r="PGL62"/>
      <c r="PGM62"/>
      <c r="PGN62"/>
      <c r="PGO62"/>
      <c r="PGP62"/>
      <c r="PGQ62"/>
      <c r="PGR62"/>
      <c r="PGS62"/>
      <c r="PGT62"/>
      <c r="PGU62"/>
      <c r="PGV62"/>
      <c r="PGW62"/>
      <c r="PGX62"/>
      <c r="PGY62"/>
      <c r="PGZ62"/>
      <c r="PHA62"/>
      <c r="PHB62"/>
      <c r="PHC62"/>
      <c r="PHD62"/>
      <c r="PHE62"/>
      <c r="PHF62"/>
      <c r="PHG62"/>
      <c r="PHH62"/>
      <c r="PHI62"/>
      <c r="PHJ62"/>
      <c r="PHK62"/>
      <c r="PHL62"/>
      <c r="PHM62"/>
      <c r="PHN62"/>
      <c r="PHO62"/>
      <c r="PHP62"/>
      <c r="PHQ62"/>
      <c r="PHR62"/>
      <c r="PHS62"/>
      <c r="PHT62"/>
      <c r="PHU62"/>
      <c r="PHV62"/>
      <c r="PHW62"/>
      <c r="PHX62"/>
      <c r="PHY62"/>
      <c r="PHZ62"/>
      <c r="PIA62"/>
      <c r="PIB62"/>
      <c r="PIC62"/>
      <c r="PID62"/>
      <c r="PIE62"/>
      <c r="PIF62"/>
      <c r="PIG62"/>
      <c r="PIH62"/>
      <c r="PII62"/>
      <c r="PIJ62"/>
      <c r="PIK62"/>
      <c r="PIL62"/>
      <c r="PIM62"/>
      <c r="PIN62"/>
      <c r="PIO62"/>
      <c r="PIP62"/>
      <c r="PIQ62"/>
      <c r="PIR62"/>
      <c r="PIS62"/>
      <c r="PIT62"/>
      <c r="PIU62"/>
      <c r="PIV62"/>
      <c r="PIW62"/>
      <c r="PIX62"/>
      <c r="PIY62"/>
      <c r="PIZ62"/>
      <c r="PJA62"/>
      <c r="PJB62"/>
      <c r="PJC62"/>
      <c r="PJD62"/>
      <c r="PJE62"/>
      <c r="PJF62"/>
      <c r="PJG62"/>
      <c r="PJH62"/>
      <c r="PJI62"/>
      <c r="PJJ62"/>
      <c r="PJK62"/>
      <c r="PJL62"/>
      <c r="PJM62"/>
      <c r="PJN62"/>
      <c r="PJO62"/>
      <c r="PJP62"/>
      <c r="PJQ62"/>
      <c r="PJR62"/>
      <c r="PJS62"/>
      <c r="PJT62"/>
      <c r="PJU62"/>
      <c r="PJV62"/>
      <c r="PJW62"/>
      <c r="PJX62"/>
      <c r="PJY62"/>
      <c r="PJZ62"/>
      <c r="PKA62"/>
      <c r="PKB62"/>
      <c r="PKC62"/>
      <c r="PKD62"/>
      <c r="PKE62"/>
      <c r="PKF62"/>
      <c r="PKG62"/>
      <c r="PKH62"/>
      <c r="PKI62"/>
      <c r="PKJ62"/>
      <c r="PKK62"/>
      <c r="PKL62"/>
      <c r="PKM62"/>
      <c r="PKN62"/>
      <c r="PKO62"/>
      <c r="PKP62"/>
      <c r="PKQ62"/>
      <c r="PKR62"/>
      <c r="PKS62"/>
      <c r="PKT62"/>
      <c r="PKU62"/>
      <c r="PKV62"/>
      <c r="PKW62"/>
      <c r="PKX62"/>
      <c r="PKY62"/>
      <c r="PKZ62"/>
      <c r="PLA62"/>
      <c r="PLB62"/>
      <c r="PLC62"/>
      <c r="PLD62"/>
      <c r="PLE62"/>
      <c r="PLF62"/>
      <c r="PLG62"/>
      <c r="PLH62"/>
      <c r="PLI62"/>
      <c r="PLJ62"/>
      <c r="PLK62"/>
      <c r="PLL62"/>
      <c r="PLM62"/>
      <c r="PLN62"/>
      <c r="PLO62"/>
      <c r="PLP62"/>
      <c r="PLQ62"/>
      <c r="PLR62"/>
      <c r="PLS62"/>
      <c r="PLT62"/>
      <c r="PLU62"/>
      <c r="PLV62"/>
      <c r="PLW62"/>
      <c r="PLX62"/>
      <c r="PLY62"/>
      <c r="PLZ62"/>
      <c r="PMA62"/>
      <c r="PMB62"/>
      <c r="PMC62"/>
      <c r="PMD62"/>
      <c r="PME62"/>
      <c r="PMF62"/>
      <c r="PMG62"/>
      <c r="PMH62"/>
      <c r="PMI62"/>
      <c r="PMJ62"/>
      <c r="PMK62"/>
      <c r="PML62"/>
      <c r="PMM62"/>
      <c r="PMN62"/>
      <c r="PMO62"/>
      <c r="PMP62"/>
      <c r="PMQ62"/>
      <c r="PMR62"/>
      <c r="PMS62"/>
      <c r="PMT62"/>
      <c r="PMU62"/>
      <c r="PMV62"/>
      <c r="PMW62"/>
      <c r="PMX62"/>
      <c r="PMY62"/>
      <c r="PMZ62"/>
      <c r="PNA62"/>
      <c r="PNB62"/>
      <c r="PNC62"/>
      <c r="PND62"/>
      <c r="PNE62"/>
      <c r="PNF62"/>
      <c r="PNG62"/>
      <c r="PNH62"/>
      <c r="PNI62"/>
      <c r="PNJ62"/>
      <c r="PNK62"/>
      <c r="PNL62"/>
      <c r="PNM62"/>
      <c r="PNN62"/>
      <c r="PNO62"/>
      <c r="PNP62"/>
      <c r="PNQ62"/>
      <c r="PNR62"/>
      <c r="PNS62"/>
      <c r="PNT62"/>
      <c r="PNU62"/>
      <c r="PNV62"/>
      <c r="PNW62"/>
      <c r="PNX62"/>
      <c r="PNY62"/>
      <c r="PNZ62"/>
      <c r="POA62"/>
      <c r="POB62"/>
      <c r="POC62"/>
      <c r="POD62"/>
      <c r="POE62"/>
      <c r="POF62"/>
      <c r="POG62"/>
      <c r="POH62"/>
      <c r="POI62"/>
      <c r="POJ62"/>
      <c r="POK62"/>
      <c r="POL62"/>
      <c r="POM62"/>
      <c r="PON62"/>
      <c r="POO62"/>
      <c r="POP62"/>
      <c r="POQ62"/>
      <c r="POR62"/>
      <c r="POS62"/>
      <c r="POT62"/>
      <c r="POU62"/>
      <c r="POV62"/>
      <c r="POW62"/>
      <c r="POX62"/>
      <c r="POY62"/>
      <c r="POZ62"/>
      <c r="PPA62"/>
      <c r="PPB62"/>
      <c r="PPC62"/>
      <c r="PPD62"/>
      <c r="PPE62"/>
      <c r="PPF62"/>
      <c r="PPG62"/>
      <c r="PPH62"/>
      <c r="PPI62"/>
      <c r="PPJ62"/>
      <c r="PPK62"/>
      <c r="PPL62"/>
      <c r="PPM62"/>
      <c r="PPN62"/>
      <c r="PPO62"/>
      <c r="PPP62"/>
      <c r="PPQ62"/>
      <c r="PPR62"/>
      <c r="PPS62"/>
      <c r="PPT62"/>
      <c r="PPU62"/>
      <c r="PPV62"/>
      <c r="PPW62"/>
      <c r="PPX62"/>
      <c r="PPY62"/>
      <c r="PPZ62"/>
      <c r="PQA62"/>
      <c r="PQB62"/>
      <c r="PQC62"/>
      <c r="PQD62"/>
      <c r="PQE62"/>
      <c r="PQF62"/>
      <c r="PQG62"/>
      <c r="PQH62"/>
      <c r="PQI62"/>
      <c r="PQJ62"/>
      <c r="PQK62"/>
      <c r="PQL62"/>
      <c r="PQM62"/>
      <c r="PQN62"/>
      <c r="PQO62"/>
      <c r="PQP62"/>
      <c r="PQQ62"/>
      <c r="PQR62"/>
      <c r="PQS62"/>
      <c r="PQT62"/>
      <c r="PQU62"/>
      <c r="PQV62"/>
      <c r="PQW62"/>
      <c r="PQX62"/>
      <c r="PQY62"/>
      <c r="PQZ62"/>
      <c r="PRA62"/>
      <c r="PRB62"/>
      <c r="PRC62"/>
      <c r="PRD62"/>
      <c r="PRE62"/>
      <c r="PRF62"/>
      <c r="PRG62"/>
      <c r="PRH62"/>
      <c r="PRI62"/>
      <c r="PRJ62"/>
      <c r="PRK62"/>
      <c r="PRL62"/>
      <c r="PRM62"/>
      <c r="PRN62"/>
      <c r="PRO62"/>
      <c r="PRP62"/>
      <c r="PRQ62"/>
      <c r="PRR62"/>
      <c r="PRS62"/>
      <c r="PRT62"/>
      <c r="PRU62"/>
      <c r="PRV62"/>
      <c r="PRW62"/>
      <c r="PRX62"/>
      <c r="PRY62"/>
      <c r="PRZ62"/>
      <c r="PSA62"/>
      <c r="PSB62"/>
      <c r="PSC62"/>
      <c r="PSD62"/>
      <c r="PSE62"/>
      <c r="PSF62"/>
      <c r="PSG62"/>
      <c r="PSH62"/>
      <c r="PSI62"/>
      <c r="PSJ62"/>
      <c r="PSK62"/>
      <c r="PSL62"/>
      <c r="PSM62"/>
      <c r="PSN62"/>
      <c r="PSO62"/>
      <c r="PSP62"/>
      <c r="PSQ62"/>
      <c r="PSR62"/>
      <c r="PSS62"/>
      <c r="PST62"/>
      <c r="PSU62"/>
      <c r="PSV62"/>
      <c r="PSW62"/>
      <c r="PSX62"/>
      <c r="PSY62"/>
      <c r="PSZ62"/>
      <c r="PTA62"/>
      <c r="PTB62"/>
      <c r="PTC62"/>
      <c r="PTD62"/>
      <c r="PTE62"/>
      <c r="PTF62"/>
      <c r="PTG62"/>
      <c r="PTH62"/>
      <c r="PTI62"/>
      <c r="PTJ62"/>
      <c r="PTK62"/>
      <c r="PTL62"/>
      <c r="PTM62"/>
      <c r="PTN62"/>
      <c r="PTO62"/>
      <c r="PTP62"/>
      <c r="PTQ62"/>
      <c r="PTR62"/>
      <c r="PTS62"/>
      <c r="PTT62"/>
      <c r="PTU62"/>
      <c r="PTV62"/>
      <c r="PTW62"/>
      <c r="PTX62"/>
      <c r="PTY62"/>
      <c r="PTZ62"/>
      <c r="PUA62"/>
      <c r="PUB62"/>
      <c r="PUC62"/>
      <c r="PUD62"/>
      <c r="PUE62"/>
      <c r="PUF62"/>
      <c r="PUG62"/>
      <c r="PUH62"/>
      <c r="PUI62"/>
      <c r="PUJ62"/>
      <c r="PUK62"/>
      <c r="PUL62"/>
      <c r="PUM62"/>
      <c r="PUN62"/>
      <c r="PUO62"/>
      <c r="PUP62"/>
      <c r="PUQ62"/>
      <c r="PUR62"/>
      <c r="PUS62"/>
      <c r="PUT62"/>
      <c r="PUU62"/>
      <c r="PUV62"/>
      <c r="PUW62"/>
      <c r="PUX62"/>
      <c r="PUY62"/>
      <c r="PUZ62"/>
      <c r="PVA62"/>
      <c r="PVB62"/>
      <c r="PVC62"/>
      <c r="PVD62"/>
      <c r="PVE62"/>
      <c r="PVF62"/>
      <c r="PVG62"/>
      <c r="PVH62"/>
      <c r="PVI62"/>
      <c r="PVJ62"/>
      <c r="PVK62"/>
      <c r="PVL62"/>
      <c r="PVM62"/>
      <c r="PVN62"/>
      <c r="PVO62"/>
      <c r="PVP62"/>
      <c r="PVQ62"/>
      <c r="PVR62"/>
      <c r="PVS62"/>
      <c r="PVT62"/>
      <c r="PVU62"/>
      <c r="PVV62"/>
      <c r="PVW62"/>
      <c r="PVX62"/>
      <c r="PVY62"/>
      <c r="PVZ62"/>
      <c r="PWA62"/>
      <c r="PWB62"/>
      <c r="PWC62"/>
      <c r="PWD62"/>
      <c r="PWE62"/>
      <c r="PWF62"/>
      <c r="PWG62"/>
      <c r="PWH62"/>
      <c r="PWI62"/>
      <c r="PWJ62"/>
      <c r="PWK62"/>
      <c r="PWL62"/>
      <c r="PWM62"/>
      <c r="PWN62"/>
      <c r="PWO62"/>
      <c r="PWP62"/>
      <c r="PWQ62"/>
      <c r="PWR62"/>
      <c r="PWS62"/>
      <c r="PWT62"/>
      <c r="PWU62"/>
      <c r="PWV62"/>
      <c r="PWW62"/>
      <c r="PWX62"/>
      <c r="PWY62"/>
      <c r="PWZ62"/>
      <c r="PXA62"/>
      <c r="PXB62"/>
      <c r="PXC62"/>
      <c r="PXD62"/>
      <c r="PXE62"/>
      <c r="PXF62"/>
      <c r="PXG62"/>
      <c r="PXH62"/>
      <c r="PXI62"/>
      <c r="PXJ62"/>
      <c r="PXK62"/>
      <c r="PXL62"/>
      <c r="PXM62"/>
      <c r="PXN62"/>
      <c r="PXO62"/>
      <c r="PXP62"/>
      <c r="PXQ62"/>
      <c r="PXR62"/>
      <c r="PXS62"/>
      <c r="PXT62"/>
      <c r="PXU62"/>
      <c r="PXV62"/>
      <c r="PXW62"/>
      <c r="PXX62"/>
      <c r="PXY62"/>
      <c r="PXZ62"/>
      <c r="PYA62"/>
      <c r="PYB62"/>
      <c r="PYC62"/>
      <c r="PYD62"/>
      <c r="PYE62"/>
      <c r="PYF62"/>
      <c r="PYG62"/>
      <c r="PYH62"/>
      <c r="PYI62"/>
      <c r="PYJ62"/>
      <c r="PYK62"/>
      <c r="PYL62"/>
      <c r="PYM62"/>
      <c r="PYN62"/>
      <c r="PYO62"/>
      <c r="PYP62"/>
      <c r="PYQ62"/>
      <c r="PYR62"/>
      <c r="PYS62"/>
      <c r="PYT62"/>
      <c r="PYU62"/>
      <c r="PYV62"/>
      <c r="PYW62"/>
      <c r="PYX62"/>
      <c r="PYY62"/>
      <c r="PYZ62"/>
      <c r="PZA62"/>
      <c r="PZB62"/>
      <c r="PZC62"/>
      <c r="PZD62"/>
      <c r="PZE62"/>
      <c r="PZF62"/>
      <c r="PZG62"/>
      <c r="PZH62"/>
      <c r="PZI62"/>
      <c r="PZJ62"/>
      <c r="PZK62"/>
      <c r="PZL62"/>
      <c r="PZM62"/>
      <c r="PZN62"/>
      <c r="PZO62"/>
      <c r="PZP62"/>
      <c r="PZQ62"/>
      <c r="PZR62"/>
      <c r="PZS62"/>
      <c r="PZT62"/>
      <c r="PZU62"/>
      <c r="PZV62"/>
      <c r="PZW62"/>
      <c r="PZX62"/>
      <c r="PZY62"/>
      <c r="PZZ62"/>
      <c r="QAA62"/>
      <c r="QAB62"/>
      <c r="QAC62"/>
      <c r="QAD62"/>
      <c r="QAE62"/>
      <c r="QAF62"/>
      <c r="QAG62"/>
      <c r="QAH62"/>
      <c r="QAI62"/>
      <c r="QAJ62"/>
      <c r="QAK62"/>
      <c r="QAL62"/>
      <c r="QAM62"/>
      <c r="QAN62"/>
      <c r="QAO62"/>
      <c r="QAP62"/>
      <c r="QAQ62"/>
      <c r="QAR62"/>
      <c r="QAS62"/>
      <c r="QAT62"/>
      <c r="QAU62"/>
      <c r="QAV62"/>
      <c r="QAW62"/>
      <c r="QAX62"/>
      <c r="QAY62"/>
      <c r="QAZ62"/>
      <c r="QBA62"/>
      <c r="QBB62"/>
      <c r="QBC62"/>
      <c r="QBD62"/>
      <c r="QBE62"/>
      <c r="QBF62"/>
      <c r="QBG62"/>
      <c r="QBH62"/>
      <c r="QBI62"/>
      <c r="QBJ62"/>
      <c r="QBK62"/>
      <c r="QBL62"/>
      <c r="QBM62"/>
      <c r="QBN62"/>
      <c r="QBO62"/>
      <c r="QBP62"/>
      <c r="QBQ62"/>
      <c r="QBR62"/>
      <c r="QBS62"/>
      <c r="QBT62"/>
      <c r="QBU62"/>
      <c r="QBV62"/>
      <c r="QBW62"/>
      <c r="QBX62"/>
      <c r="QBY62"/>
      <c r="QBZ62"/>
      <c r="QCA62"/>
      <c r="QCB62"/>
      <c r="QCC62"/>
      <c r="QCD62"/>
      <c r="QCE62"/>
      <c r="QCF62"/>
      <c r="QCG62"/>
      <c r="QCH62"/>
      <c r="QCI62"/>
      <c r="QCJ62"/>
      <c r="QCK62"/>
      <c r="QCL62"/>
      <c r="QCM62"/>
      <c r="QCN62"/>
      <c r="QCO62"/>
      <c r="QCP62"/>
      <c r="QCQ62"/>
      <c r="QCR62"/>
      <c r="QCS62"/>
      <c r="QCT62"/>
      <c r="QCU62"/>
      <c r="QCV62"/>
      <c r="QCW62"/>
      <c r="QCX62"/>
      <c r="QCY62"/>
      <c r="QCZ62"/>
      <c r="QDA62"/>
      <c r="QDB62"/>
      <c r="QDC62"/>
      <c r="QDD62"/>
      <c r="QDE62"/>
      <c r="QDF62"/>
      <c r="QDG62"/>
      <c r="QDH62"/>
      <c r="QDI62"/>
      <c r="QDJ62"/>
      <c r="QDK62"/>
      <c r="QDL62"/>
      <c r="QDM62"/>
      <c r="QDN62"/>
      <c r="QDO62"/>
      <c r="QDP62"/>
      <c r="QDQ62"/>
      <c r="QDR62"/>
      <c r="QDS62"/>
      <c r="QDT62"/>
      <c r="QDU62"/>
      <c r="QDV62"/>
      <c r="QDW62"/>
      <c r="QDX62"/>
      <c r="QDY62"/>
      <c r="QDZ62"/>
      <c r="QEA62"/>
      <c r="QEB62"/>
      <c r="QEC62"/>
      <c r="QED62"/>
      <c r="QEE62"/>
      <c r="QEF62"/>
      <c r="QEG62"/>
      <c r="QEH62"/>
      <c r="QEI62"/>
      <c r="QEJ62"/>
      <c r="QEK62"/>
      <c r="QEL62"/>
      <c r="QEM62"/>
      <c r="QEN62"/>
      <c r="QEO62"/>
      <c r="QEP62"/>
      <c r="QEQ62"/>
      <c r="QER62"/>
      <c r="QES62"/>
      <c r="QET62"/>
      <c r="QEU62"/>
      <c r="QEV62"/>
      <c r="QEW62"/>
      <c r="QEX62"/>
      <c r="QEY62"/>
      <c r="QEZ62"/>
      <c r="QFA62"/>
      <c r="QFB62"/>
      <c r="QFC62"/>
      <c r="QFD62"/>
      <c r="QFE62"/>
      <c r="QFF62"/>
      <c r="QFG62"/>
      <c r="QFH62"/>
      <c r="QFI62"/>
      <c r="QFJ62"/>
      <c r="QFK62"/>
      <c r="QFL62"/>
      <c r="QFM62"/>
      <c r="QFN62"/>
      <c r="QFO62"/>
      <c r="QFP62"/>
      <c r="QFQ62"/>
      <c r="QFR62"/>
      <c r="QFS62"/>
      <c r="QFT62"/>
      <c r="QFU62"/>
      <c r="QFV62"/>
      <c r="QFW62"/>
      <c r="QFX62"/>
      <c r="QFY62"/>
      <c r="QFZ62"/>
      <c r="QGA62"/>
      <c r="QGB62"/>
      <c r="QGC62"/>
      <c r="QGD62"/>
      <c r="QGE62"/>
      <c r="QGF62"/>
      <c r="QGG62"/>
      <c r="QGH62"/>
      <c r="QGI62"/>
      <c r="QGJ62"/>
      <c r="QGK62"/>
      <c r="QGL62"/>
      <c r="QGM62"/>
      <c r="QGN62"/>
      <c r="QGO62"/>
      <c r="QGP62"/>
      <c r="QGQ62"/>
      <c r="QGR62"/>
      <c r="QGS62"/>
      <c r="QGT62"/>
      <c r="QGU62"/>
      <c r="QGV62"/>
      <c r="QGW62"/>
      <c r="QGX62"/>
      <c r="QGY62"/>
      <c r="QGZ62"/>
      <c r="QHA62"/>
      <c r="QHB62"/>
      <c r="QHC62"/>
      <c r="QHD62"/>
      <c r="QHE62"/>
      <c r="QHF62"/>
      <c r="QHG62"/>
      <c r="QHH62"/>
      <c r="QHI62"/>
      <c r="QHJ62"/>
      <c r="QHK62"/>
      <c r="QHL62"/>
      <c r="QHM62"/>
      <c r="QHN62"/>
      <c r="QHO62"/>
      <c r="QHP62"/>
      <c r="QHQ62"/>
      <c r="QHR62"/>
      <c r="QHS62"/>
      <c r="QHT62"/>
      <c r="QHU62"/>
      <c r="QHV62"/>
      <c r="QHW62"/>
      <c r="QHX62"/>
      <c r="QHY62"/>
      <c r="QHZ62"/>
      <c r="QIA62"/>
      <c r="QIB62"/>
      <c r="QIC62"/>
      <c r="QID62"/>
      <c r="QIE62"/>
      <c r="QIF62"/>
      <c r="QIG62"/>
      <c r="QIH62"/>
      <c r="QII62"/>
      <c r="QIJ62"/>
      <c r="QIK62"/>
      <c r="QIL62"/>
      <c r="QIM62"/>
      <c r="QIN62"/>
      <c r="QIO62"/>
      <c r="QIP62"/>
      <c r="QIQ62"/>
      <c r="QIR62"/>
      <c r="QIS62"/>
      <c r="QIT62"/>
      <c r="QIU62"/>
      <c r="QIV62"/>
      <c r="QIW62"/>
      <c r="QIX62"/>
      <c r="QIY62"/>
      <c r="QIZ62"/>
      <c r="QJA62"/>
      <c r="QJB62"/>
      <c r="QJC62"/>
      <c r="QJD62"/>
      <c r="QJE62"/>
      <c r="QJF62"/>
      <c r="QJG62"/>
      <c r="QJH62"/>
      <c r="QJI62"/>
      <c r="QJJ62"/>
      <c r="QJK62"/>
      <c r="QJL62"/>
      <c r="QJM62"/>
      <c r="QJN62"/>
      <c r="QJO62"/>
      <c r="QJP62"/>
      <c r="QJQ62"/>
      <c r="QJR62"/>
      <c r="QJS62"/>
      <c r="QJT62"/>
      <c r="QJU62"/>
      <c r="QJV62"/>
      <c r="QJW62"/>
      <c r="QJX62"/>
      <c r="QJY62"/>
      <c r="QJZ62"/>
      <c r="QKA62"/>
      <c r="QKB62"/>
      <c r="QKC62"/>
      <c r="QKD62"/>
      <c r="QKE62"/>
      <c r="QKF62"/>
      <c r="QKG62"/>
      <c r="QKH62"/>
      <c r="QKI62"/>
      <c r="QKJ62"/>
      <c r="QKK62"/>
      <c r="QKL62"/>
      <c r="QKM62"/>
      <c r="QKN62"/>
      <c r="QKO62"/>
      <c r="QKP62"/>
      <c r="QKQ62"/>
      <c r="QKR62"/>
      <c r="QKS62"/>
      <c r="QKT62"/>
      <c r="QKU62"/>
      <c r="QKV62"/>
      <c r="QKW62"/>
      <c r="QKX62"/>
      <c r="QKY62"/>
      <c r="QKZ62"/>
      <c r="QLA62"/>
      <c r="QLB62"/>
      <c r="QLC62"/>
      <c r="QLD62"/>
      <c r="QLE62"/>
      <c r="QLF62"/>
      <c r="QLG62"/>
      <c r="QLH62"/>
      <c r="QLI62"/>
      <c r="QLJ62"/>
      <c r="QLK62"/>
      <c r="QLL62"/>
      <c r="QLM62"/>
      <c r="QLN62"/>
      <c r="QLO62"/>
      <c r="QLP62"/>
      <c r="QLQ62"/>
      <c r="QLR62"/>
      <c r="QLS62"/>
      <c r="QLT62"/>
      <c r="QLU62"/>
      <c r="QLV62"/>
      <c r="QLW62"/>
      <c r="QLX62"/>
      <c r="QLY62"/>
      <c r="QLZ62"/>
      <c r="QMA62"/>
      <c r="QMB62"/>
      <c r="QMC62"/>
      <c r="QMD62"/>
      <c r="QME62"/>
      <c r="QMF62"/>
      <c r="QMG62"/>
      <c r="QMH62"/>
      <c r="QMI62"/>
      <c r="QMJ62"/>
      <c r="QMK62"/>
      <c r="QML62"/>
      <c r="QMM62"/>
      <c r="QMN62"/>
      <c r="QMO62"/>
      <c r="QMP62"/>
      <c r="QMQ62"/>
      <c r="QMR62"/>
      <c r="QMS62"/>
      <c r="QMT62"/>
      <c r="QMU62"/>
      <c r="QMV62"/>
      <c r="QMW62"/>
      <c r="QMX62"/>
      <c r="QMY62"/>
      <c r="QMZ62"/>
      <c r="QNA62"/>
      <c r="QNB62"/>
      <c r="QNC62"/>
      <c r="QND62"/>
      <c r="QNE62"/>
      <c r="QNF62"/>
      <c r="QNG62"/>
      <c r="QNH62"/>
      <c r="QNI62"/>
      <c r="QNJ62"/>
      <c r="QNK62"/>
      <c r="QNL62"/>
      <c r="QNM62"/>
      <c r="QNN62"/>
      <c r="QNO62"/>
      <c r="QNP62"/>
      <c r="QNQ62"/>
      <c r="QNR62"/>
      <c r="QNS62"/>
      <c r="QNT62"/>
      <c r="QNU62"/>
      <c r="QNV62"/>
      <c r="QNW62"/>
      <c r="QNX62"/>
      <c r="QNY62"/>
      <c r="QNZ62"/>
      <c r="QOA62"/>
      <c r="QOB62"/>
      <c r="QOC62"/>
      <c r="QOD62"/>
      <c r="QOE62"/>
      <c r="QOF62"/>
      <c r="QOG62"/>
      <c r="QOH62"/>
      <c r="QOI62"/>
      <c r="QOJ62"/>
      <c r="QOK62"/>
      <c r="QOL62"/>
      <c r="QOM62"/>
      <c r="QON62"/>
      <c r="QOO62"/>
      <c r="QOP62"/>
      <c r="QOQ62"/>
      <c r="QOR62"/>
      <c r="QOS62"/>
      <c r="QOT62"/>
      <c r="QOU62"/>
      <c r="QOV62"/>
      <c r="QOW62"/>
      <c r="QOX62"/>
      <c r="QOY62"/>
      <c r="QOZ62"/>
      <c r="QPA62"/>
      <c r="QPB62"/>
      <c r="QPC62"/>
      <c r="QPD62"/>
      <c r="QPE62"/>
      <c r="QPF62"/>
      <c r="QPG62"/>
      <c r="QPH62"/>
      <c r="QPI62"/>
      <c r="QPJ62"/>
      <c r="QPK62"/>
      <c r="QPL62"/>
      <c r="QPM62"/>
      <c r="QPN62"/>
      <c r="QPO62"/>
      <c r="QPP62"/>
      <c r="QPQ62"/>
      <c r="QPR62"/>
      <c r="QPS62"/>
      <c r="QPT62"/>
      <c r="QPU62"/>
      <c r="QPV62"/>
      <c r="QPW62"/>
      <c r="QPX62"/>
      <c r="QPY62"/>
      <c r="QPZ62"/>
      <c r="QQA62"/>
      <c r="QQB62"/>
      <c r="QQC62"/>
      <c r="QQD62"/>
      <c r="QQE62"/>
      <c r="QQF62"/>
      <c r="QQG62"/>
      <c r="QQH62"/>
      <c r="QQI62"/>
      <c r="QQJ62"/>
      <c r="QQK62"/>
      <c r="QQL62"/>
      <c r="QQM62"/>
      <c r="QQN62"/>
      <c r="QQO62"/>
      <c r="QQP62"/>
      <c r="QQQ62"/>
      <c r="QQR62"/>
      <c r="QQS62"/>
      <c r="QQT62"/>
      <c r="QQU62"/>
      <c r="QQV62"/>
      <c r="QQW62"/>
      <c r="QQX62"/>
      <c r="QQY62"/>
      <c r="QQZ62"/>
      <c r="QRA62"/>
      <c r="QRB62"/>
      <c r="QRC62"/>
      <c r="QRD62"/>
      <c r="QRE62"/>
      <c r="QRF62"/>
      <c r="QRG62"/>
      <c r="QRH62"/>
      <c r="QRI62"/>
      <c r="QRJ62"/>
      <c r="QRK62"/>
      <c r="QRL62"/>
      <c r="QRM62"/>
      <c r="QRN62"/>
      <c r="QRO62"/>
      <c r="QRP62"/>
      <c r="QRQ62"/>
      <c r="QRR62"/>
      <c r="QRS62"/>
      <c r="QRT62"/>
      <c r="QRU62"/>
      <c r="QRV62"/>
      <c r="QRW62"/>
      <c r="QRX62"/>
      <c r="QRY62"/>
      <c r="QRZ62"/>
      <c r="QSA62"/>
      <c r="QSB62"/>
      <c r="QSC62"/>
      <c r="QSD62"/>
      <c r="QSE62"/>
      <c r="QSF62"/>
      <c r="QSG62"/>
      <c r="QSH62"/>
      <c r="QSI62"/>
      <c r="QSJ62"/>
      <c r="QSK62"/>
      <c r="QSL62"/>
      <c r="QSM62"/>
      <c r="QSN62"/>
      <c r="QSO62"/>
      <c r="QSP62"/>
      <c r="QSQ62"/>
      <c r="QSR62"/>
      <c r="QSS62"/>
      <c r="QST62"/>
      <c r="QSU62"/>
      <c r="QSV62"/>
      <c r="QSW62"/>
      <c r="QSX62"/>
      <c r="QSY62"/>
      <c r="QSZ62"/>
      <c r="QTA62"/>
      <c r="QTB62"/>
      <c r="QTC62"/>
      <c r="QTD62"/>
      <c r="QTE62"/>
      <c r="QTF62"/>
      <c r="QTG62"/>
      <c r="QTH62"/>
      <c r="QTI62"/>
      <c r="QTJ62"/>
      <c r="QTK62"/>
      <c r="QTL62"/>
      <c r="QTM62"/>
      <c r="QTN62"/>
      <c r="QTO62"/>
      <c r="QTP62"/>
      <c r="QTQ62"/>
      <c r="QTR62"/>
      <c r="QTS62"/>
      <c r="QTT62"/>
      <c r="QTU62"/>
      <c r="QTV62"/>
      <c r="QTW62"/>
      <c r="QTX62"/>
      <c r="QTY62"/>
      <c r="QTZ62"/>
      <c r="QUA62"/>
      <c r="QUB62"/>
      <c r="QUC62"/>
      <c r="QUD62"/>
      <c r="QUE62"/>
      <c r="QUF62"/>
      <c r="QUG62"/>
      <c r="QUH62"/>
      <c r="QUI62"/>
      <c r="QUJ62"/>
      <c r="QUK62"/>
      <c r="QUL62"/>
      <c r="QUM62"/>
      <c r="QUN62"/>
      <c r="QUO62"/>
      <c r="QUP62"/>
      <c r="QUQ62"/>
      <c r="QUR62"/>
      <c r="QUS62"/>
      <c r="QUT62"/>
      <c r="QUU62"/>
      <c r="QUV62"/>
      <c r="QUW62"/>
      <c r="QUX62"/>
      <c r="QUY62"/>
      <c r="QUZ62"/>
      <c r="QVA62"/>
      <c r="QVB62"/>
      <c r="QVC62"/>
      <c r="QVD62"/>
      <c r="QVE62"/>
      <c r="QVF62"/>
      <c r="QVG62"/>
      <c r="QVH62"/>
      <c r="QVI62"/>
      <c r="QVJ62"/>
      <c r="QVK62"/>
      <c r="QVL62"/>
      <c r="QVM62"/>
      <c r="QVN62"/>
      <c r="QVO62"/>
      <c r="QVP62"/>
      <c r="QVQ62"/>
      <c r="QVR62"/>
      <c r="QVS62"/>
      <c r="QVT62"/>
      <c r="QVU62"/>
      <c r="QVV62"/>
      <c r="QVW62"/>
      <c r="QVX62"/>
      <c r="QVY62"/>
      <c r="QVZ62"/>
      <c r="QWA62"/>
      <c r="QWB62"/>
      <c r="QWC62"/>
      <c r="QWD62"/>
      <c r="QWE62"/>
      <c r="QWF62"/>
      <c r="QWG62"/>
      <c r="QWH62"/>
      <c r="QWI62"/>
      <c r="QWJ62"/>
      <c r="QWK62"/>
      <c r="QWL62"/>
      <c r="QWM62"/>
      <c r="QWN62"/>
      <c r="QWO62"/>
      <c r="QWP62"/>
      <c r="QWQ62"/>
      <c r="QWR62"/>
      <c r="QWS62"/>
      <c r="QWT62"/>
      <c r="QWU62"/>
      <c r="QWV62"/>
      <c r="QWW62"/>
      <c r="QWX62"/>
      <c r="QWY62"/>
      <c r="QWZ62"/>
      <c r="QXA62"/>
      <c r="QXB62"/>
      <c r="QXC62"/>
      <c r="QXD62"/>
      <c r="QXE62"/>
      <c r="QXF62"/>
      <c r="QXG62"/>
      <c r="QXH62"/>
      <c r="QXI62"/>
      <c r="QXJ62"/>
      <c r="QXK62"/>
      <c r="QXL62"/>
      <c r="QXM62"/>
      <c r="QXN62"/>
      <c r="QXO62"/>
      <c r="QXP62"/>
      <c r="QXQ62"/>
      <c r="QXR62"/>
      <c r="QXS62"/>
      <c r="QXT62"/>
      <c r="QXU62"/>
      <c r="QXV62"/>
      <c r="QXW62"/>
      <c r="QXX62"/>
      <c r="QXY62"/>
      <c r="QXZ62"/>
      <c r="QYA62"/>
      <c r="QYB62"/>
      <c r="QYC62"/>
      <c r="QYD62"/>
      <c r="QYE62"/>
      <c r="QYF62"/>
      <c r="QYG62"/>
      <c r="QYH62"/>
      <c r="QYI62"/>
      <c r="QYJ62"/>
      <c r="QYK62"/>
      <c r="QYL62"/>
      <c r="QYM62"/>
      <c r="QYN62"/>
      <c r="QYO62"/>
      <c r="QYP62"/>
      <c r="QYQ62"/>
      <c r="QYR62"/>
      <c r="QYS62"/>
      <c r="QYT62"/>
      <c r="QYU62"/>
      <c r="QYV62"/>
      <c r="QYW62"/>
      <c r="QYX62"/>
      <c r="QYY62"/>
      <c r="QYZ62"/>
      <c r="QZA62"/>
      <c r="QZB62"/>
      <c r="QZC62"/>
      <c r="QZD62"/>
      <c r="QZE62"/>
      <c r="QZF62"/>
      <c r="QZG62"/>
      <c r="QZH62"/>
      <c r="QZI62"/>
      <c r="QZJ62"/>
      <c r="QZK62"/>
      <c r="QZL62"/>
      <c r="QZM62"/>
      <c r="QZN62"/>
      <c r="QZO62"/>
      <c r="QZP62"/>
      <c r="QZQ62"/>
      <c r="QZR62"/>
      <c r="QZS62"/>
      <c r="QZT62"/>
      <c r="QZU62"/>
      <c r="QZV62"/>
      <c r="QZW62"/>
      <c r="QZX62"/>
      <c r="QZY62"/>
      <c r="QZZ62"/>
      <c r="RAA62"/>
      <c r="RAB62"/>
      <c r="RAC62"/>
      <c r="RAD62"/>
      <c r="RAE62"/>
      <c r="RAF62"/>
      <c r="RAG62"/>
      <c r="RAH62"/>
      <c r="RAI62"/>
      <c r="RAJ62"/>
      <c r="RAK62"/>
      <c r="RAL62"/>
      <c r="RAM62"/>
      <c r="RAN62"/>
      <c r="RAO62"/>
      <c r="RAP62"/>
      <c r="RAQ62"/>
      <c r="RAR62"/>
      <c r="RAS62"/>
      <c r="RAT62"/>
      <c r="RAU62"/>
      <c r="RAV62"/>
      <c r="RAW62"/>
      <c r="RAX62"/>
      <c r="RAY62"/>
      <c r="RAZ62"/>
      <c r="RBA62"/>
      <c r="RBB62"/>
      <c r="RBC62"/>
      <c r="RBD62"/>
      <c r="RBE62"/>
      <c r="RBF62"/>
      <c r="RBG62"/>
      <c r="RBH62"/>
      <c r="RBI62"/>
      <c r="RBJ62"/>
      <c r="RBK62"/>
      <c r="RBL62"/>
      <c r="RBM62"/>
      <c r="RBN62"/>
      <c r="RBO62"/>
      <c r="RBP62"/>
      <c r="RBQ62"/>
      <c r="RBR62"/>
      <c r="RBS62"/>
      <c r="RBT62"/>
      <c r="RBU62"/>
      <c r="RBV62"/>
      <c r="RBW62"/>
      <c r="RBX62"/>
      <c r="RBY62"/>
      <c r="RBZ62"/>
      <c r="RCA62"/>
      <c r="RCB62"/>
      <c r="RCC62"/>
      <c r="RCD62"/>
      <c r="RCE62"/>
      <c r="RCF62"/>
      <c r="RCG62"/>
      <c r="RCH62"/>
      <c r="RCI62"/>
      <c r="RCJ62"/>
      <c r="RCK62"/>
      <c r="RCL62"/>
      <c r="RCM62"/>
      <c r="RCN62"/>
      <c r="RCO62"/>
      <c r="RCP62"/>
      <c r="RCQ62"/>
      <c r="RCR62"/>
      <c r="RCS62"/>
      <c r="RCT62"/>
      <c r="RCU62"/>
      <c r="RCV62"/>
      <c r="RCW62"/>
      <c r="RCX62"/>
      <c r="RCY62"/>
      <c r="RCZ62"/>
      <c r="RDA62"/>
      <c r="RDB62"/>
      <c r="RDC62"/>
      <c r="RDD62"/>
      <c r="RDE62"/>
      <c r="RDF62"/>
      <c r="RDG62"/>
      <c r="RDH62"/>
      <c r="RDI62"/>
      <c r="RDJ62"/>
      <c r="RDK62"/>
      <c r="RDL62"/>
      <c r="RDM62"/>
      <c r="RDN62"/>
      <c r="RDO62"/>
      <c r="RDP62"/>
      <c r="RDQ62"/>
      <c r="RDR62"/>
      <c r="RDS62"/>
      <c r="RDT62"/>
      <c r="RDU62"/>
      <c r="RDV62"/>
      <c r="RDW62"/>
      <c r="RDX62"/>
      <c r="RDY62"/>
      <c r="RDZ62"/>
      <c r="REA62"/>
      <c r="REB62"/>
      <c r="REC62"/>
      <c r="RED62"/>
      <c r="REE62"/>
      <c r="REF62"/>
      <c r="REG62"/>
      <c r="REH62"/>
      <c r="REI62"/>
      <c r="REJ62"/>
      <c r="REK62"/>
      <c r="REL62"/>
      <c r="REM62"/>
      <c r="REN62"/>
      <c r="REO62"/>
      <c r="REP62"/>
      <c r="REQ62"/>
      <c r="RER62"/>
      <c r="RES62"/>
      <c r="RET62"/>
      <c r="REU62"/>
      <c r="REV62"/>
      <c r="REW62"/>
      <c r="REX62"/>
      <c r="REY62"/>
      <c r="REZ62"/>
      <c r="RFA62"/>
      <c r="RFB62"/>
      <c r="RFC62"/>
      <c r="RFD62"/>
      <c r="RFE62"/>
      <c r="RFF62"/>
      <c r="RFG62"/>
      <c r="RFH62"/>
      <c r="RFI62"/>
      <c r="RFJ62"/>
      <c r="RFK62"/>
      <c r="RFL62"/>
      <c r="RFM62"/>
      <c r="RFN62"/>
      <c r="RFO62"/>
      <c r="RFP62"/>
      <c r="RFQ62"/>
      <c r="RFR62"/>
      <c r="RFS62"/>
      <c r="RFT62"/>
      <c r="RFU62"/>
      <c r="RFV62"/>
      <c r="RFW62"/>
      <c r="RFX62"/>
      <c r="RFY62"/>
      <c r="RFZ62"/>
      <c r="RGA62"/>
      <c r="RGB62"/>
      <c r="RGC62"/>
      <c r="RGD62"/>
      <c r="RGE62"/>
      <c r="RGF62"/>
      <c r="RGG62"/>
      <c r="RGH62"/>
      <c r="RGI62"/>
      <c r="RGJ62"/>
      <c r="RGK62"/>
      <c r="RGL62"/>
      <c r="RGM62"/>
      <c r="RGN62"/>
      <c r="RGO62"/>
      <c r="RGP62"/>
      <c r="RGQ62"/>
      <c r="RGR62"/>
      <c r="RGS62"/>
      <c r="RGT62"/>
      <c r="RGU62"/>
      <c r="RGV62"/>
      <c r="RGW62"/>
      <c r="RGX62"/>
      <c r="RGY62"/>
      <c r="RGZ62"/>
      <c r="RHA62"/>
      <c r="RHB62"/>
      <c r="RHC62"/>
      <c r="RHD62"/>
      <c r="RHE62"/>
      <c r="RHF62"/>
      <c r="RHG62"/>
      <c r="RHH62"/>
      <c r="RHI62"/>
      <c r="RHJ62"/>
      <c r="RHK62"/>
      <c r="RHL62"/>
      <c r="RHM62"/>
      <c r="RHN62"/>
      <c r="RHO62"/>
      <c r="RHP62"/>
      <c r="RHQ62"/>
      <c r="RHR62"/>
      <c r="RHS62"/>
      <c r="RHT62"/>
      <c r="RHU62"/>
      <c r="RHV62"/>
      <c r="RHW62"/>
      <c r="RHX62"/>
      <c r="RHY62"/>
      <c r="RHZ62"/>
      <c r="RIA62"/>
      <c r="RIB62"/>
      <c r="RIC62"/>
      <c r="RID62"/>
      <c r="RIE62"/>
      <c r="RIF62"/>
      <c r="RIG62"/>
      <c r="RIH62"/>
      <c r="RII62"/>
      <c r="RIJ62"/>
      <c r="RIK62"/>
      <c r="RIL62"/>
      <c r="RIM62"/>
      <c r="RIN62"/>
      <c r="RIO62"/>
      <c r="RIP62"/>
      <c r="RIQ62"/>
      <c r="RIR62"/>
      <c r="RIS62"/>
      <c r="RIT62"/>
      <c r="RIU62"/>
      <c r="RIV62"/>
      <c r="RIW62"/>
      <c r="RIX62"/>
      <c r="RIY62"/>
      <c r="RIZ62"/>
      <c r="RJA62"/>
      <c r="RJB62"/>
      <c r="RJC62"/>
      <c r="RJD62"/>
      <c r="RJE62"/>
      <c r="RJF62"/>
      <c r="RJG62"/>
      <c r="RJH62"/>
      <c r="RJI62"/>
      <c r="RJJ62"/>
      <c r="RJK62"/>
      <c r="RJL62"/>
      <c r="RJM62"/>
      <c r="RJN62"/>
      <c r="RJO62"/>
      <c r="RJP62"/>
      <c r="RJQ62"/>
      <c r="RJR62"/>
      <c r="RJS62"/>
      <c r="RJT62"/>
      <c r="RJU62"/>
      <c r="RJV62"/>
      <c r="RJW62"/>
      <c r="RJX62"/>
      <c r="RJY62"/>
      <c r="RJZ62"/>
      <c r="RKA62"/>
      <c r="RKB62"/>
      <c r="RKC62"/>
      <c r="RKD62"/>
      <c r="RKE62"/>
      <c r="RKF62"/>
      <c r="RKG62"/>
      <c r="RKH62"/>
      <c r="RKI62"/>
      <c r="RKJ62"/>
      <c r="RKK62"/>
      <c r="RKL62"/>
      <c r="RKM62"/>
      <c r="RKN62"/>
      <c r="RKO62"/>
      <c r="RKP62"/>
      <c r="RKQ62"/>
      <c r="RKR62"/>
      <c r="RKS62"/>
      <c r="RKT62"/>
      <c r="RKU62"/>
      <c r="RKV62"/>
      <c r="RKW62"/>
      <c r="RKX62"/>
      <c r="RKY62"/>
      <c r="RKZ62"/>
      <c r="RLA62"/>
      <c r="RLB62"/>
      <c r="RLC62"/>
      <c r="RLD62"/>
      <c r="RLE62"/>
      <c r="RLF62"/>
      <c r="RLG62"/>
      <c r="RLH62"/>
      <c r="RLI62"/>
      <c r="RLJ62"/>
      <c r="RLK62"/>
      <c r="RLL62"/>
      <c r="RLM62"/>
      <c r="RLN62"/>
      <c r="RLO62"/>
      <c r="RLP62"/>
      <c r="RLQ62"/>
      <c r="RLR62"/>
      <c r="RLS62"/>
      <c r="RLT62"/>
      <c r="RLU62"/>
      <c r="RLV62"/>
      <c r="RLW62"/>
      <c r="RLX62"/>
      <c r="RLY62"/>
      <c r="RLZ62"/>
      <c r="RMA62"/>
      <c r="RMB62"/>
      <c r="RMC62"/>
      <c r="RMD62"/>
      <c r="RME62"/>
      <c r="RMF62"/>
      <c r="RMG62"/>
      <c r="RMH62"/>
      <c r="RMI62"/>
      <c r="RMJ62"/>
      <c r="RMK62"/>
      <c r="RML62"/>
      <c r="RMM62"/>
      <c r="RMN62"/>
      <c r="RMO62"/>
      <c r="RMP62"/>
      <c r="RMQ62"/>
      <c r="RMR62"/>
      <c r="RMS62"/>
      <c r="RMT62"/>
      <c r="RMU62"/>
      <c r="RMV62"/>
      <c r="RMW62"/>
      <c r="RMX62"/>
      <c r="RMY62"/>
      <c r="RMZ62"/>
      <c r="RNA62"/>
      <c r="RNB62"/>
      <c r="RNC62"/>
      <c r="RND62"/>
      <c r="RNE62"/>
      <c r="RNF62"/>
      <c r="RNG62"/>
      <c r="RNH62"/>
      <c r="RNI62"/>
      <c r="RNJ62"/>
      <c r="RNK62"/>
      <c r="RNL62"/>
      <c r="RNM62"/>
      <c r="RNN62"/>
      <c r="RNO62"/>
      <c r="RNP62"/>
      <c r="RNQ62"/>
      <c r="RNR62"/>
      <c r="RNS62"/>
      <c r="RNT62"/>
      <c r="RNU62"/>
      <c r="RNV62"/>
      <c r="RNW62"/>
      <c r="RNX62"/>
      <c r="RNY62"/>
      <c r="RNZ62"/>
      <c r="ROA62"/>
      <c r="ROB62"/>
      <c r="ROC62"/>
      <c r="ROD62"/>
      <c r="ROE62"/>
      <c r="ROF62"/>
      <c r="ROG62"/>
      <c r="ROH62"/>
      <c r="ROI62"/>
      <c r="ROJ62"/>
      <c r="ROK62"/>
      <c r="ROL62"/>
      <c r="ROM62"/>
      <c r="RON62"/>
      <c r="ROO62"/>
      <c r="ROP62"/>
      <c r="ROQ62"/>
      <c r="ROR62"/>
      <c r="ROS62"/>
      <c r="ROT62"/>
      <c r="ROU62"/>
      <c r="ROV62"/>
      <c r="ROW62"/>
      <c r="ROX62"/>
      <c r="ROY62"/>
      <c r="ROZ62"/>
      <c r="RPA62"/>
      <c r="RPB62"/>
      <c r="RPC62"/>
      <c r="RPD62"/>
      <c r="RPE62"/>
      <c r="RPF62"/>
      <c r="RPG62"/>
      <c r="RPH62"/>
      <c r="RPI62"/>
      <c r="RPJ62"/>
      <c r="RPK62"/>
      <c r="RPL62"/>
      <c r="RPM62"/>
      <c r="RPN62"/>
      <c r="RPO62"/>
      <c r="RPP62"/>
      <c r="RPQ62"/>
      <c r="RPR62"/>
      <c r="RPS62"/>
      <c r="RPT62"/>
      <c r="RPU62"/>
      <c r="RPV62"/>
      <c r="RPW62"/>
      <c r="RPX62"/>
      <c r="RPY62"/>
      <c r="RPZ62"/>
      <c r="RQA62"/>
      <c r="RQB62"/>
      <c r="RQC62"/>
      <c r="RQD62"/>
      <c r="RQE62"/>
      <c r="RQF62"/>
      <c r="RQG62"/>
      <c r="RQH62"/>
      <c r="RQI62"/>
      <c r="RQJ62"/>
      <c r="RQK62"/>
      <c r="RQL62"/>
      <c r="RQM62"/>
      <c r="RQN62"/>
      <c r="RQO62"/>
      <c r="RQP62"/>
      <c r="RQQ62"/>
      <c r="RQR62"/>
      <c r="RQS62"/>
      <c r="RQT62"/>
      <c r="RQU62"/>
      <c r="RQV62"/>
      <c r="RQW62"/>
      <c r="RQX62"/>
      <c r="RQY62"/>
      <c r="RQZ62"/>
      <c r="RRA62"/>
      <c r="RRB62"/>
      <c r="RRC62"/>
      <c r="RRD62"/>
      <c r="RRE62"/>
      <c r="RRF62"/>
      <c r="RRG62"/>
      <c r="RRH62"/>
      <c r="RRI62"/>
      <c r="RRJ62"/>
      <c r="RRK62"/>
      <c r="RRL62"/>
      <c r="RRM62"/>
      <c r="RRN62"/>
      <c r="RRO62"/>
      <c r="RRP62"/>
      <c r="RRQ62"/>
      <c r="RRR62"/>
      <c r="RRS62"/>
      <c r="RRT62"/>
      <c r="RRU62"/>
      <c r="RRV62"/>
      <c r="RRW62"/>
      <c r="RRX62"/>
      <c r="RRY62"/>
      <c r="RRZ62"/>
      <c r="RSA62"/>
      <c r="RSB62"/>
      <c r="RSC62"/>
      <c r="RSD62"/>
      <c r="RSE62"/>
      <c r="RSF62"/>
      <c r="RSG62"/>
      <c r="RSH62"/>
      <c r="RSI62"/>
      <c r="RSJ62"/>
      <c r="RSK62"/>
      <c r="RSL62"/>
      <c r="RSM62"/>
      <c r="RSN62"/>
      <c r="RSO62"/>
      <c r="RSP62"/>
      <c r="RSQ62"/>
      <c r="RSR62"/>
      <c r="RSS62"/>
      <c r="RST62"/>
      <c r="RSU62"/>
      <c r="RSV62"/>
      <c r="RSW62"/>
      <c r="RSX62"/>
      <c r="RSY62"/>
      <c r="RSZ62"/>
      <c r="RTA62"/>
      <c r="RTB62"/>
      <c r="RTC62"/>
      <c r="RTD62"/>
      <c r="RTE62"/>
      <c r="RTF62"/>
      <c r="RTG62"/>
      <c r="RTH62"/>
      <c r="RTI62"/>
      <c r="RTJ62"/>
      <c r="RTK62"/>
      <c r="RTL62"/>
      <c r="RTM62"/>
      <c r="RTN62"/>
      <c r="RTO62"/>
      <c r="RTP62"/>
      <c r="RTQ62"/>
      <c r="RTR62"/>
      <c r="RTS62"/>
      <c r="RTT62"/>
      <c r="RTU62"/>
      <c r="RTV62"/>
      <c r="RTW62"/>
      <c r="RTX62"/>
      <c r="RTY62"/>
      <c r="RTZ62"/>
      <c r="RUA62"/>
      <c r="RUB62"/>
      <c r="RUC62"/>
      <c r="RUD62"/>
      <c r="RUE62"/>
      <c r="RUF62"/>
      <c r="RUG62"/>
      <c r="RUH62"/>
      <c r="RUI62"/>
      <c r="RUJ62"/>
      <c r="RUK62"/>
      <c r="RUL62"/>
      <c r="RUM62"/>
      <c r="RUN62"/>
      <c r="RUO62"/>
      <c r="RUP62"/>
      <c r="RUQ62"/>
      <c r="RUR62"/>
      <c r="RUS62"/>
      <c r="RUT62"/>
      <c r="RUU62"/>
      <c r="RUV62"/>
      <c r="RUW62"/>
      <c r="RUX62"/>
      <c r="RUY62"/>
      <c r="RUZ62"/>
      <c r="RVA62"/>
      <c r="RVB62"/>
      <c r="RVC62"/>
      <c r="RVD62"/>
      <c r="RVE62"/>
      <c r="RVF62"/>
      <c r="RVG62"/>
      <c r="RVH62"/>
      <c r="RVI62"/>
      <c r="RVJ62"/>
      <c r="RVK62"/>
      <c r="RVL62"/>
      <c r="RVM62"/>
      <c r="RVN62"/>
      <c r="RVO62"/>
      <c r="RVP62"/>
      <c r="RVQ62"/>
      <c r="RVR62"/>
      <c r="RVS62"/>
      <c r="RVT62"/>
      <c r="RVU62"/>
      <c r="RVV62"/>
      <c r="RVW62"/>
      <c r="RVX62"/>
      <c r="RVY62"/>
      <c r="RVZ62"/>
      <c r="RWA62"/>
      <c r="RWB62"/>
      <c r="RWC62"/>
      <c r="RWD62"/>
      <c r="RWE62"/>
      <c r="RWF62"/>
      <c r="RWG62"/>
      <c r="RWH62"/>
      <c r="RWI62"/>
      <c r="RWJ62"/>
      <c r="RWK62"/>
      <c r="RWL62"/>
      <c r="RWM62"/>
      <c r="RWN62"/>
      <c r="RWO62"/>
      <c r="RWP62"/>
      <c r="RWQ62"/>
      <c r="RWR62"/>
      <c r="RWS62"/>
      <c r="RWT62"/>
      <c r="RWU62"/>
      <c r="RWV62"/>
      <c r="RWW62"/>
      <c r="RWX62"/>
      <c r="RWY62"/>
      <c r="RWZ62"/>
      <c r="RXA62"/>
      <c r="RXB62"/>
      <c r="RXC62"/>
      <c r="RXD62"/>
      <c r="RXE62"/>
      <c r="RXF62"/>
      <c r="RXG62"/>
      <c r="RXH62"/>
      <c r="RXI62"/>
      <c r="RXJ62"/>
      <c r="RXK62"/>
      <c r="RXL62"/>
      <c r="RXM62"/>
      <c r="RXN62"/>
      <c r="RXO62"/>
      <c r="RXP62"/>
      <c r="RXQ62"/>
      <c r="RXR62"/>
      <c r="RXS62"/>
      <c r="RXT62"/>
      <c r="RXU62"/>
      <c r="RXV62"/>
      <c r="RXW62"/>
      <c r="RXX62"/>
      <c r="RXY62"/>
      <c r="RXZ62"/>
      <c r="RYA62"/>
      <c r="RYB62"/>
      <c r="RYC62"/>
      <c r="RYD62"/>
      <c r="RYE62"/>
      <c r="RYF62"/>
      <c r="RYG62"/>
      <c r="RYH62"/>
      <c r="RYI62"/>
      <c r="RYJ62"/>
      <c r="RYK62"/>
      <c r="RYL62"/>
      <c r="RYM62"/>
      <c r="RYN62"/>
      <c r="RYO62"/>
      <c r="RYP62"/>
      <c r="RYQ62"/>
      <c r="RYR62"/>
      <c r="RYS62"/>
      <c r="RYT62"/>
      <c r="RYU62"/>
      <c r="RYV62"/>
      <c r="RYW62"/>
      <c r="RYX62"/>
      <c r="RYY62"/>
      <c r="RYZ62"/>
      <c r="RZA62"/>
      <c r="RZB62"/>
      <c r="RZC62"/>
      <c r="RZD62"/>
      <c r="RZE62"/>
      <c r="RZF62"/>
      <c r="RZG62"/>
      <c r="RZH62"/>
      <c r="RZI62"/>
      <c r="RZJ62"/>
      <c r="RZK62"/>
      <c r="RZL62"/>
      <c r="RZM62"/>
      <c r="RZN62"/>
      <c r="RZO62"/>
      <c r="RZP62"/>
      <c r="RZQ62"/>
      <c r="RZR62"/>
      <c r="RZS62"/>
      <c r="RZT62"/>
      <c r="RZU62"/>
      <c r="RZV62"/>
      <c r="RZW62"/>
      <c r="RZX62"/>
      <c r="RZY62"/>
      <c r="RZZ62"/>
      <c r="SAA62"/>
      <c r="SAB62"/>
      <c r="SAC62"/>
      <c r="SAD62"/>
      <c r="SAE62"/>
      <c r="SAF62"/>
      <c r="SAG62"/>
      <c r="SAH62"/>
      <c r="SAI62"/>
      <c r="SAJ62"/>
      <c r="SAK62"/>
      <c r="SAL62"/>
      <c r="SAM62"/>
      <c r="SAN62"/>
      <c r="SAO62"/>
      <c r="SAP62"/>
      <c r="SAQ62"/>
      <c r="SAR62"/>
      <c r="SAS62"/>
      <c r="SAT62"/>
      <c r="SAU62"/>
      <c r="SAV62"/>
      <c r="SAW62"/>
      <c r="SAX62"/>
      <c r="SAY62"/>
      <c r="SAZ62"/>
      <c r="SBA62"/>
      <c r="SBB62"/>
      <c r="SBC62"/>
      <c r="SBD62"/>
      <c r="SBE62"/>
      <c r="SBF62"/>
      <c r="SBG62"/>
      <c r="SBH62"/>
      <c r="SBI62"/>
      <c r="SBJ62"/>
      <c r="SBK62"/>
      <c r="SBL62"/>
      <c r="SBM62"/>
      <c r="SBN62"/>
      <c r="SBO62"/>
      <c r="SBP62"/>
      <c r="SBQ62"/>
      <c r="SBR62"/>
      <c r="SBS62"/>
      <c r="SBT62"/>
      <c r="SBU62"/>
      <c r="SBV62"/>
      <c r="SBW62"/>
      <c r="SBX62"/>
      <c r="SBY62"/>
      <c r="SBZ62"/>
      <c r="SCA62"/>
      <c r="SCB62"/>
      <c r="SCC62"/>
      <c r="SCD62"/>
      <c r="SCE62"/>
      <c r="SCF62"/>
      <c r="SCG62"/>
      <c r="SCH62"/>
      <c r="SCI62"/>
      <c r="SCJ62"/>
      <c r="SCK62"/>
      <c r="SCL62"/>
      <c r="SCM62"/>
      <c r="SCN62"/>
      <c r="SCO62"/>
      <c r="SCP62"/>
      <c r="SCQ62"/>
      <c r="SCR62"/>
      <c r="SCS62"/>
      <c r="SCT62"/>
      <c r="SCU62"/>
      <c r="SCV62"/>
      <c r="SCW62"/>
      <c r="SCX62"/>
      <c r="SCY62"/>
      <c r="SCZ62"/>
      <c r="SDA62"/>
      <c r="SDB62"/>
      <c r="SDC62"/>
      <c r="SDD62"/>
      <c r="SDE62"/>
      <c r="SDF62"/>
      <c r="SDG62"/>
      <c r="SDH62"/>
      <c r="SDI62"/>
      <c r="SDJ62"/>
      <c r="SDK62"/>
      <c r="SDL62"/>
      <c r="SDM62"/>
      <c r="SDN62"/>
      <c r="SDO62"/>
      <c r="SDP62"/>
      <c r="SDQ62"/>
      <c r="SDR62"/>
      <c r="SDS62"/>
      <c r="SDT62"/>
      <c r="SDU62"/>
      <c r="SDV62"/>
      <c r="SDW62"/>
      <c r="SDX62"/>
      <c r="SDY62"/>
      <c r="SDZ62"/>
      <c r="SEA62"/>
      <c r="SEB62"/>
      <c r="SEC62"/>
      <c r="SED62"/>
      <c r="SEE62"/>
      <c r="SEF62"/>
      <c r="SEG62"/>
      <c r="SEH62"/>
      <c r="SEI62"/>
      <c r="SEJ62"/>
      <c r="SEK62"/>
      <c r="SEL62"/>
      <c r="SEM62"/>
      <c r="SEN62"/>
      <c r="SEO62"/>
      <c r="SEP62"/>
      <c r="SEQ62"/>
      <c r="SER62"/>
      <c r="SES62"/>
      <c r="SET62"/>
      <c r="SEU62"/>
      <c r="SEV62"/>
      <c r="SEW62"/>
      <c r="SEX62"/>
      <c r="SEY62"/>
      <c r="SEZ62"/>
      <c r="SFA62"/>
      <c r="SFB62"/>
      <c r="SFC62"/>
      <c r="SFD62"/>
      <c r="SFE62"/>
      <c r="SFF62"/>
      <c r="SFG62"/>
      <c r="SFH62"/>
      <c r="SFI62"/>
      <c r="SFJ62"/>
      <c r="SFK62"/>
      <c r="SFL62"/>
      <c r="SFM62"/>
      <c r="SFN62"/>
      <c r="SFO62"/>
      <c r="SFP62"/>
      <c r="SFQ62"/>
      <c r="SFR62"/>
      <c r="SFS62"/>
      <c r="SFT62"/>
      <c r="SFU62"/>
      <c r="SFV62"/>
      <c r="SFW62"/>
      <c r="SFX62"/>
      <c r="SFY62"/>
      <c r="SFZ62"/>
      <c r="SGA62"/>
      <c r="SGB62"/>
      <c r="SGC62"/>
      <c r="SGD62"/>
      <c r="SGE62"/>
      <c r="SGF62"/>
      <c r="SGG62"/>
      <c r="SGH62"/>
      <c r="SGI62"/>
      <c r="SGJ62"/>
      <c r="SGK62"/>
      <c r="SGL62"/>
      <c r="SGM62"/>
      <c r="SGN62"/>
      <c r="SGO62"/>
      <c r="SGP62"/>
      <c r="SGQ62"/>
      <c r="SGR62"/>
      <c r="SGS62"/>
      <c r="SGT62"/>
      <c r="SGU62"/>
      <c r="SGV62"/>
      <c r="SGW62"/>
      <c r="SGX62"/>
      <c r="SGY62"/>
      <c r="SGZ62"/>
      <c r="SHA62"/>
      <c r="SHB62"/>
      <c r="SHC62"/>
      <c r="SHD62"/>
      <c r="SHE62"/>
      <c r="SHF62"/>
      <c r="SHG62"/>
      <c r="SHH62"/>
      <c r="SHI62"/>
      <c r="SHJ62"/>
      <c r="SHK62"/>
      <c r="SHL62"/>
      <c r="SHM62"/>
      <c r="SHN62"/>
      <c r="SHO62"/>
      <c r="SHP62"/>
      <c r="SHQ62"/>
      <c r="SHR62"/>
      <c r="SHS62"/>
      <c r="SHT62"/>
      <c r="SHU62"/>
      <c r="SHV62"/>
      <c r="SHW62"/>
      <c r="SHX62"/>
      <c r="SHY62"/>
      <c r="SHZ62"/>
      <c r="SIA62"/>
      <c r="SIB62"/>
      <c r="SIC62"/>
      <c r="SID62"/>
      <c r="SIE62"/>
      <c r="SIF62"/>
      <c r="SIG62"/>
      <c r="SIH62"/>
      <c r="SII62"/>
      <c r="SIJ62"/>
      <c r="SIK62"/>
      <c r="SIL62"/>
      <c r="SIM62"/>
      <c r="SIN62"/>
      <c r="SIO62"/>
      <c r="SIP62"/>
      <c r="SIQ62"/>
      <c r="SIR62"/>
      <c r="SIS62"/>
      <c r="SIT62"/>
      <c r="SIU62"/>
      <c r="SIV62"/>
      <c r="SIW62"/>
      <c r="SIX62"/>
      <c r="SIY62"/>
      <c r="SIZ62"/>
      <c r="SJA62"/>
      <c r="SJB62"/>
      <c r="SJC62"/>
      <c r="SJD62"/>
      <c r="SJE62"/>
      <c r="SJF62"/>
      <c r="SJG62"/>
      <c r="SJH62"/>
      <c r="SJI62"/>
      <c r="SJJ62"/>
      <c r="SJK62"/>
      <c r="SJL62"/>
      <c r="SJM62"/>
      <c r="SJN62"/>
      <c r="SJO62"/>
      <c r="SJP62"/>
      <c r="SJQ62"/>
      <c r="SJR62"/>
      <c r="SJS62"/>
      <c r="SJT62"/>
      <c r="SJU62"/>
      <c r="SJV62"/>
      <c r="SJW62"/>
      <c r="SJX62"/>
      <c r="SJY62"/>
      <c r="SJZ62"/>
      <c r="SKA62"/>
      <c r="SKB62"/>
      <c r="SKC62"/>
      <c r="SKD62"/>
      <c r="SKE62"/>
      <c r="SKF62"/>
      <c r="SKG62"/>
      <c r="SKH62"/>
      <c r="SKI62"/>
      <c r="SKJ62"/>
      <c r="SKK62"/>
      <c r="SKL62"/>
      <c r="SKM62"/>
      <c r="SKN62"/>
      <c r="SKO62"/>
      <c r="SKP62"/>
      <c r="SKQ62"/>
      <c r="SKR62"/>
      <c r="SKS62"/>
      <c r="SKT62"/>
      <c r="SKU62"/>
      <c r="SKV62"/>
      <c r="SKW62"/>
      <c r="SKX62"/>
      <c r="SKY62"/>
      <c r="SKZ62"/>
      <c r="SLA62"/>
      <c r="SLB62"/>
      <c r="SLC62"/>
      <c r="SLD62"/>
      <c r="SLE62"/>
      <c r="SLF62"/>
      <c r="SLG62"/>
      <c r="SLH62"/>
      <c r="SLI62"/>
      <c r="SLJ62"/>
      <c r="SLK62"/>
      <c r="SLL62"/>
      <c r="SLM62"/>
      <c r="SLN62"/>
      <c r="SLO62"/>
      <c r="SLP62"/>
      <c r="SLQ62"/>
      <c r="SLR62"/>
      <c r="SLS62"/>
      <c r="SLT62"/>
      <c r="SLU62"/>
      <c r="SLV62"/>
      <c r="SLW62"/>
      <c r="SLX62"/>
      <c r="SLY62"/>
      <c r="SLZ62"/>
      <c r="SMA62"/>
      <c r="SMB62"/>
      <c r="SMC62"/>
      <c r="SMD62"/>
      <c r="SME62"/>
      <c r="SMF62"/>
      <c r="SMG62"/>
      <c r="SMH62"/>
      <c r="SMI62"/>
      <c r="SMJ62"/>
      <c r="SMK62"/>
      <c r="SML62"/>
      <c r="SMM62"/>
      <c r="SMN62"/>
      <c r="SMO62"/>
      <c r="SMP62"/>
      <c r="SMQ62"/>
      <c r="SMR62"/>
      <c r="SMS62"/>
      <c r="SMT62"/>
      <c r="SMU62"/>
      <c r="SMV62"/>
      <c r="SMW62"/>
      <c r="SMX62"/>
      <c r="SMY62"/>
      <c r="SMZ62"/>
      <c r="SNA62"/>
      <c r="SNB62"/>
      <c r="SNC62"/>
      <c r="SND62"/>
      <c r="SNE62"/>
      <c r="SNF62"/>
      <c r="SNG62"/>
      <c r="SNH62"/>
      <c r="SNI62"/>
      <c r="SNJ62"/>
      <c r="SNK62"/>
      <c r="SNL62"/>
      <c r="SNM62"/>
      <c r="SNN62"/>
      <c r="SNO62"/>
      <c r="SNP62"/>
      <c r="SNQ62"/>
      <c r="SNR62"/>
      <c r="SNS62"/>
      <c r="SNT62"/>
      <c r="SNU62"/>
      <c r="SNV62"/>
      <c r="SNW62"/>
      <c r="SNX62"/>
      <c r="SNY62"/>
      <c r="SNZ62"/>
      <c r="SOA62"/>
      <c r="SOB62"/>
      <c r="SOC62"/>
      <c r="SOD62"/>
      <c r="SOE62"/>
      <c r="SOF62"/>
      <c r="SOG62"/>
      <c r="SOH62"/>
      <c r="SOI62"/>
      <c r="SOJ62"/>
      <c r="SOK62"/>
      <c r="SOL62"/>
      <c r="SOM62"/>
      <c r="SON62"/>
      <c r="SOO62"/>
      <c r="SOP62"/>
      <c r="SOQ62"/>
      <c r="SOR62"/>
      <c r="SOS62"/>
      <c r="SOT62"/>
      <c r="SOU62"/>
      <c r="SOV62"/>
      <c r="SOW62"/>
      <c r="SOX62"/>
      <c r="SOY62"/>
      <c r="SOZ62"/>
      <c r="SPA62"/>
      <c r="SPB62"/>
      <c r="SPC62"/>
      <c r="SPD62"/>
      <c r="SPE62"/>
      <c r="SPF62"/>
      <c r="SPG62"/>
      <c r="SPH62"/>
      <c r="SPI62"/>
      <c r="SPJ62"/>
      <c r="SPK62"/>
      <c r="SPL62"/>
      <c r="SPM62"/>
      <c r="SPN62"/>
      <c r="SPO62"/>
      <c r="SPP62"/>
      <c r="SPQ62"/>
      <c r="SPR62"/>
      <c r="SPS62"/>
      <c r="SPT62"/>
      <c r="SPU62"/>
      <c r="SPV62"/>
      <c r="SPW62"/>
      <c r="SPX62"/>
      <c r="SPY62"/>
      <c r="SPZ62"/>
      <c r="SQA62"/>
      <c r="SQB62"/>
      <c r="SQC62"/>
      <c r="SQD62"/>
      <c r="SQE62"/>
      <c r="SQF62"/>
      <c r="SQG62"/>
      <c r="SQH62"/>
      <c r="SQI62"/>
      <c r="SQJ62"/>
      <c r="SQK62"/>
      <c r="SQL62"/>
      <c r="SQM62"/>
      <c r="SQN62"/>
      <c r="SQO62"/>
      <c r="SQP62"/>
      <c r="SQQ62"/>
      <c r="SQR62"/>
      <c r="SQS62"/>
      <c r="SQT62"/>
      <c r="SQU62"/>
      <c r="SQV62"/>
      <c r="SQW62"/>
      <c r="SQX62"/>
      <c r="SQY62"/>
      <c r="SQZ62"/>
      <c r="SRA62"/>
      <c r="SRB62"/>
      <c r="SRC62"/>
      <c r="SRD62"/>
      <c r="SRE62"/>
      <c r="SRF62"/>
      <c r="SRG62"/>
      <c r="SRH62"/>
      <c r="SRI62"/>
      <c r="SRJ62"/>
      <c r="SRK62"/>
      <c r="SRL62"/>
      <c r="SRM62"/>
      <c r="SRN62"/>
      <c r="SRO62"/>
      <c r="SRP62"/>
      <c r="SRQ62"/>
      <c r="SRR62"/>
      <c r="SRS62"/>
      <c r="SRT62"/>
      <c r="SRU62"/>
      <c r="SRV62"/>
      <c r="SRW62"/>
      <c r="SRX62"/>
      <c r="SRY62"/>
      <c r="SRZ62"/>
      <c r="SSA62"/>
      <c r="SSB62"/>
      <c r="SSC62"/>
      <c r="SSD62"/>
      <c r="SSE62"/>
      <c r="SSF62"/>
      <c r="SSG62"/>
      <c r="SSH62"/>
      <c r="SSI62"/>
      <c r="SSJ62"/>
      <c r="SSK62"/>
      <c r="SSL62"/>
      <c r="SSM62"/>
      <c r="SSN62"/>
      <c r="SSO62"/>
      <c r="SSP62"/>
      <c r="SSQ62"/>
      <c r="SSR62"/>
      <c r="SSS62"/>
      <c r="SST62"/>
      <c r="SSU62"/>
      <c r="SSV62"/>
      <c r="SSW62"/>
      <c r="SSX62"/>
      <c r="SSY62"/>
      <c r="SSZ62"/>
      <c r="STA62"/>
      <c r="STB62"/>
      <c r="STC62"/>
      <c r="STD62"/>
      <c r="STE62"/>
      <c r="STF62"/>
      <c r="STG62"/>
      <c r="STH62"/>
      <c r="STI62"/>
      <c r="STJ62"/>
      <c r="STK62"/>
      <c r="STL62"/>
      <c r="STM62"/>
      <c r="STN62"/>
      <c r="STO62"/>
      <c r="STP62"/>
      <c r="STQ62"/>
      <c r="STR62"/>
      <c r="STS62"/>
      <c r="STT62"/>
      <c r="STU62"/>
      <c r="STV62"/>
      <c r="STW62"/>
      <c r="STX62"/>
      <c r="STY62"/>
      <c r="STZ62"/>
      <c r="SUA62"/>
      <c r="SUB62"/>
      <c r="SUC62"/>
      <c r="SUD62"/>
      <c r="SUE62"/>
      <c r="SUF62"/>
      <c r="SUG62"/>
      <c r="SUH62"/>
      <c r="SUI62"/>
      <c r="SUJ62"/>
      <c r="SUK62"/>
      <c r="SUL62"/>
      <c r="SUM62"/>
      <c r="SUN62"/>
      <c r="SUO62"/>
      <c r="SUP62"/>
      <c r="SUQ62"/>
      <c r="SUR62"/>
      <c r="SUS62"/>
      <c r="SUT62"/>
      <c r="SUU62"/>
      <c r="SUV62"/>
      <c r="SUW62"/>
      <c r="SUX62"/>
      <c r="SUY62"/>
      <c r="SUZ62"/>
      <c r="SVA62"/>
      <c r="SVB62"/>
      <c r="SVC62"/>
      <c r="SVD62"/>
      <c r="SVE62"/>
      <c r="SVF62"/>
      <c r="SVG62"/>
      <c r="SVH62"/>
      <c r="SVI62"/>
      <c r="SVJ62"/>
      <c r="SVK62"/>
      <c r="SVL62"/>
      <c r="SVM62"/>
      <c r="SVN62"/>
      <c r="SVO62"/>
      <c r="SVP62"/>
      <c r="SVQ62"/>
      <c r="SVR62"/>
      <c r="SVS62"/>
      <c r="SVT62"/>
      <c r="SVU62"/>
      <c r="SVV62"/>
      <c r="SVW62"/>
      <c r="SVX62"/>
      <c r="SVY62"/>
      <c r="SVZ62"/>
      <c r="SWA62"/>
      <c r="SWB62"/>
      <c r="SWC62"/>
      <c r="SWD62"/>
      <c r="SWE62"/>
      <c r="SWF62"/>
      <c r="SWG62"/>
      <c r="SWH62"/>
      <c r="SWI62"/>
      <c r="SWJ62"/>
      <c r="SWK62"/>
      <c r="SWL62"/>
      <c r="SWM62"/>
      <c r="SWN62"/>
      <c r="SWO62"/>
      <c r="SWP62"/>
      <c r="SWQ62"/>
      <c r="SWR62"/>
      <c r="SWS62"/>
      <c r="SWT62"/>
      <c r="SWU62"/>
      <c r="SWV62"/>
      <c r="SWW62"/>
      <c r="SWX62"/>
      <c r="SWY62"/>
      <c r="SWZ62"/>
      <c r="SXA62"/>
      <c r="SXB62"/>
      <c r="SXC62"/>
      <c r="SXD62"/>
      <c r="SXE62"/>
      <c r="SXF62"/>
      <c r="SXG62"/>
      <c r="SXH62"/>
      <c r="SXI62"/>
      <c r="SXJ62"/>
      <c r="SXK62"/>
      <c r="SXL62"/>
      <c r="SXM62"/>
      <c r="SXN62"/>
      <c r="SXO62"/>
      <c r="SXP62"/>
      <c r="SXQ62"/>
      <c r="SXR62"/>
      <c r="SXS62"/>
      <c r="SXT62"/>
      <c r="SXU62"/>
      <c r="SXV62"/>
      <c r="SXW62"/>
      <c r="SXX62"/>
      <c r="SXY62"/>
      <c r="SXZ62"/>
      <c r="SYA62"/>
      <c r="SYB62"/>
      <c r="SYC62"/>
      <c r="SYD62"/>
      <c r="SYE62"/>
      <c r="SYF62"/>
      <c r="SYG62"/>
      <c r="SYH62"/>
      <c r="SYI62"/>
      <c r="SYJ62"/>
      <c r="SYK62"/>
      <c r="SYL62"/>
      <c r="SYM62"/>
      <c r="SYN62"/>
      <c r="SYO62"/>
      <c r="SYP62"/>
      <c r="SYQ62"/>
      <c r="SYR62"/>
      <c r="SYS62"/>
      <c r="SYT62"/>
      <c r="SYU62"/>
      <c r="SYV62"/>
      <c r="SYW62"/>
      <c r="SYX62"/>
      <c r="SYY62"/>
      <c r="SYZ62"/>
      <c r="SZA62"/>
      <c r="SZB62"/>
      <c r="SZC62"/>
      <c r="SZD62"/>
      <c r="SZE62"/>
      <c r="SZF62"/>
      <c r="SZG62"/>
      <c r="SZH62"/>
      <c r="SZI62"/>
      <c r="SZJ62"/>
      <c r="SZK62"/>
      <c r="SZL62"/>
      <c r="SZM62"/>
      <c r="SZN62"/>
      <c r="SZO62"/>
      <c r="SZP62"/>
      <c r="SZQ62"/>
      <c r="SZR62"/>
      <c r="SZS62"/>
      <c r="SZT62"/>
      <c r="SZU62"/>
      <c r="SZV62"/>
      <c r="SZW62"/>
      <c r="SZX62"/>
      <c r="SZY62"/>
      <c r="SZZ62"/>
      <c r="TAA62"/>
      <c r="TAB62"/>
      <c r="TAC62"/>
      <c r="TAD62"/>
      <c r="TAE62"/>
      <c r="TAF62"/>
      <c r="TAG62"/>
      <c r="TAH62"/>
      <c r="TAI62"/>
      <c r="TAJ62"/>
      <c r="TAK62"/>
      <c r="TAL62"/>
      <c r="TAM62"/>
      <c r="TAN62"/>
      <c r="TAO62"/>
      <c r="TAP62"/>
      <c r="TAQ62"/>
      <c r="TAR62"/>
      <c r="TAS62"/>
      <c r="TAT62"/>
      <c r="TAU62"/>
      <c r="TAV62"/>
      <c r="TAW62"/>
      <c r="TAX62"/>
      <c r="TAY62"/>
      <c r="TAZ62"/>
      <c r="TBA62"/>
      <c r="TBB62"/>
      <c r="TBC62"/>
      <c r="TBD62"/>
      <c r="TBE62"/>
      <c r="TBF62"/>
      <c r="TBG62"/>
      <c r="TBH62"/>
      <c r="TBI62"/>
      <c r="TBJ62"/>
      <c r="TBK62"/>
      <c r="TBL62"/>
      <c r="TBM62"/>
      <c r="TBN62"/>
      <c r="TBO62"/>
      <c r="TBP62"/>
      <c r="TBQ62"/>
      <c r="TBR62"/>
      <c r="TBS62"/>
      <c r="TBT62"/>
      <c r="TBU62"/>
      <c r="TBV62"/>
      <c r="TBW62"/>
      <c r="TBX62"/>
      <c r="TBY62"/>
      <c r="TBZ62"/>
      <c r="TCA62"/>
      <c r="TCB62"/>
      <c r="TCC62"/>
      <c r="TCD62"/>
      <c r="TCE62"/>
      <c r="TCF62"/>
      <c r="TCG62"/>
      <c r="TCH62"/>
      <c r="TCI62"/>
      <c r="TCJ62"/>
      <c r="TCK62"/>
      <c r="TCL62"/>
      <c r="TCM62"/>
      <c r="TCN62"/>
      <c r="TCO62"/>
      <c r="TCP62"/>
      <c r="TCQ62"/>
      <c r="TCR62"/>
      <c r="TCS62"/>
      <c r="TCT62"/>
      <c r="TCU62"/>
      <c r="TCV62"/>
      <c r="TCW62"/>
      <c r="TCX62"/>
      <c r="TCY62"/>
      <c r="TCZ62"/>
      <c r="TDA62"/>
      <c r="TDB62"/>
      <c r="TDC62"/>
      <c r="TDD62"/>
      <c r="TDE62"/>
      <c r="TDF62"/>
      <c r="TDG62"/>
      <c r="TDH62"/>
      <c r="TDI62"/>
      <c r="TDJ62"/>
      <c r="TDK62"/>
      <c r="TDL62"/>
      <c r="TDM62"/>
      <c r="TDN62"/>
      <c r="TDO62"/>
      <c r="TDP62"/>
      <c r="TDQ62"/>
      <c r="TDR62"/>
      <c r="TDS62"/>
      <c r="TDT62"/>
      <c r="TDU62"/>
      <c r="TDV62"/>
      <c r="TDW62"/>
      <c r="TDX62"/>
      <c r="TDY62"/>
      <c r="TDZ62"/>
      <c r="TEA62"/>
      <c r="TEB62"/>
      <c r="TEC62"/>
      <c r="TED62"/>
      <c r="TEE62"/>
      <c r="TEF62"/>
      <c r="TEG62"/>
      <c r="TEH62"/>
      <c r="TEI62"/>
      <c r="TEJ62"/>
      <c r="TEK62"/>
      <c r="TEL62"/>
      <c r="TEM62"/>
      <c r="TEN62"/>
      <c r="TEO62"/>
      <c r="TEP62"/>
      <c r="TEQ62"/>
      <c r="TER62"/>
      <c r="TES62"/>
      <c r="TET62"/>
      <c r="TEU62"/>
      <c r="TEV62"/>
      <c r="TEW62"/>
      <c r="TEX62"/>
      <c r="TEY62"/>
      <c r="TEZ62"/>
      <c r="TFA62"/>
      <c r="TFB62"/>
      <c r="TFC62"/>
      <c r="TFD62"/>
      <c r="TFE62"/>
      <c r="TFF62"/>
      <c r="TFG62"/>
      <c r="TFH62"/>
      <c r="TFI62"/>
      <c r="TFJ62"/>
      <c r="TFK62"/>
      <c r="TFL62"/>
      <c r="TFM62"/>
      <c r="TFN62"/>
      <c r="TFO62"/>
      <c r="TFP62"/>
      <c r="TFQ62"/>
      <c r="TFR62"/>
      <c r="TFS62"/>
      <c r="TFT62"/>
      <c r="TFU62"/>
      <c r="TFV62"/>
      <c r="TFW62"/>
      <c r="TFX62"/>
      <c r="TFY62"/>
      <c r="TFZ62"/>
      <c r="TGA62"/>
      <c r="TGB62"/>
      <c r="TGC62"/>
      <c r="TGD62"/>
      <c r="TGE62"/>
      <c r="TGF62"/>
      <c r="TGG62"/>
      <c r="TGH62"/>
      <c r="TGI62"/>
      <c r="TGJ62"/>
      <c r="TGK62"/>
      <c r="TGL62"/>
      <c r="TGM62"/>
      <c r="TGN62"/>
      <c r="TGO62"/>
      <c r="TGP62"/>
      <c r="TGQ62"/>
      <c r="TGR62"/>
      <c r="TGS62"/>
      <c r="TGT62"/>
      <c r="TGU62"/>
      <c r="TGV62"/>
      <c r="TGW62"/>
      <c r="TGX62"/>
      <c r="TGY62"/>
      <c r="TGZ62"/>
      <c r="THA62"/>
      <c r="THB62"/>
      <c r="THC62"/>
      <c r="THD62"/>
      <c r="THE62"/>
      <c r="THF62"/>
      <c r="THG62"/>
      <c r="THH62"/>
      <c r="THI62"/>
      <c r="THJ62"/>
      <c r="THK62"/>
      <c r="THL62"/>
      <c r="THM62"/>
      <c r="THN62"/>
      <c r="THO62"/>
      <c r="THP62"/>
      <c r="THQ62"/>
      <c r="THR62"/>
      <c r="THS62"/>
      <c r="THT62"/>
      <c r="THU62"/>
      <c r="THV62"/>
      <c r="THW62"/>
      <c r="THX62"/>
      <c r="THY62"/>
      <c r="THZ62"/>
      <c r="TIA62"/>
      <c r="TIB62"/>
      <c r="TIC62"/>
      <c r="TID62"/>
      <c r="TIE62"/>
      <c r="TIF62"/>
      <c r="TIG62"/>
      <c r="TIH62"/>
      <c r="TII62"/>
      <c r="TIJ62"/>
      <c r="TIK62"/>
      <c r="TIL62"/>
      <c r="TIM62"/>
      <c r="TIN62"/>
      <c r="TIO62"/>
      <c r="TIP62"/>
      <c r="TIQ62"/>
      <c r="TIR62"/>
      <c r="TIS62"/>
      <c r="TIT62"/>
      <c r="TIU62"/>
      <c r="TIV62"/>
      <c r="TIW62"/>
      <c r="TIX62"/>
      <c r="TIY62"/>
      <c r="TIZ62"/>
      <c r="TJA62"/>
      <c r="TJB62"/>
      <c r="TJC62"/>
      <c r="TJD62"/>
      <c r="TJE62"/>
      <c r="TJF62"/>
      <c r="TJG62"/>
      <c r="TJH62"/>
      <c r="TJI62"/>
      <c r="TJJ62"/>
      <c r="TJK62"/>
      <c r="TJL62"/>
      <c r="TJM62"/>
      <c r="TJN62"/>
      <c r="TJO62"/>
      <c r="TJP62"/>
      <c r="TJQ62"/>
      <c r="TJR62"/>
      <c r="TJS62"/>
      <c r="TJT62"/>
      <c r="TJU62"/>
      <c r="TJV62"/>
      <c r="TJW62"/>
      <c r="TJX62"/>
      <c r="TJY62"/>
      <c r="TJZ62"/>
      <c r="TKA62"/>
      <c r="TKB62"/>
      <c r="TKC62"/>
      <c r="TKD62"/>
      <c r="TKE62"/>
      <c r="TKF62"/>
      <c r="TKG62"/>
      <c r="TKH62"/>
      <c r="TKI62"/>
      <c r="TKJ62"/>
      <c r="TKK62"/>
      <c r="TKL62"/>
      <c r="TKM62"/>
      <c r="TKN62"/>
      <c r="TKO62"/>
      <c r="TKP62"/>
      <c r="TKQ62"/>
      <c r="TKR62"/>
      <c r="TKS62"/>
      <c r="TKT62"/>
      <c r="TKU62"/>
      <c r="TKV62"/>
      <c r="TKW62"/>
      <c r="TKX62"/>
      <c r="TKY62"/>
      <c r="TKZ62"/>
      <c r="TLA62"/>
      <c r="TLB62"/>
      <c r="TLC62"/>
      <c r="TLD62"/>
      <c r="TLE62"/>
      <c r="TLF62"/>
      <c r="TLG62"/>
      <c r="TLH62"/>
      <c r="TLI62"/>
      <c r="TLJ62"/>
      <c r="TLK62"/>
      <c r="TLL62"/>
      <c r="TLM62"/>
      <c r="TLN62"/>
      <c r="TLO62"/>
      <c r="TLP62"/>
      <c r="TLQ62"/>
      <c r="TLR62"/>
      <c r="TLS62"/>
      <c r="TLT62"/>
      <c r="TLU62"/>
      <c r="TLV62"/>
      <c r="TLW62"/>
      <c r="TLX62"/>
      <c r="TLY62"/>
      <c r="TLZ62"/>
      <c r="TMA62"/>
      <c r="TMB62"/>
      <c r="TMC62"/>
      <c r="TMD62"/>
      <c r="TME62"/>
      <c r="TMF62"/>
      <c r="TMG62"/>
      <c r="TMH62"/>
      <c r="TMI62"/>
      <c r="TMJ62"/>
      <c r="TMK62"/>
      <c r="TML62"/>
      <c r="TMM62"/>
      <c r="TMN62"/>
      <c r="TMO62"/>
      <c r="TMP62"/>
      <c r="TMQ62"/>
      <c r="TMR62"/>
      <c r="TMS62"/>
      <c r="TMT62"/>
      <c r="TMU62"/>
      <c r="TMV62"/>
      <c r="TMW62"/>
      <c r="TMX62"/>
      <c r="TMY62"/>
      <c r="TMZ62"/>
      <c r="TNA62"/>
      <c r="TNB62"/>
      <c r="TNC62"/>
      <c r="TND62"/>
      <c r="TNE62"/>
      <c r="TNF62"/>
      <c r="TNG62"/>
      <c r="TNH62"/>
      <c r="TNI62"/>
      <c r="TNJ62"/>
      <c r="TNK62"/>
      <c r="TNL62"/>
      <c r="TNM62"/>
      <c r="TNN62"/>
      <c r="TNO62"/>
      <c r="TNP62"/>
      <c r="TNQ62"/>
      <c r="TNR62"/>
      <c r="TNS62"/>
      <c r="TNT62"/>
      <c r="TNU62"/>
      <c r="TNV62"/>
      <c r="TNW62"/>
      <c r="TNX62"/>
      <c r="TNY62"/>
      <c r="TNZ62"/>
      <c r="TOA62"/>
      <c r="TOB62"/>
      <c r="TOC62"/>
      <c r="TOD62"/>
      <c r="TOE62"/>
      <c r="TOF62"/>
      <c r="TOG62"/>
      <c r="TOH62"/>
      <c r="TOI62"/>
      <c r="TOJ62"/>
      <c r="TOK62"/>
      <c r="TOL62"/>
      <c r="TOM62"/>
      <c r="TON62"/>
      <c r="TOO62"/>
      <c r="TOP62"/>
      <c r="TOQ62"/>
      <c r="TOR62"/>
      <c r="TOS62"/>
      <c r="TOT62"/>
      <c r="TOU62"/>
      <c r="TOV62"/>
      <c r="TOW62"/>
      <c r="TOX62"/>
      <c r="TOY62"/>
      <c r="TOZ62"/>
      <c r="TPA62"/>
      <c r="TPB62"/>
      <c r="TPC62"/>
      <c r="TPD62"/>
      <c r="TPE62"/>
      <c r="TPF62"/>
      <c r="TPG62"/>
      <c r="TPH62"/>
      <c r="TPI62"/>
      <c r="TPJ62"/>
      <c r="TPK62"/>
      <c r="TPL62"/>
      <c r="TPM62"/>
      <c r="TPN62"/>
      <c r="TPO62"/>
      <c r="TPP62"/>
      <c r="TPQ62"/>
      <c r="TPR62"/>
      <c r="TPS62"/>
      <c r="TPT62"/>
      <c r="TPU62"/>
      <c r="TPV62"/>
      <c r="TPW62"/>
      <c r="TPX62"/>
      <c r="TPY62"/>
      <c r="TPZ62"/>
      <c r="TQA62"/>
      <c r="TQB62"/>
      <c r="TQC62"/>
      <c r="TQD62"/>
      <c r="TQE62"/>
      <c r="TQF62"/>
      <c r="TQG62"/>
      <c r="TQH62"/>
      <c r="TQI62"/>
      <c r="TQJ62"/>
      <c r="TQK62"/>
      <c r="TQL62"/>
      <c r="TQM62"/>
      <c r="TQN62"/>
      <c r="TQO62"/>
      <c r="TQP62"/>
      <c r="TQQ62"/>
      <c r="TQR62"/>
      <c r="TQS62"/>
      <c r="TQT62"/>
      <c r="TQU62"/>
      <c r="TQV62"/>
      <c r="TQW62"/>
      <c r="TQX62"/>
      <c r="TQY62"/>
      <c r="TQZ62"/>
      <c r="TRA62"/>
      <c r="TRB62"/>
      <c r="TRC62"/>
      <c r="TRD62"/>
      <c r="TRE62"/>
      <c r="TRF62"/>
      <c r="TRG62"/>
      <c r="TRH62"/>
      <c r="TRI62"/>
      <c r="TRJ62"/>
      <c r="TRK62"/>
      <c r="TRL62"/>
      <c r="TRM62"/>
      <c r="TRN62"/>
      <c r="TRO62"/>
      <c r="TRP62"/>
      <c r="TRQ62"/>
      <c r="TRR62"/>
      <c r="TRS62"/>
      <c r="TRT62"/>
      <c r="TRU62"/>
      <c r="TRV62"/>
      <c r="TRW62"/>
      <c r="TRX62"/>
      <c r="TRY62"/>
      <c r="TRZ62"/>
      <c r="TSA62"/>
      <c r="TSB62"/>
      <c r="TSC62"/>
      <c r="TSD62"/>
      <c r="TSE62"/>
      <c r="TSF62"/>
      <c r="TSG62"/>
      <c r="TSH62"/>
      <c r="TSI62"/>
      <c r="TSJ62"/>
      <c r="TSK62"/>
      <c r="TSL62"/>
      <c r="TSM62"/>
      <c r="TSN62"/>
      <c r="TSO62"/>
      <c r="TSP62"/>
      <c r="TSQ62"/>
      <c r="TSR62"/>
      <c r="TSS62"/>
      <c r="TST62"/>
      <c r="TSU62"/>
      <c r="TSV62"/>
      <c r="TSW62"/>
      <c r="TSX62"/>
      <c r="TSY62"/>
      <c r="TSZ62"/>
      <c r="TTA62"/>
      <c r="TTB62"/>
      <c r="TTC62"/>
      <c r="TTD62"/>
      <c r="TTE62"/>
      <c r="TTF62"/>
      <c r="TTG62"/>
      <c r="TTH62"/>
      <c r="TTI62"/>
      <c r="TTJ62"/>
      <c r="TTK62"/>
      <c r="TTL62"/>
      <c r="TTM62"/>
      <c r="TTN62"/>
      <c r="TTO62"/>
      <c r="TTP62"/>
      <c r="TTQ62"/>
      <c r="TTR62"/>
      <c r="TTS62"/>
      <c r="TTT62"/>
      <c r="TTU62"/>
      <c r="TTV62"/>
      <c r="TTW62"/>
      <c r="TTX62"/>
      <c r="TTY62"/>
      <c r="TTZ62"/>
      <c r="TUA62"/>
      <c r="TUB62"/>
      <c r="TUC62"/>
      <c r="TUD62"/>
      <c r="TUE62"/>
      <c r="TUF62"/>
      <c r="TUG62"/>
      <c r="TUH62"/>
      <c r="TUI62"/>
      <c r="TUJ62"/>
      <c r="TUK62"/>
      <c r="TUL62"/>
      <c r="TUM62"/>
      <c r="TUN62"/>
      <c r="TUO62"/>
      <c r="TUP62"/>
      <c r="TUQ62"/>
      <c r="TUR62"/>
      <c r="TUS62"/>
      <c r="TUT62"/>
      <c r="TUU62"/>
      <c r="TUV62"/>
      <c r="TUW62"/>
      <c r="TUX62"/>
      <c r="TUY62"/>
      <c r="TUZ62"/>
      <c r="TVA62"/>
      <c r="TVB62"/>
      <c r="TVC62"/>
      <c r="TVD62"/>
      <c r="TVE62"/>
      <c r="TVF62"/>
      <c r="TVG62"/>
      <c r="TVH62"/>
      <c r="TVI62"/>
      <c r="TVJ62"/>
      <c r="TVK62"/>
      <c r="TVL62"/>
      <c r="TVM62"/>
      <c r="TVN62"/>
      <c r="TVO62"/>
      <c r="TVP62"/>
      <c r="TVQ62"/>
      <c r="TVR62"/>
      <c r="TVS62"/>
      <c r="TVT62"/>
      <c r="TVU62"/>
      <c r="TVV62"/>
      <c r="TVW62"/>
      <c r="TVX62"/>
      <c r="TVY62"/>
      <c r="TVZ62"/>
      <c r="TWA62"/>
      <c r="TWB62"/>
      <c r="TWC62"/>
      <c r="TWD62"/>
      <c r="TWE62"/>
      <c r="TWF62"/>
      <c r="TWG62"/>
      <c r="TWH62"/>
      <c r="TWI62"/>
      <c r="TWJ62"/>
      <c r="TWK62"/>
      <c r="TWL62"/>
      <c r="TWM62"/>
      <c r="TWN62"/>
      <c r="TWO62"/>
      <c r="TWP62"/>
      <c r="TWQ62"/>
      <c r="TWR62"/>
      <c r="TWS62"/>
      <c r="TWT62"/>
      <c r="TWU62"/>
      <c r="TWV62"/>
      <c r="TWW62"/>
      <c r="TWX62"/>
      <c r="TWY62"/>
      <c r="TWZ62"/>
      <c r="TXA62"/>
      <c r="TXB62"/>
      <c r="TXC62"/>
      <c r="TXD62"/>
      <c r="TXE62"/>
      <c r="TXF62"/>
      <c r="TXG62"/>
      <c r="TXH62"/>
      <c r="TXI62"/>
      <c r="TXJ62"/>
      <c r="TXK62"/>
      <c r="TXL62"/>
      <c r="TXM62"/>
      <c r="TXN62"/>
      <c r="TXO62"/>
      <c r="TXP62"/>
      <c r="TXQ62"/>
      <c r="TXR62"/>
      <c r="TXS62"/>
      <c r="TXT62"/>
      <c r="TXU62"/>
      <c r="TXV62"/>
      <c r="TXW62"/>
      <c r="TXX62"/>
      <c r="TXY62"/>
      <c r="TXZ62"/>
      <c r="TYA62"/>
      <c r="TYB62"/>
      <c r="TYC62"/>
      <c r="TYD62"/>
      <c r="TYE62"/>
      <c r="TYF62"/>
      <c r="TYG62"/>
      <c r="TYH62"/>
      <c r="TYI62"/>
      <c r="TYJ62"/>
      <c r="TYK62"/>
      <c r="TYL62"/>
      <c r="TYM62"/>
      <c r="TYN62"/>
      <c r="TYO62"/>
      <c r="TYP62"/>
      <c r="TYQ62"/>
      <c r="TYR62"/>
      <c r="TYS62"/>
      <c r="TYT62"/>
      <c r="TYU62"/>
      <c r="TYV62"/>
      <c r="TYW62"/>
      <c r="TYX62"/>
      <c r="TYY62"/>
      <c r="TYZ62"/>
      <c r="TZA62"/>
      <c r="TZB62"/>
      <c r="TZC62"/>
      <c r="TZD62"/>
      <c r="TZE62"/>
      <c r="TZF62"/>
      <c r="TZG62"/>
      <c r="TZH62"/>
      <c r="TZI62"/>
      <c r="TZJ62"/>
      <c r="TZK62"/>
      <c r="TZL62"/>
      <c r="TZM62"/>
      <c r="TZN62"/>
      <c r="TZO62"/>
      <c r="TZP62"/>
      <c r="TZQ62"/>
      <c r="TZR62"/>
      <c r="TZS62"/>
      <c r="TZT62"/>
      <c r="TZU62"/>
      <c r="TZV62"/>
      <c r="TZW62"/>
      <c r="TZX62"/>
      <c r="TZY62"/>
      <c r="TZZ62"/>
      <c r="UAA62"/>
      <c r="UAB62"/>
      <c r="UAC62"/>
      <c r="UAD62"/>
      <c r="UAE62"/>
      <c r="UAF62"/>
      <c r="UAG62"/>
      <c r="UAH62"/>
      <c r="UAI62"/>
      <c r="UAJ62"/>
      <c r="UAK62"/>
      <c r="UAL62"/>
      <c r="UAM62"/>
      <c r="UAN62"/>
      <c r="UAO62"/>
      <c r="UAP62"/>
      <c r="UAQ62"/>
      <c r="UAR62"/>
      <c r="UAS62"/>
      <c r="UAT62"/>
      <c r="UAU62"/>
      <c r="UAV62"/>
      <c r="UAW62"/>
      <c r="UAX62"/>
      <c r="UAY62"/>
      <c r="UAZ62"/>
      <c r="UBA62"/>
      <c r="UBB62"/>
      <c r="UBC62"/>
      <c r="UBD62"/>
      <c r="UBE62"/>
      <c r="UBF62"/>
      <c r="UBG62"/>
      <c r="UBH62"/>
      <c r="UBI62"/>
      <c r="UBJ62"/>
      <c r="UBK62"/>
      <c r="UBL62"/>
      <c r="UBM62"/>
      <c r="UBN62"/>
      <c r="UBO62"/>
      <c r="UBP62"/>
      <c r="UBQ62"/>
      <c r="UBR62"/>
      <c r="UBS62"/>
      <c r="UBT62"/>
      <c r="UBU62"/>
      <c r="UBV62"/>
      <c r="UBW62"/>
      <c r="UBX62"/>
      <c r="UBY62"/>
      <c r="UBZ62"/>
      <c r="UCA62"/>
      <c r="UCB62"/>
      <c r="UCC62"/>
      <c r="UCD62"/>
      <c r="UCE62"/>
      <c r="UCF62"/>
      <c r="UCG62"/>
      <c r="UCH62"/>
      <c r="UCI62"/>
      <c r="UCJ62"/>
      <c r="UCK62"/>
      <c r="UCL62"/>
      <c r="UCM62"/>
      <c r="UCN62"/>
      <c r="UCO62"/>
      <c r="UCP62"/>
      <c r="UCQ62"/>
      <c r="UCR62"/>
      <c r="UCS62"/>
      <c r="UCT62"/>
      <c r="UCU62"/>
      <c r="UCV62"/>
      <c r="UCW62"/>
      <c r="UCX62"/>
      <c r="UCY62"/>
      <c r="UCZ62"/>
      <c r="UDA62"/>
      <c r="UDB62"/>
      <c r="UDC62"/>
      <c r="UDD62"/>
      <c r="UDE62"/>
      <c r="UDF62"/>
      <c r="UDG62"/>
      <c r="UDH62"/>
      <c r="UDI62"/>
      <c r="UDJ62"/>
      <c r="UDK62"/>
      <c r="UDL62"/>
      <c r="UDM62"/>
      <c r="UDN62"/>
      <c r="UDO62"/>
      <c r="UDP62"/>
      <c r="UDQ62"/>
      <c r="UDR62"/>
      <c r="UDS62"/>
      <c r="UDT62"/>
      <c r="UDU62"/>
      <c r="UDV62"/>
      <c r="UDW62"/>
      <c r="UDX62"/>
      <c r="UDY62"/>
      <c r="UDZ62"/>
      <c r="UEA62"/>
      <c r="UEB62"/>
      <c r="UEC62"/>
      <c r="UED62"/>
      <c r="UEE62"/>
      <c r="UEF62"/>
      <c r="UEG62"/>
      <c r="UEH62"/>
      <c r="UEI62"/>
      <c r="UEJ62"/>
      <c r="UEK62"/>
      <c r="UEL62"/>
      <c r="UEM62"/>
      <c r="UEN62"/>
      <c r="UEO62"/>
      <c r="UEP62"/>
      <c r="UEQ62"/>
      <c r="UER62"/>
      <c r="UES62"/>
      <c r="UET62"/>
      <c r="UEU62"/>
      <c r="UEV62"/>
      <c r="UEW62"/>
      <c r="UEX62"/>
      <c r="UEY62"/>
      <c r="UEZ62"/>
      <c r="UFA62"/>
      <c r="UFB62"/>
      <c r="UFC62"/>
      <c r="UFD62"/>
      <c r="UFE62"/>
      <c r="UFF62"/>
      <c r="UFG62"/>
      <c r="UFH62"/>
      <c r="UFI62"/>
      <c r="UFJ62"/>
      <c r="UFK62"/>
      <c r="UFL62"/>
      <c r="UFM62"/>
      <c r="UFN62"/>
      <c r="UFO62"/>
      <c r="UFP62"/>
      <c r="UFQ62"/>
      <c r="UFR62"/>
      <c r="UFS62"/>
      <c r="UFT62"/>
      <c r="UFU62"/>
      <c r="UFV62"/>
      <c r="UFW62"/>
      <c r="UFX62"/>
      <c r="UFY62"/>
      <c r="UFZ62"/>
      <c r="UGA62"/>
      <c r="UGB62"/>
      <c r="UGC62"/>
      <c r="UGD62"/>
      <c r="UGE62"/>
      <c r="UGF62"/>
      <c r="UGG62"/>
      <c r="UGH62"/>
      <c r="UGI62"/>
      <c r="UGJ62"/>
      <c r="UGK62"/>
      <c r="UGL62"/>
      <c r="UGM62"/>
      <c r="UGN62"/>
      <c r="UGO62"/>
      <c r="UGP62"/>
      <c r="UGQ62"/>
      <c r="UGR62"/>
      <c r="UGS62"/>
      <c r="UGT62"/>
      <c r="UGU62"/>
      <c r="UGV62"/>
      <c r="UGW62"/>
      <c r="UGX62"/>
      <c r="UGY62"/>
      <c r="UGZ62"/>
      <c r="UHA62"/>
      <c r="UHB62"/>
      <c r="UHC62"/>
      <c r="UHD62"/>
      <c r="UHE62"/>
      <c r="UHF62"/>
      <c r="UHG62"/>
      <c r="UHH62"/>
      <c r="UHI62"/>
      <c r="UHJ62"/>
      <c r="UHK62"/>
      <c r="UHL62"/>
      <c r="UHM62"/>
      <c r="UHN62"/>
      <c r="UHO62"/>
      <c r="UHP62"/>
      <c r="UHQ62"/>
      <c r="UHR62"/>
      <c r="UHS62"/>
      <c r="UHT62"/>
      <c r="UHU62"/>
      <c r="UHV62"/>
      <c r="UHW62"/>
      <c r="UHX62"/>
      <c r="UHY62"/>
      <c r="UHZ62"/>
      <c r="UIA62"/>
      <c r="UIB62"/>
      <c r="UIC62"/>
      <c r="UID62"/>
      <c r="UIE62"/>
      <c r="UIF62"/>
      <c r="UIG62"/>
      <c r="UIH62"/>
      <c r="UII62"/>
      <c r="UIJ62"/>
      <c r="UIK62"/>
      <c r="UIL62"/>
      <c r="UIM62"/>
      <c r="UIN62"/>
      <c r="UIO62"/>
      <c r="UIP62"/>
      <c r="UIQ62"/>
      <c r="UIR62"/>
      <c r="UIS62"/>
      <c r="UIT62"/>
      <c r="UIU62"/>
      <c r="UIV62"/>
      <c r="UIW62"/>
      <c r="UIX62"/>
      <c r="UIY62"/>
      <c r="UIZ62"/>
      <c r="UJA62"/>
      <c r="UJB62"/>
      <c r="UJC62"/>
      <c r="UJD62"/>
      <c r="UJE62"/>
      <c r="UJF62"/>
      <c r="UJG62"/>
      <c r="UJH62"/>
      <c r="UJI62"/>
      <c r="UJJ62"/>
      <c r="UJK62"/>
      <c r="UJL62"/>
      <c r="UJM62"/>
      <c r="UJN62"/>
      <c r="UJO62"/>
      <c r="UJP62"/>
      <c r="UJQ62"/>
      <c r="UJR62"/>
      <c r="UJS62"/>
      <c r="UJT62"/>
      <c r="UJU62"/>
      <c r="UJV62"/>
      <c r="UJW62"/>
      <c r="UJX62"/>
      <c r="UJY62"/>
      <c r="UJZ62"/>
      <c r="UKA62"/>
      <c r="UKB62"/>
      <c r="UKC62"/>
      <c r="UKD62"/>
      <c r="UKE62"/>
      <c r="UKF62"/>
      <c r="UKG62"/>
      <c r="UKH62"/>
      <c r="UKI62"/>
      <c r="UKJ62"/>
      <c r="UKK62"/>
      <c r="UKL62"/>
      <c r="UKM62"/>
      <c r="UKN62"/>
      <c r="UKO62"/>
      <c r="UKP62"/>
      <c r="UKQ62"/>
      <c r="UKR62"/>
      <c r="UKS62"/>
      <c r="UKT62"/>
      <c r="UKU62"/>
      <c r="UKV62"/>
      <c r="UKW62"/>
      <c r="UKX62"/>
      <c r="UKY62"/>
      <c r="UKZ62"/>
      <c r="ULA62"/>
      <c r="ULB62"/>
      <c r="ULC62"/>
      <c r="ULD62"/>
      <c r="ULE62"/>
      <c r="ULF62"/>
      <c r="ULG62"/>
      <c r="ULH62"/>
      <c r="ULI62"/>
      <c r="ULJ62"/>
      <c r="ULK62"/>
      <c r="ULL62"/>
      <c r="ULM62"/>
      <c r="ULN62"/>
      <c r="ULO62"/>
      <c r="ULP62"/>
      <c r="ULQ62"/>
      <c r="ULR62"/>
      <c r="ULS62"/>
      <c r="ULT62"/>
      <c r="ULU62"/>
      <c r="ULV62"/>
      <c r="ULW62"/>
      <c r="ULX62"/>
      <c r="ULY62"/>
      <c r="ULZ62"/>
      <c r="UMA62"/>
      <c r="UMB62"/>
      <c r="UMC62"/>
      <c r="UMD62"/>
      <c r="UME62"/>
      <c r="UMF62"/>
      <c r="UMG62"/>
      <c r="UMH62"/>
      <c r="UMI62"/>
      <c r="UMJ62"/>
      <c r="UMK62"/>
      <c r="UML62"/>
      <c r="UMM62"/>
      <c r="UMN62"/>
      <c r="UMO62"/>
      <c r="UMP62"/>
      <c r="UMQ62"/>
      <c r="UMR62"/>
      <c r="UMS62"/>
      <c r="UMT62"/>
      <c r="UMU62"/>
      <c r="UMV62"/>
      <c r="UMW62"/>
      <c r="UMX62"/>
      <c r="UMY62"/>
      <c r="UMZ62"/>
      <c r="UNA62"/>
      <c r="UNB62"/>
      <c r="UNC62"/>
      <c r="UND62"/>
      <c r="UNE62"/>
      <c r="UNF62"/>
      <c r="UNG62"/>
      <c r="UNH62"/>
      <c r="UNI62"/>
      <c r="UNJ62"/>
      <c r="UNK62"/>
      <c r="UNL62"/>
      <c r="UNM62"/>
      <c r="UNN62"/>
      <c r="UNO62"/>
      <c r="UNP62"/>
      <c r="UNQ62"/>
      <c r="UNR62"/>
      <c r="UNS62"/>
      <c r="UNT62"/>
      <c r="UNU62"/>
      <c r="UNV62"/>
      <c r="UNW62"/>
      <c r="UNX62"/>
      <c r="UNY62"/>
      <c r="UNZ62"/>
      <c r="UOA62"/>
      <c r="UOB62"/>
      <c r="UOC62"/>
      <c r="UOD62"/>
      <c r="UOE62"/>
      <c r="UOF62"/>
      <c r="UOG62"/>
      <c r="UOH62"/>
      <c r="UOI62"/>
      <c r="UOJ62"/>
      <c r="UOK62"/>
      <c r="UOL62"/>
      <c r="UOM62"/>
      <c r="UON62"/>
      <c r="UOO62"/>
      <c r="UOP62"/>
      <c r="UOQ62"/>
      <c r="UOR62"/>
      <c r="UOS62"/>
      <c r="UOT62"/>
      <c r="UOU62"/>
      <c r="UOV62"/>
      <c r="UOW62"/>
      <c r="UOX62"/>
      <c r="UOY62"/>
      <c r="UOZ62"/>
      <c r="UPA62"/>
      <c r="UPB62"/>
      <c r="UPC62"/>
      <c r="UPD62"/>
      <c r="UPE62"/>
      <c r="UPF62"/>
      <c r="UPG62"/>
      <c r="UPH62"/>
      <c r="UPI62"/>
      <c r="UPJ62"/>
      <c r="UPK62"/>
      <c r="UPL62"/>
      <c r="UPM62"/>
      <c r="UPN62"/>
      <c r="UPO62"/>
      <c r="UPP62"/>
      <c r="UPQ62"/>
      <c r="UPR62"/>
      <c r="UPS62"/>
      <c r="UPT62"/>
      <c r="UPU62"/>
      <c r="UPV62"/>
      <c r="UPW62"/>
      <c r="UPX62"/>
      <c r="UPY62"/>
      <c r="UPZ62"/>
      <c r="UQA62"/>
      <c r="UQB62"/>
      <c r="UQC62"/>
      <c r="UQD62"/>
      <c r="UQE62"/>
      <c r="UQF62"/>
      <c r="UQG62"/>
      <c r="UQH62"/>
      <c r="UQI62"/>
      <c r="UQJ62"/>
      <c r="UQK62"/>
      <c r="UQL62"/>
      <c r="UQM62"/>
      <c r="UQN62"/>
      <c r="UQO62"/>
      <c r="UQP62"/>
      <c r="UQQ62"/>
      <c r="UQR62"/>
      <c r="UQS62"/>
      <c r="UQT62"/>
      <c r="UQU62"/>
      <c r="UQV62"/>
      <c r="UQW62"/>
      <c r="UQX62"/>
      <c r="UQY62"/>
      <c r="UQZ62"/>
      <c r="URA62"/>
      <c r="URB62"/>
      <c r="URC62"/>
      <c r="URD62"/>
      <c r="URE62"/>
      <c r="URF62"/>
      <c r="URG62"/>
      <c r="URH62"/>
      <c r="URI62"/>
      <c r="URJ62"/>
      <c r="URK62"/>
      <c r="URL62"/>
      <c r="URM62"/>
      <c r="URN62"/>
      <c r="URO62"/>
      <c r="URP62"/>
      <c r="URQ62"/>
      <c r="URR62"/>
      <c r="URS62"/>
      <c r="URT62"/>
      <c r="URU62"/>
      <c r="URV62"/>
      <c r="URW62"/>
      <c r="URX62"/>
      <c r="URY62"/>
      <c r="URZ62"/>
      <c r="USA62"/>
      <c r="USB62"/>
      <c r="USC62"/>
      <c r="USD62"/>
      <c r="USE62"/>
      <c r="USF62"/>
      <c r="USG62"/>
      <c r="USH62"/>
      <c r="USI62"/>
      <c r="USJ62"/>
      <c r="USK62"/>
      <c r="USL62"/>
      <c r="USM62"/>
      <c r="USN62"/>
      <c r="USO62"/>
      <c r="USP62"/>
      <c r="USQ62"/>
      <c r="USR62"/>
      <c r="USS62"/>
      <c r="UST62"/>
      <c r="USU62"/>
      <c r="USV62"/>
      <c r="USW62"/>
      <c r="USX62"/>
      <c r="USY62"/>
      <c r="USZ62"/>
      <c r="UTA62"/>
      <c r="UTB62"/>
      <c r="UTC62"/>
      <c r="UTD62"/>
      <c r="UTE62"/>
      <c r="UTF62"/>
      <c r="UTG62"/>
      <c r="UTH62"/>
      <c r="UTI62"/>
      <c r="UTJ62"/>
      <c r="UTK62"/>
      <c r="UTL62"/>
      <c r="UTM62"/>
      <c r="UTN62"/>
      <c r="UTO62"/>
      <c r="UTP62"/>
      <c r="UTQ62"/>
      <c r="UTR62"/>
      <c r="UTS62"/>
      <c r="UTT62"/>
      <c r="UTU62"/>
      <c r="UTV62"/>
      <c r="UTW62"/>
      <c r="UTX62"/>
      <c r="UTY62"/>
      <c r="UTZ62"/>
      <c r="UUA62"/>
      <c r="UUB62"/>
      <c r="UUC62"/>
      <c r="UUD62"/>
      <c r="UUE62"/>
      <c r="UUF62"/>
      <c r="UUG62"/>
      <c r="UUH62"/>
      <c r="UUI62"/>
      <c r="UUJ62"/>
      <c r="UUK62"/>
      <c r="UUL62"/>
      <c r="UUM62"/>
      <c r="UUN62"/>
      <c r="UUO62"/>
      <c r="UUP62"/>
      <c r="UUQ62"/>
      <c r="UUR62"/>
      <c r="UUS62"/>
      <c r="UUT62"/>
      <c r="UUU62"/>
      <c r="UUV62"/>
      <c r="UUW62"/>
      <c r="UUX62"/>
      <c r="UUY62"/>
      <c r="UUZ62"/>
      <c r="UVA62"/>
      <c r="UVB62"/>
      <c r="UVC62"/>
      <c r="UVD62"/>
      <c r="UVE62"/>
      <c r="UVF62"/>
      <c r="UVG62"/>
      <c r="UVH62"/>
      <c r="UVI62"/>
      <c r="UVJ62"/>
      <c r="UVK62"/>
      <c r="UVL62"/>
      <c r="UVM62"/>
      <c r="UVN62"/>
      <c r="UVO62"/>
      <c r="UVP62"/>
      <c r="UVQ62"/>
      <c r="UVR62"/>
      <c r="UVS62"/>
      <c r="UVT62"/>
      <c r="UVU62"/>
      <c r="UVV62"/>
      <c r="UVW62"/>
      <c r="UVX62"/>
      <c r="UVY62"/>
      <c r="UVZ62"/>
      <c r="UWA62"/>
      <c r="UWB62"/>
      <c r="UWC62"/>
      <c r="UWD62"/>
      <c r="UWE62"/>
      <c r="UWF62"/>
      <c r="UWG62"/>
      <c r="UWH62"/>
      <c r="UWI62"/>
      <c r="UWJ62"/>
      <c r="UWK62"/>
      <c r="UWL62"/>
      <c r="UWM62"/>
      <c r="UWN62"/>
      <c r="UWO62"/>
      <c r="UWP62"/>
      <c r="UWQ62"/>
      <c r="UWR62"/>
      <c r="UWS62"/>
      <c r="UWT62"/>
      <c r="UWU62"/>
      <c r="UWV62"/>
      <c r="UWW62"/>
      <c r="UWX62"/>
      <c r="UWY62"/>
      <c r="UWZ62"/>
      <c r="UXA62"/>
      <c r="UXB62"/>
      <c r="UXC62"/>
      <c r="UXD62"/>
      <c r="UXE62"/>
      <c r="UXF62"/>
      <c r="UXG62"/>
      <c r="UXH62"/>
      <c r="UXI62"/>
      <c r="UXJ62"/>
      <c r="UXK62"/>
      <c r="UXL62"/>
      <c r="UXM62"/>
      <c r="UXN62"/>
      <c r="UXO62"/>
      <c r="UXP62"/>
      <c r="UXQ62"/>
      <c r="UXR62"/>
      <c r="UXS62"/>
      <c r="UXT62"/>
      <c r="UXU62"/>
      <c r="UXV62"/>
      <c r="UXW62"/>
      <c r="UXX62"/>
      <c r="UXY62"/>
      <c r="UXZ62"/>
      <c r="UYA62"/>
      <c r="UYB62"/>
      <c r="UYC62"/>
      <c r="UYD62"/>
      <c r="UYE62"/>
      <c r="UYF62"/>
      <c r="UYG62"/>
      <c r="UYH62"/>
      <c r="UYI62"/>
      <c r="UYJ62"/>
      <c r="UYK62"/>
      <c r="UYL62"/>
      <c r="UYM62"/>
      <c r="UYN62"/>
      <c r="UYO62"/>
      <c r="UYP62"/>
      <c r="UYQ62"/>
      <c r="UYR62"/>
      <c r="UYS62"/>
      <c r="UYT62"/>
      <c r="UYU62"/>
      <c r="UYV62"/>
      <c r="UYW62"/>
      <c r="UYX62"/>
      <c r="UYY62"/>
      <c r="UYZ62"/>
      <c r="UZA62"/>
      <c r="UZB62"/>
      <c r="UZC62"/>
      <c r="UZD62"/>
      <c r="UZE62"/>
      <c r="UZF62"/>
      <c r="UZG62"/>
      <c r="UZH62"/>
      <c r="UZI62"/>
      <c r="UZJ62"/>
      <c r="UZK62"/>
      <c r="UZL62"/>
      <c r="UZM62"/>
      <c r="UZN62"/>
      <c r="UZO62"/>
      <c r="UZP62"/>
      <c r="UZQ62"/>
      <c r="UZR62"/>
      <c r="UZS62"/>
      <c r="UZT62"/>
      <c r="UZU62"/>
      <c r="UZV62"/>
      <c r="UZW62"/>
      <c r="UZX62"/>
      <c r="UZY62"/>
      <c r="UZZ62"/>
      <c r="VAA62"/>
      <c r="VAB62"/>
      <c r="VAC62"/>
      <c r="VAD62"/>
      <c r="VAE62"/>
      <c r="VAF62"/>
      <c r="VAG62"/>
      <c r="VAH62"/>
      <c r="VAI62"/>
      <c r="VAJ62"/>
      <c r="VAK62"/>
      <c r="VAL62"/>
      <c r="VAM62"/>
      <c r="VAN62"/>
      <c r="VAO62"/>
      <c r="VAP62"/>
      <c r="VAQ62"/>
      <c r="VAR62"/>
      <c r="VAS62"/>
      <c r="VAT62"/>
      <c r="VAU62"/>
      <c r="VAV62"/>
      <c r="VAW62"/>
      <c r="VAX62"/>
      <c r="VAY62"/>
      <c r="VAZ62"/>
      <c r="VBA62"/>
      <c r="VBB62"/>
      <c r="VBC62"/>
      <c r="VBD62"/>
      <c r="VBE62"/>
      <c r="VBF62"/>
      <c r="VBG62"/>
      <c r="VBH62"/>
      <c r="VBI62"/>
      <c r="VBJ62"/>
      <c r="VBK62"/>
      <c r="VBL62"/>
      <c r="VBM62"/>
      <c r="VBN62"/>
      <c r="VBO62"/>
      <c r="VBP62"/>
      <c r="VBQ62"/>
      <c r="VBR62"/>
      <c r="VBS62"/>
      <c r="VBT62"/>
      <c r="VBU62"/>
      <c r="VBV62"/>
      <c r="VBW62"/>
      <c r="VBX62"/>
      <c r="VBY62"/>
      <c r="VBZ62"/>
      <c r="VCA62"/>
      <c r="VCB62"/>
      <c r="VCC62"/>
      <c r="VCD62"/>
      <c r="VCE62"/>
      <c r="VCF62"/>
      <c r="VCG62"/>
      <c r="VCH62"/>
      <c r="VCI62"/>
      <c r="VCJ62"/>
      <c r="VCK62"/>
      <c r="VCL62"/>
      <c r="VCM62"/>
      <c r="VCN62"/>
      <c r="VCO62"/>
      <c r="VCP62"/>
      <c r="VCQ62"/>
      <c r="VCR62"/>
      <c r="VCS62"/>
      <c r="VCT62"/>
      <c r="VCU62"/>
      <c r="VCV62"/>
      <c r="VCW62"/>
      <c r="VCX62"/>
      <c r="VCY62"/>
      <c r="VCZ62"/>
      <c r="VDA62"/>
      <c r="VDB62"/>
      <c r="VDC62"/>
      <c r="VDD62"/>
      <c r="VDE62"/>
      <c r="VDF62"/>
      <c r="VDG62"/>
      <c r="VDH62"/>
      <c r="VDI62"/>
      <c r="VDJ62"/>
      <c r="VDK62"/>
      <c r="VDL62"/>
      <c r="VDM62"/>
      <c r="VDN62"/>
      <c r="VDO62"/>
      <c r="VDP62"/>
      <c r="VDQ62"/>
      <c r="VDR62"/>
      <c r="VDS62"/>
      <c r="VDT62"/>
      <c r="VDU62"/>
      <c r="VDV62"/>
      <c r="VDW62"/>
      <c r="VDX62"/>
      <c r="VDY62"/>
      <c r="VDZ62"/>
      <c r="VEA62"/>
      <c r="VEB62"/>
      <c r="VEC62"/>
      <c r="VED62"/>
      <c r="VEE62"/>
      <c r="VEF62"/>
      <c r="VEG62"/>
      <c r="VEH62"/>
      <c r="VEI62"/>
      <c r="VEJ62"/>
      <c r="VEK62"/>
      <c r="VEL62"/>
      <c r="VEM62"/>
      <c r="VEN62"/>
      <c r="VEO62"/>
      <c r="VEP62"/>
      <c r="VEQ62"/>
      <c r="VER62"/>
      <c r="VES62"/>
      <c r="VET62"/>
      <c r="VEU62"/>
      <c r="VEV62"/>
      <c r="VEW62"/>
      <c r="VEX62"/>
      <c r="VEY62"/>
      <c r="VEZ62"/>
      <c r="VFA62"/>
      <c r="VFB62"/>
      <c r="VFC62"/>
      <c r="VFD62"/>
      <c r="VFE62"/>
      <c r="VFF62"/>
      <c r="VFG62"/>
      <c r="VFH62"/>
      <c r="VFI62"/>
      <c r="VFJ62"/>
      <c r="VFK62"/>
      <c r="VFL62"/>
      <c r="VFM62"/>
      <c r="VFN62"/>
      <c r="VFO62"/>
      <c r="VFP62"/>
      <c r="VFQ62"/>
      <c r="VFR62"/>
      <c r="VFS62"/>
      <c r="VFT62"/>
      <c r="VFU62"/>
      <c r="VFV62"/>
      <c r="VFW62"/>
      <c r="VFX62"/>
      <c r="VFY62"/>
      <c r="VFZ62"/>
      <c r="VGA62"/>
      <c r="VGB62"/>
      <c r="VGC62"/>
      <c r="VGD62"/>
      <c r="VGE62"/>
      <c r="VGF62"/>
      <c r="VGG62"/>
      <c r="VGH62"/>
      <c r="VGI62"/>
      <c r="VGJ62"/>
      <c r="VGK62"/>
      <c r="VGL62"/>
      <c r="VGM62"/>
      <c r="VGN62"/>
      <c r="VGO62"/>
      <c r="VGP62"/>
      <c r="VGQ62"/>
      <c r="VGR62"/>
      <c r="VGS62"/>
      <c r="VGT62"/>
      <c r="VGU62"/>
      <c r="VGV62"/>
      <c r="VGW62"/>
      <c r="VGX62"/>
      <c r="VGY62"/>
      <c r="VGZ62"/>
      <c r="VHA62"/>
      <c r="VHB62"/>
      <c r="VHC62"/>
      <c r="VHD62"/>
      <c r="VHE62"/>
      <c r="VHF62"/>
      <c r="VHG62"/>
      <c r="VHH62"/>
      <c r="VHI62"/>
      <c r="VHJ62"/>
      <c r="VHK62"/>
      <c r="VHL62"/>
      <c r="VHM62"/>
      <c r="VHN62"/>
      <c r="VHO62"/>
      <c r="VHP62"/>
      <c r="VHQ62"/>
      <c r="VHR62"/>
      <c r="VHS62"/>
      <c r="VHT62"/>
      <c r="VHU62"/>
      <c r="VHV62"/>
      <c r="VHW62"/>
      <c r="VHX62"/>
      <c r="VHY62"/>
      <c r="VHZ62"/>
      <c r="VIA62"/>
      <c r="VIB62"/>
      <c r="VIC62"/>
      <c r="VID62"/>
      <c r="VIE62"/>
      <c r="VIF62"/>
      <c r="VIG62"/>
      <c r="VIH62"/>
      <c r="VII62"/>
      <c r="VIJ62"/>
      <c r="VIK62"/>
      <c r="VIL62"/>
      <c r="VIM62"/>
      <c r="VIN62"/>
      <c r="VIO62"/>
      <c r="VIP62"/>
      <c r="VIQ62"/>
      <c r="VIR62"/>
      <c r="VIS62"/>
      <c r="VIT62"/>
      <c r="VIU62"/>
      <c r="VIV62"/>
      <c r="VIW62"/>
      <c r="VIX62"/>
      <c r="VIY62"/>
      <c r="VIZ62"/>
      <c r="VJA62"/>
      <c r="VJB62"/>
      <c r="VJC62"/>
      <c r="VJD62"/>
      <c r="VJE62"/>
      <c r="VJF62"/>
      <c r="VJG62"/>
      <c r="VJH62"/>
      <c r="VJI62"/>
      <c r="VJJ62"/>
      <c r="VJK62"/>
      <c r="VJL62"/>
      <c r="VJM62"/>
      <c r="VJN62"/>
      <c r="VJO62"/>
      <c r="VJP62"/>
      <c r="VJQ62"/>
      <c r="VJR62"/>
      <c r="VJS62"/>
      <c r="VJT62"/>
      <c r="VJU62"/>
      <c r="VJV62"/>
      <c r="VJW62"/>
      <c r="VJX62"/>
      <c r="VJY62"/>
      <c r="VJZ62"/>
      <c r="VKA62"/>
      <c r="VKB62"/>
      <c r="VKC62"/>
      <c r="VKD62"/>
      <c r="VKE62"/>
      <c r="VKF62"/>
      <c r="VKG62"/>
      <c r="VKH62"/>
      <c r="VKI62"/>
      <c r="VKJ62"/>
      <c r="VKK62"/>
      <c r="VKL62"/>
      <c r="VKM62"/>
      <c r="VKN62"/>
      <c r="VKO62"/>
      <c r="VKP62"/>
      <c r="VKQ62"/>
      <c r="VKR62"/>
      <c r="VKS62"/>
      <c r="VKT62"/>
      <c r="VKU62"/>
      <c r="VKV62"/>
      <c r="VKW62"/>
      <c r="VKX62"/>
      <c r="VKY62"/>
      <c r="VKZ62"/>
      <c r="VLA62"/>
      <c r="VLB62"/>
      <c r="VLC62"/>
      <c r="VLD62"/>
      <c r="VLE62"/>
      <c r="VLF62"/>
      <c r="VLG62"/>
      <c r="VLH62"/>
      <c r="VLI62"/>
      <c r="VLJ62"/>
      <c r="VLK62"/>
      <c r="VLL62"/>
      <c r="VLM62"/>
      <c r="VLN62"/>
      <c r="VLO62"/>
      <c r="VLP62"/>
      <c r="VLQ62"/>
      <c r="VLR62"/>
      <c r="VLS62"/>
      <c r="VLT62"/>
      <c r="VLU62"/>
      <c r="VLV62"/>
      <c r="VLW62"/>
      <c r="VLX62"/>
      <c r="VLY62"/>
      <c r="VLZ62"/>
      <c r="VMA62"/>
      <c r="VMB62"/>
      <c r="VMC62"/>
      <c r="VMD62"/>
      <c r="VME62"/>
      <c r="VMF62"/>
      <c r="VMG62"/>
      <c r="VMH62"/>
      <c r="VMI62"/>
      <c r="VMJ62"/>
      <c r="VMK62"/>
      <c r="VML62"/>
      <c r="VMM62"/>
      <c r="VMN62"/>
      <c r="VMO62"/>
      <c r="VMP62"/>
      <c r="VMQ62"/>
      <c r="VMR62"/>
      <c r="VMS62"/>
      <c r="VMT62"/>
      <c r="VMU62"/>
      <c r="VMV62"/>
      <c r="VMW62"/>
      <c r="VMX62"/>
      <c r="VMY62"/>
      <c r="VMZ62"/>
      <c r="VNA62"/>
      <c r="VNB62"/>
      <c r="VNC62"/>
      <c r="VND62"/>
      <c r="VNE62"/>
      <c r="VNF62"/>
      <c r="VNG62"/>
      <c r="VNH62"/>
      <c r="VNI62"/>
      <c r="VNJ62"/>
      <c r="VNK62"/>
      <c r="VNL62"/>
      <c r="VNM62"/>
      <c r="VNN62"/>
      <c r="VNO62"/>
      <c r="VNP62"/>
      <c r="VNQ62"/>
      <c r="VNR62"/>
      <c r="VNS62"/>
      <c r="VNT62"/>
      <c r="VNU62"/>
      <c r="VNV62"/>
      <c r="VNW62"/>
      <c r="VNX62"/>
      <c r="VNY62"/>
      <c r="VNZ62"/>
      <c r="VOA62"/>
      <c r="VOB62"/>
      <c r="VOC62"/>
      <c r="VOD62"/>
      <c r="VOE62"/>
      <c r="VOF62"/>
      <c r="VOG62"/>
      <c r="VOH62"/>
      <c r="VOI62"/>
      <c r="VOJ62"/>
      <c r="VOK62"/>
      <c r="VOL62"/>
      <c r="VOM62"/>
      <c r="VON62"/>
      <c r="VOO62"/>
      <c r="VOP62"/>
      <c r="VOQ62"/>
      <c r="VOR62"/>
      <c r="VOS62"/>
      <c r="VOT62"/>
      <c r="VOU62"/>
      <c r="VOV62"/>
      <c r="VOW62"/>
      <c r="VOX62"/>
      <c r="VOY62"/>
      <c r="VOZ62"/>
      <c r="VPA62"/>
      <c r="VPB62"/>
      <c r="VPC62"/>
      <c r="VPD62"/>
      <c r="VPE62"/>
      <c r="VPF62"/>
      <c r="VPG62"/>
      <c r="VPH62"/>
      <c r="VPI62"/>
      <c r="VPJ62"/>
      <c r="VPK62"/>
      <c r="VPL62"/>
      <c r="VPM62"/>
      <c r="VPN62"/>
      <c r="VPO62"/>
      <c r="VPP62"/>
      <c r="VPQ62"/>
      <c r="VPR62"/>
      <c r="VPS62"/>
      <c r="VPT62"/>
      <c r="VPU62"/>
      <c r="VPV62"/>
      <c r="VPW62"/>
      <c r="VPX62"/>
      <c r="VPY62"/>
      <c r="VPZ62"/>
      <c r="VQA62"/>
      <c r="VQB62"/>
      <c r="VQC62"/>
      <c r="VQD62"/>
      <c r="VQE62"/>
      <c r="VQF62"/>
      <c r="VQG62"/>
      <c r="VQH62"/>
      <c r="VQI62"/>
      <c r="VQJ62"/>
      <c r="VQK62"/>
      <c r="VQL62"/>
      <c r="VQM62"/>
      <c r="VQN62"/>
      <c r="VQO62"/>
      <c r="VQP62"/>
      <c r="VQQ62"/>
      <c r="VQR62"/>
      <c r="VQS62"/>
      <c r="VQT62"/>
      <c r="VQU62"/>
      <c r="VQV62"/>
      <c r="VQW62"/>
      <c r="VQX62"/>
      <c r="VQY62"/>
      <c r="VQZ62"/>
      <c r="VRA62"/>
      <c r="VRB62"/>
      <c r="VRC62"/>
      <c r="VRD62"/>
      <c r="VRE62"/>
      <c r="VRF62"/>
      <c r="VRG62"/>
      <c r="VRH62"/>
      <c r="VRI62"/>
      <c r="VRJ62"/>
      <c r="VRK62"/>
      <c r="VRL62"/>
      <c r="VRM62"/>
      <c r="VRN62"/>
      <c r="VRO62"/>
      <c r="VRP62"/>
      <c r="VRQ62"/>
      <c r="VRR62"/>
      <c r="VRS62"/>
      <c r="VRT62"/>
      <c r="VRU62"/>
      <c r="VRV62"/>
      <c r="VRW62"/>
      <c r="VRX62"/>
      <c r="VRY62"/>
      <c r="VRZ62"/>
      <c r="VSA62"/>
      <c r="VSB62"/>
      <c r="VSC62"/>
      <c r="VSD62"/>
      <c r="VSE62"/>
      <c r="VSF62"/>
      <c r="VSG62"/>
      <c r="VSH62"/>
      <c r="VSI62"/>
      <c r="VSJ62"/>
      <c r="VSK62"/>
      <c r="VSL62"/>
      <c r="VSM62"/>
      <c r="VSN62"/>
      <c r="VSO62"/>
      <c r="VSP62"/>
      <c r="VSQ62"/>
      <c r="VSR62"/>
      <c r="VSS62"/>
      <c r="VST62"/>
      <c r="VSU62"/>
      <c r="VSV62"/>
      <c r="VSW62"/>
      <c r="VSX62"/>
      <c r="VSY62"/>
      <c r="VSZ62"/>
      <c r="VTA62"/>
      <c r="VTB62"/>
      <c r="VTC62"/>
      <c r="VTD62"/>
      <c r="VTE62"/>
      <c r="VTF62"/>
      <c r="VTG62"/>
      <c r="VTH62"/>
      <c r="VTI62"/>
      <c r="VTJ62"/>
      <c r="VTK62"/>
      <c r="VTL62"/>
      <c r="VTM62"/>
      <c r="VTN62"/>
      <c r="VTO62"/>
      <c r="VTP62"/>
      <c r="VTQ62"/>
      <c r="VTR62"/>
      <c r="VTS62"/>
      <c r="VTT62"/>
      <c r="VTU62"/>
      <c r="VTV62"/>
      <c r="VTW62"/>
      <c r="VTX62"/>
      <c r="VTY62"/>
      <c r="VTZ62"/>
      <c r="VUA62"/>
      <c r="VUB62"/>
      <c r="VUC62"/>
      <c r="VUD62"/>
      <c r="VUE62"/>
      <c r="VUF62"/>
      <c r="VUG62"/>
      <c r="VUH62"/>
      <c r="VUI62"/>
      <c r="VUJ62"/>
      <c r="VUK62"/>
      <c r="VUL62"/>
      <c r="VUM62"/>
      <c r="VUN62"/>
      <c r="VUO62"/>
      <c r="VUP62"/>
      <c r="VUQ62"/>
      <c r="VUR62"/>
      <c r="VUS62"/>
      <c r="VUT62"/>
      <c r="VUU62"/>
      <c r="VUV62"/>
      <c r="VUW62"/>
      <c r="VUX62"/>
      <c r="VUY62"/>
      <c r="VUZ62"/>
      <c r="VVA62"/>
      <c r="VVB62"/>
      <c r="VVC62"/>
      <c r="VVD62"/>
      <c r="VVE62"/>
      <c r="VVF62"/>
      <c r="VVG62"/>
      <c r="VVH62"/>
      <c r="VVI62"/>
      <c r="VVJ62"/>
      <c r="VVK62"/>
      <c r="VVL62"/>
      <c r="VVM62"/>
      <c r="VVN62"/>
      <c r="VVO62"/>
      <c r="VVP62"/>
      <c r="VVQ62"/>
      <c r="VVR62"/>
      <c r="VVS62"/>
      <c r="VVT62"/>
      <c r="VVU62"/>
      <c r="VVV62"/>
      <c r="VVW62"/>
      <c r="VVX62"/>
      <c r="VVY62"/>
      <c r="VVZ62"/>
      <c r="VWA62"/>
      <c r="VWB62"/>
      <c r="VWC62"/>
      <c r="VWD62"/>
      <c r="VWE62"/>
      <c r="VWF62"/>
      <c r="VWG62"/>
      <c r="VWH62"/>
      <c r="VWI62"/>
      <c r="VWJ62"/>
      <c r="VWK62"/>
      <c r="VWL62"/>
      <c r="VWM62"/>
      <c r="VWN62"/>
      <c r="VWO62"/>
      <c r="VWP62"/>
      <c r="VWQ62"/>
      <c r="VWR62"/>
      <c r="VWS62"/>
      <c r="VWT62"/>
      <c r="VWU62"/>
      <c r="VWV62"/>
      <c r="VWW62"/>
      <c r="VWX62"/>
      <c r="VWY62"/>
      <c r="VWZ62"/>
      <c r="VXA62"/>
      <c r="VXB62"/>
      <c r="VXC62"/>
      <c r="VXD62"/>
      <c r="VXE62"/>
      <c r="VXF62"/>
      <c r="VXG62"/>
      <c r="VXH62"/>
      <c r="VXI62"/>
      <c r="VXJ62"/>
      <c r="VXK62"/>
      <c r="VXL62"/>
      <c r="VXM62"/>
      <c r="VXN62"/>
      <c r="VXO62"/>
      <c r="VXP62"/>
      <c r="VXQ62"/>
      <c r="VXR62"/>
      <c r="VXS62"/>
      <c r="VXT62"/>
      <c r="VXU62"/>
      <c r="VXV62"/>
      <c r="VXW62"/>
      <c r="VXX62"/>
      <c r="VXY62"/>
      <c r="VXZ62"/>
      <c r="VYA62"/>
      <c r="VYB62"/>
      <c r="VYC62"/>
      <c r="VYD62"/>
      <c r="VYE62"/>
      <c r="VYF62"/>
      <c r="VYG62"/>
      <c r="VYH62"/>
      <c r="VYI62"/>
      <c r="VYJ62"/>
      <c r="VYK62"/>
      <c r="VYL62"/>
      <c r="VYM62"/>
      <c r="VYN62"/>
      <c r="VYO62"/>
      <c r="VYP62"/>
      <c r="VYQ62"/>
      <c r="VYR62"/>
      <c r="VYS62"/>
      <c r="VYT62"/>
      <c r="VYU62"/>
      <c r="VYV62"/>
      <c r="VYW62"/>
      <c r="VYX62"/>
      <c r="VYY62"/>
      <c r="VYZ62"/>
      <c r="VZA62"/>
      <c r="VZB62"/>
      <c r="VZC62"/>
      <c r="VZD62"/>
      <c r="VZE62"/>
      <c r="VZF62"/>
      <c r="VZG62"/>
      <c r="VZH62"/>
      <c r="VZI62"/>
      <c r="VZJ62"/>
      <c r="VZK62"/>
      <c r="VZL62"/>
      <c r="VZM62"/>
      <c r="VZN62"/>
      <c r="VZO62"/>
      <c r="VZP62"/>
      <c r="VZQ62"/>
      <c r="VZR62"/>
      <c r="VZS62"/>
      <c r="VZT62"/>
      <c r="VZU62"/>
      <c r="VZV62"/>
      <c r="VZW62"/>
      <c r="VZX62"/>
      <c r="VZY62"/>
      <c r="VZZ62"/>
      <c r="WAA62"/>
      <c r="WAB62"/>
      <c r="WAC62"/>
      <c r="WAD62"/>
      <c r="WAE62"/>
      <c r="WAF62"/>
      <c r="WAG62"/>
      <c r="WAH62"/>
      <c r="WAI62"/>
      <c r="WAJ62"/>
      <c r="WAK62"/>
      <c r="WAL62"/>
      <c r="WAM62"/>
      <c r="WAN62"/>
      <c r="WAO62"/>
      <c r="WAP62"/>
      <c r="WAQ62"/>
      <c r="WAR62"/>
      <c r="WAS62"/>
      <c r="WAT62"/>
      <c r="WAU62"/>
      <c r="WAV62"/>
      <c r="WAW62"/>
      <c r="WAX62"/>
      <c r="WAY62"/>
      <c r="WAZ62"/>
      <c r="WBA62"/>
      <c r="WBB62"/>
      <c r="WBC62"/>
      <c r="WBD62"/>
      <c r="WBE62"/>
      <c r="WBF62"/>
      <c r="WBG62"/>
      <c r="WBH62"/>
      <c r="WBI62"/>
      <c r="WBJ62"/>
      <c r="WBK62"/>
      <c r="WBL62"/>
      <c r="WBM62"/>
      <c r="WBN62"/>
      <c r="WBO62"/>
      <c r="WBP62"/>
      <c r="WBQ62"/>
      <c r="WBR62"/>
      <c r="WBS62"/>
      <c r="WBT62"/>
      <c r="WBU62"/>
      <c r="WBV62"/>
      <c r="WBW62"/>
      <c r="WBX62"/>
      <c r="WBY62"/>
      <c r="WBZ62"/>
      <c r="WCA62"/>
      <c r="WCB62"/>
      <c r="WCC62"/>
      <c r="WCD62"/>
      <c r="WCE62"/>
      <c r="WCF62"/>
      <c r="WCG62"/>
      <c r="WCH62"/>
      <c r="WCI62"/>
      <c r="WCJ62"/>
      <c r="WCK62"/>
      <c r="WCL62"/>
      <c r="WCM62"/>
      <c r="WCN62"/>
      <c r="WCO62"/>
      <c r="WCP62"/>
      <c r="WCQ62"/>
      <c r="WCR62"/>
      <c r="WCS62"/>
      <c r="WCT62"/>
      <c r="WCU62"/>
      <c r="WCV62"/>
      <c r="WCW62"/>
      <c r="WCX62"/>
      <c r="WCY62"/>
      <c r="WCZ62"/>
      <c r="WDA62"/>
      <c r="WDB62"/>
      <c r="WDC62"/>
      <c r="WDD62"/>
      <c r="WDE62"/>
      <c r="WDF62"/>
      <c r="WDG62"/>
      <c r="WDH62"/>
      <c r="WDI62"/>
      <c r="WDJ62"/>
      <c r="WDK62"/>
      <c r="WDL62"/>
      <c r="WDM62"/>
      <c r="WDN62"/>
      <c r="WDO62"/>
      <c r="WDP62"/>
      <c r="WDQ62"/>
      <c r="WDR62"/>
      <c r="WDS62"/>
      <c r="WDT62"/>
      <c r="WDU62"/>
      <c r="WDV62"/>
      <c r="WDW62"/>
      <c r="WDX62"/>
      <c r="WDY62"/>
      <c r="WDZ62"/>
      <c r="WEA62"/>
      <c r="WEB62"/>
      <c r="WEC62"/>
      <c r="WED62"/>
      <c r="WEE62"/>
      <c r="WEF62"/>
      <c r="WEG62"/>
      <c r="WEH62"/>
      <c r="WEI62"/>
      <c r="WEJ62"/>
      <c r="WEK62"/>
      <c r="WEL62"/>
      <c r="WEM62"/>
      <c r="WEN62"/>
      <c r="WEO62"/>
      <c r="WEP62"/>
      <c r="WEQ62"/>
      <c r="WER62"/>
      <c r="WES62"/>
      <c r="WET62"/>
      <c r="WEU62"/>
      <c r="WEV62"/>
      <c r="WEW62"/>
      <c r="WEX62"/>
      <c r="WEY62"/>
      <c r="WEZ62"/>
      <c r="WFA62"/>
      <c r="WFB62"/>
      <c r="WFC62"/>
      <c r="WFD62"/>
      <c r="WFE62"/>
      <c r="WFF62"/>
      <c r="WFG62"/>
      <c r="WFH62"/>
      <c r="WFI62"/>
      <c r="WFJ62"/>
      <c r="WFK62"/>
      <c r="WFL62"/>
      <c r="WFM62"/>
      <c r="WFN62"/>
      <c r="WFO62"/>
      <c r="WFP62"/>
      <c r="WFQ62"/>
      <c r="WFR62"/>
      <c r="WFS62"/>
      <c r="WFT62"/>
      <c r="WFU62"/>
      <c r="WFV62"/>
      <c r="WFW62"/>
      <c r="WFX62"/>
      <c r="WFY62"/>
      <c r="WFZ62"/>
      <c r="WGA62"/>
      <c r="WGB62"/>
      <c r="WGC62"/>
      <c r="WGD62"/>
      <c r="WGE62"/>
      <c r="WGF62"/>
      <c r="WGG62"/>
      <c r="WGH62"/>
      <c r="WGI62"/>
      <c r="WGJ62"/>
      <c r="WGK62"/>
      <c r="WGL62"/>
      <c r="WGM62"/>
      <c r="WGN62"/>
      <c r="WGO62"/>
      <c r="WGP62"/>
      <c r="WGQ62"/>
      <c r="WGR62"/>
      <c r="WGS62"/>
      <c r="WGT62"/>
      <c r="WGU62"/>
      <c r="WGV62"/>
      <c r="WGW62"/>
      <c r="WGX62"/>
      <c r="WGY62"/>
      <c r="WGZ62"/>
      <c r="WHA62"/>
      <c r="WHB62"/>
      <c r="WHC62"/>
      <c r="WHD62"/>
      <c r="WHE62"/>
      <c r="WHF62"/>
      <c r="WHG62"/>
      <c r="WHH62"/>
      <c r="WHI62"/>
      <c r="WHJ62"/>
      <c r="WHK62"/>
      <c r="WHL62"/>
      <c r="WHM62"/>
      <c r="WHN62"/>
      <c r="WHO62"/>
      <c r="WHP62"/>
      <c r="WHQ62"/>
      <c r="WHR62"/>
      <c r="WHS62"/>
      <c r="WHT62"/>
      <c r="WHU62"/>
      <c r="WHV62"/>
      <c r="WHW62"/>
      <c r="WHX62"/>
      <c r="WHY62"/>
      <c r="WHZ62"/>
      <c r="WIA62"/>
      <c r="WIB62"/>
      <c r="WIC62"/>
      <c r="WID62"/>
      <c r="WIE62"/>
      <c r="WIF62"/>
      <c r="WIG62"/>
      <c r="WIH62"/>
      <c r="WII62"/>
      <c r="WIJ62"/>
      <c r="WIK62"/>
      <c r="WIL62"/>
      <c r="WIM62"/>
      <c r="WIN62"/>
      <c r="WIO62"/>
      <c r="WIP62"/>
      <c r="WIQ62"/>
      <c r="WIR62"/>
      <c r="WIS62"/>
      <c r="WIT62"/>
      <c r="WIU62"/>
      <c r="WIV62"/>
      <c r="WIW62"/>
      <c r="WIX62"/>
      <c r="WIY62"/>
      <c r="WIZ62"/>
      <c r="WJA62"/>
      <c r="WJB62"/>
      <c r="WJC62"/>
      <c r="WJD62"/>
      <c r="WJE62"/>
      <c r="WJF62"/>
      <c r="WJG62"/>
      <c r="WJH62"/>
      <c r="WJI62"/>
      <c r="WJJ62"/>
      <c r="WJK62"/>
      <c r="WJL62"/>
      <c r="WJM62"/>
      <c r="WJN62"/>
      <c r="WJO62"/>
      <c r="WJP62"/>
      <c r="WJQ62"/>
      <c r="WJR62"/>
      <c r="WJS62"/>
      <c r="WJT62"/>
      <c r="WJU62"/>
      <c r="WJV62"/>
      <c r="WJW62"/>
      <c r="WJX62"/>
      <c r="WJY62"/>
      <c r="WJZ62"/>
      <c r="WKA62"/>
      <c r="WKB62"/>
      <c r="WKC62"/>
      <c r="WKD62"/>
      <c r="WKE62"/>
      <c r="WKF62"/>
      <c r="WKG62"/>
      <c r="WKH62"/>
      <c r="WKI62"/>
      <c r="WKJ62"/>
      <c r="WKK62"/>
      <c r="WKL62"/>
      <c r="WKM62"/>
      <c r="WKN62"/>
      <c r="WKO62"/>
      <c r="WKP62"/>
      <c r="WKQ62"/>
      <c r="WKR62"/>
      <c r="WKS62"/>
      <c r="WKT62"/>
      <c r="WKU62"/>
      <c r="WKV62"/>
      <c r="WKW62"/>
      <c r="WKX62"/>
      <c r="WKY62"/>
      <c r="WKZ62"/>
      <c r="WLA62"/>
      <c r="WLB62"/>
      <c r="WLC62"/>
      <c r="WLD62"/>
      <c r="WLE62"/>
      <c r="WLF62"/>
      <c r="WLG62"/>
      <c r="WLH62"/>
      <c r="WLI62"/>
      <c r="WLJ62"/>
      <c r="WLK62"/>
      <c r="WLL62"/>
      <c r="WLM62"/>
      <c r="WLN62"/>
      <c r="WLO62"/>
      <c r="WLP62"/>
      <c r="WLQ62"/>
      <c r="WLR62"/>
      <c r="WLS62"/>
      <c r="WLT62"/>
      <c r="WLU62"/>
      <c r="WLV62"/>
      <c r="WLW62"/>
      <c r="WLX62"/>
      <c r="WLY62"/>
      <c r="WLZ62"/>
      <c r="WMA62"/>
      <c r="WMB62"/>
      <c r="WMC62"/>
      <c r="WMD62"/>
      <c r="WME62"/>
      <c r="WMF62"/>
      <c r="WMG62"/>
      <c r="WMH62"/>
      <c r="WMI62"/>
      <c r="WMJ62"/>
      <c r="WMK62"/>
      <c r="WML62"/>
      <c r="WMM62"/>
      <c r="WMN62"/>
      <c r="WMO62"/>
      <c r="WMP62"/>
      <c r="WMQ62"/>
      <c r="WMR62"/>
      <c r="WMS62"/>
      <c r="WMT62"/>
      <c r="WMU62"/>
      <c r="WMV62"/>
      <c r="WMW62"/>
      <c r="WMX62"/>
      <c r="WMY62"/>
      <c r="WMZ62"/>
      <c r="WNA62"/>
      <c r="WNB62"/>
      <c r="WNC62"/>
      <c r="WND62"/>
      <c r="WNE62"/>
      <c r="WNF62"/>
      <c r="WNG62"/>
      <c r="WNH62"/>
      <c r="WNI62"/>
      <c r="WNJ62"/>
      <c r="WNK62"/>
      <c r="WNL62"/>
      <c r="WNM62"/>
      <c r="WNN62"/>
      <c r="WNO62"/>
      <c r="WNP62"/>
      <c r="WNQ62"/>
      <c r="WNR62"/>
      <c r="WNS62"/>
      <c r="WNT62"/>
      <c r="WNU62"/>
      <c r="WNV62"/>
      <c r="WNW62"/>
      <c r="WNX62"/>
      <c r="WNY62"/>
      <c r="WNZ62"/>
      <c r="WOA62"/>
      <c r="WOB62"/>
      <c r="WOC62"/>
      <c r="WOD62"/>
      <c r="WOE62"/>
      <c r="WOF62"/>
      <c r="WOG62"/>
      <c r="WOH62"/>
      <c r="WOI62"/>
      <c r="WOJ62"/>
      <c r="WOK62"/>
      <c r="WOL62"/>
      <c r="WOM62"/>
      <c r="WON62"/>
      <c r="WOO62"/>
      <c r="WOP62"/>
      <c r="WOQ62"/>
      <c r="WOR62"/>
      <c r="WOS62"/>
      <c r="WOT62"/>
      <c r="WOU62"/>
      <c r="WOV62"/>
      <c r="WOW62"/>
      <c r="WOX62"/>
      <c r="WOY62"/>
      <c r="WOZ62"/>
      <c r="WPA62"/>
      <c r="WPB62"/>
      <c r="WPC62"/>
      <c r="WPD62"/>
      <c r="WPE62"/>
      <c r="WPF62"/>
      <c r="WPG62"/>
      <c r="WPH62"/>
      <c r="WPI62"/>
      <c r="WPJ62"/>
      <c r="WPK62"/>
      <c r="WPL62"/>
      <c r="WPM62"/>
      <c r="WPN62"/>
      <c r="WPO62"/>
      <c r="WPP62"/>
      <c r="WPQ62"/>
      <c r="WPR62"/>
      <c r="WPS62"/>
      <c r="WPT62"/>
      <c r="WPU62"/>
      <c r="WPV62"/>
      <c r="WPW62"/>
      <c r="WPX62"/>
      <c r="WPY62"/>
      <c r="WPZ62"/>
      <c r="WQA62"/>
      <c r="WQB62"/>
      <c r="WQC62"/>
      <c r="WQD62"/>
      <c r="WQE62"/>
      <c r="WQF62"/>
      <c r="WQG62"/>
      <c r="WQH62"/>
      <c r="WQI62"/>
      <c r="WQJ62"/>
      <c r="WQK62"/>
      <c r="WQL62"/>
      <c r="WQM62"/>
      <c r="WQN62"/>
      <c r="WQO62"/>
      <c r="WQP62"/>
      <c r="WQQ62"/>
      <c r="WQR62"/>
      <c r="WQS62"/>
      <c r="WQT62"/>
      <c r="WQU62"/>
      <c r="WQV62"/>
      <c r="WQW62"/>
      <c r="WQX62"/>
      <c r="WQY62"/>
      <c r="WQZ62"/>
      <c r="WRA62"/>
      <c r="WRB62"/>
      <c r="WRC62"/>
      <c r="WRD62"/>
      <c r="WRE62"/>
      <c r="WRF62"/>
      <c r="WRG62"/>
      <c r="WRH62"/>
      <c r="WRI62"/>
      <c r="WRJ62"/>
      <c r="WRK62"/>
      <c r="WRL62"/>
      <c r="WRM62"/>
      <c r="WRN62"/>
      <c r="WRO62"/>
      <c r="WRP62"/>
      <c r="WRQ62"/>
      <c r="WRR62"/>
      <c r="WRS62"/>
      <c r="WRT62"/>
      <c r="WRU62"/>
      <c r="WRV62"/>
      <c r="WRW62"/>
      <c r="WRX62"/>
      <c r="WRY62"/>
      <c r="WRZ62"/>
      <c r="WSA62"/>
      <c r="WSB62"/>
      <c r="WSC62"/>
      <c r="WSD62"/>
      <c r="WSE62"/>
      <c r="WSF62"/>
      <c r="WSG62"/>
      <c r="WSH62"/>
      <c r="WSI62"/>
      <c r="WSJ62"/>
      <c r="WSK62"/>
      <c r="WSL62"/>
      <c r="WSM62"/>
      <c r="WSN62"/>
      <c r="WSO62"/>
      <c r="WSP62"/>
      <c r="WSQ62"/>
      <c r="WSR62"/>
      <c r="WSS62"/>
      <c r="WST62"/>
      <c r="WSU62"/>
      <c r="WSV62"/>
      <c r="WSW62"/>
      <c r="WSX62"/>
      <c r="WSY62"/>
      <c r="WSZ62"/>
      <c r="WTA62"/>
      <c r="WTB62"/>
      <c r="WTC62"/>
      <c r="WTD62"/>
      <c r="WTE62"/>
      <c r="WTF62"/>
      <c r="WTG62"/>
      <c r="WTH62"/>
      <c r="WTI62"/>
      <c r="WTJ62"/>
      <c r="WTK62"/>
      <c r="WTL62"/>
      <c r="WTM62"/>
      <c r="WTN62"/>
      <c r="WTO62"/>
      <c r="WTP62"/>
      <c r="WTQ62"/>
      <c r="WTR62"/>
      <c r="WTS62"/>
      <c r="WTT62"/>
      <c r="WTU62"/>
      <c r="WTV62"/>
      <c r="WTW62"/>
      <c r="WTX62"/>
      <c r="WTY62"/>
      <c r="WTZ62"/>
      <c r="WUA62"/>
      <c r="WUB62"/>
      <c r="WUC62"/>
      <c r="WUD62"/>
      <c r="WUE62"/>
      <c r="WUF62"/>
      <c r="WUG62"/>
      <c r="WUH62"/>
      <c r="WUI62"/>
      <c r="WUJ62"/>
      <c r="WUK62"/>
      <c r="WUL62"/>
      <c r="WUM62"/>
      <c r="WUN62"/>
      <c r="WUO62"/>
      <c r="WUP62"/>
      <c r="WUQ62"/>
      <c r="WUR62"/>
      <c r="WUS62"/>
      <c r="WUT62"/>
      <c r="WUU62"/>
      <c r="WUV62"/>
      <c r="WUW62"/>
      <c r="WUX62"/>
      <c r="WUY62"/>
      <c r="WUZ62"/>
      <c r="WVA62"/>
      <c r="WVB62"/>
      <c r="WVC62"/>
      <c r="WVD62"/>
      <c r="WVE62"/>
      <c r="WVF62"/>
      <c r="WVG62"/>
      <c r="WVH62"/>
      <c r="WVI62"/>
      <c r="WVJ62"/>
      <c r="WVK62"/>
      <c r="WVL62"/>
      <c r="WVM62"/>
      <c r="WVN62"/>
      <c r="WVO62"/>
      <c r="WVP62"/>
      <c r="WVQ62"/>
      <c r="WVR62"/>
      <c r="WVS62"/>
      <c r="WVT62"/>
      <c r="WVU62"/>
      <c r="WVV62"/>
      <c r="WVW62"/>
      <c r="WVX62"/>
      <c r="WVY62"/>
      <c r="WVZ62"/>
      <c r="WWA62"/>
      <c r="WWB62"/>
      <c r="WWC62"/>
      <c r="WWD62"/>
      <c r="WWE62"/>
      <c r="WWF62"/>
      <c r="WWG62"/>
      <c r="WWH62"/>
      <c r="WWI62"/>
      <c r="WWJ62"/>
      <c r="WWK62"/>
      <c r="WWL62"/>
      <c r="WWM62"/>
      <c r="WWN62"/>
      <c r="WWO62"/>
      <c r="WWP62"/>
      <c r="WWQ62"/>
      <c r="WWR62"/>
      <c r="WWS62"/>
      <c r="WWT62"/>
      <c r="WWU62"/>
      <c r="WWV62"/>
      <c r="WWW62"/>
      <c r="WWX62"/>
      <c r="WWY62"/>
      <c r="WWZ62"/>
      <c r="WXA62"/>
      <c r="WXB62"/>
      <c r="WXC62"/>
      <c r="WXD62"/>
      <c r="WXE62"/>
      <c r="WXF62"/>
      <c r="WXG62"/>
      <c r="WXH62"/>
      <c r="WXI62"/>
      <c r="WXJ62"/>
      <c r="WXK62"/>
      <c r="WXL62"/>
      <c r="WXM62"/>
      <c r="WXN62"/>
      <c r="WXO62"/>
      <c r="WXP62"/>
      <c r="WXQ62"/>
      <c r="WXR62"/>
      <c r="WXS62"/>
      <c r="WXT62"/>
      <c r="WXU62"/>
      <c r="WXV62"/>
      <c r="WXW62"/>
      <c r="WXX62"/>
      <c r="WXY62"/>
      <c r="WXZ62"/>
      <c r="WYA62"/>
      <c r="WYB62"/>
      <c r="WYC62"/>
      <c r="WYD62"/>
      <c r="WYE62"/>
      <c r="WYF62"/>
      <c r="WYG62"/>
      <c r="WYH62"/>
      <c r="WYI62"/>
      <c r="WYJ62"/>
      <c r="WYK62"/>
      <c r="WYL62"/>
      <c r="WYM62"/>
      <c r="WYN62"/>
      <c r="WYO62"/>
      <c r="WYP62"/>
      <c r="WYQ62"/>
      <c r="WYR62"/>
      <c r="WYS62"/>
      <c r="WYT62"/>
      <c r="WYU62"/>
      <c r="WYV62"/>
      <c r="WYW62"/>
      <c r="WYX62"/>
      <c r="WYY62"/>
      <c r="WYZ62"/>
      <c r="WZA62"/>
      <c r="WZB62"/>
      <c r="WZC62"/>
      <c r="WZD62"/>
      <c r="WZE62"/>
      <c r="WZF62"/>
      <c r="WZG62"/>
      <c r="WZH62"/>
      <c r="WZI62"/>
      <c r="WZJ62"/>
      <c r="WZK62"/>
      <c r="WZL62"/>
      <c r="WZM62"/>
      <c r="WZN62"/>
      <c r="WZO62"/>
      <c r="WZP62"/>
      <c r="WZQ62"/>
      <c r="WZR62"/>
      <c r="WZS62"/>
      <c r="WZT62"/>
      <c r="WZU62"/>
      <c r="WZV62"/>
      <c r="WZW62"/>
      <c r="WZX62"/>
      <c r="WZY62"/>
      <c r="WZZ62"/>
      <c r="XAA62"/>
      <c r="XAB62"/>
      <c r="XAC62"/>
      <c r="XAD62"/>
      <c r="XAE62"/>
      <c r="XAF62"/>
      <c r="XAG62"/>
      <c r="XAH62"/>
      <c r="XAI62"/>
      <c r="XAJ62"/>
      <c r="XAK62"/>
      <c r="XAL62"/>
      <c r="XAM62"/>
      <c r="XAN62"/>
      <c r="XAO62"/>
      <c r="XAP62"/>
      <c r="XAQ62"/>
      <c r="XAR62"/>
      <c r="XAS62"/>
      <c r="XAT62"/>
      <c r="XAU62"/>
      <c r="XAV62"/>
      <c r="XAW62"/>
      <c r="XAX62"/>
      <c r="XAY62"/>
      <c r="XAZ62"/>
      <c r="XBA62"/>
      <c r="XBB62"/>
      <c r="XBC62"/>
      <c r="XBD62"/>
      <c r="XBE62"/>
      <c r="XBF62"/>
      <c r="XBG62"/>
      <c r="XBH62"/>
      <c r="XBI62"/>
      <c r="XBJ62"/>
      <c r="XBK62"/>
      <c r="XBL62"/>
      <c r="XBM62"/>
      <c r="XBN62"/>
      <c r="XBO62"/>
      <c r="XBP62"/>
      <c r="XBQ62"/>
      <c r="XBR62"/>
      <c r="XBS62"/>
      <c r="XBT62"/>
      <c r="XBU62"/>
      <c r="XBV62"/>
      <c r="XBW62"/>
      <c r="XBX62"/>
      <c r="XBY62"/>
      <c r="XBZ62"/>
      <c r="XCA62"/>
      <c r="XCB62"/>
      <c r="XCC62"/>
      <c r="XCD62"/>
      <c r="XCE62"/>
      <c r="XCF62"/>
      <c r="XCG62"/>
      <c r="XCH62"/>
      <c r="XCI62"/>
      <c r="XCJ62"/>
      <c r="XCK62"/>
      <c r="XCL62"/>
      <c r="XCM62"/>
      <c r="XCN62"/>
      <c r="XCO62"/>
      <c r="XCP62"/>
      <c r="XCQ62"/>
      <c r="XCR62"/>
      <c r="XCS62"/>
      <c r="XCT62"/>
      <c r="XCU62"/>
      <c r="XCV62"/>
      <c r="XCW62"/>
      <c r="XCX62"/>
      <c r="XCY62"/>
      <c r="XCZ62"/>
      <c r="XDA62"/>
      <c r="XDB62"/>
      <c r="XDC62"/>
      <c r="XDD62"/>
      <c r="XDE62"/>
      <c r="XDF62"/>
      <c r="XDG62"/>
      <c r="XDH62"/>
      <c r="XDI62"/>
      <c r="XDJ62"/>
      <c r="XDK62"/>
      <c r="XDL62"/>
      <c r="XDM62"/>
      <c r="XDN62"/>
      <c r="XDO62"/>
      <c r="XDP62"/>
      <c r="XDQ62"/>
      <c r="XDR62"/>
      <c r="XDS62"/>
      <c r="XDT62"/>
      <c r="XDU62"/>
      <c r="XDV62"/>
      <c r="XDW62"/>
      <c r="XDX62"/>
      <c r="XDY62"/>
      <c r="XDZ62"/>
      <c r="XEA62"/>
      <c r="XEB62"/>
      <c r="XEC62"/>
      <c r="XED62"/>
      <c r="XEE62"/>
      <c r="XEF62"/>
      <c r="XEG62"/>
      <c r="XEH62"/>
      <c r="XEI62"/>
      <c r="XEJ62"/>
      <c r="XEK62"/>
      <c r="XEL62"/>
      <c r="XEM62"/>
      <c r="XEN62"/>
      <c r="XEO62"/>
      <c r="XEP62"/>
      <c r="XEQ62"/>
      <c r="XER62"/>
      <c r="XES62"/>
      <c r="XET62"/>
      <c r="XEU62"/>
      <c r="XEV62"/>
      <c r="XEW62"/>
      <c r="XEX62"/>
      <c r="XEY62"/>
      <c r="XEZ62"/>
      <c r="XFA62"/>
      <c r="XFB62"/>
    </row>
    <row r="63" spans="2:16382" x14ac:dyDescent="0.25">
      <c r="B63" s="1" t="s">
        <v>84</v>
      </c>
      <c r="D63" s="1"/>
      <c r="E63" s="27">
        <f>SUM(E56:E62)</f>
        <v>16141.749999999998</v>
      </c>
      <c r="F63" s="27">
        <f>SUM(F56:F62)</f>
        <v>20347.759999999998</v>
      </c>
      <c r="G63" s="27">
        <f>SUM(G56:G62)</f>
        <v>20155.189999999999</v>
      </c>
      <c r="H63" s="27">
        <f>SUM(H56:H62)</f>
        <v>23431.79</v>
      </c>
      <c r="I63" s="27">
        <f>SUM(I56:I62)</f>
        <v>26905.96</v>
      </c>
      <c r="J63" s="1"/>
      <c r="K63" s="7"/>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C63" s="1"/>
      <c r="ND63" s="1"/>
      <c r="NE63" s="1"/>
      <c r="NF63" s="1"/>
      <c r="NG63" s="1"/>
      <c r="NH63" s="1"/>
      <c r="NI63" s="1"/>
      <c r="NJ63" s="1"/>
      <c r="NK63" s="1"/>
      <c r="NL63" s="1"/>
      <c r="NM63" s="1"/>
      <c r="NN63" s="1"/>
      <c r="NO63" s="1"/>
      <c r="NP63" s="1"/>
      <c r="NQ63" s="1"/>
      <c r="NR63" s="1"/>
      <c r="NS63" s="1"/>
      <c r="NT63" s="1"/>
      <c r="NU63" s="1"/>
      <c r="NV63" s="1"/>
      <c r="NW63" s="1"/>
      <c r="NX63" s="1"/>
      <c r="NY63" s="1"/>
      <c r="NZ63" s="1"/>
      <c r="OA63" s="1"/>
      <c r="OB63" s="1"/>
      <c r="OC63" s="1"/>
      <c r="OD63" s="1"/>
      <c r="OE63" s="1"/>
      <c r="OF63" s="1"/>
      <c r="OG63" s="1"/>
      <c r="OH63" s="1"/>
      <c r="OI63" s="1"/>
      <c r="OJ63" s="1"/>
      <c r="OK63" s="1"/>
      <c r="OL63" s="1"/>
      <c r="OM63" s="1"/>
      <c r="ON63" s="1"/>
      <c r="OO63" s="1"/>
      <c r="OP63" s="1"/>
      <c r="OQ63" s="1"/>
      <c r="OR63" s="1"/>
      <c r="OS63" s="1"/>
      <c r="OT63" s="1"/>
      <c r="OU63" s="1"/>
      <c r="OV63" s="1"/>
      <c r="OW63" s="1"/>
      <c r="OX63" s="1"/>
      <c r="OY63" s="1"/>
      <c r="OZ63" s="1"/>
      <c r="PA63" s="1"/>
      <c r="PB63" s="1"/>
      <c r="PC63" s="1"/>
      <c r="PD63" s="1"/>
      <c r="PE63" s="1"/>
      <c r="PF63" s="1"/>
      <c r="PG63" s="1"/>
      <c r="PH63" s="1"/>
      <c r="PI63" s="1"/>
      <c r="PJ63" s="1"/>
      <c r="PK63" s="1"/>
      <c r="PL63" s="1"/>
      <c r="PM63" s="1"/>
      <c r="PN63" s="1"/>
      <c r="PO63" s="1"/>
      <c r="PP63" s="1"/>
      <c r="PQ63" s="1"/>
      <c r="PR63" s="1"/>
      <c r="PS63" s="1"/>
      <c r="PT63" s="1"/>
      <c r="PU63" s="1"/>
      <c r="PV63" s="1"/>
      <c r="PW63" s="1"/>
      <c r="PX63" s="1"/>
      <c r="PY63" s="1"/>
      <c r="PZ63" s="1"/>
      <c r="QA63" s="1"/>
      <c r="QB63" s="1"/>
      <c r="QC63" s="1"/>
      <c r="QD63" s="1"/>
      <c r="QE63" s="1"/>
      <c r="QF63" s="1"/>
      <c r="QG63" s="1"/>
      <c r="QH63" s="1"/>
      <c r="QI63" s="1"/>
      <c r="QJ63" s="1"/>
      <c r="QK63" s="1"/>
      <c r="QL63" s="1"/>
      <c r="QM63" s="1"/>
      <c r="QN63" s="1"/>
      <c r="QO63" s="1"/>
      <c r="QP63" s="1"/>
      <c r="QQ63" s="1"/>
      <c r="QR63" s="1"/>
      <c r="QS63" s="1"/>
      <c r="QT63" s="1"/>
      <c r="QU63" s="1"/>
      <c r="QV63" s="1"/>
      <c r="QW63" s="1"/>
      <c r="QX63" s="1"/>
      <c r="QY63" s="1"/>
      <c r="QZ63" s="1"/>
      <c r="RA63" s="1"/>
      <c r="RB63" s="1"/>
      <c r="RC63" s="1"/>
      <c r="RD63" s="1"/>
      <c r="RE63" s="1"/>
      <c r="RF63" s="1"/>
      <c r="RG63" s="1"/>
      <c r="RH63" s="1"/>
      <c r="RI63" s="1"/>
      <c r="RJ63" s="1"/>
      <c r="RK63" s="1"/>
      <c r="RL63" s="1"/>
      <c r="RM63" s="1"/>
      <c r="RN63" s="1"/>
      <c r="RO63" s="1"/>
      <c r="RP63" s="1"/>
      <c r="RQ63" s="1"/>
      <c r="RR63" s="1"/>
      <c r="RS63" s="1"/>
      <c r="RT63" s="1"/>
      <c r="RU63" s="1"/>
      <c r="RV63" s="1"/>
      <c r="RW63" s="1"/>
      <c r="RX63" s="1"/>
      <c r="RY63" s="1"/>
      <c r="RZ63" s="1"/>
      <c r="SA63" s="1"/>
      <c r="SB63" s="1"/>
      <c r="SC63" s="1"/>
      <c r="SD63" s="1"/>
      <c r="SE63" s="1"/>
      <c r="SF63" s="1"/>
      <c r="SG63" s="1"/>
      <c r="SH63" s="1"/>
      <c r="SI63" s="1"/>
      <c r="SJ63" s="1"/>
      <c r="SK63" s="1"/>
      <c r="SL63" s="1"/>
      <c r="SM63" s="1"/>
      <c r="SN63" s="1"/>
      <c r="SO63" s="1"/>
      <c r="SP63" s="1"/>
      <c r="SQ63" s="1"/>
      <c r="SR63" s="1"/>
      <c r="SS63" s="1"/>
      <c r="ST63" s="1"/>
      <c r="SU63" s="1"/>
      <c r="SV63" s="1"/>
      <c r="SW63" s="1"/>
      <c r="SX63" s="1"/>
      <c r="SY63" s="1"/>
      <c r="SZ63" s="1"/>
      <c r="TA63" s="1"/>
      <c r="TB63" s="1"/>
      <c r="TC63" s="1"/>
      <c r="TD63" s="1"/>
      <c r="TE63" s="1"/>
      <c r="TF63" s="1"/>
      <c r="TG63" s="1"/>
      <c r="TH63" s="1"/>
      <c r="TI63" s="1"/>
      <c r="TJ63" s="1"/>
      <c r="TK63" s="1"/>
      <c r="TL63" s="1"/>
      <c r="TM63" s="1"/>
      <c r="TN63" s="1"/>
      <c r="TO63" s="1"/>
      <c r="TP63" s="1"/>
      <c r="TQ63" s="1"/>
      <c r="TR63" s="1"/>
      <c r="TS63" s="1"/>
      <c r="TT63" s="1"/>
      <c r="TU63" s="1"/>
      <c r="TV63" s="1"/>
      <c r="TW63" s="1"/>
      <c r="TX63" s="1"/>
      <c r="TY63" s="1"/>
      <c r="TZ63" s="1"/>
      <c r="UA63" s="1"/>
      <c r="UB63" s="1"/>
      <c r="UC63" s="1"/>
      <c r="UD63" s="1"/>
      <c r="UE63" s="1"/>
      <c r="UF63" s="1"/>
      <c r="UG63" s="1"/>
      <c r="UH63" s="1"/>
      <c r="UI63" s="1"/>
      <c r="UJ63" s="1"/>
      <c r="UK63" s="1"/>
      <c r="UL63" s="1"/>
      <c r="UM63" s="1"/>
      <c r="UN63" s="1"/>
      <c r="UO63" s="1"/>
      <c r="UP63" s="1"/>
      <c r="UQ63" s="1"/>
      <c r="UR63" s="1"/>
      <c r="US63" s="1"/>
      <c r="UT63" s="1"/>
      <c r="UU63" s="1"/>
      <c r="UV63" s="1"/>
      <c r="UW63" s="1"/>
      <c r="UX63" s="1"/>
      <c r="UY63" s="1"/>
      <c r="UZ63" s="1"/>
      <c r="VA63" s="1"/>
      <c r="VB63" s="1"/>
      <c r="VC63" s="1"/>
      <c r="VD63" s="1"/>
      <c r="VE63" s="1"/>
      <c r="VF63" s="1"/>
      <c r="VG63" s="1"/>
      <c r="VH63" s="1"/>
      <c r="VI63" s="1"/>
      <c r="VJ63" s="1"/>
      <c r="VK63" s="1"/>
      <c r="VL63" s="1"/>
      <c r="VM63" s="1"/>
      <c r="VN63" s="1"/>
      <c r="VO63" s="1"/>
      <c r="VP63" s="1"/>
      <c r="VQ63" s="1"/>
      <c r="VR63" s="1"/>
      <c r="VS63" s="1"/>
      <c r="VT63" s="1"/>
      <c r="VU63" s="1"/>
      <c r="VV63" s="1"/>
      <c r="VW63" s="1"/>
      <c r="VX63" s="1"/>
      <c r="VY63" s="1"/>
      <c r="VZ63" s="1"/>
      <c r="WA63" s="1"/>
      <c r="WB63" s="1"/>
      <c r="WC63" s="1"/>
      <c r="WD63" s="1"/>
      <c r="WE63" s="1"/>
      <c r="WF63" s="1"/>
      <c r="WG63" s="1"/>
      <c r="WH63" s="1"/>
      <c r="WI63" s="1"/>
      <c r="WJ63" s="1"/>
      <c r="WK63" s="1"/>
      <c r="WL63" s="1"/>
      <c r="WM63" s="1"/>
      <c r="WN63" s="1"/>
      <c r="WO63" s="1"/>
      <c r="WP63" s="1"/>
      <c r="WQ63" s="1"/>
      <c r="WR63" s="1"/>
      <c r="WS63" s="1"/>
      <c r="WT63" s="1"/>
      <c r="WU63" s="1"/>
      <c r="WV63" s="1"/>
      <c r="WW63" s="1"/>
      <c r="WX63" s="1"/>
      <c r="WY63" s="1"/>
      <c r="WZ63" s="1"/>
      <c r="XA63" s="1"/>
      <c r="XB63" s="1"/>
      <c r="XC63" s="1"/>
      <c r="XD63" s="1"/>
      <c r="XE63" s="1"/>
      <c r="XF63" s="1"/>
      <c r="XG63" s="1"/>
      <c r="XH63" s="1"/>
      <c r="XI63" s="1"/>
      <c r="XJ63" s="1"/>
      <c r="XK63" s="1"/>
      <c r="XL63" s="1"/>
      <c r="XM63" s="1"/>
      <c r="XN63" s="1"/>
      <c r="XO63" s="1"/>
      <c r="XP63" s="1"/>
      <c r="XQ63" s="1"/>
      <c r="XR63" s="1"/>
      <c r="XS63" s="1"/>
      <c r="XT63" s="1"/>
      <c r="XU63" s="1"/>
      <c r="XV63" s="1"/>
      <c r="XW63" s="1"/>
      <c r="XX63" s="1"/>
      <c r="XY63" s="1"/>
      <c r="XZ63" s="1"/>
      <c r="YA63" s="1"/>
      <c r="YB63" s="1"/>
      <c r="YC63" s="1"/>
      <c r="YD63" s="1"/>
      <c r="YE63" s="1"/>
      <c r="YF63" s="1"/>
      <c r="YG63" s="1"/>
      <c r="YH63" s="1"/>
      <c r="YI63" s="1"/>
      <c r="YJ63" s="1"/>
      <c r="YK63" s="1"/>
      <c r="YL63" s="1"/>
      <c r="YM63" s="1"/>
      <c r="YN63" s="1"/>
      <c r="YO63" s="1"/>
      <c r="YP63" s="1"/>
      <c r="YQ63" s="1"/>
      <c r="YR63" s="1"/>
      <c r="YS63" s="1"/>
      <c r="YT63" s="1"/>
      <c r="YU63" s="1"/>
      <c r="YV63" s="1"/>
      <c r="YW63" s="1"/>
      <c r="YX63" s="1"/>
      <c r="YY63" s="1"/>
      <c r="YZ63" s="1"/>
      <c r="ZA63" s="1"/>
      <c r="ZB63" s="1"/>
      <c r="ZC63" s="1"/>
      <c r="ZD63" s="1"/>
      <c r="ZE63" s="1"/>
      <c r="ZF63" s="1"/>
      <c r="ZG63" s="1"/>
      <c r="ZH63" s="1"/>
      <c r="ZI63" s="1"/>
      <c r="ZJ63" s="1"/>
      <c r="ZK63" s="1"/>
      <c r="ZL63" s="1"/>
      <c r="ZM63" s="1"/>
      <c r="ZN63" s="1"/>
      <c r="ZO63" s="1"/>
      <c r="ZP63" s="1"/>
      <c r="ZQ63" s="1"/>
      <c r="ZR63" s="1"/>
      <c r="ZS63" s="1"/>
      <c r="ZT63" s="1"/>
      <c r="ZU63" s="1"/>
      <c r="ZV63" s="1"/>
      <c r="ZW63" s="1"/>
      <c r="ZX63" s="1"/>
      <c r="ZY63" s="1"/>
      <c r="ZZ63" s="1"/>
      <c r="AAA63" s="1"/>
      <c r="AAB63" s="1"/>
      <c r="AAC63" s="1"/>
      <c r="AAD63" s="1"/>
      <c r="AAE63" s="1"/>
      <c r="AAF63" s="1"/>
      <c r="AAG63" s="1"/>
      <c r="AAH63" s="1"/>
      <c r="AAI63" s="1"/>
      <c r="AAJ63" s="1"/>
      <c r="AAK63" s="1"/>
      <c r="AAL63" s="1"/>
      <c r="AAM63" s="1"/>
      <c r="AAN63" s="1"/>
      <c r="AAO63" s="1"/>
      <c r="AAP63" s="1"/>
      <c r="AAQ63" s="1"/>
      <c r="AAR63" s="1"/>
      <c r="AAS63" s="1"/>
      <c r="AAT63" s="1"/>
      <c r="AAU63" s="1"/>
      <c r="AAV63" s="1"/>
      <c r="AAW63" s="1"/>
      <c r="AAX63" s="1"/>
      <c r="AAY63" s="1"/>
      <c r="AAZ63" s="1"/>
      <c r="ABA63" s="1"/>
      <c r="ABB63" s="1"/>
      <c r="ABC63" s="1"/>
      <c r="ABD63" s="1"/>
      <c r="ABE63" s="1"/>
      <c r="ABF63" s="1"/>
      <c r="ABG63" s="1"/>
      <c r="ABH63" s="1"/>
      <c r="ABI63" s="1"/>
      <c r="ABJ63" s="1"/>
      <c r="ABK63" s="1"/>
      <c r="ABL63" s="1"/>
      <c r="ABM63" s="1"/>
      <c r="ABN63" s="1"/>
      <c r="ABO63" s="1"/>
      <c r="ABP63" s="1"/>
      <c r="ABQ63" s="1"/>
      <c r="ABR63" s="1"/>
      <c r="ABS63" s="1"/>
      <c r="ABT63" s="1"/>
      <c r="ABU63" s="1"/>
      <c r="ABV63" s="1"/>
      <c r="ABW63" s="1"/>
      <c r="ABX63" s="1"/>
      <c r="ABY63" s="1"/>
      <c r="ABZ63" s="1"/>
      <c r="ACA63" s="1"/>
      <c r="ACB63" s="1"/>
      <c r="ACC63" s="1"/>
      <c r="ACD63" s="1"/>
      <c r="ACE63" s="1"/>
      <c r="ACF63" s="1"/>
      <c r="ACG63" s="1"/>
      <c r="ACH63" s="1"/>
      <c r="ACI63" s="1"/>
      <c r="ACJ63" s="1"/>
      <c r="ACK63" s="1"/>
      <c r="ACL63" s="1"/>
      <c r="ACM63" s="1"/>
      <c r="ACN63" s="1"/>
      <c r="ACO63" s="1"/>
      <c r="ACP63" s="1"/>
      <c r="ACQ63" s="1"/>
      <c r="ACR63" s="1"/>
      <c r="ACS63" s="1"/>
      <c r="ACT63" s="1"/>
      <c r="ACU63" s="1"/>
      <c r="ACV63" s="1"/>
      <c r="ACW63" s="1"/>
      <c r="ACX63" s="1"/>
      <c r="ACY63" s="1"/>
      <c r="ACZ63" s="1"/>
      <c r="ADA63" s="1"/>
      <c r="ADB63" s="1"/>
      <c r="ADC63" s="1"/>
      <c r="ADD63" s="1"/>
      <c r="ADE63" s="1"/>
      <c r="ADF63" s="1"/>
      <c r="ADG63" s="1"/>
      <c r="ADH63" s="1"/>
      <c r="ADI63" s="1"/>
      <c r="ADJ63" s="1"/>
      <c r="ADK63" s="1"/>
      <c r="ADL63" s="1"/>
      <c r="ADM63" s="1"/>
      <c r="ADN63" s="1"/>
      <c r="ADO63" s="1"/>
      <c r="ADP63" s="1"/>
      <c r="ADQ63" s="1"/>
      <c r="ADR63" s="1"/>
      <c r="ADS63" s="1"/>
      <c r="ADT63" s="1"/>
      <c r="ADU63" s="1"/>
      <c r="ADV63" s="1"/>
      <c r="ADW63" s="1"/>
      <c r="ADX63" s="1"/>
      <c r="ADY63" s="1"/>
      <c r="ADZ63" s="1"/>
      <c r="AEA63" s="1"/>
      <c r="AEB63" s="1"/>
      <c r="AEC63" s="1"/>
      <c r="AED63" s="1"/>
      <c r="AEE63" s="1"/>
      <c r="AEF63" s="1"/>
      <c r="AEG63" s="1"/>
      <c r="AEH63" s="1"/>
      <c r="AEI63" s="1"/>
      <c r="AEJ63" s="1"/>
      <c r="AEK63" s="1"/>
      <c r="AEL63" s="1"/>
      <c r="AEM63" s="1"/>
      <c r="AEN63" s="1"/>
      <c r="AEO63" s="1"/>
      <c r="AEP63" s="1"/>
      <c r="AEQ63" s="1"/>
      <c r="AER63" s="1"/>
      <c r="AES63" s="1"/>
      <c r="AET63" s="1"/>
      <c r="AEU63" s="1"/>
      <c r="AEV63" s="1"/>
      <c r="AEW63" s="1"/>
      <c r="AEX63" s="1"/>
      <c r="AEY63" s="1"/>
      <c r="AEZ63" s="1"/>
      <c r="AFA63" s="1"/>
      <c r="AFB63" s="1"/>
      <c r="AFC63" s="1"/>
      <c r="AFD63" s="1"/>
      <c r="AFE63" s="1"/>
      <c r="AFF63" s="1"/>
      <c r="AFG63" s="1"/>
      <c r="AFH63" s="1"/>
      <c r="AFI63" s="1"/>
      <c r="AFJ63" s="1"/>
      <c r="AFK63" s="1"/>
      <c r="AFL63" s="1"/>
      <c r="AFM63" s="1"/>
      <c r="AFN63" s="1"/>
      <c r="AFO63" s="1"/>
      <c r="AFP63" s="1"/>
      <c r="AFQ63" s="1"/>
      <c r="AFR63" s="1"/>
      <c r="AFS63" s="1"/>
      <c r="AFT63" s="1"/>
      <c r="AFU63" s="1"/>
      <c r="AFV63" s="1"/>
      <c r="AFW63" s="1"/>
      <c r="AFX63" s="1"/>
      <c r="AFY63" s="1"/>
      <c r="AFZ63" s="1"/>
      <c r="AGA63" s="1"/>
      <c r="AGB63" s="1"/>
      <c r="AGC63" s="1"/>
      <c r="AGD63" s="1"/>
      <c r="AGE63" s="1"/>
      <c r="AGF63" s="1"/>
      <c r="AGG63" s="1"/>
      <c r="AGH63" s="1"/>
      <c r="AGI63" s="1"/>
      <c r="AGJ63" s="1"/>
      <c r="AGK63" s="1"/>
      <c r="AGL63" s="1"/>
      <c r="AGM63" s="1"/>
      <c r="AGN63" s="1"/>
      <c r="AGO63" s="1"/>
      <c r="AGP63" s="1"/>
      <c r="AGQ63" s="1"/>
      <c r="AGR63" s="1"/>
      <c r="AGS63" s="1"/>
      <c r="AGT63" s="1"/>
      <c r="AGU63" s="1"/>
      <c r="AGV63" s="1"/>
      <c r="AGW63" s="1"/>
      <c r="AGX63" s="1"/>
      <c r="AGY63" s="1"/>
      <c r="AGZ63" s="1"/>
      <c r="AHA63" s="1"/>
      <c r="AHB63" s="1"/>
      <c r="AHC63" s="1"/>
      <c r="AHD63" s="1"/>
      <c r="AHE63" s="1"/>
      <c r="AHF63" s="1"/>
      <c r="AHG63" s="1"/>
      <c r="AHH63" s="1"/>
      <c r="AHI63" s="1"/>
      <c r="AHJ63" s="1"/>
      <c r="AHK63" s="1"/>
      <c r="AHL63" s="1"/>
      <c r="AHM63" s="1"/>
      <c r="AHN63" s="1"/>
      <c r="AHO63" s="1"/>
      <c r="AHP63" s="1"/>
      <c r="AHQ63" s="1"/>
      <c r="AHR63" s="1"/>
      <c r="AHS63" s="1"/>
      <c r="AHT63" s="1"/>
      <c r="AHU63" s="1"/>
      <c r="AHV63" s="1"/>
      <c r="AHW63" s="1"/>
      <c r="AHX63" s="1"/>
      <c r="AHY63" s="1"/>
      <c r="AHZ63" s="1"/>
      <c r="AIA63" s="1"/>
      <c r="AIB63" s="1"/>
      <c r="AIC63" s="1"/>
      <c r="AID63" s="1"/>
      <c r="AIE63" s="1"/>
      <c r="AIF63" s="1"/>
      <c r="AIG63" s="1"/>
      <c r="AIH63" s="1"/>
      <c r="AII63" s="1"/>
      <c r="AIJ63" s="1"/>
      <c r="AIK63" s="1"/>
      <c r="AIL63" s="1"/>
      <c r="AIM63" s="1"/>
      <c r="AIN63" s="1"/>
      <c r="AIO63" s="1"/>
      <c r="AIP63" s="1"/>
      <c r="AIQ63" s="1"/>
      <c r="AIR63" s="1"/>
      <c r="AIS63" s="1"/>
      <c r="AIT63" s="1"/>
      <c r="AIU63" s="1"/>
      <c r="AIV63" s="1"/>
      <c r="AIW63" s="1"/>
      <c r="AIX63" s="1"/>
      <c r="AIY63" s="1"/>
      <c r="AIZ63" s="1"/>
      <c r="AJA63" s="1"/>
      <c r="AJB63" s="1"/>
      <c r="AJC63" s="1"/>
      <c r="AJD63" s="1"/>
      <c r="AJE63" s="1"/>
      <c r="AJF63" s="1"/>
      <c r="AJG63" s="1"/>
      <c r="AJH63" s="1"/>
      <c r="AJI63" s="1"/>
      <c r="AJJ63" s="1"/>
      <c r="AJK63" s="1"/>
      <c r="AJL63" s="1"/>
      <c r="AJM63" s="1"/>
      <c r="AJN63" s="1"/>
      <c r="AJO63" s="1"/>
      <c r="AJP63" s="1"/>
      <c r="AJQ63" s="1"/>
      <c r="AJR63" s="1"/>
      <c r="AJS63" s="1"/>
      <c r="AJT63" s="1"/>
      <c r="AJU63" s="1"/>
      <c r="AJV63" s="1"/>
      <c r="AJW63" s="1"/>
      <c r="AJX63" s="1"/>
      <c r="AJY63" s="1"/>
      <c r="AJZ63" s="1"/>
      <c r="AKA63" s="1"/>
      <c r="AKB63" s="1"/>
      <c r="AKC63" s="1"/>
      <c r="AKD63" s="1"/>
      <c r="AKE63" s="1"/>
      <c r="AKF63" s="1"/>
      <c r="AKG63" s="1"/>
      <c r="AKH63" s="1"/>
      <c r="AKI63" s="1"/>
      <c r="AKJ63" s="1"/>
      <c r="AKK63" s="1"/>
      <c r="AKL63" s="1"/>
      <c r="AKM63" s="1"/>
      <c r="AKN63" s="1"/>
      <c r="AKO63" s="1"/>
      <c r="AKP63" s="1"/>
      <c r="AKQ63" s="1"/>
      <c r="AKR63" s="1"/>
      <c r="AKS63" s="1"/>
      <c r="AKT63" s="1"/>
      <c r="AKU63" s="1"/>
      <c r="AKV63" s="1"/>
      <c r="AKW63" s="1"/>
      <c r="AKX63" s="1"/>
      <c r="AKY63" s="1"/>
      <c r="AKZ63" s="1"/>
      <c r="ALA63" s="1"/>
      <c r="ALB63" s="1"/>
      <c r="ALC63" s="1"/>
      <c r="ALD63" s="1"/>
      <c r="ALE63" s="1"/>
      <c r="ALF63" s="1"/>
      <c r="ALG63" s="1"/>
      <c r="ALH63" s="1"/>
      <c r="ALI63" s="1"/>
      <c r="ALJ63" s="1"/>
      <c r="ALK63" s="1"/>
      <c r="ALL63" s="1"/>
      <c r="ALM63" s="1"/>
      <c r="ALN63" s="1"/>
      <c r="ALO63" s="1"/>
      <c r="ALP63" s="1"/>
      <c r="ALQ63" s="1"/>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c r="BOB63" s="1"/>
      <c r="BOC63" s="1"/>
      <c r="BOD63" s="1"/>
      <c r="BOE63" s="1"/>
      <c r="BOF63" s="1"/>
      <c r="BOG63" s="1"/>
      <c r="BOH63" s="1"/>
      <c r="BOI63" s="1"/>
      <c r="BOJ63" s="1"/>
      <c r="BOK63" s="1"/>
      <c r="BOL63" s="1"/>
      <c r="BOM63" s="1"/>
      <c r="BON63" s="1"/>
      <c r="BOO63" s="1"/>
      <c r="BOP63" s="1"/>
      <c r="BOQ63" s="1"/>
      <c r="BOR63" s="1"/>
      <c r="BOS63" s="1"/>
      <c r="BOT63" s="1"/>
      <c r="BOU63" s="1"/>
      <c r="BOV63" s="1"/>
      <c r="BOW63" s="1"/>
      <c r="BOX63" s="1"/>
      <c r="BOY63" s="1"/>
      <c r="BOZ63" s="1"/>
      <c r="BPA63" s="1"/>
      <c r="BPB63" s="1"/>
      <c r="BPC63" s="1"/>
      <c r="BPD63" s="1"/>
      <c r="BPE63" s="1"/>
      <c r="BPF63" s="1"/>
      <c r="BPG63" s="1"/>
      <c r="BPH63" s="1"/>
      <c r="BPI63" s="1"/>
      <c r="BPJ63" s="1"/>
      <c r="BPK63" s="1"/>
      <c r="BPL63" s="1"/>
      <c r="BPM63" s="1"/>
      <c r="BPN63" s="1"/>
      <c r="BPO63" s="1"/>
      <c r="BPP63" s="1"/>
      <c r="BPQ63" s="1"/>
      <c r="BPR63" s="1"/>
      <c r="BPS63" s="1"/>
      <c r="BPT63" s="1"/>
      <c r="BPU63" s="1"/>
      <c r="BPV63" s="1"/>
      <c r="BPW63" s="1"/>
      <c r="BPX63" s="1"/>
      <c r="BPY63" s="1"/>
      <c r="BPZ63" s="1"/>
      <c r="BQA63" s="1"/>
      <c r="BQB63" s="1"/>
      <c r="BQC63" s="1"/>
      <c r="BQD63" s="1"/>
      <c r="BQE63" s="1"/>
      <c r="BQF63" s="1"/>
      <c r="BQG63" s="1"/>
      <c r="BQH63" s="1"/>
      <c r="BQI63" s="1"/>
      <c r="BQJ63" s="1"/>
      <c r="BQK63" s="1"/>
      <c r="BQL63" s="1"/>
      <c r="BQM63" s="1"/>
      <c r="BQN63" s="1"/>
      <c r="BQO63" s="1"/>
      <c r="BQP63" s="1"/>
      <c r="BQQ63" s="1"/>
      <c r="BQR63" s="1"/>
      <c r="BQS63" s="1"/>
      <c r="BQT63" s="1"/>
      <c r="BQU63" s="1"/>
      <c r="BQV63" s="1"/>
      <c r="BQW63" s="1"/>
      <c r="BQX63" s="1"/>
      <c r="BQY63" s="1"/>
      <c r="BQZ63" s="1"/>
      <c r="BRA63" s="1"/>
      <c r="BRB63" s="1"/>
      <c r="BRC63" s="1"/>
      <c r="BRD63" s="1"/>
      <c r="BRE63" s="1"/>
      <c r="BRF63" s="1"/>
      <c r="BRG63" s="1"/>
      <c r="BRH63" s="1"/>
      <c r="BRI63" s="1"/>
      <c r="BRJ63" s="1"/>
      <c r="BRK63" s="1"/>
      <c r="BRL63" s="1"/>
      <c r="BRM63" s="1"/>
      <c r="BRN63" s="1"/>
      <c r="BRO63" s="1"/>
      <c r="BRP63" s="1"/>
      <c r="BRQ63" s="1"/>
      <c r="BRR63" s="1"/>
      <c r="BRS63" s="1"/>
      <c r="BRT63" s="1"/>
      <c r="BRU63" s="1"/>
      <c r="BRV63" s="1"/>
      <c r="BRW63" s="1"/>
      <c r="BRX63" s="1"/>
      <c r="BRY63" s="1"/>
      <c r="BRZ63" s="1"/>
      <c r="BSA63" s="1"/>
      <c r="BSB63" s="1"/>
      <c r="BSC63" s="1"/>
      <c r="BSD63" s="1"/>
      <c r="BSE63" s="1"/>
      <c r="BSF63" s="1"/>
      <c r="BSG63" s="1"/>
      <c r="BSH63" s="1"/>
      <c r="BSI63" s="1"/>
      <c r="BSJ63" s="1"/>
      <c r="BSK63" s="1"/>
      <c r="BSL63" s="1"/>
      <c r="BSM63" s="1"/>
      <c r="BSN63" s="1"/>
      <c r="BSO63" s="1"/>
      <c r="BSP63" s="1"/>
      <c r="BSQ63" s="1"/>
      <c r="BSR63" s="1"/>
      <c r="BSS63" s="1"/>
      <c r="BST63" s="1"/>
      <c r="BSU63" s="1"/>
      <c r="BSV63" s="1"/>
      <c r="BSW63" s="1"/>
      <c r="BSX63" s="1"/>
      <c r="BSY63" s="1"/>
      <c r="BSZ63" s="1"/>
      <c r="BTA63" s="1"/>
      <c r="BTB63" s="1"/>
      <c r="BTC63" s="1"/>
      <c r="BTD63" s="1"/>
      <c r="BTE63" s="1"/>
      <c r="BTF63" s="1"/>
      <c r="BTG63" s="1"/>
      <c r="BTH63" s="1"/>
      <c r="BTI63" s="1"/>
      <c r="BTJ63" s="1"/>
      <c r="BTK63" s="1"/>
      <c r="BTL63" s="1"/>
      <c r="BTM63" s="1"/>
      <c r="BTN63" s="1"/>
      <c r="BTO63" s="1"/>
      <c r="BTP63" s="1"/>
      <c r="BTQ63" s="1"/>
      <c r="BTR63" s="1"/>
      <c r="BTS63" s="1"/>
      <c r="BTT63" s="1"/>
      <c r="BTU63" s="1"/>
      <c r="BTV63" s="1"/>
      <c r="BTW63" s="1"/>
      <c r="BTX63" s="1"/>
      <c r="BTY63" s="1"/>
      <c r="BTZ63" s="1"/>
      <c r="BUA63" s="1"/>
      <c r="BUB63" s="1"/>
      <c r="BUC63" s="1"/>
      <c r="BUD63" s="1"/>
      <c r="BUE63" s="1"/>
      <c r="BUF63" s="1"/>
      <c r="BUG63" s="1"/>
      <c r="BUH63" s="1"/>
      <c r="BUI63" s="1"/>
      <c r="BUJ63" s="1"/>
      <c r="BUK63" s="1"/>
      <c r="BUL63" s="1"/>
      <c r="BUM63" s="1"/>
      <c r="BUN63" s="1"/>
      <c r="BUO63" s="1"/>
      <c r="BUP63" s="1"/>
      <c r="BUQ63" s="1"/>
      <c r="BUR63" s="1"/>
      <c r="BUS63" s="1"/>
      <c r="BUT63" s="1"/>
      <c r="BUU63" s="1"/>
      <c r="BUV63" s="1"/>
      <c r="BUW63" s="1"/>
      <c r="BUX63" s="1"/>
      <c r="BUY63" s="1"/>
      <c r="BUZ63" s="1"/>
      <c r="BVA63" s="1"/>
      <c r="BVB63" s="1"/>
      <c r="BVC63" s="1"/>
      <c r="BVD63" s="1"/>
      <c r="BVE63" s="1"/>
      <c r="BVF63" s="1"/>
      <c r="BVG63" s="1"/>
      <c r="BVH63" s="1"/>
      <c r="BVI63" s="1"/>
      <c r="BVJ63" s="1"/>
      <c r="BVK63" s="1"/>
      <c r="BVL63" s="1"/>
      <c r="BVM63" s="1"/>
      <c r="BVN63" s="1"/>
      <c r="BVO63" s="1"/>
      <c r="BVP63" s="1"/>
      <c r="BVQ63" s="1"/>
      <c r="BVR63" s="1"/>
      <c r="BVS63" s="1"/>
      <c r="BVT63" s="1"/>
      <c r="BVU63" s="1"/>
      <c r="BVV63" s="1"/>
      <c r="BVW63" s="1"/>
      <c r="BVX63" s="1"/>
      <c r="BVY63" s="1"/>
      <c r="BVZ63" s="1"/>
      <c r="BWA63" s="1"/>
      <c r="BWB63" s="1"/>
      <c r="BWC63" s="1"/>
      <c r="BWD63" s="1"/>
      <c r="BWE63" s="1"/>
      <c r="BWF63" s="1"/>
      <c r="BWG63" s="1"/>
      <c r="BWH63" s="1"/>
      <c r="BWI63" s="1"/>
      <c r="BWJ63" s="1"/>
      <c r="BWK63" s="1"/>
      <c r="BWL63" s="1"/>
      <c r="BWM63" s="1"/>
      <c r="BWN63" s="1"/>
      <c r="BWO63" s="1"/>
      <c r="BWP63" s="1"/>
      <c r="BWQ63" s="1"/>
      <c r="BWR63" s="1"/>
      <c r="BWS63" s="1"/>
      <c r="BWT63" s="1"/>
      <c r="BWU63" s="1"/>
      <c r="BWV63" s="1"/>
      <c r="BWW63" s="1"/>
      <c r="BWX63" s="1"/>
      <c r="BWY63" s="1"/>
      <c r="BWZ63" s="1"/>
      <c r="BXA63" s="1"/>
      <c r="BXB63" s="1"/>
      <c r="BXC63" s="1"/>
      <c r="BXD63" s="1"/>
      <c r="BXE63" s="1"/>
      <c r="BXF63" s="1"/>
      <c r="BXG63" s="1"/>
      <c r="BXH63" s="1"/>
      <c r="BXI63" s="1"/>
      <c r="BXJ63" s="1"/>
      <c r="BXK63" s="1"/>
      <c r="BXL63" s="1"/>
      <c r="BXM63" s="1"/>
      <c r="BXN63" s="1"/>
      <c r="BXO63" s="1"/>
      <c r="BXP63" s="1"/>
      <c r="BXQ63" s="1"/>
      <c r="BXR63" s="1"/>
      <c r="BXS63" s="1"/>
      <c r="BXT63" s="1"/>
      <c r="BXU63" s="1"/>
      <c r="BXV63" s="1"/>
      <c r="BXW63" s="1"/>
      <c r="BXX63" s="1"/>
      <c r="BXY63" s="1"/>
      <c r="BXZ63" s="1"/>
      <c r="BYA63" s="1"/>
      <c r="BYB63" s="1"/>
      <c r="BYC63" s="1"/>
      <c r="BYD63" s="1"/>
      <c r="BYE63" s="1"/>
      <c r="BYF63" s="1"/>
      <c r="BYG63" s="1"/>
      <c r="BYH63" s="1"/>
      <c r="BYI63" s="1"/>
      <c r="BYJ63" s="1"/>
      <c r="BYK63" s="1"/>
      <c r="BYL63" s="1"/>
      <c r="BYM63" s="1"/>
      <c r="BYN63" s="1"/>
      <c r="BYO63" s="1"/>
      <c r="BYP63" s="1"/>
      <c r="BYQ63" s="1"/>
      <c r="BYR63" s="1"/>
      <c r="BYS63" s="1"/>
      <c r="BYT63" s="1"/>
      <c r="BYU63" s="1"/>
      <c r="BYV63" s="1"/>
      <c r="BYW63" s="1"/>
      <c r="BYX63" s="1"/>
      <c r="BYY63" s="1"/>
      <c r="BYZ63" s="1"/>
      <c r="BZA63" s="1"/>
      <c r="BZB63" s="1"/>
      <c r="BZC63" s="1"/>
      <c r="BZD63" s="1"/>
      <c r="BZE63" s="1"/>
      <c r="BZF63" s="1"/>
      <c r="BZG63" s="1"/>
      <c r="BZH63" s="1"/>
      <c r="BZI63" s="1"/>
      <c r="BZJ63" s="1"/>
      <c r="BZK63" s="1"/>
      <c r="BZL63" s="1"/>
      <c r="BZM63" s="1"/>
      <c r="BZN63" s="1"/>
      <c r="BZO63" s="1"/>
      <c r="BZP63" s="1"/>
      <c r="BZQ63" s="1"/>
      <c r="BZR63" s="1"/>
      <c r="BZS63" s="1"/>
      <c r="BZT63" s="1"/>
      <c r="BZU63" s="1"/>
      <c r="BZV63" s="1"/>
      <c r="BZW63" s="1"/>
      <c r="BZX63" s="1"/>
      <c r="BZY63" s="1"/>
      <c r="BZZ63" s="1"/>
      <c r="CAA63" s="1"/>
      <c r="CAB63" s="1"/>
      <c r="CAC63" s="1"/>
      <c r="CAD63" s="1"/>
      <c r="CAE63" s="1"/>
      <c r="CAF63" s="1"/>
      <c r="CAG63" s="1"/>
      <c r="CAH63" s="1"/>
      <c r="CAI63" s="1"/>
      <c r="CAJ63" s="1"/>
      <c r="CAK63" s="1"/>
      <c r="CAL63" s="1"/>
      <c r="CAM63" s="1"/>
      <c r="CAN63" s="1"/>
      <c r="CAO63" s="1"/>
      <c r="CAP63" s="1"/>
      <c r="CAQ63" s="1"/>
      <c r="CAR63" s="1"/>
      <c r="CAS63" s="1"/>
      <c r="CAT63" s="1"/>
      <c r="CAU63" s="1"/>
      <c r="CAV63" s="1"/>
      <c r="CAW63" s="1"/>
      <c r="CAX63" s="1"/>
      <c r="CAY63" s="1"/>
      <c r="CAZ63" s="1"/>
      <c r="CBA63" s="1"/>
      <c r="CBB63" s="1"/>
      <c r="CBC63" s="1"/>
      <c r="CBD63" s="1"/>
      <c r="CBE63" s="1"/>
      <c r="CBF63" s="1"/>
      <c r="CBG63" s="1"/>
      <c r="CBH63" s="1"/>
      <c r="CBI63" s="1"/>
      <c r="CBJ63" s="1"/>
      <c r="CBK63" s="1"/>
      <c r="CBL63" s="1"/>
      <c r="CBM63" s="1"/>
      <c r="CBN63" s="1"/>
      <c r="CBO63" s="1"/>
      <c r="CBP63" s="1"/>
      <c r="CBQ63" s="1"/>
      <c r="CBR63" s="1"/>
      <c r="CBS63" s="1"/>
      <c r="CBT63" s="1"/>
      <c r="CBU63" s="1"/>
      <c r="CBV63" s="1"/>
      <c r="CBW63" s="1"/>
      <c r="CBX63" s="1"/>
      <c r="CBY63" s="1"/>
      <c r="CBZ63" s="1"/>
      <c r="CCA63" s="1"/>
      <c r="CCB63" s="1"/>
      <c r="CCC63" s="1"/>
      <c r="CCD63" s="1"/>
      <c r="CCE63" s="1"/>
      <c r="CCF63" s="1"/>
      <c r="CCG63" s="1"/>
      <c r="CCH63" s="1"/>
      <c r="CCI63" s="1"/>
      <c r="CCJ63" s="1"/>
      <c r="CCK63" s="1"/>
      <c r="CCL63" s="1"/>
      <c r="CCM63" s="1"/>
      <c r="CCN63" s="1"/>
      <c r="CCO63" s="1"/>
      <c r="CCP63" s="1"/>
      <c r="CCQ63" s="1"/>
      <c r="CCR63" s="1"/>
      <c r="CCS63" s="1"/>
      <c r="CCT63" s="1"/>
      <c r="CCU63" s="1"/>
      <c r="CCV63" s="1"/>
      <c r="CCW63" s="1"/>
      <c r="CCX63" s="1"/>
      <c r="CCY63" s="1"/>
      <c r="CCZ63" s="1"/>
      <c r="CDA63" s="1"/>
      <c r="CDB63" s="1"/>
      <c r="CDC63" s="1"/>
      <c r="CDD63" s="1"/>
      <c r="CDE63" s="1"/>
      <c r="CDF63" s="1"/>
      <c r="CDG63" s="1"/>
      <c r="CDH63" s="1"/>
      <c r="CDI63" s="1"/>
      <c r="CDJ63" s="1"/>
      <c r="CDK63" s="1"/>
      <c r="CDL63" s="1"/>
      <c r="CDM63" s="1"/>
      <c r="CDN63" s="1"/>
      <c r="CDO63" s="1"/>
      <c r="CDP63" s="1"/>
      <c r="CDQ63" s="1"/>
      <c r="CDR63" s="1"/>
      <c r="CDS63" s="1"/>
      <c r="CDT63" s="1"/>
      <c r="CDU63" s="1"/>
      <c r="CDV63" s="1"/>
      <c r="CDW63" s="1"/>
      <c r="CDX63" s="1"/>
      <c r="CDY63" s="1"/>
      <c r="CDZ63" s="1"/>
      <c r="CEA63" s="1"/>
      <c r="CEB63" s="1"/>
      <c r="CEC63" s="1"/>
      <c r="CED63" s="1"/>
      <c r="CEE63" s="1"/>
      <c r="CEF63" s="1"/>
      <c r="CEG63" s="1"/>
      <c r="CEH63" s="1"/>
      <c r="CEI63" s="1"/>
      <c r="CEJ63" s="1"/>
      <c r="CEK63" s="1"/>
      <c r="CEL63" s="1"/>
      <c r="CEM63" s="1"/>
      <c r="CEN63" s="1"/>
      <c r="CEO63" s="1"/>
      <c r="CEP63" s="1"/>
      <c r="CEQ63" s="1"/>
      <c r="CER63" s="1"/>
      <c r="CES63" s="1"/>
      <c r="CET63" s="1"/>
      <c r="CEU63" s="1"/>
      <c r="CEV63" s="1"/>
      <c r="CEW63" s="1"/>
      <c r="CEX63" s="1"/>
      <c r="CEY63" s="1"/>
      <c r="CEZ63" s="1"/>
      <c r="CFA63" s="1"/>
      <c r="CFB63" s="1"/>
      <c r="CFC63" s="1"/>
      <c r="CFD63" s="1"/>
      <c r="CFE63" s="1"/>
      <c r="CFF63" s="1"/>
      <c r="CFG63" s="1"/>
      <c r="CFH63" s="1"/>
      <c r="CFI63" s="1"/>
      <c r="CFJ63" s="1"/>
      <c r="CFK63" s="1"/>
      <c r="CFL63" s="1"/>
      <c r="CFM63" s="1"/>
      <c r="CFN63" s="1"/>
      <c r="CFO63" s="1"/>
      <c r="CFP63" s="1"/>
      <c r="CFQ63" s="1"/>
      <c r="CFR63" s="1"/>
      <c r="CFS63" s="1"/>
      <c r="CFT63" s="1"/>
      <c r="CFU63" s="1"/>
      <c r="CFV63" s="1"/>
      <c r="CFW63" s="1"/>
      <c r="CFX63" s="1"/>
      <c r="CFY63" s="1"/>
      <c r="CFZ63" s="1"/>
      <c r="CGA63" s="1"/>
      <c r="CGB63" s="1"/>
      <c r="CGC63" s="1"/>
      <c r="CGD63" s="1"/>
      <c r="CGE63" s="1"/>
      <c r="CGF63" s="1"/>
      <c r="CGG63" s="1"/>
      <c r="CGH63" s="1"/>
      <c r="CGI63" s="1"/>
      <c r="CGJ63" s="1"/>
      <c r="CGK63" s="1"/>
      <c r="CGL63" s="1"/>
      <c r="CGM63" s="1"/>
      <c r="CGN63" s="1"/>
      <c r="CGO63" s="1"/>
      <c r="CGP63" s="1"/>
      <c r="CGQ63" s="1"/>
      <c r="CGR63" s="1"/>
      <c r="CGS63" s="1"/>
      <c r="CGT63" s="1"/>
      <c r="CGU63" s="1"/>
      <c r="CGV63" s="1"/>
      <c r="CGW63" s="1"/>
      <c r="CGX63" s="1"/>
      <c r="CGY63" s="1"/>
      <c r="CGZ63" s="1"/>
      <c r="CHA63" s="1"/>
      <c r="CHB63" s="1"/>
      <c r="CHC63" s="1"/>
      <c r="CHD63" s="1"/>
      <c r="CHE63" s="1"/>
      <c r="CHF63" s="1"/>
      <c r="CHG63" s="1"/>
      <c r="CHH63" s="1"/>
      <c r="CHI63" s="1"/>
      <c r="CHJ63" s="1"/>
      <c r="CHK63" s="1"/>
      <c r="CHL63" s="1"/>
      <c r="CHM63" s="1"/>
      <c r="CHN63" s="1"/>
      <c r="CHO63" s="1"/>
      <c r="CHP63" s="1"/>
      <c r="CHQ63" s="1"/>
      <c r="CHR63" s="1"/>
      <c r="CHS63" s="1"/>
      <c r="CHT63" s="1"/>
      <c r="CHU63" s="1"/>
      <c r="CHV63" s="1"/>
      <c r="CHW63" s="1"/>
      <c r="CHX63" s="1"/>
      <c r="CHY63" s="1"/>
      <c r="CHZ63" s="1"/>
      <c r="CIA63" s="1"/>
      <c r="CIB63" s="1"/>
      <c r="CIC63" s="1"/>
      <c r="CID63" s="1"/>
      <c r="CIE63" s="1"/>
      <c r="CIF63" s="1"/>
      <c r="CIG63" s="1"/>
      <c r="CIH63" s="1"/>
      <c r="CII63" s="1"/>
      <c r="CIJ63" s="1"/>
      <c r="CIK63" s="1"/>
      <c r="CIL63" s="1"/>
      <c r="CIM63" s="1"/>
      <c r="CIN63" s="1"/>
      <c r="CIO63" s="1"/>
      <c r="CIP63" s="1"/>
      <c r="CIQ63" s="1"/>
      <c r="CIR63" s="1"/>
      <c r="CIS63" s="1"/>
      <c r="CIT63" s="1"/>
      <c r="CIU63" s="1"/>
      <c r="CIV63" s="1"/>
      <c r="CIW63" s="1"/>
      <c r="CIX63" s="1"/>
      <c r="CIY63" s="1"/>
      <c r="CIZ63" s="1"/>
      <c r="CJA63" s="1"/>
      <c r="CJB63" s="1"/>
      <c r="CJC63" s="1"/>
      <c r="CJD63" s="1"/>
      <c r="CJE63" s="1"/>
      <c r="CJF63" s="1"/>
      <c r="CJG63" s="1"/>
      <c r="CJH63" s="1"/>
      <c r="CJI63" s="1"/>
      <c r="CJJ63" s="1"/>
      <c r="CJK63" s="1"/>
      <c r="CJL63" s="1"/>
      <c r="CJM63" s="1"/>
      <c r="CJN63" s="1"/>
      <c r="CJO63" s="1"/>
      <c r="CJP63" s="1"/>
      <c r="CJQ63" s="1"/>
      <c r="CJR63" s="1"/>
      <c r="CJS63" s="1"/>
      <c r="CJT63" s="1"/>
      <c r="CJU63" s="1"/>
      <c r="CJV63" s="1"/>
      <c r="CJW63" s="1"/>
      <c r="CJX63" s="1"/>
      <c r="CJY63" s="1"/>
      <c r="CJZ63" s="1"/>
      <c r="CKA63" s="1"/>
      <c r="CKB63" s="1"/>
      <c r="CKC63" s="1"/>
      <c r="CKD63" s="1"/>
      <c r="CKE63" s="1"/>
      <c r="CKF63" s="1"/>
      <c r="CKG63" s="1"/>
      <c r="CKH63" s="1"/>
      <c r="CKI63" s="1"/>
      <c r="CKJ63" s="1"/>
      <c r="CKK63" s="1"/>
      <c r="CKL63" s="1"/>
      <c r="CKM63" s="1"/>
      <c r="CKN63" s="1"/>
      <c r="CKO63" s="1"/>
      <c r="CKP63" s="1"/>
      <c r="CKQ63" s="1"/>
      <c r="CKR63" s="1"/>
      <c r="CKS63" s="1"/>
      <c r="CKT63" s="1"/>
      <c r="CKU63" s="1"/>
      <c r="CKV63" s="1"/>
      <c r="CKW63" s="1"/>
      <c r="CKX63" s="1"/>
      <c r="CKY63" s="1"/>
      <c r="CKZ63" s="1"/>
      <c r="CLA63" s="1"/>
      <c r="CLB63" s="1"/>
      <c r="CLC63" s="1"/>
      <c r="CLD63" s="1"/>
      <c r="CLE63" s="1"/>
      <c r="CLF63" s="1"/>
      <c r="CLG63" s="1"/>
      <c r="CLH63" s="1"/>
      <c r="CLI63" s="1"/>
      <c r="CLJ63" s="1"/>
      <c r="CLK63" s="1"/>
      <c r="CLL63" s="1"/>
      <c r="CLM63" s="1"/>
      <c r="CLN63" s="1"/>
      <c r="CLO63" s="1"/>
      <c r="CLP63" s="1"/>
      <c r="CLQ63" s="1"/>
      <c r="CLR63" s="1"/>
      <c r="CLS63" s="1"/>
      <c r="CLT63" s="1"/>
      <c r="CLU63" s="1"/>
      <c r="CLV63" s="1"/>
      <c r="CLW63" s="1"/>
      <c r="CLX63" s="1"/>
      <c r="CLY63" s="1"/>
      <c r="CLZ63" s="1"/>
      <c r="CMA63" s="1"/>
      <c r="CMB63" s="1"/>
      <c r="CMC63" s="1"/>
      <c r="CMD63" s="1"/>
      <c r="CME63" s="1"/>
      <c r="CMF63" s="1"/>
      <c r="CMG63" s="1"/>
      <c r="CMH63" s="1"/>
      <c r="CMI63" s="1"/>
      <c r="CMJ63" s="1"/>
      <c r="CMK63" s="1"/>
      <c r="CML63" s="1"/>
      <c r="CMM63" s="1"/>
      <c r="CMN63" s="1"/>
      <c r="CMO63" s="1"/>
      <c r="CMP63" s="1"/>
      <c r="CMQ63" s="1"/>
      <c r="CMR63" s="1"/>
      <c r="CMS63" s="1"/>
      <c r="CMT63" s="1"/>
      <c r="CMU63" s="1"/>
      <c r="CMV63" s="1"/>
      <c r="CMW63" s="1"/>
      <c r="CMX63" s="1"/>
      <c r="CMY63" s="1"/>
      <c r="CMZ63" s="1"/>
      <c r="CNA63" s="1"/>
      <c r="CNB63" s="1"/>
      <c r="CNC63" s="1"/>
      <c r="CND63" s="1"/>
      <c r="CNE63" s="1"/>
      <c r="CNF63" s="1"/>
      <c r="CNG63" s="1"/>
      <c r="CNH63" s="1"/>
      <c r="CNI63" s="1"/>
      <c r="CNJ63" s="1"/>
      <c r="CNK63" s="1"/>
      <c r="CNL63" s="1"/>
      <c r="CNM63" s="1"/>
      <c r="CNN63" s="1"/>
      <c r="CNO63" s="1"/>
      <c r="CNP63" s="1"/>
      <c r="CNQ63" s="1"/>
      <c r="CNR63" s="1"/>
      <c r="CNS63" s="1"/>
      <c r="CNT63" s="1"/>
      <c r="CNU63" s="1"/>
      <c r="CNV63" s="1"/>
      <c r="CNW63" s="1"/>
      <c r="CNX63" s="1"/>
      <c r="CNY63" s="1"/>
      <c r="CNZ63" s="1"/>
      <c r="COA63" s="1"/>
      <c r="COB63" s="1"/>
      <c r="COC63" s="1"/>
      <c r="COD63" s="1"/>
      <c r="COE63" s="1"/>
      <c r="COF63" s="1"/>
      <c r="COG63" s="1"/>
      <c r="COH63" s="1"/>
      <c r="COI63" s="1"/>
      <c r="COJ63" s="1"/>
      <c r="COK63" s="1"/>
      <c r="COL63" s="1"/>
      <c r="COM63" s="1"/>
      <c r="CON63" s="1"/>
      <c r="COO63" s="1"/>
      <c r="COP63" s="1"/>
      <c r="COQ63" s="1"/>
      <c r="COR63" s="1"/>
      <c r="COS63" s="1"/>
      <c r="COT63" s="1"/>
      <c r="COU63" s="1"/>
      <c r="COV63" s="1"/>
      <c r="COW63" s="1"/>
      <c r="COX63" s="1"/>
      <c r="COY63" s="1"/>
      <c r="COZ63" s="1"/>
      <c r="CPA63" s="1"/>
      <c r="CPB63" s="1"/>
      <c r="CPC63" s="1"/>
      <c r="CPD63" s="1"/>
      <c r="CPE63" s="1"/>
      <c r="CPF63" s="1"/>
      <c r="CPG63" s="1"/>
      <c r="CPH63" s="1"/>
      <c r="CPI63" s="1"/>
      <c r="CPJ63" s="1"/>
      <c r="CPK63" s="1"/>
      <c r="CPL63" s="1"/>
      <c r="CPM63" s="1"/>
      <c r="CPN63" s="1"/>
      <c r="CPO63" s="1"/>
      <c r="CPP63" s="1"/>
      <c r="CPQ63" s="1"/>
      <c r="CPR63" s="1"/>
      <c r="CPS63" s="1"/>
      <c r="CPT63" s="1"/>
      <c r="CPU63" s="1"/>
      <c r="CPV63" s="1"/>
      <c r="CPW63" s="1"/>
      <c r="CPX63" s="1"/>
      <c r="CPY63" s="1"/>
      <c r="CPZ63" s="1"/>
      <c r="CQA63" s="1"/>
      <c r="CQB63" s="1"/>
      <c r="CQC63" s="1"/>
      <c r="CQD63" s="1"/>
      <c r="CQE63" s="1"/>
      <c r="CQF63" s="1"/>
      <c r="CQG63" s="1"/>
      <c r="CQH63" s="1"/>
      <c r="CQI63" s="1"/>
      <c r="CQJ63" s="1"/>
      <c r="CQK63" s="1"/>
      <c r="CQL63" s="1"/>
      <c r="CQM63" s="1"/>
      <c r="CQN63" s="1"/>
      <c r="CQO63" s="1"/>
      <c r="CQP63" s="1"/>
      <c r="CQQ63" s="1"/>
      <c r="CQR63" s="1"/>
      <c r="CQS63" s="1"/>
      <c r="CQT63" s="1"/>
      <c r="CQU63" s="1"/>
      <c r="CQV63" s="1"/>
      <c r="CQW63" s="1"/>
      <c r="CQX63" s="1"/>
      <c r="CQY63" s="1"/>
      <c r="CQZ63" s="1"/>
      <c r="CRA63" s="1"/>
      <c r="CRB63" s="1"/>
      <c r="CRC63" s="1"/>
      <c r="CRD63" s="1"/>
      <c r="CRE63" s="1"/>
      <c r="CRF63" s="1"/>
      <c r="CRG63" s="1"/>
      <c r="CRH63" s="1"/>
      <c r="CRI63" s="1"/>
      <c r="CRJ63" s="1"/>
      <c r="CRK63" s="1"/>
      <c r="CRL63" s="1"/>
      <c r="CRM63" s="1"/>
      <c r="CRN63" s="1"/>
      <c r="CRO63" s="1"/>
      <c r="CRP63" s="1"/>
      <c r="CRQ63" s="1"/>
      <c r="CRR63" s="1"/>
      <c r="CRS63" s="1"/>
      <c r="CRT63" s="1"/>
      <c r="CRU63" s="1"/>
      <c r="CRV63" s="1"/>
      <c r="CRW63" s="1"/>
      <c r="CRX63" s="1"/>
      <c r="CRY63" s="1"/>
      <c r="CRZ63" s="1"/>
      <c r="CSA63" s="1"/>
      <c r="CSB63" s="1"/>
      <c r="CSC63" s="1"/>
      <c r="CSD63" s="1"/>
      <c r="CSE63" s="1"/>
      <c r="CSF63" s="1"/>
      <c r="CSG63" s="1"/>
      <c r="CSH63" s="1"/>
      <c r="CSI63" s="1"/>
      <c r="CSJ63" s="1"/>
      <c r="CSK63" s="1"/>
      <c r="CSL63" s="1"/>
      <c r="CSM63" s="1"/>
      <c r="CSN63" s="1"/>
      <c r="CSO63" s="1"/>
      <c r="CSP63" s="1"/>
      <c r="CSQ63" s="1"/>
      <c r="CSR63" s="1"/>
      <c r="CSS63" s="1"/>
      <c r="CST63" s="1"/>
      <c r="CSU63" s="1"/>
      <c r="CSV63" s="1"/>
      <c r="CSW63" s="1"/>
      <c r="CSX63" s="1"/>
      <c r="CSY63" s="1"/>
      <c r="CSZ63" s="1"/>
      <c r="CTA63" s="1"/>
      <c r="CTB63" s="1"/>
      <c r="CTC63" s="1"/>
      <c r="CTD63" s="1"/>
      <c r="CTE63" s="1"/>
      <c r="CTF63" s="1"/>
      <c r="CTG63" s="1"/>
      <c r="CTH63" s="1"/>
      <c r="CTI63" s="1"/>
      <c r="CTJ63" s="1"/>
      <c r="CTK63" s="1"/>
      <c r="CTL63" s="1"/>
      <c r="CTM63" s="1"/>
      <c r="CTN63" s="1"/>
      <c r="CTO63" s="1"/>
      <c r="CTP63" s="1"/>
      <c r="CTQ63" s="1"/>
      <c r="CTR63" s="1"/>
      <c r="CTS63" s="1"/>
      <c r="CTT63" s="1"/>
      <c r="CTU63" s="1"/>
      <c r="CTV63" s="1"/>
      <c r="CTW63" s="1"/>
      <c r="CTX63" s="1"/>
      <c r="CTY63" s="1"/>
      <c r="CTZ63" s="1"/>
      <c r="CUA63" s="1"/>
      <c r="CUB63" s="1"/>
      <c r="CUC63" s="1"/>
      <c r="CUD63" s="1"/>
      <c r="CUE63" s="1"/>
      <c r="CUF63" s="1"/>
      <c r="CUG63" s="1"/>
      <c r="CUH63" s="1"/>
      <c r="CUI63" s="1"/>
      <c r="CUJ63" s="1"/>
      <c r="CUK63" s="1"/>
      <c r="CUL63" s="1"/>
      <c r="CUM63" s="1"/>
      <c r="CUN63" s="1"/>
      <c r="CUO63" s="1"/>
      <c r="CUP63" s="1"/>
      <c r="CUQ63" s="1"/>
      <c r="CUR63" s="1"/>
      <c r="CUS63" s="1"/>
      <c r="CUT63" s="1"/>
      <c r="CUU63" s="1"/>
      <c r="CUV63" s="1"/>
      <c r="CUW63" s="1"/>
      <c r="CUX63" s="1"/>
      <c r="CUY63" s="1"/>
      <c r="CUZ63" s="1"/>
      <c r="CVA63" s="1"/>
      <c r="CVB63" s="1"/>
      <c r="CVC63" s="1"/>
      <c r="CVD63" s="1"/>
      <c r="CVE63" s="1"/>
      <c r="CVF63" s="1"/>
      <c r="CVG63" s="1"/>
      <c r="CVH63" s="1"/>
      <c r="CVI63" s="1"/>
      <c r="CVJ63" s="1"/>
      <c r="CVK63" s="1"/>
      <c r="CVL63" s="1"/>
      <c r="CVM63" s="1"/>
      <c r="CVN63" s="1"/>
      <c r="CVO63" s="1"/>
      <c r="CVP63" s="1"/>
      <c r="CVQ63" s="1"/>
      <c r="CVR63" s="1"/>
      <c r="CVS63" s="1"/>
      <c r="CVT63" s="1"/>
      <c r="CVU63" s="1"/>
      <c r="CVV63" s="1"/>
      <c r="CVW63" s="1"/>
      <c r="CVX63" s="1"/>
      <c r="CVY63" s="1"/>
      <c r="CVZ63" s="1"/>
      <c r="CWA63" s="1"/>
      <c r="CWB63" s="1"/>
      <c r="CWC63" s="1"/>
      <c r="CWD63" s="1"/>
      <c r="CWE63" s="1"/>
      <c r="CWF63" s="1"/>
      <c r="CWG63" s="1"/>
      <c r="CWH63" s="1"/>
      <c r="CWI63" s="1"/>
      <c r="CWJ63" s="1"/>
      <c r="CWK63" s="1"/>
      <c r="CWL63" s="1"/>
      <c r="CWM63" s="1"/>
      <c r="CWN63" s="1"/>
      <c r="CWO63" s="1"/>
      <c r="CWP63" s="1"/>
      <c r="CWQ63" s="1"/>
      <c r="CWR63" s="1"/>
      <c r="CWS63" s="1"/>
      <c r="CWT63" s="1"/>
      <c r="CWU63" s="1"/>
      <c r="CWV63" s="1"/>
      <c r="CWW63" s="1"/>
      <c r="CWX63" s="1"/>
      <c r="CWY63" s="1"/>
      <c r="CWZ63" s="1"/>
      <c r="CXA63" s="1"/>
      <c r="CXB63" s="1"/>
      <c r="CXC63" s="1"/>
      <c r="CXD63" s="1"/>
      <c r="CXE63" s="1"/>
      <c r="CXF63" s="1"/>
      <c r="CXG63" s="1"/>
      <c r="CXH63" s="1"/>
      <c r="CXI63" s="1"/>
      <c r="CXJ63" s="1"/>
      <c r="CXK63" s="1"/>
      <c r="CXL63" s="1"/>
      <c r="CXM63" s="1"/>
      <c r="CXN63" s="1"/>
      <c r="CXO63" s="1"/>
      <c r="CXP63" s="1"/>
      <c r="CXQ63" s="1"/>
      <c r="CXR63" s="1"/>
      <c r="CXS63" s="1"/>
      <c r="CXT63" s="1"/>
      <c r="CXU63" s="1"/>
      <c r="CXV63" s="1"/>
      <c r="CXW63" s="1"/>
      <c r="CXX63" s="1"/>
      <c r="CXY63" s="1"/>
      <c r="CXZ63" s="1"/>
      <c r="CYA63" s="1"/>
      <c r="CYB63" s="1"/>
      <c r="CYC63" s="1"/>
      <c r="CYD63" s="1"/>
      <c r="CYE63" s="1"/>
      <c r="CYF63" s="1"/>
      <c r="CYG63" s="1"/>
      <c r="CYH63" s="1"/>
      <c r="CYI63" s="1"/>
      <c r="CYJ63" s="1"/>
      <c r="CYK63" s="1"/>
      <c r="CYL63" s="1"/>
      <c r="CYM63" s="1"/>
      <c r="CYN63" s="1"/>
      <c r="CYO63" s="1"/>
      <c r="CYP63" s="1"/>
      <c r="CYQ63" s="1"/>
      <c r="CYR63" s="1"/>
      <c r="CYS63" s="1"/>
      <c r="CYT63" s="1"/>
      <c r="CYU63" s="1"/>
      <c r="CYV63" s="1"/>
      <c r="CYW63" s="1"/>
      <c r="CYX63" s="1"/>
      <c r="CYY63" s="1"/>
      <c r="CYZ63" s="1"/>
      <c r="CZA63" s="1"/>
      <c r="CZB63" s="1"/>
      <c r="CZC63" s="1"/>
      <c r="CZD63" s="1"/>
      <c r="CZE63" s="1"/>
      <c r="CZF63" s="1"/>
      <c r="CZG63" s="1"/>
      <c r="CZH63" s="1"/>
      <c r="CZI63" s="1"/>
      <c r="CZJ63" s="1"/>
      <c r="CZK63" s="1"/>
      <c r="CZL63" s="1"/>
      <c r="CZM63" s="1"/>
      <c r="CZN63" s="1"/>
      <c r="CZO63" s="1"/>
      <c r="CZP63" s="1"/>
      <c r="CZQ63" s="1"/>
      <c r="CZR63" s="1"/>
      <c r="CZS63" s="1"/>
      <c r="CZT63" s="1"/>
      <c r="CZU63" s="1"/>
      <c r="CZV63" s="1"/>
      <c r="CZW63" s="1"/>
      <c r="CZX63" s="1"/>
      <c r="CZY63" s="1"/>
      <c r="CZZ63" s="1"/>
      <c r="DAA63" s="1"/>
      <c r="DAB63" s="1"/>
      <c r="DAC63" s="1"/>
      <c r="DAD63" s="1"/>
      <c r="DAE63" s="1"/>
      <c r="DAF63" s="1"/>
      <c r="DAG63" s="1"/>
      <c r="DAH63" s="1"/>
      <c r="DAI63" s="1"/>
      <c r="DAJ63" s="1"/>
      <c r="DAK63" s="1"/>
      <c r="DAL63" s="1"/>
      <c r="DAM63" s="1"/>
      <c r="DAN63" s="1"/>
      <c r="DAO63" s="1"/>
      <c r="DAP63" s="1"/>
      <c r="DAQ63" s="1"/>
      <c r="DAR63" s="1"/>
      <c r="DAS63" s="1"/>
      <c r="DAT63" s="1"/>
      <c r="DAU63" s="1"/>
      <c r="DAV63" s="1"/>
      <c r="DAW63" s="1"/>
      <c r="DAX63" s="1"/>
      <c r="DAY63" s="1"/>
      <c r="DAZ63" s="1"/>
      <c r="DBA63" s="1"/>
      <c r="DBB63" s="1"/>
      <c r="DBC63" s="1"/>
      <c r="DBD63" s="1"/>
      <c r="DBE63" s="1"/>
      <c r="DBF63" s="1"/>
      <c r="DBG63" s="1"/>
      <c r="DBH63" s="1"/>
      <c r="DBI63" s="1"/>
      <c r="DBJ63" s="1"/>
      <c r="DBK63" s="1"/>
      <c r="DBL63" s="1"/>
      <c r="DBM63" s="1"/>
      <c r="DBN63" s="1"/>
      <c r="DBO63" s="1"/>
      <c r="DBP63" s="1"/>
      <c r="DBQ63" s="1"/>
      <c r="DBR63" s="1"/>
      <c r="DBS63" s="1"/>
      <c r="DBT63" s="1"/>
      <c r="DBU63" s="1"/>
      <c r="DBV63" s="1"/>
      <c r="DBW63" s="1"/>
      <c r="DBX63" s="1"/>
      <c r="DBY63" s="1"/>
      <c r="DBZ63" s="1"/>
      <c r="DCA63" s="1"/>
      <c r="DCB63" s="1"/>
      <c r="DCC63" s="1"/>
      <c r="DCD63" s="1"/>
      <c r="DCE63" s="1"/>
      <c r="DCF63" s="1"/>
      <c r="DCG63" s="1"/>
      <c r="DCH63" s="1"/>
      <c r="DCI63" s="1"/>
      <c r="DCJ63" s="1"/>
      <c r="DCK63" s="1"/>
      <c r="DCL63" s="1"/>
      <c r="DCM63" s="1"/>
      <c r="DCN63" s="1"/>
      <c r="DCO63" s="1"/>
      <c r="DCP63" s="1"/>
      <c r="DCQ63" s="1"/>
      <c r="DCR63" s="1"/>
      <c r="DCS63" s="1"/>
      <c r="DCT63" s="1"/>
      <c r="DCU63" s="1"/>
      <c r="DCV63" s="1"/>
      <c r="DCW63" s="1"/>
      <c r="DCX63" s="1"/>
      <c r="DCY63" s="1"/>
      <c r="DCZ63" s="1"/>
      <c r="DDA63" s="1"/>
      <c r="DDB63" s="1"/>
      <c r="DDC63" s="1"/>
      <c r="DDD63" s="1"/>
      <c r="DDE63" s="1"/>
      <c r="DDF63" s="1"/>
      <c r="DDG63" s="1"/>
      <c r="DDH63" s="1"/>
      <c r="DDI63" s="1"/>
      <c r="DDJ63" s="1"/>
      <c r="DDK63" s="1"/>
      <c r="DDL63" s="1"/>
      <c r="DDM63" s="1"/>
      <c r="DDN63" s="1"/>
      <c r="DDO63" s="1"/>
      <c r="DDP63" s="1"/>
      <c r="DDQ63" s="1"/>
      <c r="DDR63" s="1"/>
      <c r="DDS63" s="1"/>
      <c r="DDT63" s="1"/>
      <c r="DDU63" s="1"/>
      <c r="DDV63" s="1"/>
      <c r="DDW63" s="1"/>
      <c r="DDX63" s="1"/>
      <c r="DDY63" s="1"/>
      <c r="DDZ63" s="1"/>
      <c r="DEA63" s="1"/>
      <c r="DEB63" s="1"/>
      <c r="DEC63" s="1"/>
      <c r="DED63" s="1"/>
      <c r="DEE63" s="1"/>
      <c r="DEF63" s="1"/>
      <c r="DEG63" s="1"/>
      <c r="DEH63" s="1"/>
      <c r="DEI63" s="1"/>
      <c r="DEJ63" s="1"/>
      <c r="DEK63" s="1"/>
      <c r="DEL63" s="1"/>
      <c r="DEM63" s="1"/>
      <c r="DEN63" s="1"/>
      <c r="DEO63" s="1"/>
      <c r="DEP63" s="1"/>
      <c r="DEQ63" s="1"/>
      <c r="DER63" s="1"/>
      <c r="DES63" s="1"/>
      <c r="DET63" s="1"/>
      <c r="DEU63" s="1"/>
      <c r="DEV63" s="1"/>
      <c r="DEW63" s="1"/>
      <c r="DEX63" s="1"/>
      <c r="DEY63" s="1"/>
      <c r="DEZ63" s="1"/>
      <c r="DFA63" s="1"/>
      <c r="DFB63" s="1"/>
      <c r="DFC63" s="1"/>
      <c r="DFD63" s="1"/>
      <c r="DFE63" s="1"/>
      <c r="DFF63" s="1"/>
      <c r="DFG63" s="1"/>
      <c r="DFH63" s="1"/>
      <c r="DFI63" s="1"/>
      <c r="DFJ63" s="1"/>
      <c r="DFK63" s="1"/>
      <c r="DFL63" s="1"/>
      <c r="DFM63" s="1"/>
      <c r="DFN63" s="1"/>
      <c r="DFO63" s="1"/>
      <c r="DFP63" s="1"/>
      <c r="DFQ63" s="1"/>
      <c r="DFR63" s="1"/>
      <c r="DFS63" s="1"/>
      <c r="DFT63" s="1"/>
      <c r="DFU63" s="1"/>
      <c r="DFV63" s="1"/>
      <c r="DFW63" s="1"/>
      <c r="DFX63" s="1"/>
      <c r="DFY63" s="1"/>
      <c r="DFZ63" s="1"/>
      <c r="DGA63" s="1"/>
      <c r="DGB63" s="1"/>
      <c r="DGC63" s="1"/>
      <c r="DGD63" s="1"/>
      <c r="DGE63" s="1"/>
      <c r="DGF63" s="1"/>
      <c r="DGG63" s="1"/>
      <c r="DGH63" s="1"/>
      <c r="DGI63" s="1"/>
      <c r="DGJ63" s="1"/>
      <c r="DGK63" s="1"/>
      <c r="DGL63" s="1"/>
      <c r="DGM63" s="1"/>
      <c r="DGN63" s="1"/>
      <c r="DGO63" s="1"/>
      <c r="DGP63" s="1"/>
      <c r="DGQ63" s="1"/>
      <c r="DGR63" s="1"/>
      <c r="DGS63" s="1"/>
      <c r="DGT63" s="1"/>
      <c r="DGU63" s="1"/>
      <c r="DGV63" s="1"/>
      <c r="DGW63" s="1"/>
      <c r="DGX63" s="1"/>
      <c r="DGY63" s="1"/>
      <c r="DGZ63" s="1"/>
      <c r="DHA63" s="1"/>
      <c r="DHB63" s="1"/>
      <c r="DHC63" s="1"/>
      <c r="DHD63" s="1"/>
      <c r="DHE63" s="1"/>
      <c r="DHF63" s="1"/>
      <c r="DHG63" s="1"/>
      <c r="DHH63" s="1"/>
      <c r="DHI63" s="1"/>
      <c r="DHJ63" s="1"/>
      <c r="DHK63" s="1"/>
      <c r="DHL63" s="1"/>
      <c r="DHM63" s="1"/>
      <c r="DHN63" s="1"/>
      <c r="DHO63" s="1"/>
      <c r="DHP63" s="1"/>
      <c r="DHQ63" s="1"/>
      <c r="DHR63" s="1"/>
      <c r="DHS63" s="1"/>
      <c r="DHT63" s="1"/>
      <c r="DHU63" s="1"/>
      <c r="DHV63" s="1"/>
      <c r="DHW63" s="1"/>
      <c r="DHX63" s="1"/>
      <c r="DHY63" s="1"/>
      <c r="DHZ63" s="1"/>
      <c r="DIA63" s="1"/>
      <c r="DIB63" s="1"/>
      <c r="DIC63" s="1"/>
      <c r="DID63" s="1"/>
      <c r="DIE63" s="1"/>
      <c r="DIF63" s="1"/>
      <c r="DIG63" s="1"/>
      <c r="DIH63" s="1"/>
      <c r="DII63" s="1"/>
      <c r="DIJ63" s="1"/>
      <c r="DIK63" s="1"/>
      <c r="DIL63" s="1"/>
      <c r="DIM63" s="1"/>
      <c r="DIN63" s="1"/>
      <c r="DIO63" s="1"/>
      <c r="DIP63" s="1"/>
      <c r="DIQ63" s="1"/>
      <c r="DIR63" s="1"/>
      <c r="DIS63" s="1"/>
      <c r="DIT63" s="1"/>
      <c r="DIU63" s="1"/>
      <c r="DIV63" s="1"/>
      <c r="DIW63" s="1"/>
      <c r="DIX63" s="1"/>
      <c r="DIY63" s="1"/>
      <c r="DIZ63" s="1"/>
      <c r="DJA63" s="1"/>
      <c r="DJB63" s="1"/>
      <c r="DJC63" s="1"/>
      <c r="DJD63" s="1"/>
      <c r="DJE63" s="1"/>
      <c r="DJF63" s="1"/>
      <c r="DJG63" s="1"/>
      <c r="DJH63" s="1"/>
      <c r="DJI63" s="1"/>
      <c r="DJJ63" s="1"/>
      <c r="DJK63" s="1"/>
      <c r="DJL63" s="1"/>
      <c r="DJM63" s="1"/>
      <c r="DJN63" s="1"/>
      <c r="DJO63" s="1"/>
      <c r="DJP63" s="1"/>
      <c r="DJQ63" s="1"/>
      <c r="DJR63" s="1"/>
      <c r="DJS63" s="1"/>
      <c r="DJT63" s="1"/>
      <c r="DJU63" s="1"/>
      <c r="DJV63" s="1"/>
      <c r="DJW63" s="1"/>
      <c r="DJX63" s="1"/>
      <c r="DJY63" s="1"/>
      <c r="DJZ63" s="1"/>
      <c r="DKA63" s="1"/>
      <c r="DKB63" s="1"/>
      <c r="DKC63" s="1"/>
      <c r="DKD63" s="1"/>
      <c r="DKE63" s="1"/>
      <c r="DKF63" s="1"/>
      <c r="DKG63" s="1"/>
      <c r="DKH63" s="1"/>
      <c r="DKI63" s="1"/>
      <c r="DKJ63" s="1"/>
      <c r="DKK63" s="1"/>
      <c r="DKL63" s="1"/>
      <c r="DKM63" s="1"/>
      <c r="DKN63" s="1"/>
      <c r="DKO63" s="1"/>
      <c r="DKP63" s="1"/>
      <c r="DKQ63" s="1"/>
      <c r="DKR63" s="1"/>
      <c r="DKS63" s="1"/>
      <c r="DKT63" s="1"/>
      <c r="DKU63" s="1"/>
      <c r="DKV63" s="1"/>
      <c r="DKW63" s="1"/>
      <c r="DKX63" s="1"/>
      <c r="DKY63" s="1"/>
      <c r="DKZ63" s="1"/>
      <c r="DLA63" s="1"/>
      <c r="DLB63" s="1"/>
      <c r="DLC63" s="1"/>
      <c r="DLD63" s="1"/>
      <c r="DLE63" s="1"/>
      <c r="DLF63" s="1"/>
      <c r="DLG63" s="1"/>
      <c r="DLH63" s="1"/>
      <c r="DLI63" s="1"/>
      <c r="DLJ63" s="1"/>
      <c r="DLK63" s="1"/>
      <c r="DLL63" s="1"/>
      <c r="DLM63" s="1"/>
      <c r="DLN63" s="1"/>
      <c r="DLO63" s="1"/>
      <c r="DLP63" s="1"/>
      <c r="DLQ63" s="1"/>
      <c r="DLR63" s="1"/>
      <c r="DLS63" s="1"/>
      <c r="DLT63" s="1"/>
      <c r="DLU63" s="1"/>
      <c r="DLV63" s="1"/>
      <c r="DLW63" s="1"/>
      <c r="DLX63" s="1"/>
      <c r="DLY63" s="1"/>
      <c r="DLZ63" s="1"/>
      <c r="DMA63" s="1"/>
      <c r="DMB63" s="1"/>
      <c r="DMC63" s="1"/>
      <c r="DMD63" s="1"/>
      <c r="DME63" s="1"/>
      <c r="DMF63" s="1"/>
      <c r="DMG63" s="1"/>
      <c r="DMH63" s="1"/>
      <c r="DMI63" s="1"/>
      <c r="DMJ63" s="1"/>
      <c r="DMK63" s="1"/>
      <c r="DML63" s="1"/>
      <c r="DMM63" s="1"/>
      <c r="DMN63" s="1"/>
      <c r="DMO63" s="1"/>
      <c r="DMP63" s="1"/>
      <c r="DMQ63" s="1"/>
      <c r="DMR63" s="1"/>
      <c r="DMS63" s="1"/>
      <c r="DMT63" s="1"/>
      <c r="DMU63" s="1"/>
      <c r="DMV63" s="1"/>
      <c r="DMW63" s="1"/>
      <c r="DMX63" s="1"/>
      <c r="DMY63" s="1"/>
      <c r="DMZ63" s="1"/>
      <c r="DNA63" s="1"/>
      <c r="DNB63" s="1"/>
      <c r="DNC63" s="1"/>
      <c r="DND63" s="1"/>
      <c r="DNE63" s="1"/>
      <c r="DNF63" s="1"/>
      <c r="DNG63" s="1"/>
      <c r="DNH63" s="1"/>
      <c r="DNI63" s="1"/>
      <c r="DNJ63" s="1"/>
      <c r="DNK63" s="1"/>
      <c r="DNL63" s="1"/>
      <c r="DNM63" s="1"/>
      <c r="DNN63" s="1"/>
      <c r="DNO63" s="1"/>
      <c r="DNP63" s="1"/>
      <c r="DNQ63" s="1"/>
      <c r="DNR63" s="1"/>
      <c r="DNS63" s="1"/>
      <c r="DNT63" s="1"/>
      <c r="DNU63" s="1"/>
      <c r="DNV63" s="1"/>
      <c r="DNW63" s="1"/>
      <c r="DNX63" s="1"/>
      <c r="DNY63" s="1"/>
      <c r="DNZ63" s="1"/>
      <c r="DOA63" s="1"/>
      <c r="DOB63" s="1"/>
      <c r="DOC63" s="1"/>
      <c r="DOD63" s="1"/>
      <c r="DOE63" s="1"/>
      <c r="DOF63" s="1"/>
      <c r="DOG63" s="1"/>
      <c r="DOH63" s="1"/>
      <c r="DOI63" s="1"/>
      <c r="DOJ63" s="1"/>
      <c r="DOK63" s="1"/>
      <c r="DOL63" s="1"/>
      <c r="DOM63" s="1"/>
      <c r="DON63" s="1"/>
      <c r="DOO63" s="1"/>
      <c r="DOP63" s="1"/>
      <c r="DOQ63" s="1"/>
      <c r="DOR63" s="1"/>
      <c r="DOS63" s="1"/>
      <c r="DOT63" s="1"/>
      <c r="DOU63" s="1"/>
      <c r="DOV63" s="1"/>
      <c r="DOW63" s="1"/>
      <c r="DOX63" s="1"/>
      <c r="DOY63" s="1"/>
      <c r="DOZ63" s="1"/>
      <c r="DPA63" s="1"/>
      <c r="DPB63" s="1"/>
      <c r="DPC63" s="1"/>
      <c r="DPD63" s="1"/>
      <c r="DPE63" s="1"/>
      <c r="DPF63" s="1"/>
      <c r="DPG63" s="1"/>
      <c r="DPH63" s="1"/>
      <c r="DPI63" s="1"/>
      <c r="DPJ63" s="1"/>
      <c r="DPK63" s="1"/>
      <c r="DPL63" s="1"/>
      <c r="DPM63" s="1"/>
      <c r="DPN63" s="1"/>
      <c r="DPO63" s="1"/>
      <c r="DPP63" s="1"/>
      <c r="DPQ63" s="1"/>
      <c r="DPR63" s="1"/>
      <c r="DPS63" s="1"/>
      <c r="DPT63" s="1"/>
      <c r="DPU63" s="1"/>
      <c r="DPV63" s="1"/>
      <c r="DPW63" s="1"/>
      <c r="DPX63" s="1"/>
      <c r="DPY63" s="1"/>
      <c r="DPZ63" s="1"/>
      <c r="DQA63" s="1"/>
      <c r="DQB63" s="1"/>
      <c r="DQC63" s="1"/>
      <c r="DQD63" s="1"/>
      <c r="DQE63" s="1"/>
      <c r="DQF63" s="1"/>
      <c r="DQG63" s="1"/>
      <c r="DQH63" s="1"/>
      <c r="DQI63" s="1"/>
      <c r="DQJ63" s="1"/>
      <c r="DQK63" s="1"/>
      <c r="DQL63" s="1"/>
      <c r="DQM63" s="1"/>
      <c r="DQN63" s="1"/>
      <c r="DQO63" s="1"/>
      <c r="DQP63" s="1"/>
      <c r="DQQ63" s="1"/>
      <c r="DQR63" s="1"/>
      <c r="DQS63" s="1"/>
      <c r="DQT63" s="1"/>
      <c r="DQU63" s="1"/>
      <c r="DQV63" s="1"/>
      <c r="DQW63" s="1"/>
      <c r="DQX63" s="1"/>
      <c r="DQY63" s="1"/>
      <c r="DQZ63" s="1"/>
      <c r="DRA63" s="1"/>
      <c r="DRB63" s="1"/>
      <c r="DRC63" s="1"/>
      <c r="DRD63" s="1"/>
      <c r="DRE63" s="1"/>
      <c r="DRF63" s="1"/>
      <c r="DRG63" s="1"/>
      <c r="DRH63" s="1"/>
      <c r="DRI63" s="1"/>
      <c r="DRJ63" s="1"/>
      <c r="DRK63" s="1"/>
      <c r="DRL63" s="1"/>
      <c r="DRM63" s="1"/>
      <c r="DRN63" s="1"/>
      <c r="DRO63" s="1"/>
      <c r="DRP63" s="1"/>
      <c r="DRQ63" s="1"/>
      <c r="DRR63" s="1"/>
      <c r="DRS63" s="1"/>
      <c r="DRT63" s="1"/>
      <c r="DRU63" s="1"/>
      <c r="DRV63" s="1"/>
      <c r="DRW63" s="1"/>
      <c r="DRX63" s="1"/>
      <c r="DRY63" s="1"/>
      <c r="DRZ63" s="1"/>
      <c r="DSA63" s="1"/>
      <c r="DSB63" s="1"/>
      <c r="DSC63" s="1"/>
      <c r="DSD63" s="1"/>
      <c r="DSE63" s="1"/>
      <c r="DSF63" s="1"/>
      <c r="DSG63" s="1"/>
      <c r="DSH63" s="1"/>
      <c r="DSI63" s="1"/>
      <c r="DSJ63" s="1"/>
      <c r="DSK63" s="1"/>
      <c r="DSL63" s="1"/>
      <c r="DSM63" s="1"/>
      <c r="DSN63" s="1"/>
      <c r="DSO63" s="1"/>
      <c r="DSP63" s="1"/>
      <c r="DSQ63" s="1"/>
      <c r="DSR63" s="1"/>
      <c r="DSS63" s="1"/>
      <c r="DST63" s="1"/>
      <c r="DSU63" s="1"/>
      <c r="DSV63" s="1"/>
      <c r="DSW63" s="1"/>
      <c r="DSX63" s="1"/>
      <c r="DSY63" s="1"/>
      <c r="DSZ63" s="1"/>
      <c r="DTA63" s="1"/>
      <c r="DTB63" s="1"/>
      <c r="DTC63" s="1"/>
      <c r="DTD63" s="1"/>
      <c r="DTE63" s="1"/>
      <c r="DTF63" s="1"/>
      <c r="DTG63" s="1"/>
      <c r="DTH63" s="1"/>
      <c r="DTI63" s="1"/>
      <c r="DTJ63" s="1"/>
      <c r="DTK63" s="1"/>
      <c r="DTL63" s="1"/>
      <c r="DTM63" s="1"/>
      <c r="DTN63" s="1"/>
      <c r="DTO63" s="1"/>
      <c r="DTP63" s="1"/>
      <c r="DTQ63" s="1"/>
      <c r="DTR63" s="1"/>
      <c r="DTS63" s="1"/>
      <c r="DTT63" s="1"/>
      <c r="DTU63" s="1"/>
      <c r="DTV63" s="1"/>
      <c r="DTW63" s="1"/>
      <c r="DTX63" s="1"/>
      <c r="DTY63" s="1"/>
      <c r="DTZ63" s="1"/>
      <c r="DUA63" s="1"/>
      <c r="DUB63" s="1"/>
      <c r="DUC63" s="1"/>
      <c r="DUD63" s="1"/>
      <c r="DUE63" s="1"/>
      <c r="DUF63" s="1"/>
      <c r="DUG63" s="1"/>
      <c r="DUH63" s="1"/>
      <c r="DUI63" s="1"/>
      <c r="DUJ63" s="1"/>
      <c r="DUK63" s="1"/>
      <c r="DUL63" s="1"/>
      <c r="DUM63" s="1"/>
      <c r="DUN63" s="1"/>
      <c r="DUO63" s="1"/>
      <c r="DUP63" s="1"/>
      <c r="DUQ63" s="1"/>
      <c r="DUR63" s="1"/>
      <c r="DUS63" s="1"/>
      <c r="DUT63" s="1"/>
      <c r="DUU63" s="1"/>
      <c r="DUV63" s="1"/>
      <c r="DUW63" s="1"/>
      <c r="DUX63" s="1"/>
      <c r="DUY63" s="1"/>
      <c r="DUZ63" s="1"/>
      <c r="DVA63" s="1"/>
      <c r="DVB63" s="1"/>
      <c r="DVC63" s="1"/>
      <c r="DVD63" s="1"/>
      <c r="DVE63" s="1"/>
      <c r="DVF63" s="1"/>
      <c r="DVG63" s="1"/>
      <c r="DVH63" s="1"/>
      <c r="DVI63" s="1"/>
      <c r="DVJ63" s="1"/>
      <c r="DVK63" s="1"/>
      <c r="DVL63" s="1"/>
      <c r="DVM63" s="1"/>
      <c r="DVN63" s="1"/>
      <c r="DVO63" s="1"/>
      <c r="DVP63" s="1"/>
      <c r="DVQ63" s="1"/>
      <c r="DVR63" s="1"/>
      <c r="DVS63" s="1"/>
      <c r="DVT63" s="1"/>
      <c r="DVU63" s="1"/>
      <c r="DVV63" s="1"/>
      <c r="DVW63" s="1"/>
      <c r="DVX63" s="1"/>
      <c r="DVY63" s="1"/>
      <c r="DVZ63" s="1"/>
      <c r="DWA63" s="1"/>
      <c r="DWB63" s="1"/>
      <c r="DWC63" s="1"/>
      <c r="DWD63" s="1"/>
      <c r="DWE63" s="1"/>
      <c r="DWF63" s="1"/>
      <c r="DWG63" s="1"/>
      <c r="DWH63" s="1"/>
      <c r="DWI63" s="1"/>
      <c r="DWJ63" s="1"/>
      <c r="DWK63" s="1"/>
      <c r="DWL63" s="1"/>
      <c r="DWM63" s="1"/>
      <c r="DWN63" s="1"/>
      <c r="DWO63" s="1"/>
      <c r="DWP63" s="1"/>
      <c r="DWQ63" s="1"/>
      <c r="DWR63" s="1"/>
      <c r="DWS63" s="1"/>
      <c r="DWT63" s="1"/>
      <c r="DWU63" s="1"/>
      <c r="DWV63" s="1"/>
      <c r="DWW63" s="1"/>
      <c r="DWX63" s="1"/>
      <c r="DWY63" s="1"/>
      <c r="DWZ63" s="1"/>
      <c r="DXA63" s="1"/>
      <c r="DXB63" s="1"/>
      <c r="DXC63" s="1"/>
      <c r="DXD63" s="1"/>
      <c r="DXE63" s="1"/>
      <c r="DXF63" s="1"/>
      <c r="DXG63" s="1"/>
      <c r="DXH63" s="1"/>
      <c r="DXI63" s="1"/>
      <c r="DXJ63" s="1"/>
      <c r="DXK63" s="1"/>
      <c r="DXL63" s="1"/>
      <c r="DXM63" s="1"/>
      <c r="DXN63" s="1"/>
      <c r="DXO63" s="1"/>
      <c r="DXP63" s="1"/>
      <c r="DXQ63" s="1"/>
      <c r="DXR63" s="1"/>
      <c r="DXS63" s="1"/>
      <c r="DXT63" s="1"/>
      <c r="DXU63" s="1"/>
      <c r="DXV63" s="1"/>
      <c r="DXW63" s="1"/>
      <c r="DXX63" s="1"/>
      <c r="DXY63" s="1"/>
      <c r="DXZ63" s="1"/>
      <c r="DYA63" s="1"/>
      <c r="DYB63" s="1"/>
      <c r="DYC63" s="1"/>
      <c r="DYD63" s="1"/>
      <c r="DYE63" s="1"/>
      <c r="DYF63" s="1"/>
      <c r="DYG63" s="1"/>
      <c r="DYH63" s="1"/>
      <c r="DYI63" s="1"/>
      <c r="DYJ63" s="1"/>
      <c r="DYK63" s="1"/>
      <c r="DYL63" s="1"/>
      <c r="DYM63" s="1"/>
      <c r="DYN63" s="1"/>
      <c r="DYO63" s="1"/>
      <c r="DYP63" s="1"/>
      <c r="DYQ63" s="1"/>
      <c r="DYR63" s="1"/>
      <c r="DYS63" s="1"/>
      <c r="DYT63" s="1"/>
      <c r="DYU63" s="1"/>
      <c r="DYV63" s="1"/>
      <c r="DYW63" s="1"/>
      <c r="DYX63" s="1"/>
      <c r="DYY63" s="1"/>
      <c r="DYZ63" s="1"/>
      <c r="DZA63" s="1"/>
      <c r="DZB63" s="1"/>
      <c r="DZC63" s="1"/>
      <c r="DZD63" s="1"/>
      <c r="DZE63" s="1"/>
      <c r="DZF63" s="1"/>
      <c r="DZG63" s="1"/>
      <c r="DZH63" s="1"/>
      <c r="DZI63" s="1"/>
      <c r="DZJ63" s="1"/>
      <c r="DZK63" s="1"/>
      <c r="DZL63" s="1"/>
      <c r="DZM63" s="1"/>
      <c r="DZN63" s="1"/>
      <c r="DZO63" s="1"/>
      <c r="DZP63" s="1"/>
      <c r="DZQ63" s="1"/>
      <c r="DZR63" s="1"/>
      <c r="DZS63" s="1"/>
      <c r="DZT63" s="1"/>
      <c r="DZU63" s="1"/>
      <c r="DZV63" s="1"/>
      <c r="DZW63" s="1"/>
      <c r="DZX63" s="1"/>
      <c r="DZY63" s="1"/>
      <c r="DZZ63" s="1"/>
      <c r="EAA63" s="1"/>
      <c r="EAB63" s="1"/>
      <c r="EAC63" s="1"/>
      <c r="EAD63" s="1"/>
      <c r="EAE63" s="1"/>
      <c r="EAF63" s="1"/>
      <c r="EAG63" s="1"/>
      <c r="EAH63" s="1"/>
      <c r="EAI63" s="1"/>
      <c r="EAJ63" s="1"/>
      <c r="EAK63" s="1"/>
      <c r="EAL63" s="1"/>
      <c r="EAM63" s="1"/>
      <c r="EAN63" s="1"/>
      <c r="EAO63" s="1"/>
      <c r="EAP63" s="1"/>
      <c r="EAQ63" s="1"/>
      <c r="EAR63" s="1"/>
      <c r="EAS63" s="1"/>
      <c r="EAT63" s="1"/>
      <c r="EAU63" s="1"/>
      <c r="EAV63" s="1"/>
      <c r="EAW63" s="1"/>
      <c r="EAX63" s="1"/>
      <c r="EAY63" s="1"/>
      <c r="EAZ63" s="1"/>
      <c r="EBA63" s="1"/>
      <c r="EBB63" s="1"/>
      <c r="EBC63" s="1"/>
      <c r="EBD63" s="1"/>
      <c r="EBE63" s="1"/>
      <c r="EBF63" s="1"/>
      <c r="EBG63" s="1"/>
      <c r="EBH63" s="1"/>
      <c r="EBI63" s="1"/>
      <c r="EBJ63" s="1"/>
      <c r="EBK63" s="1"/>
      <c r="EBL63" s="1"/>
      <c r="EBM63" s="1"/>
      <c r="EBN63" s="1"/>
      <c r="EBO63" s="1"/>
      <c r="EBP63" s="1"/>
      <c r="EBQ63" s="1"/>
      <c r="EBR63" s="1"/>
      <c r="EBS63" s="1"/>
      <c r="EBT63" s="1"/>
      <c r="EBU63" s="1"/>
      <c r="EBV63" s="1"/>
      <c r="EBW63" s="1"/>
      <c r="EBX63" s="1"/>
      <c r="EBY63" s="1"/>
      <c r="EBZ63" s="1"/>
      <c r="ECA63" s="1"/>
      <c r="ECB63" s="1"/>
      <c r="ECC63" s="1"/>
      <c r="ECD63" s="1"/>
      <c r="ECE63" s="1"/>
      <c r="ECF63" s="1"/>
      <c r="ECG63" s="1"/>
      <c r="ECH63" s="1"/>
      <c r="ECI63" s="1"/>
      <c r="ECJ63" s="1"/>
      <c r="ECK63" s="1"/>
      <c r="ECL63" s="1"/>
      <c r="ECM63" s="1"/>
      <c r="ECN63" s="1"/>
      <c r="ECO63" s="1"/>
      <c r="ECP63" s="1"/>
      <c r="ECQ63" s="1"/>
      <c r="ECR63" s="1"/>
      <c r="ECS63" s="1"/>
      <c r="ECT63" s="1"/>
      <c r="ECU63" s="1"/>
      <c r="ECV63" s="1"/>
      <c r="ECW63" s="1"/>
      <c r="ECX63" s="1"/>
      <c r="ECY63" s="1"/>
      <c r="ECZ63" s="1"/>
      <c r="EDA63" s="1"/>
      <c r="EDB63" s="1"/>
      <c r="EDC63" s="1"/>
      <c r="EDD63" s="1"/>
      <c r="EDE63" s="1"/>
      <c r="EDF63" s="1"/>
      <c r="EDG63" s="1"/>
      <c r="EDH63" s="1"/>
      <c r="EDI63" s="1"/>
      <c r="EDJ63" s="1"/>
      <c r="EDK63" s="1"/>
      <c r="EDL63" s="1"/>
      <c r="EDM63" s="1"/>
      <c r="EDN63" s="1"/>
      <c r="EDO63" s="1"/>
      <c r="EDP63" s="1"/>
      <c r="EDQ63" s="1"/>
      <c r="EDR63" s="1"/>
      <c r="EDS63" s="1"/>
      <c r="EDT63" s="1"/>
      <c r="EDU63" s="1"/>
      <c r="EDV63" s="1"/>
      <c r="EDW63" s="1"/>
      <c r="EDX63" s="1"/>
      <c r="EDY63" s="1"/>
      <c r="EDZ63" s="1"/>
      <c r="EEA63" s="1"/>
      <c r="EEB63" s="1"/>
      <c r="EEC63" s="1"/>
      <c r="EED63" s="1"/>
      <c r="EEE63" s="1"/>
      <c r="EEF63" s="1"/>
      <c r="EEG63" s="1"/>
      <c r="EEH63" s="1"/>
      <c r="EEI63" s="1"/>
      <c r="EEJ63" s="1"/>
      <c r="EEK63" s="1"/>
      <c r="EEL63" s="1"/>
      <c r="EEM63" s="1"/>
      <c r="EEN63" s="1"/>
      <c r="EEO63" s="1"/>
      <c r="EEP63" s="1"/>
      <c r="EEQ63" s="1"/>
      <c r="EER63" s="1"/>
      <c r="EES63" s="1"/>
      <c r="EET63" s="1"/>
      <c r="EEU63" s="1"/>
      <c r="EEV63" s="1"/>
      <c r="EEW63" s="1"/>
      <c r="EEX63" s="1"/>
      <c r="EEY63" s="1"/>
      <c r="EEZ63" s="1"/>
      <c r="EFA63" s="1"/>
      <c r="EFB63" s="1"/>
      <c r="EFC63" s="1"/>
      <c r="EFD63" s="1"/>
      <c r="EFE63" s="1"/>
      <c r="EFF63" s="1"/>
      <c r="EFG63" s="1"/>
      <c r="EFH63" s="1"/>
      <c r="EFI63" s="1"/>
      <c r="EFJ63" s="1"/>
      <c r="EFK63" s="1"/>
      <c r="EFL63" s="1"/>
      <c r="EFM63" s="1"/>
      <c r="EFN63" s="1"/>
      <c r="EFO63" s="1"/>
      <c r="EFP63" s="1"/>
      <c r="EFQ63" s="1"/>
      <c r="EFR63" s="1"/>
      <c r="EFS63" s="1"/>
      <c r="EFT63" s="1"/>
      <c r="EFU63" s="1"/>
      <c r="EFV63" s="1"/>
      <c r="EFW63" s="1"/>
      <c r="EFX63" s="1"/>
      <c r="EFY63" s="1"/>
      <c r="EFZ63" s="1"/>
      <c r="EGA63" s="1"/>
      <c r="EGB63" s="1"/>
      <c r="EGC63" s="1"/>
      <c r="EGD63" s="1"/>
      <c r="EGE63" s="1"/>
      <c r="EGF63" s="1"/>
      <c r="EGG63" s="1"/>
      <c r="EGH63" s="1"/>
      <c r="EGI63" s="1"/>
      <c r="EGJ63" s="1"/>
      <c r="EGK63" s="1"/>
      <c r="EGL63" s="1"/>
      <c r="EGM63" s="1"/>
      <c r="EGN63" s="1"/>
      <c r="EGO63" s="1"/>
      <c r="EGP63" s="1"/>
      <c r="EGQ63" s="1"/>
      <c r="EGR63" s="1"/>
      <c r="EGS63" s="1"/>
      <c r="EGT63" s="1"/>
      <c r="EGU63" s="1"/>
      <c r="EGV63" s="1"/>
      <c r="EGW63" s="1"/>
      <c r="EGX63" s="1"/>
      <c r="EGY63" s="1"/>
      <c r="EGZ63" s="1"/>
      <c r="EHA63" s="1"/>
      <c r="EHB63" s="1"/>
      <c r="EHC63" s="1"/>
      <c r="EHD63" s="1"/>
      <c r="EHE63" s="1"/>
      <c r="EHF63" s="1"/>
      <c r="EHG63" s="1"/>
      <c r="EHH63" s="1"/>
      <c r="EHI63" s="1"/>
      <c r="EHJ63" s="1"/>
      <c r="EHK63" s="1"/>
      <c r="EHL63" s="1"/>
      <c r="EHM63" s="1"/>
      <c r="EHN63" s="1"/>
      <c r="EHO63" s="1"/>
      <c r="EHP63" s="1"/>
      <c r="EHQ63" s="1"/>
      <c r="EHR63" s="1"/>
      <c r="EHS63" s="1"/>
      <c r="EHT63" s="1"/>
      <c r="EHU63" s="1"/>
      <c r="EHV63" s="1"/>
      <c r="EHW63" s="1"/>
      <c r="EHX63" s="1"/>
      <c r="EHY63" s="1"/>
      <c r="EHZ63" s="1"/>
      <c r="EIA63" s="1"/>
      <c r="EIB63" s="1"/>
      <c r="EIC63" s="1"/>
      <c r="EID63" s="1"/>
      <c r="EIE63" s="1"/>
      <c r="EIF63" s="1"/>
      <c r="EIG63" s="1"/>
      <c r="EIH63" s="1"/>
      <c r="EII63" s="1"/>
      <c r="EIJ63" s="1"/>
      <c r="EIK63" s="1"/>
      <c r="EIL63" s="1"/>
      <c r="EIM63" s="1"/>
      <c r="EIN63" s="1"/>
      <c r="EIO63" s="1"/>
      <c r="EIP63" s="1"/>
      <c r="EIQ63" s="1"/>
      <c r="EIR63" s="1"/>
      <c r="EIS63" s="1"/>
      <c r="EIT63" s="1"/>
      <c r="EIU63" s="1"/>
      <c r="EIV63" s="1"/>
      <c r="EIW63" s="1"/>
      <c r="EIX63" s="1"/>
      <c r="EIY63" s="1"/>
      <c r="EIZ63" s="1"/>
      <c r="EJA63" s="1"/>
      <c r="EJB63" s="1"/>
      <c r="EJC63" s="1"/>
      <c r="EJD63" s="1"/>
      <c r="EJE63" s="1"/>
      <c r="EJF63" s="1"/>
      <c r="EJG63" s="1"/>
      <c r="EJH63" s="1"/>
      <c r="EJI63" s="1"/>
      <c r="EJJ63" s="1"/>
      <c r="EJK63" s="1"/>
      <c r="EJL63" s="1"/>
      <c r="EJM63" s="1"/>
      <c r="EJN63" s="1"/>
      <c r="EJO63" s="1"/>
      <c r="EJP63" s="1"/>
      <c r="EJQ63" s="1"/>
      <c r="EJR63" s="1"/>
      <c r="EJS63" s="1"/>
      <c r="EJT63" s="1"/>
      <c r="EJU63" s="1"/>
      <c r="EJV63" s="1"/>
      <c r="EJW63" s="1"/>
      <c r="EJX63" s="1"/>
      <c r="EJY63" s="1"/>
      <c r="EJZ63" s="1"/>
      <c r="EKA63" s="1"/>
      <c r="EKB63" s="1"/>
      <c r="EKC63" s="1"/>
      <c r="EKD63" s="1"/>
      <c r="EKE63" s="1"/>
      <c r="EKF63" s="1"/>
      <c r="EKG63" s="1"/>
      <c r="EKH63" s="1"/>
      <c r="EKI63" s="1"/>
      <c r="EKJ63" s="1"/>
      <c r="EKK63" s="1"/>
      <c r="EKL63" s="1"/>
      <c r="EKM63" s="1"/>
      <c r="EKN63" s="1"/>
      <c r="EKO63" s="1"/>
      <c r="EKP63" s="1"/>
      <c r="EKQ63" s="1"/>
      <c r="EKR63" s="1"/>
      <c r="EKS63" s="1"/>
      <c r="EKT63" s="1"/>
      <c r="EKU63" s="1"/>
      <c r="EKV63" s="1"/>
      <c r="EKW63" s="1"/>
      <c r="EKX63" s="1"/>
      <c r="EKY63" s="1"/>
      <c r="EKZ63" s="1"/>
      <c r="ELA63" s="1"/>
      <c r="ELB63" s="1"/>
      <c r="ELC63" s="1"/>
      <c r="ELD63" s="1"/>
      <c r="ELE63" s="1"/>
      <c r="ELF63" s="1"/>
      <c r="ELG63" s="1"/>
      <c r="ELH63" s="1"/>
      <c r="ELI63" s="1"/>
      <c r="ELJ63" s="1"/>
      <c r="ELK63" s="1"/>
      <c r="ELL63" s="1"/>
      <c r="ELM63" s="1"/>
      <c r="ELN63" s="1"/>
      <c r="ELO63" s="1"/>
      <c r="ELP63" s="1"/>
      <c r="ELQ63" s="1"/>
      <c r="ELR63" s="1"/>
      <c r="ELS63" s="1"/>
      <c r="ELT63" s="1"/>
      <c r="ELU63" s="1"/>
      <c r="ELV63" s="1"/>
      <c r="ELW63" s="1"/>
      <c r="ELX63" s="1"/>
      <c r="ELY63" s="1"/>
      <c r="ELZ63" s="1"/>
      <c r="EMA63" s="1"/>
      <c r="EMB63" s="1"/>
      <c r="EMC63" s="1"/>
      <c r="EMD63" s="1"/>
      <c r="EME63" s="1"/>
      <c r="EMF63" s="1"/>
      <c r="EMG63" s="1"/>
      <c r="EMH63" s="1"/>
      <c r="EMI63" s="1"/>
      <c r="EMJ63" s="1"/>
      <c r="EMK63" s="1"/>
      <c r="EML63" s="1"/>
      <c r="EMM63" s="1"/>
      <c r="EMN63" s="1"/>
      <c r="EMO63" s="1"/>
      <c r="EMP63" s="1"/>
      <c r="EMQ63" s="1"/>
      <c r="EMR63" s="1"/>
      <c r="EMS63" s="1"/>
      <c r="EMT63" s="1"/>
      <c r="EMU63" s="1"/>
      <c r="EMV63" s="1"/>
      <c r="EMW63" s="1"/>
      <c r="EMX63" s="1"/>
      <c r="EMY63" s="1"/>
      <c r="EMZ63" s="1"/>
      <c r="ENA63" s="1"/>
      <c r="ENB63" s="1"/>
      <c r="ENC63" s="1"/>
      <c r="END63" s="1"/>
      <c r="ENE63" s="1"/>
      <c r="ENF63" s="1"/>
      <c r="ENG63" s="1"/>
      <c r="ENH63" s="1"/>
      <c r="ENI63" s="1"/>
      <c r="ENJ63" s="1"/>
      <c r="ENK63" s="1"/>
      <c r="ENL63" s="1"/>
      <c r="ENM63" s="1"/>
      <c r="ENN63" s="1"/>
      <c r="ENO63" s="1"/>
      <c r="ENP63" s="1"/>
      <c r="ENQ63" s="1"/>
      <c r="ENR63" s="1"/>
      <c r="ENS63" s="1"/>
      <c r="ENT63" s="1"/>
      <c r="ENU63" s="1"/>
      <c r="ENV63" s="1"/>
      <c r="ENW63" s="1"/>
      <c r="ENX63" s="1"/>
      <c r="ENY63" s="1"/>
      <c r="ENZ63" s="1"/>
      <c r="EOA63" s="1"/>
      <c r="EOB63" s="1"/>
      <c r="EOC63" s="1"/>
      <c r="EOD63" s="1"/>
      <c r="EOE63" s="1"/>
      <c r="EOF63" s="1"/>
      <c r="EOG63" s="1"/>
      <c r="EOH63" s="1"/>
      <c r="EOI63" s="1"/>
      <c r="EOJ63" s="1"/>
      <c r="EOK63" s="1"/>
      <c r="EOL63" s="1"/>
      <c r="EOM63" s="1"/>
      <c r="EON63" s="1"/>
      <c r="EOO63" s="1"/>
      <c r="EOP63" s="1"/>
      <c r="EOQ63" s="1"/>
      <c r="EOR63" s="1"/>
      <c r="EOS63" s="1"/>
      <c r="EOT63" s="1"/>
      <c r="EOU63" s="1"/>
      <c r="EOV63" s="1"/>
      <c r="EOW63" s="1"/>
      <c r="EOX63" s="1"/>
      <c r="EOY63" s="1"/>
      <c r="EOZ63" s="1"/>
      <c r="EPA63" s="1"/>
      <c r="EPB63" s="1"/>
      <c r="EPC63" s="1"/>
      <c r="EPD63" s="1"/>
      <c r="EPE63" s="1"/>
      <c r="EPF63" s="1"/>
      <c r="EPG63" s="1"/>
      <c r="EPH63" s="1"/>
      <c r="EPI63" s="1"/>
      <c r="EPJ63" s="1"/>
      <c r="EPK63" s="1"/>
      <c r="EPL63" s="1"/>
      <c r="EPM63" s="1"/>
      <c r="EPN63" s="1"/>
      <c r="EPO63" s="1"/>
      <c r="EPP63" s="1"/>
      <c r="EPQ63" s="1"/>
      <c r="EPR63" s="1"/>
      <c r="EPS63" s="1"/>
      <c r="EPT63" s="1"/>
      <c r="EPU63" s="1"/>
      <c r="EPV63" s="1"/>
      <c r="EPW63" s="1"/>
      <c r="EPX63" s="1"/>
      <c r="EPY63" s="1"/>
      <c r="EPZ63" s="1"/>
      <c r="EQA63" s="1"/>
      <c r="EQB63" s="1"/>
      <c r="EQC63" s="1"/>
      <c r="EQD63" s="1"/>
      <c r="EQE63" s="1"/>
      <c r="EQF63" s="1"/>
      <c r="EQG63" s="1"/>
      <c r="EQH63" s="1"/>
      <c r="EQI63" s="1"/>
      <c r="EQJ63" s="1"/>
      <c r="EQK63" s="1"/>
      <c r="EQL63" s="1"/>
      <c r="EQM63" s="1"/>
      <c r="EQN63" s="1"/>
      <c r="EQO63" s="1"/>
      <c r="EQP63" s="1"/>
      <c r="EQQ63" s="1"/>
      <c r="EQR63" s="1"/>
      <c r="EQS63" s="1"/>
      <c r="EQT63" s="1"/>
      <c r="EQU63" s="1"/>
      <c r="EQV63" s="1"/>
      <c r="EQW63" s="1"/>
      <c r="EQX63" s="1"/>
      <c r="EQY63" s="1"/>
      <c r="EQZ63" s="1"/>
      <c r="ERA63" s="1"/>
      <c r="ERB63" s="1"/>
      <c r="ERC63" s="1"/>
      <c r="ERD63" s="1"/>
      <c r="ERE63" s="1"/>
      <c r="ERF63" s="1"/>
      <c r="ERG63" s="1"/>
      <c r="ERH63" s="1"/>
      <c r="ERI63" s="1"/>
      <c r="ERJ63" s="1"/>
      <c r="ERK63" s="1"/>
      <c r="ERL63" s="1"/>
      <c r="ERM63" s="1"/>
      <c r="ERN63" s="1"/>
      <c r="ERO63" s="1"/>
      <c r="ERP63" s="1"/>
      <c r="ERQ63" s="1"/>
      <c r="ERR63" s="1"/>
      <c r="ERS63" s="1"/>
      <c r="ERT63" s="1"/>
      <c r="ERU63" s="1"/>
      <c r="ERV63" s="1"/>
      <c r="ERW63" s="1"/>
      <c r="ERX63" s="1"/>
      <c r="ERY63" s="1"/>
      <c r="ERZ63" s="1"/>
      <c r="ESA63" s="1"/>
      <c r="ESB63" s="1"/>
      <c r="ESC63" s="1"/>
      <c r="ESD63" s="1"/>
      <c r="ESE63" s="1"/>
      <c r="ESF63" s="1"/>
      <c r="ESG63" s="1"/>
      <c r="ESH63" s="1"/>
      <c r="ESI63" s="1"/>
      <c r="ESJ63" s="1"/>
      <c r="ESK63" s="1"/>
      <c r="ESL63" s="1"/>
      <c r="ESM63" s="1"/>
      <c r="ESN63" s="1"/>
      <c r="ESO63" s="1"/>
      <c r="ESP63" s="1"/>
      <c r="ESQ63" s="1"/>
      <c r="ESR63" s="1"/>
      <c r="ESS63" s="1"/>
      <c r="EST63" s="1"/>
      <c r="ESU63" s="1"/>
      <c r="ESV63" s="1"/>
      <c r="ESW63" s="1"/>
      <c r="ESX63" s="1"/>
      <c r="ESY63" s="1"/>
      <c r="ESZ63" s="1"/>
      <c r="ETA63" s="1"/>
      <c r="ETB63" s="1"/>
      <c r="ETC63" s="1"/>
      <c r="ETD63" s="1"/>
      <c r="ETE63" s="1"/>
      <c r="ETF63" s="1"/>
      <c r="ETG63" s="1"/>
      <c r="ETH63" s="1"/>
      <c r="ETI63" s="1"/>
      <c r="ETJ63" s="1"/>
      <c r="ETK63" s="1"/>
      <c r="ETL63" s="1"/>
      <c r="ETM63" s="1"/>
      <c r="ETN63" s="1"/>
      <c r="ETO63" s="1"/>
      <c r="ETP63" s="1"/>
      <c r="ETQ63" s="1"/>
      <c r="ETR63" s="1"/>
      <c r="ETS63" s="1"/>
      <c r="ETT63" s="1"/>
      <c r="ETU63" s="1"/>
      <c r="ETV63" s="1"/>
      <c r="ETW63" s="1"/>
      <c r="ETX63" s="1"/>
      <c r="ETY63" s="1"/>
      <c r="ETZ63" s="1"/>
      <c r="EUA63" s="1"/>
      <c r="EUB63" s="1"/>
      <c r="EUC63" s="1"/>
      <c r="EUD63" s="1"/>
      <c r="EUE63" s="1"/>
      <c r="EUF63" s="1"/>
      <c r="EUG63" s="1"/>
      <c r="EUH63" s="1"/>
      <c r="EUI63" s="1"/>
      <c r="EUJ63" s="1"/>
      <c r="EUK63" s="1"/>
      <c r="EUL63" s="1"/>
      <c r="EUM63" s="1"/>
      <c r="EUN63" s="1"/>
      <c r="EUO63" s="1"/>
      <c r="EUP63" s="1"/>
      <c r="EUQ63" s="1"/>
      <c r="EUR63" s="1"/>
      <c r="EUS63" s="1"/>
      <c r="EUT63" s="1"/>
      <c r="EUU63" s="1"/>
      <c r="EUV63" s="1"/>
      <c r="EUW63" s="1"/>
      <c r="EUX63" s="1"/>
      <c r="EUY63" s="1"/>
      <c r="EUZ63" s="1"/>
      <c r="EVA63" s="1"/>
      <c r="EVB63" s="1"/>
      <c r="EVC63" s="1"/>
      <c r="EVD63" s="1"/>
      <c r="EVE63" s="1"/>
      <c r="EVF63" s="1"/>
      <c r="EVG63" s="1"/>
      <c r="EVH63" s="1"/>
      <c r="EVI63" s="1"/>
      <c r="EVJ63" s="1"/>
      <c r="EVK63" s="1"/>
      <c r="EVL63" s="1"/>
      <c r="EVM63" s="1"/>
      <c r="EVN63" s="1"/>
      <c r="EVO63" s="1"/>
      <c r="EVP63" s="1"/>
      <c r="EVQ63" s="1"/>
      <c r="EVR63" s="1"/>
      <c r="EVS63" s="1"/>
      <c r="EVT63" s="1"/>
      <c r="EVU63" s="1"/>
      <c r="EVV63" s="1"/>
      <c r="EVW63" s="1"/>
      <c r="EVX63" s="1"/>
      <c r="EVY63" s="1"/>
      <c r="EVZ63" s="1"/>
      <c r="EWA63" s="1"/>
      <c r="EWB63" s="1"/>
      <c r="EWC63" s="1"/>
      <c r="EWD63" s="1"/>
      <c r="EWE63" s="1"/>
      <c r="EWF63" s="1"/>
      <c r="EWG63" s="1"/>
      <c r="EWH63" s="1"/>
      <c r="EWI63" s="1"/>
      <c r="EWJ63" s="1"/>
      <c r="EWK63" s="1"/>
      <c r="EWL63" s="1"/>
      <c r="EWM63" s="1"/>
      <c r="EWN63" s="1"/>
      <c r="EWO63" s="1"/>
      <c r="EWP63" s="1"/>
      <c r="EWQ63" s="1"/>
      <c r="EWR63" s="1"/>
      <c r="EWS63" s="1"/>
      <c r="EWT63" s="1"/>
      <c r="EWU63" s="1"/>
      <c r="EWV63" s="1"/>
      <c r="EWW63" s="1"/>
      <c r="EWX63" s="1"/>
      <c r="EWY63" s="1"/>
      <c r="EWZ63" s="1"/>
      <c r="EXA63" s="1"/>
      <c r="EXB63" s="1"/>
      <c r="EXC63" s="1"/>
      <c r="EXD63" s="1"/>
      <c r="EXE63" s="1"/>
      <c r="EXF63" s="1"/>
      <c r="EXG63" s="1"/>
      <c r="EXH63" s="1"/>
      <c r="EXI63" s="1"/>
      <c r="EXJ63" s="1"/>
      <c r="EXK63" s="1"/>
      <c r="EXL63" s="1"/>
      <c r="EXM63" s="1"/>
      <c r="EXN63" s="1"/>
      <c r="EXO63" s="1"/>
      <c r="EXP63" s="1"/>
      <c r="EXQ63" s="1"/>
      <c r="EXR63" s="1"/>
      <c r="EXS63" s="1"/>
      <c r="EXT63" s="1"/>
      <c r="EXU63" s="1"/>
      <c r="EXV63" s="1"/>
      <c r="EXW63" s="1"/>
      <c r="EXX63" s="1"/>
      <c r="EXY63" s="1"/>
      <c r="EXZ63" s="1"/>
      <c r="EYA63" s="1"/>
      <c r="EYB63" s="1"/>
      <c r="EYC63" s="1"/>
      <c r="EYD63" s="1"/>
      <c r="EYE63" s="1"/>
      <c r="EYF63" s="1"/>
      <c r="EYG63" s="1"/>
      <c r="EYH63" s="1"/>
      <c r="EYI63" s="1"/>
      <c r="EYJ63" s="1"/>
      <c r="EYK63" s="1"/>
      <c r="EYL63" s="1"/>
      <c r="EYM63" s="1"/>
      <c r="EYN63" s="1"/>
      <c r="EYO63" s="1"/>
      <c r="EYP63" s="1"/>
      <c r="EYQ63" s="1"/>
      <c r="EYR63" s="1"/>
      <c r="EYS63" s="1"/>
      <c r="EYT63" s="1"/>
      <c r="EYU63" s="1"/>
      <c r="EYV63" s="1"/>
      <c r="EYW63" s="1"/>
      <c r="EYX63" s="1"/>
      <c r="EYY63" s="1"/>
      <c r="EYZ63" s="1"/>
      <c r="EZA63" s="1"/>
      <c r="EZB63" s="1"/>
      <c r="EZC63" s="1"/>
      <c r="EZD63" s="1"/>
      <c r="EZE63" s="1"/>
      <c r="EZF63" s="1"/>
      <c r="EZG63" s="1"/>
      <c r="EZH63" s="1"/>
      <c r="EZI63" s="1"/>
      <c r="EZJ63" s="1"/>
      <c r="EZK63" s="1"/>
      <c r="EZL63" s="1"/>
      <c r="EZM63" s="1"/>
      <c r="EZN63" s="1"/>
      <c r="EZO63" s="1"/>
      <c r="EZP63" s="1"/>
      <c r="EZQ63" s="1"/>
      <c r="EZR63" s="1"/>
      <c r="EZS63" s="1"/>
      <c r="EZT63" s="1"/>
      <c r="EZU63" s="1"/>
      <c r="EZV63" s="1"/>
      <c r="EZW63" s="1"/>
      <c r="EZX63" s="1"/>
      <c r="EZY63" s="1"/>
      <c r="EZZ63" s="1"/>
      <c r="FAA63" s="1"/>
      <c r="FAB63" s="1"/>
      <c r="FAC63" s="1"/>
      <c r="FAD63" s="1"/>
      <c r="FAE63" s="1"/>
      <c r="FAF63" s="1"/>
      <c r="FAG63" s="1"/>
      <c r="FAH63" s="1"/>
      <c r="FAI63" s="1"/>
      <c r="FAJ63" s="1"/>
      <c r="FAK63" s="1"/>
      <c r="FAL63" s="1"/>
      <c r="FAM63" s="1"/>
      <c r="FAN63" s="1"/>
      <c r="FAO63" s="1"/>
      <c r="FAP63" s="1"/>
      <c r="FAQ63" s="1"/>
      <c r="FAR63" s="1"/>
      <c r="FAS63" s="1"/>
      <c r="FAT63" s="1"/>
      <c r="FAU63" s="1"/>
      <c r="FAV63" s="1"/>
      <c r="FAW63" s="1"/>
      <c r="FAX63" s="1"/>
      <c r="FAY63" s="1"/>
      <c r="FAZ63" s="1"/>
      <c r="FBA63" s="1"/>
      <c r="FBB63" s="1"/>
      <c r="FBC63" s="1"/>
      <c r="FBD63" s="1"/>
      <c r="FBE63" s="1"/>
      <c r="FBF63" s="1"/>
      <c r="FBG63" s="1"/>
      <c r="FBH63" s="1"/>
      <c r="FBI63" s="1"/>
      <c r="FBJ63" s="1"/>
      <c r="FBK63" s="1"/>
      <c r="FBL63" s="1"/>
      <c r="FBM63" s="1"/>
      <c r="FBN63" s="1"/>
      <c r="FBO63" s="1"/>
      <c r="FBP63" s="1"/>
      <c r="FBQ63" s="1"/>
      <c r="FBR63" s="1"/>
      <c r="FBS63" s="1"/>
      <c r="FBT63" s="1"/>
      <c r="FBU63" s="1"/>
      <c r="FBV63" s="1"/>
      <c r="FBW63" s="1"/>
      <c r="FBX63" s="1"/>
      <c r="FBY63" s="1"/>
      <c r="FBZ63" s="1"/>
      <c r="FCA63" s="1"/>
      <c r="FCB63" s="1"/>
      <c r="FCC63" s="1"/>
      <c r="FCD63" s="1"/>
      <c r="FCE63" s="1"/>
      <c r="FCF63" s="1"/>
      <c r="FCG63" s="1"/>
      <c r="FCH63" s="1"/>
      <c r="FCI63" s="1"/>
      <c r="FCJ63" s="1"/>
      <c r="FCK63" s="1"/>
      <c r="FCL63" s="1"/>
      <c r="FCM63" s="1"/>
      <c r="FCN63" s="1"/>
      <c r="FCO63" s="1"/>
      <c r="FCP63" s="1"/>
      <c r="FCQ63" s="1"/>
      <c r="FCR63" s="1"/>
      <c r="FCS63" s="1"/>
      <c r="FCT63" s="1"/>
      <c r="FCU63" s="1"/>
      <c r="FCV63" s="1"/>
      <c r="FCW63" s="1"/>
      <c r="FCX63" s="1"/>
      <c r="FCY63" s="1"/>
      <c r="FCZ63" s="1"/>
      <c r="FDA63" s="1"/>
      <c r="FDB63" s="1"/>
      <c r="FDC63" s="1"/>
      <c r="FDD63" s="1"/>
      <c r="FDE63" s="1"/>
      <c r="FDF63" s="1"/>
      <c r="FDG63" s="1"/>
      <c r="FDH63" s="1"/>
      <c r="FDI63" s="1"/>
      <c r="FDJ63" s="1"/>
      <c r="FDK63" s="1"/>
      <c r="FDL63" s="1"/>
      <c r="FDM63" s="1"/>
      <c r="FDN63" s="1"/>
      <c r="FDO63" s="1"/>
      <c r="FDP63" s="1"/>
      <c r="FDQ63" s="1"/>
      <c r="FDR63" s="1"/>
      <c r="FDS63" s="1"/>
      <c r="FDT63" s="1"/>
      <c r="FDU63" s="1"/>
      <c r="FDV63" s="1"/>
      <c r="FDW63" s="1"/>
      <c r="FDX63" s="1"/>
      <c r="FDY63" s="1"/>
      <c r="FDZ63" s="1"/>
      <c r="FEA63" s="1"/>
      <c r="FEB63" s="1"/>
      <c r="FEC63" s="1"/>
      <c r="FED63" s="1"/>
      <c r="FEE63" s="1"/>
      <c r="FEF63" s="1"/>
      <c r="FEG63" s="1"/>
      <c r="FEH63" s="1"/>
      <c r="FEI63" s="1"/>
      <c r="FEJ63" s="1"/>
      <c r="FEK63" s="1"/>
      <c r="FEL63" s="1"/>
      <c r="FEM63" s="1"/>
      <c r="FEN63" s="1"/>
      <c r="FEO63" s="1"/>
      <c r="FEP63" s="1"/>
      <c r="FEQ63" s="1"/>
      <c r="FER63" s="1"/>
      <c r="FES63" s="1"/>
      <c r="FET63" s="1"/>
      <c r="FEU63" s="1"/>
      <c r="FEV63" s="1"/>
      <c r="FEW63" s="1"/>
      <c r="FEX63" s="1"/>
      <c r="FEY63" s="1"/>
      <c r="FEZ63" s="1"/>
      <c r="FFA63" s="1"/>
      <c r="FFB63" s="1"/>
      <c r="FFC63" s="1"/>
      <c r="FFD63" s="1"/>
      <c r="FFE63" s="1"/>
      <c r="FFF63" s="1"/>
      <c r="FFG63" s="1"/>
      <c r="FFH63" s="1"/>
      <c r="FFI63" s="1"/>
      <c r="FFJ63" s="1"/>
      <c r="FFK63" s="1"/>
      <c r="FFL63" s="1"/>
      <c r="FFM63" s="1"/>
      <c r="FFN63" s="1"/>
      <c r="FFO63" s="1"/>
      <c r="FFP63" s="1"/>
      <c r="FFQ63" s="1"/>
      <c r="FFR63" s="1"/>
      <c r="FFS63" s="1"/>
      <c r="FFT63" s="1"/>
      <c r="FFU63" s="1"/>
      <c r="FFV63" s="1"/>
      <c r="FFW63" s="1"/>
      <c r="FFX63" s="1"/>
      <c r="FFY63" s="1"/>
      <c r="FFZ63" s="1"/>
      <c r="FGA63" s="1"/>
      <c r="FGB63" s="1"/>
      <c r="FGC63" s="1"/>
      <c r="FGD63" s="1"/>
      <c r="FGE63" s="1"/>
      <c r="FGF63" s="1"/>
      <c r="FGG63" s="1"/>
      <c r="FGH63" s="1"/>
      <c r="FGI63" s="1"/>
      <c r="FGJ63" s="1"/>
      <c r="FGK63" s="1"/>
      <c r="FGL63" s="1"/>
      <c r="FGM63" s="1"/>
      <c r="FGN63" s="1"/>
      <c r="FGO63" s="1"/>
      <c r="FGP63" s="1"/>
      <c r="FGQ63" s="1"/>
      <c r="FGR63" s="1"/>
      <c r="FGS63" s="1"/>
      <c r="FGT63" s="1"/>
      <c r="FGU63" s="1"/>
      <c r="FGV63" s="1"/>
      <c r="FGW63" s="1"/>
      <c r="FGX63" s="1"/>
      <c r="FGY63" s="1"/>
      <c r="FGZ63" s="1"/>
      <c r="FHA63" s="1"/>
      <c r="FHB63" s="1"/>
      <c r="FHC63" s="1"/>
      <c r="FHD63" s="1"/>
      <c r="FHE63" s="1"/>
      <c r="FHF63" s="1"/>
      <c r="FHG63" s="1"/>
      <c r="FHH63" s="1"/>
      <c r="FHI63" s="1"/>
      <c r="FHJ63" s="1"/>
      <c r="FHK63" s="1"/>
      <c r="FHL63" s="1"/>
      <c r="FHM63" s="1"/>
      <c r="FHN63" s="1"/>
      <c r="FHO63" s="1"/>
      <c r="FHP63" s="1"/>
      <c r="FHQ63" s="1"/>
      <c r="FHR63" s="1"/>
      <c r="FHS63" s="1"/>
      <c r="FHT63" s="1"/>
      <c r="FHU63" s="1"/>
      <c r="FHV63" s="1"/>
      <c r="FHW63" s="1"/>
      <c r="FHX63" s="1"/>
      <c r="FHY63" s="1"/>
      <c r="FHZ63" s="1"/>
      <c r="FIA63" s="1"/>
      <c r="FIB63" s="1"/>
      <c r="FIC63" s="1"/>
      <c r="FID63" s="1"/>
      <c r="FIE63" s="1"/>
      <c r="FIF63" s="1"/>
      <c r="FIG63" s="1"/>
      <c r="FIH63" s="1"/>
      <c r="FII63" s="1"/>
      <c r="FIJ63" s="1"/>
      <c r="FIK63" s="1"/>
      <c r="FIL63" s="1"/>
      <c r="FIM63" s="1"/>
      <c r="FIN63" s="1"/>
      <c r="FIO63" s="1"/>
      <c r="FIP63" s="1"/>
      <c r="FIQ63" s="1"/>
      <c r="FIR63" s="1"/>
      <c r="FIS63" s="1"/>
      <c r="FIT63" s="1"/>
      <c r="FIU63" s="1"/>
      <c r="FIV63" s="1"/>
      <c r="FIW63" s="1"/>
      <c r="FIX63" s="1"/>
      <c r="FIY63" s="1"/>
      <c r="FIZ63" s="1"/>
      <c r="FJA63" s="1"/>
      <c r="FJB63" s="1"/>
      <c r="FJC63" s="1"/>
      <c r="FJD63" s="1"/>
      <c r="FJE63" s="1"/>
      <c r="FJF63" s="1"/>
      <c r="FJG63" s="1"/>
      <c r="FJH63" s="1"/>
      <c r="FJI63" s="1"/>
      <c r="FJJ63" s="1"/>
      <c r="FJK63" s="1"/>
      <c r="FJL63" s="1"/>
      <c r="FJM63" s="1"/>
      <c r="FJN63" s="1"/>
      <c r="FJO63" s="1"/>
      <c r="FJP63" s="1"/>
      <c r="FJQ63" s="1"/>
      <c r="FJR63" s="1"/>
      <c r="FJS63" s="1"/>
      <c r="FJT63" s="1"/>
      <c r="FJU63" s="1"/>
      <c r="FJV63" s="1"/>
      <c r="FJW63" s="1"/>
      <c r="FJX63" s="1"/>
      <c r="FJY63" s="1"/>
      <c r="FJZ63" s="1"/>
      <c r="FKA63" s="1"/>
      <c r="FKB63" s="1"/>
      <c r="FKC63" s="1"/>
      <c r="FKD63" s="1"/>
      <c r="FKE63" s="1"/>
      <c r="FKF63" s="1"/>
      <c r="FKG63" s="1"/>
      <c r="FKH63" s="1"/>
      <c r="FKI63" s="1"/>
      <c r="FKJ63" s="1"/>
      <c r="FKK63" s="1"/>
      <c r="FKL63" s="1"/>
      <c r="FKM63" s="1"/>
      <c r="FKN63" s="1"/>
      <c r="FKO63" s="1"/>
      <c r="FKP63" s="1"/>
      <c r="FKQ63" s="1"/>
      <c r="FKR63" s="1"/>
      <c r="FKS63" s="1"/>
      <c r="FKT63" s="1"/>
      <c r="FKU63" s="1"/>
      <c r="FKV63" s="1"/>
      <c r="FKW63" s="1"/>
      <c r="FKX63" s="1"/>
      <c r="FKY63" s="1"/>
      <c r="FKZ63" s="1"/>
      <c r="FLA63" s="1"/>
      <c r="FLB63" s="1"/>
      <c r="FLC63" s="1"/>
      <c r="FLD63" s="1"/>
      <c r="FLE63" s="1"/>
      <c r="FLF63" s="1"/>
      <c r="FLG63" s="1"/>
      <c r="FLH63" s="1"/>
      <c r="FLI63" s="1"/>
      <c r="FLJ63" s="1"/>
      <c r="FLK63" s="1"/>
      <c r="FLL63" s="1"/>
      <c r="FLM63" s="1"/>
      <c r="FLN63" s="1"/>
      <c r="FLO63" s="1"/>
      <c r="FLP63" s="1"/>
      <c r="FLQ63" s="1"/>
      <c r="FLR63" s="1"/>
      <c r="FLS63" s="1"/>
      <c r="FLT63" s="1"/>
      <c r="FLU63" s="1"/>
      <c r="FLV63" s="1"/>
      <c r="FLW63" s="1"/>
      <c r="FLX63" s="1"/>
      <c r="FLY63" s="1"/>
      <c r="FLZ63" s="1"/>
      <c r="FMA63" s="1"/>
      <c r="FMB63" s="1"/>
      <c r="FMC63" s="1"/>
      <c r="FMD63" s="1"/>
      <c r="FME63" s="1"/>
      <c r="FMF63" s="1"/>
      <c r="FMG63" s="1"/>
      <c r="FMH63" s="1"/>
      <c r="FMI63" s="1"/>
      <c r="FMJ63" s="1"/>
      <c r="FMK63" s="1"/>
      <c r="FML63" s="1"/>
      <c r="FMM63" s="1"/>
      <c r="FMN63" s="1"/>
      <c r="FMO63" s="1"/>
      <c r="FMP63" s="1"/>
      <c r="FMQ63" s="1"/>
      <c r="FMR63" s="1"/>
      <c r="FMS63" s="1"/>
      <c r="FMT63" s="1"/>
      <c r="FMU63" s="1"/>
      <c r="FMV63" s="1"/>
      <c r="FMW63" s="1"/>
      <c r="FMX63" s="1"/>
      <c r="FMY63" s="1"/>
      <c r="FMZ63" s="1"/>
      <c r="FNA63" s="1"/>
      <c r="FNB63" s="1"/>
      <c r="FNC63" s="1"/>
      <c r="FND63" s="1"/>
      <c r="FNE63" s="1"/>
      <c r="FNF63" s="1"/>
      <c r="FNG63" s="1"/>
      <c r="FNH63" s="1"/>
      <c r="FNI63" s="1"/>
      <c r="FNJ63" s="1"/>
      <c r="FNK63" s="1"/>
      <c r="FNL63" s="1"/>
      <c r="FNM63" s="1"/>
      <c r="FNN63" s="1"/>
      <c r="FNO63" s="1"/>
      <c r="FNP63" s="1"/>
      <c r="FNQ63" s="1"/>
      <c r="FNR63" s="1"/>
      <c r="FNS63" s="1"/>
      <c r="FNT63" s="1"/>
      <c r="FNU63" s="1"/>
      <c r="FNV63" s="1"/>
      <c r="FNW63" s="1"/>
      <c r="FNX63" s="1"/>
      <c r="FNY63" s="1"/>
      <c r="FNZ63" s="1"/>
      <c r="FOA63" s="1"/>
      <c r="FOB63" s="1"/>
      <c r="FOC63" s="1"/>
      <c r="FOD63" s="1"/>
      <c r="FOE63" s="1"/>
      <c r="FOF63" s="1"/>
      <c r="FOG63" s="1"/>
      <c r="FOH63" s="1"/>
      <c r="FOI63" s="1"/>
      <c r="FOJ63" s="1"/>
      <c r="FOK63" s="1"/>
      <c r="FOL63" s="1"/>
      <c r="FOM63" s="1"/>
      <c r="FON63" s="1"/>
      <c r="FOO63" s="1"/>
      <c r="FOP63" s="1"/>
      <c r="FOQ63" s="1"/>
      <c r="FOR63" s="1"/>
      <c r="FOS63" s="1"/>
      <c r="FOT63" s="1"/>
      <c r="FOU63" s="1"/>
      <c r="FOV63" s="1"/>
      <c r="FOW63" s="1"/>
      <c r="FOX63" s="1"/>
      <c r="FOY63" s="1"/>
      <c r="FOZ63" s="1"/>
      <c r="FPA63" s="1"/>
      <c r="FPB63" s="1"/>
      <c r="FPC63" s="1"/>
      <c r="FPD63" s="1"/>
      <c r="FPE63" s="1"/>
      <c r="FPF63" s="1"/>
      <c r="FPG63" s="1"/>
      <c r="FPH63" s="1"/>
      <c r="FPI63" s="1"/>
      <c r="FPJ63" s="1"/>
      <c r="FPK63" s="1"/>
      <c r="FPL63" s="1"/>
      <c r="FPM63" s="1"/>
      <c r="FPN63" s="1"/>
      <c r="FPO63" s="1"/>
      <c r="FPP63" s="1"/>
      <c r="FPQ63" s="1"/>
      <c r="FPR63" s="1"/>
      <c r="FPS63" s="1"/>
      <c r="FPT63" s="1"/>
      <c r="FPU63" s="1"/>
      <c r="FPV63" s="1"/>
      <c r="FPW63" s="1"/>
      <c r="FPX63" s="1"/>
      <c r="FPY63" s="1"/>
      <c r="FPZ63" s="1"/>
      <c r="FQA63" s="1"/>
      <c r="FQB63" s="1"/>
      <c r="FQC63" s="1"/>
      <c r="FQD63" s="1"/>
      <c r="FQE63" s="1"/>
      <c r="FQF63" s="1"/>
      <c r="FQG63" s="1"/>
      <c r="FQH63" s="1"/>
      <c r="FQI63" s="1"/>
      <c r="FQJ63" s="1"/>
      <c r="FQK63" s="1"/>
      <c r="FQL63" s="1"/>
      <c r="FQM63" s="1"/>
      <c r="FQN63" s="1"/>
      <c r="FQO63" s="1"/>
      <c r="FQP63" s="1"/>
      <c r="FQQ63" s="1"/>
      <c r="FQR63" s="1"/>
      <c r="FQS63" s="1"/>
      <c r="FQT63" s="1"/>
      <c r="FQU63" s="1"/>
      <c r="FQV63" s="1"/>
      <c r="FQW63" s="1"/>
      <c r="FQX63" s="1"/>
      <c r="FQY63" s="1"/>
      <c r="FQZ63" s="1"/>
      <c r="FRA63" s="1"/>
      <c r="FRB63" s="1"/>
      <c r="FRC63" s="1"/>
      <c r="FRD63" s="1"/>
      <c r="FRE63" s="1"/>
      <c r="FRF63" s="1"/>
      <c r="FRG63" s="1"/>
      <c r="FRH63" s="1"/>
      <c r="FRI63" s="1"/>
      <c r="FRJ63" s="1"/>
      <c r="FRK63" s="1"/>
      <c r="FRL63" s="1"/>
      <c r="FRM63" s="1"/>
      <c r="FRN63" s="1"/>
      <c r="FRO63" s="1"/>
      <c r="FRP63" s="1"/>
      <c r="FRQ63" s="1"/>
      <c r="FRR63" s="1"/>
      <c r="FRS63" s="1"/>
      <c r="FRT63" s="1"/>
      <c r="FRU63" s="1"/>
      <c r="FRV63" s="1"/>
      <c r="FRW63" s="1"/>
      <c r="FRX63" s="1"/>
      <c r="FRY63" s="1"/>
      <c r="FRZ63" s="1"/>
      <c r="FSA63" s="1"/>
      <c r="FSB63" s="1"/>
      <c r="FSC63" s="1"/>
      <c r="FSD63" s="1"/>
      <c r="FSE63" s="1"/>
      <c r="FSF63" s="1"/>
      <c r="FSG63" s="1"/>
      <c r="FSH63" s="1"/>
      <c r="FSI63" s="1"/>
      <c r="FSJ63" s="1"/>
      <c r="FSK63" s="1"/>
      <c r="FSL63" s="1"/>
      <c r="FSM63" s="1"/>
      <c r="FSN63" s="1"/>
      <c r="FSO63" s="1"/>
      <c r="FSP63" s="1"/>
      <c r="FSQ63" s="1"/>
      <c r="FSR63" s="1"/>
      <c r="FSS63" s="1"/>
      <c r="FST63" s="1"/>
      <c r="FSU63" s="1"/>
      <c r="FSV63" s="1"/>
      <c r="FSW63" s="1"/>
      <c r="FSX63" s="1"/>
      <c r="FSY63" s="1"/>
      <c r="FSZ63" s="1"/>
      <c r="FTA63" s="1"/>
      <c r="FTB63" s="1"/>
      <c r="FTC63" s="1"/>
      <c r="FTD63" s="1"/>
      <c r="FTE63" s="1"/>
      <c r="FTF63" s="1"/>
      <c r="FTG63" s="1"/>
      <c r="FTH63" s="1"/>
      <c r="FTI63" s="1"/>
      <c r="FTJ63" s="1"/>
      <c r="FTK63" s="1"/>
      <c r="FTL63" s="1"/>
      <c r="FTM63" s="1"/>
      <c r="FTN63" s="1"/>
      <c r="FTO63" s="1"/>
      <c r="FTP63" s="1"/>
      <c r="FTQ63" s="1"/>
      <c r="FTR63" s="1"/>
      <c r="FTS63" s="1"/>
      <c r="FTT63" s="1"/>
      <c r="FTU63" s="1"/>
      <c r="FTV63" s="1"/>
      <c r="FTW63" s="1"/>
      <c r="FTX63" s="1"/>
      <c r="FTY63" s="1"/>
      <c r="FTZ63" s="1"/>
      <c r="FUA63" s="1"/>
      <c r="FUB63" s="1"/>
      <c r="FUC63" s="1"/>
      <c r="FUD63" s="1"/>
      <c r="FUE63" s="1"/>
      <c r="FUF63" s="1"/>
      <c r="FUG63" s="1"/>
      <c r="FUH63" s="1"/>
      <c r="FUI63" s="1"/>
      <c r="FUJ63" s="1"/>
      <c r="FUK63" s="1"/>
      <c r="FUL63" s="1"/>
      <c r="FUM63" s="1"/>
      <c r="FUN63" s="1"/>
      <c r="FUO63" s="1"/>
      <c r="FUP63" s="1"/>
      <c r="FUQ63" s="1"/>
      <c r="FUR63" s="1"/>
      <c r="FUS63" s="1"/>
      <c r="FUT63" s="1"/>
      <c r="FUU63" s="1"/>
      <c r="FUV63" s="1"/>
      <c r="FUW63" s="1"/>
      <c r="FUX63" s="1"/>
      <c r="FUY63" s="1"/>
      <c r="FUZ63" s="1"/>
      <c r="FVA63" s="1"/>
      <c r="FVB63" s="1"/>
      <c r="FVC63" s="1"/>
      <c r="FVD63" s="1"/>
      <c r="FVE63" s="1"/>
      <c r="FVF63" s="1"/>
      <c r="FVG63" s="1"/>
      <c r="FVH63" s="1"/>
      <c r="FVI63" s="1"/>
      <c r="FVJ63" s="1"/>
      <c r="FVK63" s="1"/>
      <c r="FVL63" s="1"/>
      <c r="FVM63" s="1"/>
      <c r="FVN63" s="1"/>
      <c r="FVO63" s="1"/>
      <c r="FVP63" s="1"/>
      <c r="FVQ63" s="1"/>
      <c r="FVR63" s="1"/>
      <c r="FVS63" s="1"/>
      <c r="FVT63" s="1"/>
      <c r="FVU63" s="1"/>
      <c r="FVV63" s="1"/>
      <c r="FVW63" s="1"/>
      <c r="FVX63" s="1"/>
      <c r="FVY63" s="1"/>
      <c r="FVZ63" s="1"/>
      <c r="FWA63" s="1"/>
      <c r="FWB63" s="1"/>
      <c r="FWC63" s="1"/>
      <c r="FWD63" s="1"/>
      <c r="FWE63" s="1"/>
      <c r="FWF63" s="1"/>
      <c r="FWG63" s="1"/>
      <c r="FWH63" s="1"/>
      <c r="FWI63" s="1"/>
      <c r="FWJ63" s="1"/>
      <c r="FWK63" s="1"/>
      <c r="FWL63" s="1"/>
      <c r="FWM63" s="1"/>
      <c r="FWN63" s="1"/>
      <c r="FWO63" s="1"/>
      <c r="FWP63" s="1"/>
      <c r="FWQ63" s="1"/>
      <c r="FWR63" s="1"/>
      <c r="FWS63" s="1"/>
      <c r="FWT63" s="1"/>
      <c r="FWU63" s="1"/>
      <c r="FWV63" s="1"/>
      <c r="FWW63" s="1"/>
      <c r="FWX63" s="1"/>
      <c r="FWY63" s="1"/>
      <c r="FWZ63" s="1"/>
      <c r="FXA63" s="1"/>
      <c r="FXB63" s="1"/>
      <c r="FXC63" s="1"/>
      <c r="FXD63" s="1"/>
      <c r="FXE63" s="1"/>
      <c r="FXF63" s="1"/>
      <c r="FXG63" s="1"/>
      <c r="FXH63" s="1"/>
      <c r="FXI63" s="1"/>
      <c r="FXJ63" s="1"/>
      <c r="FXK63" s="1"/>
      <c r="FXL63" s="1"/>
      <c r="FXM63" s="1"/>
      <c r="FXN63" s="1"/>
      <c r="FXO63" s="1"/>
      <c r="FXP63" s="1"/>
      <c r="FXQ63" s="1"/>
      <c r="FXR63" s="1"/>
      <c r="FXS63" s="1"/>
      <c r="FXT63" s="1"/>
      <c r="FXU63" s="1"/>
      <c r="FXV63" s="1"/>
      <c r="FXW63" s="1"/>
      <c r="FXX63" s="1"/>
      <c r="FXY63" s="1"/>
      <c r="FXZ63" s="1"/>
      <c r="FYA63" s="1"/>
      <c r="FYB63" s="1"/>
      <c r="FYC63" s="1"/>
      <c r="FYD63" s="1"/>
      <c r="FYE63" s="1"/>
      <c r="FYF63" s="1"/>
      <c r="FYG63" s="1"/>
      <c r="FYH63" s="1"/>
      <c r="FYI63" s="1"/>
      <c r="FYJ63" s="1"/>
      <c r="FYK63" s="1"/>
      <c r="FYL63" s="1"/>
      <c r="FYM63" s="1"/>
      <c r="FYN63" s="1"/>
      <c r="FYO63" s="1"/>
      <c r="FYP63" s="1"/>
      <c r="FYQ63" s="1"/>
      <c r="FYR63" s="1"/>
      <c r="FYS63" s="1"/>
      <c r="FYT63" s="1"/>
      <c r="FYU63" s="1"/>
      <c r="FYV63" s="1"/>
      <c r="FYW63" s="1"/>
      <c r="FYX63" s="1"/>
      <c r="FYY63" s="1"/>
      <c r="FYZ63" s="1"/>
      <c r="FZA63" s="1"/>
      <c r="FZB63" s="1"/>
      <c r="FZC63" s="1"/>
      <c r="FZD63" s="1"/>
      <c r="FZE63" s="1"/>
      <c r="FZF63" s="1"/>
      <c r="FZG63" s="1"/>
      <c r="FZH63" s="1"/>
      <c r="FZI63" s="1"/>
      <c r="FZJ63" s="1"/>
      <c r="FZK63" s="1"/>
      <c r="FZL63" s="1"/>
      <c r="FZM63" s="1"/>
      <c r="FZN63" s="1"/>
      <c r="FZO63" s="1"/>
      <c r="FZP63" s="1"/>
      <c r="FZQ63" s="1"/>
      <c r="FZR63" s="1"/>
      <c r="FZS63" s="1"/>
      <c r="FZT63" s="1"/>
      <c r="FZU63" s="1"/>
      <c r="FZV63" s="1"/>
      <c r="FZW63" s="1"/>
      <c r="FZX63" s="1"/>
      <c r="FZY63" s="1"/>
      <c r="FZZ63" s="1"/>
      <c r="GAA63" s="1"/>
      <c r="GAB63" s="1"/>
      <c r="GAC63" s="1"/>
      <c r="GAD63" s="1"/>
      <c r="GAE63" s="1"/>
      <c r="GAF63" s="1"/>
      <c r="GAG63" s="1"/>
      <c r="GAH63" s="1"/>
      <c r="GAI63" s="1"/>
      <c r="GAJ63" s="1"/>
      <c r="GAK63" s="1"/>
      <c r="GAL63" s="1"/>
      <c r="GAM63" s="1"/>
      <c r="GAN63" s="1"/>
      <c r="GAO63" s="1"/>
      <c r="GAP63" s="1"/>
      <c r="GAQ63" s="1"/>
      <c r="GAR63" s="1"/>
      <c r="GAS63" s="1"/>
      <c r="GAT63" s="1"/>
      <c r="GAU63" s="1"/>
      <c r="GAV63" s="1"/>
      <c r="GAW63" s="1"/>
      <c r="GAX63" s="1"/>
      <c r="GAY63" s="1"/>
      <c r="GAZ63" s="1"/>
      <c r="GBA63" s="1"/>
      <c r="GBB63" s="1"/>
      <c r="GBC63" s="1"/>
      <c r="GBD63" s="1"/>
      <c r="GBE63" s="1"/>
      <c r="GBF63" s="1"/>
      <c r="GBG63" s="1"/>
      <c r="GBH63" s="1"/>
      <c r="GBI63" s="1"/>
      <c r="GBJ63" s="1"/>
      <c r="GBK63" s="1"/>
      <c r="GBL63" s="1"/>
      <c r="GBM63" s="1"/>
      <c r="GBN63" s="1"/>
      <c r="GBO63" s="1"/>
      <c r="GBP63" s="1"/>
      <c r="GBQ63" s="1"/>
      <c r="GBR63" s="1"/>
      <c r="GBS63" s="1"/>
      <c r="GBT63" s="1"/>
      <c r="GBU63" s="1"/>
      <c r="GBV63" s="1"/>
      <c r="GBW63" s="1"/>
      <c r="GBX63" s="1"/>
      <c r="GBY63" s="1"/>
      <c r="GBZ63" s="1"/>
      <c r="GCA63" s="1"/>
      <c r="GCB63" s="1"/>
      <c r="GCC63" s="1"/>
      <c r="GCD63" s="1"/>
      <c r="GCE63" s="1"/>
      <c r="GCF63" s="1"/>
      <c r="GCG63" s="1"/>
      <c r="GCH63" s="1"/>
      <c r="GCI63" s="1"/>
      <c r="GCJ63" s="1"/>
      <c r="GCK63" s="1"/>
      <c r="GCL63" s="1"/>
      <c r="GCM63" s="1"/>
      <c r="GCN63" s="1"/>
      <c r="GCO63" s="1"/>
      <c r="GCP63" s="1"/>
      <c r="GCQ63" s="1"/>
      <c r="GCR63" s="1"/>
      <c r="GCS63" s="1"/>
      <c r="GCT63" s="1"/>
      <c r="GCU63" s="1"/>
      <c r="GCV63" s="1"/>
      <c r="GCW63" s="1"/>
      <c r="GCX63" s="1"/>
      <c r="GCY63" s="1"/>
      <c r="GCZ63" s="1"/>
      <c r="GDA63" s="1"/>
      <c r="GDB63" s="1"/>
      <c r="GDC63" s="1"/>
      <c r="GDD63" s="1"/>
      <c r="GDE63" s="1"/>
      <c r="GDF63" s="1"/>
      <c r="GDG63" s="1"/>
      <c r="GDH63" s="1"/>
      <c r="GDI63" s="1"/>
      <c r="GDJ63" s="1"/>
      <c r="GDK63" s="1"/>
      <c r="GDL63" s="1"/>
      <c r="GDM63" s="1"/>
      <c r="GDN63" s="1"/>
      <c r="GDO63" s="1"/>
      <c r="GDP63" s="1"/>
      <c r="GDQ63" s="1"/>
      <c r="GDR63" s="1"/>
      <c r="GDS63" s="1"/>
      <c r="GDT63" s="1"/>
      <c r="GDU63" s="1"/>
      <c r="GDV63" s="1"/>
      <c r="GDW63" s="1"/>
      <c r="GDX63" s="1"/>
      <c r="GDY63" s="1"/>
      <c r="GDZ63" s="1"/>
      <c r="GEA63" s="1"/>
      <c r="GEB63" s="1"/>
      <c r="GEC63" s="1"/>
      <c r="GED63" s="1"/>
      <c r="GEE63" s="1"/>
      <c r="GEF63" s="1"/>
      <c r="GEG63" s="1"/>
      <c r="GEH63" s="1"/>
      <c r="GEI63" s="1"/>
      <c r="GEJ63" s="1"/>
      <c r="GEK63" s="1"/>
      <c r="GEL63" s="1"/>
      <c r="GEM63" s="1"/>
      <c r="GEN63" s="1"/>
      <c r="GEO63" s="1"/>
      <c r="GEP63" s="1"/>
      <c r="GEQ63" s="1"/>
      <c r="GER63" s="1"/>
      <c r="GES63" s="1"/>
      <c r="GET63" s="1"/>
      <c r="GEU63" s="1"/>
      <c r="GEV63" s="1"/>
      <c r="GEW63" s="1"/>
      <c r="GEX63" s="1"/>
      <c r="GEY63" s="1"/>
      <c r="GEZ63" s="1"/>
      <c r="GFA63" s="1"/>
      <c r="GFB63" s="1"/>
      <c r="GFC63" s="1"/>
      <c r="GFD63" s="1"/>
      <c r="GFE63" s="1"/>
      <c r="GFF63" s="1"/>
      <c r="GFG63" s="1"/>
      <c r="GFH63" s="1"/>
      <c r="GFI63" s="1"/>
      <c r="GFJ63" s="1"/>
      <c r="GFK63" s="1"/>
      <c r="GFL63" s="1"/>
      <c r="GFM63" s="1"/>
      <c r="GFN63" s="1"/>
      <c r="GFO63" s="1"/>
      <c r="GFP63" s="1"/>
      <c r="GFQ63" s="1"/>
      <c r="GFR63" s="1"/>
      <c r="GFS63" s="1"/>
      <c r="GFT63" s="1"/>
      <c r="GFU63" s="1"/>
      <c r="GFV63" s="1"/>
      <c r="GFW63" s="1"/>
      <c r="GFX63" s="1"/>
      <c r="GFY63" s="1"/>
      <c r="GFZ63" s="1"/>
      <c r="GGA63" s="1"/>
      <c r="GGB63" s="1"/>
      <c r="GGC63" s="1"/>
      <c r="GGD63" s="1"/>
      <c r="GGE63" s="1"/>
      <c r="GGF63" s="1"/>
      <c r="GGG63" s="1"/>
      <c r="GGH63" s="1"/>
      <c r="GGI63" s="1"/>
      <c r="GGJ63" s="1"/>
      <c r="GGK63" s="1"/>
      <c r="GGL63" s="1"/>
      <c r="GGM63" s="1"/>
      <c r="GGN63" s="1"/>
      <c r="GGO63" s="1"/>
      <c r="GGP63" s="1"/>
      <c r="GGQ63" s="1"/>
      <c r="GGR63" s="1"/>
      <c r="GGS63" s="1"/>
      <c r="GGT63" s="1"/>
      <c r="GGU63" s="1"/>
      <c r="GGV63" s="1"/>
      <c r="GGW63" s="1"/>
      <c r="GGX63" s="1"/>
      <c r="GGY63" s="1"/>
      <c r="GGZ63" s="1"/>
      <c r="GHA63" s="1"/>
      <c r="GHB63" s="1"/>
      <c r="GHC63" s="1"/>
      <c r="GHD63" s="1"/>
      <c r="GHE63" s="1"/>
      <c r="GHF63" s="1"/>
      <c r="GHG63" s="1"/>
      <c r="GHH63" s="1"/>
      <c r="GHI63" s="1"/>
      <c r="GHJ63" s="1"/>
      <c r="GHK63" s="1"/>
      <c r="GHL63" s="1"/>
      <c r="GHM63" s="1"/>
      <c r="GHN63" s="1"/>
      <c r="GHO63" s="1"/>
      <c r="GHP63" s="1"/>
      <c r="GHQ63" s="1"/>
      <c r="GHR63" s="1"/>
      <c r="GHS63" s="1"/>
      <c r="GHT63" s="1"/>
      <c r="GHU63" s="1"/>
      <c r="GHV63" s="1"/>
      <c r="GHW63" s="1"/>
      <c r="GHX63" s="1"/>
      <c r="GHY63" s="1"/>
      <c r="GHZ63" s="1"/>
      <c r="GIA63" s="1"/>
      <c r="GIB63" s="1"/>
      <c r="GIC63" s="1"/>
      <c r="GID63" s="1"/>
      <c r="GIE63" s="1"/>
      <c r="GIF63" s="1"/>
      <c r="GIG63" s="1"/>
      <c r="GIH63" s="1"/>
      <c r="GII63" s="1"/>
      <c r="GIJ63" s="1"/>
      <c r="GIK63" s="1"/>
      <c r="GIL63" s="1"/>
      <c r="GIM63" s="1"/>
      <c r="GIN63" s="1"/>
      <c r="GIO63" s="1"/>
      <c r="GIP63" s="1"/>
      <c r="GIQ63" s="1"/>
      <c r="GIR63" s="1"/>
      <c r="GIS63" s="1"/>
      <c r="GIT63" s="1"/>
      <c r="GIU63" s="1"/>
      <c r="GIV63" s="1"/>
      <c r="GIW63" s="1"/>
      <c r="GIX63" s="1"/>
      <c r="GIY63" s="1"/>
      <c r="GIZ63" s="1"/>
      <c r="GJA63" s="1"/>
      <c r="GJB63" s="1"/>
      <c r="GJC63" s="1"/>
      <c r="GJD63" s="1"/>
      <c r="GJE63" s="1"/>
      <c r="GJF63" s="1"/>
      <c r="GJG63" s="1"/>
      <c r="GJH63" s="1"/>
      <c r="GJI63" s="1"/>
      <c r="GJJ63" s="1"/>
      <c r="GJK63" s="1"/>
      <c r="GJL63" s="1"/>
      <c r="GJM63" s="1"/>
      <c r="GJN63" s="1"/>
      <c r="GJO63" s="1"/>
      <c r="GJP63" s="1"/>
      <c r="GJQ63" s="1"/>
      <c r="GJR63" s="1"/>
      <c r="GJS63" s="1"/>
      <c r="GJT63" s="1"/>
      <c r="GJU63" s="1"/>
      <c r="GJV63" s="1"/>
      <c r="GJW63" s="1"/>
      <c r="GJX63" s="1"/>
      <c r="GJY63" s="1"/>
      <c r="GJZ63" s="1"/>
      <c r="GKA63" s="1"/>
      <c r="GKB63" s="1"/>
      <c r="GKC63" s="1"/>
      <c r="GKD63" s="1"/>
      <c r="GKE63" s="1"/>
      <c r="GKF63" s="1"/>
      <c r="GKG63" s="1"/>
      <c r="GKH63" s="1"/>
      <c r="GKI63" s="1"/>
      <c r="GKJ63" s="1"/>
      <c r="GKK63" s="1"/>
      <c r="GKL63" s="1"/>
      <c r="GKM63" s="1"/>
      <c r="GKN63" s="1"/>
      <c r="GKO63" s="1"/>
      <c r="GKP63" s="1"/>
      <c r="GKQ63" s="1"/>
      <c r="GKR63" s="1"/>
      <c r="GKS63" s="1"/>
      <c r="GKT63" s="1"/>
      <c r="GKU63" s="1"/>
      <c r="GKV63" s="1"/>
      <c r="GKW63" s="1"/>
      <c r="GKX63" s="1"/>
      <c r="GKY63" s="1"/>
      <c r="GKZ63" s="1"/>
      <c r="GLA63" s="1"/>
      <c r="GLB63" s="1"/>
      <c r="GLC63" s="1"/>
      <c r="GLD63" s="1"/>
      <c r="GLE63" s="1"/>
      <c r="GLF63" s="1"/>
      <c r="GLG63" s="1"/>
      <c r="GLH63" s="1"/>
      <c r="GLI63" s="1"/>
      <c r="GLJ63" s="1"/>
      <c r="GLK63" s="1"/>
      <c r="GLL63" s="1"/>
      <c r="GLM63" s="1"/>
      <c r="GLN63" s="1"/>
      <c r="GLO63" s="1"/>
      <c r="GLP63" s="1"/>
      <c r="GLQ63" s="1"/>
      <c r="GLR63" s="1"/>
      <c r="GLS63" s="1"/>
      <c r="GLT63" s="1"/>
      <c r="GLU63" s="1"/>
      <c r="GLV63" s="1"/>
      <c r="GLW63" s="1"/>
      <c r="GLX63" s="1"/>
      <c r="GLY63" s="1"/>
      <c r="GLZ63" s="1"/>
      <c r="GMA63" s="1"/>
      <c r="GMB63" s="1"/>
      <c r="GMC63" s="1"/>
      <c r="GMD63" s="1"/>
      <c r="GME63" s="1"/>
      <c r="GMF63" s="1"/>
      <c r="GMG63" s="1"/>
      <c r="GMH63" s="1"/>
      <c r="GMI63" s="1"/>
      <c r="GMJ63" s="1"/>
      <c r="GMK63" s="1"/>
      <c r="GML63" s="1"/>
      <c r="GMM63" s="1"/>
      <c r="GMN63" s="1"/>
      <c r="GMO63" s="1"/>
      <c r="GMP63" s="1"/>
      <c r="GMQ63" s="1"/>
      <c r="GMR63" s="1"/>
      <c r="GMS63" s="1"/>
      <c r="GMT63" s="1"/>
      <c r="GMU63" s="1"/>
      <c r="GMV63" s="1"/>
      <c r="GMW63" s="1"/>
      <c r="GMX63" s="1"/>
      <c r="GMY63" s="1"/>
      <c r="GMZ63" s="1"/>
      <c r="GNA63" s="1"/>
      <c r="GNB63" s="1"/>
      <c r="GNC63" s="1"/>
      <c r="GND63" s="1"/>
      <c r="GNE63" s="1"/>
      <c r="GNF63" s="1"/>
      <c r="GNG63" s="1"/>
      <c r="GNH63" s="1"/>
      <c r="GNI63" s="1"/>
      <c r="GNJ63" s="1"/>
      <c r="GNK63" s="1"/>
      <c r="GNL63" s="1"/>
      <c r="GNM63" s="1"/>
      <c r="GNN63" s="1"/>
      <c r="GNO63" s="1"/>
      <c r="GNP63" s="1"/>
      <c r="GNQ63" s="1"/>
      <c r="GNR63" s="1"/>
      <c r="GNS63" s="1"/>
      <c r="GNT63" s="1"/>
      <c r="GNU63" s="1"/>
      <c r="GNV63" s="1"/>
      <c r="GNW63" s="1"/>
      <c r="GNX63" s="1"/>
      <c r="GNY63" s="1"/>
      <c r="GNZ63" s="1"/>
      <c r="GOA63" s="1"/>
      <c r="GOB63" s="1"/>
      <c r="GOC63" s="1"/>
      <c r="GOD63" s="1"/>
      <c r="GOE63" s="1"/>
      <c r="GOF63" s="1"/>
      <c r="GOG63" s="1"/>
      <c r="GOH63" s="1"/>
      <c r="GOI63" s="1"/>
      <c r="GOJ63" s="1"/>
      <c r="GOK63" s="1"/>
      <c r="GOL63" s="1"/>
      <c r="GOM63" s="1"/>
      <c r="GON63" s="1"/>
      <c r="GOO63" s="1"/>
      <c r="GOP63" s="1"/>
      <c r="GOQ63" s="1"/>
      <c r="GOR63" s="1"/>
      <c r="GOS63" s="1"/>
      <c r="GOT63" s="1"/>
      <c r="GOU63" s="1"/>
      <c r="GOV63" s="1"/>
      <c r="GOW63" s="1"/>
      <c r="GOX63" s="1"/>
      <c r="GOY63" s="1"/>
      <c r="GOZ63" s="1"/>
      <c r="GPA63" s="1"/>
      <c r="GPB63" s="1"/>
      <c r="GPC63" s="1"/>
      <c r="GPD63" s="1"/>
      <c r="GPE63" s="1"/>
      <c r="GPF63" s="1"/>
      <c r="GPG63" s="1"/>
      <c r="GPH63" s="1"/>
      <c r="GPI63" s="1"/>
      <c r="GPJ63" s="1"/>
      <c r="GPK63" s="1"/>
      <c r="GPL63" s="1"/>
      <c r="GPM63" s="1"/>
      <c r="GPN63" s="1"/>
      <c r="GPO63" s="1"/>
      <c r="GPP63" s="1"/>
      <c r="GPQ63" s="1"/>
      <c r="GPR63" s="1"/>
      <c r="GPS63" s="1"/>
      <c r="GPT63" s="1"/>
      <c r="GPU63" s="1"/>
      <c r="GPV63" s="1"/>
      <c r="GPW63" s="1"/>
      <c r="GPX63" s="1"/>
      <c r="GPY63" s="1"/>
      <c r="GPZ63" s="1"/>
      <c r="GQA63" s="1"/>
      <c r="GQB63" s="1"/>
      <c r="GQC63" s="1"/>
      <c r="GQD63" s="1"/>
      <c r="GQE63" s="1"/>
      <c r="GQF63" s="1"/>
      <c r="GQG63" s="1"/>
      <c r="GQH63" s="1"/>
      <c r="GQI63" s="1"/>
      <c r="GQJ63" s="1"/>
      <c r="GQK63" s="1"/>
      <c r="GQL63" s="1"/>
      <c r="GQM63" s="1"/>
      <c r="GQN63" s="1"/>
      <c r="GQO63" s="1"/>
      <c r="GQP63" s="1"/>
      <c r="GQQ63" s="1"/>
      <c r="GQR63" s="1"/>
      <c r="GQS63" s="1"/>
      <c r="GQT63" s="1"/>
      <c r="GQU63" s="1"/>
      <c r="GQV63" s="1"/>
      <c r="GQW63" s="1"/>
      <c r="GQX63" s="1"/>
      <c r="GQY63" s="1"/>
      <c r="GQZ63" s="1"/>
      <c r="GRA63" s="1"/>
      <c r="GRB63" s="1"/>
      <c r="GRC63" s="1"/>
      <c r="GRD63" s="1"/>
      <c r="GRE63" s="1"/>
      <c r="GRF63" s="1"/>
      <c r="GRG63" s="1"/>
      <c r="GRH63" s="1"/>
      <c r="GRI63" s="1"/>
      <c r="GRJ63" s="1"/>
      <c r="GRK63" s="1"/>
      <c r="GRL63" s="1"/>
      <c r="GRM63" s="1"/>
      <c r="GRN63" s="1"/>
      <c r="GRO63" s="1"/>
      <c r="GRP63" s="1"/>
      <c r="GRQ63" s="1"/>
      <c r="GRR63" s="1"/>
      <c r="GRS63" s="1"/>
      <c r="GRT63" s="1"/>
      <c r="GRU63" s="1"/>
      <c r="GRV63" s="1"/>
      <c r="GRW63" s="1"/>
      <c r="GRX63" s="1"/>
      <c r="GRY63" s="1"/>
      <c r="GRZ63" s="1"/>
      <c r="GSA63" s="1"/>
      <c r="GSB63" s="1"/>
      <c r="GSC63" s="1"/>
      <c r="GSD63" s="1"/>
      <c r="GSE63" s="1"/>
      <c r="GSF63" s="1"/>
      <c r="GSG63" s="1"/>
      <c r="GSH63" s="1"/>
      <c r="GSI63" s="1"/>
      <c r="GSJ63" s="1"/>
      <c r="GSK63" s="1"/>
      <c r="GSL63" s="1"/>
      <c r="GSM63" s="1"/>
      <c r="GSN63" s="1"/>
      <c r="GSO63" s="1"/>
      <c r="GSP63" s="1"/>
      <c r="GSQ63" s="1"/>
      <c r="GSR63" s="1"/>
      <c r="GSS63" s="1"/>
      <c r="GST63" s="1"/>
      <c r="GSU63" s="1"/>
      <c r="GSV63" s="1"/>
      <c r="GSW63" s="1"/>
      <c r="GSX63" s="1"/>
      <c r="GSY63" s="1"/>
      <c r="GSZ63" s="1"/>
      <c r="GTA63" s="1"/>
      <c r="GTB63" s="1"/>
      <c r="GTC63" s="1"/>
      <c r="GTD63" s="1"/>
      <c r="GTE63" s="1"/>
      <c r="GTF63" s="1"/>
      <c r="GTG63" s="1"/>
      <c r="GTH63" s="1"/>
      <c r="GTI63" s="1"/>
      <c r="GTJ63" s="1"/>
      <c r="GTK63" s="1"/>
      <c r="GTL63" s="1"/>
      <c r="GTM63" s="1"/>
      <c r="GTN63" s="1"/>
      <c r="GTO63" s="1"/>
      <c r="GTP63" s="1"/>
      <c r="GTQ63" s="1"/>
      <c r="GTR63" s="1"/>
      <c r="GTS63" s="1"/>
      <c r="GTT63" s="1"/>
      <c r="GTU63" s="1"/>
      <c r="GTV63" s="1"/>
      <c r="GTW63" s="1"/>
      <c r="GTX63" s="1"/>
      <c r="GTY63" s="1"/>
      <c r="GTZ63" s="1"/>
      <c r="GUA63" s="1"/>
      <c r="GUB63" s="1"/>
      <c r="GUC63" s="1"/>
      <c r="GUD63" s="1"/>
      <c r="GUE63" s="1"/>
      <c r="GUF63" s="1"/>
      <c r="GUG63" s="1"/>
      <c r="GUH63" s="1"/>
      <c r="GUI63" s="1"/>
      <c r="GUJ63" s="1"/>
      <c r="GUK63" s="1"/>
      <c r="GUL63" s="1"/>
      <c r="GUM63" s="1"/>
      <c r="GUN63" s="1"/>
      <c r="GUO63" s="1"/>
      <c r="GUP63" s="1"/>
      <c r="GUQ63" s="1"/>
      <c r="GUR63" s="1"/>
      <c r="GUS63" s="1"/>
      <c r="GUT63" s="1"/>
      <c r="GUU63" s="1"/>
      <c r="GUV63" s="1"/>
      <c r="GUW63" s="1"/>
      <c r="GUX63" s="1"/>
      <c r="GUY63" s="1"/>
      <c r="GUZ63" s="1"/>
      <c r="GVA63" s="1"/>
      <c r="GVB63" s="1"/>
      <c r="GVC63" s="1"/>
      <c r="GVD63" s="1"/>
      <c r="GVE63" s="1"/>
      <c r="GVF63" s="1"/>
      <c r="GVG63" s="1"/>
      <c r="GVH63" s="1"/>
      <c r="GVI63" s="1"/>
      <c r="GVJ63" s="1"/>
      <c r="GVK63" s="1"/>
      <c r="GVL63" s="1"/>
      <c r="GVM63" s="1"/>
      <c r="GVN63" s="1"/>
      <c r="GVO63" s="1"/>
      <c r="GVP63" s="1"/>
      <c r="GVQ63" s="1"/>
      <c r="GVR63" s="1"/>
      <c r="GVS63" s="1"/>
      <c r="GVT63" s="1"/>
      <c r="GVU63" s="1"/>
      <c r="GVV63" s="1"/>
      <c r="GVW63" s="1"/>
      <c r="GVX63" s="1"/>
      <c r="GVY63" s="1"/>
      <c r="GVZ63" s="1"/>
      <c r="GWA63" s="1"/>
      <c r="GWB63" s="1"/>
      <c r="GWC63" s="1"/>
      <c r="GWD63" s="1"/>
      <c r="GWE63" s="1"/>
      <c r="GWF63" s="1"/>
      <c r="GWG63" s="1"/>
      <c r="GWH63" s="1"/>
      <c r="GWI63" s="1"/>
      <c r="GWJ63" s="1"/>
      <c r="GWK63" s="1"/>
      <c r="GWL63" s="1"/>
      <c r="GWM63" s="1"/>
      <c r="GWN63" s="1"/>
      <c r="GWO63" s="1"/>
      <c r="GWP63" s="1"/>
      <c r="GWQ63" s="1"/>
      <c r="GWR63" s="1"/>
      <c r="GWS63" s="1"/>
      <c r="GWT63" s="1"/>
      <c r="GWU63" s="1"/>
      <c r="GWV63" s="1"/>
      <c r="GWW63" s="1"/>
      <c r="GWX63" s="1"/>
      <c r="GWY63" s="1"/>
      <c r="GWZ63" s="1"/>
      <c r="GXA63" s="1"/>
      <c r="GXB63" s="1"/>
      <c r="GXC63" s="1"/>
      <c r="GXD63" s="1"/>
      <c r="GXE63" s="1"/>
      <c r="GXF63" s="1"/>
      <c r="GXG63" s="1"/>
      <c r="GXH63" s="1"/>
      <c r="GXI63" s="1"/>
      <c r="GXJ63" s="1"/>
      <c r="GXK63" s="1"/>
      <c r="GXL63" s="1"/>
      <c r="GXM63" s="1"/>
      <c r="GXN63" s="1"/>
      <c r="GXO63" s="1"/>
      <c r="GXP63" s="1"/>
      <c r="GXQ63" s="1"/>
      <c r="GXR63" s="1"/>
      <c r="GXS63" s="1"/>
      <c r="GXT63" s="1"/>
      <c r="GXU63" s="1"/>
      <c r="GXV63" s="1"/>
      <c r="GXW63" s="1"/>
      <c r="GXX63" s="1"/>
      <c r="GXY63" s="1"/>
      <c r="GXZ63" s="1"/>
      <c r="GYA63" s="1"/>
      <c r="GYB63" s="1"/>
      <c r="GYC63" s="1"/>
      <c r="GYD63" s="1"/>
      <c r="GYE63" s="1"/>
      <c r="GYF63" s="1"/>
      <c r="GYG63" s="1"/>
      <c r="GYH63" s="1"/>
      <c r="GYI63" s="1"/>
      <c r="GYJ63" s="1"/>
      <c r="GYK63" s="1"/>
      <c r="GYL63" s="1"/>
      <c r="GYM63" s="1"/>
      <c r="GYN63" s="1"/>
      <c r="GYO63" s="1"/>
      <c r="GYP63" s="1"/>
      <c r="GYQ63" s="1"/>
      <c r="GYR63" s="1"/>
      <c r="GYS63" s="1"/>
      <c r="GYT63" s="1"/>
      <c r="GYU63" s="1"/>
      <c r="GYV63" s="1"/>
      <c r="GYW63" s="1"/>
      <c r="GYX63" s="1"/>
      <c r="GYY63" s="1"/>
      <c r="GYZ63" s="1"/>
      <c r="GZA63" s="1"/>
      <c r="GZB63" s="1"/>
      <c r="GZC63" s="1"/>
      <c r="GZD63" s="1"/>
      <c r="GZE63" s="1"/>
      <c r="GZF63" s="1"/>
      <c r="GZG63" s="1"/>
      <c r="GZH63" s="1"/>
      <c r="GZI63" s="1"/>
      <c r="GZJ63" s="1"/>
      <c r="GZK63" s="1"/>
      <c r="GZL63" s="1"/>
      <c r="GZM63" s="1"/>
      <c r="GZN63" s="1"/>
      <c r="GZO63" s="1"/>
      <c r="GZP63" s="1"/>
      <c r="GZQ63" s="1"/>
      <c r="GZR63" s="1"/>
      <c r="GZS63" s="1"/>
      <c r="GZT63" s="1"/>
      <c r="GZU63" s="1"/>
      <c r="GZV63" s="1"/>
      <c r="GZW63" s="1"/>
      <c r="GZX63" s="1"/>
      <c r="GZY63" s="1"/>
      <c r="GZZ63" s="1"/>
      <c r="HAA63" s="1"/>
      <c r="HAB63" s="1"/>
      <c r="HAC63" s="1"/>
      <c r="HAD63" s="1"/>
      <c r="HAE63" s="1"/>
      <c r="HAF63" s="1"/>
      <c r="HAG63" s="1"/>
      <c r="HAH63" s="1"/>
      <c r="HAI63" s="1"/>
      <c r="HAJ63" s="1"/>
      <c r="HAK63" s="1"/>
      <c r="HAL63" s="1"/>
      <c r="HAM63" s="1"/>
      <c r="HAN63" s="1"/>
      <c r="HAO63" s="1"/>
      <c r="HAP63" s="1"/>
      <c r="HAQ63" s="1"/>
      <c r="HAR63" s="1"/>
      <c r="HAS63" s="1"/>
      <c r="HAT63" s="1"/>
      <c r="HAU63" s="1"/>
      <c r="HAV63" s="1"/>
      <c r="HAW63" s="1"/>
      <c r="HAX63" s="1"/>
      <c r="HAY63" s="1"/>
      <c r="HAZ63" s="1"/>
      <c r="HBA63" s="1"/>
      <c r="HBB63" s="1"/>
      <c r="HBC63" s="1"/>
      <c r="HBD63" s="1"/>
      <c r="HBE63" s="1"/>
      <c r="HBF63" s="1"/>
      <c r="HBG63" s="1"/>
      <c r="HBH63" s="1"/>
      <c r="HBI63" s="1"/>
      <c r="HBJ63" s="1"/>
      <c r="HBK63" s="1"/>
      <c r="HBL63" s="1"/>
      <c r="HBM63" s="1"/>
      <c r="HBN63" s="1"/>
      <c r="HBO63" s="1"/>
      <c r="HBP63" s="1"/>
      <c r="HBQ63" s="1"/>
      <c r="HBR63" s="1"/>
      <c r="HBS63" s="1"/>
      <c r="HBT63" s="1"/>
      <c r="HBU63" s="1"/>
      <c r="HBV63" s="1"/>
      <c r="HBW63" s="1"/>
      <c r="HBX63" s="1"/>
      <c r="HBY63" s="1"/>
      <c r="HBZ63" s="1"/>
      <c r="HCA63" s="1"/>
      <c r="HCB63" s="1"/>
      <c r="HCC63" s="1"/>
      <c r="HCD63" s="1"/>
      <c r="HCE63" s="1"/>
      <c r="HCF63" s="1"/>
      <c r="HCG63" s="1"/>
      <c r="HCH63" s="1"/>
      <c r="HCI63" s="1"/>
      <c r="HCJ63" s="1"/>
      <c r="HCK63" s="1"/>
      <c r="HCL63" s="1"/>
      <c r="HCM63" s="1"/>
      <c r="HCN63" s="1"/>
      <c r="HCO63" s="1"/>
      <c r="HCP63" s="1"/>
      <c r="HCQ63" s="1"/>
      <c r="HCR63" s="1"/>
      <c r="HCS63" s="1"/>
      <c r="HCT63" s="1"/>
      <c r="HCU63" s="1"/>
      <c r="HCV63" s="1"/>
      <c r="HCW63" s="1"/>
      <c r="HCX63" s="1"/>
      <c r="HCY63" s="1"/>
      <c r="HCZ63" s="1"/>
      <c r="HDA63" s="1"/>
      <c r="HDB63" s="1"/>
      <c r="HDC63" s="1"/>
      <c r="HDD63" s="1"/>
      <c r="HDE63" s="1"/>
      <c r="HDF63" s="1"/>
      <c r="HDG63" s="1"/>
      <c r="HDH63" s="1"/>
      <c r="HDI63" s="1"/>
      <c r="HDJ63" s="1"/>
      <c r="HDK63" s="1"/>
      <c r="HDL63" s="1"/>
      <c r="HDM63" s="1"/>
      <c r="HDN63" s="1"/>
      <c r="HDO63" s="1"/>
      <c r="HDP63" s="1"/>
      <c r="HDQ63" s="1"/>
      <c r="HDR63" s="1"/>
      <c r="HDS63" s="1"/>
      <c r="HDT63" s="1"/>
      <c r="HDU63" s="1"/>
      <c r="HDV63" s="1"/>
      <c r="HDW63" s="1"/>
      <c r="HDX63" s="1"/>
      <c r="HDY63" s="1"/>
      <c r="HDZ63" s="1"/>
      <c r="HEA63" s="1"/>
      <c r="HEB63" s="1"/>
      <c r="HEC63" s="1"/>
      <c r="HED63" s="1"/>
      <c r="HEE63" s="1"/>
      <c r="HEF63" s="1"/>
      <c r="HEG63" s="1"/>
      <c r="HEH63" s="1"/>
      <c r="HEI63" s="1"/>
      <c r="HEJ63" s="1"/>
      <c r="HEK63" s="1"/>
      <c r="HEL63" s="1"/>
      <c r="HEM63" s="1"/>
      <c r="HEN63" s="1"/>
      <c r="HEO63" s="1"/>
      <c r="HEP63" s="1"/>
      <c r="HEQ63" s="1"/>
      <c r="HER63" s="1"/>
      <c r="HES63" s="1"/>
      <c r="HET63" s="1"/>
      <c r="HEU63" s="1"/>
      <c r="HEV63" s="1"/>
      <c r="HEW63" s="1"/>
      <c r="HEX63" s="1"/>
      <c r="HEY63" s="1"/>
      <c r="HEZ63" s="1"/>
      <c r="HFA63" s="1"/>
      <c r="HFB63" s="1"/>
      <c r="HFC63" s="1"/>
      <c r="HFD63" s="1"/>
      <c r="HFE63" s="1"/>
      <c r="HFF63" s="1"/>
      <c r="HFG63" s="1"/>
      <c r="HFH63" s="1"/>
      <c r="HFI63" s="1"/>
      <c r="HFJ63" s="1"/>
      <c r="HFK63" s="1"/>
      <c r="HFL63" s="1"/>
      <c r="HFM63" s="1"/>
      <c r="HFN63" s="1"/>
      <c r="HFO63" s="1"/>
      <c r="HFP63" s="1"/>
      <c r="HFQ63" s="1"/>
      <c r="HFR63" s="1"/>
      <c r="HFS63" s="1"/>
      <c r="HFT63" s="1"/>
      <c r="HFU63" s="1"/>
      <c r="HFV63" s="1"/>
      <c r="HFW63" s="1"/>
      <c r="HFX63" s="1"/>
      <c r="HFY63" s="1"/>
      <c r="HFZ63" s="1"/>
      <c r="HGA63" s="1"/>
      <c r="HGB63" s="1"/>
      <c r="HGC63" s="1"/>
      <c r="HGD63" s="1"/>
      <c r="HGE63" s="1"/>
      <c r="HGF63" s="1"/>
      <c r="HGG63" s="1"/>
      <c r="HGH63" s="1"/>
      <c r="HGI63" s="1"/>
      <c r="HGJ63" s="1"/>
      <c r="HGK63" s="1"/>
      <c r="HGL63" s="1"/>
      <c r="HGM63" s="1"/>
      <c r="HGN63" s="1"/>
      <c r="HGO63" s="1"/>
      <c r="HGP63" s="1"/>
      <c r="HGQ63" s="1"/>
      <c r="HGR63" s="1"/>
      <c r="HGS63" s="1"/>
      <c r="HGT63" s="1"/>
      <c r="HGU63" s="1"/>
      <c r="HGV63" s="1"/>
      <c r="HGW63" s="1"/>
      <c r="HGX63" s="1"/>
      <c r="HGY63" s="1"/>
      <c r="HGZ63" s="1"/>
      <c r="HHA63" s="1"/>
      <c r="HHB63" s="1"/>
      <c r="HHC63" s="1"/>
      <c r="HHD63" s="1"/>
      <c r="HHE63" s="1"/>
      <c r="HHF63" s="1"/>
      <c r="HHG63" s="1"/>
      <c r="HHH63" s="1"/>
      <c r="HHI63" s="1"/>
      <c r="HHJ63" s="1"/>
      <c r="HHK63" s="1"/>
      <c r="HHL63" s="1"/>
      <c r="HHM63" s="1"/>
      <c r="HHN63" s="1"/>
      <c r="HHO63" s="1"/>
      <c r="HHP63" s="1"/>
      <c r="HHQ63" s="1"/>
      <c r="HHR63" s="1"/>
      <c r="HHS63" s="1"/>
      <c r="HHT63" s="1"/>
      <c r="HHU63" s="1"/>
      <c r="HHV63" s="1"/>
      <c r="HHW63" s="1"/>
      <c r="HHX63" s="1"/>
      <c r="HHY63" s="1"/>
      <c r="HHZ63" s="1"/>
      <c r="HIA63" s="1"/>
      <c r="HIB63" s="1"/>
      <c r="HIC63" s="1"/>
      <c r="HID63" s="1"/>
      <c r="HIE63" s="1"/>
      <c r="HIF63" s="1"/>
      <c r="HIG63" s="1"/>
      <c r="HIH63" s="1"/>
      <c r="HII63" s="1"/>
      <c r="HIJ63" s="1"/>
      <c r="HIK63" s="1"/>
      <c r="HIL63" s="1"/>
      <c r="HIM63" s="1"/>
      <c r="HIN63" s="1"/>
      <c r="HIO63" s="1"/>
      <c r="HIP63" s="1"/>
      <c r="HIQ63" s="1"/>
      <c r="HIR63" s="1"/>
      <c r="HIS63" s="1"/>
      <c r="HIT63" s="1"/>
      <c r="HIU63" s="1"/>
      <c r="HIV63" s="1"/>
      <c r="HIW63" s="1"/>
      <c r="HIX63" s="1"/>
      <c r="HIY63" s="1"/>
      <c r="HIZ63" s="1"/>
      <c r="HJA63" s="1"/>
      <c r="HJB63" s="1"/>
      <c r="HJC63" s="1"/>
      <c r="HJD63" s="1"/>
      <c r="HJE63" s="1"/>
      <c r="HJF63" s="1"/>
      <c r="HJG63" s="1"/>
      <c r="HJH63" s="1"/>
      <c r="HJI63" s="1"/>
      <c r="HJJ63" s="1"/>
      <c r="HJK63" s="1"/>
      <c r="HJL63" s="1"/>
      <c r="HJM63" s="1"/>
      <c r="HJN63" s="1"/>
      <c r="HJO63" s="1"/>
      <c r="HJP63" s="1"/>
      <c r="HJQ63" s="1"/>
      <c r="HJR63" s="1"/>
      <c r="HJS63" s="1"/>
      <c r="HJT63" s="1"/>
      <c r="HJU63" s="1"/>
      <c r="HJV63" s="1"/>
      <c r="HJW63" s="1"/>
      <c r="HJX63" s="1"/>
      <c r="HJY63" s="1"/>
      <c r="HJZ63" s="1"/>
      <c r="HKA63" s="1"/>
      <c r="HKB63" s="1"/>
      <c r="HKC63" s="1"/>
      <c r="HKD63" s="1"/>
      <c r="HKE63" s="1"/>
      <c r="HKF63" s="1"/>
      <c r="HKG63" s="1"/>
      <c r="HKH63" s="1"/>
      <c r="HKI63" s="1"/>
      <c r="HKJ63" s="1"/>
      <c r="HKK63" s="1"/>
      <c r="HKL63" s="1"/>
      <c r="HKM63" s="1"/>
      <c r="HKN63" s="1"/>
      <c r="HKO63" s="1"/>
      <c r="HKP63" s="1"/>
      <c r="HKQ63" s="1"/>
      <c r="HKR63" s="1"/>
      <c r="HKS63" s="1"/>
      <c r="HKT63" s="1"/>
      <c r="HKU63" s="1"/>
      <c r="HKV63" s="1"/>
      <c r="HKW63" s="1"/>
      <c r="HKX63" s="1"/>
      <c r="HKY63" s="1"/>
      <c r="HKZ63" s="1"/>
      <c r="HLA63" s="1"/>
      <c r="HLB63" s="1"/>
      <c r="HLC63" s="1"/>
      <c r="HLD63" s="1"/>
      <c r="HLE63" s="1"/>
      <c r="HLF63" s="1"/>
      <c r="HLG63" s="1"/>
      <c r="HLH63" s="1"/>
      <c r="HLI63" s="1"/>
      <c r="HLJ63" s="1"/>
      <c r="HLK63" s="1"/>
      <c r="HLL63" s="1"/>
      <c r="HLM63" s="1"/>
      <c r="HLN63" s="1"/>
      <c r="HLO63" s="1"/>
      <c r="HLP63" s="1"/>
      <c r="HLQ63" s="1"/>
      <c r="HLR63" s="1"/>
      <c r="HLS63" s="1"/>
      <c r="HLT63" s="1"/>
      <c r="HLU63" s="1"/>
      <c r="HLV63" s="1"/>
      <c r="HLW63" s="1"/>
      <c r="HLX63" s="1"/>
      <c r="HLY63" s="1"/>
      <c r="HLZ63" s="1"/>
      <c r="HMA63" s="1"/>
      <c r="HMB63" s="1"/>
      <c r="HMC63" s="1"/>
      <c r="HMD63" s="1"/>
      <c r="HME63" s="1"/>
      <c r="HMF63" s="1"/>
      <c r="HMG63" s="1"/>
      <c r="HMH63" s="1"/>
      <c r="HMI63" s="1"/>
      <c r="HMJ63" s="1"/>
      <c r="HMK63" s="1"/>
      <c r="HML63" s="1"/>
      <c r="HMM63" s="1"/>
      <c r="HMN63" s="1"/>
      <c r="HMO63" s="1"/>
      <c r="HMP63" s="1"/>
      <c r="HMQ63" s="1"/>
      <c r="HMR63" s="1"/>
      <c r="HMS63" s="1"/>
      <c r="HMT63" s="1"/>
      <c r="HMU63" s="1"/>
      <c r="HMV63" s="1"/>
      <c r="HMW63" s="1"/>
      <c r="HMX63" s="1"/>
      <c r="HMY63" s="1"/>
      <c r="HMZ63" s="1"/>
      <c r="HNA63" s="1"/>
      <c r="HNB63" s="1"/>
      <c r="HNC63" s="1"/>
      <c r="HND63" s="1"/>
      <c r="HNE63" s="1"/>
      <c r="HNF63" s="1"/>
      <c r="HNG63" s="1"/>
      <c r="HNH63" s="1"/>
      <c r="HNI63" s="1"/>
      <c r="HNJ63" s="1"/>
      <c r="HNK63" s="1"/>
      <c r="HNL63" s="1"/>
      <c r="HNM63" s="1"/>
      <c r="HNN63" s="1"/>
      <c r="HNO63" s="1"/>
      <c r="HNP63" s="1"/>
      <c r="HNQ63" s="1"/>
      <c r="HNR63" s="1"/>
      <c r="HNS63" s="1"/>
      <c r="HNT63" s="1"/>
      <c r="HNU63" s="1"/>
      <c r="HNV63" s="1"/>
      <c r="HNW63" s="1"/>
      <c r="HNX63" s="1"/>
      <c r="HNY63" s="1"/>
      <c r="HNZ63" s="1"/>
      <c r="HOA63" s="1"/>
      <c r="HOB63" s="1"/>
      <c r="HOC63" s="1"/>
      <c r="HOD63" s="1"/>
      <c r="HOE63" s="1"/>
      <c r="HOF63" s="1"/>
      <c r="HOG63" s="1"/>
      <c r="HOH63" s="1"/>
      <c r="HOI63" s="1"/>
      <c r="HOJ63" s="1"/>
      <c r="HOK63" s="1"/>
      <c r="HOL63" s="1"/>
      <c r="HOM63" s="1"/>
      <c r="HON63" s="1"/>
      <c r="HOO63" s="1"/>
      <c r="HOP63" s="1"/>
      <c r="HOQ63" s="1"/>
      <c r="HOR63" s="1"/>
      <c r="HOS63" s="1"/>
      <c r="HOT63" s="1"/>
      <c r="HOU63" s="1"/>
      <c r="HOV63" s="1"/>
      <c r="HOW63" s="1"/>
      <c r="HOX63" s="1"/>
      <c r="HOY63" s="1"/>
      <c r="HOZ63" s="1"/>
      <c r="HPA63" s="1"/>
      <c r="HPB63" s="1"/>
      <c r="HPC63" s="1"/>
      <c r="HPD63" s="1"/>
      <c r="HPE63" s="1"/>
      <c r="HPF63" s="1"/>
      <c r="HPG63" s="1"/>
      <c r="HPH63" s="1"/>
      <c r="HPI63" s="1"/>
      <c r="HPJ63" s="1"/>
      <c r="HPK63" s="1"/>
      <c r="HPL63" s="1"/>
      <c r="HPM63" s="1"/>
      <c r="HPN63" s="1"/>
      <c r="HPO63" s="1"/>
      <c r="HPP63" s="1"/>
      <c r="HPQ63" s="1"/>
      <c r="HPR63" s="1"/>
      <c r="HPS63" s="1"/>
      <c r="HPT63" s="1"/>
      <c r="HPU63" s="1"/>
      <c r="HPV63" s="1"/>
      <c r="HPW63" s="1"/>
      <c r="HPX63" s="1"/>
      <c r="HPY63" s="1"/>
      <c r="HPZ63" s="1"/>
      <c r="HQA63" s="1"/>
      <c r="HQB63" s="1"/>
      <c r="HQC63" s="1"/>
      <c r="HQD63" s="1"/>
      <c r="HQE63" s="1"/>
      <c r="HQF63" s="1"/>
      <c r="HQG63" s="1"/>
      <c r="HQH63" s="1"/>
      <c r="HQI63" s="1"/>
      <c r="HQJ63" s="1"/>
      <c r="HQK63" s="1"/>
      <c r="HQL63" s="1"/>
      <c r="HQM63" s="1"/>
      <c r="HQN63" s="1"/>
      <c r="HQO63" s="1"/>
      <c r="HQP63" s="1"/>
      <c r="HQQ63" s="1"/>
      <c r="HQR63" s="1"/>
      <c r="HQS63" s="1"/>
      <c r="HQT63" s="1"/>
      <c r="HQU63" s="1"/>
      <c r="HQV63" s="1"/>
      <c r="HQW63" s="1"/>
      <c r="HQX63" s="1"/>
      <c r="HQY63" s="1"/>
      <c r="HQZ63" s="1"/>
      <c r="HRA63" s="1"/>
      <c r="HRB63" s="1"/>
      <c r="HRC63" s="1"/>
      <c r="HRD63" s="1"/>
      <c r="HRE63" s="1"/>
      <c r="HRF63" s="1"/>
      <c r="HRG63" s="1"/>
      <c r="HRH63" s="1"/>
      <c r="HRI63" s="1"/>
      <c r="HRJ63" s="1"/>
      <c r="HRK63" s="1"/>
      <c r="HRL63" s="1"/>
      <c r="HRM63" s="1"/>
      <c r="HRN63" s="1"/>
      <c r="HRO63" s="1"/>
      <c r="HRP63" s="1"/>
      <c r="HRQ63" s="1"/>
      <c r="HRR63" s="1"/>
      <c r="HRS63" s="1"/>
      <c r="HRT63" s="1"/>
      <c r="HRU63" s="1"/>
      <c r="HRV63" s="1"/>
      <c r="HRW63" s="1"/>
      <c r="HRX63" s="1"/>
      <c r="HRY63" s="1"/>
      <c r="HRZ63" s="1"/>
      <c r="HSA63" s="1"/>
      <c r="HSB63" s="1"/>
      <c r="HSC63" s="1"/>
      <c r="HSD63" s="1"/>
      <c r="HSE63" s="1"/>
      <c r="HSF63" s="1"/>
      <c r="HSG63" s="1"/>
      <c r="HSH63" s="1"/>
      <c r="HSI63" s="1"/>
      <c r="HSJ63" s="1"/>
      <c r="HSK63" s="1"/>
      <c r="HSL63" s="1"/>
      <c r="HSM63" s="1"/>
      <c r="HSN63" s="1"/>
      <c r="HSO63" s="1"/>
      <c r="HSP63" s="1"/>
      <c r="HSQ63" s="1"/>
      <c r="HSR63" s="1"/>
      <c r="HSS63" s="1"/>
      <c r="HST63" s="1"/>
      <c r="HSU63" s="1"/>
      <c r="HSV63" s="1"/>
      <c r="HSW63" s="1"/>
      <c r="HSX63" s="1"/>
      <c r="HSY63" s="1"/>
      <c r="HSZ63" s="1"/>
      <c r="HTA63" s="1"/>
      <c r="HTB63" s="1"/>
      <c r="HTC63" s="1"/>
      <c r="HTD63" s="1"/>
      <c r="HTE63" s="1"/>
      <c r="HTF63" s="1"/>
      <c r="HTG63" s="1"/>
      <c r="HTH63" s="1"/>
      <c r="HTI63" s="1"/>
      <c r="HTJ63" s="1"/>
      <c r="HTK63" s="1"/>
      <c r="HTL63" s="1"/>
      <c r="HTM63" s="1"/>
      <c r="HTN63" s="1"/>
      <c r="HTO63" s="1"/>
      <c r="HTP63" s="1"/>
      <c r="HTQ63" s="1"/>
      <c r="HTR63" s="1"/>
      <c r="HTS63" s="1"/>
      <c r="HTT63" s="1"/>
      <c r="HTU63" s="1"/>
      <c r="HTV63" s="1"/>
      <c r="HTW63" s="1"/>
      <c r="HTX63" s="1"/>
      <c r="HTY63" s="1"/>
      <c r="HTZ63" s="1"/>
      <c r="HUA63" s="1"/>
      <c r="HUB63" s="1"/>
      <c r="HUC63" s="1"/>
      <c r="HUD63" s="1"/>
      <c r="HUE63" s="1"/>
      <c r="HUF63" s="1"/>
      <c r="HUG63" s="1"/>
      <c r="HUH63" s="1"/>
      <c r="HUI63" s="1"/>
      <c r="HUJ63" s="1"/>
      <c r="HUK63" s="1"/>
      <c r="HUL63" s="1"/>
      <c r="HUM63" s="1"/>
      <c r="HUN63" s="1"/>
      <c r="HUO63" s="1"/>
      <c r="HUP63" s="1"/>
      <c r="HUQ63" s="1"/>
      <c r="HUR63" s="1"/>
      <c r="HUS63" s="1"/>
      <c r="HUT63" s="1"/>
      <c r="HUU63" s="1"/>
      <c r="HUV63" s="1"/>
      <c r="HUW63" s="1"/>
      <c r="HUX63" s="1"/>
      <c r="HUY63" s="1"/>
      <c r="HUZ63" s="1"/>
      <c r="HVA63" s="1"/>
      <c r="HVB63" s="1"/>
      <c r="HVC63" s="1"/>
      <c r="HVD63" s="1"/>
      <c r="HVE63" s="1"/>
      <c r="HVF63" s="1"/>
      <c r="HVG63" s="1"/>
      <c r="HVH63" s="1"/>
      <c r="HVI63" s="1"/>
      <c r="HVJ63" s="1"/>
      <c r="HVK63" s="1"/>
      <c r="HVL63" s="1"/>
      <c r="HVM63" s="1"/>
      <c r="HVN63" s="1"/>
      <c r="HVO63" s="1"/>
      <c r="HVP63" s="1"/>
      <c r="HVQ63" s="1"/>
      <c r="HVR63" s="1"/>
      <c r="HVS63" s="1"/>
      <c r="HVT63" s="1"/>
      <c r="HVU63" s="1"/>
      <c r="HVV63" s="1"/>
      <c r="HVW63" s="1"/>
      <c r="HVX63" s="1"/>
      <c r="HVY63" s="1"/>
      <c r="HVZ63" s="1"/>
      <c r="HWA63" s="1"/>
      <c r="HWB63" s="1"/>
      <c r="HWC63" s="1"/>
      <c r="HWD63" s="1"/>
      <c r="HWE63" s="1"/>
      <c r="HWF63" s="1"/>
      <c r="HWG63" s="1"/>
      <c r="HWH63" s="1"/>
      <c r="HWI63" s="1"/>
      <c r="HWJ63" s="1"/>
      <c r="HWK63" s="1"/>
      <c r="HWL63" s="1"/>
      <c r="HWM63" s="1"/>
      <c r="HWN63" s="1"/>
      <c r="HWO63" s="1"/>
      <c r="HWP63" s="1"/>
      <c r="HWQ63" s="1"/>
      <c r="HWR63" s="1"/>
      <c r="HWS63" s="1"/>
      <c r="HWT63" s="1"/>
      <c r="HWU63" s="1"/>
      <c r="HWV63" s="1"/>
      <c r="HWW63" s="1"/>
      <c r="HWX63" s="1"/>
      <c r="HWY63" s="1"/>
      <c r="HWZ63" s="1"/>
      <c r="HXA63" s="1"/>
      <c r="HXB63" s="1"/>
      <c r="HXC63" s="1"/>
      <c r="HXD63" s="1"/>
      <c r="HXE63" s="1"/>
      <c r="HXF63" s="1"/>
      <c r="HXG63" s="1"/>
      <c r="HXH63" s="1"/>
      <c r="HXI63" s="1"/>
      <c r="HXJ63" s="1"/>
      <c r="HXK63" s="1"/>
      <c r="HXL63" s="1"/>
      <c r="HXM63" s="1"/>
      <c r="HXN63" s="1"/>
      <c r="HXO63" s="1"/>
      <c r="HXP63" s="1"/>
      <c r="HXQ63" s="1"/>
      <c r="HXR63" s="1"/>
      <c r="HXS63" s="1"/>
      <c r="HXT63" s="1"/>
      <c r="HXU63" s="1"/>
      <c r="HXV63" s="1"/>
      <c r="HXW63" s="1"/>
      <c r="HXX63" s="1"/>
      <c r="HXY63" s="1"/>
      <c r="HXZ63" s="1"/>
      <c r="HYA63" s="1"/>
      <c r="HYB63" s="1"/>
      <c r="HYC63" s="1"/>
      <c r="HYD63" s="1"/>
      <c r="HYE63" s="1"/>
      <c r="HYF63" s="1"/>
      <c r="HYG63" s="1"/>
      <c r="HYH63" s="1"/>
      <c r="HYI63" s="1"/>
      <c r="HYJ63" s="1"/>
      <c r="HYK63" s="1"/>
      <c r="HYL63" s="1"/>
      <c r="HYM63" s="1"/>
      <c r="HYN63" s="1"/>
      <c r="HYO63" s="1"/>
      <c r="HYP63" s="1"/>
      <c r="HYQ63" s="1"/>
      <c r="HYR63" s="1"/>
      <c r="HYS63" s="1"/>
      <c r="HYT63" s="1"/>
      <c r="HYU63" s="1"/>
      <c r="HYV63" s="1"/>
      <c r="HYW63" s="1"/>
      <c r="HYX63" s="1"/>
      <c r="HYY63" s="1"/>
      <c r="HYZ63" s="1"/>
      <c r="HZA63" s="1"/>
      <c r="HZB63" s="1"/>
      <c r="HZC63" s="1"/>
      <c r="HZD63" s="1"/>
      <c r="HZE63" s="1"/>
      <c r="HZF63" s="1"/>
      <c r="HZG63" s="1"/>
      <c r="HZH63" s="1"/>
      <c r="HZI63" s="1"/>
      <c r="HZJ63" s="1"/>
      <c r="HZK63" s="1"/>
      <c r="HZL63" s="1"/>
      <c r="HZM63" s="1"/>
      <c r="HZN63" s="1"/>
      <c r="HZO63" s="1"/>
      <c r="HZP63" s="1"/>
      <c r="HZQ63" s="1"/>
      <c r="HZR63" s="1"/>
      <c r="HZS63" s="1"/>
      <c r="HZT63" s="1"/>
      <c r="HZU63" s="1"/>
      <c r="HZV63" s="1"/>
      <c r="HZW63" s="1"/>
      <c r="HZX63" s="1"/>
      <c r="HZY63" s="1"/>
      <c r="HZZ63" s="1"/>
      <c r="IAA63" s="1"/>
      <c r="IAB63" s="1"/>
      <c r="IAC63" s="1"/>
      <c r="IAD63" s="1"/>
      <c r="IAE63" s="1"/>
      <c r="IAF63" s="1"/>
      <c r="IAG63" s="1"/>
      <c r="IAH63" s="1"/>
      <c r="IAI63" s="1"/>
      <c r="IAJ63" s="1"/>
      <c r="IAK63" s="1"/>
      <c r="IAL63" s="1"/>
      <c r="IAM63" s="1"/>
      <c r="IAN63" s="1"/>
      <c r="IAO63" s="1"/>
      <c r="IAP63" s="1"/>
      <c r="IAQ63" s="1"/>
      <c r="IAR63" s="1"/>
      <c r="IAS63" s="1"/>
      <c r="IAT63" s="1"/>
      <c r="IAU63" s="1"/>
      <c r="IAV63" s="1"/>
      <c r="IAW63" s="1"/>
      <c r="IAX63" s="1"/>
      <c r="IAY63" s="1"/>
      <c r="IAZ63" s="1"/>
      <c r="IBA63" s="1"/>
      <c r="IBB63" s="1"/>
      <c r="IBC63" s="1"/>
      <c r="IBD63" s="1"/>
      <c r="IBE63" s="1"/>
      <c r="IBF63" s="1"/>
      <c r="IBG63" s="1"/>
      <c r="IBH63" s="1"/>
      <c r="IBI63" s="1"/>
      <c r="IBJ63" s="1"/>
      <c r="IBK63" s="1"/>
      <c r="IBL63" s="1"/>
      <c r="IBM63" s="1"/>
      <c r="IBN63" s="1"/>
      <c r="IBO63" s="1"/>
      <c r="IBP63" s="1"/>
      <c r="IBQ63" s="1"/>
      <c r="IBR63" s="1"/>
      <c r="IBS63" s="1"/>
      <c r="IBT63" s="1"/>
      <c r="IBU63" s="1"/>
      <c r="IBV63" s="1"/>
      <c r="IBW63" s="1"/>
      <c r="IBX63" s="1"/>
      <c r="IBY63" s="1"/>
      <c r="IBZ63" s="1"/>
      <c r="ICA63" s="1"/>
      <c r="ICB63" s="1"/>
      <c r="ICC63" s="1"/>
      <c r="ICD63" s="1"/>
      <c r="ICE63" s="1"/>
      <c r="ICF63" s="1"/>
      <c r="ICG63" s="1"/>
      <c r="ICH63" s="1"/>
      <c r="ICI63" s="1"/>
      <c r="ICJ63" s="1"/>
      <c r="ICK63" s="1"/>
      <c r="ICL63" s="1"/>
      <c r="ICM63" s="1"/>
      <c r="ICN63" s="1"/>
      <c r="ICO63" s="1"/>
      <c r="ICP63" s="1"/>
      <c r="ICQ63" s="1"/>
      <c r="ICR63" s="1"/>
      <c r="ICS63" s="1"/>
      <c r="ICT63" s="1"/>
      <c r="ICU63" s="1"/>
      <c r="ICV63" s="1"/>
      <c r="ICW63" s="1"/>
      <c r="ICX63" s="1"/>
      <c r="ICY63" s="1"/>
      <c r="ICZ63" s="1"/>
      <c r="IDA63" s="1"/>
      <c r="IDB63" s="1"/>
      <c r="IDC63" s="1"/>
      <c r="IDD63" s="1"/>
      <c r="IDE63" s="1"/>
      <c r="IDF63" s="1"/>
      <c r="IDG63" s="1"/>
      <c r="IDH63" s="1"/>
      <c r="IDI63" s="1"/>
      <c r="IDJ63" s="1"/>
      <c r="IDK63" s="1"/>
      <c r="IDL63" s="1"/>
      <c r="IDM63" s="1"/>
      <c r="IDN63" s="1"/>
      <c r="IDO63" s="1"/>
      <c r="IDP63" s="1"/>
      <c r="IDQ63" s="1"/>
      <c r="IDR63" s="1"/>
      <c r="IDS63" s="1"/>
      <c r="IDT63" s="1"/>
      <c r="IDU63" s="1"/>
      <c r="IDV63" s="1"/>
      <c r="IDW63" s="1"/>
      <c r="IDX63" s="1"/>
      <c r="IDY63" s="1"/>
      <c r="IDZ63" s="1"/>
      <c r="IEA63" s="1"/>
      <c r="IEB63" s="1"/>
      <c r="IEC63" s="1"/>
      <c r="IED63" s="1"/>
      <c r="IEE63" s="1"/>
      <c r="IEF63" s="1"/>
      <c r="IEG63" s="1"/>
      <c r="IEH63" s="1"/>
      <c r="IEI63" s="1"/>
      <c r="IEJ63" s="1"/>
      <c r="IEK63" s="1"/>
      <c r="IEL63" s="1"/>
      <c r="IEM63" s="1"/>
      <c r="IEN63" s="1"/>
      <c r="IEO63" s="1"/>
      <c r="IEP63" s="1"/>
      <c r="IEQ63" s="1"/>
      <c r="IER63" s="1"/>
      <c r="IES63" s="1"/>
      <c r="IET63" s="1"/>
      <c r="IEU63" s="1"/>
      <c r="IEV63" s="1"/>
      <c r="IEW63" s="1"/>
      <c r="IEX63" s="1"/>
      <c r="IEY63" s="1"/>
      <c r="IEZ63" s="1"/>
      <c r="IFA63" s="1"/>
      <c r="IFB63" s="1"/>
      <c r="IFC63" s="1"/>
      <c r="IFD63" s="1"/>
      <c r="IFE63" s="1"/>
      <c r="IFF63" s="1"/>
      <c r="IFG63" s="1"/>
      <c r="IFH63" s="1"/>
      <c r="IFI63" s="1"/>
      <c r="IFJ63" s="1"/>
      <c r="IFK63" s="1"/>
      <c r="IFL63" s="1"/>
      <c r="IFM63" s="1"/>
      <c r="IFN63" s="1"/>
      <c r="IFO63" s="1"/>
      <c r="IFP63" s="1"/>
      <c r="IFQ63" s="1"/>
      <c r="IFR63" s="1"/>
      <c r="IFS63" s="1"/>
      <c r="IFT63" s="1"/>
      <c r="IFU63" s="1"/>
      <c r="IFV63" s="1"/>
      <c r="IFW63" s="1"/>
      <c r="IFX63" s="1"/>
      <c r="IFY63" s="1"/>
      <c r="IFZ63" s="1"/>
      <c r="IGA63" s="1"/>
      <c r="IGB63" s="1"/>
      <c r="IGC63" s="1"/>
      <c r="IGD63" s="1"/>
      <c r="IGE63" s="1"/>
      <c r="IGF63" s="1"/>
      <c r="IGG63" s="1"/>
      <c r="IGH63" s="1"/>
      <c r="IGI63" s="1"/>
      <c r="IGJ63" s="1"/>
      <c r="IGK63" s="1"/>
      <c r="IGL63" s="1"/>
      <c r="IGM63" s="1"/>
      <c r="IGN63" s="1"/>
      <c r="IGO63" s="1"/>
      <c r="IGP63" s="1"/>
      <c r="IGQ63" s="1"/>
      <c r="IGR63" s="1"/>
      <c r="IGS63" s="1"/>
      <c r="IGT63" s="1"/>
      <c r="IGU63" s="1"/>
      <c r="IGV63" s="1"/>
      <c r="IGW63" s="1"/>
      <c r="IGX63" s="1"/>
      <c r="IGY63" s="1"/>
      <c r="IGZ63" s="1"/>
      <c r="IHA63" s="1"/>
      <c r="IHB63" s="1"/>
      <c r="IHC63" s="1"/>
      <c r="IHD63" s="1"/>
      <c r="IHE63" s="1"/>
      <c r="IHF63" s="1"/>
      <c r="IHG63" s="1"/>
      <c r="IHH63" s="1"/>
      <c r="IHI63" s="1"/>
      <c r="IHJ63" s="1"/>
      <c r="IHK63" s="1"/>
      <c r="IHL63" s="1"/>
      <c r="IHM63" s="1"/>
      <c r="IHN63" s="1"/>
      <c r="IHO63" s="1"/>
      <c r="IHP63" s="1"/>
      <c r="IHQ63" s="1"/>
      <c r="IHR63" s="1"/>
      <c r="IHS63" s="1"/>
      <c r="IHT63" s="1"/>
      <c r="IHU63" s="1"/>
      <c r="IHV63" s="1"/>
      <c r="IHW63" s="1"/>
      <c r="IHX63" s="1"/>
      <c r="IHY63" s="1"/>
      <c r="IHZ63" s="1"/>
      <c r="IIA63" s="1"/>
      <c r="IIB63" s="1"/>
      <c r="IIC63" s="1"/>
      <c r="IID63" s="1"/>
      <c r="IIE63" s="1"/>
      <c r="IIF63" s="1"/>
      <c r="IIG63" s="1"/>
      <c r="IIH63" s="1"/>
      <c r="III63" s="1"/>
      <c r="IIJ63" s="1"/>
      <c r="IIK63" s="1"/>
      <c r="IIL63" s="1"/>
      <c r="IIM63" s="1"/>
      <c r="IIN63" s="1"/>
      <c r="IIO63" s="1"/>
      <c r="IIP63" s="1"/>
      <c r="IIQ63" s="1"/>
      <c r="IIR63" s="1"/>
      <c r="IIS63" s="1"/>
      <c r="IIT63" s="1"/>
      <c r="IIU63" s="1"/>
      <c r="IIV63" s="1"/>
      <c r="IIW63" s="1"/>
      <c r="IIX63" s="1"/>
      <c r="IIY63" s="1"/>
      <c r="IIZ63" s="1"/>
      <c r="IJA63" s="1"/>
      <c r="IJB63" s="1"/>
      <c r="IJC63" s="1"/>
      <c r="IJD63" s="1"/>
      <c r="IJE63" s="1"/>
      <c r="IJF63" s="1"/>
      <c r="IJG63" s="1"/>
      <c r="IJH63" s="1"/>
      <c r="IJI63" s="1"/>
      <c r="IJJ63" s="1"/>
      <c r="IJK63" s="1"/>
      <c r="IJL63" s="1"/>
      <c r="IJM63" s="1"/>
      <c r="IJN63" s="1"/>
      <c r="IJO63" s="1"/>
      <c r="IJP63" s="1"/>
      <c r="IJQ63" s="1"/>
      <c r="IJR63" s="1"/>
      <c r="IJS63" s="1"/>
      <c r="IJT63" s="1"/>
      <c r="IJU63" s="1"/>
      <c r="IJV63" s="1"/>
      <c r="IJW63" s="1"/>
      <c r="IJX63" s="1"/>
      <c r="IJY63" s="1"/>
      <c r="IJZ63" s="1"/>
      <c r="IKA63" s="1"/>
      <c r="IKB63" s="1"/>
      <c r="IKC63" s="1"/>
      <c r="IKD63" s="1"/>
      <c r="IKE63" s="1"/>
      <c r="IKF63" s="1"/>
      <c r="IKG63" s="1"/>
      <c r="IKH63" s="1"/>
      <c r="IKI63" s="1"/>
      <c r="IKJ63" s="1"/>
      <c r="IKK63" s="1"/>
      <c r="IKL63" s="1"/>
      <c r="IKM63" s="1"/>
      <c r="IKN63" s="1"/>
      <c r="IKO63" s="1"/>
      <c r="IKP63" s="1"/>
      <c r="IKQ63" s="1"/>
      <c r="IKR63" s="1"/>
      <c r="IKS63" s="1"/>
      <c r="IKT63" s="1"/>
      <c r="IKU63" s="1"/>
      <c r="IKV63" s="1"/>
      <c r="IKW63" s="1"/>
      <c r="IKX63" s="1"/>
      <c r="IKY63" s="1"/>
      <c r="IKZ63" s="1"/>
      <c r="ILA63" s="1"/>
      <c r="ILB63" s="1"/>
      <c r="ILC63" s="1"/>
      <c r="ILD63" s="1"/>
      <c r="ILE63" s="1"/>
      <c r="ILF63" s="1"/>
      <c r="ILG63" s="1"/>
      <c r="ILH63" s="1"/>
      <c r="ILI63" s="1"/>
      <c r="ILJ63" s="1"/>
      <c r="ILK63" s="1"/>
      <c r="ILL63" s="1"/>
      <c r="ILM63" s="1"/>
      <c r="ILN63" s="1"/>
      <c r="ILO63" s="1"/>
      <c r="ILP63" s="1"/>
      <c r="ILQ63" s="1"/>
      <c r="ILR63" s="1"/>
      <c r="ILS63" s="1"/>
      <c r="ILT63" s="1"/>
      <c r="ILU63" s="1"/>
      <c r="ILV63" s="1"/>
      <c r="ILW63" s="1"/>
      <c r="ILX63" s="1"/>
      <c r="ILY63" s="1"/>
      <c r="ILZ63" s="1"/>
      <c r="IMA63" s="1"/>
      <c r="IMB63" s="1"/>
      <c r="IMC63" s="1"/>
      <c r="IMD63" s="1"/>
      <c r="IME63" s="1"/>
      <c r="IMF63" s="1"/>
      <c r="IMG63" s="1"/>
      <c r="IMH63" s="1"/>
      <c r="IMI63" s="1"/>
      <c r="IMJ63" s="1"/>
      <c r="IMK63" s="1"/>
      <c r="IML63" s="1"/>
      <c r="IMM63" s="1"/>
      <c r="IMN63" s="1"/>
      <c r="IMO63" s="1"/>
      <c r="IMP63" s="1"/>
      <c r="IMQ63" s="1"/>
      <c r="IMR63" s="1"/>
      <c r="IMS63" s="1"/>
      <c r="IMT63" s="1"/>
      <c r="IMU63" s="1"/>
      <c r="IMV63" s="1"/>
      <c r="IMW63" s="1"/>
      <c r="IMX63" s="1"/>
      <c r="IMY63" s="1"/>
      <c r="IMZ63" s="1"/>
      <c r="INA63" s="1"/>
      <c r="INB63" s="1"/>
      <c r="INC63" s="1"/>
      <c r="IND63" s="1"/>
      <c r="INE63" s="1"/>
      <c r="INF63" s="1"/>
      <c r="ING63" s="1"/>
      <c r="INH63" s="1"/>
      <c r="INI63" s="1"/>
      <c r="INJ63" s="1"/>
      <c r="INK63" s="1"/>
      <c r="INL63" s="1"/>
      <c r="INM63" s="1"/>
      <c r="INN63" s="1"/>
      <c r="INO63" s="1"/>
      <c r="INP63" s="1"/>
      <c r="INQ63" s="1"/>
      <c r="INR63" s="1"/>
      <c r="INS63" s="1"/>
      <c r="INT63" s="1"/>
      <c r="INU63" s="1"/>
      <c r="INV63" s="1"/>
      <c r="INW63" s="1"/>
      <c r="INX63" s="1"/>
      <c r="INY63" s="1"/>
      <c r="INZ63" s="1"/>
      <c r="IOA63" s="1"/>
      <c r="IOB63" s="1"/>
      <c r="IOC63" s="1"/>
      <c r="IOD63" s="1"/>
      <c r="IOE63" s="1"/>
      <c r="IOF63" s="1"/>
      <c r="IOG63" s="1"/>
      <c r="IOH63" s="1"/>
      <c r="IOI63" s="1"/>
      <c r="IOJ63" s="1"/>
      <c r="IOK63" s="1"/>
      <c r="IOL63" s="1"/>
      <c r="IOM63" s="1"/>
      <c r="ION63" s="1"/>
      <c r="IOO63" s="1"/>
      <c r="IOP63" s="1"/>
      <c r="IOQ63" s="1"/>
      <c r="IOR63" s="1"/>
      <c r="IOS63" s="1"/>
      <c r="IOT63" s="1"/>
      <c r="IOU63" s="1"/>
      <c r="IOV63" s="1"/>
      <c r="IOW63" s="1"/>
      <c r="IOX63" s="1"/>
      <c r="IOY63" s="1"/>
      <c r="IOZ63" s="1"/>
      <c r="IPA63" s="1"/>
      <c r="IPB63" s="1"/>
      <c r="IPC63" s="1"/>
      <c r="IPD63" s="1"/>
      <c r="IPE63" s="1"/>
      <c r="IPF63" s="1"/>
      <c r="IPG63" s="1"/>
      <c r="IPH63" s="1"/>
      <c r="IPI63" s="1"/>
      <c r="IPJ63" s="1"/>
      <c r="IPK63" s="1"/>
      <c r="IPL63" s="1"/>
      <c r="IPM63" s="1"/>
      <c r="IPN63" s="1"/>
      <c r="IPO63" s="1"/>
      <c r="IPP63" s="1"/>
      <c r="IPQ63" s="1"/>
      <c r="IPR63" s="1"/>
      <c r="IPS63" s="1"/>
      <c r="IPT63" s="1"/>
      <c r="IPU63" s="1"/>
      <c r="IPV63" s="1"/>
      <c r="IPW63" s="1"/>
      <c r="IPX63" s="1"/>
      <c r="IPY63" s="1"/>
      <c r="IPZ63" s="1"/>
      <c r="IQA63" s="1"/>
      <c r="IQB63" s="1"/>
      <c r="IQC63" s="1"/>
      <c r="IQD63" s="1"/>
      <c r="IQE63" s="1"/>
      <c r="IQF63" s="1"/>
      <c r="IQG63" s="1"/>
      <c r="IQH63" s="1"/>
      <c r="IQI63" s="1"/>
      <c r="IQJ63" s="1"/>
      <c r="IQK63" s="1"/>
      <c r="IQL63" s="1"/>
      <c r="IQM63" s="1"/>
      <c r="IQN63" s="1"/>
      <c r="IQO63" s="1"/>
      <c r="IQP63" s="1"/>
      <c r="IQQ63" s="1"/>
      <c r="IQR63" s="1"/>
      <c r="IQS63" s="1"/>
      <c r="IQT63" s="1"/>
      <c r="IQU63" s="1"/>
      <c r="IQV63" s="1"/>
      <c r="IQW63" s="1"/>
      <c r="IQX63" s="1"/>
      <c r="IQY63" s="1"/>
      <c r="IQZ63" s="1"/>
      <c r="IRA63" s="1"/>
      <c r="IRB63" s="1"/>
      <c r="IRC63" s="1"/>
      <c r="IRD63" s="1"/>
      <c r="IRE63" s="1"/>
      <c r="IRF63" s="1"/>
      <c r="IRG63" s="1"/>
      <c r="IRH63" s="1"/>
      <c r="IRI63" s="1"/>
      <c r="IRJ63" s="1"/>
      <c r="IRK63" s="1"/>
      <c r="IRL63" s="1"/>
      <c r="IRM63" s="1"/>
      <c r="IRN63" s="1"/>
      <c r="IRO63" s="1"/>
      <c r="IRP63" s="1"/>
      <c r="IRQ63" s="1"/>
      <c r="IRR63" s="1"/>
      <c r="IRS63" s="1"/>
      <c r="IRT63" s="1"/>
      <c r="IRU63" s="1"/>
      <c r="IRV63" s="1"/>
      <c r="IRW63" s="1"/>
      <c r="IRX63" s="1"/>
      <c r="IRY63" s="1"/>
      <c r="IRZ63" s="1"/>
      <c r="ISA63" s="1"/>
      <c r="ISB63" s="1"/>
      <c r="ISC63" s="1"/>
      <c r="ISD63" s="1"/>
      <c r="ISE63" s="1"/>
      <c r="ISF63" s="1"/>
      <c r="ISG63" s="1"/>
      <c r="ISH63" s="1"/>
      <c r="ISI63" s="1"/>
      <c r="ISJ63" s="1"/>
      <c r="ISK63" s="1"/>
      <c r="ISL63" s="1"/>
      <c r="ISM63" s="1"/>
      <c r="ISN63" s="1"/>
      <c r="ISO63" s="1"/>
      <c r="ISP63" s="1"/>
      <c r="ISQ63" s="1"/>
      <c r="ISR63" s="1"/>
      <c r="ISS63" s="1"/>
      <c r="IST63" s="1"/>
      <c r="ISU63" s="1"/>
      <c r="ISV63" s="1"/>
      <c r="ISW63" s="1"/>
      <c r="ISX63" s="1"/>
      <c r="ISY63" s="1"/>
      <c r="ISZ63" s="1"/>
      <c r="ITA63" s="1"/>
      <c r="ITB63" s="1"/>
      <c r="ITC63" s="1"/>
      <c r="ITD63" s="1"/>
      <c r="ITE63" s="1"/>
      <c r="ITF63" s="1"/>
      <c r="ITG63" s="1"/>
      <c r="ITH63" s="1"/>
      <c r="ITI63" s="1"/>
      <c r="ITJ63" s="1"/>
      <c r="ITK63" s="1"/>
      <c r="ITL63" s="1"/>
      <c r="ITM63" s="1"/>
      <c r="ITN63" s="1"/>
      <c r="ITO63" s="1"/>
      <c r="ITP63" s="1"/>
      <c r="ITQ63" s="1"/>
      <c r="ITR63" s="1"/>
      <c r="ITS63" s="1"/>
      <c r="ITT63" s="1"/>
      <c r="ITU63" s="1"/>
      <c r="ITV63" s="1"/>
      <c r="ITW63" s="1"/>
      <c r="ITX63" s="1"/>
      <c r="ITY63" s="1"/>
      <c r="ITZ63" s="1"/>
      <c r="IUA63" s="1"/>
      <c r="IUB63" s="1"/>
      <c r="IUC63" s="1"/>
      <c r="IUD63" s="1"/>
      <c r="IUE63" s="1"/>
      <c r="IUF63" s="1"/>
      <c r="IUG63" s="1"/>
      <c r="IUH63" s="1"/>
      <c r="IUI63" s="1"/>
      <c r="IUJ63" s="1"/>
      <c r="IUK63" s="1"/>
      <c r="IUL63" s="1"/>
      <c r="IUM63" s="1"/>
      <c r="IUN63" s="1"/>
      <c r="IUO63" s="1"/>
      <c r="IUP63" s="1"/>
      <c r="IUQ63" s="1"/>
      <c r="IUR63" s="1"/>
      <c r="IUS63" s="1"/>
      <c r="IUT63" s="1"/>
      <c r="IUU63" s="1"/>
      <c r="IUV63" s="1"/>
      <c r="IUW63" s="1"/>
      <c r="IUX63" s="1"/>
      <c r="IUY63" s="1"/>
      <c r="IUZ63" s="1"/>
      <c r="IVA63" s="1"/>
      <c r="IVB63" s="1"/>
      <c r="IVC63" s="1"/>
      <c r="IVD63" s="1"/>
      <c r="IVE63" s="1"/>
      <c r="IVF63" s="1"/>
      <c r="IVG63" s="1"/>
      <c r="IVH63" s="1"/>
      <c r="IVI63" s="1"/>
      <c r="IVJ63" s="1"/>
      <c r="IVK63" s="1"/>
      <c r="IVL63" s="1"/>
      <c r="IVM63" s="1"/>
      <c r="IVN63" s="1"/>
      <c r="IVO63" s="1"/>
      <c r="IVP63" s="1"/>
      <c r="IVQ63" s="1"/>
      <c r="IVR63" s="1"/>
      <c r="IVS63" s="1"/>
      <c r="IVT63" s="1"/>
      <c r="IVU63" s="1"/>
      <c r="IVV63" s="1"/>
      <c r="IVW63" s="1"/>
      <c r="IVX63" s="1"/>
      <c r="IVY63" s="1"/>
      <c r="IVZ63" s="1"/>
      <c r="IWA63" s="1"/>
      <c r="IWB63" s="1"/>
      <c r="IWC63" s="1"/>
      <c r="IWD63" s="1"/>
      <c r="IWE63" s="1"/>
      <c r="IWF63" s="1"/>
      <c r="IWG63" s="1"/>
      <c r="IWH63" s="1"/>
      <c r="IWI63" s="1"/>
      <c r="IWJ63" s="1"/>
      <c r="IWK63" s="1"/>
      <c r="IWL63" s="1"/>
      <c r="IWM63" s="1"/>
      <c r="IWN63" s="1"/>
      <c r="IWO63" s="1"/>
      <c r="IWP63" s="1"/>
      <c r="IWQ63" s="1"/>
      <c r="IWR63" s="1"/>
      <c r="IWS63" s="1"/>
      <c r="IWT63" s="1"/>
      <c r="IWU63" s="1"/>
      <c r="IWV63" s="1"/>
      <c r="IWW63" s="1"/>
      <c r="IWX63" s="1"/>
      <c r="IWY63" s="1"/>
      <c r="IWZ63" s="1"/>
      <c r="IXA63" s="1"/>
      <c r="IXB63" s="1"/>
      <c r="IXC63" s="1"/>
      <c r="IXD63" s="1"/>
      <c r="IXE63" s="1"/>
      <c r="IXF63" s="1"/>
      <c r="IXG63" s="1"/>
      <c r="IXH63" s="1"/>
      <c r="IXI63" s="1"/>
      <c r="IXJ63" s="1"/>
      <c r="IXK63" s="1"/>
      <c r="IXL63" s="1"/>
      <c r="IXM63" s="1"/>
      <c r="IXN63" s="1"/>
      <c r="IXO63" s="1"/>
      <c r="IXP63" s="1"/>
      <c r="IXQ63" s="1"/>
      <c r="IXR63" s="1"/>
      <c r="IXS63" s="1"/>
      <c r="IXT63" s="1"/>
      <c r="IXU63" s="1"/>
      <c r="IXV63" s="1"/>
      <c r="IXW63" s="1"/>
      <c r="IXX63" s="1"/>
      <c r="IXY63" s="1"/>
      <c r="IXZ63" s="1"/>
      <c r="IYA63" s="1"/>
      <c r="IYB63" s="1"/>
      <c r="IYC63" s="1"/>
      <c r="IYD63" s="1"/>
      <c r="IYE63" s="1"/>
      <c r="IYF63" s="1"/>
      <c r="IYG63" s="1"/>
      <c r="IYH63" s="1"/>
      <c r="IYI63" s="1"/>
      <c r="IYJ63" s="1"/>
      <c r="IYK63" s="1"/>
      <c r="IYL63" s="1"/>
      <c r="IYM63" s="1"/>
      <c r="IYN63" s="1"/>
      <c r="IYO63" s="1"/>
      <c r="IYP63" s="1"/>
      <c r="IYQ63" s="1"/>
      <c r="IYR63" s="1"/>
      <c r="IYS63" s="1"/>
      <c r="IYT63" s="1"/>
      <c r="IYU63" s="1"/>
      <c r="IYV63" s="1"/>
      <c r="IYW63" s="1"/>
      <c r="IYX63" s="1"/>
      <c r="IYY63" s="1"/>
      <c r="IYZ63" s="1"/>
      <c r="IZA63" s="1"/>
      <c r="IZB63" s="1"/>
      <c r="IZC63" s="1"/>
      <c r="IZD63" s="1"/>
      <c r="IZE63" s="1"/>
      <c r="IZF63" s="1"/>
      <c r="IZG63" s="1"/>
      <c r="IZH63" s="1"/>
      <c r="IZI63" s="1"/>
      <c r="IZJ63" s="1"/>
      <c r="IZK63" s="1"/>
      <c r="IZL63" s="1"/>
      <c r="IZM63" s="1"/>
      <c r="IZN63" s="1"/>
      <c r="IZO63" s="1"/>
      <c r="IZP63" s="1"/>
      <c r="IZQ63" s="1"/>
      <c r="IZR63" s="1"/>
      <c r="IZS63" s="1"/>
      <c r="IZT63" s="1"/>
      <c r="IZU63" s="1"/>
      <c r="IZV63" s="1"/>
      <c r="IZW63" s="1"/>
      <c r="IZX63" s="1"/>
      <c r="IZY63" s="1"/>
      <c r="IZZ63" s="1"/>
      <c r="JAA63" s="1"/>
      <c r="JAB63" s="1"/>
      <c r="JAC63" s="1"/>
      <c r="JAD63" s="1"/>
      <c r="JAE63" s="1"/>
      <c r="JAF63" s="1"/>
      <c r="JAG63" s="1"/>
      <c r="JAH63" s="1"/>
      <c r="JAI63" s="1"/>
      <c r="JAJ63" s="1"/>
      <c r="JAK63" s="1"/>
      <c r="JAL63" s="1"/>
      <c r="JAM63" s="1"/>
      <c r="JAN63" s="1"/>
      <c r="JAO63" s="1"/>
      <c r="JAP63" s="1"/>
      <c r="JAQ63" s="1"/>
      <c r="JAR63" s="1"/>
      <c r="JAS63" s="1"/>
      <c r="JAT63" s="1"/>
      <c r="JAU63" s="1"/>
      <c r="JAV63" s="1"/>
      <c r="JAW63" s="1"/>
      <c r="JAX63" s="1"/>
      <c r="JAY63" s="1"/>
      <c r="JAZ63" s="1"/>
      <c r="JBA63" s="1"/>
      <c r="JBB63" s="1"/>
      <c r="JBC63" s="1"/>
      <c r="JBD63" s="1"/>
      <c r="JBE63" s="1"/>
      <c r="JBF63" s="1"/>
      <c r="JBG63" s="1"/>
      <c r="JBH63" s="1"/>
      <c r="JBI63" s="1"/>
      <c r="JBJ63" s="1"/>
      <c r="JBK63" s="1"/>
      <c r="JBL63" s="1"/>
      <c r="JBM63" s="1"/>
      <c r="JBN63" s="1"/>
      <c r="JBO63" s="1"/>
      <c r="JBP63" s="1"/>
      <c r="JBQ63" s="1"/>
      <c r="JBR63" s="1"/>
      <c r="JBS63" s="1"/>
      <c r="JBT63" s="1"/>
      <c r="JBU63" s="1"/>
      <c r="JBV63" s="1"/>
      <c r="JBW63" s="1"/>
      <c r="JBX63" s="1"/>
      <c r="JBY63" s="1"/>
      <c r="JBZ63" s="1"/>
      <c r="JCA63" s="1"/>
      <c r="JCB63" s="1"/>
      <c r="JCC63" s="1"/>
      <c r="JCD63" s="1"/>
      <c r="JCE63" s="1"/>
      <c r="JCF63" s="1"/>
      <c r="JCG63" s="1"/>
      <c r="JCH63" s="1"/>
      <c r="JCI63" s="1"/>
      <c r="JCJ63" s="1"/>
      <c r="JCK63" s="1"/>
      <c r="JCL63" s="1"/>
      <c r="JCM63" s="1"/>
      <c r="JCN63" s="1"/>
      <c r="JCO63" s="1"/>
      <c r="JCP63" s="1"/>
      <c r="JCQ63" s="1"/>
      <c r="JCR63" s="1"/>
      <c r="JCS63" s="1"/>
      <c r="JCT63" s="1"/>
      <c r="JCU63" s="1"/>
      <c r="JCV63" s="1"/>
      <c r="JCW63" s="1"/>
      <c r="JCX63" s="1"/>
      <c r="JCY63" s="1"/>
      <c r="JCZ63" s="1"/>
      <c r="JDA63" s="1"/>
      <c r="JDB63" s="1"/>
      <c r="JDC63" s="1"/>
      <c r="JDD63" s="1"/>
      <c r="JDE63" s="1"/>
      <c r="JDF63" s="1"/>
      <c r="JDG63" s="1"/>
      <c r="JDH63" s="1"/>
      <c r="JDI63" s="1"/>
      <c r="JDJ63" s="1"/>
      <c r="JDK63" s="1"/>
      <c r="JDL63" s="1"/>
      <c r="JDM63" s="1"/>
      <c r="JDN63" s="1"/>
      <c r="JDO63" s="1"/>
      <c r="JDP63" s="1"/>
      <c r="JDQ63" s="1"/>
      <c r="JDR63" s="1"/>
      <c r="JDS63" s="1"/>
      <c r="JDT63" s="1"/>
      <c r="JDU63" s="1"/>
      <c r="JDV63" s="1"/>
      <c r="JDW63" s="1"/>
      <c r="JDX63" s="1"/>
      <c r="JDY63" s="1"/>
      <c r="JDZ63" s="1"/>
      <c r="JEA63" s="1"/>
      <c r="JEB63" s="1"/>
      <c r="JEC63" s="1"/>
      <c r="JED63" s="1"/>
      <c r="JEE63" s="1"/>
      <c r="JEF63" s="1"/>
      <c r="JEG63" s="1"/>
      <c r="JEH63" s="1"/>
      <c r="JEI63" s="1"/>
      <c r="JEJ63" s="1"/>
      <c r="JEK63" s="1"/>
      <c r="JEL63" s="1"/>
      <c r="JEM63" s="1"/>
      <c r="JEN63" s="1"/>
      <c r="JEO63" s="1"/>
      <c r="JEP63" s="1"/>
      <c r="JEQ63" s="1"/>
      <c r="JER63" s="1"/>
      <c r="JES63" s="1"/>
      <c r="JET63" s="1"/>
      <c r="JEU63" s="1"/>
      <c r="JEV63" s="1"/>
      <c r="JEW63" s="1"/>
      <c r="JEX63" s="1"/>
      <c r="JEY63" s="1"/>
      <c r="JEZ63" s="1"/>
      <c r="JFA63" s="1"/>
      <c r="JFB63" s="1"/>
      <c r="JFC63" s="1"/>
      <c r="JFD63" s="1"/>
      <c r="JFE63" s="1"/>
      <c r="JFF63" s="1"/>
      <c r="JFG63" s="1"/>
      <c r="JFH63" s="1"/>
      <c r="JFI63" s="1"/>
      <c r="JFJ63" s="1"/>
      <c r="JFK63" s="1"/>
      <c r="JFL63" s="1"/>
      <c r="JFM63" s="1"/>
      <c r="JFN63" s="1"/>
      <c r="JFO63" s="1"/>
      <c r="JFP63" s="1"/>
      <c r="JFQ63" s="1"/>
      <c r="JFR63" s="1"/>
      <c r="JFS63" s="1"/>
      <c r="JFT63" s="1"/>
      <c r="JFU63" s="1"/>
      <c r="JFV63" s="1"/>
      <c r="JFW63" s="1"/>
      <c r="JFX63" s="1"/>
      <c r="JFY63" s="1"/>
      <c r="JFZ63" s="1"/>
      <c r="JGA63" s="1"/>
      <c r="JGB63" s="1"/>
      <c r="JGC63" s="1"/>
      <c r="JGD63" s="1"/>
      <c r="JGE63" s="1"/>
      <c r="JGF63" s="1"/>
      <c r="JGG63" s="1"/>
      <c r="JGH63" s="1"/>
      <c r="JGI63" s="1"/>
      <c r="JGJ63" s="1"/>
      <c r="JGK63" s="1"/>
      <c r="JGL63" s="1"/>
      <c r="JGM63" s="1"/>
      <c r="JGN63" s="1"/>
      <c r="JGO63" s="1"/>
      <c r="JGP63" s="1"/>
      <c r="JGQ63" s="1"/>
      <c r="JGR63" s="1"/>
      <c r="JGS63" s="1"/>
      <c r="JGT63" s="1"/>
      <c r="JGU63" s="1"/>
      <c r="JGV63" s="1"/>
      <c r="JGW63" s="1"/>
      <c r="JGX63" s="1"/>
      <c r="JGY63" s="1"/>
      <c r="JGZ63" s="1"/>
      <c r="JHA63" s="1"/>
      <c r="JHB63" s="1"/>
      <c r="JHC63" s="1"/>
      <c r="JHD63" s="1"/>
      <c r="JHE63" s="1"/>
      <c r="JHF63" s="1"/>
      <c r="JHG63" s="1"/>
      <c r="JHH63" s="1"/>
      <c r="JHI63" s="1"/>
      <c r="JHJ63" s="1"/>
      <c r="JHK63" s="1"/>
      <c r="JHL63" s="1"/>
      <c r="JHM63" s="1"/>
      <c r="JHN63" s="1"/>
      <c r="JHO63" s="1"/>
      <c r="JHP63" s="1"/>
      <c r="JHQ63" s="1"/>
      <c r="JHR63" s="1"/>
      <c r="JHS63" s="1"/>
      <c r="JHT63" s="1"/>
      <c r="JHU63" s="1"/>
      <c r="JHV63" s="1"/>
      <c r="JHW63" s="1"/>
      <c r="JHX63" s="1"/>
      <c r="JHY63" s="1"/>
      <c r="JHZ63" s="1"/>
      <c r="JIA63" s="1"/>
      <c r="JIB63" s="1"/>
      <c r="JIC63" s="1"/>
      <c r="JID63" s="1"/>
      <c r="JIE63" s="1"/>
      <c r="JIF63" s="1"/>
      <c r="JIG63" s="1"/>
      <c r="JIH63" s="1"/>
      <c r="JII63" s="1"/>
      <c r="JIJ63" s="1"/>
      <c r="JIK63" s="1"/>
      <c r="JIL63" s="1"/>
      <c r="JIM63" s="1"/>
      <c r="JIN63" s="1"/>
      <c r="JIO63" s="1"/>
      <c r="JIP63" s="1"/>
      <c r="JIQ63" s="1"/>
      <c r="JIR63" s="1"/>
      <c r="JIS63" s="1"/>
      <c r="JIT63" s="1"/>
      <c r="JIU63" s="1"/>
      <c r="JIV63" s="1"/>
      <c r="JIW63" s="1"/>
      <c r="JIX63" s="1"/>
      <c r="JIY63" s="1"/>
      <c r="JIZ63" s="1"/>
      <c r="JJA63" s="1"/>
      <c r="JJB63" s="1"/>
      <c r="JJC63" s="1"/>
      <c r="JJD63" s="1"/>
      <c r="JJE63" s="1"/>
      <c r="JJF63" s="1"/>
      <c r="JJG63" s="1"/>
      <c r="JJH63" s="1"/>
      <c r="JJI63" s="1"/>
      <c r="JJJ63" s="1"/>
      <c r="JJK63" s="1"/>
      <c r="JJL63" s="1"/>
      <c r="JJM63" s="1"/>
      <c r="JJN63" s="1"/>
      <c r="JJO63" s="1"/>
      <c r="JJP63" s="1"/>
      <c r="JJQ63" s="1"/>
      <c r="JJR63" s="1"/>
      <c r="JJS63" s="1"/>
      <c r="JJT63" s="1"/>
      <c r="JJU63" s="1"/>
      <c r="JJV63" s="1"/>
      <c r="JJW63" s="1"/>
      <c r="JJX63" s="1"/>
      <c r="JJY63" s="1"/>
      <c r="JJZ63" s="1"/>
      <c r="JKA63" s="1"/>
      <c r="JKB63" s="1"/>
      <c r="JKC63" s="1"/>
      <c r="JKD63" s="1"/>
      <c r="JKE63" s="1"/>
      <c r="JKF63" s="1"/>
      <c r="JKG63" s="1"/>
      <c r="JKH63" s="1"/>
      <c r="JKI63" s="1"/>
      <c r="JKJ63" s="1"/>
      <c r="JKK63" s="1"/>
      <c r="JKL63" s="1"/>
      <c r="JKM63" s="1"/>
      <c r="JKN63" s="1"/>
      <c r="JKO63" s="1"/>
      <c r="JKP63" s="1"/>
      <c r="JKQ63" s="1"/>
      <c r="JKR63" s="1"/>
      <c r="JKS63" s="1"/>
      <c r="JKT63" s="1"/>
      <c r="JKU63" s="1"/>
      <c r="JKV63" s="1"/>
      <c r="JKW63" s="1"/>
      <c r="JKX63" s="1"/>
      <c r="JKY63" s="1"/>
      <c r="JKZ63" s="1"/>
      <c r="JLA63" s="1"/>
      <c r="JLB63" s="1"/>
      <c r="JLC63" s="1"/>
      <c r="JLD63" s="1"/>
      <c r="JLE63" s="1"/>
      <c r="JLF63" s="1"/>
      <c r="JLG63" s="1"/>
      <c r="JLH63" s="1"/>
      <c r="JLI63" s="1"/>
      <c r="JLJ63" s="1"/>
      <c r="JLK63" s="1"/>
      <c r="JLL63" s="1"/>
      <c r="JLM63" s="1"/>
      <c r="JLN63" s="1"/>
      <c r="JLO63" s="1"/>
      <c r="JLP63" s="1"/>
      <c r="JLQ63" s="1"/>
      <c r="JLR63" s="1"/>
      <c r="JLS63" s="1"/>
      <c r="JLT63" s="1"/>
      <c r="JLU63" s="1"/>
      <c r="JLV63" s="1"/>
      <c r="JLW63" s="1"/>
      <c r="JLX63" s="1"/>
      <c r="JLY63" s="1"/>
      <c r="JLZ63" s="1"/>
      <c r="JMA63" s="1"/>
      <c r="JMB63" s="1"/>
      <c r="JMC63" s="1"/>
      <c r="JMD63" s="1"/>
      <c r="JME63" s="1"/>
      <c r="JMF63" s="1"/>
      <c r="JMG63" s="1"/>
      <c r="JMH63" s="1"/>
      <c r="JMI63" s="1"/>
      <c r="JMJ63" s="1"/>
      <c r="JMK63" s="1"/>
      <c r="JML63" s="1"/>
      <c r="JMM63" s="1"/>
      <c r="JMN63" s="1"/>
      <c r="JMO63" s="1"/>
      <c r="JMP63" s="1"/>
      <c r="JMQ63" s="1"/>
      <c r="JMR63" s="1"/>
      <c r="JMS63" s="1"/>
      <c r="JMT63" s="1"/>
      <c r="JMU63" s="1"/>
      <c r="JMV63" s="1"/>
      <c r="JMW63" s="1"/>
      <c r="JMX63" s="1"/>
      <c r="JMY63" s="1"/>
      <c r="JMZ63" s="1"/>
      <c r="JNA63" s="1"/>
      <c r="JNB63" s="1"/>
      <c r="JNC63" s="1"/>
      <c r="JND63" s="1"/>
      <c r="JNE63" s="1"/>
      <c r="JNF63" s="1"/>
      <c r="JNG63" s="1"/>
      <c r="JNH63" s="1"/>
      <c r="JNI63" s="1"/>
      <c r="JNJ63" s="1"/>
      <c r="JNK63" s="1"/>
      <c r="JNL63" s="1"/>
      <c r="JNM63" s="1"/>
      <c r="JNN63" s="1"/>
      <c r="JNO63" s="1"/>
      <c r="JNP63" s="1"/>
      <c r="JNQ63" s="1"/>
      <c r="JNR63" s="1"/>
      <c r="JNS63" s="1"/>
      <c r="JNT63" s="1"/>
      <c r="JNU63" s="1"/>
      <c r="JNV63" s="1"/>
      <c r="JNW63" s="1"/>
      <c r="JNX63" s="1"/>
      <c r="JNY63" s="1"/>
      <c r="JNZ63" s="1"/>
      <c r="JOA63" s="1"/>
      <c r="JOB63" s="1"/>
      <c r="JOC63" s="1"/>
      <c r="JOD63" s="1"/>
      <c r="JOE63" s="1"/>
      <c r="JOF63" s="1"/>
      <c r="JOG63" s="1"/>
      <c r="JOH63" s="1"/>
      <c r="JOI63" s="1"/>
      <c r="JOJ63" s="1"/>
      <c r="JOK63" s="1"/>
      <c r="JOL63" s="1"/>
      <c r="JOM63" s="1"/>
      <c r="JON63" s="1"/>
      <c r="JOO63" s="1"/>
      <c r="JOP63" s="1"/>
      <c r="JOQ63" s="1"/>
      <c r="JOR63" s="1"/>
      <c r="JOS63" s="1"/>
      <c r="JOT63" s="1"/>
      <c r="JOU63" s="1"/>
      <c r="JOV63" s="1"/>
      <c r="JOW63" s="1"/>
      <c r="JOX63" s="1"/>
      <c r="JOY63" s="1"/>
      <c r="JOZ63" s="1"/>
      <c r="JPA63" s="1"/>
      <c r="JPB63" s="1"/>
      <c r="JPC63" s="1"/>
      <c r="JPD63" s="1"/>
      <c r="JPE63" s="1"/>
      <c r="JPF63" s="1"/>
      <c r="JPG63" s="1"/>
      <c r="JPH63" s="1"/>
      <c r="JPI63" s="1"/>
      <c r="JPJ63" s="1"/>
      <c r="JPK63" s="1"/>
      <c r="JPL63" s="1"/>
      <c r="JPM63" s="1"/>
      <c r="JPN63" s="1"/>
      <c r="JPO63" s="1"/>
      <c r="JPP63" s="1"/>
      <c r="JPQ63" s="1"/>
      <c r="JPR63" s="1"/>
      <c r="JPS63" s="1"/>
      <c r="JPT63" s="1"/>
      <c r="JPU63" s="1"/>
      <c r="JPV63" s="1"/>
      <c r="JPW63" s="1"/>
      <c r="JPX63" s="1"/>
      <c r="JPY63" s="1"/>
      <c r="JPZ63" s="1"/>
      <c r="JQA63" s="1"/>
      <c r="JQB63" s="1"/>
      <c r="JQC63" s="1"/>
      <c r="JQD63" s="1"/>
      <c r="JQE63" s="1"/>
      <c r="JQF63" s="1"/>
      <c r="JQG63" s="1"/>
      <c r="JQH63" s="1"/>
      <c r="JQI63" s="1"/>
      <c r="JQJ63" s="1"/>
      <c r="JQK63" s="1"/>
      <c r="JQL63" s="1"/>
      <c r="JQM63" s="1"/>
      <c r="JQN63" s="1"/>
      <c r="JQO63" s="1"/>
      <c r="JQP63" s="1"/>
      <c r="JQQ63" s="1"/>
      <c r="JQR63" s="1"/>
      <c r="JQS63" s="1"/>
      <c r="JQT63" s="1"/>
      <c r="JQU63" s="1"/>
      <c r="JQV63" s="1"/>
      <c r="JQW63" s="1"/>
      <c r="JQX63" s="1"/>
      <c r="JQY63" s="1"/>
      <c r="JQZ63" s="1"/>
      <c r="JRA63" s="1"/>
      <c r="JRB63" s="1"/>
      <c r="JRC63" s="1"/>
      <c r="JRD63" s="1"/>
      <c r="JRE63" s="1"/>
      <c r="JRF63" s="1"/>
      <c r="JRG63" s="1"/>
      <c r="JRH63" s="1"/>
      <c r="JRI63" s="1"/>
      <c r="JRJ63" s="1"/>
      <c r="JRK63" s="1"/>
      <c r="JRL63" s="1"/>
      <c r="JRM63" s="1"/>
      <c r="JRN63" s="1"/>
      <c r="JRO63" s="1"/>
      <c r="JRP63" s="1"/>
      <c r="JRQ63" s="1"/>
      <c r="JRR63" s="1"/>
      <c r="JRS63" s="1"/>
      <c r="JRT63" s="1"/>
      <c r="JRU63" s="1"/>
      <c r="JRV63" s="1"/>
      <c r="JRW63" s="1"/>
      <c r="JRX63" s="1"/>
      <c r="JRY63" s="1"/>
      <c r="JRZ63" s="1"/>
      <c r="JSA63" s="1"/>
      <c r="JSB63" s="1"/>
      <c r="JSC63" s="1"/>
      <c r="JSD63" s="1"/>
      <c r="JSE63" s="1"/>
      <c r="JSF63" s="1"/>
      <c r="JSG63" s="1"/>
      <c r="JSH63" s="1"/>
      <c r="JSI63" s="1"/>
      <c r="JSJ63" s="1"/>
      <c r="JSK63" s="1"/>
      <c r="JSL63" s="1"/>
      <c r="JSM63" s="1"/>
      <c r="JSN63" s="1"/>
      <c r="JSO63" s="1"/>
      <c r="JSP63" s="1"/>
      <c r="JSQ63" s="1"/>
      <c r="JSR63" s="1"/>
      <c r="JSS63" s="1"/>
      <c r="JST63" s="1"/>
      <c r="JSU63" s="1"/>
      <c r="JSV63" s="1"/>
      <c r="JSW63" s="1"/>
      <c r="JSX63" s="1"/>
      <c r="JSY63" s="1"/>
      <c r="JSZ63" s="1"/>
      <c r="JTA63" s="1"/>
      <c r="JTB63" s="1"/>
      <c r="JTC63" s="1"/>
      <c r="JTD63" s="1"/>
      <c r="JTE63" s="1"/>
      <c r="JTF63" s="1"/>
      <c r="JTG63" s="1"/>
      <c r="JTH63" s="1"/>
      <c r="JTI63" s="1"/>
      <c r="JTJ63" s="1"/>
      <c r="JTK63" s="1"/>
      <c r="JTL63" s="1"/>
      <c r="JTM63" s="1"/>
      <c r="JTN63" s="1"/>
      <c r="JTO63" s="1"/>
      <c r="JTP63" s="1"/>
      <c r="JTQ63" s="1"/>
      <c r="JTR63" s="1"/>
      <c r="JTS63" s="1"/>
      <c r="JTT63" s="1"/>
      <c r="JTU63" s="1"/>
      <c r="JTV63" s="1"/>
      <c r="JTW63" s="1"/>
      <c r="JTX63" s="1"/>
      <c r="JTY63" s="1"/>
      <c r="JTZ63" s="1"/>
      <c r="JUA63" s="1"/>
      <c r="JUB63" s="1"/>
      <c r="JUC63" s="1"/>
      <c r="JUD63" s="1"/>
      <c r="JUE63" s="1"/>
      <c r="JUF63" s="1"/>
      <c r="JUG63" s="1"/>
      <c r="JUH63" s="1"/>
      <c r="JUI63" s="1"/>
      <c r="JUJ63" s="1"/>
      <c r="JUK63" s="1"/>
      <c r="JUL63" s="1"/>
      <c r="JUM63" s="1"/>
      <c r="JUN63" s="1"/>
      <c r="JUO63" s="1"/>
      <c r="JUP63" s="1"/>
      <c r="JUQ63" s="1"/>
      <c r="JUR63" s="1"/>
      <c r="JUS63" s="1"/>
      <c r="JUT63" s="1"/>
      <c r="JUU63" s="1"/>
      <c r="JUV63" s="1"/>
      <c r="JUW63" s="1"/>
      <c r="JUX63" s="1"/>
      <c r="JUY63" s="1"/>
      <c r="JUZ63" s="1"/>
      <c r="JVA63" s="1"/>
      <c r="JVB63" s="1"/>
      <c r="JVC63" s="1"/>
      <c r="JVD63" s="1"/>
      <c r="JVE63" s="1"/>
      <c r="JVF63" s="1"/>
      <c r="JVG63" s="1"/>
      <c r="JVH63" s="1"/>
      <c r="JVI63" s="1"/>
      <c r="JVJ63" s="1"/>
      <c r="JVK63" s="1"/>
      <c r="JVL63" s="1"/>
      <c r="JVM63" s="1"/>
      <c r="JVN63" s="1"/>
      <c r="JVO63" s="1"/>
      <c r="JVP63" s="1"/>
      <c r="JVQ63" s="1"/>
      <c r="JVR63" s="1"/>
      <c r="JVS63" s="1"/>
      <c r="JVT63" s="1"/>
      <c r="JVU63" s="1"/>
      <c r="JVV63" s="1"/>
      <c r="JVW63" s="1"/>
      <c r="JVX63" s="1"/>
      <c r="JVY63" s="1"/>
      <c r="JVZ63" s="1"/>
      <c r="JWA63" s="1"/>
      <c r="JWB63" s="1"/>
      <c r="JWC63" s="1"/>
      <c r="JWD63" s="1"/>
      <c r="JWE63" s="1"/>
      <c r="JWF63" s="1"/>
      <c r="JWG63" s="1"/>
      <c r="JWH63" s="1"/>
      <c r="JWI63" s="1"/>
      <c r="JWJ63" s="1"/>
      <c r="JWK63" s="1"/>
      <c r="JWL63" s="1"/>
      <c r="JWM63" s="1"/>
      <c r="JWN63" s="1"/>
      <c r="JWO63" s="1"/>
      <c r="JWP63" s="1"/>
      <c r="JWQ63" s="1"/>
      <c r="JWR63" s="1"/>
      <c r="JWS63" s="1"/>
      <c r="JWT63" s="1"/>
      <c r="JWU63" s="1"/>
      <c r="JWV63" s="1"/>
      <c r="JWW63" s="1"/>
      <c r="JWX63" s="1"/>
      <c r="JWY63" s="1"/>
      <c r="JWZ63" s="1"/>
      <c r="JXA63" s="1"/>
      <c r="JXB63" s="1"/>
      <c r="JXC63" s="1"/>
      <c r="JXD63" s="1"/>
      <c r="JXE63" s="1"/>
      <c r="JXF63" s="1"/>
      <c r="JXG63" s="1"/>
      <c r="JXH63" s="1"/>
      <c r="JXI63" s="1"/>
      <c r="JXJ63" s="1"/>
      <c r="JXK63" s="1"/>
      <c r="JXL63" s="1"/>
      <c r="JXM63" s="1"/>
      <c r="JXN63" s="1"/>
      <c r="JXO63" s="1"/>
      <c r="JXP63" s="1"/>
      <c r="JXQ63" s="1"/>
      <c r="JXR63" s="1"/>
      <c r="JXS63" s="1"/>
      <c r="JXT63" s="1"/>
      <c r="JXU63" s="1"/>
      <c r="JXV63" s="1"/>
      <c r="JXW63" s="1"/>
      <c r="JXX63" s="1"/>
      <c r="JXY63" s="1"/>
      <c r="JXZ63" s="1"/>
      <c r="JYA63" s="1"/>
      <c r="JYB63" s="1"/>
      <c r="JYC63" s="1"/>
      <c r="JYD63" s="1"/>
      <c r="JYE63" s="1"/>
      <c r="JYF63" s="1"/>
      <c r="JYG63" s="1"/>
      <c r="JYH63" s="1"/>
      <c r="JYI63" s="1"/>
      <c r="JYJ63" s="1"/>
      <c r="JYK63" s="1"/>
      <c r="JYL63" s="1"/>
      <c r="JYM63" s="1"/>
      <c r="JYN63" s="1"/>
      <c r="JYO63" s="1"/>
      <c r="JYP63" s="1"/>
      <c r="JYQ63" s="1"/>
      <c r="JYR63" s="1"/>
      <c r="JYS63" s="1"/>
      <c r="JYT63" s="1"/>
      <c r="JYU63" s="1"/>
      <c r="JYV63" s="1"/>
      <c r="JYW63" s="1"/>
      <c r="JYX63" s="1"/>
      <c r="JYY63" s="1"/>
      <c r="JYZ63" s="1"/>
      <c r="JZA63" s="1"/>
      <c r="JZB63" s="1"/>
      <c r="JZC63" s="1"/>
      <c r="JZD63" s="1"/>
      <c r="JZE63" s="1"/>
      <c r="JZF63" s="1"/>
      <c r="JZG63" s="1"/>
      <c r="JZH63" s="1"/>
      <c r="JZI63" s="1"/>
      <c r="JZJ63" s="1"/>
      <c r="JZK63" s="1"/>
      <c r="JZL63" s="1"/>
      <c r="JZM63" s="1"/>
      <c r="JZN63" s="1"/>
      <c r="JZO63" s="1"/>
      <c r="JZP63" s="1"/>
      <c r="JZQ63" s="1"/>
      <c r="JZR63" s="1"/>
      <c r="JZS63" s="1"/>
      <c r="JZT63" s="1"/>
      <c r="JZU63" s="1"/>
      <c r="JZV63" s="1"/>
      <c r="JZW63" s="1"/>
      <c r="JZX63" s="1"/>
      <c r="JZY63" s="1"/>
      <c r="JZZ63" s="1"/>
      <c r="KAA63" s="1"/>
      <c r="KAB63" s="1"/>
      <c r="KAC63" s="1"/>
      <c r="KAD63" s="1"/>
      <c r="KAE63" s="1"/>
      <c r="KAF63" s="1"/>
      <c r="KAG63" s="1"/>
      <c r="KAH63" s="1"/>
      <c r="KAI63" s="1"/>
      <c r="KAJ63" s="1"/>
      <c r="KAK63" s="1"/>
      <c r="KAL63" s="1"/>
      <c r="KAM63" s="1"/>
      <c r="KAN63" s="1"/>
      <c r="KAO63" s="1"/>
      <c r="KAP63" s="1"/>
      <c r="KAQ63" s="1"/>
      <c r="KAR63" s="1"/>
      <c r="KAS63" s="1"/>
      <c r="KAT63" s="1"/>
      <c r="KAU63" s="1"/>
      <c r="KAV63" s="1"/>
      <c r="KAW63" s="1"/>
      <c r="KAX63" s="1"/>
      <c r="KAY63" s="1"/>
      <c r="KAZ63" s="1"/>
      <c r="KBA63" s="1"/>
      <c r="KBB63" s="1"/>
      <c r="KBC63" s="1"/>
      <c r="KBD63" s="1"/>
      <c r="KBE63" s="1"/>
      <c r="KBF63" s="1"/>
      <c r="KBG63" s="1"/>
      <c r="KBH63" s="1"/>
      <c r="KBI63" s="1"/>
      <c r="KBJ63" s="1"/>
      <c r="KBK63" s="1"/>
      <c r="KBL63" s="1"/>
      <c r="KBM63" s="1"/>
      <c r="KBN63" s="1"/>
      <c r="KBO63" s="1"/>
      <c r="KBP63" s="1"/>
      <c r="KBQ63" s="1"/>
      <c r="KBR63" s="1"/>
      <c r="KBS63" s="1"/>
      <c r="KBT63" s="1"/>
      <c r="KBU63" s="1"/>
      <c r="KBV63" s="1"/>
      <c r="KBW63" s="1"/>
      <c r="KBX63" s="1"/>
      <c r="KBY63" s="1"/>
      <c r="KBZ63" s="1"/>
      <c r="KCA63" s="1"/>
      <c r="KCB63" s="1"/>
      <c r="KCC63" s="1"/>
      <c r="KCD63" s="1"/>
      <c r="KCE63" s="1"/>
      <c r="KCF63" s="1"/>
      <c r="KCG63" s="1"/>
      <c r="KCH63" s="1"/>
      <c r="KCI63" s="1"/>
      <c r="KCJ63" s="1"/>
      <c r="KCK63" s="1"/>
      <c r="KCL63" s="1"/>
      <c r="KCM63" s="1"/>
      <c r="KCN63" s="1"/>
      <c r="KCO63" s="1"/>
      <c r="KCP63" s="1"/>
      <c r="KCQ63" s="1"/>
      <c r="KCR63" s="1"/>
      <c r="KCS63" s="1"/>
      <c r="KCT63" s="1"/>
      <c r="KCU63" s="1"/>
      <c r="KCV63" s="1"/>
      <c r="KCW63" s="1"/>
      <c r="KCX63" s="1"/>
      <c r="KCY63" s="1"/>
      <c r="KCZ63" s="1"/>
      <c r="KDA63" s="1"/>
      <c r="KDB63" s="1"/>
      <c r="KDC63" s="1"/>
      <c r="KDD63" s="1"/>
      <c r="KDE63" s="1"/>
      <c r="KDF63" s="1"/>
      <c r="KDG63" s="1"/>
      <c r="KDH63" s="1"/>
      <c r="KDI63" s="1"/>
      <c r="KDJ63" s="1"/>
      <c r="KDK63" s="1"/>
      <c r="KDL63" s="1"/>
      <c r="KDM63" s="1"/>
      <c r="KDN63" s="1"/>
      <c r="KDO63" s="1"/>
      <c r="KDP63" s="1"/>
      <c r="KDQ63" s="1"/>
      <c r="KDR63" s="1"/>
      <c r="KDS63" s="1"/>
      <c r="KDT63" s="1"/>
      <c r="KDU63" s="1"/>
      <c r="KDV63" s="1"/>
      <c r="KDW63" s="1"/>
      <c r="KDX63" s="1"/>
      <c r="KDY63" s="1"/>
      <c r="KDZ63" s="1"/>
      <c r="KEA63" s="1"/>
      <c r="KEB63" s="1"/>
      <c r="KEC63" s="1"/>
      <c r="KED63" s="1"/>
      <c r="KEE63" s="1"/>
      <c r="KEF63" s="1"/>
      <c r="KEG63" s="1"/>
      <c r="KEH63" s="1"/>
      <c r="KEI63" s="1"/>
      <c r="KEJ63" s="1"/>
      <c r="KEK63" s="1"/>
      <c r="KEL63" s="1"/>
      <c r="KEM63" s="1"/>
      <c r="KEN63" s="1"/>
      <c r="KEO63" s="1"/>
      <c r="KEP63" s="1"/>
      <c r="KEQ63" s="1"/>
      <c r="KER63" s="1"/>
      <c r="KES63" s="1"/>
      <c r="KET63" s="1"/>
      <c r="KEU63" s="1"/>
      <c r="KEV63" s="1"/>
      <c r="KEW63" s="1"/>
      <c r="KEX63" s="1"/>
      <c r="KEY63" s="1"/>
      <c r="KEZ63" s="1"/>
      <c r="KFA63" s="1"/>
      <c r="KFB63" s="1"/>
      <c r="KFC63" s="1"/>
      <c r="KFD63" s="1"/>
      <c r="KFE63" s="1"/>
      <c r="KFF63" s="1"/>
      <c r="KFG63" s="1"/>
      <c r="KFH63" s="1"/>
      <c r="KFI63" s="1"/>
      <c r="KFJ63" s="1"/>
      <c r="KFK63" s="1"/>
      <c r="KFL63" s="1"/>
      <c r="KFM63" s="1"/>
      <c r="KFN63" s="1"/>
      <c r="KFO63" s="1"/>
      <c r="KFP63" s="1"/>
      <c r="KFQ63" s="1"/>
      <c r="KFR63" s="1"/>
      <c r="KFS63" s="1"/>
      <c r="KFT63" s="1"/>
      <c r="KFU63" s="1"/>
      <c r="KFV63" s="1"/>
      <c r="KFW63" s="1"/>
      <c r="KFX63" s="1"/>
      <c r="KFY63" s="1"/>
      <c r="KFZ63" s="1"/>
      <c r="KGA63" s="1"/>
      <c r="KGB63" s="1"/>
      <c r="KGC63" s="1"/>
      <c r="KGD63" s="1"/>
      <c r="KGE63" s="1"/>
      <c r="KGF63" s="1"/>
      <c r="KGG63" s="1"/>
      <c r="KGH63" s="1"/>
      <c r="KGI63" s="1"/>
      <c r="KGJ63" s="1"/>
      <c r="KGK63" s="1"/>
      <c r="KGL63" s="1"/>
      <c r="KGM63" s="1"/>
      <c r="KGN63" s="1"/>
      <c r="KGO63" s="1"/>
      <c r="KGP63" s="1"/>
      <c r="KGQ63" s="1"/>
      <c r="KGR63" s="1"/>
      <c r="KGS63" s="1"/>
      <c r="KGT63" s="1"/>
      <c r="KGU63" s="1"/>
      <c r="KGV63" s="1"/>
      <c r="KGW63" s="1"/>
      <c r="KGX63" s="1"/>
      <c r="KGY63" s="1"/>
      <c r="KGZ63" s="1"/>
      <c r="KHA63" s="1"/>
      <c r="KHB63" s="1"/>
      <c r="KHC63" s="1"/>
      <c r="KHD63" s="1"/>
      <c r="KHE63" s="1"/>
      <c r="KHF63" s="1"/>
      <c r="KHG63" s="1"/>
      <c r="KHH63" s="1"/>
      <c r="KHI63" s="1"/>
      <c r="KHJ63" s="1"/>
      <c r="KHK63" s="1"/>
      <c r="KHL63" s="1"/>
      <c r="KHM63" s="1"/>
      <c r="KHN63" s="1"/>
      <c r="KHO63" s="1"/>
      <c r="KHP63" s="1"/>
      <c r="KHQ63" s="1"/>
      <c r="KHR63" s="1"/>
      <c r="KHS63" s="1"/>
      <c r="KHT63" s="1"/>
      <c r="KHU63" s="1"/>
      <c r="KHV63" s="1"/>
      <c r="KHW63" s="1"/>
      <c r="KHX63" s="1"/>
      <c r="KHY63" s="1"/>
      <c r="KHZ63" s="1"/>
      <c r="KIA63" s="1"/>
      <c r="KIB63" s="1"/>
      <c r="KIC63" s="1"/>
      <c r="KID63" s="1"/>
      <c r="KIE63" s="1"/>
      <c r="KIF63" s="1"/>
      <c r="KIG63" s="1"/>
      <c r="KIH63" s="1"/>
      <c r="KII63" s="1"/>
      <c r="KIJ63" s="1"/>
      <c r="KIK63" s="1"/>
      <c r="KIL63" s="1"/>
      <c r="KIM63" s="1"/>
      <c r="KIN63" s="1"/>
      <c r="KIO63" s="1"/>
      <c r="KIP63" s="1"/>
      <c r="KIQ63" s="1"/>
      <c r="KIR63" s="1"/>
      <c r="KIS63" s="1"/>
      <c r="KIT63" s="1"/>
      <c r="KIU63" s="1"/>
      <c r="KIV63" s="1"/>
      <c r="KIW63" s="1"/>
      <c r="KIX63" s="1"/>
      <c r="KIY63" s="1"/>
      <c r="KIZ63" s="1"/>
      <c r="KJA63" s="1"/>
      <c r="KJB63" s="1"/>
      <c r="KJC63" s="1"/>
      <c r="KJD63" s="1"/>
      <c r="KJE63" s="1"/>
      <c r="KJF63" s="1"/>
      <c r="KJG63" s="1"/>
      <c r="KJH63" s="1"/>
      <c r="KJI63" s="1"/>
      <c r="KJJ63" s="1"/>
      <c r="KJK63" s="1"/>
      <c r="KJL63" s="1"/>
      <c r="KJM63" s="1"/>
      <c r="KJN63" s="1"/>
      <c r="KJO63" s="1"/>
      <c r="KJP63" s="1"/>
      <c r="KJQ63" s="1"/>
      <c r="KJR63" s="1"/>
      <c r="KJS63" s="1"/>
      <c r="KJT63" s="1"/>
      <c r="KJU63" s="1"/>
      <c r="KJV63" s="1"/>
      <c r="KJW63" s="1"/>
      <c r="KJX63" s="1"/>
      <c r="KJY63" s="1"/>
      <c r="KJZ63" s="1"/>
      <c r="KKA63" s="1"/>
      <c r="KKB63" s="1"/>
      <c r="KKC63" s="1"/>
      <c r="KKD63" s="1"/>
      <c r="KKE63" s="1"/>
      <c r="KKF63" s="1"/>
      <c r="KKG63" s="1"/>
      <c r="KKH63" s="1"/>
      <c r="KKI63" s="1"/>
      <c r="KKJ63" s="1"/>
      <c r="KKK63" s="1"/>
      <c r="KKL63" s="1"/>
      <c r="KKM63" s="1"/>
      <c r="KKN63" s="1"/>
      <c r="KKO63" s="1"/>
      <c r="KKP63" s="1"/>
      <c r="KKQ63" s="1"/>
      <c r="KKR63" s="1"/>
      <c r="KKS63" s="1"/>
      <c r="KKT63" s="1"/>
      <c r="KKU63" s="1"/>
      <c r="KKV63" s="1"/>
      <c r="KKW63" s="1"/>
      <c r="KKX63" s="1"/>
      <c r="KKY63" s="1"/>
      <c r="KKZ63" s="1"/>
      <c r="KLA63" s="1"/>
      <c r="KLB63" s="1"/>
      <c r="KLC63" s="1"/>
      <c r="KLD63" s="1"/>
      <c r="KLE63" s="1"/>
      <c r="KLF63" s="1"/>
      <c r="KLG63" s="1"/>
      <c r="KLH63" s="1"/>
      <c r="KLI63" s="1"/>
      <c r="KLJ63" s="1"/>
      <c r="KLK63" s="1"/>
      <c r="KLL63" s="1"/>
      <c r="KLM63" s="1"/>
      <c r="KLN63" s="1"/>
      <c r="KLO63" s="1"/>
      <c r="KLP63" s="1"/>
      <c r="KLQ63" s="1"/>
      <c r="KLR63" s="1"/>
      <c r="KLS63" s="1"/>
      <c r="KLT63" s="1"/>
      <c r="KLU63" s="1"/>
      <c r="KLV63" s="1"/>
      <c r="KLW63" s="1"/>
      <c r="KLX63" s="1"/>
      <c r="KLY63" s="1"/>
      <c r="KLZ63" s="1"/>
      <c r="KMA63" s="1"/>
      <c r="KMB63" s="1"/>
      <c r="KMC63" s="1"/>
      <c r="KMD63" s="1"/>
      <c r="KME63" s="1"/>
      <c r="KMF63" s="1"/>
      <c r="KMG63" s="1"/>
      <c r="KMH63" s="1"/>
      <c r="KMI63" s="1"/>
      <c r="KMJ63" s="1"/>
      <c r="KMK63" s="1"/>
      <c r="KML63" s="1"/>
      <c r="KMM63" s="1"/>
      <c r="KMN63" s="1"/>
      <c r="KMO63" s="1"/>
      <c r="KMP63" s="1"/>
      <c r="KMQ63" s="1"/>
      <c r="KMR63" s="1"/>
      <c r="KMS63" s="1"/>
      <c r="KMT63" s="1"/>
      <c r="KMU63" s="1"/>
      <c r="KMV63" s="1"/>
      <c r="KMW63" s="1"/>
      <c r="KMX63" s="1"/>
      <c r="KMY63" s="1"/>
      <c r="KMZ63" s="1"/>
      <c r="KNA63" s="1"/>
      <c r="KNB63" s="1"/>
      <c r="KNC63" s="1"/>
      <c r="KND63" s="1"/>
      <c r="KNE63" s="1"/>
      <c r="KNF63" s="1"/>
      <c r="KNG63" s="1"/>
      <c r="KNH63" s="1"/>
      <c r="KNI63" s="1"/>
      <c r="KNJ63" s="1"/>
      <c r="KNK63" s="1"/>
      <c r="KNL63" s="1"/>
      <c r="KNM63" s="1"/>
      <c r="KNN63" s="1"/>
      <c r="KNO63" s="1"/>
      <c r="KNP63" s="1"/>
      <c r="KNQ63" s="1"/>
      <c r="KNR63" s="1"/>
      <c r="KNS63" s="1"/>
      <c r="KNT63" s="1"/>
      <c r="KNU63" s="1"/>
      <c r="KNV63" s="1"/>
      <c r="KNW63" s="1"/>
      <c r="KNX63" s="1"/>
      <c r="KNY63" s="1"/>
      <c r="KNZ63" s="1"/>
      <c r="KOA63" s="1"/>
      <c r="KOB63" s="1"/>
      <c r="KOC63" s="1"/>
      <c r="KOD63" s="1"/>
      <c r="KOE63" s="1"/>
      <c r="KOF63" s="1"/>
      <c r="KOG63" s="1"/>
      <c r="KOH63" s="1"/>
      <c r="KOI63" s="1"/>
      <c r="KOJ63" s="1"/>
      <c r="KOK63" s="1"/>
      <c r="KOL63" s="1"/>
      <c r="KOM63" s="1"/>
      <c r="KON63" s="1"/>
      <c r="KOO63" s="1"/>
      <c r="KOP63" s="1"/>
      <c r="KOQ63" s="1"/>
      <c r="KOR63" s="1"/>
      <c r="KOS63" s="1"/>
      <c r="KOT63" s="1"/>
      <c r="KOU63" s="1"/>
      <c r="KOV63" s="1"/>
      <c r="KOW63" s="1"/>
      <c r="KOX63" s="1"/>
      <c r="KOY63" s="1"/>
      <c r="KOZ63" s="1"/>
      <c r="KPA63" s="1"/>
      <c r="KPB63" s="1"/>
      <c r="KPC63" s="1"/>
      <c r="KPD63" s="1"/>
      <c r="KPE63" s="1"/>
      <c r="KPF63" s="1"/>
      <c r="KPG63" s="1"/>
      <c r="KPH63" s="1"/>
      <c r="KPI63" s="1"/>
      <c r="KPJ63" s="1"/>
      <c r="KPK63" s="1"/>
      <c r="KPL63" s="1"/>
      <c r="KPM63" s="1"/>
      <c r="KPN63" s="1"/>
      <c r="KPO63" s="1"/>
      <c r="KPP63" s="1"/>
      <c r="KPQ63" s="1"/>
      <c r="KPR63" s="1"/>
      <c r="KPS63" s="1"/>
      <c r="KPT63" s="1"/>
      <c r="KPU63" s="1"/>
      <c r="KPV63" s="1"/>
      <c r="KPW63" s="1"/>
      <c r="KPX63" s="1"/>
      <c r="KPY63" s="1"/>
      <c r="KPZ63" s="1"/>
      <c r="KQA63" s="1"/>
      <c r="KQB63" s="1"/>
      <c r="KQC63" s="1"/>
      <c r="KQD63" s="1"/>
      <c r="KQE63" s="1"/>
      <c r="KQF63" s="1"/>
      <c r="KQG63" s="1"/>
      <c r="KQH63" s="1"/>
      <c r="KQI63" s="1"/>
      <c r="KQJ63" s="1"/>
      <c r="KQK63" s="1"/>
      <c r="KQL63" s="1"/>
      <c r="KQM63" s="1"/>
      <c r="KQN63" s="1"/>
      <c r="KQO63" s="1"/>
      <c r="KQP63" s="1"/>
      <c r="KQQ63" s="1"/>
      <c r="KQR63" s="1"/>
      <c r="KQS63" s="1"/>
      <c r="KQT63" s="1"/>
      <c r="KQU63" s="1"/>
      <c r="KQV63" s="1"/>
      <c r="KQW63" s="1"/>
      <c r="KQX63" s="1"/>
      <c r="KQY63" s="1"/>
      <c r="KQZ63" s="1"/>
      <c r="KRA63" s="1"/>
      <c r="KRB63" s="1"/>
      <c r="KRC63" s="1"/>
      <c r="KRD63" s="1"/>
      <c r="KRE63" s="1"/>
      <c r="KRF63" s="1"/>
      <c r="KRG63" s="1"/>
      <c r="KRH63" s="1"/>
      <c r="KRI63" s="1"/>
      <c r="KRJ63" s="1"/>
      <c r="KRK63" s="1"/>
      <c r="KRL63" s="1"/>
      <c r="KRM63" s="1"/>
      <c r="KRN63" s="1"/>
      <c r="KRO63" s="1"/>
      <c r="KRP63" s="1"/>
      <c r="KRQ63" s="1"/>
      <c r="KRR63" s="1"/>
      <c r="KRS63" s="1"/>
      <c r="KRT63" s="1"/>
      <c r="KRU63" s="1"/>
      <c r="KRV63" s="1"/>
      <c r="KRW63" s="1"/>
      <c r="KRX63" s="1"/>
      <c r="KRY63" s="1"/>
      <c r="KRZ63" s="1"/>
      <c r="KSA63" s="1"/>
      <c r="KSB63" s="1"/>
      <c r="KSC63" s="1"/>
      <c r="KSD63" s="1"/>
      <c r="KSE63" s="1"/>
      <c r="KSF63" s="1"/>
      <c r="KSG63" s="1"/>
      <c r="KSH63" s="1"/>
      <c r="KSI63" s="1"/>
      <c r="KSJ63" s="1"/>
      <c r="KSK63" s="1"/>
      <c r="KSL63" s="1"/>
      <c r="KSM63" s="1"/>
      <c r="KSN63" s="1"/>
      <c r="KSO63" s="1"/>
      <c r="KSP63" s="1"/>
      <c r="KSQ63" s="1"/>
      <c r="KSR63" s="1"/>
      <c r="KSS63" s="1"/>
      <c r="KST63" s="1"/>
      <c r="KSU63" s="1"/>
      <c r="KSV63" s="1"/>
      <c r="KSW63" s="1"/>
      <c r="KSX63" s="1"/>
      <c r="KSY63" s="1"/>
      <c r="KSZ63" s="1"/>
      <c r="KTA63" s="1"/>
      <c r="KTB63" s="1"/>
      <c r="KTC63" s="1"/>
      <c r="KTD63" s="1"/>
      <c r="KTE63" s="1"/>
      <c r="KTF63" s="1"/>
      <c r="KTG63" s="1"/>
      <c r="KTH63" s="1"/>
      <c r="KTI63" s="1"/>
      <c r="KTJ63" s="1"/>
      <c r="KTK63" s="1"/>
      <c r="KTL63" s="1"/>
      <c r="KTM63" s="1"/>
      <c r="KTN63" s="1"/>
      <c r="KTO63" s="1"/>
      <c r="KTP63" s="1"/>
      <c r="KTQ63" s="1"/>
      <c r="KTR63" s="1"/>
      <c r="KTS63" s="1"/>
      <c r="KTT63" s="1"/>
      <c r="KTU63" s="1"/>
      <c r="KTV63" s="1"/>
      <c r="KTW63" s="1"/>
      <c r="KTX63" s="1"/>
      <c r="KTY63" s="1"/>
      <c r="KTZ63" s="1"/>
      <c r="KUA63" s="1"/>
      <c r="KUB63" s="1"/>
      <c r="KUC63" s="1"/>
      <c r="KUD63" s="1"/>
      <c r="KUE63" s="1"/>
      <c r="KUF63" s="1"/>
      <c r="KUG63" s="1"/>
      <c r="KUH63" s="1"/>
      <c r="KUI63" s="1"/>
      <c r="KUJ63" s="1"/>
      <c r="KUK63" s="1"/>
      <c r="KUL63" s="1"/>
      <c r="KUM63" s="1"/>
      <c r="KUN63" s="1"/>
      <c r="KUO63" s="1"/>
      <c r="KUP63" s="1"/>
      <c r="KUQ63" s="1"/>
      <c r="KUR63" s="1"/>
      <c r="KUS63" s="1"/>
      <c r="KUT63" s="1"/>
      <c r="KUU63" s="1"/>
      <c r="KUV63" s="1"/>
      <c r="KUW63" s="1"/>
      <c r="KUX63" s="1"/>
      <c r="KUY63" s="1"/>
      <c r="KUZ63" s="1"/>
      <c r="KVA63" s="1"/>
      <c r="KVB63" s="1"/>
      <c r="KVC63" s="1"/>
      <c r="KVD63" s="1"/>
      <c r="KVE63" s="1"/>
      <c r="KVF63" s="1"/>
      <c r="KVG63" s="1"/>
      <c r="KVH63" s="1"/>
      <c r="KVI63" s="1"/>
      <c r="KVJ63" s="1"/>
      <c r="KVK63" s="1"/>
      <c r="KVL63" s="1"/>
      <c r="KVM63" s="1"/>
      <c r="KVN63" s="1"/>
      <c r="KVO63" s="1"/>
      <c r="KVP63" s="1"/>
      <c r="KVQ63" s="1"/>
      <c r="KVR63" s="1"/>
      <c r="KVS63" s="1"/>
      <c r="KVT63" s="1"/>
      <c r="KVU63" s="1"/>
      <c r="KVV63" s="1"/>
      <c r="KVW63" s="1"/>
      <c r="KVX63" s="1"/>
      <c r="KVY63" s="1"/>
      <c r="KVZ63" s="1"/>
      <c r="KWA63" s="1"/>
      <c r="KWB63" s="1"/>
      <c r="KWC63" s="1"/>
      <c r="KWD63" s="1"/>
      <c r="KWE63" s="1"/>
      <c r="KWF63" s="1"/>
      <c r="KWG63" s="1"/>
      <c r="KWH63" s="1"/>
      <c r="KWI63" s="1"/>
      <c r="KWJ63" s="1"/>
      <c r="KWK63" s="1"/>
      <c r="KWL63" s="1"/>
      <c r="KWM63" s="1"/>
      <c r="KWN63" s="1"/>
      <c r="KWO63" s="1"/>
      <c r="KWP63" s="1"/>
      <c r="KWQ63" s="1"/>
      <c r="KWR63" s="1"/>
      <c r="KWS63" s="1"/>
      <c r="KWT63" s="1"/>
      <c r="KWU63" s="1"/>
      <c r="KWV63" s="1"/>
      <c r="KWW63" s="1"/>
      <c r="KWX63" s="1"/>
      <c r="KWY63" s="1"/>
      <c r="KWZ63" s="1"/>
      <c r="KXA63" s="1"/>
      <c r="KXB63" s="1"/>
      <c r="KXC63" s="1"/>
      <c r="KXD63" s="1"/>
      <c r="KXE63" s="1"/>
      <c r="KXF63" s="1"/>
      <c r="KXG63" s="1"/>
      <c r="KXH63" s="1"/>
      <c r="KXI63" s="1"/>
      <c r="KXJ63" s="1"/>
      <c r="KXK63" s="1"/>
      <c r="KXL63" s="1"/>
      <c r="KXM63" s="1"/>
      <c r="KXN63" s="1"/>
      <c r="KXO63" s="1"/>
      <c r="KXP63" s="1"/>
      <c r="KXQ63" s="1"/>
      <c r="KXR63" s="1"/>
      <c r="KXS63" s="1"/>
      <c r="KXT63" s="1"/>
      <c r="KXU63" s="1"/>
      <c r="KXV63" s="1"/>
      <c r="KXW63" s="1"/>
      <c r="KXX63" s="1"/>
      <c r="KXY63" s="1"/>
      <c r="KXZ63" s="1"/>
      <c r="KYA63" s="1"/>
      <c r="KYB63" s="1"/>
      <c r="KYC63" s="1"/>
      <c r="KYD63" s="1"/>
      <c r="KYE63" s="1"/>
      <c r="KYF63" s="1"/>
      <c r="KYG63" s="1"/>
      <c r="KYH63" s="1"/>
      <c r="KYI63" s="1"/>
      <c r="KYJ63" s="1"/>
      <c r="KYK63" s="1"/>
      <c r="KYL63" s="1"/>
      <c r="KYM63" s="1"/>
      <c r="KYN63" s="1"/>
      <c r="KYO63" s="1"/>
      <c r="KYP63" s="1"/>
      <c r="KYQ63" s="1"/>
      <c r="KYR63" s="1"/>
      <c r="KYS63" s="1"/>
      <c r="KYT63" s="1"/>
      <c r="KYU63" s="1"/>
      <c r="KYV63" s="1"/>
      <c r="KYW63" s="1"/>
      <c r="KYX63" s="1"/>
      <c r="KYY63" s="1"/>
      <c r="KYZ63" s="1"/>
      <c r="KZA63" s="1"/>
      <c r="KZB63" s="1"/>
      <c r="KZC63" s="1"/>
      <c r="KZD63" s="1"/>
      <c r="KZE63" s="1"/>
      <c r="KZF63" s="1"/>
      <c r="KZG63" s="1"/>
      <c r="KZH63" s="1"/>
      <c r="KZI63" s="1"/>
      <c r="KZJ63" s="1"/>
      <c r="KZK63" s="1"/>
      <c r="KZL63" s="1"/>
      <c r="KZM63" s="1"/>
      <c r="KZN63" s="1"/>
      <c r="KZO63" s="1"/>
      <c r="KZP63" s="1"/>
      <c r="KZQ63" s="1"/>
      <c r="KZR63" s="1"/>
      <c r="KZS63" s="1"/>
      <c r="KZT63" s="1"/>
      <c r="KZU63" s="1"/>
      <c r="KZV63" s="1"/>
      <c r="KZW63" s="1"/>
      <c r="KZX63" s="1"/>
      <c r="KZY63" s="1"/>
      <c r="KZZ63" s="1"/>
      <c r="LAA63" s="1"/>
      <c r="LAB63" s="1"/>
      <c r="LAC63" s="1"/>
      <c r="LAD63" s="1"/>
      <c r="LAE63" s="1"/>
      <c r="LAF63" s="1"/>
      <c r="LAG63" s="1"/>
      <c r="LAH63" s="1"/>
      <c r="LAI63" s="1"/>
      <c r="LAJ63" s="1"/>
      <c r="LAK63" s="1"/>
      <c r="LAL63" s="1"/>
      <c r="LAM63" s="1"/>
      <c r="LAN63" s="1"/>
      <c r="LAO63" s="1"/>
      <c r="LAP63" s="1"/>
      <c r="LAQ63" s="1"/>
      <c r="LAR63" s="1"/>
      <c r="LAS63" s="1"/>
      <c r="LAT63" s="1"/>
      <c r="LAU63" s="1"/>
      <c r="LAV63" s="1"/>
      <c r="LAW63" s="1"/>
      <c r="LAX63" s="1"/>
      <c r="LAY63" s="1"/>
      <c r="LAZ63" s="1"/>
      <c r="LBA63" s="1"/>
      <c r="LBB63" s="1"/>
      <c r="LBC63" s="1"/>
      <c r="LBD63" s="1"/>
      <c r="LBE63" s="1"/>
      <c r="LBF63" s="1"/>
      <c r="LBG63" s="1"/>
      <c r="LBH63" s="1"/>
      <c r="LBI63" s="1"/>
      <c r="LBJ63" s="1"/>
      <c r="LBK63" s="1"/>
      <c r="LBL63" s="1"/>
      <c r="LBM63" s="1"/>
      <c r="LBN63" s="1"/>
      <c r="LBO63" s="1"/>
      <c r="LBP63" s="1"/>
      <c r="LBQ63" s="1"/>
      <c r="LBR63" s="1"/>
      <c r="LBS63" s="1"/>
      <c r="LBT63" s="1"/>
      <c r="LBU63" s="1"/>
      <c r="LBV63" s="1"/>
      <c r="LBW63" s="1"/>
      <c r="LBX63" s="1"/>
      <c r="LBY63" s="1"/>
      <c r="LBZ63" s="1"/>
      <c r="LCA63" s="1"/>
      <c r="LCB63" s="1"/>
      <c r="LCC63" s="1"/>
      <c r="LCD63" s="1"/>
      <c r="LCE63" s="1"/>
      <c r="LCF63" s="1"/>
      <c r="LCG63" s="1"/>
      <c r="LCH63" s="1"/>
      <c r="LCI63" s="1"/>
      <c r="LCJ63" s="1"/>
      <c r="LCK63" s="1"/>
      <c r="LCL63" s="1"/>
      <c r="LCM63" s="1"/>
      <c r="LCN63" s="1"/>
      <c r="LCO63" s="1"/>
      <c r="LCP63" s="1"/>
      <c r="LCQ63" s="1"/>
      <c r="LCR63" s="1"/>
      <c r="LCS63" s="1"/>
      <c r="LCT63" s="1"/>
      <c r="LCU63" s="1"/>
      <c r="LCV63" s="1"/>
      <c r="LCW63" s="1"/>
      <c r="LCX63" s="1"/>
      <c r="LCY63" s="1"/>
      <c r="LCZ63" s="1"/>
      <c r="LDA63" s="1"/>
      <c r="LDB63" s="1"/>
      <c r="LDC63" s="1"/>
      <c r="LDD63" s="1"/>
      <c r="LDE63" s="1"/>
      <c r="LDF63" s="1"/>
      <c r="LDG63" s="1"/>
      <c r="LDH63" s="1"/>
      <c r="LDI63" s="1"/>
      <c r="LDJ63" s="1"/>
      <c r="LDK63" s="1"/>
      <c r="LDL63" s="1"/>
      <c r="LDM63" s="1"/>
      <c r="LDN63" s="1"/>
      <c r="LDO63" s="1"/>
      <c r="LDP63" s="1"/>
      <c r="LDQ63" s="1"/>
      <c r="LDR63" s="1"/>
      <c r="LDS63" s="1"/>
      <c r="LDT63" s="1"/>
      <c r="LDU63" s="1"/>
      <c r="LDV63" s="1"/>
      <c r="LDW63" s="1"/>
      <c r="LDX63" s="1"/>
      <c r="LDY63" s="1"/>
      <c r="LDZ63" s="1"/>
      <c r="LEA63" s="1"/>
      <c r="LEB63" s="1"/>
      <c r="LEC63" s="1"/>
      <c r="LED63" s="1"/>
      <c r="LEE63" s="1"/>
      <c r="LEF63" s="1"/>
      <c r="LEG63" s="1"/>
      <c r="LEH63" s="1"/>
      <c r="LEI63" s="1"/>
      <c r="LEJ63" s="1"/>
      <c r="LEK63" s="1"/>
      <c r="LEL63" s="1"/>
      <c r="LEM63" s="1"/>
      <c r="LEN63" s="1"/>
      <c r="LEO63" s="1"/>
      <c r="LEP63" s="1"/>
      <c r="LEQ63" s="1"/>
      <c r="LER63" s="1"/>
      <c r="LES63" s="1"/>
      <c r="LET63" s="1"/>
      <c r="LEU63" s="1"/>
      <c r="LEV63" s="1"/>
      <c r="LEW63" s="1"/>
      <c r="LEX63" s="1"/>
      <c r="LEY63" s="1"/>
      <c r="LEZ63" s="1"/>
      <c r="LFA63" s="1"/>
      <c r="LFB63" s="1"/>
      <c r="LFC63" s="1"/>
      <c r="LFD63" s="1"/>
      <c r="LFE63" s="1"/>
      <c r="LFF63" s="1"/>
      <c r="LFG63" s="1"/>
      <c r="LFH63" s="1"/>
      <c r="LFI63" s="1"/>
      <c r="LFJ63" s="1"/>
      <c r="LFK63" s="1"/>
      <c r="LFL63" s="1"/>
      <c r="LFM63" s="1"/>
      <c r="LFN63" s="1"/>
      <c r="LFO63" s="1"/>
      <c r="LFP63" s="1"/>
      <c r="LFQ63" s="1"/>
      <c r="LFR63" s="1"/>
      <c r="LFS63" s="1"/>
      <c r="LFT63" s="1"/>
      <c r="LFU63" s="1"/>
      <c r="LFV63" s="1"/>
      <c r="LFW63" s="1"/>
      <c r="LFX63" s="1"/>
      <c r="LFY63" s="1"/>
      <c r="LFZ63" s="1"/>
      <c r="LGA63" s="1"/>
      <c r="LGB63" s="1"/>
      <c r="LGC63" s="1"/>
      <c r="LGD63" s="1"/>
      <c r="LGE63" s="1"/>
      <c r="LGF63" s="1"/>
      <c r="LGG63" s="1"/>
      <c r="LGH63" s="1"/>
      <c r="LGI63" s="1"/>
      <c r="LGJ63" s="1"/>
      <c r="LGK63" s="1"/>
      <c r="LGL63" s="1"/>
      <c r="LGM63" s="1"/>
      <c r="LGN63" s="1"/>
      <c r="LGO63" s="1"/>
      <c r="LGP63" s="1"/>
      <c r="LGQ63" s="1"/>
      <c r="LGR63" s="1"/>
      <c r="LGS63" s="1"/>
      <c r="LGT63" s="1"/>
      <c r="LGU63" s="1"/>
      <c r="LGV63" s="1"/>
      <c r="LGW63" s="1"/>
      <c r="LGX63" s="1"/>
      <c r="LGY63" s="1"/>
      <c r="LGZ63" s="1"/>
      <c r="LHA63" s="1"/>
      <c r="LHB63" s="1"/>
      <c r="LHC63" s="1"/>
      <c r="LHD63" s="1"/>
      <c r="LHE63" s="1"/>
      <c r="LHF63" s="1"/>
      <c r="LHG63" s="1"/>
      <c r="LHH63" s="1"/>
      <c r="LHI63" s="1"/>
      <c r="LHJ63" s="1"/>
      <c r="LHK63" s="1"/>
      <c r="LHL63" s="1"/>
      <c r="LHM63" s="1"/>
      <c r="LHN63" s="1"/>
      <c r="LHO63" s="1"/>
      <c r="LHP63" s="1"/>
      <c r="LHQ63" s="1"/>
      <c r="LHR63" s="1"/>
      <c r="LHS63" s="1"/>
      <c r="LHT63" s="1"/>
      <c r="LHU63" s="1"/>
      <c r="LHV63" s="1"/>
      <c r="LHW63" s="1"/>
      <c r="LHX63" s="1"/>
      <c r="LHY63" s="1"/>
      <c r="LHZ63" s="1"/>
      <c r="LIA63" s="1"/>
      <c r="LIB63" s="1"/>
      <c r="LIC63" s="1"/>
      <c r="LID63" s="1"/>
      <c r="LIE63" s="1"/>
      <c r="LIF63" s="1"/>
      <c r="LIG63" s="1"/>
      <c r="LIH63" s="1"/>
      <c r="LII63" s="1"/>
      <c r="LIJ63" s="1"/>
      <c r="LIK63" s="1"/>
      <c r="LIL63" s="1"/>
      <c r="LIM63" s="1"/>
      <c r="LIN63" s="1"/>
      <c r="LIO63" s="1"/>
      <c r="LIP63" s="1"/>
      <c r="LIQ63" s="1"/>
      <c r="LIR63" s="1"/>
      <c r="LIS63" s="1"/>
      <c r="LIT63" s="1"/>
      <c r="LIU63" s="1"/>
      <c r="LIV63" s="1"/>
      <c r="LIW63" s="1"/>
      <c r="LIX63" s="1"/>
      <c r="LIY63" s="1"/>
      <c r="LIZ63" s="1"/>
      <c r="LJA63" s="1"/>
      <c r="LJB63" s="1"/>
      <c r="LJC63" s="1"/>
      <c r="LJD63" s="1"/>
      <c r="LJE63" s="1"/>
      <c r="LJF63" s="1"/>
      <c r="LJG63" s="1"/>
      <c r="LJH63" s="1"/>
      <c r="LJI63" s="1"/>
      <c r="LJJ63" s="1"/>
      <c r="LJK63" s="1"/>
      <c r="LJL63" s="1"/>
      <c r="LJM63" s="1"/>
      <c r="LJN63" s="1"/>
      <c r="LJO63" s="1"/>
      <c r="LJP63" s="1"/>
      <c r="LJQ63" s="1"/>
      <c r="LJR63" s="1"/>
      <c r="LJS63" s="1"/>
      <c r="LJT63" s="1"/>
      <c r="LJU63" s="1"/>
      <c r="LJV63" s="1"/>
      <c r="LJW63" s="1"/>
      <c r="LJX63" s="1"/>
      <c r="LJY63" s="1"/>
      <c r="LJZ63" s="1"/>
      <c r="LKA63" s="1"/>
      <c r="LKB63" s="1"/>
      <c r="LKC63" s="1"/>
      <c r="LKD63" s="1"/>
      <c r="LKE63" s="1"/>
      <c r="LKF63" s="1"/>
      <c r="LKG63" s="1"/>
      <c r="LKH63" s="1"/>
      <c r="LKI63" s="1"/>
      <c r="LKJ63" s="1"/>
      <c r="LKK63" s="1"/>
      <c r="LKL63" s="1"/>
      <c r="LKM63" s="1"/>
      <c r="LKN63" s="1"/>
      <c r="LKO63" s="1"/>
      <c r="LKP63" s="1"/>
      <c r="LKQ63" s="1"/>
      <c r="LKR63" s="1"/>
      <c r="LKS63" s="1"/>
      <c r="LKT63" s="1"/>
      <c r="LKU63" s="1"/>
      <c r="LKV63" s="1"/>
      <c r="LKW63" s="1"/>
      <c r="LKX63" s="1"/>
      <c r="LKY63" s="1"/>
      <c r="LKZ63" s="1"/>
      <c r="LLA63" s="1"/>
      <c r="LLB63" s="1"/>
      <c r="LLC63" s="1"/>
      <c r="LLD63" s="1"/>
      <c r="LLE63" s="1"/>
      <c r="LLF63" s="1"/>
      <c r="LLG63" s="1"/>
      <c r="LLH63" s="1"/>
      <c r="LLI63" s="1"/>
      <c r="LLJ63" s="1"/>
      <c r="LLK63" s="1"/>
      <c r="LLL63" s="1"/>
      <c r="LLM63" s="1"/>
      <c r="LLN63" s="1"/>
      <c r="LLO63" s="1"/>
      <c r="LLP63" s="1"/>
      <c r="LLQ63" s="1"/>
      <c r="LLR63" s="1"/>
      <c r="LLS63" s="1"/>
      <c r="LLT63" s="1"/>
      <c r="LLU63" s="1"/>
      <c r="LLV63" s="1"/>
      <c r="LLW63" s="1"/>
      <c r="LLX63" s="1"/>
      <c r="LLY63" s="1"/>
      <c r="LLZ63" s="1"/>
      <c r="LMA63" s="1"/>
      <c r="LMB63" s="1"/>
      <c r="LMC63" s="1"/>
      <c r="LMD63" s="1"/>
      <c r="LME63" s="1"/>
      <c r="LMF63" s="1"/>
      <c r="LMG63" s="1"/>
      <c r="LMH63" s="1"/>
      <c r="LMI63" s="1"/>
      <c r="LMJ63" s="1"/>
      <c r="LMK63" s="1"/>
      <c r="LML63" s="1"/>
      <c r="LMM63" s="1"/>
      <c r="LMN63" s="1"/>
      <c r="LMO63" s="1"/>
      <c r="LMP63" s="1"/>
      <c r="LMQ63" s="1"/>
      <c r="LMR63" s="1"/>
      <c r="LMS63" s="1"/>
      <c r="LMT63" s="1"/>
      <c r="LMU63" s="1"/>
      <c r="LMV63" s="1"/>
      <c r="LMW63" s="1"/>
      <c r="LMX63" s="1"/>
      <c r="LMY63" s="1"/>
      <c r="LMZ63" s="1"/>
      <c r="LNA63" s="1"/>
      <c r="LNB63" s="1"/>
      <c r="LNC63" s="1"/>
      <c r="LND63" s="1"/>
      <c r="LNE63" s="1"/>
      <c r="LNF63" s="1"/>
      <c r="LNG63" s="1"/>
      <c r="LNH63" s="1"/>
      <c r="LNI63" s="1"/>
      <c r="LNJ63" s="1"/>
      <c r="LNK63" s="1"/>
      <c r="LNL63" s="1"/>
      <c r="LNM63" s="1"/>
      <c r="LNN63" s="1"/>
      <c r="LNO63" s="1"/>
      <c r="LNP63" s="1"/>
      <c r="LNQ63" s="1"/>
      <c r="LNR63" s="1"/>
      <c r="LNS63" s="1"/>
      <c r="LNT63" s="1"/>
      <c r="LNU63" s="1"/>
      <c r="LNV63" s="1"/>
      <c r="LNW63" s="1"/>
      <c r="LNX63" s="1"/>
      <c r="LNY63" s="1"/>
      <c r="LNZ63" s="1"/>
      <c r="LOA63" s="1"/>
      <c r="LOB63" s="1"/>
      <c r="LOC63" s="1"/>
      <c r="LOD63" s="1"/>
      <c r="LOE63" s="1"/>
      <c r="LOF63" s="1"/>
      <c r="LOG63" s="1"/>
      <c r="LOH63" s="1"/>
      <c r="LOI63" s="1"/>
      <c r="LOJ63" s="1"/>
      <c r="LOK63" s="1"/>
      <c r="LOL63" s="1"/>
      <c r="LOM63" s="1"/>
      <c r="LON63" s="1"/>
      <c r="LOO63" s="1"/>
      <c r="LOP63" s="1"/>
      <c r="LOQ63" s="1"/>
      <c r="LOR63" s="1"/>
      <c r="LOS63" s="1"/>
      <c r="LOT63" s="1"/>
      <c r="LOU63" s="1"/>
      <c r="LOV63" s="1"/>
      <c r="LOW63" s="1"/>
      <c r="LOX63" s="1"/>
      <c r="LOY63" s="1"/>
      <c r="LOZ63" s="1"/>
      <c r="LPA63" s="1"/>
      <c r="LPB63" s="1"/>
      <c r="LPC63" s="1"/>
      <c r="LPD63" s="1"/>
      <c r="LPE63" s="1"/>
      <c r="LPF63" s="1"/>
      <c r="LPG63" s="1"/>
      <c r="LPH63" s="1"/>
      <c r="LPI63" s="1"/>
      <c r="LPJ63" s="1"/>
      <c r="LPK63" s="1"/>
      <c r="LPL63" s="1"/>
      <c r="LPM63" s="1"/>
      <c r="LPN63" s="1"/>
      <c r="LPO63" s="1"/>
      <c r="LPP63" s="1"/>
      <c r="LPQ63" s="1"/>
      <c r="LPR63" s="1"/>
      <c r="LPS63" s="1"/>
      <c r="LPT63" s="1"/>
      <c r="LPU63" s="1"/>
      <c r="LPV63" s="1"/>
      <c r="LPW63" s="1"/>
      <c r="LPX63" s="1"/>
      <c r="LPY63" s="1"/>
      <c r="LPZ63" s="1"/>
      <c r="LQA63" s="1"/>
      <c r="LQB63" s="1"/>
      <c r="LQC63" s="1"/>
      <c r="LQD63" s="1"/>
      <c r="LQE63" s="1"/>
      <c r="LQF63" s="1"/>
      <c r="LQG63" s="1"/>
      <c r="LQH63" s="1"/>
      <c r="LQI63" s="1"/>
      <c r="LQJ63" s="1"/>
      <c r="LQK63" s="1"/>
      <c r="LQL63" s="1"/>
      <c r="LQM63" s="1"/>
      <c r="LQN63" s="1"/>
      <c r="LQO63" s="1"/>
      <c r="LQP63" s="1"/>
      <c r="LQQ63" s="1"/>
      <c r="LQR63" s="1"/>
      <c r="LQS63" s="1"/>
      <c r="LQT63" s="1"/>
      <c r="LQU63" s="1"/>
      <c r="LQV63" s="1"/>
      <c r="LQW63" s="1"/>
      <c r="LQX63" s="1"/>
      <c r="LQY63" s="1"/>
      <c r="LQZ63" s="1"/>
      <c r="LRA63" s="1"/>
      <c r="LRB63" s="1"/>
      <c r="LRC63" s="1"/>
      <c r="LRD63" s="1"/>
      <c r="LRE63" s="1"/>
      <c r="LRF63" s="1"/>
      <c r="LRG63" s="1"/>
      <c r="LRH63" s="1"/>
      <c r="LRI63" s="1"/>
      <c r="LRJ63" s="1"/>
      <c r="LRK63" s="1"/>
      <c r="LRL63" s="1"/>
      <c r="LRM63" s="1"/>
      <c r="LRN63" s="1"/>
      <c r="LRO63" s="1"/>
      <c r="LRP63" s="1"/>
      <c r="LRQ63" s="1"/>
      <c r="LRR63" s="1"/>
      <c r="LRS63" s="1"/>
      <c r="LRT63" s="1"/>
      <c r="LRU63" s="1"/>
      <c r="LRV63" s="1"/>
      <c r="LRW63" s="1"/>
      <c r="LRX63" s="1"/>
      <c r="LRY63" s="1"/>
      <c r="LRZ63" s="1"/>
      <c r="LSA63" s="1"/>
      <c r="LSB63" s="1"/>
      <c r="LSC63" s="1"/>
      <c r="LSD63" s="1"/>
      <c r="LSE63" s="1"/>
      <c r="LSF63" s="1"/>
      <c r="LSG63" s="1"/>
      <c r="LSH63" s="1"/>
      <c r="LSI63" s="1"/>
      <c r="LSJ63" s="1"/>
      <c r="LSK63" s="1"/>
      <c r="LSL63" s="1"/>
      <c r="LSM63" s="1"/>
      <c r="LSN63" s="1"/>
      <c r="LSO63" s="1"/>
      <c r="LSP63" s="1"/>
      <c r="LSQ63" s="1"/>
      <c r="LSR63" s="1"/>
      <c r="LSS63" s="1"/>
      <c r="LST63" s="1"/>
      <c r="LSU63" s="1"/>
      <c r="LSV63" s="1"/>
      <c r="LSW63" s="1"/>
      <c r="LSX63" s="1"/>
      <c r="LSY63" s="1"/>
      <c r="LSZ63" s="1"/>
      <c r="LTA63" s="1"/>
      <c r="LTB63" s="1"/>
      <c r="LTC63" s="1"/>
      <c r="LTD63" s="1"/>
      <c r="LTE63" s="1"/>
      <c r="LTF63" s="1"/>
      <c r="LTG63" s="1"/>
      <c r="LTH63" s="1"/>
      <c r="LTI63" s="1"/>
      <c r="LTJ63" s="1"/>
      <c r="LTK63" s="1"/>
      <c r="LTL63" s="1"/>
      <c r="LTM63" s="1"/>
      <c r="LTN63" s="1"/>
      <c r="LTO63" s="1"/>
      <c r="LTP63" s="1"/>
      <c r="LTQ63" s="1"/>
      <c r="LTR63" s="1"/>
      <c r="LTS63" s="1"/>
      <c r="LTT63" s="1"/>
      <c r="LTU63" s="1"/>
      <c r="LTV63" s="1"/>
      <c r="LTW63" s="1"/>
      <c r="LTX63" s="1"/>
      <c r="LTY63" s="1"/>
      <c r="LTZ63" s="1"/>
      <c r="LUA63" s="1"/>
      <c r="LUB63" s="1"/>
      <c r="LUC63" s="1"/>
      <c r="LUD63" s="1"/>
      <c r="LUE63" s="1"/>
      <c r="LUF63" s="1"/>
      <c r="LUG63" s="1"/>
      <c r="LUH63" s="1"/>
      <c r="LUI63" s="1"/>
      <c r="LUJ63" s="1"/>
      <c r="LUK63" s="1"/>
      <c r="LUL63" s="1"/>
      <c r="LUM63" s="1"/>
      <c r="LUN63" s="1"/>
      <c r="LUO63" s="1"/>
      <c r="LUP63" s="1"/>
      <c r="LUQ63" s="1"/>
      <c r="LUR63" s="1"/>
      <c r="LUS63" s="1"/>
      <c r="LUT63" s="1"/>
      <c r="LUU63" s="1"/>
      <c r="LUV63" s="1"/>
      <c r="LUW63" s="1"/>
      <c r="LUX63" s="1"/>
      <c r="LUY63" s="1"/>
      <c r="LUZ63" s="1"/>
      <c r="LVA63" s="1"/>
      <c r="LVB63" s="1"/>
      <c r="LVC63" s="1"/>
      <c r="LVD63" s="1"/>
      <c r="LVE63" s="1"/>
      <c r="LVF63" s="1"/>
      <c r="LVG63" s="1"/>
      <c r="LVH63" s="1"/>
      <c r="LVI63" s="1"/>
      <c r="LVJ63" s="1"/>
      <c r="LVK63" s="1"/>
      <c r="LVL63" s="1"/>
      <c r="LVM63" s="1"/>
      <c r="LVN63" s="1"/>
      <c r="LVO63" s="1"/>
      <c r="LVP63" s="1"/>
      <c r="LVQ63" s="1"/>
      <c r="LVR63" s="1"/>
      <c r="LVS63" s="1"/>
      <c r="LVT63" s="1"/>
      <c r="LVU63" s="1"/>
      <c r="LVV63" s="1"/>
      <c r="LVW63" s="1"/>
      <c r="LVX63" s="1"/>
      <c r="LVY63" s="1"/>
      <c r="LVZ63" s="1"/>
      <c r="LWA63" s="1"/>
      <c r="LWB63" s="1"/>
      <c r="LWC63" s="1"/>
      <c r="LWD63" s="1"/>
      <c r="LWE63" s="1"/>
      <c r="LWF63" s="1"/>
      <c r="LWG63" s="1"/>
      <c r="LWH63" s="1"/>
      <c r="LWI63" s="1"/>
      <c r="LWJ63" s="1"/>
      <c r="LWK63" s="1"/>
      <c r="LWL63" s="1"/>
      <c r="LWM63" s="1"/>
      <c r="LWN63" s="1"/>
      <c r="LWO63" s="1"/>
      <c r="LWP63" s="1"/>
      <c r="LWQ63" s="1"/>
      <c r="LWR63" s="1"/>
      <c r="LWS63" s="1"/>
      <c r="LWT63" s="1"/>
      <c r="LWU63" s="1"/>
      <c r="LWV63" s="1"/>
      <c r="LWW63" s="1"/>
      <c r="LWX63" s="1"/>
      <c r="LWY63" s="1"/>
      <c r="LWZ63" s="1"/>
      <c r="LXA63" s="1"/>
      <c r="LXB63" s="1"/>
      <c r="LXC63" s="1"/>
      <c r="LXD63" s="1"/>
      <c r="LXE63" s="1"/>
      <c r="LXF63" s="1"/>
      <c r="LXG63" s="1"/>
      <c r="LXH63" s="1"/>
      <c r="LXI63" s="1"/>
      <c r="LXJ63" s="1"/>
      <c r="LXK63" s="1"/>
      <c r="LXL63" s="1"/>
      <c r="LXM63" s="1"/>
      <c r="LXN63" s="1"/>
      <c r="LXO63" s="1"/>
      <c r="LXP63" s="1"/>
      <c r="LXQ63" s="1"/>
      <c r="LXR63" s="1"/>
      <c r="LXS63" s="1"/>
      <c r="LXT63" s="1"/>
      <c r="LXU63" s="1"/>
      <c r="LXV63" s="1"/>
      <c r="LXW63" s="1"/>
      <c r="LXX63" s="1"/>
      <c r="LXY63" s="1"/>
      <c r="LXZ63" s="1"/>
      <c r="LYA63" s="1"/>
      <c r="LYB63" s="1"/>
      <c r="LYC63" s="1"/>
      <c r="LYD63" s="1"/>
      <c r="LYE63" s="1"/>
      <c r="LYF63" s="1"/>
      <c r="LYG63" s="1"/>
      <c r="LYH63" s="1"/>
      <c r="LYI63" s="1"/>
      <c r="LYJ63" s="1"/>
      <c r="LYK63" s="1"/>
      <c r="LYL63" s="1"/>
      <c r="LYM63" s="1"/>
      <c r="LYN63" s="1"/>
      <c r="LYO63" s="1"/>
      <c r="LYP63" s="1"/>
      <c r="LYQ63" s="1"/>
      <c r="LYR63" s="1"/>
      <c r="LYS63" s="1"/>
      <c r="LYT63" s="1"/>
      <c r="LYU63" s="1"/>
      <c r="LYV63" s="1"/>
      <c r="LYW63" s="1"/>
      <c r="LYX63" s="1"/>
      <c r="LYY63" s="1"/>
      <c r="LYZ63" s="1"/>
      <c r="LZA63" s="1"/>
      <c r="LZB63" s="1"/>
      <c r="LZC63" s="1"/>
      <c r="LZD63" s="1"/>
      <c r="LZE63" s="1"/>
      <c r="LZF63" s="1"/>
      <c r="LZG63" s="1"/>
      <c r="LZH63" s="1"/>
      <c r="LZI63" s="1"/>
      <c r="LZJ63" s="1"/>
      <c r="LZK63" s="1"/>
      <c r="LZL63" s="1"/>
      <c r="LZM63" s="1"/>
      <c r="LZN63" s="1"/>
      <c r="LZO63" s="1"/>
      <c r="LZP63" s="1"/>
      <c r="LZQ63" s="1"/>
      <c r="LZR63" s="1"/>
      <c r="LZS63" s="1"/>
      <c r="LZT63" s="1"/>
      <c r="LZU63" s="1"/>
      <c r="LZV63" s="1"/>
      <c r="LZW63" s="1"/>
      <c r="LZX63" s="1"/>
      <c r="LZY63" s="1"/>
      <c r="LZZ63" s="1"/>
      <c r="MAA63" s="1"/>
      <c r="MAB63" s="1"/>
      <c r="MAC63" s="1"/>
      <c r="MAD63" s="1"/>
      <c r="MAE63" s="1"/>
      <c r="MAF63" s="1"/>
      <c r="MAG63" s="1"/>
      <c r="MAH63" s="1"/>
      <c r="MAI63" s="1"/>
      <c r="MAJ63" s="1"/>
      <c r="MAK63" s="1"/>
      <c r="MAL63" s="1"/>
      <c r="MAM63" s="1"/>
      <c r="MAN63" s="1"/>
      <c r="MAO63" s="1"/>
      <c r="MAP63" s="1"/>
      <c r="MAQ63" s="1"/>
      <c r="MAR63" s="1"/>
      <c r="MAS63" s="1"/>
      <c r="MAT63" s="1"/>
      <c r="MAU63" s="1"/>
      <c r="MAV63" s="1"/>
      <c r="MAW63" s="1"/>
      <c r="MAX63" s="1"/>
      <c r="MAY63" s="1"/>
      <c r="MAZ63" s="1"/>
      <c r="MBA63" s="1"/>
      <c r="MBB63" s="1"/>
      <c r="MBC63" s="1"/>
      <c r="MBD63" s="1"/>
      <c r="MBE63" s="1"/>
      <c r="MBF63" s="1"/>
      <c r="MBG63" s="1"/>
      <c r="MBH63" s="1"/>
      <c r="MBI63" s="1"/>
      <c r="MBJ63" s="1"/>
      <c r="MBK63" s="1"/>
      <c r="MBL63" s="1"/>
      <c r="MBM63" s="1"/>
      <c r="MBN63" s="1"/>
      <c r="MBO63" s="1"/>
      <c r="MBP63" s="1"/>
      <c r="MBQ63" s="1"/>
      <c r="MBR63" s="1"/>
      <c r="MBS63" s="1"/>
      <c r="MBT63" s="1"/>
      <c r="MBU63" s="1"/>
      <c r="MBV63" s="1"/>
      <c r="MBW63" s="1"/>
      <c r="MBX63" s="1"/>
      <c r="MBY63" s="1"/>
      <c r="MBZ63" s="1"/>
      <c r="MCA63" s="1"/>
      <c r="MCB63" s="1"/>
      <c r="MCC63" s="1"/>
      <c r="MCD63" s="1"/>
      <c r="MCE63" s="1"/>
      <c r="MCF63" s="1"/>
      <c r="MCG63" s="1"/>
      <c r="MCH63" s="1"/>
      <c r="MCI63" s="1"/>
      <c r="MCJ63" s="1"/>
      <c r="MCK63" s="1"/>
      <c r="MCL63" s="1"/>
      <c r="MCM63" s="1"/>
      <c r="MCN63" s="1"/>
      <c r="MCO63" s="1"/>
      <c r="MCP63" s="1"/>
      <c r="MCQ63" s="1"/>
      <c r="MCR63" s="1"/>
      <c r="MCS63" s="1"/>
      <c r="MCT63" s="1"/>
      <c r="MCU63" s="1"/>
      <c r="MCV63" s="1"/>
      <c r="MCW63" s="1"/>
      <c r="MCX63" s="1"/>
      <c r="MCY63" s="1"/>
      <c r="MCZ63" s="1"/>
      <c r="MDA63" s="1"/>
      <c r="MDB63" s="1"/>
      <c r="MDC63" s="1"/>
      <c r="MDD63" s="1"/>
      <c r="MDE63" s="1"/>
      <c r="MDF63" s="1"/>
      <c r="MDG63" s="1"/>
      <c r="MDH63" s="1"/>
      <c r="MDI63" s="1"/>
      <c r="MDJ63" s="1"/>
      <c r="MDK63" s="1"/>
      <c r="MDL63" s="1"/>
      <c r="MDM63" s="1"/>
      <c r="MDN63" s="1"/>
      <c r="MDO63" s="1"/>
      <c r="MDP63" s="1"/>
      <c r="MDQ63" s="1"/>
      <c r="MDR63" s="1"/>
      <c r="MDS63" s="1"/>
      <c r="MDT63" s="1"/>
      <c r="MDU63" s="1"/>
      <c r="MDV63" s="1"/>
      <c r="MDW63" s="1"/>
      <c r="MDX63" s="1"/>
      <c r="MDY63" s="1"/>
      <c r="MDZ63" s="1"/>
      <c r="MEA63" s="1"/>
      <c r="MEB63" s="1"/>
      <c r="MEC63" s="1"/>
      <c r="MED63" s="1"/>
      <c r="MEE63" s="1"/>
      <c r="MEF63" s="1"/>
      <c r="MEG63" s="1"/>
      <c r="MEH63" s="1"/>
      <c r="MEI63" s="1"/>
      <c r="MEJ63" s="1"/>
      <c r="MEK63" s="1"/>
      <c r="MEL63" s="1"/>
      <c r="MEM63" s="1"/>
      <c r="MEN63" s="1"/>
      <c r="MEO63" s="1"/>
      <c r="MEP63" s="1"/>
      <c r="MEQ63" s="1"/>
      <c r="MER63" s="1"/>
      <c r="MES63" s="1"/>
      <c r="MET63" s="1"/>
      <c r="MEU63" s="1"/>
      <c r="MEV63" s="1"/>
      <c r="MEW63" s="1"/>
      <c r="MEX63" s="1"/>
      <c r="MEY63" s="1"/>
      <c r="MEZ63" s="1"/>
      <c r="MFA63" s="1"/>
      <c r="MFB63" s="1"/>
      <c r="MFC63" s="1"/>
      <c r="MFD63" s="1"/>
      <c r="MFE63" s="1"/>
      <c r="MFF63" s="1"/>
      <c r="MFG63" s="1"/>
      <c r="MFH63" s="1"/>
      <c r="MFI63" s="1"/>
      <c r="MFJ63" s="1"/>
      <c r="MFK63" s="1"/>
      <c r="MFL63" s="1"/>
      <c r="MFM63" s="1"/>
      <c r="MFN63" s="1"/>
      <c r="MFO63" s="1"/>
      <c r="MFP63" s="1"/>
      <c r="MFQ63" s="1"/>
      <c r="MFR63" s="1"/>
      <c r="MFS63" s="1"/>
      <c r="MFT63" s="1"/>
      <c r="MFU63" s="1"/>
      <c r="MFV63" s="1"/>
      <c r="MFW63" s="1"/>
      <c r="MFX63" s="1"/>
      <c r="MFY63" s="1"/>
      <c r="MFZ63" s="1"/>
      <c r="MGA63" s="1"/>
      <c r="MGB63" s="1"/>
      <c r="MGC63" s="1"/>
      <c r="MGD63" s="1"/>
      <c r="MGE63" s="1"/>
      <c r="MGF63" s="1"/>
      <c r="MGG63" s="1"/>
      <c r="MGH63" s="1"/>
      <c r="MGI63" s="1"/>
      <c r="MGJ63" s="1"/>
      <c r="MGK63" s="1"/>
      <c r="MGL63" s="1"/>
      <c r="MGM63" s="1"/>
      <c r="MGN63" s="1"/>
      <c r="MGO63" s="1"/>
      <c r="MGP63" s="1"/>
      <c r="MGQ63" s="1"/>
      <c r="MGR63" s="1"/>
      <c r="MGS63" s="1"/>
      <c r="MGT63" s="1"/>
      <c r="MGU63" s="1"/>
      <c r="MGV63" s="1"/>
      <c r="MGW63" s="1"/>
      <c r="MGX63" s="1"/>
      <c r="MGY63" s="1"/>
      <c r="MGZ63" s="1"/>
      <c r="MHA63" s="1"/>
      <c r="MHB63" s="1"/>
      <c r="MHC63" s="1"/>
      <c r="MHD63" s="1"/>
      <c r="MHE63" s="1"/>
      <c r="MHF63" s="1"/>
      <c r="MHG63" s="1"/>
      <c r="MHH63" s="1"/>
      <c r="MHI63" s="1"/>
      <c r="MHJ63" s="1"/>
      <c r="MHK63" s="1"/>
      <c r="MHL63" s="1"/>
      <c r="MHM63" s="1"/>
      <c r="MHN63" s="1"/>
      <c r="MHO63" s="1"/>
      <c r="MHP63" s="1"/>
      <c r="MHQ63" s="1"/>
      <c r="MHR63" s="1"/>
      <c r="MHS63" s="1"/>
      <c r="MHT63" s="1"/>
      <c r="MHU63" s="1"/>
      <c r="MHV63" s="1"/>
      <c r="MHW63" s="1"/>
      <c r="MHX63" s="1"/>
      <c r="MHY63" s="1"/>
      <c r="MHZ63" s="1"/>
      <c r="MIA63" s="1"/>
      <c r="MIB63" s="1"/>
      <c r="MIC63" s="1"/>
      <c r="MID63" s="1"/>
      <c r="MIE63" s="1"/>
      <c r="MIF63" s="1"/>
      <c r="MIG63" s="1"/>
      <c r="MIH63" s="1"/>
      <c r="MII63" s="1"/>
      <c r="MIJ63" s="1"/>
      <c r="MIK63" s="1"/>
      <c r="MIL63" s="1"/>
      <c r="MIM63" s="1"/>
      <c r="MIN63" s="1"/>
      <c r="MIO63" s="1"/>
      <c r="MIP63" s="1"/>
      <c r="MIQ63" s="1"/>
      <c r="MIR63" s="1"/>
      <c r="MIS63" s="1"/>
      <c r="MIT63" s="1"/>
      <c r="MIU63" s="1"/>
      <c r="MIV63" s="1"/>
      <c r="MIW63" s="1"/>
      <c r="MIX63" s="1"/>
      <c r="MIY63" s="1"/>
      <c r="MIZ63" s="1"/>
      <c r="MJA63" s="1"/>
      <c r="MJB63" s="1"/>
      <c r="MJC63" s="1"/>
      <c r="MJD63" s="1"/>
      <c r="MJE63" s="1"/>
      <c r="MJF63" s="1"/>
      <c r="MJG63" s="1"/>
      <c r="MJH63" s="1"/>
      <c r="MJI63" s="1"/>
      <c r="MJJ63" s="1"/>
      <c r="MJK63" s="1"/>
      <c r="MJL63" s="1"/>
      <c r="MJM63" s="1"/>
      <c r="MJN63" s="1"/>
      <c r="MJO63" s="1"/>
      <c r="MJP63" s="1"/>
      <c r="MJQ63" s="1"/>
      <c r="MJR63" s="1"/>
      <c r="MJS63" s="1"/>
      <c r="MJT63" s="1"/>
      <c r="MJU63" s="1"/>
      <c r="MJV63" s="1"/>
      <c r="MJW63" s="1"/>
      <c r="MJX63" s="1"/>
      <c r="MJY63" s="1"/>
      <c r="MJZ63" s="1"/>
      <c r="MKA63" s="1"/>
      <c r="MKB63" s="1"/>
      <c r="MKC63" s="1"/>
      <c r="MKD63" s="1"/>
      <c r="MKE63" s="1"/>
      <c r="MKF63" s="1"/>
      <c r="MKG63" s="1"/>
      <c r="MKH63" s="1"/>
      <c r="MKI63" s="1"/>
      <c r="MKJ63" s="1"/>
      <c r="MKK63" s="1"/>
      <c r="MKL63" s="1"/>
      <c r="MKM63" s="1"/>
      <c r="MKN63" s="1"/>
      <c r="MKO63" s="1"/>
      <c r="MKP63" s="1"/>
      <c r="MKQ63" s="1"/>
      <c r="MKR63" s="1"/>
      <c r="MKS63" s="1"/>
      <c r="MKT63" s="1"/>
      <c r="MKU63" s="1"/>
      <c r="MKV63" s="1"/>
      <c r="MKW63" s="1"/>
      <c r="MKX63" s="1"/>
      <c r="MKY63" s="1"/>
      <c r="MKZ63" s="1"/>
      <c r="MLA63" s="1"/>
      <c r="MLB63" s="1"/>
      <c r="MLC63" s="1"/>
      <c r="MLD63" s="1"/>
      <c r="MLE63" s="1"/>
      <c r="MLF63" s="1"/>
      <c r="MLG63" s="1"/>
      <c r="MLH63" s="1"/>
      <c r="MLI63" s="1"/>
      <c r="MLJ63" s="1"/>
      <c r="MLK63" s="1"/>
      <c r="MLL63" s="1"/>
      <c r="MLM63" s="1"/>
      <c r="MLN63" s="1"/>
      <c r="MLO63" s="1"/>
      <c r="MLP63" s="1"/>
      <c r="MLQ63" s="1"/>
      <c r="MLR63" s="1"/>
      <c r="MLS63" s="1"/>
      <c r="MLT63" s="1"/>
      <c r="MLU63" s="1"/>
      <c r="MLV63" s="1"/>
      <c r="MLW63" s="1"/>
      <c r="MLX63" s="1"/>
      <c r="MLY63" s="1"/>
      <c r="MLZ63" s="1"/>
      <c r="MMA63" s="1"/>
      <c r="MMB63" s="1"/>
      <c r="MMC63" s="1"/>
      <c r="MMD63" s="1"/>
      <c r="MME63" s="1"/>
      <c r="MMF63" s="1"/>
      <c r="MMG63" s="1"/>
      <c r="MMH63" s="1"/>
      <c r="MMI63" s="1"/>
      <c r="MMJ63" s="1"/>
      <c r="MMK63" s="1"/>
      <c r="MML63" s="1"/>
      <c r="MMM63" s="1"/>
      <c r="MMN63" s="1"/>
      <c r="MMO63" s="1"/>
      <c r="MMP63" s="1"/>
      <c r="MMQ63" s="1"/>
      <c r="MMR63" s="1"/>
      <c r="MMS63" s="1"/>
      <c r="MMT63" s="1"/>
      <c r="MMU63" s="1"/>
      <c r="MMV63" s="1"/>
      <c r="MMW63" s="1"/>
      <c r="MMX63" s="1"/>
      <c r="MMY63" s="1"/>
      <c r="MMZ63" s="1"/>
      <c r="MNA63" s="1"/>
      <c r="MNB63" s="1"/>
      <c r="MNC63" s="1"/>
      <c r="MND63" s="1"/>
      <c r="MNE63" s="1"/>
      <c r="MNF63" s="1"/>
      <c r="MNG63" s="1"/>
      <c r="MNH63" s="1"/>
      <c r="MNI63" s="1"/>
      <c r="MNJ63" s="1"/>
      <c r="MNK63" s="1"/>
      <c r="MNL63" s="1"/>
      <c r="MNM63" s="1"/>
      <c r="MNN63" s="1"/>
      <c r="MNO63" s="1"/>
      <c r="MNP63" s="1"/>
      <c r="MNQ63" s="1"/>
      <c r="MNR63" s="1"/>
      <c r="MNS63" s="1"/>
      <c r="MNT63" s="1"/>
      <c r="MNU63" s="1"/>
      <c r="MNV63" s="1"/>
      <c r="MNW63" s="1"/>
      <c r="MNX63" s="1"/>
      <c r="MNY63" s="1"/>
      <c r="MNZ63" s="1"/>
      <c r="MOA63" s="1"/>
      <c r="MOB63" s="1"/>
      <c r="MOC63" s="1"/>
      <c r="MOD63" s="1"/>
      <c r="MOE63" s="1"/>
      <c r="MOF63" s="1"/>
      <c r="MOG63" s="1"/>
      <c r="MOH63" s="1"/>
      <c r="MOI63" s="1"/>
      <c r="MOJ63" s="1"/>
      <c r="MOK63" s="1"/>
      <c r="MOL63" s="1"/>
      <c r="MOM63" s="1"/>
      <c r="MON63" s="1"/>
      <c r="MOO63" s="1"/>
      <c r="MOP63" s="1"/>
      <c r="MOQ63" s="1"/>
      <c r="MOR63" s="1"/>
      <c r="MOS63" s="1"/>
      <c r="MOT63" s="1"/>
      <c r="MOU63" s="1"/>
      <c r="MOV63" s="1"/>
      <c r="MOW63" s="1"/>
      <c r="MOX63" s="1"/>
      <c r="MOY63" s="1"/>
      <c r="MOZ63" s="1"/>
      <c r="MPA63" s="1"/>
      <c r="MPB63" s="1"/>
      <c r="MPC63" s="1"/>
      <c r="MPD63" s="1"/>
      <c r="MPE63" s="1"/>
      <c r="MPF63" s="1"/>
      <c r="MPG63" s="1"/>
      <c r="MPH63" s="1"/>
      <c r="MPI63" s="1"/>
      <c r="MPJ63" s="1"/>
      <c r="MPK63" s="1"/>
      <c r="MPL63" s="1"/>
      <c r="MPM63" s="1"/>
      <c r="MPN63" s="1"/>
      <c r="MPO63" s="1"/>
      <c r="MPP63" s="1"/>
      <c r="MPQ63" s="1"/>
      <c r="MPR63" s="1"/>
      <c r="MPS63" s="1"/>
      <c r="MPT63" s="1"/>
      <c r="MPU63" s="1"/>
      <c r="MPV63" s="1"/>
      <c r="MPW63" s="1"/>
      <c r="MPX63" s="1"/>
      <c r="MPY63" s="1"/>
      <c r="MPZ63" s="1"/>
      <c r="MQA63" s="1"/>
      <c r="MQB63" s="1"/>
      <c r="MQC63" s="1"/>
      <c r="MQD63" s="1"/>
      <c r="MQE63" s="1"/>
      <c r="MQF63" s="1"/>
      <c r="MQG63" s="1"/>
      <c r="MQH63" s="1"/>
      <c r="MQI63" s="1"/>
      <c r="MQJ63" s="1"/>
      <c r="MQK63" s="1"/>
      <c r="MQL63" s="1"/>
      <c r="MQM63" s="1"/>
      <c r="MQN63" s="1"/>
      <c r="MQO63" s="1"/>
      <c r="MQP63" s="1"/>
      <c r="MQQ63" s="1"/>
      <c r="MQR63" s="1"/>
      <c r="MQS63" s="1"/>
      <c r="MQT63" s="1"/>
      <c r="MQU63" s="1"/>
      <c r="MQV63" s="1"/>
      <c r="MQW63" s="1"/>
      <c r="MQX63" s="1"/>
      <c r="MQY63" s="1"/>
      <c r="MQZ63" s="1"/>
      <c r="MRA63" s="1"/>
      <c r="MRB63" s="1"/>
      <c r="MRC63" s="1"/>
      <c r="MRD63" s="1"/>
      <c r="MRE63" s="1"/>
      <c r="MRF63" s="1"/>
      <c r="MRG63" s="1"/>
      <c r="MRH63" s="1"/>
      <c r="MRI63" s="1"/>
      <c r="MRJ63" s="1"/>
      <c r="MRK63" s="1"/>
      <c r="MRL63" s="1"/>
      <c r="MRM63" s="1"/>
      <c r="MRN63" s="1"/>
      <c r="MRO63" s="1"/>
      <c r="MRP63" s="1"/>
      <c r="MRQ63" s="1"/>
      <c r="MRR63" s="1"/>
      <c r="MRS63" s="1"/>
      <c r="MRT63" s="1"/>
      <c r="MRU63" s="1"/>
      <c r="MRV63" s="1"/>
      <c r="MRW63" s="1"/>
      <c r="MRX63" s="1"/>
      <c r="MRY63" s="1"/>
      <c r="MRZ63" s="1"/>
      <c r="MSA63" s="1"/>
      <c r="MSB63" s="1"/>
      <c r="MSC63" s="1"/>
      <c r="MSD63" s="1"/>
      <c r="MSE63" s="1"/>
      <c r="MSF63" s="1"/>
      <c r="MSG63" s="1"/>
      <c r="MSH63" s="1"/>
      <c r="MSI63" s="1"/>
      <c r="MSJ63" s="1"/>
      <c r="MSK63" s="1"/>
      <c r="MSL63" s="1"/>
      <c r="MSM63" s="1"/>
      <c r="MSN63" s="1"/>
      <c r="MSO63" s="1"/>
      <c r="MSP63" s="1"/>
      <c r="MSQ63" s="1"/>
      <c r="MSR63" s="1"/>
      <c r="MSS63" s="1"/>
      <c r="MST63" s="1"/>
      <c r="MSU63" s="1"/>
      <c r="MSV63" s="1"/>
      <c r="MSW63" s="1"/>
      <c r="MSX63" s="1"/>
      <c r="MSY63" s="1"/>
      <c r="MSZ63" s="1"/>
      <c r="MTA63" s="1"/>
      <c r="MTB63" s="1"/>
      <c r="MTC63" s="1"/>
      <c r="MTD63" s="1"/>
      <c r="MTE63" s="1"/>
      <c r="MTF63" s="1"/>
      <c r="MTG63" s="1"/>
      <c r="MTH63" s="1"/>
      <c r="MTI63" s="1"/>
      <c r="MTJ63" s="1"/>
      <c r="MTK63" s="1"/>
      <c r="MTL63" s="1"/>
      <c r="MTM63" s="1"/>
      <c r="MTN63" s="1"/>
      <c r="MTO63" s="1"/>
      <c r="MTP63" s="1"/>
      <c r="MTQ63" s="1"/>
      <c r="MTR63" s="1"/>
      <c r="MTS63" s="1"/>
      <c r="MTT63" s="1"/>
      <c r="MTU63" s="1"/>
      <c r="MTV63" s="1"/>
      <c r="MTW63" s="1"/>
      <c r="MTX63" s="1"/>
      <c r="MTY63" s="1"/>
      <c r="MTZ63" s="1"/>
      <c r="MUA63" s="1"/>
      <c r="MUB63" s="1"/>
      <c r="MUC63" s="1"/>
      <c r="MUD63" s="1"/>
      <c r="MUE63" s="1"/>
      <c r="MUF63" s="1"/>
      <c r="MUG63" s="1"/>
      <c r="MUH63" s="1"/>
      <c r="MUI63" s="1"/>
      <c r="MUJ63" s="1"/>
      <c r="MUK63" s="1"/>
      <c r="MUL63" s="1"/>
      <c r="MUM63" s="1"/>
      <c r="MUN63" s="1"/>
      <c r="MUO63" s="1"/>
      <c r="MUP63" s="1"/>
      <c r="MUQ63" s="1"/>
      <c r="MUR63" s="1"/>
      <c r="MUS63" s="1"/>
      <c r="MUT63" s="1"/>
      <c r="MUU63" s="1"/>
      <c r="MUV63" s="1"/>
      <c r="MUW63" s="1"/>
      <c r="MUX63" s="1"/>
      <c r="MUY63" s="1"/>
      <c r="MUZ63" s="1"/>
      <c r="MVA63" s="1"/>
      <c r="MVB63" s="1"/>
      <c r="MVC63" s="1"/>
      <c r="MVD63" s="1"/>
      <c r="MVE63" s="1"/>
      <c r="MVF63" s="1"/>
      <c r="MVG63" s="1"/>
      <c r="MVH63" s="1"/>
      <c r="MVI63" s="1"/>
      <c r="MVJ63" s="1"/>
      <c r="MVK63" s="1"/>
      <c r="MVL63" s="1"/>
      <c r="MVM63" s="1"/>
      <c r="MVN63" s="1"/>
      <c r="MVO63" s="1"/>
      <c r="MVP63" s="1"/>
      <c r="MVQ63" s="1"/>
      <c r="MVR63" s="1"/>
      <c r="MVS63" s="1"/>
      <c r="MVT63" s="1"/>
      <c r="MVU63" s="1"/>
      <c r="MVV63" s="1"/>
      <c r="MVW63" s="1"/>
      <c r="MVX63" s="1"/>
      <c r="MVY63" s="1"/>
      <c r="MVZ63" s="1"/>
      <c r="MWA63" s="1"/>
      <c r="MWB63" s="1"/>
      <c r="MWC63" s="1"/>
      <c r="MWD63" s="1"/>
      <c r="MWE63" s="1"/>
      <c r="MWF63" s="1"/>
      <c r="MWG63" s="1"/>
      <c r="MWH63" s="1"/>
      <c r="MWI63" s="1"/>
      <c r="MWJ63" s="1"/>
      <c r="MWK63" s="1"/>
      <c r="MWL63" s="1"/>
      <c r="MWM63" s="1"/>
      <c r="MWN63" s="1"/>
      <c r="MWO63" s="1"/>
      <c r="MWP63" s="1"/>
      <c r="MWQ63" s="1"/>
      <c r="MWR63" s="1"/>
      <c r="MWS63" s="1"/>
      <c r="MWT63" s="1"/>
      <c r="MWU63" s="1"/>
      <c r="MWV63" s="1"/>
      <c r="MWW63" s="1"/>
      <c r="MWX63" s="1"/>
      <c r="MWY63" s="1"/>
      <c r="MWZ63" s="1"/>
      <c r="MXA63" s="1"/>
      <c r="MXB63" s="1"/>
      <c r="MXC63" s="1"/>
      <c r="MXD63" s="1"/>
      <c r="MXE63" s="1"/>
      <c r="MXF63" s="1"/>
      <c r="MXG63" s="1"/>
      <c r="MXH63" s="1"/>
      <c r="MXI63" s="1"/>
      <c r="MXJ63" s="1"/>
      <c r="MXK63" s="1"/>
      <c r="MXL63" s="1"/>
      <c r="MXM63" s="1"/>
      <c r="MXN63" s="1"/>
      <c r="MXO63" s="1"/>
      <c r="MXP63" s="1"/>
      <c r="MXQ63" s="1"/>
      <c r="MXR63" s="1"/>
      <c r="MXS63" s="1"/>
      <c r="MXT63" s="1"/>
      <c r="MXU63" s="1"/>
      <c r="MXV63" s="1"/>
      <c r="MXW63" s="1"/>
      <c r="MXX63" s="1"/>
      <c r="MXY63" s="1"/>
      <c r="MXZ63" s="1"/>
      <c r="MYA63" s="1"/>
      <c r="MYB63" s="1"/>
      <c r="MYC63" s="1"/>
      <c r="MYD63" s="1"/>
      <c r="MYE63" s="1"/>
      <c r="MYF63" s="1"/>
      <c r="MYG63" s="1"/>
      <c r="MYH63" s="1"/>
      <c r="MYI63" s="1"/>
      <c r="MYJ63" s="1"/>
      <c r="MYK63" s="1"/>
      <c r="MYL63" s="1"/>
      <c r="MYM63" s="1"/>
      <c r="MYN63" s="1"/>
      <c r="MYO63" s="1"/>
      <c r="MYP63" s="1"/>
      <c r="MYQ63" s="1"/>
      <c r="MYR63" s="1"/>
      <c r="MYS63" s="1"/>
      <c r="MYT63" s="1"/>
      <c r="MYU63" s="1"/>
      <c r="MYV63" s="1"/>
      <c r="MYW63" s="1"/>
      <c r="MYX63" s="1"/>
      <c r="MYY63" s="1"/>
      <c r="MYZ63" s="1"/>
      <c r="MZA63" s="1"/>
      <c r="MZB63" s="1"/>
      <c r="MZC63" s="1"/>
      <c r="MZD63" s="1"/>
      <c r="MZE63" s="1"/>
      <c r="MZF63" s="1"/>
      <c r="MZG63" s="1"/>
      <c r="MZH63" s="1"/>
      <c r="MZI63" s="1"/>
      <c r="MZJ63" s="1"/>
      <c r="MZK63" s="1"/>
      <c r="MZL63" s="1"/>
      <c r="MZM63" s="1"/>
      <c r="MZN63" s="1"/>
      <c r="MZO63" s="1"/>
      <c r="MZP63" s="1"/>
      <c r="MZQ63" s="1"/>
      <c r="MZR63" s="1"/>
      <c r="MZS63" s="1"/>
      <c r="MZT63" s="1"/>
      <c r="MZU63" s="1"/>
      <c r="MZV63" s="1"/>
      <c r="MZW63" s="1"/>
      <c r="MZX63" s="1"/>
      <c r="MZY63" s="1"/>
      <c r="MZZ63" s="1"/>
      <c r="NAA63" s="1"/>
      <c r="NAB63" s="1"/>
      <c r="NAC63" s="1"/>
      <c r="NAD63" s="1"/>
      <c r="NAE63" s="1"/>
      <c r="NAF63" s="1"/>
      <c r="NAG63" s="1"/>
      <c r="NAH63" s="1"/>
      <c r="NAI63" s="1"/>
      <c r="NAJ63" s="1"/>
      <c r="NAK63" s="1"/>
      <c r="NAL63" s="1"/>
      <c r="NAM63" s="1"/>
      <c r="NAN63" s="1"/>
      <c r="NAO63" s="1"/>
      <c r="NAP63" s="1"/>
      <c r="NAQ63" s="1"/>
      <c r="NAR63" s="1"/>
      <c r="NAS63" s="1"/>
      <c r="NAT63" s="1"/>
      <c r="NAU63" s="1"/>
      <c r="NAV63" s="1"/>
      <c r="NAW63" s="1"/>
      <c r="NAX63" s="1"/>
      <c r="NAY63" s="1"/>
      <c r="NAZ63" s="1"/>
      <c r="NBA63" s="1"/>
      <c r="NBB63" s="1"/>
      <c r="NBC63" s="1"/>
      <c r="NBD63" s="1"/>
      <c r="NBE63" s="1"/>
      <c r="NBF63" s="1"/>
      <c r="NBG63" s="1"/>
      <c r="NBH63" s="1"/>
      <c r="NBI63" s="1"/>
      <c r="NBJ63" s="1"/>
      <c r="NBK63" s="1"/>
      <c r="NBL63" s="1"/>
      <c r="NBM63" s="1"/>
      <c r="NBN63" s="1"/>
      <c r="NBO63" s="1"/>
      <c r="NBP63" s="1"/>
      <c r="NBQ63" s="1"/>
      <c r="NBR63" s="1"/>
      <c r="NBS63" s="1"/>
      <c r="NBT63" s="1"/>
      <c r="NBU63" s="1"/>
      <c r="NBV63" s="1"/>
      <c r="NBW63" s="1"/>
      <c r="NBX63" s="1"/>
      <c r="NBY63" s="1"/>
      <c r="NBZ63" s="1"/>
      <c r="NCA63" s="1"/>
      <c r="NCB63" s="1"/>
      <c r="NCC63" s="1"/>
      <c r="NCD63" s="1"/>
      <c r="NCE63" s="1"/>
      <c r="NCF63" s="1"/>
      <c r="NCG63" s="1"/>
      <c r="NCH63" s="1"/>
      <c r="NCI63" s="1"/>
      <c r="NCJ63" s="1"/>
      <c r="NCK63" s="1"/>
      <c r="NCL63" s="1"/>
      <c r="NCM63" s="1"/>
      <c r="NCN63" s="1"/>
      <c r="NCO63" s="1"/>
      <c r="NCP63" s="1"/>
      <c r="NCQ63" s="1"/>
      <c r="NCR63" s="1"/>
      <c r="NCS63" s="1"/>
      <c r="NCT63" s="1"/>
      <c r="NCU63" s="1"/>
      <c r="NCV63" s="1"/>
      <c r="NCW63" s="1"/>
      <c r="NCX63" s="1"/>
      <c r="NCY63" s="1"/>
      <c r="NCZ63" s="1"/>
      <c r="NDA63" s="1"/>
      <c r="NDB63" s="1"/>
      <c r="NDC63" s="1"/>
      <c r="NDD63" s="1"/>
      <c r="NDE63" s="1"/>
      <c r="NDF63" s="1"/>
      <c r="NDG63" s="1"/>
      <c r="NDH63" s="1"/>
      <c r="NDI63" s="1"/>
      <c r="NDJ63" s="1"/>
      <c r="NDK63" s="1"/>
      <c r="NDL63" s="1"/>
      <c r="NDM63" s="1"/>
      <c r="NDN63" s="1"/>
      <c r="NDO63" s="1"/>
      <c r="NDP63" s="1"/>
      <c r="NDQ63" s="1"/>
      <c r="NDR63" s="1"/>
      <c r="NDS63" s="1"/>
      <c r="NDT63" s="1"/>
      <c r="NDU63" s="1"/>
      <c r="NDV63" s="1"/>
      <c r="NDW63" s="1"/>
      <c r="NDX63" s="1"/>
      <c r="NDY63" s="1"/>
      <c r="NDZ63" s="1"/>
      <c r="NEA63" s="1"/>
      <c r="NEB63" s="1"/>
      <c r="NEC63" s="1"/>
      <c r="NED63" s="1"/>
      <c r="NEE63" s="1"/>
      <c r="NEF63" s="1"/>
      <c r="NEG63" s="1"/>
      <c r="NEH63" s="1"/>
      <c r="NEI63" s="1"/>
      <c r="NEJ63" s="1"/>
      <c r="NEK63" s="1"/>
      <c r="NEL63" s="1"/>
      <c r="NEM63" s="1"/>
      <c r="NEN63" s="1"/>
      <c r="NEO63" s="1"/>
      <c r="NEP63" s="1"/>
      <c r="NEQ63" s="1"/>
      <c r="NER63" s="1"/>
      <c r="NES63" s="1"/>
      <c r="NET63" s="1"/>
      <c r="NEU63" s="1"/>
      <c r="NEV63" s="1"/>
      <c r="NEW63" s="1"/>
      <c r="NEX63" s="1"/>
      <c r="NEY63" s="1"/>
      <c r="NEZ63" s="1"/>
      <c r="NFA63" s="1"/>
      <c r="NFB63" s="1"/>
      <c r="NFC63" s="1"/>
      <c r="NFD63" s="1"/>
      <c r="NFE63" s="1"/>
      <c r="NFF63" s="1"/>
      <c r="NFG63" s="1"/>
      <c r="NFH63" s="1"/>
      <c r="NFI63" s="1"/>
      <c r="NFJ63" s="1"/>
      <c r="NFK63" s="1"/>
      <c r="NFL63" s="1"/>
      <c r="NFM63" s="1"/>
      <c r="NFN63" s="1"/>
      <c r="NFO63" s="1"/>
      <c r="NFP63" s="1"/>
      <c r="NFQ63" s="1"/>
      <c r="NFR63" s="1"/>
      <c r="NFS63" s="1"/>
      <c r="NFT63" s="1"/>
      <c r="NFU63" s="1"/>
      <c r="NFV63" s="1"/>
      <c r="NFW63" s="1"/>
      <c r="NFX63" s="1"/>
      <c r="NFY63" s="1"/>
      <c r="NFZ63" s="1"/>
      <c r="NGA63" s="1"/>
      <c r="NGB63" s="1"/>
      <c r="NGC63" s="1"/>
      <c r="NGD63" s="1"/>
      <c r="NGE63" s="1"/>
      <c r="NGF63" s="1"/>
      <c r="NGG63" s="1"/>
      <c r="NGH63" s="1"/>
      <c r="NGI63" s="1"/>
      <c r="NGJ63" s="1"/>
      <c r="NGK63" s="1"/>
      <c r="NGL63" s="1"/>
      <c r="NGM63" s="1"/>
      <c r="NGN63" s="1"/>
      <c r="NGO63" s="1"/>
      <c r="NGP63" s="1"/>
      <c r="NGQ63" s="1"/>
      <c r="NGR63" s="1"/>
      <c r="NGS63" s="1"/>
      <c r="NGT63" s="1"/>
      <c r="NGU63" s="1"/>
      <c r="NGV63" s="1"/>
      <c r="NGW63" s="1"/>
      <c r="NGX63" s="1"/>
      <c r="NGY63" s="1"/>
      <c r="NGZ63" s="1"/>
      <c r="NHA63" s="1"/>
      <c r="NHB63" s="1"/>
      <c r="NHC63" s="1"/>
      <c r="NHD63" s="1"/>
      <c r="NHE63" s="1"/>
      <c r="NHF63" s="1"/>
      <c r="NHG63" s="1"/>
      <c r="NHH63" s="1"/>
      <c r="NHI63" s="1"/>
      <c r="NHJ63" s="1"/>
      <c r="NHK63" s="1"/>
      <c r="NHL63" s="1"/>
      <c r="NHM63" s="1"/>
      <c r="NHN63" s="1"/>
      <c r="NHO63" s="1"/>
      <c r="NHP63" s="1"/>
      <c r="NHQ63" s="1"/>
      <c r="NHR63" s="1"/>
      <c r="NHS63" s="1"/>
      <c r="NHT63" s="1"/>
      <c r="NHU63" s="1"/>
      <c r="NHV63" s="1"/>
      <c r="NHW63" s="1"/>
      <c r="NHX63" s="1"/>
      <c r="NHY63" s="1"/>
      <c r="NHZ63" s="1"/>
      <c r="NIA63" s="1"/>
      <c r="NIB63" s="1"/>
      <c r="NIC63" s="1"/>
      <c r="NID63" s="1"/>
      <c r="NIE63" s="1"/>
      <c r="NIF63" s="1"/>
      <c r="NIG63" s="1"/>
      <c r="NIH63" s="1"/>
      <c r="NII63" s="1"/>
      <c r="NIJ63" s="1"/>
      <c r="NIK63" s="1"/>
      <c r="NIL63" s="1"/>
      <c r="NIM63" s="1"/>
      <c r="NIN63" s="1"/>
      <c r="NIO63" s="1"/>
      <c r="NIP63" s="1"/>
      <c r="NIQ63" s="1"/>
      <c r="NIR63" s="1"/>
      <c r="NIS63" s="1"/>
      <c r="NIT63" s="1"/>
      <c r="NIU63" s="1"/>
      <c r="NIV63" s="1"/>
      <c r="NIW63" s="1"/>
      <c r="NIX63" s="1"/>
      <c r="NIY63" s="1"/>
      <c r="NIZ63" s="1"/>
      <c r="NJA63" s="1"/>
      <c r="NJB63" s="1"/>
      <c r="NJC63" s="1"/>
      <c r="NJD63" s="1"/>
      <c r="NJE63" s="1"/>
      <c r="NJF63" s="1"/>
      <c r="NJG63" s="1"/>
      <c r="NJH63" s="1"/>
      <c r="NJI63" s="1"/>
      <c r="NJJ63" s="1"/>
      <c r="NJK63" s="1"/>
      <c r="NJL63" s="1"/>
      <c r="NJM63" s="1"/>
      <c r="NJN63" s="1"/>
      <c r="NJO63" s="1"/>
      <c r="NJP63" s="1"/>
      <c r="NJQ63" s="1"/>
      <c r="NJR63" s="1"/>
      <c r="NJS63" s="1"/>
      <c r="NJT63" s="1"/>
      <c r="NJU63" s="1"/>
      <c r="NJV63" s="1"/>
      <c r="NJW63" s="1"/>
      <c r="NJX63" s="1"/>
      <c r="NJY63" s="1"/>
      <c r="NJZ63" s="1"/>
      <c r="NKA63" s="1"/>
      <c r="NKB63" s="1"/>
      <c r="NKC63" s="1"/>
      <c r="NKD63" s="1"/>
      <c r="NKE63" s="1"/>
      <c r="NKF63" s="1"/>
      <c r="NKG63" s="1"/>
      <c r="NKH63" s="1"/>
      <c r="NKI63" s="1"/>
      <c r="NKJ63" s="1"/>
      <c r="NKK63" s="1"/>
      <c r="NKL63" s="1"/>
      <c r="NKM63" s="1"/>
      <c r="NKN63" s="1"/>
      <c r="NKO63" s="1"/>
      <c r="NKP63" s="1"/>
      <c r="NKQ63" s="1"/>
      <c r="NKR63" s="1"/>
      <c r="NKS63" s="1"/>
      <c r="NKT63" s="1"/>
      <c r="NKU63" s="1"/>
      <c r="NKV63" s="1"/>
      <c r="NKW63" s="1"/>
      <c r="NKX63" s="1"/>
      <c r="NKY63" s="1"/>
      <c r="NKZ63" s="1"/>
      <c r="NLA63" s="1"/>
      <c r="NLB63" s="1"/>
      <c r="NLC63" s="1"/>
      <c r="NLD63" s="1"/>
      <c r="NLE63" s="1"/>
      <c r="NLF63" s="1"/>
      <c r="NLG63" s="1"/>
      <c r="NLH63" s="1"/>
      <c r="NLI63" s="1"/>
      <c r="NLJ63" s="1"/>
      <c r="NLK63" s="1"/>
      <c r="NLL63" s="1"/>
      <c r="NLM63" s="1"/>
      <c r="NLN63" s="1"/>
      <c r="NLO63" s="1"/>
      <c r="NLP63" s="1"/>
      <c r="NLQ63" s="1"/>
      <c r="NLR63" s="1"/>
      <c r="NLS63" s="1"/>
      <c r="NLT63" s="1"/>
      <c r="NLU63" s="1"/>
      <c r="NLV63" s="1"/>
      <c r="NLW63" s="1"/>
      <c r="NLX63" s="1"/>
      <c r="NLY63" s="1"/>
      <c r="NLZ63" s="1"/>
      <c r="NMA63" s="1"/>
      <c r="NMB63" s="1"/>
      <c r="NMC63" s="1"/>
      <c r="NMD63" s="1"/>
      <c r="NME63" s="1"/>
      <c r="NMF63" s="1"/>
      <c r="NMG63" s="1"/>
      <c r="NMH63" s="1"/>
      <c r="NMI63" s="1"/>
      <c r="NMJ63" s="1"/>
      <c r="NMK63" s="1"/>
      <c r="NML63" s="1"/>
      <c r="NMM63" s="1"/>
      <c r="NMN63" s="1"/>
      <c r="NMO63" s="1"/>
      <c r="NMP63" s="1"/>
      <c r="NMQ63" s="1"/>
      <c r="NMR63" s="1"/>
      <c r="NMS63" s="1"/>
      <c r="NMT63" s="1"/>
      <c r="NMU63" s="1"/>
      <c r="NMV63" s="1"/>
      <c r="NMW63" s="1"/>
      <c r="NMX63" s="1"/>
      <c r="NMY63" s="1"/>
      <c r="NMZ63" s="1"/>
      <c r="NNA63" s="1"/>
      <c r="NNB63" s="1"/>
      <c r="NNC63" s="1"/>
      <c r="NND63" s="1"/>
      <c r="NNE63" s="1"/>
      <c r="NNF63" s="1"/>
      <c r="NNG63" s="1"/>
      <c r="NNH63" s="1"/>
      <c r="NNI63" s="1"/>
      <c r="NNJ63" s="1"/>
      <c r="NNK63" s="1"/>
      <c r="NNL63" s="1"/>
      <c r="NNM63" s="1"/>
      <c r="NNN63" s="1"/>
      <c r="NNO63" s="1"/>
      <c r="NNP63" s="1"/>
      <c r="NNQ63" s="1"/>
      <c r="NNR63" s="1"/>
      <c r="NNS63" s="1"/>
      <c r="NNT63" s="1"/>
      <c r="NNU63" s="1"/>
      <c r="NNV63" s="1"/>
      <c r="NNW63" s="1"/>
      <c r="NNX63" s="1"/>
      <c r="NNY63" s="1"/>
      <c r="NNZ63" s="1"/>
      <c r="NOA63" s="1"/>
      <c r="NOB63" s="1"/>
      <c r="NOC63" s="1"/>
      <c r="NOD63" s="1"/>
      <c r="NOE63" s="1"/>
      <c r="NOF63" s="1"/>
      <c r="NOG63" s="1"/>
      <c r="NOH63" s="1"/>
      <c r="NOI63" s="1"/>
      <c r="NOJ63" s="1"/>
      <c r="NOK63" s="1"/>
      <c r="NOL63" s="1"/>
      <c r="NOM63" s="1"/>
      <c r="NON63" s="1"/>
      <c r="NOO63" s="1"/>
      <c r="NOP63" s="1"/>
      <c r="NOQ63" s="1"/>
      <c r="NOR63" s="1"/>
      <c r="NOS63" s="1"/>
      <c r="NOT63" s="1"/>
      <c r="NOU63" s="1"/>
      <c r="NOV63" s="1"/>
      <c r="NOW63" s="1"/>
      <c r="NOX63" s="1"/>
      <c r="NOY63" s="1"/>
      <c r="NOZ63" s="1"/>
      <c r="NPA63" s="1"/>
      <c r="NPB63" s="1"/>
      <c r="NPC63" s="1"/>
      <c r="NPD63" s="1"/>
      <c r="NPE63" s="1"/>
      <c r="NPF63" s="1"/>
      <c r="NPG63" s="1"/>
      <c r="NPH63" s="1"/>
      <c r="NPI63" s="1"/>
      <c r="NPJ63" s="1"/>
      <c r="NPK63" s="1"/>
      <c r="NPL63" s="1"/>
      <c r="NPM63" s="1"/>
      <c r="NPN63" s="1"/>
      <c r="NPO63" s="1"/>
      <c r="NPP63" s="1"/>
      <c r="NPQ63" s="1"/>
      <c r="NPR63" s="1"/>
      <c r="NPS63" s="1"/>
      <c r="NPT63" s="1"/>
      <c r="NPU63" s="1"/>
      <c r="NPV63" s="1"/>
      <c r="NPW63" s="1"/>
      <c r="NPX63" s="1"/>
      <c r="NPY63" s="1"/>
      <c r="NPZ63" s="1"/>
      <c r="NQA63" s="1"/>
      <c r="NQB63" s="1"/>
      <c r="NQC63" s="1"/>
      <c r="NQD63" s="1"/>
      <c r="NQE63" s="1"/>
      <c r="NQF63" s="1"/>
      <c r="NQG63" s="1"/>
      <c r="NQH63" s="1"/>
      <c r="NQI63" s="1"/>
      <c r="NQJ63" s="1"/>
      <c r="NQK63" s="1"/>
      <c r="NQL63" s="1"/>
      <c r="NQM63" s="1"/>
      <c r="NQN63" s="1"/>
      <c r="NQO63" s="1"/>
      <c r="NQP63" s="1"/>
      <c r="NQQ63" s="1"/>
      <c r="NQR63" s="1"/>
      <c r="NQS63" s="1"/>
      <c r="NQT63" s="1"/>
      <c r="NQU63" s="1"/>
      <c r="NQV63" s="1"/>
      <c r="NQW63" s="1"/>
      <c r="NQX63" s="1"/>
      <c r="NQY63" s="1"/>
      <c r="NQZ63" s="1"/>
      <c r="NRA63" s="1"/>
      <c r="NRB63" s="1"/>
      <c r="NRC63" s="1"/>
      <c r="NRD63" s="1"/>
      <c r="NRE63" s="1"/>
      <c r="NRF63" s="1"/>
      <c r="NRG63" s="1"/>
      <c r="NRH63" s="1"/>
      <c r="NRI63" s="1"/>
      <c r="NRJ63" s="1"/>
      <c r="NRK63" s="1"/>
      <c r="NRL63" s="1"/>
      <c r="NRM63" s="1"/>
      <c r="NRN63" s="1"/>
      <c r="NRO63" s="1"/>
      <c r="NRP63" s="1"/>
      <c r="NRQ63" s="1"/>
      <c r="NRR63" s="1"/>
      <c r="NRS63" s="1"/>
      <c r="NRT63" s="1"/>
      <c r="NRU63" s="1"/>
      <c r="NRV63" s="1"/>
      <c r="NRW63" s="1"/>
      <c r="NRX63" s="1"/>
      <c r="NRY63" s="1"/>
      <c r="NRZ63" s="1"/>
      <c r="NSA63" s="1"/>
      <c r="NSB63" s="1"/>
      <c r="NSC63" s="1"/>
      <c r="NSD63" s="1"/>
      <c r="NSE63" s="1"/>
      <c r="NSF63" s="1"/>
      <c r="NSG63" s="1"/>
      <c r="NSH63" s="1"/>
      <c r="NSI63" s="1"/>
      <c r="NSJ63" s="1"/>
      <c r="NSK63" s="1"/>
      <c r="NSL63" s="1"/>
      <c r="NSM63" s="1"/>
      <c r="NSN63" s="1"/>
      <c r="NSO63" s="1"/>
      <c r="NSP63" s="1"/>
      <c r="NSQ63" s="1"/>
      <c r="NSR63" s="1"/>
      <c r="NSS63" s="1"/>
      <c r="NST63" s="1"/>
      <c r="NSU63" s="1"/>
      <c r="NSV63" s="1"/>
      <c r="NSW63" s="1"/>
      <c r="NSX63" s="1"/>
      <c r="NSY63" s="1"/>
      <c r="NSZ63" s="1"/>
      <c r="NTA63" s="1"/>
      <c r="NTB63" s="1"/>
      <c r="NTC63" s="1"/>
      <c r="NTD63" s="1"/>
      <c r="NTE63" s="1"/>
      <c r="NTF63" s="1"/>
      <c r="NTG63" s="1"/>
      <c r="NTH63" s="1"/>
      <c r="NTI63" s="1"/>
      <c r="NTJ63" s="1"/>
      <c r="NTK63" s="1"/>
      <c r="NTL63" s="1"/>
      <c r="NTM63" s="1"/>
      <c r="NTN63" s="1"/>
      <c r="NTO63" s="1"/>
      <c r="NTP63" s="1"/>
      <c r="NTQ63" s="1"/>
      <c r="NTR63" s="1"/>
      <c r="NTS63" s="1"/>
      <c r="NTT63" s="1"/>
      <c r="NTU63" s="1"/>
      <c r="NTV63" s="1"/>
      <c r="NTW63" s="1"/>
      <c r="NTX63" s="1"/>
      <c r="NTY63" s="1"/>
      <c r="NTZ63" s="1"/>
      <c r="NUA63" s="1"/>
      <c r="NUB63" s="1"/>
      <c r="NUC63" s="1"/>
      <c r="NUD63" s="1"/>
      <c r="NUE63" s="1"/>
      <c r="NUF63" s="1"/>
      <c r="NUG63" s="1"/>
      <c r="NUH63" s="1"/>
      <c r="NUI63" s="1"/>
      <c r="NUJ63" s="1"/>
      <c r="NUK63" s="1"/>
      <c r="NUL63" s="1"/>
      <c r="NUM63" s="1"/>
      <c r="NUN63" s="1"/>
      <c r="NUO63" s="1"/>
      <c r="NUP63" s="1"/>
      <c r="NUQ63" s="1"/>
      <c r="NUR63" s="1"/>
      <c r="NUS63" s="1"/>
      <c r="NUT63" s="1"/>
      <c r="NUU63" s="1"/>
      <c r="NUV63" s="1"/>
      <c r="NUW63" s="1"/>
      <c r="NUX63" s="1"/>
      <c r="NUY63" s="1"/>
      <c r="NUZ63" s="1"/>
      <c r="NVA63" s="1"/>
      <c r="NVB63" s="1"/>
      <c r="NVC63" s="1"/>
      <c r="NVD63" s="1"/>
      <c r="NVE63" s="1"/>
      <c r="NVF63" s="1"/>
      <c r="NVG63" s="1"/>
      <c r="NVH63" s="1"/>
      <c r="NVI63" s="1"/>
      <c r="NVJ63" s="1"/>
      <c r="NVK63" s="1"/>
      <c r="NVL63" s="1"/>
      <c r="NVM63" s="1"/>
      <c r="NVN63" s="1"/>
      <c r="NVO63" s="1"/>
      <c r="NVP63" s="1"/>
      <c r="NVQ63" s="1"/>
      <c r="NVR63" s="1"/>
      <c r="NVS63" s="1"/>
      <c r="NVT63" s="1"/>
      <c r="NVU63" s="1"/>
      <c r="NVV63" s="1"/>
      <c r="NVW63" s="1"/>
      <c r="NVX63" s="1"/>
      <c r="NVY63" s="1"/>
      <c r="NVZ63" s="1"/>
      <c r="NWA63" s="1"/>
      <c r="NWB63" s="1"/>
      <c r="NWC63" s="1"/>
      <c r="NWD63" s="1"/>
      <c r="NWE63" s="1"/>
      <c r="NWF63" s="1"/>
      <c r="NWG63" s="1"/>
      <c r="NWH63" s="1"/>
      <c r="NWI63" s="1"/>
      <c r="NWJ63" s="1"/>
      <c r="NWK63" s="1"/>
      <c r="NWL63" s="1"/>
      <c r="NWM63" s="1"/>
      <c r="NWN63" s="1"/>
      <c r="NWO63" s="1"/>
      <c r="NWP63" s="1"/>
      <c r="NWQ63" s="1"/>
      <c r="NWR63" s="1"/>
      <c r="NWS63" s="1"/>
      <c r="NWT63" s="1"/>
      <c r="NWU63" s="1"/>
      <c r="NWV63" s="1"/>
      <c r="NWW63" s="1"/>
      <c r="NWX63" s="1"/>
      <c r="NWY63" s="1"/>
      <c r="NWZ63" s="1"/>
      <c r="NXA63" s="1"/>
      <c r="NXB63" s="1"/>
      <c r="NXC63" s="1"/>
      <c r="NXD63" s="1"/>
      <c r="NXE63" s="1"/>
      <c r="NXF63" s="1"/>
      <c r="NXG63" s="1"/>
      <c r="NXH63" s="1"/>
      <c r="NXI63" s="1"/>
      <c r="NXJ63" s="1"/>
      <c r="NXK63" s="1"/>
      <c r="NXL63" s="1"/>
      <c r="NXM63" s="1"/>
      <c r="NXN63" s="1"/>
      <c r="NXO63" s="1"/>
      <c r="NXP63" s="1"/>
      <c r="NXQ63" s="1"/>
      <c r="NXR63" s="1"/>
      <c r="NXS63" s="1"/>
      <c r="NXT63" s="1"/>
      <c r="NXU63" s="1"/>
      <c r="NXV63" s="1"/>
      <c r="NXW63" s="1"/>
      <c r="NXX63" s="1"/>
      <c r="NXY63" s="1"/>
      <c r="NXZ63" s="1"/>
      <c r="NYA63" s="1"/>
      <c r="NYB63" s="1"/>
      <c r="NYC63" s="1"/>
      <c r="NYD63" s="1"/>
      <c r="NYE63" s="1"/>
      <c r="NYF63" s="1"/>
      <c r="NYG63" s="1"/>
      <c r="NYH63" s="1"/>
      <c r="NYI63" s="1"/>
      <c r="NYJ63" s="1"/>
      <c r="NYK63" s="1"/>
      <c r="NYL63" s="1"/>
      <c r="NYM63" s="1"/>
      <c r="NYN63" s="1"/>
      <c r="NYO63" s="1"/>
      <c r="NYP63" s="1"/>
      <c r="NYQ63" s="1"/>
      <c r="NYR63" s="1"/>
      <c r="NYS63" s="1"/>
      <c r="NYT63" s="1"/>
      <c r="NYU63" s="1"/>
      <c r="NYV63" s="1"/>
      <c r="NYW63" s="1"/>
      <c r="NYX63" s="1"/>
      <c r="NYY63" s="1"/>
      <c r="NYZ63" s="1"/>
      <c r="NZA63" s="1"/>
      <c r="NZB63" s="1"/>
      <c r="NZC63" s="1"/>
      <c r="NZD63" s="1"/>
      <c r="NZE63" s="1"/>
      <c r="NZF63" s="1"/>
      <c r="NZG63" s="1"/>
      <c r="NZH63" s="1"/>
      <c r="NZI63" s="1"/>
      <c r="NZJ63" s="1"/>
      <c r="NZK63" s="1"/>
      <c r="NZL63" s="1"/>
      <c r="NZM63" s="1"/>
      <c r="NZN63" s="1"/>
      <c r="NZO63" s="1"/>
      <c r="NZP63" s="1"/>
      <c r="NZQ63" s="1"/>
      <c r="NZR63" s="1"/>
      <c r="NZS63" s="1"/>
      <c r="NZT63" s="1"/>
      <c r="NZU63" s="1"/>
      <c r="NZV63" s="1"/>
      <c r="NZW63" s="1"/>
      <c r="NZX63" s="1"/>
      <c r="NZY63" s="1"/>
      <c r="NZZ63" s="1"/>
      <c r="OAA63" s="1"/>
      <c r="OAB63" s="1"/>
      <c r="OAC63" s="1"/>
      <c r="OAD63" s="1"/>
      <c r="OAE63" s="1"/>
      <c r="OAF63" s="1"/>
      <c r="OAG63" s="1"/>
      <c r="OAH63" s="1"/>
      <c r="OAI63" s="1"/>
      <c r="OAJ63" s="1"/>
      <c r="OAK63" s="1"/>
      <c r="OAL63" s="1"/>
      <c r="OAM63" s="1"/>
      <c r="OAN63" s="1"/>
      <c r="OAO63" s="1"/>
      <c r="OAP63" s="1"/>
      <c r="OAQ63" s="1"/>
      <c r="OAR63" s="1"/>
      <c r="OAS63" s="1"/>
      <c r="OAT63" s="1"/>
      <c r="OAU63" s="1"/>
      <c r="OAV63" s="1"/>
      <c r="OAW63" s="1"/>
      <c r="OAX63" s="1"/>
      <c r="OAY63" s="1"/>
      <c r="OAZ63" s="1"/>
      <c r="OBA63" s="1"/>
      <c r="OBB63" s="1"/>
      <c r="OBC63" s="1"/>
      <c r="OBD63" s="1"/>
      <c r="OBE63" s="1"/>
      <c r="OBF63" s="1"/>
      <c r="OBG63" s="1"/>
      <c r="OBH63" s="1"/>
      <c r="OBI63" s="1"/>
      <c r="OBJ63" s="1"/>
      <c r="OBK63" s="1"/>
      <c r="OBL63" s="1"/>
      <c r="OBM63" s="1"/>
      <c r="OBN63" s="1"/>
      <c r="OBO63" s="1"/>
      <c r="OBP63" s="1"/>
      <c r="OBQ63" s="1"/>
      <c r="OBR63" s="1"/>
      <c r="OBS63" s="1"/>
      <c r="OBT63" s="1"/>
      <c r="OBU63" s="1"/>
      <c r="OBV63" s="1"/>
      <c r="OBW63" s="1"/>
      <c r="OBX63" s="1"/>
      <c r="OBY63" s="1"/>
      <c r="OBZ63" s="1"/>
      <c r="OCA63" s="1"/>
      <c r="OCB63" s="1"/>
      <c r="OCC63" s="1"/>
      <c r="OCD63" s="1"/>
      <c r="OCE63" s="1"/>
      <c r="OCF63" s="1"/>
      <c r="OCG63" s="1"/>
      <c r="OCH63" s="1"/>
      <c r="OCI63" s="1"/>
      <c r="OCJ63" s="1"/>
      <c r="OCK63" s="1"/>
      <c r="OCL63" s="1"/>
      <c r="OCM63" s="1"/>
      <c r="OCN63" s="1"/>
      <c r="OCO63" s="1"/>
      <c r="OCP63" s="1"/>
      <c r="OCQ63" s="1"/>
      <c r="OCR63" s="1"/>
      <c r="OCS63" s="1"/>
      <c r="OCT63" s="1"/>
      <c r="OCU63" s="1"/>
      <c r="OCV63" s="1"/>
      <c r="OCW63" s="1"/>
      <c r="OCX63" s="1"/>
      <c r="OCY63" s="1"/>
      <c r="OCZ63" s="1"/>
      <c r="ODA63" s="1"/>
      <c r="ODB63" s="1"/>
      <c r="ODC63" s="1"/>
      <c r="ODD63" s="1"/>
      <c r="ODE63" s="1"/>
      <c r="ODF63" s="1"/>
      <c r="ODG63" s="1"/>
      <c r="ODH63" s="1"/>
      <c r="ODI63" s="1"/>
      <c r="ODJ63" s="1"/>
      <c r="ODK63" s="1"/>
      <c r="ODL63" s="1"/>
      <c r="ODM63" s="1"/>
      <c r="ODN63" s="1"/>
      <c r="ODO63" s="1"/>
      <c r="ODP63" s="1"/>
      <c r="ODQ63" s="1"/>
      <c r="ODR63" s="1"/>
      <c r="ODS63" s="1"/>
      <c r="ODT63" s="1"/>
      <c r="ODU63" s="1"/>
      <c r="ODV63" s="1"/>
      <c r="ODW63" s="1"/>
      <c r="ODX63" s="1"/>
      <c r="ODY63" s="1"/>
      <c r="ODZ63" s="1"/>
      <c r="OEA63" s="1"/>
      <c r="OEB63" s="1"/>
      <c r="OEC63" s="1"/>
      <c r="OED63" s="1"/>
      <c r="OEE63" s="1"/>
      <c r="OEF63" s="1"/>
      <c r="OEG63" s="1"/>
      <c r="OEH63" s="1"/>
      <c r="OEI63" s="1"/>
      <c r="OEJ63" s="1"/>
      <c r="OEK63" s="1"/>
      <c r="OEL63" s="1"/>
      <c r="OEM63" s="1"/>
      <c r="OEN63" s="1"/>
      <c r="OEO63" s="1"/>
      <c r="OEP63" s="1"/>
      <c r="OEQ63" s="1"/>
      <c r="OER63" s="1"/>
      <c r="OES63" s="1"/>
      <c r="OET63" s="1"/>
      <c r="OEU63" s="1"/>
      <c r="OEV63" s="1"/>
      <c r="OEW63" s="1"/>
      <c r="OEX63" s="1"/>
      <c r="OEY63" s="1"/>
      <c r="OEZ63" s="1"/>
      <c r="OFA63" s="1"/>
      <c r="OFB63" s="1"/>
      <c r="OFC63" s="1"/>
      <c r="OFD63" s="1"/>
      <c r="OFE63" s="1"/>
      <c r="OFF63" s="1"/>
      <c r="OFG63" s="1"/>
      <c r="OFH63" s="1"/>
      <c r="OFI63" s="1"/>
      <c r="OFJ63" s="1"/>
      <c r="OFK63" s="1"/>
      <c r="OFL63" s="1"/>
      <c r="OFM63" s="1"/>
      <c r="OFN63" s="1"/>
      <c r="OFO63" s="1"/>
      <c r="OFP63" s="1"/>
      <c r="OFQ63" s="1"/>
      <c r="OFR63" s="1"/>
      <c r="OFS63" s="1"/>
      <c r="OFT63" s="1"/>
      <c r="OFU63" s="1"/>
      <c r="OFV63" s="1"/>
      <c r="OFW63" s="1"/>
      <c r="OFX63" s="1"/>
      <c r="OFY63" s="1"/>
      <c r="OFZ63" s="1"/>
      <c r="OGA63" s="1"/>
      <c r="OGB63" s="1"/>
      <c r="OGC63" s="1"/>
      <c r="OGD63" s="1"/>
      <c r="OGE63" s="1"/>
      <c r="OGF63" s="1"/>
      <c r="OGG63" s="1"/>
      <c r="OGH63" s="1"/>
      <c r="OGI63" s="1"/>
      <c r="OGJ63" s="1"/>
      <c r="OGK63" s="1"/>
      <c r="OGL63" s="1"/>
      <c r="OGM63" s="1"/>
      <c r="OGN63" s="1"/>
      <c r="OGO63" s="1"/>
      <c r="OGP63" s="1"/>
      <c r="OGQ63" s="1"/>
      <c r="OGR63" s="1"/>
      <c r="OGS63" s="1"/>
      <c r="OGT63" s="1"/>
      <c r="OGU63" s="1"/>
      <c r="OGV63" s="1"/>
      <c r="OGW63" s="1"/>
      <c r="OGX63" s="1"/>
      <c r="OGY63" s="1"/>
      <c r="OGZ63" s="1"/>
      <c r="OHA63" s="1"/>
      <c r="OHB63" s="1"/>
      <c r="OHC63" s="1"/>
      <c r="OHD63" s="1"/>
      <c r="OHE63" s="1"/>
      <c r="OHF63" s="1"/>
      <c r="OHG63" s="1"/>
      <c r="OHH63" s="1"/>
      <c r="OHI63" s="1"/>
      <c r="OHJ63" s="1"/>
      <c r="OHK63" s="1"/>
      <c r="OHL63" s="1"/>
      <c r="OHM63" s="1"/>
      <c r="OHN63" s="1"/>
      <c r="OHO63" s="1"/>
      <c r="OHP63" s="1"/>
      <c r="OHQ63" s="1"/>
      <c r="OHR63" s="1"/>
      <c r="OHS63" s="1"/>
      <c r="OHT63" s="1"/>
      <c r="OHU63" s="1"/>
      <c r="OHV63" s="1"/>
      <c r="OHW63" s="1"/>
      <c r="OHX63" s="1"/>
      <c r="OHY63" s="1"/>
      <c r="OHZ63" s="1"/>
      <c r="OIA63" s="1"/>
      <c r="OIB63" s="1"/>
      <c r="OIC63" s="1"/>
      <c r="OID63" s="1"/>
      <c r="OIE63" s="1"/>
      <c r="OIF63" s="1"/>
      <c r="OIG63" s="1"/>
      <c r="OIH63" s="1"/>
      <c r="OII63" s="1"/>
      <c r="OIJ63" s="1"/>
      <c r="OIK63" s="1"/>
      <c r="OIL63" s="1"/>
      <c r="OIM63" s="1"/>
      <c r="OIN63" s="1"/>
      <c r="OIO63" s="1"/>
      <c r="OIP63" s="1"/>
      <c r="OIQ63" s="1"/>
      <c r="OIR63" s="1"/>
      <c r="OIS63" s="1"/>
      <c r="OIT63" s="1"/>
      <c r="OIU63" s="1"/>
      <c r="OIV63" s="1"/>
      <c r="OIW63" s="1"/>
      <c r="OIX63" s="1"/>
      <c r="OIY63" s="1"/>
      <c r="OIZ63" s="1"/>
      <c r="OJA63" s="1"/>
      <c r="OJB63" s="1"/>
      <c r="OJC63" s="1"/>
      <c r="OJD63" s="1"/>
      <c r="OJE63" s="1"/>
      <c r="OJF63" s="1"/>
      <c r="OJG63" s="1"/>
      <c r="OJH63" s="1"/>
      <c r="OJI63" s="1"/>
      <c r="OJJ63" s="1"/>
      <c r="OJK63" s="1"/>
      <c r="OJL63" s="1"/>
      <c r="OJM63" s="1"/>
      <c r="OJN63" s="1"/>
      <c r="OJO63" s="1"/>
      <c r="OJP63" s="1"/>
      <c r="OJQ63" s="1"/>
      <c r="OJR63" s="1"/>
      <c r="OJS63" s="1"/>
      <c r="OJT63" s="1"/>
      <c r="OJU63" s="1"/>
      <c r="OJV63" s="1"/>
      <c r="OJW63" s="1"/>
      <c r="OJX63" s="1"/>
      <c r="OJY63" s="1"/>
      <c r="OJZ63" s="1"/>
      <c r="OKA63" s="1"/>
      <c r="OKB63" s="1"/>
      <c r="OKC63" s="1"/>
      <c r="OKD63" s="1"/>
      <c r="OKE63" s="1"/>
      <c r="OKF63" s="1"/>
      <c r="OKG63" s="1"/>
      <c r="OKH63" s="1"/>
      <c r="OKI63" s="1"/>
      <c r="OKJ63" s="1"/>
      <c r="OKK63" s="1"/>
      <c r="OKL63" s="1"/>
      <c r="OKM63" s="1"/>
      <c r="OKN63" s="1"/>
      <c r="OKO63" s="1"/>
      <c r="OKP63" s="1"/>
      <c r="OKQ63" s="1"/>
      <c r="OKR63" s="1"/>
      <c r="OKS63" s="1"/>
      <c r="OKT63" s="1"/>
      <c r="OKU63" s="1"/>
      <c r="OKV63" s="1"/>
      <c r="OKW63" s="1"/>
      <c r="OKX63" s="1"/>
      <c r="OKY63" s="1"/>
      <c r="OKZ63" s="1"/>
      <c r="OLA63" s="1"/>
      <c r="OLB63" s="1"/>
      <c r="OLC63" s="1"/>
      <c r="OLD63" s="1"/>
      <c r="OLE63" s="1"/>
      <c r="OLF63" s="1"/>
      <c r="OLG63" s="1"/>
      <c r="OLH63" s="1"/>
      <c r="OLI63" s="1"/>
      <c r="OLJ63" s="1"/>
      <c r="OLK63" s="1"/>
      <c r="OLL63" s="1"/>
      <c r="OLM63" s="1"/>
      <c r="OLN63" s="1"/>
      <c r="OLO63" s="1"/>
      <c r="OLP63" s="1"/>
      <c r="OLQ63" s="1"/>
      <c r="OLR63" s="1"/>
      <c r="OLS63" s="1"/>
      <c r="OLT63" s="1"/>
      <c r="OLU63" s="1"/>
      <c r="OLV63" s="1"/>
      <c r="OLW63" s="1"/>
      <c r="OLX63" s="1"/>
      <c r="OLY63" s="1"/>
      <c r="OLZ63" s="1"/>
      <c r="OMA63" s="1"/>
      <c r="OMB63" s="1"/>
      <c r="OMC63" s="1"/>
      <c r="OMD63" s="1"/>
      <c r="OME63" s="1"/>
      <c r="OMF63" s="1"/>
      <c r="OMG63" s="1"/>
      <c r="OMH63" s="1"/>
      <c r="OMI63" s="1"/>
      <c r="OMJ63" s="1"/>
      <c r="OMK63" s="1"/>
      <c r="OML63" s="1"/>
      <c r="OMM63" s="1"/>
      <c r="OMN63" s="1"/>
      <c r="OMO63" s="1"/>
      <c r="OMP63" s="1"/>
      <c r="OMQ63" s="1"/>
      <c r="OMR63" s="1"/>
      <c r="OMS63" s="1"/>
      <c r="OMT63" s="1"/>
      <c r="OMU63" s="1"/>
      <c r="OMV63" s="1"/>
      <c r="OMW63" s="1"/>
      <c r="OMX63" s="1"/>
      <c r="OMY63" s="1"/>
      <c r="OMZ63" s="1"/>
      <c r="ONA63" s="1"/>
      <c r="ONB63" s="1"/>
      <c r="ONC63" s="1"/>
      <c r="OND63" s="1"/>
      <c r="ONE63" s="1"/>
      <c r="ONF63" s="1"/>
      <c r="ONG63" s="1"/>
      <c r="ONH63" s="1"/>
      <c r="ONI63" s="1"/>
      <c r="ONJ63" s="1"/>
      <c r="ONK63" s="1"/>
      <c r="ONL63" s="1"/>
      <c r="ONM63" s="1"/>
      <c r="ONN63" s="1"/>
      <c r="ONO63" s="1"/>
      <c r="ONP63" s="1"/>
      <c r="ONQ63" s="1"/>
      <c r="ONR63" s="1"/>
      <c r="ONS63" s="1"/>
      <c r="ONT63" s="1"/>
      <c r="ONU63" s="1"/>
      <c r="ONV63" s="1"/>
      <c r="ONW63" s="1"/>
      <c r="ONX63" s="1"/>
      <c r="ONY63" s="1"/>
      <c r="ONZ63" s="1"/>
      <c r="OOA63" s="1"/>
      <c r="OOB63" s="1"/>
      <c r="OOC63" s="1"/>
      <c r="OOD63" s="1"/>
      <c r="OOE63" s="1"/>
      <c r="OOF63" s="1"/>
      <c r="OOG63" s="1"/>
      <c r="OOH63" s="1"/>
      <c r="OOI63" s="1"/>
      <c r="OOJ63" s="1"/>
      <c r="OOK63" s="1"/>
      <c r="OOL63" s="1"/>
      <c r="OOM63" s="1"/>
      <c r="OON63" s="1"/>
      <c r="OOO63" s="1"/>
      <c r="OOP63" s="1"/>
      <c r="OOQ63" s="1"/>
      <c r="OOR63" s="1"/>
      <c r="OOS63" s="1"/>
      <c r="OOT63" s="1"/>
      <c r="OOU63" s="1"/>
      <c r="OOV63" s="1"/>
      <c r="OOW63" s="1"/>
      <c r="OOX63" s="1"/>
      <c r="OOY63" s="1"/>
      <c r="OOZ63" s="1"/>
      <c r="OPA63" s="1"/>
      <c r="OPB63" s="1"/>
      <c r="OPC63" s="1"/>
      <c r="OPD63" s="1"/>
      <c r="OPE63" s="1"/>
      <c r="OPF63" s="1"/>
      <c r="OPG63" s="1"/>
      <c r="OPH63" s="1"/>
      <c r="OPI63" s="1"/>
      <c r="OPJ63" s="1"/>
      <c r="OPK63" s="1"/>
      <c r="OPL63" s="1"/>
      <c r="OPM63" s="1"/>
      <c r="OPN63" s="1"/>
      <c r="OPO63" s="1"/>
      <c r="OPP63" s="1"/>
      <c r="OPQ63" s="1"/>
      <c r="OPR63" s="1"/>
      <c r="OPS63" s="1"/>
      <c r="OPT63" s="1"/>
      <c r="OPU63" s="1"/>
      <c r="OPV63" s="1"/>
      <c r="OPW63" s="1"/>
      <c r="OPX63" s="1"/>
      <c r="OPY63" s="1"/>
      <c r="OPZ63" s="1"/>
      <c r="OQA63" s="1"/>
      <c r="OQB63" s="1"/>
      <c r="OQC63" s="1"/>
      <c r="OQD63" s="1"/>
      <c r="OQE63" s="1"/>
      <c r="OQF63" s="1"/>
      <c r="OQG63" s="1"/>
      <c r="OQH63" s="1"/>
      <c r="OQI63" s="1"/>
      <c r="OQJ63" s="1"/>
      <c r="OQK63" s="1"/>
      <c r="OQL63" s="1"/>
      <c r="OQM63" s="1"/>
      <c r="OQN63" s="1"/>
      <c r="OQO63" s="1"/>
      <c r="OQP63" s="1"/>
      <c r="OQQ63" s="1"/>
      <c r="OQR63" s="1"/>
      <c r="OQS63" s="1"/>
      <c r="OQT63" s="1"/>
      <c r="OQU63" s="1"/>
      <c r="OQV63" s="1"/>
      <c r="OQW63" s="1"/>
      <c r="OQX63" s="1"/>
      <c r="OQY63" s="1"/>
      <c r="OQZ63" s="1"/>
      <c r="ORA63" s="1"/>
      <c r="ORB63" s="1"/>
      <c r="ORC63" s="1"/>
      <c r="ORD63" s="1"/>
      <c r="ORE63" s="1"/>
      <c r="ORF63" s="1"/>
      <c r="ORG63" s="1"/>
      <c r="ORH63" s="1"/>
      <c r="ORI63" s="1"/>
      <c r="ORJ63" s="1"/>
      <c r="ORK63" s="1"/>
      <c r="ORL63" s="1"/>
      <c r="ORM63" s="1"/>
      <c r="ORN63" s="1"/>
      <c r="ORO63" s="1"/>
      <c r="ORP63" s="1"/>
      <c r="ORQ63" s="1"/>
      <c r="ORR63" s="1"/>
      <c r="ORS63" s="1"/>
      <c r="ORT63" s="1"/>
      <c r="ORU63" s="1"/>
      <c r="ORV63" s="1"/>
      <c r="ORW63" s="1"/>
      <c r="ORX63" s="1"/>
      <c r="ORY63" s="1"/>
      <c r="ORZ63" s="1"/>
      <c r="OSA63" s="1"/>
      <c r="OSB63" s="1"/>
      <c r="OSC63" s="1"/>
      <c r="OSD63" s="1"/>
      <c r="OSE63" s="1"/>
      <c r="OSF63" s="1"/>
      <c r="OSG63" s="1"/>
      <c r="OSH63" s="1"/>
      <c r="OSI63" s="1"/>
      <c r="OSJ63" s="1"/>
      <c r="OSK63" s="1"/>
      <c r="OSL63" s="1"/>
      <c r="OSM63" s="1"/>
      <c r="OSN63" s="1"/>
      <c r="OSO63" s="1"/>
      <c r="OSP63" s="1"/>
      <c r="OSQ63" s="1"/>
      <c r="OSR63" s="1"/>
      <c r="OSS63" s="1"/>
      <c r="OST63" s="1"/>
      <c r="OSU63" s="1"/>
      <c r="OSV63" s="1"/>
      <c r="OSW63" s="1"/>
      <c r="OSX63" s="1"/>
      <c r="OSY63" s="1"/>
      <c r="OSZ63" s="1"/>
      <c r="OTA63" s="1"/>
      <c r="OTB63" s="1"/>
      <c r="OTC63" s="1"/>
      <c r="OTD63" s="1"/>
      <c r="OTE63" s="1"/>
      <c r="OTF63" s="1"/>
      <c r="OTG63" s="1"/>
      <c r="OTH63" s="1"/>
      <c r="OTI63" s="1"/>
      <c r="OTJ63" s="1"/>
      <c r="OTK63" s="1"/>
      <c r="OTL63" s="1"/>
      <c r="OTM63" s="1"/>
      <c r="OTN63" s="1"/>
      <c r="OTO63" s="1"/>
      <c r="OTP63" s="1"/>
      <c r="OTQ63" s="1"/>
      <c r="OTR63" s="1"/>
      <c r="OTS63" s="1"/>
      <c r="OTT63" s="1"/>
      <c r="OTU63" s="1"/>
      <c r="OTV63" s="1"/>
      <c r="OTW63" s="1"/>
      <c r="OTX63" s="1"/>
      <c r="OTY63" s="1"/>
      <c r="OTZ63" s="1"/>
      <c r="OUA63" s="1"/>
      <c r="OUB63" s="1"/>
      <c r="OUC63" s="1"/>
      <c r="OUD63" s="1"/>
      <c r="OUE63" s="1"/>
      <c r="OUF63" s="1"/>
      <c r="OUG63" s="1"/>
      <c r="OUH63" s="1"/>
      <c r="OUI63" s="1"/>
      <c r="OUJ63" s="1"/>
      <c r="OUK63" s="1"/>
      <c r="OUL63" s="1"/>
      <c r="OUM63" s="1"/>
      <c r="OUN63" s="1"/>
      <c r="OUO63" s="1"/>
      <c r="OUP63" s="1"/>
      <c r="OUQ63" s="1"/>
      <c r="OUR63" s="1"/>
      <c r="OUS63" s="1"/>
      <c r="OUT63" s="1"/>
      <c r="OUU63" s="1"/>
      <c r="OUV63" s="1"/>
      <c r="OUW63" s="1"/>
      <c r="OUX63" s="1"/>
      <c r="OUY63" s="1"/>
      <c r="OUZ63" s="1"/>
      <c r="OVA63" s="1"/>
      <c r="OVB63" s="1"/>
      <c r="OVC63" s="1"/>
      <c r="OVD63" s="1"/>
      <c r="OVE63" s="1"/>
      <c r="OVF63" s="1"/>
      <c r="OVG63" s="1"/>
      <c r="OVH63" s="1"/>
      <c r="OVI63" s="1"/>
      <c r="OVJ63" s="1"/>
      <c r="OVK63" s="1"/>
      <c r="OVL63" s="1"/>
      <c r="OVM63" s="1"/>
      <c r="OVN63" s="1"/>
      <c r="OVO63" s="1"/>
      <c r="OVP63" s="1"/>
      <c r="OVQ63" s="1"/>
      <c r="OVR63" s="1"/>
      <c r="OVS63" s="1"/>
      <c r="OVT63" s="1"/>
      <c r="OVU63" s="1"/>
      <c r="OVV63" s="1"/>
      <c r="OVW63" s="1"/>
      <c r="OVX63" s="1"/>
      <c r="OVY63" s="1"/>
      <c r="OVZ63" s="1"/>
      <c r="OWA63" s="1"/>
      <c r="OWB63" s="1"/>
      <c r="OWC63" s="1"/>
      <c r="OWD63" s="1"/>
      <c r="OWE63" s="1"/>
      <c r="OWF63" s="1"/>
      <c r="OWG63" s="1"/>
      <c r="OWH63" s="1"/>
      <c r="OWI63" s="1"/>
      <c r="OWJ63" s="1"/>
      <c r="OWK63" s="1"/>
      <c r="OWL63" s="1"/>
      <c r="OWM63" s="1"/>
      <c r="OWN63" s="1"/>
      <c r="OWO63" s="1"/>
      <c r="OWP63" s="1"/>
      <c r="OWQ63" s="1"/>
      <c r="OWR63" s="1"/>
      <c r="OWS63" s="1"/>
      <c r="OWT63" s="1"/>
      <c r="OWU63" s="1"/>
      <c r="OWV63" s="1"/>
      <c r="OWW63" s="1"/>
      <c r="OWX63" s="1"/>
      <c r="OWY63" s="1"/>
      <c r="OWZ63" s="1"/>
      <c r="OXA63" s="1"/>
      <c r="OXB63" s="1"/>
      <c r="OXC63" s="1"/>
      <c r="OXD63" s="1"/>
      <c r="OXE63" s="1"/>
      <c r="OXF63" s="1"/>
      <c r="OXG63" s="1"/>
      <c r="OXH63" s="1"/>
      <c r="OXI63" s="1"/>
      <c r="OXJ63" s="1"/>
      <c r="OXK63" s="1"/>
      <c r="OXL63" s="1"/>
      <c r="OXM63" s="1"/>
      <c r="OXN63" s="1"/>
      <c r="OXO63" s="1"/>
      <c r="OXP63" s="1"/>
      <c r="OXQ63" s="1"/>
      <c r="OXR63" s="1"/>
      <c r="OXS63" s="1"/>
      <c r="OXT63" s="1"/>
      <c r="OXU63" s="1"/>
      <c r="OXV63" s="1"/>
      <c r="OXW63" s="1"/>
      <c r="OXX63" s="1"/>
      <c r="OXY63" s="1"/>
      <c r="OXZ63" s="1"/>
      <c r="OYA63" s="1"/>
      <c r="OYB63" s="1"/>
      <c r="OYC63" s="1"/>
      <c r="OYD63" s="1"/>
      <c r="OYE63" s="1"/>
      <c r="OYF63" s="1"/>
      <c r="OYG63" s="1"/>
      <c r="OYH63" s="1"/>
      <c r="OYI63" s="1"/>
      <c r="OYJ63" s="1"/>
      <c r="OYK63" s="1"/>
      <c r="OYL63" s="1"/>
      <c r="OYM63" s="1"/>
      <c r="OYN63" s="1"/>
      <c r="OYO63" s="1"/>
      <c r="OYP63" s="1"/>
      <c r="OYQ63" s="1"/>
      <c r="OYR63" s="1"/>
      <c r="OYS63" s="1"/>
      <c r="OYT63" s="1"/>
      <c r="OYU63" s="1"/>
      <c r="OYV63" s="1"/>
      <c r="OYW63" s="1"/>
      <c r="OYX63" s="1"/>
      <c r="OYY63" s="1"/>
      <c r="OYZ63" s="1"/>
      <c r="OZA63" s="1"/>
      <c r="OZB63" s="1"/>
      <c r="OZC63" s="1"/>
      <c r="OZD63" s="1"/>
      <c r="OZE63" s="1"/>
      <c r="OZF63" s="1"/>
      <c r="OZG63" s="1"/>
      <c r="OZH63" s="1"/>
      <c r="OZI63" s="1"/>
      <c r="OZJ63" s="1"/>
      <c r="OZK63" s="1"/>
      <c r="OZL63" s="1"/>
      <c r="OZM63" s="1"/>
      <c r="OZN63" s="1"/>
      <c r="OZO63" s="1"/>
      <c r="OZP63" s="1"/>
      <c r="OZQ63" s="1"/>
      <c r="OZR63" s="1"/>
      <c r="OZS63" s="1"/>
      <c r="OZT63" s="1"/>
      <c r="OZU63" s="1"/>
      <c r="OZV63" s="1"/>
      <c r="OZW63" s="1"/>
      <c r="OZX63" s="1"/>
      <c r="OZY63" s="1"/>
      <c r="OZZ63" s="1"/>
      <c r="PAA63" s="1"/>
      <c r="PAB63" s="1"/>
      <c r="PAC63" s="1"/>
      <c r="PAD63" s="1"/>
      <c r="PAE63" s="1"/>
      <c r="PAF63" s="1"/>
      <c r="PAG63" s="1"/>
      <c r="PAH63" s="1"/>
      <c r="PAI63" s="1"/>
      <c r="PAJ63" s="1"/>
      <c r="PAK63" s="1"/>
      <c r="PAL63" s="1"/>
      <c r="PAM63" s="1"/>
      <c r="PAN63" s="1"/>
      <c r="PAO63" s="1"/>
      <c r="PAP63" s="1"/>
      <c r="PAQ63" s="1"/>
      <c r="PAR63" s="1"/>
      <c r="PAS63" s="1"/>
      <c r="PAT63" s="1"/>
      <c r="PAU63" s="1"/>
      <c r="PAV63" s="1"/>
      <c r="PAW63" s="1"/>
      <c r="PAX63" s="1"/>
      <c r="PAY63" s="1"/>
      <c r="PAZ63" s="1"/>
      <c r="PBA63" s="1"/>
      <c r="PBB63" s="1"/>
      <c r="PBC63" s="1"/>
      <c r="PBD63" s="1"/>
      <c r="PBE63" s="1"/>
      <c r="PBF63" s="1"/>
      <c r="PBG63" s="1"/>
      <c r="PBH63" s="1"/>
      <c r="PBI63" s="1"/>
      <c r="PBJ63" s="1"/>
      <c r="PBK63" s="1"/>
      <c r="PBL63" s="1"/>
      <c r="PBM63" s="1"/>
      <c r="PBN63" s="1"/>
      <c r="PBO63" s="1"/>
      <c r="PBP63" s="1"/>
      <c r="PBQ63" s="1"/>
      <c r="PBR63" s="1"/>
      <c r="PBS63" s="1"/>
      <c r="PBT63" s="1"/>
      <c r="PBU63" s="1"/>
      <c r="PBV63" s="1"/>
      <c r="PBW63" s="1"/>
      <c r="PBX63" s="1"/>
      <c r="PBY63" s="1"/>
      <c r="PBZ63" s="1"/>
      <c r="PCA63" s="1"/>
      <c r="PCB63" s="1"/>
      <c r="PCC63" s="1"/>
      <c r="PCD63" s="1"/>
      <c r="PCE63" s="1"/>
      <c r="PCF63" s="1"/>
      <c r="PCG63" s="1"/>
      <c r="PCH63" s="1"/>
      <c r="PCI63" s="1"/>
      <c r="PCJ63" s="1"/>
      <c r="PCK63" s="1"/>
      <c r="PCL63" s="1"/>
      <c r="PCM63" s="1"/>
      <c r="PCN63" s="1"/>
      <c r="PCO63" s="1"/>
      <c r="PCP63" s="1"/>
      <c r="PCQ63" s="1"/>
      <c r="PCR63" s="1"/>
      <c r="PCS63" s="1"/>
      <c r="PCT63" s="1"/>
      <c r="PCU63" s="1"/>
      <c r="PCV63" s="1"/>
      <c r="PCW63" s="1"/>
      <c r="PCX63" s="1"/>
      <c r="PCY63" s="1"/>
      <c r="PCZ63" s="1"/>
      <c r="PDA63" s="1"/>
      <c r="PDB63" s="1"/>
      <c r="PDC63" s="1"/>
      <c r="PDD63" s="1"/>
      <c r="PDE63" s="1"/>
      <c r="PDF63" s="1"/>
      <c r="PDG63" s="1"/>
      <c r="PDH63" s="1"/>
      <c r="PDI63" s="1"/>
      <c r="PDJ63" s="1"/>
      <c r="PDK63" s="1"/>
      <c r="PDL63" s="1"/>
      <c r="PDM63" s="1"/>
      <c r="PDN63" s="1"/>
      <c r="PDO63" s="1"/>
      <c r="PDP63" s="1"/>
      <c r="PDQ63" s="1"/>
      <c r="PDR63" s="1"/>
      <c r="PDS63" s="1"/>
      <c r="PDT63" s="1"/>
      <c r="PDU63" s="1"/>
      <c r="PDV63" s="1"/>
      <c r="PDW63" s="1"/>
      <c r="PDX63" s="1"/>
      <c r="PDY63" s="1"/>
      <c r="PDZ63" s="1"/>
      <c r="PEA63" s="1"/>
      <c r="PEB63" s="1"/>
      <c r="PEC63" s="1"/>
      <c r="PED63" s="1"/>
      <c r="PEE63" s="1"/>
      <c r="PEF63" s="1"/>
      <c r="PEG63" s="1"/>
      <c r="PEH63" s="1"/>
      <c r="PEI63" s="1"/>
      <c r="PEJ63" s="1"/>
      <c r="PEK63" s="1"/>
      <c r="PEL63" s="1"/>
      <c r="PEM63" s="1"/>
      <c r="PEN63" s="1"/>
      <c r="PEO63" s="1"/>
      <c r="PEP63" s="1"/>
      <c r="PEQ63" s="1"/>
      <c r="PER63" s="1"/>
      <c r="PES63" s="1"/>
      <c r="PET63" s="1"/>
      <c r="PEU63" s="1"/>
      <c r="PEV63" s="1"/>
      <c r="PEW63" s="1"/>
      <c r="PEX63" s="1"/>
      <c r="PEY63" s="1"/>
      <c r="PEZ63" s="1"/>
      <c r="PFA63" s="1"/>
      <c r="PFB63" s="1"/>
      <c r="PFC63" s="1"/>
      <c r="PFD63" s="1"/>
      <c r="PFE63" s="1"/>
      <c r="PFF63" s="1"/>
      <c r="PFG63" s="1"/>
      <c r="PFH63" s="1"/>
      <c r="PFI63" s="1"/>
      <c r="PFJ63" s="1"/>
      <c r="PFK63" s="1"/>
      <c r="PFL63" s="1"/>
      <c r="PFM63" s="1"/>
      <c r="PFN63" s="1"/>
      <c r="PFO63" s="1"/>
      <c r="PFP63" s="1"/>
      <c r="PFQ63" s="1"/>
      <c r="PFR63" s="1"/>
      <c r="PFS63" s="1"/>
      <c r="PFT63" s="1"/>
      <c r="PFU63" s="1"/>
      <c r="PFV63" s="1"/>
      <c r="PFW63" s="1"/>
      <c r="PFX63" s="1"/>
      <c r="PFY63" s="1"/>
      <c r="PFZ63" s="1"/>
      <c r="PGA63" s="1"/>
      <c r="PGB63" s="1"/>
      <c r="PGC63" s="1"/>
      <c r="PGD63" s="1"/>
      <c r="PGE63" s="1"/>
      <c r="PGF63" s="1"/>
      <c r="PGG63" s="1"/>
      <c r="PGH63" s="1"/>
      <c r="PGI63" s="1"/>
      <c r="PGJ63" s="1"/>
      <c r="PGK63" s="1"/>
      <c r="PGL63" s="1"/>
      <c r="PGM63" s="1"/>
      <c r="PGN63" s="1"/>
      <c r="PGO63" s="1"/>
      <c r="PGP63" s="1"/>
      <c r="PGQ63" s="1"/>
      <c r="PGR63" s="1"/>
      <c r="PGS63" s="1"/>
      <c r="PGT63" s="1"/>
      <c r="PGU63" s="1"/>
      <c r="PGV63" s="1"/>
      <c r="PGW63" s="1"/>
      <c r="PGX63" s="1"/>
      <c r="PGY63" s="1"/>
      <c r="PGZ63" s="1"/>
      <c r="PHA63" s="1"/>
      <c r="PHB63" s="1"/>
      <c r="PHC63" s="1"/>
      <c r="PHD63" s="1"/>
      <c r="PHE63" s="1"/>
      <c r="PHF63" s="1"/>
      <c r="PHG63" s="1"/>
      <c r="PHH63" s="1"/>
      <c r="PHI63" s="1"/>
      <c r="PHJ63" s="1"/>
      <c r="PHK63" s="1"/>
      <c r="PHL63" s="1"/>
      <c r="PHM63" s="1"/>
      <c r="PHN63" s="1"/>
      <c r="PHO63" s="1"/>
      <c r="PHP63" s="1"/>
      <c r="PHQ63" s="1"/>
      <c r="PHR63" s="1"/>
      <c r="PHS63" s="1"/>
      <c r="PHT63" s="1"/>
      <c r="PHU63" s="1"/>
      <c r="PHV63" s="1"/>
      <c r="PHW63" s="1"/>
      <c r="PHX63" s="1"/>
      <c r="PHY63" s="1"/>
      <c r="PHZ63" s="1"/>
      <c r="PIA63" s="1"/>
      <c r="PIB63" s="1"/>
      <c r="PIC63" s="1"/>
      <c r="PID63" s="1"/>
      <c r="PIE63" s="1"/>
      <c r="PIF63" s="1"/>
      <c r="PIG63" s="1"/>
      <c r="PIH63" s="1"/>
      <c r="PII63" s="1"/>
      <c r="PIJ63" s="1"/>
      <c r="PIK63" s="1"/>
      <c r="PIL63" s="1"/>
      <c r="PIM63" s="1"/>
      <c r="PIN63" s="1"/>
      <c r="PIO63" s="1"/>
      <c r="PIP63" s="1"/>
      <c r="PIQ63" s="1"/>
      <c r="PIR63" s="1"/>
      <c r="PIS63" s="1"/>
      <c r="PIT63" s="1"/>
      <c r="PIU63" s="1"/>
      <c r="PIV63" s="1"/>
      <c r="PIW63" s="1"/>
      <c r="PIX63" s="1"/>
      <c r="PIY63" s="1"/>
      <c r="PIZ63" s="1"/>
      <c r="PJA63" s="1"/>
      <c r="PJB63" s="1"/>
      <c r="PJC63" s="1"/>
      <c r="PJD63" s="1"/>
      <c r="PJE63" s="1"/>
      <c r="PJF63" s="1"/>
      <c r="PJG63" s="1"/>
      <c r="PJH63" s="1"/>
      <c r="PJI63" s="1"/>
      <c r="PJJ63" s="1"/>
      <c r="PJK63" s="1"/>
      <c r="PJL63" s="1"/>
      <c r="PJM63" s="1"/>
      <c r="PJN63" s="1"/>
      <c r="PJO63" s="1"/>
      <c r="PJP63" s="1"/>
      <c r="PJQ63" s="1"/>
      <c r="PJR63" s="1"/>
      <c r="PJS63" s="1"/>
      <c r="PJT63" s="1"/>
      <c r="PJU63" s="1"/>
      <c r="PJV63" s="1"/>
      <c r="PJW63" s="1"/>
      <c r="PJX63" s="1"/>
      <c r="PJY63" s="1"/>
      <c r="PJZ63" s="1"/>
      <c r="PKA63" s="1"/>
      <c r="PKB63" s="1"/>
      <c r="PKC63" s="1"/>
      <c r="PKD63" s="1"/>
      <c r="PKE63" s="1"/>
      <c r="PKF63" s="1"/>
      <c r="PKG63" s="1"/>
      <c r="PKH63" s="1"/>
      <c r="PKI63" s="1"/>
      <c r="PKJ63" s="1"/>
      <c r="PKK63" s="1"/>
      <c r="PKL63" s="1"/>
      <c r="PKM63" s="1"/>
      <c r="PKN63" s="1"/>
      <c r="PKO63" s="1"/>
      <c r="PKP63" s="1"/>
      <c r="PKQ63" s="1"/>
      <c r="PKR63" s="1"/>
      <c r="PKS63" s="1"/>
      <c r="PKT63" s="1"/>
      <c r="PKU63" s="1"/>
      <c r="PKV63" s="1"/>
      <c r="PKW63" s="1"/>
      <c r="PKX63" s="1"/>
      <c r="PKY63" s="1"/>
      <c r="PKZ63" s="1"/>
      <c r="PLA63" s="1"/>
      <c r="PLB63" s="1"/>
      <c r="PLC63" s="1"/>
      <c r="PLD63" s="1"/>
      <c r="PLE63" s="1"/>
      <c r="PLF63" s="1"/>
      <c r="PLG63" s="1"/>
      <c r="PLH63" s="1"/>
      <c r="PLI63" s="1"/>
      <c r="PLJ63" s="1"/>
      <c r="PLK63" s="1"/>
      <c r="PLL63" s="1"/>
      <c r="PLM63" s="1"/>
      <c r="PLN63" s="1"/>
      <c r="PLO63" s="1"/>
      <c r="PLP63" s="1"/>
      <c r="PLQ63" s="1"/>
      <c r="PLR63" s="1"/>
      <c r="PLS63" s="1"/>
      <c r="PLT63" s="1"/>
      <c r="PLU63" s="1"/>
      <c r="PLV63" s="1"/>
      <c r="PLW63" s="1"/>
      <c r="PLX63" s="1"/>
      <c r="PLY63" s="1"/>
      <c r="PLZ63" s="1"/>
      <c r="PMA63" s="1"/>
      <c r="PMB63" s="1"/>
      <c r="PMC63" s="1"/>
      <c r="PMD63" s="1"/>
      <c r="PME63" s="1"/>
      <c r="PMF63" s="1"/>
      <c r="PMG63" s="1"/>
      <c r="PMH63" s="1"/>
      <c r="PMI63" s="1"/>
      <c r="PMJ63" s="1"/>
      <c r="PMK63" s="1"/>
      <c r="PML63" s="1"/>
      <c r="PMM63" s="1"/>
      <c r="PMN63" s="1"/>
      <c r="PMO63" s="1"/>
      <c r="PMP63" s="1"/>
      <c r="PMQ63" s="1"/>
      <c r="PMR63" s="1"/>
      <c r="PMS63" s="1"/>
      <c r="PMT63" s="1"/>
      <c r="PMU63" s="1"/>
      <c r="PMV63" s="1"/>
      <c r="PMW63" s="1"/>
      <c r="PMX63" s="1"/>
      <c r="PMY63" s="1"/>
      <c r="PMZ63" s="1"/>
      <c r="PNA63" s="1"/>
      <c r="PNB63" s="1"/>
      <c r="PNC63" s="1"/>
      <c r="PND63" s="1"/>
      <c r="PNE63" s="1"/>
      <c r="PNF63" s="1"/>
      <c r="PNG63" s="1"/>
      <c r="PNH63" s="1"/>
      <c r="PNI63" s="1"/>
      <c r="PNJ63" s="1"/>
      <c r="PNK63" s="1"/>
      <c r="PNL63" s="1"/>
      <c r="PNM63" s="1"/>
      <c r="PNN63" s="1"/>
      <c r="PNO63" s="1"/>
      <c r="PNP63" s="1"/>
      <c r="PNQ63" s="1"/>
      <c r="PNR63" s="1"/>
      <c r="PNS63" s="1"/>
      <c r="PNT63" s="1"/>
      <c r="PNU63" s="1"/>
      <c r="PNV63" s="1"/>
      <c r="PNW63" s="1"/>
      <c r="PNX63" s="1"/>
      <c r="PNY63" s="1"/>
      <c r="PNZ63" s="1"/>
      <c r="POA63" s="1"/>
      <c r="POB63" s="1"/>
      <c r="POC63" s="1"/>
      <c r="POD63" s="1"/>
      <c r="POE63" s="1"/>
      <c r="POF63" s="1"/>
      <c r="POG63" s="1"/>
      <c r="POH63" s="1"/>
      <c r="POI63" s="1"/>
      <c r="POJ63" s="1"/>
      <c r="POK63" s="1"/>
      <c r="POL63" s="1"/>
      <c r="POM63" s="1"/>
      <c r="PON63" s="1"/>
      <c r="POO63" s="1"/>
      <c r="POP63" s="1"/>
      <c r="POQ63" s="1"/>
      <c r="POR63" s="1"/>
      <c r="POS63" s="1"/>
      <c r="POT63" s="1"/>
      <c r="POU63" s="1"/>
      <c r="POV63" s="1"/>
      <c r="POW63" s="1"/>
      <c r="POX63" s="1"/>
      <c r="POY63" s="1"/>
      <c r="POZ63" s="1"/>
      <c r="PPA63" s="1"/>
      <c r="PPB63" s="1"/>
      <c r="PPC63" s="1"/>
      <c r="PPD63" s="1"/>
      <c r="PPE63" s="1"/>
      <c r="PPF63" s="1"/>
      <c r="PPG63" s="1"/>
      <c r="PPH63" s="1"/>
      <c r="PPI63" s="1"/>
      <c r="PPJ63" s="1"/>
      <c r="PPK63" s="1"/>
      <c r="PPL63" s="1"/>
      <c r="PPM63" s="1"/>
      <c r="PPN63" s="1"/>
      <c r="PPO63" s="1"/>
      <c r="PPP63" s="1"/>
      <c r="PPQ63" s="1"/>
      <c r="PPR63" s="1"/>
      <c r="PPS63" s="1"/>
      <c r="PPT63" s="1"/>
      <c r="PPU63" s="1"/>
      <c r="PPV63" s="1"/>
      <c r="PPW63" s="1"/>
      <c r="PPX63" s="1"/>
      <c r="PPY63" s="1"/>
      <c r="PPZ63" s="1"/>
      <c r="PQA63" s="1"/>
      <c r="PQB63" s="1"/>
      <c r="PQC63" s="1"/>
      <c r="PQD63" s="1"/>
      <c r="PQE63" s="1"/>
      <c r="PQF63" s="1"/>
      <c r="PQG63" s="1"/>
      <c r="PQH63" s="1"/>
      <c r="PQI63" s="1"/>
      <c r="PQJ63" s="1"/>
      <c r="PQK63" s="1"/>
      <c r="PQL63" s="1"/>
      <c r="PQM63" s="1"/>
      <c r="PQN63" s="1"/>
      <c r="PQO63" s="1"/>
      <c r="PQP63" s="1"/>
      <c r="PQQ63" s="1"/>
      <c r="PQR63" s="1"/>
      <c r="PQS63" s="1"/>
      <c r="PQT63" s="1"/>
      <c r="PQU63" s="1"/>
      <c r="PQV63" s="1"/>
      <c r="PQW63" s="1"/>
      <c r="PQX63" s="1"/>
      <c r="PQY63" s="1"/>
      <c r="PQZ63" s="1"/>
      <c r="PRA63" s="1"/>
      <c r="PRB63" s="1"/>
      <c r="PRC63" s="1"/>
      <c r="PRD63" s="1"/>
      <c r="PRE63" s="1"/>
      <c r="PRF63" s="1"/>
      <c r="PRG63" s="1"/>
      <c r="PRH63" s="1"/>
      <c r="PRI63" s="1"/>
      <c r="PRJ63" s="1"/>
      <c r="PRK63" s="1"/>
      <c r="PRL63" s="1"/>
      <c r="PRM63" s="1"/>
      <c r="PRN63" s="1"/>
      <c r="PRO63" s="1"/>
      <c r="PRP63" s="1"/>
      <c r="PRQ63" s="1"/>
      <c r="PRR63" s="1"/>
      <c r="PRS63" s="1"/>
      <c r="PRT63" s="1"/>
      <c r="PRU63" s="1"/>
      <c r="PRV63" s="1"/>
      <c r="PRW63" s="1"/>
      <c r="PRX63" s="1"/>
      <c r="PRY63" s="1"/>
      <c r="PRZ63" s="1"/>
      <c r="PSA63" s="1"/>
      <c r="PSB63" s="1"/>
      <c r="PSC63" s="1"/>
      <c r="PSD63" s="1"/>
      <c r="PSE63" s="1"/>
      <c r="PSF63" s="1"/>
      <c r="PSG63" s="1"/>
      <c r="PSH63" s="1"/>
      <c r="PSI63" s="1"/>
      <c r="PSJ63" s="1"/>
      <c r="PSK63" s="1"/>
      <c r="PSL63" s="1"/>
      <c r="PSM63" s="1"/>
      <c r="PSN63" s="1"/>
      <c r="PSO63" s="1"/>
      <c r="PSP63" s="1"/>
      <c r="PSQ63" s="1"/>
      <c r="PSR63" s="1"/>
      <c r="PSS63" s="1"/>
      <c r="PST63" s="1"/>
      <c r="PSU63" s="1"/>
      <c r="PSV63" s="1"/>
      <c r="PSW63" s="1"/>
      <c r="PSX63" s="1"/>
      <c r="PSY63" s="1"/>
      <c r="PSZ63" s="1"/>
      <c r="PTA63" s="1"/>
      <c r="PTB63" s="1"/>
      <c r="PTC63" s="1"/>
      <c r="PTD63" s="1"/>
      <c r="PTE63" s="1"/>
      <c r="PTF63" s="1"/>
      <c r="PTG63" s="1"/>
      <c r="PTH63" s="1"/>
      <c r="PTI63" s="1"/>
      <c r="PTJ63" s="1"/>
      <c r="PTK63" s="1"/>
      <c r="PTL63" s="1"/>
      <c r="PTM63" s="1"/>
      <c r="PTN63" s="1"/>
      <c r="PTO63" s="1"/>
      <c r="PTP63" s="1"/>
      <c r="PTQ63" s="1"/>
      <c r="PTR63" s="1"/>
      <c r="PTS63" s="1"/>
      <c r="PTT63" s="1"/>
      <c r="PTU63" s="1"/>
      <c r="PTV63" s="1"/>
      <c r="PTW63" s="1"/>
      <c r="PTX63" s="1"/>
      <c r="PTY63" s="1"/>
      <c r="PTZ63" s="1"/>
      <c r="PUA63" s="1"/>
      <c r="PUB63" s="1"/>
      <c r="PUC63" s="1"/>
      <c r="PUD63" s="1"/>
      <c r="PUE63" s="1"/>
      <c r="PUF63" s="1"/>
      <c r="PUG63" s="1"/>
      <c r="PUH63" s="1"/>
      <c r="PUI63" s="1"/>
      <c r="PUJ63" s="1"/>
      <c r="PUK63" s="1"/>
      <c r="PUL63" s="1"/>
      <c r="PUM63" s="1"/>
      <c r="PUN63" s="1"/>
      <c r="PUO63" s="1"/>
      <c r="PUP63" s="1"/>
      <c r="PUQ63" s="1"/>
      <c r="PUR63" s="1"/>
      <c r="PUS63" s="1"/>
      <c r="PUT63" s="1"/>
      <c r="PUU63" s="1"/>
      <c r="PUV63" s="1"/>
      <c r="PUW63" s="1"/>
      <c r="PUX63" s="1"/>
      <c r="PUY63" s="1"/>
      <c r="PUZ63" s="1"/>
      <c r="PVA63" s="1"/>
      <c r="PVB63" s="1"/>
      <c r="PVC63" s="1"/>
      <c r="PVD63" s="1"/>
      <c r="PVE63" s="1"/>
      <c r="PVF63" s="1"/>
      <c r="PVG63" s="1"/>
      <c r="PVH63" s="1"/>
      <c r="PVI63" s="1"/>
      <c r="PVJ63" s="1"/>
      <c r="PVK63" s="1"/>
      <c r="PVL63" s="1"/>
      <c r="PVM63" s="1"/>
      <c r="PVN63" s="1"/>
      <c r="PVO63" s="1"/>
      <c r="PVP63" s="1"/>
      <c r="PVQ63" s="1"/>
      <c r="PVR63" s="1"/>
      <c r="PVS63" s="1"/>
      <c r="PVT63" s="1"/>
      <c r="PVU63" s="1"/>
      <c r="PVV63" s="1"/>
      <c r="PVW63" s="1"/>
      <c r="PVX63" s="1"/>
      <c r="PVY63" s="1"/>
      <c r="PVZ63" s="1"/>
      <c r="PWA63" s="1"/>
      <c r="PWB63" s="1"/>
      <c r="PWC63" s="1"/>
      <c r="PWD63" s="1"/>
      <c r="PWE63" s="1"/>
      <c r="PWF63" s="1"/>
      <c r="PWG63" s="1"/>
      <c r="PWH63" s="1"/>
      <c r="PWI63" s="1"/>
      <c r="PWJ63" s="1"/>
      <c r="PWK63" s="1"/>
      <c r="PWL63" s="1"/>
      <c r="PWM63" s="1"/>
      <c r="PWN63" s="1"/>
      <c r="PWO63" s="1"/>
      <c r="PWP63" s="1"/>
      <c r="PWQ63" s="1"/>
      <c r="PWR63" s="1"/>
      <c r="PWS63" s="1"/>
      <c r="PWT63" s="1"/>
      <c r="PWU63" s="1"/>
      <c r="PWV63" s="1"/>
      <c r="PWW63" s="1"/>
      <c r="PWX63" s="1"/>
      <c r="PWY63" s="1"/>
      <c r="PWZ63" s="1"/>
      <c r="PXA63" s="1"/>
      <c r="PXB63" s="1"/>
      <c r="PXC63" s="1"/>
      <c r="PXD63" s="1"/>
      <c r="PXE63" s="1"/>
      <c r="PXF63" s="1"/>
      <c r="PXG63" s="1"/>
      <c r="PXH63" s="1"/>
      <c r="PXI63" s="1"/>
      <c r="PXJ63" s="1"/>
      <c r="PXK63" s="1"/>
      <c r="PXL63" s="1"/>
      <c r="PXM63" s="1"/>
      <c r="PXN63" s="1"/>
      <c r="PXO63" s="1"/>
      <c r="PXP63" s="1"/>
      <c r="PXQ63" s="1"/>
      <c r="PXR63" s="1"/>
      <c r="PXS63" s="1"/>
      <c r="PXT63" s="1"/>
      <c r="PXU63" s="1"/>
      <c r="PXV63" s="1"/>
      <c r="PXW63" s="1"/>
      <c r="PXX63" s="1"/>
      <c r="PXY63" s="1"/>
      <c r="PXZ63" s="1"/>
      <c r="PYA63" s="1"/>
      <c r="PYB63" s="1"/>
      <c r="PYC63" s="1"/>
      <c r="PYD63" s="1"/>
      <c r="PYE63" s="1"/>
      <c r="PYF63" s="1"/>
      <c r="PYG63" s="1"/>
      <c r="PYH63" s="1"/>
      <c r="PYI63" s="1"/>
      <c r="PYJ63" s="1"/>
      <c r="PYK63" s="1"/>
      <c r="PYL63" s="1"/>
      <c r="PYM63" s="1"/>
      <c r="PYN63" s="1"/>
      <c r="PYO63" s="1"/>
      <c r="PYP63" s="1"/>
      <c r="PYQ63" s="1"/>
      <c r="PYR63" s="1"/>
      <c r="PYS63" s="1"/>
      <c r="PYT63" s="1"/>
      <c r="PYU63" s="1"/>
      <c r="PYV63" s="1"/>
      <c r="PYW63" s="1"/>
      <c r="PYX63" s="1"/>
      <c r="PYY63" s="1"/>
      <c r="PYZ63" s="1"/>
      <c r="PZA63" s="1"/>
      <c r="PZB63" s="1"/>
      <c r="PZC63" s="1"/>
      <c r="PZD63" s="1"/>
      <c r="PZE63" s="1"/>
      <c r="PZF63" s="1"/>
      <c r="PZG63" s="1"/>
      <c r="PZH63" s="1"/>
      <c r="PZI63" s="1"/>
      <c r="PZJ63" s="1"/>
      <c r="PZK63" s="1"/>
      <c r="PZL63" s="1"/>
      <c r="PZM63" s="1"/>
      <c r="PZN63" s="1"/>
      <c r="PZO63" s="1"/>
      <c r="PZP63" s="1"/>
      <c r="PZQ63" s="1"/>
      <c r="PZR63" s="1"/>
      <c r="PZS63" s="1"/>
      <c r="PZT63" s="1"/>
      <c r="PZU63" s="1"/>
      <c r="PZV63" s="1"/>
      <c r="PZW63" s="1"/>
      <c r="PZX63" s="1"/>
      <c r="PZY63" s="1"/>
      <c r="PZZ63" s="1"/>
      <c r="QAA63" s="1"/>
      <c r="QAB63" s="1"/>
      <c r="QAC63" s="1"/>
      <c r="QAD63" s="1"/>
      <c r="QAE63" s="1"/>
      <c r="QAF63" s="1"/>
      <c r="QAG63" s="1"/>
      <c r="QAH63" s="1"/>
      <c r="QAI63" s="1"/>
      <c r="QAJ63" s="1"/>
      <c r="QAK63" s="1"/>
      <c r="QAL63" s="1"/>
      <c r="QAM63" s="1"/>
      <c r="QAN63" s="1"/>
      <c r="QAO63" s="1"/>
      <c r="QAP63" s="1"/>
      <c r="QAQ63" s="1"/>
      <c r="QAR63" s="1"/>
      <c r="QAS63" s="1"/>
      <c r="QAT63" s="1"/>
      <c r="QAU63" s="1"/>
      <c r="QAV63" s="1"/>
      <c r="QAW63" s="1"/>
      <c r="QAX63" s="1"/>
      <c r="QAY63" s="1"/>
      <c r="QAZ63" s="1"/>
      <c r="QBA63" s="1"/>
      <c r="QBB63" s="1"/>
      <c r="QBC63" s="1"/>
      <c r="QBD63" s="1"/>
      <c r="QBE63" s="1"/>
      <c r="QBF63" s="1"/>
      <c r="QBG63" s="1"/>
      <c r="QBH63" s="1"/>
      <c r="QBI63" s="1"/>
      <c r="QBJ63" s="1"/>
      <c r="QBK63" s="1"/>
      <c r="QBL63" s="1"/>
      <c r="QBM63" s="1"/>
      <c r="QBN63" s="1"/>
      <c r="QBO63" s="1"/>
      <c r="QBP63" s="1"/>
      <c r="QBQ63" s="1"/>
      <c r="QBR63" s="1"/>
      <c r="QBS63" s="1"/>
      <c r="QBT63" s="1"/>
      <c r="QBU63" s="1"/>
      <c r="QBV63" s="1"/>
      <c r="QBW63" s="1"/>
      <c r="QBX63" s="1"/>
      <c r="QBY63" s="1"/>
      <c r="QBZ63" s="1"/>
      <c r="QCA63" s="1"/>
      <c r="QCB63" s="1"/>
      <c r="QCC63" s="1"/>
      <c r="QCD63" s="1"/>
      <c r="QCE63" s="1"/>
      <c r="QCF63" s="1"/>
      <c r="QCG63" s="1"/>
      <c r="QCH63" s="1"/>
      <c r="QCI63" s="1"/>
      <c r="QCJ63" s="1"/>
      <c r="QCK63" s="1"/>
      <c r="QCL63" s="1"/>
      <c r="QCM63" s="1"/>
      <c r="QCN63" s="1"/>
      <c r="QCO63" s="1"/>
      <c r="QCP63" s="1"/>
      <c r="QCQ63" s="1"/>
      <c r="QCR63" s="1"/>
      <c r="QCS63" s="1"/>
      <c r="QCT63" s="1"/>
      <c r="QCU63" s="1"/>
      <c r="QCV63" s="1"/>
      <c r="QCW63" s="1"/>
      <c r="QCX63" s="1"/>
      <c r="QCY63" s="1"/>
      <c r="QCZ63" s="1"/>
      <c r="QDA63" s="1"/>
      <c r="QDB63" s="1"/>
      <c r="QDC63" s="1"/>
      <c r="QDD63" s="1"/>
      <c r="QDE63" s="1"/>
      <c r="QDF63" s="1"/>
      <c r="QDG63" s="1"/>
      <c r="QDH63" s="1"/>
      <c r="QDI63" s="1"/>
      <c r="QDJ63" s="1"/>
      <c r="QDK63" s="1"/>
      <c r="QDL63" s="1"/>
      <c r="QDM63" s="1"/>
      <c r="QDN63" s="1"/>
      <c r="QDO63" s="1"/>
      <c r="QDP63" s="1"/>
      <c r="QDQ63" s="1"/>
      <c r="QDR63" s="1"/>
      <c r="QDS63" s="1"/>
      <c r="QDT63" s="1"/>
      <c r="QDU63" s="1"/>
      <c r="QDV63" s="1"/>
      <c r="QDW63" s="1"/>
      <c r="QDX63" s="1"/>
      <c r="QDY63" s="1"/>
      <c r="QDZ63" s="1"/>
      <c r="QEA63" s="1"/>
      <c r="QEB63" s="1"/>
      <c r="QEC63" s="1"/>
      <c r="QED63" s="1"/>
      <c r="QEE63" s="1"/>
      <c r="QEF63" s="1"/>
      <c r="QEG63" s="1"/>
      <c r="QEH63" s="1"/>
      <c r="QEI63" s="1"/>
      <c r="QEJ63" s="1"/>
      <c r="QEK63" s="1"/>
      <c r="QEL63" s="1"/>
      <c r="QEM63" s="1"/>
      <c r="QEN63" s="1"/>
      <c r="QEO63" s="1"/>
      <c r="QEP63" s="1"/>
      <c r="QEQ63" s="1"/>
      <c r="QER63" s="1"/>
      <c r="QES63" s="1"/>
      <c r="QET63" s="1"/>
      <c r="QEU63" s="1"/>
      <c r="QEV63" s="1"/>
      <c r="QEW63" s="1"/>
      <c r="QEX63" s="1"/>
      <c r="QEY63" s="1"/>
      <c r="QEZ63" s="1"/>
      <c r="QFA63" s="1"/>
      <c r="QFB63" s="1"/>
      <c r="QFC63" s="1"/>
      <c r="QFD63" s="1"/>
      <c r="QFE63" s="1"/>
      <c r="QFF63" s="1"/>
      <c r="QFG63" s="1"/>
      <c r="QFH63" s="1"/>
      <c r="QFI63" s="1"/>
      <c r="QFJ63" s="1"/>
      <c r="QFK63" s="1"/>
      <c r="QFL63" s="1"/>
      <c r="QFM63" s="1"/>
      <c r="QFN63" s="1"/>
      <c r="QFO63" s="1"/>
      <c r="QFP63" s="1"/>
      <c r="QFQ63" s="1"/>
      <c r="QFR63" s="1"/>
      <c r="QFS63" s="1"/>
      <c r="QFT63" s="1"/>
      <c r="QFU63" s="1"/>
      <c r="QFV63" s="1"/>
      <c r="QFW63" s="1"/>
      <c r="QFX63" s="1"/>
      <c r="QFY63" s="1"/>
      <c r="QFZ63" s="1"/>
      <c r="QGA63" s="1"/>
      <c r="QGB63" s="1"/>
      <c r="QGC63" s="1"/>
      <c r="QGD63" s="1"/>
      <c r="QGE63" s="1"/>
      <c r="QGF63" s="1"/>
      <c r="QGG63" s="1"/>
      <c r="QGH63" s="1"/>
      <c r="QGI63" s="1"/>
      <c r="QGJ63" s="1"/>
      <c r="QGK63" s="1"/>
      <c r="QGL63" s="1"/>
      <c r="QGM63" s="1"/>
      <c r="QGN63" s="1"/>
      <c r="QGO63" s="1"/>
      <c r="QGP63" s="1"/>
      <c r="QGQ63" s="1"/>
      <c r="QGR63" s="1"/>
      <c r="QGS63" s="1"/>
      <c r="QGT63" s="1"/>
      <c r="QGU63" s="1"/>
      <c r="QGV63" s="1"/>
      <c r="QGW63" s="1"/>
      <c r="QGX63" s="1"/>
      <c r="QGY63" s="1"/>
      <c r="QGZ63" s="1"/>
      <c r="QHA63" s="1"/>
      <c r="QHB63" s="1"/>
      <c r="QHC63" s="1"/>
      <c r="QHD63" s="1"/>
      <c r="QHE63" s="1"/>
      <c r="QHF63" s="1"/>
      <c r="QHG63" s="1"/>
      <c r="QHH63" s="1"/>
      <c r="QHI63" s="1"/>
      <c r="QHJ63" s="1"/>
      <c r="QHK63" s="1"/>
      <c r="QHL63" s="1"/>
      <c r="QHM63" s="1"/>
      <c r="QHN63" s="1"/>
      <c r="QHO63" s="1"/>
      <c r="QHP63" s="1"/>
      <c r="QHQ63" s="1"/>
      <c r="QHR63" s="1"/>
      <c r="QHS63" s="1"/>
      <c r="QHT63" s="1"/>
      <c r="QHU63" s="1"/>
      <c r="QHV63" s="1"/>
      <c r="QHW63" s="1"/>
      <c r="QHX63" s="1"/>
      <c r="QHY63" s="1"/>
      <c r="QHZ63" s="1"/>
      <c r="QIA63" s="1"/>
      <c r="QIB63" s="1"/>
      <c r="QIC63" s="1"/>
      <c r="QID63" s="1"/>
      <c r="QIE63" s="1"/>
      <c r="QIF63" s="1"/>
      <c r="QIG63" s="1"/>
      <c r="QIH63" s="1"/>
      <c r="QII63" s="1"/>
      <c r="QIJ63" s="1"/>
      <c r="QIK63" s="1"/>
      <c r="QIL63" s="1"/>
      <c r="QIM63" s="1"/>
      <c r="QIN63" s="1"/>
      <c r="QIO63" s="1"/>
      <c r="QIP63" s="1"/>
      <c r="QIQ63" s="1"/>
      <c r="QIR63" s="1"/>
      <c r="QIS63" s="1"/>
      <c r="QIT63" s="1"/>
      <c r="QIU63" s="1"/>
      <c r="QIV63" s="1"/>
      <c r="QIW63" s="1"/>
      <c r="QIX63" s="1"/>
      <c r="QIY63" s="1"/>
      <c r="QIZ63" s="1"/>
      <c r="QJA63" s="1"/>
      <c r="QJB63" s="1"/>
      <c r="QJC63" s="1"/>
      <c r="QJD63" s="1"/>
      <c r="QJE63" s="1"/>
      <c r="QJF63" s="1"/>
      <c r="QJG63" s="1"/>
      <c r="QJH63" s="1"/>
      <c r="QJI63" s="1"/>
      <c r="QJJ63" s="1"/>
      <c r="QJK63" s="1"/>
      <c r="QJL63" s="1"/>
      <c r="QJM63" s="1"/>
      <c r="QJN63" s="1"/>
      <c r="QJO63" s="1"/>
      <c r="QJP63" s="1"/>
      <c r="QJQ63" s="1"/>
      <c r="QJR63" s="1"/>
      <c r="QJS63" s="1"/>
      <c r="QJT63" s="1"/>
      <c r="QJU63" s="1"/>
      <c r="QJV63" s="1"/>
      <c r="QJW63" s="1"/>
      <c r="QJX63" s="1"/>
      <c r="QJY63" s="1"/>
      <c r="QJZ63" s="1"/>
      <c r="QKA63" s="1"/>
      <c r="QKB63" s="1"/>
      <c r="QKC63" s="1"/>
      <c r="QKD63" s="1"/>
      <c r="QKE63" s="1"/>
      <c r="QKF63" s="1"/>
      <c r="QKG63" s="1"/>
      <c r="QKH63" s="1"/>
      <c r="QKI63" s="1"/>
      <c r="QKJ63" s="1"/>
      <c r="QKK63" s="1"/>
      <c r="QKL63" s="1"/>
      <c r="QKM63" s="1"/>
      <c r="QKN63" s="1"/>
      <c r="QKO63" s="1"/>
      <c r="QKP63" s="1"/>
      <c r="QKQ63" s="1"/>
      <c r="QKR63" s="1"/>
      <c r="QKS63" s="1"/>
      <c r="QKT63" s="1"/>
      <c r="QKU63" s="1"/>
      <c r="QKV63" s="1"/>
      <c r="QKW63" s="1"/>
      <c r="QKX63" s="1"/>
      <c r="QKY63" s="1"/>
      <c r="QKZ63" s="1"/>
      <c r="QLA63" s="1"/>
      <c r="QLB63" s="1"/>
      <c r="QLC63" s="1"/>
      <c r="QLD63" s="1"/>
      <c r="QLE63" s="1"/>
      <c r="QLF63" s="1"/>
      <c r="QLG63" s="1"/>
      <c r="QLH63" s="1"/>
      <c r="QLI63" s="1"/>
      <c r="QLJ63" s="1"/>
      <c r="QLK63" s="1"/>
      <c r="QLL63" s="1"/>
      <c r="QLM63" s="1"/>
      <c r="QLN63" s="1"/>
      <c r="QLO63" s="1"/>
      <c r="QLP63" s="1"/>
      <c r="QLQ63" s="1"/>
      <c r="QLR63" s="1"/>
      <c r="QLS63" s="1"/>
      <c r="QLT63" s="1"/>
      <c r="QLU63" s="1"/>
      <c r="QLV63" s="1"/>
      <c r="QLW63" s="1"/>
      <c r="QLX63" s="1"/>
      <c r="QLY63" s="1"/>
      <c r="QLZ63" s="1"/>
      <c r="QMA63" s="1"/>
      <c r="QMB63" s="1"/>
      <c r="QMC63" s="1"/>
      <c r="QMD63" s="1"/>
      <c r="QME63" s="1"/>
      <c r="QMF63" s="1"/>
      <c r="QMG63" s="1"/>
      <c r="QMH63" s="1"/>
      <c r="QMI63" s="1"/>
      <c r="QMJ63" s="1"/>
      <c r="QMK63" s="1"/>
      <c r="QML63" s="1"/>
      <c r="QMM63" s="1"/>
      <c r="QMN63" s="1"/>
      <c r="QMO63" s="1"/>
      <c r="QMP63" s="1"/>
      <c r="QMQ63" s="1"/>
      <c r="QMR63" s="1"/>
      <c r="QMS63" s="1"/>
      <c r="QMT63" s="1"/>
      <c r="QMU63" s="1"/>
      <c r="QMV63" s="1"/>
      <c r="QMW63" s="1"/>
      <c r="QMX63" s="1"/>
      <c r="QMY63" s="1"/>
      <c r="QMZ63" s="1"/>
      <c r="QNA63" s="1"/>
      <c r="QNB63" s="1"/>
      <c r="QNC63" s="1"/>
      <c r="QND63" s="1"/>
      <c r="QNE63" s="1"/>
      <c r="QNF63" s="1"/>
      <c r="QNG63" s="1"/>
      <c r="QNH63" s="1"/>
      <c r="QNI63" s="1"/>
      <c r="QNJ63" s="1"/>
      <c r="QNK63" s="1"/>
      <c r="QNL63" s="1"/>
      <c r="QNM63" s="1"/>
      <c r="QNN63" s="1"/>
      <c r="QNO63" s="1"/>
      <c r="QNP63" s="1"/>
      <c r="QNQ63" s="1"/>
      <c r="QNR63" s="1"/>
      <c r="QNS63" s="1"/>
      <c r="QNT63" s="1"/>
      <c r="QNU63" s="1"/>
      <c r="QNV63" s="1"/>
      <c r="QNW63" s="1"/>
      <c r="QNX63" s="1"/>
      <c r="QNY63" s="1"/>
      <c r="QNZ63" s="1"/>
      <c r="QOA63" s="1"/>
      <c r="QOB63" s="1"/>
      <c r="QOC63" s="1"/>
      <c r="QOD63" s="1"/>
      <c r="QOE63" s="1"/>
      <c r="QOF63" s="1"/>
      <c r="QOG63" s="1"/>
      <c r="QOH63" s="1"/>
      <c r="QOI63" s="1"/>
      <c r="QOJ63" s="1"/>
      <c r="QOK63" s="1"/>
      <c r="QOL63" s="1"/>
      <c r="QOM63" s="1"/>
      <c r="QON63" s="1"/>
      <c r="QOO63" s="1"/>
      <c r="QOP63" s="1"/>
      <c r="QOQ63" s="1"/>
      <c r="QOR63" s="1"/>
      <c r="QOS63" s="1"/>
      <c r="QOT63" s="1"/>
      <c r="QOU63" s="1"/>
      <c r="QOV63" s="1"/>
      <c r="QOW63" s="1"/>
      <c r="QOX63" s="1"/>
      <c r="QOY63" s="1"/>
      <c r="QOZ63" s="1"/>
      <c r="QPA63" s="1"/>
      <c r="QPB63" s="1"/>
      <c r="QPC63" s="1"/>
      <c r="QPD63" s="1"/>
      <c r="QPE63" s="1"/>
      <c r="QPF63" s="1"/>
      <c r="QPG63" s="1"/>
      <c r="QPH63" s="1"/>
      <c r="QPI63" s="1"/>
      <c r="QPJ63" s="1"/>
      <c r="QPK63" s="1"/>
      <c r="QPL63" s="1"/>
      <c r="QPM63" s="1"/>
      <c r="QPN63" s="1"/>
      <c r="QPO63" s="1"/>
      <c r="QPP63" s="1"/>
      <c r="QPQ63" s="1"/>
      <c r="QPR63" s="1"/>
      <c r="QPS63" s="1"/>
      <c r="QPT63" s="1"/>
      <c r="QPU63" s="1"/>
      <c r="QPV63" s="1"/>
      <c r="QPW63" s="1"/>
      <c r="QPX63" s="1"/>
      <c r="QPY63" s="1"/>
      <c r="QPZ63" s="1"/>
      <c r="QQA63" s="1"/>
      <c r="QQB63" s="1"/>
      <c r="QQC63" s="1"/>
      <c r="QQD63" s="1"/>
      <c r="QQE63" s="1"/>
      <c r="QQF63" s="1"/>
      <c r="QQG63" s="1"/>
      <c r="QQH63" s="1"/>
      <c r="QQI63" s="1"/>
      <c r="QQJ63" s="1"/>
      <c r="QQK63" s="1"/>
      <c r="QQL63" s="1"/>
      <c r="QQM63" s="1"/>
      <c r="QQN63" s="1"/>
      <c r="QQO63" s="1"/>
      <c r="QQP63" s="1"/>
      <c r="QQQ63" s="1"/>
      <c r="QQR63" s="1"/>
      <c r="QQS63" s="1"/>
      <c r="QQT63" s="1"/>
      <c r="QQU63" s="1"/>
      <c r="QQV63" s="1"/>
      <c r="QQW63" s="1"/>
      <c r="QQX63" s="1"/>
      <c r="QQY63" s="1"/>
      <c r="QQZ63" s="1"/>
      <c r="QRA63" s="1"/>
      <c r="QRB63" s="1"/>
      <c r="QRC63" s="1"/>
      <c r="QRD63" s="1"/>
      <c r="QRE63" s="1"/>
      <c r="QRF63" s="1"/>
      <c r="QRG63" s="1"/>
      <c r="QRH63" s="1"/>
      <c r="QRI63" s="1"/>
      <c r="QRJ63" s="1"/>
      <c r="QRK63" s="1"/>
      <c r="QRL63" s="1"/>
      <c r="QRM63" s="1"/>
      <c r="QRN63" s="1"/>
      <c r="QRO63" s="1"/>
      <c r="QRP63" s="1"/>
      <c r="QRQ63" s="1"/>
      <c r="QRR63" s="1"/>
      <c r="QRS63" s="1"/>
      <c r="QRT63" s="1"/>
      <c r="QRU63" s="1"/>
      <c r="QRV63" s="1"/>
      <c r="QRW63" s="1"/>
      <c r="QRX63" s="1"/>
      <c r="QRY63" s="1"/>
      <c r="QRZ63" s="1"/>
      <c r="QSA63" s="1"/>
      <c r="QSB63" s="1"/>
      <c r="QSC63" s="1"/>
      <c r="QSD63" s="1"/>
      <c r="QSE63" s="1"/>
      <c r="QSF63" s="1"/>
      <c r="QSG63" s="1"/>
      <c r="QSH63" s="1"/>
      <c r="QSI63" s="1"/>
      <c r="QSJ63" s="1"/>
      <c r="QSK63" s="1"/>
      <c r="QSL63" s="1"/>
      <c r="QSM63" s="1"/>
      <c r="QSN63" s="1"/>
      <c r="QSO63" s="1"/>
      <c r="QSP63" s="1"/>
      <c r="QSQ63" s="1"/>
      <c r="QSR63" s="1"/>
      <c r="QSS63" s="1"/>
      <c r="QST63" s="1"/>
      <c r="QSU63" s="1"/>
      <c r="QSV63" s="1"/>
      <c r="QSW63" s="1"/>
      <c r="QSX63" s="1"/>
      <c r="QSY63" s="1"/>
      <c r="QSZ63" s="1"/>
      <c r="QTA63" s="1"/>
      <c r="QTB63" s="1"/>
      <c r="QTC63" s="1"/>
      <c r="QTD63" s="1"/>
      <c r="QTE63" s="1"/>
      <c r="QTF63" s="1"/>
      <c r="QTG63" s="1"/>
      <c r="QTH63" s="1"/>
      <c r="QTI63" s="1"/>
      <c r="QTJ63" s="1"/>
      <c r="QTK63" s="1"/>
      <c r="QTL63" s="1"/>
      <c r="QTM63" s="1"/>
      <c r="QTN63" s="1"/>
      <c r="QTO63" s="1"/>
      <c r="QTP63" s="1"/>
      <c r="QTQ63" s="1"/>
      <c r="QTR63" s="1"/>
      <c r="QTS63" s="1"/>
      <c r="QTT63" s="1"/>
      <c r="QTU63" s="1"/>
      <c r="QTV63" s="1"/>
      <c r="QTW63" s="1"/>
      <c r="QTX63" s="1"/>
      <c r="QTY63" s="1"/>
      <c r="QTZ63" s="1"/>
      <c r="QUA63" s="1"/>
      <c r="QUB63" s="1"/>
      <c r="QUC63" s="1"/>
      <c r="QUD63" s="1"/>
      <c r="QUE63" s="1"/>
      <c r="QUF63" s="1"/>
      <c r="QUG63" s="1"/>
      <c r="QUH63" s="1"/>
      <c r="QUI63" s="1"/>
      <c r="QUJ63" s="1"/>
      <c r="QUK63" s="1"/>
      <c r="QUL63" s="1"/>
      <c r="QUM63" s="1"/>
      <c r="QUN63" s="1"/>
      <c r="QUO63" s="1"/>
      <c r="QUP63" s="1"/>
      <c r="QUQ63" s="1"/>
      <c r="QUR63" s="1"/>
      <c r="QUS63" s="1"/>
      <c r="QUT63" s="1"/>
      <c r="QUU63" s="1"/>
      <c r="QUV63" s="1"/>
      <c r="QUW63" s="1"/>
      <c r="QUX63" s="1"/>
      <c r="QUY63" s="1"/>
      <c r="QUZ63" s="1"/>
      <c r="QVA63" s="1"/>
      <c r="QVB63" s="1"/>
      <c r="QVC63" s="1"/>
      <c r="QVD63" s="1"/>
      <c r="QVE63" s="1"/>
      <c r="QVF63" s="1"/>
      <c r="QVG63" s="1"/>
      <c r="QVH63" s="1"/>
      <c r="QVI63" s="1"/>
      <c r="QVJ63" s="1"/>
      <c r="QVK63" s="1"/>
      <c r="QVL63" s="1"/>
      <c r="QVM63" s="1"/>
      <c r="QVN63" s="1"/>
      <c r="QVO63" s="1"/>
      <c r="QVP63" s="1"/>
      <c r="QVQ63" s="1"/>
      <c r="QVR63" s="1"/>
      <c r="QVS63" s="1"/>
      <c r="QVT63" s="1"/>
      <c r="QVU63" s="1"/>
      <c r="QVV63" s="1"/>
      <c r="QVW63" s="1"/>
      <c r="QVX63" s="1"/>
      <c r="QVY63" s="1"/>
      <c r="QVZ63" s="1"/>
      <c r="QWA63" s="1"/>
      <c r="QWB63" s="1"/>
      <c r="QWC63" s="1"/>
      <c r="QWD63" s="1"/>
      <c r="QWE63" s="1"/>
      <c r="QWF63" s="1"/>
      <c r="QWG63" s="1"/>
      <c r="QWH63" s="1"/>
      <c r="QWI63" s="1"/>
      <c r="QWJ63" s="1"/>
      <c r="QWK63" s="1"/>
      <c r="QWL63" s="1"/>
      <c r="QWM63" s="1"/>
      <c r="QWN63" s="1"/>
      <c r="QWO63" s="1"/>
      <c r="QWP63" s="1"/>
      <c r="QWQ63" s="1"/>
      <c r="QWR63" s="1"/>
      <c r="QWS63" s="1"/>
      <c r="QWT63" s="1"/>
      <c r="QWU63" s="1"/>
      <c r="QWV63" s="1"/>
      <c r="QWW63" s="1"/>
      <c r="QWX63" s="1"/>
      <c r="QWY63" s="1"/>
      <c r="QWZ63" s="1"/>
      <c r="QXA63" s="1"/>
      <c r="QXB63" s="1"/>
      <c r="QXC63" s="1"/>
      <c r="QXD63" s="1"/>
      <c r="QXE63" s="1"/>
      <c r="QXF63" s="1"/>
      <c r="QXG63" s="1"/>
      <c r="QXH63" s="1"/>
      <c r="QXI63" s="1"/>
      <c r="QXJ63" s="1"/>
      <c r="QXK63" s="1"/>
      <c r="QXL63" s="1"/>
      <c r="QXM63" s="1"/>
      <c r="QXN63" s="1"/>
      <c r="QXO63" s="1"/>
      <c r="QXP63" s="1"/>
      <c r="QXQ63" s="1"/>
      <c r="QXR63" s="1"/>
      <c r="QXS63" s="1"/>
      <c r="QXT63" s="1"/>
      <c r="QXU63" s="1"/>
      <c r="QXV63" s="1"/>
      <c r="QXW63" s="1"/>
      <c r="QXX63" s="1"/>
      <c r="QXY63" s="1"/>
      <c r="QXZ63" s="1"/>
      <c r="QYA63" s="1"/>
      <c r="QYB63" s="1"/>
      <c r="QYC63" s="1"/>
      <c r="QYD63" s="1"/>
      <c r="QYE63" s="1"/>
      <c r="QYF63" s="1"/>
      <c r="QYG63" s="1"/>
      <c r="QYH63" s="1"/>
      <c r="QYI63" s="1"/>
      <c r="QYJ63" s="1"/>
      <c r="QYK63" s="1"/>
      <c r="QYL63" s="1"/>
      <c r="QYM63" s="1"/>
      <c r="QYN63" s="1"/>
      <c r="QYO63" s="1"/>
      <c r="QYP63" s="1"/>
      <c r="QYQ63" s="1"/>
      <c r="QYR63" s="1"/>
      <c r="QYS63" s="1"/>
      <c r="QYT63" s="1"/>
      <c r="QYU63" s="1"/>
      <c r="QYV63" s="1"/>
      <c r="QYW63" s="1"/>
      <c r="QYX63" s="1"/>
      <c r="QYY63" s="1"/>
      <c r="QYZ63" s="1"/>
      <c r="QZA63" s="1"/>
      <c r="QZB63" s="1"/>
      <c r="QZC63" s="1"/>
      <c r="QZD63" s="1"/>
      <c r="QZE63" s="1"/>
      <c r="QZF63" s="1"/>
      <c r="QZG63" s="1"/>
      <c r="QZH63" s="1"/>
      <c r="QZI63" s="1"/>
      <c r="QZJ63" s="1"/>
      <c r="QZK63" s="1"/>
      <c r="QZL63" s="1"/>
      <c r="QZM63" s="1"/>
      <c r="QZN63" s="1"/>
      <c r="QZO63" s="1"/>
      <c r="QZP63" s="1"/>
      <c r="QZQ63" s="1"/>
      <c r="QZR63" s="1"/>
      <c r="QZS63" s="1"/>
      <c r="QZT63" s="1"/>
      <c r="QZU63" s="1"/>
      <c r="QZV63" s="1"/>
      <c r="QZW63" s="1"/>
      <c r="QZX63" s="1"/>
      <c r="QZY63" s="1"/>
      <c r="QZZ63" s="1"/>
      <c r="RAA63" s="1"/>
      <c r="RAB63" s="1"/>
      <c r="RAC63" s="1"/>
      <c r="RAD63" s="1"/>
      <c r="RAE63" s="1"/>
      <c r="RAF63" s="1"/>
      <c r="RAG63" s="1"/>
      <c r="RAH63" s="1"/>
      <c r="RAI63" s="1"/>
      <c r="RAJ63" s="1"/>
      <c r="RAK63" s="1"/>
      <c r="RAL63" s="1"/>
      <c r="RAM63" s="1"/>
      <c r="RAN63" s="1"/>
      <c r="RAO63" s="1"/>
      <c r="RAP63" s="1"/>
      <c r="RAQ63" s="1"/>
      <c r="RAR63" s="1"/>
      <c r="RAS63" s="1"/>
      <c r="RAT63" s="1"/>
      <c r="RAU63" s="1"/>
      <c r="RAV63" s="1"/>
      <c r="RAW63" s="1"/>
      <c r="RAX63" s="1"/>
      <c r="RAY63" s="1"/>
      <c r="RAZ63" s="1"/>
      <c r="RBA63" s="1"/>
      <c r="RBB63" s="1"/>
      <c r="RBC63" s="1"/>
      <c r="RBD63" s="1"/>
      <c r="RBE63" s="1"/>
      <c r="RBF63" s="1"/>
      <c r="RBG63" s="1"/>
      <c r="RBH63" s="1"/>
      <c r="RBI63" s="1"/>
      <c r="RBJ63" s="1"/>
      <c r="RBK63" s="1"/>
      <c r="RBL63" s="1"/>
      <c r="RBM63" s="1"/>
      <c r="RBN63" s="1"/>
      <c r="RBO63" s="1"/>
      <c r="RBP63" s="1"/>
      <c r="RBQ63" s="1"/>
      <c r="RBR63" s="1"/>
      <c r="RBS63" s="1"/>
      <c r="RBT63" s="1"/>
      <c r="RBU63" s="1"/>
      <c r="RBV63" s="1"/>
      <c r="RBW63" s="1"/>
      <c r="RBX63" s="1"/>
      <c r="RBY63" s="1"/>
      <c r="RBZ63" s="1"/>
      <c r="RCA63" s="1"/>
      <c r="RCB63" s="1"/>
      <c r="RCC63" s="1"/>
      <c r="RCD63" s="1"/>
      <c r="RCE63" s="1"/>
      <c r="RCF63" s="1"/>
      <c r="RCG63" s="1"/>
      <c r="RCH63" s="1"/>
      <c r="RCI63" s="1"/>
      <c r="RCJ63" s="1"/>
      <c r="RCK63" s="1"/>
      <c r="RCL63" s="1"/>
      <c r="RCM63" s="1"/>
      <c r="RCN63" s="1"/>
      <c r="RCO63" s="1"/>
      <c r="RCP63" s="1"/>
      <c r="RCQ63" s="1"/>
      <c r="RCR63" s="1"/>
      <c r="RCS63" s="1"/>
      <c r="RCT63" s="1"/>
      <c r="RCU63" s="1"/>
      <c r="RCV63" s="1"/>
      <c r="RCW63" s="1"/>
      <c r="RCX63" s="1"/>
      <c r="RCY63" s="1"/>
      <c r="RCZ63" s="1"/>
      <c r="RDA63" s="1"/>
      <c r="RDB63" s="1"/>
      <c r="RDC63" s="1"/>
      <c r="RDD63" s="1"/>
      <c r="RDE63" s="1"/>
      <c r="RDF63" s="1"/>
      <c r="RDG63" s="1"/>
      <c r="RDH63" s="1"/>
      <c r="RDI63" s="1"/>
      <c r="RDJ63" s="1"/>
      <c r="RDK63" s="1"/>
      <c r="RDL63" s="1"/>
      <c r="RDM63" s="1"/>
      <c r="RDN63" s="1"/>
      <c r="RDO63" s="1"/>
      <c r="RDP63" s="1"/>
      <c r="RDQ63" s="1"/>
      <c r="RDR63" s="1"/>
      <c r="RDS63" s="1"/>
      <c r="RDT63" s="1"/>
      <c r="RDU63" s="1"/>
      <c r="RDV63" s="1"/>
      <c r="RDW63" s="1"/>
      <c r="RDX63" s="1"/>
      <c r="RDY63" s="1"/>
      <c r="RDZ63" s="1"/>
      <c r="REA63" s="1"/>
      <c r="REB63" s="1"/>
      <c r="REC63" s="1"/>
      <c r="RED63" s="1"/>
      <c r="REE63" s="1"/>
      <c r="REF63" s="1"/>
      <c r="REG63" s="1"/>
      <c r="REH63" s="1"/>
      <c r="REI63" s="1"/>
      <c r="REJ63" s="1"/>
      <c r="REK63" s="1"/>
      <c r="REL63" s="1"/>
      <c r="REM63" s="1"/>
      <c r="REN63" s="1"/>
      <c r="REO63" s="1"/>
      <c r="REP63" s="1"/>
      <c r="REQ63" s="1"/>
      <c r="RER63" s="1"/>
      <c r="RES63" s="1"/>
      <c r="RET63" s="1"/>
      <c r="REU63" s="1"/>
      <c r="REV63" s="1"/>
      <c r="REW63" s="1"/>
      <c r="REX63" s="1"/>
      <c r="REY63" s="1"/>
      <c r="REZ63" s="1"/>
      <c r="RFA63" s="1"/>
      <c r="RFB63" s="1"/>
      <c r="RFC63" s="1"/>
      <c r="RFD63" s="1"/>
      <c r="RFE63" s="1"/>
      <c r="RFF63" s="1"/>
      <c r="RFG63" s="1"/>
      <c r="RFH63" s="1"/>
      <c r="RFI63" s="1"/>
      <c r="RFJ63" s="1"/>
      <c r="RFK63" s="1"/>
      <c r="RFL63" s="1"/>
      <c r="RFM63" s="1"/>
      <c r="RFN63" s="1"/>
      <c r="RFO63" s="1"/>
      <c r="RFP63" s="1"/>
      <c r="RFQ63" s="1"/>
      <c r="RFR63" s="1"/>
      <c r="RFS63" s="1"/>
      <c r="RFT63" s="1"/>
      <c r="RFU63" s="1"/>
      <c r="RFV63" s="1"/>
      <c r="RFW63" s="1"/>
      <c r="RFX63" s="1"/>
      <c r="RFY63" s="1"/>
      <c r="RFZ63" s="1"/>
      <c r="RGA63" s="1"/>
      <c r="RGB63" s="1"/>
      <c r="RGC63" s="1"/>
      <c r="RGD63" s="1"/>
      <c r="RGE63" s="1"/>
      <c r="RGF63" s="1"/>
      <c r="RGG63" s="1"/>
      <c r="RGH63" s="1"/>
      <c r="RGI63" s="1"/>
      <c r="RGJ63" s="1"/>
      <c r="RGK63" s="1"/>
      <c r="RGL63" s="1"/>
      <c r="RGM63" s="1"/>
      <c r="RGN63" s="1"/>
      <c r="RGO63" s="1"/>
      <c r="RGP63" s="1"/>
      <c r="RGQ63" s="1"/>
      <c r="RGR63" s="1"/>
      <c r="RGS63" s="1"/>
      <c r="RGT63" s="1"/>
      <c r="RGU63" s="1"/>
      <c r="RGV63" s="1"/>
      <c r="RGW63" s="1"/>
      <c r="RGX63" s="1"/>
      <c r="RGY63" s="1"/>
      <c r="RGZ63" s="1"/>
      <c r="RHA63" s="1"/>
      <c r="RHB63" s="1"/>
      <c r="RHC63" s="1"/>
      <c r="RHD63" s="1"/>
      <c r="RHE63" s="1"/>
      <c r="RHF63" s="1"/>
      <c r="RHG63" s="1"/>
      <c r="RHH63" s="1"/>
      <c r="RHI63" s="1"/>
      <c r="RHJ63" s="1"/>
      <c r="RHK63" s="1"/>
      <c r="RHL63" s="1"/>
      <c r="RHM63" s="1"/>
      <c r="RHN63" s="1"/>
      <c r="RHO63" s="1"/>
      <c r="RHP63" s="1"/>
      <c r="RHQ63" s="1"/>
      <c r="RHR63" s="1"/>
      <c r="RHS63" s="1"/>
      <c r="RHT63" s="1"/>
      <c r="RHU63" s="1"/>
      <c r="RHV63" s="1"/>
      <c r="RHW63" s="1"/>
      <c r="RHX63" s="1"/>
      <c r="RHY63" s="1"/>
      <c r="RHZ63" s="1"/>
      <c r="RIA63" s="1"/>
      <c r="RIB63" s="1"/>
      <c r="RIC63" s="1"/>
      <c r="RID63" s="1"/>
      <c r="RIE63" s="1"/>
      <c r="RIF63" s="1"/>
      <c r="RIG63" s="1"/>
      <c r="RIH63" s="1"/>
      <c r="RII63" s="1"/>
      <c r="RIJ63" s="1"/>
      <c r="RIK63" s="1"/>
      <c r="RIL63" s="1"/>
      <c r="RIM63" s="1"/>
      <c r="RIN63" s="1"/>
      <c r="RIO63" s="1"/>
      <c r="RIP63" s="1"/>
      <c r="RIQ63" s="1"/>
      <c r="RIR63" s="1"/>
      <c r="RIS63" s="1"/>
      <c r="RIT63" s="1"/>
      <c r="RIU63" s="1"/>
      <c r="RIV63" s="1"/>
      <c r="RIW63" s="1"/>
      <c r="RIX63" s="1"/>
      <c r="RIY63" s="1"/>
      <c r="RIZ63" s="1"/>
      <c r="RJA63" s="1"/>
      <c r="RJB63" s="1"/>
      <c r="RJC63" s="1"/>
      <c r="RJD63" s="1"/>
      <c r="RJE63" s="1"/>
      <c r="RJF63" s="1"/>
      <c r="RJG63" s="1"/>
      <c r="RJH63" s="1"/>
      <c r="RJI63" s="1"/>
      <c r="RJJ63" s="1"/>
      <c r="RJK63" s="1"/>
      <c r="RJL63" s="1"/>
      <c r="RJM63" s="1"/>
      <c r="RJN63" s="1"/>
      <c r="RJO63" s="1"/>
      <c r="RJP63" s="1"/>
      <c r="RJQ63" s="1"/>
      <c r="RJR63" s="1"/>
      <c r="RJS63" s="1"/>
      <c r="RJT63" s="1"/>
      <c r="RJU63" s="1"/>
      <c r="RJV63" s="1"/>
      <c r="RJW63" s="1"/>
      <c r="RJX63" s="1"/>
      <c r="RJY63" s="1"/>
      <c r="RJZ63" s="1"/>
      <c r="RKA63" s="1"/>
      <c r="RKB63" s="1"/>
      <c r="RKC63" s="1"/>
      <c r="RKD63" s="1"/>
      <c r="RKE63" s="1"/>
      <c r="RKF63" s="1"/>
      <c r="RKG63" s="1"/>
      <c r="RKH63" s="1"/>
      <c r="RKI63" s="1"/>
      <c r="RKJ63" s="1"/>
      <c r="RKK63" s="1"/>
      <c r="RKL63" s="1"/>
      <c r="RKM63" s="1"/>
      <c r="RKN63" s="1"/>
      <c r="RKO63" s="1"/>
      <c r="RKP63" s="1"/>
      <c r="RKQ63" s="1"/>
      <c r="RKR63" s="1"/>
      <c r="RKS63" s="1"/>
      <c r="RKT63" s="1"/>
      <c r="RKU63" s="1"/>
      <c r="RKV63" s="1"/>
      <c r="RKW63" s="1"/>
      <c r="RKX63" s="1"/>
      <c r="RKY63" s="1"/>
      <c r="RKZ63" s="1"/>
      <c r="RLA63" s="1"/>
      <c r="RLB63" s="1"/>
      <c r="RLC63" s="1"/>
      <c r="RLD63" s="1"/>
      <c r="RLE63" s="1"/>
      <c r="RLF63" s="1"/>
      <c r="RLG63" s="1"/>
      <c r="RLH63" s="1"/>
      <c r="RLI63" s="1"/>
      <c r="RLJ63" s="1"/>
      <c r="RLK63" s="1"/>
      <c r="RLL63" s="1"/>
      <c r="RLM63" s="1"/>
      <c r="RLN63" s="1"/>
      <c r="RLO63" s="1"/>
      <c r="RLP63" s="1"/>
      <c r="RLQ63" s="1"/>
      <c r="RLR63" s="1"/>
      <c r="RLS63" s="1"/>
      <c r="RLT63" s="1"/>
      <c r="RLU63" s="1"/>
      <c r="RLV63" s="1"/>
      <c r="RLW63" s="1"/>
      <c r="RLX63" s="1"/>
      <c r="RLY63" s="1"/>
      <c r="RLZ63" s="1"/>
      <c r="RMA63" s="1"/>
      <c r="RMB63" s="1"/>
      <c r="RMC63" s="1"/>
      <c r="RMD63" s="1"/>
      <c r="RME63" s="1"/>
      <c r="RMF63" s="1"/>
      <c r="RMG63" s="1"/>
      <c r="RMH63" s="1"/>
      <c r="RMI63" s="1"/>
      <c r="RMJ63" s="1"/>
      <c r="RMK63" s="1"/>
      <c r="RML63" s="1"/>
      <c r="RMM63" s="1"/>
      <c r="RMN63" s="1"/>
      <c r="RMO63" s="1"/>
      <c r="RMP63" s="1"/>
      <c r="RMQ63" s="1"/>
      <c r="RMR63" s="1"/>
      <c r="RMS63" s="1"/>
      <c r="RMT63" s="1"/>
      <c r="RMU63" s="1"/>
      <c r="RMV63" s="1"/>
      <c r="RMW63" s="1"/>
      <c r="RMX63" s="1"/>
      <c r="RMY63" s="1"/>
      <c r="RMZ63" s="1"/>
      <c r="RNA63" s="1"/>
      <c r="RNB63" s="1"/>
      <c r="RNC63" s="1"/>
      <c r="RND63" s="1"/>
      <c r="RNE63" s="1"/>
      <c r="RNF63" s="1"/>
      <c r="RNG63" s="1"/>
      <c r="RNH63" s="1"/>
      <c r="RNI63" s="1"/>
      <c r="RNJ63" s="1"/>
      <c r="RNK63" s="1"/>
      <c r="RNL63" s="1"/>
      <c r="RNM63" s="1"/>
      <c r="RNN63" s="1"/>
      <c r="RNO63" s="1"/>
      <c r="RNP63" s="1"/>
      <c r="RNQ63" s="1"/>
      <c r="RNR63" s="1"/>
      <c r="RNS63" s="1"/>
      <c r="RNT63" s="1"/>
      <c r="RNU63" s="1"/>
      <c r="RNV63" s="1"/>
      <c r="RNW63" s="1"/>
      <c r="RNX63" s="1"/>
      <c r="RNY63" s="1"/>
      <c r="RNZ63" s="1"/>
      <c r="ROA63" s="1"/>
      <c r="ROB63" s="1"/>
      <c r="ROC63" s="1"/>
      <c r="ROD63" s="1"/>
      <c r="ROE63" s="1"/>
      <c r="ROF63" s="1"/>
      <c r="ROG63" s="1"/>
      <c r="ROH63" s="1"/>
      <c r="ROI63" s="1"/>
      <c r="ROJ63" s="1"/>
      <c r="ROK63" s="1"/>
      <c r="ROL63" s="1"/>
      <c r="ROM63" s="1"/>
      <c r="RON63" s="1"/>
      <c r="ROO63" s="1"/>
      <c r="ROP63" s="1"/>
      <c r="ROQ63" s="1"/>
      <c r="ROR63" s="1"/>
      <c r="ROS63" s="1"/>
      <c r="ROT63" s="1"/>
      <c r="ROU63" s="1"/>
      <c r="ROV63" s="1"/>
      <c r="ROW63" s="1"/>
      <c r="ROX63" s="1"/>
      <c r="ROY63" s="1"/>
      <c r="ROZ63" s="1"/>
      <c r="RPA63" s="1"/>
      <c r="RPB63" s="1"/>
      <c r="RPC63" s="1"/>
      <c r="RPD63" s="1"/>
      <c r="RPE63" s="1"/>
      <c r="RPF63" s="1"/>
      <c r="RPG63" s="1"/>
      <c r="RPH63" s="1"/>
      <c r="RPI63" s="1"/>
      <c r="RPJ63" s="1"/>
      <c r="RPK63" s="1"/>
      <c r="RPL63" s="1"/>
      <c r="RPM63" s="1"/>
      <c r="RPN63" s="1"/>
      <c r="RPO63" s="1"/>
      <c r="RPP63" s="1"/>
      <c r="RPQ63" s="1"/>
      <c r="RPR63" s="1"/>
      <c r="RPS63" s="1"/>
      <c r="RPT63" s="1"/>
      <c r="RPU63" s="1"/>
      <c r="RPV63" s="1"/>
      <c r="RPW63" s="1"/>
      <c r="RPX63" s="1"/>
      <c r="RPY63" s="1"/>
      <c r="RPZ63" s="1"/>
      <c r="RQA63" s="1"/>
      <c r="RQB63" s="1"/>
      <c r="RQC63" s="1"/>
      <c r="RQD63" s="1"/>
      <c r="RQE63" s="1"/>
      <c r="RQF63" s="1"/>
      <c r="RQG63" s="1"/>
      <c r="RQH63" s="1"/>
      <c r="RQI63" s="1"/>
      <c r="RQJ63" s="1"/>
      <c r="RQK63" s="1"/>
      <c r="RQL63" s="1"/>
      <c r="RQM63" s="1"/>
      <c r="RQN63" s="1"/>
      <c r="RQO63" s="1"/>
      <c r="RQP63" s="1"/>
      <c r="RQQ63" s="1"/>
      <c r="RQR63" s="1"/>
      <c r="RQS63" s="1"/>
      <c r="RQT63" s="1"/>
      <c r="RQU63" s="1"/>
      <c r="RQV63" s="1"/>
      <c r="RQW63" s="1"/>
      <c r="RQX63" s="1"/>
      <c r="RQY63" s="1"/>
      <c r="RQZ63" s="1"/>
      <c r="RRA63" s="1"/>
      <c r="RRB63" s="1"/>
      <c r="RRC63" s="1"/>
      <c r="RRD63" s="1"/>
      <c r="RRE63" s="1"/>
      <c r="RRF63" s="1"/>
      <c r="RRG63" s="1"/>
      <c r="RRH63" s="1"/>
      <c r="RRI63" s="1"/>
      <c r="RRJ63" s="1"/>
      <c r="RRK63" s="1"/>
      <c r="RRL63" s="1"/>
      <c r="RRM63" s="1"/>
      <c r="RRN63" s="1"/>
      <c r="RRO63" s="1"/>
      <c r="RRP63" s="1"/>
      <c r="RRQ63" s="1"/>
      <c r="RRR63" s="1"/>
      <c r="RRS63" s="1"/>
      <c r="RRT63" s="1"/>
      <c r="RRU63" s="1"/>
      <c r="RRV63" s="1"/>
      <c r="RRW63" s="1"/>
      <c r="RRX63" s="1"/>
      <c r="RRY63" s="1"/>
      <c r="RRZ63" s="1"/>
      <c r="RSA63" s="1"/>
      <c r="RSB63" s="1"/>
      <c r="RSC63" s="1"/>
      <c r="RSD63" s="1"/>
      <c r="RSE63" s="1"/>
      <c r="RSF63" s="1"/>
      <c r="RSG63" s="1"/>
      <c r="RSH63" s="1"/>
      <c r="RSI63" s="1"/>
      <c r="RSJ63" s="1"/>
      <c r="RSK63" s="1"/>
      <c r="RSL63" s="1"/>
      <c r="RSM63" s="1"/>
      <c r="RSN63" s="1"/>
      <c r="RSO63" s="1"/>
      <c r="RSP63" s="1"/>
      <c r="RSQ63" s="1"/>
      <c r="RSR63" s="1"/>
      <c r="RSS63" s="1"/>
      <c r="RST63" s="1"/>
      <c r="RSU63" s="1"/>
      <c r="RSV63" s="1"/>
      <c r="RSW63" s="1"/>
      <c r="RSX63" s="1"/>
      <c r="RSY63" s="1"/>
      <c r="RSZ63" s="1"/>
      <c r="RTA63" s="1"/>
      <c r="RTB63" s="1"/>
      <c r="RTC63" s="1"/>
      <c r="RTD63" s="1"/>
      <c r="RTE63" s="1"/>
      <c r="RTF63" s="1"/>
      <c r="RTG63" s="1"/>
      <c r="RTH63" s="1"/>
      <c r="RTI63" s="1"/>
      <c r="RTJ63" s="1"/>
      <c r="RTK63" s="1"/>
      <c r="RTL63" s="1"/>
      <c r="RTM63" s="1"/>
      <c r="RTN63" s="1"/>
      <c r="RTO63" s="1"/>
      <c r="RTP63" s="1"/>
      <c r="RTQ63" s="1"/>
      <c r="RTR63" s="1"/>
      <c r="RTS63" s="1"/>
      <c r="RTT63" s="1"/>
      <c r="RTU63" s="1"/>
      <c r="RTV63" s="1"/>
      <c r="RTW63" s="1"/>
      <c r="RTX63" s="1"/>
      <c r="RTY63" s="1"/>
      <c r="RTZ63" s="1"/>
      <c r="RUA63" s="1"/>
      <c r="RUB63" s="1"/>
      <c r="RUC63" s="1"/>
      <c r="RUD63" s="1"/>
      <c r="RUE63" s="1"/>
      <c r="RUF63" s="1"/>
      <c r="RUG63" s="1"/>
      <c r="RUH63" s="1"/>
      <c r="RUI63" s="1"/>
      <c r="RUJ63" s="1"/>
      <c r="RUK63" s="1"/>
      <c r="RUL63" s="1"/>
      <c r="RUM63" s="1"/>
      <c r="RUN63" s="1"/>
      <c r="RUO63" s="1"/>
      <c r="RUP63" s="1"/>
      <c r="RUQ63" s="1"/>
      <c r="RUR63" s="1"/>
      <c r="RUS63" s="1"/>
      <c r="RUT63" s="1"/>
      <c r="RUU63" s="1"/>
      <c r="RUV63" s="1"/>
      <c r="RUW63" s="1"/>
      <c r="RUX63" s="1"/>
      <c r="RUY63" s="1"/>
      <c r="RUZ63" s="1"/>
      <c r="RVA63" s="1"/>
      <c r="RVB63" s="1"/>
      <c r="RVC63" s="1"/>
      <c r="RVD63" s="1"/>
      <c r="RVE63" s="1"/>
      <c r="RVF63" s="1"/>
      <c r="RVG63" s="1"/>
      <c r="RVH63" s="1"/>
      <c r="RVI63" s="1"/>
      <c r="RVJ63" s="1"/>
      <c r="RVK63" s="1"/>
      <c r="RVL63" s="1"/>
      <c r="RVM63" s="1"/>
      <c r="RVN63" s="1"/>
      <c r="RVO63" s="1"/>
      <c r="RVP63" s="1"/>
      <c r="RVQ63" s="1"/>
      <c r="RVR63" s="1"/>
      <c r="RVS63" s="1"/>
      <c r="RVT63" s="1"/>
      <c r="RVU63" s="1"/>
      <c r="RVV63" s="1"/>
      <c r="RVW63" s="1"/>
      <c r="RVX63" s="1"/>
      <c r="RVY63" s="1"/>
      <c r="RVZ63" s="1"/>
      <c r="RWA63" s="1"/>
      <c r="RWB63" s="1"/>
      <c r="RWC63" s="1"/>
      <c r="RWD63" s="1"/>
      <c r="RWE63" s="1"/>
      <c r="RWF63" s="1"/>
      <c r="RWG63" s="1"/>
      <c r="RWH63" s="1"/>
      <c r="RWI63" s="1"/>
      <c r="RWJ63" s="1"/>
      <c r="RWK63" s="1"/>
      <c r="RWL63" s="1"/>
      <c r="RWM63" s="1"/>
      <c r="RWN63" s="1"/>
      <c r="RWO63" s="1"/>
      <c r="RWP63" s="1"/>
      <c r="RWQ63" s="1"/>
      <c r="RWR63" s="1"/>
      <c r="RWS63" s="1"/>
      <c r="RWT63" s="1"/>
      <c r="RWU63" s="1"/>
      <c r="RWV63" s="1"/>
      <c r="RWW63" s="1"/>
      <c r="RWX63" s="1"/>
      <c r="RWY63" s="1"/>
      <c r="RWZ63" s="1"/>
      <c r="RXA63" s="1"/>
      <c r="RXB63" s="1"/>
      <c r="RXC63" s="1"/>
      <c r="RXD63" s="1"/>
      <c r="RXE63" s="1"/>
      <c r="RXF63" s="1"/>
      <c r="RXG63" s="1"/>
      <c r="RXH63" s="1"/>
      <c r="RXI63" s="1"/>
      <c r="RXJ63" s="1"/>
      <c r="RXK63" s="1"/>
      <c r="RXL63" s="1"/>
      <c r="RXM63" s="1"/>
      <c r="RXN63" s="1"/>
      <c r="RXO63" s="1"/>
      <c r="RXP63" s="1"/>
      <c r="RXQ63" s="1"/>
      <c r="RXR63" s="1"/>
      <c r="RXS63" s="1"/>
      <c r="RXT63" s="1"/>
      <c r="RXU63" s="1"/>
      <c r="RXV63" s="1"/>
      <c r="RXW63" s="1"/>
      <c r="RXX63" s="1"/>
      <c r="RXY63" s="1"/>
      <c r="RXZ63" s="1"/>
      <c r="RYA63" s="1"/>
      <c r="RYB63" s="1"/>
      <c r="RYC63" s="1"/>
      <c r="RYD63" s="1"/>
      <c r="RYE63" s="1"/>
      <c r="RYF63" s="1"/>
      <c r="RYG63" s="1"/>
      <c r="RYH63" s="1"/>
      <c r="RYI63" s="1"/>
      <c r="RYJ63" s="1"/>
      <c r="RYK63" s="1"/>
      <c r="RYL63" s="1"/>
      <c r="RYM63" s="1"/>
      <c r="RYN63" s="1"/>
      <c r="RYO63" s="1"/>
      <c r="RYP63" s="1"/>
      <c r="RYQ63" s="1"/>
      <c r="RYR63" s="1"/>
      <c r="RYS63" s="1"/>
      <c r="RYT63" s="1"/>
      <c r="RYU63" s="1"/>
      <c r="RYV63" s="1"/>
      <c r="RYW63" s="1"/>
      <c r="RYX63" s="1"/>
      <c r="RYY63" s="1"/>
      <c r="RYZ63" s="1"/>
      <c r="RZA63" s="1"/>
      <c r="RZB63" s="1"/>
      <c r="RZC63" s="1"/>
      <c r="RZD63" s="1"/>
      <c r="RZE63" s="1"/>
      <c r="RZF63" s="1"/>
      <c r="RZG63" s="1"/>
      <c r="RZH63" s="1"/>
      <c r="RZI63" s="1"/>
      <c r="RZJ63" s="1"/>
      <c r="RZK63" s="1"/>
      <c r="RZL63" s="1"/>
      <c r="RZM63" s="1"/>
      <c r="RZN63" s="1"/>
      <c r="RZO63" s="1"/>
      <c r="RZP63" s="1"/>
      <c r="RZQ63" s="1"/>
      <c r="RZR63" s="1"/>
      <c r="RZS63" s="1"/>
      <c r="RZT63" s="1"/>
      <c r="RZU63" s="1"/>
      <c r="RZV63" s="1"/>
      <c r="RZW63" s="1"/>
      <c r="RZX63" s="1"/>
      <c r="RZY63" s="1"/>
      <c r="RZZ63" s="1"/>
      <c r="SAA63" s="1"/>
      <c r="SAB63" s="1"/>
      <c r="SAC63" s="1"/>
      <c r="SAD63" s="1"/>
      <c r="SAE63" s="1"/>
      <c r="SAF63" s="1"/>
      <c r="SAG63" s="1"/>
      <c r="SAH63" s="1"/>
      <c r="SAI63" s="1"/>
      <c r="SAJ63" s="1"/>
      <c r="SAK63" s="1"/>
      <c r="SAL63" s="1"/>
      <c r="SAM63" s="1"/>
      <c r="SAN63" s="1"/>
      <c r="SAO63" s="1"/>
      <c r="SAP63" s="1"/>
      <c r="SAQ63" s="1"/>
      <c r="SAR63" s="1"/>
      <c r="SAS63" s="1"/>
      <c r="SAT63" s="1"/>
      <c r="SAU63" s="1"/>
      <c r="SAV63" s="1"/>
      <c r="SAW63" s="1"/>
      <c r="SAX63" s="1"/>
      <c r="SAY63" s="1"/>
      <c r="SAZ63" s="1"/>
      <c r="SBA63" s="1"/>
      <c r="SBB63" s="1"/>
      <c r="SBC63" s="1"/>
      <c r="SBD63" s="1"/>
      <c r="SBE63" s="1"/>
      <c r="SBF63" s="1"/>
      <c r="SBG63" s="1"/>
      <c r="SBH63" s="1"/>
      <c r="SBI63" s="1"/>
      <c r="SBJ63" s="1"/>
      <c r="SBK63" s="1"/>
      <c r="SBL63" s="1"/>
      <c r="SBM63" s="1"/>
      <c r="SBN63" s="1"/>
      <c r="SBO63" s="1"/>
      <c r="SBP63" s="1"/>
      <c r="SBQ63" s="1"/>
      <c r="SBR63" s="1"/>
      <c r="SBS63" s="1"/>
      <c r="SBT63" s="1"/>
      <c r="SBU63" s="1"/>
      <c r="SBV63" s="1"/>
      <c r="SBW63" s="1"/>
      <c r="SBX63" s="1"/>
      <c r="SBY63" s="1"/>
      <c r="SBZ63" s="1"/>
      <c r="SCA63" s="1"/>
      <c r="SCB63" s="1"/>
      <c r="SCC63" s="1"/>
      <c r="SCD63" s="1"/>
      <c r="SCE63" s="1"/>
      <c r="SCF63" s="1"/>
      <c r="SCG63" s="1"/>
      <c r="SCH63" s="1"/>
      <c r="SCI63" s="1"/>
      <c r="SCJ63" s="1"/>
      <c r="SCK63" s="1"/>
      <c r="SCL63" s="1"/>
      <c r="SCM63" s="1"/>
      <c r="SCN63" s="1"/>
      <c r="SCO63" s="1"/>
      <c r="SCP63" s="1"/>
      <c r="SCQ63" s="1"/>
      <c r="SCR63" s="1"/>
      <c r="SCS63" s="1"/>
      <c r="SCT63" s="1"/>
      <c r="SCU63" s="1"/>
      <c r="SCV63" s="1"/>
      <c r="SCW63" s="1"/>
      <c r="SCX63" s="1"/>
      <c r="SCY63" s="1"/>
      <c r="SCZ63" s="1"/>
      <c r="SDA63" s="1"/>
      <c r="SDB63" s="1"/>
      <c r="SDC63" s="1"/>
      <c r="SDD63" s="1"/>
      <c r="SDE63" s="1"/>
      <c r="SDF63" s="1"/>
      <c r="SDG63" s="1"/>
      <c r="SDH63" s="1"/>
      <c r="SDI63" s="1"/>
      <c r="SDJ63" s="1"/>
      <c r="SDK63" s="1"/>
      <c r="SDL63" s="1"/>
      <c r="SDM63" s="1"/>
      <c r="SDN63" s="1"/>
      <c r="SDO63" s="1"/>
      <c r="SDP63" s="1"/>
      <c r="SDQ63" s="1"/>
      <c r="SDR63" s="1"/>
      <c r="SDS63" s="1"/>
      <c r="SDT63" s="1"/>
      <c r="SDU63" s="1"/>
      <c r="SDV63" s="1"/>
      <c r="SDW63" s="1"/>
      <c r="SDX63" s="1"/>
      <c r="SDY63" s="1"/>
      <c r="SDZ63" s="1"/>
      <c r="SEA63" s="1"/>
      <c r="SEB63" s="1"/>
      <c r="SEC63" s="1"/>
      <c r="SED63" s="1"/>
      <c r="SEE63" s="1"/>
      <c r="SEF63" s="1"/>
      <c r="SEG63" s="1"/>
      <c r="SEH63" s="1"/>
      <c r="SEI63" s="1"/>
      <c r="SEJ63" s="1"/>
      <c r="SEK63" s="1"/>
      <c r="SEL63" s="1"/>
      <c r="SEM63" s="1"/>
      <c r="SEN63" s="1"/>
      <c r="SEO63" s="1"/>
      <c r="SEP63" s="1"/>
      <c r="SEQ63" s="1"/>
      <c r="SER63" s="1"/>
      <c r="SES63" s="1"/>
      <c r="SET63" s="1"/>
      <c r="SEU63" s="1"/>
      <c r="SEV63" s="1"/>
      <c r="SEW63" s="1"/>
      <c r="SEX63" s="1"/>
      <c r="SEY63" s="1"/>
      <c r="SEZ63" s="1"/>
      <c r="SFA63" s="1"/>
      <c r="SFB63" s="1"/>
      <c r="SFC63" s="1"/>
      <c r="SFD63" s="1"/>
      <c r="SFE63" s="1"/>
      <c r="SFF63" s="1"/>
      <c r="SFG63" s="1"/>
      <c r="SFH63" s="1"/>
      <c r="SFI63" s="1"/>
      <c r="SFJ63" s="1"/>
      <c r="SFK63" s="1"/>
      <c r="SFL63" s="1"/>
      <c r="SFM63" s="1"/>
      <c r="SFN63" s="1"/>
      <c r="SFO63" s="1"/>
      <c r="SFP63" s="1"/>
      <c r="SFQ63" s="1"/>
      <c r="SFR63" s="1"/>
      <c r="SFS63" s="1"/>
      <c r="SFT63" s="1"/>
      <c r="SFU63" s="1"/>
      <c r="SFV63" s="1"/>
      <c r="SFW63" s="1"/>
      <c r="SFX63" s="1"/>
      <c r="SFY63" s="1"/>
      <c r="SFZ63" s="1"/>
      <c r="SGA63" s="1"/>
      <c r="SGB63" s="1"/>
      <c r="SGC63" s="1"/>
      <c r="SGD63" s="1"/>
      <c r="SGE63" s="1"/>
      <c r="SGF63" s="1"/>
      <c r="SGG63" s="1"/>
      <c r="SGH63" s="1"/>
      <c r="SGI63" s="1"/>
      <c r="SGJ63" s="1"/>
      <c r="SGK63" s="1"/>
      <c r="SGL63" s="1"/>
      <c r="SGM63" s="1"/>
      <c r="SGN63" s="1"/>
      <c r="SGO63" s="1"/>
      <c r="SGP63" s="1"/>
      <c r="SGQ63" s="1"/>
      <c r="SGR63" s="1"/>
      <c r="SGS63" s="1"/>
      <c r="SGT63" s="1"/>
      <c r="SGU63" s="1"/>
      <c r="SGV63" s="1"/>
      <c r="SGW63" s="1"/>
      <c r="SGX63" s="1"/>
      <c r="SGY63" s="1"/>
      <c r="SGZ63" s="1"/>
      <c r="SHA63" s="1"/>
      <c r="SHB63" s="1"/>
      <c r="SHC63" s="1"/>
      <c r="SHD63" s="1"/>
      <c r="SHE63" s="1"/>
      <c r="SHF63" s="1"/>
      <c r="SHG63" s="1"/>
      <c r="SHH63" s="1"/>
      <c r="SHI63" s="1"/>
      <c r="SHJ63" s="1"/>
      <c r="SHK63" s="1"/>
      <c r="SHL63" s="1"/>
      <c r="SHM63" s="1"/>
      <c r="SHN63" s="1"/>
      <c r="SHO63" s="1"/>
      <c r="SHP63" s="1"/>
      <c r="SHQ63" s="1"/>
      <c r="SHR63" s="1"/>
      <c r="SHS63" s="1"/>
      <c r="SHT63" s="1"/>
      <c r="SHU63" s="1"/>
      <c r="SHV63" s="1"/>
      <c r="SHW63" s="1"/>
      <c r="SHX63" s="1"/>
      <c r="SHY63" s="1"/>
      <c r="SHZ63" s="1"/>
      <c r="SIA63" s="1"/>
      <c r="SIB63" s="1"/>
      <c r="SIC63" s="1"/>
      <c r="SID63" s="1"/>
      <c r="SIE63" s="1"/>
      <c r="SIF63" s="1"/>
      <c r="SIG63" s="1"/>
      <c r="SIH63" s="1"/>
      <c r="SII63" s="1"/>
      <c r="SIJ63" s="1"/>
      <c r="SIK63" s="1"/>
      <c r="SIL63" s="1"/>
      <c r="SIM63" s="1"/>
      <c r="SIN63" s="1"/>
      <c r="SIO63" s="1"/>
      <c r="SIP63" s="1"/>
      <c r="SIQ63" s="1"/>
      <c r="SIR63" s="1"/>
      <c r="SIS63" s="1"/>
      <c r="SIT63" s="1"/>
      <c r="SIU63" s="1"/>
      <c r="SIV63" s="1"/>
      <c r="SIW63" s="1"/>
      <c r="SIX63" s="1"/>
      <c r="SIY63" s="1"/>
      <c r="SIZ63" s="1"/>
      <c r="SJA63" s="1"/>
      <c r="SJB63" s="1"/>
      <c r="SJC63" s="1"/>
      <c r="SJD63" s="1"/>
      <c r="SJE63" s="1"/>
      <c r="SJF63" s="1"/>
      <c r="SJG63" s="1"/>
      <c r="SJH63" s="1"/>
      <c r="SJI63" s="1"/>
      <c r="SJJ63" s="1"/>
      <c r="SJK63" s="1"/>
      <c r="SJL63" s="1"/>
      <c r="SJM63" s="1"/>
      <c r="SJN63" s="1"/>
      <c r="SJO63" s="1"/>
      <c r="SJP63" s="1"/>
      <c r="SJQ63" s="1"/>
      <c r="SJR63" s="1"/>
      <c r="SJS63" s="1"/>
      <c r="SJT63" s="1"/>
      <c r="SJU63" s="1"/>
      <c r="SJV63" s="1"/>
      <c r="SJW63" s="1"/>
      <c r="SJX63" s="1"/>
      <c r="SJY63" s="1"/>
      <c r="SJZ63" s="1"/>
      <c r="SKA63" s="1"/>
      <c r="SKB63" s="1"/>
      <c r="SKC63" s="1"/>
      <c r="SKD63" s="1"/>
      <c r="SKE63" s="1"/>
      <c r="SKF63" s="1"/>
      <c r="SKG63" s="1"/>
      <c r="SKH63" s="1"/>
      <c r="SKI63" s="1"/>
      <c r="SKJ63" s="1"/>
      <c r="SKK63" s="1"/>
      <c r="SKL63" s="1"/>
      <c r="SKM63" s="1"/>
      <c r="SKN63" s="1"/>
      <c r="SKO63" s="1"/>
      <c r="SKP63" s="1"/>
      <c r="SKQ63" s="1"/>
      <c r="SKR63" s="1"/>
      <c r="SKS63" s="1"/>
      <c r="SKT63" s="1"/>
      <c r="SKU63" s="1"/>
      <c r="SKV63" s="1"/>
      <c r="SKW63" s="1"/>
      <c r="SKX63" s="1"/>
      <c r="SKY63" s="1"/>
      <c r="SKZ63" s="1"/>
      <c r="SLA63" s="1"/>
      <c r="SLB63" s="1"/>
      <c r="SLC63" s="1"/>
      <c r="SLD63" s="1"/>
      <c r="SLE63" s="1"/>
      <c r="SLF63" s="1"/>
      <c r="SLG63" s="1"/>
      <c r="SLH63" s="1"/>
      <c r="SLI63" s="1"/>
      <c r="SLJ63" s="1"/>
      <c r="SLK63" s="1"/>
      <c r="SLL63" s="1"/>
      <c r="SLM63" s="1"/>
      <c r="SLN63" s="1"/>
      <c r="SLO63" s="1"/>
      <c r="SLP63" s="1"/>
      <c r="SLQ63" s="1"/>
      <c r="SLR63" s="1"/>
      <c r="SLS63" s="1"/>
      <c r="SLT63" s="1"/>
      <c r="SLU63" s="1"/>
      <c r="SLV63" s="1"/>
      <c r="SLW63" s="1"/>
      <c r="SLX63" s="1"/>
      <c r="SLY63" s="1"/>
      <c r="SLZ63" s="1"/>
      <c r="SMA63" s="1"/>
      <c r="SMB63" s="1"/>
      <c r="SMC63" s="1"/>
      <c r="SMD63" s="1"/>
      <c r="SME63" s="1"/>
      <c r="SMF63" s="1"/>
      <c r="SMG63" s="1"/>
      <c r="SMH63" s="1"/>
      <c r="SMI63" s="1"/>
      <c r="SMJ63" s="1"/>
      <c r="SMK63" s="1"/>
      <c r="SML63" s="1"/>
      <c r="SMM63" s="1"/>
      <c r="SMN63" s="1"/>
      <c r="SMO63" s="1"/>
      <c r="SMP63" s="1"/>
      <c r="SMQ63" s="1"/>
      <c r="SMR63" s="1"/>
      <c r="SMS63" s="1"/>
      <c r="SMT63" s="1"/>
      <c r="SMU63" s="1"/>
      <c r="SMV63" s="1"/>
      <c r="SMW63" s="1"/>
      <c r="SMX63" s="1"/>
      <c r="SMY63" s="1"/>
      <c r="SMZ63" s="1"/>
      <c r="SNA63" s="1"/>
      <c r="SNB63" s="1"/>
      <c r="SNC63" s="1"/>
      <c r="SND63" s="1"/>
      <c r="SNE63" s="1"/>
      <c r="SNF63" s="1"/>
      <c r="SNG63" s="1"/>
      <c r="SNH63" s="1"/>
      <c r="SNI63" s="1"/>
      <c r="SNJ63" s="1"/>
      <c r="SNK63" s="1"/>
      <c r="SNL63" s="1"/>
      <c r="SNM63" s="1"/>
      <c r="SNN63" s="1"/>
      <c r="SNO63" s="1"/>
      <c r="SNP63" s="1"/>
      <c r="SNQ63" s="1"/>
      <c r="SNR63" s="1"/>
      <c r="SNS63" s="1"/>
      <c r="SNT63" s="1"/>
      <c r="SNU63" s="1"/>
      <c r="SNV63" s="1"/>
      <c r="SNW63" s="1"/>
      <c r="SNX63" s="1"/>
      <c r="SNY63" s="1"/>
      <c r="SNZ63" s="1"/>
      <c r="SOA63" s="1"/>
      <c r="SOB63" s="1"/>
      <c r="SOC63" s="1"/>
      <c r="SOD63" s="1"/>
      <c r="SOE63" s="1"/>
      <c r="SOF63" s="1"/>
      <c r="SOG63" s="1"/>
      <c r="SOH63" s="1"/>
      <c r="SOI63" s="1"/>
      <c r="SOJ63" s="1"/>
      <c r="SOK63" s="1"/>
      <c r="SOL63" s="1"/>
      <c r="SOM63" s="1"/>
      <c r="SON63" s="1"/>
      <c r="SOO63" s="1"/>
      <c r="SOP63" s="1"/>
      <c r="SOQ63" s="1"/>
      <c r="SOR63" s="1"/>
      <c r="SOS63" s="1"/>
      <c r="SOT63" s="1"/>
      <c r="SOU63" s="1"/>
      <c r="SOV63" s="1"/>
      <c r="SOW63" s="1"/>
      <c r="SOX63" s="1"/>
      <c r="SOY63" s="1"/>
      <c r="SOZ63" s="1"/>
      <c r="SPA63" s="1"/>
      <c r="SPB63" s="1"/>
      <c r="SPC63" s="1"/>
      <c r="SPD63" s="1"/>
      <c r="SPE63" s="1"/>
      <c r="SPF63" s="1"/>
      <c r="SPG63" s="1"/>
      <c r="SPH63" s="1"/>
      <c r="SPI63" s="1"/>
      <c r="SPJ63" s="1"/>
      <c r="SPK63" s="1"/>
      <c r="SPL63" s="1"/>
      <c r="SPM63" s="1"/>
      <c r="SPN63" s="1"/>
      <c r="SPO63" s="1"/>
      <c r="SPP63" s="1"/>
      <c r="SPQ63" s="1"/>
      <c r="SPR63" s="1"/>
      <c r="SPS63" s="1"/>
      <c r="SPT63" s="1"/>
      <c r="SPU63" s="1"/>
      <c r="SPV63" s="1"/>
      <c r="SPW63" s="1"/>
      <c r="SPX63" s="1"/>
      <c r="SPY63" s="1"/>
      <c r="SPZ63" s="1"/>
      <c r="SQA63" s="1"/>
      <c r="SQB63" s="1"/>
      <c r="SQC63" s="1"/>
      <c r="SQD63" s="1"/>
      <c r="SQE63" s="1"/>
      <c r="SQF63" s="1"/>
      <c r="SQG63" s="1"/>
      <c r="SQH63" s="1"/>
      <c r="SQI63" s="1"/>
      <c r="SQJ63" s="1"/>
      <c r="SQK63" s="1"/>
      <c r="SQL63" s="1"/>
      <c r="SQM63" s="1"/>
      <c r="SQN63" s="1"/>
      <c r="SQO63" s="1"/>
      <c r="SQP63" s="1"/>
      <c r="SQQ63" s="1"/>
      <c r="SQR63" s="1"/>
      <c r="SQS63" s="1"/>
      <c r="SQT63" s="1"/>
      <c r="SQU63" s="1"/>
      <c r="SQV63" s="1"/>
      <c r="SQW63" s="1"/>
      <c r="SQX63" s="1"/>
      <c r="SQY63" s="1"/>
      <c r="SQZ63" s="1"/>
      <c r="SRA63" s="1"/>
      <c r="SRB63" s="1"/>
      <c r="SRC63" s="1"/>
      <c r="SRD63" s="1"/>
      <c r="SRE63" s="1"/>
      <c r="SRF63" s="1"/>
      <c r="SRG63" s="1"/>
      <c r="SRH63" s="1"/>
      <c r="SRI63" s="1"/>
      <c r="SRJ63" s="1"/>
      <c r="SRK63" s="1"/>
      <c r="SRL63" s="1"/>
      <c r="SRM63" s="1"/>
      <c r="SRN63" s="1"/>
      <c r="SRO63" s="1"/>
      <c r="SRP63" s="1"/>
      <c r="SRQ63" s="1"/>
      <c r="SRR63" s="1"/>
      <c r="SRS63" s="1"/>
      <c r="SRT63" s="1"/>
      <c r="SRU63" s="1"/>
      <c r="SRV63" s="1"/>
      <c r="SRW63" s="1"/>
      <c r="SRX63" s="1"/>
      <c r="SRY63" s="1"/>
      <c r="SRZ63" s="1"/>
      <c r="SSA63" s="1"/>
      <c r="SSB63" s="1"/>
      <c r="SSC63" s="1"/>
      <c r="SSD63" s="1"/>
      <c r="SSE63" s="1"/>
      <c r="SSF63" s="1"/>
      <c r="SSG63" s="1"/>
      <c r="SSH63" s="1"/>
      <c r="SSI63" s="1"/>
      <c r="SSJ63" s="1"/>
      <c r="SSK63" s="1"/>
      <c r="SSL63" s="1"/>
      <c r="SSM63" s="1"/>
      <c r="SSN63" s="1"/>
      <c r="SSO63" s="1"/>
      <c r="SSP63" s="1"/>
      <c r="SSQ63" s="1"/>
      <c r="SSR63" s="1"/>
      <c r="SSS63" s="1"/>
      <c r="SST63" s="1"/>
      <c r="SSU63" s="1"/>
      <c r="SSV63" s="1"/>
      <c r="SSW63" s="1"/>
      <c r="SSX63" s="1"/>
      <c r="SSY63" s="1"/>
      <c r="SSZ63" s="1"/>
      <c r="STA63" s="1"/>
      <c r="STB63" s="1"/>
      <c r="STC63" s="1"/>
      <c r="STD63" s="1"/>
      <c r="STE63" s="1"/>
      <c r="STF63" s="1"/>
      <c r="STG63" s="1"/>
      <c r="STH63" s="1"/>
      <c r="STI63" s="1"/>
      <c r="STJ63" s="1"/>
      <c r="STK63" s="1"/>
      <c r="STL63" s="1"/>
      <c r="STM63" s="1"/>
      <c r="STN63" s="1"/>
      <c r="STO63" s="1"/>
      <c r="STP63" s="1"/>
      <c r="STQ63" s="1"/>
      <c r="STR63" s="1"/>
      <c r="STS63" s="1"/>
      <c r="STT63" s="1"/>
      <c r="STU63" s="1"/>
      <c r="STV63" s="1"/>
      <c r="STW63" s="1"/>
      <c r="STX63" s="1"/>
      <c r="STY63" s="1"/>
      <c r="STZ63" s="1"/>
      <c r="SUA63" s="1"/>
      <c r="SUB63" s="1"/>
      <c r="SUC63" s="1"/>
      <c r="SUD63" s="1"/>
      <c r="SUE63" s="1"/>
      <c r="SUF63" s="1"/>
      <c r="SUG63" s="1"/>
      <c r="SUH63" s="1"/>
      <c r="SUI63" s="1"/>
      <c r="SUJ63" s="1"/>
      <c r="SUK63" s="1"/>
      <c r="SUL63" s="1"/>
      <c r="SUM63" s="1"/>
      <c r="SUN63" s="1"/>
      <c r="SUO63" s="1"/>
      <c r="SUP63" s="1"/>
      <c r="SUQ63" s="1"/>
      <c r="SUR63" s="1"/>
      <c r="SUS63" s="1"/>
      <c r="SUT63" s="1"/>
      <c r="SUU63" s="1"/>
      <c r="SUV63" s="1"/>
      <c r="SUW63" s="1"/>
      <c r="SUX63" s="1"/>
      <c r="SUY63" s="1"/>
      <c r="SUZ63" s="1"/>
      <c r="SVA63" s="1"/>
      <c r="SVB63" s="1"/>
      <c r="SVC63" s="1"/>
      <c r="SVD63" s="1"/>
      <c r="SVE63" s="1"/>
      <c r="SVF63" s="1"/>
      <c r="SVG63" s="1"/>
      <c r="SVH63" s="1"/>
      <c r="SVI63" s="1"/>
      <c r="SVJ63" s="1"/>
      <c r="SVK63" s="1"/>
      <c r="SVL63" s="1"/>
      <c r="SVM63" s="1"/>
      <c r="SVN63" s="1"/>
      <c r="SVO63" s="1"/>
      <c r="SVP63" s="1"/>
      <c r="SVQ63" s="1"/>
      <c r="SVR63" s="1"/>
      <c r="SVS63" s="1"/>
      <c r="SVT63" s="1"/>
      <c r="SVU63" s="1"/>
      <c r="SVV63" s="1"/>
      <c r="SVW63" s="1"/>
      <c r="SVX63" s="1"/>
      <c r="SVY63" s="1"/>
      <c r="SVZ63" s="1"/>
      <c r="SWA63" s="1"/>
      <c r="SWB63" s="1"/>
      <c r="SWC63" s="1"/>
      <c r="SWD63" s="1"/>
      <c r="SWE63" s="1"/>
      <c r="SWF63" s="1"/>
      <c r="SWG63" s="1"/>
      <c r="SWH63" s="1"/>
      <c r="SWI63" s="1"/>
      <c r="SWJ63" s="1"/>
      <c r="SWK63" s="1"/>
      <c r="SWL63" s="1"/>
      <c r="SWM63" s="1"/>
      <c r="SWN63" s="1"/>
      <c r="SWO63" s="1"/>
      <c r="SWP63" s="1"/>
      <c r="SWQ63" s="1"/>
      <c r="SWR63" s="1"/>
      <c r="SWS63" s="1"/>
      <c r="SWT63" s="1"/>
      <c r="SWU63" s="1"/>
      <c r="SWV63" s="1"/>
      <c r="SWW63" s="1"/>
      <c r="SWX63" s="1"/>
      <c r="SWY63" s="1"/>
      <c r="SWZ63" s="1"/>
      <c r="SXA63" s="1"/>
      <c r="SXB63" s="1"/>
      <c r="SXC63" s="1"/>
      <c r="SXD63" s="1"/>
      <c r="SXE63" s="1"/>
      <c r="SXF63" s="1"/>
      <c r="SXG63" s="1"/>
      <c r="SXH63" s="1"/>
      <c r="SXI63" s="1"/>
      <c r="SXJ63" s="1"/>
      <c r="SXK63" s="1"/>
      <c r="SXL63" s="1"/>
      <c r="SXM63" s="1"/>
      <c r="SXN63" s="1"/>
      <c r="SXO63" s="1"/>
      <c r="SXP63" s="1"/>
      <c r="SXQ63" s="1"/>
      <c r="SXR63" s="1"/>
      <c r="SXS63" s="1"/>
      <c r="SXT63" s="1"/>
      <c r="SXU63" s="1"/>
      <c r="SXV63" s="1"/>
      <c r="SXW63" s="1"/>
      <c r="SXX63" s="1"/>
      <c r="SXY63" s="1"/>
      <c r="SXZ63" s="1"/>
      <c r="SYA63" s="1"/>
      <c r="SYB63" s="1"/>
      <c r="SYC63" s="1"/>
      <c r="SYD63" s="1"/>
      <c r="SYE63" s="1"/>
      <c r="SYF63" s="1"/>
      <c r="SYG63" s="1"/>
      <c r="SYH63" s="1"/>
      <c r="SYI63" s="1"/>
      <c r="SYJ63" s="1"/>
      <c r="SYK63" s="1"/>
      <c r="SYL63" s="1"/>
      <c r="SYM63" s="1"/>
      <c r="SYN63" s="1"/>
      <c r="SYO63" s="1"/>
      <c r="SYP63" s="1"/>
      <c r="SYQ63" s="1"/>
      <c r="SYR63" s="1"/>
      <c r="SYS63" s="1"/>
      <c r="SYT63" s="1"/>
      <c r="SYU63" s="1"/>
      <c r="SYV63" s="1"/>
      <c r="SYW63" s="1"/>
      <c r="SYX63" s="1"/>
      <c r="SYY63" s="1"/>
      <c r="SYZ63" s="1"/>
      <c r="SZA63" s="1"/>
      <c r="SZB63" s="1"/>
      <c r="SZC63" s="1"/>
      <c r="SZD63" s="1"/>
      <c r="SZE63" s="1"/>
      <c r="SZF63" s="1"/>
      <c r="SZG63" s="1"/>
      <c r="SZH63" s="1"/>
      <c r="SZI63" s="1"/>
      <c r="SZJ63" s="1"/>
      <c r="SZK63" s="1"/>
      <c r="SZL63" s="1"/>
      <c r="SZM63" s="1"/>
      <c r="SZN63" s="1"/>
      <c r="SZO63" s="1"/>
      <c r="SZP63" s="1"/>
      <c r="SZQ63" s="1"/>
      <c r="SZR63" s="1"/>
      <c r="SZS63" s="1"/>
      <c r="SZT63" s="1"/>
      <c r="SZU63" s="1"/>
      <c r="SZV63" s="1"/>
      <c r="SZW63" s="1"/>
      <c r="SZX63" s="1"/>
      <c r="SZY63" s="1"/>
      <c r="SZZ63" s="1"/>
      <c r="TAA63" s="1"/>
      <c r="TAB63" s="1"/>
      <c r="TAC63" s="1"/>
      <c r="TAD63" s="1"/>
      <c r="TAE63" s="1"/>
      <c r="TAF63" s="1"/>
      <c r="TAG63" s="1"/>
      <c r="TAH63" s="1"/>
      <c r="TAI63" s="1"/>
      <c r="TAJ63" s="1"/>
      <c r="TAK63" s="1"/>
      <c r="TAL63" s="1"/>
      <c r="TAM63" s="1"/>
      <c r="TAN63" s="1"/>
      <c r="TAO63" s="1"/>
      <c r="TAP63" s="1"/>
      <c r="TAQ63" s="1"/>
      <c r="TAR63" s="1"/>
      <c r="TAS63" s="1"/>
      <c r="TAT63" s="1"/>
      <c r="TAU63" s="1"/>
      <c r="TAV63" s="1"/>
      <c r="TAW63" s="1"/>
      <c r="TAX63" s="1"/>
      <c r="TAY63" s="1"/>
      <c r="TAZ63" s="1"/>
      <c r="TBA63" s="1"/>
      <c r="TBB63" s="1"/>
      <c r="TBC63" s="1"/>
      <c r="TBD63" s="1"/>
      <c r="TBE63" s="1"/>
      <c r="TBF63" s="1"/>
      <c r="TBG63" s="1"/>
      <c r="TBH63" s="1"/>
      <c r="TBI63" s="1"/>
      <c r="TBJ63" s="1"/>
      <c r="TBK63" s="1"/>
      <c r="TBL63" s="1"/>
      <c r="TBM63" s="1"/>
      <c r="TBN63" s="1"/>
      <c r="TBO63" s="1"/>
      <c r="TBP63" s="1"/>
      <c r="TBQ63" s="1"/>
      <c r="TBR63" s="1"/>
      <c r="TBS63" s="1"/>
      <c r="TBT63" s="1"/>
      <c r="TBU63" s="1"/>
      <c r="TBV63" s="1"/>
      <c r="TBW63" s="1"/>
      <c r="TBX63" s="1"/>
      <c r="TBY63" s="1"/>
      <c r="TBZ63" s="1"/>
      <c r="TCA63" s="1"/>
      <c r="TCB63" s="1"/>
      <c r="TCC63" s="1"/>
      <c r="TCD63" s="1"/>
      <c r="TCE63" s="1"/>
      <c r="TCF63" s="1"/>
      <c r="TCG63" s="1"/>
      <c r="TCH63" s="1"/>
      <c r="TCI63" s="1"/>
      <c r="TCJ63" s="1"/>
      <c r="TCK63" s="1"/>
      <c r="TCL63" s="1"/>
      <c r="TCM63" s="1"/>
      <c r="TCN63" s="1"/>
      <c r="TCO63" s="1"/>
      <c r="TCP63" s="1"/>
      <c r="TCQ63" s="1"/>
      <c r="TCR63" s="1"/>
      <c r="TCS63" s="1"/>
      <c r="TCT63" s="1"/>
      <c r="TCU63" s="1"/>
      <c r="TCV63" s="1"/>
      <c r="TCW63" s="1"/>
      <c r="TCX63" s="1"/>
      <c r="TCY63" s="1"/>
      <c r="TCZ63" s="1"/>
      <c r="TDA63" s="1"/>
      <c r="TDB63" s="1"/>
      <c r="TDC63" s="1"/>
      <c r="TDD63" s="1"/>
      <c r="TDE63" s="1"/>
      <c r="TDF63" s="1"/>
      <c r="TDG63" s="1"/>
      <c r="TDH63" s="1"/>
      <c r="TDI63" s="1"/>
      <c r="TDJ63" s="1"/>
      <c r="TDK63" s="1"/>
      <c r="TDL63" s="1"/>
      <c r="TDM63" s="1"/>
      <c r="TDN63" s="1"/>
      <c r="TDO63" s="1"/>
      <c r="TDP63" s="1"/>
      <c r="TDQ63" s="1"/>
      <c r="TDR63" s="1"/>
      <c r="TDS63" s="1"/>
      <c r="TDT63" s="1"/>
      <c r="TDU63" s="1"/>
      <c r="TDV63" s="1"/>
      <c r="TDW63" s="1"/>
      <c r="TDX63" s="1"/>
      <c r="TDY63" s="1"/>
      <c r="TDZ63" s="1"/>
      <c r="TEA63" s="1"/>
      <c r="TEB63" s="1"/>
      <c r="TEC63" s="1"/>
      <c r="TED63" s="1"/>
      <c r="TEE63" s="1"/>
      <c r="TEF63" s="1"/>
      <c r="TEG63" s="1"/>
      <c r="TEH63" s="1"/>
      <c r="TEI63" s="1"/>
      <c r="TEJ63" s="1"/>
      <c r="TEK63" s="1"/>
      <c r="TEL63" s="1"/>
      <c r="TEM63" s="1"/>
      <c r="TEN63" s="1"/>
      <c r="TEO63" s="1"/>
      <c r="TEP63" s="1"/>
      <c r="TEQ63" s="1"/>
      <c r="TER63" s="1"/>
      <c r="TES63" s="1"/>
      <c r="TET63" s="1"/>
      <c r="TEU63" s="1"/>
      <c r="TEV63" s="1"/>
      <c r="TEW63" s="1"/>
      <c r="TEX63" s="1"/>
      <c r="TEY63" s="1"/>
      <c r="TEZ63" s="1"/>
      <c r="TFA63" s="1"/>
      <c r="TFB63" s="1"/>
      <c r="TFC63" s="1"/>
      <c r="TFD63" s="1"/>
      <c r="TFE63" s="1"/>
      <c r="TFF63" s="1"/>
      <c r="TFG63" s="1"/>
      <c r="TFH63" s="1"/>
      <c r="TFI63" s="1"/>
      <c r="TFJ63" s="1"/>
      <c r="TFK63" s="1"/>
      <c r="TFL63" s="1"/>
      <c r="TFM63" s="1"/>
      <c r="TFN63" s="1"/>
      <c r="TFO63" s="1"/>
      <c r="TFP63" s="1"/>
      <c r="TFQ63" s="1"/>
      <c r="TFR63" s="1"/>
      <c r="TFS63" s="1"/>
      <c r="TFT63" s="1"/>
      <c r="TFU63" s="1"/>
      <c r="TFV63" s="1"/>
      <c r="TFW63" s="1"/>
      <c r="TFX63" s="1"/>
      <c r="TFY63" s="1"/>
      <c r="TFZ63" s="1"/>
      <c r="TGA63" s="1"/>
      <c r="TGB63" s="1"/>
      <c r="TGC63" s="1"/>
      <c r="TGD63" s="1"/>
      <c r="TGE63" s="1"/>
      <c r="TGF63" s="1"/>
      <c r="TGG63" s="1"/>
      <c r="TGH63" s="1"/>
      <c r="TGI63" s="1"/>
      <c r="TGJ63" s="1"/>
      <c r="TGK63" s="1"/>
      <c r="TGL63" s="1"/>
      <c r="TGM63" s="1"/>
      <c r="TGN63" s="1"/>
      <c r="TGO63" s="1"/>
      <c r="TGP63" s="1"/>
      <c r="TGQ63" s="1"/>
      <c r="TGR63" s="1"/>
      <c r="TGS63" s="1"/>
      <c r="TGT63" s="1"/>
      <c r="TGU63" s="1"/>
      <c r="TGV63" s="1"/>
      <c r="TGW63" s="1"/>
      <c r="TGX63" s="1"/>
      <c r="TGY63" s="1"/>
      <c r="TGZ63" s="1"/>
      <c r="THA63" s="1"/>
      <c r="THB63" s="1"/>
      <c r="THC63" s="1"/>
      <c r="THD63" s="1"/>
      <c r="THE63" s="1"/>
      <c r="THF63" s="1"/>
      <c r="THG63" s="1"/>
      <c r="THH63" s="1"/>
      <c r="THI63" s="1"/>
      <c r="THJ63" s="1"/>
      <c r="THK63" s="1"/>
      <c r="THL63" s="1"/>
      <c r="THM63" s="1"/>
      <c r="THN63" s="1"/>
      <c r="THO63" s="1"/>
      <c r="THP63" s="1"/>
      <c r="THQ63" s="1"/>
      <c r="THR63" s="1"/>
      <c r="THS63" s="1"/>
      <c r="THT63" s="1"/>
      <c r="THU63" s="1"/>
      <c r="THV63" s="1"/>
      <c r="THW63" s="1"/>
      <c r="THX63" s="1"/>
      <c r="THY63" s="1"/>
      <c r="THZ63" s="1"/>
      <c r="TIA63" s="1"/>
      <c r="TIB63" s="1"/>
      <c r="TIC63" s="1"/>
      <c r="TID63" s="1"/>
      <c r="TIE63" s="1"/>
      <c r="TIF63" s="1"/>
      <c r="TIG63" s="1"/>
      <c r="TIH63" s="1"/>
      <c r="TII63" s="1"/>
      <c r="TIJ63" s="1"/>
      <c r="TIK63" s="1"/>
      <c r="TIL63" s="1"/>
      <c r="TIM63" s="1"/>
      <c r="TIN63" s="1"/>
      <c r="TIO63" s="1"/>
      <c r="TIP63" s="1"/>
      <c r="TIQ63" s="1"/>
      <c r="TIR63" s="1"/>
      <c r="TIS63" s="1"/>
      <c r="TIT63" s="1"/>
      <c r="TIU63" s="1"/>
      <c r="TIV63" s="1"/>
      <c r="TIW63" s="1"/>
      <c r="TIX63" s="1"/>
      <c r="TIY63" s="1"/>
      <c r="TIZ63" s="1"/>
      <c r="TJA63" s="1"/>
      <c r="TJB63" s="1"/>
      <c r="TJC63" s="1"/>
      <c r="TJD63" s="1"/>
      <c r="TJE63" s="1"/>
      <c r="TJF63" s="1"/>
      <c r="TJG63" s="1"/>
      <c r="TJH63" s="1"/>
      <c r="TJI63" s="1"/>
      <c r="TJJ63" s="1"/>
      <c r="TJK63" s="1"/>
      <c r="TJL63" s="1"/>
      <c r="TJM63" s="1"/>
      <c r="TJN63" s="1"/>
      <c r="TJO63" s="1"/>
      <c r="TJP63" s="1"/>
      <c r="TJQ63" s="1"/>
      <c r="TJR63" s="1"/>
      <c r="TJS63" s="1"/>
      <c r="TJT63" s="1"/>
      <c r="TJU63" s="1"/>
      <c r="TJV63" s="1"/>
      <c r="TJW63" s="1"/>
      <c r="TJX63" s="1"/>
      <c r="TJY63" s="1"/>
      <c r="TJZ63" s="1"/>
      <c r="TKA63" s="1"/>
      <c r="TKB63" s="1"/>
      <c r="TKC63" s="1"/>
      <c r="TKD63" s="1"/>
      <c r="TKE63" s="1"/>
      <c r="TKF63" s="1"/>
      <c r="TKG63" s="1"/>
      <c r="TKH63" s="1"/>
      <c r="TKI63" s="1"/>
      <c r="TKJ63" s="1"/>
      <c r="TKK63" s="1"/>
      <c r="TKL63" s="1"/>
      <c r="TKM63" s="1"/>
      <c r="TKN63" s="1"/>
      <c r="TKO63" s="1"/>
      <c r="TKP63" s="1"/>
      <c r="TKQ63" s="1"/>
      <c r="TKR63" s="1"/>
      <c r="TKS63" s="1"/>
      <c r="TKT63" s="1"/>
      <c r="TKU63" s="1"/>
      <c r="TKV63" s="1"/>
      <c r="TKW63" s="1"/>
      <c r="TKX63" s="1"/>
      <c r="TKY63" s="1"/>
      <c r="TKZ63" s="1"/>
      <c r="TLA63" s="1"/>
      <c r="TLB63" s="1"/>
      <c r="TLC63" s="1"/>
      <c r="TLD63" s="1"/>
      <c r="TLE63" s="1"/>
      <c r="TLF63" s="1"/>
      <c r="TLG63" s="1"/>
      <c r="TLH63" s="1"/>
      <c r="TLI63" s="1"/>
      <c r="TLJ63" s="1"/>
      <c r="TLK63" s="1"/>
      <c r="TLL63" s="1"/>
      <c r="TLM63" s="1"/>
      <c r="TLN63" s="1"/>
      <c r="TLO63" s="1"/>
      <c r="TLP63" s="1"/>
      <c r="TLQ63" s="1"/>
      <c r="TLR63" s="1"/>
      <c r="TLS63" s="1"/>
      <c r="TLT63" s="1"/>
      <c r="TLU63" s="1"/>
      <c r="TLV63" s="1"/>
      <c r="TLW63" s="1"/>
      <c r="TLX63" s="1"/>
      <c r="TLY63" s="1"/>
      <c r="TLZ63" s="1"/>
      <c r="TMA63" s="1"/>
      <c r="TMB63" s="1"/>
      <c r="TMC63" s="1"/>
      <c r="TMD63" s="1"/>
      <c r="TME63" s="1"/>
      <c r="TMF63" s="1"/>
      <c r="TMG63" s="1"/>
      <c r="TMH63" s="1"/>
      <c r="TMI63" s="1"/>
      <c r="TMJ63" s="1"/>
      <c r="TMK63" s="1"/>
      <c r="TML63" s="1"/>
      <c r="TMM63" s="1"/>
      <c r="TMN63" s="1"/>
      <c r="TMO63" s="1"/>
      <c r="TMP63" s="1"/>
      <c r="TMQ63" s="1"/>
      <c r="TMR63" s="1"/>
      <c r="TMS63" s="1"/>
      <c r="TMT63" s="1"/>
      <c r="TMU63" s="1"/>
      <c r="TMV63" s="1"/>
      <c r="TMW63" s="1"/>
      <c r="TMX63" s="1"/>
      <c r="TMY63" s="1"/>
      <c r="TMZ63" s="1"/>
      <c r="TNA63" s="1"/>
      <c r="TNB63" s="1"/>
      <c r="TNC63" s="1"/>
      <c r="TND63" s="1"/>
      <c r="TNE63" s="1"/>
      <c r="TNF63" s="1"/>
      <c r="TNG63" s="1"/>
      <c r="TNH63" s="1"/>
      <c r="TNI63" s="1"/>
      <c r="TNJ63" s="1"/>
      <c r="TNK63" s="1"/>
      <c r="TNL63" s="1"/>
      <c r="TNM63" s="1"/>
      <c r="TNN63" s="1"/>
      <c r="TNO63" s="1"/>
      <c r="TNP63" s="1"/>
      <c r="TNQ63" s="1"/>
      <c r="TNR63" s="1"/>
      <c r="TNS63" s="1"/>
      <c r="TNT63" s="1"/>
      <c r="TNU63" s="1"/>
      <c r="TNV63" s="1"/>
      <c r="TNW63" s="1"/>
      <c r="TNX63" s="1"/>
      <c r="TNY63" s="1"/>
      <c r="TNZ63" s="1"/>
      <c r="TOA63" s="1"/>
      <c r="TOB63" s="1"/>
      <c r="TOC63" s="1"/>
      <c r="TOD63" s="1"/>
      <c r="TOE63" s="1"/>
      <c r="TOF63" s="1"/>
      <c r="TOG63" s="1"/>
      <c r="TOH63" s="1"/>
      <c r="TOI63" s="1"/>
      <c r="TOJ63" s="1"/>
      <c r="TOK63" s="1"/>
      <c r="TOL63" s="1"/>
      <c r="TOM63" s="1"/>
      <c r="TON63" s="1"/>
      <c r="TOO63" s="1"/>
      <c r="TOP63" s="1"/>
      <c r="TOQ63" s="1"/>
      <c r="TOR63" s="1"/>
      <c r="TOS63" s="1"/>
      <c r="TOT63" s="1"/>
      <c r="TOU63" s="1"/>
      <c r="TOV63" s="1"/>
      <c r="TOW63" s="1"/>
      <c r="TOX63" s="1"/>
      <c r="TOY63" s="1"/>
      <c r="TOZ63" s="1"/>
      <c r="TPA63" s="1"/>
      <c r="TPB63" s="1"/>
      <c r="TPC63" s="1"/>
      <c r="TPD63" s="1"/>
      <c r="TPE63" s="1"/>
      <c r="TPF63" s="1"/>
      <c r="TPG63" s="1"/>
      <c r="TPH63" s="1"/>
      <c r="TPI63" s="1"/>
      <c r="TPJ63" s="1"/>
      <c r="TPK63" s="1"/>
      <c r="TPL63" s="1"/>
      <c r="TPM63" s="1"/>
      <c r="TPN63" s="1"/>
      <c r="TPO63" s="1"/>
      <c r="TPP63" s="1"/>
      <c r="TPQ63" s="1"/>
      <c r="TPR63" s="1"/>
      <c r="TPS63" s="1"/>
      <c r="TPT63" s="1"/>
      <c r="TPU63" s="1"/>
      <c r="TPV63" s="1"/>
      <c r="TPW63" s="1"/>
      <c r="TPX63" s="1"/>
      <c r="TPY63" s="1"/>
      <c r="TPZ63" s="1"/>
      <c r="TQA63" s="1"/>
      <c r="TQB63" s="1"/>
      <c r="TQC63" s="1"/>
      <c r="TQD63" s="1"/>
      <c r="TQE63" s="1"/>
      <c r="TQF63" s="1"/>
      <c r="TQG63" s="1"/>
      <c r="TQH63" s="1"/>
      <c r="TQI63" s="1"/>
      <c r="TQJ63" s="1"/>
      <c r="TQK63" s="1"/>
      <c r="TQL63" s="1"/>
      <c r="TQM63" s="1"/>
      <c r="TQN63" s="1"/>
      <c r="TQO63" s="1"/>
      <c r="TQP63" s="1"/>
      <c r="TQQ63" s="1"/>
      <c r="TQR63" s="1"/>
      <c r="TQS63" s="1"/>
      <c r="TQT63" s="1"/>
      <c r="TQU63" s="1"/>
      <c r="TQV63" s="1"/>
      <c r="TQW63" s="1"/>
      <c r="TQX63" s="1"/>
      <c r="TQY63" s="1"/>
      <c r="TQZ63" s="1"/>
      <c r="TRA63" s="1"/>
      <c r="TRB63" s="1"/>
      <c r="TRC63" s="1"/>
      <c r="TRD63" s="1"/>
      <c r="TRE63" s="1"/>
      <c r="TRF63" s="1"/>
      <c r="TRG63" s="1"/>
      <c r="TRH63" s="1"/>
      <c r="TRI63" s="1"/>
      <c r="TRJ63" s="1"/>
      <c r="TRK63" s="1"/>
      <c r="TRL63" s="1"/>
      <c r="TRM63" s="1"/>
      <c r="TRN63" s="1"/>
      <c r="TRO63" s="1"/>
      <c r="TRP63" s="1"/>
      <c r="TRQ63" s="1"/>
      <c r="TRR63" s="1"/>
      <c r="TRS63" s="1"/>
      <c r="TRT63" s="1"/>
      <c r="TRU63" s="1"/>
      <c r="TRV63" s="1"/>
      <c r="TRW63" s="1"/>
      <c r="TRX63" s="1"/>
      <c r="TRY63" s="1"/>
      <c r="TRZ63" s="1"/>
      <c r="TSA63" s="1"/>
      <c r="TSB63" s="1"/>
      <c r="TSC63" s="1"/>
      <c r="TSD63" s="1"/>
      <c r="TSE63" s="1"/>
      <c r="TSF63" s="1"/>
      <c r="TSG63" s="1"/>
      <c r="TSH63" s="1"/>
      <c r="TSI63" s="1"/>
      <c r="TSJ63" s="1"/>
      <c r="TSK63" s="1"/>
      <c r="TSL63" s="1"/>
      <c r="TSM63" s="1"/>
      <c r="TSN63" s="1"/>
      <c r="TSO63" s="1"/>
      <c r="TSP63" s="1"/>
      <c r="TSQ63" s="1"/>
      <c r="TSR63" s="1"/>
      <c r="TSS63" s="1"/>
      <c r="TST63" s="1"/>
      <c r="TSU63" s="1"/>
      <c r="TSV63" s="1"/>
      <c r="TSW63" s="1"/>
      <c r="TSX63" s="1"/>
      <c r="TSY63" s="1"/>
      <c r="TSZ63" s="1"/>
      <c r="TTA63" s="1"/>
      <c r="TTB63" s="1"/>
      <c r="TTC63" s="1"/>
      <c r="TTD63" s="1"/>
      <c r="TTE63" s="1"/>
      <c r="TTF63" s="1"/>
      <c r="TTG63" s="1"/>
      <c r="TTH63" s="1"/>
      <c r="TTI63" s="1"/>
      <c r="TTJ63" s="1"/>
      <c r="TTK63" s="1"/>
      <c r="TTL63" s="1"/>
      <c r="TTM63" s="1"/>
      <c r="TTN63" s="1"/>
      <c r="TTO63" s="1"/>
      <c r="TTP63" s="1"/>
      <c r="TTQ63" s="1"/>
      <c r="TTR63" s="1"/>
      <c r="TTS63" s="1"/>
      <c r="TTT63" s="1"/>
      <c r="TTU63" s="1"/>
      <c r="TTV63" s="1"/>
      <c r="TTW63" s="1"/>
      <c r="TTX63" s="1"/>
      <c r="TTY63" s="1"/>
      <c r="TTZ63" s="1"/>
      <c r="TUA63" s="1"/>
      <c r="TUB63" s="1"/>
      <c r="TUC63" s="1"/>
      <c r="TUD63" s="1"/>
      <c r="TUE63" s="1"/>
      <c r="TUF63" s="1"/>
      <c r="TUG63" s="1"/>
      <c r="TUH63" s="1"/>
      <c r="TUI63" s="1"/>
      <c r="TUJ63" s="1"/>
      <c r="TUK63" s="1"/>
      <c r="TUL63" s="1"/>
      <c r="TUM63" s="1"/>
      <c r="TUN63" s="1"/>
      <c r="TUO63" s="1"/>
      <c r="TUP63" s="1"/>
      <c r="TUQ63" s="1"/>
      <c r="TUR63" s="1"/>
      <c r="TUS63" s="1"/>
      <c r="TUT63" s="1"/>
      <c r="TUU63" s="1"/>
      <c r="TUV63" s="1"/>
      <c r="TUW63" s="1"/>
      <c r="TUX63" s="1"/>
      <c r="TUY63" s="1"/>
      <c r="TUZ63" s="1"/>
      <c r="TVA63" s="1"/>
      <c r="TVB63" s="1"/>
      <c r="TVC63" s="1"/>
      <c r="TVD63" s="1"/>
      <c r="TVE63" s="1"/>
      <c r="TVF63" s="1"/>
      <c r="TVG63" s="1"/>
      <c r="TVH63" s="1"/>
      <c r="TVI63" s="1"/>
      <c r="TVJ63" s="1"/>
      <c r="TVK63" s="1"/>
      <c r="TVL63" s="1"/>
      <c r="TVM63" s="1"/>
      <c r="TVN63" s="1"/>
      <c r="TVO63" s="1"/>
      <c r="TVP63" s="1"/>
      <c r="TVQ63" s="1"/>
      <c r="TVR63" s="1"/>
      <c r="TVS63" s="1"/>
      <c r="TVT63" s="1"/>
      <c r="TVU63" s="1"/>
      <c r="TVV63" s="1"/>
      <c r="TVW63" s="1"/>
      <c r="TVX63" s="1"/>
      <c r="TVY63" s="1"/>
      <c r="TVZ63" s="1"/>
      <c r="TWA63" s="1"/>
      <c r="TWB63" s="1"/>
      <c r="TWC63" s="1"/>
      <c r="TWD63" s="1"/>
      <c r="TWE63" s="1"/>
      <c r="TWF63" s="1"/>
      <c r="TWG63" s="1"/>
      <c r="TWH63" s="1"/>
      <c r="TWI63" s="1"/>
      <c r="TWJ63" s="1"/>
      <c r="TWK63" s="1"/>
      <c r="TWL63" s="1"/>
      <c r="TWM63" s="1"/>
      <c r="TWN63" s="1"/>
      <c r="TWO63" s="1"/>
      <c r="TWP63" s="1"/>
      <c r="TWQ63" s="1"/>
      <c r="TWR63" s="1"/>
      <c r="TWS63" s="1"/>
      <c r="TWT63" s="1"/>
      <c r="TWU63" s="1"/>
      <c r="TWV63" s="1"/>
      <c r="TWW63" s="1"/>
      <c r="TWX63" s="1"/>
      <c r="TWY63" s="1"/>
      <c r="TWZ63" s="1"/>
      <c r="TXA63" s="1"/>
      <c r="TXB63" s="1"/>
      <c r="TXC63" s="1"/>
      <c r="TXD63" s="1"/>
      <c r="TXE63" s="1"/>
      <c r="TXF63" s="1"/>
      <c r="TXG63" s="1"/>
      <c r="TXH63" s="1"/>
      <c r="TXI63" s="1"/>
      <c r="TXJ63" s="1"/>
      <c r="TXK63" s="1"/>
      <c r="TXL63" s="1"/>
      <c r="TXM63" s="1"/>
      <c r="TXN63" s="1"/>
      <c r="TXO63" s="1"/>
      <c r="TXP63" s="1"/>
      <c r="TXQ63" s="1"/>
      <c r="TXR63" s="1"/>
      <c r="TXS63" s="1"/>
      <c r="TXT63" s="1"/>
      <c r="TXU63" s="1"/>
      <c r="TXV63" s="1"/>
      <c r="TXW63" s="1"/>
      <c r="TXX63" s="1"/>
      <c r="TXY63" s="1"/>
      <c r="TXZ63" s="1"/>
      <c r="TYA63" s="1"/>
      <c r="TYB63" s="1"/>
      <c r="TYC63" s="1"/>
      <c r="TYD63" s="1"/>
      <c r="TYE63" s="1"/>
      <c r="TYF63" s="1"/>
      <c r="TYG63" s="1"/>
      <c r="TYH63" s="1"/>
      <c r="TYI63" s="1"/>
      <c r="TYJ63" s="1"/>
      <c r="TYK63" s="1"/>
      <c r="TYL63" s="1"/>
      <c r="TYM63" s="1"/>
      <c r="TYN63" s="1"/>
      <c r="TYO63" s="1"/>
      <c r="TYP63" s="1"/>
      <c r="TYQ63" s="1"/>
      <c r="TYR63" s="1"/>
      <c r="TYS63" s="1"/>
      <c r="TYT63" s="1"/>
      <c r="TYU63" s="1"/>
      <c r="TYV63" s="1"/>
      <c r="TYW63" s="1"/>
      <c r="TYX63" s="1"/>
      <c r="TYY63" s="1"/>
      <c r="TYZ63" s="1"/>
      <c r="TZA63" s="1"/>
      <c r="TZB63" s="1"/>
      <c r="TZC63" s="1"/>
      <c r="TZD63" s="1"/>
      <c r="TZE63" s="1"/>
      <c r="TZF63" s="1"/>
      <c r="TZG63" s="1"/>
      <c r="TZH63" s="1"/>
      <c r="TZI63" s="1"/>
      <c r="TZJ63" s="1"/>
      <c r="TZK63" s="1"/>
      <c r="TZL63" s="1"/>
      <c r="TZM63" s="1"/>
      <c r="TZN63" s="1"/>
      <c r="TZO63" s="1"/>
      <c r="TZP63" s="1"/>
      <c r="TZQ63" s="1"/>
      <c r="TZR63" s="1"/>
      <c r="TZS63" s="1"/>
      <c r="TZT63" s="1"/>
      <c r="TZU63" s="1"/>
      <c r="TZV63" s="1"/>
      <c r="TZW63" s="1"/>
      <c r="TZX63" s="1"/>
      <c r="TZY63" s="1"/>
      <c r="TZZ63" s="1"/>
      <c r="UAA63" s="1"/>
      <c r="UAB63" s="1"/>
      <c r="UAC63" s="1"/>
      <c r="UAD63" s="1"/>
      <c r="UAE63" s="1"/>
      <c r="UAF63" s="1"/>
      <c r="UAG63" s="1"/>
      <c r="UAH63" s="1"/>
      <c r="UAI63" s="1"/>
      <c r="UAJ63" s="1"/>
      <c r="UAK63" s="1"/>
      <c r="UAL63" s="1"/>
      <c r="UAM63" s="1"/>
      <c r="UAN63" s="1"/>
      <c r="UAO63" s="1"/>
      <c r="UAP63" s="1"/>
      <c r="UAQ63" s="1"/>
      <c r="UAR63" s="1"/>
      <c r="UAS63" s="1"/>
      <c r="UAT63" s="1"/>
      <c r="UAU63" s="1"/>
      <c r="UAV63" s="1"/>
      <c r="UAW63" s="1"/>
      <c r="UAX63" s="1"/>
      <c r="UAY63" s="1"/>
      <c r="UAZ63" s="1"/>
      <c r="UBA63" s="1"/>
      <c r="UBB63" s="1"/>
      <c r="UBC63" s="1"/>
      <c r="UBD63" s="1"/>
      <c r="UBE63" s="1"/>
      <c r="UBF63" s="1"/>
      <c r="UBG63" s="1"/>
      <c r="UBH63" s="1"/>
      <c r="UBI63" s="1"/>
      <c r="UBJ63" s="1"/>
      <c r="UBK63" s="1"/>
      <c r="UBL63" s="1"/>
      <c r="UBM63" s="1"/>
      <c r="UBN63" s="1"/>
      <c r="UBO63" s="1"/>
      <c r="UBP63" s="1"/>
      <c r="UBQ63" s="1"/>
      <c r="UBR63" s="1"/>
      <c r="UBS63" s="1"/>
      <c r="UBT63" s="1"/>
      <c r="UBU63" s="1"/>
      <c r="UBV63" s="1"/>
      <c r="UBW63" s="1"/>
      <c r="UBX63" s="1"/>
      <c r="UBY63" s="1"/>
      <c r="UBZ63" s="1"/>
      <c r="UCA63" s="1"/>
      <c r="UCB63" s="1"/>
      <c r="UCC63" s="1"/>
      <c r="UCD63" s="1"/>
      <c r="UCE63" s="1"/>
      <c r="UCF63" s="1"/>
      <c r="UCG63" s="1"/>
      <c r="UCH63" s="1"/>
      <c r="UCI63" s="1"/>
      <c r="UCJ63" s="1"/>
      <c r="UCK63" s="1"/>
      <c r="UCL63" s="1"/>
      <c r="UCM63" s="1"/>
      <c r="UCN63" s="1"/>
      <c r="UCO63" s="1"/>
      <c r="UCP63" s="1"/>
      <c r="UCQ63" s="1"/>
      <c r="UCR63" s="1"/>
      <c r="UCS63" s="1"/>
      <c r="UCT63" s="1"/>
      <c r="UCU63" s="1"/>
      <c r="UCV63" s="1"/>
      <c r="UCW63" s="1"/>
      <c r="UCX63" s="1"/>
      <c r="UCY63" s="1"/>
      <c r="UCZ63" s="1"/>
      <c r="UDA63" s="1"/>
      <c r="UDB63" s="1"/>
      <c r="UDC63" s="1"/>
      <c r="UDD63" s="1"/>
      <c r="UDE63" s="1"/>
      <c r="UDF63" s="1"/>
      <c r="UDG63" s="1"/>
      <c r="UDH63" s="1"/>
      <c r="UDI63" s="1"/>
      <c r="UDJ63" s="1"/>
      <c r="UDK63" s="1"/>
      <c r="UDL63" s="1"/>
      <c r="UDM63" s="1"/>
      <c r="UDN63" s="1"/>
      <c r="UDO63" s="1"/>
      <c r="UDP63" s="1"/>
      <c r="UDQ63" s="1"/>
      <c r="UDR63" s="1"/>
      <c r="UDS63" s="1"/>
      <c r="UDT63" s="1"/>
      <c r="UDU63" s="1"/>
      <c r="UDV63" s="1"/>
      <c r="UDW63" s="1"/>
      <c r="UDX63" s="1"/>
      <c r="UDY63" s="1"/>
      <c r="UDZ63" s="1"/>
      <c r="UEA63" s="1"/>
      <c r="UEB63" s="1"/>
      <c r="UEC63" s="1"/>
      <c r="UED63" s="1"/>
      <c r="UEE63" s="1"/>
      <c r="UEF63" s="1"/>
      <c r="UEG63" s="1"/>
      <c r="UEH63" s="1"/>
      <c r="UEI63" s="1"/>
      <c r="UEJ63" s="1"/>
      <c r="UEK63" s="1"/>
      <c r="UEL63" s="1"/>
      <c r="UEM63" s="1"/>
      <c r="UEN63" s="1"/>
      <c r="UEO63" s="1"/>
      <c r="UEP63" s="1"/>
      <c r="UEQ63" s="1"/>
      <c r="UER63" s="1"/>
      <c r="UES63" s="1"/>
      <c r="UET63" s="1"/>
      <c r="UEU63" s="1"/>
      <c r="UEV63" s="1"/>
      <c r="UEW63" s="1"/>
      <c r="UEX63" s="1"/>
      <c r="UEY63" s="1"/>
      <c r="UEZ63" s="1"/>
      <c r="UFA63" s="1"/>
      <c r="UFB63" s="1"/>
      <c r="UFC63" s="1"/>
      <c r="UFD63" s="1"/>
      <c r="UFE63" s="1"/>
      <c r="UFF63" s="1"/>
      <c r="UFG63" s="1"/>
      <c r="UFH63" s="1"/>
      <c r="UFI63" s="1"/>
      <c r="UFJ63" s="1"/>
      <c r="UFK63" s="1"/>
      <c r="UFL63" s="1"/>
      <c r="UFM63" s="1"/>
      <c r="UFN63" s="1"/>
      <c r="UFO63" s="1"/>
      <c r="UFP63" s="1"/>
      <c r="UFQ63" s="1"/>
      <c r="UFR63" s="1"/>
      <c r="UFS63" s="1"/>
      <c r="UFT63" s="1"/>
      <c r="UFU63" s="1"/>
      <c r="UFV63" s="1"/>
      <c r="UFW63" s="1"/>
      <c r="UFX63" s="1"/>
      <c r="UFY63" s="1"/>
      <c r="UFZ63" s="1"/>
      <c r="UGA63" s="1"/>
      <c r="UGB63" s="1"/>
      <c r="UGC63" s="1"/>
      <c r="UGD63" s="1"/>
      <c r="UGE63" s="1"/>
      <c r="UGF63" s="1"/>
      <c r="UGG63" s="1"/>
      <c r="UGH63" s="1"/>
      <c r="UGI63" s="1"/>
      <c r="UGJ63" s="1"/>
      <c r="UGK63" s="1"/>
      <c r="UGL63" s="1"/>
      <c r="UGM63" s="1"/>
      <c r="UGN63" s="1"/>
      <c r="UGO63" s="1"/>
      <c r="UGP63" s="1"/>
      <c r="UGQ63" s="1"/>
      <c r="UGR63" s="1"/>
      <c r="UGS63" s="1"/>
      <c r="UGT63" s="1"/>
      <c r="UGU63" s="1"/>
      <c r="UGV63" s="1"/>
      <c r="UGW63" s="1"/>
      <c r="UGX63" s="1"/>
      <c r="UGY63" s="1"/>
      <c r="UGZ63" s="1"/>
      <c r="UHA63" s="1"/>
      <c r="UHB63" s="1"/>
      <c r="UHC63" s="1"/>
      <c r="UHD63" s="1"/>
      <c r="UHE63" s="1"/>
      <c r="UHF63" s="1"/>
      <c r="UHG63" s="1"/>
      <c r="UHH63" s="1"/>
      <c r="UHI63" s="1"/>
      <c r="UHJ63" s="1"/>
      <c r="UHK63" s="1"/>
      <c r="UHL63" s="1"/>
      <c r="UHM63" s="1"/>
      <c r="UHN63" s="1"/>
      <c r="UHO63" s="1"/>
      <c r="UHP63" s="1"/>
      <c r="UHQ63" s="1"/>
      <c r="UHR63" s="1"/>
      <c r="UHS63" s="1"/>
      <c r="UHT63" s="1"/>
      <c r="UHU63" s="1"/>
      <c r="UHV63" s="1"/>
      <c r="UHW63" s="1"/>
      <c r="UHX63" s="1"/>
      <c r="UHY63" s="1"/>
      <c r="UHZ63" s="1"/>
      <c r="UIA63" s="1"/>
      <c r="UIB63" s="1"/>
      <c r="UIC63" s="1"/>
      <c r="UID63" s="1"/>
      <c r="UIE63" s="1"/>
      <c r="UIF63" s="1"/>
      <c r="UIG63" s="1"/>
      <c r="UIH63" s="1"/>
      <c r="UII63" s="1"/>
      <c r="UIJ63" s="1"/>
      <c r="UIK63" s="1"/>
      <c r="UIL63" s="1"/>
      <c r="UIM63" s="1"/>
      <c r="UIN63" s="1"/>
      <c r="UIO63" s="1"/>
      <c r="UIP63" s="1"/>
      <c r="UIQ63" s="1"/>
      <c r="UIR63" s="1"/>
      <c r="UIS63" s="1"/>
      <c r="UIT63" s="1"/>
      <c r="UIU63" s="1"/>
      <c r="UIV63" s="1"/>
      <c r="UIW63" s="1"/>
      <c r="UIX63" s="1"/>
      <c r="UIY63" s="1"/>
      <c r="UIZ63" s="1"/>
      <c r="UJA63" s="1"/>
      <c r="UJB63" s="1"/>
      <c r="UJC63" s="1"/>
      <c r="UJD63" s="1"/>
      <c r="UJE63" s="1"/>
      <c r="UJF63" s="1"/>
      <c r="UJG63" s="1"/>
      <c r="UJH63" s="1"/>
      <c r="UJI63" s="1"/>
      <c r="UJJ63" s="1"/>
      <c r="UJK63" s="1"/>
      <c r="UJL63" s="1"/>
      <c r="UJM63" s="1"/>
      <c r="UJN63" s="1"/>
      <c r="UJO63" s="1"/>
      <c r="UJP63" s="1"/>
      <c r="UJQ63" s="1"/>
      <c r="UJR63" s="1"/>
      <c r="UJS63" s="1"/>
      <c r="UJT63" s="1"/>
      <c r="UJU63" s="1"/>
      <c r="UJV63" s="1"/>
      <c r="UJW63" s="1"/>
      <c r="UJX63" s="1"/>
      <c r="UJY63" s="1"/>
      <c r="UJZ63" s="1"/>
      <c r="UKA63" s="1"/>
      <c r="UKB63" s="1"/>
      <c r="UKC63" s="1"/>
      <c r="UKD63" s="1"/>
      <c r="UKE63" s="1"/>
      <c r="UKF63" s="1"/>
      <c r="UKG63" s="1"/>
      <c r="UKH63" s="1"/>
      <c r="UKI63" s="1"/>
      <c r="UKJ63" s="1"/>
      <c r="UKK63" s="1"/>
      <c r="UKL63" s="1"/>
      <c r="UKM63" s="1"/>
      <c r="UKN63" s="1"/>
      <c r="UKO63" s="1"/>
      <c r="UKP63" s="1"/>
      <c r="UKQ63" s="1"/>
      <c r="UKR63" s="1"/>
      <c r="UKS63" s="1"/>
      <c r="UKT63" s="1"/>
      <c r="UKU63" s="1"/>
      <c r="UKV63" s="1"/>
      <c r="UKW63" s="1"/>
      <c r="UKX63" s="1"/>
      <c r="UKY63" s="1"/>
      <c r="UKZ63" s="1"/>
      <c r="ULA63" s="1"/>
      <c r="ULB63" s="1"/>
      <c r="ULC63" s="1"/>
      <c r="ULD63" s="1"/>
      <c r="ULE63" s="1"/>
      <c r="ULF63" s="1"/>
      <c r="ULG63" s="1"/>
      <c r="ULH63" s="1"/>
      <c r="ULI63" s="1"/>
      <c r="ULJ63" s="1"/>
      <c r="ULK63" s="1"/>
      <c r="ULL63" s="1"/>
      <c r="ULM63" s="1"/>
      <c r="ULN63" s="1"/>
      <c r="ULO63" s="1"/>
      <c r="ULP63" s="1"/>
      <c r="ULQ63" s="1"/>
      <c r="ULR63" s="1"/>
      <c r="ULS63" s="1"/>
      <c r="ULT63" s="1"/>
      <c r="ULU63" s="1"/>
      <c r="ULV63" s="1"/>
      <c r="ULW63" s="1"/>
      <c r="ULX63" s="1"/>
      <c r="ULY63" s="1"/>
      <c r="ULZ63" s="1"/>
      <c r="UMA63" s="1"/>
      <c r="UMB63" s="1"/>
      <c r="UMC63" s="1"/>
      <c r="UMD63" s="1"/>
      <c r="UME63" s="1"/>
      <c r="UMF63" s="1"/>
      <c r="UMG63" s="1"/>
      <c r="UMH63" s="1"/>
      <c r="UMI63" s="1"/>
      <c r="UMJ63" s="1"/>
      <c r="UMK63" s="1"/>
      <c r="UML63" s="1"/>
      <c r="UMM63" s="1"/>
      <c r="UMN63" s="1"/>
      <c r="UMO63" s="1"/>
      <c r="UMP63" s="1"/>
      <c r="UMQ63" s="1"/>
      <c r="UMR63" s="1"/>
      <c r="UMS63" s="1"/>
      <c r="UMT63" s="1"/>
      <c r="UMU63" s="1"/>
      <c r="UMV63" s="1"/>
      <c r="UMW63" s="1"/>
      <c r="UMX63" s="1"/>
      <c r="UMY63" s="1"/>
      <c r="UMZ63" s="1"/>
      <c r="UNA63" s="1"/>
      <c r="UNB63" s="1"/>
      <c r="UNC63" s="1"/>
      <c r="UND63" s="1"/>
      <c r="UNE63" s="1"/>
      <c r="UNF63" s="1"/>
      <c r="UNG63" s="1"/>
      <c r="UNH63" s="1"/>
      <c r="UNI63" s="1"/>
      <c r="UNJ63" s="1"/>
      <c r="UNK63" s="1"/>
      <c r="UNL63" s="1"/>
      <c r="UNM63" s="1"/>
      <c r="UNN63" s="1"/>
      <c r="UNO63" s="1"/>
      <c r="UNP63" s="1"/>
      <c r="UNQ63" s="1"/>
      <c r="UNR63" s="1"/>
      <c r="UNS63" s="1"/>
      <c r="UNT63" s="1"/>
      <c r="UNU63" s="1"/>
      <c r="UNV63" s="1"/>
      <c r="UNW63" s="1"/>
      <c r="UNX63" s="1"/>
      <c r="UNY63" s="1"/>
      <c r="UNZ63" s="1"/>
      <c r="UOA63" s="1"/>
      <c r="UOB63" s="1"/>
      <c r="UOC63" s="1"/>
      <c r="UOD63" s="1"/>
      <c r="UOE63" s="1"/>
      <c r="UOF63" s="1"/>
      <c r="UOG63" s="1"/>
      <c r="UOH63" s="1"/>
      <c r="UOI63" s="1"/>
      <c r="UOJ63" s="1"/>
      <c r="UOK63" s="1"/>
      <c r="UOL63" s="1"/>
      <c r="UOM63" s="1"/>
      <c r="UON63" s="1"/>
      <c r="UOO63" s="1"/>
      <c r="UOP63" s="1"/>
      <c r="UOQ63" s="1"/>
      <c r="UOR63" s="1"/>
      <c r="UOS63" s="1"/>
      <c r="UOT63" s="1"/>
      <c r="UOU63" s="1"/>
      <c r="UOV63" s="1"/>
      <c r="UOW63" s="1"/>
      <c r="UOX63" s="1"/>
      <c r="UOY63" s="1"/>
      <c r="UOZ63" s="1"/>
      <c r="UPA63" s="1"/>
      <c r="UPB63" s="1"/>
      <c r="UPC63" s="1"/>
      <c r="UPD63" s="1"/>
      <c r="UPE63" s="1"/>
      <c r="UPF63" s="1"/>
      <c r="UPG63" s="1"/>
      <c r="UPH63" s="1"/>
      <c r="UPI63" s="1"/>
      <c r="UPJ63" s="1"/>
      <c r="UPK63" s="1"/>
      <c r="UPL63" s="1"/>
      <c r="UPM63" s="1"/>
      <c r="UPN63" s="1"/>
      <c r="UPO63" s="1"/>
      <c r="UPP63" s="1"/>
      <c r="UPQ63" s="1"/>
      <c r="UPR63" s="1"/>
      <c r="UPS63" s="1"/>
      <c r="UPT63" s="1"/>
      <c r="UPU63" s="1"/>
      <c r="UPV63" s="1"/>
      <c r="UPW63" s="1"/>
      <c r="UPX63" s="1"/>
      <c r="UPY63" s="1"/>
      <c r="UPZ63" s="1"/>
      <c r="UQA63" s="1"/>
      <c r="UQB63" s="1"/>
      <c r="UQC63" s="1"/>
      <c r="UQD63" s="1"/>
      <c r="UQE63" s="1"/>
      <c r="UQF63" s="1"/>
      <c r="UQG63" s="1"/>
      <c r="UQH63" s="1"/>
      <c r="UQI63" s="1"/>
      <c r="UQJ63" s="1"/>
      <c r="UQK63" s="1"/>
      <c r="UQL63" s="1"/>
      <c r="UQM63" s="1"/>
      <c r="UQN63" s="1"/>
      <c r="UQO63" s="1"/>
      <c r="UQP63" s="1"/>
      <c r="UQQ63" s="1"/>
      <c r="UQR63" s="1"/>
      <c r="UQS63" s="1"/>
      <c r="UQT63" s="1"/>
      <c r="UQU63" s="1"/>
      <c r="UQV63" s="1"/>
      <c r="UQW63" s="1"/>
      <c r="UQX63" s="1"/>
      <c r="UQY63" s="1"/>
      <c r="UQZ63" s="1"/>
      <c r="URA63" s="1"/>
      <c r="URB63" s="1"/>
      <c r="URC63" s="1"/>
      <c r="URD63" s="1"/>
      <c r="URE63" s="1"/>
      <c r="URF63" s="1"/>
      <c r="URG63" s="1"/>
      <c r="URH63" s="1"/>
      <c r="URI63" s="1"/>
      <c r="URJ63" s="1"/>
      <c r="URK63" s="1"/>
      <c r="URL63" s="1"/>
      <c r="URM63" s="1"/>
      <c r="URN63" s="1"/>
      <c r="URO63" s="1"/>
      <c r="URP63" s="1"/>
      <c r="URQ63" s="1"/>
      <c r="URR63" s="1"/>
      <c r="URS63" s="1"/>
      <c r="URT63" s="1"/>
      <c r="URU63" s="1"/>
      <c r="URV63" s="1"/>
      <c r="URW63" s="1"/>
      <c r="URX63" s="1"/>
      <c r="URY63" s="1"/>
      <c r="URZ63" s="1"/>
      <c r="USA63" s="1"/>
      <c r="USB63" s="1"/>
      <c r="USC63" s="1"/>
      <c r="USD63" s="1"/>
      <c r="USE63" s="1"/>
      <c r="USF63" s="1"/>
      <c r="USG63" s="1"/>
      <c r="USH63" s="1"/>
      <c r="USI63" s="1"/>
      <c r="USJ63" s="1"/>
      <c r="USK63" s="1"/>
      <c r="USL63" s="1"/>
      <c r="USM63" s="1"/>
      <c r="USN63" s="1"/>
      <c r="USO63" s="1"/>
      <c r="USP63" s="1"/>
      <c r="USQ63" s="1"/>
      <c r="USR63" s="1"/>
      <c r="USS63" s="1"/>
      <c r="UST63" s="1"/>
      <c r="USU63" s="1"/>
      <c r="USV63" s="1"/>
      <c r="USW63" s="1"/>
      <c r="USX63" s="1"/>
      <c r="USY63" s="1"/>
      <c r="USZ63" s="1"/>
      <c r="UTA63" s="1"/>
      <c r="UTB63" s="1"/>
      <c r="UTC63" s="1"/>
      <c r="UTD63" s="1"/>
      <c r="UTE63" s="1"/>
      <c r="UTF63" s="1"/>
      <c r="UTG63" s="1"/>
      <c r="UTH63" s="1"/>
      <c r="UTI63" s="1"/>
      <c r="UTJ63" s="1"/>
      <c r="UTK63" s="1"/>
      <c r="UTL63" s="1"/>
      <c r="UTM63" s="1"/>
      <c r="UTN63" s="1"/>
      <c r="UTO63" s="1"/>
      <c r="UTP63" s="1"/>
      <c r="UTQ63" s="1"/>
      <c r="UTR63" s="1"/>
      <c r="UTS63" s="1"/>
      <c r="UTT63" s="1"/>
      <c r="UTU63" s="1"/>
      <c r="UTV63" s="1"/>
      <c r="UTW63" s="1"/>
      <c r="UTX63" s="1"/>
      <c r="UTY63" s="1"/>
      <c r="UTZ63" s="1"/>
      <c r="UUA63" s="1"/>
      <c r="UUB63" s="1"/>
      <c r="UUC63" s="1"/>
      <c r="UUD63" s="1"/>
      <c r="UUE63" s="1"/>
      <c r="UUF63" s="1"/>
      <c r="UUG63" s="1"/>
      <c r="UUH63" s="1"/>
      <c r="UUI63" s="1"/>
      <c r="UUJ63" s="1"/>
      <c r="UUK63" s="1"/>
      <c r="UUL63" s="1"/>
      <c r="UUM63" s="1"/>
      <c r="UUN63" s="1"/>
      <c r="UUO63" s="1"/>
      <c r="UUP63" s="1"/>
      <c r="UUQ63" s="1"/>
      <c r="UUR63" s="1"/>
      <c r="UUS63" s="1"/>
      <c r="UUT63" s="1"/>
      <c r="UUU63" s="1"/>
      <c r="UUV63" s="1"/>
      <c r="UUW63" s="1"/>
      <c r="UUX63" s="1"/>
      <c r="UUY63" s="1"/>
      <c r="UUZ63" s="1"/>
      <c r="UVA63" s="1"/>
      <c r="UVB63" s="1"/>
      <c r="UVC63" s="1"/>
      <c r="UVD63" s="1"/>
      <c r="UVE63" s="1"/>
      <c r="UVF63" s="1"/>
      <c r="UVG63" s="1"/>
      <c r="UVH63" s="1"/>
      <c r="UVI63" s="1"/>
      <c r="UVJ63" s="1"/>
      <c r="UVK63" s="1"/>
      <c r="UVL63" s="1"/>
      <c r="UVM63" s="1"/>
      <c r="UVN63" s="1"/>
      <c r="UVO63" s="1"/>
      <c r="UVP63" s="1"/>
      <c r="UVQ63" s="1"/>
      <c r="UVR63" s="1"/>
      <c r="UVS63" s="1"/>
      <c r="UVT63" s="1"/>
      <c r="UVU63" s="1"/>
      <c r="UVV63" s="1"/>
      <c r="UVW63" s="1"/>
      <c r="UVX63" s="1"/>
      <c r="UVY63" s="1"/>
      <c r="UVZ63" s="1"/>
      <c r="UWA63" s="1"/>
      <c r="UWB63" s="1"/>
      <c r="UWC63" s="1"/>
      <c r="UWD63" s="1"/>
      <c r="UWE63" s="1"/>
      <c r="UWF63" s="1"/>
      <c r="UWG63" s="1"/>
      <c r="UWH63" s="1"/>
      <c r="UWI63" s="1"/>
      <c r="UWJ63" s="1"/>
      <c r="UWK63" s="1"/>
      <c r="UWL63" s="1"/>
      <c r="UWM63" s="1"/>
      <c r="UWN63" s="1"/>
      <c r="UWO63" s="1"/>
      <c r="UWP63" s="1"/>
      <c r="UWQ63" s="1"/>
      <c r="UWR63" s="1"/>
      <c r="UWS63" s="1"/>
      <c r="UWT63" s="1"/>
      <c r="UWU63" s="1"/>
      <c r="UWV63" s="1"/>
      <c r="UWW63" s="1"/>
      <c r="UWX63" s="1"/>
      <c r="UWY63" s="1"/>
      <c r="UWZ63" s="1"/>
      <c r="UXA63" s="1"/>
      <c r="UXB63" s="1"/>
      <c r="UXC63" s="1"/>
      <c r="UXD63" s="1"/>
      <c r="UXE63" s="1"/>
      <c r="UXF63" s="1"/>
      <c r="UXG63" s="1"/>
      <c r="UXH63" s="1"/>
      <c r="UXI63" s="1"/>
      <c r="UXJ63" s="1"/>
      <c r="UXK63" s="1"/>
      <c r="UXL63" s="1"/>
      <c r="UXM63" s="1"/>
      <c r="UXN63" s="1"/>
      <c r="UXO63" s="1"/>
      <c r="UXP63" s="1"/>
      <c r="UXQ63" s="1"/>
      <c r="UXR63" s="1"/>
      <c r="UXS63" s="1"/>
      <c r="UXT63" s="1"/>
      <c r="UXU63" s="1"/>
      <c r="UXV63" s="1"/>
      <c r="UXW63" s="1"/>
      <c r="UXX63" s="1"/>
      <c r="UXY63" s="1"/>
      <c r="UXZ63" s="1"/>
      <c r="UYA63" s="1"/>
      <c r="UYB63" s="1"/>
      <c r="UYC63" s="1"/>
      <c r="UYD63" s="1"/>
      <c r="UYE63" s="1"/>
      <c r="UYF63" s="1"/>
      <c r="UYG63" s="1"/>
      <c r="UYH63" s="1"/>
      <c r="UYI63" s="1"/>
      <c r="UYJ63" s="1"/>
      <c r="UYK63" s="1"/>
      <c r="UYL63" s="1"/>
      <c r="UYM63" s="1"/>
      <c r="UYN63" s="1"/>
      <c r="UYO63" s="1"/>
      <c r="UYP63" s="1"/>
      <c r="UYQ63" s="1"/>
      <c r="UYR63" s="1"/>
      <c r="UYS63" s="1"/>
      <c r="UYT63" s="1"/>
      <c r="UYU63" s="1"/>
      <c r="UYV63" s="1"/>
      <c r="UYW63" s="1"/>
      <c r="UYX63" s="1"/>
      <c r="UYY63" s="1"/>
      <c r="UYZ63" s="1"/>
      <c r="UZA63" s="1"/>
      <c r="UZB63" s="1"/>
      <c r="UZC63" s="1"/>
      <c r="UZD63" s="1"/>
      <c r="UZE63" s="1"/>
      <c r="UZF63" s="1"/>
      <c r="UZG63" s="1"/>
      <c r="UZH63" s="1"/>
      <c r="UZI63" s="1"/>
      <c r="UZJ63" s="1"/>
      <c r="UZK63" s="1"/>
      <c r="UZL63" s="1"/>
      <c r="UZM63" s="1"/>
      <c r="UZN63" s="1"/>
      <c r="UZO63" s="1"/>
      <c r="UZP63" s="1"/>
      <c r="UZQ63" s="1"/>
      <c r="UZR63" s="1"/>
      <c r="UZS63" s="1"/>
      <c r="UZT63" s="1"/>
      <c r="UZU63" s="1"/>
      <c r="UZV63" s="1"/>
      <c r="UZW63" s="1"/>
      <c r="UZX63" s="1"/>
      <c r="UZY63" s="1"/>
      <c r="UZZ63" s="1"/>
      <c r="VAA63" s="1"/>
      <c r="VAB63" s="1"/>
      <c r="VAC63" s="1"/>
      <c r="VAD63" s="1"/>
      <c r="VAE63" s="1"/>
      <c r="VAF63" s="1"/>
      <c r="VAG63" s="1"/>
      <c r="VAH63" s="1"/>
      <c r="VAI63" s="1"/>
      <c r="VAJ63" s="1"/>
      <c r="VAK63" s="1"/>
      <c r="VAL63" s="1"/>
      <c r="VAM63" s="1"/>
      <c r="VAN63" s="1"/>
      <c r="VAO63" s="1"/>
      <c r="VAP63" s="1"/>
      <c r="VAQ63" s="1"/>
      <c r="VAR63" s="1"/>
      <c r="VAS63" s="1"/>
      <c r="VAT63" s="1"/>
      <c r="VAU63" s="1"/>
      <c r="VAV63" s="1"/>
      <c r="VAW63" s="1"/>
      <c r="VAX63" s="1"/>
      <c r="VAY63" s="1"/>
      <c r="VAZ63" s="1"/>
      <c r="VBA63" s="1"/>
      <c r="VBB63" s="1"/>
      <c r="VBC63" s="1"/>
      <c r="VBD63" s="1"/>
      <c r="VBE63" s="1"/>
      <c r="VBF63" s="1"/>
      <c r="VBG63" s="1"/>
      <c r="VBH63" s="1"/>
      <c r="VBI63" s="1"/>
      <c r="VBJ63" s="1"/>
      <c r="VBK63" s="1"/>
      <c r="VBL63" s="1"/>
      <c r="VBM63" s="1"/>
      <c r="VBN63" s="1"/>
      <c r="VBO63" s="1"/>
      <c r="VBP63" s="1"/>
      <c r="VBQ63" s="1"/>
      <c r="VBR63" s="1"/>
      <c r="VBS63" s="1"/>
      <c r="VBT63" s="1"/>
      <c r="VBU63" s="1"/>
      <c r="VBV63" s="1"/>
      <c r="VBW63" s="1"/>
      <c r="VBX63" s="1"/>
      <c r="VBY63" s="1"/>
      <c r="VBZ63" s="1"/>
      <c r="VCA63" s="1"/>
      <c r="VCB63" s="1"/>
      <c r="VCC63" s="1"/>
      <c r="VCD63" s="1"/>
      <c r="VCE63" s="1"/>
      <c r="VCF63" s="1"/>
      <c r="VCG63" s="1"/>
      <c r="VCH63" s="1"/>
      <c r="VCI63" s="1"/>
      <c r="VCJ63" s="1"/>
      <c r="VCK63" s="1"/>
      <c r="VCL63" s="1"/>
      <c r="VCM63" s="1"/>
      <c r="VCN63" s="1"/>
      <c r="VCO63" s="1"/>
      <c r="VCP63" s="1"/>
      <c r="VCQ63" s="1"/>
      <c r="VCR63" s="1"/>
      <c r="VCS63" s="1"/>
      <c r="VCT63" s="1"/>
      <c r="VCU63" s="1"/>
      <c r="VCV63" s="1"/>
      <c r="VCW63" s="1"/>
      <c r="VCX63" s="1"/>
      <c r="VCY63" s="1"/>
      <c r="VCZ63" s="1"/>
      <c r="VDA63" s="1"/>
      <c r="VDB63" s="1"/>
      <c r="VDC63" s="1"/>
      <c r="VDD63" s="1"/>
      <c r="VDE63" s="1"/>
      <c r="VDF63" s="1"/>
      <c r="VDG63" s="1"/>
      <c r="VDH63" s="1"/>
      <c r="VDI63" s="1"/>
      <c r="VDJ63" s="1"/>
      <c r="VDK63" s="1"/>
      <c r="VDL63" s="1"/>
      <c r="VDM63" s="1"/>
      <c r="VDN63" s="1"/>
      <c r="VDO63" s="1"/>
      <c r="VDP63" s="1"/>
      <c r="VDQ63" s="1"/>
      <c r="VDR63" s="1"/>
      <c r="VDS63" s="1"/>
      <c r="VDT63" s="1"/>
      <c r="VDU63" s="1"/>
      <c r="VDV63" s="1"/>
      <c r="VDW63" s="1"/>
      <c r="VDX63" s="1"/>
      <c r="VDY63" s="1"/>
      <c r="VDZ63" s="1"/>
      <c r="VEA63" s="1"/>
      <c r="VEB63" s="1"/>
      <c r="VEC63" s="1"/>
      <c r="VED63" s="1"/>
      <c r="VEE63" s="1"/>
      <c r="VEF63" s="1"/>
      <c r="VEG63" s="1"/>
      <c r="VEH63" s="1"/>
      <c r="VEI63" s="1"/>
      <c r="VEJ63" s="1"/>
      <c r="VEK63" s="1"/>
      <c r="VEL63" s="1"/>
      <c r="VEM63" s="1"/>
      <c r="VEN63" s="1"/>
      <c r="VEO63" s="1"/>
      <c r="VEP63" s="1"/>
      <c r="VEQ63" s="1"/>
      <c r="VER63" s="1"/>
      <c r="VES63" s="1"/>
      <c r="VET63" s="1"/>
      <c r="VEU63" s="1"/>
      <c r="VEV63" s="1"/>
      <c r="VEW63" s="1"/>
      <c r="VEX63" s="1"/>
      <c r="VEY63" s="1"/>
      <c r="VEZ63" s="1"/>
      <c r="VFA63" s="1"/>
      <c r="VFB63" s="1"/>
      <c r="VFC63" s="1"/>
      <c r="VFD63" s="1"/>
      <c r="VFE63" s="1"/>
      <c r="VFF63" s="1"/>
      <c r="VFG63" s="1"/>
      <c r="VFH63" s="1"/>
      <c r="VFI63" s="1"/>
      <c r="VFJ63" s="1"/>
      <c r="VFK63" s="1"/>
      <c r="VFL63" s="1"/>
      <c r="VFM63" s="1"/>
      <c r="VFN63" s="1"/>
      <c r="VFO63" s="1"/>
      <c r="VFP63" s="1"/>
      <c r="VFQ63" s="1"/>
      <c r="VFR63" s="1"/>
      <c r="VFS63" s="1"/>
      <c r="VFT63" s="1"/>
      <c r="VFU63" s="1"/>
      <c r="VFV63" s="1"/>
      <c r="VFW63" s="1"/>
      <c r="VFX63" s="1"/>
      <c r="VFY63" s="1"/>
      <c r="VFZ63" s="1"/>
      <c r="VGA63" s="1"/>
      <c r="VGB63" s="1"/>
      <c r="VGC63" s="1"/>
      <c r="VGD63" s="1"/>
      <c r="VGE63" s="1"/>
      <c r="VGF63" s="1"/>
      <c r="VGG63" s="1"/>
      <c r="VGH63" s="1"/>
      <c r="VGI63" s="1"/>
      <c r="VGJ63" s="1"/>
      <c r="VGK63" s="1"/>
      <c r="VGL63" s="1"/>
      <c r="VGM63" s="1"/>
      <c r="VGN63" s="1"/>
      <c r="VGO63" s="1"/>
      <c r="VGP63" s="1"/>
      <c r="VGQ63" s="1"/>
      <c r="VGR63" s="1"/>
      <c r="VGS63" s="1"/>
      <c r="VGT63" s="1"/>
      <c r="VGU63" s="1"/>
      <c r="VGV63" s="1"/>
      <c r="VGW63" s="1"/>
      <c r="VGX63" s="1"/>
      <c r="VGY63" s="1"/>
      <c r="VGZ63" s="1"/>
      <c r="VHA63" s="1"/>
      <c r="VHB63" s="1"/>
      <c r="VHC63" s="1"/>
      <c r="VHD63" s="1"/>
      <c r="VHE63" s="1"/>
      <c r="VHF63" s="1"/>
      <c r="VHG63" s="1"/>
      <c r="VHH63" s="1"/>
      <c r="VHI63" s="1"/>
      <c r="VHJ63" s="1"/>
      <c r="VHK63" s="1"/>
      <c r="VHL63" s="1"/>
      <c r="VHM63" s="1"/>
      <c r="VHN63" s="1"/>
      <c r="VHO63" s="1"/>
      <c r="VHP63" s="1"/>
      <c r="VHQ63" s="1"/>
      <c r="VHR63" s="1"/>
      <c r="VHS63" s="1"/>
      <c r="VHT63" s="1"/>
      <c r="VHU63" s="1"/>
      <c r="VHV63" s="1"/>
      <c r="VHW63" s="1"/>
      <c r="VHX63" s="1"/>
      <c r="VHY63" s="1"/>
      <c r="VHZ63" s="1"/>
      <c r="VIA63" s="1"/>
      <c r="VIB63" s="1"/>
      <c r="VIC63" s="1"/>
      <c r="VID63" s="1"/>
      <c r="VIE63" s="1"/>
      <c r="VIF63" s="1"/>
      <c r="VIG63" s="1"/>
      <c r="VIH63" s="1"/>
      <c r="VII63" s="1"/>
      <c r="VIJ63" s="1"/>
      <c r="VIK63" s="1"/>
      <c r="VIL63" s="1"/>
      <c r="VIM63" s="1"/>
      <c r="VIN63" s="1"/>
      <c r="VIO63" s="1"/>
      <c r="VIP63" s="1"/>
      <c r="VIQ63" s="1"/>
      <c r="VIR63" s="1"/>
      <c r="VIS63" s="1"/>
      <c r="VIT63" s="1"/>
      <c r="VIU63" s="1"/>
      <c r="VIV63" s="1"/>
      <c r="VIW63" s="1"/>
      <c r="VIX63" s="1"/>
      <c r="VIY63" s="1"/>
      <c r="VIZ63" s="1"/>
      <c r="VJA63" s="1"/>
      <c r="VJB63" s="1"/>
      <c r="VJC63" s="1"/>
      <c r="VJD63" s="1"/>
      <c r="VJE63" s="1"/>
      <c r="VJF63" s="1"/>
      <c r="VJG63" s="1"/>
      <c r="VJH63" s="1"/>
      <c r="VJI63" s="1"/>
      <c r="VJJ63" s="1"/>
      <c r="VJK63" s="1"/>
      <c r="VJL63" s="1"/>
      <c r="VJM63" s="1"/>
      <c r="VJN63" s="1"/>
      <c r="VJO63" s="1"/>
      <c r="VJP63" s="1"/>
      <c r="VJQ63" s="1"/>
      <c r="VJR63" s="1"/>
      <c r="VJS63" s="1"/>
      <c r="VJT63" s="1"/>
      <c r="VJU63" s="1"/>
      <c r="VJV63" s="1"/>
      <c r="VJW63" s="1"/>
      <c r="VJX63" s="1"/>
      <c r="VJY63" s="1"/>
      <c r="VJZ63" s="1"/>
      <c r="VKA63" s="1"/>
      <c r="VKB63" s="1"/>
      <c r="VKC63" s="1"/>
      <c r="VKD63" s="1"/>
      <c r="VKE63" s="1"/>
      <c r="VKF63" s="1"/>
      <c r="VKG63" s="1"/>
      <c r="VKH63" s="1"/>
      <c r="VKI63" s="1"/>
      <c r="VKJ63" s="1"/>
      <c r="VKK63" s="1"/>
      <c r="VKL63" s="1"/>
      <c r="VKM63" s="1"/>
      <c r="VKN63" s="1"/>
      <c r="VKO63" s="1"/>
      <c r="VKP63" s="1"/>
      <c r="VKQ63" s="1"/>
      <c r="VKR63" s="1"/>
      <c r="VKS63" s="1"/>
      <c r="VKT63" s="1"/>
      <c r="VKU63" s="1"/>
      <c r="VKV63" s="1"/>
      <c r="VKW63" s="1"/>
      <c r="VKX63" s="1"/>
      <c r="VKY63" s="1"/>
      <c r="VKZ63" s="1"/>
      <c r="VLA63" s="1"/>
      <c r="VLB63" s="1"/>
      <c r="VLC63" s="1"/>
      <c r="VLD63" s="1"/>
      <c r="VLE63" s="1"/>
      <c r="VLF63" s="1"/>
      <c r="VLG63" s="1"/>
      <c r="VLH63" s="1"/>
      <c r="VLI63" s="1"/>
      <c r="VLJ63" s="1"/>
      <c r="VLK63" s="1"/>
      <c r="VLL63" s="1"/>
      <c r="VLM63" s="1"/>
      <c r="VLN63" s="1"/>
      <c r="VLO63" s="1"/>
      <c r="VLP63" s="1"/>
      <c r="VLQ63" s="1"/>
      <c r="VLR63" s="1"/>
      <c r="VLS63" s="1"/>
      <c r="VLT63" s="1"/>
      <c r="VLU63" s="1"/>
      <c r="VLV63" s="1"/>
      <c r="VLW63" s="1"/>
      <c r="VLX63" s="1"/>
      <c r="VLY63" s="1"/>
      <c r="VLZ63" s="1"/>
      <c r="VMA63" s="1"/>
      <c r="VMB63" s="1"/>
      <c r="VMC63" s="1"/>
      <c r="VMD63" s="1"/>
      <c r="VME63" s="1"/>
      <c r="VMF63" s="1"/>
      <c r="VMG63" s="1"/>
      <c r="VMH63" s="1"/>
      <c r="VMI63" s="1"/>
      <c r="VMJ63" s="1"/>
      <c r="VMK63" s="1"/>
      <c r="VML63" s="1"/>
      <c r="VMM63" s="1"/>
      <c r="VMN63" s="1"/>
      <c r="VMO63" s="1"/>
      <c r="VMP63" s="1"/>
      <c r="VMQ63" s="1"/>
      <c r="VMR63" s="1"/>
      <c r="VMS63" s="1"/>
      <c r="VMT63" s="1"/>
      <c r="VMU63" s="1"/>
      <c r="VMV63" s="1"/>
      <c r="VMW63" s="1"/>
      <c r="VMX63" s="1"/>
      <c r="VMY63" s="1"/>
      <c r="VMZ63" s="1"/>
      <c r="VNA63" s="1"/>
      <c r="VNB63" s="1"/>
      <c r="VNC63" s="1"/>
      <c r="VND63" s="1"/>
      <c r="VNE63" s="1"/>
      <c r="VNF63" s="1"/>
      <c r="VNG63" s="1"/>
      <c r="VNH63" s="1"/>
      <c r="VNI63" s="1"/>
      <c r="VNJ63" s="1"/>
      <c r="VNK63" s="1"/>
      <c r="VNL63" s="1"/>
      <c r="VNM63" s="1"/>
      <c r="VNN63" s="1"/>
      <c r="VNO63" s="1"/>
      <c r="VNP63" s="1"/>
      <c r="VNQ63" s="1"/>
      <c r="VNR63" s="1"/>
      <c r="VNS63" s="1"/>
      <c r="VNT63" s="1"/>
      <c r="VNU63" s="1"/>
      <c r="VNV63" s="1"/>
      <c r="VNW63" s="1"/>
      <c r="VNX63" s="1"/>
      <c r="VNY63" s="1"/>
      <c r="VNZ63" s="1"/>
      <c r="VOA63" s="1"/>
      <c r="VOB63" s="1"/>
      <c r="VOC63" s="1"/>
      <c r="VOD63" s="1"/>
      <c r="VOE63" s="1"/>
      <c r="VOF63" s="1"/>
      <c r="VOG63" s="1"/>
      <c r="VOH63" s="1"/>
      <c r="VOI63" s="1"/>
      <c r="VOJ63" s="1"/>
      <c r="VOK63" s="1"/>
      <c r="VOL63" s="1"/>
      <c r="VOM63" s="1"/>
      <c r="VON63" s="1"/>
      <c r="VOO63" s="1"/>
      <c r="VOP63" s="1"/>
      <c r="VOQ63" s="1"/>
      <c r="VOR63" s="1"/>
      <c r="VOS63" s="1"/>
      <c r="VOT63" s="1"/>
      <c r="VOU63" s="1"/>
      <c r="VOV63" s="1"/>
      <c r="VOW63" s="1"/>
      <c r="VOX63" s="1"/>
      <c r="VOY63" s="1"/>
      <c r="VOZ63" s="1"/>
      <c r="VPA63" s="1"/>
      <c r="VPB63" s="1"/>
      <c r="VPC63" s="1"/>
      <c r="VPD63" s="1"/>
      <c r="VPE63" s="1"/>
      <c r="VPF63" s="1"/>
      <c r="VPG63" s="1"/>
      <c r="VPH63" s="1"/>
      <c r="VPI63" s="1"/>
      <c r="VPJ63" s="1"/>
      <c r="VPK63" s="1"/>
      <c r="VPL63" s="1"/>
      <c r="VPM63" s="1"/>
      <c r="VPN63" s="1"/>
      <c r="VPO63" s="1"/>
      <c r="VPP63" s="1"/>
      <c r="VPQ63" s="1"/>
      <c r="VPR63" s="1"/>
      <c r="VPS63" s="1"/>
      <c r="VPT63" s="1"/>
      <c r="VPU63" s="1"/>
      <c r="VPV63" s="1"/>
      <c r="VPW63" s="1"/>
      <c r="VPX63" s="1"/>
      <c r="VPY63" s="1"/>
      <c r="VPZ63" s="1"/>
      <c r="VQA63" s="1"/>
      <c r="VQB63" s="1"/>
      <c r="VQC63" s="1"/>
      <c r="VQD63" s="1"/>
      <c r="VQE63" s="1"/>
      <c r="VQF63" s="1"/>
      <c r="VQG63" s="1"/>
      <c r="VQH63" s="1"/>
      <c r="VQI63" s="1"/>
      <c r="VQJ63" s="1"/>
      <c r="VQK63" s="1"/>
      <c r="VQL63" s="1"/>
      <c r="VQM63" s="1"/>
      <c r="VQN63" s="1"/>
      <c r="VQO63" s="1"/>
      <c r="VQP63" s="1"/>
      <c r="VQQ63" s="1"/>
      <c r="VQR63" s="1"/>
      <c r="VQS63" s="1"/>
      <c r="VQT63" s="1"/>
      <c r="VQU63" s="1"/>
      <c r="VQV63" s="1"/>
      <c r="VQW63" s="1"/>
      <c r="VQX63" s="1"/>
      <c r="VQY63" s="1"/>
      <c r="VQZ63" s="1"/>
      <c r="VRA63" s="1"/>
      <c r="VRB63" s="1"/>
      <c r="VRC63" s="1"/>
      <c r="VRD63" s="1"/>
      <c r="VRE63" s="1"/>
      <c r="VRF63" s="1"/>
      <c r="VRG63" s="1"/>
      <c r="VRH63" s="1"/>
      <c r="VRI63" s="1"/>
      <c r="VRJ63" s="1"/>
      <c r="VRK63" s="1"/>
      <c r="VRL63" s="1"/>
      <c r="VRM63" s="1"/>
      <c r="VRN63" s="1"/>
      <c r="VRO63" s="1"/>
      <c r="VRP63" s="1"/>
      <c r="VRQ63" s="1"/>
      <c r="VRR63" s="1"/>
      <c r="VRS63" s="1"/>
      <c r="VRT63" s="1"/>
      <c r="VRU63" s="1"/>
      <c r="VRV63" s="1"/>
      <c r="VRW63" s="1"/>
      <c r="VRX63" s="1"/>
      <c r="VRY63" s="1"/>
      <c r="VRZ63" s="1"/>
      <c r="VSA63" s="1"/>
      <c r="VSB63" s="1"/>
      <c r="VSC63" s="1"/>
      <c r="VSD63" s="1"/>
      <c r="VSE63" s="1"/>
      <c r="VSF63" s="1"/>
      <c r="VSG63" s="1"/>
      <c r="VSH63" s="1"/>
      <c r="VSI63" s="1"/>
      <c r="VSJ63" s="1"/>
      <c r="VSK63" s="1"/>
      <c r="VSL63" s="1"/>
      <c r="VSM63" s="1"/>
      <c r="VSN63" s="1"/>
      <c r="VSO63" s="1"/>
      <c r="VSP63" s="1"/>
      <c r="VSQ63" s="1"/>
      <c r="VSR63" s="1"/>
      <c r="VSS63" s="1"/>
      <c r="VST63" s="1"/>
      <c r="VSU63" s="1"/>
      <c r="VSV63" s="1"/>
      <c r="VSW63" s="1"/>
      <c r="VSX63" s="1"/>
      <c r="VSY63" s="1"/>
      <c r="VSZ63" s="1"/>
      <c r="VTA63" s="1"/>
      <c r="VTB63" s="1"/>
      <c r="VTC63" s="1"/>
      <c r="VTD63" s="1"/>
      <c r="VTE63" s="1"/>
      <c r="VTF63" s="1"/>
      <c r="VTG63" s="1"/>
      <c r="VTH63" s="1"/>
      <c r="VTI63" s="1"/>
      <c r="VTJ63" s="1"/>
      <c r="VTK63" s="1"/>
      <c r="VTL63" s="1"/>
      <c r="VTM63" s="1"/>
      <c r="VTN63" s="1"/>
      <c r="VTO63" s="1"/>
      <c r="VTP63" s="1"/>
      <c r="VTQ63" s="1"/>
      <c r="VTR63" s="1"/>
      <c r="VTS63" s="1"/>
      <c r="VTT63" s="1"/>
      <c r="VTU63" s="1"/>
      <c r="VTV63" s="1"/>
      <c r="VTW63" s="1"/>
      <c r="VTX63" s="1"/>
      <c r="VTY63" s="1"/>
      <c r="VTZ63" s="1"/>
      <c r="VUA63" s="1"/>
      <c r="VUB63" s="1"/>
      <c r="VUC63" s="1"/>
      <c r="VUD63" s="1"/>
      <c r="VUE63" s="1"/>
      <c r="VUF63" s="1"/>
      <c r="VUG63" s="1"/>
      <c r="VUH63" s="1"/>
      <c r="VUI63" s="1"/>
      <c r="VUJ63" s="1"/>
      <c r="VUK63" s="1"/>
      <c r="VUL63" s="1"/>
      <c r="VUM63" s="1"/>
      <c r="VUN63" s="1"/>
      <c r="VUO63" s="1"/>
      <c r="VUP63" s="1"/>
      <c r="VUQ63" s="1"/>
      <c r="VUR63" s="1"/>
      <c r="VUS63" s="1"/>
      <c r="VUT63" s="1"/>
      <c r="VUU63" s="1"/>
      <c r="VUV63" s="1"/>
      <c r="VUW63" s="1"/>
      <c r="VUX63" s="1"/>
      <c r="VUY63" s="1"/>
      <c r="VUZ63" s="1"/>
      <c r="VVA63" s="1"/>
      <c r="VVB63" s="1"/>
      <c r="VVC63" s="1"/>
      <c r="VVD63" s="1"/>
      <c r="VVE63" s="1"/>
      <c r="VVF63" s="1"/>
      <c r="VVG63" s="1"/>
      <c r="VVH63" s="1"/>
      <c r="VVI63" s="1"/>
      <c r="VVJ63" s="1"/>
      <c r="VVK63" s="1"/>
      <c r="VVL63" s="1"/>
      <c r="VVM63" s="1"/>
      <c r="VVN63" s="1"/>
      <c r="VVO63" s="1"/>
      <c r="VVP63" s="1"/>
      <c r="VVQ63" s="1"/>
      <c r="VVR63" s="1"/>
      <c r="VVS63" s="1"/>
      <c r="VVT63" s="1"/>
      <c r="VVU63" s="1"/>
      <c r="VVV63" s="1"/>
      <c r="VVW63" s="1"/>
      <c r="VVX63" s="1"/>
      <c r="VVY63" s="1"/>
      <c r="VVZ63" s="1"/>
      <c r="VWA63" s="1"/>
      <c r="VWB63" s="1"/>
      <c r="VWC63" s="1"/>
      <c r="VWD63" s="1"/>
      <c r="VWE63" s="1"/>
      <c r="VWF63" s="1"/>
      <c r="VWG63" s="1"/>
      <c r="VWH63" s="1"/>
      <c r="VWI63" s="1"/>
      <c r="VWJ63" s="1"/>
      <c r="VWK63" s="1"/>
      <c r="VWL63" s="1"/>
      <c r="VWM63" s="1"/>
      <c r="VWN63" s="1"/>
      <c r="VWO63" s="1"/>
      <c r="VWP63" s="1"/>
      <c r="VWQ63" s="1"/>
      <c r="VWR63" s="1"/>
      <c r="VWS63" s="1"/>
      <c r="VWT63" s="1"/>
      <c r="VWU63" s="1"/>
      <c r="VWV63" s="1"/>
      <c r="VWW63" s="1"/>
      <c r="VWX63" s="1"/>
      <c r="VWY63" s="1"/>
      <c r="VWZ63" s="1"/>
      <c r="VXA63" s="1"/>
      <c r="VXB63" s="1"/>
      <c r="VXC63" s="1"/>
      <c r="VXD63" s="1"/>
      <c r="VXE63" s="1"/>
      <c r="VXF63" s="1"/>
      <c r="VXG63" s="1"/>
      <c r="VXH63" s="1"/>
      <c r="VXI63" s="1"/>
      <c r="VXJ63" s="1"/>
      <c r="VXK63" s="1"/>
      <c r="VXL63" s="1"/>
      <c r="VXM63" s="1"/>
      <c r="VXN63" s="1"/>
      <c r="VXO63" s="1"/>
      <c r="VXP63" s="1"/>
      <c r="VXQ63" s="1"/>
      <c r="VXR63" s="1"/>
      <c r="VXS63" s="1"/>
      <c r="VXT63" s="1"/>
      <c r="VXU63" s="1"/>
      <c r="VXV63" s="1"/>
      <c r="VXW63" s="1"/>
      <c r="VXX63" s="1"/>
      <c r="VXY63" s="1"/>
      <c r="VXZ63" s="1"/>
      <c r="VYA63" s="1"/>
      <c r="VYB63" s="1"/>
      <c r="VYC63" s="1"/>
      <c r="VYD63" s="1"/>
      <c r="VYE63" s="1"/>
      <c r="VYF63" s="1"/>
      <c r="VYG63" s="1"/>
      <c r="VYH63" s="1"/>
      <c r="VYI63" s="1"/>
      <c r="VYJ63" s="1"/>
      <c r="VYK63" s="1"/>
      <c r="VYL63" s="1"/>
      <c r="VYM63" s="1"/>
      <c r="VYN63" s="1"/>
      <c r="VYO63" s="1"/>
      <c r="VYP63" s="1"/>
      <c r="VYQ63" s="1"/>
      <c r="VYR63" s="1"/>
      <c r="VYS63" s="1"/>
      <c r="VYT63" s="1"/>
      <c r="VYU63" s="1"/>
      <c r="VYV63" s="1"/>
      <c r="VYW63" s="1"/>
      <c r="VYX63" s="1"/>
      <c r="VYY63" s="1"/>
      <c r="VYZ63" s="1"/>
      <c r="VZA63" s="1"/>
      <c r="VZB63" s="1"/>
      <c r="VZC63" s="1"/>
      <c r="VZD63" s="1"/>
      <c r="VZE63" s="1"/>
      <c r="VZF63" s="1"/>
      <c r="VZG63" s="1"/>
      <c r="VZH63" s="1"/>
      <c r="VZI63" s="1"/>
      <c r="VZJ63" s="1"/>
      <c r="VZK63" s="1"/>
      <c r="VZL63" s="1"/>
      <c r="VZM63" s="1"/>
      <c r="VZN63" s="1"/>
      <c r="VZO63" s="1"/>
      <c r="VZP63" s="1"/>
      <c r="VZQ63" s="1"/>
      <c r="VZR63" s="1"/>
      <c r="VZS63" s="1"/>
      <c r="VZT63" s="1"/>
      <c r="VZU63" s="1"/>
      <c r="VZV63" s="1"/>
      <c r="VZW63" s="1"/>
      <c r="VZX63" s="1"/>
      <c r="VZY63" s="1"/>
      <c r="VZZ63" s="1"/>
      <c r="WAA63" s="1"/>
      <c r="WAB63" s="1"/>
      <c r="WAC63" s="1"/>
      <c r="WAD63" s="1"/>
      <c r="WAE63" s="1"/>
      <c r="WAF63" s="1"/>
      <c r="WAG63" s="1"/>
      <c r="WAH63" s="1"/>
      <c r="WAI63" s="1"/>
      <c r="WAJ63" s="1"/>
      <c r="WAK63" s="1"/>
      <c r="WAL63" s="1"/>
      <c r="WAM63" s="1"/>
      <c r="WAN63" s="1"/>
      <c r="WAO63" s="1"/>
      <c r="WAP63" s="1"/>
      <c r="WAQ63" s="1"/>
      <c r="WAR63" s="1"/>
      <c r="WAS63" s="1"/>
      <c r="WAT63" s="1"/>
      <c r="WAU63" s="1"/>
      <c r="WAV63" s="1"/>
      <c r="WAW63" s="1"/>
      <c r="WAX63" s="1"/>
      <c r="WAY63" s="1"/>
      <c r="WAZ63" s="1"/>
      <c r="WBA63" s="1"/>
      <c r="WBB63" s="1"/>
      <c r="WBC63" s="1"/>
      <c r="WBD63" s="1"/>
      <c r="WBE63" s="1"/>
      <c r="WBF63" s="1"/>
      <c r="WBG63" s="1"/>
      <c r="WBH63" s="1"/>
      <c r="WBI63" s="1"/>
      <c r="WBJ63" s="1"/>
      <c r="WBK63" s="1"/>
      <c r="WBL63" s="1"/>
      <c r="WBM63" s="1"/>
      <c r="WBN63" s="1"/>
      <c r="WBO63" s="1"/>
      <c r="WBP63" s="1"/>
      <c r="WBQ63" s="1"/>
      <c r="WBR63" s="1"/>
      <c r="WBS63" s="1"/>
      <c r="WBT63" s="1"/>
      <c r="WBU63" s="1"/>
      <c r="WBV63" s="1"/>
      <c r="WBW63" s="1"/>
      <c r="WBX63" s="1"/>
      <c r="WBY63" s="1"/>
      <c r="WBZ63" s="1"/>
      <c r="WCA63" s="1"/>
      <c r="WCB63" s="1"/>
      <c r="WCC63" s="1"/>
      <c r="WCD63" s="1"/>
      <c r="WCE63" s="1"/>
      <c r="WCF63" s="1"/>
      <c r="WCG63" s="1"/>
      <c r="WCH63" s="1"/>
      <c r="WCI63" s="1"/>
      <c r="WCJ63" s="1"/>
      <c r="WCK63" s="1"/>
      <c r="WCL63" s="1"/>
      <c r="WCM63" s="1"/>
      <c r="WCN63" s="1"/>
      <c r="WCO63" s="1"/>
      <c r="WCP63" s="1"/>
      <c r="WCQ63" s="1"/>
      <c r="WCR63" s="1"/>
      <c r="WCS63" s="1"/>
      <c r="WCT63" s="1"/>
      <c r="WCU63" s="1"/>
      <c r="WCV63" s="1"/>
      <c r="WCW63" s="1"/>
      <c r="WCX63" s="1"/>
      <c r="WCY63" s="1"/>
      <c r="WCZ63" s="1"/>
      <c r="WDA63" s="1"/>
      <c r="WDB63" s="1"/>
      <c r="WDC63" s="1"/>
      <c r="WDD63" s="1"/>
      <c r="WDE63" s="1"/>
      <c r="WDF63" s="1"/>
      <c r="WDG63" s="1"/>
      <c r="WDH63" s="1"/>
      <c r="WDI63" s="1"/>
      <c r="WDJ63" s="1"/>
      <c r="WDK63" s="1"/>
      <c r="WDL63" s="1"/>
      <c r="WDM63" s="1"/>
      <c r="WDN63" s="1"/>
      <c r="WDO63" s="1"/>
      <c r="WDP63" s="1"/>
      <c r="WDQ63" s="1"/>
      <c r="WDR63" s="1"/>
      <c r="WDS63" s="1"/>
      <c r="WDT63" s="1"/>
      <c r="WDU63" s="1"/>
      <c r="WDV63" s="1"/>
      <c r="WDW63" s="1"/>
      <c r="WDX63" s="1"/>
      <c r="WDY63" s="1"/>
      <c r="WDZ63" s="1"/>
      <c r="WEA63" s="1"/>
      <c r="WEB63" s="1"/>
      <c r="WEC63" s="1"/>
      <c r="WED63" s="1"/>
      <c r="WEE63" s="1"/>
      <c r="WEF63" s="1"/>
      <c r="WEG63" s="1"/>
      <c r="WEH63" s="1"/>
      <c r="WEI63" s="1"/>
      <c r="WEJ63" s="1"/>
      <c r="WEK63" s="1"/>
      <c r="WEL63" s="1"/>
      <c r="WEM63" s="1"/>
      <c r="WEN63" s="1"/>
      <c r="WEO63" s="1"/>
      <c r="WEP63" s="1"/>
      <c r="WEQ63" s="1"/>
      <c r="WER63" s="1"/>
      <c r="WES63" s="1"/>
      <c r="WET63" s="1"/>
      <c r="WEU63" s="1"/>
      <c r="WEV63" s="1"/>
      <c r="WEW63" s="1"/>
      <c r="WEX63" s="1"/>
      <c r="WEY63" s="1"/>
      <c r="WEZ63" s="1"/>
      <c r="WFA63" s="1"/>
      <c r="WFB63" s="1"/>
      <c r="WFC63" s="1"/>
      <c r="WFD63" s="1"/>
      <c r="WFE63" s="1"/>
      <c r="WFF63" s="1"/>
      <c r="WFG63" s="1"/>
      <c r="WFH63" s="1"/>
      <c r="WFI63" s="1"/>
      <c r="WFJ63" s="1"/>
      <c r="WFK63" s="1"/>
      <c r="WFL63" s="1"/>
      <c r="WFM63" s="1"/>
      <c r="WFN63" s="1"/>
      <c r="WFO63" s="1"/>
      <c r="WFP63" s="1"/>
      <c r="WFQ63" s="1"/>
      <c r="WFR63" s="1"/>
      <c r="WFS63" s="1"/>
      <c r="WFT63" s="1"/>
      <c r="WFU63" s="1"/>
      <c r="WFV63" s="1"/>
      <c r="WFW63" s="1"/>
      <c r="WFX63" s="1"/>
      <c r="WFY63" s="1"/>
      <c r="WFZ63" s="1"/>
      <c r="WGA63" s="1"/>
      <c r="WGB63" s="1"/>
      <c r="WGC63" s="1"/>
      <c r="WGD63" s="1"/>
      <c r="WGE63" s="1"/>
      <c r="WGF63" s="1"/>
      <c r="WGG63" s="1"/>
      <c r="WGH63" s="1"/>
      <c r="WGI63" s="1"/>
      <c r="WGJ63" s="1"/>
      <c r="WGK63" s="1"/>
      <c r="WGL63" s="1"/>
      <c r="WGM63" s="1"/>
      <c r="WGN63" s="1"/>
      <c r="WGO63" s="1"/>
      <c r="WGP63" s="1"/>
      <c r="WGQ63" s="1"/>
      <c r="WGR63" s="1"/>
      <c r="WGS63" s="1"/>
      <c r="WGT63" s="1"/>
      <c r="WGU63" s="1"/>
      <c r="WGV63" s="1"/>
      <c r="WGW63" s="1"/>
      <c r="WGX63" s="1"/>
      <c r="WGY63" s="1"/>
      <c r="WGZ63" s="1"/>
      <c r="WHA63" s="1"/>
      <c r="WHB63" s="1"/>
      <c r="WHC63" s="1"/>
      <c r="WHD63" s="1"/>
      <c r="WHE63" s="1"/>
      <c r="WHF63" s="1"/>
      <c r="WHG63" s="1"/>
      <c r="WHH63" s="1"/>
      <c r="WHI63" s="1"/>
      <c r="WHJ63" s="1"/>
      <c r="WHK63" s="1"/>
      <c r="WHL63" s="1"/>
      <c r="WHM63" s="1"/>
      <c r="WHN63" s="1"/>
      <c r="WHO63" s="1"/>
      <c r="WHP63" s="1"/>
      <c r="WHQ63" s="1"/>
      <c r="WHR63" s="1"/>
      <c r="WHS63" s="1"/>
      <c r="WHT63" s="1"/>
      <c r="WHU63" s="1"/>
      <c r="WHV63" s="1"/>
      <c r="WHW63" s="1"/>
      <c r="WHX63" s="1"/>
      <c r="WHY63" s="1"/>
      <c r="WHZ63" s="1"/>
      <c r="WIA63" s="1"/>
      <c r="WIB63" s="1"/>
      <c r="WIC63" s="1"/>
      <c r="WID63" s="1"/>
      <c r="WIE63" s="1"/>
      <c r="WIF63" s="1"/>
      <c r="WIG63" s="1"/>
      <c r="WIH63" s="1"/>
      <c r="WII63" s="1"/>
      <c r="WIJ63" s="1"/>
      <c r="WIK63" s="1"/>
      <c r="WIL63" s="1"/>
      <c r="WIM63" s="1"/>
      <c r="WIN63" s="1"/>
      <c r="WIO63" s="1"/>
      <c r="WIP63" s="1"/>
      <c r="WIQ63" s="1"/>
      <c r="WIR63" s="1"/>
      <c r="WIS63" s="1"/>
      <c r="WIT63" s="1"/>
      <c r="WIU63" s="1"/>
      <c r="WIV63" s="1"/>
      <c r="WIW63" s="1"/>
      <c r="WIX63" s="1"/>
      <c r="WIY63" s="1"/>
      <c r="WIZ63" s="1"/>
      <c r="WJA63" s="1"/>
      <c r="WJB63" s="1"/>
      <c r="WJC63" s="1"/>
      <c r="WJD63" s="1"/>
      <c r="WJE63" s="1"/>
      <c r="WJF63" s="1"/>
      <c r="WJG63" s="1"/>
      <c r="WJH63" s="1"/>
      <c r="WJI63" s="1"/>
      <c r="WJJ63" s="1"/>
      <c r="WJK63" s="1"/>
      <c r="WJL63" s="1"/>
      <c r="WJM63" s="1"/>
      <c r="WJN63" s="1"/>
      <c r="WJO63" s="1"/>
      <c r="WJP63" s="1"/>
      <c r="WJQ63" s="1"/>
      <c r="WJR63" s="1"/>
      <c r="WJS63" s="1"/>
      <c r="WJT63" s="1"/>
      <c r="WJU63" s="1"/>
      <c r="WJV63" s="1"/>
      <c r="WJW63" s="1"/>
      <c r="WJX63" s="1"/>
      <c r="WJY63" s="1"/>
      <c r="WJZ63" s="1"/>
      <c r="WKA63" s="1"/>
      <c r="WKB63" s="1"/>
      <c r="WKC63" s="1"/>
      <c r="WKD63" s="1"/>
      <c r="WKE63" s="1"/>
      <c r="WKF63" s="1"/>
      <c r="WKG63" s="1"/>
      <c r="WKH63" s="1"/>
      <c r="WKI63" s="1"/>
      <c r="WKJ63" s="1"/>
      <c r="WKK63" s="1"/>
      <c r="WKL63" s="1"/>
      <c r="WKM63" s="1"/>
      <c r="WKN63" s="1"/>
      <c r="WKO63" s="1"/>
      <c r="WKP63" s="1"/>
      <c r="WKQ63" s="1"/>
      <c r="WKR63" s="1"/>
      <c r="WKS63" s="1"/>
      <c r="WKT63" s="1"/>
      <c r="WKU63" s="1"/>
      <c r="WKV63" s="1"/>
      <c r="WKW63" s="1"/>
      <c r="WKX63" s="1"/>
      <c r="WKY63" s="1"/>
      <c r="WKZ63" s="1"/>
      <c r="WLA63" s="1"/>
      <c r="WLB63" s="1"/>
      <c r="WLC63" s="1"/>
      <c r="WLD63" s="1"/>
      <c r="WLE63" s="1"/>
      <c r="WLF63" s="1"/>
      <c r="WLG63" s="1"/>
      <c r="WLH63" s="1"/>
      <c r="WLI63" s="1"/>
      <c r="WLJ63" s="1"/>
      <c r="WLK63" s="1"/>
      <c r="WLL63" s="1"/>
      <c r="WLM63" s="1"/>
      <c r="WLN63" s="1"/>
      <c r="WLO63" s="1"/>
      <c r="WLP63" s="1"/>
      <c r="WLQ63" s="1"/>
      <c r="WLR63" s="1"/>
      <c r="WLS63" s="1"/>
      <c r="WLT63" s="1"/>
      <c r="WLU63" s="1"/>
      <c r="WLV63" s="1"/>
      <c r="WLW63" s="1"/>
      <c r="WLX63" s="1"/>
      <c r="WLY63" s="1"/>
      <c r="WLZ63" s="1"/>
      <c r="WMA63" s="1"/>
      <c r="WMB63" s="1"/>
      <c r="WMC63" s="1"/>
      <c r="WMD63" s="1"/>
      <c r="WME63" s="1"/>
      <c r="WMF63" s="1"/>
      <c r="WMG63" s="1"/>
      <c r="WMH63" s="1"/>
      <c r="WMI63" s="1"/>
      <c r="WMJ63" s="1"/>
      <c r="WMK63" s="1"/>
      <c r="WML63" s="1"/>
      <c r="WMM63" s="1"/>
      <c r="WMN63" s="1"/>
      <c r="WMO63" s="1"/>
      <c r="WMP63" s="1"/>
      <c r="WMQ63" s="1"/>
      <c r="WMR63" s="1"/>
      <c r="WMS63" s="1"/>
      <c r="WMT63" s="1"/>
      <c r="WMU63" s="1"/>
      <c r="WMV63" s="1"/>
      <c r="WMW63" s="1"/>
      <c r="WMX63" s="1"/>
      <c r="WMY63" s="1"/>
      <c r="WMZ63" s="1"/>
      <c r="WNA63" s="1"/>
      <c r="WNB63" s="1"/>
      <c r="WNC63" s="1"/>
      <c r="WND63" s="1"/>
      <c r="WNE63" s="1"/>
      <c r="WNF63" s="1"/>
      <c r="WNG63" s="1"/>
      <c r="WNH63" s="1"/>
      <c r="WNI63" s="1"/>
      <c r="WNJ63" s="1"/>
      <c r="WNK63" s="1"/>
      <c r="WNL63" s="1"/>
      <c r="WNM63" s="1"/>
      <c r="WNN63" s="1"/>
      <c r="WNO63" s="1"/>
      <c r="WNP63" s="1"/>
      <c r="WNQ63" s="1"/>
      <c r="WNR63" s="1"/>
      <c r="WNS63" s="1"/>
      <c r="WNT63" s="1"/>
      <c r="WNU63" s="1"/>
      <c r="WNV63" s="1"/>
      <c r="WNW63" s="1"/>
      <c r="WNX63" s="1"/>
      <c r="WNY63" s="1"/>
      <c r="WNZ63" s="1"/>
      <c r="WOA63" s="1"/>
      <c r="WOB63" s="1"/>
      <c r="WOC63" s="1"/>
      <c r="WOD63" s="1"/>
      <c r="WOE63" s="1"/>
      <c r="WOF63" s="1"/>
      <c r="WOG63" s="1"/>
      <c r="WOH63" s="1"/>
      <c r="WOI63" s="1"/>
      <c r="WOJ63" s="1"/>
      <c r="WOK63" s="1"/>
      <c r="WOL63" s="1"/>
      <c r="WOM63" s="1"/>
      <c r="WON63" s="1"/>
      <c r="WOO63" s="1"/>
      <c r="WOP63" s="1"/>
      <c r="WOQ63" s="1"/>
      <c r="WOR63" s="1"/>
      <c r="WOS63" s="1"/>
      <c r="WOT63" s="1"/>
      <c r="WOU63" s="1"/>
      <c r="WOV63" s="1"/>
      <c r="WOW63" s="1"/>
      <c r="WOX63" s="1"/>
      <c r="WOY63" s="1"/>
      <c r="WOZ63" s="1"/>
      <c r="WPA63" s="1"/>
      <c r="WPB63" s="1"/>
      <c r="WPC63" s="1"/>
      <c r="WPD63" s="1"/>
      <c r="WPE63" s="1"/>
      <c r="WPF63" s="1"/>
      <c r="WPG63" s="1"/>
      <c r="WPH63" s="1"/>
      <c r="WPI63" s="1"/>
      <c r="WPJ63" s="1"/>
      <c r="WPK63" s="1"/>
      <c r="WPL63" s="1"/>
      <c r="WPM63" s="1"/>
      <c r="WPN63" s="1"/>
      <c r="WPO63" s="1"/>
      <c r="WPP63" s="1"/>
      <c r="WPQ63" s="1"/>
      <c r="WPR63" s="1"/>
      <c r="WPS63" s="1"/>
      <c r="WPT63" s="1"/>
      <c r="WPU63" s="1"/>
      <c r="WPV63" s="1"/>
      <c r="WPW63" s="1"/>
      <c r="WPX63" s="1"/>
      <c r="WPY63" s="1"/>
      <c r="WPZ63" s="1"/>
      <c r="WQA63" s="1"/>
      <c r="WQB63" s="1"/>
      <c r="WQC63" s="1"/>
      <c r="WQD63" s="1"/>
      <c r="WQE63" s="1"/>
      <c r="WQF63" s="1"/>
      <c r="WQG63" s="1"/>
      <c r="WQH63" s="1"/>
      <c r="WQI63" s="1"/>
      <c r="WQJ63" s="1"/>
      <c r="WQK63" s="1"/>
      <c r="WQL63" s="1"/>
      <c r="WQM63" s="1"/>
      <c r="WQN63" s="1"/>
      <c r="WQO63" s="1"/>
      <c r="WQP63" s="1"/>
      <c r="WQQ63" s="1"/>
      <c r="WQR63" s="1"/>
      <c r="WQS63" s="1"/>
      <c r="WQT63" s="1"/>
      <c r="WQU63" s="1"/>
      <c r="WQV63" s="1"/>
      <c r="WQW63" s="1"/>
      <c r="WQX63" s="1"/>
      <c r="WQY63" s="1"/>
      <c r="WQZ63" s="1"/>
      <c r="WRA63" s="1"/>
      <c r="WRB63" s="1"/>
      <c r="WRC63" s="1"/>
      <c r="WRD63" s="1"/>
      <c r="WRE63" s="1"/>
      <c r="WRF63" s="1"/>
      <c r="WRG63" s="1"/>
      <c r="WRH63" s="1"/>
      <c r="WRI63" s="1"/>
      <c r="WRJ63" s="1"/>
      <c r="WRK63" s="1"/>
      <c r="WRL63" s="1"/>
      <c r="WRM63" s="1"/>
      <c r="WRN63" s="1"/>
      <c r="WRO63" s="1"/>
      <c r="WRP63" s="1"/>
      <c r="WRQ63" s="1"/>
      <c r="WRR63" s="1"/>
      <c r="WRS63" s="1"/>
      <c r="WRT63" s="1"/>
      <c r="WRU63" s="1"/>
      <c r="WRV63" s="1"/>
      <c r="WRW63" s="1"/>
      <c r="WRX63" s="1"/>
      <c r="WRY63" s="1"/>
      <c r="WRZ63" s="1"/>
      <c r="WSA63" s="1"/>
      <c r="WSB63" s="1"/>
      <c r="WSC63" s="1"/>
      <c r="WSD63" s="1"/>
      <c r="WSE63" s="1"/>
      <c r="WSF63" s="1"/>
      <c r="WSG63" s="1"/>
      <c r="WSH63" s="1"/>
      <c r="WSI63" s="1"/>
      <c r="WSJ63" s="1"/>
      <c r="WSK63" s="1"/>
      <c r="WSL63" s="1"/>
      <c r="WSM63" s="1"/>
      <c r="WSN63" s="1"/>
      <c r="WSO63" s="1"/>
      <c r="WSP63" s="1"/>
      <c r="WSQ63" s="1"/>
      <c r="WSR63" s="1"/>
      <c r="WSS63" s="1"/>
      <c r="WST63" s="1"/>
      <c r="WSU63" s="1"/>
      <c r="WSV63" s="1"/>
      <c r="WSW63" s="1"/>
      <c r="WSX63" s="1"/>
      <c r="WSY63" s="1"/>
      <c r="WSZ63" s="1"/>
      <c r="WTA63" s="1"/>
      <c r="WTB63" s="1"/>
      <c r="WTC63" s="1"/>
      <c r="WTD63" s="1"/>
      <c r="WTE63" s="1"/>
      <c r="WTF63" s="1"/>
      <c r="WTG63" s="1"/>
      <c r="WTH63" s="1"/>
      <c r="WTI63" s="1"/>
      <c r="WTJ63" s="1"/>
      <c r="WTK63" s="1"/>
      <c r="WTL63" s="1"/>
      <c r="WTM63" s="1"/>
      <c r="WTN63" s="1"/>
      <c r="WTO63" s="1"/>
      <c r="WTP63" s="1"/>
      <c r="WTQ63" s="1"/>
      <c r="WTR63" s="1"/>
      <c r="WTS63" s="1"/>
      <c r="WTT63" s="1"/>
      <c r="WTU63" s="1"/>
      <c r="WTV63" s="1"/>
      <c r="WTW63" s="1"/>
      <c r="WTX63" s="1"/>
      <c r="WTY63" s="1"/>
      <c r="WTZ63" s="1"/>
      <c r="WUA63" s="1"/>
      <c r="WUB63" s="1"/>
      <c r="WUC63" s="1"/>
      <c r="WUD63" s="1"/>
      <c r="WUE63" s="1"/>
      <c r="WUF63" s="1"/>
      <c r="WUG63" s="1"/>
      <c r="WUH63" s="1"/>
      <c r="WUI63" s="1"/>
      <c r="WUJ63" s="1"/>
      <c r="WUK63" s="1"/>
      <c r="WUL63" s="1"/>
      <c r="WUM63" s="1"/>
      <c r="WUN63" s="1"/>
      <c r="WUO63" s="1"/>
      <c r="WUP63" s="1"/>
      <c r="WUQ63" s="1"/>
      <c r="WUR63" s="1"/>
      <c r="WUS63" s="1"/>
      <c r="WUT63" s="1"/>
      <c r="WUU63" s="1"/>
      <c r="WUV63" s="1"/>
      <c r="WUW63" s="1"/>
      <c r="WUX63" s="1"/>
      <c r="WUY63" s="1"/>
      <c r="WUZ63" s="1"/>
      <c r="WVA63" s="1"/>
      <c r="WVB63" s="1"/>
      <c r="WVC63" s="1"/>
      <c r="WVD63" s="1"/>
      <c r="WVE63" s="1"/>
      <c r="WVF63" s="1"/>
      <c r="WVG63" s="1"/>
      <c r="WVH63" s="1"/>
      <c r="WVI63" s="1"/>
      <c r="WVJ63" s="1"/>
      <c r="WVK63" s="1"/>
      <c r="WVL63" s="1"/>
      <c r="WVM63" s="1"/>
      <c r="WVN63" s="1"/>
      <c r="WVO63" s="1"/>
      <c r="WVP63" s="1"/>
      <c r="WVQ63" s="1"/>
      <c r="WVR63" s="1"/>
      <c r="WVS63" s="1"/>
      <c r="WVT63" s="1"/>
      <c r="WVU63" s="1"/>
      <c r="WVV63" s="1"/>
      <c r="WVW63" s="1"/>
      <c r="WVX63" s="1"/>
      <c r="WVY63" s="1"/>
      <c r="WVZ63" s="1"/>
      <c r="WWA63" s="1"/>
      <c r="WWB63" s="1"/>
      <c r="WWC63" s="1"/>
      <c r="WWD63" s="1"/>
      <c r="WWE63" s="1"/>
      <c r="WWF63" s="1"/>
      <c r="WWG63" s="1"/>
      <c r="WWH63" s="1"/>
      <c r="WWI63" s="1"/>
      <c r="WWJ63" s="1"/>
      <c r="WWK63" s="1"/>
      <c r="WWL63" s="1"/>
      <c r="WWM63" s="1"/>
      <c r="WWN63" s="1"/>
      <c r="WWO63" s="1"/>
      <c r="WWP63" s="1"/>
      <c r="WWQ63" s="1"/>
      <c r="WWR63" s="1"/>
      <c r="WWS63" s="1"/>
      <c r="WWT63" s="1"/>
      <c r="WWU63" s="1"/>
      <c r="WWV63" s="1"/>
      <c r="WWW63" s="1"/>
      <c r="WWX63" s="1"/>
      <c r="WWY63" s="1"/>
      <c r="WWZ63" s="1"/>
      <c r="WXA63" s="1"/>
      <c r="WXB63" s="1"/>
      <c r="WXC63" s="1"/>
      <c r="WXD63" s="1"/>
      <c r="WXE63" s="1"/>
      <c r="WXF63" s="1"/>
      <c r="WXG63" s="1"/>
      <c r="WXH63" s="1"/>
      <c r="WXI63" s="1"/>
      <c r="WXJ63" s="1"/>
      <c r="WXK63" s="1"/>
      <c r="WXL63" s="1"/>
      <c r="WXM63" s="1"/>
      <c r="WXN63" s="1"/>
      <c r="WXO63" s="1"/>
      <c r="WXP63" s="1"/>
      <c r="WXQ63" s="1"/>
      <c r="WXR63" s="1"/>
      <c r="WXS63" s="1"/>
      <c r="WXT63" s="1"/>
      <c r="WXU63" s="1"/>
      <c r="WXV63" s="1"/>
      <c r="WXW63" s="1"/>
      <c r="WXX63" s="1"/>
      <c r="WXY63" s="1"/>
      <c r="WXZ63" s="1"/>
      <c r="WYA63" s="1"/>
      <c r="WYB63" s="1"/>
      <c r="WYC63" s="1"/>
      <c r="WYD63" s="1"/>
      <c r="WYE63" s="1"/>
      <c r="WYF63" s="1"/>
      <c r="WYG63" s="1"/>
      <c r="WYH63" s="1"/>
      <c r="WYI63" s="1"/>
      <c r="WYJ63" s="1"/>
      <c r="WYK63" s="1"/>
      <c r="WYL63" s="1"/>
      <c r="WYM63" s="1"/>
      <c r="WYN63" s="1"/>
      <c r="WYO63" s="1"/>
      <c r="WYP63" s="1"/>
      <c r="WYQ63" s="1"/>
      <c r="WYR63" s="1"/>
      <c r="WYS63" s="1"/>
      <c r="WYT63" s="1"/>
      <c r="WYU63" s="1"/>
      <c r="WYV63" s="1"/>
      <c r="WYW63" s="1"/>
      <c r="WYX63" s="1"/>
      <c r="WYY63" s="1"/>
      <c r="WYZ63" s="1"/>
      <c r="WZA63" s="1"/>
      <c r="WZB63" s="1"/>
      <c r="WZC63" s="1"/>
      <c r="WZD63" s="1"/>
      <c r="WZE63" s="1"/>
      <c r="WZF63" s="1"/>
      <c r="WZG63" s="1"/>
      <c r="WZH63" s="1"/>
      <c r="WZI63" s="1"/>
      <c r="WZJ63" s="1"/>
      <c r="WZK63" s="1"/>
      <c r="WZL63" s="1"/>
      <c r="WZM63" s="1"/>
      <c r="WZN63" s="1"/>
      <c r="WZO63" s="1"/>
      <c r="WZP63" s="1"/>
      <c r="WZQ63" s="1"/>
      <c r="WZR63" s="1"/>
      <c r="WZS63" s="1"/>
      <c r="WZT63" s="1"/>
      <c r="WZU63" s="1"/>
      <c r="WZV63" s="1"/>
      <c r="WZW63" s="1"/>
      <c r="WZX63" s="1"/>
      <c r="WZY63" s="1"/>
      <c r="WZZ63" s="1"/>
      <c r="XAA63" s="1"/>
      <c r="XAB63" s="1"/>
      <c r="XAC63" s="1"/>
      <c r="XAD63" s="1"/>
      <c r="XAE63" s="1"/>
      <c r="XAF63" s="1"/>
      <c r="XAG63" s="1"/>
      <c r="XAH63" s="1"/>
      <c r="XAI63" s="1"/>
      <c r="XAJ63" s="1"/>
      <c r="XAK63" s="1"/>
      <c r="XAL63" s="1"/>
      <c r="XAM63" s="1"/>
      <c r="XAN63" s="1"/>
      <c r="XAO63" s="1"/>
      <c r="XAP63" s="1"/>
      <c r="XAQ63" s="1"/>
      <c r="XAR63" s="1"/>
      <c r="XAS63" s="1"/>
      <c r="XAT63" s="1"/>
      <c r="XAU63" s="1"/>
      <c r="XAV63" s="1"/>
      <c r="XAW63" s="1"/>
      <c r="XAX63" s="1"/>
      <c r="XAY63" s="1"/>
      <c r="XAZ63" s="1"/>
      <c r="XBA63" s="1"/>
      <c r="XBB63" s="1"/>
      <c r="XBC63" s="1"/>
      <c r="XBD63" s="1"/>
      <c r="XBE63" s="1"/>
      <c r="XBF63" s="1"/>
      <c r="XBG63" s="1"/>
      <c r="XBH63" s="1"/>
      <c r="XBI63" s="1"/>
      <c r="XBJ63" s="1"/>
      <c r="XBK63" s="1"/>
      <c r="XBL63" s="1"/>
      <c r="XBM63" s="1"/>
      <c r="XBN63" s="1"/>
      <c r="XBO63" s="1"/>
      <c r="XBP63" s="1"/>
      <c r="XBQ63" s="1"/>
      <c r="XBR63" s="1"/>
      <c r="XBS63" s="1"/>
      <c r="XBT63" s="1"/>
      <c r="XBU63" s="1"/>
      <c r="XBV63" s="1"/>
      <c r="XBW63" s="1"/>
      <c r="XBX63" s="1"/>
      <c r="XBY63" s="1"/>
      <c r="XBZ63" s="1"/>
      <c r="XCA63" s="1"/>
      <c r="XCB63" s="1"/>
      <c r="XCC63" s="1"/>
      <c r="XCD63" s="1"/>
      <c r="XCE63" s="1"/>
      <c r="XCF63" s="1"/>
      <c r="XCG63" s="1"/>
      <c r="XCH63" s="1"/>
      <c r="XCI63" s="1"/>
      <c r="XCJ63" s="1"/>
      <c r="XCK63" s="1"/>
      <c r="XCL63" s="1"/>
      <c r="XCM63" s="1"/>
      <c r="XCN63" s="1"/>
      <c r="XCO63" s="1"/>
      <c r="XCP63" s="1"/>
      <c r="XCQ63" s="1"/>
      <c r="XCR63" s="1"/>
      <c r="XCS63" s="1"/>
      <c r="XCT63" s="1"/>
      <c r="XCU63" s="1"/>
      <c r="XCV63" s="1"/>
      <c r="XCW63" s="1"/>
      <c r="XCX63" s="1"/>
      <c r="XCY63" s="1"/>
      <c r="XCZ63" s="1"/>
      <c r="XDA63" s="1"/>
      <c r="XDB63" s="1"/>
      <c r="XDC63" s="1"/>
      <c r="XDD63" s="1"/>
      <c r="XDE63" s="1"/>
      <c r="XDF63" s="1"/>
      <c r="XDG63" s="1"/>
      <c r="XDH63" s="1"/>
      <c r="XDI63" s="1"/>
      <c r="XDJ63" s="1"/>
      <c r="XDK63" s="1"/>
      <c r="XDL63" s="1"/>
      <c r="XDM63" s="1"/>
      <c r="XDN63" s="1"/>
      <c r="XDO63" s="1"/>
      <c r="XDP63" s="1"/>
      <c r="XDQ63" s="1"/>
      <c r="XDR63" s="1"/>
      <c r="XDS63" s="1"/>
      <c r="XDT63" s="1"/>
      <c r="XDU63" s="1"/>
      <c r="XDV63" s="1"/>
      <c r="XDW63" s="1"/>
      <c r="XDX63" s="1"/>
      <c r="XDY63" s="1"/>
      <c r="XDZ63" s="1"/>
      <c r="XEA63" s="1"/>
      <c r="XEB63" s="1"/>
      <c r="XEC63" s="1"/>
      <c r="XED63" s="1"/>
      <c r="XEE63" s="1"/>
      <c r="XEF63" s="1"/>
      <c r="XEG63" s="1"/>
      <c r="XEH63" s="1"/>
      <c r="XEI63" s="1"/>
      <c r="XEJ63" s="1"/>
      <c r="XEK63" s="1"/>
      <c r="XEL63" s="1"/>
      <c r="XEM63" s="1"/>
      <c r="XEN63" s="1"/>
      <c r="XEO63" s="1"/>
      <c r="XEP63" s="1"/>
      <c r="XEQ63" s="1"/>
      <c r="XER63" s="1"/>
      <c r="XES63" s="1"/>
      <c r="XET63" s="1"/>
      <c r="XEU63" s="1"/>
      <c r="XEV63" s="1"/>
      <c r="XEW63" s="1"/>
      <c r="XEX63" s="1"/>
      <c r="XEY63" s="1"/>
      <c r="XEZ63" s="1"/>
      <c r="XFA63" s="1"/>
      <c r="XFB63" s="1"/>
    </row>
    <row r="64" spans="2:16382" s="1" customFormat="1" x14ac:dyDescent="0.25">
      <c r="D64" t="s">
        <v>85</v>
      </c>
      <c r="E64" s="28">
        <v>489</v>
      </c>
      <c r="F64" s="28">
        <v>243.96</v>
      </c>
      <c r="G64" s="28">
        <v>0</v>
      </c>
      <c r="H64" s="28">
        <v>0</v>
      </c>
      <c r="I64" s="28">
        <v>0</v>
      </c>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c r="AMN64"/>
      <c r="AMO64"/>
      <c r="AMP64"/>
      <c r="AMQ64"/>
      <c r="AMR64"/>
      <c r="AMS64"/>
      <c r="AMT64"/>
      <c r="AMU64"/>
      <c r="AMV64"/>
      <c r="AMW64"/>
      <c r="AMX64"/>
      <c r="AMY64"/>
      <c r="AMZ64"/>
      <c r="ANA64"/>
      <c r="ANB64"/>
      <c r="ANC64"/>
      <c r="AND64"/>
      <c r="ANE64"/>
      <c r="ANF64"/>
      <c r="ANG64"/>
      <c r="ANH64"/>
      <c r="ANI64"/>
      <c r="ANJ64"/>
      <c r="ANK64"/>
      <c r="ANL64"/>
      <c r="ANM64"/>
      <c r="ANN64"/>
      <c r="ANO64"/>
      <c r="ANP64"/>
      <c r="ANQ64"/>
      <c r="ANR64"/>
      <c r="ANS64"/>
      <c r="ANT64"/>
      <c r="ANU64"/>
      <c r="ANV64"/>
      <c r="ANW64"/>
      <c r="ANX64"/>
      <c r="ANY64"/>
      <c r="ANZ64"/>
      <c r="AOA64"/>
      <c r="AOB64"/>
      <c r="AOC64"/>
      <c r="AOD64"/>
      <c r="AOE64"/>
      <c r="AOF64"/>
      <c r="AOG64"/>
      <c r="AOH64"/>
      <c r="AOI64"/>
      <c r="AOJ64"/>
      <c r="AOK64"/>
      <c r="AOL64"/>
      <c r="AOM64"/>
      <c r="AON64"/>
      <c r="AOO64"/>
      <c r="AOP64"/>
      <c r="AOQ64"/>
      <c r="AOR64"/>
      <c r="AOS64"/>
      <c r="AOT64"/>
      <c r="AOU64"/>
      <c r="AOV64"/>
      <c r="AOW64"/>
      <c r="AOX64"/>
      <c r="AOY64"/>
      <c r="AOZ64"/>
      <c r="APA64"/>
      <c r="APB64"/>
      <c r="APC64"/>
      <c r="APD64"/>
      <c r="APE64"/>
      <c r="APF64"/>
      <c r="APG64"/>
      <c r="APH64"/>
      <c r="API64"/>
      <c r="APJ64"/>
      <c r="APK64"/>
      <c r="APL64"/>
      <c r="APM64"/>
      <c r="APN64"/>
      <c r="APO64"/>
      <c r="APP64"/>
      <c r="APQ64"/>
      <c r="APR64"/>
      <c r="APS64"/>
      <c r="APT64"/>
      <c r="APU64"/>
      <c r="APV64"/>
      <c r="APW64"/>
      <c r="APX64"/>
      <c r="APY64"/>
      <c r="APZ64"/>
      <c r="AQA64"/>
      <c r="AQB64"/>
      <c r="AQC64"/>
      <c r="AQD64"/>
      <c r="AQE64"/>
      <c r="AQF64"/>
      <c r="AQG64"/>
      <c r="AQH64"/>
      <c r="AQI64"/>
      <c r="AQJ64"/>
      <c r="AQK64"/>
      <c r="AQL64"/>
      <c r="AQM64"/>
      <c r="AQN64"/>
      <c r="AQO64"/>
      <c r="AQP64"/>
      <c r="AQQ64"/>
      <c r="AQR64"/>
      <c r="AQS64"/>
      <c r="AQT64"/>
      <c r="AQU64"/>
      <c r="AQV64"/>
      <c r="AQW64"/>
      <c r="AQX64"/>
      <c r="AQY64"/>
      <c r="AQZ64"/>
      <c r="ARA64"/>
      <c r="ARB64"/>
      <c r="ARC64"/>
      <c r="ARD64"/>
      <c r="ARE64"/>
      <c r="ARF64"/>
      <c r="ARG64"/>
      <c r="ARH64"/>
      <c r="ARI64"/>
      <c r="ARJ64"/>
      <c r="ARK64"/>
      <c r="ARL64"/>
      <c r="ARM64"/>
      <c r="ARN64"/>
      <c r="ARO64"/>
      <c r="ARP64"/>
      <c r="ARQ64"/>
      <c r="ARR64"/>
      <c r="ARS64"/>
      <c r="ART64"/>
      <c r="ARU64"/>
      <c r="ARV64"/>
      <c r="ARW64"/>
      <c r="ARX64"/>
      <c r="ARY64"/>
      <c r="ARZ64"/>
      <c r="ASA64"/>
      <c r="ASB64"/>
      <c r="ASC64"/>
      <c r="ASD64"/>
      <c r="ASE64"/>
      <c r="ASF64"/>
      <c r="ASG64"/>
      <c r="ASH64"/>
      <c r="ASI64"/>
      <c r="ASJ64"/>
      <c r="ASK64"/>
      <c r="ASL64"/>
      <c r="ASM64"/>
      <c r="ASN64"/>
      <c r="ASO64"/>
      <c r="ASP64"/>
      <c r="ASQ64"/>
      <c r="ASR64"/>
      <c r="ASS64"/>
      <c r="AST64"/>
      <c r="ASU64"/>
      <c r="ASV64"/>
      <c r="ASW64"/>
      <c r="ASX64"/>
      <c r="ASY64"/>
      <c r="ASZ64"/>
      <c r="ATA64"/>
      <c r="ATB64"/>
      <c r="ATC64"/>
      <c r="ATD64"/>
      <c r="ATE64"/>
      <c r="ATF64"/>
      <c r="ATG64"/>
      <c r="ATH64"/>
      <c r="ATI64"/>
      <c r="ATJ64"/>
      <c r="ATK64"/>
      <c r="ATL64"/>
      <c r="ATM64"/>
      <c r="ATN64"/>
      <c r="ATO64"/>
      <c r="ATP64"/>
      <c r="ATQ64"/>
      <c r="ATR64"/>
      <c r="ATS64"/>
      <c r="ATT64"/>
      <c r="ATU64"/>
      <c r="ATV64"/>
      <c r="ATW64"/>
      <c r="ATX64"/>
      <c r="ATY64"/>
      <c r="ATZ64"/>
      <c r="AUA64"/>
      <c r="AUB64"/>
      <c r="AUC64"/>
      <c r="AUD64"/>
      <c r="AUE64"/>
      <c r="AUF64"/>
      <c r="AUG64"/>
      <c r="AUH64"/>
      <c r="AUI64"/>
      <c r="AUJ64"/>
      <c r="AUK64"/>
      <c r="AUL64"/>
      <c r="AUM64"/>
      <c r="AUN64"/>
      <c r="AUO64"/>
      <c r="AUP64"/>
      <c r="AUQ64"/>
      <c r="AUR64"/>
      <c r="AUS64"/>
      <c r="AUT64"/>
      <c r="AUU64"/>
      <c r="AUV64"/>
      <c r="AUW64"/>
      <c r="AUX64"/>
      <c r="AUY64"/>
      <c r="AUZ64"/>
      <c r="AVA64"/>
      <c r="AVB64"/>
      <c r="AVC64"/>
      <c r="AVD64"/>
      <c r="AVE64"/>
      <c r="AVF64"/>
      <c r="AVG64"/>
      <c r="AVH64"/>
      <c r="AVI64"/>
      <c r="AVJ64"/>
      <c r="AVK64"/>
      <c r="AVL64"/>
      <c r="AVM64"/>
      <c r="AVN64"/>
      <c r="AVO64"/>
      <c r="AVP64"/>
      <c r="AVQ64"/>
      <c r="AVR64"/>
      <c r="AVS64"/>
      <c r="AVT64"/>
      <c r="AVU64"/>
      <c r="AVV64"/>
      <c r="AVW64"/>
      <c r="AVX64"/>
      <c r="AVY64"/>
      <c r="AVZ64"/>
      <c r="AWA64"/>
      <c r="AWB64"/>
      <c r="AWC64"/>
      <c r="AWD64"/>
      <c r="AWE64"/>
      <c r="AWF64"/>
      <c r="AWG64"/>
      <c r="AWH64"/>
      <c r="AWI64"/>
      <c r="AWJ64"/>
      <c r="AWK64"/>
      <c r="AWL64"/>
      <c r="AWM64"/>
      <c r="AWN64"/>
      <c r="AWO64"/>
      <c r="AWP64"/>
      <c r="AWQ64"/>
      <c r="AWR64"/>
      <c r="AWS64"/>
      <c r="AWT64"/>
      <c r="AWU64"/>
      <c r="AWV64"/>
      <c r="AWW64"/>
      <c r="AWX64"/>
      <c r="AWY64"/>
      <c r="AWZ64"/>
      <c r="AXA64"/>
      <c r="AXB64"/>
      <c r="AXC64"/>
      <c r="AXD64"/>
      <c r="AXE64"/>
      <c r="AXF64"/>
      <c r="AXG64"/>
      <c r="AXH64"/>
      <c r="AXI64"/>
      <c r="AXJ64"/>
      <c r="AXK64"/>
      <c r="AXL64"/>
      <c r="AXM64"/>
      <c r="AXN64"/>
      <c r="AXO64"/>
      <c r="AXP64"/>
      <c r="AXQ64"/>
      <c r="AXR64"/>
      <c r="AXS64"/>
      <c r="AXT64"/>
      <c r="AXU64"/>
      <c r="AXV64"/>
      <c r="AXW64"/>
      <c r="AXX64"/>
      <c r="AXY64"/>
      <c r="AXZ64"/>
      <c r="AYA64"/>
      <c r="AYB64"/>
      <c r="AYC64"/>
      <c r="AYD64"/>
      <c r="AYE64"/>
      <c r="AYF64"/>
      <c r="AYG64"/>
      <c r="AYH64"/>
      <c r="AYI64"/>
      <c r="AYJ64"/>
      <c r="AYK64"/>
      <c r="AYL64"/>
      <c r="AYM64"/>
      <c r="AYN64"/>
      <c r="AYO64"/>
      <c r="AYP64"/>
      <c r="AYQ64"/>
      <c r="AYR64"/>
      <c r="AYS64"/>
      <c r="AYT64"/>
      <c r="AYU64"/>
      <c r="AYV64"/>
      <c r="AYW64"/>
      <c r="AYX64"/>
      <c r="AYY64"/>
      <c r="AYZ64"/>
      <c r="AZA64"/>
      <c r="AZB64"/>
      <c r="AZC64"/>
      <c r="AZD64"/>
      <c r="AZE64"/>
      <c r="AZF64"/>
      <c r="AZG64"/>
      <c r="AZH64"/>
      <c r="AZI64"/>
      <c r="AZJ64"/>
      <c r="AZK64"/>
      <c r="AZL64"/>
      <c r="AZM64"/>
      <c r="AZN64"/>
      <c r="AZO64"/>
      <c r="AZP64"/>
      <c r="AZQ64"/>
      <c r="AZR64"/>
      <c r="AZS64"/>
      <c r="AZT64"/>
      <c r="AZU64"/>
      <c r="AZV64"/>
      <c r="AZW64"/>
      <c r="AZX64"/>
      <c r="AZY64"/>
      <c r="AZZ64"/>
      <c r="BAA64"/>
      <c r="BAB64"/>
      <c r="BAC64"/>
      <c r="BAD64"/>
      <c r="BAE64"/>
      <c r="BAF64"/>
      <c r="BAG64"/>
      <c r="BAH64"/>
      <c r="BAI64"/>
      <c r="BAJ64"/>
      <c r="BAK64"/>
      <c r="BAL64"/>
      <c r="BAM64"/>
      <c r="BAN64"/>
      <c r="BAO64"/>
      <c r="BAP64"/>
      <c r="BAQ64"/>
      <c r="BAR64"/>
      <c r="BAS64"/>
      <c r="BAT64"/>
      <c r="BAU64"/>
      <c r="BAV64"/>
      <c r="BAW64"/>
      <c r="BAX64"/>
      <c r="BAY64"/>
      <c r="BAZ64"/>
      <c r="BBA64"/>
      <c r="BBB64"/>
      <c r="BBC64"/>
      <c r="BBD64"/>
      <c r="BBE64"/>
      <c r="BBF64"/>
      <c r="BBG64"/>
      <c r="BBH64"/>
      <c r="BBI64"/>
      <c r="BBJ64"/>
      <c r="BBK64"/>
      <c r="BBL64"/>
      <c r="BBM64"/>
      <c r="BBN64"/>
      <c r="BBO64"/>
      <c r="BBP64"/>
      <c r="BBQ64"/>
      <c r="BBR64"/>
      <c r="BBS64"/>
      <c r="BBT64"/>
      <c r="BBU64"/>
      <c r="BBV64"/>
      <c r="BBW64"/>
      <c r="BBX64"/>
      <c r="BBY64"/>
      <c r="BBZ64"/>
      <c r="BCA64"/>
      <c r="BCB64"/>
      <c r="BCC64"/>
      <c r="BCD64"/>
      <c r="BCE64"/>
      <c r="BCF64"/>
      <c r="BCG64"/>
      <c r="BCH64"/>
      <c r="BCI64"/>
      <c r="BCJ64"/>
      <c r="BCK64"/>
      <c r="BCL64"/>
      <c r="BCM64"/>
      <c r="BCN64"/>
      <c r="BCO64"/>
      <c r="BCP64"/>
      <c r="BCQ64"/>
      <c r="BCR64"/>
      <c r="BCS64"/>
      <c r="BCT64"/>
      <c r="BCU64"/>
      <c r="BCV64"/>
      <c r="BCW64"/>
      <c r="BCX64"/>
      <c r="BCY64"/>
      <c r="BCZ64"/>
      <c r="BDA64"/>
      <c r="BDB64"/>
      <c r="BDC64"/>
      <c r="BDD64"/>
      <c r="BDE64"/>
      <c r="BDF64"/>
      <c r="BDG64"/>
      <c r="BDH64"/>
      <c r="BDI64"/>
      <c r="BDJ64"/>
      <c r="BDK64"/>
      <c r="BDL64"/>
      <c r="BDM64"/>
      <c r="BDN64"/>
      <c r="BDO64"/>
      <c r="BDP64"/>
      <c r="BDQ64"/>
      <c r="BDR64"/>
      <c r="BDS64"/>
      <c r="BDT64"/>
      <c r="BDU64"/>
      <c r="BDV64"/>
      <c r="BDW64"/>
      <c r="BDX64"/>
      <c r="BDY64"/>
      <c r="BDZ64"/>
      <c r="BEA64"/>
      <c r="BEB64"/>
      <c r="BEC64"/>
      <c r="BED64"/>
      <c r="BEE64"/>
      <c r="BEF64"/>
      <c r="BEG64"/>
      <c r="BEH64"/>
      <c r="BEI64"/>
      <c r="BEJ64"/>
      <c r="BEK64"/>
      <c r="BEL64"/>
      <c r="BEM64"/>
      <c r="BEN64"/>
      <c r="BEO64"/>
      <c r="BEP64"/>
      <c r="BEQ64"/>
      <c r="BER64"/>
      <c r="BES64"/>
      <c r="BET64"/>
      <c r="BEU64"/>
      <c r="BEV64"/>
      <c r="BEW64"/>
      <c r="BEX64"/>
      <c r="BEY64"/>
      <c r="BEZ64"/>
      <c r="BFA64"/>
      <c r="BFB64"/>
      <c r="BFC64"/>
      <c r="BFD64"/>
      <c r="BFE64"/>
      <c r="BFF64"/>
      <c r="BFG64"/>
      <c r="BFH64"/>
      <c r="BFI64"/>
      <c r="BFJ64"/>
      <c r="BFK64"/>
      <c r="BFL64"/>
      <c r="BFM64"/>
      <c r="BFN64"/>
      <c r="BFO64"/>
      <c r="BFP64"/>
      <c r="BFQ64"/>
      <c r="BFR64"/>
      <c r="BFS64"/>
      <c r="BFT64"/>
      <c r="BFU64"/>
      <c r="BFV64"/>
      <c r="BFW64"/>
      <c r="BFX64"/>
      <c r="BFY64"/>
      <c r="BFZ64"/>
      <c r="BGA64"/>
      <c r="BGB64"/>
      <c r="BGC64"/>
      <c r="BGD64"/>
      <c r="BGE64"/>
      <c r="BGF64"/>
      <c r="BGG64"/>
      <c r="BGH64"/>
      <c r="BGI64"/>
      <c r="BGJ64"/>
      <c r="BGK64"/>
      <c r="BGL64"/>
      <c r="BGM64"/>
      <c r="BGN64"/>
      <c r="BGO64"/>
      <c r="BGP64"/>
      <c r="BGQ64"/>
      <c r="BGR64"/>
      <c r="BGS64"/>
      <c r="BGT64"/>
      <c r="BGU64"/>
      <c r="BGV64"/>
      <c r="BGW64"/>
      <c r="BGX64"/>
      <c r="BGY64"/>
      <c r="BGZ64"/>
      <c r="BHA64"/>
      <c r="BHB64"/>
      <c r="BHC64"/>
      <c r="BHD64"/>
      <c r="BHE64"/>
      <c r="BHF64"/>
      <c r="BHG64"/>
      <c r="BHH64"/>
      <c r="BHI64"/>
      <c r="BHJ64"/>
      <c r="BHK64"/>
      <c r="BHL64"/>
      <c r="BHM64"/>
      <c r="BHN64"/>
      <c r="BHO64"/>
      <c r="BHP64"/>
      <c r="BHQ64"/>
      <c r="BHR64"/>
      <c r="BHS64"/>
      <c r="BHT64"/>
      <c r="BHU64"/>
      <c r="BHV64"/>
      <c r="BHW64"/>
      <c r="BHX64"/>
      <c r="BHY64"/>
      <c r="BHZ64"/>
      <c r="BIA64"/>
      <c r="BIB64"/>
      <c r="BIC64"/>
      <c r="BID64"/>
      <c r="BIE64"/>
      <c r="BIF64"/>
      <c r="BIG64"/>
      <c r="BIH64"/>
      <c r="BII64"/>
      <c r="BIJ64"/>
      <c r="BIK64"/>
      <c r="BIL64"/>
      <c r="BIM64"/>
      <c r="BIN64"/>
      <c r="BIO64"/>
      <c r="BIP64"/>
      <c r="BIQ64"/>
      <c r="BIR64"/>
      <c r="BIS64"/>
      <c r="BIT64"/>
      <c r="BIU64"/>
      <c r="BIV64"/>
      <c r="BIW64"/>
      <c r="BIX64"/>
      <c r="BIY64"/>
      <c r="BIZ64"/>
      <c r="BJA64"/>
      <c r="BJB64"/>
      <c r="BJC64"/>
      <c r="BJD64"/>
      <c r="BJE64"/>
      <c r="BJF64"/>
      <c r="BJG64"/>
      <c r="BJH64"/>
      <c r="BJI64"/>
      <c r="BJJ64"/>
      <c r="BJK64"/>
      <c r="BJL64"/>
      <c r="BJM64"/>
      <c r="BJN64"/>
      <c r="BJO64"/>
      <c r="BJP64"/>
      <c r="BJQ64"/>
      <c r="BJR64"/>
      <c r="BJS64"/>
      <c r="BJT64"/>
      <c r="BJU64"/>
      <c r="BJV64"/>
      <c r="BJW64"/>
      <c r="BJX64"/>
      <c r="BJY64"/>
      <c r="BJZ64"/>
      <c r="BKA64"/>
      <c r="BKB64"/>
      <c r="BKC64"/>
      <c r="BKD64"/>
      <c r="BKE64"/>
      <c r="BKF64"/>
      <c r="BKG64"/>
      <c r="BKH64"/>
      <c r="BKI64"/>
      <c r="BKJ64"/>
      <c r="BKK64"/>
      <c r="BKL64"/>
      <c r="BKM64"/>
      <c r="BKN64"/>
      <c r="BKO64"/>
      <c r="BKP64"/>
      <c r="BKQ64"/>
      <c r="BKR64"/>
      <c r="BKS64"/>
      <c r="BKT64"/>
      <c r="BKU64"/>
      <c r="BKV64"/>
      <c r="BKW64"/>
      <c r="BKX64"/>
      <c r="BKY64"/>
      <c r="BKZ64"/>
      <c r="BLA64"/>
      <c r="BLB64"/>
      <c r="BLC64"/>
      <c r="BLD64"/>
      <c r="BLE64"/>
      <c r="BLF64"/>
      <c r="BLG64"/>
      <c r="BLH64"/>
      <c r="BLI64"/>
      <c r="BLJ64"/>
      <c r="BLK64"/>
      <c r="BLL64"/>
      <c r="BLM64"/>
      <c r="BLN64"/>
      <c r="BLO64"/>
      <c r="BLP64"/>
      <c r="BLQ64"/>
      <c r="BLR64"/>
      <c r="BLS64"/>
      <c r="BLT64"/>
      <c r="BLU64"/>
      <c r="BLV64"/>
      <c r="BLW64"/>
      <c r="BLX64"/>
      <c r="BLY64"/>
      <c r="BLZ64"/>
      <c r="BMA64"/>
      <c r="BMB64"/>
      <c r="BMC64"/>
      <c r="BMD64"/>
      <c r="BME64"/>
      <c r="BMF64"/>
      <c r="BMG64"/>
      <c r="BMH64"/>
      <c r="BMI64"/>
      <c r="BMJ64"/>
      <c r="BMK64"/>
      <c r="BML64"/>
      <c r="BMM64"/>
      <c r="BMN64"/>
      <c r="BMO64"/>
      <c r="BMP64"/>
      <c r="BMQ64"/>
      <c r="BMR64"/>
      <c r="BMS64"/>
      <c r="BMT64"/>
      <c r="BMU64"/>
      <c r="BMV64"/>
      <c r="BMW64"/>
      <c r="BMX64"/>
      <c r="BMY64"/>
      <c r="BMZ64"/>
      <c r="BNA64"/>
      <c r="BNB64"/>
      <c r="BNC64"/>
      <c r="BND64"/>
      <c r="BNE64"/>
      <c r="BNF64"/>
      <c r="BNG64"/>
      <c r="BNH64"/>
      <c r="BNI64"/>
      <c r="BNJ64"/>
      <c r="BNK64"/>
      <c r="BNL64"/>
      <c r="BNM64"/>
      <c r="BNN64"/>
      <c r="BNO64"/>
      <c r="BNP64"/>
      <c r="BNQ64"/>
      <c r="BNR64"/>
      <c r="BNS64"/>
      <c r="BNT64"/>
      <c r="BNU64"/>
      <c r="BNV64"/>
      <c r="BNW64"/>
      <c r="BNX64"/>
      <c r="BNY64"/>
      <c r="BNZ64"/>
      <c r="BOA64"/>
      <c r="BOB64"/>
      <c r="BOC64"/>
      <c r="BOD64"/>
      <c r="BOE64"/>
      <c r="BOF64"/>
      <c r="BOG64"/>
      <c r="BOH64"/>
      <c r="BOI64"/>
      <c r="BOJ64"/>
      <c r="BOK64"/>
      <c r="BOL64"/>
      <c r="BOM64"/>
      <c r="BON64"/>
      <c r="BOO64"/>
      <c r="BOP64"/>
      <c r="BOQ64"/>
      <c r="BOR64"/>
      <c r="BOS64"/>
      <c r="BOT64"/>
      <c r="BOU64"/>
      <c r="BOV64"/>
      <c r="BOW64"/>
      <c r="BOX64"/>
      <c r="BOY64"/>
      <c r="BOZ64"/>
      <c r="BPA64"/>
      <c r="BPB64"/>
      <c r="BPC64"/>
      <c r="BPD64"/>
      <c r="BPE64"/>
      <c r="BPF64"/>
      <c r="BPG64"/>
      <c r="BPH64"/>
      <c r="BPI64"/>
      <c r="BPJ64"/>
      <c r="BPK64"/>
      <c r="BPL64"/>
      <c r="BPM64"/>
      <c r="BPN64"/>
      <c r="BPO64"/>
      <c r="BPP64"/>
      <c r="BPQ64"/>
      <c r="BPR64"/>
      <c r="BPS64"/>
      <c r="BPT64"/>
      <c r="BPU64"/>
      <c r="BPV64"/>
      <c r="BPW64"/>
      <c r="BPX64"/>
      <c r="BPY64"/>
      <c r="BPZ64"/>
      <c r="BQA64"/>
      <c r="BQB64"/>
      <c r="BQC64"/>
      <c r="BQD64"/>
      <c r="BQE64"/>
      <c r="BQF64"/>
      <c r="BQG64"/>
      <c r="BQH64"/>
      <c r="BQI64"/>
      <c r="BQJ64"/>
      <c r="BQK64"/>
      <c r="BQL64"/>
      <c r="BQM64"/>
      <c r="BQN64"/>
      <c r="BQO64"/>
      <c r="BQP64"/>
      <c r="BQQ64"/>
      <c r="BQR64"/>
      <c r="BQS64"/>
      <c r="BQT64"/>
      <c r="BQU64"/>
      <c r="BQV64"/>
      <c r="BQW64"/>
      <c r="BQX64"/>
      <c r="BQY64"/>
      <c r="BQZ64"/>
      <c r="BRA64"/>
      <c r="BRB64"/>
      <c r="BRC64"/>
      <c r="BRD64"/>
      <c r="BRE64"/>
      <c r="BRF64"/>
      <c r="BRG64"/>
      <c r="BRH64"/>
      <c r="BRI64"/>
      <c r="BRJ64"/>
      <c r="BRK64"/>
      <c r="BRL64"/>
      <c r="BRM64"/>
      <c r="BRN64"/>
      <c r="BRO64"/>
      <c r="BRP64"/>
      <c r="BRQ64"/>
      <c r="BRR64"/>
      <c r="BRS64"/>
      <c r="BRT64"/>
      <c r="BRU64"/>
      <c r="BRV64"/>
      <c r="BRW64"/>
      <c r="BRX64"/>
      <c r="BRY64"/>
      <c r="BRZ64"/>
      <c r="BSA64"/>
      <c r="BSB64"/>
      <c r="BSC64"/>
      <c r="BSD64"/>
      <c r="BSE64"/>
      <c r="BSF64"/>
      <c r="BSG64"/>
      <c r="BSH64"/>
      <c r="BSI64"/>
      <c r="BSJ64"/>
      <c r="BSK64"/>
      <c r="BSL64"/>
      <c r="BSM64"/>
      <c r="BSN64"/>
      <c r="BSO64"/>
      <c r="BSP64"/>
      <c r="BSQ64"/>
      <c r="BSR64"/>
      <c r="BSS64"/>
      <c r="BST64"/>
      <c r="BSU64"/>
      <c r="BSV64"/>
      <c r="BSW64"/>
      <c r="BSX64"/>
      <c r="BSY64"/>
      <c r="BSZ64"/>
      <c r="BTA64"/>
      <c r="BTB64"/>
      <c r="BTC64"/>
      <c r="BTD64"/>
      <c r="BTE64"/>
      <c r="BTF64"/>
      <c r="BTG64"/>
      <c r="BTH64"/>
      <c r="BTI64"/>
      <c r="BTJ64"/>
      <c r="BTK64"/>
      <c r="BTL64"/>
      <c r="BTM64"/>
      <c r="BTN64"/>
      <c r="BTO64"/>
      <c r="BTP64"/>
      <c r="BTQ64"/>
      <c r="BTR64"/>
      <c r="BTS64"/>
      <c r="BTT64"/>
      <c r="BTU64"/>
      <c r="BTV64"/>
      <c r="BTW64"/>
      <c r="BTX64"/>
      <c r="BTY64"/>
      <c r="BTZ64"/>
      <c r="BUA64"/>
      <c r="BUB64"/>
      <c r="BUC64"/>
      <c r="BUD64"/>
      <c r="BUE64"/>
      <c r="BUF64"/>
      <c r="BUG64"/>
      <c r="BUH64"/>
      <c r="BUI64"/>
      <c r="BUJ64"/>
      <c r="BUK64"/>
      <c r="BUL64"/>
      <c r="BUM64"/>
      <c r="BUN64"/>
      <c r="BUO64"/>
      <c r="BUP64"/>
      <c r="BUQ64"/>
      <c r="BUR64"/>
      <c r="BUS64"/>
      <c r="BUT64"/>
      <c r="BUU64"/>
      <c r="BUV64"/>
      <c r="BUW64"/>
      <c r="BUX64"/>
      <c r="BUY64"/>
      <c r="BUZ64"/>
      <c r="BVA64"/>
      <c r="BVB64"/>
      <c r="BVC64"/>
      <c r="BVD64"/>
      <c r="BVE64"/>
      <c r="BVF64"/>
      <c r="BVG64"/>
      <c r="BVH64"/>
      <c r="BVI64"/>
      <c r="BVJ64"/>
      <c r="BVK64"/>
      <c r="BVL64"/>
      <c r="BVM64"/>
      <c r="BVN64"/>
      <c r="BVO64"/>
      <c r="BVP64"/>
      <c r="BVQ64"/>
      <c r="BVR64"/>
      <c r="BVS64"/>
      <c r="BVT64"/>
      <c r="BVU64"/>
      <c r="BVV64"/>
      <c r="BVW64"/>
      <c r="BVX64"/>
      <c r="BVY64"/>
      <c r="BVZ64"/>
      <c r="BWA64"/>
      <c r="BWB64"/>
      <c r="BWC64"/>
      <c r="BWD64"/>
      <c r="BWE64"/>
      <c r="BWF64"/>
      <c r="BWG64"/>
      <c r="BWH64"/>
      <c r="BWI64"/>
      <c r="BWJ64"/>
      <c r="BWK64"/>
      <c r="BWL64"/>
      <c r="BWM64"/>
      <c r="BWN64"/>
      <c r="BWO64"/>
      <c r="BWP64"/>
      <c r="BWQ64"/>
      <c r="BWR64"/>
      <c r="BWS64"/>
      <c r="BWT64"/>
      <c r="BWU64"/>
      <c r="BWV64"/>
      <c r="BWW64"/>
      <c r="BWX64"/>
      <c r="BWY64"/>
      <c r="BWZ64"/>
      <c r="BXA64"/>
      <c r="BXB64"/>
      <c r="BXC64"/>
      <c r="BXD64"/>
      <c r="BXE64"/>
      <c r="BXF64"/>
      <c r="BXG64"/>
      <c r="BXH64"/>
      <c r="BXI64"/>
      <c r="BXJ64"/>
      <c r="BXK64"/>
      <c r="BXL64"/>
      <c r="BXM64"/>
      <c r="BXN64"/>
      <c r="BXO64"/>
      <c r="BXP64"/>
      <c r="BXQ64"/>
      <c r="BXR64"/>
      <c r="BXS64"/>
      <c r="BXT64"/>
      <c r="BXU64"/>
      <c r="BXV64"/>
      <c r="BXW64"/>
      <c r="BXX64"/>
      <c r="BXY64"/>
      <c r="BXZ64"/>
      <c r="BYA64"/>
      <c r="BYB64"/>
      <c r="BYC64"/>
      <c r="BYD64"/>
      <c r="BYE64"/>
      <c r="BYF64"/>
      <c r="BYG64"/>
      <c r="BYH64"/>
      <c r="BYI64"/>
      <c r="BYJ64"/>
      <c r="BYK64"/>
      <c r="BYL64"/>
      <c r="BYM64"/>
      <c r="BYN64"/>
      <c r="BYO64"/>
      <c r="BYP64"/>
      <c r="BYQ64"/>
      <c r="BYR64"/>
      <c r="BYS64"/>
      <c r="BYT64"/>
      <c r="BYU64"/>
      <c r="BYV64"/>
      <c r="BYW64"/>
      <c r="BYX64"/>
      <c r="BYY64"/>
      <c r="BYZ64"/>
      <c r="BZA64"/>
      <c r="BZB64"/>
      <c r="BZC64"/>
      <c r="BZD64"/>
      <c r="BZE64"/>
      <c r="BZF64"/>
      <c r="BZG64"/>
      <c r="BZH64"/>
      <c r="BZI64"/>
      <c r="BZJ64"/>
      <c r="BZK64"/>
      <c r="BZL64"/>
      <c r="BZM64"/>
      <c r="BZN64"/>
      <c r="BZO64"/>
      <c r="BZP64"/>
      <c r="BZQ64"/>
      <c r="BZR64"/>
      <c r="BZS64"/>
      <c r="BZT64"/>
      <c r="BZU64"/>
      <c r="BZV64"/>
      <c r="BZW64"/>
      <c r="BZX64"/>
      <c r="BZY64"/>
      <c r="BZZ64"/>
      <c r="CAA64"/>
      <c r="CAB64"/>
      <c r="CAC64"/>
      <c r="CAD64"/>
      <c r="CAE64"/>
      <c r="CAF64"/>
      <c r="CAG64"/>
      <c r="CAH64"/>
      <c r="CAI64"/>
      <c r="CAJ64"/>
      <c r="CAK64"/>
      <c r="CAL64"/>
      <c r="CAM64"/>
      <c r="CAN64"/>
      <c r="CAO64"/>
      <c r="CAP64"/>
      <c r="CAQ64"/>
      <c r="CAR64"/>
      <c r="CAS64"/>
      <c r="CAT64"/>
      <c r="CAU64"/>
      <c r="CAV64"/>
      <c r="CAW64"/>
      <c r="CAX64"/>
      <c r="CAY64"/>
      <c r="CAZ64"/>
      <c r="CBA64"/>
      <c r="CBB64"/>
      <c r="CBC64"/>
      <c r="CBD64"/>
      <c r="CBE64"/>
      <c r="CBF64"/>
      <c r="CBG64"/>
      <c r="CBH64"/>
      <c r="CBI64"/>
      <c r="CBJ64"/>
      <c r="CBK64"/>
      <c r="CBL64"/>
      <c r="CBM64"/>
      <c r="CBN64"/>
      <c r="CBO64"/>
      <c r="CBP64"/>
      <c r="CBQ64"/>
      <c r="CBR64"/>
      <c r="CBS64"/>
      <c r="CBT64"/>
      <c r="CBU64"/>
      <c r="CBV64"/>
      <c r="CBW64"/>
      <c r="CBX64"/>
      <c r="CBY64"/>
      <c r="CBZ64"/>
      <c r="CCA64"/>
      <c r="CCB64"/>
      <c r="CCC64"/>
      <c r="CCD64"/>
      <c r="CCE64"/>
      <c r="CCF64"/>
      <c r="CCG64"/>
      <c r="CCH64"/>
      <c r="CCI64"/>
      <c r="CCJ64"/>
      <c r="CCK64"/>
      <c r="CCL64"/>
      <c r="CCM64"/>
      <c r="CCN64"/>
      <c r="CCO64"/>
      <c r="CCP64"/>
      <c r="CCQ64"/>
      <c r="CCR64"/>
      <c r="CCS64"/>
      <c r="CCT64"/>
      <c r="CCU64"/>
      <c r="CCV64"/>
      <c r="CCW64"/>
      <c r="CCX64"/>
      <c r="CCY64"/>
      <c r="CCZ64"/>
      <c r="CDA64"/>
      <c r="CDB64"/>
      <c r="CDC64"/>
      <c r="CDD64"/>
      <c r="CDE64"/>
      <c r="CDF64"/>
      <c r="CDG64"/>
      <c r="CDH64"/>
      <c r="CDI64"/>
      <c r="CDJ64"/>
      <c r="CDK64"/>
      <c r="CDL64"/>
      <c r="CDM64"/>
      <c r="CDN64"/>
      <c r="CDO64"/>
      <c r="CDP64"/>
      <c r="CDQ64"/>
      <c r="CDR64"/>
      <c r="CDS64"/>
      <c r="CDT64"/>
      <c r="CDU64"/>
      <c r="CDV64"/>
      <c r="CDW64"/>
      <c r="CDX64"/>
      <c r="CDY64"/>
      <c r="CDZ64"/>
      <c r="CEA64"/>
      <c r="CEB64"/>
      <c r="CEC64"/>
      <c r="CED64"/>
      <c r="CEE64"/>
      <c r="CEF64"/>
      <c r="CEG64"/>
      <c r="CEH64"/>
      <c r="CEI64"/>
      <c r="CEJ64"/>
      <c r="CEK64"/>
      <c r="CEL64"/>
      <c r="CEM64"/>
      <c r="CEN64"/>
      <c r="CEO64"/>
      <c r="CEP64"/>
      <c r="CEQ64"/>
      <c r="CER64"/>
      <c r="CES64"/>
      <c r="CET64"/>
      <c r="CEU64"/>
      <c r="CEV64"/>
      <c r="CEW64"/>
      <c r="CEX64"/>
      <c r="CEY64"/>
      <c r="CEZ64"/>
      <c r="CFA64"/>
      <c r="CFB64"/>
      <c r="CFC64"/>
      <c r="CFD64"/>
      <c r="CFE64"/>
      <c r="CFF64"/>
      <c r="CFG64"/>
      <c r="CFH64"/>
      <c r="CFI64"/>
      <c r="CFJ64"/>
      <c r="CFK64"/>
      <c r="CFL64"/>
      <c r="CFM64"/>
      <c r="CFN64"/>
      <c r="CFO64"/>
      <c r="CFP64"/>
      <c r="CFQ64"/>
      <c r="CFR64"/>
      <c r="CFS64"/>
      <c r="CFT64"/>
      <c r="CFU64"/>
      <c r="CFV64"/>
      <c r="CFW64"/>
      <c r="CFX64"/>
      <c r="CFY64"/>
      <c r="CFZ64"/>
      <c r="CGA64"/>
      <c r="CGB64"/>
      <c r="CGC64"/>
      <c r="CGD64"/>
      <c r="CGE64"/>
      <c r="CGF64"/>
      <c r="CGG64"/>
      <c r="CGH64"/>
      <c r="CGI64"/>
      <c r="CGJ64"/>
      <c r="CGK64"/>
      <c r="CGL64"/>
      <c r="CGM64"/>
      <c r="CGN64"/>
      <c r="CGO64"/>
      <c r="CGP64"/>
      <c r="CGQ64"/>
      <c r="CGR64"/>
      <c r="CGS64"/>
      <c r="CGT64"/>
      <c r="CGU64"/>
      <c r="CGV64"/>
      <c r="CGW64"/>
      <c r="CGX64"/>
      <c r="CGY64"/>
      <c r="CGZ64"/>
      <c r="CHA64"/>
      <c r="CHB64"/>
      <c r="CHC64"/>
      <c r="CHD64"/>
      <c r="CHE64"/>
      <c r="CHF64"/>
      <c r="CHG64"/>
      <c r="CHH64"/>
      <c r="CHI64"/>
      <c r="CHJ64"/>
      <c r="CHK64"/>
      <c r="CHL64"/>
      <c r="CHM64"/>
      <c r="CHN64"/>
      <c r="CHO64"/>
      <c r="CHP64"/>
      <c r="CHQ64"/>
      <c r="CHR64"/>
      <c r="CHS64"/>
      <c r="CHT64"/>
      <c r="CHU64"/>
      <c r="CHV64"/>
      <c r="CHW64"/>
      <c r="CHX64"/>
      <c r="CHY64"/>
      <c r="CHZ64"/>
      <c r="CIA64"/>
      <c r="CIB64"/>
      <c r="CIC64"/>
      <c r="CID64"/>
      <c r="CIE64"/>
      <c r="CIF64"/>
      <c r="CIG64"/>
      <c r="CIH64"/>
      <c r="CII64"/>
      <c r="CIJ64"/>
      <c r="CIK64"/>
      <c r="CIL64"/>
      <c r="CIM64"/>
      <c r="CIN64"/>
      <c r="CIO64"/>
      <c r="CIP64"/>
      <c r="CIQ64"/>
      <c r="CIR64"/>
      <c r="CIS64"/>
      <c r="CIT64"/>
      <c r="CIU64"/>
      <c r="CIV64"/>
      <c r="CIW64"/>
      <c r="CIX64"/>
      <c r="CIY64"/>
      <c r="CIZ64"/>
      <c r="CJA64"/>
      <c r="CJB64"/>
      <c r="CJC64"/>
      <c r="CJD64"/>
      <c r="CJE64"/>
      <c r="CJF64"/>
      <c r="CJG64"/>
      <c r="CJH64"/>
      <c r="CJI64"/>
      <c r="CJJ64"/>
      <c r="CJK64"/>
      <c r="CJL64"/>
      <c r="CJM64"/>
      <c r="CJN64"/>
      <c r="CJO64"/>
      <c r="CJP64"/>
      <c r="CJQ64"/>
      <c r="CJR64"/>
      <c r="CJS64"/>
      <c r="CJT64"/>
      <c r="CJU64"/>
      <c r="CJV64"/>
      <c r="CJW64"/>
      <c r="CJX64"/>
      <c r="CJY64"/>
      <c r="CJZ64"/>
      <c r="CKA64"/>
      <c r="CKB64"/>
      <c r="CKC64"/>
      <c r="CKD64"/>
      <c r="CKE64"/>
      <c r="CKF64"/>
      <c r="CKG64"/>
      <c r="CKH64"/>
      <c r="CKI64"/>
      <c r="CKJ64"/>
      <c r="CKK64"/>
      <c r="CKL64"/>
      <c r="CKM64"/>
      <c r="CKN64"/>
      <c r="CKO64"/>
      <c r="CKP64"/>
      <c r="CKQ64"/>
      <c r="CKR64"/>
      <c r="CKS64"/>
      <c r="CKT64"/>
      <c r="CKU64"/>
      <c r="CKV64"/>
      <c r="CKW64"/>
      <c r="CKX64"/>
      <c r="CKY64"/>
      <c r="CKZ64"/>
      <c r="CLA64"/>
      <c r="CLB64"/>
      <c r="CLC64"/>
      <c r="CLD64"/>
      <c r="CLE64"/>
      <c r="CLF64"/>
      <c r="CLG64"/>
      <c r="CLH64"/>
      <c r="CLI64"/>
      <c r="CLJ64"/>
      <c r="CLK64"/>
      <c r="CLL64"/>
      <c r="CLM64"/>
      <c r="CLN64"/>
      <c r="CLO64"/>
      <c r="CLP64"/>
      <c r="CLQ64"/>
      <c r="CLR64"/>
      <c r="CLS64"/>
      <c r="CLT64"/>
      <c r="CLU64"/>
      <c r="CLV64"/>
      <c r="CLW64"/>
      <c r="CLX64"/>
      <c r="CLY64"/>
      <c r="CLZ64"/>
      <c r="CMA64"/>
      <c r="CMB64"/>
      <c r="CMC64"/>
      <c r="CMD64"/>
      <c r="CME64"/>
      <c r="CMF64"/>
      <c r="CMG64"/>
      <c r="CMH64"/>
      <c r="CMI64"/>
      <c r="CMJ64"/>
      <c r="CMK64"/>
      <c r="CML64"/>
      <c r="CMM64"/>
      <c r="CMN64"/>
      <c r="CMO64"/>
      <c r="CMP64"/>
      <c r="CMQ64"/>
      <c r="CMR64"/>
      <c r="CMS64"/>
      <c r="CMT64"/>
      <c r="CMU64"/>
      <c r="CMV64"/>
      <c r="CMW64"/>
      <c r="CMX64"/>
      <c r="CMY64"/>
      <c r="CMZ64"/>
      <c r="CNA64"/>
      <c r="CNB64"/>
      <c r="CNC64"/>
      <c r="CND64"/>
      <c r="CNE64"/>
      <c r="CNF64"/>
      <c r="CNG64"/>
      <c r="CNH64"/>
      <c r="CNI64"/>
      <c r="CNJ64"/>
      <c r="CNK64"/>
      <c r="CNL64"/>
      <c r="CNM64"/>
      <c r="CNN64"/>
      <c r="CNO64"/>
      <c r="CNP64"/>
      <c r="CNQ64"/>
      <c r="CNR64"/>
      <c r="CNS64"/>
      <c r="CNT64"/>
      <c r="CNU64"/>
      <c r="CNV64"/>
      <c r="CNW64"/>
      <c r="CNX64"/>
      <c r="CNY64"/>
      <c r="CNZ64"/>
      <c r="COA64"/>
      <c r="COB64"/>
      <c r="COC64"/>
      <c r="COD64"/>
      <c r="COE64"/>
      <c r="COF64"/>
      <c r="COG64"/>
      <c r="COH64"/>
      <c r="COI64"/>
      <c r="COJ64"/>
      <c r="COK64"/>
      <c r="COL64"/>
      <c r="COM64"/>
      <c r="CON64"/>
      <c r="COO64"/>
      <c r="COP64"/>
      <c r="COQ64"/>
      <c r="COR64"/>
      <c r="COS64"/>
      <c r="COT64"/>
      <c r="COU64"/>
      <c r="COV64"/>
      <c r="COW64"/>
      <c r="COX64"/>
      <c r="COY64"/>
      <c r="COZ64"/>
      <c r="CPA64"/>
      <c r="CPB64"/>
      <c r="CPC64"/>
      <c r="CPD64"/>
      <c r="CPE64"/>
      <c r="CPF64"/>
      <c r="CPG64"/>
      <c r="CPH64"/>
      <c r="CPI64"/>
      <c r="CPJ64"/>
      <c r="CPK64"/>
      <c r="CPL64"/>
      <c r="CPM64"/>
      <c r="CPN64"/>
      <c r="CPO64"/>
      <c r="CPP64"/>
      <c r="CPQ64"/>
      <c r="CPR64"/>
      <c r="CPS64"/>
      <c r="CPT64"/>
      <c r="CPU64"/>
      <c r="CPV64"/>
      <c r="CPW64"/>
      <c r="CPX64"/>
      <c r="CPY64"/>
      <c r="CPZ64"/>
      <c r="CQA64"/>
      <c r="CQB64"/>
      <c r="CQC64"/>
      <c r="CQD64"/>
      <c r="CQE64"/>
      <c r="CQF64"/>
      <c r="CQG64"/>
      <c r="CQH64"/>
      <c r="CQI64"/>
      <c r="CQJ64"/>
      <c r="CQK64"/>
      <c r="CQL64"/>
      <c r="CQM64"/>
      <c r="CQN64"/>
      <c r="CQO64"/>
      <c r="CQP64"/>
      <c r="CQQ64"/>
      <c r="CQR64"/>
      <c r="CQS64"/>
      <c r="CQT64"/>
      <c r="CQU64"/>
      <c r="CQV64"/>
      <c r="CQW64"/>
      <c r="CQX64"/>
      <c r="CQY64"/>
      <c r="CQZ64"/>
      <c r="CRA64"/>
      <c r="CRB64"/>
      <c r="CRC64"/>
      <c r="CRD64"/>
      <c r="CRE64"/>
      <c r="CRF64"/>
      <c r="CRG64"/>
      <c r="CRH64"/>
      <c r="CRI64"/>
      <c r="CRJ64"/>
      <c r="CRK64"/>
      <c r="CRL64"/>
      <c r="CRM64"/>
      <c r="CRN64"/>
      <c r="CRO64"/>
      <c r="CRP64"/>
      <c r="CRQ64"/>
      <c r="CRR64"/>
      <c r="CRS64"/>
      <c r="CRT64"/>
      <c r="CRU64"/>
      <c r="CRV64"/>
      <c r="CRW64"/>
      <c r="CRX64"/>
      <c r="CRY64"/>
      <c r="CRZ64"/>
      <c r="CSA64"/>
      <c r="CSB64"/>
      <c r="CSC64"/>
      <c r="CSD64"/>
      <c r="CSE64"/>
      <c r="CSF64"/>
      <c r="CSG64"/>
      <c r="CSH64"/>
      <c r="CSI64"/>
      <c r="CSJ64"/>
      <c r="CSK64"/>
      <c r="CSL64"/>
      <c r="CSM64"/>
      <c r="CSN64"/>
      <c r="CSO64"/>
      <c r="CSP64"/>
      <c r="CSQ64"/>
      <c r="CSR64"/>
      <c r="CSS64"/>
      <c r="CST64"/>
      <c r="CSU64"/>
      <c r="CSV64"/>
      <c r="CSW64"/>
      <c r="CSX64"/>
      <c r="CSY64"/>
      <c r="CSZ64"/>
      <c r="CTA64"/>
      <c r="CTB64"/>
      <c r="CTC64"/>
      <c r="CTD64"/>
      <c r="CTE64"/>
      <c r="CTF64"/>
      <c r="CTG64"/>
      <c r="CTH64"/>
      <c r="CTI64"/>
      <c r="CTJ64"/>
      <c r="CTK64"/>
      <c r="CTL64"/>
      <c r="CTM64"/>
      <c r="CTN64"/>
      <c r="CTO64"/>
      <c r="CTP64"/>
      <c r="CTQ64"/>
      <c r="CTR64"/>
      <c r="CTS64"/>
      <c r="CTT64"/>
      <c r="CTU64"/>
      <c r="CTV64"/>
      <c r="CTW64"/>
      <c r="CTX64"/>
      <c r="CTY64"/>
      <c r="CTZ64"/>
      <c r="CUA64"/>
      <c r="CUB64"/>
      <c r="CUC64"/>
      <c r="CUD64"/>
      <c r="CUE64"/>
      <c r="CUF64"/>
      <c r="CUG64"/>
      <c r="CUH64"/>
      <c r="CUI64"/>
      <c r="CUJ64"/>
      <c r="CUK64"/>
      <c r="CUL64"/>
      <c r="CUM64"/>
      <c r="CUN64"/>
      <c r="CUO64"/>
      <c r="CUP64"/>
      <c r="CUQ64"/>
      <c r="CUR64"/>
      <c r="CUS64"/>
      <c r="CUT64"/>
      <c r="CUU64"/>
      <c r="CUV64"/>
      <c r="CUW64"/>
      <c r="CUX64"/>
      <c r="CUY64"/>
      <c r="CUZ64"/>
      <c r="CVA64"/>
      <c r="CVB64"/>
      <c r="CVC64"/>
      <c r="CVD64"/>
      <c r="CVE64"/>
      <c r="CVF64"/>
      <c r="CVG64"/>
      <c r="CVH64"/>
      <c r="CVI64"/>
      <c r="CVJ64"/>
      <c r="CVK64"/>
      <c r="CVL64"/>
      <c r="CVM64"/>
      <c r="CVN64"/>
      <c r="CVO64"/>
      <c r="CVP64"/>
      <c r="CVQ64"/>
      <c r="CVR64"/>
      <c r="CVS64"/>
      <c r="CVT64"/>
      <c r="CVU64"/>
      <c r="CVV64"/>
      <c r="CVW64"/>
      <c r="CVX64"/>
      <c r="CVY64"/>
      <c r="CVZ64"/>
      <c r="CWA64"/>
      <c r="CWB64"/>
      <c r="CWC64"/>
      <c r="CWD64"/>
      <c r="CWE64"/>
      <c r="CWF64"/>
      <c r="CWG64"/>
      <c r="CWH64"/>
      <c r="CWI64"/>
      <c r="CWJ64"/>
      <c r="CWK64"/>
      <c r="CWL64"/>
      <c r="CWM64"/>
      <c r="CWN64"/>
      <c r="CWO64"/>
      <c r="CWP64"/>
      <c r="CWQ64"/>
      <c r="CWR64"/>
      <c r="CWS64"/>
      <c r="CWT64"/>
      <c r="CWU64"/>
      <c r="CWV64"/>
      <c r="CWW64"/>
      <c r="CWX64"/>
      <c r="CWY64"/>
      <c r="CWZ64"/>
      <c r="CXA64"/>
      <c r="CXB64"/>
      <c r="CXC64"/>
      <c r="CXD64"/>
      <c r="CXE64"/>
      <c r="CXF64"/>
      <c r="CXG64"/>
      <c r="CXH64"/>
      <c r="CXI64"/>
      <c r="CXJ64"/>
      <c r="CXK64"/>
      <c r="CXL64"/>
      <c r="CXM64"/>
      <c r="CXN64"/>
      <c r="CXO64"/>
      <c r="CXP64"/>
      <c r="CXQ64"/>
      <c r="CXR64"/>
      <c r="CXS64"/>
      <c r="CXT64"/>
      <c r="CXU64"/>
      <c r="CXV64"/>
      <c r="CXW64"/>
      <c r="CXX64"/>
      <c r="CXY64"/>
      <c r="CXZ64"/>
      <c r="CYA64"/>
      <c r="CYB64"/>
      <c r="CYC64"/>
      <c r="CYD64"/>
      <c r="CYE64"/>
      <c r="CYF64"/>
      <c r="CYG64"/>
      <c r="CYH64"/>
      <c r="CYI64"/>
      <c r="CYJ64"/>
      <c r="CYK64"/>
      <c r="CYL64"/>
      <c r="CYM64"/>
      <c r="CYN64"/>
      <c r="CYO64"/>
      <c r="CYP64"/>
      <c r="CYQ64"/>
      <c r="CYR64"/>
      <c r="CYS64"/>
      <c r="CYT64"/>
      <c r="CYU64"/>
      <c r="CYV64"/>
      <c r="CYW64"/>
      <c r="CYX64"/>
      <c r="CYY64"/>
      <c r="CYZ64"/>
      <c r="CZA64"/>
      <c r="CZB64"/>
      <c r="CZC64"/>
      <c r="CZD64"/>
      <c r="CZE64"/>
      <c r="CZF64"/>
      <c r="CZG64"/>
      <c r="CZH64"/>
      <c r="CZI64"/>
      <c r="CZJ64"/>
      <c r="CZK64"/>
      <c r="CZL64"/>
      <c r="CZM64"/>
      <c r="CZN64"/>
      <c r="CZO64"/>
      <c r="CZP64"/>
      <c r="CZQ64"/>
      <c r="CZR64"/>
      <c r="CZS64"/>
      <c r="CZT64"/>
      <c r="CZU64"/>
      <c r="CZV64"/>
      <c r="CZW64"/>
      <c r="CZX64"/>
      <c r="CZY64"/>
      <c r="CZZ64"/>
      <c r="DAA64"/>
      <c r="DAB64"/>
      <c r="DAC64"/>
      <c r="DAD64"/>
      <c r="DAE64"/>
      <c r="DAF64"/>
      <c r="DAG64"/>
      <c r="DAH64"/>
      <c r="DAI64"/>
      <c r="DAJ64"/>
      <c r="DAK64"/>
      <c r="DAL64"/>
      <c r="DAM64"/>
      <c r="DAN64"/>
      <c r="DAO64"/>
      <c r="DAP64"/>
      <c r="DAQ64"/>
      <c r="DAR64"/>
      <c r="DAS64"/>
      <c r="DAT64"/>
      <c r="DAU64"/>
      <c r="DAV64"/>
      <c r="DAW64"/>
      <c r="DAX64"/>
      <c r="DAY64"/>
      <c r="DAZ64"/>
      <c r="DBA64"/>
      <c r="DBB64"/>
      <c r="DBC64"/>
      <c r="DBD64"/>
      <c r="DBE64"/>
      <c r="DBF64"/>
      <c r="DBG64"/>
      <c r="DBH64"/>
      <c r="DBI64"/>
      <c r="DBJ64"/>
      <c r="DBK64"/>
      <c r="DBL64"/>
      <c r="DBM64"/>
      <c r="DBN64"/>
      <c r="DBO64"/>
      <c r="DBP64"/>
      <c r="DBQ64"/>
      <c r="DBR64"/>
      <c r="DBS64"/>
      <c r="DBT64"/>
      <c r="DBU64"/>
      <c r="DBV64"/>
      <c r="DBW64"/>
      <c r="DBX64"/>
      <c r="DBY64"/>
      <c r="DBZ64"/>
      <c r="DCA64"/>
      <c r="DCB64"/>
      <c r="DCC64"/>
      <c r="DCD64"/>
      <c r="DCE64"/>
      <c r="DCF64"/>
      <c r="DCG64"/>
      <c r="DCH64"/>
      <c r="DCI64"/>
      <c r="DCJ64"/>
      <c r="DCK64"/>
      <c r="DCL64"/>
      <c r="DCM64"/>
      <c r="DCN64"/>
      <c r="DCO64"/>
      <c r="DCP64"/>
      <c r="DCQ64"/>
      <c r="DCR64"/>
      <c r="DCS64"/>
      <c r="DCT64"/>
      <c r="DCU64"/>
      <c r="DCV64"/>
      <c r="DCW64"/>
      <c r="DCX64"/>
      <c r="DCY64"/>
      <c r="DCZ64"/>
      <c r="DDA64"/>
      <c r="DDB64"/>
      <c r="DDC64"/>
      <c r="DDD64"/>
      <c r="DDE64"/>
      <c r="DDF64"/>
      <c r="DDG64"/>
      <c r="DDH64"/>
      <c r="DDI64"/>
      <c r="DDJ64"/>
      <c r="DDK64"/>
      <c r="DDL64"/>
      <c r="DDM64"/>
      <c r="DDN64"/>
      <c r="DDO64"/>
      <c r="DDP64"/>
      <c r="DDQ64"/>
      <c r="DDR64"/>
      <c r="DDS64"/>
      <c r="DDT64"/>
      <c r="DDU64"/>
      <c r="DDV64"/>
      <c r="DDW64"/>
      <c r="DDX64"/>
      <c r="DDY64"/>
      <c r="DDZ64"/>
      <c r="DEA64"/>
      <c r="DEB64"/>
      <c r="DEC64"/>
      <c r="DED64"/>
      <c r="DEE64"/>
      <c r="DEF64"/>
      <c r="DEG64"/>
      <c r="DEH64"/>
      <c r="DEI64"/>
      <c r="DEJ64"/>
      <c r="DEK64"/>
      <c r="DEL64"/>
      <c r="DEM64"/>
      <c r="DEN64"/>
      <c r="DEO64"/>
      <c r="DEP64"/>
      <c r="DEQ64"/>
      <c r="DER64"/>
      <c r="DES64"/>
      <c r="DET64"/>
      <c r="DEU64"/>
      <c r="DEV64"/>
      <c r="DEW64"/>
      <c r="DEX64"/>
      <c r="DEY64"/>
      <c r="DEZ64"/>
      <c r="DFA64"/>
      <c r="DFB64"/>
      <c r="DFC64"/>
      <c r="DFD64"/>
      <c r="DFE64"/>
      <c r="DFF64"/>
      <c r="DFG64"/>
      <c r="DFH64"/>
      <c r="DFI64"/>
      <c r="DFJ64"/>
      <c r="DFK64"/>
      <c r="DFL64"/>
      <c r="DFM64"/>
      <c r="DFN64"/>
      <c r="DFO64"/>
      <c r="DFP64"/>
      <c r="DFQ64"/>
      <c r="DFR64"/>
      <c r="DFS64"/>
      <c r="DFT64"/>
      <c r="DFU64"/>
      <c r="DFV64"/>
      <c r="DFW64"/>
      <c r="DFX64"/>
      <c r="DFY64"/>
      <c r="DFZ64"/>
      <c r="DGA64"/>
      <c r="DGB64"/>
      <c r="DGC64"/>
      <c r="DGD64"/>
      <c r="DGE64"/>
      <c r="DGF64"/>
      <c r="DGG64"/>
      <c r="DGH64"/>
      <c r="DGI64"/>
      <c r="DGJ64"/>
      <c r="DGK64"/>
      <c r="DGL64"/>
      <c r="DGM64"/>
      <c r="DGN64"/>
      <c r="DGO64"/>
      <c r="DGP64"/>
      <c r="DGQ64"/>
      <c r="DGR64"/>
      <c r="DGS64"/>
      <c r="DGT64"/>
      <c r="DGU64"/>
      <c r="DGV64"/>
      <c r="DGW64"/>
      <c r="DGX64"/>
      <c r="DGY64"/>
      <c r="DGZ64"/>
      <c r="DHA64"/>
      <c r="DHB64"/>
      <c r="DHC64"/>
      <c r="DHD64"/>
      <c r="DHE64"/>
      <c r="DHF64"/>
      <c r="DHG64"/>
      <c r="DHH64"/>
      <c r="DHI64"/>
      <c r="DHJ64"/>
      <c r="DHK64"/>
      <c r="DHL64"/>
      <c r="DHM64"/>
      <c r="DHN64"/>
      <c r="DHO64"/>
      <c r="DHP64"/>
      <c r="DHQ64"/>
      <c r="DHR64"/>
      <c r="DHS64"/>
      <c r="DHT64"/>
      <c r="DHU64"/>
      <c r="DHV64"/>
      <c r="DHW64"/>
      <c r="DHX64"/>
      <c r="DHY64"/>
      <c r="DHZ64"/>
      <c r="DIA64"/>
      <c r="DIB64"/>
      <c r="DIC64"/>
      <c r="DID64"/>
      <c r="DIE64"/>
      <c r="DIF64"/>
      <c r="DIG64"/>
      <c r="DIH64"/>
      <c r="DII64"/>
      <c r="DIJ64"/>
      <c r="DIK64"/>
      <c r="DIL64"/>
      <c r="DIM64"/>
      <c r="DIN64"/>
      <c r="DIO64"/>
      <c r="DIP64"/>
      <c r="DIQ64"/>
      <c r="DIR64"/>
      <c r="DIS64"/>
      <c r="DIT64"/>
      <c r="DIU64"/>
      <c r="DIV64"/>
      <c r="DIW64"/>
      <c r="DIX64"/>
      <c r="DIY64"/>
      <c r="DIZ64"/>
      <c r="DJA64"/>
      <c r="DJB64"/>
      <c r="DJC64"/>
      <c r="DJD64"/>
      <c r="DJE64"/>
      <c r="DJF64"/>
      <c r="DJG64"/>
      <c r="DJH64"/>
      <c r="DJI64"/>
      <c r="DJJ64"/>
      <c r="DJK64"/>
      <c r="DJL64"/>
      <c r="DJM64"/>
      <c r="DJN64"/>
      <c r="DJO64"/>
      <c r="DJP64"/>
      <c r="DJQ64"/>
      <c r="DJR64"/>
      <c r="DJS64"/>
      <c r="DJT64"/>
      <c r="DJU64"/>
      <c r="DJV64"/>
      <c r="DJW64"/>
      <c r="DJX64"/>
      <c r="DJY64"/>
      <c r="DJZ64"/>
      <c r="DKA64"/>
      <c r="DKB64"/>
      <c r="DKC64"/>
      <c r="DKD64"/>
      <c r="DKE64"/>
      <c r="DKF64"/>
      <c r="DKG64"/>
      <c r="DKH64"/>
      <c r="DKI64"/>
      <c r="DKJ64"/>
      <c r="DKK64"/>
      <c r="DKL64"/>
      <c r="DKM64"/>
      <c r="DKN64"/>
      <c r="DKO64"/>
      <c r="DKP64"/>
      <c r="DKQ64"/>
      <c r="DKR64"/>
      <c r="DKS64"/>
      <c r="DKT64"/>
      <c r="DKU64"/>
      <c r="DKV64"/>
      <c r="DKW64"/>
      <c r="DKX64"/>
      <c r="DKY64"/>
      <c r="DKZ64"/>
      <c r="DLA64"/>
      <c r="DLB64"/>
      <c r="DLC64"/>
      <c r="DLD64"/>
      <c r="DLE64"/>
      <c r="DLF64"/>
      <c r="DLG64"/>
      <c r="DLH64"/>
      <c r="DLI64"/>
      <c r="DLJ64"/>
      <c r="DLK64"/>
      <c r="DLL64"/>
      <c r="DLM64"/>
      <c r="DLN64"/>
      <c r="DLO64"/>
      <c r="DLP64"/>
      <c r="DLQ64"/>
      <c r="DLR64"/>
      <c r="DLS64"/>
      <c r="DLT64"/>
      <c r="DLU64"/>
      <c r="DLV64"/>
      <c r="DLW64"/>
      <c r="DLX64"/>
      <c r="DLY64"/>
      <c r="DLZ64"/>
      <c r="DMA64"/>
      <c r="DMB64"/>
      <c r="DMC64"/>
      <c r="DMD64"/>
      <c r="DME64"/>
      <c r="DMF64"/>
      <c r="DMG64"/>
      <c r="DMH64"/>
      <c r="DMI64"/>
      <c r="DMJ64"/>
      <c r="DMK64"/>
      <c r="DML64"/>
      <c r="DMM64"/>
      <c r="DMN64"/>
      <c r="DMO64"/>
      <c r="DMP64"/>
      <c r="DMQ64"/>
      <c r="DMR64"/>
      <c r="DMS64"/>
      <c r="DMT64"/>
      <c r="DMU64"/>
      <c r="DMV64"/>
      <c r="DMW64"/>
      <c r="DMX64"/>
      <c r="DMY64"/>
      <c r="DMZ64"/>
      <c r="DNA64"/>
      <c r="DNB64"/>
      <c r="DNC64"/>
      <c r="DND64"/>
      <c r="DNE64"/>
      <c r="DNF64"/>
      <c r="DNG64"/>
      <c r="DNH64"/>
      <c r="DNI64"/>
      <c r="DNJ64"/>
      <c r="DNK64"/>
      <c r="DNL64"/>
      <c r="DNM64"/>
      <c r="DNN64"/>
      <c r="DNO64"/>
      <c r="DNP64"/>
      <c r="DNQ64"/>
      <c r="DNR64"/>
      <c r="DNS64"/>
      <c r="DNT64"/>
      <c r="DNU64"/>
      <c r="DNV64"/>
      <c r="DNW64"/>
      <c r="DNX64"/>
      <c r="DNY64"/>
      <c r="DNZ64"/>
      <c r="DOA64"/>
      <c r="DOB64"/>
      <c r="DOC64"/>
      <c r="DOD64"/>
      <c r="DOE64"/>
      <c r="DOF64"/>
      <c r="DOG64"/>
      <c r="DOH64"/>
      <c r="DOI64"/>
      <c r="DOJ64"/>
      <c r="DOK64"/>
      <c r="DOL64"/>
      <c r="DOM64"/>
      <c r="DON64"/>
      <c r="DOO64"/>
      <c r="DOP64"/>
      <c r="DOQ64"/>
      <c r="DOR64"/>
      <c r="DOS64"/>
      <c r="DOT64"/>
      <c r="DOU64"/>
      <c r="DOV64"/>
      <c r="DOW64"/>
      <c r="DOX64"/>
      <c r="DOY64"/>
      <c r="DOZ64"/>
      <c r="DPA64"/>
      <c r="DPB64"/>
      <c r="DPC64"/>
      <c r="DPD64"/>
      <c r="DPE64"/>
      <c r="DPF64"/>
      <c r="DPG64"/>
      <c r="DPH64"/>
      <c r="DPI64"/>
      <c r="DPJ64"/>
      <c r="DPK64"/>
      <c r="DPL64"/>
      <c r="DPM64"/>
      <c r="DPN64"/>
      <c r="DPO64"/>
      <c r="DPP64"/>
      <c r="DPQ64"/>
      <c r="DPR64"/>
      <c r="DPS64"/>
      <c r="DPT64"/>
      <c r="DPU64"/>
      <c r="DPV64"/>
      <c r="DPW64"/>
      <c r="DPX64"/>
      <c r="DPY64"/>
      <c r="DPZ64"/>
      <c r="DQA64"/>
      <c r="DQB64"/>
      <c r="DQC64"/>
      <c r="DQD64"/>
      <c r="DQE64"/>
      <c r="DQF64"/>
      <c r="DQG64"/>
      <c r="DQH64"/>
      <c r="DQI64"/>
      <c r="DQJ64"/>
      <c r="DQK64"/>
      <c r="DQL64"/>
      <c r="DQM64"/>
      <c r="DQN64"/>
      <c r="DQO64"/>
      <c r="DQP64"/>
      <c r="DQQ64"/>
      <c r="DQR64"/>
      <c r="DQS64"/>
      <c r="DQT64"/>
      <c r="DQU64"/>
      <c r="DQV64"/>
      <c r="DQW64"/>
      <c r="DQX64"/>
      <c r="DQY64"/>
      <c r="DQZ64"/>
      <c r="DRA64"/>
      <c r="DRB64"/>
      <c r="DRC64"/>
      <c r="DRD64"/>
      <c r="DRE64"/>
      <c r="DRF64"/>
      <c r="DRG64"/>
      <c r="DRH64"/>
      <c r="DRI64"/>
      <c r="DRJ64"/>
      <c r="DRK64"/>
      <c r="DRL64"/>
      <c r="DRM64"/>
      <c r="DRN64"/>
      <c r="DRO64"/>
      <c r="DRP64"/>
      <c r="DRQ64"/>
      <c r="DRR64"/>
      <c r="DRS64"/>
      <c r="DRT64"/>
      <c r="DRU64"/>
      <c r="DRV64"/>
      <c r="DRW64"/>
      <c r="DRX64"/>
      <c r="DRY64"/>
      <c r="DRZ64"/>
      <c r="DSA64"/>
      <c r="DSB64"/>
      <c r="DSC64"/>
      <c r="DSD64"/>
      <c r="DSE64"/>
      <c r="DSF64"/>
      <c r="DSG64"/>
      <c r="DSH64"/>
      <c r="DSI64"/>
      <c r="DSJ64"/>
      <c r="DSK64"/>
      <c r="DSL64"/>
      <c r="DSM64"/>
      <c r="DSN64"/>
      <c r="DSO64"/>
      <c r="DSP64"/>
      <c r="DSQ64"/>
      <c r="DSR64"/>
      <c r="DSS64"/>
      <c r="DST64"/>
      <c r="DSU64"/>
      <c r="DSV64"/>
      <c r="DSW64"/>
      <c r="DSX64"/>
      <c r="DSY64"/>
      <c r="DSZ64"/>
      <c r="DTA64"/>
      <c r="DTB64"/>
      <c r="DTC64"/>
      <c r="DTD64"/>
      <c r="DTE64"/>
      <c r="DTF64"/>
      <c r="DTG64"/>
      <c r="DTH64"/>
      <c r="DTI64"/>
      <c r="DTJ64"/>
      <c r="DTK64"/>
      <c r="DTL64"/>
      <c r="DTM64"/>
      <c r="DTN64"/>
      <c r="DTO64"/>
      <c r="DTP64"/>
      <c r="DTQ64"/>
      <c r="DTR64"/>
      <c r="DTS64"/>
      <c r="DTT64"/>
      <c r="DTU64"/>
      <c r="DTV64"/>
      <c r="DTW64"/>
      <c r="DTX64"/>
      <c r="DTY64"/>
      <c r="DTZ64"/>
      <c r="DUA64"/>
      <c r="DUB64"/>
      <c r="DUC64"/>
      <c r="DUD64"/>
      <c r="DUE64"/>
      <c r="DUF64"/>
      <c r="DUG64"/>
      <c r="DUH64"/>
      <c r="DUI64"/>
      <c r="DUJ64"/>
      <c r="DUK64"/>
      <c r="DUL64"/>
      <c r="DUM64"/>
      <c r="DUN64"/>
      <c r="DUO64"/>
      <c r="DUP64"/>
      <c r="DUQ64"/>
      <c r="DUR64"/>
      <c r="DUS64"/>
      <c r="DUT64"/>
      <c r="DUU64"/>
      <c r="DUV64"/>
      <c r="DUW64"/>
      <c r="DUX64"/>
      <c r="DUY64"/>
      <c r="DUZ64"/>
      <c r="DVA64"/>
      <c r="DVB64"/>
      <c r="DVC64"/>
      <c r="DVD64"/>
      <c r="DVE64"/>
      <c r="DVF64"/>
      <c r="DVG64"/>
      <c r="DVH64"/>
      <c r="DVI64"/>
      <c r="DVJ64"/>
      <c r="DVK64"/>
      <c r="DVL64"/>
      <c r="DVM64"/>
      <c r="DVN64"/>
      <c r="DVO64"/>
      <c r="DVP64"/>
      <c r="DVQ64"/>
      <c r="DVR64"/>
      <c r="DVS64"/>
      <c r="DVT64"/>
      <c r="DVU64"/>
      <c r="DVV64"/>
      <c r="DVW64"/>
      <c r="DVX64"/>
      <c r="DVY64"/>
      <c r="DVZ64"/>
      <c r="DWA64"/>
      <c r="DWB64"/>
      <c r="DWC64"/>
      <c r="DWD64"/>
      <c r="DWE64"/>
      <c r="DWF64"/>
      <c r="DWG64"/>
      <c r="DWH64"/>
      <c r="DWI64"/>
      <c r="DWJ64"/>
      <c r="DWK64"/>
      <c r="DWL64"/>
      <c r="DWM64"/>
      <c r="DWN64"/>
      <c r="DWO64"/>
      <c r="DWP64"/>
      <c r="DWQ64"/>
      <c r="DWR64"/>
      <c r="DWS64"/>
      <c r="DWT64"/>
      <c r="DWU64"/>
      <c r="DWV64"/>
      <c r="DWW64"/>
      <c r="DWX64"/>
      <c r="DWY64"/>
      <c r="DWZ64"/>
      <c r="DXA64"/>
      <c r="DXB64"/>
      <c r="DXC64"/>
      <c r="DXD64"/>
      <c r="DXE64"/>
      <c r="DXF64"/>
      <c r="DXG64"/>
      <c r="DXH64"/>
      <c r="DXI64"/>
      <c r="DXJ64"/>
      <c r="DXK64"/>
      <c r="DXL64"/>
      <c r="DXM64"/>
      <c r="DXN64"/>
      <c r="DXO64"/>
      <c r="DXP64"/>
      <c r="DXQ64"/>
      <c r="DXR64"/>
      <c r="DXS64"/>
      <c r="DXT64"/>
      <c r="DXU64"/>
      <c r="DXV64"/>
      <c r="DXW64"/>
      <c r="DXX64"/>
      <c r="DXY64"/>
      <c r="DXZ64"/>
      <c r="DYA64"/>
      <c r="DYB64"/>
      <c r="DYC64"/>
      <c r="DYD64"/>
      <c r="DYE64"/>
      <c r="DYF64"/>
      <c r="DYG64"/>
      <c r="DYH64"/>
      <c r="DYI64"/>
      <c r="DYJ64"/>
      <c r="DYK64"/>
      <c r="DYL64"/>
      <c r="DYM64"/>
      <c r="DYN64"/>
      <c r="DYO64"/>
      <c r="DYP64"/>
      <c r="DYQ64"/>
      <c r="DYR64"/>
      <c r="DYS64"/>
      <c r="DYT64"/>
      <c r="DYU64"/>
      <c r="DYV64"/>
      <c r="DYW64"/>
      <c r="DYX64"/>
      <c r="DYY64"/>
      <c r="DYZ64"/>
      <c r="DZA64"/>
      <c r="DZB64"/>
      <c r="DZC64"/>
      <c r="DZD64"/>
      <c r="DZE64"/>
      <c r="DZF64"/>
      <c r="DZG64"/>
      <c r="DZH64"/>
      <c r="DZI64"/>
      <c r="DZJ64"/>
      <c r="DZK64"/>
      <c r="DZL64"/>
      <c r="DZM64"/>
      <c r="DZN64"/>
      <c r="DZO64"/>
      <c r="DZP64"/>
      <c r="DZQ64"/>
      <c r="DZR64"/>
      <c r="DZS64"/>
      <c r="DZT64"/>
      <c r="DZU64"/>
      <c r="DZV64"/>
      <c r="DZW64"/>
      <c r="DZX64"/>
      <c r="DZY64"/>
      <c r="DZZ64"/>
      <c r="EAA64"/>
      <c r="EAB64"/>
      <c r="EAC64"/>
      <c r="EAD64"/>
      <c r="EAE64"/>
      <c r="EAF64"/>
      <c r="EAG64"/>
      <c r="EAH64"/>
      <c r="EAI64"/>
      <c r="EAJ64"/>
      <c r="EAK64"/>
      <c r="EAL64"/>
      <c r="EAM64"/>
      <c r="EAN64"/>
      <c r="EAO64"/>
      <c r="EAP64"/>
      <c r="EAQ64"/>
      <c r="EAR64"/>
      <c r="EAS64"/>
      <c r="EAT64"/>
      <c r="EAU64"/>
      <c r="EAV64"/>
      <c r="EAW64"/>
      <c r="EAX64"/>
      <c r="EAY64"/>
      <c r="EAZ64"/>
      <c r="EBA64"/>
      <c r="EBB64"/>
      <c r="EBC64"/>
      <c r="EBD64"/>
      <c r="EBE64"/>
      <c r="EBF64"/>
      <c r="EBG64"/>
      <c r="EBH64"/>
      <c r="EBI64"/>
      <c r="EBJ64"/>
      <c r="EBK64"/>
      <c r="EBL64"/>
      <c r="EBM64"/>
      <c r="EBN64"/>
      <c r="EBO64"/>
      <c r="EBP64"/>
      <c r="EBQ64"/>
      <c r="EBR64"/>
      <c r="EBS64"/>
      <c r="EBT64"/>
      <c r="EBU64"/>
      <c r="EBV64"/>
      <c r="EBW64"/>
      <c r="EBX64"/>
      <c r="EBY64"/>
      <c r="EBZ64"/>
      <c r="ECA64"/>
      <c r="ECB64"/>
      <c r="ECC64"/>
      <c r="ECD64"/>
      <c r="ECE64"/>
      <c r="ECF64"/>
      <c r="ECG64"/>
      <c r="ECH64"/>
      <c r="ECI64"/>
      <c r="ECJ64"/>
      <c r="ECK64"/>
      <c r="ECL64"/>
      <c r="ECM64"/>
      <c r="ECN64"/>
      <c r="ECO64"/>
      <c r="ECP64"/>
      <c r="ECQ64"/>
      <c r="ECR64"/>
      <c r="ECS64"/>
      <c r="ECT64"/>
      <c r="ECU64"/>
      <c r="ECV64"/>
      <c r="ECW64"/>
      <c r="ECX64"/>
      <c r="ECY64"/>
      <c r="ECZ64"/>
      <c r="EDA64"/>
      <c r="EDB64"/>
      <c r="EDC64"/>
      <c r="EDD64"/>
      <c r="EDE64"/>
      <c r="EDF64"/>
      <c r="EDG64"/>
      <c r="EDH64"/>
      <c r="EDI64"/>
      <c r="EDJ64"/>
      <c r="EDK64"/>
      <c r="EDL64"/>
      <c r="EDM64"/>
      <c r="EDN64"/>
      <c r="EDO64"/>
      <c r="EDP64"/>
      <c r="EDQ64"/>
      <c r="EDR64"/>
      <c r="EDS64"/>
      <c r="EDT64"/>
      <c r="EDU64"/>
      <c r="EDV64"/>
      <c r="EDW64"/>
      <c r="EDX64"/>
      <c r="EDY64"/>
      <c r="EDZ64"/>
      <c r="EEA64"/>
      <c r="EEB64"/>
      <c r="EEC64"/>
      <c r="EED64"/>
      <c r="EEE64"/>
      <c r="EEF64"/>
      <c r="EEG64"/>
      <c r="EEH64"/>
      <c r="EEI64"/>
      <c r="EEJ64"/>
      <c r="EEK64"/>
      <c r="EEL64"/>
      <c r="EEM64"/>
      <c r="EEN64"/>
      <c r="EEO64"/>
      <c r="EEP64"/>
      <c r="EEQ64"/>
      <c r="EER64"/>
      <c r="EES64"/>
      <c r="EET64"/>
      <c r="EEU64"/>
      <c r="EEV64"/>
      <c r="EEW64"/>
      <c r="EEX64"/>
      <c r="EEY64"/>
      <c r="EEZ64"/>
      <c r="EFA64"/>
      <c r="EFB64"/>
      <c r="EFC64"/>
      <c r="EFD64"/>
      <c r="EFE64"/>
      <c r="EFF64"/>
      <c r="EFG64"/>
      <c r="EFH64"/>
      <c r="EFI64"/>
      <c r="EFJ64"/>
      <c r="EFK64"/>
      <c r="EFL64"/>
      <c r="EFM64"/>
      <c r="EFN64"/>
      <c r="EFO64"/>
      <c r="EFP64"/>
      <c r="EFQ64"/>
      <c r="EFR64"/>
      <c r="EFS64"/>
      <c r="EFT64"/>
      <c r="EFU64"/>
      <c r="EFV64"/>
      <c r="EFW64"/>
      <c r="EFX64"/>
      <c r="EFY64"/>
      <c r="EFZ64"/>
      <c r="EGA64"/>
      <c r="EGB64"/>
      <c r="EGC64"/>
      <c r="EGD64"/>
      <c r="EGE64"/>
      <c r="EGF64"/>
      <c r="EGG64"/>
      <c r="EGH64"/>
      <c r="EGI64"/>
      <c r="EGJ64"/>
      <c r="EGK64"/>
      <c r="EGL64"/>
      <c r="EGM64"/>
      <c r="EGN64"/>
      <c r="EGO64"/>
      <c r="EGP64"/>
      <c r="EGQ64"/>
      <c r="EGR64"/>
      <c r="EGS64"/>
      <c r="EGT64"/>
      <c r="EGU64"/>
      <c r="EGV64"/>
      <c r="EGW64"/>
      <c r="EGX64"/>
      <c r="EGY64"/>
      <c r="EGZ64"/>
      <c r="EHA64"/>
      <c r="EHB64"/>
      <c r="EHC64"/>
      <c r="EHD64"/>
      <c r="EHE64"/>
      <c r="EHF64"/>
      <c r="EHG64"/>
      <c r="EHH64"/>
      <c r="EHI64"/>
      <c r="EHJ64"/>
      <c r="EHK64"/>
      <c r="EHL64"/>
      <c r="EHM64"/>
      <c r="EHN64"/>
      <c r="EHO64"/>
      <c r="EHP64"/>
      <c r="EHQ64"/>
      <c r="EHR64"/>
      <c r="EHS64"/>
      <c r="EHT64"/>
      <c r="EHU64"/>
      <c r="EHV64"/>
      <c r="EHW64"/>
      <c r="EHX64"/>
      <c r="EHY64"/>
      <c r="EHZ64"/>
      <c r="EIA64"/>
      <c r="EIB64"/>
      <c r="EIC64"/>
      <c r="EID64"/>
      <c r="EIE64"/>
      <c r="EIF64"/>
      <c r="EIG64"/>
      <c r="EIH64"/>
      <c r="EII64"/>
      <c r="EIJ64"/>
      <c r="EIK64"/>
      <c r="EIL64"/>
      <c r="EIM64"/>
      <c r="EIN64"/>
      <c r="EIO64"/>
      <c r="EIP64"/>
      <c r="EIQ64"/>
      <c r="EIR64"/>
      <c r="EIS64"/>
      <c r="EIT64"/>
      <c r="EIU64"/>
      <c r="EIV64"/>
      <c r="EIW64"/>
      <c r="EIX64"/>
      <c r="EIY64"/>
      <c r="EIZ64"/>
      <c r="EJA64"/>
      <c r="EJB64"/>
      <c r="EJC64"/>
      <c r="EJD64"/>
      <c r="EJE64"/>
      <c r="EJF64"/>
      <c r="EJG64"/>
      <c r="EJH64"/>
      <c r="EJI64"/>
      <c r="EJJ64"/>
      <c r="EJK64"/>
      <c r="EJL64"/>
      <c r="EJM64"/>
      <c r="EJN64"/>
      <c r="EJO64"/>
      <c r="EJP64"/>
      <c r="EJQ64"/>
      <c r="EJR64"/>
      <c r="EJS64"/>
      <c r="EJT64"/>
      <c r="EJU64"/>
      <c r="EJV64"/>
      <c r="EJW64"/>
      <c r="EJX64"/>
      <c r="EJY64"/>
      <c r="EJZ64"/>
      <c r="EKA64"/>
      <c r="EKB64"/>
      <c r="EKC64"/>
      <c r="EKD64"/>
      <c r="EKE64"/>
      <c r="EKF64"/>
      <c r="EKG64"/>
      <c r="EKH64"/>
      <c r="EKI64"/>
      <c r="EKJ64"/>
      <c r="EKK64"/>
      <c r="EKL64"/>
      <c r="EKM64"/>
      <c r="EKN64"/>
      <c r="EKO64"/>
      <c r="EKP64"/>
      <c r="EKQ64"/>
      <c r="EKR64"/>
      <c r="EKS64"/>
      <c r="EKT64"/>
      <c r="EKU64"/>
      <c r="EKV64"/>
      <c r="EKW64"/>
      <c r="EKX64"/>
      <c r="EKY64"/>
      <c r="EKZ64"/>
      <c r="ELA64"/>
      <c r="ELB64"/>
      <c r="ELC64"/>
      <c r="ELD64"/>
      <c r="ELE64"/>
      <c r="ELF64"/>
      <c r="ELG64"/>
      <c r="ELH64"/>
      <c r="ELI64"/>
      <c r="ELJ64"/>
      <c r="ELK64"/>
      <c r="ELL64"/>
      <c r="ELM64"/>
      <c r="ELN64"/>
      <c r="ELO64"/>
      <c r="ELP64"/>
      <c r="ELQ64"/>
      <c r="ELR64"/>
      <c r="ELS64"/>
      <c r="ELT64"/>
      <c r="ELU64"/>
      <c r="ELV64"/>
      <c r="ELW64"/>
      <c r="ELX64"/>
      <c r="ELY64"/>
      <c r="ELZ64"/>
      <c r="EMA64"/>
      <c r="EMB64"/>
      <c r="EMC64"/>
      <c r="EMD64"/>
      <c r="EME64"/>
      <c r="EMF64"/>
      <c r="EMG64"/>
      <c r="EMH64"/>
      <c r="EMI64"/>
      <c r="EMJ64"/>
      <c r="EMK64"/>
      <c r="EML64"/>
      <c r="EMM64"/>
      <c r="EMN64"/>
      <c r="EMO64"/>
      <c r="EMP64"/>
      <c r="EMQ64"/>
      <c r="EMR64"/>
      <c r="EMS64"/>
      <c r="EMT64"/>
      <c r="EMU64"/>
      <c r="EMV64"/>
      <c r="EMW64"/>
      <c r="EMX64"/>
      <c r="EMY64"/>
      <c r="EMZ64"/>
      <c r="ENA64"/>
      <c r="ENB64"/>
      <c r="ENC64"/>
      <c r="END64"/>
      <c r="ENE64"/>
      <c r="ENF64"/>
      <c r="ENG64"/>
      <c r="ENH64"/>
      <c r="ENI64"/>
      <c r="ENJ64"/>
      <c r="ENK64"/>
      <c r="ENL64"/>
      <c r="ENM64"/>
      <c r="ENN64"/>
      <c r="ENO64"/>
      <c r="ENP64"/>
      <c r="ENQ64"/>
      <c r="ENR64"/>
      <c r="ENS64"/>
      <c r="ENT64"/>
      <c r="ENU64"/>
      <c r="ENV64"/>
      <c r="ENW64"/>
      <c r="ENX64"/>
      <c r="ENY64"/>
      <c r="ENZ64"/>
      <c r="EOA64"/>
      <c r="EOB64"/>
      <c r="EOC64"/>
      <c r="EOD64"/>
      <c r="EOE64"/>
      <c r="EOF64"/>
      <c r="EOG64"/>
      <c r="EOH64"/>
      <c r="EOI64"/>
      <c r="EOJ64"/>
      <c r="EOK64"/>
      <c r="EOL64"/>
      <c r="EOM64"/>
      <c r="EON64"/>
      <c r="EOO64"/>
      <c r="EOP64"/>
      <c r="EOQ64"/>
      <c r="EOR64"/>
      <c r="EOS64"/>
      <c r="EOT64"/>
      <c r="EOU64"/>
      <c r="EOV64"/>
      <c r="EOW64"/>
      <c r="EOX64"/>
      <c r="EOY64"/>
      <c r="EOZ64"/>
      <c r="EPA64"/>
      <c r="EPB64"/>
      <c r="EPC64"/>
      <c r="EPD64"/>
      <c r="EPE64"/>
      <c r="EPF64"/>
      <c r="EPG64"/>
      <c r="EPH64"/>
      <c r="EPI64"/>
      <c r="EPJ64"/>
      <c r="EPK64"/>
      <c r="EPL64"/>
      <c r="EPM64"/>
      <c r="EPN64"/>
      <c r="EPO64"/>
      <c r="EPP64"/>
      <c r="EPQ64"/>
      <c r="EPR64"/>
      <c r="EPS64"/>
      <c r="EPT64"/>
      <c r="EPU64"/>
      <c r="EPV64"/>
      <c r="EPW64"/>
      <c r="EPX64"/>
      <c r="EPY64"/>
      <c r="EPZ64"/>
      <c r="EQA64"/>
      <c r="EQB64"/>
      <c r="EQC64"/>
      <c r="EQD64"/>
      <c r="EQE64"/>
      <c r="EQF64"/>
      <c r="EQG64"/>
      <c r="EQH64"/>
      <c r="EQI64"/>
      <c r="EQJ64"/>
      <c r="EQK64"/>
      <c r="EQL64"/>
      <c r="EQM64"/>
      <c r="EQN64"/>
      <c r="EQO64"/>
      <c r="EQP64"/>
      <c r="EQQ64"/>
      <c r="EQR64"/>
      <c r="EQS64"/>
      <c r="EQT64"/>
      <c r="EQU64"/>
      <c r="EQV64"/>
      <c r="EQW64"/>
      <c r="EQX64"/>
      <c r="EQY64"/>
      <c r="EQZ64"/>
      <c r="ERA64"/>
      <c r="ERB64"/>
      <c r="ERC64"/>
      <c r="ERD64"/>
      <c r="ERE64"/>
      <c r="ERF64"/>
      <c r="ERG64"/>
      <c r="ERH64"/>
      <c r="ERI64"/>
      <c r="ERJ64"/>
      <c r="ERK64"/>
      <c r="ERL64"/>
      <c r="ERM64"/>
      <c r="ERN64"/>
      <c r="ERO64"/>
      <c r="ERP64"/>
      <c r="ERQ64"/>
      <c r="ERR64"/>
      <c r="ERS64"/>
      <c r="ERT64"/>
      <c r="ERU64"/>
      <c r="ERV64"/>
      <c r="ERW64"/>
      <c r="ERX64"/>
      <c r="ERY64"/>
      <c r="ERZ64"/>
      <c r="ESA64"/>
      <c r="ESB64"/>
      <c r="ESC64"/>
      <c r="ESD64"/>
      <c r="ESE64"/>
      <c r="ESF64"/>
      <c r="ESG64"/>
      <c r="ESH64"/>
      <c r="ESI64"/>
      <c r="ESJ64"/>
      <c r="ESK64"/>
      <c r="ESL64"/>
      <c r="ESM64"/>
      <c r="ESN64"/>
      <c r="ESO64"/>
      <c r="ESP64"/>
      <c r="ESQ64"/>
      <c r="ESR64"/>
      <c r="ESS64"/>
      <c r="EST64"/>
      <c r="ESU64"/>
      <c r="ESV64"/>
      <c r="ESW64"/>
      <c r="ESX64"/>
      <c r="ESY64"/>
      <c r="ESZ64"/>
      <c r="ETA64"/>
      <c r="ETB64"/>
      <c r="ETC64"/>
      <c r="ETD64"/>
      <c r="ETE64"/>
      <c r="ETF64"/>
      <c r="ETG64"/>
      <c r="ETH64"/>
      <c r="ETI64"/>
      <c r="ETJ64"/>
      <c r="ETK64"/>
      <c r="ETL64"/>
      <c r="ETM64"/>
      <c r="ETN64"/>
      <c r="ETO64"/>
      <c r="ETP64"/>
      <c r="ETQ64"/>
      <c r="ETR64"/>
      <c r="ETS64"/>
      <c r="ETT64"/>
      <c r="ETU64"/>
      <c r="ETV64"/>
      <c r="ETW64"/>
      <c r="ETX64"/>
      <c r="ETY64"/>
      <c r="ETZ64"/>
      <c r="EUA64"/>
      <c r="EUB64"/>
      <c r="EUC64"/>
      <c r="EUD64"/>
      <c r="EUE64"/>
      <c r="EUF64"/>
      <c r="EUG64"/>
      <c r="EUH64"/>
      <c r="EUI64"/>
      <c r="EUJ64"/>
      <c r="EUK64"/>
      <c r="EUL64"/>
      <c r="EUM64"/>
      <c r="EUN64"/>
      <c r="EUO64"/>
      <c r="EUP64"/>
      <c r="EUQ64"/>
      <c r="EUR64"/>
      <c r="EUS64"/>
      <c r="EUT64"/>
      <c r="EUU64"/>
      <c r="EUV64"/>
      <c r="EUW64"/>
      <c r="EUX64"/>
      <c r="EUY64"/>
      <c r="EUZ64"/>
      <c r="EVA64"/>
      <c r="EVB64"/>
      <c r="EVC64"/>
      <c r="EVD64"/>
      <c r="EVE64"/>
      <c r="EVF64"/>
      <c r="EVG64"/>
      <c r="EVH64"/>
      <c r="EVI64"/>
      <c r="EVJ64"/>
      <c r="EVK64"/>
      <c r="EVL64"/>
      <c r="EVM64"/>
      <c r="EVN64"/>
      <c r="EVO64"/>
      <c r="EVP64"/>
      <c r="EVQ64"/>
      <c r="EVR64"/>
      <c r="EVS64"/>
      <c r="EVT64"/>
      <c r="EVU64"/>
      <c r="EVV64"/>
      <c r="EVW64"/>
      <c r="EVX64"/>
      <c r="EVY64"/>
      <c r="EVZ64"/>
      <c r="EWA64"/>
      <c r="EWB64"/>
      <c r="EWC64"/>
      <c r="EWD64"/>
      <c r="EWE64"/>
      <c r="EWF64"/>
      <c r="EWG64"/>
      <c r="EWH64"/>
      <c r="EWI64"/>
      <c r="EWJ64"/>
      <c r="EWK64"/>
      <c r="EWL64"/>
      <c r="EWM64"/>
      <c r="EWN64"/>
      <c r="EWO64"/>
      <c r="EWP64"/>
      <c r="EWQ64"/>
      <c r="EWR64"/>
      <c r="EWS64"/>
      <c r="EWT64"/>
      <c r="EWU64"/>
      <c r="EWV64"/>
      <c r="EWW64"/>
      <c r="EWX64"/>
      <c r="EWY64"/>
      <c r="EWZ64"/>
      <c r="EXA64"/>
      <c r="EXB64"/>
      <c r="EXC64"/>
      <c r="EXD64"/>
      <c r="EXE64"/>
      <c r="EXF64"/>
      <c r="EXG64"/>
      <c r="EXH64"/>
      <c r="EXI64"/>
      <c r="EXJ64"/>
      <c r="EXK64"/>
      <c r="EXL64"/>
      <c r="EXM64"/>
      <c r="EXN64"/>
      <c r="EXO64"/>
      <c r="EXP64"/>
      <c r="EXQ64"/>
      <c r="EXR64"/>
      <c r="EXS64"/>
      <c r="EXT64"/>
      <c r="EXU64"/>
      <c r="EXV64"/>
      <c r="EXW64"/>
      <c r="EXX64"/>
      <c r="EXY64"/>
      <c r="EXZ64"/>
      <c r="EYA64"/>
      <c r="EYB64"/>
      <c r="EYC64"/>
      <c r="EYD64"/>
      <c r="EYE64"/>
      <c r="EYF64"/>
      <c r="EYG64"/>
      <c r="EYH64"/>
      <c r="EYI64"/>
      <c r="EYJ64"/>
      <c r="EYK64"/>
      <c r="EYL64"/>
      <c r="EYM64"/>
      <c r="EYN64"/>
      <c r="EYO64"/>
      <c r="EYP64"/>
      <c r="EYQ64"/>
      <c r="EYR64"/>
      <c r="EYS64"/>
      <c r="EYT64"/>
      <c r="EYU64"/>
      <c r="EYV64"/>
      <c r="EYW64"/>
      <c r="EYX64"/>
      <c r="EYY64"/>
      <c r="EYZ64"/>
      <c r="EZA64"/>
      <c r="EZB64"/>
      <c r="EZC64"/>
      <c r="EZD64"/>
      <c r="EZE64"/>
      <c r="EZF64"/>
      <c r="EZG64"/>
      <c r="EZH64"/>
      <c r="EZI64"/>
      <c r="EZJ64"/>
      <c r="EZK64"/>
      <c r="EZL64"/>
      <c r="EZM64"/>
      <c r="EZN64"/>
      <c r="EZO64"/>
      <c r="EZP64"/>
      <c r="EZQ64"/>
      <c r="EZR64"/>
      <c r="EZS64"/>
      <c r="EZT64"/>
      <c r="EZU64"/>
      <c r="EZV64"/>
      <c r="EZW64"/>
      <c r="EZX64"/>
      <c r="EZY64"/>
      <c r="EZZ64"/>
      <c r="FAA64"/>
      <c r="FAB64"/>
      <c r="FAC64"/>
      <c r="FAD64"/>
      <c r="FAE64"/>
      <c r="FAF64"/>
      <c r="FAG64"/>
      <c r="FAH64"/>
      <c r="FAI64"/>
      <c r="FAJ64"/>
      <c r="FAK64"/>
      <c r="FAL64"/>
      <c r="FAM64"/>
      <c r="FAN64"/>
      <c r="FAO64"/>
      <c r="FAP64"/>
      <c r="FAQ64"/>
      <c r="FAR64"/>
      <c r="FAS64"/>
      <c r="FAT64"/>
      <c r="FAU64"/>
      <c r="FAV64"/>
      <c r="FAW64"/>
      <c r="FAX64"/>
      <c r="FAY64"/>
      <c r="FAZ64"/>
      <c r="FBA64"/>
      <c r="FBB64"/>
      <c r="FBC64"/>
      <c r="FBD64"/>
      <c r="FBE64"/>
      <c r="FBF64"/>
      <c r="FBG64"/>
      <c r="FBH64"/>
      <c r="FBI64"/>
      <c r="FBJ64"/>
      <c r="FBK64"/>
      <c r="FBL64"/>
      <c r="FBM64"/>
      <c r="FBN64"/>
      <c r="FBO64"/>
      <c r="FBP64"/>
      <c r="FBQ64"/>
      <c r="FBR64"/>
      <c r="FBS64"/>
      <c r="FBT64"/>
      <c r="FBU64"/>
      <c r="FBV64"/>
      <c r="FBW64"/>
      <c r="FBX64"/>
      <c r="FBY64"/>
      <c r="FBZ64"/>
      <c r="FCA64"/>
      <c r="FCB64"/>
      <c r="FCC64"/>
      <c r="FCD64"/>
      <c r="FCE64"/>
      <c r="FCF64"/>
      <c r="FCG64"/>
      <c r="FCH64"/>
      <c r="FCI64"/>
      <c r="FCJ64"/>
      <c r="FCK64"/>
      <c r="FCL64"/>
      <c r="FCM64"/>
      <c r="FCN64"/>
      <c r="FCO64"/>
      <c r="FCP64"/>
      <c r="FCQ64"/>
      <c r="FCR64"/>
      <c r="FCS64"/>
      <c r="FCT64"/>
      <c r="FCU64"/>
      <c r="FCV64"/>
      <c r="FCW64"/>
      <c r="FCX64"/>
      <c r="FCY64"/>
      <c r="FCZ64"/>
      <c r="FDA64"/>
      <c r="FDB64"/>
      <c r="FDC64"/>
      <c r="FDD64"/>
      <c r="FDE64"/>
      <c r="FDF64"/>
      <c r="FDG64"/>
      <c r="FDH64"/>
      <c r="FDI64"/>
      <c r="FDJ64"/>
      <c r="FDK64"/>
      <c r="FDL64"/>
      <c r="FDM64"/>
      <c r="FDN64"/>
      <c r="FDO64"/>
      <c r="FDP64"/>
      <c r="FDQ64"/>
      <c r="FDR64"/>
      <c r="FDS64"/>
      <c r="FDT64"/>
      <c r="FDU64"/>
      <c r="FDV64"/>
      <c r="FDW64"/>
      <c r="FDX64"/>
      <c r="FDY64"/>
      <c r="FDZ64"/>
      <c r="FEA64"/>
      <c r="FEB64"/>
      <c r="FEC64"/>
      <c r="FED64"/>
      <c r="FEE64"/>
      <c r="FEF64"/>
      <c r="FEG64"/>
      <c r="FEH64"/>
      <c r="FEI64"/>
      <c r="FEJ64"/>
      <c r="FEK64"/>
      <c r="FEL64"/>
      <c r="FEM64"/>
      <c r="FEN64"/>
      <c r="FEO64"/>
      <c r="FEP64"/>
      <c r="FEQ64"/>
      <c r="FER64"/>
      <c r="FES64"/>
      <c r="FET64"/>
      <c r="FEU64"/>
      <c r="FEV64"/>
      <c r="FEW64"/>
      <c r="FEX64"/>
      <c r="FEY64"/>
      <c r="FEZ64"/>
      <c r="FFA64"/>
      <c r="FFB64"/>
      <c r="FFC64"/>
      <c r="FFD64"/>
      <c r="FFE64"/>
      <c r="FFF64"/>
      <c r="FFG64"/>
      <c r="FFH64"/>
      <c r="FFI64"/>
      <c r="FFJ64"/>
      <c r="FFK64"/>
      <c r="FFL64"/>
      <c r="FFM64"/>
      <c r="FFN64"/>
      <c r="FFO64"/>
      <c r="FFP64"/>
      <c r="FFQ64"/>
      <c r="FFR64"/>
      <c r="FFS64"/>
      <c r="FFT64"/>
      <c r="FFU64"/>
      <c r="FFV64"/>
      <c r="FFW64"/>
      <c r="FFX64"/>
      <c r="FFY64"/>
      <c r="FFZ64"/>
      <c r="FGA64"/>
      <c r="FGB64"/>
      <c r="FGC64"/>
      <c r="FGD64"/>
      <c r="FGE64"/>
      <c r="FGF64"/>
      <c r="FGG64"/>
      <c r="FGH64"/>
      <c r="FGI64"/>
      <c r="FGJ64"/>
      <c r="FGK64"/>
      <c r="FGL64"/>
      <c r="FGM64"/>
      <c r="FGN64"/>
      <c r="FGO64"/>
      <c r="FGP64"/>
      <c r="FGQ64"/>
      <c r="FGR64"/>
      <c r="FGS64"/>
      <c r="FGT64"/>
      <c r="FGU64"/>
      <c r="FGV64"/>
      <c r="FGW64"/>
      <c r="FGX64"/>
      <c r="FGY64"/>
      <c r="FGZ64"/>
      <c r="FHA64"/>
      <c r="FHB64"/>
      <c r="FHC64"/>
      <c r="FHD64"/>
      <c r="FHE64"/>
      <c r="FHF64"/>
      <c r="FHG64"/>
      <c r="FHH64"/>
      <c r="FHI64"/>
      <c r="FHJ64"/>
      <c r="FHK64"/>
      <c r="FHL64"/>
      <c r="FHM64"/>
      <c r="FHN64"/>
      <c r="FHO64"/>
      <c r="FHP64"/>
      <c r="FHQ64"/>
      <c r="FHR64"/>
      <c r="FHS64"/>
      <c r="FHT64"/>
      <c r="FHU64"/>
      <c r="FHV64"/>
      <c r="FHW64"/>
      <c r="FHX64"/>
      <c r="FHY64"/>
      <c r="FHZ64"/>
      <c r="FIA64"/>
      <c r="FIB64"/>
      <c r="FIC64"/>
      <c r="FID64"/>
      <c r="FIE64"/>
      <c r="FIF64"/>
      <c r="FIG64"/>
      <c r="FIH64"/>
      <c r="FII64"/>
      <c r="FIJ64"/>
      <c r="FIK64"/>
      <c r="FIL64"/>
      <c r="FIM64"/>
      <c r="FIN64"/>
      <c r="FIO64"/>
      <c r="FIP64"/>
      <c r="FIQ64"/>
      <c r="FIR64"/>
      <c r="FIS64"/>
      <c r="FIT64"/>
      <c r="FIU64"/>
      <c r="FIV64"/>
      <c r="FIW64"/>
      <c r="FIX64"/>
      <c r="FIY64"/>
      <c r="FIZ64"/>
      <c r="FJA64"/>
      <c r="FJB64"/>
      <c r="FJC64"/>
      <c r="FJD64"/>
      <c r="FJE64"/>
      <c r="FJF64"/>
      <c r="FJG64"/>
      <c r="FJH64"/>
      <c r="FJI64"/>
      <c r="FJJ64"/>
      <c r="FJK64"/>
      <c r="FJL64"/>
      <c r="FJM64"/>
      <c r="FJN64"/>
      <c r="FJO64"/>
      <c r="FJP64"/>
      <c r="FJQ64"/>
      <c r="FJR64"/>
      <c r="FJS64"/>
      <c r="FJT64"/>
      <c r="FJU64"/>
      <c r="FJV64"/>
      <c r="FJW64"/>
      <c r="FJX64"/>
      <c r="FJY64"/>
      <c r="FJZ64"/>
      <c r="FKA64"/>
      <c r="FKB64"/>
      <c r="FKC64"/>
      <c r="FKD64"/>
      <c r="FKE64"/>
      <c r="FKF64"/>
      <c r="FKG64"/>
      <c r="FKH64"/>
      <c r="FKI64"/>
      <c r="FKJ64"/>
      <c r="FKK64"/>
      <c r="FKL64"/>
      <c r="FKM64"/>
      <c r="FKN64"/>
      <c r="FKO64"/>
      <c r="FKP64"/>
      <c r="FKQ64"/>
      <c r="FKR64"/>
      <c r="FKS64"/>
      <c r="FKT64"/>
      <c r="FKU64"/>
      <c r="FKV64"/>
      <c r="FKW64"/>
      <c r="FKX64"/>
      <c r="FKY64"/>
      <c r="FKZ64"/>
      <c r="FLA64"/>
      <c r="FLB64"/>
      <c r="FLC64"/>
      <c r="FLD64"/>
      <c r="FLE64"/>
      <c r="FLF64"/>
      <c r="FLG64"/>
      <c r="FLH64"/>
      <c r="FLI64"/>
      <c r="FLJ64"/>
      <c r="FLK64"/>
      <c r="FLL64"/>
      <c r="FLM64"/>
      <c r="FLN64"/>
      <c r="FLO64"/>
      <c r="FLP64"/>
      <c r="FLQ64"/>
      <c r="FLR64"/>
      <c r="FLS64"/>
      <c r="FLT64"/>
      <c r="FLU64"/>
      <c r="FLV64"/>
      <c r="FLW64"/>
      <c r="FLX64"/>
      <c r="FLY64"/>
      <c r="FLZ64"/>
      <c r="FMA64"/>
      <c r="FMB64"/>
      <c r="FMC64"/>
      <c r="FMD64"/>
      <c r="FME64"/>
      <c r="FMF64"/>
      <c r="FMG64"/>
      <c r="FMH64"/>
      <c r="FMI64"/>
      <c r="FMJ64"/>
      <c r="FMK64"/>
      <c r="FML64"/>
      <c r="FMM64"/>
      <c r="FMN64"/>
      <c r="FMO64"/>
      <c r="FMP64"/>
      <c r="FMQ64"/>
      <c r="FMR64"/>
      <c r="FMS64"/>
      <c r="FMT64"/>
      <c r="FMU64"/>
      <c r="FMV64"/>
      <c r="FMW64"/>
      <c r="FMX64"/>
      <c r="FMY64"/>
      <c r="FMZ64"/>
      <c r="FNA64"/>
      <c r="FNB64"/>
      <c r="FNC64"/>
      <c r="FND64"/>
      <c r="FNE64"/>
      <c r="FNF64"/>
      <c r="FNG64"/>
      <c r="FNH64"/>
      <c r="FNI64"/>
      <c r="FNJ64"/>
      <c r="FNK64"/>
      <c r="FNL64"/>
      <c r="FNM64"/>
      <c r="FNN64"/>
      <c r="FNO64"/>
      <c r="FNP64"/>
      <c r="FNQ64"/>
      <c r="FNR64"/>
      <c r="FNS64"/>
      <c r="FNT64"/>
      <c r="FNU64"/>
      <c r="FNV64"/>
      <c r="FNW64"/>
      <c r="FNX64"/>
      <c r="FNY64"/>
      <c r="FNZ64"/>
      <c r="FOA64"/>
      <c r="FOB64"/>
      <c r="FOC64"/>
      <c r="FOD64"/>
      <c r="FOE64"/>
      <c r="FOF64"/>
      <c r="FOG64"/>
      <c r="FOH64"/>
      <c r="FOI64"/>
      <c r="FOJ64"/>
      <c r="FOK64"/>
      <c r="FOL64"/>
      <c r="FOM64"/>
      <c r="FON64"/>
      <c r="FOO64"/>
      <c r="FOP64"/>
      <c r="FOQ64"/>
      <c r="FOR64"/>
      <c r="FOS64"/>
      <c r="FOT64"/>
      <c r="FOU64"/>
      <c r="FOV64"/>
      <c r="FOW64"/>
      <c r="FOX64"/>
      <c r="FOY64"/>
      <c r="FOZ64"/>
      <c r="FPA64"/>
      <c r="FPB64"/>
      <c r="FPC64"/>
      <c r="FPD64"/>
      <c r="FPE64"/>
      <c r="FPF64"/>
      <c r="FPG64"/>
      <c r="FPH64"/>
      <c r="FPI64"/>
      <c r="FPJ64"/>
      <c r="FPK64"/>
      <c r="FPL64"/>
      <c r="FPM64"/>
      <c r="FPN64"/>
      <c r="FPO64"/>
      <c r="FPP64"/>
      <c r="FPQ64"/>
      <c r="FPR64"/>
      <c r="FPS64"/>
      <c r="FPT64"/>
      <c r="FPU64"/>
      <c r="FPV64"/>
      <c r="FPW64"/>
      <c r="FPX64"/>
      <c r="FPY64"/>
      <c r="FPZ64"/>
      <c r="FQA64"/>
      <c r="FQB64"/>
      <c r="FQC64"/>
      <c r="FQD64"/>
      <c r="FQE64"/>
      <c r="FQF64"/>
      <c r="FQG64"/>
      <c r="FQH64"/>
      <c r="FQI64"/>
      <c r="FQJ64"/>
      <c r="FQK64"/>
      <c r="FQL64"/>
      <c r="FQM64"/>
      <c r="FQN64"/>
      <c r="FQO64"/>
      <c r="FQP64"/>
      <c r="FQQ64"/>
      <c r="FQR64"/>
      <c r="FQS64"/>
      <c r="FQT64"/>
      <c r="FQU64"/>
      <c r="FQV64"/>
      <c r="FQW64"/>
      <c r="FQX64"/>
      <c r="FQY64"/>
      <c r="FQZ64"/>
      <c r="FRA64"/>
      <c r="FRB64"/>
      <c r="FRC64"/>
      <c r="FRD64"/>
      <c r="FRE64"/>
      <c r="FRF64"/>
      <c r="FRG64"/>
      <c r="FRH64"/>
      <c r="FRI64"/>
      <c r="FRJ64"/>
      <c r="FRK64"/>
      <c r="FRL64"/>
      <c r="FRM64"/>
      <c r="FRN64"/>
      <c r="FRO64"/>
      <c r="FRP64"/>
      <c r="FRQ64"/>
      <c r="FRR64"/>
      <c r="FRS64"/>
      <c r="FRT64"/>
      <c r="FRU64"/>
      <c r="FRV64"/>
      <c r="FRW64"/>
      <c r="FRX64"/>
      <c r="FRY64"/>
      <c r="FRZ64"/>
      <c r="FSA64"/>
      <c r="FSB64"/>
      <c r="FSC64"/>
      <c r="FSD64"/>
      <c r="FSE64"/>
      <c r="FSF64"/>
      <c r="FSG64"/>
      <c r="FSH64"/>
      <c r="FSI64"/>
      <c r="FSJ64"/>
      <c r="FSK64"/>
      <c r="FSL64"/>
      <c r="FSM64"/>
      <c r="FSN64"/>
      <c r="FSO64"/>
      <c r="FSP64"/>
      <c r="FSQ64"/>
      <c r="FSR64"/>
      <c r="FSS64"/>
      <c r="FST64"/>
      <c r="FSU64"/>
      <c r="FSV64"/>
      <c r="FSW64"/>
      <c r="FSX64"/>
      <c r="FSY64"/>
      <c r="FSZ64"/>
      <c r="FTA64"/>
      <c r="FTB64"/>
      <c r="FTC64"/>
      <c r="FTD64"/>
      <c r="FTE64"/>
      <c r="FTF64"/>
      <c r="FTG64"/>
      <c r="FTH64"/>
      <c r="FTI64"/>
      <c r="FTJ64"/>
      <c r="FTK64"/>
      <c r="FTL64"/>
      <c r="FTM64"/>
      <c r="FTN64"/>
      <c r="FTO64"/>
      <c r="FTP64"/>
      <c r="FTQ64"/>
      <c r="FTR64"/>
      <c r="FTS64"/>
      <c r="FTT64"/>
      <c r="FTU64"/>
      <c r="FTV64"/>
      <c r="FTW64"/>
      <c r="FTX64"/>
      <c r="FTY64"/>
      <c r="FTZ64"/>
      <c r="FUA64"/>
      <c r="FUB64"/>
      <c r="FUC64"/>
      <c r="FUD64"/>
      <c r="FUE64"/>
      <c r="FUF64"/>
      <c r="FUG64"/>
      <c r="FUH64"/>
      <c r="FUI64"/>
      <c r="FUJ64"/>
      <c r="FUK64"/>
      <c r="FUL64"/>
      <c r="FUM64"/>
      <c r="FUN64"/>
      <c r="FUO64"/>
      <c r="FUP64"/>
      <c r="FUQ64"/>
      <c r="FUR64"/>
      <c r="FUS64"/>
      <c r="FUT64"/>
      <c r="FUU64"/>
      <c r="FUV64"/>
      <c r="FUW64"/>
      <c r="FUX64"/>
      <c r="FUY64"/>
      <c r="FUZ64"/>
      <c r="FVA64"/>
      <c r="FVB64"/>
      <c r="FVC64"/>
      <c r="FVD64"/>
      <c r="FVE64"/>
      <c r="FVF64"/>
      <c r="FVG64"/>
      <c r="FVH64"/>
      <c r="FVI64"/>
      <c r="FVJ64"/>
      <c r="FVK64"/>
      <c r="FVL64"/>
      <c r="FVM64"/>
      <c r="FVN64"/>
      <c r="FVO64"/>
      <c r="FVP64"/>
      <c r="FVQ64"/>
      <c r="FVR64"/>
      <c r="FVS64"/>
      <c r="FVT64"/>
      <c r="FVU64"/>
      <c r="FVV64"/>
      <c r="FVW64"/>
      <c r="FVX64"/>
      <c r="FVY64"/>
      <c r="FVZ64"/>
      <c r="FWA64"/>
      <c r="FWB64"/>
      <c r="FWC64"/>
      <c r="FWD64"/>
      <c r="FWE64"/>
      <c r="FWF64"/>
      <c r="FWG64"/>
      <c r="FWH64"/>
      <c r="FWI64"/>
      <c r="FWJ64"/>
      <c r="FWK64"/>
      <c r="FWL64"/>
      <c r="FWM64"/>
      <c r="FWN64"/>
      <c r="FWO64"/>
      <c r="FWP64"/>
      <c r="FWQ64"/>
      <c r="FWR64"/>
      <c r="FWS64"/>
      <c r="FWT64"/>
      <c r="FWU64"/>
      <c r="FWV64"/>
      <c r="FWW64"/>
      <c r="FWX64"/>
      <c r="FWY64"/>
      <c r="FWZ64"/>
      <c r="FXA64"/>
      <c r="FXB64"/>
      <c r="FXC64"/>
      <c r="FXD64"/>
      <c r="FXE64"/>
      <c r="FXF64"/>
      <c r="FXG64"/>
      <c r="FXH64"/>
      <c r="FXI64"/>
      <c r="FXJ64"/>
      <c r="FXK64"/>
      <c r="FXL64"/>
      <c r="FXM64"/>
      <c r="FXN64"/>
      <c r="FXO64"/>
      <c r="FXP64"/>
      <c r="FXQ64"/>
      <c r="FXR64"/>
      <c r="FXS64"/>
      <c r="FXT64"/>
      <c r="FXU64"/>
      <c r="FXV64"/>
      <c r="FXW64"/>
      <c r="FXX64"/>
      <c r="FXY64"/>
      <c r="FXZ64"/>
      <c r="FYA64"/>
      <c r="FYB64"/>
      <c r="FYC64"/>
      <c r="FYD64"/>
      <c r="FYE64"/>
      <c r="FYF64"/>
      <c r="FYG64"/>
      <c r="FYH64"/>
      <c r="FYI64"/>
      <c r="FYJ64"/>
      <c r="FYK64"/>
      <c r="FYL64"/>
      <c r="FYM64"/>
      <c r="FYN64"/>
      <c r="FYO64"/>
      <c r="FYP64"/>
      <c r="FYQ64"/>
      <c r="FYR64"/>
      <c r="FYS64"/>
      <c r="FYT64"/>
      <c r="FYU64"/>
      <c r="FYV64"/>
      <c r="FYW64"/>
      <c r="FYX64"/>
      <c r="FYY64"/>
      <c r="FYZ64"/>
      <c r="FZA64"/>
      <c r="FZB64"/>
      <c r="FZC64"/>
      <c r="FZD64"/>
      <c r="FZE64"/>
      <c r="FZF64"/>
      <c r="FZG64"/>
      <c r="FZH64"/>
      <c r="FZI64"/>
      <c r="FZJ64"/>
      <c r="FZK64"/>
      <c r="FZL64"/>
      <c r="FZM64"/>
      <c r="FZN64"/>
      <c r="FZO64"/>
      <c r="FZP64"/>
      <c r="FZQ64"/>
      <c r="FZR64"/>
      <c r="FZS64"/>
      <c r="FZT64"/>
      <c r="FZU64"/>
      <c r="FZV64"/>
      <c r="FZW64"/>
      <c r="FZX64"/>
      <c r="FZY64"/>
      <c r="FZZ64"/>
      <c r="GAA64"/>
      <c r="GAB64"/>
      <c r="GAC64"/>
      <c r="GAD64"/>
      <c r="GAE64"/>
      <c r="GAF64"/>
      <c r="GAG64"/>
      <c r="GAH64"/>
      <c r="GAI64"/>
      <c r="GAJ64"/>
      <c r="GAK64"/>
      <c r="GAL64"/>
      <c r="GAM64"/>
      <c r="GAN64"/>
      <c r="GAO64"/>
      <c r="GAP64"/>
      <c r="GAQ64"/>
      <c r="GAR64"/>
      <c r="GAS64"/>
      <c r="GAT64"/>
      <c r="GAU64"/>
      <c r="GAV64"/>
      <c r="GAW64"/>
      <c r="GAX64"/>
      <c r="GAY64"/>
      <c r="GAZ64"/>
      <c r="GBA64"/>
      <c r="GBB64"/>
      <c r="GBC64"/>
      <c r="GBD64"/>
      <c r="GBE64"/>
      <c r="GBF64"/>
      <c r="GBG64"/>
      <c r="GBH64"/>
      <c r="GBI64"/>
      <c r="GBJ64"/>
      <c r="GBK64"/>
      <c r="GBL64"/>
      <c r="GBM64"/>
      <c r="GBN64"/>
      <c r="GBO64"/>
      <c r="GBP64"/>
      <c r="GBQ64"/>
      <c r="GBR64"/>
      <c r="GBS64"/>
      <c r="GBT64"/>
      <c r="GBU64"/>
      <c r="GBV64"/>
      <c r="GBW64"/>
      <c r="GBX64"/>
      <c r="GBY64"/>
      <c r="GBZ64"/>
      <c r="GCA64"/>
      <c r="GCB64"/>
      <c r="GCC64"/>
      <c r="GCD64"/>
      <c r="GCE64"/>
      <c r="GCF64"/>
      <c r="GCG64"/>
      <c r="GCH64"/>
      <c r="GCI64"/>
      <c r="GCJ64"/>
      <c r="GCK64"/>
      <c r="GCL64"/>
      <c r="GCM64"/>
      <c r="GCN64"/>
      <c r="GCO64"/>
      <c r="GCP64"/>
      <c r="GCQ64"/>
      <c r="GCR64"/>
      <c r="GCS64"/>
      <c r="GCT64"/>
      <c r="GCU64"/>
      <c r="GCV64"/>
      <c r="GCW64"/>
      <c r="GCX64"/>
      <c r="GCY64"/>
      <c r="GCZ64"/>
      <c r="GDA64"/>
      <c r="GDB64"/>
      <c r="GDC64"/>
      <c r="GDD64"/>
      <c r="GDE64"/>
      <c r="GDF64"/>
      <c r="GDG64"/>
      <c r="GDH64"/>
      <c r="GDI64"/>
      <c r="GDJ64"/>
      <c r="GDK64"/>
      <c r="GDL64"/>
      <c r="GDM64"/>
      <c r="GDN64"/>
      <c r="GDO64"/>
      <c r="GDP64"/>
      <c r="GDQ64"/>
      <c r="GDR64"/>
      <c r="GDS64"/>
      <c r="GDT64"/>
      <c r="GDU64"/>
      <c r="GDV64"/>
      <c r="GDW64"/>
      <c r="GDX64"/>
      <c r="GDY64"/>
      <c r="GDZ64"/>
      <c r="GEA64"/>
      <c r="GEB64"/>
      <c r="GEC64"/>
      <c r="GED64"/>
      <c r="GEE64"/>
      <c r="GEF64"/>
      <c r="GEG64"/>
      <c r="GEH64"/>
      <c r="GEI64"/>
      <c r="GEJ64"/>
      <c r="GEK64"/>
      <c r="GEL64"/>
      <c r="GEM64"/>
      <c r="GEN64"/>
      <c r="GEO64"/>
      <c r="GEP64"/>
      <c r="GEQ64"/>
      <c r="GER64"/>
      <c r="GES64"/>
      <c r="GET64"/>
      <c r="GEU64"/>
      <c r="GEV64"/>
      <c r="GEW64"/>
      <c r="GEX64"/>
      <c r="GEY64"/>
      <c r="GEZ64"/>
      <c r="GFA64"/>
      <c r="GFB64"/>
      <c r="GFC64"/>
      <c r="GFD64"/>
      <c r="GFE64"/>
      <c r="GFF64"/>
      <c r="GFG64"/>
      <c r="GFH64"/>
      <c r="GFI64"/>
      <c r="GFJ64"/>
      <c r="GFK64"/>
      <c r="GFL64"/>
      <c r="GFM64"/>
      <c r="GFN64"/>
      <c r="GFO64"/>
      <c r="GFP64"/>
      <c r="GFQ64"/>
      <c r="GFR64"/>
      <c r="GFS64"/>
      <c r="GFT64"/>
      <c r="GFU64"/>
      <c r="GFV64"/>
      <c r="GFW64"/>
      <c r="GFX64"/>
      <c r="GFY64"/>
      <c r="GFZ64"/>
      <c r="GGA64"/>
      <c r="GGB64"/>
      <c r="GGC64"/>
      <c r="GGD64"/>
      <c r="GGE64"/>
      <c r="GGF64"/>
      <c r="GGG64"/>
      <c r="GGH64"/>
      <c r="GGI64"/>
      <c r="GGJ64"/>
      <c r="GGK64"/>
      <c r="GGL64"/>
      <c r="GGM64"/>
      <c r="GGN64"/>
      <c r="GGO64"/>
      <c r="GGP64"/>
      <c r="GGQ64"/>
      <c r="GGR64"/>
      <c r="GGS64"/>
      <c r="GGT64"/>
      <c r="GGU64"/>
      <c r="GGV64"/>
      <c r="GGW64"/>
      <c r="GGX64"/>
      <c r="GGY64"/>
      <c r="GGZ64"/>
      <c r="GHA64"/>
      <c r="GHB64"/>
      <c r="GHC64"/>
      <c r="GHD64"/>
      <c r="GHE64"/>
      <c r="GHF64"/>
      <c r="GHG64"/>
      <c r="GHH64"/>
      <c r="GHI64"/>
      <c r="GHJ64"/>
      <c r="GHK64"/>
      <c r="GHL64"/>
      <c r="GHM64"/>
      <c r="GHN64"/>
      <c r="GHO64"/>
      <c r="GHP64"/>
      <c r="GHQ64"/>
      <c r="GHR64"/>
      <c r="GHS64"/>
      <c r="GHT64"/>
      <c r="GHU64"/>
      <c r="GHV64"/>
      <c r="GHW64"/>
      <c r="GHX64"/>
      <c r="GHY64"/>
      <c r="GHZ64"/>
      <c r="GIA64"/>
      <c r="GIB64"/>
      <c r="GIC64"/>
      <c r="GID64"/>
      <c r="GIE64"/>
      <c r="GIF64"/>
      <c r="GIG64"/>
      <c r="GIH64"/>
      <c r="GII64"/>
      <c r="GIJ64"/>
      <c r="GIK64"/>
      <c r="GIL64"/>
      <c r="GIM64"/>
      <c r="GIN64"/>
      <c r="GIO64"/>
      <c r="GIP64"/>
      <c r="GIQ64"/>
      <c r="GIR64"/>
      <c r="GIS64"/>
      <c r="GIT64"/>
      <c r="GIU64"/>
      <c r="GIV64"/>
      <c r="GIW64"/>
      <c r="GIX64"/>
      <c r="GIY64"/>
      <c r="GIZ64"/>
      <c r="GJA64"/>
      <c r="GJB64"/>
      <c r="GJC64"/>
      <c r="GJD64"/>
      <c r="GJE64"/>
      <c r="GJF64"/>
      <c r="GJG64"/>
      <c r="GJH64"/>
      <c r="GJI64"/>
      <c r="GJJ64"/>
      <c r="GJK64"/>
      <c r="GJL64"/>
      <c r="GJM64"/>
      <c r="GJN64"/>
      <c r="GJO64"/>
      <c r="GJP64"/>
      <c r="GJQ64"/>
      <c r="GJR64"/>
      <c r="GJS64"/>
      <c r="GJT64"/>
      <c r="GJU64"/>
      <c r="GJV64"/>
      <c r="GJW64"/>
      <c r="GJX64"/>
      <c r="GJY64"/>
      <c r="GJZ64"/>
      <c r="GKA64"/>
      <c r="GKB64"/>
      <c r="GKC64"/>
      <c r="GKD64"/>
      <c r="GKE64"/>
      <c r="GKF64"/>
      <c r="GKG64"/>
      <c r="GKH64"/>
      <c r="GKI64"/>
      <c r="GKJ64"/>
      <c r="GKK64"/>
      <c r="GKL64"/>
      <c r="GKM64"/>
      <c r="GKN64"/>
      <c r="GKO64"/>
      <c r="GKP64"/>
      <c r="GKQ64"/>
      <c r="GKR64"/>
      <c r="GKS64"/>
      <c r="GKT64"/>
      <c r="GKU64"/>
      <c r="GKV64"/>
      <c r="GKW64"/>
      <c r="GKX64"/>
      <c r="GKY64"/>
      <c r="GKZ64"/>
      <c r="GLA64"/>
      <c r="GLB64"/>
      <c r="GLC64"/>
      <c r="GLD64"/>
      <c r="GLE64"/>
      <c r="GLF64"/>
      <c r="GLG64"/>
      <c r="GLH64"/>
      <c r="GLI64"/>
      <c r="GLJ64"/>
      <c r="GLK64"/>
      <c r="GLL64"/>
      <c r="GLM64"/>
      <c r="GLN64"/>
      <c r="GLO64"/>
      <c r="GLP64"/>
      <c r="GLQ64"/>
      <c r="GLR64"/>
      <c r="GLS64"/>
      <c r="GLT64"/>
      <c r="GLU64"/>
      <c r="GLV64"/>
      <c r="GLW64"/>
      <c r="GLX64"/>
      <c r="GLY64"/>
      <c r="GLZ64"/>
      <c r="GMA64"/>
      <c r="GMB64"/>
      <c r="GMC64"/>
      <c r="GMD64"/>
      <c r="GME64"/>
      <c r="GMF64"/>
      <c r="GMG64"/>
      <c r="GMH64"/>
      <c r="GMI64"/>
      <c r="GMJ64"/>
      <c r="GMK64"/>
      <c r="GML64"/>
      <c r="GMM64"/>
      <c r="GMN64"/>
      <c r="GMO64"/>
      <c r="GMP64"/>
      <c r="GMQ64"/>
      <c r="GMR64"/>
      <c r="GMS64"/>
      <c r="GMT64"/>
      <c r="GMU64"/>
      <c r="GMV64"/>
      <c r="GMW64"/>
      <c r="GMX64"/>
      <c r="GMY64"/>
      <c r="GMZ64"/>
      <c r="GNA64"/>
      <c r="GNB64"/>
      <c r="GNC64"/>
      <c r="GND64"/>
      <c r="GNE64"/>
      <c r="GNF64"/>
      <c r="GNG64"/>
      <c r="GNH64"/>
      <c r="GNI64"/>
      <c r="GNJ64"/>
      <c r="GNK64"/>
      <c r="GNL64"/>
      <c r="GNM64"/>
      <c r="GNN64"/>
      <c r="GNO64"/>
      <c r="GNP64"/>
      <c r="GNQ64"/>
      <c r="GNR64"/>
      <c r="GNS64"/>
      <c r="GNT64"/>
      <c r="GNU64"/>
      <c r="GNV64"/>
      <c r="GNW64"/>
      <c r="GNX64"/>
      <c r="GNY64"/>
      <c r="GNZ64"/>
      <c r="GOA64"/>
      <c r="GOB64"/>
      <c r="GOC64"/>
      <c r="GOD64"/>
      <c r="GOE64"/>
      <c r="GOF64"/>
      <c r="GOG64"/>
      <c r="GOH64"/>
      <c r="GOI64"/>
      <c r="GOJ64"/>
      <c r="GOK64"/>
      <c r="GOL64"/>
      <c r="GOM64"/>
      <c r="GON64"/>
      <c r="GOO64"/>
      <c r="GOP64"/>
      <c r="GOQ64"/>
      <c r="GOR64"/>
      <c r="GOS64"/>
      <c r="GOT64"/>
      <c r="GOU64"/>
      <c r="GOV64"/>
      <c r="GOW64"/>
      <c r="GOX64"/>
      <c r="GOY64"/>
      <c r="GOZ64"/>
      <c r="GPA64"/>
      <c r="GPB64"/>
      <c r="GPC64"/>
      <c r="GPD64"/>
      <c r="GPE64"/>
      <c r="GPF64"/>
      <c r="GPG64"/>
      <c r="GPH64"/>
      <c r="GPI64"/>
      <c r="GPJ64"/>
      <c r="GPK64"/>
      <c r="GPL64"/>
      <c r="GPM64"/>
      <c r="GPN64"/>
      <c r="GPO64"/>
      <c r="GPP64"/>
      <c r="GPQ64"/>
      <c r="GPR64"/>
      <c r="GPS64"/>
      <c r="GPT64"/>
      <c r="GPU64"/>
      <c r="GPV64"/>
      <c r="GPW64"/>
      <c r="GPX64"/>
      <c r="GPY64"/>
      <c r="GPZ64"/>
      <c r="GQA64"/>
      <c r="GQB64"/>
      <c r="GQC64"/>
      <c r="GQD64"/>
      <c r="GQE64"/>
      <c r="GQF64"/>
      <c r="GQG64"/>
      <c r="GQH64"/>
      <c r="GQI64"/>
      <c r="GQJ64"/>
      <c r="GQK64"/>
      <c r="GQL64"/>
      <c r="GQM64"/>
      <c r="GQN64"/>
      <c r="GQO64"/>
      <c r="GQP64"/>
      <c r="GQQ64"/>
      <c r="GQR64"/>
      <c r="GQS64"/>
      <c r="GQT64"/>
      <c r="GQU64"/>
      <c r="GQV64"/>
      <c r="GQW64"/>
      <c r="GQX64"/>
      <c r="GQY64"/>
      <c r="GQZ64"/>
      <c r="GRA64"/>
      <c r="GRB64"/>
      <c r="GRC64"/>
      <c r="GRD64"/>
      <c r="GRE64"/>
      <c r="GRF64"/>
      <c r="GRG64"/>
      <c r="GRH64"/>
      <c r="GRI64"/>
      <c r="GRJ64"/>
      <c r="GRK64"/>
      <c r="GRL64"/>
      <c r="GRM64"/>
      <c r="GRN64"/>
      <c r="GRO64"/>
      <c r="GRP64"/>
      <c r="GRQ64"/>
      <c r="GRR64"/>
      <c r="GRS64"/>
      <c r="GRT64"/>
      <c r="GRU64"/>
      <c r="GRV64"/>
      <c r="GRW64"/>
      <c r="GRX64"/>
      <c r="GRY64"/>
      <c r="GRZ64"/>
      <c r="GSA64"/>
      <c r="GSB64"/>
      <c r="GSC64"/>
      <c r="GSD64"/>
      <c r="GSE64"/>
      <c r="GSF64"/>
      <c r="GSG64"/>
      <c r="GSH64"/>
      <c r="GSI64"/>
      <c r="GSJ64"/>
      <c r="GSK64"/>
      <c r="GSL64"/>
      <c r="GSM64"/>
      <c r="GSN64"/>
      <c r="GSO64"/>
      <c r="GSP64"/>
      <c r="GSQ64"/>
      <c r="GSR64"/>
      <c r="GSS64"/>
      <c r="GST64"/>
      <c r="GSU64"/>
      <c r="GSV64"/>
      <c r="GSW64"/>
      <c r="GSX64"/>
      <c r="GSY64"/>
      <c r="GSZ64"/>
      <c r="GTA64"/>
      <c r="GTB64"/>
      <c r="GTC64"/>
      <c r="GTD64"/>
      <c r="GTE64"/>
      <c r="GTF64"/>
      <c r="GTG64"/>
      <c r="GTH64"/>
      <c r="GTI64"/>
      <c r="GTJ64"/>
      <c r="GTK64"/>
      <c r="GTL64"/>
      <c r="GTM64"/>
      <c r="GTN64"/>
      <c r="GTO64"/>
      <c r="GTP64"/>
      <c r="GTQ64"/>
      <c r="GTR64"/>
      <c r="GTS64"/>
      <c r="GTT64"/>
      <c r="GTU64"/>
      <c r="GTV64"/>
      <c r="GTW64"/>
      <c r="GTX64"/>
      <c r="GTY64"/>
      <c r="GTZ64"/>
      <c r="GUA64"/>
      <c r="GUB64"/>
      <c r="GUC64"/>
      <c r="GUD64"/>
      <c r="GUE64"/>
      <c r="GUF64"/>
      <c r="GUG64"/>
      <c r="GUH64"/>
      <c r="GUI64"/>
      <c r="GUJ64"/>
      <c r="GUK64"/>
      <c r="GUL64"/>
      <c r="GUM64"/>
      <c r="GUN64"/>
      <c r="GUO64"/>
      <c r="GUP64"/>
      <c r="GUQ64"/>
      <c r="GUR64"/>
      <c r="GUS64"/>
      <c r="GUT64"/>
      <c r="GUU64"/>
      <c r="GUV64"/>
      <c r="GUW64"/>
      <c r="GUX64"/>
      <c r="GUY64"/>
      <c r="GUZ64"/>
      <c r="GVA64"/>
      <c r="GVB64"/>
      <c r="GVC64"/>
      <c r="GVD64"/>
      <c r="GVE64"/>
      <c r="GVF64"/>
      <c r="GVG64"/>
      <c r="GVH64"/>
      <c r="GVI64"/>
      <c r="GVJ64"/>
      <c r="GVK64"/>
      <c r="GVL64"/>
      <c r="GVM64"/>
      <c r="GVN64"/>
      <c r="GVO64"/>
      <c r="GVP64"/>
      <c r="GVQ64"/>
      <c r="GVR64"/>
      <c r="GVS64"/>
      <c r="GVT64"/>
      <c r="GVU64"/>
      <c r="GVV64"/>
      <c r="GVW64"/>
      <c r="GVX64"/>
      <c r="GVY64"/>
      <c r="GVZ64"/>
      <c r="GWA64"/>
      <c r="GWB64"/>
      <c r="GWC64"/>
      <c r="GWD64"/>
      <c r="GWE64"/>
      <c r="GWF64"/>
      <c r="GWG64"/>
      <c r="GWH64"/>
      <c r="GWI64"/>
      <c r="GWJ64"/>
      <c r="GWK64"/>
      <c r="GWL64"/>
      <c r="GWM64"/>
      <c r="GWN64"/>
      <c r="GWO64"/>
      <c r="GWP64"/>
      <c r="GWQ64"/>
      <c r="GWR64"/>
      <c r="GWS64"/>
      <c r="GWT64"/>
      <c r="GWU64"/>
      <c r="GWV64"/>
      <c r="GWW64"/>
      <c r="GWX64"/>
      <c r="GWY64"/>
      <c r="GWZ64"/>
      <c r="GXA64"/>
      <c r="GXB64"/>
      <c r="GXC64"/>
      <c r="GXD64"/>
      <c r="GXE64"/>
      <c r="GXF64"/>
      <c r="GXG64"/>
      <c r="GXH64"/>
      <c r="GXI64"/>
      <c r="GXJ64"/>
      <c r="GXK64"/>
      <c r="GXL64"/>
      <c r="GXM64"/>
      <c r="GXN64"/>
      <c r="GXO64"/>
      <c r="GXP64"/>
      <c r="GXQ64"/>
      <c r="GXR64"/>
      <c r="GXS64"/>
      <c r="GXT64"/>
      <c r="GXU64"/>
      <c r="GXV64"/>
      <c r="GXW64"/>
      <c r="GXX64"/>
      <c r="GXY64"/>
      <c r="GXZ64"/>
      <c r="GYA64"/>
      <c r="GYB64"/>
      <c r="GYC64"/>
      <c r="GYD64"/>
      <c r="GYE64"/>
      <c r="GYF64"/>
      <c r="GYG64"/>
      <c r="GYH64"/>
      <c r="GYI64"/>
      <c r="GYJ64"/>
      <c r="GYK64"/>
      <c r="GYL64"/>
      <c r="GYM64"/>
      <c r="GYN64"/>
      <c r="GYO64"/>
      <c r="GYP64"/>
      <c r="GYQ64"/>
      <c r="GYR64"/>
      <c r="GYS64"/>
      <c r="GYT64"/>
      <c r="GYU64"/>
      <c r="GYV64"/>
      <c r="GYW64"/>
      <c r="GYX64"/>
      <c r="GYY64"/>
      <c r="GYZ64"/>
      <c r="GZA64"/>
      <c r="GZB64"/>
      <c r="GZC64"/>
      <c r="GZD64"/>
      <c r="GZE64"/>
      <c r="GZF64"/>
      <c r="GZG64"/>
      <c r="GZH64"/>
      <c r="GZI64"/>
      <c r="GZJ64"/>
      <c r="GZK64"/>
      <c r="GZL64"/>
      <c r="GZM64"/>
      <c r="GZN64"/>
      <c r="GZO64"/>
      <c r="GZP64"/>
      <c r="GZQ64"/>
      <c r="GZR64"/>
      <c r="GZS64"/>
      <c r="GZT64"/>
      <c r="GZU64"/>
      <c r="GZV64"/>
      <c r="GZW64"/>
      <c r="GZX64"/>
      <c r="GZY64"/>
      <c r="GZZ64"/>
      <c r="HAA64"/>
      <c r="HAB64"/>
      <c r="HAC64"/>
      <c r="HAD64"/>
      <c r="HAE64"/>
      <c r="HAF64"/>
      <c r="HAG64"/>
      <c r="HAH64"/>
      <c r="HAI64"/>
      <c r="HAJ64"/>
      <c r="HAK64"/>
      <c r="HAL64"/>
      <c r="HAM64"/>
      <c r="HAN64"/>
      <c r="HAO64"/>
      <c r="HAP64"/>
      <c r="HAQ64"/>
      <c r="HAR64"/>
      <c r="HAS64"/>
      <c r="HAT64"/>
      <c r="HAU64"/>
      <c r="HAV64"/>
      <c r="HAW64"/>
      <c r="HAX64"/>
      <c r="HAY64"/>
      <c r="HAZ64"/>
      <c r="HBA64"/>
      <c r="HBB64"/>
      <c r="HBC64"/>
      <c r="HBD64"/>
      <c r="HBE64"/>
      <c r="HBF64"/>
      <c r="HBG64"/>
      <c r="HBH64"/>
      <c r="HBI64"/>
      <c r="HBJ64"/>
      <c r="HBK64"/>
      <c r="HBL64"/>
      <c r="HBM64"/>
      <c r="HBN64"/>
      <c r="HBO64"/>
      <c r="HBP64"/>
      <c r="HBQ64"/>
      <c r="HBR64"/>
      <c r="HBS64"/>
      <c r="HBT64"/>
      <c r="HBU64"/>
      <c r="HBV64"/>
      <c r="HBW64"/>
      <c r="HBX64"/>
      <c r="HBY64"/>
      <c r="HBZ64"/>
      <c r="HCA64"/>
      <c r="HCB64"/>
      <c r="HCC64"/>
      <c r="HCD64"/>
      <c r="HCE64"/>
      <c r="HCF64"/>
      <c r="HCG64"/>
      <c r="HCH64"/>
      <c r="HCI64"/>
      <c r="HCJ64"/>
      <c r="HCK64"/>
      <c r="HCL64"/>
      <c r="HCM64"/>
      <c r="HCN64"/>
      <c r="HCO64"/>
      <c r="HCP64"/>
      <c r="HCQ64"/>
      <c r="HCR64"/>
      <c r="HCS64"/>
      <c r="HCT64"/>
      <c r="HCU64"/>
      <c r="HCV64"/>
      <c r="HCW64"/>
      <c r="HCX64"/>
      <c r="HCY64"/>
      <c r="HCZ64"/>
      <c r="HDA64"/>
      <c r="HDB64"/>
      <c r="HDC64"/>
      <c r="HDD64"/>
      <c r="HDE64"/>
      <c r="HDF64"/>
      <c r="HDG64"/>
      <c r="HDH64"/>
      <c r="HDI64"/>
      <c r="HDJ64"/>
      <c r="HDK64"/>
      <c r="HDL64"/>
      <c r="HDM64"/>
      <c r="HDN64"/>
      <c r="HDO64"/>
      <c r="HDP64"/>
      <c r="HDQ64"/>
      <c r="HDR64"/>
      <c r="HDS64"/>
      <c r="HDT64"/>
      <c r="HDU64"/>
      <c r="HDV64"/>
      <c r="HDW64"/>
      <c r="HDX64"/>
      <c r="HDY64"/>
      <c r="HDZ64"/>
      <c r="HEA64"/>
      <c r="HEB64"/>
      <c r="HEC64"/>
      <c r="HED64"/>
      <c r="HEE64"/>
      <c r="HEF64"/>
      <c r="HEG64"/>
      <c r="HEH64"/>
      <c r="HEI64"/>
      <c r="HEJ64"/>
      <c r="HEK64"/>
      <c r="HEL64"/>
      <c r="HEM64"/>
      <c r="HEN64"/>
      <c r="HEO64"/>
      <c r="HEP64"/>
      <c r="HEQ64"/>
      <c r="HER64"/>
      <c r="HES64"/>
      <c r="HET64"/>
      <c r="HEU64"/>
      <c r="HEV64"/>
      <c r="HEW64"/>
      <c r="HEX64"/>
      <c r="HEY64"/>
      <c r="HEZ64"/>
      <c r="HFA64"/>
      <c r="HFB64"/>
      <c r="HFC64"/>
      <c r="HFD64"/>
      <c r="HFE64"/>
      <c r="HFF64"/>
      <c r="HFG64"/>
      <c r="HFH64"/>
      <c r="HFI64"/>
      <c r="HFJ64"/>
      <c r="HFK64"/>
      <c r="HFL64"/>
      <c r="HFM64"/>
      <c r="HFN64"/>
      <c r="HFO64"/>
      <c r="HFP64"/>
      <c r="HFQ64"/>
      <c r="HFR64"/>
      <c r="HFS64"/>
      <c r="HFT64"/>
      <c r="HFU64"/>
      <c r="HFV64"/>
      <c r="HFW64"/>
      <c r="HFX64"/>
      <c r="HFY64"/>
      <c r="HFZ64"/>
      <c r="HGA64"/>
      <c r="HGB64"/>
      <c r="HGC64"/>
      <c r="HGD64"/>
      <c r="HGE64"/>
      <c r="HGF64"/>
      <c r="HGG64"/>
      <c r="HGH64"/>
      <c r="HGI64"/>
      <c r="HGJ64"/>
      <c r="HGK64"/>
      <c r="HGL64"/>
      <c r="HGM64"/>
      <c r="HGN64"/>
      <c r="HGO64"/>
      <c r="HGP64"/>
      <c r="HGQ64"/>
      <c r="HGR64"/>
      <c r="HGS64"/>
      <c r="HGT64"/>
      <c r="HGU64"/>
      <c r="HGV64"/>
      <c r="HGW64"/>
      <c r="HGX64"/>
      <c r="HGY64"/>
      <c r="HGZ64"/>
      <c r="HHA64"/>
      <c r="HHB64"/>
      <c r="HHC64"/>
      <c r="HHD64"/>
      <c r="HHE64"/>
      <c r="HHF64"/>
      <c r="HHG64"/>
      <c r="HHH64"/>
      <c r="HHI64"/>
      <c r="HHJ64"/>
      <c r="HHK64"/>
      <c r="HHL64"/>
      <c r="HHM64"/>
      <c r="HHN64"/>
      <c r="HHO64"/>
      <c r="HHP64"/>
      <c r="HHQ64"/>
      <c r="HHR64"/>
      <c r="HHS64"/>
      <c r="HHT64"/>
      <c r="HHU64"/>
      <c r="HHV64"/>
      <c r="HHW64"/>
      <c r="HHX64"/>
      <c r="HHY64"/>
      <c r="HHZ64"/>
      <c r="HIA64"/>
      <c r="HIB64"/>
      <c r="HIC64"/>
      <c r="HID64"/>
      <c r="HIE64"/>
      <c r="HIF64"/>
      <c r="HIG64"/>
      <c r="HIH64"/>
      <c r="HII64"/>
      <c r="HIJ64"/>
      <c r="HIK64"/>
      <c r="HIL64"/>
      <c r="HIM64"/>
      <c r="HIN64"/>
      <c r="HIO64"/>
      <c r="HIP64"/>
      <c r="HIQ64"/>
      <c r="HIR64"/>
      <c r="HIS64"/>
      <c r="HIT64"/>
      <c r="HIU64"/>
      <c r="HIV64"/>
      <c r="HIW64"/>
      <c r="HIX64"/>
      <c r="HIY64"/>
      <c r="HIZ64"/>
      <c r="HJA64"/>
      <c r="HJB64"/>
      <c r="HJC64"/>
      <c r="HJD64"/>
      <c r="HJE64"/>
      <c r="HJF64"/>
      <c r="HJG64"/>
      <c r="HJH64"/>
      <c r="HJI64"/>
      <c r="HJJ64"/>
      <c r="HJK64"/>
      <c r="HJL64"/>
      <c r="HJM64"/>
      <c r="HJN64"/>
      <c r="HJO64"/>
      <c r="HJP64"/>
      <c r="HJQ64"/>
      <c r="HJR64"/>
      <c r="HJS64"/>
      <c r="HJT64"/>
      <c r="HJU64"/>
      <c r="HJV64"/>
      <c r="HJW64"/>
      <c r="HJX64"/>
      <c r="HJY64"/>
      <c r="HJZ64"/>
      <c r="HKA64"/>
      <c r="HKB64"/>
      <c r="HKC64"/>
      <c r="HKD64"/>
      <c r="HKE64"/>
      <c r="HKF64"/>
      <c r="HKG64"/>
      <c r="HKH64"/>
      <c r="HKI64"/>
      <c r="HKJ64"/>
      <c r="HKK64"/>
      <c r="HKL64"/>
      <c r="HKM64"/>
      <c r="HKN64"/>
      <c r="HKO64"/>
      <c r="HKP64"/>
      <c r="HKQ64"/>
      <c r="HKR64"/>
      <c r="HKS64"/>
      <c r="HKT64"/>
      <c r="HKU64"/>
      <c r="HKV64"/>
      <c r="HKW64"/>
      <c r="HKX64"/>
      <c r="HKY64"/>
      <c r="HKZ64"/>
      <c r="HLA64"/>
      <c r="HLB64"/>
      <c r="HLC64"/>
      <c r="HLD64"/>
      <c r="HLE64"/>
      <c r="HLF64"/>
      <c r="HLG64"/>
      <c r="HLH64"/>
      <c r="HLI64"/>
      <c r="HLJ64"/>
      <c r="HLK64"/>
      <c r="HLL64"/>
      <c r="HLM64"/>
      <c r="HLN64"/>
      <c r="HLO64"/>
      <c r="HLP64"/>
      <c r="HLQ64"/>
      <c r="HLR64"/>
      <c r="HLS64"/>
      <c r="HLT64"/>
      <c r="HLU64"/>
      <c r="HLV64"/>
      <c r="HLW64"/>
      <c r="HLX64"/>
      <c r="HLY64"/>
      <c r="HLZ64"/>
      <c r="HMA64"/>
      <c r="HMB64"/>
      <c r="HMC64"/>
      <c r="HMD64"/>
      <c r="HME64"/>
      <c r="HMF64"/>
      <c r="HMG64"/>
      <c r="HMH64"/>
      <c r="HMI64"/>
      <c r="HMJ64"/>
      <c r="HMK64"/>
      <c r="HML64"/>
      <c r="HMM64"/>
      <c r="HMN64"/>
      <c r="HMO64"/>
      <c r="HMP64"/>
      <c r="HMQ64"/>
      <c r="HMR64"/>
      <c r="HMS64"/>
      <c r="HMT64"/>
      <c r="HMU64"/>
      <c r="HMV64"/>
      <c r="HMW64"/>
      <c r="HMX64"/>
      <c r="HMY64"/>
      <c r="HMZ64"/>
      <c r="HNA64"/>
      <c r="HNB64"/>
      <c r="HNC64"/>
      <c r="HND64"/>
      <c r="HNE64"/>
      <c r="HNF64"/>
      <c r="HNG64"/>
      <c r="HNH64"/>
      <c r="HNI64"/>
      <c r="HNJ64"/>
      <c r="HNK64"/>
      <c r="HNL64"/>
      <c r="HNM64"/>
      <c r="HNN64"/>
      <c r="HNO64"/>
      <c r="HNP64"/>
      <c r="HNQ64"/>
      <c r="HNR64"/>
      <c r="HNS64"/>
      <c r="HNT64"/>
      <c r="HNU64"/>
      <c r="HNV64"/>
      <c r="HNW64"/>
      <c r="HNX64"/>
      <c r="HNY64"/>
      <c r="HNZ64"/>
      <c r="HOA64"/>
      <c r="HOB64"/>
      <c r="HOC64"/>
      <c r="HOD64"/>
      <c r="HOE64"/>
      <c r="HOF64"/>
      <c r="HOG64"/>
      <c r="HOH64"/>
      <c r="HOI64"/>
      <c r="HOJ64"/>
      <c r="HOK64"/>
      <c r="HOL64"/>
      <c r="HOM64"/>
      <c r="HON64"/>
      <c r="HOO64"/>
      <c r="HOP64"/>
      <c r="HOQ64"/>
      <c r="HOR64"/>
      <c r="HOS64"/>
      <c r="HOT64"/>
      <c r="HOU64"/>
      <c r="HOV64"/>
      <c r="HOW64"/>
      <c r="HOX64"/>
      <c r="HOY64"/>
      <c r="HOZ64"/>
      <c r="HPA64"/>
      <c r="HPB64"/>
      <c r="HPC64"/>
      <c r="HPD64"/>
      <c r="HPE64"/>
      <c r="HPF64"/>
      <c r="HPG64"/>
      <c r="HPH64"/>
      <c r="HPI64"/>
      <c r="HPJ64"/>
      <c r="HPK64"/>
      <c r="HPL64"/>
      <c r="HPM64"/>
      <c r="HPN64"/>
      <c r="HPO64"/>
      <c r="HPP64"/>
      <c r="HPQ64"/>
      <c r="HPR64"/>
      <c r="HPS64"/>
      <c r="HPT64"/>
      <c r="HPU64"/>
      <c r="HPV64"/>
      <c r="HPW64"/>
      <c r="HPX64"/>
      <c r="HPY64"/>
      <c r="HPZ64"/>
      <c r="HQA64"/>
      <c r="HQB64"/>
      <c r="HQC64"/>
      <c r="HQD64"/>
      <c r="HQE64"/>
      <c r="HQF64"/>
      <c r="HQG64"/>
      <c r="HQH64"/>
      <c r="HQI64"/>
      <c r="HQJ64"/>
      <c r="HQK64"/>
      <c r="HQL64"/>
      <c r="HQM64"/>
      <c r="HQN64"/>
      <c r="HQO64"/>
      <c r="HQP64"/>
      <c r="HQQ64"/>
      <c r="HQR64"/>
      <c r="HQS64"/>
      <c r="HQT64"/>
      <c r="HQU64"/>
      <c r="HQV64"/>
      <c r="HQW64"/>
      <c r="HQX64"/>
      <c r="HQY64"/>
      <c r="HQZ64"/>
      <c r="HRA64"/>
      <c r="HRB64"/>
      <c r="HRC64"/>
      <c r="HRD64"/>
      <c r="HRE64"/>
      <c r="HRF64"/>
      <c r="HRG64"/>
      <c r="HRH64"/>
      <c r="HRI64"/>
      <c r="HRJ64"/>
      <c r="HRK64"/>
      <c r="HRL64"/>
      <c r="HRM64"/>
      <c r="HRN64"/>
      <c r="HRO64"/>
      <c r="HRP64"/>
      <c r="HRQ64"/>
      <c r="HRR64"/>
      <c r="HRS64"/>
      <c r="HRT64"/>
      <c r="HRU64"/>
      <c r="HRV64"/>
      <c r="HRW64"/>
      <c r="HRX64"/>
      <c r="HRY64"/>
      <c r="HRZ64"/>
      <c r="HSA64"/>
      <c r="HSB64"/>
      <c r="HSC64"/>
      <c r="HSD64"/>
      <c r="HSE64"/>
      <c r="HSF64"/>
      <c r="HSG64"/>
      <c r="HSH64"/>
      <c r="HSI64"/>
      <c r="HSJ64"/>
      <c r="HSK64"/>
      <c r="HSL64"/>
      <c r="HSM64"/>
      <c r="HSN64"/>
      <c r="HSO64"/>
      <c r="HSP64"/>
      <c r="HSQ64"/>
      <c r="HSR64"/>
      <c r="HSS64"/>
      <c r="HST64"/>
      <c r="HSU64"/>
      <c r="HSV64"/>
      <c r="HSW64"/>
      <c r="HSX64"/>
      <c r="HSY64"/>
      <c r="HSZ64"/>
      <c r="HTA64"/>
      <c r="HTB64"/>
      <c r="HTC64"/>
      <c r="HTD64"/>
      <c r="HTE64"/>
      <c r="HTF64"/>
      <c r="HTG64"/>
      <c r="HTH64"/>
      <c r="HTI64"/>
      <c r="HTJ64"/>
      <c r="HTK64"/>
      <c r="HTL64"/>
      <c r="HTM64"/>
      <c r="HTN64"/>
      <c r="HTO64"/>
      <c r="HTP64"/>
      <c r="HTQ64"/>
      <c r="HTR64"/>
      <c r="HTS64"/>
      <c r="HTT64"/>
      <c r="HTU64"/>
      <c r="HTV64"/>
      <c r="HTW64"/>
      <c r="HTX64"/>
      <c r="HTY64"/>
      <c r="HTZ64"/>
      <c r="HUA64"/>
      <c r="HUB64"/>
      <c r="HUC64"/>
      <c r="HUD64"/>
      <c r="HUE64"/>
      <c r="HUF64"/>
      <c r="HUG64"/>
      <c r="HUH64"/>
      <c r="HUI64"/>
      <c r="HUJ64"/>
      <c r="HUK64"/>
      <c r="HUL64"/>
      <c r="HUM64"/>
      <c r="HUN64"/>
      <c r="HUO64"/>
      <c r="HUP64"/>
      <c r="HUQ64"/>
      <c r="HUR64"/>
      <c r="HUS64"/>
      <c r="HUT64"/>
      <c r="HUU64"/>
      <c r="HUV64"/>
      <c r="HUW64"/>
      <c r="HUX64"/>
      <c r="HUY64"/>
      <c r="HUZ64"/>
      <c r="HVA64"/>
      <c r="HVB64"/>
      <c r="HVC64"/>
      <c r="HVD64"/>
      <c r="HVE64"/>
      <c r="HVF64"/>
      <c r="HVG64"/>
      <c r="HVH64"/>
      <c r="HVI64"/>
      <c r="HVJ64"/>
      <c r="HVK64"/>
      <c r="HVL64"/>
      <c r="HVM64"/>
      <c r="HVN64"/>
      <c r="HVO64"/>
      <c r="HVP64"/>
      <c r="HVQ64"/>
      <c r="HVR64"/>
      <c r="HVS64"/>
      <c r="HVT64"/>
      <c r="HVU64"/>
      <c r="HVV64"/>
      <c r="HVW64"/>
      <c r="HVX64"/>
      <c r="HVY64"/>
      <c r="HVZ64"/>
      <c r="HWA64"/>
      <c r="HWB64"/>
      <c r="HWC64"/>
      <c r="HWD64"/>
      <c r="HWE64"/>
      <c r="HWF64"/>
      <c r="HWG64"/>
      <c r="HWH64"/>
      <c r="HWI64"/>
      <c r="HWJ64"/>
      <c r="HWK64"/>
      <c r="HWL64"/>
      <c r="HWM64"/>
      <c r="HWN64"/>
      <c r="HWO64"/>
      <c r="HWP64"/>
      <c r="HWQ64"/>
      <c r="HWR64"/>
      <c r="HWS64"/>
      <c r="HWT64"/>
      <c r="HWU64"/>
      <c r="HWV64"/>
      <c r="HWW64"/>
      <c r="HWX64"/>
      <c r="HWY64"/>
      <c r="HWZ64"/>
      <c r="HXA64"/>
      <c r="HXB64"/>
      <c r="HXC64"/>
      <c r="HXD64"/>
      <c r="HXE64"/>
      <c r="HXF64"/>
      <c r="HXG64"/>
      <c r="HXH64"/>
      <c r="HXI64"/>
      <c r="HXJ64"/>
      <c r="HXK64"/>
      <c r="HXL64"/>
      <c r="HXM64"/>
      <c r="HXN64"/>
      <c r="HXO64"/>
      <c r="HXP64"/>
      <c r="HXQ64"/>
      <c r="HXR64"/>
      <c r="HXS64"/>
      <c r="HXT64"/>
      <c r="HXU64"/>
      <c r="HXV64"/>
      <c r="HXW64"/>
      <c r="HXX64"/>
      <c r="HXY64"/>
      <c r="HXZ64"/>
      <c r="HYA64"/>
      <c r="HYB64"/>
      <c r="HYC64"/>
      <c r="HYD64"/>
      <c r="HYE64"/>
      <c r="HYF64"/>
      <c r="HYG64"/>
      <c r="HYH64"/>
      <c r="HYI64"/>
      <c r="HYJ64"/>
      <c r="HYK64"/>
      <c r="HYL64"/>
      <c r="HYM64"/>
      <c r="HYN64"/>
      <c r="HYO64"/>
      <c r="HYP64"/>
      <c r="HYQ64"/>
      <c r="HYR64"/>
      <c r="HYS64"/>
      <c r="HYT64"/>
      <c r="HYU64"/>
      <c r="HYV64"/>
      <c r="HYW64"/>
      <c r="HYX64"/>
      <c r="HYY64"/>
      <c r="HYZ64"/>
      <c r="HZA64"/>
      <c r="HZB64"/>
      <c r="HZC64"/>
      <c r="HZD64"/>
      <c r="HZE64"/>
      <c r="HZF64"/>
      <c r="HZG64"/>
      <c r="HZH64"/>
      <c r="HZI64"/>
      <c r="HZJ64"/>
      <c r="HZK64"/>
      <c r="HZL64"/>
      <c r="HZM64"/>
      <c r="HZN64"/>
      <c r="HZO64"/>
      <c r="HZP64"/>
      <c r="HZQ64"/>
      <c r="HZR64"/>
      <c r="HZS64"/>
      <c r="HZT64"/>
      <c r="HZU64"/>
      <c r="HZV64"/>
      <c r="HZW64"/>
      <c r="HZX64"/>
      <c r="HZY64"/>
      <c r="HZZ64"/>
      <c r="IAA64"/>
      <c r="IAB64"/>
      <c r="IAC64"/>
      <c r="IAD64"/>
      <c r="IAE64"/>
      <c r="IAF64"/>
      <c r="IAG64"/>
      <c r="IAH64"/>
      <c r="IAI64"/>
      <c r="IAJ64"/>
      <c r="IAK64"/>
      <c r="IAL64"/>
      <c r="IAM64"/>
      <c r="IAN64"/>
      <c r="IAO64"/>
      <c r="IAP64"/>
      <c r="IAQ64"/>
      <c r="IAR64"/>
      <c r="IAS64"/>
      <c r="IAT64"/>
      <c r="IAU64"/>
      <c r="IAV64"/>
      <c r="IAW64"/>
      <c r="IAX64"/>
      <c r="IAY64"/>
      <c r="IAZ64"/>
      <c r="IBA64"/>
      <c r="IBB64"/>
      <c r="IBC64"/>
      <c r="IBD64"/>
      <c r="IBE64"/>
      <c r="IBF64"/>
      <c r="IBG64"/>
      <c r="IBH64"/>
      <c r="IBI64"/>
      <c r="IBJ64"/>
      <c r="IBK64"/>
      <c r="IBL64"/>
      <c r="IBM64"/>
      <c r="IBN64"/>
      <c r="IBO64"/>
      <c r="IBP64"/>
      <c r="IBQ64"/>
      <c r="IBR64"/>
      <c r="IBS64"/>
      <c r="IBT64"/>
      <c r="IBU64"/>
      <c r="IBV64"/>
      <c r="IBW64"/>
      <c r="IBX64"/>
      <c r="IBY64"/>
      <c r="IBZ64"/>
      <c r="ICA64"/>
      <c r="ICB64"/>
      <c r="ICC64"/>
      <c r="ICD64"/>
      <c r="ICE64"/>
      <c r="ICF64"/>
      <c r="ICG64"/>
      <c r="ICH64"/>
      <c r="ICI64"/>
      <c r="ICJ64"/>
      <c r="ICK64"/>
      <c r="ICL64"/>
      <c r="ICM64"/>
      <c r="ICN64"/>
      <c r="ICO64"/>
      <c r="ICP64"/>
      <c r="ICQ64"/>
      <c r="ICR64"/>
      <c r="ICS64"/>
      <c r="ICT64"/>
      <c r="ICU64"/>
      <c r="ICV64"/>
      <c r="ICW64"/>
      <c r="ICX64"/>
      <c r="ICY64"/>
      <c r="ICZ64"/>
      <c r="IDA64"/>
      <c r="IDB64"/>
      <c r="IDC64"/>
      <c r="IDD64"/>
      <c r="IDE64"/>
      <c r="IDF64"/>
      <c r="IDG64"/>
      <c r="IDH64"/>
      <c r="IDI64"/>
      <c r="IDJ64"/>
      <c r="IDK64"/>
      <c r="IDL64"/>
      <c r="IDM64"/>
      <c r="IDN64"/>
      <c r="IDO64"/>
      <c r="IDP64"/>
      <c r="IDQ64"/>
      <c r="IDR64"/>
      <c r="IDS64"/>
      <c r="IDT64"/>
      <c r="IDU64"/>
      <c r="IDV64"/>
      <c r="IDW64"/>
      <c r="IDX64"/>
      <c r="IDY64"/>
      <c r="IDZ64"/>
      <c r="IEA64"/>
      <c r="IEB64"/>
      <c r="IEC64"/>
      <c r="IED64"/>
      <c r="IEE64"/>
      <c r="IEF64"/>
      <c r="IEG64"/>
      <c r="IEH64"/>
      <c r="IEI64"/>
      <c r="IEJ64"/>
      <c r="IEK64"/>
      <c r="IEL64"/>
      <c r="IEM64"/>
      <c r="IEN64"/>
      <c r="IEO64"/>
      <c r="IEP64"/>
      <c r="IEQ64"/>
      <c r="IER64"/>
      <c r="IES64"/>
      <c r="IET64"/>
      <c r="IEU64"/>
      <c r="IEV64"/>
      <c r="IEW64"/>
      <c r="IEX64"/>
      <c r="IEY64"/>
      <c r="IEZ64"/>
      <c r="IFA64"/>
      <c r="IFB64"/>
      <c r="IFC64"/>
      <c r="IFD64"/>
      <c r="IFE64"/>
      <c r="IFF64"/>
      <c r="IFG64"/>
      <c r="IFH64"/>
      <c r="IFI64"/>
      <c r="IFJ64"/>
      <c r="IFK64"/>
      <c r="IFL64"/>
      <c r="IFM64"/>
      <c r="IFN64"/>
      <c r="IFO64"/>
      <c r="IFP64"/>
      <c r="IFQ64"/>
      <c r="IFR64"/>
      <c r="IFS64"/>
      <c r="IFT64"/>
      <c r="IFU64"/>
      <c r="IFV64"/>
      <c r="IFW64"/>
      <c r="IFX64"/>
      <c r="IFY64"/>
      <c r="IFZ64"/>
      <c r="IGA64"/>
      <c r="IGB64"/>
      <c r="IGC64"/>
      <c r="IGD64"/>
      <c r="IGE64"/>
      <c r="IGF64"/>
      <c r="IGG64"/>
      <c r="IGH64"/>
      <c r="IGI64"/>
      <c r="IGJ64"/>
      <c r="IGK64"/>
      <c r="IGL64"/>
      <c r="IGM64"/>
      <c r="IGN64"/>
      <c r="IGO64"/>
      <c r="IGP64"/>
      <c r="IGQ64"/>
      <c r="IGR64"/>
      <c r="IGS64"/>
      <c r="IGT64"/>
      <c r="IGU64"/>
      <c r="IGV64"/>
      <c r="IGW64"/>
      <c r="IGX64"/>
      <c r="IGY64"/>
      <c r="IGZ64"/>
      <c r="IHA64"/>
      <c r="IHB64"/>
      <c r="IHC64"/>
      <c r="IHD64"/>
      <c r="IHE64"/>
      <c r="IHF64"/>
      <c r="IHG64"/>
      <c r="IHH64"/>
      <c r="IHI64"/>
      <c r="IHJ64"/>
      <c r="IHK64"/>
      <c r="IHL64"/>
      <c r="IHM64"/>
      <c r="IHN64"/>
      <c r="IHO64"/>
      <c r="IHP64"/>
      <c r="IHQ64"/>
      <c r="IHR64"/>
      <c r="IHS64"/>
      <c r="IHT64"/>
      <c r="IHU64"/>
      <c r="IHV64"/>
      <c r="IHW64"/>
      <c r="IHX64"/>
      <c r="IHY64"/>
      <c r="IHZ64"/>
      <c r="IIA64"/>
      <c r="IIB64"/>
      <c r="IIC64"/>
      <c r="IID64"/>
      <c r="IIE64"/>
      <c r="IIF64"/>
      <c r="IIG64"/>
      <c r="IIH64"/>
      <c r="III64"/>
      <c r="IIJ64"/>
      <c r="IIK64"/>
      <c r="IIL64"/>
      <c r="IIM64"/>
      <c r="IIN64"/>
      <c r="IIO64"/>
      <c r="IIP64"/>
      <c r="IIQ64"/>
      <c r="IIR64"/>
      <c r="IIS64"/>
      <c r="IIT64"/>
      <c r="IIU64"/>
      <c r="IIV64"/>
      <c r="IIW64"/>
      <c r="IIX64"/>
      <c r="IIY64"/>
      <c r="IIZ64"/>
      <c r="IJA64"/>
      <c r="IJB64"/>
      <c r="IJC64"/>
      <c r="IJD64"/>
      <c r="IJE64"/>
      <c r="IJF64"/>
      <c r="IJG64"/>
      <c r="IJH64"/>
      <c r="IJI64"/>
      <c r="IJJ64"/>
      <c r="IJK64"/>
      <c r="IJL64"/>
      <c r="IJM64"/>
      <c r="IJN64"/>
      <c r="IJO64"/>
      <c r="IJP64"/>
      <c r="IJQ64"/>
      <c r="IJR64"/>
      <c r="IJS64"/>
      <c r="IJT64"/>
      <c r="IJU64"/>
      <c r="IJV64"/>
      <c r="IJW64"/>
      <c r="IJX64"/>
      <c r="IJY64"/>
      <c r="IJZ64"/>
      <c r="IKA64"/>
      <c r="IKB64"/>
      <c r="IKC64"/>
      <c r="IKD64"/>
      <c r="IKE64"/>
      <c r="IKF64"/>
      <c r="IKG64"/>
      <c r="IKH64"/>
      <c r="IKI64"/>
      <c r="IKJ64"/>
      <c r="IKK64"/>
      <c r="IKL64"/>
      <c r="IKM64"/>
      <c r="IKN64"/>
      <c r="IKO64"/>
      <c r="IKP64"/>
      <c r="IKQ64"/>
      <c r="IKR64"/>
      <c r="IKS64"/>
      <c r="IKT64"/>
      <c r="IKU64"/>
      <c r="IKV64"/>
      <c r="IKW64"/>
      <c r="IKX64"/>
      <c r="IKY64"/>
      <c r="IKZ64"/>
      <c r="ILA64"/>
      <c r="ILB64"/>
      <c r="ILC64"/>
      <c r="ILD64"/>
      <c r="ILE64"/>
      <c r="ILF64"/>
      <c r="ILG64"/>
      <c r="ILH64"/>
      <c r="ILI64"/>
      <c r="ILJ64"/>
      <c r="ILK64"/>
      <c r="ILL64"/>
      <c r="ILM64"/>
      <c r="ILN64"/>
      <c r="ILO64"/>
      <c r="ILP64"/>
      <c r="ILQ64"/>
      <c r="ILR64"/>
      <c r="ILS64"/>
      <c r="ILT64"/>
      <c r="ILU64"/>
      <c r="ILV64"/>
      <c r="ILW64"/>
      <c r="ILX64"/>
      <c r="ILY64"/>
      <c r="ILZ64"/>
      <c r="IMA64"/>
      <c r="IMB64"/>
      <c r="IMC64"/>
      <c r="IMD64"/>
      <c r="IME64"/>
      <c r="IMF64"/>
      <c r="IMG64"/>
      <c r="IMH64"/>
      <c r="IMI64"/>
      <c r="IMJ64"/>
      <c r="IMK64"/>
      <c r="IML64"/>
      <c r="IMM64"/>
      <c r="IMN64"/>
      <c r="IMO64"/>
      <c r="IMP64"/>
      <c r="IMQ64"/>
      <c r="IMR64"/>
      <c r="IMS64"/>
      <c r="IMT64"/>
      <c r="IMU64"/>
      <c r="IMV64"/>
      <c r="IMW64"/>
      <c r="IMX64"/>
      <c r="IMY64"/>
      <c r="IMZ64"/>
      <c r="INA64"/>
      <c r="INB64"/>
      <c r="INC64"/>
      <c r="IND64"/>
      <c r="INE64"/>
      <c r="INF64"/>
      <c r="ING64"/>
      <c r="INH64"/>
      <c r="INI64"/>
      <c r="INJ64"/>
      <c r="INK64"/>
      <c r="INL64"/>
      <c r="INM64"/>
      <c r="INN64"/>
      <c r="INO64"/>
      <c r="INP64"/>
      <c r="INQ64"/>
      <c r="INR64"/>
      <c r="INS64"/>
      <c r="INT64"/>
      <c r="INU64"/>
      <c r="INV64"/>
      <c r="INW64"/>
      <c r="INX64"/>
      <c r="INY64"/>
      <c r="INZ64"/>
      <c r="IOA64"/>
      <c r="IOB64"/>
      <c r="IOC64"/>
      <c r="IOD64"/>
      <c r="IOE64"/>
      <c r="IOF64"/>
      <c r="IOG64"/>
      <c r="IOH64"/>
      <c r="IOI64"/>
      <c r="IOJ64"/>
      <c r="IOK64"/>
      <c r="IOL64"/>
      <c r="IOM64"/>
      <c r="ION64"/>
      <c r="IOO64"/>
      <c r="IOP64"/>
      <c r="IOQ64"/>
      <c r="IOR64"/>
      <c r="IOS64"/>
      <c r="IOT64"/>
      <c r="IOU64"/>
      <c r="IOV64"/>
      <c r="IOW64"/>
      <c r="IOX64"/>
      <c r="IOY64"/>
      <c r="IOZ64"/>
      <c r="IPA64"/>
      <c r="IPB64"/>
      <c r="IPC64"/>
      <c r="IPD64"/>
      <c r="IPE64"/>
      <c r="IPF64"/>
      <c r="IPG64"/>
      <c r="IPH64"/>
      <c r="IPI64"/>
      <c r="IPJ64"/>
      <c r="IPK64"/>
      <c r="IPL64"/>
      <c r="IPM64"/>
      <c r="IPN64"/>
      <c r="IPO64"/>
      <c r="IPP64"/>
      <c r="IPQ64"/>
      <c r="IPR64"/>
      <c r="IPS64"/>
      <c r="IPT64"/>
      <c r="IPU64"/>
      <c r="IPV64"/>
      <c r="IPW64"/>
      <c r="IPX64"/>
      <c r="IPY64"/>
      <c r="IPZ64"/>
      <c r="IQA64"/>
      <c r="IQB64"/>
      <c r="IQC64"/>
      <c r="IQD64"/>
      <c r="IQE64"/>
      <c r="IQF64"/>
      <c r="IQG64"/>
      <c r="IQH64"/>
      <c r="IQI64"/>
      <c r="IQJ64"/>
      <c r="IQK64"/>
      <c r="IQL64"/>
      <c r="IQM64"/>
      <c r="IQN64"/>
      <c r="IQO64"/>
      <c r="IQP64"/>
      <c r="IQQ64"/>
      <c r="IQR64"/>
      <c r="IQS64"/>
      <c r="IQT64"/>
      <c r="IQU64"/>
      <c r="IQV64"/>
      <c r="IQW64"/>
      <c r="IQX64"/>
      <c r="IQY64"/>
      <c r="IQZ64"/>
      <c r="IRA64"/>
      <c r="IRB64"/>
      <c r="IRC64"/>
      <c r="IRD64"/>
      <c r="IRE64"/>
      <c r="IRF64"/>
      <c r="IRG64"/>
      <c r="IRH64"/>
      <c r="IRI64"/>
      <c r="IRJ64"/>
      <c r="IRK64"/>
      <c r="IRL64"/>
      <c r="IRM64"/>
      <c r="IRN64"/>
      <c r="IRO64"/>
      <c r="IRP64"/>
      <c r="IRQ64"/>
      <c r="IRR64"/>
      <c r="IRS64"/>
      <c r="IRT64"/>
      <c r="IRU64"/>
      <c r="IRV64"/>
      <c r="IRW64"/>
      <c r="IRX64"/>
      <c r="IRY64"/>
      <c r="IRZ64"/>
      <c r="ISA64"/>
      <c r="ISB64"/>
      <c r="ISC64"/>
      <c r="ISD64"/>
      <c r="ISE64"/>
      <c r="ISF64"/>
      <c r="ISG64"/>
      <c r="ISH64"/>
      <c r="ISI64"/>
      <c r="ISJ64"/>
      <c r="ISK64"/>
      <c r="ISL64"/>
      <c r="ISM64"/>
      <c r="ISN64"/>
      <c r="ISO64"/>
      <c r="ISP64"/>
      <c r="ISQ64"/>
      <c r="ISR64"/>
      <c r="ISS64"/>
      <c r="IST64"/>
      <c r="ISU64"/>
      <c r="ISV64"/>
      <c r="ISW64"/>
      <c r="ISX64"/>
      <c r="ISY64"/>
      <c r="ISZ64"/>
      <c r="ITA64"/>
      <c r="ITB64"/>
      <c r="ITC64"/>
      <c r="ITD64"/>
      <c r="ITE64"/>
      <c r="ITF64"/>
      <c r="ITG64"/>
      <c r="ITH64"/>
      <c r="ITI64"/>
      <c r="ITJ64"/>
      <c r="ITK64"/>
      <c r="ITL64"/>
      <c r="ITM64"/>
      <c r="ITN64"/>
      <c r="ITO64"/>
      <c r="ITP64"/>
      <c r="ITQ64"/>
      <c r="ITR64"/>
      <c r="ITS64"/>
      <c r="ITT64"/>
      <c r="ITU64"/>
      <c r="ITV64"/>
      <c r="ITW64"/>
      <c r="ITX64"/>
      <c r="ITY64"/>
      <c r="ITZ64"/>
      <c r="IUA64"/>
      <c r="IUB64"/>
      <c r="IUC64"/>
      <c r="IUD64"/>
      <c r="IUE64"/>
      <c r="IUF64"/>
      <c r="IUG64"/>
      <c r="IUH64"/>
      <c r="IUI64"/>
      <c r="IUJ64"/>
      <c r="IUK64"/>
      <c r="IUL64"/>
      <c r="IUM64"/>
      <c r="IUN64"/>
      <c r="IUO64"/>
      <c r="IUP64"/>
      <c r="IUQ64"/>
      <c r="IUR64"/>
      <c r="IUS64"/>
      <c r="IUT64"/>
      <c r="IUU64"/>
      <c r="IUV64"/>
      <c r="IUW64"/>
      <c r="IUX64"/>
      <c r="IUY64"/>
      <c r="IUZ64"/>
      <c r="IVA64"/>
      <c r="IVB64"/>
      <c r="IVC64"/>
      <c r="IVD64"/>
      <c r="IVE64"/>
      <c r="IVF64"/>
      <c r="IVG64"/>
      <c r="IVH64"/>
      <c r="IVI64"/>
      <c r="IVJ64"/>
      <c r="IVK64"/>
      <c r="IVL64"/>
      <c r="IVM64"/>
      <c r="IVN64"/>
      <c r="IVO64"/>
      <c r="IVP64"/>
      <c r="IVQ64"/>
      <c r="IVR64"/>
      <c r="IVS64"/>
      <c r="IVT64"/>
      <c r="IVU64"/>
      <c r="IVV64"/>
      <c r="IVW64"/>
      <c r="IVX64"/>
      <c r="IVY64"/>
      <c r="IVZ64"/>
      <c r="IWA64"/>
      <c r="IWB64"/>
      <c r="IWC64"/>
      <c r="IWD64"/>
      <c r="IWE64"/>
      <c r="IWF64"/>
      <c r="IWG64"/>
      <c r="IWH64"/>
      <c r="IWI64"/>
      <c r="IWJ64"/>
      <c r="IWK64"/>
      <c r="IWL64"/>
      <c r="IWM64"/>
      <c r="IWN64"/>
      <c r="IWO64"/>
      <c r="IWP64"/>
      <c r="IWQ64"/>
      <c r="IWR64"/>
      <c r="IWS64"/>
      <c r="IWT64"/>
      <c r="IWU64"/>
      <c r="IWV64"/>
      <c r="IWW64"/>
      <c r="IWX64"/>
      <c r="IWY64"/>
      <c r="IWZ64"/>
      <c r="IXA64"/>
      <c r="IXB64"/>
      <c r="IXC64"/>
      <c r="IXD64"/>
      <c r="IXE64"/>
      <c r="IXF64"/>
      <c r="IXG64"/>
      <c r="IXH64"/>
      <c r="IXI64"/>
      <c r="IXJ64"/>
      <c r="IXK64"/>
      <c r="IXL64"/>
      <c r="IXM64"/>
      <c r="IXN64"/>
      <c r="IXO64"/>
      <c r="IXP64"/>
      <c r="IXQ64"/>
      <c r="IXR64"/>
      <c r="IXS64"/>
      <c r="IXT64"/>
      <c r="IXU64"/>
      <c r="IXV64"/>
      <c r="IXW64"/>
      <c r="IXX64"/>
      <c r="IXY64"/>
      <c r="IXZ64"/>
      <c r="IYA64"/>
      <c r="IYB64"/>
      <c r="IYC64"/>
      <c r="IYD64"/>
      <c r="IYE64"/>
      <c r="IYF64"/>
      <c r="IYG64"/>
      <c r="IYH64"/>
      <c r="IYI64"/>
      <c r="IYJ64"/>
      <c r="IYK64"/>
      <c r="IYL64"/>
      <c r="IYM64"/>
      <c r="IYN64"/>
      <c r="IYO64"/>
      <c r="IYP64"/>
      <c r="IYQ64"/>
      <c r="IYR64"/>
      <c r="IYS64"/>
      <c r="IYT64"/>
      <c r="IYU64"/>
      <c r="IYV64"/>
      <c r="IYW64"/>
      <c r="IYX64"/>
      <c r="IYY64"/>
      <c r="IYZ64"/>
      <c r="IZA64"/>
      <c r="IZB64"/>
      <c r="IZC64"/>
      <c r="IZD64"/>
      <c r="IZE64"/>
      <c r="IZF64"/>
      <c r="IZG64"/>
      <c r="IZH64"/>
      <c r="IZI64"/>
      <c r="IZJ64"/>
      <c r="IZK64"/>
      <c r="IZL64"/>
      <c r="IZM64"/>
      <c r="IZN64"/>
      <c r="IZO64"/>
      <c r="IZP64"/>
      <c r="IZQ64"/>
      <c r="IZR64"/>
      <c r="IZS64"/>
      <c r="IZT64"/>
      <c r="IZU64"/>
      <c r="IZV64"/>
      <c r="IZW64"/>
      <c r="IZX64"/>
      <c r="IZY64"/>
      <c r="IZZ64"/>
      <c r="JAA64"/>
      <c r="JAB64"/>
      <c r="JAC64"/>
      <c r="JAD64"/>
      <c r="JAE64"/>
      <c r="JAF64"/>
      <c r="JAG64"/>
      <c r="JAH64"/>
      <c r="JAI64"/>
      <c r="JAJ64"/>
      <c r="JAK64"/>
      <c r="JAL64"/>
      <c r="JAM64"/>
      <c r="JAN64"/>
      <c r="JAO64"/>
      <c r="JAP64"/>
      <c r="JAQ64"/>
      <c r="JAR64"/>
      <c r="JAS64"/>
      <c r="JAT64"/>
      <c r="JAU64"/>
      <c r="JAV64"/>
      <c r="JAW64"/>
      <c r="JAX64"/>
      <c r="JAY64"/>
      <c r="JAZ64"/>
      <c r="JBA64"/>
      <c r="JBB64"/>
      <c r="JBC64"/>
      <c r="JBD64"/>
      <c r="JBE64"/>
      <c r="JBF64"/>
      <c r="JBG64"/>
      <c r="JBH64"/>
      <c r="JBI64"/>
      <c r="JBJ64"/>
      <c r="JBK64"/>
      <c r="JBL64"/>
      <c r="JBM64"/>
      <c r="JBN64"/>
      <c r="JBO64"/>
      <c r="JBP64"/>
      <c r="JBQ64"/>
      <c r="JBR64"/>
      <c r="JBS64"/>
      <c r="JBT64"/>
      <c r="JBU64"/>
      <c r="JBV64"/>
      <c r="JBW64"/>
      <c r="JBX64"/>
      <c r="JBY64"/>
      <c r="JBZ64"/>
      <c r="JCA64"/>
      <c r="JCB64"/>
      <c r="JCC64"/>
      <c r="JCD64"/>
      <c r="JCE64"/>
      <c r="JCF64"/>
      <c r="JCG64"/>
      <c r="JCH64"/>
      <c r="JCI64"/>
      <c r="JCJ64"/>
      <c r="JCK64"/>
      <c r="JCL64"/>
      <c r="JCM64"/>
      <c r="JCN64"/>
      <c r="JCO64"/>
      <c r="JCP64"/>
      <c r="JCQ64"/>
      <c r="JCR64"/>
      <c r="JCS64"/>
      <c r="JCT64"/>
      <c r="JCU64"/>
      <c r="JCV64"/>
      <c r="JCW64"/>
      <c r="JCX64"/>
      <c r="JCY64"/>
      <c r="JCZ64"/>
      <c r="JDA64"/>
      <c r="JDB64"/>
      <c r="JDC64"/>
      <c r="JDD64"/>
      <c r="JDE64"/>
      <c r="JDF64"/>
      <c r="JDG64"/>
      <c r="JDH64"/>
      <c r="JDI64"/>
      <c r="JDJ64"/>
      <c r="JDK64"/>
      <c r="JDL64"/>
      <c r="JDM64"/>
      <c r="JDN64"/>
      <c r="JDO64"/>
      <c r="JDP64"/>
      <c r="JDQ64"/>
      <c r="JDR64"/>
      <c r="JDS64"/>
      <c r="JDT64"/>
      <c r="JDU64"/>
      <c r="JDV64"/>
      <c r="JDW64"/>
      <c r="JDX64"/>
      <c r="JDY64"/>
      <c r="JDZ64"/>
      <c r="JEA64"/>
      <c r="JEB64"/>
      <c r="JEC64"/>
      <c r="JED64"/>
      <c r="JEE64"/>
      <c r="JEF64"/>
      <c r="JEG64"/>
      <c r="JEH64"/>
      <c r="JEI64"/>
      <c r="JEJ64"/>
      <c r="JEK64"/>
      <c r="JEL64"/>
      <c r="JEM64"/>
      <c r="JEN64"/>
      <c r="JEO64"/>
      <c r="JEP64"/>
      <c r="JEQ64"/>
      <c r="JER64"/>
      <c r="JES64"/>
      <c r="JET64"/>
      <c r="JEU64"/>
      <c r="JEV64"/>
      <c r="JEW64"/>
      <c r="JEX64"/>
      <c r="JEY64"/>
      <c r="JEZ64"/>
      <c r="JFA64"/>
      <c r="JFB64"/>
      <c r="JFC64"/>
      <c r="JFD64"/>
      <c r="JFE64"/>
      <c r="JFF64"/>
      <c r="JFG64"/>
      <c r="JFH64"/>
      <c r="JFI64"/>
      <c r="JFJ64"/>
      <c r="JFK64"/>
      <c r="JFL64"/>
      <c r="JFM64"/>
      <c r="JFN64"/>
      <c r="JFO64"/>
      <c r="JFP64"/>
      <c r="JFQ64"/>
      <c r="JFR64"/>
      <c r="JFS64"/>
      <c r="JFT64"/>
      <c r="JFU64"/>
      <c r="JFV64"/>
      <c r="JFW64"/>
      <c r="JFX64"/>
      <c r="JFY64"/>
      <c r="JFZ64"/>
      <c r="JGA64"/>
      <c r="JGB64"/>
      <c r="JGC64"/>
      <c r="JGD64"/>
      <c r="JGE64"/>
      <c r="JGF64"/>
      <c r="JGG64"/>
      <c r="JGH64"/>
      <c r="JGI64"/>
      <c r="JGJ64"/>
      <c r="JGK64"/>
      <c r="JGL64"/>
      <c r="JGM64"/>
      <c r="JGN64"/>
      <c r="JGO64"/>
      <c r="JGP64"/>
      <c r="JGQ64"/>
      <c r="JGR64"/>
      <c r="JGS64"/>
      <c r="JGT64"/>
      <c r="JGU64"/>
      <c r="JGV64"/>
      <c r="JGW64"/>
      <c r="JGX64"/>
      <c r="JGY64"/>
      <c r="JGZ64"/>
      <c r="JHA64"/>
      <c r="JHB64"/>
      <c r="JHC64"/>
      <c r="JHD64"/>
      <c r="JHE64"/>
      <c r="JHF64"/>
      <c r="JHG64"/>
      <c r="JHH64"/>
      <c r="JHI64"/>
      <c r="JHJ64"/>
      <c r="JHK64"/>
      <c r="JHL64"/>
      <c r="JHM64"/>
      <c r="JHN64"/>
      <c r="JHO64"/>
      <c r="JHP64"/>
      <c r="JHQ64"/>
      <c r="JHR64"/>
      <c r="JHS64"/>
      <c r="JHT64"/>
      <c r="JHU64"/>
      <c r="JHV64"/>
      <c r="JHW64"/>
      <c r="JHX64"/>
      <c r="JHY64"/>
      <c r="JHZ64"/>
      <c r="JIA64"/>
      <c r="JIB64"/>
      <c r="JIC64"/>
      <c r="JID64"/>
      <c r="JIE64"/>
      <c r="JIF64"/>
      <c r="JIG64"/>
      <c r="JIH64"/>
      <c r="JII64"/>
      <c r="JIJ64"/>
      <c r="JIK64"/>
      <c r="JIL64"/>
      <c r="JIM64"/>
      <c r="JIN64"/>
      <c r="JIO64"/>
      <c r="JIP64"/>
      <c r="JIQ64"/>
      <c r="JIR64"/>
      <c r="JIS64"/>
      <c r="JIT64"/>
      <c r="JIU64"/>
      <c r="JIV64"/>
      <c r="JIW64"/>
      <c r="JIX64"/>
      <c r="JIY64"/>
      <c r="JIZ64"/>
      <c r="JJA64"/>
      <c r="JJB64"/>
      <c r="JJC64"/>
      <c r="JJD64"/>
      <c r="JJE64"/>
      <c r="JJF64"/>
      <c r="JJG64"/>
      <c r="JJH64"/>
      <c r="JJI64"/>
      <c r="JJJ64"/>
      <c r="JJK64"/>
      <c r="JJL64"/>
      <c r="JJM64"/>
      <c r="JJN64"/>
      <c r="JJO64"/>
      <c r="JJP64"/>
      <c r="JJQ64"/>
      <c r="JJR64"/>
      <c r="JJS64"/>
      <c r="JJT64"/>
      <c r="JJU64"/>
      <c r="JJV64"/>
      <c r="JJW64"/>
      <c r="JJX64"/>
      <c r="JJY64"/>
      <c r="JJZ64"/>
      <c r="JKA64"/>
      <c r="JKB64"/>
      <c r="JKC64"/>
      <c r="JKD64"/>
      <c r="JKE64"/>
      <c r="JKF64"/>
      <c r="JKG64"/>
      <c r="JKH64"/>
      <c r="JKI64"/>
      <c r="JKJ64"/>
      <c r="JKK64"/>
      <c r="JKL64"/>
      <c r="JKM64"/>
      <c r="JKN64"/>
      <c r="JKO64"/>
      <c r="JKP64"/>
      <c r="JKQ64"/>
      <c r="JKR64"/>
      <c r="JKS64"/>
      <c r="JKT64"/>
      <c r="JKU64"/>
      <c r="JKV64"/>
      <c r="JKW64"/>
      <c r="JKX64"/>
      <c r="JKY64"/>
      <c r="JKZ64"/>
      <c r="JLA64"/>
      <c r="JLB64"/>
      <c r="JLC64"/>
      <c r="JLD64"/>
      <c r="JLE64"/>
      <c r="JLF64"/>
      <c r="JLG64"/>
      <c r="JLH64"/>
      <c r="JLI64"/>
      <c r="JLJ64"/>
      <c r="JLK64"/>
      <c r="JLL64"/>
      <c r="JLM64"/>
      <c r="JLN64"/>
      <c r="JLO64"/>
      <c r="JLP64"/>
      <c r="JLQ64"/>
      <c r="JLR64"/>
      <c r="JLS64"/>
      <c r="JLT64"/>
      <c r="JLU64"/>
      <c r="JLV64"/>
      <c r="JLW64"/>
      <c r="JLX64"/>
      <c r="JLY64"/>
      <c r="JLZ64"/>
      <c r="JMA64"/>
      <c r="JMB64"/>
      <c r="JMC64"/>
      <c r="JMD64"/>
      <c r="JME64"/>
      <c r="JMF64"/>
      <c r="JMG64"/>
      <c r="JMH64"/>
      <c r="JMI64"/>
      <c r="JMJ64"/>
      <c r="JMK64"/>
      <c r="JML64"/>
      <c r="JMM64"/>
      <c r="JMN64"/>
      <c r="JMO64"/>
      <c r="JMP64"/>
      <c r="JMQ64"/>
      <c r="JMR64"/>
      <c r="JMS64"/>
      <c r="JMT64"/>
      <c r="JMU64"/>
      <c r="JMV64"/>
      <c r="JMW64"/>
      <c r="JMX64"/>
      <c r="JMY64"/>
      <c r="JMZ64"/>
      <c r="JNA64"/>
      <c r="JNB64"/>
      <c r="JNC64"/>
      <c r="JND64"/>
      <c r="JNE64"/>
      <c r="JNF64"/>
      <c r="JNG64"/>
      <c r="JNH64"/>
      <c r="JNI64"/>
      <c r="JNJ64"/>
      <c r="JNK64"/>
      <c r="JNL64"/>
      <c r="JNM64"/>
      <c r="JNN64"/>
      <c r="JNO64"/>
      <c r="JNP64"/>
      <c r="JNQ64"/>
      <c r="JNR64"/>
      <c r="JNS64"/>
      <c r="JNT64"/>
      <c r="JNU64"/>
      <c r="JNV64"/>
      <c r="JNW64"/>
      <c r="JNX64"/>
      <c r="JNY64"/>
      <c r="JNZ64"/>
      <c r="JOA64"/>
      <c r="JOB64"/>
      <c r="JOC64"/>
      <c r="JOD64"/>
      <c r="JOE64"/>
      <c r="JOF64"/>
      <c r="JOG64"/>
      <c r="JOH64"/>
      <c r="JOI64"/>
      <c r="JOJ64"/>
      <c r="JOK64"/>
      <c r="JOL64"/>
      <c r="JOM64"/>
      <c r="JON64"/>
      <c r="JOO64"/>
      <c r="JOP64"/>
      <c r="JOQ64"/>
      <c r="JOR64"/>
      <c r="JOS64"/>
      <c r="JOT64"/>
      <c r="JOU64"/>
      <c r="JOV64"/>
      <c r="JOW64"/>
      <c r="JOX64"/>
      <c r="JOY64"/>
      <c r="JOZ64"/>
      <c r="JPA64"/>
      <c r="JPB64"/>
      <c r="JPC64"/>
      <c r="JPD64"/>
      <c r="JPE64"/>
      <c r="JPF64"/>
      <c r="JPG64"/>
      <c r="JPH64"/>
      <c r="JPI64"/>
      <c r="JPJ64"/>
      <c r="JPK64"/>
      <c r="JPL64"/>
      <c r="JPM64"/>
      <c r="JPN64"/>
      <c r="JPO64"/>
      <c r="JPP64"/>
      <c r="JPQ64"/>
      <c r="JPR64"/>
      <c r="JPS64"/>
      <c r="JPT64"/>
      <c r="JPU64"/>
      <c r="JPV64"/>
      <c r="JPW64"/>
      <c r="JPX64"/>
      <c r="JPY64"/>
      <c r="JPZ64"/>
      <c r="JQA64"/>
      <c r="JQB64"/>
      <c r="JQC64"/>
      <c r="JQD64"/>
      <c r="JQE64"/>
      <c r="JQF64"/>
      <c r="JQG64"/>
      <c r="JQH64"/>
      <c r="JQI64"/>
      <c r="JQJ64"/>
      <c r="JQK64"/>
      <c r="JQL64"/>
      <c r="JQM64"/>
      <c r="JQN64"/>
      <c r="JQO64"/>
      <c r="JQP64"/>
      <c r="JQQ64"/>
      <c r="JQR64"/>
      <c r="JQS64"/>
      <c r="JQT64"/>
      <c r="JQU64"/>
      <c r="JQV64"/>
      <c r="JQW64"/>
      <c r="JQX64"/>
      <c r="JQY64"/>
      <c r="JQZ64"/>
      <c r="JRA64"/>
      <c r="JRB64"/>
      <c r="JRC64"/>
      <c r="JRD64"/>
      <c r="JRE64"/>
      <c r="JRF64"/>
      <c r="JRG64"/>
      <c r="JRH64"/>
      <c r="JRI64"/>
      <c r="JRJ64"/>
      <c r="JRK64"/>
      <c r="JRL64"/>
      <c r="JRM64"/>
      <c r="JRN64"/>
      <c r="JRO64"/>
      <c r="JRP64"/>
      <c r="JRQ64"/>
      <c r="JRR64"/>
      <c r="JRS64"/>
      <c r="JRT64"/>
      <c r="JRU64"/>
      <c r="JRV64"/>
      <c r="JRW64"/>
      <c r="JRX64"/>
      <c r="JRY64"/>
      <c r="JRZ64"/>
      <c r="JSA64"/>
      <c r="JSB64"/>
      <c r="JSC64"/>
      <c r="JSD64"/>
      <c r="JSE64"/>
      <c r="JSF64"/>
      <c r="JSG64"/>
      <c r="JSH64"/>
      <c r="JSI64"/>
      <c r="JSJ64"/>
      <c r="JSK64"/>
      <c r="JSL64"/>
      <c r="JSM64"/>
      <c r="JSN64"/>
      <c r="JSO64"/>
      <c r="JSP64"/>
      <c r="JSQ64"/>
      <c r="JSR64"/>
      <c r="JSS64"/>
      <c r="JST64"/>
      <c r="JSU64"/>
      <c r="JSV64"/>
      <c r="JSW64"/>
      <c r="JSX64"/>
      <c r="JSY64"/>
      <c r="JSZ64"/>
      <c r="JTA64"/>
      <c r="JTB64"/>
      <c r="JTC64"/>
      <c r="JTD64"/>
      <c r="JTE64"/>
      <c r="JTF64"/>
      <c r="JTG64"/>
      <c r="JTH64"/>
      <c r="JTI64"/>
      <c r="JTJ64"/>
      <c r="JTK64"/>
      <c r="JTL64"/>
      <c r="JTM64"/>
      <c r="JTN64"/>
      <c r="JTO64"/>
      <c r="JTP64"/>
      <c r="JTQ64"/>
      <c r="JTR64"/>
      <c r="JTS64"/>
      <c r="JTT64"/>
      <c r="JTU64"/>
      <c r="JTV64"/>
      <c r="JTW64"/>
      <c r="JTX64"/>
      <c r="JTY64"/>
      <c r="JTZ64"/>
      <c r="JUA64"/>
      <c r="JUB64"/>
      <c r="JUC64"/>
      <c r="JUD64"/>
      <c r="JUE64"/>
      <c r="JUF64"/>
      <c r="JUG64"/>
      <c r="JUH64"/>
      <c r="JUI64"/>
      <c r="JUJ64"/>
      <c r="JUK64"/>
      <c r="JUL64"/>
      <c r="JUM64"/>
      <c r="JUN64"/>
      <c r="JUO64"/>
      <c r="JUP64"/>
      <c r="JUQ64"/>
      <c r="JUR64"/>
      <c r="JUS64"/>
      <c r="JUT64"/>
      <c r="JUU64"/>
      <c r="JUV64"/>
      <c r="JUW64"/>
      <c r="JUX64"/>
      <c r="JUY64"/>
      <c r="JUZ64"/>
      <c r="JVA64"/>
      <c r="JVB64"/>
      <c r="JVC64"/>
      <c r="JVD64"/>
      <c r="JVE64"/>
      <c r="JVF64"/>
      <c r="JVG64"/>
      <c r="JVH64"/>
      <c r="JVI64"/>
      <c r="JVJ64"/>
      <c r="JVK64"/>
      <c r="JVL64"/>
      <c r="JVM64"/>
      <c r="JVN64"/>
      <c r="JVO64"/>
      <c r="JVP64"/>
      <c r="JVQ64"/>
      <c r="JVR64"/>
      <c r="JVS64"/>
      <c r="JVT64"/>
      <c r="JVU64"/>
      <c r="JVV64"/>
      <c r="JVW64"/>
      <c r="JVX64"/>
      <c r="JVY64"/>
      <c r="JVZ64"/>
      <c r="JWA64"/>
      <c r="JWB64"/>
      <c r="JWC64"/>
      <c r="JWD64"/>
      <c r="JWE64"/>
      <c r="JWF64"/>
      <c r="JWG64"/>
      <c r="JWH64"/>
      <c r="JWI64"/>
      <c r="JWJ64"/>
      <c r="JWK64"/>
      <c r="JWL64"/>
      <c r="JWM64"/>
      <c r="JWN64"/>
      <c r="JWO64"/>
      <c r="JWP64"/>
      <c r="JWQ64"/>
      <c r="JWR64"/>
      <c r="JWS64"/>
      <c r="JWT64"/>
      <c r="JWU64"/>
      <c r="JWV64"/>
      <c r="JWW64"/>
      <c r="JWX64"/>
      <c r="JWY64"/>
      <c r="JWZ64"/>
      <c r="JXA64"/>
      <c r="JXB64"/>
      <c r="JXC64"/>
      <c r="JXD64"/>
      <c r="JXE64"/>
      <c r="JXF64"/>
      <c r="JXG64"/>
      <c r="JXH64"/>
      <c r="JXI64"/>
      <c r="JXJ64"/>
      <c r="JXK64"/>
      <c r="JXL64"/>
      <c r="JXM64"/>
      <c r="JXN64"/>
      <c r="JXO64"/>
      <c r="JXP64"/>
      <c r="JXQ64"/>
      <c r="JXR64"/>
      <c r="JXS64"/>
      <c r="JXT64"/>
      <c r="JXU64"/>
      <c r="JXV64"/>
      <c r="JXW64"/>
      <c r="JXX64"/>
      <c r="JXY64"/>
      <c r="JXZ64"/>
      <c r="JYA64"/>
      <c r="JYB64"/>
      <c r="JYC64"/>
      <c r="JYD64"/>
      <c r="JYE64"/>
      <c r="JYF64"/>
      <c r="JYG64"/>
      <c r="JYH64"/>
      <c r="JYI64"/>
      <c r="JYJ64"/>
      <c r="JYK64"/>
      <c r="JYL64"/>
      <c r="JYM64"/>
      <c r="JYN64"/>
      <c r="JYO64"/>
      <c r="JYP64"/>
      <c r="JYQ64"/>
      <c r="JYR64"/>
      <c r="JYS64"/>
      <c r="JYT64"/>
      <c r="JYU64"/>
      <c r="JYV64"/>
      <c r="JYW64"/>
      <c r="JYX64"/>
      <c r="JYY64"/>
      <c r="JYZ64"/>
      <c r="JZA64"/>
      <c r="JZB64"/>
      <c r="JZC64"/>
      <c r="JZD64"/>
      <c r="JZE64"/>
      <c r="JZF64"/>
      <c r="JZG64"/>
      <c r="JZH64"/>
      <c r="JZI64"/>
      <c r="JZJ64"/>
      <c r="JZK64"/>
      <c r="JZL64"/>
      <c r="JZM64"/>
      <c r="JZN64"/>
      <c r="JZO64"/>
      <c r="JZP64"/>
      <c r="JZQ64"/>
      <c r="JZR64"/>
      <c r="JZS64"/>
      <c r="JZT64"/>
      <c r="JZU64"/>
      <c r="JZV64"/>
      <c r="JZW64"/>
      <c r="JZX64"/>
      <c r="JZY64"/>
      <c r="JZZ64"/>
      <c r="KAA64"/>
      <c r="KAB64"/>
      <c r="KAC64"/>
      <c r="KAD64"/>
      <c r="KAE64"/>
      <c r="KAF64"/>
      <c r="KAG64"/>
      <c r="KAH64"/>
      <c r="KAI64"/>
      <c r="KAJ64"/>
      <c r="KAK64"/>
      <c r="KAL64"/>
      <c r="KAM64"/>
      <c r="KAN64"/>
      <c r="KAO64"/>
      <c r="KAP64"/>
      <c r="KAQ64"/>
      <c r="KAR64"/>
      <c r="KAS64"/>
      <c r="KAT64"/>
      <c r="KAU64"/>
      <c r="KAV64"/>
      <c r="KAW64"/>
      <c r="KAX64"/>
      <c r="KAY64"/>
      <c r="KAZ64"/>
      <c r="KBA64"/>
      <c r="KBB64"/>
      <c r="KBC64"/>
      <c r="KBD64"/>
      <c r="KBE64"/>
      <c r="KBF64"/>
      <c r="KBG64"/>
      <c r="KBH64"/>
      <c r="KBI64"/>
      <c r="KBJ64"/>
      <c r="KBK64"/>
      <c r="KBL64"/>
      <c r="KBM64"/>
      <c r="KBN64"/>
      <c r="KBO64"/>
      <c r="KBP64"/>
      <c r="KBQ64"/>
      <c r="KBR64"/>
      <c r="KBS64"/>
      <c r="KBT64"/>
      <c r="KBU64"/>
      <c r="KBV64"/>
      <c r="KBW64"/>
      <c r="KBX64"/>
      <c r="KBY64"/>
      <c r="KBZ64"/>
      <c r="KCA64"/>
      <c r="KCB64"/>
      <c r="KCC64"/>
      <c r="KCD64"/>
      <c r="KCE64"/>
      <c r="KCF64"/>
      <c r="KCG64"/>
      <c r="KCH64"/>
      <c r="KCI64"/>
      <c r="KCJ64"/>
      <c r="KCK64"/>
      <c r="KCL64"/>
      <c r="KCM64"/>
      <c r="KCN64"/>
      <c r="KCO64"/>
      <c r="KCP64"/>
      <c r="KCQ64"/>
      <c r="KCR64"/>
      <c r="KCS64"/>
      <c r="KCT64"/>
      <c r="KCU64"/>
      <c r="KCV64"/>
      <c r="KCW64"/>
      <c r="KCX64"/>
      <c r="KCY64"/>
      <c r="KCZ64"/>
      <c r="KDA64"/>
      <c r="KDB64"/>
      <c r="KDC64"/>
      <c r="KDD64"/>
      <c r="KDE64"/>
      <c r="KDF64"/>
      <c r="KDG64"/>
      <c r="KDH64"/>
      <c r="KDI64"/>
      <c r="KDJ64"/>
      <c r="KDK64"/>
      <c r="KDL64"/>
      <c r="KDM64"/>
      <c r="KDN64"/>
      <c r="KDO64"/>
      <c r="KDP64"/>
      <c r="KDQ64"/>
      <c r="KDR64"/>
      <c r="KDS64"/>
      <c r="KDT64"/>
      <c r="KDU64"/>
      <c r="KDV64"/>
      <c r="KDW64"/>
      <c r="KDX64"/>
      <c r="KDY64"/>
      <c r="KDZ64"/>
      <c r="KEA64"/>
      <c r="KEB64"/>
      <c r="KEC64"/>
      <c r="KED64"/>
      <c r="KEE64"/>
      <c r="KEF64"/>
      <c r="KEG64"/>
      <c r="KEH64"/>
      <c r="KEI64"/>
      <c r="KEJ64"/>
      <c r="KEK64"/>
      <c r="KEL64"/>
      <c r="KEM64"/>
      <c r="KEN64"/>
      <c r="KEO64"/>
      <c r="KEP64"/>
      <c r="KEQ64"/>
      <c r="KER64"/>
      <c r="KES64"/>
      <c r="KET64"/>
      <c r="KEU64"/>
      <c r="KEV64"/>
      <c r="KEW64"/>
      <c r="KEX64"/>
      <c r="KEY64"/>
      <c r="KEZ64"/>
      <c r="KFA64"/>
      <c r="KFB64"/>
      <c r="KFC64"/>
      <c r="KFD64"/>
      <c r="KFE64"/>
      <c r="KFF64"/>
      <c r="KFG64"/>
      <c r="KFH64"/>
      <c r="KFI64"/>
      <c r="KFJ64"/>
      <c r="KFK64"/>
      <c r="KFL64"/>
      <c r="KFM64"/>
      <c r="KFN64"/>
      <c r="KFO64"/>
      <c r="KFP64"/>
      <c r="KFQ64"/>
      <c r="KFR64"/>
      <c r="KFS64"/>
      <c r="KFT64"/>
      <c r="KFU64"/>
      <c r="KFV64"/>
      <c r="KFW64"/>
      <c r="KFX64"/>
      <c r="KFY64"/>
      <c r="KFZ64"/>
      <c r="KGA64"/>
      <c r="KGB64"/>
      <c r="KGC64"/>
      <c r="KGD64"/>
      <c r="KGE64"/>
      <c r="KGF64"/>
      <c r="KGG64"/>
      <c r="KGH64"/>
      <c r="KGI64"/>
      <c r="KGJ64"/>
      <c r="KGK64"/>
      <c r="KGL64"/>
      <c r="KGM64"/>
      <c r="KGN64"/>
      <c r="KGO64"/>
      <c r="KGP64"/>
      <c r="KGQ64"/>
      <c r="KGR64"/>
      <c r="KGS64"/>
      <c r="KGT64"/>
      <c r="KGU64"/>
      <c r="KGV64"/>
      <c r="KGW64"/>
      <c r="KGX64"/>
      <c r="KGY64"/>
      <c r="KGZ64"/>
      <c r="KHA64"/>
      <c r="KHB64"/>
      <c r="KHC64"/>
      <c r="KHD64"/>
      <c r="KHE64"/>
      <c r="KHF64"/>
      <c r="KHG64"/>
      <c r="KHH64"/>
      <c r="KHI64"/>
      <c r="KHJ64"/>
      <c r="KHK64"/>
      <c r="KHL64"/>
      <c r="KHM64"/>
      <c r="KHN64"/>
      <c r="KHO64"/>
      <c r="KHP64"/>
      <c r="KHQ64"/>
      <c r="KHR64"/>
      <c r="KHS64"/>
      <c r="KHT64"/>
      <c r="KHU64"/>
      <c r="KHV64"/>
      <c r="KHW64"/>
      <c r="KHX64"/>
      <c r="KHY64"/>
      <c r="KHZ64"/>
      <c r="KIA64"/>
      <c r="KIB64"/>
      <c r="KIC64"/>
      <c r="KID64"/>
      <c r="KIE64"/>
      <c r="KIF64"/>
      <c r="KIG64"/>
      <c r="KIH64"/>
      <c r="KII64"/>
      <c r="KIJ64"/>
      <c r="KIK64"/>
      <c r="KIL64"/>
      <c r="KIM64"/>
      <c r="KIN64"/>
      <c r="KIO64"/>
      <c r="KIP64"/>
      <c r="KIQ64"/>
      <c r="KIR64"/>
      <c r="KIS64"/>
      <c r="KIT64"/>
      <c r="KIU64"/>
      <c r="KIV64"/>
      <c r="KIW64"/>
      <c r="KIX64"/>
      <c r="KIY64"/>
      <c r="KIZ64"/>
      <c r="KJA64"/>
      <c r="KJB64"/>
      <c r="KJC64"/>
      <c r="KJD64"/>
      <c r="KJE64"/>
      <c r="KJF64"/>
      <c r="KJG64"/>
      <c r="KJH64"/>
      <c r="KJI64"/>
      <c r="KJJ64"/>
      <c r="KJK64"/>
      <c r="KJL64"/>
      <c r="KJM64"/>
      <c r="KJN64"/>
      <c r="KJO64"/>
      <c r="KJP64"/>
      <c r="KJQ64"/>
      <c r="KJR64"/>
      <c r="KJS64"/>
      <c r="KJT64"/>
      <c r="KJU64"/>
      <c r="KJV64"/>
      <c r="KJW64"/>
      <c r="KJX64"/>
      <c r="KJY64"/>
      <c r="KJZ64"/>
      <c r="KKA64"/>
      <c r="KKB64"/>
      <c r="KKC64"/>
      <c r="KKD64"/>
      <c r="KKE64"/>
      <c r="KKF64"/>
      <c r="KKG64"/>
      <c r="KKH64"/>
      <c r="KKI64"/>
      <c r="KKJ64"/>
      <c r="KKK64"/>
      <c r="KKL64"/>
      <c r="KKM64"/>
      <c r="KKN64"/>
      <c r="KKO64"/>
      <c r="KKP64"/>
      <c r="KKQ64"/>
      <c r="KKR64"/>
      <c r="KKS64"/>
      <c r="KKT64"/>
      <c r="KKU64"/>
      <c r="KKV64"/>
      <c r="KKW64"/>
      <c r="KKX64"/>
      <c r="KKY64"/>
      <c r="KKZ64"/>
      <c r="KLA64"/>
      <c r="KLB64"/>
      <c r="KLC64"/>
      <c r="KLD64"/>
      <c r="KLE64"/>
      <c r="KLF64"/>
      <c r="KLG64"/>
      <c r="KLH64"/>
      <c r="KLI64"/>
      <c r="KLJ64"/>
      <c r="KLK64"/>
      <c r="KLL64"/>
      <c r="KLM64"/>
      <c r="KLN64"/>
      <c r="KLO64"/>
      <c r="KLP64"/>
      <c r="KLQ64"/>
      <c r="KLR64"/>
      <c r="KLS64"/>
      <c r="KLT64"/>
      <c r="KLU64"/>
      <c r="KLV64"/>
      <c r="KLW64"/>
      <c r="KLX64"/>
      <c r="KLY64"/>
      <c r="KLZ64"/>
      <c r="KMA64"/>
      <c r="KMB64"/>
      <c r="KMC64"/>
      <c r="KMD64"/>
      <c r="KME64"/>
      <c r="KMF64"/>
      <c r="KMG64"/>
      <c r="KMH64"/>
      <c r="KMI64"/>
      <c r="KMJ64"/>
      <c r="KMK64"/>
      <c r="KML64"/>
      <c r="KMM64"/>
      <c r="KMN64"/>
      <c r="KMO64"/>
      <c r="KMP64"/>
      <c r="KMQ64"/>
      <c r="KMR64"/>
      <c r="KMS64"/>
      <c r="KMT64"/>
      <c r="KMU64"/>
      <c r="KMV64"/>
      <c r="KMW64"/>
      <c r="KMX64"/>
      <c r="KMY64"/>
      <c r="KMZ64"/>
      <c r="KNA64"/>
      <c r="KNB64"/>
      <c r="KNC64"/>
      <c r="KND64"/>
      <c r="KNE64"/>
      <c r="KNF64"/>
      <c r="KNG64"/>
      <c r="KNH64"/>
      <c r="KNI64"/>
      <c r="KNJ64"/>
      <c r="KNK64"/>
      <c r="KNL64"/>
      <c r="KNM64"/>
      <c r="KNN64"/>
      <c r="KNO64"/>
      <c r="KNP64"/>
      <c r="KNQ64"/>
      <c r="KNR64"/>
      <c r="KNS64"/>
      <c r="KNT64"/>
      <c r="KNU64"/>
      <c r="KNV64"/>
      <c r="KNW64"/>
      <c r="KNX64"/>
      <c r="KNY64"/>
      <c r="KNZ64"/>
      <c r="KOA64"/>
      <c r="KOB64"/>
      <c r="KOC64"/>
      <c r="KOD64"/>
      <c r="KOE64"/>
      <c r="KOF64"/>
      <c r="KOG64"/>
      <c r="KOH64"/>
      <c r="KOI64"/>
      <c r="KOJ64"/>
      <c r="KOK64"/>
      <c r="KOL64"/>
      <c r="KOM64"/>
      <c r="KON64"/>
      <c r="KOO64"/>
      <c r="KOP64"/>
      <c r="KOQ64"/>
      <c r="KOR64"/>
      <c r="KOS64"/>
      <c r="KOT64"/>
      <c r="KOU64"/>
      <c r="KOV64"/>
      <c r="KOW64"/>
      <c r="KOX64"/>
      <c r="KOY64"/>
      <c r="KOZ64"/>
      <c r="KPA64"/>
      <c r="KPB64"/>
      <c r="KPC64"/>
      <c r="KPD64"/>
      <c r="KPE64"/>
      <c r="KPF64"/>
      <c r="KPG64"/>
      <c r="KPH64"/>
      <c r="KPI64"/>
      <c r="KPJ64"/>
      <c r="KPK64"/>
      <c r="KPL64"/>
      <c r="KPM64"/>
      <c r="KPN64"/>
      <c r="KPO64"/>
      <c r="KPP64"/>
      <c r="KPQ64"/>
      <c r="KPR64"/>
      <c r="KPS64"/>
      <c r="KPT64"/>
      <c r="KPU64"/>
      <c r="KPV64"/>
      <c r="KPW64"/>
      <c r="KPX64"/>
      <c r="KPY64"/>
      <c r="KPZ64"/>
      <c r="KQA64"/>
      <c r="KQB64"/>
      <c r="KQC64"/>
      <c r="KQD64"/>
      <c r="KQE64"/>
      <c r="KQF64"/>
      <c r="KQG64"/>
      <c r="KQH64"/>
      <c r="KQI64"/>
      <c r="KQJ64"/>
      <c r="KQK64"/>
      <c r="KQL64"/>
      <c r="KQM64"/>
      <c r="KQN64"/>
      <c r="KQO64"/>
      <c r="KQP64"/>
      <c r="KQQ64"/>
      <c r="KQR64"/>
      <c r="KQS64"/>
      <c r="KQT64"/>
      <c r="KQU64"/>
      <c r="KQV64"/>
      <c r="KQW64"/>
      <c r="KQX64"/>
      <c r="KQY64"/>
      <c r="KQZ64"/>
      <c r="KRA64"/>
      <c r="KRB64"/>
      <c r="KRC64"/>
      <c r="KRD64"/>
      <c r="KRE64"/>
      <c r="KRF64"/>
      <c r="KRG64"/>
      <c r="KRH64"/>
      <c r="KRI64"/>
      <c r="KRJ64"/>
      <c r="KRK64"/>
      <c r="KRL64"/>
      <c r="KRM64"/>
      <c r="KRN64"/>
      <c r="KRO64"/>
      <c r="KRP64"/>
      <c r="KRQ64"/>
      <c r="KRR64"/>
      <c r="KRS64"/>
      <c r="KRT64"/>
      <c r="KRU64"/>
      <c r="KRV64"/>
      <c r="KRW64"/>
      <c r="KRX64"/>
      <c r="KRY64"/>
      <c r="KRZ64"/>
      <c r="KSA64"/>
      <c r="KSB64"/>
      <c r="KSC64"/>
      <c r="KSD64"/>
      <c r="KSE64"/>
      <c r="KSF64"/>
      <c r="KSG64"/>
      <c r="KSH64"/>
      <c r="KSI64"/>
      <c r="KSJ64"/>
      <c r="KSK64"/>
      <c r="KSL64"/>
      <c r="KSM64"/>
      <c r="KSN64"/>
      <c r="KSO64"/>
      <c r="KSP64"/>
      <c r="KSQ64"/>
      <c r="KSR64"/>
      <c r="KSS64"/>
      <c r="KST64"/>
      <c r="KSU64"/>
      <c r="KSV64"/>
      <c r="KSW64"/>
      <c r="KSX64"/>
      <c r="KSY64"/>
      <c r="KSZ64"/>
      <c r="KTA64"/>
      <c r="KTB64"/>
      <c r="KTC64"/>
      <c r="KTD64"/>
      <c r="KTE64"/>
      <c r="KTF64"/>
      <c r="KTG64"/>
      <c r="KTH64"/>
      <c r="KTI64"/>
      <c r="KTJ64"/>
      <c r="KTK64"/>
      <c r="KTL64"/>
      <c r="KTM64"/>
      <c r="KTN64"/>
      <c r="KTO64"/>
      <c r="KTP64"/>
      <c r="KTQ64"/>
      <c r="KTR64"/>
      <c r="KTS64"/>
      <c r="KTT64"/>
      <c r="KTU64"/>
      <c r="KTV64"/>
      <c r="KTW64"/>
      <c r="KTX64"/>
      <c r="KTY64"/>
      <c r="KTZ64"/>
      <c r="KUA64"/>
      <c r="KUB64"/>
      <c r="KUC64"/>
      <c r="KUD64"/>
      <c r="KUE64"/>
      <c r="KUF64"/>
      <c r="KUG64"/>
      <c r="KUH64"/>
      <c r="KUI64"/>
      <c r="KUJ64"/>
      <c r="KUK64"/>
      <c r="KUL64"/>
      <c r="KUM64"/>
      <c r="KUN64"/>
      <c r="KUO64"/>
      <c r="KUP64"/>
      <c r="KUQ64"/>
      <c r="KUR64"/>
      <c r="KUS64"/>
      <c r="KUT64"/>
      <c r="KUU64"/>
      <c r="KUV64"/>
      <c r="KUW64"/>
      <c r="KUX64"/>
      <c r="KUY64"/>
      <c r="KUZ64"/>
      <c r="KVA64"/>
      <c r="KVB64"/>
      <c r="KVC64"/>
      <c r="KVD64"/>
      <c r="KVE64"/>
      <c r="KVF64"/>
      <c r="KVG64"/>
      <c r="KVH64"/>
      <c r="KVI64"/>
      <c r="KVJ64"/>
      <c r="KVK64"/>
      <c r="KVL64"/>
      <c r="KVM64"/>
      <c r="KVN64"/>
      <c r="KVO64"/>
      <c r="KVP64"/>
      <c r="KVQ64"/>
      <c r="KVR64"/>
      <c r="KVS64"/>
      <c r="KVT64"/>
      <c r="KVU64"/>
      <c r="KVV64"/>
      <c r="KVW64"/>
      <c r="KVX64"/>
      <c r="KVY64"/>
      <c r="KVZ64"/>
      <c r="KWA64"/>
      <c r="KWB64"/>
      <c r="KWC64"/>
      <c r="KWD64"/>
      <c r="KWE64"/>
      <c r="KWF64"/>
      <c r="KWG64"/>
      <c r="KWH64"/>
      <c r="KWI64"/>
      <c r="KWJ64"/>
      <c r="KWK64"/>
      <c r="KWL64"/>
      <c r="KWM64"/>
      <c r="KWN64"/>
      <c r="KWO64"/>
      <c r="KWP64"/>
      <c r="KWQ64"/>
      <c r="KWR64"/>
      <c r="KWS64"/>
      <c r="KWT64"/>
      <c r="KWU64"/>
      <c r="KWV64"/>
      <c r="KWW64"/>
      <c r="KWX64"/>
      <c r="KWY64"/>
      <c r="KWZ64"/>
      <c r="KXA64"/>
      <c r="KXB64"/>
      <c r="KXC64"/>
      <c r="KXD64"/>
      <c r="KXE64"/>
      <c r="KXF64"/>
      <c r="KXG64"/>
      <c r="KXH64"/>
      <c r="KXI64"/>
      <c r="KXJ64"/>
      <c r="KXK64"/>
      <c r="KXL64"/>
      <c r="KXM64"/>
      <c r="KXN64"/>
      <c r="KXO64"/>
      <c r="KXP64"/>
      <c r="KXQ64"/>
      <c r="KXR64"/>
      <c r="KXS64"/>
      <c r="KXT64"/>
      <c r="KXU64"/>
      <c r="KXV64"/>
      <c r="KXW64"/>
      <c r="KXX64"/>
      <c r="KXY64"/>
      <c r="KXZ64"/>
      <c r="KYA64"/>
      <c r="KYB64"/>
      <c r="KYC64"/>
      <c r="KYD64"/>
      <c r="KYE64"/>
      <c r="KYF64"/>
      <c r="KYG64"/>
      <c r="KYH64"/>
      <c r="KYI64"/>
      <c r="KYJ64"/>
      <c r="KYK64"/>
      <c r="KYL64"/>
      <c r="KYM64"/>
      <c r="KYN64"/>
      <c r="KYO64"/>
      <c r="KYP64"/>
      <c r="KYQ64"/>
      <c r="KYR64"/>
      <c r="KYS64"/>
      <c r="KYT64"/>
      <c r="KYU64"/>
      <c r="KYV64"/>
      <c r="KYW64"/>
      <c r="KYX64"/>
      <c r="KYY64"/>
      <c r="KYZ64"/>
      <c r="KZA64"/>
      <c r="KZB64"/>
      <c r="KZC64"/>
      <c r="KZD64"/>
      <c r="KZE64"/>
      <c r="KZF64"/>
      <c r="KZG64"/>
      <c r="KZH64"/>
      <c r="KZI64"/>
      <c r="KZJ64"/>
      <c r="KZK64"/>
      <c r="KZL64"/>
      <c r="KZM64"/>
      <c r="KZN64"/>
      <c r="KZO64"/>
      <c r="KZP64"/>
      <c r="KZQ64"/>
      <c r="KZR64"/>
      <c r="KZS64"/>
      <c r="KZT64"/>
      <c r="KZU64"/>
      <c r="KZV64"/>
      <c r="KZW64"/>
      <c r="KZX64"/>
      <c r="KZY64"/>
      <c r="KZZ64"/>
      <c r="LAA64"/>
      <c r="LAB64"/>
      <c r="LAC64"/>
      <c r="LAD64"/>
      <c r="LAE64"/>
      <c r="LAF64"/>
      <c r="LAG64"/>
      <c r="LAH64"/>
      <c r="LAI64"/>
      <c r="LAJ64"/>
      <c r="LAK64"/>
      <c r="LAL64"/>
      <c r="LAM64"/>
      <c r="LAN64"/>
      <c r="LAO64"/>
      <c r="LAP64"/>
      <c r="LAQ64"/>
      <c r="LAR64"/>
      <c r="LAS64"/>
      <c r="LAT64"/>
      <c r="LAU64"/>
      <c r="LAV64"/>
      <c r="LAW64"/>
      <c r="LAX64"/>
      <c r="LAY64"/>
      <c r="LAZ64"/>
      <c r="LBA64"/>
      <c r="LBB64"/>
      <c r="LBC64"/>
      <c r="LBD64"/>
      <c r="LBE64"/>
      <c r="LBF64"/>
      <c r="LBG64"/>
      <c r="LBH64"/>
      <c r="LBI64"/>
      <c r="LBJ64"/>
      <c r="LBK64"/>
      <c r="LBL64"/>
      <c r="LBM64"/>
      <c r="LBN64"/>
      <c r="LBO64"/>
      <c r="LBP64"/>
      <c r="LBQ64"/>
      <c r="LBR64"/>
      <c r="LBS64"/>
      <c r="LBT64"/>
      <c r="LBU64"/>
      <c r="LBV64"/>
      <c r="LBW64"/>
      <c r="LBX64"/>
      <c r="LBY64"/>
      <c r="LBZ64"/>
      <c r="LCA64"/>
      <c r="LCB64"/>
      <c r="LCC64"/>
      <c r="LCD64"/>
      <c r="LCE64"/>
      <c r="LCF64"/>
      <c r="LCG64"/>
      <c r="LCH64"/>
      <c r="LCI64"/>
      <c r="LCJ64"/>
      <c r="LCK64"/>
      <c r="LCL64"/>
      <c r="LCM64"/>
      <c r="LCN64"/>
      <c r="LCO64"/>
      <c r="LCP64"/>
      <c r="LCQ64"/>
      <c r="LCR64"/>
      <c r="LCS64"/>
      <c r="LCT64"/>
      <c r="LCU64"/>
      <c r="LCV64"/>
      <c r="LCW64"/>
      <c r="LCX64"/>
      <c r="LCY64"/>
      <c r="LCZ64"/>
      <c r="LDA64"/>
      <c r="LDB64"/>
      <c r="LDC64"/>
      <c r="LDD64"/>
      <c r="LDE64"/>
      <c r="LDF64"/>
      <c r="LDG64"/>
      <c r="LDH64"/>
      <c r="LDI64"/>
      <c r="LDJ64"/>
      <c r="LDK64"/>
      <c r="LDL64"/>
      <c r="LDM64"/>
      <c r="LDN64"/>
      <c r="LDO64"/>
      <c r="LDP64"/>
      <c r="LDQ64"/>
      <c r="LDR64"/>
      <c r="LDS64"/>
      <c r="LDT64"/>
      <c r="LDU64"/>
      <c r="LDV64"/>
      <c r="LDW64"/>
      <c r="LDX64"/>
      <c r="LDY64"/>
      <c r="LDZ64"/>
      <c r="LEA64"/>
      <c r="LEB64"/>
      <c r="LEC64"/>
      <c r="LED64"/>
      <c r="LEE64"/>
      <c r="LEF64"/>
      <c r="LEG64"/>
      <c r="LEH64"/>
      <c r="LEI64"/>
      <c r="LEJ64"/>
      <c r="LEK64"/>
      <c r="LEL64"/>
      <c r="LEM64"/>
      <c r="LEN64"/>
      <c r="LEO64"/>
      <c r="LEP64"/>
      <c r="LEQ64"/>
      <c r="LER64"/>
      <c r="LES64"/>
      <c r="LET64"/>
      <c r="LEU64"/>
      <c r="LEV64"/>
      <c r="LEW64"/>
      <c r="LEX64"/>
      <c r="LEY64"/>
      <c r="LEZ64"/>
      <c r="LFA64"/>
      <c r="LFB64"/>
      <c r="LFC64"/>
      <c r="LFD64"/>
      <c r="LFE64"/>
      <c r="LFF64"/>
      <c r="LFG64"/>
      <c r="LFH64"/>
      <c r="LFI64"/>
      <c r="LFJ64"/>
      <c r="LFK64"/>
      <c r="LFL64"/>
      <c r="LFM64"/>
      <c r="LFN64"/>
      <c r="LFO64"/>
      <c r="LFP64"/>
      <c r="LFQ64"/>
      <c r="LFR64"/>
      <c r="LFS64"/>
      <c r="LFT64"/>
      <c r="LFU64"/>
      <c r="LFV64"/>
      <c r="LFW64"/>
      <c r="LFX64"/>
      <c r="LFY64"/>
      <c r="LFZ64"/>
      <c r="LGA64"/>
      <c r="LGB64"/>
      <c r="LGC64"/>
      <c r="LGD64"/>
      <c r="LGE64"/>
      <c r="LGF64"/>
      <c r="LGG64"/>
      <c r="LGH64"/>
      <c r="LGI64"/>
      <c r="LGJ64"/>
      <c r="LGK64"/>
      <c r="LGL64"/>
      <c r="LGM64"/>
      <c r="LGN64"/>
      <c r="LGO64"/>
      <c r="LGP64"/>
      <c r="LGQ64"/>
      <c r="LGR64"/>
      <c r="LGS64"/>
      <c r="LGT64"/>
      <c r="LGU64"/>
      <c r="LGV64"/>
      <c r="LGW64"/>
      <c r="LGX64"/>
      <c r="LGY64"/>
      <c r="LGZ64"/>
      <c r="LHA64"/>
      <c r="LHB64"/>
      <c r="LHC64"/>
      <c r="LHD64"/>
      <c r="LHE64"/>
      <c r="LHF64"/>
      <c r="LHG64"/>
      <c r="LHH64"/>
      <c r="LHI64"/>
      <c r="LHJ64"/>
      <c r="LHK64"/>
      <c r="LHL64"/>
      <c r="LHM64"/>
      <c r="LHN64"/>
      <c r="LHO64"/>
      <c r="LHP64"/>
      <c r="LHQ64"/>
      <c r="LHR64"/>
      <c r="LHS64"/>
      <c r="LHT64"/>
      <c r="LHU64"/>
      <c r="LHV64"/>
      <c r="LHW64"/>
      <c r="LHX64"/>
      <c r="LHY64"/>
      <c r="LHZ64"/>
      <c r="LIA64"/>
      <c r="LIB64"/>
      <c r="LIC64"/>
      <c r="LID64"/>
      <c r="LIE64"/>
      <c r="LIF64"/>
      <c r="LIG64"/>
      <c r="LIH64"/>
      <c r="LII64"/>
      <c r="LIJ64"/>
      <c r="LIK64"/>
      <c r="LIL64"/>
      <c r="LIM64"/>
      <c r="LIN64"/>
      <c r="LIO64"/>
      <c r="LIP64"/>
      <c r="LIQ64"/>
      <c r="LIR64"/>
      <c r="LIS64"/>
      <c r="LIT64"/>
      <c r="LIU64"/>
      <c r="LIV64"/>
      <c r="LIW64"/>
      <c r="LIX64"/>
      <c r="LIY64"/>
      <c r="LIZ64"/>
      <c r="LJA64"/>
      <c r="LJB64"/>
      <c r="LJC64"/>
      <c r="LJD64"/>
      <c r="LJE64"/>
      <c r="LJF64"/>
      <c r="LJG64"/>
      <c r="LJH64"/>
      <c r="LJI64"/>
      <c r="LJJ64"/>
      <c r="LJK64"/>
      <c r="LJL64"/>
      <c r="LJM64"/>
      <c r="LJN64"/>
      <c r="LJO64"/>
      <c r="LJP64"/>
      <c r="LJQ64"/>
      <c r="LJR64"/>
      <c r="LJS64"/>
      <c r="LJT64"/>
      <c r="LJU64"/>
      <c r="LJV64"/>
      <c r="LJW64"/>
      <c r="LJX64"/>
      <c r="LJY64"/>
      <c r="LJZ64"/>
      <c r="LKA64"/>
      <c r="LKB64"/>
      <c r="LKC64"/>
      <c r="LKD64"/>
      <c r="LKE64"/>
      <c r="LKF64"/>
      <c r="LKG64"/>
      <c r="LKH64"/>
      <c r="LKI64"/>
      <c r="LKJ64"/>
      <c r="LKK64"/>
      <c r="LKL64"/>
      <c r="LKM64"/>
      <c r="LKN64"/>
      <c r="LKO64"/>
      <c r="LKP64"/>
      <c r="LKQ64"/>
      <c r="LKR64"/>
      <c r="LKS64"/>
      <c r="LKT64"/>
      <c r="LKU64"/>
      <c r="LKV64"/>
      <c r="LKW64"/>
      <c r="LKX64"/>
      <c r="LKY64"/>
      <c r="LKZ64"/>
      <c r="LLA64"/>
      <c r="LLB64"/>
      <c r="LLC64"/>
      <c r="LLD64"/>
      <c r="LLE64"/>
      <c r="LLF64"/>
      <c r="LLG64"/>
      <c r="LLH64"/>
      <c r="LLI64"/>
      <c r="LLJ64"/>
      <c r="LLK64"/>
      <c r="LLL64"/>
      <c r="LLM64"/>
      <c r="LLN64"/>
      <c r="LLO64"/>
      <c r="LLP64"/>
      <c r="LLQ64"/>
      <c r="LLR64"/>
      <c r="LLS64"/>
      <c r="LLT64"/>
      <c r="LLU64"/>
      <c r="LLV64"/>
      <c r="LLW64"/>
      <c r="LLX64"/>
      <c r="LLY64"/>
      <c r="LLZ64"/>
      <c r="LMA64"/>
      <c r="LMB64"/>
      <c r="LMC64"/>
      <c r="LMD64"/>
      <c r="LME64"/>
      <c r="LMF64"/>
      <c r="LMG64"/>
      <c r="LMH64"/>
      <c r="LMI64"/>
      <c r="LMJ64"/>
      <c r="LMK64"/>
      <c r="LML64"/>
      <c r="LMM64"/>
      <c r="LMN64"/>
      <c r="LMO64"/>
      <c r="LMP64"/>
      <c r="LMQ64"/>
      <c r="LMR64"/>
      <c r="LMS64"/>
      <c r="LMT64"/>
      <c r="LMU64"/>
      <c r="LMV64"/>
      <c r="LMW64"/>
      <c r="LMX64"/>
      <c r="LMY64"/>
      <c r="LMZ64"/>
      <c r="LNA64"/>
      <c r="LNB64"/>
      <c r="LNC64"/>
      <c r="LND64"/>
      <c r="LNE64"/>
      <c r="LNF64"/>
      <c r="LNG64"/>
      <c r="LNH64"/>
      <c r="LNI64"/>
      <c r="LNJ64"/>
      <c r="LNK64"/>
      <c r="LNL64"/>
      <c r="LNM64"/>
      <c r="LNN64"/>
      <c r="LNO64"/>
      <c r="LNP64"/>
      <c r="LNQ64"/>
      <c r="LNR64"/>
      <c r="LNS64"/>
      <c r="LNT64"/>
      <c r="LNU64"/>
      <c r="LNV64"/>
      <c r="LNW64"/>
      <c r="LNX64"/>
      <c r="LNY64"/>
      <c r="LNZ64"/>
      <c r="LOA64"/>
      <c r="LOB64"/>
      <c r="LOC64"/>
      <c r="LOD64"/>
      <c r="LOE64"/>
      <c r="LOF64"/>
      <c r="LOG64"/>
      <c r="LOH64"/>
      <c r="LOI64"/>
      <c r="LOJ64"/>
      <c r="LOK64"/>
      <c r="LOL64"/>
      <c r="LOM64"/>
      <c r="LON64"/>
      <c r="LOO64"/>
      <c r="LOP64"/>
      <c r="LOQ64"/>
      <c r="LOR64"/>
      <c r="LOS64"/>
      <c r="LOT64"/>
      <c r="LOU64"/>
      <c r="LOV64"/>
      <c r="LOW64"/>
      <c r="LOX64"/>
      <c r="LOY64"/>
      <c r="LOZ64"/>
      <c r="LPA64"/>
      <c r="LPB64"/>
      <c r="LPC64"/>
      <c r="LPD64"/>
      <c r="LPE64"/>
      <c r="LPF64"/>
      <c r="LPG64"/>
      <c r="LPH64"/>
      <c r="LPI64"/>
      <c r="LPJ64"/>
      <c r="LPK64"/>
      <c r="LPL64"/>
      <c r="LPM64"/>
      <c r="LPN64"/>
      <c r="LPO64"/>
      <c r="LPP64"/>
      <c r="LPQ64"/>
      <c r="LPR64"/>
      <c r="LPS64"/>
      <c r="LPT64"/>
      <c r="LPU64"/>
      <c r="LPV64"/>
      <c r="LPW64"/>
      <c r="LPX64"/>
      <c r="LPY64"/>
      <c r="LPZ64"/>
      <c r="LQA64"/>
      <c r="LQB64"/>
      <c r="LQC64"/>
      <c r="LQD64"/>
      <c r="LQE64"/>
      <c r="LQF64"/>
      <c r="LQG64"/>
      <c r="LQH64"/>
      <c r="LQI64"/>
      <c r="LQJ64"/>
      <c r="LQK64"/>
      <c r="LQL64"/>
      <c r="LQM64"/>
      <c r="LQN64"/>
      <c r="LQO64"/>
      <c r="LQP64"/>
      <c r="LQQ64"/>
      <c r="LQR64"/>
      <c r="LQS64"/>
      <c r="LQT64"/>
      <c r="LQU64"/>
      <c r="LQV64"/>
      <c r="LQW64"/>
      <c r="LQX64"/>
      <c r="LQY64"/>
      <c r="LQZ64"/>
      <c r="LRA64"/>
      <c r="LRB64"/>
      <c r="LRC64"/>
      <c r="LRD64"/>
      <c r="LRE64"/>
      <c r="LRF64"/>
      <c r="LRG64"/>
      <c r="LRH64"/>
      <c r="LRI64"/>
      <c r="LRJ64"/>
      <c r="LRK64"/>
      <c r="LRL64"/>
      <c r="LRM64"/>
      <c r="LRN64"/>
      <c r="LRO64"/>
      <c r="LRP64"/>
      <c r="LRQ64"/>
      <c r="LRR64"/>
      <c r="LRS64"/>
      <c r="LRT64"/>
      <c r="LRU64"/>
      <c r="LRV64"/>
      <c r="LRW64"/>
      <c r="LRX64"/>
      <c r="LRY64"/>
      <c r="LRZ64"/>
      <c r="LSA64"/>
      <c r="LSB64"/>
      <c r="LSC64"/>
      <c r="LSD64"/>
      <c r="LSE64"/>
      <c r="LSF64"/>
      <c r="LSG64"/>
      <c r="LSH64"/>
      <c r="LSI64"/>
      <c r="LSJ64"/>
      <c r="LSK64"/>
      <c r="LSL64"/>
      <c r="LSM64"/>
      <c r="LSN64"/>
      <c r="LSO64"/>
      <c r="LSP64"/>
      <c r="LSQ64"/>
      <c r="LSR64"/>
      <c r="LSS64"/>
      <c r="LST64"/>
      <c r="LSU64"/>
      <c r="LSV64"/>
      <c r="LSW64"/>
      <c r="LSX64"/>
      <c r="LSY64"/>
      <c r="LSZ64"/>
      <c r="LTA64"/>
      <c r="LTB64"/>
      <c r="LTC64"/>
      <c r="LTD64"/>
      <c r="LTE64"/>
      <c r="LTF64"/>
      <c r="LTG64"/>
      <c r="LTH64"/>
      <c r="LTI64"/>
      <c r="LTJ64"/>
      <c r="LTK64"/>
      <c r="LTL64"/>
      <c r="LTM64"/>
      <c r="LTN64"/>
      <c r="LTO64"/>
      <c r="LTP64"/>
      <c r="LTQ64"/>
      <c r="LTR64"/>
      <c r="LTS64"/>
      <c r="LTT64"/>
      <c r="LTU64"/>
      <c r="LTV64"/>
      <c r="LTW64"/>
      <c r="LTX64"/>
      <c r="LTY64"/>
      <c r="LTZ64"/>
      <c r="LUA64"/>
      <c r="LUB64"/>
      <c r="LUC64"/>
      <c r="LUD64"/>
      <c r="LUE64"/>
      <c r="LUF64"/>
      <c r="LUG64"/>
      <c r="LUH64"/>
      <c r="LUI64"/>
      <c r="LUJ64"/>
      <c r="LUK64"/>
      <c r="LUL64"/>
      <c r="LUM64"/>
      <c r="LUN64"/>
      <c r="LUO64"/>
      <c r="LUP64"/>
      <c r="LUQ64"/>
      <c r="LUR64"/>
      <c r="LUS64"/>
      <c r="LUT64"/>
      <c r="LUU64"/>
      <c r="LUV64"/>
      <c r="LUW64"/>
      <c r="LUX64"/>
      <c r="LUY64"/>
      <c r="LUZ64"/>
      <c r="LVA64"/>
      <c r="LVB64"/>
      <c r="LVC64"/>
      <c r="LVD64"/>
      <c r="LVE64"/>
      <c r="LVF64"/>
      <c r="LVG64"/>
      <c r="LVH64"/>
      <c r="LVI64"/>
      <c r="LVJ64"/>
      <c r="LVK64"/>
      <c r="LVL64"/>
      <c r="LVM64"/>
      <c r="LVN64"/>
      <c r="LVO64"/>
      <c r="LVP64"/>
      <c r="LVQ64"/>
      <c r="LVR64"/>
      <c r="LVS64"/>
      <c r="LVT64"/>
      <c r="LVU64"/>
      <c r="LVV64"/>
      <c r="LVW64"/>
      <c r="LVX64"/>
      <c r="LVY64"/>
      <c r="LVZ64"/>
      <c r="LWA64"/>
      <c r="LWB64"/>
      <c r="LWC64"/>
      <c r="LWD64"/>
      <c r="LWE64"/>
      <c r="LWF64"/>
      <c r="LWG64"/>
      <c r="LWH64"/>
      <c r="LWI64"/>
      <c r="LWJ64"/>
      <c r="LWK64"/>
      <c r="LWL64"/>
      <c r="LWM64"/>
      <c r="LWN64"/>
      <c r="LWO64"/>
      <c r="LWP64"/>
      <c r="LWQ64"/>
      <c r="LWR64"/>
      <c r="LWS64"/>
      <c r="LWT64"/>
      <c r="LWU64"/>
      <c r="LWV64"/>
      <c r="LWW64"/>
      <c r="LWX64"/>
      <c r="LWY64"/>
      <c r="LWZ64"/>
      <c r="LXA64"/>
      <c r="LXB64"/>
      <c r="LXC64"/>
      <c r="LXD64"/>
      <c r="LXE64"/>
      <c r="LXF64"/>
      <c r="LXG64"/>
      <c r="LXH64"/>
      <c r="LXI64"/>
      <c r="LXJ64"/>
      <c r="LXK64"/>
      <c r="LXL64"/>
      <c r="LXM64"/>
      <c r="LXN64"/>
      <c r="LXO64"/>
      <c r="LXP64"/>
      <c r="LXQ64"/>
      <c r="LXR64"/>
      <c r="LXS64"/>
      <c r="LXT64"/>
      <c r="LXU64"/>
      <c r="LXV64"/>
      <c r="LXW64"/>
      <c r="LXX64"/>
      <c r="LXY64"/>
      <c r="LXZ64"/>
      <c r="LYA64"/>
      <c r="LYB64"/>
      <c r="LYC64"/>
      <c r="LYD64"/>
      <c r="LYE64"/>
      <c r="LYF64"/>
      <c r="LYG64"/>
      <c r="LYH64"/>
      <c r="LYI64"/>
      <c r="LYJ64"/>
      <c r="LYK64"/>
      <c r="LYL64"/>
      <c r="LYM64"/>
      <c r="LYN64"/>
      <c r="LYO64"/>
      <c r="LYP64"/>
      <c r="LYQ64"/>
      <c r="LYR64"/>
      <c r="LYS64"/>
      <c r="LYT64"/>
      <c r="LYU64"/>
      <c r="LYV64"/>
      <c r="LYW64"/>
      <c r="LYX64"/>
      <c r="LYY64"/>
      <c r="LYZ64"/>
      <c r="LZA64"/>
      <c r="LZB64"/>
      <c r="LZC64"/>
      <c r="LZD64"/>
      <c r="LZE64"/>
      <c r="LZF64"/>
      <c r="LZG64"/>
      <c r="LZH64"/>
      <c r="LZI64"/>
      <c r="LZJ64"/>
      <c r="LZK64"/>
      <c r="LZL64"/>
      <c r="LZM64"/>
      <c r="LZN64"/>
      <c r="LZO64"/>
      <c r="LZP64"/>
      <c r="LZQ64"/>
      <c r="LZR64"/>
      <c r="LZS64"/>
      <c r="LZT64"/>
      <c r="LZU64"/>
      <c r="LZV64"/>
      <c r="LZW64"/>
      <c r="LZX64"/>
      <c r="LZY64"/>
      <c r="LZZ64"/>
      <c r="MAA64"/>
      <c r="MAB64"/>
      <c r="MAC64"/>
      <c r="MAD64"/>
      <c r="MAE64"/>
      <c r="MAF64"/>
      <c r="MAG64"/>
      <c r="MAH64"/>
      <c r="MAI64"/>
      <c r="MAJ64"/>
      <c r="MAK64"/>
      <c r="MAL64"/>
      <c r="MAM64"/>
      <c r="MAN64"/>
      <c r="MAO64"/>
      <c r="MAP64"/>
      <c r="MAQ64"/>
      <c r="MAR64"/>
      <c r="MAS64"/>
      <c r="MAT64"/>
      <c r="MAU64"/>
      <c r="MAV64"/>
      <c r="MAW64"/>
      <c r="MAX64"/>
      <c r="MAY64"/>
      <c r="MAZ64"/>
      <c r="MBA64"/>
      <c r="MBB64"/>
      <c r="MBC64"/>
      <c r="MBD64"/>
      <c r="MBE64"/>
      <c r="MBF64"/>
      <c r="MBG64"/>
      <c r="MBH64"/>
      <c r="MBI64"/>
      <c r="MBJ64"/>
      <c r="MBK64"/>
      <c r="MBL64"/>
      <c r="MBM64"/>
      <c r="MBN64"/>
      <c r="MBO64"/>
      <c r="MBP64"/>
      <c r="MBQ64"/>
      <c r="MBR64"/>
      <c r="MBS64"/>
      <c r="MBT64"/>
      <c r="MBU64"/>
      <c r="MBV64"/>
      <c r="MBW64"/>
      <c r="MBX64"/>
      <c r="MBY64"/>
      <c r="MBZ64"/>
      <c r="MCA64"/>
      <c r="MCB64"/>
      <c r="MCC64"/>
      <c r="MCD64"/>
      <c r="MCE64"/>
      <c r="MCF64"/>
      <c r="MCG64"/>
      <c r="MCH64"/>
      <c r="MCI64"/>
      <c r="MCJ64"/>
      <c r="MCK64"/>
      <c r="MCL64"/>
      <c r="MCM64"/>
      <c r="MCN64"/>
      <c r="MCO64"/>
      <c r="MCP64"/>
      <c r="MCQ64"/>
      <c r="MCR64"/>
      <c r="MCS64"/>
      <c r="MCT64"/>
      <c r="MCU64"/>
      <c r="MCV64"/>
      <c r="MCW64"/>
      <c r="MCX64"/>
      <c r="MCY64"/>
      <c r="MCZ64"/>
      <c r="MDA64"/>
      <c r="MDB64"/>
      <c r="MDC64"/>
      <c r="MDD64"/>
      <c r="MDE64"/>
      <c r="MDF64"/>
      <c r="MDG64"/>
      <c r="MDH64"/>
      <c r="MDI64"/>
      <c r="MDJ64"/>
      <c r="MDK64"/>
      <c r="MDL64"/>
      <c r="MDM64"/>
      <c r="MDN64"/>
      <c r="MDO64"/>
      <c r="MDP64"/>
      <c r="MDQ64"/>
      <c r="MDR64"/>
      <c r="MDS64"/>
      <c r="MDT64"/>
      <c r="MDU64"/>
      <c r="MDV64"/>
      <c r="MDW64"/>
      <c r="MDX64"/>
      <c r="MDY64"/>
      <c r="MDZ64"/>
      <c r="MEA64"/>
      <c r="MEB64"/>
      <c r="MEC64"/>
      <c r="MED64"/>
      <c r="MEE64"/>
      <c r="MEF64"/>
      <c r="MEG64"/>
      <c r="MEH64"/>
      <c r="MEI64"/>
      <c r="MEJ64"/>
      <c r="MEK64"/>
      <c r="MEL64"/>
      <c r="MEM64"/>
      <c r="MEN64"/>
      <c r="MEO64"/>
      <c r="MEP64"/>
      <c r="MEQ64"/>
      <c r="MER64"/>
      <c r="MES64"/>
      <c r="MET64"/>
      <c r="MEU64"/>
      <c r="MEV64"/>
      <c r="MEW64"/>
      <c r="MEX64"/>
      <c r="MEY64"/>
      <c r="MEZ64"/>
      <c r="MFA64"/>
      <c r="MFB64"/>
      <c r="MFC64"/>
      <c r="MFD64"/>
      <c r="MFE64"/>
      <c r="MFF64"/>
      <c r="MFG64"/>
      <c r="MFH64"/>
      <c r="MFI64"/>
      <c r="MFJ64"/>
      <c r="MFK64"/>
      <c r="MFL64"/>
      <c r="MFM64"/>
      <c r="MFN64"/>
      <c r="MFO64"/>
      <c r="MFP64"/>
      <c r="MFQ64"/>
      <c r="MFR64"/>
      <c r="MFS64"/>
      <c r="MFT64"/>
      <c r="MFU64"/>
      <c r="MFV64"/>
      <c r="MFW64"/>
      <c r="MFX64"/>
      <c r="MFY64"/>
      <c r="MFZ64"/>
      <c r="MGA64"/>
      <c r="MGB64"/>
      <c r="MGC64"/>
      <c r="MGD64"/>
      <c r="MGE64"/>
      <c r="MGF64"/>
      <c r="MGG64"/>
      <c r="MGH64"/>
      <c r="MGI64"/>
      <c r="MGJ64"/>
      <c r="MGK64"/>
      <c r="MGL64"/>
      <c r="MGM64"/>
      <c r="MGN64"/>
      <c r="MGO64"/>
      <c r="MGP64"/>
      <c r="MGQ64"/>
      <c r="MGR64"/>
      <c r="MGS64"/>
      <c r="MGT64"/>
      <c r="MGU64"/>
      <c r="MGV64"/>
      <c r="MGW64"/>
      <c r="MGX64"/>
      <c r="MGY64"/>
      <c r="MGZ64"/>
      <c r="MHA64"/>
      <c r="MHB64"/>
      <c r="MHC64"/>
      <c r="MHD64"/>
      <c r="MHE64"/>
      <c r="MHF64"/>
      <c r="MHG64"/>
      <c r="MHH64"/>
      <c r="MHI64"/>
      <c r="MHJ64"/>
      <c r="MHK64"/>
      <c r="MHL64"/>
      <c r="MHM64"/>
      <c r="MHN64"/>
      <c r="MHO64"/>
      <c r="MHP64"/>
      <c r="MHQ64"/>
      <c r="MHR64"/>
      <c r="MHS64"/>
      <c r="MHT64"/>
      <c r="MHU64"/>
      <c r="MHV64"/>
      <c r="MHW64"/>
      <c r="MHX64"/>
      <c r="MHY64"/>
      <c r="MHZ64"/>
      <c r="MIA64"/>
      <c r="MIB64"/>
      <c r="MIC64"/>
      <c r="MID64"/>
      <c r="MIE64"/>
      <c r="MIF64"/>
      <c r="MIG64"/>
      <c r="MIH64"/>
      <c r="MII64"/>
      <c r="MIJ64"/>
      <c r="MIK64"/>
      <c r="MIL64"/>
      <c r="MIM64"/>
      <c r="MIN64"/>
      <c r="MIO64"/>
      <c r="MIP64"/>
      <c r="MIQ64"/>
      <c r="MIR64"/>
      <c r="MIS64"/>
      <c r="MIT64"/>
      <c r="MIU64"/>
      <c r="MIV64"/>
      <c r="MIW64"/>
      <c r="MIX64"/>
      <c r="MIY64"/>
      <c r="MIZ64"/>
      <c r="MJA64"/>
      <c r="MJB64"/>
      <c r="MJC64"/>
      <c r="MJD64"/>
      <c r="MJE64"/>
      <c r="MJF64"/>
      <c r="MJG64"/>
      <c r="MJH64"/>
      <c r="MJI64"/>
      <c r="MJJ64"/>
      <c r="MJK64"/>
      <c r="MJL64"/>
      <c r="MJM64"/>
      <c r="MJN64"/>
      <c r="MJO64"/>
      <c r="MJP64"/>
      <c r="MJQ64"/>
      <c r="MJR64"/>
      <c r="MJS64"/>
      <c r="MJT64"/>
      <c r="MJU64"/>
      <c r="MJV64"/>
      <c r="MJW64"/>
      <c r="MJX64"/>
      <c r="MJY64"/>
      <c r="MJZ64"/>
      <c r="MKA64"/>
      <c r="MKB64"/>
      <c r="MKC64"/>
      <c r="MKD64"/>
      <c r="MKE64"/>
      <c r="MKF64"/>
      <c r="MKG64"/>
      <c r="MKH64"/>
      <c r="MKI64"/>
      <c r="MKJ64"/>
      <c r="MKK64"/>
      <c r="MKL64"/>
      <c r="MKM64"/>
      <c r="MKN64"/>
      <c r="MKO64"/>
      <c r="MKP64"/>
      <c r="MKQ64"/>
      <c r="MKR64"/>
      <c r="MKS64"/>
      <c r="MKT64"/>
      <c r="MKU64"/>
      <c r="MKV64"/>
      <c r="MKW64"/>
      <c r="MKX64"/>
      <c r="MKY64"/>
      <c r="MKZ64"/>
      <c r="MLA64"/>
      <c r="MLB64"/>
      <c r="MLC64"/>
      <c r="MLD64"/>
      <c r="MLE64"/>
      <c r="MLF64"/>
      <c r="MLG64"/>
      <c r="MLH64"/>
      <c r="MLI64"/>
      <c r="MLJ64"/>
      <c r="MLK64"/>
      <c r="MLL64"/>
      <c r="MLM64"/>
      <c r="MLN64"/>
      <c r="MLO64"/>
      <c r="MLP64"/>
      <c r="MLQ64"/>
      <c r="MLR64"/>
      <c r="MLS64"/>
      <c r="MLT64"/>
      <c r="MLU64"/>
      <c r="MLV64"/>
      <c r="MLW64"/>
      <c r="MLX64"/>
      <c r="MLY64"/>
      <c r="MLZ64"/>
      <c r="MMA64"/>
      <c r="MMB64"/>
      <c r="MMC64"/>
      <c r="MMD64"/>
      <c r="MME64"/>
      <c r="MMF64"/>
      <c r="MMG64"/>
      <c r="MMH64"/>
      <c r="MMI64"/>
      <c r="MMJ64"/>
      <c r="MMK64"/>
      <c r="MML64"/>
      <c r="MMM64"/>
      <c r="MMN64"/>
      <c r="MMO64"/>
      <c r="MMP64"/>
      <c r="MMQ64"/>
      <c r="MMR64"/>
      <c r="MMS64"/>
      <c r="MMT64"/>
      <c r="MMU64"/>
      <c r="MMV64"/>
      <c r="MMW64"/>
      <c r="MMX64"/>
      <c r="MMY64"/>
      <c r="MMZ64"/>
      <c r="MNA64"/>
      <c r="MNB64"/>
      <c r="MNC64"/>
      <c r="MND64"/>
      <c r="MNE64"/>
      <c r="MNF64"/>
      <c r="MNG64"/>
      <c r="MNH64"/>
      <c r="MNI64"/>
      <c r="MNJ64"/>
      <c r="MNK64"/>
      <c r="MNL64"/>
      <c r="MNM64"/>
      <c r="MNN64"/>
      <c r="MNO64"/>
      <c r="MNP64"/>
      <c r="MNQ64"/>
      <c r="MNR64"/>
      <c r="MNS64"/>
      <c r="MNT64"/>
      <c r="MNU64"/>
      <c r="MNV64"/>
      <c r="MNW64"/>
      <c r="MNX64"/>
      <c r="MNY64"/>
      <c r="MNZ64"/>
      <c r="MOA64"/>
      <c r="MOB64"/>
      <c r="MOC64"/>
      <c r="MOD64"/>
      <c r="MOE64"/>
      <c r="MOF64"/>
      <c r="MOG64"/>
      <c r="MOH64"/>
      <c r="MOI64"/>
      <c r="MOJ64"/>
      <c r="MOK64"/>
      <c r="MOL64"/>
      <c r="MOM64"/>
      <c r="MON64"/>
      <c r="MOO64"/>
      <c r="MOP64"/>
      <c r="MOQ64"/>
      <c r="MOR64"/>
      <c r="MOS64"/>
      <c r="MOT64"/>
      <c r="MOU64"/>
      <c r="MOV64"/>
      <c r="MOW64"/>
      <c r="MOX64"/>
      <c r="MOY64"/>
      <c r="MOZ64"/>
      <c r="MPA64"/>
      <c r="MPB64"/>
      <c r="MPC64"/>
      <c r="MPD64"/>
      <c r="MPE64"/>
      <c r="MPF64"/>
      <c r="MPG64"/>
      <c r="MPH64"/>
      <c r="MPI64"/>
      <c r="MPJ64"/>
      <c r="MPK64"/>
      <c r="MPL64"/>
      <c r="MPM64"/>
      <c r="MPN64"/>
      <c r="MPO64"/>
      <c r="MPP64"/>
      <c r="MPQ64"/>
      <c r="MPR64"/>
      <c r="MPS64"/>
      <c r="MPT64"/>
      <c r="MPU64"/>
      <c r="MPV64"/>
      <c r="MPW64"/>
      <c r="MPX64"/>
      <c r="MPY64"/>
      <c r="MPZ64"/>
      <c r="MQA64"/>
      <c r="MQB64"/>
      <c r="MQC64"/>
      <c r="MQD64"/>
      <c r="MQE64"/>
      <c r="MQF64"/>
      <c r="MQG64"/>
      <c r="MQH64"/>
      <c r="MQI64"/>
      <c r="MQJ64"/>
      <c r="MQK64"/>
      <c r="MQL64"/>
      <c r="MQM64"/>
      <c r="MQN64"/>
      <c r="MQO64"/>
      <c r="MQP64"/>
      <c r="MQQ64"/>
      <c r="MQR64"/>
      <c r="MQS64"/>
      <c r="MQT64"/>
      <c r="MQU64"/>
      <c r="MQV64"/>
      <c r="MQW64"/>
      <c r="MQX64"/>
      <c r="MQY64"/>
      <c r="MQZ64"/>
      <c r="MRA64"/>
      <c r="MRB64"/>
      <c r="MRC64"/>
      <c r="MRD64"/>
      <c r="MRE64"/>
      <c r="MRF64"/>
      <c r="MRG64"/>
      <c r="MRH64"/>
      <c r="MRI64"/>
      <c r="MRJ64"/>
      <c r="MRK64"/>
      <c r="MRL64"/>
      <c r="MRM64"/>
      <c r="MRN64"/>
      <c r="MRO64"/>
      <c r="MRP64"/>
      <c r="MRQ64"/>
      <c r="MRR64"/>
      <c r="MRS64"/>
      <c r="MRT64"/>
      <c r="MRU64"/>
      <c r="MRV64"/>
      <c r="MRW64"/>
      <c r="MRX64"/>
      <c r="MRY64"/>
      <c r="MRZ64"/>
      <c r="MSA64"/>
      <c r="MSB64"/>
      <c r="MSC64"/>
      <c r="MSD64"/>
      <c r="MSE64"/>
      <c r="MSF64"/>
      <c r="MSG64"/>
      <c r="MSH64"/>
      <c r="MSI64"/>
      <c r="MSJ64"/>
      <c r="MSK64"/>
      <c r="MSL64"/>
      <c r="MSM64"/>
      <c r="MSN64"/>
      <c r="MSO64"/>
      <c r="MSP64"/>
      <c r="MSQ64"/>
      <c r="MSR64"/>
      <c r="MSS64"/>
      <c r="MST64"/>
      <c r="MSU64"/>
      <c r="MSV64"/>
      <c r="MSW64"/>
      <c r="MSX64"/>
      <c r="MSY64"/>
      <c r="MSZ64"/>
      <c r="MTA64"/>
      <c r="MTB64"/>
      <c r="MTC64"/>
      <c r="MTD64"/>
      <c r="MTE64"/>
      <c r="MTF64"/>
      <c r="MTG64"/>
      <c r="MTH64"/>
      <c r="MTI64"/>
      <c r="MTJ64"/>
      <c r="MTK64"/>
      <c r="MTL64"/>
      <c r="MTM64"/>
      <c r="MTN64"/>
      <c r="MTO64"/>
      <c r="MTP64"/>
      <c r="MTQ64"/>
      <c r="MTR64"/>
      <c r="MTS64"/>
      <c r="MTT64"/>
      <c r="MTU64"/>
      <c r="MTV64"/>
      <c r="MTW64"/>
      <c r="MTX64"/>
      <c r="MTY64"/>
      <c r="MTZ64"/>
      <c r="MUA64"/>
      <c r="MUB64"/>
      <c r="MUC64"/>
      <c r="MUD64"/>
      <c r="MUE64"/>
      <c r="MUF64"/>
      <c r="MUG64"/>
      <c r="MUH64"/>
      <c r="MUI64"/>
      <c r="MUJ64"/>
      <c r="MUK64"/>
      <c r="MUL64"/>
      <c r="MUM64"/>
      <c r="MUN64"/>
      <c r="MUO64"/>
      <c r="MUP64"/>
      <c r="MUQ64"/>
      <c r="MUR64"/>
      <c r="MUS64"/>
      <c r="MUT64"/>
      <c r="MUU64"/>
      <c r="MUV64"/>
      <c r="MUW64"/>
      <c r="MUX64"/>
      <c r="MUY64"/>
      <c r="MUZ64"/>
      <c r="MVA64"/>
      <c r="MVB64"/>
      <c r="MVC64"/>
      <c r="MVD64"/>
      <c r="MVE64"/>
      <c r="MVF64"/>
      <c r="MVG64"/>
      <c r="MVH64"/>
      <c r="MVI64"/>
      <c r="MVJ64"/>
      <c r="MVK64"/>
      <c r="MVL64"/>
      <c r="MVM64"/>
      <c r="MVN64"/>
      <c r="MVO64"/>
      <c r="MVP64"/>
      <c r="MVQ64"/>
      <c r="MVR64"/>
      <c r="MVS64"/>
      <c r="MVT64"/>
      <c r="MVU64"/>
      <c r="MVV64"/>
      <c r="MVW64"/>
      <c r="MVX64"/>
      <c r="MVY64"/>
      <c r="MVZ64"/>
      <c r="MWA64"/>
      <c r="MWB64"/>
      <c r="MWC64"/>
      <c r="MWD64"/>
      <c r="MWE64"/>
      <c r="MWF64"/>
      <c r="MWG64"/>
      <c r="MWH64"/>
      <c r="MWI64"/>
      <c r="MWJ64"/>
      <c r="MWK64"/>
      <c r="MWL64"/>
      <c r="MWM64"/>
      <c r="MWN64"/>
      <c r="MWO64"/>
      <c r="MWP64"/>
      <c r="MWQ64"/>
      <c r="MWR64"/>
      <c r="MWS64"/>
      <c r="MWT64"/>
      <c r="MWU64"/>
      <c r="MWV64"/>
      <c r="MWW64"/>
      <c r="MWX64"/>
      <c r="MWY64"/>
      <c r="MWZ64"/>
      <c r="MXA64"/>
      <c r="MXB64"/>
      <c r="MXC64"/>
      <c r="MXD64"/>
      <c r="MXE64"/>
      <c r="MXF64"/>
      <c r="MXG64"/>
      <c r="MXH64"/>
      <c r="MXI64"/>
      <c r="MXJ64"/>
      <c r="MXK64"/>
      <c r="MXL64"/>
      <c r="MXM64"/>
      <c r="MXN64"/>
      <c r="MXO64"/>
      <c r="MXP64"/>
      <c r="MXQ64"/>
      <c r="MXR64"/>
      <c r="MXS64"/>
      <c r="MXT64"/>
      <c r="MXU64"/>
      <c r="MXV64"/>
      <c r="MXW64"/>
      <c r="MXX64"/>
      <c r="MXY64"/>
      <c r="MXZ64"/>
      <c r="MYA64"/>
      <c r="MYB64"/>
      <c r="MYC64"/>
      <c r="MYD64"/>
      <c r="MYE64"/>
      <c r="MYF64"/>
      <c r="MYG64"/>
      <c r="MYH64"/>
      <c r="MYI64"/>
      <c r="MYJ64"/>
      <c r="MYK64"/>
      <c r="MYL64"/>
      <c r="MYM64"/>
      <c r="MYN64"/>
      <c r="MYO64"/>
      <c r="MYP64"/>
      <c r="MYQ64"/>
      <c r="MYR64"/>
      <c r="MYS64"/>
      <c r="MYT64"/>
      <c r="MYU64"/>
      <c r="MYV64"/>
      <c r="MYW64"/>
      <c r="MYX64"/>
      <c r="MYY64"/>
      <c r="MYZ64"/>
      <c r="MZA64"/>
      <c r="MZB64"/>
      <c r="MZC64"/>
      <c r="MZD64"/>
      <c r="MZE64"/>
      <c r="MZF64"/>
      <c r="MZG64"/>
      <c r="MZH64"/>
      <c r="MZI64"/>
      <c r="MZJ64"/>
      <c r="MZK64"/>
      <c r="MZL64"/>
      <c r="MZM64"/>
      <c r="MZN64"/>
      <c r="MZO64"/>
      <c r="MZP64"/>
      <c r="MZQ64"/>
      <c r="MZR64"/>
      <c r="MZS64"/>
      <c r="MZT64"/>
      <c r="MZU64"/>
      <c r="MZV64"/>
      <c r="MZW64"/>
      <c r="MZX64"/>
      <c r="MZY64"/>
      <c r="MZZ64"/>
      <c r="NAA64"/>
      <c r="NAB64"/>
      <c r="NAC64"/>
      <c r="NAD64"/>
      <c r="NAE64"/>
      <c r="NAF64"/>
      <c r="NAG64"/>
      <c r="NAH64"/>
      <c r="NAI64"/>
      <c r="NAJ64"/>
      <c r="NAK64"/>
      <c r="NAL64"/>
      <c r="NAM64"/>
      <c r="NAN64"/>
      <c r="NAO64"/>
      <c r="NAP64"/>
      <c r="NAQ64"/>
      <c r="NAR64"/>
      <c r="NAS64"/>
      <c r="NAT64"/>
      <c r="NAU64"/>
      <c r="NAV64"/>
      <c r="NAW64"/>
      <c r="NAX64"/>
      <c r="NAY64"/>
      <c r="NAZ64"/>
      <c r="NBA64"/>
      <c r="NBB64"/>
      <c r="NBC64"/>
      <c r="NBD64"/>
      <c r="NBE64"/>
      <c r="NBF64"/>
      <c r="NBG64"/>
      <c r="NBH64"/>
      <c r="NBI64"/>
      <c r="NBJ64"/>
      <c r="NBK64"/>
      <c r="NBL64"/>
      <c r="NBM64"/>
      <c r="NBN64"/>
      <c r="NBO64"/>
      <c r="NBP64"/>
      <c r="NBQ64"/>
      <c r="NBR64"/>
      <c r="NBS64"/>
      <c r="NBT64"/>
      <c r="NBU64"/>
      <c r="NBV64"/>
      <c r="NBW64"/>
      <c r="NBX64"/>
      <c r="NBY64"/>
      <c r="NBZ64"/>
      <c r="NCA64"/>
      <c r="NCB64"/>
      <c r="NCC64"/>
      <c r="NCD64"/>
      <c r="NCE64"/>
      <c r="NCF64"/>
      <c r="NCG64"/>
      <c r="NCH64"/>
      <c r="NCI64"/>
      <c r="NCJ64"/>
      <c r="NCK64"/>
      <c r="NCL64"/>
      <c r="NCM64"/>
      <c r="NCN64"/>
      <c r="NCO64"/>
      <c r="NCP64"/>
      <c r="NCQ64"/>
      <c r="NCR64"/>
      <c r="NCS64"/>
      <c r="NCT64"/>
      <c r="NCU64"/>
      <c r="NCV64"/>
      <c r="NCW64"/>
      <c r="NCX64"/>
      <c r="NCY64"/>
      <c r="NCZ64"/>
      <c r="NDA64"/>
      <c r="NDB64"/>
      <c r="NDC64"/>
      <c r="NDD64"/>
      <c r="NDE64"/>
      <c r="NDF64"/>
      <c r="NDG64"/>
      <c r="NDH64"/>
      <c r="NDI64"/>
      <c r="NDJ64"/>
      <c r="NDK64"/>
      <c r="NDL64"/>
      <c r="NDM64"/>
      <c r="NDN64"/>
      <c r="NDO64"/>
      <c r="NDP64"/>
      <c r="NDQ64"/>
      <c r="NDR64"/>
      <c r="NDS64"/>
      <c r="NDT64"/>
      <c r="NDU64"/>
      <c r="NDV64"/>
      <c r="NDW64"/>
      <c r="NDX64"/>
      <c r="NDY64"/>
      <c r="NDZ64"/>
      <c r="NEA64"/>
      <c r="NEB64"/>
      <c r="NEC64"/>
      <c r="NED64"/>
      <c r="NEE64"/>
      <c r="NEF64"/>
      <c r="NEG64"/>
      <c r="NEH64"/>
      <c r="NEI64"/>
      <c r="NEJ64"/>
      <c r="NEK64"/>
      <c r="NEL64"/>
      <c r="NEM64"/>
      <c r="NEN64"/>
      <c r="NEO64"/>
      <c r="NEP64"/>
      <c r="NEQ64"/>
      <c r="NER64"/>
      <c r="NES64"/>
      <c r="NET64"/>
      <c r="NEU64"/>
      <c r="NEV64"/>
      <c r="NEW64"/>
      <c r="NEX64"/>
      <c r="NEY64"/>
      <c r="NEZ64"/>
      <c r="NFA64"/>
      <c r="NFB64"/>
      <c r="NFC64"/>
      <c r="NFD64"/>
      <c r="NFE64"/>
      <c r="NFF64"/>
      <c r="NFG64"/>
      <c r="NFH64"/>
      <c r="NFI64"/>
      <c r="NFJ64"/>
      <c r="NFK64"/>
      <c r="NFL64"/>
      <c r="NFM64"/>
      <c r="NFN64"/>
      <c r="NFO64"/>
      <c r="NFP64"/>
      <c r="NFQ64"/>
      <c r="NFR64"/>
      <c r="NFS64"/>
      <c r="NFT64"/>
      <c r="NFU64"/>
      <c r="NFV64"/>
      <c r="NFW64"/>
      <c r="NFX64"/>
      <c r="NFY64"/>
      <c r="NFZ64"/>
      <c r="NGA64"/>
      <c r="NGB64"/>
      <c r="NGC64"/>
      <c r="NGD64"/>
      <c r="NGE64"/>
      <c r="NGF64"/>
      <c r="NGG64"/>
      <c r="NGH64"/>
      <c r="NGI64"/>
      <c r="NGJ64"/>
      <c r="NGK64"/>
      <c r="NGL64"/>
      <c r="NGM64"/>
      <c r="NGN64"/>
      <c r="NGO64"/>
      <c r="NGP64"/>
      <c r="NGQ64"/>
      <c r="NGR64"/>
      <c r="NGS64"/>
      <c r="NGT64"/>
      <c r="NGU64"/>
      <c r="NGV64"/>
      <c r="NGW64"/>
      <c r="NGX64"/>
      <c r="NGY64"/>
      <c r="NGZ64"/>
      <c r="NHA64"/>
      <c r="NHB64"/>
      <c r="NHC64"/>
      <c r="NHD64"/>
      <c r="NHE64"/>
      <c r="NHF64"/>
      <c r="NHG64"/>
      <c r="NHH64"/>
      <c r="NHI64"/>
      <c r="NHJ64"/>
      <c r="NHK64"/>
      <c r="NHL64"/>
      <c r="NHM64"/>
      <c r="NHN64"/>
      <c r="NHO64"/>
      <c r="NHP64"/>
      <c r="NHQ64"/>
      <c r="NHR64"/>
      <c r="NHS64"/>
      <c r="NHT64"/>
      <c r="NHU64"/>
      <c r="NHV64"/>
      <c r="NHW64"/>
      <c r="NHX64"/>
      <c r="NHY64"/>
      <c r="NHZ64"/>
      <c r="NIA64"/>
      <c r="NIB64"/>
      <c r="NIC64"/>
      <c r="NID64"/>
      <c r="NIE64"/>
      <c r="NIF64"/>
      <c r="NIG64"/>
      <c r="NIH64"/>
      <c r="NII64"/>
      <c r="NIJ64"/>
      <c r="NIK64"/>
      <c r="NIL64"/>
      <c r="NIM64"/>
      <c r="NIN64"/>
      <c r="NIO64"/>
      <c r="NIP64"/>
      <c r="NIQ64"/>
      <c r="NIR64"/>
      <c r="NIS64"/>
      <c r="NIT64"/>
      <c r="NIU64"/>
      <c r="NIV64"/>
      <c r="NIW64"/>
      <c r="NIX64"/>
      <c r="NIY64"/>
      <c r="NIZ64"/>
      <c r="NJA64"/>
      <c r="NJB64"/>
      <c r="NJC64"/>
      <c r="NJD64"/>
      <c r="NJE64"/>
      <c r="NJF64"/>
      <c r="NJG64"/>
      <c r="NJH64"/>
      <c r="NJI64"/>
      <c r="NJJ64"/>
      <c r="NJK64"/>
      <c r="NJL64"/>
      <c r="NJM64"/>
      <c r="NJN64"/>
      <c r="NJO64"/>
      <c r="NJP64"/>
      <c r="NJQ64"/>
      <c r="NJR64"/>
      <c r="NJS64"/>
      <c r="NJT64"/>
      <c r="NJU64"/>
      <c r="NJV64"/>
      <c r="NJW64"/>
      <c r="NJX64"/>
      <c r="NJY64"/>
      <c r="NJZ64"/>
      <c r="NKA64"/>
      <c r="NKB64"/>
      <c r="NKC64"/>
      <c r="NKD64"/>
      <c r="NKE64"/>
      <c r="NKF64"/>
      <c r="NKG64"/>
      <c r="NKH64"/>
      <c r="NKI64"/>
      <c r="NKJ64"/>
      <c r="NKK64"/>
      <c r="NKL64"/>
      <c r="NKM64"/>
      <c r="NKN64"/>
      <c r="NKO64"/>
      <c r="NKP64"/>
      <c r="NKQ64"/>
      <c r="NKR64"/>
      <c r="NKS64"/>
      <c r="NKT64"/>
      <c r="NKU64"/>
      <c r="NKV64"/>
      <c r="NKW64"/>
      <c r="NKX64"/>
      <c r="NKY64"/>
      <c r="NKZ64"/>
      <c r="NLA64"/>
      <c r="NLB64"/>
      <c r="NLC64"/>
      <c r="NLD64"/>
      <c r="NLE64"/>
      <c r="NLF64"/>
      <c r="NLG64"/>
      <c r="NLH64"/>
      <c r="NLI64"/>
      <c r="NLJ64"/>
      <c r="NLK64"/>
      <c r="NLL64"/>
      <c r="NLM64"/>
      <c r="NLN64"/>
      <c r="NLO64"/>
      <c r="NLP64"/>
      <c r="NLQ64"/>
      <c r="NLR64"/>
      <c r="NLS64"/>
      <c r="NLT64"/>
      <c r="NLU64"/>
      <c r="NLV64"/>
      <c r="NLW64"/>
      <c r="NLX64"/>
      <c r="NLY64"/>
      <c r="NLZ64"/>
      <c r="NMA64"/>
      <c r="NMB64"/>
      <c r="NMC64"/>
      <c r="NMD64"/>
      <c r="NME64"/>
      <c r="NMF64"/>
      <c r="NMG64"/>
      <c r="NMH64"/>
      <c r="NMI64"/>
      <c r="NMJ64"/>
      <c r="NMK64"/>
      <c r="NML64"/>
      <c r="NMM64"/>
      <c r="NMN64"/>
      <c r="NMO64"/>
      <c r="NMP64"/>
      <c r="NMQ64"/>
      <c r="NMR64"/>
      <c r="NMS64"/>
      <c r="NMT64"/>
      <c r="NMU64"/>
      <c r="NMV64"/>
      <c r="NMW64"/>
      <c r="NMX64"/>
      <c r="NMY64"/>
      <c r="NMZ64"/>
      <c r="NNA64"/>
      <c r="NNB64"/>
      <c r="NNC64"/>
      <c r="NND64"/>
      <c r="NNE64"/>
      <c r="NNF64"/>
      <c r="NNG64"/>
      <c r="NNH64"/>
      <c r="NNI64"/>
      <c r="NNJ64"/>
      <c r="NNK64"/>
      <c r="NNL64"/>
      <c r="NNM64"/>
      <c r="NNN64"/>
      <c r="NNO64"/>
      <c r="NNP64"/>
      <c r="NNQ64"/>
      <c r="NNR64"/>
      <c r="NNS64"/>
      <c r="NNT64"/>
      <c r="NNU64"/>
      <c r="NNV64"/>
      <c r="NNW64"/>
      <c r="NNX64"/>
      <c r="NNY64"/>
      <c r="NNZ64"/>
      <c r="NOA64"/>
      <c r="NOB64"/>
      <c r="NOC64"/>
      <c r="NOD64"/>
      <c r="NOE64"/>
      <c r="NOF64"/>
      <c r="NOG64"/>
      <c r="NOH64"/>
      <c r="NOI64"/>
      <c r="NOJ64"/>
      <c r="NOK64"/>
      <c r="NOL64"/>
      <c r="NOM64"/>
      <c r="NON64"/>
      <c r="NOO64"/>
      <c r="NOP64"/>
      <c r="NOQ64"/>
      <c r="NOR64"/>
      <c r="NOS64"/>
      <c r="NOT64"/>
      <c r="NOU64"/>
      <c r="NOV64"/>
      <c r="NOW64"/>
      <c r="NOX64"/>
      <c r="NOY64"/>
      <c r="NOZ64"/>
      <c r="NPA64"/>
      <c r="NPB64"/>
      <c r="NPC64"/>
      <c r="NPD64"/>
      <c r="NPE64"/>
      <c r="NPF64"/>
      <c r="NPG64"/>
      <c r="NPH64"/>
      <c r="NPI64"/>
      <c r="NPJ64"/>
      <c r="NPK64"/>
      <c r="NPL64"/>
      <c r="NPM64"/>
      <c r="NPN64"/>
      <c r="NPO64"/>
      <c r="NPP64"/>
      <c r="NPQ64"/>
      <c r="NPR64"/>
      <c r="NPS64"/>
      <c r="NPT64"/>
      <c r="NPU64"/>
      <c r="NPV64"/>
      <c r="NPW64"/>
      <c r="NPX64"/>
      <c r="NPY64"/>
      <c r="NPZ64"/>
      <c r="NQA64"/>
      <c r="NQB64"/>
      <c r="NQC64"/>
      <c r="NQD64"/>
      <c r="NQE64"/>
      <c r="NQF64"/>
      <c r="NQG64"/>
      <c r="NQH64"/>
      <c r="NQI64"/>
      <c r="NQJ64"/>
      <c r="NQK64"/>
      <c r="NQL64"/>
      <c r="NQM64"/>
      <c r="NQN64"/>
      <c r="NQO64"/>
      <c r="NQP64"/>
      <c r="NQQ64"/>
      <c r="NQR64"/>
      <c r="NQS64"/>
      <c r="NQT64"/>
      <c r="NQU64"/>
      <c r="NQV64"/>
      <c r="NQW64"/>
      <c r="NQX64"/>
      <c r="NQY64"/>
      <c r="NQZ64"/>
      <c r="NRA64"/>
      <c r="NRB64"/>
      <c r="NRC64"/>
      <c r="NRD64"/>
      <c r="NRE64"/>
      <c r="NRF64"/>
      <c r="NRG64"/>
      <c r="NRH64"/>
      <c r="NRI64"/>
      <c r="NRJ64"/>
      <c r="NRK64"/>
      <c r="NRL64"/>
      <c r="NRM64"/>
      <c r="NRN64"/>
      <c r="NRO64"/>
      <c r="NRP64"/>
      <c r="NRQ64"/>
      <c r="NRR64"/>
      <c r="NRS64"/>
      <c r="NRT64"/>
      <c r="NRU64"/>
      <c r="NRV64"/>
      <c r="NRW64"/>
      <c r="NRX64"/>
      <c r="NRY64"/>
      <c r="NRZ64"/>
      <c r="NSA64"/>
      <c r="NSB64"/>
      <c r="NSC64"/>
      <c r="NSD64"/>
      <c r="NSE64"/>
      <c r="NSF64"/>
      <c r="NSG64"/>
      <c r="NSH64"/>
      <c r="NSI64"/>
      <c r="NSJ64"/>
      <c r="NSK64"/>
      <c r="NSL64"/>
      <c r="NSM64"/>
      <c r="NSN64"/>
      <c r="NSO64"/>
      <c r="NSP64"/>
      <c r="NSQ64"/>
      <c r="NSR64"/>
      <c r="NSS64"/>
      <c r="NST64"/>
      <c r="NSU64"/>
      <c r="NSV64"/>
      <c r="NSW64"/>
      <c r="NSX64"/>
      <c r="NSY64"/>
      <c r="NSZ64"/>
      <c r="NTA64"/>
      <c r="NTB64"/>
      <c r="NTC64"/>
      <c r="NTD64"/>
      <c r="NTE64"/>
      <c r="NTF64"/>
      <c r="NTG64"/>
      <c r="NTH64"/>
      <c r="NTI64"/>
      <c r="NTJ64"/>
      <c r="NTK64"/>
      <c r="NTL64"/>
      <c r="NTM64"/>
      <c r="NTN64"/>
      <c r="NTO64"/>
      <c r="NTP64"/>
      <c r="NTQ64"/>
      <c r="NTR64"/>
      <c r="NTS64"/>
      <c r="NTT64"/>
      <c r="NTU64"/>
      <c r="NTV64"/>
      <c r="NTW64"/>
      <c r="NTX64"/>
      <c r="NTY64"/>
      <c r="NTZ64"/>
      <c r="NUA64"/>
      <c r="NUB64"/>
      <c r="NUC64"/>
      <c r="NUD64"/>
      <c r="NUE64"/>
      <c r="NUF64"/>
      <c r="NUG64"/>
      <c r="NUH64"/>
      <c r="NUI64"/>
      <c r="NUJ64"/>
      <c r="NUK64"/>
      <c r="NUL64"/>
      <c r="NUM64"/>
      <c r="NUN64"/>
      <c r="NUO64"/>
      <c r="NUP64"/>
      <c r="NUQ64"/>
      <c r="NUR64"/>
      <c r="NUS64"/>
      <c r="NUT64"/>
      <c r="NUU64"/>
      <c r="NUV64"/>
      <c r="NUW64"/>
      <c r="NUX64"/>
      <c r="NUY64"/>
      <c r="NUZ64"/>
      <c r="NVA64"/>
      <c r="NVB64"/>
      <c r="NVC64"/>
      <c r="NVD64"/>
      <c r="NVE64"/>
      <c r="NVF64"/>
      <c r="NVG64"/>
      <c r="NVH64"/>
      <c r="NVI64"/>
      <c r="NVJ64"/>
      <c r="NVK64"/>
      <c r="NVL64"/>
      <c r="NVM64"/>
      <c r="NVN64"/>
      <c r="NVO64"/>
      <c r="NVP64"/>
      <c r="NVQ64"/>
      <c r="NVR64"/>
      <c r="NVS64"/>
      <c r="NVT64"/>
      <c r="NVU64"/>
      <c r="NVV64"/>
      <c r="NVW64"/>
      <c r="NVX64"/>
      <c r="NVY64"/>
      <c r="NVZ64"/>
      <c r="NWA64"/>
      <c r="NWB64"/>
      <c r="NWC64"/>
      <c r="NWD64"/>
      <c r="NWE64"/>
      <c r="NWF64"/>
      <c r="NWG64"/>
      <c r="NWH64"/>
      <c r="NWI64"/>
      <c r="NWJ64"/>
      <c r="NWK64"/>
      <c r="NWL64"/>
      <c r="NWM64"/>
      <c r="NWN64"/>
      <c r="NWO64"/>
      <c r="NWP64"/>
      <c r="NWQ64"/>
      <c r="NWR64"/>
      <c r="NWS64"/>
      <c r="NWT64"/>
      <c r="NWU64"/>
      <c r="NWV64"/>
      <c r="NWW64"/>
      <c r="NWX64"/>
      <c r="NWY64"/>
      <c r="NWZ64"/>
      <c r="NXA64"/>
      <c r="NXB64"/>
      <c r="NXC64"/>
      <c r="NXD64"/>
      <c r="NXE64"/>
      <c r="NXF64"/>
      <c r="NXG64"/>
      <c r="NXH64"/>
      <c r="NXI64"/>
      <c r="NXJ64"/>
      <c r="NXK64"/>
      <c r="NXL64"/>
      <c r="NXM64"/>
      <c r="NXN64"/>
      <c r="NXO64"/>
      <c r="NXP64"/>
      <c r="NXQ64"/>
      <c r="NXR64"/>
      <c r="NXS64"/>
      <c r="NXT64"/>
      <c r="NXU64"/>
      <c r="NXV64"/>
      <c r="NXW64"/>
      <c r="NXX64"/>
      <c r="NXY64"/>
      <c r="NXZ64"/>
      <c r="NYA64"/>
      <c r="NYB64"/>
      <c r="NYC64"/>
      <c r="NYD64"/>
      <c r="NYE64"/>
      <c r="NYF64"/>
      <c r="NYG64"/>
      <c r="NYH64"/>
      <c r="NYI64"/>
      <c r="NYJ64"/>
      <c r="NYK64"/>
      <c r="NYL64"/>
      <c r="NYM64"/>
      <c r="NYN64"/>
      <c r="NYO64"/>
      <c r="NYP64"/>
      <c r="NYQ64"/>
      <c r="NYR64"/>
      <c r="NYS64"/>
      <c r="NYT64"/>
      <c r="NYU64"/>
      <c r="NYV64"/>
      <c r="NYW64"/>
      <c r="NYX64"/>
      <c r="NYY64"/>
      <c r="NYZ64"/>
      <c r="NZA64"/>
      <c r="NZB64"/>
      <c r="NZC64"/>
      <c r="NZD64"/>
      <c r="NZE64"/>
      <c r="NZF64"/>
      <c r="NZG64"/>
      <c r="NZH64"/>
      <c r="NZI64"/>
      <c r="NZJ64"/>
      <c r="NZK64"/>
      <c r="NZL64"/>
      <c r="NZM64"/>
      <c r="NZN64"/>
      <c r="NZO64"/>
      <c r="NZP64"/>
      <c r="NZQ64"/>
      <c r="NZR64"/>
      <c r="NZS64"/>
      <c r="NZT64"/>
      <c r="NZU64"/>
      <c r="NZV64"/>
      <c r="NZW64"/>
      <c r="NZX64"/>
      <c r="NZY64"/>
      <c r="NZZ64"/>
      <c r="OAA64"/>
      <c r="OAB64"/>
      <c r="OAC64"/>
      <c r="OAD64"/>
      <c r="OAE64"/>
      <c r="OAF64"/>
      <c r="OAG64"/>
      <c r="OAH64"/>
      <c r="OAI64"/>
      <c r="OAJ64"/>
      <c r="OAK64"/>
      <c r="OAL64"/>
      <c r="OAM64"/>
      <c r="OAN64"/>
      <c r="OAO64"/>
      <c r="OAP64"/>
      <c r="OAQ64"/>
      <c r="OAR64"/>
      <c r="OAS64"/>
      <c r="OAT64"/>
      <c r="OAU64"/>
      <c r="OAV64"/>
      <c r="OAW64"/>
      <c r="OAX64"/>
      <c r="OAY64"/>
      <c r="OAZ64"/>
      <c r="OBA64"/>
      <c r="OBB64"/>
      <c r="OBC64"/>
      <c r="OBD64"/>
      <c r="OBE64"/>
      <c r="OBF64"/>
      <c r="OBG64"/>
      <c r="OBH64"/>
      <c r="OBI64"/>
      <c r="OBJ64"/>
      <c r="OBK64"/>
      <c r="OBL64"/>
      <c r="OBM64"/>
      <c r="OBN64"/>
      <c r="OBO64"/>
      <c r="OBP64"/>
      <c r="OBQ64"/>
      <c r="OBR64"/>
      <c r="OBS64"/>
      <c r="OBT64"/>
      <c r="OBU64"/>
      <c r="OBV64"/>
      <c r="OBW64"/>
      <c r="OBX64"/>
      <c r="OBY64"/>
      <c r="OBZ64"/>
      <c r="OCA64"/>
      <c r="OCB64"/>
      <c r="OCC64"/>
      <c r="OCD64"/>
      <c r="OCE64"/>
      <c r="OCF64"/>
      <c r="OCG64"/>
      <c r="OCH64"/>
      <c r="OCI64"/>
      <c r="OCJ64"/>
      <c r="OCK64"/>
      <c r="OCL64"/>
      <c r="OCM64"/>
      <c r="OCN64"/>
      <c r="OCO64"/>
      <c r="OCP64"/>
      <c r="OCQ64"/>
      <c r="OCR64"/>
      <c r="OCS64"/>
      <c r="OCT64"/>
      <c r="OCU64"/>
      <c r="OCV64"/>
      <c r="OCW64"/>
      <c r="OCX64"/>
      <c r="OCY64"/>
      <c r="OCZ64"/>
      <c r="ODA64"/>
      <c r="ODB64"/>
      <c r="ODC64"/>
      <c r="ODD64"/>
      <c r="ODE64"/>
      <c r="ODF64"/>
      <c r="ODG64"/>
      <c r="ODH64"/>
      <c r="ODI64"/>
      <c r="ODJ64"/>
      <c r="ODK64"/>
      <c r="ODL64"/>
      <c r="ODM64"/>
      <c r="ODN64"/>
      <c r="ODO64"/>
      <c r="ODP64"/>
      <c r="ODQ64"/>
      <c r="ODR64"/>
      <c r="ODS64"/>
      <c r="ODT64"/>
      <c r="ODU64"/>
      <c r="ODV64"/>
      <c r="ODW64"/>
      <c r="ODX64"/>
      <c r="ODY64"/>
      <c r="ODZ64"/>
      <c r="OEA64"/>
      <c r="OEB64"/>
      <c r="OEC64"/>
      <c r="OED64"/>
      <c r="OEE64"/>
      <c r="OEF64"/>
      <c r="OEG64"/>
      <c r="OEH64"/>
      <c r="OEI64"/>
      <c r="OEJ64"/>
      <c r="OEK64"/>
      <c r="OEL64"/>
      <c r="OEM64"/>
      <c r="OEN64"/>
      <c r="OEO64"/>
      <c r="OEP64"/>
      <c r="OEQ64"/>
      <c r="OER64"/>
      <c r="OES64"/>
      <c r="OET64"/>
      <c r="OEU64"/>
      <c r="OEV64"/>
      <c r="OEW64"/>
      <c r="OEX64"/>
      <c r="OEY64"/>
      <c r="OEZ64"/>
      <c r="OFA64"/>
      <c r="OFB64"/>
      <c r="OFC64"/>
      <c r="OFD64"/>
      <c r="OFE64"/>
      <c r="OFF64"/>
      <c r="OFG64"/>
      <c r="OFH64"/>
      <c r="OFI64"/>
      <c r="OFJ64"/>
      <c r="OFK64"/>
      <c r="OFL64"/>
      <c r="OFM64"/>
      <c r="OFN64"/>
      <c r="OFO64"/>
      <c r="OFP64"/>
      <c r="OFQ64"/>
      <c r="OFR64"/>
      <c r="OFS64"/>
      <c r="OFT64"/>
      <c r="OFU64"/>
      <c r="OFV64"/>
      <c r="OFW64"/>
      <c r="OFX64"/>
      <c r="OFY64"/>
      <c r="OFZ64"/>
      <c r="OGA64"/>
      <c r="OGB64"/>
      <c r="OGC64"/>
      <c r="OGD64"/>
      <c r="OGE64"/>
      <c r="OGF64"/>
      <c r="OGG64"/>
      <c r="OGH64"/>
      <c r="OGI64"/>
      <c r="OGJ64"/>
      <c r="OGK64"/>
      <c r="OGL64"/>
      <c r="OGM64"/>
      <c r="OGN64"/>
      <c r="OGO64"/>
      <c r="OGP64"/>
      <c r="OGQ64"/>
      <c r="OGR64"/>
      <c r="OGS64"/>
      <c r="OGT64"/>
      <c r="OGU64"/>
      <c r="OGV64"/>
      <c r="OGW64"/>
      <c r="OGX64"/>
      <c r="OGY64"/>
      <c r="OGZ64"/>
      <c r="OHA64"/>
      <c r="OHB64"/>
      <c r="OHC64"/>
      <c r="OHD64"/>
      <c r="OHE64"/>
      <c r="OHF64"/>
      <c r="OHG64"/>
      <c r="OHH64"/>
      <c r="OHI64"/>
      <c r="OHJ64"/>
      <c r="OHK64"/>
      <c r="OHL64"/>
      <c r="OHM64"/>
      <c r="OHN64"/>
      <c r="OHO64"/>
      <c r="OHP64"/>
      <c r="OHQ64"/>
      <c r="OHR64"/>
      <c r="OHS64"/>
      <c r="OHT64"/>
      <c r="OHU64"/>
      <c r="OHV64"/>
      <c r="OHW64"/>
      <c r="OHX64"/>
      <c r="OHY64"/>
      <c r="OHZ64"/>
      <c r="OIA64"/>
      <c r="OIB64"/>
      <c r="OIC64"/>
      <c r="OID64"/>
      <c r="OIE64"/>
      <c r="OIF64"/>
      <c r="OIG64"/>
      <c r="OIH64"/>
      <c r="OII64"/>
      <c r="OIJ64"/>
      <c r="OIK64"/>
      <c r="OIL64"/>
      <c r="OIM64"/>
      <c r="OIN64"/>
      <c r="OIO64"/>
      <c r="OIP64"/>
      <c r="OIQ64"/>
      <c r="OIR64"/>
      <c r="OIS64"/>
      <c r="OIT64"/>
      <c r="OIU64"/>
      <c r="OIV64"/>
      <c r="OIW64"/>
      <c r="OIX64"/>
      <c r="OIY64"/>
      <c r="OIZ64"/>
      <c r="OJA64"/>
      <c r="OJB64"/>
      <c r="OJC64"/>
      <c r="OJD64"/>
      <c r="OJE64"/>
      <c r="OJF64"/>
      <c r="OJG64"/>
      <c r="OJH64"/>
      <c r="OJI64"/>
      <c r="OJJ64"/>
      <c r="OJK64"/>
      <c r="OJL64"/>
      <c r="OJM64"/>
      <c r="OJN64"/>
      <c r="OJO64"/>
      <c r="OJP64"/>
      <c r="OJQ64"/>
      <c r="OJR64"/>
      <c r="OJS64"/>
      <c r="OJT64"/>
      <c r="OJU64"/>
      <c r="OJV64"/>
      <c r="OJW64"/>
      <c r="OJX64"/>
      <c r="OJY64"/>
      <c r="OJZ64"/>
      <c r="OKA64"/>
      <c r="OKB64"/>
      <c r="OKC64"/>
      <c r="OKD64"/>
      <c r="OKE64"/>
      <c r="OKF64"/>
      <c r="OKG64"/>
      <c r="OKH64"/>
      <c r="OKI64"/>
      <c r="OKJ64"/>
      <c r="OKK64"/>
      <c r="OKL64"/>
      <c r="OKM64"/>
      <c r="OKN64"/>
      <c r="OKO64"/>
      <c r="OKP64"/>
      <c r="OKQ64"/>
      <c r="OKR64"/>
      <c r="OKS64"/>
      <c r="OKT64"/>
      <c r="OKU64"/>
      <c r="OKV64"/>
      <c r="OKW64"/>
      <c r="OKX64"/>
      <c r="OKY64"/>
      <c r="OKZ64"/>
      <c r="OLA64"/>
      <c r="OLB64"/>
      <c r="OLC64"/>
      <c r="OLD64"/>
      <c r="OLE64"/>
      <c r="OLF64"/>
      <c r="OLG64"/>
      <c r="OLH64"/>
      <c r="OLI64"/>
      <c r="OLJ64"/>
      <c r="OLK64"/>
      <c r="OLL64"/>
      <c r="OLM64"/>
      <c r="OLN64"/>
      <c r="OLO64"/>
      <c r="OLP64"/>
      <c r="OLQ64"/>
      <c r="OLR64"/>
      <c r="OLS64"/>
      <c r="OLT64"/>
      <c r="OLU64"/>
      <c r="OLV64"/>
      <c r="OLW64"/>
      <c r="OLX64"/>
      <c r="OLY64"/>
      <c r="OLZ64"/>
      <c r="OMA64"/>
      <c r="OMB64"/>
      <c r="OMC64"/>
      <c r="OMD64"/>
      <c r="OME64"/>
      <c r="OMF64"/>
      <c r="OMG64"/>
      <c r="OMH64"/>
      <c r="OMI64"/>
      <c r="OMJ64"/>
      <c r="OMK64"/>
      <c r="OML64"/>
      <c r="OMM64"/>
      <c r="OMN64"/>
      <c r="OMO64"/>
      <c r="OMP64"/>
      <c r="OMQ64"/>
      <c r="OMR64"/>
      <c r="OMS64"/>
      <c r="OMT64"/>
      <c r="OMU64"/>
      <c r="OMV64"/>
      <c r="OMW64"/>
      <c r="OMX64"/>
      <c r="OMY64"/>
      <c r="OMZ64"/>
      <c r="ONA64"/>
      <c r="ONB64"/>
      <c r="ONC64"/>
      <c r="OND64"/>
      <c r="ONE64"/>
      <c r="ONF64"/>
      <c r="ONG64"/>
      <c r="ONH64"/>
      <c r="ONI64"/>
      <c r="ONJ64"/>
      <c r="ONK64"/>
      <c r="ONL64"/>
      <c r="ONM64"/>
      <c r="ONN64"/>
      <c r="ONO64"/>
      <c r="ONP64"/>
      <c r="ONQ64"/>
      <c r="ONR64"/>
      <c r="ONS64"/>
      <c r="ONT64"/>
      <c r="ONU64"/>
      <c r="ONV64"/>
      <c r="ONW64"/>
      <c r="ONX64"/>
      <c r="ONY64"/>
      <c r="ONZ64"/>
      <c r="OOA64"/>
      <c r="OOB64"/>
      <c r="OOC64"/>
      <c r="OOD64"/>
      <c r="OOE64"/>
      <c r="OOF64"/>
      <c r="OOG64"/>
      <c r="OOH64"/>
      <c r="OOI64"/>
      <c r="OOJ64"/>
      <c r="OOK64"/>
      <c r="OOL64"/>
      <c r="OOM64"/>
      <c r="OON64"/>
      <c r="OOO64"/>
      <c r="OOP64"/>
      <c r="OOQ64"/>
      <c r="OOR64"/>
      <c r="OOS64"/>
      <c r="OOT64"/>
      <c r="OOU64"/>
      <c r="OOV64"/>
      <c r="OOW64"/>
      <c r="OOX64"/>
      <c r="OOY64"/>
      <c r="OOZ64"/>
      <c r="OPA64"/>
      <c r="OPB64"/>
      <c r="OPC64"/>
      <c r="OPD64"/>
      <c r="OPE64"/>
      <c r="OPF64"/>
      <c r="OPG64"/>
      <c r="OPH64"/>
      <c r="OPI64"/>
      <c r="OPJ64"/>
      <c r="OPK64"/>
      <c r="OPL64"/>
      <c r="OPM64"/>
      <c r="OPN64"/>
      <c r="OPO64"/>
      <c r="OPP64"/>
      <c r="OPQ64"/>
      <c r="OPR64"/>
      <c r="OPS64"/>
      <c r="OPT64"/>
      <c r="OPU64"/>
      <c r="OPV64"/>
      <c r="OPW64"/>
      <c r="OPX64"/>
      <c r="OPY64"/>
      <c r="OPZ64"/>
      <c r="OQA64"/>
      <c r="OQB64"/>
      <c r="OQC64"/>
      <c r="OQD64"/>
      <c r="OQE64"/>
      <c r="OQF64"/>
      <c r="OQG64"/>
      <c r="OQH64"/>
      <c r="OQI64"/>
      <c r="OQJ64"/>
      <c r="OQK64"/>
      <c r="OQL64"/>
      <c r="OQM64"/>
      <c r="OQN64"/>
      <c r="OQO64"/>
      <c r="OQP64"/>
      <c r="OQQ64"/>
      <c r="OQR64"/>
      <c r="OQS64"/>
      <c r="OQT64"/>
      <c r="OQU64"/>
      <c r="OQV64"/>
      <c r="OQW64"/>
      <c r="OQX64"/>
      <c r="OQY64"/>
      <c r="OQZ64"/>
      <c r="ORA64"/>
      <c r="ORB64"/>
      <c r="ORC64"/>
      <c r="ORD64"/>
      <c r="ORE64"/>
      <c r="ORF64"/>
      <c r="ORG64"/>
      <c r="ORH64"/>
      <c r="ORI64"/>
      <c r="ORJ64"/>
      <c r="ORK64"/>
      <c r="ORL64"/>
      <c r="ORM64"/>
      <c r="ORN64"/>
      <c r="ORO64"/>
      <c r="ORP64"/>
      <c r="ORQ64"/>
      <c r="ORR64"/>
      <c r="ORS64"/>
      <c r="ORT64"/>
      <c r="ORU64"/>
      <c r="ORV64"/>
      <c r="ORW64"/>
      <c r="ORX64"/>
      <c r="ORY64"/>
      <c r="ORZ64"/>
      <c r="OSA64"/>
      <c r="OSB64"/>
      <c r="OSC64"/>
      <c r="OSD64"/>
      <c r="OSE64"/>
      <c r="OSF64"/>
      <c r="OSG64"/>
      <c r="OSH64"/>
      <c r="OSI64"/>
      <c r="OSJ64"/>
      <c r="OSK64"/>
      <c r="OSL64"/>
      <c r="OSM64"/>
      <c r="OSN64"/>
      <c r="OSO64"/>
      <c r="OSP64"/>
      <c r="OSQ64"/>
      <c r="OSR64"/>
      <c r="OSS64"/>
      <c r="OST64"/>
      <c r="OSU64"/>
      <c r="OSV64"/>
      <c r="OSW64"/>
      <c r="OSX64"/>
      <c r="OSY64"/>
      <c r="OSZ64"/>
      <c r="OTA64"/>
      <c r="OTB64"/>
      <c r="OTC64"/>
      <c r="OTD64"/>
      <c r="OTE64"/>
      <c r="OTF64"/>
      <c r="OTG64"/>
      <c r="OTH64"/>
      <c r="OTI64"/>
      <c r="OTJ64"/>
      <c r="OTK64"/>
      <c r="OTL64"/>
      <c r="OTM64"/>
      <c r="OTN64"/>
      <c r="OTO64"/>
      <c r="OTP64"/>
      <c r="OTQ64"/>
      <c r="OTR64"/>
      <c r="OTS64"/>
      <c r="OTT64"/>
      <c r="OTU64"/>
      <c r="OTV64"/>
      <c r="OTW64"/>
      <c r="OTX64"/>
      <c r="OTY64"/>
      <c r="OTZ64"/>
      <c r="OUA64"/>
      <c r="OUB64"/>
      <c r="OUC64"/>
      <c r="OUD64"/>
      <c r="OUE64"/>
      <c r="OUF64"/>
      <c r="OUG64"/>
      <c r="OUH64"/>
      <c r="OUI64"/>
      <c r="OUJ64"/>
      <c r="OUK64"/>
      <c r="OUL64"/>
      <c r="OUM64"/>
      <c r="OUN64"/>
      <c r="OUO64"/>
      <c r="OUP64"/>
      <c r="OUQ64"/>
      <c r="OUR64"/>
      <c r="OUS64"/>
      <c r="OUT64"/>
      <c r="OUU64"/>
      <c r="OUV64"/>
      <c r="OUW64"/>
      <c r="OUX64"/>
      <c r="OUY64"/>
      <c r="OUZ64"/>
      <c r="OVA64"/>
      <c r="OVB64"/>
      <c r="OVC64"/>
      <c r="OVD64"/>
      <c r="OVE64"/>
      <c r="OVF64"/>
      <c r="OVG64"/>
      <c r="OVH64"/>
      <c r="OVI64"/>
      <c r="OVJ64"/>
      <c r="OVK64"/>
      <c r="OVL64"/>
      <c r="OVM64"/>
      <c r="OVN64"/>
      <c r="OVO64"/>
      <c r="OVP64"/>
      <c r="OVQ64"/>
      <c r="OVR64"/>
      <c r="OVS64"/>
      <c r="OVT64"/>
      <c r="OVU64"/>
      <c r="OVV64"/>
      <c r="OVW64"/>
      <c r="OVX64"/>
      <c r="OVY64"/>
      <c r="OVZ64"/>
      <c r="OWA64"/>
      <c r="OWB64"/>
      <c r="OWC64"/>
      <c r="OWD64"/>
      <c r="OWE64"/>
      <c r="OWF64"/>
      <c r="OWG64"/>
      <c r="OWH64"/>
      <c r="OWI64"/>
      <c r="OWJ64"/>
      <c r="OWK64"/>
      <c r="OWL64"/>
      <c r="OWM64"/>
      <c r="OWN64"/>
      <c r="OWO64"/>
      <c r="OWP64"/>
      <c r="OWQ64"/>
      <c r="OWR64"/>
      <c r="OWS64"/>
      <c r="OWT64"/>
      <c r="OWU64"/>
      <c r="OWV64"/>
      <c r="OWW64"/>
      <c r="OWX64"/>
      <c r="OWY64"/>
      <c r="OWZ64"/>
      <c r="OXA64"/>
      <c r="OXB64"/>
      <c r="OXC64"/>
      <c r="OXD64"/>
      <c r="OXE64"/>
      <c r="OXF64"/>
      <c r="OXG64"/>
      <c r="OXH64"/>
      <c r="OXI64"/>
      <c r="OXJ64"/>
      <c r="OXK64"/>
      <c r="OXL64"/>
      <c r="OXM64"/>
      <c r="OXN64"/>
      <c r="OXO64"/>
      <c r="OXP64"/>
      <c r="OXQ64"/>
      <c r="OXR64"/>
      <c r="OXS64"/>
      <c r="OXT64"/>
      <c r="OXU64"/>
      <c r="OXV64"/>
      <c r="OXW64"/>
      <c r="OXX64"/>
      <c r="OXY64"/>
      <c r="OXZ64"/>
      <c r="OYA64"/>
      <c r="OYB64"/>
      <c r="OYC64"/>
      <c r="OYD64"/>
      <c r="OYE64"/>
      <c r="OYF64"/>
      <c r="OYG64"/>
      <c r="OYH64"/>
      <c r="OYI64"/>
      <c r="OYJ64"/>
      <c r="OYK64"/>
      <c r="OYL64"/>
      <c r="OYM64"/>
      <c r="OYN64"/>
      <c r="OYO64"/>
      <c r="OYP64"/>
      <c r="OYQ64"/>
      <c r="OYR64"/>
      <c r="OYS64"/>
      <c r="OYT64"/>
      <c r="OYU64"/>
      <c r="OYV64"/>
      <c r="OYW64"/>
      <c r="OYX64"/>
      <c r="OYY64"/>
      <c r="OYZ64"/>
      <c r="OZA64"/>
      <c r="OZB64"/>
      <c r="OZC64"/>
      <c r="OZD64"/>
      <c r="OZE64"/>
      <c r="OZF64"/>
      <c r="OZG64"/>
      <c r="OZH64"/>
      <c r="OZI64"/>
      <c r="OZJ64"/>
      <c r="OZK64"/>
      <c r="OZL64"/>
      <c r="OZM64"/>
      <c r="OZN64"/>
      <c r="OZO64"/>
      <c r="OZP64"/>
      <c r="OZQ64"/>
      <c r="OZR64"/>
      <c r="OZS64"/>
      <c r="OZT64"/>
      <c r="OZU64"/>
      <c r="OZV64"/>
      <c r="OZW64"/>
      <c r="OZX64"/>
      <c r="OZY64"/>
      <c r="OZZ64"/>
      <c r="PAA64"/>
      <c r="PAB64"/>
      <c r="PAC64"/>
      <c r="PAD64"/>
      <c r="PAE64"/>
      <c r="PAF64"/>
      <c r="PAG64"/>
      <c r="PAH64"/>
      <c r="PAI64"/>
      <c r="PAJ64"/>
      <c r="PAK64"/>
      <c r="PAL64"/>
      <c r="PAM64"/>
      <c r="PAN64"/>
      <c r="PAO64"/>
      <c r="PAP64"/>
      <c r="PAQ64"/>
      <c r="PAR64"/>
      <c r="PAS64"/>
      <c r="PAT64"/>
      <c r="PAU64"/>
      <c r="PAV64"/>
      <c r="PAW64"/>
      <c r="PAX64"/>
      <c r="PAY64"/>
      <c r="PAZ64"/>
      <c r="PBA64"/>
      <c r="PBB64"/>
      <c r="PBC64"/>
      <c r="PBD64"/>
      <c r="PBE64"/>
      <c r="PBF64"/>
      <c r="PBG64"/>
      <c r="PBH64"/>
      <c r="PBI64"/>
      <c r="PBJ64"/>
      <c r="PBK64"/>
      <c r="PBL64"/>
      <c r="PBM64"/>
      <c r="PBN64"/>
      <c r="PBO64"/>
      <c r="PBP64"/>
      <c r="PBQ64"/>
      <c r="PBR64"/>
      <c r="PBS64"/>
      <c r="PBT64"/>
      <c r="PBU64"/>
      <c r="PBV64"/>
      <c r="PBW64"/>
      <c r="PBX64"/>
      <c r="PBY64"/>
      <c r="PBZ64"/>
      <c r="PCA64"/>
      <c r="PCB64"/>
      <c r="PCC64"/>
      <c r="PCD64"/>
      <c r="PCE64"/>
      <c r="PCF64"/>
      <c r="PCG64"/>
      <c r="PCH64"/>
      <c r="PCI64"/>
      <c r="PCJ64"/>
      <c r="PCK64"/>
      <c r="PCL64"/>
      <c r="PCM64"/>
      <c r="PCN64"/>
      <c r="PCO64"/>
      <c r="PCP64"/>
      <c r="PCQ64"/>
      <c r="PCR64"/>
      <c r="PCS64"/>
      <c r="PCT64"/>
      <c r="PCU64"/>
      <c r="PCV64"/>
      <c r="PCW64"/>
      <c r="PCX64"/>
      <c r="PCY64"/>
      <c r="PCZ64"/>
      <c r="PDA64"/>
      <c r="PDB64"/>
      <c r="PDC64"/>
      <c r="PDD64"/>
      <c r="PDE64"/>
      <c r="PDF64"/>
      <c r="PDG64"/>
      <c r="PDH64"/>
      <c r="PDI64"/>
      <c r="PDJ64"/>
      <c r="PDK64"/>
      <c r="PDL64"/>
      <c r="PDM64"/>
      <c r="PDN64"/>
      <c r="PDO64"/>
      <c r="PDP64"/>
      <c r="PDQ64"/>
      <c r="PDR64"/>
      <c r="PDS64"/>
      <c r="PDT64"/>
      <c r="PDU64"/>
      <c r="PDV64"/>
      <c r="PDW64"/>
      <c r="PDX64"/>
      <c r="PDY64"/>
      <c r="PDZ64"/>
      <c r="PEA64"/>
      <c r="PEB64"/>
      <c r="PEC64"/>
      <c r="PED64"/>
      <c r="PEE64"/>
      <c r="PEF64"/>
      <c r="PEG64"/>
      <c r="PEH64"/>
      <c r="PEI64"/>
      <c r="PEJ64"/>
      <c r="PEK64"/>
      <c r="PEL64"/>
      <c r="PEM64"/>
      <c r="PEN64"/>
      <c r="PEO64"/>
      <c r="PEP64"/>
      <c r="PEQ64"/>
      <c r="PER64"/>
      <c r="PES64"/>
      <c r="PET64"/>
      <c r="PEU64"/>
      <c r="PEV64"/>
      <c r="PEW64"/>
      <c r="PEX64"/>
      <c r="PEY64"/>
      <c r="PEZ64"/>
      <c r="PFA64"/>
      <c r="PFB64"/>
      <c r="PFC64"/>
      <c r="PFD64"/>
      <c r="PFE64"/>
      <c r="PFF64"/>
      <c r="PFG64"/>
      <c r="PFH64"/>
      <c r="PFI64"/>
      <c r="PFJ64"/>
      <c r="PFK64"/>
      <c r="PFL64"/>
      <c r="PFM64"/>
      <c r="PFN64"/>
      <c r="PFO64"/>
      <c r="PFP64"/>
      <c r="PFQ64"/>
      <c r="PFR64"/>
      <c r="PFS64"/>
      <c r="PFT64"/>
      <c r="PFU64"/>
      <c r="PFV64"/>
      <c r="PFW64"/>
      <c r="PFX64"/>
      <c r="PFY64"/>
      <c r="PFZ64"/>
      <c r="PGA64"/>
      <c r="PGB64"/>
      <c r="PGC64"/>
      <c r="PGD64"/>
      <c r="PGE64"/>
      <c r="PGF64"/>
      <c r="PGG64"/>
      <c r="PGH64"/>
      <c r="PGI64"/>
      <c r="PGJ64"/>
      <c r="PGK64"/>
      <c r="PGL64"/>
      <c r="PGM64"/>
      <c r="PGN64"/>
      <c r="PGO64"/>
      <c r="PGP64"/>
      <c r="PGQ64"/>
      <c r="PGR64"/>
      <c r="PGS64"/>
      <c r="PGT64"/>
      <c r="PGU64"/>
      <c r="PGV64"/>
      <c r="PGW64"/>
      <c r="PGX64"/>
      <c r="PGY64"/>
      <c r="PGZ64"/>
      <c r="PHA64"/>
      <c r="PHB64"/>
      <c r="PHC64"/>
      <c r="PHD64"/>
      <c r="PHE64"/>
      <c r="PHF64"/>
      <c r="PHG64"/>
      <c r="PHH64"/>
      <c r="PHI64"/>
      <c r="PHJ64"/>
      <c r="PHK64"/>
      <c r="PHL64"/>
      <c r="PHM64"/>
      <c r="PHN64"/>
      <c r="PHO64"/>
      <c r="PHP64"/>
      <c r="PHQ64"/>
      <c r="PHR64"/>
      <c r="PHS64"/>
      <c r="PHT64"/>
      <c r="PHU64"/>
      <c r="PHV64"/>
      <c r="PHW64"/>
      <c r="PHX64"/>
      <c r="PHY64"/>
      <c r="PHZ64"/>
      <c r="PIA64"/>
      <c r="PIB64"/>
      <c r="PIC64"/>
      <c r="PID64"/>
      <c r="PIE64"/>
      <c r="PIF64"/>
      <c r="PIG64"/>
      <c r="PIH64"/>
      <c r="PII64"/>
      <c r="PIJ64"/>
      <c r="PIK64"/>
      <c r="PIL64"/>
      <c r="PIM64"/>
      <c r="PIN64"/>
      <c r="PIO64"/>
      <c r="PIP64"/>
      <c r="PIQ64"/>
      <c r="PIR64"/>
      <c r="PIS64"/>
      <c r="PIT64"/>
      <c r="PIU64"/>
      <c r="PIV64"/>
      <c r="PIW64"/>
      <c r="PIX64"/>
      <c r="PIY64"/>
      <c r="PIZ64"/>
      <c r="PJA64"/>
      <c r="PJB64"/>
      <c r="PJC64"/>
      <c r="PJD64"/>
      <c r="PJE64"/>
      <c r="PJF64"/>
      <c r="PJG64"/>
      <c r="PJH64"/>
      <c r="PJI64"/>
      <c r="PJJ64"/>
      <c r="PJK64"/>
      <c r="PJL64"/>
      <c r="PJM64"/>
      <c r="PJN64"/>
      <c r="PJO64"/>
      <c r="PJP64"/>
      <c r="PJQ64"/>
      <c r="PJR64"/>
      <c r="PJS64"/>
      <c r="PJT64"/>
      <c r="PJU64"/>
      <c r="PJV64"/>
      <c r="PJW64"/>
      <c r="PJX64"/>
      <c r="PJY64"/>
      <c r="PJZ64"/>
      <c r="PKA64"/>
      <c r="PKB64"/>
      <c r="PKC64"/>
      <c r="PKD64"/>
      <c r="PKE64"/>
      <c r="PKF64"/>
      <c r="PKG64"/>
      <c r="PKH64"/>
      <c r="PKI64"/>
      <c r="PKJ64"/>
      <c r="PKK64"/>
      <c r="PKL64"/>
      <c r="PKM64"/>
      <c r="PKN64"/>
      <c r="PKO64"/>
      <c r="PKP64"/>
      <c r="PKQ64"/>
      <c r="PKR64"/>
      <c r="PKS64"/>
      <c r="PKT64"/>
      <c r="PKU64"/>
      <c r="PKV64"/>
      <c r="PKW64"/>
      <c r="PKX64"/>
      <c r="PKY64"/>
      <c r="PKZ64"/>
      <c r="PLA64"/>
      <c r="PLB64"/>
      <c r="PLC64"/>
      <c r="PLD64"/>
      <c r="PLE64"/>
      <c r="PLF64"/>
      <c r="PLG64"/>
      <c r="PLH64"/>
      <c r="PLI64"/>
      <c r="PLJ64"/>
      <c r="PLK64"/>
      <c r="PLL64"/>
      <c r="PLM64"/>
      <c r="PLN64"/>
      <c r="PLO64"/>
      <c r="PLP64"/>
      <c r="PLQ64"/>
      <c r="PLR64"/>
      <c r="PLS64"/>
      <c r="PLT64"/>
      <c r="PLU64"/>
      <c r="PLV64"/>
      <c r="PLW64"/>
      <c r="PLX64"/>
      <c r="PLY64"/>
      <c r="PLZ64"/>
      <c r="PMA64"/>
      <c r="PMB64"/>
      <c r="PMC64"/>
      <c r="PMD64"/>
      <c r="PME64"/>
      <c r="PMF64"/>
      <c r="PMG64"/>
      <c r="PMH64"/>
      <c r="PMI64"/>
      <c r="PMJ64"/>
      <c r="PMK64"/>
      <c r="PML64"/>
      <c r="PMM64"/>
      <c r="PMN64"/>
      <c r="PMO64"/>
      <c r="PMP64"/>
      <c r="PMQ64"/>
      <c r="PMR64"/>
      <c r="PMS64"/>
      <c r="PMT64"/>
      <c r="PMU64"/>
      <c r="PMV64"/>
      <c r="PMW64"/>
      <c r="PMX64"/>
      <c r="PMY64"/>
      <c r="PMZ64"/>
      <c r="PNA64"/>
      <c r="PNB64"/>
      <c r="PNC64"/>
      <c r="PND64"/>
      <c r="PNE64"/>
      <c r="PNF64"/>
      <c r="PNG64"/>
      <c r="PNH64"/>
      <c r="PNI64"/>
      <c r="PNJ64"/>
      <c r="PNK64"/>
      <c r="PNL64"/>
      <c r="PNM64"/>
      <c r="PNN64"/>
      <c r="PNO64"/>
      <c r="PNP64"/>
      <c r="PNQ64"/>
      <c r="PNR64"/>
      <c r="PNS64"/>
      <c r="PNT64"/>
      <c r="PNU64"/>
      <c r="PNV64"/>
      <c r="PNW64"/>
      <c r="PNX64"/>
      <c r="PNY64"/>
      <c r="PNZ64"/>
      <c r="POA64"/>
      <c r="POB64"/>
      <c r="POC64"/>
      <c r="POD64"/>
      <c r="POE64"/>
      <c r="POF64"/>
      <c r="POG64"/>
      <c r="POH64"/>
      <c r="POI64"/>
      <c r="POJ64"/>
      <c r="POK64"/>
      <c r="POL64"/>
      <c r="POM64"/>
      <c r="PON64"/>
      <c r="POO64"/>
      <c r="POP64"/>
      <c r="POQ64"/>
      <c r="POR64"/>
      <c r="POS64"/>
      <c r="POT64"/>
      <c r="POU64"/>
      <c r="POV64"/>
      <c r="POW64"/>
      <c r="POX64"/>
      <c r="POY64"/>
      <c r="POZ64"/>
      <c r="PPA64"/>
      <c r="PPB64"/>
      <c r="PPC64"/>
      <c r="PPD64"/>
      <c r="PPE64"/>
      <c r="PPF64"/>
      <c r="PPG64"/>
      <c r="PPH64"/>
      <c r="PPI64"/>
      <c r="PPJ64"/>
      <c r="PPK64"/>
      <c r="PPL64"/>
      <c r="PPM64"/>
      <c r="PPN64"/>
      <c r="PPO64"/>
      <c r="PPP64"/>
      <c r="PPQ64"/>
      <c r="PPR64"/>
      <c r="PPS64"/>
      <c r="PPT64"/>
      <c r="PPU64"/>
      <c r="PPV64"/>
      <c r="PPW64"/>
      <c r="PPX64"/>
      <c r="PPY64"/>
      <c r="PPZ64"/>
      <c r="PQA64"/>
      <c r="PQB64"/>
      <c r="PQC64"/>
      <c r="PQD64"/>
      <c r="PQE64"/>
      <c r="PQF64"/>
      <c r="PQG64"/>
      <c r="PQH64"/>
      <c r="PQI64"/>
      <c r="PQJ64"/>
      <c r="PQK64"/>
      <c r="PQL64"/>
      <c r="PQM64"/>
      <c r="PQN64"/>
      <c r="PQO64"/>
      <c r="PQP64"/>
      <c r="PQQ64"/>
      <c r="PQR64"/>
      <c r="PQS64"/>
      <c r="PQT64"/>
      <c r="PQU64"/>
      <c r="PQV64"/>
      <c r="PQW64"/>
      <c r="PQX64"/>
      <c r="PQY64"/>
      <c r="PQZ64"/>
      <c r="PRA64"/>
      <c r="PRB64"/>
      <c r="PRC64"/>
      <c r="PRD64"/>
      <c r="PRE64"/>
      <c r="PRF64"/>
      <c r="PRG64"/>
      <c r="PRH64"/>
      <c r="PRI64"/>
      <c r="PRJ64"/>
      <c r="PRK64"/>
      <c r="PRL64"/>
      <c r="PRM64"/>
      <c r="PRN64"/>
      <c r="PRO64"/>
      <c r="PRP64"/>
      <c r="PRQ64"/>
      <c r="PRR64"/>
      <c r="PRS64"/>
      <c r="PRT64"/>
      <c r="PRU64"/>
      <c r="PRV64"/>
      <c r="PRW64"/>
      <c r="PRX64"/>
      <c r="PRY64"/>
      <c r="PRZ64"/>
      <c r="PSA64"/>
      <c r="PSB64"/>
      <c r="PSC64"/>
      <c r="PSD64"/>
      <c r="PSE64"/>
      <c r="PSF64"/>
      <c r="PSG64"/>
      <c r="PSH64"/>
      <c r="PSI64"/>
      <c r="PSJ64"/>
      <c r="PSK64"/>
      <c r="PSL64"/>
      <c r="PSM64"/>
      <c r="PSN64"/>
      <c r="PSO64"/>
      <c r="PSP64"/>
      <c r="PSQ64"/>
      <c r="PSR64"/>
      <c r="PSS64"/>
      <c r="PST64"/>
      <c r="PSU64"/>
      <c r="PSV64"/>
      <c r="PSW64"/>
      <c r="PSX64"/>
      <c r="PSY64"/>
      <c r="PSZ64"/>
      <c r="PTA64"/>
      <c r="PTB64"/>
      <c r="PTC64"/>
      <c r="PTD64"/>
      <c r="PTE64"/>
      <c r="PTF64"/>
      <c r="PTG64"/>
      <c r="PTH64"/>
      <c r="PTI64"/>
      <c r="PTJ64"/>
      <c r="PTK64"/>
      <c r="PTL64"/>
      <c r="PTM64"/>
      <c r="PTN64"/>
      <c r="PTO64"/>
      <c r="PTP64"/>
      <c r="PTQ64"/>
      <c r="PTR64"/>
      <c r="PTS64"/>
      <c r="PTT64"/>
      <c r="PTU64"/>
      <c r="PTV64"/>
      <c r="PTW64"/>
      <c r="PTX64"/>
      <c r="PTY64"/>
      <c r="PTZ64"/>
      <c r="PUA64"/>
      <c r="PUB64"/>
      <c r="PUC64"/>
      <c r="PUD64"/>
      <c r="PUE64"/>
      <c r="PUF64"/>
      <c r="PUG64"/>
      <c r="PUH64"/>
      <c r="PUI64"/>
      <c r="PUJ64"/>
      <c r="PUK64"/>
      <c r="PUL64"/>
      <c r="PUM64"/>
      <c r="PUN64"/>
      <c r="PUO64"/>
      <c r="PUP64"/>
      <c r="PUQ64"/>
      <c r="PUR64"/>
      <c r="PUS64"/>
      <c r="PUT64"/>
      <c r="PUU64"/>
      <c r="PUV64"/>
      <c r="PUW64"/>
      <c r="PUX64"/>
      <c r="PUY64"/>
      <c r="PUZ64"/>
      <c r="PVA64"/>
      <c r="PVB64"/>
      <c r="PVC64"/>
      <c r="PVD64"/>
      <c r="PVE64"/>
      <c r="PVF64"/>
      <c r="PVG64"/>
      <c r="PVH64"/>
      <c r="PVI64"/>
      <c r="PVJ64"/>
      <c r="PVK64"/>
      <c r="PVL64"/>
      <c r="PVM64"/>
      <c r="PVN64"/>
      <c r="PVO64"/>
      <c r="PVP64"/>
      <c r="PVQ64"/>
      <c r="PVR64"/>
      <c r="PVS64"/>
      <c r="PVT64"/>
      <c r="PVU64"/>
      <c r="PVV64"/>
      <c r="PVW64"/>
      <c r="PVX64"/>
      <c r="PVY64"/>
      <c r="PVZ64"/>
      <c r="PWA64"/>
      <c r="PWB64"/>
      <c r="PWC64"/>
      <c r="PWD64"/>
      <c r="PWE64"/>
      <c r="PWF64"/>
      <c r="PWG64"/>
      <c r="PWH64"/>
      <c r="PWI64"/>
      <c r="PWJ64"/>
      <c r="PWK64"/>
      <c r="PWL64"/>
      <c r="PWM64"/>
      <c r="PWN64"/>
      <c r="PWO64"/>
      <c r="PWP64"/>
      <c r="PWQ64"/>
      <c r="PWR64"/>
      <c r="PWS64"/>
      <c r="PWT64"/>
      <c r="PWU64"/>
      <c r="PWV64"/>
      <c r="PWW64"/>
      <c r="PWX64"/>
      <c r="PWY64"/>
      <c r="PWZ64"/>
      <c r="PXA64"/>
      <c r="PXB64"/>
      <c r="PXC64"/>
      <c r="PXD64"/>
      <c r="PXE64"/>
      <c r="PXF64"/>
      <c r="PXG64"/>
      <c r="PXH64"/>
      <c r="PXI64"/>
      <c r="PXJ64"/>
      <c r="PXK64"/>
      <c r="PXL64"/>
      <c r="PXM64"/>
      <c r="PXN64"/>
      <c r="PXO64"/>
      <c r="PXP64"/>
      <c r="PXQ64"/>
      <c r="PXR64"/>
      <c r="PXS64"/>
      <c r="PXT64"/>
      <c r="PXU64"/>
      <c r="PXV64"/>
      <c r="PXW64"/>
      <c r="PXX64"/>
      <c r="PXY64"/>
      <c r="PXZ64"/>
      <c r="PYA64"/>
      <c r="PYB64"/>
      <c r="PYC64"/>
      <c r="PYD64"/>
      <c r="PYE64"/>
      <c r="PYF64"/>
      <c r="PYG64"/>
      <c r="PYH64"/>
      <c r="PYI64"/>
      <c r="PYJ64"/>
      <c r="PYK64"/>
      <c r="PYL64"/>
      <c r="PYM64"/>
      <c r="PYN64"/>
      <c r="PYO64"/>
      <c r="PYP64"/>
      <c r="PYQ64"/>
      <c r="PYR64"/>
      <c r="PYS64"/>
      <c r="PYT64"/>
      <c r="PYU64"/>
      <c r="PYV64"/>
      <c r="PYW64"/>
      <c r="PYX64"/>
      <c r="PYY64"/>
      <c r="PYZ64"/>
      <c r="PZA64"/>
      <c r="PZB64"/>
      <c r="PZC64"/>
      <c r="PZD64"/>
      <c r="PZE64"/>
      <c r="PZF64"/>
      <c r="PZG64"/>
      <c r="PZH64"/>
      <c r="PZI64"/>
      <c r="PZJ64"/>
      <c r="PZK64"/>
      <c r="PZL64"/>
      <c r="PZM64"/>
      <c r="PZN64"/>
      <c r="PZO64"/>
      <c r="PZP64"/>
      <c r="PZQ64"/>
      <c r="PZR64"/>
      <c r="PZS64"/>
      <c r="PZT64"/>
      <c r="PZU64"/>
      <c r="PZV64"/>
      <c r="PZW64"/>
      <c r="PZX64"/>
      <c r="PZY64"/>
      <c r="PZZ64"/>
      <c r="QAA64"/>
      <c r="QAB64"/>
      <c r="QAC64"/>
      <c r="QAD64"/>
      <c r="QAE64"/>
      <c r="QAF64"/>
      <c r="QAG64"/>
      <c r="QAH64"/>
      <c r="QAI64"/>
      <c r="QAJ64"/>
      <c r="QAK64"/>
      <c r="QAL64"/>
      <c r="QAM64"/>
      <c r="QAN64"/>
      <c r="QAO64"/>
      <c r="QAP64"/>
      <c r="QAQ64"/>
      <c r="QAR64"/>
      <c r="QAS64"/>
      <c r="QAT64"/>
      <c r="QAU64"/>
      <c r="QAV64"/>
      <c r="QAW64"/>
      <c r="QAX64"/>
      <c r="QAY64"/>
      <c r="QAZ64"/>
      <c r="QBA64"/>
      <c r="QBB64"/>
      <c r="QBC64"/>
      <c r="QBD64"/>
      <c r="QBE64"/>
      <c r="QBF64"/>
      <c r="QBG64"/>
      <c r="QBH64"/>
      <c r="QBI64"/>
      <c r="QBJ64"/>
      <c r="QBK64"/>
      <c r="QBL64"/>
      <c r="QBM64"/>
      <c r="QBN64"/>
      <c r="QBO64"/>
      <c r="QBP64"/>
      <c r="QBQ64"/>
      <c r="QBR64"/>
      <c r="QBS64"/>
      <c r="QBT64"/>
      <c r="QBU64"/>
      <c r="QBV64"/>
      <c r="QBW64"/>
      <c r="QBX64"/>
      <c r="QBY64"/>
      <c r="QBZ64"/>
      <c r="QCA64"/>
      <c r="QCB64"/>
      <c r="QCC64"/>
      <c r="QCD64"/>
      <c r="QCE64"/>
      <c r="QCF64"/>
      <c r="QCG64"/>
      <c r="QCH64"/>
      <c r="QCI64"/>
      <c r="QCJ64"/>
      <c r="QCK64"/>
      <c r="QCL64"/>
      <c r="QCM64"/>
      <c r="QCN64"/>
      <c r="QCO64"/>
      <c r="QCP64"/>
      <c r="QCQ64"/>
      <c r="QCR64"/>
      <c r="QCS64"/>
      <c r="QCT64"/>
      <c r="QCU64"/>
      <c r="QCV64"/>
      <c r="QCW64"/>
      <c r="QCX64"/>
      <c r="QCY64"/>
      <c r="QCZ64"/>
      <c r="QDA64"/>
      <c r="QDB64"/>
      <c r="QDC64"/>
      <c r="QDD64"/>
      <c r="QDE64"/>
      <c r="QDF64"/>
      <c r="QDG64"/>
      <c r="QDH64"/>
      <c r="QDI64"/>
      <c r="QDJ64"/>
      <c r="QDK64"/>
      <c r="QDL64"/>
      <c r="QDM64"/>
      <c r="QDN64"/>
      <c r="QDO64"/>
      <c r="QDP64"/>
      <c r="QDQ64"/>
      <c r="QDR64"/>
      <c r="QDS64"/>
      <c r="QDT64"/>
      <c r="QDU64"/>
      <c r="QDV64"/>
      <c r="QDW64"/>
      <c r="QDX64"/>
      <c r="QDY64"/>
      <c r="QDZ64"/>
      <c r="QEA64"/>
      <c r="QEB64"/>
      <c r="QEC64"/>
      <c r="QED64"/>
      <c r="QEE64"/>
      <c r="QEF64"/>
      <c r="QEG64"/>
      <c r="QEH64"/>
      <c r="QEI64"/>
      <c r="QEJ64"/>
      <c r="QEK64"/>
      <c r="QEL64"/>
      <c r="QEM64"/>
      <c r="QEN64"/>
      <c r="QEO64"/>
      <c r="QEP64"/>
      <c r="QEQ64"/>
      <c r="QER64"/>
      <c r="QES64"/>
      <c r="QET64"/>
      <c r="QEU64"/>
      <c r="QEV64"/>
      <c r="QEW64"/>
      <c r="QEX64"/>
      <c r="QEY64"/>
      <c r="QEZ64"/>
      <c r="QFA64"/>
      <c r="QFB64"/>
      <c r="QFC64"/>
      <c r="QFD64"/>
      <c r="QFE64"/>
      <c r="QFF64"/>
      <c r="QFG64"/>
      <c r="QFH64"/>
      <c r="QFI64"/>
      <c r="QFJ64"/>
      <c r="QFK64"/>
      <c r="QFL64"/>
      <c r="QFM64"/>
      <c r="QFN64"/>
      <c r="QFO64"/>
      <c r="QFP64"/>
      <c r="QFQ64"/>
      <c r="QFR64"/>
      <c r="QFS64"/>
      <c r="QFT64"/>
      <c r="QFU64"/>
      <c r="QFV64"/>
      <c r="QFW64"/>
      <c r="QFX64"/>
      <c r="QFY64"/>
      <c r="QFZ64"/>
      <c r="QGA64"/>
      <c r="QGB64"/>
      <c r="QGC64"/>
      <c r="QGD64"/>
      <c r="QGE64"/>
      <c r="QGF64"/>
      <c r="QGG64"/>
      <c r="QGH64"/>
      <c r="QGI64"/>
      <c r="QGJ64"/>
      <c r="QGK64"/>
      <c r="QGL64"/>
      <c r="QGM64"/>
      <c r="QGN64"/>
      <c r="QGO64"/>
      <c r="QGP64"/>
      <c r="QGQ64"/>
      <c r="QGR64"/>
      <c r="QGS64"/>
      <c r="QGT64"/>
      <c r="QGU64"/>
      <c r="QGV64"/>
      <c r="QGW64"/>
      <c r="QGX64"/>
      <c r="QGY64"/>
      <c r="QGZ64"/>
      <c r="QHA64"/>
      <c r="QHB64"/>
      <c r="QHC64"/>
      <c r="QHD64"/>
      <c r="QHE64"/>
      <c r="QHF64"/>
      <c r="QHG64"/>
      <c r="QHH64"/>
      <c r="QHI64"/>
      <c r="QHJ64"/>
      <c r="QHK64"/>
      <c r="QHL64"/>
      <c r="QHM64"/>
      <c r="QHN64"/>
      <c r="QHO64"/>
      <c r="QHP64"/>
      <c r="QHQ64"/>
      <c r="QHR64"/>
      <c r="QHS64"/>
      <c r="QHT64"/>
      <c r="QHU64"/>
      <c r="QHV64"/>
      <c r="QHW64"/>
      <c r="QHX64"/>
      <c r="QHY64"/>
      <c r="QHZ64"/>
      <c r="QIA64"/>
      <c r="QIB64"/>
      <c r="QIC64"/>
      <c r="QID64"/>
      <c r="QIE64"/>
      <c r="QIF64"/>
      <c r="QIG64"/>
      <c r="QIH64"/>
      <c r="QII64"/>
      <c r="QIJ64"/>
      <c r="QIK64"/>
      <c r="QIL64"/>
      <c r="QIM64"/>
      <c r="QIN64"/>
      <c r="QIO64"/>
      <c r="QIP64"/>
      <c r="QIQ64"/>
      <c r="QIR64"/>
      <c r="QIS64"/>
      <c r="QIT64"/>
      <c r="QIU64"/>
      <c r="QIV64"/>
      <c r="QIW64"/>
      <c r="QIX64"/>
      <c r="QIY64"/>
      <c r="QIZ64"/>
      <c r="QJA64"/>
      <c r="QJB64"/>
      <c r="QJC64"/>
      <c r="QJD64"/>
      <c r="QJE64"/>
      <c r="QJF64"/>
      <c r="QJG64"/>
      <c r="QJH64"/>
      <c r="QJI64"/>
      <c r="QJJ64"/>
      <c r="QJK64"/>
      <c r="QJL64"/>
      <c r="QJM64"/>
      <c r="QJN64"/>
      <c r="QJO64"/>
      <c r="QJP64"/>
      <c r="QJQ64"/>
      <c r="QJR64"/>
      <c r="QJS64"/>
      <c r="QJT64"/>
      <c r="QJU64"/>
      <c r="QJV64"/>
      <c r="QJW64"/>
      <c r="QJX64"/>
      <c r="QJY64"/>
      <c r="QJZ64"/>
      <c r="QKA64"/>
      <c r="QKB64"/>
      <c r="QKC64"/>
      <c r="QKD64"/>
      <c r="QKE64"/>
      <c r="QKF64"/>
      <c r="QKG64"/>
      <c r="QKH64"/>
      <c r="QKI64"/>
      <c r="QKJ64"/>
      <c r="QKK64"/>
      <c r="QKL64"/>
      <c r="QKM64"/>
      <c r="QKN64"/>
      <c r="QKO64"/>
      <c r="QKP64"/>
      <c r="QKQ64"/>
      <c r="QKR64"/>
      <c r="QKS64"/>
      <c r="QKT64"/>
      <c r="QKU64"/>
      <c r="QKV64"/>
      <c r="QKW64"/>
      <c r="QKX64"/>
      <c r="QKY64"/>
      <c r="QKZ64"/>
      <c r="QLA64"/>
      <c r="QLB64"/>
      <c r="QLC64"/>
      <c r="QLD64"/>
      <c r="QLE64"/>
      <c r="QLF64"/>
      <c r="QLG64"/>
      <c r="QLH64"/>
      <c r="QLI64"/>
      <c r="QLJ64"/>
      <c r="QLK64"/>
      <c r="QLL64"/>
      <c r="QLM64"/>
      <c r="QLN64"/>
      <c r="QLO64"/>
      <c r="QLP64"/>
      <c r="QLQ64"/>
      <c r="QLR64"/>
      <c r="QLS64"/>
      <c r="QLT64"/>
      <c r="QLU64"/>
      <c r="QLV64"/>
      <c r="QLW64"/>
      <c r="QLX64"/>
      <c r="QLY64"/>
      <c r="QLZ64"/>
      <c r="QMA64"/>
      <c r="QMB64"/>
      <c r="QMC64"/>
      <c r="QMD64"/>
      <c r="QME64"/>
      <c r="QMF64"/>
      <c r="QMG64"/>
      <c r="QMH64"/>
      <c r="QMI64"/>
      <c r="QMJ64"/>
      <c r="QMK64"/>
      <c r="QML64"/>
      <c r="QMM64"/>
      <c r="QMN64"/>
      <c r="QMO64"/>
      <c r="QMP64"/>
      <c r="QMQ64"/>
      <c r="QMR64"/>
      <c r="QMS64"/>
      <c r="QMT64"/>
      <c r="QMU64"/>
      <c r="QMV64"/>
      <c r="QMW64"/>
      <c r="QMX64"/>
      <c r="QMY64"/>
      <c r="QMZ64"/>
      <c r="QNA64"/>
      <c r="QNB64"/>
      <c r="QNC64"/>
      <c r="QND64"/>
      <c r="QNE64"/>
      <c r="QNF64"/>
      <c r="QNG64"/>
      <c r="QNH64"/>
      <c r="QNI64"/>
      <c r="QNJ64"/>
      <c r="QNK64"/>
      <c r="QNL64"/>
      <c r="QNM64"/>
      <c r="QNN64"/>
      <c r="QNO64"/>
      <c r="QNP64"/>
      <c r="QNQ64"/>
      <c r="QNR64"/>
      <c r="QNS64"/>
      <c r="QNT64"/>
      <c r="QNU64"/>
      <c r="QNV64"/>
      <c r="QNW64"/>
      <c r="QNX64"/>
      <c r="QNY64"/>
      <c r="QNZ64"/>
      <c r="QOA64"/>
      <c r="QOB64"/>
      <c r="QOC64"/>
      <c r="QOD64"/>
      <c r="QOE64"/>
      <c r="QOF64"/>
      <c r="QOG64"/>
      <c r="QOH64"/>
      <c r="QOI64"/>
      <c r="QOJ64"/>
      <c r="QOK64"/>
      <c r="QOL64"/>
      <c r="QOM64"/>
      <c r="QON64"/>
      <c r="QOO64"/>
      <c r="QOP64"/>
      <c r="QOQ64"/>
      <c r="QOR64"/>
      <c r="QOS64"/>
      <c r="QOT64"/>
      <c r="QOU64"/>
      <c r="QOV64"/>
      <c r="QOW64"/>
      <c r="QOX64"/>
      <c r="QOY64"/>
      <c r="QOZ64"/>
      <c r="QPA64"/>
      <c r="QPB64"/>
      <c r="QPC64"/>
      <c r="QPD64"/>
      <c r="QPE64"/>
      <c r="QPF64"/>
      <c r="QPG64"/>
      <c r="QPH64"/>
      <c r="QPI64"/>
      <c r="QPJ64"/>
      <c r="QPK64"/>
      <c r="QPL64"/>
      <c r="QPM64"/>
      <c r="QPN64"/>
      <c r="QPO64"/>
      <c r="QPP64"/>
      <c r="QPQ64"/>
      <c r="QPR64"/>
      <c r="QPS64"/>
      <c r="QPT64"/>
      <c r="QPU64"/>
      <c r="QPV64"/>
      <c r="QPW64"/>
      <c r="QPX64"/>
      <c r="QPY64"/>
      <c r="QPZ64"/>
      <c r="QQA64"/>
      <c r="QQB64"/>
      <c r="QQC64"/>
      <c r="QQD64"/>
      <c r="QQE64"/>
      <c r="QQF64"/>
      <c r="QQG64"/>
      <c r="QQH64"/>
      <c r="QQI64"/>
      <c r="QQJ64"/>
      <c r="QQK64"/>
      <c r="QQL64"/>
      <c r="QQM64"/>
      <c r="QQN64"/>
      <c r="QQO64"/>
      <c r="QQP64"/>
      <c r="QQQ64"/>
      <c r="QQR64"/>
      <c r="QQS64"/>
      <c r="QQT64"/>
      <c r="QQU64"/>
      <c r="QQV64"/>
      <c r="QQW64"/>
      <c r="QQX64"/>
      <c r="QQY64"/>
      <c r="QQZ64"/>
      <c r="QRA64"/>
      <c r="QRB64"/>
      <c r="QRC64"/>
      <c r="QRD64"/>
      <c r="QRE64"/>
      <c r="QRF64"/>
      <c r="QRG64"/>
      <c r="QRH64"/>
      <c r="QRI64"/>
      <c r="QRJ64"/>
      <c r="QRK64"/>
      <c r="QRL64"/>
      <c r="QRM64"/>
      <c r="QRN64"/>
      <c r="QRO64"/>
      <c r="QRP64"/>
      <c r="QRQ64"/>
      <c r="QRR64"/>
      <c r="QRS64"/>
      <c r="QRT64"/>
      <c r="QRU64"/>
      <c r="QRV64"/>
      <c r="QRW64"/>
      <c r="QRX64"/>
      <c r="QRY64"/>
      <c r="QRZ64"/>
      <c r="QSA64"/>
      <c r="QSB64"/>
      <c r="QSC64"/>
      <c r="QSD64"/>
      <c r="QSE64"/>
      <c r="QSF64"/>
      <c r="QSG64"/>
      <c r="QSH64"/>
      <c r="QSI64"/>
      <c r="QSJ64"/>
      <c r="QSK64"/>
      <c r="QSL64"/>
      <c r="QSM64"/>
      <c r="QSN64"/>
      <c r="QSO64"/>
      <c r="QSP64"/>
      <c r="QSQ64"/>
      <c r="QSR64"/>
      <c r="QSS64"/>
      <c r="QST64"/>
      <c r="QSU64"/>
      <c r="QSV64"/>
      <c r="QSW64"/>
      <c r="QSX64"/>
      <c r="QSY64"/>
      <c r="QSZ64"/>
      <c r="QTA64"/>
      <c r="QTB64"/>
      <c r="QTC64"/>
      <c r="QTD64"/>
      <c r="QTE64"/>
      <c r="QTF64"/>
      <c r="QTG64"/>
      <c r="QTH64"/>
      <c r="QTI64"/>
      <c r="QTJ64"/>
      <c r="QTK64"/>
      <c r="QTL64"/>
      <c r="QTM64"/>
      <c r="QTN64"/>
      <c r="QTO64"/>
      <c r="QTP64"/>
      <c r="QTQ64"/>
      <c r="QTR64"/>
      <c r="QTS64"/>
      <c r="QTT64"/>
      <c r="QTU64"/>
      <c r="QTV64"/>
      <c r="QTW64"/>
      <c r="QTX64"/>
      <c r="QTY64"/>
      <c r="QTZ64"/>
      <c r="QUA64"/>
      <c r="QUB64"/>
      <c r="QUC64"/>
      <c r="QUD64"/>
      <c r="QUE64"/>
      <c r="QUF64"/>
      <c r="QUG64"/>
      <c r="QUH64"/>
      <c r="QUI64"/>
      <c r="QUJ64"/>
      <c r="QUK64"/>
      <c r="QUL64"/>
      <c r="QUM64"/>
      <c r="QUN64"/>
      <c r="QUO64"/>
      <c r="QUP64"/>
      <c r="QUQ64"/>
      <c r="QUR64"/>
      <c r="QUS64"/>
      <c r="QUT64"/>
      <c r="QUU64"/>
      <c r="QUV64"/>
      <c r="QUW64"/>
      <c r="QUX64"/>
      <c r="QUY64"/>
      <c r="QUZ64"/>
      <c r="QVA64"/>
      <c r="QVB64"/>
      <c r="QVC64"/>
      <c r="QVD64"/>
      <c r="QVE64"/>
      <c r="QVF64"/>
      <c r="QVG64"/>
      <c r="QVH64"/>
      <c r="QVI64"/>
      <c r="QVJ64"/>
      <c r="QVK64"/>
      <c r="QVL64"/>
      <c r="QVM64"/>
      <c r="QVN64"/>
      <c r="QVO64"/>
      <c r="QVP64"/>
      <c r="QVQ64"/>
      <c r="QVR64"/>
      <c r="QVS64"/>
      <c r="QVT64"/>
      <c r="QVU64"/>
      <c r="QVV64"/>
      <c r="QVW64"/>
      <c r="QVX64"/>
      <c r="QVY64"/>
      <c r="QVZ64"/>
      <c r="QWA64"/>
      <c r="QWB64"/>
      <c r="QWC64"/>
      <c r="QWD64"/>
      <c r="QWE64"/>
      <c r="QWF64"/>
      <c r="QWG64"/>
      <c r="QWH64"/>
      <c r="QWI64"/>
      <c r="QWJ64"/>
      <c r="QWK64"/>
      <c r="QWL64"/>
      <c r="QWM64"/>
      <c r="QWN64"/>
      <c r="QWO64"/>
      <c r="QWP64"/>
      <c r="QWQ64"/>
      <c r="QWR64"/>
      <c r="QWS64"/>
      <c r="QWT64"/>
      <c r="QWU64"/>
      <c r="QWV64"/>
      <c r="QWW64"/>
      <c r="QWX64"/>
      <c r="QWY64"/>
      <c r="QWZ64"/>
      <c r="QXA64"/>
      <c r="QXB64"/>
      <c r="QXC64"/>
      <c r="QXD64"/>
      <c r="QXE64"/>
      <c r="QXF64"/>
      <c r="QXG64"/>
      <c r="QXH64"/>
      <c r="QXI64"/>
      <c r="QXJ64"/>
      <c r="QXK64"/>
      <c r="QXL64"/>
      <c r="QXM64"/>
      <c r="QXN64"/>
      <c r="QXO64"/>
      <c r="QXP64"/>
      <c r="QXQ64"/>
      <c r="QXR64"/>
      <c r="QXS64"/>
      <c r="QXT64"/>
      <c r="QXU64"/>
      <c r="QXV64"/>
      <c r="QXW64"/>
      <c r="QXX64"/>
      <c r="QXY64"/>
      <c r="QXZ64"/>
      <c r="QYA64"/>
      <c r="QYB64"/>
      <c r="QYC64"/>
      <c r="QYD64"/>
      <c r="QYE64"/>
      <c r="QYF64"/>
      <c r="QYG64"/>
      <c r="QYH64"/>
      <c r="QYI64"/>
      <c r="QYJ64"/>
      <c r="QYK64"/>
      <c r="QYL64"/>
      <c r="QYM64"/>
      <c r="QYN64"/>
      <c r="QYO64"/>
      <c r="QYP64"/>
      <c r="QYQ64"/>
      <c r="QYR64"/>
      <c r="QYS64"/>
      <c r="QYT64"/>
      <c r="QYU64"/>
      <c r="QYV64"/>
      <c r="QYW64"/>
      <c r="QYX64"/>
      <c r="QYY64"/>
      <c r="QYZ64"/>
      <c r="QZA64"/>
      <c r="QZB64"/>
      <c r="QZC64"/>
      <c r="QZD64"/>
      <c r="QZE64"/>
      <c r="QZF64"/>
      <c r="QZG64"/>
      <c r="QZH64"/>
      <c r="QZI64"/>
      <c r="QZJ64"/>
      <c r="QZK64"/>
      <c r="QZL64"/>
      <c r="QZM64"/>
      <c r="QZN64"/>
      <c r="QZO64"/>
      <c r="QZP64"/>
      <c r="QZQ64"/>
      <c r="QZR64"/>
      <c r="QZS64"/>
      <c r="QZT64"/>
      <c r="QZU64"/>
      <c r="QZV64"/>
      <c r="QZW64"/>
      <c r="QZX64"/>
      <c r="QZY64"/>
      <c r="QZZ64"/>
      <c r="RAA64"/>
      <c r="RAB64"/>
      <c r="RAC64"/>
      <c r="RAD64"/>
      <c r="RAE64"/>
      <c r="RAF64"/>
      <c r="RAG64"/>
      <c r="RAH64"/>
      <c r="RAI64"/>
      <c r="RAJ64"/>
      <c r="RAK64"/>
      <c r="RAL64"/>
      <c r="RAM64"/>
      <c r="RAN64"/>
      <c r="RAO64"/>
      <c r="RAP64"/>
      <c r="RAQ64"/>
      <c r="RAR64"/>
      <c r="RAS64"/>
      <c r="RAT64"/>
      <c r="RAU64"/>
      <c r="RAV64"/>
      <c r="RAW64"/>
      <c r="RAX64"/>
      <c r="RAY64"/>
      <c r="RAZ64"/>
      <c r="RBA64"/>
      <c r="RBB64"/>
      <c r="RBC64"/>
      <c r="RBD64"/>
      <c r="RBE64"/>
      <c r="RBF64"/>
      <c r="RBG64"/>
      <c r="RBH64"/>
      <c r="RBI64"/>
      <c r="RBJ64"/>
      <c r="RBK64"/>
      <c r="RBL64"/>
      <c r="RBM64"/>
      <c r="RBN64"/>
      <c r="RBO64"/>
      <c r="RBP64"/>
      <c r="RBQ64"/>
      <c r="RBR64"/>
      <c r="RBS64"/>
      <c r="RBT64"/>
      <c r="RBU64"/>
      <c r="RBV64"/>
      <c r="RBW64"/>
      <c r="RBX64"/>
      <c r="RBY64"/>
      <c r="RBZ64"/>
      <c r="RCA64"/>
      <c r="RCB64"/>
      <c r="RCC64"/>
      <c r="RCD64"/>
      <c r="RCE64"/>
      <c r="RCF64"/>
      <c r="RCG64"/>
      <c r="RCH64"/>
      <c r="RCI64"/>
      <c r="RCJ64"/>
      <c r="RCK64"/>
      <c r="RCL64"/>
      <c r="RCM64"/>
      <c r="RCN64"/>
      <c r="RCO64"/>
      <c r="RCP64"/>
      <c r="RCQ64"/>
      <c r="RCR64"/>
      <c r="RCS64"/>
      <c r="RCT64"/>
      <c r="RCU64"/>
      <c r="RCV64"/>
      <c r="RCW64"/>
      <c r="RCX64"/>
      <c r="RCY64"/>
      <c r="RCZ64"/>
      <c r="RDA64"/>
      <c r="RDB64"/>
      <c r="RDC64"/>
      <c r="RDD64"/>
      <c r="RDE64"/>
      <c r="RDF64"/>
      <c r="RDG64"/>
      <c r="RDH64"/>
      <c r="RDI64"/>
      <c r="RDJ64"/>
      <c r="RDK64"/>
      <c r="RDL64"/>
      <c r="RDM64"/>
      <c r="RDN64"/>
      <c r="RDO64"/>
      <c r="RDP64"/>
      <c r="RDQ64"/>
      <c r="RDR64"/>
      <c r="RDS64"/>
      <c r="RDT64"/>
      <c r="RDU64"/>
      <c r="RDV64"/>
      <c r="RDW64"/>
      <c r="RDX64"/>
      <c r="RDY64"/>
      <c r="RDZ64"/>
      <c r="REA64"/>
      <c r="REB64"/>
      <c r="REC64"/>
      <c r="RED64"/>
      <c r="REE64"/>
      <c r="REF64"/>
      <c r="REG64"/>
      <c r="REH64"/>
      <c r="REI64"/>
      <c r="REJ64"/>
      <c r="REK64"/>
      <c r="REL64"/>
      <c r="REM64"/>
      <c r="REN64"/>
      <c r="REO64"/>
      <c r="REP64"/>
      <c r="REQ64"/>
      <c r="RER64"/>
      <c r="RES64"/>
      <c r="RET64"/>
      <c r="REU64"/>
      <c r="REV64"/>
      <c r="REW64"/>
      <c r="REX64"/>
      <c r="REY64"/>
      <c r="REZ64"/>
      <c r="RFA64"/>
      <c r="RFB64"/>
      <c r="RFC64"/>
      <c r="RFD64"/>
      <c r="RFE64"/>
      <c r="RFF64"/>
      <c r="RFG64"/>
      <c r="RFH64"/>
      <c r="RFI64"/>
      <c r="RFJ64"/>
      <c r="RFK64"/>
      <c r="RFL64"/>
      <c r="RFM64"/>
      <c r="RFN64"/>
      <c r="RFO64"/>
      <c r="RFP64"/>
      <c r="RFQ64"/>
      <c r="RFR64"/>
      <c r="RFS64"/>
      <c r="RFT64"/>
      <c r="RFU64"/>
      <c r="RFV64"/>
      <c r="RFW64"/>
      <c r="RFX64"/>
      <c r="RFY64"/>
      <c r="RFZ64"/>
      <c r="RGA64"/>
      <c r="RGB64"/>
      <c r="RGC64"/>
      <c r="RGD64"/>
      <c r="RGE64"/>
      <c r="RGF64"/>
      <c r="RGG64"/>
      <c r="RGH64"/>
      <c r="RGI64"/>
      <c r="RGJ64"/>
      <c r="RGK64"/>
      <c r="RGL64"/>
      <c r="RGM64"/>
      <c r="RGN64"/>
      <c r="RGO64"/>
      <c r="RGP64"/>
      <c r="RGQ64"/>
      <c r="RGR64"/>
      <c r="RGS64"/>
      <c r="RGT64"/>
      <c r="RGU64"/>
      <c r="RGV64"/>
      <c r="RGW64"/>
      <c r="RGX64"/>
      <c r="RGY64"/>
      <c r="RGZ64"/>
      <c r="RHA64"/>
      <c r="RHB64"/>
      <c r="RHC64"/>
      <c r="RHD64"/>
      <c r="RHE64"/>
      <c r="RHF64"/>
      <c r="RHG64"/>
      <c r="RHH64"/>
      <c r="RHI64"/>
      <c r="RHJ64"/>
      <c r="RHK64"/>
      <c r="RHL64"/>
      <c r="RHM64"/>
      <c r="RHN64"/>
      <c r="RHO64"/>
      <c r="RHP64"/>
      <c r="RHQ64"/>
      <c r="RHR64"/>
      <c r="RHS64"/>
      <c r="RHT64"/>
      <c r="RHU64"/>
      <c r="RHV64"/>
      <c r="RHW64"/>
      <c r="RHX64"/>
      <c r="RHY64"/>
      <c r="RHZ64"/>
      <c r="RIA64"/>
      <c r="RIB64"/>
      <c r="RIC64"/>
      <c r="RID64"/>
      <c r="RIE64"/>
      <c r="RIF64"/>
      <c r="RIG64"/>
      <c r="RIH64"/>
      <c r="RII64"/>
      <c r="RIJ64"/>
      <c r="RIK64"/>
      <c r="RIL64"/>
      <c r="RIM64"/>
      <c r="RIN64"/>
      <c r="RIO64"/>
      <c r="RIP64"/>
      <c r="RIQ64"/>
      <c r="RIR64"/>
      <c r="RIS64"/>
      <c r="RIT64"/>
      <c r="RIU64"/>
      <c r="RIV64"/>
      <c r="RIW64"/>
      <c r="RIX64"/>
      <c r="RIY64"/>
      <c r="RIZ64"/>
      <c r="RJA64"/>
      <c r="RJB64"/>
      <c r="RJC64"/>
      <c r="RJD64"/>
      <c r="RJE64"/>
      <c r="RJF64"/>
      <c r="RJG64"/>
      <c r="RJH64"/>
      <c r="RJI64"/>
      <c r="RJJ64"/>
      <c r="RJK64"/>
      <c r="RJL64"/>
      <c r="RJM64"/>
      <c r="RJN64"/>
      <c r="RJO64"/>
      <c r="RJP64"/>
      <c r="RJQ64"/>
      <c r="RJR64"/>
      <c r="RJS64"/>
      <c r="RJT64"/>
      <c r="RJU64"/>
      <c r="RJV64"/>
      <c r="RJW64"/>
      <c r="RJX64"/>
      <c r="RJY64"/>
      <c r="RJZ64"/>
      <c r="RKA64"/>
      <c r="RKB64"/>
      <c r="RKC64"/>
      <c r="RKD64"/>
      <c r="RKE64"/>
      <c r="RKF64"/>
      <c r="RKG64"/>
      <c r="RKH64"/>
      <c r="RKI64"/>
      <c r="RKJ64"/>
      <c r="RKK64"/>
      <c r="RKL64"/>
      <c r="RKM64"/>
      <c r="RKN64"/>
      <c r="RKO64"/>
      <c r="RKP64"/>
      <c r="RKQ64"/>
      <c r="RKR64"/>
      <c r="RKS64"/>
      <c r="RKT64"/>
      <c r="RKU64"/>
      <c r="RKV64"/>
      <c r="RKW64"/>
      <c r="RKX64"/>
      <c r="RKY64"/>
      <c r="RKZ64"/>
      <c r="RLA64"/>
      <c r="RLB64"/>
      <c r="RLC64"/>
      <c r="RLD64"/>
      <c r="RLE64"/>
      <c r="RLF64"/>
      <c r="RLG64"/>
      <c r="RLH64"/>
      <c r="RLI64"/>
      <c r="RLJ64"/>
      <c r="RLK64"/>
      <c r="RLL64"/>
      <c r="RLM64"/>
      <c r="RLN64"/>
      <c r="RLO64"/>
      <c r="RLP64"/>
      <c r="RLQ64"/>
      <c r="RLR64"/>
      <c r="RLS64"/>
      <c r="RLT64"/>
      <c r="RLU64"/>
      <c r="RLV64"/>
      <c r="RLW64"/>
      <c r="RLX64"/>
      <c r="RLY64"/>
      <c r="RLZ64"/>
      <c r="RMA64"/>
      <c r="RMB64"/>
      <c r="RMC64"/>
      <c r="RMD64"/>
      <c r="RME64"/>
      <c r="RMF64"/>
      <c r="RMG64"/>
      <c r="RMH64"/>
      <c r="RMI64"/>
      <c r="RMJ64"/>
      <c r="RMK64"/>
      <c r="RML64"/>
      <c r="RMM64"/>
      <c r="RMN64"/>
      <c r="RMO64"/>
      <c r="RMP64"/>
      <c r="RMQ64"/>
      <c r="RMR64"/>
      <c r="RMS64"/>
      <c r="RMT64"/>
      <c r="RMU64"/>
      <c r="RMV64"/>
      <c r="RMW64"/>
      <c r="RMX64"/>
      <c r="RMY64"/>
      <c r="RMZ64"/>
      <c r="RNA64"/>
      <c r="RNB64"/>
      <c r="RNC64"/>
      <c r="RND64"/>
      <c r="RNE64"/>
      <c r="RNF64"/>
      <c r="RNG64"/>
      <c r="RNH64"/>
      <c r="RNI64"/>
      <c r="RNJ64"/>
      <c r="RNK64"/>
      <c r="RNL64"/>
      <c r="RNM64"/>
      <c r="RNN64"/>
      <c r="RNO64"/>
      <c r="RNP64"/>
      <c r="RNQ64"/>
      <c r="RNR64"/>
      <c r="RNS64"/>
      <c r="RNT64"/>
      <c r="RNU64"/>
      <c r="RNV64"/>
      <c r="RNW64"/>
      <c r="RNX64"/>
      <c r="RNY64"/>
      <c r="RNZ64"/>
      <c r="ROA64"/>
      <c r="ROB64"/>
      <c r="ROC64"/>
      <c r="ROD64"/>
      <c r="ROE64"/>
      <c r="ROF64"/>
      <c r="ROG64"/>
      <c r="ROH64"/>
      <c r="ROI64"/>
      <c r="ROJ64"/>
      <c r="ROK64"/>
      <c r="ROL64"/>
      <c r="ROM64"/>
      <c r="RON64"/>
      <c r="ROO64"/>
      <c r="ROP64"/>
      <c r="ROQ64"/>
      <c r="ROR64"/>
      <c r="ROS64"/>
      <c r="ROT64"/>
      <c r="ROU64"/>
      <c r="ROV64"/>
      <c r="ROW64"/>
      <c r="ROX64"/>
      <c r="ROY64"/>
      <c r="ROZ64"/>
      <c r="RPA64"/>
      <c r="RPB64"/>
      <c r="RPC64"/>
      <c r="RPD64"/>
      <c r="RPE64"/>
      <c r="RPF64"/>
      <c r="RPG64"/>
      <c r="RPH64"/>
      <c r="RPI64"/>
      <c r="RPJ64"/>
      <c r="RPK64"/>
      <c r="RPL64"/>
      <c r="RPM64"/>
      <c r="RPN64"/>
      <c r="RPO64"/>
      <c r="RPP64"/>
      <c r="RPQ64"/>
      <c r="RPR64"/>
      <c r="RPS64"/>
      <c r="RPT64"/>
      <c r="RPU64"/>
      <c r="RPV64"/>
      <c r="RPW64"/>
      <c r="RPX64"/>
      <c r="RPY64"/>
      <c r="RPZ64"/>
      <c r="RQA64"/>
      <c r="RQB64"/>
      <c r="RQC64"/>
      <c r="RQD64"/>
      <c r="RQE64"/>
      <c r="RQF64"/>
      <c r="RQG64"/>
      <c r="RQH64"/>
      <c r="RQI64"/>
      <c r="RQJ64"/>
      <c r="RQK64"/>
      <c r="RQL64"/>
      <c r="RQM64"/>
      <c r="RQN64"/>
      <c r="RQO64"/>
      <c r="RQP64"/>
      <c r="RQQ64"/>
      <c r="RQR64"/>
      <c r="RQS64"/>
      <c r="RQT64"/>
      <c r="RQU64"/>
      <c r="RQV64"/>
      <c r="RQW64"/>
      <c r="RQX64"/>
      <c r="RQY64"/>
      <c r="RQZ64"/>
      <c r="RRA64"/>
      <c r="RRB64"/>
      <c r="RRC64"/>
      <c r="RRD64"/>
      <c r="RRE64"/>
      <c r="RRF64"/>
      <c r="RRG64"/>
      <c r="RRH64"/>
      <c r="RRI64"/>
      <c r="RRJ64"/>
      <c r="RRK64"/>
      <c r="RRL64"/>
      <c r="RRM64"/>
      <c r="RRN64"/>
      <c r="RRO64"/>
      <c r="RRP64"/>
      <c r="RRQ64"/>
      <c r="RRR64"/>
      <c r="RRS64"/>
      <c r="RRT64"/>
      <c r="RRU64"/>
      <c r="RRV64"/>
      <c r="RRW64"/>
      <c r="RRX64"/>
      <c r="RRY64"/>
      <c r="RRZ64"/>
      <c r="RSA64"/>
      <c r="RSB64"/>
      <c r="RSC64"/>
      <c r="RSD64"/>
      <c r="RSE64"/>
      <c r="RSF64"/>
      <c r="RSG64"/>
      <c r="RSH64"/>
      <c r="RSI64"/>
      <c r="RSJ64"/>
      <c r="RSK64"/>
      <c r="RSL64"/>
      <c r="RSM64"/>
      <c r="RSN64"/>
      <c r="RSO64"/>
      <c r="RSP64"/>
      <c r="RSQ64"/>
      <c r="RSR64"/>
      <c r="RSS64"/>
      <c r="RST64"/>
      <c r="RSU64"/>
      <c r="RSV64"/>
      <c r="RSW64"/>
      <c r="RSX64"/>
      <c r="RSY64"/>
      <c r="RSZ64"/>
      <c r="RTA64"/>
      <c r="RTB64"/>
      <c r="RTC64"/>
      <c r="RTD64"/>
      <c r="RTE64"/>
      <c r="RTF64"/>
      <c r="RTG64"/>
      <c r="RTH64"/>
      <c r="RTI64"/>
      <c r="RTJ64"/>
      <c r="RTK64"/>
      <c r="RTL64"/>
      <c r="RTM64"/>
      <c r="RTN64"/>
      <c r="RTO64"/>
      <c r="RTP64"/>
      <c r="RTQ64"/>
      <c r="RTR64"/>
      <c r="RTS64"/>
      <c r="RTT64"/>
      <c r="RTU64"/>
      <c r="RTV64"/>
      <c r="RTW64"/>
      <c r="RTX64"/>
      <c r="RTY64"/>
      <c r="RTZ64"/>
      <c r="RUA64"/>
      <c r="RUB64"/>
      <c r="RUC64"/>
      <c r="RUD64"/>
      <c r="RUE64"/>
      <c r="RUF64"/>
      <c r="RUG64"/>
      <c r="RUH64"/>
      <c r="RUI64"/>
      <c r="RUJ64"/>
      <c r="RUK64"/>
      <c r="RUL64"/>
      <c r="RUM64"/>
      <c r="RUN64"/>
      <c r="RUO64"/>
      <c r="RUP64"/>
      <c r="RUQ64"/>
      <c r="RUR64"/>
      <c r="RUS64"/>
      <c r="RUT64"/>
      <c r="RUU64"/>
      <c r="RUV64"/>
      <c r="RUW64"/>
      <c r="RUX64"/>
      <c r="RUY64"/>
      <c r="RUZ64"/>
      <c r="RVA64"/>
      <c r="RVB64"/>
      <c r="RVC64"/>
      <c r="RVD64"/>
      <c r="RVE64"/>
      <c r="RVF64"/>
      <c r="RVG64"/>
      <c r="RVH64"/>
      <c r="RVI64"/>
      <c r="RVJ64"/>
      <c r="RVK64"/>
      <c r="RVL64"/>
      <c r="RVM64"/>
      <c r="RVN64"/>
      <c r="RVO64"/>
      <c r="RVP64"/>
      <c r="RVQ64"/>
      <c r="RVR64"/>
      <c r="RVS64"/>
      <c r="RVT64"/>
      <c r="RVU64"/>
      <c r="RVV64"/>
      <c r="RVW64"/>
      <c r="RVX64"/>
      <c r="RVY64"/>
      <c r="RVZ64"/>
      <c r="RWA64"/>
      <c r="RWB64"/>
      <c r="RWC64"/>
      <c r="RWD64"/>
      <c r="RWE64"/>
      <c r="RWF64"/>
      <c r="RWG64"/>
      <c r="RWH64"/>
      <c r="RWI64"/>
      <c r="RWJ64"/>
      <c r="RWK64"/>
      <c r="RWL64"/>
      <c r="RWM64"/>
      <c r="RWN64"/>
      <c r="RWO64"/>
      <c r="RWP64"/>
      <c r="RWQ64"/>
      <c r="RWR64"/>
      <c r="RWS64"/>
      <c r="RWT64"/>
      <c r="RWU64"/>
      <c r="RWV64"/>
      <c r="RWW64"/>
      <c r="RWX64"/>
      <c r="RWY64"/>
      <c r="RWZ64"/>
      <c r="RXA64"/>
      <c r="RXB64"/>
      <c r="RXC64"/>
      <c r="RXD64"/>
      <c r="RXE64"/>
      <c r="RXF64"/>
      <c r="RXG64"/>
      <c r="RXH64"/>
      <c r="RXI64"/>
      <c r="RXJ64"/>
      <c r="RXK64"/>
      <c r="RXL64"/>
      <c r="RXM64"/>
      <c r="RXN64"/>
      <c r="RXO64"/>
      <c r="RXP64"/>
      <c r="RXQ64"/>
      <c r="RXR64"/>
      <c r="RXS64"/>
      <c r="RXT64"/>
      <c r="RXU64"/>
      <c r="RXV64"/>
      <c r="RXW64"/>
      <c r="RXX64"/>
      <c r="RXY64"/>
      <c r="RXZ64"/>
      <c r="RYA64"/>
      <c r="RYB64"/>
      <c r="RYC64"/>
      <c r="RYD64"/>
      <c r="RYE64"/>
      <c r="RYF64"/>
      <c r="RYG64"/>
      <c r="RYH64"/>
      <c r="RYI64"/>
      <c r="RYJ64"/>
      <c r="RYK64"/>
      <c r="RYL64"/>
      <c r="RYM64"/>
      <c r="RYN64"/>
      <c r="RYO64"/>
      <c r="RYP64"/>
      <c r="RYQ64"/>
      <c r="RYR64"/>
      <c r="RYS64"/>
      <c r="RYT64"/>
      <c r="RYU64"/>
      <c r="RYV64"/>
      <c r="RYW64"/>
      <c r="RYX64"/>
      <c r="RYY64"/>
      <c r="RYZ64"/>
      <c r="RZA64"/>
      <c r="RZB64"/>
      <c r="RZC64"/>
      <c r="RZD64"/>
      <c r="RZE64"/>
      <c r="RZF64"/>
      <c r="RZG64"/>
      <c r="RZH64"/>
      <c r="RZI64"/>
      <c r="RZJ64"/>
      <c r="RZK64"/>
      <c r="RZL64"/>
      <c r="RZM64"/>
      <c r="RZN64"/>
      <c r="RZO64"/>
      <c r="RZP64"/>
      <c r="RZQ64"/>
      <c r="RZR64"/>
      <c r="RZS64"/>
      <c r="RZT64"/>
      <c r="RZU64"/>
      <c r="RZV64"/>
      <c r="RZW64"/>
      <c r="RZX64"/>
      <c r="RZY64"/>
      <c r="RZZ64"/>
      <c r="SAA64"/>
      <c r="SAB64"/>
      <c r="SAC64"/>
      <c r="SAD64"/>
      <c r="SAE64"/>
      <c r="SAF64"/>
      <c r="SAG64"/>
      <c r="SAH64"/>
      <c r="SAI64"/>
      <c r="SAJ64"/>
      <c r="SAK64"/>
      <c r="SAL64"/>
      <c r="SAM64"/>
      <c r="SAN64"/>
      <c r="SAO64"/>
      <c r="SAP64"/>
      <c r="SAQ64"/>
      <c r="SAR64"/>
      <c r="SAS64"/>
      <c r="SAT64"/>
      <c r="SAU64"/>
      <c r="SAV64"/>
      <c r="SAW64"/>
      <c r="SAX64"/>
      <c r="SAY64"/>
      <c r="SAZ64"/>
      <c r="SBA64"/>
      <c r="SBB64"/>
      <c r="SBC64"/>
      <c r="SBD64"/>
      <c r="SBE64"/>
      <c r="SBF64"/>
      <c r="SBG64"/>
      <c r="SBH64"/>
      <c r="SBI64"/>
      <c r="SBJ64"/>
      <c r="SBK64"/>
      <c r="SBL64"/>
      <c r="SBM64"/>
      <c r="SBN64"/>
      <c r="SBO64"/>
      <c r="SBP64"/>
      <c r="SBQ64"/>
      <c r="SBR64"/>
      <c r="SBS64"/>
      <c r="SBT64"/>
      <c r="SBU64"/>
      <c r="SBV64"/>
      <c r="SBW64"/>
      <c r="SBX64"/>
      <c r="SBY64"/>
      <c r="SBZ64"/>
      <c r="SCA64"/>
      <c r="SCB64"/>
      <c r="SCC64"/>
      <c r="SCD64"/>
      <c r="SCE64"/>
      <c r="SCF64"/>
      <c r="SCG64"/>
      <c r="SCH64"/>
      <c r="SCI64"/>
      <c r="SCJ64"/>
      <c r="SCK64"/>
      <c r="SCL64"/>
      <c r="SCM64"/>
      <c r="SCN64"/>
      <c r="SCO64"/>
      <c r="SCP64"/>
      <c r="SCQ64"/>
      <c r="SCR64"/>
      <c r="SCS64"/>
      <c r="SCT64"/>
      <c r="SCU64"/>
      <c r="SCV64"/>
      <c r="SCW64"/>
      <c r="SCX64"/>
      <c r="SCY64"/>
      <c r="SCZ64"/>
      <c r="SDA64"/>
      <c r="SDB64"/>
      <c r="SDC64"/>
      <c r="SDD64"/>
      <c r="SDE64"/>
      <c r="SDF64"/>
      <c r="SDG64"/>
      <c r="SDH64"/>
      <c r="SDI64"/>
      <c r="SDJ64"/>
      <c r="SDK64"/>
      <c r="SDL64"/>
      <c r="SDM64"/>
      <c r="SDN64"/>
      <c r="SDO64"/>
      <c r="SDP64"/>
      <c r="SDQ64"/>
      <c r="SDR64"/>
      <c r="SDS64"/>
      <c r="SDT64"/>
      <c r="SDU64"/>
      <c r="SDV64"/>
      <c r="SDW64"/>
      <c r="SDX64"/>
      <c r="SDY64"/>
      <c r="SDZ64"/>
      <c r="SEA64"/>
      <c r="SEB64"/>
      <c r="SEC64"/>
      <c r="SED64"/>
      <c r="SEE64"/>
      <c r="SEF64"/>
      <c r="SEG64"/>
      <c r="SEH64"/>
      <c r="SEI64"/>
      <c r="SEJ64"/>
      <c r="SEK64"/>
      <c r="SEL64"/>
      <c r="SEM64"/>
      <c r="SEN64"/>
      <c r="SEO64"/>
      <c r="SEP64"/>
      <c r="SEQ64"/>
      <c r="SER64"/>
      <c r="SES64"/>
      <c r="SET64"/>
      <c r="SEU64"/>
      <c r="SEV64"/>
      <c r="SEW64"/>
      <c r="SEX64"/>
      <c r="SEY64"/>
      <c r="SEZ64"/>
      <c r="SFA64"/>
      <c r="SFB64"/>
      <c r="SFC64"/>
      <c r="SFD64"/>
      <c r="SFE64"/>
      <c r="SFF64"/>
      <c r="SFG64"/>
      <c r="SFH64"/>
      <c r="SFI64"/>
      <c r="SFJ64"/>
      <c r="SFK64"/>
      <c r="SFL64"/>
      <c r="SFM64"/>
      <c r="SFN64"/>
      <c r="SFO64"/>
      <c r="SFP64"/>
      <c r="SFQ64"/>
      <c r="SFR64"/>
      <c r="SFS64"/>
      <c r="SFT64"/>
      <c r="SFU64"/>
      <c r="SFV64"/>
      <c r="SFW64"/>
      <c r="SFX64"/>
      <c r="SFY64"/>
      <c r="SFZ64"/>
      <c r="SGA64"/>
      <c r="SGB64"/>
      <c r="SGC64"/>
      <c r="SGD64"/>
      <c r="SGE64"/>
      <c r="SGF64"/>
      <c r="SGG64"/>
      <c r="SGH64"/>
      <c r="SGI64"/>
      <c r="SGJ64"/>
      <c r="SGK64"/>
      <c r="SGL64"/>
      <c r="SGM64"/>
      <c r="SGN64"/>
      <c r="SGO64"/>
      <c r="SGP64"/>
      <c r="SGQ64"/>
      <c r="SGR64"/>
      <c r="SGS64"/>
      <c r="SGT64"/>
      <c r="SGU64"/>
      <c r="SGV64"/>
      <c r="SGW64"/>
      <c r="SGX64"/>
      <c r="SGY64"/>
      <c r="SGZ64"/>
      <c r="SHA64"/>
      <c r="SHB64"/>
      <c r="SHC64"/>
      <c r="SHD64"/>
      <c r="SHE64"/>
      <c r="SHF64"/>
      <c r="SHG64"/>
      <c r="SHH64"/>
      <c r="SHI64"/>
      <c r="SHJ64"/>
      <c r="SHK64"/>
      <c r="SHL64"/>
      <c r="SHM64"/>
      <c r="SHN64"/>
      <c r="SHO64"/>
      <c r="SHP64"/>
      <c r="SHQ64"/>
      <c r="SHR64"/>
      <c r="SHS64"/>
      <c r="SHT64"/>
      <c r="SHU64"/>
      <c r="SHV64"/>
      <c r="SHW64"/>
      <c r="SHX64"/>
      <c r="SHY64"/>
      <c r="SHZ64"/>
      <c r="SIA64"/>
      <c r="SIB64"/>
      <c r="SIC64"/>
      <c r="SID64"/>
      <c r="SIE64"/>
      <c r="SIF64"/>
      <c r="SIG64"/>
      <c r="SIH64"/>
      <c r="SII64"/>
      <c r="SIJ64"/>
      <c r="SIK64"/>
      <c r="SIL64"/>
      <c r="SIM64"/>
      <c r="SIN64"/>
      <c r="SIO64"/>
      <c r="SIP64"/>
      <c r="SIQ64"/>
      <c r="SIR64"/>
      <c r="SIS64"/>
      <c r="SIT64"/>
      <c r="SIU64"/>
      <c r="SIV64"/>
      <c r="SIW64"/>
      <c r="SIX64"/>
      <c r="SIY64"/>
      <c r="SIZ64"/>
      <c r="SJA64"/>
      <c r="SJB64"/>
      <c r="SJC64"/>
      <c r="SJD64"/>
      <c r="SJE64"/>
      <c r="SJF64"/>
      <c r="SJG64"/>
      <c r="SJH64"/>
      <c r="SJI64"/>
      <c r="SJJ64"/>
      <c r="SJK64"/>
      <c r="SJL64"/>
      <c r="SJM64"/>
      <c r="SJN64"/>
      <c r="SJO64"/>
      <c r="SJP64"/>
      <c r="SJQ64"/>
      <c r="SJR64"/>
      <c r="SJS64"/>
      <c r="SJT64"/>
      <c r="SJU64"/>
      <c r="SJV64"/>
      <c r="SJW64"/>
      <c r="SJX64"/>
      <c r="SJY64"/>
      <c r="SJZ64"/>
      <c r="SKA64"/>
      <c r="SKB64"/>
      <c r="SKC64"/>
      <c r="SKD64"/>
      <c r="SKE64"/>
      <c r="SKF64"/>
      <c r="SKG64"/>
      <c r="SKH64"/>
      <c r="SKI64"/>
      <c r="SKJ64"/>
      <c r="SKK64"/>
      <c r="SKL64"/>
      <c r="SKM64"/>
      <c r="SKN64"/>
      <c r="SKO64"/>
      <c r="SKP64"/>
      <c r="SKQ64"/>
      <c r="SKR64"/>
      <c r="SKS64"/>
      <c r="SKT64"/>
      <c r="SKU64"/>
      <c r="SKV64"/>
      <c r="SKW64"/>
      <c r="SKX64"/>
      <c r="SKY64"/>
      <c r="SKZ64"/>
      <c r="SLA64"/>
      <c r="SLB64"/>
      <c r="SLC64"/>
      <c r="SLD64"/>
      <c r="SLE64"/>
      <c r="SLF64"/>
      <c r="SLG64"/>
      <c r="SLH64"/>
      <c r="SLI64"/>
      <c r="SLJ64"/>
      <c r="SLK64"/>
      <c r="SLL64"/>
      <c r="SLM64"/>
      <c r="SLN64"/>
      <c r="SLO64"/>
      <c r="SLP64"/>
      <c r="SLQ64"/>
      <c r="SLR64"/>
      <c r="SLS64"/>
      <c r="SLT64"/>
      <c r="SLU64"/>
      <c r="SLV64"/>
      <c r="SLW64"/>
      <c r="SLX64"/>
      <c r="SLY64"/>
      <c r="SLZ64"/>
      <c r="SMA64"/>
      <c r="SMB64"/>
      <c r="SMC64"/>
      <c r="SMD64"/>
      <c r="SME64"/>
      <c r="SMF64"/>
      <c r="SMG64"/>
      <c r="SMH64"/>
      <c r="SMI64"/>
      <c r="SMJ64"/>
      <c r="SMK64"/>
      <c r="SML64"/>
      <c r="SMM64"/>
      <c r="SMN64"/>
      <c r="SMO64"/>
      <c r="SMP64"/>
      <c r="SMQ64"/>
      <c r="SMR64"/>
      <c r="SMS64"/>
      <c r="SMT64"/>
      <c r="SMU64"/>
      <c r="SMV64"/>
      <c r="SMW64"/>
      <c r="SMX64"/>
      <c r="SMY64"/>
      <c r="SMZ64"/>
      <c r="SNA64"/>
      <c r="SNB64"/>
      <c r="SNC64"/>
      <c r="SND64"/>
      <c r="SNE64"/>
      <c r="SNF64"/>
      <c r="SNG64"/>
      <c r="SNH64"/>
      <c r="SNI64"/>
      <c r="SNJ64"/>
      <c r="SNK64"/>
      <c r="SNL64"/>
      <c r="SNM64"/>
      <c r="SNN64"/>
      <c r="SNO64"/>
      <c r="SNP64"/>
      <c r="SNQ64"/>
      <c r="SNR64"/>
      <c r="SNS64"/>
      <c r="SNT64"/>
      <c r="SNU64"/>
      <c r="SNV64"/>
      <c r="SNW64"/>
      <c r="SNX64"/>
      <c r="SNY64"/>
      <c r="SNZ64"/>
      <c r="SOA64"/>
      <c r="SOB64"/>
      <c r="SOC64"/>
      <c r="SOD64"/>
      <c r="SOE64"/>
      <c r="SOF64"/>
      <c r="SOG64"/>
      <c r="SOH64"/>
      <c r="SOI64"/>
      <c r="SOJ64"/>
      <c r="SOK64"/>
      <c r="SOL64"/>
      <c r="SOM64"/>
      <c r="SON64"/>
      <c r="SOO64"/>
      <c r="SOP64"/>
      <c r="SOQ64"/>
      <c r="SOR64"/>
      <c r="SOS64"/>
      <c r="SOT64"/>
      <c r="SOU64"/>
      <c r="SOV64"/>
      <c r="SOW64"/>
      <c r="SOX64"/>
      <c r="SOY64"/>
      <c r="SOZ64"/>
      <c r="SPA64"/>
      <c r="SPB64"/>
      <c r="SPC64"/>
      <c r="SPD64"/>
      <c r="SPE64"/>
      <c r="SPF64"/>
      <c r="SPG64"/>
      <c r="SPH64"/>
      <c r="SPI64"/>
      <c r="SPJ64"/>
      <c r="SPK64"/>
      <c r="SPL64"/>
      <c r="SPM64"/>
      <c r="SPN64"/>
      <c r="SPO64"/>
      <c r="SPP64"/>
      <c r="SPQ64"/>
      <c r="SPR64"/>
      <c r="SPS64"/>
      <c r="SPT64"/>
      <c r="SPU64"/>
      <c r="SPV64"/>
      <c r="SPW64"/>
      <c r="SPX64"/>
      <c r="SPY64"/>
      <c r="SPZ64"/>
      <c r="SQA64"/>
      <c r="SQB64"/>
      <c r="SQC64"/>
      <c r="SQD64"/>
      <c r="SQE64"/>
      <c r="SQF64"/>
      <c r="SQG64"/>
      <c r="SQH64"/>
      <c r="SQI64"/>
      <c r="SQJ64"/>
      <c r="SQK64"/>
      <c r="SQL64"/>
      <c r="SQM64"/>
      <c r="SQN64"/>
      <c r="SQO64"/>
      <c r="SQP64"/>
      <c r="SQQ64"/>
      <c r="SQR64"/>
      <c r="SQS64"/>
      <c r="SQT64"/>
      <c r="SQU64"/>
      <c r="SQV64"/>
      <c r="SQW64"/>
      <c r="SQX64"/>
      <c r="SQY64"/>
      <c r="SQZ64"/>
      <c r="SRA64"/>
      <c r="SRB64"/>
      <c r="SRC64"/>
      <c r="SRD64"/>
      <c r="SRE64"/>
      <c r="SRF64"/>
      <c r="SRG64"/>
      <c r="SRH64"/>
      <c r="SRI64"/>
      <c r="SRJ64"/>
      <c r="SRK64"/>
      <c r="SRL64"/>
      <c r="SRM64"/>
      <c r="SRN64"/>
      <c r="SRO64"/>
      <c r="SRP64"/>
      <c r="SRQ64"/>
      <c r="SRR64"/>
      <c r="SRS64"/>
      <c r="SRT64"/>
      <c r="SRU64"/>
      <c r="SRV64"/>
      <c r="SRW64"/>
      <c r="SRX64"/>
      <c r="SRY64"/>
      <c r="SRZ64"/>
      <c r="SSA64"/>
      <c r="SSB64"/>
      <c r="SSC64"/>
      <c r="SSD64"/>
      <c r="SSE64"/>
      <c r="SSF64"/>
      <c r="SSG64"/>
      <c r="SSH64"/>
      <c r="SSI64"/>
      <c r="SSJ64"/>
      <c r="SSK64"/>
      <c r="SSL64"/>
      <c r="SSM64"/>
      <c r="SSN64"/>
      <c r="SSO64"/>
      <c r="SSP64"/>
      <c r="SSQ64"/>
      <c r="SSR64"/>
      <c r="SSS64"/>
      <c r="SST64"/>
      <c r="SSU64"/>
      <c r="SSV64"/>
      <c r="SSW64"/>
      <c r="SSX64"/>
      <c r="SSY64"/>
      <c r="SSZ64"/>
      <c r="STA64"/>
      <c r="STB64"/>
      <c r="STC64"/>
      <c r="STD64"/>
      <c r="STE64"/>
      <c r="STF64"/>
      <c r="STG64"/>
      <c r="STH64"/>
      <c r="STI64"/>
      <c r="STJ64"/>
      <c r="STK64"/>
      <c r="STL64"/>
      <c r="STM64"/>
      <c r="STN64"/>
      <c r="STO64"/>
      <c r="STP64"/>
      <c r="STQ64"/>
      <c r="STR64"/>
      <c r="STS64"/>
      <c r="STT64"/>
      <c r="STU64"/>
      <c r="STV64"/>
      <c r="STW64"/>
      <c r="STX64"/>
      <c r="STY64"/>
      <c r="STZ64"/>
      <c r="SUA64"/>
      <c r="SUB64"/>
      <c r="SUC64"/>
      <c r="SUD64"/>
      <c r="SUE64"/>
      <c r="SUF64"/>
      <c r="SUG64"/>
      <c r="SUH64"/>
      <c r="SUI64"/>
      <c r="SUJ64"/>
      <c r="SUK64"/>
      <c r="SUL64"/>
      <c r="SUM64"/>
      <c r="SUN64"/>
      <c r="SUO64"/>
      <c r="SUP64"/>
      <c r="SUQ64"/>
      <c r="SUR64"/>
      <c r="SUS64"/>
      <c r="SUT64"/>
      <c r="SUU64"/>
      <c r="SUV64"/>
      <c r="SUW64"/>
      <c r="SUX64"/>
      <c r="SUY64"/>
      <c r="SUZ64"/>
      <c r="SVA64"/>
      <c r="SVB64"/>
      <c r="SVC64"/>
      <c r="SVD64"/>
      <c r="SVE64"/>
      <c r="SVF64"/>
      <c r="SVG64"/>
      <c r="SVH64"/>
      <c r="SVI64"/>
      <c r="SVJ64"/>
      <c r="SVK64"/>
      <c r="SVL64"/>
      <c r="SVM64"/>
      <c r="SVN64"/>
      <c r="SVO64"/>
      <c r="SVP64"/>
      <c r="SVQ64"/>
      <c r="SVR64"/>
      <c r="SVS64"/>
      <c r="SVT64"/>
      <c r="SVU64"/>
      <c r="SVV64"/>
      <c r="SVW64"/>
      <c r="SVX64"/>
      <c r="SVY64"/>
      <c r="SVZ64"/>
      <c r="SWA64"/>
      <c r="SWB64"/>
      <c r="SWC64"/>
      <c r="SWD64"/>
      <c r="SWE64"/>
      <c r="SWF64"/>
      <c r="SWG64"/>
      <c r="SWH64"/>
      <c r="SWI64"/>
      <c r="SWJ64"/>
      <c r="SWK64"/>
      <c r="SWL64"/>
      <c r="SWM64"/>
      <c r="SWN64"/>
      <c r="SWO64"/>
      <c r="SWP64"/>
      <c r="SWQ64"/>
      <c r="SWR64"/>
      <c r="SWS64"/>
      <c r="SWT64"/>
      <c r="SWU64"/>
      <c r="SWV64"/>
      <c r="SWW64"/>
      <c r="SWX64"/>
      <c r="SWY64"/>
      <c r="SWZ64"/>
      <c r="SXA64"/>
      <c r="SXB64"/>
      <c r="SXC64"/>
      <c r="SXD64"/>
      <c r="SXE64"/>
      <c r="SXF64"/>
      <c r="SXG64"/>
      <c r="SXH64"/>
      <c r="SXI64"/>
      <c r="SXJ64"/>
      <c r="SXK64"/>
      <c r="SXL64"/>
      <c r="SXM64"/>
      <c r="SXN64"/>
      <c r="SXO64"/>
      <c r="SXP64"/>
      <c r="SXQ64"/>
      <c r="SXR64"/>
      <c r="SXS64"/>
      <c r="SXT64"/>
      <c r="SXU64"/>
      <c r="SXV64"/>
      <c r="SXW64"/>
      <c r="SXX64"/>
      <c r="SXY64"/>
      <c r="SXZ64"/>
      <c r="SYA64"/>
      <c r="SYB64"/>
      <c r="SYC64"/>
      <c r="SYD64"/>
      <c r="SYE64"/>
      <c r="SYF64"/>
      <c r="SYG64"/>
      <c r="SYH64"/>
      <c r="SYI64"/>
      <c r="SYJ64"/>
      <c r="SYK64"/>
      <c r="SYL64"/>
      <c r="SYM64"/>
      <c r="SYN64"/>
      <c r="SYO64"/>
      <c r="SYP64"/>
      <c r="SYQ64"/>
      <c r="SYR64"/>
      <c r="SYS64"/>
      <c r="SYT64"/>
      <c r="SYU64"/>
      <c r="SYV64"/>
      <c r="SYW64"/>
      <c r="SYX64"/>
      <c r="SYY64"/>
      <c r="SYZ64"/>
      <c r="SZA64"/>
      <c r="SZB64"/>
      <c r="SZC64"/>
      <c r="SZD64"/>
      <c r="SZE64"/>
      <c r="SZF64"/>
      <c r="SZG64"/>
      <c r="SZH64"/>
      <c r="SZI64"/>
      <c r="SZJ64"/>
      <c r="SZK64"/>
      <c r="SZL64"/>
      <c r="SZM64"/>
      <c r="SZN64"/>
      <c r="SZO64"/>
      <c r="SZP64"/>
      <c r="SZQ64"/>
      <c r="SZR64"/>
      <c r="SZS64"/>
      <c r="SZT64"/>
      <c r="SZU64"/>
      <c r="SZV64"/>
      <c r="SZW64"/>
      <c r="SZX64"/>
      <c r="SZY64"/>
      <c r="SZZ64"/>
      <c r="TAA64"/>
      <c r="TAB64"/>
      <c r="TAC64"/>
      <c r="TAD64"/>
      <c r="TAE64"/>
      <c r="TAF64"/>
      <c r="TAG64"/>
      <c r="TAH64"/>
      <c r="TAI64"/>
      <c r="TAJ64"/>
      <c r="TAK64"/>
      <c r="TAL64"/>
      <c r="TAM64"/>
      <c r="TAN64"/>
      <c r="TAO64"/>
      <c r="TAP64"/>
      <c r="TAQ64"/>
      <c r="TAR64"/>
      <c r="TAS64"/>
      <c r="TAT64"/>
      <c r="TAU64"/>
      <c r="TAV64"/>
      <c r="TAW64"/>
      <c r="TAX64"/>
      <c r="TAY64"/>
      <c r="TAZ64"/>
      <c r="TBA64"/>
      <c r="TBB64"/>
      <c r="TBC64"/>
      <c r="TBD64"/>
      <c r="TBE64"/>
      <c r="TBF64"/>
      <c r="TBG64"/>
      <c r="TBH64"/>
      <c r="TBI64"/>
      <c r="TBJ64"/>
      <c r="TBK64"/>
      <c r="TBL64"/>
      <c r="TBM64"/>
      <c r="TBN64"/>
      <c r="TBO64"/>
      <c r="TBP64"/>
      <c r="TBQ64"/>
      <c r="TBR64"/>
      <c r="TBS64"/>
      <c r="TBT64"/>
      <c r="TBU64"/>
      <c r="TBV64"/>
      <c r="TBW64"/>
      <c r="TBX64"/>
      <c r="TBY64"/>
      <c r="TBZ64"/>
      <c r="TCA64"/>
      <c r="TCB64"/>
      <c r="TCC64"/>
      <c r="TCD64"/>
      <c r="TCE64"/>
      <c r="TCF64"/>
      <c r="TCG64"/>
      <c r="TCH64"/>
      <c r="TCI64"/>
      <c r="TCJ64"/>
      <c r="TCK64"/>
      <c r="TCL64"/>
      <c r="TCM64"/>
      <c r="TCN64"/>
      <c r="TCO64"/>
      <c r="TCP64"/>
      <c r="TCQ64"/>
      <c r="TCR64"/>
      <c r="TCS64"/>
      <c r="TCT64"/>
      <c r="TCU64"/>
      <c r="TCV64"/>
      <c r="TCW64"/>
      <c r="TCX64"/>
      <c r="TCY64"/>
      <c r="TCZ64"/>
      <c r="TDA64"/>
      <c r="TDB64"/>
      <c r="TDC64"/>
      <c r="TDD64"/>
      <c r="TDE64"/>
      <c r="TDF64"/>
      <c r="TDG64"/>
      <c r="TDH64"/>
      <c r="TDI64"/>
      <c r="TDJ64"/>
      <c r="TDK64"/>
      <c r="TDL64"/>
      <c r="TDM64"/>
      <c r="TDN64"/>
      <c r="TDO64"/>
      <c r="TDP64"/>
      <c r="TDQ64"/>
      <c r="TDR64"/>
      <c r="TDS64"/>
      <c r="TDT64"/>
      <c r="TDU64"/>
      <c r="TDV64"/>
      <c r="TDW64"/>
      <c r="TDX64"/>
      <c r="TDY64"/>
      <c r="TDZ64"/>
      <c r="TEA64"/>
      <c r="TEB64"/>
      <c r="TEC64"/>
      <c r="TED64"/>
      <c r="TEE64"/>
      <c r="TEF64"/>
      <c r="TEG64"/>
      <c r="TEH64"/>
      <c r="TEI64"/>
      <c r="TEJ64"/>
      <c r="TEK64"/>
      <c r="TEL64"/>
      <c r="TEM64"/>
      <c r="TEN64"/>
      <c r="TEO64"/>
      <c r="TEP64"/>
      <c r="TEQ64"/>
      <c r="TER64"/>
      <c r="TES64"/>
      <c r="TET64"/>
      <c r="TEU64"/>
      <c r="TEV64"/>
      <c r="TEW64"/>
      <c r="TEX64"/>
      <c r="TEY64"/>
      <c r="TEZ64"/>
      <c r="TFA64"/>
      <c r="TFB64"/>
      <c r="TFC64"/>
      <c r="TFD64"/>
      <c r="TFE64"/>
      <c r="TFF64"/>
      <c r="TFG64"/>
      <c r="TFH64"/>
      <c r="TFI64"/>
      <c r="TFJ64"/>
      <c r="TFK64"/>
      <c r="TFL64"/>
      <c r="TFM64"/>
      <c r="TFN64"/>
      <c r="TFO64"/>
      <c r="TFP64"/>
      <c r="TFQ64"/>
      <c r="TFR64"/>
      <c r="TFS64"/>
      <c r="TFT64"/>
      <c r="TFU64"/>
      <c r="TFV64"/>
      <c r="TFW64"/>
      <c r="TFX64"/>
      <c r="TFY64"/>
      <c r="TFZ64"/>
      <c r="TGA64"/>
      <c r="TGB64"/>
      <c r="TGC64"/>
      <c r="TGD64"/>
      <c r="TGE64"/>
      <c r="TGF64"/>
      <c r="TGG64"/>
      <c r="TGH64"/>
      <c r="TGI64"/>
      <c r="TGJ64"/>
      <c r="TGK64"/>
      <c r="TGL64"/>
      <c r="TGM64"/>
      <c r="TGN64"/>
      <c r="TGO64"/>
      <c r="TGP64"/>
      <c r="TGQ64"/>
      <c r="TGR64"/>
      <c r="TGS64"/>
      <c r="TGT64"/>
      <c r="TGU64"/>
      <c r="TGV64"/>
      <c r="TGW64"/>
      <c r="TGX64"/>
      <c r="TGY64"/>
      <c r="TGZ64"/>
      <c r="THA64"/>
      <c r="THB64"/>
      <c r="THC64"/>
      <c r="THD64"/>
      <c r="THE64"/>
      <c r="THF64"/>
      <c r="THG64"/>
      <c r="THH64"/>
      <c r="THI64"/>
      <c r="THJ64"/>
      <c r="THK64"/>
      <c r="THL64"/>
      <c r="THM64"/>
      <c r="THN64"/>
      <c r="THO64"/>
      <c r="THP64"/>
      <c r="THQ64"/>
      <c r="THR64"/>
      <c r="THS64"/>
      <c r="THT64"/>
      <c r="THU64"/>
      <c r="THV64"/>
      <c r="THW64"/>
      <c r="THX64"/>
      <c r="THY64"/>
      <c r="THZ64"/>
      <c r="TIA64"/>
      <c r="TIB64"/>
      <c r="TIC64"/>
      <c r="TID64"/>
      <c r="TIE64"/>
      <c r="TIF64"/>
      <c r="TIG64"/>
      <c r="TIH64"/>
      <c r="TII64"/>
      <c r="TIJ64"/>
      <c r="TIK64"/>
      <c r="TIL64"/>
      <c r="TIM64"/>
      <c r="TIN64"/>
      <c r="TIO64"/>
      <c r="TIP64"/>
      <c r="TIQ64"/>
      <c r="TIR64"/>
      <c r="TIS64"/>
      <c r="TIT64"/>
      <c r="TIU64"/>
      <c r="TIV64"/>
      <c r="TIW64"/>
      <c r="TIX64"/>
      <c r="TIY64"/>
      <c r="TIZ64"/>
      <c r="TJA64"/>
      <c r="TJB64"/>
      <c r="TJC64"/>
      <c r="TJD64"/>
      <c r="TJE64"/>
      <c r="TJF64"/>
      <c r="TJG64"/>
      <c r="TJH64"/>
      <c r="TJI64"/>
      <c r="TJJ64"/>
      <c r="TJK64"/>
      <c r="TJL64"/>
      <c r="TJM64"/>
      <c r="TJN64"/>
      <c r="TJO64"/>
      <c r="TJP64"/>
      <c r="TJQ64"/>
      <c r="TJR64"/>
      <c r="TJS64"/>
      <c r="TJT64"/>
      <c r="TJU64"/>
      <c r="TJV64"/>
      <c r="TJW64"/>
      <c r="TJX64"/>
      <c r="TJY64"/>
      <c r="TJZ64"/>
      <c r="TKA64"/>
      <c r="TKB64"/>
      <c r="TKC64"/>
      <c r="TKD64"/>
      <c r="TKE64"/>
      <c r="TKF64"/>
      <c r="TKG64"/>
      <c r="TKH64"/>
      <c r="TKI64"/>
      <c r="TKJ64"/>
      <c r="TKK64"/>
      <c r="TKL64"/>
      <c r="TKM64"/>
      <c r="TKN64"/>
      <c r="TKO64"/>
      <c r="TKP64"/>
      <c r="TKQ64"/>
      <c r="TKR64"/>
      <c r="TKS64"/>
      <c r="TKT64"/>
      <c r="TKU64"/>
      <c r="TKV64"/>
      <c r="TKW64"/>
      <c r="TKX64"/>
      <c r="TKY64"/>
      <c r="TKZ64"/>
      <c r="TLA64"/>
      <c r="TLB64"/>
      <c r="TLC64"/>
      <c r="TLD64"/>
      <c r="TLE64"/>
      <c r="TLF64"/>
      <c r="TLG64"/>
      <c r="TLH64"/>
      <c r="TLI64"/>
      <c r="TLJ64"/>
      <c r="TLK64"/>
      <c r="TLL64"/>
      <c r="TLM64"/>
      <c r="TLN64"/>
      <c r="TLO64"/>
      <c r="TLP64"/>
      <c r="TLQ64"/>
      <c r="TLR64"/>
      <c r="TLS64"/>
      <c r="TLT64"/>
      <c r="TLU64"/>
      <c r="TLV64"/>
      <c r="TLW64"/>
      <c r="TLX64"/>
      <c r="TLY64"/>
      <c r="TLZ64"/>
      <c r="TMA64"/>
      <c r="TMB64"/>
      <c r="TMC64"/>
      <c r="TMD64"/>
      <c r="TME64"/>
      <c r="TMF64"/>
      <c r="TMG64"/>
      <c r="TMH64"/>
      <c r="TMI64"/>
      <c r="TMJ64"/>
      <c r="TMK64"/>
      <c r="TML64"/>
      <c r="TMM64"/>
      <c r="TMN64"/>
      <c r="TMO64"/>
      <c r="TMP64"/>
      <c r="TMQ64"/>
      <c r="TMR64"/>
      <c r="TMS64"/>
      <c r="TMT64"/>
      <c r="TMU64"/>
      <c r="TMV64"/>
      <c r="TMW64"/>
      <c r="TMX64"/>
      <c r="TMY64"/>
      <c r="TMZ64"/>
      <c r="TNA64"/>
      <c r="TNB64"/>
      <c r="TNC64"/>
      <c r="TND64"/>
      <c r="TNE64"/>
      <c r="TNF64"/>
      <c r="TNG64"/>
      <c r="TNH64"/>
      <c r="TNI64"/>
      <c r="TNJ64"/>
      <c r="TNK64"/>
      <c r="TNL64"/>
      <c r="TNM64"/>
      <c r="TNN64"/>
      <c r="TNO64"/>
      <c r="TNP64"/>
      <c r="TNQ64"/>
      <c r="TNR64"/>
      <c r="TNS64"/>
      <c r="TNT64"/>
      <c r="TNU64"/>
      <c r="TNV64"/>
      <c r="TNW64"/>
      <c r="TNX64"/>
      <c r="TNY64"/>
      <c r="TNZ64"/>
      <c r="TOA64"/>
      <c r="TOB64"/>
      <c r="TOC64"/>
      <c r="TOD64"/>
      <c r="TOE64"/>
      <c r="TOF64"/>
      <c r="TOG64"/>
      <c r="TOH64"/>
      <c r="TOI64"/>
      <c r="TOJ64"/>
      <c r="TOK64"/>
      <c r="TOL64"/>
      <c r="TOM64"/>
      <c r="TON64"/>
      <c r="TOO64"/>
      <c r="TOP64"/>
      <c r="TOQ64"/>
      <c r="TOR64"/>
      <c r="TOS64"/>
      <c r="TOT64"/>
      <c r="TOU64"/>
      <c r="TOV64"/>
      <c r="TOW64"/>
      <c r="TOX64"/>
      <c r="TOY64"/>
      <c r="TOZ64"/>
      <c r="TPA64"/>
      <c r="TPB64"/>
      <c r="TPC64"/>
      <c r="TPD64"/>
      <c r="TPE64"/>
      <c r="TPF64"/>
      <c r="TPG64"/>
      <c r="TPH64"/>
      <c r="TPI64"/>
      <c r="TPJ64"/>
      <c r="TPK64"/>
      <c r="TPL64"/>
      <c r="TPM64"/>
      <c r="TPN64"/>
      <c r="TPO64"/>
      <c r="TPP64"/>
      <c r="TPQ64"/>
      <c r="TPR64"/>
      <c r="TPS64"/>
      <c r="TPT64"/>
      <c r="TPU64"/>
      <c r="TPV64"/>
      <c r="TPW64"/>
      <c r="TPX64"/>
      <c r="TPY64"/>
      <c r="TPZ64"/>
      <c r="TQA64"/>
      <c r="TQB64"/>
      <c r="TQC64"/>
      <c r="TQD64"/>
      <c r="TQE64"/>
      <c r="TQF64"/>
      <c r="TQG64"/>
      <c r="TQH64"/>
      <c r="TQI64"/>
      <c r="TQJ64"/>
      <c r="TQK64"/>
      <c r="TQL64"/>
      <c r="TQM64"/>
      <c r="TQN64"/>
      <c r="TQO64"/>
      <c r="TQP64"/>
      <c r="TQQ64"/>
      <c r="TQR64"/>
      <c r="TQS64"/>
      <c r="TQT64"/>
      <c r="TQU64"/>
      <c r="TQV64"/>
      <c r="TQW64"/>
      <c r="TQX64"/>
      <c r="TQY64"/>
      <c r="TQZ64"/>
      <c r="TRA64"/>
      <c r="TRB64"/>
      <c r="TRC64"/>
      <c r="TRD64"/>
      <c r="TRE64"/>
      <c r="TRF64"/>
      <c r="TRG64"/>
      <c r="TRH64"/>
      <c r="TRI64"/>
      <c r="TRJ64"/>
      <c r="TRK64"/>
      <c r="TRL64"/>
      <c r="TRM64"/>
      <c r="TRN64"/>
      <c r="TRO64"/>
      <c r="TRP64"/>
      <c r="TRQ64"/>
      <c r="TRR64"/>
      <c r="TRS64"/>
      <c r="TRT64"/>
      <c r="TRU64"/>
      <c r="TRV64"/>
      <c r="TRW64"/>
      <c r="TRX64"/>
      <c r="TRY64"/>
      <c r="TRZ64"/>
      <c r="TSA64"/>
      <c r="TSB64"/>
      <c r="TSC64"/>
      <c r="TSD64"/>
      <c r="TSE64"/>
      <c r="TSF64"/>
      <c r="TSG64"/>
      <c r="TSH64"/>
      <c r="TSI64"/>
      <c r="TSJ64"/>
      <c r="TSK64"/>
      <c r="TSL64"/>
      <c r="TSM64"/>
      <c r="TSN64"/>
      <c r="TSO64"/>
      <c r="TSP64"/>
      <c r="TSQ64"/>
      <c r="TSR64"/>
      <c r="TSS64"/>
      <c r="TST64"/>
      <c r="TSU64"/>
      <c r="TSV64"/>
      <c r="TSW64"/>
      <c r="TSX64"/>
      <c r="TSY64"/>
      <c r="TSZ64"/>
      <c r="TTA64"/>
      <c r="TTB64"/>
      <c r="TTC64"/>
      <c r="TTD64"/>
      <c r="TTE64"/>
      <c r="TTF64"/>
      <c r="TTG64"/>
      <c r="TTH64"/>
      <c r="TTI64"/>
      <c r="TTJ64"/>
      <c r="TTK64"/>
      <c r="TTL64"/>
      <c r="TTM64"/>
      <c r="TTN64"/>
      <c r="TTO64"/>
      <c r="TTP64"/>
      <c r="TTQ64"/>
      <c r="TTR64"/>
      <c r="TTS64"/>
      <c r="TTT64"/>
      <c r="TTU64"/>
      <c r="TTV64"/>
      <c r="TTW64"/>
      <c r="TTX64"/>
      <c r="TTY64"/>
      <c r="TTZ64"/>
      <c r="TUA64"/>
      <c r="TUB64"/>
      <c r="TUC64"/>
      <c r="TUD64"/>
      <c r="TUE64"/>
      <c r="TUF64"/>
      <c r="TUG64"/>
      <c r="TUH64"/>
      <c r="TUI64"/>
      <c r="TUJ64"/>
      <c r="TUK64"/>
      <c r="TUL64"/>
      <c r="TUM64"/>
      <c r="TUN64"/>
      <c r="TUO64"/>
      <c r="TUP64"/>
      <c r="TUQ64"/>
      <c r="TUR64"/>
      <c r="TUS64"/>
      <c r="TUT64"/>
      <c r="TUU64"/>
      <c r="TUV64"/>
      <c r="TUW64"/>
      <c r="TUX64"/>
      <c r="TUY64"/>
      <c r="TUZ64"/>
      <c r="TVA64"/>
      <c r="TVB64"/>
      <c r="TVC64"/>
      <c r="TVD64"/>
      <c r="TVE64"/>
      <c r="TVF64"/>
      <c r="TVG64"/>
      <c r="TVH64"/>
      <c r="TVI64"/>
      <c r="TVJ64"/>
      <c r="TVK64"/>
      <c r="TVL64"/>
      <c r="TVM64"/>
      <c r="TVN64"/>
      <c r="TVO64"/>
      <c r="TVP64"/>
      <c r="TVQ64"/>
      <c r="TVR64"/>
      <c r="TVS64"/>
      <c r="TVT64"/>
      <c r="TVU64"/>
      <c r="TVV64"/>
      <c r="TVW64"/>
      <c r="TVX64"/>
      <c r="TVY64"/>
      <c r="TVZ64"/>
      <c r="TWA64"/>
      <c r="TWB64"/>
      <c r="TWC64"/>
      <c r="TWD64"/>
      <c r="TWE64"/>
      <c r="TWF64"/>
      <c r="TWG64"/>
      <c r="TWH64"/>
      <c r="TWI64"/>
      <c r="TWJ64"/>
      <c r="TWK64"/>
      <c r="TWL64"/>
      <c r="TWM64"/>
      <c r="TWN64"/>
      <c r="TWO64"/>
      <c r="TWP64"/>
      <c r="TWQ64"/>
      <c r="TWR64"/>
      <c r="TWS64"/>
      <c r="TWT64"/>
      <c r="TWU64"/>
      <c r="TWV64"/>
      <c r="TWW64"/>
      <c r="TWX64"/>
      <c r="TWY64"/>
      <c r="TWZ64"/>
      <c r="TXA64"/>
      <c r="TXB64"/>
      <c r="TXC64"/>
      <c r="TXD64"/>
      <c r="TXE64"/>
      <c r="TXF64"/>
      <c r="TXG64"/>
      <c r="TXH64"/>
      <c r="TXI64"/>
      <c r="TXJ64"/>
      <c r="TXK64"/>
      <c r="TXL64"/>
      <c r="TXM64"/>
      <c r="TXN64"/>
      <c r="TXO64"/>
      <c r="TXP64"/>
      <c r="TXQ64"/>
      <c r="TXR64"/>
      <c r="TXS64"/>
      <c r="TXT64"/>
      <c r="TXU64"/>
      <c r="TXV64"/>
      <c r="TXW64"/>
      <c r="TXX64"/>
      <c r="TXY64"/>
      <c r="TXZ64"/>
      <c r="TYA64"/>
      <c r="TYB64"/>
      <c r="TYC64"/>
      <c r="TYD64"/>
      <c r="TYE64"/>
      <c r="TYF64"/>
      <c r="TYG64"/>
      <c r="TYH64"/>
      <c r="TYI64"/>
      <c r="TYJ64"/>
      <c r="TYK64"/>
      <c r="TYL64"/>
      <c r="TYM64"/>
      <c r="TYN64"/>
      <c r="TYO64"/>
      <c r="TYP64"/>
      <c r="TYQ64"/>
      <c r="TYR64"/>
      <c r="TYS64"/>
      <c r="TYT64"/>
      <c r="TYU64"/>
      <c r="TYV64"/>
      <c r="TYW64"/>
      <c r="TYX64"/>
      <c r="TYY64"/>
      <c r="TYZ64"/>
      <c r="TZA64"/>
      <c r="TZB64"/>
      <c r="TZC64"/>
      <c r="TZD64"/>
      <c r="TZE64"/>
      <c r="TZF64"/>
      <c r="TZG64"/>
      <c r="TZH64"/>
      <c r="TZI64"/>
      <c r="TZJ64"/>
      <c r="TZK64"/>
      <c r="TZL64"/>
      <c r="TZM64"/>
      <c r="TZN64"/>
      <c r="TZO64"/>
      <c r="TZP64"/>
      <c r="TZQ64"/>
      <c r="TZR64"/>
      <c r="TZS64"/>
      <c r="TZT64"/>
      <c r="TZU64"/>
      <c r="TZV64"/>
      <c r="TZW64"/>
      <c r="TZX64"/>
      <c r="TZY64"/>
      <c r="TZZ64"/>
      <c r="UAA64"/>
      <c r="UAB64"/>
      <c r="UAC64"/>
      <c r="UAD64"/>
      <c r="UAE64"/>
      <c r="UAF64"/>
      <c r="UAG64"/>
      <c r="UAH64"/>
      <c r="UAI64"/>
      <c r="UAJ64"/>
      <c r="UAK64"/>
      <c r="UAL64"/>
      <c r="UAM64"/>
      <c r="UAN64"/>
      <c r="UAO64"/>
      <c r="UAP64"/>
      <c r="UAQ64"/>
      <c r="UAR64"/>
      <c r="UAS64"/>
      <c r="UAT64"/>
      <c r="UAU64"/>
      <c r="UAV64"/>
      <c r="UAW64"/>
      <c r="UAX64"/>
      <c r="UAY64"/>
      <c r="UAZ64"/>
      <c r="UBA64"/>
      <c r="UBB64"/>
      <c r="UBC64"/>
      <c r="UBD64"/>
      <c r="UBE64"/>
      <c r="UBF64"/>
      <c r="UBG64"/>
      <c r="UBH64"/>
      <c r="UBI64"/>
      <c r="UBJ64"/>
      <c r="UBK64"/>
      <c r="UBL64"/>
      <c r="UBM64"/>
      <c r="UBN64"/>
      <c r="UBO64"/>
      <c r="UBP64"/>
      <c r="UBQ64"/>
      <c r="UBR64"/>
      <c r="UBS64"/>
      <c r="UBT64"/>
      <c r="UBU64"/>
      <c r="UBV64"/>
      <c r="UBW64"/>
      <c r="UBX64"/>
      <c r="UBY64"/>
      <c r="UBZ64"/>
      <c r="UCA64"/>
      <c r="UCB64"/>
      <c r="UCC64"/>
      <c r="UCD64"/>
      <c r="UCE64"/>
      <c r="UCF64"/>
      <c r="UCG64"/>
      <c r="UCH64"/>
      <c r="UCI64"/>
      <c r="UCJ64"/>
      <c r="UCK64"/>
      <c r="UCL64"/>
      <c r="UCM64"/>
      <c r="UCN64"/>
      <c r="UCO64"/>
      <c r="UCP64"/>
      <c r="UCQ64"/>
      <c r="UCR64"/>
      <c r="UCS64"/>
      <c r="UCT64"/>
      <c r="UCU64"/>
      <c r="UCV64"/>
      <c r="UCW64"/>
      <c r="UCX64"/>
      <c r="UCY64"/>
      <c r="UCZ64"/>
      <c r="UDA64"/>
      <c r="UDB64"/>
      <c r="UDC64"/>
      <c r="UDD64"/>
      <c r="UDE64"/>
      <c r="UDF64"/>
      <c r="UDG64"/>
      <c r="UDH64"/>
      <c r="UDI64"/>
      <c r="UDJ64"/>
      <c r="UDK64"/>
      <c r="UDL64"/>
      <c r="UDM64"/>
      <c r="UDN64"/>
      <c r="UDO64"/>
      <c r="UDP64"/>
      <c r="UDQ64"/>
      <c r="UDR64"/>
      <c r="UDS64"/>
      <c r="UDT64"/>
      <c r="UDU64"/>
      <c r="UDV64"/>
      <c r="UDW64"/>
      <c r="UDX64"/>
      <c r="UDY64"/>
      <c r="UDZ64"/>
      <c r="UEA64"/>
      <c r="UEB64"/>
      <c r="UEC64"/>
      <c r="UED64"/>
      <c r="UEE64"/>
      <c r="UEF64"/>
      <c r="UEG64"/>
      <c r="UEH64"/>
      <c r="UEI64"/>
      <c r="UEJ64"/>
      <c r="UEK64"/>
      <c r="UEL64"/>
      <c r="UEM64"/>
      <c r="UEN64"/>
      <c r="UEO64"/>
      <c r="UEP64"/>
      <c r="UEQ64"/>
      <c r="UER64"/>
      <c r="UES64"/>
      <c r="UET64"/>
      <c r="UEU64"/>
      <c r="UEV64"/>
      <c r="UEW64"/>
      <c r="UEX64"/>
      <c r="UEY64"/>
      <c r="UEZ64"/>
      <c r="UFA64"/>
      <c r="UFB64"/>
      <c r="UFC64"/>
      <c r="UFD64"/>
      <c r="UFE64"/>
      <c r="UFF64"/>
      <c r="UFG64"/>
      <c r="UFH64"/>
      <c r="UFI64"/>
      <c r="UFJ64"/>
      <c r="UFK64"/>
      <c r="UFL64"/>
      <c r="UFM64"/>
      <c r="UFN64"/>
      <c r="UFO64"/>
      <c r="UFP64"/>
      <c r="UFQ64"/>
      <c r="UFR64"/>
      <c r="UFS64"/>
      <c r="UFT64"/>
      <c r="UFU64"/>
      <c r="UFV64"/>
      <c r="UFW64"/>
      <c r="UFX64"/>
      <c r="UFY64"/>
      <c r="UFZ64"/>
      <c r="UGA64"/>
      <c r="UGB64"/>
      <c r="UGC64"/>
      <c r="UGD64"/>
      <c r="UGE64"/>
      <c r="UGF64"/>
      <c r="UGG64"/>
      <c r="UGH64"/>
      <c r="UGI64"/>
      <c r="UGJ64"/>
      <c r="UGK64"/>
      <c r="UGL64"/>
      <c r="UGM64"/>
      <c r="UGN64"/>
      <c r="UGO64"/>
      <c r="UGP64"/>
      <c r="UGQ64"/>
      <c r="UGR64"/>
      <c r="UGS64"/>
      <c r="UGT64"/>
      <c r="UGU64"/>
      <c r="UGV64"/>
      <c r="UGW64"/>
      <c r="UGX64"/>
      <c r="UGY64"/>
      <c r="UGZ64"/>
      <c r="UHA64"/>
      <c r="UHB64"/>
      <c r="UHC64"/>
      <c r="UHD64"/>
      <c r="UHE64"/>
      <c r="UHF64"/>
      <c r="UHG64"/>
      <c r="UHH64"/>
      <c r="UHI64"/>
      <c r="UHJ64"/>
      <c r="UHK64"/>
      <c r="UHL64"/>
      <c r="UHM64"/>
      <c r="UHN64"/>
      <c r="UHO64"/>
      <c r="UHP64"/>
      <c r="UHQ64"/>
      <c r="UHR64"/>
      <c r="UHS64"/>
      <c r="UHT64"/>
      <c r="UHU64"/>
      <c r="UHV64"/>
      <c r="UHW64"/>
      <c r="UHX64"/>
      <c r="UHY64"/>
      <c r="UHZ64"/>
      <c r="UIA64"/>
      <c r="UIB64"/>
      <c r="UIC64"/>
      <c r="UID64"/>
      <c r="UIE64"/>
      <c r="UIF64"/>
      <c r="UIG64"/>
      <c r="UIH64"/>
      <c r="UII64"/>
      <c r="UIJ64"/>
      <c r="UIK64"/>
      <c r="UIL64"/>
      <c r="UIM64"/>
      <c r="UIN64"/>
      <c r="UIO64"/>
      <c r="UIP64"/>
      <c r="UIQ64"/>
      <c r="UIR64"/>
      <c r="UIS64"/>
      <c r="UIT64"/>
      <c r="UIU64"/>
      <c r="UIV64"/>
      <c r="UIW64"/>
      <c r="UIX64"/>
      <c r="UIY64"/>
      <c r="UIZ64"/>
      <c r="UJA64"/>
      <c r="UJB64"/>
      <c r="UJC64"/>
      <c r="UJD64"/>
      <c r="UJE64"/>
      <c r="UJF64"/>
      <c r="UJG64"/>
      <c r="UJH64"/>
      <c r="UJI64"/>
      <c r="UJJ64"/>
      <c r="UJK64"/>
      <c r="UJL64"/>
      <c r="UJM64"/>
      <c r="UJN64"/>
      <c r="UJO64"/>
      <c r="UJP64"/>
      <c r="UJQ64"/>
      <c r="UJR64"/>
      <c r="UJS64"/>
      <c r="UJT64"/>
      <c r="UJU64"/>
      <c r="UJV64"/>
      <c r="UJW64"/>
      <c r="UJX64"/>
      <c r="UJY64"/>
      <c r="UJZ64"/>
      <c r="UKA64"/>
      <c r="UKB64"/>
      <c r="UKC64"/>
      <c r="UKD64"/>
      <c r="UKE64"/>
      <c r="UKF64"/>
      <c r="UKG64"/>
      <c r="UKH64"/>
      <c r="UKI64"/>
      <c r="UKJ64"/>
      <c r="UKK64"/>
      <c r="UKL64"/>
      <c r="UKM64"/>
      <c r="UKN64"/>
      <c r="UKO64"/>
      <c r="UKP64"/>
      <c r="UKQ64"/>
      <c r="UKR64"/>
      <c r="UKS64"/>
      <c r="UKT64"/>
      <c r="UKU64"/>
      <c r="UKV64"/>
      <c r="UKW64"/>
      <c r="UKX64"/>
      <c r="UKY64"/>
      <c r="UKZ64"/>
      <c r="ULA64"/>
      <c r="ULB64"/>
      <c r="ULC64"/>
      <c r="ULD64"/>
      <c r="ULE64"/>
      <c r="ULF64"/>
      <c r="ULG64"/>
      <c r="ULH64"/>
      <c r="ULI64"/>
      <c r="ULJ64"/>
      <c r="ULK64"/>
      <c r="ULL64"/>
      <c r="ULM64"/>
      <c r="ULN64"/>
      <c r="ULO64"/>
      <c r="ULP64"/>
      <c r="ULQ64"/>
      <c r="ULR64"/>
      <c r="ULS64"/>
      <c r="ULT64"/>
      <c r="ULU64"/>
      <c r="ULV64"/>
      <c r="ULW64"/>
      <c r="ULX64"/>
      <c r="ULY64"/>
      <c r="ULZ64"/>
      <c r="UMA64"/>
      <c r="UMB64"/>
      <c r="UMC64"/>
      <c r="UMD64"/>
      <c r="UME64"/>
      <c r="UMF64"/>
      <c r="UMG64"/>
      <c r="UMH64"/>
      <c r="UMI64"/>
      <c r="UMJ64"/>
      <c r="UMK64"/>
      <c r="UML64"/>
      <c r="UMM64"/>
      <c r="UMN64"/>
      <c r="UMO64"/>
      <c r="UMP64"/>
      <c r="UMQ64"/>
      <c r="UMR64"/>
      <c r="UMS64"/>
      <c r="UMT64"/>
      <c r="UMU64"/>
      <c r="UMV64"/>
      <c r="UMW64"/>
      <c r="UMX64"/>
      <c r="UMY64"/>
      <c r="UMZ64"/>
      <c r="UNA64"/>
      <c r="UNB64"/>
      <c r="UNC64"/>
      <c r="UND64"/>
      <c r="UNE64"/>
      <c r="UNF64"/>
      <c r="UNG64"/>
      <c r="UNH64"/>
      <c r="UNI64"/>
      <c r="UNJ64"/>
      <c r="UNK64"/>
      <c r="UNL64"/>
      <c r="UNM64"/>
      <c r="UNN64"/>
      <c r="UNO64"/>
      <c r="UNP64"/>
      <c r="UNQ64"/>
      <c r="UNR64"/>
      <c r="UNS64"/>
      <c r="UNT64"/>
      <c r="UNU64"/>
      <c r="UNV64"/>
      <c r="UNW64"/>
      <c r="UNX64"/>
      <c r="UNY64"/>
      <c r="UNZ64"/>
      <c r="UOA64"/>
      <c r="UOB64"/>
      <c r="UOC64"/>
      <c r="UOD64"/>
      <c r="UOE64"/>
      <c r="UOF64"/>
      <c r="UOG64"/>
      <c r="UOH64"/>
      <c r="UOI64"/>
      <c r="UOJ64"/>
      <c r="UOK64"/>
      <c r="UOL64"/>
      <c r="UOM64"/>
      <c r="UON64"/>
      <c r="UOO64"/>
      <c r="UOP64"/>
      <c r="UOQ64"/>
      <c r="UOR64"/>
      <c r="UOS64"/>
      <c r="UOT64"/>
      <c r="UOU64"/>
      <c r="UOV64"/>
      <c r="UOW64"/>
      <c r="UOX64"/>
      <c r="UOY64"/>
      <c r="UOZ64"/>
      <c r="UPA64"/>
      <c r="UPB64"/>
      <c r="UPC64"/>
      <c r="UPD64"/>
      <c r="UPE64"/>
      <c r="UPF64"/>
      <c r="UPG64"/>
      <c r="UPH64"/>
      <c r="UPI64"/>
      <c r="UPJ64"/>
      <c r="UPK64"/>
      <c r="UPL64"/>
      <c r="UPM64"/>
      <c r="UPN64"/>
      <c r="UPO64"/>
      <c r="UPP64"/>
      <c r="UPQ64"/>
      <c r="UPR64"/>
      <c r="UPS64"/>
      <c r="UPT64"/>
      <c r="UPU64"/>
      <c r="UPV64"/>
      <c r="UPW64"/>
      <c r="UPX64"/>
      <c r="UPY64"/>
      <c r="UPZ64"/>
      <c r="UQA64"/>
      <c r="UQB64"/>
      <c r="UQC64"/>
      <c r="UQD64"/>
      <c r="UQE64"/>
      <c r="UQF64"/>
      <c r="UQG64"/>
      <c r="UQH64"/>
      <c r="UQI64"/>
      <c r="UQJ64"/>
      <c r="UQK64"/>
      <c r="UQL64"/>
      <c r="UQM64"/>
      <c r="UQN64"/>
      <c r="UQO64"/>
      <c r="UQP64"/>
      <c r="UQQ64"/>
      <c r="UQR64"/>
      <c r="UQS64"/>
      <c r="UQT64"/>
      <c r="UQU64"/>
      <c r="UQV64"/>
      <c r="UQW64"/>
      <c r="UQX64"/>
      <c r="UQY64"/>
      <c r="UQZ64"/>
      <c r="URA64"/>
      <c r="URB64"/>
      <c r="URC64"/>
      <c r="URD64"/>
      <c r="URE64"/>
      <c r="URF64"/>
      <c r="URG64"/>
      <c r="URH64"/>
      <c r="URI64"/>
      <c r="URJ64"/>
      <c r="URK64"/>
      <c r="URL64"/>
      <c r="URM64"/>
      <c r="URN64"/>
      <c r="URO64"/>
      <c r="URP64"/>
      <c r="URQ64"/>
      <c r="URR64"/>
      <c r="URS64"/>
      <c r="URT64"/>
      <c r="URU64"/>
      <c r="URV64"/>
      <c r="URW64"/>
      <c r="URX64"/>
      <c r="URY64"/>
      <c r="URZ64"/>
      <c r="USA64"/>
      <c r="USB64"/>
      <c r="USC64"/>
      <c r="USD64"/>
      <c r="USE64"/>
      <c r="USF64"/>
      <c r="USG64"/>
      <c r="USH64"/>
      <c r="USI64"/>
      <c r="USJ64"/>
      <c r="USK64"/>
      <c r="USL64"/>
      <c r="USM64"/>
      <c r="USN64"/>
      <c r="USO64"/>
      <c r="USP64"/>
      <c r="USQ64"/>
      <c r="USR64"/>
      <c r="USS64"/>
      <c r="UST64"/>
      <c r="USU64"/>
      <c r="USV64"/>
      <c r="USW64"/>
      <c r="USX64"/>
      <c r="USY64"/>
      <c r="USZ64"/>
      <c r="UTA64"/>
      <c r="UTB64"/>
      <c r="UTC64"/>
      <c r="UTD64"/>
      <c r="UTE64"/>
      <c r="UTF64"/>
      <c r="UTG64"/>
      <c r="UTH64"/>
      <c r="UTI64"/>
      <c r="UTJ64"/>
      <c r="UTK64"/>
      <c r="UTL64"/>
      <c r="UTM64"/>
      <c r="UTN64"/>
      <c r="UTO64"/>
      <c r="UTP64"/>
      <c r="UTQ64"/>
      <c r="UTR64"/>
      <c r="UTS64"/>
      <c r="UTT64"/>
      <c r="UTU64"/>
      <c r="UTV64"/>
      <c r="UTW64"/>
      <c r="UTX64"/>
      <c r="UTY64"/>
      <c r="UTZ64"/>
      <c r="UUA64"/>
      <c r="UUB64"/>
      <c r="UUC64"/>
      <c r="UUD64"/>
      <c r="UUE64"/>
      <c r="UUF64"/>
      <c r="UUG64"/>
      <c r="UUH64"/>
      <c r="UUI64"/>
      <c r="UUJ64"/>
      <c r="UUK64"/>
      <c r="UUL64"/>
      <c r="UUM64"/>
      <c r="UUN64"/>
      <c r="UUO64"/>
      <c r="UUP64"/>
      <c r="UUQ64"/>
      <c r="UUR64"/>
      <c r="UUS64"/>
      <c r="UUT64"/>
      <c r="UUU64"/>
      <c r="UUV64"/>
      <c r="UUW64"/>
      <c r="UUX64"/>
      <c r="UUY64"/>
      <c r="UUZ64"/>
      <c r="UVA64"/>
      <c r="UVB64"/>
      <c r="UVC64"/>
      <c r="UVD64"/>
      <c r="UVE64"/>
      <c r="UVF64"/>
      <c r="UVG64"/>
      <c r="UVH64"/>
      <c r="UVI64"/>
      <c r="UVJ64"/>
      <c r="UVK64"/>
      <c r="UVL64"/>
      <c r="UVM64"/>
      <c r="UVN64"/>
      <c r="UVO64"/>
      <c r="UVP64"/>
      <c r="UVQ64"/>
      <c r="UVR64"/>
      <c r="UVS64"/>
      <c r="UVT64"/>
      <c r="UVU64"/>
      <c r="UVV64"/>
      <c r="UVW64"/>
      <c r="UVX64"/>
      <c r="UVY64"/>
      <c r="UVZ64"/>
      <c r="UWA64"/>
      <c r="UWB64"/>
      <c r="UWC64"/>
      <c r="UWD64"/>
      <c r="UWE64"/>
      <c r="UWF64"/>
      <c r="UWG64"/>
      <c r="UWH64"/>
      <c r="UWI64"/>
      <c r="UWJ64"/>
      <c r="UWK64"/>
      <c r="UWL64"/>
      <c r="UWM64"/>
      <c r="UWN64"/>
      <c r="UWO64"/>
      <c r="UWP64"/>
      <c r="UWQ64"/>
      <c r="UWR64"/>
      <c r="UWS64"/>
      <c r="UWT64"/>
      <c r="UWU64"/>
      <c r="UWV64"/>
      <c r="UWW64"/>
      <c r="UWX64"/>
      <c r="UWY64"/>
      <c r="UWZ64"/>
      <c r="UXA64"/>
      <c r="UXB64"/>
      <c r="UXC64"/>
      <c r="UXD64"/>
      <c r="UXE64"/>
      <c r="UXF64"/>
      <c r="UXG64"/>
      <c r="UXH64"/>
      <c r="UXI64"/>
      <c r="UXJ64"/>
      <c r="UXK64"/>
      <c r="UXL64"/>
      <c r="UXM64"/>
      <c r="UXN64"/>
      <c r="UXO64"/>
      <c r="UXP64"/>
      <c r="UXQ64"/>
      <c r="UXR64"/>
      <c r="UXS64"/>
      <c r="UXT64"/>
      <c r="UXU64"/>
      <c r="UXV64"/>
      <c r="UXW64"/>
      <c r="UXX64"/>
      <c r="UXY64"/>
      <c r="UXZ64"/>
      <c r="UYA64"/>
      <c r="UYB64"/>
      <c r="UYC64"/>
      <c r="UYD64"/>
      <c r="UYE64"/>
      <c r="UYF64"/>
      <c r="UYG64"/>
      <c r="UYH64"/>
      <c r="UYI64"/>
      <c r="UYJ64"/>
      <c r="UYK64"/>
      <c r="UYL64"/>
      <c r="UYM64"/>
      <c r="UYN64"/>
      <c r="UYO64"/>
      <c r="UYP64"/>
      <c r="UYQ64"/>
      <c r="UYR64"/>
      <c r="UYS64"/>
      <c r="UYT64"/>
      <c r="UYU64"/>
      <c r="UYV64"/>
      <c r="UYW64"/>
      <c r="UYX64"/>
      <c r="UYY64"/>
      <c r="UYZ64"/>
      <c r="UZA64"/>
      <c r="UZB64"/>
      <c r="UZC64"/>
      <c r="UZD64"/>
      <c r="UZE64"/>
      <c r="UZF64"/>
      <c r="UZG64"/>
      <c r="UZH64"/>
      <c r="UZI64"/>
      <c r="UZJ64"/>
      <c r="UZK64"/>
      <c r="UZL64"/>
      <c r="UZM64"/>
      <c r="UZN64"/>
      <c r="UZO64"/>
      <c r="UZP64"/>
      <c r="UZQ64"/>
      <c r="UZR64"/>
      <c r="UZS64"/>
      <c r="UZT64"/>
      <c r="UZU64"/>
      <c r="UZV64"/>
      <c r="UZW64"/>
      <c r="UZX64"/>
      <c r="UZY64"/>
      <c r="UZZ64"/>
      <c r="VAA64"/>
      <c r="VAB64"/>
      <c r="VAC64"/>
      <c r="VAD64"/>
      <c r="VAE64"/>
      <c r="VAF64"/>
      <c r="VAG64"/>
      <c r="VAH64"/>
      <c r="VAI64"/>
      <c r="VAJ64"/>
      <c r="VAK64"/>
      <c r="VAL64"/>
      <c r="VAM64"/>
      <c r="VAN64"/>
      <c r="VAO64"/>
      <c r="VAP64"/>
      <c r="VAQ64"/>
      <c r="VAR64"/>
      <c r="VAS64"/>
      <c r="VAT64"/>
      <c r="VAU64"/>
      <c r="VAV64"/>
      <c r="VAW64"/>
      <c r="VAX64"/>
      <c r="VAY64"/>
      <c r="VAZ64"/>
      <c r="VBA64"/>
      <c r="VBB64"/>
      <c r="VBC64"/>
      <c r="VBD64"/>
      <c r="VBE64"/>
      <c r="VBF64"/>
      <c r="VBG64"/>
      <c r="VBH64"/>
      <c r="VBI64"/>
      <c r="VBJ64"/>
      <c r="VBK64"/>
      <c r="VBL64"/>
      <c r="VBM64"/>
      <c r="VBN64"/>
      <c r="VBO64"/>
      <c r="VBP64"/>
      <c r="VBQ64"/>
      <c r="VBR64"/>
      <c r="VBS64"/>
      <c r="VBT64"/>
      <c r="VBU64"/>
      <c r="VBV64"/>
      <c r="VBW64"/>
      <c r="VBX64"/>
      <c r="VBY64"/>
      <c r="VBZ64"/>
      <c r="VCA64"/>
      <c r="VCB64"/>
      <c r="VCC64"/>
      <c r="VCD64"/>
      <c r="VCE64"/>
      <c r="VCF64"/>
      <c r="VCG64"/>
      <c r="VCH64"/>
      <c r="VCI64"/>
      <c r="VCJ64"/>
      <c r="VCK64"/>
      <c r="VCL64"/>
      <c r="VCM64"/>
      <c r="VCN64"/>
      <c r="VCO64"/>
      <c r="VCP64"/>
      <c r="VCQ64"/>
      <c r="VCR64"/>
      <c r="VCS64"/>
      <c r="VCT64"/>
      <c r="VCU64"/>
      <c r="VCV64"/>
      <c r="VCW64"/>
      <c r="VCX64"/>
      <c r="VCY64"/>
      <c r="VCZ64"/>
      <c r="VDA64"/>
      <c r="VDB64"/>
      <c r="VDC64"/>
      <c r="VDD64"/>
      <c r="VDE64"/>
      <c r="VDF64"/>
      <c r="VDG64"/>
      <c r="VDH64"/>
      <c r="VDI64"/>
      <c r="VDJ64"/>
      <c r="VDK64"/>
      <c r="VDL64"/>
      <c r="VDM64"/>
      <c r="VDN64"/>
      <c r="VDO64"/>
      <c r="VDP64"/>
      <c r="VDQ64"/>
      <c r="VDR64"/>
      <c r="VDS64"/>
      <c r="VDT64"/>
      <c r="VDU64"/>
      <c r="VDV64"/>
      <c r="VDW64"/>
      <c r="VDX64"/>
      <c r="VDY64"/>
      <c r="VDZ64"/>
      <c r="VEA64"/>
      <c r="VEB64"/>
      <c r="VEC64"/>
      <c r="VED64"/>
      <c r="VEE64"/>
      <c r="VEF64"/>
      <c r="VEG64"/>
      <c r="VEH64"/>
      <c r="VEI64"/>
      <c r="VEJ64"/>
      <c r="VEK64"/>
      <c r="VEL64"/>
      <c r="VEM64"/>
      <c r="VEN64"/>
      <c r="VEO64"/>
      <c r="VEP64"/>
      <c r="VEQ64"/>
      <c r="VER64"/>
      <c r="VES64"/>
      <c r="VET64"/>
      <c r="VEU64"/>
      <c r="VEV64"/>
      <c r="VEW64"/>
      <c r="VEX64"/>
      <c r="VEY64"/>
      <c r="VEZ64"/>
      <c r="VFA64"/>
      <c r="VFB64"/>
      <c r="VFC64"/>
      <c r="VFD64"/>
      <c r="VFE64"/>
      <c r="VFF64"/>
      <c r="VFG64"/>
      <c r="VFH64"/>
      <c r="VFI64"/>
      <c r="VFJ64"/>
      <c r="VFK64"/>
      <c r="VFL64"/>
      <c r="VFM64"/>
      <c r="VFN64"/>
      <c r="VFO64"/>
      <c r="VFP64"/>
      <c r="VFQ64"/>
      <c r="VFR64"/>
      <c r="VFS64"/>
      <c r="VFT64"/>
      <c r="VFU64"/>
      <c r="VFV64"/>
      <c r="VFW64"/>
      <c r="VFX64"/>
      <c r="VFY64"/>
      <c r="VFZ64"/>
      <c r="VGA64"/>
      <c r="VGB64"/>
      <c r="VGC64"/>
      <c r="VGD64"/>
      <c r="VGE64"/>
      <c r="VGF64"/>
      <c r="VGG64"/>
      <c r="VGH64"/>
      <c r="VGI64"/>
      <c r="VGJ64"/>
      <c r="VGK64"/>
      <c r="VGL64"/>
      <c r="VGM64"/>
      <c r="VGN64"/>
      <c r="VGO64"/>
      <c r="VGP64"/>
      <c r="VGQ64"/>
      <c r="VGR64"/>
      <c r="VGS64"/>
      <c r="VGT64"/>
      <c r="VGU64"/>
      <c r="VGV64"/>
      <c r="VGW64"/>
      <c r="VGX64"/>
      <c r="VGY64"/>
      <c r="VGZ64"/>
      <c r="VHA64"/>
      <c r="VHB64"/>
      <c r="VHC64"/>
      <c r="VHD64"/>
      <c r="VHE64"/>
      <c r="VHF64"/>
      <c r="VHG64"/>
      <c r="VHH64"/>
      <c r="VHI64"/>
      <c r="VHJ64"/>
      <c r="VHK64"/>
      <c r="VHL64"/>
      <c r="VHM64"/>
      <c r="VHN64"/>
      <c r="VHO64"/>
      <c r="VHP64"/>
      <c r="VHQ64"/>
      <c r="VHR64"/>
      <c r="VHS64"/>
      <c r="VHT64"/>
      <c r="VHU64"/>
      <c r="VHV64"/>
      <c r="VHW64"/>
      <c r="VHX64"/>
      <c r="VHY64"/>
      <c r="VHZ64"/>
      <c r="VIA64"/>
      <c r="VIB64"/>
      <c r="VIC64"/>
      <c r="VID64"/>
      <c r="VIE64"/>
      <c r="VIF64"/>
      <c r="VIG64"/>
      <c r="VIH64"/>
      <c r="VII64"/>
      <c r="VIJ64"/>
      <c r="VIK64"/>
      <c r="VIL64"/>
      <c r="VIM64"/>
      <c r="VIN64"/>
      <c r="VIO64"/>
      <c r="VIP64"/>
      <c r="VIQ64"/>
      <c r="VIR64"/>
      <c r="VIS64"/>
      <c r="VIT64"/>
      <c r="VIU64"/>
      <c r="VIV64"/>
      <c r="VIW64"/>
      <c r="VIX64"/>
      <c r="VIY64"/>
      <c r="VIZ64"/>
      <c r="VJA64"/>
      <c r="VJB64"/>
      <c r="VJC64"/>
      <c r="VJD64"/>
      <c r="VJE64"/>
      <c r="VJF64"/>
      <c r="VJG64"/>
      <c r="VJH64"/>
      <c r="VJI64"/>
      <c r="VJJ64"/>
      <c r="VJK64"/>
      <c r="VJL64"/>
      <c r="VJM64"/>
      <c r="VJN64"/>
      <c r="VJO64"/>
      <c r="VJP64"/>
      <c r="VJQ64"/>
      <c r="VJR64"/>
      <c r="VJS64"/>
      <c r="VJT64"/>
      <c r="VJU64"/>
      <c r="VJV64"/>
      <c r="VJW64"/>
      <c r="VJX64"/>
      <c r="VJY64"/>
      <c r="VJZ64"/>
      <c r="VKA64"/>
      <c r="VKB64"/>
      <c r="VKC64"/>
      <c r="VKD64"/>
      <c r="VKE64"/>
      <c r="VKF64"/>
      <c r="VKG64"/>
      <c r="VKH64"/>
      <c r="VKI64"/>
      <c r="VKJ64"/>
      <c r="VKK64"/>
      <c r="VKL64"/>
      <c r="VKM64"/>
      <c r="VKN64"/>
      <c r="VKO64"/>
      <c r="VKP64"/>
      <c r="VKQ64"/>
      <c r="VKR64"/>
      <c r="VKS64"/>
      <c r="VKT64"/>
      <c r="VKU64"/>
      <c r="VKV64"/>
      <c r="VKW64"/>
      <c r="VKX64"/>
      <c r="VKY64"/>
      <c r="VKZ64"/>
      <c r="VLA64"/>
      <c r="VLB64"/>
      <c r="VLC64"/>
      <c r="VLD64"/>
      <c r="VLE64"/>
      <c r="VLF64"/>
      <c r="VLG64"/>
      <c r="VLH64"/>
      <c r="VLI64"/>
      <c r="VLJ64"/>
      <c r="VLK64"/>
      <c r="VLL64"/>
      <c r="VLM64"/>
      <c r="VLN64"/>
      <c r="VLO64"/>
      <c r="VLP64"/>
      <c r="VLQ64"/>
      <c r="VLR64"/>
      <c r="VLS64"/>
      <c r="VLT64"/>
      <c r="VLU64"/>
      <c r="VLV64"/>
      <c r="VLW64"/>
      <c r="VLX64"/>
      <c r="VLY64"/>
      <c r="VLZ64"/>
      <c r="VMA64"/>
      <c r="VMB64"/>
      <c r="VMC64"/>
      <c r="VMD64"/>
      <c r="VME64"/>
      <c r="VMF64"/>
      <c r="VMG64"/>
      <c r="VMH64"/>
      <c r="VMI64"/>
      <c r="VMJ64"/>
      <c r="VMK64"/>
      <c r="VML64"/>
      <c r="VMM64"/>
      <c r="VMN64"/>
      <c r="VMO64"/>
      <c r="VMP64"/>
      <c r="VMQ64"/>
      <c r="VMR64"/>
      <c r="VMS64"/>
      <c r="VMT64"/>
      <c r="VMU64"/>
      <c r="VMV64"/>
      <c r="VMW64"/>
      <c r="VMX64"/>
      <c r="VMY64"/>
      <c r="VMZ64"/>
      <c r="VNA64"/>
      <c r="VNB64"/>
      <c r="VNC64"/>
      <c r="VND64"/>
      <c r="VNE64"/>
      <c r="VNF64"/>
      <c r="VNG64"/>
      <c r="VNH64"/>
      <c r="VNI64"/>
      <c r="VNJ64"/>
      <c r="VNK64"/>
      <c r="VNL64"/>
      <c r="VNM64"/>
      <c r="VNN64"/>
      <c r="VNO64"/>
      <c r="VNP64"/>
      <c r="VNQ64"/>
      <c r="VNR64"/>
      <c r="VNS64"/>
      <c r="VNT64"/>
      <c r="VNU64"/>
      <c r="VNV64"/>
      <c r="VNW64"/>
      <c r="VNX64"/>
      <c r="VNY64"/>
      <c r="VNZ64"/>
      <c r="VOA64"/>
      <c r="VOB64"/>
      <c r="VOC64"/>
      <c r="VOD64"/>
      <c r="VOE64"/>
      <c r="VOF64"/>
      <c r="VOG64"/>
      <c r="VOH64"/>
      <c r="VOI64"/>
      <c r="VOJ64"/>
      <c r="VOK64"/>
      <c r="VOL64"/>
      <c r="VOM64"/>
      <c r="VON64"/>
      <c r="VOO64"/>
      <c r="VOP64"/>
      <c r="VOQ64"/>
      <c r="VOR64"/>
      <c r="VOS64"/>
      <c r="VOT64"/>
      <c r="VOU64"/>
      <c r="VOV64"/>
      <c r="VOW64"/>
      <c r="VOX64"/>
      <c r="VOY64"/>
      <c r="VOZ64"/>
      <c r="VPA64"/>
      <c r="VPB64"/>
      <c r="VPC64"/>
      <c r="VPD64"/>
      <c r="VPE64"/>
      <c r="VPF64"/>
      <c r="VPG64"/>
      <c r="VPH64"/>
      <c r="VPI64"/>
      <c r="VPJ64"/>
      <c r="VPK64"/>
      <c r="VPL64"/>
      <c r="VPM64"/>
      <c r="VPN64"/>
      <c r="VPO64"/>
      <c r="VPP64"/>
      <c r="VPQ64"/>
      <c r="VPR64"/>
      <c r="VPS64"/>
      <c r="VPT64"/>
      <c r="VPU64"/>
      <c r="VPV64"/>
      <c r="VPW64"/>
      <c r="VPX64"/>
      <c r="VPY64"/>
      <c r="VPZ64"/>
      <c r="VQA64"/>
      <c r="VQB64"/>
      <c r="VQC64"/>
      <c r="VQD64"/>
      <c r="VQE64"/>
      <c r="VQF64"/>
      <c r="VQG64"/>
      <c r="VQH64"/>
      <c r="VQI64"/>
      <c r="VQJ64"/>
      <c r="VQK64"/>
      <c r="VQL64"/>
      <c r="VQM64"/>
      <c r="VQN64"/>
      <c r="VQO64"/>
      <c r="VQP64"/>
      <c r="VQQ64"/>
      <c r="VQR64"/>
      <c r="VQS64"/>
      <c r="VQT64"/>
      <c r="VQU64"/>
      <c r="VQV64"/>
      <c r="VQW64"/>
      <c r="VQX64"/>
      <c r="VQY64"/>
      <c r="VQZ64"/>
      <c r="VRA64"/>
      <c r="VRB64"/>
      <c r="VRC64"/>
      <c r="VRD64"/>
      <c r="VRE64"/>
      <c r="VRF64"/>
      <c r="VRG64"/>
      <c r="VRH64"/>
      <c r="VRI64"/>
      <c r="VRJ64"/>
      <c r="VRK64"/>
      <c r="VRL64"/>
      <c r="VRM64"/>
      <c r="VRN64"/>
      <c r="VRO64"/>
      <c r="VRP64"/>
      <c r="VRQ64"/>
      <c r="VRR64"/>
      <c r="VRS64"/>
      <c r="VRT64"/>
      <c r="VRU64"/>
      <c r="VRV64"/>
      <c r="VRW64"/>
      <c r="VRX64"/>
      <c r="VRY64"/>
      <c r="VRZ64"/>
      <c r="VSA64"/>
      <c r="VSB64"/>
      <c r="VSC64"/>
      <c r="VSD64"/>
      <c r="VSE64"/>
      <c r="VSF64"/>
      <c r="VSG64"/>
      <c r="VSH64"/>
      <c r="VSI64"/>
      <c r="VSJ64"/>
      <c r="VSK64"/>
      <c r="VSL64"/>
      <c r="VSM64"/>
      <c r="VSN64"/>
      <c r="VSO64"/>
      <c r="VSP64"/>
      <c r="VSQ64"/>
      <c r="VSR64"/>
      <c r="VSS64"/>
      <c r="VST64"/>
      <c r="VSU64"/>
      <c r="VSV64"/>
      <c r="VSW64"/>
      <c r="VSX64"/>
      <c r="VSY64"/>
      <c r="VSZ64"/>
      <c r="VTA64"/>
      <c r="VTB64"/>
      <c r="VTC64"/>
      <c r="VTD64"/>
      <c r="VTE64"/>
      <c r="VTF64"/>
      <c r="VTG64"/>
      <c r="VTH64"/>
      <c r="VTI64"/>
      <c r="VTJ64"/>
      <c r="VTK64"/>
      <c r="VTL64"/>
      <c r="VTM64"/>
      <c r="VTN64"/>
      <c r="VTO64"/>
      <c r="VTP64"/>
      <c r="VTQ64"/>
      <c r="VTR64"/>
      <c r="VTS64"/>
      <c r="VTT64"/>
      <c r="VTU64"/>
      <c r="VTV64"/>
      <c r="VTW64"/>
      <c r="VTX64"/>
      <c r="VTY64"/>
      <c r="VTZ64"/>
      <c r="VUA64"/>
      <c r="VUB64"/>
      <c r="VUC64"/>
      <c r="VUD64"/>
      <c r="VUE64"/>
      <c r="VUF64"/>
      <c r="VUG64"/>
      <c r="VUH64"/>
      <c r="VUI64"/>
      <c r="VUJ64"/>
      <c r="VUK64"/>
      <c r="VUL64"/>
      <c r="VUM64"/>
      <c r="VUN64"/>
      <c r="VUO64"/>
      <c r="VUP64"/>
      <c r="VUQ64"/>
      <c r="VUR64"/>
      <c r="VUS64"/>
      <c r="VUT64"/>
      <c r="VUU64"/>
      <c r="VUV64"/>
      <c r="VUW64"/>
      <c r="VUX64"/>
      <c r="VUY64"/>
      <c r="VUZ64"/>
      <c r="VVA64"/>
      <c r="VVB64"/>
      <c r="VVC64"/>
      <c r="VVD64"/>
      <c r="VVE64"/>
      <c r="VVF64"/>
      <c r="VVG64"/>
      <c r="VVH64"/>
      <c r="VVI64"/>
      <c r="VVJ64"/>
      <c r="VVK64"/>
      <c r="VVL64"/>
      <c r="VVM64"/>
      <c r="VVN64"/>
      <c r="VVO64"/>
      <c r="VVP64"/>
      <c r="VVQ64"/>
      <c r="VVR64"/>
      <c r="VVS64"/>
      <c r="VVT64"/>
      <c r="VVU64"/>
      <c r="VVV64"/>
      <c r="VVW64"/>
      <c r="VVX64"/>
      <c r="VVY64"/>
      <c r="VVZ64"/>
      <c r="VWA64"/>
      <c r="VWB64"/>
      <c r="VWC64"/>
      <c r="VWD64"/>
      <c r="VWE64"/>
      <c r="VWF64"/>
      <c r="VWG64"/>
      <c r="VWH64"/>
      <c r="VWI64"/>
      <c r="VWJ64"/>
      <c r="VWK64"/>
      <c r="VWL64"/>
      <c r="VWM64"/>
      <c r="VWN64"/>
      <c r="VWO64"/>
      <c r="VWP64"/>
      <c r="VWQ64"/>
      <c r="VWR64"/>
      <c r="VWS64"/>
      <c r="VWT64"/>
      <c r="VWU64"/>
      <c r="VWV64"/>
      <c r="VWW64"/>
      <c r="VWX64"/>
      <c r="VWY64"/>
      <c r="VWZ64"/>
      <c r="VXA64"/>
      <c r="VXB64"/>
      <c r="VXC64"/>
      <c r="VXD64"/>
      <c r="VXE64"/>
      <c r="VXF64"/>
      <c r="VXG64"/>
      <c r="VXH64"/>
      <c r="VXI64"/>
      <c r="VXJ64"/>
      <c r="VXK64"/>
      <c r="VXL64"/>
      <c r="VXM64"/>
      <c r="VXN64"/>
      <c r="VXO64"/>
      <c r="VXP64"/>
      <c r="VXQ64"/>
      <c r="VXR64"/>
      <c r="VXS64"/>
      <c r="VXT64"/>
      <c r="VXU64"/>
      <c r="VXV64"/>
      <c r="VXW64"/>
      <c r="VXX64"/>
      <c r="VXY64"/>
      <c r="VXZ64"/>
      <c r="VYA64"/>
      <c r="VYB64"/>
      <c r="VYC64"/>
      <c r="VYD64"/>
      <c r="VYE64"/>
      <c r="VYF64"/>
      <c r="VYG64"/>
      <c r="VYH64"/>
      <c r="VYI64"/>
      <c r="VYJ64"/>
      <c r="VYK64"/>
      <c r="VYL64"/>
      <c r="VYM64"/>
      <c r="VYN64"/>
      <c r="VYO64"/>
      <c r="VYP64"/>
      <c r="VYQ64"/>
      <c r="VYR64"/>
      <c r="VYS64"/>
      <c r="VYT64"/>
      <c r="VYU64"/>
      <c r="VYV64"/>
      <c r="VYW64"/>
      <c r="VYX64"/>
      <c r="VYY64"/>
      <c r="VYZ64"/>
      <c r="VZA64"/>
      <c r="VZB64"/>
      <c r="VZC64"/>
      <c r="VZD64"/>
      <c r="VZE64"/>
      <c r="VZF64"/>
      <c r="VZG64"/>
      <c r="VZH64"/>
      <c r="VZI64"/>
      <c r="VZJ64"/>
      <c r="VZK64"/>
      <c r="VZL64"/>
      <c r="VZM64"/>
      <c r="VZN64"/>
      <c r="VZO64"/>
      <c r="VZP64"/>
      <c r="VZQ64"/>
      <c r="VZR64"/>
      <c r="VZS64"/>
      <c r="VZT64"/>
      <c r="VZU64"/>
      <c r="VZV64"/>
      <c r="VZW64"/>
      <c r="VZX64"/>
      <c r="VZY64"/>
      <c r="VZZ64"/>
      <c r="WAA64"/>
      <c r="WAB64"/>
      <c r="WAC64"/>
      <c r="WAD64"/>
      <c r="WAE64"/>
      <c r="WAF64"/>
      <c r="WAG64"/>
      <c r="WAH64"/>
      <c r="WAI64"/>
      <c r="WAJ64"/>
      <c r="WAK64"/>
      <c r="WAL64"/>
      <c r="WAM64"/>
      <c r="WAN64"/>
      <c r="WAO64"/>
      <c r="WAP64"/>
      <c r="WAQ64"/>
      <c r="WAR64"/>
      <c r="WAS64"/>
      <c r="WAT64"/>
      <c r="WAU64"/>
      <c r="WAV64"/>
      <c r="WAW64"/>
      <c r="WAX64"/>
      <c r="WAY64"/>
      <c r="WAZ64"/>
      <c r="WBA64"/>
      <c r="WBB64"/>
      <c r="WBC64"/>
      <c r="WBD64"/>
      <c r="WBE64"/>
      <c r="WBF64"/>
      <c r="WBG64"/>
      <c r="WBH64"/>
      <c r="WBI64"/>
      <c r="WBJ64"/>
      <c r="WBK64"/>
      <c r="WBL64"/>
      <c r="WBM64"/>
      <c r="WBN64"/>
      <c r="WBO64"/>
      <c r="WBP64"/>
      <c r="WBQ64"/>
      <c r="WBR64"/>
      <c r="WBS64"/>
      <c r="WBT64"/>
      <c r="WBU64"/>
      <c r="WBV64"/>
      <c r="WBW64"/>
      <c r="WBX64"/>
      <c r="WBY64"/>
      <c r="WBZ64"/>
      <c r="WCA64"/>
      <c r="WCB64"/>
      <c r="WCC64"/>
      <c r="WCD64"/>
      <c r="WCE64"/>
      <c r="WCF64"/>
      <c r="WCG64"/>
      <c r="WCH64"/>
      <c r="WCI64"/>
      <c r="WCJ64"/>
      <c r="WCK64"/>
      <c r="WCL64"/>
      <c r="WCM64"/>
      <c r="WCN64"/>
      <c r="WCO64"/>
      <c r="WCP64"/>
      <c r="WCQ64"/>
      <c r="WCR64"/>
      <c r="WCS64"/>
      <c r="WCT64"/>
      <c r="WCU64"/>
      <c r="WCV64"/>
      <c r="WCW64"/>
      <c r="WCX64"/>
      <c r="WCY64"/>
      <c r="WCZ64"/>
      <c r="WDA64"/>
      <c r="WDB64"/>
      <c r="WDC64"/>
      <c r="WDD64"/>
      <c r="WDE64"/>
      <c r="WDF64"/>
      <c r="WDG64"/>
      <c r="WDH64"/>
      <c r="WDI64"/>
      <c r="WDJ64"/>
      <c r="WDK64"/>
      <c r="WDL64"/>
      <c r="WDM64"/>
      <c r="WDN64"/>
      <c r="WDO64"/>
      <c r="WDP64"/>
      <c r="WDQ64"/>
      <c r="WDR64"/>
      <c r="WDS64"/>
      <c r="WDT64"/>
      <c r="WDU64"/>
      <c r="WDV64"/>
      <c r="WDW64"/>
      <c r="WDX64"/>
      <c r="WDY64"/>
      <c r="WDZ64"/>
      <c r="WEA64"/>
      <c r="WEB64"/>
      <c r="WEC64"/>
      <c r="WED64"/>
      <c r="WEE64"/>
      <c r="WEF64"/>
      <c r="WEG64"/>
      <c r="WEH64"/>
      <c r="WEI64"/>
      <c r="WEJ64"/>
      <c r="WEK64"/>
      <c r="WEL64"/>
      <c r="WEM64"/>
      <c r="WEN64"/>
      <c r="WEO64"/>
      <c r="WEP64"/>
      <c r="WEQ64"/>
      <c r="WER64"/>
      <c r="WES64"/>
      <c r="WET64"/>
      <c r="WEU64"/>
      <c r="WEV64"/>
      <c r="WEW64"/>
      <c r="WEX64"/>
      <c r="WEY64"/>
      <c r="WEZ64"/>
      <c r="WFA64"/>
      <c r="WFB64"/>
      <c r="WFC64"/>
      <c r="WFD64"/>
      <c r="WFE64"/>
      <c r="WFF64"/>
      <c r="WFG64"/>
      <c r="WFH64"/>
      <c r="WFI64"/>
      <c r="WFJ64"/>
      <c r="WFK64"/>
      <c r="WFL64"/>
      <c r="WFM64"/>
      <c r="WFN64"/>
      <c r="WFO64"/>
      <c r="WFP64"/>
      <c r="WFQ64"/>
      <c r="WFR64"/>
      <c r="WFS64"/>
      <c r="WFT64"/>
      <c r="WFU64"/>
      <c r="WFV64"/>
      <c r="WFW64"/>
      <c r="WFX64"/>
      <c r="WFY64"/>
      <c r="WFZ64"/>
      <c r="WGA64"/>
      <c r="WGB64"/>
      <c r="WGC64"/>
      <c r="WGD64"/>
      <c r="WGE64"/>
      <c r="WGF64"/>
      <c r="WGG64"/>
      <c r="WGH64"/>
      <c r="WGI64"/>
      <c r="WGJ64"/>
      <c r="WGK64"/>
      <c r="WGL64"/>
      <c r="WGM64"/>
      <c r="WGN64"/>
      <c r="WGO64"/>
      <c r="WGP64"/>
      <c r="WGQ64"/>
      <c r="WGR64"/>
      <c r="WGS64"/>
      <c r="WGT64"/>
      <c r="WGU64"/>
      <c r="WGV64"/>
      <c r="WGW64"/>
      <c r="WGX64"/>
      <c r="WGY64"/>
      <c r="WGZ64"/>
      <c r="WHA64"/>
      <c r="WHB64"/>
      <c r="WHC64"/>
      <c r="WHD64"/>
      <c r="WHE64"/>
      <c r="WHF64"/>
      <c r="WHG64"/>
      <c r="WHH64"/>
      <c r="WHI64"/>
      <c r="WHJ64"/>
      <c r="WHK64"/>
      <c r="WHL64"/>
      <c r="WHM64"/>
      <c r="WHN64"/>
      <c r="WHO64"/>
      <c r="WHP64"/>
      <c r="WHQ64"/>
      <c r="WHR64"/>
      <c r="WHS64"/>
      <c r="WHT64"/>
      <c r="WHU64"/>
      <c r="WHV64"/>
      <c r="WHW64"/>
      <c r="WHX64"/>
      <c r="WHY64"/>
      <c r="WHZ64"/>
      <c r="WIA64"/>
      <c r="WIB64"/>
      <c r="WIC64"/>
      <c r="WID64"/>
      <c r="WIE64"/>
      <c r="WIF64"/>
      <c r="WIG64"/>
      <c r="WIH64"/>
      <c r="WII64"/>
      <c r="WIJ64"/>
      <c r="WIK64"/>
      <c r="WIL64"/>
      <c r="WIM64"/>
      <c r="WIN64"/>
      <c r="WIO64"/>
      <c r="WIP64"/>
      <c r="WIQ64"/>
      <c r="WIR64"/>
      <c r="WIS64"/>
      <c r="WIT64"/>
      <c r="WIU64"/>
      <c r="WIV64"/>
      <c r="WIW64"/>
      <c r="WIX64"/>
      <c r="WIY64"/>
      <c r="WIZ64"/>
      <c r="WJA64"/>
      <c r="WJB64"/>
      <c r="WJC64"/>
      <c r="WJD64"/>
      <c r="WJE64"/>
      <c r="WJF64"/>
      <c r="WJG64"/>
      <c r="WJH64"/>
      <c r="WJI64"/>
      <c r="WJJ64"/>
      <c r="WJK64"/>
      <c r="WJL64"/>
      <c r="WJM64"/>
      <c r="WJN64"/>
      <c r="WJO64"/>
      <c r="WJP64"/>
      <c r="WJQ64"/>
      <c r="WJR64"/>
      <c r="WJS64"/>
      <c r="WJT64"/>
      <c r="WJU64"/>
      <c r="WJV64"/>
      <c r="WJW64"/>
      <c r="WJX64"/>
      <c r="WJY64"/>
      <c r="WJZ64"/>
      <c r="WKA64"/>
      <c r="WKB64"/>
      <c r="WKC64"/>
      <c r="WKD64"/>
      <c r="WKE64"/>
      <c r="WKF64"/>
      <c r="WKG64"/>
      <c r="WKH64"/>
      <c r="WKI64"/>
      <c r="WKJ64"/>
      <c r="WKK64"/>
      <c r="WKL64"/>
      <c r="WKM64"/>
      <c r="WKN64"/>
      <c r="WKO64"/>
      <c r="WKP64"/>
      <c r="WKQ64"/>
      <c r="WKR64"/>
      <c r="WKS64"/>
      <c r="WKT64"/>
      <c r="WKU64"/>
      <c r="WKV64"/>
      <c r="WKW64"/>
      <c r="WKX64"/>
      <c r="WKY64"/>
      <c r="WKZ64"/>
      <c r="WLA64"/>
      <c r="WLB64"/>
      <c r="WLC64"/>
      <c r="WLD64"/>
      <c r="WLE64"/>
      <c r="WLF64"/>
      <c r="WLG64"/>
      <c r="WLH64"/>
      <c r="WLI64"/>
      <c r="WLJ64"/>
      <c r="WLK64"/>
      <c r="WLL64"/>
      <c r="WLM64"/>
      <c r="WLN64"/>
      <c r="WLO64"/>
      <c r="WLP64"/>
      <c r="WLQ64"/>
      <c r="WLR64"/>
      <c r="WLS64"/>
      <c r="WLT64"/>
      <c r="WLU64"/>
      <c r="WLV64"/>
      <c r="WLW64"/>
      <c r="WLX64"/>
      <c r="WLY64"/>
      <c r="WLZ64"/>
      <c r="WMA64"/>
      <c r="WMB64"/>
      <c r="WMC64"/>
      <c r="WMD64"/>
      <c r="WME64"/>
      <c r="WMF64"/>
      <c r="WMG64"/>
      <c r="WMH64"/>
      <c r="WMI64"/>
      <c r="WMJ64"/>
      <c r="WMK64"/>
      <c r="WML64"/>
      <c r="WMM64"/>
      <c r="WMN64"/>
      <c r="WMO64"/>
      <c r="WMP64"/>
      <c r="WMQ64"/>
      <c r="WMR64"/>
      <c r="WMS64"/>
      <c r="WMT64"/>
      <c r="WMU64"/>
      <c r="WMV64"/>
      <c r="WMW64"/>
      <c r="WMX64"/>
      <c r="WMY64"/>
      <c r="WMZ64"/>
      <c r="WNA64"/>
      <c r="WNB64"/>
      <c r="WNC64"/>
      <c r="WND64"/>
      <c r="WNE64"/>
      <c r="WNF64"/>
      <c r="WNG64"/>
      <c r="WNH64"/>
      <c r="WNI64"/>
      <c r="WNJ64"/>
      <c r="WNK64"/>
      <c r="WNL64"/>
      <c r="WNM64"/>
      <c r="WNN64"/>
      <c r="WNO64"/>
      <c r="WNP64"/>
      <c r="WNQ64"/>
      <c r="WNR64"/>
      <c r="WNS64"/>
      <c r="WNT64"/>
      <c r="WNU64"/>
      <c r="WNV64"/>
      <c r="WNW64"/>
      <c r="WNX64"/>
      <c r="WNY64"/>
      <c r="WNZ64"/>
      <c r="WOA64"/>
      <c r="WOB64"/>
      <c r="WOC64"/>
      <c r="WOD64"/>
      <c r="WOE64"/>
      <c r="WOF64"/>
      <c r="WOG64"/>
      <c r="WOH64"/>
      <c r="WOI64"/>
      <c r="WOJ64"/>
      <c r="WOK64"/>
      <c r="WOL64"/>
      <c r="WOM64"/>
      <c r="WON64"/>
      <c r="WOO64"/>
      <c r="WOP64"/>
      <c r="WOQ64"/>
      <c r="WOR64"/>
      <c r="WOS64"/>
      <c r="WOT64"/>
      <c r="WOU64"/>
      <c r="WOV64"/>
      <c r="WOW64"/>
      <c r="WOX64"/>
      <c r="WOY64"/>
      <c r="WOZ64"/>
      <c r="WPA64"/>
      <c r="WPB64"/>
      <c r="WPC64"/>
      <c r="WPD64"/>
      <c r="WPE64"/>
      <c r="WPF64"/>
      <c r="WPG64"/>
      <c r="WPH64"/>
      <c r="WPI64"/>
      <c r="WPJ64"/>
      <c r="WPK64"/>
      <c r="WPL64"/>
      <c r="WPM64"/>
      <c r="WPN64"/>
      <c r="WPO64"/>
      <c r="WPP64"/>
      <c r="WPQ64"/>
      <c r="WPR64"/>
      <c r="WPS64"/>
      <c r="WPT64"/>
      <c r="WPU64"/>
      <c r="WPV64"/>
      <c r="WPW64"/>
      <c r="WPX64"/>
      <c r="WPY64"/>
      <c r="WPZ64"/>
      <c r="WQA64"/>
      <c r="WQB64"/>
      <c r="WQC64"/>
      <c r="WQD64"/>
      <c r="WQE64"/>
      <c r="WQF64"/>
      <c r="WQG64"/>
      <c r="WQH64"/>
      <c r="WQI64"/>
      <c r="WQJ64"/>
      <c r="WQK64"/>
      <c r="WQL64"/>
      <c r="WQM64"/>
      <c r="WQN64"/>
      <c r="WQO64"/>
      <c r="WQP64"/>
      <c r="WQQ64"/>
      <c r="WQR64"/>
      <c r="WQS64"/>
      <c r="WQT64"/>
      <c r="WQU64"/>
      <c r="WQV64"/>
      <c r="WQW64"/>
      <c r="WQX64"/>
      <c r="WQY64"/>
      <c r="WQZ64"/>
      <c r="WRA64"/>
      <c r="WRB64"/>
      <c r="WRC64"/>
      <c r="WRD64"/>
      <c r="WRE64"/>
      <c r="WRF64"/>
      <c r="WRG64"/>
      <c r="WRH64"/>
      <c r="WRI64"/>
      <c r="WRJ64"/>
      <c r="WRK64"/>
      <c r="WRL64"/>
      <c r="WRM64"/>
      <c r="WRN64"/>
      <c r="WRO64"/>
      <c r="WRP64"/>
      <c r="WRQ64"/>
      <c r="WRR64"/>
      <c r="WRS64"/>
      <c r="WRT64"/>
      <c r="WRU64"/>
      <c r="WRV64"/>
      <c r="WRW64"/>
      <c r="WRX64"/>
      <c r="WRY64"/>
      <c r="WRZ64"/>
      <c r="WSA64"/>
      <c r="WSB64"/>
      <c r="WSC64"/>
      <c r="WSD64"/>
      <c r="WSE64"/>
      <c r="WSF64"/>
      <c r="WSG64"/>
      <c r="WSH64"/>
      <c r="WSI64"/>
      <c r="WSJ64"/>
      <c r="WSK64"/>
      <c r="WSL64"/>
      <c r="WSM64"/>
      <c r="WSN64"/>
      <c r="WSO64"/>
      <c r="WSP64"/>
      <c r="WSQ64"/>
      <c r="WSR64"/>
      <c r="WSS64"/>
      <c r="WST64"/>
      <c r="WSU64"/>
      <c r="WSV64"/>
      <c r="WSW64"/>
      <c r="WSX64"/>
      <c r="WSY64"/>
      <c r="WSZ64"/>
      <c r="WTA64"/>
      <c r="WTB64"/>
      <c r="WTC64"/>
      <c r="WTD64"/>
      <c r="WTE64"/>
      <c r="WTF64"/>
      <c r="WTG64"/>
      <c r="WTH64"/>
      <c r="WTI64"/>
      <c r="WTJ64"/>
      <c r="WTK64"/>
      <c r="WTL64"/>
      <c r="WTM64"/>
      <c r="WTN64"/>
      <c r="WTO64"/>
      <c r="WTP64"/>
      <c r="WTQ64"/>
      <c r="WTR64"/>
      <c r="WTS64"/>
      <c r="WTT64"/>
      <c r="WTU64"/>
      <c r="WTV64"/>
      <c r="WTW64"/>
      <c r="WTX64"/>
      <c r="WTY64"/>
      <c r="WTZ64"/>
      <c r="WUA64"/>
      <c r="WUB64"/>
      <c r="WUC64"/>
      <c r="WUD64"/>
      <c r="WUE64"/>
      <c r="WUF64"/>
      <c r="WUG64"/>
      <c r="WUH64"/>
      <c r="WUI64"/>
      <c r="WUJ64"/>
      <c r="WUK64"/>
      <c r="WUL64"/>
      <c r="WUM64"/>
      <c r="WUN64"/>
      <c r="WUO64"/>
      <c r="WUP64"/>
      <c r="WUQ64"/>
      <c r="WUR64"/>
      <c r="WUS64"/>
      <c r="WUT64"/>
      <c r="WUU64"/>
      <c r="WUV64"/>
      <c r="WUW64"/>
      <c r="WUX64"/>
      <c r="WUY64"/>
      <c r="WUZ64"/>
      <c r="WVA64"/>
      <c r="WVB64"/>
      <c r="WVC64"/>
      <c r="WVD64"/>
      <c r="WVE64"/>
      <c r="WVF64"/>
      <c r="WVG64"/>
      <c r="WVH64"/>
      <c r="WVI64"/>
      <c r="WVJ64"/>
      <c r="WVK64"/>
      <c r="WVL64"/>
      <c r="WVM64"/>
      <c r="WVN64"/>
      <c r="WVO64"/>
      <c r="WVP64"/>
      <c r="WVQ64"/>
      <c r="WVR64"/>
      <c r="WVS64"/>
      <c r="WVT64"/>
      <c r="WVU64"/>
      <c r="WVV64"/>
      <c r="WVW64"/>
      <c r="WVX64"/>
      <c r="WVY64"/>
      <c r="WVZ64"/>
      <c r="WWA64"/>
      <c r="WWB64"/>
      <c r="WWC64"/>
      <c r="WWD64"/>
      <c r="WWE64"/>
      <c r="WWF64"/>
      <c r="WWG64"/>
      <c r="WWH64"/>
      <c r="WWI64"/>
      <c r="WWJ64"/>
      <c r="WWK64"/>
      <c r="WWL64"/>
      <c r="WWM64"/>
      <c r="WWN64"/>
      <c r="WWO64"/>
      <c r="WWP64"/>
      <c r="WWQ64"/>
      <c r="WWR64"/>
      <c r="WWS64"/>
      <c r="WWT64"/>
      <c r="WWU64"/>
      <c r="WWV64"/>
      <c r="WWW64"/>
      <c r="WWX64"/>
      <c r="WWY64"/>
      <c r="WWZ64"/>
      <c r="WXA64"/>
      <c r="WXB64"/>
      <c r="WXC64"/>
      <c r="WXD64"/>
      <c r="WXE64"/>
      <c r="WXF64"/>
      <c r="WXG64"/>
      <c r="WXH64"/>
      <c r="WXI64"/>
      <c r="WXJ64"/>
      <c r="WXK64"/>
      <c r="WXL64"/>
      <c r="WXM64"/>
      <c r="WXN64"/>
      <c r="WXO64"/>
      <c r="WXP64"/>
      <c r="WXQ64"/>
      <c r="WXR64"/>
      <c r="WXS64"/>
      <c r="WXT64"/>
      <c r="WXU64"/>
      <c r="WXV64"/>
      <c r="WXW64"/>
      <c r="WXX64"/>
      <c r="WXY64"/>
      <c r="WXZ64"/>
      <c r="WYA64"/>
      <c r="WYB64"/>
      <c r="WYC64"/>
      <c r="WYD64"/>
      <c r="WYE64"/>
      <c r="WYF64"/>
      <c r="WYG64"/>
      <c r="WYH64"/>
      <c r="WYI64"/>
      <c r="WYJ64"/>
      <c r="WYK64"/>
      <c r="WYL64"/>
      <c r="WYM64"/>
      <c r="WYN64"/>
      <c r="WYO64"/>
      <c r="WYP64"/>
      <c r="WYQ64"/>
      <c r="WYR64"/>
      <c r="WYS64"/>
      <c r="WYT64"/>
      <c r="WYU64"/>
      <c r="WYV64"/>
      <c r="WYW64"/>
      <c r="WYX64"/>
      <c r="WYY64"/>
      <c r="WYZ64"/>
      <c r="WZA64"/>
      <c r="WZB64"/>
      <c r="WZC64"/>
      <c r="WZD64"/>
      <c r="WZE64"/>
      <c r="WZF64"/>
      <c r="WZG64"/>
      <c r="WZH64"/>
      <c r="WZI64"/>
      <c r="WZJ64"/>
      <c r="WZK64"/>
      <c r="WZL64"/>
      <c r="WZM64"/>
      <c r="WZN64"/>
      <c r="WZO64"/>
      <c r="WZP64"/>
      <c r="WZQ64"/>
      <c r="WZR64"/>
      <c r="WZS64"/>
      <c r="WZT64"/>
      <c r="WZU64"/>
      <c r="WZV64"/>
      <c r="WZW64"/>
      <c r="WZX64"/>
      <c r="WZY64"/>
      <c r="WZZ64"/>
      <c r="XAA64"/>
      <c r="XAB64"/>
      <c r="XAC64"/>
      <c r="XAD64"/>
      <c r="XAE64"/>
      <c r="XAF64"/>
      <c r="XAG64"/>
      <c r="XAH64"/>
      <c r="XAI64"/>
      <c r="XAJ64"/>
      <c r="XAK64"/>
      <c r="XAL64"/>
      <c r="XAM64"/>
      <c r="XAN64"/>
      <c r="XAO64"/>
      <c r="XAP64"/>
      <c r="XAQ64"/>
      <c r="XAR64"/>
      <c r="XAS64"/>
      <c r="XAT64"/>
      <c r="XAU64"/>
      <c r="XAV64"/>
      <c r="XAW64"/>
      <c r="XAX64"/>
      <c r="XAY64"/>
      <c r="XAZ64"/>
      <c r="XBA64"/>
      <c r="XBB64"/>
      <c r="XBC64"/>
      <c r="XBD64"/>
      <c r="XBE64"/>
      <c r="XBF64"/>
      <c r="XBG64"/>
      <c r="XBH64"/>
      <c r="XBI64"/>
      <c r="XBJ64"/>
      <c r="XBK64"/>
      <c r="XBL64"/>
      <c r="XBM64"/>
      <c r="XBN64"/>
      <c r="XBO64"/>
      <c r="XBP64"/>
      <c r="XBQ64"/>
      <c r="XBR64"/>
      <c r="XBS64"/>
      <c r="XBT64"/>
      <c r="XBU64"/>
      <c r="XBV64"/>
      <c r="XBW64"/>
      <c r="XBX64"/>
      <c r="XBY64"/>
      <c r="XBZ64"/>
      <c r="XCA64"/>
      <c r="XCB64"/>
      <c r="XCC64"/>
      <c r="XCD64"/>
      <c r="XCE64"/>
      <c r="XCF64"/>
      <c r="XCG64"/>
      <c r="XCH64"/>
      <c r="XCI64"/>
      <c r="XCJ64"/>
      <c r="XCK64"/>
      <c r="XCL64"/>
      <c r="XCM64"/>
      <c r="XCN64"/>
      <c r="XCO64"/>
      <c r="XCP64"/>
      <c r="XCQ64"/>
      <c r="XCR64"/>
      <c r="XCS64"/>
      <c r="XCT64"/>
      <c r="XCU64"/>
      <c r="XCV64"/>
      <c r="XCW64"/>
      <c r="XCX64"/>
      <c r="XCY64"/>
      <c r="XCZ64"/>
      <c r="XDA64"/>
      <c r="XDB64"/>
      <c r="XDC64"/>
      <c r="XDD64"/>
      <c r="XDE64"/>
      <c r="XDF64"/>
      <c r="XDG64"/>
      <c r="XDH64"/>
      <c r="XDI64"/>
      <c r="XDJ64"/>
      <c r="XDK64"/>
      <c r="XDL64"/>
      <c r="XDM64"/>
      <c r="XDN64"/>
      <c r="XDO64"/>
      <c r="XDP64"/>
      <c r="XDQ64"/>
      <c r="XDR64"/>
      <c r="XDS64"/>
      <c r="XDT64"/>
      <c r="XDU64"/>
      <c r="XDV64"/>
      <c r="XDW64"/>
      <c r="XDX64"/>
      <c r="XDY64"/>
      <c r="XDZ64"/>
      <c r="XEA64"/>
      <c r="XEB64"/>
      <c r="XEC64"/>
      <c r="XED64"/>
      <c r="XEE64"/>
      <c r="XEF64"/>
      <c r="XEG64"/>
      <c r="XEH64"/>
      <c r="XEI64"/>
      <c r="XEJ64"/>
      <c r="XEK64"/>
      <c r="XEL64"/>
      <c r="XEM64"/>
      <c r="XEN64"/>
      <c r="XEO64"/>
      <c r="XEP64"/>
      <c r="XEQ64"/>
      <c r="XER64"/>
      <c r="XES64"/>
      <c r="XET64"/>
      <c r="XEU64"/>
      <c r="XEV64"/>
      <c r="XEW64"/>
      <c r="XEX64"/>
      <c r="XEY64"/>
      <c r="XEZ64"/>
      <c r="XFA64"/>
      <c r="XFB64"/>
    </row>
    <row r="65" spans="2:16382" x14ac:dyDescent="0.25">
      <c r="B65" s="1" t="s">
        <v>86</v>
      </c>
      <c r="E65" s="27">
        <f>E64+E63+E53+E39+E40+E41+E42+E43</f>
        <v>79337.12999999999</v>
      </c>
      <c r="F65" s="27">
        <f t="shared" ref="F65:I65" si="4">F64+F63+F53+F39+F40+F41+F42+F43</f>
        <v>86183.510000000009</v>
      </c>
      <c r="G65" s="27">
        <f t="shared" si="4"/>
        <v>83827.790000000008</v>
      </c>
      <c r="H65" s="27">
        <f t="shared" si="4"/>
        <v>91386.96</v>
      </c>
      <c r="I65" s="27">
        <f t="shared" si="4"/>
        <v>100802.01</v>
      </c>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C65" s="1"/>
      <c r="ND65" s="1"/>
      <c r="NE65" s="1"/>
      <c r="NF65" s="1"/>
      <c r="NG65" s="1"/>
      <c r="NH65" s="1"/>
      <c r="NI65" s="1"/>
      <c r="NJ65" s="1"/>
      <c r="NK65" s="1"/>
      <c r="NL65" s="1"/>
      <c r="NM65" s="1"/>
      <c r="NN65" s="1"/>
      <c r="NO65" s="1"/>
      <c r="NP65" s="1"/>
      <c r="NQ65" s="1"/>
      <c r="NR65" s="1"/>
      <c r="NS65" s="1"/>
      <c r="NT65" s="1"/>
      <c r="NU65" s="1"/>
      <c r="NV65" s="1"/>
      <c r="NW65" s="1"/>
      <c r="NX65" s="1"/>
      <c r="NY65" s="1"/>
      <c r="NZ65" s="1"/>
      <c r="OA65" s="1"/>
      <c r="OB65" s="1"/>
      <c r="OC65" s="1"/>
      <c r="OD65" s="1"/>
      <c r="OE65" s="1"/>
      <c r="OF65" s="1"/>
      <c r="OG65" s="1"/>
      <c r="OH65" s="1"/>
      <c r="OI65" s="1"/>
      <c r="OJ65" s="1"/>
      <c r="OK65" s="1"/>
      <c r="OL65" s="1"/>
      <c r="OM65" s="1"/>
      <c r="ON65" s="1"/>
      <c r="OO65" s="1"/>
      <c r="OP65" s="1"/>
      <c r="OQ65" s="1"/>
      <c r="OR65" s="1"/>
      <c r="OS65" s="1"/>
      <c r="OT65" s="1"/>
      <c r="OU65" s="1"/>
      <c r="OV65" s="1"/>
      <c r="OW65" s="1"/>
      <c r="OX65" s="1"/>
      <c r="OY65" s="1"/>
      <c r="OZ65" s="1"/>
      <c r="PA65" s="1"/>
      <c r="PB65" s="1"/>
      <c r="PC65" s="1"/>
      <c r="PD65" s="1"/>
      <c r="PE65" s="1"/>
      <c r="PF65" s="1"/>
      <c r="PG65" s="1"/>
      <c r="PH65" s="1"/>
      <c r="PI65" s="1"/>
      <c r="PJ65" s="1"/>
      <c r="PK65" s="1"/>
      <c r="PL65" s="1"/>
      <c r="PM65" s="1"/>
      <c r="PN65" s="1"/>
      <c r="PO65" s="1"/>
      <c r="PP65" s="1"/>
      <c r="PQ65" s="1"/>
      <c r="PR65" s="1"/>
      <c r="PS65" s="1"/>
      <c r="PT65" s="1"/>
      <c r="PU65" s="1"/>
      <c r="PV65" s="1"/>
      <c r="PW65" s="1"/>
      <c r="PX65" s="1"/>
      <c r="PY65" s="1"/>
      <c r="PZ65" s="1"/>
      <c r="QA65" s="1"/>
      <c r="QB65" s="1"/>
      <c r="QC65" s="1"/>
      <c r="QD65" s="1"/>
      <c r="QE65" s="1"/>
      <c r="QF65" s="1"/>
      <c r="QG65" s="1"/>
      <c r="QH65" s="1"/>
      <c r="QI65" s="1"/>
      <c r="QJ65" s="1"/>
      <c r="QK65" s="1"/>
      <c r="QL65" s="1"/>
      <c r="QM65" s="1"/>
      <c r="QN65" s="1"/>
      <c r="QO65" s="1"/>
      <c r="QP65" s="1"/>
      <c r="QQ65" s="1"/>
      <c r="QR65" s="1"/>
      <c r="QS65" s="1"/>
      <c r="QT65" s="1"/>
      <c r="QU65" s="1"/>
      <c r="QV65" s="1"/>
      <c r="QW65" s="1"/>
      <c r="QX65" s="1"/>
      <c r="QY65" s="1"/>
      <c r="QZ65" s="1"/>
      <c r="RA65" s="1"/>
      <c r="RB65" s="1"/>
      <c r="RC65" s="1"/>
      <c r="RD65" s="1"/>
      <c r="RE65" s="1"/>
      <c r="RF65" s="1"/>
      <c r="RG65" s="1"/>
      <c r="RH65" s="1"/>
      <c r="RI65" s="1"/>
      <c r="RJ65" s="1"/>
      <c r="RK65" s="1"/>
      <c r="RL65" s="1"/>
      <c r="RM65" s="1"/>
      <c r="RN65" s="1"/>
      <c r="RO65" s="1"/>
      <c r="RP65" s="1"/>
      <c r="RQ65" s="1"/>
      <c r="RR65" s="1"/>
      <c r="RS65" s="1"/>
      <c r="RT65" s="1"/>
      <c r="RU65" s="1"/>
      <c r="RV65" s="1"/>
      <c r="RW65" s="1"/>
      <c r="RX65" s="1"/>
      <c r="RY65" s="1"/>
      <c r="RZ65" s="1"/>
      <c r="SA65" s="1"/>
      <c r="SB65" s="1"/>
      <c r="SC65" s="1"/>
      <c r="SD65" s="1"/>
      <c r="SE65" s="1"/>
      <c r="SF65" s="1"/>
      <c r="SG65" s="1"/>
      <c r="SH65" s="1"/>
      <c r="SI65" s="1"/>
      <c r="SJ65" s="1"/>
      <c r="SK65" s="1"/>
      <c r="SL65" s="1"/>
      <c r="SM65" s="1"/>
      <c r="SN65" s="1"/>
      <c r="SO65" s="1"/>
      <c r="SP65" s="1"/>
      <c r="SQ65" s="1"/>
      <c r="SR65" s="1"/>
      <c r="SS65" s="1"/>
      <c r="ST65" s="1"/>
      <c r="SU65" s="1"/>
      <c r="SV65" s="1"/>
      <c r="SW65" s="1"/>
      <c r="SX65" s="1"/>
      <c r="SY65" s="1"/>
      <c r="SZ65" s="1"/>
      <c r="TA65" s="1"/>
      <c r="TB65" s="1"/>
      <c r="TC65" s="1"/>
      <c r="TD65" s="1"/>
      <c r="TE65" s="1"/>
      <c r="TF65" s="1"/>
      <c r="TG65" s="1"/>
      <c r="TH65" s="1"/>
      <c r="TI65" s="1"/>
      <c r="TJ65" s="1"/>
      <c r="TK65" s="1"/>
      <c r="TL65" s="1"/>
      <c r="TM65" s="1"/>
      <c r="TN65" s="1"/>
      <c r="TO65" s="1"/>
      <c r="TP65" s="1"/>
      <c r="TQ65" s="1"/>
      <c r="TR65" s="1"/>
      <c r="TS65" s="1"/>
      <c r="TT65" s="1"/>
      <c r="TU65" s="1"/>
      <c r="TV65" s="1"/>
      <c r="TW65" s="1"/>
      <c r="TX65" s="1"/>
      <c r="TY65" s="1"/>
      <c r="TZ65" s="1"/>
      <c r="UA65" s="1"/>
      <c r="UB65" s="1"/>
      <c r="UC65" s="1"/>
      <c r="UD65" s="1"/>
      <c r="UE65" s="1"/>
      <c r="UF65" s="1"/>
      <c r="UG65" s="1"/>
      <c r="UH65" s="1"/>
      <c r="UI65" s="1"/>
      <c r="UJ65" s="1"/>
      <c r="UK65" s="1"/>
      <c r="UL65" s="1"/>
      <c r="UM65" s="1"/>
      <c r="UN65" s="1"/>
      <c r="UO65" s="1"/>
      <c r="UP65" s="1"/>
      <c r="UQ65" s="1"/>
      <c r="UR65" s="1"/>
      <c r="US65" s="1"/>
      <c r="UT65" s="1"/>
      <c r="UU65" s="1"/>
      <c r="UV65" s="1"/>
      <c r="UW65" s="1"/>
      <c r="UX65" s="1"/>
      <c r="UY65" s="1"/>
      <c r="UZ65" s="1"/>
      <c r="VA65" s="1"/>
      <c r="VB65" s="1"/>
      <c r="VC65" s="1"/>
      <c r="VD65" s="1"/>
      <c r="VE65" s="1"/>
      <c r="VF65" s="1"/>
      <c r="VG65" s="1"/>
      <c r="VH65" s="1"/>
      <c r="VI65" s="1"/>
      <c r="VJ65" s="1"/>
      <c r="VK65" s="1"/>
      <c r="VL65" s="1"/>
      <c r="VM65" s="1"/>
      <c r="VN65" s="1"/>
      <c r="VO65" s="1"/>
      <c r="VP65" s="1"/>
      <c r="VQ65" s="1"/>
      <c r="VR65" s="1"/>
      <c r="VS65" s="1"/>
      <c r="VT65" s="1"/>
      <c r="VU65" s="1"/>
      <c r="VV65" s="1"/>
      <c r="VW65" s="1"/>
      <c r="VX65" s="1"/>
      <c r="VY65" s="1"/>
      <c r="VZ65" s="1"/>
      <c r="WA65" s="1"/>
      <c r="WB65" s="1"/>
      <c r="WC65" s="1"/>
      <c r="WD65" s="1"/>
      <c r="WE65" s="1"/>
      <c r="WF65" s="1"/>
      <c r="WG65" s="1"/>
      <c r="WH65" s="1"/>
      <c r="WI65" s="1"/>
      <c r="WJ65" s="1"/>
      <c r="WK65" s="1"/>
      <c r="WL65" s="1"/>
      <c r="WM65" s="1"/>
      <c r="WN65" s="1"/>
      <c r="WO65" s="1"/>
      <c r="WP65" s="1"/>
      <c r="WQ65" s="1"/>
      <c r="WR65" s="1"/>
      <c r="WS65" s="1"/>
      <c r="WT65" s="1"/>
      <c r="WU65" s="1"/>
      <c r="WV65" s="1"/>
      <c r="WW65" s="1"/>
      <c r="WX65" s="1"/>
      <c r="WY65" s="1"/>
      <c r="WZ65" s="1"/>
      <c r="XA65" s="1"/>
      <c r="XB65" s="1"/>
      <c r="XC65" s="1"/>
      <c r="XD65" s="1"/>
      <c r="XE65" s="1"/>
      <c r="XF65" s="1"/>
      <c r="XG65" s="1"/>
      <c r="XH65" s="1"/>
      <c r="XI65" s="1"/>
      <c r="XJ65" s="1"/>
      <c r="XK65" s="1"/>
      <c r="XL65" s="1"/>
      <c r="XM65" s="1"/>
      <c r="XN65" s="1"/>
      <c r="XO65" s="1"/>
      <c r="XP65" s="1"/>
      <c r="XQ65" s="1"/>
      <c r="XR65" s="1"/>
      <c r="XS65" s="1"/>
      <c r="XT65" s="1"/>
      <c r="XU65" s="1"/>
      <c r="XV65" s="1"/>
      <c r="XW65" s="1"/>
      <c r="XX65" s="1"/>
      <c r="XY65" s="1"/>
      <c r="XZ65" s="1"/>
      <c r="YA65" s="1"/>
      <c r="YB65" s="1"/>
      <c r="YC65" s="1"/>
      <c r="YD65" s="1"/>
      <c r="YE65" s="1"/>
      <c r="YF65" s="1"/>
      <c r="YG65" s="1"/>
      <c r="YH65" s="1"/>
      <c r="YI65" s="1"/>
      <c r="YJ65" s="1"/>
      <c r="YK65" s="1"/>
      <c r="YL65" s="1"/>
      <c r="YM65" s="1"/>
      <c r="YN65" s="1"/>
      <c r="YO65" s="1"/>
      <c r="YP65" s="1"/>
      <c r="YQ65" s="1"/>
      <c r="YR65" s="1"/>
      <c r="YS65" s="1"/>
      <c r="YT65" s="1"/>
      <c r="YU65" s="1"/>
      <c r="YV65" s="1"/>
      <c r="YW65" s="1"/>
      <c r="YX65" s="1"/>
      <c r="YY65" s="1"/>
      <c r="YZ65" s="1"/>
      <c r="ZA65" s="1"/>
      <c r="ZB65" s="1"/>
      <c r="ZC65" s="1"/>
      <c r="ZD65" s="1"/>
      <c r="ZE65" s="1"/>
      <c r="ZF65" s="1"/>
      <c r="ZG65" s="1"/>
      <c r="ZH65" s="1"/>
      <c r="ZI65" s="1"/>
      <c r="ZJ65" s="1"/>
      <c r="ZK65" s="1"/>
      <c r="ZL65" s="1"/>
      <c r="ZM65" s="1"/>
      <c r="ZN65" s="1"/>
      <c r="ZO65" s="1"/>
      <c r="ZP65" s="1"/>
      <c r="ZQ65" s="1"/>
      <c r="ZR65" s="1"/>
      <c r="ZS65" s="1"/>
      <c r="ZT65" s="1"/>
      <c r="ZU65" s="1"/>
      <c r="ZV65" s="1"/>
      <c r="ZW65" s="1"/>
      <c r="ZX65" s="1"/>
      <c r="ZY65" s="1"/>
      <c r="ZZ65" s="1"/>
      <c r="AAA65" s="1"/>
      <c r="AAB65" s="1"/>
      <c r="AAC65" s="1"/>
      <c r="AAD65" s="1"/>
      <c r="AAE65" s="1"/>
      <c r="AAF65" s="1"/>
      <c r="AAG65" s="1"/>
      <c r="AAH65" s="1"/>
      <c r="AAI65" s="1"/>
      <c r="AAJ65" s="1"/>
      <c r="AAK65" s="1"/>
      <c r="AAL65" s="1"/>
      <c r="AAM65" s="1"/>
      <c r="AAN65" s="1"/>
      <c r="AAO65" s="1"/>
      <c r="AAP65" s="1"/>
      <c r="AAQ65" s="1"/>
      <c r="AAR65" s="1"/>
      <c r="AAS65" s="1"/>
      <c r="AAT65" s="1"/>
      <c r="AAU65" s="1"/>
      <c r="AAV65" s="1"/>
      <c r="AAW65" s="1"/>
      <c r="AAX65" s="1"/>
      <c r="AAY65" s="1"/>
      <c r="AAZ65" s="1"/>
      <c r="ABA65" s="1"/>
      <c r="ABB65" s="1"/>
      <c r="ABC65" s="1"/>
      <c r="ABD65" s="1"/>
      <c r="ABE65" s="1"/>
      <c r="ABF65" s="1"/>
      <c r="ABG65" s="1"/>
      <c r="ABH65" s="1"/>
      <c r="ABI65" s="1"/>
      <c r="ABJ65" s="1"/>
      <c r="ABK65" s="1"/>
      <c r="ABL65" s="1"/>
      <c r="ABM65" s="1"/>
      <c r="ABN65" s="1"/>
      <c r="ABO65" s="1"/>
      <c r="ABP65" s="1"/>
      <c r="ABQ65" s="1"/>
      <c r="ABR65" s="1"/>
      <c r="ABS65" s="1"/>
      <c r="ABT65" s="1"/>
      <c r="ABU65" s="1"/>
      <c r="ABV65" s="1"/>
      <c r="ABW65" s="1"/>
      <c r="ABX65" s="1"/>
      <c r="ABY65" s="1"/>
      <c r="ABZ65" s="1"/>
      <c r="ACA65" s="1"/>
      <c r="ACB65" s="1"/>
      <c r="ACC65" s="1"/>
      <c r="ACD65" s="1"/>
      <c r="ACE65" s="1"/>
      <c r="ACF65" s="1"/>
      <c r="ACG65" s="1"/>
      <c r="ACH65" s="1"/>
      <c r="ACI65" s="1"/>
      <c r="ACJ65" s="1"/>
      <c r="ACK65" s="1"/>
      <c r="ACL65" s="1"/>
      <c r="ACM65" s="1"/>
      <c r="ACN65" s="1"/>
      <c r="ACO65" s="1"/>
      <c r="ACP65" s="1"/>
      <c r="ACQ65" s="1"/>
      <c r="ACR65" s="1"/>
      <c r="ACS65" s="1"/>
      <c r="ACT65" s="1"/>
      <c r="ACU65" s="1"/>
      <c r="ACV65" s="1"/>
      <c r="ACW65" s="1"/>
      <c r="ACX65" s="1"/>
      <c r="ACY65" s="1"/>
      <c r="ACZ65" s="1"/>
      <c r="ADA65" s="1"/>
      <c r="ADB65" s="1"/>
      <c r="ADC65" s="1"/>
      <c r="ADD65" s="1"/>
      <c r="ADE65" s="1"/>
      <c r="ADF65" s="1"/>
      <c r="ADG65" s="1"/>
      <c r="ADH65" s="1"/>
      <c r="ADI65" s="1"/>
      <c r="ADJ65" s="1"/>
      <c r="ADK65" s="1"/>
      <c r="ADL65" s="1"/>
      <c r="ADM65" s="1"/>
      <c r="ADN65" s="1"/>
      <c r="ADO65" s="1"/>
      <c r="ADP65" s="1"/>
      <c r="ADQ65" s="1"/>
      <c r="ADR65" s="1"/>
      <c r="ADS65" s="1"/>
      <c r="ADT65" s="1"/>
      <c r="ADU65" s="1"/>
      <c r="ADV65" s="1"/>
      <c r="ADW65" s="1"/>
      <c r="ADX65" s="1"/>
      <c r="ADY65" s="1"/>
      <c r="ADZ65" s="1"/>
      <c r="AEA65" s="1"/>
      <c r="AEB65" s="1"/>
      <c r="AEC65" s="1"/>
      <c r="AED65" s="1"/>
      <c r="AEE65" s="1"/>
      <c r="AEF65" s="1"/>
      <c r="AEG65" s="1"/>
      <c r="AEH65" s="1"/>
      <c r="AEI65" s="1"/>
      <c r="AEJ65" s="1"/>
      <c r="AEK65" s="1"/>
      <c r="AEL65" s="1"/>
      <c r="AEM65" s="1"/>
      <c r="AEN65" s="1"/>
      <c r="AEO65" s="1"/>
      <c r="AEP65" s="1"/>
      <c r="AEQ65" s="1"/>
      <c r="AER65" s="1"/>
      <c r="AES65" s="1"/>
      <c r="AET65" s="1"/>
      <c r="AEU65" s="1"/>
      <c r="AEV65" s="1"/>
      <c r="AEW65" s="1"/>
      <c r="AEX65" s="1"/>
      <c r="AEY65" s="1"/>
      <c r="AEZ65" s="1"/>
      <c r="AFA65" s="1"/>
      <c r="AFB65" s="1"/>
      <c r="AFC65" s="1"/>
      <c r="AFD65" s="1"/>
      <c r="AFE65" s="1"/>
      <c r="AFF65" s="1"/>
      <c r="AFG65" s="1"/>
      <c r="AFH65" s="1"/>
      <c r="AFI65" s="1"/>
      <c r="AFJ65" s="1"/>
      <c r="AFK65" s="1"/>
      <c r="AFL65" s="1"/>
      <c r="AFM65" s="1"/>
      <c r="AFN65" s="1"/>
      <c r="AFO65" s="1"/>
      <c r="AFP65" s="1"/>
      <c r="AFQ65" s="1"/>
      <c r="AFR65" s="1"/>
      <c r="AFS65" s="1"/>
      <c r="AFT65" s="1"/>
      <c r="AFU65" s="1"/>
      <c r="AFV65" s="1"/>
      <c r="AFW65" s="1"/>
      <c r="AFX65" s="1"/>
      <c r="AFY65" s="1"/>
      <c r="AFZ65" s="1"/>
      <c r="AGA65" s="1"/>
      <c r="AGB65" s="1"/>
      <c r="AGC65" s="1"/>
      <c r="AGD65" s="1"/>
      <c r="AGE65" s="1"/>
      <c r="AGF65" s="1"/>
      <c r="AGG65" s="1"/>
      <c r="AGH65" s="1"/>
      <c r="AGI65" s="1"/>
      <c r="AGJ65" s="1"/>
      <c r="AGK65" s="1"/>
      <c r="AGL65" s="1"/>
      <c r="AGM65" s="1"/>
      <c r="AGN65" s="1"/>
      <c r="AGO65" s="1"/>
      <c r="AGP65" s="1"/>
      <c r="AGQ65" s="1"/>
      <c r="AGR65" s="1"/>
      <c r="AGS65" s="1"/>
      <c r="AGT65" s="1"/>
      <c r="AGU65" s="1"/>
      <c r="AGV65" s="1"/>
      <c r="AGW65" s="1"/>
      <c r="AGX65" s="1"/>
      <c r="AGY65" s="1"/>
      <c r="AGZ65" s="1"/>
      <c r="AHA65" s="1"/>
      <c r="AHB65" s="1"/>
      <c r="AHC65" s="1"/>
      <c r="AHD65" s="1"/>
      <c r="AHE65" s="1"/>
      <c r="AHF65" s="1"/>
      <c r="AHG65" s="1"/>
      <c r="AHH65" s="1"/>
      <c r="AHI65" s="1"/>
      <c r="AHJ65" s="1"/>
      <c r="AHK65" s="1"/>
      <c r="AHL65" s="1"/>
      <c r="AHM65" s="1"/>
      <c r="AHN65" s="1"/>
      <c r="AHO65" s="1"/>
      <c r="AHP65" s="1"/>
      <c r="AHQ65" s="1"/>
      <c r="AHR65" s="1"/>
      <c r="AHS65" s="1"/>
      <c r="AHT65" s="1"/>
      <c r="AHU65" s="1"/>
      <c r="AHV65" s="1"/>
      <c r="AHW65" s="1"/>
      <c r="AHX65" s="1"/>
      <c r="AHY65" s="1"/>
      <c r="AHZ65" s="1"/>
      <c r="AIA65" s="1"/>
      <c r="AIB65" s="1"/>
      <c r="AIC65" s="1"/>
      <c r="AID65" s="1"/>
      <c r="AIE65" s="1"/>
      <c r="AIF65" s="1"/>
      <c r="AIG65" s="1"/>
      <c r="AIH65" s="1"/>
      <c r="AII65" s="1"/>
      <c r="AIJ65" s="1"/>
      <c r="AIK65" s="1"/>
      <c r="AIL65" s="1"/>
      <c r="AIM65" s="1"/>
      <c r="AIN65" s="1"/>
      <c r="AIO65" s="1"/>
      <c r="AIP65" s="1"/>
      <c r="AIQ65" s="1"/>
      <c r="AIR65" s="1"/>
      <c r="AIS65" s="1"/>
      <c r="AIT65" s="1"/>
      <c r="AIU65" s="1"/>
      <c r="AIV65" s="1"/>
      <c r="AIW65" s="1"/>
      <c r="AIX65" s="1"/>
      <c r="AIY65" s="1"/>
      <c r="AIZ65" s="1"/>
      <c r="AJA65" s="1"/>
      <c r="AJB65" s="1"/>
      <c r="AJC65" s="1"/>
      <c r="AJD65" s="1"/>
      <c r="AJE65" s="1"/>
      <c r="AJF65" s="1"/>
      <c r="AJG65" s="1"/>
      <c r="AJH65" s="1"/>
      <c r="AJI65" s="1"/>
      <c r="AJJ65" s="1"/>
      <c r="AJK65" s="1"/>
      <c r="AJL65" s="1"/>
      <c r="AJM65" s="1"/>
      <c r="AJN65" s="1"/>
      <c r="AJO65" s="1"/>
      <c r="AJP65" s="1"/>
      <c r="AJQ65" s="1"/>
      <c r="AJR65" s="1"/>
      <c r="AJS65" s="1"/>
      <c r="AJT65" s="1"/>
      <c r="AJU65" s="1"/>
      <c r="AJV65" s="1"/>
      <c r="AJW65" s="1"/>
      <c r="AJX65" s="1"/>
      <c r="AJY65" s="1"/>
      <c r="AJZ65" s="1"/>
      <c r="AKA65" s="1"/>
      <c r="AKB65" s="1"/>
      <c r="AKC65" s="1"/>
      <c r="AKD65" s="1"/>
      <c r="AKE65" s="1"/>
      <c r="AKF65" s="1"/>
      <c r="AKG65" s="1"/>
      <c r="AKH65" s="1"/>
      <c r="AKI65" s="1"/>
      <c r="AKJ65" s="1"/>
      <c r="AKK65" s="1"/>
      <c r="AKL65" s="1"/>
      <c r="AKM65" s="1"/>
      <c r="AKN65" s="1"/>
      <c r="AKO65" s="1"/>
      <c r="AKP65" s="1"/>
      <c r="AKQ65" s="1"/>
      <c r="AKR65" s="1"/>
      <c r="AKS65" s="1"/>
      <c r="AKT65" s="1"/>
      <c r="AKU65" s="1"/>
      <c r="AKV65" s="1"/>
      <c r="AKW65" s="1"/>
      <c r="AKX65" s="1"/>
      <c r="AKY65" s="1"/>
      <c r="AKZ65" s="1"/>
      <c r="ALA65" s="1"/>
      <c r="ALB65" s="1"/>
      <c r="ALC65" s="1"/>
      <c r="ALD65" s="1"/>
      <c r="ALE65" s="1"/>
      <c r="ALF65" s="1"/>
      <c r="ALG65" s="1"/>
      <c r="ALH65" s="1"/>
      <c r="ALI65" s="1"/>
      <c r="ALJ65" s="1"/>
      <c r="ALK65" s="1"/>
      <c r="ALL65" s="1"/>
      <c r="ALM65" s="1"/>
      <c r="ALN65" s="1"/>
      <c r="ALO65" s="1"/>
      <c r="ALP65" s="1"/>
      <c r="ALQ65" s="1"/>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c r="BOB65" s="1"/>
      <c r="BOC65" s="1"/>
      <c r="BOD65" s="1"/>
      <c r="BOE65" s="1"/>
      <c r="BOF65" s="1"/>
      <c r="BOG65" s="1"/>
      <c r="BOH65" s="1"/>
      <c r="BOI65" s="1"/>
      <c r="BOJ65" s="1"/>
      <c r="BOK65" s="1"/>
      <c r="BOL65" s="1"/>
      <c r="BOM65" s="1"/>
      <c r="BON65" s="1"/>
      <c r="BOO65" s="1"/>
      <c r="BOP65" s="1"/>
      <c r="BOQ65" s="1"/>
      <c r="BOR65" s="1"/>
      <c r="BOS65" s="1"/>
      <c r="BOT65" s="1"/>
      <c r="BOU65" s="1"/>
      <c r="BOV65" s="1"/>
      <c r="BOW65" s="1"/>
      <c r="BOX65" s="1"/>
      <c r="BOY65" s="1"/>
      <c r="BOZ65" s="1"/>
      <c r="BPA65" s="1"/>
      <c r="BPB65" s="1"/>
      <c r="BPC65" s="1"/>
      <c r="BPD65" s="1"/>
      <c r="BPE65" s="1"/>
      <c r="BPF65" s="1"/>
      <c r="BPG65" s="1"/>
      <c r="BPH65" s="1"/>
      <c r="BPI65" s="1"/>
      <c r="BPJ65" s="1"/>
      <c r="BPK65" s="1"/>
      <c r="BPL65" s="1"/>
      <c r="BPM65" s="1"/>
      <c r="BPN65" s="1"/>
      <c r="BPO65" s="1"/>
      <c r="BPP65" s="1"/>
      <c r="BPQ65" s="1"/>
      <c r="BPR65" s="1"/>
      <c r="BPS65" s="1"/>
      <c r="BPT65" s="1"/>
      <c r="BPU65" s="1"/>
      <c r="BPV65" s="1"/>
      <c r="BPW65" s="1"/>
      <c r="BPX65" s="1"/>
      <c r="BPY65" s="1"/>
      <c r="BPZ65" s="1"/>
      <c r="BQA65" s="1"/>
      <c r="BQB65" s="1"/>
      <c r="BQC65" s="1"/>
      <c r="BQD65" s="1"/>
      <c r="BQE65" s="1"/>
      <c r="BQF65" s="1"/>
      <c r="BQG65" s="1"/>
      <c r="BQH65" s="1"/>
      <c r="BQI65" s="1"/>
      <c r="BQJ65" s="1"/>
      <c r="BQK65" s="1"/>
      <c r="BQL65" s="1"/>
      <c r="BQM65" s="1"/>
      <c r="BQN65" s="1"/>
      <c r="BQO65" s="1"/>
      <c r="BQP65" s="1"/>
      <c r="BQQ65" s="1"/>
      <c r="BQR65" s="1"/>
      <c r="BQS65" s="1"/>
      <c r="BQT65" s="1"/>
      <c r="BQU65" s="1"/>
      <c r="BQV65" s="1"/>
      <c r="BQW65" s="1"/>
      <c r="BQX65" s="1"/>
      <c r="BQY65" s="1"/>
      <c r="BQZ65" s="1"/>
      <c r="BRA65" s="1"/>
      <c r="BRB65" s="1"/>
      <c r="BRC65" s="1"/>
      <c r="BRD65" s="1"/>
      <c r="BRE65" s="1"/>
      <c r="BRF65" s="1"/>
      <c r="BRG65" s="1"/>
      <c r="BRH65" s="1"/>
      <c r="BRI65" s="1"/>
      <c r="BRJ65" s="1"/>
      <c r="BRK65" s="1"/>
      <c r="BRL65" s="1"/>
      <c r="BRM65" s="1"/>
      <c r="BRN65" s="1"/>
      <c r="BRO65" s="1"/>
      <c r="BRP65" s="1"/>
      <c r="BRQ65" s="1"/>
      <c r="BRR65" s="1"/>
      <c r="BRS65" s="1"/>
      <c r="BRT65" s="1"/>
      <c r="BRU65" s="1"/>
      <c r="BRV65" s="1"/>
      <c r="BRW65" s="1"/>
      <c r="BRX65" s="1"/>
      <c r="BRY65" s="1"/>
      <c r="BRZ65" s="1"/>
      <c r="BSA65" s="1"/>
      <c r="BSB65" s="1"/>
      <c r="BSC65" s="1"/>
      <c r="BSD65" s="1"/>
      <c r="BSE65" s="1"/>
      <c r="BSF65" s="1"/>
      <c r="BSG65" s="1"/>
      <c r="BSH65" s="1"/>
      <c r="BSI65" s="1"/>
      <c r="BSJ65" s="1"/>
      <c r="BSK65" s="1"/>
      <c r="BSL65" s="1"/>
      <c r="BSM65" s="1"/>
      <c r="BSN65" s="1"/>
      <c r="BSO65" s="1"/>
      <c r="BSP65" s="1"/>
      <c r="BSQ65" s="1"/>
      <c r="BSR65" s="1"/>
      <c r="BSS65" s="1"/>
      <c r="BST65" s="1"/>
      <c r="BSU65" s="1"/>
      <c r="BSV65" s="1"/>
      <c r="BSW65" s="1"/>
      <c r="BSX65" s="1"/>
      <c r="BSY65" s="1"/>
      <c r="BSZ65" s="1"/>
      <c r="BTA65" s="1"/>
      <c r="BTB65" s="1"/>
      <c r="BTC65" s="1"/>
      <c r="BTD65" s="1"/>
      <c r="BTE65" s="1"/>
      <c r="BTF65" s="1"/>
      <c r="BTG65" s="1"/>
      <c r="BTH65" s="1"/>
      <c r="BTI65" s="1"/>
      <c r="BTJ65" s="1"/>
      <c r="BTK65" s="1"/>
      <c r="BTL65" s="1"/>
      <c r="BTM65" s="1"/>
      <c r="BTN65" s="1"/>
      <c r="BTO65" s="1"/>
      <c r="BTP65" s="1"/>
      <c r="BTQ65" s="1"/>
      <c r="BTR65" s="1"/>
      <c r="BTS65" s="1"/>
      <c r="BTT65" s="1"/>
      <c r="BTU65" s="1"/>
      <c r="BTV65" s="1"/>
      <c r="BTW65" s="1"/>
      <c r="BTX65" s="1"/>
      <c r="BTY65" s="1"/>
      <c r="BTZ65" s="1"/>
      <c r="BUA65" s="1"/>
      <c r="BUB65" s="1"/>
      <c r="BUC65" s="1"/>
      <c r="BUD65" s="1"/>
      <c r="BUE65" s="1"/>
      <c r="BUF65" s="1"/>
      <c r="BUG65" s="1"/>
      <c r="BUH65" s="1"/>
      <c r="BUI65" s="1"/>
      <c r="BUJ65" s="1"/>
      <c r="BUK65" s="1"/>
      <c r="BUL65" s="1"/>
      <c r="BUM65" s="1"/>
      <c r="BUN65" s="1"/>
      <c r="BUO65" s="1"/>
      <c r="BUP65" s="1"/>
      <c r="BUQ65" s="1"/>
      <c r="BUR65" s="1"/>
      <c r="BUS65" s="1"/>
      <c r="BUT65" s="1"/>
      <c r="BUU65" s="1"/>
      <c r="BUV65" s="1"/>
      <c r="BUW65" s="1"/>
      <c r="BUX65" s="1"/>
      <c r="BUY65" s="1"/>
      <c r="BUZ65" s="1"/>
      <c r="BVA65" s="1"/>
      <c r="BVB65" s="1"/>
      <c r="BVC65" s="1"/>
      <c r="BVD65" s="1"/>
      <c r="BVE65" s="1"/>
      <c r="BVF65" s="1"/>
      <c r="BVG65" s="1"/>
      <c r="BVH65" s="1"/>
      <c r="BVI65" s="1"/>
      <c r="BVJ65" s="1"/>
      <c r="BVK65" s="1"/>
      <c r="BVL65" s="1"/>
      <c r="BVM65" s="1"/>
      <c r="BVN65" s="1"/>
      <c r="BVO65" s="1"/>
      <c r="BVP65" s="1"/>
      <c r="BVQ65" s="1"/>
      <c r="BVR65" s="1"/>
      <c r="BVS65" s="1"/>
      <c r="BVT65" s="1"/>
      <c r="BVU65" s="1"/>
      <c r="BVV65" s="1"/>
      <c r="BVW65" s="1"/>
      <c r="BVX65" s="1"/>
      <c r="BVY65" s="1"/>
      <c r="BVZ65" s="1"/>
      <c r="BWA65" s="1"/>
      <c r="BWB65" s="1"/>
      <c r="BWC65" s="1"/>
      <c r="BWD65" s="1"/>
      <c r="BWE65" s="1"/>
      <c r="BWF65" s="1"/>
      <c r="BWG65" s="1"/>
      <c r="BWH65" s="1"/>
      <c r="BWI65" s="1"/>
      <c r="BWJ65" s="1"/>
      <c r="BWK65" s="1"/>
      <c r="BWL65" s="1"/>
      <c r="BWM65" s="1"/>
      <c r="BWN65" s="1"/>
      <c r="BWO65" s="1"/>
      <c r="BWP65" s="1"/>
      <c r="BWQ65" s="1"/>
      <c r="BWR65" s="1"/>
      <c r="BWS65" s="1"/>
      <c r="BWT65" s="1"/>
      <c r="BWU65" s="1"/>
      <c r="BWV65" s="1"/>
      <c r="BWW65" s="1"/>
      <c r="BWX65" s="1"/>
      <c r="BWY65" s="1"/>
      <c r="BWZ65" s="1"/>
      <c r="BXA65" s="1"/>
      <c r="BXB65" s="1"/>
      <c r="BXC65" s="1"/>
      <c r="BXD65" s="1"/>
      <c r="BXE65" s="1"/>
      <c r="BXF65" s="1"/>
      <c r="BXG65" s="1"/>
      <c r="BXH65" s="1"/>
      <c r="BXI65" s="1"/>
      <c r="BXJ65" s="1"/>
      <c r="BXK65" s="1"/>
      <c r="BXL65" s="1"/>
      <c r="BXM65" s="1"/>
      <c r="BXN65" s="1"/>
      <c r="BXO65" s="1"/>
      <c r="BXP65" s="1"/>
      <c r="BXQ65" s="1"/>
      <c r="BXR65" s="1"/>
      <c r="BXS65" s="1"/>
      <c r="BXT65" s="1"/>
      <c r="BXU65" s="1"/>
      <c r="BXV65" s="1"/>
      <c r="BXW65" s="1"/>
      <c r="BXX65" s="1"/>
      <c r="BXY65" s="1"/>
      <c r="BXZ65" s="1"/>
      <c r="BYA65" s="1"/>
      <c r="BYB65" s="1"/>
      <c r="BYC65" s="1"/>
      <c r="BYD65" s="1"/>
      <c r="BYE65" s="1"/>
      <c r="BYF65" s="1"/>
      <c r="BYG65" s="1"/>
      <c r="BYH65" s="1"/>
      <c r="BYI65" s="1"/>
      <c r="BYJ65" s="1"/>
      <c r="BYK65" s="1"/>
      <c r="BYL65" s="1"/>
      <c r="BYM65" s="1"/>
      <c r="BYN65" s="1"/>
      <c r="BYO65" s="1"/>
      <c r="BYP65" s="1"/>
      <c r="BYQ65" s="1"/>
      <c r="BYR65" s="1"/>
      <c r="BYS65" s="1"/>
      <c r="BYT65" s="1"/>
      <c r="BYU65" s="1"/>
      <c r="BYV65" s="1"/>
      <c r="BYW65" s="1"/>
      <c r="BYX65" s="1"/>
      <c r="BYY65" s="1"/>
      <c r="BYZ65" s="1"/>
      <c r="BZA65" s="1"/>
      <c r="BZB65" s="1"/>
      <c r="BZC65" s="1"/>
      <c r="BZD65" s="1"/>
      <c r="BZE65" s="1"/>
      <c r="BZF65" s="1"/>
      <c r="BZG65" s="1"/>
      <c r="BZH65" s="1"/>
      <c r="BZI65" s="1"/>
      <c r="BZJ65" s="1"/>
      <c r="BZK65" s="1"/>
      <c r="BZL65" s="1"/>
      <c r="BZM65" s="1"/>
      <c r="BZN65" s="1"/>
      <c r="BZO65" s="1"/>
      <c r="BZP65" s="1"/>
      <c r="BZQ65" s="1"/>
      <c r="BZR65" s="1"/>
      <c r="BZS65" s="1"/>
      <c r="BZT65" s="1"/>
      <c r="BZU65" s="1"/>
      <c r="BZV65" s="1"/>
      <c r="BZW65" s="1"/>
      <c r="BZX65" s="1"/>
      <c r="BZY65" s="1"/>
      <c r="BZZ65" s="1"/>
      <c r="CAA65" s="1"/>
      <c r="CAB65" s="1"/>
      <c r="CAC65" s="1"/>
      <c r="CAD65" s="1"/>
      <c r="CAE65" s="1"/>
      <c r="CAF65" s="1"/>
      <c r="CAG65" s="1"/>
      <c r="CAH65" s="1"/>
      <c r="CAI65" s="1"/>
      <c r="CAJ65" s="1"/>
      <c r="CAK65" s="1"/>
      <c r="CAL65" s="1"/>
      <c r="CAM65" s="1"/>
      <c r="CAN65" s="1"/>
      <c r="CAO65" s="1"/>
      <c r="CAP65" s="1"/>
      <c r="CAQ65" s="1"/>
      <c r="CAR65" s="1"/>
      <c r="CAS65" s="1"/>
      <c r="CAT65" s="1"/>
      <c r="CAU65" s="1"/>
      <c r="CAV65" s="1"/>
      <c r="CAW65" s="1"/>
      <c r="CAX65" s="1"/>
      <c r="CAY65" s="1"/>
      <c r="CAZ65" s="1"/>
      <c r="CBA65" s="1"/>
      <c r="CBB65" s="1"/>
      <c r="CBC65" s="1"/>
      <c r="CBD65" s="1"/>
      <c r="CBE65" s="1"/>
      <c r="CBF65" s="1"/>
      <c r="CBG65" s="1"/>
      <c r="CBH65" s="1"/>
      <c r="CBI65" s="1"/>
      <c r="CBJ65" s="1"/>
      <c r="CBK65" s="1"/>
      <c r="CBL65" s="1"/>
      <c r="CBM65" s="1"/>
      <c r="CBN65" s="1"/>
      <c r="CBO65" s="1"/>
      <c r="CBP65" s="1"/>
      <c r="CBQ65" s="1"/>
      <c r="CBR65" s="1"/>
      <c r="CBS65" s="1"/>
      <c r="CBT65" s="1"/>
      <c r="CBU65" s="1"/>
      <c r="CBV65" s="1"/>
      <c r="CBW65" s="1"/>
      <c r="CBX65" s="1"/>
      <c r="CBY65" s="1"/>
      <c r="CBZ65" s="1"/>
      <c r="CCA65" s="1"/>
      <c r="CCB65" s="1"/>
      <c r="CCC65" s="1"/>
      <c r="CCD65" s="1"/>
      <c r="CCE65" s="1"/>
      <c r="CCF65" s="1"/>
      <c r="CCG65" s="1"/>
      <c r="CCH65" s="1"/>
      <c r="CCI65" s="1"/>
      <c r="CCJ65" s="1"/>
      <c r="CCK65" s="1"/>
      <c r="CCL65" s="1"/>
      <c r="CCM65" s="1"/>
      <c r="CCN65" s="1"/>
      <c r="CCO65" s="1"/>
      <c r="CCP65" s="1"/>
      <c r="CCQ65" s="1"/>
      <c r="CCR65" s="1"/>
      <c r="CCS65" s="1"/>
      <c r="CCT65" s="1"/>
      <c r="CCU65" s="1"/>
      <c r="CCV65" s="1"/>
      <c r="CCW65" s="1"/>
      <c r="CCX65" s="1"/>
      <c r="CCY65" s="1"/>
      <c r="CCZ65" s="1"/>
      <c r="CDA65" s="1"/>
      <c r="CDB65" s="1"/>
      <c r="CDC65" s="1"/>
      <c r="CDD65" s="1"/>
      <c r="CDE65" s="1"/>
      <c r="CDF65" s="1"/>
      <c r="CDG65" s="1"/>
      <c r="CDH65" s="1"/>
      <c r="CDI65" s="1"/>
      <c r="CDJ65" s="1"/>
      <c r="CDK65" s="1"/>
      <c r="CDL65" s="1"/>
      <c r="CDM65" s="1"/>
      <c r="CDN65" s="1"/>
      <c r="CDO65" s="1"/>
      <c r="CDP65" s="1"/>
      <c r="CDQ65" s="1"/>
      <c r="CDR65" s="1"/>
      <c r="CDS65" s="1"/>
      <c r="CDT65" s="1"/>
      <c r="CDU65" s="1"/>
      <c r="CDV65" s="1"/>
      <c r="CDW65" s="1"/>
      <c r="CDX65" s="1"/>
      <c r="CDY65" s="1"/>
      <c r="CDZ65" s="1"/>
      <c r="CEA65" s="1"/>
      <c r="CEB65" s="1"/>
      <c r="CEC65" s="1"/>
      <c r="CED65" s="1"/>
      <c r="CEE65" s="1"/>
      <c r="CEF65" s="1"/>
      <c r="CEG65" s="1"/>
      <c r="CEH65" s="1"/>
      <c r="CEI65" s="1"/>
      <c r="CEJ65" s="1"/>
      <c r="CEK65" s="1"/>
      <c r="CEL65" s="1"/>
      <c r="CEM65" s="1"/>
      <c r="CEN65" s="1"/>
      <c r="CEO65" s="1"/>
      <c r="CEP65" s="1"/>
      <c r="CEQ65" s="1"/>
      <c r="CER65" s="1"/>
      <c r="CES65" s="1"/>
      <c r="CET65" s="1"/>
      <c r="CEU65" s="1"/>
      <c r="CEV65" s="1"/>
      <c r="CEW65" s="1"/>
      <c r="CEX65" s="1"/>
      <c r="CEY65" s="1"/>
      <c r="CEZ65" s="1"/>
      <c r="CFA65" s="1"/>
      <c r="CFB65" s="1"/>
      <c r="CFC65" s="1"/>
      <c r="CFD65" s="1"/>
      <c r="CFE65" s="1"/>
      <c r="CFF65" s="1"/>
      <c r="CFG65" s="1"/>
      <c r="CFH65" s="1"/>
      <c r="CFI65" s="1"/>
      <c r="CFJ65" s="1"/>
      <c r="CFK65" s="1"/>
      <c r="CFL65" s="1"/>
      <c r="CFM65" s="1"/>
      <c r="CFN65" s="1"/>
      <c r="CFO65" s="1"/>
      <c r="CFP65" s="1"/>
      <c r="CFQ65" s="1"/>
      <c r="CFR65" s="1"/>
      <c r="CFS65" s="1"/>
      <c r="CFT65" s="1"/>
      <c r="CFU65" s="1"/>
      <c r="CFV65" s="1"/>
      <c r="CFW65" s="1"/>
      <c r="CFX65" s="1"/>
      <c r="CFY65" s="1"/>
      <c r="CFZ65" s="1"/>
      <c r="CGA65" s="1"/>
      <c r="CGB65" s="1"/>
      <c r="CGC65" s="1"/>
      <c r="CGD65" s="1"/>
      <c r="CGE65" s="1"/>
      <c r="CGF65" s="1"/>
      <c r="CGG65" s="1"/>
      <c r="CGH65" s="1"/>
      <c r="CGI65" s="1"/>
      <c r="CGJ65" s="1"/>
      <c r="CGK65" s="1"/>
      <c r="CGL65" s="1"/>
      <c r="CGM65" s="1"/>
      <c r="CGN65" s="1"/>
      <c r="CGO65" s="1"/>
      <c r="CGP65" s="1"/>
      <c r="CGQ65" s="1"/>
      <c r="CGR65" s="1"/>
      <c r="CGS65" s="1"/>
      <c r="CGT65" s="1"/>
      <c r="CGU65" s="1"/>
      <c r="CGV65" s="1"/>
      <c r="CGW65" s="1"/>
      <c r="CGX65" s="1"/>
      <c r="CGY65" s="1"/>
      <c r="CGZ65" s="1"/>
      <c r="CHA65" s="1"/>
      <c r="CHB65" s="1"/>
      <c r="CHC65" s="1"/>
      <c r="CHD65" s="1"/>
      <c r="CHE65" s="1"/>
      <c r="CHF65" s="1"/>
      <c r="CHG65" s="1"/>
      <c r="CHH65" s="1"/>
      <c r="CHI65" s="1"/>
      <c r="CHJ65" s="1"/>
      <c r="CHK65" s="1"/>
      <c r="CHL65" s="1"/>
      <c r="CHM65" s="1"/>
      <c r="CHN65" s="1"/>
      <c r="CHO65" s="1"/>
      <c r="CHP65" s="1"/>
      <c r="CHQ65" s="1"/>
      <c r="CHR65" s="1"/>
      <c r="CHS65" s="1"/>
      <c r="CHT65" s="1"/>
      <c r="CHU65" s="1"/>
      <c r="CHV65" s="1"/>
      <c r="CHW65" s="1"/>
      <c r="CHX65" s="1"/>
      <c r="CHY65" s="1"/>
      <c r="CHZ65" s="1"/>
      <c r="CIA65" s="1"/>
      <c r="CIB65" s="1"/>
      <c r="CIC65" s="1"/>
      <c r="CID65" s="1"/>
      <c r="CIE65" s="1"/>
      <c r="CIF65" s="1"/>
      <c r="CIG65" s="1"/>
      <c r="CIH65" s="1"/>
      <c r="CII65" s="1"/>
      <c r="CIJ65" s="1"/>
      <c r="CIK65" s="1"/>
      <c r="CIL65" s="1"/>
      <c r="CIM65" s="1"/>
      <c r="CIN65" s="1"/>
      <c r="CIO65" s="1"/>
      <c r="CIP65" s="1"/>
      <c r="CIQ65" s="1"/>
      <c r="CIR65" s="1"/>
      <c r="CIS65" s="1"/>
      <c r="CIT65" s="1"/>
      <c r="CIU65" s="1"/>
      <c r="CIV65" s="1"/>
      <c r="CIW65" s="1"/>
      <c r="CIX65" s="1"/>
      <c r="CIY65" s="1"/>
      <c r="CIZ65" s="1"/>
      <c r="CJA65" s="1"/>
      <c r="CJB65" s="1"/>
      <c r="CJC65" s="1"/>
      <c r="CJD65" s="1"/>
      <c r="CJE65" s="1"/>
      <c r="CJF65" s="1"/>
      <c r="CJG65" s="1"/>
      <c r="CJH65" s="1"/>
      <c r="CJI65" s="1"/>
      <c r="CJJ65" s="1"/>
      <c r="CJK65" s="1"/>
      <c r="CJL65" s="1"/>
      <c r="CJM65" s="1"/>
      <c r="CJN65" s="1"/>
      <c r="CJO65" s="1"/>
      <c r="CJP65" s="1"/>
      <c r="CJQ65" s="1"/>
      <c r="CJR65" s="1"/>
      <c r="CJS65" s="1"/>
      <c r="CJT65" s="1"/>
      <c r="CJU65" s="1"/>
      <c r="CJV65" s="1"/>
      <c r="CJW65" s="1"/>
      <c r="CJX65" s="1"/>
      <c r="CJY65" s="1"/>
      <c r="CJZ65" s="1"/>
      <c r="CKA65" s="1"/>
      <c r="CKB65" s="1"/>
      <c r="CKC65" s="1"/>
      <c r="CKD65" s="1"/>
      <c r="CKE65" s="1"/>
      <c r="CKF65" s="1"/>
      <c r="CKG65" s="1"/>
      <c r="CKH65" s="1"/>
      <c r="CKI65" s="1"/>
      <c r="CKJ65" s="1"/>
      <c r="CKK65" s="1"/>
      <c r="CKL65" s="1"/>
      <c r="CKM65" s="1"/>
      <c r="CKN65" s="1"/>
      <c r="CKO65" s="1"/>
      <c r="CKP65" s="1"/>
      <c r="CKQ65" s="1"/>
      <c r="CKR65" s="1"/>
      <c r="CKS65" s="1"/>
      <c r="CKT65" s="1"/>
      <c r="CKU65" s="1"/>
      <c r="CKV65" s="1"/>
      <c r="CKW65" s="1"/>
      <c r="CKX65" s="1"/>
      <c r="CKY65" s="1"/>
      <c r="CKZ65" s="1"/>
      <c r="CLA65" s="1"/>
      <c r="CLB65" s="1"/>
      <c r="CLC65" s="1"/>
      <c r="CLD65" s="1"/>
      <c r="CLE65" s="1"/>
      <c r="CLF65" s="1"/>
      <c r="CLG65" s="1"/>
      <c r="CLH65" s="1"/>
      <c r="CLI65" s="1"/>
      <c r="CLJ65" s="1"/>
      <c r="CLK65" s="1"/>
      <c r="CLL65" s="1"/>
      <c r="CLM65" s="1"/>
      <c r="CLN65" s="1"/>
      <c r="CLO65" s="1"/>
      <c r="CLP65" s="1"/>
      <c r="CLQ65" s="1"/>
      <c r="CLR65" s="1"/>
      <c r="CLS65" s="1"/>
      <c r="CLT65" s="1"/>
      <c r="CLU65" s="1"/>
      <c r="CLV65" s="1"/>
      <c r="CLW65" s="1"/>
      <c r="CLX65" s="1"/>
      <c r="CLY65" s="1"/>
      <c r="CLZ65" s="1"/>
      <c r="CMA65" s="1"/>
      <c r="CMB65" s="1"/>
      <c r="CMC65" s="1"/>
      <c r="CMD65" s="1"/>
      <c r="CME65" s="1"/>
      <c r="CMF65" s="1"/>
      <c r="CMG65" s="1"/>
      <c r="CMH65" s="1"/>
      <c r="CMI65" s="1"/>
      <c r="CMJ65" s="1"/>
      <c r="CMK65" s="1"/>
      <c r="CML65" s="1"/>
      <c r="CMM65" s="1"/>
      <c r="CMN65" s="1"/>
      <c r="CMO65" s="1"/>
      <c r="CMP65" s="1"/>
      <c r="CMQ65" s="1"/>
      <c r="CMR65" s="1"/>
      <c r="CMS65" s="1"/>
      <c r="CMT65" s="1"/>
      <c r="CMU65" s="1"/>
      <c r="CMV65" s="1"/>
      <c r="CMW65" s="1"/>
      <c r="CMX65" s="1"/>
      <c r="CMY65" s="1"/>
      <c r="CMZ65" s="1"/>
      <c r="CNA65" s="1"/>
      <c r="CNB65" s="1"/>
      <c r="CNC65" s="1"/>
      <c r="CND65" s="1"/>
      <c r="CNE65" s="1"/>
      <c r="CNF65" s="1"/>
      <c r="CNG65" s="1"/>
      <c r="CNH65" s="1"/>
      <c r="CNI65" s="1"/>
      <c r="CNJ65" s="1"/>
      <c r="CNK65" s="1"/>
      <c r="CNL65" s="1"/>
      <c r="CNM65" s="1"/>
      <c r="CNN65" s="1"/>
      <c r="CNO65" s="1"/>
      <c r="CNP65" s="1"/>
      <c r="CNQ65" s="1"/>
      <c r="CNR65" s="1"/>
      <c r="CNS65" s="1"/>
      <c r="CNT65" s="1"/>
      <c r="CNU65" s="1"/>
      <c r="CNV65" s="1"/>
      <c r="CNW65" s="1"/>
      <c r="CNX65" s="1"/>
      <c r="CNY65" s="1"/>
      <c r="CNZ65" s="1"/>
      <c r="COA65" s="1"/>
      <c r="COB65" s="1"/>
      <c r="COC65" s="1"/>
      <c r="COD65" s="1"/>
      <c r="COE65" s="1"/>
      <c r="COF65" s="1"/>
      <c r="COG65" s="1"/>
      <c r="COH65" s="1"/>
      <c r="COI65" s="1"/>
      <c r="COJ65" s="1"/>
      <c r="COK65" s="1"/>
      <c r="COL65" s="1"/>
      <c r="COM65" s="1"/>
      <c r="CON65" s="1"/>
      <c r="COO65" s="1"/>
      <c r="COP65" s="1"/>
      <c r="COQ65" s="1"/>
      <c r="COR65" s="1"/>
      <c r="COS65" s="1"/>
      <c r="COT65" s="1"/>
      <c r="COU65" s="1"/>
      <c r="COV65" s="1"/>
      <c r="COW65" s="1"/>
      <c r="COX65" s="1"/>
      <c r="COY65" s="1"/>
      <c r="COZ65" s="1"/>
      <c r="CPA65" s="1"/>
      <c r="CPB65" s="1"/>
      <c r="CPC65" s="1"/>
      <c r="CPD65" s="1"/>
      <c r="CPE65" s="1"/>
      <c r="CPF65" s="1"/>
      <c r="CPG65" s="1"/>
      <c r="CPH65" s="1"/>
      <c r="CPI65" s="1"/>
      <c r="CPJ65" s="1"/>
      <c r="CPK65" s="1"/>
      <c r="CPL65" s="1"/>
      <c r="CPM65" s="1"/>
      <c r="CPN65" s="1"/>
      <c r="CPO65" s="1"/>
      <c r="CPP65" s="1"/>
      <c r="CPQ65" s="1"/>
      <c r="CPR65" s="1"/>
      <c r="CPS65" s="1"/>
      <c r="CPT65" s="1"/>
      <c r="CPU65" s="1"/>
      <c r="CPV65" s="1"/>
      <c r="CPW65" s="1"/>
      <c r="CPX65" s="1"/>
      <c r="CPY65" s="1"/>
      <c r="CPZ65" s="1"/>
      <c r="CQA65" s="1"/>
      <c r="CQB65" s="1"/>
      <c r="CQC65" s="1"/>
      <c r="CQD65" s="1"/>
      <c r="CQE65" s="1"/>
      <c r="CQF65" s="1"/>
      <c r="CQG65" s="1"/>
      <c r="CQH65" s="1"/>
      <c r="CQI65" s="1"/>
      <c r="CQJ65" s="1"/>
      <c r="CQK65" s="1"/>
      <c r="CQL65" s="1"/>
      <c r="CQM65" s="1"/>
      <c r="CQN65" s="1"/>
      <c r="CQO65" s="1"/>
      <c r="CQP65" s="1"/>
      <c r="CQQ65" s="1"/>
      <c r="CQR65" s="1"/>
      <c r="CQS65" s="1"/>
      <c r="CQT65" s="1"/>
      <c r="CQU65" s="1"/>
      <c r="CQV65" s="1"/>
      <c r="CQW65" s="1"/>
      <c r="CQX65" s="1"/>
      <c r="CQY65" s="1"/>
      <c r="CQZ65" s="1"/>
      <c r="CRA65" s="1"/>
      <c r="CRB65" s="1"/>
      <c r="CRC65" s="1"/>
      <c r="CRD65" s="1"/>
      <c r="CRE65" s="1"/>
      <c r="CRF65" s="1"/>
      <c r="CRG65" s="1"/>
      <c r="CRH65" s="1"/>
      <c r="CRI65" s="1"/>
      <c r="CRJ65" s="1"/>
      <c r="CRK65" s="1"/>
      <c r="CRL65" s="1"/>
      <c r="CRM65" s="1"/>
      <c r="CRN65" s="1"/>
      <c r="CRO65" s="1"/>
      <c r="CRP65" s="1"/>
      <c r="CRQ65" s="1"/>
      <c r="CRR65" s="1"/>
      <c r="CRS65" s="1"/>
      <c r="CRT65" s="1"/>
      <c r="CRU65" s="1"/>
      <c r="CRV65" s="1"/>
      <c r="CRW65" s="1"/>
      <c r="CRX65" s="1"/>
      <c r="CRY65" s="1"/>
      <c r="CRZ65" s="1"/>
      <c r="CSA65" s="1"/>
      <c r="CSB65" s="1"/>
      <c r="CSC65" s="1"/>
      <c r="CSD65" s="1"/>
      <c r="CSE65" s="1"/>
      <c r="CSF65" s="1"/>
      <c r="CSG65" s="1"/>
      <c r="CSH65" s="1"/>
      <c r="CSI65" s="1"/>
      <c r="CSJ65" s="1"/>
      <c r="CSK65" s="1"/>
      <c r="CSL65" s="1"/>
      <c r="CSM65" s="1"/>
      <c r="CSN65" s="1"/>
      <c r="CSO65" s="1"/>
      <c r="CSP65" s="1"/>
      <c r="CSQ65" s="1"/>
      <c r="CSR65" s="1"/>
      <c r="CSS65" s="1"/>
      <c r="CST65" s="1"/>
      <c r="CSU65" s="1"/>
      <c r="CSV65" s="1"/>
      <c r="CSW65" s="1"/>
      <c r="CSX65" s="1"/>
      <c r="CSY65" s="1"/>
      <c r="CSZ65" s="1"/>
      <c r="CTA65" s="1"/>
      <c r="CTB65" s="1"/>
      <c r="CTC65" s="1"/>
      <c r="CTD65" s="1"/>
      <c r="CTE65" s="1"/>
      <c r="CTF65" s="1"/>
      <c r="CTG65" s="1"/>
      <c r="CTH65" s="1"/>
      <c r="CTI65" s="1"/>
      <c r="CTJ65" s="1"/>
      <c r="CTK65" s="1"/>
      <c r="CTL65" s="1"/>
      <c r="CTM65" s="1"/>
      <c r="CTN65" s="1"/>
      <c r="CTO65" s="1"/>
      <c r="CTP65" s="1"/>
      <c r="CTQ65" s="1"/>
      <c r="CTR65" s="1"/>
      <c r="CTS65" s="1"/>
      <c r="CTT65" s="1"/>
      <c r="CTU65" s="1"/>
      <c r="CTV65" s="1"/>
      <c r="CTW65" s="1"/>
      <c r="CTX65" s="1"/>
      <c r="CTY65" s="1"/>
      <c r="CTZ65" s="1"/>
      <c r="CUA65" s="1"/>
      <c r="CUB65" s="1"/>
      <c r="CUC65" s="1"/>
      <c r="CUD65" s="1"/>
      <c r="CUE65" s="1"/>
      <c r="CUF65" s="1"/>
      <c r="CUG65" s="1"/>
      <c r="CUH65" s="1"/>
      <c r="CUI65" s="1"/>
      <c r="CUJ65" s="1"/>
      <c r="CUK65" s="1"/>
      <c r="CUL65" s="1"/>
      <c r="CUM65" s="1"/>
      <c r="CUN65" s="1"/>
      <c r="CUO65" s="1"/>
      <c r="CUP65" s="1"/>
      <c r="CUQ65" s="1"/>
      <c r="CUR65" s="1"/>
      <c r="CUS65" s="1"/>
      <c r="CUT65" s="1"/>
      <c r="CUU65" s="1"/>
      <c r="CUV65" s="1"/>
      <c r="CUW65" s="1"/>
      <c r="CUX65" s="1"/>
      <c r="CUY65" s="1"/>
      <c r="CUZ65" s="1"/>
      <c r="CVA65" s="1"/>
      <c r="CVB65" s="1"/>
      <c r="CVC65" s="1"/>
      <c r="CVD65" s="1"/>
      <c r="CVE65" s="1"/>
      <c r="CVF65" s="1"/>
      <c r="CVG65" s="1"/>
      <c r="CVH65" s="1"/>
      <c r="CVI65" s="1"/>
      <c r="CVJ65" s="1"/>
      <c r="CVK65" s="1"/>
      <c r="CVL65" s="1"/>
      <c r="CVM65" s="1"/>
      <c r="CVN65" s="1"/>
      <c r="CVO65" s="1"/>
      <c r="CVP65" s="1"/>
      <c r="CVQ65" s="1"/>
      <c r="CVR65" s="1"/>
      <c r="CVS65" s="1"/>
      <c r="CVT65" s="1"/>
      <c r="CVU65" s="1"/>
      <c r="CVV65" s="1"/>
      <c r="CVW65" s="1"/>
      <c r="CVX65" s="1"/>
      <c r="CVY65" s="1"/>
      <c r="CVZ65" s="1"/>
      <c r="CWA65" s="1"/>
      <c r="CWB65" s="1"/>
      <c r="CWC65" s="1"/>
      <c r="CWD65" s="1"/>
      <c r="CWE65" s="1"/>
      <c r="CWF65" s="1"/>
      <c r="CWG65" s="1"/>
      <c r="CWH65" s="1"/>
      <c r="CWI65" s="1"/>
      <c r="CWJ65" s="1"/>
      <c r="CWK65" s="1"/>
      <c r="CWL65" s="1"/>
      <c r="CWM65" s="1"/>
      <c r="CWN65" s="1"/>
      <c r="CWO65" s="1"/>
      <c r="CWP65" s="1"/>
      <c r="CWQ65" s="1"/>
      <c r="CWR65" s="1"/>
      <c r="CWS65" s="1"/>
      <c r="CWT65" s="1"/>
      <c r="CWU65" s="1"/>
      <c r="CWV65" s="1"/>
      <c r="CWW65" s="1"/>
      <c r="CWX65" s="1"/>
      <c r="CWY65" s="1"/>
      <c r="CWZ65" s="1"/>
      <c r="CXA65" s="1"/>
      <c r="CXB65" s="1"/>
      <c r="CXC65" s="1"/>
      <c r="CXD65" s="1"/>
      <c r="CXE65" s="1"/>
      <c r="CXF65" s="1"/>
      <c r="CXG65" s="1"/>
      <c r="CXH65" s="1"/>
      <c r="CXI65" s="1"/>
      <c r="CXJ65" s="1"/>
      <c r="CXK65" s="1"/>
      <c r="CXL65" s="1"/>
      <c r="CXM65" s="1"/>
      <c r="CXN65" s="1"/>
      <c r="CXO65" s="1"/>
      <c r="CXP65" s="1"/>
      <c r="CXQ65" s="1"/>
      <c r="CXR65" s="1"/>
      <c r="CXS65" s="1"/>
      <c r="CXT65" s="1"/>
      <c r="CXU65" s="1"/>
      <c r="CXV65" s="1"/>
      <c r="CXW65" s="1"/>
      <c r="CXX65" s="1"/>
      <c r="CXY65" s="1"/>
      <c r="CXZ65" s="1"/>
      <c r="CYA65" s="1"/>
      <c r="CYB65" s="1"/>
      <c r="CYC65" s="1"/>
      <c r="CYD65" s="1"/>
      <c r="CYE65" s="1"/>
      <c r="CYF65" s="1"/>
      <c r="CYG65" s="1"/>
      <c r="CYH65" s="1"/>
      <c r="CYI65" s="1"/>
      <c r="CYJ65" s="1"/>
      <c r="CYK65" s="1"/>
      <c r="CYL65" s="1"/>
      <c r="CYM65" s="1"/>
      <c r="CYN65" s="1"/>
      <c r="CYO65" s="1"/>
      <c r="CYP65" s="1"/>
      <c r="CYQ65" s="1"/>
      <c r="CYR65" s="1"/>
      <c r="CYS65" s="1"/>
      <c r="CYT65" s="1"/>
      <c r="CYU65" s="1"/>
      <c r="CYV65" s="1"/>
      <c r="CYW65" s="1"/>
      <c r="CYX65" s="1"/>
      <c r="CYY65" s="1"/>
      <c r="CYZ65" s="1"/>
      <c r="CZA65" s="1"/>
      <c r="CZB65" s="1"/>
      <c r="CZC65" s="1"/>
      <c r="CZD65" s="1"/>
      <c r="CZE65" s="1"/>
      <c r="CZF65" s="1"/>
      <c r="CZG65" s="1"/>
      <c r="CZH65" s="1"/>
      <c r="CZI65" s="1"/>
      <c r="CZJ65" s="1"/>
      <c r="CZK65" s="1"/>
      <c r="CZL65" s="1"/>
      <c r="CZM65" s="1"/>
      <c r="CZN65" s="1"/>
      <c r="CZO65" s="1"/>
      <c r="CZP65" s="1"/>
      <c r="CZQ65" s="1"/>
      <c r="CZR65" s="1"/>
      <c r="CZS65" s="1"/>
      <c r="CZT65" s="1"/>
      <c r="CZU65" s="1"/>
      <c r="CZV65" s="1"/>
      <c r="CZW65" s="1"/>
      <c r="CZX65" s="1"/>
      <c r="CZY65" s="1"/>
      <c r="CZZ65" s="1"/>
      <c r="DAA65" s="1"/>
      <c r="DAB65" s="1"/>
      <c r="DAC65" s="1"/>
      <c r="DAD65" s="1"/>
      <c r="DAE65" s="1"/>
      <c r="DAF65" s="1"/>
      <c r="DAG65" s="1"/>
      <c r="DAH65" s="1"/>
      <c r="DAI65" s="1"/>
      <c r="DAJ65" s="1"/>
      <c r="DAK65" s="1"/>
      <c r="DAL65" s="1"/>
      <c r="DAM65" s="1"/>
      <c r="DAN65" s="1"/>
      <c r="DAO65" s="1"/>
      <c r="DAP65" s="1"/>
      <c r="DAQ65" s="1"/>
      <c r="DAR65" s="1"/>
      <c r="DAS65" s="1"/>
      <c r="DAT65" s="1"/>
      <c r="DAU65" s="1"/>
      <c r="DAV65" s="1"/>
      <c r="DAW65" s="1"/>
      <c r="DAX65" s="1"/>
      <c r="DAY65" s="1"/>
      <c r="DAZ65" s="1"/>
      <c r="DBA65" s="1"/>
      <c r="DBB65" s="1"/>
      <c r="DBC65" s="1"/>
      <c r="DBD65" s="1"/>
      <c r="DBE65" s="1"/>
      <c r="DBF65" s="1"/>
      <c r="DBG65" s="1"/>
      <c r="DBH65" s="1"/>
      <c r="DBI65" s="1"/>
      <c r="DBJ65" s="1"/>
      <c r="DBK65" s="1"/>
      <c r="DBL65" s="1"/>
      <c r="DBM65" s="1"/>
      <c r="DBN65" s="1"/>
      <c r="DBO65" s="1"/>
      <c r="DBP65" s="1"/>
      <c r="DBQ65" s="1"/>
      <c r="DBR65" s="1"/>
      <c r="DBS65" s="1"/>
      <c r="DBT65" s="1"/>
      <c r="DBU65" s="1"/>
      <c r="DBV65" s="1"/>
      <c r="DBW65" s="1"/>
      <c r="DBX65" s="1"/>
      <c r="DBY65" s="1"/>
      <c r="DBZ65" s="1"/>
      <c r="DCA65" s="1"/>
      <c r="DCB65" s="1"/>
      <c r="DCC65" s="1"/>
      <c r="DCD65" s="1"/>
      <c r="DCE65" s="1"/>
      <c r="DCF65" s="1"/>
      <c r="DCG65" s="1"/>
      <c r="DCH65" s="1"/>
      <c r="DCI65" s="1"/>
      <c r="DCJ65" s="1"/>
      <c r="DCK65" s="1"/>
      <c r="DCL65" s="1"/>
      <c r="DCM65" s="1"/>
      <c r="DCN65" s="1"/>
      <c r="DCO65" s="1"/>
      <c r="DCP65" s="1"/>
      <c r="DCQ65" s="1"/>
      <c r="DCR65" s="1"/>
      <c r="DCS65" s="1"/>
      <c r="DCT65" s="1"/>
      <c r="DCU65" s="1"/>
      <c r="DCV65" s="1"/>
      <c r="DCW65" s="1"/>
      <c r="DCX65" s="1"/>
      <c r="DCY65" s="1"/>
      <c r="DCZ65" s="1"/>
      <c r="DDA65" s="1"/>
      <c r="DDB65" s="1"/>
      <c r="DDC65" s="1"/>
      <c r="DDD65" s="1"/>
      <c r="DDE65" s="1"/>
      <c r="DDF65" s="1"/>
      <c r="DDG65" s="1"/>
      <c r="DDH65" s="1"/>
      <c r="DDI65" s="1"/>
      <c r="DDJ65" s="1"/>
      <c r="DDK65" s="1"/>
      <c r="DDL65" s="1"/>
      <c r="DDM65" s="1"/>
      <c r="DDN65" s="1"/>
      <c r="DDO65" s="1"/>
      <c r="DDP65" s="1"/>
      <c r="DDQ65" s="1"/>
      <c r="DDR65" s="1"/>
      <c r="DDS65" s="1"/>
      <c r="DDT65" s="1"/>
      <c r="DDU65" s="1"/>
      <c r="DDV65" s="1"/>
      <c r="DDW65" s="1"/>
      <c r="DDX65" s="1"/>
      <c r="DDY65" s="1"/>
      <c r="DDZ65" s="1"/>
      <c r="DEA65" s="1"/>
      <c r="DEB65" s="1"/>
      <c r="DEC65" s="1"/>
      <c r="DED65" s="1"/>
      <c r="DEE65" s="1"/>
      <c r="DEF65" s="1"/>
      <c r="DEG65" s="1"/>
      <c r="DEH65" s="1"/>
      <c r="DEI65" s="1"/>
      <c r="DEJ65" s="1"/>
      <c r="DEK65" s="1"/>
      <c r="DEL65" s="1"/>
      <c r="DEM65" s="1"/>
      <c r="DEN65" s="1"/>
      <c r="DEO65" s="1"/>
      <c r="DEP65" s="1"/>
      <c r="DEQ65" s="1"/>
      <c r="DER65" s="1"/>
      <c r="DES65" s="1"/>
      <c r="DET65" s="1"/>
      <c r="DEU65" s="1"/>
      <c r="DEV65" s="1"/>
      <c r="DEW65" s="1"/>
      <c r="DEX65" s="1"/>
      <c r="DEY65" s="1"/>
      <c r="DEZ65" s="1"/>
      <c r="DFA65" s="1"/>
      <c r="DFB65" s="1"/>
      <c r="DFC65" s="1"/>
      <c r="DFD65" s="1"/>
      <c r="DFE65" s="1"/>
      <c r="DFF65" s="1"/>
      <c r="DFG65" s="1"/>
      <c r="DFH65" s="1"/>
      <c r="DFI65" s="1"/>
      <c r="DFJ65" s="1"/>
      <c r="DFK65" s="1"/>
      <c r="DFL65" s="1"/>
      <c r="DFM65" s="1"/>
      <c r="DFN65" s="1"/>
      <c r="DFO65" s="1"/>
      <c r="DFP65" s="1"/>
      <c r="DFQ65" s="1"/>
      <c r="DFR65" s="1"/>
      <c r="DFS65" s="1"/>
      <c r="DFT65" s="1"/>
      <c r="DFU65" s="1"/>
      <c r="DFV65" s="1"/>
      <c r="DFW65" s="1"/>
      <c r="DFX65" s="1"/>
      <c r="DFY65" s="1"/>
      <c r="DFZ65" s="1"/>
      <c r="DGA65" s="1"/>
      <c r="DGB65" s="1"/>
      <c r="DGC65" s="1"/>
      <c r="DGD65" s="1"/>
      <c r="DGE65" s="1"/>
      <c r="DGF65" s="1"/>
      <c r="DGG65" s="1"/>
      <c r="DGH65" s="1"/>
      <c r="DGI65" s="1"/>
      <c r="DGJ65" s="1"/>
      <c r="DGK65" s="1"/>
      <c r="DGL65" s="1"/>
      <c r="DGM65" s="1"/>
      <c r="DGN65" s="1"/>
      <c r="DGO65" s="1"/>
      <c r="DGP65" s="1"/>
      <c r="DGQ65" s="1"/>
      <c r="DGR65" s="1"/>
      <c r="DGS65" s="1"/>
      <c r="DGT65" s="1"/>
      <c r="DGU65" s="1"/>
      <c r="DGV65" s="1"/>
      <c r="DGW65" s="1"/>
      <c r="DGX65" s="1"/>
      <c r="DGY65" s="1"/>
      <c r="DGZ65" s="1"/>
      <c r="DHA65" s="1"/>
      <c r="DHB65" s="1"/>
      <c r="DHC65" s="1"/>
      <c r="DHD65" s="1"/>
      <c r="DHE65" s="1"/>
      <c r="DHF65" s="1"/>
      <c r="DHG65" s="1"/>
      <c r="DHH65" s="1"/>
      <c r="DHI65" s="1"/>
      <c r="DHJ65" s="1"/>
      <c r="DHK65" s="1"/>
      <c r="DHL65" s="1"/>
      <c r="DHM65" s="1"/>
      <c r="DHN65" s="1"/>
      <c r="DHO65" s="1"/>
      <c r="DHP65" s="1"/>
      <c r="DHQ65" s="1"/>
      <c r="DHR65" s="1"/>
      <c r="DHS65" s="1"/>
      <c r="DHT65" s="1"/>
      <c r="DHU65" s="1"/>
      <c r="DHV65" s="1"/>
      <c r="DHW65" s="1"/>
      <c r="DHX65" s="1"/>
      <c r="DHY65" s="1"/>
      <c r="DHZ65" s="1"/>
      <c r="DIA65" s="1"/>
      <c r="DIB65" s="1"/>
      <c r="DIC65" s="1"/>
      <c r="DID65" s="1"/>
      <c r="DIE65" s="1"/>
      <c r="DIF65" s="1"/>
      <c r="DIG65" s="1"/>
      <c r="DIH65" s="1"/>
      <c r="DII65" s="1"/>
      <c r="DIJ65" s="1"/>
      <c r="DIK65" s="1"/>
      <c r="DIL65" s="1"/>
      <c r="DIM65" s="1"/>
      <c r="DIN65" s="1"/>
      <c r="DIO65" s="1"/>
      <c r="DIP65" s="1"/>
      <c r="DIQ65" s="1"/>
      <c r="DIR65" s="1"/>
      <c r="DIS65" s="1"/>
      <c r="DIT65" s="1"/>
      <c r="DIU65" s="1"/>
      <c r="DIV65" s="1"/>
      <c r="DIW65" s="1"/>
      <c r="DIX65" s="1"/>
      <c r="DIY65" s="1"/>
      <c r="DIZ65" s="1"/>
      <c r="DJA65" s="1"/>
      <c r="DJB65" s="1"/>
      <c r="DJC65" s="1"/>
      <c r="DJD65" s="1"/>
      <c r="DJE65" s="1"/>
      <c r="DJF65" s="1"/>
      <c r="DJG65" s="1"/>
      <c r="DJH65" s="1"/>
      <c r="DJI65" s="1"/>
      <c r="DJJ65" s="1"/>
      <c r="DJK65" s="1"/>
      <c r="DJL65" s="1"/>
      <c r="DJM65" s="1"/>
      <c r="DJN65" s="1"/>
      <c r="DJO65" s="1"/>
      <c r="DJP65" s="1"/>
      <c r="DJQ65" s="1"/>
      <c r="DJR65" s="1"/>
      <c r="DJS65" s="1"/>
      <c r="DJT65" s="1"/>
      <c r="DJU65" s="1"/>
      <c r="DJV65" s="1"/>
      <c r="DJW65" s="1"/>
      <c r="DJX65" s="1"/>
      <c r="DJY65" s="1"/>
      <c r="DJZ65" s="1"/>
      <c r="DKA65" s="1"/>
      <c r="DKB65" s="1"/>
      <c r="DKC65" s="1"/>
      <c r="DKD65" s="1"/>
      <c r="DKE65" s="1"/>
      <c r="DKF65" s="1"/>
      <c r="DKG65" s="1"/>
      <c r="DKH65" s="1"/>
      <c r="DKI65" s="1"/>
      <c r="DKJ65" s="1"/>
      <c r="DKK65" s="1"/>
      <c r="DKL65" s="1"/>
      <c r="DKM65" s="1"/>
      <c r="DKN65" s="1"/>
      <c r="DKO65" s="1"/>
      <c r="DKP65" s="1"/>
      <c r="DKQ65" s="1"/>
      <c r="DKR65" s="1"/>
      <c r="DKS65" s="1"/>
      <c r="DKT65" s="1"/>
      <c r="DKU65" s="1"/>
      <c r="DKV65" s="1"/>
      <c r="DKW65" s="1"/>
      <c r="DKX65" s="1"/>
      <c r="DKY65" s="1"/>
      <c r="DKZ65" s="1"/>
      <c r="DLA65" s="1"/>
      <c r="DLB65" s="1"/>
      <c r="DLC65" s="1"/>
      <c r="DLD65" s="1"/>
      <c r="DLE65" s="1"/>
      <c r="DLF65" s="1"/>
      <c r="DLG65" s="1"/>
      <c r="DLH65" s="1"/>
      <c r="DLI65" s="1"/>
      <c r="DLJ65" s="1"/>
      <c r="DLK65" s="1"/>
      <c r="DLL65" s="1"/>
      <c r="DLM65" s="1"/>
      <c r="DLN65" s="1"/>
      <c r="DLO65" s="1"/>
      <c r="DLP65" s="1"/>
      <c r="DLQ65" s="1"/>
      <c r="DLR65" s="1"/>
      <c r="DLS65" s="1"/>
      <c r="DLT65" s="1"/>
      <c r="DLU65" s="1"/>
      <c r="DLV65" s="1"/>
      <c r="DLW65" s="1"/>
      <c r="DLX65" s="1"/>
      <c r="DLY65" s="1"/>
      <c r="DLZ65" s="1"/>
      <c r="DMA65" s="1"/>
      <c r="DMB65" s="1"/>
      <c r="DMC65" s="1"/>
      <c r="DMD65" s="1"/>
      <c r="DME65" s="1"/>
      <c r="DMF65" s="1"/>
      <c r="DMG65" s="1"/>
      <c r="DMH65" s="1"/>
      <c r="DMI65" s="1"/>
      <c r="DMJ65" s="1"/>
      <c r="DMK65" s="1"/>
      <c r="DML65" s="1"/>
      <c r="DMM65" s="1"/>
      <c r="DMN65" s="1"/>
      <c r="DMO65" s="1"/>
      <c r="DMP65" s="1"/>
      <c r="DMQ65" s="1"/>
      <c r="DMR65" s="1"/>
      <c r="DMS65" s="1"/>
      <c r="DMT65" s="1"/>
      <c r="DMU65" s="1"/>
      <c r="DMV65" s="1"/>
      <c r="DMW65" s="1"/>
      <c r="DMX65" s="1"/>
      <c r="DMY65" s="1"/>
      <c r="DMZ65" s="1"/>
      <c r="DNA65" s="1"/>
      <c r="DNB65" s="1"/>
      <c r="DNC65" s="1"/>
      <c r="DND65" s="1"/>
      <c r="DNE65" s="1"/>
      <c r="DNF65" s="1"/>
      <c r="DNG65" s="1"/>
      <c r="DNH65" s="1"/>
      <c r="DNI65" s="1"/>
      <c r="DNJ65" s="1"/>
      <c r="DNK65" s="1"/>
      <c r="DNL65" s="1"/>
      <c r="DNM65" s="1"/>
      <c r="DNN65" s="1"/>
      <c r="DNO65" s="1"/>
      <c r="DNP65" s="1"/>
      <c r="DNQ65" s="1"/>
      <c r="DNR65" s="1"/>
      <c r="DNS65" s="1"/>
      <c r="DNT65" s="1"/>
      <c r="DNU65" s="1"/>
      <c r="DNV65" s="1"/>
      <c r="DNW65" s="1"/>
      <c r="DNX65" s="1"/>
      <c r="DNY65" s="1"/>
      <c r="DNZ65" s="1"/>
      <c r="DOA65" s="1"/>
      <c r="DOB65" s="1"/>
      <c r="DOC65" s="1"/>
      <c r="DOD65" s="1"/>
      <c r="DOE65" s="1"/>
      <c r="DOF65" s="1"/>
      <c r="DOG65" s="1"/>
      <c r="DOH65" s="1"/>
      <c r="DOI65" s="1"/>
      <c r="DOJ65" s="1"/>
      <c r="DOK65" s="1"/>
      <c r="DOL65" s="1"/>
      <c r="DOM65" s="1"/>
      <c r="DON65" s="1"/>
      <c r="DOO65" s="1"/>
      <c r="DOP65" s="1"/>
      <c r="DOQ65" s="1"/>
      <c r="DOR65" s="1"/>
      <c r="DOS65" s="1"/>
      <c r="DOT65" s="1"/>
      <c r="DOU65" s="1"/>
      <c r="DOV65" s="1"/>
      <c r="DOW65" s="1"/>
      <c r="DOX65" s="1"/>
      <c r="DOY65" s="1"/>
      <c r="DOZ65" s="1"/>
      <c r="DPA65" s="1"/>
      <c r="DPB65" s="1"/>
      <c r="DPC65" s="1"/>
      <c r="DPD65" s="1"/>
      <c r="DPE65" s="1"/>
      <c r="DPF65" s="1"/>
      <c r="DPG65" s="1"/>
      <c r="DPH65" s="1"/>
      <c r="DPI65" s="1"/>
      <c r="DPJ65" s="1"/>
      <c r="DPK65" s="1"/>
      <c r="DPL65" s="1"/>
      <c r="DPM65" s="1"/>
      <c r="DPN65" s="1"/>
      <c r="DPO65" s="1"/>
      <c r="DPP65" s="1"/>
      <c r="DPQ65" s="1"/>
      <c r="DPR65" s="1"/>
      <c r="DPS65" s="1"/>
      <c r="DPT65" s="1"/>
      <c r="DPU65" s="1"/>
      <c r="DPV65" s="1"/>
      <c r="DPW65" s="1"/>
      <c r="DPX65" s="1"/>
      <c r="DPY65" s="1"/>
      <c r="DPZ65" s="1"/>
      <c r="DQA65" s="1"/>
      <c r="DQB65" s="1"/>
      <c r="DQC65" s="1"/>
      <c r="DQD65" s="1"/>
      <c r="DQE65" s="1"/>
      <c r="DQF65" s="1"/>
      <c r="DQG65" s="1"/>
      <c r="DQH65" s="1"/>
      <c r="DQI65" s="1"/>
      <c r="DQJ65" s="1"/>
      <c r="DQK65" s="1"/>
      <c r="DQL65" s="1"/>
      <c r="DQM65" s="1"/>
      <c r="DQN65" s="1"/>
      <c r="DQO65" s="1"/>
      <c r="DQP65" s="1"/>
      <c r="DQQ65" s="1"/>
      <c r="DQR65" s="1"/>
      <c r="DQS65" s="1"/>
      <c r="DQT65" s="1"/>
      <c r="DQU65" s="1"/>
      <c r="DQV65" s="1"/>
      <c r="DQW65" s="1"/>
      <c r="DQX65" s="1"/>
      <c r="DQY65" s="1"/>
      <c r="DQZ65" s="1"/>
      <c r="DRA65" s="1"/>
      <c r="DRB65" s="1"/>
      <c r="DRC65" s="1"/>
      <c r="DRD65" s="1"/>
      <c r="DRE65" s="1"/>
      <c r="DRF65" s="1"/>
      <c r="DRG65" s="1"/>
      <c r="DRH65" s="1"/>
      <c r="DRI65" s="1"/>
      <c r="DRJ65" s="1"/>
      <c r="DRK65" s="1"/>
      <c r="DRL65" s="1"/>
      <c r="DRM65" s="1"/>
      <c r="DRN65" s="1"/>
      <c r="DRO65" s="1"/>
      <c r="DRP65" s="1"/>
      <c r="DRQ65" s="1"/>
      <c r="DRR65" s="1"/>
      <c r="DRS65" s="1"/>
      <c r="DRT65" s="1"/>
      <c r="DRU65" s="1"/>
      <c r="DRV65" s="1"/>
      <c r="DRW65" s="1"/>
      <c r="DRX65" s="1"/>
      <c r="DRY65" s="1"/>
      <c r="DRZ65" s="1"/>
      <c r="DSA65" s="1"/>
      <c r="DSB65" s="1"/>
      <c r="DSC65" s="1"/>
      <c r="DSD65" s="1"/>
      <c r="DSE65" s="1"/>
      <c r="DSF65" s="1"/>
      <c r="DSG65" s="1"/>
      <c r="DSH65" s="1"/>
      <c r="DSI65" s="1"/>
      <c r="DSJ65" s="1"/>
      <c r="DSK65" s="1"/>
      <c r="DSL65" s="1"/>
      <c r="DSM65" s="1"/>
      <c r="DSN65" s="1"/>
      <c r="DSO65" s="1"/>
      <c r="DSP65" s="1"/>
      <c r="DSQ65" s="1"/>
      <c r="DSR65" s="1"/>
      <c r="DSS65" s="1"/>
      <c r="DST65" s="1"/>
      <c r="DSU65" s="1"/>
      <c r="DSV65" s="1"/>
      <c r="DSW65" s="1"/>
      <c r="DSX65" s="1"/>
      <c r="DSY65" s="1"/>
      <c r="DSZ65" s="1"/>
      <c r="DTA65" s="1"/>
      <c r="DTB65" s="1"/>
      <c r="DTC65" s="1"/>
      <c r="DTD65" s="1"/>
      <c r="DTE65" s="1"/>
      <c r="DTF65" s="1"/>
      <c r="DTG65" s="1"/>
      <c r="DTH65" s="1"/>
      <c r="DTI65" s="1"/>
      <c r="DTJ65" s="1"/>
      <c r="DTK65" s="1"/>
      <c r="DTL65" s="1"/>
      <c r="DTM65" s="1"/>
      <c r="DTN65" s="1"/>
      <c r="DTO65" s="1"/>
      <c r="DTP65" s="1"/>
      <c r="DTQ65" s="1"/>
      <c r="DTR65" s="1"/>
      <c r="DTS65" s="1"/>
      <c r="DTT65" s="1"/>
      <c r="DTU65" s="1"/>
      <c r="DTV65" s="1"/>
      <c r="DTW65" s="1"/>
      <c r="DTX65" s="1"/>
      <c r="DTY65" s="1"/>
      <c r="DTZ65" s="1"/>
      <c r="DUA65" s="1"/>
      <c r="DUB65" s="1"/>
      <c r="DUC65" s="1"/>
      <c r="DUD65" s="1"/>
      <c r="DUE65" s="1"/>
      <c r="DUF65" s="1"/>
      <c r="DUG65" s="1"/>
      <c r="DUH65" s="1"/>
      <c r="DUI65" s="1"/>
      <c r="DUJ65" s="1"/>
      <c r="DUK65" s="1"/>
      <c r="DUL65" s="1"/>
      <c r="DUM65" s="1"/>
      <c r="DUN65" s="1"/>
      <c r="DUO65" s="1"/>
      <c r="DUP65" s="1"/>
      <c r="DUQ65" s="1"/>
      <c r="DUR65" s="1"/>
      <c r="DUS65" s="1"/>
      <c r="DUT65" s="1"/>
      <c r="DUU65" s="1"/>
      <c r="DUV65" s="1"/>
      <c r="DUW65" s="1"/>
      <c r="DUX65" s="1"/>
      <c r="DUY65" s="1"/>
      <c r="DUZ65" s="1"/>
      <c r="DVA65" s="1"/>
      <c r="DVB65" s="1"/>
      <c r="DVC65" s="1"/>
      <c r="DVD65" s="1"/>
      <c r="DVE65" s="1"/>
      <c r="DVF65" s="1"/>
      <c r="DVG65" s="1"/>
      <c r="DVH65" s="1"/>
      <c r="DVI65" s="1"/>
      <c r="DVJ65" s="1"/>
      <c r="DVK65" s="1"/>
      <c r="DVL65" s="1"/>
      <c r="DVM65" s="1"/>
      <c r="DVN65" s="1"/>
      <c r="DVO65" s="1"/>
      <c r="DVP65" s="1"/>
      <c r="DVQ65" s="1"/>
      <c r="DVR65" s="1"/>
      <c r="DVS65" s="1"/>
      <c r="DVT65" s="1"/>
      <c r="DVU65" s="1"/>
      <c r="DVV65" s="1"/>
      <c r="DVW65" s="1"/>
      <c r="DVX65" s="1"/>
      <c r="DVY65" s="1"/>
      <c r="DVZ65" s="1"/>
      <c r="DWA65" s="1"/>
      <c r="DWB65" s="1"/>
      <c r="DWC65" s="1"/>
      <c r="DWD65" s="1"/>
      <c r="DWE65" s="1"/>
      <c r="DWF65" s="1"/>
      <c r="DWG65" s="1"/>
      <c r="DWH65" s="1"/>
      <c r="DWI65" s="1"/>
      <c r="DWJ65" s="1"/>
      <c r="DWK65" s="1"/>
      <c r="DWL65" s="1"/>
      <c r="DWM65" s="1"/>
      <c r="DWN65" s="1"/>
      <c r="DWO65" s="1"/>
      <c r="DWP65" s="1"/>
      <c r="DWQ65" s="1"/>
      <c r="DWR65" s="1"/>
      <c r="DWS65" s="1"/>
      <c r="DWT65" s="1"/>
      <c r="DWU65" s="1"/>
      <c r="DWV65" s="1"/>
      <c r="DWW65" s="1"/>
      <c r="DWX65" s="1"/>
      <c r="DWY65" s="1"/>
      <c r="DWZ65" s="1"/>
      <c r="DXA65" s="1"/>
      <c r="DXB65" s="1"/>
      <c r="DXC65" s="1"/>
      <c r="DXD65" s="1"/>
      <c r="DXE65" s="1"/>
      <c r="DXF65" s="1"/>
      <c r="DXG65" s="1"/>
      <c r="DXH65" s="1"/>
      <c r="DXI65" s="1"/>
      <c r="DXJ65" s="1"/>
      <c r="DXK65" s="1"/>
      <c r="DXL65" s="1"/>
      <c r="DXM65" s="1"/>
      <c r="DXN65" s="1"/>
      <c r="DXO65" s="1"/>
      <c r="DXP65" s="1"/>
      <c r="DXQ65" s="1"/>
      <c r="DXR65" s="1"/>
      <c r="DXS65" s="1"/>
      <c r="DXT65" s="1"/>
      <c r="DXU65" s="1"/>
      <c r="DXV65" s="1"/>
      <c r="DXW65" s="1"/>
      <c r="DXX65" s="1"/>
      <c r="DXY65" s="1"/>
      <c r="DXZ65" s="1"/>
      <c r="DYA65" s="1"/>
      <c r="DYB65" s="1"/>
      <c r="DYC65" s="1"/>
      <c r="DYD65" s="1"/>
      <c r="DYE65" s="1"/>
      <c r="DYF65" s="1"/>
      <c r="DYG65" s="1"/>
      <c r="DYH65" s="1"/>
      <c r="DYI65" s="1"/>
      <c r="DYJ65" s="1"/>
      <c r="DYK65" s="1"/>
      <c r="DYL65" s="1"/>
      <c r="DYM65" s="1"/>
      <c r="DYN65" s="1"/>
      <c r="DYO65" s="1"/>
      <c r="DYP65" s="1"/>
      <c r="DYQ65" s="1"/>
      <c r="DYR65" s="1"/>
      <c r="DYS65" s="1"/>
      <c r="DYT65" s="1"/>
      <c r="DYU65" s="1"/>
      <c r="DYV65" s="1"/>
      <c r="DYW65" s="1"/>
      <c r="DYX65" s="1"/>
      <c r="DYY65" s="1"/>
      <c r="DYZ65" s="1"/>
      <c r="DZA65" s="1"/>
      <c r="DZB65" s="1"/>
      <c r="DZC65" s="1"/>
      <c r="DZD65" s="1"/>
      <c r="DZE65" s="1"/>
      <c r="DZF65" s="1"/>
      <c r="DZG65" s="1"/>
      <c r="DZH65" s="1"/>
      <c r="DZI65" s="1"/>
      <c r="DZJ65" s="1"/>
      <c r="DZK65" s="1"/>
      <c r="DZL65" s="1"/>
      <c r="DZM65" s="1"/>
      <c r="DZN65" s="1"/>
      <c r="DZO65" s="1"/>
      <c r="DZP65" s="1"/>
      <c r="DZQ65" s="1"/>
      <c r="DZR65" s="1"/>
      <c r="DZS65" s="1"/>
      <c r="DZT65" s="1"/>
      <c r="DZU65" s="1"/>
      <c r="DZV65" s="1"/>
      <c r="DZW65" s="1"/>
      <c r="DZX65" s="1"/>
      <c r="DZY65" s="1"/>
      <c r="DZZ65" s="1"/>
      <c r="EAA65" s="1"/>
      <c r="EAB65" s="1"/>
      <c r="EAC65" s="1"/>
      <c r="EAD65" s="1"/>
      <c r="EAE65" s="1"/>
      <c r="EAF65" s="1"/>
      <c r="EAG65" s="1"/>
      <c r="EAH65" s="1"/>
      <c r="EAI65" s="1"/>
      <c r="EAJ65" s="1"/>
      <c r="EAK65" s="1"/>
      <c r="EAL65" s="1"/>
      <c r="EAM65" s="1"/>
      <c r="EAN65" s="1"/>
      <c r="EAO65" s="1"/>
      <c r="EAP65" s="1"/>
      <c r="EAQ65" s="1"/>
      <c r="EAR65" s="1"/>
      <c r="EAS65" s="1"/>
      <c r="EAT65" s="1"/>
      <c r="EAU65" s="1"/>
      <c r="EAV65" s="1"/>
      <c r="EAW65" s="1"/>
      <c r="EAX65" s="1"/>
      <c r="EAY65" s="1"/>
      <c r="EAZ65" s="1"/>
      <c r="EBA65" s="1"/>
      <c r="EBB65" s="1"/>
      <c r="EBC65" s="1"/>
      <c r="EBD65" s="1"/>
      <c r="EBE65" s="1"/>
      <c r="EBF65" s="1"/>
      <c r="EBG65" s="1"/>
      <c r="EBH65" s="1"/>
      <c r="EBI65" s="1"/>
      <c r="EBJ65" s="1"/>
      <c r="EBK65" s="1"/>
      <c r="EBL65" s="1"/>
      <c r="EBM65" s="1"/>
      <c r="EBN65" s="1"/>
      <c r="EBO65" s="1"/>
      <c r="EBP65" s="1"/>
      <c r="EBQ65" s="1"/>
      <c r="EBR65" s="1"/>
      <c r="EBS65" s="1"/>
      <c r="EBT65" s="1"/>
      <c r="EBU65" s="1"/>
      <c r="EBV65" s="1"/>
      <c r="EBW65" s="1"/>
      <c r="EBX65" s="1"/>
      <c r="EBY65" s="1"/>
      <c r="EBZ65" s="1"/>
      <c r="ECA65" s="1"/>
      <c r="ECB65" s="1"/>
      <c r="ECC65" s="1"/>
      <c r="ECD65" s="1"/>
      <c r="ECE65" s="1"/>
      <c r="ECF65" s="1"/>
      <c r="ECG65" s="1"/>
      <c r="ECH65" s="1"/>
      <c r="ECI65" s="1"/>
      <c r="ECJ65" s="1"/>
      <c r="ECK65" s="1"/>
      <c r="ECL65" s="1"/>
      <c r="ECM65" s="1"/>
      <c r="ECN65" s="1"/>
      <c r="ECO65" s="1"/>
      <c r="ECP65" s="1"/>
      <c r="ECQ65" s="1"/>
      <c r="ECR65" s="1"/>
      <c r="ECS65" s="1"/>
      <c r="ECT65" s="1"/>
      <c r="ECU65" s="1"/>
      <c r="ECV65" s="1"/>
      <c r="ECW65" s="1"/>
      <c r="ECX65" s="1"/>
      <c r="ECY65" s="1"/>
      <c r="ECZ65" s="1"/>
      <c r="EDA65" s="1"/>
      <c r="EDB65" s="1"/>
      <c r="EDC65" s="1"/>
      <c r="EDD65" s="1"/>
      <c r="EDE65" s="1"/>
      <c r="EDF65" s="1"/>
      <c r="EDG65" s="1"/>
      <c r="EDH65" s="1"/>
      <c r="EDI65" s="1"/>
      <c r="EDJ65" s="1"/>
      <c r="EDK65" s="1"/>
      <c r="EDL65" s="1"/>
      <c r="EDM65" s="1"/>
      <c r="EDN65" s="1"/>
      <c r="EDO65" s="1"/>
      <c r="EDP65" s="1"/>
      <c r="EDQ65" s="1"/>
      <c r="EDR65" s="1"/>
      <c r="EDS65" s="1"/>
      <c r="EDT65" s="1"/>
      <c r="EDU65" s="1"/>
      <c r="EDV65" s="1"/>
      <c r="EDW65" s="1"/>
      <c r="EDX65" s="1"/>
      <c r="EDY65" s="1"/>
      <c r="EDZ65" s="1"/>
      <c r="EEA65" s="1"/>
      <c r="EEB65" s="1"/>
      <c r="EEC65" s="1"/>
      <c r="EED65" s="1"/>
      <c r="EEE65" s="1"/>
      <c r="EEF65" s="1"/>
      <c r="EEG65" s="1"/>
      <c r="EEH65" s="1"/>
      <c r="EEI65" s="1"/>
      <c r="EEJ65" s="1"/>
      <c r="EEK65" s="1"/>
      <c r="EEL65" s="1"/>
      <c r="EEM65" s="1"/>
      <c r="EEN65" s="1"/>
      <c r="EEO65" s="1"/>
      <c r="EEP65" s="1"/>
      <c r="EEQ65" s="1"/>
      <c r="EER65" s="1"/>
      <c r="EES65" s="1"/>
      <c r="EET65" s="1"/>
      <c r="EEU65" s="1"/>
      <c r="EEV65" s="1"/>
      <c r="EEW65" s="1"/>
      <c r="EEX65" s="1"/>
      <c r="EEY65" s="1"/>
      <c r="EEZ65" s="1"/>
      <c r="EFA65" s="1"/>
      <c r="EFB65" s="1"/>
      <c r="EFC65" s="1"/>
      <c r="EFD65" s="1"/>
      <c r="EFE65" s="1"/>
      <c r="EFF65" s="1"/>
      <c r="EFG65" s="1"/>
      <c r="EFH65" s="1"/>
      <c r="EFI65" s="1"/>
      <c r="EFJ65" s="1"/>
      <c r="EFK65" s="1"/>
      <c r="EFL65" s="1"/>
      <c r="EFM65" s="1"/>
      <c r="EFN65" s="1"/>
      <c r="EFO65" s="1"/>
      <c r="EFP65" s="1"/>
      <c r="EFQ65" s="1"/>
      <c r="EFR65" s="1"/>
      <c r="EFS65" s="1"/>
      <c r="EFT65" s="1"/>
      <c r="EFU65" s="1"/>
      <c r="EFV65" s="1"/>
      <c r="EFW65" s="1"/>
      <c r="EFX65" s="1"/>
      <c r="EFY65" s="1"/>
      <c r="EFZ65" s="1"/>
      <c r="EGA65" s="1"/>
      <c r="EGB65" s="1"/>
      <c r="EGC65" s="1"/>
      <c r="EGD65" s="1"/>
      <c r="EGE65" s="1"/>
      <c r="EGF65" s="1"/>
      <c r="EGG65" s="1"/>
      <c r="EGH65" s="1"/>
      <c r="EGI65" s="1"/>
      <c r="EGJ65" s="1"/>
      <c r="EGK65" s="1"/>
      <c r="EGL65" s="1"/>
      <c r="EGM65" s="1"/>
      <c r="EGN65" s="1"/>
      <c r="EGO65" s="1"/>
      <c r="EGP65" s="1"/>
      <c r="EGQ65" s="1"/>
      <c r="EGR65" s="1"/>
      <c r="EGS65" s="1"/>
      <c r="EGT65" s="1"/>
      <c r="EGU65" s="1"/>
      <c r="EGV65" s="1"/>
      <c r="EGW65" s="1"/>
      <c r="EGX65" s="1"/>
      <c r="EGY65" s="1"/>
      <c r="EGZ65" s="1"/>
      <c r="EHA65" s="1"/>
      <c r="EHB65" s="1"/>
      <c r="EHC65" s="1"/>
      <c r="EHD65" s="1"/>
      <c r="EHE65" s="1"/>
      <c r="EHF65" s="1"/>
      <c r="EHG65" s="1"/>
      <c r="EHH65" s="1"/>
      <c r="EHI65" s="1"/>
      <c r="EHJ65" s="1"/>
      <c r="EHK65" s="1"/>
      <c r="EHL65" s="1"/>
      <c r="EHM65" s="1"/>
      <c r="EHN65" s="1"/>
      <c r="EHO65" s="1"/>
      <c r="EHP65" s="1"/>
      <c r="EHQ65" s="1"/>
      <c r="EHR65" s="1"/>
      <c r="EHS65" s="1"/>
      <c r="EHT65" s="1"/>
      <c r="EHU65" s="1"/>
      <c r="EHV65" s="1"/>
      <c r="EHW65" s="1"/>
      <c r="EHX65" s="1"/>
      <c r="EHY65" s="1"/>
      <c r="EHZ65" s="1"/>
      <c r="EIA65" s="1"/>
      <c r="EIB65" s="1"/>
      <c r="EIC65" s="1"/>
      <c r="EID65" s="1"/>
      <c r="EIE65" s="1"/>
      <c r="EIF65" s="1"/>
      <c r="EIG65" s="1"/>
      <c r="EIH65" s="1"/>
      <c r="EII65" s="1"/>
      <c r="EIJ65" s="1"/>
      <c r="EIK65" s="1"/>
      <c r="EIL65" s="1"/>
      <c r="EIM65" s="1"/>
      <c r="EIN65" s="1"/>
      <c r="EIO65" s="1"/>
      <c r="EIP65" s="1"/>
      <c r="EIQ65" s="1"/>
      <c r="EIR65" s="1"/>
      <c r="EIS65" s="1"/>
      <c r="EIT65" s="1"/>
      <c r="EIU65" s="1"/>
      <c r="EIV65" s="1"/>
      <c r="EIW65" s="1"/>
      <c r="EIX65" s="1"/>
      <c r="EIY65" s="1"/>
      <c r="EIZ65" s="1"/>
      <c r="EJA65" s="1"/>
      <c r="EJB65" s="1"/>
      <c r="EJC65" s="1"/>
      <c r="EJD65" s="1"/>
      <c r="EJE65" s="1"/>
      <c r="EJF65" s="1"/>
      <c r="EJG65" s="1"/>
      <c r="EJH65" s="1"/>
      <c r="EJI65" s="1"/>
      <c r="EJJ65" s="1"/>
      <c r="EJK65" s="1"/>
      <c r="EJL65" s="1"/>
      <c r="EJM65" s="1"/>
      <c r="EJN65" s="1"/>
      <c r="EJO65" s="1"/>
      <c r="EJP65" s="1"/>
      <c r="EJQ65" s="1"/>
      <c r="EJR65" s="1"/>
      <c r="EJS65" s="1"/>
      <c r="EJT65" s="1"/>
      <c r="EJU65" s="1"/>
      <c r="EJV65" s="1"/>
      <c r="EJW65" s="1"/>
      <c r="EJX65" s="1"/>
      <c r="EJY65" s="1"/>
      <c r="EJZ65" s="1"/>
      <c r="EKA65" s="1"/>
      <c r="EKB65" s="1"/>
      <c r="EKC65" s="1"/>
      <c r="EKD65" s="1"/>
      <c r="EKE65" s="1"/>
      <c r="EKF65" s="1"/>
      <c r="EKG65" s="1"/>
      <c r="EKH65" s="1"/>
      <c r="EKI65" s="1"/>
      <c r="EKJ65" s="1"/>
      <c r="EKK65" s="1"/>
      <c r="EKL65" s="1"/>
      <c r="EKM65" s="1"/>
      <c r="EKN65" s="1"/>
      <c r="EKO65" s="1"/>
      <c r="EKP65" s="1"/>
      <c r="EKQ65" s="1"/>
      <c r="EKR65" s="1"/>
      <c r="EKS65" s="1"/>
      <c r="EKT65" s="1"/>
      <c r="EKU65" s="1"/>
      <c r="EKV65" s="1"/>
      <c r="EKW65" s="1"/>
      <c r="EKX65" s="1"/>
      <c r="EKY65" s="1"/>
      <c r="EKZ65" s="1"/>
      <c r="ELA65" s="1"/>
      <c r="ELB65" s="1"/>
      <c r="ELC65" s="1"/>
      <c r="ELD65" s="1"/>
      <c r="ELE65" s="1"/>
      <c r="ELF65" s="1"/>
      <c r="ELG65" s="1"/>
      <c r="ELH65" s="1"/>
      <c r="ELI65" s="1"/>
      <c r="ELJ65" s="1"/>
      <c r="ELK65" s="1"/>
      <c r="ELL65" s="1"/>
      <c r="ELM65" s="1"/>
      <c r="ELN65" s="1"/>
      <c r="ELO65" s="1"/>
      <c r="ELP65" s="1"/>
      <c r="ELQ65" s="1"/>
      <c r="ELR65" s="1"/>
      <c r="ELS65" s="1"/>
      <c r="ELT65" s="1"/>
      <c r="ELU65" s="1"/>
      <c r="ELV65" s="1"/>
      <c r="ELW65" s="1"/>
      <c r="ELX65" s="1"/>
      <c r="ELY65" s="1"/>
      <c r="ELZ65" s="1"/>
      <c r="EMA65" s="1"/>
      <c r="EMB65" s="1"/>
      <c r="EMC65" s="1"/>
      <c r="EMD65" s="1"/>
      <c r="EME65" s="1"/>
      <c r="EMF65" s="1"/>
      <c r="EMG65" s="1"/>
      <c r="EMH65" s="1"/>
      <c r="EMI65" s="1"/>
      <c r="EMJ65" s="1"/>
      <c r="EMK65" s="1"/>
      <c r="EML65" s="1"/>
      <c r="EMM65" s="1"/>
      <c r="EMN65" s="1"/>
      <c r="EMO65" s="1"/>
      <c r="EMP65" s="1"/>
      <c r="EMQ65" s="1"/>
      <c r="EMR65" s="1"/>
      <c r="EMS65" s="1"/>
      <c r="EMT65" s="1"/>
      <c r="EMU65" s="1"/>
      <c r="EMV65" s="1"/>
      <c r="EMW65" s="1"/>
      <c r="EMX65" s="1"/>
      <c r="EMY65" s="1"/>
      <c r="EMZ65" s="1"/>
      <c r="ENA65" s="1"/>
      <c r="ENB65" s="1"/>
      <c r="ENC65" s="1"/>
      <c r="END65" s="1"/>
      <c r="ENE65" s="1"/>
      <c r="ENF65" s="1"/>
      <c r="ENG65" s="1"/>
      <c r="ENH65" s="1"/>
      <c r="ENI65" s="1"/>
      <c r="ENJ65" s="1"/>
      <c r="ENK65" s="1"/>
      <c r="ENL65" s="1"/>
      <c r="ENM65" s="1"/>
      <c r="ENN65" s="1"/>
      <c r="ENO65" s="1"/>
      <c r="ENP65" s="1"/>
      <c r="ENQ65" s="1"/>
      <c r="ENR65" s="1"/>
      <c r="ENS65" s="1"/>
      <c r="ENT65" s="1"/>
      <c r="ENU65" s="1"/>
      <c r="ENV65" s="1"/>
      <c r="ENW65" s="1"/>
      <c r="ENX65" s="1"/>
      <c r="ENY65" s="1"/>
      <c r="ENZ65" s="1"/>
      <c r="EOA65" s="1"/>
      <c r="EOB65" s="1"/>
      <c r="EOC65" s="1"/>
      <c r="EOD65" s="1"/>
      <c r="EOE65" s="1"/>
      <c r="EOF65" s="1"/>
      <c r="EOG65" s="1"/>
      <c r="EOH65" s="1"/>
      <c r="EOI65" s="1"/>
      <c r="EOJ65" s="1"/>
      <c r="EOK65" s="1"/>
      <c r="EOL65" s="1"/>
      <c r="EOM65" s="1"/>
      <c r="EON65" s="1"/>
      <c r="EOO65" s="1"/>
      <c r="EOP65" s="1"/>
      <c r="EOQ65" s="1"/>
      <c r="EOR65" s="1"/>
      <c r="EOS65" s="1"/>
      <c r="EOT65" s="1"/>
      <c r="EOU65" s="1"/>
      <c r="EOV65" s="1"/>
      <c r="EOW65" s="1"/>
      <c r="EOX65" s="1"/>
      <c r="EOY65" s="1"/>
      <c r="EOZ65" s="1"/>
      <c r="EPA65" s="1"/>
      <c r="EPB65" s="1"/>
      <c r="EPC65" s="1"/>
      <c r="EPD65" s="1"/>
      <c r="EPE65" s="1"/>
      <c r="EPF65" s="1"/>
      <c r="EPG65" s="1"/>
      <c r="EPH65" s="1"/>
      <c r="EPI65" s="1"/>
      <c r="EPJ65" s="1"/>
      <c r="EPK65" s="1"/>
      <c r="EPL65" s="1"/>
      <c r="EPM65" s="1"/>
      <c r="EPN65" s="1"/>
      <c r="EPO65" s="1"/>
      <c r="EPP65" s="1"/>
      <c r="EPQ65" s="1"/>
      <c r="EPR65" s="1"/>
      <c r="EPS65" s="1"/>
      <c r="EPT65" s="1"/>
      <c r="EPU65" s="1"/>
      <c r="EPV65" s="1"/>
      <c r="EPW65" s="1"/>
      <c r="EPX65" s="1"/>
      <c r="EPY65" s="1"/>
      <c r="EPZ65" s="1"/>
      <c r="EQA65" s="1"/>
      <c r="EQB65" s="1"/>
      <c r="EQC65" s="1"/>
      <c r="EQD65" s="1"/>
      <c r="EQE65" s="1"/>
      <c r="EQF65" s="1"/>
      <c r="EQG65" s="1"/>
      <c r="EQH65" s="1"/>
      <c r="EQI65" s="1"/>
      <c r="EQJ65" s="1"/>
      <c r="EQK65" s="1"/>
      <c r="EQL65" s="1"/>
      <c r="EQM65" s="1"/>
      <c r="EQN65" s="1"/>
      <c r="EQO65" s="1"/>
      <c r="EQP65" s="1"/>
      <c r="EQQ65" s="1"/>
      <c r="EQR65" s="1"/>
      <c r="EQS65" s="1"/>
      <c r="EQT65" s="1"/>
      <c r="EQU65" s="1"/>
      <c r="EQV65" s="1"/>
      <c r="EQW65" s="1"/>
      <c r="EQX65" s="1"/>
      <c r="EQY65" s="1"/>
      <c r="EQZ65" s="1"/>
      <c r="ERA65" s="1"/>
      <c r="ERB65" s="1"/>
      <c r="ERC65" s="1"/>
      <c r="ERD65" s="1"/>
      <c r="ERE65" s="1"/>
      <c r="ERF65" s="1"/>
      <c r="ERG65" s="1"/>
      <c r="ERH65" s="1"/>
      <c r="ERI65" s="1"/>
      <c r="ERJ65" s="1"/>
      <c r="ERK65" s="1"/>
      <c r="ERL65" s="1"/>
      <c r="ERM65" s="1"/>
      <c r="ERN65" s="1"/>
      <c r="ERO65" s="1"/>
      <c r="ERP65" s="1"/>
      <c r="ERQ65" s="1"/>
      <c r="ERR65" s="1"/>
      <c r="ERS65" s="1"/>
      <c r="ERT65" s="1"/>
      <c r="ERU65" s="1"/>
      <c r="ERV65" s="1"/>
      <c r="ERW65" s="1"/>
      <c r="ERX65" s="1"/>
      <c r="ERY65" s="1"/>
      <c r="ERZ65" s="1"/>
      <c r="ESA65" s="1"/>
      <c r="ESB65" s="1"/>
      <c r="ESC65" s="1"/>
      <c r="ESD65" s="1"/>
      <c r="ESE65" s="1"/>
      <c r="ESF65" s="1"/>
      <c r="ESG65" s="1"/>
      <c r="ESH65" s="1"/>
      <c r="ESI65" s="1"/>
      <c r="ESJ65" s="1"/>
      <c r="ESK65" s="1"/>
      <c r="ESL65" s="1"/>
      <c r="ESM65" s="1"/>
      <c r="ESN65" s="1"/>
      <c r="ESO65" s="1"/>
      <c r="ESP65" s="1"/>
      <c r="ESQ65" s="1"/>
      <c r="ESR65" s="1"/>
      <c r="ESS65" s="1"/>
      <c r="EST65" s="1"/>
      <c r="ESU65" s="1"/>
      <c r="ESV65" s="1"/>
      <c r="ESW65" s="1"/>
      <c r="ESX65" s="1"/>
      <c r="ESY65" s="1"/>
      <c r="ESZ65" s="1"/>
      <c r="ETA65" s="1"/>
      <c r="ETB65" s="1"/>
      <c r="ETC65" s="1"/>
      <c r="ETD65" s="1"/>
      <c r="ETE65" s="1"/>
      <c r="ETF65" s="1"/>
      <c r="ETG65" s="1"/>
      <c r="ETH65" s="1"/>
      <c r="ETI65" s="1"/>
      <c r="ETJ65" s="1"/>
      <c r="ETK65" s="1"/>
      <c r="ETL65" s="1"/>
      <c r="ETM65" s="1"/>
      <c r="ETN65" s="1"/>
      <c r="ETO65" s="1"/>
      <c r="ETP65" s="1"/>
      <c r="ETQ65" s="1"/>
      <c r="ETR65" s="1"/>
      <c r="ETS65" s="1"/>
      <c r="ETT65" s="1"/>
      <c r="ETU65" s="1"/>
      <c r="ETV65" s="1"/>
      <c r="ETW65" s="1"/>
      <c r="ETX65" s="1"/>
      <c r="ETY65" s="1"/>
      <c r="ETZ65" s="1"/>
      <c r="EUA65" s="1"/>
      <c r="EUB65" s="1"/>
      <c r="EUC65" s="1"/>
      <c r="EUD65" s="1"/>
      <c r="EUE65" s="1"/>
      <c r="EUF65" s="1"/>
      <c r="EUG65" s="1"/>
      <c r="EUH65" s="1"/>
      <c r="EUI65" s="1"/>
      <c r="EUJ65" s="1"/>
      <c r="EUK65" s="1"/>
      <c r="EUL65" s="1"/>
      <c r="EUM65" s="1"/>
      <c r="EUN65" s="1"/>
      <c r="EUO65" s="1"/>
      <c r="EUP65" s="1"/>
      <c r="EUQ65" s="1"/>
      <c r="EUR65" s="1"/>
      <c r="EUS65" s="1"/>
      <c r="EUT65" s="1"/>
      <c r="EUU65" s="1"/>
      <c r="EUV65" s="1"/>
      <c r="EUW65" s="1"/>
      <c r="EUX65" s="1"/>
      <c r="EUY65" s="1"/>
      <c r="EUZ65" s="1"/>
      <c r="EVA65" s="1"/>
      <c r="EVB65" s="1"/>
      <c r="EVC65" s="1"/>
      <c r="EVD65" s="1"/>
      <c r="EVE65" s="1"/>
      <c r="EVF65" s="1"/>
      <c r="EVG65" s="1"/>
      <c r="EVH65" s="1"/>
      <c r="EVI65" s="1"/>
      <c r="EVJ65" s="1"/>
      <c r="EVK65" s="1"/>
      <c r="EVL65" s="1"/>
      <c r="EVM65" s="1"/>
      <c r="EVN65" s="1"/>
      <c r="EVO65" s="1"/>
      <c r="EVP65" s="1"/>
      <c r="EVQ65" s="1"/>
      <c r="EVR65" s="1"/>
      <c r="EVS65" s="1"/>
      <c r="EVT65" s="1"/>
      <c r="EVU65" s="1"/>
      <c r="EVV65" s="1"/>
      <c r="EVW65" s="1"/>
      <c r="EVX65" s="1"/>
      <c r="EVY65" s="1"/>
      <c r="EVZ65" s="1"/>
      <c r="EWA65" s="1"/>
      <c r="EWB65" s="1"/>
      <c r="EWC65" s="1"/>
      <c r="EWD65" s="1"/>
      <c r="EWE65" s="1"/>
      <c r="EWF65" s="1"/>
      <c r="EWG65" s="1"/>
      <c r="EWH65" s="1"/>
      <c r="EWI65" s="1"/>
      <c r="EWJ65" s="1"/>
      <c r="EWK65" s="1"/>
      <c r="EWL65" s="1"/>
      <c r="EWM65" s="1"/>
      <c r="EWN65" s="1"/>
      <c r="EWO65" s="1"/>
      <c r="EWP65" s="1"/>
      <c r="EWQ65" s="1"/>
      <c r="EWR65" s="1"/>
      <c r="EWS65" s="1"/>
      <c r="EWT65" s="1"/>
      <c r="EWU65" s="1"/>
      <c r="EWV65" s="1"/>
      <c r="EWW65" s="1"/>
      <c r="EWX65" s="1"/>
      <c r="EWY65" s="1"/>
      <c r="EWZ65" s="1"/>
      <c r="EXA65" s="1"/>
      <c r="EXB65" s="1"/>
      <c r="EXC65" s="1"/>
      <c r="EXD65" s="1"/>
      <c r="EXE65" s="1"/>
      <c r="EXF65" s="1"/>
      <c r="EXG65" s="1"/>
      <c r="EXH65" s="1"/>
      <c r="EXI65" s="1"/>
      <c r="EXJ65" s="1"/>
      <c r="EXK65" s="1"/>
      <c r="EXL65" s="1"/>
      <c r="EXM65" s="1"/>
      <c r="EXN65" s="1"/>
      <c r="EXO65" s="1"/>
      <c r="EXP65" s="1"/>
      <c r="EXQ65" s="1"/>
      <c r="EXR65" s="1"/>
      <c r="EXS65" s="1"/>
      <c r="EXT65" s="1"/>
      <c r="EXU65" s="1"/>
      <c r="EXV65" s="1"/>
      <c r="EXW65" s="1"/>
      <c r="EXX65" s="1"/>
      <c r="EXY65" s="1"/>
      <c r="EXZ65" s="1"/>
      <c r="EYA65" s="1"/>
      <c r="EYB65" s="1"/>
      <c r="EYC65" s="1"/>
      <c r="EYD65" s="1"/>
      <c r="EYE65" s="1"/>
      <c r="EYF65" s="1"/>
      <c r="EYG65" s="1"/>
      <c r="EYH65" s="1"/>
      <c r="EYI65" s="1"/>
      <c r="EYJ65" s="1"/>
      <c r="EYK65" s="1"/>
      <c r="EYL65" s="1"/>
      <c r="EYM65" s="1"/>
      <c r="EYN65" s="1"/>
      <c r="EYO65" s="1"/>
      <c r="EYP65" s="1"/>
      <c r="EYQ65" s="1"/>
      <c r="EYR65" s="1"/>
      <c r="EYS65" s="1"/>
      <c r="EYT65" s="1"/>
      <c r="EYU65" s="1"/>
      <c r="EYV65" s="1"/>
      <c r="EYW65" s="1"/>
      <c r="EYX65" s="1"/>
      <c r="EYY65" s="1"/>
      <c r="EYZ65" s="1"/>
      <c r="EZA65" s="1"/>
      <c r="EZB65" s="1"/>
      <c r="EZC65" s="1"/>
      <c r="EZD65" s="1"/>
      <c r="EZE65" s="1"/>
      <c r="EZF65" s="1"/>
      <c r="EZG65" s="1"/>
      <c r="EZH65" s="1"/>
      <c r="EZI65" s="1"/>
      <c r="EZJ65" s="1"/>
      <c r="EZK65" s="1"/>
      <c r="EZL65" s="1"/>
      <c r="EZM65" s="1"/>
      <c r="EZN65" s="1"/>
      <c r="EZO65" s="1"/>
      <c r="EZP65" s="1"/>
      <c r="EZQ65" s="1"/>
      <c r="EZR65" s="1"/>
      <c r="EZS65" s="1"/>
      <c r="EZT65" s="1"/>
      <c r="EZU65" s="1"/>
      <c r="EZV65" s="1"/>
      <c r="EZW65" s="1"/>
      <c r="EZX65" s="1"/>
      <c r="EZY65" s="1"/>
      <c r="EZZ65" s="1"/>
      <c r="FAA65" s="1"/>
      <c r="FAB65" s="1"/>
      <c r="FAC65" s="1"/>
      <c r="FAD65" s="1"/>
      <c r="FAE65" s="1"/>
      <c r="FAF65" s="1"/>
      <c r="FAG65" s="1"/>
      <c r="FAH65" s="1"/>
      <c r="FAI65" s="1"/>
      <c r="FAJ65" s="1"/>
      <c r="FAK65" s="1"/>
      <c r="FAL65" s="1"/>
      <c r="FAM65" s="1"/>
      <c r="FAN65" s="1"/>
      <c r="FAO65" s="1"/>
      <c r="FAP65" s="1"/>
      <c r="FAQ65" s="1"/>
      <c r="FAR65" s="1"/>
      <c r="FAS65" s="1"/>
      <c r="FAT65" s="1"/>
      <c r="FAU65" s="1"/>
      <c r="FAV65" s="1"/>
      <c r="FAW65" s="1"/>
      <c r="FAX65" s="1"/>
      <c r="FAY65" s="1"/>
      <c r="FAZ65" s="1"/>
      <c r="FBA65" s="1"/>
      <c r="FBB65" s="1"/>
      <c r="FBC65" s="1"/>
      <c r="FBD65" s="1"/>
      <c r="FBE65" s="1"/>
      <c r="FBF65" s="1"/>
      <c r="FBG65" s="1"/>
      <c r="FBH65" s="1"/>
      <c r="FBI65" s="1"/>
      <c r="FBJ65" s="1"/>
      <c r="FBK65" s="1"/>
      <c r="FBL65" s="1"/>
      <c r="FBM65" s="1"/>
      <c r="FBN65" s="1"/>
      <c r="FBO65" s="1"/>
      <c r="FBP65" s="1"/>
      <c r="FBQ65" s="1"/>
      <c r="FBR65" s="1"/>
      <c r="FBS65" s="1"/>
      <c r="FBT65" s="1"/>
      <c r="FBU65" s="1"/>
      <c r="FBV65" s="1"/>
      <c r="FBW65" s="1"/>
      <c r="FBX65" s="1"/>
      <c r="FBY65" s="1"/>
      <c r="FBZ65" s="1"/>
      <c r="FCA65" s="1"/>
      <c r="FCB65" s="1"/>
      <c r="FCC65" s="1"/>
      <c r="FCD65" s="1"/>
      <c r="FCE65" s="1"/>
      <c r="FCF65" s="1"/>
      <c r="FCG65" s="1"/>
      <c r="FCH65" s="1"/>
      <c r="FCI65" s="1"/>
      <c r="FCJ65" s="1"/>
      <c r="FCK65" s="1"/>
      <c r="FCL65" s="1"/>
      <c r="FCM65" s="1"/>
      <c r="FCN65" s="1"/>
      <c r="FCO65" s="1"/>
      <c r="FCP65" s="1"/>
      <c r="FCQ65" s="1"/>
      <c r="FCR65" s="1"/>
      <c r="FCS65" s="1"/>
      <c r="FCT65" s="1"/>
      <c r="FCU65" s="1"/>
      <c r="FCV65" s="1"/>
      <c r="FCW65" s="1"/>
      <c r="FCX65" s="1"/>
      <c r="FCY65" s="1"/>
      <c r="FCZ65" s="1"/>
      <c r="FDA65" s="1"/>
      <c r="FDB65" s="1"/>
      <c r="FDC65" s="1"/>
      <c r="FDD65" s="1"/>
      <c r="FDE65" s="1"/>
      <c r="FDF65" s="1"/>
      <c r="FDG65" s="1"/>
      <c r="FDH65" s="1"/>
      <c r="FDI65" s="1"/>
      <c r="FDJ65" s="1"/>
      <c r="FDK65" s="1"/>
      <c r="FDL65" s="1"/>
      <c r="FDM65" s="1"/>
      <c r="FDN65" s="1"/>
      <c r="FDO65" s="1"/>
      <c r="FDP65" s="1"/>
      <c r="FDQ65" s="1"/>
      <c r="FDR65" s="1"/>
      <c r="FDS65" s="1"/>
      <c r="FDT65" s="1"/>
      <c r="FDU65" s="1"/>
      <c r="FDV65" s="1"/>
      <c r="FDW65" s="1"/>
      <c r="FDX65" s="1"/>
      <c r="FDY65" s="1"/>
      <c r="FDZ65" s="1"/>
      <c r="FEA65" s="1"/>
      <c r="FEB65" s="1"/>
      <c r="FEC65" s="1"/>
      <c r="FED65" s="1"/>
      <c r="FEE65" s="1"/>
      <c r="FEF65" s="1"/>
      <c r="FEG65" s="1"/>
      <c r="FEH65" s="1"/>
      <c r="FEI65" s="1"/>
      <c r="FEJ65" s="1"/>
      <c r="FEK65" s="1"/>
      <c r="FEL65" s="1"/>
      <c r="FEM65" s="1"/>
      <c r="FEN65" s="1"/>
      <c r="FEO65" s="1"/>
      <c r="FEP65" s="1"/>
      <c r="FEQ65" s="1"/>
      <c r="FER65" s="1"/>
      <c r="FES65" s="1"/>
      <c r="FET65" s="1"/>
      <c r="FEU65" s="1"/>
      <c r="FEV65" s="1"/>
      <c r="FEW65" s="1"/>
      <c r="FEX65" s="1"/>
      <c r="FEY65" s="1"/>
      <c r="FEZ65" s="1"/>
      <c r="FFA65" s="1"/>
      <c r="FFB65" s="1"/>
      <c r="FFC65" s="1"/>
      <c r="FFD65" s="1"/>
      <c r="FFE65" s="1"/>
      <c r="FFF65" s="1"/>
      <c r="FFG65" s="1"/>
      <c r="FFH65" s="1"/>
      <c r="FFI65" s="1"/>
      <c r="FFJ65" s="1"/>
      <c r="FFK65" s="1"/>
      <c r="FFL65" s="1"/>
      <c r="FFM65" s="1"/>
      <c r="FFN65" s="1"/>
      <c r="FFO65" s="1"/>
      <c r="FFP65" s="1"/>
      <c r="FFQ65" s="1"/>
      <c r="FFR65" s="1"/>
      <c r="FFS65" s="1"/>
      <c r="FFT65" s="1"/>
      <c r="FFU65" s="1"/>
      <c r="FFV65" s="1"/>
      <c r="FFW65" s="1"/>
      <c r="FFX65" s="1"/>
      <c r="FFY65" s="1"/>
      <c r="FFZ65" s="1"/>
      <c r="FGA65" s="1"/>
      <c r="FGB65" s="1"/>
      <c r="FGC65" s="1"/>
      <c r="FGD65" s="1"/>
      <c r="FGE65" s="1"/>
      <c r="FGF65" s="1"/>
      <c r="FGG65" s="1"/>
      <c r="FGH65" s="1"/>
      <c r="FGI65" s="1"/>
      <c r="FGJ65" s="1"/>
      <c r="FGK65" s="1"/>
      <c r="FGL65" s="1"/>
      <c r="FGM65" s="1"/>
      <c r="FGN65" s="1"/>
      <c r="FGO65" s="1"/>
      <c r="FGP65" s="1"/>
      <c r="FGQ65" s="1"/>
      <c r="FGR65" s="1"/>
      <c r="FGS65" s="1"/>
      <c r="FGT65" s="1"/>
      <c r="FGU65" s="1"/>
      <c r="FGV65" s="1"/>
      <c r="FGW65" s="1"/>
      <c r="FGX65" s="1"/>
      <c r="FGY65" s="1"/>
      <c r="FGZ65" s="1"/>
      <c r="FHA65" s="1"/>
      <c r="FHB65" s="1"/>
      <c r="FHC65" s="1"/>
      <c r="FHD65" s="1"/>
      <c r="FHE65" s="1"/>
      <c r="FHF65" s="1"/>
      <c r="FHG65" s="1"/>
      <c r="FHH65" s="1"/>
      <c r="FHI65" s="1"/>
      <c r="FHJ65" s="1"/>
      <c r="FHK65" s="1"/>
      <c r="FHL65" s="1"/>
      <c r="FHM65" s="1"/>
      <c r="FHN65" s="1"/>
      <c r="FHO65" s="1"/>
      <c r="FHP65" s="1"/>
      <c r="FHQ65" s="1"/>
      <c r="FHR65" s="1"/>
      <c r="FHS65" s="1"/>
      <c r="FHT65" s="1"/>
      <c r="FHU65" s="1"/>
      <c r="FHV65" s="1"/>
      <c r="FHW65" s="1"/>
      <c r="FHX65" s="1"/>
      <c r="FHY65" s="1"/>
      <c r="FHZ65" s="1"/>
      <c r="FIA65" s="1"/>
      <c r="FIB65" s="1"/>
      <c r="FIC65" s="1"/>
      <c r="FID65" s="1"/>
      <c r="FIE65" s="1"/>
      <c r="FIF65" s="1"/>
      <c r="FIG65" s="1"/>
      <c r="FIH65" s="1"/>
      <c r="FII65" s="1"/>
      <c r="FIJ65" s="1"/>
      <c r="FIK65" s="1"/>
      <c r="FIL65" s="1"/>
      <c r="FIM65" s="1"/>
      <c r="FIN65" s="1"/>
      <c r="FIO65" s="1"/>
      <c r="FIP65" s="1"/>
      <c r="FIQ65" s="1"/>
      <c r="FIR65" s="1"/>
      <c r="FIS65" s="1"/>
      <c r="FIT65" s="1"/>
      <c r="FIU65" s="1"/>
      <c r="FIV65" s="1"/>
      <c r="FIW65" s="1"/>
      <c r="FIX65" s="1"/>
      <c r="FIY65" s="1"/>
      <c r="FIZ65" s="1"/>
      <c r="FJA65" s="1"/>
      <c r="FJB65" s="1"/>
      <c r="FJC65" s="1"/>
      <c r="FJD65" s="1"/>
      <c r="FJE65" s="1"/>
      <c r="FJF65" s="1"/>
      <c r="FJG65" s="1"/>
      <c r="FJH65" s="1"/>
      <c r="FJI65" s="1"/>
      <c r="FJJ65" s="1"/>
      <c r="FJK65" s="1"/>
      <c r="FJL65" s="1"/>
      <c r="FJM65" s="1"/>
      <c r="FJN65" s="1"/>
      <c r="FJO65" s="1"/>
      <c r="FJP65" s="1"/>
      <c r="FJQ65" s="1"/>
      <c r="FJR65" s="1"/>
      <c r="FJS65" s="1"/>
      <c r="FJT65" s="1"/>
      <c r="FJU65" s="1"/>
      <c r="FJV65" s="1"/>
      <c r="FJW65" s="1"/>
      <c r="FJX65" s="1"/>
      <c r="FJY65" s="1"/>
      <c r="FJZ65" s="1"/>
      <c r="FKA65" s="1"/>
      <c r="FKB65" s="1"/>
      <c r="FKC65" s="1"/>
      <c r="FKD65" s="1"/>
      <c r="FKE65" s="1"/>
      <c r="FKF65" s="1"/>
      <c r="FKG65" s="1"/>
      <c r="FKH65" s="1"/>
      <c r="FKI65" s="1"/>
      <c r="FKJ65" s="1"/>
      <c r="FKK65" s="1"/>
      <c r="FKL65" s="1"/>
      <c r="FKM65" s="1"/>
      <c r="FKN65" s="1"/>
      <c r="FKO65" s="1"/>
      <c r="FKP65" s="1"/>
      <c r="FKQ65" s="1"/>
      <c r="FKR65" s="1"/>
      <c r="FKS65" s="1"/>
      <c r="FKT65" s="1"/>
      <c r="FKU65" s="1"/>
      <c r="FKV65" s="1"/>
      <c r="FKW65" s="1"/>
      <c r="FKX65" s="1"/>
      <c r="FKY65" s="1"/>
      <c r="FKZ65" s="1"/>
      <c r="FLA65" s="1"/>
      <c r="FLB65" s="1"/>
      <c r="FLC65" s="1"/>
      <c r="FLD65" s="1"/>
      <c r="FLE65" s="1"/>
      <c r="FLF65" s="1"/>
      <c r="FLG65" s="1"/>
      <c r="FLH65" s="1"/>
      <c r="FLI65" s="1"/>
      <c r="FLJ65" s="1"/>
      <c r="FLK65" s="1"/>
      <c r="FLL65" s="1"/>
      <c r="FLM65" s="1"/>
      <c r="FLN65" s="1"/>
      <c r="FLO65" s="1"/>
      <c r="FLP65" s="1"/>
      <c r="FLQ65" s="1"/>
      <c r="FLR65" s="1"/>
      <c r="FLS65" s="1"/>
      <c r="FLT65" s="1"/>
      <c r="FLU65" s="1"/>
      <c r="FLV65" s="1"/>
      <c r="FLW65" s="1"/>
      <c r="FLX65" s="1"/>
      <c r="FLY65" s="1"/>
      <c r="FLZ65" s="1"/>
      <c r="FMA65" s="1"/>
      <c r="FMB65" s="1"/>
      <c r="FMC65" s="1"/>
      <c r="FMD65" s="1"/>
      <c r="FME65" s="1"/>
      <c r="FMF65" s="1"/>
      <c r="FMG65" s="1"/>
      <c r="FMH65" s="1"/>
      <c r="FMI65" s="1"/>
      <c r="FMJ65" s="1"/>
      <c r="FMK65" s="1"/>
      <c r="FML65" s="1"/>
      <c r="FMM65" s="1"/>
      <c r="FMN65" s="1"/>
      <c r="FMO65" s="1"/>
      <c r="FMP65" s="1"/>
      <c r="FMQ65" s="1"/>
      <c r="FMR65" s="1"/>
      <c r="FMS65" s="1"/>
      <c r="FMT65" s="1"/>
      <c r="FMU65" s="1"/>
      <c r="FMV65" s="1"/>
      <c r="FMW65" s="1"/>
      <c r="FMX65" s="1"/>
      <c r="FMY65" s="1"/>
      <c r="FMZ65" s="1"/>
      <c r="FNA65" s="1"/>
      <c r="FNB65" s="1"/>
      <c r="FNC65" s="1"/>
      <c r="FND65" s="1"/>
      <c r="FNE65" s="1"/>
      <c r="FNF65" s="1"/>
      <c r="FNG65" s="1"/>
      <c r="FNH65" s="1"/>
      <c r="FNI65" s="1"/>
      <c r="FNJ65" s="1"/>
      <c r="FNK65" s="1"/>
      <c r="FNL65" s="1"/>
      <c r="FNM65" s="1"/>
      <c r="FNN65" s="1"/>
      <c r="FNO65" s="1"/>
      <c r="FNP65" s="1"/>
      <c r="FNQ65" s="1"/>
      <c r="FNR65" s="1"/>
      <c r="FNS65" s="1"/>
      <c r="FNT65" s="1"/>
      <c r="FNU65" s="1"/>
      <c r="FNV65" s="1"/>
      <c r="FNW65" s="1"/>
      <c r="FNX65" s="1"/>
      <c r="FNY65" s="1"/>
      <c r="FNZ65" s="1"/>
      <c r="FOA65" s="1"/>
      <c r="FOB65" s="1"/>
      <c r="FOC65" s="1"/>
      <c r="FOD65" s="1"/>
      <c r="FOE65" s="1"/>
      <c r="FOF65" s="1"/>
      <c r="FOG65" s="1"/>
      <c r="FOH65" s="1"/>
      <c r="FOI65" s="1"/>
      <c r="FOJ65" s="1"/>
      <c r="FOK65" s="1"/>
      <c r="FOL65" s="1"/>
      <c r="FOM65" s="1"/>
      <c r="FON65" s="1"/>
      <c r="FOO65" s="1"/>
      <c r="FOP65" s="1"/>
      <c r="FOQ65" s="1"/>
      <c r="FOR65" s="1"/>
      <c r="FOS65" s="1"/>
      <c r="FOT65" s="1"/>
      <c r="FOU65" s="1"/>
      <c r="FOV65" s="1"/>
      <c r="FOW65" s="1"/>
      <c r="FOX65" s="1"/>
      <c r="FOY65" s="1"/>
      <c r="FOZ65" s="1"/>
      <c r="FPA65" s="1"/>
      <c r="FPB65" s="1"/>
      <c r="FPC65" s="1"/>
      <c r="FPD65" s="1"/>
      <c r="FPE65" s="1"/>
      <c r="FPF65" s="1"/>
      <c r="FPG65" s="1"/>
      <c r="FPH65" s="1"/>
      <c r="FPI65" s="1"/>
      <c r="FPJ65" s="1"/>
      <c r="FPK65" s="1"/>
      <c r="FPL65" s="1"/>
      <c r="FPM65" s="1"/>
      <c r="FPN65" s="1"/>
      <c r="FPO65" s="1"/>
      <c r="FPP65" s="1"/>
      <c r="FPQ65" s="1"/>
      <c r="FPR65" s="1"/>
      <c r="FPS65" s="1"/>
      <c r="FPT65" s="1"/>
      <c r="FPU65" s="1"/>
      <c r="FPV65" s="1"/>
      <c r="FPW65" s="1"/>
      <c r="FPX65" s="1"/>
      <c r="FPY65" s="1"/>
      <c r="FPZ65" s="1"/>
      <c r="FQA65" s="1"/>
      <c r="FQB65" s="1"/>
      <c r="FQC65" s="1"/>
      <c r="FQD65" s="1"/>
      <c r="FQE65" s="1"/>
      <c r="FQF65" s="1"/>
      <c r="FQG65" s="1"/>
      <c r="FQH65" s="1"/>
      <c r="FQI65" s="1"/>
      <c r="FQJ65" s="1"/>
      <c r="FQK65" s="1"/>
      <c r="FQL65" s="1"/>
      <c r="FQM65" s="1"/>
      <c r="FQN65" s="1"/>
      <c r="FQO65" s="1"/>
      <c r="FQP65" s="1"/>
      <c r="FQQ65" s="1"/>
      <c r="FQR65" s="1"/>
      <c r="FQS65" s="1"/>
      <c r="FQT65" s="1"/>
      <c r="FQU65" s="1"/>
      <c r="FQV65" s="1"/>
      <c r="FQW65" s="1"/>
      <c r="FQX65" s="1"/>
      <c r="FQY65" s="1"/>
      <c r="FQZ65" s="1"/>
      <c r="FRA65" s="1"/>
      <c r="FRB65" s="1"/>
      <c r="FRC65" s="1"/>
      <c r="FRD65" s="1"/>
      <c r="FRE65" s="1"/>
      <c r="FRF65" s="1"/>
      <c r="FRG65" s="1"/>
      <c r="FRH65" s="1"/>
      <c r="FRI65" s="1"/>
      <c r="FRJ65" s="1"/>
      <c r="FRK65" s="1"/>
      <c r="FRL65" s="1"/>
      <c r="FRM65" s="1"/>
      <c r="FRN65" s="1"/>
      <c r="FRO65" s="1"/>
      <c r="FRP65" s="1"/>
      <c r="FRQ65" s="1"/>
      <c r="FRR65" s="1"/>
      <c r="FRS65" s="1"/>
      <c r="FRT65" s="1"/>
      <c r="FRU65" s="1"/>
      <c r="FRV65" s="1"/>
      <c r="FRW65" s="1"/>
      <c r="FRX65" s="1"/>
      <c r="FRY65" s="1"/>
      <c r="FRZ65" s="1"/>
      <c r="FSA65" s="1"/>
      <c r="FSB65" s="1"/>
      <c r="FSC65" s="1"/>
      <c r="FSD65" s="1"/>
      <c r="FSE65" s="1"/>
      <c r="FSF65" s="1"/>
      <c r="FSG65" s="1"/>
      <c r="FSH65" s="1"/>
      <c r="FSI65" s="1"/>
      <c r="FSJ65" s="1"/>
      <c r="FSK65" s="1"/>
      <c r="FSL65" s="1"/>
      <c r="FSM65" s="1"/>
      <c r="FSN65" s="1"/>
      <c r="FSO65" s="1"/>
      <c r="FSP65" s="1"/>
      <c r="FSQ65" s="1"/>
      <c r="FSR65" s="1"/>
      <c r="FSS65" s="1"/>
      <c r="FST65" s="1"/>
      <c r="FSU65" s="1"/>
      <c r="FSV65" s="1"/>
      <c r="FSW65" s="1"/>
      <c r="FSX65" s="1"/>
      <c r="FSY65" s="1"/>
      <c r="FSZ65" s="1"/>
      <c r="FTA65" s="1"/>
      <c r="FTB65" s="1"/>
      <c r="FTC65" s="1"/>
      <c r="FTD65" s="1"/>
      <c r="FTE65" s="1"/>
      <c r="FTF65" s="1"/>
      <c r="FTG65" s="1"/>
      <c r="FTH65" s="1"/>
      <c r="FTI65" s="1"/>
      <c r="FTJ65" s="1"/>
      <c r="FTK65" s="1"/>
      <c r="FTL65" s="1"/>
      <c r="FTM65" s="1"/>
      <c r="FTN65" s="1"/>
      <c r="FTO65" s="1"/>
      <c r="FTP65" s="1"/>
      <c r="FTQ65" s="1"/>
      <c r="FTR65" s="1"/>
      <c r="FTS65" s="1"/>
      <c r="FTT65" s="1"/>
      <c r="FTU65" s="1"/>
      <c r="FTV65" s="1"/>
      <c r="FTW65" s="1"/>
      <c r="FTX65" s="1"/>
      <c r="FTY65" s="1"/>
      <c r="FTZ65" s="1"/>
      <c r="FUA65" s="1"/>
      <c r="FUB65" s="1"/>
      <c r="FUC65" s="1"/>
      <c r="FUD65" s="1"/>
      <c r="FUE65" s="1"/>
      <c r="FUF65" s="1"/>
      <c r="FUG65" s="1"/>
      <c r="FUH65" s="1"/>
      <c r="FUI65" s="1"/>
      <c r="FUJ65" s="1"/>
      <c r="FUK65" s="1"/>
      <c r="FUL65" s="1"/>
      <c r="FUM65" s="1"/>
      <c r="FUN65" s="1"/>
      <c r="FUO65" s="1"/>
      <c r="FUP65" s="1"/>
      <c r="FUQ65" s="1"/>
      <c r="FUR65" s="1"/>
      <c r="FUS65" s="1"/>
      <c r="FUT65" s="1"/>
      <c r="FUU65" s="1"/>
      <c r="FUV65" s="1"/>
      <c r="FUW65" s="1"/>
      <c r="FUX65" s="1"/>
      <c r="FUY65" s="1"/>
      <c r="FUZ65" s="1"/>
      <c r="FVA65" s="1"/>
      <c r="FVB65" s="1"/>
      <c r="FVC65" s="1"/>
      <c r="FVD65" s="1"/>
      <c r="FVE65" s="1"/>
      <c r="FVF65" s="1"/>
      <c r="FVG65" s="1"/>
      <c r="FVH65" s="1"/>
      <c r="FVI65" s="1"/>
      <c r="FVJ65" s="1"/>
      <c r="FVK65" s="1"/>
      <c r="FVL65" s="1"/>
      <c r="FVM65" s="1"/>
      <c r="FVN65" s="1"/>
      <c r="FVO65" s="1"/>
      <c r="FVP65" s="1"/>
      <c r="FVQ65" s="1"/>
      <c r="FVR65" s="1"/>
      <c r="FVS65" s="1"/>
      <c r="FVT65" s="1"/>
      <c r="FVU65" s="1"/>
      <c r="FVV65" s="1"/>
      <c r="FVW65" s="1"/>
      <c r="FVX65" s="1"/>
      <c r="FVY65" s="1"/>
      <c r="FVZ65" s="1"/>
      <c r="FWA65" s="1"/>
      <c r="FWB65" s="1"/>
      <c r="FWC65" s="1"/>
      <c r="FWD65" s="1"/>
      <c r="FWE65" s="1"/>
      <c r="FWF65" s="1"/>
      <c r="FWG65" s="1"/>
      <c r="FWH65" s="1"/>
      <c r="FWI65" s="1"/>
      <c r="FWJ65" s="1"/>
      <c r="FWK65" s="1"/>
      <c r="FWL65" s="1"/>
      <c r="FWM65" s="1"/>
      <c r="FWN65" s="1"/>
      <c r="FWO65" s="1"/>
      <c r="FWP65" s="1"/>
      <c r="FWQ65" s="1"/>
      <c r="FWR65" s="1"/>
      <c r="FWS65" s="1"/>
      <c r="FWT65" s="1"/>
      <c r="FWU65" s="1"/>
      <c r="FWV65" s="1"/>
      <c r="FWW65" s="1"/>
      <c r="FWX65" s="1"/>
      <c r="FWY65" s="1"/>
      <c r="FWZ65" s="1"/>
      <c r="FXA65" s="1"/>
      <c r="FXB65" s="1"/>
      <c r="FXC65" s="1"/>
      <c r="FXD65" s="1"/>
      <c r="FXE65" s="1"/>
      <c r="FXF65" s="1"/>
      <c r="FXG65" s="1"/>
      <c r="FXH65" s="1"/>
      <c r="FXI65" s="1"/>
      <c r="FXJ65" s="1"/>
      <c r="FXK65" s="1"/>
      <c r="FXL65" s="1"/>
      <c r="FXM65" s="1"/>
      <c r="FXN65" s="1"/>
      <c r="FXO65" s="1"/>
      <c r="FXP65" s="1"/>
      <c r="FXQ65" s="1"/>
      <c r="FXR65" s="1"/>
      <c r="FXS65" s="1"/>
      <c r="FXT65" s="1"/>
      <c r="FXU65" s="1"/>
      <c r="FXV65" s="1"/>
      <c r="FXW65" s="1"/>
      <c r="FXX65" s="1"/>
      <c r="FXY65" s="1"/>
      <c r="FXZ65" s="1"/>
      <c r="FYA65" s="1"/>
      <c r="FYB65" s="1"/>
      <c r="FYC65" s="1"/>
      <c r="FYD65" s="1"/>
      <c r="FYE65" s="1"/>
      <c r="FYF65" s="1"/>
      <c r="FYG65" s="1"/>
      <c r="FYH65" s="1"/>
      <c r="FYI65" s="1"/>
      <c r="FYJ65" s="1"/>
      <c r="FYK65" s="1"/>
      <c r="FYL65" s="1"/>
      <c r="FYM65" s="1"/>
      <c r="FYN65" s="1"/>
      <c r="FYO65" s="1"/>
      <c r="FYP65" s="1"/>
      <c r="FYQ65" s="1"/>
      <c r="FYR65" s="1"/>
      <c r="FYS65" s="1"/>
      <c r="FYT65" s="1"/>
      <c r="FYU65" s="1"/>
      <c r="FYV65" s="1"/>
      <c r="FYW65" s="1"/>
      <c r="FYX65" s="1"/>
      <c r="FYY65" s="1"/>
      <c r="FYZ65" s="1"/>
      <c r="FZA65" s="1"/>
      <c r="FZB65" s="1"/>
      <c r="FZC65" s="1"/>
      <c r="FZD65" s="1"/>
      <c r="FZE65" s="1"/>
      <c r="FZF65" s="1"/>
      <c r="FZG65" s="1"/>
      <c r="FZH65" s="1"/>
      <c r="FZI65" s="1"/>
      <c r="FZJ65" s="1"/>
      <c r="FZK65" s="1"/>
      <c r="FZL65" s="1"/>
      <c r="FZM65" s="1"/>
      <c r="FZN65" s="1"/>
      <c r="FZO65" s="1"/>
      <c r="FZP65" s="1"/>
      <c r="FZQ65" s="1"/>
      <c r="FZR65" s="1"/>
      <c r="FZS65" s="1"/>
      <c r="FZT65" s="1"/>
      <c r="FZU65" s="1"/>
      <c r="FZV65" s="1"/>
      <c r="FZW65" s="1"/>
      <c r="FZX65" s="1"/>
      <c r="FZY65" s="1"/>
      <c r="FZZ65" s="1"/>
      <c r="GAA65" s="1"/>
      <c r="GAB65" s="1"/>
      <c r="GAC65" s="1"/>
      <c r="GAD65" s="1"/>
      <c r="GAE65" s="1"/>
      <c r="GAF65" s="1"/>
      <c r="GAG65" s="1"/>
      <c r="GAH65" s="1"/>
      <c r="GAI65" s="1"/>
      <c r="GAJ65" s="1"/>
      <c r="GAK65" s="1"/>
      <c r="GAL65" s="1"/>
      <c r="GAM65" s="1"/>
      <c r="GAN65" s="1"/>
      <c r="GAO65" s="1"/>
      <c r="GAP65" s="1"/>
      <c r="GAQ65" s="1"/>
      <c r="GAR65" s="1"/>
      <c r="GAS65" s="1"/>
      <c r="GAT65" s="1"/>
      <c r="GAU65" s="1"/>
      <c r="GAV65" s="1"/>
      <c r="GAW65" s="1"/>
      <c r="GAX65" s="1"/>
      <c r="GAY65" s="1"/>
      <c r="GAZ65" s="1"/>
      <c r="GBA65" s="1"/>
      <c r="GBB65" s="1"/>
      <c r="GBC65" s="1"/>
      <c r="GBD65" s="1"/>
      <c r="GBE65" s="1"/>
      <c r="GBF65" s="1"/>
      <c r="GBG65" s="1"/>
      <c r="GBH65" s="1"/>
      <c r="GBI65" s="1"/>
      <c r="GBJ65" s="1"/>
      <c r="GBK65" s="1"/>
      <c r="GBL65" s="1"/>
      <c r="GBM65" s="1"/>
      <c r="GBN65" s="1"/>
      <c r="GBO65" s="1"/>
      <c r="GBP65" s="1"/>
      <c r="GBQ65" s="1"/>
      <c r="GBR65" s="1"/>
      <c r="GBS65" s="1"/>
      <c r="GBT65" s="1"/>
      <c r="GBU65" s="1"/>
      <c r="GBV65" s="1"/>
      <c r="GBW65" s="1"/>
      <c r="GBX65" s="1"/>
      <c r="GBY65" s="1"/>
      <c r="GBZ65" s="1"/>
      <c r="GCA65" s="1"/>
      <c r="GCB65" s="1"/>
      <c r="GCC65" s="1"/>
      <c r="GCD65" s="1"/>
      <c r="GCE65" s="1"/>
      <c r="GCF65" s="1"/>
      <c r="GCG65" s="1"/>
      <c r="GCH65" s="1"/>
      <c r="GCI65" s="1"/>
      <c r="GCJ65" s="1"/>
      <c r="GCK65" s="1"/>
      <c r="GCL65" s="1"/>
      <c r="GCM65" s="1"/>
      <c r="GCN65" s="1"/>
      <c r="GCO65" s="1"/>
      <c r="GCP65" s="1"/>
      <c r="GCQ65" s="1"/>
      <c r="GCR65" s="1"/>
      <c r="GCS65" s="1"/>
      <c r="GCT65" s="1"/>
      <c r="GCU65" s="1"/>
      <c r="GCV65" s="1"/>
      <c r="GCW65" s="1"/>
      <c r="GCX65" s="1"/>
      <c r="GCY65" s="1"/>
      <c r="GCZ65" s="1"/>
      <c r="GDA65" s="1"/>
      <c r="GDB65" s="1"/>
      <c r="GDC65" s="1"/>
      <c r="GDD65" s="1"/>
      <c r="GDE65" s="1"/>
      <c r="GDF65" s="1"/>
      <c r="GDG65" s="1"/>
      <c r="GDH65" s="1"/>
      <c r="GDI65" s="1"/>
      <c r="GDJ65" s="1"/>
      <c r="GDK65" s="1"/>
      <c r="GDL65" s="1"/>
      <c r="GDM65" s="1"/>
      <c r="GDN65" s="1"/>
      <c r="GDO65" s="1"/>
      <c r="GDP65" s="1"/>
      <c r="GDQ65" s="1"/>
      <c r="GDR65" s="1"/>
      <c r="GDS65" s="1"/>
      <c r="GDT65" s="1"/>
      <c r="GDU65" s="1"/>
      <c r="GDV65" s="1"/>
      <c r="GDW65" s="1"/>
      <c r="GDX65" s="1"/>
      <c r="GDY65" s="1"/>
      <c r="GDZ65" s="1"/>
      <c r="GEA65" s="1"/>
      <c r="GEB65" s="1"/>
      <c r="GEC65" s="1"/>
      <c r="GED65" s="1"/>
      <c r="GEE65" s="1"/>
      <c r="GEF65" s="1"/>
      <c r="GEG65" s="1"/>
      <c r="GEH65" s="1"/>
      <c r="GEI65" s="1"/>
      <c r="GEJ65" s="1"/>
      <c r="GEK65" s="1"/>
      <c r="GEL65" s="1"/>
      <c r="GEM65" s="1"/>
      <c r="GEN65" s="1"/>
      <c r="GEO65" s="1"/>
      <c r="GEP65" s="1"/>
      <c r="GEQ65" s="1"/>
      <c r="GER65" s="1"/>
      <c r="GES65" s="1"/>
      <c r="GET65" s="1"/>
      <c r="GEU65" s="1"/>
      <c r="GEV65" s="1"/>
      <c r="GEW65" s="1"/>
      <c r="GEX65" s="1"/>
      <c r="GEY65" s="1"/>
      <c r="GEZ65" s="1"/>
      <c r="GFA65" s="1"/>
      <c r="GFB65" s="1"/>
      <c r="GFC65" s="1"/>
      <c r="GFD65" s="1"/>
      <c r="GFE65" s="1"/>
      <c r="GFF65" s="1"/>
      <c r="GFG65" s="1"/>
      <c r="GFH65" s="1"/>
      <c r="GFI65" s="1"/>
      <c r="GFJ65" s="1"/>
      <c r="GFK65" s="1"/>
      <c r="GFL65" s="1"/>
      <c r="GFM65" s="1"/>
      <c r="GFN65" s="1"/>
      <c r="GFO65" s="1"/>
      <c r="GFP65" s="1"/>
      <c r="GFQ65" s="1"/>
      <c r="GFR65" s="1"/>
      <c r="GFS65" s="1"/>
      <c r="GFT65" s="1"/>
      <c r="GFU65" s="1"/>
      <c r="GFV65" s="1"/>
      <c r="GFW65" s="1"/>
      <c r="GFX65" s="1"/>
      <c r="GFY65" s="1"/>
      <c r="GFZ65" s="1"/>
      <c r="GGA65" s="1"/>
      <c r="GGB65" s="1"/>
      <c r="GGC65" s="1"/>
      <c r="GGD65" s="1"/>
      <c r="GGE65" s="1"/>
      <c r="GGF65" s="1"/>
      <c r="GGG65" s="1"/>
      <c r="GGH65" s="1"/>
      <c r="GGI65" s="1"/>
      <c r="GGJ65" s="1"/>
      <c r="GGK65" s="1"/>
      <c r="GGL65" s="1"/>
      <c r="GGM65" s="1"/>
      <c r="GGN65" s="1"/>
      <c r="GGO65" s="1"/>
      <c r="GGP65" s="1"/>
      <c r="GGQ65" s="1"/>
      <c r="GGR65" s="1"/>
      <c r="GGS65" s="1"/>
      <c r="GGT65" s="1"/>
      <c r="GGU65" s="1"/>
      <c r="GGV65" s="1"/>
      <c r="GGW65" s="1"/>
      <c r="GGX65" s="1"/>
      <c r="GGY65" s="1"/>
      <c r="GGZ65" s="1"/>
      <c r="GHA65" s="1"/>
      <c r="GHB65" s="1"/>
      <c r="GHC65" s="1"/>
      <c r="GHD65" s="1"/>
      <c r="GHE65" s="1"/>
      <c r="GHF65" s="1"/>
      <c r="GHG65" s="1"/>
      <c r="GHH65" s="1"/>
      <c r="GHI65" s="1"/>
      <c r="GHJ65" s="1"/>
      <c r="GHK65" s="1"/>
      <c r="GHL65" s="1"/>
      <c r="GHM65" s="1"/>
      <c r="GHN65" s="1"/>
      <c r="GHO65" s="1"/>
      <c r="GHP65" s="1"/>
      <c r="GHQ65" s="1"/>
      <c r="GHR65" s="1"/>
      <c r="GHS65" s="1"/>
      <c r="GHT65" s="1"/>
      <c r="GHU65" s="1"/>
      <c r="GHV65" s="1"/>
      <c r="GHW65" s="1"/>
      <c r="GHX65" s="1"/>
      <c r="GHY65" s="1"/>
      <c r="GHZ65" s="1"/>
      <c r="GIA65" s="1"/>
      <c r="GIB65" s="1"/>
      <c r="GIC65" s="1"/>
      <c r="GID65" s="1"/>
      <c r="GIE65" s="1"/>
      <c r="GIF65" s="1"/>
      <c r="GIG65" s="1"/>
      <c r="GIH65" s="1"/>
      <c r="GII65" s="1"/>
      <c r="GIJ65" s="1"/>
      <c r="GIK65" s="1"/>
      <c r="GIL65" s="1"/>
      <c r="GIM65" s="1"/>
      <c r="GIN65" s="1"/>
      <c r="GIO65" s="1"/>
      <c r="GIP65" s="1"/>
      <c r="GIQ65" s="1"/>
      <c r="GIR65" s="1"/>
      <c r="GIS65" s="1"/>
      <c r="GIT65" s="1"/>
      <c r="GIU65" s="1"/>
      <c r="GIV65" s="1"/>
      <c r="GIW65" s="1"/>
      <c r="GIX65" s="1"/>
      <c r="GIY65" s="1"/>
      <c r="GIZ65" s="1"/>
      <c r="GJA65" s="1"/>
      <c r="GJB65" s="1"/>
      <c r="GJC65" s="1"/>
      <c r="GJD65" s="1"/>
      <c r="GJE65" s="1"/>
      <c r="GJF65" s="1"/>
      <c r="GJG65" s="1"/>
      <c r="GJH65" s="1"/>
      <c r="GJI65" s="1"/>
      <c r="GJJ65" s="1"/>
      <c r="GJK65" s="1"/>
      <c r="GJL65" s="1"/>
      <c r="GJM65" s="1"/>
      <c r="GJN65" s="1"/>
      <c r="GJO65" s="1"/>
      <c r="GJP65" s="1"/>
      <c r="GJQ65" s="1"/>
      <c r="GJR65" s="1"/>
      <c r="GJS65" s="1"/>
      <c r="GJT65" s="1"/>
      <c r="GJU65" s="1"/>
      <c r="GJV65" s="1"/>
      <c r="GJW65" s="1"/>
      <c r="GJX65" s="1"/>
      <c r="GJY65" s="1"/>
      <c r="GJZ65" s="1"/>
      <c r="GKA65" s="1"/>
      <c r="GKB65" s="1"/>
      <c r="GKC65" s="1"/>
      <c r="GKD65" s="1"/>
      <c r="GKE65" s="1"/>
      <c r="GKF65" s="1"/>
      <c r="GKG65" s="1"/>
      <c r="GKH65" s="1"/>
      <c r="GKI65" s="1"/>
      <c r="GKJ65" s="1"/>
      <c r="GKK65" s="1"/>
      <c r="GKL65" s="1"/>
      <c r="GKM65" s="1"/>
      <c r="GKN65" s="1"/>
      <c r="GKO65" s="1"/>
      <c r="GKP65" s="1"/>
      <c r="GKQ65" s="1"/>
      <c r="GKR65" s="1"/>
      <c r="GKS65" s="1"/>
      <c r="GKT65" s="1"/>
      <c r="GKU65" s="1"/>
      <c r="GKV65" s="1"/>
      <c r="GKW65" s="1"/>
      <c r="GKX65" s="1"/>
      <c r="GKY65" s="1"/>
      <c r="GKZ65" s="1"/>
      <c r="GLA65" s="1"/>
      <c r="GLB65" s="1"/>
      <c r="GLC65" s="1"/>
      <c r="GLD65" s="1"/>
      <c r="GLE65" s="1"/>
      <c r="GLF65" s="1"/>
      <c r="GLG65" s="1"/>
      <c r="GLH65" s="1"/>
      <c r="GLI65" s="1"/>
      <c r="GLJ65" s="1"/>
      <c r="GLK65" s="1"/>
      <c r="GLL65" s="1"/>
      <c r="GLM65" s="1"/>
      <c r="GLN65" s="1"/>
      <c r="GLO65" s="1"/>
      <c r="GLP65" s="1"/>
      <c r="GLQ65" s="1"/>
      <c r="GLR65" s="1"/>
      <c r="GLS65" s="1"/>
      <c r="GLT65" s="1"/>
      <c r="GLU65" s="1"/>
      <c r="GLV65" s="1"/>
      <c r="GLW65" s="1"/>
      <c r="GLX65" s="1"/>
      <c r="GLY65" s="1"/>
      <c r="GLZ65" s="1"/>
      <c r="GMA65" s="1"/>
      <c r="GMB65" s="1"/>
      <c r="GMC65" s="1"/>
      <c r="GMD65" s="1"/>
      <c r="GME65" s="1"/>
      <c r="GMF65" s="1"/>
      <c r="GMG65" s="1"/>
      <c r="GMH65" s="1"/>
      <c r="GMI65" s="1"/>
      <c r="GMJ65" s="1"/>
      <c r="GMK65" s="1"/>
      <c r="GML65" s="1"/>
      <c r="GMM65" s="1"/>
      <c r="GMN65" s="1"/>
      <c r="GMO65" s="1"/>
      <c r="GMP65" s="1"/>
      <c r="GMQ65" s="1"/>
      <c r="GMR65" s="1"/>
      <c r="GMS65" s="1"/>
      <c r="GMT65" s="1"/>
      <c r="GMU65" s="1"/>
      <c r="GMV65" s="1"/>
      <c r="GMW65" s="1"/>
      <c r="GMX65" s="1"/>
      <c r="GMY65" s="1"/>
      <c r="GMZ65" s="1"/>
      <c r="GNA65" s="1"/>
      <c r="GNB65" s="1"/>
      <c r="GNC65" s="1"/>
      <c r="GND65" s="1"/>
      <c r="GNE65" s="1"/>
      <c r="GNF65" s="1"/>
      <c r="GNG65" s="1"/>
      <c r="GNH65" s="1"/>
      <c r="GNI65" s="1"/>
      <c r="GNJ65" s="1"/>
      <c r="GNK65" s="1"/>
      <c r="GNL65" s="1"/>
      <c r="GNM65" s="1"/>
      <c r="GNN65" s="1"/>
      <c r="GNO65" s="1"/>
      <c r="GNP65" s="1"/>
      <c r="GNQ65" s="1"/>
      <c r="GNR65" s="1"/>
      <c r="GNS65" s="1"/>
      <c r="GNT65" s="1"/>
      <c r="GNU65" s="1"/>
      <c r="GNV65" s="1"/>
      <c r="GNW65" s="1"/>
      <c r="GNX65" s="1"/>
      <c r="GNY65" s="1"/>
      <c r="GNZ65" s="1"/>
      <c r="GOA65" s="1"/>
      <c r="GOB65" s="1"/>
      <c r="GOC65" s="1"/>
      <c r="GOD65" s="1"/>
      <c r="GOE65" s="1"/>
      <c r="GOF65" s="1"/>
      <c r="GOG65" s="1"/>
      <c r="GOH65" s="1"/>
      <c r="GOI65" s="1"/>
      <c r="GOJ65" s="1"/>
      <c r="GOK65" s="1"/>
      <c r="GOL65" s="1"/>
      <c r="GOM65" s="1"/>
      <c r="GON65" s="1"/>
      <c r="GOO65" s="1"/>
      <c r="GOP65" s="1"/>
      <c r="GOQ65" s="1"/>
      <c r="GOR65" s="1"/>
      <c r="GOS65" s="1"/>
      <c r="GOT65" s="1"/>
      <c r="GOU65" s="1"/>
      <c r="GOV65" s="1"/>
      <c r="GOW65" s="1"/>
      <c r="GOX65" s="1"/>
      <c r="GOY65" s="1"/>
      <c r="GOZ65" s="1"/>
      <c r="GPA65" s="1"/>
      <c r="GPB65" s="1"/>
      <c r="GPC65" s="1"/>
      <c r="GPD65" s="1"/>
      <c r="GPE65" s="1"/>
      <c r="GPF65" s="1"/>
      <c r="GPG65" s="1"/>
      <c r="GPH65" s="1"/>
      <c r="GPI65" s="1"/>
      <c r="GPJ65" s="1"/>
      <c r="GPK65" s="1"/>
      <c r="GPL65" s="1"/>
      <c r="GPM65" s="1"/>
      <c r="GPN65" s="1"/>
      <c r="GPO65" s="1"/>
      <c r="GPP65" s="1"/>
      <c r="GPQ65" s="1"/>
      <c r="GPR65" s="1"/>
      <c r="GPS65" s="1"/>
      <c r="GPT65" s="1"/>
      <c r="GPU65" s="1"/>
      <c r="GPV65" s="1"/>
      <c r="GPW65" s="1"/>
      <c r="GPX65" s="1"/>
      <c r="GPY65" s="1"/>
      <c r="GPZ65" s="1"/>
      <c r="GQA65" s="1"/>
      <c r="GQB65" s="1"/>
      <c r="GQC65" s="1"/>
      <c r="GQD65" s="1"/>
      <c r="GQE65" s="1"/>
      <c r="GQF65" s="1"/>
      <c r="GQG65" s="1"/>
      <c r="GQH65" s="1"/>
      <c r="GQI65" s="1"/>
      <c r="GQJ65" s="1"/>
      <c r="GQK65" s="1"/>
      <c r="GQL65" s="1"/>
      <c r="GQM65" s="1"/>
      <c r="GQN65" s="1"/>
      <c r="GQO65" s="1"/>
      <c r="GQP65" s="1"/>
      <c r="GQQ65" s="1"/>
      <c r="GQR65" s="1"/>
      <c r="GQS65" s="1"/>
      <c r="GQT65" s="1"/>
      <c r="GQU65" s="1"/>
      <c r="GQV65" s="1"/>
      <c r="GQW65" s="1"/>
      <c r="GQX65" s="1"/>
      <c r="GQY65" s="1"/>
      <c r="GQZ65" s="1"/>
      <c r="GRA65" s="1"/>
      <c r="GRB65" s="1"/>
      <c r="GRC65" s="1"/>
      <c r="GRD65" s="1"/>
      <c r="GRE65" s="1"/>
      <c r="GRF65" s="1"/>
      <c r="GRG65" s="1"/>
      <c r="GRH65" s="1"/>
      <c r="GRI65" s="1"/>
      <c r="GRJ65" s="1"/>
      <c r="GRK65" s="1"/>
      <c r="GRL65" s="1"/>
      <c r="GRM65" s="1"/>
      <c r="GRN65" s="1"/>
      <c r="GRO65" s="1"/>
      <c r="GRP65" s="1"/>
      <c r="GRQ65" s="1"/>
      <c r="GRR65" s="1"/>
      <c r="GRS65" s="1"/>
      <c r="GRT65" s="1"/>
      <c r="GRU65" s="1"/>
      <c r="GRV65" s="1"/>
      <c r="GRW65" s="1"/>
      <c r="GRX65" s="1"/>
      <c r="GRY65" s="1"/>
      <c r="GRZ65" s="1"/>
      <c r="GSA65" s="1"/>
      <c r="GSB65" s="1"/>
      <c r="GSC65" s="1"/>
      <c r="GSD65" s="1"/>
      <c r="GSE65" s="1"/>
      <c r="GSF65" s="1"/>
      <c r="GSG65" s="1"/>
      <c r="GSH65" s="1"/>
      <c r="GSI65" s="1"/>
      <c r="GSJ65" s="1"/>
      <c r="GSK65" s="1"/>
      <c r="GSL65" s="1"/>
      <c r="GSM65" s="1"/>
      <c r="GSN65" s="1"/>
      <c r="GSO65" s="1"/>
      <c r="GSP65" s="1"/>
      <c r="GSQ65" s="1"/>
      <c r="GSR65" s="1"/>
      <c r="GSS65" s="1"/>
      <c r="GST65" s="1"/>
      <c r="GSU65" s="1"/>
      <c r="GSV65" s="1"/>
      <c r="GSW65" s="1"/>
      <c r="GSX65" s="1"/>
      <c r="GSY65" s="1"/>
      <c r="GSZ65" s="1"/>
      <c r="GTA65" s="1"/>
      <c r="GTB65" s="1"/>
      <c r="GTC65" s="1"/>
      <c r="GTD65" s="1"/>
      <c r="GTE65" s="1"/>
      <c r="GTF65" s="1"/>
      <c r="GTG65" s="1"/>
      <c r="GTH65" s="1"/>
      <c r="GTI65" s="1"/>
      <c r="GTJ65" s="1"/>
      <c r="GTK65" s="1"/>
      <c r="GTL65" s="1"/>
      <c r="GTM65" s="1"/>
      <c r="GTN65" s="1"/>
      <c r="GTO65" s="1"/>
      <c r="GTP65" s="1"/>
      <c r="GTQ65" s="1"/>
      <c r="GTR65" s="1"/>
      <c r="GTS65" s="1"/>
      <c r="GTT65" s="1"/>
      <c r="GTU65" s="1"/>
      <c r="GTV65" s="1"/>
      <c r="GTW65" s="1"/>
      <c r="GTX65" s="1"/>
      <c r="GTY65" s="1"/>
      <c r="GTZ65" s="1"/>
      <c r="GUA65" s="1"/>
      <c r="GUB65" s="1"/>
      <c r="GUC65" s="1"/>
      <c r="GUD65" s="1"/>
      <c r="GUE65" s="1"/>
      <c r="GUF65" s="1"/>
      <c r="GUG65" s="1"/>
      <c r="GUH65" s="1"/>
      <c r="GUI65" s="1"/>
      <c r="GUJ65" s="1"/>
      <c r="GUK65" s="1"/>
      <c r="GUL65" s="1"/>
      <c r="GUM65" s="1"/>
      <c r="GUN65" s="1"/>
      <c r="GUO65" s="1"/>
      <c r="GUP65" s="1"/>
      <c r="GUQ65" s="1"/>
      <c r="GUR65" s="1"/>
      <c r="GUS65" s="1"/>
      <c r="GUT65" s="1"/>
      <c r="GUU65" s="1"/>
      <c r="GUV65" s="1"/>
      <c r="GUW65" s="1"/>
      <c r="GUX65" s="1"/>
      <c r="GUY65" s="1"/>
      <c r="GUZ65" s="1"/>
      <c r="GVA65" s="1"/>
      <c r="GVB65" s="1"/>
      <c r="GVC65" s="1"/>
      <c r="GVD65" s="1"/>
      <c r="GVE65" s="1"/>
      <c r="GVF65" s="1"/>
      <c r="GVG65" s="1"/>
      <c r="GVH65" s="1"/>
      <c r="GVI65" s="1"/>
      <c r="GVJ65" s="1"/>
      <c r="GVK65" s="1"/>
      <c r="GVL65" s="1"/>
      <c r="GVM65" s="1"/>
      <c r="GVN65" s="1"/>
      <c r="GVO65" s="1"/>
      <c r="GVP65" s="1"/>
      <c r="GVQ65" s="1"/>
      <c r="GVR65" s="1"/>
      <c r="GVS65" s="1"/>
      <c r="GVT65" s="1"/>
      <c r="GVU65" s="1"/>
      <c r="GVV65" s="1"/>
      <c r="GVW65" s="1"/>
      <c r="GVX65" s="1"/>
      <c r="GVY65" s="1"/>
      <c r="GVZ65" s="1"/>
      <c r="GWA65" s="1"/>
      <c r="GWB65" s="1"/>
      <c r="GWC65" s="1"/>
      <c r="GWD65" s="1"/>
      <c r="GWE65" s="1"/>
      <c r="GWF65" s="1"/>
      <c r="GWG65" s="1"/>
      <c r="GWH65" s="1"/>
      <c r="GWI65" s="1"/>
      <c r="GWJ65" s="1"/>
      <c r="GWK65" s="1"/>
      <c r="GWL65" s="1"/>
      <c r="GWM65" s="1"/>
      <c r="GWN65" s="1"/>
      <c r="GWO65" s="1"/>
      <c r="GWP65" s="1"/>
      <c r="GWQ65" s="1"/>
      <c r="GWR65" s="1"/>
      <c r="GWS65" s="1"/>
      <c r="GWT65" s="1"/>
      <c r="GWU65" s="1"/>
      <c r="GWV65" s="1"/>
      <c r="GWW65" s="1"/>
      <c r="GWX65" s="1"/>
      <c r="GWY65" s="1"/>
      <c r="GWZ65" s="1"/>
      <c r="GXA65" s="1"/>
      <c r="GXB65" s="1"/>
      <c r="GXC65" s="1"/>
      <c r="GXD65" s="1"/>
      <c r="GXE65" s="1"/>
      <c r="GXF65" s="1"/>
      <c r="GXG65" s="1"/>
      <c r="GXH65" s="1"/>
      <c r="GXI65" s="1"/>
      <c r="GXJ65" s="1"/>
      <c r="GXK65" s="1"/>
      <c r="GXL65" s="1"/>
      <c r="GXM65" s="1"/>
      <c r="GXN65" s="1"/>
      <c r="GXO65" s="1"/>
      <c r="GXP65" s="1"/>
      <c r="GXQ65" s="1"/>
      <c r="GXR65" s="1"/>
      <c r="GXS65" s="1"/>
      <c r="GXT65" s="1"/>
      <c r="GXU65" s="1"/>
      <c r="GXV65" s="1"/>
      <c r="GXW65" s="1"/>
      <c r="GXX65" s="1"/>
      <c r="GXY65" s="1"/>
      <c r="GXZ65" s="1"/>
      <c r="GYA65" s="1"/>
      <c r="GYB65" s="1"/>
      <c r="GYC65" s="1"/>
      <c r="GYD65" s="1"/>
      <c r="GYE65" s="1"/>
      <c r="GYF65" s="1"/>
      <c r="GYG65" s="1"/>
      <c r="GYH65" s="1"/>
      <c r="GYI65" s="1"/>
      <c r="GYJ65" s="1"/>
      <c r="GYK65" s="1"/>
      <c r="GYL65" s="1"/>
      <c r="GYM65" s="1"/>
      <c r="GYN65" s="1"/>
      <c r="GYO65" s="1"/>
      <c r="GYP65" s="1"/>
      <c r="GYQ65" s="1"/>
      <c r="GYR65" s="1"/>
      <c r="GYS65" s="1"/>
      <c r="GYT65" s="1"/>
      <c r="GYU65" s="1"/>
      <c r="GYV65" s="1"/>
      <c r="GYW65" s="1"/>
      <c r="GYX65" s="1"/>
      <c r="GYY65" s="1"/>
      <c r="GYZ65" s="1"/>
      <c r="GZA65" s="1"/>
      <c r="GZB65" s="1"/>
      <c r="GZC65" s="1"/>
      <c r="GZD65" s="1"/>
      <c r="GZE65" s="1"/>
      <c r="GZF65" s="1"/>
      <c r="GZG65" s="1"/>
      <c r="GZH65" s="1"/>
      <c r="GZI65" s="1"/>
      <c r="GZJ65" s="1"/>
      <c r="GZK65" s="1"/>
      <c r="GZL65" s="1"/>
      <c r="GZM65" s="1"/>
      <c r="GZN65" s="1"/>
      <c r="GZO65" s="1"/>
      <c r="GZP65" s="1"/>
      <c r="GZQ65" s="1"/>
      <c r="GZR65" s="1"/>
      <c r="GZS65" s="1"/>
      <c r="GZT65" s="1"/>
      <c r="GZU65" s="1"/>
      <c r="GZV65" s="1"/>
      <c r="GZW65" s="1"/>
      <c r="GZX65" s="1"/>
      <c r="GZY65" s="1"/>
      <c r="GZZ65" s="1"/>
      <c r="HAA65" s="1"/>
      <c r="HAB65" s="1"/>
      <c r="HAC65" s="1"/>
      <c r="HAD65" s="1"/>
      <c r="HAE65" s="1"/>
      <c r="HAF65" s="1"/>
      <c r="HAG65" s="1"/>
      <c r="HAH65" s="1"/>
      <c r="HAI65" s="1"/>
      <c r="HAJ65" s="1"/>
      <c r="HAK65" s="1"/>
      <c r="HAL65" s="1"/>
      <c r="HAM65" s="1"/>
      <c r="HAN65" s="1"/>
      <c r="HAO65" s="1"/>
      <c r="HAP65" s="1"/>
      <c r="HAQ65" s="1"/>
      <c r="HAR65" s="1"/>
      <c r="HAS65" s="1"/>
      <c r="HAT65" s="1"/>
      <c r="HAU65" s="1"/>
      <c r="HAV65" s="1"/>
      <c r="HAW65" s="1"/>
      <c r="HAX65" s="1"/>
      <c r="HAY65" s="1"/>
      <c r="HAZ65" s="1"/>
      <c r="HBA65" s="1"/>
      <c r="HBB65" s="1"/>
      <c r="HBC65" s="1"/>
      <c r="HBD65" s="1"/>
      <c r="HBE65" s="1"/>
      <c r="HBF65" s="1"/>
      <c r="HBG65" s="1"/>
      <c r="HBH65" s="1"/>
      <c r="HBI65" s="1"/>
      <c r="HBJ65" s="1"/>
      <c r="HBK65" s="1"/>
      <c r="HBL65" s="1"/>
      <c r="HBM65" s="1"/>
      <c r="HBN65" s="1"/>
      <c r="HBO65" s="1"/>
      <c r="HBP65" s="1"/>
      <c r="HBQ65" s="1"/>
      <c r="HBR65" s="1"/>
      <c r="HBS65" s="1"/>
      <c r="HBT65" s="1"/>
      <c r="HBU65" s="1"/>
      <c r="HBV65" s="1"/>
      <c r="HBW65" s="1"/>
      <c r="HBX65" s="1"/>
      <c r="HBY65" s="1"/>
      <c r="HBZ65" s="1"/>
      <c r="HCA65" s="1"/>
      <c r="HCB65" s="1"/>
      <c r="HCC65" s="1"/>
      <c r="HCD65" s="1"/>
      <c r="HCE65" s="1"/>
      <c r="HCF65" s="1"/>
      <c r="HCG65" s="1"/>
      <c r="HCH65" s="1"/>
      <c r="HCI65" s="1"/>
      <c r="HCJ65" s="1"/>
      <c r="HCK65" s="1"/>
      <c r="HCL65" s="1"/>
      <c r="HCM65" s="1"/>
      <c r="HCN65" s="1"/>
      <c r="HCO65" s="1"/>
      <c r="HCP65" s="1"/>
      <c r="HCQ65" s="1"/>
      <c r="HCR65" s="1"/>
      <c r="HCS65" s="1"/>
      <c r="HCT65" s="1"/>
      <c r="HCU65" s="1"/>
      <c r="HCV65" s="1"/>
      <c r="HCW65" s="1"/>
      <c r="HCX65" s="1"/>
      <c r="HCY65" s="1"/>
      <c r="HCZ65" s="1"/>
      <c r="HDA65" s="1"/>
      <c r="HDB65" s="1"/>
      <c r="HDC65" s="1"/>
      <c r="HDD65" s="1"/>
      <c r="HDE65" s="1"/>
      <c r="HDF65" s="1"/>
      <c r="HDG65" s="1"/>
      <c r="HDH65" s="1"/>
      <c r="HDI65" s="1"/>
      <c r="HDJ65" s="1"/>
      <c r="HDK65" s="1"/>
      <c r="HDL65" s="1"/>
      <c r="HDM65" s="1"/>
      <c r="HDN65" s="1"/>
      <c r="HDO65" s="1"/>
      <c r="HDP65" s="1"/>
      <c r="HDQ65" s="1"/>
      <c r="HDR65" s="1"/>
      <c r="HDS65" s="1"/>
      <c r="HDT65" s="1"/>
      <c r="HDU65" s="1"/>
      <c r="HDV65" s="1"/>
      <c r="HDW65" s="1"/>
      <c r="HDX65" s="1"/>
      <c r="HDY65" s="1"/>
      <c r="HDZ65" s="1"/>
      <c r="HEA65" s="1"/>
      <c r="HEB65" s="1"/>
      <c r="HEC65" s="1"/>
      <c r="HED65" s="1"/>
      <c r="HEE65" s="1"/>
      <c r="HEF65" s="1"/>
      <c r="HEG65" s="1"/>
      <c r="HEH65" s="1"/>
      <c r="HEI65" s="1"/>
      <c r="HEJ65" s="1"/>
      <c r="HEK65" s="1"/>
      <c r="HEL65" s="1"/>
      <c r="HEM65" s="1"/>
      <c r="HEN65" s="1"/>
      <c r="HEO65" s="1"/>
      <c r="HEP65" s="1"/>
      <c r="HEQ65" s="1"/>
      <c r="HER65" s="1"/>
      <c r="HES65" s="1"/>
      <c r="HET65" s="1"/>
      <c r="HEU65" s="1"/>
      <c r="HEV65" s="1"/>
      <c r="HEW65" s="1"/>
      <c r="HEX65" s="1"/>
      <c r="HEY65" s="1"/>
      <c r="HEZ65" s="1"/>
      <c r="HFA65" s="1"/>
      <c r="HFB65" s="1"/>
      <c r="HFC65" s="1"/>
      <c r="HFD65" s="1"/>
      <c r="HFE65" s="1"/>
      <c r="HFF65" s="1"/>
      <c r="HFG65" s="1"/>
      <c r="HFH65" s="1"/>
      <c r="HFI65" s="1"/>
      <c r="HFJ65" s="1"/>
      <c r="HFK65" s="1"/>
      <c r="HFL65" s="1"/>
      <c r="HFM65" s="1"/>
      <c r="HFN65" s="1"/>
      <c r="HFO65" s="1"/>
      <c r="HFP65" s="1"/>
      <c r="HFQ65" s="1"/>
      <c r="HFR65" s="1"/>
      <c r="HFS65" s="1"/>
      <c r="HFT65" s="1"/>
      <c r="HFU65" s="1"/>
      <c r="HFV65" s="1"/>
      <c r="HFW65" s="1"/>
      <c r="HFX65" s="1"/>
      <c r="HFY65" s="1"/>
      <c r="HFZ65" s="1"/>
      <c r="HGA65" s="1"/>
      <c r="HGB65" s="1"/>
      <c r="HGC65" s="1"/>
      <c r="HGD65" s="1"/>
      <c r="HGE65" s="1"/>
      <c r="HGF65" s="1"/>
      <c r="HGG65" s="1"/>
      <c r="HGH65" s="1"/>
      <c r="HGI65" s="1"/>
      <c r="HGJ65" s="1"/>
      <c r="HGK65" s="1"/>
      <c r="HGL65" s="1"/>
      <c r="HGM65" s="1"/>
      <c r="HGN65" s="1"/>
      <c r="HGO65" s="1"/>
      <c r="HGP65" s="1"/>
      <c r="HGQ65" s="1"/>
      <c r="HGR65" s="1"/>
      <c r="HGS65" s="1"/>
      <c r="HGT65" s="1"/>
      <c r="HGU65" s="1"/>
      <c r="HGV65" s="1"/>
      <c r="HGW65" s="1"/>
      <c r="HGX65" s="1"/>
      <c r="HGY65" s="1"/>
      <c r="HGZ65" s="1"/>
      <c r="HHA65" s="1"/>
      <c r="HHB65" s="1"/>
      <c r="HHC65" s="1"/>
      <c r="HHD65" s="1"/>
      <c r="HHE65" s="1"/>
      <c r="HHF65" s="1"/>
      <c r="HHG65" s="1"/>
      <c r="HHH65" s="1"/>
      <c r="HHI65" s="1"/>
      <c r="HHJ65" s="1"/>
      <c r="HHK65" s="1"/>
      <c r="HHL65" s="1"/>
      <c r="HHM65" s="1"/>
      <c r="HHN65" s="1"/>
      <c r="HHO65" s="1"/>
      <c r="HHP65" s="1"/>
      <c r="HHQ65" s="1"/>
      <c r="HHR65" s="1"/>
      <c r="HHS65" s="1"/>
      <c r="HHT65" s="1"/>
      <c r="HHU65" s="1"/>
      <c r="HHV65" s="1"/>
      <c r="HHW65" s="1"/>
      <c r="HHX65" s="1"/>
      <c r="HHY65" s="1"/>
      <c r="HHZ65" s="1"/>
      <c r="HIA65" s="1"/>
      <c r="HIB65" s="1"/>
      <c r="HIC65" s="1"/>
      <c r="HID65" s="1"/>
      <c r="HIE65" s="1"/>
      <c r="HIF65" s="1"/>
      <c r="HIG65" s="1"/>
      <c r="HIH65" s="1"/>
      <c r="HII65" s="1"/>
      <c r="HIJ65" s="1"/>
      <c r="HIK65" s="1"/>
      <c r="HIL65" s="1"/>
      <c r="HIM65" s="1"/>
      <c r="HIN65" s="1"/>
      <c r="HIO65" s="1"/>
      <c r="HIP65" s="1"/>
      <c r="HIQ65" s="1"/>
      <c r="HIR65" s="1"/>
      <c r="HIS65" s="1"/>
      <c r="HIT65" s="1"/>
      <c r="HIU65" s="1"/>
      <c r="HIV65" s="1"/>
      <c r="HIW65" s="1"/>
      <c r="HIX65" s="1"/>
      <c r="HIY65" s="1"/>
      <c r="HIZ65" s="1"/>
      <c r="HJA65" s="1"/>
      <c r="HJB65" s="1"/>
      <c r="HJC65" s="1"/>
      <c r="HJD65" s="1"/>
      <c r="HJE65" s="1"/>
      <c r="HJF65" s="1"/>
      <c r="HJG65" s="1"/>
      <c r="HJH65" s="1"/>
      <c r="HJI65" s="1"/>
      <c r="HJJ65" s="1"/>
      <c r="HJK65" s="1"/>
      <c r="HJL65" s="1"/>
      <c r="HJM65" s="1"/>
      <c r="HJN65" s="1"/>
      <c r="HJO65" s="1"/>
      <c r="HJP65" s="1"/>
      <c r="HJQ65" s="1"/>
      <c r="HJR65" s="1"/>
      <c r="HJS65" s="1"/>
      <c r="HJT65" s="1"/>
      <c r="HJU65" s="1"/>
      <c r="HJV65" s="1"/>
      <c r="HJW65" s="1"/>
      <c r="HJX65" s="1"/>
      <c r="HJY65" s="1"/>
      <c r="HJZ65" s="1"/>
      <c r="HKA65" s="1"/>
      <c r="HKB65" s="1"/>
      <c r="HKC65" s="1"/>
      <c r="HKD65" s="1"/>
      <c r="HKE65" s="1"/>
      <c r="HKF65" s="1"/>
      <c r="HKG65" s="1"/>
      <c r="HKH65" s="1"/>
      <c r="HKI65" s="1"/>
      <c r="HKJ65" s="1"/>
      <c r="HKK65" s="1"/>
      <c r="HKL65" s="1"/>
      <c r="HKM65" s="1"/>
      <c r="HKN65" s="1"/>
      <c r="HKO65" s="1"/>
      <c r="HKP65" s="1"/>
      <c r="HKQ65" s="1"/>
      <c r="HKR65" s="1"/>
      <c r="HKS65" s="1"/>
      <c r="HKT65" s="1"/>
      <c r="HKU65" s="1"/>
      <c r="HKV65" s="1"/>
      <c r="HKW65" s="1"/>
      <c r="HKX65" s="1"/>
      <c r="HKY65" s="1"/>
      <c r="HKZ65" s="1"/>
      <c r="HLA65" s="1"/>
      <c r="HLB65" s="1"/>
      <c r="HLC65" s="1"/>
      <c r="HLD65" s="1"/>
      <c r="HLE65" s="1"/>
      <c r="HLF65" s="1"/>
      <c r="HLG65" s="1"/>
      <c r="HLH65" s="1"/>
      <c r="HLI65" s="1"/>
      <c r="HLJ65" s="1"/>
      <c r="HLK65" s="1"/>
      <c r="HLL65" s="1"/>
      <c r="HLM65" s="1"/>
      <c r="HLN65" s="1"/>
      <c r="HLO65" s="1"/>
      <c r="HLP65" s="1"/>
      <c r="HLQ65" s="1"/>
      <c r="HLR65" s="1"/>
      <c r="HLS65" s="1"/>
      <c r="HLT65" s="1"/>
      <c r="HLU65" s="1"/>
      <c r="HLV65" s="1"/>
      <c r="HLW65" s="1"/>
      <c r="HLX65" s="1"/>
      <c r="HLY65" s="1"/>
      <c r="HLZ65" s="1"/>
      <c r="HMA65" s="1"/>
      <c r="HMB65" s="1"/>
      <c r="HMC65" s="1"/>
      <c r="HMD65" s="1"/>
      <c r="HME65" s="1"/>
      <c r="HMF65" s="1"/>
      <c r="HMG65" s="1"/>
      <c r="HMH65" s="1"/>
      <c r="HMI65" s="1"/>
      <c r="HMJ65" s="1"/>
      <c r="HMK65" s="1"/>
      <c r="HML65" s="1"/>
      <c r="HMM65" s="1"/>
      <c r="HMN65" s="1"/>
      <c r="HMO65" s="1"/>
      <c r="HMP65" s="1"/>
      <c r="HMQ65" s="1"/>
      <c r="HMR65" s="1"/>
      <c r="HMS65" s="1"/>
      <c r="HMT65" s="1"/>
      <c r="HMU65" s="1"/>
      <c r="HMV65" s="1"/>
      <c r="HMW65" s="1"/>
      <c r="HMX65" s="1"/>
      <c r="HMY65" s="1"/>
      <c r="HMZ65" s="1"/>
      <c r="HNA65" s="1"/>
      <c r="HNB65" s="1"/>
      <c r="HNC65" s="1"/>
      <c r="HND65" s="1"/>
      <c r="HNE65" s="1"/>
      <c r="HNF65" s="1"/>
      <c r="HNG65" s="1"/>
      <c r="HNH65" s="1"/>
      <c r="HNI65" s="1"/>
      <c r="HNJ65" s="1"/>
      <c r="HNK65" s="1"/>
      <c r="HNL65" s="1"/>
      <c r="HNM65" s="1"/>
      <c r="HNN65" s="1"/>
      <c r="HNO65" s="1"/>
      <c r="HNP65" s="1"/>
      <c r="HNQ65" s="1"/>
      <c r="HNR65" s="1"/>
      <c r="HNS65" s="1"/>
      <c r="HNT65" s="1"/>
      <c r="HNU65" s="1"/>
      <c r="HNV65" s="1"/>
      <c r="HNW65" s="1"/>
      <c r="HNX65" s="1"/>
      <c r="HNY65" s="1"/>
      <c r="HNZ65" s="1"/>
      <c r="HOA65" s="1"/>
      <c r="HOB65" s="1"/>
      <c r="HOC65" s="1"/>
      <c r="HOD65" s="1"/>
      <c r="HOE65" s="1"/>
      <c r="HOF65" s="1"/>
      <c r="HOG65" s="1"/>
      <c r="HOH65" s="1"/>
      <c r="HOI65" s="1"/>
      <c r="HOJ65" s="1"/>
      <c r="HOK65" s="1"/>
      <c r="HOL65" s="1"/>
      <c r="HOM65" s="1"/>
      <c r="HON65" s="1"/>
      <c r="HOO65" s="1"/>
      <c r="HOP65" s="1"/>
      <c r="HOQ65" s="1"/>
      <c r="HOR65" s="1"/>
      <c r="HOS65" s="1"/>
      <c r="HOT65" s="1"/>
      <c r="HOU65" s="1"/>
      <c r="HOV65" s="1"/>
      <c r="HOW65" s="1"/>
      <c r="HOX65" s="1"/>
      <c r="HOY65" s="1"/>
      <c r="HOZ65" s="1"/>
      <c r="HPA65" s="1"/>
      <c r="HPB65" s="1"/>
      <c r="HPC65" s="1"/>
      <c r="HPD65" s="1"/>
      <c r="HPE65" s="1"/>
      <c r="HPF65" s="1"/>
      <c r="HPG65" s="1"/>
      <c r="HPH65" s="1"/>
      <c r="HPI65" s="1"/>
      <c r="HPJ65" s="1"/>
      <c r="HPK65" s="1"/>
      <c r="HPL65" s="1"/>
      <c r="HPM65" s="1"/>
      <c r="HPN65" s="1"/>
      <c r="HPO65" s="1"/>
      <c r="HPP65" s="1"/>
      <c r="HPQ65" s="1"/>
      <c r="HPR65" s="1"/>
      <c r="HPS65" s="1"/>
      <c r="HPT65" s="1"/>
      <c r="HPU65" s="1"/>
      <c r="HPV65" s="1"/>
      <c r="HPW65" s="1"/>
      <c r="HPX65" s="1"/>
      <c r="HPY65" s="1"/>
      <c r="HPZ65" s="1"/>
      <c r="HQA65" s="1"/>
      <c r="HQB65" s="1"/>
      <c r="HQC65" s="1"/>
      <c r="HQD65" s="1"/>
      <c r="HQE65" s="1"/>
      <c r="HQF65" s="1"/>
      <c r="HQG65" s="1"/>
      <c r="HQH65" s="1"/>
      <c r="HQI65" s="1"/>
      <c r="HQJ65" s="1"/>
      <c r="HQK65" s="1"/>
      <c r="HQL65" s="1"/>
      <c r="HQM65" s="1"/>
      <c r="HQN65" s="1"/>
      <c r="HQO65" s="1"/>
      <c r="HQP65" s="1"/>
      <c r="HQQ65" s="1"/>
      <c r="HQR65" s="1"/>
      <c r="HQS65" s="1"/>
      <c r="HQT65" s="1"/>
      <c r="HQU65" s="1"/>
      <c r="HQV65" s="1"/>
      <c r="HQW65" s="1"/>
      <c r="HQX65" s="1"/>
      <c r="HQY65" s="1"/>
      <c r="HQZ65" s="1"/>
      <c r="HRA65" s="1"/>
      <c r="HRB65" s="1"/>
      <c r="HRC65" s="1"/>
      <c r="HRD65" s="1"/>
      <c r="HRE65" s="1"/>
      <c r="HRF65" s="1"/>
      <c r="HRG65" s="1"/>
      <c r="HRH65" s="1"/>
      <c r="HRI65" s="1"/>
      <c r="HRJ65" s="1"/>
      <c r="HRK65" s="1"/>
      <c r="HRL65" s="1"/>
      <c r="HRM65" s="1"/>
      <c r="HRN65" s="1"/>
      <c r="HRO65" s="1"/>
      <c r="HRP65" s="1"/>
      <c r="HRQ65" s="1"/>
      <c r="HRR65" s="1"/>
      <c r="HRS65" s="1"/>
      <c r="HRT65" s="1"/>
      <c r="HRU65" s="1"/>
      <c r="HRV65" s="1"/>
      <c r="HRW65" s="1"/>
      <c r="HRX65" s="1"/>
      <c r="HRY65" s="1"/>
      <c r="HRZ65" s="1"/>
      <c r="HSA65" s="1"/>
      <c r="HSB65" s="1"/>
      <c r="HSC65" s="1"/>
      <c r="HSD65" s="1"/>
      <c r="HSE65" s="1"/>
      <c r="HSF65" s="1"/>
      <c r="HSG65" s="1"/>
      <c r="HSH65" s="1"/>
      <c r="HSI65" s="1"/>
      <c r="HSJ65" s="1"/>
      <c r="HSK65" s="1"/>
      <c r="HSL65" s="1"/>
      <c r="HSM65" s="1"/>
      <c r="HSN65" s="1"/>
      <c r="HSO65" s="1"/>
      <c r="HSP65" s="1"/>
      <c r="HSQ65" s="1"/>
      <c r="HSR65" s="1"/>
      <c r="HSS65" s="1"/>
      <c r="HST65" s="1"/>
      <c r="HSU65" s="1"/>
      <c r="HSV65" s="1"/>
      <c r="HSW65" s="1"/>
      <c r="HSX65" s="1"/>
      <c r="HSY65" s="1"/>
      <c r="HSZ65" s="1"/>
      <c r="HTA65" s="1"/>
      <c r="HTB65" s="1"/>
      <c r="HTC65" s="1"/>
      <c r="HTD65" s="1"/>
      <c r="HTE65" s="1"/>
      <c r="HTF65" s="1"/>
      <c r="HTG65" s="1"/>
      <c r="HTH65" s="1"/>
      <c r="HTI65" s="1"/>
      <c r="HTJ65" s="1"/>
      <c r="HTK65" s="1"/>
      <c r="HTL65" s="1"/>
      <c r="HTM65" s="1"/>
      <c r="HTN65" s="1"/>
      <c r="HTO65" s="1"/>
      <c r="HTP65" s="1"/>
      <c r="HTQ65" s="1"/>
      <c r="HTR65" s="1"/>
      <c r="HTS65" s="1"/>
      <c r="HTT65" s="1"/>
      <c r="HTU65" s="1"/>
      <c r="HTV65" s="1"/>
      <c r="HTW65" s="1"/>
      <c r="HTX65" s="1"/>
      <c r="HTY65" s="1"/>
      <c r="HTZ65" s="1"/>
      <c r="HUA65" s="1"/>
      <c r="HUB65" s="1"/>
      <c r="HUC65" s="1"/>
      <c r="HUD65" s="1"/>
      <c r="HUE65" s="1"/>
      <c r="HUF65" s="1"/>
      <c r="HUG65" s="1"/>
      <c r="HUH65" s="1"/>
      <c r="HUI65" s="1"/>
      <c r="HUJ65" s="1"/>
      <c r="HUK65" s="1"/>
      <c r="HUL65" s="1"/>
      <c r="HUM65" s="1"/>
      <c r="HUN65" s="1"/>
      <c r="HUO65" s="1"/>
      <c r="HUP65" s="1"/>
      <c r="HUQ65" s="1"/>
      <c r="HUR65" s="1"/>
      <c r="HUS65" s="1"/>
      <c r="HUT65" s="1"/>
      <c r="HUU65" s="1"/>
      <c r="HUV65" s="1"/>
      <c r="HUW65" s="1"/>
      <c r="HUX65" s="1"/>
      <c r="HUY65" s="1"/>
      <c r="HUZ65" s="1"/>
      <c r="HVA65" s="1"/>
      <c r="HVB65" s="1"/>
      <c r="HVC65" s="1"/>
      <c r="HVD65" s="1"/>
      <c r="HVE65" s="1"/>
      <c r="HVF65" s="1"/>
      <c r="HVG65" s="1"/>
      <c r="HVH65" s="1"/>
      <c r="HVI65" s="1"/>
      <c r="HVJ65" s="1"/>
      <c r="HVK65" s="1"/>
      <c r="HVL65" s="1"/>
      <c r="HVM65" s="1"/>
      <c r="HVN65" s="1"/>
      <c r="HVO65" s="1"/>
      <c r="HVP65" s="1"/>
      <c r="HVQ65" s="1"/>
      <c r="HVR65" s="1"/>
      <c r="HVS65" s="1"/>
      <c r="HVT65" s="1"/>
      <c r="HVU65" s="1"/>
      <c r="HVV65" s="1"/>
      <c r="HVW65" s="1"/>
      <c r="HVX65" s="1"/>
      <c r="HVY65" s="1"/>
      <c r="HVZ65" s="1"/>
      <c r="HWA65" s="1"/>
      <c r="HWB65" s="1"/>
      <c r="HWC65" s="1"/>
      <c r="HWD65" s="1"/>
      <c r="HWE65" s="1"/>
      <c r="HWF65" s="1"/>
      <c r="HWG65" s="1"/>
      <c r="HWH65" s="1"/>
      <c r="HWI65" s="1"/>
      <c r="HWJ65" s="1"/>
      <c r="HWK65" s="1"/>
      <c r="HWL65" s="1"/>
      <c r="HWM65" s="1"/>
      <c r="HWN65" s="1"/>
      <c r="HWO65" s="1"/>
      <c r="HWP65" s="1"/>
      <c r="HWQ65" s="1"/>
      <c r="HWR65" s="1"/>
      <c r="HWS65" s="1"/>
      <c r="HWT65" s="1"/>
      <c r="HWU65" s="1"/>
      <c r="HWV65" s="1"/>
      <c r="HWW65" s="1"/>
      <c r="HWX65" s="1"/>
      <c r="HWY65" s="1"/>
      <c r="HWZ65" s="1"/>
      <c r="HXA65" s="1"/>
      <c r="HXB65" s="1"/>
      <c r="HXC65" s="1"/>
      <c r="HXD65" s="1"/>
      <c r="HXE65" s="1"/>
      <c r="HXF65" s="1"/>
      <c r="HXG65" s="1"/>
      <c r="HXH65" s="1"/>
      <c r="HXI65" s="1"/>
      <c r="HXJ65" s="1"/>
      <c r="HXK65" s="1"/>
      <c r="HXL65" s="1"/>
      <c r="HXM65" s="1"/>
      <c r="HXN65" s="1"/>
      <c r="HXO65" s="1"/>
      <c r="HXP65" s="1"/>
      <c r="HXQ65" s="1"/>
      <c r="HXR65" s="1"/>
      <c r="HXS65" s="1"/>
      <c r="HXT65" s="1"/>
      <c r="HXU65" s="1"/>
      <c r="HXV65" s="1"/>
      <c r="HXW65" s="1"/>
      <c r="HXX65" s="1"/>
      <c r="HXY65" s="1"/>
      <c r="HXZ65" s="1"/>
      <c r="HYA65" s="1"/>
      <c r="HYB65" s="1"/>
      <c r="HYC65" s="1"/>
      <c r="HYD65" s="1"/>
      <c r="HYE65" s="1"/>
      <c r="HYF65" s="1"/>
      <c r="HYG65" s="1"/>
      <c r="HYH65" s="1"/>
      <c r="HYI65" s="1"/>
      <c r="HYJ65" s="1"/>
      <c r="HYK65" s="1"/>
      <c r="HYL65" s="1"/>
      <c r="HYM65" s="1"/>
      <c r="HYN65" s="1"/>
      <c r="HYO65" s="1"/>
      <c r="HYP65" s="1"/>
      <c r="HYQ65" s="1"/>
      <c r="HYR65" s="1"/>
      <c r="HYS65" s="1"/>
      <c r="HYT65" s="1"/>
      <c r="HYU65" s="1"/>
      <c r="HYV65" s="1"/>
      <c r="HYW65" s="1"/>
      <c r="HYX65" s="1"/>
      <c r="HYY65" s="1"/>
      <c r="HYZ65" s="1"/>
      <c r="HZA65" s="1"/>
      <c r="HZB65" s="1"/>
      <c r="HZC65" s="1"/>
      <c r="HZD65" s="1"/>
      <c r="HZE65" s="1"/>
      <c r="HZF65" s="1"/>
      <c r="HZG65" s="1"/>
      <c r="HZH65" s="1"/>
      <c r="HZI65" s="1"/>
      <c r="HZJ65" s="1"/>
      <c r="HZK65" s="1"/>
      <c r="HZL65" s="1"/>
      <c r="HZM65" s="1"/>
      <c r="HZN65" s="1"/>
      <c r="HZO65" s="1"/>
      <c r="HZP65" s="1"/>
      <c r="HZQ65" s="1"/>
      <c r="HZR65" s="1"/>
      <c r="HZS65" s="1"/>
      <c r="HZT65" s="1"/>
      <c r="HZU65" s="1"/>
      <c r="HZV65" s="1"/>
      <c r="HZW65" s="1"/>
      <c r="HZX65" s="1"/>
      <c r="HZY65" s="1"/>
      <c r="HZZ65" s="1"/>
      <c r="IAA65" s="1"/>
      <c r="IAB65" s="1"/>
      <c r="IAC65" s="1"/>
      <c r="IAD65" s="1"/>
      <c r="IAE65" s="1"/>
      <c r="IAF65" s="1"/>
      <c r="IAG65" s="1"/>
      <c r="IAH65" s="1"/>
      <c r="IAI65" s="1"/>
      <c r="IAJ65" s="1"/>
      <c r="IAK65" s="1"/>
      <c r="IAL65" s="1"/>
      <c r="IAM65" s="1"/>
      <c r="IAN65" s="1"/>
      <c r="IAO65" s="1"/>
      <c r="IAP65" s="1"/>
      <c r="IAQ65" s="1"/>
      <c r="IAR65" s="1"/>
      <c r="IAS65" s="1"/>
      <c r="IAT65" s="1"/>
      <c r="IAU65" s="1"/>
      <c r="IAV65" s="1"/>
      <c r="IAW65" s="1"/>
      <c r="IAX65" s="1"/>
      <c r="IAY65" s="1"/>
      <c r="IAZ65" s="1"/>
      <c r="IBA65" s="1"/>
      <c r="IBB65" s="1"/>
      <c r="IBC65" s="1"/>
      <c r="IBD65" s="1"/>
      <c r="IBE65" s="1"/>
      <c r="IBF65" s="1"/>
      <c r="IBG65" s="1"/>
      <c r="IBH65" s="1"/>
      <c r="IBI65" s="1"/>
      <c r="IBJ65" s="1"/>
      <c r="IBK65" s="1"/>
      <c r="IBL65" s="1"/>
      <c r="IBM65" s="1"/>
      <c r="IBN65" s="1"/>
      <c r="IBO65" s="1"/>
      <c r="IBP65" s="1"/>
      <c r="IBQ65" s="1"/>
      <c r="IBR65" s="1"/>
      <c r="IBS65" s="1"/>
      <c r="IBT65" s="1"/>
      <c r="IBU65" s="1"/>
      <c r="IBV65" s="1"/>
      <c r="IBW65" s="1"/>
      <c r="IBX65" s="1"/>
      <c r="IBY65" s="1"/>
      <c r="IBZ65" s="1"/>
      <c r="ICA65" s="1"/>
      <c r="ICB65" s="1"/>
      <c r="ICC65" s="1"/>
      <c r="ICD65" s="1"/>
      <c r="ICE65" s="1"/>
      <c r="ICF65" s="1"/>
      <c r="ICG65" s="1"/>
      <c r="ICH65" s="1"/>
      <c r="ICI65" s="1"/>
      <c r="ICJ65" s="1"/>
      <c r="ICK65" s="1"/>
      <c r="ICL65" s="1"/>
      <c r="ICM65" s="1"/>
      <c r="ICN65" s="1"/>
      <c r="ICO65" s="1"/>
      <c r="ICP65" s="1"/>
      <c r="ICQ65" s="1"/>
      <c r="ICR65" s="1"/>
      <c r="ICS65" s="1"/>
      <c r="ICT65" s="1"/>
      <c r="ICU65" s="1"/>
      <c r="ICV65" s="1"/>
      <c r="ICW65" s="1"/>
      <c r="ICX65" s="1"/>
      <c r="ICY65" s="1"/>
      <c r="ICZ65" s="1"/>
      <c r="IDA65" s="1"/>
      <c r="IDB65" s="1"/>
      <c r="IDC65" s="1"/>
      <c r="IDD65" s="1"/>
      <c r="IDE65" s="1"/>
      <c r="IDF65" s="1"/>
      <c r="IDG65" s="1"/>
      <c r="IDH65" s="1"/>
      <c r="IDI65" s="1"/>
      <c r="IDJ65" s="1"/>
      <c r="IDK65" s="1"/>
      <c r="IDL65" s="1"/>
      <c r="IDM65" s="1"/>
      <c r="IDN65" s="1"/>
      <c r="IDO65" s="1"/>
      <c r="IDP65" s="1"/>
      <c r="IDQ65" s="1"/>
      <c r="IDR65" s="1"/>
      <c r="IDS65" s="1"/>
      <c r="IDT65" s="1"/>
      <c r="IDU65" s="1"/>
      <c r="IDV65" s="1"/>
      <c r="IDW65" s="1"/>
      <c r="IDX65" s="1"/>
      <c r="IDY65" s="1"/>
      <c r="IDZ65" s="1"/>
      <c r="IEA65" s="1"/>
      <c r="IEB65" s="1"/>
      <c r="IEC65" s="1"/>
      <c r="IED65" s="1"/>
      <c r="IEE65" s="1"/>
      <c r="IEF65" s="1"/>
      <c r="IEG65" s="1"/>
      <c r="IEH65" s="1"/>
      <c r="IEI65" s="1"/>
      <c r="IEJ65" s="1"/>
      <c r="IEK65" s="1"/>
      <c r="IEL65" s="1"/>
      <c r="IEM65" s="1"/>
      <c r="IEN65" s="1"/>
      <c r="IEO65" s="1"/>
      <c r="IEP65" s="1"/>
      <c r="IEQ65" s="1"/>
      <c r="IER65" s="1"/>
      <c r="IES65" s="1"/>
      <c r="IET65" s="1"/>
      <c r="IEU65" s="1"/>
      <c r="IEV65" s="1"/>
      <c r="IEW65" s="1"/>
      <c r="IEX65" s="1"/>
      <c r="IEY65" s="1"/>
      <c r="IEZ65" s="1"/>
      <c r="IFA65" s="1"/>
      <c r="IFB65" s="1"/>
      <c r="IFC65" s="1"/>
      <c r="IFD65" s="1"/>
      <c r="IFE65" s="1"/>
      <c r="IFF65" s="1"/>
      <c r="IFG65" s="1"/>
      <c r="IFH65" s="1"/>
      <c r="IFI65" s="1"/>
      <c r="IFJ65" s="1"/>
      <c r="IFK65" s="1"/>
      <c r="IFL65" s="1"/>
      <c r="IFM65" s="1"/>
      <c r="IFN65" s="1"/>
      <c r="IFO65" s="1"/>
      <c r="IFP65" s="1"/>
      <c r="IFQ65" s="1"/>
      <c r="IFR65" s="1"/>
      <c r="IFS65" s="1"/>
      <c r="IFT65" s="1"/>
      <c r="IFU65" s="1"/>
      <c r="IFV65" s="1"/>
      <c r="IFW65" s="1"/>
      <c r="IFX65" s="1"/>
      <c r="IFY65" s="1"/>
      <c r="IFZ65" s="1"/>
      <c r="IGA65" s="1"/>
      <c r="IGB65" s="1"/>
      <c r="IGC65" s="1"/>
      <c r="IGD65" s="1"/>
      <c r="IGE65" s="1"/>
      <c r="IGF65" s="1"/>
      <c r="IGG65" s="1"/>
      <c r="IGH65" s="1"/>
      <c r="IGI65" s="1"/>
      <c r="IGJ65" s="1"/>
      <c r="IGK65" s="1"/>
      <c r="IGL65" s="1"/>
      <c r="IGM65" s="1"/>
      <c r="IGN65" s="1"/>
      <c r="IGO65" s="1"/>
      <c r="IGP65" s="1"/>
      <c r="IGQ65" s="1"/>
      <c r="IGR65" s="1"/>
      <c r="IGS65" s="1"/>
      <c r="IGT65" s="1"/>
      <c r="IGU65" s="1"/>
      <c r="IGV65" s="1"/>
      <c r="IGW65" s="1"/>
      <c r="IGX65" s="1"/>
      <c r="IGY65" s="1"/>
      <c r="IGZ65" s="1"/>
      <c r="IHA65" s="1"/>
      <c r="IHB65" s="1"/>
      <c r="IHC65" s="1"/>
      <c r="IHD65" s="1"/>
      <c r="IHE65" s="1"/>
      <c r="IHF65" s="1"/>
      <c r="IHG65" s="1"/>
      <c r="IHH65" s="1"/>
      <c r="IHI65" s="1"/>
      <c r="IHJ65" s="1"/>
      <c r="IHK65" s="1"/>
      <c r="IHL65" s="1"/>
      <c r="IHM65" s="1"/>
      <c r="IHN65" s="1"/>
      <c r="IHO65" s="1"/>
      <c r="IHP65" s="1"/>
      <c r="IHQ65" s="1"/>
      <c r="IHR65" s="1"/>
      <c r="IHS65" s="1"/>
      <c r="IHT65" s="1"/>
      <c r="IHU65" s="1"/>
      <c r="IHV65" s="1"/>
      <c r="IHW65" s="1"/>
      <c r="IHX65" s="1"/>
      <c r="IHY65" s="1"/>
      <c r="IHZ65" s="1"/>
      <c r="IIA65" s="1"/>
      <c r="IIB65" s="1"/>
      <c r="IIC65" s="1"/>
      <c r="IID65" s="1"/>
      <c r="IIE65" s="1"/>
      <c r="IIF65" s="1"/>
      <c r="IIG65" s="1"/>
      <c r="IIH65" s="1"/>
      <c r="III65" s="1"/>
      <c r="IIJ65" s="1"/>
      <c r="IIK65" s="1"/>
      <c r="IIL65" s="1"/>
      <c r="IIM65" s="1"/>
      <c r="IIN65" s="1"/>
      <c r="IIO65" s="1"/>
      <c r="IIP65" s="1"/>
      <c r="IIQ65" s="1"/>
      <c r="IIR65" s="1"/>
      <c r="IIS65" s="1"/>
      <c r="IIT65" s="1"/>
      <c r="IIU65" s="1"/>
      <c r="IIV65" s="1"/>
      <c r="IIW65" s="1"/>
      <c r="IIX65" s="1"/>
      <c r="IIY65" s="1"/>
      <c r="IIZ65" s="1"/>
      <c r="IJA65" s="1"/>
      <c r="IJB65" s="1"/>
      <c r="IJC65" s="1"/>
      <c r="IJD65" s="1"/>
      <c r="IJE65" s="1"/>
      <c r="IJF65" s="1"/>
      <c r="IJG65" s="1"/>
      <c r="IJH65" s="1"/>
      <c r="IJI65" s="1"/>
      <c r="IJJ65" s="1"/>
      <c r="IJK65" s="1"/>
      <c r="IJL65" s="1"/>
      <c r="IJM65" s="1"/>
      <c r="IJN65" s="1"/>
      <c r="IJO65" s="1"/>
      <c r="IJP65" s="1"/>
      <c r="IJQ65" s="1"/>
      <c r="IJR65" s="1"/>
      <c r="IJS65" s="1"/>
      <c r="IJT65" s="1"/>
      <c r="IJU65" s="1"/>
      <c r="IJV65" s="1"/>
      <c r="IJW65" s="1"/>
      <c r="IJX65" s="1"/>
      <c r="IJY65" s="1"/>
      <c r="IJZ65" s="1"/>
      <c r="IKA65" s="1"/>
      <c r="IKB65" s="1"/>
      <c r="IKC65" s="1"/>
      <c r="IKD65" s="1"/>
      <c r="IKE65" s="1"/>
      <c r="IKF65" s="1"/>
      <c r="IKG65" s="1"/>
      <c r="IKH65" s="1"/>
      <c r="IKI65" s="1"/>
      <c r="IKJ65" s="1"/>
      <c r="IKK65" s="1"/>
      <c r="IKL65" s="1"/>
      <c r="IKM65" s="1"/>
      <c r="IKN65" s="1"/>
      <c r="IKO65" s="1"/>
      <c r="IKP65" s="1"/>
      <c r="IKQ65" s="1"/>
      <c r="IKR65" s="1"/>
      <c r="IKS65" s="1"/>
      <c r="IKT65" s="1"/>
      <c r="IKU65" s="1"/>
      <c r="IKV65" s="1"/>
      <c r="IKW65" s="1"/>
      <c r="IKX65" s="1"/>
      <c r="IKY65" s="1"/>
      <c r="IKZ65" s="1"/>
      <c r="ILA65" s="1"/>
      <c r="ILB65" s="1"/>
      <c r="ILC65" s="1"/>
      <c r="ILD65" s="1"/>
      <c r="ILE65" s="1"/>
      <c r="ILF65" s="1"/>
      <c r="ILG65" s="1"/>
      <c r="ILH65" s="1"/>
      <c r="ILI65" s="1"/>
      <c r="ILJ65" s="1"/>
      <c r="ILK65" s="1"/>
      <c r="ILL65" s="1"/>
      <c r="ILM65" s="1"/>
      <c r="ILN65" s="1"/>
      <c r="ILO65" s="1"/>
      <c r="ILP65" s="1"/>
      <c r="ILQ65" s="1"/>
      <c r="ILR65" s="1"/>
      <c r="ILS65" s="1"/>
      <c r="ILT65" s="1"/>
      <c r="ILU65" s="1"/>
      <c r="ILV65" s="1"/>
      <c r="ILW65" s="1"/>
      <c r="ILX65" s="1"/>
      <c r="ILY65" s="1"/>
      <c r="ILZ65" s="1"/>
      <c r="IMA65" s="1"/>
      <c r="IMB65" s="1"/>
      <c r="IMC65" s="1"/>
      <c r="IMD65" s="1"/>
      <c r="IME65" s="1"/>
      <c r="IMF65" s="1"/>
      <c r="IMG65" s="1"/>
      <c r="IMH65" s="1"/>
      <c r="IMI65" s="1"/>
      <c r="IMJ65" s="1"/>
      <c r="IMK65" s="1"/>
      <c r="IML65" s="1"/>
      <c r="IMM65" s="1"/>
      <c r="IMN65" s="1"/>
      <c r="IMO65" s="1"/>
      <c r="IMP65" s="1"/>
      <c r="IMQ65" s="1"/>
      <c r="IMR65" s="1"/>
      <c r="IMS65" s="1"/>
      <c r="IMT65" s="1"/>
      <c r="IMU65" s="1"/>
      <c r="IMV65" s="1"/>
      <c r="IMW65" s="1"/>
      <c r="IMX65" s="1"/>
      <c r="IMY65" s="1"/>
      <c r="IMZ65" s="1"/>
      <c r="INA65" s="1"/>
      <c r="INB65" s="1"/>
      <c r="INC65" s="1"/>
      <c r="IND65" s="1"/>
      <c r="INE65" s="1"/>
      <c r="INF65" s="1"/>
      <c r="ING65" s="1"/>
      <c r="INH65" s="1"/>
      <c r="INI65" s="1"/>
      <c r="INJ65" s="1"/>
      <c r="INK65" s="1"/>
      <c r="INL65" s="1"/>
      <c r="INM65" s="1"/>
      <c r="INN65" s="1"/>
      <c r="INO65" s="1"/>
      <c r="INP65" s="1"/>
      <c r="INQ65" s="1"/>
      <c r="INR65" s="1"/>
      <c r="INS65" s="1"/>
      <c r="INT65" s="1"/>
      <c r="INU65" s="1"/>
      <c r="INV65" s="1"/>
      <c r="INW65" s="1"/>
      <c r="INX65" s="1"/>
      <c r="INY65" s="1"/>
      <c r="INZ65" s="1"/>
      <c r="IOA65" s="1"/>
      <c r="IOB65" s="1"/>
      <c r="IOC65" s="1"/>
      <c r="IOD65" s="1"/>
      <c r="IOE65" s="1"/>
      <c r="IOF65" s="1"/>
      <c r="IOG65" s="1"/>
      <c r="IOH65" s="1"/>
      <c r="IOI65" s="1"/>
      <c r="IOJ65" s="1"/>
      <c r="IOK65" s="1"/>
      <c r="IOL65" s="1"/>
      <c r="IOM65" s="1"/>
      <c r="ION65" s="1"/>
      <c r="IOO65" s="1"/>
      <c r="IOP65" s="1"/>
      <c r="IOQ65" s="1"/>
      <c r="IOR65" s="1"/>
      <c r="IOS65" s="1"/>
      <c r="IOT65" s="1"/>
      <c r="IOU65" s="1"/>
      <c r="IOV65" s="1"/>
      <c r="IOW65" s="1"/>
      <c r="IOX65" s="1"/>
      <c r="IOY65" s="1"/>
      <c r="IOZ65" s="1"/>
      <c r="IPA65" s="1"/>
      <c r="IPB65" s="1"/>
      <c r="IPC65" s="1"/>
      <c r="IPD65" s="1"/>
      <c r="IPE65" s="1"/>
      <c r="IPF65" s="1"/>
      <c r="IPG65" s="1"/>
      <c r="IPH65" s="1"/>
      <c r="IPI65" s="1"/>
      <c r="IPJ65" s="1"/>
      <c r="IPK65" s="1"/>
      <c r="IPL65" s="1"/>
      <c r="IPM65" s="1"/>
      <c r="IPN65" s="1"/>
      <c r="IPO65" s="1"/>
      <c r="IPP65" s="1"/>
      <c r="IPQ65" s="1"/>
      <c r="IPR65" s="1"/>
      <c r="IPS65" s="1"/>
      <c r="IPT65" s="1"/>
      <c r="IPU65" s="1"/>
      <c r="IPV65" s="1"/>
      <c r="IPW65" s="1"/>
      <c r="IPX65" s="1"/>
      <c r="IPY65" s="1"/>
      <c r="IPZ65" s="1"/>
      <c r="IQA65" s="1"/>
      <c r="IQB65" s="1"/>
      <c r="IQC65" s="1"/>
      <c r="IQD65" s="1"/>
      <c r="IQE65" s="1"/>
      <c r="IQF65" s="1"/>
      <c r="IQG65" s="1"/>
      <c r="IQH65" s="1"/>
      <c r="IQI65" s="1"/>
      <c r="IQJ65" s="1"/>
      <c r="IQK65" s="1"/>
      <c r="IQL65" s="1"/>
      <c r="IQM65" s="1"/>
      <c r="IQN65" s="1"/>
      <c r="IQO65" s="1"/>
      <c r="IQP65" s="1"/>
      <c r="IQQ65" s="1"/>
      <c r="IQR65" s="1"/>
      <c r="IQS65" s="1"/>
      <c r="IQT65" s="1"/>
      <c r="IQU65" s="1"/>
      <c r="IQV65" s="1"/>
      <c r="IQW65" s="1"/>
      <c r="IQX65" s="1"/>
      <c r="IQY65" s="1"/>
      <c r="IQZ65" s="1"/>
      <c r="IRA65" s="1"/>
      <c r="IRB65" s="1"/>
      <c r="IRC65" s="1"/>
      <c r="IRD65" s="1"/>
      <c r="IRE65" s="1"/>
      <c r="IRF65" s="1"/>
      <c r="IRG65" s="1"/>
      <c r="IRH65" s="1"/>
      <c r="IRI65" s="1"/>
      <c r="IRJ65" s="1"/>
      <c r="IRK65" s="1"/>
      <c r="IRL65" s="1"/>
      <c r="IRM65" s="1"/>
      <c r="IRN65" s="1"/>
      <c r="IRO65" s="1"/>
      <c r="IRP65" s="1"/>
      <c r="IRQ65" s="1"/>
      <c r="IRR65" s="1"/>
      <c r="IRS65" s="1"/>
      <c r="IRT65" s="1"/>
      <c r="IRU65" s="1"/>
      <c r="IRV65" s="1"/>
      <c r="IRW65" s="1"/>
      <c r="IRX65" s="1"/>
      <c r="IRY65" s="1"/>
      <c r="IRZ65" s="1"/>
      <c r="ISA65" s="1"/>
      <c r="ISB65" s="1"/>
      <c r="ISC65" s="1"/>
      <c r="ISD65" s="1"/>
      <c r="ISE65" s="1"/>
      <c r="ISF65" s="1"/>
      <c r="ISG65" s="1"/>
      <c r="ISH65" s="1"/>
      <c r="ISI65" s="1"/>
      <c r="ISJ65" s="1"/>
      <c r="ISK65" s="1"/>
      <c r="ISL65" s="1"/>
      <c r="ISM65" s="1"/>
      <c r="ISN65" s="1"/>
      <c r="ISO65" s="1"/>
      <c r="ISP65" s="1"/>
      <c r="ISQ65" s="1"/>
      <c r="ISR65" s="1"/>
      <c r="ISS65" s="1"/>
      <c r="IST65" s="1"/>
      <c r="ISU65" s="1"/>
      <c r="ISV65" s="1"/>
      <c r="ISW65" s="1"/>
      <c r="ISX65" s="1"/>
      <c r="ISY65" s="1"/>
      <c r="ISZ65" s="1"/>
      <c r="ITA65" s="1"/>
      <c r="ITB65" s="1"/>
      <c r="ITC65" s="1"/>
      <c r="ITD65" s="1"/>
      <c r="ITE65" s="1"/>
      <c r="ITF65" s="1"/>
      <c r="ITG65" s="1"/>
      <c r="ITH65" s="1"/>
      <c r="ITI65" s="1"/>
      <c r="ITJ65" s="1"/>
      <c r="ITK65" s="1"/>
      <c r="ITL65" s="1"/>
      <c r="ITM65" s="1"/>
      <c r="ITN65" s="1"/>
      <c r="ITO65" s="1"/>
      <c r="ITP65" s="1"/>
      <c r="ITQ65" s="1"/>
      <c r="ITR65" s="1"/>
      <c r="ITS65" s="1"/>
      <c r="ITT65" s="1"/>
      <c r="ITU65" s="1"/>
      <c r="ITV65" s="1"/>
      <c r="ITW65" s="1"/>
      <c r="ITX65" s="1"/>
      <c r="ITY65" s="1"/>
      <c r="ITZ65" s="1"/>
      <c r="IUA65" s="1"/>
      <c r="IUB65" s="1"/>
      <c r="IUC65" s="1"/>
      <c r="IUD65" s="1"/>
      <c r="IUE65" s="1"/>
      <c r="IUF65" s="1"/>
      <c r="IUG65" s="1"/>
      <c r="IUH65" s="1"/>
      <c r="IUI65" s="1"/>
      <c r="IUJ65" s="1"/>
      <c r="IUK65" s="1"/>
      <c r="IUL65" s="1"/>
      <c r="IUM65" s="1"/>
      <c r="IUN65" s="1"/>
      <c r="IUO65" s="1"/>
      <c r="IUP65" s="1"/>
      <c r="IUQ65" s="1"/>
      <c r="IUR65" s="1"/>
      <c r="IUS65" s="1"/>
      <c r="IUT65" s="1"/>
      <c r="IUU65" s="1"/>
      <c r="IUV65" s="1"/>
      <c r="IUW65" s="1"/>
      <c r="IUX65" s="1"/>
      <c r="IUY65" s="1"/>
      <c r="IUZ65" s="1"/>
      <c r="IVA65" s="1"/>
      <c r="IVB65" s="1"/>
      <c r="IVC65" s="1"/>
      <c r="IVD65" s="1"/>
      <c r="IVE65" s="1"/>
      <c r="IVF65" s="1"/>
      <c r="IVG65" s="1"/>
      <c r="IVH65" s="1"/>
      <c r="IVI65" s="1"/>
      <c r="IVJ65" s="1"/>
      <c r="IVK65" s="1"/>
      <c r="IVL65" s="1"/>
      <c r="IVM65" s="1"/>
      <c r="IVN65" s="1"/>
      <c r="IVO65" s="1"/>
      <c r="IVP65" s="1"/>
      <c r="IVQ65" s="1"/>
      <c r="IVR65" s="1"/>
      <c r="IVS65" s="1"/>
      <c r="IVT65" s="1"/>
      <c r="IVU65" s="1"/>
      <c r="IVV65" s="1"/>
      <c r="IVW65" s="1"/>
      <c r="IVX65" s="1"/>
      <c r="IVY65" s="1"/>
      <c r="IVZ65" s="1"/>
      <c r="IWA65" s="1"/>
      <c r="IWB65" s="1"/>
      <c r="IWC65" s="1"/>
      <c r="IWD65" s="1"/>
      <c r="IWE65" s="1"/>
      <c r="IWF65" s="1"/>
      <c r="IWG65" s="1"/>
      <c r="IWH65" s="1"/>
      <c r="IWI65" s="1"/>
      <c r="IWJ65" s="1"/>
      <c r="IWK65" s="1"/>
      <c r="IWL65" s="1"/>
      <c r="IWM65" s="1"/>
      <c r="IWN65" s="1"/>
      <c r="IWO65" s="1"/>
      <c r="IWP65" s="1"/>
      <c r="IWQ65" s="1"/>
      <c r="IWR65" s="1"/>
      <c r="IWS65" s="1"/>
      <c r="IWT65" s="1"/>
      <c r="IWU65" s="1"/>
      <c r="IWV65" s="1"/>
      <c r="IWW65" s="1"/>
      <c r="IWX65" s="1"/>
      <c r="IWY65" s="1"/>
      <c r="IWZ65" s="1"/>
      <c r="IXA65" s="1"/>
      <c r="IXB65" s="1"/>
      <c r="IXC65" s="1"/>
      <c r="IXD65" s="1"/>
      <c r="IXE65" s="1"/>
      <c r="IXF65" s="1"/>
      <c r="IXG65" s="1"/>
      <c r="IXH65" s="1"/>
      <c r="IXI65" s="1"/>
      <c r="IXJ65" s="1"/>
      <c r="IXK65" s="1"/>
      <c r="IXL65" s="1"/>
      <c r="IXM65" s="1"/>
      <c r="IXN65" s="1"/>
      <c r="IXO65" s="1"/>
      <c r="IXP65" s="1"/>
      <c r="IXQ65" s="1"/>
      <c r="IXR65" s="1"/>
      <c r="IXS65" s="1"/>
      <c r="IXT65" s="1"/>
      <c r="IXU65" s="1"/>
      <c r="IXV65" s="1"/>
      <c r="IXW65" s="1"/>
      <c r="IXX65" s="1"/>
      <c r="IXY65" s="1"/>
      <c r="IXZ65" s="1"/>
      <c r="IYA65" s="1"/>
      <c r="IYB65" s="1"/>
      <c r="IYC65" s="1"/>
      <c r="IYD65" s="1"/>
      <c r="IYE65" s="1"/>
      <c r="IYF65" s="1"/>
      <c r="IYG65" s="1"/>
      <c r="IYH65" s="1"/>
      <c r="IYI65" s="1"/>
      <c r="IYJ65" s="1"/>
      <c r="IYK65" s="1"/>
      <c r="IYL65" s="1"/>
      <c r="IYM65" s="1"/>
      <c r="IYN65" s="1"/>
      <c r="IYO65" s="1"/>
      <c r="IYP65" s="1"/>
      <c r="IYQ65" s="1"/>
      <c r="IYR65" s="1"/>
      <c r="IYS65" s="1"/>
      <c r="IYT65" s="1"/>
      <c r="IYU65" s="1"/>
      <c r="IYV65" s="1"/>
      <c r="IYW65" s="1"/>
      <c r="IYX65" s="1"/>
      <c r="IYY65" s="1"/>
      <c r="IYZ65" s="1"/>
      <c r="IZA65" s="1"/>
      <c r="IZB65" s="1"/>
      <c r="IZC65" s="1"/>
      <c r="IZD65" s="1"/>
      <c r="IZE65" s="1"/>
      <c r="IZF65" s="1"/>
      <c r="IZG65" s="1"/>
      <c r="IZH65" s="1"/>
      <c r="IZI65" s="1"/>
      <c r="IZJ65" s="1"/>
      <c r="IZK65" s="1"/>
      <c r="IZL65" s="1"/>
      <c r="IZM65" s="1"/>
      <c r="IZN65" s="1"/>
      <c r="IZO65" s="1"/>
      <c r="IZP65" s="1"/>
      <c r="IZQ65" s="1"/>
      <c r="IZR65" s="1"/>
      <c r="IZS65" s="1"/>
      <c r="IZT65" s="1"/>
      <c r="IZU65" s="1"/>
      <c r="IZV65" s="1"/>
      <c r="IZW65" s="1"/>
      <c r="IZX65" s="1"/>
      <c r="IZY65" s="1"/>
      <c r="IZZ65" s="1"/>
      <c r="JAA65" s="1"/>
      <c r="JAB65" s="1"/>
      <c r="JAC65" s="1"/>
      <c r="JAD65" s="1"/>
      <c r="JAE65" s="1"/>
      <c r="JAF65" s="1"/>
      <c r="JAG65" s="1"/>
      <c r="JAH65" s="1"/>
      <c r="JAI65" s="1"/>
      <c r="JAJ65" s="1"/>
      <c r="JAK65" s="1"/>
      <c r="JAL65" s="1"/>
      <c r="JAM65" s="1"/>
      <c r="JAN65" s="1"/>
      <c r="JAO65" s="1"/>
      <c r="JAP65" s="1"/>
      <c r="JAQ65" s="1"/>
      <c r="JAR65" s="1"/>
      <c r="JAS65" s="1"/>
      <c r="JAT65" s="1"/>
      <c r="JAU65" s="1"/>
      <c r="JAV65" s="1"/>
      <c r="JAW65" s="1"/>
      <c r="JAX65" s="1"/>
      <c r="JAY65" s="1"/>
      <c r="JAZ65" s="1"/>
      <c r="JBA65" s="1"/>
      <c r="JBB65" s="1"/>
      <c r="JBC65" s="1"/>
      <c r="JBD65" s="1"/>
      <c r="JBE65" s="1"/>
      <c r="JBF65" s="1"/>
      <c r="JBG65" s="1"/>
      <c r="JBH65" s="1"/>
      <c r="JBI65" s="1"/>
      <c r="JBJ65" s="1"/>
      <c r="JBK65" s="1"/>
      <c r="JBL65" s="1"/>
      <c r="JBM65" s="1"/>
      <c r="JBN65" s="1"/>
      <c r="JBO65" s="1"/>
      <c r="JBP65" s="1"/>
      <c r="JBQ65" s="1"/>
      <c r="JBR65" s="1"/>
      <c r="JBS65" s="1"/>
      <c r="JBT65" s="1"/>
      <c r="JBU65" s="1"/>
      <c r="JBV65" s="1"/>
      <c r="JBW65" s="1"/>
      <c r="JBX65" s="1"/>
      <c r="JBY65" s="1"/>
      <c r="JBZ65" s="1"/>
      <c r="JCA65" s="1"/>
      <c r="JCB65" s="1"/>
      <c r="JCC65" s="1"/>
      <c r="JCD65" s="1"/>
      <c r="JCE65" s="1"/>
      <c r="JCF65" s="1"/>
      <c r="JCG65" s="1"/>
      <c r="JCH65" s="1"/>
      <c r="JCI65" s="1"/>
      <c r="JCJ65" s="1"/>
      <c r="JCK65" s="1"/>
      <c r="JCL65" s="1"/>
      <c r="JCM65" s="1"/>
      <c r="JCN65" s="1"/>
      <c r="JCO65" s="1"/>
      <c r="JCP65" s="1"/>
      <c r="JCQ65" s="1"/>
      <c r="JCR65" s="1"/>
      <c r="JCS65" s="1"/>
      <c r="JCT65" s="1"/>
      <c r="JCU65" s="1"/>
      <c r="JCV65" s="1"/>
      <c r="JCW65" s="1"/>
      <c r="JCX65" s="1"/>
      <c r="JCY65" s="1"/>
      <c r="JCZ65" s="1"/>
      <c r="JDA65" s="1"/>
      <c r="JDB65" s="1"/>
      <c r="JDC65" s="1"/>
      <c r="JDD65" s="1"/>
      <c r="JDE65" s="1"/>
      <c r="JDF65" s="1"/>
      <c r="JDG65" s="1"/>
      <c r="JDH65" s="1"/>
      <c r="JDI65" s="1"/>
      <c r="JDJ65" s="1"/>
      <c r="JDK65" s="1"/>
      <c r="JDL65" s="1"/>
      <c r="JDM65" s="1"/>
      <c r="JDN65" s="1"/>
      <c r="JDO65" s="1"/>
      <c r="JDP65" s="1"/>
      <c r="JDQ65" s="1"/>
      <c r="JDR65" s="1"/>
      <c r="JDS65" s="1"/>
      <c r="JDT65" s="1"/>
      <c r="JDU65" s="1"/>
      <c r="JDV65" s="1"/>
      <c r="JDW65" s="1"/>
      <c r="JDX65" s="1"/>
      <c r="JDY65" s="1"/>
      <c r="JDZ65" s="1"/>
      <c r="JEA65" s="1"/>
      <c r="JEB65" s="1"/>
      <c r="JEC65" s="1"/>
      <c r="JED65" s="1"/>
      <c r="JEE65" s="1"/>
      <c r="JEF65" s="1"/>
      <c r="JEG65" s="1"/>
      <c r="JEH65" s="1"/>
      <c r="JEI65" s="1"/>
      <c r="JEJ65" s="1"/>
      <c r="JEK65" s="1"/>
      <c r="JEL65" s="1"/>
      <c r="JEM65" s="1"/>
      <c r="JEN65" s="1"/>
      <c r="JEO65" s="1"/>
      <c r="JEP65" s="1"/>
      <c r="JEQ65" s="1"/>
      <c r="JER65" s="1"/>
      <c r="JES65" s="1"/>
      <c r="JET65" s="1"/>
      <c r="JEU65" s="1"/>
      <c r="JEV65" s="1"/>
      <c r="JEW65" s="1"/>
      <c r="JEX65" s="1"/>
      <c r="JEY65" s="1"/>
      <c r="JEZ65" s="1"/>
      <c r="JFA65" s="1"/>
      <c r="JFB65" s="1"/>
      <c r="JFC65" s="1"/>
      <c r="JFD65" s="1"/>
      <c r="JFE65" s="1"/>
      <c r="JFF65" s="1"/>
      <c r="JFG65" s="1"/>
      <c r="JFH65" s="1"/>
      <c r="JFI65" s="1"/>
      <c r="JFJ65" s="1"/>
      <c r="JFK65" s="1"/>
      <c r="JFL65" s="1"/>
      <c r="JFM65" s="1"/>
      <c r="JFN65" s="1"/>
      <c r="JFO65" s="1"/>
      <c r="JFP65" s="1"/>
      <c r="JFQ65" s="1"/>
      <c r="JFR65" s="1"/>
      <c r="JFS65" s="1"/>
      <c r="JFT65" s="1"/>
      <c r="JFU65" s="1"/>
      <c r="JFV65" s="1"/>
      <c r="JFW65" s="1"/>
      <c r="JFX65" s="1"/>
      <c r="JFY65" s="1"/>
      <c r="JFZ65" s="1"/>
      <c r="JGA65" s="1"/>
      <c r="JGB65" s="1"/>
      <c r="JGC65" s="1"/>
      <c r="JGD65" s="1"/>
      <c r="JGE65" s="1"/>
      <c r="JGF65" s="1"/>
      <c r="JGG65" s="1"/>
      <c r="JGH65" s="1"/>
      <c r="JGI65" s="1"/>
      <c r="JGJ65" s="1"/>
      <c r="JGK65" s="1"/>
      <c r="JGL65" s="1"/>
      <c r="JGM65" s="1"/>
      <c r="JGN65" s="1"/>
      <c r="JGO65" s="1"/>
      <c r="JGP65" s="1"/>
      <c r="JGQ65" s="1"/>
      <c r="JGR65" s="1"/>
      <c r="JGS65" s="1"/>
      <c r="JGT65" s="1"/>
      <c r="JGU65" s="1"/>
      <c r="JGV65" s="1"/>
      <c r="JGW65" s="1"/>
      <c r="JGX65" s="1"/>
      <c r="JGY65" s="1"/>
      <c r="JGZ65" s="1"/>
      <c r="JHA65" s="1"/>
      <c r="JHB65" s="1"/>
      <c r="JHC65" s="1"/>
      <c r="JHD65" s="1"/>
      <c r="JHE65" s="1"/>
      <c r="JHF65" s="1"/>
      <c r="JHG65" s="1"/>
      <c r="JHH65" s="1"/>
      <c r="JHI65" s="1"/>
      <c r="JHJ65" s="1"/>
      <c r="JHK65" s="1"/>
      <c r="JHL65" s="1"/>
      <c r="JHM65" s="1"/>
      <c r="JHN65" s="1"/>
      <c r="JHO65" s="1"/>
      <c r="JHP65" s="1"/>
      <c r="JHQ65" s="1"/>
      <c r="JHR65" s="1"/>
      <c r="JHS65" s="1"/>
      <c r="JHT65" s="1"/>
      <c r="JHU65" s="1"/>
      <c r="JHV65" s="1"/>
      <c r="JHW65" s="1"/>
      <c r="JHX65" s="1"/>
      <c r="JHY65" s="1"/>
      <c r="JHZ65" s="1"/>
      <c r="JIA65" s="1"/>
      <c r="JIB65" s="1"/>
      <c r="JIC65" s="1"/>
      <c r="JID65" s="1"/>
      <c r="JIE65" s="1"/>
      <c r="JIF65" s="1"/>
      <c r="JIG65" s="1"/>
      <c r="JIH65" s="1"/>
      <c r="JII65" s="1"/>
      <c r="JIJ65" s="1"/>
      <c r="JIK65" s="1"/>
      <c r="JIL65" s="1"/>
      <c r="JIM65" s="1"/>
      <c r="JIN65" s="1"/>
      <c r="JIO65" s="1"/>
      <c r="JIP65" s="1"/>
      <c r="JIQ65" s="1"/>
      <c r="JIR65" s="1"/>
      <c r="JIS65" s="1"/>
      <c r="JIT65" s="1"/>
      <c r="JIU65" s="1"/>
      <c r="JIV65" s="1"/>
      <c r="JIW65" s="1"/>
      <c r="JIX65" s="1"/>
      <c r="JIY65" s="1"/>
      <c r="JIZ65" s="1"/>
      <c r="JJA65" s="1"/>
      <c r="JJB65" s="1"/>
      <c r="JJC65" s="1"/>
      <c r="JJD65" s="1"/>
      <c r="JJE65" s="1"/>
      <c r="JJF65" s="1"/>
      <c r="JJG65" s="1"/>
      <c r="JJH65" s="1"/>
      <c r="JJI65" s="1"/>
      <c r="JJJ65" s="1"/>
      <c r="JJK65" s="1"/>
      <c r="JJL65" s="1"/>
      <c r="JJM65" s="1"/>
      <c r="JJN65" s="1"/>
      <c r="JJO65" s="1"/>
      <c r="JJP65" s="1"/>
      <c r="JJQ65" s="1"/>
      <c r="JJR65" s="1"/>
      <c r="JJS65" s="1"/>
      <c r="JJT65" s="1"/>
      <c r="JJU65" s="1"/>
      <c r="JJV65" s="1"/>
      <c r="JJW65" s="1"/>
      <c r="JJX65" s="1"/>
      <c r="JJY65" s="1"/>
      <c r="JJZ65" s="1"/>
      <c r="JKA65" s="1"/>
      <c r="JKB65" s="1"/>
      <c r="JKC65" s="1"/>
      <c r="JKD65" s="1"/>
      <c r="JKE65" s="1"/>
      <c r="JKF65" s="1"/>
      <c r="JKG65" s="1"/>
      <c r="JKH65" s="1"/>
      <c r="JKI65" s="1"/>
      <c r="JKJ65" s="1"/>
      <c r="JKK65" s="1"/>
      <c r="JKL65" s="1"/>
      <c r="JKM65" s="1"/>
      <c r="JKN65" s="1"/>
      <c r="JKO65" s="1"/>
      <c r="JKP65" s="1"/>
      <c r="JKQ65" s="1"/>
      <c r="JKR65" s="1"/>
      <c r="JKS65" s="1"/>
      <c r="JKT65" s="1"/>
      <c r="JKU65" s="1"/>
      <c r="JKV65" s="1"/>
      <c r="JKW65" s="1"/>
      <c r="JKX65" s="1"/>
      <c r="JKY65" s="1"/>
      <c r="JKZ65" s="1"/>
      <c r="JLA65" s="1"/>
      <c r="JLB65" s="1"/>
      <c r="JLC65" s="1"/>
      <c r="JLD65" s="1"/>
      <c r="JLE65" s="1"/>
      <c r="JLF65" s="1"/>
      <c r="JLG65" s="1"/>
      <c r="JLH65" s="1"/>
      <c r="JLI65" s="1"/>
      <c r="JLJ65" s="1"/>
      <c r="JLK65" s="1"/>
      <c r="JLL65" s="1"/>
      <c r="JLM65" s="1"/>
      <c r="JLN65" s="1"/>
      <c r="JLO65" s="1"/>
      <c r="JLP65" s="1"/>
      <c r="JLQ65" s="1"/>
      <c r="JLR65" s="1"/>
      <c r="JLS65" s="1"/>
      <c r="JLT65" s="1"/>
      <c r="JLU65" s="1"/>
      <c r="JLV65" s="1"/>
      <c r="JLW65" s="1"/>
      <c r="JLX65" s="1"/>
      <c r="JLY65" s="1"/>
      <c r="JLZ65" s="1"/>
      <c r="JMA65" s="1"/>
      <c r="JMB65" s="1"/>
      <c r="JMC65" s="1"/>
      <c r="JMD65" s="1"/>
      <c r="JME65" s="1"/>
      <c r="JMF65" s="1"/>
      <c r="JMG65" s="1"/>
      <c r="JMH65" s="1"/>
      <c r="JMI65" s="1"/>
      <c r="JMJ65" s="1"/>
      <c r="JMK65" s="1"/>
      <c r="JML65" s="1"/>
      <c r="JMM65" s="1"/>
      <c r="JMN65" s="1"/>
      <c r="JMO65" s="1"/>
      <c r="JMP65" s="1"/>
      <c r="JMQ65" s="1"/>
      <c r="JMR65" s="1"/>
      <c r="JMS65" s="1"/>
      <c r="JMT65" s="1"/>
      <c r="JMU65" s="1"/>
      <c r="JMV65" s="1"/>
      <c r="JMW65" s="1"/>
      <c r="JMX65" s="1"/>
      <c r="JMY65" s="1"/>
      <c r="JMZ65" s="1"/>
      <c r="JNA65" s="1"/>
      <c r="JNB65" s="1"/>
      <c r="JNC65" s="1"/>
      <c r="JND65" s="1"/>
      <c r="JNE65" s="1"/>
      <c r="JNF65" s="1"/>
      <c r="JNG65" s="1"/>
      <c r="JNH65" s="1"/>
      <c r="JNI65" s="1"/>
      <c r="JNJ65" s="1"/>
      <c r="JNK65" s="1"/>
      <c r="JNL65" s="1"/>
      <c r="JNM65" s="1"/>
      <c r="JNN65" s="1"/>
      <c r="JNO65" s="1"/>
      <c r="JNP65" s="1"/>
      <c r="JNQ65" s="1"/>
      <c r="JNR65" s="1"/>
      <c r="JNS65" s="1"/>
      <c r="JNT65" s="1"/>
      <c r="JNU65" s="1"/>
      <c r="JNV65" s="1"/>
      <c r="JNW65" s="1"/>
      <c r="JNX65" s="1"/>
      <c r="JNY65" s="1"/>
      <c r="JNZ65" s="1"/>
      <c r="JOA65" s="1"/>
      <c r="JOB65" s="1"/>
      <c r="JOC65" s="1"/>
      <c r="JOD65" s="1"/>
      <c r="JOE65" s="1"/>
      <c r="JOF65" s="1"/>
      <c r="JOG65" s="1"/>
      <c r="JOH65" s="1"/>
      <c r="JOI65" s="1"/>
      <c r="JOJ65" s="1"/>
      <c r="JOK65" s="1"/>
      <c r="JOL65" s="1"/>
      <c r="JOM65" s="1"/>
      <c r="JON65" s="1"/>
      <c r="JOO65" s="1"/>
      <c r="JOP65" s="1"/>
      <c r="JOQ65" s="1"/>
      <c r="JOR65" s="1"/>
      <c r="JOS65" s="1"/>
      <c r="JOT65" s="1"/>
      <c r="JOU65" s="1"/>
      <c r="JOV65" s="1"/>
      <c r="JOW65" s="1"/>
      <c r="JOX65" s="1"/>
      <c r="JOY65" s="1"/>
      <c r="JOZ65" s="1"/>
      <c r="JPA65" s="1"/>
      <c r="JPB65" s="1"/>
      <c r="JPC65" s="1"/>
      <c r="JPD65" s="1"/>
      <c r="JPE65" s="1"/>
      <c r="JPF65" s="1"/>
      <c r="JPG65" s="1"/>
      <c r="JPH65" s="1"/>
      <c r="JPI65" s="1"/>
      <c r="JPJ65" s="1"/>
      <c r="JPK65" s="1"/>
      <c r="JPL65" s="1"/>
      <c r="JPM65" s="1"/>
      <c r="JPN65" s="1"/>
      <c r="JPO65" s="1"/>
      <c r="JPP65" s="1"/>
      <c r="JPQ65" s="1"/>
      <c r="JPR65" s="1"/>
      <c r="JPS65" s="1"/>
      <c r="JPT65" s="1"/>
      <c r="JPU65" s="1"/>
      <c r="JPV65" s="1"/>
      <c r="JPW65" s="1"/>
      <c r="JPX65" s="1"/>
      <c r="JPY65" s="1"/>
      <c r="JPZ65" s="1"/>
      <c r="JQA65" s="1"/>
      <c r="JQB65" s="1"/>
      <c r="JQC65" s="1"/>
      <c r="JQD65" s="1"/>
      <c r="JQE65" s="1"/>
      <c r="JQF65" s="1"/>
      <c r="JQG65" s="1"/>
      <c r="JQH65" s="1"/>
      <c r="JQI65" s="1"/>
      <c r="JQJ65" s="1"/>
      <c r="JQK65" s="1"/>
      <c r="JQL65" s="1"/>
      <c r="JQM65" s="1"/>
      <c r="JQN65" s="1"/>
      <c r="JQO65" s="1"/>
      <c r="JQP65" s="1"/>
      <c r="JQQ65" s="1"/>
      <c r="JQR65" s="1"/>
      <c r="JQS65" s="1"/>
      <c r="JQT65" s="1"/>
      <c r="JQU65" s="1"/>
      <c r="JQV65" s="1"/>
      <c r="JQW65" s="1"/>
      <c r="JQX65" s="1"/>
      <c r="JQY65" s="1"/>
      <c r="JQZ65" s="1"/>
      <c r="JRA65" s="1"/>
      <c r="JRB65" s="1"/>
      <c r="JRC65" s="1"/>
      <c r="JRD65" s="1"/>
      <c r="JRE65" s="1"/>
      <c r="JRF65" s="1"/>
      <c r="JRG65" s="1"/>
      <c r="JRH65" s="1"/>
      <c r="JRI65" s="1"/>
      <c r="JRJ65" s="1"/>
      <c r="JRK65" s="1"/>
      <c r="JRL65" s="1"/>
      <c r="JRM65" s="1"/>
      <c r="JRN65" s="1"/>
      <c r="JRO65" s="1"/>
      <c r="JRP65" s="1"/>
      <c r="JRQ65" s="1"/>
      <c r="JRR65" s="1"/>
      <c r="JRS65" s="1"/>
      <c r="JRT65" s="1"/>
      <c r="JRU65" s="1"/>
      <c r="JRV65" s="1"/>
      <c r="JRW65" s="1"/>
      <c r="JRX65" s="1"/>
      <c r="JRY65" s="1"/>
      <c r="JRZ65" s="1"/>
      <c r="JSA65" s="1"/>
      <c r="JSB65" s="1"/>
      <c r="JSC65" s="1"/>
      <c r="JSD65" s="1"/>
      <c r="JSE65" s="1"/>
      <c r="JSF65" s="1"/>
      <c r="JSG65" s="1"/>
      <c r="JSH65" s="1"/>
      <c r="JSI65" s="1"/>
      <c r="JSJ65" s="1"/>
      <c r="JSK65" s="1"/>
      <c r="JSL65" s="1"/>
      <c r="JSM65" s="1"/>
      <c r="JSN65" s="1"/>
      <c r="JSO65" s="1"/>
      <c r="JSP65" s="1"/>
      <c r="JSQ65" s="1"/>
      <c r="JSR65" s="1"/>
      <c r="JSS65" s="1"/>
      <c r="JST65" s="1"/>
      <c r="JSU65" s="1"/>
      <c r="JSV65" s="1"/>
      <c r="JSW65" s="1"/>
      <c r="JSX65" s="1"/>
      <c r="JSY65" s="1"/>
      <c r="JSZ65" s="1"/>
      <c r="JTA65" s="1"/>
      <c r="JTB65" s="1"/>
      <c r="JTC65" s="1"/>
      <c r="JTD65" s="1"/>
      <c r="JTE65" s="1"/>
      <c r="JTF65" s="1"/>
      <c r="JTG65" s="1"/>
      <c r="JTH65" s="1"/>
      <c r="JTI65" s="1"/>
      <c r="JTJ65" s="1"/>
      <c r="JTK65" s="1"/>
      <c r="JTL65" s="1"/>
      <c r="JTM65" s="1"/>
      <c r="JTN65" s="1"/>
      <c r="JTO65" s="1"/>
      <c r="JTP65" s="1"/>
      <c r="JTQ65" s="1"/>
      <c r="JTR65" s="1"/>
      <c r="JTS65" s="1"/>
      <c r="JTT65" s="1"/>
      <c r="JTU65" s="1"/>
      <c r="JTV65" s="1"/>
      <c r="JTW65" s="1"/>
      <c r="JTX65" s="1"/>
      <c r="JTY65" s="1"/>
      <c r="JTZ65" s="1"/>
      <c r="JUA65" s="1"/>
      <c r="JUB65" s="1"/>
      <c r="JUC65" s="1"/>
      <c r="JUD65" s="1"/>
      <c r="JUE65" s="1"/>
      <c r="JUF65" s="1"/>
      <c r="JUG65" s="1"/>
      <c r="JUH65" s="1"/>
      <c r="JUI65" s="1"/>
      <c r="JUJ65" s="1"/>
      <c r="JUK65" s="1"/>
      <c r="JUL65" s="1"/>
      <c r="JUM65" s="1"/>
      <c r="JUN65" s="1"/>
      <c r="JUO65" s="1"/>
      <c r="JUP65" s="1"/>
      <c r="JUQ65" s="1"/>
      <c r="JUR65" s="1"/>
      <c r="JUS65" s="1"/>
      <c r="JUT65" s="1"/>
      <c r="JUU65" s="1"/>
      <c r="JUV65" s="1"/>
      <c r="JUW65" s="1"/>
      <c r="JUX65" s="1"/>
      <c r="JUY65" s="1"/>
      <c r="JUZ65" s="1"/>
      <c r="JVA65" s="1"/>
      <c r="JVB65" s="1"/>
      <c r="JVC65" s="1"/>
      <c r="JVD65" s="1"/>
      <c r="JVE65" s="1"/>
      <c r="JVF65" s="1"/>
      <c r="JVG65" s="1"/>
      <c r="JVH65" s="1"/>
      <c r="JVI65" s="1"/>
      <c r="JVJ65" s="1"/>
      <c r="JVK65" s="1"/>
      <c r="JVL65" s="1"/>
      <c r="JVM65" s="1"/>
      <c r="JVN65" s="1"/>
      <c r="JVO65" s="1"/>
      <c r="JVP65" s="1"/>
      <c r="JVQ65" s="1"/>
      <c r="JVR65" s="1"/>
      <c r="JVS65" s="1"/>
      <c r="JVT65" s="1"/>
      <c r="JVU65" s="1"/>
      <c r="JVV65" s="1"/>
      <c r="JVW65" s="1"/>
      <c r="JVX65" s="1"/>
      <c r="JVY65" s="1"/>
      <c r="JVZ65" s="1"/>
      <c r="JWA65" s="1"/>
      <c r="JWB65" s="1"/>
      <c r="JWC65" s="1"/>
      <c r="JWD65" s="1"/>
      <c r="JWE65" s="1"/>
      <c r="JWF65" s="1"/>
      <c r="JWG65" s="1"/>
      <c r="JWH65" s="1"/>
      <c r="JWI65" s="1"/>
      <c r="JWJ65" s="1"/>
      <c r="JWK65" s="1"/>
      <c r="JWL65" s="1"/>
      <c r="JWM65" s="1"/>
      <c r="JWN65" s="1"/>
      <c r="JWO65" s="1"/>
      <c r="JWP65" s="1"/>
      <c r="JWQ65" s="1"/>
      <c r="JWR65" s="1"/>
      <c r="JWS65" s="1"/>
      <c r="JWT65" s="1"/>
      <c r="JWU65" s="1"/>
      <c r="JWV65" s="1"/>
      <c r="JWW65" s="1"/>
      <c r="JWX65" s="1"/>
      <c r="JWY65" s="1"/>
      <c r="JWZ65" s="1"/>
      <c r="JXA65" s="1"/>
      <c r="JXB65" s="1"/>
      <c r="JXC65" s="1"/>
      <c r="JXD65" s="1"/>
      <c r="JXE65" s="1"/>
      <c r="JXF65" s="1"/>
      <c r="JXG65" s="1"/>
      <c r="JXH65" s="1"/>
      <c r="JXI65" s="1"/>
      <c r="JXJ65" s="1"/>
      <c r="JXK65" s="1"/>
      <c r="JXL65" s="1"/>
      <c r="JXM65" s="1"/>
      <c r="JXN65" s="1"/>
      <c r="JXO65" s="1"/>
      <c r="JXP65" s="1"/>
      <c r="JXQ65" s="1"/>
      <c r="JXR65" s="1"/>
      <c r="JXS65" s="1"/>
      <c r="JXT65" s="1"/>
      <c r="JXU65" s="1"/>
      <c r="JXV65" s="1"/>
      <c r="JXW65" s="1"/>
      <c r="JXX65" s="1"/>
      <c r="JXY65" s="1"/>
      <c r="JXZ65" s="1"/>
      <c r="JYA65" s="1"/>
      <c r="JYB65" s="1"/>
      <c r="JYC65" s="1"/>
      <c r="JYD65" s="1"/>
      <c r="JYE65" s="1"/>
      <c r="JYF65" s="1"/>
      <c r="JYG65" s="1"/>
      <c r="JYH65" s="1"/>
      <c r="JYI65" s="1"/>
      <c r="JYJ65" s="1"/>
      <c r="JYK65" s="1"/>
      <c r="JYL65" s="1"/>
      <c r="JYM65" s="1"/>
      <c r="JYN65" s="1"/>
      <c r="JYO65" s="1"/>
      <c r="JYP65" s="1"/>
      <c r="JYQ65" s="1"/>
      <c r="JYR65" s="1"/>
      <c r="JYS65" s="1"/>
      <c r="JYT65" s="1"/>
      <c r="JYU65" s="1"/>
      <c r="JYV65" s="1"/>
      <c r="JYW65" s="1"/>
      <c r="JYX65" s="1"/>
      <c r="JYY65" s="1"/>
      <c r="JYZ65" s="1"/>
      <c r="JZA65" s="1"/>
      <c r="JZB65" s="1"/>
      <c r="JZC65" s="1"/>
      <c r="JZD65" s="1"/>
      <c r="JZE65" s="1"/>
      <c r="JZF65" s="1"/>
      <c r="JZG65" s="1"/>
      <c r="JZH65" s="1"/>
      <c r="JZI65" s="1"/>
      <c r="JZJ65" s="1"/>
      <c r="JZK65" s="1"/>
      <c r="JZL65" s="1"/>
      <c r="JZM65" s="1"/>
      <c r="JZN65" s="1"/>
      <c r="JZO65" s="1"/>
      <c r="JZP65" s="1"/>
      <c r="JZQ65" s="1"/>
      <c r="JZR65" s="1"/>
      <c r="JZS65" s="1"/>
      <c r="JZT65" s="1"/>
      <c r="JZU65" s="1"/>
      <c r="JZV65" s="1"/>
      <c r="JZW65" s="1"/>
      <c r="JZX65" s="1"/>
      <c r="JZY65" s="1"/>
      <c r="JZZ65" s="1"/>
      <c r="KAA65" s="1"/>
      <c r="KAB65" s="1"/>
      <c r="KAC65" s="1"/>
      <c r="KAD65" s="1"/>
      <c r="KAE65" s="1"/>
      <c r="KAF65" s="1"/>
      <c r="KAG65" s="1"/>
      <c r="KAH65" s="1"/>
      <c r="KAI65" s="1"/>
      <c r="KAJ65" s="1"/>
      <c r="KAK65" s="1"/>
      <c r="KAL65" s="1"/>
      <c r="KAM65" s="1"/>
      <c r="KAN65" s="1"/>
      <c r="KAO65" s="1"/>
      <c r="KAP65" s="1"/>
      <c r="KAQ65" s="1"/>
      <c r="KAR65" s="1"/>
      <c r="KAS65" s="1"/>
      <c r="KAT65" s="1"/>
      <c r="KAU65" s="1"/>
      <c r="KAV65" s="1"/>
      <c r="KAW65" s="1"/>
      <c r="KAX65" s="1"/>
      <c r="KAY65" s="1"/>
      <c r="KAZ65" s="1"/>
      <c r="KBA65" s="1"/>
      <c r="KBB65" s="1"/>
      <c r="KBC65" s="1"/>
      <c r="KBD65" s="1"/>
      <c r="KBE65" s="1"/>
      <c r="KBF65" s="1"/>
      <c r="KBG65" s="1"/>
      <c r="KBH65" s="1"/>
      <c r="KBI65" s="1"/>
      <c r="KBJ65" s="1"/>
      <c r="KBK65" s="1"/>
      <c r="KBL65" s="1"/>
      <c r="KBM65" s="1"/>
      <c r="KBN65" s="1"/>
      <c r="KBO65" s="1"/>
      <c r="KBP65" s="1"/>
      <c r="KBQ65" s="1"/>
      <c r="KBR65" s="1"/>
      <c r="KBS65" s="1"/>
      <c r="KBT65" s="1"/>
      <c r="KBU65" s="1"/>
      <c r="KBV65" s="1"/>
      <c r="KBW65" s="1"/>
      <c r="KBX65" s="1"/>
      <c r="KBY65" s="1"/>
      <c r="KBZ65" s="1"/>
      <c r="KCA65" s="1"/>
      <c r="KCB65" s="1"/>
      <c r="KCC65" s="1"/>
      <c r="KCD65" s="1"/>
      <c r="KCE65" s="1"/>
      <c r="KCF65" s="1"/>
      <c r="KCG65" s="1"/>
      <c r="KCH65" s="1"/>
      <c r="KCI65" s="1"/>
      <c r="KCJ65" s="1"/>
      <c r="KCK65" s="1"/>
      <c r="KCL65" s="1"/>
      <c r="KCM65" s="1"/>
      <c r="KCN65" s="1"/>
      <c r="KCO65" s="1"/>
      <c r="KCP65" s="1"/>
      <c r="KCQ65" s="1"/>
      <c r="KCR65" s="1"/>
      <c r="KCS65" s="1"/>
      <c r="KCT65" s="1"/>
      <c r="KCU65" s="1"/>
      <c r="KCV65" s="1"/>
      <c r="KCW65" s="1"/>
      <c r="KCX65" s="1"/>
      <c r="KCY65" s="1"/>
      <c r="KCZ65" s="1"/>
      <c r="KDA65" s="1"/>
      <c r="KDB65" s="1"/>
      <c r="KDC65" s="1"/>
      <c r="KDD65" s="1"/>
      <c r="KDE65" s="1"/>
      <c r="KDF65" s="1"/>
      <c r="KDG65" s="1"/>
      <c r="KDH65" s="1"/>
      <c r="KDI65" s="1"/>
      <c r="KDJ65" s="1"/>
      <c r="KDK65" s="1"/>
      <c r="KDL65" s="1"/>
      <c r="KDM65" s="1"/>
      <c r="KDN65" s="1"/>
      <c r="KDO65" s="1"/>
      <c r="KDP65" s="1"/>
      <c r="KDQ65" s="1"/>
      <c r="KDR65" s="1"/>
      <c r="KDS65" s="1"/>
      <c r="KDT65" s="1"/>
      <c r="KDU65" s="1"/>
      <c r="KDV65" s="1"/>
      <c r="KDW65" s="1"/>
      <c r="KDX65" s="1"/>
      <c r="KDY65" s="1"/>
      <c r="KDZ65" s="1"/>
      <c r="KEA65" s="1"/>
      <c r="KEB65" s="1"/>
      <c r="KEC65" s="1"/>
      <c r="KED65" s="1"/>
      <c r="KEE65" s="1"/>
      <c r="KEF65" s="1"/>
      <c r="KEG65" s="1"/>
      <c r="KEH65" s="1"/>
      <c r="KEI65" s="1"/>
      <c r="KEJ65" s="1"/>
      <c r="KEK65" s="1"/>
      <c r="KEL65" s="1"/>
      <c r="KEM65" s="1"/>
      <c r="KEN65" s="1"/>
      <c r="KEO65" s="1"/>
      <c r="KEP65" s="1"/>
      <c r="KEQ65" s="1"/>
      <c r="KER65" s="1"/>
      <c r="KES65" s="1"/>
      <c r="KET65" s="1"/>
      <c r="KEU65" s="1"/>
      <c r="KEV65" s="1"/>
      <c r="KEW65" s="1"/>
      <c r="KEX65" s="1"/>
      <c r="KEY65" s="1"/>
      <c r="KEZ65" s="1"/>
      <c r="KFA65" s="1"/>
      <c r="KFB65" s="1"/>
      <c r="KFC65" s="1"/>
      <c r="KFD65" s="1"/>
      <c r="KFE65" s="1"/>
      <c r="KFF65" s="1"/>
      <c r="KFG65" s="1"/>
      <c r="KFH65" s="1"/>
      <c r="KFI65" s="1"/>
      <c r="KFJ65" s="1"/>
      <c r="KFK65" s="1"/>
      <c r="KFL65" s="1"/>
      <c r="KFM65" s="1"/>
      <c r="KFN65" s="1"/>
      <c r="KFO65" s="1"/>
      <c r="KFP65" s="1"/>
      <c r="KFQ65" s="1"/>
      <c r="KFR65" s="1"/>
      <c r="KFS65" s="1"/>
      <c r="KFT65" s="1"/>
      <c r="KFU65" s="1"/>
      <c r="KFV65" s="1"/>
      <c r="KFW65" s="1"/>
      <c r="KFX65" s="1"/>
      <c r="KFY65" s="1"/>
      <c r="KFZ65" s="1"/>
      <c r="KGA65" s="1"/>
      <c r="KGB65" s="1"/>
      <c r="KGC65" s="1"/>
      <c r="KGD65" s="1"/>
      <c r="KGE65" s="1"/>
      <c r="KGF65" s="1"/>
      <c r="KGG65" s="1"/>
      <c r="KGH65" s="1"/>
      <c r="KGI65" s="1"/>
      <c r="KGJ65" s="1"/>
      <c r="KGK65" s="1"/>
      <c r="KGL65" s="1"/>
      <c r="KGM65" s="1"/>
      <c r="KGN65" s="1"/>
      <c r="KGO65" s="1"/>
      <c r="KGP65" s="1"/>
      <c r="KGQ65" s="1"/>
      <c r="KGR65" s="1"/>
      <c r="KGS65" s="1"/>
      <c r="KGT65" s="1"/>
      <c r="KGU65" s="1"/>
      <c r="KGV65" s="1"/>
      <c r="KGW65" s="1"/>
      <c r="KGX65" s="1"/>
      <c r="KGY65" s="1"/>
      <c r="KGZ65" s="1"/>
      <c r="KHA65" s="1"/>
      <c r="KHB65" s="1"/>
      <c r="KHC65" s="1"/>
      <c r="KHD65" s="1"/>
      <c r="KHE65" s="1"/>
      <c r="KHF65" s="1"/>
      <c r="KHG65" s="1"/>
      <c r="KHH65" s="1"/>
      <c r="KHI65" s="1"/>
      <c r="KHJ65" s="1"/>
      <c r="KHK65" s="1"/>
      <c r="KHL65" s="1"/>
      <c r="KHM65" s="1"/>
      <c r="KHN65" s="1"/>
      <c r="KHO65" s="1"/>
      <c r="KHP65" s="1"/>
      <c r="KHQ65" s="1"/>
      <c r="KHR65" s="1"/>
      <c r="KHS65" s="1"/>
      <c r="KHT65" s="1"/>
      <c r="KHU65" s="1"/>
      <c r="KHV65" s="1"/>
      <c r="KHW65" s="1"/>
      <c r="KHX65" s="1"/>
      <c r="KHY65" s="1"/>
      <c r="KHZ65" s="1"/>
      <c r="KIA65" s="1"/>
      <c r="KIB65" s="1"/>
      <c r="KIC65" s="1"/>
      <c r="KID65" s="1"/>
      <c r="KIE65" s="1"/>
      <c r="KIF65" s="1"/>
      <c r="KIG65" s="1"/>
      <c r="KIH65" s="1"/>
      <c r="KII65" s="1"/>
      <c r="KIJ65" s="1"/>
      <c r="KIK65" s="1"/>
      <c r="KIL65" s="1"/>
      <c r="KIM65" s="1"/>
      <c r="KIN65" s="1"/>
      <c r="KIO65" s="1"/>
      <c r="KIP65" s="1"/>
      <c r="KIQ65" s="1"/>
      <c r="KIR65" s="1"/>
      <c r="KIS65" s="1"/>
      <c r="KIT65" s="1"/>
      <c r="KIU65" s="1"/>
      <c r="KIV65" s="1"/>
      <c r="KIW65" s="1"/>
      <c r="KIX65" s="1"/>
      <c r="KIY65" s="1"/>
      <c r="KIZ65" s="1"/>
      <c r="KJA65" s="1"/>
      <c r="KJB65" s="1"/>
      <c r="KJC65" s="1"/>
      <c r="KJD65" s="1"/>
      <c r="KJE65" s="1"/>
      <c r="KJF65" s="1"/>
      <c r="KJG65" s="1"/>
      <c r="KJH65" s="1"/>
      <c r="KJI65" s="1"/>
      <c r="KJJ65" s="1"/>
      <c r="KJK65" s="1"/>
      <c r="KJL65" s="1"/>
      <c r="KJM65" s="1"/>
      <c r="KJN65" s="1"/>
      <c r="KJO65" s="1"/>
      <c r="KJP65" s="1"/>
      <c r="KJQ65" s="1"/>
      <c r="KJR65" s="1"/>
      <c r="KJS65" s="1"/>
      <c r="KJT65" s="1"/>
      <c r="KJU65" s="1"/>
      <c r="KJV65" s="1"/>
      <c r="KJW65" s="1"/>
      <c r="KJX65" s="1"/>
      <c r="KJY65" s="1"/>
      <c r="KJZ65" s="1"/>
      <c r="KKA65" s="1"/>
      <c r="KKB65" s="1"/>
      <c r="KKC65" s="1"/>
      <c r="KKD65" s="1"/>
      <c r="KKE65" s="1"/>
      <c r="KKF65" s="1"/>
      <c r="KKG65" s="1"/>
      <c r="KKH65" s="1"/>
      <c r="KKI65" s="1"/>
      <c r="KKJ65" s="1"/>
      <c r="KKK65" s="1"/>
      <c r="KKL65" s="1"/>
      <c r="KKM65" s="1"/>
      <c r="KKN65" s="1"/>
      <c r="KKO65" s="1"/>
      <c r="KKP65" s="1"/>
      <c r="KKQ65" s="1"/>
      <c r="KKR65" s="1"/>
      <c r="KKS65" s="1"/>
      <c r="KKT65" s="1"/>
      <c r="KKU65" s="1"/>
      <c r="KKV65" s="1"/>
      <c r="KKW65" s="1"/>
      <c r="KKX65" s="1"/>
      <c r="KKY65" s="1"/>
      <c r="KKZ65" s="1"/>
      <c r="KLA65" s="1"/>
      <c r="KLB65" s="1"/>
      <c r="KLC65" s="1"/>
      <c r="KLD65" s="1"/>
      <c r="KLE65" s="1"/>
      <c r="KLF65" s="1"/>
      <c r="KLG65" s="1"/>
      <c r="KLH65" s="1"/>
      <c r="KLI65" s="1"/>
      <c r="KLJ65" s="1"/>
      <c r="KLK65" s="1"/>
      <c r="KLL65" s="1"/>
      <c r="KLM65" s="1"/>
      <c r="KLN65" s="1"/>
      <c r="KLO65" s="1"/>
      <c r="KLP65" s="1"/>
      <c r="KLQ65" s="1"/>
      <c r="KLR65" s="1"/>
      <c r="KLS65" s="1"/>
      <c r="KLT65" s="1"/>
      <c r="KLU65" s="1"/>
      <c r="KLV65" s="1"/>
      <c r="KLW65" s="1"/>
      <c r="KLX65" s="1"/>
      <c r="KLY65" s="1"/>
      <c r="KLZ65" s="1"/>
      <c r="KMA65" s="1"/>
      <c r="KMB65" s="1"/>
      <c r="KMC65" s="1"/>
      <c r="KMD65" s="1"/>
      <c r="KME65" s="1"/>
      <c r="KMF65" s="1"/>
      <c r="KMG65" s="1"/>
      <c r="KMH65" s="1"/>
      <c r="KMI65" s="1"/>
      <c r="KMJ65" s="1"/>
      <c r="KMK65" s="1"/>
      <c r="KML65" s="1"/>
      <c r="KMM65" s="1"/>
      <c r="KMN65" s="1"/>
      <c r="KMO65" s="1"/>
      <c r="KMP65" s="1"/>
      <c r="KMQ65" s="1"/>
      <c r="KMR65" s="1"/>
      <c r="KMS65" s="1"/>
      <c r="KMT65" s="1"/>
      <c r="KMU65" s="1"/>
      <c r="KMV65" s="1"/>
      <c r="KMW65" s="1"/>
      <c r="KMX65" s="1"/>
      <c r="KMY65" s="1"/>
      <c r="KMZ65" s="1"/>
      <c r="KNA65" s="1"/>
      <c r="KNB65" s="1"/>
      <c r="KNC65" s="1"/>
      <c r="KND65" s="1"/>
      <c r="KNE65" s="1"/>
      <c r="KNF65" s="1"/>
      <c r="KNG65" s="1"/>
      <c r="KNH65" s="1"/>
      <c r="KNI65" s="1"/>
      <c r="KNJ65" s="1"/>
      <c r="KNK65" s="1"/>
      <c r="KNL65" s="1"/>
      <c r="KNM65" s="1"/>
      <c r="KNN65" s="1"/>
      <c r="KNO65" s="1"/>
      <c r="KNP65" s="1"/>
      <c r="KNQ65" s="1"/>
      <c r="KNR65" s="1"/>
      <c r="KNS65" s="1"/>
      <c r="KNT65" s="1"/>
      <c r="KNU65" s="1"/>
      <c r="KNV65" s="1"/>
      <c r="KNW65" s="1"/>
      <c r="KNX65" s="1"/>
      <c r="KNY65" s="1"/>
      <c r="KNZ65" s="1"/>
      <c r="KOA65" s="1"/>
      <c r="KOB65" s="1"/>
      <c r="KOC65" s="1"/>
      <c r="KOD65" s="1"/>
      <c r="KOE65" s="1"/>
      <c r="KOF65" s="1"/>
      <c r="KOG65" s="1"/>
      <c r="KOH65" s="1"/>
      <c r="KOI65" s="1"/>
      <c r="KOJ65" s="1"/>
      <c r="KOK65" s="1"/>
      <c r="KOL65" s="1"/>
      <c r="KOM65" s="1"/>
      <c r="KON65" s="1"/>
      <c r="KOO65" s="1"/>
      <c r="KOP65" s="1"/>
      <c r="KOQ65" s="1"/>
      <c r="KOR65" s="1"/>
      <c r="KOS65" s="1"/>
      <c r="KOT65" s="1"/>
      <c r="KOU65" s="1"/>
      <c r="KOV65" s="1"/>
      <c r="KOW65" s="1"/>
      <c r="KOX65" s="1"/>
      <c r="KOY65" s="1"/>
      <c r="KOZ65" s="1"/>
      <c r="KPA65" s="1"/>
      <c r="KPB65" s="1"/>
      <c r="KPC65" s="1"/>
      <c r="KPD65" s="1"/>
      <c r="KPE65" s="1"/>
      <c r="KPF65" s="1"/>
      <c r="KPG65" s="1"/>
      <c r="KPH65" s="1"/>
      <c r="KPI65" s="1"/>
      <c r="KPJ65" s="1"/>
      <c r="KPK65" s="1"/>
      <c r="KPL65" s="1"/>
      <c r="KPM65" s="1"/>
      <c r="KPN65" s="1"/>
      <c r="KPO65" s="1"/>
      <c r="KPP65" s="1"/>
      <c r="KPQ65" s="1"/>
      <c r="KPR65" s="1"/>
      <c r="KPS65" s="1"/>
      <c r="KPT65" s="1"/>
      <c r="KPU65" s="1"/>
      <c r="KPV65" s="1"/>
      <c r="KPW65" s="1"/>
      <c r="KPX65" s="1"/>
      <c r="KPY65" s="1"/>
      <c r="KPZ65" s="1"/>
      <c r="KQA65" s="1"/>
      <c r="KQB65" s="1"/>
      <c r="KQC65" s="1"/>
      <c r="KQD65" s="1"/>
      <c r="KQE65" s="1"/>
      <c r="KQF65" s="1"/>
      <c r="KQG65" s="1"/>
      <c r="KQH65" s="1"/>
      <c r="KQI65" s="1"/>
      <c r="KQJ65" s="1"/>
      <c r="KQK65" s="1"/>
      <c r="KQL65" s="1"/>
      <c r="KQM65" s="1"/>
      <c r="KQN65" s="1"/>
      <c r="KQO65" s="1"/>
      <c r="KQP65" s="1"/>
      <c r="KQQ65" s="1"/>
      <c r="KQR65" s="1"/>
      <c r="KQS65" s="1"/>
      <c r="KQT65" s="1"/>
      <c r="KQU65" s="1"/>
      <c r="KQV65" s="1"/>
      <c r="KQW65" s="1"/>
      <c r="KQX65" s="1"/>
      <c r="KQY65" s="1"/>
      <c r="KQZ65" s="1"/>
      <c r="KRA65" s="1"/>
      <c r="KRB65" s="1"/>
      <c r="KRC65" s="1"/>
      <c r="KRD65" s="1"/>
      <c r="KRE65" s="1"/>
      <c r="KRF65" s="1"/>
      <c r="KRG65" s="1"/>
      <c r="KRH65" s="1"/>
      <c r="KRI65" s="1"/>
      <c r="KRJ65" s="1"/>
      <c r="KRK65" s="1"/>
      <c r="KRL65" s="1"/>
      <c r="KRM65" s="1"/>
      <c r="KRN65" s="1"/>
      <c r="KRO65" s="1"/>
      <c r="KRP65" s="1"/>
      <c r="KRQ65" s="1"/>
      <c r="KRR65" s="1"/>
      <c r="KRS65" s="1"/>
      <c r="KRT65" s="1"/>
      <c r="KRU65" s="1"/>
      <c r="KRV65" s="1"/>
      <c r="KRW65" s="1"/>
      <c r="KRX65" s="1"/>
      <c r="KRY65" s="1"/>
      <c r="KRZ65" s="1"/>
      <c r="KSA65" s="1"/>
      <c r="KSB65" s="1"/>
      <c r="KSC65" s="1"/>
      <c r="KSD65" s="1"/>
      <c r="KSE65" s="1"/>
      <c r="KSF65" s="1"/>
      <c r="KSG65" s="1"/>
      <c r="KSH65" s="1"/>
      <c r="KSI65" s="1"/>
      <c r="KSJ65" s="1"/>
      <c r="KSK65" s="1"/>
      <c r="KSL65" s="1"/>
      <c r="KSM65" s="1"/>
      <c r="KSN65" s="1"/>
      <c r="KSO65" s="1"/>
      <c r="KSP65" s="1"/>
      <c r="KSQ65" s="1"/>
      <c r="KSR65" s="1"/>
      <c r="KSS65" s="1"/>
      <c r="KST65" s="1"/>
      <c r="KSU65" s="1"/>
      <c r="KSV65" s="1"/>
      <c r="KSW65" s="1"/>
      <c r="KSX65" s="1"/>
      <c r="KSY65" s="1"/>
      <c r="KSZ65" s="1"/>
      <c r="KTA65" s="1"/>
      <c r="KTB65" s="1"/>
      <c r="KTC65" s="1"/>
      <c r="KTD65" s="1"/>
      <c r="KTE65" s="1"/>
      <c r="KTF65" s="1"/>
      <c r="KTG65" s="1"/>
      <c r="KTH65" s="1"/>
      <c r="KTI65" s="1"/>
      <c r="KTJ65" s="1"/>
      <c r="KTK65" s="1"/>
      <c r="KTL65" s="1"/>
      <c r="KTM65" s="1"/>
      <c r="KTN65" s="1"/>
      <c r="KTO65" s="1"/>
      <c r="KTP65" s="1"/>
      <c r="KTQ65" s="1"/>
      <c r="KTR65" s="1"/>
      <c r="KTS65" s="1"/>
      <c r="KTT65" s="1"/>
      <c r="KTU65" s="1"/>
      <c r="KTV65" s="1"/>
      <c r="KTW65" s="1"/>
      <c r="KTX65" s="1"/>
      <c r="KTY65" s="1"/>
      <c r="KTZ65" s="1"/>
      <c r="KUA65" s="1"/>
      <c r="KUB65" s="1"/>
      <c r="KUC65" s="1"/>
      <c r="KUD65" s="1"/>
      <c r="KUE65" s="1"/>
      <c r="KUF65" s="1"/>
      <c r="KUG65" s="1"/>
      <c r="KUH65" s="1"/>
      <c r="KUI65" s="1"/>
      <c r="KUJ65" s="1"/>
      <c r="KUK65" s="1"/>
      <c r="KUL65" s="1"/>
      <c r="KUM65" s="1"/>
      <c r="KUN65" s="1"/>
      <c r="KUO65" s="1"/>
      <c r="KUP65" s="1"/>
      <c r="KUQ65" s="1"/>
      <c r="KUR65" s="1"/>
      <c r="KUS65" s="1"/>
      <c r="KUT65" s="1"/>
      <c r="KUU65" s="1"/>
      <c r="KUV65" s="1"/>
      <c r="KUW65" s="1"/>
      <c r="KUX65" s="1"/>
      <c r="KUY65" s="1"/>
      <c r="KUZ65" s="1"/>
      <c r="KVA65" s="1"/>
      <c r="KVB65" s="1"/>
      <c r="KVC65" s="1"/>
      <c r="KVD65" s="1"/>
      <c r="KVE65" s="1"/>
      <c r="KVF65" s="1"/>
      <c r="KVG65" s="1"/>
      <c r="KVH65" s="1"/>
      <c r="KVI65" s="1"/>
      <c r="KVJ65" s="1"/>
      <c r="KVK65" s="1"/>
      <c r="KVL65" s="1"/>
      <c r="KVM65" s="1"/>
      <c r="KVN65" s="1"/>
      <c r="KVO65" s="1"/>
      <c r="KVP65" s="1"/>
      <c r="KVQ65" s="1"/>
      <c r="KVR65" s="1"/>
      <c r="KVS65" s="1"/>
      <c r="KVT65" s="1"/>
      <c r="KVU65" s="1"/>
      <c r="KVV65" s="1"/>
      <c r="KVW65" s="1"/>
      <c r="KVX65" s="1"/>
      <c r="KVY65" s="1"/>
      <c r="KVZ65" s="1"/>
      <c r="KWA65" s="1"/>
      <c r="KWB65" s="1"/>
      <c r="KWC65" s="1"/>
      <c r="KWD65" s="1"/>
      <c r="KWE65" s="1"/>
      <c r="KWF65" s="1"/>
      <c r="KWG65" s="1"/>
      <c r="KWH65" s="1"/>
      <c r="KWI65" s="1"/>
      <c r="KWJ65" s="1"/>
      <c r="KWK65" s="1"/>
      <c r="KWL65" s="1"/>
      <c r="KWM65" s="1"/>
      <c r="KWN65" s="1"/>
      <c r="KWO65" s="1"/>
      <c r="KWP65" s="1"/>
      <c r="KWQ65" s="1"/>
      <c r="KWR65" s="1"/>
      <c r="KWS65" s="1"/>
      <c r="KWT65" s="1"/>
      <c r="KWU65" s="1"/>
      <c r="KWV65" s="1"/>
      <c r="KWW65" s="1"/>
      <c r="KWX65" s="1"/>
      <c r="KWY65" s="1"/>
      <c r="KWZ65" s="1"/>
      <c r="KXA65" s="1"/>
      <c r="KXB65" s="1"/>
      <c r="KXC65" s="1"/>
      <c r="KXD65" s="1"/>
      <c r="KXE65" s="1"/>
      <c r="KXF65" s="1"/>
      <c r="KXG65" s="1"/>
      <c r="KXH65" s="1"/>
      <c r="KXI65" s="1"/>
      <c r="KXJ65" s="1"/>
      <c r="KXK65" s="1"/>
      <c r="KXL65" s="1"/>
      <c r="KXM65" s="1"/>
      <c r="KXN65" s="1"/>
      <c r="KXO65" s="1"/>
      <c r="KXP65" s="1"/>
      <c r="KXQ65" s="1"/>
      <c r="KXR65" s="1"/>
      <c r="KXS65" s="1"/>
      <c r="KXT65" s="1"/>
      <c r="KXU65" s="1"/>
      <c r="KXV65" s="1"/>
      <c r="KXW65" s="1"/>
      <c r="KXX65" s="1"/>
      <c r="KXY65" s="1"/>
      <c r="KXZ65" s="1"/>
      <c r="KYA65" s="1"/>
      <c r="KYB65" s="1"/>
      <c r="KYC65" s="1"/>
      <c r="KYD65" s="1"/>
      <c r="KYE65" s="1"/>
      <c r="KYF65" s="1"/>
      <c r="KYG65" s="1"/>
      <c r="KYH65" s="1"/>
      <c r="KYI65" s="1"/>
      <c r="KYJ65" s="1"/>
      <c r="KYK65" s="1"/>
      <c r="KYL65" s="1"/>
      <c r="KYM65" s="1"/>
      <c r="KYN65" s="1"/>
      <c r="KYO65" s="1"/>
      <c r="KYP65" s="1"/>
      <c r="KYQ65" s="1"/>
      <c r="KYR65" s="1"/>
      <c r="KYS65" s="1"/>
      <c r="KYT65" s="1"/>
      <c r="KYU65" s="1"/>
      <c r="KYV65" s="1"/>
      <c r="KYW65" s="1"/>
      <c r="KYX65" s="1"/>
      <c r="KYY65" s="1"/>
      <c r="KYZ65" s="1"/>
      <c r="KZA65" s="1"/>
      <c r="KZB65" s="1"/>
      <c r="KZC65" s="1"/>
      <c r="KZD65" s="1"/>
      <c r="KZE65" s="1"/>
      <c r="KZF65" s="1"/>
      <c r="KZG65" s="1"/>
      <c r="KZH65" s="1"/>
      <c r="KZI65" s="1"/>
      <c r="KZJ65" s="1"/>
      <c r="KZK65" s="1"/>
      <c r="KZL65" s="1"/>
      <c r="KZM65" s="1"/>
      <c r="KZN65" s="1"/>
      <c r="KZO65" s="1"/>
      <c r="KZP65" s="1"/>
      <c r="KZQ65" s="1"/>
      <c r="KZR65" s="1"/>
      <c r="KZS65" s="1"/>
      <c r="KZT65" s="1"/>
      <c r="KZU65" s="1"/>
      <c r="KZV65" s="1"/>
      <c r="KZW65" s="1"/>
      <c r="KZX65" s="1"/>
      <c r="KZY65" s="1"/>
      <c r="KZZ65" s="1"/>
      <c r="LAA65" s="1"/>
      <c r="LAB65" s="1"/>
      <c r="LAC65" s="1"/>
      <c r="LAD65" s="1"/>
      <c r="LAE65" s="1"/>
      <c r="LAF65" s="1"/>
      <c r="LAG65" s="1"/>
      <c r="LAH65" s="1"/>
      <c r="LAI65" s="1"/>
      <c r="LAJ65" s="1"/>
      <c r="LAK65" s="1"/>
      <c r="LAL65" s="1"/>
      <c r="LAM65" s="1"/>
      <c r="LAN65" s="1"/>
      <c r="LAO65" s="1"/>
      <c r="LAP65" s="1"/>
      <c r="LAQ65" s="1"/>
      <c r="LAR65" s="1"/>
      <c r="LAS65" s="1"/>
      <c r="LAT65" s="1"/>
      <c r="LAU65" s="1"/>
      <c r="LAV65" s="1"/>
      <c r="LAW65" s="1"/>
      <c r="LAX65" s="1"/>
      <c r="LAY65" s="1"/>
      <c r="LAZ65" s="1"/>
      <c r="LBA65" s="1"/>
      <c r="LBB65" s="1"/>
      <c r="LBC65" s="1"/>
      <c r="LBD65" s="1"/>
      <c r="LBE65" s="1"/>
      <c r="LBF65" s="1"/>
      <c r="LBG65" s="1"/>
      <c r="LBH65" s="1"/>
      <c r="LBI65" s="1"/>
      <c r="LBJ65" s="1"/>
      <c r="LBK65" s="1"/>
      <c r="LBL65" s="1"/>
      <c r="LBM65" s="1"/>
      <c r="LBN65" s="1"/>
      <c r="LBO65" s="1"/>
      <c r="LBP65" s="1"/>
      <c r="LBQ65" s="1"/>
      <c r="LBR65" s="1"/>
      <c r="LBS65" s="1"/>
      <c r="LBT65" s="1"/>
      <c r="LBU65" s="1"/>
      <c r="LBV65" s="1"/>
      <c r="LBW65" s="1"/>
      <c r="LBX65" s="1"/>
      <c r="LBY65" s="1"/>
      <c r="LBZ65" s="1"/>
      <c r="LCA65" s="1"/>
      <c r="LCB65" s="1"/>
      <c r="LCC65" s="1"/>
      <c r="LCD65" s="1"/>
      <c r="LCE65" s="1"/>
      <c r="LCF65" s="1"/>
      <c r="LCG65" s="1"/>
      <c r="LCH65" s="1"/>
      <c r="LCI65" s="1"/>
      <c r="LCJ65" s="1"/>
      <c r="LCK65" s="1"/>
      <c r="LCL65" s="1"/>
      <c r="LCM65" s="1"/>
      <c r="LCN65" s="1"/>
      <c r="LCO65" s="1"/>
      <c r="LCP65" s="1"/>
      <c r="LCQ65" s="1"/>
      <c r="LCR65" s="1"/>
      <c r="LCS65" s="1"/>
      <c r="LCT65" s="1"/>
      <c r="LCU65" s="1"/>
      <c r="LCV65" s="1"/>
      <c r="LCW65" s="1"/>
      <c r="LCX65" s="1"/>
      <c r="LCY65" s="1"/>
      <c r="LCZ65" s="1"/>
      <c r="LDA65" s="1"/>
      <c r="LDB65" s="1"/>
      <c r="LDC65" s="1"/>
      <c r="LDD65" s="1"/>
      <c r="LDE65" s="1"/>
      <c r="LDF65" s="1"/>
      <c r="LDG65" s="1"/>
      <c r="LDH65" s="1"/>
      <c r="LDI65" s="1"/>
      <c r="LDJ65" s="1"/>
      <c r="LDK65" s="1"/>
      <c r="LDL65" s="1"/>
      <c r="LDM65" s="1"/>
      <c r="LDN65" s="1"/>
      <c r="LDO65" s="1"/>
      <c r="LDP65" s="1"/>
      <c r="LDQ65" s="1"/>
      <c r="LDR65" s="1"/>
      <c r="LDS65" s="1"/>
      <c r="LDT65" s="1"/>
      <c r="LDU65" s="1"/>
      <c r="LDV65" s="1"/>
      <c r="LDW65" s="1"/>
      <c r="LDX65" s="1"/>
      <c r="LDY65" s="1"/>
      <c r="LDZ65" s="1"/>
      <c r="LEA65" s="1"/>
      <c r="LEB65" s="1"/>
      <c r="LEC65" s="1"/>
      <c r="LED65" s="1"/>
      <c r="LEE65" s="1"/>
      <c r="LEF65" s="1"/>
      <c r="LEG65" s="1"/>
      <c r="LEH65" s="1"/>
      <c r="LEI65" s="1"/>
      <c r="LEJ65" s="1"/>
      <c r="LEK65" s="1"/>
      <c r="LEL65" s="1"/>
      <c r="LEM65" s="1"/>
      <c r="LEN65" s="1"/>
      <c r="LEO65" s="1"/>
      <c r="LEP65" s="1"/>
      <c r="LEQ65" s="1"/>
      <c r="LER65" s="1"/>
      <c r="LES65" s="1"/>
      <c r="LET65" s="1"/>
      <c r="LEU65" s="1"/>
      <c r="LEV65" s="1"/>
      <c r="LEW65" s="1"/>
      <c r="LEX65" s="1"/>
      <c r="LEY65" s="1"/>
      <c r="LEZ65" s="1"/>
      <c r="LFA65" s="1"/>
      <c r="LFB65" s="1"/>
      <c r="LFC65" s="1"/>
      <c r="LFD65" s="1"/>
      <c r="LFE65" s="1"/>
      <c r="LFF65" s="1"/>
      <c r="LFG65" s="1"/>
      <c r="LFH65" s="1"/>
      <c r="LFI65" s="1"/>
      <c r="LFJ65" s="1"/>
      <c r="LFK65" s="1"/>
      <c r="LFL65" s="1"/>
      <c r="LFM65" s="1"/>
      <c r="LFN65" s="1"/>
      <c r="LFO65" s="1"/>
      <c r="LFP65" s="1"/>
      <c r="LFQ65" s="1"/>
      <c r="LFR65" s="1"/>
      <c r="LFS65" s="1"/>
      <c r="LFT65" s="1"/>
      <c r="LFU65" s="1"/>
      <c r="LFV65" s="1"/>
      <c r="LFW65" s="1"/>
      <c r="LFX65" s="1"/>
      <c r="LFY65" s="1"/>
      <c r="LFZ65" s="1"/>
      <c r="LGA65" s="1"/>
      <c r="LGB65" s="1"/>
      <c r="LGC65" s="1"/>
      <c r="LGD65" s="1"/>
      <c r="LGE65" s="1"/>
      <c r="LGF65" s="1"/>
      <c r="LGG65" s="1"/>
      <c r="LGH65" s="1"/>
      <c r="LGI65" s="1"/>
      <c r="LGJ65" s="1"/>
      <c r="LGK65" s="1"/>
      <c r="LGL65" s="1"/>
      <c r="LGM65" s="1"/>
      <c r="LGN65" s="1"/>
      <c r="LGO65" s="1"/>
      <c r="LGP65" s="1"/>
      <c r="LGQ65" s="1"/>
      <c r="LGR65" s="1"/>
      <c r="LGS65" s="1"/>
      <c r="LGT65" s="1"/>
      <c r="LGU65" s="1"/>
      <c r="LGV65" s="1"/>
      <c r="LGW65" s="1"/>
      <c r="LGX65" s="1"/>
      <c r="LGY65" s="1"/>
      <c r="LGZ65" s="1"/>
      <c r="LHA65" s="1"/>
      <c r="LHB65" s="1"/>
      <c r="LHC65" s="1"/>
      <c r="LHD65" s="1"/>
      <c r="LHE65" s="1"/>
      <c r="LHF65" s="1"/>
      <c r="LHG65" s="1"/>
      <c r="LHH65" s="1"/>
      <c r="LHI65" s="1"/>
      <c r="LHJ65" s="1"/>
      <c r="LHK65" s="1"/>
      <c r="LHL65" s="1"/>
      <c r="LHM65" s="1"/>
      <c r="LHN65" s="1"/>
      <c r="LHO65" s="1"/>
      <c r="LHP65" s="1"/>
      <c r="LHQ65" s="1"/>
      <c r="LHR65" s="1"/>
      <c r="LHS65" s="1"/>
      <c r="LHT65" s="1"/>
      <c r="LHU65" s="1"/>
      <c r="LHV65" s="1"/>
      <c r="LHW65" s="1"/>
      <c r="LHX65" s="1"/>
      <c r="LHY65" s="1"/>
      <c r="LHZ65" s="1"/>
      <c r="LIA65" s="1"/>
      <c r="LIB65" s="1"/>
      <c r="LIC65" s="1"/>
      <c r="LID65" s="1"/>
      <c r="LIE65" s="1"/>
      <c r="LIF65" s="1"/>
      <c r="LIG65" s="1"/>
      <c r="LIH65" s="1"/>
      <c r="LII65" s="1"/>
      <c r="LIJ65" s="1"/>
      <c r="LIK65" s="1"/>
      <c r="LIL65" s="1"/>
      <c r="LIM65" s="1"/>
      <c r="LIN65" s="1"/>
      <c r="LIO65" s="1"/>
      <c r="LIP65" s="1"/>
      <c r="LIQ65" s="1"/>
      <c r="LIR65" s="1"/>
      <c r="LIS65" s="1"/>
      <c r="LIT65" s="1"/>
      <c r="LIU65" s="1"/>
      <c r="LIV65" s="1"/>
      <c r="LIW65" s="1"/>
      <c r="LIX65" s="1"/>
      <c r="LIY65" s="1"/>
      <c r="LIZ65" s="1"/>
      <c r="LJA65" s="1"/>
      <c r="LJB65" s="1"/>
      <c r="LJC65" s="1"/>
      <c r="LJD65" s="1"/>
      <c r="LJE65" s="1"/>
      <c r="LJF65" s="1"/>
      <c r="LJG65" s="1"/>
      <c r="LJH65" s="1"/>
      <c r="LJI65" s="1"/>
      <c r="LJJ65" s="1"/>
      <c r="LJK65" s="1"/>
      <c r="LJL65" s="1"/>
      <c r="LJM65" s="1"/>
      <c r="LJN65" s="1"/>
      <c r="LJO65" s="1"/>
      <c r="LJP65" s="1"/>
      <c r="LJQ65" s="1"/>
      <c r="LJR65" s="1"/>
      <c r="LJS65" s="1"/>
      <c r="LJT65" s="1"/>
      <c r="LJU65" s="1"/>
      <c r="LJV65" s="1"/>
      <c r="LJW65" s="1"/>
      <c r="LJX65" s="1"/>
      <c r="LJY65" s="1"/>
      <c r="LJZ65" s="1"/>
      <c r="LKA65" s="1"/>
      <c r="LKB65" s="1"/>
      <c r="LKC65" s="1"/>
      <c r="LKD65" s="1"/>
      <c r="LKE65" s="1"/>
      <c r="LKF65" s="1"/>
      <c r="LKG65" s="1"/>
      <c r="LKH65" s="1"/>
      <c r="LKI65" s="1"/>
      <c r="LKJ65" s="1"/>
      <c r="LKK65" s="1"/>
      <c r="LKL65" s="1"/>
      <c r="LKM65" s="1"/>
      <c r="LKN65" s="1"/>
      <c r="LKO65" s="1"/>
      <c r="LKP65" s="1"/>
      <c r="LKQ65" s="1"/>
      <c r="LKR65" s="1"/>
      <c r="LKS65" s="1"/>
      <c r="LKT65" s="1"/>
      <c r="LKU65" s="1"/>
      <c r="LKV65" s="1"/>
      <c r="LKW65" s="1"/>
      <c r="LKX65" s="1"/>
      <c r="LKY65" s="1"/>
      <c r="LKZ65" s="1"/>
      <c r="LLA65" s="1"/>
      <c r="LLB65" s="1"/>
      <c r="LLC65" s="1"/>
      <c r="LLD65" s="1"/>
      <c r="LLE65" s="1"/>
      <c r="LLF65" s="1"/>
      <c r="LLG65" s="1"/>
      <c r="LLH65" s="1"/>
      <c r="LLI65" s="1"/>
      <c r="LLJ65" s="1"/>
      <c r="LLK65" s="1"/>
      <c r="LLL65" s="1"/>
      <c r="LLM65" s="1"/>
      <c r="LLN65" s="1"/>
      <c r="LLO65" s="1"/>
      <c r="LLP65" s="1"/>
      <c r="LLQ65" s="1"/>
      <c r="LLR65" s="1"/>
      <c r="LLS65" s="1"/>
      <c r="LLT65" s="1"/>
      <c r="LLU65" s="1"/>
      <c r="LLV65" s="1"/>
      <c r="LLW65" s="1"/>
      <c r="LLX65" s="1"/>
      <c r="LLY65" s="1"/>
      <c r="LLZ65" s="1"/>
      <c r="LMA65" s="1"/>
      <c r="LMB65" s="1"/>
      <c r="LMC65" s="1"/>
      <c r="LMD65" s="1"/>
      <c r="LME65" s="1"/>
      <c r="LMF65" s="1"/>
      <c r="LMG65" s="1"/>
      <c r="LMH65" s="1"/>
      <c r="LMI65" s="1"/>
      <c r="LMJ65" s="1"/>
      <c r="LMK65" s="1"/>
      <c r="LML65" s="1"/>
      <c r="LMM65" s="1"/>
      <c r="LMN65" s="1"/>
      <c r="LMO65" s="1"/>
      <c r="LMP65" s="1"/>
      <c r="LMQ65" s="1"/>
      <c r="LMR65" s="1"/>
      <c r="LMS65" s="1"/>
      <c r="LMT65" s="1"/>
      <c r="LMU65" s="1"/>
      <c r="LMV65" s="1"/>
      <c r="LMW65" s="1"/>
      <c r="LMX65" s="1"/>
      <c r="LMY65" s="1"/>
      <c r="LMZ65" s="1"/>
      <c r="LNA65" s="1"/>
      <c r="LNB65" s="1"/>
      <c r="LNC65" s="1"/>
      <c r="LND65" s="1"/>
      <c r="LNE65" s="1"/>
      <c r="LNF65" s="1"/>
      <c r="LNG65" s="1"/>
      <c r="LNH65" s="1"/>
      <c r="LNI65" s="1"/>
      <c r="LNJ65" s="1"/>
      <c r="LNK65" s="1"/>
      <c r="LNL65" s="1"/>
      <c r="LNM65" s="1"/>
      <c r="LNN65" s="1"/>
      <c r="LNO65" s="1"/>
      <c r="LNP65" s="1"/>
      <c r="LNQ65" s="1"/>
      <c r="LNR65" s="1"/>
      <c r="LNS65" s="1"/>
      <c r="LNT65" s="1"/>
      <c r="LNU65" s="1"/>
      <c r="LNV65" s="1"/>
      <c r="LNW65" s="1"/>
      <c r="LNX65" s="1"/>
      <c r="LNY65" s="1"/>
      <c r="LNZ65" s="1"/>
      <c r="LOA65" s="1"/>
      <c r="LOB65" s="1"/>
      <c r="LOC65" s="1"/>
      <c r="LOD65" s="1"/>
      <c r="LOE65" s="1"/>
      <c r="LOF65" s="1"/>
      <c r="LOG65" s="1"/>
      <c r="LOH65" s="1"/>
      <c r="LOI65" s="1"/>
      <c r="LOJ65" s="1"/>
      <c r="LOK65" s="1"/>
      <c r="LOL65" s="1"/>
      <c r="LOM65" s="1"/>
      <c r="LON65" s="1"/>
      <c r="LOO65" s="1"/>
      <c r="LOP65" s="1"/>
      <c r="LOQ65" s="1"/>
      <c r="LOR65" s="1"/>
      <c r="LOS65" s="1"/>
      <c r="LOT65" s="1"/>
      <c r="LOU65" s="1"/>
      <c r="LOV65" s="1"/>
      <c r="LOW65" s="1"/>
      <c r="LOX65" s="1"/>
      <c r="LOY65" s="1"/>
      <c r="LOZ65" s="1"/>
      <c r="LPA65" s="1"/>
      <c r="LPB65" s="1"/>
      <c r="LPC65" s="1"/>
      <c r="LPD65" s="1"/>
      <c r="LPE65" s="1"/>
      <c r="LPF65" s="1"/>
      <c r="LPG65" s="1"/>
      <c r="LPH65" s="1"/>
      <c r="LPI65" s="1"/>
      <c r="LPJ65" s="1"/>
      <c r="LPK65" s="1"/>
      <c r="LPL65" s="1"/>
      <c r="LPM65" s="1"/>
      <c r="LPN65" s="1"/>
      <c r="LPO65" s="1"/>
      <c r="LPP65" s="1"/>
      <c r="LPQ65" s="1"/>
      <c r="LPR65" s="1"/>
      <c r="LPS65" s="1"/>
      <c r="LPT65" s="1"/>
      <c r="LPU65" s="1"/>
      <c r="LPV65" s="1"/>
      <c r="LPW65" s="1"/>
      <c r="LPX65" s="1"/>
      <c r="LPY65" s="1"/>
      <c r="LPZ65" s="1"/>
      <c r="LQA65" s="1"/>
      <c r="LQB65" s="1"/>
      <c r="LQC65" s="1"/>
      <c r="LQD65" s="1"/>
      <c r="LQE65" s="1"/>
      <c r="LQF65" s="1"/>
      <c r="LQG65" s="1"/>
      <c r="LQH65" s="1"/>
      <c r="LQI65" s="1"/>
      <c r="LQJ65" s="1"/>
      <c r="LQK65" s="1"/>
      <c r="LQL65" s="1"/>
      <c r="LQM65" s="1"/>
      <c r="LQN65" s="1"/>
      <c r="LQO65" s="1"/>
      <c r="LQP65" s="1"/>
      <c r="LQQ65" s="1"/>
      <c r="LQR65" s="1"/>
      <c r="LQS65" s="1"/>
      <c r="LQT65" s="1"/>
      <c r="LQU65" s="1"/>
      <c r="LQV65" s="1"/>
      <c r="LQW65" s="1"/>
      <c r="LQX65" s="1"/>
      <c r="LQY65" s="1"/>
      <c r="LQZ65" s="1"/>
      <c r="LRA65" s="1"/>
      <c r="LRB65" s="1"/>
      <c r="LRC65" s="1"/>
      <c r="LRD65" s="1"/>
      <c r="LRE65" s="1"/>
      <c r="LRF65" s="1"/>
      <c r="LRG65" s="1"/>
      <c r="LRH65" s="1"/>
      <c r="LRI65" s="1"/>
      <c r="LRJ65" s="1"/>
      <c r="LRK65" s="1"/>
      <c r="LRL65" s="1"/>
      <c r="LRM65" s="1"/>
      <c r="LRN65" s="1"/>
      <c r="LRO65" s="1"/>
      <c r="LRP65" s="1"/>
      <c r="LRQ65" s="1"/>
      <c r="LRR65" s="1"/>
      <c r="LRS65" s="1"/>
      <c r="LRT65" s="1"/>
      <c r="LRU65" s="1"/>
      <c r="LRV65" s="1"/>
      <c r="LRW65" s="1"/>
      <c r="LRX65" s="1"/>
      <c r="LRY65" s="1"/>
      <c r="LRZ65" s="1"/>
      <c r="LSA65" s="1"/>
      <c r="LSB65" s="1"/>
      <c r="LSC65" s="1"/>
      <c r="LSD65" s="1"/>
      <c r="LSE65" s="1"/>
      <c r="LSF65" s="1"/>
      <c r="LSG65" s="1"/>
      <c r="LSH65" s="1"/>
      <c r="LSI65" s="1"/>
      <c r="LSJ65" s="1"/>
      <c r="LSK65" s="1"/>
      <c r="LSL65" s="1"/>
      <c r="LSM65" s="1"/>
      <c r="LSN65" s="1"/>
      <c r="LSO65" s="1"/>
      <c r="LSP65" s="1"/>
      <c r="LSQ65" s="1"/>
      <c r="LSR65" s="1"/>
      <c r="LSS65" s="1"/>
      <c r="LST65" s="1"/>
      <c r="LSU65" s="1"/>
      <c r="LSV65" s="1"/>
      <c r="LSW65" s="1"/>
      <c r="LSX65" s="1"/>
      <c r="LSY65" s="1"/>
      <c r="LSZ65" s="1"/>
      <c r="LTA65" s="1"/>
      <c r="LTB65" s="1"/>
      <c r="LTC65" s="1"/>
      <c r="LTD65" s="1"/>
      <c r="LTE65" s="1"/>
      <c r="LTF65" s="1"/>
      <c r="LTG65" s="1"/>
      <c r="LTH65" s="1"/>
      <c r="LTI65" s="1"/>
      <c r="LTJ65" s="1"/>
      <c r="LTK65" s="1"/>
      <c r="LTL65" s="1"/>
      <c r="LTM65" s="1"/>
      <c r="LTN65" s="1"/>
      <c r="LTO65" s="1"/>
      <c r="LTP65" s="1"/>
      <c r="LTQ65" s="1"/>
      <c r="LTR65" s="1"/>
      <c r="LTS65" s="1"/>
      <c r="LTT65" s="1"/>
      <c r="LTU65" s="1"/>
      <c r="LTV65" s="1"/>
      <c r="LTW65" s="1"/>
      <c r="LTX65" s="1"/>
      <c r="LTY65" s="1"/>
      <c r="LTZ65" s="1"/>
      <c r="LUA65" s="1"/>
      <c r="LUB65" s="1"/>
      <c r="LUC65" s="1"/>
      <c r="LUD65" s="1"/>
      <c r="LUE65" s="1"/>
      <c r="LUF65" s="1"/>
      <c r="LUG65" s="1"/>
      <c r="LUH65" s="1"/>
      <c r="LUI65" s="1"/>
      <c r="LUJ65" s="1"/>
      <c r="LUK65" s="1"/>
      <c r="LUL65" s="1"/>
      <c r="LUM65" s="1"/>
      <c r="LUN65" s="1"/>
      <c r="LUO65" s="1"/>
      <c r="LUP65" s="1"/>
      <c r="LUQ65" s="1"/>
      <c r="LUR65" s="1"/>
      <c r="LUS65" s="1"/>
      <c r="LUT65" s="1"/>
      <c r="LUU65" s="1"/>
      <c r="LUV65" s="1"/>
      <c r="LUW65" s="1"/>
      <c r="LUX65" s="1"/>
      <c r="LUY65" s="1"/>
      <c r="LUZ65" s="1"/>
      <c r="LVA65" s="1"/>
      <c r="LVB65" s="1"/>
      <c r="LVC65" s="1"/>
      <c r="LVD65" s="1"/>
      <c r="LVE65" s="1"/>
      <c r="LVF65" s="1"/>
      <c r="LVG65" s="1"/>
      <c r="LVH65" s="1"/>
      <c r="LVI65" s="1"/>
      <c r="LVJ65" s="1"/>
      <c r="LVK65" s="1"/>
      <c r="LVL65" s="1"/>
      <c r="LVM65" s="1"/>
      <c r="LVN65" s="1"/>
      <c r="LVO65" s="1"/>
      <c r="LVP65" s="1"/>
      <c r="LVQ65" s="1"/>
      <c r="LVR65" s="1"/>
      <c r="LVS65" s="1"/>
      <c r="LVT65" s="1"/>
      <c r="LVU65" s="1"/>
      <c r="LVV65" s="1"/>
      <c r="LVW65" s="1"/>
      <c r="LVX65" s="1"/>
      <c r="LVY65" s="1"/>
      <c r="LVZ65" s="1"/>
      <c r="LWA65" s="1"/>
      <c r="LWB65" s="1"/>
      <c r="LWC65" s="1"/>
      <c r="LWD65" s="1"/>
      <c r="LWE65" s="1"/>
      <c r="LWF65" s="1"/>
      <c r="LWG65" s="1"/>
      <c r="LWH65" s="1"/>
      <c r="LWI65" s="1"/>
      <c r="LWJ65" s="1"/>
      <c r="LWK65" s="1"/>
      <c r="LWL65" s="1"/>
      <c r="LWM65" s="1"/>
      <c r="LWN65" s="1"/>
      <c r="LWO65" s="1"/>
      <c r="LWP65" s="1"/>
      <c r="LWQ65" s="1"/>
      <c r="LWR65" s="1"/>
      <c r="LWS65" s="1"/>
      <c r="LWT65" s="1"/>
      <c r="LWU65" s="1"/>
      <c r="LWV65" s="1"/>
      <c r="LWW65" s="1"/>
      <c r="LWX65" s="1"/>
      <c r="LWY65" s="1"/>
      <c r="LWZ65" s="1"/>
      <c r="LXA65" s="1"/>
      <c r="LXB65" s="1"/>
      <c r="LXC65" s="1"/>
      <c r="LXD65" s="1"/>
      <c r="LXE65" s="1"/>
      <c r="LXF65" s="1"/>
      <c r="LXG65" s="1"/>
      <c r="LXH65" s="1"/>
      <c r="LXI65" s="1"/>
      <c r="LXJ65" s="1"/>
      <c r="LXK65" s="1"/>
      <c r="LXL65" s="1"/>
      <c r="LXM65" s="1"/>
      <c r="LXN65" s="1"/>
      <c r="LXO65" s="1"/>
      <c r="LXP65" s="1"/>
      <c r="LXQ65" s="1"/>
      <c r="LXR65" s="1"/>
      <c r="LXS65" s="1"/>
      <c r="LXT65" s="1"/>
      <c r="LXU65" s="1"/>
      <c r="LXV65" s="1"/>
      <c r="LXW65" s="1"/>
      <c r="LXX65" s="1"/>
      <c r="LXY65" s="1"/>
      <c r="LXZ65" s="1"/>
      <c r="LYA65" s="1"/>
      <c r="LYB65" s="1"/>
      <c r="LYC65" s="1"/>
      <c r="LYD65" s="1"/>
      <c r="LYE65" s="1"/>
      <c r="LYF65" s="1"/>
      <c r="LYG65" s="1"/>
      <c r="LYH65" s="1"/>
      <c r="LYI65" s="1"/>
      <c r="LYJ65" s="1"/>
      <c r="LYK65" s="1"/>
      <c r="LYL65" s="1"/>
      <c r="LYM65" s="1"/>
      <c r="LYN65" s="1"/>
      <c r="LYO65" s="1"/>
      <c r="LYP65" s="1"/>
      <c r="LYQ65" s="1"/>
      <c r="LYR65" s="1"/>
      <c r="LYS65" s="1"/>
      <c r="LYT65" s="1"/>
      <c r="LYU65" s="1"/>
      <c r="LYV65" s="1"/>
      <c r="LYW65" s="1"/>
      <c r="LYX65" s="1"/>
      <c r="LYY65" s="1"/>
      <c r="LYZ65" s="1"/>
      <c r="LZA65" s="1"/>
      <c r="LZB65" s="1"/>
      <c r="LZC65" s="1"/>
      <c r="LZD65" s="1"/>
      <c r="LZE65" s="1"/>
      <c r="LZF65" s="1"/>
      <c r="LZG65" s="1"/>
      <c r="LZH65" s="1"/>
      <c r="LZI65" s="1"/>
      <c r="LZJ65" s="1"/>
      <c r="LZK65" s="1"/>
      <c r="LZL65" s="1"/>
      <c r="LZM65" s="1"/>
      <c r="LZN65" s="1"/>
      <c r="LZO65" s="1"/>
      <c r="LZP65" s="1"/>
      <c r="LZQ65" s="1"/>
      <c r="LZR65" s="1"/>
      <c r="LZS65" s="1"/>
      <c r="LZT65" s="1"/>
      <c r="LZU65" s="1"/>
      <c r="LZV65" s="1"/>
      <c r="LZW65" s="1"/>
      <c r="LZX65" s="1"/>
      <c r="LZY65" s="1"/>
      <c r="LZZ65" s="1"/>
      <c r="MAA65" s="1"/>
      <c r="MAB65" s="1"/>
      <c r="MAC65" s="1"/>
      <c r="MAD65" s="1"/>
      <c r="MAE65" s="1"/>
      <c r="MAF65" s="1"/>
      <c r="MAG65" s="1"/>
      <c r="MAH65" s="1"/>
      <c r="MAI65" s="1"/>
      <c r="MAJ65" s="1"/>
      <c r="MAK65" s="1"/>
      <c r="MAL65" s="1"/>
      <c r="MAM65" s="1"/>
      <c r="MAN65" s="1"/>
      <c r="MAO65" s="1"/>
      <c r="MAP65" s="1"/>
      <c r="MAQ65" s="1"/>
      <c r="MAR65" s="1"/>
      <c r="MAS65" s="1"/>
      <c r="MAT65" s="1"/>
      <c r="MAU65" s="1"/>
      <c r="MAV65" s="1"/>
      <c r="MAW65" s="1"/>
      <c r="MAX65" s="1"/>
      <c r="MAY65" s="1"/>
      <c r="MAZ65" s="1"/>
      <c r="MBA65" s="1"/>
      <c r="MBB65" s="1"/>
      <c r="MBC65" s="1"/>
      <c r="MBD65" s="1"/>
      <c r="MBE65" s="1"/>
      <c r="MBF65" s="1"/>
      <c r="MBG65" s="1"/>
      <c r="MBH65" s="1"/>
      <c r="MBI65" s="1"/>
      <c r="MBJ65" s="1"/>
      <c r="MBK65" s="1"/>
      <c r="MBL65" s="1"/>
      <c r="MBM65" s="1"/>
      <c r="MBN65" s="1"/>
      <c r="MBO65" s="1"/>
      <c r="MBP65" s="1"/>
      <c r="MBQ65" s="1"/>
      <c r="MBR65" s="1"/>
      <c r="MBS65" s="1"/>
      <c r="MBT65" s="1"/>
      <c r="MBU65" s="1"/>
      <c r="MBV65" s="1"/>
      <c r="MBW65" s="1"/>
      <c r="MBX65" s="1"/>
      <c r="MBY65" s="1"/>
      <c r="MBZ65" s="1"/>
      <c r="MCA65" s="1"/>
      <c r="MCB65" s="1"/>
      <c r="MCC65" s="1"/>
      <c r="MCD65" s="1"/>
      <c r="MCE65" s="1"/>
      <c r="MCF65" s="1"/>
      <c r="MCG65" s="1"/>
      <c r="MCH65" s="1"/>
      <c r="MCI65" s="1"/>
      <c r="MCJ65" s="1"/>
      <c r="MCK65" s="1"/>
      <c r="MCL65" s="1"/>
      <c r="MCM65" s="1"/>
      <c r="MCN65" s="1"/>
      <c r="MCO65" s="1"/>
      <c r="MCP65" s="1"/>
      <c r="MCQ65" s="1"/>
      <c r="MCR65" s="1"/>
      <c r="MCS65" s="1"/>
      <c r="MCT65" s="1"/>
      <c r="MCU65" s="1"/>
      <c r="MCV65" s="1"/>
      <c r="MCW65" s="1"/>
      <c r="MCX65" s="1"/>
      <c r="MCY65" s="1"/>
      <c r="MCZ65" s="1"/>
      <c r="MDA65" s="1"/>
      <c r="MDB65" s="1"/>
      <c r="MDC65" s="1"/>
      <c r="MDD65" s="1"/>
      <c r="MDE65" s="1"/>
      <c r="MDF65" s="1"/>
      <c r="MDG65" s="1"/>
      <c r="MDH65" s="1"/>
      <c r="MDI65" s="1"/>
      <c r="MDJ65" s="1"/>
      <c r="MDK65" s="1"/>
      <c r="MDL65" s="1"/>
      <c r="MDM65" s="1"/>
      <c r="MDN65" s="1"/>
      <c r="MDO65" s="1"/>
      <c r="MDP65" s="1"/>
      <c r="MDQ65" s="1"/>
      <c r="MDR65" s="1"/>
      <c r="MDS65" s="1"/>
      <c r="MDT65" s="1"/>
      <c r="MDU65" s="1"/>
      <c r="MDV65" s="1"/>
      <c r="MDW65" s="1"/>
      <c r="MDX65" s="1"/>
      <c r="MDY65" s="1"/>
      <c r="MDZ65" s="1"/>
      <c r="MEA65" s="1"/>
      <c r="MEB65" s="1"/>
      <c r="MEC65" s="1"/>
      <c r="MED65" s="1"/>
      <c r="MEE65" s="1"/>
      <c r="MEF65" s="1"/>
      <c r="MEG65" s="1"/>
      <c r="MEH65" s="1"/>
      <c r="MEI65" s="1"/>
      <c r="MEJ65" s="1"/>
      <c r="MEK65" s="1"/>
      <c r="MEL65" s="1"/>
      <c r="MEM65" s="1"/>
      <c r="MEN65" s="1"/>
      <c r="MEO65" s="1"/>
      <c r="MEP65" s="1"/>
      <c r="MEQ65" s="1"/>
      <c r="MER65" s="1"/>
      <c r="MES65" s="1"/>
      <c r="MET65" s="1"/>
      <c r="MEU65" s="1"/>
      <c r="MEV65" s="1"/>
      <c r="MEW65" s="1"/>
      <c r="MEX65" s="1"/>
      <c r="MEY65" s="1"/>
      <c r="MEZ65" s="1"/>
      <c r="MFA65" s="1"/>
      <c r="MFB65" s="1"/>
      <c r="MFC65" s="1"/>
      <c r="MFD65" s="1"/>
      <c r="MFE65" s="1"/>
      <c r="MFF65" s="1"/>
      <c r="MFG65" s="1"/>
      <c r="MFH65" s="1"/>
      <c r="MFI65" s="1"/>
      <c r="MFJ65" s="1"/>
      <c r="MFK65" s="1"/>
      <c r="MFL65" s="1"/>
      <c r="MFM65" s="1"/>
      <c r="MFN65" s="1"/>
      <c r="MFO65" s="1"/>
      <c r="MFP65" s="1"/>
      <c r="MFQ65" s="1"/>
      <c r="MFR65" s="1"/>
      <c r="MFS65" s="1"/>
      <c r="MFT65" s="1"/>
      <c r="MFU65" s="1"/>
      <c r="MFV65" s="1"/>
      <c r="MFW65" s="1"/>
      <c r="MFX65" s="1"/>
      <c r="MFY65" s="1"/>
      <c r="MFZ65" s="1"/>
      <c r="MGA65" s="1"/>
      <c r="MGB65" s="1"/>
      <c r="MGC65" s="1"/>
      <c r="MGD65" s="1"/>
      <c r="MGE65" s="1"/>
      <c r="MGF65" s="1"/>
      <c r="MGG65" s="1"/>
      <c r="MGH65" s="1"/>
      <c r="MGI65" s="1"/>
      <c r="MGJ65" s="1"/>
      <c r="MGK65" s="1"/>
      <c r="MGL65" s="1"/>
      <c r="MGM65" s="1"/>
      <c r="MGN65" s="1"/>
      <c r="MGO65" s="1"/>
      <c r="MGP65" s="1"/>
      <c r="MGQ65" s="1"/>
      <c r="MGR65" s="1"/>
      <c r="MGS65" s="1"/>
      <c r="MGT65" s="1"/>
      <c r="MGU65" s="1"/>
      <c r="MGV65" s="1"/>
      <c r="MGW65" s="1"/>
      <c r="MGX65" s="1"/>
      <c r="MGY65" s="1"/>
      <c r="MGZ65" s="1"/>
      <c r="MHA65" s="1"/>
      <c r="MHB65" s="1"/>
      <c r="MHC65" s="1"/>
      <c r="MHD65" s="1"/>
      <c r="MHE65" s="1"/>
      <c r="MHF65" s="1"/>
      <c r="MHG65" s="1"/>
      <c r="MHH65" s="1"/>
      <c r="MHI65" s="1"/>
      <c r="MHJ65" s="1"/>
      <c r="MHK65" s="1"/>
      <c r="MHL65" s="1"/>
      <c r="MHM65" s="1"/>
      <c r="MHN65" s="1"/>
      <c r="MHO65" s="1"/>
      <c r="MHP65" s="1"/>
      <c r="MHQ65" s="1"/>
      <c r="MHR65" s="1"/>
      <c r="MHS65" s="1"/>
      <c r="MHT65" s="1"/>
      <c r="MHU65" s="1"/>
      <c r="MHV65" s="1"/>
      <c r="MHW65" s="1"/>
      <c r="MHX65" s="1"/>
      <c r="MHY65" s="1"/>
      <c r="MHZ65" s="1"/>
      <c r="MIA65" s="1"/>
      <c r="MIB65" s="1"/>
      <c r="MIC65" s="1"/>
      <c r="MID65" s="1"/>
      <c r="MIE65" s="1"/>
      <c r="MIF65" s="1"/>
      <c r="MIG65" s="1"/>
      <c r="MIH65" s="1"/>
      <c r="MII65" s="1"/>
      <c r="MIJ65" s="1"/>
      <c r="MIK65" s="1"/>
      <c r="MIL65" s="1"/>
      <c r="MIM65" s="1"/>
      <c r="MIN65" s="1"/>
      <c r="MIO65" s="1"/>
      <c r="MIP65" s="1"/>
      <c r="MIQ65" s="1"/>
      <c r="MIR65" s="1"/>
      <c r="MIS65" s="1"/>
      <c r="MIT65" s="1"/>
      <c r="MIU65" s="1"/>
      <c r="MIV65" s="1"/>
      <c r="MIW65" s="1"/>
      <c r="MIX65" s="1"/>
      <c r="MIY65" s="1"/>
      <c r="MIZ65" s="1"/>
      <c r="MJA65" s="1"/>
      <c r="MJB65" s="1"/>
      <c r="MJC65" s="1"/>
      <c r="MJD65" s="1"/>
      <c r="MJE65" s="1"/>
      <c r="MJF65" s="1"/>
      <c r="MJG65" s="1"/>
      <c r="MJH65" s="1"/>
      <c r="MJI65" s="1"/>
      <c r="MJJ65" s="1"/>
      <c r="MJK65" s="1"/>
      <c r="MJL65" s="1"/>
      <c r="MJM65" s="1"/>
      <c r="MJN65" s="1"/>
      <c r="MJO65" s="1"/>
      <c r="MJP65" s="1"/>
      <c r="MJQ65" s="1"/>
      <c r="MJR65" s="1"/>
      <c r="MJS65" s="1"/>
      <c r="MJT65" s="1"/>
      <c r="MJU65" s="1"/>
      <c r="MJV65" s="1"/>
      <c r="MJW65" s="1"/>
      <c r="MJX65" s="1"/>
      <c r="MJY65" s="1"/>
      <c r="MJZ65" s="1"/>
      <c r="MKA65" s="1"/>
      <c r="MKB65" s="1"/>
      <c r="MKC65" s="1"/>
      <c r="MKD65" s="1"/>
      <c r="MKE65" s="1"/>
      <c r="MKF65" s="1"/>
      <c r="MKG65" s="1"/>
      <c r="MKH65" s="1"/>
      <c r="MKI65" s="1"/>
      <c r="MKJ65" s="1"/>
      <c r="MKK65" s="1"/>
      <c r="MKL65" s="1"/>
      <c r="MKM65" s="1"/>
      <c r="MKN65" s="1"/>
      <c r="MKO65" s="1"/>
      <c r="MKP65" s="1"/>
      <c r="MKQ65" s="1"/>
      <c r="MKR65" s="1"/>
      <c r="MKS65" s="1"/>
      <c r="MKT65" s="1"/>
      <c r="MKU65" s="1"/>
      <c r="MKV65" s="1"/>
      <c r="MKW65" s="1"/>
      <c r="MKX65" s="1"/>
      <c r="MKY65" s="1"/>
      <c r="MKZ65" s="1"/>
      <c r="MLA65" s="1"/>
      <c r="MLB65" s="1"/>
      <c r="MLC65" s="1"/>
      <c r="MLD65" s="1"/>
      <c r="MLE65" s="1"/>
      <c r="MLF65" s="1"/>
      <c r="MLG65" s="1"/>
      <c r="MLH65" s="1"/>
      <c r="MLI65" s="1"/>
      <c r="MLJ65" s="1"/>
      <c r="MLK65" s="1"/>
      <c r="MLL65" s="1"/>
      <c r="MLM65" s="1"/>
      <c r="MLN65" s="1"/>
      <c r="MLO65" s="1"/>
      <c r="MLP65" s="1"/>
      <c r="MLQ65" s="1"/>
      <c r="MLR65" s="1"/>
      <c r="MLS65" s="1"/>
      <c r="MLT65" s="1"/>
      <c r="MLU65" s="1"/>
      <c r="MLV65" s="1"/>
      <c r="MLW65" s="1"/>
      <c r="MLX65" s="1"/>
      <c r="MLY65" s="1"/>
      <c r="MLZ65" s="1"/>
      <c r="MMA65" s="1"/>
      <c r="MMB65" s="1"/>
      <c r="MMC65" s="1"/>
      <c r="MMD65" s="1"/>
      <c r="MME65" s="1"/>
      <c r="MMF65" s="1"/>
      <c r="MMG65" s="1"/>
      <c r="MMH65" s="1"/>
      <c r="MMI65" s="1"/>
      <c r="MMJ65" s="1"/>
      <c r="MMK65" s="1"/>
      <c r="MML65" s="1"/>
      <c r="MMM65" s="1"/>
      <c r="MMN65" s="1"/>
      <c r="MMO65" s="1"/>
      <c r="MMP65" s="1"/>
      <c r="MMQ65" s="1"/>
      <c r="MMR65" s="1"/>
      <c r="MMS65" s="1"/>
      <c r="MMT65" s="1"/>
      <c r="MMU65" s="1"/>
      <c r="MMV65" s="1"/>
      <c r="MMW65" s="1"/>
      <c r="MMX65" s="1"/>
      <c r="MMY65" s="1"/>
      <c r="MMZ65" s="1"/>
      <c r="MNA65" s="1"/>
      <c r="MNB65" s="1"/>
      <c r="MNC65" s="1"/>
      <c r="MND65" s="1"/>
      <c r="MNE65" s="1"/>
      <c r="MNF65" s="1"/>
      <c r="MNG65" s="1"/>
      <c r="MNH65" s="1"/>
      <c r="MNI65" s="1"/>
      <c r="MNJ65" s="1"/>
      <c r="MNK65" s="1"/>
      <c r="MNL65" s="1"/>
      <c r="MNM65" s="1"/>
      <c r="MNN65" s="1"/>
      <c r="MNO65" s="1"/>
      <c r="MNP65" s="1"/>
      <c r="MNQ65" s="1"/>
      <c r="MNR65" s="1"/>
      <c r="MNS65" s="1"/>
      <c r="MNT65" s="1"/>
      <c r="MNU65" s="1"/>
      <c r="MNV65" s="1"/>
      <c r="MNW65" s="1"/>
      <c r="MNX65" s="1"/>
      <c r="MNY65" s="1"/>
      <c r="MNZ65" s="1"/>
      <c r="MOA65" s="1"/>
      <c r="MOB65" s="1"/>
      <c r="MOC65" s="1"/>
      <c r="MOD65" s="1"/>
      <c r="MOE65" s="1"/>
      <c r="MOF65" s="1"/>
      <c r="MOG65" s="1"/>
      <c r="MOH65" s="1"/>
      <c r="MOI65" s="1"/>
      <c r="MOJ65" s="1"/>
      <c r="MOK65" s="1"/>
      <c r="MOL65" s="1"/>
      <c r="MOM65" s="1"/>
      <c r="MON65" s="1"/>
      <c r="MOO65" s="1"/>
      <c r="MOP65" s="1"/>
      <c r="MOQ65" s="1"/>
      <c r="MOR65" s="1"/>
      <c r="MOS65" s="1"/>
      <c r="MOT65" s="1"/>
      <c r="MOU65" s="1"/>
      <c r="MOV65" s="1"/>
      <c r="MOW65" s="1"/>
      <c r="MOX65" s="1"/>
      <c r="MOY65" s="1"/>
      <c r="MOZ65" s="1"/>
      <c r="MPA65" s="1"/>
      <c r="MPB65" s="1"/>
      <c r="MPC65" s="1"/>
      <c r="MPD65" s="1"/>
      <c r="MPE65" s="1"/>
      <c r="MPF65" s="1"/>
      <c r="MPG65" s="1"/>
      <c r="MPH65" s="1"/>
      <c r="MPI65" s="1"/>
      <c r="MPJ65" s="1"/>
      <c r="MPK65" s="1"/>
      <c r="MPL65" s="1"/>
      <c r="MPM65" s="1"/>
      <c r="MPN65" s="1"/>
      <c r="MPO65" s="1"/>
      <c r="MPP65" s="1"/>
      <c r="MPQ65" s="1"/>
      <c r="MPR65" s="1"/>
      <c r="MPS65" s="1"/>
      <c r="MPT65" s="1"/>
      <c r="MPU65" s="1"/>
      <c r="MPV65" s="1"/>
      <c r="MPW65" s="1"/>
      <c r="MPX65" s="1"/>
      <c r="MPY65" s="1"/>
      <c r="MPZ65" s="1"/>
      <c r="MQA65" s="1"/>
      <c r="MQB65" s="1"/>
      <c r="MQC65" s="1"/>
      <c r="MQD65" s="1"/>
      <c r="MQE65" s="1"/>
      <c r="MQF65" s="1"/>
      <c r="MQG65" s="1"/>
      <c r="MQH65" s="1"/>
      <c r="MQI65" s="1"/>
      <c r="MQJ65" s="1"/>
      <c r="MQK65" s="1"/>
      <c r="MQL65" s="1"/>
      <c r="MQM65" s="1"/>
      <c r="MQN65" s="1"/>
      <c r="MQO65" s="1"/>
      <c r="MQP65" s="1"/>
      <c r="MQQ65" s="1"/>
      <c r="MQR65" s="1"/>
      <c r="MQS65" s="1"/>
      <c r="MQT65" s="1"/>
      <c r="MQU65" s="1"/>
      <c r="MQV65" s="1"/>
      <c r="MQW65" s="1"/>
      <c r="MQX65" s="1"/>
      <c r="MQY65" s="1"/>
      <c r="MQZ65" s="1"/>
      <c r="MRA65" s="1"/>
      <c r="MRB65" s="1"/>
      <c r="MRC65" s="1"/>
      <c r="MRD65" s="1"/>
      <c r="MRE65" s="1"/>
      <c r="MRF65" s="1"/>
      <c r="MRG65" s="1"/>
      <c r="MRH65" s="1"/>
      <c r="MRI65" s="1"/>
      <c r="MRJ65" s="1"/>
      <c r="MRK65" s="1"/>
      <c r="MRL65" s="1"/>
      <c r="MRM65" s="1"/>
      <c r="MRN65" s="1"/>
      <c r="MRO65" s="1"/>
      <c r="MRP65" s="1"/>
      <c r="MRQ65" s="1"/>
      <c r="MRR65" s="1"/>
      <c r="MRS65" s="1"/>
      <c r="MRT65" s="1"/>
      <c r="MRU65" s="1"/>
      <c r="MRV65" s="1"/>
      <c r="MRW65" s="1"/>
      <c r="MRX65" s="1"/>
      <c r="MRY65" s="1"/>
      <c r="MRZ65" s="1"/>
      <c r="MSA65" s="1"/>
      <c r="MSB65" s="1"/>
      <c r="MSC65" s="1"/>
      <c r="MSD65" s="1"/>
      <c r="MSE65" s="1"/>
      <c r="MSF65" s="1"/>
      <c r="MSG65" s="1"/>
      <c r="MSH65" s="1"/>
      <c r="MSI65" s="1"/>
      <c r="MSJ65" s="1"/>
      <c r="MSK65" s="1"/>
      <c r="MSL65" s="1"/>
      <c r="MSM65" s="1"/>
      <c r="MSN65" s="1"/>
      <c r="MSO65" s="1"/>
      <c r="MSP65" s="1"/>
      <c r="MSQ65" s="1"/>
      <c r="MSR65" s="1"/>
      <c r="MSS65" s="1"/>
      <c r="MST65" s="1"/>
      <c r="MSU65" s="1"/>
      <c r="MSV65" s="1"/>
      <c r="MSW65" s="1"/>
      <c r="MSX65" s="1"/>
      <c r="MSY65" s="1"/>
      <c r="MSZ65" s="1"/>
      <c r="MTA65" s="1"/>
      <c r="MTB65" s="1"/>
      <c r="MTC65" s="1"/>
      <c r="MTD65" s="1"/>
      <c r="MTE65" s="1"/>
      <c r="MTF65" s="1"/>
      <c r="MTG65" s="1"/>
      <c r="MTH65" s="1"/>
      <c r="MTI65" s="1"/>
      <c r="MTJ65" s="1"/>
      <c r="MTK65" s="1"/>
      <c r="MTL65" s="1"/>
      <c r="MTM65" s="1"/>
      <c r="MTN65" s="1"/>
      <c r="MTO65" s="1"/>
      <c r="MTP65" s="1"/>
      <c r="MTQ65" s="1"/>
      <c r="MTR65" s="1"/>
      <c r="MTS65" s="1"/>
      <c r="MTT65" s="1"/>
      <c r="MTU65" s="1"/>
      <c r="MTV65" s="1"/>
      <c r="MTW65" s="1"/>
      <c r="MTX65" s="1"/>
      <c r="MTY65" s="1"/>
      <c r="MTZ65" s="1"/>
      <c r="MUA65" s="1"/>
      <c r="MUB65" s="1"/>
      <c r="MUC65" s="1"/>
      <c r="MUD65" s="1"/>
      <c r="MUE65" s="1"/>
      <c r="MUF65" s="1"/>
      <c r="MUG65" s="1"/>
      <c r="MUH65" s="1"/>
      <c r="MUI65" s="1"/>
      <c r="MUJ65" s="1"/>
      <c r="MUK65" s="1"/>
      <c r="MUL65" s="1"/>
      <c r="MUM65" s="1"/>
      <c r="MUN65" s="1"/>
      <c r="MUO65" s="1"/>
      <c r="MUP65" s="1"/>
      <c r="MUQ65" s="1"/>
      <c r="MUR65" s="1"/>
      <c r="MUS65" s="1"/>
      <c r="MUT65" s="1"/>
      <c r="MUU65" s="1"/>
      <c r="MUV65" s="1"/>
      <c r="MUW65" s="1"/>
      <c r="MUX65" s="1"/>
      <c r="MUY65" s="1"/>
      <c r="MUZ65" s="1"/>
      <c r="MVA65" s="1"/>
      <c r="MVB65" s="1"/>
      <c r="MVC65" s="1"/>
      <c r="MVD65" s="1"/>
      <c r="MVE65" s="1"/>
      <c r="MVF65" s="1"/>
      <c r="MVG65" s="1"/>
      <c r="MVH65" s="1"/>
      <c r="MVI65" s="1"/>
      <c r="MVJ65" s="1"/>
      <c r="MVK65" s="1"/>
      <c r="MVL65" s="1"/>
      <c r="MVM65" s="1"/>
      <c r="MVN65" s="1"/>
      <c r="MVO65" s="1"/>
      <c r="MVP65" s="1"/>
      <c r="MVQ65" s="1"/>
      <c r="MVR65" s="1"/>
      <c r="MVS65" s="1"/>
      <c r="MVT65" s="1"/>
      <c r="MVU65" s="1"/>
      <c r="MVV65" s="1"/>
      <c r="MVW65" s="1"/>
      <c r="MVX65" s="1"/>
      <c r="MVY65" s="1"/>
      <c r="MVZ65" s="1"/>
      <c r="MWA65" s="1"/>
      <c r="MWB65" s="1"/>
      <c r="MWC65" s="1"/>
      <c r="MWD65" s="1"/>
      <c r="MWE65" s="1"/>
      <c r="MWF65" s="1"/>
      <c r="MWG65" s="1"/>
      <c r="MWH65" s="1"/>
      <c r="MWI65" s="1"/>
      <c r="MWJ65" s="1"/>
      <c r="MWK65" s="1"/>
      <c r="MWL65" s="1"/>
      <c r="MWM65" s="1"/>
      <c r="MWN65" s="1"/>
      <c r="MWO65" s="1"/>
      <c r="MWP65" s="1"/>
      <c r="MWQ65" s="1"/>
      <c r="MWR65" s="1"/>
      <c r="MWS65" s="1"/>
      <c r="MWT65" s="1"/>
      <c r="MWU65" s="1"/>
      <c r="MWV65" s="1"/>
      <c r="MWW65" s="1"/>
      <c r="MWX65" s="1"/>
      <c r="MWY65" s="1"/>
      <c r="MWZ65" s="1"/>
      <c r="MXA65" s="1"/>
      <c r="MXB65" s="1"/>
      <c r="MXC65" s="1"/>
      <c r="MXD65" s="1"/>
      <c r="MXE65" s="1"/>
      <c r="MXF65" s="1"/>
      <c r="MXG65" s="1"/>
      <c r="MXH65" s="1"/>
      <c r="MXI65" s="1"/>
      <c r="MXJ65" s="1"/>
      <c r="MXK65" s="1"/>
      <c r="MXL65" s="1"/>
      <c r="MXM65" s="1"/>
      <c r="MXN65" s="1"/>
      <c r="MXO65" s="1"/>
      <c r="MXP65" s="1"/>
      <c r="MXQ65" s="1"/>
      <c r="MXR65" s="1"/>
      <c r="MXS65" s="1"/>
      <c r="MXT65" s="1"/>
      <c r="MXU65" s="1"/>
      <c r="MXV65" s="1"/>
      <c r="MXW65" s="1"/>
      <c r="MXX65" s="1"/>
      <c r="MXY65" s="1"/>
      <c r="MXZ65" s="1"/>
      <c r="MYA65" s="1"/>
      <c r="MYB65" s="1"/>
      <c r="MYC65" s="1"/>
      <c r="MYD65" s="1"/>
      <c r="MYE65" s="1"/>
      <c r="MYF65" s="1"/>
      <c r="MYG65" s="1"/>
      <c r="MYH65" s="1"/>
      <c r="MYI65" s="1"/>
      <c r="MYJ65" s="1"/>
      <c r="MYK65" s="1"/>
      <c r="MYL65" s="1"/>
      <c r="MYM65" s="1"/>
      <c r="MYN65" s="1"/>
      <c r="MYO65" s="1"/>
      <c r="MYP65" s="1"/>
      <c r="MYQ65" s="1"/>
      <c r="MYR65" s="1"/>
      <c r="MYS65" s="1"/>
      <c r="MYT65" s="1"/>
      <c r="MYU65" s="1"/>
      <c r="MYV65" s="1"/>
      <c r="MYW65" s="1"/>
      <c r="MYX65" s="1"/>
      <c r="MYY65" s="1"/>
      <c r="MYZ65" s="1"/>
      <c r="MZA65" s="1"/>
      <c r="MZB65" s="1"/>
      <c r="MZC65" s="1"/>
      <c r="MZD65" s="1"/>
      <c r="MZE65" s="1"/>
      <c r="MZF65" s="1"/>
      <c r="MZG65" s="1"/>
      <c r="MZH65" s="1"/>
      <c r="MZI65" s="1"/>
      <c r="MZJ65" s="1"/>
      <c r="MZK65" s="1"/>
      <c r="MZL65" s="1"/>
      <c r="MZM65" s="1"/>
      <c r="MZN65" s="1"/>
      <c r="MZO65" s="1"/>
      <c r="MZP65" s="1"/>
      <c r="MZQ65" s="1"/>
      <c r="MZR65" s="1"/>
      <c r="MZS65" s="1"/>
      <c r="MZT65" s="1"/>
      <c r="MZU65" s="1"/>
      <c r="MZV65" s="1"/>
      <c r="MZW65" s="1"/>
      <c r="MZX65" s="1"/>
      <c r="MZY65" s="1"/>
      <c r="MZZ65" s="1"/>
      <c r="NAA65" s="1"/>
      <c r="NAB65" s="1"/>
      <c r="NAC65" s="1"/>
      <c r="NAD65" s="1"/>
      <c r="NAE65" s="1"/>
      <c r="NAF65" s="1"/>
      <c r="NAG65" s="1"/>
      <c r="NAH65" s="1"/>
      <c r="NAI65" s="1"/>
      <c r="NAJ65" s="1"/>
      <c r="NAK65" s="1"/>
      <c r="NAL65" s="1"/>
      <c r="NAM65" s="1"/>
      <c r="NAN65" s="1"/>
      <c r="NAO65" s="1"/>
      <c r="NAP65" s="1"/>
      <c r="NAQ65" s="1"/>
      <c r="NAR65" s="1"/>
      <c r="NAS65" s="1"/>
      <c r="NAT65" s="1"/>
      <c r="NAU65" s="1"/>
      <c r="NAV65" s="1"/>
      <c r="NAW65" s="1"/>
      <c r="NAX65" s="1"/>
      <c r="NAY65" s="1"/>
      <c r="NAZ65" s="1"/>
      <c r="NBA65" s="1"/>
      <c r="NBB65" s="1"/>
      <c r="NBC65" s="1"/>
      <c r="NBD65" s="1"/>
      <c r="NBE65" s="1"/>
      <c r="NBF65" s="1"/>
      <c r="NBG65" s="1"/>
      <c r="NBH65" s="1"/>
      <c r="NBI65" s="1"/>
      <c r="NBJ65" s="1"/>
      <c r="NBK65" s="1"/>
      <c r="NBL65" s="1"/>
      <c r="NBM65" s="1"/>
      <c r="NBN65" s="1"/>
      <c r="NBO65" s="1"/>
      <c r="NBP65" s="1"/>
      <c r="NBQ65" s="1"/>
      <c r="NBR65" s="1"/>
      <c r="NBS65" s="1"/>
      <c r="NBT65" s="1"/>
      <c r="NBU65" s="1"/>
      <c r="NBV65" s="1"/>
      <c r="NBW65" s="1"/>
      <c r="NBX65" s="1"/>
      <c r="NBY65" s="1"/>
      <c r="NBZ65" s="1"/>
      <c r="NCA65" s="1"/>
      <c r="NCB65" s="1"/>
      <c r="NCC65" s="1"/>
      <c r="NCD65" s="1"/>
      <c r="NCE65" s="1"/>
      <c r="NCF65" s="1"/>
      <c r="NCG65" s="1"/>
      <c r="NCH65" s="1"/>
      <c r="NCI65" s="1"/>
      <c r="NCJ65" s="1"/>
      <c r="NCK65" s="1"/>
      <c r="NCL65" s="1"/>
      <c r="NCM65" s="1"/>
      <c r="NCN65" s="1"/>
      <c r="NCO65" s="1"/>
      <c r="NCP65" s="1"/>
      <c r="NCQ65" s="1"/>
      <c r="NCR65" s="1"/>
      <c r="NCS65" s="1"/>
      <c r="NCT65" s="1"/>
      <c r="NCU65" s="1"/>
      <c r="NCV65" s="1"/>
      <c r="NCW65" s="1"/>
      <c r="NCX65" s="1"/>
      <c r="NCY65" s="1"/>
      <c r="NCZ65" s="1"/>
      <c r="NDA65" s="1"/>
      <c r="NDB65" s="1"/>
      <c r="NDC65" s="1"/>
      <c r="NDD65" s="1"/>
      <c r="NDE65" s="1"/>
      <c r="NDF65" s="1"/>
      <c r="NDG65" s="1"/>
      <c r="NDH65" s="1"/>
      <c r="NDI65" s="1"/>
      <c r="NDJ65" s="1"/>
      <c r="NDK65" s="1"/>
      <c r="NDL65" s="1"/>
      <c r="NDM65" s="1"/>
      <c r="NDN65" s="1"/>
      <c r="NDO65" s="1"/>
      <c r="NDP65" s="1"/>
      <c r="NDQ65" s="1"/>
      <c r="NDR65" s="1"/>
      <c r="NDS65" s="1"/>
      <c r="NDT65" s="1"/>
      <c r="NDU65" s="1"/>
      <c r="NDV65" s="1"/>
      <c r="NDW65" s="1"/>
      <c r="NDX65" s="1"/>
      <c r="NDY65" s="1"/>
      <c r="NDZ65" s="1"/>
      <c r="NEA65" s="1"/>
      <c r="NEB65" s="1"/>
      <c r="NEC65" s="1"/>
      <c r="NED65" s="1"/>
      <c r="NEE65" s="1"/>
      <c r="NEF65" s="1"/>
      <c r="NEG65" s="1"/>
      <c r="NEH65" s="1"/>
      <c r="NEI65" s="1"/>
      <c r="NEJ65" s="1"/>
      <c r="NEK65" s="1"/>
      <c r="NEL65" s="1"/>
      <c r="NEM65" s="1"/>
      <c r="NEN65" s="1"/>
      <c r="NEO65" s="1"/>
      <c r="NEP65" s="1"/>
      <c r="NEQ65" s="1"/>
      <c r="NER65" s="1"/>
      <c r="NES65" s="1"/>
      <c r="NET65" s="1"/>
      <c r="NEU65" s="1"/>
      <c r="NEV65" s="1"/>
      <c r="NEW65" s="1"/>
      <c r="NEX65" s="1"/>
      <c r="NEY65" s="1"/>
      <c r="NEZ65" s="1"/>
      <c r="NFA65" s="1"/>
      <c r="NFB65" s="1"/>
      <c r="NFC65" s="1"/>
      <c r="NFD65" s="1"/>
      <c r="NFE65" s="1"/>
      <c r="NFF65" s="1"/>
      <c r="NFG65" s="1"/>
      <c r="NFH65" s="1"/>
      <c r="NFI65" s="1"/>
      <c r="NFJ65" s="1"/>
      <c r="NFK65" s="1"/>
      <c r="NFL65" s="1"/>
      <c r="NFM65" s="1"/>
      <c r="NFN65" s="1"/>
      <c r="NFO65" s="1"/>
      <c r="NFP65" s="1"/>
      <c r="NFQ65" s="1"/>
      <c r="NFR65" s="1"/>
      <c r="NFS65" s="1"/>
      <c r="NFT65" s="1"/>
      <c r="NFU65" s="1"/>
      <c r="NFV65" s="1"/>
      <c r="NFW65" s="1"/>
      <c r="NFX65" s="1"/>
      <c r="NFY65" s="1"/>
      <c r="NFZ65" s="1"/>
      <c r="NGA65" s="1"/>
      <c r="NGB65" s="1"/>
      <c r="NGC65" s="1"/>
      <c r="NGD65" s="1"/>
      <c r="NGE65" s="1"/>
      <c r="NGF65" s="1"/>
      <c r="NGG65" s="1"/>
      <c r="NGH65" s="1"/>
      <c r="NGI65" s="1"/>
      <c r="NGJ65" s="1"/>
      <c r="NGK65" s="1"/>
      <c r="NGL65" s="1"/>
      <c r="NGM65" s="1"/>
      <c r="NGN65" s="1"/>
      <c r="NGO65" s="1"/>
      <c r="NGP65" s="1"/>
      <c r="NGQ65" s="1"/>
      <c r="NGR65" s="1"/>
      <c r="NGS65" s="1"/>
      <c r="NGT65" s="1"/>
      <c r="NGU65" s="1"/>
      <c r="NGV65" s="1"/>
      <c r="NGW65" s="1"/>
      <c r="NGX65" s="1"/>
      <c r="NGY65" s="1"/>
      <c r="NGZ65" s="1"/>
      <c r="NHA65" s="1"/>
      <c r="NHB65" s="1"/>
      <c r="NHC65" s="1"/>
      <c r="NHD65" s="1"/>
      <c r="NHE65" s="1"/>
      <c r="NHF65" s="1"/>
      <c r="NHG65" s="1"/>
      <c r="NHH65" s="1"/>
      <c r="NHI65" s="1"/>
      <c r="NHJ65" s="1"/>
      <c r="NHK65" s="1"/>
      <c r="NHL65" s="1"/>
      <c r="NHM65" s="1"/>
      <c r="NHN65" s="1"/>
      <c r="NHO65" s="1"/>
      <c r="NHP65" s="1"/>
      <c r="NHQ65" s="1"/>
      <c r="NHR65" s="1"/>
      <c r="NHS65" s="1"/>
      <c r="NHT65" s="1"/>
      <c r="NHU65" s="1"/>
      <c r="NHV65" s="1"/>
      <c r="NHW65" s="1"/>
      <c r="NHX65" s="1"/>
      <c r="NHY65" s="1"/>
      <c r="NHZ65" s="1"/>
      <c r="NIA65" s="1"/>
      <c r="NIB65" s="1"/>
      <c r="NIC65" s="1"/>
      <c r="NID65" s="1"/>
      <c r="NIE65" s="1"/>
      <c r="NIF65" s="1"/>
      <c r="NIG65" s="1"/>
      <c r="NIH65" s="1"/>
      <c r="NII65" s="1"/>
      <c r="NIJ65" s="1"/>
      <c r="NIK65" s="1"/>
      <c r="NIL65" s="1"/>
      <c r="NIM65" s="1"/>
      <c r="NIN65" s="1"/>
      <c r="NIO65" s="1"/>
      <c r="NIP65" s="1"/>
      <c r="NIQ65" s="1"/>
      <c r="NIR65" s="1"/>
      <c r="NIS65" s="1"/>
      <c r="NIT65" s="1"/>
      <c r="NIU65" s="1"/>
      <c r="NIV65" s="1"/>
      <c r="NIW65" s="1"/>
      <c r="NIX65" s="1"/>
      <c r="NIY65" s="1"/>
      <c r="NIZ65" s="1"/>
      <c r="NJA65" s="1"/>
      <c r="NJB65" s="1"/>
      <c r="NJC65" s="1"/>
      <c r="NJD65" s="1"/>
      <c r="NJE65" s="1"/>
      <c r="NJF65" s="1"/>
      <c r="NJG65" s="1"/>
      <c r="NJH65" s="1"/>
      <c r="NJI65" s="1"/>
      <c r="NJJ65" s="1"/>
      <c r="NJK65" s="1"/>
      <c r="NJL65" s="1"/>
      <c r="NJM65" s="1"/>
      <c r="NJN65" s="1"/>
      <c r="NJO65" s="1"/>
      <c r="NJP65" s="1"/>
      <c r="NJQ65" s="1"/>
      <c r="NJR65" s="1"/>
      <c r="NJS65" s="1"/>
      <c r="NJT65" s="1"/>
      <c r="NJU65" s="1"/>
      <c r="NJV65" s="1"/>
      <c r="NJW65" s="1"/>
      <c r="NJX65" s="1"/>
      <c r="NJY65" s="1"/>
      <c r="NJZ65" s="1"/>
      <c r="NKA65" s="1"/>
      <c r="NKB65" s="1"/>
      <c r="NKC65" s="1"/>
      <c r="NKD65" s="1"/>
      <c r="NKE65" s="1"/>
      <c r="NKF65" s="1"/>
      <c r="NKG65" s="1"/>
      <c r="NKH65" s="1"/>
      <c r="NKI65" s="1"/>
      <c r="NKJ65" s="1"/>
      <c r="NKK65" s="1"/>
      <c r="NKL65" s="1"/>
      <c r="NKM65" s="1"/>
      <c r="NKN65" s="1"/>
      <c r="NKO65" s="1"/>
      <c r="NKP65" s="1"/>
      <c r="NKQ65" s="1"/>
      <c r="NKR65" s="1"/>
      <c r="NKS65" s="1"/>
      <c r="NKT65" s="1"/>
      <c r="NKU65" s="1"/>
      <c r="NKV65" s="1"/>
      <c r="NKW65" s="1"/>
      <c r="NKX65" s="1"/>
      <c r="NKY65" s="1"/>
      <c r="NKZ65" s="1"/>
      <c r="NLA65" s="1"/>
      <c r="NLB65" s="1"/>
      <c r="NLC65" s="1"/>
      <c r="NLD65" s="1"/>
      <c r="NLE65" s="1"/>
      <c r="NLF65" s="1"/>
      <c r="NLG65" s="1"/>
      <c r="NLH65" s="1"/>
      <c r="NLI65" s="1"/>
      <c r="NLJ65" s="1"/>
      <c r="NLK65" s="1"/>
      <c r="NLL65" s="1"/>
      <c r="NLM65" s="1"/>
      <c r="NLN65" s="1"/>
      <c r="NLO65" s="1"/>
      <c r="NLP65" s="1"/>
      <c r="NLQ65" s="1"/>
      <c r="NLR65" s="1"/>
      <c r="NLS65" s="1"/>
      <c r="NLT65" s="1"/>
      <c r="NLU65" s="1"/>
      <c r="NLV65" s="1"/>
      <c r="NLW65" s="1"/>
      <c r="NLX65" s="1"/>
      <c r="NLY65" s="1"/>
      <c r="NLZ65" s="1"/>
      <c r="NMA65" s="1"/>
      <c r="NMB65" s="1"/>
      <c r="NMC65" s="1"/>
      <c r="NMD65" s="1"/>
      <c r="NME65" s="1"/>
      <c r="NMF65" s="1"/>
      <c r="NMG65" s="1"/>
      <c r="NMH65" s="1"/>
      <c r="NMI65" s="1"/>
      <c r="NMJ65" s="1"/>
      <c r="NMK65" s="1"/>
      <c r="NML65" s="1"/>
      <c r="NMM65" s="1"/>
      <c r="NMN65" s="1"/>
      <c r="NMO65" s="1"/>
      <c r="NMP65" s="1"/>
      <c r="NMQ65" s="1"/>
      <c r="NMR65" s="1"/>
      <c r="NMS65" s="1"/>
      <c r="NMT65" s="1"/>
      <c r="NMU65" s="1"/>
      <c r="NMV65" s="1"/>
      <c r="NMW65" s="1"/>
      <c r="NMX65" s="1"/>
      <c r="NMY65" s="1"/>
      <c r="NMZ65" s="1"/>
      <c r="NNA65" s="1"/>
      <c r="NNB65" s="1"/>
      <c r="NNC65" s="1"/>
      <c r="NND65" s="1"/>
      <c r="NNE65" s="1"/>
      <c r="NNF65" s="1"/>
      <c r="NNG65" s="1"/>
      <c r="NNH65" s="1"/>
      <c r="NNI65" s="1"/>
      <c r="NNJ65" s="1"/>
      <c r="NNK65" s="1"/>
      <c r="NNL65" s="1"/>
      <c r="NNM65" s="1"/>
      <c r="NNN65" s="1"/>
      <c r="NNO65" s="1"/>
      <c r="NNP65" s="1"/>
      <c r="NNQ65" s="1"/>
      <c r="NNR65" s="1"/>
      <c r="NNS65" s="1"/>
      <c r="NNT65" s="1"/>
      <c r="NNU65" s="1"/>
      <c r="NNV65" s="1"/>
      <c r="NNW65" s="1"/>
      <c r="NNX65" s="1"/>
      <c r="NNY65" s="1"/>
      <c r="NNZ65" s="1"/>
      <c r="NOA65" s="1"/>
      <c r="NOB65" s="1"/>
      <c r="NOC65" s="1"/>
      <c r="NOD65" s="1"/>
      <c r="NOE65" s="1"/>
      <c r="NOF65" s="1"/>
      <c r="NOG65" s="1"/>
      <c r="NOH65" s="1"/>
      <c r="NOI65" s="1"/>
      <c r="NOJ65" s="1"/>
      <c r="NOK65" s="1"/>
      <c r="NOL65" s="1"/>
      <c r="NOM65" s="1"/>
      <c r="NON65" s="1"/>
      <c r="NOO65" s="1"/>
      <c r="NOP65" s="1"/>
      <c r="NOQ65" s="1"/>
      <c r="NOR65" s="1"/>
      <c r="NOS65" s="1"/>
      <c r="NOT65" s="1"/>
      <c r="NOU65" s="1"/>
      <c r="NOV65" s="1"/>
      <c r="NOW65" s="1"/>
      <c r="NOX65" s="1"/>
      <c r="NOY65" s="1"/>
      <c r="NOZ65" s="1"/>
      <c r="NPA65" s="1"/>
      <c r="NPB65" s="1"/>
      <c r="NPC65" s="1"/>
      <c r="NPD65" s="1"/>
      <c r="NPE65" s="1"/>
      <c r="NPF65" s="1"/>
      <c r="NPG65" s="1"/>
      <c r="NPH65" s="1"/>
      <c r="NPI65" s="1"/>
      <c r="NPJ65" s="1"/>
      <c r="NPK65" s="1"/>
      <c r="NPL65" s="1"/>
      <c r="NPM65" s="1"/>
      <c r="NPN65" s="1"/>
      <c r="NPO65" s="1"/>
      <c r="NPP65" s="1"/>
      <c r="NPQ65" s="1"/>
      <c r="NPR65" s="1"/>
      <c r="NPS65" s="1"/>
      <c r="NPT65" s="1"/>
      <c r="NPU65" s="1"/>
      <c r="NPV65" s="1"/>
      <c r="NPW65" s="1"/>
      <c r="NPX65" s="1"/>
      <c r="NPY65" s="1"/>
      <c r="NPZ65" s="1"/>
      <c r="NQA65" s="1"/>
      <c r="NQB65" s="1"/>
      <c r="NQC65" s="1"/>
      <c r="NQD65" s="1"/>
      <c r="NQE65" s="1"/>
      <c r="NQF65" s="1"/>
      <c r="NQG65" s="1"/>
      <c r="NQH65" s="1"/>
      <c r="NQI65" s="1"/>
      <c r="NQJ65" s="1"/>
      <c r="NQK65" s="1"/>
      <c r="NQL65" s="1"/>
      <c r="NQM65" s="1"/>
      <c r="NQN65" s="1"/>
      <c r="NQO65" s="1"/>
      <c r="NQP65" s="1"/>
      <c r="NQQ65" s="1"/>
      <c r="NQR65" s="1"/>
      <c r="NQS65" s="1"/>
      <c r="NQT65" s="1"/>
      <c r="NQU65" s="1"/>
      <c r="NQV65" s="1"/>
      <c r="NQW65" s="1"/>
      <c r="NQX65" s="1"/>
      <c r="NQY65" s="1"/>
      <c r="NQZ65" s="1"/>
      <c r="NRA65" s="1"/>
      <c r="NRB65" s="1"/>
      <c r="NRC65" s="1"/>
      <c r="NRD65" s="1"/>
      <c r="NRE65" s="1"/>
      <c r="NRF65" s="1"/>
      <c r="NRG65" s="1"/>
      <c r="NRH65" s="1"/>
      <c r="NRI65" s="1"/>
      <c r="NRJ65" s="1"/>
      <c r="NRK65" s="1"/>
      <c r="NRL65" s="1"/>
      <c r="NRM65" s="1"/>
      <c r="NRN65" s="1"/>
      <c r="NRO65" s="1"/>
      <c r="NRP65" s="1"/>
      <c r="NRQ65" s="1"/>
      <c r="NRR65" s="1"/>
      <c r="NRS65" s="1"/>
      <c r="NRT65" s="1"/>
      <c r="NRU65" s="1"/>
      <c r="NRV65" s="1"/>
      <c r="NRW65" s="1"/>
      <c r="NRX65" s="1"/>
      <c r="NRY65" s="1"/>
      <c r="NRZ65" s="1"/>
      <c r="NSA65" s="1"/>
      <c r="NSB65" s="1"/>
      <c r="NSC65" s="1"/>
      <c r="NSD65" s="1"/>
      <c r="NSE65" s="1"/>
      <c r="NSF65" s="1"/>
      <c r="NSG65" s="1"/>
      <c r="NSH65" s="1"/>
      <c r="NSI65" s="1"/>
      <c r="NSJ65" s="1"/>
      <c r="NSK65" s="1"/>
      <c r="NSL65" s="1"/>
      <c r="NSM65" s="1"/>
      <c r="NSN65" s="1"/>
      <c r="NSO65" s="1"/>
      <c r="NSP65" s="1"/>
      <c r="NSQ65" s="1"/>
      <c r="NSR65" s="1"/>
      <c r="NSS65" s="1"/>
      <c r="NST65" s="1"/>
      <c r="NSU65" s="1"/>
      <c r="NSV65" s="1"/>
      <c r="NSW65" s="1"/>
      <c r="NSX65" s="1"/>
      <c r="NSY65" s="1"/>
      <c r="NSZ65" s="1"/>
      <c r="NTA65" s="1"/>
      <c r="NTB65" s="1"/>
      <c r="NTC65" s="1"/>
      <c r="NTD65" s="1"/>
      <c r="NTE65" s="1"/>
      <c r="NTF65" s="1"/>
      <c r="NTG65" s="1"/>
      <c r="NTH65" s="1"/>
      <c r="NTI65" s="1"/>
      <c r="NTJ65" s="1"/>
      <c r="NTK65" s="1"/>
      <c r="NTL65" s="1"/>
      <c r="NTM65" s="1"/>
      <c r="NTN65" s="1"/>
      <c r="NTO65" s="1"/>
      <c r="NTP65" s="1"/>
      <c r="NTQ65" s="1"/>
      <c r="NTR65" s="1"/>
      <c r="NTS65" s="1"/>
      <c r="NTT65" s="1"/>
      <c r="NTU65" s="1"/>
      <c r="NTV65" s="1"/>
      <c r="NTW65" s="1"/>
      <c r="NTX65" s="1"/>
      <c r="NTY65" s="1"/>
      <c r="NTZ65" s="1"/>
      <c r="NUA65" s="1"/>
      <c r="NUB65" s="1"/>
      <c r="NUC65" s="1"/>
      <c r="NUD65" s="1"/>
      <c r="NUE65" s="1"/>
      <c r="NUF65" s="1"/>
      <c r="NUG65" s="1"/>
      <c r="NUH65" s="1"/>
      <c r="NUI65" s="1"/>
      <c r="NUJ65" s="1"/>
      <c r="NUK65" s="1"/>
      <c r="NUL65" s="1"/>
      <c r="NUM65" s="1"/>
      <c r="NUN65" s="1"/>
      <c r="NUO65" s="1"/>
      <c r="NUP65" s="1"/>
      <c r="NUQ65" s="1"/>
      <c r="NUR65" s="1"/>
      <c r="NUS65" s="1"/>
      <c r="NUT65" s="1"/>
      <c r="NUU65" s="1"/>
      <c r="NUV65" s="1"/>
      <c r="NUW65" s="1"/>
      <c r="NUX65" s="1"/>
      <c r="NUY65" s="1"/>
      <c r="NUZ65" s="1"/>
      <c r="NVA65" s="1"/>
      <c r="NVB65" s="1"/>
      <c r="NVC65" s="1"/>
      <c r="NVD65" s="1"/>
      <c r="NVE65" s="1"/>
      <c r="NVF65" s="1"/>
      <c r="NVG65" s="1"/>
      <c r="NVH65" s="1"/>
      <c r="NVI65" s="1"/>
      <c r="NVJ65" s="1"/>
      <c r="NVK65" s="1"/>
      <c r="NVL65" s="1"/>
      <c r="NVM65" s="1"/>
      <c r="NVN65" s="1"/>
      <c r="NVO65" s="1"/>
      <c r="NVP65" s="1"/>
      <c r="NVQ65" s="1"/>
      <c r="NVR65" s="1"/>
      <c r="NVS65" s="1"/>
      <c r="NVT65" s="1"/>
      <c r="NVU65" s="1"/>
      <c r="NVV65" s="1"/>
      <c r="NVW65" s="1"/>
      <c r="NVX65" s="1"/>
      <c r="NVY65" s="1"/>
      <c r="NVZ65" s="1"/>
      <c r="NWA65" s="1"/>
      <c r="NWB65" s="1"/>
      <c r="NWC65" s="1"/>
      <c r="NWD65" s="1"/>
      <c r="NWE65" s="1"/>
      <c r="NWF65" s="1"/>
      <c r="NWG65" s="1"/>
      <c r="NWH65" s="1"/>
      <c r="NWI65" s="1"/>
      <c r="NWJ65" s="1"/>
      <c r="NWK65" s="1"/>
      <c r="NWL65" s="1"/>
      <c r="NWM65" s="1"/>
      <c r="NWN65" s="1"/>
      <c r="NWO65" s="1"/>
      <c r="NWP65" s="1"/>
      <c r="NWQ65" s="1"/>
      <c r="NWR65" s="1"/>
      <c r="NWS65" s="1"/>
      <c r="NWT65" s="1"/>
      <c r="NWU65" s="1"/>
      <c r="NWV65" s="1"/>
      <c r="NWW65" s="1"/>
      <c r="NWX65" s="1"/>
      <c r="NWY65" s="1"/>
      <c r="NWZ65" s="1"/>
      <c r="NXA65" s="1"/>
      <c r="NXB65" s="1"/>
      <c r="NXC65" s="1"/>
      <c r="NXD65" s="1"/>
      <c r="NXE65" s="1"/>
      <c r="NXF65" s="1"/>
      <c r="NXG65" s="1"/>
      <c r="NXH65" s="1"/>
      <c r="NXI65" s="1"/>
      <c r="NXJ65" s="1"/>
      <c r="NXK65" s="1"/>
      <c r="NXL65" s="1"/>
      <c r="NXM65" s="1"/>
      <c r="NXN65" s="1"/>
      <c r="NXO65" s="1"/>
      <c r="NXP65" s="1"/>
      <c r="NXQ65" s="1"/>
      <c r="NXR65" s="1"/>
      <c r="NXS65" s="1"/>
      <c r="NXT65" s="1"/>
      <c r="NXU65" s="1"/>
      <c r="NXV65" s="1"/>
      <c r="NXW65" s="1"/>
      <c r="NXX65" s="1"/>
      <c r="NXY65" s="1"/>
      <c r="NXZ65" s="1"/>
      <c r="NYA65" s="1"/>
      <c r="NYB65" s="1"/>
      <c r="NYC65" s="1"/>
      <c r="NYD65" s="1"/>
      <c r="NYE65" s="1"/>
      <c r="NYF65" s="1"/>
      <c r="NYG65" s="1"/>
      <c r="NYH65" s="1"/>
      <c r="NYI65" s="1"/>
      <c r="NYJ65" s="1"/>
      <c r="NYK65" s="1"/>
      <c r="NYL65" s="1"/>
      <c r="NYM65" s="1"/>
      <c r="NYN65" s="1"/>
      <c r="NYO65" s="1"/>
      <c r="NYP65" s="1"/>
      <c r="NYQ65" s="1"/>
      <c r="NYR65" s="1"/>
      <c r="NYS65" s="1"/>
      <c r="NYT65" s="1"/>
      <c r="NYU65" s="1"/>
      <c r="NYV65" s="1"/>
      <c r="NYW65" s="1"/>
      <c r="NYX65" s="1"/>
      <c r="NYY65" s="1"/>
      <c r="NYZ65" s="1"/>
      <c r="NZA65" s="1"/>
      <c r="NZB65" s="1"/>
      <c r="NZC65" s="1"/>
      <c r="NZD65" s="1"/>
      <c r="NZE65" s="1"/>
      <c r="NZF65" s="1"/>
      <c r="NZG65" s="1"/>
      <c r="NZH65" s="1"/>
      <c r="NZI65" s="1"/>
      <c r="NZJ65" s="1"/>
      <c r="NZK65" s="1"/>
      <c r="NZL65" s="1"/>
      <c r="NZM65" s="1"/>
      <c r="NZN65" s="1"/>
      <c r="NZO65" s="1"/>
      <c r="NZP65" s="1"/>
      <c r="NZQ65" s="1"/>
      <c r="NZR65" s="1"/>
      <c r="NZS65" s="1"/>
      <c r="NZT65" s="1"/>
      <c r="NZU65" s="1"/>
      <c r="NZV65" s="1"/>
      <c r="NZW65" s="1"/>
      <c r="NZX65" s="1"/>
      <c r="NZY65" s="1"/>
      <c r="NZZ65" s="1"/>
      <c r="OAA65" s="1"/>
      <c r="OAB65" s="1"/>
      <c r="OAC65" s="1"/>
      <c r="OAD65" s="1"/>
      <c r="OAE65" s="1"/>
      <c r="OAF65" s="1"/>
      <c r="OAG65" s="1"/>
      <c r="OAH65" s="1"/>
      <c r="OAI65" s="1"/>
      <c r="OAJ65" s="1"/>
      <c r="OAK65" s="1"/>
      <c r="OAL65" s="1"/>
      <c r="OAM65" s="1"/>
      <c r="OAN65" s="1"/>
      <c r="OAO65" s="1"/>
      <c r="OAP65" s="1"/>
      <c r="OAQ65" s="1"/>
      <c r="OAR65" s="1"/>
      <c r="OAS65" s="1"/>
      <c r="OAT65" s="1"/>
      <c r="OAU65" s="1"/>
      <c r="OAV65" s="1"/>
      <c r="OAW65" s="1"/>
      <c r="OAX65" s="1"/>
      <c r="OAY65" s="1"/>
      <c r="OAZ65" s="1"/>
      <c r="OBA65" s="1"/>
      <c r="OBB65" s="1"/>
      <c r="OBC65" s="1"/>
      <c r="OBD65" s="1"/>
      <c r="OBE65" s="1"/>
      <c r="OBF65" s="1"/>
      <c r="OBG65" s="1"/>
      <c r="OBH65" s="1"/>
      <c r="OBI65" s="1"/>
      <c r="OBJ65" s="1"/>
      <c r="OBK65" s="1"/>
      <c r="OBL65" s="1"/>
      <c r="OBM65" s="1"/>
      <c r="OBN65" s="1"/>
      <c r="OBO65" s="1"/>
      <c r="OBP65" s="1"/>
      <c r="OBQ65" s="1"/>
      <c r="OBR65" s="1"/>
      <c r="OBS65" s="1"/>
      <c r="OBT65" s="1"/>
      <c r="OBU65" s="1"/>
      <c r="OBV65" s="1"/>
      <c r="OBW65" s="1"/>
      <c r="OBX65" s="1"/>
      <c r="OBY65" s="1"/>
      <c r="OBZ65" s="1"/>
      <c r="OCA65" s="1"/>
      <c r="OCB65" s="1"/>
      <c r="OCC65" s="1"/>
      <c r="OCD65" s="1"/>
      <c r="OCE65" s="1"/>
      <c r="OCF65" s="1"/>
      <c r="OCG65" s="1"/>
      <c r="OCH65" s="1"/>
      <c r="OCI65" s="1"/>
      <c r="OCJ65" s="1"/>
      <c r="OCK65" s="1"/>
      <c r="OCL65" s="1"/>
      <c r="OCM65" s="1"/>
      <c r="OCN65" s="1"/>
      <c r="OCO65" s="1"/>
      <c r="OCP65" s="1"/>
      <c r="OCQ65" s="1"/>
      <c r="OCR65" s="1"/>
      <c r="OCS65" s="1"/>
      <c r="OCT65" s="1"/>
      <c r="OCU65" s="1"/>
      <c r="OCV65" s="1"/>
      <c r="OCW65" s="1"/>
      <c r="OCX65" s="1"/>
      <c r="OCY65" s="1"/>
      <c r="OCZ65" s="1"/>
      <c r="ODA65" s="1"/>
      <c r="ODB65" s="1"/>
      <c r="ODC65" s="1"/>
      <c r="ODD65" s="1"/>
      <c r="ODE65" s="1"/>
      <c r="ODF65" s="1"/>
      <c r="ODG65" s="1"/>
      <c r="ODH65" s="1"/>
      <c r="ODI65" s="1"/>
      <c r="ODJ65" s="1"/>
      <c r="ODK65" s="1"/>
      <c r="ODL65" s="1"/>
      <c r="ODM65" s="1"/>
      <c r="ODN65" s="1"/>
      <c r="ODO65" s="1"/>
      <c r="ODP65" s="1"/>
      <c r="ODQ65" s="1"/>
      <c r="ODR65" s="1"/>
      <c r="ODS65" s="1"/>
      <c r="ODT65" s="1"/>
      <c r="ODU65" s="1"/>
      <c r="ODV65" s="1"/>
      <c r="ODW65" s="1"/>
      <c r="ODX65" s="1"/>
      <c r="ODY65" s="1"/>
      <c r="ODZ65" s="1"/>
      <c r="OEA65" s="1"/>
      <c r="OEB65" s="1"/>
      <c r="OEC65" s="1"/>
      <c r="OED65" s="1"/>
      <c r="OEE65" s="1"/>
      <c r="OEF65" s="1"/>
      <c r="OEG65" s="1"/>
      <c r="OEH65" s="1"/>
      <c r="OEI65" s="1"/>
      <c r="OEJ65" s="1"/>
      <c r="OEK65" s="1"/>
      <c r="OEL65" s="1"/>
      <c r="OEM65" s="1"/>
      <c r="OEN65" s="1"/>
      <c r="OEO65" s="1"/>
      <c r="OEP65" s="1"/>
      <c r="OEQ65" s="1"/>
      <c r="OER65" s="1"/>
      <c r="OES65" s="1"/>
      <c r="OET65" s="1"/>
      <c r="OEU65" s="1"/>
      <c r="OEV65" s="1"/>
      <c r="OEW65" s="1"/>
      <c r="OEX65" s="1"/>
      <c r="OEY65" s="1"/>
      <c r="OEZ65" s="1"/>
      <c r="OFA65" s="1"/>
      <c r="OFB65" s="1"/>
      <c r="OFC65" s="1"/>
      <c r="OFD65" s="1"/>
      <c r="OFE65" s="1"/>
      <c r="OFF65" s="1"/>
      <c r="OFG65" s="1"/>
      <c r="OFH65" s="1"/>
      <c r="OFI65" s="1"/>
      <c r="OFJ65" s="1"/>
      <c r="OFK65" s="1"/>
      <c r="OFL65" s="1"/>
      <c r="OFM65" s="1"/>
      <c r="OFN65" s="1"/>
      <c r="OFO65" s="1"/>
      <c r="OFP65" s="1"/>
      <c r="OFQ65" s="1"/>
      <c r="OFR65" s="1"/>
      <c r="OFS65" s="1"/>
      <c r="OFT65" s="1"/>
      <c r="OFU65" s="1"/>
      <c r="OFV65" s="1"/>
      <c r="OFW65" s="1"/>
      <c r="OFX65" s="1"/>
      <c r="OFY65" s="1"/>
      <c r="OFZ65" s="1"/>
      <c r="OGA65" s="1"/>
      <c r="OGB65" s="1"/>
      <c r="OGC65" s="1"/>
      <c r="OGD65" s="1"/>
      <c r="OGE65" s="1"/>
      <c r="OGF65" s="1"/>
      <c r="OGG65" s="1"/>
      <c r="OGH65" s="1"/>
      <c r="OGI65" s="1"/>
      <c r="OGJ65" s="1"/>
      <c r="OGK65" s="1"/>
      <c r="OGL65" s="1"/>
      <c r="OGM65" s="1"/>
      <c r="OGN65" s="1"/>
      <c r="OGO65" s="1"/>
      <c r="OGP65" s="1"/>
      <c r="OGQ65" s="1"/>
      <c r="OGR65" s="1"/>
      <c r="OGS65" s="1"/>
      <c r="OGT65" s="1"/>
      <c r="OGU65" s="1"/>
      <c r="OGV65" s="1"/>
      <c r="OGW65" s="1"/>
      <c r="OGX65" s="1"/>
      <c r="OGY65" s="1"/>
      <c r="OGZ65" s="1"/>
      <c r="OHA65" s="1"/>
      <c r="OHB65" s="1"/>
      <c r="OHC65" s="1"/>
      <c r="OHD65" s="1"/>
      <c r="OHE65" s="1"/>
      <c r="OHF65" s="1"/>
      <c r="OHG65" s="1"/>
      <c r="OHH65" s="1"/>
      <c r="OHI65" s="1"/>
      <c r="OHJ65" s="1"/>
      <c r="OHK65" s="1"/>
      <c r="OHL65" s="1"/>
      <c r="OHM65" s="1"/>
      <c r="OHN65" s="1"/>
      <c r="OHO65" s="1"/>
      <c r="OHP65" s="1"/>
      <c r="OHQ65" s="1"/>
      <c r="OHR65" s="1"/>
      <c r="OHS65" s="1"/>
      <c r="OHT65" s="1"/>
      <c r="OHU65" s="1"/>
      <c r="OHV65" s="1"/>
      <c r="OHW65" s="1"/>
      <c r="OHX65" s="1"/>
      <c r="OHY65" s="1"/>
      <c r="OHZ65" s="1"/>
      <c r="OIA65" s="1"/>
      <c r="OIB65" s="1"/>
      <c r="OIC65" s="1"/>
      <c r="OID65" s="1"/>
      <c r="OIE65" s="1"/>
      <c r="OIF65" s="1"/>
      <c r="OIG65" s="1"/>
      <c r="OIH65" s="1"/>
      <c r="OII65" s="1"/>
      <c r="OIJ65" s="1"/>
      <c r="OIK65" s="1"/>
      <c r="OIL65" s="1"/>
      <c r="OIM65" s="1"/>
      <c r="OIN65" s="1"/>
      <c r="OIO65" s="1"/>
      <c r="OIP65" s="1"/>
      <c r="OIQ65" s="1"/>
      <c r="OIR65" s="1"/>
      <c r="OIS65" s="1"/>
      <c r="OIT65" s="1"/>
      <c r="OIU65" s="1"/>
      <c r="OIV65" s="1"/>
      <c r="OIW65" s="1"/>
      <c r="OIX65" s="1"/>
      <c r="OIY65" s="1"/>
      <c r="OIZ65" s="1"/>
      <c r="OJA65" s="1"/>
      <c r="OJB65" s="1"/>
      <c r="OJC65" s="1"/>
      <c r="OJD65" s="1"/>
      <c r="OJE65" s="1"/>
      <c r="OJF65" s="1"/>
      <c r="OJG65" s="1"/>
      <c r="OJH65" s="1"/>
      <c r="OJI65" s="1"/>
      <c r="OJJ65" s="1"/>
      <c r="OJK65" s="1"/>
      <c r="OJL65" s="1"/>
      <c r="OJM65" s="1"/>
      <c r="OJN65" s="1"/>
      <c r="OJO65" s="1"/>
      <c r="OJP65" s="1"/>
      <c r="OJQ65" s="1"/>
      <c r="OJR65" s="1"/>
      <c r="OJS65" s="1"/>
      <c r="OJT65" s="1"/>
      <c r="OJU65" s="1"/>
      <c r="OJV65" s="1"/>
      <c r="OJW65" s="1"/>
      <c r="OJX65" s="1"/>
      <c r="OJY65" s="1"/>
      <c r="OJZ65" s="1"/>
      <c r="OKA65" s="1"/>
      <c r="OKB65" s="1"/>
      <c r="OKC65" s="1"/>
      <c r="OKD65" s="1"/>
      <c r="OKE65" s="1"/>
      <c r="OKF65" s="1"/>
      <c r="OKG65" s="1"/>
      <c r="OKH65" s="1"/>
      <c r="OKI65" s="1"/>
      <c r="OKJ65" s="1"/>
      <c r="OKK65" s="1"/>
      <c r="OKL65" s="1"/>
      <c r="OKM65" s="1"/>
      <c r="OKN65" s="1"/>
      <c r="OKO65" s="1"/>
      <c r="OKP65" s="1"/>
      <c r="OKQ65" s="1"/>
      <c r="OKR65" s="1"/>
      <c r="OKS65" s="1"/>
      <c r="OKT65" s="1"/>
      <c r="OKU65" s="1"/>
      <c r="OKV65" s="1"/>
      <c r="OKW65" s="1"/>
      <c r="OKX65" s="1"/>
      <c r="OKY65" s="1"/>
      <c r="OKZ65" s="1"/>
      <c r="OLA65" s="1"/>
      <c r="OLB65" s="1"/>
      <c r="OLC65" s="1"/>
      <c r="OLD65" s="1"/>
      <c r="OLE65" s="1"/>
      <c r="OLF65" s="1"/>
      <c r="OLG65" s="1"/>
      <c r="OLH65" s="1"/>
      <c r="OLI65" s="1"/>
      <c r="OLJ65" s="1"/>
      <c r="OLK65" s="1"/>
      <c r="OLL65" s="1"/>
      <c r="OLM65" s="1"/>
      <c r="OLN65" s="1"/>
      <c r="OLO65" s="1"/>
      <c r="OLP65" s="1"/>
      <c r="OLQ65" s="1"/>
      <c r="OLR65" s="1"/>
      <c r="OLS65" s="1"/>
      <c r="OLT65" s="1"/>
      <c r="OLU65" s="1"/>
      <c r="OLV65" s="1"/>
      <c r="OLW65" s="1"/>
      <c r="OLX65" s="1"/>
      <c r="OLY65" s="1"/>
      <c r="OLZ65" s="1"/>
      <c r="OMA65" s="1"/>
      <c r="OMB65" s="1"/>
      <c r="OMC65" s="1"/>
      <c r="OMD65" s="1"/>
      <c r="OME65" s="1"/>
      <c r="OMF65" s="1"/>
      <c r="OMG65" s="1"/>
      <c r="OMH65" s="1"/>
      <c r="OMI65" s="1"/>
      <c r="OMJ65" s="1"/>
      <c r="OMK65" s="1"/>
      <c r="OML65" s="1"/>
      <c r="OMM65" s="1"/>
      <c r="OMN65" s="1"/>
      <c r="OMO65" s="1"/>
      <c r="OMP65" s="1"/>
      <c r="OMQ65" s="1"/>
      <c r="OMR65" s="1"/>
      <c r="OMS65" s="1"/>
      <c r="OMT65" s="1"/>
      <c r="OMU65" s="1"/>
      <c r="OMV65" s="1"/>
      <c r="OMW65" s="1"/>
      <c r="OMX65" s="1"/>
      <c r="OMY65" s="1"/>
      <c r="OMZ65" s="1"/>
      <c r="ONA65" s="1"/>
      <c r="ONB65" s="1"/>
      <c r="ONC65" s="1"/>
      <c r="OND65" s="1"/>
      <c r="ONE65" s="1"/>
      <c r="ONF65" s="1"/>
      <c r="ONG65" s="1"/>
      <c r="ONH65" s="1"/>
      <c r="ONI65" s="1"/>
      <c r="ONJ65" s="1"/>
      <c r="ONK65" s="1"/>
      <c r="ONL65" s="1"/>
      <c r="ONM65" s="1"/>
      <c r="ONN65" s="1"/>
      <c r="ONO65" s="1"/>
      <c r="ONP65" s="1"/>
      <c r="ONQ65" s="1"/>
      <c r="ONR65" s="1"/>
      <c r="ONS65" s="1"/>
      <c r="ONT65" s="1"/>
      <c r="ONU65" s="1"/>
      <c r="ONV65" s="1"/>
      <c r="ONW65" s="1"/>
      <c r="ONX65" s="1"/>
      <c r="ONY65" s="1"/>
      <c r="ONZ65" s="1"/>
      <c r="OOA65" s="1"/>
      <c r="OOB65" s="1"/>
      <c r="OOC65" s="1"/>
      <c r="OOD65" s="1"/>
      <c r="OOE65" s="1"/>
      <c r="OOF65" s="1"/>
      <c r="OOG65" s="1"/>
      <c r="OOH65" s="1"/>
      <c r="OOI65" s="1"/>
      <c r="OOJ65" s="1"/>
      <c r="OOK65" s="1"/>
      <c r="OOL65" s="1"/>
      <c r="OOM65" s="1"/>
      <c r="OON65" s="1"/>
      <c r="OOO65" s="1"/>
      <c r="OOP65" s="1"/>
      <c r="OOQ65" s="1"/>
      <c r="OOR65" s="1"/>
      <c r="OOS65" s="1"/>
      <c r="OOT65" s="1"/>
      <c r="OOU65" s="1"/>
      <c r="OOV65" s="1"/>
      <c r="OOW65" s="1"/>
      <c r="OOX65" s="1"/>
      <c r="OOY65" s="1"/>
      <c r="OOZ65" s="1"/>
      <c r="OPA65" s="1"/>
      <c r="OPB65" s="1"/>
      <c r="OPC65" s="1"/>
      <c r="OPD65" s="1"/>
      <c r="OPE65" s="1"/>
      <c r="OPF65" s="1"/>
      <c r="OPG65" s="1"/>
      <c r="OPH65" s="1"/>
      <c r="OPI65" s="1"/>
      <c r="OPJ65" s="1"/>
      <c r="OPK65" s="1"/>
      <c r="OPL65" s="1"/>
      <c r="OPM65" s="1"/>
      <c r="OPN65" s="1"/>
      <c r="OPO65" s="1"/>
      <c r="OPP65" s="1"/>
      <c r="OPQ65" s="1"/>
      <c r="OPR65" s="1"/>
      <c r="OPS65" s="1"/>
      <c r="OPT65" s="1"/>
      <c r="OPU65" s="1"/>
      <c r="OPV65" s="1"/>
      <c r="OPW65" s="1"/>
      <c r="OPX65" s="1"/>
      <c r="OPY65" s="1"/>
      <c r="OPZ65" s="1"/>
      <c r="OQA65" s="1"/>
      <c r="OQB65" s="1"/>
      <c r="OQC65" s="1"/>
      <c r="OQD65" s="1"/>
      <c r="OQE65" s="1"/>
      <c r="OQF65" s="1"/>
      <c r="OQG65" s="1"/>
      <c r="OQH65" s="1"/>
      <c r="OQI65" s="1"/>
      <c r="OQJ65" s="1"/>
      <c r="OQK65" s="1"/>
      <c r="OQL65" s="1"/>
      <c r="OQM65" s="1"/>
      <c r="OQN65" s="1"/>
      <c r="OQO65" s="1"/>
      <c r="OQP65" s="1"/>
      <c r="OQQ65" s="1"/>
      <c r="OQR65" s="1"/>
      <c r="OQS65" s="1"/>
      <c r="OQT65" s="1"/>
      <c r="OQU65" s="1"/>
      <c r="OQV65" s="1"/>
      <c r="OQW65" s="1"/>
      <c r="OQX65" s="1"/>
      <c r="OQY65" s="1"/>
      <c r="OQZ65" s="1"/>
      <c r="ORA65" s="1"/>
      <c r="ORB65" s="1"/>
      <c r="ORC65" s="1"/>
      <c r="ORD65" s="1"/>
      <c r="ORE65" s="1"/>
      <c r="ORF65" s="1"/>
      <c r="ORG65" s="1"/>
      <c r="ORH65" s="1"/>
      <c r="ORI65" s="1"/>
      <c r="ORJ65" s="1"/>
      <c r="ORK65" s="1"/>
      <c r="ORL65" s="1"/>
      <c r="ORM65" s="1"/>
      <c r="ORN65" s="1"/>
      <c r="ORO65" s="1"/>
      <c r="ORP65" s="1"/>
      <c r="ORQ65" s="1"/>
      <c r="ORR65" s="1"/>
      <c r="ORS65" s="1"/>
      <c r="ORT65" s="1"/>
      <c r="ORU65" s="1"/>
      <c r="ORV65" s="1"/>
      <c r="ORW65" s="1"/>
      <c r="ORX65" s="1"/>
      <c r="ORY65" s="1"/>
      <c r="ORZ65" s="1"/>
      <c r="OSA65" s="1"/>
      <c r="OSB65" s="1"/>
      <c r="OSC65" s="1"/>
      <c r="OSD65" s="1"/>
      <c r="OSE65" s="1"/>
      <c r="OSF65" s="1"/>
      <c r="OSG65" s="1"/>
      <c r="OSH65" s="1"/>
      <c r="OSI65" s="1"/>
      <c r="OSJ65" s="1"/>
      <c r="OSK65" s="1"/>
      <c r="OSL65" s="1"/>
      <c r="OSM65" s="1"/>
      <c r="OSN65" s="1"/>
      <c r="OSO65" s="1"/>
      <c r="OSP65" s="1"/>
      <c r="OSQ65" s="1"/>
      <c r="OSR65" s="1"/>
      <c r="OSS65" s="1"/>
      <c r="OST65" s="1"/>
      <c r="OSU65" s="1"/>
      <c r="OSV65" s="1"/>
      <c r="OSW65" s="1"/>
      <c r="OSX65" s="1"/>
      <c r="OSY65" s="1"/>
      <c r="OSZ65" s="1"/>
      <c r="OTA65" s="1"/>
      <c r="OTB65" s="1"/>
      <c r="OTC65" s="1"/>
      <c r="OTD65" s="1"/>
      <c r="OTE65" s="1"/>
      <c r="OTF65" s="1"/>
      <c r="OTG65" s="1"/>
      <c r="OTH65" s="1"/>
      <c r="OTI65" s="1"/>
      <c r="OTJ65" s="1"/>
      <c r="OTK65" s="1"/>
      <c r="OTL65" s="1"/>
      <c r="OTM65" s="1"/>
      <c r="OTN65" s="1"/>
      <c r="OTO65" s="1"/>
      <c r="OTP65" s="1"/>
      <c r="OTQ65" s="1"/>
      <c r="OTR65" s="1"/>
      <c r="OTS65" s="1"/>
      <c r="OTT65" s="1"/>
      <c r="OTU65" s="1"/>
      <c r="OTV65" s="1"/>
      <c r="OTW65" s="1"/>
      <c r="OTX65" s="1"/>
      <c r="OTY65" s="1"/>
      <c r="OTZ65" s="1"/>
      <c r="OUA65" s="1"/>
      <c r="OUB65" s="1"/>
      <c r="OUC65" s="1"/>
      <c r="OUD65" s="1"/>
      <c r="OUE65" s="1"/>
      <c r="OUF65" s="1"/>
      <c r="OUG65" s="1"/>
      <c r="OUH65" s="1"/>
      <c r="OUI65" s="1"/>
      <c r="OUJ65" s="1"/>
      <c r="OUK65" s="1"/>
      <c r="OUL65" s="1"/>
      <c r="OUM65" s="1"/>
      <c r="OUN65" s="1"/>
      <c r="OUO65" s="1"/>
      <c r="OUP65" s="1"/>
      <c r="OUQ65" s="1"/>
      <c r="OUR65" s="1"/>
      <c r="OUS65" s="1"/>
      <c r="OUT65" s="1"/>
      <c r="OUU65" s="1"/>
      <c r="OUV65" s="1"/>
      <c r="OUW65" s="1"/>
      <c r="OUX65" s="1"/>
      <c r="OUY65" s="1"/>
      <c r="OUZ65" s="1"/>
      <c r="OVA65" s="1"/>
      <c r="OVB65" s="1"/>
      <c r="OVC65" s="1"/>
      <c r="OVD65" s="1"/>
      <c r="OVE65" s="1"/>
      <c r="OVF65" s="1"/>
      <c r="OVG65" s="1"/>
      <c r="OVH65" s="1"/>
      <c r="OVI65" s="1"/>
      <c r="OVJ65" s="1"/>
      <c r="OVK65" s="1"/>
      <c r="OVL65" s="1"/>
      <c r="OVM65" s="1"/>
      <c r="OVN65" s="1"/>
      <c r="OVO65" s="1"/>
      <c r="OVP65" s="1"/>
      <c r="OVQ65" s="1"/>
      <c r="OVR65" s="1"/>
      <c r="OVS65" s="1"/>
      <c r="OVT65" s="1"/>
      <c r="OVU65" s="1"/>
      <c r="OVV65" s="1"/>
      <c r="OVW65" s="1"/>
      <c r="OVX65" s="1"/>
      <c r="OVY65" s="1"/>
      <c r="OVZ65" s="1"/>
      <c r="OWA65" s="1"/>
      <c r="OWB65" s="1"/>
      <c r="OWC65" s="1"/>
      <c r="OWD65" s="1"/>
      <c r="OWE65" s="1"/>
      <c r="OWF65" s="1"/>
      <c r="OWG65" s="1"/>
      <c r="OWH65" s="1"/>
      <c r="OWI65" s="1"/>
      <c r="OWJ65" s="1"/>
      <c r="OWK65" s="1"/>
      <c r="OWL65" s="1"/>
      <c r="OWM65" s="1"/>
      <c r="OWN65" s="1"/>
      <c r="OWO65" s="1"/>
      <c r="OWP65" s="1"/>
      <c r="OWQ65" s="1"/>
      <c r="OWR65" s="1"/>
      <c r="OWS65" s="1"/>
      <c r="OWT65" s="1"/>
      <c r="OWU65" s="1"/>
      <c r="OWV65" s="1"/>
      <c r="OWW65" s="1"/>
      <c r="OWX65" s="1"/>
      <c r="OWY65" s="1"/>
      <c r="OWZ65" s="1"/>
      <c r="OXA65" s="1"/>
      <c r="OXB65" s="1"/>
      <c r="OXC65" s="1"/>
      <c r="OXD65" s="1"/>
      <c r="OXE65" s="1"/>
      <c r="OXF65" s="1"/>
      <c r="OXG65" s="1"/>
      <c r="OXH65" s="1"/>
      <c r="OXI65" s="1"/>
      <c r="OXJ65" s="1"/>
      <c r="OXK65" s="1"/>
      <c r="OXL65" s="1"/>
      <c r="OXM65" s="1"/>
      <c r="OXN65" s="1"/>
      <c r="OXO65" s="1"/>
      <c r="OXP65" s="1"/>
      <c r="OXQ65" s="1"/>
      <c r="OXR65" s="1"/>
      <c r="OXS65" s="1"/>
      <c r="OXT65" s="1"/>
      <c r="OXU65" s="1"/>
      <c r="OXV65" s="1"/>
      <c r="OXW65" s="1"/>
      <c r="OXX65" s="1"/>
      <c r="OXY65" s="1"/>
      <c r="OXZ65" s="1"/>
      <c r="OYA65" s="1"/>
      <c r="OYB65" s="1"/>
      <c r="OYC65" s="1"/>
      <c r="OYD65" s="1"/>
      <c r="OYE65" s="1"/>
      <c r="OYF65" s="1"/>
      <c r="OYG65" s="1"/>
      <c r="OYH65" s="1"/>
      <c r="OYI65" s="1"/>
      <c r="OYJ65" s="1"/>
      <c r="OYK65" s="1"/>
      <c r="OYL65" s="1"/>
      <c r="OYM65" s="1"/>
      <c r="OYN65" s="1"/>
      <c r="OYO65" s="1"/>
      <c r="OYP65" s="1"/>
      <c r="OYQ65" s="1"/>
      <c r="OYR65" s="1"/>
      <c r="OYS65" s="1"/>
      <c r="OYT65" s="1"/>
      <c r="OYU65" s="1"/>
      <c r="OYV65" s="1"/>
      <c r="OYW65" s="1"/>
      <c r="OYX65" s="1"/>
      <c r="OYY65" s="1"/>
      <c r="OYZ65" s="1"/>
      <c r="OZA65" s="1"/>
      <c r="OZB65" s="1"/>
      <c r="OZC65" s="1"/>
      <c r="OZD65" s="1"/>
      <c r="OZE65" s="1"/>
      <c r="OZF65" s="1"/>
      <c r="OZG65" s="1"/>
      <c r="OZH65" s="1"/>
      <c r="OZI65" s="1"/>
      <c r="OZJ65" s="1"/>
      <c r="OZK65" s="1"/>
      <c r="OZL65" s="1"/>
      <c r="OZM65" s="1"/>
      <c r="OZN65" s="1"/>
      <c r="OZO65" s="1"/>
      <c r="OZP65" s="1"/>
      <c r="OZQ65" s="1"/>
      <c r="OZR65" s="1"/>
      <c r="OZS65" s="1"/>
      <c r="OZT65" s="1"/>
      <c r="OZU65" s="1"/>
      <c r="OZV65" s="1"/>
      <c r="OZW65" s="1"/>
      <c r="OZX65" s="1"/>
      <c r="OZY65" s="1"/>
      <c r="OZZ65" s="1"/>
      <c r="PAA65" s="1"/>
      <c r="PAB65" s="1"/>
      <c r="PAC65" s="1"/>
      <c r="PAD65" s="1"/>
      <c r="PAE65" s="1"/>
      <c r="PAF65" s="1"/>
      <c r="PAG65" s="1"/>
      <c r="PAH65" s="1"/>
      <c r="PAI65" s="1"/>
      <c r="PAJ65" s="1"/>
      <c r="PAK65" s="1"/>
      <c r="PAL65" s="1"/>
      <c r="PAM65" s="1"/>
      <c r="PAN65" s="1"/>
      <c r="PAO65" s="1"/>
      <c r="PAP65" s="1"/>
      <c r="PAQ65" s="1"/>
      <c r="PAR65" s="1"/>
      <c r="PAS65" s="1"/>
      <c r="PAT65" s="1"/>
      <c r="PAU65" s="1"/>
      <c r="PAV65" s="1"/>
      <c r="PAW65" s="1"/>
      <c r="PAX65" s="1"/>
      <c r="PAY65" s="1"/>
      <c r="PAZ65" s="1"/>
      <c r="PBA65" s="1"/>
      <c r="PBB65" s="1"/>
      <c r="PBC65" s="1"/>
      <c r="PBD65" s="1"/>
      <c r="PBE65" s="1"/>
      <c r="PBF65" s="1"/>
      <c r="PBG65" s="1"/>
      <c r="PBH65" s="1"/>
      <c r="PBI65" s="1"/>
      <c r="PBJ65" s="1"/>
      <c r="PBK65" s="1"/>
      <c r="PBL65" s="1"/>
      <c r="PBM65" s="1"/>
      <c r="PBN65" s="1"/>
      <c r="PBO65" s="1"/>
      <c r="PBP65" s="1"/>
      <c r="PBQ65" s="1"/>
      <c r="PBR65" s="1"/>
      <c r="PBS65" s="1"/>
      <c r="PBT65" s="1"/>
      <c r="PBU65" s="1"/>
      <c r="PBV65" s="1"/>
      <c r="PBW65" s="1"/>
      <c r="PBX65" s="1"/>
      <c r="PBY65" s="1"/>
      <c r="PBZ65" s="1"/>
      <c r="PCA65" s="1"/>
      <c r="PCB65" s="1"/>
      <c r="PCC65" s="1"/>
      <c r="PCD65" s="1"/>
      <c r="PCE65" s="1"/>
      <c r="PCF65" s="1"/>
      <c r="PCG65" s="1"/>
      <c r="PCH65" s="1"/>
      <c r="PCI65" s="1"/>
      <c r="PCJ65" s="1"/>
      <c r="PCK65" s="1"/>
      <c r="PCL65" s="1"/>
      <c r="PCM65" s="1"/>
      <c r="PCN65" s="1"/>
      <c r="PCO65" s="1"/>
      <c r="PCP65" s="1"/>
      <c r="PCQ65" s="1"/>
      <c r="PCR65" s="1"/>
      <c r="PCS65" s="1"/>
      <c r="PCT65" s="1"/>
      <c r="PCU65" s="1"/>
      <c r="PCV65" s="1"/>
      <c r="PCW65" s="1"/>
      <c r="PCX65" s="1"/>
      <c r="PCY65" s="1"/>
      <c r="PCZ65" s="1"/>
      <c r="PDA65" s="1"/>
      <c r="PDB65" s="1"/>
      <c r="PDC65" s="1"/>
      <c r="PDD65" s="1"/>
      <c r="PDE65" s="1"/>
      <c r="PDF65" s="1"/>
      <c r="PDG65" s="1"/>
      <c r="PDH65" s="1"/>
      <c r="PDI65" s="1"/>
      <c r="PDJ65" s="1"/>
      <c r="PDK65" s="1"/>
      <c r="PDL65" s="1"/>
      <c r="PDM65" s="1"/>
      <c r="PDN65" s="1"/>
      <c r="PDO65" s="1"/>
      <c r="PDP65" s="1"/>
      <c r="PDQ65" s="1"/>
      <c r="PDR65" s="1"/>
      <c r="PDS65" s="1"/>
      <c r="PDT65" s="1"/>
      <c r="PDU65" s="1"/>
      <c r="PDV65" s="1"/>
      <c r="PDW65" s="1"/>
      <c r="PDX65" s="1"/>
      <c r="PDY65" s="1"/>
      <c r="PDZ65" s="1"/>
      <c r="PEA65" s="1"/>
      <c r="PEB65" s="1"/>
      <c r="PEC65" s="1"/>
      <c r="PED65" s="1"/>
      <c r="PEE65" s="1"/>
      <c r="PEF65" s="1"/>
      <c r="PEG65" s="1"/>
      <c r="PEH65" s="1"/>
      <c r="PEI65" s="1"/>
      <c r="PEJ65" s="1"/>
      <c r="PEK65" s="1"/>
      <c r="PEL65" s="1"/>
      <c r="PEM65" s="1"/>
      <c r="PEN65" s="1"/>
      <c r="PEO65" s="1"/>
      <c r="PEP65" s="1"/>
      <c r="PEQ65" s="1"/>
      <c r="PER65" s="1"/>
      <c r="PES65" s="1"/>
      <c r="PET65" s="1"/>
      <c r="PEU65" s="1"/>
      <c r="PEV65" s="1"/>
      <c r="PEW65" s="1"/>
      <c r="PEX65" s="1"/>
      <c r="PEY65" s="1"/>
      <c r="PEZ65" s="1"/>
      <c r="PFA65" s="1"/>
      <c r="PFB65" s="1"/>
      <c r="PFC65" s="1"/>
      <c r="PFD65" s="1"/>
      <c r="PFE65" s="1"/>
      <c r="PFF65" s="1"/>
      <c r="PFG65" s="1"/>
      <c r="PFH65" s="1"/>
      <c r="PFI65" s="1"/>
      <c r="PFJ65" s="1"/>
      <c r="PFK65" s="1"/>
      <c r="PFL65" s="1"/>
      <c r="PFM65" s="1"/>
      <c r="PFN65" s="1"/>
      <c r="PFO65" s="1"/>
      <c r="PFP65" s="1"/>
      <c r="PFQ65" s="1"/>
      <c r="PFR65" s="1"/>
      <c r="PFS65" s="1"/>
      <c r="PFT65" s="1"/>
      <c r="PFU65" s="1"/>
      <c r="PFV65" s="1"/>
      <c r="PFW65" s="1"/>
      <c r="PFX65" s="1"/>
      <c r="PFY65" s="1"/>
      <c r="PFZ65" s="1"/>
      <c r="PGA65" s="1"/>
      <c r="PGB65" s="1"/>
      <c r="PGC65" s="1"/>
      <c r="PGD65" s="1"/>
      <c r="PGE65" s="1"/>
      <c r="PGF65" s="1"/>
      <c r="PGG65" s="1"/>
      <c r="PGH65" s="1"/>
      <c r="PGI65" s="1"/>
      <c r="PGJ65" s="1"/>
      <c r="PGK65" s="1"/>
      <c r="PGL65" s="1"/>
      <c r="PGM65" s="1"/>
      <c r="PGN65" s="1"/>
      <c r="PGO65" s="1"/>
      <c r="PGP65" s="1"/>
      <c r="PGQ65" s="1"/>
      <c r="PGR65" s="1"/>
      <c r="PGS65" s="1"/>
      <c r="PGT65" s="1"/>
      <c r="PGU65" s="1"/>
      <c r="PGV65" s="1"/>
      <c r="PGW65" s="1"/>
      <c r="PGX65" s="1"/>
      <c r="PGY65" s="1"/>
      <c r="PGZ65" s="1"/>
      <c r="PHA65" s="1"/>
      <c r="PHB65" s="1"/>
      <c r="PHC65" s="1"/>
      <c r="PHD65" s="1"/>
      <c r="PHE65" s="1"/>
      <c r="PHF65" s="1"/>
      <c r="PHG65" s="1"/>
      <c r="PHH65" s="1"/>
      <c r="PHI65" s="1"/>
      <c r="PHJ65" s="1"/>
      <c r="PHK65" s="1"/>
      <c r="PHL65" s="1"/>
      <c r="PHM65" s="1"/>
      <c r="PHN65" s="1"/>
      <c r="PHO65" s="1"/>
      <c r="PHP65" s="1"/>
      <c r="PHQ65" s="1"/>
      <c r="PHR65" s="1"/>
      <c r="PHS65" s="1"/>
      <c r="PHT65" s="1"/>
      <c r="PHU65" s="1"/>
      <c r="PHV65" s="1"/>
      <c r="PHW65" s="1"/>
      <c r="PHX65" s="1"/>
      <c r="PHY65" s="1"/>
      <c r="PHZ65" s="1"/>
      <c r="PIA65" s="1"/>
      <c r="PIB65" s="1"/>
      <c r="PIC65" s="1"/>
      <c r="PID65" s="1"/>
      <c r="PIE65" s="1"/>
      <c r="PIF65" s="1"/>
      <c r="PIG65" s="1"/>
      <c r="PIH65" s="1"/>
      <c r="PII65" s="1"/>
      <c r="PIJ65" s="1"/>
      <c r="PIK65" s="1"/>
      <c r="PIL65" s="1"/>
      <c r="PIM65" s="1"/>
      <c r="PIN65" s="1"/>
      <c r="PIO65" s="1"/>
      <c r="PIP65" s="1"/>
      <c r="PIQ65" s="1"/>
      <c r="PIR65" s="1"/>
      <c r="PIS65" s="1"/>
      <c r="PIT65" s="1"/>
      <c r="PIU65" s="1"/>
      <c r="PIV65" s="1"/>
      <c r="PIW65" s="1"/>
      <c r="PIX65" s="1"/>
      <c r="PIY65" s="1"/>
      <c r="PIZ65" s="1"/>
      <c r="PJA65" s="1"/>
      <c r="PJB65" s="1"/>
      <c r="PJC65" s="1"/>
      <c r="PJD65" s="1"/>
      <c r="PJE65" s="1"/>
      <c r="PJF65" s="1"/>
      <c r="PJG65" s="1"/>
      <c r="PJH65" s="1"/>
      <c r="PJI65" s="1"/>
      <c r="PJJ65" s="1"/>
      <c r="PJK65" s="1"/>
      <c r="PJL65" s="1"/>
      <c r="PJM65" s="1"/>
      <c r="PJN65" s="1"/>
      <c r="PJO65" s="1"/>
      <c r="PJP65" s="1"/>
      <c r="PJQ65" s="1"/>
      <c r="PJR65" s="1"/>
      <c r="PJS65" s="1"/>
      <c r="PJT65" s="1"/>
      <c r="PJU65" s="1"/>
      <c r="PJV65" s="1"/>
      <c r="PJW65" s="1"/>
      <c r="PJX65" s="1"/>
      <c r="PJY65" s="1"/>
      <c r="PJZ65" s="1"/>
      <c r="PKA65" s="1"/>
      <c r="PKB65" s="1"/>
      <c r="PKC65" s="1"/>
      <c r="PKD65" s="1"/>
      <c r="PKE65" s="1"/>
      <c r="PKF65" s="1"/>
      <c r="PKG65" s="1"/>
      <c r="PKH65" s="1"/>
      <c r="PKI65" s="1"/>
      <c r="PKJ65" s="1"/>
      <c r="PKK65" s="1"/>
      <c r="PKL65" s="1"/>
      <c r="PKM65" s="1"/>
      <c r="PKN65" s="1"/>
      <c r="PKO65" s="1"/>
      <c r="PKP65" s="1"/>
      <c r="PKQ65" s="1"/>
      <c r="PKR65" s="1"/>
      <c r="PKS65" s="1"/>
      <c r="PKT65" s="1"/>
      <c r="PKU65" s="1"/>
      <c r="PKV65" s="1"/>
      <c r="PKW65" s="1"/>
      <c r="PKX65" s="1"/>
      <c r="PKY65" s="1"/>
      <c r="PKZ65" s="1"/>
      <c r="PLA65" s="1"/>
      <c r="PLB65" s="1"/>
      <c r="PLC65" s="1"/>
      <c r="PLD65" s="1"/>
      <c r="PLE65" s="1"/>
      <c r="PLF65" s="1"/>
      <c r="PLG65" s="1"/>
      <c r="PLH65" s="1"/>
      <c r="PLI65" s="1"/>
      <c r="PLJ65" s="1"/>
      <c r="PLK65" s="1"/>
      <c r="PLL65" s="1"/>
      <c r="PLM65" s="1"/>
      <c r="PLN65" s="1"/>
      <c r="PLO65" s="1"/>
      <c r="PLP65" s="1"/>
      <c r="PLQ65" s="1"/>
      <c r="PLR65" s="1"/>
      <c r="PLS65" s="1"/>
      <c r="PLT65" s="1"/>
      <c r="PLU65" s="1"/>
      <c r="PLV65" s="1"/>
      <c r="PLW65" s="1"/>
      <c r="PLX65" s="1"/>
      <c r="PLY65" s="1"/>
      <c r="PLZ65" s="1"/>
      <c r="PMA65" s="1"/>
      <c r="PMB65" s="1"/>
      <c r="PMC65" s="1"/>
      <c r="PMD65" s="1"/>
      <c r="PME65" s="1"/>
      <c r="PMF65" s="1"/>
      <c r="PMG65" s="1"/>
      <c r="PMH65" s="1"/>
      <c r="PMI65" s="1"/>
      <c r="PMJ65" s="1"/>
      <c r="PMK65" s="1"/>
      <c r="PML65" s="1"/>
      <c r="PMM65" s="1"/>
      <c r="PMN65" s="1"/>
      <c r="PMO65" s="1"/>
      <c r="PMP65" s="1"/>
      <c r="PMQ65" s="1"/>
      <c r="PMR65" s="1"/>
      <c r="PMS65" s="1"/>
      <c r="PMT65" s="1"/>
      <c r="PMU65" s="1"/>
      <c r="PMV65" s="1"/>
      <c r="PMW65" s="1"/>
      <c r="PMX65" s="1"/>
      <c r="PMY65" s="1"/>
      <c r="PMZ65" s="1"/>
      <c r="PNA65" s="1"/>
      <c r="PNB65" s="1"/>
      <c r="PNC65" s="1"/>
      <c r="PND65" s="1"/>
      <c r="PNE65" s="1"/>
      <c r="PNF65" s="1"/>
      <c r="PNG65" s="1"/>
      <c r="PNH65" s="1"/>
      <c r="PNI65" s="1"/>
      <c r="PNJ65" s="1"/>
      <c r="PNK65" s="1"/>
      <c r="PNL65" s="1"/>
      <c r="PNM65" s="1"/>
      <c r="PNN65" s="1"/>
      <c r="PNO65" s="1"/>
      <c r="PNP65" s="1"/>
      <c r="PNQ65" s="1"/>
      <c r="PNR65" s="1"/>
      <c r="PNS65" s="1"/>
      <c r="PNT65" s="1"/>
      <c r="PNU65" s="1"/>
      <c r="PNV65" s="1"/>
      <c r="PNW65" s="1"/>
      <c r="PNX65" s="1"/>
      <c r="PNY65" s="1"/>
      <c r="PNZ65" s="1"/>
      <c r="POA65" s="1"/>
      <c r="POB65" s="1"/>
      <c r="POC65" s="1"/>
      <c r="POD65" s="1"/>
      <c r="POE65" s="1"/>
      <c r="POF65" s="1"/>
      <c r="POG65" s="1"/>
      <c r="POH65" s="1"/>
      <c r="POI65" s="1"/>
      <c r="POJ65" s="1"/>
      <c r="POK65" s="1"/>
      <c r="POL65" s="1"/>
      <c r="POM65" s="1"/>
      <c r="PON65" s="1"/>
      <c r="POO65" s="1"/>
      <c r="POP65" s="1"/>
      <c r="POQ65" s="1"/>
      <c r="POR65" s="1"/>
      <c r="POS65" s="1"/>
      <c r="POT65" s="1"/>
      <c r="POU65" s="1"/>
      <c r="POV65" s="1"/>
      <c r="POW65" s="1"/>
      <c r="POX65" s="1"/>
      <c r="POY65" s="1"/>
      <c r="POZ65" s="1"/>
      <c r="PPA65" s="1"/>
      <c r="PPB65" s="1"/>
      <c r="PPC65" s="1"/>
      <c r="PPD65" s="1"/>
      <c r="PPE65" s="1"/>
      <c r="PPF65" s="1"/>
      <c r="PPG65" s="1"/>
      <c r="PPH65" s="1"/>
      <c r="PPI65" s="1"/>
      <c r="PPJ65" s="1"/>
      <c r="PPK65" s="1"/>
      <c r="PPL65" s="1"/>
      <c r="PPM65" s="1"/>
      <c r="PPN65" s="1"/>
      <c r="PPO65" s="1"/>
      <c r="PPP65" s="1"/>
      <c r="PPQ65" s="1"/>
      <c r="PPR65" s="1"/>
      <c r="PPS65" s="1"/>
      <c r="PPT65" s="1"/>
      <c r="PPU65" s="1"/>
      <c r="PPV65" s="1"/>
      <c r="PPW65" s="1"/>
      <c r="PPX65" s="1"/>
      <c r="PPY65" s="1"/>
      <c r="PPZ65" s="1"/>
      <c r="PQA65" s="1"/>
      <c r="PQB65" s="1"/>
      <c r="PQC65" s="1"/>
      <c r="PQD65" s="1"/>
      <c r="PQE65" s="1"/>
      <c r="PQF65" s="1"/>
      <c r="PQG65" s="1"/>
      <c r="PQH65" s="1"/>
      <c r="PQI65" s="1"/>
      <c r="PQJ65" s="1"/>
      <c r="PQK65" s="1"/>
      <c r="PQL65" s="1"/>
      <c r="PQM65" s="1"/>
      <c r="PQN65" s="1"/>
      <c r="PQO65" s="1"/>
      <c r="PQP65" s="1"/>
      <c r="PQQ65" s="1"/>
      <c r="PQR65" s="1"/>
      <c r="PQS65" s="1"/>
      <c r="PQT65" s="1"/>
      <c r="PQU65" s="1"/>
      <c r="PQV65" s="1"/>
      <c r="PQW65" s="1"/>
      <c r="PQX65" s="1"/>
      <c r="PQY65" s="1"/>
      <c r="PQZ65" s="1"/>
      <c r="PRA65" s="1"/>
      <c r="PRB65" s="1"/>
      <c r="PRC65" s="1"/>
      <c r="PRD65" s="1"/>
      <c r="PRE65" s="1"/>
      <c r="PRF65" s="1"/>
      <c r="PRG65" s="1"/>
      <c r="PRH65" s="1"/>
      <c r="PRI65" s="1"/>
      <c r="PRJ65" s="1"/>
      <c r="PRK65" s="1"/>
      <c r="PRL65" s="1"/>
      <c r="PRM65" s="1"/>
      <c r="PRN65" s="1"/>
      <c r="PRO65" s="1"/>
      <c r="PRP65" s="1"/>
      <c r="PRQ65" s="1"/>
      <c r="PRR65" s="1"/>
      <c r="PRS65" s="1"/>
      <c r="PRT65" s="1"/>
      <c r="PRU65" s="1"/>
      <c r="PRV65" s="1"/>
      <c r="PRW65" s="1"/>
      <c r="PRX65" s="1"/>
      <c r="PRY65" s="1"/>
      <c r="PRZ65" s="1"/>
      <c r="PSA65" s="1"/>
      <c r="PSB65" s="1"/>
      <c r="PSC65" s="1"/>
      <c r="PSD65" s="1"/>
      <c r="PSE65" s="1"/>
      <c r="PSF65" s="1"/>
      <c r="PSG65" s="1"/>
      <c r="PSH65" s="1"/>
      <c r="PSI65" s="1"/>
      <c r="PSJ65" s="1"/>
      <c r="PSK65" s="1"/>
      <c r="PSL65" s="1"/>
      <c r="PSM65" s="1"/>
      <c r="PSN65" s="1"/>
      <c r="PSO65" s="1"/>
      <c r="PSP65" s="1"/>
      <c r="PSQ65" s="1"/>
      <c r="PSR65" s="1"/>
      <c r="PSS65" s="1"/>
      <c r="PST65" s="1"/>
      <c r="PSU65" s="1"/>
      <c r="PSV65" s="1"/>
      <c r="PSW65" s="1"/>
      <c r="PSX65" s="1"/>
      <c r="PSY65" s="1"/>
      <c r="PSZ65" s="1"/>
      <c r="PTA65" s="1"/>
      <c r="PTB65" s="1"/>
      <c r="PTC65" s="1"/>
      <c r="PTD65" s="1"/>
      <c r="PTE65" s="1"/>
      <c r="PTF65" s="1"/>
      <c r="PTG65" s="1"/>
      <c r="PTH65" s="1"/>
      <c r="PTI65" s="1"/>
      <c r="PTJ65" s="1"/>
      <c r="PTK65" s="1"/>
      <c r="PTL65" s="1"/>
      <c r="PTM65" s="1"/>
      <c r="PTN65" s="1"/>
      <c r="PTO65" s="1"/>
      <c r="PTP65" s="1"/>
      <c r="PTQ65" s="1"/>
      <c r="PTR65" s="1"/>
      <c r="PTS65" s="1"/>
      <c r="PTT65" s="1"/>
      <c r="PTU65" s="1"/>
      <c r="PTV65" s="1"/>
      <c r="PTW65" s="1"/>
      <c r="PTX65" s="1"/>
      <c r="PTY65" s="1"/>
      <c r="PTZ65" s="1"/>
      <c r="PUA65" s="1"/>
      <c r="PUB65" s="1"/>
      <c r="PUC65" s="1"/>
      <c r="PUD65" s="1"/>
      <c r="PUE65" s="1"/>
      <c r="PUF65" s="1"/>
      <c r="PUG65" s="1"/>
      <c r="PUH65" s="1"/>
      <c r="PUI65" s="1"/>
      <c r="PUJ65" s="1"/>
      <c r="PUK65" s="1"/>
      <c r="PUL65" s="1"/>
      <c r="PUM65" s="1"/>
      <c r="PUN65" s="1"/>
      <c r="PUO65" s="1"/>
      <c r="PUP65" s="1"/>
      <c r="PUQ65" s="1"/>
      <c r="PUR65" s="1"/>
      <c r="PUS65" s="1"/>
      <c r="PUT65" s="1"/>
      <c r="PUU65" s="1"/>
      <c r="PUV65" s="1"/>
      <c r="PUW65" s="1"/>
      <c r="PUX65" s="1"/>
      <c r="PUY65" s="1"/>
      <c r="PUZ65" s="1"/>
      <c r="PVA65" s="1"/>
      <c r="PVB65" s="1"/>
      <c r="PVC65" s="1"/>
      <c r="PVD65" s="1"/>
      <c r="PVE65" s="1"/>
      <c r="PVF65" s="1"/>
      <c r="PVG65" s="1"/>
      <c r="PVH65" s="1"/>
      <c r="PVI65" s="1"/>
      <c r="PVJ65" s="1"/>
      <c r="PVK65" s="1"/>
      <c r="PVL65" s="1"/>
      <c r="PVM65" s="1"/>
      <c r="PVN65" s="1"/>
      <c r="PVO65" s="1"/>
      <c r="PVP65" s="1"/>
      <c r="PVQ65" s="1"/>
      <c r="PVR65" s="1"/>
      <c r="PVS65" s="1"/>
      <c r="PVT65" s="1"/>
      <c r="PVU65" s="1"/>
      <c r="PVV65" s="1"/>
      <c r="PVW65" s="1"/>
      <c r="PVX65" s="1"/>
      <c r="PVY65" s="1"/>
      <c r="PVZ65" s="1"/>
      <c r="PWA65" s="1"/>
      <c r="PWB65" s="1"/>
      <c r="PWC65" s="1"/>
      <c r="PWD65" s="1"/>
      <c r="PWE65" s="1"/>
      <c r="PWF65" s="1"/>
      <c r="PWG65" s="1"/>
      <c r="PWH65" s="1"/>
      <c r="PWI65" s="1"/>
      <c r="PWJ65" s="1"/>
      <c r="PWK65" s="1"/>
      <c r="PWL65" s="1"/>
      <c r="PWM65" s="1"/>
      <c r="PWN65" s="1"/>
      <c r="PWO65" s="1"/>
      <c r="PWP65" s="1"/>
      <c r="PWQ65" s="1"/>
      <c r="PWR65" s="1"/>
      <c r="PWS65" s="1"/>
      <c r="PWT65" s="1"/>
      <c r="PWU65" s="1"/>
      <c r="PWV65" s="1"/>
      <c r="PWW65" s="1"/>
      <c r="PWX65" s="1"/>
      <c r="PWY65" s="1"/>
      <c r="PWZ65" s="1"/>
      <c r="PXA65" s="1"/>
      <c r="PXB65" s="1"/>
      <c r="PXC65" s="1"/>
      <c r="PXD65" s="1"/>
      <c r="PXE65" s="1"/>
      <c r="PXF65" s="1"/>
      <c r="PXG65" s="1"/>
      <c r="PXH65" s="1"/>
      <c r="PXI65" s="1"/>
      <c r="PXJ65" s="1"/>
      <c r="PXK65" s="1"/>
      <c r="PXL65" s="1"/>
      <c r="PXM65" s="1"/>
      <c r="PXN65" s="1"/>
      <c r="PXO65" s="1"/>
      <c r="PXP65" s="1"/>
      <c r="PXQ65" s="1"/>
      <c r="PXR65" s="1"/>
      <c r="PXS65" s="1"/>
      <c r="PXT65" s="1"/>
      <c r="PXU65" s="1"/>
      <c r="PXV65" s="1"/>
      <c r="PXW65" s="1"/>
      <c r="PXX65" s="1"/>
      <c r="PXY65" s="1"/>
      <c r="PXZ65" s="1"/>
      <c r="PYA65" s="1"/>
      <c r="PYB65" s="1"/>
      <c r="PYC65" s="1"/>
      <c r="PYD65" s="1"/>
      <c r="PYE65" s="1"/>
      <c r="PYF65" s="1"/>
      <c r="PYG65" s="1"/>
      <c r="PYH65" s="1"/>
      <c r="PYI65" s="1"/>
      <c r="PYJ65" s="1"/>
      <c r="PYK65" s="1"/>
      <c r="PYL65" s="1"/>
      <c r="PYM65" s="1"/>
      <c r="PYN65" s="1"/>
      <c r="PYO65" s="1"/>
      <c r="PYP65" s="1"/>
      <c r="PYQ65" s="1"/>
      <c r="PYR65" s="1"/>
      <c r="PYS65" s="1"/>
      <c r="PYT65" s="1"/>
      <c r="PYU65" s="1"/>
      <c r="PYV65" s="1"/>
      <c r="PYW65" s="1"/>
      <c r="PYX65" s="1"/>
      <c r="PYY65" s="1"/>
      <c r="PYZ65" s="1"/>
      <c r="PZA65" s="1"/>
      <c r="PZB65" s="1"/>
      <c r="PZC65" s="1"/>
      <c r="PZD65" s="1"/>
      <c r="PZE65" s="1"/>
      <c r="PZF65" s="1"/>
      <c r="PZG65" s="1"/>
      <c r="PZH65" s="1"/>
      <c r="PZI65" s="1"/>
      <c r="PZJ65" s="1"/>
      <c r="PZK65" s="1"/>
      <c r="PZL65" s="1"/>
      <c r="PZM65" s="1"/>
      <c r="PZN65" s="1"/>
      <c r="PZO65" s="1"/>
      <c r="PZP65" s="1"/>
      <c r="PZQ65" s="1"/>
      <c r="PZR65" s="1"/>
      <c r="PZS65" s="1"/>
      <c r="PZT65" s="1"/>
      <c r="PZU65" s="1"/>
      <c r="PZV65" s="1"/>
      <c r="PZW65" s="1"/>
      <c r="PZX65" s="1"/>
      <c r="PZY65" s="1"/>
      <c r="PZZ65" s="1"/>
      <c r="QAA65" s="1"/>
      <c r="QAB65" s="1"/>
      <c r="QAC65" s="1"/>
      <c r="QAD65" s="1"/>
      <c r="QAE65" s="1"/>
      <c r="QAF65" s="1"/>
      <c r="QAG65" s="1"/>
      <c r="QAH65" s="1"/>
      <c r="QAI65" s="1"/>
      <c r="QAJ65" s="1"/>
      <c r="QAK65" s="1"/>
      <c r="QAL65" s="1"/>
      <c r="QAM65" s="1"/>
      <c r="QAN65" s="1"/>
      <c r="QAO65" s="1"/>
      <c r="QAP65" s="1"/>
      <c r="QAQ65" s="1"/>
      <c r="QAR65" s="1"/>
      <c r="QAS65" s="1"/>
      <c r="QAT65" s="1"/>
      <c r="QAU65" s="1"/>
      <c r="QAV65" s="1"/>
      <c r="QAW65" s="1"/>
      <c r="QAX65" s="1"/>
      <c r="QAY65" s="1"/>
      <c r="QAZ65" s="1"/>
      <c r="QBA65" s="1"/>
      <c r="QBB65" s="1"/>
      <c r="QBC65" s="1"/>
      <c r="QBD65" s="1"/>
      <c r="QBE65" s="1"/>
      <c r="QBF65" s="1"/>
      <c r="QBG65" s="1"/>
      <c r="QBH65" s="1"/>
      <c r="QBI65" s="1"/>
      <c r="QBJ65" s="1"/>
      <c r="QBK65" s="1"/>
      <c r="QBL65" s="1"/>
      <c r="QBM65" s="1"/>
      <c r="QBN65" s="1"/>
      <c r="QBO65" s="1"/>
      <c r="QBP65" s="1"/>
      <c r="QBQ65" s="1"/>
      <c r="QBR65" s="1"/>
      <c r="QBS65" s="1"/>
      <c r="QBT65" s="1"/>
      <c r="QBU65" s="1"/>
      <c r="QBV65" s="1"/>
      <c r="QBW65" s="1"/>
      <c r="QBX65" s="1"/>
      <c r="QBY65" s="1"/>
      <c r="QBZ65" s="1"/>
      <c r="QCA65" s="1"/>
      <c r="QCB65" s="1"/>
      <c r="QCC65" s="1"/>
      <c r="QCD65" s="1"/>
      <c r="QCE65" s="1"/>
      <c r="QCF65" s="1"/>
      <c r="QCG65" s="1"/>
      <c r="QCH65" s="1"/>
      <c r="QCI65" s="1"/>
      <c r="QCJ65" s="1"/>
      <c r="QCK65" s="1"/>
      <c r="QCL65" s="1"/>
      <c r="QCM65" s="1"/>
      <c r="QCN65" s="1"/>
      <c r="QCO65" s="1"/>
      <c r="QCP65" s="1"/>
      <c r="QCQ65" s="1"/>
      <c r="QCR65" s="1"/>
      <c r="QCS65" s="1"/>
      <c r="QCT65" s="1"/>
      <c r="QCU65" s="1"/>
      <c r="QCV65" s="1"/>
      <c r="QCW65" s="1"/>
      <c r="QCX65" s="1"/>
      <c r="QCY65" s="1"/>
      <c r="QCZ65" s="1"/>
      <c r="QDA65" s="1"/>
      <c r="QDB65" s="1"/>
      <c r="QDC65" s="1"/>
      <c r="QDD65" s="1"/>
      <c r="QDE65" s="1"/>
      <c r="QDF65" s="1"/>
      <c r="QDG65" s="1"/>
      <c r="QDH65" s="1"/>
      <c r="QDI65" s="1"/>
      <c r="QDJ65" s="1"/>
      <c r="QDK65" s="1"/>
      <c r="QDL65" s="1"/>
      <c r="QDM65" s="1"/>
      <c r="QDN65" s="1"/>
      <c r="QDO65" s="1"/>
      <c r="QDP65" s="1"/>
      <c r="QDQ65" s="1"/>
      <c r="QDR65" s="1"/>
      <c r="QDS65" s="1"/>
      <c r="QDT65" s="1"/>
      <c r="QDU65" s="1"/>
      <c r="QDV65" s="1"/>
      <c r="QDW65" s="1"/>
      <c r="QDX65" s="1"/>
      <c r="QDY65" s="1"/>
      <c r="QDZ65" s="1"/>
      <c r="QEA65" s="1"/>
      <c r="QEB65" s="1"/>
      <c r="QEC65" s="1"/>
      <c r="QED65" s="1"/>
      <c r="QEE65" s="1"/>
      <c r="QEF65" s="1"/>
      <c r="QEG65" s="1"/>
      <c r="QEH65" s="1"/>
      <c r="QEI65" s="1"/>
      <c r="QEJ65" s="1"/>
      <c r="QEK65" s="1"/>
      <c r="QEL65" s="1"/>
      <c r="QEM65" s="1"/>
      <c r="QEN65" s="1"/>
      <c r="QEO65" s="1"/>
      <c r="QEP65" s="1"/>
      <c r="QEQ65" s="1"/>
      <c r="QER65" s="1"/>
      <c r="QES65" s="1"/>
      <c r="QET65" s="1"/>
      <c r="QEU65" s="1"/>
      <c r="QEV65" s="1"/>
      <c r="QEW65" s="1"/>
      <c r="QEX65" s="1"/>
      <c r="QEY65" s="1"/>
      <c r="QEZ65" s="1"/>
      <c r="QFA65" s="1"/>
      <c r="QFB65" s="1"/>
      <c r="QFC65" s="1"/>
      <c r="QFD65" s="1"/>
      <c r="QFE65" s="1"/>
      <c r="QFF65" s="1"/>
      <c r="QFG65" s="1"/>
      <c r="QFH65" s="1"/>
      <c r="QFI65" s="1"/>
      <c r="QFJ65" s="1"/>
      <c r="QFK65" s="1"/>
      <c r="QFL65" s="1"/>
      <c r="QFM65" s="1"/>
      <c r="QFN65" s="1"/>
      <c r="QFO65" s="1"/>
      <c r="QFP65" s="1"/>
      <c r="QFQ65" s="1"/>
      <c r="QFR65" s="1"/>
      <c r="QFS65" s="1"/>
      <c r="QFT65" s="1"/>
      <c r="QFU65" s="1"/>
      <c r="QFV65" s="1"/>
      <c r="QFW65" s="1"/>
      <c r="QFX65" s="1"/>
      <c r="QFY65" s="1"/>
      <c r="QFZ65" s="1"/>
      <c r="QGA65" s="1"/>
      <c r="QGB65" s="1"/>
      <c r="QGC65" s="1"/>
      <c r="QGD65" s="1"/>
      <c r="QGE65" s="1"/>
      <c r="QGF65" s="1"/>
      <c r="QGG65" s="1"/>
      <c r="QGH65" s="1"/>
      <c r="QGI65" s="1"/>
      <c r="QGJ65" s="1"/>
      <c r="QGK65" s="1"/>
      <c r="QGL65" s="1"/>
      <c r="QGM65" s="1"/>
      <c r="QGN65" s="1"/>
      <c r="QGO65" s="1"/>
      <c r="QGP65" s="1"/>
      <c r="QGQ65" s="1"/>
      <c r="QGR65" s="1"/>
      <c r="QGS65" s="1"/>
      <c r="QGT65" s="1"/>
      <c r="QGU65" s="1"/>
      <c r="QGV65" s="1"/>
      <c r="QGW65" s="1"/>
      <c r="QGX65" s="1"/>
      <c r="QGY65" s="1"/>
      <c r="QGZ65" s="1"/>
      <c r="QHA65" s="1"/>
      <c r="QHB65" s="1"/>
      <c r="QHC65" s="1"/>
      <c r="QHD65" s="1"/>
      <c r="QHE65" s="1"/>
      <c r="QHF65" s="1"/>
      <c r="QHG65" s="1"/>
      <c r="QHH65" s="1"/>
      <c r="QHI65" s="1"/>
      <c r="QHJ65" s="1"/>
      <c r="QHK65" s="1"/>
      <c r="QHL65" s="1"/>
      <c r="QHM65" s="1"/>
      <c r="QHN65" s="1"/>
      <c r="QHO65" s="1"/>
      <c r="QHP65" s="1"/>
      <c r="QHQ65" s="1"/>
      <c r="QHR65" s="1"/>
      <c r="QHS65" s="1"/>
      <c r="QHT65" s="1"/>
      <c r="QHU65" s="1"/>
      <c r="QHV65" s="1"/>
      <c r="QHW65" s="1"/>
      <c r="QHX65" s="1"/>
      <c r="QHY65" s="1"/>
      <c r="QHZ65" s="1"/>
      <c r="QIA65" s="1"/>
      <c r="QIB65" s="1"/>
      <c r="QIC65" s="1"/>
      <c r="QID65" s="1"/>
      <c r="QIE65" s="1"/>
      <c r="QIF65" s="1"/>
      <c r="QIG65" s="1"/>
      <c r="QIH65" s="1"/>
      <c r="QII65" s="1"/>
      <c r="QIJ65" s="1"/>
      <c r="QIK65" s="1"/>
      <c r="QIL65" s="1"/>
      <c r="QIM65" s="1"/>
      <c r="QIN65" s="1"/>
      <c r="QIO65" s="1"/>
      <c r="QIP65" s="1"/>
      <c r="QIQ65" s="1"/>
      <c r="QIR65" s="1"/>
      <c r="QIS65" s="1"/>
      <c r="QIT65" s="1"/>
      <c r="QIU65" s="1"/>
      <c r="QIV65" s="1"/>
      <c r="QIW65" s="1"/>
      <c r="QIX65" s="1"/>
      <c r="QIY65" s="1"/>
      <c r="QIZ65" s="1"/>
      <c r="QJA65" s="1"/>
      <c r="QJB65" s="1"/>
      <c r="QJC65" s="1"/>
      <c r="QJD65" s="1"/>
      <c r="QJE65" s="1"/>
      <c r="QJF65" s="1"/>
      <c r="QJG65" s="1"/>
      <c r="QJH65" s="1"/>
      <c r="QJI65" s="1"/>
      <c r="QJJ65" s="1"/>
      <c r="QJK65" s="1"/>
      <c r="QJL65" s="1"/>
      <c r="QJM65" s="1"/>
      <c r="QJN65" s="1"/>
      <c r="QJO65" s="1"/>
      <c r="QJP65" s="1"/>
      <c r="QJQ65" s="1"/>
      <c r="QJR65" s="1"/>
      <c r="QJS65" s="1"/>
      <c r="QJT65" s="1"/>
      <c r="QJU65" s="1"/>
      <c r="QJV65" s="1"/>
      <c r="QJW65" s="1"/>
      <c r="QJX65" s="1"/>
      <c r="QJY65" s="1"/>
      <c r="QJZ65" s="1"/>
      <c r="QKA65" s="1"/>
      <c r="QKB65" s="1"/>
      <c r="QKC65" s="1"/>
      <c r="QKD65" s="1"/>
      <c r="QKE65" s="1"/>
      <c r="QKF65" s="1"/>
      <c r="QKG65" s="1"/>
      <c r="QKH65" s="1"/>
      <c r="QKI65" s="1"/>
      <c r="QKJ65" s="1"/>
      <c r="QKK65" s="1"/>
      <c r="QKL65" s="1"/>
      <c r="QKM65" s="1"/>
      <c r="QKN65" s="1"/>
      <c r="QKO65" s="1"/>
      <c r="QKP65" s="1"/>
      <c r="QKQ65" s="1"/>
      <c r="QKR65" s="1"/>
      <c r="QKS65" s="1"/>
      <c r="QKT65" s="1"/>
      <c r="QKU65" s="1"/>
      <c r="QKV65" s="1"/>
      <c r="QKW65" s="1"/>
      <c r="QKX65" s="1"/>
      <c r="QKY65" s="1"/>
      <c r="QKZ65" s="1"/>
      <c r="QLA65" s="1"/>
      <c r="QLB65" s="1"/>
      <c r="QLC65" s="1"/>
      <c r="QLD65" s="1"/>
      <c r="QLE65" s="1"/>
      <c r="QLF65" s="1"/>
      <c r="QLG65" s="1"/>
      <c r="QLH65" s="1"/>
      <c r="QLI65" s="1"/>
      <c r="QLJ65" s="1"/>
      <c r="QLK65" s="1"/>
      <c r="QLL65" s="1"/>
      <c r="QLM65" s="1"/>
      <c r="QLN65" s="1"/>
      <c r="QLO65" s="1"/>
      <c r="QLP65" s="1"/>
      <c r="QLQ65" s="1"/>
      <c r="QLR65" s="1"/>
      <c r="QLS65" s="1"/>
      <c r="QLT65" s="1"/>
      <c r="QLU65" s="1"/>
      <c r="QLV65" s="1"/>
      <c r="QLW65" s="1"/>
      <c r="QLX65" s="1"/>
      <c r="QLY65" s="1"/>
      <c r="QLZ65" s="1"/>
      <c r="QMA65" s="1"/>
      <c r="QMB65" s="1"/>
      <c r="QMC65" s="1"/>
      <c r="QMD65" s="1"/>
      <c r="QME65" s="1"/>
      <c r="QMF65" s="1"/>
      <c r="QMG65" s="1"/>
      <c r="QMH65" s="1"/>
      <c r="QMI65" s="1"/>
      <c r="QMJ65" s="1"/>
      <c r="QMK65" s="1"/>
      <c r="QML65" s="1"/>
      <c r="QMM65" s="1"/>
      <c r="QMN65" s="1"/>
      <c r="QMO65" s="1"/>
      <c r="QMP65" s="1"/>
      <c r="QMQ65" s="1"/>
      <c r="QMR65" s="1"/>
      <c r="QMS65" s="1"/>
      <c r="QMT65" s="1"/>
      <c r="QMU65" s="1"/>
      <c r="QMV65" s="1"/>
      <c r="QMW65" s="1"/>
      <c r="QMX65" s="1"/>
      <c r="QMY65" s="1"/>
      <c r="QMZ65" s="1"/>
      <c r="QNA65" s="1"/>
      <c r="QNB65" s="1"/>
      <c r="QNC65" s="1"/>
      <c r="QND65" s="1"/>
      <c r="QNE65" s="1"/>
      <c r="QNF65" s="1"/>
      <c r="QNG65" s="1"/>
      <c r="QNH65" s="1"/>
      <c r="QNI65" s="1"/>
      <c r="QNJ65" s="1"/>
      <c r="QNK65" s="1"/>
      <c r="QNL65" s="1"/>
      <c r="QNM65" s="1"/>
      <c r="QNN65" s="1"/>
      <c r="QNO65" s="1"/>
      <c r="QNP65" s="1"/>
      <c r="QNQ65" s="1"/>
      <c r="QNR65" s="1"/>
      <c r="QNS65" s="1"/>
      <c r="QNT65" s="1"/>
      <c r="QNU65" s="1"/>
      <c r="QNV65" s="1"/>
      <c r="QNW65" s="1"/>
      <c r="QNX65" s="1"/>
      <c r="QNY65" s="1"/>
      <c r="QNZ65" s="1"/>
      <c r="QOA65" s="1"/>
      <c r="QOB65" s="1"/>
      <c r="QOC65" s="1"/>
      <c r="QOD65" s="1"/>
      <c r="QOE65" s="1"/>
      <c r="QOF65" s="1"/>
      <c r="QOG65" s="1"/>
      <c r="QOH65" s="1"/>
      <c r="QOI65" s="1"/>
      <c r="QOJ65" s="1"/>
      <c r="QOK65" s="1"/>
      <c r="QOL65" s="1"/>
      <c r="QOM65" s="1"/>
      <c r="QON65" s="1"/>
      <c r="QOO65" s="1"/>
      <c r="QOP65" s="1"/>
      <c r="QOQ65" s="1"/>
      <c r="QOR65" s="1"/>
      <c r="QOS65" s="1"/>
      <c r="QOT65" s="1"/>
      <c r="QOU65" s="1"/>
      <c r="QOV65" s="1"/>
      <c r="QOW65" s="1"/>
      <c r="QOX65" s="1"/>
      <c r="QOY65" s="1"/>
      <c r="QOZ65" s="1"/>
      <c r="QPA65" s="1"/>
      <c r="QPB65" s="1"/>
      <c r="QPC65" s="1"/>
      <c r="QPD65" s="1"/>
      <c r="QPE65" s="1"/>
      <c r="QPF65" s="1"/>
      <c r="QPG65" s="1"/>
      <c r="QPH65" s="1"/>
      <c r="QPI65" s="1"/>
      <c r="QPJ65" s="1"/>
      <c r="QPK65" s="1"/>
      <c r="QPL65" s="1"/>
      <c r="QPM65" s="1"/>
      <c r="QPN65" s="1"/>
      <c r="QPO65" s="1"/>
      <c r="QPP65" s="1"/>
      <c r="QPQ65" s="1"/>
      <c r="QPR65" s="1"/>
      <c r="QPS65" s="1"/>
      <c r="QPT65" s="1"/>
      <c r="QPU65" s="1"/>
      <c r="QPV65" s="1"/>
      <c r="QPW65" s="1"/>
      <c r="QPX65" s="1"/>
      <c r="QPY65" s="1"/>
      <c r="QPZ65" s="1"/>
      <c r="QQA65" s="1"/>
      <c r="QQB65" s="1"/>
      <c r="QQC65" s="1"/>
      <c r="QQD65" s="1"/>
      <c r="QQE65" s="1"/>
      <c r="QQF65" s="1"/>
      <c r="QQG65" s="1"/>
      <c r="QQH65" s="1"/>
      <c r="QQI65" s="1"/>
      <c r="QQJ65" s="1"/>
      <c r="QQK65" s="1"/>
      <c r="QQL65" s="1"/>
      <c r="QQM65" s="1"/>
      <c r="QQN65" s="1"/>
      <c r="QQO65" s="1"/>
      <c r="QQP65" s="1"/>
      <c r="QQQ65" s="1"/>
      <c r="QQR65" s="1"/>
      <c r="QQS65" s="1"/>
      <c r="QQT65" s="1"/>
      <c r="QQU65" s="1"/>
      <c r="QQV65" s="1"/>
      <c r="QQW65" s="1"/>
      <c r="QQX65" s="1"/>
      <c r="QQY65" s="1"/>
      <c r="QQZ65" s="1"/>
      <c r="QRA65" s="1"/>
      <c r="QRB65" s="1"/>
      <c r="QRC65" s="1"/>
      <c r="QRD65" s="1"/>
      <c r="QRE65" s="1"/>
      <c r="QRF65" s="1"/>
      <c r="QRG65" s="1"/>
      <c r="QRH65" s="1"/>
      <c r="QRI65" s="1"/>
      <c r="QRJ65" s="1"/>
      <c r="QRK65" s="1"/>
      <c r="QRL65" s="1"/>
      <c r="QRM65" s="1"/>
      <c r="QRN65" s="1"/>
      <c r="QRO65" s="1"/>
      <c r="QRP65" s="1"/>
      <c r="QRQ65" s="1"/>
      <c r="QRR65" s="1"/>
      <c r="QRS65" s="1"/>
      <c r="QRT65" s="1"/>
      <c r="QRU65" s="1"/>
      <c r="QRV65" s="1"/>
      <c r="QRW65" s="1"/>
      <c r="QRX65" s="1"/>
      <c r="QRY65" s="1"/>
      <c r="QRZ65" s="1"/>
      <c r="QSA65" s="1"/>
      <c r="QSB65" s="1"/>
      <c r="QSC65" s="1"/>
      <c r="QSD65" s="1"/>
      <c r="QSE65" s="1"/>
      <c r="QSF65" s="1"/>
      <c r="QSG65" s="1"/>
      <c r="QSH65" s="1"/>
      <c r="QSI65" s="1"/>
      <c r="QSJ65" s="1"/>
      <c r="QSK65" s="1"/>
      <c r="QSL65" s="1"/>
      <c r="QSM65" s="1"/>
      <c r="QSN65" s="1"/>
      <c r="QSO65" s="1"/>
      <c r="QSP65" s="1"/>
      <c r="QSQ65" s="1"/>
      <c r="QSR65" s="1"/>
      <c r="QSS65" s="1"/>
      <c r="QST65" s="1"/>
      <c r="QSU65" s="1"/>
      <c r="QSV65" s="1"/>
      <c r="QSW65" s="1"/>
      <c r="QSX65" s="1"/>
      <c r="QSY65" s="1"/>
      <c r="QSZ65" s="1"/>
      <c r="QTA65" s="1"/>
      <c r="QTB65" s="1"/>
      <c r="QTC65" s="1"/>
      <c r="QTD65" s="1"/>
      <c r="QTE65" s="1"/>
      <c r="QTF65" s="1"/>
      <c r="QTG65" s="1"/>
      <c r="QTH65" s="1"/>
      <c r="QTI65" s="1"/>
      <c r="QTJ65" s="1"/>
      <c r="QTK65" s="1"/>
      <c r="QTL65" s="1"/>
      <c r="QTM65" s="1"/>
      <c r="QTN65" s="1"/>
      <c r="QTO65" s="1"/>
      <c r="QTP65" s="1"/>
      <c r="QTQ65" s="1"/>
      <c r="QTR65" s="1"/>
      <c r="QTS65" s="1"/>
      <c r="QTT65" s="1"/>
      <c r="QTU65" s="1"/>
      <c r="QTV65" s="1"/>
      <c r="QTW65" s="1"/>
      <c r="QTX65" s="1"/>
      <c r="QTY65" s="1"/>
      <c r="QTZ65" s="1"/>
      <c r="QUA65" s="1"/>
      <c r="QUB65" s="1"/>
      <c r="QUC65" s="1"/>
      <c r="QUD65" s="1"/>
      <c r="QUE65" s="1"/>
      <c r="QUF65" s="1"/>
      <c r="QUG65" s="1"/>
      <c r="QUH65" s="1"/>
      <c r="QUI65" s="1"/>
      <c r="QUJ65" s="1"/>
      <c r="QUK65" s="1"/>
      <c r="QUL65" s="1"/>
      <c r="QUM65" s="1"/>
      <c r="QUN65" s="1"/>
      <c r="QUO65" s="1"/>
      <c r="QUP65" s="1"/>
      <c r="QUQ65" s="1"/>
      <c r="QUR65" s="1"/>
      <c r="QUS65" s="1"/>
      <c r="QUT65" s="1"/>
      <c r="QUU65" s="1"/>
      <c r="QUV65" s="1"/>
      <c r="QUW65" s="1"/>
      <c r="QUX65" s="1"/>
      <c r="QUY65" s="1"/>
      <c r="QUZ65" s="1"/>
      <c r="QVA65" s="1"/>
      <c r="QVB65" s="1"/>
      <c r="QVC65" s="1"/>
      <c r="QVD65" s="1"/>
      <c r="QVE65" s="1"/>
      <c r="QVF65" s="1"/>
      <c r="QVG65" s="1"/>
      <c r="QVH65" s="1"/>
      <c r="QVI65" s="1"/>
      <c r="QVJ65" s="1"/>
      <c r="QVK65" s="1"/>
      <c r="QVL65" s="1"/>
      <c r="QVM65" s="1"/>
      <c r="QVN65" s="1"/>
      <c r="QVO65" s="1"/>
      <c r="QVP65" s="1"/>
      <c r="QVQ65" s="1"/>
      <c r="QVR65" s="1"/>
      <c r="QVS65" s="1"/>
      <c r="QVT65" s="1"/>
      <c r="QVU65" s="1"/>
      <c r="QVV65" s="1"/>
      <c r="QVW65" s="1"/>
      <c r="QVX65" s="1"/>
      <c r="QVY65" s="1"/>
      <c r="QVZ65" s="1"/>
      <c r="QWA65" s="1"/>
      <c r="QWB65" s="1"/>
      <c r="QWC65" s="1"/>
      <c r="QWD65" s="1"/>
      <c r="QWE65" s="1"/>
      <c r="QWF65" s="1"/>
      <c r="QWG65" s="1"/>
      <c r="QWH65" s="1"/>
      <c r="QWI65" s="1"/>
      <c r="QWJ65" s="1"/>
      <c r="QWK65" s="1"/>
      <c r="QWL65" s="1"/>
      <c r="QWM65" s="1"/>
      <c r="QWN65" s="1"/>
      <c r="QWO65" s="1"/>
      <c r="QWP65" s="1"/>
      <c r="QWQ65" s="1"/>
      <c r="QWR65" s="1"/>
      <c r="QWS65" s="1"/>
      <c r="QWT65" s="1"/>
      <c r="QWU65" s="1"/>
      <c r="QWV65" s="1"/>
      <c r="QWW65" s="1"/>
      <c r="QWX65" s="1"/>
      <c r="QWY65" s="1"/>
      <c r="QWZ65" s="1"/>
      <c r="QXA65" s="1"/>
      <c r="QXB65" s="1"/>
      <c r="QXC65" s="1"/>
      <c r="QXD65" s="1"/>
      <c r="QXE65" s="1"/>
      <c r="QXF65" s="1"/>
      <c r="QXG65" s="1"/>
      <c r="QXH65" s="1"/>
      <c r="QXI65" s="1"/>
      <c r="QXJ65" s="1"/>
      <c r="QXK65" s="1"/>
      <c r="QXL65" s="1"/>
      <c r="QXM65" s="1"/>
      <c r="QXN65" s="1"/>
      <c r="QXO65" s="1"/>
      <c r="QXP65" s="1"/>
      <c r="QXQ65" s="1"/>
      <c r="QXR65" s="1"/>
      <c r="QXS65" s="1"/>
      <c r="QXT65" s="1"/>
      <c r="QXU65" s="1"/>
      <c r="QXV65" s="1"/>
      <c r="QXW65" s="1"/>
      <c r="QXX65" s="1"/>
      <c r="QXY65" s="1"/>
      <c r="QXZ65" s="1"/>
      <c r="QYA65" s="1"/>
      <c r="QYB65" s="1"/>
      <c r="QYC65" s="1"/>
      <c r="QYD65" s="1"/>
      <c r="QYE65" s="1"/>
      <c r="QYF65" s="1"/>
      <c r="QYG65" s="1"/>
      <c r="QYH65" s="1"/>
      <c r="QYI65" s="1"/>
      <c r="QYJ65" s="1"/>
      <c r="QYK65" s="1"/>
      <c r="QYL65" s="1"/>
      <c r="QYM65" s="1"/>
      <c r="QYN65" s="1"/>
      <c r="QYO65" s="1"/>
      <c r="QYP65" s="1"/>
      <c r="QYQ65" s="1"/>
      <c r="QYR65" s="1"/>
      <c r="QYS65" s="1"/>
      <c r="QYT65" s="1"/>
      <c r="QYU65" s="1"/>
      <c r="QYV65" s="1"/>
      <c r="QYW65" s="1"/>
      <c r="QYX65" s="1"/>
      <c r="QYY65" s="1"/>
      <c r="QYZ65" s="1"/>
      <c r="QZA65" s="1"/>
      <c r="QZB65" s="1"/>
      <c r="QZC65" s="1"/>
      <c r="QZD65" s="1"/>
      <c r="QZE65" s="1"/>
      <c r="QZF65" s="1"/>
      <c r="QZG65" s="1"/>
      <c r="QZH65" s="1"/>
      <c r="QZI65" s="1"/>
      <c r="QZJ65" s="1"/>
      <c r="QZK65" s="1"/>
      <c r="QZL65" s="1"/>
      <c r="QZM65" s="1"/>
      <c r="QZN65" s="1"/>
      <c r="QZO65" s="1"/>
      <c r="QZP65" s="1"/>
      <c r="QZQ65" s="1"/>
      <c r="QZR65" s="1"/>
      <c r="QZS65" s="1"/>
      <c r="QZT65" s="1"/>
      <c r="QZU65" s="1"/>
      <c r="QZV65" s="1"/>
      <c r="QZW65" s="1"/>
      <c r="QZX65" s="1"/>
      <c r="QZY65" s="1"/>
      <c r="QZZ65" s="1"/>
      <c r="RAA65" s="1"/>
      <c r="RAB65" s="1"/>
      <c r="RAC65" s="1"/>
      <c r="RAD65" s="1"/>
      <c r="RAE65" s="1"/>
      <c r="RAF65" s="1"/>
      <c r="RAG65" s="1"/>
      <c r="RAH65" s="1"/>
      <c r="RAI65" s="1"/>
      <c r="RAJ65" s="1"/>
      <c r="RAK65" s="1"/>
      <c r="RAL65" s="1"/>
      <c r="RAM65" s="1"/>
      <c r="RAN65" s="1"/>
      <c r="RAO65" s="1"/>
      <c r="RAP65" s="1"/>
      <c r="RAQ65" s="1"/>
      <c r="RAR65" s="1"/>
      <c r="RAS65" s="1"/>
      <c r="RAT65" s="1"/>
      <c r="RAU65" s="1"/>
      <c r="RAV65" s="1"/>
      <c r="RAW65" s="1"/>
      <c r="RAX65" s="1"/>
      <c r="RAY65" s="1"/>
      <c r="RAZ65" s="1"/>
      <c r="RBA65" s="1"/>
      <c r="RBB65" s="1"/>
      <c r="RBC65" s="1"/>
      <c r="RBD65" s="1"/>
      <c r="RBE65" s="1"/>
      <c r="RBF65" s="1"/>
      <c r="RBG65" s="1"/>
      <c r="RBH65" s="1"/>
      <c r="RBI65" s="1"/>
      <c r="RBJ65" s="1"/>
      <c r="RBK65" s="1"/>
      <c r="RBL65" s="1"/>
      <c r="RBM65" s="1"/>
      <c r="RBN65" s="1"/>
      <c r="RBO65" s="1"/>
      <c r="RBP65" s="1"/>
      <c r="RBQ65" s="1"/>
      <c r="RBR65" s="1"/>
      <c r="RBS65" s="1"/>
      <c r="RBT65" s="1"/>
      <c r="RBU65" s="1"/>
      <c r="RBV65" s="1"/>
      <c r="RBW65" s="1"/>
      <c r="RBX65" s="1"/>
      <c r="RBY65" s="1"/>
      <c r="RBZ65" s="1"/>
      <c r="RCA65" s="1"/>
      <c r="RCB65" s="1"/>
      <c r="RCC65" s="1"/>
      <c r="RCD65" s="1"/>
      <c r="RCE65" s="1"/>
      <c r="RCF65" s="1"/>
      <c r="RCG65" s="1"/>
      <c r="RCH65" s="1"/>
      <c r="RCI65" s="1"/>
      <c r="RCJ65" s="1"/>
      <c r="RCK65" s="1"/>
      <c r="RCL65" s="1"/>
      <c r="RCM65" s="1"/>
      <c r="RCN65" s="1"/>
      <c r="RCO65" s="1"/>
      <c r="RCP65" s="1"/>
      <c r="RCQ65" s="1"/>
      <c r="RCR65" s="1"/>
      <c r="RCS65" s="1"/>
      <c r="RCT65" s="1"/>
      <c r="RCU65" s="1"/>
      <c r="RCV65" s="1"/>
      <c r="RCW65" s="1"/>
      <c r="RCX65" s="1"/>
      <c r="RCY65" s="1"/>
      <c r="RCZ65" s="1"/>
      <c r="RDA65" s="1"/>
      <c r="RDB65" s="1"/>
      <c r="RDC65" s="1"/>
      <c r="RDD65" s="1"/>
      <c r="RDE65" s="1"/>
      <c r="RDF65" s="1"/>
      <c r="RDG65" s="1"/>
      <c r="RDH65" s="1"/>
      <c r="RDI65" s="1"/>
      <c r="RDJ65" s="1"/>
      <c r="RDK65" s="1"/>
      <c r="RDL65" s="1"/>
      <c r="RDM65" s="1"/>
      <c r="RDN65" s="1"/>
      <c r="RDO65" s="1"/>
      <c r="RDP65" s="1"/>
      <c r="RDQ65" s="1"/>
      <c r="RDR65" s="1"/>
      <c r="RDS65" s="1"/>
      <c r="RDT65" s="1"/>
      <c r="RDU65" s="1"/>
      <c r="RDV65" s="1"/>
      <c r="RDW65" s="1"/>
      <c r="RDX65" s="1"/>
      <c r="RDY65" s="1"/>
      <c r="RDZ65" s="1"/>
      <c r="REA65" s="1"/>
      <c r="REB65" s="1"/>
      <c r="REC65" s="1"/>
      <c r="RED65" s="1"/>
      <c r="REE65" s="1"/>
      <c r="REF65" s="1"/>
      <c r="REG65" s="1"/>
      <c r="REH65" s="1"/>
      <c r="REI65" s="1"/>
      <c r="REJ65" s="1"/>
      <c r="REK65" s="1"/>
      <c r="REL65" s="1"/>
      <c r="REM65" s="1"/>
      <c r="REN65" s="1"/>
      <c r="REO65" s="1"/>
      <c r="REP65" s="1"/>
      <c r="REQ65" s="1"/>
      <c r="RER65" s="1"/>
      <c r="RES65" s="1"/>
      <c r="RET65" s="1"/>
      <c r="REU65" s="1"/>
      <c r="REV65" s="1"/>
      <c r="REW65" s="1"/>
      <c r="REX65" s="1"/>
      <c r="REY65" s="1"/>
      <c r="REZ65" s="1"/>
      <c r="RFA65" s="1"/>
      <c r="RFB65" s="1"/>
      <c r="RFC65" s="1"/>
      <c r="RFD65" s="1"/>
      <c r="RFE65" s="1"/>
      <c r="RFF65" s="1"/>
      <c r="RFG65" s="1"/>
      <c r="RFH65" s="1"/>
      <c r="RFI65" s="1"/>
      <c r="RFJ65" s="1"/>
      <c r="RFK65" s="1"/>
      <c r="RFL65" s="1"/>
      <c r="RFM65" s="1"/>
      <c r="RFN65" s="1"/>
      <c r="RFO65" s="1"/>
      <c r="RFP65" s="1"/>
      <c r="RFQ65" s="1"/>
      <c r="RFR65" s="1"/>
      <c r="RFS65" s="1"/>
      <c r="RFT65" s="1"/>
      <c r="RFU65" s="1"/>
      <c r="RFV65" s="1"/>
      <c r="RFW65" s="1"/>
      <c r="RFX65" s="1"/>
      <c r="RFY65" s="1"/>
      <c r="RFZ65" s="1"/>
      <c r="RGA65" s="1"/>
      <c r="RGB65" s="1"/>
      <c r="RGC65" s="1"/>
      <c r="RGD65" s="1"/>
      <c r="RGE65" s="1"/>
      <c r="RGF65" s="1"/>
      <c r="RGG65" s="1"/>
      <c r="RGH65" s="1"/>
      <c r="RGI65" s="1"/>
      <c r="RGJ65" s="1"/>
      <c r="RGK65" s="1"/>
      <c r="RGL65" s="1"/>
      <c r="RGM65" s="1"/>
      <c r="RGN65" s="1"/>
      <c r="RGO65" s="1"/>
      <c r="RGP65" s="1"/>
      <c r="RGQ65" s="1"/>
      <c r="RGR65" s="1"/>
      <c r="RGS65" s="1"/>
      <c r="RGT65" s="1"/>
      <c r="RGU65" s="1"/>
      <c r="RGV65" s="1"/>
      <c r="RGW65" s="1"/>
      <c r="RGX65" s="1"/>
      <c r="RGY65" s="1"/>
      <c r="RGZ65" s="1"/>
      <c r="RHA65" s="1"/>
      <c r="RHB65" s="1"/>
      <c r="RHC65" s="1"/>
      <c r="RHD65" s="1"/>
      <c r="RHE65" s="1"/>
      <c r="RHF65" s="1"/>
      <c r="RHG65" s="1"/>
      <c r="RHH65" s="1"/>
      <c r="RHI65" s="1"/>
      <c r="RHJ65" s="1"/>
      <c r="RHK65" s="1"/>
      <c r="RHL65" s="1"/>
      <c r="RHM65" s="1"/>
      <c r="RHN65" s="1"/>
      <c r="RHO65" s="1"/>
      <c r="RHP65" s="1"/>
      <c r="RHQ65" s="1"/>
      <c r="RHR65" s="1"/>
      <c r="RHS65" s="1"/>
      <c r="RHT65" s="1"/>
      <c r="RHU65" s="1"/>
      <c r="RHV65" s="1"/>
      <c r="RHW65" s="1"/>
      <c r="RHX65" s="1"/>
      <c r="RHY65" s="1"/>
      <c r="RHZ65" s="1"/>
      <c r="RIA65" s="1"/>
      <c r="RIB65" s="1"/>
      <c r="RIC65" s="1"/>
      <c r="RID65" s="1"/>
      <c r="RIE65" s="1"/>
      <c r="RIF65" s="1"/>
      <c r="RIG65" s="1"/>
      <c r="RIH65" s="1"/>
      <c r="RII65" s="1"/>
      <c r="RIJ65" s="1"/>
      <c r="RIK65" s="1"/>
      <c r="RIL65" s="1"/>
      <c r="RIM65" s="1"/>
      <c r="RIN65" s="1"/>
      <c r="RIO65" s="1"/>
      <c r="RIP65" s="1"/>
      <c r="RIQ65" s="1"/>
      <c r="RIR65" s="1"/>
      <c r="RIS65" s="1"/>
      <c r="RIT65" s="1"/>
      <c r="RIU65" s="1"/>
      <c r="RIV65" s="1"/>
      <c r="RIW65" s="1"/>
      <c r="RIX65" s="1"/>
      <c r="RIY65" s="1"/>
      <c r="RIZ65" s="1"/>
      <c r="RJA65" s="1"/>
      <c r="RJB65" s="1"/>
      <c r="RJC65" s="1"/>
      <c r="RJD65" s="1"/>
      <c r="RJE65" s="1"/>
      <c r="RJF65" s="1"/>
      <c r="RJG65" s="1"/>
      <c r="RJH65" s="1"/>
      <c r="RJI65" s="1"/>
      <c r="RJJ65" s="1"/>
      <c r="RJK65" s="1"/>
      <c r="RJL65" s="1"/>
      <c r="RJM65" s="1"/>
      <c r="RJN65" s="1"/>
      <c r="RJO65" s="1"/>
      <c r="RJP65" s="1"/>
      <c r="RJQ65" s="1"/>
      <c r="RJR65" s="1"/>
      <c r="RJS65" s="1"/>
      <c r="RJT65" s="1"/>
      <c r="RJU65" s="1"/>
      <c r="RJV65" s="1"/>
      <c r="RJW65" s="1"/>
      <c r="RJX65" s="1"/>
      <c r="RJY65" s="1"/>
      <c r="RJZ65" s="1"/>
      <c r="RKA65" s="1"/>
      <c r="RKB65" s="1"/>
      <c r="RKC65" s="1"/>
      <c r="RKD65" s="1"/>
      <c r="RKE65" s="1"/>
      <c r="RKF65" s="1"/>
      <c r="RKG65" s="1"/>
      <c r="RKH65" s="1"/>
      <c r="RKI65" s="1"/>
      <c r="RKJ65" s="1"/>
      <c r="RKK65" s="1"/>
      <c r="RKL65" s="1"/>
      <c r="RKM65" s="1"/>
      <c r="RKN65" s="1"/>
      <c r="RKO65" s="1"/>
      <c r="RKP65" s="1"/>
      <c r="RKQ65" s="1"/>
      <c r="RKR65" s="1"/>
      <c r="RKS65" s="1"/>
      <c r="RKT65" s="1"/>
      <c r="RKU65" s="1"/>
      <c r="RKV65" s="1"/>
      <c r="RKW65" s="1"/>
      <c r="RKX65" s="1"/>
      <c r="RKY65" s="1"/>
      <c r="RKZ65" s="1"/>
      <c r="RLA65" s="1"/>
      <c r="RLB65" s="1"/>
      <c r="RLC65" s="1"/>
      <c r="RLD65" s="1"/>
      <c r="RLE65" s="1"/>
      <c r="RLF65" s="1"/>
      <c r="RLG65" s="1"/>
      <c r="RLH65" s="1"/>
      <c r="RLI65" s="1"/>
      <c r="RLJ65" s="1"/>
      <c r="RLK65" s="1"/>
      <c r="RLL65" s="1"/>
      <c r="RLM65" s="1"/>
      <c r="RLN65" s="1"/>
      <c r="RLO65" s="1"/>
      <c r="RLP65" s="1"/>
      <c r="RLQ65" s="1"/>
      <c r="RLR65" s="1"/>
      <c r="RLS65" s="1"/>
      <c r="RLT65" s="1"/>
      <c r="RLU65" s="1"/>
      <c r="RLV65" s="1"/>
      <c r="RLW65" s="1"/>
      <c r="RLX65" s="1"/>
      <c r="RLY65" s="1"/>
      <c r="RLZ65" s="1"/>
      <c r="RMA65" s="1"/>
      <c r="RMB65" s="1"/>
      <c r="RMC65" s="1"/>
      <c r="RMD65" s="1"/>
      <c r="RME65" s="1"/>
      <c r="RMF65" s="1"/>
      <c r="RMG65" s="1"/>
      <c r="RMH65" s="1"/>
      <c r="RMI65" s="1"/>
      <c r="RMJ65" s="1"/>
      <c r="RMK65" s="1"/>
      <c r="RML65" s="1"/>
      <c r="RMM65" s="1"/>
      <c r="RMN65" s="1"/>
      <c r="RMO65" s="1"/>
      <c r="RMP65" s="1"/>
      <c r="RMQ65" s="1"/>
      <c r="RMR65" s="1"/>
      <c r="RMS65" s="1"/>
      <c r="RMT65" s="1"/>
      <c r="RMU65" s="1"/>
      <c r="RMV65" s="1"/>
      <c r="RMW65" s="1"/>
      <c r="RMX65" s="1"/>
      <c r="RMY65" s="1"/>
      <c r="RMZ65" s="1"/>
      <c r="RNA65" s="1"/>
      <c r="RNB65" s="1"/>
      <c r="RNC65" s="1"/>
      <c r="RND65" s="1"/>
      <c r="RNE65" s="1"/>
      <c r="RNF65" s="1"/>
      <c r="RNG65" s="1"/>
      <c r="RNH65" s="1"/>
      <c r="RNI65" s="1"/>
      <c r="RNJ65" s="1"/>
      <c r="RNK65" s="1"/>
      <c r="RNL65" s="1"/>
      <c r="RNM65" s="1"/>
      <c r="RNN65" s="1"/>
      <c r="RNO65" s="1"/>
      <c r="RNP65" s="1"/>
      <c r="RNQ65" s="1"/>
      <c r="RNR65" s="1"/>
      <c r="RNS65" s="1"/>
      <c r="RNT65" s="1"/>
      <c r="RNU65" s="1"/>
      <c r="RNV65" s="1"/>
      <c r="RNW65" s="1"/>
      <c r="RNX65" s="1"/>
      <c r="RNY65" s="1"/>
      <c r="RNZ65" s="1"/>
      <c r="ROA65" s="1"/>
      <c r="ROB65" s="1"/>
      <c r="ROC65" s="1"/>
      <c r="ROD65" s="1"/>
      <c r="ROE65" s="1"/>
      <c r="ROF65" s="1"/>
      <c r="ROG65" s="1"/>
      <c r="ROH65" s="1"/>
      <c r="ROI65" s="1"/>
      <c r="ROJ65" s="1"/>
      <c r="ROK65" s="1"/>
      <c r="ROL65" s="1"/>
      <c r="ROM65" s="1"/>
      <c r="RON65" s="1"/>
      <c r="ROO65" s="1"/>
      <c r="ROP65" s="1"/>
      <c r="ROQ65" s="1"/>
      <c r="ROR65" s="1"/>
      <c r="ROS65" s="1"/>
      <c r="ROT65" s="1"/>
      <c r="ROU65" s="1"/>
      <c r="ROV65" s="1"/>
      <c r="ROW65" s="1"/>
      <c r="ROX65" s="1"/>
      <c r="ROY65" s="1"/>
      <c r="ROZ65" s="1"/>
      <c r="RPA65" s="1"/>
      <c r="RPB65" s="1"/>
      <c r="RPC65" s="1"/>
      <c r="RPD65" s="1"/>
      <c r="RPE65" s="1"/>
      <c r="RPF65" s="1"/>
      <c r="RPG65" s="1"/>
      <c r="RPH65" s="1"/>
      <c r="RPI65" s="1"/>
      <c r="RPJ65" s="1"/>
      <c r="RPK65" s="1"/>
      <c r="RPL65" s="1"/>
      <c r="RPM65" s="1"/>
      <c r="RPN65" s="1"/>
      <c r="RPO65" s="1"/>
      <c r="RPP65" s="1"/>
      <c r="RPQ65" s="1"/>
      <c r="RPR65" s="1"/>
      <c r="RPS65" s="1"/>
      <c r="RPT65" s="1"/>
      <c r="RPU65" s="1"/>
      <c r="RPV65" s="1"/>
      <c r="RPW65" s="1"/>
      <c r="RPX65" s="1"/>
      <c r="RPY65" s="1"/>
      <c r="RPZ65" s="1"/>
      <c r="RQA65" s="1"/>
      <c r="RQB65" s="1"/>
      <c r="RQC65" s="1"/>
      <c r="RQD65" s="1"/>
      <c r="RQE65" s="1"/>
      <c r="RQF65" s="1"/>
      <c r="RQG65" s="1"/>
      <c r="RQH65" s="1"/>
      <c r="RQI65" s="1"/>
      <c r="RQJ65" s="1"/>
      <c r="RQK65" s="1"/>
      <c r="RQL65" s="1"/>
      <c r="RQM65" s="1"/>
      <c r="RQN65" s="1"/>
      <c r="RQO65" s="1"/>
      <c r="RQP65" s="1"/>
      <c r="RQQ65" s="1"/>
      <c r="RQR65" s="1"/>
      <c r="RQS65" s="1"/>
      <c r="RQT65" s="1"/>
      <c r="RQU65" s="1"/>
      <c r="RQV65" s="1"/>
      <c r="RQW65" s="1"/>
      <c r="RQX65" s="1"/>
      <c r="RQY65" s="1"/>
      <c r="RQZ65" s="1"/>
      <c r="RRA65" s="1"/>
      <c r="RRB65" s="1"/>
      <c r="RRC65" s="1"/>
      <c r="RRD65" s="1"/>
      <c r="RRE65" s="1"/>
      <c r="RRF65" s="1"/>
      <c r="RRG65" s="1"/>
      <c r="RRH65" s="1"/>
      <c r="RRI65" s="1"/>
      <c r="RRJ65" s="1"/>
      <c r="RRK65" s="1"/>
      <c r="RRL65" s="1"/>
      <c r="RRM65" s="1"/>
      <c r="RRN65" s="1"/>
      <c r="RRO65" s="1"/>
      <c r="RRP65" s="1"/>
      <c r="RRQ65" s="1"/>
      <c r="RRR65" s="1"/>
      <c r="RRS65" s="1"/>
      <c r="RRT65" s="1"/>
      <c r="RRU65" s="1"/>
      <c r="RRV65" s="1"/>
      <c r="RRW65" s="1"/>
      <c r="RRX65" s="1"/>
      <c r="RRY65" s="1"/>
      <c r="RRZ65" s="1"/>
      <c r="RSA65" s="1"/>
      <c r="RSB65" s="1"/>
      <c r="RSC65" s="1"/>
      <c r="RSD65" s="1"/>
      <c r="RSE65" s="1"/>
      <c r="RSF65" s="1"/>
      <c r="RSG65" s="1"/>
      <c r="RSH65" s="1"/>
      <c r="RSI65" s="1"/>
      <c r="RSJ65" s="1"/>
      <c r="RSK65" s="1"/>
      <c r="RSL65" s="1"/>
      <c r="RSM65" s="1"/>
      <c r="RSN65" s="1"/>
      <c r="RSO65" s="1"/>
      <c r="RSP65" s="1"/>
      <c r="RSQ65" s="1"/>
      <c r="RSR65" s="1"/>
      <c r="RSS65" s="1"/>
      <c r="RST65" s="1"/>
      <c r="RSU65" s="1"/>
      <c r="RSV65" s="1"/>
      <c r="RSW65" s="1"/>
      <c r="RSX65" s="1"/>
      <c r="RSY65" s="1"/>
      <c r="RSZ65" s="1"/>
      <c r="RTA65" s="1"/>
      <c r="RTB65" s="1"/>
      <c r="RTC65" s="1"/>
      <c r="RTD65" s="1"/>
      <c r="RTE65" s="1"/>
      <c r="RTF65" s="1"/>
      <c r="RTG65" s="1"/>
      <c r="RTH65" s="1"/>
      <c r="RTI65" s="1"/>
      <c r="RTJ65" s="1"/>
      <c r="RTK65" s="1"/>
      <c r="RTL65" s="1"/>
      <c r="RTM65" s="1"/>
      <c r="RTN65" s="1"/>
      <c r="RTO65" s="1"/>
      <c r="RTP65" s="1"/>
      <c r="RTQ65" s="1"/>
      <c r="RTR65" s="1"/>
      <c r="RTS65" s="1"/>
      <c r="RTT65" s="1"/>
      <c r="RTU65" s="1"/>
      <c r="RTV65" s="1"/>
      <c r="RTW65" s="1"/>
      <c r="RTX65" s="1"/>
      <c r="RTY65" s="1"/>
      <c r="RTZ65" s="1"/>
      <c r="RUA65" s="1"/>
      <c r="RUB65" s="1"/>
      <c r="RUC65" s="1"/>
      <c r="RUD65" s="1"/>
      <c r="RUE65" s="1"/>
      <c r="RUF65" s="1"/>
      <c r="RUG65" s="1"/>
      <c r="RUH65" s="1"/>
      <c r="RUI65" s="1"/>
      <c r="RUJ65" s="1"/>
      <c r="RUK65" s="1"/>
      <c r="RUL65" s="1"/>
      <c r="RUM65" s="1"/>
      <c r="RUN65" s="1"/>
      <c r="RUO65" s="1"/>
      <c r="RUP65" s="1"/>
      <c r="RUQ65" s="1"/>
      <c r="RUR65" s="1"/>
      <c r="RUS65" s="1"/>
      <c r="RUT65" s="1"/>
      <c r="RUU65" s="1"/>
      <c r="RUV65" s="1"/>
      <c r="RUW65" s="1"/>
      <c r="RUX65" s="1"/>
      <c r="RUY65" s="1"/>
      <c r="RUZ65" s="1"/>
      <c r="RVA65" s="1"/>
      <c r="RVB65" s="1"/>
      <c r="RVC65" s="1"/>
      <c r="RVD65" s="1"/>
      <c r="RVE65" s="1"/>
      <c r="RVF65" s="1"/>
      <c r="RVG65" s="1"/>
      <c r="RVH65" s="1"/>
      <c r="RVI65" s="1"/>
      <c r="RVJ65" s="1"/>
      <c r="RVK65" s="1"/>
      <c r="RVL65" s="1"/>
      <c r="RVM65" s="1"/>
      <c r="RVN65" s="1"/>
      <c r="RVO65" s="1"/>
      <c r="RVP65" s="1"/>
      <c r="RVQ65" s="1"/>
      <c r="RVR65" s="1"/>
      <c r="RVS65" s="1"/>
      <c r="RVT65" s="1"/>
      <c r="RVU65" s="1"/>
      <c r="RVV65" s="1"/>
      <c r="RVW65" s="1"/>
      <c r="RVX65" s="1"/>
      <c r="RVY65" s="1"/>
      <c r="RVZ65" s="1"/>
      <c r="RWA65" s="1"/>
      <c r="RWB65" s="1"/>
      <c r="RWC65" s="1"/>
      <c r="RWD65" s="1"/>
      <c r="RWE65" s="1"/>
      <c r="RWF65" s="1"/>
      <c r="RWG65" s="1"/>
      <c r="RWH65" s="1"/>
      <c r="RWI65" s="1"/>
      <c r="RWJ65" s="1"/>
      <c r="RWK65" s="1"/>
      <c r="RWL65" s="1"/>
      <c r="RWM65" s="1"/>
      <c r="RWN65" s="1"/>
      <c r="RWO65" s="1"/>
      <c r="RWP65" s="1"/>
      <c r="RWQ65" s="1"/>
      <c r="RWR65" s="1"/>
      <c r="RWS65" s="1"/>
      <c r="RWT65" s="1"/>
      <c r="RWU65" s="1"/>
      <c r="RWV65" s="1"/>
      <c r="RWW65" s="1"/>
      <c r="RWX65" s="1"/>
      <c r="RWY65" s="1"/>
      <c r="RWZ65" s="1"/>
      <c r="RXA65" s="1"/>
      <c r="RXB65" s="1"/>
      <c r="RXC65" s="1"/>
      <c r="RXD65" s="1"/>
      <c r="RXE65" s="1"/>
      <c r="RXF65" s="1"/>
      <c r="RXG65" s="1"/>
      <c r="RXH65" s="1"/>
      <c r="RXI65" s="1"/>
      <c r="RXJ65" s="1"/>
      <c r="RXK65" s="1"/>
      <c r="RXL65" s="1"/>
      <c r="RXM65" s="1"/>
      <c r="RXN65" s="1"/>
      <c r="RXO65" s="1"/>
      <c r="RXP65" s="1"/>
      <c r="RXQ65" s="1"/>
      <c r="RXR65" s="1"/>
      <c r="RXS65" s="1"/>
      <c r="RXT65" s="1"/>
      <c r="RXU65" s="1"/>
      <c r="RXV65" s="1"/>
      <c r="RXW65" s="1"/>
      <c r="RXX65" s="1"/>
      <c r="RXY65" s="1"/>
      <c r="RXZ65" s="1"/>
      <c r="RYA65" s="1"/>
      <c r="RYB65" s="1"/>
      <c r="RYC65" s="1"/>
      <c r="RYD65" s="1"/>
      <c r="RYE65" s="1"/>
      <c r="RYF65" s="1"/>
      <c r="RYG65" s="1"/>
      <c r="RYH65" s="1"/>
      <c r="RYI65" s="1"/>
      <c r="RYJ65" s="1"/>
      <c r="RYK65" s="1"/>
      <c r="RYL65" s="1"/>
      <c r="RYM65" s="1"/>
      <c r="RYN65" s="1"/>
      <c r="RYO65" s="1"/>
      <c r="RYP65" s="1"/>
      <c r="RYQ65" s="1"/>
      <c r="RYR65" s="1"/>
      <c r="RYS65" s="1"/>
      <c r="RYT65" s="1"/>
      <c r="RYU65" s="1"/>
      <c r="RYV65" s="1"/>
      <c r="RYW65" s="1"/>
      <c r="RYX65" s="1"/>
      <c r="RYY65" s="1"/>
      <c r="RYZ65" s="1"/>
      <c r="RZA65" s="1"/>
      <c r="RZB65" s="1"/>
      <c r="RZC65" s="1"/>
      <c r="RZD65" s="1"/>
      <c r="RZE65" s="1"/>
      <c r="RZF65" s="1"/>
      <c r="RZG65" s="1"/>
      <c r="RZH65" s="1"/>
      <c r="RZI65" s="1"/>
      <c r="RZJ65" s="1"/>
      <c r="RZK65" s="1"/>
      <c r="RZL65" s="1"/>
      <c r="RZM65" s="1"/>
      <c r="RZN65" s="1"/>
      <c r="RZO65" s="1"/>
      <c r="RZP65" s="1"/>
      <c r="RZQ65" s="1"/>
      <c r="RZR65" s="1"/>
      <c r="RZS65" s="1"/>
      <c r="RZT65" s="1"/>
      <c r="RZU65" s="1"/>
      <c r="RZV65" s="1"/>
      <c r="RZW65" s="1"/>
      <c r="RZX65" s="1"/>
      <c r="RZY65" s="1"/>
      <c r="RZZ65" s="1"/>
      <c r="SAA65" s="1"/>
      <c r="SAB65" s="1"/>
      <c r="SAC65" s="1"/>
      <c r="SAD65" s="1"/>
      <c r="SAE65" s="1"/>
      <c r="SAF65" s="1"/>
      <c r="SAG65" s="1"/>
      <c r="SAH65" s="1"/>
      <c r="SAI65" s="1"/>
      <c r="SAJ65" s="1"/>
      <c r="SAK65" s="1"/>
      <c r="SAL65" s="1"/>
      <c r="SAM65" s="1"/>
      <c r="SAN65" s="1"/>
      <c r="SAO65" s="1"/>
      <c r="SAP65" s="1"/>
      <c r="SAQ65" s="1"/>
      <c r="SAR65" s="1"/>
      <c r="SAS65" s="1"/>
      <c r="SAT65" s="1"/>
      <c r="SAU65" s="1"/>
      <c r="SAV65" s="1"/>
      <c r="SAW65" s="1"/>
      <c r="SAX65" s="1"/>
      <c r="SAY65" s="1"/>
      <c r="SAZ65" s="1"/>
      <c r="SBA65" s="1"/>
      <c r="SBB65" s="1"/>
      <c r="SBC65" s="1"/>
      <c r="SBD65" s="1"/>
      <c r="SBE65" s="1"/>
      <c r="SBF65" s="1"/>
      <c r="SBG65" s="1"/>
      <c r="SBH65" s="1"/>
      <c r="SBI65" s="1"/>
      <c r="SBJ65" s="1"/>
      <c r="SBK65" s="1"/>
      <c r="SBL65" s="1"/>
      <c r="SBM65" s="1"/>
      <c r="SBN65" s="1"/>
      <c r="SBO65" s="1"/>
      <c r="SBP65" s="1"/>
      <c r="SBQ65" s="1"/>
      <c r="SBR65" s="1"/>
      <c r="SBS65" s="1"/>
      <c r="SBT65" s="1"/>
      <c r="SBU65" s="1"/>
      <c r="SBV65" s="1"/>
      <c r="SBW65" s="1"/>
      <c r="SBX65" s="1"/>
      <c r="SBY65" s="1"/>
      <c r="SBZ65" s="1"/>
      <c r="SCA65" s="1"/>
      <c r="SCB65" s="1"/>
      <c r="SCC65" s="1"/>
      <c r="SCD65" s="1"/>
      <c r="SCE65" s="1"/>
      <c r="SCF65" s="1"/>
      <c r="SCG65" s="1"/>
      <c r="SCH65" s="1"/>
      <c r="SCI65" s="1"/>
      <c r="SCJ65" s="1"/>
      <c r="SCK65" s="1"/>
      <c r="SCL65" s="1"/>
      <c r="SCM65" s="1"/>
      <c r="SCN65" s="1"/>
      <c r="SCO65" s="1"/>
      <c r="SCP65" s="1"/>
      <c r="SCQ65" s="1"/>
      <c r="SCR65" s="1"/>
      <c r="SCS65" s="1"/>
      <c r="SCT65" s="1"/>
      <c r="SCU65" s="1"/>
      <c r="SCV65" s="1"/>
      <c r="SCW65" s="1"/>
      <c r="SCX65" s="1"/>
      <c r="SCY65" s="1"/>
      <c r="SCZ65" s="1"/>
      <c r="SDA65" s="1"/>
      <c r="SDB65" s="1"/>
      <c r="SDC65" s="1"/>
      <c r="SDD65" s="1"/>
      <c r="SDE65" s="1"/>
      <c r="SDF65" s="1"/>
      <c r="SDG65" s="1"/>
      <c r="SDH65" s="1"/>
      <c r="SDI65" s="1"/>
      <c r="SDJ65" s="1"/>
      <c r="SDK65" s="1"/>
      <c r="SDL65" s="1"/>
      <c r="SDM65" s="1"/>
      <c r="SDN65" s="1"/>
      <c r="SDO65" s="1"/>
      <c r="SDP65" s="1"/>
      <c r="SDQ65" s="1"/>
      <c r="SDR65" s="1"/>
      <c r="SDS65" s="1"/>
      <c r="SDT65" s="1"/>
      <c r="SDU65" s="1"/>
      <c r="SDV65" s="1"/>
      <c r="SDW65" s="1"/>
      <c r="SDX65" s="1"/>
      <c r="SDY65" s="1"/>
      <c r="SDZ65" s="1"/>
      <c r="SEA65" s="1"/>
      <c r="SEB65" s="1"/>
      <c r="SEC65" s="1"/>
      <c r="SED65" s="1"/>
      <c r="SEE65" s="1"/>
      <c r="SEF65" s="1"/>
      <c r="SEG65" s="1"/>
      <c r="SEH65" s="1"/>
      <c r="SEI65" s="1"/>
      <c r="SEJ65" s="1"/>
      <c r="SEK65" s="1"/>
      <c r="SEL65" s="1"/>
      <c r="SEM65" s="1"/>
      <c r="SEN65" s="1"/>
      <c r="SEO65" s="1"/>
      <c r="SEP65" s="1"/>
      <c r="SEQ65" s="1"/>
      <c r="SER65" s="1"/>
      <c r="SES65" s="1"/>
      <c r="SET65" s="1"/>
      <c r="SEU65" s="1"/>
      <c r="SEV65" s="1"/>
      <c r="SEW65" s="1"/>
      <c r="SEX65" s="1"/>
      <c r="SEY65" s="1"/>
      <c r="SEZ65" s="1"/>
      <c r="SFA65" s="1"/>
      <c r="SFB65" s="1"/>
      <c r="SFC65" s="1"/>
      <c r="SFD65" s="1"/>
      <c r="SFE65" s="1"/>
      <c r="SFF65" s="1"/>
      <c r="SFG65" s="1"/>
      <c r="SFH65" s="1"/>
      <c r="SFI65" s="1"/>
      <c r="SFJ65" s="1"/>
      <c r="SFK65" s="1"/>
      <c r="SFL65" s="1"/>
      <c r="SFM65" s="1"/>
      <c r="SFN65" s="1"/>
      <c r="SFO65" s="1"/>
      <c r="SFP65" s="1"/>
      <c r="SFQ65" s="1"/>
      <c r="SFR65" s="1"/>
      <c r="SFS65" s="1"/>
      <c r="SFT65" s="1"/>
      <c r="SFU65" s="1"/>
      <c r="SFV65" s="1"/>
      <c r="SFW65" s="1"/>
      <c r="SFX65" s="1"/>
      <c r="SFY65" s="1"/>
      <c r="SFZ65" s="1"/>
      <c r="SGA65" s="1"/>
      <c r="SGB65" s="1"/>
      <c r="SGC65" s="1"/>
      <c r="SGD65" s="1"/>
      <c r="SGE65" s="1"/>
      <c r="SGF65" s="1"/>
      <c r="SGG65" s="1"/>
      <c r="SGH65" s="1"/>
      <c r="SGI65" s="1"/>
      <c r="SGJ65" s="1"/>
      <c r="SGK65" s="1"/>
      <c r="SGL65" s="1"/>
      <c r="SGM65" s="1"/>
      <c r="SGN65" s="1"/>
      <c r="SGO65" s="1"/>
      <c r="SGP65" s="1"/>
      <c r="SGQ65" s="1"/>
      <c r="SGR65" s="1"/>
      <c r="SGS65" s="1"/>
      <c r="SGT65" s="1"/>
      <c r="SGU65" s="1"/>
      <c r="SGV65" s="1"/>
      <c r="SGW65" s="1"/>
      <c r="SGX65" s="1"/>
      <c r="SGY65" s="1"/>
      <c r="SGZ65" s="1"/>
      <c r="SHA65" s="1"/>
      <c r="SHB65" s="1"/>
      <c r="SHC65" s="1"/>
      <c r="SHD65" s="1"/>
      <c r="SHE65" s="1"/>
      <c r="SHF65" s="1"/>
      <c r="SHG65" s="1"/>
      <c r="SHH65" s="1"/>
      <c r="SHI65" s="1"/>
      <c r="SHJ65" s="1"/>
      <c r="SHK65" s="1"/>
      <c r="SHL65" s="1"/>
      <c r="SHM65" s="1"/>
      <c r="SHN65" s="1"/>
      <c r="SHO65" s="1"/>
      <c r="SHP65" s="1"/>
      <c r="SHQ65" s="1"/>
      <c r="SHR65" s="1"/>
      <c r="SHS65" s="1"/>
      <c r="SHT65" s="1"/>
      <c r="SHU65" s="1"/>
      <c r="SHV65" s="1"/>
      <c r="SHW65" s="1"/>
      <c r="SHX65" s="1"/>
      <c r="SHY65" s="1"/>
      <c r="SHZ65" s="1"/>
      <c r="SIA65" s="1"/>
      <c r="SIB65" s="1"/>
      <c r="SIC65" s="1"/>
      <c r="SID65" s="1"/>
      <c r="SIE65" s="1"/>
      <c r="SIF65" s="1"/>
      <c r="SIG65" s="1"/>
      <c r="SIH65" s="1"/>
      <c r="SII65" s="1"/>
      <c r="SIJ65" s="1"/>
      <c r="SIK65" s="1"/>
      <c r="SIL65" s="1"/>
      <c r="SIM65" s="1"/>
      <c r="SIN65" s="1"/>
      <c r="SIO65" s="1"/>
      <c r="SIP65" s="1"/>
      <c r="SIQ65" s="1"/>
      <c r="SIR65" s="1"/>
      <c r="SIS65" s="1"/>
      <c r="SIT65" s="1"/>
      <c r="SIU65" s="1"/>
      <c r="SIV65" s="1"/>
      <c r="SIW65" s="1"/>
      <c r="SIX65" s="1"/>
      <c r="SIY65" s="1"/>
      <c r="SIZ65" s="1"/>
      <c r="SJA65" s="1"/>
      <c r="SJB65" s="1"/>
      <c r="SJC65" s="1"/>
      <c r="SJD65" s="1"/>
      <c r="SJE65" s="1"/>
      <c r="SJF65" s="1"/>
      <c r="SJG65" s="1"/>
      <c r="SJH65" s="1"/>
      <c r="SJI65" s="1"/>
      <c r="SJJ65" s="1"/>
      <c r="SJK65" s="1"/>
      <c r="SJL65" s="1"/>
      <c r="SJM65" s="1"/>
      <c r="SJN65" s="1"/>
      <c r="SJO65" s="1"/>
      <c r="SJP65" s="1"/>
      <c r="SJQ65" s="1"/>
      <c r="SJR65" s="1"/>
      <c r="SJS65" s="1"/>
      <c r="SJT65" s="1"/>
      <c r="SJU65" s="1"/>
      <c r="SJV65" s="1"/>
      <c r="SJW65" s="1"/>
      <c r="SJX65" s="1"/>
      <c r="SJY65" s="1"/>
      <c r="SJZ65" s="1"/>
      <c r="SKA65" s="1"/>
      <c r="SKB65" s="1"/>
      <c r="SKC65" s="1"/>
      <c r="SKD65" s="1"/>
      <c r="SKE65" s="1"/>
      <c r="SKF65" s="1"/>
      <c r="SKG65" s="1"/>
      <c r="SKH65" s="1"/>
      <c r="SKI65" s="1"/>
      <c r="SKJ65" s="1"/>
      <c r="SKK65" s="1"/>
      <c r="SKL65" s="1"/>
      <c r="SKM65" s="1"/>
      <c r="SKN65" s="1"/>
      <c r="SKO65" s="1"/>
      <c r="SKP65" s="1"/>
      <c r="SKQ65" s="1"/>
      <c r="SKR65" s="1"/>
      <c r="SKS65" s="1"/>
      <c r="SKT65" s="1"/>
      <c r="SKU65" s="1"/>
      <c r="SKV65" s="1"/>
      <c r="SKW65" s="1"/>
      <c r="SKX65" s="1"/>
      <c r="SKY65" s="1"/>
      <c r="SKZ65" s="1"/>
      <c r="SLA65" s="1"/>
      <c r="SLB65" s="1"/>
      <c r="SLC65" s="1"/>
      <c r="SLD65" s="1"/>
      <c r="SLE65" s="1"/>
      <c r="SLF65" s="1"/>
      <c r="SLG65" s="1"/>
      <c r="SLH65" s="1"/>
      <c r="SLI65" s="1"/>
      <c r="SLJ65" s="1"/>
      <c r="SLK65" s="1"/>
      <c r="SLL65" s="1"/>
      <c r="SLM65" s="1"/>
      <c r="SLN65" s="1"/>
      <c r="SLO65" s="1"/>
      <c r="SLP65" s="1"/>
      <c r="SLQ65" s="1"/>
      <c r="SLR65" s="1"/>
      <c r="SLS65" s="1"/>
      <c r="SLT65" s="1"/>
      <c r="SLU65" s="1"/>
      <c r="SLV65" s="1"/>
      <c r="SLW65" s="1"/>
      <c r="SLX65" s="1"/>
      <c r="SLY65" s="1"/>
      <c r="SLZ65" s="1"/>
      <c r="SMA65" s="1"/>
      <c r="SMB65" s="1"/>
      <c r="SMC65" s="1"/>
      <c r="SMD65" s="1"/>
      <c r="SME65" s="1"/>
      <c r="SMF65" s="1"/>
      <c r="SMG65" s="1"/>
      <c r="SMH65" s="1"/>
      <c r="SMI65" s="1"/>
      <c r="SMJ65" s="1"/>
      <c r="SMK65" s="1"/>
      <c r="SML65" s="1"/>
      <c r="SMM65" s="1"/>
      <c r="SMN65" s="1"/>
      <c r="SMO65" s="1"/>
      <c r="SMP65" s="1"/>
      <c r="SMQ65" s="1"/>
      <c r="SMR65" s="1"/>
      <c r="SMS65" s="1"/>
      <c r="SMT65" s="1"/>
      <c r="SMU65" s="1"/>
      <c r="SMV65" s="1"/>
      <c r="SMW65" s="1"/>
      <c r="SMX65" s="1"/>
      <c r="SMY65" s="1"/>
      <c r="SMZ65" s="1"/>
      <c r="SNA65" s="1"/>
      <c r="SNB65" s="1"/>
      <c r="SNC65" s="1"/>
      <c r="SND65" s="1"/>
      <c r="SNE65" s="1"/>
      <c r="SNF65" s="1"/>
      <c r="SNG65" s="1"/>
      <c r="SNH65" s="1"/>
      <c r="SNI65" s="1"/>
      <c r="SNJ65" s="1"/>
      <c r="SNK65" s="1"/>
      <c r="SNL65" s="1"/>
      <c r="SNM65" s="1"/>
      <c r="SNN65" s="1"/>
      <c r="SNO65" s="1"/>
      <c r="SNP65" s="1"/>
      <c r="SNQ65" s="1"/>
      <c r="SNR65" s="1"/>
      <c r="SNS65" s="1"/>
      <c r="SNT65" s="1"/>
      <c r="SNU65" s="1"/>
      <c r="SNV65" s="1"/>
      <c r="SNW65" s="1"/>
      <c r="SNX65" s="1"/>
      <c r="SNY65" s="1"/>
      <c r="SNZ65" s="1"/>
      <c r="SOA65" s="1"/>
      <c r="SOB65" s="1"/>
      <c r="SOC65" s="1"/>
      <c r="SOD65" s="1"/>
      <c r="SOE65" s="1"/>
      <c r="SOF65" s="1"/>
      <c r="SOG65" s="1"/>
      <c r="SOH65" s="1"/>
      <c r="SOI65" s="1"/>
      <c r="SOJ65" s="1"/>
      <c r="SOK65" s="1"/>
      <c r="SOL65" s="1"/>
      <c r="SOM65" s="1"/>
      <c r="SON65" s="1"/>
      <c r="SOO65" s="1"/>
      <c r="SOP65" s="1"/>
      <c r="SOQ65" s="1"/>
      <c r="SOR65" s="1"/>
      <c r="SOS65" s="1"/>
      <c r="SOT65" s="1"/>
      <c r="SOU65" s="1"/>
      <c r="SOV65" s="1"/>
      <c r="SOW65" s="1"/>
      <c r="SOX65" s="1"/>
      <c r="SOY65" s="1"/>
      <c r="SOZ65" s="1"/>
      <c r="SPA65" s="1"/>
      <c r="SPB65" s="1"/>
      <c r="SPC65" s="1"/>
      <c r="SPD65" s="1"/>
      <c r="SPE65" s="1"/>
      <c r="SPF65" s="1"/>
      <c r="SPG65" s="1"/>
      <c r="SPH65" s="1"/>
      <c r="SPI65" s="1"/>
      <c r="SPJ65" s="1"/>
      <c r="SPK65" s="1"/>
      <c r="SPL65" s="1"/>
      <c r="SPM65" s="1"/>
      <c r="SPN65" s="1"/>
      <c r="SPO65" s="1"/>
      <c r="SPP65" s="1"/>
      <c r="SPQ65" s="1"/>
      <c r="SPR65" s="1"/>
      <c r="SPS65" s="1"/>
      <c r="SPT65" s="1"/>
      <c r="SPU65" s="1"/>
      <c r="SPV65" s="1"/>
      <c r="SPW65" s="1"/>
      <c r="SPX65" s="1"/>
      <c r="SPY65" s="1"/>
      <c r="SPZ65" s="1"/>
      <c r="SQA65" s="1"/>
      <c r="SQB65" s="1"/>
      <c r="SQC65" s="1"/>
      <c r="SQD65" s="1"/>
      <c r="SQE65" s="1"/>
      <c r="SQF65" s="1"/>
      <c r="SQG65" s="1"/>
      <c r="SQH65" s="1"/>
      <c r="SQI65" s="1"/>
      <c r="SQJ65" s="1"/>
      <c r="SQK65" s="1"/>
      <c r="SQL65" s="1"/>
      <c r="SQM65" s="1"/>
      <c r="SQN65" s="1"/>
      <c r="SQO65" s="1"/>
      <c r="SQP65" s="1"/>
      <c r="SQQ65" s="1"/>
      <c r="SQR65" s="1"/>
      <c r="SQS65" s="1"/>
      <c r="SQT65" s="1"/>
      <c r="SQU65" s="1"/>
      <c r="SQV65" s="1"/>
      <c r="SQW65" s="1"/>
      <c r="SQX65" s="1"/>
      <c r="SQY65" s="1"/>
      <c r="SQZ65" s="1"/>
      <c r="SRA65" s="1"/>
      <c r="SRB65" s="1"/>
      <c r="SRC65" s="1"/>
      <c r="SRD65" s="1"/>
      <c r="SRE65" s="1"/>
      <c r="SRF65" s="1"/>
      <c r="SRG65" s="1"/>
      <c r="SRH65" s="1"/>
      <c r="SRI65" s="1"/>
      <c r="SRJ65" s="1"/>
      <c r="SRK65" s="1"/>
      <c r="SRL65" s="1"/>
      <c r="SRM65" s="1"/>
      <c r="SRN65" s="1"/>
      <c r="SRO65" s="1"/>
      <c r="SRP65" s="1"/>
      <c r="SRQ65" s="1"/>
      <c r="SRR65" s="1"/>
      <c r="SRS65" s="1"/>
      <c r="SRT65" s="1"/>
      <c r="SRU65" s="1"/>
      <c r="SRV65" s="1"/>
      <c r="SRW65" s="1"/>
      <c r="SRX65" s="1"/>
      <c r="SRY65" s="1"/>
      <c r="SRZ65" s="1"/>
      <c r="SSA65" s="1"/>
      <c r="SSB65" s="1"/>
      <c r="SSC65" s="1"/>
      <c r="SSD65" s="1"/>
      <c r="SSE65" s="1"/>
      <c r="SSF65" s="1"/>
      <c r="SSG65" s="1"/>
      <c r="SSH65" s="1"/>
      <c r="SSI65" s="1"/>
      <c r="SSJ65" s="1"/>
      <c r="SSK65" s="1"/>
      <c r="SSL65" s="1"/>
      <c r="SSM65" s="1"/>
      <c r="SSN65" s="1"/>
      <c r="SSO65" s="1"/>
      <c r="SSP65" s="1"/>
      <c r="SSQ65" s="1"/>
      <c r="SSR65" s="1"/>
      <c r="SSS65" s="1"/>
      <c r="SST65" s="1"/>
      <c r="SSU65" s="1"/>
      <c r="SSV65" s="1"/>
      <c r="SSW65" s="1"/>
      <c r="SSX65" s="1"/>
      <c r="SSY65" s="1"/>
      <c r="SSZ65" s="1"/>
      <c r="STA65" s="1"/>
      <c r="STB65" s="1"/>
      <c r="STC65" s="1"/>
      <c r="STD65" s="1"/>
      <c r="STE65" s="1"/>
      <c r="STF65" s="1"/>
      <c r="STG65" s="1"/>
      <c r="STH65" s="1"/>
      <c r="STI65" s="1"/>
      <c r="STJ65" s="1"/>
      <c r="STK65" s="1"/>
      <c r="STL65" s="1"/>
      <c r="STM65" s="1"/>
      <c r="STN65" s="1"/>
      <c r="STO65" s="1"/>
      <c r="STP65" s="1"/>
      <c r="STQ65" s="1"/>
      <c r="STR65" s="1"/>
      <c r="STS65" s="1"/>
      <c r="STT65" s="1"/>
      <c r="STU65" s="1"/>
      <c r="STV65" s="1"/>
      <c r="STW65" s="1"/>
      <c r="STX65" s="1"/>
      <c r="STY65" s="1"/>
      <c r="STZ65" s="1"/>
      <c r="SUA65" s="1"/>
      <c r="SUB65" s="1"/>
      <c r="SUC65" s="1"/>
      <c r="SUD65" s="1"/>
      <c r="SUE65" s="1"/>
      <c r="SUF65" s="1"/>
      <c r="SUG65" s="1"/>
      <c r="SUH65" s="1"/>
      <c r="SUI65" s="1"/>
      <c r="SUJ65" s="1"/>
      <c r="SUK65" s="1"/>
      <c r="SUL65" s="1"/>
      <c r="SUM65" s="1"/>
      <c r="SUN65" s="1"/>
      <c r="SUO65" s="1"/>
      <c r="SUP65" s="1"/>
      <c r="SUQ65" s="1"/>
      <c r="SUR65" s="1"/>
      <c r="SUS65" s="1"/>
      <c r="SUT65" s="1"/>
      <c r="SUU65" s="1"/>
      <c r="SUV65" s="1"/>
      <c r="SUW65" s="1"/>
      <c r="SUX65" s="1"/>
      <c r="SUY65" s="1"/>
      <c r="SUZ65" s="1"/>
      <c r="SVA65" s="1"/>
      <c r="SVB65" s="1"/>
      <c r="SVC65" s="1"/>
      <c r="SVD65" s="1"/>
      <c r="SVE65" s="1"/>
      <c r="SVF65" s="1"/>
      <c r="SVG65" s="1"/>
      <c r="SVH65" s="1"/>
      <c r="SVI65" s="1"/>
      <c r="SVJ65" s="1"/>
      <c r="SVK65" s="1"/>
      <c r="SVL65" s="1"/>
      <c r="SVM65" s="1"/>
      <c r="SVN65" s="1"/>
      <c r="SVO65" s="1"/>
      <c r="SVP65" s="1"/>
      <c r="SVQ65" s="1"/>
      <c r="SVR65" s="1"/>
      <c r="SVS65" s="1"/>
      <c r="SVT65" s="1"/>
      <c r="SVU65" s="1"/>
      <c r="SVV65" s="1"/>
      <c r="SVW65" s="1"/>
      <c r="SVX65" s="1"/>
      <c r="SVY65" s="1"/>
      <c r="SVZ65" s="1"/>
      <c r="SWA65" s="1"/>
      <c r="SWB65" s="1"/>
      <c r="SWC65" s="1"/>
      <c r="SWD65" s="1"/>
      <c r="SWE65" s="1"/>
      <c r="SWF65" s="1"/>
      <c r="SWG65" s="1"/>
      <c r="SWH65" s="1"/>
      <c r="SWI65" s="1"/>
      <c r="SWJ65" s="1"/>
      <c r="SWK65" s="1"/>
      <c r="SWL65" s="1"/>
      <c r="SWM65" s="1"/>
      <c r="SWN65" s="1"/>
      <c r="SWO65" s="1"/>
      <c r="SWP65" s="1"/>
      <c r="SWQ65" s="1"/>
      <c r="SWR65" s="1"/>
      <c r="SWS65" s="1"/>
      <c r="SWT65" s="1"/>
      <c r="SWU65" s="1"/>
      <c r="SWV65" s="1"/>
      <c r="SWW65" s="1"/>
      <c r="SWX65" s="1"/>
      <c r="SWY65" s="1"/>
      <c r="SWZ65" s="1"/>
      <c r="SXA65" s="1"/>
      <c r="SXB65" s="1"/>
      <c r="SXC65" s="1"/>
      <c r="SXD65" s="1"/>
      <c r="SXE65" s="1"/>
      <c r="SXF65" s="1"/>
      <c r="SXG65" s="1"/>
      <c r="SXH65" s="1"/>
      <c r="SXI65" s="1"/>
      <c r="SXJ65" s="1"/>
      <c r="SXK65" s="1"/>
      <c r="SXL65" s="1"/>
      <c r="SXM65" s="1"/>
      <c r="SXN65" s="1"/>
      <c r="SXO65" s="1"/>
      <c r="SXP65" s="1"/>
      <c r="SXQ65" s="1"/>
      <c r="SXR65" s="1"/>
      <c r="SXS65" s="1"/>
      <c r="SXT65" s="1"/>
      <c r="SXU65" s="1"/>
      <c r="SXV65" s="1"/>
      <c r="SXW65" s="1"/>
      <c r="SXX65" s="1"/>
      <c r="SXY65" s="1"/>
      <c r="SXZ65" s="1"/>
      <c r="SYA65" s="1"/>
      <c r="SYB65" s="1"/>
      <c r="SYC65" s="1"/>
      <c r="SYD65" s="1"/>
      <c r="SYE65" s="1"/>
      <c r="SYF65" s="1"/>
      <c r="SYG65" s="1"/>
      <c r="SYH65" s="1"/>
      <c r="SYI65" s="1"/>
      <c r="SYJ65" s="1"/>
      <c r="SYK65" s="1"/>
      <c r="SYL65" s="1"/>
      <c r="SYM65" s="1"/>
      <c r="SYN65" s="1"/>
      <c r="SYO65" s="1"/>
      <c r="SYP65" s="1"/>
      <c r="SYQ65" s="1"/>
      <c r="SYR65" s="1"/>
      <c r="SYS65" s="1"/>
      <c r="SYT65" s="1"/>
      <c r="SYU65" s="1"/>
      <c r="SYV65" s="1"/>
      <c r="SYW65" s="1"/>
      <c r="SYX65" s="1"/>
      <c r="SYY65" s="1"/>
      <c r="SYZ65" s="1"/>
      <c r="SZA65" s="1"/>
      <c r="SZB65" s="1"/>
      <c r="SZC65" s="1"/>
      <c r="SZD65" s="1"/>
      <c r="SZE65" s="1"/>
      <c r="SZF65" s="1"/>
      <c r="SZG65" s="1"/>
      <c r="SZH65" s="1"/>
      <c r="SZI65" s="1"/>
      <c r="SZJ65" s="1"/>
      <c r="SZK65" s="1"/>
      <c r="SZL65" s="1"/>
      <c r="SZM65" s="1"/>
      <c r="SZN65" s="1"/>
      <c r="SZO65" s="1"/>
      <c r="SZP65" s="1"/>
      <c r="SZQ65" s="1"/>
      <c r="SZR65" s="1"/>
      <c r="SZS65" s="1"/>
      <c r="SZT65" s="1"/>
      <c r="SZU65" s="1"/>
      <c r="SZV65" s="1"/>
      <c r="SZW65" s="1"/>
      <c r="SZX65" s="1"/>
      <c r="SZY65" s="1"/>
      <c r="SZZ65" s="1"/>
      <c r="TAA65" s="1"/>
      <c r="TAB65" s="1"/>
      <c r="TAC65" s="1"/>
      <c r="TAD65" s="1"/>
      <c r="TAE65" s="1"/>
      <c r="TAF65" s="1"/>
      <c r="TAG65" s="1"/>
      <c r="TAH65" s="1"/>
      <c r="TAI65" s="1"/>
      <c r="TAJ65" s="1"/>
      <c r="TAK65" s="1"/>
      <c r="TAL65" s="1"/>
      <c r="TAM65" s="1"/>
      <c r="TAN65" s="1"/>
      <c r="TAO65" s="1"/>
      <c r="TAP65" s="1"/>
      <c r="TAQ65" s="1"/>
      <c r="TAR65" s="1"/>
      <c r="TAS65" s="1"/>
      <c r="TAT65" s="1"/>
      <c r="TAU65" s="1"/>
      <c r="TAV65" s="1"/>
      <c r="TAW65" s="1"/>
      <c r="TAX65" s="1"/>
      <c r="TAY65" s="1"/>
      <c r="TAZ65" s="1"/>
      <c r="TBA65" s="1"/>
      <c r="TBB65" s="1"/>
      <c r="TBC65" s="1"/>
      <c r="TBD65" s="1"/>
      <c r="TBE65" s="1"/>
      <c r="TBF65" s="1"/>
      <c r="TBG65" s="1"/>
      <c r="TBH65" s="1"/>
      <c r="TBI65" s="1"/>
      <c r="TBJ65" s="1"/>
      <c r="TBK65" s="1"/>
      <c r="TBL65" s="1"/>
      <c r="TBM65" s="1"/>
      <c r="TBN65" s="1"/>
      <c r="TBO65" s="1"/>
      <c r="TBP65" s="1"/>
      <c r="TBQ65" s="1"/>
      <c r="TBR65" s="1"/>
      <c r="TBS65" s="1"/>
      <c r="TBT65" s="1"/>
      <c r="TBU65" s="1"/>
      <c r="TBV65" s="1"/>
      <c r="TBW65" s="1"/>
      <c r="TBX65" s="1"/>
      <c r="TBY65" s="1"/>
      <c r="TBZ65" s="1"/>
      <c r="TCA65" s="1"/>
      <c r="TCB65" s="1"/>
      <c r="TCC65" s="1"/>
      <c r="TCD65" s="1"/>
      <c r="TCE65" s="1"/>
      <c r="TCF65" s="1"/>
      <c r="TCG65" s="1"/>
      <c r="TCH65" s="1"/>
      <c r="TCI65" s="1"/>
      <c r="TCJ65" s="1"/>
      <c r="TCK65" s="1"/>
      <c r="TCL65" s="1"/>
      <c r="TCM65" s="1"/>
      <c r="TCN65" s="1"/>
      <c r="TCO65" s="1"/>
      <c r="TCP65" s="1"/>
      <c r="TCQ65" s="1"/>
      <c r="TCR65" s="1"/>
      <c r="TCS65" s="1"/>
      <c r="TCT65" s="1"/>
      <c r="TCU65" s="1"/>
      <c r="TCV65" s="1"/>
      <c r="TCW65" s="1"/>
      <c r="TCX65" s="1"/>
      <c r="TCY65" s="1"/>
      <c r="TCZ65" s="1"/>
      <c r="TDA65" s="1"/>
      <c r="TDB65" s="1"/>
      <c r="TDC65" s="1"/>
      <c r="TDD65" s="1"/>
      <c r="TDE65" s="1"/>
      <c r="TDF65" s="1"/>
      <c r="TDG65" s="1"/>
      <c r="TDH65" s="1"/>
      <c r="TDI65" s="1"/>
      <c r="TDJ65" s="1"/>
      <c r="TDK65" s="1"/>
      <c r="TDL65" s="1"/>
      <c r="TDM65" s="1"/>
      <c r="TDN65" s="1"/>
      <c r="TDO65" s="1"/>
      <c r="TDP65" s="1"/>
      <c r="TDQ65" s="1"/>
      <c r="TDR65" s="1"/>
      <c r="TDS65" s="1"/>
      <c r="TDT65" s="1"/>
      <c r="TDU65" s="1"/>
      <c r="TDV65" s="1"/>
      <c r="TDW65" s="1"/>
      <c r="TDX65" s="1"/>
      <c r="TDY65" s="1"/>
      <c r="TDZ65" s="1"/>
      <c r="TEA65" s="1"/>
      <c r="TEB65" s="1"/>
      <c r="TEC65" s="1"/>
      <c r="TED65" s="1"/>
      <c r="TEE65" s="1"/>
      <c r="TEF65" s="1"/>
      <c r="TEG65" s="1"/>
      <c r="TEH65" s="1"/>
      <c r="TEI65" s="1"/>
      <c r="TEJ65" s="1"/>
      <c r="TEK65" s="1"/>
      <c r="TEL65" s="1"/>
      <c r="TEM65" s="1"/>
      <c r="TEN65" s="1"/>
      <c r="TEO65" s="1"/>
      <c r="TEP65" s="1"/>
      <c r="TEQ65" s="1"/>
      <c r="TER65" s="1"/>
      <c r="TES65" s="1"/>
      <c r="TET65" s="1"/>
      <c r="TEU65" s="1"/>
      <c r="TEV65" s="1"/>
      <c r="TEW65" s="1"/>
      <c r="TEX65" s="1"/>
      <c r="TEY65" s="1"/>
      <c r="TEZ65" s="1"/>
      <c r="TFA65" s="1"/>
      <c r="TFB65" s="1"/>
      <c r="TFC65" s="1"/>
      <c r="TFD65" s="1"/>
      <c r="TFE65" s="1"/>
      <c r="TFF65" s="1"/>
      <c r="TFG65" s="1"/>
      <c r="TFH65" s="1"/>
      <c r="TFI65" s="1"/>
      <c r="TFJ65" s="1"/>
      <c r="TFK65" s="1"/>
      <c r="TFL65" s="1"/>
      <c r="TFM65" s="1"/>
      <c r="TFN65" s="1"/>
      <c r="TFO65" s="1"/>
      <c r="TFP65" s="1"/>
      <c r="TFQ65" s="1"/>
      <c r="TFR65" s="1"/>
      <c r="TFS65" s="1"/>
      <c r="TFT65" s="1"/>
      <c r="TFU65" s="1"/>
      <c r="TFV65" s="1"/>
      <c r="TFW65" s="1"/>
      <c r="TFX65" s="1"/>
      <c r="TFY65" s="1"/>
      <c r="TFZ65" s="1"/>
      <c r="TGA65" s="1"/>
      <c r="TGB65" s="1"/>
      <c r="TGC65" s="1"/>
      <c r="TGD65" s="1"/>
      <c r="TGE65" s="1"/>
      <c r="TGF65" s="1"/>
      <c r="TGG65" s="1"/>
      <c r="TGH65" s="1"/>
      <c r="TGI65" s="1"/>
      <c r="TGJ65" s="1"/>
      <c r="TGK65" s="1"/>
      <c r="TGL65" s="1"/>
      <c r="TGM65" s="1"/>
      <c r="TGN65" s="1"/>
      <c r="TGO65" s="1"/>
      <c r="TGP65" s="1"/>
      <c r="TGQ65" s="1"/>
      <c r="TGR65" s="1"/>
      <c r="TGS65" s="1"/>
      <c r="TGT65" s="1"/>
      <c r="TGU65" s="1"/>
      <c r="TGV65" s="1"/>
      <c r="TGW65" s="1"/>
      <c r="TGX65" s="1"/>
      <c r="TGY65" s="1"/>
      <c r="TGZ65" s="1"/>
      <c r="THA65" s="1"/>
      <c r="THB65" s="1"/>
      <c r="THC65" s="1"/>
      <c r="THD65" s="1"/>
      <c r="THE65" s="1"/>
      <c r="THF65" s="1"/>
      <c r="THG65" s="1"/>
      <c r="THH65" s="1"/>
      <c r="THI65" s="1"/>
      <c r="THJ65" s="1"/>
      <c r="THK65" s="1"/>
      <c r="THL65" s="1"/>
      <c r="THM65" s="1"/>
      <c r="THN65" s="1"/>
      <c r="THO65" s="1"/>
      <c r="THP65" s="1"/>
      <c r="THQ65" s="1"/>
      <c r="THR65" s="1"/>
      <c r="THS65" s="1"/>
      <c r="THT65" s="1"/>
      <c r="THU65" s="1"/>
      <c r="THV65" s="1"/>
      <c r="THW65" s="1"/>
      <c r="THX65" s="1"/>
      <c r="THY65" s="1"/>
      <c r="THZ65" s="1"/>
      <c r="TIA65" s="1"/>
      <c r="TIB65" s="1"/>
      <c r="TIC65" s="1"/>
      <c r="TID65" s="1"/>
      <c r="TIE65" s="1"/>
      <c r="TIF65" s="1"/>
      <c r="TIG65" s="1"/>
      <c r="TIH65" s="1"/>
      <c r="TII65" s="1"/>
      <c r="TIJ65" s="1"/>
      <c r="TIK65" s="1"/>
      <c r="TIL65" s="1"/>
      <c r="TIM65" s="1"/>
      <c r="TIN65" s="1"/>
      <c r="TIO65" s="1"/>
      <c r="TIP65" s="1"/>
      <c r="TIQ65" s="1"/>
      <c r="TIR65" s="1"/>
      <c r="TIS65" s="1"/>
      <c r="TIT65" s="1"/>
      <c r="TIU65" s="1"/>
      <c r="TIV65" s="1"/>
      <c r="TIW65" s="1"/>
      <c r="TIX65" s="1"/>
      <c r="TIY65" s="1"/>
      <c r="TIZ65" s="1"/>
      <c r="TJA65" s="1"/>
      <c r="TJB65" s="1"/>
      <c r="TJC65" s="1"/>
      <c r="TJD65" s="1"/>
      <c r="TJE65" s="1"/>
      <c r="TJF65" s="1"/>
      <c r="TJG65" s="1"/>
      <c r="TJH65" s="1"/>
      <c r="TJI65" s="1"/>
      <c r="TJJ65" s="1"/>
      <c r="TJK65" s="1"/>
      <c r="TJL65" s="1"/>
      <c r="TJM65" s="1"/>
      <c r="TJN65" s="1"/>
      <c r="TJO65" s="1"/>
      <c r="TJP65" s="1"/>
      <c r="TJQ65" s="1"/>
      <c r="TJR65" s="1"/>
      <c r="TJS65" s="1"/>
      <c r="TJT65" s="1"/>
      <c r="TJU65" s="1"/>
      <c r="TJV65" s="1"/>
      <c r="TJW65" s="1"/>
      <c r="TJX65" s="1"/>
      <c r="TJY65" s="1"/>
      <c r="TJZ65" s="1"/>
      <c r="TKA65" s="1"/>
      <c r="TKB65" s="1"/>
      <c r="TKC65" s="1"/>
      <c r="TKD65" s="1"/>
      <c r="TKE65" s="1"/>
      <c r="TKF65" s="1"/>
      <c r="TKG65" s="1"/>
      <c r="TKH65" s="1"/>
      <c r="TKI65" s="1"/>
      <c r="TKJ65" s="1"/>
      <c r="TKK65" s="1"/>
      <c r="TKL65" s="1"/>
      <c r="TKM65" s="1"/>
      <c r="TKN65" s="1"/>
      <c r="TKO65" s="1"/>
      <c r="TKP65" s="1"/>
      <c r="TKQ65" s="1"/>
      <c r="TKR65" s="1"/>
      <c r="TKS65" s="1"/>
      <c r="TKT65" s="1"/>
      <c r="TKU65" s="1"/>
      <c r="TKV65" s="1"/>
      <c r="TKW65" s="1"/>
      <c r="TKX65" s="1"/>
      <c r="TKY65" s="1"/>
      <c r="TKZ65" s="1"/>
      <c r="TLA65" s="1"/>
      <c r="TLB65" s="1"/>
      <c r="TLC65" s="1"/>
      <c r="TLD65" s="1"/>
      <c r="TLE65" s="1"/>
      <c r="TLF65" s="1"/>
      <c r="TLG65" s="1"/>
      <c r="TLH65" s="1"/>
      <c r="TLI65" s="1"/>
      <c r="TLJ65" s="1"/>
      <c r="TLK65" s="1"/>
      <c r="TLL65" s="1"/>
      <c r="TLM65" s="1"/>
      <c r="TLN65" s="1"/>
      <c r="TLO65" s="1"/>
      <c r="TLP65" s="1"/>
      <c r="TLQ65" s="1"/>
      <c r="TLR65" s="1"/>
      <c r="TLS65" s="1"/>
      <c r="TLT65" s="1"/>
      <c r="TLU65" s="1"/>
      <c r="TLV65" s="1"/>
      <c r="TLW65" s="1"/>
      <c r="TLX65" s="1"/>
      <c r="TLY65" s="1"/>
      <c r="TLZ65" s="1"/>
      <c r="TMA65" s="1"/>
      <c r="TMB65" s="1"/>
      <c r="TMC65" s="1"/>
      <c r="TMD65" s="1"/>
      <c r="TME65" s="1"/>
      <c r="TMF65" s="1"/>
      <c r="TMG65" s="1"/>
      <c r="TMH65" s="1"/>
      <c r="TMI65" s="1"/>
      <c r="TMJ65" s="1"/>
      <c r="TMK65" s="1"/>
      <c r="TML65" s="1"/>
      <c r="TMM65" s="1"/>
      <c r="TMN65" s="1"/>
      <c r="TMO65" s="1"/>
      <c r="TMP65" s="1"/>
      <c r="TMQ65" s="1"/>
      <c r="TMR65" s="1"/>
      <c r="TMS65" s="1"/>
      <c r="TMT65" s="1"/>
      <c r="TMU65" s="1"/>
      <c r="TMV65" s="1"/>
      <c r="TMW65" s="1"/>
      <c r="TMX65" s="1"/>
      <c r="TMY65" s="1"/>
      <c r="TMZ65" s="1"/>
      <c r="TNA65" s="1"/>
      <c r="TNB65" s="1"/>
      <c r="TNC65" s="1"/>
      <c r="TND65" s="1"/>
      <c r="TNE65" s="1"/>
      <c r="TNF65" s="1"/>
      <c r="TNG65" s="1"/>
      <c r="TNH65" s="1"/>
      <c r="TNI65" s="1"/>
      <c r="TNJ65" s="1"/>
      <c r="TNK65" s="1"/>
      <c r="TNL65" s="1"/>
      <c r="TNM65" s="1"/>
      <c r="TNN65" s="1"/>
      <c r="TNO65" s="1"/>
      <c r="TNP65" s="1"/>
      <c r="TNQ65" s="1"/>
      <c r="TNR65" s="1"/>
      <c r="TNS65" s="1"/>
      <c r="TNT65" s="1"/>
      <c r="TNU65" s="1"/>
      <c r="TNV65" s="1"/>
      <c r="TNW65" s="1"/>
      <c r="TNX65" s="1"/>
      <c r="TNY65" s="1"/>
      <c r="TNZ65" s="1"/>
      <c r="TOA65" s="1"/>
      <c r="TOB65" s="1"/>
      <c r="TOC65" s="1"/>
      <c r="TOD65" s="1"/>
      <c r="TOE65" s="1"/>
      <c r="TOF65" s="1"/>
      <c r="TOG65" s="1"/>
      <c r="TOH65" s="1"/>
      <c r="TOI65" s="1"/>
      <c r="TOJ65" s="1"/>
      <c r="TOK65" s="1"/>
      <c r="TOL65" s="1"/>
      <c r="TOM65" s="1"/>
      <c r="TON65" s="1"/>
      <c r="TOO65" s="1"/>
      <c r="TOP65" s="1"/>
      <c r="TOQ65" s="1"/>
      <c r="TOR65" s="1"/>
      <c r="TOS65" s="1"/>
      <c r="TOT65" s="1"/>
      <c r="TOU65" s="1"/>
      <c r="TOV65" s="1"/>
      <c r="TOW65" s="1"/>
      <c r="TOX65" s="1"/>
      <c r="TOY65" s="1"/>
      <c r="TOZ65" s="1"/>
      <c r="TPA65" s="1"/>
      <c r="TPB65" s="1"/>
      <c r="TPC65" s="1"/>
      <c r="TPD65" s="1"/>
      <c r="TPE65" s="1"/>
      <c r="TPF65" s="1"/>
      <c r="TPG65" s="1"/>
      <c r="TPH65" s="1"/>
      <c r="TPI65" s="1"/>
      <c r="TPJ65" s="1"/>
      <c r="TPK65" s="1"/>
      <c r="TPL65" s="1"/>
      <c r="TPM65" s="1"/>
      <c r="TPN65" s="1"/>
      <c r="TPO65" s="1"/>
      <c r="TPP65" s="1"/>
      <c r="TPQ65" s="1"/>
      <c r="TPR65" s="1"/>
      <c r="TPS65" s="1"/>
      <c r="TPT65" s="1"/>
      <c r="TPU65" s="1"/>
      <c r="TPV65" s="1"/>
      <c r="TPW65" s="1"/>
      <c r="TPX65" s="1"/>
      <c r="TPY65" s="1"/>
      <c r="TPZ65" s="1"/>
      <c r="TQA65" s="1"/>
      <c r="TQB65" s="1"/>
      <c r="TQC65" s="1"/>
      <c r="TQD65" s="1"/>
      <c r="TQE65" s="1"/>
      <c r="TQF65" s="1"/>
      <c r="TQG65" s="1"/>
      <c r="TQH65" s="1"/>
      <c r="TQI65" s="1"/>
      <c r="TQJ65" s="1"/>
      <c r="TQK65" s="1"/>
      <c r="TQL65" s="1"/>
      <c r="TQM65" s="1"/>
      <c r="TQN65" s="1"/>
      <c r="TQO65" s="1"/>
      <c r="TQP65" s="1"/>
      <c r="TQQ65" s="1"/>
      <c r="TQR65" s="1"/>
      <c r="TQS65" s="1"/>
      <c r="TQT65" s="1"/>
      <c r="TQU65" s="1"/>
      <c r="TQV65" s="1"/>
      <c r="TQW65" s="1"/>
      <c r="TQX65" s="1"/>
      <c r="TQY65" s="1"/>
      <c r="TQZ65" s="1"/>
      <c r="TRA65" s="1"/>
      <c r="TRB65" s="1"/>
      <c r="TRC65" s="1"/>
      <c r="TRD65" s="1"/>
      <c r="TRE65" s="1"/>
      <c r="TRF65" s="1"/>
      <c r="TRG65" s="1"/>
      <c r="TRH65" s="1"/>
      <c r="TRI65" s="1"/>
      <c r="TRJ65" s="1"/>
      <c r="TRK65" s="1"/>
      <c r="TRL65" s="1"/>
      <c r="TRM65" s="1"/>
      <c r="TRN65" s="1"/>
      <c r="TRO65" s="1"/>
      <c r="TRP65" s="1"/>
      <c r="TRQ65" s="1"/>
      <c r="TRR65" s="1"/>
      <c r="TRS65" s="1"/>
      <c r="TRT65" s="1"/>
      <c r="TRU65" s="1"/>
      <c r="TRV65" s="1"/>
      <c r="TRW65" s="1"/>
      <c r="TRX65" s="1"/>
      <c r="TRY65" s="1"/>
      <c r="TRZ65" s="1"/>
      <c r="TSA65" s="1"/>
      <c r="TSB65" s="1"/>
      <c r="TSC65" s="1"/>
      <c r="TSD65" s="1"/>
      <c r="TSE65" s="1"/>
      <c r="TSF65" s="1"/>
      <c r="TSG65" s="1"/>
      <c r="TSH65" s="1"/>
      <c r="TSI65" s="1"/>
      <c r="TSJ65" s="1"/>
      <c r="TSK65" s="1"/>
      <c r="TSL65" s="1"/>
      <c r="TSM65" s="1"/>
      <c r="TSN65" s="1"/>
      <c r="TSO65" s="1"/>
      <c r="TSP65" s="1"/>
      <c r="TSQ65" s="1"/>
      <c r="TSR65" s="1"/>
      <c r="TSS65" s="1"/>
      <c r="TST65" s="1"/>
      <c r="TSU65" s="1"/>
      <c r="TSV65" s="1"/>
      <c r="TSW65" s="1"/>
      <c r="TSX65" s="1"/>
      <c r="TSY65" s="1"/>
      <c r="TSZ65" s="1"/>
      <c r="TTA65" s="1"/>
      <c r="TTB65" s="1"/>
      <c r="TTC65" s="1"/>
      <c r="TTD65" s="1"/>
      <c r="TTE65" s="1"/>
      <c r="TTF65" s="1"/>
      <c r="TTG65" s="1"/>
      <c r="TTH65" s="1"/>
      <c r="TTI65" s="1"/>
      <c r="TTJ65" s="1"/>
      <c r="TTK65" s="1"/>
      <c r="TTL65" s="1"/>
      <c r="TTM65" s="1"/>
      <c r="TTN65" s="1"/>
      <c r="TTO65" s="1"/>
      <c r="TTP65" s="1"/>
      <c r="TTQ65" s="1"/>
      <c r="TTR65" s="1"/>
      <c r="TTS65" s="1"/>
      <c r="TTT65" s="1"/>
      <c r="TTU65" s="1"/>
      <c r="TTV65" s="1"/>
      <c r="TTW65" s="1"/>
      <c r="TTX65" s="1"/>
      <c r="TTY65" s="1"/>
      <c r="TTZ65" s="1"/>
      <c r="TUA65" s="1"/>
      <c r="TUB65" s="1"/>
      <c r="TUC65" s="1"/>
      <c r="TUD65" s="1"/>
      <c r="TUE65" s="1"/>
      <c r="TUF65" s="1"/>
      <c r="TUG65" s="1"/>
      <c r="TUH65" s="1"/>
      <c r="TUI65" s="1"/>
      <c r="TUJ65" s="1"/>
      <c r="TUK65" s="1"/>
      <c r="TUL65" s="1"/>
      <c r="TUM65" s="1"/>
      <c r="TUN65" s="1"/>
      <c r="TUO65" s="1"/>
      <c r="TUP65" s="1"/>
      <c r="TUQ65" s="1"/>
      <c r="TUR65" s="1"/>
      <c r="TUS65" s="1"/>
      <c r="TUT65" s="1"/>
      <c r="TUU65" s="1"/>
      <c r="TUV65" s="1"/>
      <c r="TUW65" s="1"/>
      <c r="TUX65" s="1"/>
      <c r="TUY65" s="1"/>
      <c r="TUZ65" s="1"/>
      <c r="TVA65" s="1"/>
      <c r="TVB65" s="1"/>
      <c r="TVC65" s="1"/>
      <c r="TVD65" s="1"/>
      <c r="TVE65" s="1"/>
      <c r="TVF65" s="1"/>
      <c r="TVG65" s="1"/>
      <c r="TVH65" s="1"/>
      <c r="TVI65" s="1"/>
      <c r="TVJ65" s="1"/>
      <c r="TVK65" s="1"/>
      <c r="TVL65" s="1"/>
      <c r="TVM65" s="1"/>
      <c r="TVN65" s="1"/>
      <c r="TVO65" s="1"/>
      <c r="TVP65" s="1"/>
      <c r="TVQ65" s="1"/>
      <c r="TVR65" s="1"/>
      <c r="TVS65" s="1"/>
      <c r="TVT65" s="1"/>
      <c r="TVU65" s="1"/>
      <c r="TVV65" s="1"/>
      <c r="TVW65" s="1"/>
      <c r="TVX65" s="1"/>
      <c r="TVY65" s="1"/>
      <c r="TVZ65" s="1"/>
      <c r="TWA65" s="1"/>
      <c r="TWB65" s="1"/>
      <c r="TWC65" s="1"/>
      <c r="TWD65" s="1"/>
      <c r="TWE65" s="1"/>
      <c r="TWF65" s="1"/>
      <c r="TWG65" s="1"/>
      <c r="TWH65" s="1"/>
      <c r="TWI65" s="1"/>
      <c r="TWJ65" s="1"/>
      <c r="TWK65" s="1"/>
      <c r="TWL65" s="1"/>
      <c r="TWM65" s="1"/>
      <c r="TWN65" s="1"/>
      <c r="TWO65" s="1"/>
      <c r="TWP65" s="1"/>
      <c r="TWQ65" s="1"/>
      <c r="TWR65" s="1"/>
      <c r="TWS65" s="1"/>
      <c r="TWT65" s="1"/>
      <c r="TWU65" s="1"/>
      <c r="TWV65" s="1"/>
      <c r="TWW65" s="1"/>
      <c r="TWX65" s="1"/>
      <c r="TWY65" s="1"/>
      <c r="TWZ65" s="1"/>
      <c r="TXA65" s="1"/>
      <c r="TXB65" s="1"/>
      <c r="TXC65" s="1"/>
      <c r="TXD65" s="1"/>
      <c r="TXE65" s="1"/>
      <c r="TXF65" s="1"/>
      <c r="TXG65" s="1"/>
      <c r="TXH65" s="1"/>
      <c r="TXI65" s="1"/>
      <c r="TXJ65" s="1"/>
      <c r="TXK65" s="1"/>
      <c r="TXL65" s="1"/>
      <c r="TXM65" s="1"/>
      <c r="TXN65" s="1"/>
      <c r="TXO65" s="1"/>
      <c r="TXP65" s="1"/>
      <c r="TXQ65" s="1"/>
      <c r="TXR65" s="1"/>
      <c r="TXS65" s="1"/>
      <c r="TXT65" s="1"/>
      <c r="TXU65" s="1"/>
      <c r="TXV65" s="1"/>
      <c r="TXW65" s="1"/>
      <c r="TXX65" s="1"/>
      <c r="TXY65" s="1"/>
      <c r="TXZ65" s="1"/>
      <c r="TYA65" s="1"/>
      <c r="TYB65" s="1"/>
      <c r="TYC65" s="1"/>
      <c r="TYD65" s="1"/>
      <c r="TYE65" s="1"/>
      <c r="TYF65" s="1"/>
      <c r="TYG65" s="1"/>
      <c r="TYH65" s="1"/>
      <c r="TYI65" s="1"/>
      <c r="TYJ65" s="1"/>
      <c r="TYK65" s="1"/>
      <c r="TYL65" s="1"/>
      <c r="TYM65" s="1"/>
      <c r="TYN65" s="1"/>
      <c r="TYO65" s="1"/>
      <c r="TYP65" s="1"/>
      <c r="TYQ65" s="1"/>
      <c r="TYR65" s="1"/>
      <c r="TYS65" s="1"/>
      <c r="TYT65" s="1"/>
      <c r="TYU65" s="1"/>
      <c r="TYV65" s="1"/>
      <c r="TYW65" s="1"/>
      <c r="TYX65" s="1"/>
      <c r="TYY65" s="1"/>
      <c r="TYZ65" s="1"/>
      <c r="TZA65" s="1"/>
      <c r="TZB65" s="1"/>
      <c r="TZC65" s="1"/>
      <c r="TZD65" s="1"/>
      <c r="TZE65" s="1"/>
      <c r="TZF65" s="1"/>
      <c r="TZG65" s="1"/>
      <c r="TZH65" s="1"/>
      <c r="TZI65" s="1"/>
      <c r="TZJ65" s="1"/>
      <c r="TZK65" s="1"/>
      <c r="TZL65" s="1"/>
      <c r="TZM65" s="1"/>
      <c r="TZN65" s="1"/>
      <c r="TZO65" s="1"/>
      <c r="TZP65" s="1"/>
      <c r="TZQ65" s="1"/>
      <c r="TZR65" s="1"/>
      <c r="TZS65" s="1"/>
      <c r="TZT65" s="1"/>
      <c r="TZU65" s="1"/>
      <c r="TZV65" s="1"/>
      <c r="TZW65" s="1"/>
      <c r="TZX65" s="1"/>
      <c r="TZY65" s="1"/>
      <c r="TZZ65" s="1"/>
      <c r="UAA65" s="1"/>
      <c r="UAB65" s="1"/>
      <c r="UAC65" s="1"/>
      <c r="UAD65" s="1"/>
      <c r="UAE65" s="1"/>
      <c r="UAF65" s="1"/>
      <c r="UAG65" s="1"/>
      <c r="UAH65" s="1"/>
      <c r="UAI65" s="1"/>
      <c r="UAJ65" s="1"/>
      <c r="UAK65" s="1"/>
      <c r="UAL65" s="1"/>
      <c r="UAM65" s="1"/>
      <c r="UAN65" s="1"/>
      <c r="UAO65" s="1"/>
      <c r="UAP65" s="1"/>
      <c r="UAQ65" s="1"/>
      <c r="UAR65" s="1"/>
      <c r="UAS65" s="1"/>
      <c r="UAT65" s="1"/>
      <c r="UAU65" s="1"/>
      <c r="UAV65" s="1"/>
      <c r="UAW65" s="1"/>
      <c r="UAX65" s="1"/>
      <c r="UAY65" s="1"/>
      <c r="UAZ65" s="1"/>
      <c r="UBA65" s="1"/>
      <c r="UBB65" s="1"/>
      <c r="UBC65" s="1"/>
      <c r="UBD65" s="1"/>
      <c r="UBE65" s="1"/>
      <c r="UBF65" s="1"/>
      <c r="UBG65" s="1"/>
      <c r="UBH65" s="1"/>
      <c r="UBI65" s="1"/>
      <c r="UBJ65" s="1"/>
      <c r="UBK65" s="1"/>
      <c r="UBL65" s="1"/>
      <c r="UBM65" s="1"/>
      <c r="UBN65" s="1"/>
      <c r="UBO65" s="1"/>
      <c r="UBP65" s="1"/>
      <c r="UBQ65" s="1"/>
      <c r="UBR65" s="1"/>
      <c r="UBS65" s="1"/>
      <c r="UBT65" s="1"/>
      <c r="UBU65" s="1"/>
      <c r="UBV65" s="1"/>
      <c r="UBW65" s="1"/>
      <c r="UBX65" s="1"/>
      <c r="UBY65" s="1"/>
      <c r="UBZ65" s="1"/>
      <c r="UCA65" s="1"/>
      <c r="UCB65" s="1"/>
      <c r="UCC65" s="1"/>
      <c r="UCD65" s="1"/>
      <c r="UCE65" s="1"/>
      <c r="UCF65" s="1"/>
      <c r="UCG65" s="1"/>
      <c r="UCH65" s="1"/>
      <c r="UCI65" s="1"/>
      <c r="UCJ65" s="1"/>
      <c r="UCK65" s="1"/>
      <c r="UCL65" s="1"/>
      <c r="UCM65" s="1"/>
      <c r="UCN65" s="1"/>
      <c r="UCO65" s="1"/>
      <c r="UCP65" s="1"/>
      <c r="UCQ65" s="1"/>
      <c r="UCR65" s="1"/>
      <c r="UCS65" s="1"/>
      <c r="UCT65" s="1"/>
      <c r="UCU65" s="1"/>
      <c r="UCV65" s="1"/>
      <c r="UCW65" s="1"/>
      <c r="UCX65" s="1"/>
      <c r="UCY65" s="1"/>
      <c r="UCZ65" s="1"/>
      <c r="UDA65" s="1"/>
      <c r="UDB65" s="1"/>
      <c r="UDC65" s="1"/>
      <c r="UDD65" s="1"/>
      <c r="UDE65" s="1"/>
      <c r="UDF65" s="1"/>
      <c r="UDG65" s="1"/>
      <c r="UDH65" s="1"/>
      <c r="UDI65" s="1"/>
      <c r="UDJ65" s="1"/>
      <c r="UDK65" s="1"/>
      <c r="UDL65" s="1"/>
      <c r="UDM65" s="1"/>
      <c r="UDN65" s="1"/>
      <c r="UDO65" s="1"/>
      <c r="UDP65" s="1"/>
      <c r="UDQ65" s="1"/>
      <c r="UDR65" s="1"/>
      <c r="UDS65" s="1"/>
      <c r="UDT65" s="1"/>
      <c r="UDU65" s="1"/>
      <c r="UDV65" s="1"/>
      <c r="UDW65" s="1"/>
      <c r="UDX65" s="1"/>
      <c r="UDY65" s="1"/>
      <c r="UDZ65" s="1"/>
      <c r="UEA65" s="1"/>
      <c r="UEB65" s="1"/>
      <c r="UEC65" s="1"/>
      <c r="UED65" s="1"/>
      <c r="UEE65" s="1"/>
      <c r="UEF65" s="1"/>
      <c r="UEG65" s="1"/>
      <c r="UEH65" s="1"/>
      <c r="UEI65" s="1"/>
      <c r="UEJ65" s="1"/>
      <c r="UEK65" s="1"/>
      <c r="UEL65" s="1"/>
      <c r="UEM65" s="1"/>
      <c r="UEN65" s="1"/>
      <c r="UEO65" s="1"/>
      <c r="UEP65" s="1"/>
      <c r="UEQ65" s="1"/>
      <c r="UER65" s="1"/>
      <c r="UES65" s="1"/>
      <c r="UET65" s="1"/>
      <c r="UEU65" s="1"/>
      <c r="UEV65" s="1"/>
      <c r="UEW65" s="1"/>
      <c r="UEX65" s="1"/>
      <c r="UEY65" s="1"/>
      <c r="UEZ65" s="1"/>
      <c r="UFA65" s="1"/>
      <c r="UFB65" s="1"/>
      <c r="UFC65" s="1"/>
      <c r="UFD65" s="1"/>
      <c r="UFE65" s="1"/>
      <c r="UFF65" s="1"/>
      <c r="UFG65" s="1"/>
      <c r="UFH65" s="1"/>
      <c r="UFI65" s="1"/>
      <c r="UFJ65" s="1"/>
      <c r="UFK65" s="1"/>
      <c r="UFL65" s="1"/>
      <c r="UFM65" s="1"/>
      <c r="UFN65" s="1"/>
      <c r="UFO65" s="1"/>
      <c r="UFP65" s="1"/>
      <c r="UFQ65" s="1"/>
      <c r="UFR65" s="1"/>
      <c r="UFS65" s="1"/>
      <c r="UFT65" s="1"/>
      <c r="UFU65" s="1"/>
      <c r="UFV65" s="1"/>
      <c r="UFW65" s="1"/>
      <c r="UFX65" s="1"/>
      <c r="UFY65" s="1"/>
      <c r="UFZ65" s="1"/>
      <c r="UGA65" s="1"/>
      <c r="UGB65" s="1"/>
      <c r="UGC65" s="1"/>
      <c r="UGD65" s="1"/>
      <c r="UGE65" s="1"/>
      <c r="UGF65" s="1"/>
      <c r="UGG65" s="1"/>
      <c r="UGH65" s="1"/>
      <c r="UGI65" s="1"/>
      <c r="UGJ65" s="1"/>
      <c r="UGK65" s="1"/>
      <c r="UGL65" s="1"/>
      <c r="UGM65" s="1"/>
      <c r="UGN65" s="1"/>
      <c r="UGO65" s="1"/>
      <c r="UGP65" s="1"/>
      <c r="UGQ65" s="1"/>
      <c r="UGR65" s="1"/>
      <c r="UGS65" s="1"/>
      <c r="UGT65" s="1"/>
      <c r="UGU65" s="1"/>
      <c r="UGV65" s="1"/>
      <c r="UGW65" s="1"/>
      <c r="UGX65" s="1"/>
      <c r="UGY65" s="1"/>
      <c r="UGZ65" s="1"/>
      <c r="UHA65" s="1"/>
      <c r="UHB65" s="1"/>
      <c r="UHC65" s="1"/>
      <c r="UHD65" s="1"/>
      <c r="UHE65" s="1"/>
      <c r="UHF65" s="1"/>
      <c r="UHG65" s="1"/>
      <c r="UHH65" s="1"/>
      <c r="UHI65" s="1"/>
      <c r="UHJ65" s="1"/>
      <c r="UHK65" s="1"/>
      <c r="UHL65" s="1"/>
      <c r="UHM65" s="1"/>
      <c r="UHN65" s="1"/>
      <c r="UHO65" s="1"/>
      <c r="UHP65" s="1"/>
      <c r="UHQ65" s="1"/>
      <c r="UHR65" s="1"/>
      <c r="UHS65" s="1"/>
      <c r="UHT65" s="1"/>
      <c r="UHU65" s="1"/>
      <c r="UHV65" s="1"/>
      <c r="UHW65" s="1"/>
      <c r="UHX65" s="1"/>
      <c r="UHY65" s="1"/>
      <c r="UHZ65" s="1"/>
      <c r="UIA65" s="1"/>
      <c r="UIB65" s="1"/>
      <c r="UIC65" s="1"/>
      <c r="UID65" s="1"/>
      <c r="UIE65" s="1"/>
      <c r="UIF65" s="1"/>
      <c r="UIG65" s="1"/>
      <c r="UIH65" s="1"/>
      <c r="UII65" s="1"/>
      <c r="UIJ65" s="1"/>
      <c r="UIK65" s="1"/>
      <c r="UIL65" s="1"/>
      <c r="UIM65" s="1"/>
      <c r="UIN65" s="1"/>
      <c r="UIO65" s="1"/>
      <c r="UIP65" s="1"/>
      <c r="UIQ65" s="1"/>
      <c r="UIR65" s="1"/>
      <c r="UIS65" s="1"/>
      <c r="UIT65" s="1"/>
      <c r="UIU65" s="1"/>
      <c r="UIV65" s="1"/>
      <c r="UIW65" s="1"/>
      <c r="UIX65" s="1"/>
      <c r="UIY65" s="1"/>
      <c r="UIZ65" s="1"/>
      <c r="UJA65" s="1"/>
      <c r="UJB65" s="1"/>
      <c r="UJC65" s="1"/>
      <c r="UJD65" s="1"/>
      <c r="UJE65" s="1"/>
      <c r="UJF65" s="1"/>
      <c r="UJG65" s="1"/>
      <c r="UJH65" s="1"/>
      <c r="UJI65" s="1"/>
      <c r="UJJ65" s="1"/>
      <c r="UJK65" s="1"/>
      <c r="UJL65" s="1"/>
      <c r="UJM65" s="1"/>
      <c r="UJN65" s="1"/>
      <c r="UJO65" s="1"/>
      <c r="UJP65" s="1"/>
      <c r="UJQ65" s="1"/>
      <c r="UJR65" s="1"/>
      <c r="UJS65" s="1"/>
      <c r="UJT65" s="1"/>
      <c r="UJU65" s="1"/>
      <c r="UJV65" s="1"/>
      <c r="UJW65" s="1"/>
      <c r="UJX65" s="1"/>
      <c r="UJY65" s="1"/>
      <c r="UJZ65" s="1"/>
      <c r="UKA65" s="1"/>
      <c r="UKB65" s="1"/>
      <c r="UKC65" s="1"/>
      <c r="UKD65" s="1"/>
      <c r="UKE65" s="1"/>
      <c r="UKF65" s="1"/>
      <c r="UKG65" s="1"/>
      <c r="UKH65" s="1"/>
      <c r="UKI65" s="1"/>
      <c r="UKJ65" s="1"/>
      <c r="UKK65" s="1"/>
      <c r="UKL65" s="1"/>
      <c r="UKM65" s="1"/>
      <c r="UKN65" s="1"/>
      <c r="UKO65" s="1"/>
      <c r="UKP65" s="1"/>
      <c r="UKQ65" s="1"/>
      <c r="UKR65" s="1"/>
      <c r="UKS65" s="1"/>
      <c r="UKT65" s="1"/>
      <c r="UKU65" s="1"/>
      <c r="UKV65" s="1"/>
      <c r="UKW65" s="1"/>
      <c r="UKX65" s="1"/>
      <c r="UKY65" s="1"/>
      <c r="UKZ65" s="1"/>
      <c r="ULA65" s="1"/>
      <c r="ULB65" s="1"/>
      <c r="ULC65" s="1"/>
      <c r="ULD65" s="1"/>
      <c r="ULE65" s="1"/>
      <c r="ULF65" s="1"/>
      <c r="ULG65" s="1"/>
      <c r="ULH65" s="1"/>
      <c r="ULI65" s="1"/>
      <c r="ULJ65" s="1"/>
      <c r="ULK65" s="1"/>
      <c r="ULL65" s="1"/>
      <c r="ULM65" s="1"/>
      <c r="ULN65" s="1"/>
      <c r="ULO65" s="1"/>
      <c r="ULP65" s="1"/>
      <c r="ULQ65" s="1"/>
      <c r="ULR65" s="1"/>
      <c r="ULS65" s="1"/>
      <c r="ULT65" s="1"/>
      <c r="ULU65" s="1"/>
      <c r="ULV65" s="1"/>
      <c r="ULW65" s="1"/>
      <c r="ULX65" s="1"/>
      <c r="ULY65" s="1"/>
      <c r="ULZ65" s="1"/>
      <c r="UMA65" s="1"/>
      <c r="UMB65" s="1"/>
      <c r="UMC65" s="1"/>
      <c r="UMD65" s="1"/>
      <c r="UME65" s="1"/>
      <c r="UMF65" s="1"/>
      <c r="UMG65" s="1"/>
      <c r="UMH65" s="1"/>
      <c r="UMI65" s="1"/>
      <c r="UMJ65" s="1"/>
      <c r="UMK65" s="1"/>
      <c r="UML65" s="1"/>
      <c r="UMM65" s="1"/>
      <c r="UMN65" s="1"/>
      <c r="UMO65" s="1"/>
      <c r="UMP65" s="1"/>
      <c r="UMQ65" s="1"/>
      <c r="UMR65" s="1"/>
      <c r="UMS65" s="1"/>
      <c r="UMT65" s="1"/>
      <c r="UMU65" s="1"/>
      <c r="UMV65" s="1"/>
      <c r="UMW65" s="1"/>
      <c r="UMX65" s="1"/>
      <c r="UMY65" s="1"/>
      <c r="UMZ65" s="1"/>
      <c r="UNA65" s="1"/>
      <c r="UNB65" s="1"/>
      <c r="UNC65" s="1"/>
      <c r="UND65" s="1"/>
      <c r="UNE65" s="1"/>
      <c r="UNF65" s="1"/>
      <c r="UNG65" s="1"/>
      <c r="UNH65" s="1"/>
      <c r="UNI65" s="1"/>
      <c r="UNJ65" s="1"/>
      <c r="UNK65" s="1"/>
      <c r="UNL65" s="1"/>
      <c r="UNM65" s="1"/>
      <c r="UNN65" s="1"/>
      <c r="UNO65" s="1"/>
      <c r="UNP65" s="1"/>
      <c r="UNQ65" s="1"/>
      <c r="UNR65" s="1"/>
      <c r="UNS65" s="1"/>
      <c r="UNT65" s="1"/>
      <c r="UNU65" s="1"/>
      <c r="UNV65" s="1"/>
      <c r="UNW65" s="1"/>
      <c r="UNX65" s="1"/>
      <c r="UNY65" s="1"/>
      <c r="UNZ65" s="1"/>
      <c r="UOA65" s="1"/>
      <c r="UOB65" s="1"/>
      <c r="UOC65" s="1"/>
      <c r="UOD65" s="1"/>
      <c r="UOE65" s="1"/>
      <c r="UOF65" s="1"/>
      <c r="UOG65" s="1"/>
      <c r="UOH65" s="1"/>
      <c r="UOI65" s="1"/>
      <c r="UOJ65" s="1"/>
      <c r="UOK65" s="1"/>
      <c r="UOL65" s="1"/>
      <c r="UOM65" s="1"/>
      <c r="UON65" s="1"/>
      <c r="UOO65" s="1"/>
      <c r="UOP65" s="1"/>
      <c r="UOQ65" s="1"/>
      <c r="UOR65" s="1"/>
      <c r="UOS65" s="1"/>
      <c r="UOT65" s="1"/>
      <c r="UOU65" s="1"/>
      <c r="UOV65" s="1"/>
      <c r="UOW65" s="1"/>
      <c r="UOX65" s="1"/>
      <c r="UOY65" s="1"/>
      <c r="UOZ65" s="1"/>
      <c r="UPA65" s="1"/>
      <c r="UPB65" s="1"/>
      <c r="UPC65" s="1"/>
      <c r="UPD65" s="1"/>
      <c r="UPE65" s="1"/>
      <c r="UPF65" s="1"/>
      <c r="UPG65" s="1"/>
      <c r="UPH65" s="1"/>
      <c r="UPI65" s="1"/>
      <c r="UPJ65" s="1"/>
      <c r="UPK65" s="1"/>
      <c r="UPL65" s="1"/>
      <c r="UPM65" s="1"/>
      <c r="UPN65" s="1"/>
      <c r="UPO65" s="1"/>
      <c r="UPP65" s="1"/>
      <c r="UPQ65" s="1"/>
      <c r="UPR65" s="1"/>
      <c r="UPS65" s="1"/>
      <c r="UPT65" s="1"/>
      <c r="UPU65" s="1"/>
      <c r="UPV65" s="1"/>
      <c r="UPW65" s="1"/>
      <c r="UPX65" s="1"/>
      <c r="UPY65" s="1"/>
      <c r="UPZ65" s="1"/>
      <c r="UQA65" s="1"/>
      <c r="UQB65" s="1"/>
      <c r="UQC65" s="1"/>
      <c r="UQD65" s="1"/>
      <c r="UQE65" s="1"/>
      <c r="UQF65" s="1"/>
      <c r="UQG65" s="1"/>
      <c r="UQH65" s="1"/>
      <c r="UQI65" s="1"/>
      <c r="UQJ65" s="1"/>
      <c r="UQK65" s="1"/>
      <c r="UQL65" s="1"/>
      <c r="UQM65" s="1"/>
      <c r="UQN65" s="1"/>
      <c r="UQO65" s="1"/>
      <c r="UQP65" s="1"/>
      <c r="UQQ65" s="1"/>
      <c r="UQR65" s="1"/>
      <c r="UQS65" s="1"/>
      <c r="UQT65" s="1"/>
      <c r="UQU65" s="1"/>
      <c r="UQV65" s="1"/>
      <c r="UQW65" s="1"/>
      <c r="UQX65" s="1"/>
      <c r="UQY65" s="1"/>
      <c r="UQZ65" s="1"/>
      <c r="URA65" s="1"/>
      <c r="URB65" s="1"/>
      <c r="URC65" s="1"/>
      <c r="URD65" s="1"/>
      <c r="URE65" s="1"/>
      <c r="URF65" s="1"/>
      <c r="URG65" s="1"/>
      <c r="URH65" s="1"/>
      <c r="URI65" s="1"/>
      <c r="URJ65" s="1"/>
      <c r="URK65" s="1"/>
      <c r="URL65" s="1"/>
      <c r="URM65" s="1"/>
      <c r="URN65" s="1"/>
      <c r="URO65" s="1"/>
      <c r="URP65" s="1"/>
      <c r="URQ65" s="1"/>
      <c r="URR65" s="1"/>
      <c r="URS65" s="1"/>
      <c r="URT65" s="1"/>
      <c r="URU65" s="1"/>
      <c r="URV65" s="1"/>
      <c r="URW65" s="1"/>
      <c r="URX65" s="1"/>
      <c r="URY65" s="1"/>
      <c r="URZ65" s="1"/>
      <c r="USA65" s="1"/>
      <c r="USB65" s="1"/>
      <c r="USC65" s="1"/>
      <c r="USD65" s="1"/>
      <c r="USE65" s="1"/>
      <c r="USF65" s="1"/>
      <c r="USG65" s="1"/>
      <c r="USH65" s="1"/>
      <c r="USI65" s="1"/>
      <c r="USJ65" s="1"/>
      <c r="USK65" s="1"/>
      <c r="USL65" s="1"/>
      <c r="USM65" s="1"/>
      <c r="USN65" s="1"/>
      <c r="USO65" s="1"/>
      <c r="USP65" s="1"/>
      <c r="USQ65" s="1"/>
      <c r="USR65" s="1"/>
      <c r="USS65" s="1"/>
      <c r="UST65" s="1"/>
      <c r="USU65" s="1"/>
      <c r="USV65" s="1"/>
      <c r="USW65" s="1"/>
      <c r="USX65" s="1"/>
      <c r="USY65" s="1"/>
      <c r="USZ65" s="1"/>
      <c r="UTA65" s="1"/>
      <c r="UTB65" s="1"/>
      <c r="UTC65" s="1"/>
      <c r="UTD65" s="1"/>
      <c r="UTE65" s="1"/>
      <c r="UTF65" s="1"/>
      <c r="UTG65" s="1"/>
      <c r="UTH65" s="1"/>
      <c r="UTI65" s="1"/>
      <c r="UTJ65" s="1"/>
      <c r="UTK65" s="1"/>
      <c r="UTL65" s="1"/>
      <c r="UTM65" s="1"/>
      <c r="UTN65" s="1"/>
      <c r="UTO65" s="1"/>
      <c r="UTP65" s="1"/>
      <c r="UTQ65" s="1"/>
      <c r="UTR65" s="1"/>
      <c r="UTS65" s="1"/>
      <c r="UTT65" s="1"/>
      <c r="UTU65" s="1"/>
      <c r="UTV65" s="1"/>
      <c r="UTW65" s="1"/>
      <c r="UTX65" s="1"/>
      <c r="UTY65" s="1"/>
      <c r="UTZ65" s="1"/>
      <c r="UUA65" s="1"/>
      <c r="UUB65" s="1"/>
      <c r="UUC65" s="1"/>
      <c r="UUD65" s="1"/>
      <c r="UUE65" s="1"/>
      <c r="UUF65" s="1"/>
      <c r="UUG65" s="1"/>
      <c r="UUH65" s="1"/>
      <c r="UUI65" s="1"/>
      <c r="UUJ65" s="1"/>
      <c r="UUK65" s="1"/>
      <c r="UUL65" s="1"/>
      <c r="UUM65" s="1"/>
      <c r="UUN65" s="1"/>
      <c r="UUO65" s="1"/>
      <c r="UUP65" s="1"/>
      <c r="UUQ65" s="1"/>
      <c r="UUR65" s="1"/>
      <c r="UUS65" s="1"/>
      <c r="UUT65" s="1"/>
      <c r="UUU65" s="1"/>
      <c r="UUV65" s="1"/>
      <c r="UUW65" s="1"/>
      <c r="UUX65" s="1"/>
      <c r="UUY65" s="1"/>
      <c r="UUZ65" s="1"/>
      <c r="UVA65" s="1"/>
      <c r="UVB65" s="1"/>
      <c r="UVC65" s="1"/>
      <c r="UVD65" s="1"/>
      <c r="UVE65" s="1"/>
      <c r="UVF65" s="1"/>
      <c r="UVG65" s="1"/>
      <c r="UVH65" s="1"/>
      <c r="UVI65" s="1"/>
      <c r="UVJ65" s="1"/>
      <c r="UVK65" s="1"/>
      <c r="UVL65" s="1"/>
      <c r="UVM65" s="1"/>
      <c r="UVN65" s="1"/>
      <c r="UVO65" s="1"/>
      <c r="UVP65" s="1"/>
      <c r="UVQ65" s="1"/>
      <c r="UVR65" s="1"/>
      <c r="UVS65" s="1"/>
      <c r="UVT65" s="1"/>
      <c r="UVU65" s="1"/>
      <c r="UVV65" s="1"/>
      <c r="UVW65" s="1"/>
      <c r="UVX65" s="1"/>
      <c r="UVY65" s="1"/>
      <c r="UVZ65" s="1"/>
      <c r="UWA65" s="1"/>
      <c r="UWB65" s="1"/>
      <c r="UWC65" s="1"/>
      <c r="UWD65" s="1"/>
      <c r="UWE65" s="1"/>
      <c r="UWF65" s="1"/>
      <c r="UWG65" s="1"/>
      <c r="UWH65" s="1"/>
      <c r="UWI65" s="1"/>
      <c r="UWJ65" s="1"/>
      <c r="UWK65" s="1"/>
      <c r="UWL65" s="1"/>
      <c r="UWM65" s="1"/>
      <c r="UWN65" s="1"/>
      <c r="UWO65" s="1"/>
      <c r="UWP65" s="1"/>
      <c r="UWQ65" s="1"/>
      <c r="UWR65" s="1"/>
      <c r="UWS65" s="1"/>
      <c r="UWT65" s="1"/>
      <c r="UWU65" s="1"/>
      <c r="UWV65" s="1"/>
      <c r="UWW65" s="1"/>
      <c r="UWX65" s="1"/>
      <c r="UWY65" s="1"/>
      <c r="UWZ65" s="1"/>
      <c r="UXA65" s="1"/>
      <c r="UXB65" s="1"/>
      <c r="UXC65" s="1"/>
      <c r="UXD65" s="1"/>
      <c r="UXE65" s="1"/>
      <c r="UXF65" s="1"/>
      <c r="UXG65" s="1"/>
      <c r="UXH65" s="1"/>
      <c r="UXI65" s="1"/>
      <c r="UXJ65" s="1"/>
      <c r="UXK65" s="1"/>
      <c r="UXL65" s="1"/>
      <c r="UXM65" s="1"/>
      <c r="UXN65" s="1"/>
      <c r="UXO65" s="1"/>
      <c r="UXP65" s="1"/>
      <c r="UXQ65" s="1"/>
      <c r="UXR65" s="1"/>
      <c r="UXS65" s="1"/>
      <c r="UXT65" s="1"/>
      <c r="UXU65" s="1"/>
      <c r="UXV65" s="1"/>
      <c r="UXW65" s="1"/>
      <c r="UXX65" s="1"/>
      <c r="UXY65" s="1"/>
      <c r="UXZ65" s="1"/>
      <c r="UYA65" s="1"/>
      <c r="UYB65" s="1"/>
      <c r="UYC65" s="1"/>
      <c r="UYD65" s="1"/>
      <c r="UYE65" s="1"/>
      <c r="UYF65" s="1"/>
      <c r="UYG65" s="1"/>
      <c r="UYH65" s="1"/>
      <c r="UYI65" s="1"/>
      <c r="UYJ65" s="1"/>
      <c r="UYK65" s="1"/>
      <c r="UYL65" s="1"/>
      <c r="UYM65" s="1"/>
      <c r="UYN65" s="1"/>
      <c r="UYO65" s="1"/>
      <c r="UYP65" s="1"/>
      <c r="UYQ65" s="1"/>
      <c r="UYR65" s="1"/>
      <c r="UYS65" s="1"/>
      <c r="UYT65" s="1"/>
      <c r="UYU65" s="1"/>
      <c r="UYV65" s="1"/>
      <c r="UYW65" s="1"/>
      <c r="UYX65" s="1"/>
      <c r="UYY65" s="1"/>
      <c r="UYZ65" s="1"/>
      <c r="UZA65" s="1"/>
      <c r="UZB65" s="1"/>
      <c r="UZC65" s="1"/>
      <c r="UZD65" s="1"/>
      <c r="UZE65" s="1"/>
      <c r="UZF65" s="1"/>
      <c r="UZG65" s="1"/>
      <c r="UZH65" s="1"/>
      <c r="UZI65" s="1"/>
      <c r="UZJ65" s="1"/>
      <c r="UZK65" s="1"/>
      <c r="UZL65" s="1"/>
      <c r="UZM65" s="1"/>
      <c r="UZN65" s="1"/>
      <c r="UZO65" s="1"/>
      <c r="UZP65" s="1"/>
      <c r="UZQ65" s="1"/>
      <c r="UZR65" s="1"/>
      <c r="UZS65" s="1"/>
      <c r="UZT65" s="1"/>
      <c r="UZU65" s="1"/>
      <c r="UZV65" s="1"/>
      <c r="UZW65" s="1"/>
      <c r="UZX65" s="1"/>
      <c r="UZY65" s="1"/>
      <c r="UZZ65" s="1"/>
      <c r="VAA65" s="1"/>
      <c r="VAB65" s="1"/>
      <c r="VAC65" s="1"/>
      <c r="VAD65" s="1"/>
      <c r="VAE65" s="1"/>
      <c r="VAF65" s="1"/>
      <c r="VAG65" s="1"/>
      <c r="VAH65" s="1"/>
      <c r="VAI65" s="1"/>
      <c r="VAJ65" s="1"/>
      <c r="VAK65" s="1"/>
      <c r="VAL65" s="1"/>
      <c r="VAM65" s="1"/>
      <c r="VAN65" s="1"/>
      <c r="VAO65" s="1"/>
      <c r="VAP65" s="1"/>
      <c r="VAQ65" s="1"/>
      <c r="VAR65" s="1"/>
      <c r="VAS65" s="1"/>
      <c r="VAT65" s="1"/>
      <c r="VAU65" s="1"/>
      <c r="VAV65" s="1"/>
      <c r="VAW65" s="1"/>
      <c r="VAX65" s="1"/>
      <c r="VAY65" s="1"/>
      <c r="VAZ65" s="1"/>
      <c r="VBA65" s="1"/>
      <c r="VBB65" s="1"/>
      <c r="VBC65" s="1"/>
      <c r="VBD65" s="1"/>
      <c r="VBE65" s="1"/>
      <c r="VBF65" s="1"/>
      <c r="VBG65" s="1"/>
      <c r="VBH65" s="1"/>
      <c r="VBI65" s="1"/>
      <c r="VBJ65" s="1"/>
      <c r="VBK65" s="1"/>
      <c r="VBL65" s="1"/>
      <c r="VBM65" s="1"/>
      <c r="VBN65" s="1"/>
      <c r="VBO65" s="1"/>
      <c r="VBP65" s="1"/>
      <c r="VBQ65" s="1"/>
      <c r="VBR65" s="1"/>
      <c r="VBS65" s="1"/>
      <c r="VBT65" s="1"/>
      <c r="VBU65" s="1"/>
      <c r="VBV65" s="1"/>
      <c r="VBW65" s="1"/>
      <c r="VBX65" s="1"/>
      <c r="VBY65" s="1"/>
      <c r="VBZ65" s="1"/>
      <c r="VCA65" s="1"/>
      <c r="VCB65" s="1"/>
      <c r="VCC65" s="1"/>
      <c r="VCD65" s="1"/>
      <c r="VCE65" s="1"/>
      <c r="VCF65" s="1"/>
      <c r="VCG65" s="1"/>
      <c r="VCH65" s="1"/>
      <c r="VCI65" s="1"/>
      <c r="VCJ65" s="1"/>
      <c r="VCK65" s="1"/>
      <c r="VCL65" s="1"/>
      <c r="VCM65" s="1"/>
      <c r="VCN65" s="1"/>
      <c r="VCO65" s="1"/>
      <c r="VCP65" s="1"/>
      <c r="VCQ65" s="1"/>
      <c r="VCR65" s="1"/>
      <c r="VCS65" s="1"/>
      <c r="VCT65" s="1"/>
      <c r="VCU65" s="1"/>
      <c r="VCV65" s="1"/>
      <c r="VCW65" s="1"/>
      <c r="VCX65" s="1"/>
      <c r="VCY65" s="1"/>
      <c r="VCZ65" s="1"/>
      <c r="VDA65" s="1"/>
      <c r="VDB65" s="1"/>
      <c r="VDC65" s="1"/>
      <c r="VDD65" s="1"/>
      <c r="VDE65" s="1"/>
      <c r="VDF65" s="1"/>
      <c r="VDG65" s="1"/>
      <c r="VDH65" s="1"/>
      <c r="VDI65" s="1"/>
      <c r="VDJ65" s="1"/>
      <c r="VDK65" s="1"/>
      <c r="VDL65" s="1"/>
      <c r="VDM65" s="1"/>
      <c r="VDN65" s="1"/>
      <c r="VDO65" s="1"/>
      <c r="VDP65" s="1"/>
      <c r="VDQ65" s="1"/>
      <c r="VDR65" s="1"/>
      <c r="VDS65" s="1"/>
      <c r="VDT65" s="1"/>
      <c r="VDU65" s="1"/>
      <c r="VDV65" s="1"/>
      <c r="VDW65" s="1"/>
      <c r="VDX65" s="1"/>
      <c r="VDY65" s="1"/>
      <c r="VDZ65" s="1"/>
      <c r="VEA65" s="1"/>
      <c r="VEB65" s="1"/>
      <c r="VEC65" s="1"/>
      <c r="VED65" s="1"/>
      <c r="VEE65" s="1"/>
      <c r="VEF65" s="1"/>
      <c r="VEG65" s="1"/>
      <c r="VEH65" s="1"/>
      <c r="VEI65" s="1"/>
      <c r="VEJ65" s="1"/>
      <c r="VEK65" s="1"/>
      <c r="VEL65" s="1"/>
      <c r="VEM65" s="1"/>
      <c r="VEN65" s="1"/>
      <c r="VEO65" s="1"/>
      <c r="VEP65" s="1"/>
      <c r="VEQ65" s="1"/>
      <c r="VER65" s="1"/>
      <c r="VES65" s="1"/>
      <c r="VET65" s="1"/>
      <c r="VEU65" s="1"/>
      <c r="VEV65" s="1"/>
      <c r="VEW65" s="1"/>
      <c r="VEX65" s="1"/>
      <c r="VEY65" s="1"/>
      <c r="VEZ65" s="1"/>
      <c r="VFA65" s="1"/>
      <c r="VFB65" s="1"/>
      <c r="VFC65" s="1"/>
      <c r="VFD65" s="1"/>
      <c r="VFE65" s="1"/>
      <c r="VFF65" s="1"/>
      <c r="VFG65" s="1"/>
      <c r="VFH65" s="1"/>
      <c r="VFI65" s="1"/>
      <c r="VFJ65" s="1"/>
      <c r="VFK65" s="1"/>
      <c r="VFL65" s="1"/>
      <c r="VFM65" s="1"/>
      <c r="VFN65" s="1"/>
      <c r="VFO65" s="1"/>
      <c r="VFP65" s="1"/>
      <c r="VFQ65" s="1"/>
      <c r="VFR65" s="1"/>
      <c r="VFS65" s="1"/>
      <c r="VFT65" s="1"/>
      <c r="VFU65" s="1"/>
      <c r="VFV65" s="1"/>
      <c r="VFW65" s="1"/>
      <c r="VFX65" s="1"/>
      <c r="VFY65" s="1"/>
      <c r="VFZ65" s="1"/>
      <c r="VGA65" s="1"/>
      <c r="VGB65" s="1"/>
      <c r="VGC65" s="1"/>
      <c r="VGD65" s="1"/>
      <c r="VGE65" s="1"/>
      <c r="VGF65" s="1"/>
      <c r="VGG65" s="1"/>
      <c r="VGH65" s="1"/>
      <c r="VGI65" s="1"/>
      <c r="VGJ65" s="1"/>
      <c r="VGK65" s="1"/>
      <c r="VGL65" s="1"/>
      <c r="VGM65" s="1"/>
      <c r="VGN65" s="1"/>
      <c r="VGO65" s="1"/>
      <c r="VGP65" s="1"/>
      <c r="VGQ65" s="1"/>
      <c r="VGR65" s="1"/>
      <c r="VGS65" s="1"/>
      <c r="VGT65" s="1"/>
      <c r="VGU65" s="1"/>
      <c r="VGV65" s="1"/>
      <c r="VGW65" s="1"/>
      <c r="VGX65" s="1"/>
      <c r="VGY65" s="1"/>
      <c r="VGZ65" s="1"/>
      <c r="VHA65" s="1"/>
      <c r="VHB65" s="1"/>
      <c r="VHC65" s="1"/>
      <c r="VHD65" s="1"/>
      <c r="VHE65" s="1"/>
      <c r="VHF65" s="1"/>
      <c r="VHG65" s="1"/>
      <c r="VHH65" s="1"/>
      <c r="VHI65" s="1"/>
      <c r="VHJ65" s="1"/>
      <c r="VHK65" s="1"/>
      <c r="VHL65" s="1"/>
      <c r="VHM65" s="1"/>
      <c r="VHN65" s="1"/>
      <c r="VHO65" s="1"/>
      <c r="VHP65" s="1"/>
      <c r="VHQ65" s="1"/>
      <c r="VHR65" s="1"/>
      <c r="VHS65" s="1"/>
      <c r="VHT65" s="1"/>
      <c r="VHU65" s="1"/>
      <c r="VHV65" s="1"/>
      <c r="VHW65" s="1"/>
      <c r="VHX65" s="1"/>
      <c r="VHY65" s="1"/>
      <c r="VHZ65" s="1"/>
      <c r="VIA65" s="1"/>
      <c r="VIB65" s="1"/>
      <c r="VIC65" s="1"/>
      <c r="VID65" s="1"/>
      <c r="VIE65" s="1"/>
      <c r="VIF65" s="1"/>
      <c r="VIG65" s="1"/>
      <c r="VIH65" s="1"/>
      <c r="VII65" s="1"/>
      <c r="VIJ65" s="1"/>
      <c r="VIK65" s="1"/>
      <c r="VIL65" s="1"/>
      <c r="VIM65" s="1"/>
      <c r="VIN65" s="1"/>
      <c r="VIO65" s="1"/>
      <c r="VIP65" s="1"/>
      <c r="VIQ65" s="1"/>
      <c r="VIR65" s="1"/>
      <c r="VIS65" s="1"/>
      <c r="VIT65" s="1"/>
      <c r="VIU65" s="1"/>
      <c r="VIV65" s="1"/>
      <c r="VIW65" s="1"/>
      <c r="VIX65" s="1"/>
      <c r="VIY65" s="1"/>
      <c r="VIZ65" s="1"/>
      <c r="VJA65" s="1"/>
      <c r="VJB65" s="1"/>
      <c r="VJC65" s="1"/>
      <c r="VJD65" s="1"/>
      <c r="VJE65" s="1"/>
      <c r="VJF65" s="1"/>
      <c r="VJG65" s="1"/>
      <c r="VJH65" s="1"/>
      <c r="VJI65" s="1"/>
      <c r="VJJ65" s="1"/>
      <c r="VJK65" s="1"/>
      <c r="VJL65" s="1"/>
      <c r="VJM65" s="1"/>
      <c r="VJN65" s="1"/>
      <c r="VJO65" s="1"/>
      <c r="VJP65" s="1"/>
      <c r="VJQ65" s="1"/>
      <c r="VJR65" s="1"/>
      <c r="VJS65" s="1"/>
      <c r="VJT65" s="1"/>
      <c r="VJU65" s="1"/>
      <c r="VJV65" s="1"/>
      <c r="VJW65" s="1"/>
      <c r="VJX65" s="1"/>
      <c r="VJY65" s="1"/>
      <c r="VJZ65" s="1"/>
      <c r="VKA65" s="1"/>
      <c r="VKB65" s="1"/>
      <c r="VKC65" s="1"/>
      <c r="VKD65" s="1"/>
      <c r="VKE65" s="1"/>
      <c r="VKF65" s="1"/>
      <c r="VKG65" s="1"/>
      <c r="VKH65" s="1"/>
      <c r="VKI65" s="1"/>
      <c r="VKJ65" s="1"/>
      <c r="VKK65" s="1"/>
      <c r="VKL65" s="1"/>
      <c r="VKM65" s="1"/>
      <c r="VKN65" s="1"/>
      <c r="VKO65" s="1"/>
      <c r="VKP65" s="1"/>
      <c r="VKQ65" s="1"/>
      <c r="VKR65" s="1"/>
      <c r="VKS65" s="1"/>
      <c r="VKT65" s="1"/>
      <c r="VKU65" s="1"/>
      <c r="VKV65" s="1"/>
      <c r="VKW65" s="1"/>
      <c r="VKX65" s="1"/>
      <c r="VKY65" s="1"/>
      <c r="VKZ65" s="1"/>
      <c r="VLA65" s="1"/>
      <c r="VLB65" s="1"/>
      <c r="VLC65" s="1"/>
      <c r="VLD65" s="1"/>
      <c r="VLE65" s="1"/>
      <c r="VLF65" s="1"/>
      <c r="VLG65" s="1"/>
      <c r="VLH65" s="1"/>
      <c r="VLI65" s="1"/>
      <c r="VLJ65" s="1"/>
      <c r="VLK65" s="1"/>
      <c r="VLL65" s="1"/>
      <c r="VLM65" s="1"/>
      <c r="VLN65" s="1"/>
      <c r="VLO65" s="1"/>
      <c r="VLP65" s="1"/>
      <c r="VLQ65" s="1"/>
      <c r="VLR65" s="1"/>
      <c r="VLS65" s="1"/>
      <c r="VLT65" s="1"/>
      <c r="VLU65" s="1"/>
      <c r="VLV65" s="1"/>
      <c r="VLW65" s="1"/>
      <c r="VLX65" s="1"/>
      <c r="VLY65" s="1"/>
      <c r="VLZ65" s="1"/>
      <c r="VMA65" s="1"/>
      <c r="VMB65" s="1"/>
      <c r="VMC65" s="1"/>
      <c r="VMD65" s="1"/>
      <c r="VME65" s="1"/>
      <c r="VMF65" s="1"/>
      <c r="VMG65" s="1"/>
      <c r="VMH65" s="1"/>
      <c r="VMI65" s="1"/>
      <c r="VMJ65" s="1"/>
      <c r="VMK65" s="1"/>
      <c r="VML65" s="1"/>
      <c r="VMM65" s="1"/>
      <c r="VMN65" s="1"/>
      <c r="VMO65" s="1"/>
      <c r="VMP65" s="1"/>
      <c r="VMQ65" s="1"/>
      <c r="VMR65" s="1"/>
      <c r="VMS65" s="1"/>
      <c r="VMT65" s="1"/>
      <c r="VMU65" s="1"/>
      <c r="VMV65" s="1"/>
      <c r="VMW65" s="1"/>
      <c r="VMX65" s="1"/>
      <c r="VMY65" s="1"/>
      <c r="VMZ65" s="1"/>
      <c r="VNA65" s="1"/>
      <c r="VNB65" s="1"/>
      <c r="VNC65" s="1"/>
      <c r="VND65" s="1"/>
      <c r="VNE65" s="1"/>
      <c r="VNF65" s="1"/>
      <c r="VNG65" s="1"/>
      <c r="VNH65" s="1"/>
      <c r="VNI65" s="1"/>
      <c r="VNJ65" s="1"/>
      <c r="VNK65" s="1"/>
      <c r="VNL65" s="1"/>
      <c r="VNM65" s="1"/>
      <c r="VNN65" s="1"/>
      <c r="VNO65" s="1"/>
      <c r="VNP65" s="1"/>
      <c r="VNQ65" s="1"/>
      <c r="VNR65" s="1"/>
      <c r="VNS65" s="1"/>
      <c r="VNT65" s="1"/>
      <c r="VNU65" s="1"/>
      <c r="VNV65" s="1"/>
      <c r="VNW65" s="1"/>
      <c r="VNX65" s="1"/>
      <c r="VNY65" s="1"/>
      <c r="VNZ65" s="1"/>
      <c r="VOA65" s="1"/>
      <c r="VOB65" s="1"/>
      <c r="VOC65" s="1"/>
      <c r="VOD65" s="1"/>
      <c r="VOE65" s="1"/>
      <c r="VOF65" s="1"/>
      <c r="VOG65" s="1"/>
      <c r="VOH65" s="1"/>
      <c r="VOI65" s="1"/>
      <c r="VOJ65" s="1"/>
      <c r="VOK65" s="1"/>
      <c r="VOL65" s="1"/>
      <c r="VOM65" s="1"/>
      <c r="VON65" s="1"/>
      <c r="VOO65" s="1"/>
      <c r="VOP65" s="1"/>
      <c r="VOQ65" s="1"/>
      <c r="VOR65" s="1"/>
      <c r="VOS65" s="1"/>
      <c r="VOT65" s="1"/>
      <c r="VOU65" s="1"/>
      <c r="VOV65" s="1"/>
      <c r="VOW65" s="1"/>
      <c r="VOX65" s="1"/>
      <c r="VOY65" s="1"/>
      <c r="VOZ65" s="1"/>
      <c r="VPA65" s="1"/>
      <c r="VPB65" s="1"/>
      <c r="VPC65" s="1"/>
      <c r="VPD65" s="1"/>
      <c r="VPE65" s="1"/>
      <c r="VPF65" s="1"/>
      <c r="VPG65" s="1"/>
      <c r="VPH65" s="1"/>
      <c r="VPI65" s="1"/>
      <c r="VPJ65" s="1"/>
      <c r="VPK65" s="1"/>
      <c r="VPL65" s="1"/>
      <c r="VPM65" s="1"/>
      <c r="VPN65" s="1"/>
      <c r="VPO65" s="1"/>
      <c r="VPP65" s="1"/>
      <c r="VPQ65" s="1"/>
      <c r="VPR65" s="1"/>
      <c r="VPS65" s="1"/>
      <c r="VPT65" s="1"/>
      <c r="VPU65" s="1"/>
      <c r="VPV65" s="1"/>
      <c r="VPW65" s="1"/>
      <c r="VPX65" s="1"/>
      <c r="VPY65" s="1"/>
      <c r="VPZ65" s="1"/>
      <c r="VQA65" s="1"/>
      <c r="VQB65" s="1"/>
      <c r="VQC65" s="1"/>
      <c r="VQD65" s="1"/>
      <c r="VQE65" s="1"/>
      <c r="VQF65" s="1"/>
      <c r="VQG65" s="1"/>
      <c r="VQH65" s="1"/>
      <c r="VQI65" s="1"/>
      <c r="VQJ65" s="1"/>
      <c r="VQK65" s="1"/>
      <c r="VQL65" s="1"/>
      <c r="VQM65" s="1"/>
      <c r="VQN65" s="1"/>
      <c r="VQO65" s="1"/>
      <c r="VQP65" s="1"/>
      <c r="VQQ65" s="1"/>
      <c r="VQR65" s="1"/>
      <c r="VQS65" s="1"/>
      <c r="VQT65" s="1"/>
      <c r="VQU65" s="1"/>
      <c r="VQV65" s="1"/>
      <c r="VQW65" s="1"/>
      <c r="VQX65" s="1"/>
      <c r="VQY65" s="1"/>
      <c r="VQZ65" s="1"/>
      <c r="VRA65" s="1"/>
      <c r="VRB65" s="1"/>
      <c r="VRC65" s="1"/>
      <c r="VRD65" s="1"/>
      <c r="VRE65" s="1"/>
      <c r="VRF65" s="1"/>
      <c r="VRG65" s="1"/>
      <c r="VRH65" s="1"/>
      <c r="VRI65" s="1"/>
      <c r="VRJ65" s="1"/>
      <c r="VRK65" s="1"/>
      <c r="VRL65" s="1"/>
      <c r="VRM65" s="1"/>
      <c r="VRN65" s="1"/>
      <c r="VRO65" s="1"/>
      <c r="VRP65" s="1"/>
      <c r="VRQ65" s="1"/>
      <c r="VRR65" s="1"/>
      <c r="VRS65" s="1"/>
      <c r="VRT65" s="1"/>
      <c r="VRU65" s="1"/>
      <c r="VRV65" s="1"/>
      <c r="VRW65" s="1"/>
      <c r="VRX65" s="1"/>
      <c r="VRY65" s="1"/>
      <c r="VRZ65" s="1"/>
      <c r="VSA65" s="1"/>
      <c r="VSB65" s="1"/>
      <c r="VSC65" s="1"/>
      <c r="VSD65" s="1"/>
      <c r="VSE65" s="1"/>
      <c r="VSF65" s="1"/>
      <c r="VSG65" s="1"/>
      <c r="VSH65" s="1"/>
      <c r="VSI65" s="1"/>
      <c r="VSJ65" s="1"/>
      <c r="VSK65" s="1"/>
      <c r="VSL65" s="1"/>
      <c r="VSM65" s="1"/>
      <c r="VSN65" s="1"/>
      <c r="VSO65" s="1"/>
      <c r="VSP65" s="1"/>
      <c r="VSQ65" s="1"/>
      <c r="VSR65" s="1"/>
      <c r="VSS65" s="1"/>
      <c r="VST65" s="1"/>
      <c r="VSU65" s="1"/>
      <c r="VSV65" s="1"/>
      <c r="VSW65" s="1"/>
      <c r="VSX65" s="1"/>
      <c r="VSY65" s="1"/>
      <c r="VSZ65" s="1"/>
      <c r="VTA65" s="1"/>
      <c r="VTB65" s="1"/>
      <c r="VTC65" s="1"/>
      <c r="VTD65" s="1"/>
      <c r="VTE65" s="1"/>
      <c r="VTF65" s="1"/>
      <c r="VTG65" s="1"/>
      <c r="VTH65" s="1"/>
      <c r="VTI65" s="1"/>
      <c r="VTJ65" s="1"/>
      <c r="VTK65" s="1"/>
      <c r="VTL65" s="1"/>
      <c r="VTM65" s="1"/>
      <c r="VTN65" s="1"/>
      <c r="VTO65" s="1"/>
      <c r="VTP65" s="1"/>
      <c r="VTQ65" s="1"/>
      <c r="VTR65" s="1"/>
      <c r="VTS65" s="1"/>
      <c r="VTT65" s="1"/>
      <c r="VTU65" s="1"/>
      <c r="VTV65" s="1"/>
      <c r="VTW65" s="1"/>
      <c r="VTX65" s="1"/>
      <c r="VTY65" s="1"/>
      <c r="VTZ65" s="1"/>
      <c r="VUA65" s="1"/>
      <c r="VUB65" s="1"/>
      <c r="VUC65" s="1"/>
      <c r="VUD65" s="1"/>
      <c r="VUE65" s="1"/>
      <c r="VUF65" s="1"/>
      <c r="VUG65" s="1"/>
      <c r="VUH65" s="1"/>
      <c r="VUI65" s="1"/>
      <c r="VUJ65" s="1"/>
      <c r="VUK65" s="1"/>
      <c r="VUL65" s="1"/>
      <c r="VUM65" s="1"/>
      <c r="VUN65" s="1"/>
      <c r="VUO65" s="1"/>
      <c r="VUP65" s="1"/>
      <c r="VUQ65" s="1"/>
      <c r="VUR65" s="1"/>
      <c r="VUS65" s="1"/>
      <c r="VUT65" s="1"/>
      <c r="VUU65" s="1"/>
      <c r="VUV65" s="1"/>
      <c r="VUW65" s="1"/>
      <c r="VUX65" s="1"/>
      <c r="VUY65" s="1"/>
      <c r="VUZ65" s="1"/>
      <c r="VVA65" s="1"/>
      <c r="VVB65" s="1"/>
      <c r="VVC65" s="1"/>
      <c r="VVD65" s="1"/>
      <c r="VVE65" s="1"/>
      <c r="VVF65" s="1"/>
      <c r="VVG65" s="1"/>
      <c r="VVH65" s="1"/>
      <c r="VVI65" s="1"/>
      <c r="VVJ65" s="1"/>
      <c r="VVK65" s="1"/>
      <c r="VVL65" s="1"/>
      <c r="VVM65" s="1"/>
      <c r="VVN65" s="1"/>
      <c r="VVO65" s="1"/>
      <c r="VVP65" s="1"/>
      <c r="VVQ65" s="1"/>
      <c r="VVR65" s="1"/>
      <c r="VVS65" s="1"/>
      <c r="VVT65" s="1"/>
      <c r="VVU65" s="1"/>
      <c r="VVV65" s="1"/>
      <c r="VVW65" s="1"/>
      <c r="VVX65" s="1"/>
      <c r="VVY65" s="1"/>
      <c r="VVZ65" s="1"/>
      <c r="VWA65" s="1"/>
      <c r="VWB65" s="1"/>
      <c r="VWC65" s="1"/>
      <c r="VWD65" s="1"/>
      <c r="VWE65" s="1"/>
      <c r="VWF65" s="1"/>
      <c r="VWG65" s="1"/>
      <c r="VWH65" s="1"/>
      <c r="VWI65" s="1"/>
      <c r="VWJ65" s="1"/>
      <c r="VWK65" s="1"/>
      <c r="VWL65" s="1"/>
      <c r="VWM65" s="1"/>
      <c r="VWN65" s="1"/>
      <c r="VWO65" s="1"/>
      <c r="VWP65" s="1"/>
      <c r="VWQ65" s="1"/>
      <c r="VWR65" s="1"/>
      <c r="VWS65" s="1"/>
      <c r="VWT65" s="1"/>
      <c r="VWU65" s="1"/>
      <c r="VWV65" s="1"/>
      <c r="VWW65" s="1"/>
      <c r="VWX65" s="1"/>
      <c r="VWY65" s="1"/>
      <c r="VWZ65" s="1"/>
      <c r="VXA65" s="1"/>
      <c r="VXB65" s="1"/>
      <c r="VXC65" s="1"/>
      <c r="VXD65" s="1"/>
      <c r="VXE65" s="1"/>
      <c r="VXF65" s="1"/>
      <c r="VXG65" s="1"/>
      <c r="VXH65" s="1"/>
      <c r="VXI65" s="1"/>
      <c r="VXJ65" s="1"/>
      <c r="VXK65" s="1"/>
      <c r="VXL65" s="1"/>
      <c r="VXM65" s="1"/>
      <c r="VXN65" s="1"/>
      <c r="VXO65" s="1"/>
      <c r="VXP65" s="1"/>
      <c r="VXQ65" s="1"/>
      <c r="VXR65" s="1"/>
      <c r="VXS65" s="1"/>
      <c r="VXT65" s="1"/>
      <c r="VXU65" s="1"/>
      <c r="VXV65" s="1"/>
      <c r="VXW65" s="1"/>
      <c r="VXX65" s="1"/>
      <c r="VXY65" s="1"/>
      <c r="VXZ65" s="1"/>
      <c r="VYA65" s="1"/>
      <c r="VYB65" s="1"/>
      <c r="VYC65" s="1"/>
      <c r="VYD65" s="1"/>
      <c r="VYE65" s="1"/>
      <c r="VYF65" s="1"/>
      <c r="VYG65" s="1"/>
      <c r="VYH65" s="1"/>
      <c r="VYI65" s="1"/>
      <c r="VYJ65" s="1"/>
      <c r="VYK65" s="1"/>
      <c r="VYL65" s="1"/>
      <c r="VYM65" s="1"/>
      <c r="VYN65" s="1"/>
      <c r="VYO65" s="1"/>
      <c r="VYP65" s="1"/>
      <c r="VYQ65" s="1"/>
      <c r="VYR65" s="1"/>
      <c r="VYS65" s="1"/>
      <c r="VYT65" s="1"/>
      <c r="VYU65" s="1"/>
      <c r="VYV65" s="1"/>
      <c r="VYW65" s="1"/>
      <c r="VYX65" s="1"/>
      <c r="VYY65" s="1"/>
      <c r="VYZ65" s="1"/>
      <c r="VZA65" s="1"/>
      <c r="VZB65" s="1"/>
      <c r="VZC65" s="1"/>
      <c r="VZD65" s="1"/>
      <c r="VZE65" s="1"/>
      <c r="VZF65" s="1"/>
      <c r="VZG65" s="1"/>
      <c r="VZH65" s="1"/>
      <c r="VZI65" s="1"/>
      <c r="VZJ65" s="1"/>
      <c r="VZK65" s="1"/>
      <c r="VZL65" s="1"/>
      <c r="VZM65" s="1"/>
      <c r="VZN65" s="1"/>
      <c r="VZO65" s="1"/>
      <c r="VZP65" s="1"/>
      <c r="VZQ65" s="1"/>
      <c r="VZR65" s="1"/>
      <c r="VZS65" s="1"/>
      <c r="VZT65" s="1"/>
      <c r="VZU65" s="1"/>
      <c r="VZV65" s="1"/>
      <c r="VZW65" s="1"/>
      <c r="VZX65" s="1"/>
      <c r="VZY65" s="1"/>
      <c r="VZZ65" s="1"/>
      <c r="WAA65" s="1"/>
      <c r="WAB65" s="1"/>
      <c r="WAC65" s="1"/>
      <c r="WAD65" s="1"/>
      <c r="WAE65" s="1"/>
      <c r="WAF65" s="1"/>
      <c r="WAG65" s="1"/>
      <c r="WAH65" s="1"/>
      <c r="WAI65" s="1"/>
      <c r="WAJ65" s="1"/>
      <c r="WAK65" s="1"/>
      <c r="WAL65" s="1"/>
      <c r="WAM65" s="1"/>
      <c r="WAN65" s="1"/>
      <c r="WAO65" s="1"/>
      <c r="WAP65" s="1"/>
      <c r="WAQ65" s="1"/>
      <c r="WAR65" s="1"/>
      <c r="WAS65" s="1"/>
      <c r="WAT65" s="1"/>
      <c r="WAU65" s="1"/>
      <c r="WAV65" s="1"/>
      <c r="WAW65" s="1"/>
      <c r="WAX65" s="1"/>
      <c r="WAY65" s="1"/>
      <c r="WAZ65" s="1"/>
      <c r="WBA65" s="1"/>
      <c r="WBB65" s="1"/>
      <c r="WBC65" s="1"/>
      <c r="WBD65" s="1"/>
      <c r="WBE65" s="1"/>
      <c r="WBF65" s="1"/>
      <c r="WBG65" s="1"/>
      <c r="WBH65" s="1"/>
      <c r="WBI65" s="1"/>
      <c r="WBJ65" s="1"/>
      <c r="WBK65" s="1"/>
      <c r="WBL65" s="1"/>
      <c r="WBM65" s="1"/>
      <c r="WBN65" s="1"/>
      <c r="WBO65" s="1"/>
      <c r="WBP65" s="1"/>
      <c r="WBQ65" s="1"/>
      <c r="WBR65" s="1"/>
      <c r="WBS65" s="1"/>
      <c r="WBT65" s="1"/>
      <c r="WBU65" s="1"/>
      <c r="WBV65" s="1"/>
      <c r="WBW65" s="1"/>
      <c r="WBX65" s="1"/>
      <c r="WBY65" s="1"/>
      <c r="WBZ65" s="1"/>
      <c r="WCA65" s="1"/>
      <c r="WCB65" s="1"/>
      <c r="WCC65" s="1"/>
      <c r="WCD65" s="1"/>
      <c r="WCE65" s="1"/>
      <c r="WCF65" s="1"/>
      <c r="WCG65" s="1"/>
      <c r="WCH65" s="1"/>
      <c r="WCI65" s="1"/>
      <c r="WCJ65" s="1"/>
      <c r="WCK65" s="1"/>
      <c r="WCL65" s="1"/>
      <c r="WCM65" s="1"/>
      <c r="WCN65" s="1"/>
      <c r="WCO65" s="1"/>
      <c r="WCP65" s="1"/>
      <c r="WCQ65" s="1"/>
      <c r="WCR65" s="1"/>
      <c r="WCS65" s="1"/>
      <c r="WCT65" s="1"/>
      <c r="WCU65" s="1"/>
      <c r="WCV65" s="1"/>
      <c r="WCW65" s="1"/>
      <c r="WCX65" s="1"/>
      <c r="WCY65" s="1"/>
      <c r="WCZ65" s="1"/>
      <c r="WDA65" s="1"/>
      <c r="WDB65" s="1"/>
      <c r="WDC65" s="1"/>
      <c r="WDD65" s="1"/>
      <c r="WDE65" s="1"/>
      <c r="WDF65" s="1"/>
      <c r="WDG65" s="1"/>
      <c r="WDH65" s="1"/>
      <c r="WDI65" s="1"/>
      <c r="WDJ65" s="1"/>
      <c r="WDK65" s="1"/>
      <c r="WDL65" s="1"/>
      <c r="WDM65" s="1"/>
      <c r="WDN65" s="1"/>
      <c r="WDO65" s="1"/>
      <c r="WDP65" s="1"/>
      <c r="WDQ65" s="1"/>
      <c r="WDR65" s="1"/>
      <c r="WDS65" s="1"/>
      <c r="WDT65" s="1"/>
      <c r="WDU65" s="1"/>
      <c r="WDV65" s="1"/>
      <c r="WDW65" s="1"/>
      <c r="WDX65" s="1"/>
      <c r="WDY65" s="1"/>
      <c r="WDZ65" s="1"/>
      <c r="WEA65" s="1"/>
      <c r="WEB65" s="1"/>
      <c r="WEC65" s="1"/>
      <c r="WED65" s="1"/>
      <c r="WEE65" s="1"/>
      <c r="WEF65" s="1"/>
      <c r="WEG65" s="1"/>
      <c r="WEH65" s="1"/>
      <c r="WEI65" s="1"/>
      <c r="WEJ65" s="1"/>
      <c r="WEK65" s="1"/>
      <c r="WEL65" s="1"/>
      <c r="WEM65" s="1"/>
      <c r="WEN65" s="1"/>
      <c r="WEO65" s="1"/>
      <c r="WEP65" s="1"/>
      <c r="WEQ65" s="1"/>
      <c r="WER65" s="1"/>
      <c r="WES65" s="1"/>
      <c r="WET65" s="1"/>
      <c r="WEU65" s="1"/>
      <c r="WEV65" s="1"/>
      <c r="WEW65" s="1"/>
      <c r="WEX65" s="1"/>
      <c r="WEY65" s="1"/>
      <c r="WEZ65" s="1"/>
      <c r="WFA65" s="1"/>
      <c r="WFB65" s="1"/>
      <c r="WFC65" s="1"/>
      <c r="WFD65" s="1"/>
      <c r="WFE65" s="1"/>
      <c r="WFF65" s="1"/>
      <c r="WFG65" s="1"/>
      <c r="WFH65" s="1"/>
      <c r="WFI65" s="1"/>
      <c r="WFJ65" s="1"/>
      <c r="WFK65" s="1"/>
      <c r="WFL65" s="1"/>
      <c r="WFM65" s="1"/>
      <c r="WFN65" s="1"/>
      <c r="WFO65" s="1"/>
      <c r="WFP65" s="1"/>
      <c r="WFQ65" s="1"/>
      <c r="WFR65" s="1"/>
      <c r="WFS65" s="1"/>
      <c r="WFT65" s="1"/>
      <c r="WFU65" s="1"/>
      <c r="WFV65" s="1"/>
      <c r="WFW65" s="1"/>
      <c r="WFX65" s="1"/>
      <c r="WFY65" s="1"/>
      <c r="WFZ65" s="1"/>
      <c r="WGA65" s="1"/>
      <c r="WGB65" s="1"/>
      <c r="WGC65" s="1"/>
      <c r="WGD65" s="1"/>
      <c r="WGE65" s="1"/>
      <c r="WGF65" s="1"/>
      <c r="WGG65" s="1"/>
      <c r="WGH65" s="1"/>
      <c r="WGI65" s="1"/>
      <c r="WGJ65" s="1"/>
      <c r="WGK65" s="1"/>
      <c r="WGL65" s="1"/>
      <c r="WGM65" s="1"/>
      <c r="WGN65" s="1"/>
      <c r="WGO65" s="1"/>
      <c r="WGP65" s="1"/>
      <c r="WGQ65" s="1"/>
      <c r="WGR65" s="1"/>
      <c r="WGS65" s="1"/>
      <c r="WGT65" s="1"/>
      <c r="WGU65" s="1"/>
      <c r="WGV65" s="1"/>
      <c r="WGW65" s="1"/>
      <c r="WGX65" s="1"/>
      <c r="WGY65" s="1"/>
      <c r="WGZ65" s="1"/>
      <c r="WHA65" s="1"/>
      <c r="WHB65" s="1"/>
      <c r="WHC65" s="1"/>
      <c r="WHD65" s="1"/>
      <c r="WHE65" s="1"/>
      <c r="WHF65" s="1"/>
      <c r="WHG65" s="1"/>
      <c r="WHH65" s="1"/>
      <c r="WHI65" s="1"/>
      <c r="WHJ65" s="1"/>
      <c r="WHK65" s="1"/>
      <c r="WHL65" s="1"/>
      <c r="WHM65" s="1"/>
      <c r="WHN65" s="1"/>
      <c r="WHO65" s="1"/>
      <c r="WHP65" s="1"/>
      <c r="WHQ65" s="1"/>
      <c r="WHR65" s="1"/>
      <c r="WHS65" s="1"/>
      <c r="WHT65" s="1"/>
      <c r="WHU65" s="1"/>
      <c r="WHV65" s="1"/>
      <c r="WHW65" s="1"/>
      <c r="WHX65" s="1"/>
      <c r="WHY65" s="1"/>
      <c r="WHZ65" s="1"/>
      <c r="WIA65" s="1"/>
      <c r="WIB65" s="1"/>
      <c r="WIC65" s="1"/>
      <c r="WID65" s="1"/>
      <c r="WIE65" s="1"/>
      <c r="WIF65" s="1"/>
      <c r="WIG65" s="1"/>
      <c r="WIH65" s="1"/>
      <c r="WII65" s="1"/>
      <c r="WIJ65" s="1"/>
      <c r="WIK65" s="1"/>
      <c r="WIL65" s="1"/>
      <c r="WIM65" s="1"/>
      <c r="WIN65" s="1"/>
      <c r="WIO65" s="1"/>
      <c r="WIP65" s="1"/>
      <c r="WIQ65" s="1"/>
      <c r="WIR65" s="1"/>
      <c r="WIS65" s="1"/>
      <c r="WIT65" s="1"/>
      <c r="WIU65" s="1"/>
      <c r="WIV65" s="1"/>
      <c r="WIW65" s="1"/>
      <c r="WIX65" s="1"/>
      <c r="WIY65" s="1"/>
      <c r="WIZ65" s="1"/>
      <c r="WJA65" s="1"/>
      <c r="WJB65" s="1"/>
      <c r="WJC65" s="1"/>
      <c r="WJD65" s="1"/>
      <c r="WJE65" s="1"/>
      <c r="WJF65" s="1"/>
      <c r="WJG65" s="1"/>
      <c r="WJH65" s="1"/>
      <c r="WJI65" s="1"/>
      <c r="WJJ65" s="1"/>
      <c r="WJK65" s="1"/>
      <c r="WJL65" s="1"/>
      <c r="WJM65" s="1"/>
      <c r="WJN65" s="1"/>
      <c r="WJO65" s="1"/>
      <c r="WJP65" s="1"/>
      <c r="WJQ65" s="1"/>
      <c r="WJR65" s="1"/>
      <c r="WJS65" s="1"/>
      <c r="WJT65" s="1"/>
      <c r="WJU65" s="1"/>
      <c r="WJV65" s="1"/>
      <c r="WJW65" s="1"/>
      <c r="WJX65" s="1"/>
      <c r="WJY65" s="1"/>
      <c r="WJZ65" s="1"/>
      <c r="WKA65" s="1"/>
      <c r="WKB65" s="1"/>
      <c r="WKC65" s="1"/>
      <c r="WKD65" s="1"/>
      <c r="WKE65" s="1"/>
      <c r="WKF65" s="1"/>
      <c r="WKG65" s="1"/>
      <c r="WKH65" s="1"/>
      <c r="WKI65" s="1"/>
      <c r="WKJ65" s="1"/>
      <c r="WKK65" s="1"/>
      <c r="WKL65" s="1"/>
      <c r="WKM65" s="1"/>
      <c r="WKN65" s="1"/>
      <c r="WKO65" s="1"/>
      <c r="WKP65" s="1"/>
      <c r="WKQ65" s="1"/>
      <c r="WKR65" s="1"/>
      <c r="WKS65" s="1"/>
      <c r="WKT65" s="1"/>
      <c r="WKU65" s="1"/>
      <c r="WKV65" s="1"/>
      <c r="WKW65" s="1"/>
      <c r="WKX65" s="1"/>
      <c r="WKY65" s="1"/>
      <c r="WKZ65" s="1"/>
      <c r="WLA65" s="1"/>
      <c r="WLB65" s="1"/>
      <c r="WLC65" s="1"/>
      <c r="WLD65" s="1"/>
      <c r="WLE65" s="1"/>
      <c r="WLF65" s="1"/>
      <c r="WLG65" s="1"/>
      <c r="WLH65" s="1"/>
      <c r="WLI65" s="1"/>
      <c r="WLJ65" s="1"/>
      <c r="WLK65" s="1"/>
      <c r="WLL65" s="1"/>
      <c r="WLM65" s="1"/>
      <c r="WLN65" s="1"/>
      <c r="WLO65" s="1"/>
      <c r="WLP65" s="1"/>
      <c r="WLQ65" s="1"/>
      <c r="WLR65" s="1"/>
      <c r="WLS65" s="1"/>
      <c r="WLT65" s="1"/>
      <c r="WLU65" s="1"/>
      <c r="WLV65" s="1"/>
      <c r="WLW65" s="1"/>
      <c r="WLX65" s="1"/>
      <c r="WLY65" s="1"/>
      <c r="WLZ65" s="1"/>
      <c r="WMA65" s="1"/>
      <c r="WMB65" s="1"/>
      <c r="WMC65" s="1"/>
      <c r="WMD65" s="1"/>
      <c r="WME65" s="1"/>
      <c r="WMF65" s="1"/>
      <c r="WMG65" s="1"/>
      <c r="WMH65" s="1"/>
      <c r="WMI65" s="1"/>
      <c r="WMJ65" s="1"/>
      <c r="WMK65" s="1"/>
      <c r="WML65" s="1"/>
      <c r="WMM65" s="1"/>
      <c r="WMN65" s="1"/>
      <c r="WMO65" s="1"/>
      <c r="WMP65" s="1"/>
      <c r="WMQ65" s="1"/>
      <c r="WMR65" s="1"/>
      <c r="WMS65" s="1"/>
      <c r="WMT65" s="1"/>
      <c r="WMU65" s="1"/>
      <c r="WMV65" s="1"/>
      <c r="WMW65" s="1"/>
      <c r="WMX65" s="1"/>
      <c r="WMY65" s="1"/>
      <c r="WMZ65" s="1"/>
      <c r="WNA65" s="1"/>
      <c r="WNB65" s="1"/>
      <c r="WNC65" s="1"/>
      <c r="WND65" s="1"/>
      <c r="WNE65" s="1"/>
      <c r="WNF65" s="1"/>
      <c r="WNG65" s="1"/>
      <c r="WNH65" s="1"/>
      <c r="WNI65" s="1"/>
      <c r="WNJ65" s="1"/>
      <c r="WNK65" s="1"/>
      <c r="WNL65" s="1"/>
      <c r="WNM65" s="1"/>
      <c r="WNN65" s="1"/>
      <c r="WNO65" s="1"/>
      <c r="WNP65" s="1"/>
      <c r="WNQ65" s="1"/>
      <c r="WNR65" s="1"/>
      <c r="WNS65" s="1"/>
      <c r="WNT65" s="1"/>
      <c r="WNU65" s="1"/>
      <c r="WNV65" s="1"/>
      <c r="WNW65" s="1"/>
      <c r="WNX65" s="1"/>
      <c r="WNY65" s="1"/>
      <c r="WNZ65" s="1"/>
      <c r="WOA65" s="1"/>
      <c r="WOB65" s="1"/>
      <c r="WOC65" s="1"/>
      <c r="WOD65" s="1"/>
      <c r="WOE65" s="1"/>
      <c r="WOF65" s="1"/>
      <c r="WOG65" s="1"/>
      <c r="WOH65" s="1"/>
      <c r="WOI65" s="1"/>
      <c r="WOJ65" s="1"/>
      <c r="WOK65" s="1"/>
      <c r="WOL65" s="1"/>
      <c r="WOM65" s="1"/>
      <c r="WON65" s="1"/>
      <c r="WOO65" s="1"/>
      <c r="WOP65" s="1"/>
      <c r="WOQ65" s="1"/>
      <c r="WOR65" s="1"/>
      <c r="WOS65" s="1"/>
      <c r="WOT65" s="1"/>
      <c r="WOU65" s="1"/>
      <c r="WOV65" s="1"/>
      <c r="WOW65" s="1"/>
      <c r="WOX65" s="1"/>
      <c r="WOY65" s="1"/>
      <c r="WOZ65" s="1"/>
      <c r="WPA65" s="1"/>
      <c r="WPB65" s="1"/>
      <c r="WPC65" s="1"/>
      <c r="WPD65" s="1"/>
      <c r="WPE65" s="1"/>
      <c r="WPF65" s="1"/>
      <c r="WPG65" s="1"/>
      <c r="WPH65" s="1"/>
      <c r="WPI65" s="1"/>
      <c r="WPJ65" s="1"/>
      <c r="WPK65" s="1"/>
      <c r="WPL65" s="1"/>
      <c r="WPM65" s="1"/>
      <c r="WPN65" s="1"/>
      <c r="WPO65" s="1"/>
      <c r="WPP65" s="1"/>
      <c r="WPQ65" s="1"/>
      <c r="WPR65" s="1"/>
      <c r="WPS65" s="1"/>
      <c r="WPT65" s="1"/>
      <c r="WPU65" s="1"/>
      <c r="WPV65" s="1"/>
      <c r="WPW65" s="1"/>
      <c r="WPX65" s="1"/>
      <c r="WPY65" s="1"/>
      <c r="WPZ65" s="1"/>
      <c r="WQA65" s="1"/>
      <c r="WQB65" s="1"/>
      <c r="WQC65" s="1"/>
      <c r="WQD65" s="1"/>
      <c r="WQE65" s="1"/>
      <c r="WQF65" s="1"/>
      <c r="WQG65" s="1"/>
      <c r="WQH65" s="1"/>
      <c r="WQI65" s="1"/>
      <c r="WQJ65" s="1"/>
      <c r="WQK65" s="1"/>
      <c r="WQL65" s="1"/>
      <c r="WQM65" s="1"/>
      <c r="WQN65" s="1"/>
      <c r="WQO65" s="1"/>
      <c r="WQP65" s="1"/>
      <c r="WQQ65" s="1"/>
      <c r="WQR65" s="1"/>
      <c r="WQS65" s="1"/>
      <c r="WQT65" s="1"/>
      <c r="WQU65" s="1"/>
      <c r="WQV65" s="1"/>
      <c r="WQW65" s="1"/>
      <c r="WQX65" s="1"/>
      <c r="WQY65" s="1"/>
      <c r="WQZ65" s="1"/>
      <c r="WRA65" s="1"/>
      <c r="WRB65" s="1"/>
      <c r="WRC65" s="1"/>
      <c r="WRD65" s="1"/>
      <c r="WRE65" s="1"/>
      <c r="WRF65" s="1"/>
      <c r="WRG65" s="1"/>
      <c r="WRH65" s="1"/>
      <c r="WRI65" s="1"/>
      <c r="WRJ65" s="1"/>
      <c r="WRK65" s="1"/>
      <c r="WRL65" s="1"/>
      <c r="WRM65" s="1"/>
      <c r="WRN65" s="1"/>
      <c r="WRO65" s="1"/>
      <c r="WRP65" s="1"/>
      <c r="WRQ65" s="1"/>
      <c r="WRR65" s="1"/>
      <c r="WRS65" s="1"/>
      <c r="WRT65" s="1"/>
      <c r="WRU65" s="1"/>
      <c r="WRV65" s="1"/>
      <c r="WRW65" s="1"/>
      <c r="WRX65" s="1"/>
      <c r="WRY65" s="1"/>
      <c r="WRZ65" s="1"/>
      <c r="WSA65" s="1"/>
      <c r="WSB65" s="1"/>
      <c r="WSC65" s="1"/>
      <c r="WSD65" s="1"/>
      <c r="WSE65" s="1"/>
      <c r="WSF65" s="1"/>
      <c r="WSG65" s="1"/>
      <c r="WSH65" s="1"/>
      <c r="WSI65" s="1"/>
      <c r="WSJ65" s="1"/>
      <c r="WSK65" s="1"/>
      <c r="WSL65" s="1"/>
      <c r="WSM65" s="1"/>
      <c r="WSN65" s="1"/>
      <c r="WSO65" s="1"/>
      <c r="WSP65" s="1"/>
      <c r="WSQ65" s="1"/>
      <c r="WSR65" s="1"/>
      <c r="WSS65" s="1"/>
      <c r="WST65" s="1"/>
      <c r="WSU65" s="1"/>
      <c r="WSV65" s="1"/>
      <c r="WSW65" s="1"/>
      <c r="WSX65" s="1"/>
      <c r="WSY65" s="1"/>
      <c r="WSZ65" s="1"/>
      <c r="WTA65" s="1"/>
      <c r="WTB65" s="1"/>
      <c r="WTC65" s="1"/>
      <c r="WTD65" s="1"/>
      <c r="WTE65" s="1"/>
      <c r="WTF65" s="1"/>
      <c r="WTG65" s="1"/>
      <c r="WTH65" s="1"/>
      <c r="WTI65" s="1"/>
      <c r="WTJ65" s="1"/>
      <c r="WTK65" s="1"/>
      <c r="WTL65" s="1"/>
      <c r="WTM65" s="1"/>
      <c r="WTN65" s="1"/>
      <c r="WTO65" s="1"/>
      <c r="WTP65" s="1"/>
      <c r="WTQ65" s="1"/>
      <c r="WTR65" s="1"/>
      <c r="WTS65" s="1"/>
      <c r="WTT65" s="1"/>
      <c r="WTU65" s="1"/>
      <c r="WTV65" s="1"/>
      <c r="WTW65" s="1"/>
      <c r="WTX65" s="1"/>
      <c r="WTY65" s="1"/>
      <c r="WTZ65" s="1"/>
      <c r="WUA65" s="1"/>
      <c r="WUB65" s="1"/>
      <c r="WUC65" s="1"/>
      <c r="WUD65" s="1"/>
      <c r="WUE65" s="1"/>
      <c r="WUF65" s="1"/>
      <c r="WUG65" s="1"/>
      <c r="WUH65" s="1"/>
      <c r="WUI65" s="1"/>
      <c r="WUJ65" s="1"/>
      <c r="WUK65" s="1"/>
      <c r="WUL65" s="1"/>
      <c r="WUM65" s="1"/>
      <c r="WUN65" s="1"/>
      <c r="WUO65" s="1"/>
      <c r="WUP65" s="1"/>
      <c r="WUQ65" s="1"/>
      <c r="WUR65" s="1"/>
      <c r="WUS65" s="1"/>
      <c r="WUT65" s="1"/>
      <c r="WUU65" s="1"/>
      <c r="WUV65" s="1"/>
      <c r="WUW65" s="1"/>
      <c r="WUX65" s="1"/>
      <c r="WUY65" s="1"/>
      <c r="WUZ65" s="1"/>
      <c r="WVA65" s="1"/>
      <c r="WVB65" s="1"/>
      <c r="WVC65" s="1"/>
      <c r="WVD65" s="1"/>
      <c r="WVE65" s="1"/>
      <c r="WVF65" s="1"/>
      <c r="WVG65" s="1"/>
      <c r="WVH65" s="1"/>
      <c r="WVI65" s="1"/>
      <c r="WVJ65" s="1"/>
      <c r="WVK65" s="1"/>
      <c r="WVL65" s="1"/>
      <c r="WVM65" s="1"/>
      <c r="WVN65" s="1"/>
      <c r="WVO65" s="1"/>
      <c r="WVP65" s="1"/>
      <c r="WVQ65" s="1"/>
      <c r="WVR65" s="1"/>
      <c r="WVS65" s="1"/>
      <c r="WVT65" s="1"/>
      <c r="WVU65" s="1"/>
      <c r="WVV65" s="1"/>
      <c r="WVW65" s="1"/>
      <c r="WVX65" s="1"/>
      <c r="WVY65" s="1"/>
      <c r="WVZ65" s="1"/>
      <c r="WWA65" s="1"/>
      <c r="WWB65" s="1"/>
      <c r="WWC65" s="1"/>
      <c r="WWD65" s="1"/>
      <c r="WWE65" s="1"/>
      <c r="WWF65" s="1"/>
      <c r="WWG65" s="1"/>
      <c r="WWH65" s="1"/>
      <c r="WWI65" s="1"/>
      <c r="WWJ65" s="1"/>
      <c r="WWK65" s="1"/>
      <c r="WWL65" s="1"/>
      <c r="WWM65" s="1"/>
      <c r="WWN65" s="1"/>
      <c r="WWO65" s="1"/>
      <c r="WWP65" s="1"/>
      <c r="WWQ65" s="1"/>
      <c r="WWR65" s="1"/>
      <c r="WWS65" s="1"/>
      <c r="WWT65" s="1"/>
      <c r="WWU65" s="1"/>
      <c r="WWV65" s="1"/>
      <c r="WWW65" s="1"/>
      <c r="WWX65" s="1"/>
      <c r="WWY65" s="1"/>
      <c r="WWZ65" s="1"/>
      <c r="WXA65" s="1"/>
      <c r="WXB65" s="1"/>
      <c r="WXC65" s="1"/>
      <c r="WXD65" s="1"/>
      <c r="WXE65" s="1"/>
      <c r="WXF65" s="1"/>
      <c r="WXG65" s="1"/>
      <c r="WXH65" s="1"/>
      <c r="WXI65" s="1"/>
      <c r="WXJ65" s="1"/>
      <c r="WXK65" s="1"/>
      <c r="WXL65" s="1"/>
      <c r="WXM65" s="1"/>
      <c r="WXN65" s="1"/>
      <c r="WXO65" s="1"/>
      <c r="WXP65" s="1"/>
      <c r="WXQ65" s="1"/>
      <c r="WXR65" s="1"/>
      <c r="WXS65" s="1"/>
      <c r="WXT65" s="1"/>
      <c r="WXU65" s="1"/>
      <c r="WXV65" s="1"/>
      <c r="WXW65" s="1"/>
      <c r="WXX65" s="1"/>
      <c r="WXY65" s="1"/>
      <c r="WXZ65" s="1"/>
      <c r="WYA65" s="1"/>
      <c r="WYB65" s="1"/>
      <c r="WYC65" s="1"/>
      <c r="WYD65" s="1"/>
      <c r="WYE65" s="1"/>
      <c r="WYF65" s="1"/>
      <c r="WYG65" s="1"/>
      <c r="WYH65" s="1"/>
      <c r="WYI65" s="1"/>
      <c r="WYJ65" s="1"/>
      <c r="WYK65" s="1"/>
      <c r="WYL65" s="1"/>
      <c r="WYM65" s="1"/>
      <c r="WYN65" s="1"/>
      <c r="WYO65" s="1"/>
      <c r="WYP65" s="1"/>
      <c r="WYQ65" s="1"/>
      <c r="WYR65" s="1"/>
      <c r="WYS65" s="1"/>
      <c r="WYT65" s="1"/>
      <c r="WYU65" s="1"/>
      <c r="WYV65" s="1"/>
      <c r="WYW65" s="1"/>
      <c r="WYX65" s="1"/>
      <c r="WYY65" s="1"/>
      <c r="WYZ65" s="1"/>
      <c r="WZA65" s="1"/>
      <c r="WZB65" s="1"/>
      <c r="WZC65" s="1"/>
      <c r="WZD65" s="1"/>
      <c r="WZE65" s="1"/>
      <c r="WZF65" s="1"/>
      <c r="WZG65" s="1"/>
      <c r="WZH65" s="1"/>
      <c r="WZI65" s="1"/>
      <c r="WZJ65" s="1"/>
      <c r="WZK65" s="1"/>
      <c r="WZL65" s="1"/>
      <c r="WZM65" s="1"/>
      <c r="WZN65" s="1"/>
      <c r="WZO65" s="1"/>
      <c r="WZP65" s="1"/>
      <c r="WZQ65" s="1"/>
      <c r="WZR65" s="1"/>
      <c r="WZS65" s="1"/>
      <c r="WZT65" s="1"/>
      <c r="WZU65" s="1"/>
      <c r="WZV65" s="1"/>
      <c r="WZW65" s="1"/>
      <c r="WZX65" s="1"/>
      <c r="WZY65" s="1"/>
      <c r="WZZ65" s="1"/>
      <c r="XAA65" s="1"/>
      <c r="XAB65" s="1"/>
      <c r="XAC65" s="1"/>
      <c r="XAD65" s="1"/>
      <c r="XAE65" s="1"/>
      <c r="XAF65" s="1"/>
      <c r="XAG65" s="1"/>
      <c r="XAH65" s="1"/>
      <c r="XAI65" s="1"/>
      <c r="XAJ65" s="1"/>
      <c r="XAK65" s="1"/>
      <c r="XAL65" s="1"/>
      <c r="XAM65" s="1"/>
      <c r="XAN65" s="1"/>
      <c r="XAO65" s="1"/>
      <c r="XAP65" s="1"/>
      <c r="XAQ65" s="1"/>
      <c r="XAR65" s="1"/>
      <c r="XAS65" s="1"/>
      <c r="XAT65" s="1"/>
      <c r="XAU65" s="1"/>
      <c r="XAV65" s="1"/>
      <c r="XAW65" s="1"/>
      <c r="XAX65" s="1"/>
      <c r="XAY65" s="1"/>
      <c r="XAZ65" s="1"/>
      <c r="XBA65" s="1"/>
      <c r="XBB65" s="1"/>
      <c r="XBC65" s="1"/>
      <c r="XBD65" s="1"/>
      <c r="XBE65" s="1"/>
      <c r="XBF65" s="1"/>
      <c r="XBG65" s="1"/>
      <c r="XBH65" s="1"/>
      <c r="XBI65" s="1"/>
      <c r="XBJ65" s="1"/>
      <c r="XBK65" s="1"/>
      <c r="XBL65" s="1"/>
      <c r="XBM65" s="1"/>
      <c r="XBN65" s="1"/>
      <c r="XBO65" s="1"/>
      <c r="XBP65" s="1"/>
      <c r="XBQ65" s="1"/>
      <c r="XBR65" s="1"/>
      <c r="XBS65" s="1"/>
      <c r="XBT65" s="1"/>
      <c r="XBU65" s="1"/>
      <c r="XBV65" s="1"/>
      <c r="XBW65" s="1"/>
      <c r="XBX65" s="1"/>
      <c r="XBY65" s="1"/>
      <c r="XBZ65" s="1"/>
      <c r="XCA65" s="1"/>
      <c r="XCB65" s="1"/>
      <c r="XCC65" s="1"/>
      <c r="XCD65" s="1"/>
      <c r="XCE65" s="1"/>
      <c r="XCF65" s="1"/>
      <c r="XCG65" s="1"/>
      <c r="XCH65" s="1"/>
      <c r="XCI65" s="1"/>
      <c r="XCJ65" s="1"/>
      <c r="XCK65" s="1"/>
      <c r="XCL65" s="1"/>
      <c r="XCM65" s="1"/>
      <c r="XCN65" s="1"/>
      <c r="XCO65" s="1"/>
      <c r="XCP65" s="1"/>
      <c r="XCQ65" s="1"/>
      <c r="XCR65" s="1"/>
      <c r="XCS65" s="1"/>
      <c r="XCT65" s="1"/>
      <c r="XCU65" s="1"/>
      <c r="XCV65" s="1"/>
      <c r="XCW65" s="1"/>
      <c r="XCX65" s="1"/>
      <c r="XCY65" s="1"/>
      <c r="XCZ65" s="1"/>
      <c r="XDA65" s="1"/>
      <c r="XDB65" s="1"/>
      <c r="XDC65" s="1"/>
      <c r="XDD65" s="1"/>
      <c r="XDE65" s="1"/>
      <c r="XDF65" s="1"/>
      <c r="XDG65" s="1"/>
      <c r="XDH65" s="1"/>
      <c r="XDI65" s="1"/>
      <c r="XDJ65" s="1"/>
      <c r="XDK65" s="1"/>
      <c r="XDL65" s="1"/>
      <c r="XDM65" s="1"/>
      <c r="XDN65" s="1"/>
      <c r="XDO65" s="1"/>
      <c r="XDP65" s="1"/>
      <c r="XDQ65" s="1"/>
      <c r="XDR65" s="1"/>
      <c r="XDS65" s="1"/>
      <c r="XDT65" s="1"/>
      <c r="XDU65" s="1"/>
      <c r="XDV65" s="1"/>
      <c r="XDW65" s="1"/>
      <c r="XDX65" s="1"/>
      <c r="XDY65" s="1"/>
      <c r="XDZ65" s="1"/>
      <c r="XEA65" s="1"/>
      <c r="XEB65" s="1"/>
      <c r="XEC65" s="1"/>
      <c r="XED65" s="1"/>
      <c r="XEE65" s="1"/>
      <c r="XEF65" s="1"/>
      <c r="XEG65" s="1"/>
      <c r="XEH65" s="1"/>
      <c r="XEI65" s="1"/>
      <c r="XEJ65" s="1"/>
      <c r="XEK65" s="1"/>
      <c r="XEL65" s="1"/>
      <c r="XEM65" s="1"/>
      <c r="XEN65" s="1"/>
      <c r="XEO65" s="1"/>
      <c r="XEP65" s="1"/>
      <c r="XEQ65" s="1"/>
      <c r="XER65" s="1"/>
      <c r="XES65" s="1"/>
      <c r="XET65" s="1"/>
      <c r="XEU65" s="1"/>
      <c r="XEV65" s="1"/>
      <c r="XEW65" s="1"/>
      <c r="XEX65" s="1"/>
      <c r="XEY65" s="1"/>
      <c r="XEZ65" s="1"/>
      <c r="XFA65" s="1"/>
      <c r="XFB65" s="1"/>
    </row>
    <row r="67" spans="2:16382" x14ac:dyDescent="0.25">
      <c r="D67" s="1" t="s">
        <v>87</v>
      </c>
      <c r="E67" t="b">
        <f>E65=E36</f>
        <v>1</v>
      </c>
      <c r="F67" t="b">
        <f>F65=F36</f>
        <v>1</v>
      </c>
      <c r="G67" t="b">
        <f>G65=G36</f>
        <v>1</v>
      </c>
      <c r="H67" t="b">
        <f>H65=H36</f>
        <v>1</v>
      </c>
      <c r="I67" t="b">
        <f>I65=I36</f>
        <v>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5:M104"/>
  <sheetViews>
    <sheetView showGridLines="0" workbookViewId="0">
      <selection activeCell="D12" sqref="D12"/>
    </sheetView>
  </sheetViews>
  <sheetFormatPr defaultRowHeight="15" x14ac:dyDescent="0.25"/>
  <cols>
    <col min="1" max="1" width="1.42578125" customWidth="1"/>
    <col min="2" max="2" width="0.85546875" customWidth="1"/>
    <col min="3" max="3" width="1.42578125" hidden="1" customWidth="1"/>
    <col min="4" max="4" width="64.42578125" customWidth="1"/>
    <col min="5" max="5" width="2.5703125" customWidth="1"/>
    <col min="6" max="6" width="2.85546875" customWidth="1"/>
    <col min="7" max="11" width="11.140625" bestFit="1" customWidth="1"/>
  </cols>
  <sheetData>
    <row r="5" spans="1:11" x14ac:dyDescent="0.25">
      <c r="D5" s="93" t="s">
        <v>324</v>
      </c>
    </row>
    <row r="6" spans="1:11" x14ac:dyDescent="0.25">
      <c r="A6" s="4"/>
      <c r="B6" s="4"/>
      <c r="C6" s="4"/>
      <c r="D6" s="92" t="s">
        <v>18</v>
      </c>
      <c r="E6" s="92"/>
      <c r="F6" s="92"/>
      <c r="G6" s="92">
        <v>2020</v>
      </c>
      <c r="H6" s="92">
        <f>G6+1</f>
        <v>2021</v>
      </c>
      <c r="I6" s="92">
        <f t="shared" ref="I6:K6" si="0">H6+1</f>
        <v>2022</v>
      </c>
      <c r="J6" s="92">
        <f t="shared" si="0"/>
        <v>2023</v>
      </c>
      <c r="K6" s="92">
        <f t="shared" si="0"/>
        <v>2024</v>
      </c>
    </row>
    <row r="8" spans="1:11" x14ac:dyDescent="0.25">
      <c r="D8" t="s">
        <v>1</v>
      </c>
      <c r="G8" s="94">
        <f>'Income statement Historical'!G6/'Income statement Historical'!G$6</f>
        <v>1</v>
      </c>
      <c r="H8" s="94">
        <f>'Income statement Historical'!H6/'Income statement Historical'!H$6</f>
        <v>1</v>
      </c>
      <c r="I8" s="94">
        <f>'Income statement Historical'!I6/'Income statement Historical'!I$6</f>
        <v>1</v>
      </c>
      <c r="J8" s="94">
        <f>'Income statement Historical'!J6/'Income statement Historical'!J$6</f>
        <v>1</v>
      </c>
      <c r="K8" s="94">
        <f>'Income statement Historical'!K6/'Income statement Historical'!K$6</f>
        <v>1</v>
      </c>
    </row>
    <row r="9" spans="1:11" x14ac:dyDescent="0.25">
      <c r="D9" t="s">
        <v>2</v>
      </c>
      <c r="G9" s="94">
        <f>'Income statement Historical'!G7/'Income statement Historical'!G$6</f>
        <v>1.5377391433983234E-2</v>
      </c>
      <c r="H9" s="94">
        <f>'Income statement Historical'!H7/'Income statement Historical'!H$6</f>
        <v>1.6414910409651699E-2</v>
      </c>
      <c r="I9" s="94">
        <f>'Income statement Historical'!I7/'Income statement Historical'!I$6</f>
        <v>9.654397255604354E-3</v>
      </c>
      <c r="J9" s="94">
        <f>'Income statement Historical'!J7/'Income statement Historical'!J$6</f>
        <v>7.9550942299475742E-3</v>
      </c>
      <c r="K9" s="94">
        <f>'Income statement Historical'!K7/'Income statement Historical'!K$6</f>
        <v>8.7006936016090688E-3</v>
      </c>
    </row>
    <row r="10" spans="1:11" x14ac:dyDescent="0.25">
      <c r="D10" s="5" t="s">
        <v>3</v>
      </c>
      <c r="E10" s="5"/>
      <c r="F10" s="5"/>
      <c r="G10" s="96">
        <f>SUM(G8:G9)</f>
        <v>1.0153773914339832</v>
      </c>
      <c r="H10" s="96">
        <f t="shared" ref="H10:K10" si="1">SUM(H8:H9)</f>
        <v>1.0164149104096516</v>
      </c>
      <c r="I10" s="96">
        <f t="shared" si="1"/>
        <v>1.0096543972556045</v>
      </c>
      <c r="J10" s="96">
        <f t="shared" si="1"/>
        <v>1.0079550942299476</v>
      </c>
      <c r="K10" s="96">
        <f t="shared" si="1"/>
        <v>1.008700693601609</v>
      </c>
    </row>
    <row r="11" spans="1:11" x14ac:dyDescent="0.25">
      <c r="D11" s="1"/>
      <c r="G11" s="94"/>
      <c r="H11" s="94"/>
      <c r="I11" s="94"/>
      <c r="J11" s="94"/>
      <c r="K11" s="94"/>
    </row>
    <row r="12" spans="1:11" x14ac:dyDescent="0.25">
      <c r="G12" s="94"/>
      <c r="H12" s="94"/>
      <c r="I12" s="94"/>
      <c r="J12" s="94"/>
      <c r="K12" s="94"/>
    </row>
    <row r="13" spans="1:11" x14ac:dyDescent="0.25">
      <c r="D13" t="s">
        <v>5</v>
      </c>
      <c r="G13" s="94">
        <f>'Income statement Historical'!G11/'Income statement Historical'!G$6</f>
        <v>0.13086533524289592</v>
      </c>
      <c r="H13" s="94">
        <f>'Income statement Historical'!H11/'Income statement Historical'!H$6</f>
        <v>0.12953753761810854</v>
      </c>
      <c r="I13" s="94">
        <f>'Income statement Historical'!I11/'Income statement Historical'!I$6</f>
        <v>0.13491725956642001</v>
      </c>
      <c r="J13" s="94">
        <f>'Income statement Historical'!J11/'Income statement Historical'!J$6</f>
        <v>0.14126332740775691</v>
      </c>
      <c r="K13" s="94">
        <f>'Income statement Historical'!K11/'Income statement Historical'!K$6</f>
        <v>0.14458720818230461</v>
      </c>
    </row>
    <row r="14" spans="1:11" x14ac:dyDescent="0.25">
      <c r="D14" t="s">
        <v>6</v>
      </c>
      <c r="G14" s="94">
        <f>'Income statement Historical'!G12/'Income statement Historical'!G$6</f>
        <v>2.7513701538973569E-2</v>
      </c>
      <c r="H14" s="94">
        <f>'Income statement Historical'!H12/'Income statement Historical'!H$6</f>
        <v>1.8825599542098743E-2</v>
      </c>
      <c r="I14" s="94">
        <f>'Income statement Historical'!I12/'Income statement Historical'!I$6</f>
        <v>2.3796346800869905E-2</v>
      </c>
      <c r="J14" s="94">
        <f>'Income statement Historical'!J12/'Income statement Historical'!J$6</f>
        <v>2.0551556151662285E-2</v>
      </c>
      <c r="K14" s="94">
        <f>'Income statement Historical'!K12/'Income statement Historical'!K$6</f>
        <v>2.4452199705139635E-2</v>
      </c>
    </row>
    <row r="15" spans="1:11" ht="30" x14ac:dyDescent="0.25">
      <c r="D15" s="19" t="s">
        <v>7</v>
      </c>
      <c r="G15" s="94">
        <f>'Income statement Historical'!G13/'Income statement Historical'!G$6</f>
        <v>-8.5125566085370551E-3</v>
      </c>
      <c r="H15" s="94">
        <f>'Income statement Historical'!H13/'Income statement Historical'!H$6</f>
        <v>1.0064660665656063E-2</v>
      </c>
      <c r="I15" s="94">
        <f>'Income statement Historical'!I13/'Income statement Historical'!I$6</f>
        <v>-7.2845726796584645E-3</v>
      </c>
      <c r="J15" s="94">
        <f>'Income statement Historical'!J13/'Income statement Historical'!J$6</f>
        <v>-8.1943416174388422E-3</v>
      </c>
      <c r="K15" s="94">
        <f>'Income statement Historical'!K13/'Income statement Historical'!K$6</f>
        <v>-1.1754644812288122E-3</v>
      </c>
    </row>
    <row r="16" spans="1:11" x14ac:dyDescent="0.25">
      <c r="D16" t="s">
        <v>8</v>
      </c>
      <c r="G16" s="94">
        <f>'Income statement Historical'!G14/'Income statement Historical'!G$6</f>
        <v>5.9571278982016064E-2</v>
      </c>
      <c r="H16" s="94">
        <f>'Income statement Historical'!H14/'Income statement Historical'!H$6</f>
        <v>5.2609903009001514E-2</v>
      </c>
      <c r="I16" s="94">
        <f>'Income statement Historical'!I14/'Income statement Historical'!I$6</f>
        <v>4.8188904582098117E-2</v>
      </c>
      <c r="J16" s="94">
        <f>'Income statement Historical'!J14/'Income statement Historical'!J$6</f>
        <v>4.3310734759878157E-2</v>
      </c>
      <c r="K16" s="94">
        <f>'Income statement Historical'!K14/'Income statement Historical'!K$6</f>
        <v>4.2838241138464496E-2</v>
      </c>
    </row>
    <row r="17" spans="4:13" x14ac:dyDescent="0.25">
      <c r="D17" s="2" t="s">
        <v>9</v>
      </c>
      <c r="G17" s="94">
        <f>'Income statement Historical'!G15/'Income statement Historical'!G$6</f>
        <v>0.13862963957361965</v>
      </c>
      <c r="H17" s="94">
        <f>'Income statement Historical'!H15/'Income statement Historical'!H$6</f>
        <v>0.12001954129383935</v>
      </c>
      <c r="I17" s="94">
        <f>'Income statement Historical'!I15/'Income statement Historical'!I$6</f>
        <v>0.12804885583956904</v>
      </c>
      <c r="J17" s="94">
        <f>'Income statement Historical'!J15/'Income statement Historical'!J$6</f>
        <v>0.12121635712092256</v>
      </c>
      <c r="K17" s="94">
        <f>'Income statement Historical'!K15/'Income statement Historical'!K$6</f>
        <v>0.12459909398272187</v>
      </c>
      <c r="M17" s="45"/>
    </row>
    <row r="18" spans="4:13" x14ac:dyDescent="0.25">
      <c r="D18" t="s">
        <v>19</v>
      </c>
      <c r="G18" s="94">
        <f>'Income statement Historical'!G16/'Income statement Historical'!G$6</f>
        <v>0.20101920886090222</v>
      </c>
      <c r="H18" s="94">
        <f>'Income statement Historical'!H16/'Income statement Historical'!H$6</f>
        <v>0.18627235287015548</v>
      </c>
      <c r="I18" s="94">
        <f>'Income statement Historical'!I16/'Income statement Historical'!I$6</f>
        <v>0.23075152051861228</v>
      </c>
      <c r="J18" s="94">
        <f>'Income statement Historical'!J16/'Income statement Historical'!J$6</f>
        <v>0.29239920695737093</v>
      </c>
      <c r="K18" s="94">
        <f>'Income statement Historical'!K16/'Income statement Historical'!K$6</f>
        <v>0.25784515007726899</v>
      </c>
    </row>
    <row r="19" spans="4:13" x14ac:dyDescent="0.25">
      <c r="D19" s="6" t="s">
        <v>20</v>
      </c>
      <c r="G19" s="94">
        <f>'Income statement Historical'!G17/'Income statement Historical'!G$6</f>
        <v>0.23087048659899634</v>
      </c>
      <c r="H19" s="94">
        <f>'Income statement Historical'!H17/'Income statement Historical'!H$6</f>
        <v>0.22455316618148807</v>
      </c>
      <c r="I19" s="94">
        <f>'Income statement Historical'!I17/'Income statement Historical'!I$6</f>
        <v>0.22267282371109776</v>
      </c>
      <c r="J19" s="94">
        <f>'Income statement Historical'!J17/'Income statement Historical'!J$6</f>
        <v>0.22152378922320973</v>
      </c>
      <c r="K19" s="94">
        <f>'Income statement Historical'!K17/'Income statement Historical'!K$6</f>
        <v>0.2239611700433829</v>
      </c>
    </row>
    <row r="20" spans="4:13" x14ac:dyDescent="0.25">
      <c r="D20" s="6" t="s">
        <v>21</v>
      </c>
      <c r="G20" s="94">
        <f>'Income statement Historical'!G18/'Income statement Historical'!G$6</f>
        <v>-3.3946724532775565E-4</v>
      </c>
      <c r="H20" s="94">
        <f>'Income statement Historical'!H18/'Income statement Historical'!H$6</f>
        <v>-5.2341154322561021E-4</v>
      </c>
      <c r="I20" s="94">
        <f>'Income statement Historical'!I18/'Income statement Historical'!I$6</f>
        <v>0</v>
      </c>
      <c r="J20" s="94">
        <f>'Income statement Historical'!J18/'Income statement Historical'!J$6</f>
        <v>0</v>
      </c>
      <c r="K20" s="94">
        <f>'Income statement Historical'!K18/'Income statement Historical'!K$6</f>
        <v>0</v>
      </c>
    </row>
    <row r="21" spans="4:13" x14ac:dyDescent="0.25">
      <c r="D21" s="6"/>
      <c r="G21" s="94"/>
      <c r="H21" s="94"/>
      <c r="I21" s="94"/>
      <c r="J21" s="94"/>
      <c r="K21" s="94"/>
    </row>
    <row r="22" spans="4:13" x14ac:dyDescent="0.25">
      <c r="D22" s="8" t="s">
        <v>10</v>
      </c>
      <c r="E22" s="8"/>
      <c r="F22" s="8"/>
      <c r="G22" s="95">
        <f>'Income statement Historical'!G20/'Income statement Historical'!G$6</f>
        <v>0.77961762694353887</v>
      </c>
      <c r="H22" s="95">
        <f>'Income statement Historical'!H20/'Income statement Historical'!H$6</f>
        <v>0.74135934963712213</v>
      </c>
      <c r="I22" s="95">
        <f>'Income statement Historical'!I20/'Income statement Historical'!I$6</f>
        <v>0.78109113833900867</v>
      </c>
      <c r="J22" s="95">
        <f>'Income statement Historical'!J20/'Income statement Historical'!J$6</f>
        <v>0.83207063000336179</v>
      </c>
      <c r="K22" s="95">
        <f>'Income statement Historical'!K20/'Income statement Historical'!K$6</f>
        <v>0.81710759864805371</v>
      </c>
    </row>
    <row r="23" spans="4:13" x14ac:dyDescent="0.25">
      <c r="D23" s="1"/>
      <c r="G23" s="94"/>
      <c r="H23" s="94"/>
      <c r="I23" s="94"/>
      <c r="J23" s="94"/>
      <c r="K23" s="94"/>
    </row>
    <row r="24" spans="4:13" x14ac:dyDescent="0.25">
      <c r="D24" s="8" t="s">
        <v>11</v>
      </c>
      <c r="E24" s="8"/>
      <c r="F24" s="8"/>
      <c r="G24" s="95">
        <f>'Income statement Historical'!G22/'Income statement Historical'!G$6</f>
        <v>0.23575976449044431</v>
      </c>
      <c r="H24" s="95">
        <f>'Income statement Historical'!H22/'Income statement Historical'!H$6</f>
        <v>0.27505556077252952</v>
      </c>
      <c r="I24" s="95">
        <f>'Income statement Historical'!I22/'Income statement Historical'!I$6</f>
        <v>0.2285632589165956</v>
      </c>
      <c r="J24" s="95">
        <f>'Income statement Historical'!J22/'Income statement Historical'!J$6</f>
        <v>0.17588446422658577</v>
      </c>
      <c r="K24" s="95">
        <f>'Income statement Historical'!K22/'Income statement Historical'!K$6</f>
        <v>0.19159309495355534</v>
      </c>
    </row>
    <row r="25" spans="4:13" x14ac:dyDescent="0.25">
      <c r="D25" t="s">
        <v>12</v>
      </c>
      <c r="G25" s="94">
        <f>'Income statement Historical'!G23/'Income statement Historical'!G$6</f>
        <v>6.4146490324115249E-2</v>
      </c>
      <c r="H25" s="94">
        <f>'Income statement Historical'!H23/'Income statement Historical'!H$6</f>
        <v>6.0372983825890202E-2</v>
      </c>
      <c r="I25" s="94">
        <f>'Income statement Historical'!I23/'Income statement Historical'!I$6</f>
        <v>5.161236476172569E-2</v>
      </c>
      <c r="J25" s="94">
        <f>'Income statement Historical'!J23/'Income statement Historical'!J$6</f>
        <v>4.566715549245904E-2</v>
      </c>
      <c r="K25" s="94">
        <f>'Income statement Historical'!K23/'Income statement Historical'!K$6</f>
        <v>4.4357389715764653E-2</v>
      </c>
    </row>
    <row r="26" spans="4:13" x14ac:dyDescent="0.25">
      <c r="G26" s="94"/>
      <c r="H26" s="94"/>
      <c r="I26" s="94"/>
      <c r="J26" s="94"/>
      <c r="K26" s="94"/>
    </row>
    <row r="27" spans="4:13" x14ac:dyDescent="0.25">
      <c r="D27" s="8" t="s">
        <v>13</v>
      </c>
      <c r="E27" s="8"/>
      <c r="F27" s="8"/>
      <c r="G27" s="95">
        <f>'Income statement Historical'!G25/'Income statement Historical'!G$6</f>
        <v>0.17161327416632907</v>
      </c>
      <c r="H27" s="95">
        <f>'Income statement Historical'!H25/'Income statement Historical'!H$6</f>
        <v>0.21468257694663934</v>
      </c>
      <c r="I27" s="95">
        <f>'Income statement Historical'!I25/'Income statement Historical'!I$6</f>
        <v>0.17695089415486992</v>
      </c>
      <c r="J27" s="95">
        <f>'Income statement Historical'!J25/'Income statement Historical'!J$6</f>
        <v>0.13021730873412674</v>
      </c>
      <c r="K27" s="95">
        <f>'Income statement Historical'!K25/'Income statement Historical'!K$6</f>
        <v>0.1472357052377907</v>
      </c>
    </row>
    <row r="28" spans="4:13" x14ac:dyDescent="0.25">
      <c r="D28" t="s">
        <v>14</v>
      </c>
      <c r="G28" s="94">
        <f>'Income statement Historical'!G26/'Income statement Historical'!G$6</f>
        <v>4.7137282215738319E-2</v>
      </c>
      <c r="H28" s="94">
        <f>'Income statement Historical'!H26/'Income statement Historical'!H$6</f>
        <v>3.3216845757929429E-2</v>
      </c>
      <c r="I28" s="94">
        <f>'Income statement Historical'!I26/'Income statement Historical'!I$6</f>
        <v>1.7960665664996732E-2</v>
      </c>
      <c r="J28" s="94">
        <f>'Income statement Historical'!J26/'Income statement Historical'!J$6</f>
        <v>1.3009491780357931E-2</v>
      </c>
      <c r="K28" s="94">
        <f>'Income statement Historical'!K26/'Income statement Historical'!K$6</f>
        <v>1.3651465120929698E-2</v>
      </c>
    </row>
    <row r="29" spans="4:13" x14ac:dyDescent="0.25">
      <c r="D29" t="s">
        <v>23</v>
      </c>
      <c r="G29" s="94">
        <f>'Income statement Historical'!G27/'Income statement Historical'!G$6</f>
        <v>0</v>
      </c>
      <c r="H29" s="94">
        <f>'Income statement Historical'!H27/'Income statement Historical'!H$6</f>
        <v>5.8297448005401806E-3</v>
      </c>
      <c r="I29" s="94">
        <f>'Income statement Historical'!I27/'Income statement Historical'!I$6</f>
        <v>0</v>
      </c>
      <c r="J29" s="94">
        <f>'Income statement Historical'!J27/'Income statement Historical'!J$6</f>
        <v>0</v>
      </c>
      <c r="K29" s="94">
        <f>'Income statement Historical'!K27/'Income statement Historical'!K$6</f>
        <v>1.0153982321352668E-3</v>
      </c>
    </row>
    <row r="30" spans="4:13" x14ac:dyDescent="0.25">
      <c r="G30" s="94"/>
      <c r="H30" s="94"/>
      <c r="I30" s="94"/>
      <c r="J30" s="94"/>
      <c r="K30" s="94"/>
    </row>
    <row r="31" spans="4:13" x14ac:dyDescent="0.25">
      <c r="D31" s="8" t="s">
        <v>15</v>
      </c>
      <c r="E31" s="8"/>
      <c r="F31" s="8"/>
      <c r="G31" s="95">
        <f>'Income statement Historical'!G29/'Income statement Historical'!G$6</f>
        <v>0.12447599195059075</v>
      </c>
      <c r="H31" s="95">
        <f>'Income statement Historical'!H29/'Income statement Historical'!H$6</f>
        <v>0.17563598638816974</v>
      </c>
      <c r="I31" s="95">
        <f>'Income statement Historical'!I29/'Income statement Historical'!I$6</f>
        <v>0.15899022848987318</v>
      </c>
      <c r="J31" s="95">
        <f>'Income statement Historical'!J29/'Income statement Historical'!J$6</f>
        <v>0.11720781695376881</v>
      </c>
      <c r="K31" s="95">
        <f>'Income statement Historical'!K29/'Income statement Historical'!K$6</f>
        <v>0.13256884188472573</v>
      </c>
    </row>
    <row r="32" spans="4:13" x14ac:dyDescent="0.25">
      <c r="D32" t="s">
        <v>16</v>
      </c>
      <c r="G32" s="94">
        <f>'Income statement Historical'!G30/'Income statement Historical'!G$6</f>
        <v>-1.3487532175204028E-2</v>
      </c>
      <c r="H32" s="94">
        <f>'Income statement Historical'!H30/'Income statement Historical'!H$6</f>
        <v>5.6761421819173714E-2</v>
      </c>
      <c r="I32" s="94">
        <f>'Income statement Historical'!I30/'Income statement Historical'!I$6</f>
        <v>2.2625218089451799E-2</v>
      </c>
      <c r="J32" s="94">
        <f>'Income statement Historical'!J30/'Income statement Historical'!J$6</f>
        <v>3.7046975663180153E-2</v>
      </c>
      <c r="K32" s="94">
        <f>'Income statement Historical'!K30/'Income statement Historical'!K$6</f>
        <v>3.4104124011714317E-2</v>
      </c>
    </row>
    <row r="33" spans="1:11" x14ac:dyDescent="0.25">
      <c r="D33" s="2" t="s">
        <v>22</v>
      </c>
      <c r="G33" s="94">
        <f>'Income statement Historical'!G31/'Income statement Historical'!G$6</f>
        <v>-2.919893089182793E-5</v>
      </c>
      <c r="H33" s="94">
        <f>'Income statement Historical'!H31/'Income statement Historical'!H$6</f>
        <v>4.8741442299522873E-5</v>
      </c>
      <c r="I33" s="94">
        <f>'Income statement Historical'!I31/'Income statement Historical'!I$6</f>
        <v>3.2320110542382785E-5</v>
      </c>
      <c r="J33" s="94">
        <f>'Income statement Historical'!J31/'Income statement Historical'!J$6</f>
        <v>6.3725510349623771E-5</v>
      </c>
      <c r="K33" s="94">
        <f>'Income statement Historical'!K31/'Income statement Historical'!K$6</f>
        <v>3.1040159846246147E-4</v>
      </c>
    </row>
    <row r="34" spans="1:11" x14ac:dyDescent="0.25">
      <c r="D34" s="2"/>
      <c r="G34" s="94"/>
      <c r="H34" s="94"/>
      <c r="I34" s="94"/>
      <c r="J34" s="94"/>
      <c r="K34" s="94"/>
    </row>
    <row r="35" spans="1:11" x14ac:dyDescent="0.25">
      <c r="D35" s="5" t="s">
        <v>17</v>
      </c>
      <c r="E35" s="5"/>
      <c r="F35" s="5"/>
      <c r="G35" s="96">
        <f>'Income statement Historical'!G33/'Income statement Historical'!G$6</f>
        <v>0.13793432519490298</v>
      </c>
      <c r="H35" s="96">
        <f>'Income statement Historical'!H33/'Income statement Historical'!H$6</f>
        <v>0.11892330601129555</v>
      </c>
      <c r="I35" s="96">
        <f>'Income statement Historical'!I33/'Income statement Historical'!I$6</f>
        <v>0.13639733051096378</v>
      </c>
      <c r="J35" s="96">
        <f>'Income statement Historical'!J33/'Income statement Historical'!J$6</f>
        <v>8.0224566800938271E-2</v>
      </c>
      <c r="K35" s="96">
        <f>'Income statement Historical'!K33/'Income statement Historical'!K$6</f>
        <v>9.8775119471473868E-2</v>
      </c>
    </row>
    <row r="36" spans="1:11" x14ac:dyDescent="0.25">
      <c r="D36" s="1"/>
      <c r="G36" s="94"/>
      <c r="H36" s="94"/>
      <c r="I36" s="94"/>
      <c r="J36" s="94"/>
      <c r="K36" s="94"/>
    </row>
    <row r="37" spans="1:11" x14ac:dyDescent="0.25">
      <c r="D37" s="1" t="s">
        <v>24</v>
      </c>
      <c r="G37" s="94">
        <f>'Income statement Historical'!G35/'Income statement Historical'!G$6</f>
        <v>-1.0397668073675311E-4</v>
      </c>
      <c r="H37" s="94">
        <f>'Income statement Historical'!H35/'Income statement Historical'!H$6</f>
        <v>-2.7948074713029167E-5</v>
      </c>
      <c r="I37" s="94">
        <f>'Income statement Historical'!I35/'Income statement Historical'!I$6</f>
        <v>-1.9106888879467471E-4</v>
      </c>
      <c r="J37" s="94">
        <f>'Income statement Historical'!J35/'Income statement Historical'!J$6</f>
        <v>1.4927265947901942E-4</v>
      </c>
      <c r="K37" s="94">
        <f>'Income statement Historical'!K35/'Income statement Historical'!K$6</f>
        <v>-1.4666863353064966E-5</v>
      </c>
    </row>
    <row r="38" spans="1:11" x14ac:dyDescent="0.25">
      <c r="G38" s="94"/>
      <c r="H38" s="94"/>
      <c r="I38" s="94"/>
      <c r="J38" s="94"/>
      <c r="K38" s="94"/>
    </row>
    <row r="39" spans="1:11" x14ac:dyDescent="0.25">
      <c r="D39" s="5" t="s">
        <v>25</v>
      </c>
      <c r="E39" s="5"/>
      <c r="F39" s="5"/>
      <c r="G39" s="96">
        <f>'Income statement Historical'!G37/'Income statement Historical'!G$6</f>
        <v>0.13803830187563973</v>
      </c>
      <c r="H39" s="96">
        <f>'Income statement Historical'!H37/'Income statement Historical'!H$6</f>
        <v>0.11895125408600858</v>
      </c>
      <c r="I39" s="96">
        <f>'Income statement Historical'!I37/'Income statement Historical'!I$6</f>
        <v>0.13658839939975845</v>
      </c>
      <c r="J39" s="96">
        <f>'Income statement Historical'!J37/'Income statement Historical'!J$6</f>
        <v>8.0075294141459252E-2</v>
      </c>
      <c r="K39" s="96">
        <f>'Income statement Historical'!K37/'Income statement Historical'!K$6</f>
        <v>9.8789786334826934E-2</v>
      </c>
    </row>
    <row r="40" spans="1:11" x14ac:dyDescent="0.25">
      <c r="G40" s="66"/>
      <c r="H40" s="66"/>
      <c r="I40" s="66"/>
      <c r="J40" s="66"/>
      <c r="K40" s="66"/>
    </row>
    <row r="41" spans="1:11" x14ac:dyDescent="0.25">
      <c r="G41" s="66"/>
      <c r="H41" s="66"/>
      <c r="I41" s="66"/>
      <c r="J41" s="66"/>
      <c r="K41" s="66"/>
    </row>
    <row r="42" spans="1:11" x14ac:dyDescent="0.25">
      <c r="D42" s="93" t="s">
        <v>325</v>
      </c>
      <c r="G42" s="66"/>
      <c r="H42" s="66"/>
      <c r="I42" s="66"/>
      <c r="J42" s="66"/>
      <c r="K42" s="66"/>
    </row>
    <row r="43" spans="1:11" x14ac:dyDescent="0.25">
      <c r="A43" s="4"/>
      <c r="B43" s="4"/>
      <c r="C43" s="4"/>
      <c r="D43" s="92" t="s">
        <v>18</v>
      </c>
      <c r="E43" s="92"/>
      <c r="F43" s="92"/>
      <c r="G43" s="92">
        <v>2020</v>
      </c>
      <c r="H43" s="97">
        <f>G43+1</f>
        <v>2021</v>
      </c>
      <c r="I43" s="97">
        <f t="shared" ref="I43:K43" si="2">H43+1</f>
        <v>2022</v>
      </c>
      <c r="J43" s="97">
        <f t="shared" si="2"/>
        <v>2023</v>
      </c>
      <c r="K43" s="97">
        <f t="shared" si="2"/>
        <v>2024</v>
      </c>
    </row>
    <row r="44" spans="1:11" x14ac:dyDescent="0.25">
      <c r="G44" s="66"/>
      <c r="H44" s="66"/>
      <c r="I44" s="66"/>
      <c r="J44" s="66"/>
      <c r="K44" s="66"/>
    </row>
    <row r="45" spans="1:11" x14ac:dyDescent="0.25">
      <c r="C45" s="1" t="s">
        <v>37</v>
      </c>
      <c r="G45" s="66"/>
      <c r="H45" s="66"/>
      <c r="I45" s="66"/>
      <c r="J45" s="66"/>
      <c r="K45" s="66"/>
    </row>
    <row r="46" spans="1:11" x14ac:dyDescent="0.25">
      <c r="B46" s="1" t="s">
        <v>38</v>
      </c>
      <c r="G46" s="66"/>
      <c r="H46" s="66"/>
      <c r="I46" s="66"/>
      <c r="J46" s="66"/>
      <c r="K46" s="66"/>
    </row>
    <row r="47" spans="1:11" x14ac:dyDescent="0.25">
      <c r="D47" t="s">
        <v>39</v>
      </c>
      <c r="G47" s="94">
        <f>'Balance sheet Historical'!E8/'Balance sheet Historical'!E$36</f>
        <v>0.55259687362020782</v>
      </c>
      <c r="H47" s="94">
        <f>'Balance sheet Historical'!F8/'Balance sheet Historical'!F$36</f>
        <v>0.49070976570808028</v>
      </c>
      <c r="I47" s="94">
        <f>'Balance sheet Historical'!G8/'Balance sheet Historical'!G$36</f>
        <v>0.50809152907406963</v>
      </c>
      <c r="J47" s="94">
        <f>'Balance sheet Historical'!H8/'Balance sheet Historical'!H$36</f>
        <v>0.50860954341844822</v>
      </c>
      <c r="K47" s="94">
        <f>'Balance sheet Historical'!I8/'Balance sheet Historical'!I$36</f>
        <v>0.49727272303399511</v>
      </c>
    </row>
    <row r="48" spans="1:11" x14ac:dyDescent="0.25">
      <c r="D48" t="s">
        <v>40</v>
      </c>
      <c r="G48" s="94">
        <f>'Balance sheet Historical'!E9/'Balance sheet Historical'!E$36</f>
        <v>1.1463989181358087E-2</v>
      </c>
      <c r="H48" s="94">
        <f>'Balance sheet Historical'!F9/'Balance sheet Historical'!F$36</f>
        <v>1.9504427239039113E-2</v>
      </c>
      <c r="I48" s="94">
        <f>'Balance sheet Historical'!G9/'Balance sheet Historical'!G$36</f>
        <v>5.6988857752303862E-2</v>
      </c>
      <c r="J48" s="94">
        <f>'Balance sheet Historical'!H9/'Balance sheet Historical'!H$36</f>
        <v>4.4151922768850167E-2</v>
      </c>
      <c r="K48" s="94">
        <f>'Balance sheet Historical'!I9/'Balance sheet Historical'!I$36</f>
        <v>6.7288043165012301E-2</v>
      </c>
    </row>
    <row r="49" spans="1:11" x14ac:dyDescent="0.25">
      <c r="D49" t="s">
        <v>41</v>
      </c>
      <c r="G49" s="94">
        <f>'Balance sheet Historical'!E10/'Balance sheet Historical'!E$36</f>
        <v>1.6025031407110393E-2</v>
      </c>
      <c r="H49" s="94">
        <f>'Balance sheet Historical'!F10/'Balance sheet Historical'!F$36</f>
        <v>1.5481615914691799E-2</v>
      </c>
      <c r="I49" s="94">
        <f>'Balance sheet Historical'!G10/'Balance sheet Historical'!G$36</f>
        <v>1.4059776596758665E-2</v>
      </c>
      <c r="J49" s="94">
        <f>'Balance sheet Historical'!H10/'Balance sheet Historical'!H$36</f>
        <v>1.302549072646688E-2</v>
      </c>
      <c r="K49" s="94">
        <f>'Balance sheet Historical'!I10/'Balance sheet Historical'!I$36</f>
        <v>9.0897989038115426E-3</v>
      </c>
    </row>
    <row r="50" spans="1:11" x14ac:dyDescent="0.25">
      <c r="D50" t="s">
        <v>42</v>
      </c>
      <c r="G50" s="94">
        <f>'Balance sheet Historical'!E11/'Balance sheet Historical'!E$36</f>
        <v>7.8809127579986829E-2</v>
      </c>
      <c r="H50" s="94">
        <f>'Balance sheet Historical'!F11/'Balance sheet Historical'!F$36</f>
        <v>7.2169838522473731E-2</v>
      </c>
      <c r="I50" s="94">
        <f>'Balance sheet Historical'!G11/'Balance sheet Historical'!G$36</f>
        <v>7.4560119024967744E-2</v>
      </c>
      <c r="J50" s="94">
        <f>'Balance sheet Historical'!H11/'Balance sheet Historical'!H$36</f>
        <v>6.925780220722956E-2</v>
      </c>
      <c r="K50" s="94">
        <f>'Balance sheet Historical'!I11/'Balance sheet Historical'!I$36</f>
        <v>6.2950034428876978E-2</v>
      </c>
    </row>
    <row r="51" spans="1:11" x14ac:dyDescent="0.25">
      <c r="D51" t="s">
        <v>43</v>
      </c>
      <c r="G51" s="94">
        <f>'Balance sheet Historical'!E12/'Balance sheet Historical'!E$36</f>
        <v>7.0800015074908809E-2</v>
      </c>
      <c r="H51" s="94">
        <f>'Balance sheet Historical'!F12/'Balance sheet Historical'!F$36</f>
        <v>6.4587877657802509E-2</v>
      </c>
      <c r="I51" s="94">
        <f>'Balance sheet Historical'!G12/'Balance sheet Historical'!G$36</f>
        <v>6.5211906457273899E-2</v>
      </c>
      <c r="J51" s="94">
        <f>'Balance sheet Historical'!H12/'Balance sheet Historical'!H$36</f>
        <v>6.1049191263173652E-2</v>
      </c>
      <c r="K51" s="94">
        <f>'Balance sheet Historical'!I12/'Balance sheet Historical'!I$36</f>
        <v>5.446081878724443E-2</v>
      </c>
    </row>
    <row r="52" spans="1:11" x14ac:dyDescent="0.25">
      <c r="D52" t="s">
        <v>44</v>
      </c>
      <c r="G52" s="94">
        <f>'Balance sheet Historical'!E13/'Balance sheet Historical'!E$36</f>
        <v>1.2692669876008877E-4</v>
      </c>
      <c r="H52" s="94">
        <f>'Balance sheet Historical'!F13/'Balance sheet Historical'!F$36</f>
        <v>6.6370005120469088E-5</v>
      </c>
      <c r="I52" s="94">
        <f>'Balance sheet Historical'!G13/'Balance sheet Historical'!G$36</f>
        <v>8.8514799209188277E-5</v>
      </c>
      <c r="J52" s="94">
        <f>'Balance sheet Historical'!H13/'Balance sheet Historical'!H$36</f>
        <v>5.9964791475720389E-5</v>
      </c>
      <c r="K52" s="94">
        <f>'Balance sheet Historical'!I13/'Balance sheet Historical'!I$36</f>
        <v>2.8183961807904431E-4</v>
      </c>
    </row>
    <row r="53" spans="1:11" x14ac:dyDescent="0.25">
      <c r="D53" t="s">
        <v>45</v>
      </c>
      <c r="G53" s="94">
        <f>'Balance sheet Historical'!E14/'Balance sheet Historical'!E$36</f>
        <v>2.924229802615749E-4</v>
      </c>
      <c r="H53" s="94">
        <f>'Balance sheet Historical'!F14/'Balance sheet Historical'!F$36</f>
        <v>3.3417065515201224E-4</v>
      </c>
      <c r="I53" s="94">
        <f>'Balance sheet Historical'!G14/'Balance sheet Historical'!G$36</f>
        <v>3.5990451376566177E-4</v>
      </c>
      <c r="J53" s="94">
        <f>'Balance sheet Historical'!H14/'Balance sheet Historical'!H$36</f>
        <v>9.5857220767601847E-3</v>
      </c>
      <c r="K53" s="94">
        <f>'Balance sheet Historical'!I14/'Balance sheet Historical'!I$36</f>
        <v>9.612308325994693E-3</v>
      </c>
    </row>
    <row r="54" spans="1:11" x14ac:dyDescent="0.25">
      <c r="C54" s="1" t="s">
        <v>46</v>
      </c>
      <c r="G54" s="94"/>
      <c r="H54" s="94"/>
      <c r="I54" s="94"/>
      <c r="J54" s="94"/>
      <c r="K54" s="94"/>
    </row>
    <row r="55" spans="1:11" x14ac:dyDescent="0.25">
      <c r="D55" t="s">
        <v>47</v>
      </c>
      <c r="G55" s="94">
        <f>'Balance sheet Historical'!E16/'Balance sheet Historical'!E$36</f>
        <v>2.0946056405115741E-2</v>
      </c>
      <c r="H55" s="94">
        <f>'Balance sheet Historical'!F16/'Balance sheet Historical'!F$36</f>
        <v>1.4567055809168134E-2</v>
      </c>
      <c r="I55" s="94">
        <f>'Balance sheet Historical'!G16/'Balance sheet Historical'!G$36</f>
        <v>1.6012112451014159E-2</v>
      </c>
      <c r="J55" s="94">
        <f>'Balance sheet Historical'!H16/'Balance sheet Historical'!H$36</f>
        <v>6.3941288779055571E-3</v>
      </c>
      <c r="K55" s="94">
        <f>'Balance sheet Historical'!I16/'Balance sheet Historical'!I$36</f>
        <v>1.7809267890590678E-2</v>
      </c>
    </row>
    <row r="56" spans="1:11" x14ac:dyDescent="0.25">
      <c r="D56" t="s">
        <v>48</v>
      </c>
      <c r="G56" s="94">
        <f>'Balance sheet Historical'!E17/'Balance sheet Historical'!E$36</f>
        <v>1.5524509142188534E-2</v>
      </c>
      <c r="H56" s="94">
        <f>'Balance sheet Historical'!F17/'Balance sheet Historical'!F$36</f>
        <v>1.9393501146565042E-3</v>
      </c>
      <c r="I56" s="94">
        <f>'Balance sheet Historical'!G17/'Balance sheet Historical'!G$36</f>
        <v>1.1440120275149805E-4</v>
      </c>
      <c r="J56" s="94">
        <f>'Balance sheet Historical'!H17/'Balance sheet Historical'!H$36</f>
        <v>1.0088966740987993E-4</v>
      </c>
      <c r="K56" s="94">
        <f>'Balance sheet Historical'!I17/'Balance sheet Historical'!I$36</f>
        <v>8.2438832320903143E-5</v>
      </c>
    </row>
    <row r="57" spans="1:11" x14ac:dyDescent="0.25">
      <c r="D57" t="s">
        <v>49</v>
      </c>
      <c r="G57" s="94">
        <f>'Balance sheet Historical'!E18/'Balance sheet Historical'!E$36</f>
        <v>5.0387504564382403E-3</v>
      </c>
      <c r="H57" s="94">
        <f>'Balance sheet Historical'!F18/'Balance sheet Historical'!F$36</f>
        <v>6.4348736782709358E-3</v>
      </c>
      <c r="I57" s="94">
        <f>'Balance sheet Historical'!G18/'Balance sheet Historical'!G$36</f>
        <v>1.3241193642347009E-2</v>
      </c>
      <c r="J57" s="94">
        <f>'Balance sheet Historical'!H18/'Balance sheet Historical'!H$36</f>
        <v>2.0584008922060651E-2</v>
      </c>
      <c r="K57" s="94">
        <f>'Balance sheet Historical'!I18/'Balance sheet Historical'!I$36</f>
        <v>1.4456358558723187E-2</v>
      </c>
    </row>
    <row r="58" spans="1:11" x14ac:dyDescent="0.25">
      <c r="D58" t="s">
        <v>50</v>
      </c>
      <c r="G58" s="94">
        <f>'Balance sheet Historical'!E19/'Balance sheet Historical'!E$36</f>
        <v>3.5271001106291595E-3</v>
      </c>
      <c r="H58" s="94">
        <f>'Balance sheet Historical'!F19/'Balance sheet Historical'!F$36</f>
        <v>3.6469853687787833E-3</v>
      </c>
      <c r="I58" s="94">
        <f>'Balance sheet Historical'!G19/'Balance sheet Historical'!G$36</f>
        <v>5.7195829688460121E-3</v>
      </c>
      <c r="J58" s="94">
        <f>'Balance sheet Historical'!H19/'Balance sheet Historical'!H$36</f>
        <v>4.3982204901005569E-3</v>
      </c>
      <c r="K58" s="94">
        <f>'Balance sheet Historical'!I19/'Balance sheet Historical'!I$36</f>
        <v>4.5240169318052298E-3</v>
      </c>
    </row>
    <row r="59" spans="1:11" x14ac:dyDescent="0.25">
      <c r="D59" t="s">
        <v>51</v>
      </c>
      <c r="G59" s="94">
        <f>'Balance sheet Historical'!E20/'Balance sheet Historical'!E$36</f>
        <v>7.5374544050181818E-5</v>
      </c>
      <c r="H59" s="94">
        <f>'Balance sheet Historical'!F20/'Balance sheet Historical'!F$36</f>
        <v>8.30785378780697E-5</v>
      </c>
      <c r="I59" s="94">
        <f>'Balance sheet Historical'!G20/'Balance sheet Historical'!G$36</f>
        <v>1.9504271793399305E-4</v>
      </c>
      <c r="J59" s="94">
        <f>'Balance sheet Historical'!H20/'Balance sheet Historical'!H$36</f>
        <v>7.178267008772367E-5</v>
      </c>
      <c r="K59" s="94">
        <f>'Balance sheet Historical'!I20/'Balance sheet Historical'!I$36</f>
        <v>4.8610141801735912E-5</v>
      </c>
    </row>
    <row r="60" spans="1:11" x14ac:dyDescent="0.25">
      <c r="D60" t="s">
        <v>52</v>
      </c>
      <c r="G60" s="94">
        <f>'Balance sheet Historical'!E21/'Balance sheet Historical'!E$36</f>
        <v>3.5614346019322861E-2</v>
      </c>
      <c r="H60" s="94">
        <f>'Balance sheet Historical'!F21/'Balance sheet Historical'!F$36</f>
        <v>3.1415522528613647E-2</v>
      </c>
      <c r="I60" s="94">
        <f>'Balance sheet Historical'!G21/'Balance sheet Historical'!G$36</f>
        <v>3.6721354577044202E-2</v>
      </c>
      <c r="J60" s="94">
        <f>'Balance sheet Historical'!H21/'Balance sheet Historical'!H$36</f>
        <v>3.5732559656213532E-2</v>
      </c>
      <c r="K60" s="94">
        <f>'Balance sheet Historical'!I21/'Balance sheet Historical'!I$36</f>
        <v>3.23825884027511E-2</v>
      </c>
    </row>
    <row r="61" spans="1:11" x14ac:dyDescent="0.25">
      <c r="A61" s="4"/>
      <c r="B61" s="5" t="s">
        <v>53</v>
      </c>
      <c r="C61" s="4"/>
      <c r="D61" s="5"/>
      <c r="E61" s="5"/>
      <c r="F61" s="5"/>
      <c r="G61" s="96">
        <f>'Balance sheet Historical'!E22/'Balance sheet Historical'!E$36</f>
        <v>0.81084052322033839</v>
      </c>
      <c r="H61" s="96">
        <f>'Balance sheet Historical'!F22/'Balance sheet Historical'!F$36</f>
        <v>0.72094093173972607</v>
      </c>
      <c r="I61" s="96">
        <f>'Balance sheet Historical'!G22/'Balance sheet Historical'!G$36</f>
        <v>0.79136429577828538</v>
      </c>
      <c r="J61" s="96">
        <f>'Balance sheet Historical'!H22/'Balance sheet Historical'!H$36</f>
        <v>0.77302122753618252</v>
      </c>
      <c r="K61" s="96">
        <f>'Balance sheet Historical'!I22/'Balance sheet Historical'!I$36</f>
        <v>0.77025884702100678</v>
      </c>
    </row>
    <row r="62" spans="1:11" x14ac:dyDescent="0.25">
      <c r="C62" s="1" t="s">
        <v>54</v>
      </c>
      <c r="G62" s="94"/>
      <c r="H62" s="94"/>
      <c r="I62" s="94"/>
      <c r="J62" s="94"/>
      <c r="K62" s="94"/>
    </row>
    <row r="63" spans="1:11" x14ac:dyDescent="0.25">
      <c r="D63" t="s">
        <v>55</v>
      </c>
      <c r="G63" s="94">
        <f>'Balance sheet Historical'!E24/'Balance sheet Historical'!E$36</f>
        <v>5.2287119536590258E-2</v>
      </c>
      <c r="H63" s="94">
        <f>'Balance sheet Historical'!F24/'Balance sheet Historical'!F$36</f>
        <v>4.6621099558372583E-2</v>
      </c>
      <c r="I63" s="94">
        <f>'Balance sheet Historical'!G24/'Balance sheet Historical'!G$36</f>
        <v>6.6750894900127991E-2</v>
      </c>
      <c r="J63" s="94">
        <f>'Balance sheet Historical'!H24/'Balance sheet Historical'!H$36</f>
        <v>7.2349818836297861E-2</v>
      </c>
      <c r="K63" s="94">
        <f>'Balance sheet Historical'!I24/'Balance sheet Historical'!I$36</f>
        <v>8.2634661749304422E-2</v>
      </c>
    </row>
    <row r="64" spans="1:11" x14ac:dyDescent="0.25">
      <c r="C64" s="1" t="s">
        <v>46</v>
      </c>
      <c r="G64" s="94">
        <f>'Balance sheet Historical'!E25/'Balance sheet Historical'!E$36</f>
        <v>0</v>
      </c>
      <c r="H64" s="94">
        <f>'Balance sheet Historical'!F25/'Balance sheet Historical'!F$36</f>
        <v>0</v>
      </c>
      <c r="I64" s="94">
        <f>'Balance sheet Historical'!G25/'Balance sheet Historical'!G$36</f>
        <v>0</v>
      </c>
      <c r="J64" s="94">
        <f>'Balance sheet Historical'!H25/'Balance sheet Historical'!H$36</f>
        <v>0</v>
      </c>
      <c r="K64" s="94">
        <f>'Balance sheet Historical'!I25/'Balance sheet Historical'!I$36</f>
        <v>0</v>
      </c>
    </row>
    <row r="65" spans="1:11" x14ac:dyDescent="0.25">
      <c r="D65" t="s">
        <v>47</v>
      </c>
      <c r="G65" s="94">
        <f>'Balance sheet Historical'!E26/'Balance sheet Historical'!E$36</f>
        <v>5.3489330909751845E-2</v>
      </c>
      <c r="H65" s="94">
        <f>'Balance sheet Historical'!F26/'Balance sheet Historical'!F$36</f>
        <v>0.12640318316114069</v>
      </c>
      <c r="I65" s="94">
        <f>'Balance sheet Historical'!G26/'Balance sheet Historical'!G$36</f>
        <v>5.9208765971284709E-2</v>
      </c>
      <c r="J65" s="94">
        <f>'Balance sheet Historical'!H26/'Balance sheet Historical'!H$36</f>
        <v>6.3866879913720725E-2</v>
      </c>
      <c r="K65" s="94">
        <f>'Balance sheet Historical'!I26/'Balance sheet Historical'!I$36</f>
        <v>5.4411613419216555E-2</v>
      </c>
    </row>
    <row r="66" spans="1:11" x14ac:dyDescent="0.25">
      <c r="D66" t="s">
        <v>56</v>
      </c>
      <c r="G66" s="94">
        <f>'Balance sheet Historical'!E27/'Balance sheet Historical'!E$36</f>
        <v>2.8212389331451745E-2</v>
      </c>
      <c r="H66" s="94">
        <f>'Balance sheet Historical'!F27/'Balance sheet Historical'!F$36</f>
        <v>2.9840163158822375E-2</v>
      </c>
      <c r="I66" s="94">
        <f>'Balance sheet Historical'!G27/'Balance sheet Historical'!G$36</f>
        <v>3.6641905983683935E-2</v>
      </c>
      <c r="J66" s="94">
        <f>'Balance sheet Historical'!H27/'Balance sheet Historical'!H$36</f>
        <v>4.2314789768693475E-2</v>
      </c>
      <c r="K66" s="94">
        <f>'Balance sheet Historical'!I27/'Balance sheet Historical'!I$36</f>
        <v>4.2441217193982549E-2</v>
      </c>
    </row>
    <row r="67" spans="1:11" x14ac:dyDescent="0.25">
      <c r="D67" t="s">
        <v>57</v>
      </c>
      <c r="G67" s="94">
        <f>'Balance sheet Historical'!E28/'Balance sheet Historical'!E$36</f>
        <v>1.8469284180055419E-3</v>
      </c>
      <c r="H67" s="94">
        <f>'Balance sheet Historical'!F28/'Balance sheet Historical'!F$36</f>
        <v>2.0561938124822252E-3</v>
      </c>
      <c r="I67" s="94">
        <f>'Balance sheet Historical'!G28/'Balance sheet Historical'!G$36</f>
        <v>1.4379479645115303E-3</v>
      </c>
      <c r="J67" s="94">
        <f>'Balance sheet Historical'!H28/'Balance sheet Historical'!H$36</f>
        <v>4.052766390303387E-3</v>
      </c>
      <c r="K67" s="94">
        <f>'Balance sheet Historical'!I28/'Balance sheet Historical'!I$36</f>
        <v>5.4917555711438701E-3</v>
      </c>
    </row>
    <row r="68" spans="1:11" x14ac:dyDescent="0.25">
      <c r="D68" t="s">
        <v>58</v>
      </c>
      <c r="G68" s="94">
        <f>'Balance sheet Historical'!E29/'Balance sheet Historical'!E$36</f>
        <v>4.9495110297032427E-3</v>
      </c>
      <c r="H68" s="94">
        <f>'Balance sheet Historical'!F29/'Balance sheet Historical'!F$36</f>
        <v>2.1237705449685208E-2</v>
      </c>
      <c r="I68" s="94">
        <f>'Balance sheet Historical'!G29/'Balance sheet Historical'!G$36</f>
        <v>2.8467886365607397E-3</v>
      </c>
      <c r="J68" s="94">
        <f>'Balance sheet Historical'!H29/'Balance sheet Historical'!H$36</f>
        <v>8.5265994185603714E-3</v>
      </c>
      <c r="K68" s="94">
        <f>'Balance sheet Historical'!I29/'Balance sheet Historical'!I$36</f>
        <v>2.2780299718229828E-3</v>
      </c>
    </row>
    <row r="69" spans="1:11" x14ac:dyDescent="0.25">
      <c r="D69" t="s">
        <v>48</v>
      </c>
      <c r="G69" s="94">
        <f>'Balance sheet Historical'!E30/'Balance sheet Historical'!E$36</f>
        <v>2.4922756847897071E-3</v>
      </c>
      <c r="H69" s="94">
        <f>'Balance sheet Historical'!F30/'Balance sheet Historical'!F$36</f>
        <v>1.3303008893464654E-3</v>
      </c>
      <c r="I69" s="94">
        <f>'Balance sheet Historical'!G30/'Balance sheet Historical'!G$36</f>
        <v>8.1834437004721231E-5</v>
      </c>
      <c r="J69" s="94">
        <f>'Balance sheet Historical'!H30/'Balance sheet Historical'!H$36</f>
        <v>8.3928823105615933E-5</v>
      </c>
      <c r="K69" s="94">
        <f>'Balance sheet Historical'!I30/'Balance sheet Historical'!I$36</f>
        <v>8.8391094582340198E-5</v>
      </c>
    </row>
    <row r="70" spans="1:11" x14ac:dyDescent="0.25">
      <c r="D70" t="s">
        <v>49</v>
      </c>
      <c r="G70" s="94">
        <f>'Balance sheet Historical'!E31/'Balance sheet Historical'!E$36</f>
        <v>1.3371797038788777E-2</v>
      </c>
      <c r="H70" s="94">
        <f>'Balance sheet Historical'!F31/'Balance sheet Historical'!F$36</f>
        <v>2.2041919620122224E-2</v>
      </c>
      <c r="I70" s="94">
        <f>'Balance sheet Historical'!G31/'Balance sheet Historical'!G$36</f>
        <v>2.2330900051164421E-2</v>
      </c>
      <c r="J70" s="94">
        <f>'Balance sheet Historical'!H31/'Balance sheet Historical'!H$36</f>
        <v>1.568954695505792E-2</v>
      </c>
      <c r="K70" s="94">
        <f>'Balance sheet Historical'!I31/'Balance sheet Historical'!I$36</f>
        <v>2.2919681859518478E-2</v>
      </c>
    </row>
    <row r="71" spans="1:11" x14ac:dyDescent="0.25">
      <c r="D71" t="s">
        <v>59</v>
      </c>
      <c r="G71" s="94">
        <f>'Balance sheet Historical'!E32/'Balance sheet Historical'!E$36</f>
        <v>1.1343994923940405E-6</v>
      </c>
      <c r="H71" s="94">
        <f>'Balance sheet Historical'!F32/'Balance sheet Historical'!F$36</f>
        <v>1.1603147748333758E-6</v>
      </c>
      <c r="I71" s="94">
        <f>'Balance sheet Historical'!G32/'Balance sheet Historical'!G$36</f>
        <v>1.0736296400036314E-6</v>
      </c>
      <c r="J71" s="94">
        <f>'Balance sheet Historical'!H32/'Balance sheet Historical'!H$36</f>
        <v>7.6597361374095388E-7</v>
      </c>
      <c r="K71" s="94">
        <f>'Balance sheet Historical'!I32/'Balance sheet Historical'!I$36</f>
        <v>6.9443059716765588E-7</v>
      </c>
    </row>
    <row r="72" spans="1:11" x14ac:dyDescent="0.25">
      <c r="D72" t="s">
        <v>60</v>
      </c>
      <c r="G72" s="94">
        <f>'Balance sheet Historical'!E33/'Balance sheet Historical'!E$36</f>
        <v>1.8949261209726145E-2</v>
      </c>
      <c r="H72" s="94">
        <f>'Balance sheet Historical'!F33/'Balance sheet Historical'!F$36</f>
        <v>1.7963645249537873E-2</v>
      </c>
      <c r="I72" s="94">
        <f>'Balance sheet Historical'!G33/'Balance sheet Historical'!G$36</f>
        <v>1.9221907198078345E-2</v>
      </c>
      <c r="J72" s="94">
        <f>'Balance sheet Historical'!H33/'Balance sheet Historical'!H$36</f>
        <v>1.9896492891327163E-2</v>
      </c>
      <c r="K72" s="94">
        <f>'Balance sheet Historical'!I33/'Balance sheet Historical'!I$36</f>
        <v>1.9327293175999172E-2</v>
      </c>
    </row>
    <row r="73" spans="1:11" x14ac:dyDescent="0.25">
      <c r="A73" s="4"/>
      <c r="B73" s="5" t="s">
        <v>61</v>
      </c>
      <c r="C73" s="4"/>
      <c r="D73" s="5"/>
      <c r="E73" s="5"/>
      <c r="F73" s="5"/>
      <c r="G73" s="96">
        <f>'Balance sheet Historical'!E34/'Balance sheet Historical'!E$36</f>
        <v>0.17559974755829966</v>
      </c>
      <c r="H73" s="96">
        <f>'Balance sheet Historical'!F34/'Balance sheet Historical'!F$36</f>
        <v>0.26749537121428452</v>
      </c>
      <c r="I73" s="96">
        <f>'Balance sheet Historical'!G34/'Balance sheet Historical'!G$36</f>
        <v>0.20852201877205642</v>
      </c>
      <c r="J73" s="96">
        <f>'Balance sheet Historical'!H34/'Balance sheet Historical'!H$36</f>
        <v>0.22678158897068024</v>
      </c>
      <c r="K73" s="96">
        <f>'Balance sheet Historical'!I34/'Balance sheet Historical'!I$36</f>
        <v>0.22959333846616756</v>
      </c>
    </row>
    <row r="74" spans="1:11" x14ac:dyDescent="0.25">
      <c r="D74" t="s">
        <v>62</v>
      </c>
      <c r="G74" s="94">
        <f>'Balance sheet Historical'!E35/'Balance sheet Historical'!E$36</f>
        <v>1.3559729221362055E-2</v>
      </c>
      <c r="H74" s="94">
        <f>'Balance sheet Historical'!F35/'Balance sheet Historical'!F$36</f>
        <v>1.1563697045989424E-2</v>
      </c>
      <c r="I74" s="94">
        <f>'Balance sheet Historical'!G35/'Balance sheet Historical'!G$36</f>
        <v>1.1368544965816229E-4</v>
      </c>
      <c r="J74" s="94">
        <f>'Balance sheet Historical'!H35/'Balance sheet Historical'!H$36</f>
        <v>1.971834931373141E-4</v>
      </c>
      <c r="K74" s="94">
        <f>'Balance sheet Historical'!I35/'Balance sheet Historical'!I$36</f>
        <v>1.4781451282568675E-4</v>
      </c>
    </row>
    <row r="75" spans="1:11" x14ac:dyDescent="0.25">
      <c r="A75" s="4"/>
      <c r="B75" s="5" t="s">
        <v>63</v>
      </c>
      <c r="C75" s="4"/>
      <c r="D75" s="5"/>
      <c r="E75" s="5"/>
      <c r="F75" s="5"/>
      <c r="G75" s="96">
        <f>'Balance sheet Historical'!E36/'Balance sheet Historical'!E$36</f>
        <v>1</v>
      </c>
      <c r="H75" s="96">
        <f>'Balance sheet Historical'!F36/'Balance sheet Historical'!F$36</f>
        <v>1</v>
      </c>
      <c r="I75" s="96">
        <f>'Balance sheet Historical'!G36/'Balance sheet Historical'!G$36</f>
        <v>1</v>
      </c>
      <c r="J75" s="96">
        <f>'Balance sheet Historical'!H36/'Balance sheet Historical'!H$36</f>
        <v>1</v>
      </c>
      <c r="K75" s="96">
        <f>'Balance sheet Historical'!I36/'Balance sheet Historical'!I$36</f>
        <v>1</v>
      </c>
    </row>
    <row r="76" spans="1:11" x14ac:dyDescent="0.25">
      <c r="C76" s="1" t="s">
        <v>64</v>
      </c>
      <c r="G76" s="94"/>
      <c r="H76" s="94"/>
      <c r="I76" s="94"/>
      <c r="J76" s="94"/>
      <c r="K76" s="94"/>
    </row>
    <row r="77" spans="1:11" x14ac:dyDescent="0.25">
      <c r="C77" s="1" t="s">
        <v>65</v>
      </c>
      <c r="G77" s="94"/>
      <c r="H77" s="94"/>
      <c r="I77" s="94"/>
      <c r="J77" s="94"/>
      <c r="K77" s="94"/>
    </row>
    <row r="78" spans="1:11" x14ac:dyDescent="0.25">
      <c r="D78" t="s">
        <v>66</v>
      </c>
      <c r="G78" s="94">
        <f>'Balance sheet Historical'!E39/'Balance sheet Historical'!E$36</f>
        <v>3.6380191721076881E-3</v>
      </c>
      <c r="H78" s="94">
        <f>'Balance sheet Historical'!F39/'Balance sheet Historical'!F$36</f>
        <v>3.349248597556539E-3</v>
      </c>
      <c r="I78" s="94">
        <f>'Balance sheet Historical'!G39/'Balance sheet Historical'!G$36</f>
        <v>3.4436074242205363E-3</v>
      </c>
      <c r="J78" s="94">
        <f>'Balance sheet Historical'!H39/'Balance sheet Historical'!H$36</f>
        <v>3.1589846078696566E-3</v>
      </c>
      <c r="K78" s="94">
        <f>'Balance sheet Historical'!I39/'Balance sheet Historical'!I$36</f>
        <v>2.8639309870904365E-3</v>
      </c>
    </row>
    <row r="79" spans="1:11" x14ac:dyDescent="0.25">
      <c r="D79" t="s">
        <v>67</v>
      </c>
      <c r="G79" s="94">
        <f>'Balance sheet Historical'!E40/'Balance sheet Historical'!E$36</f>
        <v>0.48939065479177285</v>
      </c>
      <c r="H79" s="94">
        <f>'Balance sheet Historical'!F40/'Balance sheet Historical'!F$36</f>
        <v>0.50921609017780778</v>
      </c>
      <c r="I79" s="94">
        <f>'Balance sheet Historical'!G40/'Balance sheet Historical'!G$36</f>
        <v>0.5982097345045122</v>
      </c>
      <c r="J79" s="94">
        <f>'Balance sheet Historical'!H40/'Balance sheet Historical'!H$36</f>
        <v>0.59128621851520169</v>
      </c>
      <c r="K79" s="94">
        <f>'Balance sheet Historical'!I40/'Balance sheet Historical'!I$36</f>
        <v>0.59461889698429637</v>
      </c>
    </row>
    <row r="80" spans="1:11" x14ac:dyDescent="0.25">
      <c r="D80" t="s">
        <v>68</v>
      </c>
      <c r="G80" s="94">
        <f>'Balance sheet Historical'!E41/'Balance sheet Historical'!E$36</f>
        <v>9.4785379808924282E-5</v>
      </c>
      <c r="H80" s="94">
        <f>'Balance sheet Historical'!F41/'Balance sheet Historical'!F$36</f>
        <v>6.6370005120469088E-5</v>
      </c>
      <c r="I80" s="94">
        <f>'Balance sheet Historical'!G41/'Balance sheet Historical'!G$36</f>
        <v>-3.6503407760123463E-5</v>
      </c>
      <c r="J80" s="94">
        <f>'Balance sheet Historical'!H41/'Balance sheet Historical'!H$36</f>
        <v>6.0873017332013226E-4</v>
      </c>
      <c r="K80" s="94">
        <f>'Balance sheet Historical'!I41/'Balance sheet Historical'!I$36</f>
        <v>5.5494925150798089E-4</v>
      </c>
    </row>
    <row r="81" spans="1:11" x14ac:dyDescent="0.25">
      <c r="D81" t="s">
        <v>69</v>
      </c>
      <c r="G81" s="94">
        <f>'Balance sheet Historical'!E42/'Balance sheet Historical'!E$36</f>
        <v>0</v>
      </c>
      <c r="H81" s="94">
        <f>'Balance sheet Historical'!F42/'Balance sheet Historical'!F$36</f>
        <v>0</v>
      </c>
      <c r="I81" s="94">
        <f>'Balance sheet Historical'!G42/'Balance sheet Historical'!G$36</f>
        <v>0</v>
      </c>
      <c r="J81" s="94">
        <f>'Balance sheet Historical'!H42/'Balance sheet Historical'!H$36</f>
        <v>0</v>
      </c>
      <c r="K81" s="94">
        <f>'Balance sheet Historical'!I42/'Balance sheet Historical'!I$36</f>
        <v>0</v>
      </c>
    </row>
    <row r="82" spans="1:11" x14ac:dyDescent="0.25">
      <c r="D82" t="s">
        <v>70</v>
      </c>
      <c r="G82" s="94">
        <f>'Balance sheet Historical'!E43/'Balance sheet Historical'!E$36</f>
        <v>0</v>
      </c>
      <c r="H82" s="94">
        <f>'Balance sheet Historical'!F43/'Balance sheet Historical'!F$36</f>
        <v>0</v>
      </c>
      <c r="I82" s="94">
        <f>'Balance sheet Historical'!G43/'Balance sheet Historical'!G$36</f>
        <v>0</v>
      </c>
      <c r="J82" s="94">
        <f>'Balance sheet Historical'!H43/'Balance sheet Historical'!H$36</f>
        <v>0</v>
      </c>
      <c r="K82" s="94">
        <f>'Balance sheet Historical'!I43/'Balance sheet Historical'!I$36</f>
        <v>9.9204371023950838E-8</v>
      </c>
    </row>
    <row r="83" spans="1:11" x14ac:dyDescent="0.25">
      <c r="B83" s="1" t="s">
        <v>71</v>
      </c>
      <c r="G83" s="94"/>
      <c r="H83" s="94"/>
      <c r="I83" s="94"/>
      <c r="J83" s="94"/>
      <c r="K83" s="94"/>
    </row>
    <row r="84" spans="1:11" x14ac:dyDescent="0.25">
      <c r="C84" s="1" t="s">
        <v>72</v>
      </c>
      <c r="G84" s="94"/>
      <c r="H84" s="94"/>
      <c r="I84" s="94"/>
      <c r="J84" s="94"/>
      <c r="K84" s="94"/>
    </row>
    <row r="85" spans="1:11" x14ac:dyDescent="0.25">
      <c r="C85" s="1" t="s">
        <v>73</v>
      </c>
      <c r="G85" s="94"/>
      <c r="H85" s="94"/>
      <c r="I85" s="94"/>
      <c r="J85" s="94"/>
      <c r="K85" s="94"/>
    </row>
    <row r="86" spans="1:11" x14ac:dyDescent="0.25">
      <c r="D86" t="s">
        <v>74</v>
      </c>
      <c r="G86" s="94">
        <f>'Balance sheet Historical'!E47/'Balance sheet Historical'!E$36</f>
        <v>0.218907843023815</v>
      </c>
      <c r="H86" s="94">
        <f>'Balance sheet Historical'!F47/'Balance sheet Historical'!F$36</f>
        <v>0.15720466711091252</v>
      </c>
      <c r="I86" s="94">
        <f>'Balance sheet Historical'!G47/'Balance sheet Historical'!G$36</f>
        <v>6.3260644232658411E-2</v>
      </c>
      <c r="J86" s="94">
        <f>'Balance sheet Historical'!H47/'Balance sheet Historical'!H$36</f>
        <v>5.8612410348259744E-2</v>
      </c>
      <c r="K86" s="94">
        <f>'Balance sheet Historical'!I47/'Balance sheet Historical'!I$36</f>
        <v>5.265549764335057E-2</v>
      </c>
    </row>
    <row r="87" spans="1:11" x14ac:dyDescent="0.25">
      <c r="D87" t="s">
        <v>88</v>
      </c>
      <c r="G87" s="94">
        <f>'Balance sheet Historical'!E48/'Balance sheet Historical'!E$36</f>
        <v>0</v>
      </c>
      <c r="H87" s="94">
        <f>'Balance sheet Historical'!F48/'Balance sheet Historical'!F$36</f>
        <v>1.2984502487772892E-2</v>
      </c>
      <c r="I87" s="94">
        <f>'Balance sheet Historical'!G48/'Balance sheet Historical'!G$36</f>
        <v>1.1669161265017247E-2</v>
      </c>
      <c r="J87" s="94">
        <f>'Balance sheet Historical'!H48/'Balance sheet Historical'!H$36</f>
        <v>1.1059017610389927E-2</v>
      </c>
      <c r="K87" s="94">
        <f>'Balance sheet Historical'!I48/'Balance sheet Historical'!I$36</f>
        <v>9.3461429985374316E-3</v>
      </c>
    </row>
    <row r="88" spans="1:11" x14ac:dyDescent="0.25">
      <c r="D88" t="s">
        <v>75</v>
      </c>
      <c r="G88" s="94">
        <f>'Balance sheet Historical'!E49/'Balance sheet Historical'!E$36</f>
        <v>1.3308396711602753E-2</v>
      </c>
      <c r="H88" s="94">
        <f>'Balance sheet Historical'!F49/'Balance sheet Historical'!F$36</f>
        <v>3.8544496505189909E-3</v>
      </c>
      <c r="I88" s="94">
        <f>'Balance sheet Historical'!G49/'Balance sheet Historical'!G$36</f>
        <v>3.6202791460922452E-3</v>
      </c>
      <c r="J88" s="94">
        <f>'Balance sheet Historical'!H49/'Balance sheet Historical'!H$36</f>
        <v>3.4998428659843805E-3</v>
      </c>
      <c r="K88" s="94">
        <f>'Balance sheet Historical'!I49/'Balance sheet Historical'!I$36</f>
        <v>2.38943648048288E-3</v>
      </c>
    </row>
    <row r="89" spans="1:11" x14ac:dyDescent="0.25">
      <c r="D89" t="s">
        <v>76</v>
      </c>
      <c r="G89" s="94">
        <f>'Balance sheet Historical'!E50/'Balance sheet Historical'!E$36</f>
        <v>3.0469970365703931E-3</v>
      </c>
      <c r="H89" s="94">
        <f>'Balance sheet Historical'!F50/'Balance sheet Historical'!F$36</f>
        <v>4.2408344705385055E-3</v>
      </c>
      <c r="I89" s="94">
        <f>'Balance sheet Historical'!G50/'Balance sheet Historical'!G$36</f>
        <v>7.3703481864427073E-3</v>
      </c>
      <c r="J89" s="94">
        <f>'Balance sheet Historical'!H50/'Balance sheet Historical'!H$36</f>
        <v>6.8304055633320116E-3</v>
      </c>
      <c r="K89" s="94">
        <f>'Balance sheet Historical'!I50/'Balance sheet Historical'!I$36</f>
        <v>6.6523475077530717E-3</v>
      </c>
    </row>
    <row r="90" spans="1:11" x14ac:dyDescent="0.25">
      <c r="D90" t="s">
        <v>77</v>
      </c>
      <c r="G90" s="94">
        <f>'Balance sheet Historical'!E51/'Balance sheet Historical'!E$36</f>
        <v>6.1912877362717812E-2</v>
      </c>
      <c r="H90" s="94">
        <f>'Balance sheet Historical'!F51/'Balance sheet Historical'!F$36</f>
        <v>7.0090902540404773E-2</v>
      </c>
      <c r="I90" s="94">
        <f>'Balance sheet Historical'!G51/'Balance sheet Historical'!G$36</f>
        <v>7.1971836547283424E-2</v>
      </c>
      <c r="J90" s="94">
        <f>'Balance sheet Historical'!H51/'Balance sheet Historical'!H$36</f>
        <v>6.8501129701655464E-2</v>
      </c>
      <c r="K90" s="94">
        <f>'Balance sheet Historical'!I51/'Balance sheet Historical'!I$36</f>
        <v>6.3964795940080962E-2</v>
      </c>
    </row>
    <row r="91" spans="1:11" x14ac:dyDescent="0.25">
      <c r="D91" t="s">
        <v>78</v>
      </c>
      <c r="G91" s="94">
        <f>'Balance sheet Historical'!E52/'Balance sheet Historical'!E$36</f>
        <v>7.9155875691495279E-5</v>
      </c>
      <c r="H91" s="94">
        <f>'Balance sheet Historical'!F52/'Balance sheet Historical'!F$36</f>
        <v>6.4165407048285682E-5</v>
      </c>
      <c r="I91" s="94">
        <f>'Balance sheet Historical'!G52/'Balance sheet Historical'!G$36</f>
        <v>5.5232280369075703E-5</v>
      </c>
      <c r="J91" s="94">
        <f>'Balance sheet Historical'!H52/'Balance sheet Historical'!H$36</f>
        <v>4.1362575142011505E-5</v>
      </c>
      <c r="K91" s="94">
        <f>'Balance sheet Historical'!I52/'Balance sheet Historical'!I$36</f>
        <v>3.501914297145464E-5</v>
      </c>
    </row>
    <row r="92" spans="1:11" x14ac:dyDescent="0.25">
      <c r="A92" s="5"/>
      <c r="B92" s="5" t="s">
        <v>79</v>
      </c>
      <c r="C92" s="5"/>
      <c r="D92" s="5"/>
      <c r="E92" s="5"/>
      <c r="F92" s="5"/>
      <c r="G92" s="96">
        <f>'Balance sheet Historical'!E53/'Balance sheet Historical'!E$36</f>
        <v>0.29725527001039742</v>
      </c>
      <c r="H92" s="96">
        <f>'Balance sheet Historical'!F53/'Balance sheet Historical'!F$36</f>
        <v>0.24843952166719593</v>
      </c>
      <c r="I92" s="96">
        <f>'Balance sheet Historical'!G53/'Balance sheet Historical'!G$36</f>
        <v>0.15794750165786312</v>
      </c>
      <c r="J92" s="96">
        <f>'Balance sheet Historical'!H53/'Balance sheet Historical'!H$36</f>
        <v>0.14854416866476355</v>
      </c>
      <c r="K92" s="96">
        <f>'Balance sheet Historical'!I53/'Balance sheet Historical'!I$36</f>
        <v>0.13504323971317636</v>
      </c>
    </row>
    <row r="93" spans="1:11" x14ac:dyDescent="0.25">
      <c r="C93" s="1" t="s">
        <v>80</v>
      </c>
      <c r="G93" s="94"/>
      <c r="H93" s="94"/>
      <c r="I93" s="94"/>
      <c r="J93" s="94"/>
      <c r="K93" s="94"/>
    </row>
    <row r="94" spans="1:11" x14ac:dyDescent="0.25">
      <c r="D94" t="s">
        <v>73</v>
      </c>
      <c r="G94" s="94"/>
      <c r="H94" s="94"/>
      <c r="I94" s="94"/>
      <c r="J94" s="94"/>
      <c r="K94" s="94"/>
    </row>
    <row r="95" spans="1:11" x14ac:dyDescent="0.25">
      <c r="D95" t="s">
        <v>74</v>
      </c>
      <c r="G95" s="94">
        <f>'Balance sheet Historical'!E56/'Balance sheet Historical'!E$36</f>
        <v>5.0229823034939641E-2</v>
      </c>
      <c r="H95" s="94">
        <f>'Balance sheet Historical'!F56/'Balance sheet Historical'!F$36</f>
        <v>4.9140839123400747E-2</v>
      </c>
      <c r="I95" s="94">
        <f>'Balance sheet Historical'!G56/'Balance sheet Historical'!G$36</f>
        <v>5.8451260614171031E-2</v>
      </c>
      <c r="J95" s="94">
        <f>'Balance sheet Historical'!H56/'Balance sheet Historical'!H$36</f>
        <v>4.9726678729656831E-2</v>
      </c>
      <c r="K95" s="94">
        <f>'Balance sheet Historical'!I56/'Balance sheet Historical'!I$36</f>
        <v>4.9509032607583922E-2</v>
      </c>
    </row>
    <row r="96" spans="1:11" x14ac:dyDescent="0.25">
      <c r="D96" t="s">
        <v>88</v>
      </c>
      <c r="G96" s="94">
        <f>'Balance sheet Historical'!E57/'Balance sheet Historical'!E$36</f>
        <v>0</v>
      </c>
      <c r="H96" s="94">
        <f>'Balance sheet Historical'!F57/'Balance sheet Historical'!F$36</f>
        <v>0</v>
      </c>
      <c r="I96" s="94">
        <f>'Balance sheet Historical'!G57/'Balance sheet Historical'!G$36</f>
        <v>1.4047847378536405E-3</v>
      </c>
      <c r="J96" s="94">
        <f>'Balance sheet Historical'!H57/'Balance sheet Historical'!H$36</f>
        <v>1.6009942775205566E-3</v>
      </c>
      <c r="K96" s="94">
        <f>'Balance sheet Historical'!I57/'Balance sheet Historical'!I$36</f>
        <v>1.6115750072840812E-3</v>
      </c>
    </row>
    <row r="97" spans="1:11" x14ac:dyDescent="0.25">
      <c r="D97" t="s">
        <v>81</v>
      </c>
      <c r="G97" s="94">
        <f>'Balance sheet Historical'!E58/'Balance sheet Historical'!E$36</f>
        <v>4.4133560162814063E-2</v>
      </c>
      <c r="H97" s="94">
        <f>'Balance sheet Historical'!F58/'Balance sheet Historical'!F$36</f>
        <v>5.4526440150789855E-2</v>
      </c>
      <c r="I97" s="94">
        <f>'Balance sheet Historical'!G58/'Balance sheet Historical'!G$36</f>
        <v>6.9938978470027668E-2</v>
      </c>
      <c r="J97" s="94">
        <f>'Balance sheet Historical'!H58/'Balance sheet Historical'!H$36</f>
        <v>7.8887622479180824E-2</v>
      </c>
      <c r="K97" s="94">
        <f>'Balance sheet Historical'!I58/'Balance sheet Historical'!I$36</f>
        <v>8.4108739498349308E-2</v>
      </c>
    </row>
    <row r="98" spans="1:11" x14ac:dyDescent="0.25">
      <c r="D98" t="s">
        <v>75</v>
      </c>
      <c r="G98" s="94">
        <f>'Balance sheet Historical'!E59/'Balance sheet Historical'!E$36</f>
        <v>5.0338599341821416E-2</v>
      </c>
      <c r="H98" s="94">
        <f>'Balance sheet Historical'!F59/'Balance sheet Historical'!F$36</f>
        <v>6.4733729224999065E-2</v>
      </c>
      <c r="I98" s="94">
        <f>'Balance sheet Historical'!G59/'Balance sheet Historical'!G$36</f>
        <v>4.3047180415945602E-2</v>
      </c>
      <c r="J98" s="94">
        <f>'Balance sheet Historical'!H59/'Balance sheet Historical'!H$36</f>
        <v>5.2344010567809678E-2</v>
      </c>
      <c r="K98" s="94">
        <f>'Balance sheet Historical'!I59/'Balance sheet Historical'!I$36</f>
        <v>5.284537480949042E-2</v>
      </c>
    </row>
    <row r="99" spans="1:11" x14ac:dyDescent="0.25">
      <c r="D99" t="s">
        <v>82</v>
      </c>
      <c r="G99" s="94">
        <f>'Balance sheet Historical'!E60/'Balance sheet Historical'!E$36</f>
        <v>4.4270696457005695E-2</v>
      </c>
      <c r="H99" s="94">
        <f>'Balance sheet Historical'!F60/'Balance sheet Historical'!F$36</f>
        <v>5.3383530097578985E-2</v>
      </c>
      <c r="I99" s="94">
        <f>'Balance sheet Historical'!G60/'Balance sheet Historical'!G$36</f>
        <v>5.8345090571992893E-2</v>
      </c>
      <c r="J99" s="94">
        <f>'Balance sheet Historical'!H60/'Balance sheet Historical'!H$36</f>
        <v>5.6653596968320195E-2</v>
      </c>
      <c r="K99" s="94">
        <f>'Balance sheet Historical'!I60/'Balance sheet Historical'!I$36</f>
        <v>5.6612760003495979E-2</v>
      </c>
    </row>
    <row r="100" spans="1:11" x14ac:dyDescent="0.25">
      <c r="D100" t="s">
        <v>76</v>
      </c>
      <c r="G100" s="94">
        <f>'Balance sheet Historical'!E61/'Balance sheet Historical'!E$36</f>
        <v>6.9079887311275312E-3</v>
      </c>
      <c r="H100" s="94">
        <f>'Balance sheet Historical'!F61/'Balance sheet Historical'!F$36</f>
        <v>6.0551026524679717E-3</v>
      </c>
      <c r="I100" s="94">
        <f>'Balance sheet Historical'!G61/'Balance sheet Historical'!G$36</f>
        <v>2.9582075347566721E-3</v>
      </c>
      <c r="J100" s="94">
        <f>'Balance sheet Historical'!H61/'Balance sheet Historical'!H$36</f>
        <v>2.2369712265294744E-3</v>
      </c>
      <c r="K100" s="94">
        <f>'Balance sheet Historical'!I61/'Balance sheet Historical'!I$36</f>
        <v>2.5545125538667338E-3</v>
      </c>
    </row>
    <row r="101" spans="1:11" x14ac:dyDescent="0.25">
      <c r="A101" s="1"/>
      <c r="B101" s="1"/>
      <c r="C101" s="1"/>
      <c r="D101" t="s">
        <v>83</v>
      </c>
      <c r="G101" s="94">
        <f>'Balance sheet Historical'!E62/'Balance sheet Historical'!E$36</f>
        <v>7.5770323428639283E-3</v>
      </c>
      <c r="H101" s="94">
        <f>'Balance sheet Historical'!F62/'Balance sheet Historical'!F$36</f>
        <v>8.2584243783990693E-3</v>
      </c>
      <c r="I101" s="94">
        <f>'Balance sheet Historical'!G62/'Balance sheet Historical'!G$36</f>
        <v>6.2901574764168307E-3</v>
      </c>
      <c r="J101" s="94">
        <f>'Balance sheet Historical'!H62/'Balance sheet Historical'!H$36</f>
        <v>1.4952023789827344E-2</v>
      </c>
      <c r="K101" s="94">
        <f>'Balance sheet Historical'!I62/'Balance sheet Historical'!I$36</f>
        <v>1.9676889379487576E-2</v>
      </c>
    </row>
    <row r="102" spans="1:11" x14ac:dyDescent="0.25">
      <c r="A102" s="4"/>
      <c r="B102" s="5" t="s">
        <v>84</v>
      </c>
      <c r="C102" s="4"/>
      <c r="D102" s="5"/>
      <c r="E102" s="5"/>
      <c r="F102" s="5"/>
      <c r="G102" s="96">
        <f>'Balance sheet Historical'!E63/'Balance sheet Historical'!E$36</f>
        <v>0.20345770007057226</v>
      </c>
      <c r="H102" s="96">
        <f>'Balance sheet Historical'!F63/'Balance sheet Historical'!F$36</f>
        <v>0.23609806562763569</v>
      </c>
      <c r="I102" s="96">
        <f>'Balance sheet Historical'!G63/'Balance sheet Historical'!G$36</f>
        <v>0.24043565982116433</v>
      </c>
      <c r="J102" s="96">
        <f>'Balance sheet Historical'!H63/'Balance sheet Historical'!H$36</f>
        <v>0.25640189803884494</v>
      </c>
      <c r="K102" s="96">
        <f>'Balance sheet Historical'!I63/'Balance sheet Historical'!I$36</f>
        <v>0.26691888385955798</v>
      </c>
    </row>
    <row r="103" spans="1:11" x14ac:dyDescent="0.25">
      <c r="A103" s="1"/>
      <c r="B103" s="1"/>
      <c r="C103" s="1"/>
      <c r="D103" t="s">
        <v>85</v>
      </c>
      <c r="G103" s="94">
        <f>'Balance sheet Historical'!E64/'Balance sheet Historical'!E$36</f>
        <v>6.1635705753409539E-3</v>
      </c>
      <c r="H103" s="94">
        <f>'Balance sheet Historical'!F64/'Balance sheet Historical'!F$36</f>
        <v>2.8307039246835038E-3</v>
      </c>
      <c r="I103" s="94">
        <f>'Balance sheet Historical'!G64/'Balance sheet Historical'!G$36</f>
        <v>0</v>
      </c>
      <c r="J103" s="94">
        <f>'Balance sheet Historical'!H64/'Balance sheet Historical'!H$36</f>
        <v>0</v>
      </c>
      <c r="K103" s="94">
        <f>'Balance sheet Historical'!I64/'Balance sheet Historical'!I$36</f>
        <v>0</v>
      </c>
    </row>
    <row r="104" spans="1:11" x14ac:dyDescent="0.25">
      <c r="A104" s="4"/>
      <c r="B104" s="5" t="s">
        <v>86</v>
      </c>
      <c r="C104" s="4"/>
      <c r="D104" s="5"/>
      <c r="E104" s="5"/>
      <c r="F104" s="5"/>
      <c r="G104" s="96">
        <f>'Balance sheet Historical'!E65/'Balance sheet Historical'!E$36</f>
        <v>1</v>
      </c>
      <c r="H104" s="96">
        <f>'Balance sheet Historical'!F65/'Balance sheet Historical'!F$36</f>
        <v>1</v>
      </c>
      <c r="I104" s="96">
        <f>'Balance sheet Historical'!G65/'Balance sheet Historical'!G$36</f>
        <v>1.0000000000000002</v>
      </c>
      <c r="J104" s="96">
        <f>'Balance sheet Historical'!H65/'Balance sheet Historical'!H$36</f>
        <v>1</v>
      </c>
      <c r="K104" s="96">
        <f>'Balance sheet Historical'!I65/'Balance sheet Historical'!I$36</f>
        <v>1.0000000000000002</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5:X40"/>
  <sheetViews>
    <sheetView showGridLines="0" topLeftCell="D23" workbookViewId="0">
      <selection activeCell="K39" sqref="K39"/>
    </sheetView>
  </sheetViews>
  <sheetFormatPr defaultRowHeight="15" x14ac:dyDescent="0.25"/>
  <cols>
    <col min="1" max="3" width="1.42578125" customWidth="1"/>
    <col min="4" max="4" width="51" customWidth="1"/>
    <col min="7" max="7" width="13" bestFit="1" customWidth="1"/>
    <col min="8" max="11" width="9.42578125" bestFit="1" customWidth="1"/>
    <col min="12" max="12" width="9.28515625" bestFit="1" customWidth="1"/>
    <col min="13" max="13" width="9.42578125" bestFit="1" customWidth="1"/>
    <col min="14" max="21" width="10.7109375" bestFit="1" customWidth="1"/>
  </cols>
  <sheetData>
    <row r="5" spans="4:24" x14ac:dyDescent="0.25">
      <c r="D5" s="201" t="s">
        <v>326</v>
      </c>
      <c r="E5" s="201"/>
      <c r="F5" s="201"/>
      <c r="G5" s="201"/>
      <c r="H5" s="201"/>
      <c r="I5" s="201"/>
      <c r="J5" s="201"/>
      <c r="K5" s="201"/>
      <c r="L5" s="201"/>
      <c r="M5" s="201"/>
      <c r="N5" s="201"/>
      <c r="O5" s="201"/>
      <c r="P5" s="201"/>
      <c r="Q5" s="201"/>
      <c r="R5" s="201"/>
      <c r="S5" s="201"/>
      <c r="T5" s="201"/>
      <c r="U5" s="201"/>
    </row>
    <row r="6" spans="4:24" x14ac:dyDescent="0.25">
      <c r="G6" s="98">
        <v>2020</v>
      </c>
      <c r="H6" s="98">
        <f>G6+1</f>
        <v>2021</v>
      </c>
      <c r="I6" s="98">
        <f t="shared" ref="I6:U6" si="0">H6+1</f>
        <v>2022</v>
      </c>
      <c r="J6" s="98">
        <f t="shared" si="0"/>
        <v>2023</v>
      </c>
      <c r="K6" s="98">
        <f t="shared" si="0"/>
        <v>2024</v>
      </c>
      <c r="L6" s="100">
        <f t="shared" si="0"/>
        <v>2025</v>
      </c>
      <c r="M6" s="100">
        <f t="shared" si="0"/>
        <v>2026</v>
      </c>
      <c r="N6" s="100">
        <f t="shared" si="0"/>
        <v>2027</v>
      </c>
      <c r="O6" s="100">
        <f t="shared" si="0"/>
        <v>2028</v>
      </c>
      <c r="P6" s="100">
        <f t="shared" si="0"/>
        <v>2029</v>
      </c>
      <c r="Q6" s="100">
        <f t="shared" si="0"/>
        <v>2030</v>
      </c>
      <c r="R6" s="100">
        <f t="shared" si="0"/>
        <v>2031</v>
      </c>
      <c r="S6" s="100">
        <f t="shared" si="0"/>
        <v>2032</v>
      </c>
      <c r="T6" s="100">
        <f t="shared" si="0"/>
        <v>2033</v>
      </c>
      <c r="U6" s="100">
        <f t="shared" si="0"/>
        <v>2034</v>
      </c>
      <c r="V6" s="1"/>
      <c r="W6" s="1"/>
      <c r="X6" s="1"/>
    </row>
    <row r="7" spans="4:24" x14ac:dyDescent="0.25">
      <c r="G7" s="101" t="s">
        <v>127</v>
      </c>
      <c r="H7" s="101" t="s">
        <v>127</v>
      </c>
      <c r="I7" s="101" t="s">
        <v>127</v>
      </c>
      <c r="J7" s="101" t="s">
        <v>127</v>
      </c>
      <c r="K7" s="101" t="s">
        <v>127</v>
      </c>
      <c r="L7" s="101" t="s">
        <v>128</v>
      </c>
      <c r="M7" s="101" t="s">
        <v>128</v>
      </c>
      <c r="N7" s="101" t="s">
        <v>128</v>
      </c>
      <c r="O7" s="101" t="s">
        <v>128</v>
      </c>
      <c r="P7" s="101" t="s">
        <v>128</v>
      </c>
      <c r="Q7" s="101" t="s">
        <v>128</v>
      </c>
      <c r="R7" s="101" t="s">
        <v>128</v>
      </c>
      <c r="S7" s="101" t="s">
        <v>128</v>
      </c>
      <c r="T7" s="101" t="s">
        <v>128</v>
      </c>
      <c r="U7" s="101" t="s">
        <v>128</v>
      </c>
    </row>
    <row r="8" spans="4:24" x14ac:dyDescent="0.25">
      <c r="D8" s="40" t="s">
        <v>90</v>
      </c>
      <c r="E8" s="15"/>
      <c r="F8" s="15"/>
      <c r="G8" s="41">
        <v>12</v>
      </c>
      <c r="H8" s="41">
        <f>G8</f>
        <v>12</v>
      </c>
      <c r="I8" s="41">
        <f t="shared" ref="I8:U8" si="1">H8</f>
        <v>12</v>
      </c>
      <c r="J8" s="41">
        <f t="shared" si="1"/>
        <v>12</v>
      </c>
      <c r="K8" s="41">
        <f t="shared" si="1"/>
        <v>12</v>
      </c>
      <c r="L8" s="41">
        <f t="shared" si="1"/>
        <v>12</v>
      </c>
      <c r="M8" s="41">
        <f t="shared" si="1"/>
        <v>12</v>
      </c>
      <c r="N8" s="41">
        <f t="shared" si="1"/>
        <v>12</v>
      </c>
      <c r="O8" s="41">
        <f t="shared" si="1"/>
        <v>12</v>
      </c>
      <c r="P8" s="41">
        <f t="shared" si="1"/>
        <v>12</v>
      </c>
      <c r="Q8" s="41">
        <f t="shared" si="1"/>
        <v>12</v>
      </c>
      <c r="R8" s="41">
        <f t="shared" si="1"/>
        <v>12</v>
      </c>
      <c r="S8" s="41">
        <f t="shared" si="1"/>
        <v>12</v>
      </c>
      <c r="T8" s="41">
        <f t="shared" si="1"/>
        <v>12</v>
      </c>
      <c r="U8" s="41">
        <f t="shared" si="1"/>
        <v>12</v>
      </c>
    </row>
    <row r="9" spans="4:24" x14ac:dyDescent="0.25">
      <c r="G9" t="b">
        <f>'Revenue Build up'!G10='Income statement Historical'!G6</f>
        <v>1</v>
      </c>
      <c r="H9" t="b">
        <f>'Revenue Build up'!H10='Income statement Historical'!H6</f>
        <v>1</v>
      </c>
      <c r="I9" t="b">
        <f>'Revenue Build up'!I10='Income statement Historical'!I6</f>
        <v>1</v>
      </c>
      <c r="J9" t="b">
        <f>'Revenue Build up'!J10='Income statement Historical'!J6</f>
        <v>1</v>
      </c>
      <c r="K9" t="b">
        <f>'Revenue Build up'!K10='Income statement Historical'!K6</f>
        <v>1</v>
      </c>
    </row>
    <row r="10" spans="4:24" s="1" customFormat="1" x14ac:dyDescent="0.25">
      <c r="D10" s="5" t="s">
        <v>112</v>
      </c>
      <c r="E10" s="5"/>
      <c r="F10" s="5"/>
      <c r="G10" s="30">
        <f>SUM(G11:G14)</f>
        <v>42124.829999999994</v>
      </c>
      <c r="H10" s="30">
        <f>SUM(H11:H14)</f>
        <v>44725.8</v>
      </c>
      <c r="I10" s="30">
        <f>SUM(I11:I14)</f>
        <v>52598.83</v>
      </c>
      <c r="J10" s="30">
        <f t="shared" ref="J10" si="2">SUM(J11:J14)</f>
        <v>63239.979999999996</v>
      </c>
      <c r="K10" s="30">
        <f>SUM(K11:K14)</f>
        <v>70908.14</v>
      </c>
      <c r="L10" s="30">
        <f t="shared" ref="L10:U10" si="3">SUM(L11:L14)</f>
        <v>80848.467274343071</v>
      </c>
      <c r="M10" s="30">
        <f t="shared" si="3"/>
        <v>92182.289094179068</v>
      </c>
      <c r="N10" s="30">
        <f t="shared" si="3"/>
        <v>105104.95386149982</v>
      </c>
      <c r="O10" s="30">
        <f t="shared" si="3"/>
        <v>119839.19508596339</v>
      </c>
      <c r="P10" s="30">
        <f t="shared" si="3"/>
        <v>136638.97039311889</v>
      </c>
      <c r="Q10" s="30">
        <f t="shared" si="3"/>
        <v>155793.83870777037</v>
      </c>
      <c r="R10" s="30">
        <f t="shared" si="3"/>
        <v>177633.9510570924</v>
      </c>
      <c r="S10" s="30">
        <f t="shared" si="3"/>
        <v>202535.74101438277</v>
      </c>
      <c r="T10" s="30">
        <f t="shared" si="3"/>
        <v>230928.4128632643</v>
      </c>
      <c r="U10" s="30">
        <f t="shared" si="3"/>
        <v>263301.33931156009</v>
      </c>
    </row>
    <row r="11" spans="4:24" x14ac:dyDescent="0.25">
      <c r="D11" t="s">
        <v>122</v>
      </c>
      <c r="G11" s="28">
        <v>41475.699999999997</v>
      </c>
      <c r="H11" s="28">
        <v>44239</v>
      </c>
      <c r="I11" s="28">
        <v>51706.47</v>
      </c>
      <c r="J11" s="28">
        <v>62336.56</v>
      </c>
      <c r="K11" s="28">
        <v>69805.240000000005</v>
      </c>
      <c r="L11" s="28">
        <f>L23*L32/10</f>
        <v>79590.956154225234</v>
      </c>
      <c r="M11" s="28">
        <f t="shared" ref="M11:U11" si="4">M23*M32/10</f>
        <v>90748.492542161635</v>
      </c>
      <c r="N11" s="28">
        <f t="shared" si="4"/>
        <v>103470.15913110852</v>
      </c>
      <c r="O11" s="28">
        <f t="shared" si="4"/>
        <v>117975.22505007882</v>
      </c>
      <c r="P11" s="28">
        <f t="shared" si="4"/>
        <v>134513.69788637181</v>
      </c>
      <c r="Q11" s="28">
        <f t="shared" si="4"/>
        <v>153370.63278654893</v>
      </c>
      <c r="R11" s="28">
        <f t="shared" si="4"/>
        <v>174871.04563296385</v>
      </c>
      <c r="S11" s="28">
        <f t="shared" si="4"/>
        <v>199385.51497877159</v>
      </c>
      <c r="T11" s="28">
        <f t="shared" si="4"/>
        <v>227336.56929570079</v>
      </c>
      <c r="U11" s="28">
        <f t="shared" si="4"/>
        <v>259205.96962443079</v>
      </c>
    </row>
    <row r="12" spans="4:24" x14ac:dyDescent="0.25">
      <c r="D12" t="s">
        <v>123</v>
      </c>
      <c r="G12" s="28">
        <v>0.24</v>
      </c>
      <c r="H12" s="28">
        <v>0.33</v>
      </c>
      <c r="I12" s="28">
        <v>1.38</v>
      </c>
      <c r="J12" s="28">
        <v>1.04</v>
      </c>
      <c r="K12" s="28">
        <v>4.29</v>
      </c>
      <c r="L12" s="28">
        <f>K12/K11*L11</f>
        <v>4.8913978649973302</v>
      </c>
      <c r="M12" s="28">
        <f t="shared" ref="M12:U12" si="5">L12/L11*M11</f>
        <v>5.5771032805828531</v>
      </c>
      <c r="N12" s="28">
        <f t="shared" si="5"/>
        <v>6.3589349835693643</v>
      </c>
      <c r="O12" s="28">
        <f t="shared" si="5"/>
        <v>7.2503685320018683</v>
      </c>
      <c r="P12" s="28">
        <f t="shared" si="5"/>
        <v>8.2667685682698746</v>
      </c>
      <c r="Q12" s="28">
        <f t="shared" si="5"/>
        <v>9.4256536422522839</v>
      </c>
      <c r="R12" s="28">
        <f t="shared" si="5"/>
        <v>10.746998158955043</v>
      </c>
      <c r="S12" s="28">
        <f t="shared" si="5"/>
        <v>12.253576654975042</v>
      </c>
      <c r="T12" s="28">
        <f t="shared" si="5"/>
        <v>13.971356337698378</v>
      </c>
      <c r="U12" s="28">
        <f t="shared" si="5"/>
        <v>15.929944652991781</v>
      </c>
    </row>
    <row r="13" spans="4:24" x14ac:dyDescent="0.25">
      <c r="G13" s="6"/>
      <c r="H13" s="6"/>
      <c r="I13" s="6"/>
      <c r="J13" s="6"/>
      <c r="K13" s="6"/>
    </row>
    <row r="14" spans="4:24" x14ac:dyDescent="0.25">
      <c r="D14" s="5" t="s">
        <v>113</v>
      </c>
      <c r="E14" s="5"/>
      <c r="F14" s="5"/>
      <c r="G14" s="31">
        <v>648.89</v>
      </c>
      <c r="H14" s="31">
        <v>486.47</v>
      </c>
      <c r="I14" s="31">
        <v>890.98</v>
      </c>
      <c r="J14" s="31">
        <v>902.38</v>
      </c>
      <c r="K14" s="31">
        <v>1098.6099999999999</v>
      </c>
      <c r="L14" s="31">
        <f>K14/K11*L11</f>
        <v>1252.6197222528476</v>
      </c>
      <c r="M14" s="31">
        <f t="shared" ref="M14:U14" si="6">L14/L11*M11</f>
        <v>1428.2194487368595</v>
      </c>
      <c r="N14" s="31">
        <f t="shared" si="6"/>
        <v>1628.4357954077245</v>
      </c>
      <c r="O14" s="31">
        <f t="shared" si="6"/>
        <v>1856.7196673525809</v>
      </c>
      <c r="P14" s="31">
        <f t="shared" si="6"/>
        <v>2117.0057381787801</v>
      </c>
      <c r="Q14" s="31">
        <f t="shared" si="6"/>
        <v>2413.7802675792032</v>
      </c>
      <c r="R14" s="31">
        <f t="shared" si="6"/>
        <v>2752.1584259696033</v>
      </c>
      <c r="S14" s="31">
        <f t="shared" si="6"/>
        <v>3137.9724589562074</v>
      </c>
      <c r="T14" s="31">
        <f t="shared" si="6"/>
        <v>3577.8722112258306</v>
      </c>
      <c r="U14" s="31">
        <f t="shared" si="6"/>
        <v>4079.4397424762933</v>
      </c>
    </row>
    <row r="16" spans="4:24" x14ac:dyDescent="0.25">
      <c r="D16" s="5" t="s">
        <v>2</v>
      </c>
      <c r="E16" s="5"/>
      <c r="F16" s="5"/>
      <c r="G16" s="30">
        <f>'Income statement Historical'!G7</f>
        <v>647.77</v>
      </c>
      <c r="H16" s="30">
        <f>'Income statement Historical'!H7</f>
        <v>734.17</v>
      </c>
      <c r="I16" s="30">
        <f>'Income statement Historical'!I7</f>
        <v>507.81</v>
      </c>
      <c r="J16" s="30">
        <f>'Income statement Historical'!J7</f>
        <v>503.08</v>
      </c>
      <c r="K16" s="30">
        <f>'Income statement Historical'!K7</f>
        <v>616.95000000000005</v>
      </c>
      <c r="L16" s="30">
        <f>L10*L17</f>
        <v>703.4377419137769</v>
      </c>
      <c r="M16" s="30">
        <f t="shared" ref="M16:U16" si="7">M10*M17</f>
        <v>802.0498529034013</v>
      </c>
      <c r="N16" s="30">
        <f t="shared" si="7"/>
        <v>914.48599956016778</v>
      </c>
      <c r="O16" s="30">
        <f t="shared" si="7"/>
        <v>1042.6841179064227</v>
      </c>
      <c r="P16" s="30">
        <f t="shared" si="7"/>
        <v>1188.8538154298606</v>
      </c>
      <c r="Q16" s="30">
        <f t="shared" si="7"/>
        <v>1355.514455614813</v>
      </c>
      <c r="R16" s="30">
        <f t="shared" si="7"/>
        <v>1545.5385813909822</v>
      </c>
      <c r="S16" s="30">
        <f t="shared" si="7"/>
        <v>1762.2014259409916</v>
      </c>
      <c r="T16" s="30">
        <f t="shared" si="7"/>
        <v>2009.2373642291411</v>
      </c>
      <c r="U16" s="30">
        <f t="shared" si="7"/>
        <v>2290.9042782431893</v>
      </c>
    </row>
    <row r="17" spans="1:21" x14ac:dyDescent="0.25">
      <c r="G17" s="21">
        <f>G16/G10</f>
        <v>1.5377391433983237E-2</v>
      </c>
      <c r="H17" s="21">
        <f t="shared" ref="H17:K17" si="8">H16/H10</f>
        <v>1.6414910409651699E-2</v>
      </c>
      <c r="I17" s="21">
        <f t="shared" si="8"/>
        <v>9.654397255604354E-3</v>
      </c>
      <c r="J17" s="21">
        <f t="shared" si="8"/>
        <v>7.9550942299475742E-3</v>
      </c>
      <c r="K17" s="21">
        <f t="shared" si="8"/>
        <v>8.7006936016090688E-3</v>
      </c>
      <c r="L17" s="32">
        <f>K17</f>
        <v>8.7006936016090688E-3</v>
      </c>
      <c r="M17" s="32">
        <f t="shared" ref="M17:U17" si="9">L17</f>
        <v>8.7006936016090688E-3</v>
      </c>
      <c r="N17" s="32">
        <f t="shared" si="9"/>
        <v>8.7006936016090688E-3</v>
      </c>
      <c r="O17" s="32">
        <f t="shared" si="9"/>
        <v>8.7006936016090688E-3</v>
      </c>
      <c r="P17" s="32">
        <f t="shared" si="9"/>
        <v>8.7006936016090688E-3</v>
      </c>
      <c r="Q17" s="32">
        <f t="shared" si="9"/>
        <v>8.7006936016090688E-3</v>
      </c>
      <c r="R17" s="32">
        <f t="shared" si="9"/>
        <v>8.7006936016090688E-3</v>
      </c>
      <c r="S17" s="32">
        <f t="shared" si="9"/>
        <v>8.7006936016090688E-3</v>
      </c>
      <c r="T17" s="32">
        <f t="shared" si="9"/>
        <v>8.7006936016090688E-3</v>
      </c>
      <c r="U17" s="32">
        <f t="shared" si="9"/>
        <v>8.7006936016090688E-3</v>
      </c>
    </row>
    <row r="19" spans="1:21" x14ac:dyDescent="0.25">
      <c r="D19" s="5" t="s">
        <v>114</v>
      </c>
      <c r="E19" s="5"/>
      <c r="F19" s="5"/>
      <c r="G19" s="31">
        <f>'Income statement Historical'!G31</f>
        <v>-1.23</v>
      </c>
      <c r="H19" s="31">
        <f>'Income statement Historical'!H31</f>
        <v>2.1800000000000002</v>
      </c>
      <c r="I19" s="31">
        <f>'Income statement Historical'!I31</f>
        <v>1.7</v>
      </c>
      <c r="J19" s="31">
        <f>'Income statement Historical'!J31</f>
        <v>4.03</v>
      </c>
      <c r="K19" s="31">
        <f>'Income statement Historical'!K31</f>
        <v>22.01</v>
      </c>
      <c r="L19" s="31">
        <f>L20*L10</f>
        <v>25.095493475196093</v>
      </c>
      <c r="M19" s="31">
        <f t="shared" ref="M19:U19" si="10">M20*M10</f>
        <v>28.613529884761913</v>
      </c>
      <c r="N19" s="31">
        <f t="shared" si="10"/>
        <v>32.624745684932805</v>
      </c>
      <c r="O19" s="31">
        <f t="shared" si="10"/>
        <v>37.198277713137799</v>
      </c>
      <c r="P19" s="31">
        <f t="shared" si="10"/>
        <v>42.412954822289052</v>
      </c>
      <c r="Q19" s="31">
        <f t="shared" si="10"/>
        <v>48.358656565494826</v>
      </c>
      <c r="R19" s="31">
        <f t="shared" si="10"/>
        <v>55.137862349324131</v>
      </c>
      <c r="S19" s="31">
        <f t="shared" si="10"/>
        <v>62.867417756643533</v>
      </c>
      <c r="T19" s="31">
        <f t="shared" si="10"/>
        <v>71.680548483156485</v>
      </c>
      <c r="U19" s="31">
        <f t="shared" si="10"/>
        <v>81.729156599615195</v>
      </c>
    </row>
    <row r="20" spans="1:21" x14ac:dyDescent="0.25">
      <c r="G20" s="21">
        <f>G19/G10</f>
        <v>-2.9198930891827934E-5</v>
      </c>
      <c r="H20" s="21">
        <f t="shared" ref="H20:K20" si="11">H19/H10</f>
        <v>4.8741442299522873E-5</v>
      </c>
      <c r="I20" s="21">
        <f t="shared" si="11"/>
        <v>3.2320110542382785E-5</v>
      </c>
      <c r="J20" s="21">
        <f t="shared" si="11"/>
        <v>6.3725510349623771E-5</v>
      </c>
      <c r="K20" s="21">
        <f t="shared" si="11"/>
        <v>3.1040159846246147E-4</v>
      </c>
      <c r="L20" s="33">
        <f>K20</f>
        <v>3.1040159846246147E-4</v>
      </c>
      <c r="M20" s="33">
        <f t="shared" ref="M20:U20" si="12">L20</f>
        <v>3.1040159846246147E-4</v>
      </c>
      <c r="N20" s="33">
        <f t="shared" si="12"/>
        <v>3.1040159846246147E-4</v>
      </c>
      <c r="O20" s="33">
        <f t="shared" si="12"/>
        <v>3.1040159846246147E-4</v>
      </c>
      <c r="P20" s="33">
        <f t="shared" si="12"/>
        <v>3.1040159846246147E-4</v>
      </c>
      <c r="Q20" s="33">
        <f t="shared" si="12"/>
        <v>3.1040159846246147E-4</v>
      </c>
      <c r="R20" s="33">
        <f t="shared" si="12"/>
        <v>3.1040159846246147E-4</v>
      </c>
      <c r="S20" s="33">
        <f t="shared" si="12"/>
        <v>3.1040159846246147E-4</v>
      </c>
      <c r="T20" s="33">
        <f t="shared" si="12"/>
        <v>3.1040159846246147E-4</v>
      </c>
      <c r="U20" s="33">
        <f t="shared" si="12"/>
        <v>3.1040159846246147E-4</v>
      </c>
    </row>
    <row r="22" spans="1:21" x14ac:dyDescent="0.25">
      <c r="D22" s="1" t="s">
        <v>115</v>
      </c>
    </row>
    <row r="23" spans="1:21" x14ac:dyDescent="0.25">
      <c r="D23" s="5" t="s">
        <v>116</v>
      </c>
      <c r="E23" s="5"/>
      <c r="F23" s="5"/>
      <c r="G23" s="31">
        <v>81.81</v>
      </c>
      <c r="H23" s="31">
        <v>85.1</v>
      </c>
      <c r="I23" s="31">
        <v>92.53</v>
      </c>
      <c r="J23" s="31">
        <v>104.09</v>
      </c>
      <c r="K23" s="31">
        <v>117.2</v>
      </c>
      <c r="L23" s="31">
        <f>K23*(1+L24)</f>
        <v>128.28727626815197</v>
      </c>
      <c r="M23" s="31">
        <f t="shared" ref="M23:U23" si="13">L23*(1+M24)</f>
        <v>140.42342365444665</v>
      </c>
      <c r="N23" s="31">
        <f t="shared" si="13"/>
        <v>153.70766676516845</v>
      </c>
      <c r="O23" s="31">
        <f t="shared" si="13"/>
        <v>168.24861698665705</v>
      </c>
      <c r="P23" s="31">
        <f t="shared" si="13"/>
        <v>184.16516048721638</v>
      </c>
      <c r="Q23" s="31">
        <f t="shared" si="13"/>
        <v>201.58743022518831</v>
      </c>
      <c r="R23" s="31">
        <f t="shared" si="13"/>
        <v>220.65786991028619</v>
      </c>
      <c r="S23" s="31">
        <f t="shared" si="13"/>
        <v>241.53239861708892</v>
      </c>
      <c r="T23" s="31">
        <f t="shared" si="13"/>
        <v>264.38168557252465</v>
      </c>
      <c r="U23" s="31">
        <f t="shared" si="13"/>
        <v>289.39254553995011</v>
      </c>
    </row>
    <row r="24" spans="1:21" x14ac:dyDescent="0.25">
      <c r="D24" s="29" t="s">
        <v>117</v>
      </c>
      <c r="E24" s="29"/>
      <c r="F24" s="29"/>
      <c r="G24" s="34" t="s">
        <v>121</v>
      </c>
      <c r="H24" s="35">
        <f>H23/G23-1</f>
        <v>4.0215132624373373E-2</v>
      </c>
      <c r="I24" s="35">
        <f t="shared" ref="I24:K24" si="14">I23/H23-1</f>
        <v>8.7309048178613402E-2</v>
      </c>
      <c r="J24" s="35">
        <f t="shared" si="14"/>
        <v>0.12493245433913325</v>
      </c>
      <c r="K24" s="35">
        <f t="shared" si="14"/>
        <v>0.12594869824190602</v>
      </c>
      <c r="L24" s="39">
        <f t="array" ref="L24:U24">CHOOSE(Assumption!E5,'Revenue Build up'!L27:U27,'Revenue Build up'!L28:U28,'Revenue Build up'!L29:U29)</f>
        <v>9.4601333346006511E-2</v>
      </c>
      <c r="M24" s="39">
        <v>9.4601333346006511E-2</v>
      </c>
      <c r="N24" s="39">
        <v>9.4601333346006511E-2</v>
      </c>
      <c r="O24" s="39">
        <v>9.4601333346006511E-2</v>
      </c>
      <c r="P24" s="39">
        <v>9.4601333346006511E-2</v>
      </c>
      <c r="Q24" s="39">
        <v>9.4601333346006511E-2</v>
      </c>
      <c r="R24" s="39">
        <v>9.4601333346006511E-2</v>
      </c>
      <c r="S24" s="39">
        <v>9.4601333346006511E-2</v>
      </c>
      <c r="T24" s="39">
        <v>9.4601333346006511E-2</v>
      </c>
      <c r="U24" s="39">
        <v>9.4601333346006511E-2</v>
      </c>
    </row>
    <row r="26" spans="1:21" x14ac:dyDescent="0.25">
      <c r="D26" s="5" t="s">
        <v>118</v>
      </c>
    </row>
    <row r="27" spans="1:21" x14ac:dyDescent="0.25">
      <c r="D27" s="29" t="s">
        <v>119</v>
      </c>
      <c r="E27" s="29"/>
      <c r="F27" s="29"/>
      <c r="G27" s="37"/>
      <c r="H27" s="37"/>
      <c r="I27" s="37"/>
      <c r="J27" s="37"/>
      <c r="K27" s="37"/>
      <c r="L27" s="36">
        <f>MAX(H24:K24)</f>
        <v>0.12594869824190602</v>
      </c>
      <c r="M27" s="36">
        <f>L27</f>
        <v>0.12594869824190602</v>
      </c>
      <c r="N27" s="36">
        <f t="shared" ref="N27:U27" si="15">M27</f>
        <v>0.12594869824190602</v>
      </c>
      <c r="O27" s="36">
        <f t="shared" si="15"/>
        <v>0.12594869824190602</v>
      </c>
      <c r="P27" s="36">
        <f t="shared" si="15"/>
        <v>0.12594869824190602</v>
      </c>
      <c r="Q27" s="36">
        <f t="shared" si="15"/>
        <v>0.12594869824190602</v>
      </c>
      <c r="R27" s="36">
        <f t="shared" si="15"/>
        <v>0.12594869824190602</v>
      </c>
      <c r="S27" s="36">
        <f t="shared" si="15"/>
        <v>0.12594869824190602</v>
      </c>
      <c r="T27" s="36">
        <f t="shared" si="15"/>
        <v>0.12594869824190602</v>
      </c>
      <c r="U27" s="36">
        <f t="shared" si="15"/>
        <v>0.12594869824190602</v>
      </c>
    </row>
    <row r="28" spans="1:21" x14ac:dyDescent="0.25">
      <c r="D28" s="29" t="s">
        <v>111</v>
      </c>
      <c r="E28" s="29"/>
      <c r="F28" s="29"/>
      <c r="G28" s="37"/>
      <c r="H28" s="37"/>
      <c r="I28" s="37"/>
      <c r="J28" s="37"/>
      <c r="K28" s="37"/>
      <c r="L28" s="36">
        <f>AVERAGE(G24:K24)</f>
        <v>9.4601333346006511E-2</v>
      </c>
      <c r="M28" s="36">
        <f t="shared" ref="M28:U29" si="16">L28</f>
        <v>9.4601333346006511E-2</v>
      </c>
      <c r="N28" s="36">
        <f t="shared" si="16"/>
        <v>9.4601333346006511E-2</v>
      </c>
      <c r="O28" s="36">
        <f t="shared" si="16"/>
        <v>9.4601333346006511E-2</v>
      </c>
      <c r="P28" s="36">
        <f t="shared" si="16"/>
        <v>9.4601333346006511E-2</v>
      </c>
      <c r="Q28" s="36">
        <f t="shared" si="16"/>
        <v>9.4601333346006511E-2</v>
      </c>
      <c r="R28" s="36">
        <f t="shared" si="16"/>
        <v>9.4601333346006511E-2</v>
      </c>
      <c r="S28" s="36">
        <f t="shared" si="16"/>
        <v>9.4601333346006511E-2</v>
      </c>
      <c r="T28" s="36">
        <f t="shared" si="16"/>
        <v>9.4601333346006511E-2</v>
      </c>
      <c r="U28" s="36">
        <f t="shared" si="16"/>
        <v>9.4601333346006511E-2</v>
      </c>
    </row>
    <row r="29" spans="1:21" x14ac:dyDescent="0.25">
      <c r="D29" s="29" t="s">
        <v>120</v>
      </c>
      <c r="E29" s="29"/>
      <c r="F29" s="29"/>
      <c r="G29" s="37"/>
      <c r="H29" s="37"/>
      <c r="I29" s="37"/>
      <c r="J29" s="37"/>
      <c r="K29" s="37"/>
      <c r="L29" s="36">
        <f>MIN(H24:K24)</f>
        <v>4.0215132624373373E-2</v>
      </c>
      <c r="M29" s="36">
        <f t="shared" si="16"/>
        <v>4.0215132624373373E-2</v>
      </c>
      <c r="N29" s="36">
        <f t="shared" si="16"/>
        <v>4.0215132624373373E-2</v>
      </c>
      <c r="O29" s="36">
        <f t="shared" si="16"/>
        <v>4.0215132624373373E-2</v>
      </c>
      <c r="P29" s="36">
        <f t="shared" si="16"/>
        <v>4.0215132624373373E-2</v>
      </c>
      <c r="Q29" s="36">
        <f t="shared" si="16"/>
        <v>4.0215132624373373E-2</v>
      </c>
      <c r="R29" s="36">
        <f t="shared" si="16"/>
        <v>4.0215132624373373E-2</v>
      </c>
      <c r="S29" s="36">
        <f t="shared" si="16"/>
        <v>4.0215132624373373E-2</v>
      </c>
      <c r="T29" s="36">
        <f t="shared" si="16"/>
        <v>4.0215132624373373E-2</v>
      </c>
      <c r="U29" s="36">
        <f t="shared" si="16"/>
        <v>4.0215132624373373E-2</v>
      </c>
    </row>
    <row r="32" spans="1:21" s="1" customFormat="1" x14ac:dyDescent="0.25">
      <c r="A32"/>
      <c r="B32"/>
      <c r="C32"/>
      <c r="D32" s="5" t="s">
        <v>125</v>
      </c>
      <c r="E32" s="5"/>
      <c r="F32" s="5"/>
      <c r="G32" s="31">
        <f>(G11*10^7)/(G23*10^6)</f>
        <v>5069.7591981420364</v>
      </c>
      <c r="H32" s="31">
        <f t="shared" ref="H32:K32" si="17">(H11*10^7)/(H23*10^6)</f>
        <v>5198.4723854289068</v>
      </c>
      <c r="I32" s="31">
        <f t="shared" si="17"/>
        <v>5588.0762995785153</v>
      </c>
      <c r="J32" s="31">
        <f t="shared" si="17"/>
        <v>5988.7174560476515</v>
      </c>
      <c r="K32" s="31">
        <f t="shared" si="17"/>
        <v>5956.0784982935156</v>
      </c>
      <c r="L32" s="31">
        <f>K32*(1+L33)</f>
        <v>6204.1192602655738</v>
      </c>
      <c r="M32" s="31">
        <f t="shared" ref="M32:U32" si="18">L32*(1+M33)</f>
        <v>6462.4896744773241</v>
      </c>
      <c r="N32" s="31">
        <f t="shared" si="18"/>
        <v>6731.6199190758771</v>
      </c>
      <c r="O32" s="31">
        <f t="shared" si="18"/>
        <v>7011.9580869680995</v>
      </c>
      <c r="P32" s="31">
        <f t="shared" si="18"/>
        <v>7303.9709318804053</v>
      </c>
      <c r="Q32" s="31">
        <f t="shared" si="18"/>
        <v>7608.1446454881834</v>
      </c>
      <c r="R32" s="31">
        <f t="shared" si="18"/>
        <v>7924.9856669087721</v>
      </c>
      <c r="S32" s="31">
        <f t="shared" si="18"/>
        <v>8255.0215259057441</v>
      </c>
      <c r="T32" s="31">
        <f t="shared" si="18"/>
        <v>8598.8017212084178</v>
      </c>
      <c r="U32" s="31">
        <f t="shared" si="18"/>
        <v>8956.898635408972</v>
      </c>
    </row>
    <row r="33" spans="4:21" x14ac:dyDescent="0.25">
      <c r="D33" s="29" t="s">
        <v>126</v>
      </c>
      <c r="E33" s="29"/>
      <c r="F33" s="29"/>
      <c r="G33" s="34" t="s">
        <v>121</v>
      </c>
      <c r="H33" s="38">
        <f>H32/G32-1</f>
        <v>2.5388422261562571E-2</v>
      </c>
      <c r="I33" s="38">
        <f t="shared" ref="I33:K33" si="19">I32/H32-1</f>
        <v>7.4945846637879843E-2</v>
      </c>
      <c r="J33" s="38">
        <f t="shared" si="19"/>
        <v>7.1695720493178516E-2</v>
      </c>
      <c r="K33" s="38">
        <f t="shared" si="19"/>
        <v>-5.4500747436624364E-3</v>
      </c>
      <c r="L33" s="39">
        <f t="array" ref="L33:U33">CHOOSE(Assumption!E5,'Revenue Build up'!L5:U36,'Revenue Build up'!L37:U37,'Revenue Build up'!L38:U38)</f>
        <v>4.1644978662239623E-2</v>
      </c>
      <c r="M33" s="39">
        <v>4.1644978662239623E-2</v>
      </c>
      <c r="N33" s="39">
        <v>4.1644978662239623E-2</v>
      </c>
      <c r="O33" s="39">
        <v>4.1644978662239623E-2</v>
      </c>
      <c r="P33" s="39">
        <v>4.1644978662239623E-2</v>
      </c>
      <c r="Q33" s="39">
        <v>4.1644978662239623E-2</v>
      </c>
      <c r="R33" s="39">
        <v>4.1644978662239623E-2</v>
      </c>
      <c r="S33" s="39">
        <v>4.1644978662239623E-2</v>
      </c>
      <c r="T33" s="39">
        <v>4.1644978662239623E-2</v>
      </c>
      <c r="U33" s="39">
        <v>4.1644978662239623E-2</v>
      </c>
    </row>
    <row r="34" spans="4:21" x14ac:dyDescent="0.25">
      <c r="H34" s="21"/>
      <c r="I34" s="21"/>
      <c r="J34" s="21"/>
      <c r="K34" s="21"/>
    </row>
    <row r="35" spans="4:21" x14ac:dyDescent="0.25">
      <c r="D35" s="5" t="s">
        <v>124</v>
      </c>
    </row>
    <row r="36" spans="4:21" x14ac:dyDescent="0.25">
      <c r="D36" s="29" t="s">
        <v>119</v>
      </c>
      <c r="E36" s="29"/>
      <c r="F36" s="29"/>
      <c r="G36" s="37"/>
      <c r="H36" s="37"/>
      <c r="I36" s="37"/>
      <c r="J36" s="37"/>
      <c r="K36" s="37"/>
      <c r="L36" s="36">
        <f>MAX(G33:K33)</f>
        <v>7.4945846637879843E-2</v>
      </c>
      <c r="M36" s="36">
        <f>L36</f>
        <v>7.4945846637879843E-2</v>
      </c>
      <c r="N36" s="36">
        <f t="shared" ref="N36:U36" si="20">M36</f>
        <v>7.4945846637879843E-2</v>
      </c>
      <c r="O36" s="36">
        <f t="shared" si="20"/>
        <v>7.4945846637879843E-2</v>
      </c>
      <c r="P36" s="36">
        <f t="shared" si="20"/>
        <v>7.4945846637879843E-2</v>
      </c>
      <c r="Q36" s="36">
        <f t="shared" si="20"/>
        <v>7.4945846637879843E-2</v>
      </c>
      <c r="R36" s="36">
        <f t="shared" si="20"/>
        <v>7.4945846637879843E-2</v>
      </c>
      <c r="S36" s="36">
        <f t="shared" si="20"/>
        <v>7.4945846637879843E-2</v>
      </c>
      <c r="T36" s="36">
        <f t="shared" si="20"/>
        <v>7.4945846637879843E-2</v>
      </c>
      <c r="U36" s="36">
        <f t="shared" si="20"/>
        <v>7.4945846637879843E-2</v>
      </c>
    </row>
    <row r="37" spans="4:21" x14ac:dyDescent="0.25">
      <c r="D37" s="29" t="s">
        <v>111</v>
      </c>
      <c r="E37" s="29"/>
      <c r="F37" s="29"/>
      <c r="G37" s="37"/>
      <c r="H37" s="37"/>
      <c r="I37" s="37"/>
      <c r="J37" s="37"/>
      <c r="K37" s="37"/>
      <c r="L37" s="36">
        <f>AVERAGE(G33:K33)</f>
        <v>4.1644978662239623E-2</v>
      </c>
      <c r="M37" s="36">
        <f t="shared" ref="M37:U38" si="21">L37</f>
        <v>4.1644978662239623E-2</v>
      </c>
      <c r="N37" s="36">
        <f t="shared" si="21"/>
        <v>4.1644978662239623E-2</v>
      </c>
      <c r="O37" s="36">
        <f t="shared" si="21"/>
        <v>4.1644978662239623E-2</v>
      </c>
      <c r="P37" s="36">
        <f t="shared" si="21"/>
        <v>4.1644978662239623E-2</v>
      </c>
      <c r="Q37" s="36">
        <f t="shared" si="21"/>
        <v>4.1644978662239623E-2</v>
      </c>
      <c r="R37" s="36">
        <f t="shared" si="21"/>
        <v>4.1644978662239623E-2</v>
      </c>
      <c r="S37" s="36">
        <f t="shared" si="21"/>
        <v>4.1644978662239623E-2</v>
      </c>
      <c r="T37" s="36">
        <f t="shared" si="21"/>
        <v>4.1644978662239623E-2</v>
      </c>
      <c r="U37" s="36">
        <f t="shared" si="21"/>
        <v>4.1644978662239623E-2</v>
      </c>
    </row>
    <row r="38" spans="4:21" x14ac:dyDescent="0.25">
      <c r="D38" s="29" t="s">
        <v>120</v>
      </c>
      <c r="E38" s="29"/>
      <c r="F38" s="29"/>
      <c r="G38" s="37"/>
      <c r="H38" s="37"/>
      <c r="I38" s="37"/>
      <c r="J38" s="37"/>
      <c r="K38" s="37"/>
      <c r="L38" s="36">
        <f>L37-2%</f>
        <v>2.1644978662239623E-2</v>
      </c>
      <c r="M38" s="36">
        <f t="shared" si="21"/>
        <v>2.1644978662239623E-2</v>
      </c>
      <c r="N38" s="36">
        <f t="shared" si="21"/>
        <v>2.1644978662239623E-2</v>
      </c>
      <c r="O38" s="36">
        <f t="shared" si="21"/>
        <v>2.1644978662239623E-2</v>
      </c>
      <c r="P38" s="36">
        <f t="shared" si="21"/>
        <v>2.1644978662239623E-2</v>
      </c>
      <c r="Q38" s="36">
        <f t="shared" si="21"/>
        <v>2.1644978662239623E-2</v>
      </c>
      <c r="R38" s="36">
        <f t="shared" si="21"/>
        <v>2.1644978662239623E-2</v>
      </c>
      <c r="S38" s="36">
        <f t="shared" si="21"/>
        <v>2.1644978662239623E-2</v>
      </c>
      <c r="T38" s="36">
        <f t="shared" si="21"/>
        <v>2.1644978662239623E-2</v>
      </c>
      <c r="U38" s="36">
        <f t="shared" si="21"/>
        <v>2.1644978662239623E-2</v>
      </c>
    </row>
    <row r="40" spans="4:21" x14ac:dyDescent="0.25">
      <c r="D40" s="103"/>
      <c r="E40" s="103"/>
      <c r="F40" s="103"/>
      <c r="G40" s="103"/>
      <c r="H40" s="103"/>
      <c r="I40" s="103"/>
      <c r="J40" s="103"/>
      <c r="K40" s="103"/>
      <c r="L40" s="103"/>
      <c r="M40" s="103"/>
      <c r="N40" s="103"/>
      <c r="O40" s="103"/>
      <c r="P40" s="103"/>
      <c r="Q40" s="103"/>
      <c r="R40" s="103"/>
      <c r="S40" s="103"/>
      <c r="T40" s="103"/>
      <c r="U40" s="103"/>
    </row>
  </sheetData>
  <mergeCells count="1">
    <mergeCell ref="D5:U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6:XFD55"/>
  <sheetViews>
    <sheetView showGridLines="0" topLeftCell="D12" workbookViewId="0">
      <selection activeCell="G33" sqref="G33"/>
    </sheetView>
  </sheetViews>
  <sheetFormatPr defaultRowHeight="15" x14ac:dyDescent="0.25"/>
  <cols>
    <col min="1" max="3" width="1.42578125" customWidth="1"/>
    <col min="4" max="4" width="50.7109375" customWidth="1"/>
  </cols>
  <sheetData>
    <row r="6" spans="1:16384" x14ac:dyDescent="0.25">
      <c r="D6" s="201" t="s">
        <v>327</v>
      </c>
      <c r="E6" s="201"/>
      <c r="F6" s="201"/>
      <c r="G6" s="201"/>
      <c r="H6" s="201"/>
      <c r="I6" s="201"/>
      <c r="J6" s="201"/>
      <c r="K6" s="201"/>
      <c r="L6" s="201"/>
      <c r="M6" s="201"/>
      <c r="N6" s="201"/>
      <c r="O6" s="201"/>
      <c r="P6" s="201"/>
      <c r="Q6" s="201"/>
      <c r="R6" s="201"/>
      <c r="S6" s="201"/>
      <c r="T6" s="201"/>
      <c r="U6" s="201"/>
    </row>
    <row r="8" spans="1:16384" x14ac:dyDescent="0.25">
      <c r="G8" s="98">
        <v>2020</v>
      </c>
      <c r="H8" s="98">
        <f>G8+1</f>
        <v>2021</v>
      </c>
      <c r="I8" s="98">
        <f t="shared" ref="I8:U8" si="0">H8+1</f>
        <v>2022</v>
      </c>
      <c r="J8" s="98">
        <f t="shared" si="0"/>
        <v>2023</v>
      </c>
      <c r="K8" s="134">
        <f t="shared" si="0"/>
        <v>2024</v>
      </c>
      <c r="L8" s="100">
        <f t="shared" si="0"/>
        <v>2025</v>
      </c>
      <c r="M8" s="100">
        <f t="shared" si="0"/>
        <v>2026</v>
      </c>
      <c r="N8" s="100">
        <f t="shared" si="0"/>
        <v>2027</v>
      </c>
      <c r="O8" s="100">
        <f t="shared" si="0"/>
        <v>2028</v>
      </c>
      <c r="P8" s="100">
        <f t="shared" si="0"/>
        <v>2029</v>
      </c>
      <c r="Q8" s="100">
        <f t="shared" si="0"/>
        <v>2030</v>
      </c>
      <c r="R8" s="100">
        <f t="shared" si="0"/>
        <v>2031</v>
      </c>
      <c r="S8" s="100">
        <f t="shared" si="0"/>
        <v>2032</v>
      </c>
      <c r="T8" s="100">
        <f t="shared" si="0"/>
        <v>2033</v>
      </c>
      <c r="U8" s="100">
        <f t="shared" si="0"/>
        <v>2034</v>
      </c>
    </row>
    <row r="9" spans="1:16384" x14ac:dyDescent="0.25">
      <c r="G9" s="101" t="s">
        <v>127</v>
      </c>
      <c r="H9" s="101" t="s">
        <v>127</v>
      </c>
      <c r="I9" s="101" t="s">
        <v>127</v>
      </c>
      <c r="J9" s="101" t="s">
        <v>127</v>
      </c>
      <c r="K9" s="135" t="s">
        <v>127</v>
      </c>
      <c r="L9" s="101" t="s">
        <v>128</v>
      </c>
      <c r="M9" s="101" t="s">
        <v>128</v>
      </c>
      <c r="N9" s="101" t="s">
        <v>128</v>
      </c>
      <c r="O9" s="101" t="s">
        <v>128</v>
      </c>
      <c r="P9" s="101" t="s">
        <v>128</v>
      </c>
      <c r="Q9" s="101" t="s">
        <v>128</v>
      </c>
      <c r="R9" s="101" t="s">
        <v>128</v>
      </c>
      <c r="S9" s="101" t="s">
        <v>128</v>
      </c>
      <c r="T9" s="101" t="s">
        <v>128</v>
      </c>
      <c r="U9" s="101" t="s">
        <v>128</v>
      </c>
    </row>
    <row r="10" spans="1:16384" x14ac:dyDescent="0.25">
      <c r="D10" s="40" t="s">
        <v>90</v>
      </c>
      <c r="E10" s="15"/>
      <c r="F10" s="15"/>
      <c r="G10" s="41">
        <v>12</v>
      </c>
      <c r="H10" s="41">
        <f>G10</f>
        <v>12</v>
      </c>
      <c r="I10" s="41">
        <f t="shared" ref="I10:U10" si="1">H10</f>
        <v>12</v>
      </c>
      <c r="J10" s="41">
        <f t="shared" si="1"/>
        <v>12</v>
      </c>
      <c r="K10" s="136">
        <f t="shared" si="1"/>
        <v>12</v>
      </c>
      <c r="L10" s="41">
        <f t="shared" si="1"/>
        <v>12</v>
      </c>
      <c r="M10" s="41">
        <f t="shared" si="1"/>
        <v>12</v>
      </c>
      <c r="N10" s="41">
        <f t="shared" si="1"/>
        <v>12</v>
      </c>
      <c r="O10" s="41">
        <f t="shared" si="1"/>
        <v>12</v>
      </c>
      <c r="P10" s="41">
        <f t="shared" si="1"/>
        <v>12</v>
      </c>
      <c r="Q10" s="41">
        <f t="shared" si="1"/>
        <v>12</v>
      </c>
      <c r="R10" s="41">
        <f t="shared" si="1"/>
        <v>12</v>
      </c>
      <c r="S10" s="41">
        <f t="shared" si="1"/>
        <v>12</v>
      </c>
      <c r="T10" s="41">
        <f t="shared" si="1"/>
        <v>12</v>
      </c>
      <c r="U10" s="41">
        <f t="shared" si="1"/>
        <v>12</v>
      </c>
    </row>
    <row r="11" spans="1:16384" x14ac:dyDescent="0.25">
      <c r="A11" s="1"/>
      <c r="K11" s="111"/>
    </row>
    <row r="12" spans="1:16384" x14ac:dyDescent="0.25">
      <c r="K12" s="111"/>
    </row>
    <row r="13" spans="1:16384" s="1" customFormat="1" x14ac:dyDescent="0.25">
      <c r="D13" s="1" t="s">
        <v>133</v>
      </c>
      <c r="G13" s="27">
        <f>'Revenue Build up'!G10</f>
        <v>42124.829999999994</v>
      </c>
      <c r="H13" s="27">
        <f>'Revenue Build up'!H10</f>
        <v>44725.8</v>
      </c>
      <c r="I13" s="27">
        <f>'Revenue Build up'!I10</f>
        <v>52598.83</v>
      </c>
      <c r="J13" s="27">
        <f>'Revenue Build up'!J10</f>
        <v>63239.979999999996</v>
      </c>
      <c r="K13" s="137">
        <f>'Revenue Build up'!K10</f>
        <v>70908.14</v>
      </c>
      <c r="L13" s="27">
        <f>'Revenue Build up'!L10</f>
        <v>80848.467274343071</v>
      </c>
      <c r="M13" s="27">
        <f>'Revenue Build up'!M10</f>
        <v>92182.289094179068</v>
      </c>
      <c r="N13" s="27">
        <f>'Revenue Build up'!N10</f>
        <v>105104.95386149982</v>
      </c>
      <c r="O13" s="27">
        <f>'Revenue Build up'!O10</f>
        <v>119839.19508596339</v>
      </c>
      <c r="P13" s="27">
        <f>'Revenue Build up'!P10</f>
        <v>136638.97039311889</v>
      </c>
      <c r="Q13" s="27">
        <f>'Revenue Build up'!Q10</f>
        <v>155793.83870777037</v>
      </c>
      <c r="R13" s="27">
        <f>'Revenue Build up'!R10</f>
        <v>177633.9510570924</v>
      </c>
      <c r="S13" s="27">
        <f>'Revenue Build up'!S10</f>
        <v>202535.74101438277</v>
      </c>
      <c r="T13" s="27">
        <f>'Revenue Build up'!T10</f>
        <v>230928.4128632643</v>
      </c>
      <c r="U13" s="27">
        <f>'Revenue Build up'!U10</f>
        <v>263301.33931156009</v>
      </c>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c r="AYG13"/>
      <c r="AYH13"/>
      <c r="AYI13"/>
      <c r="AYJ13"/>
      <c r="AYK13"/>
      <c r="AYL13"/>
      <c r="AYM13"/>
      <c r="AYN13"/>
      <c r="AYO13"/>
      <c r="AYP13"/>
      <c r="AYQ13"/>
      <c r="AYR13"/>
      <c r="AYS13"/>
      <c r="AYT13"/>
      <c r="AYU13"/>
      <c r="AYV13"/>
      <c r="AYW13"/>
      <c r="AYX13"/>
      <c r="AYY13"/>
      <c r="AYZ13"/>
      <c r="AZA13"/>
      <c r="AZB13"/>
      <c r="AZC13"/>
      <c r="AZD13"/>
      <c r="AZE13"/>
      <c r="AZF13"/>
      <c r="AZG13"/>
      <c r="AZH13"/>
      <c r="AZI13"/>
      <c r="AZJ13"/>
      <c r="AZK13"/>
      <c r="AZL13"/>
      <c r="AZM13"/>
      <c r="AZN13"/>
      <c r="AZO13"/>
      <c r="AZP13"/>
      <c r="AZQ13"/>
      <c r="AZR13"/>
      <c r="AZS13"/>
      <c r="AZT13"/>
      <c r="AZU13"/>
      <c r="AZV13"/>
      <c r="AZW13"/>
      <c r="AZX13"/>
      <c r="AZY13"/>
      <c r="AZZ13"/>
      <c r="BAA13"/>
      <c r="BAB13"/>
      <c r="BAC13"/>
      <c r="BAD13"/>
      <c r="BAE13"/>
      <c r="BAF13"/>
      <c r="BAG13"/>
      <c r="BAH13"/>
      <c r="BAI13"/>
      <c r="BAJ13"/>
      <c r="BAK13"/>
      <c r="BAL13"/>
      <c r="BAM13"/>
      <c r="BAN13"/>
      <c r="BAO13"/>
      <c r="BAP13"/>
      <c r="BAQ13"/>
      <c r="BAR13"/>
      <c r="BAS13"/>
      <c r="BAT13"/>
      <c r="BAU13"/>
      <c r="BAV13"/>
      <c r="BAW13"/>
      <c r="BAX13"/>
      <c r="BAY13"/>
      <c r="BAZ13"/>
      <c r="BBA13"/>
      <c r="BBB13"/>
      <c r="BBC13"/>
      <c r="BBD13"/>
      <c r="BBE13"/>
      <c r="BBF13"/>
      <c r="BBG13"/>
      <c r="BBH13"/>
      <c r="BBI13"/>
      <c r="BBJ13"/>
      <c r="BBK13"/>
      <c r="BBL13"/>
      <c r="BBM13"/>
      <c r="BBN13"/>
      <c r="BBO13"/>
      <c r="BBP13"/>
      <c r="BBQ13"/>
      <c r="BBR13"/>
      <c r="BBS13"/>
      <c r="BBT13"/>
      <c r="BBU13"/>
      <c r="BBV13"/>
      <c r="BBW13"/>
      <c r="BBX13"/>
      <c r="BBY13"/>
      <c r="BBZ13"/>
      <c r="BCA13"/>
      <c r="BCB13"/>
      <c r="BCC13"/>
      <c r="BCD13"/>
      <c r="BCE13"/>
      <c r="BCF13"/>
      <c r="BCG13"/>
      <c r="BCH13"/>
      <c r="BCI13"/>
      <c r="BCJ13"/>
      <c r="BCK13"/>
      <c r="BCL13"/>
      <c r="BCM13"/>
      <c r="BCN13"/>
      <c r="BCO13"/>
      <c r="BCP13"/>
      <c r="BCQ13"/>
      <c r="BCR13"/>
      <c r="BCS13"/>
      <c r="BCT13"/>
      <c r="BCU13"/>
      <c r="BCV13"/>
      <c r="BCW13"/>
      <c r="BCX13"/>
      <c r="BCY13"/>
      <c r="BCZ13"/>
      <c r="BDA13"/>
      <c r="BDB13"/>
      <c r="BDC13"/>
      <c r="BDD13"/>
      <c r="BDE13"/>
      <c r="BDF13"/>
      <c r="BDG13"/>
      <c r="BDH13"/>
      <c r="BDI13"/>
      <c r="BDJ13"/>
      <c r="BDK13"/>
      <c r="BDL13"/>
      <c r="BDM13"/>
      <c r="BDN13"/>
      <c r="BDO13"/>
      <c r="BDP13"/>
      <c r="BDQ13"/>
      <c r="BDR13"/>
      <c r="BDS13"/>
      <c r="BDT13"/>
      <c r="BDU13"/>
      <c r="BDV13"/>
      <c r="BDW13"/>
      <c r="BDX13"/>
      <c r="BDY13"/>
      <c r="BDZ13"/>
      <c r="BEA13"/>
      <c r="BEB13"/>
      <c r="BEC13"/>
      <c r="BED13"/>
      <c r="BEE13"/>
      <c r="BEF13"/>
      <c r="BEG13"/>
      <c r="BEH13"/>
      <c r="BEI13"/>
      <c r="BEJ13"/>
      <c r="BEK13"/>
      <c r="BEL13"/>
      <c r="BEM13"/>
      <c r="BEN13"/>
      <c r="BEO13"/>
      <c r="BEP13"/>
      <c r="BEQ13"/>
      <c r="BER13"/>
      <c r="BES13"/>
      <c r="BET13"/>
      <c r="BEU13"/>
      <c r="BEV13"/>
      <c r="BEW13"/>
      <c r="BEX13"/>
      <c r="BEY13"/>
      <c r="BEZ13"/>
      <c r="BFA13"/>
      <c r="BFB13"/>
      <c r="BFC13"/>
      <c r="BFD13"/>
      <c r="BFE13"/>
      <c r="BFF13"/>
      <c r="BFG13"/>
      <c r="BFH13"/>
      <c r="BFI13"/>
      <c r="BFJ13"/>
      <c r="BFK13"/>
      <c r="BFL13"/>
      <c r="BFM13"/>
      <c r="BFN13"/>
      <c r="BFO13"/>
      <c r="BFP13"/>
      <c r="BFQ13"/>
      <c r="BFR13"/>
      <c r="BFS13"/>
      <c r="BFT13"/>
      <c r="BFU13"/>
      <c r="BFV13"/>
      <c r="BFW13"/>
      <c r="BFX13"/>
      <c r="BFY13"/>
      <c r="BFZ13"/>
      <c r="BGA13"/>
      <c r="BGB13"/>
      <c r="BGC13"/>
      <c r="BGD13"/>
      <c r="BGE13"/>
      <c r="BGF13"/>
      <c r="BGG13"/>
      <c r="BGH13"/>
      <c r="BGI13"/>
      <c r="BGJ13"/>
      <c r="BGK13"/>
      <c r="BGL13"/>
      <c r="BGM13"/>
      <c r="BGN13"/>
      <c r="BGO13"/>
      <c r="BGP13"/>
      <c r="BGQ13"/>
      <c r="BGR13"/>
      <c r="BGS13"/>
      <c r="BGT13"/>
      <c r="BGU13"/>
      <c r="BGV13"/>
      <c r="BGW13"/>
      <c r="BGX13"/>
      <c r="BGY13"/>
      <c r="BGZ13"/>
      <c r="BHA13"/>
      <c r="BHB13"/>
      <c r="BHC13"/>
      <c r="BHD13"/>
      <c r="BHE13"/>
      <c r="BHF13"/>
      <c r="BHG13"/>
      <c r="BHH13"/>
      <c r="BHI13"/>
      <c r="BHJ13"/>
      <c r="BHK13"/>
      <c r="BHL13"/>
      <c r="BHM13"/>
      <c r="BHN13"/>
      <c r="BHO13"/>
      <c r="BHP13"/>
      <c r="BHQ13"/>
      <c r="BHR13"/>
      <c r="BHS13"/>
      <c r="BHT13"/>
      <c r="BHU13"/>
      <c r="BHV13"/>
      <c r="BHW13"/>
      <c r="BHX13"/>
      <c r="BHY13"/>
      <c r="BHZ13"/>
      <c r="BIA13"/>
      <c r="BIB13"/>
      <c r="BIC13"/>
      <c r="BID13"/>
      <c r="BIE13"/>
      <c r="BIF13"/>
      <c r="BIG13"/>
      <c r="BIH13"/>
      <c r="BII13"/>
      <c r="BIJ13"/>
      <c r="BIK13"/>
      <c r="BIL13"/>
      <c r="BIM13"/>
      <c r="BIN13"/>
      <c r="BIO13"/>
      <c r="BIP13"/>
      <c r="BIQ13"/>
      <c r="BIR13"/>
      <c r="BIS13"/>
      <c r="BIT13"/>
      <c r="BIU13"/>
      <c r="BIV13"/>
      <c r="BIW13"/>
      <c r="BIX13"/>
      <c r="BIY13"/>
      <c r="BIZ13"/>
      <c r="BJA13"/>
      <c r="BJB13"/>
      <c r="BJC13"/>
      <c r="BJD13"/>
      <c r="BJE13"/>
      <c r="BJF13"/>
      <c r="BJG13"/>
      <c r="BJH13"/>
      <c r="BJI13"/>
      <c r="BJJ13"/>
      <c r="BJK13"/>
      <c r="BJL13"/>
      <c r="BJM13"/>
      <c r="BJN13"/>
      <c r="BJO13"/>
      <c r="BJP13"/>
      <c r="BJQ13"/>
      <c r="BJR13"/>
      <c r="BJS13"/>
      <c r="BJT13"/>
      <c r="BJU13"/>
      <c r="BJV13"/>
      <c r="BJW13"/>
      <c r="BJX13"/>
      <c r="BJY13"/>
      <c r="BJZ13"/>
      <c r="BKA13"/>
      <c r="BKB13"/>
      <c r="BKC13"/>
      <c r="BKD13"/>
      <c r="BKE13"/>
      <c r="BKF13"/>
      <c r="BKG13"/>
      <c r="BKH13"/>
      <c r="BKI13"/>
      <c r="BKJ13"/>
      <c r="BKK13"/>
      <c r="BKL13"/>
      <c r="BKM13"/>
      <c r="BKN13"/>
      <c r="BKO13"/>
      <c r="BKP13"/>
      <c r="BKQ13"/>
      <c r="BKR13"/>
      <c r="BKS13"/>
      <c r="BKT13"/>
      <c r="BKU13"/>
      <c r="BKV13"/>
      <c r="BKW13"/>
      <c r="BKX13"/>
      <c r="BKY13"/>
      <c r="BKZ13"/>
      <c r="BLA13"/>
      <c r="BLB13"/>
      <c r="BLC13"/>
      <c r="BLD13"/>
      <c r="BLE13"/>
      <c r="BLF13"/>
      <c r="BLG13"/>
      <c r="BLH13"/>
      <c r="BLI13"/>
      <c r="BLJ13"/>
      <c r="BLK13"/>
      <c r="BLL13"/>
      <c r="BLM13"/>
      <c r="BLN13"/>
      <c r="BLO13"/>
      <c r="BLP13"/>
      <c r="BLQ13"/>
      <c r="BLR13"/>
      <c r="BLS13"/>
      <c r="BLT13"/>
      <c r="BLU13"/>
      <c r="BLV13"/>
      <c r="BLW13"/>
      <c r="BLX13"/>
      <c r="BLY13"/>
      <c r="BLZ13"/>
      <c r="BMA13"/>
      <c r="BMB13"/>
      <c r="BMC13"/>
      <c r="BMD13"/>
      <c r="BME13"/>
      <c r="BMF13"/>
      <c r="BMG13"/>
      <c r="BMH13"/>
      <c r="BMI13"/>
      <c r="BMJ13"/>
      <c r="BMK13"/>
      <c r="BML13"/>
      <c r="BMM13"/>
      <c r="BMN13"/>
      <c r="BMO13"/>
      <c r="BMP13"/>
      <c r="BMQ13"/>
      <c r="BMR13"/>
      <c r="BMS13"/>
      <c r="BMT13"/>
      <c r="BMU13"/>
      <c r="BMV13"/>
      <c r="BMW13"/>
      <c r="BMX13"/>
      <c r="BMY13"/>
      <c r="BMZ13"/>
      <c r="BNA13"/>
      <c r="BNB13"/>
      <c r="BNC13"/>
      <c r="BND13"/>
      <c r="BNE13"/>
      <c r="BNF13"/>
      <c r="BNG13"/>
      <c r="BNH13"/>
      <c r="BNI13"/>
      <c r="BNJ13"/>
      <c r="BNK13"/>
      <c r="BNL13"/>
      <c r="BNM13"/>
      <c r="BNN13"/>
      <c r="BNO13"/>
      <c r="BNP13"/>
      <c r="BNQ13"/>
      <c r="BNR13"/>
      <c r="BNS13"/>
      <c r="BNT13"/>
      <c r="BNU13"/>
      <c r="BNV13"/>
      <c r="BNW13"/>
      <c r="BNX13"/>
      <c r="BNY13"/>
      <c r="BNZ13"/>
      <c r="BOA13"/>
      <c r="BOB13"/>
      <c r="BOC13"/>
      <c r="BOD13"/>
      <c r="BOE13"/>
      <c r="BOF13"/>
      <c r="BOG13"/>
      <c r="BOH13"/>
      <c r="BOI13"/>
      <c r="BOJ13"/>
      <c r="BOK13"/>
      <c r="BOL13"/>
      <c r="BOM13"/>
      <c r="BON13"/>
      <c r="BOO13"/>
      <c r="BOP13"/>
      <c r="BOQ13"/>
      <c r="BOR13"/>
      <c r="BOS13"/>
      <c r="BOT13"/>
      <c r="BOU13"/>
      <c r="BOV13"/>
      <c r="BOW13"/>
      <c r="BOX13"/>
      <c r="BOY13"/>
      <c r="BOZ13"/>
      <c r="BPA13"/>
      <c r="BPB13"/>
      <c r="BPC13"/>
      <c r="BPD13"/>
      <c r="BPE13"/>
      <c r="BPF13"/>
      <c r="BPG13"/>
      <c r="BPH13"/>
      <c r="BPI13"/>
      <c r="BPJ13"/>
      <c r="BPK13"/>
      <c r="BPL13"/>
      <c r="BPM13"/>
      <c r="BPN13"/>
      <c r="BPO13"/>
      <c r="BPP13"/>
      <c r="BPQ13"/>
      <c r="BPR13"/>
      <c r="BPS13"/>
      <c r="BPT13"/>
      <c r="BPU13"/>
      <c r="BPV13"/>
      <c r="BPW13"/>
      <c r="BPX13"/>
      <c r="BPY13"/>
      <c r="BPZ13"/>
      <c r="BQA13"/>
      <c r="BQB13"/>
      <c r="BQC13"/>
      <c r="BQD13"/>
      <c r="BQE13"/>
      <c r="BQF13"/>
      <c r="BQG13"/>
      <c r="BQH13"/>
      <c r="BQI13"/>
      <c r="BQJ13"/>
      <c r="BQK13"/>
      <c r="BQL13"/>
      <c r="BQM13"/>
      <c r="BQN13"/>
      <c r="BQO13"/>
      <c r="BQP13"/>
      <c r="BQQ13"/>
      <c r="BQR13"/>
      <c r="BQS13"/>
      <c r="BQT13"/>
      <c r="BQU13"/>
      <c r="BQV13"/>
      <c r="BQW13"/>
      <c r="BQX13"/>
      <c r="BQY13"/>
      <c r="BQZ13"/>
      <c r="BRA13"/>
      <c r="BRB13"/>
      <c r="BRC13"/>
      <c r="BRD13"/>
      <c r="BRE13"/>
      <c r="BRF13"/>
      <c r="BRG13"/>
      <c r="BRH13"/>
      <c r="BRI13"/>
      <c r="BRJ13"/>
      <c r="BRK13"/>
      <c r="BRL13"/>
      <c r="BRM13"/>
      <c r="BRN13"/>
      <c r="BRO13"/>
      <c r="BRP13"/>
      <c r="BRQ13"/>
      <c r="BRR13"/>
      <c r="BRS13"/>
      <c r="BRT13"/>
      <c r="BRU13"/>
      <c r="BRV13"/>
      <c r="BRW13"/>
      <c r="BRX13"/>
      <c r="BRY13"/>
      <c r="BRZ13"/>
      <c r="BSA13"/>
      <c r="BSB13"/>
      <c r="BSC13"/>
      <c r="BSD13"/>
      <c r="BSE13"/>
      <c r="BSF13"/>
      <c r="BSG13"/>
      <c r="BSH13"/>
      <c r="BSI13"/>
      <c r="BSJ13"/>
      <c r="BSK13"/>
      <c r="BSL13"/>
      <c r="BSM13"/>
      <c r="BSN13"/>
      <c r="BSO13"/>
      <c r="BSP13"/>
      <c r="BSQ13"/>
      <c r="BSR13"/>
      <c r="BSS13"/>
      <c r="BST13"/>
      <c r="BSU13"/>
      <c r="BSV13"/>
      <c r="BSW13"/>
      <c r="BSX13"/>
      <c r="BSY13"/>
      <c r="BSZ13"/>
      <c r="BTA13"/>
      <c r="BTB13"/>
      <c r="BTC13"/>
      <c r="BTD13"/>
      <c r="BTE13"/>
      <c r="BTF13"/>
      <c r="BTG13"/>
      <c r="BTH13"/>
      <c r="BTI13"/>
      <c r="BTJ13"/>
      <c r="BTK13"/>
      <c r="BTL13"/>
      <c r="BTM13"/>
      <c r="BTN13"/>
      <c r="BTO13"/>
      <c r="BTP13"/>
      <c r="BTQ13"/>
      <c r="BTR13"/>
      <c r="BTS13"/>
      <c r="BTT13"/>
      <c r="BTU13"/>
      <c r="BTV13"/>
      <c r="BTW13"/>
      <c r="BTX13"/>
      <c r="BTY13"/>
      <c r="BTZ13"/>
      <c r="BUA13"/>
      <c r="BUB13"/>
      <c r="BUC13"/>
      <c r="BUD13"/>
      <c r="BUE13"/>
      <c r="BUF13"/>
      <c r="BUG13"/>
      <c r="BUH13"/>
      <c r="BUI13"/>
      <c r="BUJ13"/>
      <c r="BUK13"/>
      <c r="BUL13"/>
      <c r="BUM13"/>
      <c r="BUN13"/>
      <c r="BUO13"/>
      <c r="BUP13"/>
      <c r="BUQ13"/>
      <c r="BUR13"/>
      <c r="BUS13"/>
      <c r="BUT13"/>
      <c r="BUU13"/>
      <c r="BUV13"/>
      <c r="BUW13"/>
      <c r="BUX13"/>
      <c r="BUY13"/>
      <c r="BUZ13"/>
      <c r="BVA13"/>
      <c r="BVB13"/>
      <c r="BVC13"/>
      <c r="BVD13"/>
      <c r="BVE13"/>
      <c r="BVF13"/>
      <c r="BVG13"/>
      <c r="BVH13"/>
      <c r="BVI13"/>
      <c r="BVJ13"/>
      <c r="BVK13"/>
      <c r="BVL13"/>
      <c r="BVM13"/>
      <c r="BVN13"/>
      <c r="BVO13"/>
      <c r="BVP13"/>
      <c r="BVQ13"/>
      <c r="BVR13"/>
      <c r="BVS13"/>
      <c r="BVT13"/>
      <c r="BVU13"/>
      <c r="BVV13"/>
      <c r="BVW13"/>
      <c r="BVX13"/>
      <c r="BVY13"/>
      <c r="BVZ13"/>
      <c r="BWA13"/>
      <c r="BWB13"/>
      <c r="BWC13"/>
      <c r="BWD13"/>
      <c r="BWE13"/>
      <c r="BWF13"/>
      <c r="BWG13"/>
      <c r="BWH13"/>
      <c r="BWI13"/>
      <c r="BWJ13"/>
      <c r="BWK13"/>
      <c r="BWL13"/>
      <c r="BWM13"/>
      <c r="BWN13"/>
      <c r="BWO13"/>
      <c r="BWP13"/>
      <c r="BWQ13"/>
      <c r="BWR13"/>
      <c r="BWS13"/>
      <c r="BWT13"/>
      <c r="BWU13"/>
      <c r="BWV13"/>
      <c r="BWW13"/>
      <c r="BWX13"/>
      <c r="BWY13"/>
      <c r="BWZ13"/>
      <c r="BXA13"/>
      <c r="BXB13"/>
      <c r="BXC13"/>
      <c r="BXD13"/>
      <c r="BXE13"/>
      <c r="BXF13"/>
      <c r="BXG13"/>
      <c r="BXH13"/>
      <c r="BXI13"/>
      <c r="BXJ13"/>
      <c r="BXK13"/>
      <c r="BXL13"/>
      <c r="BXM13"/>
      <c r="BXN13"/>
      <c r="BXO13"/>
      <c r="BXP13"/>
      <c r="BXQ13"/>
      <c r="BXR13"/>
      <c r="BXS13"/>
      <c r="BXT13"/>
      <c r="BXU13"/>
      <c r="BXV13"/>
      <c r="BXW13"/>
      <c r="BXX13"/>
      <c r="BXY13"/>
      <c r="BXZ13"/>
      <c r="BYA13"/>
      <c r="BYB13"/>
      <c r="BYC13"/>
      <c r="BYD13"/>
      <c r="BYE13"/>
      <c r="BYF13"/>
      <c r="BYG13"/>
      <c r="BYH13"/>
      <c r="BYI13"/>
      <c r="BYJ13"/>
      <c r="BYK13"/>
      <c r="BYL13"/>
      <c r="BYM13"/>
      <c r="BYN13"/>
      <c r="BYO13"/>
      <c r="BYP13"/>
      <c r="BYQ13"/>
      <c r="BYR13"/>
      <c r="BYS13"/>
      <c r="BYT13"/>
      <c r="BYU13"/>
      <c r="BYV13"/>
      <c r="BYW13"/>
      <c r="BYX13"/>
      <c r="BYY13"/>
      <c r="BYZ13"/>
      <c r="BZA13"/>
      <c r="BZB13"/>
      <c r="BZC13"/>
      <c r="BZD13"/>
      <c r="BZE13"/>
      <c r="BZF13"/>
      <c r="BZG13"/>
      <c r="BZH13"/>
      <c r="BZI13"/>
      <c r="BZJ13"/>
      <c r="BZK13"/>
      <c r="BZL13"/>
      <c r="BZM13"/>
      <c r="BZN13"/>
      <c r="BZO13"/>
      <c r="BZP13"/>
      <c r="BZQ13"/>
      <c r="BZR13"/>
      <c r="BZS13"/>
      <c r="BZT13"/>
      <c r="BZU13"/>
      <c r="BZV13"/>
      <c r="BZW13"/>
      <c r="BZX13"/>
      <c r="BZY13"/>
      <c r="BZZ13"/>
      <c r="CAA13"/>
      <c r="CAB13"/>
      <c r="CAC13"/>
      <c r="CAD13"/>
      <c r="CAE13"/>
      <c r="CAF13"/>
      <c r="CAG13"/>
      <c r="CAH13"/>
      <c r="CAI13"/>
      <c r="CAJ13"/>
      <c r="CAK13"/>
      <c r="CAL13"/>
      <c r="CAM13"/>
      <c r="CAN13"/>
      <c r="CAO13"/>
      <c r="CAP13"/>
      <c r="CAQ13"/>
      <c r="CAR13"/>
      <c r="CAS13"/>
      <c r="CAT13"/>
      <c r="CAU13"/>
      <c r="CAV13"/>
      <c r="CAW13"/>
      <c r="CAX13"/>
      <c r="CAY13"/>
      <c r="CAZ13"/>
      <c r="CBA13"/>
      <c r="CBB13"/>
      <c r="CBC13"/>
      <c r="CBD13"/>
      <c r="CBE13"/>
      <c r="CBF13"/>
      <c r="CBG13"/>
      <c r="CBH13"/>
      <c r="CBI13"/>
      <c r="CBJ13"/>
      <c r="CBK13"/>
      <c r="CBL13"/>
      <c r="CBM13"/>
      <c r="CBN13"/>
      <c r="CBO13"/>
      <c r="CBP13"/>
      <c r="CBQ13"/>
      <c r="CBR13"/>
      <c r="CBS13"/>
      <c r="CBT13"/>
      <c r="CBU13"/>
      <c r="CBV13"/>
      <c r="CBW13"/>
      <c r="CBX13"/>
      <c r="CBY13"/>
      <c r="CBZ13"/>
      <c r="CCA13"/>
      <c r="CCB13"/>
      <c r="CCC13"/>
      <c r="CCD13"/>
      <c r="CCE13"/>
      <c r="CCF13"/>
      <c r="CCG13"/>
      <c r="CCH13"/>
      <c r="CCI13"/>
      <c r="CCJ13"/>
      <c r="CCK13"/>
      <c r="CCL13"/>
      <c r="CCM13"/>
      <c r="CCN13"/>
      <c r="CCO13"/>
      <c r="CCP13"/>
      <c r="CCQ13"/>
      <c r="CCR13"/>
      <c r="CCS13"/>
      <c r="CCT13"/>
      <c r="CCU13"/>
      <c r="CCV13"/>
      <c r="CCW13"/>
      <c r="CCX13"/>
      <c r="CCY13"/>
      <c r="CCZ13"/>
      <c r="CDA13"/>
      <c r="CDB13"/>
      <c r="CDC13"/>
      <c r="CDD13"/>
      <c r="CDE13"/>
      <c r="CDF13"/>
      <c r="CDG13"/>
      <c r="CDH13"/>
      <c r="CDI13"/>
      <c r="CDJ13"/>
      <c r="CDK13"/>
      <c r="CDL13"/>
      <c r="CDM13"/>
      <c r="CDN13"/>
      <c r="CDO13"/>
      <c r="CDP13"/>
      <c r="CDQ13"/>
      <c r="CDR13"/>
      <c r="CDS13"/>
      <c r="CDT13"/>
      <c r="CDU13"/>
      <c r="CDV13"/>
      <c r="CDW13"/>
      <c r="CDX13"/>
      <c r="CDY13"/>
      <c r="CDZ13"/>
      <c r="CEA13"/>
      <c r="CEB13"/>
      <c r="CEC13"/>
      <c r="CED13"/>
      <c r="CEE13"/>
      <c r="CEF13"/>
      <c r="CEG13"/>
      <c r="CEH13"/>
      <c r="CEI13"/>
      <c r="CEJ13"/>
      <c r="CEK13"/>
      <c r="CEL13"/>
      <c r="CEM13"/>
      <c r="CEN13"/>
      <c r="CEO13"/>
      <c r="CEP13"/>
      <c r="CEQ13"/>
      <c r="CER13"/>
      <c r="CES13"/>
      <c r="CET13"/>
      <c r="CEU13"/>
      <c r="CEV13"/>
      <c r="CEW13"/>
      <c r="CEX13"/>
      <c r="CEY13"/>
      <c r="CEZ13"/>
      <c r="CFA13"/>
      <c r="CFB13"/>
      <c r="CFC13"/>
      <c r="CFD13"/>
      <c r="CFE13"/>
      <c r="CFF13"/>
      <c r="CFG13"/>
      <c r="CFH13"/>
      <c r="CFI13"/>
      <c r="CFJ13"/>
      <c r="CFK13"/>
      <c r="CFL13"/>
      <c r="CFM13"/>
      <c r="CFN13"/>
      <c r="CFO13"/>
      <c r="CFP13"/>
      <c r="CFQ13"/>
      <c r="CFR13"/>
      <c r="CFS13"/>
      <c r="CFT13"/>
      <c r="CFU13"/>
      <c r="CFV13"/>
      <c r="CFW13"/>
      <c r="CFX13"/>
      <c r="CFY13"/>
      <c r="CFZ13"/>
      <c r="CGA13"/>
      <c r="CGB13"/>
      <c r="CGC13"/>
      <c r="CGD13"/>
      <c r="CGE13"/>
      <c r="CGF13"/>
      <c r="CGG13"/>
      <c r="CGH13"/>
      <c r="CGI13"/>
      <c r="CGJ13"/>
      <c r="CGK13"/>
      <c r="CGL13"/>
      <c r="CGM13"/>
      <c r="CGN13"/>
      <c r="CGO13"/>
      <c r="CGP13"/>
      <c r="CGQ13"/>
      <c r="CGR13"/>
      <c r="CGS13"/>
      <c r="CGT13"/>
      <c r="CGU13"/>
      <c r="CGV13"/>
      <c r="CGW13"/>
      <c r="CGX13"/>
      <c r="CGY13"/>
      <c r="CGZ13"/>
      <c r="CHA13"/>
      <c r="CHB13"/>
      <c r="CHC13"/>
      <c r="CHD13"/>
      <c r="CHE13"/>
      <c r="CHF13"/>
      <c r="CHG13"/>
      <c r="CHH13"/>
      <c r="CHI13"/>
      <c r="CHJ13"/>
      <c r="CHK13"/>
      <c r="CHL13"/>
      <c r="CHM13"/>
      <c r="CHN13"/>
      <c r="CHO13"/>
      <c r="CHP13"/>
      <c r="CHQ13"/>
      <c r="CHR13"/>
      <c r="CHS13"/>
      <c r="CHT13"/>
      <c r="CHU13"/>
      <c r="CHV13"/>
      <c r="CHW13"/>
      <c r="CHX13"/>
      <c r="CHY13"/>
      <c r="CHZ13"/>
      <c r="CIA13"/>
      <c r="CIB13"/>
      <c r="CIC13"/>
      <c r="CID13"/>
      <c r="CIE13"/>
      <c r="CIF13"/>
      <c r="CIG13"/>
      <c r="CIH13"/>
      <c r="CII13"/>
      <c r="CIJ13"/>
      <c r="CIK13"/>
      <c r="CIL13"/>
      <c r="CIM13"/>
      <c r="CIN13"/>
      <c r="CIO13"/>
      <c r="CIP13"/>
      <c r="CIQ13"/>
      <c r="CIR13"/>
      <c r="CIS13"/>
      <c r="CIT13"/>
      <c r="CIU13"/>
      <c r="CIV13"/>
      <c r="CIW13"/>
      <c r="CIX13"/>
      <c r="CIY13"/>
      <c r="CIZ13"/>
      <c r="CJA13"/>
      <c r="CJB13"/>
      <c r="CJC13"/>
      <c r="CJD13"/>
      <c r="CJE13"/>
      <c r="CJF13"/>
      <c r="CJG13"/>
      <c r="CJH13"/>
      <c r="CJI13"/>
      <c r="CJJ13"/>
      <c r="CJK13"/>
      <c r="CJL13"/>
      <c r="CJM13"/>
      <c r="CJN13"/>
      <c r="CJO13"/>
      <c r="CJP13"/>
      <c r="CJQ13"/>
      <c r="CJR13"/>
      <c r="CJS13"/>
      <c r="CJT13"/>
      <c r="CJU13"/>
      <c r="CJV13"/>
      <c r="CJW13"/>
      <c r="CJX13"/>
      <c r="CJY13"/>
      <c r="CJZ13"/>
      <c r="CKA13"/>
      <c r="CKB13"/>
      <c r="CKC13"/>
      <c r="CKD13"/>
      <c r="CKE13"/>
      <c r="CKF13"/>
      <c r="CKG13"/>
      <c r="CKH13"/>
      <c r="CKI13"/>
      <c r="CKJ13"/>
      <c r="CKK13"/>
      <c r="CKL13"/>
      <c r="CKM13"/>
      <c r="CKN13"/>
      <c r="CKO13"/>
      <c r="CKP13"/>
      <c r="CKQ13"/>
      <c r="CKR13"/>
      <c r="CKS13"/>
      <c r="CKT13"/>
      <c r="CKU13"/>
      <c r="CKV13"/>
      <c r="CKW13"/>
      <c r="CKX13"/>
      <c r="CKY13"/>
      <c r="CKZ13"/>
      <c r="CLA13"/>
      <c r="CLB13"/>
      <c r="CLC13"/>
      <c r="CLD13"/>
      <c r="CLE13"/>
      <c r="CLF13"/>
      <c r="CLG13"/>
      <c r="CLH13"/>
      <c r="CLI13"/>
      <c r="CLJ13"/>
      <c r="CLK13"/>
      <c r="CLL13"/>
      <c r="CLM13"/>
      <c r="CLN13"/>
      <c r="CLO13"/>
      <c r="CLP13"/>
      <c r="CLQ13"/>
      <c r="CLR13"/>
      <c r="CLS13"/>
      <c r="CLT13"/>
      <c r="CLU13"/>
      <c r="CLV13"/>
      <c r="CLW13"/>
      <c r="CLX13"/>
      <c r="CLY13"/>
      <c r="CLZ13"/>
      <c r="CMA13"/>
      <c r="CMB13"/>
      <c r="CMC13"/>
      <c r="CMD13"/>
      <c r="CME13"/>
      <c r="CMF13"/>
      <c r="CMG13"/>
      <c r="CMH13"/>
      <c r="CMI13"/>
      <c r="CMJ13"/>
      <c r="CMK13"/>
      <c r="CML13"/>
      <c r="CMM13"/>
      <c r="CMN13"/>
      <c r="CMO13"/>
      <c r="CMP13"/>
      <c r="CMQ13"/>
      <c r="CMR13"/>
      <c r="CMS13"/>
      <c r="CMT13"/>
      <c r="CMU13"/>
      <c r="CMV13"/>
      <c r="CMW13"/>
      <c r="CMX13"/>
      <c r="CMY13"/>
      <c r="CMZ13"/>
      <c r="CNA13"/>
      <c r="CNB13"/>
      <c r="CNC13"/>
      <c r="CND13"/>
      <c r="CNE13"/>
      <c r="CNF13"/>
      <c r="CNG13"/>
      <c r="CNH13"/>
      <c r="CNI13"/>
      <c r="CNJ13"/>
      <c r="CNK13"/>
      <c r="CNL13"/>
      <c r="CNM13"/>
      <c r="CNN13"/>
      <c r="CNO13"/>
      <c r="CNP13"/>
      <c r="CNQ13"/>
      <c r="CNR13"/>
      <c r="CNS13"/>
      <c r="CNT13"/>
      <c r="CNU13"/>
      <c r="CNV13"/>
      <c r="CNW13"/>
      <c r="CNX13"/>
      <c r="CNY13"/>
      <c r="CNZ13"/>
      <c r="COA13"/>
      <c r="COB13"/>
      <c r="COC13"/>
      <c r="COD13"/>
      <c r="COE13"/>
      <c r="COF13"/>
      <c r="COG13"/>
      <c r="COH13"/>
      <c r="COI13"/>
      <c r="COJ13"/>
      <c r="COK13"/>
      <c r="COL13"/>
      <c r="COM13"/>
      <c r="CON13"/>
      <c r="COO13"/>
      <c r="COP13"/>
      <c r="COQ13"/>
      <c r="COR13"/>
      <c r="COS13"/>
      <c r="COT13"/>
      <c r="COU13"/>
      <c r="COV13"/>
      <c r="COW13"/>
      <c r="COX13"/>
      <c r="COY13"/>
      <c r="COZ13"/>
      <c r="CPA13"/>
      <c r="CPB13"/>
      <c r="CPC13"/>
      <c r="CPD13"/>
      <c r="CPE13"/>
      <c r="CPF13"/>
      <c r="CPG13"/>
      <c r="CPH13"/>
      <c r="CPI13"/>
      <c r="CPJ13"/>
      <c r="CPK13"/>
      <c r="CPL13"/>
      <c r="CPM13"/>
      <c r="CPN13"/>
      <c r="CPO13"/>
      <c r="CPP13"/>
      <c r="CPQ13"/>
      <c r="CPR13"/>
      <c r="CPS13"/>
      <c r="CPT13"/>
      <c r="CPU13"/>
      <c r="CPV13"/>
      <c r="CPW13"/>
      <c r="CPX13"/>
      <c r="CPY13"/>
      <c r="CPZ13"/>
      <c r="CQA13"/>
      <c r="CQB13"/>
      <c r="CQC13"/>
      <c r="CQD13"/>
      <c r="CQE13"/>
      <c r="CQF13"/>
      <c r="CQG13"/>
      <c r="CQH13"/>
      <c r="CQI13"/>
      <c r="CQJ13"/>
      <c r="CQK13"/>
      <c r="CQL13"/>
      <c r="CQM13"/>
      <c r="CQN13"/>
      <c r="CQO13"/>
      <c r="CQP13"/>
      <c r="CQQ13"/>
      <c r="CQR13"/>
      <c r="CQS13"/>
      <c r="CQT13"/>
      <c r="CQU13"/>
      <c r="CQV13"/>
      <c r="CQW13"/>
      <c r="CQX13"/>
      <c r="CQY13"/>
      <c r="CQZ13"/>
      <c r="CRA13"/>
      <c r="CRB13"/>
      <c r="CRC13"/>
      <c r="CRD13"/>
      <c r="CRE13"/>
      <c r="CRF13"/>
      <c r="CRG13"/>
      <c r="CRH13"/>
      <c r="CRI13"/>
      <c r="CRJ13"/>
      <c r="CRK13"/>
      <c r="CRL13"/>
      <c r="CRM13"/>
      <c r="CRN13"/>
      <c r="CRO13"/>
      <c r="CRP13"/>
      <c r="CRQ13"/>
      <c r="CRR13"/>
      <c r="CRS13"/>
      <c r="CRT13"/>
      <c r="CRU13"/>
      <c r="CRV13"/>
      <c r="CRW13"/>
      <c r="CRX13"/>
      <c r="CRY13"/>
      <c r="CRZ13"/>
      <c r="CSA13"/>
      <c r="CSB13"/>
      <c r="CSC13"/>
      <c r="CSD13"/>
      <c r="CSE13"/>
      <c r="CSF13"/>
      <c r="CSG13"/>
      <c r="CSH13"/>
      <c r="CSI13"/>
      <c r="CSJ13"/>
      <c r="CSK13"/>
      <c r="CSL13"/>
      <c r="CSM13"/>
      <c r="CSN13"/>
      <c r="CSO13"/>
      <c r="CSP13"/>
      <c r="CSQ13"/>
      <c r="CSR13"/>
      <c r="CSS13"/>
      <c r="CST13"/>
      <c r="CSU13"/>
      <c r="CSV13"/>
      <c r="CSW13"/>
      <c r="CSX13"/>
      <c r="CSY13"/>
      <c r="CSZ13"/>
      <c r="CTA13"/>
      <c r="CTB13"/>
      <c r="CTC13"/>
      <c r="CTD13"/>
      <c r="CTE13"/>
      <c r="CTF13"/>
      <c r="CTG13"/>
      <c r="CTH13"/>
      <c r="CTI13"/>
      <c r="CTJ13"/>
      <c r="CTK13"/>
      <c r="CTL13"/>
      <c r="CTM13"/>
      <c r="CTN13"/>
      <c r="CTO13"/>
      <c r="CTP13"/>
      <c r="CTQ13"/>
      <c r="CTR13"/>
      <c r="CTS13"/>
      <c r="CTT13"/>
      <c r="CTU13"/>
      <c r="CTV13"/>
      <c r="CTW13"/>
      <c r="CTX13"/>
      <c r="CTY13"/>
      <c r="CTZ13"/>
      <c r="CUA13"/>
      <c r="CUB13"/>
      <c r="CUC13"/>
      <c r="CUD13"/>
      <c r="CUE13"/>
      <c r="CUF13"/>
      <c r="CUG13"/>
      <c r="CUH13"/>
      <c r="CUI13"/>
      <c r="CUJ13"/>
      <c r="CUK13"/>
      <c r="CUL13"/>
      <c r="CUM13"/>
      <c r="CUN13"/>
      <c r="CUO13"/>
      <c r="CUP13"/>
      <c r="CUQ13"/>
      <c r="CUR13"/>
      <c r="CUS13"/>
      <c r="CUT13"/>
      <c r="CUU13"/>
      <c r="CUV13"/>
      <c r="CUW13"/>
      <c r="CUX13"/>
      <c r="CUY13"/>
      <c r="CUZ13"/>
      <c r="CVA13"/>
      <c r="CVB13"/>
      <c r="CVC13"/>
      <c r="CVD13"/>
      <c r="CVE13"/>
      <c r="CVF13"/>
      <c r="CVG13"/>
      <c r="CVH13"/>
      <c r="CVI13"/>
      <c r="CVJ13"/>
      <c r="CVK13"/>
      <c r="CVL13"/>
      <c r="CVM13"/>
      <c r="CVN13"/>
      <c r="CVO13"/>
      <c r="CVP13"/>
      <c r="CVQ13"/>
      <c r="CVR13"/>
      <c r="CVS13"/>
      <c r="CVT13"/>
      <c r="CVU13"/>
      <c r="CVV13"/>
      <c r="CVW13"/>
      <c r="CVX13"/>
      <c r="CVY13"/>
      <c r="CVZ13"/>
      <c r="CWA13"/>
      <c r="CWB13"/>
      <c r="CWC13"/>
      <c r="CWD13"/>
      <c r="CWE13"/>
      <c r="CWF13"/>
      <c r="CWG13"/>
      <c r="CWH13"/>
      <c r="CWI13"/>
      <c r="CWJ13"/>
      <c r="CWK13"/>
      <c r="CWL13"/>
      <c r="CWM13"/>
      <c r="CWN13"/>
      <c r="CWO13"/>
      <c r="CWP13"/>
      <c r="CWQ13"/>
      <c r="CWR13"/>
      <c r="CWS13"/>
      <c r="CWT13"/>
      <c r="CWU13"/>
      <c r="CWV13"/>
      <c r="CWW13"/>
      <c r="CWX13"/>
      <c r="CWY13"/>
      <c r="CWZ13"/>
      <c r="CXA13"/>
      <c r="CXB13"/>
      <c r="CXC13"/>
      <c r="CXD13"/>
      <c r="CXE13"/>
      <c r="CXF13"/>
      <c r="CXG13"/>
      <c r="CXH13"/>
      <c r="CXI13"/>
      <c r="CXJ13"/>
      <c r="CXK13"/>
      <c r="CXL13"/>
      <c r="CXM13"/>
      <c r="CXN13"/>
      <c r="CXO13"/>
      <c r="CXP13"/>
      <c r="CXQ13"/>
      <c r="CXR13"/>
      <c r="CXS13"/>
      <c r="CXT13"/>
      <c r="CXU13"/>
      <c r="CXV13"/>
      <c r="CXW13"/>
      <c r="CXX13"/>
      <c r="CXY13"/>
      <c r="CXZ13"/>
      <c r="CYA13"/>
      <c r="CYB13"/>
      <c r="CYC13"/>
      <c r="CYD13"/>
      <c r="CYE13"/>
      <c r="CYF13"/>
      <c r="CYG13"/>
      <c r="CYH13"/>
      <c r="CYI13"/>
      <c r="CYJ13"/>
      <c r="CYK13"/>
      <c r="CYL13"/>
      <c r="CYM13"/>
      <c r="CYN13"/>
      <c r="CYO13"/>
      <c r="CYP13"/>
      <c r="CYQ13"/>
      <c r="CYR13"/>
      <c r="CYS13"/>
      <c r="CYT13"/>
      <c r="CYU13"/>
      <c r="CYV13"/>
      <c r="CYW13"/>
      <c r="CYX13"/>
      <c r="CYY13"/>
      <c r="CYZ13"/>
      <c r="CZA13"/>
      <c r="CZB13"/>
      <c r="CZC13"/>
      <c r="CZD13"/>
      <c r="CZE13"/>
      <c r="CZF13"/>
      <c r="CZG13"/>
      <c r="CZH13"/>
      <c r="CZI13"/>
      <c r="CZJ13"/>
      <c r="CZK13"/>
      <c r="CZL13"/>
      <c r="CZM13"/>
      <c r="CZN13"/>
      <c r="CZO13"/>
      <c r="CZP13"/>
      <c r="CZQ13"/>
      <c r="CZR13"/>
      <c r="CZS13"/>
      <c r="CZT13"/>
      <c r="CZU13"/>
      <c r="CZV13"/>
      <c r="CZW13"/>
      <c r="CZX13"/>
      <c r="CZY13"/>
      <c r="CZZ13"/>
      <c r="DAA13"/>
      <c r="DAB13"/>
      <c r="DAC13"/>
      <c r="DAD13"/>
      <c r="DAE13"/>
      <c r="DAF13"/>
      <c r="DAG13"/>
      <c r="DAH13"/>
      <c r="DAI13"/>
      <c r="DAJ13"/>
      <c r="DAK13"/>
      <c r="DAL13"/>
      <c r="DAM13"/>
      <c r="DAN13"/>
      <c r="DAO13"/>
      <c r="DAP13"/>
      <c r="DAQ13"/>
      <c r="DAR13"/>
      <c r="DAS13"/>
      <c r="DAT13"/>
      <c r="DAU13"/>
      <c r="DAV13"/>
      <c r="DAW13"/>
      <c r="DAX13"/>
      <c r="DAY13"/>
      <c r="DAZ13"/>
      <c r="DBA13"/>
      <c r="DBB13"/>
      <c r="DBC13"/>
      <c r="DBD13"/>
      <c r="DBE13"/>
      <c r="DBF13"/>
      <c r="DBG13"/>
      <c r="DBH13"/>
      <c r="DBI13"/>
      <c r="DBJ13"/>
      <c r="DBK13"/>
      <c r="DBL13"/>
      <c r="DBM13"/>
      <c r="DBN13"/>
      <c r="DBO13"/>
      <c r="DBP13"/>
      <c r="DBQ13"/>
      <c r="DBR13"/>
      <c r="DBS13"/>
      <c r="DBT13"/>
      <c r="DBU13"/>
      <c r="DBV13"/>
      <c r="DBW13"/>
      <c r="DBX13"/>
      <c r="DBY13"/>
      <c r="DBZ13"/>
      <c r="DCA13"/>
      <c r="DCB13"/>
      <c r="DCC13"/>
      <c r="DCD13"/>
      <c r="DCE13"/>
      <c r="DCF13"/>
      <c r="DCG13"/>
      <c r="DCH13"/>
      <c r="DCI13"/>
      <c r="DCJ13"/>
      <c r="DCK13"/>
      <c r="DCL13"/>
      <c r="DCM13"/>
      <c r="DCN13"/>
      <c r="DCO13"/>
      <c r="DCP13"/>
      <c r="DCQ13"/>
      <c r="DCR13"/>
      <c r="DCS13"/>
      <c r="DCT13"/>
      <c r="DCU13"/>
      <c r="DCV13"/>
      <c r="DCW13"/>
      <c r="DCX13"/>
      <c r="DCY13"/>
      <c r="DCZ13"/>
      <c r="DDA13"/>
      <c r="DDB13"/>
      <c r="DDC13"/>
      <c r="DDD13"/>
      <c r="DDE13"/>
      <c r="DDF13"/>
      <c r="DDG13"/>
      <c r="DDH13"/>
      <c r="DDI13"/>
      <c r="DDJ13"/>
      <c r="DDK13"/>
      <c r="DDL13"/>
      <c r="DDM13"/>
      <c r="DDN13"/>
      <c r="DDO13"/>
      <c r="DDP13"/>
      <c r="DDQ13"/>
      <c r="DDR13"/>
      <c r="DDS13"/>
      <c r="DDT13"/>
      <c r="DDU13"/>
      <c r="DDV13"/>
      <c r="DDW13"/>
      <c r="DDX13"/>
      <c r="DDY13"/>
      <c r="DDZ13"/>
      <c r="DEA13"/>
      <c r="DEB13"/>
      <c r="DEC13"/>
      <c r="DED13"/>
      <c r="DEE13"/>
      <c r="DEF13"/>
      <c r="DEG13"/>
      <c r="DEH13"/>
      <c r="DEI13"/>
      <c r="DEJ13"/>
      <c r="DEK13"/>
      <c r="DEL13"/>
      <c r="DEM13"/>
      <c r="DEN13"/>
      <c r="DEO13"/>
      <c r="DEP13"/>
      <c r="DEQ13"/>
      <c r="DER13"/>
      <c r="DES13"/>
      <c r="DET13"/>
      <c r="DEU13"/>
      <c r="DEV13"/>
      <c r="DEW13"/>
      <c r="DEX13"/>
      <c r="DEY13"/>
      <c r="DEZ13"/>
      <c r="DFA13"/>
      <c r="DFB13"/>
      <c r="DFC13"/>
      <c r="DFD13"/>
      <c r="DFE13"/>
      <c r="DFF13"/>
      <c r="DFG13"/>
      <c r="DFH13"/>
      <c r="DFI13"/>
      <c r="DFJ13"/>
      <c r="DFK13"/>
      <c r="DFL13"/>
      <c r="DFM13"/>
      <c r="DFN13"/>
      <c r="DFO13"/>
      <c r="DFP13"/>
      <c r="DFQ13"/>
      <c r="DFR13"/>
      <c r="DFS13"/>
      <c r="DFT13"/>
      <c r="DFU13"/>
      <c r="DFV13"/>
      <c r="DFW13"/>
      <c r="DFX13"/>
      <c r="DFY13"/>
      <c r="DFZ13"/>
      <c r="DGA13"/>
      <c r="DGB13"/>
      <c r="DGC13"/>
      <c r="DGD13"/>
      <c r="DGE13"/>
      <c r="DGF13"/>
      <c r="DGG13"/>
      <c r="DGH13"/>
      <c r="DGI13"/>
      <c r="DGJ13"/>
      <c r="DGK13"/>
      <c r="DGL13"/>
      <c r="DGM13"/>
      <c r="DGN13"/>
      <c r="DGO13"/>
      <c r="DGP13"/>
      <c r="DGQ13"/>
      <c r="DGR13"/>
      <c r="DGS13"/>
      <c r="DGT13"/>
      <c r="DGU13"/>
      <c r="DGV13"/>
      <c r="DGW13"/>
      <c r="DGX13"/>
      <c r="DGY13"/>
      <c r="DGZ13"/>
      <c r="DHA13"/>
      <c r="DHB13"/>
      <c r="DHC13"/>
      <c r="DHD13"/>
      <c r="DHE13"/>
      <c r="DHF13"/>
      <c r="DHG13"/>
      <c r="DHH13"/>
      <c r="DHI13"/>
      <c r="DHJ13"/>
      <c r="DHK13"/>
      <c r="DHL13"/>
      <c r="DHM13"/>
      <c r="DHN13"/>
      <c r="DHO13"/>
      <c r="DHP13"/>
      <c r="DHQ13"/>
      <c r="DHR13"/>
      <c r="DHS13"/>
      <c r="DHT13"/>
      <c r="DHU13"/>
      <c r="DHV13"/>
      <c r="DHW13"/>
      <c r="DHX13"/>
      <c r="DHY13"/>
      <c r="DHZ13"/>
      <c r="DIA13"/>
      <c r="DIB13"/>
      <c r="DIC13"/>
      <c r="DID13"/>
      <c r="DIE13"/>
      <c r="DIF13"/>
      <c r="DIG13"/>
      <c r="DIH13"/>
      <c r="DII13"/>
      <c r="DIJ13"/>
      <c r="DIK13"/>
      <c r="DIL13"/>
      <c r="DIM13"/>
      <c r="DIN13"/>
      <c r="DIO13"/>
      <c r="DIP13"/>
      <c r="DIQ13"/>
      <c r="DIR13"/>
      <c r="DIS13"/>
      <c r="DIT13"/>
      <c r="DIU13"/>
      <c r="DIV13"/>
      <c r="DIW13"/>
      <c r="DIX13"/>
      <c r="DIY13"/>
      <c r="DIZ13"/>
      <c r="DJA13"/>
      <c r="DJB13"/>
      <c r="DJC13"/>
      <c r="DJD13"/>
      <c r="DJE13"/>
      <c r="DJF13"/>
      <c r="DJG13"/>
      <c r="DJH13"/>
      <c r="DJI13"/>
      <c r="DJJ13"/>
      <c r="DJK13"/>
      <c r="DJL13"/>
      <c r="DJM13"/>
      <c r="DJN13"/>
      <c r="DJO13"/>
      <c r="DJP13"/>
      <c r="DJQ13"/>
      <c r="DJR13"/>
      <c r="DJS13"/>
      <c r="DJT13"/>
      <c r="DJU13"/>
      <c r="DJV13"/>
      <c r="DJW13"/>
      <c r="DJX13"/>
      <c r="DJY13"/>
      <c r="DJZ13"/>
      <c r="DKA13"/>
      <c r="DKB13"/>
      <c r="DKC13"/>
      <c r="DKD13"/>
      <c r="DKE13"/>
      <c r="DKF13"/>
      <c r="DKG13"/>
      <c r="DKH13"/>
      <c r="DKI13"/>
      <c r="DKJ13"/>
      <c r="DKK13"/>
      <c r="DKL13"/>
      <c r="DKM13"/>
      <c r="DKN13"/>
      <c r="DKO13"/>
      <c r="DKP13"/>
      <c r="DKQ13"/>
      <c r="DKR13"/>
      <c r="DKS13"/>
      <c r="DKT13"/>
      <c r="DKU13"/>
      <c r="DKV13"/>
      <c r="DKW13"/>
      <c r="DKX13"/>
      <c r="DKY13"/>
      <c r="DKZ13"/>
      <c r="DLA13"/>
      <c r="DLB13"/>
      <c r="DLC13"/>
      <c r="DLD13"/>
      <c r="DLE13"/>
      <c r="DLF13"/>
      <c r="DLG13"/>
      <c r="DLH13"/>
      <c r="DLI13"/>
      <c r="DLJ13"/>
      <c r="DLK13"/>
      <c r="DLL13"/>
      <c r="DLM13"/>
      <c r="DLN13"/>
      <c r="DLO13"/>
      <c r="DLP13"/>
      <c r="DLQ13"/>
      <c r="DLR13"/>
      <c r="DLS13"/>
      <c r="DLT13"/>
      <c r="DLU13"/>
      <c r="DLV13"/>
      <c r="DLW13"/>
      <c r="DLX13"/>
      <c r="DLY13"/>
      <c r="DLZ13"/>
      <c r="DMA13"/>
      <c r="DMB13"/>
      <c r="DMC13"/>
      <c r="DMD13"/>
      <c r="DME13"/>
      <c r="DMF13"/>
      <c r="DMG13"/>
      <c r="DMH13"/>
      <c r="DMI13"/>
      <c r="DMJ13"/>
      <c r="DMK13"/>
      <c r="DML13"/>
      <c r="DMM13"/>
      <c r="DMN13"/>
      <c r="DMO13"/>
      <c r="DMP13"/>
      <c r="DMQ13"/>
      <c r="DMR13"/>
      <c r="DMS13"/>
      <c r="DMT13"/>
      <c r="DMU13"/>
      <c r="DMV13"/>
      <c r="DMW13"/>
      <c r="DMX13"/>
      <c r="DMY13"/>
      <c r="DMZ13"/>
      <c r="DNA13"/>
      <c r="DNB13"/>
      <c r="DNC13"/>
      <c r="DND13"/>
      <c r="DNE13"/>
      <c r="DNF13"/>
      <c r="DNG13"/>
      <c r="DNH13"/>
      <c r="DNI13"/>
      <c r="DNJ13"/>
      <c r="DNK13"/>
      <c r="DNL13"/>
      <c r="DNM13"/>
      <c r="DNN13"/>
      <c r="DNO13"/>
      <c r="DNP13"/>
      <c r="DNQ13"/>
      <c r="DNR13"/>
      <c r="DNS13"/>
      <c r="DNT13"/>
      <c r="DNU13"/>
      <c r="DNV13"/>
      <c r="DNW13"/>
      <c r="DNX13"/>
      <c r="DNY13"/>
      <c r="DNZ13"/>
      <c r="DOA13"/>
      <c r="DOB13"/>
      <c r="DOC13"/>
      <c r="DOD13"/>
      <c r="DOE13"/>
      <c r="DOF13"/>
      <c r="DOG13"/>
      <c r="DOH13"/>
      <c r="DOI13"/>
      <c r="DOJ13"/>
      <c r="DOK13"/>
      <c r="DOL13"/>
      <c r="DOM13"/>
      <c r="DON13"/>
      <c r="DOO13"/>
      <c r="DOP13"/>
      <c r="DOQ13"/>
      <c r="DOR13"/>
      <c r="DOS13"/>
      <c r="DOT13"/>
      <c r="DOU13"/>
      <c r="DOV13"/>
      <c r="DOW13"/>
      <c r="DOX13"/>
      <c r="DOY13"/>
      <c r="DOZ13"/>
      <c r="DPA13"/>
      <c r="DPB13"/>
      <c r="DPC13"/>
      <c r="DPD13"/>
      <c r="DPE13"/>
      <c r="DPF13"/>
      <c r="DPG13"/>
      <c r="DPH13"/>
      <c r="DPI13"/>
      <c r="DPJ13"/>
      <c r="DPK13"/>
      <c r="DPL13"/>
      <c r="DPM13"/>
      <c r="DPN13"/>
      <c r="DPO13"/>
      <c r="DPP13"/>
      <c r="DPQ13"/>
      <c r="DPR13"/>
      <c r="DPS13"/>
      <c r="DPT13"/>
      <c r="DPU13"/>
      <c r="DPV13"/>
      <c r="DPW13"/>
      <c r="DPX13"/>
      <c r="DPY13"/>
      <c r="DPZ13"/>
      <c r="DQA13"/>
      <c r="DQB13"/>
      <c r="DQC13"/>
      <c r="DQD13"/>
      <c r="DQE13"/>
      <c r="DQF13"/>
      <c r="DQG13"/>
      <c r="DQH13"/>
      <c r="DQI13"/>
      <c r="DQJ13"/>
      <c r="DQK13"/>
      <c r="DQL13"/>
      <c r="DQM13"/>
      <c r="DQN13"/>
      <c r="DQO13"/>
      <c r="DQP13"/>
      <c r="DQQ13"/>
      <c r="DQR13"/>
      <c r="DQS13"/>
      <c r="DQT13"/>
      <c r="DQU13"/>
      <c r="DQV13"/>
      <c r="DQW13"/>
      <c r="DQX13"/>
      <c r="DQY13"/>
      <c r="DQZ13"/>
      <c r="DRA13"/>
      <c r="DRB13"/>
      <c r="DRC13"/>
      <c r="DRD13"/>
      <c r="DRE13"/>
      <c r="DRF13"/>
      <c r="DRG13"/>
      <c r="DRH13"/>
      <c r="DRI13"/>
      <c r="DRJ13"/>
      <c r="DRK13"/>
      <c r="DRL13"/>
      <c r="DRM13"/>
      <c r="DRN13"/>
      <c r="DRO13"/>
      <c r="DRP13"/>
      <c r="DRQ13"/>
      <c r="DRR13"/>
      <c r="DRS13"/>
      <c r="DRT13"/>
      <c r="DRU13"/>
      <c r="DRV13"/>
      <c r="DRW13"/>
      <c r="DRX13"/>
      <c r="DRY13"/>
      <c r="DRZ13"/>
      <c r="DSA13"/>
      <c r="DSB13"/>
      <c r="DSC13"/>
      <c r="DSD13"/>
      <c r="DSE13"/>
      <c r="DSF13"/>
      <c r="DSG13"/>
      <c r="DSH13"/>
      <c r="DSI13"/>
      <c r="DSJ13"/>
      <c r="DSK13"/>
      <c r="DSL13"/>
      <c r="DSM13"/>
      <c r="DSN13"/>
      <c r="DSO13"/>
      <c r="DSP13"/>
      <c r="DSQ13"/>
      <c r="DSR13"/>
      <c r="DSS13"/>
      <c r="DST13"/>
      <c r="DSU13"/>
      <c r="DSV13"/>
      <c r="DSW13"/>
      <c r="DSX13"/>
      <c r="DSY13"/>
      <c r="DSZ13"/>
      <c r="DTA13"/>
      <c r="DTB13"/>
      <c r="DTC13"/>
      <c r="DTD13"/>
      <c r="DTE13"/>
      <c r="DTF13"/>
      <c r="DTG13"/>
      <c r="DTH13"/>
      <c r="DTI13"/>
      <c r="DTJ13"/>
      <c r="DTK13"/>
      <c r="DTL13"/>
      <c r="DTM13"/>
      <c r="DTN13"/>
      <c r="DTO13"/>
      <c r="DTP13"/>
      <c r="DTQ13"/>
      <c r="DTR13"/>
      <c r="DTS13"/>
      <c r="DTT13"/>
      <c r="DTU13"/>
      <c r="DTV13"/>
      <c r="DTW13"/>
      <c r="DTX13"/>
      <c r="DTY13"/>
      <c r="DTZ13"/>
      <c r="DUA13"/>
      <c r="DUB13"/>
      <c r="DUC13"/>
      <c r="DUD13"/>
      <c r="DUE13"/>
      <c r="DUF13"/>
      <c r="DUG13"/>
      <c r="DUH13"/>
      <c r="DUI13"/>
      <c r="DUJ13"/>
      <c r="DUK13"/>
      <c r="DUL13"/>
      <c r="DUM13"/>
      <c r="DUN13"/>
      <c r="DUO13"/>
      <c r="DUP13"/>
      <c r="DUQ13"/>
      <c r="DUR13"/>
      <c r="DUS13"/>
      <c r="DUT13"/>
      <c r="DUU13"/>
      <c r="DUV13"/>
      <c r="DUW13"/>
      <c r="DUX13"/>
      <c r="DUY13"/>
      <c r="DUZ13"/>
      <c r="DVA13"/>
      <c r="DVB13"/>
      <c r="DVC13"/>
      <c r="DVD13"/>
      <c r="DVE13"/>
      <c r="DVF13"/>
      <c r="DVG13"/>
      <c r="DVH13"/>
      <c r="DVI13"/>
      <c r="DVJ13"/>
      <c r="DVK13"/>
      <c r="DVL13"/>
      <c r="DVM13"/>
      <c r="DVN13"/>
      <c r="DVO13"/>
      <c r="DVP13"/>
      <c r="DVQ13"/>
      <c r="DVR13"/>
      <c r="DVS13"/>
      <c r="DVT13"/>
      <c r="DVU13"/>
      <c r="DVV13"/>
      <c r="DVW13"/>
      <c r="DVX13"/>
      <c r="DVY13"/>
      <c r="DVZ13"/>
      <c r="DWA13"/>
      <c r="DWB13"/>
      <c r="DWC13"/>
      <c r="DWD13"/>
      <c r="DWE13"/>
      <c r="DWF13"/>
      <c r="DWG13"/>
      <c r="DWH13"/>
      <c r="DWI13"/>
      <c r="DWJ13"/>
      <c r="DWK13"/>
      <c r="DWL13"/>
      <c r="DWM13"/>
      <c r="DWN13"/>
      <c r="DWO13"/>
      <c r="DWP13"/>
      <c r="DWQ13"/>
      <c r="DWR13"/>
      <c r="DWS13"/>
      <c r="DWT13"/>
      <c r="DWU13"/>
      <c r="DWV13"/>
      <c r="DWW13"/>
      <c r="DWX13"/>
      <c r="DWY13"/>
      <c r="DWZ13"/>
      <c r="DXA13"/>
      <c r="DXB13"/>
      <c r="DXC13"/>
      <c r="DXD13"/>
      <c r="DXE13"/>
      <c r="DXF13"/>
      <c r="DXG13"/>
      <c r="DXH13"/>
      <c r="DXI13"/>
      <c r="DXJ13"/>
      <c r="DXK13"/>
      <c r="DXL13"/>
      <c r="DXM13"/>
      <c r="DXN13"/>
      <c r="DXO13"/>
      <c r="DXP13"/>
      <c r="DXQ13"/>
      <c r="DXR13"/>
      <c r="DXS13"/>
      <c r="DXT13"/>
      <c r="DXU13"/>
      <c r="DXV13"/>
      <c r="DXW13"/>
      <c r="DXX13"/>
      <c r="DXY13"/>
      <c r="DXZ13"/>
      <c r="DYA13"/>
      <c r="DYB13"/>
      <c r="DYC13"/>
      <c r="DYD13"/>
      <c r="DYE13"/>
      <c r="DYF13"/>
      <c r="DYG13"/>
      <c r="DYH13"/>
      <c r="DYI13"/>
      <c r="DYJ13"/>
      <c r="DYK13"/>
      <c r="DYL13"/>
      <c r="DYM13"/>
      <c r="DYN13"/>
      <c r="DYO13"/>
      <c r="DYP13"/>
      <c r="DYQ13"/>
      <c r="DYR13"/>
      <c r="DYS13"/>
      <c r="DYT13"/>
      <c r="DYU13"/>
      <c r="DYV13"/>
      <c r="DYW13"/>
      <c r="DYX13"/>
      <c r="DYY13"/>
      <c r="DYZ13"/>
      <c r="DZA13"/>
      <c r="DZB13"/>
      <c r="DZC13"/>
      <c r="DZD13"/>
      <c r="DZE13"/>
      <c r="DZF13"/>
      <c r="DZG13"/>
      <c r="DZH13"/>
      <c r="DZI13"/>
      <c r="DZJ13"/>
      <c r="DZK13"/>
      <c r="DZL13"/>
      <c r="DZM13"/>
      <c r="DZN13"/>
      <c r="DZO13"/>
      <c r="DZP13"/>
      <c r="DZQ13"/>
      <c r="DZR13"/>
      <c r="DZS13"/>
      <c r="DZT13"/>
      <c r="DZU13"/>
      <c r="DZV13"/>
      <c r="DZW13"/>
      <c r="DZX13"/>
      <c r="DZY13"/>
      <c r="DZZ13"/>
      <c r="EAA13"/>
      <c r="EAB13"/>
      <c r="EAC13"/>
      <c r="EAD13"/>
      <c r="EAE13"/>
      <c r="EAF13"/>
      <c r="EAG13"/>
      <c r="EAH13"/>
      <c r="EAI13"/>
      <c r="EAJ13"/>
      <c r="EAK13"/>
      <c r="EAL13"/>
      <c r="EAM13"/>
      <c r="EAN13"/>
      <c r="EAO13"/>
      <c r="EAP13"/>
      <c r="EAQ13"/>
      <c r="EAR13"/>
      <c r="EAS13"/>
      <c r="EAT13"/>
      <c r="EAU13"/>
      <c r="EAV13"/>
      <c r="EAW13"/>
      <c r="EAX13"/>
      <c r="EAY13"/>
      <c r="EAZ13"/>
      <c r="EBA13"/>
      <c r="EBB13"/>
      <c r="EBC13"/>
      <c r="EBD13"/>
      <c r="EBE13"/>
      <c r="EBF13"/>
      <c r="EBG13"/>
      <c r="EBH13"/>
      <c r="EBI13"/>
      <c r="EBJ13"/>
      <c r="EBK13"/>
      <c r="EBL13"/>
      <c r="EBM13"/>
      <c r="EBN13"/>
      <c r="EBO13"/>
      <c r="EBP13"/>
      <c r="EBQ13"/>
      <c r="EBR13"/>
      <c r="EBS13"/>
      <c r="EBT13"/>
      <c r="EBU13"/>
      <c r="EBV13"/>
      <c r="EBW13"/>
      <c r="EBX13"/>
      <c r="EBY13"/>
      <c r="EBZ13"/>
      <c r="ECA13"/>
      <c r="ECB13"/>
      <c r="ECC13"/>
      <c r="ECD13"/>
      <c r="ECE13"/>
      <c r="ECF13"/>
      <c r="ECG13"/>
      <c r="ECH13"/>
      <c r="ECI13"/>
      <c r="ECJ13"/>
      <c r="ECK13"/>
      <c r="ECL13"/>
      <c r="ECM13"/>
      <c r="ECN13"/>
      <c r="ECO13"/>
      <c r="ECP13"/>
      <c r="ECQ13"/>
      <c r="ECR13"/>
      <c r="ECS13"/>
      <c r="ECT13"/>
      <c r="ECU13"/>
      <c r="ECV13"/>
      <c r="ECW13"/>
      <c r="ECX13"/>
      <c r="ECY13"/>
      <c r="ECZ13"/>
      <c r="EDA13"/>
      <c r="EDB13"/>
      <c r="EDC13"/>
      <c r="EDD13"/>
      <c r="EDE13"/>
      <c r="EDF13"/>
      <c r="EDG13"/>
      <c r="EDH13"/>
      <c r="EDI13"/>
      <c r="EDJ13"/>
      <c r="EDK13"/>
      <c r="EDL13"/>
      <c r="EDM13"/>
      <c r="EDN13"/>
      <c r="EDO13"/>
      <c r="EDP13"/>
      <c r="EDQ13"/>
      <c r="EDR13"/>
      <c r="EDS13"/>
      <c r="EDT13"/>
      <c r="EDU13"/>
      <c r="EDV13"/>
      <c r="EDW13"/>
      <c r="EDX13"/>
      <c r="EDY13"/>
      <c r="EDZ13"/>
      <c r="EEA13"/>
      <c r="EEB13"/>
      <c r="EEC13"/>
      <c r="EED13"/>
      <c r="EEE13"/>
      <c r="EEF13"/>
      <c r="EEG13"/>
      <c r="EEH13"/>
      <c r="EEI13"/>
      <c r="EEJ13"/>
      <c r="EEK13"/>
      <c r="EEL13"/>
      <c r="EEM13"/>
      <c r="EEN13"/>
      <c r="EEO13"/>
      <c r="EEP13"/>
      <c r="EEQ13"/>
      <c r="EER13"/>
      <c r="EES13"/>
      <c r="EET13"/>
      <c r="EEU13"/>
      <c r="EEV13"/>
      <c r="EEW13"/>
      <c r="EEX13"/>
      <c r="EEY13"/>
      <c r="EEZ13"/>
      <c r="EFA13"/>
      <c r="EFB13"/>
      <c r="EFC13"/>
      <c r="EFD13"/>
      <c r="EFE13"/>
      <c r="EFF13"/>
      <c r="EFG13"/>
      <c r="EFH13"/>
      <c r="EFI13"/>
      <c r="EFJ13"/>
      <c r="EFK13"/>
      <c r="EFL13"/>
      <c r="EFM13"/>
      <c r="EFN13"/>
      <c r="EFO13"/>
      <c r="EFP13"/>
      <c r="EFQ13"/>
      <c r="EFR13"/>
      <c r="EFS13"/>
      <c r="EFT13"/>
      <c r="EFU13"/>
      <c r="EFV13"/>
      <c r="EFW13"/>
      <c r="EFX13"/>
      <c r="EFY13"/>
      <c r="EFZ13"/>
      <c r="EGA13"/>
      <c r="EGB13"/>
      <c r="EGC13"/>
      <c r="EGD13"/>
      <c r="EGE13"/>
      <c r="EGF13"/>
      <c r="EGG13"/>
      <c r="EGH13"/>
      <c r="EGI13"/>
      <c r="EGJ13"/>
      <c r="EGK13"/>
      <c r="EGL13"/>
      <c r="EGM13"/>
      <c r="EGN13"/>
      <c r="EGO13"/>
      <c r="EGP13"/>
      <c r="EGQ13"/>
      <c r="EGR13"/>
      <c r="EGS13"/>
      <c r="EGT13"/>
      <c r="EGU13"/>
      <c r="EGV13"/>
      <c r="EGW13"/>
      <c r="EGX13"/>
      <c r="EGY13"/>
      <c r="EGZ13"/>
      <c r="EHA13"/>
      <c r="EHB13"/>
      <c r="EHC13"/>
      <c r="EHD13"/>
      <c r="EHE13"/>
      <c r="EHF13"/>
      <c r="EHG13"/>
      <c r="EHH13"/>
      <c r="EHI13"/>
      <c r="EHJ13"/>
      <c r="EHK13"/>
      <c r="EHL13"/>
      <c r="EHM13"/>
      <c r="EHN13"/>
      <c r="EHO13"/>
      <c r="EHP13"/>
      <c r="EHQ13"/>
      <c r="EHR13"/>
      <c r="EHS13"/>
      <c r="EHT13"/>
      <c r="EHU13"/>
      <c r="EHV13"/>
      <c r="EHW13"/>
      <c r="EHX13"/>
      <c r="EHY13"/>
      <c r="EHZ13"/>
      <c r="EIA13"/>
      <c r="EIB13"/>
      <c r="EIC13"/>
      <c r="EID13"/>
      <c r="EIE13"/>
      <c r="EIF13"/>
      <c r="EIG13"/>
      <c r="EIH13"/>
      <c r="EII13"/>
      <c r="EIJ13"/>
      <c r="EIK13"/>
      <c r="EIL13"/>
      <c r="EIM13"/>
      <c r="EIN13"/>
      <c r="EIO13"/>
      <c r="EIP13"/>
      <c r="EIQ13"/>
      <c r="EIR13"/>
      <c r="EIS13"/>
      <c r="EIT13"/>
      <c r="EIU13"/>
      <c r="EIV13"/>
      <c r="EIW13"/>
      <c r="EIX13"/>
      <c r="EIY13"/>
      <c r="EIZ13"/>
      <c r="EJA13"/>
      <c r="EJB13"/>
      <c r="EJC13"/>
      <c r="EJD13"/>
      <c r="EJE13"/>
      <c r="EJF13"/>
      <c r="EJG13"/>
      <c r="EJH13"/>
      <c r="EJI13"/>
      <c r="EJJ13"/>
      <c r="EJK13"/>
      <c r="EJL13"/>
      <c r="EJM13"/>
      <c r="EJN13"/>
      <c r="EJO13"/>
      <c r="EJP13"/>
      <c r="EJQ13"/>
      <c r="EJR13"/>
      <c r="EJS13"/>
      <c r="EJT13"/>
      <c r="EJU13"/>
      <c r="EJV13"/>
      <c r="EJW13"/>
      <c r="EJX13"/>
      <c r="EJY13"/>
      <c r="EJZ13"/>
      <c r="EKA13"/>
      <c r="EKB13"/>
      <c r="EKC13"/>
      <c r="EKD13"/>
      <c r="EKE13"/>
      <c r="EKF13"/>
      <c r="EKG13"/>
      <c r="EKH13"/>
      <c r="EKI13"/>
      <c r="EKJ13"/>
      <c r="EKK13"/>
      <c r="EKL13"/>
      <c r="EKM13"/>
      <c r="EKN13"/>
      <c r="EKO13"/>
      <c r="EKP13"/>
      <c r="EKQ13"/>
      <c r="EKR13"/>
      <c r="EKS13"/>
      <c r="EKT13"/>
      <c r="EKU13"/>
      <c r="EKV13"/>
      <c r="EKW13"/>
      <c r="EKX13"/>
      <c r="EKY13"/>
      <c r="EKZ13"/>
      <c r="ELA13"/>
      <c r="ELB13"/>
      <c r="ELC13"/>
      <c r="ELD13"/>
      <c r="ELE13"/>
      <c r="ELF13"/>
      <c r="ELG13"/>
      <c r="ELH13"/>
      <c r="ELI13"/>
      <c r="ELJ13"/>
      <c r="ELK13"/>
      <c r="ELL13"/>
      <c r="ELM13"/>
      <c r="ELN13"/>
      <c r="ELO13"/>
      <c r="ELP13"/>
      <c r="ELQ13"/>
      <c r="ELR13"/>
      <c r="ELS13"/>
      <c r="ELT13"/>
      <c r="ELU13"/>
      <c r="ELV13"/>
      <c r="ELW13"/>
      <c r="ELX13"/>
      <c r="ELY13"/>
      <c r="ELZ13"/>
      <c r="EMA13"/>
      <c r="EMB13"/>
      <c r="EMC13"/>
      <c r="EMD13"/>
      <c r="EME13"/>
      <c r="EMF13"/>
      <c r="EMG13"/>
      <c r="EMH13"/>
      <c r="EMI13"/>
      <c r="EMJ13"/>
      <c r="EMK13"/>
      <c r="EML13"/>
      <c r="EMM13"/>
      <c r="EMN13"/>
      <c r="EMO13"/>
      <c r="EMP13"/>
      <c r="EMQ13"/>
      <c r="EMR13"/>
      <c r="EMS13"/>
      <c r="EMT13"/>
      <c r="EMU13"/>
      <c r="EMV13"/>
      <c r="EMW13"/>
      <c r="EMX13"/>
      <c r="EMY13"/>
      <c r="EMZ13"/>
      <c r="ENA13"/>
      <c r="ENB13"/>
      <c r="ENC13"/>
      <c r="END13"/>
      <c r="ENE13"/>
      <c r="ENF13"/>
      <c r="ENG13"/>
      <c r="ENH13"/>
      <c r="ENI13"/>
      <c r="ENJ13"/>
      <c r="ENK13"/>
      <c r="ENL13"/>
      <c r="ENM13"/>
      <c r="ENN13"/>
      <c r="ENO13"/>
      <c r="ENP13"/>
      <c r="ENQ13"/>
      <c r="ENR13"/>
      <c r="ENS13"/>
      <c r="ENT13"/>
      <c r="ENU13"/>
      <c r="ENV13"/>
      <c r="ENW13"/>
      <c r="ENX13"/>
      <c r="ENY13"/>
      <c r="ENZ13"/>
      <c r="EOA13"/>
      <c r="EOB13"/>
      <c r="EOC13"/>
      <c r="EOD13"/>
      <c r="EOE13"/>
      <c r="EOF13"/>
      <c r="EOG13"/>
      <c r="EOH13"/>
      <c r="EOI13"/>
      <c r="EOJ13"/>
      <c r="EOK13"/>
      <c r="EOL13"/>
      <c r="EOM13"/>
      <c r="EON13"/>
      <c r="EOO13"/>
      <c r="EOP13"/>
      <c r="EOQ13"/>
      <c r="EOR13"/>
      <c r="EOS13"/>
      <c r="EOT13"/>
      <c r="EOU13"/>
      <c r="EOV13"/>
      <c r="EOW13"/>
      <c r="EOX13"/>
      <c r="EOY13"/>
      <c r="EOZ13"/>
      <c r="EPA13"/>
      <c r="EPB13"/>
      <c r="EPC13"/>
      <c r="EPD13"/>
      <c r="EPE13"/>
      <c r="EPF13"/>
      <c r="EPG13"/>
      <c r="EPH13"/>
      <c r="EPI13"/>
      <c r="EPJ13"/>
      <c r="EPK13"/>
      <c r="EPL13"/>
      <c r="EPM13"/>
      <c r="EPN13"/>
      <c r="EPO13"/>
      <c r="EPP13"/>
      <c r="EPQ13"/>
      <c r="EPR13"/>
      <c r="EPS13"/>
      <c r="EPT13"/>
      <c r="EPU13"/>
      <c r="EPV13"/>
      <c r="EPW13"/>
      <c r="EPX13"/>
      <c r="EPY13"/>
      <c r="EPZ13"/>
      <c r="EQA13"/>
      <c r="EQB13"/>
      <c r="EQC13"/>
      <c r="EQD13"/>
      <c r="EQE13"/>
      <c r="EQF13"/>
      <c r="EQG13"/>
      <c r="EQH13"/>
      <c r="EQI13"/>
      <c r="EQJ13"/>
      <c r="EQK13"/>
      <c r="EQL13"/>
      <c r="EQM13"/>
      <c r="EQN13"/>
      <c r="EQO13"/>
      <c r="EQP13"/>
      <c r="EQQ13"/>
      <c r="EQR13"/>
      <c r="EQS13"/>
      <c r="EQT13"/>
      <c r="EQU13"/>
      <c r="EQV13"/>
      <c r="EQW13"/>
      <c r="EQX13"/>
      <c r="EQY13"/>
      <c r="EQZ13"/>
      <c r="ERA13"/>
      <c r="ERB13"/>
      <c r="ERC13"/>
      <c r="ERD13"/>
      <c r="ERE13"/>
      <c r="ERF13"/>
      <c r="ERG13"/>
      <c r="ERH13"/>
      <c r="ERI13"/>
      <c r="ERJ13"/>
      <c r="ERK13"/>
      <c r="ERL13"/>
      <c r="ERM13"/>
      <c r="ERN13"/>
      <c r="ERO13"/>
      <c r="ERP13"/>
      <c r="ERQ13"/>
      <c r="ERR13"/>
      <c r="ERS13"/>
      <c r="ERT13"/>
      <c r="ERU13"/>
      <c r="ERV13"/>
      <c r="ERW13"/>
      <c r="ERX13"/>
      <c r="ERY13"/>
      <c r="ERZ13"/>
      <c r="ESA13"/>
      <c r="ESB13"/>
      <c r="ESC13"/>
      <c r="ESD13"/>
      <c r="ESE13"/>
      <c r="ESF13"/>
      <c r="ESG13"/>
      <c r="ESH13"/>
      <c r="ESI13"/>
      <c r="ESJ13"/>
      <c r="ESK13"/>
      <c r="ESL13"/>
      <c r="ESM13"/>
      <c r="ESN13"/>
      <c r="ESO13"/>
      <c r="ESP13"/>
      <c r="ESQ13"/>
      <c r="ESR13"/>
      <c r="ESS13"/>
      <c r="EST13"/>
      <c r="ESU13"/>
      <c r="ESV13"/>
      <c r="ESW13"/>
      <c r="ESX13"/>
      <c r="ESY13"/>
      <c r="ESZ13"/>
      <c r="ETA13"/>
      <c r="ETB13"/>
      <c r="ETC13"/>
      <c r="ETD13"/>
      <c r="ETE13"/>
      <c r="ETF13"/>
      <c r="ETG13"/>
      <c r="ETH13"/>
      <c r="ETI13"/>
      <c r="ETJ13"/>
      <c r="ETK13"/>
      <c r="ETL13"/>
      <c r="ETM13"/>
      <c r="ETN13"/>
      <c r="ETO13"/>
      <c r="ETP13"/>
      <c r="ETQ13"/>
      <c r="ETR13"/>
      <c r="ETS13"/>
      <c r="ETT13"/>
      <c r="ETU13"/>
      <c r="ETV13"/>
      <c r="ETW13"/>
      <c r="ETX13"/>
      <c r="ETY13"/>
      <c r="ETZ13"/>
      <c r="EUA13"/>
      <c r="EUB13"/>
      <c r="EUC13"/>
      <c r="EUD13"/>
      <c r="EUE13"/>
      <c r="EUF13"/>
      <c r="EUG13"/>
      <c r="EUH13"/>
      <c r="EUI13"/>
      <c r="EUJ13"/>
      <c r="EUK13"/>
      <c r="EUL13"/>
      <c r="EUM13"/>
      <c r="EUN13"/>
      <c r="EUO13"/>
      <c r="EUP13"/>
      <c r="EUQ13"/>
      <c r="EUR13"/>
      <c r="EUS13"/>
      <c r="EUT13"/>
      <c r="EUU13"/>
      <c r="EUV13"/>
      <c r="EUW13"/>
      <c r="EUX13"/>
      <c r="EUY13"/>
      <c r="EUZ13"/>
      <c r="EVA13"/>
      <c r="EVB13"/>
      <c r="EVC13"/>
      <c r="EVD13"/>
      <c r="EVE13"/>
      <c r="EVF13"/>
      <c r="EVG13"/>
      <c r="EVH13"/>
      <c r="EVI13"/>
      <c r="EVJ13"/>
      <c r="EVK13"/>
      <c r="EVL13"/>
      <c r="EVM13"/>
      <c r="EVN13"/>
      <c r="EVO13"/>
      <c r="EVP13"/>
      <c r="EVQ13"/>
      <c r="EVR13"/>
      <c r="EVS13"/>
      <c r="EVT13"/>
      <c r="EVU13"/>
      <c r="EVV13"/>
      <c r="EVW13"/>
      <c r="EVX13"/>
      <c r="EVY13"/>
      <c r="EVZ13"/>
      <c r="EWA13"/>
      <c r="EWB13"/>
      <c r="EWC13"/>
      <c r="EWD13"/>
      <c r="EWE13"/>
      <c r="EWF13"/>
      <c r="EWG13"/>
      <c r="EWH13"/>
      <c r="EWI13"/>
      <c r="EWJ13"/>
      <c r="EWK13"/>
      <c r="EWL13"/>
      <c r="EWM13"/>
      <c r="EWN13"/>
      <c r="EWO13"/>
      <c r="EWP13"/>
      <c r="EWQ13"/>
      <c r="EWR13"/>
      <c r="EWS13"/>
      <c r="EWT13"/>
      <c r="EWU13"/>
      <c r="EWV13"/>
      <c r="EWW13"/>
      <c r="EWX13"/>
      <c r="EWY13"/>
      <c r="EWZ13"/>
      <c r="EXA13"/>
      <c r="EXB13"/>
      <c r="EXC13"/>
      <c r="EXD13"/>
      <c r="EXE13"/>
      <c r="EXF13"/>
      <c r="EXG13"/>
      <c r="EXH13"/>
      <c r="EXI13"/>
      <c r="EXJ13"/>
      <c r="EXK13"/>
      <c r="EXL13"/>
      <c r="EXM13"/>
      <c r="EXN13"/>
      <c r="EXO13"/>
      <c r="EXP13"/>
      <c r="EXQ13"/>
      <c r="EXR13"/>
      <c r="EXS13"/>
      <c r="EXT13"/>
      <c r="EXU13"/>
      <c r="EXV13"/>
      <c r="EXW13"/>
      <c r="EXX13"/>
      <c r="EXY13"/>
      <c r="EXZ13"/>
      <c r="EYA13"/>
      <c r="EYB13"/>
      <c r="EYC13"/>
      <c r="EYD13"/>
      <c r="EYE13"/>
      <c r="EYF13"/>
      <c r="EYG13"/>
      <c r="EYH13"/>
      <c r="EYI13"/>
      <c r="EYJ13"/>
      <c r="EYK13"/>
      <c r="EYL13"/>
      <c r="EYM13"/>
      <c r="EYN13"/>
      <c r="EYO13"/>
      <c r="EYP13"/>
      <c r="EYQ13"/>
      <c r="EYR13"/>
      <c r="EYS13"/>
      <c r="EYT13"/>
      <c r="EYU13"/>
      <c r="EYV13"/>
      <c r="EYW13"/>
      <c r="EYX13"/>
      <c r="EYY13"/>
      <c r="EYZ13"/>
      <c r="EZA13"/>
      <c r="EZB13"/>
      <c r="EZC13"/>
      <c r="EZD13"/>
      <c r="EZE13"/>
      <c r="EZF13"/>
      <c r="EZG13"/>
      <c r="EZH13"/>
      <c r="EZI13"/>
      <c r="EZJ13"/>
      <c r="EZK13"/>
      <c r="EZL13"/>
      <c r="EZM13"/>
      <c r="EZN13"/>
      <c r="EZO13"/>
      <c r="EZP13"/>
      <c r="EZQ13"/>
      <c r="EZR13"/>
      <c r="EZS13"/>
      <c r="EZT13"/>
      <c r="EZU13"/>
      <c r="EZV13"/>
      <c r="EZW13"/>
      <c r="EZX13"/>
      <c r="EZY13"/>
      <c r="EZZ13"/>
      <c r="FAA13"/>
      <c r="FAB13"/>
      <c r="FAC13"/>
      <c r="FAD13"/>
      <c r="FAE13"/>
      <c r="FAF13"/>
      <c r="FAG13"/>
      <c r="FAH13"/>
      <c r="FAI13"/>
      <c r="FAJ13"/>
      <c r="FAK13"/>
      <c r="FAL13"/>
      <c r="FAM13"/>
      <c r="FAN13"/>
      <c r="FAO13"/>
      <c r="FAP13"/>
      <c r="FAQ13"/>
      <c r="FAR13"/>
      <c r="FAS13"/>
      <c r="FAT13"/>
      <c r="FAU13"/>
      <c r="FAV13"/>
      <c r="FAW13"/>
      <c r="FAX13"/>
      <c r="FAY13"/>
      <c r="FAZ13"/>
      <c r="FBA13"/>
      <c r="FBB13"/>
      <c r="FBC13"/>
      <c r="FBD13"/>
      <c r="FBE13"/>
      <c r="FBF13"/>
      <c r="FBG13"/>
      <c r="FBH13"/>
      <c r="FBI13"/>
      <c r="FBJ13"/>
      <c r="FBK13"/>
      <c r="FBL13"/>
      <c r="FBM13"/>
      <c r="FBN13"/>
      <c r="FBO13"/>
      <c r="FBP13"/>
      <c r="FBQ13"/>
      <c r="FBR13"/>
      <c r="FBS13"/>
      <c r="FBT13"/>
      <c r="FBU13"/>
      <c r="FBV13"/>
      <c r="FBW13"/>
      <c r="FBX13"/>
      <c r="FBY13"/>
      <c r="FBZ13"/>
      <c r="FCA13"/>
      <c r="FCB13"/>
      <c r="FCC13"/>
      <c r="FCD13"/>
      <c r="FCE13"/>
      <c r="FCF13"/>
      <c r="FCG13"/>
      <c r="FCH13"/>
      <c r="FCI13"/>
      <c r="FCJ13"/>
      <c r="FCK13"/>
      <c r="FCL13"/>
      <c r="FCM13"/>
      <c r="FCN13"/>
      <c r="FCO13"/>
      <c r="FCP13"/>
      <c r="FCQ13"/>
      <c r="FCR13"/>
      <c r="FCS13"/>
      <c r="FCT13"/>
      <c r="FCU13"/>
      <c r="FCV13"/>
      <c r="FCW13"/>
      <c r="FCX13"/>
      <c r="FCY13"/>
      <c r="FCZ13"/>
      <c r="FDA13"/>
      <c r="FDB13"/>
      <c r="FDC13"/>
      <c r="FDD13"/>
      <c r="FDE13"/>
      <c r="FDF13"/>
      <c r="FDG13"/>
      <c r="FDH13"/>
      <c r="FDI13"/>
      <c r="FDJ13"/>
      <c r="FDK13"/>
      <c r="FDL13"/>
      <c r="FDM13"/>
      <c r="FDN13"/>
      <c r="FDO13"/>
      <c r="FDP13"/>
      <c r="FDQ13"/>
      <c r="FDR13"/>
      <c r="FDS13"/>
      <c r="FDT13"/>
      <c r="FDU13"/>
      <c r="FDV13"/>
      <c r="FDW13"/>
      <c r="FDX13"/>
      <c r="FDY13"/>
      <c r="FDZ13"/>
      <c r="FEA13"/>
      <c r="FEB13"/>
      <c r="FEC13"/>
      <c r="FED13"/>
      <c r="FEE13"/>
      <c r="FEF13"/>
      <c r="FEG13"/>
      <c r="FEH13"/>
      <c r="FEI13"/>
      <c r="FEJ13"/>
      <c r="FEK13"/>
      <c r="FEL13"/>
      <c r="FEM13"/>
      <c r="FEN13"/>
      <c r="FEO13"/>
      <c r="FEP13"/>
      <c r="FEQ13"/>
      <c r="FER13"/>
      <c r="FES13"/>
      <c r="FET13"/>
      <c r="FEU13"/>
      <c r="FEV13"/>
      <c r="FEW13"/>
      <c r="FEX13"/>
      <c r="FEY13"/>
      <c r="FEZ13"/>
      <c r="FFA13"/>
      <c r="FFB13"/>
      <c r="FFC13"/>
      <c r="FFD13"/>
      <c r="FFE13"/>
      <c r="FFF13"/>
      <c r="FFG13"/>
      <c r="FFH13"/>
      <c r="FFI13"/>
      <c r="FFJ13"/>
      <c r="FFK13"/>
      <c r="FFL13"/>
      <c r="FFM13"/>
      <c r="FFN13"/>
      <c r="FFO13"/>
      <c r="FFP13"/>
      <c r="FFQ13"/>
      <c r="FFR13"/>
      <c r="FFS13"/>
      <c r="FFT13"/>
      <c r="FFU13"/>
      <c r="FFV13"/>
      <c r="FFW13"/>
      <c r="FFX13"/>
      <c r="FFY13"/>
      <c r="FFZ13"/>
      <c r="FGA13"/>
      <c r="FGB13"/>
      <c r="FGC13"/>
      <c r="FGD13"/>
      <c r="FGE13"/>
      <c r="FGF13"/>
      <c r="FGG13"/>
      <c r="FGH13"/>
      <c r="FGI13"/>
      <c r="FGJ13"/>
      <c r="FGK13"/>
      <c r="FGL13"/>
      <c r="FGM13"/>
      <c r="FGN13"/>
      <c r="FGO13"/>
      <c r="FGP13"/>
      <c r="FGQ13"/>
      <c r="FGR13"/>
      <c r="FGS13"/>
      <c r="FGT13"/>
      <c r="FGU13"/>
      <c r="FGV13"/>
      <c r="FGW13"/>
      <c r="FGX13"/>
      <c r="FGY13"/>
      <c r="FGZ13"/>
      <c r="FHA13"/>
      <c r="FHB13"/>
      <c r="FHC13"/>
      <c r="FHD13"/>
      <c r="FHE13"/>
      <c r="FHF13"/>
      <c r="FHG13"/>
      <c r="FHH13"/>
      <c r="FHI13"/>
      <c r="FHJ13"/>
      <c r="FHK13"/>
      <c r="FHL13"/>
      <c r="FHM13"/>
      <c r="FHN13"/>
      <c r="FHO13"/>
      <c r="FHP13"/>
      <c r="FHQ13"/>
      <c r="FHR13"/>
      <c r="FHS13"/>
      <c r="FHT13"/>
      <c r="FHU13"/>
      <c r="FHV13"/>
      <c r="FHW13"/>
      <c r="FHX13"/>
      <c r="FHY13"/>
      <c r="FHZ13"/>
      <c r="FIA13"/>
      <c r="FIB13"/>
      <c r="FIC13"/>
      <c r="FID13"/>
      <c r="FIE13"/>
      <c r="FIF13"/>
      <c r="FIG13"/>
      <c r="FIH13"/>
      <c r="FII13"/>
      <c r="FIJ13"/>
      <c r="FIK13"/>
      <c r="FIL13"/>
      <c r="FIM13"/>
      <c r="FIN13"/>
      <c r="FIO13"/>
      <c r="FIP13"/>
      <c r="FIQ13"/>
      <c r="FIR13"/>
      <c r="FIS13"/>
      <c r="FIT13"/>
      <c r="FIU13"/>
      <c r="FIV13"/>
      <c r="FIW13"/>
      <c r="FIX13"/>
      <c r="FIY13"/>
      <c r="FIZ13"/>
      <c r="FJA13"/>
      <c r="FJB13"/>
      <c r="FJC13"/>
      <c r="FJD13"/>
      <c r="FJE13"/>
      <c r="FJF13"/>
      <c r="FJG13"/>
      <c r="FJH13"/>
      <c r="FJI13"/>
      <c r="FJJ13"/>
      <c r="FJK13"/>
      <c r="FJL13"/>
      <c r="FJM13"/>
      <c r="FJN13"/>
      <c r="FJO13"/>
      <c r="FJP13"/>
      <c r="FJQ13"/>
      <c r="FJR13"/>
      <c r="FJS13"/>
      <c r="FJT13"/>
      <c r="FJU13"/>
      <c r="FJV13"/>
      <c r="FJW13"/>
      <c r="FJX13"/>
      <c r="FJY13"/>
      <c r="FJZ13"/>
      <c r="FKA13"/>
      <c r="FKB13"/>
      <c r="FKC13"/>
      <c r="FKD13"/>
      <c r="FKE13"/>
      <c r="FKF13"/>
      <c r="FKG13"/>
      <c r="FKH13"/>
      <c r="FKI13"/>
      <c r="FKJ13"/>
      <c r="FKK13"/>
      <c r="FKL13"/>
      <c r="FKM13"/>
      <c r="FKN13"/>
      <c r="FKO13"/>
      <c r="FKP13"/>
      <c r="FKQ13"/>
      <c r="FKR13"/>
      <c r="FKS13"/>
      <c r="FKT13"/>
      <c r="FKU13"/>
      <c r="FKV13"/>
      <c r="FKW13"/>
      <c r="FKX13"/>
      <c r="FKY13"/>
      <c r="FKZ13"/>
      <c r="FLA13"/>
      <c r="FLB13"/>
      <c r="FLC13"/>
      <c r="FLD13"/>
      <c r="FLE13"/>
      <c r="FLF13"/>
      <c r="FLG13"/>
      <c r="FLH13"/>
      <c r="FLI13"/>
      <c r="FLJ13"/>
      <c r="FLK13"/>
      <c r="FLL13"/>
      <c r="FLM13"/>
      <c r="FLN13"/>
      <c r="FLO13"/>
      <c r="FLP13"/>
      <c r="FLQ13"/>
      <c r="FLR13"/>
      <c r="FLS13"/>
      <c r="FLT13"/>
      <c r="FLU13"/>
      <c r="FLV13"/>
      <c r="FLW13"/>
      <c r="FLX13"/>
      <c r="FLY13"/>
      <c r="FLZ13"/>
      <c r="FMA13"/>
      <c r="FMB13"/>
      <c r="FMC13"/>
      <c r="FMD13"/>
      <c r="FME13"/>
      <c r="FMF13"/>
      <c r="FMG13"/>
      <c r="FMH13"/>
      <c r="FMI13"/>
      <c r="FMJ13"/>
      <c r="FMK13"/>
      <c r="FML13"/>
      <c r="FMM13"/>
      <c r="FMN13"/>
      <c r="FMO13"/>
      <c r="FMP13"/>
      <c r="FMQ13"/>
      <c r="FMR13"/>
      <c r="FMS13"/>
      <c r="FMT13"/>
      <c r="FMU13"/>
      <c r="FMV13"/>
      <c r="FMW13"/>
      <c r="FMX13"/>
      <c r="FMY13"/>
      <c r="FMZ13"/>
      <c r="FNA13"/>
      <c r="FNB13"/>
      <c r="FNC13"/>
      <c r="FND13"/>
      <c r="FNE13"/>
      <c r="FNF13"/>
      <c r="FNG13"/>
      <c r="FNH13"/>
      <c r="FNI13"/>
      <c r="FNJ13"/>
      <c r="FNK13"/>
      <c r="FNL13"/>
      <c r="FNM13"/>
      <c r="FNN13"/>
      <c r="FNO13"/>
      <c r="FNP13"/>
      <c r="FNQ13"/>
      <c r="FNR13"/>
      <c r="FNS13"/>
      <c r="FNT13"/>
      <c r="FNU13"/>
      <c r="FNV13"/>
      <c r="FNW13"/>
      <c r="FNX13"/>
      <c r="FNY13"/>
      <c r="FNZ13"/>
      <c r="FOA13"/>
      <c r="FOB13"/>
      <c r="FOC13"/>
      <c r="FOD13"/>
      <c r="FOE13"/>
      <c r="FOF13"/>
      <c r="FOG13"/>
      <c r="FOH13"/>
      <c r="FOI13"/>
      <c r="FOJ13"/>
      <c r="FOK13"/>
      <c r="FOL13"/>
      <c r="FOM13"/>
      <c r="FON13"/>
      <c r="FOO13"/>
      <c r="FOP13"/>
      <c r="FOQ13"/>
      <c r="FOR13"/>
      <c r="FOS13"/>
      <c r="FOT13"/>
      <c r="FOU13"/>
      <c r="FOV13"/>
      <c r="FOW13"/>
      <c r="FOX13"/>
      <c r="FOY13"/>
      <c r="FOZ13"/>
      <c r="FPA13"/>
      <c r="FPB13"/>
      <c r="FPC13"/>
      <c r="FPD13"/>
      <c r="FPE13"/>
      <c r="FPF13"/>
      <c r="FPG13"/>
      <c r="FPH13"/>
      <c r="FPI13"/>
      <c r="FPJ13"/>
      <c r="FPK13"/>
      <c r="FPL13"/>
      <c r="FPM13"/>
      <c r="FPN13"/>
      <c r="FPO13"/>
      <c r="FPP13"/>
      <c r="FPQ13"/>
      <c r="FPR13"/>
      <c r="FPS13"/>
      <c r="FPT13"/>
      <c r="FPU13"/>
      <c r="FPV13"/>
      <c r="FPW13"/>
      <c r="FPX13"/>
      <c r="FPY13"/>
      <c r="FPZ13"/>
      <c r="FQA13"/>
      <c r="FQB13"/>
      <c r="FQC13"/>
      <c r="FQD13"/>
      <c r="FQE13"/>
      <c r="FQF13"/>
      <c r="FQG13"/>
      <c r="FQH13"/>
      <c r="FQI13"/>
      <c r="FQJ13"/>
      <c r="FQK13"/>
      <c r="FQL13"/>
      <c r="FQM13"/>
      <c r="FQN13"/>
      <c r="FQO13"/>
      <c r="FQP13"/>
      <c r="FQQ13"/>
      <c r="FQR13"/>
      <c r="FQS13"/>
      <c r="FQT13"/>
      <c r="FQU13"/>
      <c r="FQV13"/>
      <c r="FQW13"/>
      <c r="FQX13"/>
      <c r="FQY13"/>
      <c r="FQZ13"/>
      <c r="FRA13"/>
      <c r="FRB13"/>
      <c r="FRC13"/>
      <c r="FRD13"/>
      <c r="FRE13"/>
      <c r="FRF13"/>
      <c r="FRG13"/>
      <c r="FRH13"/>
      <c r="FRI13"/>
      <c r="FRJ13"/>
      <c r="FRK13"/>
      <c r="FRL13"/>
      <c r="FRM13"/>
      <c r="FRN13"/>
      <c r="FRO13"/>
      <c r="FRP13"/>
      <c r="FRQ13"/>
      <c r="FRR13"/>
      <c r="FRS13"/>
      <c r="FRT13"/>
      <c r="FRU13"/>
      <c r="FRV13"/>
      <c r="FRW13"/>
      <c r="FRX13"/>
      <c r="FRY13"/>
      <c r="FRZ13"/>
      <c r="FSA13"/>
      <c r="FSB13"/>
      <c r="FSC13"/>
      <c r="FSD13"/>
      <c r="FSE13"/>
      <c r="FSF13"/>
      <c r="FSG13"/>
      <c r="FSH13"/>
      <c r="FSI13"/>
      <c r="FSJ13"/>
      <c r="FSK13"/>
      <c r="FSL13"/>
      <c r="FSM13"/>
      <c r="FSN13"/>
      <c r="FSO13"/>
      <c r="FSP13"/>
      <c r="FSQ13"/>
      <c r="FSR13"/>
      <c r="FSS13"/>
      <c r="FST13"/>
      <c r="FSU13"/>
      <c r="FSV13"/>
      <c r="FSW13"/>
      <c r="FSX13"/>
      <c r="FSY13"/>
      <c r="FSZ13"/>
      <c r="FTA13"/>
      <c r="FTB13"/>
      <c r="FTC13"/>
      <c r="FTD13"/>
      <c r="FTE13"/>
      <c r="FTF13"/>
      <c r="FTG13"/>
      <c r="FTH13"/>
      <c r="FTI13"/>
      <c r="FTJ13"/>
      <c r="FTK13"/>
      <c r="FTL13"/>
      <c r="FTM13"/>
      <c r="FTN13"/>
      <c r="FTO13"/>
      <c r="FTP13"/>
      <c r="FTQ13"/>
      <c r="FTR13"/>
      <c r="FTS13"/>
      <c r="FTT13"/>
      <c r="FTU13"/>
      <c r="FTV13"/>
      <c r="FTW13"/>
      <c r="FTX13"/>
      <c r="FTY13"/>
      <c r="FTZ13"/>
      <c r="FUA13"/>
      <c r="FUB13"/>
      <c r="FUC13"/>
      <c r="FUD13"/>
      <c r="FUE13"/>
      <c r="FUF13"/>
      <c r="FUG13"/>
      <c r="FUH13"/>
      <c r="FUI13"/>
      <c r="FUJ13"/>
      <c r="FUK13"/>
      <c r="FUL13"/>
      <c r="FUM13"/>
      <c r="FUN13"/>
      <c r="FUO13"/>
      <c r="FUP13"/>
      <c r="FUQ13"/>
      <c r="FUR13"/>
      <c r="FUS13"/>
      <c r="FUT13"/>
      <c r="FUU13"/>
      <c r="FUV13"/>
      <c r="FUW13"/>
      <c r="FUX13"/>
      <c r="FUY13"/>
      <c r="FUZ13"/>
      <c r="FVA13"/>
      <c r="FVB13"/>
      <c r="FVC13"/>
      <c r="FVD13"/>
      <c r="FVE13"/>
      <c r="FVF13"/>
      <c r="FVG13"/>
      <c r="FVH13"/>
      <c r="FVI13"/>
      <c r="FVJ13"/>
      <c r="FVK13"/>
      <c r="FVL13"/>
      <c r="FVM13"/>
      <c r="FVN13"/>
      <c r="FVO13"/>
      <c r="FVP13"/>
      <c r="FVQ13"/>
      <c r="FVR13"/>
      <c r="FVS13"/>
      <c r="FVT13"/>
      <c r="FVU13"/>
      <c r="FVV13"/>
      <c r="FVW13"/>
      <c r="FVX13"/>
      <c r="FVY13"/>
      <c r="FVZ13"/>
      <c r="FWA13"/>
      <c r="FWB13"/>
      <c r="FWC13"/>
      <c r="FWD13"/>
      <c r="FWE13"/>
      <c r="FWF13"/>
      <c r="FWG13"/>
      <c r="FWH13"/>
      <c r="FWI13"/>
      <c r="FWJ13"/>
      <c r="FWK13"/>
      <c r="FWL13"/>
      <c r="FWM13"/>
      <c r="FWN13"/>
      <c r="FWO13"/>
      <c r="FWP13"/>
      <c r="FWQ13"/>
      <c r="FWR13"/>
      <c r="FWS13"/>
      <c r="FWT13"/>
      <c r="FWU13"/>
      <c r="FWV13"/>
      <c r="FWW13"/>
      <c r="FWX13"/>
      <c r="FWY13"/>
      <c r="FWZ13"/>
      <c r="FXA13"/>
      <c r="FXB13"/>
      <c r="FXC13"/>
      <c r="FXD13"/>
      <c r="FXE13"/>
      <c r="FXF13"/>
      <c r="FXG13"/>
      <c r="FXH13"/>
      <c r="FXI13"/>
      <c r="FXJ13"/>
      <c r="FXK13"/>
      <c r="FXL13"/>
      <c r="FXM13"/>
      <c r="FXN13"/>
      <c r="FXO13"/>
      <c r="FXP13"/>
      <c r="FXQ13"/>
      <c r="FXR13"/>
      <c r="FXS13"/>
      <c r="FXT13"/>
      <c r="FXU13"/>
      <c r="FXV13"/>
      <c r="FXW13"/>
      <c r="FXX13"/>
      <c r="FXY13"/>
      <c r="FXZ13"/>
      <c r="FYA13"/>
      <c r="FYB13"/>
      <c r="FYC13"/>
      <c r="FYD13"/>
      <c r="FYE13"/>
      <c r="FYF13"/>
      <c r="FYG13"/>
      <c r="FYH13"/>
      <c r="FYI13"/>
      <c r="FYJ13"/>
      <c r="FYK13"/>
      <c r="FYL13"/>
      <c r="FYM13"/>
      <c r="FYN13"/>
      <c r="FYO13"/>
      <c r="FYP13"/>
      <c r="FYQ13"/>
      <c r="FYR13"/>
      <c r="FYS13"/>
      <c r="FYT13"/>
      <c r="FYU13"/>
      <c r="FYV13"/>
      <c r="FYW13"/>
      <c r="FYX13"/>
      <c r="FYY13"/>
      <c r="FYZ13"/>
      <c r="FZA13"/>
      <c r="FZB13"/>
      <c r="FZC13"/>
      <c r="FZD13"/>
      <c r="FZE13"/>
      <c r="FZF13"/>
      <c r="FZG13"/>
      <c r="FZH13"/>
      <c r="FZI13"/>
      <c r="FZJ13"/>
      <c r="FZK13"/>
      <c r="FZL13"/>
      <c r="FZM13"/>
      <c r="FZN13"/>
      <c r="FZO13"/>
      <c r="FZP13"/>
      <c r="FZQ13"/>
      <c r="FZR13"/>
      <c r="FZS13"/>
      <c r="FZT13"/>
      <c r="FZU13"/>
      <c r="FZV13"/>
      <c r="FZW13"/>
      <c r="FZX13"/>
      <c r="FZY13"/>
      <c r="FZZ13"/>
      <c r="GAA13"/>
      <c r="GAB13"/>
      <c r="GAC13"/>
      <c r="GAD13"/>
      <c r="GAE13"/>
      <c r="GAF13"/>
      <c r="GAG13"/>
      <c r="GAH13"/>
      <c r="GAI13"/>
      <c r="GAJ13"/>
      <c r="GAK13"/>
      <c r="GAL13"/>
      <c r="GAM13"/>
      <c r="GAN13"/>
      <c r="GAO13"/>
      <c r="GAP13"/>
      <c r="GAQ13"/>
      <c r="GAR13"/>
      <c r="GAS13"/>
      <c r="GAT13"/>
      <c r="GAU13"/>
      <c r="GAV13"/>
      <c r="GAW13"/>
      <c r="GAX13"/>
      <c r="GAY13"/>
      <c r="GAZ13"/>
      <c r="GBA13"/>
      <c r="GBB13"/>
      <c r="GBC13"/>
      <c r="GBD13"/>
      <c r="GBE13"/>
      <c r="GBF13"/>
      <c r="GBG13"/>
      <c r="GBH13"/>
      <c r="GBI13"/>
      <c r="GBJ13"/>
      <c r="GBK13"/>
      <c r="GBL13"/>
      <c r="GBM13"/>
      <c r="GBN13"/>
      <c r="GBO13"/>
      <c r="GBP13"/>
      <c r="GBQ13"/>
      <c r="GBR13"/>
      <c r="GBS13"/>
      <c r="GBT13"/>
      <c r="GBU13"/>
      <c r="GBV13"/>
      <c r="GBW13"/>
      <c r="GBX13"/>
      <c r="GBY13"/>
      <c r="GBZ13"/>
      <c r="GCA13"/>
      <c r="GCB13"/>
      <c r="GCC13"/>
      <c r="GCD13"/>
      <c r="GCE13"/>
      <c r="GCF13"/>
      <c r="GCG13"/>
      <c r="GCH13"/>
      <c r="GCI13"/>
      <c r="GCJ13"/>
      <c r="GCK13"/>
      <c r="GCL13"/>
      <c r="GCM13"/>
      <c r="GCN13"/>
      <c r="GCO13"/>
      <c r="GCP13"/>
      <c r="GCQ13"/>
      <c r="GCR13"/>
      <c r="GCS13"/>
      <c r="GCT13"/>
      <c r="GCU13"/>
      <c r="GCV13"/>
      <c r="GCW13"/>
      <c r="GCX13"/>
      <c r="GCY13"/>
      <c r="GCZ13"/>
      <c r="GDA13"/>
      <c r="GDB13"/>
      <c r="GDC13"/>
      <c r="GDD13"/>
      <c r="GDE13"/>
      <c r="GDF13"/>
      <c r="GDG13"/>
      <c r="GDH13"/>
      <c r="GDI13"/>
      <c r="GDJ13"/>
      <c r="GDK13"/>
      <c r="GDL13"/>
      <c r="GDM13"/>
      <c r="GDN13"/>
      <c r="GDO13"/>
      <c r="GDP13"/>
      <c r="GDQ13"/>
      <c r="GDR13"/>
      <c r="GDS13"/>
      <c r="GDT13"/>
      <c r="GDU13"/>
      <c r="GDV13"/>
      <c r="GDW13"/>
      <c r="GDX13"/>
      <c r="GDY13"/>
      <c r="GDZ13"/>
      <c r="GEA13"/>
      <c r="GEB13"/>
      <c r="GEC13"/>
      <c r="GED13"/>
      <c r="GEE13"/>
      <c r="GEF13"/>
      <c r="GEG13"/>
      <c r="GEH13"/>
      <c r="GEI13"/>
      <c r="GEJ13"/>
      <c r="GEK13"/>
      <c r="GEL13"/>
      <c r="GEM13"/>
      <c r="GEN13"/>
      <c r="GEO13"/>
      <c r="GEP13"/>
      <c r="GEQ13"/>
      <c r="GER13"/>
      <c r="GES13"/>
      <c r="GET13"/>
      <c r="GEU13"/>
      <c r="GEV13"/>
      <c r="GEW13"/>
      <c r="GEX13"/>
      <c r="GEY13"/>
      <c r="GEZ13"/>
      <c r="GFA13"/>
      <c r="GFB13"/>
      <c r="GFC13"/>
      <c r="GFD13"/>
      <c r="GFE13"/>
      <c r="GFF13"/>
      <c r="GFG13"/>
      <c r="GFH13"/>
      <c r="GFI13"/>
      <c r="GFJ13"/>
      <c r="GFK13"/>
      <c r="GFL13"/>
      <c r="GFM13"/>
      <c r="GFN13"/>
      <c r="GFO13"/>
      <c r="GFP13"/>
      <c r="GFQ13"/>
      <c r="GFR13"/>
      <c r="GFS13"/>
      <c r="GFT13"/>
      <c r="GFU13"/>
      <c r="GFV13"/>
      <c r="GFW13"/>
      <c r="GFX13"/>
      <c r="GFY13"/>
      <c r="GFZ13"/>
      <c r="GGA13"/>
      <c r="GGB13"/>
      <c r="GGC13"/>
      <c r="GGD13"/>
      <c r="GGE13"/>
      <c r="GGF13"/>
      <c r="GGG13"/>
      <c r="GGH13"/>
      <c r="GGI13"/>
      <c r="GGJ13"/>
      <c r="GGK13"/>
      <c r="GGL13"/>
      <c r="GGM13"/>
      <c r="GGN13"/>
      <c r="GGO13"/>
      <c r="GGP13"/>
      <c r="GGQ13"/>
      <c r="GGR13"/>
      <c r="GGS13"/>
      <c r="GGT13"/>
      <c r="GGU13"/>
      <c r="GGV13"/>
      <c r="GGW13"/>
      <c r="GGX13"/>
      <c r="GGY13"/>
      <c r="GGZ13"/>
      <c r="GHA13"/>
      <c r="GHB13"/>
      <c r="GHC13"/>
      <c r="GHD13"/>
      <c r="GHE13"/>
      <c r="GHF13"/>
      <c r="GHG13"/>
      <c r="GHH13"/>
      <c r="GHI13"/>
      <c r="GHJ13"/>
      <c r="GHK13"/>
      <c r="GHL13"/>
      <c r="GHM13"/>
      <c r="GHN13"/>
      <c r="GHO13"/>
      <c r="GHP13"/>
      <c r="GHQ13"/>
      <c r="GHR13"/>
      <c r="GHS13"/>
      <c r="GHT13"/>
      <c r="GHU13"/>
      <c r="GHV13"/>
      <c r="GHW13"/>
      <c r="GHX13"/>
      <c r="GHY13"/>
      <c r="GHZ13"/>
      <c r="GIA13"/>
      <c r="GIB13"/>
      <c r="GIC13"/>
      <c r="GID13"/>
      <c r="GIE13"/>
      <c r="GIF13"/>
      <c r="GIG13"/>
      <c r="GIH13"/>
      <c r="GII13"/>
      <c r="GIJ13"/>
      <c r="GIK13"/>
      <c r="GIL13"/>
      <c r="GIM13"/>
      <c r="GIN13"/>
      <c r="GIO13"/>
      <c r="GIP13"/>
      <c r="GIQ13"/>
      <c r="GIR13"/>
      <c r="GIS13"/>
      <c r="GIT13"/>
      <c r="GIU13"/>
      <c r="GIV13"/>
      <c r="GIW13"/>
      <c r="GIX13"/>
      <c r="GIY13"/>
      <c r="GIZ13"/>
      <c r="GJA13"/>
      <c r="GJB13"/>
      <c r="GJC13"/>
      <c r="GJD13"/>
      <c r="GJE13"/>
      <c r="GJF13"/>
      <c r="GJG13"/>
      <c r="GJH13"/>
      <c r="GJI13"/>
      <c r="GJJ13"/>
      <c r="GJK13"/>
      <c r="GJL13"/>
      <c r="GJM13"/>
      <c r="GJN13"/>
      <c r="GJO13"/>
      <c r="GJP13"/>
      <c r="GJQ13"/>
      <c r="GJR13"/>
      <c r="GJS13"/>
      <c r="GJT13"/>
      <c r="GJU13"/>
      <c r="GJV13"/>
      <c r="GJW13"/>
      <c r="GJX13"/>
      <c r="GJY13"/>
      <c r="GJZ13"/>
      <c r="GKA13"/>
      <c r="GKB13"/>
      <c r="GKC13"/>
      <c r="GKD13"/>
      <c r="GKE13"/>
      <c r="GKF13"/>
      <c r="GKG13"/>
      <c r="GKH13"/>
      <c r="GKI13"/>
      <c r="GKJ13"/>
      <c r="GKK13"/>
      <c r="GKL13"/>
      <c r="GKM13"/>
      <c r="GKN13"/>
      <c r="GKO13"/>
      <c r="GKP13"/>
      <c r="GKQ13"/>
      <c r="GKR13"/>
      <c r="GKS13"/>
      <c r="GKT13"/>
      <c r="GKU13"/>
      <c r="GKV13"/>
      <c r="GKW13"/>
      <c r="GKX13"/>
      <c r="GKY13"/>
      <c r="GKZ13"/>
      <c r="GLA13"/>
      <c r="GLB13"/>
      <c r="GLC13"/>
      <c r="GLD13"/>
      <c r="GLE13"/>
      <c r="GLF13"/>
      <c r="GLG13"/>
      <c r="GLH13"/>
      <c r="GLI13"/>
      <c r="GLJ13"/>
      <c r="GLK13"/>
      <c r="GLL13"/>
      <c r="GLM13"/>
      <c r="GLN13"/>
      <c r="GLO13"/>
      <c r="GLP13"/>
      <c r="GLQ13"/>
      <c r="GLR13"/>
      <c r="GLS13"/>
      <c r="GLT13"/>
      <c r="GLU13"/>
      <c r="GLV13"/>
      <c r="GLW13"/>
      <c r="GLX13"/>
      <c r="GLY13"/>
      <c r="GLZ13"/>
      <c r="GMA13"/>
      <c r="GMB13"/>
      <c r="GMC13"/>
      <c r="GMD13"/>
      <c r="GME13"/>
      <c r="GMF13"/>
      <c r="GMG13"/>
      <c r="GMH13"/>
      <c r="GMI13"/>
      <c r="GMJ13"/>
      <c r="GMK13"/>
      <c r="GML13"/>
      <c r="GMM13"/>
      <c r="GMN13"/>
      <c r="GMO13"/>
      <c r="GMP13"/>
      <c r="GMQ13"/>
      <c r="GMR13"/>
      <c r="GMS13"/>
      <c r="GMT13"/>
      <c r="GMU13"/>
      <c r="GMV13"/>
      <c r="GMW13"/>
      <c r="GMX13"/>
      <c r="GMY13"/>
      <c r="GMZ13"/>
      <c r="GNA13"/>
      <c r="GNB13"/>
      <c r="GNC13"/>
      <c r="GND13"/>
      <c r="GNE13"/>
      <c r="GNF13"/>
      <c r="GNG13"/>
      <c r="GNH13"/>
      <c r="GNI13"/>
      <c r="GNJ13"/>
      <c r="GNK13"/>
      <c r="GNL13"/>
      <c r="GNM13"/>
      <c r="GNN13"/>
      <c r="GNO13"/>
      <c r="GNP13"/>
      <c r="GNQ13"/>
      <c r="GNR13"/>
      <c r="GNS13"/>
      <c r="GNT13"/>
      <c r="GNU13"/>
      <c r="GNV13"/>
      <c r="GNW13"/>
      <c r="GNX13"/>
      <c r="GNY13"/>
      <c r="GNZ13"/>
      <c r="GOA13"/>
      <c r="GOB13"/>
      <c r="GOC13"/>
      <c r="GOD13"/>
      <c r="GOE13"/>
      <c r="GOF13"/>
      <c r="GOG13"/>
      <c r="GOH13"/>
      <c r="GOI13"/>
      <c r="GOJ13"/>
      <c r="GOK13"/>
      <c r="GOL13"/>
      <c r="GOM13"/>
      <c r="GON13"/>
      <c r="GOO13"/>
      <c r="GOP13"/>
      <c r="GOQ13"/>
      <c r="GOR13"/>
      <c r="GOS13"/>
      <c r="GOT13"/>
      <c r="GOU13"/>
      <c r="GOV13"/>
      <c r="GOW13"/>
      <c r="GOX13"/>
      <c r="GOY13"/>
      <c r="GOZ13"/>
      <c r="GPA13"/>
      <c r="GPB13"/>
      <c r="GPC13"/>
      <c r="GPD13"/>
      <c r="GPE13"/>
      <c r="GPF13"/>
      <c r="GPG13"/>
      <c r="GPH13"/>
      <c r="GPI13"/>
      <c r="GPJ13"/>
      <c r="GPK13"/>
      <c r="GPL13"/>
      <c r="GPM13"/>
      <c r="GPN13"/>
      <c r="GPO13"/>
      <c r="GPP13"/>
      <c r="GPQ13"/>
      <c r="GPR13"/>
      <c r="GPS13"/>
      <c r="GPT13"/>
      <c r="GPU13"/>
      <c r="GPV13"/>
      <c r="GPW13"/>
      <c r="GPX13"/>
      <c r="GPY13"/>
      <c r="GPZ13"/>
      <c r="GQA13"/>
      <c r="GQB13"/>
      <c r="GQC13"/>
      <c r="GQD13"/>
      <c r="GQE13"/>
      <c r="GQF13"/>
      <c r="GQG13"/>
      <c r="GQH13"/>
      <c r="GQI13"/>
      <c r="GQJ13"/>
      <c r="GQK13"/>
      <c r="GQL13"/>
      <c r="GQM13"/>
      <c r="GQN13"/>
      <c r="GQO13"/>
      <c r="GQP13"/>
      <c r="GQQ13"/>
      <c r="GQR13"/>
      <c r="GQS13"/>
      <c r="GQT13"/>
      <c r="GQU13"/>
      <c r="GQV13"/>
      <c r="GQW13"/>
      <c r="GQX13"/>
      <c r="GQY13"/>
      <c r="GQZ13"/>
      <c r="GRA13"/>
      <c r="GRB13"/>
      <c r="GRC13"/>
      <c r="GRD13"/>
      <c r="GRE13"/>
      <c r="GRF13"/>
      <c r="GRG13"/>
      <c r="GRH13"/>
      <c r="GRI13"/>
      <c r="GRJ13"/>
      <c r="GRK13"/>
      <c r="GRL13"/>
      <c r="GRM13"/>
      <c r="GRN13"/>
      <c r="GRO13"/>
      <c r="GRP13"/>
      <c r="GRQ13"/>
      <c r="GRR13"/>
      <c r="GRS13"/>
      <c r="GRT13"/>
      <c r="GRU13"/>
      <c r="GRV13"/>
      <c r="GRW13"/>
      <c r="GRX13"/>
      <c r="GRY13"/>
      <c r="GRZ13"/>
      <c r="GSA13"/>
      <c r="GSB13"/>
      <c r="GSC13"/>
      <c r="GSD13"/>
      <c r="GSE13"/>
      <c r="GSF13"/>
      <c r="GSG13"/>
      <c r="GSH13"/>
      <c r="GSI13"/>
      <c r="GSJ13"/>
      <c r="GSK13"/>
      <c r="GSL13"/>
      <c r="GSM13"/>
      <c r="GSN13"/>
      <c r="GSO13"/>
      <c r="GSP13"/>
      <c r="GSQ13"/>
      <c r="GSR13"/>
      <c r="GSS13"/>
      <c r="GST13"/>
      <c r="GSU13"/>
      <c r="GSV13"/>
      <c r="GSW13"/>
      <c r="GSX13"/>
      <c r="GSY13"/>
      <c r="GSZ13"/>
      <c r="GTA13"/>
      <c r="GTB13"/>
      <c r="GTC13"/>
      <c r="GTD13"/>
      <c r="GTE13"/>
      <c r="GTF13"/>
      <c r="GTG13"/>
      <c r="GTH13"/>
      <c r="GTI13"/>
      <c r="GTJ13"/>
      <c r="GTK13"/>
      <c r="GTL13"/>
      <c r="GTM13"/>
      <c r="GTN13"/>
      <c r="GTO13"/>
      <c r="GTP13"/>
      <c r="GTQ13"/>
      <c r="GTR13"/>
      <c r="GTS13"/>
      <c r="GTT13"/>
      <c r="GTU13"/>
      <c r="GTV13"/>
      <c r="GTW13"/>
      <c r="GTX13"/>
      <c r="GTY13"/>
      <c r="GTZ13"/>
      <c r="GUA13"/>
      <c r="GUB13"/>
      <c r="GUC13"/>
      <c r="GUD13"/>
      <c r="GUE13"/>
      <c r="GUF13"/>
      <c r="GUG13"/>
      <c r="GUH13"/>
      <c r="GUI13"/>
      <c r="GUJ13"/>
      <c r="GUK13"/>
      <c r="GUL13"/>
      <c r="GUM13"/>
      <c r="GUN13"/>
      <c r="GUO13"/>
      <c r="GUP13"/>
      <c r="GUQ13"/>
      <c r="GUR13"/>
      <c r="GUS13"/>
      <c r="GUT13"/>
      <c r="GUU13"/>
      <c r="GUV13"/>
      <c r="GUW13"/>
      <c r="GUX13"/>
      <c r="GUY13"/>
      <c r="GUZ13"/>
      <c r="GVA13"/>
      <c r="GVB13"/>
      <c r="GVC13"/>
      <c r="GVD13"/>
      <c r="GVE13"/>
      <c r="GVF13"/>
      <c r="GVG13"/>
      <c r="GVH13"/>
      <c r="GVI13"/>
      <c r="GVJ13"/>
      <c r="GVK13"/>
      <c r="GVL13"/>
      <c r="GVM13"/>
      <c r="GVN13"/>
      <c r="GVO13"/>
      <c r="GVP13"/>
      <c r="GVQ13"/>
      <c r="GVR13"/>
      <c r="GVS13"/>
      <c r="GVT13"/>
      <c r="GVU13"/>
      <c r="GVV13"/>
      <c r="GVW13"/>
      <c r="GVX13"/>
      <c r="GVY13"/>
      <c r="GVZ13"/>
      <c r="GWA13"/>
      <c r="GWB13"/>
      <c r="GWC13"/>
      <c r="GWD13"/>
      <c r="GWE13"/>
      <c r="GWF13"/>
      <c r="GWG13"/>
      <c r="GWH13"/>
      <c r="GWI13"/>
      <c r="GWJ13"/>
      <c r="GWK13"/>
      <c r="GWL13"/>
      <c r="GWM13"/>
      <c r="GWN13"/>
      <c r="GWO13"/>
      <c r="GWP13"/>
      <c r="GWQ13"/>
      <c r="GWR13"/>
      <c r="GWS13"/>
      <c r="GWT13"/>
      <c r="GWU13"/>
      <c r="GWV13"/>
      <c r="GWW13"/>
      <c r="GWX13"/>
      <c r="GWY13"/>
      <c r="GWZ13"/>
      <c r="GXA13"/>
      <c r="GXB13"/>
      <c r="GXC13"/>
      <c r="GXD13"/>
      <c r="GXE13"/>
      <c r="GXF13"/>
      <c r="GXG13"/>
      <c r="GXH13"/>
      <c r="GXI13"/>
      <c r="GXJ13"/>
      <c r="GXK13"/>
      <c r="GXL13"/>
      <c r="GXM13"/>
      <c r="GXN13"/>
      <c r="GXO13"/>
      <c r="GXP13"/>
      <c r="GXQ13"/>
      <c r="GXR13"/>
      <c r="GXS13"/>
      <c r="GXT13"/>
      <c r="GXU13"/>
      <c r="GXV13"/>
      <c r="GXW13"/>
      <c r="GXX13"/>
      <c r="GXY13"/>
      <c r="GXZ13"/>
      <c r="GYA13"/>
      <c r="GYB13"/>
      <c r="GYC13"/>
      <c r="GYD13"/>
      <c r="GYE13"/>
      <c r="GYF13"/>
      <c r="GYG13"/>
      <c r="GYH13"/>
      <c r="GYI13"/>
      <c r="GYJ13"/>
      <c r="GYK13"/>
      <c r="GYL13"/>
      <c r="GYM13"/>
      <c r="GYN13"/>
      <c r="GYO13"/>
      <c r="GYP13"/>
      <c r="GYQ13"/>
      <c r="GYR13"/>
      <c r="GYS13"/>
      <c r="GYT13"/>
      <c r="GYU13"/>
      <c r="GYV13"/>
      <c r="GYW13"/>
      <c r="GYX13"/>
      <c r="GYY13"/>
      <c r="GYZ13"/>
      <c r="GZA13"/>
      <c r="GZB13"/>
      <c r="GZC13"/>
      <c r="GZD13"/>
      <c r="GZE13"/>
      <c r="GZF13"/>
      <c r="GZG13"/>
      <c r="GZH13"/>
      <c r="GZI13"/>
      <c r="GZJ13"/>
      <c r="GZK13"/>
      <c r="GZL13"/>
      <c r="GZM13"/>
      <c r="GZN13"/>
      <c r="GZO13"/>
      <c r="GZP13"/>
      <c r="GZQ13"/>
      <c r="GZR13"/>
      <c r="GZS13"/>
      <c r="GZT13"/>
      <c r="GZU13"/>
      <c r="GZV13"/>
      <c r="GZW13"/>
      <c r="GZX13"/>
      <c r="GZY13"/>
      <c r="GZZ13"/>
      <c r="HAA13"/>
      <c r="HAB13"/>
      <c r="HAC13"/>
      <c r="HAD13"/>
      <c r="HAE13"/>
      <c r="HAF13"/>
      <c r="HAG13"/>
      <c r="HAH13"/>
      <c r="HAI13"/>
      <c r="HAJ13"/>
      <c r="HAK13"/>
      <c r="HAL13"/>
      <c r="HAM13"/>
      <c r="HAN13"/>
      <c r="HAO13"/>
      <c r="HAP13"/>
      <c r="HAQ13"/>
      <c r="HAR13"/>
      <c r="HAS13"/>
      <c r="HAT13"/>
      <c r="HAU13"/>
      <c r="HAV13"/>
      <c r="HAW13"/>
      <c r="HAX13"/>
      <c r="HAY13"/>
      <c r="HAZ13"/>
      <c r="HBA13"/>
      <c r="HBB13"/>
      <c r="HBC13"/>
      <c r="HBD13"/>
      <c r="HBE13"/>
      <c r="HBF13"/>
      <c r="HBG13"/>
      <c r="HBH13"/>
      <c r="HBI13"/>
      <c r="HBJ13"/>
      <c r="HBK13"/>
      <c r="HBL13"/>
      <c r="HBM13"/>
      <c r="HBN13"/>
      <c r="HBO13"/>
      <c r="HBP13"/>
      <c r="HBQ13"/>
      <c r="HBR13"/>
      <c r="HBS13"/>
      <c r="HBT13"/>
      <c r="HBU13"/>
      <c r="HBV13"/>
      <c r="HBW13"/>
      <c r="HBX13"/>
      <c r="HBY13"/>
      <c r="HBZ13"/>
      <c r="HCA13"/>
      <c r="HCB13"/>
      <c r="HCC13"/>
      <c r="HCD13"/>
      <c r="HCE13"/>
      <c r="HCF13"/>
      <c r="HCG13"/>
      <c r="HCH13"/>
      <c r="HCI13"/>
      <c r="HCJ13"/>
      <c r="HCK13"/>
      <c r="HCL13"/>
      <c r="HCM13"/>
      <c r="HCN13"/>
      <c r="HCO13"/>
      <c r="HCP13"/>
      <c r="HCQ13"/>
      <c r="HCR13"/>
      <c r="HCS13"/>
      <c r="HCT13"/>
      <c r="HCU13"/>
      <c r="HCV13"/>
      <c r="HCW13"/>
      <c r="HCX13"/>
      <c r="HCY13"/>
      <c r="HCZ13"/>
      <c r="HDA13"/>
      <c r="HDB13"/>
      <c r="HDC13"/>
      <c r="HDD13"/>
      <c r="HDE13"/>
      <c r="HDF13"/>
      <c r="HDG13"/>
      <c r="HDH13"/>
      <c r="HDI13"/>
      <c r="HDJ13"/>
      <c r="HDK13"/>
      <c r="HDL13"/>
      <c r="HDM13"/>
      <c r="HDN13"/>
      <c r="HDO13"/>
      <c r="HDP13"/>
      <c r="HDQ13"/>
      <c r="HDR13"/>
      <c r="HDS13"/>
      <c r="HDT13"/>
      <c r="HDU13"/>
      <c r="HDV13"/>
      <c r="HDW13"/>
      <c r="HDX13"/>
      <c r="HDY13"/>
      <c r="HDZ13"/>
      <c r="HEA13"/>
      <c r="HEB13"/>
      <c r="HEC13"/>
      <c r="HED13"/>
      <c r="HEE13"/>
      <c r="HEF13"/>
      <c r="HEG13"/>
      <c r="HEH13"/>
      <c r="HEI13"/>
      <c r="HEJ13"/>
      <c r="HEK13"/>
      <c r="HEL13"/>
      <c r="HEM13"/>
      <c r="HEN13"/>
      <c r="HEO13"/>
      <c r="HEP13"/>
      <c r="HEQ13"/>
      <c r="HER13"/>
      <c r="HES13"/>
      <c r="HET13"/>
      <c r="HEU13"/>
      <c r="HEV13"/>
      <c r="HEW13"/>
      <c r="HEX13"/>
      <c r="HEY13"/>
      <c r="HEZ13"/>
      <c r="HFA13"/>
      <c r="HFB13"/>
      <c r="HFC13"/>
      <c r="HFD13"/>
      <c r="HFE13"/>
      <c r="HFF13"/>
      <c r="HFG13"/>
      <c r="HFH13"/>
      <c r="HFI13"/>
      <c r="HFJ13"/>
      <c r="HFK13"/>
      <c r="HFL13"/>
      <c r="HFM13"/>
      <c r="HFN13"/>
      <c r="HFO13"/>
      <c r="HFP13"/>
      <c r="HFQ13"/>
      <c r="HFR13"/>
      <c r="HFS13"/>
      <c r="HFT13"/>
      <c r="HFU13"/>
      <c r="HFV13"/>
      <c r="HFW13"/>
      <c r="HFX13"/>
      <c r="HFY13"/>
      <c r="HFZ13"/>
      <c r="HGA13"/>
      <c r="HGB13"/>
      <c r="HGC13"/>
      <c r="HGD13"/>
      <c r="HGE13"/>
      <c r="HGF13"/>
      <c r="HGG13"/>
      <c r="HGH13"/>
      <c r="HGI13"/>
      <c r="HGJ13"/>
      <c r="HGK13"/>
      <c r="HGL13"/>
      <c r="HGM13"/>
      <c r="HGN13"/>
      <c r="HGO13"/>
      <c r="HGP13"/>
      <c r="HGQ13"/>
      <c r="HGR13"/>
      <c r="HGS13"/>
      <c r="HGT13"/>
      <c r="HGU13"/>
      <c r="HGV13"/>
      <c r="HGW13"/>
      <c r="HGX13"/>
      <c r="HGY13"/>
      <c r="HGZ13"/>
      <c r="HHA13"/>
      <c r="HHB13"/>
      <c r="HHC13"/>
      <c r="HHD13"/>
      <c r="HHE13"/>
      <c r="HHF13"/>
      <c r="HHG13"/>
      <c r="HHH13"/>
      <c r="HHI13"/>
      <c r="HHJ13"/>
      <c r="HHK13"/>
      <c r="HHL13"/>
      <c r="HHM13"/>
      <c r="HHN13"/>
      <c r="HHO13"/>
      <c r="HHP13"/>
      <c r="HHQ13"/>
      <c r="HHR13"/>
      <c r="HHS13"/>
      <c r="HHT13"/>
      <c r="HHU13"/>
      <c r="HHV13"/>
      <c r="HHW13"/>
      <c r="HHX13"/>
      <c r="HHY13"/>
      <c r="HHZ13"/>
      <c r="HIA13"/>
      <c r="HIB13"/>
      <c r="HIC13"/>
      <c r="HID13"/>
      <c r="HIE13"/>
      <c r="HIF13"/>
      <c r="HIG13"/>
      <c r="HIH13"/>
      <c r="HII13"/>
      <c r="HIJ13"/>
      <c r="HIK13"/>
      <c r="HIL13"/>
      <c r="HIM13"/>
      <c r="HIN13"/>
      <c r="HIO13"/>
      <c r="HIP13"/>
      <c r="HIQ13"/>
      <c r="HIR13"/>
      <c r="HIS13"/>
      <c r="HIT13"/>
      <c r="HIU13"/>
      <c r="HIV13"/>
      <c r="HIW13"/>
      <c r="HIX13"/>
      <c r="HIY13"/>
      <c r="HIZ13"/>
      <c r="HJA13"/>
      <c r="HJB13"/>
      <c r="HJC13"/>
      <c r="HJD13"/>
      <c r="HJE13"/>
      <c r="HJF13"/>
      <c r="HJG13"/>
      <c r="HJH13"/>
      <c r="HJI13"/>
      <c r="HJJ13"/>
      <c r="HJK13"/>
      <c r="HJL13"/>
      <c r="HJM13"/>
      <c r="HJN13"/>
      <c r="HJO13"/>
      <c r="HJP13"/>
      <c r="HJQ13"/>
      <c r="HJR13"/>
      <c r="HJS13"/>
      <c r="HJT13"/>
      <c r="HJU13"/>
      <c r="HJV13"/>
      <c r="HJW13"/>
      <c r="HJX13"/>
      <c r="HJY13"/>
      <c r="HJZ13"/>
      <c r="HKA13"/>
      <c r="HKB13"/>
      <c r="HKC13"/>
      <c r="HKD13"/>
      <c r="HKE13"/>
      <c r="HKF13"/>
      <c r="HKG13"/>
      <c r="HKH13"/>
      <c r="HKI13"/>
      <c r="HKJ13"/>
      <c r="HKK13"/>
      <c r="HKL13"/>
      <c r="HKM13"/>
      <c r="HKN13"/>
      <c r="HKO13"/>
      <c r="HKP13"/>
      <c r="HKQ13"/>
      <c r="HKR13"/>
      <c r="HKS13"/>
      <c r="HKT13"/>
      <c r="HKU13"/>
      <c r="HKV13"/>
      <c r="HKW13"/>
      <c r="HKX13"/>
      <c r="HKY13"/>
      <c r="HKZ13"/>
      <c r="HLA13"/>
      <c r="HLB13"/>
      <c r="HLC13"/>
      <c r="HLD13"/>
      <c r="HLE13"/>
      <c r="HLF13"/>
      <c r="HLG13"/>
      <c r="HLH13"/>
      <c r="HLI13"/>
      <c r="HLJ13"/>
      <c r="HLK13"/>
      <c r="HLL13"/>
      <c r="HLM13"/>
      <c r="HLN13"/>
      <c r="HLO13"/>
      <c r="HLP13"/>
      <c r="HLQ13"/>
      <c r="HLR13"/>
      <c r="HLS13"/>
      <c r="HLT13"/>
      <c r="HLU13"/>
      <c r="HLV13"/>
      <c r="HLW13"/>
      <c r="HLX13"/>
      <c r="HLY13"/>
      <c r="HLZ13"/>
      <c r="HMA13"/>
      <c r="HMB13"/>
      <c r="HMC13"/>
      <c r="HMD13"/>
      <c r="HME13"/>
      <c r="HMF13"/>
      <c r="HMG13"/>
      <c r="HMH13"/>
      <c r="HMI13"/>
      <c r="HMJ13"/>
      <c r="HMK13"/>
      <c r="HML13"/>
      <c r="HMM13"/>
      <c r="HMN13"/>
      <c r="HMO13"/>
      <c r="HMP13"/>
      <c r="HMQ13"/>
      <c r="HMR13"/>
      <c r="HMS13"/>
      <c r="HMT13"/>
      <c r="HMU13"/>
      <c r="HMV13"/>
      <c r="HMW13"/>
      <c r="HMX13"/>
      <c r="HMY13"/>
      <c r="HMZ13"/>
      <c r="HNA13"/>
      <c r="HNB13"/>
      <c r="HNC13"/>
      <c r="HND13"/>
      <c r="HNE13"/>
      <c r="HNF13"/>
      <c r="HNG13"/>
      <c r="HNH13"/>
      <c r="HNI13"/>
      <c r="HNJ13"/>
      <c r="HNK13"/>
      <c r="HNL13"/>
      <c r="HNM13"/>
      <c r="HNN13"/>
      <c r="HNO13"/>
      <c r="HNP13"/>
      <c r="HNQ13"/>
      <c r="HNR13"/>
      <c r="HNS13"/>
      <c r="HNT13"/>
      <c r="HNU13"/>
      <c r="HNV13"/>
      <c r="HNW13"/>
      <c r="HNX13"/>
      <c r="HNY13"/>
      <c r="HNZ13"/>
      <c r="HOA13"/>
      <c r="HOB13"/>
      <c r="HOC13"/>
      <c r="HOD13"/>
      <c r="HOE13"/>
      <c r="HOF13"/>
      <c r="HOG13"/>
      <c r="HOH13"/>
      <c r="HOI13"/>
      <c r="HOJ13"/>
      <c r="HOK13"/>
      <c r="HOL13"/>
      <c r="HOM13"/>
      <c r="HON13"/>
      <c r="HOO13"/>
      <c r="HOP13"/>
      <c r="HOQ13"/>
      <c r="HOR13"/>
      <c r="HOS13"/>
      <c r="HOT13"/>
      <c r="HOU13"/>
      <c r="HOV13"/>
      <c r="HOW13"/>
      <c r="HOX13"/>
      <c r="HOY13"/>
      <c r="HOZ13"/>
      <c r="HPA13"/>
      <c r="HPB13"/>
      <c r="HPC13"/>
      <c r="HPD13"/>
      <c r="HPE13"/>
      <c r="HPF13"/>
      <c r="HPG13"/>
      <c r="HPH13"/>
      <c r="HPI13"/>
      <c r="HPJ13"/>
      <c r="HPK13"/>
      <c r="HPL13"/>
      <c r="HPM13"/>
      <c r="HPN13"/>
      <c r="HPO13"/>
      <c r="HPP13"/>
      <c r="HPQ13"/>
      <c r="HPR13"/>
      <c r="HPS13"/>
      <c r="HPT13"/>
      <c r="HPU13"/>
      <c r="HPV13"/>
      <c r="HPW13"/>
      <c r="HPX13"/>
      <c r="HPY13"/>
      <c r="HPZ13"/>
      <c r="HQA13"/>
      <c r="HQB13"/>
      <c r="HQC13"/>
      <c r="HQD13"/>
      <c r="HQE13"/>
      <c r="HQF13"/>
      <c r="HQG13"/>
      <c r="HQH13"/>
      <c r="HQI13"/>
      <c r="HQJ13"/>
      <c r="HQK13"/>
      <c r="HQL13"/>
      <c r="HQM13"/>
      <c r="HQN13"/>
      <c r="HQO13"/>
      <c r="HQP13"/>
      <c r="HQQ13"/>
      <c r="HQR13"/>
      <c r="HQS13"/>
      <c r="HQT13"/>
      <c r="HQU13"/>
      <c r="HQV13"/>
      <c r="HQW13"/>
      <c r="HQX13"/>
      <c r="HQY13"/>
      <c r="HQZ13"/>
      <c r="HRA13"/>
      <c r="HRB13"/>
      <c r="HRC13"/>
      <c r="HRD13"/>
      <c r="HRE13"/>
      <c r="HRF13"/>
      <c r="HRG13"/>
      <c r="HRH13"/>
      <c r="HRI13"/>
      <c r="HRJ13"/>
      <c r="HRK13"/>
      <c r="HRL13"/>
      <c r="HRM13"/>
      <c r="HRN13"/>
      <c r="HRO13"/>
      <c r="HRP13"/>
      <c r="HRQ13"/>
      <c r="HRR13"/>
      <c r="HRS13"/>
      <c r="HRT13"/>
      <c r="HRU13"/>
      <c r="HRV13"/>
      <c r="HRW13"/>
      <c r="HRX13"/>
      <c r="HRY13"/>
      <c r="HRZ13"/>
      <c r="HSA13"/>
      <c r="HSB13"/>
      <c r="HSC13"/>
      <c r="HSD13"/>
      <c r="HSE13"/>
      <c r="HSF13"/>
      <c r="HSG13"/>
      <c r="HSH13"/>
      <c r="HSI13"/>
      <c r="HSJ13"/>
      <c r="HSK13"/>
      <c r="HSL13"/>
      <c r="HSM13"/>
      <c r="HSN13"/>
      <c r="HSO13"/>
      <c r="HSP13"/>
      <c r="HSQ13"/>
      <c r="HSR13"/>
      <c r="HSS13"/>
      <c r="HST13"/>
      <c r="HSU13"/>
      <c r="HSV13"/>
      <c r="HSW13"/>
      <c r="HSX13"/>
      <c r="HSY13"/>
      <c r="HSZ13"/>
      <c r="HTA13"/>
      <c r="HTB13"/>
      <c r="HTC13"/>
      <c r="HTD13"/>
      <c r="HTE13"/>
      <c r="HTF13"/>
      <c r="HTG13"/>
      <c r="HTH13"/>
      <c r="HTI13"/>
      <c r="HTJ13"/>
      <c r="HTK13"/>
      <c r="HTL13"/>
      <c r="HTM13"/>
      <c r="HTN13"/>
      <c r="HTO13"/>
      <c r="HTP13"/>
      <c r="HTQ13"/>
      <c r="HTR13"/>
      <c r="HTS13"/>
      <c r="HTT13"/>
      <c r="HTU13"/>
      <c r="HTV13"/>
      <c r="HTW13"/>
      <c r="HTX13"/>
      <c r="HTY13"/>
      <c r="HTZ13"/>
      <c r="HUA13"/>
      <c r="HUB13"/>
      <c r="HUC13"/>
      <c r="HUD13"/>
      <c r="HUE13"/>
      <c r="HUF13"/>
      <c r="HUG13"/>
      <c r="HUH13"/>
      <c r="HUI13"/>
      <c r="HUJ13"/>
      <c r="HUK13"/>
      <c r="HUL13"/>
      <c r="HUM13"/>
      <c r="HUN13"/>
      <c r="HUO13"/>
      <c r="HUP13"/>
      <c r="HUQ13"/>
      <c r="HUR13"/>
      <c r="HUS13"/>
      <c r="HUT13"/>
      <c r="HUU13"/>
      <c r="HUV13"/>
      <c r="HUW13"/>
      <c r="HUX13"/>
      <c r="HUY13"/>
      <c r="HUZ13"/>
      <c r="HVA13"/>
      <c r="HVB13"/>
      <c r="HVC13"/>
      <c r="HVD13"/>
      <c r="HVE13"/>
      <c r="HVF13"/>
      <c r="HVG13"/>
      <c r="HVH13"/>
      <c r="HVI13"/>
      <c r="HVJ13"/>
      <c r="HVK13"/>
      <c r="HVL13"/>
      <c r="HVM13"/>
      <c r="HVN13"/>
      <c r="HVO13"/>
      <c r="HVP13"/>
      <c r="HVQ13"/>
      <c r="HVR13"/>
      <c r="HVS13"/>
      <c r="HVT13"/>
      <c r="HVU13"/>
      <c r="HVV13"/>
      <c r="HVW13"/>
      <c r="HVX13"/>
      <c r="HVY13"/>
      <c r="HVZ13"/>
      <c r="HWA13"/>
      <c r="HWB13"/>
      <c r="HWC13"/>
      <c r="HWD13"/>
      <c r="HWE13"/>
      <c r="HWF13"/>
      <c r="HWG13"/>
      <c r="HWH13"/>
      <c r="HWI13"/>
      <c r="HWJ13"/>
      <c r="HWK13"/>
      <c r="HWL13"/>
      <c r="HWM13"/>
      <c r="HWN13"/>
      <c r="HWO13"/>
      <c r="HWP13"/>
      <c r="HWQ13"/>
      <c r="HWR13"/>
      <c r="HWS13"/>
      <c r="HWT13"/>
      <c r="HWU13"/>
      <c r="HWV13"/>
      <c r="HWW13"/>
      <c r="HWX13"/>
      <c r="HWY13"/>
      <c r="HWZ13"/>
      <c r="HXA13"/>
      <c r="HXB13"/>
      <c r="HXC13"/>
      <c r="HXD13"/>
      <c r="HXE13"/>
      <c r="HXF13"/>
      <c r="HXG13"/>
      <c r="HXH13"/>
      <c r="HXI13"/>
      <c r="HXJ13"/>
      <c r="HXK13"/>
      <c r="HXL13"/>
      <c r="HXM13"/>
      <c r="HXN13"/>
      <c r="HXO13"/>
      <c r="HXP13"/>
      <c r="HXQ13"/>
      <c r="HXR13"/>
      <c r="HXS13"/>
      <c r="HXT13"/>
      <c r="HXU13"/>
      <c r="HXV13"/>
      <c r="HXW13"/>
      <c r="HXX13"/>
      <c r="HXY13"/>
      <c r="HXZ13"/>
      <c r="HYA13"/>
      <c r="HYB13"/>
      <c r="HYC13"/>
      <c r="HYD13"/>
      <c r="HYE13"/>
      <c r="HYF13"/>
      <c r="HYG13"/>
      <c r="HYH13"/>
      <c r="HYI13"/>
      <c r="HYJ13"/>
      <c r="HYK13"/>
      <c r="HYL13"/>
      <c r="HYM13"/>
      <c r="HYN13"/>
      <c r="HYO13"/>
      <c r="HYP13"/>
      <c r="HYQ13"/>
      <c r="HYR13"/>
      <c r="HYS13"/>
      <c r="HYT13"/>
      <c r="HYU13"/>
      <c r="HYV13"/>
      <c r="HYW13"/>
      <c r="HYX13"/>
      <c r="HYY13"/>
      <c r="HYZ13"/>
      <c r="HZA13"/>
      <c r="HZB13"/>
      <c r="HZC13"/>
      <c r="HZD13"/>
      <c r="HZE13"/>
      <c r="HZF13"/>
      <c r="HZG13"/>
      <c r="HZH13"/>
      <c r="HZI13"/>
      <c r="HZJ13"/>
      <c r="HZK13"/>
      <c r="HZL13"/>
      <c r="HZM13"/>
      <c r="HZN13"/>
      <c r="HZO13"/>
      <c r="HZP13"/>
      <c r="HZQ13"/>
      <c r="HZR13"/>
      <c r="HZS13"/>
      <c r="HZT13"/>
      <c r="HZU13"/>
      <c r="HZV13"/>
      <c r="HZW13"/>
      <c r="HZX13"/>
      <c r="HZY13"/>
      <c r="HZZ13"/>
      <c r="IAA13"/>
      <c r="IAB13"/>
      <c r="IAC13"/>
      <c r="IAD13"/>
      <c r="IAE13"/>
      <c r="IAF13"/>
      <c r="IAG13"/>
      <c r="IAH13"/>
      <c r="IAI13"/>
      <c r="IAJ13"/>
      <c r="IAK13"/>
      <c r="IAL13"/>
      <c r="IAM13"/>
      <c r="IAN13"/>
      <c r="IAO13"/>
      <c r="IAP13"/>
      <c r="IAQ13"/>
      <c r="IAR13"/>
      <c r="IAS13"/>
      <c r="IAT13"/>
      <c r="IAU13"/>
      <c r="IAV13"/>
      <c r="IAW13"/>
      <c r="IAX13"/>
      <c r="IAY13"/>
      <c r="IAZ13"/>
      <c r="IBA13"/>
      <c r="IBB13"/>
      <c r="IBC13"/>
      <c r="IBD13"/>
      <c r="IBE13"/>
      <c r="IBF13"/>
      <c r="IBG13"/>
      <c r="IBH13"/>
      <c r="IBI13"/>
      <c r="IBJ13"/>
      <c r="IBK13"/>
      <c r="IBL13"/>
      <c r="IBM13"/>
      <c r="IBN13"/>
      <c r="IBO13"/>
      <c r="IBP13"/>
      <c r="IBQ13"/>
      <c r="IBR13"/>
      <c r="IBS13"/>
      <c r="IBT13"/>
      <c r="IBU13"/>
      <c r="IBV13"/>
      <c r="IBW13"/>
      <c r="IBX13"/>
      <c r="IBY13"/>
      <c r="IBZ13"/>
      <c r="ICA13"/>
      <c r="ICB13"/>
      <c r="ICC13"/>
      <c r="ICD13"/>
      <c r="ICE13"/>
      <c r="ICF13"/>
      <c r="ICG13"/>
      <c r="ICH13"/>
      <c r="ICI13"/>
      <c r="ICJ13"/>
      <c r="ICK13"/>
      <c r="ICL13"/>
      <c r="ICM13"/>
      <c r="ICN13"/>
      <c r="ICO13"/>
      <c r="ICP13"/>
      <c r="ICQ13"/>
      <c r="ICR13"/>
      <c r="ICS13"/>
      <c r="ICT13"/>
      <c r="ICU13"/>
      <c r="ICV13"/>
      <c r="ICW13"/>
      <c r="ICX13"/>
      <c r="ICY13"/>
      <c r="ICZ13"/>
      <c r="IDA13"/>
      <c r="IDB13"/>
      <c r="IDC13"/>
      <c r="IDD13"/>
      <c r="IDE13"/>
      <c r="IDF13"/>
      <c r="IDG13"/>
      <c r="IDH13"/>
      <c r="IDI13"/>
      <c r="IDJ13"/>
      <c r="IDK13"/>
      <c r="IDL13"/>
      <c r="IDM13"/>
      <c r="IDN13"/>
      <c r="IDO13"/>
      <c r="IDP13"/>
      <c r="IDQ13"/>
      <c r="IDR13"/>
      <c r="IDS13"/>
      <c r="IDT13"/>
      <c r="IDU13"/>
      <c r="IDV13"/>
      <c r="IDW13"/>
      <c r="IDX13"/>
      <c r="IDY13"/>
      <c r="IDZ13"/>
      <c r="IEA13"/>
      <c r="IEB13"/>
      <c r="IEC13"/>
      <c r="IED13"/>
      <c r="IEE13"/>
      <c r="IEF13"/>
      <c r="IEG13"/>
      <c r="IEH13"/>
      <c r="IEI13"/>
      <c r="IEJ13"/>
      <c r="IEK13"/>
      <c r="IEL13"/>
      <c r="IEM13"/>
      <c r="IEN13"/>
      <c r="IEO13"/>
      <c r="IEP13"/>
      <c r="IEQ13"/>
      <c r="IER13"/>
      <c r="IES13"/>
      <c r="IET13"/>
      <c r="IEU13"/>
      <c r="IEV13"/>
      <c r="IEW13"/>
      <c r="IEX13"/>
      <c r="IEY13"/>
      <c r="IEZ13"/>
      <c r="IFA13"/>
      <c r="IFB13"/>
      <c r="IFC13"/>
      <c r="IFD13"/>
      <c r="IFE13"/>
      <c r="IFF13"/>
      <c r="IFG13"/>
      <c r="IFH13"/>
      <c r="IFI13"/>
      <c r="IFJ13"/>
      <c r="IFK13"/>
      <c r="IFL13"/>
      <c r="IFM13"/>
      <c r="IFN13"/>
      <c r="IFO13"/>
      <c r="IFP13"/>
      <c r="IFQ13"/>
      <c r="IFR13"/>
      <c r="IFS13"/>
      <c r="IFT13"/>
      <c r="IFU13"/>
      <c r="IFV13"/>
      <c r="IFW13"/>
      <c r="IFX13"/>
      <c r="IFY13"/>
      <c r="IFZ13"/>
      <c r="IGA13"/>
      <c r="IGB13"/>
      <c r="IGC13"/>
      <c r="IGD13"/>
      <c r="IGE13"/>
      <c r="IGF13"/>
      <c r="IGG13"/>
      <c r="IGH13"/>
      <c r="IGI13"/>
      <c r="IGJ13"/>
      <c r="IGK13"/>
      <c r="IGL13"/>
      <c r="IGM13"/>
      <c r="IGN13"/>
      <c r="IGO13"/>
      <c r="IGP13"/>
      <c r="IGQ13"/>
      <c r="IGR13"/>
      <c r="IGS13"/>
      <c r="IGT13"/>
      <c r="IGU13"/>
      <c r="IGV13"/>
      <c r="IGW13"/>
      <c r="IGX13"/>
      <c r="IGY13"/>
      <c r="IGZ13"/>
      <c r="IHA13"/>
      <c r="IHB13"/>
      <c r="IHC13"/>
      <c r="IHD13"/>
      <c r="IHE13"/>
      <c r="IHF13"/>
      <c r="IHG13"/>
      <c r="IHH13"/>
      <c r="IHI13"/>
      <c r="IHJ13"/>
      <c r="IHK13"/>
      <c r="IHL13"/>
      <c r="IHM13"/>
      <c r="IHN13"/>
      <c r="IHO13"/>
      <c r="IHP13"/>
      <c r="IHQ13"/>
      <c r="IHR13"/>
      <c r="IHS13"/>
      <c r="IHT13"/>
      <c r="IHU13"/>
      <c r="IHV13"/>
      <c r="IHW13"/>
      <c r="IHX13"/>
      <c r="IHY13"/>
      <c r="IHZ13"/>
      <c r="IIA13"/>
      <c r="IIB13"/>
      <c r="IIC13"/>
      <c r="IID13"/>
      <c r="IIE13"/>
      <c r="IIF13"/>
      <c r="IIG13"/>
      <c r="IIH13"/>
      <c r="III13"/>
      <c r="IIJ13"/>
      <c r="IIK13"/>
      <c r="IIL13"/>
      <c r="IIM13"/>
      <c r="IIN13"/>
      <c r="IIO13"/>
      <c r="IIP13"/>
      <c r="IIQ13"/>
      <c r="IIR13"/>
      <c r="IIS13"/>
      <c r="IIT13"/>
      <c r="IIU13"/>
      <c r="IIV13"/>
      <c r="IIW13"/>
      <c r="IIX13"/>
      <c r="IIY13"/>
      <c r="IIZ13"/>
      <c r="IJA13"/>
      <c r="IJB13"/>
      <c r="IJC13"/>
      <c r="IJD13"/>
      <c r="IJE13"/>
      <c r="IJF13"/>
      <c r="IJG13"/>
      <c r="IJH13"/>
      <c r="IJI13"/>
      <c r="IJJ13"/>
      <c r="IJK13"/>
      <c r="IJL13"/>
      <c r="IJM13"/>
      <c r="IJN13"/>
      <c r="IJO13"/>
      <c r="IJP13"/>
      <c r="IJQ13"/>
      <c r="IJR13"/>
      <c r="IJS13"/>
      <c r="IJT13"/>
      <c r="IJU13"/>
      <c r="IJV13"/>
      <c r="IJW13"/>
      <c r="IJX13"/>
      <c r="IJY13"/>
      <c r="IJZ13"/>
      <c r="IKA13"/>
      <c r="IKB13"/>
      <c r="IKC13"/>
      <c r="IKD13"/>
      <c r="IKE13"/>
      <c r="IKF13"/>
      <c r="IKG13"/>
      <c r="IKH13"/>
      <c r="IKI13"/>
      <c r="IKJ13"/>
      <c r="IKK13"/>
      <c r="IKL13"/>
      <c r="IKM13"/>
      <c r="IKN13"/>
      <c r="IKO13"/>
      <c r="IKP13"/>
      <c r="IKQ13"/>
      <c r="IKR13"/>
      <c r="IKS13"/>
      <c r="IKT13"/>
      <c r="IKU13"/>
      <c r="IKV13"/>
      <c r="IKW13"/>
      <c r="IKX13"/>
      <c r="IKY13"/>
      <c r="IKZ13"/>
      <c r="ILA13"/>
      <c r="ILB13"/>
      <c r="ILC13"/>
      <c r="ILD13"/>
      <c r="ILE13"/>
      <c r="ILF13"/>
      <c r="ILG13"/>
      <c r="ILH13"/>
      <c r="ILI13"/>
      <c r="ILJ13"/>
      <c r="ILK13"/>
      <c r="ILL13"/>
      <c r="ILM13"/>
      <c r="ILN13"/>
      <c r="ILO13"/>
      <c r="ILP13"/>
      <c r="ILQ13"/>
      <c r="ILR13"/>
      <c r="ILS13"/>
      <c r="ILT13"/>
      <c r="ILU13"/>
      <c r="ILV13"/>
      <c r="ILW13"/>
      <c r="ILX13"/>
      <c r="ILY13"/>
      <c r="ILZ13"/>
      <c r="IMA13"/>
      <c r="IMB13"/>
      <c r="IMC13"/>
      <c r="IMD13"/>
      <c r="IME13"/>
      <c r="IMF13"/>
      <c r="IMG13"/>
      <c r="IMH13"/>
      <c r="IMI13"/>
      <c r="IMJ13"/>
      <c r="IMK13"/>
      <c r="IML13"/>
      <c r="IMM13"/>
      <c r="IMN13"/>
      <c r="IMO13"/>
      <c r="IMP13"/>
      <c r="IMQ13"/>
      <c r="IMR13"/>
      <c r="IMS13"/>
      <c r="IMT13"/>
      <c r="IMU13"/>
      <c r="IMV13"/>
      <c r="IMW13"/>
      <c r="IMX13"/>
      <c r="IMY13"/>
      <c r="IMZ13"/>
      <c r="INA13"/>
      <c r="INB13"/>
      <c r="INC13"/>
      <c r="IND13"/>
      <c r="INE13"/>
      <c r="INF13"/>
      <c r="ING13"/>
      <c r="INH13"/>
      <c r="INI13"/>
      <c r="INJ13"/>
      <c r="INK13"/>
      <c r="INL13"/>
      <c r="INM13"/>
      <c r="INN13"/>
      <c r="INO13"/>
      <c r="INP13"/>
      <c r="INQ13"/>
      <c r="INR13"/>
      <c r="INS13"/>
      <c r="INT13"/>
      <c r="INU13"/>
      <c r="INV13"/>
      <c r="INW13"/>
      <c r="INX13"/>
      <c r="INY13"/>
      <c r="INZ13"/>
      <c r="IOA13"/>
      <c r="IOB13"/>
      <c r="IOC13"/>
      <c r="IOD13"/>
      <c r="IOE13"/>
      <c r="IOF13"/>
      <c r="IOG13"/>
      <c r="IOH13"/>
      <c r="IOI13"/>
      <c r="IOJ13"/>
      <c r="IOK13"/>
      <c r="IOL13"/>
      <c r="IOM13"/>
      <c r="ION13"/>
      <c r="IOO13"/>
      <c r="IOP13"/>
      <c r="IOQ13"/>
      <c r="IOR13"/>
      <c r="IOS13"/>
      <c r="IOT13"/>
      <c r="IOU13"/>
      <c r="IOV13"/>
      <c r="IOW13"/>
      <c r="IOX13"/>
      <c r="IOY13"/>
      <c r="IOZ13"/>
      <c r="IPA13"/>
      <c r="IPB13"/>
      <c r="IPC13"/>
      <c r="IPD13"/>
      <c r="IPE13"/>
      <c r="IPF13"/>
      <c r="IPG13"/>
      <c r="IPH13"/>
      <c r="IPI13"/>
      <c r="IPJ13"/>
      <c r="IPK13"/>
      <c r="IPL13"/>
      <c r="IPM13"/>
      <c r="IPN13"/>
      <c r="IPO13"/>
      <c r="IPP13"/>
      <c r="IPQ13"/>
      <c r="IPR13"/>
      <c r="IPS13"/>
      <c r="IPT13"/>
      <c r="IPU13"/>
      <c r="IPV13"/>
      <c r="IPW13"/>
      <c r="IPX13"/>
      <c r="IPY13"/>
      <c r="IPZ13"/>
      <c r="IQA13"/>
      <c r="IQB13"/>
      <c r="IQC13"/>
      <c r="IQD13"/>
      <c r="IQE13"/>
      <c r="IQF13"/>
      <c r="IQG13"/>
      <c r="IQH13"/>
      <c r="IQI13"/>
      <c r="IQJ13"/>
      <c r="IQK13"/>
      <c r="IQL13"/>
      <c r="IQM13"/>
      <c r="IQN13"/>
      <c r="IQO13"/>
      <c r="IQP13"/>
      <c r="IQQ13"/>
      <c r="IQR13"/>
      <c r="IQS13"/>
      <c r="IQT13"/>
      <c r="IQU13"/>
      <c r="IQV13"/>
      <c r="IQW13"/>
      <c r="IQX13"/>
      <c r="IQY13"/>
      <c r="IQZ13"/>
      <c r="IRA13"/>
      <c r="IRB13"/>
      <c r="IRC13"/>
      <c r="IRD13"/>
      <c r="IRE13"/>
      <c r="IRF13"/>
      <c r="IRG13"/>
      <c r="IRH13"/>
      <c r="IRI13"/>
      <c r="IRJ13"/>
      <c r="IRK13"/>
      <c r="IRL13"/>
      <c r="IRM13"/>
      <c r="IRN13"/>
      <c r="IRO13"/>
      <c r="IRP13"/>
      <c r="IRQ13"/>
      <c r="IRR13"/>
      <c r="IRS13"/>
      <c r="IRT13"/>
      <c r="IRU13"/>
      <c r="IRV13"/>
      <c r="IRW13"/>
      <c r="IRX13"/>
      <c r="IRY13"/>
      <c r="IRZ13"/>
      <c r="ISA13"/>
      <c r="ISB13"/>
      <c r="ISC13"/>
      <c r="ISD13"/>
      <c r="ISE13"/>
      <c r="ISF13"/>
      <c r="ISG13"/>
      <c r="ISH13"/>
      <c r="ISI13"/>
      <c r="ISJ13"/>
      <c r="ISK13"/>
      <c r="ISL13"/>
      <c r="ISM13"/>
      <c r="ISN13"/>
      <c r="ISO13"/>
      <c r="ISP13"/>
      <c r="ISQ13"/>
      <c r="ISR13"/>
      <c r="ISS13"/>
      <c r="IST13"/>
      <c r="ISU13"/>
      <c r="ISV13"/>
      <c r="ISW13"/>
      <c r="ISX13"/>
      <c r="ISY13"/>
      <c r="ISZ13"/>
      <c r="ITA13"/>
      <c r="ITB13"/>
      <c r="ITC13"/>
      <c r="ITD13"/>
      <c r="ITE13"/>
      <c r="ITF13"/>
      <c r="ITG13"/>
      <c r="ITH13"/>
      <c r="ITI13"/>
      <c r="ITJ13"/>
      <c r="ITK13"/>
      <c r="ITL13"/>
      <c r="ITM13"/>
      <c r="ITN13"/>
      <c r="ITO13"/>
      <c r="ITP13"/>
      <c r="ITQ13"/>
      <c r="ITR13"/>
      <c r="ITS13"/>
      <c r="ITT13"/>
      <c r="ITU13"/>
      <c r="ITV13"/>
      <c r="ITW13"/>
      <c r="ITX13"/>
      <c r="ITY13"/>
      <c r="ITZ13"/>
      <c r="IUA13"/>
      <c r="IUB13"/>
      <c r="IUC13"/>
      <c r="IUD13"/>
      <c r="IUE13"/>
      <c r="IUF13"/>
      <c r="IUG13"/>
      <c r="IUH13"/>
      <c r="IUI13"/>
      <c r="IUJ13"/>
      <c r="IUK13"/>
      <c r="IUL13"/>
      <c r="IUM13"/>
      <c r="IUN13"/>
      <c r="IUO13"/>
      <c r="IUP13"/>
      <c r="IUQ13"/>
      <c r="IUR13"/>
      <c r="IUS13"/>
      <c r="IUT13"/>
      <c r="IUU13"/>
      <c r="IUV13"/>
      <c r="IUW13"/>
      <c r="IUX13"/>
      <c r="IUY13"/>
      <c r="IUZ13"/>
      <c r="IVA13"/>
      <c r="IVB13"/>
      <c r="IVC13"/>
      <c r="IVD13"/>
      <c r="IVE13"/>
      <c r="IVF13"/>
      <c r="IVG13"/>
      <c r="IVH13"/>
      <c r="IVI13"/>
      <c r="IVJ13"/>
      <c r="IVK13"/>
      <c r="IVL13"/>
      <c r="IVM13"/>
      <c r="IVN13"/>
      <c r="IVO13"/>
      <c r="IVP13"/>
      <c r="IVQ13"/>
      <c r="IVR13"/>
      <c r="IVS13"/>
      <c r="IVT13"/>
      <c r="IVU13"/>
      <c r="IVV13"/>
      <c r="IVW13"/>
      <c r="IVX13"/>
      <c r="IVY13"/>
      <c r="IVZ13"/>
      <c r="IWA13"/>
      <c r="IWB13"/>
      <c r="IWC13"/>
      <c r="IWD13"/>
      <c r="IWE13"/>
      <c r="IWF13"/>
      <c r="IWG13"/>
      <c r="IWH13"/>
      <c r="IWI13"/>
      <c r="IWJ13"/>
      <c r="IWK13"/>
      <c r="IWL13"/>
      <c r="IWM13"/>
      <c r="IWN13"/>
      <c r="IWO13"/>
      <c r="IWP13"/>
      <c r="IWQ13"/>
      <c r="IWR13"/>
      <c r="IWS13"/>
      <c r="IWT13"/>
      <c r="IWU13"/>
      <c r="IWV13"/>
      <c r="IWW13"/>
      <c r="IWX13"/>
      <c r="IWY13"/>
      <c r="IWZ13"/>
      <c r="IXA13"/>
      <c r="IXB13"/>
      <c r="IXC13"/>
      <c r="IXD13"/>
      <c r="IXE13"/>
      <c r="IXF13"/>
      <c r="IXG13"/>
      <c r="IXH13"/>
      <c r="IXI13"/>
      <c r="IXJ13"/>
      <c r="IXK13"/>
      <c r="IXL13"/>
      <c r="IXM13"/>
      <c r="IXN13"/>
      <c r="IXO13"/>
      <c r="IXP13"/>
      <c r="IXQ13"/>
      <c r="IXR13"/>
      <c r="IXS13"/>
      <c r="IXT13"/>
      <c r="IXU13"/>
      <c r="IXV13"/>
      <c r="IXW13"/>
      <c r="IXX13"/>
      <c r="IXY13"/>
      <c r="IXZ13"/>
      <c r="IYA13"/>
      <c r="IYB13"/>
      <c r="IYC13"/>
      <c r="IYD13"/>
      <c r="IYE13"/>
      <c r="IYF13"/>
      <c r="IYG13"/>
      <c r="IYH13"/>
      <c r="IYI13"/>
      <c r="IYJ13"/>
      <c r="IYK13"/>
      <c r="IYL13"/>
      <c r="IYM13"/>
      <c r="IYN13"/>
      <c r="IYO13"/>
      <c r="IYP13"/>
      <c r="IYQ13"/>
      <c r="IYR13"/>
      <c r="IYS13"/>
      <c r="IYT13"/>
      <c r="IYU13"/>
      <c r="IYV13"/>
      <c r="IYW13"/>
      <c r="IYX13"/>
      <c r="IYY13"/>
      <c r="IYZ13"/>
      <c r="IZA13"/>
      <c r="IZB13"/>
      <c r="IZC13"/>
      <c r="IZD13"/>
      <c r="IZE13"/>
      <c r="IZF13"/>
      <c r="IZG13"/>
      <c r="IZH13"/>
      <c r="IZI13"/>
      <c r="IZJ13"/>
      <c r="IZK13"/>
      <c r="IZL13"/>
      <c r="IZM13"/>
      <c r="IZN13"/>
      <c r="IZO13"/>
      <c r="IZP13"/>
      <c r="IZQ13"/>
      <c r="IZR13"/>
      <c r="IZS13"/>
      <c r="IZT13"/>
      <c r="IZU13"/>
      <c r="IZV13"/>
      <c r="IZW13"/>
      <c r="IZX13"/>
      <c r="IZY13"/>
      <c r="IZZ13"/>
      <c r="JAA13"/>
      <c r="JAB13"/>
      <c r="JAC13"/>
      <c r="JAD13"/>
      <c r="JAE13"/>
      <c r="JAF13"/>
      <c r="JAG13"/>
      <c r="JAH13"/>
      <c r="JAI13"/>
      <c r="JAJ13"/>
      <c r="JAK13"/>
      <c r="JAL13"/>
      <c r="JAM13"/>
      <c r="JAN13"/>
      <c r="JAO13"/>
      <c r="JAP13"/>
      <c r="JAQ13"/>
      <c r="JAR13"/>
      <c r="JAS13"/>
      <c r="JAT13"/>
      <c r="JAU13"/>
      <c r="JAV13"/>
      <c r="JAW13"/>
      <c r="JAX13"/>
      <c r="JAY13"/>
      <c r="JAZ13"/>
      <c r="JBA13"/>
      <c r="JBB13"/>
      <c r="JBC13"/>
      <c r="JBD13"/>
      <c r="JBE13"/>
      <c r="JBF13"/>
      <c r="JBG13"/>
      <c r="JBH13"/>
      <c r="JBI13"/>
      <c r="JBJ13"/>
      <c r="JBK13"/>
      <c r="JBL13"/>
      <c r="JBM13"/>
      <c r="JBN13"/>
      <c r="JBO13"/>
      <c r="JBP13"/>
      <c r="JBQ13"/>
      <c r="JBR13"/>
      <c r="JBS13"/>
      <c r="JBT13"/>
      <c r="JBU13"/>
      <c r="JBV13"/>
      <c r="JBW13"/>
      <c r="JBX13"/>
      <c r="JBY13"/>
      <c r="JBZ13"/>
      <c r="JCA13"/>
      <c r="JCB13"/>
      <c r="JCC13"/>
      <c r="JCD13"/>
      <c r="JCE13"/>
      <c r="JCF13"/>
      <c r="JCG13"/>
      <c r="JCH13"/>
      <c r="JCI13"/>
      <c r="JCJ13"/>
      <c r="JCK13"/>
      <c r="JCL13"/>
      <c r="JCM13"/>
      <c r="JCN13"/>
      <c r="JCO13"/>
      <c r="JCP13"/>
      <c r="JCQ13"/>
      <c r="JCR13"/>
      <c r="JCS13"/>
      <c r="JCT13"/>
      <c r="JCU13"/>
      <c r="JCV13"/>
      <c r="JCW13"/>
      <c r="JCX13"/>
      <c r="JCY13"/>
      <c r="JCZ13"/>
      <c r="JDA13"/>
      <c r="JDB13"/>
      <c r="JDC13"/>
      <c r="JDD13"/>
      <c r="JDE13"/>
      <c r="JDF13"/>
      <c r="JDG13"/>
      <c r="JDH13"/>
      <c r="JDI13"/>
      <c r="JDJ13"/>
      <c r="JDK13"/>
      <c r="JDL13"/>
      <c r="JDM13"/>
      <c r="JDN13"/>
      <c r="JDO13"/>
      <c r="JDP13"/>
      <c r="JDQ13"/>
      <c r="JDR13"/>
      <c r="JDS13"/>
      <c r="JDT13"/>
      <c r="JDU13"/>
      <c r="JDV13"/>
      <c r="JDW13"/>
      <c r="JDX13"/>
      <c r="JDY13"/>
      <c r="JDZ13"/>
      <c r="JEA13"/>
      <c r="JEB13"/>
      <c r="JEC13"/>
      <c r="JED13"/>
      <c r="JEE13"/>
      <c r="JEF13"/>
      <c r="JEG13"/>
      <c r="JEH13"/>
      <c r="JEI13"/>
      <c r="JEJ13"/>
      <c r="JEK13"/>
      <c r="JEL13"/>
      <c r="JEM13"/>
      <c r="JEN13"/>
      <c r="JEO13"/>
      <c r="JEP13"/>
      <c r="JEQ13"/>
      <c r="JER13"/>
      <c r="JES13"/>
      <c r="JET13"/>
      <c r="JEU13"/>
      <c r="JEV13"/>
      <c r="JEW13"/>
      <c r="JEX13"/>
      <c r="JEY13"/>
      <c r="JEZ13"/>
      <c r="JFA13"/>
      <c r="JFB13"/>
      <c r="JFC13"/>
      <c r="JFD13"/>
      <c r="JFE13"/>
      <c r="JFF13"/>
      <c r="JFG13"/>
      <c r="JFH13"/>
      <c r="JFI13"/>
      <c r="JFJ13"/>
      <c r="JFK13"/>
      <c r="JFL13"/>
      <c r="JFM13"/>
      <c r="JFN13"/>
      <c r="JFO13"/>
      <c r="JFP13"/>
      <c r="JFQ13"/>
      <c r="JFR13"/>
      <c r="JFS13"/>
      <c r="JFT13"/>
      <c r="JFU13"/>
      <c r="JFV13"/>
      <c r="JFW13"/>
      <c r="JFX13"/>
      <c r="JFY13"/>
      <c r="JFZ13"/>
      <c r="JGA13"/>
      <c r="JGB13"/>
      <c r="JGC13"/>
      <c r="JGD13"/>
      <c r="JGE13"/>
      <c r="JGF13"/>
      <c r="JGG13"/>
      <c r="JGH13"/>
      <c r="JGI13"/>
      <c r="JGJ13"/>
      <c r="JGK13"/>
      <c r="JGL13"/>
      <c r="JGM13"/>
      <c r="JGN13"/>
      <c r="JGO13"/>
      <c r="JGP13"/>
      <c r="JGQ13"/>
      <c r="JGR13"/>
      <c r="JGS13"/>
      <c r="JGT13"/>
      <c r="JGU13"/>
      <c r="JGV13"/>
      <c r="JGW13"/>
      <c r="JGX13"/>
      <c r="JGY13"/>
      <c r="JGZ13"/>
      <c r="JHA13"/>
      <c r="JHB13"/>
      <c r="JHC13"/>
      <c r="JHD13"/>
      <c r="JHE13"/>
      <c r="JHF13"/>
      <c r="JHG13"/>
      <c r="JHH13"/>
      <c r="JHI13"/>
      <c r="JHJ13"/>
      <c r="JHK13"/>
      <c r="JHL13"/>
      <c r="JHM13"/>
      <c r="JHN13"/>
      <c r="JHO13"/>
      <c r="JHP13"/>
      <c r="JHQ13"/>
      <c r="JHR13"/>
      <c r="JHS13"/>
      <c r="JHT13"/>
      <c r="JHU13"/>
      <c r="JHV13"/>
      <c r="JHW13"/>
      <c r="JHX13"/>
      <c r="JHY13"/>
      <c r="JHZ13"/>
      <c r="JIA13"/>
      <c r="JIB13"/>
      <c r="JIC13"/>
      <c r="JID13"/>
      <c r="JIE13"/>
      <c r="JIF13"/>
      <c r="JIG13"/>
      <c r="JIH13"/>
      <c r="JII13"/>
      <c r="JIJ13"/>
      <c r="JIK13"/>
      <c r="JIL13"/>
      <c r="JIM13"/>
      <c r="JIN13"/>
      <c r="JIO13"/>
      <c r="JIP13"/>
      <c r="JIQ13"/>
      <c r="JIR13"/>
      <c r="JIS13"/>
      <c r="JIT13"/>
      <c r="JIU13"/>
      <c r="JIV13"/>
      <c r="JIW13"/>
      <c r="JIX13"/>
      <c r="JIY13"/>
      <c r="JIZ13"/>
      <c r="JJA13"/>
      <c r="JJB13"/>
      <c r="JJC13"/>
      <c r="JJD13"/>
      <c r="JJE13"/>
      <c r="JJF13"/>
      <c r="JJG13"/>
      <c r="JJH13"/>
      <c r="JJI13"/>
      <c r="JJJ13"/>
      <c r="JJK13"/>
      <c r="JJL13"/>
      <c r="JJM13"/>
      <c r="JJN13"/>
      <c r="JJO13"/>
      <c r="JJP13"/>
      <c r="JJQ13"/>
      <c r="JJR13"/>
      <c r="JJS13"/>
      <c r="JJT13"/>
      <c r="JJU13"/>
      <c r="JJV13"/>
      <c r="JJW13"/>
      <c r="JJX13"/>
      <c r="JJY13"/>
      <c r="JJZ13"/>
      <c r="JKA13"/>
      <c r="JKB13"/>
      <c r="JKC13"/>
      <c r="JKD13"/>
      <c r="JKE13"/>
      <c r="JKF13"/>
      <c r="JKG13"/>
      <c r="JKH13"/>
      <c r="JKI13"/>
      <c r="JKJ13"/>
      <c r="JKK13"/>
      <c r="JKL13"/>
      <c r="JKM13"/>
      <c r="JKN13"/>
      <c r="JKO13"/>
      <c r="JKP13"/>
      <c r="JKQ13"/>
      <c r="JKR13"/>
      <c r="JKS13"/>
      <c r="JKT13"/>
      <c r="JKU13"/>
      <c r="JKV13"/>
      <c r="JKW13"/>
      <c r="JKX13"/>
      <c r="JKY13"/>
      <c r="JKZ13"/>
      <c r="JLA13"/>
      <c r="JLB13"/>
      <c r="JLC13"/>
      <c r="JLD13"/>
      <c r="JLE13"/>
      <c r="JLF13"/>
      <c r="JLG13"/>
      <c r="JLH13"/>
      <c r="JLI13"/>
      <c r="JLJ13"/>
      <c r="JLK13"/>
      <c r="JLL13"/>
      <c r="JLM13"/>
      <c r="JLN13"/>
      <c r="JLO13"/>
      <c r="JLP13"/>
      <c r="JLQ13"/>
      <c r="JLR13"/>
      <c r="JLS13"/>
      <c r="JLT13"/>
      <c r="JLU13"/>
      <c r="JLV13"/>
      <c r="JLW13"/>
      <c r="JLX13"/>
      <c r="JLY13"/>
      <c r="JLZ13"/>
      <c r="JMA13"/>
      <c r="JMB13"/>
      <c r="JMC13"/>
      <c r="JMD13"/>
      <c r="JME13"/>
      <c r="JMF13"/>
      <c r="JMG13"/>
      <c r="JMH13"/>
      <c r="JMI13"/>
      <c r="JMJ13"/>
      <c r="JMK13"/>
      <c r="JML13"/>
      <c r="JMM13"/>
      <c r="JMN13"/>
      <c r="JMO13"/>
      <c r="JMP13"/>
      <c r="JMQ13"/>
      <c r="JMR13"/>
      <c r="JMS13"/>
      <c r="JMT13"/>
      <c r="JMU13"/>
      <c r="JMV13"/>
      <c r="JMW13"/>
      <c r="JMX13"/>
      <c r="JMY13"/>
      <c r="JMZ13"/>
      <c r="JNA13"/>
      <c r="JNB13"/>
      <c r="JNC13"/>
      <c r="JND13"/>
      <c r="JNE13"/>
      <c r="JNF13"/>
      <c r="JNG13"/>
      <c r="JNH13"/>
      <c r="JNI13"/>
      <c r="JNJ13"/>
      <c r="JNK13"/>
      <c r="JNL13"/>
      <c r="JNM13"/>
      <c r="JNN13"/>
      <c r="JNO13"/>
      <c r="JNP13"/>
      <c r="JNQ13"/>
      <c r="JNR13"/>
      <c r="JNS13"/>
      <c r="JNT13"/>
      <c r="JNU13"/>
      <c r="JNV13"/>
      <c r="JNW13"/>
      <c r="JNX13"/>
      <c r="JNY13"/>
      <c r="JNZ13"/>
      <c r="JOA13"/>
      <c r="JOB13"/>
      <c r="JOC13"/>
      <c r="JOD13"/>
      <c r="JOE13"/>
      <c r="JOF13"/>
      <c r="JOG13"/>
      <c r="JOH13"/>
      <c r="JOI13"/>
      <c r="JOJ13"/>
      <c r="JOK13"/>
      <c r="JOL13"/>
      <c r="JOM13"/>
      <c r="JON13"/>
      <c r="JOO13"/>
      <c r="JOP13"/>
      <c r="JOQ13"/>
      <c r="JOR13"/>
      <c r="JOS13"/>
      <c r="JOT13"/>
      <c r="JOU13"/>
      <c r="JOV13"/>
      <c r="JOW13"/>
      <c r="JOX13"/>
      <c r="JOY13"/>
      <c r="JOZ13"/>
      <c r="JPA13"/>
      <c r="JPB13"/>
      <c r="JPC13"/>
      <c r="JPD13"/>
      <c r="JPE13"/>
      <c r="JPF13"/>
      <c r="JPG13"/>
      <c r="JPH13"/>
      <c r="JPI13"/>
      <c r="JPJ13"/>
      <c r="JPK13"/>
      <c r="JPL13"/>
      <c r="JPM13"/>
      <c r="JPN13"/>
      <c r="JPO13"/>
      <c r="JPP13"/>
      <c r="JPQ13"/>
      <c r="JPR13"/>
      <c r="JPS13"/>
      <c r="JPT13"/>
      <c r="JPU13"/>
      <c r="JPV13"/>
      <c r="JPW13"/>
      <c r="JPX13"/>
      <c r="JPY13"/>
      <c r="JPZ13"/>
      <c r="JQA13"/>
      <c r="JQB13"/>
      <c r="JQC13"/>
      <c r="JQD13"/>
      <c r="JQE13"/>
      <c r="JQF13"/>
      <c r="JQG13"/>
      <c r="JQH13"/>
      <c r="JQI13"/>
      <c r="JQJ13"/>
      <c r="JQK13"/>
      <c r="JQL13"/>
      <c r="JQM13"/>
      <c r="JQN13"/>
      <c r="JQO13"/>
      <c r="JQP13"/>
      <c r="JQQ13"/>
      <c r="JQR13"/>
      <c r="JQS13"/>
      <c r="JQT13"/>
      <c r="JQU13"/>
      <c r="JQV13"/>
      <c r="JQW13"/>
      <c r="JQX13"/>
      <c r="JQY13"/>
      <c r="JQZ13"/>
      <c r="JRA13"/>
      <c r="JRB13"/>
      <c r="JRC13"/>
      <c r="JRD13"/>
      <c r="JRE13"/>
      <c r="JRF13"/>
      <c r="JRG13"/>
      <c r="JRH13"/>
      <c r="JRI13"/>
      <c r="JRJ13"/>
      <c r="JRK13"/>
      <c r="JRL13"/>
      <c r="JRM13"/>
      <c r="JRN13"/>
      <c r="JRO13"/>
      <c r="JRP13"/>
      <c r="JRQ13"/>
      <c r="JRR13"/>
      <c r="JRS13"/>
      <c r="JRT13"/>
      <c r="JRU13"/>
      <c r="JRV13"/>
      <c r="JRW13"/>
      <c r="JRX13"/>
      <c r="JRY13"/>
      <c r="JRZ13"/>
      <c r="JSA13"/>
      <c r="JSB13"/>
      <c r="JSC13"/>
      <c r="JSD13"/>
      <c r="JSE13"/>
      <c r="JSF13"/>
      <c r="JSG13"/>
      <c r="JSH13"/>
      <c r="JSI13"/>
      <c r="JSJ13"/>
      <c r="JSK13"/>
      <c r="JSL13"/>
      <c r="JSM13"/>
      <c r="JSN13"/>
      <c r="JSO13"/>
      <c r="JSP13"/>
      <c r="JSQ13"/>
      <c r="JSR13"/>
      <c r="JSS13"/>
      <c r="JST13"/>
      <c r="JSU13"/>
      <c r="JSV13"/>
      <c r="JSW13"/>
      <c r="JSX13"/>
      <c r="JSY13"/>
      <c r="JSZ13"/>
      <c r="JTA13"/>
      <c r="JTB13"/>
      <c r="JTC13"/>
      <c r="JTD13"/>
      <c r="JTE13"/>
      <c r="JTF13"/>
      <c r="JTG13"/>
      <c r="JTH13"/>
      <c r="JTI13"/>
      <c r="JTJ13"/>
      <c r="JTK13"/>
      <c r="JTL13"/>
      <c r="JTM13"/>
      <c r="JTN13"/>
      <c r="JTO13"/>
      <c r="JTP13"/>
      <c r="JTQ13"/>
      <c r="JTR13"/>
      <c r="JTS13"/>
      <c r="JTT13"/>
      <c r="JTU13"/>
      <c r="JTV13"/>
      <c r="JTW13"/>
      <c r="JTX13"/>
      <c r="JTY13"/>
      <c r="JTZ13"/>
      <c r="JUA13"/>
      <c r="JUB13"/>
      <c r="JUC13"/>
      <c r="JUD13"/>
      <c r="JUE13"/>
      <c r="JUF13"/>
      <c r="JUG13"/>
      <c r="JUH13"/>
      <c r="JUI13"/>
      <c r="JUJ13"/>
      <c r="JUK13"/>
      <c r="JUL13"/>
      <c r="JUM13"/>
      <c r="JUN13"/>
      <c r="JUO13"/>
      <c r="JUP13"/>
      <c r="JUQ13"/>
      <c r="JUR13"/>
      <c r="JUS13"/>
      <c r="JUT13"/>
      <c r="JUU13"/>
      <c r="JUV13"/>
      <c r="JUW13"/>
      <c r="JUX13"/>
      <c r="JUY13"/>
      <c r="JUZ13"/>
      <c r="JVA13"/>
      <c r="JVB13"/>
      <c r="JVC13"/>
      <c r="JVD13"/>
      <c r="JVE13"/>
      <c r="JVF13"/>
      <c r="JVG13"/>
      <c r="JVH13"/>
      <c r="JVI13"/>
      <c r="JVJ13"/>
      <c r="JVK13"/>
      <c r="JVL13"/>
      <c r="JVM13"/>
      <c r="JVN13"/>
      <c r="JVO13"/>
      <c r="JVP13"/>
      <c r="JVQ13"/>
      <c r="JVR13"/>
      <c r="JVS13"/>
      <c r="JVT13"/>
      <c r="JVU13"/>
      <c r="JVV13"/>
      <c r="JVW13"/>
      <c r="JVX13"/>
      <c r="JVY13"/>
      <c r="JVZ13"/>
      <c r="JWA13"/>
      <c r="JWB13"/>
      <c r="JWC13"/>
      <c r="JWD13"/>
      <c r="JWE13"/>
      <c r="JWF13"/>
      <c r="JWG13"/>
      <c r="JWH13"/>
      <c r="JWI13"/>
      <c r="JWJ13"/>
      <c r="JWK13"/>
      <c r="JWL13"/>
      <c r="JWM13"/>
      <c r="JWN13"/>
      <c r="JWO13"/>
      <c r="JWP13"/>
      <c r="JWQ13"/>
      <c r="JWR13"/>
      <c r="JWS13"/>
      <c r="JWT13"/>
      <c r="JWU13"/>
      <c r="JWV13"/>
      <c r="JWW13"/>
      <c r="JWX13"/>
      <c r="JWY13"/>
      <c r="JWZ13"/>
      <c r="JXA13"/>
      <c r="JXB13"/>
      <c r="JXC13"/>
      <c r="JXD13"/>
      <c r="JXE13"/>
      <c r="JXF13"/>
      <c r="JXG13"/>
      <c r="JXH13"/>
      <c r="JXI13"/>
      <c r="JXJ13"/>
      <c r="JXK13"/>
      <c r="JXL13"/>
      <c r="JXM13"/>
      <c r="JXN13"/>
      <c r="JXO13"/>
      <c r="JXP13"/>
      <c r="JXQ13"/>
      <c r="JXR13"/>
      <c r="JXS13"/>
      <c r="JXT13"/>
      <c r="JXU13"/>
      <c r="JXV13"/>
      <c r="JXW13"/>
      <c r="JXX13"/>
      <c r="JXY13"/>
      <c r="JXZ13"/>
      <c r="JYA13"/>
      <c r="JYB13"/>
      <c r="JYC13"/>
      <c r="JYD13"/>
      <c r="JYE13"/>
      <c r="JYF13"/>
      <c r="JYG13"/>
      <c r="JYH13"/>
      <c r="JYI13"/>
      <c r="JYJ13"/>
      <c r="JYK13"/>
      <c r="JYL13"/>
      <c r="JYM13"/>
      <c r="JYN13"/>
      <c r="JYO13"/>
      <c r="JYP13"/>
      <c r="JYQ13"/>
      <c r="JYR13"/>
      <c r="JYS13"/>
      <c r="JYT13"/>
      <c r="JYU13"/>
      <c r="JYV13"/>
      <c r="JYW13"/>
      <c r="JYX13"/>
      <c r="JYY13"/>
      <c r="JYZ13"/>
      <c r="JZA13"/>
      <c r="JZB13"/>
      <c r="JZC13"/>
      <c r="JZD13"/>
      <c r="JZE13"/>
      <c r="JZF13"/>
      <c r="JZG13"/>
      <c r="JZH13"/>
      <c r="JZI13"/>
      <c r="JZJ13"/>
      <c r="JZK13"/>
      <c r="JZL13"/>
      <c r="JZM13"/>
      <c r="JZN13"/>
      <c r="JZO13"/>
      <c r="JZP13"/>
      <c r="JZQ13"/>
      <c r="JZR13"/>
      <c r="JZS13"/>
      <c r="JZT13"/>
      <c r="JZU13"/>
      <c r="JZV13"/>
      <c r="JZW13"/>
      <c r="JZX13"/>
      <c r="JZY13"/>
      <c r="JZZ13"/>
      <c r="KAA13"/>
      <c r="KAB13"/>
      <c r="KAC13"/>
      <c r="KAD13"/>
      <c r="KAE13"/>
      <c r="KAF13"/>
      <c r="KAG13"/>
      <c r="KAH13"/>
      <c r="KAI13"/>
      <c r="KAJ13"/>
      <c r="KAK13"/>
      <c r="KAL13"/>
      <c r="KAM13"/>
      <c r="KAN13"/>
      <c r="KAO13"/>
      <c r="KAP13"/>
      <c r="KAQ13"/>
      <c r="KAR13"/>
      <c r="KAS13"/>
      <c r="KAT13"/>
      <c r="KAU13"/>
      <c r="KAV13"/>
      <c r="KAW13"/>
      <c r="KAX13"/>
      <c r="KAY13"/>
      <c r="KAZ13"/>
      <c r="KBA13"/>
      <c r="KBB13"/>
      <c r="KBC13"/>
      <c r="KBD13"/>
      <c r="KBE13"/>
      <c r="KBF13"/>
      <c r="KBG13"/>
      <c r="KBH13"/>
      <c r="KBI13"/>
      <c r="KBJ13"/>
      <c r="KBK13"/>
      <c r="KBL13"/>
      <c r="KBM13"/>
      <c r="KBN13"/>
      <c r="KBO13"/>
      <c r="KBP13"/>
      <c r="KBQ13"/>
      <c r="KBR13"/>
      <c r="KBS13"/>
      <c r="KBT13"/>
      <c r="KBU13"/>
      <c r="KBV13"/>
      <c r="KBW13"/>
      <c r="KBX13"/>
      <c r="KBY13"/>
      <c r="KBZ13"/>
      <c r="KCA13"/>
      <c r="KCB13"/>
      <c r="KCC13"/>
      <c r="KCD13"/>
      <c r="KCE13"/>
      <c r="KCF13"/>
      <c r="KCG13"/>
      <c r="KCH13"/>
      <c r="KCI13"/>
      <c r="KCJ13"/>
      <c r="KCK13"/>
      <c r="KCL13"/>
      <c r="KCM13"/>
      <c r="KCN13"/>
      <c r="KCO13"/>
      <c r="KCP13"/>
      <c r="KCQ13"/>
      <c r="KCR13"/>
      <c r="KCS13"/>
      <c r="KCT13"/>
      <c r="KCU13"/>
      <c r="KCV13"/>
      <c r="KCW13"/>
      <c r="KCX13"/>
      <c r="KCY13"/>
      <c r="KCZ13"/>
      <c r="KDA13"/>
      <c r="KDB13"/>
      <c r="KDC13"/>
      <c r="KDD13"/>
      <c r="KDE13"/>
      <c r="KDF13"/>
      <c r="KDG13"/>
      <c r="KDH13"/>
      <c r="KDI13"/>
      <c r="KDJ13"/>
      <c r="KDK13"/>
      <c r="KDL13"/>
      <c r="KDM13"/>
      <c r="KDN13"/>
      <c r="KDO13"/>
      <c r="KDP13"/>
      <c r="KDQ13"/>
      <c r="KDR13"/>
      <c r="KDS13"/>
      <c r="KDT13"/>
      <c r="KDU13"/>
      <c r="KDV13"/>
      <c r="KDW13"/>
      <c r="KDX13"/>
      <c r="KDY13"/>
      <c r="KDZ13"/>
      <c r="KEA13"/>
      <c r="KEB13"/>
      <c r="KEC13"/>
      <c r="KED13"/>
      <c r="KEE13"/>
      <c r="KEF13"/>
      <c r="KEG13"/>
      <c r="KEH13"/>
      <c r="KEI13"/>
      <c r="KEJ13"/>
      <c r="KEK13"/>
      <c r="KEL13"/>
      <c r="KEM13"/>
      <c r="KEN13"/>
      <c r="KEO13"/>
      <c r="KEP13"/>
      <c r="KEQ13"/>
      <c r="KER13"/>
      <c r="KES13"/>
      <c r="KET13"/>
      <c r="KEU13"/>
      <c r="KEV13"/>
      <c r="KEW13"/>
      <c r="KEX13"/>
      <c r="KEY13"/>
      <c r="KEZ13"/>
      <c r="KFA13"/>
      <c r="KFB13"/>
      <c r="KFC13"/>
      <c r="KFD13"/>
      <c r="KFE13"/>
      <c r="KFF13"/>
      <c r="KFG13"/>
      <c r="KFH13"/>
      <c r="KFI13"/>
      <c r="KFJ13"/>
      <c r="KFK13"/>
      <c r="KFL13"/>
      <c r="KFM13"/>
      <c r="KFN13"/>
      <c r="KFO13"/>
      <c r="KFP13"/>
      <c r="KFQ13"/>
      <c r="KFR13"/>
      <c r="KFS13"/>
      <c r="KFT13"/>
      <c r="KFU13"/>
      <c r="KFV13"/>
      <c r="KFW13"/>
      <c r="KFX13"/>
      <c r="KFY13"/>
      <c r="KFZ13"/>
      <c r="KGA13"/>
      <c r="KGB13"/>
      <c r="KGC13"/>
      <c r="KGD13"/>
      <c r="KGE13"/>
      <c r="KGF13"/>
      <c r="KGG13"/>
      <c r="KGH13"/>
      <c r="KGI13"/>
      <c r="KGJ13"/>
      <c r="KGK13"/>
      <c r="KGL13"/>
      <c r="KGM13"/>
      <c r="KGN13"/>
      <c r="KGO13"/>
      <c r="KGP13"/>
      <c r="KGQ13"/>
      <c r="KGR13"/>
      <c r="KGS13"/>
      <c r="KGT13"/>
      <c r="KGU13"/>
      <c r="KGV13"/>
      <c r="KGW13"/>
      <c r="KGX13"/>
      <c r="KGY13"/>
      <c r="KGZ13"/>
      <c r="KHA13"/>
      <c r="KHB13"/>
      <c r="KHC13"/>
      <c r="KHD13"/>
      <c r="KHE13"/>
      <c r="KHF13"/>
      <c r="KHG13"/>
      <c r="KHH13"/>
      <c r="KHI13"/>
      <c r="KHJ13"/>
      <c r="KHK13"/>
      <c r="KHL13"/>
      <c r="KHM13"/>
      <c r="KHN13"/>
      <c r="KHO13"/>
      <c r="KHP13"/>
      <c r="KHQ13"/>
      <c r="KHR13"/>
      <c r="KHS13"/>
      <c r="KHT13"/>
      <c r="KHU13"/>
      <c r="KHV13"/>
      <c r="KHW13"/>
      <c r="KHX13"/>
      <c r="KHY13"/>
      <c r="KHZ13"/>
      <c r="KIA13"/>
      <c r="KIB13"/>
      <c r="KIC13"/>
      <c r="KID13"/>
      <c r="KIE13"/>
      <c r="KIF13"/>
      <c r="KIG13"/>
      <c r="KIH13"/>
      <c r="KII13"/>
      <c r="KIJ13"/>
      <c r="KIK13"/>
      <c r="KIL13"/>
      <c r="KIM13"/>
      <c r="KIN13"/>
      <c r="KIO13"/>
      <c r="KIP13"/>
      <c r="KIQ13"/>
      <c r="KIR13"/>
      <c r="KIS13"/>
      <c r="KIT13"/>
      <c r="KIU13"/>
      <c r="KIV13"/>
      <c r="KIW13"/>
      <c r="KIX13"/>
      <c r="KIY13"/>
      <c r="KIZ13"/>
      <c r="KJA13"/>
      <c r="KJB13"/>
      <c r="KJC13"/>
      <c r="KJD13"/>
      <c r="KJE13"/>
      <c r="KJF13"/>
      <c r="KJG13"/>
      <c r="KJH13"/>
      <c r="KJI13"/>
      <c r="KJJ13"/>
      <c r="KJK13"/>
      <c r="KJL13"/>
      <c r="KJM13"/>
      <c r="KJN13"/>
      <c r="KJO13"/>
      <c r="KJP13"/>
      <c r="KJQ13"/>
      <c r="KJR13"/>
      <c r="KJS13"/>
      <c r="KJT13"/>
      <c r="KJU13"/>
      <c r="KJV13"/>
      <c r="KJW13"/>
      <c r="KJX13"/>
      <c r="KJY13"/>
      <c r="KJZ13"/>
      <c r="KKA13"/>
      <c r="KKB13"/>
      <c r="KKC13"/>
      <c r="KKD13"/>
      <c r="KKE13"/>
      <c r="KKF13"/>
      <c r="KKG13"/>
      <c r="KKH13"/>
      <c r="KKI13"/>
      <c r="KKJ13"/>
      <c r="KKK13"/>
      <c r="KKL13"/>
      <c r="KKM13"/>
      <c r="KKN13"/>
      <c r="KKO13"/>
      <c r="KKP13"/>
      <c r="KKQ13"/>
      <c r="KKR13"/>
      <c r="KKS13"/>
      <c r="KKT13"/>
      <c r="KKU13"/>
      <c r="KKV13"/>
      <c r="KKW13"/>
      <c r="KKX13"/>
      <c r="KKY13"/>
      <c r="KKZ13"/>
      <c r="KLA13"/>
      <c r="KLB13"/>
      <c r="KLC13"/>
      <c r="KLD13"/>
      <c r="KLE13"/>
      <c r="KLF13"/>
      <c r="KLG13"/>
      <c r="KLH13"/>
      <c r="KLI13"/>
      <c r="KLJ13"/>
      <c r="KLK13"/>
      <c r="KLL13"/>
      <c r="KLM13"/>
      <c r="KLN13"/>
      <c r="KLO13"/>
      <c r="KLP13"/>
      <c r="KLQ13"/>
      <c r="KLR13"/>
      <c r="KLS13"/>
      <c r="KLT13"/>
      <c r="KLU13"/>
      <c r="KLV13"/>
      <c r="KLW13"/>
      <c r="KLX13"/>
      <c r="KLY13"/>
      <c r="KLZ13"/>
      <c r="KMA13"/>
      <c r="KMB13"/>
      <c r="KMC13"/>
      <c r="KMD13"/>
      <c r="KME13"/>
      <c r="KMF13"/>
      <c r="KMG13"/>
      <c r="KMH13"/>
      <c r="KMI13"/>
      <c r="KMJ13"/>
      <c r="KMK13"/>
      <c r="KML13"/>
      <c r="KMM13"/>
      <c r="KMN13"/>
      <c r="KMO13"/>
      <c r="KMP13"/>
      <c r="KMQ13"/>
      <c r="KMR13"/>
      <c r="KMS13"/>
      <c r="KMT13"/>
      <c r="KMU13"/>
      <c r="KMV13"/>
      <c r="KMW13"/>
      <c r="KMX13"/>
      <c r="KMY13"/>
      <c r="KMZ13"/>
      <c r="KNA13"/>
      <c r="KNB13"/>
      <c r="KNC13"/>
      <c r="KND13"/>
      <c r="KNE13"/>
      <c r="KNF13"/>
      <c r="KNG13"/>
      <c r="KNH13"/>
      <c r="KNI13"/>
      <c r="KNJ13"/>
      <c r="KNK13"/>
      <c r="KNL13"/>
      <c r="KNM13"/>
      <c r="KNN13"/>
      <c r="KNO13"/>
      <c r="KNP13"/>
      <c r="KNQ13"/>
      <c r="KNR13"/>
      <c r="KNS13"/>
      <c r="KNT13"/>
      <c r="KNU13"/>
      <c r="KNV13"/>
      <c r="KNW13"/>
      <c r="KNX13"/>
      <c r="KNY13"/>
      <c r="KNZ13"/>
      <c r="KOA13"/>
      <c r="KOB13"/>
      <c r="KOC13"/>
      <c r="KOD13"/>
      <c r="KOE13"/>
      <c r="KOF13"/>
      <c r="KOG13"/>
      <c r="KOH13"/>
      <c r="KOI13"/>
      <c r="KOJ13"/>
      <c r="KOK13"/>
      <c r="KOL13"/>
      <c r="KOM13"/>
      <c r="KON13"/>
      <c r="KOO13"/>
      <c r="KOP13"/>
      <c r="KOQ13"/>
      <c r="KOR13"/>
      <c r="KOS13"/>
      <c r="KOT13"/>
      <c r="KOU13"/>
      <c r="KOV13"/>
      <c r="KOW13"/>
      <c r="KOX13"/>
      <c r="KOY13"/>
      <c r="KOZ13"/>
      <c r="KPA13"/>
      <c r="KPB13"/>
      <c r="KPC13"/>
      <c r="KPD13"/>
      <c r="KPE13"/>
      <c r="KPF13"/>
      <c r="KPG13"/>
      <c r="KPH13"/>
      <c r="KPI13"/>
      <c r="KPJ13"/>
      <c r="KPK13"/>
      <c r="KPL13"/>
      <c r="KPM13"/>
      <c r="KPN13"/>
      <c r="KPO13"/>
      <c r="KPP13"/>
      <c r="KPQ13"/>
      <c r="KPR13"/>
      <c r="KPS13"/>
      <c r="KPT13"/>
      <c r="KPU13"/>
      <c r="KPV13"/>
      <c r="KPW13"/>
      <c r="KPX13"/>
      <c r="KPY13"/>
      <c r="KPZ13"/>
      <c r="KQA13"/>
      <c r="KQB13"/>
      <c r="KQC13"/>
      <c r="KQD13"/>
      <c r="KQE13"/>
      <c r="KQF13"/>
      <c r="KQG13"/>
      <c r="KQH13"/>
      <c r="KQI13"/>
      <c r="KQJ13"/>
      <c r="KQK13"/>
      <c r="KQL13"/>
      <c r="KQM13"/>
      <c r="KQN13"/>
      <c r="KQO13"/>
      <c r="KQP13"/>
      <c r="KQQ13"/>
      <c r="KQR13"/>
      <c r="KQS13"/>
      <c r="KQT13"/>
      <c r="KQU13"/>
      <c r="KQV13"/>
      <c r="KQW13"/>
      <c r="KQX13"/>
      <c r="KQY13"/>
      <c r="KQZ13"/>
      <c r="KRA13"/>
      <c r="KRB13"/>
      <c r="KRC13"/>
      <c r="KRD13"/>
      <c r="KRE13"/>
      <c r="KRF13"/>
      <c r="KRG13"/>
      <c r="KRH13"/>
      <c r="KRI13"/>
      <c r="KRJ13"/>
      <c r="KRK13"/>
      <c r="KRL13"/>
      <c r="KRM13"/>
      <c r="KRN13"/>
      <c r="KRO13"/>
      <c r="KRP13"/>
      <c r="KRQ13"/>
      <c r="KRR13"/>
      <c r="KRS13"/>
      <c r="KRT13"/>
      <c r="KRU13"/>
      <c r="KRV13"/>
      <c r="KRW13"/>
      <c r="KRX13"/>
      <c r="KRY13"/>
      <c r="KRZ13"/>
      <c r="KSA13"/>
      <c r="KSB13"/>
      <c r="KSC13"/>
      <c r="KSD13"/>
      <c r="KSE13"/>
      <c r="KSF13"/>
      <c r="KSG13"/>
      <c r="KSH13"/>
      <c r="KSI13"/>
      <c r="KSJ13"/>
      <c r="KSK13"/>
      <c r="KSL13"/>
      <c r="KSM13"/>
      <c r="KSN13"/>
      <c r="KSO13"/>
      <c r="KSP13"/>
      <c r="KSQ13"/>
      <c r="KSR13"/>
      <c r="KSS13"/>
      <c r="KST13"/>
      <c r="KSU13"/>
      <c r="KSV13"/>
      <c r="KSW13"/>
      <c r="KSX13"/>
      <c r="KSY13"/>
      <c r="KSZ13"/>
      <c r="KTA13"/>
      <c r="KTB13"/>
      <c r="KTC13"/>
      <c r="KTD13"/>
      <c r="KTE13"/>
      <c r="KTF13"/>
      <c r="KTG13"/>
      <c r="KTH13"/>
      <c r="KTI13"/>
      <c r="KTJ13"/>
      <c r="KTK13"/>
      <c r="KTL13"/>
      <c r="KTM13"/>
      <c r="KTN13"/>
      <c r="KTO13"/>
      <c r="KTP13"/>
      <c r="KTQ13"/>
      <c r="KTR13"/>
      <c r="KTS13"/>
      <c r="KTT13"/>
      <c r="KTU13"/>
      <c r="KTV13"/>
      <c r="KTW13"/>
      <c r="KTX13"/>
      <c r="KTY13"/>
      <c r="KTZ13"/>
      <c r="KUA13"/>
      <c r="KUB13"/>
      <c r="KUC13"/>
      <c r="KUD13"/>
      <c r="KUE13"/>
      <c r="KUF13"/>
      <c r="KUG13"/>
      <c r="KUH13"/>
      <c r="KUI13"/>
      <c r="KUJ13"/>
      <c r="KUK13"/>
      <c r="KUL13"/>
      <c r="KUM13"/>
      <c r="KUN13"/>
      <c r="KUO13"/>
      <c r="KUP13"/>
      <c r="KUQ13"/>
      <c r="KUR13"/>
      <c r="KUS13"/>
      <c r="KUT13"/>
      <c r="KUU13"/>
      <c r="KUV13"/>
      <c r="KUW13"/>
      <c r="KUX13"/>
      <c r="KUY13"/>
      <c r="KUZ13"/>
      <c r="KVA13"/>
      <c r="KVB13"/>
      <c r="KVC13"/>
      <c r="KVD13"/>
      <c r="KVE13"/>
      <c r="KVF13"/>
      <c r="KVG13"/>
      <c r="KVH13"/>
      <c r="KVI13"/>
      <c r="KVJ13"/>
      <c r="KVK13"/>
      <c r="KVL13"/>
      <c r="KVM13"/>
      <c r="KVN13"/>
      <c r="KVO13"/>
      <c r="KVP13"/>
      <c r="KVQ13"/>
      <c r="KVR13"/>
      <c r="KVS13"/>
      <c r="KVT13"/>
      <c r="KVU13"/>
      <c r="KVV13"/>
      <c r="KVW13"/>
      <c r="KVX13"/>
      <c r="KVY13"/>
      <c r="KVZ13"/>
      <c r="KWA13"/>
      <c r="KWB13"/>
      <c r="KWC13"/>
      <c r="KWD13"/>
      <c r="KWE13"/>
      <c r="KWF13"/>
      <c r="KWG13"/>
      <c r="KWH13"/>
      <c r="KWI13"/>
      <c r="KWJ13"/>
      <c r="KWK13"/>
      <c r="KWL13"/>
      <c r="KWM13"/>
      <c r="KWN13"/>
      <c r="KWO13"/>
      <c r="KWP13"/>
      <c r="KWQ13"/>
      <c r="KWR13"/>
      <c r="KWS13"/>
      <c r="KWT13"/>
      <c r="KWU13"/>
      <c r="KWV13"/>
      <c r="KWW13"/>
      <c r="KWX13"/>
      <c r="KWY13"/>
      <c r="KWZ13"/>
      <c r="KXA13"/>
      <c r="KXB13"/>
      <c r="KXC13"/>
      <c r="KXD13"/>
      <c r="KXE13"/>
      <c r="KXF13"/>
      <c r="KXG13"/>
      <c r="KXH13"/>
      <c r="KXI13"/>
      <c r="KXJ13"/>
      <c r="KXK13"/>
      <c r="KXL13"/>
      <c r="KXM13"/>
      <c r="KXN13"/>
      <c r="KXO13"/>
      <c r="KXP13"/>
      <c r="KXQ13"/>
      <c r="KXR13"/>
      <c r="KXS13"/>
      <c r="KXT13"/>
      <c r="KXU13"/>
      <c r="KXV13"/>
      <c r="KXW13"/>
      <c r="KXX13"/>
      <c r="KXY13"/>
      <c r="KXZ13"/>
      <c r="KYA13"/>
      <c r="KYB13"/>
      <c r="KYC13"/>
      <c r="KYD13"/>
      <c r="KYE13"/>
      <c r="KYF13"/>
      <c r="KYG13"/>
      <c r="KYH13"/>
      <c r="KYI13"/>
      <c r="KYJ13"/>
      <c r="KYK13"/>
      <c r="KYL13"/>
      <c r="KYM13"/>
      <c r="KYN13"/>
      <c r="KYO13"/>
      <c r="KYP13"/>
      <c r="KYQ13"/>
      <c r="KYR13"/>
      <c r="KYS13"/>
      <c r="KYT13"/>
      <c r="KYU13"/>
      <c r="KYV13"/>
      <c r="KYW13"/>
      <c r="KYX13"/>
      <c r="KYY13"/>
      <c r="KYZ13"/>
      <c r="KZA13"/>
      <c r="KZB13"/>
      <c r="KZC13"/>
      <c r="KZD13"/>
      <c r="KZE13"/>
      <c r="KZF13"/>
      <c r="KZG13"/>
      <c r="KZH13"/>
      <c r="KZI13"/>
      <c r="KZJ13"/>
      <c r="KZK13"/>
      <c r="KZL13"/>
      <c r="KZM13"/>
      <c r="KZN13"/>
      <c r="KZO13"/>
      <c r="KZP13"/>
      <c r="KZQ13"/>
      <c r="KZR13"/>
      <c r="KZS13"/>
      <c r="KZT13"/>
      <c r="KZU13"/>
      <c r="KZV13"/>
      <c r="KZW13"/>
      <c r="KZX13"/>
      <c r="KZY13"/>
      <c r="KZZ13"/>
      <c r="LAA13"/>
      <c r="LAB13"/>
      <c r="LAC13"/>
      <c r="LAD13"/>
      <c r="LAE13"/>
      <c r="LAF13"/>
      <c r="LAG13"/>
      <c r="LAH13"/>
      <c r="LAI13"/>
      <c r="LAJ13"/>
      <c r="LAK13"/>
      <c r="LAL13"/>
      <c r="LAM13"/>
      <c r="LAN13"/>
      <c r="LAO13"/>
      <c r="LAP13"/>
      <c r="LAQ13"/>
      <c r="LAR13"/>
      <c r="LAS13"/>
      <c r="LAT13"/>
      <c r="LAU13"/>
      <c r="LAV13"/>
      <c r="LAW13"/>
      <c r="LAX13"/>
      <c r="LAY13"/>
      <c r="LAZ13"/>
      <c r="LBA13"/>
      <c r="LBB13"/>
      <c r="LBC13"/>
      <c r="LBD13"/>
      <c r="LBE13"/>
      <c r="LBF13"/>
      <c r="LBG13"/>
      <c r="LBH13"/>
      <c r="LBI13"/>
      <c r="LBJ13"/>
      <c r="LBK13"/>
      <c r="LBL13"/>
      <c r="LBM13"/>
      <c r="LBN13"/>
      <c r="LBO13"/>
      <c r="LBP13"/>
      <c r="LBQ13"/>
      <c r="LBR13"/>
      <c r="LBS13"/>
      <c r="LBT13"/>
      <c r="LBU13"/>
      <c r="LBV13"/>
      <c r="LBW13"/>
      <c r="LBX13"/>
      <c r="LBY13"/>
      <c r="LBZ13"/>
      <c r="LCA13"/>
      <c r="LCB13"/>
      <c r="LCC13"/>
      <c r="LCD13"/>
      <c r="LCE13"/>
      <c r="LCF13"/>
      <c r="LCG13"/>
      <c r="LCH13"/>
      <c r="LCI13"/>
      <c r="LCJ13"/>
      <c r="LCK13"/>
      <c r="LCL13"/>
      <c r="LCM13"/>
      <c r="LCN13"/>
      <c r="LCO13"/>
      <c r="LCP13"/>
      <c r="LCQ13"/>
      <c r="LCR13"/>
      <c r="LCS13"/>
      <c r="LCT13"/>
      <c r="LCU13"/>
      <c r="LCV13"/>
      <c r="LCW13"/>
      <c r="LCX13"/>
      <c r="LCY13"/>
      <c r="LCZ13"/>
      <c r="LDA13"/>
      <c r="LDB13"/>
      <c r="LDC13"/>
      <c r="LDD13"/>
      <c r="LDE13"/>
      <c r="LDF13"/>
      <c r="LDG13"/>
      <c r="LDH13"/>
      <c r="LDI13"/>
      <c r="LDJ13"/>
      <c r="LDK13"/>
      <c r="LDL13"/>
      <c r="LDM13"/>
      <c r="LDN13"/>
      <c r="LDO13"/>
      <c r="LDP13"/>
      <c r="LDQ13"/>
      <c r="LDR13"/>
      <c r="LDS13"/>
      <c r="LDT13"/>
      <c r="LDU13"/>
      <c r="LDV13"/>
      <c r="LDW13"/>
      <c r="LDX13"/>
      <c r="LDY13"/>
      <c r="LDZ13"/>
      <c r="LEA13"/>
      <c r="LEB13"/>
      <c r="LEC13"/>
      <c r="LED13"/>
      <c r="LEE13"/>
      <c r="LEF13"/>
      <c r="LEG13"/>
      <c r="LEH13"/>
      <c r="LEI13"/>
      <c r="LEJ13"/>
      <c r="LEK13"/>
      <c r="LEL13"/>
      <c r="LEM13"/>
      <c r="LEN13"/>
      <c r="LEO13"/>
      <c r="LEP13"/>
      <c r="LEQ13"/>
      <c r="LER13"/>
      <c r="LES13"/>
      <c r="LET13"/>
      <c r="LEU13"/>
      <c r="LEV13"/>
      <c r="LEW13"/>
      <c r="LEX13"/>
      <c r="LEY13"/>
      <c r="LEZ13"/>
      <c r="LFA13"/>
      <c r="LFB13"/>
      <c r="LFC13"/>
      <c r="LFD13"/>
      <c r="LFE13"/>
      <c r="LFF13"/>
      <c r="LFG13"/>
      <c r="LFH13"/>
      <c r="LFI13"/>
      <c r="LFJ13"/>
      <c r="LFK13"/>
      <c r="LFL13"/>
      <c r="LFM13"/>
      <c r="LFN13"/>
      <c r="LFO13"/>
      <c r="LFP13"/>
      <c r="LFQ13"/>
      <c r="LFR13"/>
      <c r="LFS13"/>
      <c r="LFT13"/>
      <c r="LFU13"/>
      <c r="LFV13"/>
      <c r="LFW13"/>
      <c r="LFX13"/>
      <c r="LFY13"/>
      <c r="LFZ13"/>
      <c r="LGA13"/>
      <c r="LGB13"/>
      <c r="LGC13"/>
      <c r="LGD13"/>
      <c r="LGE13"/>
      <c r="LGF13"/>
      <c r="LGG13"/>
      <c r="LGH13"/>
      <c r="LGI13"/>
      <c r="LGJ13"/>
      <c r="LGK13"/>
      <c r="LGL13"/>
      <c r="LGM13"/>
      <c r="LGN13"/>
      <c r="LGO13"/>
      <c r="LGP13"/>
      <c r="LGQ13"/>
      <c r="LGR13"/>
      <c r="LGS13"/>
      <c r="LGT13"/>
      <c r="LGU13"/>
      <c r="LGV13"/>
      <c r="LGW13"/>
      <c r="LGX13"/>
      <c r="LGY13"/>
      <c r="LGZ13"/>
      <c r="LHA13"/>
      <c r="LHB13"/>
      <c r="LHC13"/>
      <c r="LHD13"/>
      <c r="LHE13"/>
      <c r="LHF13"/>
      <c r="LHG13"/>
      <c r="LHH13"/>
      <c r="LHI13"/>
      <c r="LHJ13"/>
      <c r="LHK13"/>
      <c r="LHL13"/>
      <c r="LHM13"/>
      <c r="LHN13"/>
      <c r="LHO13"/>
      <c r="LHP13"/>
      <c r="LHQ13"/>
      <c r="LHR13"/>
      <c r="LHS13"/>
      <c r="LHT13"/>
      <c r="LHU13"/>
      <c r="LHV13"/>
      <c r="LHW13"/>
      <c r="LHX13"/>
      <c r="LHY13"/>
      <c r="LHZ13"/>
      <c r="LIA13"/>
      <c r="LIB13"/>
      <c r="LIC13"/>
      <c r="LID13"/>
      <c r="LIE13"/>
      <c r="LIF13"/>
      <c r="LIG13"/>
      <c r="LIH13"/>
      <c r="LII13"/>
      <c r="LIJ13"/>
      <c r="LIK13"/>
      <c r="LIL13"/>
      <c r="LIM13"/>
      <c r="LIN13"/>
      <c r="LIO13"/>
      <c r="LIP13"/>
      <c r="LIQ13"/>
      <c r="LIR13"/>
      <c r="LIS13"/>
      <c r="LIT13"/>
      <c r="LIU13"/>
      <c r="LIV13"/>
      <c r="LIW13"/>
      <c r="LIX13"/>
      <c r="LIY13"/>
      <c r="LIZ13"/>
      <c r="LJA13"/>
      <c r="LJB13"/>
      <c r="LJC13"/>
      <c r="LJD13"/>
      <c r="LJE13"/>
      <c r="LJF13"/>
      <c r="LJG13"/>
      <c r="LJH13"/>
      <c r="LJI13"/>
      <c r="LJJ13"/>
      <c r="LJK13"/>
      <c r="LJL13"/>
      <c r="LJM13"/>
      <c r="LJN13"/>
      <c r="LJO13"/>
      <c r="LJP13"/>
      <c r="LJQ13"/>
      <c r="LJR13"/>
      <c r="LJS13"/>
      <c r="LJT13"/>
      <c r="LJU13"/>
      <c r="LJV13"/>
      <c r="LJW13"/>
      <c r="LJX13"/>
      <c r="LJY13"/>
      <c r="LJZ13"/>
      <c r="LKA13"/>
      <c r="LKB13"/>
      <c r="LKC13"/>
      <c r="LKD13"/>
      <c r="LKE13"/>
      <c r="LKF13"/>
      <c r="LKG13"/>
      <c r="LKH13"/>
      <c r="LKI13"/>
      <c r="LKJ13"/>
      <c r="LKK13"/>
      <c r="LKL13"/>
      <c r="LKM13"/>
      <c r="LKN13"/>
      <c r="LKO13"/>
      <c r="LKP13"/>
      <c r="LKQ13"/>
      <c r="LKR13"/>
      <c r="LKS13"/>
      <c r="LKT13"/>
      <c r="LKU13"/>
      <c r="LKV13"/>
      <c r="LKW13"/>
      <c r="LKX13"/>
      <c r="LKY13"/>
      <c r="LKZ13"/>
      <c r="LLA13"/>
      <c r="LLB13"/>
      <c r="LLC13"/>
      <c r="LLD13"/>
      <c r="LLE13"/>
      <c r="LLF13"/>
      <c r="LLG13"/>
      <c r="LLH13"/>
      <c r="LLI13"/>
      <c r="LLJ13"/>
      <c r="LLK13"/>
      <c r="LLL13"/>
      <c r="LLM13"/>
      <c r="LLN13"/>
      <c r="LLO13"/>
      <c r="LLP13"/>
      <c r="LLQ13"/>
      <c r="LLR13"/>
      <c r="LLS13"/>
      <c r="LLT13"/>
      <c r="LLU13"/>
      <c r="LLV13"/>
      <c r="LLW13"/>
      <c r="LLX13"/>
      <c r="LLY13"/>
      <c r="LLZ13"/>
      <c r="LMA13"/>
      <c r="LMB13"/>
      <c r="LMC13"/>
      <c r="LMD13"/>
      <c r="LME13"/>
      <c r="LMF13"/>
      <c r="LMG13"/>
      <c r="LMH13"/>
      <c r="LMI13"/>
      <c r="LMJ13"/>
      <c r="LMK13"/>
      <c r="LML13"/>
      <c r="LMM13"/>
      <c r="LMN13"/>
      <c r="LMO13"/>
      <c r="LMP13"/>
      <c r="LMQ13"/>
      <c r="LMR13"/>
      <c r="LMS13"/>
      <c r="LMT13"/>
      <c r="LMU13"/>
      <c r="LMV13"/>
      <c r="LMW13"/>
      <c r="LMX13"/>
      <c r="LMY13"/>
      <c r="LMZ13"/>
      <c r="LNA13"/>
      <c r="LNB13"/>
      <c r="LNC13"/>
      <c r="LND13"/>
      <c r="LNE13"/>
      <c r="LNF13"/>
      <c r="LNG13"/>
      <c r="LNH13"/>
      <c r="LNI13"/>
      <c r="LNJ13"/>
      <c r="LNK13"/>
      <c r="LNL13"/>
      <c r="LNM13"/>
      <c r="LNN13"/>
      <c r="LNO13"/>
      <c r="LNP13"/>
      <c r="LNQ13"/>
      <c r="LNR13"/>
      <c r="LNS13"/>
      <c r="LNT13"/>
      <c r="LNU13"/>
      <c r="LNV13"/>
      <c r="LNW13"/>
      <c r="LNX13"/>
      <c r="LNY13"/>
      <c r="LNZ13"/>
      <c r="LOA13"/>
      <c r="LOB13"/>
      <c r="LOC13"/>
      <c r="LOD13"/>
      <c r="LOE13"/>
      <c r="LOF13"/>
      <c r="LOG13"/>
      <c r="LOH13"/>
      <c r="LOI13"/>
      <c r="LOJ13"/>
      <c r="LOK13"/>
      <c r="LOL13"/>
      <c r="LOM13"/>
      <c r="LON13"/>
      <c r="LOO13"/>
      <c r="LOP13"/>
      <c r="LOQ13"/>
      <c r="LOR13"/>
      <c r="LOS13"/>
      <c r="LOT13"/>
      <c r="LOU13"/>
      <c r="LOV13"/>
      <c r="LOW13"/>
      <c r="LOX13"/>
      <c r="LOY13"/>
      <c r="LOZ13"/>
      <c r="LPA13"/>
      <c r="LPB13"/>
      <c r="LPC13"/>
      <c r="LPD13"/>
      <c r="LPE13"/>
      <c r="LPF13"/>
      <c r="LPG13"/>
      <c r="LPH13"/>
      <c r="LPI13"/>
      <c r="LPJ13"/>
      <c r="LPK13"/>
      <c r="LPL13"/>
      <c r="LPM13"/>
      <c r="LPN13"/>
      <c r="LPO13"/>
      <c r="LPP13"/>
      <c r="LPQ13"/>
      <c r="LPR13"/>
      <c r="LPS13"/>
      <c r="LPT13"/>
      <c r="LPU13"/>
      <c r="LPV13"/>
      <c r="LPW13"/>
      <c r="LPX13"/>
      <c r="LPY13"/>
      <c r="LPZ13"/>
      <c r="LQA13"/>
      <c r="LQB13"/>
      <c r="LQC13"/>
      <c r="LQD13"/>
      <c r="LQE13"/>
      <c r="LQF13"/>
      <c r="LQG13"/>
      <c r="LQH13"/>
      <c r="LQI13"/>
      <c r="LQJ13"/>
      <c r="LQK13"/>
      <c r="LQL13"/>
      <c r="LQM13"/>
      <c r="LQN13"/>
      <c r="LQO13"/>
      <c r="LQP13"/>
      <c r="LQQ13"/>
      <c r="LQR13"/>
      <c r="LQS13"/>
      <c r="LQT13"/>
      <c r="LQU13"/>
      <c r="LQV13"/>
      <c r="LQW13"/>
      <c r="LQX13"/>
      <c r="LQY13"/>
      <c r="LQZ13"/>
      <c r="LRA13"/>
      <c r="LRB13"/>
      <c r="LRC13"/>
      <c r="LRD13"/>
      <c r="LRE13"/>
      <c r="LRF13"/>
      <c r="LRG13"/>
      <c r="LRH13"/>
      <c r="LRI13"/>
      <c r="LRJ13"/>
      <c r="LRK13"/>
      <c r="LRL13"/>
      <c r="LRM13"/>
      <c r="LRN13"/>
      <c r="LRO13"/>
      <c r="LRP13"/>
      <c r="LRQ13"/>
      <c r="LRR13"/>
      <c r="LRS13"/>
      <c r="LRT13"/>
      <c r="LRU13"/>
      <c r="LRV13"/>
      <c r="LRW13"/>
      <c r="LRX13"/>
      <c r="LRY13"/>
      <c r="LRZ13"/>
      <c r="LSA13"/>
      <c r="LSB13"/>
      <c r="LSC13"/>
      <c r="LSD13"/>
      <c r="LSE13"/>
      <c r="LSF13"/>
      <c r="LSG13"/>
      <c r="LSH13"/>
      <c r="LSI13"/>
      <c r="LSJ13"/>
      <c r="LSK13"/>
      <c r="LSL13"/>
      <c r="LSM13"/>
      <c r="LSN13"/>
      <c r="LSO13"/>
      <c r="LSP13"/>
      <c r="LSQ13"/>
      <c r="LSR13"/>
      <c r="LSS13"/>
      <c r="LST13"/>
      <c r="LSU13"/>
      <c r="LSV13"/>
      <c r="LSW13"/>
      <c r="LSX13"/>
      <c r="LSY13"/>
      <c r="LSZ13"/>
      <c r="LTA13"/>
      <c r="LTB13"/>
      <c r="LTC13"/>
      <c r="LTD13"/>
      <c r="LTE13"/>
      <c r="LTF13"/>
      <c r="LTG13"/>
      <c r="LTH13"/>
      <c r="LTI13"/>
      <c r="LTJ13"/>
      <c r="LTK13"/>
      <c r="LTL13"/>
      <c r="LTM13"/>
      <c r="LTN13"/>
      <c r="LTO13"/>
      <c r="LTP13"/>
      <c r="LTQ13"/>
      <c r="LTR13"/>
      <c r="LTS13"/>
      <c r="LTT13"/>
      <c r="LTU13"/>
      <c r="LTV13"/>
      <c r="LTW13"/>
      <c r="LTX13"/>
      <c r="LTY13"/>
      <c r="LTZ13"/>
      <c r="LUA13"/>
      <c r="LUB13"/>
      <c r="LUC13"/>
      <c r="LUD13"/>
      <c r="LUE13"/>
      <c r="LUF13"/>
      <c r="LUG13"/>
      <c r="LUH13"/>
      <c r="LUI13"/>
      <c r="LUJ13"/>
      <c r="LUK13"/>
      <c r="LUL13"/>
      <c r="LUM13"/>
      <c r="LUN13"/>
      <c r="LUO13"/>
      <c r="LUP13"/>
      <c r="LUQ13"/>
      <c r="LUR13"/>
      <c r="LUS13"/>
      <c r="LUT13"/>
      <c r="LUU13"/>
      <c r="LUV13"/>
      <c r="LUW13"/>
      <c r="LUX13"/>
      <c r="LUY13"/>
      <c r="LUZ13"/>
      <c r="LVA13"/>
      <c r="LVB13"/>
      <c r="LVC13"/>
      <c r="LVD13"/>
      <c r="LVE13"/>
      <c r="LVF13"/>
      <c r="LVG13"/>
      <c r="LVH13"/>
      <c r="LVI13"/>
      <c r="LVJ13"/>
      <c r="LVK13"/>
      <c r="LVL13"/>
      <c r="LVM13"/>
      <c r="LVN13"/>
      <c r="LVO13"/>
      <c r="LVP13"/>
      <c r="LVQ13"/>
      <c r="LVR13"/>
      <c r="LVS13"/>
      <c r="LVT13"/>
      <c r="LVU13"/>
      <c r="LVV13"/>
      <c r="LVW13"/>
      <c r="LVX13"/>
      <c r="LVY13"/>
      <c r="LVZ13"/>
      <c r="LWA13"/>
      <c r="LWB13"/>
      <c r="LWC13"/>
      <c r="LWD13"/>
      <c r="LWE13"/>
      <c r="LWF13"/>
      <c r="LWG13"/>
      <c r="LWH13"/>
      <c r="LWI13"/>
      <c r="LWJ13"/>
      <c r="LWK13"/>
      <c r="LWL13"/>
      <c r="LWM13"/>
      <c r="LWN13"/>
      <c r="LWO13"/>
      <c r="LWP13"/>
      <c r="LWQ13"/>
      <c r="LWR13"/>
      <c r="LWS13"/>
      <c r="LWT13"/>
      <c r="LWU13"/>
      <c r="LWV13"/>
      <c r="LWW13"/>
      <c r="LWX13"/>
      <c r="LWY13"/>
      <c r="LWZ13"/>
      <c r="LXA13"/>
      <c r="LXB13"/>
      <c r="LXC13"/>
      <c r="LXD13"/>
      <c r="LXE13"/>
      <c r="LXF13"/>
      <c r="LXG13"/>
      <c r="LXH13"/>
      <c r="LXI13"/>
      <c r="LXJ13"/>
      <c r="LXK13"/>
      <c r="LXL13"/>
      <c r="LXM13"/>
      <c r="LXN13"/>
      <c r="LXO13"/>
      <c r="LXP13"/>
      <c r="LXQ13"/>
      <c r="LXR13"/>
      <c r="LXS13"/>
      <c r="LXT13"/>
      <c r="LXU13"/>
      <c r="LXV13"/>
      <c r="LXW13"/>
      <c r="LXX13"/>
      <c r="LXY13"/>
      <c r="LXZ13"/>
      <c r="LYA13"/>
      <c r="LYB13"/>
      <c r="LYC13"/>
      <c r="LYD13"/>
      <c r="LYE13"/>
      <c r="LYF13"/>
      <c r="LYG13"/>
      <c r="LYH13"/>
      <c r="LYI13"/>
      <c r="LYJ13"/>
      <c r="LYK13"/>
      <c r="LYL13"/>
      <c r="LYM13"/>
      <c r="LYN13"/>
      <c r="LYO13"/>
      <c r="LYP13"/>
      <c r="LYQ13"/>
      <c r="LYR13"/>
      <c r="LYS13"/>
      <c r="LYT13"/>
      <c r="LYU13"/>
      <c r="LYV13"/>
      <c r="LYW13"/>
      <c r="LYX13"/>
      <c r="LYY13"/>
      <c r="LYZ13"/>
      <c r="LZA13"/>
      <c r="LZB13"/>
      <c r="LZC13"/>
      <c r="LZD13"/>
      <c r="LZE13"/>
      <c r="LZF13"/>
      <c r="LZG13"/>
      <c r="LZH13"/>
      <c r="LZI13"/>
      <c r="LZJ13"/>
      <c r="LZK13"/>
      <c r="LZL13"/>
      <c r="LZM13"/>
      <c r="LZN13"/>
      <c r="LZO13"/>
      <c r="LZP13"/>
      <c r="LZQ13"/>
      <c r="LZR13"/>
      <c r="LZS13"/>
      <c r="LZT13"/>
      <c r="LZU13"/>
      <c r="LZV13"/>
      <c r="LZW13"/>
      <c r="LZX13"/>
      <c r="LZY13"/>
      <c r="LZZ13"/>
      <c r="MAA13"/>
      <c r="MAB13"/>
      <c r="MAC13"/>
      <c r="MAD13"/>
      <c r="MAE13"/>
      <c r="MAF13"/>
      <c r="MAG13"/>
      <c r="MAH13"/>
      <c r="MAI13"/>
      <c r="MAJ13"/>
      <c r="MAK13"/>
      <c r="MAL13"/>
      <c r="MAM13"/>
      <c r="MAN13"/>
      <c r="MAO13"/>
      <c r="MAP13"/>
      <c r="MAQ13"/>
      <c r="MAR13"/>
      <c r="MAS13"/>
      <c r="MAT13"/>
      <c r="MAU13"/>
      <c r="MAV13"/>
      <c r="MAW13"/>
      <c r="MAX13"/>
      <c r="MAY13"/>
      <c r="MAZ13"/>
      <c r="MBA13"/>
      <c r="MBB13"/>
      <c r="MBC13"/>
      <c r="MBD13"/>
      <c r="MBE13"/>
      <c r="MBF13"/>
      <c r="MBG13"/>
      <c r="MBH13"/>
      <c r="MBI13"/>
      <c r="MBJ13"/>
      <c r="MBK13"/>
      <c r="MBL13"/>
      <c r="MBM13"/>
      <c r="MBN13"/>
      <c r="MBO13"/>
      <c r="MBP13"/>
      <c r="MBQ13"/>
      <c r="MBR13"/>
      <c r="MBS13"/>
      <c r="MBT13"/>
      <c r="MBU13"/>
      <c r="MBV13"/>
      <c r="MBW13"/>
      <c r="MBX13"/>
      <c r="MBY13"/>
      <c r="MBZ13"/>
      <c r="MCA13"/>
      <c r="MCB13"/>
      <c r="MCC13"/>
      <c r="MCD13"/>
      <c r="MCE13"/>
      <c r="MCF13"/>
      <c r="MCG13"/>
      <c r="MCH13"/>
      <c r="MCI13"/>
      <c r="MCJ13"/>
      <c r="MCK13"/>
      <c r="MCL13"/>
      <c r="MCM13"/>
      <c r="MCN13"/>
      <c r="MCO13"/>
      <c r="MCP13"/>
      <c r="MCQ13"/>
      <c r="MCR13"/>
      <c r="MCS13"/>
      <c r="MCT13"/>
      <c r="MCU13"/>
      <c r="MCV13"/>
      <c r="MCW13"/>
      <c r="MCX13"/>
      <c r="MCY13"/>
      <c r="MCZ13"/>
      <c r="MDA13"/>
      <c r="MDB13"/>
      <c r="MDC13"/>
      <c r="MDD13"/>
      <c r="MDE13"/>
      <c r="MDF13"/>
      <c r="MDG13"/>
      <c r="MDH13"/>
      <c r="MDI13"/>
      <c r="MDJ13"/>
      <c r="MDK13"/>
      <c r="MDL13"/>
      <c r="MDM13"/>
      <c r="MDN13"/>
      <c r="MDO13"/>
      <c r="MDP13"/>
      <c r="MDQ13"/>
      <c r="MDR13"/>
      <c r="MDS13"/>
      <c r="MDT13"/>
      <c r="MDU13"/>
      <c r="MDV13"/>
      <c r="MDW13"/>
      <c r="MDX13"/>
      <c r="MDY13"/>
      <c r="MDZ13"/>
      <c r="MEA13"/>
      <c r="MEB13"/>
      <c r="MEC13"/>
      <c r="MED13"/>
      <c r="MEE13"/>
      <c r="MEF13"/>
      <c r="MEG13"/>
      <c r="MEH13"/>
      <c r="MEI13"/>
      <c r="MEJ13"/>
      <c r="MEK13"/>
      <c r="MEL13"/>
      <c r="MEM13"/>
      <c r="MEN13"/>
      <c r="MEO13"/>
      <c r="MEP13"/>
      <c r="MEQ13"/>
      <c r="MER13"/>
      <c r="MES13"/>
      <c r="MET13"/>
      <c r="MEU13"/>
      <c r="MEV13"/>
      <c r="MEW13"/>
      <c r="MEX13"/>
      <c r="MEY13"/>
      <c r="MEZ13"/>
      <c r="MFA13"/>
      <c r="MFB13"/>
      <c r="MFC13"/>
      <c r="MFD13"/>
      <c r="MFE13"/>
      <c r="MFF13"/>
      <c r="MFG13"/>
      <c r="MFH13"/>
      <c r="MFI13"/>
      <c r="MFJ13"/>
      <c r="MFK13"/>
      <c r="MFL13"/>
      <c r="MFM13"/>
      <c r="MFN13"/>
      <c r="MFO13"/>
      <c r="MFP13"/>
      <c r="MFQ13"/>
      <c r="MFR13"/>
      <c r="MFS13"/>
      <c r="MFT13"/>
      <c r="MFU13"/>
      <c r="MFV13"/>
      <c r="MFW13"/>
      <c r="MFX13"/>
      <c r="MFY13"/>
      <c r="MFZ13"/>
      <c r="MGA13"/>
      <c r="MGB13"/>
      <c r="MGC13"/>
      <c r="MGD13"/>
      <c r="MGE13"/>
      <c r="MGF13"/>
      <c r="MGG13"/>
      <c r="MGH13"/>
      <c r="MGI13"/>
      <c r="MGJ13"/>
      <c r="MGK13"/>
      <c r="MGL13"/>
      <c r="MGM13"/>
      <c r="MGN13"/>
      <c r="MGO13"/>
      <c r="MGP13"/>
      <c r="MGQ13"/>
      <c r="MGR13"/>
      <c r="MGS13"/>
      <c r="MGT13"/>
      <c r="MGU13"/>
      <c r="MGV13"/>
      <c r="MGW13"/>
      <c r="MGX13"/>
      <c r="MGY13"/>
      <c r="MGZ13"/>
      <c r="MHA13"/>
      <c r="MHB13"/>
      <c r="MHC13"/>
      <c r="MHD13"/>
      <c r="MHE13"/>
      <c r="MHF13"/>
      <c r="MHG13"/>
      <c r="MHH13"/>
      <c r="MHI13"/>
      <c r="MHJ13"/>
      <c r="MHK13"/>
      <c r="MHL13"/>
      <c r="MHM13"/>
      <c r="MHN13"/>
      <c r="MHO13"/>
      <c r="MHP13"/>
      <c r="MHQ13"/>
      <c r="MHR13"/>
      <c r="MHS13"/>
      <c r="MHT13"/>
      <c r="MHU13"/>
      <c r="MHV13"/>
      <c r="MHW13"/>
      <c r="MHX13"/>
      <c r="MHY13"/>
      <c r="MHZ13"/>
      <c r="MIA13"/>
      <c r="MIB13"/>
      <c r="MIC13"/>
      <c r="MID13"/>
      <c r="MIE13"/>
      <c r="MIF13"/>
      <c r="MIG13"/>
      <c r="MIH13"/>
      <c r="MII13"/>
      <c r="MIJ13"/>
      <c r="MIK13"/>
      <c r="MIL13"/>
      <c r="MIM13"/>
      <c r="MIN13"/>
      <c r="MIO13"/>
      <c r="MIP13"/>
      <c r="MIQ13"/>
      <c r="MIR13"/>
      <c r="MIS13"/>
      <c r="MIT13"/>
      <c r="MIU13"/>
      <c r="MIV13"/>
      <c r="MIW13"/>
      <c r="MIX13"/>
      <c r="MIY13"/>
      <c r="MIZ13"/>
      <c r="MJA13"/>
      <c r="MJB13"/>
      <c r="MJC13"/>
      <c r="MJD13"/>
      <c r="MJE13"/>
      <c r="MJF13"/>
      <c r="MJG13"/>
      <c r="MJH13"/>
      <c r="MJI13"/>
      <c r="MJJ13"/>
      <c r="MJK13"/>
      <c r="MJL13"/>
      <c r="MJM13"/>
      <c r="MJN13"/>
      <c r="MJO13"/>
      <c r="MJP13"/>
      <c r="MJQ13"/>
      <c r="MJR13"/>
      <c r="MJS13"/>
      <c r="MJT13"/>
      <c r="MJU13"/>
      <c r="MJV13"/>
      <c r="MJW13"/>
      <c r="MJX13"/>
      <c r="MJY13"/>
      <c r="MJZ13"/>
      <c r="MKA13"/>
      <c r="MKB13"/>
      <c r="MKC13"/>
      <c r="MKD13"/>
      <c r="MKE13"/>
      <c r="MKF13"/>
      <c r="MKG13"/>
      <c r="MKH13"/>
      <c r="MKI13"/>
      <c r="MKJ13"/>
      <c r="MKK13"/>
      <c r="MKL13"/>
      <c r="MKM13"/>
      <c r="MKN13"/>
      <c r="MKO13"/>
      <c r="MKP13"/>
      <c r="MKQ13"/>
      <c r="MKR13"/>
      <c r="MKS13"/>
      <c r="MKT13"/>
      <c r="MKU13"/>
      <c r="MKV13"/>
      <c r="MKW13"/>
      <c r="MKX13"/>
      <c r="MKY13"/>
      <c r="MKZ13"/>
      <c r="MLA13"/>
      <c r="MLB13"/>
      <c r="MLC13"/>
      <c r="MLD13"/>
      <c r="MLE13"/>
      <c r="MLF13"/>
      <c r="MLG13"/>
      <c r="MLH13"/>
      <c r="MLI13"/>
      <c r="MLJ13"/>
      <c r="MLK13"/>
      <c r="MLL13"/>
      <c r="MLM13"/>
      <c r="MLN13"/>
      <c r="MLO13"/>
      <c r="MLP13"/>
      <c r="MLQ13"/>
      <c r="MLR13"/>
      <c r="MLS13"/>
      <c r="MLT13"/>
      <c r="MLU13"/>
      <c r="MLV13"/>
      <c r="MLW13"/>
      <c r="MLX13"/>
      <c r="MLY13"/>
      <c r="MLZ13"/>
      <c r="MMA13"/>
      <c r="MMB13"/>
      <c r="MMC13"/>
      <c r="MMD13"/>
      <c r="MME13"/>
      <c r="MMF13"/>
      <c r="MMG13"/>
      <c r="MMH13"/>
      <c r="MMI13"/>
      <c r="MMJ13"/>
      <c r="MMK13"/>
      <c r="MML13"/>
      <c r="MMM13"/>
      <c r="MMN13"/>
      <c r="MMO13"/>
      <c r="MMP13"/>
      <c r="MMQ13"/>
      <c r="MMR13"/>
      <c r="MMS13"/>
      <c r="MMT13"/>
      <c r="MMU13"/>
      <c r="MMV13"/>
      <c r="MMW13"/>
      <c r="MMX13"/>
      <c r="MMY13"/>
      <c r="MMZ13"/>
      <c r="MNA13"/>
      <c r="MNB13"/>
      <c r="MNC13"/>
      <c r="MND13"/>
      <c r="MNE13"/>
      <c r="MNF13"/>
      <c r="MNG13"/>
      <c r="MNH13"/>
      <c r="MNI13"/>
      <c r="MNJ13"/>
      <c r="MNK13"/>
      <c r="MNL13"/>
      <c r="MNM13"/>
      <c r="MNN13"/>
      <c r="MNO13"/>
      <c r="MNP13"/>
      <c r="MNQ13"/>
      <c r="MNR13"/>
      <c r="MNS13"/>
      <c r="MNT13"/>
      <c r="MNU13"/>
      <c r="MNV13"/>
      <c r="MNW13"/>
      <c r="MNX13"/>
      <c r="MNY13"/>
      <c r="MNZ13"/>
      <c r="MOA13"/>
      <c r="MOB13"/>
      <c r="MOC13"/>
      <c r="MOD13"/>
      <c r="MOE13"/>
      <c r="MOF13"/>
      <c r="MOG13"/>
      <c r="MOH13"/>
      <c r="MOI13"/>
      <c r="MOJ13"/>
      <c r="MOK13"/>
      <c r="MOL13"/>
      <c r="MOM13"/>
      <c r="MON13"/>
      <c r="MOO13"/>
      <c r="MOP13"/>
      <c r="MOQ13"/>
      <c r="MOR13"/>
      <c r="MOS13"/>
      <c r="MOT13"/>
      <c r="MOU13"/>
      <c r="MOV13"/>
      <c r="MOW13"/>
      <c r="MOX13"/>
      <c r="MOY13"/>
      <c r="MOZ13"/>
      <c r="MPA13"/>
      <c r="MPB13"/>
      <c r="MPC13"/>
      <c r="MPD13"/>
      <c r="MPE13"/>
      <c r="MPF13"/>
      <c r="MPG13"/>
      <c r="MPH13"/>
      <c r="MPI13"/>
      <c r="MPJ13"/>
      <c r="MPK13"/>
      <c r="MPL13"/>
      <c r="MPM13"/>
      <c r="MPN13"/>
      <c r="MPO13"/>
      <c r="MPP13"/>
      <c r="MPQ13"/>
      <c r="MPR13"/>
      <c r="MPS13"/>
      <c r="MPT13"/>
      <c r="MPU13"/>
      <c r="MPV13"/>
      <c r="MPW13"/>
      <c r="MPX13"/>
      <c r="MPY13"/>
      <c r="MPZ13"/>
      <c r="MQA13"/>
      <c r="MQB13"/>
      <c r="MQC13"/>
      <c r="MQD13"/>
      <c r="MQE13"/>
      <c r="MQF13"/>
      <c r="MQG13"/>
      <c r="MQH13"/>
      <c r="MQI13"/>
      <c r="MQJ13"/>
      <c r="MQK13"/>
      <c r="MQL13"/>
      <c r="MQM13"/>
      <c r="MQN13"/>
      <c r="MQO13"/>
      <c r="MQP13"/>
      <c r="MQQ13"/>
      <c r="MQR13"/>
      <c r="MQS13"/>
      <c r="MQT13"/>
      <c r="MQU13"/>
      <c r="MQV13"/>
      <c r="MQW13"/>
      <c r="MQX13"/>
      <c r="MQY13"/>
      <c r="MQZ13"/>
      <c r="MRA13"/>
      <c r="MRB13"/>
      <c r="MRC13"/>
      <c r="MRD13"/>
      <c r="MRE13"/>
      <c r="MRF13"/>
      <c r="MRG13"/>
      <c r="MRH13"/>
      <c r="MRI13"/>
      <c r="MRJ13"/>
      <c r="MRK13"/>
      <c r="MRL13"/>
      <c r="MRM13"/>
      <c r="MRN13"/>
      <c r="MRO13"/>
      <c r="MRP13"/>
      <c r="MRQ13"/>
      <c r="MRR13"/>
      <c r="MRS13"/>
      <c r="MRT13"/>
      <c r="MRU13"/>
      <c r="MRV13"/>
      <c r="MRW13"/>
      <c r="MRX13"/>
      <c r="MRY13"/>
      <c r="MRZ13"/>
      <c r="MSA13"/>
      <c r="MSB13"/>
      <c r="MSC13"/>
      <c r="MSD13"/>
      <c r="MSE13"/>
      <c r="MSF13"/>
      <c r="MSG13"/>
      <c r="MSH13"/>
      <c r="MSI13"/>
      <c r="MSJ13"/>
      <c r="MSK13"/>
      <c r="MSL13"/>
      <c r="MSM13"/>
      <c r="MSN13"/>
      <c r="MSO13"/>
      <c r="MSP13"/>
      <c r="MSQ13"/>
      <c r="MSR13"/>
      <c r="MSS13"/>
      <c r="MST13"/>
      <c r="MSU13"/>
      <c r="MSV13"/>
      <c r="MSW13"/>
      <c r="MSX13"/>
      <c r="MSY13"/>
      <c r="MSZ13"/>
      <c r="MTA13"/>
      <c r="MTB13"/>
      <c r="MTC13"/>
      <c r="MTD13"/>
      <c r="MTE13"/>
      <c r="MTF13"/>
      <c r="MTG13"/>
      <c r="MTH13"/>
      <c r="MTI13"/>
      <c r="MTJ13"/>
      <c r="MTK13"/>
      <c r="MTL13"/>
      <c r="MTM13"/>
      <c r="MTN13"/>
      <c r="MTO13"/>
      <c r="MTP13"/>
      <c r="MTQ13"/>
      <c r="MTR13"/>
      <c r="MTS13"/>
      <c r="MTT13"/>
      <c r="MTU13"/>
      <c r="MTV13"/>
      <c r="MTW13"/>
      <c r="MTX13"/>
      <c r="MTY13"/>
      <c r="MTZ13"/>
      <c r="MUA13"/>
      <c r="MUB13"/>
      <c r="MUC13"/>
      <c r="MUD13"/>
      <c r="MUE13"/>
      <c r="MUF13"/>
      <c r="MUG13"/>
      <c r="MUH13"/>
      <c r="MUI13"/>
      <c r="MUJ13"/>
      <c r="MUK13"/>
      <c r="MUL13"/>
      <c r="MUM13"/>
      <c r="MUN13"/>
      <c r="MUO13"/>
      <c r="MUP13"/>
      <c r="MUQ13"/>
      <c r="MUR13"/>
      <c r="MUS13"/>
      <c r="MUT13"/>
      <c r="MUU13"/>
      <c r="MUV13"/>
      <c r="MUW13"/>
      <c r="MUX13"/>
      <c r="MUY13"/>
      <c r="MUZ13"/>
      <c r="MVA13"/>
      <c r="MVB13"/>
      <c r="MVC13"/>
      <c r="MVD13"/>
      <c r="MVE13"/>
      <c r="MVF13"/>
      <c r="MVG13"/>
      <c r="MVH13"/>
      <c r="MVI13"/>
      <c r="MVJ13"/>
      <c r="MVK13"/>
      <c r="MVL13"/>
      <c r="MVM13"/>
      <c r="MVN13"/>
      <c r="MVO13"/>
      <c r="MVP13"/>
      <c r="MVQ13"/>
      <c r="MVR13"/>
      <c r="MVS13"/>
      <c r="MVT13"/>
      <c r="MVU13"/>
      <c r="MVV13"/>
      <c r="MVW13"/>
      <c r="MVX13"/>
      <c r="MVY13"/>
      <c r="MVZ13"/>
      <c r="MWA13"/>
      <c r="MWB13"/>
      <c r="MWC13"/>
      <c r="MWD13"/>
      <c r="MWE13"/>
      <c r="MWF13"/>
      <c r="MWG13"/>
      <c r="MWH13"/>
      <c r="MWI13"/>
      <c r="MWJ13"/>
      <c r="MWK13"/>
      <c r="MWL13"/>
      <c r="MWM13"/>
      <c r="MWN13"/>
      <c r="MWO13"/>
      <c r="MWP13"/>
      <c r="MWQ13"/>
      <c r="MWR13"/>
      <c r="MWS13"/>
      <c r="MWT13"/>
      <c r="MWU13"/>
      <c r="MWV13"/>
      <c r="MWW13"/>
      <c r="MWX13"/>
      <c r="MWY13"/>
      <c r="MWZ13"/>
      <c r="MXA13"/>
      <c r="MXB13"/>
      <c r="MXC13"/>
      <c r="MXD13"/>
      <c r="MXE13"/>
      <c r="MXF13"/>
      <c r="MXG13"/>
      <c r="MXH13"/>
      <c r="MXI13"/>
      <c r="MXJ13"/>
      <c r="MXK13"/>
      <c r="MXL13"/>
      <c r="MXM13"/>
      <c r="MXN13"/>
      <c r="MXO13"/>
      <c r="MXP13"/>
      <c r="MXQ13"/>
      <c r="MXR13"/>
      <c r="MXS13"/>
      <c r="MXT13"/>
      <c r="MXU13"/>
      <c r="MXV13"/>
      <c r="MXW13"/>
      <c r="MXX13"/>
      <c r="MXY13"/>
      <c r="MXZ13"/>
      <c r="MYA13"/>
      <c r="MYB13"/>
      <c r="MYC13"/>
      <c r="MYD13"/>
      <c r="MYE13"/>
      <c r="MYF13"/>
      <c r="MYG13"/>
      <c r="MYH13"/>
      <c r="MYI13"/>
      <c r="MYJ13"/>
      <c r="MYK13"/>
      <c r="MYL13"/>
      <c r="MYM13"/>
      <c r="MYN13"/>
      <c r="MYO13"/>
      <c r="MYP13"/>
      <c r="MYQ13"/>
      <c r="MYR13"/>
      <c r="MYS13"/>
      <c r="MYT13"/>
      <c r="MYU13"/>
      <c r="MYV13"/>
      <c r="MYW13"/>
      <c r="MYX13"/>
      <c r="MYY13"/>
      <c r="MYZ13"/>
      <c r="MZA13"/>
      <c r="MZB13"/>
      <c r="MZC13"/>
      <c r="MZD13"/>
      <c r="MZE13"/>
      <c r="MZF13"/>
      <c r="MZG13"/>
      <c r="MZH13"/>
      <c r="MZI13"/>
      <c r="MZJ13"/>
      <c r="MZK13"/>
      <c r="MZL13"/>
      <c r="MZM13"/>
      <c r="MZN13"/>
      <c r="MZO13"/>
      <c r="MZP13"/>
      <c r="MZQ13"/>
      <c r="MZR13"/>
      <c r="MZS13"/>
      <c r="MZT13"/>
      <c r="MZU13"/>
      <c r="MZV13"/>
      <c r="MZW13"/>
      <c r="MZX13"/>
      <c r="MZY13"/>
      <c r="MZZ13"/>
      <c r="NAA13"/>
      <c r="NAB13"/>
      <c r="NAC13"/>
      <c r="NAD13"/>
      <c r="NAE13"/>
      <c r="NAF13"/>
      <c r="NAG13"/>
      <c r="NAH13"/>
      <c r="NAI13"/>
      <c r="NAJ13"/>
      <c r="NAK13"/>
      <c r="NAL13"/>
      <c r="NAM13"/>
      <c r="NAN13"/>
      <c r="NAO13"/>
      <c r="NAP13"/>
      <c r="NAQ13"/>
      <c r="NAR13"/>
      <c r="NAS13"/>
      <c r="NAT13"/>
      <c r="NAU13"/>
      <c r="NAV13"/>
      <c r="NAW13"/>
      <c r="NAX13"/>
      <c r="NAY13"/>
      <c r="NAZ13"/>
      <c r="NBA13"/>
      <c r="NBB13"/>
      <c r="NBC13"/>
      <c r="NBD13"/>
      <c r="NBE13"/>
      <c r="NBF13"/>
      <c r="NBG13"/>
      <c r="NBH13"/>
      <c r="NBI13"/>
      <c r="NBJ13"/>
      <c r="NBK13"/>
      <c r="NBL13"/>
      <c r="NBM13"/>
      <c r="NBN13"/>
      <c r="NBO13"/>
      <c r="NBP13"/>
      <c r="NBQ13"/>
      <c r="NBR13"/>
      <c r="NBS13"/>
      <c r="NBT13"/>
      <c r="NBU13"/>
      <c r="NBV13"/>
      <c r="NBW13"/>
      <c r="NBX13"/>
      <c r="NBY13"/>
      <c r="NBZ13"/>
      <c r="NCA13"/>
      <c r="NCB13"/>
      <c r="NCC13"/>
      <c r="NCD13"/>
      <c r="NCE13"/>
      <c r="NCF13"/>
      <c r="NCG13"/>
      <c r="NCH13"/>
      <c r="NCI13"/>
      <c r="NCJ13"/>
      <c r="NCK13"/>
      <c r="NCL13"/>
      <c r="NCM13"/>
      <c r="NCN13"/>
      <c r="NCO13"/>
      <c r="NCP13"/>
      <c r="NCQ13"/>
      <c r="NCR13"/>
      <c r="NCS13"/>
      <c r="NCT13"/>
      <c r="NCU13"/>
      <c r="NCV13"/>
      <c r="NCW13"/>
      <c r="NCX13"/>
      <c r="NCY13"/>
      <c r="NCZ13"/>
      <c r="NDA13"/>
      <c r="NDB13"/>
      <c r="NDC13"/>
      <c r="NDD13"/>
      <c r="NDE13"/>
      <c r="NDF13"/>
      <c r="NDG13"/>
      <c r="NDH13"/>
      <c r="NDI13"/>
      <c r="NDJ13"/>
      <c r="NDK13"/>
      <c r="NDL13"/>
      <c r="NDM13"/>
      <c r="NDN13"/>
      <c r="NDO13"/>
      <c r="NDP13"/>
      <c r="NDQ13"/>
      <c r="NDR13"/>
      <c r="NDS13"/>
      <c r="NDT13"/>
      <c r="NDU13"/>
      <c r="NDV13"/>
      <c r="NDW13"/>
      <c r="NDX13"/>
      <c r="NDY13"/>
      <c r="NDZ13"/>
      <c r="NEA13"/>
      <c r="NEB13"/>
      <c r="NEC13"/>
      <c r="NED13"/>
      <c r="NEE13"/>
      <c r="NEF13"/>
      <c r="NEG13"/>
      <c r="NEH13"/>
      <c r="NEI13"/>
      <c r="NEJ13"/>
      <c r="NEK13"/>
      <c r="NEL13"/>
      <c r="NEM13"/>
      <c r="NEN13"/>
      <c r="NEO13"/>
      <c r="NEP13"/>
      <c r="NEQ13"/>
      <c r="NER13"/>
      <c r="NES13"/>
      <c r="NET13"/>
      <c r="NEU13"/>
      <c r="NEV13"/>
      <c r="NEW13"/>
      <c r="NEX13"/>
      <c r="NEY13"/>
      <c r="NEZ13"/>
      <c r="NFA13"/>
      <c r="NFB13"/>
      <c r="NFC13"/>
      <c r="NFD13"/>
      <c r="NFE13"/>
      <c r="NFF13"/>
      <c r="NFG13"/>
      <c r="NFH13"/>
      <c r="NFI13"/>
      <c r="NFJ13"/>
      <c r="NFK13"/>
      <c r="NFL13"/>
      <c r="NFM13"/>
      <c r="NFN13"/>
      <c r="NFO13"/>
      <c r="NFP13"/>
      <c r="NFQ13"/>
      <c r="NFR13"/>
      <c r="NFS13"/>
      <c r="NFT13"/>
      <c r="NFU13"/>
      <c r="NFV13"/>
      <c r="NFW13"/>
      <c r="NFX13"/>
      <c r="NFY13"/>
      <c r="NFZ13"/>
      <c r="NGA13"/>
      <c r="NGB13"/>
      <c r="NGC13"/>
      <c r="NGD13"/>
      <c r="NGE13"/>
      <c r="NGF13"/>
      <c r="NGG13"/>
      <c r="NGH13"/>
      <c r="NGI13"/>
      <c r="NGJ13"/>
      <c r="NGK13"/>
      <c r="NGL13"/>
      <c r="NGM13"/>
      <c r="NGN13"/>
      <c r="NGO13"/>
      <c r="NGP13"/>
      <c r="NGQ13"/>
      <c r="NGR13"/>
      <c r="NGS13"/>
      <c r="NGT13"/>
      <c r="NGU13"/>
      <c r="NGV13"/>
      <c r="NGW13"/>
      <c r="NGX13"/>
      <c r="NGY13"/>
      <c r="NGZ13"/>
      <c r="NHA13"/>
      <c r="NHB13"/>
      <c r="NHC13"/>
      <c r="NHD13"/>
      <c r="NHE13"/>
      <c r="NHF13"/>
      <c r="NHG13"/>
      <c r="NHH13"/>
      <c r="NHI13"/>
      <c r="NHJ13"/>
      <c r="NHK13"/>
      <c r="NHL13"/>
      <c r="NHM13"/>
      <c r="NHN13"/>
      <c r="NHO13"/>
      <c r="NHP13"/>
      <c r="NHQ13"/>
      <c r="NHR13"/>
      <c r="NHS13"/>
      <c r="NHT13"/>
      <c r="NHU13"/>
      <c r="NHV13"/>
      <c r="NHW13"/>
      <c r="NHX13"/>
      <c r="NHY13"/>
      <c r="NHZ13"/>
      <c r="NIA13"/>
      <c r="NIB13"/>
      <c r="NIC13"/>
      <c r="NID13"/>
      <c r="NIE13"/>
      <c r="NIF13"/>
      <c r="NIG13"/>
      <c r="NIH13"/>
      <c r="NII13"/>
      <c r="NIJ13"/>
      <c r="NIK13"/>
      <c r="NIL13"/>
      <c r="NIM13"/>
      <c r="NIN13"/>
      <c r="NIO13"/>
      <c r="NIP13"/>
      <c r="NIQ13"/>
      <c r="NIR13"/>
      <c r="NIS13"/>
      <c r="NIT13"/>
      <c r="NIU13"/>
      <c r="NIV13"/>
      <c r="NIW13"/>
      <c r="NIX13"/>
      <c r="NIY13"/>
      <c r="NIZ13"/>
      <c r="NJA13"/>
      <c r="NJB13"/>
      <c r="NJC13"/>
      <c r="NJD13"/>
      <c r="NJE13"/>
      <c r="NJF13"/>
      <c r="NJG13"/>
      <c r="NJH13"/>
      <c r="NJI13"/>
      <c r="NJJ13"/>
      <c r="NJK13"/>
      <c r="NJL13"/>
      <c r="NJM13"/>
      <c r="NJN13"/>
      <c r="NJO13"/>
      <c r="NJP13"/>
      <c r="NJQ13"/>
      <c r="NJR13"/>
      <c r="NJS13"/>
      <c r="NJT13"/>
      <c r="NJU13"/>
      <c r="NJV13"/>
      <c r="NJW13"/>
      <c r="NJX13"/>
      <c r="NJY13"/>
      <c r="NJZ13"/>
      <c r="NKA13"/>
      <c r="NKB13"/>
      <c r="NKC13"/>
      <c r="NKD13"/>
      <c r="NKE13"/>
      <c r="NKF13"/>
      <c r="NKG13"/>
      <c r="NKH13"/>
      <c r="NKI13"/>
      <c r="NKJ13"/>
      <c r="NKK13"/>
      <c r="NKL13"/>
      <c r="NKM13"/>
      <c r="NKN13"/>
      <c r="NKO13"/>
      <c r="NKP13"/>
      <c r="NKQ13"/>
      <c r="NKR13"/>
      <c r="NKS13"/>
      <c r="NKT13"/>
      <c r="NKU13"/>
      <c r="NKV13"/>
      <c r="NKW13"/>
      <c r="NKX13"/>
      <c r="NKY13"/>
      <c r="NKZ13"/>
      <c r="NLA13"/>
      <c r="NLB13"/>
      <c r="NLC13"/>
      <c r="NLD13"/>
      <c r="NLE13"/>
      <c r="NLF13"/>
      <c r="NLG13"/>
      <c r="NLH13"/>
      <c r="NLI13"/>
      <c r="NLJ13"/>
      <c r="NLK13"/>
      <c r="NLL13"/>
      <c r="NLM13"/>
      <c r="NLN13"/>
      <c r="NLO13"/>
      <c r="NLP13"/>
      <c r="NLQ13"/>
      <c r="NLR13"/>
      <c r="NLS13"/>
      <c r="NLT13"/>
      <c r="NLU13"/>
      <c r="NLV13"/>
      <c r="NLW13"/>
      <c r="NLX13"/>
      <c r="NLY13"/>
      <c r="NLZ13"/>
      <c r="NMA13"/>
      <c r="NMB13"/>
      <c r="NMC13"/>
      <c r="NMD13"/>
      <c r="NME13"/>
      <c r="NMF13"/>
      <c r="NMG13"/>
      <c r="NMH13"/>
      <c r="NMI13"/>
      <c r="NMJ13"/>
      <c r="NMK13"/>
      <c r="NML13"/>
      <c r="NMM13"/>
      <c r="NMN13"/>
      <c r="NMO13"/>
      <c r="NMP13"/>
      <c r="NMQ13"/>
      <c r="NMR13"/>
      <c r="NMS13"/>
      <c r="NMT13"/>
      <c r="NMU13"/>
      <c r="NMV13"/>
      <c r="NMW13"/>
      <c r="NMX13"/>
      <c r="NMY13"/>
      <c r="NMZ13"/>
      <c r="NNA13"/>
      <c r="NNB13"/>
      <c r="NNC13"/>
      <c r="NND13"/>
      <c r="NNE13"/>
      <c r="NNF13"/>
      <c r="NNG13"/>
      <c r="NNH13"/>
      <c r="NNI13"/>
      <c r="NNJ13"/>
      <c r="NNK13"/>
      <c r="NNL13"/>
      <c r="NNM13"/>
      <c r="NNN13"/>
      <c r="NNO13"/>
      <c r="NNP13"/>
      <c r="NNQ13"/>
      <c r="NNR13"/>
      <c r="NNS13"/>
      <c r="NNT13"/>
      <c r="NNU13"/>
      <c r="NNV13"/>
      <c r="NNW13"/>
      <c r="NNX13"/>
      <c r="NNY13"/>
      <c r="NNZ13"/>
      <c r="NOA13"/>
      <c r="NOB13"/>
      <c r="NOC13"/>
      <c r="NOD13"/>
      <c r="NOE13"/>
      <c r="NOF13"/>
      <c r="NOG13"/>
      <c r="NOH13"/>
      <c r="NOI13"/>
      <c r="NOJ13"/>
      <c r="NOK13"/>
      <c r="NOL13"/>
      <c r="NOM13"/>
      <c r="NON13"/>
      <c r="NOO13"/>
      <c r="NOP13"/>
      <c r="NOQ13"/>
      <c r="NOR13"/>
      <c r="NOS13"/>
      <c r="NOT13"/>
      <c r="NOU13"/>
      <c r="NOV13"/>
      <c r="NOW13"/>
      <c r="NOX13"/>
      <c r="NOY13"/>
      <c r="NOZ13"/>
      <c r="NPA13"/>
      <c r="NPB13"/>
      <c r="NPC13"/>
      <c r="NPD13"/>
      <c r="NPE13"/>
      <c r="NPF13"/>
      <c r="NPG13"/>
      <c r="NPH13"/>
      <c r="NPI13"/>
      <c r="NPJ13"/>
      <c r="NPK13"/>
      <c r="NPL13"/>
      <c r="NPM13"/>
      <c r="NPN13"/>
      <c r="NPO13"/>
      <c r="NPP13"/>
      <c r="NPQ13"/>
      <c r="NPR13"/>
      <c r="NPS13"/>
      <c r="NPT13"/>
      <c r="NPU13"/>
      <c r="NPV13"/>
      <c r="NPW13"/>
      <c r="NPX13"/>
      <c r="NPY13"/>
      <c r="NPZ13"/>
      <c r="NQA13"/>
      <c r="NQB13"/>
      <c r="NQC13"/>
      <c r="NQD13"/>
      <c r="NQE13"/>
      <c r="NQF13"/>
      <c r="NQG13"/>
      <c r="NQH13"/>
      <c r="NQI13"/>
      <c r="NQJ13"/>
      <c r="NQK13"/>
      <c r="NQL13"/>
      <c r="NQM13"/>
      <c r="NQN13"/>
      <c r="NQO13"/>
      <c r="NQP13"/>
      <c r="NQQ13"/>
      <c r="NQR13"/>
      <c r="NQS13"/>
      <c r="NQT13"/>
      <c r="NQU13"/>
      <c r="NQV13"/>
      <c r="NQW13"/>
      <c r="NQX13"/>
      <c r="NQY13"/>
      <c r="NQZ13"/>
      <c r="NRA13"/>
      <c r="NRB13"/>
      <c r="NRC13"/>
      <c r="NRD13"/>
      <c r="NRE13"/>
      <c r="NRF13"/>
      <c r="NRG13"/>
      <c r="NRH13"/>
      <c r="NRI13"/>
      <c r="NRJ13"/>
      <c r="NRK13"/>
      <c r="NRL13"/>
      <c r="NRM13"/>
      <c r="NRN13"/>
      <c r="NRO13"/>
      <c r="NRP13"/>
      <c r="NRQ13"/>
      <c r="NRR13"/>
      <c r="NRS13"/>
      <c r="NRT13"/>
      <c r="NRU13"/>
      <c r="NRV13"/>
      <c r="NRW13"/>
      <c r="NRX13"/>
      <c r="NRY13"/>
      <c r="NRZ13"/>
      <c r="NSA13"/>
      <c r="NSB13"/>
      <c r="NSC13"/>
      <c r="NSD13"/>
      <c r="NSE13"/>
      <c r="NSF13"/>
      <c r="NSG13"/>
      <c r="NSH13"/>
      <c r="NSI13"/>
      <c r="NSJ13"/>
      <c r="NSK13"/>
      <c r="NSL13"/>
      <c r="NSM13"/>
      <c r="NSN13"/>
      <c r="NSO13"/>
      <c r="NSP13"/>
      <c r="NSQ13"/>
      <c r="NSR13"/>
      <c r="NSS13"/>
      <c r="NST13"/>
      <c r="NSU13"/>
      <c r="NSV13"/>
      <c r="NSW13"/>
      <c r="NSX13"/>
      <c r="NSY13"/>
      <c r="NSZ13"/>
      <c r="NTA13"/>
      <c r="NTB13"/>
      <c r="NTC13"/>
      <c r="NTD13"/>
      <c r="NTE13"/>
      <c r="NTF13"/>
      <c r="NTG13"/>
      <c r="NTH13"/>
      <c r="NTI13"/>
      <c r="NTJ13"/>
      <c r="NTK13"/>
      <c r="NTL13"/>
      <c r="NTM13"/>
      <c r="NTN13"/>
      <c r="NTO13"/>
      <c r="NTP13"/>
      <c r="NTQ13"/>
      <c r="NTR13"/>
      <c r="NTS13"/>
      <c r="NTT13"/>
      <c r="NTU13"/>
      <c r="NTV13"/>
      <c r="NTW13"/>
      <c r="NTX13"/>
      <c r="NTY13"/>
      <c r="NTZ13"/>
      <c r="NUA13"/>
      <c r="NUB13"/>
      <c r="NUC13"/>
      <c r="NUD13"/>
      <c r="NUE13"/>
      <c r="NUF13"/>
      <c r="NUG13"/>
      <c r="NUH13"/>
      <c r="NUI13"/>
      <c r="NUJ13"/>
      <c r="NUK13"/>
      <c r="NUL13"/>
      <c r="NUM13"/>
      <c r="NUN13"/>
      <c r="NUO13"/>
      <c r="NUP13"/>
      <c r="NUQ13"/>
      <c r="NUR13"/>
      <c r="NUS13"/>
      <c r="NUT13"/>
      <c r="NUU13"/>
      <c r="NUV13"/>
      <c r="NUW13"/>
      <c r="NUX13"/>
      <c r="NUY13"/>
      <c r="NUZ13"/>
      <c r="NVA13"/>
      <c r="NVB13"/>
      <c r="NVC13"/>
      <c r="NVD13"/>
      <c r="NVE13"/>
      <c r="NVF13"/>
      <c r="NVG13"/>
      <c r="NVH13"/>
      <c r="NVI13"/>
      <c r="NVJ13"/>
      <c r="NVK13"/>
      <c r="NVL13"/>
      <c r="NVM13"/>
      <c r="NVN13"/>
      <c r="NVO13"/>
      <c r="NVP13"/>
      <c r="NVQ13"/>
      <c r="NVR13"/>
      <c r="NVS13"/>
      <c r="NVT13"/>
      <c r="NVU13"/>
      <c r="NVV13"/>
      <c r="NVW13"/>
      <c r="NVX13"/>
      <c r="NVY13"/>
      <c r="NVZ13"/>
      <c r="NWA13"/>
      <c r="NWB13"/>
      <c r="NWC13"/>
      <c r="NWD13"/>
      <c r="NWE13"/>
      <c r="NWF13"/>
      <c r="NWG13"/>
      <c r="NWH13"/>
      <c r="NWI13"/>
      <c r="NWJ13"/>
      <c r="NWK13"/>
      <c r="NWL13"/>
      <c r="NWM13"/>
      <c r="NWN13"/>
      <c r="NWO13"/>
      <c r="NWP13"/>
      <c r="NWQ13"/>
      <c r="NWR13"/>
      <c r="NWS13"/>
      <c r="NWT13"/>
      <c r="NWU13"/>
      <c r="NWV13"/>
      <c r="NWW13"/>
      <c r="NWX13"/>
      <c r="NWY13"/>
      <c r="NWZ13"/>
      <c r="NXA13"/>
      <c r="NXB13"/>
      <c r="NXC13"/>
      <c r="NXD13"/>
      <c r="NXE13"/>
      <c r="NXF13"/>
      <c r="NXG13"/>
      <c r="NXH13"/>
      <c r="NXI13"/>
      <c r="NXJ13"/>
      <c r="NXK13"/>
      <c r="NXL13"/>
      <c r="NXM13"/>
      <c r="NXN13"/>
      <c r="NXO13"/>
      <c r="NXP13"/>
      <c r="NXQ13"/>
      <c r="NXR13"/>
      <c r="NXS13"/>
      <c r="NXT13"/>
      <c r="NXU13"/>
      <c r="NXV13"/>
      <c r="NXW13"/>
      <c r="NXX13"/>
      <c r="NXY13"/>
      <c r="NXZ13"/>
      <c r="NYA13"/>
      <c r="NYB13"/>
      <c r="NYC13"/>
      <c r="NYD13"/>
      <c r="NYE13"/>
      <c r="NYF13"/>
      <c r="NYG13"/>
      <c r="NYH13"/>
      <c r="NYI13"/>
      <c r="NYJ13"/>
      <c r="NYK13"/>
      <c r="NYL13"/>
      <c r="NYM13"/>
      <c r="NYN13"/>
      <c r="NYO13"/>
      <c r="NYP13"/>
      <c r="NYQ13"/>
      <c r="NYR13"/>
      <c r="NYS13"/>
      <c r="NYT13"/>
      <c r="NYU13"/>
      <c r="NYV13"/>
      <c r="NYW13"/>
      <c r="NYX13"/>
      <c r="NYY13"/>
      <c r="NYZ13"/>
      <c r="NZA13"/>
      <c r="NZB13"/>
      <c r="NZC13"/>
      <c r="NZD13"/>
      <c r="NZE13"/>
      <c r="NZF13"/>
      <c r="NZG13"/>
      <c r="NZH13"/>
      <c r="NZI13"/>
      <c r="NZJ13"/>
      <c r="NZK13"/>
      <c r="NZL13"/>
      <c r="NZM13"/>
      <c r="NZN13"/>
      <c r="NZO13"/>
      <c r="NZP13"/>
      <c r="NZQ13"/>
      <c r="NZR13"/>
      <c r="NZS13"/>
      <c r="NZT13"/>
      <c r="NZU13"/>
      <c r="NZV13"/>
      <c r="NZW13"/>
      <c r="NZX13"/>
      <c r="NZY13"/>
      <c r="NZZ13"/>
      <c r="OAA13"/>
      <c r="OAB13"/>
      <c r="OAC13"/>
      <c r="OAD13"/>
      <c r="OAE13"/>
      <c r="OAF13"/>
      <c r="OAG13"/>
      <c r="OAH13"/>
      <c r="OAI13"/>
      <c r="OAJ13"/>
      <c r="OAK13"/>
      <c r="OAL13"/>
      <c r="OAM13"/>
      <c r="OAN13"/>
      <c r="OAO13"/>
      <c r="OAP13"/>
      <c r="OAQ13"/>
      <c r="OAR13"/>
      <c r="OAS13"/>
      <c r="OAT13"/>
      <c r="OAU13"/>
      <c r="OAV13"/>
      <c r="OAW13"/>
      <c r="OAX13"/>
      <c r="OAY13"/>
      <c r="OAZ13"/>
      <c r="OBA13"/>
      <c r="OBB13"/>
      <c r="OBC13"/>
      <c r="OBD13"/>
      <c r="OBE13"/>
      <c r="OBF13"/>
      <c r="OBG13"/>
      <c r="OBH13"/>
      <c r="OBI13"/>
      <c r="OBJ13"/>
      <c r="OBK13"/>
      <c r="OBL13"/>
      <c r="OBM13"/>
      <c r="OBN13"/>
      <c r="OBO13"/>
      <c r="OBP13"/>
      <c r="OBQ13"/>
      <c r="OBR13"/>
      <c r="OBS13"/>
      <c r="OBT13"/>
      <c r="OBU13"/>
      <c r="OBV13"/>
      <c r="OBW13"/>
      <c r="OBX13"/>
      <c r="OBY13"/>
      <c r="OBZ13"/>
      <c r="OCA13"/>
      <c r="OCB13"/>
      <c r="OCC13"/>
      <c r="OCD13"/>
      <c r="OCE13"/>
      <c r="OCF13"/>
      <c r="OCG13"/>
      <c r="OCH13"/>
      <c r="OCI13"/>
      <c r="OCJ13"/>
      <c r="OCK13"/>
      <c r="OCL13"/>
      <c r="OCM13"/>
      <c r="OCN13"/>
      <c r="OCO13"/>
      <c r="OCP13"/>
      <c r="OCQ13"/>
      <c r="OCR13"/>
      <c r="OCS13"/>
      <c r="OCT13"/>
      <c r="OCU13"/>
      <c r="OCV13"/>
      <c r="OCW13"/>
      <c r="OCX13"/>
      <c r="OCY13"/>
      <c r="OCZ13"/>
      <c r="ODA13"/>
      <c r="ODB13"/>
      <c r="ODC13"/>
      <c r="ODD13"/>
      <c r="ODE13"/>
      <c r="ODF13"/>
      <c r="ODG13"/>
      <c r="ODH13"/>
      <c r="ODI13"/>
      <c r="ODJ13"/>
      <c r="ODK13"/>
      <c r="ODL13"/>
      <c r="ODM13"/>
      <c r="ODN13"/>
      <c r="ODO13"/>
      <c r="ODP13"/>
      <c r="ODQ13"/>
      <c r="ODR13"/>
      <c r="ODS13"/>
      <c r="ODT13"/>
      <c r="ODU13"/>
      <c r="ODV13"/>
      <c r="ODW13"/>
      <c r="ODX13"/>
      <c r="ODY13"/>
      <c r="ODZ13"/>
      <c r="OEA13"/>
      <c r="OEB13"/>
      <c r="OEC13"/>
      <c r="OED13"/>
      <c r="OEE13"/>
      <c r="OEF13"/>
      <c r="OEG13"/>
      <c r="OEH13"/>
      <c r="OEI13"/>
      <c r="OEJ13"/>
      <c r="OEK13"/>
      <c r="OEL13"/>
      <c r="OEM13"/>
      <c r="OEN13"/>
      <c r="OEO13"/>
      <c r="OEP13"/>
      <c r="OEQ13"/>
      <c r="OER13"/>
      <c r="OES13"/>
      <c r="OET13"/>
      <c r="OEU13"/>
      <c r="OEV13"/>
      <c r="OEW13"/>
      <c r="OEX13"/>
      <c r="OEY13"/>
      <c r="OEZ13"/>
      <c r="OFA13"/>
      <c r="OFB13"/>
      <c r="OFC13"/>
      <c r="OFD13"/>
      <c r="OFE13"/>
      <c r="OFF13"/>
      <c r="OFG13"/>
      <c r="OFH13"/>
      <c r="OFI13"/>
      <c r="OFJ13"/>
      <c r="OFK13"/>
      <c r="OFL13"/>
      <c r="OFM13"/>
      <c r="OFN13"/>
      <c r="OFO13"/>
      <c r="OFP13"/>
      <c r="OFQ13"/>
      <c r="OFR13"/>
      <c r="OFS13"/>
      <c r="OFT13"/>
      <c r="OFU13"/>
      <c r="OFV13"/>
      <c r="OFW13"/>
      <c r="OFX13"/>
      <c r="OFY13"/>
      <c r="OFZ13"/>
      <c r="OGA13"/>
      <c r="OGB13"/>
      <c r="OGC13"/>
      <c r="OGD13"/>
      <c r="OGE13"/>
      <c r="OGF13"/>
      <c r="OGG13"/>
      <c r="OGH13"/>
      <c r="OGI13"/>
      <c r="OGJ13"/>
      <c r="OGK13"/>
      <c r="OGL13"/>
      <c r="OGM13"/>
      <c r="OGN13"/>
      <c r="OGO13"/>
      <c r="OGP13"/>
      <c r="OGQ13"/>
      <c r="OGR13"/>
      <c r="OGS13"/>
      <c r="OGT13"/>
      <c r="OGU13"/>
      <c r="OGV13"/>
      <c r="OGW13"/>
      <c r="OGX13"/>
      <c r="OGY13"/>
      <c r="OGZ13"/>
      <c r="OHA13"/>
      <c r="OHB13"/>
      <c r="OHC13"/>
      <c r="OHD13"/>
      <c r="OHE13"/>
      <c r="OHF13"/>
      <c r="OHG13"/>
      <c r="OHH13"/>
      <c r="OHI13"/>
      <c r="OHJ13"/>
      <c r="OHK13"/>
      <c r="OHL13"/>
      <c r="OHM13"/>
      <c r="OHN13"/>
      <c r="OHO13"/>
      <c r="OHP13"/>
      <c r="OHQ13"/>
      <c r="OHR13"/>
      <c r="OHS13"/>
      <c r="OHT13"/>
      <c r="OHU13"/>
      <c r="OHV13"/>
      <c r="OHW13"/>
      <c r="OHX13"/>
      <c r="OHY13"/>
      <c r="OHZ13"/>
      <c r="OIA13"/>
      <c r="OIB13"/>
      <c r="OIC13"/>
      <c r="OID13"/>
      <c r="OIE13"/>
      <c r="OIF13"/>
      <c r="OIG13"/>
      <c r="OIH13"/>
      <c r="OII13"/>
      <c r="OIJ13"/>
      <c r="OIK13"/>
      <c r="OIL13"/>
      <c r="OIM13"/>
      <c r="OIN13"/>
      <c r="OIO13"/>
      <c r="OIP13"/>
      <c r="OIQ13"/>
      <c r="OIR13"/>
      <c r="OIS13"/>
      <c r="OIT13"/>
      <c r="OIU13"/>
      <c r="OIV13"/>
      <c r="OIW13"/>
      <c r="OIX13"/>
      <c r="OIY13"/>
      <c r="OIZ13"/>
      <c r="OJA13"/>
      <c r="OJB13"/>
      <c r="OJC13"/>
      <c r="OJD13"/>
      <c r="OJE13"/>
      <c r="OJF13"/>
      <c r="OJG13"/>
      <c r="OJH13"/>
      <c r="OJI13"/>
      <c r="OJJ13"/>
      <c r="OJK13"/>
      <c r="OJL13"/>
      <c r="OJM13"/>
      <c r="OJN13"/>
      <c r="OJO13"/>
      <c r="OJP13"/>
      <c r="OJQ13"/>
      <c r="OJR13"/>
      <c r="OJS13"/>
      <c r="OJT13"/>
      <c r="OJU13"/>
      <c r="OJV13"/>
      <c r="OJW13"/>
      <c r="OJX13"/>
      <c r="OJY13"/>
      <c r="OJZ13"/>
      <c r="OKA13"/>
      <c r="OKB13"/>
      <c r="OKC13"/>
      <c r="OKD13"/>
      <c r="OKE13"/>
      <c r="OKF13"/>
      <c r="OKG13"/>
      <c r="OKH13"/>
      <c r="OKI13"/>
      <c r="OKJ13"/>
      <c r="OKK13"/>
      <c r="OKL13"/>
      <c r="OKM13"/>
      <c r="OKN13"/>
      <c r="OKO13"/>
      <c r="OKP13"/>
      <c r="OKQ13"/>
      <c r="OKR13"/>
      <c r="OKS13"/>
      <c r="OKT13"/>
      <c r="OKU13"/>
      <c r="OKV13"/>
      <c r="OKW13"/>
      <c r="OKX13"/>
      <c r="OKY13"/>
      <c r="OKZ13"/>
      <c r="OLA13"/>
      <c r="OLB13"/>
      <c r="OLC13"/>
      <c r="OLD13"/>
      <c r="OLE13"/>
      <c r="OLF13"/>
      <c r="OLG13"/>
      <c r="OLH13"/>
      <c r="OLI13"/>
      <c r="OLJ13"/>
      <c r="OLK13"/>
      <c r="OLL13"/>
      <c r="OLM13"/>
      <c r="OLN13"/>
      <c r="OLO13"/>
      <c r="OLP13"/>
      <c r="OLQ13"/>
      <c r="OLR13"/>
      <c r="OLS13"/>
      <c r="OLT13"/>
      <c r="OLU13"/>
      <c r="OLV13"/>
      <c r="OLW13"/>
      <c r="OLX13"/>
      <c r="OLY13"/>
      <c r="OLZ13"/>
      <c r="OMA13"/>
      <c r="OMB13"/>
      <c r="OMC13"/>
      <c r="OMD13"/>
      <c r="OME13"/>
      <c r="OMF13"/>
      <c r="OMG13"/>
      <c r="OMH13"/>
      <c r="OMI13"/>
      <c r="OMJ13"/>
      <c r="OMK13"/>
      <c r="OML13"/>
      <c r="OMM13"/>
      <c r="OMN13"/>
      <c r="OMO13"/>
      <c r="OMP13"/>
      <c r="OMQ13"/>
      <c r="OMR13"/>
      <c r="OMS13"/>
      <c r="OMT13"/>
      <c r="OMU13"/>
      <c r="OMV13"/>
      <c r="OMW13"/>
      <c r="OMX13"/>
      <c r="OMY13"/>
      <c r="OMZ13"/>
      <c r="ONA13"/>
      <c r="ONB13"/>
      <c r="ONC13"/>
      <c r="OND13"/>
      <c r="ONE13"/>
      <c r="ONF13"/>
      <c r="ONG13"/>
      <c r="ONH13"/>
      <c r="ONI13"/>
      <c r="ONJ13"/>
      <c r="ONK13"/>
      <c r="ONL13"/>
      <c r="ONM13"/>
      <c r="ONN13"/>
      <c r="ONO13"/>
      <c r="ONP13"/>
      <c r="ONQ13"/>
      <c r="ONR13"/>
      <c r="ONS13"/>
      <c r="ONT13"/>
      <c r="ONU13"/>
      <c r="ONV13"/>
      <c r="ONW13"/>
      <c r="ONX13"/>
      <c r="ONY13"/>
      <c r="ONZ13"/>
      <c r="OOA13"/>
      <c r="OOB13"/>
      <c r="OOC13"/>
      <c r="OOD13"/>
      <c r="OOE13"/>
      <c r="OOF13"/>
      <c r="OOG13"/>
      <c r="OOH13"/>
      <c r="OOI13"/>
      <c r="OOJ13"/>
      <c r="OOK13"/>
      <c r="OOL13"/>
      <c r="OOM13"/>
      <c r="OON13"/>
      <c r="OOO13"/>
      <c r="OOP13"/>
      <c r="OOQ13"/>
      <c r="OOR13"/>
      <c r="OOS13"/>
      <c r="OOT13"/>
      <c r="OOU13"/>
      <c r="OOV13"/>
      <c r="OOW13"/>
      <c r="OOX13"/>
      <c r="OOY13"/>
      <c r="OOZ13"/>
      <c r="OPA13"/>
      <c r="OPB13"/>
      <c r="OPC13"/>
      <c r="OPD13"/>
      <c r="OPE13"/>
      <c r="OPF13"/>
      <c r="OPG13"/>
      <c r="OPH13"/>
      <c r="OPI13"/>
      <c r="OPJ13"/>
      <c r="OPK13"/>
      <c r="OPL13"/>
      <c r="OPM13"/>
      <c r="OPN13"/>
      <c r="OPO13"/>
      <c r="OPP13"/>
      <c r="OPQ13"/>
      <c r="OPR13"/>
      <c r="OPS13"/>
      <c r="OPT13"/>
      <c r="OPU13"/>
      <c r="OPV13"/>
      <c r="OPW13"/>
      <c r="OPX13"/>
      <c r="OPY13"/>
      <c r="OPZ13"/>
      <c r="OQA13"/>
      <c r="OQB13"/>
      <c r="OQC13"/>
      <c r="OQD13"/>
      <c r="OQE13"/>
      <c r="OQF13"/>
      <c r="OQG13"/>
      <c r="OQH13"/>
      <c r="OQI13"/>
      <c r="OQJ13"/>
      <c r="OQK13"/>
      <c r="OQL13"/>
      <c r="OQM13"/>
      <c r="OQN13"/>
      <c r="OQO13"/>
      <c r="OQP13"/>
      <c r="OQQ13"/>
      <c r="OQR13"/>
      <c r="OQS13"/>
      <c r="OQT13"/>
      <c r="OQU13"/>
      <c r="OQV13"/>
      <c r="OQW13"/>
      <c r="OQX13"/>
      <c r="OQY13"/>
      <c r="OQZ13"/>
      <c r="ORA13"/>
      <c r="ORB13"/>
      <c r="ORC13"/>
      <c r="ORD13"/>
      <c r="ORE13"/>
      <c r="ORF13"/>
      <c r="ORG13"/>
      <c r="ORH13"/>
      <c r="ORI13"/>
      <c r="ORJ13"/>
      <c r="ORK13"/>
      <c r="ORL13"/>
      <c r="ORM13"/>
      <c r="ORN13"/>
      <c r="ORO13"/>
      <c r="ORP13"/>
      <c r="ORQ13"/>
      <c r="ORR13"/>
      <c r="ORS13"/>
      <c r="ORT13"/>
      <c r="ORU13"/>
      <c r="ORV13"/>
      <c r="ORW13"/>
      <c r="ORX13"/>
      <c r="ORY13"/>
      <c r="ORZ13"/>
      <c r="OSA13"/>
      <c r="OSB13"/>
      <c r="OSC13"/>
      <c r="OSD13"/>
      <c r="OSE13"/>
      <c r="OSF13"/>
      <c r="OSG13"/>
      <c r="OSH13"/>
      <c r="OSI13"/>
      <c r="OSJ13"/>
      <c r="OSK13"/>
      <c r="OSL13"/>
      <c r="OSM13"/>
      <c r="OSN13"/>
      <c r="OSO13"/>
      <c r="OSP13"/>
      <c r="OSQ13"/>
      <c r="OSR13"/>
      <c r="OSS13"/>
      <c r="OST13"/>
      <c r="OSU13"/>
      <c r="OSV13"/>
      <c r="OSW13"/>
      <c r="OSX13"/>
      <c r="OSY13"/>
      <c r="OSZ13"/>
      <c r="OTA13"/>
      <c r="OTB13"/>
      <c r="OTC13"/>
      <c r="OTD13"/>
      <c r="OTE13"/>
      <c r="OTF13"/>
      <c r="OTG13"/>
      <c r="OTH13"/>
      <c r="OTI13"/>
      <c r="OTJ13"/>
      <c r="OTK13"/>
      <c r="OTL13"/>
      <c r="OTM13"/>
      <c r="OTN13"/>
      <c r="OTO13"/>
      <c r="OTP13"/>
      <c r="OTQ13"/>
      <c r="OTR13"/>
      <c r="OTS13"/>
      <c r="OTT13"/>
      <c r="OTU13"/>
      <c r="OTV13"/>
      <c r="OTW13"/>
      <c r="OTX13"/>
      <c r="OTY13"/>
      <c r="OTZ13"/>
      <c r="OUA13"/>
      <c r="OUB13"/>
      <c r="OUC13"/>
      <c r="OUD13"/>
      <c r="OUE13"/>
      <c r="OUF13"/>
      <c r="OUG13"/>
      <c r="OUH13"/>
      <c r="OUI13"/>
      <c r="OUJ13"/>
      <c r="OUK13"/>
      <c r="OUL13"/>
      <c r="OUM13"/>
      <c r="OUN13"/>
      <c r="OUO13"/>
      <c r="OUP13"/>
      <c r="OUQ13"/>
      <c r="OUR13"/>
      <c r="OUS13"/>
      <c r="OUT13"/>
      <c r="OUU13"/>
      <c r="OUV13"/>
      <c r="OUW13"/>
      <c r="OUX13"/>
      <c r="OUY13"/>
      <c r="OUZ13"/>
      <c r="OVA13"/>
      <c r="OVB13"/>
      <c r="OVC13"/>
      <c r="OVD13"/>
      <c r="OVE13"/>
      <c r="OVF13"/>
      <c r="OVG13"/>
      <c r="OVH13"/>
      <c r="OVI13"/>
      <c r="OVJ13"/>
      <c r="OVK13"/>
      <c r="OVL13"/>
      <c r="OVM13"/>
      <c r="OVN13"/>
      <c r="OVO13"/>
      <c r="OVP13"/>
      <c r="OVQ13"/>
      <c r="OVR13"/>
      <c r="OVS13"/>
      <c r="OVT13"/>
      <c r="OVU13"/>
      <c r="OVV13"/>
      <c r="OVW13"/>
      <c r="OVX13"/>
      <c r="OVY13"/>
      <c r="OVZ13"/>
      <c r="OWA13"/>
      <c r="OWB13"/>
      <c r="OWC13"/>
      <c r="OWD13"/>
      <c r="OWE13"/>
      <c r="OWF13"/>
      <c r="OWG13"/>
      <c r="OWH13"/>
      <c r="OWI13"/>
      <c r="OWJ13"/>
      <c r="OWK13"/>
      <c r="OWL13"/>
      <c r="OWM13"/>
      <c r="OWN13"/>
      <c r="OWO13"/>
      <c r="OWP13"/>
      <c r="OWQ13"/>
      <c r="OWR13"/>
      <c r="OWS13"/>
      <c r="OWT13"/>
      <c r="OWU13"/>
      <c r="OWV13"/>
      <c r="OWW13"/>
      <c r="OWX13"/>
      <c r="OWY13"/>
      <c r="OWZ13"/>
      <c r="OXA13"/>
      <c r="OXB13"/>
      <c r="OXC13"/>
      <c r="OXD13"/>
      <c r="OXE13"/>
      <c r="OXF13"/>
      <c r="OXG13"/>
      <c r="OXH13"/>
      <c r="OXI13"/>
      <c r="OXJ13"/>
      <c r="OXK13"/>
      <c r="OXL13"/>
      <c r="OXM13"/>
      <c r="OXN13"/>
      <c r="OXO13"/>
      <c r="OXP13"/>
      <c r="OXQ13"/>
      <c r="OXR13"/>
      <c r="OXS13"/>
      <c r="OXT13"/>
      <c r="OXU13"/>
      <c r="OXV13"/>
      <c r="OXW13"/>
      <c r="OXX13"/>
      <c r="OXY13"/>
      <c r="OXZ13"/>
      <c r="OYA13"/>
      <c r="OYB13"/>
      <c r="OYC13"/>
      <c r="OYD13"/>
      <c r="OYE13"/>
      <c r="OYF13"/>
      <c r="OYG13"/>
      <c r="OYH13"/>
      <c r="OYI13"/>
      <c r="OYJ13"/>
      <c r="OYK13"/>
      <c r="OYL13"/>
      <c r="OYM13"/>
      <c r="OYN13"/>
      <c r="OYO13"/>
      <c r="OYP13"/>
      <c r="OYQ13"/>
      <c r="OYR13"/>
      <c r="OYS13"/>
      <c r="OYT13"/>
      <c r="OYU13"/>
      <c r="OYV13"/>
      <c r="OYW13"/>
      <c r="OYX13"/>
      <c r="OYY13"/>
      <c r="OYZ13"/>
      <c r="OZA13"/>
      <c r="OZB13"/>
      <c r="OZC13"/>
      <c r="OZD13"/>
      <c r="OZE13"/>
      <c r="OZF13"/>
      <c r="OZG13"/>
      <c r="OZH13"/>
      <c r="OZI13"/>
      <c r="OZJ13"/>
      <c r="OZK13"/>
      <c r="OZL13"/>
      <c r="OZM13"/>
      <c r="OZN13"/>
      <c r="OZO13"/>
      <c r="OZP13"/>
      <c r="OZQ13"/>
      <c r="OZR13"/>
      <c r="OZS13"/>
      <c r="OZT13"/>
      <c r="OZU13"/>
      <c r="OZV13"/>
      <c r="OZW13"/>
      <c r="OZX13"/>
      <c r="OZY13"/>
      <c r="OZZ13"/>
      <c r="PAA13"/>
      <c r="PAB13"/>
      <c r="PAC13"/>
      <c r="PAD13"/>
      <c r="PAE13"/>
      <c r="PAF13"/>
      <c r="PAG13"/>
      <c r="PAH13"/>
      <c r="PAI13"/>
      <c r="PAJ13"/>
      <c r="PAK13"/>
      <c r="PAL13"/>
      <c r="PAM13"/>
      <c r="PAN13"/>
      <c r="PAO13"/>
      <c r="PAP13"/>
      <c r="PAQ13"/>
      <c r="PAR13"/>
      <c r="PAS13"/>
      <c r="PAT13"/>
      <c r="PAU13"/>
      <c r="PAV13"/>
      <c r="PAW13"/>
      <c r="PAX13"/>
      <c r="PAY13"/>
      <c r="PAZ13"/>
      <c r="PBA13"/>
      <c r="PBB13"/>
      <c r="PBC13"/>
      <c r="PBD13"/>
      <c r="PBE13"/>
      <c r="PBF13"/>
      <c r="PBG13"/>
      <c r="PBH13"/>
      <c r="PBI13"/>
      <c r="PBJ13"/>
      <c r="PBK13"/>
      <c r="PBL13"/>
      <c r="PBM13"/>
      <c r="PBN13"/>
      <c r="PBO13"/>
      <c r="PBP13"/>
      <c r="PBQ13"/>
      <c r="PBR13"/>
      <c r="PBS13"/>
      <c r="PBT13"/>
      <c r="PBU13"/>
      <c r="PBV13"/>
      <c r="PBW13"/>
      <c r="PBX13"/>
      <c r="PBY13"/>
      <c r="PBZ13"/>
      <c r="PCA13"/>
      <c r="PCB13"/>
      <c r="PCC13"/>
      <c r="PCD13"/>
      <c r="PCE13"/>
      <c r="PCF13"/>
      <c r="PCG13"/>
      <c r="PCH13"/>
      <c r="PCI13"/>
      <c r="PCJ13"/>
      <c r="PCK13"/>
      <c r="PCL13"/>
      <c r="PCM13"/>
      <c r="PCN13"/>
      <c r="PCO13"/>
      <c r="PCP13"/>
      <c r="PCQ13"/>
      <c r="PCR13"/>
      <c r="PCS13"/>
      <c r="PCT13"/>
      <c r="PCU13"/>
      <c r="PCV13"/>
      <c r="PCW13"/>
      <c r="PCX13"/>
      <c r="PCY13"/>
      <c r="PCZ13"/>
      <c r="PDA13"/>
      <c r="PDB13"/>
      <c r="PDC13"/>
      <c r="PDD13"/>
      <c r="PDE13"/>
      <c r="PDF13"/>
      <c r="PDG13"/>
      <c r="PDH13"/>
      <c r="PDI13"/>
      <c r="PDJ13"/>
      <c r="PDK13"/>
      <c r="PDL13"/>
      <c r="PDM13"/>
      <c r="PDN13"/>
      <c r="PDO13"/>
      <c r="PDP13"/>
      <c r="PDQ13"/>
      <c r="PDR13"/>
      <c r="PDS13"/>
      <c r="PDT13"/>
      <c r="PDU13"/>
      <c r="PDV13"/>
      <c r="PDW13"/>
      <c r="PDX13"/>
      <c r="PDY13"/>
      <c r="PDZ13"/>
      <c r="PEA13"/>
      <c r="PEB13"/>
      <c r="PEC13"/>
      <c r="PED13"/>
      <c r="PEE13"/>
      <c r="PEF13"/>
      <c r="PEG13"/>
      <c r="PEH13"/>
      <c r="PEI13"/>
      <c r="PEJ13"/>
      <c r="PEK13"/>
      <c r="PEL13"/>
      <c r="PEM13"/>
      <c r="PEN13"/>
      <c r="PEO13"/>
      <c r="PEP13"/>
      <c r="PEQ13"/>
      <c r="PER13"/>
      <c r="PES13"/>
      <c r="PET13"/>
      <c r="PEU13"/>
      <c r="PEV13"/>
      <c r="PEW13"/>
      <c r="PEX13"/>
      <c r="PEY13"/>
      <c r="PEZ13"/>
      <c r="PFA13"/>
      <c r="PFB13"/>
      <c r="PFC13"/>
      <c r="PFD13"/>
      <c r="PFE13"/>
      <c r="PFF13"/>
      <c r="PFG13"/>
      <c r="PFH13"/>
      <c r="PFI13"/>
      <c r="PFJ13"/>
      <c r="PFK13"/>
      <c r="PFL13"/>
      <c r="PFM13"/>
      <c r="PFN13"/>
      <c r="PFO13"/>
      <c r="PFP13"/>
      <c r="PFQ13"/>
      <c r="PFR13"/>
      <c r="PFS13"/>
      <c r="PFT13"/>
      <c r="PFU13"/>
      <c r="PFV13"/>
      <c r="PFW13"/>
      <c r="PFX13"/>
      <c r="PFY13"/>
      <c r="PFZ13"/>
      <c r="PGA13"/>
      <c r="PGB13"/>
      <c r="PGC13"/>
      <c r="PGD13"/>
      <c r="PGE13"/>
      <c r="PGF13"/>
      <c r="PGG13"/>
      <c r="PGH13"/>
      <c r="PGI13"/>
      <c r="PGJ13"/>
      <c r="PGK13"/>
      <c r="PGL13"/>
      <c r="PGM13"/>
      <c r="PGN13"/>
      <c r="PGO13"/>
      <c r="PGP13"/>
      <c r="PGQ13"/>
      <c r="PGR13"/>
      <c r="PGS13"/>
      <c r="PGT13"/>
      <c r="PGU13"/>
      <c r="PGV13"/>
      <c r="PGW13"/>
      <c r="PGX13"/>
      <c r="PGY13"/>
      <c r="PGZ13"/>
      <c r="PHA13"/>
      <c r="PHB13"/>
      <c r="PHC13"/>
      <c r="PHD13"/>
      <c r="PHE13"/>
      <c r="PHF13"/>
      <c r="PHG13"/>
      <c r="PHH13"/>
      <c r="PHI13"/>
      <c r="PHJ13"/>
      <c r="PHK13"/>
      <c r="PHL13"/>
      <c r="PHM13"/>
      <c r="PHN13"/>
      <c r="PHO13"/>
      <c r="PHP13"/>
      <c r="PHQ13"/>
      <c r="PHR13"/>
      <c r="PHS13"/>
      <c r="PHT13"/>
      <c r="PHU13"/>
      <c r="PHV13"/>
      <c r="PHW13"/>
      <c r="PHX13"/>
      <c r="PHY13"/>
      <c r="PHZ13"/>
      <c r="PIA13"/>
      <c r="PIB13"/>
      <c r="PIC13"/>
      <c r="PID13"/>
      <c r="PIE13"/>
      <c r="PIF13"/>
      <c r="PIG13"/>
      <c r="PIH13"/>
      <c r="PII13"/>
      <c r="PIJ13"/>
      <c r="PIK13"/>
      <c r="PIL13"/>
      <c r="PIM13"/>
      <c r="PIN13"/>
      <c r="PIO13"/>
      <c r="PIP13"/>
      <c r="PIQ13"/>
      <c r="PIR13"/>
      <c r="PIS13"/>
      <c r="PIT13"/>
      <c r="PIU13"/>
      <c r="PIV13"/>
      <c r="PIW13"/>
      <c r="PIX13"/>
      <c r="PIY13"/>
      <c r="PIZ13"/>
      <c r="PJA13"/>
      <c r="PJB13"/>
      <c r="PJC13"/>
      <c r="PJD13"/>
      <c r="PJE13"/>
      <c r="PJF13"/>
      <c r="PJG13"/>
      <c r="PJH13"/>
      <c r="PJI13"/>
      <c r="PJJ13"/>
      <c r="PJK13"/>
      <c r="PJL13"/>
      <c r="PJM13"/>
      <c r="PJN13"/>
      <c r="PJO13"/>
      <c r="PJP13"/>
      <c r="PJQ13"/>
      <c r="PJR13"/>
      <c r="PJS13"/>
      <c r="PJT13"/>
      <c r="PJU13"/>
      <c r="PJV13"/>
      <c r="PJW13"/>
      <c r="PJX13"/>
      <c r="PJY13"/>
      <c r="PJZ13"/>
      <c r="PKA13"/>
      <c r="PKB13"/>
      <c r="PKC13"/>
      <c r="PKD13"/>
      <c r="PKE13"/>
      <c r="PKF13"/>
      <c r="PKG13"/>
      <c r="PKH13"/>
      <c r="PKI13"/>
      <c r="PKJ13"/>
      <c r="PKK13"/>
      <c r="PKL13"/>
      <c r="PKM13"/>
      <c r="PKN13"/>
      <c r="PKO13"/>
      <c r="PKP13"/>
      <c r="PKQ13"/>
      <c r="PKR13"/>
      <c r="PKS13"/>
      <c r="PKT13"/>
      <c r="PKU13"/>
      <c r="PKV13"/>
      <c r="PKW13"/>
      <c r="PKX13"/>
      <c r="PKY13"/>
      <c r="PKZ13"/>
      <c r="PLA13"/>
      <c r="PLB13"/>
      <c r="PLC13"/>
      <c r="PLD13"/>
      <c r="PLE13"/>
      <c r="PLF13"/>
      <c r="PLG13"/>
      <c r="PLH13"/>
      <c r="PLI13"/>
      <c r="PLJ13"/>
      <c r="PLK13"/>
      <c r="PLL13"/>
      <c r="PLM13"/>
      <c r="PLN13"/>
      <c r="PLO13"/>
      <c r="PLP13"/>
      <c r="PLQ13"/>
      <c r="PLR13"/>
      <c r="PLS13"/>
      <c r="PLT13"/>
      <c r="PLU13"/>
      <c r="PLV13"/>
      <c r="PLW13"/>
      <c r="PLX13"/>
      <c r="PLY13"/>
      <c r="PLZ13"/>
      <c r="PMA13"/>
      <c r="PMB13"/>
      <c r="PMC13"/>
      <c r="PMD13"/>
      <c r="PME13"/>
      <c r="PMF13"/>
      <c r="PMG13"/>
      <c r="PMH13"/>
      <c r="PMI13"/>
      <c r="PMJ13"/>
      <c r="PMK13"/>
      <c r="PML13"/>
      <c r="PMM13"/>
      <c r="PMN13"/>
      <c r="PMO13"/>
      <c r="PMP13"/>
      <c r="PMQ13"/>
      <c r="PMR13"/>
      <c r="PMS13"/>
      <c r="PMT13"/>
      <c r="PMU13"/>
      <c r="PMV13"/>
      <c r="PMW13"/>
      <c r="PMX13"/>
      <c r="PMY13"/>
      <c r="PMZ13"/>
      <c r="PNA13"/>
      <c r="PNB13"/>
      <c r="PNC13"/>
      <c r="PND13"/>
      <c r="PNE13"/>
      <c r="PNF13"/>
      <c r="PNG13"/>
      <c r="PNH13"/>
      <c r="PNI13"/>
      <c r="PNJ13"/>
      <c r="PNK13"/>
      <c r="PNL13"/>
      <c r="PNM13"/>
      <c r="PNN13"/>
      <c r="PNO13"/>
      <c r="PNP13"/>
      <c r="PNQ13"/>
      <c r="PNR13"/>
      <c r="PNS13"/>
      <c r="PNT13"/>
      <c r="PNU13"/>
      <c r="PNV13"/>
      <c r="PNW13"/>
      <c r="PNX13"/>
      <c r="PNY13"/>
      <c r="PNZ13"/>
      <c r="POA13"/>
      <c r="POB13"/>
      <c r="POC13"/>
      <c r="POD13"/>
      <c r="POE13"/>
      <c r="POF13"/>
      <c r="POG13"/>
      <c r="POH13"/>
      <c r="POI13"/>
      <c r="POJ13"/>
      <c r="POK13"/>
      <c r="POL13"/>
      <c r="POM13"/>
      <c r="PON13"/>
      <c r="POO13"/>
      <c r="POP13"/>
      <c r="POQ13"/>
      <c r="POR13"/>
      <c r="POS13"/>
      <c r="POT13"/>
      <c r="POU13"/>
      <c r="POV13"/>
      <c r="POW13"/>
      <c r="POX13"/>
      <c r="POY13"/>
      <c r="POZ13"/>
      <c r="PPA13"/>
      <c r="PPB13"/>
      <c r="PPC13"/>
      <c r="PPD13"/>
      <c r="PPE13"/>
      <c r="PPF13"/>
      <c r="PPG13"/>
      <c r="PPH13"/>
      <c r="PPI13"/>
      <c r="PPJ13"/>
      <c r="PPK13"/>
      <c r="PPL13"/>
      <c r="PPM13"/>
      <c r="PPN13"/>
      <c r="PPO13"/>
      <c r="PPP13"/>
      <c r="PPQ13"/>
      <c r="PPR13"/>
      <c r="PPS13"/>
      <c r="PPT13"/>
      <c r="PPU13"/>
      <c r="PPV13"/>
      <c r="PPW13"/>
      <c r="PPX13"/>
      <c r="PPY13"/>
      <c r="PPZ13"/>
      <c r="PQA13"/>
      <c r="PQB13"/>
      <c r="PQC13"/>
      <c r="PQD13"/>
      <c r="PQE13"/>
      <c r="PQF13"/>
      <c r="PQG13"/>
      <c r="PQH13"/>
      <c r="PQI13"/>
      <c r="PQJ13"/>
      <c r="PQK13"/>
      <c r="PQL13"/>
      <c r="PQM13"/>
      <c r="PQN13"/>
      <c r="PQO13"/>
      <c r="PQP13"/>
      <c r="PQQ13"/>
      <c r="PQR13"/>
      <c r="PQS13"/>
      <c r="PQT13"/>
      <c r="PQU13"/>
      <c r="PQV13"/>
      <c r="PQW13"/>
      <c r="PQX13"/>
      <c r="PQY13"/>
      <c r="PQZ13"/>
      <c r="PRA13"/>
      <c r="PRB13"/>
      <c r="PRC13"/>
      <c r="PRD13"/>
      <c r="PRE13"/>
      <c r="PRF13"/>
      <c r="PRG13"/>
      <c r="PRH13"/>
      <c r="PRI13"/>
      <c r="PRJ13"/>
      <c r="PRK13"/>
      <c r="PRL13"/>
      <c r="PRM13"/>
      <c r="PRN13"/>
      <c r="PRO13"/>
      <c r="PRP13"/>
      <c r="PRQ13"/>
      <c r="PRR13"/>
      <c r="PRS13"/>
      <c r="PRT13"/>
      <c r="PRU13"/>
      <c r="PRV13"/>
      <c r="PRW13"/>
      <c r="PRX13"/>
      <c r="PRY13"/>
      <c r="PRZ13"/>
      <c r="PSA13"/>
      <c r="PSB13"/>
      <c r="PSC13"/>
      <c r="PSD13"/>
      <c r="PSE13"/>
      <c r="PSF13"/>
      <c r="PSG13"/>
      <c r="PSH13"/>
      <c r="PSI13"/>
      <c r="PSJ13"/>
      <c r="PSK13"/>
      <c r="PSL13"/>
      <c r="PSM13"/>
      <c r="PSN13"/>
      <c r="PSO13"/>
      <c r="PSP13"/>
      <c r="PSQ13"/>
      <c r="PSR13"/>
      <c r="PSS13"/>
      <c r="PST13"/>
      <c r="PSU13"/>
      <c r="PSV13"/>
      <c r="PSW13"/>
      <c r="PSX13"/>
      <c r="PSY13"/>
      <c r="PSZ13"/>
      <c r="PTA13"/>
      <c r="PTB13"/>
      <c r="PTC13"/>
      <c r="PTD13"/>
      <c r="PTE13"/>
      <c r="PTF13"/>
      <c r="PTG13"/>
      <c r="PTH13"/>
      <c r="PTI13"/>
      <c r="PTJ13"/>
      <c r="PTK13"/>
      <c r="PTL13"/>
      <c r="PTM13"/>
      <c r="PTN13"/>
      <c r="PTO13"/>
      <c r="PTP13"/>
      <c r="PTQ13"/>
      <c r="PTR13"/>
      <c r="PTS13"/>
      <c r="PTT13"/>
      <c r="PTU13"/>
      <c r="PTV13"/>
      <c r="PTW13"/>
      <c r="PTX13"/>
      <c r="PTY13"/>
      <c r="PTZ13"/>
      <c r="PUA13"/>
      <c r="PUB13"/>
      <c r="PUC13"/>
      <c r="PUD13"/>
      <c r="PUE13"/>
      <c r="PUF13"/>
      <c r="PUG13"/>
      <c r="PUH13"/>
      <c r="PUI13"/>
      <c r="PUJ13"/>
      <c r="PUK13"/>
      <c r="PUL13"/>
      <c r="PUM13"/>
      <c r="PUN13"/>
      <c r="PUO13"/>
      <c r="PUP13"/>
      <c r="PUQ13"/>
      <c r="PUR13"/>
      <c r="PUS13"/>
      <c r="PUT13"/>
      <c r="PUU13"/>
      <c r="PUV13"/>
      <c r="PUW13"/>
      <c r="PUX13"/>
      <c r="PUY13"/>
      <c r="PUZ13"/>
      <c r="PVA13"/>
      <c r="PVB13"/>
      <c r="PVC13"/>
      <c r="PVD13"/>
      <c r="PVE13"/>
      <c r="PVF13"/>
      <c r="PVG13"/>
      <c r="PVH13"/>
      <c r="PVI13"/>
      <c r="PVJ13"/>
      <c r="PVK13"/>
      <c r="PVL13"/>
      <c r="PVM13"/>
      <c r="PVN13"/>
      <c r="PVO13"/>
      <c r="PVP13"/>
      <c r="PVQ13"/>
      <c r="PVR13"/>
      <c r="PVS13"/>
      <c r="PVT13"/>
      <c r="PVU13"/>
      <c r="PVV13"/>
      <c r="PVW13"/>
      <c r="PVX13"/>
      <c r="PVY13"/>
      <c r="PVZ13"/>
      <c r="PWA13"/>
      <c r="PWB13"/>
      <c r="PWC13"/>
      <c r="PWD13"/>
      <c r="PWE13"/>
      <c r="PWF13"/>
      <c r="PWG13"/>
      <c r="PWH13"/>
      <c r="PWI13"/>
      <c r="PWJ13"/>
      <c r="PWK13"/>
      <c r="PWL13"/>
      <c r="PWM13"/>
      <c r="PWN13"/>
      <c r="PWO13"/>
      <c r="PWP13"/>
      <c r="PWQ13"/>
      <c r="PWR13"/>
      <c r="PWS13"/>
      <c r="PWT13"/>
      <c r="PWU13"/>
      <c r="PWV13"/>
      <c r="PWW13"/>
      <c r="PWX13"/>
      <c r="PWY13"/>
      <c r="PWZ13"/>
      <c r="PXA13"/>
      <c r="PXB13"/>
      <c r="PXC13"/>
      <c r="PXD13"/>
      <c r="PXE13"/>
      <c r="PXF13"/>
      <c r="PXG13"/>
      <c r="PXH13"/>
      <c r="PXI13"/>
      <c r="PXJ13"/>
      <c r="PXK13"/>
      <c r="PXL13"/>
      <c r="PXM13"/>
      <c r="PXN13"/>
      <c r="PXO13"/>
      <c r="PXP13"/>
      <c r="PXQ13"/>
      <c r="PXR13"/>
      <c r="PXS13"/>
      <c r="PXT13"/>
      <c r="PXU13"/>
      <c r="PXV13"/>
      <c r="PXW13"/>
      <c r="PXX13"/>
      <c r="PXY13"/>
      <c r="PXZ13"/>
      <c r="PYA13"/>
      <c r="PYB13"/>
      <c r="PYC13"/>
      <c r="PYD13"/>
      <c r="PYE13"/>
      <c r="PYF13"/>
      <c r="PYG13"/>
      <c r="PYH13"/>
      <c r="PYI13"/>
      <c r="PYJ13"/>
      <c r="PYK13"/>
      <c r="PYL13"/>
      <c r="PYM13"/>
      <c r="PYN13"/>
      <c r="PYO13"/>
      <c r="PYP13"/>
      <c r="PYQ13"/>
      <c r="PYR13"/>
      <c r="PYS13"/>
      <c r="PYT13"/>
      <c r="PYU13"/>
      <c r="PYV13"/>
      <c r="PYW13"/>
      <c r="PYX13"/>
      <c r="PYY13"/>
      <c r="PYZ13"/>
      <c r="PZA13"/>
      <c r="PZB13"/>
      <c r="PZC13"/>
      <c r="PZD13"/>
      <c r="PZE13"/>
      <c r="PZF13"/>
      <c r="PZG13"/>
      <c r="PZH13"/>
      <c r="PZI13"/>
      <c r="PZJ13"/>
      <c r="PZK13"/>
      <c r="PZL13"/>
      <c r="PZM13"/>
      <c r="PZN13"/>
      <c r="PZO13"/>
      <c r="PZP13"/>
      <c r="PZQ13"/>
      <c r="PZR13"/>
      <c r="PZS13"/>
      <c r="PZT13"/>
      <c r="PZU13"/>
      <c r="PZV13"/>
      <c r="PZW13"/>
      <c r="PZX13"/>
      <c r="PZY13"/>
      <c r="PZZ13"/>
      <c r="QAA13"/>
      <c r="QAB13"/>
      <c r="QAC13"/>
      <c r="QAD13"/>
      <c r="QAE13"/>
      <c r="QAF13"/>
      <c r="QAG13"/>
      <c r="QAH13"/>
      <c r="QAI13"/>
      <c r="QAJ13"/>
      <c r="QAK13"/>
      <c r="QAL13"/>
      <c r="QAM13"/>
      <c r="QAN13"/>
      <c r="QAO13"/>
      <c r="QAP13"/>
      <c r="QAQ13"/>
      <c r="QAR13"/>
      <c r="QAS13"/>
      <c r="QAT13"/>
      <c r="QAU13"/>
      <c r="QAV13"/>
      <c r="QAW13"/>
      <c r="QAX13"/>
      <c r="QAY13"/>
      <c r="QAZ13"/>
      <c r="QBA13"/>
      <c r="QBB13"/>
      <c r="QBC13"/>
      <c r="QBD13"/>
      <c r="QBE13"/>
      <c r="QBF13"/>
      <c r="QBG13"/>
      <c r="QBH13"/>
      <c r="QBI13"/>
      <c r="QBJ13"/>
      <c r="QBK13"/>
      <c r="QBL13"/>
      <c r="QBM13"/>
      <c r="QBN13"/>
      <c r="QBO13"/>
      <c r="QBP13"/>
      <c r="QBQ13"/>
      <c r="QBR13"/>
      <c r="QBS13"/>
      <c r="QBT13"/>
      <c r="QBU13"/>
      <c r="QBV13"/>
      <c r="QBW13"/>
      <c r="QBX13"/>
      <c r="QBY13"/>
      <c r="QBZ13"/>
      <c r="QCA13"/>
      <c r="QCB13"/>
      <c r="QCC13"/>
      <c r="QCD13"/>
      <c r="QCE13"/>
      <c r="QCF13"/>
      <c r="QCG13"/>
      <c r="QCH13"/>
      <c r="QCI13"/>
      <c r="QCJ13"/>
      <c r="QCK13"/>
      <c r="QCL13"/>
      <c r="QCM13"/>
      <c r="QCN13"/>
      <c r="QCO13"/>
      <c r="QCP13"/>
      <c r="QCQ13"/>
      <c r="QCR13"/>
      <c r="QCS13"/>
      <c r="QCT13"/>
      <c r="QCU13"/>
      <c r="QCV13"/>
      <c r="QCW13"/>
      <c r="QCX13"/>
      <c r="QCY13"/>
      <c r="QCZ13"/>
      <c r="QDA13"/>
      <c r="QDB13"/>
      <c r="QDC13"/>
      <c r="QDD13"/>
      <c r="QDE13"/>
      <c r="QDF13"/>
      <c r="QDG13"/>
      <c r="QDH13"/>
      <c r="QDI13"/>
      <c r="QDJ13"/>
      <c r="QDK13"/>
      <c r="QDL13"/>
      <c r="QDM13"/>
      <c r="QDN13"/>
      <c r="QDO13"/>
      <c r="QDP13"/>
      <c r="QDQ13"/>
      <c r="QDR13"/>
      <c r="QDS13"/>
      <c r="QDT13"/>
      <c r="QDU13"/>
      <c r="QDV13"/>
      <c r="QDW13"/>
      <c r="QDX13"/>
      <c r="QDY13"/>
      <c r="QDZ13"/>
      <c r="QEA13"/>
      <c r="QEB13"/>
      <c r="QEC13"/>
      <c r="QED13"/>
      <c r="QEE13"/>
      <c r="QEF13"/>
      <c r="QEG13"/>
      <c r="QEH13"/>
      <c r="QEI13"/>
      <c r="QEJ13"/>
      <c r="QEK13"/>
      <c r="QEL13"/>
      <c r="QEM13"/>
      <c r="QEN13"/>
      <c r="QEO13"/>
      <c r="QEP13"/>
      <c r="QEQ13"/>
      <c r="QER13"/>
      <c r="QES13"/>
      <c r="QET13"/>
      <c r="QEU13"/>
      <c r="QEV13"/>
      <c r="QEW13"/>
      <c r="QEX13"/>
      <c r="QEY13"/>
      <c r="QEZ13"/>
      <c r="QFA13"/>
      <c r="QFB13"/>
      <c r="QFC13"/>
      <c r="QFD13"/>
      <c r="QFE13"/>
      <c r="QFF13"/>
      <c r="QFG13"/>
      <c r="QFH13"/>
      <c r="QFI13"/>
      <c r="QFJ13"/>
      <c r="QFK13"/>
      <c r="QFL13"/>
      <c r="QFM13"/>
      <c r="QFN13"/>
      <c r="QFO13"/>
      <c r="QFP13"/>
      <c r="QFQ13"/>
      <c r="QFR13"/>
      <c r="QFS13"/>
      <c r="QFT13"/>
      <c r="QFU13"/>
      <c r="QFV13"/>
      <c r="QFW13"/>
      <c r="QFX13"/>
      <c r="QFY13"/>
      <c r="QFZ13"/>
      <c r="QGA13"/>
      <c r="QGB13"/>
      <c r="QGC13"/>
      <c r="QGD13"/>
      <c r="QGE13"/>
      <c r="QGF13"/>
      <c r="QGG13"/>
      <c r="QGH13"/>
      <c r="QGI13"/>
      <c r="QGJ13"/>
      <c r="QGK13"/>
      <c r="QGL13"/>
      <c r="QGM13"/>
      <c r="QGN13"/>
      <c r="QGO13"/>
      <c r="QGP13"/>
      <c r="QGQ13"/>
      <c r="QGR13"/>
      <c r="QGS13"/>
      <c r="QGT13"/>
      <c r="QGU13"/>
      <c r="QGV13"/>
      <c r="QGW13"/>
      <c r="QGX13"/>
      <c r="QGY13"/>
      <c r="QGZ13"/>
      <c r="QHA13"/>
      <c r="QHB13"/>
      <c r="QHC13"/>
      <c r="QHD13"/>
      <c r="QHE13"/>
      <c r="QHF13"/>
      <c r="QHG13"/>
      <c r="QHH13"/>
      <c r="QHI13"/>
      <c r="QHJ13"/>
      <c r="QHK13"/>
      <c r="QHL13"/>
      <c r="QHM13"/>
      <c r="QHN13"/>
      <c r="QHO13"/>
      <c r="QHP13"/>
      <c r="QHQ13"/>
      <c r="QHR13"/>
      <c r="QHS13"/>
      <c r="QHT13"/>
      <c r="QHU13"/>
      <c r="QHV13"/>
      <c r="QHW13"/>
      <c r="QHX13"/>
      <c r="QHY13"/>
      <c r="QHZ13"/>
      <c r="QIA13"/>
      <c r="QIB13"/>
      <c r="QIC13"/>
      <c r="QID13"/>
      <c r="QIE13"/>
      <c r="QIF13"/>
      <c r="QIG13"/>
      <c r="QIH13"/>
      <c r="QII13"/>
      <c r="QIJ13"/>
      <c r="QIK13"/>
      <c r="QIL13"/>
      <c r="QIM13"/>
      <c r="QIN13"/>
      <c r="QIO13"/>
      <c r="QIP13"/>
      <c r="QIQ13"/>
      <c r="QIR13"/>
      <c r="QIS13"/>
      <c r="QIT13"/>
      <c r="QIU13"/>
      <c r="QIV13"/>
      <c r="QIW13"/>
      <c r="QIX13"/>
      <c r="QIY13"/>
      <c r="QIZ13"/>
      <c r="QJA13"/>
      <c r="QJB13"/>
      <c r="QJC13"/>
      <c r="QJD13"/>
      <c r="QJE13"/>
      <c r="QJF13"/>
      <c r="QJG13"/>
      <c r="QJH13"/>
      <c r="QJI13"/>
      <c r="QJJ13"/>
      <c r="QJK13"/>
      <c r="QJL13"/>
      <c r="QJM13"/>
      <c r="QJN13"/>
      <c r="QJO13"/>
      <c r="QJP13"/>
      <c r="QJQ13"/>
      <c r="QJR13"/>
      <c r="QJS13"/>
      <c r="QJT13"/>
      <c r="QJU13"/>
      <c r="QJV13"/>
      <c r="QJW13"/>
      <c r="QJX13"/>
      <c r="QJY13"/>
      <c r="QJZ13"/>
      <c r="QKA13"/>
      <c r="QKB13"/>
      <c r="QKC13"/>
      <c r="QKD13"/>
      <c r="QKE13"/>
      <c r="QKF13"/>
      <c r="QKG13"/>
      <c r="QKH13"/>
      <c r="QKI13"/>
      <c r="QKJ13"/>
      <c r="QKK13"/>
      <c r="QKL13"/>
      <c r="QKM13"/>
      <c r="QKN13"/>
      <c r="QKO13"/>
      <c r="QKP13"/>
      <c r="QKQ13"/>
      <c r="QKR13"/>
      <c r="QKS13"/>
      <c r="QKT13"/>
      <c r="QKU13"/>
      <c r="QKV13"/>
      <c r="QKW13"/>
      <c r="QKX13"/>
      <c r="QKY13"/>
      <c r="QKZ13"/>
      <c r="QLA13"/>
      <c r="QLB13"/>
      <c r="QLC13"/>
      <c r="QLD13"/>
      <c r="QLE13"/>
      <c r="QLF13"/>
      <c r="QLG13"/>
      <c r="QLH13"/>
      <c r="QLI13"/>
      <c r="QLJ13"/>
      <c r="QLK13"/>
      <c r="QLL13"/>
      <c r="QLM13"/>
      <c r="QLN13"/>
      <c r="QLO13"/>
      <c r="QLP13"/>
      <c r="QLQ13"/>
      <c r="QLR13"/>
      <c r="QLS13"/>
      <c r="QLT13"/>
      <c r="QLU13"/>
      <c r="QLV13"/>
      <c r="QLW13"/>
      <c r="QLX13"/>
      <c r="QLY13"/>
      <c r="QLZ13"/>
      <c r="QMA13"/>
      <c r="QMB13"/>
      <c r="QMC13"/>
      <c r="QMD13"/>
      <c r="QME13"/>
      <c r="QMF13"/>
      <c r="QMG13"/>
      <c r="QMH13"/>
      <c r="QMI13"/>
      <c r="QMJ13"/>
      <c r="QMK13"/>
      <c r="QML13"/>
      <c r="QMM13"/>
      <c r="QMN13"/>
      <c r="QMO13"/>
      <c r="QMP13"/>
      <c r="QMQ13"/>
      <c r="QMR13"/>
      <c r="QMS13"/>
      <c r="QMT13"/>
      <c r="QMU13"/>
      <c r="QMV13"/>
      <c r="QMW13"/>
      <c r="QMX13"/>
      <c r="QMY13"/>
      <c r="QMZ13"/>
      <c r="QNA13"/>
      <c r="QNB13"/>
      <c r="QNC13"/>
      <c r="QND13"/>
      <c r="QNE13"/>
      <c r="QNF13"/>
      <c r="QNG13"/>
      <c r="QNH13"/>
      <c r="QNI13"/>
      <c r="QNJ13"/>
      <c r="QNK13"/>
      <c r="QNL13"/>
      <c r="QNM13"/>
      <c r="QNN13"/>
      <c r="QNO13"/>
      <c r="QNP13"/>
      <c r="QNQ13"/>
      <c r="QNR13"/>
      <c r="QNS13"/>
      <c r="QNT13"/>
      <c r="QNU13"/>
      <c r="QNV13"/>
      <c r="QNW13"/>
      <c r="QNX13"/>
      <c r="QNY13"/>
      <c r="QNZ13"/>
      <c r="QOA13"/>
      <c r="QOB13"/>
      <c r="QOC13"/>
      <c r="QOD13"/>
      <c r="QOE13"/>
      <c r="QOF13"/>
      <c r="QOG13"/>
      <c r="QOH13"/>
      <c r="QOI13"/>
      <c r="QOJ13"/>
      <c r="QOK13"/>
      <c r="QOL13"/>
      <c r="QOM13"/>
      <c r="QON13"/>
      <c r="QOO13"/>
      <c r="QOP13"/>
      <c r="QOQ13"/>
      <c r="QOR13"/>
      <c r="QOS13"/>
      <c r="QOT13"/>
      <c r="QOU13"/>
      <c r="QOV13"/>
      <c r="QOW13"/>
      <c r="QOX13"/>
      <c r="QOY13"/>
      <c r="QOZ13"/>
      <c r="QPA13"/>
      <c r="QPB13"/>
      <c r="QPC13"/>
      <c r="QPD13"/>
      <c r="QPE13"/>
      <c r="QPF13"/>
      <c r="QPG13"/>
      <c r="QPH13"/>
      <c r="QPI13"/>
      <c r="QPJ13"/>
      <c r="QPK13"/>
      <c r="QPL13"/>
      <c r="QPM13"/>
      <c r="QPN13"/>
      <c r="QPO13"/>
      <c r="QPP13"/>
      <c r="QPQ13"/>
      <c r="QPR13"/>
      <c r="QPS13"/>
      <c r="QPT13"/>
      <c r="QPU13"/>
      <c r="QPV13"/>
      <c r="QPW13"/>
      <c r="QPX13"/>
      <c r="QPY13"/>
      <c r="QPZ13"/>
      <c r="QQA13"/>
      <c r="QQB13"/>
      <c r="QQC13"/>
      <c r="QQD13"/>
      <c r="QQE13"/>
      <c r="QQF13"/>
      <c r="QQG13"/>
      <c r="QQH13"/>
      <c r="QQI13"/>
      <c r="QQJ13"/>
      <c r="QQK13"/>
      <c r="QQL13"/>
      <c r="QQM13"/>
      <c r="QQN13"/>
      <c r="QQO13"/>
      <c r="QQP13"/>
      <c r="QQQ13"/>
      <c r="QQR13"/>
      <c r="QQS13"/>
      <c r="QQT13"/>
      <c r="QQU13"/>
      <c r="QQV13"/>
      <c r="QQW13"/>
      <c r="QQX13"/>
      <c r="QQY13"/>
      <c r="QQZ13"/>
      <c r="QRA13"/>
      <c r="QRB13"/>
      <c r="QRC13"/>
      <c r="QRD13"/>
      <c r="QRE13"/>
      <c r="QRF13"/>
      <c r="QRG13"/>
      <c r="QRH13"/>
      <c r="QRI13"/>
      <c r="QRJ13"/>
      <c r="QRK13"/>
      <c r="QRL13"/>
      <c r="QRM13"/>
      <c r="QRN13"/>
      <c r="QRO13"/>
      <c r="QRP13"/>
      <c r="QRQ13"/>
      <c r="QRR13"/>
      <c r="QRS13"/>
      <c r="QRT13"/>
      <c r="QRU13"/>
      <c r="QRV13"/>
      <c r="QRW13"/>
      <c r="QRX13"/>
      <c r="QRY13"/>
      <c r="QRZ13"/>
      <c r="QSA13"/>
      <c r="QSB13"/>
      <c r="QSC13"/>
      <c r="QSD13"/>
      <c r="QSE13"/>
      <c r="QSF13"/>
      <c r="QSG13"/>
      <c r="QSH13"/>
      <c r="QSI13"/>
      <c r="QSJ13"/>
      <c r="QSK13"/>
      <c r="QSL13"/>
      <c r="QSM13"/>
      <c r="QSN13"/>
      <c r="QSO13"/>
      <c r="QSP13"/>
      <c r="QSQ13"/>
      <c r="QSR13"/>
      <c r="QSS13"/>
      <c r="QST13"/>
      <c r="QSU13"/>
      <c r="QSV13"/>
      <c r="QSW13"/>
      <c r="QSX13"/>
      <c r="QSY13"/>
      <c r="QSZ13"/>
      <c r="QTA13"/>
      <c r="QTB13"/>
      <c r="QTC13"/>
      <c r="QTD13"/>
      <c r="QTE13"/>
      <c r="QTF13"/>
      <c r="QTG13"/>
      <c r="QTH13"/>
      <c r="QTI13"/>
      <c r="QTJ13"/>
      <c r="QTK13"/>
      <c r="QTL13"/>
      <c r="QTM13"/>
      <c r="QTN13"/>
      <c r="QTO13"/>
      <c r="QTP13"/>
      <c r="QTQ13"/>
      <c r="QTR13"/>
      <c r="QTS13"/>
      <c r="QTT13"/>
      <c r="QTU13"/>
      <c r="QTV13"/>
      <c r="QTW13"/>
      <c r="QTX13"/>
      <c r="QTY13"/>
      <c r="QTZ13"/>
      <c r="QUA13"/>
      <c r="QUB13"/>
      <c r="QUC13"/>
      <c r="QUD13"/>
      <c r="QUE13"/>
      <c r="QUF13"/>
      <c r="QUG13"/>
      <c r="QUH13"/>
      <c r="QUI13"/>
      <c r="QUJ13"/>
      <c r="QUK13"/>
      <c r="QUL13"/>
      <c r="QUM13"/>
      <c r="QUN13"/>
      <c r="QUO13"/>
      <c r="QUP13"/>
      <c r="QUQ13"/>
      <c r="QUR13"/>
      <c r="QUS13"/>
      <c r="QUT13"/>
      <c r="QUU13"/>
      <c r="QUV13"/>
      <c r="QUW13"/>
      <c r="QUX13"/>
      <c r="QUY13"/>
      <c r="QUZ13"/>
      <c r="QVA13"/>
      <c r="QVB13"/>
      <c r="QVC13"/>
      <c r="QVD13"/>
      <c r="QVE13"/>
      <c r="QVF13"/>
      <c r="QVG13"/>
      <c r="QVH13"/>
      <c r="QVI13"/>
      <c r="QVJ13"/>
      <c r="QVK13"/>
      <c r="QVL13"/>
      <c r="QVM13"/>
      <c r="QVN13"/>
      <c r="QVO13"/>
      <c r="QVP13"/>
      <c r="QVQ13"/>
      <c r="QVR13"/>
      <c r="QVS13"/>
      <c r="QVT13"/>
      <c r="QVU13"/>
      <c r="QVV13"/>
      <c r="QVW13"/>
      <c r="QVX13"/>
      <c r="QVY13"/>
      <c r="QVZ13"/>
      <c r="QWA13"/>
      <c r="QWB13"/>
      <c r="QWC13"/>
      <c r="QWD13"/>
      <c r="QWE13"/>
      <c r="QWF13"/>
      <c r="QWG13"/>
      <c r="QWH13"/>
      <c r="QWI13"/>
      <c r="QWJ13"/>
      <c r="QWK13"/>
      <c r="QWL13"/>
      <c r="QWM13"/>
      <c r="QWN13"/>
      <c r="QWO13"/>
      <c r="QWP13"/>
      <c r="QWQ13"/>
      <c r="QWR13"/>
      <c r="QWS13"/>
      <c r="QWT13"/>
      <c r="QWU13"/>
      <c r="QWV13"/>
      <c r="QWW13"/>
      <c r="QWX13"/>
      <c r="QWY13"/>
      <c r="QWZ13"/>
      <c r="QXA13"/>
      <c r="QXB13"/>
      <c r="QXC13"/>
      <c r="QXD13"/>
      <c r="QXE13"/>
      <c r="QXF13"/>
      <c r="QXG13"/>
      <c r="QXH13"/>
      <c r="QXI13"/>
      <c r="QXJ13"/>
      <c r="QXK13"/>
      <c r="QXL13"/>
      <c r="QXM13"/>
      <c r="QXN13"/>
      <c r="QXO13"/>
      <c r="QXP13"/>
      <c r="QXQ13"/>
      <c r="QXR13"/>
      <c r="QXS13"/>
      <c r="QXT13"/>
      <c r="QXU13"/>
      <c r="QXV13"/>
      <c r="QXW13"/>
      <c r="QXX13"/>
      <c r="QXY13"/>
      <c r="QXZ13"/>
      <c r="QYA13"/>
      <c r="QYB13"/>
      <c r="QYC13"/>
      <c r="QYD13"/>
      <c r="QYE13"/>
      <c r="QYF13"/>
      <c r="QYG13"/>
      <c r="QYH13"/>
      <c r="QYI13"/>
      <c r="QYJ13"/>
      <c r="QYK13"/>
      <c r="QYL13"/>
      <c r="QYM13"/>
      <c r="QYN13"/>
      <c r="QYO13"/>
      <c r="QYP13"/>
      <c r="QYQ13"/>
      <c r="QYR13"/>
      <c r="QYS13"/>
      <c r="QYT13"/>
      <c r="QYU13"/>
      <c r="QYV13"/>
      <c r="QYW13"/>
      <c r="QYX13"/>
      <c r="QYY13"/>
      <c r="QYZ13"/>
      <c r="QZA13"/>
      <c r="QZB13"/>
      <c r="QZC13"/>
      <c r="QZD13"/>
      <c r="QZE13"/>
      <c r="QZF13"/>
      <c r="QZG13"/>
      <c r="QZH13"/>
      <c r="QZI13"/>
      <c r="QZJ13"/>
      <c r="QZK13"/>
      <c r="QZL13"/>
      <c r="QZM13"/>
      <c r="QZN13"/>
      <c r="QZO13"/>
      <c r="QZP13"/>
      <c r="QZQ13"/>
      <c r="QZR13"/>
      <c r="QZS13"/>
      <c r="QZT13"/>
      <c r="QZU13"/>
      <c r="QZV13"/>
      <c r="QZW13"/>
      <c r="QZX13"/>
      <c r="QZY13"/>
      <c r="QZZ13"/>
      <c r="RAA13"/>
      <c r="RAB13"/>
      <c r="RAC13"/>
      <c r="RAD13"/>
      <c r="RAE13"/>
      <c r="RAF13"/>
      <c r="RAG13"/>
      <c r="RAH13"/>
      <c r="RAI13"/>
      <c r="RAJ13"/>
      <c r="RAK13"/>
      <c r="RAL13"/>
      <c r="RAM13"/>
      <c r="RAN13"/>
      <c r="RAO13"/>
      <c r="RAP13"/>
      <c r="RAQ13"/>
      <c r="RAR13"/>
      <c r="RAS13"/>
      <c r="RAT13"/>
      <c r="RAU13"/>
      <c r="RAV13"/>
      <c r="RAW13"/>
      <c r="RAX13"/>
      <c r="RAY13"/>
      <c r="RAZ13"/>
      <c r="RBA13"/>
      <c r="RBB13"/>
      <c r="RBC13"/>
      <c r="RBD13"/>
      <c r="RBE13"/>
      <c r="RBF13"/>
      <c r="RBG13"/>
      <c r="RBH13"/>
      <c r="RBI13"/>
      <c r="RBJ13"/>
      <c r="RBK13"/>
      <c r="RBL13"/>
      <c r="RBM13"/>
      <c r="RBN13"/>
      <c r="RBO13"/>
      <c r="RBP13"/>
      <c r="RBQ13"/>
      <c r="RBR13"/>
      <c r="RBS13"/>
      <c r="RBT13"/>
      <c r="RBU13"/>
      <c r="RBV13"/>
      <c r="RBW13"/>
      <c r="RBX13"/>
      <c r="RBY13"/>
      <c r="RBZ13"/>
      <c r="RCA13"/>
      <c r="RCB13"/>
      <c r="RCC13"/>
      <c r="RCD13"/>
      <c r="RCE13"/>
      <c r="RCF13"/>
      <c r="RCG13"/>
      <c r="RCH13"/>
      <c r="RCI13"/>
      <c r="RCJ13"/>
      <c r="RCK13"/>
      <c r="RCL13"/>
      <c r="RCM13"/>
      <c r="RCN13"/>
      <c r="RCO13"/>
      <c r="RCP13"/>
      <c r="RCQ13"/>
      <c r="RCR13"/>
      <c r="RCS13"/>
      <c r="RCT13"/>
      <c r="RCU13"/>
      <c r="RCV13"/>
      <c r="RCW13"/>
      <c r="RCX13"/>
      <c r="RCY13"/>
      <c r="RCZ13"/>
      <c r="RDA13"/>
      <c r="RDB13"/>
      <c r="RDC13"/>
      <c r="RDD13"/>
      <c r="RDE13"/>
      <c r="RDF13"/>
      <c r="RDG13"/>
      <c r="RDH13"/>
      <c r="RDI13"/>
      <c r="RDJ13"/>
      <c r="RDK13"/>
      <c r="RDL13"/>
      <c r="RDM13"/>
      <c r="RDN13"/>
      <c r="RDO13"/>
      <c r="RDP13"/>
      <c r="RDQ13"/>
      <c r="RDR13"/>
      <c r="RDS13"/>
      <c r="RDT13"/>
      <c r="RDU13"/>
      <c r="RDV13"/>
      <c r="RDW13"/>
      <c r="RDX13"/>
      <c r="RDY13"/>
      <c r="RDZ13"/>
      <c r="REA13"/>
      <c r="REB13"/>
      <c r="REC13"/>
      <c r="RED13"/>
      <c r="REE13"/>
      <c r="REF13"/>
      <c r="REG13"/>
      <c r="REH13"/>
      <c r="REI13"/>
      <c r="REJ13"/>
      <c r="REK13"/>
      <c r="REL13"/>
      <c r="REM13"/>
      <c r="REN13"/>
      <c r="REO13"/>
      <c r="REP13"/>
      <c r="REQ13"/>
      <c r="RER13"/>
      <c r="RES13"/>
      <c r="RET13"/>
      <c r="REU13"/>
      <c r="REV13"/>
      <c r="REW13"/>
      <c r="REX13"/>
      <c r="REY13"/>
      <c r="REZ13"/>
      <c r="RFA13"/>
      <c r="RFB13"/>
      <c r="RFC13"/>
      <c r="RFD13"/>
      <c r="RFE13"/>
      <c r="RFF13"/>
      <c r="RFG13"/>
      <c r="RFH13"/>
      <c r="RFI13"/>
      <c r="RFJ13"/>
      <c r="RFK13"/>
      <c r="RFL13"/>
      <c r="RFM13"/>
      <c r="RFN13"/>
      <c r="RFO13"/>
      <c r="RFP13"/>
      <c r="RFQ13"/>
      <c r="RFR13"/>
      <c r="RFS13"/>
      <c r="RFT13"/>
      <c r="RFU13"/>
      <c r="RFV13"/>
      <c r="RFW13"/>
      <c r="RFX13"/>
      <c r="RFY13"/>
      <c r="RFZ13"/>
      <c r="RGA13"/>
      <c r="RGB13"/>
      <c r="RGC13"/>
      <c r="RGD13"/>
      <c r="RGE13"/>
      <c r="RGF13"/>
      <c r="RGG13"/>
      <c r="RGH13"/>
      <c r="RGI13"/>
      <c r="RGJ13"/>
      <c r="RGK13"/>
      <c r="RGL13"/>
      <c r="RGM13"/>
      <c r="RGN13"/>
      <c r="RGO13"/>
      <c r="RGP13"/>
      <c r="RGQ13"/>
      <c r="RGR13"/>
      <c r="RGS13"/>
      <c r="RGT13"/>
      <c r="RGU13"/>
      <c r="RGV13"/>
      <c r="RGW13"/>
      <c r="RGX13"/>
      <c r="RGY13"/>
      <c r="RGZ13"/>
      <c r="RHA13"/>
      <c r="RHB13"/>
      <c r="RHC13"/>
      <c r="RHD13"/>
      <c r="RHE13"/>
      <c r="RHF13"/>
      <c r="RHG13"/>
      <c r="RHH13"/>
      <c r="RHI13"/>
      <c r="RHJ13"/>
      <c r="RHK13"/>
      <c r="RHL13"/>
      <c r="RHM13"/>
      <c r="RHN13"/>
      <c r="RHO13"/>
      <c r="RHP13"/>
      <c r="RHQ13"/>
      <c r="RHR13"/>
      <c r="RHS13"/>
      <c r="RHT13"/>
      <c r="RHU13"/>
      <c r="RHV13"/>
      <c r="RHW13"/>
      <c r="RHX13"/>
      <c r="RHY13"/>
      <c r="RHZ13"/>
      <c r="RIA13"/>
      <c r="RIB13"/>
      <c r="RIC13"/>
      <c r="RID13"/>
      <c r="RIE13"/>
      <c r="RIF13"/>
      <c r="RIG13"/>
      <c r="RIH13"/>
      <c r="RII13"/>
      <c r="RIJ13"/>
      <c r="RIK13"/>
      <c r="RIL13"/>
      <c r="RIM13"/>
      <c r="RIN13"/>
      <c r="RIO13"/>
      <c r="RIP13"/>
      <c r="RIQ13"/>
      <c r="RIR13"/>
      <c r="RIS13"/>
      <c r="RIT13"/>
      <c r="RIU13"/>
      <c r="RIV13"/>
      <c r="RIW13"/>
      <c r="RIX13"/>
      <c r="RIY13"/>
      <c r="RIZ13"/>
      <c r="RJA13"/>
      <c r="RJB13"/>
      <c r="RJC13"/>
      <c r="RJD13"/>
      <c r="RJE13"/>
      <c r="RJF13"/>
      <c r="RJG13"/>
      <c r="RJH13"/>
      <c r="RJI13"/>
      <c r="RJJ13"/>
      <c r="RJK13"/>
      <c r="RJL13"/>
      <c r="RJM13"/>
      <c r="RJN13"/>
      <c r="RJO13"/>
      <c r="RJP13"/>
      <c r="RJQ13"/>
      <c r="RJR13"/>
      <c r="RJS13"/>
      <c r="RJT13"/>
      <c r="RJU13"/>
      <c r="RJV13"/>
      <c r="RJW13"/>
      <c r="RJX13"/>
      <c r="RJY13"/>
      <c r="RJZ13"/>
      <c r="RKA13"/>
      <c r="RKB13"/>
      <c r="RKC13"/>
      <c r="RKD13"/>
      <c r="RKE13"/>
      <c r="RKF13"/>
      <c r="RKG13"/>
      <c r="RKH13"/>
      <c r="RKI13"/>
      <c r="RKJ13"/>
      <c r="RKK13"/>
      <c r="RKL13"/>
      <c r="RKM13"/>
      <c r="RKN13"/>
      <c r="RKO13"/>
      <c r="RKP13"/>
      <c r="RKQ13"/>
      <c r="RKR13"/>
      <c r="RKS13"/>
      <c r="RKT13"/>
      <c r="RKU13"/>
      <c r="RKV13"/>
      <c r="RKW13"/>
      <c r="RKX13"/>
      <c r="RKY13"/>
      <c r="RKZ13"/>
      <c r="RLA13"/>
      <c r="RLB13"/>
      <c r="RLC13"/>
      <c r="RLD13"/>
      <c r="RLE13"/>
      <c r="RLF13"/>
      <c r="RLG13"/>
      <c r="RLH13"/>
      <c r="RLI13"/>
      <c r="RLJ13"/>
      <c r="RLK13"/>
      <c r="RLL13"/>
      <c r="RLM13"/>
      <c r="RLN13"/>
      <c r="RLO13"/>
      <c r="RLP13"/>
      <c r="RLQ13"/>
      <c r="RLR13"/>
      <c r="RLS13"/>
      <c r="RLT13"/>
      <c r="RLU13"/>
      <c r="RLV13"/>
      <c r="RLW13"/>
      <c r="RLX13"/>
      <c r="RLY13"/>
      <c r="RLZ13"/>
      <c r="RMA13"/>
      <c r="RMB13"/>
      <c r="RMC13"/>
      <c r="RMD13"/>
      <c r="RME13"/>
      <c r="RMF13"/>
      <c r="RMG13"/>
      <c r="RMH13"/>
      <c r="RMI13"/>
      <c r="RMJ13"/>
      <c r="RMK13"/>
      <c r="RML13"/>
      <c r="RMM13"/>
      <c r="RMN13"/>
      <c r="RMO13"/>
      <c r="RMP13"/>
      <c r="RMQ13"/>
      <c r="RMR13"/>
      <c r="RMS13"/>
      <c r="RMT13"/>
      <c r="RMU13"/>
      <c r="RMV13"/>
      <c r="RMW13"/>
      <c r="RMX13"/>
      <c r="RMY13"/>
      <c r="RMZ13"/>
      <c r="RNA13"/>
      <c r="RNB13"/>
      <c r="RNC13"/>
      <c r="RND13"/>
      <c r="RNE13"/>
      <c r="RNF13"/>
      <c r="RNG13"/>
      <c r="RNH13"/>
      <c r="RNI13"/>
      <c r="RNJ13"/>
      <c r="RNK13"/>
      <c r="RNL13"/>
      <c r="RNM13"/>
      <c r="RNN13"/>
      <c r="RNO13"/>
      <c r="RNP13"/>
      <c r="RNQ13"/>
      <c r="RNR13"/>
      <c r="RNS13"/>
      <c r="RNT13"/>
      <c r="RNU13"/>
      <c r="RNV13"/>
      <c r="RNW13"/>
      <c r="RNX13"/>
      <c r="RNY13"/>
      <c r="RNZ13"/>
      <c r="ROA13"/>
      <c r="ROB13"/>
      <c r="ROC13"/>
      <c r="ROD13"/>
      <c r="ROE13"/>
      <c r="ROF13"/>
      <c r="ROG13"/>
      <c r="ROH13"/>
      <c r="ROI13"/>
      <c r="ROJ13"/>
      <c r="ROK13"/>
      <c r="ROL13"/>
      <c r="ROM13"/>
      <c r="RON13"/>
      <c r="ROO13"/>
      <c r="ROP13"/>
      <c r="ROQ13"/>
      <c r="ROR13"/>
      <c r="ROS13"/>
      <c r="ROT13"/>
      <c r="ROU13"/>
      <c r="ROV13"/>
      <c r="ROW13"/>
      <c r="ROX13"/>
      <c r="ROY13"/>
      <c r="ROZ13"/>
      <c r="RPA13"/>
      <c r="RPB13"/>
      <c r="RPC13"/>
      <c r="RPD13"/>
      <c r="RPE13"/>
      <c r="RPF13"/>
      <c r="RPG13"/>
      <c r="RPH13"/>
      <c r="RPI13"/>
      <c r="RPJ13"/>
      <c r="RPK13"/>
      <c r="RPL13"/>
      <c r="RPM13"/>
      <c r="RPN13"/>
      <c r="RPO13"/>
      <c r="RPP13"/>
      <c r="RPQ13"/>
      <c r="RPR13"/>
      <c r="RPS13"/>
      <c r="RPT13"/>
      <c r="RPU13"/>
      <c r="RPV13"/>
      <c r="RPW13"/>
      <c r="RPX13"/>
      <c r="RPY13"/>
      <c r="RPZ13"/>
      <c r="RQA13"/>
      <c r="RQB13"/>
      <c r="RQC13"/>
      <c r="RQD13"/>
      <c r="RQE13"/>
      <c r="RQF13"/>
      <c r="RQG13"/>
      <c r="RQH13"/>
      <c r="RQI13"/>
      <c r="RQJ13"/>
      <c r="RQK13"/>
      <c r="RQL13"/>
      <c r="RQM13"/>
      <c r="RQN13"/>
      <c r="RQO13"/>
      <c r="RQP13"/>
      <c r="RQQ13"/>
      <c r="RQR13"/>
      <c r="RQS13"/>
      <c r="RQT13"/>
      <c r="RQU13"/>
      <c r="RQV13"/>
      <c r="RQW13"/>
      <c r="RQX13"/>
      <c r="RQY13"/>
      <c r="RQZ13"/>
      <c r="RRA13"/>
      <c r="RRB13"/>
      <c r="RRC13"/>
      <c r="RRD13"/>
      <c r="RRE13"/>
      <c r="RRF13"/>
      <c r="RRG13"/>
      <c r="RRH13"/>
      <c r="RRI13"/>
      <c r="RRJ13"/>
      <c r="RRK13"/>
      <c r="RRL13"/>
      <c r="RRM13"/>
      <c r="RRN13"/>
      <c r="RRO13"/>
      <c r="RRP13"/>
      <c r="RRQ13"/>
      <c r="RRR13"/>
      <c r="RRS13"/>
      <c r="RRT13"/>
      <c r="RRU13"/>
      <c r="RRV13"/>
      <c r="RRW13"/>
      <c r="RRX13"/>
      <c r="RRY13"/>
      <c r="RRZ13"/>
      <c r="RSA13"/>
      <c r="RSB13"/>
      <c r="RSC13"/>
      <c r="RSD13"/>
      <c r="RSE13"/>
      <c r="RSF13"/>
      <c r="RSG13"/>
      <c r="RSH13"/>
      <c r="RSI13"/>
      <c r="RSJ13"/>
      <c r="RSK13"/>
      <c r="RSL13"/>
      <c r="RSM13"/>
      <c r="RSN13"/>
      <c r="RSO13"/>
      <c r="RSP13"/>
      <c r="RSQ13"/>
      <c r="RSR13"/>
      <c r="RSS13"/>
      <c r="RST13"/>
      <c r="RSU13"/>
      <c r="RSV13"/>
      <c r="RSW13"/>
      <c r="RSX13"/>
      <c r="RSY13"/>
      <c r="RSZ13"/>
      <c r="RTA13"/>
      <c r="RTB13"/>
      <c r="RTC13"/>
      <c r="RTD13"/>
      <c r="RTE13"/>
      <c r="RTF13"/>
      <c r="RTG13"/>
      <c r="RTH13"/>
      <c r="RTI13"/>
      <c r="RTJ13"/>
      <c r="RTK13"/>
      <c r="RTL13"/>
      <c r="RTM13"/>
      <c r="RTN13"/>
      <c r="RTO13"/>
      <c r="RTP13"/>
      <c r="RTQ13"/>
      <c r="RTR13"/>
      <c r="RTS13"/>
      <c r="RTT13"/>
      <c r="RTU13"/>
      <c r="RTV13"/>
      <c r="RTW13"/>
      <c r="RTX13"/>
      <c r="RTY13"/>
      <c r="RTZ13"/>
      <c r="RUA13"/>
      <c r="RUB13"/>
      <c r="RUC13"/>
      <c r="RUD13"/>
      <c r="RUE13"/>
      <c r="RUF13"/>
      <c r="RUG13"/>
      <c r="RUH13"/>
      <c r="RUI13"/>
      <c r="RUJ13"/>
      <c r="RUK13"/>
      <c r="RUL13"/>
      <c r="RUM13"/>
      <c r="RUN13"/>
      <c r="RUO13"/>
      <c r="RUP13"/>
      <c r="RUQ13"/>
      <c r="RUR13"/>
      <c r="RUS13"/>
      <c r="RUT13"/>
      <c r="RUU13"/>
      <c r="RUV13"/>
      <c r="RUW13"/>
      <c r="RUX13"/>
      <c r="RUY13"/>
      <c r="RUZ13"/>
      <c r="RVA13"/>
      <c r="RVB13"/>
      <c r="RVC13"/>
      <c r="RVD13"/>
      <c r="RVE13"/>
      <c r="RVF13"/>
      <c r="RVG13"/>
      <c r="RVH13"/>
      <c r="RVI13"/>
      <c r="RVJ13"/>
      <c r="RVK13"/>
      <c r="RVL13"/>
      <c r="RVM13"/>
      <c r="RVN13"/>
      <c r="RVO13"/>
      <c r="RVP13"/>
      <c r="RVQ13"/>
      <c r="RVR13"/>
      <c r="RVS13"/>
      <c r="RVT13"/>
      <c r="RVU13"/>
      <c r="RVV13"/>
      <c r="RVW13"/>
      <c r="RVX13"/>
      <c r="RVY13"/>
      <c r="RVZ13"/>
      <c r="RWA13"/>
      <c r="RWB13"/>
      <c r="RWC13"/>
      <c r="RWD13"/>
      <c r="RWE13"/>
      <c r="RWF13"/>
      <c r="RWG13"/>
      <c r="RWH13"/>
      <c r="RWI13"/>
      <c r="RWJ13"/>
      <c r="RWK13"/>
      <c r="RWL13"/>
      <c r="RWM13"/>
      <c r="RWN13"/>
      <c r="RWO13"/>
      <c r="RWP13"/>
      <c r="RWQ13"/>
      <c r="RWR13"/>
      <c r="RWS13"/>
      <c r="RWT13"/>
      <c r="RWU13"/>
      <c r="RWV13"/>
      <c r="RWW13"/>
      <c r="RWX13"/>
      <c r="RWY13"/>
      <c r="RWZ13"/>
      <c r="RXA13"/>
      <c r="RXB13"/>
      <c r="RXC13"/>
      <c r="RXD13"/>
      <c r="RXE13"/>
      <c r="RXF13"/>
      <c r="RXG13"/>
      <c r="RXH13"/>
      <c r="RXI13"/>
      <c r="RXJ13"/>
      <c r="RXK13"/>
      <c r="RXL13"/>
      <c r="RXM13"/>
      <c r="RXN13"/>
      <c r="RXO13"/>
      <c r="RXP13"/>
      <c r="RXQ13"/>
      <c r="RXR13"/>
      <c r="RXS13"/>
      <c r="RXT13"/>
      <c r="RXU13"/>
      <c r="RXV13"/>
      <c r="RXW13"/>
      <c r="RXX13"/>
      <c r="RXY13"/>
      <c r="RXZ13"/>
      <c r="RYA13"/>
      <c r="RYB13"/>
      <c r="RYC13"/>
      <c r="RYD13"/>
      <c r="RYE13"/>
      <c r="RYF13"/>
      <c r="RYG13"/>
      <c r="RYH13"/>
      <c r="RYI13"/>
      <c r="RYJ13"/>
      <c r="RYK13"/>
      <c r="RYL13"/>
      <c r="RYM13"/>
      <c r="RYN13"/>
      <c r="RYO13"/>
      <c r="RYP13"/>
      <c r="RYQ13"/>
      <c r="RYR13"/>
      <c r="RYS13"/>
      <c r="RYT13"/>
      <c r="RYU13"/>
      <c r="RYV13"/>
      <c r="RYW13"/>
      <c r="RYX13"/>
      <c r="RYY13"/>
      <c r="RYZ13"/>
      <c r="RZA13"/>
      <c r="RZB13"/>
      <c r="RZC13"/>
      <c r="RZD13"/>
      <c r="RZE13"/>
      <c r="RZF13"/>
      <c r="RZG13"/>
      <c r="RZH13"/>
      <c r="RZI13"/>
      <c r="RZJ13"/>
      <c r="RZK13"/>
      <c r="RZL13"/>
      <c r="RZM13"/>
      <c r="RZN13"/>
      <c r="RZO13"/>
      <c r="RZP13"/>
      <c r="RZQ13"/>
      <c r="RZR13"/>
      <c r="RZS13"/>
      <c r="RZT13"/>
      <c r="RZU13"/>
      <c r="RZV13"/>
      <c r="RZW13"/>
      <c r="RZX13"/>
      <c r="RZY13"/>
      <c r="RZZ13"/>
      <c r="SAA13"/>
      <c r="SAB13"/>
      <c r="SAC13"/>
      <c r="SAD13"/>
      <c r="SAE13"/>
      <c r="SAF13"/>
      <c r="SAG13"/>
      <c r="SAH13"/>
      <c r="SAI13"/>
      <c r="SAJ13"/>
      <c r="SAK13"/>
      <c r="SAL13"/>
      <c r="SAM13"/>
      <c r="SAN13"/>
      <c r="SAO13"/>
      <c r="SAP13"/>
      <c r="SAQ13"/>
      <c r="SAR13"/>
      <c r="SAS13"/>
      <c r="SAT13"/>
      <c r="SAU13"/>
      <c r="SAV13"/>
      <c r="SAW13"/>
      <c r="SAX13"/>
      <c r="SAY13"/>
      <c r="SAZ13"/>
      <c r="SBA13"/>
      <c r="SBB13"/>
      <c r="SBC13"/>
      <c r="SBD13"/>
      <c r="SBE13"/>
      <c r="SBF13"/>
      <c r="SBG13"/>
      <c r="SBH13"/>
      <c r="SBI13"/>
      <c r="SBJ13"/>
      <c r="SBK13"/>
      <c r="SBL13"/>
      <c r="SBM13"/>
      <c r="SBN13"/>
      <c r="SBO13"/>
      <c r="SBP13"/>
      <c r="SBQ13"/>
      <c r="SBR13"/>
      <c r="SBS13"/>
      <c r="SBT13"/>
      <c r="SBU13"/>
      <c r="SBV13"/>
      <c r="SBW13"/>
      <c r="SBX13"/>
      <c r="SBY13"/>
      <c r="SBZ13"/>
      <c r="SCA13"/>
      <c r="SCB13"/>
      <c r="SCC13"/>
      <c r="SCD13"/>
      <c r="SCE13"/>
      <c r="SCF13"/>
      <c r="SCG13"/>
      <c r="SCH13"/>
      <c r="SCI13"/>
      <c r="SCJ13"/>
      <c r="SCK13"/>
      <c r="SCL13"/>
      <c r="SCM13"/>
      <c r="SCN13"/>
      <c r="SCO13"/>
      <c r="SCP13"/>
      <c r="SCQ13"/>
      <c r="SCR13"/>
      <c r="SCS13"/>
      <c r="SCT13"/>
      <c r="SCU13"/>
      <c r="SCV13"/>
      <c r="SCW13"/>
      <c r="SCX13"/>
      <c r="SCY13"/>
      <c r="SCZ13"/>
      <c r="SDA13"/>
      <c r="SDB13"/>
      <c r="SDC13"/>
      <c r="SDD13"/>
      <c r="SDE13"/>
      <c r="SDF13"/>
      <c r="SDG13"/>
      <c r="SDH13"/>
      <c r="SDI13"/>
      <c r="SDJ13"/>
      <c r="SDK13"/>
      <c r="SDL13"/>
      <c r="SDM13"/>
      <c r="SDN13"/>
      <c r="SDO13"/>
      <c r="SDP13"/>
      <c r="SDQ13"/>
      <c r="SDR13"/>
      <c r="SDS13"/>
      <c r="SDT13"/>
      <c r="SDU13"/>
      <c r="SDV13"/>
      <c r="SDW13"/>
      <c r="SDX13"/>
      <c r="SDY13"/>
      <c r="SDZ13"/>
      <c r="SEA13"/>
      <c r="SEB13"/>
      <c r="SEC13"/>
      <c r="SED13"/>
      <c r="SEE13"/>
      <c r="SEF13"/>
      <c r="SEG13"/>
      <c r="SEH13"/>
      <c r="SEI13"/>
      <c r="SEJ13"/>
      <c r="SEK13"/>
      <c r="SEL13"/>
      <c r="SEM13"/>
      <c r="SEN13"/>
      <c r="SEO13"/>
      <c r="SEP13"/>
      <c r="SEQ13"/>
      <c r="SER13"/>
      <c r="SES13"/>
      <c r="SET13"/>
      <c r="SEU13"/>
      <c r="SEV13"/>
      <c r="SEW13"/>
      <c r="SEX13"/>
      <c r="SEY13"/>
      <c r="SEZ13"/>
      <c r="SFA13"/>
      <c r="SFB13"/>
      <c r="SFC13"/>
      <c r="SFD13"/>
      <c r="SFE13"/>
      <c r="SFF13"/>
      <c r="SFG13"/>
      <c r="SFH13"/>
      <c r="SFI13"/>
      <c r="SFJ13"/>
      <c r="SFK13"/>
      <c r="SFL13"/>
      <c r="SFM13"/>
      <c r="SFN13"/>
      <c r="SFO13"/>
      <c r="SFP13"/>
      <c r="SFQ13"/>
      <c r="SFR13"/>
      <c r="SFS13"/>
      <c r="SFT13"/>
      <c r="SFU13"/>
      <c r="SFV13"/>
      <c r="SFW13"/>
      <c r="SFX13"/>
      <c r="SFY13"/>
      <c r="SFZ13"/>
      <c r="SGA13"/>
      <c r="SGB13"/>
      <c r="SGC13"/>
      <c r="SGD13"/>
      <c r="SGE13"/>
      <c r="SGF13"/>
      <c r="SGG13"/>
      <c r="SGH13"/>
      <c r="SGI13"/>
      <c r="SGJ13"/>
      <c r="SGK13"/>
      <c r="SGL13"/>
      <c r="SGM13"/>
      <c r="SGN13"/>
      <c r="SGO13"/>
      <c r="SGP13"/>
      <c r="SGQ13"/>
      <c r="SGR13"/>
      <c r="SGS13"/>
      <c r="SGT13"/>
      <c r="SGU13"/>
      <c r="SGV13"/>
      <c r="SGW13"/>
      <c r="SGX13"/>
      <c r="SGY13"/>
      <c r="SGZ13"/>
      <c r="SHA13"/>
      <c r="SHB13"/>
      <c r="SHC13"/>
      <c r="SHD13"/>
      <c r="SHE13"/>
      <c r="SHF13"/>
      <c r="SHG13"/>
      <c r="SHH13"/>
      <c r="SHI13"/>
      <c r="SHJ13"/>
      <c r="SHK13"/>
      <c r="SHL13"/>
      <c r="SHM13"/>
      <c r="SHN13"/>
      <c r="SHO13"/>
      <c r="SHP13"/>
      <c r="SHQ13"/>
      <c r="SHR13"/>
      <c r="SHS13"/>
      <c r="SHT13"/>
      <c r="SHU13"/>
      <c r="SHV13"/>
      <c r="SHW13"/>
      <c r="SHX13"/>
      <c r="SHY13"/>
      <c r="SHZ13"/>
      <c r="SIA13"/>
      <c r="SIB13"/>
      <c r="SIC13"/>
      <c r="SID13"/>
      <c r="SIE13"/>
      <c r="SIF13"/>
      <c r="SIG13"/>
      <c r="SIH13"/>
      <c r="SII13"/>
      <c r="SIJ13"/>
      <c r="SIK13"/>
      <c r="SIL13"/>
      <c r="SIM13"/>
      <c r="SIN13"/>
      <c r="SIO13"/>
      <c r="SIP13"/>
      <c r="SIQ13"/>
      <c r="SIR13"/>
      <c r="SIS13"/>
      <c r="SIT13"/>
      <c r="SIU13"/>
      <c r="SIV13"/>
      <c r="SIW13"/>
      <c r="SIX13"/>
      <c r="SIY13"/>
      <c r="SIZ13"/>
      <c r="SJA13"/>
      <c r="SJB13"/>
      <c r="SJC13"/>
      <c r="SJD13"/>
      <c r="SJE13"/>
      <c r="SJF13"/>
      <c r="SJG13"/>
      <c r="SJH13"/>
      <c r="SJI13"/>
      <c r="SJJ13"/>
      <c r="SJK13"/>
      <c r="SJL13"/>
      <c r="SJM13"/>
      <c r="SJN13"/>
      <c r="SJO13"/>
      <c r="SJP13"/>
      <c r="SJQ13"/>
      <c r="SJR13"/>
      <c r="SJS13"/>
      <c r="SJT13"/>
      <c r="SJU13"/>
      <c r="SJV13"/>
      <c r="SJW13"/>
      <c r="SJX13"/>
      <c r="SJY13"/>
      <c r="SJZ13"/>
      <c r="SKA13"/>
      <c r="SKB13"/>
      <c r="SKC13"/>
      <c r="SKD13"/>
      <c r="SKE13"/>
      <c r="SKF13"/>
      <c r="SKG13"/>
      <c r="SKH13"/>
      <c r="SKI13"/>
      <c r="SKJ13"/>
      <c r="SKK13"/>
      <c r="SKL13"/>
      <c r="SKM13"/>
      <c r="SKN13"/>
      <c r="SKO13"/>
      <c r="SKP13"/>
      <c r="SKQ13"/>
      <c r="SKR13"/>
      <c r="SKS13"/>
      <c r="SKT13"/>
      <c r="SKU13"/>
      <c r="SKV13"/>
      <c r="SKW13"/>
      <c r="SKX13"/>
      <c r="SKY13"/>
      <c r="SKZ13"/>
      <c r="SLA13"/>
      <c r="SLB13"/>
      <c r="SLC13"/>
      <c r="SLD13"/>
      <c r="SLE13"/>
      <c r="SLF13"/>
      <c r="SLG13"/>
      <c r="SLH13"/>
      <c r="SLI13"/>
      <c r="SLJ13"/>
      <c r="SLK13"/>
      <c r="SLL13"/>
      <c r="SLM13"/>
      <c r="SLN13"/>
      <c r="SLO13"/>
      <c r="SLP13"/>
      <c r="SLQ13"/>
      <c r="SLR13"/>
      <c r="SLS13"/>
      <c r="SLT13"/>
      <c r="SLU13"/>
      <c r="SLV13"/>
      <c r="SLW13"/>
      <c r="SLX13"/>
      <c r="SLY13"/>
      <c r="SLZ13"/>
      <c r="SMA13"/>
      <c r="SMB13"/>
      <c r="SMC13"/>
      <c r="SMD13"/>
      <c r="SME13"/>
      <c r="SMF13"/>
      <c r="SMG13"/>
      <c r="SMH13"/>
      <c r="SMI13"/>
      <c r="SMJ13"/>
      <c r="SMK13"/>
      <c r="SML13"/>
      <c r="SMM13"/>
      <c r="SMN13"/>
      <c r="SMO13"/>
      <c r="SMP13"/>
      <c r="SMQ13"/>
      <c r="SMR13"/>
      <c r="SMS13"/>
      <c r="SMT13"/>
      <c r="SMU13"/>
      <c r="SMV13"/>
      <c r="SMW13"/>
      <c r="SMX13"/>
      <c r="SMY13"/>
      <c r="SMZ13"/>
      <c r="SNA13"/>
      <c r="SNB13"/>
      <c r="SNC13"/>
      <c r="SND13"/>
      <c r="SNE13"/>
      <c r="SNF13"/>
      <c r="SNG13"/>
      <c r="SNH13"/>
      <c r="SNI13"/>
      <c r="SNJ13"/>
      <c r="SNK13"/>
      <c r="SNL13"/>
      <c r="SNM13"/>
      <c r="SNN13"/>
      <c r="SNO13"/>
      <c r="SNP13"/>
      <c r="SNQ13"/>
      <c r="SNR13"/>
      <c r="SNS13"/>
      <c r="SNT13"/>
      <c r="SNU13"/>
      <c r="SNV13"/>
      <c r="SNW13"/>
      <c r="SNX13"/>
      <c r="SNY13"/>
      <c r="SNZ13"/>
      <c r="SOA13"/>
      <c r="SOB13"/>
      <c r="SOC13"/>
      <c r="SOD13"/>
      <c r="SOE13"/>
      <c r="SOF13"/>
      <c r="SOG13"/>
      <c r="SOH13"/>
      <c r="SOI13"/>
      <c r="SOJ13"/>
      <c r="SOK13"/>
      <c r="SOL13"/>
      <c r="SOM13"/>
      <c r="SON13"/>
      <c r="SOO13"/>
      <c r="SOP13"/>
      <c r="SOQ13"/>
      <c r="SOR13"/>
      <c r="SOS13"/>
      <c r="SOT13"/>
      <c r="SOU13"/>
      <c r="SOV13"/>
      <c r="SOW13"/>
      <c r="SOX13"/>
      <c r="SOY13"/>
      <c r="SOZ13"/>
      <c r="SPA13"/>
      <c r="SPB13"/>
      <c r="SPC13"/>
      <c r="SPD13"/>
      <c r="SPE13"/>
      <c r="SPF13"/>
      <c r="SPG13"/>
      <c r="SPH13"/>
      <c r="SPI13"/>
      <c r="SPJ13"/>
      <c r="SPK13"/>
      <c r="SPL13"/>
      <c r="SPM13"/>
      <c r="SPN13"/>
      <c r="SPO13"/>
      <c r="SPP13"/>
      <c r="SPQ13"/>
      <c r="SPR13"/>
      <c r="SPS13"/>
      <c r="SPT13"/>
      <c r="SPU13"/>
      <c r="SPV13"/>
      <c r="SPW13"/>
      <c r="SPX13"/>
      <c r="SPY13"/>
      <c r="SPZ13"/>
      <c r="SQA13"/>
      <c r="SQB13"/>
      <c r="SQC13"/>
      <c r="SQD13"/>
      <c r="SQE13"/>
      <c r="SQF13"/>
      <c r="SQG13"/>
      <c r="SQH13"/>
      <c r="SQI13"/>
      <c r="SQJ13"/>
      <c r="SQK13"/>
      <c r="SQL13"/>
      <c r="SQM13"/>
      <c r="SQN13"/>
      <c r="SQO13"/>
      <c r="SQP13"/>
      <c r="SQQ13"/>
      <c r="SQR13"/>
      <c r="SQS13"/>
      <c r="SQT13"/>
      <c r="SQU13"/>
      <c r="SQV13"/>
      <c r="SQW13"/>
      <c r="SQX13"/>
      <c r="SQY13"/>
      <c r="SQZ13"/>
      <c r="SRA13"/>
      <c r="SRB13"/>
      <c r="SRC13"/>
      <c r="SRD13"/>
      <c r="SRE13"/>
      <c r="SRF13"/>
      <c r="SRG13"/>
      <c r="SRH13"/>
      <c r="SRI13"/>
      <c r="SRJ13"/>
      <c r="SRK13"/>
      <c r="SRL13"/>
      <c r="SRM13"/>
      <c r="SRN13"/>
      <c r="SRO13"/>
      <c r="SRP13"/>
      <c r="SRQ13"/>
      <c r="SRR13"/>
      <c r="SRS13"/>
      <c r="SRT13"/>
      <c r="SRU13"/>
      <c r="SRV13"/>
      <c r="SRW13"/>
      <c r="SRX13"/>
      <c r="SRY13"/>
      <c r="SRZ13"/>
      <c r="SSA13"/>
      <c r="SSB13"/>
      <c r="SSC13"/>
      <c r="SSD13"/>
      <c r="SSE13"/>
      <c r="SSF13"/>
      <c r="SSG13"/>
      <c r="SSH13"/>
      <c r="SSI13"/>
      <c r="SSJ13"/>
      <c r="SSK13"/>
      <c r="SSL13"/>
      <c r="SSM13"/>
      <c r="SSN13"/>
      <c r="SSO13"/>
      <c r="SSP13"/>
      <c r="SSQ13"/>
      <c r="SSR13"/>
      <c r="SSS13"/>
      <c r="SST13"/>
      <c r="SSU13"/>
      <c r="SSV13"/>
      <c r="SSW13"/>
      <c r="SSX13"/>
      <c r="SSY13"/>
      <c r="SSZ13"/>
      <c r="STA13"/>
      <c r="STB13"/>
      <c r="STC13"/>
      <c r="STD13"/>
      <c r="STE13"/>
      <c r="STF13"/>
      <c r="STG13"/>
      <c r="STH13"/>
      <c r="STI13"/>
      <c r="STJ13"/>
      <c r="STK13"/>
      <c r="STL13"/>
      <c r="STM13"/>
      <c r="STN13"/>
      <c r="STO13"/>
      <c r="STP13"/>
      <c r="STQ13"/>
      <c r="STR13"/>
      <c r="STS13"/>
      <c r="STT13"/>
      <c r="STU13"/>
      <c r="STV13"/>
      <c r="STW13"/>
      <c r="STX13"/>
      <c r="STY13"/>
      <c r="STZ13"/>
      <c r="SUA13"/>
      <c r="SUB13"/>
      <c r="SUC13"/>
      <c r="SUD13"/>
      <c r="SUE13"/>
      <c r="SUF13"/>
      <c r="SUG13"/>
      <c r="SUH13"/>
      <c r="SUI13"/>
      <c r="SUJ13"/>
      <c r="SUK13"/>
      <c r="SUL13"/>
      <c r="SUM13"/>
      <c r="SUN13"/>
      <c r="SUO13"/>
      <c r="SUP13"/>
      <c r="SUQ13"/>
      <c r="SUR13"/>
      <c r="SUS13"/>
      <c r="SUT13"/>
      <c r="SUU13"/>
      <c r="SUV13"/>
      <c r="SUW13"/>
      <c r="SUX13"/>
      <c r="SUY13"/>
      <c r="SUZ13"/>
      <c r="SVA13"/>
      <c r="SVB13"/>
      <c r="SVC13"/>
      <c r="SVD13"/>
      <c r="SVE13"/>
      <c r="SVF13"/>
      <c r="SVG13"/>
      <c r="SVH13"/>
      <c r="SVI13"/>
      <c r="SVJ13"/>
      <c r="SVK13"/>
      <c r="SVL13"/>
      <c r="SVM13"/>
      <c r="SVN13"/>
      <c r="SVO13"/>
      <c r="SVP13"/>
      <c r="SVQ13"/>
      <c r="SVR13"/>
      <c r="SVS13"/>
      <c r="SVT13"/>
      <c r="SVU13"/>
      <c r="SVV13"/>
      <c r="SVW13"/>
      <c r="SVX13"/>
      <c r="SVY13"/>
      <c r="SVZ13"/>
      <c r="SWA13"/>
      <c r="SWB13"/>
      <c r="SWC13"/>
      <c r="SWD13"/>
      <c r="SWE13"/>
      <c r="SWF13"/>
      <c r="SWG13"/>
      <c r="SWH13"/>
      <c r="SWI13"/>
      <c r="SWJ13"/>
      <c r="SWK13"/>
      <c r="SWL13"/>
      <c r="SWM13"/>
      <c r="SWN13"/>
      <c r="SWO13"/>
      <c r="SWP13"/>
      <c r="SWQ13"/>
      <c r="SWR13"/>
      <c r="SWS13"/>
      <c r="SWT13"/>
      <c r="SWU13"/>
      <c r="SWV13"/>
      <c r="SWW13"/>
      <c r="SWX13"/>
      <c r="SWY13"/>
      <c r="SWZ13"/>
      <c r="SXA13"/>
      <c r="SXB13"/>
      <c r="SXC13"/>
      <c r="SXD13"/>
      <c r="SXE13"/>
      <c r="SXF13"/>
      <c r="SXG13"/>
      <c r="SXH13"/>
      <c r="SXI13"/>
      <c r="SXJ13"/>
      <c r="SXK13"/>
      <c r="SXL13"/>
      <c r="SXM13"/>
      <c r="SXN13"/>
      <c r="SXO13"/>
      <c r="SXP13"/>
      <c r="SXQ13"/>
      <c r="SXR13"/>
      <c r="SXS13"/>
      <c r="SXT13"/>
      <c r="SXU13"/>
      <c r="SXV13"/>
      <c r="SXW13"/>
      <c r="SXX13"/>
      <c r="SXY13"/>
      <c r="SXZ13"/>
      <c r="SYA13"/>
      <c r="SYB13"/>
      <c r="SYC13"/>
      <c r="SYD13"/>
      <c r="SYE13"/>
      <c r="SYF13"/>
      <c r="SYG13"/>
      <c r="SYH13"/>
      <c r="SYI13"/>
      <c r="SYJ13"/>
      <c r="SYK13"/>
      <c r="SYL13"/>
      <c r="SYM13"/>
      <c r="SYN13"/>
      <c r="SYO13"/>
      <c r="SYP13"/>
      <c r="SYQ13"/>
      <c r="SYR13"/>
      <c r="SYS13"/>
      <c r="SYT13"/>
      <c r="SYU13"/>
      <c r="SYV13"/>
      <c r="SYW13"/>
      <c r="SYX13"/>
      <c r="SYY13"/>
      <c r="SYZ13"/>
      <c r="SZA13"/>
      <c r="SZB13"/>
      <c r="SZC13"/>
      <c r="SZD13"/>
      <c r="SZE13"/>
      <c r="SZF13"/>
      <c r="SZG13"/>
      <c r="SZH13"/>
      <c r="SZI13"/>
      <c r="SZJ13"/>
      <c r="SZK13"/>
      <c r="SZL13"/>
      <c r="SZM13"/>
      <c r="SZN13"/>
      <c r="SZO13"/>
      <c r="SZP13"/>
      <c r="SZQ13"/>
      <c r="SZR13"/>
      <c r="SZS13"/>
      <c r="SZT13"/>
      <c r="SZU13"/>
      <c r="SZV13"/>
      <c r="SZW13"/>
      <c r="SZX13"/>
      <c r="SZY13"/>
      <c r="SZZ13"/>
      <c r="TAA13"/>
      <c r="TAB13"/>
      <c r="TAC13"/>
      <c r="TAD13"/>
      <c r="TAE13"/>
      <c r="TAF13"/>
      <c r="TAG13"/>
      <c r="TAH13"/>
      <c r="TAI13"/>
      <c r="TAJ13"/>
      <c r="TAK13"/>
      <c r="TAL13"/>
      <c r="TAM13"/>
      <c r="TAN13"/>
      <c r="TAO13"/>
      <c r="TAP13"/>
      <c r="TAQ13"/>
      <c r="TAR13"/>
      <c r="TAS13"/>
      <c r="TAT13"/>
      <c r="TAU13"/>
      <c r="TAV13"/>
      <c r="TAW13"/>
      <c r="TAX13"/>
      <c r="TAY13"/>
      <c r="TAZ13"/>
      <c r="TBA13"/>
      <c r="TBB13"/>
      <c r="TBC13"/>
      <c r="TBD13"/>
      <c r="TBE13"/>
      <c r="TBF13"/>
      <c r="TBG13"/>
      <c r="TBH13"/>
      <c r="TBI13"/>
      <c r="TBJ13"/>
      <c r="TBK13"/>
      <c r="TBL13"/>
      <c r="TBM13"/>
      <c r="TBN13"/>
      <c r="TBO13"/>
      <c r="TBP13"/>
      <c r="TBQ13"/>
      <c r="TBR13"/>
      <c r="TBS13"/>
      <c r="TBT13"/>
      <c r="TBU13"/>
      <c r="TBV13"/>
      <c r="TBW13"/>
      <c r="TBX13"/>
      <c r="TBY13"/>
      <c r="TBZ13"/>
      <c r="TCA13"/>
      <c r="TCB13"/>
      <c r="TCC13"/>
      <c r="TCD13"/>
      <c r="TCE13"/>
      <c r="TCF13"/>
      <c r="TCG13"/>
      <c r="TCH13"/>
      <c r="TCI13"/>
      <c r="TCJ13"/>
      <c r="TCK13"/>
      <c r="TCL13"/>
      <c r="TCM13"/>
      <c r="TCN13"/>
      <c r="TCO13"/>
      <c r="TCP13"/>
      <c r="TCQ13"/>
      <c r="TCR13"/>
      <c r="TCS13"/>
      <c r="TCT13"/>
      <c r="TCU13"/>
      <c r="TCV13"/>
      <c r="TCW13"/>
      <c r="TCX13"/>
      <c r="TCY13"/>
      <c r="TCZ13"/>
      <c r="TDA13"/>
      <c r="TDB13"/>
      <c r="TDC13"/>
      <c r="TDD13"/>
      <c r="TDE13"/>
      <c r="TDF13"/>
      <c r="TDG13"/>
      <c r="TDH13"/>
      <c r="TDI13"/>
      <c r="TDJ13"/>
      <c r="TDK13"/>
      <c r="TDL13"/>
      <c r="TDM13"/>
      <c r="TDN13"/>
      <c r="TDO13"/>
      <c r="TDP13"/>
      <c r="TDQ13"/>
      <c r="TDR13"/>
      <c r="TDS13"/>
      <c r="TDT13"/>
      <c r="TDU13"/>
      <c r="TDV13"/>
      <c r="TDW13"/>
      <c r="TDX13"/>
      <c r="TDY13"/>
      <c r="TDZ13"/>
      <c r="TEA13"/>
      <c r="TEB13"/>
      <c r="TEC13"/>
      <c r="TED13"/>
      <c r="TEE13"/>
      <c r="TEF13"/>
      <c r="TEG13"/>
      <c r="TEH13"/>
      <c r="TEI13"/>
      <c r="TEJ13"/>
      <c r="TEK13"/>
      <c r="TEL13"/>
      <c r="TEM13"/>
      <c r="TEN13"/>
      <c r="TEO13"/>
      <c r="TEP13"/>
      <c r="TEQ13"/>
      <c r="TER13"/>
      <c r="TES13"/>
      <c r="TET13"/>
      <c r="TEU13"/>
      <c r="TEV13"/>
      <c r="TEW13"/>
      <c r="TEX13"/>
      <c r="TEY13"/>
      <c r="TEZ13"/>
      <c r="TFA13"/>
      <c r="TFB13"/>
      <c r="TFC13"/>
      <c r="TFD13"/>
      <c r="TFE13"/>
      <c r="TFF13"/>
      <c r="TFG13"/>
      <c r="TFH13"/>
      <c r="TFI13"/>
      <c r="TFJ13"/>
      <c r="TFK13"/>
      <c r="TFL13"/>
      <c r="TFM13"/>
      <c r="TFN13"/>
      <c r="TFO13"/>
      <c r="TFP13"/>
      <c r="TFQ13"/>
      <c r="TFR13"/>
      <c r="TFS13"/>
      <c r="TFT13"/>
      <c r="TFU13"/>
      <c r="TFV13"/>
      <c r="TFW13"/>
      <c r="TFX13"/>
      <c r="TFY13"/>
      <c r="TFZ13"/>
      <c r="TGA13"/>
      <c r="TGB13"/>
      <c r="TGC13"/>
      <c r="TGD13"/>
      <c r="TGE13"/>
      <c r="TGF13"/>
      <c r="TGG13"/>
      <c r="TGH13"/>
      <c r="TGI13"/>
      <c r="TGJ13"/>
      <c r="TGK13"/>
      <c r="TGL13"/>
      <c r="TGM13"/>
      <c r="TGN13"/>
      <c r="TGO13"/>
      <c r="TGP13"/>
      <c r="TGQ13"/>
      <c r="TGR13"/>
      <c r="TGS13"/>
      <c r="TGT13"/>
      <c r="TGU13"/>
      <c r="TGV13"/>
      <c r="TGW13"/>
      <c r="TGX13"/>
      <c r="TGY13"/>
      <c r="TGZ13"/>
      <c r="THA13"/>
      <c r="THB13"/>
      <c r="THC13"/>
      <c r="THD13"/>
      <c r="THE13"/>
      <c r="THF13"/>
      <c r="THG13"/>
      <c r="THH13"/>
      <c r="THI13"/>
      <c r="THJ13"/>
      <c r="THK13"/>
      <c r="THL13"/>
      <c r="THM13"/>
      <c r="THN13"/>
      <c r="THO13"/>
      <c r="THP13"/>
      <c r="THQ13"/>
      <c r="THR13"/>
      <c r="THS13"/>
      <c r="THT13"/>
      <c r="THU13"/>
      <c r="THV13"/>
      <c r="THW13"/>
      <c r="THX13"/>
      <c r="THY13"/>
      <c r="THZ13"/>
      <c r="TIA13"/>
      <c r="TIB13"/>
      <c r="TIC13"/>
      <c r="TID13"/>
      <c r="TIE13"/>
      <c r="TIF13"/>
      <c r="TIG13"/>
      <c r="TIH13"/>
      <c r="TII13"/>
      <c r="TIJ13"/>
      <c r="TIK13"/>
      <c r="TIL13"/>
      <c r="TIM13"/>
      <c r="TIN13"/>
      <c r="TIO13"/>
      <c r="TIP13"/>
      <c r="TIQ13"/>
      <c r="TIR13"/>
      <c r="TIS13"/>
      <c r="TIT13"/>
      <c r="TIU13"/>
      <c r="TIV13"/>
      <c r="TIW13"/>
      <c r="TIX13"/>
      <c r="TIY13"/>
      <c r="TIZ13"/>
      <c r="TJA13"/>
      <c r="TJB13"/>
      <c r="TJC13"/>
      <c r="TJD13"/>
      <c r="TJE13"/>
      <c r="TJF13"/>
      <c r="TJG13"/>
      <c r="TJH13"/>
      <c r="TJI13"/>
      <c r="TJJ13"/>
      <c r="TJK13"/>
      <c r="TJL13"/>
      <c r="TJM13"/>
      <c r="TJN13"/>
      <c r="TJO13"/>
      <c r="TJP13"/>
      <c r="TJQ13"/>
      <c r="TJR13"/>
      <c r="TJS13"/>
      <c r="TJT13"/>
      <c r="TJU13"/>
      <c r="TJV13"/>
      <c r="TJW13"/>
      <c r="TJX13"/>
      <c r="TJY13"/>
      <c r="TJZ13"/>
      <c r="TKA13"/>
      <c r="TKB13"/>
      <c r="TKC13"/>
      <c r="TKD13"/>
      <c r="TKE13"/>
      <c r="TKF13"/>
      <c r="TKG13"/>
      <c r="TKH13"/>
      <c r="TKI13"/>
      <c r="TKJ13"/>
      <c r="TKK13"/>
      <c r="TKL13"/>
      <c r="TKM13"/>
      <c r="TKN13"/>
      <c r="TKO13"/>
      <c r="TKP13"/>
      <c r="TKQ13"/>
      <c r="TKR13"/>
      <c r="TKS13"/>
      <c r="TKT13"/>
      <c r="TKU13"/>
      <c r="TKV13"/>
      <c r="TKW13"/>
      <c r="TKX13"/>
      <c r="TKY13"/>
      <c r="TKZ13"/>
      <c r="TLA13"/>
      <c r="TLB13"/>
      <c r="TLC13"/>
      <c r="TLD13"/>
      <c r="TLE13"/>
      <c r="TLF13"/>
      <c r="TLG13"/>
      <c r="TLH13"/>
      <c r="TLI13"/>
      <c r="TLJ13"/>
      <c r="TLK13"/>
      <c r="TLL13"/>
      <c r="TLM13"/>
      <c r="TLN13"/>
      <c r="TLO13"/>
      <c r="TLP13"/>
      <c r="TLQ13"/>
      <c r="TLR13"/>
      <c r="TLS13"/>
      <c r="TLT13"/>
      <c r="TLU13"/>
      <c r="TLV13"/>
      <c r="TLW13"/>
      <c r="TLX13"/>
      <c r="TLY13"/>
      <c r="TLZ13"/>
      <c r="TMA13"/>
      <c r="TMB13"/>
      <c r="TMC13"/>
      <c r="TMD13"/>
      <c r="TME13"/>
      <c r="TMF13"/>
      <c r="TMG13"/>
      <c r="TMH13"/>
      <c r="TMI13"/>
      <c r="TMJ13"/>
      <c r="TMK13"/>
      <c r="TML13"/>
      <c r="TMM13"/>
      <c r="TMN13"/>
      <c r="TMO13"/>
      <c r="TMP13"/>
      <c r="TMQ13"/>
      <c r="TMR13"/>
      <c r="TMS13"/>
      <c r="TMT13"/>
      <c r="TMU13"/>
      <c r="TMV13"/>
      <c r="TMW13"/>
      <c r="TMX13"/>
      <c r="TMY13"/>
      <c r="TMZ13"/>
      <c r="TNA13"/>
      <c r="TNB13"/>
      <c r="TNC13"/>
      <c r="TND13"/>
      <c r="TNE13"/>
      <c r="TNF13"/>
      <c r="TNG13"/>
      <c r="TNH13"/>
      <c r="TNI13"/>
      <c r="TNJ13"/>
      <c r="TNK13"/>
      <c r="TNL13"/>
      <c r="TNM13"/>
      <c r="TNN13"/>
      <c r="TNO13"/>
      <c r="TNP13"/>
      <c r="TNQ13"/>
      <c r="TNR13"/>
      <c r="TNS13"/>
      <c r="TNT13"/>
      <c r="TNU13"/>
      <c r="TNV13"/>
      <c r="TNW13"/>
      <c r="TNX13"/>
      <c r="TNY13"/>
      <c r="TNZ13"/>
      <c r="TOA13"/>
      <c r="TOB13"/>
      <c r="TOC13"/>
      <c r="TOD13"/>
      <c r="TOE13"/>
      <c r="TOF13"/>
      <c r="TOG13"/>
      <c r="TOH13"/>
      <c r="TOI13"/>
      <c r="TOJ13"/>
      <c r="TOK13"/>
      <c r="TOL13"/>
      <c r="TOM13"/>
      <c r="TON13"/>
      <c r="TOO13"/>
      <c r="TOP13"/>
      <c r="TOQ13"/>
      <c r="TOR13"/>
      <c r="TOS13"/>
      <c r="TOT13"/>
      <c r="TOU13"/>
      <c r="TOV13"/>
      <c r="TOW13"/>
      <c r="TOX13"/>
      <c r="TOY13"/>
      <c r="TOZ13"/>
      <c r="TPA13"/>
      <c r="TPB13"/>
      <c r="TPC13"/>
      <c r="TPD13"/>
      <c r="TPE13"/>
      <c r="TPF13"/>
      <c r="TPG13"/>
      <c r="TPH13"/>
      <c r="TPI13"/>
      <c r="TPJ13"/>
      <c r="TPK13"/>
      <c r="TPL13"/>
      <c r="TPM13"/>
      <c r="TPN13"/>
      <c r="TPO13"/>
      <c r="TPP13"/>
      <c r="TPQ13"/>
      <c r="TPR13"/>
      <c r="TPS13"/>
      <c r="TPT13"/>
      <c r="TPU13"/>
      <c r="TPV13"/>
      <c r="TPW13"/>
      <c r="TPX13"/>
      <c r="TPY13"/>
      <c r="TPZ13"/>
      <c r="TQA13"/>
      <c r="TQB13"/>
      <c r="TQC13"/>
      <c r="TQD13"/>
      <c r="TQE13"/>
      <c r="TQF13"/>
      <c r="TQG13"/>
      <c r="TQH13"/>
      <c r="TQI13"/>
      <c r="TQJ13"/>
      <c r="TQK13"/>
      <c r="TQL13"/>
      <c r="TQM13"/>
      <c r="TQN13"/>
      <c r="TQO13"/>
      <c r="TQP13"/>
      <c r="TQQ13"/>
      <c r="TQR13"/>
      <c r="TQS13"/>
      <c r="TQT13"/>
      <c r="TQU13"/>
      <c r="TQV13"/>
      <c r="TQW13"/>
      <c r="TQX13"/>
      <c r="TQY13"/>
      <c r="TQZ13"/>
      <c r="TRA13"/>
      <c r="TRB13"/>
      <c r="TRC13"/>
      <c r="TRD13"/>
      <c r="TRE13"/>
      <c r="TRF13"/>
      <c r="TRG13"/>
      <c r="TRH13"/>
      <c r="TRI13"/>
      <c r="TRJ13"/>
      <c r="TRK13"/>
      <c r="TRL13"/>
      <c r="TRM13"/>
      <c r="TRN13"/>
      <c r="TRO13"/>
      <c r="TRP13"/>
      <c r="TRQ13"/>
      <c r="TRR13"/>
      <c r="TRS13"/>
      <c r="TRT13"/>
      <c r="TRU13"/>
      <c r="TRV13"/>
      <c r="TRW13"/>
      <c r="TRX13"/>
      <c r="TRY13"/>
      <c r="TRZ13"/>
      <c r="TSA13"/>
      <c r="TSB13"/>
      <c r="TSC13"/>
      <c r="TSD13"/>
      <c r="TSE13"/>
      <c r="TSF13"/>
      <c r="TSG13"/>
      <c r="TSH13"/>
      <c r="TSI13"/>
      <c r="TSJ13"/>
      <c r="TSK13"/>
      <c r="TSL13"/>
      <c r="TSM13"/>
      <c r="TSN13"/>
      <c r="TSO13"/>
      <c r="TSP13"/>
      <c r="TSQ13"/>
      <c r="TSR13"/>
      <c r="TSS13"/>
      <c r="TST13"/>
      <c r="TSU13"/>
      <c r="TSV13"/>
      <c r="TSW13"/>
      <c r="TSX13"/>
      <c r="TSY13"/>
      <c r="TSZ13"/>
      <c r="TTA13"/>
      <c r="TTB13"/>
      <c r="TTC13"/>
      <c r="TTD13"/>
      <c r="TTE13"/>
      <c r="TTF13"/>
      <c r="TTG13"/>
      <c r="TTH13"/>
      <c r="TTI13"/>
      <c r="TTJ13"/>
      <c r="TTK13"/>
      <c r="TTL13"/>
      <c r="TTM13"/>
      <c r="TTN13"/>
      <c r="TTO13"/>
      <c r="TTP13"/>
      <c r="TTQ13"/>
      <c r="TTR13"/>
      <c r="TTS13"/>
      <c r="TTT13"/>
      <c r="TTU13"/>
      <c r="TTV13"/>
      <c r="TTW13"/>
      <c r="TTX13"/>
      <c r="TTY13"/>
      <c r="TTZ13"/>
      <c r="TUA13"/>
      <c r="TUB13"/>
      <c r="TUC13"/>
      <c r="TUD13"/>
      <c r="TUE13"/>
      <c r="TUF13"/>
      <c r="TUG13"/>
      <c r="TUH13"/>
      <c r="TUI13"/>
      <c r="TUJ13"/>
      <c r="TUK13"/>
      <c r="TUL13"/>
      <c r="TUM13"/>
      <c r="TUN13"/>
      <c r="TUO13"/>
      <c r="TUP13"/>
      <c r="TUQ13"/>
      <c r="TUR13"/>
      <c r="TUS13"/>
      <c r="TUT13"/>
      <c r="TUU13"/>
      <c r="TUV13"/>
      <c r="TUW13"/>
      <c r="TUX13"/>
      <c r="TUY13"/>
      <c r="TUZ13"/>
      <c r="TVA13"/>
      <c r="TVB13"/>
      <c r="TVC13"/>
      <c r="TVD13"/>
      <c r="TVE13"/>
      <c r="TVF13"/>
      <c r="TVG13"/>
      <c r="TVH13"/>
      <c r="TVI13"/>
      <c r="TVJ13"/>
      <c r="TVK13"/>
      <c r="TVL13"/>
      <c r="TVM13"/>
      <c r="TVN13"/>
      <c r="TVO13"/>
      <c r="TVP13"/>
      <c r="TVQ13"/>
      <c r="TVR13"/>
      <c r="TVS13"/>
      <c r="TVT13"/>
      <c r="TVU13"/>
      <c r="TVV13"/>
      <c r="TVW13"/>
      <c r="TVX13"/>
      <c r="TVY13"/>
      <c r="TVZ13"/>
      <c r="TWA13"/>
      <c r="TWB13"/>
      <c r="TWC13"/>
      <c r="TWD13"/>
      <c r="TWE13"/>
      <c r="TWF13"/>
      <c r="TWG13"/>
      <c r="TWH13"/>
      <c r="TWI13"/>
      <c r="TWJ13"/>
      <c r="TWK13"/>
      <c r="TWL13"/>
      <c r="TWM13"/>
      <c r="TWN13"/>
      <c r="TWO13"/>
      <c r="TWP13"/>
      <c r="TWQ13"/>
      <c r="TWR13"/>
      <c r="TWS13"/>
      <c r="TWT13"/>
      <c r="TWU13"/>
      <c r="TWV13"/>
      <c r="TWW13"/>
      <c r="TWX13"/>
      <c r="TWY13"/>
      <c r="TWZ13"/>
      <c r="TXA13"/>
      <c r="TXB13"/>
      <c r="TXC13"/>
      <c r="TXD13"/>
      <c r="TXE13"/>
      <c r="TXF13"/>
      <c r="TXG13"/>
      <c r="TXH13"/>
      <c r="TXI13"/>
      <c r="TXJ13"/>
      <c r="TXK13"/>
      <c r="TXL13"/>
      <c r="TXM13"/>
      <c r="TXN13"/>
      <c r="TXO13"/>
      <c r="TXP13"/>
      <c r="TXQ13"/>
      <c r="TXR13"/>
      <c r="TXS13"/>
      <c r="TXT13"/>
      <c r="TXU13"/>
      <c r="TXV13"/>
      <c r="TXW13"/>
      <c r="TXX13"/>
      <c r="TXY13"/>
      <c r="TXZ13"/>
      <c r="TYA13"/>
      <c r="TYB13"/>
      <c r="TYC13"/>
      <c r="TYD13"/>
      <c r="TYE13"/>
      <c r="TYF13"/>
      <c r="TYG13"/>
      <c r="TYH13"/>
      <c r="TYI13"/>
      <c r="TYJ13"/>
      <c r="TYK13"/>
      <c r="TYL13"/>
      <c r="TYM13"/>
      <c r="TYN13"/>
      <c r="TYO13"/>
      <c r="TYP13"/>
      <c r="TYQ13"/>
      <c r="TYR13"/>
      <c r="TYS13"/>
      <c r="TYT13"/>
      <c r="TYU13"/>
      <c r="TYV13"/>
      <c r="TYW13"/>
      <c r="TYX13"/>
      <c r="TYY13"/>
      <c r="TYZ13"/>
      <c r="TZA13"/>
      <c r="TZB13"/>
      <c r="TZC13"/>
      <c r="TZD13"/>
      <c r="TZE13"/>
      <c r="TZF13"/>
      <c r="TZG13"/>
      <c r="TZH13"/>
      <c r="TZI13"/>
      <c r="TZJ13"/>
      <c r="TZK13"/>
      <c r="TZL13"/>
      <c r="TZM13"/>
      <c r="TZN13"/>
      <c r="TZO13"/>
      <c r="TZP13"/>
      <c r="TZQ13"/>
      <c r="TZR13"/>
      <c r="TZS13"/>
      <c r="TZT13"/>
      <c r="TZU13"/>
      <c r="TZV13"/>
      <c r="TZW13"/>
      <c r="TZX13"/>
      <c r="TZY13"/>
      <c r="TZZ13"/>
      <c r="UAA13"/>
      <c r="UAB13"/>
      <c r="UAC13"/>
      <c r="UAD13"/>
      <c r="UAE13"/>
      <c r="UAF13"/>
      <c r="UAG13"/>
      <c r="UAH13"/>
      <c r="UAI13"/>
      <c r="UAJ13"/>
      <c r="UAK13"/>
      <c r="UAL13"/>
      <c r="UAM13"/>
      <c r="UAN13"/>
      <c r="UAO13"/>
      <c r="UAP13"/>
      <c r="UAQ13"/>
      <c r="UAR13"/>
      <c r="UAS13"/>
      <c r="UAT13"/>
      <c r="UAU13"/>
      <c r="UAV13"/>
      <c r="UAW13"/>
      <c r="UAX13"/>
      <c r="UAY13"/>
      <c r="UAZ13"/>
      <c r="UBA13"/>
      <c r="UBB13"/>
      <c r="UBC13"/>
      <c r="UBD13"/>
      <c r="UBE13"/>
      <c r="UBF13"/>
      <c r="UBG13"/>
      <c r="UBH13"/>
      <c r="UBI13"/>
      <c r="UBJ13"/>
      <c r="UBK13"/>
      <c r="UBL13"/>
      <c r="UBM13"/>
      <c r="UBN13"/>
      <c r="UBO13"/>
      <c r="UBP13"/>
      <c r="UBQ13"/>
      <c r="UBR13"/>
      <c r="UBS13"/>
      <c r="UBT13"/>
      <c r="UBU13"/>
      <c r="UBV13"/>
      <c r="UBW13"/>
      <c r="UBX13"/>
      <c r="UBY13"/>
      <c r="UBZ13"/>
      <c r="UCA13"/>
      <c r="UCB13"/>
      <c r="UCC13"/>
      <c r="UCD13"/>
      <c r="UCE13"/>
      <c r="UCF13"/>
      <c r="UCG13"/>
      <c r="UCH13"/>
      <c r="UCI13"/>
      <c r="UCJ13"/>
      <c r="UCK13"/>
      <c r="UCL13"/>
      <c r="UCM13"/>
      <c r="UCN13"/>
      <c r="UCO13"/>
      <c r="UCP13"/>
      <c r="UCQ13"/>
      <c r="UCR13"/>
      <c r="UCS13"/>
      <c r="UCT13"/>
      <c r="UCU13"/>
      <c r="UCV13"/>
      <c r="UCW13"/>
      <c r="UCX13"/>
      <c r="UCY13"/>
      <c r="UCZ13"/>
      <c r="UDA13"/>
      <c r="UDB13"/>
      <c r="UDC13"/>
      <c r="UDD13"/>
      <c r="UDE13"/>
      <c r="UDF13"/>
      <c r="UDG13"/>
      <c r="UDH13"/>
      <c r="UDI13"/>
      <c r="UDJ13"/>
      <c r="UDK13"/>
      <c r="UDL13"/>
      <c r="UDM13"/>
      <c r="UDN13"/>
      <c r="UDO13"/>
      <c r="UDP13"/>
      <c r="UDQ13"/>
      <c r="UDR13"/>
      <c r="UDS13"/>
      <c r="UDT13"/>
      <c r="UDU13"/>
      <c r="UDV13"/>
      <c r="UDW13"/>
      <c r="UDX13"/>
      <c r="UDY13"/>
      <c r="UDZ13"/>
      <c r="UEA13"/>
      <c r="UEB13"/>
      <c r="UEC13"/>
      <c r="UED13"/>
      <c r="UEE13"/>
      <c r="UEF13"/>
      <c r="UEG13"/>
      <c r="UEH13"/>
      <c r="UEI13"/>
      <c r="UEJ13"/>
      <c r="UEK13"/>
      <c r="UEL13"/>
      <c r="UEM13"/>
      <c r="UEN13"/>
      <c r="UEO13"/>
      <c r="UEP13"/>
      <c r="UEQ13"/>
      <c r="UER13"/>
      <c r="UES13"/>
      <c r="UET13"/>
      <c r="UEU13"/>
      <c r="UEV13"/>
      <c r="UEW13"/>
      <c r="UEX13"/>
      <c r="UEY13"/>
      <c r="UEZ13"/>
      <c r="UFA13"/>
      <c r="UFB13"/>
      <c r="UFC13"/>
      <c r="UFD13"/>
      <c r="UFE13"/>
      <c r="UFF13"/>
      <c r="UFG13"/>
      <c r="UFH13"/>
      <c r="UFI13"/>
      <c r="UFJ13"/>
      <c r="UFK13"/>
      <c r="UFL13"/>
      <c r="UFM13"/>
      <c r="UFN13"/>
      <c r="UFO13"/>
      <c r="UFP13"/>
      <c r="UFQ13"/>
      <c r="UFR13"/>
      <c r="UFS13"/>
      <c r="UFT13"/>
      <c r="UFU13"/>
      <c r="UFV13"/>
      <c r="UFW13"/>
      <c r="UFX13"/>
      <c r="UFY13"/>
      <c r="UFZ13"/>
      <c r="UGA13"/>
      <c r="UGB13"/>
      <c r="UGC13"/>
      <c r="UGD13"/>
      <c r="UGE13"/>
      <c r="UGF13"/>
      <c r="UGG13"/>
      <c r="UGH13"/>
      <c r="UGI13"/>
      <c r="UGJ13"/>
      <c r="UGK13"/>
      <c r="UGL13"/>
      <c r="UGM13"/>
      <c r="UGN13"/>
      <c r="UGO13"/>
      <c r="UGP13"/>
      <c r="UGQ13"/>
      <c r="UGR13"/>
      <c r="UGS13"/>
      <c r="UGT13"/>
      <c r="UGU13"/>
      <c r="UGV13"/>
      <c r="UGW13"/>
      <c r="UGX13"/>
      <c r="UGY13"/>
      <c r="UGZ13"/>
      <c r="UHA13"/>
      <c r="UHB13"/>
      <c r="UHC13"/>
      <c r="UHD13"/>
      <c r="UHE13"/>
      <c r="UHF13"/>
      <c r="UHG13"/>
      <c r="UHH13"/>
      <c r="UHI13"/>
      <c r="UHJ13"/>
      <c r="UHK13"/>
      <c r="UHL13"/>
      <c r="UHM13"/>
      <c r="UHN13"/>
      <c r="UHO13"/>
      <c r="UHP13"/>
      <c r="UHQ13"/>
      <c r="UHR13"/>
      <c r="UHS13"/>
      <c r="UHT13"/>
      <c r="UHU13"/>
      <c r="UHV13"/>
      <c r="UHW13"/>
      <c r="UHX13"/>
      <c r="UHY13"/>
      <c r="UHZ13"/>
      <c r="UIA13"/>
      <c r="UIB13"/>
      <c r="UIC13"/>
      <c r="UID13"/>
      <c r="UIE13"/>
      <c r="UIF13"/>
      <c r="UIG13"/>
      <c r="UIH13"/>
      <c r="UII13"/>
      <c r="UIJ13"/>
      <c r="UIK13"/>
      <c r="UIL13"/>
      <c r="UIM13"/>
      <c r="UIN13"/>
      <c r="UIO13"/>
      <c r="UIP13"/>
      <c r="UIQ13"/>
      <c r="UIR13"/>
      <c r="UIS13"/>
      <c r="UIT13"/>
      <c r="UIU13"/>
      <c r="UIV13"/>
      <c r="UIW13"/>
      <c r="UIX13"/>
      <c r="UIY13"/>
      <c r="UIZ13"/>
      <c r="UJA13"/>
      <c r="UJB13"/>
      <c r="UJC13"/>
      <c r="UJD13"/>
      <c r="UJE13"/>
      <c r="UJF13"/>
      <c r="UJG13"/>
      <c r="UJH13"/>
      <c r="UJI13"/>
      <c r="UJJ13"/>
      <c r="UJK13"/>
      <c r="UJL13"/>
      <c r="UJM13"/>
      <c r="UJN13"/>
      <c r="UJO13"/>
      <c r="UJP13"/>
      <c r="UJQ13"/>
      <c r="UJR13"/>
      <c r="UJS13"/>
      <c r="UJT13"/>
      <c r="UJU13"/>
      <c r="UJV13"/>
      <c r="UJW13"/>
      <c r="UJX13"/>
      <c r="UJY13"/>
      <c r="UJZ13"/>
      <c r="UKA13"/>
      <c r="UKB13"/>
      <c r="UKC13"/>
      <c r="UKD13"/>
      <c r="UKE13"/>
      <c r="UKF13"/>
      <c r="UKG13"/>
      <c r="UKH13"/>
      <c r="UKI13"/>
      <c r="UKJ13"/>
      <c r="UKK13"/>
      <c r="UKL13"/>
      <c r="UKM13"/>
      <c r="UKN13"/>
      <c r="UKO13"/>
      <c r="UKP13"/>
      <c r="UKQ13"/>
      <c r="UKR13"/>
      <c r="UKS13"/>
      <c r="UKT13"/>
      <c r="UKU13"/>
      <c r="UKV13"/>
      <c r="UKW13"/>
      <c r="UKX13"/>
      <c r="UKY13"/>
      <c r="UKZ13"/>
      <c r="ULA13"/>
      <c r="ULB13"/>
      <c r="ULC13"/>
      <c r="ULD13"/>
      <c r="ULE13"/>
      <c r="ULF13"/>
      <c r="ULG13"/>
      <c r="ULH13"/>
      <c r="ULI13"/>
      <c r="ULJ13"/>
      <c r="ULK13"/>
      <c r="ULL13"/>
      <c r="ULM13"/>
      <c r="ULN13"/>
      <c r="ULO13"/>
      <c r="ULP13"/>
      <c r="ULQ13"/>
      <c r="ULR13"/>
      <c r="ULS13"/>
      <c r="ULT13"/>
      <c r="ULU13"/>
      <c r="ULV13"/>
      <c r="ULW13"/>
      <c r="ULX13"/>
      <c r="ULY13"/>
      <c r="ULZ13"/>
      <c r="UMA13"/>
      <c r="UMB13"/>
      <c r="UMC13"/>
      <c r="UMD13"/>
      <c r="UME13"/>
      <c r="UMF13"/>
      <c r="UMG13"/>
      <c r="UMH13"/>
      <c r="UMI13"/>
      <c r="UMJ13"/>
      <c r="UMK13"/>
      <c r="UML13"/>
      <c r="UMM13"/>
      <c r="UMN13"/>
      <c r="UMO13"/>
      <c r="UMP13"/>
      <c r="UMQ13"/>
      <c r="UMR13"/>
      <c r="UMS13"/>
      <c r="UMT13"/>
      <c r="UMU13"/>
      <c r="UMV13"/>
      <c r="UMW13"/>
      <c r="UMX13"/>
      <c r="UMY13"/>
      <c r="UMZ13"/>
      <c r="UNA13"/>
      <c r="UNB13"/>
      <c r="UNC13"/>
      <c r="UND13"/>
      <c r="UNE13"/>
      <c r="UNF13"/>
      <c r="UNG13"/>
      <c r="UNH13"/>
      <c r="UNI13"/>
      <c r="UNJ13"/>
      <c r="UNK13"/>
      <c r="UNL13"/>
      <c r="UNM13"/>
      <c r="UNN13"/>
      <c r="UNO13"/>
      <c r="UNP13"/>
      <c r="UNQ13"/>
      <c r="UNR13"/>
      <c r="UNS13"/>
      <c r="UNT13"/>
      <c r="UNU13"/>
      <c r="UNV13"/>
      <c r="UNW13"/>
      <c r="UNX13"/>
      <c r="UNY13"/>
      <c r="UNZ13"/>
      <c r="UOA13"/>
      <c r="UOB13"/>
      <c r="UOC13"/>
      <c r="UOD13"/>
      <c r="UOE13"/>
      <c r="UOF13"/>
      <c r="UOG13"/>
      <c r="UOH13"/>
      <c r="UOI13"/>
      <c r="UOJ13"/>
      <c r="UOK13"/>
      <c r="UOL13"/>
      <c r="UOM13"/>
      <c r="UON13"/>
      <c r="UOO13"/>
      <c r="UOP13"/>
      <c r="UOQ13"/>
      <c r="UOR13"/>
      <c r="UOS13"/>
      <c r="UOT13"/>
      <c r="UOU13"/>
      <c r="UOV13"/>
      <c r="UOW13"/>
      <c r="UOX13"/>
      <c r="UOY13"/>
      <c r="UOZ13"/>
      <c r="UPA13"/>
      <c r="UPB13"/>
      <c r="UPC13"/>
      <c r="UPD13"/>
      <c r="UPE13"/>
      <c r="UPF13"/>
      <c r="UPG13"/>
      <c r="UPH13"/>
      <c r="UPI13"/>
      <c r="UPJ13"/>
      <c r="UPK13"/>
      <c r="UPL13"/>
      <c r="UPM13"/>
      <c r="UPN13"/>
      <c r="UPO13"/>
      <c r="UPP13"/>
      <c r="UPQ13"/>
      <c r="UPR13"/>
      <c r="UPS13"/>
      <c r="UPT13"/>
      <c r="UPU13"/>
      <c r="UPV13"/>
      <c r="UPW13"/>
      <c r="UPX13"/>
      <c r="UPY13"/>
      <c r="UPZ13"/>
      <c r="UQA13"/>
      <c r="UQB13"/>
      <c r="UQC13"/>
      <c r="UQD13"/>
      <c r="UQE13"/>
      <c r="UQF13"/>
      <c r="UQG13"/>
      <c r="UQH13"/>
      <c r="UQI13"/>
      <c r="UQJ13"/>
      <c r="UQK13"/>
      <c r="UQL13"/>
      <c r="UQM13"/>
      <c r="UQN13"/>
      <c r="UQO13"/>
      <c r="UQP13"/>
      <c r="UQQ13"/>
      <c r="UQR13"/>
      <c r="UQS13"/>
      <c r="UQT13"/>
      <c r="UQU13"/>
      <c r="UQV13"/>
      <c r="UQW13"/>
      <c r="UQX13"/>
      <c r="UQY13"/>
      <c r="UQZ13"/>
      <c r="URA13"/>
      <c r="URB13"/>
      <c r="URC13"/>
      <c r="URD13"/>
      <c r="URE13"/>
      <c r="URF13"/>
      <c r="URG13"/>
      <c r="URH13"/>
      <c r="URI13"/>
      <c r="URJ13"/>
      <c r="URK13"/>
      <c r="URL13"/>
      <c r="URM13"/>
      <c r="URN13"/>
      <c r="URO13"/>
      <c r="URP13"/>
      <c r="URQ13"/>
      <c r="URR13"/>
      <c r="URS13"/>
      <c r="URT13"/>
      <c r="URU13"/>
      <c r="URV13"/>
      <c r="URW13"/>
      <c r="URX13"/>
      <c r="URY13"/>
      <c r="URZ13"/>
      <c r="USA13"/>
      <c r="USB13"/>
      <c r="USC13"/>
      <c r="USD13"/>
      <c r="USE13"/>
      <c r="USF13"/>
      <c r="USG13"/>
      <c r="USH13"/>
      <c r="USI13"/>
      <c r="USJ13"/>
      <c r="USK13"/>
      <c r="USL13"/>
      <c r="USM13"/>
      <c r="USN13"/>
      <c r="USO13"/>
      <c r="USP13"/>
      <c r="USQ13"/>
      <c r="USR13"/>
      <c r="USS13"/>
      <c r="UST13"/>
      <c r="USU13"/>
      <c r="USV13"/>
      <c r="USW13"/>
      <c r="USX13"/>
      <c r="USY13"/>
      <c r="USZ13"/>
      <c r="UTA13"/>
      <c r="UTB13"/>
      <c r="UTC13"/>
      <c r="UTD13"/>
      <c r="UTE13"/>
      <c r="UTF13"/>
      <c r="UTG13"/>
      <c r="UTH13"/>
      <c r="UTI13"/>
      <c r="UTJ13"/>
      <c r="UTK13"/>
      <c r="UTL13"/>
      <c r="UTM13"/>
      <c r="UTN13"/>
      <c r="UTO13"/>
      <c r="UTP13"/>
      <c r="UTQ13"/>
      <c r="UTR13"/>
      <c r="UTS13"/>
      <c r="UTT13"/>
      <c r="UTU13"/>
      <c r="UTV13"/>
      <c r="UTW13"/>
      <c r="UTX13"/>
      <c r="UTY13"/>
      <c r="UTZ13"/>
      <c r="UUA13"/>
      <c r="UUB13"/>
      <c r="UUC13"/>
      <c r="UUD13"/>
      <c r="UUE13"/>
      <c r="UUF13"/>
      <c r="UUG13"/>
      <c r="UUH13"/>
      <c r="UUI13"/>
      <c r="UUJ13"/>
      <c r="UUK13"/>
      <c r="UUL13"/>
      <c r="UUM13"/>
      <c r="UUN13"/>
      <c r="UUO13"/>
      <c r="UUP13"/>
      <c r="UUQ13"/>
      <c r="UUR13"/>
      <c r="UUS13"/>
      <c r="UUT13"/>
      <c r="UUU13"/>
      <c r="UUV13"/>
      <c r="UUW13"/>
      <c r="UUX13"/>
      <c r="UUY13"/>
      <c r="UUZ13"/>
      <c r="UVA13"/>
      <c r="UVB13"/>
      <c r="UVC13"/>
      <c r="UVD13"/>
      <c r="UVE13"/>
      <c r="UVF13"/>
      <c r="UVG13"/>
      <c r="UVH13"/>
      <c r="UVI13"/>
      <c r="UVJ13"/>
      <c r="UVK13"/>
      <c r="UVL13"/>
      <c r="UVM13"/>
      <c r="UVN13"/>
      <c r="UVO13"/>
      <c r="UVP13"/>
      <c r="UVQ13"/>
      <c r="UVR13"/>
      <c r="UVS13"/>
      <c r="UVT13"/>
      <c r="UVU13"/>
      <c r="UVV13"/>
      <c r="UVW13"/>
      <c r="UVX13"/>
      <c r="UVY13"/>
      <c r="UVZ13"/>
      <c r="UWA13"/>
      <c r="UWB13"/>
      <c r="UWC13"/>
      <c r="UWD13"/>
      <c r="UWE13"/>
      <c r="UWF13"/>
      <c r="UWG13"/>
      <c r="UWH13"/>
      <c r="UWI13"/>
      <c r="UWJ13"/>
      <c r="UWK13"/>
      <c r="UWL13"/>
      <c r="UWM13"/>
      <c r="UWN13"/>
      <c r="UWO13"/>
      <c r="UWP13"/>
      <c r="UWQ13"/>
      <c r="UWR13"/>
      <c r="UWS13"/>
      <c r="UWT13"/>
      <c r="UWU13"/>
      <c r="UWV13"/>
      <c r="UWW13"/>
      <c r="UWX13"/>
      <c r="UWY13"/>
      <c r="UWZ13"/>
      <c r="UXA13"/>
      <c r="UXB13"/>
      <c r="UXC13"/>
      <c r="UXD13"/>
      <c r="UXE13"/>
      <c r="UXF13"/>
      <c r="UXG13"/>
      <c r="UXH13"/>
      <c r="UXI13"/>
      <c r="UXJ13"/>
      <c r="UXK13"/>
      <c r="UXL13"/>
      <c r="UXM13"/>
      <c r="UXN13"/>
      <c r="UXO13"/>
      <c r="UXP13"/>
      <c r="UXQ13"/>
      <c r="UXR13"/>
      <c r="UXS13"/>
      <c r="UXT13"/>
      <c r="UXU13"/>
      <c r="UXV13"/>
      <c r="UXW13"/>
      <c r="UXX13"/>
      <c r="UXY13"/>
      <c r="UXZ13"/>
      <c r="UYA13"/>
      <c r="UYB13"/>
      <c r="UYC13"/>
      <c r="UYD13"/>
      <c r="UYE13"/>
      <c r="UYF13"/>
      <c r="UYG13"/>
      <c r="UYH13"/>
      <c r="UYI13"/>
      <c r="UYJ13"/>
      <c r="UYK13"/>
      <c r="UYL13"/>
      <c r="UYM13"/>
      <c r="UYN13"/>
      <c r="UYO13"/>
      <c r="UYP13"/>
      <c r="UYQ13"/>
      <c r="UYR13"/>
      <c r="UYS13"/>
      <c r="UYT13"/>
      <c r="UYU13"/>
      <c r="UYV13"/>
      <c r="UYW13"/>
      <c r="UYX13"/>
      <c r="UYY13"/>
      <c r="UYZ13"/>
      <c r="UZA13"/>
      <c r="UZB13"/>
      <c r="UZC13"/>
      <c r="UZD13"/>
      <c r="UZE13"/>
      <c r="UZF13"/>
      <c r="UZG13"/>
      <c r="UZH13"/>
      <c r="UZI13"/>
      <c r="UZJ13"/>
      <c r="UZK13"/>
      <c r="UZL13"/>
      <c r="UZM13"/>
      <c r="UZN13"/>
      <c r="UZO13"/>
      <c r="UZP13"/>
      <c r="UZQ13"/>
      <c r="UZR13"/>
      <c r="UZS13"/>
      <c r="UZT13"/>
      <c r="UZU13"/>
      <c r="UZV13"/>
      <c r="UZW13"/>
      <c r="UZX13"/>
      <c r="UZY13"/>
      <c r="UZZ13"/>
      <c r="VAA13"/>
      <c r="VAB13"/>
      <c r="VAC13"/>
      <c r="VAD13"/>
      <c r="VAE13"/>
      <c r="VAF13"/>
      <c r="VAG13"/>
      <c r="VAH13"/>
      <c r="VAI13"/>
      <c r="VAJ13"/>
      <c r="VAK13"/>
      <c r="VAL13"/>
      <c r="VAM13"/>
      <c r="VAN13"/>
      <c r="VAO13"/>
      <c r="VAP13"/>
      <c r="VAQ13"/>
      <c r="VAR13"/>
      <c r="VAS13"/>
      <c r="VAT13"/>
      <c r="VAU13"/>
      <c r="VAV13"/>
      <c r="VAW13"/>
      <c r="VAX13"/>
      <c r="VAY13"/>
      <c r="VAZ13"/>
      <c r="VBA13"/>
      <c r="VBB13"/>
      <c r="VBC13"/>
      <c r="VBD13"/>
      <c r="VBE13"/>
      <c r="VBF13"/>
      <c r="VBG13"/>
      <c r="VBH13"/>
      <c r="VBI13"/>
      <c r="VBJ13"/>
      <c r="VBK13"/>
      <c r="VBL13"/>
      <c r="VBM13"/>
      <c r="VBN13"/>
      <c r="VBO13"/>
      <c r="VBP13"/>
      <c r="VBQ13"/>
      <c r="VBR13"/>
      <c r="VBS13"/>
      <c r="VBT13"/>
      <c r="VBU13"/>
      <c r="VBV13"/>
      <c r="VBW13"/>
      <c r="VBX13"/>
      <c r="VBY13"/>
      <c r="VBZ13"/>
      <c r="VCA13"/>
      <c r="VCB13"/>
      <c r="VCC13"/>
      <c r="VCD13"/>
      <c r="VCE13"/>
      <c r="VCF13"/>
      <c r="VCG13"/>
      <c r="VCH13"/>
      <c r="VCI13"/>
      <c r="VCJ13"/>
      <c r="VCK13"/>
      <c r="VCL13"/>
      <c r="VCM13"/>
      <c r="VCN13"/>
      <c r="VCO13"/>
      <c r="VCP13"/>
      <c r="VCQ13"/>
      <c r="VCR13"/>
      <c r="VCS13"/>
      <c r="VCT13"/>
      <c r="VCU13"/>
      <c r="VCV13"/>
      <c r="VCW13"/>
      <c r="VCX13"/>
      <c r="VCY13"/>
      <c r="VCZ13"/>
      <c r="VDA13"/>
      <c r="VDB13"/>
      <c r="VDC13"/>
      <c r="VDD13"/>
      <c r="VDE13"/>
      <c r="VDF13"/>
      <c r="VDG13"/>
      <c r="VDH13"/>
      <c r="VDI13"/>
      <c r="VDJ13"/>
      <c r="VDK13"/>
      <c r="VDL13"/>
      <c r="VDM13"/>
      <c r="VDN13"/>
      <c r="VDO13"/>
      <c r="VDP13"/>
      <c r="VDQ13"/>
      <c r="VDR13"/>
      <c r="VDS13"/>
      <c r="VDT13"/>
      <c r="VDU13"/>
      <c r="VDV13"/>
      <c r="VDW13"/>
      <c r="VDX13"/>
      <c r="VDY13"/>
      <c r="VDZ13"/>
      <c r="VEA13"/>
      <c r="VEB13"/>
      <c r="VEC13"/>
      <c r="VED13"/>
      <c r="VEE13"/>
      <c r="VEF13"/>
      <c r="VEG13"/>
      <c r="VEH13"/>
      <c r="VEI13"/>
      <c r="VEJ13"/>
      <c r="VEK13"/>
      <c r="VEL13"/>
      <c r="VEM13"/>
      <c r="VEN13"/>
      <c r="VEO13"/>
      <c r="VEP13"/>
      <c r="VEQ13"/>
      <c r="VER13"/>
      <c r="VES13"/>
      <c r="VET13"/>
      <c r="VEU13"/>
      <c r="VEV13"/>
      <c r="VEW13"/>
      <c r="VEX13"/>
      <c r="VEY13"/>
      <c r="VEZ13"/>
      <c r="VFA13"/>
      <c r="VFB13"/>
      <c r="VFC13"/>
      <c r="VFD13"/>
      <c r="VFE13"/>
      <c r="VFF13"/>
      <c r="VFG13"/>
      <c r="VFH13"/>
      <c r="VFI13"/>
      <c r="VFJ13"/>
      <c r="VFK13"/>
      <c r="VFL13"/>
      <c r="VFM13"/>
      <c r="VFN13"/>
      <c r="VFO13"/>
      <c r="VFP13"/>
      <c r="VFQ13"/>
      <c r="VFR13"/>
      <c r="VFS13"/>
      <c r="VFT13"/>
      <c r="VFU13"/>
      <c r="VFV13"/>
      <c r="VFW13"/>
      <c r="VFX13"/>
      <c r="VFY13"/>
      <c r="VFZ13"/>
      <c r="VGA13"/>
      <c r="VGB13"/>
      <c r="VGC13"/>
      <c r="VGD13"/>
      <c r="VGE13"/>
      <c r="VGF13"/>
      <c r="VGG13"/>
      <c r="VGH13"/>
      <c r="VGI13"/>
      <c r="VGJ13"/>
      <c r="VGK13"/>
      <c r="VGL13"/>
      <c r="VGM13"/>
      <c r="VGN13"/>
      <c r="VGO13"/>
      <c r="VGP13"/>
      <c r="VGQ13"/>
      <c r="VGR13"/>
      <c r="VGS13"/>
      <c r="VGT13"/>
      <c r="VGU13"/>
      <c r="VGV13"/>
      <c r="VGW13"/>
      <c r="VGX13"/>
      <c r="VGY13"/>
      <c r="VGZ13"/>
      <c r="VHA13"/>
      <c r="VHB13"/>
      <c r="VHC13"/>
      <c r="VHD13"/>
      <c r="VHE13"/>
      <c r="VHF13"/>
      <c r="VHG13"/>
      <c r="VHH13"/>
      <c r="VHI13"/>
      <c r="VHJ13"/>
      <c r="VHK13"/>
      <c r="VHL13"/>
      <c r="VHM13"/>
      <c r="VHN13"/>
      <c r="VHO13"/>
      <c r="VHP13"/>
      <c r="VHQ13"/>
      <c r="VHR13"/>
      <c r="VHS13"/>
      <c r="VHT13"/>
      <c r="VHU13"/>
      <c r="VHV13"/>
      <c r="VHW13"/>
      <c r="VHX13"/>
      <c r="VHY13"/>
      <c r="VHZ13"/>
      <c r="VIA13"/>
      <c r="VIB13"/>
      <c r="VIC13"/>
      <c r="VID13"/>
      <c r="VIE13"/>
      <c r="VIF13"/>
      <c r="VIG13"/>
      <c r="VIH13"/>
      <c r="VII13"/>
      <c r="VIJ13"/>
      <c r="VIK13"/>
      <c r="VIL13"/>
      <c r="VIM13"/>
      <c r="VIN13"/>
      <c r="VIO13"/>
      <c r="VIP13"/>
      <c r="VIQ13"/>
      <c r="VIR13"/>
      <c r="VIS13"/>
      <c r="VIT13"/>
      <c r="VIU13"/>
      <c r="VIV13"/>
      <c r="VIW13"/>
      <c r="VIX13"/>
      <c r="VIY13"/>
      <c r="VIZ13"/>
      <c r="VJA13"/>
      <c r="VJB13"/>
      <c r="VJC13"/>
      <c r="VJD13"/>
      <c r="VJE13"/>
      <c r="VJF13"/>
      <c r="VJG13"/>
      <c r="VJH13"/>
      <c r="VJI13"/>
      <c r="VJJ13"/>
      <c r="VJK13"/>
      <c r="VJL13"/>
      <c r="VJM13"/>
      <c r="VJN13"/>
      <c r="VJO13"/>
      <c r="VJP13"/>
      <c r="VJQ13"/>
      <c r="VJR13"/>
      <c r="VJS13"/>
      <c r="VJT13"/>
      <c r="VJU13"/>
      <c r="VJV13"/>
      <c r="VJW13"/>
      <c r="VJX13"/>
      <c r="VJY13"/>
      <c r="VJZ13"/>
      <c r="VKA13"/>
      <c r="VKB13"/>
      <c r="VKC13"/>
      <c r="VKD13"/>
      <c r="VKE13"/>
      <c r="VKF13"/>
      <c r="VKG13"/>
      <c r="VKH13"/>
      <c r="VKI13"/>
      <c r="VKJ13"/>
      <c r="VKK13"/>
      <c r="VKL13"/>
      <c r="VKM13"/>
      <c r="VKN13"/>
      <c r="VKO13"/>
      <c r="VKP13"/>
      <c r="VKQ13"/>
      <c r="VKR13"/>
      <c r="VKS13"/>
      <c r="VKT13"/>
      <c r="VKU13"/>
      <c r="VKV13"/>
      <c r="VKW13"/>
      <c r="VKX13"/>
      <c r="VKY13"/>
      <c r="VKZ13"/>
      <c r="VLA13"/>
      <c r="VLB13"/>
      <c r="VLC13"/>
      <c r="VLD13"/>
      <c r="VLE13"/>
      <c r="VLF13"/>
      <c r="VLG13"/>
      <c r="VLH13"/>
      <c r="VLI13"/>
      <c r="VLJ13"/>
      <c r="VLK13"/>
      <c r="VLL13"/>
      <c r="VLM13"/>
      <c r="VLN13"/>
      <c r="VLO13"/>
      <c r="VLP13"/>
      <c r="VLQ13"/>
      <c r="VLR13"/>
      <c r="VLS13"/>
      <c r="VLT13"/>
      <c r="VLU13"/>
      <c r="VLV13"/>
      <c r="VLW13"/>
      <c r="VLX13"/>
      <c r="VLY13"/>
      <c r="VLZ13"/>
      <c r="VMA13"/>
      <c r="VMB13"/>
      <c r="VMC13"/>
      <c r="VMD13"/>
      <c r="VME13"/>
      <c r="VMF13"/>
      <c r="VMG13"/>
      <c r="VMH13"/>
      <c r="VMI13"/>
      <c r="VMJ13"/>
      <c r="VMK13"/>
      <c r="VML13"/>
      <c r="VMM13"/>
      <c r="VMN13"/>
      <c r="VMO13"/>
      <c r="VMP13"/>
      <c r="VMQ13"/>
      <c r="VMR13"/>
      <c r="VMS13"/>
      <c r="VMT13"/>
      <c r="VMU13"/>
      <c r="VMV13"/>
      <c r="VMW13"/>
      <c r="VMX13"/>
      <c r="VMY13"/>
      <c r="VMZ13"/>
      <c r="VNA13"/>
      <c r="VNB13"/>
      <c r="VNC13"/>
      <c r="VND13"/>
      <c r="VNE13"/>
      <c r="VNF13"/>
      <c r="VNG13"/>
      <c r="VNH13"/>
      <c r="VNI13"/>
      <c r="VNJ13"/>
      <c r="VNK13"/>
      <c r="VNL13"/>
      <c r="VNM13"/>
      <c r="VNN13"/>
      <c r="VNO13"/>
      <c r="VNP13"/>
      <c r="VNQ13"/>
      <c r="VNR13"/>
      <c r="VNS13"/>
      <c r="VNT13"/>
      <c r="VNU13"/>
      <c r="VNV13"/>
      <c r="VNW13"/>
      <c r="VNX13"/>
      <c r="VNY13"/>
      <c r="VNZ13"/>
      <c r="VOA13"/>
      <c r="VOB13"/>
      <c r="VOC13"/>
      <c r="VOD13"/>
      <c r="VOE13"/>
      <c r="VOF13"/>
      <c r="VOG13"/>
      <c r="VOH13"/>
      <c r="VOI13"/>
      <c r="VOJ13"/>
      <c r="VOK13"/>
      <c r="VOL13"/>
      <c r="VOM13"/>
      <c r="VON13"/>
      <c r="VOO13"/>
      <c r="VOP13"/>
      <c r="VOQ13"/>
      <c r="VOR13"/>
      <c r="VOS13"/>
      <c r="VOT13"/>
      <c r="VOU13"/>
      <c r="VOV13"/>
      <c r="VOW13"/>
      <c r="VOX13"/>
      <c r="VOY13"/>
      <c r="VOZ13"/>
      <c r="VPA13"/>
      <c r="VPB13"/>
      <c r="VPC13"/>
      <c r="VPD13"/>
      <c r="VPE13"/>
      <c r="VPF13"/>
      <c r="VPG13"/>
      <c r="VPH13"/>
      <c r="VPI13"/>
      <c r="VPJ13"/>
      <c r="VPK13"/>
      <c r="VPL13"/>
      <c r="VPM13"/>
      <c r="VPN13"/>
      <c r="VPO13"/>
      <c r="VPP13"/>
      <c r="VPQ13"/>
      <c r="VPR13"/>
      <c r="VPS13"/>
      <c r="VPT13"/>
      <c r="VPU13"/>
      <c r="VPV13"/>
      <c r="VPW13"/>
      <c r="VPX13"/>
      <c r="VPY13"/>
      <c r="VPZ13"/>
      <c r="VQA13"/>
      <c r="VQB13"/>
      <c r="VQC13"/>
      <c r="VQD13"/>
      <c r="VQE13"/>
      <c r="VQF13"/>
      <c r="VQG13"/>
      <c r="VQH13"/>
      <c r="VQI13"/>
      <c r="VQJ13"/>
      <c r="VQK13"/>
      <c r="VQL13"/>
      <c r="VQM13"/>
      <c r="VQN13"/>
      <c r="VQO13"/>
      <c r="VQP13"/>
      <c r="VQQ13"/>
      <c r="VQR13"/>
      <c r="VQS13"/>
      <c r="VQT13"/>
      <c r="VQU13"/>
      <c r="VQV13"/>
      <c r="VQW13"/>
      <c r="VQX13"/>
      <c r="VQY13"/>
      <c r="VQZ13"/>
      <c r="VRA13"/>
      <c r="VRB13"/>
      <c r="VRC13"/>
      <c r="VRD13"/>
      <c r="VRE13"/>
      <c r="VRF13"/>
      <c r="VRG13"/>
      <c r="VRH13"/>
      <c r="VRI13"/>
      <c r="VRJ13"/>
      <c r="VRK13"/>
      <c r="VRL13"/>
      <c r="VRM13"/>
      <c r="VRN13"/>
      <c r="VRO13"/>
      <c r="VRP13"/>
      <c r="VRQ13"/>
      <c r="VRR13"/>
      <c r="VRS13"/>
      <c r="VRT13"/>
      <c r="VRU13"/>
      <c r="VRV13"/>
      <c r="VRW13"/>
      <c r="VRX13"/>
      <c r="VRY13"/>
      <c r="VRZ13"/>
      <c r="VSA13"/>
      <c r="VSB13"/>
      <c r="VSC13"/>
      <c r="VSD13"/>
      <c r="VSE13"/>
      <c r="VSF13"/>
      <c r="VSG13"/>
      <c r="VSH13"/>
      <c r="VSI13"/>
      <c r="VSJ13"/>
      <c r="VSK13"/>
      <c r="VSL13"/>
      <c r="VSM13"/>
      <c r="VSN13"/>
      <c r="VSO13"/>
      <c r="VSP13"/>
      <c r="VSQ13"/>
      <c r="VSR13"/>
      <c r="VSS13"/>
      <c r="VST13"/>
      <c r="VSU13"/>
      <c r="VSV13"/>
      <c r="VSW13"/>
      <c r="VSX13"/>
      <c r="VSY13"/>
      <c r="VSZ13"/>
      <c r="VTA13"/>
      <c r="VTB13"/>
      <c r="VTC13"/>
      <c r="VTD13"/>
      <c r="VTE13"/>
      <c r="VTF13"/>
      <c r="VTG13"/>
      <c r="VTH13"/>
      <c r="VTI13"/>
      <c r="VTJ13"/>
      <c r="VTK13"/>
      <c r="VTL13"/>
      <c r="VTM13"/>
      <c r="VTN13"/>
      <c r="VTO13"/>
      <c r="VTP13"/>
      <c r="VTQ13"/>
      <c r="VTR13"/>
      <c r="VTS13"/>
      <c r="VTT13"/>
      <c r="VTU13"/>
      <c r="VTV13"/>
      <c r="VTW13"/>
      <c r="VTX13"/>
      <c r="VTY13"/>
      <c r="VTZ13"/>
      <c r="VUA13"/>
      <c r="VUB13"/>
      <c r="VUC13"/>
      <c r="VUD13"/>
      <c r="VUE13"/>
      <c r="VUF13"/>
      <c r="VUG13"/>
      <c r="VUH13"/>
      <c r="VUI13"/>
      <c r="VUJ13"/>
      <c r="VUK13"/>
      <c r="VUL13"/>
      <c r="VUM13"/>
      <c r="VUN13"/>
      <c r="VUO13"/>
      <c r="VUP13"/>
      <c r="VUQ13"/>
      <c r="VUR13"/>
      <c r="VUS13"/>
      <c r="VUT13"/>
      <c r="VUU13"/>
      <c r="VUV13"/>
      <c r="VUW13"/>
      <c r="VUX13"/>
      <c r="VUY13"/>
      <c r="VUZ13"/>
      <c r="VVA13"/>
      <c r="VVB13"/>
      <c r="VVC13"/>
      <c r="VVD13"/>
      <c r="VVE13"/>
      <c r="VVF13"/>
      <c r="VVG13"/>
      <c r="VVH13"/>
      <c r="VVI13"/>
      <c r="VVJ13"/>
      <c r="VVK13"/>
      <c r="VVL13"/>
      <c r="VVM13"/>
      <c r="VVN13"/>
      <c r="VVO13"/>
      <c r="VVP13"/>
      <c r="VVQ13"/>
      <c r="VVR13"/>
      <c r="VVS13"/>
      <c r="VVT13"/>
      <c r="VVU13"/>
      <c r="VVV13"/>
      <c r="VVW13"/>
      <c r="VVX13"/>
      <c r="VVY13"/>
      <c r="VVZ13"/>
      <c r="VWA13"/>
      <c r="VWB13"/>
      <c r="VWC13"/>
      <c r="VWD13"/>
      <c r="VWE13"/>
      <c r="VWF13"/>
      <c r="VWG13"/>
      <c r="VWH13"/>
      <c r="VWI13"/>
      <c r="VWJ13"/>
      <c r="VWK13"/>
      <c r="VWL13"/>
      <c r="VWM13"/>
      <c r="VWN13"/>
      <c r="VWO13"/>
      <c r="VWP13"/>
      <c r="VWQ13"/>
      <c r="VWR13"/>
      <c r="VWS13"/>
      <c r="VWT13"/>
      <c r="VWU13"/>
      <c r="VWV13"/>
      <c r="VWW13"/>
      <c r="VWX13"/>
      <c r="VWY13"/>
      <c r="VWZ13"/>
      <c r="VXA13"/>
      <c r="VXB13"/>
      <c r="VXC13"/>
      <c r="VXD13"/>
      <c r="VXE13"/>
      <c r="VXF13"/>
      <c r="VXG13"/>
      <c r="VXH13"/>
      <c r="VXI13"/>
      <c r="VXJ13"/>
      <c r="VXK13"/>
      <c r="VXL13"/>
      <c r="VXM13"/>
      <c r="VXN13"/>
      <c r="VXO13"/>
      <c r="VXP13"/>
      <c r="VXQ13"/>
      <c r="VXR13"/>
      <c r="VXS13"/>
      <c r="VXT13"/>
      <c r="VXU13"/>
      <c r="VXV13"/>
      <c r="VXW13"/>
      <c r="VXX13"/>
      <c r="VXY13"/>
      <c r="VXZ13"/>
      <c r="VYA13"/>
      <c r="VYB13"/>
      <c r="VYC13"/>
      <c r="VYD13"/>
      <c r="VYE13"/>
      <c r="VYF13"/>
      <c r="VYG13"/>
      <c r="VYH13"/>
      <c r="VYI13"/>
      <c r="VYJ13"/>
      <c r="VYK13"/>
      <c r="VYL13"/>
      <c r="VYM13"/>
      <c r="VYN13"/>
      <c r="VYO13"/>
      <c r="VYP13"/>
      <c r="VYQ13"/>
      <c r="VYR13"/>
      <c r="VYS13"/>
      <c r="VYT13"/>
      <c r="VYU13"/>
      <c r="VYV13"/>
      <c r="VYW13"/>
      <c r="VYX13"/>
      <c r="VYY13"/>
      <c r="VYZ13"/>
      <c r="VZA13"/>
      <c r="VZB13"/>
      <c r="VZC13"/>
      <c r="VZD13"/>
      <c r="VZE13"/>
      <c r="VZF13"/>
      <c r="VZG13"/>
      <c r="VZH13"/>
      <c r="VZI13"/>
      <c r="VZJ13"/>
      <c r="VZK13"/>
      <c r="VZL13"/>
      <c r="VZM13"/>
      <c r="VZN13"/>
      <c r="VZO13"/>
      <c r="VZP13"/>
      <c r="VZQ13"/>
      <c r="VZR13"/>
      <c r="VZS13"/>
      <c r="VZT13"/>
      <c r="VZU13"/>
      <c r="VZV13"/>
      <c r="VZW13"/>
      <c r="VZX13"/>
      <c r="VZY13"/>
      <c r="VZZ13"/>
      <c r="WAA13"/>
      <c r="WAB13"/>
      <c r="WAC13"/>
      <c r="WAD13"/>
      <c r="WAE13"/>
      <c r="WAF13"/>
      <c r="WAG13"/>
      <c r="WAH13"/>
      <c r="WAI13"/>
      <c r="WAJ13"/>
      <c r="WAK13"/>
      <c r="WAL13"/>
      <c r="WAM13"/>
      <c r="WAN13"/>
      <c r="WAO13"/>
      <c r="WAP13"/>
      <c r="WAQ13"/>
      <c r="WAR13"/>
      <c r="WAS13"/>
      <c r="WAT13"/>
      <c r="WAU13"/>
      <c r="WAV13"/>
      <c r="WAW13"/>
      <c r="WAX13"/>
      <c r="WAY13"/>
      <c r="WAZ13"/>
      <c r="WBA13"/>
      <c r="WBB13"/>
      <c r="WBC13"/>
      <c r="WBD13"/>
      <c r="WBE13"/>
      <c r="WBF13"/>
      <c r="WBG13"/>
      <c r="WBH13"/>
      <c r="WBI13"/>
      <c r="WBJ13"/>
      <c r="WBK13"/>
      <c r="WBL13"/>
      <c r="WBM13"/>
      <c r="WBN13"/>
      <c r="WBO13"/>
      <c r="WBP13"/>
      <c r="WBQ13"/>
      <c r="WBR13"/>
      <c r="WBS13"/>
      <c r="WBT13"/>
      <c r="WBU13"/>
      <c r="WBV13"/>
      <c r="WBW13"/>
      <c r="WBX13"/>
      <c r="WBY13"/>
      <c r="WBZ13"/>
      <c r="WCA13"/>
      <c r="WCB13"/>
      <c r="WCC13"/>
      <c r="WCD13"/>
      <c r="WCE13"/>
      <c r="WCF13"/>
      <c r="WCG13"/>
      <c r="WCH13"/>
      <c r="WCI13"/>
      <c r="WCJ13"/>
      <c r="WCK13"/>
      <c r="WCL13"/>
      <c r="WCM13"/>
      <c r="WCN13"/>
      <c r="WCO13"/>
      <c r="WCP13"/>
      <c r="WCQ13"/>
      <c r="WCR13"/>
      <c r="WCS13"/>
      <c r="WCT13"/>
      <c r="WCU13"/>
      <c r="WCV13"/>
      <c r="WCW13"/>
      <c r="WCX13"/>
      <c r="WCY13"/>
      <c r="WCZ13"/>
      <c r="WDA13"/>
      <c r="WDB13"/>
      <c r="WDC13"/>
      <c r="WDD13"/>
      <c r="WDE13"/>
      <c r="WDF13"/>
      <c r="WDG13"/>
      <c r="WDH13"/>
      <c r="WDI13"/>
      <c r="WDJ13"/>
      <c r="WDK13"/>
      <c r="WDL13"/>
      <c r="WDM13"/>
      <c r="WDN13"/>
      <c r="WDO13"/>
      <c r="WDP13"/>
      <c r="WDQ13"/>
      <c r="WDR13"/>
      <c r="WDS13"/>
      <c r="WDT13"/>
      <c r="WDU13"/>
      <c r="WDV13"/>
      <c r="WDW13"/>
      <c r="WDX13"/>
      <c r="WDY13"/>
      <c r="WDZ13"/>
      <c r="WEA13"/>
      <c r="WEB13"/>
      <c r="WEC13"/>
      <c r="WED13"/>
      <c r="WEE13"/>
      <c r="WEF13"/>
      <c r="WEG13"/>
      <c r="WEH13"/>
      <c r="WEI13"/>
      <c r="WEJ13"/>
      <c r="WEK13"/>
      <c r="WEL13"/>
      <c r="WEM13"/>
      <c r="WEN13"/>
      <c r="WEO13"/>
      <c r="WEP13"/>
      <c r="WEQ13"/>
      <c r="WER13"/>
      <c r="WES13"/>
      <c r="WET13"/>
      <c r="WEU13"/>
      <c r="WEV13"/>
      <c r="WEW13"/>
      <c r="WEX13"/>
      <c r="WEY13"/>
      <c r="WEZ13"/>
      <c r="WFA13"/>
      <c r="WFB13"/>
      <c r="WFC13"/>
      <c r="WFD13"/>
      <c r="WFE13"/>
      <c r="WFF13"/>
      <c r="WFG13"/>
      <c r="WFH13"/>
      <c r="WFI13"/>
      <c r="WFJ13"/>
      <c r="WFK13"/>
      <c r="WFL13"/>
      <c r="WFM13"/>
      <c r="WFN13"/>
      <c r="WFO13"/>
      <c r="WFP13"/>
      <c r="WFQ13"/>
      <c r="WFR13"/>
      <c r="WFS13"/>
      <c r="WFT13"/>
      <c r="WFU13"/>
      <c r="WFV13"/>
      <c r="WFW13"/>
      <c r="WFX13"/>
      <c r="WFY13"/>
      <c r="WFZ13"/>
      <c r="WGA13"/>
      <c r="WGB13"/>
      <c r="WGC13"/>
      <c r="WGD13"/>
      <c r="WGE13"/>
      <c r="WGF13"/>
      <c r="WGG13"/>
      <c r="WGH13"/>
      <c r="WGI13"/>
      <c r="WGJ13"/>
      <c r="WGK13"/>
      <c r="WGL13"/>
      <c r="WGM13"/>
      <c r="WGN13"/>
      <c r="WGO13"/>
      <c r="WGP13"/>
      <c r="WGQ13"/>
      <c r="WGR13"/>
      <c r="WGS13"/>
      <c r="WGT13"/>
      <c r="WGU13"/>
      <c r="WGV13"/>
      <c r="WGW13"/>
      <c r="WGX13"/>
      <c r="WGY13"/>
      <c r="WGZ13"/>
      <c r="WHA13"/>
      <c r="WHB13"/>
      <c r="WHC13"/>
      <c r="WHD13"/>
      <c r="WHE13"/>
      <c r="WHF13"/>
      <c r="WHG13"/>
      <c r="WHH13"/>
      <c r="WHI13"/>
      <c r="WHJ13"/>
      <c r="WHK13"/>
      <c r="WHL13"/>
      <c r="WHM13"/>
      <c r="WHN13"/>
      <c r="WHO13"/>
      <c r="WHP13"/>
      <c r="WHQ13"/>
      <c r="WHR13"/>
      <c r="WHS13"/>
      <c r="WHT13"/>
      <c r="WHU13"/>
      <c r="WHV13"/>
      <c r="WHW13"/>
      <c r="WHX13"/>
      <c r="WHY13"/>
      <c r="WHZ13"/>
      <c r="WIA13"/>
      <c r="WIB13"/>
      <c r="WIC13"/>
      <c r="WID13"/>
      <c r="WIE13"/>
      <c r="WIF13"/>
      <c r="WIG13"/>
      <c r="WIH13"/>
      <c r="WII13"/>
      <c r="WIJ13"/>
      <c r="WIK13"/>
      <c r="WIL13"/>
      <c r="WIM13"/>
      <c r="WIN13"/>
      <c r="WIO13"/>
      <c r="WIP13"/>
      <c r="WIQ13"/>
      <c r="WIR13"/>
      <c r="WIS13"/>
      <c r="WIT13"/>
      <c r="WIU13"/>
      <c r="WIV13"/>
      <c r="WIW13"/>
      <c r="WIX13"/>
      <c r="WIY13"/>
      <c r="WIZ13"/>
      <c r="WJA13"/>
      <c r="WJB13"/>
      <c r="WJC13"/>
      <c r="WJD13"/>
      <c r="WJE13"/>
      <c r="WJF13"/>
      <c r="WJG13"/>
      <c r="WJH13"/>
      <c r="WJI13"/>
      <c r="WJJ13"/>
      <c r="WJK13"/>
      <c r="WJL13"/>
      <c r="WJM13"/>
      <c r="WJN13"/>
      <c r="WJO13"/>
      <c r="WJP13"/>
      <c r="WJQ13"/>
      <c r="WJR13"/>
      <c r="WJS13"/>
      <c r="WJT13"/>
      <c r="WJU13"/>
      <c r="WJV13"/>
      <c r="WJW13"/>
      <c r="WJX13"/>
      <c r="WJY13"/>
      <c r="WJZ13"/>
      <c r="WKA13"/>
      <c r="WKB13"/>
      <c r="WKC13"/>
      <c r="WKD13"/>
      <c r="WKE13"/>
      <c r="WKF13"/>
      <c r="WKG13"/>
      <c r="WKH13"/>
      <c r="WKI13"/>
      <c r="WKJ13"/>
      <c r="WKK13"/>
      <c r="WKL13"/>
      <c r="WKM13"/>
      <c r="WKN13"/>
      <c r="WKO13"/>
      <c r="WKP13"/>
      <c r="WKQ13"/>
      <c r="WKR13"/>
      <c r="WKS13"/>
      <c r="WKT13"/>
      <c r="WKU13"/>
      <c r="WKV13"/>
      <c r="WKW13"/>
      <c r="WKX13"/>
      <c r="WKY13"/>
      <c r="WKZ13"/>
      <c r="WLA13"/>
      <c r="WLB13"/>
      <c r="WLC13"/>
      <c r="WLD13"/>
      <c r="WLE13"/>
      <c r="WLF13"/>
      <c r="WLG13"/>
      <c r="WLH13"/>
      <c r="WLI13"/>
      <c r="WLJ13"/>
      <c r="WLK13"/>
      <c r="WLL13"/>
      <c r="WLM13"/>
      <c r="WLN13"/>
      <c r="WLO13"/>
      <c r="WLP13"/>
      <c r="WLQ13"/>
      <c r="WLR13"/>
      <c r="WLS13"/>
      <c r="WLT13"/>
      <c r="WLU13"/>
      <c r="WLV13"/>
      <c r="WLW13"/>
      <c r="WLX13"/>
      <c r="WLY13"/>
      <c r="WLZ13"/>
      <c r="WMA13"/>
      <c r="WMB13"/>
      <c r="WMC13"/>
      <c r="WMD13"/>
      <c r="WME13"/>
      <c r="WMF13"/>
      <c r="WMG13"/>
      <c r="WMH13"/>
      <c r="WMI13"/>
      <c r="WMJ13"/>
      <c r="WMK13"/>
      <c r="WML13"/>
      <c r="WMM13"/>
      <c r="WMN13"/>
      <c r="WMO13"/>
      <c r="WMP13"/>
      <c r="WMQ13"/>
      <c r="WMR13"/>
      <c r="WMS13"/>
      <c r="WMT13"/>
      <c r="WMU13"/>
      <c r="WMV13"/>
      <c r="WMW13"/>
      <c r="WMX13"/>
      <c r="WMY13"/>
      <c r="WMZ13"/>
      <c r="WNA13"/>
      <c r="WNB13"/>
      <c r="WNC13"/>
      <c r="WND13"/>
      <c r="WNE13"/>
      <c r="WNF13"/>
      <c r="WNG13"/>
      <c r="WNH13"/>
      <c r="WNI13"/>
      <c r="WNJ13"/>
      <c r="WNK13"/>
      <c r="WNL13"/>
      <c r="WNM13"/>
      <c r="WNN13"/>
      <c r="WNO13"/>
      <c r="WNP13"/>
      <c r="WNQ13"/>
      <c r="WNR13"/>
      <c r="WNS13"/>
      <c r="WNT13"/>
      <c r="WNU13"/>
      <c r="WNV13"/>
      <c r="WNW13"/>
      <c r="WNX13"/>
      <c r="WNY13"/>
      <c r="WNZ13"/>
      <c r="WOA13"/>
      <c r="WOB13"/>
      <c r="WOC13"/>
      <c r="WOD13"/>
      <c r="WOE13"/>
      <c r="WOF13"/>
      <c r="WOG13"/>
      <c r="WOH13"/>
      <c r="WOI13"/>
      <c r="WOJ13"/>
      <c r="WOK13"/>
      <c r="WOL13"/>
      <c r="WOM13"/>
      <c r="WON13"/>
      <c r="WOO13"/>
      <c r="WOP13"/>
      <c r="WOQ13"/>
      <c r="WOR13"/>
      <c r="WOS13"/>
      <c r="WOT13"/>
      <c r="WOU13"/>
      <c r="WOV13"/>
      <c r="WOW13"/>
      <c r="WOX13"/>
      <c r="WOY13"/>
      <c r="WOZ13"/>
      <c r="WPA13"/>
      <c r="WPB13"/>
      <c r="WPC13"/>
      <c r="WPD13"/>
      <c r="WPE13"/>
      <c r="WPF13"/>
      <c r="WPG13"/>
      <c r="WPH13"/>
      <c r="WPI13"/>
      <c r="WPJ13"/>
      <c r="WPK13"/>
      <c r="WPL13"/>
      <c r="WPM13"/>
      <c r="WPN13"/>
      <c r="WPO13"/>
      <c r="WPP13"/>
      <c r="WPQ13"/>
      <c r="WPR13"/>
      <c r="WPS13"/>
      <c r="WPT13"/>
      <c r="WPU13"/>
      <c r="WPV13"/>
      <c r="WPW13"/>
      <c r="WPX13"/>
      <c r="WPY13"/>
      <c r="WPZ13"/>
      <c r="WQA13"/>
      <c r="WQB13"/>
      <c r="WQC13"/>
      <c r="WQD13"/>
      <c r="WQE13"/>
      <c r="WQF13"/>
      <c r="WQG13"/>
      <c r="WQH13"/>
      <c r="WQI13"/>
      <c r="WQJ13"/>
      <c r="WQK13"/>
      <c r="WQL13"/>
      <c r="WQM13"/>
      <c r="WQN13"/>
      <c r="WQO13"/>
      <c r="WQP13"/>
      <c r="WQQ13"/>
      <c r="WQR13"/>
      <c r="WQS13"/>
      <c r="WQT13"/>
      <c r="WQU13"/>
      <c r="WQV13"/>
      <c r="WQW13"/>
      <c r="WQX13"/>
      <c r="WQY13"/>
      <c r="WQZ13"/>
      <c r="WRA13"/>
      <c r="WRB13"/>
      <c r="WRC13"/>
      <c r="WRD13"/>
      <c r="WRE13"/>
      <c r="WRF13"/>
      <c r="WRG13"/>
      <c r="WRH13"/>
      <c r="WRI13"/>
      <c r="WRJ13"/>
      <c r="WRK13"/>
      <c r="WRL13"/>
      <c r="WRM13"/>
      <c r="WRN13"/>
      <c r="WRO13"/>
      <c r="WRP13"/>
      <c r="WRQ13"/>
      <c r="WRR13"/>
      <c r="WRS13"/>
      <c r="WRT13"/>
      <c r="WRU13"/>
      <c r="WRV13"/>
      <c r="WRW13"/>
      <c r="WRX13"/>
      <c r="WRY13"/>
      <c r="WRZ13"/>
      <c r="WSA13"/>
      <c r="WSB13"/>
      <c r="WSC13"/>
      <c r="WSD13"/>
      <c r="WSE13"/>
      <c r="WSF13"/>
      <c r="WSG13"/>
      <c r="WSH13"/>
      <c r="WSI13"/>
      <c r="WSJ13"/>
      <c r="WSK13"/>
      <c r="WSL13"/>
      <c r="WSM13"/>
      <c r="WSN13"/>
      <c r="WSO13"/>
      <c r="WSP13"/>
      <c r="WSQ13"/>
      <c r="WSR13"/>
      <c r="WSS13"/>
      <c r="WST13"/>
      <c r="WSU13"/>
      <c r="WSV13"/>
      <c r="WSW13"/>
      <c r="WSX13"/>
      <c r="WSY13"/>
      <c r="WSZ13"/>
      <c r="WTA13"/>
      <c r="WTB13"/>
      <c r="WTC13"/>
      <c r="WTD13"/>
      <c r="WTE13"/>
      <c r="WTF13"/>
      <c r="WTG13"/>
      <c r="WTH13"/>
      <c r="WTI13"/>
      <c r="WTJ13"/>
      <c r="WTK13"/>
      <c r="WTL13"/>
      <c r="WTM13"/>
      <c r="WTN13"/>
      <c r="WTO13"/>
      <c r="WTP13"/>
      <c r="WTQ13"/>
      <c r="WTR13"/>
      <c r="WTS13"/>
      <c r="WTT13"/>
      <c r="WTU13"/>
      <c r="WTV13"/>
      <c r="WTW13"/>
      <c r="WTX13"/>
      <c r="WTY13"/>
      <c r="WTZ13"/>
      <c r="WUA13"/>
      <c r="WUB13"/>
      <c r="WUC13"/>
      <c r="WUD13"/>
      <c r="WUE13"/>
      <c r="WUF13"/>
      <c r="WUG13"/>
      <c r="WUH13"/>
      <c r="WUI13"/>
      <c r="WUJ13"/>
      <c r="WUK13"/>
      <c r="WUL13"/>
      <c r="WUM13"/>
      <c r="WUN13"/>
      <c r="WUO13"/>
      <c r="WUP13"/>
      <c r="WUQ13"/>
      <c r="WUR13"/>
      <c r="WUS13"/>
      <c r="WUT13"/>
      <c r="WUU13"/>
      <c r="WUV13"/>
      <c r="WUW13"/>
      <c r="WUX13"/>
      <c r="WUY13"/>
      <c r="WUZ13"/>
      <c r="WVA13"/>
      <c r="WVB13"/>
      <c r="WVC13"/>
      <c r="WVD13"/>
      <c r="WVE13"/>
      <c r="WVF13"/>
      <c r="WVG13"/>
      <c r="WVH13"/>
      <c r="WVI13"/>
      <c r="WVJ13"/>
      <c r="WVK13"/>
      <c r="WVL13"/>
      <c r="WVM13"/>
      <c r="WVN13"/>
      <c r="WVO13"/>
      <c r="WVP13"/>
      <c r="WVQ13"/>
      <c r="WVR13"/>
      <c r="WVS13"/>
      <c r="WVT13"/>
      <c r="WVU13"/>
      <c r="WVV13"/>
      <c r="WVW13"/>
      <c r="WVX13"/>
      <c r="WVY13"/>
      <c r="WVZ13"/>
      <c r="WWA13"/>
      <c r="WWB13"/>
      <c r="WWC13"/>
      <c r="WWD13"/>
      <c r="WWE13"/>
      <c r="WWF13"/>
      <c r="WWG13"/>
      <c r="WWH13"/>
      <c r="WWI13"/>
      <c r="WWJ13"/>
      <c r="WWK13"/>
      <c r="WWL13"/>
      <c r="WWM13"/>
      <c r="WWN13"/>
      <c r="WWO13"/>
      <c r="WWP13"/>
      <c r="WWQ13"/>
      <c r="WWR13"/>
      <c r="WWS13"/>
      <c r="WWT13"/>
      <c r="WWU13"/>
      <c r="WWV13"/>
      <c r="WWW13"/>
      <c r="WWX13"/>
      <c r="WWY13"/>
      <c r="WWZ13"/>
      <c r="WXA13"/>
      <c r="WXB13"/>
      <c r="WXC13"/>
      <c r="WXD13"/>
      <c r="WXE13"/>
      <c r="WXF13"/>
      <c r="WXG13"/>
      <c r="WXH13"/>
      <c r="WXI13"/>
      <c r="WXJ13"/>
      <c r="WXK13"/>
      <c r="WXL13"/>
      <c r="WXM13"/>
      <c r="WXN13"/>
      <c r="WXO13"/>
      <c r="WXP13"/>
      <c r="WXQ13"/>
      <c r="WXR13"/>
      <c r="WXS13"/>
      <c r="WXT13"/>
      <c r="WXU13"/>
      <c r="WXV13"/>
      <c r="WXW13"/>
      <c r="WXX13"/>
      <c r="WXY13"/>
      <c r="WXZ13"/>
      <c r="WYA13"/>
      <c r="WYB13"/>
      <c r="WYC13"/>
      <c r="WYD13"/>
      <c r="WYE13"/>
      <c r="WYF13"/>
      <c r="WYG13"/>
      <c r="WYH13"/>
      <c r="WYI13"/>
      <c r="WYJ13"/>
      <c r="WYK13"/>
      <c r="WYL13"/>
      <c r="WYM13"/>
      <c r="WYN13"/>
      <c r="WYO13"/>
      <c r="WYP13"/>
      <c r="WYQ13"/>
      <c r="WYR13"/>
      <c r="WYS13"/>
      <c r="WYT13"/>
      <c r="WYU13"/>
      <c r="WYV13"/>
      <c r="WYW13"/>
      <c r="WYX13"/>
      <c r="WYY13"/>
      <c r="WYZ13"/>
      <c r="WZA13"/>
      <c r="WZB13"/>
      <c r="WZC13"/>
      <c r="WZD13"/>
      <c r="WZE13"/>
      <c r="WZF13"/>
      <c r="WZG13"/>
      <c r="WZH13"/>
      <c r="WZI13"/>
      <c r="WZJ13"/>
      <c r="WZK13"/>
      <c r="WZL13"/>
      <c r="WZM13"/>
      <c r="WZN13"/>
      <c r="WZO13"/>
      <c r="WZP13"/>
      <c r="WZQ13"/>
      <c r="WZR13"/>
      <c r="WZS13"/>
      <c r="WZT13"/>
      <c r="WZU13"/>
      <c r="WZV13"/>
      <c r="WZW13"/>
      <c r="WZX13"/>
      <c r="WZY13"/>
      <c r="WZZ13"/>
      <c r="XAA13"/>
      <c r="XAB13"/>
      <c r="XAC13"/>
      <c r="XAD13"/>
      <c r="XAE13"/>
      <c r="XAF13"/>
      <c r="XAG13"/>
      <c r="XAH13"/>
      <c r="XAI13"/>
      <c r="XAJ13"/>
      <c r="XAK13"/>
      <c r="XAL13"/>
      <c r="XAM13"/>
      <c r="XAN13"/>
      <c r="XAO13"/>
      <c r="XAP13"/>
      <c r="XAQ13"/>
      <c r="XAR13"/>
      <c r="XAS13"/>
      <c r="XAT13"/>
      <c r="XAU13"/>
      <c r="XAV13"/>
      <c r="XAW13"/>
      <c r="XAX13"/>
      <c r="XAY13"/>
      <c r="XAZ13"/>
      <c r="XBA13"/>
      <c r="XBB13"/>
      <c r="XBC13"/>
      <c r="XBD13"/>
      <c r="XBE13"/>
      <c r="XBF13"/>
      <c r="XBG13"/>
      <c r="XBH13"/>
      <c r="XBI13"/>
      <c r="XBJ13"/>
      <c r="XBK13"/>
      <c r="XBL13"/>
      <c r="XBM13"/>
      <c r="XBN13"/>
      <c r="XBO13"/>
      <c r="XBP13"/>
      <c r="XBQ13"/>
      <c r="XBR13"/>
      <c r="XBS13"/>
      <c r="XBT13"/>
      <c r="XBU13"/>
      <c r="XBV13"/>
      <c r="XBW13"/>
      <c r="XBX13"/>
      <c r="XBY13"/>
      <c r="XBZ13"/>
      <c r="XCA13"/>
      <c r="XCB13"/>
      <c r="XCC13"/>
      <c r="XCD13"/>
      <c r="XCE13"/>
      <c r="XCF13"/>
      <c r="XCG13"/>
      <c r="XCH13"/>
      <c r="XCI13"/>
      <c r="XCJ13"/>
      <c r="XCK13"/>
      <c r="XCL13"/>
      <c r="XCM13"/>
      <c r="XCN13"/>
      <c r="XCO13"/>
      <c r="XCP13"/>
      <c r="XCQ13"/>
      <c r="XCR13"/>
      <c r="XCS13"/>
      <c r="XCT13"/>
      <c r="XCU13"/>
      <c r="XCV13"/>
      <c r="XCW13"/>
      <c r="XCX13"/>
      <c r="XCY13"/>
      <c r="XCZ13"/>
      <c r="XDA13"/>
      <c r="XDB13"/>
      <c r="XDC13"/>
      <c r="XDD13"/>
      <c r="XDE13"/>
      <c r="XDF13"/>
      <c r="XDG13"/>
      <c r="XDH13"/>
      <c r="XDI13"/>
      <c r="XDJ13"/>
      <c r="XDK13"/>
      <c r="XDL13"/>
      <c r="XDM13"/>
      <c r="XDN13"/>
      <c r="XDO13"/>
      <c r="XDP13"/>
      <c r="XDQ13"/>
      <c r="XDR13"/>
      <c r="XDS13"/>
      <c r="XDT13"/>
      <c r="XDU13"/>
      <c r="XDV13"/>
      <c r="XDW13"/>
      <c r="XDX13"/>
      <c r="XDY13"/>
      <c r="XDZ13"/>
      <c r="XEA13"/>
      <c r="XEB13"/>
      <c r="XEC13"/>
      <c r="XED13"/>
      <c r="XEE13"/>
      <c r="XEF13"/>
      <c r="XEG13"/>
      <c r="XEH13"/>
      <c r="XEI13"/>
      <c r="XEJ13"/>
      <c r="XEK13"/>
      <c r="XEL13"/>
      <c r="XEM13"/>
      <c r="XEN13"/>
      <c r="XEO13"/>
      <c r="XEP13"/>
      <c r="XEQ13"/>
      <c r="XER13"/>
      <c r="XES13"/>
      <c r="XET13"/>
      <c r="XEU13"/>
      <c r="XEV13"/>
      <c r="XEW13"/>
      <c r="XEX13"/>
      <c r="XEY13"/>
      <c r="XEZ13"/>
      <c r="XFA13"/>
      <c r="XFB13"/>
      <c r="XFC13"/>
      <c r="XFD13"/>
    </row>
    <row r="14" spans="1:16384" x14ac:dyDescent="0.25">
      <c r="K14" s="111"/>
    </row>
    <row r="15" spans="1:16384" s="29" customFormat="1" x14ac:dyDescent="0.25">
      <c r="B15" s="1"/>
      <c r="C15" s="1"/>
      <c r="D15" s="1" t="s">
        <v>129</v>
      </c>
      <c r="E15" s="1"/>
      <c r="F15" s="1"/>
      <c r="G15" s="7"/>
      <c r="H15" s="7"/>
      <c r="I15" s="7"/>
      <c r="J15" s="7"/>
      <c r="K15" s="138"/>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C15" s="1"/>
      <c r="ND15" s="1"/>
      <c r="NE15" s="1"/>
      <c r="NF15" s="1"/>
      <c r="NG15" s="1"/>
      <c r="NH15" s="1"/>
      <c r="NI15" s="1"/>
      <c r="NJ15" s="1"/>
      <c r="NK15" s="1"/>
      <c r="NL15" s="1"/>
      <c r="NM15" s="1"/>
      <c r="NN15" s="1"/>
      <c r="NO15" s="1"/>
      <c r="NP15" s="1"/>
      <c r="NQ15" s="1"/>
      <c r="NR15" s="1"/>
      <c r="NS15" s="1"/>
      <c r="NT15" s="1"/>
      <c r="NU15" s="1"/>
      <c r="NV15" s="1"/>
      <c r="NW15" s="1"/>
      <c r="NX15" s="1"/>
      <c r="NY15" s="1"/>
      <c r="NZ15" s="1"/>
      <c r="OA15" s="1"/>
      <c r="OB15" s="1"/>
      <c r="OC15" s="1"/>
      <c r="OD15" s="1"/>
      <c r="OE15" s="1"/>
      <c r="OF15" s="1"/>
      <c r="OG15" s="1"/>
      <c r="OH15" s="1"/>
      <c r="OI15" s="1"/>
      <c r="OJ15" s="1"/>
      <c r="OK15" s="1"/>
      <c r="OL15" s="1"/>
      <c r="OM15" s="1"/>
      <c r="ON15" s="1"/>
      <c r="OO15" s="1"/>
      <c r="OP15" s="1"/>
      <c r="OQ15" s="1"/>
      <c r="OR15" s="1"/>
      <c r="OS15" s="1"/>
      <c r="OT15" s="1"/>
      <c r="OU15" s="1"/>
      <c r="OV15" s="1"/>
      <c r="OW15" s="1"/>
      <c r="OX15" s="1"/>
      <c r="OY15" s="1"/>
      <c r="OZ15" s="1"/>
      <c r="PA15" s="1"/>
      <c r="PB15" s="1"/>
      <c r="PC15" s="1"/>
      <c r="PD15" s="1"/>
      <c r="PE15" s="1"/>
      <c r="PF15" s="1"/>
      <c r="PG15" s="1"/>
      <c r="PH15" s="1"/>
      <c r="PI15" s="1"/>
      <c r="PJ15" s="1"/>
      <c r="PK15" s="1"/>
      <c r="PL15" s="1"/>
      <c r="PM15" s="1"/>
      <c r="PN15" s="1"/>
      <c r="PO15" s="1"/>
      <c r="PP15" s="1"/>
      <c r="PQ15" s="1"/>
      <c r="PR15" s="1"/>
      <c r="PS15" s="1"/>
      <c r="PT15" s="1"/>
      <c r="PU15" s="1"/>
      <c r="PV15" s="1"/>
      <c r="PW15" s="1"/>
      <c r="PX15" s="1"/>
      <c r="PY15" s="1"/>
      <c r="PZ15" s="1"/>
      <c r="QA15" s="1"/>
      <c r="QB15" s="1"/>
      <c r="QC15" s="1"/>
      <c r="QD15" s="1"/>
      <c r="QE15" s="1"/>
      <c r="QF15" s="1"/>
      <c r="QG15" s="1"/>
      <c r="QH15" s="1"/>
      <c r="QI15" s="1"/>
      <c r="QJ15" s="1"/>
      <c r="QK15" s="1"/>
      <c r="QL15" s="1"/>
      <c r="QM15" s="1"/>
      <c r="QN15" s="1"/>
      <c r="QO15" s="1"/>
      <c r="QP15" s="1"/>
      <c r="QQ15" s="1"/>
      <c r="QR15" s="1"/>
      <c r="QS15" s="1"/>
      <c r="QT15" s="1"/>
      <c r="QU15" s="1"/>
      <c r="QV15" s="1"/>
      <c r="QW15" s="1"/>
      <c r="QX15" s="1"/>
      <c r="QY15" s="1"/>
      <c r="QZ15" s="1"/>
      <c r="RA15" s="1"/>
      <c r="RB15" s="1"/>
      <c r="RC15" s="1"/>
      <c r="RD15" s="1"/>
      <c r="RE15" s="1"/>
      <c r="RF15" s="1"/>
      <c r="RG15" s="1"/>
      <c r="RH15" s="1"/>
      <c r="RI15" s="1"/>
      <c r="RJ15" s="1"/>
      <c r="RK15" s="1"/>
      <c r="RL15" s="1"/>
      <c r="RM15" s="1"/>
      <c r="RN15" s="1"/>
      <c r="RO15" s="1"/>
      <c r="RP15" s="1"/>
      <c r="RQ15" s="1"/>
      <c r="RR15" s="1"/>
      <c r="RS15" s="1"/>
      <c r="RT15" s="1"/>
      <c r="RU15" s="1"/>
      <c r="RV15" s="1"/>
      <c r="RW15" s="1"/>
      <c r="RX15" s="1"/>
      <c r="RY15" s="1"/>
      <c r="RZ15" s="1"/>
      <c r="SA15" s="1"/>
      <c r="SB15" s="1"/>
      <c r="SC15" s="1"/>
      <c r="SD15" s="1"/>
      <c r="SE15" s="1"/>
      <c r="SF15" s="1"/>
      <c r="SG15" s="1"/>
      <c r="SH15" s="1"/>
      <c r="SI15" s="1"/>
      <c r="SJ15" s="1"/>
      <c r="SK15" s="1"/>
      <c r="SL15" s="1"/>
      <c r="SM15" s="1"/>
      <c r="SN15" s="1"/>
      <c r="SO15" s="1"/>
      <c r="SP15" s="1"/>
      <c r="SQ15" s="1"/>
      <c r="SR15" s="1"/>
      <c r="SS15" s="1"/>
      <c r="ST15" s="1"/>
      <c r="SU15" s="1"/>
      <c r="SV15" s="1"/>
      <c r="SW15" s="1"/>
      <c r="SX15" s="1"/>
      <c r="SY15" s="1"/>
      <c r="SZ15" s="1"/>
      <c r="TA15" s="1"/>
      <c r="TB15" s="1"/>
      <c r="TC15" s="1"/>
      <c r="TD15" s="1"/>
      <c r="TE15" s="1"/>
      <c r="TF15" s="1"/>
      <c r="TG15" s="1"/>
      <c r="TH15" s="1"/>
      <c r="TI15" s="1"/>
      <c r="TJ15" s="1"/>
      <c r="TK15" s="1"/>
      <c r="TL15" s="1"/>
      <c r="TM15" s="1"/>
      <c r="TN15" s="1"/>
      <c r="TO15" s="1"/>
      <c r="TP15" s="1"/>
      <c r="TQ15" s="1"/>
      <c r="TR15" s="1"/>
      <c r="TS15" s="1"/>
      <c r="TT15" s="1"/>
      <c r="TU15" s="1"/>
      <c r="TV15" s="1"/>
      <c r="TW15" s="1"/>
      <c r="TX15" s="1"/>
      <c r="TY15" s="1"/>
      <c r="TZ15" s="1"/>
      <c r="UA15" s="1"/>
      <c r="UB15" s="1"/>
      <c r="UC15" s="1"/>
      <c r="UD15" s="1"/>
      <c r="UE15" s="1"/>
      <c r="UF15" s="1"/>
      <c r="UG15" s="1"/>
      <c r="UH15" s="1"/>
      <c r="UI15" s="1"/>
      <c r="UJ15" s="1"/>
      <c r="UK15" s="1"/>
      <c r="UL15" s="1"/>
      <c r="UM15" s="1"/>
      <c r="UN15" s="1"/>
      <c r="UO15" s="1"/>
      <c r="UP15" s="1"/>
      <c r="UQ15" s="1"/>
      <c r="UR15" s="1"/>
      <c r="US15" s="1"/>
      <c r="UT15" s="1"/>
      <c r="UU15" s="1"/>
      <c r="UV15" s="1"/>
      <c r="UW15" s="1"/>
      <c r="UX15" s="1"/>
      <c r="UY15" s="1"/>
      <c r="UZ15" s="1"/>
      <c r="VA15" s="1"/>
      <c r="VB15" s="1"/>
      <c r="VC15" s="1"/>
      <c r="VD15" s="1"/>
      <c r="VE15" s="1"/>
      <c r="VF15" s="1"/>
      <c r="VG15" s="1"/>
      <c r="VH15" s="1"/>
      <c r="VI15" s="1"/>
      <c r="VJ15" s="1"/>
      <c r="VK15" s="1"/>
      <c r="VL15" s="1"/>
      <c r="VM15" s="1"/>
      <c r="VN15" s="1"/>
      <c r="VO15" s="1"/>
      <c r="VP15" s="1"/>
      <c r="VQ15" s="1"/>
      <c r="VR15" s="1"/>
      <c r="VS15" s="1"/>
      <c r="VT15" s="1"/>
      <c r="VU15" s="1"/>
      <c r="VV15" s="1"/>
      <c r="VW15" s="1"/>
      <c r="VX15" s="1"/>
      <c r="VY15" s="1"/>
      <c r="VZ15" s="1"/>
      <c r="WA15" s="1"/>
      <c r="WB15" s="1"/>
      <c r="WC15" s="1"/>
      <c r="WD15" s="1"/>
      <c r="WE15" s="1"/>
      <c r="WF15" s="1"/>
      <c r="WG15" s="1"/>
      <c r="WH15" s="1"/>
      <c r="WI15" s="1"/>
      <c r="WJ15" s="1"/>
      <c r="WK15" s="1"/>
      <c r="WL15" s="1"/>
      <c r="WM15" s="1"/>
      <c r="WN15" s="1"/>
      <c r="WO15" s="1"/>
      <c r="WP15" s="1"/>
      <c r="WQ15" s="1"/>
      <c r="WR15" s="1"/>
      <c r="WS15" s="1"/>
      <c r="WT15" s="1"/>
      <c r="WU15" s="1"/>
      <c r="WV15" s="1"/>
      <c r="WW15" s="1"/>
      <c r="WX15" s="1"/>
      <c r="WY15" s="1"/>
      <c r="WZ15" s="1"/>
      <c r="XA15" s="1"/>
      <c r="XB15" s="1"/>
      <c r="XC15" s="1"/>
      <c r="XD15" s="1"/>
      <c r="XE15" s="1"/>
      <c r="XF15" s="1"/>
      <c r="XG15" s="1"/>
      <c r="XH15" s="1"/>
      <c r="XI15" s="1"/>
      <c r="XJ15" s="1"/>
      <c r="XK15" s="1"/>
      <c r="XL15" s="1"/>
      <c r="XM15" s="1"/>
      <c r="XN15" s="1"/>
      <c r="XO15" s="1"/>
      <c r="XP15" s="1"/>
      <c r="XQ15" s="1"/>
      <c r="XR15" s="1"/>
      <c r="XS15" s="1"/>
      <c r="XT15" s="1"/>
      <c r="XU15" s="1"/>
      <c r="XV15" s="1"/>
      <c r="XW15" s="1"/>
      <c r="XX15" s="1"/>
      <c r="XY15" s="1"/>
      <c r="XZ15" s="1"/>
      <c r="YA15" s="1"/>
      <c r="YB15" s="1"/>
      <c r="YC15" s="1"/>
      <c r="YD15" s="1"/>
      <c r="YE15" s="1"/>
      <c r="YF15" s="1"/>
      <c r="YG15" s="1"/>
      <c r="YH15" s="1"/>
      <c r="YI15" s="1"/>
      <c r="YJ15" s="1"/>
      <c r="YK15" s="1"/>
      <c r="YL15" s="1"/>
      <c r="YM15" s="1"/>
      <c r="YN15" s="1"/>
      <c r="YO15" s="1"/>
      <c r="YP15" s="1"/>
      <c r="YQ15" s="1"/>
      <c r="YR15" s="1"/>
      <c r="YS15" s="1"/>
      <c r="YT15" s="1"/>
      <c r="YU15" s="1"/>
      <c r="YV15" s="1"/>
      <c r="YW15" s="1"/>
      <c r="YX15" s="1"/>
      <c r="YY15" s="1"/>
      <c r="YZ15" s="1"/>
      <c r="ZA15" s="1"/>
      <c r="ZB15" s="1"/>
      <c r="ZC15" s="1"/>
      <c r="ZD15" s="1"/>
      <c r="ZE15" s="1"/>
      <c r="ZF15" s="1"/>
      <c r="ZG15" s="1"/>
      <c r="ZH15" s="1"/>
      <c r="ZI15" s="1"/>
      <c r="ZJ15" s="1"/>
      <c r="ZK15" s="1"/>
      <c r="ZL15" s="1"/>
      <c r="ZM15" s="1"/>
      <c r="ZN15" s="1"/>
      <c r="ZO15" s="1"/>
      <c r="ZP15" s="1"/>
      <c r="ZQ15" s="1"/>
      <c r="ZR15" s="1"/>
      <c r="ZS15" s="1"/>
      <c r="ZT15" s="1"/>
      <c r="ZU15" s="1"/>
      <c r="ZV15" s="1"/>
      <c r="ZW15" s="1"/>
      <c r="ZX15" s="1"/>
      <c r="ZY15" s="1"/>
      <c r="ZZ15" s="1"/>
      <c r="AAA15" s="1"/>
      <c r="AAB15" s="1"/>
      <c r="AAC15" s="1"/>
      <c r="AAD15" s="1"/>
      <c r="AAE15" s="1"/>
      <c r="AAF15" s="1"/>
      <c r="AAG15" s="1"/>
      <c r="AAH15" s="1"/>
      <c r="AAI15" s="1"/>
      <c r="AAJ15" s="1"/>
      <c r="AAK15" s="1"/>
      <c r="AAL15" s="1"/>
      <c r="AAM15" s="1"/>
      <c r="AAN15" s="1"/>
      <c r="AAO15" s="1"/>
      <c r="AAP15" s="1"/>
      <c r="AAQ15" s="1"/>
      <c r="AAR15" s="1"/>
      <c r="AAS15" s="1"/>
      <c r="AAT15" s="1"/>
      <c r="AAU15" s="1"/>
      <c r="AAV15" s="1"/>
      <c r="AAW15" s="1"/>
      <c r="AAX15" s="1"/>
      <c r="AAY15" s="1"/>
      <c r="AAZ15" s="1"/>
      <c r="ABA15" s="1"/>
      <c r="ABB15" s="1"/>
      <c r="ABC15" s="1"/>
      <c r="ABD15" s="1"/>
      <c r="ABE15" s="1"/>
      <c r="ABF15" s="1"/>
      <c r="ABG15" s="1"/>
      <c r="ABH15" s="1"/>
      <c r="ABI15" s="1"/>
      <c r="ABJ15" s="1"/>
      <c r="ABK15" s="1"/>
      <c r="ABL15" s="1"/>
      <c r="ABM15" s="1"/>
      <c r="ABN15" s="1"/>
      <c r="ABO15" s="1"/>
      <c r="ABP15" s="1"/>
      <c r="ABQ15" s="1"/>
      <c r="ABR15" s="1"/>
      <c r="ABS15" s="1"/>
      <c r="ABT15" s="1"/>
      <c r="ABU15" s="1"/>
      <c r="ABV15" s="1"/>
      <c r="ABW15" s="1"/>
      <c r="ABX15" s="1"/>
      <c r="ABY15" s="1"/>
      <c r="ABZ15" s="1"/>
      <c r="ACA15" s="1"/>
      <c r="ACB15" s="1"/>
      <c r="ACC15" s="1"/>
      <c r="ACD15" s="1"/>
      <c r="ACE15" s="1"/>
      <c r="ACF15" s="1"/>
      <c r="ACG15" s="1"/>
      <c r="ACH15" s="1"/>
      <c r="ACI15" s="1"/>
      <c r="ACJ15" s="1"/>
      <c r="ACK15" s="1"/>
      <c r="ACL15" s="1"/>
      <c r="ACM15" s="1"/>
      <c r="ACN15" s="1"/>
      <c r="ACO15" s="1"/>
      <c r="ACP15" s="1"/>
      <c r="ACQ15" s="1"/>
      <c r="ACR15" s="1"/>
      <c r="ACS15" s="1"/>
      <c r="ACT15" s="1"/>
      <c r="ACU15" s="1"/>
      <c r="ACV15" s="1"/>
      <c r="ACW15" s="1"/>
      <c r="ACX15" s="1"/>
      <c r="ACY15" s="1"/>
      <c r="ACZ15" s="1"/>
      <c r="ADA15" s="1"/>
      <c r="ADB15" s="1"/>
      <c r="ADC15" s="1"/>
      <c r="ADD15" s="1"/>
      <c r="ADE15" s="1"/>
      <c r="ADF15" s="1"/>
      <c r="ADG15" s="1"/>
      <c r="ADH15" s="1"/>
      <c r="ADI15" s="1"/>
      <c r="ADJ15" s="1"/>
      <c r="ADK15" s="1"/>
      <c r="ADL15" s="1"/>
      <c r="ADM15" s="1"/>
      <c r="ADN15" s="1"/>
      <c r="ADO15" s="1"/>
      <c r="ADP15" s="1"/>
      <c r="ADQ15" s="1"/>
      <c r="ADR15" s="1"/>
      <c r="ADS15" s="1"/>
      <c r="ADT15" s="1"/>
      <c r="ADU15" s="1"/>
      <c r="ADV15" s="1"/>
      <c r="ADW15" s="1"/>
      <c r="ADX15" s="1"/>
      <c r="ADY15" s="1"/>
      <c r="ADZ15" s="1"/>
      <c r="AEA15" s="1"/>
      <c r="AEB15" s="1"/>
      <c r="AEC15" s="1"/>
      <c r="AED15" s="1"/>
      <c r="AEE15" s="1"/>
      <c r="AEF15" s="1"/>
      <c r="AEG15" s="1"/>
      <c r="AEH15" s="1"/>
      <c r="AEI15" s="1"/>
      <c r="AEJ15" s="1"/>
      <c r="AEK15" s="1"/>
      <c r="AEL15" s="1"/>
      <c r="AEM15" s="1"/>
      <c r="AEN15" s="1"/>
      <c r="AEO15" s="1"/>
      <c r="AEP15" s="1"/>
      <c r="AEQ15" s="1"/>
      <c r="AER15" s="1"/>
      <c r="AES15" s="1"/>
      <c r="AET15" s="1"/>
      <c r="AEU15" s="1"/>
      <c r="AEV15" s="1"/>
      <c r="AEW15" s="1"/>
      <c r="AEX15" s="1"/>
      <c r="AEY15" s="1"/>
      <c r="AEZ15" s="1"/>
      <c r="AFA15" s="1"/>
      <c r="AFB15" s="1"/>
      <c r="AFC15" s="1"/>
      <c r="AFD15" s="1"/>
      <c r="AFE15" s="1"/>
      <c r="AFF15" s="1"/>
      <c r="AFG15" s="1"/>
      <c r="AFH15" s="1"/>
      <c r="AFI15" s="1"/>
      <c r="AFJ15" s="1"/>
      <c r="AFK15" s="1"/>
      <c r="AFL15" s="1"/>
      <c r="AFM15" s="1"/>
      <c r="AFN15" s="1"/>
      <c r="AFO15" s="1"/>
      <c r="AFP15" s="1"/>
      <c r="AFQ15" s="1"/>
      <c r="AFR15" s="1"/>
      <c r="AFS15" s="1"/>
      <c r="AFT15" s="1"/>
      <c r="AFU15" s="1"/>
      <c r="AFV15" s="1"/>
      <c r="AFW15" s="1"/>
      <c r="AFX15" s="1"/>
      <c r="AFY15" s="1"/>
      <c r="AFZ15" s="1"/>
      <c r="AGA15" s="1"/>
      <c r="AGB15" s="1"/>
      <c r="AGC15" s="1"/>
      <c r="AGD15" s="1"/>
      <c r="AGE15" s="1"/>
      <c r="AGF15" s="1"/>
      <c r="AGG15" s="1"/>
      <c r="AGH15" s="1"/>
      <c r="AGI15" s="1"/>
      <c r="AGJ15" s="1"/>
      <c r="AGK15" s="1"/>
      <c r="AGL15" s="1"/>
      <c r="AGM15" s="1"/>
      <c r="AGN15" s="1"/>
      <c r="AGO15" s="1"/>
      <c r="AGP15" s="1"/>
      <c r="AGQ15" s="1"/>
      <c r="AGR15" s="1"/>
      <c r="AGS15" s="1"/>
      <c r="AGT15" s="1"/>
      <c r="AGU15" s="1"/>
      <c r="AGV15" s="1"/>
      <c r="AGW15" s="1"/>
      <c r="AGX15" s="1"/>
      <c r="AGY15" s="1"/>
      <c r="AGZ15" s="1"/>
      <c r="AHA15" s="1"/>
      <c r="AHB15" s="1"/>
      <c r="AHC15" s="1"/>
      <c r="AHD15" s="1"/>
      <c r="AHE15" s="1"/>
      <c r="AHF15" s="1"/>
      <c r="AHG15" s="1"/>
      <c r="AHH15" s="1"/>
      <c r="AHI15" s="1"/>
      <c r="AHJ15" s="1"/>
      <c r="AHK15" s="1"/>
      <c r="AHL15" s="1"/>
      <c r="AHM15" s="1"/>
      <c r="AHN15" s="1"/>
      <c r="AHO15" s="1"/>
      <c r="AHP15" s="1"/>
      <c r="AHQ15" s="1"/>
      <c r="AHR15" s="1"/>
      <c r="AHS15" s="1"/>
      <c r="AHT15" s="1"/>
      <c r="AHU15" s="1"/>
      <c r="AHV15" s="1"/>
      <c r="AHW15" s="1"/>
      <c r="AHX15" s="1"/>
      <c r="AHY15" s="1"/>
      <c r="AHZ15" s="1"/>
      <c r="AIA15" s="1"/>
      <c r="AIB15" s="1"/>
      <c r="AIC15" s="1"/>
      <c r="AID15" s="1"/>
      <c r="AIE15" s="1"/>
      <c r="AIF15" s="1"/>
      <c r="AIG15" s="1"/>
      <c r="AIH15" s="1"/>
      <c r="AII15" s="1"/>
      <c r="AIJ15" s="1"/>
      <c r="AIK15" s="1"/>
      <c r="AIL15" s="1"/>
      <c r="AIM15" s="1"/>
      <c r="AIN15" s="1"/>
      <c r="AIO15" s="1"/>
      <c r="AIP15" s="1"/>
      <c r="AIQ15" s="1"/>
      <c r="AIR15" s="1"/>
      <c r="AIS15" s="1"/>
      <c r="AIT15" s="1"/>
      <c r="AIU15" s="1"/>
      <c r="AIV15" s="1"/>
      <c r="AIW15" s="1"/>
      <c r="AIX15" s="1"/>
      <c r="AIY15" s="1"/>
      <c r="AIZ15" s="1"/>
      <c r="AJA15" s="1"/>
      <c r="AJB15" s="1"/>
      <c r="AJC15" s="1"/>
      <c r="AJD15" s="1"/>
      <c r="AJE15" s="1"/>
      <c r="AJF15" s="1"/>
      <c r="AJG15" s="1"/>
      <c r="AJH15" s="1"/>
      <c r="AJI15" s="1"/>
      <c r="AJJ15" s="1"/>
      <c r="AJK15" s="1"/>
      <c r="AJL15" s="1"/>
      <c r="AJM15" s="1"/>
      <c r="AJN15" s="1"/>
      <c r="AJO15" s="1"/>
      <c r="AJP15" s="1"/>
      <c r="AJQ15" s="1"/>
      <c r="AJR15" s="1"/>
      <c r="AJS15" s="1"/>
      <c r="AJT15" s="1"/>
      <c r="AJU15" s="1"/>
      <c r="AJV15" s="1"/>
      <c r="AJW15" s="1"/>
      <c r="AJX15" s="1"/>
      <c r="AJY15" s="1"/>
      <c r="AJZ15" s="1"/>
      <c r="AKA15" s="1"/>
      <c r="AKB15" s="1"/>
      <c r="AKC15" s="1"/>
      <c r="AKD15" s="1"/>
      <c r="AKE15" s="1"/>
      <c r="AKF15" s="1"/>
      <c r="AKG15" s="1"/>
      <c r="AKH15" s="1"/>
      <c r="AKI15" s="1"/>
      <c r="AKJ15" s="1"/>
      <c r="AKK15" s="1"/>
      <c r="AKL15" s="1"/>
      <c r="AKM15" s="1"/>
      <c r="AKN15" s="1"/>
      <c r="AKO15" s="1"/>
      <c r="AKP15" s="1"/>
      <c r="AKQ15" s="1"/>
      <c r="AKR15" s="1"/>
      <c r="AKS15" s="1"/>
      <c r="AKT15" s="1"/>
      <c r="AKU15" s="1"/>
      <c r="AKV15" s="1"/>
      <c r="AKW15" s="1"/>
      <c r="AKX15" s="1"/>
      <c r="AKY15" s="1"/>
      <c r="AKZ15" s="1"/>
      <c r="ALA15" s="1"/>
      <c r="ALB15" s="1"/>
      <c r="ALC15" s="1"/>
      <c r="ALD15" s="1"/>
      <c r="ALE15" s="1"/>
      <c r="ALF15" s="1"/>
      <c r="ALG15" s="1"/>
      <c r="ALH15" s="1"/>
      <c r="ALI15" s="1"/>
      <c r="ALJ15" s="1"/>
      <c r="ALK15" s="1"/>
      <c r="ALL15" s="1"/>
      <c r="ALM15" s="1"/>
      <c r="ALN15" s="1"/>
      <c r="ALO15" s="1"/>
      <c r="ALP15" s="1"/>
      <c r="ALQ15" s="1"/>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c r="BOB15" s="1"/>
      <c r="BOC15" s="1"/>
      <c r="BOD15" s="1"/>
      <c r="BOE15" s="1"/>
      <c r="BOF15" s="1"/>
      <c r="BOG15" s="1"/>
      <c r="BOH15" s="1"/>
      <c r="BOI15" s="1"/>
      <c r="BOJ15" s="1"/>
      <c r="BOK15" s="1"/>
      <c r="BOL15" s="1"/>
      <c r="BOM15" s="1"/>
      <c r="BON15" s="1"/>
      <c r="BOO15" s="1"/>
      <c r="BOP15" s="1"/>
      <c r="BOQ15" s="1"/>
      <c r="BOR15" s="1"/>
      <c r="BOS15" s="1"/>
      <c r="BOT15" s="1"/>
      <c r="BOU15" s="1"/>
      <c r="BOV15" s="1"/>
      <c r="BOW15" s="1"/>
      <c r="BOX15" s="1"/>
      <c r="BOY15" s="1"/>
      <c r="BOZ15" s="1"/>
      <c r="BPA15" s="1"/>
      <c r="BPB15" s="1"/>
      <c r="BPC15" s="1"/>
      <c r="BPD15" s="1"/>
      <c r="BPE15" s="1"/>
      <c r="BPF15" s="1"/>
      <c r="BPG15" s="1"/>
      <c r="BPH15" s="1"/>
      <c r="BPI15" s="1"/>
      <c r="BPJ15" s="1"/>
      <c r="BPK15" s="1"/>
      <c r="BPL15" s="1"/>
      <c r="BPM15" s="1"/>
      <c r="BPN15" s="1"/>
      <c r="BPO15" s="1"/>
      <c r="BPP15" s="1"/>
      <c r="BPQ15" s="1"/>
      <c r="BPR15" s="1"/>
      <c r="BPS15" s="1"/>
      <c r="BPT15" s="1"/>
      <c r="BPU15" s="1"/>
      <c r="BPV15" s="1"/>
      <c r="BPW15" s="1"/>
      <c r="BPX15" s="1"/>
      <c r="BPY15" s="1"/>
      <c r="BPZ15" s="1"/>
      <c r="BQA15" s="1"/>
      <c r="BQB15" s="1"/>
      <c r="BQC15" s="1"/>
      <c r="BQD15" s="1"/>
      <c r="BQE15" s="1"/>
      <c r="BQF15" s="1"/>
      <c r="BQG15" s="1"/>
      <c r="BQH15" s="1"/>
      <c r="BQI15" s="1"/>
      <c r="BQJ15" s="1"/>
      <c r="BQK15" s="1"/>
      <c r="BQL15" s="1"/>
      <c r="BQM15" s="1"/>
      <c r="BQN15" s="1"/>
      <c r="BQO15" s="1"/>
      <c r="BQP15" s="1"/>
      <c r="BQQ15" s="1"/>
      <c r="BQR15" s="1"/>
      <c r="BQS15" s="1"/>
      <c r="BQT15" s="1"/>
      <c r="BQU15" s="1"/>
      <c r="BQV15" s="1"/>
      <c r="BQW15" s="1"/>
      <c r="BQX15" s="1"/>
      <c r="BQY15" s="1"/>
      <c r="BQZ15" s="1"/>
      <c r="BRA15" s="1"/>
      <c r="BRB15" s="1"/>
      <c r="BRC15" s="1"/>
      <c r="BRD15" s="1"/>
      <c r="BRE15" s="1"/>
      <c r="BRF15" s="1"/>
      <c r="BRG15" s="1"/>
      <c r="BRH15" s="1"/>
      <c r="BRI15" s="1"/>
      <c r="BRJ15" s="1"/>
      <c r="BRK15" s="1"/>
      <c r="BRL15" s="1"/>
      <c r="BRM15" s="1"/>
      <c r="BRN15" s="1"/>
      <c r="BRO15" s="1"/>
      <c r="BRP15" s="1"/>
      <c r="BRQ15" s="1"/>
      <c r="BRR15" s="1"/>
      <c r="BRS15" s="1"/>
      <c r="BRT15" s="1"/>
      <c r="BRU15" s="1"/>
      <c r="BRV15" s="1"/>
      <c r="BRW15" s="1"/>
      <c r="BRX15" s="1"/>
      <c r="BRY15" s="1"/>
      <c r="BRZ15" s="1"/>
      <c r="BSA15" s="1"/>
      <c r="BSB15" s="1"/>
      <c r="BSC15" s="1"/>
      <c r="BSD15" s="1"/>
      <c r="BSE15" s="1"/>
      <c r="BSF15" s="1"/>
      <c r="BSG15" s="1"/>
      <c r="BSH15" s="1"/>
      <c r="BSI15" s="1"/>
      <c r="BSJ15" s="1"/>
      <c r="BSK15" s="1"/>
      <c r="BSL15" s="1"/>
      <c r="BSM15" s="1"/>
      <c r="BSN15" s="1"/>
      <c r="BSO15" s="1"/>
      <c r="BSP15" s="1"/>
      <c r="BSQ15" s="1"/>
      <c r="BSR15" s="1"/>
      <c r="BSS15" s="1"/>
      <c r="BST15" s="1"/>
      <c r="BSU15" s="1"/>
      <c r="BSV15" s="1"/>
      <c r="BSW15" s="1"/>
      <c r="BSX15" s="1"/>
      <c r="BSY15" s="1"/>
      <c r="BSZ15" s="1"/>
      <c r="BTA15" s="1"/>
      <c r="BTB15" s="1"/>
      <c r="BTC15" s="1"/>
      <c r="BTD15" s="1"/>
      <c r="BTE15" s="1"/>
      <c r="BTF15" s="1"/>
      <c r="BTG15" s="1"/>
      <c r="BTH15" s="1"/>
      <c r="BTI15" s="1"/>
      <c r="BTJ15" s="1"/>
      <c r="BTK15" s="1"/>
      <c r="BTL15" s="1"/>
      <c r="BTM15" s="1"/>
      <c r="BTN15" s="1"/>
      <c r="BTO15" s="1"/>
      <c r="BTP15" s="1"/>
      <c r="BTQ15" s="1"/>
      <c r="BTR15" s="1"/>
      <c r="BTS15" s="1"/>
      <c r="BTT15" s="1"/>
      <c r="BTU15" s="1"/>
      <c r="BTV15" s="1"/>
      <c r="BTW15" s="1"/>
      <c r="BTX15" s="1"/>
      <c r="BTY15" s="1"/>
      <c r="BTZ15" s="1"/>
      <c r="BUA15" s="1"/>
      <c r="BUB15" s="1"/>
      <c r="BUC15" s="1"/>
      <c r="BUD15" s="1"/>
      <c r="BUE15" s="1"/>
      <c r="BUF15" s="1"/>
      <c r="BUG15" s="1"/>
      <c r="BUH15" s="1"/>
      <c r="BUI15" s="1"/>
      <c r="BUJ15" s="1"/>
      <c r="BUK15" s="1"/>
      <c r="BUL15" s="1"/>
      <c r="BUM15" s="1"/>
      <c r="BUN15" s="1"/>
      <c r="BUO15" s="1"/>
      <c r="BUP15" s="1"/>
      <c r="BUQ15" s="1"/>
      <c r="BUR15" s="1"/>
      <c r="BUS15" s="1"/>
      <c r="BUT15" s="1"/>
      <c r="BUU15" s="1"/>
      <c r="BUV15" s="1"/>
      <c r="BUW15" s="1"/>
      <c r="BUX15" s="1"/>
      <c r="BUY15" s="1"/>
      <c r="BUZ15" s="1"/>
      <c r="BVA15" s="1"/>
      <c r="BVB15" s="1"/>
      <c r="BVC15" s="1"/>
      <c r="BVD15" s="1"/>
      <c r="BVE15" s="1"/>
      <c r="BVF15" s="1"/>
      <c r="BVG15" s="1"/>
      <c r="BVH15" s="1"/>
      <c r="BVI15" s="1"/>
      <c r="BVJ15" s="1"/>
      <c r="BVK15" s="1"/>
      <c r="BVL15" s="1"/>
      <c r="BVM15" s="1"/>
      <c r="BVN15" s="1"/>
      <c r="BVO15" s="1"/>
      <c r="BVP15" s="1"/>
      <c r="BVQ15" s="1"/>
      <c r="BVR15" s="1"/>
      <c r="BVS15" s="1"/>
      <c r="BVT15" s="1"/>
      <c r="BVU15" s="1"/>
      <c r="BVV15" s="1"/>
      <c r="BVW15" s="1"/>
      <c r="BVX15" s="1"/>
      <c r="BVY15" s="1"/>
      <c r="BVZ15" s="1"/>
      <c r="BWA15" s="1"/>
      <c r="BWB15" s="1"/>
      <c r="BWC15" s="1"/>
      <c r="BWD15" s="1"/>
      <c r="BWE15" s="1"/>
      <c r="BWF15" s="1"/>
      <c r="BWG15" s="1"/>
      <c r="BWH15" s="1"/>
      <c r="BWI15" s="1"/>
      <c r="BWJ15" s="1"/>
      <c r="BWK15" s="1"/>
      <c r="BWL15" s="1"/>
      <c r="BWM15" s="1"/>
      <c r="BWN15" s="1"/>
      <c r="BWO15" s="1"/>
      <c r="BWP15" s="1"/>
      <c r="BWQ15" s="1"/>
      <c r="BWR15" s="1"/>
      <c r="BWS15" s="1"/>
      <c r="BWT15" s="1"/>
      <c r="BWU15" s="1"/>
      <c r="BWV15" s="1"/>
      <c r="BWW15" s="1"/>
      <c r="BWX15" s="1"/>
      <c r="BWY15" s="1"/>
      <c r="BWZ15" s="1"/>
      <c r="BXA15" s="1"/>
      <c r="BXB15" s="1"/>
      <c r="BXC15" s="1"/>
      <c r="BXD15" s="1"/>
      <c r="BXE15" s="1"/>
      <c r="BXF15" s="1"/>
      <c r="BXG15" s="1"/>
      <c r="BXH15" s="1"/>
      <c r="BXI15" s="1"/>
      <c r="BXJ15" s="1"/>
      <c r="BXK15" s="1"/>
      <c r="BXL15" s="1"/>
      <c r="BXM15" s="1"/>
      <c r="BXN15" s="1"/>
      <c r="BXO15" s="1"/>
      <c r="BXP15" s="1"/>
      <c r="BXQ15" s="1"/>
      <c r="BXR15" s="1"/>
      <c r="BXS15" s="1"/>
      <c r="BXT15" s="1"/>
      <c r="BXU15" s="1"/>
      <c r="BXV15" s="1"/>
      <c r="BXW15" s="1"/>
      <c r="BXX15" s="1"/>
      <c r="BXY15" s="1"/>
      <c r="BXZ15" s="1"/>
      <c r="BYA15" s="1"/>
      <c r="BYB15" s="1"/>
      <c r="BYC15" s="1"/>
      <c r="BYD15" s="1"/>
      <c r="BYE15" s="1"/>
      <c r="BYF15" s="1"/>
      <c r="BYG15" s="1"/>
      <c r="BYH15" s="1"/>
      <c r="BYI15" s="1"/>
      <c r="BYJ15" s="1"/>
      <c r="BYK15" s="1"/>
      <c r="BYL15" s="1"/>
      <c r="BYM15" s="1"/>
      <c r="BYN15" s="1"/>
      <c r="BYO15" s="1"/>
      <c r="BYP15" s="1"/>
      <c r="BYQ15" s="1"/>
      <c r="BYR15" s="1"/>
      <c r="BYS15" s="1"/>
      <c r="BYT15" s="1"/>
      <c r="BYU15" s="1"/>
      <c r="BYV15" s="1"/>
      <c r="BYW15" s="1"/>
      <c r="BYX15" s="1"/>
      <c r="BYY15" s="1"/>
      <c r="BYZ15" s="1"/>
      <c r="BZA15" s="1"/>
      <c r="BZB15" s="1"/>
      <c r="BZC15" s="1"/>
      <c r="BZD15" s="1"/>
      <c r="BZE15" s="1"/>
      <c r="BZF15" s="1"/>
      <c r="BZG15" s="1"/>
      <c r="BZH15" s="1"/>
      <c r="BZI15" s="1"/>
      <c r="BZJ15" s="1"/>
      <c r="BZK15" s="1"/>
      <c r="BZL15" s="1"/>
      <c r="BZM15" s="1"/>
      <c r="BZN15" s="1"/>
      <c r="BZO15" s="1"/>
      <c r="BZP15" s="1"/>
      <c r="BZQ15" s="1"/>
      <c r="BZR15" s="1"/>
      <c r="BZS15" s="1"/>
      <c r="BZT15" s="1"/>
      <c r="BZU15" s="1"/>
      <c r="BZV15" s="1"/>
      <c r="BZW15" s="1"/>
      <c r="BZX15" s="1"/>
      <c r="BZY15" s="1"/>
      <c r="BZZ15" s="1"/>
      <c r="CAA15" s="1"/>
      <c r="CAB15" s="1"/>
      <c r="CAC15" s="1"/>
      <c r="CAD15" s="1"/>
      <c r="CAE15" s="1"/>
      <c r="CAF15" s="1"/>
      <c r="CAG15" s="1"/>
      <c r="CAH15" s="1"/>
      <c r="CAI15" s="1"/>
      <c r="CAJ15" s="1"/>
      <c r="CAK15" s="1"/>
      <c r="CAL15" s="1"/>
      <c r="CAM15" s="1"/>
      <c r="CAN15" s="1"/>
      <c r="CAO15" s="1"/>
      <c r="CAP15" s="1"/>
      <c r="CAQ15" s="1"/>
      <c r="CAR15" s="1"/>
      <c r="CAS15" s="1"/>
      <c r="CAT15" s="1"/>
      <c r="CAU15" s="1"/>
      <c r="CAV15" s="1"/>
      <c r="CAW15" s="1"/>
      <c r="CAX15" s="1"/>
      <c r="CAY15" s="1"/>
      <c r="CAZ15" s="1"/>
      <c r="CBA15" s="1"/>
      <c r="CBB15" s="1"/>
      <c r="CBC15" s="1"/>
      <c r="CBD15" s="1"/>
      <c r="CBE15" s="1"/>
      <c r="CBF15" s="1"/>
      <c r="CBG15" s="1"/>
      <c r="CBH15" s="1"/>
      <c r="CBI15" s="1"/>
      <c r="CBJ15" s="1"/>
      <c r="CBK15" s="1"/>
      <c r="CBL15" s="1"/>
      <c r="CBM15" s="1"/>
      <c r="CBN15" s="1"/>
      <c r="CBO15" s="1"/>
      <c r="CBP15" s="1"/>
      <c r="CBQ15" s="1"/>
      <c r="CBR15" s="1"/>
      <c r="CBS15" s="1"/>
      <c r="CBT15" s="1"/>
      <c r="CBU15" s="1"/>
      <c r="CBV15" s="1"/>
      <c r="CBW15" s="1"/>
      <c r="CBX15" s="1"/>
      <c r="CBY15" s="1"/>
      <c r="CBZ15" s="1"/>
      <c r="CCA15" s="1"/>
      <c r="CCB15" s="1"/>
      <c r="CCC15" s="1"/>
      <c r="CCD15" s="1"/>
      <c r="CCE15" s="1"/>
      <c r="CCF15" s="1"/>
      <c r="CCG15" s="1"/>
      <c r="CCH15" s="1"/>
      <c r="CCI15" s="1"/>
      <c r="CCJ15" s="1"/>
      <c r="CCK15" s="1"/>
      <c r="CCL15" s="1"/>
      <c r="CCM15" s="1"/>
      <c r="CCN15" s="1"/>
      <c r="CCO15" s="1"/>
      <c r="CCP15" s="1"/>
      <c r="CCQ15" s="1"/>
      <c r="CCR15" s="1"/>
      <c r="CCS15" s="1"/>
      <c r="CCT15" s="1"/>
      <c r="CCU15" s="1"/>
      <c r="CCV15" s="1"/>
      <c r="CCW15" s="1"/>
      <c r="CCX15" s="1"/>
      <c r="CCY15" s="1"/>
      <c r="CCZ15" s="1"/>
      <c r="CDA15" s="1"/>
      <c r="CDB15" s="1"/>
      <c r="CDC15" s="1"/>
      <c r="CDD15" s="1"/>
      <c r="CDE15" s="1"/>
      <c r="CDF15" s="1"/>
      <c r="CDG15" s="1"/>
      <c r="CDH15" s="1"/>
      <c r="CDI15" s="1"/>
      <c r="CDJ15" s="1"/>
      <c r="CDK15" s="1"/>
      <c r="CDL15" s="1"/>
      <c r="CDM15" s="1"/>
      <c r="CDN15" s="1"/>
      <c r="CDO15" s="1"/>
      <c r="CDP15" s="1"/>
      <c r="CDQ15" s="1"/>
      <c r="CDR15" s="1"/>
      <c r="CDS15" s="1"/>
      <c r="CDT15" s="1"/>
      <c r="CDU15" s="1"/>
      <c r="CDV15" s="1"/>
      <c r="CDW15" s="1"/>
      <c r="CDX15" s="1"/>
      <c r="CDY15" s="1"/>
      <c r="CDZ15" s="1"/>
      <c r="CEA15" s="1"/>
      <c r="CEB15" s="1"/>
      <c r="CEC15" s="1"/>
      <c r="CED15" s="1"/>
      <c r="CEE15" s="1"/>
      <c r="CEF15" s="1"/>
      <c r="CEG15" s="1"/>
      <c r="CEH15" s="1"/>
      <c r="CEI15" s="1"/>
      <c r="CEJ15" s="1"/>
      <c r="CEK15" s="1"/>
      <c r="CEL15" s="1"/>
      <c r="CEM15" s="1"/>
      <c r="CEN15" s="1"/>
      <c r="CEO15" s="1"/>
      <c r="CEP15" s="1"/>
      <c r="CEQ15" s="1"/>
      <c r="CER15" s="1"/>
      <c r="CES15" s="1"/>
      <c r="CET15" s="1"/>
      <c r="CEU15" s="1"/>
      <c r="CEV15" s="1"/>
      <c r="CEW15" s="1"/>
      <c r="CEX15" s="1"/>
      <c r="CEY15" s="1"/>
      <c r="CEZ15" s="1"/>
      <c r="CFA15" s="1"/>
      <c r="CFB15" s="1"/>
      <c r="CFC15" s="1"/>
      <c r="CFD15" s="1"/>
      <c r="CFE15" s="1"/>
      <c r="CFF15" s="1"/>
      <c r="CFG15" s="1"/>
      <c r="CFH15" s="1"/>
      <c r="CFI15" s="1"/>
      <c r="CFJ15" s="1"/>
      <c r="CFK15" s="1"/>
      <c r="CFL15" s="1"/>
      <c r="CFM15" s="1"/>
      <c r="CFN15" s="1"/>
      <c r="CFO15" s="1"/>
      <c r="CFP15" s="1"/>
      <c r="CFQ15" s="1"/>
      <c r="CFR15" s="1"/>
      <c r="CFS15" s="1"/>
      <c r="CFT15" s="1"/>
      <c r="CFU15" s="1"/>
      <c r="CFV15" s="1"/>
      <c r="CFW15" s="1"/>
      <c r="CFX15" s="1"/>
      <c r="CFY15" s="1"/>
      <c r="CFZ15" s="1"/>
      <c r="CGA15" s="1"/>
      <c r="CGB15" s="1"/>
      <c r="CGC15" s="1"/>
      <c r="CGD15" s="1"/>
      <c r="CGE15" s="1"/>
      <c r="CGF15" s="1"/>
      <c r="CGG15" s="1"/>
      <c r="CGH15" s="1"/>
      <c r="CGI15" s="1"/>
      <c r="CGJ15" s="1"/>
      <c r="CGK15" s="1"/>
      <c r="CGL15" s="1"/>
      <c r="CGM15" s="1"/>
      <c r="CGN15" s="1"/>
      <c r="CGO15" s="1"/>
      <c r="CGP15" s="1"/>
      <c r="CGQ15" s="1"/>
      <c r="CGR15" s="1"/>
      <c r="CGS15" s="1"/>
      <c r="CGT15" s="1"/>
      <c r="CGU15" s="1"/>
      <c r="CGV15" s="1"/>
      <c r="CGW15" s="1"/>
      <c r="CGX15" s="1"/>
      <c r="CGY15" s="1"/>
      <c r="CGZ15" s="1"/>
      <c r="CHA15" s="1"/>
      <c r="CHB15" s="1"/>
      <c r="CHC15" s="1"/>
      <c r="CHD15" s="1"/>
      <c r="CHE15" s="1"/>
      <c r="CHF15" s="1"/>
      <c r="CHG15" s="1"/>
      <c r="CHH15" s="1"/>
      <c r="CHI15" s="1"/>
      <c r="CHJ15" s="1"/>
      <c r="CHK15" s="1"/>
      <c r="CHL15" s="1"/>
      <c r="CHM15" s="1"/>
      <c r="CHN15" s="1"/>
      <c r="CHO15" s="1"/>
      <c r="CHP15" s="1"/>
      <c r="CHQ15" s="1"/>
      <c r="CHR15" s="1"/>
      <c r="CHS15" s="1"/>
      <c r="CHT15" s="1"/>
      <c r="CHU15" s="1"/>
      <c r="CHV15" s="1"/>
      <c r="CHW15" s="1"/>
      <c r="CHX15" s="1"/>
      <c r="CHY15" s="1"/>
      <c r="CHZ15" s="1"/>
      <c r="CIA15" s="1"/>
      <c r="CIB15" s="1"/>
      <c r="CIC15" s="1"/>
      <c r="CID15" s="1"/>
      <c r="CIE15" s="1"/>
      <c r="CIF15" s="1"/>
      <c r="CIG15" s="1"/>
      <c r="CIH15" s="1"/>
      <c r="CII15" s="1"/>
      <c r="CIJ15" s="1"/>
      <c r="CIK15" s="1"/>
      <c r="CIL15" s="1"/>
      <c r="CIM15" s="1"/>
      <c r="CIN15" s="1"/>
      <c r="CIO15" s="1"/>
      <c r="CIP15" s="1"/>
      <c r="CIQ15" s="1"/>
      <c r="CIR15" s="1"/>
      <c r="CIS15" s="1"/>
      <c r="CIT15" s="1"/>
      <c r="CIU15" s="1"/>
      <c r="CIV15" s="1"/>
      <c r="CIW15" s="1"/>
      <c r="CIX15" s="1"/>
      <c r="CIY15" s="1"/>
      <c r="CIZ15" s="1"/>
      <c r="CJA15" s="1"/>
      <c r="CJB15" s="1"/>
      <c r="CJC15" s="1"/>
      <c r="CJD15" s="1"/>
      <c r="CJE15" s="1"/>
      <c r="CJF15" s="1"/>
      <c r="CJG15" s="1"/>
      <c r="CJH15" s="1"/>
      <c r="CJI15" s="1"/>
      <c r="CJJ15" s="1"/>
      <c r="CJK15" s="1"/>
      <c r="CJL15" s="1"/>
      <c r="CJM15" s="1"/>
      <c r="CJN15" s="1"/>
      <c r="CJO15" s="1"/>
      <c r="CJP15" s="1"/>
      <c r="CJQ15" s="1"/>
      <c r="CJR15" s="1"/>
      <c r="CJS15" s="1"/>
      <c r="CJT15" s="1"/>
      <c r="CJU15" s="1"/>
      <c r="CJV15" s="1"/>
      <c r="CJW15" s="1"/>
      <c r="CJX15" s="1"/>
      <c r="CJY15" s="1"/>
      <c r="CJZ15" s="1"/>
      <c r="CKA15" s="1"/>
      <c r="CKB15" s="1"/>
      <c r="CKC15" s="1"/>
      <c r="CKD15" s="1"/>
      <c r="CKE15" s="1"/>
      <c r="CKF15" s="1"/>
      <c r="CKG15" s="1"/>
      <c r="CKH15" s="1"/>
      <c r="CKI15" s="1"/>
      <c r="CKJ15" s="1"/>
      <c r="CKK15" s="1"/>
      <c r="CKL15" s="1"/>
      <c r="CKM15" s="1"/>
      <c r="CKN15" s="1"/>
      <c r="CKO15" s="1"/>
      <c r="CKP15" s="1"/>
      <c r="CKQ15" s="1"/>
      <c r="CKR15" s="1"/>
      <c r="CKS15" s="1"/>
      <c r="CKT15" s="1"/>
      <c r="CKU15" s="1"/>
      <c r="CKV15" s="1"/>
      <c r="CKW15" s="1"/>
      <c r="CKX15" s="1"/>
      <c r="CKY15" s="1"/>
      <c r="CKZ15" s="1"/>
      <c r="CLA15" s="1"/>
      <c r="CLB15" s="1"/>
      <c r="CLC15" s="1"/>
      <c r="CLD15" s="1"/>
      <c r="CLE15" s="1"/>
      <c r="CLF15" s="1"/>
      <c r="CLG15" s="1"/>
      <c r="CLH15" s="1"/>
      <c r="CLI15" s="1"/>
      <c r="CLJ15" s="1"/>
      <c r="CLK15" s="1"/>
      <c r="CLL15" s="1"/>
      <c r="CLM15" s="1"/>
      <c r="CLN15" s="1"/>
      <c r="CLO15" s="1"/>
      <c r="CLP15" s="1"/>
      <c r="CLQ15" s="1"/>
      <c r="CLR15" s="1"/>
      <c r="CLS15" s="1"/>
      <c r="CLT15" s="1"/>
      <c r="CLU15" s="1"/>
      <c r="CLV15" s="1"/>
      <c r="CLW15" s="1"/>
      <c r="CLX15" s="1"/>
      <c r="CLY15" s="1"/>
      <c r="CLZ15" s="1"/>
      <c r="CMA15" s="1"/>
      <c r="CMB15" s="1"/>
      <c r="CMC15" s="1"/>
      <c r="CMD15" s="1"/>
      <c r="CME15" s="1"/>
      <c r="CMF15" s="1"/>
      <c r="CMG15" s="1"/>
      <c r="CMH15" s="1"/>
      <c r="CMI15" s="1"/>
      <c r="CMJ15" s="1"/>
      <c r="CMK15" s="1"/>
      <c r="CML15" s="1"/>
      <c r="CMM15" s="1"/>
      <c r="CMN15" s="1"/>
      <c r="CMO15" s="1"/>
      <c r="CMP15" s="1"/>
      <c r="CMQ15" s="1"/>
      <c r="CMR15" s="1"/>
      <c r="CMS15" s="1"/>
      <c r="CMT15" s="1"/>
      <c r="CMU15" s="1"/>
      <c r="CMV15" s="1"/>
      <c r="CMW15" s="1"/>
      <c r="CMX15" s="1"/>
      <c r="CMY15" s="1"/>
      <c r="CMZ15" s="1"/>
      <c r="CNA15" s="1"/>
      <c r="CNB15" s="1"/>
      <c r="CNC15" s="1"/>
      <c r="CND15" s="1"/>
      <c r="CNE15" s="1"/>
      <c r="CNF15" s="1"/>
      <c r="CNG15" s="1"/>
      <c r="CNH15" s="1"/>
      <c r="CNI15" s="1"/>
      <c r="CNJ15" s="1"/>
      <c r="CNK15" s="1"/>
      <c r="CNL15" s="1"/>
      <c r="CNM15" s="1"/>
      <c r="CNN15" s="1"/>
      <c r="CNO15" s="1"/>
      <c r="CNP15" s="1"/>
      <c r="CNQ15" s="1"/>
      <c r="CNR15" s="1"/>
      <c r="CNS15" s="1"/>
      <c r="CNT15" s="1"/>
      <c r="CNU15" s="1"/>
      <c r="CNV15" s="1"/>
      <c r="CNW15" s="1"/>
      <c r="CNX15" s="1"/>
      <c r="CNY15" s="1"/>
      <c r="CNZ15" s="1"/>
      <c r="COA15" s="1"/>
      <c r="COB15" s="1"/>
      <c r="COC15" s="1"/>
      <c r="COD15" s="1"/>
      <c r="COE15" s="1"/>
      <c r="COF15" s="1"/>
      <c r="COG15" s="1"/>
      <c r="COH15" s="1"/>
      <c r="COI15" s="1"/>
      <c r="COJ15" s="1"/>
      <c r="COK15" s="1"/>
      <c r="COL15" s="1"/>
      <c r="COM15" s="1"/>
      <c r="CON15" s="1"/>
      <c r="COO15" s="1"/>
      <c r="COP15" s="1"/>
      <c r="COQ15" s="1"/>
      <c r="COR15" s="1"/>
      <c r="COS15" s="1"/>
      <c r="COT15" s="1"/>
      <c r="COU15" s="1"/>
      <c r="COV15" s="1"/>
      <c r="COW15" s="1"/>
      <c r="COX15" s="1"/>
      <c r="COY15" s="1"/>
      <c r="COZ15" s="1"/>
      <c r="CPA15" s="1"/>
      <c r="CPB15" s="1"/>
      <c r="CPC15" s="1"/>
      <c r="CPD15" s="1"/>
      <c r="CPE15" s="1"/>
      <c r="CPF15" s="1"/>
      <c r="CPG15" s="1"/>
      <c r="CPH15" s="1"/>
      <c r="CPI15" s="1"/>
      <c r="CPJ15" s="1"/>
      <c r="CPK15" s="1"/>
      <c r="CPL15" s="1"/>
      <c r="CPM15" s="1"/>
      <c r="CPN15" s="1"/>
      <c r="CPO15" s="1"/>
      <c r="CPP15" s="1"/>
      <c r="CPQ15" s="1"/>
      <c r="CPR15" s="1"/>
      <c r="CPS15" s="1"/>
      <c r="CPT15" s="1"/>
      <c r="CPU15" s="1"/>
      <c r="CPV15" s="1"/>
      <c r="CPW15" s="1"/>
      <c r="CPX15" s="1"/>
      <c r="CPY15" s="1"/>
      <c r="CPZ15" s="1"/>
      <c r="CQA15" s="1"/>
      <c r="CQB15" s="1"/>
      <c r="CQC15" s="1"/>
      <c r="CQD15" s="1"/>
      <c r="CQE15" s="1"/>
      <c r="CQF15" s="1"/>
      <c r="CQG15" s="1"/>
      <c r="CQH15" s="1"/>
      <c r="CQI15" s="1"/>
      <c r="CQJ15" s="1"/>
      <c r="CQK15" s="1"/>
      <c r="CQL15" s="1"/>
      <c r="CQM15" s="1"/>
      <c r="CQN15" s="1"/>
      <c r="CQO15" s="1"/>
      <c r="CQP15" s="1"/>
      <c r="CQQ15" s="1"/>
      <c r="CQR15" s="1"/>
      <c r="CQS15" s="1"/>
      <c r="CQT15" s="1"/>
      <c r="CQU15" s="1"/>
      <c r="CQV15" s="1"/>
      <c r="CQW15" s="1"/>
      <c r="CQX15" s="1"/>
      <c r="CQY15" s="1"/>
      <c r="CQZ15" s="1"/>
      <c r="CRA15" s="1"/>
      <c r="CRB15" s="1"/>
      <c r="CRC15" s="1"/>
      <c r="CRD15" s="1"/>
      <c r="CRE15" s="1"/>
      <c r="CRF15" s="1"/>
      <c r="CRG15" s="1"/>
      <c r="CRH15" s="1"/>
      <c r="CRI15" s="1"/>
      <c r="CRJ15" s="1"/>
      <c r="CRK15" s="1"/>
      <c r="CRL15" s="1"/>
      <c r="CRM15" s="1"/>
      <c r="CRN15" s="1"/>
      <c r="CRO15" s="1"/>
      <c r="CRP15" s="1"/>
      <c r="CRQ15" s="1"/>
      <c r="CRR15" s="1"/>
      <c r="CRS15" s="1"/>
      <c r="CRT15" s="1"/>
      <c r="CRU15" s="1"/>
      <c r="CRV15" s="1"/>
      <c r="CRW15" s="1"/>
      <c r="CRX15" s="1"/>
      <c r="CRY15" s="1"/>
      <c r="CRZ15" s="1"/>
      <c r="CSA15" s="1"/>
      <c r="CSB15" s="1"/>
      <c r="CSC15" s="1"/>
      <c r="CSD15" s="1"/>
      <c r="CSE15" s="1"/>
      <c r="CSF15" s="1"/>
      <c r="CSG15" s="1"/>
      <c r="CSH15" s="1"/>
      <c r="CSI15" s="1"/>
      <c r="CSJ15" s="1"/>
      <c r="CSK15" s="1"/>
      <c r="CSL15" s="1"/>
      <c r="CSM15" s="1"/>
      <c r="CSN15" s="1"/>
      <c r="CSO15" s="1"/>
      <c r="CSP15" s="1"/>
      <c r="CSQ15" s="1"/>
      <c r="CSR15" s="1"/>
      <c r="CSS15" s="1"/>
      <c r="CST15" s="1"/>
      <c r="CSU15" s="1"/>
      <c r="CSV15" s="1"/>
      <c r="CSW15" s="1"/>
      <c r="CSX15" s="1"/>
      <c r="CSY15" s="1"/>
      <c r="CSZ15" s="1"/>
      <c r="CTA15" s="1"/>
      <c r="CTB15" s="1"/>
      <c r="CTC15" s="1"/>
      <c r="CTD15" s="1"/>
      <c r="CTE15" s="1"/>
      <c r="CTF15" s="1"/>
      <c r="CTG15" s="1"/>
      <c r="CTH15" s="1"/>
      <c r="CTI15" s="1"/>
      <c r="CTJ15" s="1"/>
      <c r="CTK15" s="1"/>
      <c r="CTL15" s="1"/>
      <c r="CTM15" s="1"/>
      <c r="CTN15" s="1"/>
      <c r="CTO15" s="1"/>
      <c r="CTP15" s="1"/>
      <c r="CTQ15" s="1"/>
      <c r="CTR15" s="1"/>
      <c r="CTS15" s="1"/>
      <c r="CTT15" s="1"/>
      <c r="CTU15" s="1"/>
      <c r="CTV15" s="1"/>
      <c r="CTW15" s="1"/>
      <c r="CTX15" s="1"/>
      <c r="CTY15" s="1"/>
      <c r="CTZ15" s="1"/>
      <c r="CUA15" s="1"/>
      <c r="CUB15" s="1"/>
      <c r="CUC15" s="1"/>
      <c r="CUD15" s="1"/>
      <c r="CUE15" s="1"/>
      <c r="CUF15" s="1"/>
      <c r="CUG15" s="1"/>
      <c r="CUH15" s="1"/>
      <c r="CUI15" s="1"/>
      <c r="CUJ15" s="1"/>
      <c r="CUK15" s="1"/>
      <c r="CUL15" s="1"/>
      <c r="CUM15" s="1"/>
      <c r="CUN15" s="1"/>
      <c r="CUO15" s="1"/>
      <c r="CUP15" s="1"/>
      <c r="CUQ15" s="1"/>
      <c r="CUR15" s="1"/>
      <c r="CUS15" s="1"/>
      <c r="CUT15" s="1"/>
      <c r="CUU15" s="1"/>
      <c r="CUV15" s="1"/>
      <c r="CUW15" s="1"/>
      <c r="CUX15" s="1"/>
      <c r="CUY15" s="1"/>
      <c r="CUZ15" s="1"/>
      <c r="CVA15" s="1"/>
      <c r="CVB15" s="1"/>
      <c r="CVC15" s="1"/>
      <c r="CVD15" s="1"/>
      <c r="CVE15" s="1"/>
      <c r="CVF15" s="1"/>
      <c r="CVG15" s="1"/>
      <c r="CVH15" s="1"/>
      <c r="CVI15" s="1"/>
      <c r="CVJ15" s="1"/>
      <c r="CVK15" s="1"/>
      <c r="CVL15" s="1"/>
      <c r="CVM15" s="1"/>
      <c r="CVN15" s="1"/>
      <c r="CVO15" s="1"/>
      <c r="CVP15" s="1"/>
      <c r="CVQ15" s="1"/>
      <c r="CVR15" s="1"/>
      <c r="CVS15" s="1"/>
      <c r="CVT15" s="1"/>
      <c r="CVU15" s="1"/>
      <c r="CVV15" s="1"/>
      <c r="CVW15" s="1"/>
      <c r="CVX15" s="1"/>
      <c r="CVY15" s="1"/>
      <c r="CVZ15" s="1"/>
      <c r="CWA15" s="1"/>
      <c r="CWB15" s="1"/>
      <c r="CWC15" s="1"/>
      <c r="CWD15" s="1"/>
      <c r="CWE15" s="1"/>
      <c r="CWF15" s="1"/>
      <c r="CWG15" s="1"/>
      <c r="CWH15" s="1"/>
      <c r="CWI15" s="1"/>
      <c r="CWJ15" s="1"/>
      <c r="CWK15" s="1"/>
      <c r="CWL15" s="1"/>
      <c r="CWM15" s="1"/>
      <c r="CWN15" s="1"/>
      <c r="CWO15" s="1"/>
      <c r="CWP15" s="1"/>
      <c r="CWQ15" s="1"/>
      <c r="CWR15" s="1"/>
      <c r="CWS15" s="1"/>
      <c r="CWT15" s="1"/>
      <c r="CWU15" s="1"/>
      <c r="CWV15" s="1"/>
      <c r="CWW15" s="1"/>
      <c r="CWX15" s="1"/>
      <c r="CWY15" s="1"/>
      <c r="CWZ15" s="1"/>
      <c r="CXA15" s="1"/>
      <c r="CXB15" s="1"/>
      <c r="CXC15" s="1"/>
      <c r="CXD15" s="1"/>
      <c r="CXE15" s="1"/>
      <c r="CXF15" s="1"/>
      <c r="CXG15" s="1"/>
      <c r="CXH15" s="1"/>
      <c r="CXI15" s="1"/>
      <c r="CXJ15" s="1"/>
      <c r="CXK15" s="1"/>
      <c r="CXL15" s="1"/>
      <c r="CXM15" s="1"/>
      <c r="CXN15" s="1"/>
      <c r="CXO15" s="1"/>
      <c r="CXP15" s="1"/>
      <c r="CXQ15" s="1"/>
      <c r="CXR15" s="1"/>
      <c r="CXS15" s="1"/>
      <c r="CXT15" s="1"/>
      <c r="CXU15" s="1"/>
      <c r="CXV15" s="1"/>
      <c r="CXW15" s="1"/>
      <c r="CXX15" s="1"/>
      <c r="CXY15" s="1"/>
      <c r="CXZ15" s="1"/>
      <c r="CYA15" s="1"/>
      <c r="CYB15" s="1"/>
      <c r="CYC15" s="1"/>
      <c r="CYD15" s="1"/>
      <c r="CYE15" s="1"/>
      <c r="CYF15" s="1"/>
      <c r="CYG15" s="1"/>
      <c r="CYH15" s="1"/>
      <c r="CYI15" s="1"/>
      <c r="CYJ15" s="1"/>
      <c r="CYK15" s="1"/>
      <c r="CYL15" s="1"/>
      <c r="CYM15" s="1"/>
      <c r="CYN15" s="1"/>
      <c r="CYO15" s="1"/>
      <c r="CYP15" s="1"/>
      <c r="CYQ15" s="1"/>
      <c r="CYR15" s="1"/>
      <c r="CYS15" s="1"/>
      <c r="CYT15" s="1"/>
      <c r="CYU15" s="1"/>
      <c r="CYV15" s="1"/>
      <c r="CYW15" s="1"/>
      <c r="CYX15" s="1"/>
      <c r="CYY15" s="1"/>
      <c r="CYZ15" s="1"/>
      <c r="CZA15" s="1"/>
      <c r="CZB15" s="1"/>
      <c r="CZC15" s="1"/>
      <c r="CZD15" s="1"/>
      <c r="CZE15" s="1"/>
      <c r="CZF15" s="1"/>
      <c r="CZG15" s="1"/>
      <c r="CZH15" s="1"/>
      <c r="CZI15" s="1"/>
      <c r="CZJ15" s="1"/>
      <c r="CZK15" s="1"/>
      <c r="CZL15" s="1"/>
      <c r="CZM15" s="1"/>
      <c r="CZN15" s="1"/>
      <c r="CZO15" s="1"/>
      <c r="CZP15" s="1"/>
      <c r="CZQ15" s="1"/>
      <c r="CZR15" s="1"/>
      <c r="CZS15" s="1"/>
      <c r="CZT15" s="1"/>
      <c r="CZU15" s="1"/>
      <c r="CZV15" s="1"/>
      <c r="CZW15" s="1"/>
      <c r="CZX15" s="1"/>
      <c r="CZY15" s="1"/>
      <c r="CZZ15" s="1"/>
      <c r="DAA15" s="1"/>
      <c r="DAB15" s="1"/>
      <c r="DAC15" s="1"/>
      <c r="DAD15" s="1"/>
      <c r="DAE15" s="1"/>
      <c r="DAF15" s="1"/>
      <c r="DAG15" s="1"/>
      <c r="DAH15" s="1"/>
      <c r="DAI15" s="1"/>
      <c r="DAJ15" s="1"/>
      <c r="DAK15" s="1"/>
      <c r="DAL15" s="1"/>
      <c r="DAM15" s="1"/>
      <c r="DAN15" s="1"/>
      <c r="DAO15" s="1"/>
      <c r="DAP15" s="1"/>
      <c r="DAQ15" s="1"/>
      <c r="DAR15" s="1"/>
      <c r="DAS15" s="1"/>
      <c r="DAT15" s="1"/>
      <c r="DAU15" s="1"/>
      <c r="DAV15" s="1"/>
      <c r="DAW15" s="1"/>
      <c r="DAX15" s="1"/>
      <c r="DAY15" s="1"/>
      <c r="DAZ15" s="1"/>
      <c r="DBA15" s="1"/>
      <c r="DBB15" s="1"/>
      <c r="DBC15" s="1"/>
      <c r="DBD15" s="1"/>
      <c r="DBE15" s="1"/>
      <c r="DBF15" s="1"/>
      <c r="DBG15" s="1"/>
      <c r="DBH15" s="1"/>
      <c r="DBI15" s="1"/>
      <c r="DBJ15" s="1"/>
      <c r="DBK15" s="1"/>
      <c r="DBL15" s="1"/>
      <c r="DBM15" s="1"/>
      <c r="DBN15" s="1"/>
      <c r="DBO15" s="1"/>
      <c r="DBP15" s="1"/>
      <c r="DBQ15" s="1"/>
      <c r="DBR15" s="1"/>
      <c r="DBS15" s="1"/>
      <c r="DBT15" s="1"/>
      <c r="DBU15" s="1"/>
      <c r="DBV15" s="1"/>
      <c r="DBW15" s="1"/>
      <c r="DBX15" s="1"/>
      <c r="DBY15" s="1"/>
      <c r="DBZ15" s="1"/>
      <c r="DCA15" s="1"/>
      <c r="DCB15" s="1"/>
      <c r="DCC15" s="1"/>
      <c r="DCD15" s="1"/>
      <c r="DCE15" s="1"/>
      <c r="DCF15" s="1"/>
      <c r="DCG15" s="1"/>
      <c r="DCH15" s="1"/>
      <c r="DCI15" s="1"/>
      <c r="DCJ15" s="1"/>
      <c r="DCK15" s="1"/>
      <c r="DCL15" s="1"/>
      <c r="DCM15" s="1"/>
      <c r="DCN15" s="1"/>
      <c r="DCO15" s="1"/>
      <c r="DCP15" s="1"/>
      <c r="DCQ15" s="1"/>
      <c r="DCR15" s="1"/>
      <c r="DCS15" s="1"/>
      <c r="DCT15" s="1"/>
      <c r="DCU15" s="1"/>
      <c r="DCV15" s="1"/>
      <c r="DCW15" s="1"/>
      <c r="DCX15" s="1"/>
      <c r="DCY15" s="1"/>
      <c r="DCZ15" s="1"/>
      <c r="DDA15" s="1"/>
      <c r="DDB15" s="1"/>
      <c r="DDC15" s="1"/>
      <c r="DDD15" s="1"/>
      <c r="DDE15" s="1"/>
      <c r="DDF15" s="1"/>
      <c r="DDG15" s="1"/>
      <c r="DDH15" s="1"/>
      <c r="DDI15" s="1"/>
      <c r="DDJ15" s="1"/>
      <c r="DDK15" s="1"/>
      <c r="DDL15" s="1"/>
      <c r="DDM15" s="1"/>
      <c r="DDN15" s="1"/>
      <c r="DDO15" s="1"/>
      <c r="DDP15" s="1"/>
      <c r="DDQ15" s="1"/>
      <c r="DDR15" s="1"/>
      <c r="DDS15" s="1"/>
      <c r="DDT15" s="1"/>
      <c r="DDU15" s="1"/>
      <c r="DDV15" s="1"/>
      <c r="DDW15" s="1"/>
      <c r="DDX15" s="1"/>
      <c r="DDY15" s="1"/>
      <c r="DDZ15" s="1"/>
      <c r="DEA15" s="1"/>
      <c r="DEB15" s="1"/>
      <c r="DEC15" s="1"/>
      <c r="DED15" s="1"/>
      <c r="DEE15" s="1"/>
      <c r="DEF15" s="1"/>
      <c r="DEG15" s="1"/>
      <c r="DEH15" s="1"/>
      <c r="DEI15" s="1"/>
      <c r="DEJ15" s="1"/>
      <c r="DEK15" s="1"/>
      <c r="DEL15" s="1"/>
      <c r="DEM15" s="1"/>
      <c r="DEN15" s="1"/>
      <c r="DEO15" s="1"/>
      <c r="DEP15" s="1"/>
      <c r="DEQ15" s="1"/>
      <c r="DER15" s="1"/>
      <c r="DES15" s="1"/>
      <c r="DET15" s="1"/>
      <c r="DEU15" s="1"/>
      <c r="DEV15" s="1"/>
      <c r="DEW15" s="1"/>
      <c r="DEX15" s="1"/>
      <c r="DEY15" s="1"/>
      <c r="DEZ15" s="1"/>
      <c r="DFA15" s="1"/>
      <c r="DFB15" s="1"/>
      <c r="DFC15" s="1"/>
      <c r="DFD15" s="1"/>
      <c r="DFE15" s="1"/>
      <c r="DFF15" s="1"/>
      <c r="DFG15" s="1"/>
      <c r="DFH15" s="1"/>
      <c r="DFI15" s="1"/>
      <c r="DFJ15" s="1"/>
      <c r="DFK15" s="1"/>
      <c r="DFL15" s="1"/>
      <c r="DFM15" s="1"/>
      <c r="DFN15" s="1"/>
      <c r="DFO15" s="1"/>
      <c r="DFP15" s="1"/>
      <c r="DFQ15" s="1"/>
      <c r="DFR15" s="1"/>
      <c r="DFS15" s="1"/>
      <c r="DFT15" s="1"/>
      <c r="DFU15" s="1"/>
      <c r="DFV15" s="1"/>
      <c r="DFW15" s="1"/>
      <c r="DFX15" s="1"/>
      <c r="DFY15" s="1"/>
      <c r="DFZ15" s="1"/>
      <c r="DGA15" s="1"/>
      <c r="DGB15" s="1"/>
      <c r="DGC15" s="1"/>
      <c r="DGD15" s="1"/>
      <c r="DGE15" s="1"/>
      <c r="DGF15" s="1"/>
      <c r="DGG15" s="1"/>
      <c r="DGH15" s="1"/>
      <c r="DGI15" s="1"/>
      <c r="DGJ15" s="1"/>
      <c r="DGK15" s="1"/>
      <c r="DGL15" s="1"/>
      <c r="DGM15" s="1"/>
      <c r="DGN15" s="1"/>
      <c r="DGO15" s="1"/>
      <c r="DGP15" s="1"/>
      <c r="DGQ15" s="1"/>
      <c r="DGR15" s="1"/>
      <c r="DGS15" s="1"/>
      <c r="DGT15" s="1"/>
      <c r="DGU15" s="1"/>
      <c r="DGV15" s="1"/>
      <c r="DGW15" s="1"/>
      <c r="DGX15" s="1"/>
      <c r="DGY15" s="1"/>
      <c r="DGZ15" s="1"/>
      <c r="DHA15" s="1"/>
      <c r="DHB15" s="1"/>
      <c r="DHC15" s="1"/>
      <c r="DHD15" s="1"/>
      <c r="DHE15" s="1"/>
      <c r="DHF15" s="1"/>
      <c r="DHG15" s="1"/>
      <c r="DHH15" s="1"/>
      <c r="DHI15" s="1"/>
      <c r="DHJ15" s="1"/>
      <c r="DHK15" s="1"/>
      <c r="DHL15" s="1"/>
      <c r="DHM15" s="1"/>
      <c r="DHN15" s="1"/>
      <c r="DHO15" s="1"/>
      <c r="DHP15" s="1"/>
      <c r="DHQ15" s="1"/>
      <c r="DHR15" s="1"/>
      <c r="DHS15" s="1"/>
      <c r="DHT15" s="1"/>
      <c r="DHU15" s="1"/>
      <c r="DHV15" s="1"/>
      <c r="DHW15" s="1"/>
      <c r="DHX15" s="1"/>
      <c r="DHY15" s="1"/>
      <c r="DHZ15" s="1"/>
      <c r="DIA15" s="1"/>
      <c r="DIB15" s="1"/>
      <c r="DIC15" s="1"/>
      <c r="DID15" s="1"/>
      <c r="DIE15" s="1"/>
      <c r="DIF15" s="1"/>
      <c r="DIG15" s="1"/>
      <c r="DIH15" s="1"/>
      <c r="DII15" s="1"/>
      <c r="DIJ15" s="1"/>
      <c r="DIK15" s="1"/>
      <c r="DIL15" s="1"/>
      <c r="DIM15" s="1"/>
      <c r="DIN15" s="1"/>
      <c r="DIO15" s="1"/>
      <c r="DIP15" s="1"/>
      <c r="DIQ15" s="1"/>
      <c r="DIR15" s="1"/>
      <c r="DIS15" s="1"/>
      <c r="DIT15" s="1"/>
      <c r="DIU15" s="1"/>
      <c r="DIV15" s="1"/>
      <c r="DIW15" s="1"/>
      <c r="DIX15" s="1"/>
      <c r="DIY15" s="1"/>
      <c r="DIZ15" s="1"/>
      <c r="DJA15" s="1"/>
      <c r="DJB15" s="1"/>
      <c r="DJC15" s="1"/>
      <c r="DJD15" s="1"/>
      <c r="DJE15" s="1"/>
      <c r="DJF15" s="1"/>
      <c r="DJG15" s="1"/>
      <c r="DJH15" s="1"/>
      <c r="DJI15" s="1"/>
      <c r="DJJ15" s="1"/>
      <c r="DJK15" s="1"/>
      <c r="DJL15" s="1"/>
      <c r="DJM15" s="1"/>
      <c r="DJN15" s="1"/>
      <c r="DJO15" s="1"/>
      <c r="DJP15" s="1"/>
      <c r="DJQ15" s="1"/>
      <c r="DJR15" s="1"/>
      <c r="DJS15" s="1"/>
      <c r="DJT15" s="1"/>
      <c r="DJU15" s="1"/>
      <c r="DJV15" s="1"/>
      <c r="DJW15" s="1"/>
      <c r="DJX15" s="1"/>
      <c r="DJY15" s="1"/>
      <c r="DJZ15" s="1"/>
      <c r="DKA15" s="1"/>
      <c r="DKB15" s="1"/>
      <c r="DKC15" s="1"/>
      <c r="DKD15" s="1"/>
      <c r="DKE15" s="1"/>
      <c r="DKF15" s="1"/>
      <c r="DKG15" s="1"/>
      <c r="DKH15" s="1"/>
      <c r="DKI15" s="1"/>
      <c r="DKJ15" s="1"/>
      <c r="DKK15" s="1"/>
      <c r="DKL15" s="1"/>
      <c r="DKM15" s="1"/>
      <c r="DKN15" s="1"/>
      <c r="DKO15" s="1"/>
      <c r="DKP15" s="1"/>
      <c r="DKQ15" s="1"/>
      <c r="DKR15" s="1"/>
      <c r="DKS15" s="1"/>
      <c r="DKT15" s="1"/>
      <c r="DKU15" s="1"/>
      <c r="DKV15" s="1"/>
      <c r="DKW15" s="1"/>
      <c r="DKX15" s="1"/>
      <c r="DKY15" s="1"/>
      <c r="DKZ15" s="1"/>
      <c r="DLA15" s="1"/>
      <c r="DLB15" s="1"/>
      <c r="DLC15" s="1"/>
      <c r="DLD15" s="1"/>
      <c r="DLE15" s="1"/>
      <c r="DLF15" s="1"/>
      <c r="DLG15" s="1"/>
      <c r="DLH15" s="1"/>
      <c r="DLI15" s="1"/>
      <c r="DLJ15" s="1"/>
      <c r="DLK15" s="1"/>
      <c r="DLL15" s="1"/>
      <c r="DLM15" s="1"/>
      <c r="DLN15" s="1"/>
      <c r="DLO15" s="1"/>
      <c r="DLP15" s="1"/>
      <c r="DLQ15" s="1"/>
      <c r="DLR15" s="1"/>
      <c r="DLS15" s="1"/>
      <c r="DLT15" s="1"/>
      <c r="DLU15" s="1"/>
      <c r="DLV15" s="1"/>
      <c r="DLW15" s="1"/>
      <c r="DLX15" s="1"/>
      <c r="DLY15" s="1"/>
      <c r="DLZ15" s="1"/>
      <c r="DMA15" s="1"/>
      <c r="DMB15" s="1"/>
      <c r="DMC15" s="1"/>
      <c r="DMD15" s="1"/>
      <c r="DME15" s="1"/>
      <c r="DMF15" s="1"/>
      <c r="DMG15" s="1"/>
      <c r="DMH15" s="1"/>
      <c r="DMI15" s="1"/>
      <c r="DMJ15" s="1"/>
      <c r="DMK15" s="1"/>
      <c r="DML15" s="1"/>
      <c r="DMM15" s="1"/>
      <c r="DMN15" s="1"/>
      <c r="DMO15" s="1"/>
      <c r="DMP15" s="1"/>
      <c r="DMQ15" s="1"/>
      <c r="DMR15" s="1"/>
      <c r="DMS15" s="1"/>
      <c r="DMT15" s="1"/>
      <c r="DMU15" s="1"/>
      <c r="DMV15" s="1"/>
      <c r="DMW15" s="1"/>
      <c r="DMX15" s="1"/>
      <c r="DMY15" s="1"/>
      <c r="DMZ15" s="1"/>
      <c r="DNA15" s="1"/>
      <c r="DNB15" s="1"/>
      <c r="DNC15" s="1"/>
      <c r="DND15" s="1"/>
      <c r="DNE15" s="1"/>
      <c r="DNF15" s="1"/>
      <c r="DNG15" s="1"/>
      <c r="DNH15" s="1"/>
      <c r="DNI15" s="1"/>
      <c r="DNJ15" s="1"/>
      <c r="DNK15" s="1"/>
      <c r="DNL15" s="1"/>
      <c r="DNM15" s="1"/>
      <c r="DNN15" s="1"/>
      <c r="DNO15" s="1"/>
      <c r="DNP15" s="1"/>
      <c r="DNQ15" s="1"/>
      <c r="DNR15" s="1"/>
      <c r="DNS15" s="1"/>
      <c r="DNT15" s="1"/>
      <c r="DNU15" s="1"/>
      <c r="DNV15" s="1"/>
      <c r="DNW15" s="1"/>
      <c r="DNX15" s="1"/>
      <c r="DNY15" s="1"/>
      <c r="DNZ15" s="1"/>
      <c r="DOA15" s="1"/>
      <c r="DOB15" s="1"/>
      <c r="DOC15" s="1"/>
      <c r="DOD15" s="1"/>
      <c r="DOE15" s="1"/>
      <c r="DOF15" s="1"/>
      <c r="DOG15" s="1"/>
      <c r="DOH15" s="1"/>
      <c r="DOI15" s="1"/>
      <c r="DOJ15" s="1"/>
      <c r="DOK15" s="1"/>
      <c r="DOL15" s="1"/>
      <c r="DOM15" s="1"/>
      <c r="DON15" s="1"/>
      <c r="DOO15" s="1"/>
      <c r="DOP15" s="1"/>
      <c r="DOQ15" s="1"/>
      <c r="DOR15" s="1"/>
      <c r="DOS15" s="1"/>
      <c r="DOT15" s="1"/>
      <c r="DOU15" s="1"/>
      <c r="DOV15" s="1"/>
      <c r="DOW15" s="1"/>
      <c r="DOX15" s="1"/>
      <c r="DOY15" s="1"/>
      <c r="DOZ15" s="1"/>
      <c r="DPA15" s="1"/>
      <c r="DPB15" s="1"/>
      <c r="DPC15" s="1"/>
      <c r="DPD15" s="1"/>
      <c r="DPE15" s="1"/>
      <c r="DPF15" s="1"/>
      <c r="DPG15" s="1"/>
      <c r="DPH15" s="1"/>
      <c r="DPI15" s="1"/>
      <c r="DPJ15" s="1"/>
      <c r="DPK15" s="1"/>
      <c r="DPL15" s="1"/>
      <c r="DPM15" s="1"/>
      <c r="DPN15" s="1"/>
      <c r="DPO15" s="1"/>
      <c r="DPP15" s="1"/>
      <c r="DPQ15" s="1"/>
      <c r="DPR15" s="1"/>
      <c r="DPS15" s="1"/>
      <c r="DPT15" s="1"/>
      <c r="DPU15" s="1"/>
      <c r="DPV15" s="1"/>
      <c r="DPW15" s="1"/>
      <c r="DPX15" s="1"/>
      <c r="DPY15" s="1"/>
      <c r="DPZ15" s="1"/>
      <c r="DQA15" s="1"/>
      <c r="DQB15" s="1"/>
      <c r="DQC15" s="1"/>
      <c r="DQD15" s="1"/>
      <c r="DQE15" s="1"/>
      <c r="DQF15" s="1"/>
      <c r="DQG15" s="1"/>
      <c r="DQH15" s="1"/>
      <c r="DQI15" s="1"/>
      <c r="DQJ15" s="1"/>
      <c r="DQK15" s="1"/>
      <c r="DQL15" s="1"/>
      <c r="DQM15" s="1"/>
      <c r="DQN15" s="1"/>
      <c r="DQO15" s="1"/>
      <c r="DQP15" s="1"/>
      <c r="DQQ15" s="1"/>
      <c r="DQR15" s="1"/>
      <c r="DQS15" s="1"/>
      <c r="DQT15" s="1"/>
      <c r="DQU15" s="1"/>
      <c r="DQV15" s="1"/>
      <c r="DQW15" s="1"/>
      <c r="DQX15" s="1"/>
      <c r="DQY15" s="1"/>
      <c r="DQZ15" s="1"/>
      <c r="DRA15" s="1"/>
      <c r="DRB15" s="1"/>
      <c r="DRC15" s="1"/>
      <c r="DRD15" s="1"/>
      <c r="DRE15" s="1"/>
      <c r="DRF15" s="1"/>
      <c r="DRG15" s="1"/>
      <c r="DRH15" s="1"/>
      <c r="DRI15" s="1"/>
      <c r="DRJ15" s="1"/>
      <c r="DRK15" s="1"/>
      <c r="DRL15" s="1"/>
      <c r="DRM15" s="1"/>
      <c r="DRN15" s="1"/>
      <c r="DRO15" s="1"/>
      <c r="DRP15" s="1"/>
      <c r="DRQ15" s="1"/>
      <c r="DRR15" s="1"/>
      <c r="DRS15" s="1"/>
      <c r="DRT15" s="1"/>
      <c r="DRU15" s="1"/>
      <c r="DRV15" s="1"/>
      <c r="DRW15" s="1"/>
      <c r="DRX15" s="1"/>
      <c r="DRY15" s="1"/>
      <c r="DRZ15" s="1"/>
      <c r="DSA15" s="1"/>
      <c r="DSB15" s="1"/>
      <c r="DSC15" s="1"/>
      <c r="DSD15" s="1"/>
      <c r="DSE15" s="1"/>
      <c r="DSF15" s="1"/>
      <c r="DSG15" s="1"/>
      <c r="DSH15" s="1"/>
      <c r="DSI15" s="1"/>
      <c r="DSJ15" s="1"/>
      <c r="DSK15" s="1"/>
      <c r="DSL15" s="1"/>
      <c r="DSM15" s="1"/>
      <c r="DSN15" s="1"/>
      <c r="DSO15" s="1"/>
      <c r="DSP15" s="1"/>
      <c r="DSQ15" s="1"/>
      <c r="DSR15" s="1"/>
      <c r="DSS15" s="1"/>
      <c r="DST15" s="1"/>
      <c r="DSU15" s="1"/>
      <c r="DSV15" s="1"/>
      <c r="DSW15" s="1"/>
      <c r="DSX15" s="1"/>
      <c r="DSY15" s="1"/>
      <c r="DSZ15" s="1"/>
      <c r="DTA15" s="1"/>
      <c r="DTB15" s="1"/>
      <c r="DTC15" s="1"/>
      <c r="DTD15" s="1"/>
      <c r="DTE15" s="1"/>
      <c r="DTF15" s="1"/>
      <c r="DTG15" s="1"/>
      <c r="DTH15" s="1"/>
      <c r="DTI15" s="1"/>
      <c r="DTJ15" s="1"/>
      <c r="DTK15" s="1"/>
      <c r="DTL15" s="1"/>
      <c r="DTM15" s="1"/>
      <c r="DTN15" s="1"/>
      <c r="DTO15" s="1"/>
      <c r="DTP15" s="1"/>
      <c r="DTQ15" s="1"/>
      <c r="DTR15" s="1"/>
      <c r="DTS15" s="1"/>
      <c r="DTT15" s="1"/>
      <c r="DTU15" s="1"/>
      <c r="DTV15" s="1"/>
      <c r="DTW15" s="1"/>
      <c r="DTX15" s="1"/>
      <c r="DTY15" s="1"/>
      <c r="DTZ15" s="1"/>
      <c r="DUA15" s="1"/>
      <c r="DUB15" s="1"/>
      <c r="DUC15" s="1"/>
      <c r="DUD15" s="1"/>
      <c r="DUE15" s="1"/>
      <c r="DUF15" s="1"/>
      <c r="DUG15" s="1"/>
      <c r="DUH15" s="1"/>
      <c r="DUI15" s="1"/>
      <c r="DUJ15" s="1"/>
      <c r="DUK15" s="1"/>
      <c r="DUL15" s="1"/>
      <c r="DUM15" s="1"/>
      <c r="DUN15" s="1"/>
      <c r="DUO15" s="1"/>
      <c r="DUP15" s="1"/>
      <c r="DUQ15" s="1"/>
      <c r="DUR15" s="1"/>
      <c r="DUS15" s="1"/>
      <c r="DUT15" s="1"/>
      <c r="DUU15" s="1"/>
      <c r="DUV15" s="1"/>
      <c r="DUW15" s="1"/>
      <c r="DUX15" s="1"/>
      <c r="DUY15" s="1"/>
      <c r="DUZ15" s="1"/>
      <c r="DVA15" s="1"/>
      <c r="DVB15" s="1"/>
      <c r="DVC15" s="1"/>
      <c r="DVD15" s="1"/>
      <c r="DVE15" s="1"/>
      <c r="DVF15" s="1"/>
      <c r="DVG15" s="1"/>
      <c r="DVH15" s="1"/>
      <c r="DVI15" s="1"/>
      <c r="DVJ15" s="1"/>
      <c r="DVK15" s="1"/>
      <c r="DVL15" s="1"/>
      <c r="DVM15" s="1"/>
      <c r="DVN15" s="1"/>
      <c r="DVO15" s="1"/>
      <c r="DVP15" s="1"/>
      <c r="DVQ15" s="1"/>
      <c r="DVR15" s="1"/>
      <c r="DVS15" s="1"/>
      <c r="DVT15" s="1"/>
      <c r="DVU15" s="1"/>
      <c r="DVV15" s="1"/>
      <c r="DVW15" s="1"/>
      <c r="DVX15" s="1"/>
      <c r="DVY15" s="1"/>
      <c r="DVZ15" s="1"/>
      <c r="DWA15" s="1"/>
      <c r="DWB15" s="1"/>
      <c r="DWC15" s="1"/>
      <c r="DWD15" s="1"/>
      <c r="DWE15" s="1"/>
      <c r="DWF15" s="1"/>
      <c r="DWG15" s="1"/>
      <c r="DWH15" s="1"/>
      <c r="DWI15" s="1"/>
      <c r="DWJ15" s="1"/>
      <c r="DWK15" s="1"/>
      <c r="DWL15" s="1"/>
      <c r="DWM15" s="1"/>
      <c r="DWN15" s="1"/>
      <c r="DWO15" s="1"/>
      <c r="DWP15" s="1"/>
      <c r="DWQ15" s="1"/>
      <c r="DWR15" s="1"/>
      <c r="DWS15" s="1"/>
      <c r="DWT15" s="1"/>
      <c r="DWU15" s="1"/>
      <c r="DWV15" s="1"/>
      <c r="DWW15" s="1"/>
      <c r="DWX15" s="1"/>
      <c r="DWY15" s="1"/>
      <c r="DWZ15" s="1"/>
      <c r="DXA15" s="1"/>
      <c r="DXB15" s="1"/>
      <c r="DXC15" s="1"/>
      <c r="DXD15" s="1"/>
      <c r="DXE15" s="1"/>
      <c r="DXF15" s="1"/>
      <c r="DXG15" s="1"/>
      <c r="DXH15" s="1"/>
      <c r="DXI15" s="1"/>
      <c r="DXJ15" s="1"/>
      <c r="DXK15" s="1"/>
      <c r="DXL15" s="1"/>
      <c r="DXM15" s="1"/>
      <c r="DXN15" s="1"/>
      <c r="DXO15" s="1"/>
      <c r="DXP15" s="1"/>
      <c r="DXQ15" s="1"/>
      <c r="DXR15" s="1"/>
      <c r="DXS15" s="1"/>
      <c r="DXT15" s="1"/>
      <c r="DXU15" s="1"/>
      <c r="DXV15" s="1"/>
      <c r="DXW15" s="1"/>
      <c r="DXX15" s="1"/>
      <c r="DXY15" s="1"/>
      <c r="DXZ15" s="1"/>
      <c r="DYA15" s="1"/>
      <c r="DYB15" s="1"/>
      <c r="DYC15" s="1"/>
      <c r="DYD15" s="1"/>
      <c r="DYE15" s="1"/>
      <c r="DYF15" s="1"/>
      <c r="DYG15" s="1"/>
      <c r="DYH15" s="1"/>
      <c r="DYI15" s="1"/>
      <c r="DYJ15" s="1"/>
      <c r="DYK15" s="1"/>
      <c r="DYL15" s="1"/>
      <c r="DYM15" s="1"/>
      <c r="DYN15" s="1"/>
      <c r="DYO15" s="1"/>
      <c r="DYP15" s="1"/>
      <c r="DYQ15" s="1"/>
      <c r="DYR15" s="1"/>
      <c r="DYS15" s="1"/>
      <c r="DYT15" s="1"/>
      <c r="DYU15" s="1"/>
      <c r="DYV15" s="1"/>
      <c r="DYW15" s="1"/>
      <c r="DYX15" s="1"/>
      <c r="DYY15" s="1"/>
      <c r="DYZ15" s="1"/>
      <c r="DZA15" s="1"/>
      <c r="DZB15" s="1"/>
      <c r="DZC15" s="1"/>
      <c r="DZD15" s="1"/>
      <c r="DZE15" s="1"/>
      <c r="DZF15" s="1"/>
      <c r="DZG15" s="1"/>
      <c r="DZH15" s="1"/>
      <c r="DZI15" s="1"/>
      <c r="DZJ15" s="1"/>
      <c r="DZK15" s="1"/>
      <c r="DZL15" s="1"/>
      <c r="DZM15" s="1"/>
      <c r="DZN15" s="1"/>
      <c r="DZO15" s="1"/>
      <c r="DZP15" s="1"/>
      <c r="DZQ15" s="1"/>
      <c r="DZR15" s="1"/>
      <c r="DZS15" s="1"/>
      <c r="DZT15" s="1"/>
      <c r="DZU15" s="1"/>
      <c r="DZV15" s="1"/>
      <c r="DZW15" s="1"/>
      <c r="DZX15" s="1"/>
      <c r="DZY15" s="1"/>
      <c r="DZZ15" s="1"/>
      <c r="EAA15" s="1"/>
      <c r="EAB15" s="1"/>
      <c r="EAC15" s="1"/>
      <c r="EAD15" s="1"/>
      <c r="EAE15" s="1"/>
      <c r="EAF15" s="1"/>
      <c r="EAG15" s="1"/>
      <c r="EAH15" s="1"/>
      <c r="EAI15" s="1"/>
      <c r="EAJ15" s="1"/>
      <c r="EAK15" s="1"/>
      <c r="EAL15" s="1"/>
      <c r="EAM15" s="1"/>
      <c r="EAN15" s="1"/>
      <c r="EAO15" s="1"/>
      <c r="EAP15" s="1"/>
      <c r="EAQ15" s="1"/>
      <c r="EAR15" s="1"/>
      <c r="EAS15" s="1"/>
      <c r="EAT15" s="1"/>
      <c r="EAU15" s="1"/>
      <c r="EAV15" s="1"/>
      <c r="EAW15" s="1"/>
      <c r="EAX15" s="1"/>
      <c r="EAY15" s="1"/>
      <c r="EAZ15" s="1"/>
      <c r="EBA15" s="1"/>
      <c r="EBB15" s="1"/>
      <c r="EBC15" s="1"/>
      <c r="EBD15" s="1"/>
      <c r="EBE15" s="1"/>
      <c r="EBF15" s="1"/>
      <c r="EBG15" s="1"/>
      <c r="EBH15" s="1"/>
      <c r="EBI15" s="1"/>
      <c r="EBJ15" s="1"/>
      <c r="EBK15" s="1"/>
      <c r="EBL15" s="1"/>
      <c r="EBM15" s="1"/>
      <c r="EBN15" s="1"/>
      <c r="EBO15" s="1"/>
      <c r="EBP15" s="1"/>
      <c r="EBQ15" s="1"/>
      <c r="EBR15" s="1"/>
      <c r="EBS15" s="1"/>
      <c r="EBT15" s="1"/>
      <c r="EBU15" s="1"/>
      <c r="EBV15" s="1"/>
      <c r="EBW15" s="1"/>
      <c r="EBX15" s="1"/>
      <c r="EBY15" s="1"/>
      <c r="EBZ15" s="1"/>
      <c r="ECA15" s="1"/>
      <c r="ECB15" s="1"/>
      <c r="ECC15" s="1"/>
      <c r="ECD15" s="1"/>
      <c r="ECE15" s="1"/>
      <c r="ECF15" s="1"/>
      <c r="ECG15" s="1"/>
      <c r="ECH15" s="1"/>
      <c r="ECI15" s="1"/>
      <c r="ECJ15" s="1"/>
      <c r="ECK15" s="1"/>
      <c r="ECL15" s="1"/>
      <c r="ECM15" s="1"/>
      <c r="ECN15" s="1"/>
      <c r="ECO15" s="1"/>
      <c r="ECP15" s="1"/>
      <c r="ECQ15" s="1"/>
      <c r="ECR15" s="1"/>
      <c r="ECS15" s="1"/>
      <c r="ECT15" s="1"/>
      <c r="ECU15" s="1"/>
      <c r="ECV15" s="1"/>
      <c r="ECW15" s="1"/>
      <c r="ECX15" s="1"/>
      <c r="ECY15" s="1"/>
      <c r="ECZ15" s="1"/>
      <c r="EDA15" s="1"/>
      <c r="EDB15" s="1"/>
      <c r="EDC15" s="1"/>
      <c r="EDD15" s="1"/>
      <c r="EDE15" s="1"/>
      <c r="EDF15" s="1"/>
      <c r="EDG15" s="1"/>
      <c r="EDH15" s="1"/>
      <c r="EDI15" s="1"/>
      <c r="EDJ15" s="1"/>
      <c r="EDK15" s="1"/>
      <c r="EDL15" s="1"/>
      <c r="EDM15" s="1"/>
      <c r="EDN15" s="1"/>
      <c r="EDO15" s="1"/>
      <c r="EDP15" s="1"/>
      <c r="EDQ15" s="1"/>
      <c r="EDR15" s="1"/>
      <c r="EDS15" s="1"/>
      <c r="EDT15" s="1"/>
      <c r="EDU15" s="1"/>
      <c r="EDV15" s="1"/>
      <c r="EDW15" s="1"/>
      <c r="EDX15" s="1"/>
      <c r="EDY15" s="1"/>
      <c r="EDZ15" s="1"/>
      <c r="EEA15" s="1"/>
      <c r="EEB15" s="1"/>
      <c r="EEC15" s="1"/>
      <c r="EED15" s="1"/>
      <c r="EEE15" s="1"/>
      <c r="EEF15" s="1"/>
      <c r="EEG15" s="1"/>
      <c r="EEH15" s="1"/>
      <c r="EEI15" s="1"/>
      <c r="EEJ15" s="1"/>
      <c r="EEK15" s="1"/>
      <c r="EEL15" s="1"/>
      <c r="EEM15" s="1"/>
      <c r="EEN15" s="1"/>
      <c r="EEO15" s="1"/>
      <c r="EEP15" s="1"/>
      <c r="EEQ15" s="1"/>
      <c r="EER15" s="1"/>
      <c r="EES15" s="1"/>
      <c r="EET15" s="1"/>
      <c r="EEU15" s="1"/>
      <c r="EEV15" s="1"/>
      <c r="EEW15" s="1"/>
      <c r="EEX15" s="1"/>
      <c r="EEY15" s="1"/>
      <c r="EEZ15" s="1"/>
      <c r="EFA15" s="1"/>
      <c r="EFB15" s="1"/>
      <c r="EFC15" s="1"/>
      <c r="EFD15" s="1"/>
      <c r="EFE15" s="1"/>
      <c r="EFF15" s="1"/>
      <c r="EFG15" s="1"/>
      <c r="EFH15" s="1"/>
      <c r="EFI15" s="1"/>
      <c r="EFJ15" s="1"/>
      <c r="EFK15" s="1"/>
      <c r="EFL15" s="1"/>
      <c r="EFM15" s="1"/>
      <c r="EFN15" s="1"/>
      <c r="EFO15" s="1"/>
      <c r="EFP15" s="1"/>
      <c r="EFQ15" s="1"/>
      <c r="EFR15" s="1"/>
      <c r="EFS15" s="1"/>
      <c r="EFT15" s="1"/>
      <c r="EFU15" s="1"/>
      <c r="EFV15" s="1"/>
      <c r="EFW15" s="1"/>
      <c r="EFX15" s="1"/>
      <c r="EFY15" s="1"/>
      <c r="EFZ15" s="1"/>
      <c r="EGA15" s="1"/>
      <c r="EGB15" s="1"/>
      <c r="EGC15" s="1"/>
      <c r="EGD15" s="1"/>
      <c r="EGE15" s="1"/>
      <c r="EGF15" s="1"/>
      <c r="EGG15" s="1"/>
      <c r="EGH15" s="1"/>
      <c r="EGI15" s="1"/>
      <c r="EGJ15" s="1"/>
      <c r="EGK15" s="1"/>
      <c r="EGL15" s="1"/>
      <c r="EGM15" s="1"/>
      <c r="EGN15" s="1"/>
      <c r="EGO15" s="1"/>
      <c r="EGP15" s="1"/>
      <c r="EGQ15" s="1"/>
      <c r="EGR15" s="1"/>
      <c r="EGS15" s="1"/>
      <c r="EGT15" s="1"/>
      <c r="EGU15" s="1"/>
      <c r="EGV15" s="1"/>
      <c r="EGW15" s="1"/>
      <c r="EGX15" s="1"/>
      <c r="EGY15" s="1"/>
      <c r="EGZ15" s="1"/>
      <c r="EHA15" s="1"/>
      <c r="EHB15" s="1"/>
      <c r="EHC15" s="1"/>
      <c r="EHD15" s="1"/>
      <c r="EHE15" s="1"/>
      <c r="EHF15" s="1"/>
      <c r="EHG15" s="1"/>
      <c r="EHH15" s="1"/>
      <c r="EHI15" s="1"/>
      <c r="EHJ15" s="1"/>
      <c r="EHK15" s="1"/>
      <c r="EHL15" s="1"/>
      <c r="EHM15" s="1"/>
      <c r="EHN15" s="1"/>
      <c r="EHO15" s="1"/>
      <c r="EHP15" s="1"/>
      <c r="EHQ15" s="1"/>
      <c r="EHR15" s="1"/>
      <c r="EHS15" s="1"/>
      <c r="EHT15" s="1"/>
      <c r="EHU15" s="1"/>
      <c r="EHV15" s="1"/>
      <c r="EHW15" s="1"/>
      <c r="EHX15" s="1"/>
      <c r="EHY15" s="1"/>
      <c r="EHZ15" s="1"/>
      <c r="EIA15" s="1"/>
      <c r="EIB15" s="1"/>
      <c r="EIC15" s="1"/>
      <c r="EID15" s="1"/>
      <c r="EIE15" s="1"/>
      <c r="EIF15" s="1"/>
      <c r="EIG15" s="1"/>
      <c r="EIH15" s="1"/>
      <c r="EII15" s="1"/>
      <c r="EIJ15" s="1"/>
      <c r="EIK15" s="1"/>
      <c r="EIL15" s="1"/>
      <c r="EIM15" s="1"/>
      <c r="EIN15" s="1"/>
      <c r="EIO15" s="1"/>
      <c r="EIP15" s="1"/>
      <c r="EIQ15" s="1"/>
      <c r="EIR15" s="1"/>
      <c r="EIS15" s="1"/>
      <c r="EIT15" s="1"/>
      <c r="EIU15" s="1"/>
      <c r="EIV15" s="1"/>
      <c r="EIW15" s="1"/>
      <c r="EIX15" s="1"/>
      <c r="EIY15" s="1"/>
      <c r="EIZ15" s="1"/>
      <c r="EJA15" s="1"/>
      <c r="EJB15" s="1"/>
      <c r="EJC15" s="1"/>
      <c r="EJD15" s="1"/>
      <c r="EJE15" s="1"/>
      <c r="EJF15" s="1"/>
      <c r="EJG15" s="1"/>
      <c r="EJH15" s="1"/>
      <c r="EJI15" s="1"/>
      <c r="EJJ15" s="1"/>
      <c r="EJK15" s="1"/>
      <c r="EJL15" s="1"/>
      <c r="EJM15" s="1"/>
      <c r="EJN15" s="1"/>
      <c r="EJO15" s="1"/>
      <c r="EJP15" s="1"/>
      <c r="EJQ15" s="1"/>
      <c r="EJR15" s="1"/>
      <c r="EJS15" s="1"/>
      <c r="EJT15" s="1"/>
      <c r="EJU15" s="1"/>
      <c r="EJV15" s="1"/>
      <c r="EJW15" s="1"/>
      <c r="EJX15" s="1"/>
      <c r="EJY15" s="1"/>
      <c r="EJZ15" s="1"/>
      <c r="EKA15" s="1"/>
      <c r="EKB15" s="1"/>
      <c r="EKC15" s="1"/>
      <c r="EKD15" s="1"/>
      <c r="EKE15" s="1"/>
      <c r="EKF15" s="1"/>
      <c r="EKG15" s="1"/>
      <c r="EKH15" s="1"/>
      <c r="EKI15" s="1"/>
      <c r="EKJ15" s="1"/>
      <c r="EKK15" s="1"/>
      <c r="EKL15" s="1"/>
      <c r="EKM15" s="1"/>
      <c r="EKN15" s="1"/>
      <c r="EKO15" s="1"/>
      <c r="EKP15" s="1"/>
      <c r="EKQ15" s="1"/>
      <c r="EKR15" s="1"/>
      <c r="EKS15" s="1"/>
      <c r="EKT15" s="1"/>
      <c r="EKU15" s="1"/>
      <c r="EKV15" s="1"/>
      <c r="EKW15" s="1"/>
      <c r="EKX15" s="1"/>
      <c r="EKY15" s="1"/>
      <c r="EKZ15" s="1"/>
      <c r="ELA15" s="1"/>
      <c r="ELB15" s="1"/>
      <c r="ELC15" s="1"/>
      <c r="ELD15" s="1"/>
      <c r="ELE15" s="1"/>
      <c r="ELF15" s="1"/>
      <c r="ELG15" s="1"/>
      <c r="ELH15" s="1"/>
      <c r="ELI15" s="1"/>
      <c r="ELJ15" s="1"/>
      <c r="ELK15" s="1"/>
      <c r="ELL15" s="1"/>
      <c r="ELM15" s="1"/>
      <c r="ELN15" s="1"/>
      <c r="ELO15" s="1"/>
      <c r="ELP15" s="1"/>
      <c r="ELQ15" s="1"/>
      <c r="ELR15" s="1"/>
      <c r="ELS15" s="1"/>
      <c r="ELT15" s="1"/>
      <c r="ELU15" s="1"/>
      <c r="ELV15" s="1"/>
      <c r="ELW15" s="1"/>
      <c r="ELX15" s="1"/>
      <c r="ELY15" s="1"/>
      <c r="ELZ15" s="1"/>
      <c r="EMA15" s="1"/>
      <c r="EMB15" s="1"/>
      <c r="EMC15" s="1"/>
      <c r="EMD15" s="1"/>
      <c r="EME15" s="1"/>
      <c r="EMF15" s="1"/>
      <c r="EMG15" s="1"/>
      <c r="EMH15" s="1"/>
      <c r="EMI15" s="1"/>
      <c r="EMJ15" s="1"/>
      <c r="EMK15" s="1"/>
      <c r="EML15" s="1"/>
      <c r="EMM15" s="1"/>
      <c r="EMN15" s="1"/>
      <c r="EMO15" s="1"/>
      <c r="EMP15" s="1"/>
      <c r="EMQ15" s="1"/>
      <c r="EMR15" s="1"/>
      <c r="EMS15" s="1"/>
      <c r="EMT15" s="1"/>
      <c r="EMU15" s="1"/>
      <c r="EMV15" s="1"/>
      <c r="EMW15" s="1"/>
      <c r="EMX15" s="1"/>
      <c r="EMY15" s="1"/>
      <c r="EMZ15" s="1"/>
      <c r="ENA15" s="1"/>
      <c r="ENB15" s="1"/>
      <c r="ENC15" s="1"/>
      <c r="END15" s="1"/>
      <c r="ENE15" s="1"/>
      <c r="ENF15" s="1"/>
      <c r="ENG15" s="1"/>
      <c r="ENH15" s="1"/>
      <c r="ENI15" s="1"/>
      <c r="ENJ15" s="1"/>
      <c r="ENK15" s="1"/>
      <c r="ENL15" s="1"/>
      <c r="ENM15" s="1"/>
      <c r="ENN15" s="1"/>
      <c r="ENO15" s="1"/>
      <c r="ENP15" s="1"/>
      <c r="ENQ15" s="1"/>
      <c r="ENR15" s="1"/>
      <c r="ENS15" s="1"/>
      <c r="ENT15" s="1"/>
      <c r="ENU15" s="1"/>
      <c r="ENV15" s="1"/>
      <c r="ENW15" s="1"/>
      <c r="ENX15" s="1"/>
      <c r="ENY15" s="1"/>
      <c r="ENZ15" s="1"/>
      <c r="EOA15" s="1"/>
      <c r="EOB15" s="1"/>
      <c r="EOC15" s="1"/>
      <c r="EOD15" s="1"/>
      <c r="EOE15" s="1"/>
      <c r="EOF15" s="1"/>
      <c r="EOG15" s="1"/>
      <c r="EOH15" s="1"/>
      <c r="EOI15" s="1"/>
      <c r="EOJ15" s="1"/>
      <c r="EOK15" s="1"/>
      <c r="EOL15" s="1"/>
      <c r="EOM15" s="1"/>
      <c r="EON15" s="1"/>
      <c r="EOO15" s="1"/>
      <c r="EOP15" s="1"/>
      <c r="EOQ15" s="1"/>
      <c r="EOR15" s="1"/>
      <c r="EOS15" s="1"/>
      <c r="EOT15" s="1"/>
      <c r="EOU15" s="1"/>
      <c r="EOV15" s="1"/>
      <c r="EOW15" s="1"/>
      <c r="EOX15" s="1"/>
      <c r="EOY15" s="1"/>
      <c r="EOZ15" s="1"/>
      <c r="EPA15" s="1"/>
      <c r="EPB15" s="1"/>
      <c r="EPC15" s="1"/>
      <c r="EPD15" s="1"/>
      <c r="EPE15" s="1"/>
      <c r="EPF15" s="1"/>
      <c r="EPG15" s="1"/>
      <c r="EPH15" s="1"/>
      <c r="EPI15" s="1"/>
      <c r="EPJ15" s="1"/>
      <c r="EPK15" s="1"/>
      <c r="EPL15" s="1"/>
      <c r="EPM15" s="1"/>
      <c r="EPN15" s="1"/>
      <c r="EPO15" s="1"/>
      <c r="EPP15" s="1"/>
      <c r="EPQ15" s="1"/>
      <c r="EPR15" s="1"/>
      <c r="EPS15" s="1"/>
      <c r="EPT15" s="1"/>
      <c r="EPU15" s="1"/>
      <c r="EPV15" s="1"/>
      <c r="EPW15" s="1"/>
      <c r="EPX15" s="1"/>
      <c r="EPY15" s="1"/>
      <c r="EPZ15" s="1"/>
      <c r="EQA15" s="1"/>
      <c r="EQB15" s="1"/>
      <c r="EQC15" s="1"/>
      <c r="EQD15" s="1"/>
      <c r="EQE15" s="1"/>
      <c r="EQF15" s="1"/>
      <c r="EQG15" s="1"/>
      <c r="EQH15" s="1"/>
      <c r="EQI15" s="1"/>
      <c r="EQJ15" s="1"/>
      <c r="EQK15" s="1"/>
      <c r="EQL15" s="1"/>
      <c r="EQM15" s="1"/>
      <c r="EQN15" s="1"/>
      <c r="EQO15" s="1"/>
      <c r="EQP15" s="1"/>
      <c r="EQQ15" s="1"/>
      <c r="EQR15" s="1"/>
      <c r="EQS15" s="1"/>
      <c r="EQT15" s="1"/>
      <c r="EQU15" s="1"/>
      <c r="EQV15" s="1"/>
      <c r="EQW15" s="1"/>
      <c r="EQX15" s="1"/>
      <c r="EQY15" s="1"/>
      <c r="EQZ15" s="1"/>
      <c r="ERA15" s="1"/>
      <c r="ERB15" s="1"/>
      <c r="ERC15" s="1"/>
      <c r="ERD15" s="1"/>
      <c r="ERE15" s="1"/>
      <c r="ERF15" s="1"/>
      <c r="ERG15" s="1"/>
      <c r="ERH15" s="1"/>
      <c r="ERI15" s="1"/>
      <c r="ERJ15" s="1"/>
      <c r="ERK15" s="1"/>
      <c r="ERL15" s="1"/>
      <c r="ERM15" s="1"/>
      <c r="ERN15" s="1"/>
      <c r="ERO15" s="1"/>
      <c r="ERP15" s="1"/>
      <c r="ERQ15" s="1"/>
      <c r="ERR15" s="1"/>
      <c r="ERS15" s="1"/>
      <c r="ERT15" s="1"/>
      <c r="ERU15" s="1"/>
      <c r="ERV15" s="1"/>
      <c r="ERW15" s="1"/>
      <c r="ERX15" s="1"/>
      <c r="ERY15" s="1"/>
      <c r="ERZ15" s="1"/>
      <c r="ESA15" s="1"/>
      <c r="ESB15" s="1"/>
      <c r="ESC15" s="1"/>
      <c r="ESD15" s="1"/>
      <c r="ESE15" s="1"/>
      <c r="ESF15" s="1"/>
      <c r="ESG15" s="1"/>
      <c r="ESH15" s="1"/>
      <c r="ESI15" s="1"/>
      <c r="ESJ15" s="1"/>
      <c r="ESK15" s="1"/>
      <c r="ESL15" s="1"/>
      <c r="ESM15" s="1"/>
      <c r="ESN15" s="1"/>
      <c r="ESO15" s="1"/>
      <c r="ESP15" s="1"/>
      <c r="ESQ15" s="1"/>
      <c r="ESR15" s="1"/>
      <c r="ESS15" s="1"/>
      <c r="EST15" s="1"/>
      <c r="ESU15" s="1"/>
      <c r="ESV15" s="1"/>
      <c r="ESW15" s="1"/>
      <c r="ESX15" s="1"/>
      <c r="ESY15" s="1"/>
      <c r="ESZ15" s="1"/>
      <c r="ETA15" s="1"/>
      <c r="ETB15" s="1"/>
      <c r="ETC15" s="1"/>
      <c r="ETD15" s="1"/>
      <c r="ETE15" s="1"/>
      <c r="ETF15" s="1"/>
      <c r="ETG15" s="1"/>
      <c r="ETH15" s="1"/>
      <c r="ETI15" s="1"/>
      <c r="ETJ15" s="1"/>
      <c r="ETK15" s="1"/>
      <c r="ETL15" s="1"/>
      <c r="ETM15" s="1"/>
      <c r="ETN15" s="1"/>
      <c r="ETO15" s="1"/>
      <c r="ETP15" s="1"/>
      <c r="ETQ15" s="1"/>
      <c r="ETR15" s="1"/>
      <c r="ETS15" s="1"/>
      <c r="ETT15" s="1"/>
      <c r="ETU15" s="1"/>
      <c r="ETV15" s="1"/>
      <c r="ETW15" s="1"/>
      <c r="ETX15" s="1"/>
      <c r="ETY15" s="1"/>
      <c r="ETZ15" s="1"/>
      <c r="EUA15" s="1"/>
      <c r="EUB15" s="1"/>
      <c r="EUC15" s="1"/>
      <c r="EUD15" s="1"/>
      <c r="EUE15" s="1"/>
      <c r="EUF15" s="1"/>
      <c r="EUG15" s="1"/>
      <c r="EUH15" s="1"/>
      <c r="EUI15" s="1"/>
      <c r="EUJ15" s="1"/>
      <c r="EUK15" s="1"/>
      <c r="EUL15" s="1"/>
      <c r="EUM15" s="1"/>
      <c r="EUN15" s="1"/>
      <c r="EUO15" s="1"/>
      <c r="EUP15" s="1"/>
      <c r="EUQ15" s="1"/>
      <c r="EUR15" s="1"/>
      <c r="EUS15" s="1"/>
      <c r="EUT15" s="1"/>
      <c r="EUU15" s="1"/>
      <c r="EUV15" s="1"/>
      <c r="EUW15" s="1"/>
      <c r="EUX15" s="1"/>
      <c r="EUY15" s="1"/>
      <c r="EUZ15" s="1"/>
      <c r="EVA15" s="1"/>
      <c r="EVB15" s="1"/>
      <c r="EVC15" s="1"/>
      <c r="EVD15" s="1"/>
      <c r="EVE15" s="1"/>
      <c r="EVF15" s="1"/>
      <c r="EVG15" s="1"/>
      <c r="EVH15" s="1"/>
      <c r="EVI15" s="1"/>
      <c r="EVJ15" s="1"/>
      <c r="EVK15" s="1"/>
      <c r="EVL15" s="1"/>
      <c r="EVM15" s="1"/>
      <c r="EVN15" s="1"/>
      <c r="EVO15" s="1"/>
      <c r="EVP15" s="1"/>
      <c r="EVQ15" s="1"/>
      <c r="EVR15" s="1"/>
      <c r="EVS15" s="1"/>
      <c r="EVT15" s="1"/>
      <c r="EVU15" s="1"/>
      <c r="EVV15" s="1"/>
      <c r="EVW15" s="1"/>
      <c r="EVX15" s="1"/>
      <c r="EVY15" s="1"/>
      <c r="EVZ15" s="1"/>
      <c r="EWA15" s="1"/>
      <c r="EWB15" s="1"/>
      <c r="EWC15" s="1"/>
      <c r="EWD15" s="1"/>
      <c r="EWE15" s="1"/>
      <c r="EWF15" s="1"/>
      <c r="EWG15" s="1"/>
      <c r="EWH15" s="1"/>
      <c r="EWI15" s="1"/>
      <c r="EWJ15" s="1"/>
      <c r="EWK15" s="1"/>
      <c r="EWL15" s="1"/>
      <c r="EWM15" s="1"/>
      <c r="EWN15" s="1"/>
      <c r="EWO15" s="1"/>
      <c r="EWP15" s="1"/>
      <c r="EWQ15" s="1"/>
      <c r="EWR15" s="1"/>
      <c r="EWS15" s="1"/>
      <c r="EWT15" s="1"/>
      <c r="EWU15" s="1"/>
      <c r="EWV15" s="1"/>
      <c r="EWW15" s="1"/>
      <c r="EWX15" s="1"/>
      <c r="EWY15" s="1"/>
      <c r="EWZ15" s="1"/>
      <c r="EXA15" s="1"/>
      <c r="EXB15" s="1"/>
      <c r="EXC15" s="1"/>
      <c r="EXD15" s="1"/>
      <c r="EXE15" s="1"/>
      <c r="EXF15" s="1"/>
      <c r="EXG15" s="1"/>
      <c r="EXH15" s="1"/>
      <c r="EXI15" s="1"/>
      <c r="EXJ15" s="1"/>
      <c r="EXK15" s="1"/>
      <c r="EXL15" s="1"/>
      <c r="EXM15" s="1"/>
      <c r="EXN15" s="1"/>
      <c r="EXO15" s="1"/>
      <c r="EXP15" s="1"/>
      <c r="EXQ15" s="1"/>
      <c r="EXR15" s="1"/>
      <c r="EXS15" s="1"/>
      <c r="EXT15" s="1"/>
      <c r="EXU15" s="1"/>
      <c r="EXV15" s="1"/>
      <c r="EXW15" s="1"/>
      <c r="EXX15" s="1"/>
      <c r="EXY15" s="1"/>
      <c r="EXZ15" s="1"/>
      <c r="EYA15" s="1"/>
      <c r="EYB15" s="1"/>
      <c r="EYC15" s="1"/>
      <c r="EYD15" s="1"/>
      <c r="EYE15" s="1"/>
      <c r="EYF15" s="1"/>
      <c r="EYG15" s="1"/>
      <c r="EYH15" s="1"/>
      <c r="EYI15" s="1"/>
      <c r="EYJ15" s="1"/>
      <c r="EYK15" s="1"/>
      <c r="EYL15" s="1"/>
      <c r="EYM15" s="1"/>
      <c r="EYN15" s="1"/>
      <c r="EYO15" s="1"/>
      <c r="EYP15" s="1"/>
      <c r="EYQ15" s="1"/>
      <c r="EYR15" s="1"/>
      <c r="EYS15" s="1"/>
      <c r="EYT15" s="1"/>
      <c r="EYU15" s="1"/>
      <c r="EYV15" s="1"/>
      <c r="EYW15" s="1"/>
      <c r="EYX15" s="1"/>
      <c r="EYY15" s="1"/>
      <c r="EYZ15" s="1"/>
      <c r="EZA15" s="1"/>
      <c r="EZB15" s="1"/>
      <c r="EZC15" s="1"/>
      <c r="EZD15" s="1"/>
      <c r="EZE15" s="1"/>
      <c r="EZF15" s="1"/>
      <c r="EZG15" s="1"/>
      <c r="EZH15" s="1"/>
      <c r="EZI15" s="1"/>
      <c r="EZJ15" s="1"/>
      <c r="EZK15" s="1"/>
      <c r="EZL15" s="1"/>
      <c r="EZM15" s="1"/>
      <c r="EZN15" s="1"/>
      <c r="EZO15" s="1"/>
      <c r="EZP15" s="1"/>
      <c r="EZQ15" s="1"/>
      <c r="EZR15" s="1"/>
      <c r="EZS15" s="1"/>
      <c r="EZT15" s="1"/>
      <c r="EZU15" s="1"/>
      <c r="EZV15" s="1"/>
      <c r="EZW15" s="1"/>
      <c r="EZX15" s="1"/>
      <c r="EZY15" s="1"/>
      <c r="EZZ15" s="1"/>
      <c r="FAA15" s="1"/>
      <c r="FAB15" s="1"/>
      <c r="FAC15" s="1"/>
      <c r="FAD15" s="1"/>
      <c r="FAE15" s="1"/>
      <c r="FAF15" s="1"/>
      <c r="FAG15" s="1"/>
      <c r="FAH15" s="1"/>
      <c r="FAI15" s="1"/>
      <c r="FAJ15" s="1"/>
      <c r="FAK15" s="1"/>
      <c r="FAL15" s="1"/>
      <c r="FAM15" s="1"/>
      <c r="FAN15" s="1"/>
      <c r="FAO15" s="1"/>
      <c r="FAP15" s="1"/>
      <c r="FAQ15" s="1"/>
      <c r="FAR15" s="1"/>
      <c r="FAS15" s="1"/>
      <c r="FAT15" s="1"/>
      <c r="FAU15" s="1"/>
      <c r="FAV15" s="1"/>
      <c r="FAW15" s="1"/>
      <c r="FAX15" s="1"/>
      <c r="FAY15" s="1"/>
      <c r="FAZ15" s="1"/>
      <c r="FBA15" s="1"/>
      <c r="FBB15" s="1"/>
      <c r="FBC15" s="1"/>
      <c r="FBD15" s="1"/>
      <c r="FBE15" s="1"/>
      <c r="FBF15" s="1"/>
      <c r="FBG15" s="1"/>
      <c r="FBH15" s="1"/>
      <c r="FBI15" s="1"/>
      <c r="FBJ15" s="1"/>
      <c r="FBK15" s="1"/>
      <c r="FBL15" s="1"/>
      <c r="FBM15" s="1"/>
      <c r="FBN15" s="1"/>
      <c r="FBO15" s="1"/>
      <c r="FBP15" s="1"/>
      <c r="FBQ15" s="1"/>
      <c r="FBR15" s="1"/>
      <c r="FBS15" s="1"/>
      <c r="FBT15" s="1"/>
      <c r="FBU15" s="1"/>
      <c r="FBV15" s="1"/>
      <c r="FBW15" s="1"/>
      <c r="FBX15" s="1"/>
      <c r="FBY15" s="1"/>
      <c r="FBZ15" s="1"/>
      <c r="FCA15" s="1"/>
      <c r="FCB15" s="1"/>
      <c r="FCC15" s="1"/>
      <c r="FCD15" s="1"/>
      <c r="FCE15" s="1"/>
      <c r="FCF15" s="1"/>
      <c r="FCG15" s="1"/>
      <c r="FCH15" s="1"/>
      <c r="FCI15" s="1"/>
      <c r="FCJ15" s="1"/>
      <c r="FCK15" s="1"/>
      <c r="FCL15" s="1"/>
      <c r="FCM15" s="1"/>
      <c r="FCN15" s="1"/>
      <c r="FCO15" s="1"/>
      <c r="FCP15" s="1"/>
      <c r="FCQ15" s="1"/>
      <c r="FCR15" s="1"/>
      <c r="FCS15" s="1"/>
      <c r="FCT15" s="1"/>
      <c r="FCU15" s="1"/>
      <c r="FCV15" s="1"/>
      <c r="FCW15" s="1"/>
      <c r="FCX15" s="1"/>
      <c r="FCY15" s="1"/>
      <c r="FCZ15" s="1"/>
      <c r="FDA15" s="1"/>
      <c r="FDB15" s="1"/>
      <c r="FDC15" s="1"/>
      <c r="FDD15" s="1"/>
      <c r="FDE15" s="1"/>
      <c r="FDF15" s="1"/>
      <c r="FDG15" s="1"/>
      <c r="FDH15" s="1"/>
      <c r="FDI15" s="1"/>
      <c r="FDJ15" s="1"/>
      <c r="FDK15" s="1"/>
      <c r="FDL15" s="1"/>
      <c r="FDM15" s="1"/>
      <c r="FDN15" s="1"/>
      <c r="FDO15" s="1"/>
      <c r="FDP15" s="1"/>
      <c r="FDQ15" s="1"/>
      <c r="FDR15" s="1"/>
      <c r="FDS15" s="1"/>
      <c r="FDT15" s="1"/>
      <c r="FDU15" s="1"/>
      <c r="FDV15" s="1"/>
      <c r="FDW15" s="1"/>
      <c r="FDX15" s="1"/>
      <c r="FDY15" s="1"/>
      <c r="FDZ15" s="1"/>
      <c r="FEA15" s="1"/>
      <c r="FEB15" s="1"/>
      <c r="FEC15" s="1"/>
      <c r="FED15" s="1"/>
      <c r="FEE15" s="1"/>
      <c r="FEF15" s="1"/>
      <c r="FEG15" s="1"/>
      <c r="FEH15" s="1"/>
      <c r="FEI15" s="1"/>
      <c r="FEJ15" s="1"/>
      <c r="FEK15" s="1"/>
      <c r="FEL15" s="1"/>
      <c r="FEM15" s="1"/>
      <c r="FEN15" s="1"/>
      <c r="FEO15" s="1"/>
      <c r="FEP15" s="1"/>
      <c r="FEQ15" s="1"/>
      <c r="FER15" s="1"/>
      <c r="FES15" s="1"/>
      <c r="FET15" s="1"/>
      <c r="FEU15" s="1"/>
      <c r="FEV15" s="1"/>
      <c r="FEW15" s="1"/>
      <c r="FEX15" s="1"/>
      <c r="FEY15" s="1"/>
      <c r="FEZ15" s="1"/>
      <c r="FFA15" s="1"/>
      <c r="FFB15" s="1"/>
      <c r="FFC15" s="1"/>
      <c r="FFD15" s="1"/>
      <c r="FFE15" s="1"/>
      <c r="FFF15" s="1"/>
      <c r="FFG15" s="1"/>
      <c r="FFH15" s="1"/>
      <c r="FFI15" s="1"/>
      <c r="FFJ15" s="1"/>
      <c r="FFK15" s="1"/>
      <c r="FFL15" s="1"/>
      <c r="FFM15" s="1"/>
      <c r="FFN15" s="1"/>
      <c r="FFO15" s="1"/>
      <c r="FFP15" s="1"/>
      <c r="FFQ15" s="1"/>
      <c r="FFR15" s="1"/>
      <c r="FFS15" s="1"/>
      <c r="FFT15" s="1"/>
      <c r="FFU15" s="1"/>
      <c r="FFV15" s="1"/>
      <c r="FFW15" s="1"/>
      <c r="FFX15" s="1"/>
      <c r="FFY15" s="1"/>
      <c r="FFZ15" s="1"/>
      <c r="FGA15" s="1"/>
      <c r="FGB15" s="1"/>
      <c r="FGC15" s="1"/>
      <c r="FGD15" s="1"/>
      <c r="FGE15" s="1"/>
      <c r="FGF15" s="1"/>
      <c r="FGG15" s="1"/>
      <c r="FGH15" s="1"/>
      <c r="FGI15" s="1"/>
      <c r="FGJ15" s="1"/>
      <c r="FGK15" s="1"/>
      <c r="FGL15" s="1"/>
      <c r="FGM15" s="1"/>
      <c r="FGN15" s="1"/>
      <c r="FGO15" s="1"/>
      <c r="FGP15" s="1"/>
      <c r="FGQ15" s="1"/>
      <c r="FGR15" s="1"/>
      <c r="FGS15" s="1"/>
      <c r="FGT15" s="1"/>
      <c r="FGU15" s="1"/>
      <c r="FGV15" s="1"/>
      <c r="FGW15" s="1"/>
      <c r="FGX15" s="1"/>
      <c r="FGY15" s="1"/>
      <c r="FGZ15" s="1"/>
      <c r="FHA15" s="1"/>
      <c r="FHB15" s="1"/>
      <c r="FHC15" s="1"/>
      <c r="FHD15" s="1"/>
      <c r="FHE15" s="1"/>
      <c r="FHF15" s="1"/>
      <c r="FHG15" s="1"/>
      <c r="FHH15" s="1"/>
      <c r="FHI15" s="1"/>
      <c r="FHJ15" s="1"/>
      <c r="FHK15" s="1"/>
      <c r="FHL15" s="1"/>
      <c r="FHM15" s="1"/>
      <c r="FHN15" s="1"/>
      <c r="FHO15" s="1"/>
      <c r="FHP15" s="1"/>
      <c r="FHQ15" s="1"/>
      <c r="FHR15" s="1"/>
      <c r="FHS15" s="1"/>
      <c r="FHT15" s="1"/>
      <c r="FHU15" s="1"/>
      <c r="FHV15" s="1"/>
      <c r="FHW15" s="1"/>
      <c r="FHX15" s="1"/>
      <c r="FHY15" s="1"/>
      <c r="FHZ15" s="1"/>
      <c r="FIA15" s="1"/>
      <c r="FIB15" s="1"/>
      <c r="FIC15" s="1"/>
      <c r="FID15" s="1"/>
      <c r="FIE15" s="1"/>
      <c r="FIF15" s="1"/>
      <c r="FIG15" s="1"/>
      <c r="FIH15" s="1"/>
      <c r="FII15" s="1"/>
      <c r="FIJ15" s="1"/>
      <c r="FIK15" s="1"/>
      <c r="FIL15" s="1"/>
      <c r="FIM15" s="1"/>
      <c r="FIN15" s="1"/>
      <c r="FIO15" s="1"/>
      <c r="FIP15" s="1"/>
      <c r="FIQ15" s="1"/>
      <c r="FIR15" s="1"/>
      <c r="FIS15" s="1"/>
      <c r="FIT15" s="1"/>
      <c r="FIU15" s="1"/>
      <c r="FIV15" s="1"/>
      <c r="FIW15" s="1"/>
      <c r="FIX15" s="1"/>
      <c r="FIY15" s="1"/>
      <c r="FIZ15" s="1"/>
      <c r="FJA15" s="1"/>
      <c r="FJB15" s="1"/>
      <c r="FJC15" s="1"/>
      <c r="FJD15" s="1"/>
      <c r="FJE15" s="1"/>
      <c r="FJF15" s="1"/>
      <c r="FJG15" s="1"/>
      <c r="FJH15" s="1"/>
      <c r="FJI15" s="1"/>
      <c r="FJJ15" s="1"/>
      <c r="FJK15" s="1"/>
      <c r="FJL15" s="1"/>
      <c r="FJM15" s="1"/>
      <c r="FJN15" s="1"/>
      <c r="FJO15" s="1"/>
      <c r="FJP15" s="1"/>
      <c r="FJQ15" s="1"/>
      <c r="FJR15" s="1"/>
      <c r="FJS15" s="1"/>
      <c r="FJT15" s="1"/>
      <c r="FJU15" s="1"/>
      <c r="FJV15" s="1"/>
      <c r="FJW15" s="1"/>
      <c r="FJX15" s="1"/>
      <c r="FJY15" s="1"/>
      <c r="FJZ15" s="1"/>
      <c r="FKA15" s="1"/>
      <c r="FKB15" s="1"/>
      <c r="FKC15" s="1"/>
      <c r="FKD15" s="1"/>
      <c r="FKE15" s="1"/>
      <c r="FKF15" s="1"/>
      <c r="FKG15" s="1"/>
      <c r="FKH15" s="1"/>
      <c r="FKI15" s="1"/>
      <c r="FKJ15" s="1"/>
      <c r="FKK15" s="1"/>
      <c r="FKL15" s="1"/>
      <c r="FKM15" s="1"/>
      <c r="FKN15" s="1"/>
      <c r="FKO15" s="1"/>
      <c r="FKP15" s="1"/>
      <c r="FKQ15" s="1"/>
      <c r="FKR15" s="1"/>
      <c r="FKS15" s="1"/>
      <c r="FKT15" s="1"/>
      <c r="FKU15" s="1"/>
      <c r="FKV15" s="1"/>
      <c r="FKW15" s="1"/>
      <c r="FKX15" s="1"/>
      <c r="FKY15" s="1"/>
      <c r="FKZ15" s="1"/>
      <c r="FLA15" s="1"/>
      <c r="FLB15" s="1"/>
      <c r="FLC15" s="1"/>
      <c r="FLD15" s="1"/>
      <c r="FLE15" s="1"/>
      <c r="FLF15" s="1"/>
      <c r="FLG15" s="1"/>
      <c r="FLH15" s="1"/>
      <c r="FLI15" s="1"/>
      <c r="FLJ15" s="1"/>
      <c r="FLK15" s="1"/>
      <c r="FLL15" s="1"/>
      <c r="FLM15" s="1"/>
      <c r="FLN15" s="1"/>
      <c r="FLO15" s="1"/>
      <c r="FLP15" s="1"/>
      <c r="FLQ15" s="1"/>
      <c r="FLR15" s="1"/>
      <c r="FLS15" s="1"/>
      <c r="FLT15" s="1"/>
      <c r="FLU15" s="1"/>
      <c r="FLV15" s="1"/>
      <c r="FLW15" s="1"/>
      <c r="FLX15" s="1"/>
      <c r="FLY15" s="1"/>
      <c r="FLZ15" s="1"/>
      <c r="FMA15" s="1"/>
      <c r="FMB15" s="1"/>
      <c r="FMC15" s="1"/>
      <c r="FMD15" s="1"/>
      <c r="FME15" s="1"/>
      <c r="FMF15" s="1"/>
      <c r="FMG15" s="1"/>
      <c r="FMH15" s="1"/>
      <c r="FMI15" s="1"/>
      <c r="FMJ15" s="1"/>
      <c r="FMK15" s="1"/>
      <c r="FML15" s="1"/>
      <c r="FMM15" s="1"/>
      <c r="FMN15" s="1"/>
      <c r="FMO15" s="1"/>
      <c r="FMP15" s="1"/>
      <c r="FMQ15" s="1"/>
      <c r="FMR15" s="1"/>
      <c r="FMS15" s="1"/>
      <c r="FMT15" s="1"/>
      <c r="FMU15" s="1"/>
      <c r="FMV15" s="1"/>
      <c r="FMW15" s="1"/>
      <c r="FMX15" s="1"/>
      <c r="FMY15" s="1"/>
      <c r="FMZ15" s="1"/>
      <c r="FNA15" s="1"/>
      <c r="FNB15" s="1"/>
      <c r="FNC15" s="1"/>
      <c r="FND15" s="1"/>
      <c r="FNE15" s="1"/>
      <c r="FNF15" s="1"/>
      <c r="FNG15" s="1"/>
      <c r="FNH15" s="1"/>
      <c r="FNI15" s="1"/>
      <c r="FNJ15" s="1"/>
      <c r="FNK15" s="1"/>
      <c r="FNL15" s="1"/>
      <c r="FNM15" s="1"/>
      <c r="FNN15" s="1"/>
      <c r="FNO15" s="1"/>
      <c r="FNP15" s="1"/>
      <c r="FNQ15" s="1"/>
      <c r="FNR15" s="1"/>
      <c r="FNS15" s="1"/>
      <c r="FNT15" s="1"/>
      <c r="FNU15" s="1"/>
      <c r="FNV15" s="1"/>
      <c r="FNW15" s="1"/>
      <c r="FNX15" s="1"/>
      <c r="FNY15" s="1"/>
      <c r="FNZ15" s="1"/>
      <c r="FOA15" s="1"/>
      <c r="FOB15" s="1"/>
      <c r="FOC15" s="1"/>
      <c r="FOD15" s="1"/>
      <c r="FOE15" s="1"/>
      <c r="FOF15" s="1"/>
      <c r="FOG15" s="1"/>
      <c r="FOH15" s="1"/>
      <c r="FOI15" s="1"/>
      <c r="FOJ15" s="1"/>
      <c r="FOK15" s="1"/>
      <c r="FOL15" s="1"/>
      <c r="FOM15" s="1"/>
      <c r="FON15" s="1"/>
      <c r="FOO15" s="1"/>
      <c r="FOP15" s="1"/>
      <c r="FOQ15" s="1"/>
      <c r="FOR15" s="1"/>
      <c r="FOS15" s="1"/>
      <c r="FOT15" s="1"/>
      <c r="FOU15" s="1"/>
      <c r="FOV15" s="1"/>
      <c r="FOW15" s="1"/>
      <c r="FOX15" s="1"/>
      <c r="FOY15" s="1"/>
      <c r="FOZ15" s="1"/>
      <c r="FPA15" s="1"/>
      <c r="FPB15" s="1"/>
      <c r="FPC15" s="1"/>
      <c r="FPD15" s="1"/>
      <c r="FPE15" s="1"/>
      <c r="FPF15" s="1"/>
      <c r="FPG15" s="1"/>
      <c r="FPH15" s="1"/>
      <c r="FPI15" s="1"/>
      <c r="FPJ15" s="1"/>
      <c r="FPK15" s="1"/>
      <c r="FPL15" s="1"/>
      <c r="FPM15" s="1"/>
      <c r="FPN15" s="1"/>
      <c r="FPO15" s="1"/>
      <c r="FPP15" s="1"/>
      <c r="FPQ15" s="1"/>
      <c r="FPR15" s="1"/>
      <c r="FPS15" s="1"/>
      <c r="FPT15" s="1"/>
      <c r="FPU15" s="1"/>
      <c r="FPV15" s="1"/>
      <c r="FPW15" s="1"/>
      <c r="FPX15" s="1"/>
      <c r="FPY15" s="1"/>
      <c r="FPZ15" s="1"/>
      <c r="FQA15" s="1"/>
      <c r="FQB15" s="1"/>
      <c r="FQC15" s="1"/>
      <c r="FQD15" s="1"/>
      <c r="FQE15" s="1"/>
      <c r="FQF15" s="1"/>
      <c r="FQG15" s="1"/>
      <c r="FQH15" s="1"/>
      <c r="FQI15" s="1"/>
      <c r="FQJ15" s="1"/>
      <c r="FQK15" s="1"/>
      <c r="FQL15" s="1"/>
      <c r="FQM15" s="1"/>
      <c r="FQN15" s="1"/>
      <c r="FQO15" s="1"/>
      <c r="FQP15" s="1"/>
      <c r="FQQ15" s="1"/>
      <c r="FQR15" s="1"/>
      <c r="FQS15" s="1"/>
      <c r="FQT15" s="1"/>
      <c r="FQU15" s="1"/>
      <c r="FQV15" s="1"/>
      <c r="FQW15" s="1"/>
      <c r="FQX15" s="1"/>
      <c r="FQY15" s="1"/>
      <c r="FQZ15" s="1"/>
      <c r="FRA15" s="1"/>
      <c r="FRB15" s="1"/>
      <c r="FRC15" s="1"/>
      <c r="FRD15" s="1"/>
      <c r="FRE15" s="1"/>
      <c r="FRF15" s="1"/>
      <c r="FRG15" s="1"/>
      <c r="FRH15" s="1"/>
      <c r="FRI15" s="1"/>
      <c r="FRJ15" s="1"/>
      <c r="FRK15" s="1"/>
      <c r="FRL15" s="1"/>
      <c r="FRM15" s="1"/>
      <c r="FRN15" s="1"/>
      <c r="FRO15" s="1"/>
      <c r="FRP15" s="1"/>
      <c r="FRQ15" s="1"/>
      <c r="FRR15" s="1"/>
      <c r="FRS15" s="1"/>
      <c r="FRT15" s="1"/>
      <c r="FRU15" s="1"/>
      <c r="FRV15" s="1"/>
      <c r="FRW15" s="1"/>
      <c r="FRX15" s="1"/>
      <c r="FRY15" s="1"/>
      <c r="FRZ15" s="1"/>
      <c r="FSA15" s="1"/>
      <c r="FSB15" s="1"/>
      <c r="FSC15" s="1"/>
      <c r="FSD15" s="1"/>
      <c r="FSE15" s="1"/>
      <c r="FSF15" s="1"/>
      <c r="FSG15" s="1"/>
      <c r="FSH15" s="1"/>
      <c r="FSI15" s="1"/>
      <c r="FSJ15" s="1"/>
      <c r="FSK15" s="1"/>
      <c r="FSL15" s="1"/>
      <c r="FSM15" s="1"/>
      <c r="FSN15" s="1"/>
      <c r="FSO15" s="1"/>
      <c r="FSP15" s="1"/>
      <c r="FSQ15" s="1"/>
      <c r="FSR15" s="1"/>
      <c r="FSS15" s="1"/>
      <c r="FST15" s="1"/>
      <c r="FSU15" s="1"/>
      <c r="FSV15" s="1"/>
      <c r="FSW15" s="1"/>
      <c r="FSX15" s="1"/>
      <c r="FSY15" s="1"/>
      <c r="FSZ15" s="1"/>
      <c r="FTA15" s="1"/>
      <c r="FTB15" s="1"/>
      <c r="FTC15" s="1"/>
      <c r="FTD15" s="1"/>
      <c r="FTE15" s="1"/>
      <c r="FTF15" s="1"/>
      <c r="FTG15" s="1"/>
      <c r="FTH15" s="1"/>
      <c r="FTI15" s="1"/>
      <c r="FTJ15" s="1"/>
      <c r="FTK15" s="1"/>
      <c r="FTL15" s="1"/>
      <c r="FTM15" s="1"/>
      <c r="FTN15" s="1"/>
      <c r="FTO15" s="1"/>
      <c r="FTP15" s="1"/>
      <c r="FTQ15" s="1"/>
      <c r="FTR15" s="1"/>
      <c r="FTS15" s="1"/>
      <c r="FTT15" s="1"/>
      <c r="FTU15" s="1"/>
      <c r="FTV15" s="1"/>
      <c r="FTW15" s="1"/>
      <c r="FTX15" s="1"/>
      <c r="FTY15" s="1"/>
      <c r="FTZ15" s="1"/>
      <c r="FUA15" s="1"/>
      <c r="FUB15" s="1"/>
      <c r="FUC15" s="1"/>
      <c r="FUD15" s="1"/>
      <c r="FUE15" s="1"/>
      <c r="FUF15" s="1"/>
      <c r="FUG15" s="1"/>
      <c r="FUH15" s="1"/>
      <c r="FUI15" s="1"/>
      <c r="FUJ15" s="1"/>
      <c r="FUK15" s="1"/>
      <c r="FUL15" s="1"/>
      <c r="FUM15" s="1"/>
      <c r="FUN15" s="1"/>
      <c r="FUO15" s="1"/>
      <c r="FUP15" s="1"/>
      <c r="FUQ15" s="1"/>
      <c r="FUR15" s="1"/>
      <c r="FUS15" s="1"/>
      <c r="FUT15" s="1"/>
      <c r="FUU15" s="1"/>
      <c r="FUV15" s="1"/>
      <c r="FUW15" s="1"/>
      <c r="FUX15" s="1"/>
      <c r="FUY15" s="1"/>
      <c r="FUZ15" s="1"/>
      <c r="FVA15" s="1"/>
      <c r="FVB15" s="1"/>
      <c r="FVC15" s="1"/>
      <c r="FVD15" s="1"/>
      <c r="FVE15" s="1"/>
      <c r="FVF15" s="1"/>
      <c r="FVG15" s="1"/>
      <c r="FVH15" s="1"/>
      <c r="FVI15" s="1"/>
      <c r="FVJ15" s="1"/>
      <c r="FVK15" s="1"/>
      <c r="FVL15" s="1"/>
      <c r="FVM15" s="1"/>
      <c r="FVN15" s="1"/>
      <c r="FVO15" s="1"/>
      <c r="FVP15" s="1"/>
      <c r="FVQ15" s="1"/>
      <c r="FVR15" s="1"/>
      <c r="FVS15" s="1"/>
      <c r="FVT15" s="1"/>
      <c r="FVU15" s="1"/>
      <c r="FVV15" s="1"/>
      <c r="FVW15" s="1"/>
      <c r="FVX15" s="1"/>
      <c r="FVY15" s="1"/>
      <c r="FVZ15" s="1"/>
      <c r="FWA15" s="1"/>
      <c r="FWB15" s="1"/>
      <c r="FWC15" s="1"/>
      <c r="FWD15" s="1"/>
      <c r="FWE15" s="1"/>
      <c r="FWF15" s="1"/>
      <c r="FWG15" s="1"/>
      <c r="FWH15" s="1"/>
      <c r="FWI15" s="1"/>
      <c r="FWJ15" s="1"/>
      <c r="FWK15" s="1"/>
      <c r="FWL15" s="1"/>
      <c r="FWM15" s="1"/>
      <c r="FWN15" s="1"/>
      <c r="FWO15" s="1"/>
      <c r="FWP15" s="1"/>
      <c r="FWQ15" s="1"/>
      <c r="FWR15" s="1"/>
      <c r="FWS15" s="1"/>
      <c r="FWT15" s="1"/>
      <c r="FWU15" s="1"/>
      <c r="FWV15" s="1"/>
      <c r="FWW15" s="1"/>
      <c r="FWX15" s="1"/>
      <c r="FWY15" s="1"/>
      <c r="FWZ15" s="1"/>
      <c r="FXA15" s="1"/>
      <c r="FXB15" s="1"/>
      <c r="FXC15" s="1"/>
      <c r="FXD15" s="1"/>
      <c r="FXE15" s="1"/>
      <c r="FXF15" s="1"/>
      <c r="FXG15" s="1"/>
      <c r="FXH15" s="1"/>
      <c r="FXI15" s="1"/>
      <c r="FXJ15" s="1"/>
      <c r="FXK15" s="1"/>
      <c r="FXL15" s="1"/>
      <c r="FXM15" s="1"/>
      <c r="FXN15" s="1"/>
      <c r="FXO15" s="1"/>
      <c r="FXP15" s="1"/>
      <c r="FXQ15" s="1"/>
      <c r="FXR15" s="1"/>
      <c r="FXS15" s="1"/>
      <c r="FXT15" s="1"/>
      <c r="FXU15" s="1"/>
      <c r="FXV15" s="1"/>
      <c r="FXW15" s="1"/>
      <c r="FXX15" s="1"/>
      <c r="FXY15" s="1"/>
      <c r="FXZ15" s="1"/>
      <c r="FYA15" s="1"/>
      <c r="FYB15" s="1"/>
      <c r="FYC15" s="1"/>
      <c r="FYD15" s="1"/>
      <c r="FYE15" s="1"/>
      <c r="FYF15" s="1"/>
      <c r="FYG15" s="1"/>
      <c r="FYH15" s="1"/>
      <c r="FYI15" s="1"/>
      <c r="FYJ15" s="1"/>
      <c r="FYK15" s="1"/>
      <c r="FYL15" s="1"/>
      <c r="FYM15" s="1"/>
      <c r="FYN15" s="1"/>
      <c r="FYO15" s="1"/>
      <c r="FYP15" s="1"/>
      <c r="FYQ15" s="1"/>
      <c r="FYR15" s="1"/>
      <c r="FYS15" s="1"/>
      <c r="FYT15" s="1"/>
      <c r="FYU15" s="1"/>
      <c r="FYV15" s="1"/>
      <c r="FYW15" s="1"/>
      <c r="FYX15" s="1"/>
      <c r="FYY15" s="1"/>
      <c r="FYZ15" s="1"/>
      <c r="FZA15" s="1"/>
      <c r="FZB15" s="1"/>
      <c r="FZC15" s="1"/>
      <c r="FZD15" s="1"/>
      <c r="FZE15" s="1"/>
      <c r="FZF15" s="1"/>
      <c r="FZG15" s="1"/>
      <c r="FZH15" s="1"/>
      <c r="FZI15" s="1"/>
      <c r="FZJ15" s="1"/>
      <c r="FZK15" s="1"/>
      <c r="FZL15" s="1"/>
      <c r="FZM15" s="1"/>
      <c r="FZN15" s="1"/>
      <c r="FZO15" s="1"/>
      <c r="FZP15" s="1"/>
      <c r="FZQ15" s="1"/>
      <c r="FZR15" s="1"/>
      <c r="FZS15" s="1"/>
      <c r="FZT15" s="1"/>
      <c r="FZU15" s="1"/>
      <c r="FZV15" s="1"/>
      <c r="FZW15" s="1"/>
      <c r="FZX15" s="1"/>
      <c r="FZY15" s="1"/>
      <c r="FZZ15" s="1"/>
      <c r="GAA15" s="1"/>
      <c r="GAB15" s="1"/>
      <c r="GAC15" s="1"/>
      <c r="GAD15" s="1"/>
      <c r="GAE15" s="1"/>
      <c r="GAF15" s="1"/>
      <c r="GAG15" s="1"/>
      <c r="GAH15" s="1"/>
      <c r="GAI15" s="1"/>
      <c r="GAJ15" s="1"/>
      <c r="GAK15" s="1"/>
      <c r="GAL15" s="1"/>
      <c r="GAM15" s="1"/>
      <c r="GAN15" s="1"/>
      <c r="GAO15" s="1"/>
      <c r="GAP15" s="1"/>
      <c r="GAQ15" s="1"/>
      <c r="GAR15" s="1"/>
      <c r="GAS15" s="1"/>
      <c r="GAT15" s="1"/>
      <c r="GAU15" s="1"/>
      <c r="GAV15" s="1"/>
      <c r="GAW15" s="1"/>
      <c r="GAX15" s="1"/>
      <c r="GAY15" s="1"/>
      <c r="GAZ15" s="1"/>
      <c r="GBA15" s="1"/>
      <c r="GBB15" s="1"/>
      <c r="GBC15" s="1"/>
      <c r="GBD15" s="1"/>
      <c r="GBE15" s="1"/>
      <c r="GBF15" s="1"/>
      <c r="GBG15" s="1"/>
      <c r="GBH15" s="1"/>
      <c r="GBI15" s="1"/>
      <c r="GBJ15" s="1"/>
      <c r="GBK15" s="1"/>
      <c r="GBL15" s="1"/>
      <c r="GBM15" s="1"/>
      <c r="GBN15" s="1"/>
      <c r="GBO15" s="1"/>
      <c r="GBP15" s="1"/>
      <c r="GBQ15" s="1"/>
      <c r="GBR15" s="1"/>
      <c r="GBS15" s="1"/>
      <c r="GBT15" s="1"/>
      <c r="GBU15" s="1"/>
      <c r="GBV15" s="1"/>
      <c r="GBW15" s="1"/>
      <c r="GBX15" s="1"/>
      <c r="GBY15" s="1"/>
      <c r="GBZ15" s="1"/>
      <c r="GCA15" s="1"/>
      <c r="GCB15" s="1"/>
      <c r="GCC15" s="1"/>
      <c r="GCD15" s="1"/>
      <c r="GCE15" s="1"/>
      <c r="GCF15" s="1"/>
      <c r="GCG15" s="1"/>
      <c r="GCH15" s="1"/>
      <c r="GCI15" s="1"/>
      <c r="GCJ15" s="1"/>
      <c r="GCK15" s="1"/>
      <c r="GCL15" s="1"/>
      <c r="GCM15" s="1"/>
      <c r="GCN15" s="1"/>
      <c r="GCO15" s="1"/>
      <c r="GCP15" s="1"/>
      <c r="GCQ15" s="1"/>
      <c r="GCR15" s="1"/>
      <c r="GCS15" s="1"/>
      <c r="GCT15" s="1"/>
      <c r="GCU15" s="1"/>
      <c r="GCV15" s="1"/>
      <c r="GCW15" s="1"/>
      <c r="GCX15" s="1"/>
      <c r="GCY15" s="1"/>
      <c r="GCZ15" s="1"/>
      <c r="GDA15" s="1"/>
      <c r="GDB15" s="1"/>
      <c r="GDC15" s="1"/>
      <c r="GDD15" s="1"/>
      <c r="GDE15" s="1"/>
      <c r="GDF15" s="1"/>
      <c r="GDG15" s="1"/>
      <c r="GDH15" s="1"/>
      <c r="GDI15" s="1"/>
      <c r="GDJ15" s="1"/>
      <c r="GDK15" s="1"/>
      <c r="GDL15" s="1"/>
      <c r="GDM15" s="1"/>
      <c r="GDN15" s="1"/>
      <c r="GDO15" s="1"/>
      <c r="GDP15" s="1"/>
      <c r="GDQ15" s="1"/>
      <c r="GDR15" s="1"/>
      <c r="GDS15" s="1"/>
      <c r="GDT15" s="1"/>
      <c r="GDU15" s="1"/>
      <c r="GDV15" s="1"/>
      <c r="GDW15" s="1"/>
      <c r="GDX15" s="1"/>
      <c r="GDY15" s="1"/>
      <c r="GDZ15" s="1"/>
      <c r="GEA15" s="1"/>
      <c r="GEB15" s="1"/>
      <c r="GEC15" s="1"/>
      <c r="GED15" s="1"/>
      <c r="GEE15" s="1"/>
      <c r="GEF15" s="1"/>
      <c r="GEG15" s="1"/>
      <c r="GEH15" s="1"/>
      <c r="GEI15" s="1"/>
      <c r="GEJ15" s="1"/>
      <c r="GEK15" s="1"/>
      <c r="GEL15" s="1"/>
      <c r="GEM15" s="1"/>
      <c r="GEN15" s="1"/>
      <c r="GEO15" s="1"/>
      <c r="GEP15" s="1"/>
      <c r="GEQ15" s="1"/>
      <c r="GER15" s="1"/>
      <c r="GES15" s="1"/>
      <c r="GET15" s="1"/>
      <c r="GEU15" s="1"/>
      <c r="GEV15" s="1"/>
      <c r="GEW15" s="1"/>
      <c r="GEX15" s="1"/>
      <c r="GEY15" s="1"/>
      <c r="GEZ15" s="1"/>
      <c r="GFA15" s="1"/>
      <c r="GFB15" s="1"/>
      <c r="GFC15" s="1"/>
      <c r="GFD15" s="1"/>
      <c r="GFE15" s="1"/>
      <c r="GFF15" s="1"/>
      <c r="GFG15" s="1"/>
      <c r="GFH15" s="1"/>
      <c r="GFI15" s="1"/>
      <c r="GFJ15" s="1"/>
      <c r="GFK15" s="1"/>
      <c r="GFL15" s="1"/>
      <c r="GFM15" s="1"/>
      <c r="GFN15" s="1"/>
      <c r="GFO15" s="1"/>
      <c r="GFP15" s="1"/>
      <c r="GFQ15" s="1"/>
      <c r="GFR15" s="1"/>
      <c r="GFS15" s="1"/>
      <c r="GFT15" s="1"/>
      <c r="GFU15" s="1"/>
      <c r="GFV15" s="1"/>
      <c r="GFW15" s="1"/>
      <c r="GFX15" s="1"/>
      <c r="GFY15" s="1"/>
      <c r="GFZ15" s="1"/>
      <c r="GGA15" s="1"/>
      <c r="GGB15" s="1"/>
      <c r="GGC15" s="1"/>
      <c r="GGD15" s="1"/>
      <c r="GGE15" s="1"/>
      <c r="GGF15" s="1"/>
      <c r="GGG15" s="1"/>
      <c r="GGH15" s="1"/>
      <c r="GGI15" s="1"/>
      <c r="GGJ15" s="1"/>
      <c r="GGK15" s="1"/>
      <c r="GGL15" s="1"/>
      <c r="GGM15" s="1"/>
      <c r="GGN15" s="1"/>
      <c r="GGO15" s="1"/>
      <c r="GGP15" s="1"/>
      <c r="GGQ15" s="1"/>
      <c r="GGR15" s="1"/>
      <c r="GGS15" s="1"/>
      <c r="GGT15" s="1"/>
      <c r="GGU15" s="1"/>
      <c r="GGV15" s="1"/>
      <c r="GGW15" s="1"/>
      <c r="GGX15" s="1"/>
      <c r="GGY15" s="1"/>
      <c r="GGZ15" s="1"/>
      <c r="GHA15" s="1"/>
      <c r="GHB15" s="1"/>
      <c r="GHC15" s="1"/>
      <c r="GHD15" s="1"/>
      <c r="GHE15" s="1"/>
      <c r="GHF15" s="1"/>
      <c r="GHG15" s="1"/>
      <c r="GHH15" s="1"/>
      <c r="GHI15" s="1"/>
      <c r="GHJ15" s="1"/>
      <c r="GHK15" s="1"/>
      <c r="GHL15" s="1"/>
      <c r="GHM15" s="1"/>
      <c r="GHN15" s="1"/>
      <c r="GHO15" s="1"/>
      <c r="GHP15" s="1"/>
      <c r="GHQ15" s="1"/>
      <c r="GHR15" s="1"/>
      <c r="GHS15" s="1"/>
      <c r="GHT15" s="1"/>
      <c r="GHU15" s="1"/>
      <c r="GHV15" s="1"/>
      <c r="GHW15" s="1"/>
      <c r="GHX15" s="1"/>
      <c r="GHY15" s="1"/>
      <c r="GHZ15" s="1"/>
      <c r="GIA15" s="1"/>
      <c r="GIB15" s="1"/>
      <c r="GIC15" s="1"/>
      <c r="GID15" s="1"/>
      <c r="GIE15" s="1"/>
      <c r="GIF15" s="1"/>
      <c r="GIG15" s="1"/>
      <c r="GIH15" s="1"/>
      <c r="GII15" s="1"/>
      <c r="GIJ15" s="1"/>
      <c r="GIK15" s="1"/>
      <c r="GIL15" s="1"/>
      <c r="GIM15" s="1"/>
      <c r="GIN15" s="1"/>
      <c r="GIO15" s="1"/>
      <c r="GIP15" s="1"/>
      <c r="GIQ15" s="1"/>
      <c r="GIR15" s="1"/>
      <c r="GIS15" s="1"/>
      <c r="GIT15" s="1"/>
      <c r="GIU15" s="1"/>
      <c r="GIV15" s="1"/>
      <c r="GIW15" s="1"/>
      <c r="GIX15" s="1"/>
      <c r="GIY15" s="1"/>
      <c r="GIZ15" s="1"/>
      <c r="GJA15" s="1"/>
      <c r="GJB15" s="1"/>
      <c r="GJC15" s="1"/>
      <c r="GJD15" s="1"/>
      <c r="GJE15" s="1"/>
      <c r="GJF15" s="1"/>
      <c r="GJG15" s="1"/>
      <c r="GJH15" s="1"/>
      <c r="GJI15" s="1"/>
      <c r="GJJ15" s="1"/>
      <c r="GJK15" s="1"/>
      <c r="GJL15" s="1"/>
      <c r="GJM15" s="1"/>
      <c r="GJN15" s="1"/>
      <c r="GJO15" s="1"/>
      <c r="GJP15" s="1"/>
      <c r="GJQ15" s="1"/>
      <c r="GJR15" s="1"/>
      <c r="GJS15" s="1"/>
      <c r="GJT15" s="1"/>
      <c r="GJU15" s="1"/>
      <c r="GJV15" s="1"/>
      <c r="GJW15" s="1"/>
      <c r="GJX15" s="1"/>
      <c r="GJY15" s="1"/>
      <c r="GJZ15" s="1"/>
      <c r="GKA15" s="1"/>
      <c r="GKB15" s="1"/>
      <c r="GKC15" s="1"/>
      <c r="GKD15" s="1"/>
      <c r="GKE15" s="1"/>
      <c r="GKF15" s="1"/>
      <c r="GKG15" s="1"/>
      <c r="GKH15" s="1"/>
      <c r="GKI15" s="1"/>
      <c r="GKJ15" s="1"/>
      <c r="GKK15" s="1"/>
      <c r="GKL15" s="1"/>
      <c r="GKM15" s="1"/>
      <c r="GKN15" s="1"/>
      <c r="GKO15" s="1"/>
      <c r="GKP15" s="1"/>
      <c r="GKQ15" s="1"/>
      <c r="GKR15" s="1"/>
      <c r="GKS15" s="1"/>
      <c r="GKT15" s="1"/>
      <c r="GKU15" s="1"/>
      <c r="GKV15" s="1"/>
      <c r="GKW15" s="1"/>
      <c r="GKX15" s="1"/>
      <c r="GKY15" s="1"/>
      <c r="GKZ15" s="1"/>
      <c r="GLA15" s="1"/>
      <c r="GLB15" s="1"/>
      <c r="GLC15" s="1"/>
      <c r="GLD15" s="1"/>
      <c r="GLE15" s="1"/>
      <c r="GLF15" s="1"/>
      <c r="GLG15" s="1"/>
      <c r="GLH15" s="1"/>
      <c r="GLI15" s="1"/>
      <c r="GLJ15" s="1"/>
      <c r="GLK15" s="1"/>
      <c r="GLL15" s="1"/>
      <c r="GLM15" s="1"/>
      <c r="GLN15" s="1"/>
      <c r="GLO15" s="1"/>
      <c r="GLP15" s="1"/>
      <c r="GLQ15" s="1"/>
      <c r="GLR15" s="1"/>
      <c r="GLS15" s="1"/>
      <c r="GLT15" s="1"/>
      <c r="GLU15" s="1"/>
      <c r="GLV15" s="1"/>
      <c r="GLW15" s="1"/>
      <c r="GLX15" s="1"/>
      <c r="GLY15" s="1"/>
      <c r="GLZ15" s="1"/>
      <c r="GMA15" s="1"/>
      <c r="GMB15" s="1"/>
      <c r="GMC15" s="1"/>
      <c r="GMD15" s="1"/>
      <c r="GME15" s="1"/>
      <c r="GMF15" s="1"/>
      <c r="GMG15" s="1"/>
      <c r="GMH15" s="1"/>
      <c r="GMI15" s="1"/>
      <c r="GMJ15" s="1"/>
      <c r="GMK15" s="1"/>
      <c r="GML15" s="1"/>
      <c r="GMM15" s="1"/>
      <c r="GMN15" s="1"/>
      <c r="GMO15" s="1"/>
      <c r="GMP15" s="1"/>
      <c r="GMQ15" s="1"/>
      <c r="GMR15" s="1"/>
      <c r="GMS15" s="1"/>
      <c r="GMT15" s="1"/>
      <c r="GMU15" s="1"/>
      <c r="GMV15" s="1"/>
      <c r="GMW15" s="1"/>
      <c r="GMX15" s="1"/>
      <c r="GMY15" s="1"/>
      <c r="GMZ15" s="1"/>
      <c r="GNA15" s="1"/>
      <c r="GNB15" s="1"/>
      <c r="GNC15" s="1"/>
      <c r="GND15" s="1"/>
      <c r="GNE15" s="1"/>
      <c r="GNF15" s="1"/>
      <c r="GNG15" s="1"/>
      <c r="GNH15" s="1"/>
      <c r="GNI15" s="1"/>
      <c r="GNJ15" s="1"/>
      <c r="GNK15" s="1"/>
      <c r="GNL15" s="1"/>
      <c r="GNM15" s="1"/>
      <c r="GNN15" s="1"/>
      <c r="GNO15" s="1"/>
      <c r="GNP15" s="1"/>
      <c r="GNQ15" s="1"/>
      <c r="GNR15" s="1"/>
      <c r="GNS15" s="1"/>
      <c r="GNT15" s="1"/>
      <c r="GNU15" s="1"/>
      <c r="GNV15" s="1"/>
      <c r="GNW15" s="1"/>
      <c r="GNX15" s="1"/>
      <c r="GNY15" s="1"/>
      <c r="GNZ15" s="1"/>
      <c r="GOA15" s="1"/>
      <c r="GOB15" s="1"/>
      <c r="GOC15" s="1"/>
      <c r="GOD15" s="1"/>
      <c r="GOE15" s="1"/>
      <c r="GOF15" s="1"/>
      <c r="GOG15" s="1"/>
      <c r="GOH15" s="1"/>
      <c r="GOI15" s="1"/>
      <c r="GOJ15" s="1"/>
      <c r="GOK15" s="1"/>
      <c r="GOL15" s="1"/>
      <c r="GOM15" s="1"/>
      <c r="GON15" s="1"/>
      <c r="GOO15" s="1"/>
      <c r="GOP15" s="1"/>
      <c r="GOQ15" s="1"/>
      <c r="GOR15" s="1"/>
      <c r="GOS15" s="1"/>
      <c r="GOT15" s="1"/>
      <c r="GOU15" s="1"/>
      <c r="GOV15" s="1"/>
      <c r="GOW15" s="1"/>
      <c r="GOX15" s="1"/>
      <c r="GOY15" s="1"/>
      <c r="GOZ15" s="1"/>
      <c r="GPA15" s="1"/>
      <c r="GPB15" s="1"/>
      <c r="GPC15" s="1"/>
      <c r="GPD15" s="1"/>
      <c r="GPE15" s="1"/>
      <c r="GPF15" s="1"/>
      <c r="GPG15" s="1"/>
      <c r="GPH15" s="1"/>
      <c r="GPI15" s="1"/>
      <c r="GPJ15" s="1"/>
      <c r="GPK15" s="1"/>
      <c r="GPL15" s="1"/>
      <c r="GPM15" s="1"/>
      <c r="GPN15" s="1"/>
      <c r="GPO15" s="1"/>
      <c r="GPP15" s="1"/>
      <c r="GPQ15" s="1"/>
      <c r="GPR15" s="1"/>
      <c r="GPS15" s="1"/>
      <c r="GPT15" s="1"/>
      <c r="GPU15" s="1"/>
      <c r="GPV15" s="1"/>
      <c r="GPW15" s="1"/>
      <c r="GPX15" s="1"/>
      <c r="GPY15" s="1"/>
      <c r="GPZ15" s="1"/>
      <c r="GQA15" s="1"/>
      <c r="GQB15" s="1"/>
      <c r="GQC15" s="1"/>
      <c r="GQD15" s="1"/>
      <c r="GQE15" s="1"/>
      <c r="GQF15" s="1"/>
      <c r="GQG15" s="1"/>
      <c r="GQH15" s="1"/>
      <c r="GQI15" s="1"/>
      <c r="GQJ15" s="1"/>
      <c r="GQK15" s="1"/>
      <c r="GQL15" s="1"/>
      <c r="GQM15" s="1"/>
      <c r="GQN15" s="1"/>
      <c r="GQO15" s="1"/>
      <c r="GQP15" s="1"/>
      <c r="GQQ15" s="1"/>
      <c r="GQR15" s="1"/>
      <c r="GQS15" s="1"/>
      <c r="GQT15" s="1"/>
      <c r="GQU15" s="1"/>
      <c r="GQV15" s="1"/>
      <c r="GQW15" s="1"/>
      <c r="GQX15" s="1"/>
      <c r="GQY15" s="1"/>
      <c r="GQZ15" s="1"/>
      <c r="GRA15" s="1"/>
      <c r="GRB15" s="1"/>
      <c r="GRC15" s="1"/>
      <c r="GRD15" s="1"/>
      <c r="GRE15" s="1"/>
      <c r="GRF15" s="1"/>
      <c r="GRG15" s="1"/>
      <c r="GRH15" s="1"/>
      <c r="GRI15" s="1"/>
      <c r="GRJ15" s="1"/>
      <c r="GRK15" s="1"/>
      <c r="GRL15" s="1"/>
      <c r="GRM15" s="1"/>
      <c r="GRN15" s="1"/>
      <c r="GRO15" s="1"/>
      <c r="GRP15" s="1"/>
      <c r="GRQ15" s="1"/>
      <c r="GRR15" s="1"/>
      <c r="GRS15" s="1"/>
      <c r="GRT15" s="1"/>
      <c r="GRU15" s="1"/>
      <c r="GRV15" s="1"/>
      <c r="GRW15" s="1"/>
      <c r="GRX15" s="1"/>
      <c r="GRY15" s="1"/>
      <c r="GRZ15" s="1"/>
      <c r="GSA15" s="1"/>
      <c r="GSB15" s="1"/>
      <c r="GSC15" s="1"/>
      <c r="GSD15" s="1"/>
      <c r="GSE15" s="1"/>
      <c r="GSF15" s="1"/>
      <c r="GSG15" s="1"/>
      <c r="GSH15" s="1"/>
      <c r="GSI15" s="1"/>
      <c r="GSJ15" s="1"/>
      <c r="GSK15" s="1"/>
      <c r="GSL15" s="1"/>
      <c r="GSM15" s="1"/>
      <c r="GSN15" s="1"/>
      <c r="GSO15" s="1"/>
      <c r="GSP15" s="1"/>
      <c r="GSQ15" s="1"/>
      <c r="GSR15" s="1"/>
      <c r="GSS15" s="1"/>
      <c r="GST15" s="1"/>
      <c r="GSU15" s="1"/>
      <c r="GSV15" s="1"/>
      <c r="GSW15" s="1"/>
      <c r="GSX15" s="1"/>
      <c r="GSY15" s="1"/>
      <c r="GSZ15" s="1"/>
      <c r="GTA15" s="1"/>
      <c r="GTB15" s="1"/>
      <c r="GTC15" s="1"/>
      <c r="GTD15" s="1"/>
      <c r="GTE15" s="1"/>
      <c r="GTF15" s="1"/>
      <c r="GTG15" s="1"/>
      <c r="GTH15" s="1"/>
      <c r="GTI15" s="1"/>
      <c r="GTJ15" s="1"/>
      <c r="GTK15" s="1"/>
      <c r="GTL15" s="1"/>
      <c r="GTM15" s="1"/>
      <c r="GTN15" s="1"/>
      <c r="GTO15" s="1"/>
      <c r="GTP15" s="1"/>
      <c r="GTQ15" s="1"/>
      <c r="GTR15" s="1"/>
      <c r="GTS15" s="1"/>
      <c r="GTT15" s="1"/>
      <c r="GTU15" s="1"/>
      <c r="GTV15" s="1"/>
      <c r="GTW15" s="1"/>
      <c r="GTX15" s="1"/>
      <c r="GTY15" s="1"/>
      <c r="GTZ15" s="1"/>
      <c r="GUA15" s="1"/>
      <c r="GUB15" s="1"/>
      <c r="GUC15" s="1"/>
      <c r="GUD15" s="1"/>
      <c r="GUE15" s="1"/>
      <c r="GUF15" s="1"/>
      <c r="GUG15" s="1"/>
      <c r="GUH15" s="1"/>
      <c r="GUI15" s="1"/>
      <c r="GUJ15" s="1"/>
      <c r="GUK15" s="1"/>
      <c r="GUL15" s="1"/>
      <c r="GUM15" s="1"/>
      <c r="GUN15" s="1"/>
      <c r="GUO15" s="1"/>
      <c r="GUP15" s="1"/>
      <c r="GUQ15" s="1"/>
      <c r="GUR15" s="1"/>
      <c r="GUS15" s="1"/>
      <c r="GUT15" s="1"/>
      <c r="GUU15" s="1"/>
      <c r="GUV15" s="1"/>
      <c r="GUW15" s="1"/>
      <c r="GUX15" s="1"/>
      <c r="GUY15" s="1"/>
      <c r="GUZ15" s="1"/>
      <c r="GVA15" s="1"/>
      <c r="GVB15" s="1"/>
      <c r="GVC15" s="1"/>
      <c r="GVD15" s="1"/>
      <c r="GVE15" s="1"/>
      <c r="GVF15" s="1"/>
      <c r="GVG15" s="1"/>
      <c r="GVH15" s="1"/>
      <c r="GVI15" s="1"/>
      <c r="GVJ15" s="1"/>
      <c r="GVK15" s="1"/>
      <c r="GVL15" s="1"/>
      <c r="GVM15" s="1"/>
      <c r="GVN15" s="1"/>
      <c r="GVO15" s="1"/>
      <c r="GVP15" s="1"/>
      <c r="GVQ15" s="1"/>
      <c r="GVR15" s="1"/>
      <c r="GVS15" s="1"/>
      <c r="GVT15" s="1"/>
      <c r="GVU15" s="1"/>
      <c r="GVV15" s="1"/>
      <c r="GVW15" s="1"/>
      <c r="GVX15" s="1"/>
      <c r="GVY15" s="1"/>
      <c r="GVZ15" s="1"/>
      <c r="GWA15" s="1"/>
      <c r="GWB15" s="1"/>
      <c r="GWC15" s="1"/>
      <c r="GWD15" s="1"/>
      <c r="GWE15" s="1"/>
      <c r="GWF15" s="1"/>
      <c r="GWG15" s="1"/>
      <c r="GWH15" s="1"/>
      <c r="GWI15" s="1"/>
      <c r="GWJ15" s="1"/>
      <c r="GWK15" s="1"/>
      <c r="GWL15" s="1"/>
      <c r="GWM15" s="1"/>
      <c r="GWN15" s="1"/>
      <c r="GWO15" s="1"/>
      <c r="GWP15" s="1"/>
      <c r="GWQ15" s="1"/>
      <c r="GWR15" s="1"/>
      <c r="GWS15" s="1"/>
      <c r="GWT15" s="1"/>
      <c r="GWU15" s="1"/>
      <c r="GWV15" s="1"/>
      <c r="GWW15" s="1"/>
      <c r="GWX15" s="1"/>
      <c r="GWY15" s="1"/>
      <c r="GWZ15" s="1"/>
      <c r="GXA15" s="1"/>
      <c r="GXB15" s="1"/>
      <c r="GXC15" s="1"/>
      <c r="GXD15" s="1"/>
      <c r="GXE15" s="1"/>
      <c r="GXF15" s="1"/>
      <c r="GXG15" s="1"/>
      <c r="GXH15" s="1"/>
      <c r="GXI15" s="1"/>
      <c r="GXJ15" s="1"/>
      <c r="GXK15" s="1"/>
      <c r="GXL15" s="1"/>
      <c r="GXM15" s="1"/>
      <c r="GXN15" s="1"/>
      <c r="GXO15" s="1"/>
      <c r="GXP15" s="1"/>
      <c r="GXQ15" s="1"/>
      <c r="GXR15" s="1"/>
      <c r="GXS15" s="1"/>
      <c r="GXT15" s="1"/>
      <c r="GXU15" s="1"/>
      <c r="GXV15" s="1"/>
      <c r="GXW15" s="1"/>
      <c r="GXX15" s="1"/>
      <c r="GXY15" s="1"/>
      <c r="GXZ15" s="1"/>
      <c r="GYA15" s="1"/>
      <c r="GYB15" s="1"/>
      <c r="GYC15" s="1"/>
      <c r="GYD15" s="1"/>
      <c r="GYE15" s="1"/>
      <c r="GYF15" s="1"/>
      <c r="GYG15" s="1"/>
      <c r="GYH15" s="1"/>
      <c r="GYI15" s="1"/>
      <c r="GYJ15" s="1"/>
      <c r="GYK15" s="1"/>
      <c r="GYL15" s="1"/>
      <c r="GYM15" s="1"/>
      <c r="GYN15" s="1"/>
      <c r="GYO15" s="1"/>
      <c r="GYP15" s="1"/>
      <c r="GYQ15" s="1"/>
      <c r="GYR15" s="1"/>
      <c r="GYS15" s="1"/>
      <c r="GYT15" s="1"/>
      <c r="GYU15" s="1"/>
      <c r="GYV15" s="1"/>
      <c r="GYW15" s="1"/>
      <c r="GYX15" s="1"/>
      <c r="GYY15" s="1"/>
      <c r="GYZ15" s="1"/>
      <c r="GZA15" s="1"/>
      <c r="GZB15" s="1"/>
      <c r="GZC15" s="1"/>
      <c r="GZD15" s="1"/>
      <c r="GZE15" s="1"/>
      <c r="GZF15" s="1"/>
      <c r="GZG15" s="1"/>
      <c r="GZH15" s="1"/>
      <c r="GZI15" s="1"/>
      <c r="GZJ15" s="1"/>
      <c r="GZK15" s="1"/>
      <c r="GZL15" s="1"/>
      <c r="GZM15" s="1"/>
      <c r="GZN15" s="1"/>
      <c r="GZO15" s="1"/>
      <c r="GZP15" s="1"/>
      <c r="GZQ15" s="1"/>
      <c r="GZR15" s="1"/>
      <c r="GZS15" s="1"/>
      <c r="GZT15" s="1"/>
      <c r="GZU15" s="1"/>
      <c r="GZV15" s="1"/>
      <c r="GZW15" s="1"/>
      <c r="GZX15" s="1"/>
      <c r="GZY15" s="1"/>
      <c r="GZZ15" s="1"/>
      <c r="HAA15" s="1"/>
      <c r="HAB15" s="1"/>
      <c r="HAC15" s="1"/>
      <c r="HAD15" s="1"/>
      <c r="HAE15" s="1"/>
      <c r="HAF15" s="1"/>
      <c r="HAG15" s="1"/>
      <c r="HAH15" s="1"/>
      <c r="HAI15" s="1"/>
      <c r="HAJ15" s="1"/>
      <c r="HAK15" s="1"/>
      <c r="HAL15" s="1"/>
      <c r="HAM15" s="1"/>
      <c r="HAN15" s="1"/>
      <c r="HAO15" s="1"/>
      <c r="HAP15" s="1"/>
      <c r="HAQ15" s="1"/>
      <c r="HAR15" s="1"/>
      <c r="HAS15" s="1"/>
      <c r="HAT15" s="1"/>
      <c r="HAU15" s="1"/>
      <c r="HAV15" s="1"/>
      <c r="HAW15" s="1"/>
      <c r="HAX15" s="1"/>
      <c r="HAY15" s="1"/>
      <c r="HAZ15" s="1"/>
      <c r="HBA15" s="1"/>
      <c r="HBB15" s="1"/>
      <c r="HBC15" s="1"/>
      <c r="HBD15" s="1"/>
      <c r="HBE15" s="1"/>
      <c r="HBF15" s="1"/>
      <c r="HBG15" s="1"/>
      <c r="HBH15" s="1"/>
      <c r="HBI15" s="1"/>
      <c r="HBJ15" s="1"/>
      <c r="HBK15" s="1"/>
      <c r="HBL15" s="1"/>
      <c r="HBM15" s="1"/>
      <c r="HBN15" s="1"/>
      <c r="HBO15" s="1"/>
      <c r="HBP15" s="1"/>
      <c r="HBQ15" s="1"/>
      <c r="HBR15" s="1"/>
      <c r="HBS15" s="1"/>
      <c r="HBT15" s="1"/>
      <c r="HBU15" s="1"/>
      <c r="HBV15" s="1"/>
      <c r="HBW15" s="1"/>
      <c r="HBX15" s="1"/>
      <c r="HBY15" s="1"/>
      <c r="HBZ15" s="1"/>
      <c r="HCA15" s="1"/>
      <c r="HCB15" s="1"/>
      <c r="HCC15" s="1"/>
      <c r="HCD15" s="1"/>
      <c r="HCE15" s="1"/>
      <c r="HCF15" s="1"/>
      <c r="HCG15" s="1"/>
      <c r="HCH15" s="1"/>
      <c r="HCI15" s="1"/>
      <c r="HCJ15" s="1"/>
      <c r="HCK15" s="1"/>
      <c r="HCL15" s="1"/>
      <c r="HCM15" s="1"/>
      <c r="HCN15" s="1"/>
      <c r="HCO15" s="1"/>
      <c r="HCP15" s="1"/>
      <c r="HCQ15" s="1"/>
      <c r="HCR15" s="1"/>
      <c r="HCS15" s="1"/>
      <c r="HCT15" s="1"/>
      <c r="HCU15" s="1"/>
      <c r="HCV15" s="1"/>
      <c r="HCW15" s="1"/>
      <c r="HCX15" s="1"/>
      <c r="HCY15" s="1"/>
      <c r="HCZ15" s="1"/>
      <c r="HDA15" s="1"/>
      <c r="HDB15" s="1"/>
      <c r="HDC15" s="1"/>
      <c r="HDD15" s="1"/>
      <c r="HDE15" s="1"/>
      <c r="HDF15" s="1"/>
      <c r="HDG15" s="1"/>
      <c r="HDH15" s="1"/>
      <c r="HDI15" s="1"/>
      <c r="HDJ15" s="1"/>
      <c r="HDK15" s="1"/>
      <c r="HDL15" s="1"/>
      <c r="HDM15" s="1"/>
      <c r="HDN15" s="1"/>
      <c r="HDO15" s="1"/>
      <c r="HDP15" s="1"/>
      <c r="HDQ15" s="1"/>
      <c r="HDR15" s="1"/>
      <c r="HDS15" s="1"/>
      <c r="HDT15" s="1"/>
      <c r="HDU15" s="1"/>
      <c r="HDV15" s="1"/>
      <c r="HDW15" s="1"/>
      <c r="HDX15" s="1"/>
      <c r="HDY15" s="1"/>
      <c r="HDZ15" s="1"/>
      <c r="HEA15" s="1"/>
      <c r="HEB15" s="1"/>
      <c r="HEC15" s="1"/>
      <c r="HED15" s="1"/>
      <c r="HEE15" s="1"/>
      <c r="HEF15" s="1"/>
      <c r="HEG15" s="1"/>
      <c r="HEH15" s="1"/>
      <c r="HEI15" s="1"/>
      <c r="HEJ15" s="1"/>
      <c r="HEK15" s="1"/>
      <c r="HEL15" s="1"/>
      <c r="HEM15" s="1"/>
      <c r="HEN15" s="1"/>
      <c r="HEO15" s="1"/>
      <c r="HEP15" s="1"/>
      <c r="HEQ15" s="1"/>
      <c r="HER15" s="1"/>
      <c r="HES15" s="1"/>
      <c r="HET15" s="1"/>
      <c r="HEU15" s="1"/>
      <c r="HEV15" s="1"/>
      <c r="HEW15" s="1"/>
      <c r="HEX15" s="1"/>
      <c r="HEY15" s="1"/>
      <c r="HEZ15" s="1"/>
      <c r="HFA15" s="1"/>
      <c r="HFB15" s="1"/>
      <c r="HFC15" s="1"/>
      <c r="HFD15" s="1"/>
      <c r="HFE15" s="1"/>
      <c r="HFF15" s="1"/>
      <c r="HFG15" s="1"/>
      <c r="HFH15" s="1"/>
      <c r="HFI15" s="1"/>
      <c r="HFJ15" s="1"/>
      <c r="HFK15" s="1"/>
      <c r="HFL15" s="1"/>
      <c r="HFM15" s="1"/>
      <c r="HFN15" s="1"/>
      <c r="HFO15" s="1"/>
      <c r="HFP15" s="1"/>
      <c r="HFQ15" s="1"/>
      <c r="HFR15" s="1"/>
      <c r="HFS15" s="1"/>
      <c r="HFT15" s="1"/>
      <c r="HFU15" s="1"/>
      <c r="HFV15" s="1"/>
      <c r="HFW15" s="1"/>
      <c r="HFX15" s="1"/>
      <c r="HFY15" s="1"/>
      <c r="HFZ15" s="1"/>
      <c r="HGA15" s="1"/>
      <c r="HGB15" s="1"/>
      <c r="HGC15" s="1"/>
      <c r="HGD15" s="1"/>
      <c r="HGE15" s="1"/>
      <c r="HGF15" s="1"/>
      <c r="HGG15" s="1"/>
      <c r="HGH15" s="1"/>
      <c r="HGI15" s="1"/>
      <c r="HGJ15" s="1"/>
      <c r="HGK15" s="1"/>
      <c r="HGL15" s="1"/>
      <c r="HGM15" s="1"/>
      <c r="HGN15" s="1"/>
      <c r="HGO15" s="1"/>
      <c r="HGP15" s="1"/>
      <c r="HGQ15" s="1"/>
      <c r="HGR15" s="1"/>
      <c r="HGS15" s="1"/>
      <c r="HGT15" s="1"/>
      <c r="HGU15" s="1"/>
      <c r="HGV15" s="1"/>
      <c r="HGW15" s="1"/>
      <c r="HGX15" s="1"/>
      <c r="HGY15" s="1"/>
      <c r="HGZ15" s="1"/>
      <c r="HHA15" s="1"/>
      <c r="HHB15" s="1"/>
      <c r="HHC15" s="1"/>
      <c r="HHD15" s="1"/>
      <c r="HHE15" s="1"/>
      <c r="HHF15" s="1"/>
      <c r="HHG15" s="1"/>
      <c r="HHH15" s="1"/>
      <c r="HHI15" s="1"/>
      <c r="HHJ15" s="1"/>
      <c r="HHK15" s="1"/>
      <c r="HHL15" s="1"/>
      <c r="HHM15" s="1"/>
      <c r="HHN15" s="1"/>
      <c r="HHO15" s="1"/>
      <c r="HHP15" s="1"/>
      <c r="HHQ15" s="1"/>
      <c r="HHR15" s="1"/>
      <c r="HHS15" s="1"/>
      <c r="HHT15" s="1"/>
      <c r="HHU15" s="1"/>
      <c r="HHV15" s="1"/>
      <c r="HHW15" s="1"/>
      <c r="HHX15" s="1"/>
      <c r="HHY15" s="1"/>
      <c r="HHZ15" s="1"/>
      <c r="HIA15" s="1"/>
      <c r="HIB15" s="1"/>
      <c r="HIC15" s="1"/>
      <c r="HID15" s="1"/>
      <c r="HIE15" s="1"/>
      <c r="HIF15" s="1"/>
      <c r="HIG15" s="1"/>
      <c r="HIH15" s="1"/>
      <c r="HII15" s="1"/>
      <c r="HIJ15" s="1"/>
      <c r="HIK15" s="1"/>
      <c r="HIL15" s="1"/>
      <c r="HIM15" s="1"/>
      <c r="HIN15" s="1"/>
      <c r="HIO15" s="1"/>
      <c r="HIP15" s="1"/>
      <c r="HIQ15" s="1"/>
      <c r="HIR15" s="1"/>
      <c r="HIS15" s="1"/>
      <c r="HIT15" s="1"/>
      <c r="HIU15" s="1"/>
      <c r="HIV15" s="1"/>
      <c r="HIW15" s="1"/>
      <c r="HIX15" s="1"/>
      <c r="HIY15" s="1"/>
      <c r="HIZ15" s="1"/>
      <c r="HJA15" s="1"/>
      <c r="HJB15" s="1"/>
      <c r="HJC15" s="1"/>
      <c r="HJD15" s="1"/>
      <c r="HJE15" s="1"/>
      <c r="HJF15" s="1"/>
      <c r="HJG15" s="1"/>
      <c r="HJH15" s="1"/>
      <c r="HJI15" s="1"/>
      <c r="HJJ15" s="1"/>
      <c r="HJK15" s="1"/>
      <c r="HJL15" s="1"/>
      <c r="HJM15" s="1"/>
      <c r="HJN15" s="1"/>
      <c r="HJO15" s="1"/>
      <c r="HJP15" s="1"/>
      <c r="HJQ15" s="1"/>
      <c r="HJR15" s="1"/>
      <c r="HJS15" s="1"/>
      <c r="HJT15" s="1"/>
      <c r="HJU15" s="1"/>
      <c r="HJV15" s="1"/>
      <c r="HJW15" s="1"/>
      <c r="HJX15" s="1"/>
      <c r="HJY15" s="1"/>
      <c r="HJZ15" s="1"/>
      <c r="HKA15" s="1"/>
      <c r="HKB15" s="1"/>
      <c r="HKC15" s="1"/>
      <c r="HKD15" s="1"/>
      <c r="HKE15" s="1"/>
      <c r="HKF15" s="1"/>
      <c r="HKG15" s="1"/>
      <c r="HKH15" s="1"/>
      <c r="HKI15" s="1"/>
      <c r="HKJ15" s="1"/>
      <c r="HKK15" s="1"/>
      <c r="HKL15" s="1"/>
      <c r="HKM15" s="1"/>
      <c r="HKN15" s="1"/>
      <c r="HKO15" s="1"/>
      <c r="HKP15" s="1"/>
      <c r="HKQ15" s="1"/>
      <c r="HKR15" s="1"/>
      <c r="HKS15" s="1"/>
      <c r="HKT15" s="1"/>
      <c r="HKU15" s="1"/>
      <c r="HKV15" s="1"/>
      <c r="HKW15" s="1"/>
      <c r="HKX15" s="1"/>
      <c r="HKY15" s="1"/>
      <c r="HKZ15" s="1"/>
      <c r="HLA15" s="1"/>
      <c r="HLB15" s="1"/>
      <c r="HLC15" s="1"/>
      <c r="HLD15" s="1"/>
      <c r="HLE15" s="1"/>
      <c r="HLF15" s="1"/>
      <c r="HLG15" s="1"/>
      <c r="HLH15" s="1"/>
      <c r="HLI15" s="1"/>
      <c r="HLJ15" s="1"/>
      <c r="HLK15" s="1"/>
      <c r="HLL15" s="1"/>
      <c r="HLM15" s="1"/>
      <c r="HLN15" s="1"/>
      <c r="HLO15" s="1"/>
      <c r="HLP15" s="1"/>
      <c r="HLQ15" s="1"/>
      <c r="HLR15" s="1"/>
      <c r="HLS15" s="1"/>
      <c r="HLT15" s="1"/>
      <c r="HLU15" s="1"/>
      <c r="HLV15" s="1"/>
      <c r="HLW15" s="1"/>
      <c r="HLX15" s="1"/>
      <c r="HLY15" s="1"/>
      <c r="HLZ15" s="1"/>
      <c r="HMA15" s="1"/>
      <c r="HMB15" s="1"/>
      <c r="HMC15" s="1"/>
      <c r="HMD15" s="1"/>
      <c r="HME15" s="1"/>
      <c r="HMF15" s="1"/>
      <c r="HMG15" s="1"/>
      <c r="HMH15" s="1"/>
      <c r="HMI15" s="1"/>
      <c r="HMJ15" s="1"/>
      <c r="HMK15" s="1"/>
      <c r="HML15" s="1"/>
      <c r="HMM15" s="1"/>
      <c r="HMN15" s="1"/>
      <c r="HMO15" s="1"/>
      <c r="HMP15" s="1"/>
      <c r="HMQ15" s="1"/>
      <c r="HMR15" s="1"/>
      <c r="HMS15" s="1"/>
      <c r="HMT15" s="1"/>
      <c r="HMU15" s="1"/>
      <c r="HMV15" s="1"/>
      <c r="HMW15" s="1"/>
      <c r="HMX15" s="1"/>
      <c r="HMY15" s="1"/>
      <c r="HMZ15" s="1"/>
      <c r="HNA15" s="1"/>
      <c r="HNB15" s="1"/>
      <c r="HNC15" s="1"/>
      <c r="HND15" s="1"/>
      <c r="HNE15" s="1"/>
      <c r="HNF15" s="1"/>
      <c r="HNG15" s="1"/>
      <c r="HNH15" s="1"/>
      <c r="HNI15" s="1"/>
      <c r="HNJ15" s="1"/>
      <c r="HNK15" s="1"/>
      <c r="HNL15" s="1"/>
      <c r="HNM15" s="1"/>
      <c r="HNN15" s="1"/>
      <c r="HNO15" s="1"/>
      <c r="HNP15" s="1"/>
      <c r="HNQ15" s="1"/>
      <c r="HNR15" s="1"/>
      <c r="HNS15" s="1"/>
      <c r="HNT15" s="1"/>
      <c r="HNU15" s="1"/>
      <c r="HNV15" s="1"/>
      <c r="HNW15" s="1"/>
      <c r="HNX15" s="1"/>
      <c r="HNY15" s="1"/>
      <c r="HNZ15" s="1"/>
      <c r="HOA15" s="1"/>
      <c r="HOB15" s="1"/>
      <c r="HOC15" s="1"/>
      <c r="HOD15" s="1"/>
      <c r="HOE15" s="1"/>
      <c r="HOF15" s="1"/>
      <c r="HOG15" s="1"/>
      <c r="HOH15" s="1"/>
      <c r="HOI15" s="1"/>
      <c r="HOJ15" s="1"/>
      <c r="HOK15" s="1"/>
      <c r="HOL15" s="1"/>
      <c r="HOM15" s="1"/>
      <c r="HON15" s="1"/>
      <c r="HOO15" s="1"/>
      <c r="HOP15" s="1"/>
      <c r="HOQ15" s="1"/>
      <c r="HOR15" s="1"/>
      <c r="HOS15" s="1"/>
      <c r="HOT15" s="1"/>
      <c r="HOU15" s="1"/>
      <c r="HOV15" s="1"/>
      <c r="HOW15" s="1"/>
      <c r="HOX15" s="1"/>
      <c r="HOY15" s="1"/>
      <c r="HOZ15" s="1"/>
      <c r="HPA15" s="1"/>
      <c r="HPB15" s="1"/>
      <c r="HPC15" s="1"/>
      <c r="HPD15" s="1"/>
      <c r="HPE15" s="1"/>
      <c r="HPF15" s="1"/>
      <c r="HPG15" s="1"/>
      <c r="HPH15" s="1"/>
      <c r="HPI15" s="1"/>
      <c r="HPJ15" s="1"/>
      <c r="HPK15" s="1"/>
      <c r="HPL15" s="1"/>
      <c r="HPM15" s="1"/>
      <c r="HPN15" s="1"/>
      <c r="HPO15" s="1"/>
      <c r="HPP15" s="1"/>
      <c r="HPQ15" s="1"/>
      <c r="HPR15" s="1"/>
      <c r="HPS15" s="1"/>
      <c r="HPT15" s="1"/>
      <c r="HPU15" s="1"/>
      <c r="HPV15" s="1"/>
      <c r="HPW15" s="1"/>
      <c r="HPX15" s="1"/>
      <c r="HPY15" s="1"/>
      <c r="HPZ15" s="1"/>
      <c r="HQA15" s="1"/>
      <c r="HQB15" s="1"/>
      <c r="HQC15" s="1"/>
      <c r="HQD15" s="1"/>
      <c r="HQE15" s="1"/>
      <c r="HQF15" s="1"/>
      <c r="HQG15" s="1"/>
      <c r="HQH15" s="1"/>
      <c r="HQI15" s="1"/>
      <c r="HQJ15" s="1"/>
      <c r="HQK15" s="1"/>
      <c r="HQL15" s="1"/>
      <c r="HQM15" s="1"/>
      <c r="HQN15" s="1"/>
      <c r="HQO15" s="1"/>
      <c r="HQP15" s="1"/>
      <c r="HQQ15" s="1"/>
      <c r="HQR15" s="1"/>
      <c r="HQS15" s="1"/>
      <c r="HQT15" s="1"/>
      <c r="HQU15" s="1"/>
      <c r="HQV15" s="1"/>
      <c r="HQW15" s="1"/>
      <c r="HQX15" s="1"/>
      <c r="HQY15" s="1"/>
      <c r="HQZ15" s="1"/>
      <c r="HRA15" s="1"/>
      <c r="HRB15" s="1"/>
      <c r="HRC15" s="1"/>
      <c r="HRD15" s="1"/>
      <c r="HRE15" s="1"/>
      <c r="HRF15" s="1"/>
      <c r="HRG15" s="1"/>
      <c r="HRH15" s="1"/>
      <c r="HRI15" s="1"/>
      <c r="HRJ15" s="1"/>
      <c r="HRK15" s="1"/>
      <c r="HRL15" s="1"/>
      <c r="HRM15" s="1"/>
      <c r="HRN15" s="1"/>
      <c r="HRO15" s="1"/>
      <c r="HRP15" s="1"/>
      <c r="HRQ15" s="1"/>
      <c r="HRR15" s="1"/>
      <c r="HRS15" s="1"/>
      <c r="HRT15" s="1"/>
      <c r="HRU15" s="1"/>
      <c r="HRV15" s="1"/>
      <c r="HRW15" s="1"/>
      <c r="HRX15" s="1"/>
      <c r="HRY15" s="1"/>
      <c r="HRZ15" s="1"/>
      <c r="HSA15" s="1"/>
      <c r="HSB15" s="1"/>
      <c r="HSC15" s="1"/>
      <c r="HSD15" s="1"/>
      <c r="HSE15" s="1"/>
      <c r="HSF15" s="1"/>
      <c r="HSG15" s="1"/>
      <c r="HSH15" s="1"/>
      <c r="HSI15" s="1"/>
      <c r="HSJ15" s="1"/>
      <c r="HSK15" s="1"/>
      <c r="HSL15" s="1"/>
      <c r="HSM15" s="1"/>
      <c r="HSN15" s="1"/>
      <c r="HSO15" s="1"/>
      <c r="HSP15" s="1"/>
      <c r="HSQ15" s="1"/>
      <c r="HSR15" s="1"/>
      <c r="HSS15" s="1"/>
      <c r="HST15" s="1"/>
      <c r="HSU15" s="1"/>
      <c r="HSV15" s="1"/>
      <c r="HSW15" s="1"/>
      <c r="HSX15" s="1"/>
      <c r="HSY15" s="1"/>
      <c r="HSZ15" s="1"/>
      <c r="HTA15" s="1"/>
      <c r="HTB15" s="1"/>
      <c r="HTC15" s="1"/>
      <c r="HTD15" s="1"/>
      <c r="HTE15" s="1"/>
      <c r="HTF15" s="1"/>
      <c r="HTG15" s="1"/>
      <c r="HTH15" s="1"/>
      <c r="HTI15" s="1"/>
      <c r="HTJ15" s="1"/>
      <c r="HTK15" s="1"/>
      <c r="HTL15" s="1"/>
      <c r="HTM15" s="1"/>
      <c r="HTN15" s="1"/>
      <c r="HTO15" s="1"/>
      <c r="HTP15" s="1"/>
      <c r="HTQ15" s="1"/>
      <c r="HTR15" s="1"/>
      <c r="HTS15" s="1"/>
      <c r="HTT15" s="1"/>
      <c r="HTU15" s="1"/>
      <c r="HTV15" s="1"/>
      <c r="HTW15" s="1"/>
      <c r="HTX15" s="1"/>
      <c r="HTY15" s="1"/>
      <c r="HTZ15" s="1"/>
      <c r="HUA15" s="1"/>
      <c r="HUB15" s="1"/>
      <c r="HUC15" s="1"/>
      <c r="HUD15" s="1"/>
      <c r="HUE15" s="1"/>
      <c r="HUF15" s="1"/>
      <c r="HUG15" s="1"/>
      <c r="HUH15" s="1"/>
      <c r="HUI15" s="1"/>
      <c r="HUJ15" s="1"/>
      <c r="HUK15" s="1"/>
      <c r="HUL15" s="1"/>
      <c r="HUM15" s="1"/>
      <c r="HUN15" s="1"/>
      <c r="HUO15" s="1"/>
      <c r="HUP15" s="1"/>
      <c r="HUQ15" s="1"/>
      <c r="HUR15" s="1"/>
      <c r="HUS15" s="1"/>
      <c r="HUT15" s="1"/>
      <c r="HUU15" s="1"/>
      <c r="HUV15" s="1"/>
      <c r="HUW15" s="1"/>
      <c r="HUX15" s="1"/>
      <c r="HUY15" s="1"/>
      <c r="HUZ15" s="1"/>
      <c r="HVA15" s="1"/>
      <c r="HVB15" s="1"/>
      <c r="HVC15" s="1"/>
      <c r="HVD15" s="1"/>
      <c r="HVE15" s="1"/>
      <c r="HVF15" s="1"/>
      <c r="HVG15" s="1"/>
      <c r="HVH15" s="1"/>
      <c r="HVI15" s="1"/>
      <c r="HVJ15" s="1"/>
      <c r="HVK15" s="1"/>
      <c r="HVL15" s="1"/>
      <c r="HVM15" s="1"/>
      <c r="HVN15" s="1"/>
      <c r="HVO15" s="1"/>
      <c r="HVP15" s="1"/>
      <c r="HVQ15" s="1"/>
      <c r="HVR15" s="1"/>
      <c r="HVS15" s="1"/>
      <c r="HVT15" s="1"/>
      <c r="HVU15" s="1"/>
      <c r="HVV15" s="1"/>
      <c r="HVW15" s="1"/>
      <c r="HVX15" s="1"/>
      <c r="HVY15" s="1"/>
      <c r="HVZ15" s="1"/>
      <c r="HWA15" s="1"/>
      <c r="HWB15" s="1"/>
      <c r="HWC15" s="1"/>
      <c r="HWD15" s="1"/>
      <c r="HWE15" s="1"/>
      <c r="HWF15" s="1"/>
      <c r="HWG15" s="1"/>
      <c r="HWH15" s="1"/>
      <c r="HWI15" s="1"/>
      <c r="HWJ15" s="1"/>
      <c r="HWK15" s="1"/>
      <c r="HWL15" s="1"/>
      <c r="HWM15" s="1"/>
      <c r="HWN15" s="1"/>
      <c r="HWO15" s="1"/>
      <c r="HWP15" s="1"/>
      <c r="HWQ15" s="1"/>
      <c r="HWR15" s="1"/>
      <c r="HWS15" s="1"/>
      <c r="HWT15" s="1"/>
      <c r="HWU15" s="1"/>
      <c r="HWV15" s="1"/>
      <c r="HWW15" s="1"/>
      <c r="HWX15" s="1"/>
      <c r="HWY15" s="1"/>
      <c r="HWZ15" s="1"/>
      <c r="HXA15" s="1"/>
      <c r="HXB15" s="1"/>
      <c r="HXC15" s="1"/>
      <c r="HXD15" s="1"/>
      <c r="HXE15" s="1"/>
      <c r="HXF15" s="1"/>
      <c r="HXG15" s="1"/>
      <c r="HXH15" s="1"/>
      <c r="HXI15" s="1"/>
      <c r="HXJ15" s="1"/>
      <c r="HXK15" s="1"/>
      <c r="HXL15" s="1"/>
      <c r="HXM15" s="1"/>
      <c r="HXN15" s="1"/>
      <c r="HXO15" s="1"/>
      <c r="HXP15" s="1"/>
      <c r="HXQ15" s="1"/>
      <c r="HXR15" s="1"/>
      <c r="HXS15" s="1"/>
      <c r="HXT15" s="1"/>
      <c r="HXU15" s="1"/>
      <c r="HXV15" s="1"/>
      <c r="HXW15" s="1"/>
      <c r="HXX15" s="1"/>
      <c r="HXY15" s="1"/>
      <c r="HXZ15" s="1"/>
      <c r="HYA15" s="1"/>
      <c r="HYB15" s="1"/>
      <c r="HYC15" s="1"/>
      <c r="HYD15" s="1"/>
      <c r="HYE15" s="1"/>
      <c r="HYF15" s="1"/>
      <c r="HYG15" s="1"/>
      <c r="HYH15" s="1"/>
      <c r="HYI15" s="1"/>
      <c r="HYJ15" s="1"/>
      <c r="HYK15" s="1"/>
      <c r="HYL15" s="1"/>
      <c r="HYM15" s="1"/>
      <c r="HYN15" s="1"/>
      <c r="HYO15" s="1"/>
      <c r="HYP15" s="1"/>
      <c r="HYQ15" s="1"/>
      <c r="HYR15" s="1"/>
      <c r="HYS15" s="1"/>
      <c r="HYT15" s="1"/>
      <c r="HYU15" s="1"/>
      <c r="HYV15" s="1"/>
      <c r="HYW15" s="1"/>
      <c r="HYX15" s="1"/>
      <c r="HYY15" s="1"/>
      <c r="HYZ15" s="1"/>
      <c r="HZA15" s="1"/>
      <c r="HZB15" s="1"/>
      <c r="HZC15" s="1"/>
      <c r="HZD15" s="1"/>
      <c r="HZE15" s="1"/>
      <c r="HZF15" s="1"/>
      <c r="HZG15" s="1"/>
      <c r="HZH15" s="1"/>
      <c r="HZI15" s="1"/>
      <c r="HZJ15" s="1"/>
      <c r="HZK15" s="1"/>
      <c r="HZL15" s="1"/>
      <c r="HZM15" s="1"/>
      <c r="HZN15" s="1"/>
      <c r="HZO15" s="1"/>
      <c r="HZP15" s="1"/>
      <c r="HZQ15" s="1"/>
      <c r="HZR15" s="1"/>
      <c r="HZS15" s="1"/>
      <c r="HZT15" s="1"/>
      <c r="HZU15" s="1"/>
      <c r="HZV15" s="1"/>
      <c r="HZW15" s="1"/>
      <c r="HZX15" s="1"/>
      <c r="HZY15" s="1"/>
      <c r="HZZ15" s="1"/>
      <c r="IAA15" s="1"/>
      <c r="IAB15" s="1"/>
      <c r="IAC15" s="1"/>
      <c r="IAD15" s="1"/>
      <c r="IAE15" s="1"/>
      <c r="IAF15" s="1"/>
      <c r="IAG15" s="1"/>
      <c r="IAH15" s="1"/>
      <c r="IAI15" s="1"/>
      <c r="IAJ15" s="1"/>
      <c r="IAK15" s="1"/>
      <c r="IAL15" s="1"/>
      <c r="IAM15" s="1"/>
      <c r="IAN15" s="1"/>
      <c r="IAO15" s="1"/>
      <c r="IAP15" s="1"/>
      <c r="IAQ15" s="1"/>
      <c r="IAR15" s="1"/>
      <c r="IAS15" s="1"/>
      <c r="IAT15" s="1"/>
      <c r="IAU15" s="1"/>
      <c r="IAV15" s="1"/>
      <c r="IAW15" s="1"/>
      <c r="IAX15" s="1"/>
      <c r="IAY15" s="1"/>
      <c r="IAZ15" s="1"/>
      <c r="IBA15" s="1"/>
      <c r="IBB15" s="1"/>
      <c r="IBC15" s="1"/>
      <c r="IBD15" s="1"/>
      <c r="IBE15" s="1"/>
      <c r="IBF15" s="1"/>
      <c r="IBG15" s="1"/>
      <c r="IBH15" s="1"/>
      <c r="IBI15" s="1"/>
      <c r="IBJ15" s="1"/>
      <c r="IBK15" s="1"/>
      <c r="IBL15" s="1"/>
      <c r="IBM15" s="1"/>
      <c r="IBN15" s="1"/>
      <c r="IBO15" s="1"/>
      <c r="IBP15" s="1"/>
      <c r="IBQ15" s="1"/>
      <c r="IBR15" s="1"/>
      <c r="IBS15" s="1"/>
      <c r="IBT15" s="1"/>
      <c r="IBU15" s="1"/>
      <c r="IBV15" s="1"/>
      <c r="IBW15" s="1"/>
      <c r="IBX15" s="1"/>
      <c r="IBY15" s="1"/>
      <c r="IBZ15" s="1"/>
      <c r="ICA15" s="1"/>
      <c r="ICB15" s="1"/>
      <c r="ICC15" s="1"/>
      <c r="ICD15" s="1"/>
      <c r="ICE15" s="1"/>
      <c r="ICF15" s="1"/>
      <c r="ICG15" s="1"/>
      <c r="ICH15" s="1"/>
      <c r="ICI15" s="1"/>
      <c r="ICJ15" s="1"/>
      <c r="ICK15" s="1"/>
      <c r="ICL15" s="1"/>
      <c r="ICM15" s="1"/>
      <c r="ICN15" s="1"/>
      <c r="ICO15" s="1"/>
      <c r="ICP15" s="1"/>
      <c r="ICQ15" s="1"/>
      <c r="ICR15" s="1"/>
      <c r="ICS15" s="1"/>
      <c r="ICT15" s="1"/>
      <c r="ICU15" s="1"/>
      <c r="ICV15" s="1"/>
      <c r="ICW15" s="1"/>
      <c r="ICX15" s="1"/>
      <c r="ICY15" s="1"/>
      <c r="ICZ15" s="1"/>
      <c r="IDA15" s="1"/>
      <c r="IDB15" s="1"/>
      <c r="IDC15" s="1"/>
      <c r="IDD15" s="1"/>
      <c r="IDE15" s="1"/>
      <c r="IDF15" s="1"/>
      <c r="IDG15" s="1"/>
      <c r="IDH15" s="1"/>
      <c r="IDI15" s="1"/>
      <c r="IDJ15" s="1"/>
      <c r="IDK15" s="1"/>
      <c r="IDL15" s="1"/>
      <c r="IDM15" s="1"/>
      <c r="IDN15" s="1"/>
      <c r="IDO15" s="1"/>
      <c r="IDP15" s="1"/>
      <c r="IDQ15" s="1"/>
      <c r="IDR15" s="1"/>
      <c r="IDS15" s="1"/>
      <c r="IDT15" s="1"/>
      <c r="IDU15" s="1"/>
      <c r="IDV15" s="1"/>
      <c r="IDW15" s="1"/>
      <c r="IDX15" s="1"/>
      <c r="IDY15" s="1"/>
      <c r="IDZ15" s="1"/>
      <c r="IEA15" s="1"/>
      <c r="IEB15" s="1"/>
      <c r="IEC15" s="1"/>
      <c r="IED15" s="1"/>
      <c r="IEE15" s="1"/>
      <c r="IEF15" s="1"/>
      <c r="IEG15" s="1"/>
      <c r="IEH15" s="1"/>
      <c r="IEI15" s="1"/>
      <c r="IEJ15" s="1"/>
      <c r="IEK15" s="1"/>
      <c r="IEL15" s="1"/>
      <c r="IEM15" s="1"/>
      <c r="IEN15" s="1"/>
      <c r="IEO15" s="1"/>
      <c r="IEP15" s="1"/>
      <c r="IEQ15" s="1"/>
      <c r="IER15" s="1"/>
      <c r="IES15" s="1"/>
      <c r="IET15" s="1"/>
      <c r="IEU15" s="1"/>
      <c r="IEV15" s="1"/>
      <c r="IEW15" s="1"/>
      <c r="IEX15" s="1"/>
      <c r="IEY15" s="1"/>
      <c r="IEZ15" s="1"/>
      <c r="IFA15" s="1"/>
      <c r="IFB15" s="1"/>
      <c r="IFC15" s="1"/>
      <c r="IFD15" s="1"/>
      <c r="IFE15" s="1"/>
      <c r="IFF15" s="1"/>
      <c r="IFG15" s="1"/>
      <c r="IFH15" s="1"/>
      <c r="IFI15" s="1"/>
      <c r="IFJ15" s="1"/>
      <c r="IFK15" s="1"/>
      <c r="IFL15" s="1"/>
      <c r="IFM15" s="1"/>
      <c r="IFN15" s="1"/>
      <c r="IFO15" s="1"/>
      <c r="IFP15" s="1"/>
      <c r="IFQ15" s="1"/>
      <c r="IFR15" s="1"/>
      <c r="IFS15" s="1"/>
      <c r="IFT15" s="1"/>
      <c r="IFU15" s="1"/>
      <c r="IFV15" s="1"/>
      <c r="IFW15" s="1"/>
      <c r="IFX15" s="1"/>
      <c r="IFY15" s="1"/>
      <c r="IFZ15" s="1"/>
      <c r="IGA15" s="1"/>
      <c r="IGB15" s="1"/>
      <c r="IGC15" s="1"/>
      <c r="IGD15" s="1"/>
      <c r="IGE15" s="1"/>
      <c r="IGF15" s="1"/>
      <c r="IGG15" s="1"/>
      <c r="IGH15" s="1"/>
      <c r="IGI15" s="1"/>
      <c r="IGJ15" s="1"/>
      <c r="IGK15" s="1"/>
      <c r="IGL15" s="1"/>
      <c r="IGM15" s="1"/>
      <c r="IGN15" s="1"/>
      <c r="IGO15" s="1"/>
      <c r="IGP15" s="1"/>
      <c r="IGQ15" s="1"/>
      <c r="IGR15" s="1"/>
      <c r="IGS15" s="1"/>
      <c r="IGT15" s="1"/>
      <c r="IGU15" s="1"/>
      <c r="IGV15" s="1"/>
      <c r="IGW15" s="1"/>
      <c r="IGX15" s="1"/>
      <c r="IGY15" s="1"/>
      <c r="IGZ15" s="1"/>
      <c r="IHA15" s="1"/>
      <c r="IHB15" s="1"/>
      <c r="IHC15" s="1"/>
      <c r="IHD15" s="1"/>
      <c r="IHE15" s="1"/>
      <c r="IHF15" s="1"/>
      <c r="IHG15" s="1"/>
      <c r="IHH15" s="1"/>
      <c r="IHI15" s="1"/>
      <c r="IHJ15" s="1"/>
      <c r="IHK15" s="1"/>
      <c r="IHL15" s="1"/>
      <c r="IHM15" s="1"/>
      <c r="IHN15" s="1"/>
      <c r="IHO15" s="1"/>
      <c r="IHP15" s="1"/>
      <c r="IHQ15" s="1"/>
      <c r="IHR15" s="1"/>
      <c r="IHS15" s="1"/>
      <c r="IHT15" s="1"/>
      <c r="IHU15" s="1"/>
      <c r="IHV15" s="1"/>
      <c r="IHW15" s="1"/>
      <c r="IHX15" s="1"/>
      <c r="IHY15" s="1"/>
      <c r="IHZ15" s="1"/>
      <c r="IIA15" s="1"/>
      <c r="IIB15" s="1"/>
      <c r="IIC15" s="1"/>
      <c r="IID15" s="1"/>
      <c r="IIE15" s="1"/>
      <c r="IIF15" s="1"/>
      <c r="IIG15" s="1"/>
      <c r="IIH15" s="1"/>
      <c r="III15" s="1"/>
      <c r="IIJ15" s="1"/>
      <c r="IIK15" s="1"/>
      <c r="IIL15" s="1"/>
      <c r="IIM15" s="1"/>
      <c r="IIN15" s="1"/>
      <c r="IIO15" s="1"/>
      <c r="IIP15" s="1"/>
      <c r="IIQ15" s="1"/>
      <c r="IIR15" s="1"/>
      <c r="IIS15" s="1"/>
      <c r="IIT15" s="1"/>
      <c r="IIU15" s="1"/>
      <c r="IIV15" s="1"/>
      <c r="IIW15" s="1"/>
      <c r="IIX15" s="1"/>
      <c r="IIY15" s="1"/>
      <c r="IIZ15" s="1"/>
      <c r="IJA15" s="1"/>
      <c r="IJB15" s="1"/>
      <c r="IJC15" s="1"/>
      <c r="IJD15" s="1"/>
      <c r="IJE15" s="1"/>
      <c r="IJF15" s="1"/>
      <c r="IJG15" s="1"/>
      <c r="IJH15" s="1"/>
      <c r="IJI15" s="1"/>
      <c r="IJJ15" s="1"/>
      <c r="IJK15" s="1"/>
      <c r="IJL15" s="1"/>
      <c r="IJM15" s="1"/>
      <c r="IJN15" s="1"/>
      <c r="IJO15" s="1"/>
      <c r="IJP15" s="1"/>
      <c r="IJQ15" s="1"/>
      <c r="IJR15" s="1"/>
      <c r="IJS15" s="1"/>
      <c r="IJT15" s="1"/>
      <c r="IJU15" s="1"/>
      <c r="IJV15" s="1"/>
      <c r="IJW15" s="1"/>
      <c r="IJX15" s="1"/>
      <c r="IJY15" s="1"/>
      <c r="IJZ15" s="1"/>
      <c r="IKA15" s="1"/>
      <c r="IKB15" s="1"/>
      <c r="IKC15" s="1"/>
      <c r="IKD15" s="1"/>
      <c r="IKE15" s="1"/>
      <c r="IKF15" s="1"/>
      <c r="IKG15" s="1"/>
      <c r="IKH15" s="1"/>
      <c r="IKI15" s="1"/>
      <c r="IKJ15" s="1"/>
      <c r="IKK15" s="1"/>
      <c r="IKL15" s="1"/>
      <c r="IKM15" s="1"/>
      <c r="IKN15" s="1"/>
      <c r="IKO15" s="1"/>
      <c r="IKP15" s="1"/>
      <c r="IKQ15" s="1"/>
      <c r="IKR15" s="1"/>
      <c r="IKS15" s="1"/>
      <c r="IKT15" s="1"/>
      <c r="IKU15" s="1"/>
      <c r="IKV15" s="1"/>
      <c r="IKW15" s="1"/>
      <c r="IKX15" s="1"/>
      <c r="IKY15" s="1"/>
      <c r="IKZ15" s="1"/>
      <c r="ILA15" s="1"/>
      <c r="ILB15" s="1"/>
      <c r="ILC15" s="1"/>
      <c r="ILD15" s="1"/>
      <c r="ILE15" s="1"/>
      <c r="ILF15" s="1"/>
      <c r="ILG15" s="1"/>
      <c r="ILH15" s="1"/>
      <c r="ILI15" s="1"/>
      <c r="ILJ15" s="1"/>
      <c r="ILK15" s="1"/>
      <c r="ILL15" s="1"/>
      <c r="ILM15" s="1"/>
      <c r="ILN15" s="1"/>
      <c r="ILO15" s="1"/>
      <c r="ILP15" s="1"/>
      <c r="ILQ15" s="1"/>
      <c r="ILR15" s="1"/>
      <c r="ILS15" s="1"/>
      <c r="ILT15" s="1"/>
      <c r="ILU15" s="1"/>
      <c r="ILV15" s="1"/>
      <c r="ILW15" s="1"/>
      <c r="ILX15" s="1"/>
      <c r="ILY15" s="1"/>
      <c r="ILZ15" s="1"/>
      <c r="IMA15" s="1"/>
      <c r="IMB15" s="1"/>
      <c r="IMC15" s="1"/>
      <c r="IMD15" s="1"/>
      <c r="IME15" s="1"/>
      <c r="IMF15" s="1"/>
      <c r="IMG15" s="1"/>
      <c r="IMH15" s="1"/>
      <c r="IMI15" s="1"/>
      <c r="IMJ15" s="1"/>
      <c r="IMK15" s="1"/>
      <c r="IML15" s="1"/>
      <c r="IMM15" s="1"/>
      <c r="IMN15" s="1"/>
      <c r="IMO15" s="1"/>
      <c r="IMP15" s="1"/>
      <c r="IMQ15" s="1"/>
      <c r="IMR15" s="1"/>
      <c r="IMS15" s="1"/>
      <c r="IMT15" s="1"/>
      <c r="IMU15" s="1"/>
      <c r="IMV15" s="1"/>
      <c r="IMW15" s="1"/>
      <c r="IMX15" s="1"/>
      <c r="IMY15" s="1"/>
      <c r="IMZ15" s="1"/>
      <c r="INA15" s="1"/>
      <c r="INB15" s="1"/>
      <c r="INC15" s="1"/>
      <c r="IND15" s="1"/>
      <c r="INE15" s="1"/>
      <c r="INF15" s="1"/>
      <c r="ING15" s="1"/>
      <c r="INH15" s="1"/>
      <c r="INI15" s="1"/>
      <c r="INJ15" s="1"/>
      <c r="INK15" s="1"/>
      <c r="INL15" s="1"/>
      <c r="INM15" s="1"/>
      <c r="INN15" s="1"/>
      <c r="INO15" s="1"/>
      <c r="INP15" s="1"/>
      <c r="INQ15" s="1"/>
      <c r="INR15" s="1"/>
      <c r="INS15" s="1"/>
      <c r="INT15" s="1"/>
      <c r="INU15" s="1"/>
      <c r="INV15" s="1"/>
      <c r="INW15" s="1"/>
      <c r="INX15" s="1"/>
      <c r="INY15" s="1"/>
      <c r="INZ15" s="1"/>
      <c r="IOA15" s="1"/>
      <c r="IOB15" s="1"/>
      <c r="IOC15" s="1"/>
      <c r="IOD15" s="1"/>
      <c r="IOE15" s="1"/>
      <c r="IOF15" s="1"/>
      <c r="IOG15" s="1"/>
      <c r="IOH15" s="1"/>
      <c r="IOI15" s="1"/>
      <c r="IOJ15" s="1"/>
      <c r="IOK15" s="1"/>
      <c r="IOL15" s="1"/>
      <c r="IOM15" s="1"/>
      <c r="ION15" s="1"/>
      <c r="IOO15" s="1"/>
      <c r="IOP15" s="1"/>
      <c r="IOQ15" s="1"/>
      <c r="IOR15" s="1"/>
      <c r="IOS15" s="1"/>
      <c r="IOT15" s="1"/>
      <c r="IOU15" s="1"/>
      <c r="IOV15" s="1"/>
      <c r="IOW15" s="1"/>
      <c r="IOX15" s="1"/>
      <c r="IOY15" s="1"/>
      <c r="IOZ15" s="1"/>
      <c r="IPA15" s="1"/>
      <c r="IPB15" s="1"/>
      <c r="IPC15" s="1"/>
      <c r="IPD15" s="1"/>
      <c r="IPE15" s="1"/>
      <c r="IPF15" s="1"/>
      <c r="IPG15" s="1"/>
      <c r="IPH15" s="1"/>
      <c r="IPI15" s="1"/>
      <c r="IPJ15" s="1"/>
      <c r="IPK15" s="1"/>
      <c r="IPL15" s="1"/>
      <c r="IPM15" s="1"/>
      <c r="IPN15" s="1"/>
      <c r="IPO15" s="1"/>
      <c r="IPP15" s="1"/>
      <c r="IPQ15" s="1"/>
      <c r="IPR15" s="1"/>
      <c r="IPS15" s="1"/>
      <c r="IPT15" s="1"/>
      <c r="IPU15" s="1"/>
      <c r="IPV15" s="1"/>
      <c r="IPW15" s="1"/>
      <c r="IPX15" s="1"/>
      <c r="IPY15" s="1"/>
      <c r="IPZ15" s="1"/>
      <c r="IQA15" s="1"/>
      <c r="IQB15" s="1"/>
      <c r="IQC15" s="1"/>
      <c r="IQD15" s="1"/>
      <c r="IQE15" s="1"/>
      <c r="IQF15" s="1"/>
      <c r="IQG15" s="1"/>
      <c r="IQH15" s="1"/>
      <c r="IQI15" s="1"/>
      <c r="IQJ15" s="1"/>
      <c r="IQK15" s="1"/>
      <c r="IQL15" s="1"/>
      <c r="IQM15" s="1"/>
      <c r="IQN15" s="1"/>
      <c r="IQO15" s="1"/>
      <c r="IQP15" s="1"/>
      <c r="IQQ15" s="1"/>
      <c r="IQR15" s="1"/>
      <c r="IQS15" s="1"/>
      <c r="IQT15" s="1"/>
      <c r="IQU15" s="1"/>
      <c r="IQV15" s="1"/>
      <c r="IQW15" s="1"/>
      <c r="IQX15" s="1"/>
      <c r="IQY15" s="1"/>
      <c r="IQZ15" s="1"/>
      <c r="IRA15" s="1"/>
      <c r="IRB15" s="1"/>
      <c r="IRC15" s="1"/>
      <c r="IRD15" s="1"/>
      <c r="IRE15" s="1"/>
      <c r="IRF15" s="1"/>
      <c r="IRG15" s="1"/>
      <c r="IRH15" s="1"/>
      <c r="IRI15" s="1"/>
      <c r="IRJ15" s="1"/>
      <c r="IRK15" s="1"/>
      <c r="IRL15" s="1"/>
      <c r="IRM15" s="1"/>
      <c r="IRN15" s="1"/>
      <c r="IRO15" s="1"/>
      <c r="IRP15" s="1"/>
      <c r="IRQ15" s="1"/>
      <c r="IRR15" s="1"/>
      <c r="IRS15" s="1"/>
      <c r="IRT15" s="1"/>
      <c r="IRU15" s="1"/>
      <c r="IRV15" s="1"/>
      <c r="IRW15" s="1"/>
      <c r="IRX15" s="1"/>
      <c r="IRY15" s="1"/>
      <c r="IRZ15" s="1"/>
      <c r="ISA15" s="1"/>
      <c r="ISB15" s="1"/>
      <c r="ISC15" s="1"/>
      <c r="ISD15" s="1"/>
      <c r="ISE15" s="1"/>
      <c r="ISF15" s="1"/>
      <c r="ISG15" s="1"/>
      <c r="ISH15" s="1"/>
      <c r="ISI15" s="1"/>
      <c r="ISJ15" s="1"/>
      <c r="ISK15" s="1"/>
      <c r="ISL15" s="1"/>
      <c r="ISM15" s="1"/>
      <c r="ISN15" s="1"/>
      <c r="ISO15" s="1"/>
      <c r="ISP15" s="1"/>
      <c r="ISQ15" s="1"/>
      <c r="ISR15" s="1"/>
      <c r="ISS15" s="1"/>
      <c r="IST15" s="1"/>
      <c r="ISU15" s="1"/>
      <c r="ISV15" s="1"/>
      <c r="ISW15" s="1"/>
      <c r="ISX15" s="1"/>
      <c r="ISY15" s="1"/>
      <c r="ISZ15" s="1"/>
      <c r="ITA15" s="1"/>
      <c r="ITB15" s="1"/>
      <c r="ITC15" s="1"/>
      <c r="ITD15" s="1"/>
      <c r="ITE15" s="1"/>
      <c r="ITF15" s="1"/>
      <c r="ITG15" s="1"/>
      <c r="ITH15" s="1"/>
      <c r="ITI15" s="1"/>
      <c r="ITJ15" s="1"/>
      <c r="ITK15" s="1"/>
      <c r="ITL15" s="1"/>
      <c r="ITM15" s="1"/>
      <c r="ITN15" s="1"/>
      <c r="ITO15" s="1"/>
      <c r="ITP15" s="1"/>
      <c r="ITQ15" s="1"/>
      <c r="ITR15" s="1"/>
      <c r="ITS15" s="1"/>
      <c r="ITT15" s="1"/>
      <c r="ITU15" s="1"/>
      <c r="ITV15" s="1"/>
      <c r="ITW15" s="1"/>
      <c r="ITX15" s="1"/>
      <c r="ITY15" s="1"/>
      <c r="ITZ15" s="1"/>
      <c r="IUA15" s="1"/>
      <c r="IUB15" s="1"/>
      <c r="IUC15" s="1"/>
      <c r="IUD15" s="1"/>
      <c r="IUE15" s="1"/>
      <c r="IUF15" s="1"/>
      <c r="IUG15" s="1"/>
      <c r="IUH15" s="1"/>
      <c r="IUI15" s="1"/>
      <c r="IUJ15" s="1"/>
      <c r="IUK15" s="1"/>
      <c r="IUL15" s="1"/>
      <c r="IUM15" s="1"/>
      <c r="IUN15" s="1"/>
      <c r="IUO15" s="1"/>
      <c r="IUP15" s="1"/>
      <c r="IUQ15" s="1"/>
      <c r="IUR15" s="1"/>
      <c r="IUS15" s="1"/>
      <c r="IUT15" s="1"/>
      <c r="IUU15" s="1"/>
      <c r="IUV15" s="1"/>
      <c r="IUW15" s="1"/>
      <c r="IUX15" s="1"/>
      <c r="IUY15" s="1"/>
      <c r="IUZ15" s="1"/>
      <c r="IVA15" s="1"/>
      <c r="IVB15" s="1"/>
      <c r="IVC15" s="1"/>
      <c r="IVD15" s="1"/>
      <c r="IVE15" s="1"/>
      <c r="IVF15" s="1"/>
      <c r="IVG15" s="1"/>
      <c r="IVH15" s="1"/>
      <c r="IVI15" s="1"/>
      <c r="IVJ15" s="1"/>
      <c r="IVK15" s="1"/>
      <c r="IVL15" s="1"/>
      <c r="IVM15" s="1"/>
      <c r="IVN15" s="1"/>
      <c r="IVO15" s="1"/>
      <c r="IVP15" s="1"/>
      <c r="IVQ15" s="1"/>
      <c r="IVR15" s="1"/>
      <c r="IVS15" s="1"/>
      <c r="IVT15" s="1"/>
      <c r="IVU15" s="1"/>
      <c r="IVV15" s="1"/>
      <c r="IVW15" s="1"/>
      <c r="IVX15" s="1"/>
      <c r="IVY15" s="1"/>
      <c r="IVZ15" s="1"/>
      <c r="IWA15" s="1"/>
      <c r="IWB15" s="1"/>
      <c r="IWC15" s="1"/>
      <c r="IWD15" s="1"/>
      <c r="IWE15" s="1"/>
      <c r="IWF15" s="1"/>
      <c r="IWG15" s="1"/>
      <c r="IWH15" s="1"/>
      <c r="IWI15" s="1"/>
      <c r="IWJ15" s="1"/>
      <c r="IWK15" s="1"/>
      <c r="IWL15" s="1"/>
      <c r="IWM15" s="1"/>
      <c r="IWN15" s="1"/>
      <c r="IWO15" s="1"/>
      <c r="IWP15" s="1"/>
      <c r="IWQ15" s="1"/>
      <c r="IWR15" s="1"/>
      <c r="IWS15" s="1"/>
      <c r="IWT15" s="1"/>
      <c r="IWU15" s="1"/>
      <c r="IWV15" s="1"/>
      <c r="IWW15" s="1"/>
      <c r="IWX15" s="1"/>
      <c r="IWY15" s="1"/>
      <c r="IWZ15" s="1"/>
      <c r="IXA15" s="1"/>
      <c r="IXB15" s="1"/>
      <c r="IXC15" s="1"/>
      <c r="IXD15" s="1"/>
      <c r="IXE15" s="1"/>
      <c r="IXF15" s="1"/>
      <c r="IXG15" s="1"/>
      <c r="IXH15" s="1"/>
      <c r="IXI15" s="1"/>
      <c r="IXJ15" s="1"/>
      <c r="IXK15" s="1"/>
      <c r="IXL15" s="1"/>
      <c r="IXM15" s="1"/>
      <c r="IXN15" s="1"/>
      <c r="IXO15" s="1"/>
      <c r="IXP15" s="1"/>
      <c r="IXQ15" s="1"/>
      <c r="IXR15" s="1"/>
      <c r="IXS15" s="1"/>
      <c r="IXT15" s="1"/>
      <c r="IXU15" s="1"/>
      <c r="IXV15" s="1"/>
      <c r="IXW15" s="1"/>
      <c r="IXX15" s="1"/>
      <c r="IXY15" s="1"/>
      <c r="IXZ15" s="1"/>
      <c r="IYA15" s="1"/>
      <c r="IYB15" s="1"/>
      <c r="IYC15" s="1"/>
      <c r="IYD15" s="1"/>
      <c r="IYE15" s="1"/>
      <c r="IYF15" s="1"/>
      <c r="IYG15" s="1"/>
      <c r="IYH15" s="1"/>
      <c r="IYI15" s="1"/>
      <c r="IYJ15" s="1"/>
      <c r="IYK15" s="1"/>
      <c r="IYL15" s="1"/>
      <c r="IYM15" s="1"/>
      <c r="IYN15" s="1"/>
      <c r="IYO15" s="1"/>
      <c r="IYP15" s="1"/>
      <c r="IYQ15" s="1"/>
      <c r="IYR15" s="1"/>
      <c r="IYS15" s="1"/>
      <c r="IYT15" s="1"/>
      <c r="IYU15" s="1"/>
      <c r="IYV15" s="1"/>
      <c r="IYW15" s="1"/>
      <c r="IYX15" s="1"/>
      <c r="IYY15" s="1"/>
      <c r="IYZ15" s="1"/>
      <c r="IZA15" s="1"/>
      <c r="IZB15" s="1"/>
      <c r="IZC15" s="1"/>
      <c r="IZD15" s="1"/>
      <c r="IZE15" s="1"/>
      <c r="IZF15" s="1"/>
      <c r="IZG15" s="1"/>
      <c r="IZH15" s="1"/>
      <c r="IZI15" s="1"/>
      <c r="IZJ15" s="1"/>
      <c r="IZK15" s="1"/>
      <c r="IZL15" s="1"/>
      <c r="IZM15" s="1"/>
      <c r="IZN15" s="1"/>
      <c r="IZO15" s="1"/>
      <c r="IZP15" s="1"/>
      <c r="IZQ15" s="1"/>
      <c r="IZR15" s="1"/>
      <c r="IZS15" s="1"/>
      <c r="IZT15" s="1"/>
      <c r="IZU15" s="1"/>
      <c r="IZV15" s="1"/>
      <c r="IZW15" s="1"/>
      <c r="IZX15" s="1"/>
      <c r="IZY15" s="1"/>
      <c r="IZZ15" s="1"/>
      <c r="JAA15" s="1"/>
      <c r="JAB15" s="1"/>
      <c r="JAC15" s="1"/>
      <c r="JAD15" s="1"/>
      <c r="JAE15" s="1"/>
      <c r="JAF15" s="1"/>
      <c r="JAG15" s="1"/>
      <c r="JAH15" s="1"/>
      <c r="JAI15" s="1"/>
      <c r="JAJ15" s="1"/>
      <c r="JAK15" s="1"/>
      <c r="JAL15" s="1"/>
      <c r="JAM15" s="1"/>
      <c r="JAN15" s="1"/>
      <c r="JAO15" s="1"/>
      <c r="JAP15" s="1"/>
      <c r="JAQ15" s="1"/>
      <c r="JAR15" s="1"/>
      <c r="JAS15" s="1"/>
      <c r="JAT15" s="1"/>
      <c r="JAU15" s="1"/>
      <c r="JAV15" s="1"/>
      <c r="JAW15" s="1"/>
      <c r="JAX15" s="1"/>
      <c r="JAY15" s="1"/>
      <c r="JAZ15" s="1"/>
      <c r="JBA15" s="1"/>
      <c r="JBB15" s="1"/>
      <c r="JBC15" s="1"/>
      <c r="JBD15" s="1"/>
      <c r="JBE15" s="1"/>
      <c r="JBF15" s="1"/>
      <c r="JBG15" s="1"/>
      <c r="JBH15" s="1"/>
      <c r="JBI15" s="1"/>
      <c r="JBJ15" s="1"/>
      <c r="JBK15" s="1"/>
      <c r="JBL15" s="1"/>
      <c r="JBM15" s="1"/>
      <c r="JBN15" s="1"/>
      <c r="JBO15" s="1"/>
      <c r="JBP15" s="1"/>
      <c r="JBQ15" s="1"/>
      <c r="JBR15" s="1"/>
      <c r="JBS15" s="1"/>
      <c r="JBT15" s="1"/>
      <c r="JBU15" s="1"/>
      <c r="JBV15" s="1"/>
      <c r="JBW15" s="1"/>
      <c r="JBX15" s="1"/>
      <c r="JBY15" s="1"/>
      <c r="JBZ15" s="1"/>
      <c r="JCA15" s="1"/>
      <c r="JCB15" s="1"/>
      <c r="JCC15" s="1"/>
      <c r="JCD15" s="1"/>
      <c r="JCE15" s="1"/>
      <c r="JCF15" s="1"/>
      <c r="JCG15" s="1"/>
      <c r="JCH15" s="1"/>
      <c r="JCI15" s="1"/>
      <c r="JCJ15" s="1"/>
      <c r="JCK15" s="1"/>
      <c r="JCL15" s="1"/>
      <c r="JCM15" s="1"/>
      <c r="JCN15" s="1"/>
      <c r="JCO15" s="1"/>
      <c r="JCP15" s="1"/>
      <c r="JCQ15" s="1"/>
      <c r="JCR15" s="1"/>
      <c r="JCS15" s="1"/>
      <c r="JCT15" s="1"/>
      <c r="JCU15" s="1"/>
      <c r="JCV15" s="1"/>
      <c r="JCW15" s="1"/>
      <c r="JCX15" s="1"/>
      <c r="JCY15" s="1"/>
      <c r="JCZ15" s="1"/>
      <c r="JDA15" s="1"/>
      <c r="JDB15" s="1"/>
      <c r="JDC15" s="1"/>
      <c r="JDD15" s="1"/>
      <c r="JDE15" s="1"/>
      <c r="JDF15" s="1"/>
      <c r="JDG15" s="1"/>
      <c r="JDH15" s="1"/>
      <c r="JDI15" s="1"/>
      <c r="JDJ15" s="1"/>
      <c r="JDK15" s="1"/>
      <c r="JDL15" s="1"/>
      <c r="JDM15" s="1"/>
      <c r="JDN15" s="1"/>
      <c r="JDO15" s="1"/>
      <c r="JDP15" s="1"/>
      <c r="JDQ15" s="1"/>
      <c r="JDR15" s="1"/>
      <c r="JDS15" s="1"/>
      <c r="JDT15" s="1"/>
      <c r="JDU15" s="1"/>
      <c r="JDV15" s="1"/>
      <c r="JDW15" s="1"/>
      <c r="JDX15" s="1"/>
      <c r="JDY15" s="1"/>
      <c r="JDZ15" s="1"/>
      <c r="JEA15" s="1"/>
      <c r="JEB15" s="1"/>
      <c r="JEC15" s="1"/>
      <c r="JED15" s="1"/>
      <c r="JEE15" s="1"/>
      <c r="JEF15" s="1"/>
      <c r="JEG15" s="1"/>
      <c r="JEH15" s="1"/>
      <c r="JEI15" s="1"/>
      <c r="JEJ15" s="1"/>
      <c r="JEK15" s="1"/>
      <c r="JEL15" s="1"/>
      <c r="JEM15" s="1"/>
      <c r="JEN15" s="1"/>
      <c r="JEO15" s="1"/>
      <c r="JEP15" s="1"/>
      <c r="JEQ15" s="1"/>
      <c r="JER15" s="1"/>
      <c r="JES15" s="1"/>
      <c r="JET15" s="1"/>
      <c r="JEU15" s="1"/>
      <c r="JEV15" s="1"/>
      <c r="JEW15" s="1"/>
      <c r="JEX15" s="1"/>
      <c r="JEY15" s="1"/>
      <c r="JEZ15" s="1"/>
      <c r="JFA15" s="1"/>
      <c r="JFB15" s="1"/>
      <c r="JFC15" s="1"/>
      <c r="JFD15" s="1"/>
      <c r="JFE15" s="1"/>
      <c r="JFF15" s="1"/>
      <c r="JFG15" s="1"/>
      <c r="JFH15" s="1"/>
      <c r="JFI15" s="1"/>
      <c r="JFJ15" s="1"/>
      <c r="JFK15" s="1"/>
      <c r="JFL15" s="1"/>
      <c r="JFM15" s="1"/>
      <c r="JFN15" s="1"/>
      <c r="JFO15" s="1"/>
      <c r="JFP15" s="1"/>
      <c r="JFQ15" s="1"/>
      <c r="JFR15" s="1"/>
      <c r="JFS15" s="1"/>
      <c r="JFT15" s="1"/>
      <c r="JFU15" s="1"/>
      <c r="JFV15" s="1"/>
      <c r="JFW15" s="1"/>
      <c r="JFX15" s="1"/>
      <c r="JFY15" s="1"/>
      <c r="JFZ15" s="1"/>
      <c r="JGA15" s="1"/>
      <c r="JGB15" s="1"/>
      <c r="JGC15" s="1"/>
      <c r="JGD15" s="1"/>
      <c r="JGE15" s="1"/>
      <c r="JGF15" s="1"/>
      <c r="JGG15" s="1"/>
      <c r="JGH15" s="1"/>
      <c r="JGI15" s="1"/>
      <c r="JGJ15" s="1"/>
      <c r="JGK15" s="1"/>
      <c r="JGL15" s="1"/>
      <c r="JGM15" s="1"/>
      <c r="JGN15" s="1"/>
      <c r="JGO15" s="1"/>
      <c r="JGP15" s="1"/>
      <c r="JGQ15" s="1"/>
      <c r="JGR15" s="1"/>
      <c r="JGS15" s="1"/>
      <c r="JGT15" s="1"/>
      <c r="JGU15" s="1"/>
      <c r="JGV15" s="1"/>
      <c r="JGW15" s="1"/>
      <c r="JGX15" s="1"/>
      <c r="JGY15" s="1"/>
      <c r="JGZ15" s="1"/>
      <c r="JHA15" s="1"/>
      <c r="JHB15" s="1"/>
      <c r="JHC15" s="1"/>
      <c r="JHD15" s="1"/>
      <c r="JHE15" s="1"/>
      <c r="JHF15" s="1"/>
      <c r="JHG15" s="1"/>
      <c r="JHH15" s="1"/>
      <c r="JHI15" s="1"/>
      <c r="JHJ15" s="1"/>
      <c r="JHK15" s="1"/>
      <c r="JHL15" s="1"/>
      <c r="JHM15" s="1"/>
      <c r="JHN15" s="1"/>
      <c r="JHO15" s="1"/>
      <c r="JHP15" s="1"/>
      <c r="JHQ15" s="1"/>
      <c r="JHR15" s="1"/>
      <c r="JHS15" s="1"/>
      <c r="JHT15" s="1"/>
      <c r="JHU15" s="1"/>
      <c r="JHV15" s="1"/>
      <c r="JHW15" s="1"/>
      <c r="JHX15" s="1"/>
      <c r="JHY15" s="1"/>
      <c r="JHZ15" s="1"/>
      <c r="JIA15" s="1"/>
      <c r="JIB15" s="1"/>
      <c r="JIC15" s="1"/>
      <c r="JID15" s="1"/>
      <c r="JIE15" s="1"/>
      <c r="JIF15" s="1"/>
      <c r="JIG15" s="1"/>
      <c r="JIH15" s="1"/>
      <c r="JII15" s="1"/>
      <c r="JIJ15" s="1"/>
      <c r="JIK15" s="1"/>
      <c r="JIL15" s="1"/>
      <c r="JIM15" s="1"/>
      <c r="JIN15" s="1"/>
      <c r="JIO15" s="1"/>
      <c r="JIP15" s="1"/>
      <c r="JIQ15" s="1"/>
      <c r="JIR15" s="1"/>
      <c r="JIS15" s="1"/>
      <c r="JIT15" s="1"/>
      <c r="JIU15" s="1"/>
      <c r="JIV15" s="1"/>
      <c r="JIW15" s="1"/>
      <c r="JIX15" s="1"/>
      <c r="JIY15" s="1"/>
      <c r="JIZ15" s="1"/>
      <c r="JJA15" s="1"/>
      <c r="JJB15" s="1"/>
      <c r="JJC15" s="1"/>
      <c r="JJD15" s="1"/>
      <c r="JJE15" s="1"/>
      <c r="JJF15" s="1"/>
      <c r="JJG15" s="1"/>
      <c r="JJH15" s="1"/>
      <c r="JJI15" s="1"/>
      <c r="JJJ15" s="1"/>
      <c r="JJK15" s="1"/>
      <c r="JJL15" s="1"/>
      <c r="JJM15" s="1"/>
      <c r="JJN15" s="1"/>
      <c r="JJO15" s="1"/>
      <c r="JJP15" s="1"/>
      <c r="JJQ15" s="1"/>
      <c r="JJR15" s="1"/>
      <c r="JJS15" s="1"/>
      <c r="JJT15" s="1"/>
      <c r="JJU15" s="1"/>
      <c r="JJV15" s="1"/>
      <c r="JJW15" s="1"/>
      <c r="JJX15" s="1"/>
      <c r="JJY15" s="1"/>
      <c r="JJZ15" s="1"/>
      <c r="JKA15" s="1"/>
      <c r="JKB15" s="1"/>
      <c r="JKC15" s="1"/>
      <c r="JKD15" s="1"/>
      <c r="JKE15" s="1"/>
      <c r="JKF15" s="1"/>
      <c r="JKG15" s="1"/>
      <c r="JKH15" s="1"/>
      <c r="JKI15" s="1"/>
      <c r="JKJ15" s="1"/>
      <c r="JKK15" s="1"/>
      <c r="JKL15" s="1"/>
      <c r="JKM15" s="1"/>
      <c r="JKN15" s="1"/>
      <c r="JKO15" s="1"/>
      <c r="JKP15" s="1"/>
      <c r="JKQ15" s="1"/>
      <c r="JKR15" s="1"/>
      <c r="JKS15" s="1"/>
      <c r="JKT15" s="1"/>
      <c r="JKU15" s="1"/>
      <c r="JKV15" s="1"/>
      <c r="JKW15" s="1"/>
      <c r="JKX15" s="1"/>
      <c r="JKY15" s="1"/>
      <c r="JKZ15" s="1"/>
      <c r="JLA15" s="1"/>
      <c r="JLB15" s="1"/>
      <c r="JLC15" s="1"/>
      <c r="JLD15" s="1"/>
      <c r="JLE15" s="1"/>
      <c r="JLF15" s="1"/>
      <c r="JLG15" s="1"/>
      <c r="JLH15" s="1"/>
      <c r="JLI15" s="1"/>
      <c r="JLJ15" s="1"/>
      <c r="JLK15" s="1"/>
      <c r="JLL15" s="1"/>
      <c r="JLM15" s="1"/>
      <c r="JLN15" s="1"/>
      <c r="JLO15" s="1"/>
      <c r="JLP15" s="1"/>
      <c r="JLQ15" s="1"/>
      <c r="JLR15" s="1"/>
      <c r="JLS15" s="1"/>
      <c r="JLT15" s="1"/>
      <c r="JLU15" s="1"/>
      <c r="JLV15" s="1"/>
      <c r="JLW15" s="1"/>
      <c r="JLX15" s="1"/>
      <c r="JLY15" s="1"/>
      <c r="JLZ15" s="1"/>
      <c r="JMA15" s="1"/>
      <c r="JMB15" s="1"/>
      <c r="JMC15" s="1"/>
      <c r="JMD15" s="1"/>
      <c r="JME15" s="1"/>
      <c r="JMF15" s="1"/>
      <c r="JMG15" s="1"/>
      <c r="JMH15" s="1"/>
      <c r="JMI15" s="1"/>
      <c r="JMJ15" s="1"/>
      <c r="JMK15" s="1"/>
      <c r="JML15" s="1"/>
      <c r="JMM15" s="1"/>
      <c r="JMN15" s="1"/>
      <c r="JMO15" s="1"/>
      <c r="JMP15" s="1"/>
      <c r="JMQ15" s="1"/>
      <c r="JMR15" s="1"/>
      <c r="JMS15" s="1"/>
      <c r="JMT15" s="1"/>
      <c r="JMU15" s="1"/>
      <c r="JMV15" s="1"/>
      <c r="JMW15" s="1"/>
      <c r="JMX15" s="1"/>
      <c r="JMY15" s="1"/>
      <c r="JMZ15" s="1"/>
      <c r="JNA15" s="1"/>
      <c r="JNB15" s="1"/>
      <c r="JNC15" s="1"/>
      <c r="JND15" s="1"/>
      <c r="JNE15" s="1"/>
      <c r="JNF15" s="1"/>
      <c r="JNG15" s="1"/>
      <c r="JNH15" s="1"/>
      <c r="JNI15" s="1"/>
      <c r="JNJ15" s="1"/>
      <c r="JNK15" s="1"/>
      <c r="JNL15" s="1"/>
      <c r="JNM15" s="1"/>
      <c r="JNN15" s="1"/>
      <c r="JNO15" s="1"/>
      <c r="JNP15" s="1"/>
      <c r="JNQ15" s="1"/>
      <c r="JNR15" s="1"/>
      <c r="JNS15" s="1"/>
      <c r="JNT15" s="1"/>
      <c r="JNU15" s="1"/>
      <c r="JNV15" s="1"/>
      <c r="JNW15" s="1"/>
      <c r="JNX15" s="1"/>
      <c r="JNY15" s="1"/>
      <c r="JNZ15" s="1"/>
      <c r="JOA15" s="1"/>
      <c r="JOB15" s="1"/>
      <c r="JOC15" s="1"/>
      <c r="JOD15" s="1"/>
      <c r="JOE15" s="1"/>
      <c r="JOF15" s="1"/>
      <c r="JOG15" s="1"/>
      <c r="JOH15" s="1"/>
      <c r="JOI15" s="1"/>
      <c r="JOJ15" s="1"/>
      <c r="JOK15" s="1"/>
      <c r="JOL15" s="1"/>
      <c r="JOM15" s="1"/>
      <c r="JON15" s="1"/>
      <c r="JOO15" s="1"/>
      <c r="JOP15" s="1"/>
      <c r="JOQ15" s="1"/>
      <c r="JOR15" s="1"/>
      <c r="JOS15" s="1"/>
      <c r="JOT15" s="1"/>
      <c r="JOU15" s="1"/>
      <c r="JOV15" s="1"/>
      <c r="JOW15" s="1"/>
      <c r="JOX15" s="1"/>
      <c r="JOY15" s="1"/>
      <c r="JOZ15" s="1"/>
      <c r="JPA15" s="1"/>
      <c r="JPB15" s="1"/>
      <c r="JPC15" s="1"/>
      <c r="JPD15" s="1"/>
      <c r="JPE15" s="1"/>
      <c r="JPF15" s="1"/>
      <c r="JPG15" s="1"/>
      <c r="JPH15" s="1"/>
      <c r="JPI15" s="1"/>
      <c r="JPJ15" s="1"/>
      <c r="JPK15" s="1"/>
      <c r="JPL15" s="1"/>
      <c r="JPM15" s="1"/>
      <c r="JPN15" s="1"/>
      <c r="JPO15" s="1"/>
      <c r="JPP15" s="1"/>
      <c r="JPQ15" s="1"/>
      <c r="JPR15" s="1"/>
      <c r="JPS15" s="1"/>
      <c r="JPT15" s="1"/>
      <c r="JPU15" s="1"/>
      <c r="JPV15" s="1"/>
      <c r="JPW15" s="1"/>
      <c r="JPX15" s="1"/>
      <c r="JPY15" s="1"/>
      <c r="JPZ15" s="1"/>
      <c r="JQA15" s="1"/>
      <c r="JQB15" s="1"/>
      <c r="JQC15" s="1"/>
      <c r="JQD15" s="1"/>
      <c r="JQE15" s="1"/>
      <c r="JQF15" s="1"/>
      <c r="JQG15" s="1"/>
      <c r="JQH15" s="1"/>
      <c r="JQI15" s="1"/>
      <c r="JQJ15" s="1"/>
      <c r="JQK15" s="1"/>
      <c r="JQL15" s="1"/>
      <c r="JQM15" s="1"/>
      <c r="JQN15" s="1"/>
      <c r="JQO15" s="1"/>
      <c r="JQP15" s="1"/>
      <c r="JQQ15" s="1"/>
      <c r="JQR15" s="1"/>
      <c r="JQS15" s="1"/>
      <c r="JQT15" s="1"/>
      <c r="JQU15" s="1"/>
      <c r="JQV15" s="1"/>
      <c r="JQW15" s="1"/>
      <c r="JQX15" s="1"/>
      <c r="JQY15" s="1"/>
      <c r="JQZ15" s="1"/>
      <c r="JRA15" s="1"/>
      <c r="JRB15" s="1"/>
      <c r="JRC15" s="1"/>
      <c r="JRD15" s="1"/>
      <c r="JRE15" s="1"/>
      <c r="JRF15" s="1"/>
      <c r="JRG15" s="1"/>
      <c r="JRH15" s="1"/>
      <c r="JRI15" s="1"/>
      <c r="JRJ15" s="1"/>
      <c r="JRK15" s="1"/>
      <c r="JRL15" s="1"/>
      <c r="JRM15" s="1"/>
      <c r="JRN15" s="1"/>
      <c r="JRO15" s="1"/>
      <c r="JRP15" s="1"/>
      <c r="JRQ15" s="1"/>
      <c r="JRR15" s="1"/>
      <c r="JRS15" s="1"/>
      <c r="JRT15" s="1"/>
      <c r="JRU15" s="1"/>
      <c r="JRV15" s="1"/>
      <c r="JRW15" s="1"/>
      <c r="JRX15" s="1"/>
      <c r="JRY15" s="1"/>
      <c r="JRZ15" s="1"/>
      <c r="JSA15" s="1"/>
      <c r="JSB15" s="1"/>
      <c r="JSC15" s="1"/>
      <c r="JSD15" s="1"/>
      <c r="JSE15" s="1"/>
      <c r="JSF15" s="1"/>
      <c r="JSG15" s="1"/>
      <c r="JSH15" s="1"/>
      <c r="JSI15" s="1"/>
      <c r="JSJ15" s="1"/>
      <c r="JSK15" s="1"/>
      <c r="JSL15" s="1"/>
      <c r="JSM15" s="1"/>
      <c r="JSN15" s="1"/>
      <c r="JSO15" s="1"/>
      <c r="JSP15" s="1"/>
      <c r="JSQ15" s="1"/>
      <c r="JSR15" s="1"/>
      <c r="JSS15" s="1"/>
      <c r="JST15" s="1"/>
      <c r="JSU15" s="1"/>
      <c r="JSV15" s="1"/>
      <c r="JSW15" s="1"/>
      <c r="JSX15" s="1"/>
      <c r="JSY15" s="1"/>
      <c r="JSZ15" s="1"/>
      <c r="JTA15" s="1"/>
      <c r="JTB15" s="1"/>
      <c r="JTC15" s="1"/>
      <c r="JTD15" s="1"/>
      <c r="JTE15" s="1"/>
      <c r="JTF15" s="1"/>
      <c r="JTG15" s="1"/>
      <c r="JTH15" s="1"/>
      <c r="JTI15" s="1"/>
      <c r="JTJ15" s="1"/>
      <c r="JTK15" s="1"/>
      <c r="JTL15" s="1"/>
      <c r="JTM15" s="1"/>
      <c r="JTN15" s="1"/>
      <c r="JTO15" s="1"/>
      <c r="JTP15" s="1"/>
      <c r="JTQ15" s="1"/>
      <c r="JTR15" s="1"/>
      <c r="JTS15" s="1"/>
      <c r="JTT15" s="1"/>
      <c r="JTU15" s="1"/>
      <c r="JTV15" s="1"/>
      <c r="JTW15" s="1"/>
      <c r="JTX15" s="1"/>
      <c r="JTY15" s="1"/>
      <c r="JTZ15" s="1"/>
      <c r="JUA15" s="1"/>
      <c r="JUB15" s="1"/>
      <c r="JUC15" s="1"/>
      <c r="JUD15" s="1"/>
      <c r="JUE15" s="1"/>
      <c r="JUF15" s="1"/>
      <c r="JUG15" s="1"/>
      <c r="JUH15" s="1"/>
      <c r="JUI15" s="1"/>
      <c r="JUJ15" s="1"/>
      <c r="JUK15" s="1"/>
      <c r="JUL15" s="1"/>
      <c r="JUM15" s="1"/>
      <c r="JUN15" s="1"/>
      <c r="JUO15" s="1"/>
      <c r="JUP15" s="1"/>
      <c r="JUQ15" s="1"/>
      <c r="JUR15" s="1"/>
      <c r="JUS15" s="1"/>
      <c r="JUT15" s="1"/>
      <c r="JUU15" s="1"/>
      <c r="JUV15" s="1"/>
      <c r="JUW15" s="1"/>
      <c r="JUX15" s="1"/>
      <c r="JUY15" s="1"/>
      <c r="JUZ15" s="1"/>
      <c r="JVA15" s="1"/>
      <c r="JVB15" s="1"/>
      <c r="JVC15" s="1"/>
      <c r="JVD15" s="1"/>
      <c r="JVE15" s="1"/>
      <c r="JVF15" s="1"/>
      <c r="JVG15" s="1"/>
      <c r="JVH15" s="1"/>
      <c r="JVI15" s="1"/>
      <c r="JVJ15" s="1"/>
      <c r="JVK15" s="1"/>
      <c r="JVL15" s="1"/>
      <c r="JVM15" s="1"/>
      <c r="JVN15" s="1"/>
      <c r="JVO15" s="1"/>
      <c r="JVP15" s="1"/>
      <c r="JVQ15" s="1"/>
      <c r="JVR15" s="1"/>
      <c r="JVS15" s="1"/>
      <c r="JVT15" s="1"/>
      <c r="JVU15" s="1"/>
      <c r="JVV15" s="1"/>
      <c r="JVW15" s="1"/>
      <c r="JVX15" s="1"/>
      <c r="JVY15" s="1"/>
      <c r="JVZ15" s="1"/>
      <c r="JWA15" s="1"/>
      <c r="JWB15" s="1"/>
      <c r="JWC15" s="1"/>
      <c r="JWD15" s="1"/>
      <c r="JWE15" s="1"/>
      <c r="JWF15" s="1"/>
      <c r="JWG15" s="1"/>
      <c r="JWH15" s="1"/>
      <c r="JWI15" s="1"/>
      <c r="JWJ15" s="1"/>
      <c r="JWK15" s="1"/>
      <c r="JWL15" s="1"/>
      <c r="JWM15" s="1"/>
      <c r="JWN15" s="1"/>
      <c r="JWO15" s="1"/>
      <c r="JWP15" s="1"/>
      <c r="JWQ15" s="1"/>
      <c r="JWR15" s="1"/>
      <c r="JWS15" s="1"/>
      <c r="JWT15" s="1"/>
      <c r="JWU15" s="1"/>
      <c r="JWV15" s="1"/>
      <c r="JWW15" s="1"/>
      <c r="JWX15" s="1"/>
      <c r="JWY15" s="1"/>
      <c r="JWZ15" s="1"/>
      <c r="JXA15" s="1"/>
      <c r="JXB15" s="1"/>
      <c r="JXC15" s="1"/>
      <c r="JXD15" s="1"/>
      <c r="JXE15" s="1"/>
      <c r="JXF15" s="1"/>
      <c r="JXG15" s="1"/>
      <c r="JXH15" s="1"/>
      <c r="JXI15" s="1"/>
      <c r="JXJ15" s="1"/>
      <c r="JXK15" s="1"/>
      <c r="JXL15" s="1"/>
      <c r="JXM15" s="1"/>
      <c r="JXN15" s="1"/>
      <c r="JXO15" s="1"/>
      <c r="JXP15" s="1"/>
      <c r="JXQ15" s="1"/>
      <c r="JXR15" s="1"/>
      <c r="JXS15" s="1"/>
      <c r="JXT15" s="1"/>
      <c r="JXU15" s="1"/>
      <c r="JXV15" s="1"/>
      <c r="JXW15" s="1"/>
      <c r="JXX15" s="1"/>
      <c r="JXY15" s="1"/>
      <c r="JXZ15" s="1"/>
      <c r="JYA15" s="1"/>
      <c r="JYB15" s="1"/>
      <c r="JYC15" s="1"/>
      <c r="JYD15" s="1"/>
      <c r="JYE15" s="1"/>
      <c r="JYF15" s="1"/>
      <c r="JYG15" s="1"/>
      <c r="JYH15" s="1"/>
      <c r="JYI15" s="1"/>
      <c r="JYJ15" s="1"/>
      <c r="JYK15" s="1"/>
      <c r="JYL15" s="1"/>
      <c r="JYM15" s="1"/>
      <c r="JYN15" s="1"/>
      <c r="JYO15" s="1"/>
      <c r="JYP15" s="1"/>
      <c r="JYQ15" s="1"/>
      <c r="JYR15" s="1"/>
      <c r="JYS15" s="1"/>
      <c r="JYT15" s="1"/>
      <c r="JYU15" s="1"/>
      <c r="JYV15" s="1"/>
      <c r="JYW15" s="1"/>
      <c r="JYX15" s="1"/>
      <c r="JYY15" s="1"/>
      <c r="JYZ15" s="1"/>
      <c r="JZA15" s="1"/>
      <c r="JZB15" s="1"/>
      <c r="JZC15" s="1"/>
      <c r="JZD15" s="1"/>
      <c r="JZE15" s="1"/>
      <c r="JZF15" s="1"/>
      <c r="JZG15" s="1"/>
      <c r="JZH15" s="1"/>
      <c r="JZI15" s="1"/>
      <c r="JZJ15" s="1"/>
      <c r="JZK15" s="1"/>
      <c r="JZL15" s="1"/>
      <c r="JZM15" s="1"/>
      <c r="JZN15" s="1"/>
      <c r="JZO15" s="1"/>
      <c r="JZP15" s="1"/>
      <c r="JZQ15" s="1"/>
      <c r="JZR15" s="1"/>
      <c r="JZS15" s="1"/>
      <c r="JZT15" s="1"/>
      <c r="JZU15" s="1"/>
      <c r="JZV15" s="1"/>
      <c r="JZW15" s="1"/>
      <c r="JZX15" s="1"/>
      <c r="JZY15" s="1"/>
      <c r="JZZ15" s="1"/>
      <c r="KAA15" s="1"/>
      <c r="KAB15" s="1"/>
      <c r="KAC15" s="1"/>
      <c r="KAD15" s="1"/>
      <c r="KAE15" s="1"/>
      <c r="KAF15" s="1"/>
      <c r="KAG15" s="1"/>
      <c r="KAH15" s="1"/>
      <c r="KAI15" s="1"/>
      <c r="KAJ15" s="1"/>
      <c r="KAK15" s="1"/>
      <c r="KAL15" s="1"/>
      <c r="KAM15" s="1"/>
      <c r="KAN15" s="1"/>
      <c r="KAO15" s="1"/>
      <c r="KAP15" s="1"/>
      <c r="KAQ15" s="1"/>
      <c r="KAR15" s="1"/>
      <c r="KAS15" s="1"/>
      <c r="KAT15" s="1"/>
      <c r="KAU15" s="1"/>
      <c r="KAV15" s="1"/>
      <c r="KAW15" s="1"/>
      <c r="KAX15" s="1"/>
      <c r="KAY15" s="1"/>
      <c r="KAZ15" s="1"/>
      <c r="KBA15" s="1"/>
      <c r="KBB15" s="1"/>
      <c r="KBC15" s="1"/>
      <c r="KBD15" s="1"/>
      <c r="KBE15" s="1"/>
      <c r="KBF15" s="1"/>
      <c r="KBG15" s="1"/>
      <c r="KBH15" s="1"/>
      <c r="KBI15" s="1"/>
      <c r="KBJ15" s="1"/>
      <c r="KBK15" s="1"/>
      <c r="KBL15" s="1"/>
      <c r="KBM15" s="1"/>
      <c r="KBN15" s="1"/>
      <c r="KBO15" s="1"/>
      <c r="KBP15" s="1"/>
      <c r="KBQ15" s="1"/>
      <c r="KBR15" s="1"/>
      <c r="KBS15" s="1"/>
      <c r="KBT15" s="1"/>
      <c r="KBU15" s="1"/>
      <c r="KBV15" s="1"/>
      <c r="KBW15" s="1"/>
      <c r="KBX15" s="1"/>
      <c r="KBY15" s="1"/>
      <c r="KBZ15" s="1"/>
      <c r="KCA15" s="1"/>
      <c r="KCB15" s="1"/>
      <c r="KCC15" s="1"/>
      <c r="KCD15" s="1"/>
      <c r="KCE15" s="1"/>
      <c r="KCF15" s="1"/>
      <c r="KCG15" s="1"/>
      <c r="KCH15" s="1"/>
      <c r="KCI15" s="1"/>
      <c r="KCJ15" s="1"/>
      <c r="KCK15" s="1"/>
      <c r="KCL15" s="1"/>
      <c r="KCM15" s="1"/>
      <c r="KCN15" s="1"/>
      <c r="KCO15" s="1"/>
      <c r="KCP15" s="1"/>
      <c r="KCQ15" s="1"/>
      <c r="KCR15" s="1"/>
      <c r="KCS15" s="1"/>
      <c r="KCT15" s="1"/>
      <c r="KCU15" s="1"/>
      <c r="KCV15" s="1"/>
      <c r="KCW15" s="1"/>
      <c r="KCX15" s="1"/>
      <c r="KCY15" s="1"/>
      <c r="KCZ15" s="1"/>
      <c r="KDA15" s="1"/>
      <c r="KDB15" s="1"/>
      <c r="KDC15" s="1"/>
      <c r="KDD15" s="1"/>
      <c r="KDE15" s="1"/>
      <c r="KDF15" s="1"/>
      <c r="KDG15" s="1"/>
      <c r="KDH15" s="1"/>
      <c r="KDI15" s="1"/>
      <c r="KDJ15" s="1"/>
      <c r="KDK15" s="1"/>
      <c r="KDL15" s="1"/>
      <c r="KDM15" s="1"/>
      <c r="KDN15" s="1"/>
      <c r="KDO15" s="1"/>
      <c r="KDP15" s="1"/>
      <c r="KDQ15" s="1"/>
      <c r="KDR15" s="1"/>
      <c r="KDS15" s="1"/>
      <c r="KDT15" s="1"/>
      <c r="KDU15" s="1"/>
      <c r="KDV15" s="1"/>
      <c r="KDW15" s="1"/>
      <c r="KDX15" s="1"/>
      <c r="KDY15" s="1"/>
      <c r="KDZ15" s="1"/>
      <c r="KEA15" s="1"/>
      <c r="KEB15" s="1"/>
      <c r="KEC15" s="1"/>
      <c r="KED15" s="1"/>
      <c r="KEE15" s="1"/>
      <c r="KEF15" s="1"/>
      <c r="KEG15" s="1"/>
      <c r="KEH15" s="1"/>
      <c r="KEI15" s="1"/>
      <c r="KEJ15" s="1"/>
      <c r="KEK15" s="1"/>
      <c r="KEL15" s="1"/>
      <c r="KEM15" s="1"/>
      <c r="KEN15" s="1"/>
      <c r="KEO15" s="1"/>
      <c r="KEP15" s="1"/>
      <c r="KEQ15" s="1"/>
      <c r="KER15" s="1"/>
      <c r="KES15" s="1"/>
      <c r="KET15" s="1"/>
      <c r="KEU15" s="1"/>
      <c r="KEV15" s="1"/>
      <c r="KEW15" s="1"/>
      <c r="KEX15" s="1"/>
      <c r="KEY15" s="1"/>
      <c r="KEZ15" s="1"/>
      <c r="KFA15" s="1"/>
      <c r="KFB15" s="1"/>
      <c r="KFC15" s="1"/>
      <c r="KFD15" s="1"/>
      <c r="KFE15" s="1"/>
      <c r="KFF15" s="1"/>
      <c r="KFG15" s="1"/>
      <c r="KFH15" s="1"/>
      <c r="KFI15" s="1"/>
      <c r="KFJ15" s="1"/>
      <c r="KFK15" s="1"/>
      <c r="KFL15" s="1"/>
      <c r="KFM15" s="1"/>
      <c r="KFN15" s="1"/>
      <c r="KFO15" s="1"/>
      <c r="KFP15" s="1"/>
      <c r="KFQ15" s="1"/>
      <c r="KFR15" s="1"/>
      <c r="KFS15" s="1"/>
      <c r="KFT15" s="1"/>
      <c r="KFU15" s="1"/>
      <c r="KFV15" s="1"/>
      <c r="KFW15" s="1"/>
      <c r="KFX15" s="1"/>
      <c r="KFY15" s="1"/>
      <c r="KFZ15" s="1"/>
      <c r="KGA15" s="1"/>
      <c r="KGB15" s="1"/>
      <c r="KGC15" s="1"/>
      <c r="KGD15" s="1"/>
      <c r="KGE15" s="1"/>
      <c r="KGF15" s="1"/>
      <c r="KGG15" s="1"/>
      <c r="KGH15" s="1"/>
      <c r="KGI15" s="1"/>
      <c r="KGJ15" s="1"/>
      <c r="KGK15" s="1"/>
      <c r="KGL15" s="1"/>
      <c r="KGM15" s="1"/>
      <c r="KGN15" s="1"/>
      <c r="KGO15" s="1"/>
      <c r="KGP15" s="1"/>
      <c r="KGQ15" s="1"/>
      <c r="KGR15" s="1"/>
      <c r="KGS15" s="1"/>
      <c r="KGT15" s="1"/>
      <c r="KGU15" s="1"/>
      <c r="KGV15" s="1"/>
      <c r="KGW15" s="1"/>
      <c r="KGX15" s="1"/>
      <c r="KGY15" s="1"/>
      <c r="KGZ15" s="1"/>
      <c r="KHA15" s="1"/>
      <c r="KHB15" s="1"/>
      <c r="KHC15" s="1"/>
      <c r="KHD15" s="1"/>
      <c r="KHE15" s="1"/>
      <c r="KHF15" s="1"/>
      <c r="KHG15" s="1"/>
      <c r="KHH15" s="1"/>
      <c r="KHI15" s="1"/>
      <c r="KHJ15" s="1"/>
      <c r="KHK15" s="1"/>
      <c r="KHL15" s="1"/>
      <c r="KHM15" s="1"/>
      <c r="KHN15" s="1"/>
      <c r="KHO15" s="1"/>
      <c r="KHP15" s="1"/>
      <c r="KHQ15" s="1"/>
      <c r="KHR15" s="1"/>
      <c r="KHS15" s="1"/>
      <c r="KHT15" s="1"/>
      <c r="KHU15" s="1"/>
      <c r="KHV15" s="1"/>
      <c r="KHW15" s="1"/>
      <c r="KHX15" s="1"/>
      <c r="KHY15" s="1"/>
      <c r="KHZ15" s="1"/>
      <c r="KIA15" s="1"/>
      <c r="KIB15" s="1"/>
      <c r="KIC15" s="1"/>
      <c r="KID15" s="1"/>
      <c r="KIE15" s="1"/>
      <c r="KIF15" s="1"/>
      <c r="KIG15" s="1"/>
      <c r="KIH15" s="1"/>
      <c r="KII15" s="1"/>
      <c r="KIJ15" s="1"/>
      <c r="KIK15" s="1"/>
      <c r="KIL15" s="1"/>
      <c r="KIM15" s="1"/>
      <c r="KIN15" s="1"/>
      <c r="KIO15" s="1"/>
      <c r="KIP15" s="1"/>
      <c r="KIQ15" s="1"/>
      <c r="KIR15" s="1"/>
      <c r="KIS15" s="1"/>
      <c r="KIT15" s="1"/>
      <c r="KIU15" s="1"/>
      <c r="KIV15" s="1"/>
      <c r="KIW15" s="1"/>
      <c r="KIX15" s="1"/>
      <c r="KIY15" s="1"/>
      <c r="KIZ15" s="1"/>
      <c r="KJA15" s="1"/>
      <c r="KJB15" s="1"/>
      <c r="KJC15" s="1"/>
      <c r="KJD15" s="1"/>
      <c r="KJE15" s="1"/>
      <c r="KJF15" s="1"/>
      <c r="KJG15" s="1"/>
      <c r="KJH15" s="1"/>
      <c r="KJI15" s="1"/>
      <c r="KJJ15" s="1"/>
      <c r="KJK15" s="1"/>
      <c r="KJL15" s="1"/>
      <c r="KJM15" s="1"/>
      <c r="KJN15" s="1"/>
      <c r="KJO15" s="1"/>
      <c r="KJP15" s="1"/>
      <c r="KJQ15" s="1"/>
      <c r="KJR15" s="1"/>
      <c r="KJS15" s="1"/>
      <c r="KJT15" s="1"/>
      <c r="KJU15" s="1"/>
      <c r="KJV15" s="1"/>
      <c r="KJW15" s="1"/>
      <c r="KJX15" s="1"/>
      <c r="KJY15" s="1"/>
      <c r="KJZ15" s="1"/>
      <c r="KKA15" s="1"/>
      <c r="KKB15" s="1"/>
      <c r="KKC15" s="1"/>
      <c r="KKD15" s="1"/>
      <c r="KKE15" s="1"/>
      <c r="KKF15" s="1"/>
      <c r="KKG15" s="1"/>
      <c r="KKH15" s="1"/>
      <c r="KKI15" s="1"/>
      <c r="KKJ15" s="1"/>
      <c r="KKK15" s="1"/>
      <c r="KKL15" s="1"/>
      <c r="KKM15" s="1"/>
      <c r="KKN15" s="1"/>
      <c r="KKO15" s="1"/>
      <c r="KKP15" s="1"/>
      <c r="KKQ15" s="1"/>
      <c r="KKR15" s="1"/>
      <c r="KKS15" s="1"/>
      <c r="KKT15" s="1"/>
      <c r="KKU15" s="1"/>
      <c r="KKV15" s="1"/>
      <c r="KKW15" s="1"/>
      <c r="KKX15" s="1"/>
      <c r="KKY15" s="1"/>
      <c r="KKZ15" s="1"/>
      <c r="KLA15" s="1"/>
      <c r="KLB15" s="1"/>
      <c r="KLC15" s="1"/>
      <c r="KLD15" s="1"/>
      <c r="KLE15" s="1"/>
      <c r="KLF15" s="1"/>
      <c r="KLG15" s="1"/>
      <c r="KLH15" s="1"/>
      <c r="KLI15" s="1"/>
      <c r="KLJ15" s="1"/>
      <c r="KLK15" s="1"/>
      <c r="KLL15" s="1"/>
      <c r="KLM15" s="1"/>
      <c r="KLN15" s="1"/>
      <c r="KLO15" s="1"/>
      <c r="KLP15" s="1"/>
      <c r="KLQ15" s="1"/>
      <c r="KLR15" s="1"/>
      <c r="KLS15" s="1"/>
      <c r="KLT15" s="1"/>
      <c r="KLU15" s="1"/>
      <c r="KLV15" s="1"/>
      <c r="KLW15" s="1"/>
      <c r="KLX15" s="1"/>
      <c r="KLY15" s="1"/>
      <c r="KLZ15" s="1"/>
      <c r="KMA15" s="1"/>
      <c r="KMB15" s="1"/>
      <c r="KMC15" s="1"/>
      <c r="KMD15" s="1"/>
      <c r="KME15" s="1"/>
      <c r="KMF15" s="1"/>
      <c r="KMG15" s="1"/>
      <c r="KMH15" s="1"/>
      <c r="KMI15" s="1"/>
      <c r="KMJ15" s="1"/>
      <c r="KMK15" s="1"/>
      <c r="KML15" s="1"/>
      <c r="KMM15" s="1"/>
      <c r="KMN15" s="1"/>
      <c r="KMO15" s="1"/>
      <c r="KMP15" s="1"/>
      <c r="KMQ15" s="1"/>
      <c r="KMR15" s="1"/>
      <c r="KMS15" s="1"/>
      <c r="KMT15" s="1"/>
      <c r="KMU15" s="1"/>
      <c r="KMV15" s="1"/>
      <c r="KMW15" s="1"/>
      <c r="KMX15" s="1"/>
      <c r="KMY15" s="1"/>
      <c r="KMZ15" s="1"/>
      <c r="KNA15" s="1"/>
      <c r="KNB15" s="1"/>
      <c r="KNC15" s="1"/>
      <c r="KND15" s="1"/>
      <c r="KNE15" s="1"/>
      <c r="KNF15" s="1"/>
      <c r="KNG15" s="1"/>
      <c r="KNH15" s="1"/>
      <c r="KNI15" s="1"/>
      <c r="KNJ15" s="1"/>
      <c r="KNK15" s="1"/>
      <c r="KNL15" s="1"/>
      <c r="KNM15" s="1"/>
      <c r="KNN15" s="1"/>
      <c r="KNO15" s="1"/>
      <c r="KNP15" s="1"/>
      <c r="KNQ15" s="1"/>
      <c r="KNR15" s="1"/>
      <c r="KNS15" s="1"/>
      <c r="KNT15" s="1"/>
      <c r="KNU15" s="1"/>
      <c r="KNV15" s="1"/>
      <c r="KNW15" s="1"/>
      <c r="KNX15" s="1"/>
      <c r="KNY15" s="1"/>
      <c r="KNZ15" s="1"/>
      <c r="KOA15" s="1"/>
      <c r="KOB15" s="1"/>
      <c r="KOC15" s="1"/>
      <c r="KOD15" s="1"/>
      <c r="KOE15" s="1"/>
      <c r="KOF15" s="1"/>
      <c r="KOG15" s="1"/>
      <c r="KOH15" s="1"/>
      <c r="KOI15" s="1"/>
      <c r="KOJ15" s="1"/>
      <c r="KOK15" s="1"/>
      <c r="KOL15" s="1"/>
      <c r="KOM15" s="1"/>
      <c r="KON15" s="1"/>
      <c r="KOO15" s="1"/>
      <c r="KOP15" s="1"/>
      <c r="KOQ15" s="1"/>
      <c r="KOR15" s="1"/>
      <c r="KOS15" s="1"/>
      <c r="KOT15" s="1"/>
      <c r="KOU15" s="1"/>
      <c r="KOV15" s="1"/>
      <c r="KOW15" s="1"/>
      <c r="KOX15" s="1"/>
      <c r="KOY15" s="1"/>
      <c r="KOZ15" s="1"/>
      <c r="KPA15" s="1"/>
      <c r="KPB15" s="1"/>
      <c r="KPC15" s="1"/>
      <c r="KPD15" s="1"/>
      <c r="KPE15" s="1"/>
      <c r="KPF15" s="1"/>
      <c r="KPG15" s="1"/>
      <c r="KPH15" s="1"/>
      <c r="KPI15" s="1"/>
      <c r="KPJ15" s="1"/>
      <c r="KPK15" s="1"/>
      <c r="KPL15" s="1"/>
      <c r="KPM15" s="1"/>
      <c r="KPN15" s="1"/>
      <c r="KPO15" s="1"/>
      <c r="KPP15" s="1"/>
      <c r="KPQ15" s="1"/>
      <c r="KPR15" s="1"/>
      <c r="KPS15" s="1"/>
      <c r="KPT15" s="1"/>
      <c r="KPU15" s="1"/>
      <c r="KPV15" s="1"/>
      <c r="KPW15" s="1"/>
      <c r="KPX15" s="1"/>
      <c r="KPY15" s="1"/>
      <c r="KPZ15" s="1"/>
      <c r="KQA15" s="1"/>
      <c r="KQB15" s="1"/>
      <c r="KQC15" s="1"/>
      <c r="KQD15" s="1"/>
      <c r="KQE15" s="1"/>
      <c r="KQF15" s="1"/>
      <c r="KQG15" s="1"/>
      <c r="KQH15" s="1"/>
      <c r="KQI15" s="1"/>
      <c r="KQJ15" s="1"/>
      <c r="KQK15" s="1"/>
      <c r="KQL15" s="1"/>
      <c r="KQM15" s="1"/>
      <c r="KQN15" s="1"/>
      <c r="KQO15" s="1"/>
      <c r="KQP15" s="1"/>
      <c r="KQQ15" s="1"/>
      <c r="KQR15" s="1"/>
      <c r="KQS15" s="1"/>
      <c r="KQT15" s="1"/>
      <c r="KQU15" s="1"/>
      <c r="KQV15" s="1"/>
      <c r="KQW15" s="1"/>
      <c r="KQX15" s="1"/>
      <c r="KQY15" s="1"/>
      <c r="KQZ15" s="1"/>
      <c r="KRA15" s="1"/>
      <c r="KRB15" s="1"/>
      <c r="KRC15" s="1"/>
      <c r="KRD15" s="1"/>
      <c r="KRE15" s="1"/>
      <c r="KRF15" s="1"/>
      <c r="KRG15" s="1"/>
      <c r="KRH15" s="1"/>
      <c r="KRI15" s="1"/>
      <c r="KRJ15" s="1"/>
      <c r="KRK15" s="1"/>
      <c r="KRL15" s="1"/>
      <c r="KRM15" s="1"/>
      <c r="KRN15" s="1"/>
      <c r="KRO15" s="1"/>
      <c r="KRP15" s="1"/>
      <c r="KRQ15" s="1"/>
      <c r="KRR15" s="1"/>
      <c r="KRS15" s="1"/>
      <c r="KRT15" s="1"/>
      <c r="KRU15" s="1"/>
      <c r="KRV15" s="1"/>
      <c r="KRW15" s="1"/>
      <c r="KRX15" s="1"/>
      <c r="KRY15" s="1"/>
      <c r="KRZ15" s="1"/>
      <c r="KSA15" s="1"/>
      <c r="KSB15" s="1"/>
      <c r="KSC15" s="1"/>
      <c r="KSD15" s="1"/>
      <c r="KSE15" s="1"/>
      <c r="KSF15" s="1"/>
      <c r="KSG15" s="1"/>
      <c r="KSH15" s="1"/>
      <c r="KSI15" s="1"/>
      <c r="KSJ15" s="1"/>
      <c r="KSK15" s="1"/>
      <c r="KSL15" s="1"/>
      <c r="KSM15" s="1"/>
      <c r="KSN15" s="1"/>
      <c r="KSO15" s="1"/>
      <c r="KSP15" s="1"/>
      <c r="KSQ15" s="1"/>
      <c r="KSR15" s="1"/>
      <c r="KSS15" s="1"/>
      <c r="KST15" s="1"/>
      <c r="KSU15" s="1"/>
      <c r="KSV15" s="1"/>
      <c r="KSW15" s="1"/>
      <c r="KSX15" s="1"/>
      <c r="KSY15" s="1"/>
      <c r="KSZ15" s="1"/>
      <c r="KTA15" s="1"/>
      <c r="KTB15" s="1"/>
      <c r="KTC15" s="1"/>
      <c r="KTD15" s="1"/>
      <c r="KTE15" s="1"/>
      <c r="KTF15" s="1"/>
      <c r="KTG15" s="1"/>
      <c r="KTH15" s="1"/>
      <c r="KTI15" s="1"/>
      <c r="KTJ15" s="1"/>
      <c r="KTK15" s="1"/>
      <c r="KTL15" s="1"/>
      <c r="KTM15" s="1"/>
      <c r="KTN15" s="1"/>
      <c r="KTO15" s="1"/>
      <c r="KTP15" s="1"/>
      <c r="KTQ15" s="1"/>
      <c r="KTR15" s="1"/>
      <c r="KTS15" s="1"/>
      <c r="KTT15" s="1"/>
      <c r="KTU15" s="1"/>
      <c r="KTV15" s="1"/>
      <c r="KTW15" s="1"/>
      <c r="KTX15" s="1"/>
      <c r="KTY15" s="1"/>
      <c r="KTZ15" s="1"/>
      <c r="KUA15" s="1"/>
      <c r="KUB15" s="1"/>
      <c r="KUC15" s="1"/>
      <c r="KUD15" s="1"/>
      <c r="KUE15" s="1"/>
      <c r="KUF15" s="1"/>
      <c r="KUG15" s="1"/>
      <c r="KUH15" s="1"/>
      <c r="KUI15" s="1"/>
      <c r="KUJ15" s="1"/>
      <c r="KUK15" s="1"/>
      <c r="KUL15" s="1"/>
      <c r="KUM15" s="1"/>
      <c r="KUN15" s="1"/>
      <c r="KUO15" s="1"/>
      <c r="KUP15" s="1"/>
      <c r="KUQ15" s="1"/>
      <c r="KUR15" s="1"/>
      <c r="KUS15" s="1"/>
      <c r="KUT15" s="1"/>
      <c r="KUU15" s="1"/>
      <c r="KUV15" s="1"/>
      <c r="KUW15" s="1"/>
      <c r="KUX15" s="1"/>
      <c r="KUY15" s="1"/>
      <c r="KUZ15" s="1"/>
      <c r="KVA15" s="1"/>
      <c r="KVB15" s="1"/>
      <c r="KVC15" s="1"/>
      <c r="KVD15" s="1"/>
      <c r="KVE15" s="1"/>
      <c r="KVF15" s="1"/>
      <c r="KVG15" s="1"/>
      <c r="KVH15" s="1"/>
      <c r="KVI15" s="1"/>
      <c r="KVJ15" s="1"/>
      <c r="KVK15" s="1"/>
      <c r="KVL15" s="1"/>
      <c r="KVM15" s="1"/>
      <c r="KVN15" s="1"/>
      <c r="KVO15" s="1"/>
      <c r="KVP15" s="1"/>
      <c r="KVQ15" s="1"/>
      <c r="KVR15" s="1"/>
      <c r="KVS15" s="1"/>
      <c r="KVT15" s="1"/>
      <c r="KVU15" s="1"/>
      <c r="KVV15" s="1"/>
      <c r="KVW15" s="1"/>
      <c r="KVX15" s="1"/>
      <c r="KVY15" s="1"/>
      <c r="KVZ15" s="1"/>
      <c r="KWA15" s="1"/>
      <c r="KWB15" s="1"/>
      <c r="KWC15" s="1"/>
      <c r="KWD15" s="1"/>
      <c r="KWE15" s="1"/>
      <c r="KWF15" s="1"/>
      <c r="KWG15" s="1"/>
      <c r="KWH15" s="1"/>
      <c r="KWI15" s="1"/>
      <c r="KWJ15" s="1"/>
      <c r="KWK15" s="1"/>
      <c r="KWL15" s="1"/>
      <c r="KWM15" s="1"/>
      <c r="KWN15" s="1"/>
      <c r="KWO15" s="1"/>
      <c r="KWP15" s="1"/>
      <c r="KWQ15" s="1"/>
      <c r="KWR15" s="1"/>
      <c r="KWS15" s="1"/>
      <c r="KWT15" s="1"/>
      <c r="KWU15" s="1"/>
      <c r="KWV15" s="1"/>
      <c r="KWW15" s="1"/>
      <c r="KWX15" s="1"/>
      <c r="KWY15" s="1"/>
      <c r="KWZ15" s="1"/>
      <c r="KXA15" s="1"/>
      <c r="KXB15" s="1"/>
      <c r="KXC15" s="1"/>
      <c r="KXD15" s="1"/>
      <c r="KXE15" s="1"/>
      <c r="KXF15" s="1"/>
      <c r="KXG15" s="1"/>
      <c r="KXH15" s="1"/>
      <c r="KXI15" s="1"/>
      <c r="KXJ15" s="1"/>
      <c r="KXK15" s="1"/>
      <c r="KXL15" s="1"/>
      <c r="KXM15" s="1"/>
      <c r="KXN15" s="1"/>
      <c r="KXO15" s="1"/>
      <c r="KXP15" s="1"/>
      <c r="KXQ15" s="1"/>
      <c r="KXR15" s="1"/>
      <c r="KXS15" s="1"/>
      <c r="KXT15" s="1"/>
      <c r="KXU15" s="1"/>
      <c r="KXV15" s="1"/>
      <c r="KXW15" s="1"/>
      <c r="KXX15" s="1"/>
      <c r="KXY15" s="1"/>
      <c r="KXZ15" s="1"/>
      <c r="KYA15" s="1"/>
      <c r="KYB15" s="1"/>
      <c r="KYC15" s="1"/>
      <c r="KYD15" s="1"/>
      <c r="KYE15" s="1"/>
      <c r="KYF15" s="1"/>
      <c r="KYG15" s="1"/>
      <c r="KYH15" s="1"/>
      <c r="KYI15" s="1"/>
      <c r="KYJ15" s="1"/>
      <c r="KYK15" s="1"/>
      <c r="KYL15" s="1"/>
      <c r="KYM15" s="1"/>
      <c r="KYN15" s="1"/>
      <c r="KYO15" s="1"/>
      <c r="KYP15" s="1"/>
      <c r="KYQ15" s="1"/>
      <c r="KYR15" s="1"/>
      <c r="KYS15" s="1"/>
      <c r="KYT15" s="1"/>
      <c r="KYU15" s="1"/>
      <c r="KYV15" s="1"/>
      <c r="KYW15" s="1"/>
      <c r="KYX15" s="1"/>
      <c r="KYY15" s="1"/>
      <c r="KYZ15" s="1"/>
      <c r="KZA15" s="1"/>
      <c r="KZB15" s="1"/>
      <c r="KZC15" s="1"/>
      <c r="KZD15" s="1"/>
      <c r="KZE15" s="1"/>
      <c r="KZF15" s="1"/>
      <c r="KZG15" s="1"/>
      <c r="KZH15" s="1"/>
      <c r="KZI15" s="1"/>
      <c r="KZJ15" s="1"/>
      <c r="KZK15" s="1"/>
      <c r="KZL15" s="1"/>
      <c r="KZM15" s="1"/>
      <c r="KZN15" s="1"/>
      <c r="KZO15" s="1"/>
      <c r="KZP15" s="1"/>
      <c r="KZQ15" s="1"/>
      <c r="KZR15" s="1"/>
      <c r="KZS15" s="1"/>
      <c r="KZT15" s="1"/>
      <c r="KZU15" s="1"/>
      <c r="KZV15" s="1"/>
      <c r="KZW15" s="1"/>
      <c r="KZX15" s="1"/>
      <c r="KZY15" s="1"/>
      <c r="KZZ15" s="1"/>
      <c r="LAA15" s="1"/>
      <c r="LAB15" s="1"/>
      <c r="LAC15" s="1"/>
      <c r="LAD15" s="1"/>
      <c r="LAE15" s="1"/>
      <c r="LAF15" s="1"/>
      <c r="LAG15" s="1"/>
      <c r="LAH15" s="1"/>
      <c r="LAI15" s="1"/>
      <c r="LAJ15" s="1"/>
      <c r="LAK15" s="1"/>
      <c r="LAL15" s="1"/>
      <c r="LAM15" s="1"/>
      <c r="LAN15" s="1"/>
      <c r="LAO15" s="1"/>
      <c r="LAP15" s="1"/>
      <c r="LAQ15" s="1"/>
      <c r="LAR15" s="1"/>
      <c r="LAS15" s="1"/>
      <c r="LAT15" s="1"/>
      <c r="LAU15" s="1"/>
      <c r="LAV15" s="1"/>
      <c r="LAW15" s="1"/>
      <c r="LAX15" s="1"/>
      <c r="LAY15" s="1"/>
      <c r="LAZ15" s="1"/>
      <c r="LBA15" s="1"/>
      <c r="LBB15" s="1"/>
      <c r="LBC15" s="1"/>
      <c r="LBD15" s="1"/>
      <c r="LBE15" s="1"/>
      <c r="LBF15" s="1"/>
      <c r="LBG15" s="1"/>
      <c r="LBH15" s="1"/>
      <c r="LBI15" s="1"/>
      <c r="LBJ15" s="1"/>
      <c r="LBK15" s="1"/>
      <c r="LBL15" s="1"/>
      <c r="LBM15" s="1"/>
      <c r="LBN15" s="1"/>
      <c r="LBO15" s="1"/>
      <c r="LBP15" s="1"/>
      <c r="LBQ15" s="1"/>
      <c r="LBR15" s="1"/>
      <c r="LBS15" s="1"/>
      <c r="LBT15" s="1"/>
      <c r="LBU15" s="1"/>
      <c r="LBV15" s="1"/>
      <c r="LBW15" s="1"/>
      <c r="LBX15" s="1"/>
      <c r="LBY15" s="1"/>
      <c r="LBZ15" s="1"/>
      <c r="LCA15" s="1"/>
      <c r="LCB15" s="1"/>
      <c r="LCC15" s="1"/>
      <c r="LCD15" s="1"/>
      <c r="LCE15" s="1"/>
      <c r="LCF15" s="1"/>
      <c r="LCG15" s="1"/>
      <c r="LCH15" s="1"/>
      <c r="LCI15" s="1"/>
      <c r="LCJ15" s="1"/>
      <c r="LCK15" s="1"/>
      <c r="LCL15" s="1"/>
      <c r="LCM15" s="1"/>
      <c r="LCN15" s="1"/>
      <c r="LCO15" s="1"/>
      <c r="LCP15" s="1"/>
      <c r="LCQ15" s="1"/>
      <c r="LCR15" s="1"/>
      <c r="LCS15" s="1"/>
      <c r="LCT15" s="1"/>
      <c r="LCU15" s="1"/>
      <c r="LCV15" s="1"/>
      <c r="LCW15" s="1"/>
      <c r="LCX15" s="1"/>
      <c r="LCY15" s="1"/>
      <c r="LCZ15" s="1"/>
      <c r="LDA15" s="1"/>
      <c r="LDB15" s="1"/>
      <c r="LDC15" s="1"/>
      <c r="LDD15" s="1"/>
      <c r="LDE15" s="1"/>
      <c r="LDF15" s="1"/>
      <c r="LDG15" s="1"/>
      <c r="LDH15" s="1"/>
      <c r="LDI15" s="1"/>
      <c r="LDJ15" s="1"/>
      <c r="LDK15" s="1"/>
      <c r="LDL15" s="1"/>
      <c r="LDM15" s="1"/>
      <c r="LDN15" s="1"/>
      <c r="LDO15" s="1"/>
      <c r="LDP15" s="1"/>
      <c r="LDQ15" s="1"/>
      <c r="LDR15" s="1"/>
      <c r="LDS15" s="1"/>
      <c r="LDT15" s="1"/>
      <c r="LDU15" s="1"/>
      <c r="LDV15" s="1"/>
      <c r="LDW15" s="1"/>
      <c r="LDX15" s="1"/>
      <c r="LDY15" s="1"/>
      <c r="LDZ15" s="1"/>
      <c r="LEA15" s="1"/>
      <c r="LEB15" s="1"/>
      <c r="LEC15" s="1"/>
      <c r="LED15" s="1"/>
      <c r="LEE15" s="1"/>
      <c r="LEF15" s="1"/>
      <c r="LEG15" s="1"/>
      <c r="LEH15" s="1"/>
      <c r="LEI15" s="1"/>
      <c r="LEJ15" s="1"/>
      <c r="LEK15" s="1"/>
      <c r="LEL15" s="1"/>
      <c r="LEM15" s="1"/>
      <c r="LEN15" s="1"/>
      <c r="LEO15" s="1"/>
      <c r="LEP15" s="1"/>
      <c r="LEQ15" s="1"/>
      <c r="LER15" s="1"/>
      <c r="LES15" s="1"/>
      <c r="LET15" s="1"/>
      <c r="LEU15" s="1"/>
      <c r="LEV15" s="1"/>
      <c r="LEW15" s="1"/>
      <c r="LEX15" s="1"/>
      <c r="LEY15" s="1"/>
      <c r="LEZ15" s="1"/>
      <c r="LFA15" s="1"/>
      <c r="LFB15" s="1"/>
      <c r="LFC15" s="1"/>
      <c r="LFD15" s="1"/>
      <c r="LFE15" s="1"/>
      <c r="LFF15" s="1"/>
      <c r="LFG15" s="1"/>
      <c r="LFH15" s="1"/>
      <c r="LFI15" s="1"/>
      <c r="LFJ15" s="1"/>
      <c r="LFK15" s="1"/>
      <c r="LFL15" s="1"/>
      <c r="LFM15" s="1"/>
      <c r="LFN15" s="1"/>
      <c r="LFO15" s="1"/>
      <c r="LFP15" s="1"/>
      <c r="LFQ15" s="1"/>
      <c r="LFR15" s="1"/>
      <c r="LFS15" s="1"/>
      <c r="LFT15" s="1"/>
      <c r="LFU15" s="1"/>
      <c r="LFV15" s="1"/>
      <c r="LFW15" s="1"/>
      <c r="LFX15" s="1"/>
      <c r="LFY15" s="1"/>
      <c r="LFZ15" s="1"/>
      <c r="LGA15" s="1"/>
      <c r="LGB15" s="1"/>
      <c r="LGC15" s="1"/>
      <c r="LGD15" s="1"/>
      <c r="LGE15" s="1"/>
      <c r="LGF15" s="1"/>
      <c r="LGG15" s="1"/>
      <c r="LGH15" s="1"/>
      <c r="LGI15" s="1"/>
      <c r="LGJ15" s="1"/>
      <c r="LGK15" s="1"/>
      <c r="LGL15" s="1"/>
      <c r="LGM15" s="1"/>
      <c r="LGN15" s="1"/>
      <c r="LGO15" s="1"/>
      <c r="LGP15" s="1"/>
      <c r="LGQ15" s="1"/>
      <c r="LGR15" s="1"/>
      <c r="LGS15" s="1"/>
      <c r="LGT15" s="1"/>
      <c r="LGU15" s="1"/>
      <c r="LGV15" s="1"/>
      <c r="LGW15" s="1"/>
      <c r="LGX15" s="1"/>
      <c r="LGY15" s="1"/>
      <c r="LGZ15" s="1"/>
      <c r="LHA15" s="1"/>
      <c r="LHB15" s="1"/>
      <c r="LHC15" s="1"/>
      <c r="LHD15" s="1"/>
      <c r="LHE15" s="1"/>
      <c r="LHF15" s="1"/>
      <c r="LHG15" s="1"/>
      <c r="LHH15" s="1"/>
      <c r="LHI15" s="1"/>
      <c r="LHJ15" s="1"/>
      <c r="LHK15" s="1"/>
      <c r="LHL15" s="1"/>
      <c r="LHM15" s="1"/>
      <c r="LHN15" s="1"/>
      <c r="LHO15" s="1"/>
      <c r="LHP15" s="1"/>
      <c r="LHQ15" s="1"/>
      <c r="LHR15" s="1"/>
      <c r="LHS15" s="1"/>
      <c r="LHT15" s="1"/>
      <c r="LHU15" s="1"/>
      <c r="LHV15" s="1"/>
      <c r="LHW15" s="1"/>
      <c r="LHX15" s="1"/>
      <c r="LHY15" s="1"/>
      <c r="LHZ15" s="1"/>
      <c r="LIA15" s="1"/>
      <c r="LIB15" s="1"/>
      <c r="LIC15" s="1"/>
      <c r="LID15" s="1"/>
      <c r="LIE15" s="1"/>
      <c r="LIF15" s="1"/>
      <c r="LIG15" s="1"/>
      <c r="LIH15" s="1"/>
      <c r="LII15" s="1"/>
      <c r="LIJ15" s="1"/>
      <c r="LIK15" s="1"/>
      <c r="LIL15" s="1"/>
      <c r="LIM15" s="1"/>
      <c r="LIN15" s="1"/>
      <c r="LIO15" s="1"/>
      <c r="LIP15" s="1"/>
      <c r="LIQ15" s="1"/>
      <c r="LIR15" s="1"/>
      <c r="LIS15" s="1"/>
      <c r="LIT15" s="1"/>
      <c r="LIU15" s="1"/>
      <c r="LIV15" s="1"/>
      <c r="LIW15" s="1"/>
      <c r="LIX15" s="1"/>
      <c r="LIY15" s="1"/>
      <c r="LIZ15" s="1"/>
      <c r="LJA15" s="1"/>
      <c r="LJB15" s="1"/>
      <c r="LJC15" s="1"/>
      <c r="LJD15" s="1"/>
      <c r="LJE15" s="1"/>
      <c r="LJF15" s="1"/>
      <c r="LJG15" s="1"/>
      <c r="LJH15" s="1"/>
      <c r="LJI15" s="1"/>
      <c r="LJJ15" s="1"/>
      <c r="LJK15" s="1"/>
      <c r="LJL15" s="1"/>
      <c r="LJM15" s="1"/>
      <c r="LJN15" s="1"/>
      <c r="LJO15" s="1"/>
      <c r="LJP15" s="1"/>
      <c r="LJQ15" s="1"/>
      <c r="LJR15" s="1"/>
      <c r="LJS15" s="1"/>
      <c r="LJT15" s="1"/>
      <c r="LJU15" s="1"/>
      <c r="LJV15" s="1"/>
      <c r="LJW15" s="1"/>
      <c r="LJX15" s="1"/>
      <c r="LJY15" s="1"/>
      <c r="LJZ15" s="1"/>
      <c r="LKA15" s="1"/>
      <c r="LKB15" s="1"/>
      <c r="LKC15" s="1"/>
      <c r="LKD15" s="1"/>
      <c r="LKE15" s="1"/>
      <c r="LKF15" s="1"/>
      <c r="LKG15" s="1"/>
      <c r="LKH15" s="1"/>
      <c r="LKI15" s="1"/>
      <c r="LKJ15" s="1"/>
      <c r="LKK15" s="1"/>
      <c r="LKL15" s="1"/>
      <c r="LKM15" s="1"/>
      <c r="LKN15" s="1"/>
      <c r="LKO15" s="1"/>
      <c r="LKP15" s="1"/>
      <c r="LKQ15" s="1"/>
      <c r="LKR15" s="1"/>
      <c r="LKS15" s="1"/>
      <c r="LKT15" s="1"/>
      <c r="LKU15" s="1"/>
      <c r="LKV15" s="1"/>
      <c r="LKW15" s="1"/>
      <c r="LKX15" s="1"/>
      <c r="LKY15" s="1"/>
      <c r="LKZ15" s="1"/>
      <c r="LLA15" s="1"/>
      <c r="LLB15" s="1"/>
      <c r="LLC15" s="1"/>
      <c r="LLD15" s="1"/>
      <c r="LLE15" s="1"/>
      <c r="LLF15" s="1"/>
      <c r="LLG15" s="1"/>
      <c r="LLH15" s="1"/>
      <c r="LLI15" s="1"/>
      <c r="LLJ15" s="1"/>
      <c r="LLK15" s="1"/>
      <c r="LLL15" s="1"/>
      <c r="LLM15" s="1"/>
      <c r="LLN15" s="1"/>
      <c r="LLO15" s="1"/>
      <c r="LLP15" s="1"/>
      <c r="LLQ15" s="1"/>
      <c r="LLR15" s="1"/>
      <c r="LLS15" s="1"/>
      <c r="LLT15" s="1"/>
      <c r="LLU15" s="1"/>
      <c r="LLV15" s="1"/>
      <c r="LLW15" s="1"/>
      <c r="LLX15" s="1"/>
      <c r="LLY15" s="1"/>
      <c r="LLZ15" s="1"/>
      <c r="LMA15" s="1"/>
      <c r="LMB15" s="1"/>
      <c r="LMC15" s="1"/>
      <c r="LMD15" s="1"/>
      <c r="LME15" s="1"/>
      <c r="LMF15" s="1"/>
      <c r="LMG15" s="1"/>
      <c r="LMH15" s="1"/>
      <c r="LMI15" s="1"/>
      <c r="LMJ15" s="1"/>
      <c r="LMK15" s="1"/>
      <c r="LML15" s="1"/>
      <c r="LMM15" s="1"/>
      <c r="LMN15" s="1"/>
      <c r="LMO15" s="1"/>
      <c r="LMP15" s="1"/>
      <c r="LMQ15" s="1"/>
      <c r="LMR15" s="1"/>
      <c r="LMS15" s="1"/>
      <c r="LMT15" s="1"/>
      <c r="LMU15" s="1"/>
      <c r="LMV15" s="1"/>
      <c r="LMW15" s="1"/>
      <c r="LMX15" s="1"/>
      <c r="LMY15" s="1"/>
      <c r="LMZ15" s="1"/>
      <c r="LNA15" s="1"/>
      <c r="LNB15" s="1"/>
      <c r="LNC15" s="1"/>
      <c r="LND15" s="1"/>
      <c r="LNE15" s="1"/>
      <c r="LNF15" s="1"/>
      <c r="LNG15" s="1"/>
      <c r="LNH15" s="1"/>
      <c r="LNI15" s="1"/>
      <c r="LNJ15" s="1"/>
      <c r="LNK15" s="1"/>
      <c r="LNL15" s="1"/>
      <c r="LNM15" s="1"/>
      <c r="LNN15" s="1"/>
      <c r="LNO15" s="1"/>
      <c r="LNP15" s="1"/>
      <c r="LNQ15" s="1"/>
      <c r="LNR15" s="1"/>
      <c r="LNS15" s="1"/>
      <c r="LNT15" s="1"/>
      <c r="LNU15" s="1"/>
      <c r="LNV15" s="1"/>
      <c r="LNW15" s="1"/>
      <c r="LNX15" s="1"/>
      <c r="LNY15" s="1"/>
      <c r="LNZ15" s="1"/>
      <c r="LOA15" s="1"/>
      <c r="LOB15" s="1"/>
      <c r="LOC15" s="1"/>
      <c r="LOD15" s="1"/>
      <c r="LOE15" s="1"/>
      <c r="LOF15" s="1"/>
      <c r="LOG15" s="1"/>
      <c r="LOH15" s="1"/>
      <c r="LOI15" s="1"/>
      <c r="LOJ15" s="1"/>
      <c r="LOK15" s="1"/>
      <c r="LOL15" s="1"/>
      <c r="LOM15" s="1"/>
      <c r="LON15" s="1"/>
      <c r="LOO15" s="1"/>
      <c r="LOP15" s="1"/>
      <c r="LOQ15" s="1"/>
      <c r="LOR15" s="1"/>
      <c r="LOS15" s="1"/>
      <c r="LOT15" s="1"/>
      <c r="LOU15" s="1"/>
      <c r="LOV15" s="1"/>
      <c r="LOW15" s="1"/>
      <c r="LOX15" s="1"/>
      <c r="LOY15" s="1"/>
      <c r="LOZ15" s="1"/>
      <c r="LPA15" s="1"/>
      <c r="LPB15" s="1"/>
      <c r="LPC15" s="1"/>
      <c r="LPD15" s="1"/>
      <c r="LPE15" s="1"/>
      <c r="LPF15" s="1"/>
      <c r="LPG15" s="1"/>
      <c r="LPH15" s="1"/>
      <c r="LPI15" s="1"/>
      <c r="LPJ15" s="1"/>
      <c r="LPK15" s="1"/>
      <c r="LPL15" s="1"/>
      <c r="LPM15" s="1"/>
      <c r="LPN15" s="1"/>
      <c r="LPO15" s="1"/>
      <c r="LPP15" s="1"/>
      <c r="LPQ15" s="1"/>
      <c r="LPR15" s="1"/>
      <c r="LPS15" s="1"/>
      <c r="LPT15" s="1"/>
      <c r="LPU15" s="1"/>
      <c r="LPV15" s="1"/>
      <c r="LPW15" s="1"/>
      <c r="LPX15" s="1"/>
      <c r="LPY15" s="1"/>
      <c r="LPZ15" s="1"/>
      <c r="LQA15" s="1"/>
      <c r="LQB15" s="1"/>
      <c r="LQC15" s="1"/>
      <c r="LQD15" s="1"/>
      <c r="LQE15" s="1"/>
      <c r="LQF15" s="1"/>
      <c r="LQG15" s="1"/>
      <c r="LQH15" s="1"/>
      <c r="LQI15" s="1"/>
      <c r="LQJ15" s="1"/>
      <c r="LQK15" s="1"/>
      <c r="LQL15" s="1"/>
      <c r="LQM15" s="1"/>
      <c r="LQN15" s="1"/>
      <c r="LQO15" s="1"/>
      <c r="LQP15" s="1"/>
      <c r="LQQ15" s="1"/>
      <c r="LQR15" s="1"/>
      <c r="LQS15" s="1"/>
      <c r="LQT15" s="1"/>
      <c r="LQU15" s="1"/>
      <c r="LQV15" s="1"/>
      <c r="LQW15" s="1"/>
      <c r="LQX15" s="1"/>
      <c r="LQY15" s="1"/>
      <c r="LQZ15" s="1"/>
      <c r="LRA15" s="1"/>
      <c r="LRB15" s="1"/>
      <c r="LRC15" s="1"/>
      <c r="LRD15" s="1"/>
      <c r="LRE15" s="1"/>
      <c r="LRF15" s="1"/>
      <c r="LRG15" s="1"/>
      <c r="LRH15" s="1"/>
      <c r="LRI15" s="1"/>
      <c r="LRJ15" s="1"/>
      <c r="LRK15" s="1"/>
      <c r="LRL15" s="1"/>
      <c r="LRM15" s="1"/>
      <c r="LRN15" s="1"/>
      <c r="LRO15" s="1"/>
      <c r="LRP15" s="1"/>
      <c r="LRQ15" s="1"/>
      <c r="LRR15" s="1"/>
      <c r="LRS15" s="1"/>
      <c r="LRT15" s="1"/>
      <c r="LRU15" s="1"/>
      <c r="LRV15" s="1"/>
      <c r="LRW15" s="1"/>
      <c r="LRX15" s="1"/>
      <c r="LRY15" s="1"/>
      <c r="LRZ15" s="1"/>
      <c r="LSA15" s="1"/>
      <c r="LSB15" s="1"/>
      <c r="LSC15" s="1"/>
      <c r="LSD15" s="1"/>
      <c r="LSE15" s="1"/>
      <c r="LSF15" s="1"/>
      <c r="LSG15" s="1"/>
      <c r="LSH15" s="1"/>
      <c r="LSI15" s="1"/>
      <c r="LSJ15" s="1"/>
      <c r="LSK15" s="1"/>
      <c r="LSL15" s="1"/>
      <c r="LSM15" s="1"/>
      <c r="LSN15" s="1"/>
      <c r="LSO15" s="1"/>
      <c r="LSP15" s="1"/>
      <c r="LSQ15" s="1"/>
      <c r="LSR15" s="1"/>
      <c r="LSS15" s="1"/>
      <c r="LST15" s="1"/>
      <c r="LSU15" s="1"/>
      <c r="LSV15" s="1"/>
      <c r="LSW15" s="1"/>
      <c r="LSX15" s="1"/>
      <c r="LSY15" s="1"/>
      <c r="LSZ15" s="1"/>
      <c r="LTA15" s="1"/>
      <c r="LTB15" s="1"/>
      <c r="LTC15" s="1"/>
      <c r="LTD15" s="1"/>
      <c r="LTE15" s="1"/>
      <c r="LTF15" s="1"/>
      <c r="LTG15" s="1"/>
      <c r="LTH15" s="1"/>
      <c r="LTI15" s="1"/>
      <c r="LTJ15" s="1"/>
      <c r="LTK15" s="1"/>
      <c r="LTL15" s="1"/>
      <c r="LTM15" s="1"/>
      <c r="LTN15" s="1"/>
      <c r="LTO15" s="1"/>
      <c r="LTP15" s="1"/>
      <c r="LTQ15" s="1"/>
      <c r="LTR15" s="1"/>
      <c r="LTS15" s="1"/>
      <c r="LTT15" s="1"/>
      <c r="LTU15" s="1"/>
      <c r="LTV15" s="1"/>
      <c r="LTW15" s="1"/>
      <c r="LTX15" s="1"/>
      <c r="LTY15" s="1"/>
      <c r="LTZ15" s="1"/>
      <c r="LUA15" s="1"/>
      <c r="LUB15" s="1"/>
      <c r="LUC15" s="1"/>
      <c r="LUD15" s="1"/>
      <c r="LUE15" s="1"/>
      <c r="LUF15" s="1"/>
      <c r="LUG15" s="1"/>
      <c r="LUH15" s="1"/>
      <c r="LUI15" s="1"/>
      <c r="LUJ15" s="1"/>
      <c r="LUK15" s="1"/>
      <c r="LUL15" s="1"/>
      <c r="LUM15" s="1"/>
      <c r="LUN15" s="1"/>
      <c r="LUO15" s="1"/>
      <c r="LUP15" s="1"/>
      <c r="LUQ15" s="1"/>
      <c r="LUR15" s="1"/>
      <c r="LUS15" s="1"/>
      <c r="LUT15" s="1"/>
      <c r="LUU15" s="1"/>
      <c r="LUV15" s="1"/>
      <c r="LUW15" s="1"/>
      <c r="LUX15" s="1"/>
      <c r="LUY15" s="1"/>
      <c r="LUZ15" s="1"/>
      <c r="LVA15" s="1"/>
      <c r="LVB15" s="1"/>
      <c r="LVC15" s="1"/>
      <c r="LVD15" s="1"/>
      <c r="LVE15" s="1"/>
      <c r="LVF15" s="1"/>
      <c r="LVG15" s="1"/>
      <c r="LVH15" s="1"/>
      <c r="LVI15" s="1"/>
      <c r="LVJ15" s="1"/>
      <c r="LVK15" s="1"/>
      <c r="LVL15" s="1"/>
      <c r="LVM15" s="1"/>
      <c r="LVN15" s="1"/>
      <c r="LVO15" s="1"/>
      <c r="LVP15" s="1"/>
      <c r="LVQ15" s="1"/>
      <c r="LVR15" s="1"/>
      <c r="LVS15" s="1"/>
      <c r="LVT15" s="1"/>
      <c r="LVU15" s="1"/>
      <c r="LVV15" s="1"/>
      <c r="LVW15" s="1"/>
      <c r="LVX15" s="1"/>
      <c r="LVY15" s="1"/>
      <c r="LVZ15" s="1"/>
      <c r="LWA15" s="1"/>
      <c r="LWB15" s="1"/>
      <c r="LWC15" s="1"/>
      <c r="LWD15" s="1"/>
      <c r="LWE15" s="1"/>
      <c r="LWF15" s="1"/>
      <c r="LWG15" s="1"/>
      <c r="LWH15" s="1"/>
      <c r="LWI15" s="1"/>
      <c r="LWJ15" s="1"/>
      <c r="LWK15" s="1"/>
      <c r="LWL15" s="1"/>
      <c r="LWM15" s="1"/>
      <c r="LWN15" s="1"/>
      <c r="LWO15" s="1"/>
      <c r="LWP15" s="1"/>
      <c r="LWQ15" s="1"/>
      <c r="LWR15" s="1"/>
      <c r="LWS15" s="1"/>
      <c r="LWT15" s="1"/>
      <c r="LWU15" s="1"/>
      <c r="LWV15" s="1"/>
      <c r="LWW15" s="1"/>
      <c r="LWX15" s="1"/>
      <c r="LWY15" s="1"/>
      <c r="LWZ15" s="1"/>
      <c r="LXA15" s="1"/>
      <c r="LXB15" s="1"/>
      <c r="LXC15" s="1"/>
      <c r="LXD15" s="1"/>
      <c r="LXE15" s="1"/>
      <c r="LXF15" s="1"/>
      <c r="LXG15" s="1"/>
      <c r="LXH15" s="1"/>
      <c r="LXI15" s="1"/>
      <c r="LXJ15" s="1"/>
      <c r="LXK15" s="1"/>
      <c r="LXL15" s="1"/>
      <c r="LXM15" s="1"/>
      <c r="LXN15" s="1"/>
      <c r="LXO15" s="1"/>
      <c r="LXP15" s="1"/>
      <c r="LXQ15" s="1"/>
      <c r="LXR15" s="1"/>
      <c r="LXS15" s="1"/>
      <c r="LXT15" s="1"/>
      <c r="LXU15" s="1"/>
      <c r="LXV15" s="1"/>
      <c r="LXW15" s="1"/>
      <c r="LXX15" s="1"/>
      <c r="LXY15" s="1"/>
      <c r="LXZ15" s="1"/>
      <c r="LYA15" s="1"/>
      <c r="LYB15" s="1"/>
      <c r="LYC15" s="1"/>
      <c r="LYD15" s="1"/>
      <c r="LYE15" s="1"/>
      <c r="LYF15" s="1"/>
      <c r="LYG15" s="1"/>
      <c r="LYH15" s="1"/>
      <c r="LYI15" s="1"/>
      <c r="LYJ15" s="1"/>
      <c r="LYK15" s="1"/>
      <c r="LYL15" s="1"/>
      <c r="LYM15" s="1"/>
      <c r="LYN15" s="1"/>
      <c r="LYO15" s="1"/>
      <c r="LYP15" s="1"/>
      <c r="LYQ15" s="1"/>
      <c r="LYR15" s="1"/>
      <c r="LYS15" s="1"/>
      <c r="LYT15" s="1"/>
      <c r="LYU15" s="1"/>
      <c r="LYV15" s="1"/>
      <c r="LYW15" s="1"/>
      <c r="LYX15" s="1"/>
      <c r="LYY15" s="1"/>
      <c r="LYZ15" s="1"/>
      <c r="LZA15" s="1"/>
      <c r="LZB15" s="1"/>
      <c r="LZC15" s="1"/>
      <c r="LZD15" s="1"/>
      <c r="LZE15" s="1"/>
      <c r="LZF15" s="1"/>
      <c r="LZG15" s="1"/>
      <c r="LZH15" s="1"/>
      <c r="LZI15" s="1"/>
      <c r="LZJ15" s="1"/>
      <c r="LZK15" s="1"/>
      <c r="LZL15" s="1"/>
      <c r="LZM15" s="1"/>
      <c r="LZN15" s="1"/>
      <c r="LZO15" s="1"/>
      <c r="LZP15" s="1"/>
      <c r="LZQ15" s="1"/>
      <c r="LZR15" s="1"/>
      <c r="LZS15" s="1"/>
      <c r="LZT15" s="1"/>
      <c r="LZU15" s="1"/>
      <c r="LZV15" s="1"/>
      <c r="LZW15" s="1"/>
      <c r="LZX15" s="1"/>
      <c r="LZY15" s="1"/>
      <c r="LZZ15" s="1"/>
      <c r="MAA15" s="1"/>
      <c r="MAB15" s="1"/>
      <c r="MAC15" s="1"/>
      <c r="MAD15" s="1"/>
      <c r="MAE15" s="1"/>
      <c r="MAF15" s="1"/>
      <c r="MAG15" s="1"/>
      <c r="MAH15" s="1"/>
      <c r="MAI15" s="1"/>
      <c r="MAJ15" s="1"/>
      <c r="MAK15" s="1"/>
      <c r="MAL15" s="1"/>
      <c r="MAM15" s="1"/>
      <c r="MAN15" s="1"/>
      <c r="MAO15" s="1"/>
      <c r="MAP15" s="1"/>
      <c r="MAQ15" s="1"/>
      <c r="MAR15" s="1"/>
      <c r="MAS15" s="1"/>
      <c r="MAT15" s="1"/>
      <c r="MAU15" s="1"/>
      <c r="MAV15" s="1"/>
      <c r="MAW15" s="1"/>
      <c r="MAX15" s="1"/>
      <c r="MAY15" s="1"/>
      <c r="MAZ15" s="1"/>
      <c r="MBA15" s="1"/>
      <c r="MBB15" s="1"/>
      <c r="MBC15" s="1"/>
      <c r="MBD15" s="1"/>
      <c r="MBE15" s="1"/>
      <c r="MBF15" s="1"/>
      <c r="MBG15" s="1"/>
      <c r="MBH15" s="1"/>
      <c r="MBI15" s="1"/>
      <c r="MBJ15" s="1"/>
      <c r="MBK15" s="1"/>
      <c r="MBL15" s="1"/>
      <c r="MBM15" s="1"/>
      <c r="MBN15" s="1"/>
      <c r="MBO15" s="1"/>
      <c r="MBP15" s="1"/>
      <c r="MBQ15" s="1"/>
      <c r="MBR15" s="1"/>
      <c r="MBS15" s="1"/>
      <c r="MBT15" s="1"/>
      <c r="MBU15" s="1"/>
      <c r="MBV15" s="1"/>
      <c r="MBW15" s="1"/>
      <c r="MBX15" s="1"/>
      <c r="MBY15" s="1"/>
      <c r="MBZ15" s="1"/>
      <c r="MCA15" s="1"/>
      <c r="MCB15" s="1"/>
      <c r="MCC15" s="1"/>
      <c r="MCD15" s="1"/>
      <c r="MCE15" s="1"/>
      <c r="MCF15" s="1"/>
      <c r="MCG15" s="1"/>
      <c r="MCH15" s="1"/>
      <c r="MCI15" s="1"/>
      <c r="MCJ15" s="1"/>
      <c r="MCK15" s="1"/>
      <c r="MCL15" s="1"/>
      <c r="MCM15" s="1"/>
      <c r="MCN15" s="1"/>
      <c r="MCO15" s="1"/>
      <c r="MCP15" s="1"/>
      <c r="MCQ15" s="1"/>
      <c r="MCR15" s="1"/>
      <c r="MCS15" s="1"/>
      <c r="MCT15" s="1"/>
      <c r="MCU15" s="1"/>
      <c r="MCV15" s="1"/>
      <c r="MCW15" s="1"/>
      <c r="MCX15" s="1"/>
      <c r="MCY15" s="1"/>
      <c r="MCZ15" s="1"/>
      <c r="MDA15" s="1"/>
      <c r="MDB15" s="1"/>
      <c r="MDC15" s="1"/>
      <c r="MDD15" s="1"/>
      <c r="MDE15" s="1"/>
      <c r="MDF15" s="1"/>
      <c r="MDG15" s="1"/>
      <c r="MDH15" s="1"/>
      <c r="MDI15" s="1"/>
      <c r="MDJ15" s="1"/>
      <c r="MDK15" s="1"/>
      <c r="MDL15" s="1"/>
      <c r="MDM15" s="1"/>
      <c r="MDN15" s="1"/>
      <c r="MDO15" s="1"/>
      <c r="MDP15" s="1"/>
      <c r="MDQ15" s="1"/>
      <c r="MDR15" s="1"/>
      <c r="MDS15" s="1"/>
      <c r="MDT15" s="1"/>
      <c r="MDU15" s="1"/>
      <c r="MDV15" s="1"/>
      <c r="MDW15" s="1"/>
      <c r="MDX15" s="1"/>
      <c r="MDY15" s="1"/>
      <c r="MDZ15" s="1"/>
      <c r="MEA15" s="1"/>
      <c r="MEB15" s="1"/>
      <c r="MEC15" s="1"/>
      <c r="MED15" s="1"/>
      <c r="MEE15" s="1"/>
      <c r="MEF15" s="1"/>
      <c r="MEG15" s="1"/>
      <c r="MEH15" s="1"/>
      <c r="MEI15" s="1"/>
      <c r="MEJ15" s="1"/>
      <c r="MEK15" s="1"/>
      <c r="MEL15" s="1"/>
      <c r="MEM15" s="1"/>
      <c r="MEN15" s="1"/>
      <c r="MEO15" s="1"/>
      <c r="MEP15" s="1"/>
      <c r="MEQ15" s="1"/>
      <c r="MER15" s="1"/>
      <c r="MES15" s="1"/>
      <c r="MET15" s="1"/>
      <c r="MEU15" s="1"/>
      <c r="MEV15" s="1"/>
      <c r="MEW15" s="1"/>
      <c r="MEX15" s="1"/>
      <c r="MEY15" s="1"/>
      <c r="MEZ15" s="1"/>
      <c r="MFA15" s="1"/>
      <c r="MFB15" s="1"/>
      <c r="MFC15" s="1"/>
      <c r="MFD15" s="1"/>
      <c r="MFE15" s="1"/>
      <c r="MFF15" s="1"/>
      <c r="MFG15" s="1"/>
      <c r="MFH15" s="1"/>
      <c r="MFI15" s="1"/>
      <c r="MFJ15" s="1"/>
      <c r="MFK15" s="1"/>
      <c r="MFL15" s="1"/>
      <c r="MFM15" s="1"/>
      <c r="MFN15" s="1"/>
      <c r="MFO15" s="1"/>
      <c r="MFP15" s="1"/>
      <c r="MFQ15" s="1"/>
      <c r="MFR15" s="1"/>
      <c r="MFS15" s="1"/>
      <c r="MFT15" s="1"/>
      <c r="MFU15" s="1"/>
      <c r="MFV15" s="1"/>
      <c r="MFW15" s="1"/>
      <c r="MFX15" s="1"/>
      <c r="MFY15" s="1"/>
      <c r="MFZ15" s="1"/>
      <c r="MGA15" s="1"/>
      <c r="MGB15" s="1"/>
      <c r="MGC15" s="1"/>
      <c r="MGD15" s="1"/>
      <c r="MGE15" s="1"/>
      <c r="MGF15" s="1"/>
      <c r="MGG15" s="1"/>
      <c r="MGH15" s="1"/>
      <c r="MGI15" s="1"/>
      <c r="MGJ15" s="1"/>
      <c r="MGK15" s="1"/>
      <c r="MGL15" s="1"/>
      <c r="MGM15" s="1"/>
      <c r="MGN15" s="1"/>
      <c r="MGO15" s="1"/>
      <c r="MGP15" s="1"/>
      <c r="MGQ15" s="1"/>
      <c r="MGR15" s="1"/>
      <c r="MGS15" s="1"/>
      <c r="MGT15" s="1"/>
      <c r="MGU15" s="1"/>
      <c r="MGV15" s="1"/>
      <c r="MGW15" s="1"/>
      <c r="MGX15" s="1"/>
      <c r="MGY15" s="1"/>
      <c r="MGZ15" s="1"/>
      <c r="MHA15" s="1"/>
      <c r="MHB15" s="1"/>
      <c r="MHC15" s="1"/>
      <c r="MHD15" s="1"/>
      <c r="MHE15" s="1"/>
      <c r="MHF15" s="1"/>
      <c r="MHG15" s="1"/>
      <c r="MHH15" s="1"/>
      <c r="MHI15" s="1"/>
      <c r="MHJ15" s="1"/>
      <c r="MHK15" s="1"/>
      <c r="MHL15" s="1"/>
      <c r="MHM15" s="1"/>
      <c r="MHN15" s="1"/>
      <c r="MHO15" s="1"/>
      <c r="MHP15" s="1"/>
      <c r="MHQ15" s="1"/>
      <c r="MHR15" s="1"/>
      <c r="MHS15" s="1"/>
      <c r="MHT15" s="1"/>
      <c r="MHU15" s="1"/>
      <c r="MHV15" s="1"/>
      <c r="MHW15" s="1"/>
      <c r="MHX15" s="1"/>
      <c r="MHY15" s="1"/>
      <c r="MHZ15" s="1"/>
      <c r="MIA15" s="1"/>
      <c r="MIB15" s="1"/>
      <c r="MIC15" s="1"/>
      <c r="MID15" s="1"/>
      <c r="MIE15" s="1"/>
      <c r="MIF15" s="1"/>
      <c r="MIG15" s="1"/>
      <c r="MIH15" s="1"/>
      <c r="MII15" s="1"/>
      <c r="MIJ15" s="1"/>
      <c r="MIK15" s="1"/>
      <c r="MIL15" s="1"/>
      <c r="MIM15" s="1"/>
      <c r="MIN15" s="1"/>
      <c r="MIO15" s="1"/>
      <c r="MIP15" s="1"/>
      <c r="MIQ15" s="1"/>
      <c r="MIR15" s="1"/>
      <c r="MIS15" s="1"/>
      <c r="MIT15" s="1"/>
      <c r="MIU15" s="1"/>
      <c r="MIV15" s="1"/>
      <c r="MIW15" s="1"/>
      <c r="MIX15" s="1"/>
      <c r="MIY15" s="1"/>
      <c r="MIZ15" s="1"/>
      <c r="MJA15" s="1"/>
      <c r="MJB15" s="1"/>
      <c r="MJC15" s="1"/>
      <c r="MJD15" s="1"/>
      <c r="MJE15" s="1"/>
      <c r="MJF15" s="1"/>
      <c r="MJG15" s="1"/>
      <c r="MJH15" s="1"/>
      <c r="MJI15" s="1"/>
      <c r="MJJ15" s="1"/>
      <c r="MJK15" s="1"/>
      <c r="MJL15" s="1"/>
      <c r="MJM15" s="1"/>
      <c r="MJN15" s="1"/>
      <c r="MJO15" s="1"/>
      <c r="MJP15" s="1"/>
      <c r="MJQ15" s="1"/>
      <c r="MJR15" s="1"/>
      <c r="MJS15" s="1"/>
      <c r="MJT15" s="1"/>
      <c r="MJU15" s="1"/>
      <c r="MJV15" s="1"/>
      <c r="MJW15" s="1"/>
      <c r="MJX15" s="1"/>
      <c r="MJY15" s="1"/>
      <c r="MJZ15" s="1"/>
      <c r="MKA15" s="1"/>
      <c r="MKB15" s="1"/>
      <c r="MKC15" s="1"/>
      <c r="MKD15" s="1"/>
      <c r="MKE15" s="1"/>
      <c r="MKF15" s="1"/>
      <c r="MKG15" s="1"/>
      <c r="MKH15" s="1"/>
      <c r="MKI15" s="1"/>
      <c r="MKJ15" s="1"/>
      <c r="MKK15" s="1"/>
      <c r="MKL15" s="1"/>
      <c r="MKM15" s="1"/>
      <c r="MKN15" s="1"/>
      <c r="MKO15" s="1"/>
      <c r="MKP15" s="1"/>
      <c r="MKQ15" s="1"/>
      <c r="MKR15" s="1"/>
      <c r="MKS15" s="1"/>
      <c r="MKT15" s="1"/>
      <c r="MKU15" s="1"/>
      <c r="MKV15" s="1"/>
      <c r="MKW15" s="1"/>
      <c r="MKX15" s="1"/>
      <c r="MKY15" s="1"/>
      <c r="MKZ15" s="1"/>
      <c r="MLA15" s="1"/>
      <c r="MLB15" s="1"/>
      <c r="MLC15" s="1"/>
      <c r="MLD15" s="1"/>
      <c r="MLE15" s="1"/>
      <c r="MLF15" s="1"/>
      <c r="MLG15" s="1"/>
      <c r="MLH15" s="1"/>
      <c r="MLI15" s="1"/>
      <c r="MLJ15" s="1"/>
      <c r="MLK15" s="1"/>
      <c r="MLL15" s="1"/>
      <c r="MLM15" s="1"/>
      <c r="MLN15" s="1"/>
      <c r="MLO15" s="1"/>
      <c r="MLP15" s="1"/>
      <c r="MLQ15" s="1"/>
      <c r="MLR15" s="1"/>
      <c r="MLS15" s="1"/>
      <c r="MLT15" s="1"/>
      <c r="MLU15" s="1"/>
      <c r="MLV15" s="1"/>
      <c r="MLW15" s="1"/>
      <c r="MLX15" s="1"/>
      <c r="MLY15" s="1"/>
      <c r="MLZ15" s="1"/>
      <c r="MMA15" s="1"/>
      <c r="MMB15" s="1"/>
      <c r="MMC15" s="1"/>
      <c r="MMD15" s="1"/>
      <c r="MME15" s="1"/>
      <c r="MMF15" s="1"/>
      <c r="MMG15" s="1"/>
      <c r="MMH15" s="1"/>
      <c r="MMI15" s="1"/>
      <c r="MMJ15" s="1"/>
      <c r="MMK15" s="1"/>
      <c r="MML15" s="1"/>
      <c r="MMM15" s="1"/>
      <c r="MMN15" s="1"/>
      <c r="MMO15" s="1"/>
      <c r="MMP15" s="1"/>
      <c r="MMQ15" s="1"/>
      <c r="MMR15" s="1"/>
      <c r="MMS15" s="1"/>
      <c r="MMT15" s="1"/>
      <c r="MMU15" s="1"/>
      <c r="MMV15" s="1"/>
      <c r="MMW15" s="1"/>
      <c r="MMX15" s="1"/>
      <c r="MMY15" s="1"/>
      <c r="MMZ15" s="1"/>
      <c r="MNA15" s="1"/>
      <c r="MNB15" s="1"/>
      <c r="MNC15" s="1"/>
      <c r="MND15" s="1"/>
      <c r="MNE15" s="1"/>
      <c r="MNF15" s="1"/>
      <c r="MNG15" s="1"/>
      <c r="MNH15" s="1"/>
      <c r="MNI15" s="1"/>
      <c r="MNJ15" s="1"/>
      <c r="MNK15" s="1"/>
      <c r="MNL15" s="1"/>
      <c r="MNM15" s="1"/>
      <c r="MNN15" s="1"/>
      <c r="MNO15" s="1"/>
      <c r="MNP15" s="1"/>
      <c r="MNQ15" s="1"/>
      <c r="MNR15" s="1"/>
      <c r="MNS15" s="1"/>
      <c r="MNT15" s="1"/>
      <c r="MNU15" s="1"/>
      <c r="MNV15" s="1"/>
      <c r="MNW15" s="1"/>
      <c r="MNX15" s="1"/>
      <c r="MNY15" s="1"/>
      <c r="MNZ15" s="1"/>
      <c r="MOA15" s="1"/>
      <c r="MOB15" s="1"/>
      <c r="MOC15" s="1"/>
      <c r="MOD15" s="1"/>
      <c r="MOE15" s="1"/>
      <c r="MOF15" s="1"/>
      <c r="MOG15" s="1"/>
      <c r="MOH15" s="1"/>
      <c r="MOI15" s="1"/>
      <c r="MOJ15" s="1"/>
      <c r="MOK15" s="1"/>
      <c r="MOL15" s="1"/>
      <c r="MOM15" s="1"/>
      <c r="MON15" s="1"/>
      <c r="MOO15" s="1"/>
      <c r="MOP15" s="1"/>
      <c r="MOQ15" s="1"/>
      <c r="MOR15" s="1"/>
      <c r="MOS15" s="1"/>
      <c r="MOT15" s="1"/>
      <c r="MOU15" s="1"/>
      <c r="MOV15" s="1"/>
      <c r="MOW15" s="1"/>
      <c r="MOX15" s="1"/>
      <c r="MOY15" s="1"/>
      <c r="MOZ15" s="1"/>
      <c r="MPA15" s="1"/>
      <c r="MPB15" s="1"/>
      <c r="MPC15" s="1"/>
      <c r="MPD15" s="1"/>
      <c r="MPE15" s="1"/>
      <c r="MPF15" s="1"/>
      <c r="MPG15" s="1"/>
      <c r="MPH15" s="1"/>
      <c r="MPI15" s="1"/>
      <c r="MPJ15" s="1"/>
      <c r="MPK15" s="1"/>
      <c r="MPL15" s="1"/>
      <c r="MPM15" s="1"/>
      <c r="MPN15" s="1"/>
      <c r="MPO15" s="1"/>
      <c r="MPP15" s="1"/>
      <c r="MPQ15" s="1"/>
      <c r="MPR15" s="1"/>
      <c r="MPS15" s="1"/>
      <c r="MPT15" s="1"/>
      <c r="MPU15" s="1"/>
      <c r="MPV15" s="1"/>
      <c r="MPW15" s="1"/>
      <c r="MPX15" s="1"/>
      <c r="MPY15" s="1"/>
      <c r="MPZ15" s="1"/>
      <c r="MQA15" s="1"/>
      <c r="MQB15" s="1"/>
      <c r="MQC15" s="1"/>
      <c r="MQD15" s="1"/>
      <c r="MQE15" s="1"/>
      <c r="MQF15" s="1"/>
      <c r="MQG15" s="1"/>
      <c r="MQH15" s="1"/>
      <c r="MQI15" s="1"/>
      <c r="MQJ15" s="1"/>
      <c r="MQK15" s="1"/>
      <c r="MQL15" s="1"/>
      <c r="MQM15" s="1"/>
      <c r="MQN15" s="1"/>
      <c r="MQO15" s="1"/>
      <c r="MQP15" s="1"/>
      <c r="MQQ15" s="1"/>
      <c r="MQR15" s="1"/>
      <c r="MQS15" s="1"/>
      <c r="MQT15" s="1"/>
      <c r="MQU15" s="1"/>
      <c r="MQV15" s="1"/>
      <c r="MQW15" s="1"/>
      <c r="MQX15" s="1"/>
      <c r="MQY15" s="1"/>
      <c r="MQZ15" s="1"/>
      <c r="MRA15" s="1"/>
      <c r="MRB15" s="1"/>
      <c r="MRC15" s="1"/>
      <c r="MRD15" s="1"/>
      <c r="MRE15" s="1"/>
      <c r="MRF15" s="1"/>
      <c r="MRG15" s="1"/>
      <c r="MRH15" s="1"/>
      <c r="MRI15" s="1"/>
      <c r="MRJ15" s="1"/>
      <c r="MRK15" s="1"/>
      <c r="MRL15" s="1"/>
      <c r="MRM15" s="1"/>
      <c r="MRN15" s="1"/>
      <c r="MRO15" s="1"/>
      <c r="MRP15" s="1"/>
      <c r="MRQ15" s="1"/>
      <c r="MRR15" s="1"/>
      <c r="MRS15" s="1"/>
      <c r="MRT15" s="1"/>
      <c r="MRU15" s="1"/>
      <c r="MRV15" s="1"/>
      <c r="MRW15" s="1"/>
      <c r="MRX15" s="1"/>
      <c r="MRY15" s="1"/>
      <c r="MRZ15" s="1"/>
      <c r="MSA15" s="1"/>
      <c r="MSB15" s="1"/>
      <c r="MSC15" s="1"/>
      <c r="MSD15" s="1"/>
      <c r="MSE15" s="1"/>
      <c r="MSF15" s="1"/>
      <c r="MSG15" s="1"/>
      <c r="MSH15" s="1"/>
      <c r="MSI15" s="1"/>
      <c r="MSJ15" s="1"/>
      <c r="MSK15" s="1"/>
      <c r="MSL15" s="1"/>
      <c r="MSM15" s="1"/>
      <c r="MSN15" s="1"/>
      <c r="MSO15" s="1"/>
      <c r="MSP15" s="1"/>
      <c r="MSQ15" s="1"/>
      <c r="MSR15" s="1"/>
      <c r="MSS15" s="1"/>
      <c r="MST15" s="1"/>
      <c r="MSU15" s="1"/>
      <c r="MSV15" s="1"/>
      <c r="MSW15" s="1"/>
      <c r="MSX15" s="1"/>
      <c r="MSY15" s="1"/>
      <c r="MSZ15" s="1"/>
      <c r="MTA15" s="1"/>
      <c r="MTB15" s="1"/>
      <c r="MTC15" s="1"/>
      <c r="MTD15" s="1"/>
      <c r="MTE15" s="1"/>
      <c r="MTF15" s="1"/>
      <c r="MTG15" s="1"/>
      <c r="MTH15" s="1"/>
      <c r="MTI15" s="1"/>
      <c r="MTJ15" s="1"/>
      <c r="MTK15" s="1"/>
      <c r="MTL15" s="1"/>
      <c r="MTM15" s="1"/>
      <c r="MTN15" s="1"/>
      <c r="MTO15" s="1"/>
      <c r="MTP15" s="1"/>
      <c r="MTQ15" s="1"/>
      <c r="MTR15" s="1"/>
      <c r="MTS15" s="1"/>
      <c r="MTT15" s="1"/>
      <c r="MTU15" s="1"/>
      <c r="MTV15" s="1"/>
      <c r="MTW15" s="1"/>
      <c r="MTX15" s="1"/>
      <c r="MTY15" s="1"/>
      <c r="MTZ15" s="1"/>
      <c r="MUA15" s="1"/>
      <c r="MUB15" s="1"/>
      <c r="MUC15" s="1"/>
      <c r="MUD15" s="1"/>
      <c r="MUE15" s="1"/>
      <c r="MUF15" s="1"/>
      <c r="MUG15" s="1"/>
      <c r="MUH15" s="1"/>
      <c r="MUI15" s="1"/>
      <c r="MUJ15" s="1"/>
      <c r="MUK15" s="1"/>
      <c r="MUL15" s="1"/>
      <c r="MUM15" s="1"/>
      <c r="MUN15" s="1"/>
      <c r="MUO15" s="1"/>
      <c r="MUP15" s="1"/>
      <c r="MUQ15" s="1"/>
      <c r="MUR15" s="1"/>
      <c r="MUS15" s="1"/>
      <c r="MUT15" s="1"/>
      <c r="MUU15" s="1"/>
      <c r="MUV15" s="1"/>
      <c r="MUW15" s="1"/>
      <c r="MUX15" s="1"/>
      <c r="MUY15" s="1"/>
      <c r="MUZ15" s="1"/>
      <c r="MVA15" s="1"/>
      <c r="MVB15" s="1"/>
      <c r="MVC15" s="1"/>
      <c r="MVD15" s="1"/>
      <c r="MVE15" s="1"/>
      <c r="MVF15" s="1"/>
      <c r="MVG15" s="1"/>
      <c r="MVH15" s="1"/>
      <c r="MVI15" s="1"/>
      <c r="MVJ15" s="1"/>
      <c r="MVK15" s="1"/>
      <c r="MVL15" s="1"/>
      <c r="MVM15" s="1"/>
      <c r="MVN15" s="1"/>
      <c r="MVO15" s="1"/>
      <c r="MVP15" s="1"/>
      <c r="MVQ15" s="1"/>
      <c r="MVR15" s="1"/>
      <c r="MVS15" s="1"/>
      <c r="MVT15" s="1"/>
      <c r="MVU15" s="1"/>
      <c r="MVV15" s="1"/>
      <c r="MVW15" s="1"/>
      <c r="MVX15" s="1"/>
      <c r="MVY15" s="1"/>
      <c r="MVZ15" s="1"/>
      <c r="MWA15" s="1"/>
      <c r="MWB15" s="1"/>
      <c r="MWC15" s="1"/>
      <c r="MWD15" s="1"/>
      <c r="MWE15" s="1"/>
      <c r="MWF15" s="1"/>
      <c r="MWG15" s="1"/>
      <c r="MWH15" s="1"/>
      <c r="MWI15" s="1"/>
      <c r="MWJ15" s="1"/>
      <c r="MWK15" s="1"/>
      <c r="MWL15" s="1"/>
      <c r="MWM15" s="1"/>
      <c r="MWN15" s="1"/>
      <c r="MWO15" s="1"/>
      <c r="MWP15" s="1"/>
      <c r="MWQ15" s="1"/>
      <c r="MWR15" s="1"/>
      <c r="MWS15" s="1"/>
      <c r="MWT15" s="1"/>
      <c r="MWU15" s="1"/>
      <c r="MWV15" s="1"/>
      <c r="MWW15" s="1"/>
      <c r="MWX15" s="1"/>
      <c r="MWY15" s="1"/>
      <c r="MWZ15" s="1"/>
      <c r="MXA15" s="1"/>
      <c r="MXB15" s="1"/>
      <c r="MXC15" s="1"/>
      <c r="MXD15" s="1"/>
      <c r="MXE15" s="1"/>
      <c r="MXF15" s="1"/>
      <c r="MXG15" s="1"/>
      <c r="MXH15" s="1"/>
      <c r="MXI15" s="1"/>
      <c r="MXJ15" s="1"/>
      <c r="MXK15" s="1"/>
      <c r="MXL15" s="1"/>
      <c r="MXM15" s="1"/>
      <c r="MXN15" s="1"/>
      <c r="MXO15" s="1"/>
      <c r="MXP15" s="1"/>
      <c r="MXQ15" s="1"/>
      <c r="MXR15" s="1"/>
      <c r="MXS15" s="1"/>
      <c r="MXT15" s="1"/>
      <c r="MXU15" s="1"/>
      <c r="MXV15" s="1"/>
      <c r="MXW15" s="1"/>
      <c r="MXX15" s="1"/>
      <c r="MXY15" s="1"/>
      <c r="MXZ15" s="1"/>
      <c r="MYA15" s="1"/>
      <c r="MYB15" s="1"/>
      <c r="MYC15" s="1"/>
      <c r="MYD15" s="1"/>
      <c r="MYE15" s="1"/>
      <c r="MYF15" s="1"/>
      <c r="MYG15" s="1"/>
      <c r="MYH15" s="1"/>
      <c r="MYI15" s="1"/>
      <c r="MYJ15" s="1"/>
      <c r="MYK15" s="1"/>
      <c r="MYL15" s="1"/>
      <c r="MYM15" s="1"/>
      <c r="MYN15" s="1"/>
      <c r="MYO15" s="1"/>
      <c r="MYP15" s="1"/>
      <c r="MYQ15" s="1"/>
      <c r="MYR15" s="1"/>
      <c r="MYS15" s="1"/>
      <c r="MYT15" s="1"/>
      <c r="MYU15" s="1"/>
      <c r="MYV15" s="1"/>
      <c r="MYW15" s="1"/>
      <c r="MYX15" s="1"/>
      <c r="MYY15" s="1"/>
      <c r="MYZ15" s="1"/>
      <c r="MZA15" s="1"/>
      <c r="MZB15" s="1"/>
      <c r="MZC15" s="1"/>
      <c r="MZD15" s="1"/>
      <c r="MZE15" s="1"/>
      <c r="MZF15" s="1"/>
      <c r="MZG15" s="1"/>
      <c r="MZH15" s="1"/>
      <c r="MZI15" s="1"/>
      <c r="MZJ15" s="1"/>
      <c r="MZK15" s="1"/>
      <c r="MZL15" s="1"/>
      <c r="MZM15" s="1"/>
      <c r="MZN15" s="1"/>
      <c r="MZO15" s="1"/>
      <c r="MZP15" s="1"/>
      <c r="MZQ15" s="1"/>
      <c r="MZR15" s="1"/>
      <c r="MZS15" s="1"/>
      <c r="MZT15" s="1"/>
      <c r="MZU15" s="1"/>
      <c r="MZV15" s="1"/>
      <c r="MZW15" s="1"/>
      <c r="MZX15" s="1"/>
      <c r="MZY15" s="1"/>
      <c r="MZZ15" s="1"/>
      <c r="NAA15" s="1"/>
      <c r="NAB15" s="1"/>
      <c r="NAC15" s="1"/>
      <c r="NAD15" s="1"/>
      <c r="NAE15" s="1"/>
      <c r="NAF15" s="1"/>
      <c r="NAG15" s="1"/>
      <c r="NAH15" s="1"/>
      <c r="NAI15" s="1"/>
      <c r="NAJ15" s="1"/>
      <c r="NAK15" s="1"/>
      <c r="NAL15" s="1"/>
      <c r="NAM15" s="1"/>
      <c r="NAN15" s="1"/>
      <c r="NAO15" s="1"/>
      <c r="NAP15" s="1"/>
      <c r="NAQ15" s="1"/>
      <c r="NAR15" s="1"/>
      <c r="NAS15" s="1"/>
      <c r="NAT15" s="1"/>
      <c r="NAU15" s="1"/>
      <c r="NAV15" s="1"/>
      <c r="NAW15" s="1"/>
      <c r="NAX15" s="1"/>
      <c r="NAY15" s="1"/>
      <c r="NAZ15" s="1"/>
      <c r="NBA15" s="1"/>
      <c r="NBB15" s="1"/>
      <c r="NBC15" s="1"/>
      <c r="NBD15" s="1"/>
      <c r="NBE15" s="1"/>
      <c r="NBF15" s="1"/>
      <c r="NBG15" s="1"/>
      <c r="NBH15" s="1"/>
      <c r="NBI15" s="1"/>
      <c r="NBJ15" s="1"/>
      <c r="NBK15" s="1"/>
      <c r="NBL15" s="1"/>
      <c r="NBM15" s="1"/>
      <c r="NBN15" s="1"/>
      <c r="NBO15" s="1"/>
      <c r="NBP15" s="1"/>
      <c r="NBQ15" s="1"/>
      <c r="NBR15" s="1"/>
      <c r="NBS15" s="1"/>
      <c r="NBT15" s="1"/>
      <c r="NBU15" s="1"/>
      <c r="NBV15" s="1"/>
      <c r="NBW15" s="1"/>
      <c r="NBX15" s="1"/>
      <c r="NBY15" s="1"/>
      <c r="NBZ15" s="1"/>
      <c r="NCA15" s="1"/>
      <c r="NCB15" s="1"/>
      <c r="NCC15" s="1"/>
      <c r="NCD15" s="1"/>
      <c r="NCE15" s="1"/>
      <c r="NCF15" s="1"/>
      <c r="NCG15" s="1"/>
      <c r="NCH15" s="1"/>
      <c r="NCI15" s="1"/>
      <c r="NCJ15" s="1"/>
      <c r="NCK15" s="1"/>
      <c r="NCL15" s="1"/>
      <c r="NCM15" s="1"/>
      <c r="NCN15" s="1"/>
      <c r="NCO15" s="1"/>
      <c r="NCP15" s="1"/>
      <c r="NCQ15" s="1"/>
      <c r="NCR15" s="1"/>
      <c r="NCS15" s="1"/>
      <c r="NCT15" s="1"/>
      <c r="NCU15" s="1"/>
      <c r="NCV15" s="1"/>
      <c r="NCW15" s="1"/>
      <c r="NCX15" s="1"/>
      <c r="NCY15" s="1"/>
      <c r="NCZ15" s="1"/>
      <c r="NDA15" s="1"/>
      <c r="NDB15" s="1"/>
      <c r="NDC15" s="1"/>
      <c r="NDD15" s="1"/>
      <c r="NDE15" s="1"/>
      <c r="NDF15" s="1"/>
      <c r="NDG15" s="1"/>
      <c r="NDH15" s="1"/>
      <c r="NDI15" s="1"/>
      <c r="NDJ15" s="1"/>
      <c r="NDK15" s="1"/>
      <c r="NDL15" s="1"/>
      <c r="NDM15" s="1"/>
      <c r="NDN15" s="1"/>
      <c r="NDO15" s="1"/>
      <c r="NDP15" s="1"/>
      <c r="NDQ15" s="1"/>
      <c r="NDR15" s="1"/>
      <c r="NDS15" s="1"/>
      <c r="NDT15" s="1"/>
      <c r="NDU15" s="1"/>
      <c r="NDV15" s="1"/>
      <c r="NDW15" s="1"/>
      <c r="NDX15" s="1"/>
      <c r="NDY15" s="1"/>
      <c r="NDZ15" s="1"/>
      <c r="NEA15" s="1"/>
      <c r="NEB15" s="1"/>
      <c r="NEC15" s="1"/>
      <c r="NED15" s="1"/>
      <c r="NEE15" s="1"/>
      <c r="NEF15" s="1"/>
      <c r="NEG15" s="1"/>
      <c r="NEH15" s="1"/>
      <c r="NEI15" s="1"/>
      <c r="NEJ15" s="1"/>
      <c r="NEK15" s="1"/>
      <c r="NEL15" s="1"/>
      <c r="NEM15" s="1"/>
      <c r="NEN15" s="1"/>
      <c r="NEO15" s="1"/>
      <c r="NEP15" s="1"/>
      <c r="NEQ15" s="1"/>
      <c r="NER15" s="1"/>
      <c r="NES15" s="1"/>
      <c r="NET15" s="1"/>
      <c r="NEU15" s="1"/>
      <c r="NEV15" s="1"/>
      <c r="NEW15" s="1"/>
      <c r="NEX15" s="1"/>
      <c r="NEY15" s="1"/>
      <c r="NEZ15" s="1"/>
      <c r="NFA15" s="1"/>
      <c r="NFB15" s="1"/>
      <c r="NFC15" s="1"/>
      <c r="NFD15" s="1"/>
      <c r="NFE15" s="1"/>
      <c r="NFF15" s="1"/>
      <c r="NFG15" s="1"/>
      <c r="NFH15" s="1"/>
      <c r="NFI15" s="1"/>
      <c r="NFJ15" s="1"/>
      <c r="NFK15" s="1"/>
      <c r="NFL15" s="1"/>
      <c r="NFM15" s="1"/>
      <c r="NFN15" s="1"/>
      <c r="NFO15" s="1"/>
      <c r="NFP15" s="1"/>
      <c r="NFQ15" s="1"/>
      <c r="NFR15" s="1"/>
      <c r="NFS15" s="1"/>
      <c r="NFT15" s="1"/>
      <c r="NFU15" s="1"/>
      <c r="NFV15" s="1"/>
      <c r="NFW15" s="1"/>
      <c r="NFX15" s="1"/>
      <c r="NFY15" s="1"/>
      <c r="NFZ15" s="1"/>
      <c r="NGA15" s="1"/>
      <c r="NGB15" s="1"/>
      <c r="NGC15" s="1"/>
      <c r="NGD15" s="1"/>
      <c r="NGE15" s="1"/>
      <c r="NGF15" s="1"/>
      <c r="NGG15" s="1"/>
      <c r="NGH15" s="1"/>
      <c r="NGI15" s="1"/>
      <c r="NGJ15" s="1"/>
      <c r="NGK15" s="1"/>
      <c r="NGL15" s="1"/>
      <c r="NGM15" s="1"/>
      <c r="NGN15" s="1"/>
      <c r="NGO15" s="1"/>
      <c r="NGP15" s="1"/>
      <c r="NGQ15" s="1"/>
      <c r="NGR15" s="1"/>
      <c r="NGS15" s="1"/>
      <c r="NGT15" s="1"/>
      <c r="NGU15" s="1"/>
      <c r="NGV15" s="1"/>
      <c r="NGW15" s="1"/>
      <c r="NGX15" s="1"/>
      <c r="NGY15" s="1"/>
      <c r="NGZ15" s="1"/>
      <c r="NHA15" s="1"/>
      <c r="NHB15" s="1"/>
      <c r="NHC15" s="1"/>
      <c r="NHD15" s="1"/>
      <c r="NHE15" s="1"/>
      <c r="NHF15" s="1"/>
      <c r="NHG15" s="1"/>
      <c r="NHH15" s="1"/>
      <c r="NHI15" s="1"/>
      <c r="NHJ15" s="1"/>
      <c r="NHK15" s="1"/>
      <c r="NHL15" s="1"/>
      <c r="NHM15" s="1"/>
      <c r="NHN15" s="1"/>
      <c r="NHO15" s="1"/>
      <c r="NHP15" s="1"/>
      <c r="NHQ15" s="1"/>
      <c r="NHR15" s="1"/>
      <c r="NHS15" s="1"/>
      <c r="NHT15" s="1"/>
      <c r="NHU15" s="1"/>
      <c r="NHV15" s="1"/>
      <c r="NHW15" s="1"/>
      <c r="NHX15" s="1"/>
      <c r="NHY15" s="1"/>
      <c r="NHZ15" s="1"/>
      <c r="NIA15" s="1"/>
      <c r="NIB15" s="1"/>
      <c r="NIC15" s="1"/>
      <c r="NID15" s="1"/>
      <c r="NIE15" s="1"/>
      <c r="NIF15" s="1"/>
      <c r="NIG15" s="1"/>
      <c r="NIH15" s="1"/>
      <c r="NII15" s="1"/>
      <c r="NIJ15" s="1"/>
      <c r="NIK15" s="1"/>
      <c r="NIL15" s="1"/>
      <c r="NIM15" s="1"/>
      <c r="NIN15" s="1"/>
      <c r="NIO15" s="1"/>
      <c r="NIP15" s="1"/>
      <c r="NIQ15" s="1"/>
      <c r="NIR15" s="1"/>
      <c r="NIS15" s="1"/>
      <c r="NIT15" s="1"/>
      <c r="NIU15" s="1"/>
      <c r="NIV15" s="1"/>
      <c r="NIW15" s="1"/>
      <c r="NIX15" s="1"/>
      <c r="NIY15" s="1"/>
      <c r="NIZ15" s="1"/>
      <c r="NJA15" s="1"/>
      <c r="NJB15" s="1"/>
      <c r="NJC15" s="1"/>
      <c r="NJD15" s="1"/>
      <c r="NJE15" s="1"/>
      <c r="NJF15" s="1"/>
      <c r="NJG15" s="1"/>
      <c r="NJH15" s="1"/>
      <c r="NJI15" s="1"/>
      <c r="NJJ15" s="1"/>
      <c r="NJK15" s="1"/>
      <c r="NJL15" s="1"/>
      <c r="NJM15" s="1"/>
      <c r="NJN15" s="1"/>
      <c r="NJO15" s="1"/>
      <c r="NJP15" s="1"/>
      <c r="NJQ15" s="1"/>
      <c r="NJR15" s="1"/>
      <c r="NJS15" s="1"/>
      <c r="NJT15" s="1"/>
      <c r="NJU15" s="1"/>
      <c r="NJV15" s="1"/>
      <c r="NJW15" s="1"/>
      <c r="NJX15" s="1"/>
      <c r="NJY15" s="1"/>
      <c r="NJZ15" s="1"/>
      <c r="NKA15" s="1"/>
      <c r="NKB15" s="1"/>
      <c r="NKC15" s="1"/>
      <c r="NKD15" s="1"/>
      <c r="NKE15" s="1"/>
      <c r="NKF15" s="1"/>
      <c r="NKG15" s="1"/>
      <c r="NKH15" s="1"/>
      <c r="NKI15" s="1"/>
      <c r="NKJ15" s="1"/>
      <c r="NKK15" s="1"/>
      <c r="NKL15" s="1"/>
      <c r="NKM15" s="1"/>
      <c r="NKN15" s="1"/>
      <c r="NKO15" s="1"/>
      <c r="NKP15" s="1"/>
      <c r="NKQ15" s="1"/>
      <c r="NKR15" s="1"/>
      <c r="NKS15" s="1"/>
      <c r="NKT15" s="1"/>
      <c r="NKU15" s="1"/>
      <c r="NKV15" s="1"/>
      <c r="NKW15" s="1"/>
      <c r="NKX15" s="1"/>
      <c r="NKY15" s="1"/>
      <c r="NKZ15" s="1"/>
      <c r="NLA15" s="1"/>
      <c r="NLB15" s="1"/>
      <c r="NLC15" s="1"/>
      <c r="NLD15" s="1"/>
      <c r="NLE15" s="1"/>
      <c r="NLF15" s="1"/>
      <c r="NLG15" s="1"/>
      <c r="NLH15" s="1"/>
      <c r="NLI15" s="1"/>
      <c r="NLJ15" s="1"/>
      <c r="NLK15" s="1"/>
      <c r="NLL15" s="1"/>
      <c r="NLM15" s="1"/>
      <c r="NLN15" s="1"/>
      <c r="NLO15" s="1"/>
      <c r="NLP15" s="1"/>
      <c r="NLQ15" s="1"/>
      <c r="NLR15" s="1"/>
      <c r="NLS15" s="1"/>
      <c r="NLT15" s="1"/>
      <c r="NLU15" s="1"/>
      <c r="NLV15" s="1"/>
      <c r="NLW15" s="1"/>
      <c r="NLX15" s="1"/>
      <c r="NLY15" s="1"/>
      <c r="NLZ15" s="1"/>
      <c r="NMA15" s="1"/>
      <c r="NMB15" s="1"/>
      <c r="NMC15" s="1"/>
      <c r="NMD15" s="1"/>
      <c r="NME15" s="1"/>
      <c r="NMF15" s="1"/>
      <c r="NMG15" s="1"/>
      <c r="NMH15" s="1"/>
      <c r="NMI15" s="1"/>
      <c r="NMJ15" s="1"/>
      <c r="NMK15" s="1"/>
      <c r="NML15" s="1"/>
      <c r="NMM15" s="1"/>
      <c r="NMN15" s="1"/>
      <c r="NMO15" s="1"/>
      <c r="NMP15" s="1"/>
      <c r="NMQ15" s="1"/>
      <c r="NMR15" s="1"/>
      <c r="NMS15" s="1"/>
      <c r="NMT15" s="1"/>
      <c r="NMU15" s="1"/>
      <c r="NMV15" s="1"/>
      <c r="NMW15" s="1"/>
      <c r="NMX15" s="1"/>
      <c r="NMY15" s="1"/>
      <c r="NMZ15" s="1"/>
      <c r="NNA15" s="1"/>
      <c r="NNB15" s="1"/>
      <c r="NNC15" s="1"/>
      <c r="NND15" s="1"/>
      <c r="NNE15" s="1"/>
      <c r="NNF15" s="1"/>
      <c r="NNG15" s="1"/>
      <c r="NNH15" s="1"/>
      <c r="NNI15" s="1"/>
      <c r="NNJ15" s="1"/>
      <c r="NNK15" s="1"/>
      <c r="NNL15" s="1"/>
      <c r="NNM15" s="1"/>
      <c r="NNN15" s="1"/>
      <c r="NNO15" s="1"/>
      <c r="NNP15" s="1"/>
      <c r="NNQ15" s="1"/>
      <c r="NNR15" s="1"/>
      <c r="NNS15" s="1"/>
      <c r="NNT15" s="1"/>
      <c r="NNU15" s="1"/>
      <c r="NNV15" s="1"/>
      <c r="NNW15" s="1"/>
      <c r="NNX15" s="1"/>
      <c r="NNY15" s="1"/>
      <c r="NNZ15" s="1"/>
      <c r="NOA15" s="1"/>
      <c r="NOB15" s="1"/>
      <c r="NOC15" s="1"/>
      <c r="NOD15" s="1"/>
      <c r="NOE15" s="1"/>
      <c r="NOF15" s="1"/>
      <c r="NOG15" s="1"/>
      <c r="NOH15" s="1"/>
      <c r="NOI15" s="1"/>
      <c r="NOJ15" s="1"/>
      <c r="NOK15" s="1"/>
      <c r="NOL15" s="1"/>
      <c r="NOM15" s="1"/>
      <c r="NON15" s="1"/>
      <c r="NOO15" s="1"/>
      <c r="NOP15" s="1"/>
      <c r="NOQ15" s="1"/>
      <c r="NOR15" s="1"/>
      <c r="NOS15" s="1"/>
      <c r="NOT15" s="1"/>
      <c r="NOU15" s="1"/>
      <c r="NOV15" s="1"/>
      <c r="NOW15" s="1"/>
      <c r="NOX15" s="1"/>
      <c r="NOY15" s="1"/>
      <c r="NOZ15" s="1"/>
      <c r="NPA15" s="1"/>
      <c r="NPB15" s="1"/>
      <c r="NPC15" s="1"/>
      <c r="NPD15" s="1"/>
      <c r="NPE15" s="1"/>
      <c r="NPF15" s="1"/>
      <c r="NPG15" s="1"/>
      <c r="NPH15" s="1"/>
      <c r="NPI15" s="1"/>
      <c r="NPJ15" s="1"/>
      <c r="NPK15" s="1"/>
      <c r="NPL15" s="1"/>
      <c r="NPM15" s="1"/>
      <c r="NPN15" s="1"/>
      <c r="NPO15" s="1"/>
      <c r="NPP15" s="1"/>
      <c r="NPQ15" s="1"/>
      <c r="NPR15" s="1"/>
      <c r="NPS15" s="1"/>
      <c r="NPT15" s="1"/>
      <c r="NPU15" s="1"/>
      <c r="NPV15" s="1"/>
      <c r="NPW15" s="1"/>
      <c r="NPX15" s="1"/>
      <c r="NPY15" s="1"/>
      <c r="NPZ15" s="1"/>
      <c r="NQA15" s="1"/>
      <c r="NQB15" s="1"/>
      <c r="NQC15" s="1"/>
      <c r="NQD15" s="1"/>
      <c r="NQE15" s="1"/>
      <c r="NQF15" s="1"/>
      <c r="NQG15" s="1"/>
      <c r="NQH15" s="1"/>
      <c r="NQI15" s="1"/>
      <c r="NQJ15" s="1"/>
      <c r="NQK15" s="1"/>
      <c r="NQL15" s="1"/>
      <c r="NQM15" s="1"/>
      <c r="NQN15" s="1"/>
      <c r="NQO15" s="1"/>
      <c r="NQP15" s="1"/>
      <c r="NQQ15" s="1"/>
      <c r="NQR15" s="1"/>
      <c r="NQS15" s="1"/>
      <c r="NQT15" s="1"/>
      <c r="NQU15" s="1"/>
      <c r="NQV15" s="1"/>
      <c r="NQW15" s="1"/>
      <c r="NQX15" s="1"/>
      <c r="NQY15" s="1"/>
      <c r="NQZ15" s="1"/>
      <c r="NRA15" s="1"/>
      <c r="NRB15" s="1"/>
      <c r="NRC15" s="1"/>
      <c r="NRD15" s="1"/>
      <c r="NRE15" s="1"/>
      <c r="NRF15" s="1"/>
      <c r="NRG15" s="1"/>
      <c r="NRH15" s="1"/>
      <c r="NRI15" s="1"/>
      <c r="NRJ15" s="1"/>
      <c r="NRK15" s="1"/>
      <c r="NRL15" s="1"/>
      <c r="NRM15" s="1"/>
      <c r="NRN15" s="1"/>
      <c r="NRO15" s="1"/>
      <c r="NRP15" s="1"/>
      <c r="NRQ15" s="1"/>
      <c r="NRR15" s="1"/>
      <c r="NRS15" s="1"/>
      <c r="NRT15" s="1"/>
      <c r="NRU15" s="1"/>
      <c r="NRV15" s="1"/>
      <c r="NRW15" s="1"/>
      <c r="NRX15" s="1"/>
      <c r="NRY15" s="1"/>
      <c r="NRZ15" s="1"/>
      <c r="NSA15" s="1"/>
      <c r="NSB15" s="1"/>
      <c r="NSC15" s="1"/>
      <c r="NSD15" s="1"/>
      <c r="NSE15" s="1"/>
      <c r="NSF15" s="1"/>
      <c r="NSG15" s="1"/>
      <c r="NSH15" s="1"/>
      <c r="NSI15" s="1"/>
      <c r="NSJ15" s="1"/>
      <c r="NSK15" s="1"/>
      <c r="NSL15" s="1"/>
      <c r="NSM15" s="1"/>
      <c r="NSN15" s="1"/>
      <c r="NSO15" s="1"/>
      <c r="NSP15" s="1"/>
      <c r="NSQ15" s="1"/>
      <c r="NSR15" s="1"/>
      <c r="NSS15" s="1"/>
      <c r="NST15" s="1"/>
      <c r="NSU15" s="1"/>
      <c r="NSV15" s="1"/>
      <c r="NSW15" s="1"/>
      <c r="NSX15" s="1"/>
      <c r="NSY15" s="1"/>
      <c r="NSZ15" s="1"/>
      <c r="NTA15" s="1"/>
      <c r="NTB15" s="1"/>
      <c r="NTC15" s="1"/>
      <c r="NTD15" s="1"/>
      <c r="NTE15" s="1"/>
      <c r="NTF15" s="1"/>
      <c r="NTG15" s="1"/>
      <c r="NTH15" s="1"/>
      <c r="NTI15" s="1"/>
      <c r="NTJ15" s="1"/>
      <c r="NTK15" s="1"/>
      <c r="NTL15" s="1"/>
      <c r="NTM15" s="1"/>
      <c r="NTN15" s="1"/>
      <c r="NTO15" s="1"/>
      <c r="NTP15" s="1"/>
      <c r="NTQ15" s="1"/>
      <c r="NTR15" s="1"/>
      <c r="NTS15" s="1"/>
      <c r="NTT15" s="1"/>
      <c r="NTU15" s="1"/>
      <c r="NTV15" s="1"/>
      <c r="NTW15" s="1"/>
      <c r="NTX15" s="1"/>
      <c r="NTY15" s="1"/>
      <c r="NTZ15" s="1"/>
      <c r="NUA15" s="1"/>
      <c r="NUB15" s="1"/>
      <c r="NUC15" s="1"/>
      <c r="NUD15" s="1"/>
      <c r="NUE15" s="1"/>
      <c r="NUF15" s="1"/>
      <c r="NUG15" s="1"/>
      <c r="NUH15" s="1"/>
      <c r="NUI15" s="1"/>
      <c r="NUJ15" s="1"/>
      <c r="NUK15" s="1"/>
      <c r="NUL15" s="1"/>
      <c r="NUM15" s="1"/>
      <c r="NUN15" s="1"/>
      <c r="NUO15" s="1"/>
      <c r="NUP15" s="1"/>
      <c r="NUQ15" s="1"/>
      <c r="NUR15" s="1"/>
      <c r="NUS15" s="1"/>
      <c r="NUT15" s="1"/>
      <c r="NUU15" s="1"/>
      <c r="NUV15" s="1"/>
      <c r="NUW15" s="1"/>
      <c r="NUX15" s="1"/>
      <c r="NUY15" s="1"/>
      <c r="NUZ15" s="1"/>
      <c r="NVA15" s="1"/>
      <c r="NVB15" s="1"/>
      <c r="NVC15" s="1"/>
      <c r="NVD15" s="1"/>
      <c r="NVE15" s="1"/>
      <c r="NVF15" s="1"/>
      <c r="NVG15" s="1"/>
      <c r="NVH15" s="1"/>
      <c r="NVI15" s="1"/>
      <c r="NVJ15" s="1"/>
      <c r="NVK15" s="1"/>
      <c r="NVL15" s="1"/>
      <c r="NVM15" s="1"/>
      <c r="NVN15" s="1"/>
      <c r="NVO15" s="1"/>
      <c r="NVP15" s="1"/>
      <c r="NVQ15" s="1"/>
      <c r="NVR15" s="1"/>
      <c r="NVS15" s="1"/>
      <c r="NVT15" s="1"/>
      <c r="NVU15" s="1"/>
      <c r="NVV15" s="1"/>
      <c r="NVW15" s="1"/>
      <c r="NVX15" s="1"/>
      <c r="NVY15" s="1"/>
      <c r="NVZ15" s="1"/>
      <c r="NWA15" s="1"/>
      <c r="NWB15" s="1"/>
      <c r="NWC15" s="1"/>
      <c r="NWD15" s="1"/>
      <c r="NWE15" s="1"/>
      <c r="NWF15" s="1"/>
      <c r="NWG15" s="1"/>
      <c r="NWH15" s="1"/>
      <c r="NWI15" s="1"/>
      <c r="NWJ15" s="1"/>
      <c r="NWK15" s="1"/>
      <c r="NWL15" s="1"/>
      <c r="NWM15" s="1"/>
      <c r="NWN15" s="1"/>
      <c r="NWO15" s="1"/>
      <c r="NWP15" s="1"/>
      <c r="NWQ15" s="1"/>
      <c r="NWR15" s="1"/>
      <c r="NWS15" s="1"/>
      <c r="NWT15" s="1"/>
      <c r="NWU15" s="1"/>
      <c r="NWV15" s="1"/>
      <c r="NWW15" s="1"/>
      <c r="NWX15" s="1"/>
      <c r="NWY15" s="1"/>
      <c r="NWZ15" s="1"/>
      <c r="NXA15" s="1"/>
      <c r="NXB15" s="1"/>
      <c r="NXC15" s="1"/>
      <c r="NXD15" s="1"/>
      <c r="NXE15" s="1"/>
      <c r="NXF15" s="1"/>
      <c r="NXG15" s="1"/>
      <c r="NXH15" s="1"/>
      <c r="NXI15" s="1"/>
      <c r="NXJ15" s="1"/>
      <c r="NXK15" s="1"/>
      <c r="NXL15" s="1"/>
      <c r="NXM15" s="1"/>
      <c r="NXN15" s="1"/>
      <c r="NXO15" s="1"/>
      <c r="NXP15" s="1"/>
      <c r="NXQ15" s="1"/>
      <c r="NXR15" s="1"/>
      <c r="NXS15" s="1"/>
      <c r="NXT15" s="1"/>
      <c r="NXU15" s="1"/>
      <c r="NXV15" s="1"/>
      <c r="NXW15" s="1"/>
      <c r="NXX15" s="1"/>
      <c r="NXY15" s="1"/>
      <c r="NXZ15" s="1"/>
      <c r="NYA15" s="1"/>
      <c r="NYB15" s="1"/>
      <c r="NYC15" s="1"/>
      <c r="NYD15" s="1"/>
      <c r="NYE15" s="1"/>
      <c r="NYF15" s="1"/>
      <c r="NYG15" s="1"/>
      <c r="NYH15" s="1"/>
      <c r="NYI15" s="1"/>
      <c r="NYJ15" s="1"/>
      <c r="NYK15" s="1"/>
      <c r="NYL15" s="1"/>
      <c r="NYM15" s="1"/>
      <c r="NYN15" s="1"/>
      <c r="NYO15" s="1"/>
      <c r="NYP15" s="1"/>
      <c r="NYQ15" s="1"/>
      <c r="NYR15" s="1"/>
      <c r="NYS15" s="1"/>
      <c r="NYT15" s="1"/>
      <c r="NYU15" s="1"/>
      <c r="NYV15" s="1"/>
      <c r="NYW15" s="1"/>
      <c r="NYX15" s="1"/>
      <c r="NYY15" s="1"/>
      <c r="NYZ15" s="1"/>
      <c r="NZA15" s="1"/>
      <c r="NZB15" s="1"/>
      <c r="NZC15" s="1"/>
      <c r="NZD15" s="1"/>
      <c r="NZE15" s="1"/>
      <c r="NZF15" s="1"/>
      <c r="NZG15" s="1"/>
      <c r="NZH15" s="1"/>
      <c r="NZI15" s="1"/>
      <c r="NZJ15" s="1"/>
      <c r="NZK15" s="1"/>
      <c r="NZL15" s="1"/>
      <c r="NZM15" s="1"/>
      <c r="NZN15" s="1"/>
      <c r="NZO15" s="1"/>
      <c r="NZP15" s="1"/>
      <c r="NZQ15" s="1"/>
      <c r="NZR15" s="1"/>
      <c r="NZS15" s="1"/>
      <c r="NZT15" s="1"/>
      <c r="NZU15" s="1"/>
      <c r="NZV15" s="1"/>
      <c r="NZW15" s="1"/>
      <c r="NZX15" s="1"/>
      <c r="NZY15" s="1"/>
      <c r="NZZ15" s="1"/>
      <c r="OAA15" s="1"/>
      <c r="OAB15" s="1"/>
      <c r="OAC15" s="1"/>
      <c r="OAD15" s="1"/>
      <c r="OAE15" s="1"/>
      <c r="OAF15" s="1"/>
      <c r="OAG15" s="1"/>
      <c r="OAH15" s="1"/>
      <c r="OAI15" s="1"/>
      <c r="OAJ15" s="1"/>
      <c r="OAK15" s="1"/>
      <c r="OAL15" s="1"/>
      <c r="OAM15" s="1"/>
      <c r="OAN15" s="1"/>
      <c r="OAO15" s="1"/>
      <c r="OAP15" s="1"/>
      <c r="OAQ15" s="1"/>
      <c r="OAR15" s="1"/>
      <c r="OAS15" s="1"/>
      <c r="OAT15" s="1"/>
      <c r="OAU15" s="1"/>
      <c r="OAV15" s="1"/>
      <c r="OAW15" s="1"/>
      <c r="OAX15" s="1"/>
      <c r="OAY15" s="1"/>
      <c r="OAZ15" s="1"/>
      <c r="OBA15" s="1"/>
      <c r="OBB15" s="1"/>
      <c r="OBC15" s="1"/>
      <c r="OBD15" s="1"/>
      <c r="OBE15" s="1"/>
      <c r="OBF15" s="1"/>
      <c r="OBG15" s="1"/>
      <c r="OBH15" s="1"/>
      <c r="OBI15" s="1"/>
      <c r="OBJ15" s="1"/>
      <c r="OBK15" s="1"/>
      <c r="OBL15" s="1"/>
      <c r="OBM15" s="1"/>
      <c r="OBN15" s="1"/>
      <c r="OBO15" s="1"/>
      <c r="OBP15" s="1"/>
      <c r="OBQ15" s="1"/>
      <c r="OBR15" s="1"/>
      <c r="OBS15" s="1"/>
      <c r="OBT15" s="1"/>
      <c r="OBU15" s="1"/>
      <c r="OBV15" s="1"/>
      <c r="OBW15" s="1"/>
      <c r="OBX15" s="1"/>
      <c r="OBY15" s="1"/>
      <c r="OBZ15" s="1"/>
      <c r="OCA15" s="1"/>
      <c r="OCB15" s="1"/>
      <c r="OCC15" s="1"/>
      <c r="OCD15" s="1"/>
      <c r="OCE15" s="1"/>
      <c r="OCF15" s="1"/>
      <c r="OCG15" s="1"/>
      <c r="OCH15" s="1"/>
      <c r="OCI15" s="1"/>
      <c r="OCJ15" s="1"/>
      <c r="OCK15" s="1"/>
      <c r="OCL15" s="1"/>
      <c r="OCM15" s="1"/>
      <c r="OCN15" s="1"/>
      <c r="OCO15" s="1"/>
      <c r="OCP15" s="1"/>
      <c r="OCQ15" s="1"/>
      <c r="OCR15" s="1"/>
      <c r="OCS15" s="1"/>
      <c r="OCT15" s="1"/>
      <c r="OCU15" s="1"/>
      <c r="OCV15" s="1"/>
      <c r="OCW15" s="1"/>
      <c r="OCX15" s="1"/>
      <c r="OCY15" s="1"/>
      <c r="OCZ15" s="1"/>
      <c r="ODA15" s="1"/>
      <c r="ODB15" s="1"/>
      <c r="ODC15" s="1"/>
      <c r="ODD15" s="1"/>
      <c r="ODE15" s="1"/>
      <c r="ODF15" s="1"/>
      <c r="ODG15" s="1"/>
      <c r="ODH15" s="1"/>
      <c r="ODI15" s="1"/>
      <c r="ODJ15" s="1"/>
      <c r="ODK15" s="1"/>
      <c r="ODL15" s="1"/>
      <c r="ODM15" s="1"/>
      <c r="ODN15" s="1"/>
      <c r="ODO15" s="1"/>
      <c r="ODP15" s="1"/>
      <c r="ODQ15" s="1"/>
      <c r="ODR15" s="1"/>
      <c r="ODS15" s="1"/>
      <c r="ODT15" s="1"/>
      <c r="ODU15" s="1"/>
      <c r="ODV15" s="1"/>
      <c r="ODW15" s="1"/>
      <c r="ODX15" s="1"/>
      <c r="ODY15" s="1"/>
      <c r="ODZ15" s="1"/>
      <c r="OEA15" s="1"/>
      <c r="OEB15" s="1"/>
      <c r="OEC15" s="1"/>
      <c r="OED15" s="1"/>
      <c r="OEE15" s="1"/>
      <c r="OEF15" s="1"/>
      <c r="OEG15" s="1"/>
      <c r="OEH15" s="1"/>
      <c r="OEI15" s="1"/>
      <c r="OEJ15" s="1"/>
      <c r="OEK15" s="1"/>
      <c r="OEL15" s="1"/>
      <c r="OEM15" s="1"/>
      <c r="OEN15" s="1"/>
      <c r="OEO15" s="1"/>
      <c r="OEP15" s="1"/>
      <c r="OEQ15" s="1"/>
      <c r="OER15" s="1"/>
      <c r="OES15" s="1"/>
      <c r="OET15" s="1"/>
      <c r="OEU15" s="1"/>
      <c r="OEV15" s="1"/>
      <c r="OEW15" s="1"/>
      <c r="OEX15" s="1"/>
      <c r="OEY15" s="1"/>
      <c r="OEZ15" s="1"/>
      <c r="OFA15" s="1"/>
      <c r="OFB15" s="1"/>
      <c r="OFC15" s="1"/>
      <c r="OFD15" s="1"/>
      <c r="OFE15" s="1"/>
      <c r="OFF15" s="1"/>
      <c r="OFG15" s="1"/>
      <c r="OFH15" s="1"/>
      <c r="OFI15" s="1"/>
      <c r="OFJ15" s="1"/>
      <c r="OFK15" s="1"/>
      <c r="OFL15" s="1"/>
      <c r="OFM15" s="1"/>
      <c r="OFN15" s="1"/>
      <c r="OFO15" s="1"/>
      <c r="OFP15" s="1"/>
      <c r="OFQ15" s="1"/>
      <c r="OFR15" s="1"/>
      <c r="OFS15" s="1"/>
      <c r="OFT15" s="1"/>
      <c r="OFU15" s="1"/>
      <c r="OFV15" s="1"/>
      <c r="OFW15" s="1"/>
      <c r="OFX15" s="1"/>
      <c r="OFY15" s="1"/>
      <c r="OFZ15" s="1"/>
      <c r="OGA15" s="1"/>
      <c r="OGB15" s="1"/>
      <c r="OGC15" s="1"/>
      <c r="OGD15" s="1"/>
      <c r="OGE15" s="1"/>
      <c r="OGF15" s="1"/>
      <c r="OGG15" s="1"/>
      <c r="OGH15" s="1"/>
      <c r="OGI15" s="1"/>
      <c r="OGJ15" s="1"/>
      <c r="OGK15" s="1"/>
      <c r="OGL15" s="1"/>
      <c r="OGM15" s="1"/>
      <c r="OGN15" s="1"/>
      <c r="OGO15" s="1"/>
      <c r="OGP15" s="1"/>
      <c r="OGQ15" s="1"/>
      <c r="OGR15" s="1"/>
      <c r="OGS15" s="1"/>
      <c r="OGT15" s="1"/>
      <c r="OGU15" s="1"/>
      <c r="OGV15" s="1"/>
      <c r="OGW15" s="1"/>
      <c r="OGX15" s="1"/>
      <c r="OGY15" s="1"/>
      <c r="OGZ15" s="1"/>
      <c r="OHA15" s="1"/>
      <c r="OHB15" s="1"/>
      <c r="OHC15" s="1"/>
      <c r="OHD15" s="1"/>
      <c r="OHE15" s="1"/>
      <c r="OHF15" s="1"/>
      <c r="OHG15" s="1"/>
      <c r="OHH15" s="1"/>
      <c r="OHI15" s="1"/>
      <c r="OHJ15" s="1"/>
      <c r="OHK15" s="1"/>
      <c r="OHL15" s="1"/>
      <c r="OHM15" s="1"/>
      <c r="OHN15" s="1"/>
      <c r="OHO15" s="1"/>
      <c r="OHP15" s="1"/>
      <c r="OHQ15" s="1"/>
      <c r="OHR15" s="1"/>
      <c r="OHS15" s="1"/>
      <c r="OHT15" s="1"/>
      <c r="OHU15" s="1"/>
      <c r="OHV15" s="1"/>
      <c r="OHW15" s="1"/>
      <c r="OHX15" s="1"/>
      <c r="OHY15" s="1"/>
      <c r="OHZ15" s="1"/>
      <c r="OIA15" s="1"/>
      <c r="OIB15" s="1"/>
      <c r="OIC15" s="1"/>
      <c r="OID15" s="1"/>
      <c r="OIE15" s="1"/>
      <c r="OIF15" s="1"/>
      <c r="OIG15" s="1"/>
      <c r="OIH15" s="1"/>
      <c r="OII15" s="1"/>
      <c r="OIJ15" s="1"/>
      <c r="OIK15" s="1"/>
      <c r="OIL15" s="1"/>
      <c r="OIM15" s="1"/>
      <c r="OIN15" s="1"/>
      <c r="OIO15" s="1"/>
      <c r="OIP15" s="1"/>
      <c r="OIQ15" s="1"/>
      <c r="OIR15" s="1"/>
      <c r="OIS15" s="1"/>
      <c r="OIT15" s="1"/>
      <c r="OIU15" s="1"/>
      <c r="OIV15" s="1"/>
      <c r="OIW15" s="1"/>
      <c r="OIX15" s="1"/>
      <c r="OIY15" s="1"/>
      <c r="OIZ15" s="1"/>
      <c r="OJA15" s="1"/>
      <c r="OJB15" s="1"/>
      <c r="OJC15" s="1"/>
      <c r="OJD15" s="1"/>
      <c r="OJE15" s="1"/>
      <c r="OJF15" s="1"/>
      <c r="OJG15" s="1"/>
      <c r="OJH15" s="1"/>
      <c r="OJI15" s="1"/>
      <c r="OJJ15" s="1"/>
      <c r="OJK15" s="1"/>
      <c r="OJL15" s="1"/>
      <c r="OJM15" s="1"/>
      <c r="OJN15" s="1"/>
      <c r="OJO15" s="1"/>
      <c r="OJP15" s="1"/>
      <c r="OJQ15" s="1"/>
      <c r="OJR15" s="1"/>
      <c r="OJS15" s="1"/>
      <c r="OJT15" s="1"/>
      <c r="OJU15" s="1"/>
      <c r="OJV15" s="1"/>
      <c r="OJW15" s="1"/>
      <c r="OJX15" s="1"/>
      <c r="OJY15" s="1"/>
      <c r="OJZ15" s="1"/>
      <c r="OKA15" s="1"/>
      <c r="OKB15" s="1"/>
      <c r="OKC15" s="1"/>
      <c r="OKD15" s="1"/>
      <c r="OKE15" s="1"/>
      <c r="OKF15" s="1"/>
      <c r="OKG15" s="1"/>
      <c r="OKH15" s="1"/>
      <c r="OKI15" s="1"/>
      <c r="OKJ15" s="1"/>
      <c r="OKK15" s="1"/>
      <c r="OKL15" s="1"/>
      <c r="OKM15" s="1"/>
      <c r="OKN15" s="1"/>
      <c r="OKO15" s="1"/>
      <c r="OKP15" s="1"/>
      <c r="OKQ15" s="1"/>
      <c r="OKR15" s="1"/>
      <c r="OKS15" s="1"/>
      <c r="OKT15" s="1"/>
      <c r="OKU15" s="1"/>
      <c r="OKV15" s="1"/>
      <c r="OKW15" s="1"/>
      <c r="OKX15" s="1"/>
      <c r="OKY15" s="1"/>
      <c r="OKZ15" s="1"/>
      <c r="OLA15" s="1"/>
      <c r="OLB15" s="1"/>
      <c r="OLC15" s="1"/>
      <c r="OLD15" s="1"/>
      <c r="OLE15" s="1"/>
      <c r="OLF15" s="1"/>
      <c r="OLG15" s="1"/>
      <c r="OLH15" s="1"/>
      <c r="OLI15" s="1"/>
      <c r="OLJ15" s="1"/>
      <c r="OLK15" s="1"/>
      <c r="OLL15" s="1"/>
      <c r="OLM15" s="1"/>
      <c r="OLN15" s="1"/>
      <c r="OLO15" s="1"/>
      <c r="OLP15" s="1"/>
      <c r="OLQ15" s="1"/>
      <c r="OLR15" s="1"/>
      <c r="OLS15" s="1"/>
      <c r="OLT15" s="1"/>
      <c r="OLU15" s="1"/>
      <c r="OLV15" s="1"/>
      <c r="OLW15" s="1"/>
      <c r="OLX15" s="1"/>
      <c r="OLY15" s="1"/>
      <c r="OLZ15" s="1"/>
      <c r="OMA15" s="1"/>
      <c r="OMB15" s="1"/>
      <c r="OMC15" s="1"/>
      <c r="OMD15" s="1"/>
      <c r="OME15" s="1"/>
      <c r="OMF15" s="1"/>
      <c r="OMG15" s="1"/>
      <c r="OMH15" s="1"/>
      <c r="OMI15" s="1"/>
      <c r="OMJ15" s="1"/>
      <c r="OMK15" s="1"/>
      <c r="OML15" s="1"/>
      <c r="OMM15" s="1"/>
      <c r="OMN15" s="1"/>
      <c r="OMO15" s="1"/>
      <c r="OMP15" s="1"/>
      <c r="OMQ15" s="1"/>
      <c r="OMR15" s="1"/>
      <c r="OMS15" s="1"/>
      <c r="OMT15" s="1"/>
      <c r="OMU15" s="1"/>
      <c r="OMV15" s="1"/>
      <c r="OMW15" s="1"/>
      <c r="OMX15" s="1"/>
      <c r="OMY15" s="1"/>
      <c r="OMZ15" s="1"/>
      <c r="ONA15" s="1"/>
      <c r="ONB15" s="1"/>
      <c r="ONC15" s="1"/>
      <c r="OND15" s="1"/>
      <c r="ONE15" s="1"/>
      <c r="ONF15" s="1"/>
      <c r="ONG15" s="1"/>
      <c r="ONH15" s="1"/>
      <c r="ONI15" s="1"/>
      <c r="ONJ15" s="1"/>
      <c r="ONK15" s="1"/>
      <c r="ONL15" s="1"/>
      <c r="ONM15" s="1"/>
      <c r="ONN15" s="1"/>
      <c r="ONO15" s="1"/>
      <c r="ONP15" s="1"/>
      <c r="ONQ15" s="1"/>
      <c r="ONR15" s="1"/>
      <c r="ONS15" s="1"/>
      <c r="ONT15" s="1"/>
      <c r="ONU15" s="1"/>
      <c r="ONV15" s="1"/>
      <c r="ONW15" s="1"/>
      <c r="ONX15" s="1"/>
      <c r="ONY15" s="1"/>
      <c r="ONZ15" s="1"/>
      <c r="OOA15" s="1"/>
      <c r="OOB15" s="1"/>
      <c r="OOC15" s="1"/>
      <c r="OOD15" s="1"/>
      <c r="OOE15" s="1"/>
      <c r="OOF15" s="1"/>
      <c r="OOG15" s="1"/>
      <c r="OOH15" s="1"/>
      <c r="OOI15" s="1"/>
      <c r="OOJ15" s="1"/>
      <c r="OOK15" s="1"/>
      <c r="OOL15" s="1"/>
      <c r="OOM15" s="1"/>
      <c r="OON15" s="1"/>
      <c r="OOO15" s="1"/>
      <c r="OOP15" s="1"/>
      <c r="OOQ15" s="1"/>
      <c r="OOR15" s="1"/>
      <c r="OOS15" s="1"/>
      <c r="OOT15" s="1"/>
      <c r="OOU15" s="1"/>
      <c r="OOV15" s="1"/>
      <c r="OOW15" s="1"/>
      <c r="OOX15" s="1"/>
      <c r="OOY15" s="1"/>
      <c r="OOZ15" s="1"/>
      <c r="OPA15" s="1"/>
      <c r="OPB15" s="1"/>
      <c r="OPC15" s="1"/>
      <c r="OPD15" s="1"/>
      <c r="OPE15" s="1"/>
      <c r="OPF15" s="1"/>
      <c r="OPG15" s="1"/>
      <c r="OPH15" s="1"/>
      <c r="OPI15" s="1"/>
      <c r="OPJ15" s="1"/>
      <c r="OPK15" s="1"/>
      <c r="OPL15" s="1"/>
      <c r="OPM15" s="1"/>
      <c r="OPN15" s="1"/>
      <c r="OPO15" s="1"/>
      <c r="OPP15" s="1"/>
      <c r="OPQ15" s="1"/>
      <c r="OPR15" s="1"/>
      <c r="OPS15" s="1"/>
      <c r="OPT15" s="1"/>
      <c r="OPU15" s="1"/>
      <c r="OPV15" s="1"/>
      <c r="OPW15" s="1"/>
      <c r="OPX15" s="1"/>
      <c r="OPY15" s="1"/>
      <c r="OPZ15" s="1"/>
      <c r="OQA15" s="1"/>
      <c r="OQB15" s="1"/>
      <c r="OQC15" s="1"/>
      <c r="OQD15" s="1"/>
      <c r="OQE15" s="1"/>
      <c r="OQF15" s="1"/>
      <c r="OQG15" s="1"/>
      <c r="OQH15" s="1"/>
      <c r="OQI15" s="1"/>
      <c r="OQJ15" s="1"/>
      <c r="OQK15" s="1"/>
      <c r="OQL15" s="1"/>
      <c r="OQM15" s="1"/>
      <c r="OQN15" s="1"/>
      <c r="OQO15" s="1"/>
      <c r="OQP15" s="1"/>
      <c r="OQQ15" s="1"/>
      <c r="OQR15" s="1"/>
      <c r="OQS15" s="1"/>
      <c r="OQT15" s="1"/>
      <c r="OQU15" s="1"/>
      <c r="OQV15" s="1"/>
      <c r="OQW15" s="1"/>
      <c r="OQX15" s="1"/>
      <c r="OQY15" s="1"/>
      <c r="OQZ15" s="1"/>
      <c r="ORA15" s="1"/>
      <c r="ORB15" s="1"/>
      <c r="ORC15" s="1"/>
      <c r="ORD15" s="1"/>
      <c r="ORE15" s="1"/>
      <c r="ORF15" s="1"/>
      <c r="ORG15" s="1"/>
      <c r="ORH15" s="1"/>
      <c r="ORI15" s="1"/>
      <c r="ORJ15" s="1"/>
      <c r="ORK15" s="1"/>
      <c r="ORL15" s="1"/>
      <c r="ORM15" s="1"/>
      <c r="ORN15" s="1"/>
      <c r="ORO15" s="1"/>
      <c r="ORP15" s="1"/>
      <c r="ORQ15" s="1"/>
      <c r="ORR15" s="1"/>
      <c r="ORS15" s="1"/>
      <c r="ORT15" s="1"/>
      <c r="ORU15" s="1"/>
      <c r="ORV15" s="1"/>
      <c r="ORW15" s="1"/>
      <c r="ORX15" s="1"/>
      <c r="ORY15" s="1"/>
      <c r="ORZ15" s="1"/>
      <c r="OSA15" s="1"/>
      <c r="OSB15" s="1"/>
      <c r="OSC15" s="1"/>
      <c r="OSD15" s="1"/>
      <c r="OSE15" s="1"/>
      <c r="OSF15" s="1"/>
      <c r="OSG15" s="1"/>
      <c r="OSH15" s="1"/>
      <c r="OSI15" s="1"/>
      <c r="OSJ15" s="1"/>
      <c r="OSK15" s="1"/>
      <c r="OSL15" s="1"/>
      <c r="OSM15" s="1"/>
      <c r="OSN15" s="1"/>
      <c r="OSO15" s="1"/>
      <c r="OSP15" s="1"/>
      <c r="OSQ15" s="1"/>
      <c r="OSR15" s="1"/>
      <c r="OSS15" s="1"/>
      <c r="OST15" s="1"/>
      <c r="OSU15" s="1"/>
      <c r="OSV15" s="1"/>
      <c r="OSW15" s="1"/>
      <c r="OSX15" s="1"/>
      <c r="OSY15" s="1"/>
      <c r="OSZ15" s="1"/>
      <c r="OTA15" s="1"/>
      <c r="OTB15" s="1"/>
      <c r="OTC15" s="1"/>
      <c r="OTD15" s="1"/>
      <c r="OTE15" s="1"/>
      <c r="OTF15" s="1"/>
      <c r="OTG15" s="1"/>
      <c r="OTH15" s="1"/>
      <c r="OTI15" s="1"/>
      <c r="OTJ15" s="1"/>
      <c r="OTK15" s="1"/>
      <c r="OTL15" s="1"/>
      <c r="OTM15" s="1"/>
      <c r="OTN15" s="1"/>
      <c r="OTO15" s="1"/>
      <c r="OTP15" s="1"/>
      <c r="OTQ15" s="1"/>
      <c r="OTR15" s="1"/>
      <c r="OTS15" s="1"/>
      <c r="OTT15" s="1"/>
      <c r="OTU15" s="1"/>
      <c r="OTV15" s="1"/>
      <c r="OTW15" s="1"/>
      <c r="OTX15" s="1"/>
      <c r="OTY15" s="1"/>
      <c r="OTZ15" s="1"/>
      <c r="OUA15" s="1"/>
      <c r="OUB15" s="1"/>
      <c r="OUC15" s="1"/>
      <c r="OUD15" s="1"/>
      <c r="OUE15" s="1"/>
      <c r="OUF15" s="1"/>
      <c r="OUG15" s="1"/>
      <c r="OUH15" s="1"/>
      <c r="OUI15" s="1"/>
      <c r="OUJ15" s="1"/>
      <c r="OUK15" s="1"/>
      <c r="OUL15" s="1"/>
      <c r="OUM15" s="1"/>
      <c r="OUN15" s="1"/>
      <c r="OUO15" s="1"/>
      <c r="OUP15" s="1"/>
      <c r="OUQ15" s="1"/>
      <c r="OUR15" s="1"/>
      <c r="OUS15" s="1"/>
      <c r="OUT15" s="1"/>
      <c r="OUU15" s="1"/>
      <c r="OUV15" s="1"/>
      <c r="OUW15" s="1"/>
      <c r="OUX15" s="1"/>
      <c r="OUY15" s="1"/>
      <c r="OUZ15" s="1"/>
      <c r="OVA15" s="1"/>
      <c r="OVB15" s="1"/>
      <c r="OVC15" s="1"/>
      <c r="OVD15" s="1"/>
      <c r="OVE15" s="1"/>
      <c r="OVF15" s="1"/>
      <c r="OVG15" s="1"/>
      <c r="OVH15" s="1"/>
      <c r="OVI15" s="1"/>
      <c r="OVJ15" s="1"/>
      <c r="OVK15" s="1"/>
      <c r="OVL15" s="1"/>
      <c r="OVM15" s="1"/>
      <c r="OVN15" s="1"/>
      <c r="OVO15" s="1"/>
      <c r="OVP15" s="1"/>
      <c r="OVQ15" s="1"/>
      <c r="OVR15" s="1"/>
      <c r="OVS15" s="1"/>
      <c r="OVT15" s="1"/>
      <c r="OVU15" s="1"/>
      <c r="OVV15" s="1"/>
      <c r="OVW15" s="1"/>
      <c r="OVX15" s="1"/>
      <c r="OVY15" s="1"/>
      <c r="OVZ15" s="1"/>
      <c r="OWA15" s="1"/>
      <c r="OWB15" s="1"/>
      <c r="OWC15" s="1"/>
      <c r="OWD15" s="1"/>
      <c r="OWE15" s="1"/>
      <c r="OWF15" s="1"/>
      <c r="OWG15" s="1"/>
      <c r="OWH15" s="1"/>
      <c r="OWI15" s="1"/>
      <c r="OWJ15" s="1"/>
      <c r="OWK15" s="1"/>
      <c r="OWL15" s="1"/>
      <c r="OWM15" s="1"/>
      <c r="OWN15" s="1"/>
      <c r="OWO15" s="1"/>
      <c r="OWP15" s="1"/>
      <c r="OWQ15" s="1"/>
      <c r="OWR15" s="1"/>
      <c r="OWS15" s="1"/>
      <c r="OWT15" s="1"/>
      <c r="OWU15" s="1"/>
      <c r="OWV15" s="1"/>
      <c r="OWW15" s="1"/>
      <c r="OWX15" s="1"/>
      <c r="OWY15" s="1"/>
      <c r="OWZ15" s="1"/>
      <c r="OXA15" s="1"/>
      <c r="OXB15" s="1"/>
      <c r="OXC15" s="1"/>
      <c r="OXD15" s="1"/>
      <c r="OXE15" s="1"/>
      <c r="OXF15" s="1"/>
      <c r="OXG15" s="1"/>
      <c r="OXH15" s="1"/>
      <c r="OXI15" s="1"/>
      <c r="OXJ15" s="1"/>
      <c r="OXK15" s="1"/>
      <c r="OXL15" s="1"/>
      <c r="OXM15" s="1"/>
      <c r="OXN15" s="1"/>
      <c r="OXO15" s="1"/>
      <c r="OXP15" s="1"/>
      <c r="OXQ15" s="1"/>
      <c r="OXR15" s="1"/>
      <c r="OXS15" s="1"/>
      <c r="OXT15" s="1"/>
      <c r="OXU15" s="1"/>
      <c r="OXV15" s="1"/>
      <c r="OXW15" s="1"/>
      <c r="OXX15" s="1"/>
      <c r="OXY15" s="1"/>
      <c r="OXZ15" s="1"/>
      <c r="OYA15" s="1"/>
      <c r="OYB15" s="1"/>
      <c r="OYC15" s="1"/>
      <c r="OYD15" s="1"/>
      <c r="OYE15" s="1"/>
      <c r="OYF15" s="1"/>
      <c r="OYG15" s="1"/>
      <c r="OYH15" s="1"/>
      <c r="OYI15" s="1"/>
      <c r="OYJ15" s="1"/>
      <c r="OYK15" s="1"/>
      <c r="OYL15" s="1"/>
      <c r="OYM15" s="1"/>
      <c r="OYN15" s="1"/>
      <c r="OYO15" s="1"/>
      <c r="OYP15" s="1"/>
      <c r="OYQ15" s="1"/>
      <c r="OYR15" s="1"/>
      <c r="OYS15" s="1"/>
      <c r="OYT15" s="1"/>
      <c r="OYU15" s="1"/>
      <c r="OYV15" s="1"/>
      <c r="OYW15" s="1"/>
      <c r="OYX15" s="1"/>
      <c r="OYY15" s="1"/>
      <c r="OYZ15" s="1"/>
      <c r="OZA15" s="1"/>
      <c r="OZB15" s="1"/>
      <c r="OZC15" s="1"/>
      <c r="OZD15" s="1"/>
      <c r="OZE15" s="1"/>
      <c r="OZF15" s="1"/>
      <c r="OZG15" s="1"/>
      <c r="OZH15" s="1"/>
      <c r="OZI15" s="1"/>
      <c r="OZJ15" s="1"/>
      <c r="OZK15" s="1"/>
      <c r="OZL15" s="1"/>
      <c r="OZM15" s="1"/>
      <c r="OZN15" s="1"/>
      <c r="OZO15" s="1"/>
      <c r="OZP15" s="1"/>
      <c r="OZQ15" s="1"/>
      <c r="OZR15" s="1"/>
      <c r="OZS15" s="1"/>
      <c r="OZT15" s="1"/>
      <c r="OZU15" s="1"/>
      <c r="OZV15" s="1"/>
      <c r="OZW15" s="1"/>
      <c r="OZX15" s="1"/>
      <c r="OZY15" s="1"/>
      <c r="OZZ15" s="1"/>
      <c r="PAA15" s="1"/>
      <c r="PAB15" s="1"/>
      <c r="PAC15" s="1"/>
      <c r="PAD15" s="1"/>
      <c r="PAE15" s="1"/>
      <c r="PAF15" s="1"/>
      <c r="PAG15" s="1"/>
      <c r="PAH15" s="1"/>
      <c r="PAI15" s="1"/>
      <c r="PAJ15" s="1"/>
      <c r="PAK15" s="1"/>
      <c r="PAL15" s="1"/>
      <c r="PAM15" s="1"/>
      <c r="PAN15" s="1"/>
      <c r="PAO15" s="1"/>
      <c r="PAP15" s="1"/>
      <c r="PAQ15" s="1"/>
      <c r="PAR15" s="1"/>
      <c r="PAS15" s="1"/>
      <c r="PAT15" s="1"/>
      <c r="PAU15" s="1"/>
      <c r="PAV15" s="1"/>
      <c r="PAW15" s="1"/>
      <c r="PAX15" s="1"/>
      <c r="PAY15" s="1"/>
      <c r="PAZ15" s="1"/>
      <c r="PBA15" s="1"/>
      <c r="PBB15" s="1"/>
      <c r="PBC15" s="1"/>
      <c r="PBD15" s="1"/>
      <c r="PBE15" s="1"/>
      <c r="PBF15" s="1"/>
      <c r="PBG15" s="1"/>
      <c r="PBH15" s="1"/>
      <c r="PBI15" s="1"/>
      <c r="PBJ15" s="1"/>
      <c r="PBK15" s="1"/>
      <c r="PBL15" s="1"/>
      <c r="PBM15" s="1"/>
      <c r="PBN15" s="1"/>
      <c r="PBO15" s="1"/>
      <c r="PBP15" s="1"/>
      <c r="PBQ15" s="1"/>
      <c r="PBR15" s="1"/>
      <c r="PBS15" s="1"/>
      <c r="PBT15" s="1"/>
      <c r="PBU15" s="1"/>
      <c r="PBV15" s="1"/>
      <c r="PBW15" s="1"/>
      <c r="PBX15" s="1"/>
      <c r="PBY15" s="1"/>
      <c r="PBZ15" s="1"/>
      <c r="PCA15" s="1"/>
      <c r="PCB15" s="1"/>
      <c r="PCC15" s="1"/>
      <c r="PCD15" s="1"/>
      <c r="PCE15" s="1"/>
      <c r="PCF15" s="1"/>
      <c r="PCG15" s="1"/>
      <c r="PCH15" s="1"/>
      <c r="PCI15" s="1"/>
      <c r="PCJ15" s="1"/>
      <c r="PCK15" s="1"/>
      <c r="PCL15" s="1"/>
      <c r="PCM15" s="1"/>
      <c r="PCN15" s="1"/>
      <c r="PCO15" s="1"/>
      <c r="PCP15" s="1"/>
      <c r="PCQ15" s="1"/>
      <c r="PCR15" s="1"/>
      <c r="PCS15" s="1"/>
      <c r="PCT15" s="1"/>
      <c r="PCU15" s="1"/>
      <c r="PCV15" s="1"/>
      <c r="PCW15" s="1"/>
      <c r="PCX15" s="1"/>
      <c r="PCY15" s="1"/>
      <c r="PCZ15" s="1"/>
      <c r="PDA15" s="1"/>
      <c r="PDB15" s="1"/>
      <c r="PDC15" s="1"/>
      <c r="PDD15" s="1"/>
      <c r="PDE15" s="1"/>
      <c r="PDF15" s="1"/>
      <c r="PDG15" s="1"/>
      <c r="PDH15" s="1"/>
      <c r="PDI15" s="1"/>
      <c r="PDJ15" s="1"/>
      <c r="PDK15" s="1"/>
      <c r="PDL15" s="1"/>
      <c r="PDM15" s="1"/>
      <c r="PDN15" s="1"/>
      <c r="PDO15" s="1"/>
      <c r="PDP15" s="1"/>
      <c r="PDQ15" s="1"/>
      <c r="PDR15" s="1"/>
      <c r="PDS15" s="1"/>
      <c r="PDT15" s="1"/>
      <c r="PDU15" s="1"/>
      <c r="PDV15" s="1"/>
      <c r="PDW15" s="1"/>
      <c r="PDX15" s="1"/>
      <c r="PDY15" s="1"/>
      <c r="PDZ15" s="1"/>
      <c r="PEA15" s="1"/>
      <c r="PEB15" s="1"/>
      <c r="PEC15" s="1"/>
      <c r="PED15" s="1"/>
      <c r="PEE15" s="1"/>
      <c r="PEF15" s="1"/>
      <c r="PEG15" s="1"/>
      <c r="PEH15" s="1"/>
      <c r="PEI15" s="1"/>
      <c r="PEJ15" s="1"/>
      <c r="PEK15" s="1"/>
      <c r="PEL15" s="1"/>
      <c r="PEM15" s="1"/>
      <c r="PEN15" s="1"/>
      <c r="PEO15" s="1"/>
      <c r="PEP15" s="1"/>
      <c r="PEQ15" s="1"/>
      <c r="PER15" s="1"/>
      <c r="PES15" s="1"/>
      <c r="PET15" s="1"/>
      <c r="PEU15" s="1"/>
      <c r="PEV15" s="1"/>
      <c r="PEW15" s="1"/>
      <c r="PEX15" s="1"/>
      <c r="PEY15" s="1"/>
      <c r="PEZ15" s="1"/>
      <c r="PFA15" s="1"/>
      <c r="PFB15" s="1"/>
      <c r="PFC15" s="1"/>
      <c r="PFD15" s="1"/>
      <c r="PFE15" s="1"/>
      <c r="PFF15" s="1"/>
      <c r="PFG15" s="1"/>
      <c r="PFH15" s="1"/>
      <c r="PFI15" s="1"/>
      <c r="PFJ15" s="1"/>
      <c r="PFK15" s="1"/>
      <c r="PFL15" s="1"/>
      <c r="PFM15" s="1"/>
      <c r="PFN15" s="1"/>
      <c r="PFO15" s="1"/>
      <c r="PFP15" s="1"/>
      <c r="PFQ15" s="1"/>
      <c r="PFR15" s="1"/>
      <c r="PFS15" s="1"/>
      <c r="PFT15" s="1"/>
      <c r="PFU15" s="1"/>
      <c r="PFV15" s="1"/>
      <c r="PFW15" s="1"/>
      <c r="PFX15" s="1"/>
      <c r="PFY15" s="1"/>
      <c r="PFZ15" s="1"/>
      <c r="PGA15" s="1"/>
      <c r="PGB15" s="1"/>
      <c r="PGC15" s="1"/>
      <c r="PGD15" s="1"/>
      <c r="PGE15" s="1"/>
      <c r="PGF15" s="1"/>
      <c r="PGG15" s="1"/>
      <c r="PGH15" s="1"/>
      <c r="PGI15" s="1"/>
      <c r="PGJ15" s="1"/>
      <c r="PGK15" s="1"/>
      <c r="PGL15" s="1"/>
      <c r="PGM15" s="1"/>
      <c r="PGN15" s="1"/>
      <c r="PGO15" s="1"/>
      <c r="PGP15" s="1"/>
      <c r="PGQ15" s="1"/>
      <c r="PGR15" s="1"/>
      <c r="PGS15" s="1"/>
      <c r="PGT15" s="1"/>
      <c r="PGU15" s="1"/>
      <c r="PGV15" s="1"/>
      <c r="PGW15" s="1"/>
      <c r="PGX15" s="1"/>
      <c r="PGY15" s="1"/>
      <c r="PGZ15" s="1"/>
      <c r="PHA15" s="1"/>
      <c r="PHB15" s="1"/>
      <c r="PHC15" s="1"/>
      <c r="PHD15" s="1"/>
      <c r="PHE15" s="1"/>
      <c r="PHF15" s="1"/>
      <c r="PHG15" s="1"/>
      <c r="PHH15" s="1"/>
      <c r="PHI15" s="1"/>
      <c r="PHJ15" s="1"/>
      <c r="PHK15" s="1"/>
      <c r="PHL15" s="1"/>
      <c r="PHM15" s="1"/>
      <c r="PHN15" s="1"/>
      <c r="PHO15" s="1"/>
      <c r="PHP15" s="1"/>
      <c r="PHQ15" s="1"/>
      <c r="PHR15" s="1"/>
      <c r="PHS15" s="1"/>
      <c r="PHT15" s="1"/>
      <c r="PHU15" s="1"/>
      <c r="PHV15" s="1"/>
      <c r="PHW15" s="1"/>
      <c r="PHX15" s="1"/>
      <c r="PHY15" s="1"/>
      <c r="PHZ15" s="1"/>
      <c r="PIA15" s="1"/>
      <c r="PIB15" s="1"/>
      <c r="PIC15" s="1"/>
      <c r="PID15" s="1"/>
      <c r="PIE15" s="1"/>
      <c r="PIF15" s="1"/>
      <c r="PIG15" s="1"/>
      <c r="PIH15" s="1"/>
      <c r="PII15" s="1"/>
      <c r="PIJ15" s="1"/>
      <c r="PIK15" s="1"/>
      <c r="PIL15" s="1"/>
      <c r="PIM15" s="1"/>
      <c r="PIN15" s="1"/>
      <c r="PIO15" s="1"/>
      <c r="PIP15" s="1"/>
      <c r="PIQ15" s="1"/>
      <c r="PIR15" s="1"/>
      <c r="PIS15" s="1"/>
      <c r="PIT15" s="1"/>
      <c r="PIU15" s="1"/>
      <c r="PIV15" s="1"/>
      <c r="PIW15" s="1"/>
      <c r="PIX15" s="1"/>
      <c r="PIY15" s="1"/>
      <c r="PIZ15" s="1"/>
      <c r="PJA15" s="1"/>
      <c r="PJB15" s="1"/>
      <c r="PJC15" s="1"/>
      <c r="PJD15" s="1"/>
      <c r="PJE15" s="1"/>
      <c r="PJF15" s="1"/>
      <c r="PJG15" s="1"/>
      <c r="PJH15" s="1"/>
      <c r="PJI15" s="1"/>
      <c r="PJJ15" s="1"/>
      <c r="PJK15" s="1"/>
      <c r="PJL15" s="1"/>
      <c r="PJM15" s="1"/>
      <c r="PJN15" s="1"/>
      <c r="PJO15" s="1"/>
      <c r="PJP15" s="1"/>
      <c r="PJQ15" s="1"/>
      <c r="PJR15" s="1"/>
      <c r="PJS15" s="1"/>
      <c r="PJT15" s="1"/>
      <c r="PJU15" s="1"/>
      <c r="PJV15" s="1"/>
      <c r="PJW15" s="1"/>
      <c r="PJX15" s="1"/>
      <c r="PJY15" s="1"/>
      <c r="PJZ15" s="1"/>
      <c r="PKA15" s="1"/>
      <c r="PKB15" s="1"/>
      <c r="PKC15" s="1"/>
      <c r="PKD15" s="1"/>
      <c r="PKE15" s="1"/>
      <c r="PKF15" s="1"/>
      <c r="PKG15" s="1"/>
      <c r="PKH15" s="1"/>
      <c r="PKI15" s="1"/>
      <c r="PKJ15" s="1"/>
      <c r="PKK15" s="1"/>
      <c r="PKL15" s="1"/>
      <c r="PKM15" s="1"/>
      <c r="PKN15" s="1"/>
      <c r="PKO15" s="1"/>
      <c r="PKP15" s="1"/>
      <c r="PKQ15" s="1"/>
      <c r="PKR15" s="1"/>
      <c r="PKS15" s="1"/>
      <c r="PKT15" s="1"/>
      <c r="PKU15" s="1"/>
      <c r="PKV15" s="1"/>
      <c r="PKW15" s="1"/>
      <c r="PKX15" s="1"/>
      <c r="PKY15" s="1"/>
      <c r="PKZ15" s="1"/>
      <c r="PLA15" s="1"/>
      <c r="PLB15" s="1"/>
      <c r="PLC15" s="1"/>
      <c r="PLD15" s="1"/>
      <c r="PLE15" s="1"/>
      <c r="PLF15" s="1"/>
      <c r="PLG15" s="1"/>
      <c r="PLH15" s="1"/>
      <c r="PLI15" s="1"/>
      <c r="PLJ15" s="1"/>
      <c r="PLK15" s="1"/>
      <c r="PLL15" s="1"/>
      <c r="PLM15" s="1"/>
      <c r="PLN15" s="1"/>
      <c r="PLO15" s="1"/>
      <c r="PLP15" s="1"/>
      <c r="PLQ15" s="1"/>
      <c r="PLR15" s="1"/>
      <c r="PLS15" s="1"/>
      <c r="PLT15" s="1"/>
      <c r="PLU15" s="1"/>
      <c r="PLV15" s="1"/>
      <c r="PLW15" s="1"/>
      <c r="PLX15" s="1"/>
      <c r="PLY15" s="1"/>
      <c r="PLZ15" s="1"/>
      <c r="PMA15" s="1"/>
      <c r="PMB15" s="1"/>
      <c r="PMC15" s="1"/>
      <c r="PMD15" s="1"/>
      <c r="PME15" s="1"/>
      <c r="PMF15" s="1"/>
      <c r="PMG15" s="1"/>
      <c r="PMH15" s="1"/>
      <c r="PMI15" s="1"/>
      <c r="PMJ15" s="1"/>
      <c r="PMK15" s="1"/>
      <c r="PML15" s="1"/>
      <c r="PMM15" s="1"/>
      <c r="PMN15" s="1"/>
      <c r="PMO15" s="1"/>
      <c r="PMP15" s="1"/>
      <c r="PMQ15" s="1"/>
      <c r="PMR15" s="1"/>
      <c r="PMS15" s="1"/>
      <c r="PMT15" s="1"/>
      <c r="PMU15" s="1"/>
      <c r="PMV15" s="1"/>
      <c r="PMW15" s="1"/>
      <c r="PMX15" s="1"/>
      <c r="PMY15" s="1"/>
      <c r="PMZ15" s="1"/>
      <c r="PNA15" s="1"/>
      <c r="PNB15" s="1"/>
      <c r="PNC15" s="1"/>
      <c r="PND15" s="1"/>
      <c r="PNE15" s="1"/>
      <c r="PNF15" s="1"/>
      <c r="PNG15" s="1"/>
      <c r="PNH15" s="1"/>
      <c r="PNI15" s="1"/>
      <c r="PNJ15" s="1"/>
      <c r="PNK15" s="1"/>
      <c r="PNL15" s="1"/>
      <c r="PNM15" s="1"/>
      <c r="PNN15" s="1"/>
      <c r="PNO15" s="1"/>
      <c r="PNP15" s="1"/>
      <c r="PNQ15" s="1"/>
      <c r="PNR15" s="1"/>
      <c r="PNS15" s="1"/>
      <c r="PNT15" s="1"/>
      <c r="PNU15" s="1"/>
      <c r="PNV15" s="1"/>
      <c r="PNW15" s="1"/>
      <c r="PNX15" s="1"/>
      <c r="PNY15" s="1"/>
      <c r="PNZ15" s="1"/>
      <c r="POA15" s="1"/>
      <c r="POB15" s="1"/>
      <c r="POC15" s="1"/>
      <c r="POD15" s="1"/>
      <c r="POE15" s="1"/>
      <c r="POF15" s="1"/>
      <c r="POG15" s="1"/>
      <c r="POH15" s="1"/>
      <c r="POI15" s="1"/>
      <c r="POJ15" s="1"/>
      <c r="POK15" s="1"/>
      <c r="POL15" s="1"/>
      <c r="POM15" s="1"/>
      <c r="PON15" s="1"/>
      <c r="POO15" s="1"/>
      <c r="POP15" s="1"/>
      <c r="POQ15" s="1"/>
      <c r="POR15" s="1"/>
      <c r="POS15" s="1"/>
      <c r="POT15" s="1"/>
      <c r="POU15" s="1"/>
      <c r="POV15" s="1"/>
      <c r="POW15" s="1"/>
      <c r="POX15" s="1"/>
      <c r="POY15" s="1"/>
      <c r="POZ15" s="1"/>
      <c r="PPA15" s="1"/>
      <c r="PPB15" s="1"/>
      <c r="PPC15" s="1"/>
      <c r="PPD15" s="1"/>
      <c r="PPE15" s="1"/>
      <c r="PPF15" s="1"/>
      <c r="PPG15" s="1"/>
      <c r="PPH15" s="1"/>
      <c r="PPI15" s="1"/>
      <c r="PPJ15" s="1"/>
      <c r="PPK15" s="1"/>
      <c r="PPL15" s="1"/>
      <c r="PPM15" s="1"/>
      <c r="PPN15" s="1"/>
      <c r="PPO15" s="1"/>
      <c r="PPP15" s="1"/>
      <c r="PPQ15" s="1"/>
      <c r="PPR15" s="1"/>
      <c r="PPS15" s="1"/>
      <c r="PPT15" s="1"/>
      <c r="PPU15" s="1"/>
      <c r="PPV15" s="1"/>
      <c r="PPW15" s="1"/>
      <c r="PPX15" s="1"/>
      <c r="PPY15" s="1"/>
      <c r="PPZ15" s="1"/>
      <c r="PQA15" s="1"/>
      <c r="PQB15" s="1"/>
      <c r="PQC15" s="1"/>
      <c r="PQD15" s="1"/>
      <c r="PQE15" s="1"/>
      <c r="PQF15" s="1"/>
      <c r="PQG15" s="1"/>
      <c r="PQH15" s="1"/>
      <c r="PQI15" s="1"/>
      <c r="PQJ15" s="1"/>
      <c r="PQK15" s="1"/>
      <c r="PQL15" s="1"/>
      <c r="PQM15" s="1"/>
      <c r="PQN15" s="1"/>
      <c r="PQO15" s="1"/>
      <c r="PQP15" s="1"/>
      <c r="PQQ15" s="1"/>
      <c r="PQR15" s="1"/>
      <c r="PQS15" s="1"/>
      <c r="PQT15" s="1"/>
      <c r="PQU15" s="1"/>
      <c r="PQV15" s="1"/>
      <c r="PQW15" s="1"/>
      <c r="PQX15" s="1"/>
      <c r="PQY15" s="1"/>
      <c r="PQZ15" s="1"/>
      <c r="PRA15" s="1"/>
      <c r="PRB15" s="1"/>
      <c r="PRC15" s="1"/>
      <c r="PRD15" s="1"/>
      <c r="PRE15" s="1"/>
      <c r="PRF15" s="1"/>
      <c r="PRG15" s="1"/>
      <c r="PRH15" s="1"/>
      <c r="PRI15" s="1"/>
      <c r="PRJ15" s="1"/>
      <c r="PRK15" s="1"/>
      <c r="PRL15" s="1"/>
      <c r="PRM15" s="1"/>
      <c r="PRN15" s="1"/>
      <c r="PRO15" s="1"/>
      <c r="PRP15" s="1"/>
      <c r="PRQ15" s="1"/>
      <c r="PRR15" s="1"/>
      <c r="PRS15" s="1"/>
      <c r="PRT15" s="1"/>
      <c r="PRU15" s="1"/>
      <c r="PRV15" s="1"/>
      <c r="PRW15" s="1"/>
      <c r="PRX15" s="1"/>
      <c r="PRY15" s="1"/>
      <c r="PRZ15" s="1"/>
      <c r="PSA15" s="1"/>
      <c r="PSB15" s="1"/>
      <c r="PSC15" s="1"/>
      <c r="PSD15" s="1"/>
      <c r="PSE15" s="1"/>
      <c r="PSF15" s="1"/>
      <c r="PSG15" s="1"/>
      <c r="PSH15" s="1"/>
      <c r="PSI15" s="1"/>
      <c r="PSJ15" s="1"/>
      <c r="PSK15" s="1"/>
      <c r="PSL15" s="1"/>
      <c r="PSM15" s="1"/>
      <c r="PSN15" s="1"/>
      <c r="PSO15" s="1"/>
      <c r="PSP15" s="1"/>
      <c r="PSQ15" s="1"/>
      <c r="PSR15" s="1"/>
      <c r="PSS15" s="1"/>
      <c r="PST15" s="1"/>
      <c r="PSU15" s="1"/>
      <c r="PSV15" s="1"/>
      <c r="PSW15" s="1"/>
      <c r="PSX15" s="1"/>
      <c r="PSY15" s="1"/>
      <c r="PSZ15" s="1"/>
      <c r="PTA15" s="1"/>
      <c r="PTB15" s="1"/>
      <c r="PTC15" s="1"/>
      <c r="PTD15" s="1"/>
      <c r="PTE15" s="1"/>
      <c r="PTF15" s="1"/>
      <c r="PTG15" s="1"/>
      <c r="PTH15" s="1"/>
      <c r="PTI15" s="1"/>
      <c r="PTJ15" s="1"/>
      <c r="PTK15" s="1"/>
      <c r="PTL15" s="1"/>
      <c r="PTM15" s="1"/>
      <c r="PTN15" s="1"/>
      <c r="PTO15" s="1"/>
      <c r="PTP15" s="1"/>
      <c r="PTQ15" s="1"/>
      <c r="PTR15" s="1"/>
      <c r="PTS15" s="1"/>
      <c r="PTT15" s="1"/>
      <c r="PTU15" s="1"/>
      <c r="PTV15" s="1"/>
      <c r="PTW15" s="1"/>
      <c r="PTX15" s="1"/>
      <c r="PTY15" s="1"/>
      <c r="PTZ15" s="1"/>
      <c r="PUA15" s="1"/>
      <c r="PUB15" s="1"/>
      <c r="PUC15" s="1"/>
      <c r="PUD15" s="1"/>
      <c r="PUE15" s="1"/>
      <c r="PUF15" s="1"/>
      <c r="PUG15" s="1"/>
      <c r="PUH15" s="1"/>
      <c r="PUI15" s="1"/>
      <c r="PUJ15" s="1"/>
      <c r="PUK15" s="1"/>
      <c r="PUL15" s="1"/>
      <c r="PUM15" s="1"/>
      <c r="PUN15" s="1"/>
      <c r="PUO15" s="1"/>
      <c r="PUP15" s="1"/>
      <c r="PUQ15" s="1"/>
      <c r="PUR15" s="1"/>
      <c r="PUS15" s="1"/>
      <c r="PUT15" s="1"/>
      <c r="PUU15" s="1"/>
      <c r="PUV15" s="1"/>
      <c r="PUW15" s="1"/>
      <c r="PUX15" s="1"/>
      <c r="PUY15" s="1"/>
      <c r="PUZ15" s="1"/>
      <c r="PVA15" s="1"/>
      <c r="PVB15" s="1"/>
      <c r="PVC15" s="1"/>
      <c r="PVD15" s="1"/>
      <c r="PVE15" s="1"/>
      <c r="PVF15" s="1"/>
      <c r="PVG15" s="1"/>
      <c r="PVH15" s="1"/>
      <c r="PVI15" s="1"/>
      <c r="PVJ15" s="1"/>
      <c r="PVK15" s="1"/>
      <c r="PVL15" s="1"/>
      <c r="PVM15" s="1"/>
      <c r="PVN15" s="1"/>
      <c r="PVO15" s="1"/>
      <c r="PVP15" s="1"/>
      <c r="PVQ15" s="1"/>
      <c r="PVR15" s="1"/>
      <c r="PVS15" s="1"/>
      <c r="PVT15" s="1"/>
      <c r="PVU15" s="1"/>
      <c r="PVV15" s="1"/>
      <c r="PVW15" s="1"/>
      <c r="PVX15" s="1"/>
      <c r="PVY15" s="1"/>
      <c r="PVZ15" s="1"/>
      <c r="PWA15" s="1"/>
      <c r="PWB15" s="1"/>
      <c r="PWC15" s="1"/>
      <c r="PWD15" s="1"/>
      <c r="PWE15" s="1"/>
      <c r="PWF15" s="1"/>
      <c r="PWG15" s="1"/>
      <c r="PWH15" s="1"/>
      <c r="PWI15" s="1"/>
      <c r="PWJ15" s="1"/>
      <c r="PWK15" s="1"/>
      <c r="PWL15" s="1"/>
      <c r="PWM15" s="1"/>
      <c r="PWN15" s="1"/>
      <c r="PWO15" s="1"/>
      <c r="PWP15" s="1"/>
      <c r="PWQ15" s="1"/>
      <c r="PWR15" s="1"/>
      <c r="PWS15" s="1"/>
      <c r="PWT15" s="1"/>
      <c r="PWU15" s="1"/>
      <c r="PWV15" s="1"/>
      <c r="PWW15" s="1"/>
      <c r="PWX15" s="1"/>
      <c r="PWY15" s="1"/>
      <c r="PWZ15" s="1"/>
      <c r="PXA15" s="1"/>
      <c r="PXB15" s="1"/>
      <c r="PXC15" s="1"/>
      <c r="PXD15" s="1"/>
      <c r="PXE15" s="1"/>
      <c r="PXF15" s="1"/>
      <c r="PXG15" s="1"/>
      <c r="PXH15" s="1"/>
      <c r="PXI15" s="1"/>
      <c r="PXJ15" s="1"/>
      <c r="PXK15" s="1"/>
      <c r="PXL15" s="1"/>
      <c r="PXM15" s="1"/>
      <c r="PXN15" s="1"/>
      <c r="PXO15" s="1"/>
      <c r="PXP15" s="1"/>
      <c r="PXQ15" s="1"/>
      <c r="PXR15" s="1"/>
      <c r="PXS15" s="1"/>
      <c r="PXT15" s="1"/>
      <c r="PXU15" s="1"/>
      <c r="PXV15" s="1"/>
      <c r="PXW15" s="1"/>
      <c r="PXX15" s="1"/>
      <c r="PXY15" s="1"/>
      <c r="PXZ15" s="1"/>
      <c r="PYA15" s="1"/>
      <c r="PYB15" s="1"/>
      <c r="PYC15" s="1"/>
      <c r="PYD15" s="1"/>
      <c r="PYE15" s="1"/>
      <c r="PYF15" s="1"/>
      <c r="PYG15" s="1"/>
      <c r="PYH15" s="1"/>
      <c r="PYI15" s="1"/>
      <c r="PYJ15" s="1"/>
      <c r="PYK15" s="1"/>
      <c r="PYL15" s="1"/>
      <c r="PYM15" s="1"/>
      <c r="PYN15" s="1"/>
      <c r="PYO15" s="1"/>
      <c r="PYP15" s="1"/>
      <c r="PYQ15" s="1"/>
      <c r="PYR15" s="1"/>
      <c r="PYS15" s="1"/>
      <c r="PYT15" s="1"/>
      <c r="PYU15" s="1"/>
      <c r="PYV15" s="1"/>
      <c r="PYW15" s="1"/>
      <c r="PYX15" s="1"/>
      <c r="PYY15" s="1"/>
      <c r="PYZ15" s="1"/>
      <c r="PZA15" s="1"/>
      <c r="PZB15" s="1"/>
      <c r="PZC15" s="1"/>
      <c r="PZD15" s="1"/>
      <c r="PZE15" s="1"/>
      <c r="PZF15" s="1"/>
      <c r="PZG15" s="1"/>
      <c r="PZH15" s="1"/>
      <c r="PZI15" s="1"/>
      <c r="PZJ15" s="1"/>
      <c r="PZK15" s="1"/>
      <c r="PZL15" s="1"/>
      <c r="PZM15" s="1"/>
      <c r="PZN15" s="1"/>
      <c r="PZO15" s="1"/>
      <c r="PZP15" s="1"/>
      <c r="PZQ15" s="1"/>
      <c r="PZR15" s="1"/>
      <c r="PZS15" s="1"/>
      <c r="PZT15" s="1"/>
      <c r="PZU15" s="1"/>
      <c r="PZV15" s="1"/>
      <c r="PZW15" s="1"/>
      <c r="PZX15" s="1"/>
      <c r="PZY15" s="1"/>
      <c r="PZZ15" s="1"/>
      <c r="QAA15" s="1"/>
      <c r="QAB15" s="1"/>
      <c r="QAC15" s="1"/>
      <c r="QAD15" s="1"/>
      <c r="QAE15" s="1"/>
      <c r="QAF15" s="1"/>
      <c r="QAG15" s="1"/>
      <c r="QAH15" s="1"/>
      <c r="QAI15" s="1"/>
      <c r="QAJ15" s="1"/>
      <c r="QAK15" s="1"/>
      <c r="QAL15" s="1"/>
      <c r="QAM15" s="1"/>
      <c r="QAN15" s="1"/>
      <c r="QAO15" s="1"/>
      <c r="QAP15" s="1"/>
      <c r="QAQ15" s="1"/>
      <c r="QAR15" s="1"/>
      <c r="QAS15" s="1"/>
      <c r="QAT15" s="1"/>
      <c r="QAU15" s="1"/>
      <c r="QAV15" s="1"/>
      <c r="QAW15" s="1"/>
      <c r="QAX15" s="1"/>
      <c r="QAY15" s="1"/>
      <c r="QAZ15" s="1"/>
      <c r="QBA15" s="1"/>
      <c r="QBB15" s="1"/>
      <c r="QBC15" s="1"/>
      <c r="QBD15" s="1"/>
      <c r="QBE15" s="1"/>
      <c r="QBF15" s="1"/>
      <c r="QBG15" s="1"/>
      <c r="QBH15" s="1"/>
      <c r="QBI15" s="1"/>
      <c r="QBJ15" s="1"/>
      <c r="QBK15" s="1"/>
      <c r="QBL15" s="1"/>
      <c r="QBM15" s="1"/>
      <c r="QBN15" s="1"/>
      <c r="QBO15" s="1"/>
      <c r="QBP15" s="1"/>
      <c r="QBQ15" s="1"/>
      <c r="QBR15" s="1"/>
      <c r="QBS15" s="1"/>
      <c r="QBT15" s="1"/>
      <c r="QBU15" s="1"/>
      <c r="QBV15" s="1"/>
      <c r="QBW15" s="1"/>
      <c r="QBX15" s="1"/>
      <c r="QBY15" s="1"/>
      <c r="QBZ15" s="1"/>
      <c r="QCA15" s="1"/>
      <c r="QCB15" s="1"/>
      <c r="QCC15" s="1"/>
      <c r="QCD15" s="1"/>
      <c r="QCE15" s="1"/>
      <c r="QCF15" s="1"/>
      <c r="QCG15" s="1"/>
      <c r="QCH15" s="1"/>
      <c r="QCI15" s="1"/>
      <c r="QCJ15" s="1"/>
      <c r="QCK15" s="1"/>
      <c r="QCL15" s="1"/>
      <c r="QCM15" s="1"/>
      <c r="QCN15" s="1"/>
      <c r="QCO15" s="1"/>
      <c r="QCP15" s="1"/>
      <c r="QCQ15" s="1"/>
      <c r="QCR15" s="1"/>
      <c r="QCS15" s="1"/>
      <c r="QCT15" s="1"/>
      <c r="QCU15" s="1"/>
      <c r="QCV15" s="1"/>
      <c r="QCW15" s="1"/>
      <c r="QCX15" s="1"/>
      <c r="QCY15" s="1"/>
      <c r="QCZ15" s="1"/>
      <c r="QDA15" s="1"/>
      <c r="QDB15" s="1"/>
      <c r="QDC15" s="1"/>
      <c r="QDD15" s="1"/>
      <c r="QDE15" s="1"/>
      <c r="QDF15" s="1"/>
      <c r="QDG15" s="1"/>
      <c r="QDH15" s="1"/>
      <c r="QDI15" s="1"/>
      <c r="QDJ15" s="1"/>
      <c r="QDK15" s="1"/>
      <c r="QDL15" s="1"/>
      <c r="QDM15" s="1"/>
      <c r="QDN15" s="1"/>
      <c r="QDO15" s="1"/>
      <c r="QDP15" s="1"/>
      <c r="QDQ15" s="1"/>
      <c r="QDR15" s="1"/>
      <c r="QDS15" s="1"/>
      <c r="QDT15" s="1"/>
      <c r="QDU15" s="1"/>
      <c r="QDV15" s="1"/>
      <c r="QDW15" s="1"/>
      <c r="QDX15" s="1"/>
      <c r="QDY15" s="1"/>
      <c r="QDZ15" s="1"/>
      <c r="QEA15" s="1"/>
      <c r="QEB15" s="1"/>
      <c r="QEC15" s="1"/>
      <c r="QED15" s="1"/>
      <c r="QEE15" s="1"/>
      <c r="QEF15" s="1"/>
      <c r="QEG15" s="1"/>
      <c r="QEH15" s="1"/>
      <c r="QEI15" s="1"/>
      <c r="QEJ15" s="1"/>
      <c r="QEK15" s="1"/>
      <c r="QEL15" s="1"/>
      <c r="QEM15" s="1"/>
      <c r="QEN15" s="1"/>
      <c r="QEO15" s="1"/>
      <c r="QEP15" s="1"/>
      <c r="QEQ15" s="1"/>
      <c r="QER15" s="1"/>
      <c r="QES15" s="1"/>
      <c r="QET15" s="1"/>
      <c r="QEU15" s="1"/>
      <c r="QEV15" s="1"/>
      <c r="QEW15" s="1"/>
      <c r="QEX15" s="1"/>
      <c r="QEY15" s="1"/>
      <c r="QEZ15" s="1"/>
      <c r="QFA15" s="1"/>
      <c r="QFB15" s="1"/>
      <c r="QFC15" s="1"/>
      <c r="QFD15" s="1"/>
      <c r="QFE15" s="1"/>
      <c r="QFF15" s="1"/>
      <c r="QFG15" s="1"/>
      <c r="QFH15" s="1"/>
      <c r="QFI15" s="1"/>
      <c r="QFJ15" s="1"/>
      <c r="QFK15" s="1"/>
      <c r="QFL15" s="1"/>
      <c r="QFM15" s="1"/>
      <c r="QFN15" s="1"/>
      <c r="QFO15" s="1"/>
      <c r="QFP15" s="1"/>
      <c r="QFQ15" s="1"/>
      <c r="QFR15" s="1"/>
      <c r="QFS15" s="1"/>
      <c r="QFT15" s="1"/>
      <c r="QFU15" s="1"/>
      <c r="QFV15" s="1"/>
      <c r="QFW15" s="1"/>
      <c r="QFX15" s="1"/>
      <c r="QFY15" s="1"/>
      <c r="QFZ15" s="1"/>
      <c r="QGA15" s="1"/>
      <c r="QGB15" s="1"/>
      <c r="QGC15" s="1"/>
      <c r="QGD15" s="1"/>
      <c r="QGE15" s="1"/>
      <c r="QGF15" s="1"/>
      <c r="QGG15" s="1"/>
      <c r="QGH15" s="1"/>
      <c r="QGI15" s="1"/>
      <c r="QGJ15" s="1"/>
      <c r="QGK15" s="1"/>
      <c r="QGL15" s="1"/>
      <c r="QGM15" s="1"/>
      <c r="QGN15" s="1"/>
      <c r="QGO15" s="1"/>
      <c r="QGP15" s="1"/>
      <c r="QGQ15" s="1"/>
      <c r="QGR15" s="1"/>
      <c r="QGS15" s="1"/>
      <c r="QGT15" s="1"/>
      <c r="QGU15" s="1"/>
      <c r="QGV15" s="1"/>
      <c r="QGW15" s="1"/>
      <c r="QGX15" s="1"/>
      <c r="QGY15" s="1"/>
      <c r="QGZ15" s="1"/>
      <c r="QHA15" s="1"/>
      <c r="QHB15" s="1"/>
      <c r="QHC15" s="1"/>
      <c r="QHD15" s="1"/>
      <c r="QHE15" s="1"/>
      <c r="QHF15" s="1"/>
      <c r="QHG15" s="1"/>
      <c r="QHH15" s="1"/>
      <c r="QHI15" s="1"/>
      <c r="QHJ15" s="1"/>
      <c r="QHK15" s="1"/>
      <c r="QHL15" s="1"/>
      <c r="QHM15" s="1"/>
      <c r="QHN15" s="1"/>
      <c r="QHO15" s="1"/>
      <c r="QHP15" s="1"/>
      <c r="QHQ15" s="1"/>
      <c r="QHR15" s="1"/>
      <c r="QHS15" s="1"/>
      <c r="QHT15" s="1"/>
      <c r="QHU15" s="1"/>
      <c r="QHV15" s="1"/>
      <c r="QHW15" s="1"/>
      <c r="QHX15" s="1"/>
      <c r="QHY15" s="1"/>
      <c r="QHZ15" s="1"/>
      <c r="QIA15" s="1"/>
      <c r="QIB15" s="1"/>
      <c r="QIC15" s="1"/>
      <c r="QID15" s="1"/>
      <c r="QIE15" s="1"/>
      <c r="QIF15" s="1"/>
      <c r="QIG15" s="1"/>
      <c r="QIH15" s="1"/>
      <c r="QII15" s="1"/>
      <c r="QIJ15" s="1"/>
      <c r="QIK15" s="1"/>
      <c r="QIL15" s="1"/>
      <c r="QIM15" s="1"/>
      <c r="QIN15" s="1"/>
      <c r="QIO15" s="1"/>
      <c r="QIP15" s="1"/>
      <c r="QIQ15" s="1"/>
      <c r="QIR15" s="1"/>
      <c r="QIS15" s="1"/>
      <c r="QIT15" s="1"/>
      <c r="QIU15" s="1"/>
      <c r="QIV15" s="1"/>
      <c r="QIW15" s="1"/>
      <c r="QIX15" s="1"/>
      <c r="QIY15" s="1"/>
      <c r="QIZ15" s="1"/>
      <c r="QJA15" s="1"/>
      <c r="QJB15" s="1"/>
      <c r="QJC15" s="1"/>
      <c r="QJD15" s="1"/>
      <c r="QJE15" s="1"/>
      <c r="QJF15" s="1"/>
      <c r="QJG15" s="1"/>
      <c r="QJH15" s="1"/>
      <c r="QJI15" s="1"/>
      <c r="QJJ15" s="1"/>
      <c r="QJK15" s="1"/>
      <c r="QJL15" s="1"/>
      <c r="QJM15" s="1"/>
      <c r="QJN15" s="1"/>
      <c r="QJO15" s="1"/>
      <c r="QJP15" s="1"/>
      <c r="QJQ15" s="1"/>
      <c r="QJR15" s="1"/>
      <c r="QJS15" s="1"/>
      <c r="QJT15" s="1"/>
      <c r="QJU15" s="1"/>
      <c r="QJV15" s="1"/>
      <c r="QJW15" s="1"/>
      <c r="QJX15" s="1"/>
      <c r="QJY15" s="1"/>
      <c r="QJZ15" s="1"/>
      <c r="QKA15" s="1"/>
      <c r="QKB15" s="1"/>
      <c r="QKC15" s="1"/>
      <c r="QKD15" s="1"/>
      <c r="QKE15" s="1"/>
      <c r="QKF15" s="1"/>
      <c r="QKG15" s="1"/>
      <c r="QKH15" s="1"/>
      <c r="QKI15" s="1"/>
      <c r="QKJ15" s="1"/>
      <c r="QKK15" s="1"/>
      <c r="QKL15" s="1"/>
      <c r="QKM15" s="1"/>
      <c r="QKN15" s="1"/>
      <c r="QKO15" s="1"/>
      <c r="QKP15" s="1"/>
      <c r="QKQ15" s="1"/>
      <c r="QKR15" s="1"/>
      <c r="QKS15" s="1"/>
      <c r="QKT15" s="1"/>
      <c r="QKU15" s="1"/>
      <c r="QKV15" s="1"/>
      <c r="QKW15" s="1"/>
      <c r="QKX15" s="1"/>
      <c r="QKY15" s="1"/>
      <c r="QKZ15" s="1"/>
      <c r="QLA15" s="1"/>
      <c r="QLB15" s="1"/>
      <c r="QLC15" s="1"/>
      <c r="QLD15" s="1"/>
      <c r="QLE15" s="1"/>
      <c r="QLF15" s="1"/>
      <c r="QLG15" s="1"/>
      <c r="QLH15" s="1"/>
      <c r="QLI15" s="1"/>
      <c r="QLJ15" s="1"/>
      <c r="QLK15" s="1"/>
      <c r="QLL15" s="1"/>
      <c r="QLM15" s="1"/>
      <c r="QLN15" s="1"/>
      <c r="QLO15" s="1"/>
      <c r="QLP15" s="1"/>
      <c r="QLQ15" s="1"/>
      <c r="QLR15" s="1"/>
      <c r="QLS15" s="1"/>
      <c r="QLT15" s="1"/>
      <c r="QLU15" s="1"/>
      <c r="QLV15" s="1"/>
      <c r="QLW15" s="1"/>
      <c r="QLX15" s="1"/>
      <c r="QLY15" s="1"/>
      <c r="QLZ15" s="1"/>
      <c r="QMA15" s="1"/>
      <c r="QMB15" s="1"/>
      <c r="QMC15" s="1"/>
      <c r="QMD15" s="1"/>
      <c r="QME15" s="1"/>
      <c r="QMF15" s="1"/>
      <c r="QMG15" s="1"/>
      <c r="QMH15" s="1"/>
      <c r="QMI15" s="1"/>
      <c r="QMJ15" s="1"/>
      <c r="QMK15" s="1"/>
      <c r="QML15" s="1"/>
      <c r="QMM15" s="1"/>
      <c r="QMN15" s="1"/>
      <c r="QMO15" s="1"/>
      <c r="QMP15" s="1"/>
      <c r="QMQ15" s="1"/>
      <c r="QMR15" s="1"/>
      <c r="QMS15" s="1"/>
      <c r="QMT15" s="1"/>
      <c r="QMU15" s="1"/>
      <c r="QMV15" s="1"/>
      <c r="QMW15" s="1"/>
      <c r="QMX15" s="1"/>
      <c r="QMY15" s="1"/>
      <c r="QMZ15" s="1"/>
      <c r="QNA15" s="1"/>
      <c r="QNB15" s="1"/>
      <c r="QNC15" s="1"/>
      <c r="QND15" s="1"/>
      <c r="QNE15" s="1"/>
      <c r="QNF15" s="1"/>
      <c r="QNG15" s="1"/>
      <c r="QNH15" s="1"/>
      <c r="QNI15" s="1"/>
      <c r="QNJ15" s="1"/>
      <c r="QNK15" s="1"/>
      <c r="QNL15" s="1"/>
      <c r="QNM15" s="1"/>
      <c r="QNN15" s="1"/>
      <c r="QNO15" s="1"/>
      <c r="QNP15" s="1"/>
      <c r="QNQ15" s="1"/>
      <c r="QNR15" s="1"/>
      <c r="QNS15" s="1"/>
      <c r="QNT15" s="1"/>
      <c r="QNU15" s="1"/>
      <c r="QNV15" s="1"/>
      <c r="QNW15" s="1"/>
      <c r="QNX15" s="1"/>
      <c r="QNY15" s="1"/>
      <c r="QNZ15" s="1"/>
      <c r="QOA15" s="1"/>
      <c r="QOB15" s="1"/>
      <c r="QOC15" s="1"/>
      <c r="QOD15" s="1"/>
      <c r="QOE15" s="1"/>
      <c r="QOF15" s="1"/>
      <c r="QOG15" s="1"/>
      <c r="QOH15" s="1"/>
      <c r="QOI15" s="1"/>
      <c r="QOJ15" s="1"/>
      <c r="QOK15" s="1"/>
      <c r="QOL15" s="1"/>
      <c r="QOM15" s="1"/>
      <c r="QON15" s="1"/>
      <c r="QOO15" s="1"/>
      <c r="QOP15" s="1"/>
      <c r="QOQ15" s="1"/>
      <c r="QOR15" s="1"/>
      <c r="QOS15" s="1"/>
      <c r="QOT15" s="1"/>
      <c r="QOU15" s="1"/>
      <c r="QOV15" s="1"/>
      <c r="QOW15" s="1"/>
      <c r="QOX15" s="1"/>
      <c r="QOY15" s="1"/>
      <c r="QOZ15" s="1"/>
      <c r="QPA15" s="1"/>
      <c r="QPB15" s="1"/>
      <c r="QPC15" s="1"/>
      <c r="QPD15" s="1"/>
      <c r="QPE15" s="1"/>
      <c r="QPF15" s="1"/>
      <c r="QPG15" s="1"/>
      <c r="QPH15" s="1"/>
      <c r="QPI15" s="1"/>
      <c r="QPJ15" s="1"/>
      <c r="QPK15" s="1"/>
      <c r="QPL15" s="1"/>
      <c r="QPM15" s="1"/>
      <c r="QPN15" s="1"/>
      <c r="QPO15" s="1"/>
      <c r="QPP15" s="1"/>
      <c r="QPQ15" s="1"/>
      <c r="QPR15" s="1"/>
      <c r="QPS15" s="1"/>
      <c r="QPT15" s="1"/>
      <c r="QPU15" s="1"/>
      <c r="QPV15" s="1"/>
      <c r="QPW15" s="1"/>
      <c r="QPX15" s="1"/>
      <c r="QPY15" s="1"/>
      <c r="QPZ15" s="1"/>
      <c r="QQA15" s="1"/>
      <c r="QQB15" s="1"/>
      <c r="QQC15" s="1"/>
      <c r="QQD15" s="1"/>
      <c r="QQE15" s="1"/>
      <c r="QQF15" s="1"/>
      <c r="QQG15" s="1"/>
      <c r="QQH15" s="1"/>
      <c r="QQI15" s="1"/>
      <c r="QQJ15" s="1"/>
      <c r="QQK15" s="1"/>
      <c r="QQL15" s="1"/>
      <c r="QQM15" s="1"/>
      <c r="QQN15" s="1"/>
      <c r="QQO15" s="1"/>
      <c r="QQP15" s="1"/>
      <c r="QQQ15" s="1"/>
      <c r="QQR15" s="1"/>
      <c r="QQS15" s="1"/>
      <c r="QQT15" s="1"/>
      <c r="QQU15" s="1"/>
      <c r="QQV15" s="1"/>
      <c r="QQW15" s="1"/>
      <c r="QQX15" s="1"/>
      <c r="QQY15" s="1"/>
      <c r="QQZ15" s="1"/>
      <c r="QRA15" s="1"/>
      <c r="QRB15" s="1"/>
      <c r="QRC15" s="1"/>
      <c r="QRD15" s="1"/>
      <c r="QRE15" s="1"/>
      <c r="QRF15" s="1"/>
      <c r="QRG15" s="1"/>
      <c r="QRH15" s="1"/>
      <c r="QRI15" s="1"/>
      <c r="QRJ15" s="1"/>
      <c r="QRK15" s="1"/>
      <c r="QRL15" s="1"/>
      <c r="QRM15" s="1"/>
      <c r="QRN15" s="1"/>
      <c r="QRO15" s="1"/>
      <c r="QRP15" s="1"/>
      <c r="QRQ15" s="1"/>
      <c r="QRR15" s="1"/>
      <c r="QRS15" s="1"/>
      <c r="QRT15" s="1"/>
      <c r="QRU15" s="1"/>
      <c r="QRV15" s="1"/>
      <c r="QRW15" s="1"/>
      <c r="QRX15" s="1"/>
      <c r="QRY15" s="1"/>
      <c r="QRZ15" s="1"/>
      <c r="QSA15" s="1"/>
      <c r="QSB15" s="1"/>
      <c r="QSC15" s="1"/>
      <c r="QSD15" s="1"/>
      <c r="QSE15" s="1"/>
      <c r="QSF15" s="1"/>
      <c r="QSG15" s="1"/>
      <c r="QSH15" s="1"/>
      <c r="QSI15" s="1"/>
      <c r="QSJ15" s="1"/>
      <c r="QSK15" s="1"/>
      <c r="QSL15" s="1"/>
      <c r="QSM15" s="1"/>
      <c r="QSN15" s="1"/>
      <c r="QSO15" s="1"/>
      <c r="QSP15" s="1"/>
      <c r="QSQ15" s="1"/>
      <c r="QSR15" s="1"/>
      <c r="QSS15" s="1"/>
      <c r="QST15" s="1"/>
      <c r="QSU15" s="1"/>
      <c r="QSV15" s="1"/>
      <c r="QSW15" s="1"/>
      <c r="QSX15" s="1"/>
      <c r="QSY15" s="1"/>
      <c r="QSZ15" s="1"/>
      <c r="QTA15" s="1"/>
      <c r="QTB15" s="1"/>
      <c r="QTC15" s="1"/>
      <c r="QTD15" s="1"/>
      <c r="QTE15" s="1"/>
      <c r="QTF15" s="1"/>
      <c r="QTG15" s="1"/>
      <c r="QTH15" s="1"/>
      <c r="QTI15" s="1"/>
      <c r="QTJ15" s="1"/>
      <c r="QTK15" s="1"/>
      <c r="QTL15" s="1"/>
      <c r="QTM15" s="1"/>
      <c r="QTN15" s="1"/>
      <c r="QTO15" s="1"/>
      <c r="QTP15" s="1"/>
      <c r="QTQ15" s="1"/>
      <c r="QTR15" s="1"/>
      <c r="QTS15" s="1"/>
      <c r="QTT15" s="1"/>
      <c r="QTU15" s="1"/>
      <c r="QTV15" s="1"/>
      <c r="QTW15" s="1"/>
      <c r="QTX15" s="1"/>
      <c r="QTY15" s="1"/>
      <c r="QTZ15" s="1"/>
      <c r="QUA15" s="1"/>
      <c r="QUB15" s="1"/>
      <c r="QUC15" s="1"/>
      <c r="QUD15" s="1"/>
      <c r="QUE15" s="1"/>
      <c r="QUF15" s="1"/>
      <c r="QUG15" s="1"/>
      <c r="QUH15" s="1"/>
      <c r="QUI15" s="1"/>
      <c r="QUJ15" s="1"/>
      <c r="QUK15" s="1"/>
      <c r="QUL15" s="1"/>
      <c r="QUM15" s="1"/>
      <c r="QUN15" s="1"/>
      <c r="QUO15" s="1"/>
      <c r="QUP15" s="1"/>
      <c r="QUQ15" s="1"/>
      <c r="QUR15" s="1"/>
      <c r="QUS15" s="1"/>
      <c r="QUT15" s="1"/>
      <c r="QUU15" s="1"/>
      <c r="QUV15" s="1"/>
      <c r="QUW15" s="1"/>
      <c r="QUX15" s="1"/>
      <c r="QUY15" s="1"/>
      <c r="QUZ15" s="1"/>
      <c r="QVA15" s="1"/>
      <c r="QVB15" s="1"/>
      <c r="QVC15" s="1"/>
      <c r="QVD15" s="1"/>
      <c r="QVE15" s="1"/>
      <c r="QVF15" s="1"/>
      <c r="QVG15" s="1"/>
      <c r="QVH15" s="1"/>
      <c r="QVI15" s="1"/>
      <c r="QVJ15" s="1"/>
      <c r="QVK15" s="1"/>
      <c r="QVL15" s="1"/>
      <c r="QVM15" s="1"/>
      <c r="QVN15" s="1"/>
      <c r="QVO15" s="1"/>
      <c r="QVP15" s="1"/>
      <c r="QVQ15" s="1"/>
      <c r="QVR15" s="1"/>
      <c r="QVS15" s="1"/>
      <c r="QVT15" s="1"/>
      <c r="QVU15" s="1"/>
      <c r="QVV15" s="1"/>
      <c r="QVW15" s="1"/>
      <c r="QVX15" s="1"/>
      <c r="QVY15" s="1"/>
      <c r="QVZ15" s="1"/>
      <c r="QWA15" s="1"/>
      <c r="QWB15" s="1"/>
      <c r="QWC15" s="1"/>
      <c r="QWD15" s="1"/>
      <c r="QWE15" s="1"/>
      <c r="QWF15" s="1"/>
      <c r="QWG15" s="1"/>
      <c r="QWH15" s="1"/>
      <c r="QWI15" s="1"/>
      <c r="QWJ15" s="1"/>
      <c r="QWK15" s="1"/>
      <c r="QWL15" s="1"/>
      <c r="QWM15" s="1"/>
      <c r="QWN15" s="1"/>
      <c r="QWO15" s="1"/>
      <c r="QWP15" s="1"/>
      <c r="QWQ15" s="1"/>
      <c r="QWR15" s="1"/>
      <c r="QWS15" s="1"/>
      <c r="QWT15" s="1"/>
      <c r="QWU15" s="1"/>
      <c r="QWV15" s="1"/>
      <c r="QWW15" s="1"/>
      <c r="QWX15" s="1"/>
      <c r="QWY15" s="1"/>
      <c r="QWZ15" s="1"/>
      <c r="QXA15" s="1"/>
      <c r="QXB15" s="1"/>
      <c r="QXC15" s="1"/>
      <c r="QXD15" s="1"/>
      <c r="QXE15" s="1"/>
      <c r="QXF15" s="1"/>
      <c r="QXG15" s="1"/>
      <c r="QXH15" s="1"/>
      <c r="QXI15" s="1"/>
      <c r="QXJ15" s="1"/>
      <c r="QXK15" s="1"/>
      <c r="QXL15" s="1"/>
      <c r="QXM15" s="1"/>
      <c r="QXN15" s="1"/>
      <c r="QXO15" s="1"/>
      <c r="QXP15" s="1"/>
      <c r="QXQ15" s="1"/>
      <c r="QXR15" s="1"/>
      <c r="QXS15" s="1"/>
      <c r="QXT15" s="1"/>
      <c r="QXU15" s="1"/>
      <c r="QXV15" s="1"/>
      <c r="QXW15" s="1"/>
      <c r="QXX15" s="1"/>
      <c r="QXY15" s="1"/>
      <c r="QXZ15" s="1"/>
      <c r="QYA15" s="1"/>
      <c r="QYB15" s="1"/>
      <c r="QYC15" s="1"/>
      <c r="QYD15" s="1"/>
      <c r="QYE15" s="1"/>
      <c r="QYF15" s="1"/>
      <c r="QYG15" s="1"/>
      <c r="QYH15" s="1"/>
      <c r="QYI15" s="1"/>
      <c r="QYJ15" s="1"/>
      <c r="QYK15" s="1"/>
      <c r="QYL15" s="1"/>
      <c r="QYM15" s="1"/>
      <c r="QYN15" s="1"/>
      <c r="QYO15" s="1"/>
      <c r="QYP15" s="1"/>
      <c r="QYQ15" s="1"/>
      <c r="QYR15" s="1"/>
      <c r="QYS15" s="1"/>
      <c r="QYT15" s="1"/>
      <c r="QYU15" s="1"/>
      <c r="QYV15" s="1"/>
      <c r="QYW15" s="1"/>
      <c r="QYX15" s="1"/>
      <c r="QYY15" s="1"/>
      <c r="QYZ15" s="1"/>
      <c r="QZA15" s="1"/>
      <c r="QZB15" s="1"/>
      <c r="QZC15" s="1"/>
      <c r="QZD15" s="1"/>
      <c r="QZE15" s="1"/>
      <c r="QZF15" s="1"/>
      <c r="QZG15" s="1"/>
      <c r="QZH15" s="1"/>
      <c r="QZI15" s="1"/>
      <c r="QZJ15" s="1"/>
      <c r="QZK15" s="1"/>
      <c r="QZL15" s="1"/>
      <c r="QZM15" s="1"/>
      <c r="QZN15" s="1"/>
      <c r="QZO15" s="1"/>
      <c r="QZP15" s="1"/>
      <c r="QZQ15" s="1"/>
      <c r="QZR15" s="1"/>
      <c r="QZS15" s="1"/>
      <c r="QZT15" s="1"/>
      <c r="QZU15" s="1"/>
      <c r="QZV15" s="1"/>
      <c r="QZW15" s="1"/>
      <c r="QZX15" s="1"/>
      <c r="QZY15" s="1"/>
      <c r="QZZ15" s="1"/>
      <c r="RAA15" s="1"/>
      <c r="RAB15" s="1"/>
      <c r="RAC15" s="1"/>
      <c r="RAD15" s="1"/>
      <c r="RAE15" s="1"/>
      <c r="RAF15" s="1"/>
      <c r="RAG15" s="1"/>
      <c r="RAH15" s="1"/>
      <c r="RAI15" s="1"/>
      <c r="RAJ15" s="1"/>
      <c r="RAK15" s="1"/>
      <c r="RAL15" s="1"/>
      <c r="RAM15" s="1"/>
      <c r="RAN15" s="1"/>
      <c r="RAO15" s="1"/>
      <c r="RAP15" s="1"/>
      <c r="RAQ15" s="1"/>
      <c r="RAR15" s="1"/>
      <c r="RAS15" s="1"/>
      <c r="RAT15" s="1"/>
      <c r="RAU15" s="1"/>
      <c r="RAV15" s="1"/>
      <c r="RAW15" s="1"/>
      <c r="RAX15" s="1"/>
      <c r="RAY15" s="1"/>
      <c r="RAZ15" s="1"/>
      <c r="RBA15" s="1"/>
      <c r="RBB15" s="1"/>
      <c r="RBC15" s="1"/>
      <c r="RBD15" s="1"/>
      <c r="RBE15" s="1"/>
      <c r="RBF15" s="1"/>
      <c r="RBG15" s="1"/>
      <c r="RBH15" s="1"/>
      <c r="RBI15" s="1"/>
      <c r="RBJ15" s="1"/>
      <c r="RBK15" s="1"/>
      <c r="RBL15" s="1"/>
      <c r="RBM15" s="1"/>
      <c r="RBN15" s="1"/>
      <c r="RBO15" s="1"/>
      <c r="RBP15" s="1"/>
      <c r="RBQ15" s="1"/>
      <c r="RBR15" s="1"/>
      <c r="RBS15" s="1"/>
      <c r="RBT15" s="1"/>
      <c r="RBU15" s="1"/>
      <c r="RBV15" s="1"/>
      <c r="RBW15" s="1"/>
      <c r="RBX15" s="1"/>
      <c r="RBY15" s="1"/>
      <c r="RBZ15" s="1"/>
      <c r="RCA15" s="1"/>
      <c r="RCB15" s="1"/>
      <c r="RCC15" s="1"/>
      <c r="RCD15" s="1"/>
      <c r="RCE15" s="1"/>
      <c r="RCF15" s="1"/>
      <c r="RCG15" s="1"/>
      <c r="RCH15" s="1"/>
      <c r="RCI15" s="1"/>
      <c r="RCJ15" s="1"/>
      <c r="RCK15" s="1"/>
      <c r="RCL15" s="1"/>
      <c r="RCM15" s="1"/>
      <c r="RCN15" s="1"/>
      <c r="RCO15" s="1"/>
      <c r="RCP15" s="1"/>
      <c r="RCQ15" s="1"/>
      <c r="RCR15" s="1"/>
      <c r="RCS15" s="1"/>
      <c r="RCT15" s="1"/>
      <c r="RCU15" s="1"/>
      <c r="RCV15" s="1"/>
      <c r="RCW15" s="1"/>
      <c r="RCX15" s="1"/>
      <c r="RCY15" s="1"/>
      <c r="RCZ15" s="1"/>
      <c r="RDA15" s="1"/>
      <c r="RDB15" s="1"/>
      <c r="RDC15" s="1"/>
      <c r="RDD15" s="1"/>
      <c r="RDE15" s="1"/>
      <c r="RDF15" s="1"/>
      <c r="RDG15" s="1"/>
      <c r="RDH15" s="1"/>
      <c r="RDI15" s="1"/>
      <c r="RDJ15" s="1"/>
      <c r="RDK15" s="1"/>
      <c r="RDL15" s="1"/>
      <c r="RDM15" s="1"/>
      <c r="RDN15" s="1"/>
      <c r="RDO15" s="1"/>
      <c r="RDP15" s="1"/>
      <c r="RDQ15" s="1"/>
      <c r="RDR15" s="1"/>
      <c r="RDS15" s="1"/>
      <c r="RDT15" s="1"/>
      <c r="RDU15" s="1"/>
      <c r="RDV15" s="1"/>
      <c r="RDW15" s="1"/>
      <c r="RDX15" s="1"/>
      <c r="RDY15" s="1"/>
      <c r="RDZ15" s="1"/>
      <c r="REA15" s="1"/>
      <c r="REB15" s="1"/>
      <c r="REC15" s="1"/>
      <c r="RED15" s="1"/>
      <c r="REE15" s="1"/>
      <c r="REF15" s="1"/>
      <c r="REG15" s="1"/>
      <c r="REH15" s="1"/>
      <c r="REI15" s="1"/>
      <c r="REJ15" s="1"/>
      <c r="REK15" s="1"/>
      <c r="REL15" s="1"/>
      <c r="REM15" s="1"/>
      <c r="REN15" s="1"/>
      <c r="REO15" s="1"/>
      <c r="REP15" s="1"/>
      <c r="REQ15" s="1"/>
      <c r="RER15" s="1"/>
      <c r="RES15" s="1"/>
      <c r="RET15" s="1"/>
      <c r="REU15" s="1"/>
      <c r="REV15" s="1"/>
      <c r="REW15" s="1"/>
      <c r="REX15" s="1"/>
      <c r="REY15" s="1"/>
      <c r="REZ15" s="1"/>
      <c r="RFA15" s="1"/>
      <c r="RFB15" s="1"/>
      <c r="RFC15" s="1"/>
      <c r="RFD15" s="1"/>
      <c r="RFE15" s="1"/>
      <c r="RFF15" s="1"/>
      <c r="RFG15" s="1"/>
      <c r="RFH15" s="1"/>
      <c r="RFI15" s="1"/>
      <c r="RFJ15" s="1"/>
      <c r="RFK15" s="1"/>
      <c r="RFL15" s="1"/>
      <c r="RFM15" s="1"/>
      <c r="RFN15" s="1"/>
      <c r="RFO15" s="1"/>
      <c r="RFP15" s="1"/>
      <c r="RFQ15" s="1"/>
      <c r="RFR15" s="1"/>
      <c r="RFS15" s="1"/>
      <c r="RFT15" s="1"/>
      <c r="RFU15" s="1"/>
      <c r="RFV15" s="1"/>
      <c r="RFW15" s="1"/>
      <c r="RFX15" s="1"/>
      <c r="RFY15" s="1"/>
      <c r="RFZ15" s="1"/>
      <c r="RGA15" s="1"/>
      <c r="RGB15" s="1"/>
      <c r="RGC15" s="1"/>
      <c r="RGD15" s="1"/>
      <c r="RGE15" s="1"/>
      <c r="RGF15" s="1"/>
      <c r="RGG15" s="1"/>
      <c r="RGH15" s="1"/>
      <c r="RGI15" s="1"/>
      <c r="RGJ15" s="1"/>
      <c r="RGK15" s="1"/>
      <c r="RGL15" s="1"/>
      <c r="RGM15" s="1"/>
      <c r="RGN15" s="1"/>
      <c r="RGO15" s="1"/>
      <c r="RGP15" s="1"/>
      <c r="RGQ15" s="1"/>
      <c r="RGR15" s="1"/>
      <c r="RGS15" s="1"/>
      <c r="RGT15" s="1"/>
      <c r="RGU15" s="1"/>
      <c r="RGV15" s="1"/>
      <c r="RGW15" s="1"/>
      <c r="RGX15" s="1"/>
      <c r="RGY15" s="1"/>
      <c r="RGZ15" s="1"/>
      <c r="RHA15" s="1"/>
      <c r="RHB15" s="1"/>
      <c r="RHC15" s="1"/>
      <c r="RHD15" s="1"/>
      <c r="RHE15" s="1"/>
      <c r="RHF15" s="1"/>
      <c r="RHG15" s="1"/>
      <c r="RHH15" s="1"/>
      <c r="RHI15" s="1"/>
      <c r="RHJ15" s="1"/>
      <c r="RHK15" s="1"/>
      <c r="RHL15" s="1"/>
      <c r="RHM15" s="1"/>
      <c r="RHN15" s="1"/>
      <c r="RHO15" s="1"/>
      <c r="RHP15" s="1"/>
      <c r="RHQ15" s="1"/>
      <c r="RHR15" s="1"/>
      <c r="RHS15" s="1"/>
      <c r="RHT15" s="1"/>
      <c r="RHU15" s="1"/>
      <c r="RHV15" s="1"/>
      <c r="RHW15" s="1"/>
      <c r="RHX15" s="1"/>
      <c r="RHY15" s="1"/>
      <c r="RHZ15" s="1"/>
      <c r="RIA15" s="1"/>
      <c r="RIB15" s="1"/>
      <c r="RIC15" s="1"/>
      <c r="RID15" s="1"/>
      <c r="RIE15" s="1"/>
      <c r="RIF15" s="1"/>
      <c r="RIG15" s="1"/>
      <c r="RIH15" s="1"/>
      <c r="RII15" s="1"/>
      <c r="RIJ15" s="1"/>
      <c r="RIK15" s="1"/>
      <c r="RIL15" s="1"/>
      <c r="RIM15" s="1"/>
      <c r="RIN15" s="1"/>
      <c r="RIO15" s="1"/>
      <c r="RIP15" s="1"/>
      <c r="RIQ15" s="1"/>
      <c r="RIR15" s="1"/>
      <c r="RIS15" s="1"/>
      <c r="RIT15" s="1"/>
      <c r="RIU15" s="1"/>
      <c r="RIV15" s="1"/>
      <c r="RIW15" s="1"/>
      <c r="RIX15" s="1"/>
      <c r="RIY15" s="1"/>
      <c r="RIZ15" s="1"/>
      <c r="RJA15" s="1"/>
      <c r="RJB15" s="1"/>
      <c r="RJC15" s="1"/>
      <c r="RJD15" s="1"/>
      <c r="RJE15" s="1"/>
      <c r="RJF15" s="1"/>
      <c r="RJG15" s="1"/>
      <c r="RJH15" s="1"/>
      <c r="RJI15" s="1"/>
      <c r="RJJ15" s="1"/>
      <c r="RJK15" s="1"/>
      <c r="RJL15" s="1"/>
      <c r="RJM15" s="1"/>
      <c r="RJN15" s="1"/>
      <c r="RJO15" s="1"/>
      <c r="RJP15" s="1"/>
      <c r="RJQ15" s="1"/>
      <c r="RJR15" s="1"/>
      <c r="RJS15" s="1"/>
      <c r="RJT15" s="1"/>
      <c r="RJU15" s="1"/>
      <c r="RJV15" s="1"/>
      <c r="RJW15" s="1"/>
      <c r="RJX15" s="1"/>
      <c r="RJY15" s="1"/>
      <c r="RJZ15" s="1"/>
      <c r="RKA15" s="1"/>
      <c r="RKB15" s="1"/>
      <c r="RKC15" s="1"/>
      <c r="RKD15" s="1"/>
      <c r="RKE15" s="1"/>
      <c r="RKF15" s="1"/>
      <c r="RKG15" s="1"/>
      <c r="RKH15" s="1"/>
      <c r="RKI15" s="1"/>
      <c r="RKJ15" s="1"/>
      <c r="RKK15" s="1"/>
      <c r="RKL15" s="1"/>
      <c r="RKM15" s="1"/>
      <c r="RKN15" s="1"/>
      <c r="RKO15" s="1"/>
      <c r="RKP15" s="1"/>
      <c r="RKQ15" s="1"/>
      <c r="RKR15" s="1"/>
      <c r="RKS15" s="1"/>
      <c r="RKT15" s="1"/>
      <c r="RKU15" s="1"/>
      <c r="RKV15" s="1"/>
      <c r="RKW15" s="1"/>
      <c r="RKX15" s="1"/>
      <c r="RKY15" s="1"/>
      <c r="RKZ15" s="1"/>
      <c r="RLA15" s="1"/>
      <c r="RLB15" s="1"/>
      <c r="RLC15" s="1"/>
      <c r="RLD15" s="1"/>
      <c r="RLE15" s="1"/>
      <c r="RLF15" s="1"/>
      <c r="RLG15" s="1"/>
      <c r="RLH15" s="1"/>
      <c r="RLI15" s="1"/>
      <c r="RLJ15" s="1"/>
      <c r="RLK15" s="1"/>
      <c r="RLL15" s="1"/>
      <c r="RLM15" s="1"/>
      <c r="RLN15" s="1"/>
      <c r="RLO15" s="1"/>
      <c r="RLP15" s="1"/>
      <c r="RLQ15" s="1"/>
      <c r="RLR15" s="1"/>
      <c r="RLS15" s="1"/>
      <c r="RLT15" s="1"/>
      <c r="RLU15" s="1"/>
      <c r="RLV15" s="1"/>
      <c r="RLW15" s="1"/>
      <c r="RLX15" s="1"/>
      <c r="RLY15" s="1"/>
      <c r="RLZ15" s="1"/>
      <c r="RMA15" s="1"/>
      <c r="RMB15" s="1"/>
      <c r="RMC15" s="1"/>
      <c r="RMD15" s="1"/>
      <c r="RME15" s="1"/>
      <c r="RMF15" s="1"/>
      <c r="RMG15" s="1"/>
      <c r="RMH15" s="1"/>
      <c r="RMI15" s="1"/>
      <c r="RMJ15" s="1"/>
      <c r="RMK15" s="1"/>
      <c r="RML15" s="1"/>
      <c r="RMM15" s="1"/>
      <c r="RMN15" s="1"/>
      <c r="RMO15" s="1"/>
      <c r="RMP15" s="1"/>
      <c r="RMQ15" s="1"/>
      <c r="RMR15" s="1"/>
      <c r="RMS15" s="1"/>
      <c r="RMT15" s="1"/>
      <c r="RMU15" s="1"/>
      <c r="RMV15" s="1"/>
      <c r="RMW15" s="1"/>
      <c r="RMX15" s="1"/>
      <c r="RMY15" s="1"/>
      <c r="RMZ15" s="1"/>
      <c r="RNA15" s="1"/>
      <c r="RNB15" s="1"/>
      <c r="RNC15" s="1"/>
      <c r="RND15" s="1"/>
      <c r="RNE15" s="1"/>
      <c r="RNF15" s="1"/>
      <c r="RNG15" s="1"/>
      <c r="RNH15" s="1"/>
      <c r="RNI15" s="1"/>
      <c r="RNJ15" s="1"/>
      <c r="RNK15" s="1"/>
      <c r="RNL15" s="1"/>
      <c r="RNM15" s="1"/>
      <c r="RNN15" s="1"/>
      <c r="RNO15" s="1"/>
      <c r="RNP15" s="1"/>
      <c r="RNQ15" s="1"/>
      <c r="RNR15" s="1"/>
      <c r="RNS15" s="1"/>
      <c r="RNT15" s="1"/>
      <c r="RNU15" s="1"/>
      <c r="RNV15" s="1"/>
      <c r="RNW15" s="1"/>
      <c r="RNX15" s="1"/>
      <c r="RNY15" s="1"/>
      <c r="RNZ15" s="1"/>
      <c r="ROA15" s="1"/>
      <c r="ROB15" s="1"/>
      <c r="ROC15" s="1"/>
      <c r="ROD15" s="1"/>
      <c r="ROE15" s="1"/>
      <c r="ROF15" s="1"/>
      <c r="ROG15" s="1"/>
      <c r="ROH15" s="1"/>
      <c r="ROI15" s="1"/>
      <c r="ROJ15" s="1"/>
      <c r="ROK15" s="1"/>
      <c r="ROL15" s="1"/>
      <c r="ROM15" s="1"/>
      <c r="RON15" s="1"/>
      <c r="ROO15" s="1"/>
      <c r="ROP15" s="1"/>
      <c r="ROQ15" s="1"/>
      <c r="ROR15" s="1"/>
      <c r="ROS15" s="1"/>
      <c r="ROT15" s="1"/>
      <c r="ROU15" s="1"/>
      <c r="ROV15" s="1"/>
      <c r="ROW15" s="1"/>
      <c r="ROX15" s="1"/>
      <c r="ROY15" s="1"/>
      <c r="ROZ15" s="1"/>
      <c r="RPA15" s="1"/>
      <c r="RPB15" s="1"/>
      <c r="RPC15" s="1"/>
      <c r="RPD15" s="1"/>
      <c r="RPE15" s="1"/>
      <c r="RPF15" s="1"/>
      <c r="RPG15" s="1"/>
      <c r="RPH15" s="1"/>
      <c r="RPI15" s="1"/>
      <c r="RPJ15" s="1"/>
      <c r="RPK15" s="1"/>
      <c r="RPL15" s="1"/>
      <c r="RPM15" s="1"/>
      <c r="RPN15" s="1"/>
      <c r="RPO15" s="1"/>
      <c r="RPP15" s="1"/>
      <c r="RPQ15" s="1"/>
      <c r="RPR15" s="1"/>
      <c r="RPS15" s="1"/>
      <c r="RPT15" s="1"/>
      <c r="RPU15" s="1"/>
      <c r="RPV15" s="1"/>
      <c r="RPW15" s="1"/>
      <c r="RPX15" s="1"/>
      <c r="RPY15" s="1"/>
      <c r="RPZ15" s="1"/>
      <c r="RQA15" s="1"/>
      <c r="RQB15" s="1"/>
      <c r="RQC15" s="1"/>
      <c r="RQD15" s="1"/>
      <c r="RQE15" s="1"/>
      <c r="RQF15" s="1"/>
      <c r="RQG15" s="1"/>
      <c r="RQH15" s="1"/>
      <c r="RQI15" s="1"/>
      <c r="RQJ15" s="1"/>
      <c r="RQK15" s="1"/>
      <c r="RQL15" s="1"/>
      <c r="RQM15" s="1"/>
      <c r="RQN15" s="1"/>
      <c r="RQO15" s="1"/>
      <c r="RQP15" s="1"/>
      <c r="RQQ15" s="1"/>
      <c r="RQR15" s="1"/>
      <c r="RQS15" s="1"/>
      <c r="RQT15" s="1"/>
      <c r="RQU15" s="1"/>
      <c r="RQV15" s="1"/>
      <c r="RQW15" s="1"/>
      <c r="RQX15" s="1"/>
      <c r="RQY15" s="1"/>
      <c r="RQZ15" s="1"/>
      <c r="RRA15" s="1"/>
      <c r="RRB15" s="1"/>
      <c r="RRC15" s="1"/>
      <c r="RRD15" s="1"/>
      <c r="RRE15" s="1"/>
      <c r="RRF15" s="1"/>
      <c r="RRG15" s="1"/>
      <c r="RRH15" s="1"/>
      <c r="RRI15" s="1"/>
      <c r="RRJ15" s="1"/>
      <c r="RRK15" s="1"/>
      <c r="RRL15" s="1"/>
      <c r="RRM15" s="1"/>
      <c r="RRN15" s="1"/>
      <c r="RRO15" s="1"/>
      <c r="RRP15" s="1"/>
      <c r="RRQ15" s="1"/>
      <c r="RRR15" s="1"/>
      <c r="RRS15" s="1"/>
      <c r="RRT15" s="1"/>
      <c r="RRU15" s="1"/>
      <c r="RRV15" s="1"/>
      <c r="RRW15" s="1"/>
      <c r="RRX15" s="1"/>
      <c r="RRY15" s="1"/>
      <c r="RRZ15" s="1"/>
      <c r="RSA15" s="1"/>
      <c r="RSB15" s="1"/>
      <c r="RSC15" s="1"/>
      <c r="RSD15" s="1"/>
      <c r="RSE15" s="1"/>
      <c r="RSF15" s="1"/>
      <c r="RSG15" s="1"/>
      <c r="RSH15" s="1"/>
      <c r="RSI15" s="1"/>
      <c r="RSJ15" s="1"/>
      <c r="RSK15" s="1"/>
      <c r="RSL15" s="1"/>
      <c r="RSM15" s="1"/>
      <c r="RSN15" s="1"/>
      <c r="RSO15" s="1"/>
      <c r="RSP15" s="1"/>
      <c r="RSQ15" s="1"/>
      <c r="RSR15" s="1"/>
      <c r="RSS15" s="1"/>
      <c r="RST15" s="1"/>
      <c r="RSU15" s="1"/>
      <c r="RSV15" s="1"/>
      <c r="RSW15" s="1"/>
      <c r="RSX15" s="1"/>
      <c r="RSY15" s="1"/>
      <c r="RSZ15" s="1"/>
      <c r="RTA15" s="1"/>
      <c r="RTB15" s="1"/>
      <c r="RTC15" s="1"/>
      <c r="RTD15" s="1"/>
      <c r="RTE15" s="1"/>
      <c r="RTF15" s="1"/>
      <c r="RTG15" s="1"/>
      <c r="RTH15" s="1"/>
      <c r="RTI15" s="1"/>
      <c r="RTJ15" s="1"/>
      <c r="RTK15" s="1"/>
      <c r="RTL15" s="1"/>
      <c r="RTM15" s="1"/>
      <c r="RTN15" s="1"/>
      <c r="RTO15" s="1"/>
      <c r="RTP15" s="1"/>
      <c r="RTQ15" s="1"/>
      <c r="RTR15" s="1"/>
      <c r="RTS15" s="1"/>
      <c r="RTT15" s="1"/>
      <c r="RTU15" s="1"/>
      <c r="RTV15" s="1"/>
      <c r="RTW15" s="1"/>
      <c r="RTX15" s="1"/>
      <c r="RTY15" s="1"/>
      <c r="RTZ15" s="1"/>
      <c r="RUA15" s="1"/>
      <c r="RUB15" s="1"/>
      <c r="RUC15" s="1"/>
      <c r="RUD15" s="1"/>
      <c r="RUE15" s="1"/>
      <c r="RUF15" s="1"/>
      <c r="RUG15" s="1"/>
      <c r="RUH15" s="1"/>
      <c r="RUI15" s="1"/>
      <c r="RUJ15" s="1"/>
      <c r="RUK15" s="1"/>
      <c r="RUL15" s="1"/>
      <c r="RUM15" s="1"/>
      <c r="RUN15" s="1"/>
      <c r="RUO15" s="1"/>
      <c r="RUP15" s="1"/>
      <c r="RUQ15" s="1"/>
      <c r="RUR15" s="1"/>
      <c r="RUS15" s="1"/>
      <c r="RUT15" s="1"/>
      <c r="RUU15" s="1"/>
      <c r="RUV15" s="1"/>
      <c r="RUW15" s="1"/>
      <c r="RUX15" s="1"/>
      <c r="RUY15" s="1"/>
      <c r="RUZ15" s="1"/>
      <c r="RVA15" s="1"/>
      <c r="RVB15" s="1"/>
      <c r="RVC15" s="1"/>
      <c r="RVD15" s="1"/>
      <c r="RVE15" s="1"/>
      <c r="RVF15" s="1"/>
      <c r="RVG15" s="1"/>
      <c r="RVH15" s="1"/>
      <c r="RVI15" s="1"/>
      <c r="RVJ15" s="1"/>
      <c r="RVK15" s="1"/>
      <c r="RVL15" s="1"/>
      <c r="RVM15" s="1"/>
      <c r="RVN15" s="1"/>
      <c r="RVO15" s="1"/>
      <c r="RVP15" s="1"/>
      <c r="RVQ15" s="1"/>
      <c r="RVR15" s="1"/>
      <c r="RVS15" s="1"/>
      <c r="RVT15" s="1"/>
      <c r="RVU15" s="1"/>
      <c r="RVV15" s="1"/>
      <c r="RVW15" s="1"/>
      <c r="RVX15" s="1"/>
      <c r="RVY15" s="1"/>
      <c r="RVZ15" s="1"/>
      <c r="RWA15" s="1"/>
      <c r="RWB15" s="1"/>
      <c r="RWC15" s="1"/>
      <c r="RWD15" s="1"/>
      <c r="RWE15" s="1"/>
      <c r="RWF15" s="1"/>
      <c r="RWG15" s="1"/>
      <c r="RWH15" s="1"/>
      <c r="RWI15" s="1"/>
      <c r="RWJ15" s="1"/>
      <c r="RWK15" s="1"/>
      <c r="RWL15" s="1"/>
      <c r="RWM15" s="1"/>
      <c r="RWN15" s="1"/>
      <c r="RWO15" s="1"/>
      <c r="RWP15" s="1"/>
      <c r="RWQ15" s="1"/>
      <c r="RWR15" s="1"/>
      <c r="RWS15" s="1"/>
      <c r="RWT15" s="1"/>
      <c r="RWU15" s="1"/>
      <c r="RWV15" s="1"/>
      <c r="RWW15" s="1"/>
      <c r="RWX15" s="1"/>
      <c r="RWY15" s="1"/>
      <c r="RWZ15" s="1"/>
      <c r="RXA15" s="1"/>
      <c r="RXB15" s="1"/>
      <c r="RXC15" s="1"/>
      <c r="RXD15" s="1"/>
      <c r="RXE15" s="1"/>
      <c r="RXF15" s="1"/>
      <c r="RXG15" s="1"/>
      <c r="RXH15" s="1"/>
      <c r="RXI15" s="1"/>
      <c r="RXJ15" s="1"/>
      <c r="RXK15" s="1"/>
      <c r="RXL15" s="1"/>
      <c r="RXM15" s="1"/>
      <c r="RXN15" s="1"/>
      <c r="RXO15" s="1"/>
      <c r="RXP15" s="1"/>
      <c r="RXQ15" s="1"/>
      <c r="RXR15" s="1"/>
      <c r="RXS15" s="1"/>
      <c r="RXT15" s="1"/>
      <c r="RXU15" s="1"/>
      <c r="RXV15" s="1"/>
      <c r="RXW15" s="1"/>
      <c r="RXX15" s="1"/>
      <c r="RXY15" s="1"/>
      <c r="RXZ15" s="1"/>
      <c r="RYA15" s="1"/>
      <c r="RYB15" s="1"/>
      <c r="RYC15" s="1"/>
      <c r="RYD15" s="1"/>
      <c r="RYE15" s="1"/>
      <c r="RYF15" s="1"/>
      <c r="RYG15" s="1"/>
      <c r="RYH15" s="1"/>
      <c r="RYI15" s="1"/>
      <c r="RYJ15" s="1"/>
      <c r="RYK15" s="1"/>
      <c r="RYL15" s="1"/>
      <c r="RYM15" s="1"/>
      <c r="RYN15" s="1"/>
      <c r="RYO15" s="1"/>
      <c r="RYP15" s="1"/>
      <c r="RYQ15" s="1"/>
      <c r="RYR15" s="1"/>
      <c r="RYS15" s="1"/>
      <c r="RYT15" s="1"/>
      <c r="RYU15" s="1"/>
      <c r="RYV15" s="1"/>
      <c r="RYW15" s="1"/>
      <c r="RYX15" s="1"/>
      <c r="RYY15" s="1"/>
      <c r="RYZ15" s="1"/>
      <c r="RZA15" s="1"/>
      <c r="RZB15" s="1"/>
      <c r="RZC15" s="1"/>
      <c r="RZD15" s="1"/>
      <c r="RZE15" s="1"/>
      <c r="RZF15" s="1"/>
      <c r="RZG15" s="1"/>
      <c r="RZH15" s="1"/>
      <c r="RZI15" s="1"/>
      <c r="RZJ15" s="1"/>
      <c r="RZK15" s="1"/>
      <c r="RZL15" s="1"/>
      <c r="RZM15" s="1"/>
      <c r="RZN15" s="1"/>
      <c r="RZO15" s="1"/>
      <c r="RZP15" s="1"/>
      <c r="RZQ15" s="1"/>
      <c r="RZR15" s="1"/>
      <c r="RZS15" s="1"/>
      <c r="RZT15" s="1"/>
      <c r="RZU15" s="1"/>
      <c r="RZV15" s="1"/>
      <c r="RZW15" s="1"/>
      <c r="RZX15" s="1"/>
      <c r="RZY15" s="1"/>
      <c r="RZZ15" s="1"/>
      <c r="SAA15" s="1"/>
      <c r="SAB15" s="1"/>
      <c r="SAC15" s="1"/>
      <c r="SAD15" s="1"/>
      <c r="SAE15" s="1"/>
      <c r="SAF15" s="1"/>
      <c r="SAG15" s="1"/>
      <c r="SAH15" s="1"/>
      <c r="SAI15" s="1"/>
      <c r="SAJ15" s="1"/>
      <c r="SAK15" s="1"/>
      <c r="SAL15" s="1"/>
      <c r="SAM15" s="1"/>
      <c r="SAN15" s="1"/>
      <c r="SAO15" s="1"/>
      <c r="SAP15" s="1"/>
      <c r="SAQ15" s="1"/>
      <c r="SAR15" s="1"/>
      <c r="SAS15" s="1"/>
      <c r="SAT15" s="1"/>
      <c r="SAU15" s="1"/>
      <c r="SAV15" s="1"/>
      <c r="SAW15" s="1"/>
      <c r="SAX15" s="1"/>
      <c r="SAY15" s="1"/>
      <c r="SAZ15" s="1"/>
      <c r="SBA15" s="1"/>
      <c r="SBB15" s="1"/>
      <c r="SBC15" s="1"/>
      <c r="SBD15" s="1"/>
      <c r="SBE15" s="1"/>
      <c r="SBF15" s="1"/>
      <c r="SBG15" s="1"/>
      <c r="SBH15" s="1"/>
      <c r="SBI15" s="1"/>
      <c r="SBJ15" s="1"/>
      <c r="SBK15" s="1"/>
      <c r="SBL15" s="1"/>
      <c r="SBM15" s="1"/>
      <c r="SBN15" s="1"/>
      <c r="SBO15" s="1"/>
      <c r="SBP15" s="1"/>
      <c r="SBQ15" s="1"/>
      <c r="SBR15" s="1"/>
      <c r="SBS15" s="1"/>
      <c r="SBT15" s="1"/>
      <c r="SBU15" s="1"/>
      <c r="SBV15" s="1"/>
      <c r="SBW15" s="1"/>
      <c r="SBX15" s="1"/>
      <c r="SBY15" s="1"/>
      <c r="SBZ15" s="1"/>
      <c r="SCA15" s="1"/>
      <c r="SCB15" s="1"/>
      <c r="SCC15" s="1"/>
      <c r="SCD15" s="1"/>
      <c r="SCE15" s="1"/>
      <c r="SCF15" s="1"/>
      <c r="SCG15" s="1"/>
      <c r="SCH15" s="1"/>
      <c r="SCI15" s="1"/>
      <c r="SCJ15" s="1"/>
      <c r="SCK15" s="1"/>
      <c r="SCL15" s="1"/>
      <c r="SCM15" s="1"/>
      <c r="SCN15" s="1"/>
      <c r="SCO15" s="1"/>
      <c r="SCP15" s="1"/>
      <c r="SCQ15" s="1"/>
      <c r="SCR15" s="1"/>
      <c r="SCS15" s="1"/>
      <c r="SCT15" s="1"/>
      <c r="SCU15" s="1"/>
      <c r="SCV15" s="1"/>
      <c r="SCW15" s="1"/>
      <c r="SCX15" s="1"/>
      <c r="SCY15" s="1"/>
      <c r="SCZ15" s="1"/>
      <c r="SDA15" s="1"/>
      <c r="SDB15" s="1"/>
      <c r="SDC15" s="1"/>
      <c r="SDD15" s="1"/>
      <c r="SDE15" s="1"/>
      <c r="SDF15" s="1"/>
      <c r="SDG15" s="1"/>
      <c r="SDH15" s="1"/>
      <c r="SDI15" s="1"/>
      <c r="SDJ15" s="1"/>
      <c r="SDK15" s="1"/>
      <c r="SDL15" s="1"/>
      <c r="SDM15" s="1"/>
      <c r="SDN15" s="1"/>
      <c r="SDO15" s="1"/>
      <c r="SDP15" s="1"/>
      <c r="SDQ15" s="1"/>
      <c r="SDR15" s="1"/>
      <c r="SDS15" s="1"/>
      <c r="SDT15" s="1"/>
      <c r="SDU15" s="1"/>
      <c r="SDV15" s="1"/>
      <c r="SDW15" s="1"/>
      <c r="SDX15" s="1"/>
      <c r="SDY15" s="1"/>
      <c r="SDZ15" s="1"/>
      <c r="SEA15" s="1"/>
      <c r="SEB15" s="1"/>
      <c r="SEC15" s="1"/>
      <c r="SED15" s="1"/>
      <c r="SEE15" s="1"/>
      <c r="SEF15" s="1"/>
      <c r="SEG15" s="1"/>
      <c r="SEH15" s="1"/>
      <c r="SEI15" s="1"/>
      <c r="SEJ15" s="1"/>
      <c r="SEK15" s="1"/>
      <c r="SEL15" s="1"/>
      <c r="SEM15" s="1"/>
      <c r="SEN15" s="1"/>
      <c r="SEO15" s="1"/>
      <c r="SEP15" s="1"/>
      <c r="SEQ15" s="1"/>
      <c r="SER15" s="1"/>
      <c r="SES15" s="1"/>
      <c r="SET15" s="1"/>
      <c r="SEU15" s="1"/>
      <c r="SEV15" s="1"/>
      <c r="SEW15" s="1"/>
      <c r="SEX15" s="1"/>
      <c r="SEY15" s="1"/>
      <c r="SEZ15" s="1"/>
      <c r="SFA15" s="1"/>
      <c r="SFB15" s="1"/>
      <c r="SFC15" s="1"/>
      <c r="SFD15" s="1"/>
      <c r="SFE15" s="1"/>
      <c r="SFF15" s="1"/>
      <c r="SFG15" s="1"/>
      <c r="SFH15" s="1"/>
      <c r="SFI15" s="1"/>
      <c r="SFJ15" s="1"/>
      <c r="SFK15" s="1"/>
      <c r="SFL15" s="1"/>
      <c r="SFM15" s="1"/>
      <c r="SFN15" s="1"/>
      <c r="SFO15" s="1"/>
      <c r="SFP15" s="1"/>
      <c r="SFQ15" s="1"/>
      <c r="SFR15" s="1"/>
      <c r="SFS15" s="1"/>
      <c r="SFT15" s="1"/>
      <c r="SFU15" s="1"/>
      <c r="SFV15" s="1"/>
      <c r="SFW15" s="1"/>
      <c r="SFX15" s="1"/>
      <c r="SFY15" s="1"/>
      <c r="SFZ15" s="1"/>
      <c r="SGA15" s="1"/>
      <c r="SGB15" s="1"/>
      <c r="SGC15" s="1"/>
      <c r="SGD15" s="1"/>
      <c r="SGE15" s="1"/>
      <c r="SGF15" s="1"/>
      <c r="SGG15" s="1"/>
      <c r="SGH15" s="1"/>
      <c r="SGI15" s="1"/>
      <c r="SGJ15" s="1"/>
      <c r="SGK15" s="1"/>
      <c r="SGL15" s="1"/>
      <c r="SGM15" s="1"/>
      <c r="SGN15" s="1"/>
      <c r="SGO15" s="1"/>
      <c r="SGP15" s="1"/>
      <c r="SGQ15" s="1"/>
      <c r="SGR15" s="1"/>
      <c r="SGS15" s="1"/>
      <c r="SGT15" s="1"/>
      <c r="SGU15" s="1"/>
      <c r="SGV15" s="1"/>
      <c r="SGW15" s="1"/>
      <c r="SGX15" s="1"/>
      <c r="SGY15" s="1"/>
      <c r="SGZ15" s="1"/>
      <c r="SHA15" s="1"/>
      <c r="SHB15" s="1"/>
      <c r="SHC15" s="1"/>
      <c r="SHD15" s="1"/>
      <c r="SHE15" s="1"/>
      <c r="SHF15" s="1"/>
      <c r="SHG15" s="1"/>
      <c r="SHH15" s="1"/>
      <c r="SHI15" s="1"/>
      <c r="SHJ15" s="1"/>
      <c r="SHK15" s="1"/>
      <c r="SHL15" s="1"/>
      <c r="SHM15" s="1"/>
      <c r="SHN15" s="1"/>
      <c r="SHO15" s="1"/>
      <c r="SHP15" s="1"/>
      <c r="SHQ15" s="1"/>
      <c r="SHR15" s="1"/>
      <c r="SHS15" s="1"/>
      <c r="SHT15" s="1"/>
      <c r="SHU15" s="1"/>
      <c r="SHV15" s="1"/>
      <c r="SHW15" s="1"/>
      <c r="SHX15" s="1"/>
      <c r="SHY15" s="1"/>
      <c r="SHZ15" s="1"/>
      <c r="SIA15" s="1"/>
      <c r="SIB15" s="1"/>
      <c r="SIC15" s="1"/>
      <c r="SID15" s="1"/>
      <c r="SIE15" s="1"/>
      <c r="SIF15" s="1"/>
      <c r="SIG15" s="1"/>
      <c r="SIH15" s="1"/>
      <c r="SII15" s="1"/>
      <c r="SIJ15" s="1"/>
      <c r="SIK15" s="1"/>
      <c r="SIL15" s="1"/>
      <c r="SIM15" s="1"/>
      <c r="SIN15" s="1"/>
      <c r="SIO15" s="1"/>
      <c r="SIP15" s="1"/>
      <c r="SIQ15" s="1"/>
      <c r="SIR15" s="1"/>
      <c r="SIS15" s="1"/>
      <c r="SIT15" s="1"/>
      <c r="SIU15" s="1"/>
      <c r="SIV15" s="1"/>
      <c r="SIW15" s="1"/>
      <c r="SIX15" s="1"/>
      <c r="SIY15" s="1"/>
      <c r="SIZ15" s="1"/>
      <c r="SJA15" s="1"/>
      <c r="SJB15" s="1"/>
      <c r="SJC15" s="1"/>
      <c r="SJD15" s="1"/>
      <c r="SJE15" s="1"/>
      <c r="SJF15" s="1"/>
      <c r="SJG15" s="1"/>
      <c r="SJH15" s="1"/>
      <c r="SJI15" s="1"/>
      <c r="SJJ15" s="1"/>
      <c r="SJK15" s="1"/>
      <c r="SJL15" s="1"/>
      <c r="SJM15" s="1"/>
      <c r="SJN15" s="1"/>
      <c r="SJO15" s="1"/>
      <c r="SJP15" s="1"/>
      <c r="SJQ15" s="1"/>
      <c r="SJR15" s="1"/>
      <c r="SJS15" s="1"/>
      <c r="SJT15" s="1"/>
      <c r="SJU15" s="1"/>
      <c r="SJV15" s="1"/>
      <c r="SJW15" s="1"/>
      <c r="SJX15" s="1"/>
      <c r="SJY15" s="1"/>
      <c r="SJZ15" s="1"/>
      <c r="SKA15" s="1"/>
      <c r="SKB15" s="1"/>
      <c r="SKC15" s="1"/>
      <c r="SKD15" s="1"/>
      <c r="SKE15" s="1"/>
      <c r="SKF15" s="1"/>
      <c r="SKG15" s="1"/>
      <c r="SKH15" s="1"/>
      <c r="SKI15" s="1"/>
      <c r="SKJ15" s="1"/>
      <c r="SKK15" s="1"/>
      <c r="SKL15" s="1"/>
      <c r="SKM15" s="1"/>
      <c r="SKN15" s="1"/>
      <c r="SKO15" s="1"/>
      <c r="SKP15" s="1"/>
      <c r="SKQ15" s="1"/>
      <c r="SKR15" s="1"/>
      <c r="SKS15" s="1"/>
      <c r="SKT15" s="1"/>
      <c r="SKU15" s="1"/>
      <c r="SKV15" s="1"/>
      <c r="SKW15" s="1"/>
      <c r="SKX15" s="1"/>
      <c r="SKY15" s="1"/>
      <c r="SKZ15" s="1"/>
      <c r="SLA15" s="1"/>
      <c r="SLB15" s="1"/>
      <c r="SLC15" s="1"/>
      <c r="SLD15" s="1"/>
      <c r="SLE15" s="1"/>
      <c r="SLF15" s="1"/>
      <c r="SLG15" s="1"/>
      <c r="SLH15" s="1"/>
      <c r="SLI15" s="1"/>
      <c r="SLJ15" s="1"/>
      <c r="SLK15" s="1"/>
      <c r="SLL15" s="1"/>
      <c r="SLM15" s="1"/>
      <c r="SLN15" s="1"/>
      <c r="SLO15" s="1"/>
      <c r="SLP15" s="1"/>
      <c r="SLQ15" s="1"/>
      <c r="SLR15" s="1"/>
      <c r="SLS15" s="1"/>
      <c r="SLT15" s="1"/>
      <c r="SLU15" s="1"/>
      <c r="SLV15" s="1"/>
      <c r="SLW15" s="1"/>
      <c r="SLX15" s="1"/>
      <c r="SLY15" s="1"/>
      <c r="SLZ15" s="1"/>
      <c r="SMA15" s="1"/>
      <c r="SMB15" s="1"/>
      <c r="SMC15" s="1"/>
      <c r="SMD15" s="1"/>
      <c r="SME15" s="1"/>
      <c r="SMF15" s="1"/>
      <c r="SMG15" s="1"/>
      <c r="SMH15" s="1"/>
      <c r="SMI15" s="1"/>
      <c r="SMJ15" s="1"/>
      <c r="SMK15" s="1"/>
      <c r="SML15" s="1"/>
      <c r="SMM15" s="1"/>
      <c r="SMN15" s="1"/>
      <c r="SMO15" s="1"/>
      <c r="SMP15" s="1"/>
      <c r="SMQ15" s="1"/>
      <c r="SMR15" s="1"/>
      <c r="SMS15" s="1"/>
      <c r="SMT15" s="1"/>
      <c r="SMU15" s="1"/>
      <c r="SMV15" s="1"/>
      <c r="SMW15" s="1"/>
      <c r="SMX15" s="1"/>
      <c r="SMY15" s="1"/>
      <c r="SMZ15" s="1"/>
      <c r="SNA15" s="1"/>
      <c r="SNB15" s="1"/>
      <c r="SNC15" s="1"/>
      <c r="SND15" s="1"/>
      <c r="SNE15" s="1"/>
      <c r="SNF15" s="1"/>
      <c r="SNG15" s="1"/>
      <c r="SNH15" s="1"/>
      <c r="SNI15" s="1"/>
      <c r="SNJ15" s="1"/>
      <c r="SNK15" s="1"/>
      <c r="SNL15" s="1"/>
      <c r="SNM15" s="1"/>
      <c r="SNN15" s="1"/>
      <c r="SNO15" s="1"/>
      <c r="SNP15" s="1"/>
      <c r="SNQ15" s="1"/>
      <c r="SNR15" s="1"/>
      <c r="SNS15" s="1"/>
      <c r="SNT15" s="1"/>
      <c r="SNU15" s="1"/>
      <c r="SNV15" s="1"/>
      <c r="SNW15" s="1"/>
      <c r="SNX15" s="1"/>
      <c r="SNY15" s="1"/>
      <c r="SNZ15" s="1"/>
      <c r="SOA15" s="1"/>
      <c r="SOB15" s="1"/>
      <c r="SOC15" s="1"/>
      <c r="SOD15" s="1"/>
      <c r="SOE15" s="1"/>
      <c r="SOF15" s="1"/>
      <c r="SOG15" s="1"/>
      <c r="SOH15" s="1"/>
      <c r="SOI15" s="1"/>
      <c r="SOJ15" s="1"/>
      <c r="SOK15" s="1"/>
      <c r="SOL15" s="1"/>
      <c r="SOM15" s="1"/>
      <c r="SON15" s="1"/>
      <c r="SOO15" s="1"/>
      <c r="SOP15" s="1"/>
      <c r="SOQ15" s="1"/>
      <c r="SOR15" s="1"/>
      <c r="SOS15" s="1"/>
      <c r="SOT15" s="1"/>
      <c r="SOU15" s="1"/>
      <c r="SOV15" s="1"/>
      <c r="SOW15" s="1"/>
      <c r="SOX15" s="1"/>
      <c r="SOY15" s="1"/>
      <c r="SOZ15" s="1"/>
      <c r="SPA15" s="1"/>
      <c r="SPB15" s="1"/>
      <c r="SPC15" s="1"/>
      <c r="SPD15" s="1"/>
      <c r="SPE15" s="1"/>
      <c r="SPF15" s="1"/>
      <c r="SPG15" s="1"/>
      <c r="SPH15" s="1"/>
      <c r="SPI15" s="1"/>
      <c r="SPJ15" s="1"/>
      <c r="SPK15" s="1"/>
      <c r="SPL15" s="1"/>
      <c r="SPM15" s="1"/>
      <c r="SPN15" s="1"/>
      <c r="SPO15" s="1"/>
      <c r="SPP15" s="1"/>
      <c r="SPQ15" s="1"/>
      <c r="SPR15" s="1"/>
      <c r="SPS15" s="1"/>
      <c r="SPT15" s="1"/>
      <c r="SPU15" s="1"/>
      <c r="SPV15" s="1"/>
      <c r="SPW15" s="1"/>
      <c r="SPX15" s="1"/>
      <c r="SPY15" s="1"/>
      <c r="SPZ15" s="1"/>
      <c r="SQA15" s="1"/>
      <c r="SQB15" s="1"/>
      <c r="SQC15" s="1"/>
      <c r="SQD15" s="1"/>
      <c r="SQE15" s="1"/>
      <c r="SQF15" s="1"/>
      <c r="SQG15" s="1"/>
      <c r="SQH15" s="1"/>
      <c r="SQI15" s="1"/>
      <c r="SQJ15" s="1"/>
      <c r="SQK15" s="1"/>
      <c r="SQL15" s="1"/>
      <c r="SQM15" s="1"/>
      <c r="SQN15" s="1"/>
      <c r="SQO15" s="1"/>
      <c r="SQP15" s="1"/>
      <c r="SQQ15" s="1"/>
      <c r="SQR15" s="1"/>
      <c r="SQS15" s="1"/>
      <c r="SQT15" s="1"/>
      <c r="SQU15" s="1"/>
      <c r="SQV15" s="1"/>
      <c r="SQW15" s="1"/>
      <c r="SQX15" s="1"/>
      <c r="SQY15" s="1"/>
      <c r="SQZ15" s="1"/>
      <c r="SRA15" s="1"/>
      <c r="SRB15" s="1"/>
      <c r="SRC15" s="1"/>
      <c r="SRD15" s="1"/>
      <c r="SRE15" s="1"/>
      <c r="SRF15" s="1"/>
      <c r="SRG15" s="1"/>
      <c r="SRH15" s="1"/>
      <c r="SRI15" s="1"/>
      <c r="SRJ15" s="1"/>
      <c r="SRK15" s="1"/>
      <c r="SRL15" s="1"/>
      <c r="SRM15" s="1"/>
      <c r="SRN15" s="1"/>
      <c r="SRO15" s="1"/>
      <c r="SRP15" s="1"/>
      <c r="SRQ15" s="1"/>
      <c r="SRR15" s="1"/>
      <c r="SRS15" s="1"/>
      <c r="SRT15" s="1"/>
      <c r="SRU15" s="1"/>
      <c r="SRV15" s="1"/>
      <c r="SRW15" s="1"/>
      <c r="SRX15" s="1"/>
      <c r="SRY15" s="1"/>
      <c r="SRZ15" s="1"/>
      <c r="SSA15" s="1"/>
      <c r="SSB15" s="1"/>
      <c r="SSC15" s="1"/>
      <c r="SSD15" s="1"/>
      <c r="SSE15" s="1"/>
      <c r="SSF15" s="1"/>
      <c r="SSG15" s="1"/>
      <c r="SSH15" s="1"/>
      <c r="SSI15" s="1"/>
      <c r="SSJ15" s="1"/>
      <c r="SSK15" s="1"/>
      <c r="SSL15" s="1"/>
      <c r="SSM15" s="1"/>
      <c r="SSN15" s="1"/>
      <c r="SSO15" s="1"/>
      <c r="SSP15" s="1"/>
      <c r="SSQ15" s="1"/>
      <c r="SSR15" s="1"/>
      <c r="SSS15" s="1"/>
      <c r="SST15" s="1"/>
      <c r="SSU15" s="1"/>
      <c r="SSV15" s="1"/>
      <c r="SSW15" s="1"/>
      <c r="SSX15" s="1"/>
      <c r="SSY15" s="1"/>
      <c r="SSZ15" s="1"/>
      <c r="STA15" s="1"/>
      <c r="STB15" s="1"/>
      <c r="STC15" s="1"/>
      <c r="STD15" s="1"/>
      <c r="STE15" s="1"/>
      <c r="STF15" s="1"/>
      <c r="STG15" s="1"/>
      <c r="STH15" s="1"/>
      <c r="STI15" s="1"/>
      <c r="STJ15" s="1"/>
      <c r="STK15" s="1"/>
      <c r="STL15" s="1"/>
      <c r="STM15" s="1"/>
      <c r="STN15" s="1"/>
      <c r="STO15" s="1"/>
      <c r="STP15" s="1"/>
      <c r="STQ15" s="1"/>
      <c r="STR15" s="1"/>
      <c r="STS15" s="1"/>
      <c r="STT15" s="1"/>
      <c r="STU15" s="1"/>
      <c r="STV15" s="1"/>
      <c r="STW15" s="1"/>
      <c r="STX15" s="1"/>
      <c r="STY15" s="1"/>
      <c r="STZ15" s="1"/>
      <c r="SUA15" s="1"/>
      <c r="SUB15" s="1"/>
      <c r="SUC15" s="1"/>
      <c r="SUD15" s="1"/>
      <c r="SUE15" s="1"/>
      <c r="SUF15" s="1"/>
      <c r="SUG15" s="1"/>
      <c r="SUH15" s="1"/>
      <c r="SUI15" s="1"/>
      <c r="SUJ15" s="1"/>
      <c r="SUK15" s="1"/>
      <c r="SUL15" s="1"/>
      <c r="SUM15" s="1"/>
      <c r="SUN15" s="1"/>
      <c r="SUO15" s="1"/>
      <c r="SUP15" s="1"/>
      <c r="SUQ15" s="1"/>
      <c r="SUR15" s="1"/>
      <c r="SUS15" s="1"/>
      <c r="SUT15" s="1"/>
      <c r="SUU15" s="1"/>
      <c r="SUV15" s="1"/>
      <c r="SUW15" s="1"/>
      <c r="SUX15" s="1"/>
      <c r="SUY15" s="1"/>
      <c r="SUZ15" s="1"/>
      <c r="SVA15" s="1"/>
      <c r="SVB15" s="1"/>
      <c r="SVC15" s="1"/>
      <c r="SVD15" s="1"/>
      <c r="SVE15" s="1"/>
      <c r="SVF15" s="1"/>
      <c r="SVG15" s="1"/>
      <c r="SVH15" s="1"/>
      <c r="SVI15" s="1"/>
      <c r="SVJ15" s="1"/>
      <c r="SVK15" s="1"/>
      <c r="SVL15" s="1"/>
      <c r="SVM15" s="1"/>
      <c r="SVN15" s="1"/>
      <c r="SVO15" s="1"/>
      <c r="SVP15" s="1"/>
      <c r="SVQ15" s="1"/>
      <c r="SVR15" s="1"/>
      <c r="SVS15" s="1"/>
      <c r="SVT15" s="1"/>
      <c r="SVU15" s="1"/>
      <c r="SVV15" s="1"/>
      <c r="SVW15" s="1"/>
      <c r="SVX15" s="1"/>
      <c r="SVY15" s="1"/>
      <c r="SVZ15" s="1"/>
      <c r="SWA15" s="1"/>
      <c r="SWB15" s="1"/>
      <c r="SWC15" s="1"/>
      <c r="SWD15" s="1"/>
      <c r="SWE15" s="1"/>
      <c r="SWF15" s="1"/>
      <c r="SWG15" s="1"/>
      <c r="SWH15" s="1"/>
      <c r="SWI15" s="1"/>
      <c r="SWJ15" s="1"/>
      <c r="SWK15" s="1"/>
      <c r="SWL15" s="1"/>
      <c r="SWM15" s="1"/>
      <c r="SWN15" s="1"/>
      <c r="SWO15" s="1"/>
      <c r="SWP15" s="1"/>
      <c r="SWQ15" s="1"/>
      <c r="SWR15" s="1"/>
      <c r="SWS15" s="1"/>
      <c r="SWT15" s="1"/>
      <c r="SWU15" s="1"/>
      <c r="SWV15" s="1"/>
      <c r="SWW15" s="1"/>
      <c r="SWX15" s="1"/>
      <c r="SWY15" s="1"/>
      <c r="SWZ15" s="1"/>
      <c r="SXA15" s="1"/>
      <c r="SXB15" s="1"/>
      <c r="SXC15" s="1"/>
      <c r="SXD15" s="1"/>
      <c r="SXE15" s="1"/>
      <c r="SXF15" s="1"/>
      <c r="SXG15" s="1"/>
      <c r="SXH15" s="1"/>
      <c r="SXI15" s="1"/>
      <c r="SXJ15" s="1"/>
      <c r="SXK15" s="1"/>
      <c r="SXL15" s="1"/>
      <c r="SXM15" s="1"/>
      <c r="SXN15" s="1"/>
      <c r="SXO15" s="1"/>
      <c r="SXP15" s="1"/>
      <c r="SXQ15" s="1"/>
      <c r="SXR15" s="1"/>
      <c r="SXS15" s="1"/>
      <c r="SXT15" s="1"/>
      <c r="SXU15" s="1"/>
      <c r="SXV15" s="1"/>
      <c r="SXW15" s="1"/>
      <c r="SXX15" s="1"/>
      <c r="SXY15" s="1"/>
      <c r="SXZ15" s="1"/>
      <c r="SYA15" s="1"/>
      <c r="SYB15" s="1"/>
      <c r="SYC15" s="1"/>
      <c r="SYD15" s="1"/>
      <c r="SYE15" s="1"/>
      <c r="SYF15" s="1"/>
      <c r="SYG15" s="1"/>
      <c r="SYH15" s="1"/>
      <c r="SYI15" s="1"/>
      <c r="SYJ15" s="1"/>
      <c r="SYK15" s="1"/>
      <c r="SYL15" s="1"/>
      <c r="SYM15" s="1"/>
      <c r="SYN15" s="1"/>
      <c r="SYO15" s="1"/>
      <c r="SYP15" s="1"/>
      <c r="SYQ15" s="1"/>
      <c r="SYR15" s="1"/>
      <c r="SYS15" s="1"/>
      <c r="SYT15" s="1"/>
      <c r="SYU15" s="1"/>
      <c r="SYV15" s="1"/>
      <c r="SYW15" s="1"/>
      <c r="SYX15" s="1"/>
      <c r="SYY15" s="1"/>
      <c r="SYZ15" s="1"/>
      <c r="SZA15" s="1"/>
      <c r="SZB15" s="1"/>
      <c r="SZC15" s="1"/>
      <c r="SZD15" s="1"/>
      <c r="SZE15" s="1"/>
      <c r="SZF15" s="1"/>
      <c r="SZG15" s="1"/>
      <c r="SZH15" s="1"/>
      <c r="SZI15" s="1"/>
      <c r="SZJ15" s="1"/>
      <c r="SZK15" s="1"/>
      <c r="SZL15" s="1"/>
      <c r="SZM15" s="1"/>
      <c r="SZN15" s="1"/>
      <c r="SZO15" s="1"/>
      <c r="SZP15" s="1"/>
      <c r="SZQ15" s="1"/>
      <c r="SZR15" s="1"/>
      <c r="SZS15" s="1"/>
      <c r="SZT15" s="1"/>
      <c r="SZU15" s="1"/>
      <c r="SZV15" s="1"/>
      <c r="SZW15" s="1"/>
      <c r="SZX15" s="1"/>
      <c r="SZY15" s="1"/>
      <c r="SZZ15" s="1"/>
      <c r="TAA15" s="1"/>
      <c r="TAB15" s="1"/>
      <c r="TAC15" s="1"/>
      <c r="TAD15" s="1"/>
      <c r="TAE15" s="1"/>
      <c r="TAF15" s="1"/>
      <c r="TAG15" s="1"/>
      <c r="TAH15" s="1"/>
      <c r="TAI15" s="1"/>
      <c r="TAJ15" s="1"/>
      <c r="TAK15" s="1"/>
      <c r="TAL15" s="1"/>
      <c r="TAM15" s="1"/>
      <c r="TAN15" s="1"/>
      <c r="TAO15" s="1"/>
      <c r="TAP15" s="1"/>
      <c r="TAQ15" s="1"/>
      <c r="TAR15" s="1"/>
      <c r="TAS15" s="1"/>
      <c r="TAT15" s="1"/>
      <c r="TAU15" s="1"/>
      <c r="TAV15" s="1"/>
      <c r="TAW15" s="1"/>
      <c r="TAX15" s="1"/>
      <c r="TAY15" s="1"/>
      <c r="TAZ15" s="1"/>
      <c r="TBA15" s="1"/>
      <c r="TBB15" s="1"/>
      <c r="TBC15" s="1"/>
      <c r="TBD15" s="1"/>
      <c r="TBE15" s="1"/>
      <c r="TBF15" s="1"/>
      <c r="TBG15" s="1"/>
      <c r="TBH15" s="1"/>
      <c r="TBI15" s="1"/>
      <c r="TBJ15" s="1"/>
      <c r="TBK15" s="1"/>
      <c r="TBL15" s="1"/>
      <c r="TBM15" s="1"/>
      <c r="TBN15" s="1"/>
      <c r="TBO15" s="1"/>
      <c r="TBP15" s="1"/>
      <c r="TBQ15" s="1"/>
      <c r="TBR15" s="1"/>
      <c r="TBS15" s="1"/>
      <c r="TBT15" s="1"/>
      <c r="TBU15" s="1"/>
      <c r="TBV15" s="1"/>
      <c r="TBW15" s="1"/>
      <c r="TBX15" s="1"/>
      <c r="TBY15" s="1"/>
      <c r="TBZ15" s="1"/>
      <c r="TCA15" s="1"/>
      <c r="TCB15" s="1"/>
      <c r="TCC15" s="1"/>
      <c r="TCD15" s="1"/>
      <c r="TCE15" s="1"/>
      <c r="TCF15" s="1"/>
      <c r="TCG15" s="1"/>
      <c r="TCH15" s="1"/>
      <c r="TCI15" s="1"/>
      <c r="TCJ15" s="1"/>
      <c r="TCK15" s="1"/>
      <c r="TCL15" s="1"/>
      <c r="TCM15" s="1"/>
      <c r="TCN15" s="1"/>
      <c r="TCO15" s="1"/>
      <c r="TCP15" s="1"/>
      <c r="TCQ15" s="1"/>
      <c r="TCR15" s="1"/>
      <c r="TCS15" s="1"/>
      <c r="TCT15" s="1"/>
      <c r="TCU15" s="1"/>
      <c r="TCV15" s="1"/>
      <c r="TCW15" s="1"/>
      <c r="TCX15" s="1"/>
      <c r="TCY15" s="1"/>
      <c r="TCZ15" s="1"/>
      <c r="TDA15" s="1"/>
      <c r="TDB15" s="1"/>
      <c r="TDC15" s="1"/>
      <c r="TDD15" s="1"/>
      <c r="TDE15" s="1"/>
      <c r="TDF15" s="1"/>
      <c r="TDG15" s="1"/>
      <c r="TDH15" s="1"/>
      <c r="TDI15" s="1"/>
      <c r="TDJ15" s="1"/>
      <c r="TDK15" s="1"/>
      <c r="TDL15" s="1"/>
      <c r="TDM15" s="1"/>
      <c r="TDN15" s="1"/>
      <c r="TDO15" s="1"/>
      <c r="TDP15" s="1"/>
      <c r="TDQ15" s="1"/>
      <c r="TDR15" s="1"/>
      <c r="TDS15" s="1"/>
      <c r="TDT15" s="1"/>
      <c r="TDU15" s="1"/>
      <c r="TDV15" s="1"/>
      <c r="TDW15" s="1"/>
      <c r="TDX15" s="1"/>
      <c r="TDY15" s="1"/>
      <c r="TDZ15" s="1"/>
      <c r="TEA15" s="1"/>
      <c r="TEB15" s="1"/>
      <c r="TEC15" s="1"/>
      <c r="TED15" s="1"/>
      <c r="TEE15" s="1"/>
      <c r="TEF15" s="1"/>
      <c r="TEG15" s="1"/>
      <c r="TEH15" s="1"/>
      <c r="TEI15" s="1"/>
      <c r="TEJ15" s="1"/>
      <c r="TEK15" s="1"/>
      <c r="TEL15" s="1"/>
      <c r="TEM15" s="1"/>
      <c r="TEN15" s="1"/>
      <c r="TEO15" s="1"/>
      <c r="TEP15" s="1"/>
      <c r="TEQ15" s="1"/>
      <c r="TER15" s="1"/>
      <c r="TES15" s="1"/>
      <c r="TET15" s="1"/>
      <c r="TEU15" s="1"/>
      <c r="TEV15" s="1"/>
      <c r="TEW15" s="1"/>
      <c r="TEX15" s="1"/>
      <c r="TEY15" s="1"/>
      <c r="TEZ15" s="1"/>
      <c r="TFA15" s="1"/>
      <c r="TFB15" s="1"/>
      <c r="TFC15" s="1"/>
      <c r="TFD15" s="1"/>
      <c r="TFE15" s="1"/>
      <c r="TFF15" s="1"/>
      <c r="TFG15" s="1"/>
      <c r="TFH15" s="1"/>
      <c r="TFI15" s="1"/>
      <c r="TFJ15" s="1"/>
      <c r="TFK15" s="1"/>
      <c r="TFL15" s="1"/>
      <c r="TFM15" s="1"/>
      <c r="TFN15" s="1"/>
      <c r="TFO15" s="1"/>
      <c r="TFP15" s="1"/>
      <c r="TFQ15" s="1"/>
      <c r="TFR15" s="1"/>
      <c r="TFS15" s="1"/>
      <c r="TFT15" s="1"/>
      <c r="TFU15" s="1"/>
      <c r="TFV15" s="1"/>
      <c r="TFW15" s="1"/>
      <c r="TFX15" s="1"/>
      <c r="TFY15" s="1"/>
      <c r="TFZ15" s="1"/>
      <c r="TGA15" s="1"/>
      <c r="TGB15" s="1"/>
      <c r="TGC15" s="1"/>
      <c r="TGD15" s="1"/>
      <c r="TGE15" s="1"/>
      <c r="TGF15" s="1"/>
      <c r="TGG15" s="1"/>
      <c r="TGH15" s="1"/>
      <c r="TGI15" s="1"/>
      <c r="TGJ15" s="1"/>
      <c r="TGK15" s="1"/>
      <c r="TGL15" s="1"/>
      <c r="TGM15" s="1"/>
      <c r="TGN15" s="1"/>
      <c r="TGO15" s="1"/>
      <c r="TGP15" s="1"/>
      <c r="TGQ15" s="1"/>
      <c r="TGR15" s="1"/>
      <c r="TGS15" s="1"/>
      <c r="TGT15" s="1"/>
      <c r="TGU15" s="1"/>
      <c r="TGV15" s="1"/>
      <c r="TGW15" s="1"/>
      <c r="TGX15" s="1"/>
      <c r="TGY15" s="1"/>
      <c r="TGZ15" s="1"/>
      <c r="THA15" s="1"/>
      <c r="THB15" s="1"/>
      <c r="THC15" s="1"/>
      <c r="THD15" s="1"/>
      <c r="THE15" s="1"/>
      <c r="THF15" s="1"/>
      <c r="THG15" s="1"/>
      <c r="THH15" s="1"/>
      <c r="THI15" s="1"/>
      <c r="THJ15" s="1"/>
      <c r="THK15" s="1"/>
      <c r="THL15" s="1"/>
      <c r="THM15" s="1"/>
      <c r="THN15" s="1"/>
      <c r="THO15" s="1"/>
      <c r="THP15" s="1"/>
      <c r="THQ15" s="1"/>
      <c r="THR15" s="1"/>
      <c r="THS15" s="1"/>
      <c r="THT15" s="1"/>
      <c r="THU15" s="1"/>
      <c r="THV15" s="1"/>
      <c r="THW15" s="1"/>
      <c r="THX15" s="1"/>
      <c r="THY15" s="1"/>
      <c r="THZ15" s="1"/>
      <c r="TIA15" s="1"/>
      <c r="TIB15" s="1"/>
      <c r="TIC15" s="1"/>
      <c r="TID15" s="1"/>
      <c r="TIE15" s="1"/>
      <c r="TIF15" s="1"/>
      <c r="TIG15" s="1"/>
      <c r="TIH15" s="1"/>
      <c r="TII15" s="1"/>
      <c r="TIJ15" s="1"/>
      <c r="TIK15" s="1"/>
      <c r="TIL15" s="1"/>
      <c r="TIM15" s="1"/>
      <c r="TIN15" s="1"/>
      <c r="TIO15" s="1"/>
      <c r="TIP15" s="1"/>
      <c r="TIQ15" s="1"/>
      <c r="TIR15" s="1"/>
      <c r="TIS15" s="1"/>
      <c r="TIT15" s="1"/>
      <c r="TIU15" s="1"/>
      <c r="TIV15" s="1"/>
      <c r="TIW15" s="1"/>
      <c r="TIX15" s="1"/>
      <c r="TIY15" s="1"/>
      <c r="TIZ15" s="1"/>
      <c r="TJA15" s="1"/>
      <c r="TJB15" s="1"/>
      <c r="TJC15" s="1"/>
      <c r="TJD15" s="1"/>
      <c r="TJE15" s="1"/>
      <c r="TJF15" s="1"/>
      <c r="TJG15" s="1"/>
      <c r="TJH15" s="1"/>
      <c r="TJI15" s="1"/>
      <c r="TJJ15" s="1"/>
      <c r="TJK15" s="1"/>
      <c r="TJL15" s="1"/>
      <c r="TJM15" s="1"/>
      <c r="TJN15" s="1"/>
      <c r="TJO15" s="1"/>
      <c r="TJP15" s="1"/>
      <c r="TJQ15" s="1"/>
      <c r="TJR15" s="1"/>
      <c r="TJS15" s="1"/>
      <c r="TJT15" s="1"/>
      <c r="TJU15" s="1"/>
      <c r="TJV15" s="1"/>
      <c r="TJW15" s="1"/>
      <c r="TJX15" s="1"/>
      <c r="TJY15" s="1"/>
      <c r="TJZ15" s="1"/>
      <c r="TKA15" s="1"/>
      <c r="TKB15" s="1"/>
      <c r="TKC15" s="1"/>
      <c r="TKD15" s="1"/>
      <c r="TKE15" s="1"/>
      <c r="TKF15" s="1"/>
      <c r="TKG15" s="1"/>
      <c r="TKH15" s="1"/>
      <c r="TKI15" s="1"/>
      <c r="TKJ15" s="1"/>
      <c r="TKK15" s="1"/>
      <c r="TKL15" s="1"/>
      <c r="TKM15" s="1"/>
      <c r="TKN15" s="1"/>
      <c r="TKO15" s="1"/>
      <c r="TKP15" s="1"/>
      <c r="TKQ15" s="1"/>
      <c r="TKR15" s="1"/>
      <c r="TKS15" s="1"/>
      <c r="TKT15" s="1"/>
      <c r="TKU15" s="1"/>
      <c r="TKV15" s="1"/>
      <c r="TKW15" s="1"/>
      <c r="TKX15" s="1"/>
      <c r="TKY15" s="1"/>
      <c r="TKZ15" s="1"/>
      <c r="TLA15" s="1"/>
      <c r="TLB15" s="1"/>
      <c r="TLC15" s="1"/>
      <c r="TLD15" s="1"/>
      <c r="TLE15" s="1"/>
      <c r="TLF15" s="1"/>
      <c r="TLG15" s="1"/>
      <c r="TLH15" s="1"/>
      <c r="TLI15" s="1"/>
      <c r="TLJ15" s="1"/>
      <c r="TLK15" s="1"/>
      <c r="TLL15" s="1"/>
      <c r="TLM15" s="1"/>
      <c r="TLN15" s="1"/>
      <c r="TLO15" s="1"/>
      <c r="TLP15" s="1"/>
      <c r="TLQ15" s="1"/>
      <c r="TLR15" s="1"/>
      <c r="TLS15" s="1"/>
      <c r="TLT15" s="1"/>
      <c r="TLU15" s="1"/>
      <c r="TLV15" s="1"/>
      <c r="TLW15" s="1"/>
      <c r="TLX15" s="1"/>
      <c r="TLY15" s="1"/>
      <c r="TLZ15" s="1"/>
      <c r="TMA15" s="1"/>
      <c r="TMB15" s="1"/>
      <c r="TMC15" s="1"/>
      <c r="TMD15" s="1"/>
      <c r="TME15" s="1"/>
      <c r="TMF15" s="1"/>
      <c r="TMG15" s="1"/>
      <c r="TMH15" s="1"/>
      <c r="TMI15" s="1"/>
      <c r="TMJ15" s="1"/>
      <c r="TMK15" s="1"/>
      <c r="TML15" s="1"/>
      <c r="TMM15" s="1"/>
      <c r="TMN15" s="1"/>
      <c r="TMO15" s="1"/>
      <c r="TMP15" s="1"/>
      <c r="TMQ15" s="1"/>
      <c r="TMR15" s="1"/>
      <c r="TMS15" s="1"/>
      <c r="TMT15" s="1"/>
      <c r="TMU15" s="1"/>
      <c r="TMV15" s="1"/>
      <c r="TMW15" s="1"/>
      <c r="TMX15" s="1"/>
      <c r="TMY15" s="1"/>
      <c r="TMZ15" s="1"/>
      <c r="TNA15" s="1"/>
      <c r="TNB15" s="1"/>
      <c r="TNC15" s="1"/>
      <c r="TND15" s="1"/>
      <c r="TNE15" s="1"/>
      <c r="TNF15" s="1"/>
      <c r="TNG15" s="1"/>
      <c r="TNH15" s="1"/>
      <c r="TNI15" s="1"/>
      <c r="TNJ15" s="1"/>
      <c r="TNK15" s="1"/>
      <c r="TNL15" s="1"/>
      <c r="TNM15" s="1"/>
      <c r="TNN15" s="1"/>
      <c r="TNO15" s="1"/>
      <c r="TNP15" s="1"/>
      <c r="TNQ15" s="1"/>
      <c r="TNR15" s="1"/>
      <c r="TNS15" s="1"/>
      <c r="TNT15" s="1"/>
      <c r="TNU15" s="1"/>
      <c r="TNV15" s="1"/>
      <c r="TNW15" s="1"/>
      <c r="TNX15" s="1"/>
      <c r="TNY15" s="1"/>
      <c r="TNZ15" s="1"/>
      <c r="TOA15" s="1"/>
      <c r="TOB15" s="1"/>
      <c r="TOC15" s="1"/>
      <c r="TOD15" s="1"/>
      <c r="TOE15" s="1"/>
      <c r="TOF15" s="1"/>
      <c r="TOG15" s="1"/>
      <c r="TOH15" s="1"/>
      <c r="TOI15" s="1"/>
      <c r="TOJ15" s="1"/>
      <c r="TOK15" s="1"/>
      <c r="TOL15" s="1"/>
      <c r="TOM15" s="1"/>
      <c r="TON15" s="1"/>
      <c r="TOO15" s="1"/>
      <c r="TOP15" s="1"/>
      <c r="TOQ15" s="1"/>
      <c r="TOR15" s="1"/>
      <c r="TOS15" s="1"/>
      <c r="TOT15" s="1"/>
      <c r="TOU15" s="1"/>
      <c r="TOV15" s="1"/>
      <c r="TOW15" s="1"/>
      <c r="TOX15" s="1"/>
      <c r="TOY15" s="1"/>
      <c r="TOZ15" s="1"/>
      <c r="TPA15" s="1"/>
      <c r="TPB15" s="1"/>
      <c r="TPC15" s="1"/>
      <c r="TPD15" s="1"/>
      <c r="TPE15" s="1"/>
      <c r="TPF15" s="1"/>
      <c r="TPG15" s="1"/>
      <c r="TPH15" s="1"/>
      <c r="TPI15" s="1"/>
      <c r="TPJ15" s="1"/>
      <c r="TPK15" s="1"/>
      <c r="TPL15" s="1"/>
      <c r="TPM15" s="1"/>
      <c r="TPN15" s="1"/>
      <c r="TPO15" s="1"/>
      <c r="TPP15" s="1"/>
      <c r="TPQ15" s="1"/>
      <c r="TPR15" s="1"/>
      <c r="TPS15" s="1"/>
      <c r="TPT15" s="1"/>
      <c r="TPU15" s="1"/>
      <c r="TPV15" s="1"/>
      <c r="TPW15" s="1"/>
      <c r="TPX15" s="1"/>
      <c r="TPY15" s="1"/>
      <c r="TPZ15" s="1"/>
      <c r="TQA15" s="1"/>
      <c r="TQB15" s="1"/>
      <c r="TQC15" s="1"/>
      <c r="TQD15" s="1"/>
      <c r="TQE15" s="1"/>
      <c r="TQF15" s="1"/>
      <c r="TQG15" s="1"/>
      <c r="TQH15" s="1"/>
      <c r="TQI15" s="1"/>
      <c r="TQJ15" s="1"/>
      <c r="TQK15" s="1"/>
      <c r="TQL15" s="1"/>
      <c r="TQM15" s="1"/>
      <c r="TQN15" s="1"/>
      <c r="TQO15" s="1"/>
      <c r="TQP15" s="1"/>
      <c r="TQQ15" s="1"/>
      <c r="TQR15" s="1"/>
      <c r="TQS15" s="1"/>
      <c r="TQT15" s="1"/>
      <c r="TQU15" s="1"/>
      <c r="TQV15" s="1"/>
      <c r="TQW15" s="1"/>
      <c r="TQX15" s="1"/>
      <c r="TQY15" s="1"/>
      <c r="TQZ15" s="1"/>
      <c r="TRA15" s="1"/>
      <c r="TRB15" s="1"/>
      <c r="TRC15" s="1"/>
      <c r="TRD15" s="1"/>
      <c r="TRE15" s="1"/>
      <c r="TRF15" s="1"/>
      <c r="TRG15" s="1"/>
      <c r="TRH15" s="1"/>
      <c r="TRI15" s="1"/>
      <c r="TRJ15" s="1"/>
      <c r="TRK15" s="1"/>
      <c r="TRL15" s="1"/>
      <c r="TRM15" s="1"/>
      <c r="TRN15" s="1"/>
      <c r="TRO15" s="1"/>
      <c r="TRP15" s="1"/>
      <c r="TRQ15" s="1"/>
      <c r="TRR15" s="1"/>
      <c r="TRS15" s="1"/>
      <c r="TRT15" s="1"/>
      <c r="TRU15" s="1"/>
      <c r="TRV15" s="1"/>
      <c r="TRW15" s="1"/>
      <c r="TRX15" s="1"/>
      <c r="TRY15" s="1"/>
      <c r="TRZ15" s="1"/>
      <c r="TSA15" s="1"/>
      <c r="TSB15" s="1"/>
      <c r="TSC15" s="1"/>
      <c r="TSD15" s="1"/>
      <c r="TSE15" s="1"/>
      <c r="TSF15" s="1"/>
      <c r="TSG15" s="1"/>
      <c r="TSH15" s="1"/>
      <c r="TSI15" s="1"/>
      <c r="TSJ15" s="1"/>
      <c r="TSK15" s="1"/>
      <c r="TSL15" s="1"/>
      <c r="TSM15" s="1"/>
      <c r="TSN15" s="1"/>
      <c r="TSO15" s="1"/>
      <c r="TSP15" s="1"/>
      <c r="TSQ15" s="1"/>
      <c r="TSR15" s="1"/>
      <c r="TSS15" s="1"/>
      <c r="TST15" s="1"/>
      <c r="TSU15" s="1"/>
      <c r="TSV15" s="1"/>
      <c r="TSW15" s="1"/>
      <c r="TSX15" s="1"/>
      <c r="TSY15" s="1"/>
      <c r="TSZ15" s="1"/>
      <c r="TTA15" s="1"/>
      <c r="TTB15" s="1"/>
      <c r="TTC15" s="1"/>
      <c r="TTD15" s="1"/>
      <c r="TTE15" s="1"/>
      <c r="TTF15" s="1"/>
      <c r="TTG15" s="1"/>
      <c r="TTH15" s="1"/>
      <c r="TTI15" s="1"/>
      <c r="TTJ15" s="1"/>
      <c r="TTK15" s="1"/>
      <c r="TTL15" s="1"/>
      <c r="TTM15" s="1"/>
      <c r="TTN15" s="1"/>
      <c r="TTO15" s="1"/>
      <c r="TTP15" s="1"/>
      <c r="TTQ15" s="1"/>
      <c r="TTR15" s="1"/>
      <c r="TTS15" s="1"/>
      <c r="TTT15" s="1"/>
      <c r="TTU15" s="1"/>
      <c r="TTV15" s="1"/>
      <c r="TTW15" s="1"/>
      <c r="TTX15" s="1"/>
      <c r="TTY15" s="1"/>
      <c r="TTZ15" s="1"/>
      <c r="TUA15" s="1"/>
      <c r="TUB15" s="1"/>
      <c r="TUC15" s="1"/>
      <c r="TUD15" s="1"/>
      <c r="TUE15" s="1"/>
      <c r="TUF15" s="1"/>
      <c r="TUG15" s="1"/>
      <c r="TUH15" s="1"/>
      <c r="TUI15" s="1"/>
      <c r="TUJ15" s="1"/>
      <c r="TUK15" s="1"/>
      <c r="TUL15" s="1"/>
      <c r="TUM15" s="1"/>
      <c r="TUN15" s="1"/>
      <c r="TUO15" s="1"/>
      <c r="TUP15" s="1"/>
      <c r="TUQ15" s="1"/>
      <c r="TUR15" s="1"/>
      <c r="TUS15" s="1"/>
      <c r="TUT15" s="1"/>
      <c r="TUU15" s="1"/>
      <c r="TUV15" s="1"/>
      <c r="TUW15" s="1"/>
      <c r="TUX15" s="1"/>
      <c r="TUY15" s="1"/>
      <c r="TUZ15" s="1"/>
      <c r="TVA15" s="1"/>
      <c r="TVB15" s="1"/>
      <c r="TVC15" s="1"/>
      <c r="TVD15" s="1"/>
      <c r="TVE15" s="1"/>
      <c r="TVF15" s="1"/>
      <c r="TVG15" s="1"/>
      <c r="TVH15" s="1"/>
      <c r="TVI15" s="1"/>
      <c r="TVJ15" s="1"/>
      <c r="TVK15" s="1"/>
      <c r="TVL15" s="1"/>
      <c r="TVM15" s="1"/>
      <c r="TVN15" s="1"/>
      <c r="TVO15" s="1"/>
      <c r="TVP15" s="1"/>
      <c r="TVQ15" s="1"/>
      <c r="TVR15" s="1"/>
      <c r="TVS15" s="1"/>
      <c r="TVT15" s="1"/>
      <c r="TVU15" s="1"/>
      <c r="TVV15" s="1"/>
      <c r="TVW15" s="1"/>
      <c r="TVX15" s="1"/>
      <c r="TVY15" s="1"/>
      <c r="TVZ15" s="1"/>
      <c r="TWA15" s="1"/>
      <c r="TWB15" s="1"/>
      <c r="TWC15" s="1"/>
      <c r="TWD15" s="1"/>
      <c r="TWE15" s="1"/>
      <c r="TWF15" s="1"/>
      <c r="TWG15" s="1"/>
      <c r="TWH15" s="1"/>
      <c r="TWI15" s="1"/>
      <c r="TWJ15" s="1"/>
      <c r="TWK15" s="1"/>
      <c r="TWL15" s="1"/>
      <c r="TWM15" s="1"/>
      <c r="TWN15" s="1"/>
      <c r="TWO15" s="1"/>
      <c r="TWP15" s="1"/>
      <c r="TWQ15" s="1"/>
      <c r="TWR15" s="1"/>
      <c r="TWS15" s="1"/>
      <c r="TWT15" s="1"/>
      <c r="TWU15" s="1"/>
      <c r="TWV15" s="1"/>
      <c r="TWW15" s="1"/>
      <c r="TWX15" s="1"/>
      <c r="TWY15" s="1"/>
      <c r="TWZ15" s="1"/>
      <c r="TXA15" s="1"/>
      <c r="TXB15" s="1"/>
      <c r="TXC15" s="1"/>
      <c r="TXD15" s="1"/>
      <c r="TXE15" s="1"/>
      <c r="TXF15" s="1"/>
      <c r="TXG15" s="1"/>
      <c r="TXH15" s="1"/>
      <c r="TXI15" s="1"/>
      <c r="TXJ15" s="1"/>
      <c r="TXK15" s="1"/>
      <c r="TXL15" s="1"/>
      <c r="TXM15" s="1"/>
      <c r="TXN15" s="1"/>
      <c r="TXO15" s="1"/>
      <c r="TXP15" s="1"/>
      <c r="TXQ15" s="1"/>
      <c r="TXR15" s="1"/>
      <c r="TXS15" s="1"/>
      <c r="TXT15" s="1"/>
      <c r="TXU15" s="1"/>
      <c r="TXV15" s="1"/>
      <c r="TXW15" s="1"/>
      <c r="TXX15" s="1"/>
      <c r="TXY15" s="1"/>
      <c r="TXZ15" s="1"/>
      <c r="TYA15" s="1"/>
      <c r="TYB15" s="1"/>
      <c r="TYC15" s="1"/>
      <c r="TYD15" s="1"/>
      <c r="TYE15" s="1"/>
      <c r="TYF15" s="1"/>
      <c r="TYG15" s="1"/>
      <c r="TYH15" s="1"/>
      <c r="TYI15" s="1"/>
      <c r="TYJ15" s="1"/>
      <c r="TYK15" s="1"/>
      <c r="TYL15" s="1"/>
      <c r="TYM15" s="1"/>
      <c r="TYN15" s="1"/>
      <c r="TYO15" s="1"/>
      <c r="TYP15" s="1"/>
      <c r="TYQ15" s="1"/>
      <c r="TYR15" s="1"/>
      <c r="TYS15" s="1"/>
      <c r="TYT15" s="1"/>
      <c r="TYU15" s="1"/>
      <c r="TYV15" s="1"/>
      <c r="TYW15" s="1"/>
      <c r="TYX15" s="1"/>
      <c r="TYY15" s="1"/>
      <c r="TYZ15" s="1"/>
      <c r="TZA15" s="1"/>
      <c r="TZB15" s="1"/>
      <c r="TZC15" s="1"/>
      <c r="TZD15" s="1"/>
      <c r="TZE15" s="1"/>
      <c r="TZF15" s="1"/>
      <c r="TZG15" s="1"/>
      <c r="TZH15" s="1"/>
      <c r="TZI15" s="1"/>
      <c r="TZJ15" s="1"/>
      <c r="TZK15" s="1"/>
      <c r="TZL15" s="1"/>
      <c r="TZM15" s="1"/>
      <c r="TZN15" s="1"/>
      <c r="TZO15" s="1"/>
      <c r="TZP15" s="1"/>
      <c r="TZQ15" s="1"/>
      <c r="TZR15" s="1"/>
      <c r="TZS15" s="1"/>
      <c r="TZT15" s="1"/>
      <c r="TZU15" s="1"/>
      <c r="TZV15" s="1"/>
      <c r="TZW15" s="1"/>
      <c r="TZX15" s="1"/>
      <c r="TZY15" s="1"/>
      <c r="TZZ15" s="1"/>
      <c r="UAA15" s="1"/>
      <c r="UAB15" s="1"/>
      <c r="UAC15" s="1"/>
      <c r="UAD15" s="1"/>
      <c r="UAE15" s="1"/>
      <c r="UAF15" s="1"/>
      <c r="UAG15" s="1"/>
      <c r="UAH15" s="1"/>
      <c r="UAI15" s="1"/>
      <c r="UAJ15" s="1"/>
      <c r="UAK15" s="1"/>
      <c r="UAL15" s="1"/>
      <c r="UAM15" s="1"/>
      <c r="UAN15" s="1"/>
      <c r="UAO15" s="1"/>
      <c r="UAP15" s="1"/>
      <c r="UAQ15" s="1"/>
      <c r="UAR15" s="1"/>
      <c r="UAS15" s="1"/>
      <c r="UAT15" s="1"/>
      <c r="UAU15" s="1"/>
      <c r="UAV15" s="1"/>
      <c r="UAW15" s="1"/>
      <c r="UAX15" s="1"/>
      <c r="UAY15" s="1"/>
      <c r="UAZ15" s="1"/>
      <c r="UBA15" s="1"/>
      <c r="UBB15" s="1"/>
      <c r="UBC15" s="1"/>
      <c r="UBD15" s="1"/>
      <c r="UBE15" s="1"/>
      <c r="UBF15" s="1"/>
      <c r="UBG15" s="1"/>
      <c r="UBH15" s="1"/>
      <c r="UBI15" s="1"/>
      <c r="UBJ15" s="1"/>
      <c r="UBK15" s="1"/>
      <c r="UBL15" s="1"/>
      <c r="UBM15" s="1"/>
      <c r="UBN15" s="1"/>
      <c r="UBO15" s="1"/>
      <c r="UBP15" s="1"/>
      <c r="UBQ15" s="1"/>
      <c r="UBR15" s="1"/>
      <c r="UBS15" s="1"/>
      <c r="UBT15" s="1"/>
      <c r="UBU15" s="1"/>
      <c r="UBV15" s="1"/>
      <c r="UBW15" s="1"/>
      <c r="UBX15" s="1"/>
      <c r="UBY15" s="1"/>
      <c r="UBZ15" s="1"/>
      <c r="UCA15" s="1"/>
      <c r="UCB15" s="1"/>
      <c r="UCC15" s="1"/>
      <c r="UCD15" s="1"/>
      <c r="UCE15" s="1"/>
      <c r="UCF15" s="1"/>
      <c r="UCG15" s="1"/>
      <c r="UCH15" s="1"/>
      <c r="UCI15" s="1"/>
      <c r="UCJ15" s="1"/>
      <c r="UCK15" s="1"/>
      <c r="UCL15" s="1"/>
      <c r="UCM15" s="1"/>
      <c r="UCN15" s="1"/>
      <c r="UCO15" s="1"/>
      <c r="UCP15" s="1"/>
      <c r="UCQ15" s="1"/>
      <c r="UCR15" s="1"/>
      <c r="UCS15" s="1"/>
      <c r="UCT15" s="1"/>
      <c r="UCU15" s="1"/>
      <c r="UCV15" s="1"/>
      <c r="UCW15" s="1"/>
      <c r="UCX15" s="1"/>
      <c r="UCY15" s="1"/>
      <c r="UCZ15" s="1"/>
      <c r="UDA15" s="1"/>
      <c r="UDB15" s="1"/>
      <c r="UDC15" s="1"/>
      <c r="UDD15" s="1"/>
      <c r="UDE15" s="1"/>
      <c r="UDF15" s="1"/>
      <c r="UDG15" s="1"/>
      <c r="UDH15" s="1"/>
      <c r="UDI15" s="1"/>
      <c r="UDJ15" s="1"/>
      <c r="UDK15" s="1"/>
      <c r="UDL15" s="1"/>
      <c r="UDM15" s="1"/>
      <c r="UDN15" s="1"/>
      <c r="UDO15" s="1"/>
      <c r="UDP15" s="1"/>
      <c r="UDQ15" s="1"/>
      <c r="UDR15" s="1"/>
      <c r="UDS15" s="1"/>
      <c r="UDT15" s="1"/>
      <c r="UDU15" s="1"/>
      <c r="UDV15" s="1"/>
      <c r="UDW15" s="1"/>
      <c r="UDX15" s="1"/>
      <c r="UDY15" s="1"/>
      <c r="UDZ15" s="1"/>
      <c r="UEA15" s="1"/>
      <c r="UEB15" s="1"/>
      <c r="UEC15" s="1"/>
      <c r="UED15" s="1"/>
      <c r="UEE15" s="1"/>
      <c r="UEF15" s="1"/>
      <c r="UEG15" s="1"/>
      <c r="UEH15" s="1"/>
      <c r="UEI15" s="1"/>
      <c r="UEJ15" s="1"/>
      <c r="UEK15" s="1"/>
      <c r="UEL15" s="1"/>
      <c r="UEM15" s="1"/>
      <c r="UEN15" s="1"/>
      <c r="UEO15" s="1"/>
      <c r="UEP15" s="1"/>
      <c r="UEQ15" s="1"/>
      <c r="UER15" s="1"/>
      <c r="UES15" s="1"/>
      <c r="UET15" s="1"/>
      <c r="UEU15" s="1"/>
      <c r="UEV15" s="1"/>
      <c r="UEW15" s="1"/>
      <c r="UEX15" s="1"/>
      <c r="UEY15" s="1"/>
      <c r="UEZ15" s="1"/>
      <c r="UFA15" s="1"/>
      <c r="UFB15" s="1"/>
      <c r="UFC15" s="1"/>
      <c r="UFD15" s="1"/>
      <c r="UFE15" s="1"/>
      <c r="UFF15" s="1"/>
      <c r="UFG15" s="1"/>
      <c r="UFH15" s="1"/>
      <c r="UFI15" s="1"/>
      <c r="UFJ15" s="1"/>
      <c r="UFK15" s="1"/>
      <c r="UFL15" s="1"/>
      <c r="UFM15" s="1"/>
      <c r="UFN15" s="1"/>
      <c r="UFO15" s="1"/>
      <c r="UFP15" s="1"/>
      <c r="UFQ15" s="1"/>
      <c r="UFR15" s="1"/>
      <c r="UFS15" s="1"/>
      <c r="UFT15" s="1"/>
      <c r="UFU15" s="1"/>
      <c r="UFV15" s="1"/>
      <c r="UFW15" s="1"/>
      <c r="UFX15" s="1"/>
      <c r="UFY15" s="1"/>
      <c r="UFZ15" s="1"/>
      <c r="UGA15" s="1"/>
      <c r="UGB15" s="1"/>
      <c r="UGC15" s="1"/>
      <c r="UGD15" s="1"/>
      <c r="UGE15" s="1"/>
      <c r="UGF15" s="1"/>
      <c r="UGG15" s="1"/>
      <c r="UGH15" s="1"/>
      <c r="UGI15" s="1"/>
      <c r="UGJ15" s="1"/>
      <c r="UGK15" s="1"/>
      <c r="UGL15" s="1"/>
      <c r="UGM15" s="1"/>
      <c r="UGN15" s="1"/>
      <c r="UGO15" s="1"/>
      <c r="UGP15" s="1"/>
      <c r="UGQ15" s="1"/>
      <c r="UGR15" s="1"/>
      <c r="UGS15" s="1"/>
      <c r="UGT15" s="1"/>
      <c r="UGU15" s="1"/>
      <c r="UGV15" s="1"/>
      <c r="UGW15" s="1"/>
      <c r="UGX15" s="1"/>
      <c r="UGY15" s="1"/>
      <c r="UGZ15" s="1"/>
      <c r="UHA15" s="1"/>
      <c r="UHB15" s="1"/>
      <c r="UHC15" s="1"/>
      <c r="UHD15" s="1"/>
      <c r="UHE15" s="1"/>
      <c r="UHF15" s="1"/>
      <c r="UHG15" s="1"/>
      <c r="UHH15" s="1"/>
      <c r="UHI15" s="1"/>
      <c r="UHJ15" s="1"/>
      <c r="UHK15" s="1"/>
      <c r="UHL15" s="1"/>
      <c r="UHM15" s="1"/>
      <c r="UHN15" s="1"/>
      <c r="UHO15" s="1"/>
      <c r="UHP15" s="1"/>
      <c r="UHQ15" s="1"/>
      <c r="UHR15" s="1"/>
      <c r="UHS15" s="1"/>
      <c r="UHT15" s="1"/>
      <c r="UHU15" s="1"/>
      <c r="UHV15" s="1"/>
      <c r="UHW15" s="1"/>
      <c r="UHX15" s="1"/>
      <c r="UHY15" s="1"/>
      <c r="UHZ15" s="1"/>
      <c r="UIA15" s="1"/>
      <c r="UIB15" s="1"/>
      <c r="UIC15" s="1"/>
      <c r="UID15" s="1"/>
      <c r="UIE15" s="1"/>
      <c r="UIF15" s="1"/>
      <c r="UIG15" s="1"/>
      <c r="UIH15" s="1"/>
      <c r="UII15" s="1"/>
      <c r="UIJ15" s="1"/>
      <c r="UIK15" s="1"/>
      <c r="UIL15" s="1"/>
      <c r="UIM15" s="1"/>
      <c r="UIN15" s="1"/>
      <c r="UIO15" s="1"/>
      <c r="UIP15" s="1"/>
      <c r="UIQ15" s="1"/>
      <c r="UIR15" s="1"/>
      <c r="UIS15" s="1"/>
      <c r="UIT15" s="1"/>
      <c r="UIU15" s="1"/>
      <c r="UIV15" s="1"/>
      <c r="UIW15" s="1"/>
      <c r="UIX15" s="1"/>
      <c r="UIY15" s="1"/>
      <c r="UIZ15" s="1"/>
      <c r="UJA15" s="1"/>
      <c r="UJB15" s="1"/>
      <c r="UJC15" s="1"/>
      <c r="UJD15" s="1"/>
      <c r="UJE15" s="1"/>
      <c r="UJF15" s="1"/>
      <c r="UJG15" s="1"/>
      <c r="UJH15" s="1"/>
      <c r="UJI15" s="1"/>
      <c r="UJJ15" s="1"/>
      <c r="UJK15" s="1"/>
      <c r="UJL15" s="1"/>
      <c r="UJM15" s="1"/>
      <c r="UJN15" s="1"/>
      <c r="UJO15" s="1"/>
      <c r="UJP15" s="1"/>
      <c r="UJQ15" s="1"/>
      <c r="UJR15" s="1"/>
      <c r="UJS15" s="1"/>
      <c r="UJT15" s="1"/>
      <c r="UJU15" s="1"/>
      <c r="UJV15" s="1"/>
      <c r="UJW15" s="1"/>
      <c r="UJX15" s="1"/>
      <c r="UJY15" s="1"/>
      <c r="UJZ15" s="1"/>
      <c r="UKA15" s="1"/>
      <c r="UKB15" s="1"/>
      <c r="UKC15" s="1"/>
      <c r="UKD15" s="1"/>
      <c r="UKE15" s="1"/>
      <c r="UKF15" s="1"/>
      <c r="UKG15" s="1"/>
      <c r="UKH15" s="1"/>
      <c r="UKI15" s="1"/>
      <c r="UKJ15" s="1"/>
      <c r="UKK15" s="1"/>
      <c r="UKL15" s="1"/>
      <c r="UKM15" s="1"/>
      <c r="UKN15" s="1"/>
      <c r="UKO15" s="1"/>
      <c r="UKP15" s="1"/>
      <c r="UKQ15" s="1"/>
      <c r="UKR15" s="1"/>
      <c r="UKS15" s="1"/>
      <c r="UKT15" s="1"/>
      <c r="UKU15" s="1"/>
      <c r="UKV15" s="1"/>
      <c r="UKW15" s="1"/>
      <c r="UKX15" s="1"/>
      <c r="UKY15" s="1"/>
      <c r="UKZ15" s="1"/>
      <c r="ULA15" s="1"/>
      <c r="ULB15" s="1"/>
      <c r="ULC15" s="1"/>
      <c r="ULD15" s="1"/>
      <c r="ULE15" s="1"/>
      <c r="ULF15" s="1"/>
      <c r="ULG15" s="1"/>
      <c r="ULH15" s="1"/>
      <c r="ULI15" s="1"/>
      <c r="ULJ15" s="1"/>
      <c r="ULK15" s="1"/>
      <c r="ULL15" s="1"/>
      <c r="ULM15" s="1"/>
      <c r="ULN15" s="1"/>
      <c r="ULO15" s="1"/>
      <c r="ULP15" s="1"/>
      <c r="ULQ15" s="1"/>
      <c r="ULR15" s="1"/>
      <c r="ULS15" s="1"/>
      <c r="ULT15" s="1"/>
      <c r="ULU15" s="1"/>
      <c r="ULV15" s="1"/>
      <c r="ULW15" s="1"/>
      <c r="ULX15" s="1"/>
      <c r="ULY15" s="1"/>
      <c r="ULZ15" s="1"/>
      <c r="UMA15" s="1"/>
      <c r="UMB15" s="1"/>
      <c r="UMC15" s="1"/>
      <c r="UMD15" s="1"/>
      <c r="UME15" s="1"/>
      <c r="UMF15" s="1"/>
      <c r="UMG15" s="1"/>
      <c r="UMH15" s="1"/>
      <c r="UMI15" s="1"/>
      <c r="UMJ15" s="1"/>
      <c r="UMK15" s="1"/>
      <c r="UML15" s="1"/>
      <c r="UMM15" s="1"/>
      <c r="UMN15" s="1"/>
      <c r="UMO15" s="1"/>
      <c r="UMP15" s="1"/>
      <c r="UMQ15" s="1"/>
      <c r="UMR15" s="1"/>
      <c r="UMS15" s="1"/>
      <c r="UMT15" s="1"/>
      <c r="UMU15" s="1"/>
      <c r="UMV15" s="1"/>
      <c r="UMW15" s="1"/>
      <c r="UMX15" s="1"/>
      <c r="UMY15" s="1"/>
      <c r="UMZ15" s="1"/>
      <c r="UNA15" s="1"/>
      <c r="UNB15" s="1"/>
      <c r="UNC15" s="1"/>
      <c r="UND15" s="1"/>
      <c r="UNE15" s="1"/>
      <c r="UNF15" s="1"/>
      <c r="UNG15" s="1"/>
      <c r="UNH15" s="1"/>
      <c r="UNI15" s="1"/>
      <c r="UNJ15" s="1"/>
      <c r="UNK15" s="1"/>
      <c r="UNL15" s="1"/>
      <c r="UNM15" s="1"/>
      <c r="UNN15" s="1"/>
      <c r="UNO15" s="1"/>
      <c r="UNP15" s="1"/>
      <c r="UNQ15" s="1"/>
      <c r="UNR15" s="1"/>
      <c r="UNS15" s="1"/>
      <c r="UNT15" s="1"/>
      <c r="UNU15" s="1"/>
      <c r="UNV15" s="1"/>
      <c r="UNW15" s="1"/>
      <c r="UNX15" s="1"/>
      <c r="UNY15" s="1"/>
      <c r="UNZ15" s="1"/>
      <c r="UOA15" s="1"/>
      <c r="UOB15" s="1"/>
      <c r="UOC15" s="1"/>
      <c r="UOD15" s="1"/>
      <c r="UOE15" s="1"/>
      <c r="UOF15" s="1"/>
      <c r="UOG15" s="1"/>
      <c r="UOH15" s="1"/>
      <c r="UOI15" s="1"/>
      <c r="UOJ15" s="1"/>
      <c r="UOK15" s="1"/>
      <c r="UOL15" s="1"/>
      <c r="UOM15" s="1"/>
      <c r="UON15" s="1"/>
      <c r="UOO15" s="1"/>
      <c r="UOP15" s="1"/>
      <c r="UOQ15" s="1"/>
      <c r="UOR15" s="1"/>
      <c r="UOS15" s="1"/>
      <c r="UOT15" s="1"/>
      <c r="UOU15" s="1"/>
      <c r="UOV15" s="1"/>
      <c r="UOW15" s="1"/>
      <c r="UOX15" s="1"/>
      <c r="UOY15" s="1"/>
      <c r="UOZ15" s="1"/>
      <c r="UPA15" s="1"/>
      <c r="UPB15" s="1"/>
      <c r="UPC15" s="1"/>
      <c r="UPD15" s="1"/>
      <c r="UPE15" s="1"/>
      <c r="UPF15" s="1"/>
      <c r="UPG15" s="1"/>
      <c r="UPH15" s="1"/>
      <c r="UPI15" s="1"/>
      <c r="UPJ15" s="1"/>
      <c r="UPK15" s="1"/>
      <c r="UPL15" s="1"/>
      <c r="UPM15" s="1"/>
      <c r="UPN15" s="1"/>
      <c r="UPO15" s="1"/>
      <c r="UPP15" s="1"/>
      <c r="UPQ15" s="1"/>
      <c r="UPR15" s="1"/>
      <c r="UPS15" s="1"/>
      <c r="UPT15" s="1"/>
      <c r="UPU15" s="1"/>
      <c r="UPV15" s="1"/>
      <c r="UPW15" s="1"/>
      <c r="UPX15" s="1"/>
      <c r="UPY15" s="1"/>
      <c r="UPZ15" s="1"/>
      <c r="UQA15" s="1"/>
      <c r="UQB15" s="1"/>
      <c r="UQC15" s="1"/>
      <c r="UQD15" s="1"/>
      <c r="UQE15" s="1"/>
      <c r="UQF15" s="1"/>
      <c r="UQG15" s="1"/>
      <c r="UQH15" s="1"/>
      <c r="UQI15" s="1"/>
      <c r="UQJ15" s="1"/>
      <c r="UQK15" s="1"/>
      <c r="UQL15" s="1"/>
      <c r="UQM15" s="1"/>
      <c r="UQN15" s="1"/>
      <c r="UQO15" s="1"/>
      <c r="UQP15" s="1"/>
      <c r="UQQ15" s="1"/>
      <c r="UQR15" s="1"/>
      <c r="UQS15" s="1"/>
      <c r="UQT15" s="1"/>
      <c r="UQU15" s="1"/>
      <c r="UQV15" s="1"/>
      <c r="UQW15" s="1"/>
      <c r="UQX15" s="1"/>
      <c r="UQY15" s="1"/>
      <c r="UQZ15" s="1"/>
      <c r="URA15" s="1"/>
      <c r="URB15" s="1"/>
      <c r="URC15" s="1"/>
      <c r="URD15" s="1"/>
      <c r="URE15" s="1"/>
      <c r="URF15" s="1"/>
      <c r="URG15" s="1"/>
      <c r="URH15" s="1"/>
      <c r="URI15" s="1"/>
      <c r="URJ15" s="1"/>
      <c r="URK15" s="1"/>
      <c r="URL15" s="1"/>
      <c r="URM15" s="1"/>
      <c r="URN15" s="1"/>
      <c r="URO15" s="1"/>
      <c r="URP15" s="1"/>
      <c r="URQ15" s="1"/>
      <c r="URR15" s="1"/>
      <c r="URS15" s="1"/>
      <c r="URT15" s="1"/>
      <c r="URU15" s="1"/>
      <c r="URV15" s="1"/>
      <c r="URW15" s="1"/>
      <c r="URX15" s="1"/>
      <c r="URY15" s="1"/>
      <c r="URZ15" s="1"/>
      <c r="USA15" s="1"/>
      <c r="USB15" s="1"/>
      <c r="USC15" s="1"/>
      <c r="USD15" s="1"/>
      <c r="USE15" s="1"/>
      <c r="USF15" s="1"/>
      <c r="USG15" s="1"/>
      <c r="USH15" s="1"/>
      <c r="USI15" s="1"/>
      <c r="USJ15" s="1"/>
      <c r="USK15" s="1"/>
      <c r="USL15" s="1"/>
      <c r="USM15" s="1"/>
      <c r="USN15" s="1"/>
      <c r="USO15" s="1"/>
      <c r="USP15" s="1"/>
      <c r="USQ15" s="1"/>
      <c r="USR15" s="1"/>
      <c r="USS15" s="1"/>
      <c r="UST15" s="1"/>
      <c r="USU15" s="1"/>
      <c r="USV15" s="1"/>
      <c r="USW15" s="1"/>
      <c r="USX15" s="1"/>
      <c r="USY15" s="1"/>
      <c r="USZ15" s="1"/>
      <c r="UTA15" s="1"/>
      <c r="UTB15" s="1"/>
      <c r="UTC15" s="1"/>
      <c r="UTD15" s="1"/>
      <c r="UTE15" s="1"/>
      <c r="UTF15" s="1"/>
      <c r="UTG15" s="1"/>
      <c r="UTH15" s="1"/>
      <c r="UTI15" s="1"/>
      <c r="UTJ15" s="1"/>
      <c r="UTK15" s="1"/>
      <c r="UTL15" s="1"/>
      <c r="UTM15" s="1"/>
      <c r="UTN15" s="1"/>
      <c r="UTO15" s="1"/>
      <c r="UTP15" s="1"/>
      <c r="UTQ15" s="1"/>
      <c r="UTR15" s="1"/>
      <c r="UTS15" s="1"/>
      <c r="UTT15" s="1"/>
      <c r="UTU15" s="1"/>
      <c r="UTV15" s="1"/>
      <c r="UTW15" s="1"/>
      <c r="UTX15" s="1"/>
      <c r="UTY15" s="1"/>
      <c r="UTZ15" s="1"/>
      <c r="UUA15" s="1"/>
      <c r="UUB15" s="1"/>
      <c r="UUC15" s="1"/>
      <c r="UUD15" s="1"/>
      <c r="UUE15" s="1"/>
      <c r="UUF15" s="1"/>
      <c r="UUG15" s="1"/>
      <c r="UUH15" s="1"/>
      <c r="UUI15" s="1"/>
      <c r="UUJ15" s="1"/>
      <c r="UUK15" s="1"/>
      <c r="UUL15" s="1"/>
      <c r="UUM15" s="1"/>
      <c r="UUN15" s="1"/>
      <c r="UUO15" s="1"/>
      <c r="UUP15" s="1"/>
      <c r="UUQ15" s="1"/>
      <c r="UUR15" s="1"/>
      <c r="UUS15" s="1"/>
      <c r="UUT15" s="1"/>
      <c r="UUU15" s="1"/>
      <c r="UUV15" s="1"/>
      <c r="UUW15" s="1"/>
      <c r="UUX15" s="1"/>
      <c r="UUY15" s="1"/>
      <c r="UUZ15" s="1"/>
      <c r="UVA15" s="1"/>
      <c r="UVB15" s="1"/>
      <c r="UVC15" s="1"/>
      <c r="UVD15" s="1"/>
      <c r="UVE15" s="1"/>
      <c r="UVF15" s="1"/>
      <c r="UVG15" s="1"/>
      <c r="UVH15" s="1"/>
      <c r="UVI15" s="1"/>
      <c r="UVJ15" s="1"/>
      <c r="UVK15" s="1"/>
      <c r="UVL15" s="1"/>
      <c r="UVM15" s="1"/>
      <c r="UVN15" s="1"/>
      <c r="UVO15" s="1"/>
      <c r="UVP15" s="1"/>
      <c r="UVQ15" s="1"/>
      <c r="UVR15" s="1"/>
      <c r="UVS15" s="1"/>
      <c r="UVT15" s="1"/>
      <c r="UVU15" s="1"/>
      <c r="UVV15" s="1"/>
      <c r="UVW15" s="1"/>
      <c r="UVX15" s="1"/>
      <c r="UVY15" s="1"/>
      <c r="UVZ15" s="1"/>
      <c r="UWA15" s="1"/>
      <c r="UWB15" s="1"/>
      <c r="UWC15" s="1"/>
      <c r="UWD15" s="1"/>
      <c r="UWE15" s="1"/>
      <c r="UWF15" s="1"/>
      <c r="UWG15" s="1"/>
      <c r="UWH15" s="1"/>
      <c r="UWI15" s="1"/>
      <c r="UWJ15" s="1"/>
      <c r="UWK15" s="1"/>
      <c r="UWL15" s="1"/>
      <c r="UWM15" s="1"/>
      <c r="UWN15" s="1"/>
      <c r="UWO15" s="1"/>
      <c r="UWP15" s="1"/>
      <c r="UWQ15" s="1"/>
      <c r="UWR15" s="1"/>
      <c r="UWS15" s="1"/>
      <c r="UWT15" s="1"/>
      <c r="UWU15" s="1"/>
      <c r="UWV15" s="1"/>
      <c r="UWW15" s="1"/>
      <c r="UWX15" s="1"/>
      <c r="UWY15" s="1"/>
      <c r="UWZ15" s="1"/>
      <c r="UXA15" s="1"/>
      <c r="UXB15" s="1"/>
      <c r="UXC15" s="1"/>
      <c r="UXD15" s="1"/>
      <c r="UXE15" s="1"/>
      <c r="UXF15" s="1"/>
      <c r="UXG15" s="1"/>
      <c r="UXH15" s="1"/>
      <c r="UXI15" s="1"/>
      <c r="UXJ15" s="1"/>
      <c r="UXK15" s="1"/>
      <c r="UXL15" s="1"/>
      <c r="UXM15" s="1"/>
      <c r="UXN15" s="1"/>
      <c r="UXO15" s="1"/>
      <c r="UXP15" s="1"/>
      <c r="UXQ15" s="1"/>
      <c r="UXR15" s="1"/>
      <c r="UXS15" s="1"/>
      <c r="UXT15" s="1"/>
      <c r="UXU15" s="1"/>
      <c r="UXV15" s="1"/>
      <c r="UXW15" s="1"/>
      <c r="UXX15" s="1"/>
      <c r="UXY15" s="1"/>
      <c r="UXZ15" s="1"/>
      <c r="UYA15" s="1"/>
      <c r="UYB15" s="1"/>
      <c r="UYC15" s="1"/>
      <c r="UYD15" s="1"/>
      <c r="UYE15" s="1"/>
      <c r="UYF15" s="1"/>
      <c r="UYG15" s="1"/>
      <c r="UYH15" s="1"/>
      <c r="UYI15" s="1"/>
      <c r="UYJ15" s="1"/>
      <c r="UYK15" s="1"/>
      <c r="UYL15" s="1"/>
      <c r="UYM15" s="1"/>
      <c r="UYN15" s="1"/>
      <c r="UYO15" s="1"/>
      <c r="UYP15" s="1"/>
      <c r="UYQ15" s="1"/>
      <c r="UYR15" s="1"/>
      <c r="UYS15" s="1"/>
      <c r="UYT15" s="1"/>
      <c r="UYU15" s="1"/>
      <c r="UYV15" s="1"/>
      <c r="UYW15" s="1"/>
      <c r="UYX15" s="1"/>
      <c r="UYY15" s="1"/>
      <c r="UYZ15" s="1"/>
      <c r="UZA15" s="1"/>
      <c r="UZB15" s="1"/>
      <c r="UZC15" s="1"/>
      <c r="UZD15" s="1"/>
      <c r="UZE15" s="1"/>
      <c r="UZF15" s="1"/>
      <c r="UZG15" s="1"/>
      <c r="UZH15" s="1"/>
      <c r="UZI15" s="1"/>
      <c r="UZJ15" s="1"/>
      <c r="UZK15" s="1"/>
      <c r="UZL15" s="1"/>
      <c r="UZM15" s="1"/>
      <c r="UZN15" s="1"/>
      <c r="UZO15" s="1"/>
      <c r="UZP15" s="1"/>
      <c r="UZQ15" s="1"/>
      <c r="UZR15" s="1"/>
      <c r="UZS15" s="1"/>
      <c r="UZT15" s="1"/>
      <c r="UZU15" s="1"/>
      <c r="UZV15" s="1"/>
      <c r="UZW15" s="1"/>
      <c r="UZX15" s="1"/>
      <c r="UZY15" s="1"/>
      <c r="UZZ15" s="1"/>
      <c r="VAA15" s="1"/>
      <c r="VAB15" s="1"/>
      <c r="VAC15" s="1"/>
      <c r="VAD15" s="1"/>
      <c r="VAE15" s="1"/>
      <c r="VAF15" s="1"/>
      <c r="VAG15" s="1"/>
      <c r="VAH15" s="1"/>
      <c r="VAI15" s="1"/>
      <c r="VAJ15" s="1"/>
      <c r="VAK15" s="1"/>
      <c r="VAL15" s="1"/>
      <c r="VAM15" s="1"/>
      <c r="VAN15" s="1"/>
      <c r="VAO15" s="1"/>
      <c r="VAP15" s="1"/>
      <c r="VAQ15" s="1"/>
      <c r="VAR15" s="1"/>
      <c r="VAS15" s="1"/>
      <c r="VAT15" s="1"/>
      <c r="VAU15" s="1"/>
      <c r="VAV15" s="1"/>
      <c r="VAW15" s="1"/>
      <c r="VAX15" s="1"/>
      <c r="VAY15" s="1"/>
      <c r="VAZ15" s="1"/>
      <c r="VBA15" s="1"/>
      <c r="VBB15" s="1"/>
      <c r="VBC15" s="1"/>
      <c r="VBD15" s="1"/>
      <c r="VBE15" s="1"/>
      <c r="VBF15" s="1"/>
      <c r="VBG15" s="1"/>
      <c r="VBH15" s="1"/>
      <c r="VBI15" s="1"/>
      <c r="VBJ15" s="1"/>
      <c r="VBK15" s="1"/>
      <c r="VBL15" s="1"/>
      <c r="VBM15" s="1"/>
      <c r="VBN15" s="1"/>
      <c r="VBO15" s="1"/>
      <c r="VBP15" s="1"/>
      <c r="VBQ15" s="1"/>
      <c r="VBR15" s="1"/>
      <c r="VBS15" s="1"/>
      <c r="VBT15" s="1"/>
      <c r="VBU15" s="1"/>
      <c r="VBV15" s="1"/>
      <c r="VBW15" s="1"/>
      <c r="VBX15" s="1"/>
      <c r="VBY15" s="1"/>
      <c r="VBZ15" s="1"/>
      <c r="VCA15" s="1"/>
      <c r="VCB15" s="1"/>
      <c r="VCC15" s="1"/>
      <c r="VCD15" s="1"/>
      <c r="VCE15" s="1"/>
      <c r="VCF15" s="1"/>
      <c r="VCG15" s="1"/>
      <c r="VCH15" s="1"/>
      <c r="VCI15" s="1"/>
      <c r="VCJ15" s="1"/>
      <c r="VCK15" s="1"/>
      <c r="VCL15" s="1"/>
      <c r="VCM15" s="1"/>
      <c r="VCN15" s="1"/>
      <c r="VCO15" s="1"/>
      <c r="VCP15" s="1"/>
      <c r="VCQ15" s="1"/>
      <c r="VCR15" s="1"/>
      <c r="VCS15" s="1"/>
      <c r="VCT15" s="1"/>
      <c r="VCU15" s="1"/>
      <c r="VCV15" s="1"/>
      <c r="VCW15" s="1"/>
      <c r="VCX15" s="1"/>
      <c r="VCY15" s="1"/>
      <c r="VCZ15" s="1"/>
      <c r="VDA15" s="1"/>
      <c r="VDB15" s="1"/>
      <c r="VDC15" s="1"/>
      <c r="VDD15" s="1"/>
      <c r="VDE15" s="1"/>
      <c r="VDF15" s="1"/>
      <c r="VDG15" s="1"/>
      <c r="VDH15" s="1"/>
      <c r="VDI15" s="1"/>
      <c r="VDJ15" s="1"/>
      <c r="VDK15" s="1"/>
      <c r="VDL15" s="1"/>
      <c r="VDM15" s="1"/>
      <c r="VDN15" s="1"/>
      <c r="VDO15" s="1"/>
      <c r="VDP15" s="1"/>
      <c r="VDQ15" s="1"/>
      <c r="VDR15" s="1"/>
      <c r="VDS15" s="1"/>
      <c r="VDT15" s="1"/>
      <c r="VDU15" s="1"/>
      <c r="VDV15" s="1"/>
      <c r="VDW15" s="1"/>
      <c r="VDX15" s="1"/>
      <c r="VDY15" s="1"/>
      <c r="VDZ15" s="1"/>
      <c r="VEA15" s="1"/>
      <c r="VEB15" s="1"/>
      <c r="VEC15" s="1"/>
      <c r="VED15" s="1"/>
      <c r="VEE15" s="1"/>
      <c r="VEF15" s="1"/>
      <c r="VEG15" s="1"/>
      <c r="VEH15" s="1"/>
      <c r="VEI15" s="1"/>
      <c r="VEJ15" s="1"/>
      <c r="VEK15" s="1"/>
      <c r="VEL15" s="1"/>
      <c r="VEM15" s="1"/>
      <c r="VEN15" s="1"/>
      <c r="VEO15" s="1"/>
      <c r="VEP15" s="1"/>
      <c r="VEQ15" s="1"/>
      <c r="VER15" s="1"/>
      <c r="VES15" s="1"/>
      <c r="VET15" s="1"/>
      <c r="VEU15" s="1"/>
      <c r="VEV15" s="1"/>
      <c r="VEW15" s="1"/>
      <c r="VEX15" s="1"/>
      <c r="VEY15" s="1"/>
      <c r="VEZ15" s="1"/>
      <c r="VFA15" s="1"/>
      <c r="VFB15" s="1"/>
      <c r="VFC15" s="1"/>
      <c r="VFD15" s="1"/>
      <c r="VFE15" s="1"/>
      <c r="VFF15" s="1"/>
      <c r="VFG15" s="1"/>
      <c r="VFH15" s="1"/>
      <c r="VFI15" s="1"/>
      <c r="VFJ15" s="1"/>
      <c r="VFK15" s="1"/>
      <c r="VFL15" s="1"/>
      <c r="VFM15" s="1"/>
      <c r="VFN15" s="1"/>
      <c r="VFO15" s="1"/>
      <c r="VFP15" s="1"/>
      <c r="VFQ15" s="1"/>
      <c r="VFR15" s="1"/>
      <c r="VFS15" s="1"/>
      <c r="VFT15" s="1"/>
      <c r="VFU15" s="1"/>
      <c r="VFV15" s="1"/>
      <c r="VFW15" s="1"/>
      <c r="VFX15" s="1"/>
      <c r="VFY15" s="1"/>
      <c r="VFZ15" s="1"/>
      <c r="VGA15" s="1"/>
      <c r="VGB15" s="1"/>
      <c r="VGC15" s="1"/>
      <c r="VGD15" s="1"/>
      <c r="VGE15" s="1"/>
      <c r="VGF15" s="1"/>
      <c r="VGG15" s="1"/>
      <c r="VGH15" s="1"/>
      <c r="VGI15" s="1"/>
      <c r="VGJ15" s="1"/>
      <c r="VGK15" s="1"/>
      <c r="VGL15" s="1"/>
      <c r="VGM15" s="1"/>
      <c r="VGN15" s="1"/>
      <c r="VGO15" s="1"/>
      <c r="VGP15" s="1"/>
      <c r="VGQ15" s="1"/>
      <c r="VGR15" s="1"/>
      <c r="VGS15" s="1"/>
      <c r="VGT15" s="1"/>
      <c r="VGU15" s="1"/>
      <c r="VGV15" s="1"/>
      <c r="VGW15" s="1"/>
      <c r="VGX15" s="1"/>
      <c r="VGY15" s="1"/>
      <c r="VGZ15" s="1"/>
      <c r="VHA15" s="1"/>
      <c r="VHB15" s="1"/>
      <c r="VHC15" s="1"/>
      <c r="VHD15" s="1"/>
      <c r="VHE15" s="1"/>
      <c r="VHF15" s="1"/>
      <c r="VHG15" s="1"/>
      <c r="VHH15" s="1"/>
      <c r="VHI15" s="1"/>
      <c r="VHJ15" s="1"/>
      <c r="VHK15" s="1"/>
      <c r="VHL15" s="1"/>
      <c r="VHM15" s="1"/>
      <c r="VHN15" s="1"/>
      <c r="VHO15" s="1"/>
      <c r="VHP15" s="1"/>
      <c r="VHQ15" s="1"/>
      <c r="VHR15" s="1"/>
      <c r="VHS15" s="1"/>
      <c r="VHT15" s="1"/>
      <c r="VHU15" s="1"/>
      <c r="VHV15" s="1"/>
      <c r="VHW15" s="1"/>
      <c r="VHX15" s="1"/>
      <c r="VHY15" s="1"/>
      <c r="VHZ15" s="1"/>
      <c r="VIA15" s="1"/>
      <c r="VIB15" s="1"/>
      <c r="VIC15" s="1"/>
      <c r="VID15" s="1"/>
      <c r="VIE15" s="1"/>
      <c r="VIF15" s="1"/>
      <c r="VIG15" s="1"/>
      <c r="VIH15" s="1"/>
      <c r="VII15" s="1"/>
      <c r="VIJ15" s="1"/>
      <c r="VIK15" s="1"/>
      <c r="VIL15" s="1"/>
      <c r="VIM15" s="1"/>
      <c r="VIN15" s="1"/>
      <c r="VIO15" s="1"/>
      <c r="VIP15" s="1"/>
      <c r="VIQ15" s="1"/>
      <c r="VIR15" s="1"/>
      <c r="VIS15" s="1"/>
      <c r="VIT15" s="1"/>
      <c r="VIU15" s="1"/>
      <c r="VIV15" s="1"/>
      <c r="VIW15" s="1"/>
      <c r="VIX15" s="1"/>
      <c r="VIY15" s="1"/>
      <c r="VIZ15" s="1"/>
      <c r="VJA15" s="1"/>
      <c r="VJB15" s="1"/>
      <c r="VJC15" s="1"/>
      <c r="VJD15" s="1"/>
      <c r="VJE15" s="1"/>
      <c r="VJF15" s="1"/>
      <c r="VJG15" s="1"/>
      <c r="VJH15" s="1"/>
      <c r="VJI15" s="1"/>
      <c r="VJJ15" s="1"/>
      <c r="VJK15" s="1"/>
      <c r="VJL15" s="1"/>
      <c r="VJM15" s="1"/>
      <c r="VJN15" s="1"/>
      <c r="VJO15" s="1"/>
      <c r="VJP15" s="1"/>
      <c r="VJQ15" s="1"/>
      <c r="VJR15" s="1"/>
      <c r="VJS15" s="1"/>
      <c r="VJT15" s="1"/>
      <c r="VJU15" s="1"/>
      <c r="VJV15" s="1"/>
      <c r="VJW15" s="1"/>
      <c r="VJX15" s="1"/>
      <c r="VJY15" s="1"/>
      <c r="VJZ15" s="1"/>
      <c r="VKA15" s="1"/>
      <c r="VKB15" s="1"/>
      <c r="VKC15" s="1"/>
      <c r="VKD15" s="1"/>
      <c r="VKE15" s="1"/>
      <c r="VKF15" s="1"/>
      <c r="VKG15" s="1"/>
      <c r="VKH15" s="1"/>
      <c r="VKI15" s="1"/>
      <c r="VKJ15" s="1"/>
      <c r="VKK15" s="1"/>
      <c r="VKL15" s="1"/>
      <c r="VKM15" s="1"/>
      <c r="VKN15" s="1"/>
      <c r="VKO15" s="1"/>
      <c r="VKP15" s="1"/>
      <c r="VKQ15" s="1"/>
      <c r="VKR15" s="1"/>
      <c r="VKS15" s="1"/>
      <c r="VKT15" s="1"/>
      <c r="VKU15" s="1"/>
      <c r="VKV15" s="1"/>
      <c r="VKW15" s="1"/>
      <c r="VKX15" s="1"/>
      <c r="VKY15" s="1"/>
      <c r="VKZ15" s="1"/>
      <c r="VLA15" s="1"/>
      <c r="VLB15" s="1"/>
      <c r="VLC15" s="1"/>
      <c r="VLD15" s="1"/>
      <c r="VLE15" s="1"/>
      <c r="VLF15" s="1"/>
      <c r="VLG15" s="1"/>
      <c r="VLH15" s="1"/>
      <c r="VLI15" s="1"/>
      <c r="VLJ15" s="1"/>
      <c r="VLK15" s="1"/>
      <c r="VLL15" s="1"/>
      <c r="VLM15" s="1"/>
      <c r="VLN15" s="1"/>
      <c r="VLO15" s="1"/>
      <c r="VLP15" s="1"/>
      <c r="VLQ15" s="1"/>
      <c r="VLR15" s="1"/>
      <c r="VLS15" s="1"/>
      <c r="VLT15" s="1"/>
      <c r="VLU15" s="1"/>
      <c r="VLV15" s="1"/>
      <c r="VLW15" s="1"/>
      <c r="VLX15" s="1"/>
      <c r="VLY15" s="1"/>
      <c r="VLZ15" s="1"/>
      <c r="VMA15" s="1"/>
      <c r="VMB15" s="1"/>
      <c r="VMC15" s="1"/>
      <c r="VMD15" s="1"/>
      <c r="VME15" s="1"/>
      <c r="VMF15" s="1"/>
      <c r="VMG15" s="1"/>
      <c r="VMH15" s="1"/>
      <c r="VMI15" s="1"/>
      <c r="VMJ15" s="1"/>
      <c r="VMK15" s="1"/>
      <c r="VML15" s="1"/>
      <c r="VMM15" s="1"/>
      <c r="VMN15" s="1"/>
      <c r="VMO15" s="1"/>
      <c r="VMP15" s="1"/>
      <c r="VMQ15" s="1"/>
      <c r="VMR15" s="1"/>
      <c r="VMS15" s="1"/>
      <c r="VMT15" s="1"/>
      <c r="VMU15" s="1"/>
      <c r="VMV15" s="1"/>
      <c r="VMW15" s="1"/>
      <c r="VMX15" s="1"/>
      <c r="VMY15" s="1"/>
      <c r="VMZ15" s="1"/>
      <c r="VNA15" s="1"/>
      <c r="VNB15" s="1"/>
      <c r="VNC15" s="1"/>
      <c r="VND15" s="1"/>
      <c r="VNE15" s="1"/>
      <c r="VNF15" s="1"/>
      <c r="VNG15" s="1"/>
      <c r="VNH15" s="1"/>
      <c r="VNI15" s="1"/>
      <c r="VNJ15" s="1"/>
      <c r="VNK15" s="1"/>
      <c r="VNL15" s="1"/>
      <c r="VNM15" s="1"/>
      <c r="VNN15" s="1"/>
      <c r="VNO15" s="1"/>
      <c r="VNP15" s="1"/>
      <c r="VNQ15" s="1"/>
      <c r="VNR15" s="1"/>
      <c r="VNS15" s="1"/>
      <c r="VNT15" s="1"/>
      <c r="VNU15" s="1"/>
      <c r="VNV15" s="1"/>
      <c r="VNW15" s="1"/>
      <c r="VNX15" s="1"/>
      <c r="VNY15" s="1"/>
      <c r="VNZ15" s="1"/>
      <c r="VOA15" s="1"/>
      <c r="VOB15" s="1"/>
      <c r="VOC15" s="1"/>
      <c r="VOD15" s="1"/>
      <c r="VOE15" s="1"/>
      <c r="VOF15" s="1"/>
      <c r="VOG15" s="1"/>
      <c r="VOH15" s="1"/>
      <c r="VOI15" s="1"/>
      <c r="VOJ15" s="1"/>
      <c r="VOK15" s="1"/>
      <c r="VOL15" s="1"/>
      <c r="VOM15" s="1"/>
      <c r="VON15" s="1"/>
      <c r="VOO15" s="1"/>
      <c r="VOP15" s="1"/>
      <c r="VOQ15" s="1"/>
      <c r="VOR15" s="1"/>
      <c r="VOS15" s="1"/>
      <c r="VOT15" s="1"/>
      <c r="VOU15" s="1"/>
      <c r="VOV15" s="1"/>
      <c r="VOW15" s="1"/>
      <c r="VOX15" s="1"/>
      <c r="VOY15" s="1"/>
      <c r="VOZ15" s="1"/>
      <c r="VPA15" s="1"/>
      <c r="VPB15" s="1"/>
      <c r="VPC15" s="1"/>
      <c r="VPD15" s="1"/>
      <c r="VPE15" s="1"/>
      <c r="VPF15" s="1"/>
      <c r="VPG15" s="1"/>
      <c r="VPH15" s="1"/>
      <c r="VPI15" s="1"/>
      <c r="VPJ15" s="1"/>
      <c r="VPK15" s="1"/>
      <c r="VPL15" s="1"/>
      <c r="VPM15" s="1"/>
      <c r="VPN15" s="1"/>
      <c r="VPO15" s="1"/>
      <c r="VPP15" s="1"/>
      <c r="VPQ15" s="1"/>
      <c r="VPR15" s="1"/>
      <c r="VPS15" s="1"/>
      <c r="VPT15" s="1"/>
      <c r="VPU15" s="1"/>
      <c r="VPV15" s="1"/>
      <c r="VPW15" s="1"/>
      <c r="VPX15" s="1"/>
      <c r="VPY15" s="1"/>
      <c r="VPZ15" s="1"/>
      <c r="VQA15" s="1"/>
      <c r="VQB15" s="1"/>
      <c r="VQC15" s="1"/>
      <c r="VQD15" s="1"/>
      <c r="VQE15" s="1"/>
      <c r="VQF15" s="1"/>
      <c r="VQG15" s="1"/>
      <c r="VQH15" s="1"/>
      <c r="VQI15" s="1"/>
      <c r="VQJ15" s="1"/>
      <c r="VQK15" s="1"/>
      <c r="VQL15" s="1"/>
      <c r="VQM15" s="1"/>
      <c r="VQN15" s="1"/>
      <c r="VQO15" s="1"/>
      <c r="VQP15" s="1"/>
      <c r="VQQ15" s="1"/>
      <c r="VQR15" s="1"/>
      <c r="VQS15" s="1"/>
      <c r="VQT15" s="1"/>
      <c r="VQU15" s="1"/>
      <c r="VQV15" s="1"/>
      <c r="VQW15" s="1"/>
      <c r="VQX15" s="1"/>
      <c r="VQY15" s="1"/>
      <c r="VQZ15" s="1"/>
      <c r="VRA15" s="1"/>
      <c r="VRB15" s="1"/>
      <c r="VRC15" s="1"/>
      <c r="VRD15" s="1"/>
      <c r="VRE15" s="1"/>
      <c r="VRF15" s="1"/>
      <c r="VRG15" s="1"/>
      <c r="VRH15" s="1"/>
      <c r="VRI15" s="1"/>
      <c r="VRJ15" s="1"/>
      <c r="VRK15" s="1"/>
      <c r="VRL15" s="1"/>
      <c r="VRM15" s="1"/>
      <c r="VRN15" s="1"/>
      <c r="VRO15" s="1"/>
      <c r="VRP15" s="1"/>
      <c r="VRQ15" s="1"/>
      <c r="VRR15" s="1"/>
      <c r="VRS15" s="1"/>
      <c r="VRT15" s="1"/>
      <c r="VRU15" s="1"/>
      <c r="VRV15" s="1"/>
      <c r="VRW15" s="1"/>
      <c r="VRX15" s="1"/>
      <c r="VRY15" s="1"/>
      <c r="VRZ15" s="1"/>
      <c r="VSA15" s="1"/>
      <c r="VSB15" s="1"/>
      <c r="VSC15" s="1"/>
      <c r="VSD15" s="1"/>
      <c r="VSE15" s="1"/>
      <c r="VSF15" s="1"/>
      <c r="VSG15" s="1"/>
      <c r="VSH15" s="1"/>
      <c r="VSI15" s="1"/>
      <c r="VSJ15" s="1"/>
      <c r="VSK15" s="1"/>
      <c r="VSL15" s="1"/>
      <c r="VSM15" s="1"/>
      <c r="VSN15" s="1"/>
      <c r="VSO15" s="1"/>
      <c r="VSP15" s="1"/>
      <c r="VSQ15" s="1"/>
      <c r="VSR15" s="1"/>
      <c r="VSS15" s="1"/>
      <c r="VST15" s="1"/>
      <c r="VSU15" s="1"/>
      <c r="VSV15" s="1"/>
      <c r="VSW15" s="1"/>
      <c r="VSX15" s="1"/>
      <c r="VSY15" s="1"/>
      <c r="VSZ15" s="1"/>
      <c r="VTA15" s="1"/>
      <c r="VTB15" s="1"/>
      <c r="VTC15" s="1"/>
      <c r="VTD15" s="1"/>
      <c r="VTE15" s="1"/>
      <c r="VTF15" s="1"/>
      <c r="VTG15" s="1"/>
      <c r="VTH15" s="1"/>
      <c r="VTI15" s="1"/>
      <c r="VTJ15" s="1"/>
      <c r="VTK15" s="1"/>
      <c r="VTL15" s="1"/>
      <c r="VTM15" s="1"/>
      <c r="VTN15" s="1"/>
      <c r="VTO15" s="1"/>
      <c r="VTP15" s="1"/>
      <c r="VTQ15" s="1"/>
      <c r="VTR15" s="1"/>
      <c r="VTS15" s="1"/>
      <c r="VTT15" s="1"/>
      <c r="VTU15" s="1"/>
      <c r="VTV15" s="1"/>
      <c r="VTW15" s="1"/>
      <c r="VTX15" s="1"/>
      <c r="VTY15" s="1"/>
      <c r="VTZ15" s="1"/>
      <c r="VUA15" s="1"/>
      <c r="VUB15" s="1"/>
      <c r="VUC15" s="1"/>
      <c r="VUD15" s="1"/>
      <c r="VUE15" s="1"/>
      <c r="VUF15" s="1"/>
      <c r="VUG15" s="1"/>
      <c r="VUH15" s="1"/>
      <c r="VUI15" s="1"/>
      <c r="VUJ15" s="1"/>
      <c r="VUK15" s="1"/>
      <c r="VUL15" s="1"/>
      <c r="VUM15" s="1"/>
      <c r="VUN15" s="1"/>
      <c r="VUO15" s="1"/>
      <c r="VUP15" s="1"/>
      <c r="VUQ15" s="1"/>
      <c r="VUR15" s="1"/>
      <c r="VUS15" s="1"/>
      <c r="VUT15" s="1"/>
      <c r="VUU15" s="1"/>
      <c r="VUV15" s="1"/>
      <c r="VUW15" s="1"/>
      <c r="VUX15" s="1"/>
      <c r="VUY15" s="1"/>
      <c r="VUZ15" s="1"/>
      <c r="VVA15" s="1"/>
      <c r="VVB15" s="1"/>
      <c r="VVC15" s="1"/>
      <c r="VVD15" s="1"/>
      <c r="VVE15" s="1"/>
      <c r="VVF15" s="1"/>
      <c r="VVG15" s="1"/>
      <c r="VVH15" s="1"/>
      <c r="VVI15" s="1"/>
      <c r="VVJ15" s="1"/>
      <c r="VVK15" s="1"/>
      <c r="VVL15" s="1"/>
      <c r="VVM15" s="1"/>
      <c r="VVN15" s="1"/>
      <c r="VVO15" s="1"/>
      <c r="VVP15" s="1"/>
      <c r="VVQ15" s="1"/>
      <c r="VVR15" s="1"/>
      <c r="VVS15" s="1"/>
      <c r="VVT15" s="1"/>
      <c r="VVU15" s="1"/>
      <c r="VVV15" s="1"/>
      <c r="VVW15" s="1"/>
      <c r="VVX15" s="1"/>
      <c r="VVY15" s="1"/>
      <c r="VVZ15" s="1"/>
      <c r="VWA15" s="1"/>
      <c r="VWB15" s="1"/>
      <c r="VWC15" s="1"/>
      <c r="VWD15" s="1"/>
      <c r="VWE15" s="1"/>
      <c r="VWF15" s="1"/>
      <c r="VWG15" s="1"/>
      <c r="VWH15" s="1"/>
      <c r="VWI15" s="1"/>
      <c r="VWJ15" s="1"/>
      <c r="VWK15" s="1"/>
      <c r="VWL15" s="1"/>
      <c r="VWM15" s="1"/>
      <c r="VWN15" s="1"/>
      <c r="VWO15" s="1"/>
      <c r="VWP15" s="1"/>
      <c r="VWQ15" s="1"/>
      <c r="VWR15" s="1"/>
      <c r="VWS15" s="1"/>
      <c r="VWT15" s="1"/>
      <c r="VWU15" s="1"/>
      <c r="VWV15" s="1"/>
      <c r="VWW15" s="1"/>
      <c r="VWX15" s="1"/>
      <c r="VWY15" s="1"/>
      <c r="VWZ15" s="1"/>
      <c r="VXA15" s="1"/>
      <c r="VXB15" s="1"/>
      <c r="VXC15" s="1"/>
      <c r="VXD15" s="1"/>
      <c r="VXE15" s="1"/>
      <c r="VXF15" s="1"/>
      <c r="VXG15" s="1"/>
      <c r="VXH15" s="1"/>
      <c r="VXI15" s="1"/>
      <c r="VXJ15" s="1"/>
      <c r="VXK15" s="1"/>
      <c r="VXL15" s="1"/>
      <c r="VXM15" s="1"/>
      <c r="VXN15" s="1"/>
      <c r="VXO15" s="1"/>
      <c r="VXP15" s="1"/>
      <c r="VXQ15" s="1"/>
      <c r="VXR15" s="1"/>
      <c r="VXS15" s="1"/>
      <c r="VXT15" s="1"/>
      <c r="VXU15" s="1"/>
      <c r="VXV15" s="1"/>
      <c r="VXW15" s="1"/>
      <c r="VXX15" s="1"/>
      <c r="VXY15" s="1"/>
      <c r="VXZ15" s="1"/>
      <c r="VYA15" s="1"/>
      <c r="VYB15" s="1"/>
      <c r="VYC15" s="1"/>
      <c r="VYD15" s="1"/>
      <c r="VYE15" s="1"/>
      <c r="VYF15" s="1"/>
      <c r="VYG15" s="1"/>
      <c r="VYH15" s="1"/>
      <c r="VYI15" s="1"/>
      <c r="VYJ15" s="1"/>
      <c r="VYK15" s="1"/>
      <c r="VYL15" s="1"/>
      <c r="VYM15" s="1"/>
      <c r="VYN15" s="1"/>
      <c r="VYO15" s="1"/>
      <c r="VYP15" s="1"/>
      <c r="VYQ15" s="1"/>
      <c r="VYR15" s="1"/>
      <c r="VYS15" s="1"/>
      <c r="VYT15" s="1"/>
      <c r="VYU15" s="1"/>
      <c r="VYV15" s="1"/>
      <c r="VYW15" s="1"/>
      <c r="VYX15" s="1"/>
      <c r="VYY15" s="1"/>
      <c r="VYZ15" s="1"/>
      <c r="VZA15" s="1"/>
      <c r="VZB15" s="1"/>
      <c r="VZC15" s="1"/>
      <c r="VZD15" s="1"/>
      <c r="VZE15" s="1"/>
      <c r="VZF15" s="1"/>
      <c r="VZG15" s="1"/>
      <c r="VZH15" s="1"/>
      <c r="VZI15" s="1"/>
      <c r="VZJ15" s="1"/>
      <c r="VZK15" s="1"/>
      <c r="VZL15" s="1"/>
      <c r="VZM15" s="1"/>
      <c r="VZN15" s="1"/>
      <c r="VZO15" s="1"/>
      <c r="VZP15" s="1"/>
      <c r="VZQ15" s="1"/>
      <c r="VZR15" s="1"/>
      <c r="VZS15" s="1"/>
      <c r="VZT15" s="1"/>
      <c r="VZU15" s="1"/>
      <c r="VZV15" s="1"/>
      <c r="VZW15" s="1"/>
      <c r="VZX15" s="1"/>
      <c r="VZY15" s="1"/>
      <c r="VZZ15" s="1"/>
      <c r="WAA15" s="1"/>
      <c r="WAB15" s="1"/>
      <c r="WAC15" s="1"/>
      <c r="WAD15" s="1"/>
      <c r="WAE15" s="1"/>
      <c r="WAF15" s="1"/>
      <c r="WAG15" s="1"/>
      <c r="WAH15" s="1"/>
      <c r="WAI15" s="1"/>
      <c r="WAJ15" s="1"/>
      <c r="WAK15" s="1"/>
      <c r="WAL15" s="1"/>
      <c r="WAM15" s="1"/>
      <c r="WAN15" s="1"/>
      <c r="WAO15" s="1"/>
      <c r="WAP15" s="1"/>
      <c r="WAQ15" s="1"/>
      <c r="WAR15" s="1"/>
      <c r="WAS15" s="1"/>
      <c r="WAT15" s="1"/>
      <c r="WAU15" s="1"/>
      <c r="WAV15" s="1"/>
      <c r="WAW15" s="1"/>
      <c r="WAX15" s="1"/>
      <c r="WAY15" s="1"/>
      <c r="WAZ15" s="1"/>
      <c r="WBA15" s="1"/>
      <c r="WBB15" s="1"/>
      <c r="WBC15" s="1"/>
      <c r="WBD15" s="1"/>
      <c r="WBE15" s="1"/>
      <c r="WBF15" s="1"/>
      <c r="WBG15" s="1"/>
      <c r="WBH15" s="1"/>
      <c r="WBI15" s="1"/>
      <c r="WBJ15" s="1"/>
      <c r="WBK15" s="1"/>
      <c r="WBL15" s="1"/>
      <c r="WBM15" s="1"/>
      <c r="WBN15" s="1"/>
      <c r="WBO15" s="1"/>
      <c r="WBP15" s="1"/>
      <c r="WBQ15" s="1"/>
      <c r="WBR15" s="1"/>
      <c r="WBS15" s="1"/>
      <c r="WBT15" s="1"/>
      <c r="WBU15" s="1"/>
      <c r="WBV15" s="1"/>
      <c r="WBW15" s="1"/>
      <c r="WBX15" s="1"/>
      <c r="WBY15" s="1"/>
      <c r="WBZ15" s="1"/>
      <c r="WCA15" s="1"/>
      <c r="WCB15" s="1"/>
      <c r="WCC15" s="1"/>
      <c r="WCD15" s="1"/>
      <c r="WCE15" s="1"/>
      <c r="WCF15" s="1"/>
      <c r="WCG15" s="1"/>
      <c r="WCH15" s="1"/>
      <c r="WCI15" s="1"/>
      <c r="WCJ15" s="1"/>
      <c r="WCK15" s="1"/>
      <c r="WCL15" s="1"/>
      <c r="WCM15" s="1"/>
      <c r="WCN15" s="1"/>
      <c r="WCO15" s="1"/>
      <c r="WCP15" s="1"/>
      <c r="WCQ15" s="1"/>
      <c r="WCR15" s="1"/>
      <c r="WCS15" s="1"/>
      <c r="WCT15" s="1"/>
      <c r="WCU15" s="1"/>
      <c r="WCV15" s="1"/>
      <c r="WCW15" s="1"/>
      <c r="WCX15" s="1"/>
      <c r="WCY15" s="1"/>
      <c r="WCZ15" s="1"/>
      <c r="WDA15" s="1"/>
      <c r="WDB15" s="1"/>
      <c r="WDC15" s="1"/>
      <c r="WDD15" s="1"/>
      <c r="WDE15" s="1"/>
      <c r="WDF15" s="1"/>
      <c r="WDG15" s="1"/>
      <c r="WDH15" s="1"/>
      <c r="WDI15" s="1"/>
      <c r="WDJ15" s="1"/>
      <c r="WDK15" s="1"/>
      <c r="WDL15" s="1"/>
      <c r="WDM15" s="1"/>
      <c r="WDN15" s="1"/>
      <c r="WDO15" s="1"/>
      <c r="WDP15" s="1"/>
      <c r="WDQ15" s="1"/>
      <c r="WDR15" s="1"/>
      <c r="WDS15" s="1"/>
      <c r="WDT15" s="1"/>
      <c r="WDU15" s="1"/>
      <c r="WDV15" s="1"/>
      <c r="WDW15" s="1"/>
      <c r="WDX15" s="1"/>
      <c r="WDY15" s="1"/>
      <c r="WDZ15" s="1"/>
      <c r="WEA15" s="1"/>
      <c r="WEB15" s="1"/>
      <c r="WEC15" s="1"/>
      <c r="WED15" s="1"/>
      <c r="WEE15" s="1"/>
      <c r="WEF15" s="1"/>
      <c r="WEG15" s="1"/>
      <c r="WEH15" s="1"/>
      <c r="WEI15" s="1"/>
      <c r="WEJ15" s="1"/>
      <c r="WEK15" s="1"/>
      <c r="WEL15" s="1"/>
      <c r="WEM15" s="1"/>
      <c r="WEN15" s="1"/>
      <c r="WEO15" s="1"/>
      <c r="WEP15" s="1"/>
      <c r="WEQ15" s="1"/>
      <c r="WER15" s="1"/>
      <c r="WES15" s="1"/>
      <c r="WET15" s="1"/>
      <c r="WEU15" s="1"/>
      <c r="WEV15" s="1"/>
      <c r="WEW15" s="1"/>
      <c r="WEX15" s="1"/>
      <c r="WEY15" s="1"/>
      <c r="WEZ15" s="1"/>
      <c r="WFA15" s="1"/>
      <c r="WFB15" s="1"/>
      <c r="WFC15" s="1"/>
      <c r="WFD15" s="1"/>
      <c r="WFE15" s="1"/>
      <c r="WFF15" s="1"/>
      <c r="WFG15" s="1"/>
      <c r="WFH15" s="1"/>
      <c r="WFI15" s="1"/>
      <c r="WFJ15" s="1"/>
      <c r="WFK15" s="1"/>
      <c r="WFL15" s="1"/>
      <c r="WFM15" s="1"/>
      <c r="WFN15" s="1"/>
      <c r="WFO15" s="1"/>
      <c r="WFP15" s="1"/>
      <c r="WFQ15" s="1"/>
      <c r="WFR15" s="1"/>
      <c r="WFS15" s="1"/>
      <c r="WFT15" s="1"/>
      <c r="WFU15" s="1"/>
      <c r="WFV15" s="1"/>
      <c r="WFW15" s="1"/>
      <c r="WFX15" s="1"/>
      <c r="WFY15" s="1"/>
      <c r="WFZ15" s="1"/>
      <c r="WGA15" s="1"/>
      <c r="WGB15" s="1"/>
      <c r="WGC15" s="1"/>
      <c r="WGD15" s="1"/>
      <c r="WGE15" s="1"/>
      <c r="WGF15" s="1"/>
      <c r="WGG15" s="1"/>
      <c r="WGH15" s="1"/>
      <c r="WGI15" s="1"/>
      <c r="WGJ15" s="1"/>
      <c r="WGK15" s="1"/>
      <c r="WGL15" s="1"/>
      <c r="WGM15" s="1"/>
      <c r="WGN15" s="1"/>
      <c r="WGO15" s="1"/>
      <c r="WGP15" s="1"/>
      <c r="WGQ15" s="1"/>
      <c r="WGR15" s="1"/>
      <c r="WGS15" s="1"/>
      <c r="WGT15" s="1"/>
      <c r="WGU15" s="1"/>
      <c r="WGV15" s="1"/>
      <c r="WGW15" s="1"/>
      <c r="WGX15" s="1"/>
      <c r="WGY15" s="1"/>
      <c r="WGZ15" s="1"/>
      <c r="WHA15" s="1"/>
      <c r="WHB15" s="1"/>
      <c r="WHC15" s="1"/>
      <c r="WHD15" s="1"/>
      <c r="WHE15" s="1"/>
      <c r="WHF15" s="1"/>
      <c r="WHG15" s="1"/>
      <c r="WHH15" s="1"/>
      <c r="WHI15" s="1"/>
      <c r="WHJ15" s="1"/>
      <c r="WHK15" s="1"/>
      <c r="WHL15" s="1"/>
      <c r="WHM15" s="1"/>
      <c r="WHN15" s="1"/>
      <c r="WHO15" s="1"/>
      <c r="WHP15" s="1"/>
      <c r="WHQ15" s="1"/>
      <c r="WHR15" s="1"/>
      <c r="WHS15" s="1"/>
      <c r="WHT15" s="1"/>
      <c r="WHU15" s="1"/>
      <c r="WHV15" s="1"/>
      <c r="WHW15" s="1"/>
      <c r="WHX15" s="1"/>
      <c r="WHY15" s="1"/>
      <c r="WHZ15" s="1"/>
      <c r="WIA15" s="1"/>
      <c r="WIB15" s="1"/>
      <c r="WIC15" s="1"/>
      <c r="WID15" s="1"/>
      <c r="WIE15" s="1"/>
      <c r="WIF15" s="1"/>
      <c r="WIG15" s="1"/>
      <c r="WIH15" s="1"/>
      <c r="WII15" s="1"/>
      <c r="WIJ15" s="1"/>
      <c r="WIK15" s="1"/>
      <c r="WIL15" s="1"/>
      <c r="WIM15" s="1"/>
      <c r="WIN15" s="1"/>
      <c r="WIO15" s="1"/>
      <c r="WIP15" s="1"/>
      <c r="WIQ15" s="1"/>
      <c r="WIR15" s="1"/>
      <c r="WIS15" s="1"/>
      <c r="WIT15" s="1"/>
      <c r="WIU15" s="1"/>
      <c r="WIV15" s="1"/>
      <c r="WIW15" s="1"/>
      <c r="WIX15" s="1"/>
      <c r="WIY15" s="1"/>
      <c r="WIZ15" s="1"/>
      <c r="WJA15" s="1"/>
      <c r="WJB15" s="1"/>
      <c r="WJC15" s="1"/>
      <c r="WJD15" s="1"/>
      <c r="WJE15" s="1"/>
      <c r="WJF15" s="1"/>
      <c r="WJG15" s="1"/>
      <c r="WJH15" s="1"/>
      <c r="WJI15" s="1"/>
      <c r="WJJ15" s="1"/>
      <c r="WJK15" s="1"/>
      <c r="WJL15" s="1"/>
      <c r="WJM15" s="1"/>
      <c r="WJN15" s="1"/>
      <c r="WJO15" s="1"/>
      <c r="WJP15" s="1"/>
      <c r="WJQ15" s="1"/>
      <c r="WJR15" s="1"/>
      <c r="WJS15" s="1"/>
      <c r="WJT15" s="1"/>
      <c r="WJU15" s="1"/>
      <c r="WJV15" s="1"/>
      <c r="WJW15" s="1"/>
      <c r="WJX15" s="1"/>
      <c r="WJY15" s="1"/>
      <c r="WJZ15" s="1"/>
      <c r="WKA15" s="1"/>
      <c r="WKB15" s="1"/>
      <c r="WKC15" s="1"/>
      <c r="WKD15" s="1"/>
      <c r="WKE15" s="1"/>
      <c r="WKF15" s="1"/>
      <c r="WKG15" s="1"/>
      <c r="WKH15" s="1"/>
      <c r="WKI15" s="1"/>
      <c r="WKJ15" s="1"/>
      <c r="WKK15" s="1"/>
      <c r="WKL15" s="1"/>
      <c r="WKM15" s="1"/>
      <c r="WKN15" s="1"/>
      <c r="WKO15" s="1"/>
      <c r="WKP15" s="1"/>
      <c r="WKQ15" s="1"/>
      <c r="WKR15" s="1"/>
      <c r="WKS15" s="1"/>
      <c r="WKT15" s="1"/>
      <c r="WKU15" s="1"/>
      <c r="WKV15" s="1"/>
      <c r="WKW15" s="1"/>
      <c r="WKX15" s="1"/>
      <c r="WKY15" s="1"/>
      <c r="WKZ15" s="1"/>
      <c r="WLA15" s="1"/>
      <c r="WLB15" s="1"/>
      <c r="WLC15" s="1"/>
      <c r="WLD15" s="1"/>
      <c r="WLE15" s="1"/>
      <c r="WLF15" s="1"/>
      <c r="WLG15" s="1"/>
      <c r="WLH15" s="1"/>
      <c r="WLI15" s="1"/>
      <c r="WLJ15" s="1"/>
      <c r="WLK15" s="1"/>
      <c r="WLL15" s="1"/>
      <c r="WLM15" s="1"/>
      <c r="WLN15" s="1"/>
      <c r="WLO15" s="1"/>
      <c r="WLP15" s="1"/>
      <c r="WLQ15" s="1"/>
      <c r="WLR15" s="1"/>
      <c r="WLS15" s="1"/>
      <c r="WLT15" s="1"/>
      <c r="WLU15" s="1"/>
      <c r="WLV15" s="1"/>
      <c r="WLW15" s="1"/>
      <c r="WLX15" s="1"/>
      <c r="WLY15" s="1"/>
      <c r="WLZ15" s="1"/>
      <c r="WMA15" s="1"/>
      <c r="WMB15" s="1"/>
      <c r="WMC15" s="1"/>
      <c r="WMD15" s="1"/>
      <c r="WME15" s="1"/>
      <c r="WMF15" s="1"/>
      <c r="WMG15" s="1"/>
      <c r="WMH15" s="1"/>
      <c r="WMI15" s="1"/>
      <c r="WMJ15" s="1"/>
      <c r="WMK15" s="1"/>
      <c r="WML15" s="1"/>
      <c r="WMM15" s="1"/>
      <c r="WMN15" s="1"/>
      <c r="WMO15" s="1"/>
      <c r="WMP15" s="1"/>
      <c r="WMQ15" s="1"/>
      <c r="WMR15" s="1"/>
      <c r="WMS15" s="1"/>
      <c r="WMT15" s="1"/>
      <c r="WMU15" s="1"/>
      <c r="WMV15" s="1"/>
      <c r="WMW15" s="1"/>
      <c r="WMX15" s="1"/>
      <c r="WMY15" s="1"/>
      <c r="WMZ15" s="1"/>
      <c r="WNA15" s="1"/>
      <c r="WNB15" s="1"/>
      <c r="WNC15" s="1"/>
      <c r="WND15" s="1"/>
      <c r="WNE15" s="1"/>
      <c r="WNF15" s="1"/>
      <c r="WNG15" s="1"/>
      <c r="WNH15" s="1"/>
      <c r="WNI15" s="1"/>
      <c r="WNJ15" s="1"/>
      <c r="WNK15" s="1"/>
      <c r="WNL15" s="1"/>
      <c r="WNM15" s="1"/>
      <c r="WNN15" s="1"/>
      <c r="WNO15" s="1"/>
      <c r="WNP15" s="1"/>
      <c r="WNQ15" s="1"/>
      <c r="WNR15" s="1"/>
      <c r="WNS15" s="1"/>
      <c r="WNT15" s="1"/>
      <c r="WNU15" s="1"/>
      <c r="WNV15" s="1"/>
      <c r="WNW15" s="1"/>
      <c r="WNX15" s="1"/>
      <c r="WNY15" s="1"/>
      <c r="WNZ15" s="1"/>
      <c r="WOA15" s="1"/>
      <c r="WOB15" s="1"/>
      <c r="WOC15" s="1"/>
      <c r="WOD15" s="1"/>
      <c r="WOE15" s="1"/>
      <c r="WOF15" s="1"/>
      <c r="WOG15" s="1"/>
      <c r="WOH15" s="1"/>
      <c r="WOI15" s="1"/>
      <c r="WOJ15" s="1"/>
      <c r="WOK15" s="1"/>
      <c r="WOL15" s="1"/>
      <c r="WOM15" s="1"/>
      <c r="WON15" s="1"/>
      <c r="WOO15" s="1"/>
      <c r="WOP15" s="1"/>
      <c r="WOQ15" s="1"/>
      <c r="WOR15" s="1"/>
      <c r="WOS15" s="1"/>
      <c r="WOT15" s="1"/>
      <c r="WOU15" s="1"/>
      <c r="WOV15" s="1"/>
      <c r="WOW15" s="1"/>
      <c r="WOX15" s="1"/>
      <c r="WOY15" s="1"/>
      <c r="WOZ15" s="1"/>
      <c r="WPA15" s="1"/>
      <c r="WPB15" s="1"/>
      <c r="WPC15" s="1"/>
      <c r="WPD15" s="1"/>
      <c r="WPE15" s="1"/>
      <c r="WPF15" s="1"/>
      <c r="WPG15" s="1"/>
      <c r="WPH15" s="1"/>
      <c r="WPI15" s="1"/>
      <c r="WPJ15" s="1"/>
      <c r="WPK15" s="1"/>
      <c r="WPL15" s="1"/>
      <c r="WPM15" s="1"/>
      <c r="WPN15" s="1"/>
      <c r="WPO15" s="1"/>
      <c r="WPP15" s="1"/>
      <c r="WPQ15" s="1"/>
      <c r="WPR15" s="1"/>
      <c r="WPS15" s="1"/>
      <c r="WPT15" s="1"/>
      <c r="WPU15" s="1"/>
      <c r="WPV15" s="1"/>
      <c r="WPW15" s="1"/>
      <c r="WPX15" s="1"/>
      <c r="WPY15" s="1"/>
      <c r="WPZ15" s="1"/>
      <c r="WQA15" s="1"/>
      <c r="WQB15" s="1"/>
      <c r="WQC15" s="1"/>
      <c r="WQD15" s="1"/>
      <c r="WQE15" s="1"/>
      <c r="WQF15" s="1"/>
      <c r="WQG15" s="1"/>
      <c r="WQH15" s="1"/>
      <c r="WQI15" s="1"/>
      <c r="WQJ15" s="1"/>
      <c r="WQK15" s="1"/>
      <c r="WQL15" s="1"/>
      <c r="WQM15" s="1"/>
      <c r="WQN15" s="1"/>
      <c r="WQO15" s="1"/>
      <c r="WQP15" s="1"/>
      <c r="WQQ15" s="1"/>
      <c r="WQR15" s="1"/>
      <c r="WQS15" s="1"/>
      <c r="WQT15" s="1"/>
      <c r="WQU15" s="1"/>
      <c r="WQV15" s="1"/>
      <c r="WQW15" s="1"/>
      <c r="WQX15" s="1"/>
      <c r="WQY15" s="1"/>
      <c r="WQZ15" s="1"/>
      <c r="WRA15" s="1"/>
      <c r="WRB15" s="1"/>
      <c r="WRC15" s="1"/>
      <c r="WRD15" s="1"/>
      <c r="WRE15" s="1"/>
      <c r="WRF15" s="1"/>
      <c r="WRG15" s="1"/>
      <c r="WRH15" s="1"/>
      <c r="WRI15" s="1"/>
      <c r="WRJ15" s="1"/>
      <c r="WRK15" s="1"/>
      <c r="WRL15" s="1"/>
      <c r="WRM15" s="1"/>
      <c r="WRN15" s="1"/>
      <c r="WRO15" s="1"/>
      <c r="WRP15" s="1"/>
      <c r="WRQ15" s="1"/>
      <c r="WRR15" s="1"/>
      <c r="WRS15" s="1"/>
      <c r="WRT15" s="1"/>
      <c r="WRU15" s="1"/>
      <c r="WRV15" s="1"/>
      <c r="WRW15" s="1"/>
      <c r="WRX15" s="1"/>
      <c r="WRY15" s="1"/>
      <c r="WRZ15" s="1"/>
      <c r="WSA15" s="1"/>
      <c r="WSB15" s="1"/>
      <c r="WSC15" s="1"/>
      <c r="WSD15" s="1"/>
      <c r="WSE15" s="1"/>
      <c r="WSF15" s="1"/>
      <c r="WSG15" s="1"/>
      <c r="WSH15" s="1"/>
      <c r="WSI15" s="1"/>
      <c r="WSJ15" s="1"/>
      <c r="WSK15" s="1"/>
      <c r="WSL15" s="1"/>
      <c r="WSM15" s="1"/>
      <c r="WSN15" s="1"/>
      <c r="WSO15" s="1"/>
      <c r="WSP15" s="1"/>
      <c r="WSQ15" s="1"/>
      <c r="WSR15" s="1"/>
      <c r="WSS15" s="1"/>
      <c r="WST15" s="1"/>
      <c r="WSU15" s="1"/>
      <c r="WSV15" s="1"/>
      <c r="WSW15" s="1"/>
      <c r="WSX15" s="1"/>
      <c r="WSY15" s="1"/>
      <c r="WSZ15" s="1"/>
      <c r="WTA15" s="1"/>
      <c r="WTB15" s="1"/>
      <c r="WTC15" s="1"/>
      <c r="WTD15" s="1"/>
      <c r="WTE15" s="1"/>
      <c r="WTF15" s="1"/>
      <c r="WTG15" s="1"/>
      <c r="WTH15" s="1"/>
      <c r="WTI15" s="1"/>
      <c r="WTJ15" s="1"/>
      <c r="WTK15" s="1"/>
      <c r="WTL15" s="1"/>
      <c r="WTM15" s="1"/>
      <c r="WTN15" s="1"/>
      <c r="WTO15" s="1"/>
      <c r="WTP15" s="1"/>
      <c r="WTQ15" s="1"/>
      <c r="WTR15" s="1"/>
      <c r="WTS15" s="1"/>
      <c r="WTT15" s="1"/>
      <c r="WTU15" s="1"/>
      <c r="WTV15" s="1"/>
      <c r="WTW15" s="1"/>
      <c r="WTX15" s="1"/>
      <c r="WTY15" s="1"/>
      <c r="WTZ15" s="1"/>
      <c r="WUA15" s="1"/>
      <c r="WUB15" s="1"/>
      <c r="WUC15" s="1"/>
      <c r="WUD15" s="1"/>
      <c r="WUE15" s="1"/>
      <c r="WUF15" s="1"/>
      <c r="WUG15" s="1"/>
      <c r="WUH15" s="1"/>
      <c r="WUI15" s="1"/>
      <c r="WUJ15" s="1"/>
      <c r="WUK15" s="1"/>
      <c r="WUL15" s="1"/>
      <c r="WUM15" s="1"/>
      <c r="WUN15" s="1"/>
      <c r="WUO15" s="1"/>
      <c r="WUP15" s="1"/>
      <c r="WUQ15" s="1"/>
      <c r="WUR15" s="1"/>
      <c r="WUS15" s="1"/>
      <c r="WUT15" s="1"/>
      <c r="WUU15" s="1"/>
      <c r="WUV15" s="1"/>
      <c r="WUW15" s="1"/>
      <c r="WUX15" s="1"/>
      <c r="WUY15" s="1"/>
      <c r="WUZ15" s="1"/>
      <c r="WVA15" s="1"/>
      <c r="WVB15" s="1"/>
      <c r="WVC15" s="1"/>
      <c r="WVD15" s="1"/>
      <c r="WVE15" s="1"/>
      <c r="WVF15" s="1"/>
      <c r="WVG15" s="1"/>
      <c r="WVH15" s="1"/>
      <c r="WVI15" s="1"/>
      <c r="WVJ15" s="1"/>
      <c r="WVK15" s="1"/>
      <c r="WVL15" s="1"/>
      <c r="WVM15" s="1"/>
      <c r="WVN15" s="1"/>
      <c r="WVO15" s="1"/>
      <c r="WVP15" s="1"/>
      <c r="WVQ15" s="1"/>
      <c r="WVR15" s="1"/>
      <c r="WVS15" s="1"/>
      <c r="WVT15" s="1"/>
      <c r="WVU15" s="1"/>
      <c r="WVV15" s="1"/>
      <c r="WVW15" s="1"/>
      <c r="WVX15" s="1"/>
      <c r="WVY15" s="1"/>
      <c r="WVZ15" s="1"/>
      <c r="WWA15" s="1"/>
      <c r="WWB15" s="1"/>
      <c r="WWC15" s="1"/>
      <c r="WWD15" s="1"/>
      <c r="WWE15" s="1"/>
      <c r="WWF15" s="1"/>
      <c r="WWG15" s="1"/>
      <c r="WWH15" s="1"/>
      <c r="WWI15" s="1"/>
      <c r="WWJ15" s="1"/>
      <c r="WWK15" s="1"/>
      <c r="WWL15" s="1"/>
      <c r="WWM15" s="1"/>
      <c r="WWN15" s="1"/>
      <c r="WWO15" s="1"/>
      <c r="WWP15" s="1"/>
      <c r="WWQ15" s="1"/>
      <c r="WWR15" s="1"/>
      <c r="WWS15" s="1"/>
      <c r="WWT15" s="1"/>
      <c r="WWU15" s="1"/>
      <c r="WWV15" s="1"/>
      <c r="WWW15" s="1"/>
      <c r="WWX15" s="1"/>
      <c r="WWY15" s="1"/>
      <c r="WWZ15" s="1"/>
      <c r="WXA15" s="1"/>
      <c r="WXB15" s="1"/>
      <c r="WXC15" s="1"/>
      <c r="WXD15" s="1"/>
      <c r="WXE15" s="1"/>
      <c r="WXF15" s="1"/>
      <c r="WXG15" s="1"/>
      <c r="WXH15" s="1"/>
      <c r="WXI15" s="1"/>
      <c r="WXJ15" s="1"/>
      <c r="WXK15" s="1"/>
      <c r="WXL15" s="1"/>
      <c r="WXM15" s="1"/>
      <c r="WXN15" s="1"/>
      <c r="WXO15" s="1"/>
      <c r="WXP15" s="1"/>
      <c r="WXQ15" s="1"/>
      <c r="WXR15" s="1"/>
      <c r="WXS15" s="1"/>
      <c r="WXT15" s="1"/>
      <c r="WXU15" s="1"/>
      <c r="WXV15" s="1"/>
      <c r="WXW15" s="1"/>
      <c r="WXX15" s="1"/>
      <c r="WXY15" s="1"/>
      <c r="WXZ15" s="1"/>
      <c r="WYA15" s="1"/>
      <c r="WYB15" s="1"/>
      <c r="WYC15" s="1"/>
      <c r="WYD15" s="1"/>
      <c r="WYE15" s="1"/>
      <c r="WYF15" s="1"/>
      <c r="WYG15" s="1"/>
      <c r="WYH15" s="1"/>
      <c r="WYI15" s="1"/>
      <c r="WYJ15" s="1"/>
      <c r="WYK15" s="1"/>
      <c r="WYL15" s="1"/>
      <c r="WYM15" s="1"/>
      <c r="WYN15" s="1"/>
      <c r="WYO15" s="1"/>
      <c r="WYP15" s="1"/>
      <c r="WYQ15" s="1"/>
      <c r="WYR15" s="1"/>
      <c r="WYS15" s="1"/>
      <c r="WYT15" s="1"/>
      <c r="WYU15" s="1"/>
      <c r="WYV15" s="1"/>
      <c r="WYW15" s="1"/>
      <c r="WYX15" s="1"/>
      <c r="WYY15" s="1"/>
      <c r="WYZ15" s="1"/>
      <c r="WZA15" s="1"/>
      <c r="WZB15" s="1"/>
      <c r="WZC15" s="1"/>
      <c r="WZD15" s="1"/>
      <c r="WZE15" s="1"/>
      <c r="WZF15" s="1"/>
      <c r="WZG15" s="1"/>
      <c r="WZH15" s="1"/>
      <c r="WZI15" s="1"/>
      <c r="WZJ15" s="1"/>
      <c r="WZK15" s="1"/>
      <c r="WZL15" s="1"/>
      <c r="WZM15" s="1"/>
      <c r="WZN15" s="1"/>
      <c r="WZO15" s="1"/>
      <c r="WZP15" s="1"/>
      <c r="WZQ15" s="1"/>
      <c r="WZR15" s="1"/>
      <c r="WZS15" s="1"/>
      <c r="WZT15" s="1"/>
      <c r="WZU15" s="1"/>
      <c r="WZV15" s="1"/>
      <c r="WZW15" s="1"/>
      <c r="WZX15" s="1"/>
      <c r="WZY15" s="1"/>
      <c r="WZZ15" s="1"/>
      <c r="XAA15" s="1"/>
      <c r="XAB15" s="1"/>
      <c r="XAC15" s="1"/>
      <c r="XAD15" s="1"/>
      <c r="XAE15" s="1"/>
      <c r="XAF15" s="1"/>
      <c r="XAG15" s="1"/>
      <c r="XAH15" s="1"/>
      <c r="XAI15" s="1"/>
      <c r="XAJ15" s="1"/>
      <c r="XAK15" s="1"/>
      <c r="XAL15" s="1"/>
      <c r="XAM15" s="1"/>
      <c r="XAN15" s="1"/>
      <c r="XAO15" s="1"/>
      <c r="XAP15" s="1"/>
      <c r="XAQ15" s="1"/>
      <c r="XAR15" s="1"/>
      <c r="XAS15" s="1"/>
      <c r="XAT15" s="1"/>
      <c r="XAU15" s="1"/>
      <c r="XAV15" s="1"/>
      <c r="XAW15" s="1"/>
      <c r="XAX15" s="1"/>
      <c r="XAY15" s="1"/>
      <c r="XAZ15" s="1"/>
      <c r="XBA15" s="1"/>
      <c r="XBB15" s="1"/>
      <c r="XBC15" s="1"/>
      <c r="XBD15" s="1"/>
      <c r="XBE15" s="1"/>
      <c r="XBF15" s="1"/>
      <c r="XBG15" s="1"/>
      <c r="XBH15" s="1"/>
      <c r="XBI15" s="1"/>
      <c r="XBJ15" s="1"/>
      <c r="XBK15" s="1"/>
      <c r="XBL15" s="1"/>
      <c r="XBM15" s="1"/>
      <c r="XBN15" s="1"/>
      <c r="XBO15" s="1"/>
      <c r="XBP15" s="1"/>
      <c r="XBQ15" s="1"/>
      <c r="XBR15" s="1"/>
      <c r="XBS15" s="1"/>
      <c r="XBT15" s="1"/>
      <c r="XBU15" s="1"/>
      <c r="XBV15" s="1"/>
      <c r="XBW15" s="1"/>
      <c r="XBX15" s="1"/>
      <c r="XBY15" s="1"/>
      <c r="XBZ15" s="1"/>
      <c r="XCA15" s="1"/>
      <c r="XCB15" s="1"/>
      <c r="XCC15" s="1"/>
      <c r="XCD15" s="1"/>
      <c r="XCE15" s="1"/>
      <c r="XCF15" s="1"/>
      <c r="XCG15" s="1"/>
      <c r="XCH15" s="1"/>
      <c r="XCI15" s="1"/>
      <c r="XCJ15" s="1"/>
      <c r="XCK15" s="1"/>
      <c r="XCL15" s="1"/>
      <c r="XCM15" s="1"/>
      <c r="XCN15" s="1"/>
      <c r="XCO15" s="1"/>
      <c r="XCP15" s="1"/>
      <c r="XCQ15" s="1"/>
      <c r="XCR15" s="1"/>
      <c r="XCS15" s="1"/>
      <c r="XCT15" s="1"/>
      <c r="XCU15" s="1"/>
      <c r="XCV15" s="1"/>
      <c r="XCW15" s="1"/>
      <c r="XCX15" s="1"/>
      <c r="XCY15" s="1"/>
      <c r="XCZ15" s="1"/>
      <c r="XDA15" s="1"/>
      <c r="XDB15" s="1"/>
      <c r="XDC15" s="1"/>
      <c r="XDD15" s="1"/>
      <c r="XDE15" s="1"/>
      <c r="XDF15" s="1"/>
      <c r="XDG15" s="1"/>
      <c r="XDH15" s="1"/>
      <c r="XDI15" s="1"/>
      <c r="XDJ15" s="1"/>
      <c r="XDK15" s="1"/>
      <c r="XDL15" s="1"/>
      <c r="XDM15" s="1"/>
      <c r="XDN15" s="1"/>
      <c r="XDO15" s="1"/>
      <c r="XDP15" s="1"/>
      <c r="XDQ15" s="1"/>
      <c r="XDR15" s="1"/>
      <c r="XDS15" s="1"/>
      <c r="XDT15" s="1"/>
      <c r="XDU15" s="1"/>
      <c r="XDV15" s="1"/>
      <c r="XDW15" s="1"/>
      <c r="XDX15" s="1"/>
      <c r="XDY15" s="1"/>
      <c r="XDZ15" s="1"/>
      <c r="XEA15" s="1"/>
      <c r="XEB15" s="1"/>
      <c r="XEC15" s="1"/>
      <c r="XED15" s="1"/>
      <c r="XEE15" s="1"/>
      <c r="XEF15" s="1"/>
      <c r="XEG15" s="1"/>
      <c r="XEH15" s="1"/>
      <c r="XEI15" s="1"/>
      <c r="XEJ15" s="1"/>
      <c r="XEK15" s="1"/>
      <c r="XEL15" s="1"/>
      <c r="XEM15" s="1"/>
      <c r="XEN15" s="1"/>
      <c r="XEO15" s="1"/>
      <c r="XEP15" s="1"/>
      <c r="XEQ15" s="1"/>
      <c r="XER15" s="1"/>
      <c r="XES15" s="1"/>
      <c r="XET15" s="1"/>
      <c r="XEU15" s="1"/>
      <c r="XEV15" s="1"/>
      <c r="XEW15" s="1"/>
      <c r="XEX15" s="1"/>
      <c r="XEY15" s="1"/>
      <c r="XEZ15" s="1"/>
      <c r="XFA15" s="1"/>
      <c r="XFB15" s="1"/>
      <c r="XFC15" s="1"/>
      <c r="XFD15" s="1"/>
    </row>
    <row r="16" spans="1:16384" x14ac:dyDescent="0.25">
      <c r="D16" t="s">
        <v>5</v>
      </c>
      <c r="G16" s="28">
        <f>'Income statement Historical'!G11</f>
        <v>5512.68</v>
      </c>
      <c r="H16" s="28">
        <f>'Income statement Historical'!H11</f>
        <v>5793.67</v>
      </c>
      <c r="I16" s="28">
        <f>'Income statement Historical'!I11</f>
        <v>7096.49</v>
      </c>
      <c r="J16" s="28">
        <f>'Income statement Historical'!J11</f>
        <v>8933.49</v>
      </c>
      <c r="K16" s="139">
        <f>'Income statement Historical'!K11</f>
        <v>10252.41</v>
      </c>
      <c r="L16" s="28">
        <f>L13*L17</f>
        <v>11014.320892290825</v>
      </c>
      <c r="M16" s="28">
        <f t="shared" ref="M16:U16" si="2">M13*M17</f>
        <v>12558.374288332594</v>
      </c>
      <c r="N16" s="28">
        <f t="shared" si="2"/>
        <v>14318.882326756975</v>
      </c>
      <c r="O16" s="28">
        <f t="shared" si="2"/>
        <v>16326.188914276703</v>
      </c>
      <c r="P16" s="28">
        <f t="shared" si="2"/>
        <v>18614.891747980459</v>
      </c>
      <c r="Q16" s="28">
        <f t="shared" si="2"/>
        <v>21224.438637116084</v>
      </c>
      <c r="R16" s="28">
        <f t="shared" si="2"/>
        <v>24199.807420829009</v>
      </c>
      <c r="S16" s="28">
        <f t="shared" si="2"/>
        <v>27592.281200836733</v>
      </c>
      <c r="T16" s="28">
        <f t="shared" si="2"/>
        <v>31460.332250857511</v>
      </c>
      <c r="U16" s="28">
        <f t="shared" si="2"/>
        <v>35870.629837750828</v>
      </c>
    </row>
    <row r="17" spans="2:16384" s="29" customFormat="1" x14ac:dyDescent="0.25">
      <c r="D17" s="42" t="s">
        <v>134</v>
      </c>
      <c r="G17" s="43">
        <f>G16/G13</f>
        <v>0.13086533524289595</v>
      </c>
      <c r="H17" s="43">
        <f t="shared" ref="H17:K17" si="3">H16/H13</f>
        <v>0.12953753761810854</v>
      </c>
      <c r="I17" s="43">
        <f t="shared" si="3"/>
        <v>0.13491725956642001</v>
      </c>
      <c r="J17" s="43">
        <f t="shared" si="3"/>
        <v>0.14126332740775693</v>
      </c>
      <c r="K17" s="140">
        <f t="shared" si="3"/>
        <v>0.14458720818230461</v>
      </c>
      <c r="L17" s="132">
        <f>AVERAGE(G17:K17)</f>
        <v>0.1362341336034972</v>
      </c>
      <c r="M17" s="132">
        <f>L17</f>
        <v>0.1362341336034972</v>
      </c>
      <c r="N17" s="132">
        <f t="shared" ref="N17:U17" si="4">M17</f>
        <v>0.1362341336034972</v>
      </c>
      <c r="O17" s="132">
        <f t="shared" si="4"/>
        <v>0.1362341336034972</v>
      </c>
      <c r="P17" s="132">
        <f t="shared" si="4"/>
        <v>0.1362341336034972</v>
      </c>
      <c r="Q17" s="132">
        <f t="shared" si="4"/>
        <v>0.1362341336034972</v>
      </c>
      <c r="R17" s="132">
        <f t="shared" si="4"/>
        <v>0.1362341336034972</v>
      </c>
      <c r="S17" s="132">
        <f t="shared" si="4"/>
        <v>0.1362341336034972</v>
      </c>
      <c r="T17" s="132">
        <f t="shared" si="4"/>
        <v>0.1362341336034972</v>
      </c>
      <c r="U17" s="132">
        <f t="shared" si="4"/>
        <v>0.1362341336034972</v>
      </c>
    </row>
    <row r="18" spans="2:16384" x14ac:dyDescent="0.25">
      <c r="D18" t="s">
        <v>6</v>
      </c>
      <c r="G18" s="28">
        <f>'Income statement Historical'!G12</f>
        <v>1159.01</v>
      </c>
      <c r="H18" s="28">
        <f>'Income statement Historical'!H12</f>
        <v>841.99</v>
      </c>
      <c r="I18" s="28">
        <f>'Income statement Historical'!I12</f>
        <v>1251.6600000000001</v>
      </c>
      <c r="J18" s="28">
        <f>'Income statement Historical'!J12</f>
        <v>1299.68</v>
      </c>
      <c r="K18" s="139">
        <f>'Income statement Historical'!K12</f>
        <v>1733.86</v>
      </c>
      <c r="L18" s="28">
        <f>L13*L19</f>
        <v>1861.768863031846</v>
      </c>
      <c r="M18" s="28">
        <f t="shared" ref="M18:U18" si="5">M13*M19</f>
        <v>2122.7627603152628</v>
      </c>
      <c r="N18" s="28">
        <f t="shared" si="5"/>
        <v>2420.3443435202607</v>
      </c>
      <c r="O18" s="28">
        <f t="shared" si="5"/>
        <v>2759.6426933457724</v>
      </c>
      <c r="P18" s="28">
        <f t="shared" si="5"/>
        <v>3146.5059157079245</v>
      </c>
      <c r="Q18" s="28">
        <f t="shared" si="5"/>
        <v>3587.6019389965513</v>
      </c>
      <c r="R18" s="28">
        <f t="shared" si="5"/>
        <v>4090.533441694176</v>
      </c>
      <c r="S18" s="28">
        <f t="shared" si="5"/>
        <v>4663.968891236148</v>
      </c>
      <c r="T18" s="28">
        <f t="shared" si="5"/>
        <v>5317.791952682157</v>
      </c>
      <c r="U18" s="28">
        <f t="shared" si="5"/>
        <v>6063.2718423891565</v>
      </c>
    </row>
    <row r="19" spans="2:16384" s="29" customFormat="1" x14ac:dyDescent="0.25">
      <c r="D19" s="42" t="s">
        <v>134</v>
      </c>
      <c r="G19" s="43">
        <f>G18/G13</f>
        <v>2.7513701538973572E-2</v>
      </c>
      <c r="H19" s="43">
        <f t="shared" ref="H19:K19" si="6">H18/H13</f>
        <v>1.8825599542098743E-2</v>
      </c>
      <c r="I19" s="43">
        <f t="shared" si="6"/>
        <v>2.3796346800869905E-2</v>
      </c>
      <c r="J19" s="43">
        <f t="shared" si="6"/>
        <v>2.0551556151662289E-2</v>
      </c>
      <c r="K19" s="140">
        <f t="shared" si="6"/>
        <v>2.4452199705139635E-2</v>
      </c>
      <c r="L19" s="132">
        <f>AVERAGE(G19:K19)</f>
        <v>2.3027880747748829E-2</v>
      </c>
      <c r="M19" s="132">
        <f>L19</f>
        <v>2.3027880747748829E-2</v>
      </c>
      <c r="N19" s="132">
        <f t="shared" ref="N19:U19" si="7">M19</f>
        <v>2.3027880747748829E-2</v>
      </c>
      <c r="O19" s="132">
        <f t="shared" si="7"/>
        <v>2.3027880747748829E-2</v>
      </c>
      <c r="P19" s="132">
        <f t="shared" si="7"/>
        <v>2.3027880747748829E-2</v>
      </c>
      <c r="Q19" s="132">
        <f t="shared" si="7"/>
        <v>2.3027880747748829E-2</v>
      </c>
      <c r="R19" s="132">
        <f t="shared" si="7"/>
        <v>2.3027880747748829E-2</v>
      </c>
      <c r="S19" s="132">
        <f t="shared" si="7"/>
        <v>2.3027880747748829E-2</v>
      </c>
      <c r="T19" s="132">
        <f t="shared" si="7"/>
        <v>2.3027880747748829E-2</v>
      </c>
      <c r="U19" s="132">
        <f t="shared" si="7"/>
        <v>2.3027880747748829E-2</v>
      </c>
    </row>
    <row r="20" spans="2:16384" ht="30" x14ac:dyDescent="0.25">
      <c r="D20" s="19" t="s">
        <v>7</v>
      </c>
      <c r="G20" s="149">
        <f>'Income statement Historical'!G13</f>
        <v>-358.59</v>
      </c>
      <c r="H20" s="149">
        <f>'Income statement Historical'!H13</f>
        <v>450.15</v>
      </c>
      <c r="I20" s="149">
        <f>'Income statement Historical'!I13</f>
        <v>-383.16</v>
      </c>
      <c r="J20" s="149">
        <f>'Income statement Historical'!J13</f>
        <v>-518.21</v>
      </c>
      <c r="K20" s="150">
        <f>'Income statement Historical'!K13</f>
        <v>-83.35</v>
      </c>
      <c r="L20" s="149">
        <f>L21*L13</f>
        <v>-244.19915271313033</v>
      </c>
      <c r="M20" s="149">
        <f t="shared" ref="M20:U20" si="8">M21*M13</f>
        <v>-278.4324508660053</v>
      </c>
      <c r="N20" s="149">
        <f t="shared" si="8"/>
        <v>-317.4647775552337</v>
      </c>
      <c r="O20" s="149">
        <f t="shared" si="8"/>
        <v>-361.96888931131048</v>
      </c>
      <c r="P20" s="149">
        <f t="shared" si="8"/>
        <v>-412.71185369995322</v>
      </c>
      <c r="Q20" s="149">
        <f t="shared" si="8"/>
        <v>-470.56827040723567</v>
      </c>
      <c r="R20" s="149">
        <f t="shared" si="8"/>
        <v>-536.5353457355335</v>
      </c>
      <c r="S20" s="149">
        <f t="shared" si="8"/>
        <v>-611.75008033249264</v>
      </c>
      <c r="T20" s="149">
        <f t="shared" si="8"/>
        <v>-697.5088663986711</v>
      </c>
      <c r="U20" s="149">
        <f t="shared" si="8"/>
        <v>-795.28983214899006</v>
      </c>
    </row>
    <row r="21" spans="2:16384" x14ac:dyDescent="0.25">
      <c r="B21" s="29"/>
      <c r="C21" s="29"/>
      <c r="D21" s="42" t="s">
        <v>134</v>
      </c>
      <c r="E21" s="29"/>
      <c r="F21" s="29"/>
      <c r="G21" s="43">
        <f>G20/G13</f>
        <v>-8.5125566085370551E-3</v>
      </c>
      <c r="H21" s="43">
        <f t="shared" ref="H21:K21" si="9">H20/H13</f>
        <v>1.0064660665656063E-2</v>
      </c>
      <c r="I21" s="43">
        <f t="shared" si="9"/>
        <v>-7.2845726796584645E-3</v>
      </c>
      <c r="J21" s="43">
        <f t="shared" si="9"/>
        <v>-8.1943416174388422E-3</v>
      </c>
      <c r="K21" s="140">
        <f t="shared" si="9"/>
        <v>-1.1754644812288122E-3</v>
      </c>
      <c r="L21" s="132">
        <f>AVERAGE(G21:K21)</f>
        <v>-3.0204549442414221E-3</v>
      </c>
      <c r="M21" s="132">
        <f>L21</f>
        <v>-3.0204549442414221E-3</v>
      </c>
      <c r="N21" s="132">
        <f t="shared" ref="N21:U21" si="10">M21</f>
        <v>-3.0204549442414221E-3</v>
      </c>
      <c r="O21" s="132">
        <f t="shared" si="10"/>
        <v>-3.0204549442414221E-3</v>
      </c>
      <c r="P21" s="132">
        <f t="shared" si="10"/>
        <v>-3.0204549442414221E-3</v>
      </c>
      <c r="Q21" s="132">
        <f t="shared" si="10"/>
        <v>-3.0204549442414221E-3</v>
      </c>
      <c r="R21" s="132">
        <f t="shared" si="10"/>
        <v>-3.0204549442414221E-3</v>
      </c>
      <c r="S21" s="132">
        <f t="shared" si="10"/>
        <v>-3.0204549442414221E-3</v>
      </c>
      <c r="T21" s="132">
        <f t="shared" si="10"/>
        <v>-3.0204549442414221E-3</v>
      </c>
      <c r="U21" s="132">
        <f t="shared" si="10"/>
        <v>-3.0204549442414221E-3</v>
      </c>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c r="ADG21" s="29"/>
      <c r="ADH21" s="29"/>
      <c r="ADI21" s="29"/>
      <c r="ADJ21" s="29"/>
      <c r="ADK21" s="29"/>
      <c r="ADL21" s="29"/>
      <c r="ADM21" s="29"/>
      <c r="ADN21" s="29"/>
      <c r="ADO21" s="29"/>
      <c r="ADP21" s="29"/>
      <c r="ADQ21" s="29"/>
      <c r="ADR21" s="29"/>
      <c r="ADS21" s="29"/>
      <c r="ADT21" s="29"/>
      <c r="ADU21" s="29"/>
      <c r="ADV21" s="29"/>
      <c r="ADW21" s="29"/>
      <c r="ADX21" s="29"/>
      <c r="ADY21" s="29"/>
      <c r="ADZ21" s="29"/>
      <c r="AEA21" s="29"/>
      <c r="AEB21" s="29"/>
      <c r="AEC21" s="29"/>
      <c r="AED21" s="29"/>
      <c r="AEE21" s="29"/>
      <c r="AEF21" s="29"/>
      <c r="AEG21" s="29"/>
      <c r="AEH21" s="29"/>
      <c r="AEI21" s="29"/>
      <c r="AEJ21" s="29"/>
      <c r="AEK21" s="29"/>
      <c r="AEL21" s="29"/>
      <c r="AEM21" s="29"/>
      <c r="AEN21" s="29"/>
      <c r="AEO21" s="29"/>
      <c r="AEP21" s="29"/>
      <c r="AEQ21" s="29"/>
      <c r="AER21" s="29"/>
      <c r="AES21" s="29"/>
      <c r="AET21" s="29"/>
      <c r="AEU21" s="29"/>
      <c r="AEV21" s="29"/>
      <c r="AEW21" s="29"/>
      <c r="AEX21" s="29"/>
      <c r="AEY21" s="29"/>
      <c r="AEZ21" s="29"/>
      <c r="AFA21" s="29"/>
      <c r="AFB21" s="29"/>
      <c r="AFC21" s="29"/>
      <c r="AFD21" s="29"/>
      <c r="AFE21" s="29"/>
      <c r="AFF21" s="29"/>
      <c r="AFG21" s="29"/>
      <c r="AFH21" s="29"/>
      <c r="AFI21" s="29"/>
      <c r="AFJ21" s="29"/>
      <c r="AFK21" s="29"/>
      <c r="AFL21" s="29"/>
      <c r="AFM21" s="29"/>
      <c r="AFN21" s="29"/>
      <c r="AFO21" s="29"/>
      <c r="AFP21" s="29"/>
      <c r="AFQ21" s="29"/>
      <c r="AFR21" s="29"/>
      <c r="AFS21" s="29"/>
      <c r="AFT21" s="29"/>
      <c r="AFU21" s="29"/>
      <c r="AFV21" s="29"/>
      <c r="AFW21" s="29"/>
      <c r="AFX21" s="29"/>
      <c r="AFY21" s="29"/>
      <c r="AFZ21" s="29"/>
      <c r="AGA21" s="29"/>
      <c r="AGB21" s="29"/>
      <c r="AGC21" s="29"/>
      <c r="AGD21" s="29"/>
      <c r="AGE21" s="29"/>
      <c r="AGF21" s="29"/>
      <c r="AGG21" s="29"/>
      <c r="AGH21" s="29"/>
      <c r="AGI21" s="29"/>
      <c r="AGJ21" s="29"/>
      <c r="AGK21" s="29"/>
      <c r="AGL21" s="29"/>
      <c r="AGM21" s="29"/>
      <c r="AGN21" s="29"/>
      <c r="AGO21" s="29"/>
      <c r="AGP21" s="29"/>
      <c r="AGQ21" s="29"/>
      <c r="AGR21" s="29"/>
      <c r="AGS21" s="29"/>
      <c r="AGT21" s="29"/>
      <c r="AGU21" s="29"/>
      <c r="AGV21" s="29"/>
      <c r="AGW21" s="29"/>
      <c r="AGX21" s="29"/>
      <c r="AGY21" s="29"/>
      <c r="AGZ21" s="29"/>
      <c r="AHA21" s="29"/>
      <c r="AHB21" s="29"/>
      <c r="AHC21" s="29"/>
      <c r="AHD21" s="29"/>
      <c r="AHE21" s="29"/>
      <c r="AHF21" s="29"/>
      <c r="AHG21" s="29"/>
      <c r="AHH21" s="29"/>
      <c r="AHI21" s="29"/>
      <c r="AHJ21" s="29"/>
      <c r="AHK21" s="29"/>
      <c r="AHL21" s="29"/>
      <c r="AHM21" s="29"/>
      <c r="AHN21" s="29"/>
      <c r="AHO21" s="29"/>
      <c r="AHP21" s="29"/>
      <c r="AHQ21" s="29"/>
      <c r="AHR21" s="29"/>
      <c r="AHS21" s="29"/>
      <c r="AHT21" s="29"/>
      <c r="AHU21" s="29"/>
      <c r="AHV21" s="29"/>
      <c r="AHW21" s="29"/>
      <c r="AHX21" s="29"/>
      <c r="AHY21" s="29"/>
      <c r="AHZ21" s="29"/>
      <c r="AIA21" s="29"/>
      <c r="AIB21" s="29"/>
      <c r="AIC21" s="29"/>
      <c r="AID21" s="29"/>
      <c r="AIE21" s="29"/>
      <c r="AIF21" s="29"/>
      <c r="AIG21" s="29"/>
      <c r="AIH21" s="29"/>
      <c r="AII21" s="29"/>
      <c r="AIJ21" s="29"/>
      <c r="AIK21" s="29"/>
      <c r="AIL21" s="29"/>
      <c r="AIM21" s="29"/>
      <c r="AIN21" s="29"/>
      <c r="AIO21" s="29"/>
      <c r="AIP21" s="29"/>
      <c r="AIQ21" s="29"/>
      <c r="AIR21" s="29"/>
      <c r="AIS21" s="29"/>
      <c r="AIT21" s="29"/>
      <c r="AIU21" s="29"/>
      <c r="AIV21" s="29"/>
      <c r="AIW21" s="29"/>
      <c r="AIX21" s="29"/>
      <c r="AIY21" s="29"/>
      <c r="AIZ21" s="29"/>
      <c r="AJA21" s="29"/>
      <c r="AJB21" s="29"/>
      <c r="AJC21" s="29"/>
      <c r="AJD21" s="29"/>
      <c r="AJE21" s="29"/>
      <c r="AJF21" s="29"/>
      <c r="AJG21" s="29"/>
      <c r="AJH21" s="29"/>
      <c r="AJI21" s="29"/>
      <c r="AJJ21" s="29"/>
      <c r="AJK21" s="29"/>
      <c r="AJL21" s="29"/>
      <c r="AJM21" s="29"/>
      <c r="AJN21" s="29"/>
      <c r="AJO21" s="29"/>
      <c r="AJP21" s="29"/>
      <c r="AJQ21" s="29"/>
      <c r="AJR21" s="29"/>
      <c r="AJS21" s="29"/>
      <c r="AJT21" s="29"/>
      <c r="AJU21" s="29"/>
      <c r="AJV21" s="29"/>
      <c r="AJW21" s="29"/>
      <c r="AJX21" s="29"/>
      <c r="AJY21" s="29"/>
      <c r="AJZ21" s="29"/>
      <c r="AKA21" s="29"/>
      <c r="AKB21" s="29"/>
      <c r="AKC21" s="29"/>
      <c r="AKD21" s="29"/>
      <c r="AKE21" s="29"/>
      <c r="AKF21" s="29"/>
      <c r="AKG21" s="29"/>
      <c r="AKH21" s="29"/>
      <c r="AKI21" s="29"/>
      <c r="AKJ21" s="29"/>
      <c r="AKK21" s="29"/>
      <c r="AKL21" s="29"/>
      <c r="AKM21" s="29"/>
      <c r="AKN21" s="29"/>
      <c r="AKO21" s="29"/>
      <c r="AKP21" s="29"/>
      <c r="AKQ21" s="29"/>
      <c r="AKR21" s="29"/>
      <c r="AKS21" s="29"/>
      <c r="AKT21" s="29"/>
      <c r="AKU21" s="29"/>
      <c r="AKV21" s="29"/>
      <c r="AKW21" s="29"/>
      <c r="AKX21" s="29"/>
      <c r="AKY21" s="29"/>
      <c r="AKZ21" s="29"/>
      <c r="ALA21" s="29"/>
      <c r="ALB21" s="29"/>
      <c r="ALC21" s="29"/>
      <c r="ALD21" s="29"/>
      <c r="ALE21" s="29"/>
      <c r="ALF21" s="29"/>
      <c r="ALG21" s="29"/>
      <c r="ALH21" s="29"/>
      <c r="ALI21" s="29"/>
      <c r="ALJ21" s="29"/>
      <c r="ALK21" s="29"/>
      <c r="ALL21" s="29"/>
      <c r="ALM21" s="29"/>
      <c r="ALN21" s="29"/>
      <c r="ALO21" s="29"/>
      <c r="ALP21" s="29"/>
      <c r="ALQ21" s="29"/>
      <c r="ALR21" s="29"/>
      <c r="ALS21" s="29"/>
      <c r="ALT21" s="29"/>
      <c r="ALU21" s="29"/>
      <c r="ALV21" s="29"/>
      <c r="ALW21" s="29"/>
      <c r="ALX21" s="29"/>
      <c r="ALY21" s="29"/>
      <c r="ALZ21" s="29"/>
      <c r="AMA21" s="29"/>
      <c r="AMB21" s="29"/>
      <c r="AMC21" s="29"/>
      <c r="AMD21" s="29"/>
      <c r="AME21" s="29"/>
      <c r="AMF21" s="29"/>
      <c r="AMG21" s="29"/>
      <c r="AMH21" s="29"/>
      <c r="AMI21" s="29"/>
      <c r="AMJ21" s="29"/>
      <c r="AMK21" s="29"/>
      <c r="AML21" s="29"/>
      <c r="AMM21" s="29"/>
      <c r="AMN21" s="29"/>
      <c r="AMO21" s="29"/>
      <c r="AMP21" s="29"/>
      <c r="AMQ21" s="29"/>
      <c r="AMR21" s="29"/>
      <c r="AMS21" s="29"/>
      <c r="AMT21" s="29"/>
      <c r="AMU21" s="29"/>
      <c r="AMV21" s="29"/>
      <c r="AMW21" s="29"/>
      <c r="AMX21" s="29"/>
      <c r="AMY21" s="29"/>
      <c r="AMZ21" s="29"/>
      <c r="ANA21" s="29"/>
      <c r="ANB21" s="29"/>
      <c r="ANC21" s="29"/>
      <c r="AND21" s="29"/>
      <c r="ANE21" s="29"/>
      <c r="ANF21" s="29"/>
      <c r="ANG21" s="29"/>
      <c r="ANH21" s="29"/>
      <c r="ANI21" s="29"/>
      <c r="ANJ21" s="29"/>
      <c r="ANK21" s="29"/>
      <c r="ANL21" s="29"/>
      <c r="ANM21" s="29"/>
      <c r="ANN21" s="29"/>
      <c r="ANO21" s="29"/>
      <c r="ANP21" s="29"/>
      <c r="ANQ21" s="29"/>
      <c r="ANR21" s="29"/>
      <c r="ANS21" s="29"/>
      <c r="ANT21" s="29"/>
      <c r="ANU21" s="29"/>
      <c r="ANV21" s="29"/>
      <c r="ANW21" s="29"/>
      <c r="ANX21" s="29"/>
      <c r="ANY21" s="29"/>
      <c r="ANZ21" s="29"/>
      <c r="AOA21" s="29"/>
      <c r="AOB21" s="29"/>
      <c r="AOC21" s="29"/>
      <c r="AOD21" s="29"/>
      <c r="AOE21" s="29"/>
      <c r="AOF21" s="29"/>
      <c r="AOG21" s="29"/>
      <c r="AOH21" s="29"/>
      <c r="AOI21" s="29"/>
      <c r="AOJ21" s="29"/>
      <c r="AOK21" s="29"/>
      <c r="AOL21" s="29"/>
      <c r="AOM21" s="29"/>
      <c r="AON21" s="29"/>
      <c r="AOO21" s="29"/>
      <c r="AOP21" s="29"/>
      <c r="AOQ21" s="29"/>
      <c r="AOR21" s="29"/>
      <c r="AOS21" s="29"/>
      <c r="AOT21" s="29"/>
      <c r="AOU21" s="29"/>
      <c r="AOV21" s="29"/>
      <c r="AOW21" s="29"/>
      <c r="AOX21" s="29"/>
      <c r="AOY21" s="29"/>
      <c r="AOZ21" s="29"/>
      <c r="APA21" s="29"/>
      <c r="APB21" s="29"/>
      <c r="APC21" s="29"/>
      <c r="APD21" s="29"/>
      <c r="APE21" s="29"/>
      <c r="APF21" s="29"/>
      <c r="APG21" s="29"/>
      <c r="APH21" s="29"/>
      <c r="API21" s="29"/>
      <c r="APJ21" s="29"/>
      <c r="APK21" s="29"/>
      <c r="APL21" s="29"/>
      <c r="APM21" s="29"/>
      <c r="APN21" s="29"/>
      <c r="APO21" s="29"/>
      <c r="APP21" s="29"/>
      <c r="APQ21" s="29"/>
      <c r="APR21" s="29"/>
      <c r="APS21" s="29"/>
      <c r="APT21" s="29"/>
      <c r="APU21" s="29"/>
      <c r="APV21" s="29"/>
      <c r="APW21" s="29"/>
      <c r="APX21" s="29"/>
      <c r="APY21" s="29"/>
      <c r="APZ21" s="29"/>
      <c r="AQA21" s="29"/>
      <c r="AQB21" s="29"/>
      <c r="AQC21" s="29"/>
      <c r="AQD21" s="29"/>
      <c r="AQE21" s="29"/>
      <c r="AQF21" s="29"/>
      <c r="AQG21" s="29"/>
      <c r="AQH21" s="29"/>
      <c r="AQI21" s="29"/>
      <c r="AQJ21" s="29"/>
      <c r="AQK21" s="29"/>
      <c r="AQL21" s="29"/>
      <c r="AQM21" s="29"/>
      <c r="AQN21" s="29"/>
      <c r="AQO21" s="29"/>
      <c r="AQP21" s="29"/>
      <c r="AQQ21" s="29"/>
      <c r="AQR21" s="29"/>
      <c r="AQS21" s="29"/>
      <c r="AQT21" s="29"/>
      <c r="AQU21" s="29"/>
      <c r="AQV21" s="29"/>
      <c r="AQW21" s="29"/>
      <c r="AQX21" s="29"/>
      <c r="AQY21" s="29"/>
      <c r="AQZ21" s="29"/>
      <c r="ARA21" s="29"/>
      <c r="ARB21" s="29"/>
      <c r="ARC21" s="29"/>
      <c r="ARD21" s="29"/>
      <c r="ARE21" s="29"/>
      <c r="ARF21" s="29"/>
      <c r="ARG21" s="29"/>
      <c r="ARH21" s="29"/>
      <c r="ARI21" s="29"/>
      <c r="ARJ21" s="29"/>
      <c r="ARK21" s="29"/>
      <c r="ARL21" s="29"/>
      <c r="ARM21" s="29"/>
      <c r="ARN21" s="29"/>
      <c r="ARO21" s="29"/>
      <c r="ARP21" s="29"/>
      <c r="ARQ21" s="29"/>
      <c r="ARR21" s="29"/>
      <c r="ARS21" s="29"/>
      <c r="ART21" s="29"/>
      <c r="ARU21" s="29"/>
      <c r="ARV21" s="29"/>
      <c r="ARW21" s="29"/>
      <c r="ARX21" s="29"/>
      <c r="ARY21" s="29"/>
      <c r="ARZ21" s="29"/>
      <c r="ASA21" s="29"/>
      <c r="ASB21" s="29"/>
      <c r="ASC21" s="29"/>
      <c r="ASD21" s="29"/>
      <c r="ASE21" s="29"/>
      <c r="ASF21" s="29"/>
      <c r="ASG21" s="29"/>
      <c r="ASH21" s="29"/>
      <c r="ASI21" s="29"/>
      <c r="ASJ21" s="29"/>
      <c r="ASK21" s="29"/>
      <c r="ASL21" s="29"/>
      <c r="ASM21" s="29"/>
      <c r="ASN21" s="29"/>
      <c r="ASO21" s="29"/>
      <c r="ASP21" s="29"/>
      <c r="ASQ21" s="29"/>
      <c r="ASR21" s="29"/>
      <c r="ASS21" s="29"/>
      <c r="AST21" s="29"/>
      <c r="ASU21" s="29"/>
      <c r="ASV21" s="29"/>
      <c r="ASW21" s="29"/>
      <c r="ASX21" s="29"/>
      <c r="ASY21" s="29"/>
      <c r="ASZ21" s="29"/>
      <c r="ATA21" s="29"/>
      <c r="ATB21" s="29"/>
      <c r="ATC21" s="29"/>
      <c r="ATD21" s="29"/>
      <c r="ATE21" s="29"/>
      <c r="ATF21" s="29"/>
      <c r="ATG21" s="29"/>
      <c r="ATH21" s="29"/>
      <c r="ATI21" s="29"/>
      <c r="ATJ21" s="29"/>
      <c r="ATK21" s="29"/>
      <c r="ATL21" s="29"/>
      <c r="ATM21" s="29"/>
      <c r="ATN21" s="29"/>
      <c r="ATO21" s="29"/>
      <c r="ATP21" s="29"/>
      <c r="ATQ21" s="29"/>
      <c r="ATR21" s="29"/>
      <c r="ATS21" s="29"/>
      <c r="ATT21" s="29"/>
      <c r="ATU21" s="29"/>
      <c r="ATV21" s="29"/>
      <c r="ATW21" s="29"/>
      <c r="ATX21" s="29"/>
      <c r="ATY21" s="29"/>
      <c r="ATZ21" s="29"/>
      <c r="AUA21" s="29"/>
      <c r="AUB21" s="29"/>
      <c r="AUC21" s="29"/>
      <c r="AUD21" s="29"/>
      <c r="AUE21" s="29"/>
      <c r="AUF21" s="29"/>
      <c r="AUG21" s="29"/>
      <c r="AUH21" s="29"/>
      <c r="AUI21" s="29"/>
      <c r="AUJ21" s="29"/>
      <c r="AUK21" s="29"/>
      <c r="AUL21" s="29"/>
      <c r="AUM21" s="29"/>
      <c r="AUN21" s="29"/>
      <c r="AUO21" s="29"/>
      <c r="AUP21" s="29"/>
      <c r="AUQ21" s="29"/>
      <c r="AUR21" s="29"/>
      <c r="AUS21" s="29"/>
      <c r="AUT21" s="29"/>
      <c r="AUU21" s="29"/>
      <c r="AUV21" s="29"/>
      <c r="AUW21" s="29"/>
      <c r="AUX21" s="29"/>
      <c r="AUY21" s="29"/>
      <c r="AUZ21" s="29"/>
      <c r="AVA21" s="29"/>
      <c r="AVB21" s="29"/>
      <c r="AVC21" s="29"/>
      <c r="AVD21" s="29"/>
      <c r="AVE21" s="29"/>
      <c r="AVF21" s="29"/>
      <c r="AVG21" s="29"/>
      <c r="AVH21" s="29"/>
      <c r="AVI21" s="29"/>
      <c r="AVJ21" s="29"/>
      <c r="AVK21" s="29"/>
      <c r="AVL21" s="29"/>
      <c r="AVM21" s="29"/>
      <c r="AVN21" s="29"/>
      <c r="AVO21" s="29"/>
      <c r="AVP21" s="29"/>
      <c r="AVQ21" s="29"/>
      <c r="AVR21" s="29"/>
      <c r="AVS21" s="29"/>
      <c r="AVT21" s="29"/>
      <c r="AVU21" s="29"/>
      <c r="AVV21" s="29"/>
      <c r="AVW21" s="29"/>
      <c r="AVX21" s="29"/>
      <c r="AVY21" s="29"/>
      <c r="AVZ21" s="29"/>
      <c r="AWA21" s="29"/>
      <c r="AWB21" s="29"/>
      <c r="AWC21" s="29"/>
      <c r="AWD21" s="29"/>
      <c r="AWE21" s="29"/>
      <c r="AWF21" s="29"/>
      <c r="AWG21" s="29"/>
      <c r="AWH21" s="29"/>
      <c r="AWI21" s="29"/>
      <c r="AWJ21" s="29"/>
      <c r="AWK21" s="29"/>
      <c r="AWL21" s="29"/>
      <c r="AWM21" s="29"/>
      <c r="AWN21" s="29"/>
      <c r="AWO21" s="29"/>
      <c r="AWP21" s="29"/>
      <c r="AWQ21" s="29"/>
      <c r="AWR21" s="29"/>
      <c r="AWS21" s="29"/>
      <c r="AWT21" s="29"/>
      <c r="AWU21" s="29"/>
      <c r="AWV21" s="29"/>
      <c r="AWW21" s="29"/>
      <c r="AWX21" s="29"/>
      <c r="AWY21" s="29"/>
      <c r="AWZ21" s="29"/>
      <c r="AXA21" s="29"/>
      <c r="AXB21" s="29"/>
      <c r="AXC21" s="29"/>
      <c r="AXD21" s="29"/>
      <c r="AXE21" s="29"/>
      <c r="AXF21" s="29"/>
      <c r="AXG21" s="29"/>
      <c r="AXH21" s="29"/>
      <c r="AXI21" s="29"/>
      <c r="AXJ21" s="29"/>
      <c r="AXK21" s="29"/>
      <c r="AXL21" s="29"/>
      <c r="AXM21" s="29"/>
      <c r="AXN21" s="29"/>
      <c r="AXO21" s="29"/>
      <c r="AXP21" s="29"/>
      <c r="AXQ21" s="29"/>
      <c r="AXR21" s="29"/>
      <c r="AXS21" s="29"/>
      <c r="AXT21" s="29"/>
      <c r="AXU21" s="29"/>
      <c r="AXV21" s="29"/>
      <c r="AXW21" s="29"/>
      <c r="AXX21" s="29"/>
      <c r="AXY21" s="29"/>
      <c r="AXZ21" s="29"/>
      <c r="AYA21" s="29"/>
      <c r="AYB21" s="29"/>
      <c r="AYC21" s="29"/>
      <c r="AYD21" s="29"/>
      <c r="AYE21" s="29"/>
      <c r="AYF21" s="29"/>
      <c r="AYG21" s="29"/>
      <c r="AYH21" s="29"/>
      <c r="AYI21" s="29"/>
      <c r="AYJ21" s="29"/>
      <c r="AYK21" s="29"/>
      <c r="AYL21" s="29"/>
      <c r="AYM21" s="29"/>
      <c r="AYN21" s="29"/>
      <c r="AYO21" s="29"/>
      <c r="AYP21" s="29"/>
      <c r="AYQ21" s="29"/>
      <c r="AYR21" s="29"/>
      <c r="AYS21" s="29"/>
      <c r="AYT21" s="29"/>
      <c r="AYU21" s="29"/>
      <c r="AYV21" s="29"/>
      <c r="AYW21" s="29"/>
      <c r="AYX21" s="29"/>
      <c r="AYY21" s="29"/>
      <c r="AYZ21" s="29"/>
      <c r="AZA21" s="29"/>
      <c r="AZB21" s="29"/>
      <c r="AZC21" s="29"/>
      <c r="AZD21" s="29"/>
      <c r="AZE21" s="29"/>
      <c r="AZF21" s="29"/>
      <c r="AZG21" s="29"/>
      <c r="AZH21" s="29"/>
      <c r="AZI21" s="29"/>
      <c r="AZJ21" s="29"/>
      <c r="AZK21" s="29"/>
      <c r="AZL21" s="29"/>
      <c r="AZM21" s="29"/>
      <c r="AZN21" s="29"/>
      <c r="AZO21" s="29"/>
      <c r="AZP21" s="29"/>
      <c r="AZQ21" s="29"/>
      <c r="AZR21" s="29"/>
      <c r="AZS21" s="29"/>
      <c r="AZT21" s="29"/>
      <c r="AZU21" s="29"/>
      <c r="AZV21" s="29"/>
      <c r="AZW21" s="29"/>
      <c r="AZX21" s="29"/>
      <c r="AZY21" s="29"/>
      <c r="AZZ21" s="29"/>
      <c r="BAA21" s="29"/>
      <c r="BAB21" s="29"/>
      <c r="BAC21" s="29"/>
      <c r="BAD21" s="29"/>
      <c r="BAE21" s="29"/>
      <c r="BAF21" s="29"/>
      <c r="BAG21" s="29"/>
      <c r="BAH21" s="29"/>
      <c r="BAI21" s="29"/>
      <c r="BAJ21" s="29"/>
      <c r="BAK21" s="29"/>
      <c r="BAL21" s="29"/>
      <c r="BAM21" s="29"/>
      <c r="BAN21" s="29"/>
      <c r="BAO21" s="29"/>
      <c r="BAP21" s="29"/>
      <c r="BAQ21" s="29"/>
      <c r="BAR21" s="29"/>
      <c r="BAS21" s="29"/>
      <c r="BAT21" s="29"/>
      <c r="BAU21" s="29"/>
      <c r="BAV21" s="29"/>
      <c r="BAW21" s="29"/>
      <c r="BAX21" s="29"/>
      <c r="BAY21" s="29"/>
      <c r="BAZ21" s="29"/>
      <c r="BBA21" s="29"/>
      <c r="BBB21" s="29"/>
      <c r="BBC21" s="29"/>
      <c r="BBD21" s="29"/>
      <c r="BBE21" s="29"/>
      <c r="BBF21" s="29"/>
      <c r="BBG21" s="29"/>
      <c r="BBH21" s="29"/>
      <c r="BBI21" s="29"/>
      <c r="BBJ21" s="29"/>
      <c r="BBK21" s="29"/>
      <c r="BBL21" s="29"/>
      <c r="BBM21" s="29"/>
      <c r="BBN21" s="29"/>
      <c r="BBO21" s="29"/>
      <c r="BBP21" s="29"/>
      <c r="BBQ21" s="29"/>
      <c r="BBR21" s="29"/>
      <c r="BBS21" s="29"/>
      <c r="BBT21" s="29"/>
      <c r="BBU21" s="29"/>
      <c r="BBV21" s="29"/>
      <c r="BBW21" s="29"/>
      <c r="BBX21" s="29"/>
      <c r="BBY21" s="29"/>
      <c r="BBZ21" s="29"/>
      <c r="BCA21" s="29"/>
      <c r="BCB21" s="29"/>
      <c r="BCC21" s="29"/>
      <c r="BCD21" s="29"/>
      <c r="BCE21" s="29"/>
      <c r="BCF21" s="29"/>
      <c r="BCG21" s="29"/>
      <c r="BCH21" s="29"/>
      <c r="BCI21" s="29"/>
      <c r="BCJ21" s="29"/>
      <c r="BCK21" s="29"/>
      <c r="BCL21" s="29"/>
      <c r="BCM21" s="29"/>
      <c r="BCN21" s="29"/>
      <c r="BCO21" s="29"/>
      <c r="BCP21" s="29"/>
      <c r="BCQ21" s="29"/>
      <c r="BCR21" s="29"/>
      <c r="BCS21" s="29"/>
      <c r="BCT21" s="29"/>
      <c r="BCU21" s="29"/>
      <c r="BCV21" s="29"/>
      <c r="BCW21" s="29"/>
      <c r="BCX21" s="29"/>
      <c r="BCY21" s="29"/>
      <c r="BCZ21" s="29"/>
      <c r="BDA21" s="29"/>
      <c r="BDB21" s="29"/>
      <c r="BDC21" s="29"/>
      <c r="BDD21" s="29"/>
      <c r="BDE21" s="29"/>
      <c r="BDF21" s="29"/>
      <c r="BDG21" s="29"/>
      <c r="BDH21" s="29"/>
      <c r="BDI21" s="29"/>
      <c r="BDJ21" s="29"/>
      <c r="BDK21" s="29"/>
      <c r="BDL21" s="29"/>
      <c r="BDM21" s="29"/>
      <c r="BDN21" s="29"/>
      <c r="BDO21" s="29"/>
      <c r="BDP21" s="29"/>
      <c r="BDQ21" s="29"/>
      <c r="BDR21" s="29"/>
      <c r="BDS21" s="29"/>
      <c r="BDT21" s="29"/>
      <c r="BDU21" s="29"/>
      <c r="BDV21" s="29"/>
      <c r="BDW21" s="29"/>
      <c r="BDX21" s="29"/>
      <c r="BDY21" s="29"/>
      <c r="BDZ21" s="29"/>
      <c r="BEA21" s="29"/>
      <c r="BEB21" s="29"/>
      <c r="BEC21" s="29"/>
      <c r="BED21" s="29"/>
      <c r="BEE21" s="29"/>
      <c r="BEF21" s="29"/>
      <c r="BEG21" s="29"/>
      <c r="BEH21" s="29"/>
      <c r="BEI21" s="29"/>
      <c r="BEJ21" s="29"/>
      <c r="BEK21" s="29"/>
      <c r="BEL21" s="29"/>
      <c r="BEM21" s="29"/>
      <c r="BEN21" s="29"/>
      <c r="BEO21" s="29"/>
      <c r="BEP21" s="29"/>
      <c r="BEQ21" s="29"/>
      <c r="BER21" s="29"/>
      <c r="BES21" s="29"/>
      <c r="BET21" s="29"/>
      <c r="BEU21" s="29"/>
      <c r="BEV21" s="29"/>
      <c r="BEW21" s="29"/>
      <c r="BEX21" s="29"/>
      <c r="BEY21" s="29"/>
      <c r="BEZ21" s="29"/>
      <c r="BFA21" s="29"/>
      <c r="BFB21" s="29"/>
      <c r="BFC21" s="29"/>
      <c r="BFD21" s="29"/>
      <c r="BFE21" s="29"/>
      <c r="BFF21" s="29"/>
      <c r="BFG21" s="29"/>
      <c r="BFH21" s="29"/>
      <c r="BFI21" s="29"/>
      <c r="BFJ21" s="29"/>
      <c r="BFK21" s="29"/>
      <c r="BFL21" s="29"/>
      <c r="BFM21" s="29"/>
      <c r="BFN21" s="29"/>
      <c r="BFO21" s="29"/>
      <c r="BFP21" s="29"/>
      <c r="BFQ21" s="29"/>
      <c r="BFR21" s="29"/>
      <c r="BFS21" s="29"/>
      <c r="BFT21" s="29"/>
      <c r="BFU21" s="29"/>
      <c r="BFV21" s="29"/>
      <c r="BFW21" s="29"/>
      <c r="BFX21" s="29"/>
      <c r="BFY21" s="29"/>
      <c r="BFZ21" s="29"/>
      <c r="BGA21" s="29"/>
      <c r="BGB21" s="29"/>
      <c r="BGC21" s="29"/>
      <c r="BGD21" s="29"/>
      <c r="BGE21" s="29"/>
      <c r="BGF21" s="29"/>
      <c r="BGG21" s="29"/>
      <c r="BGH21" s="29"/>
      <c r="BGI21" s="29"/>
      <c r="BGJ21" s="29"/>
      <c r="BGK21" s="29"/>
      <c r="BGL21" s="29"/>
      <c r="BGM21" s="29"/>
      <c r="BGN21" s="29"/>
      <c r="BGO21" s="29"/>
      <c r="BGP21" s="29"/>
      <c r="BGQ21" s="29"/>
      <c r="BGR21" s="29"/>
      <c r="BGS21" s="29"/>
      <c r="BGT21" s="29"/>
      <c r="BGU21" s="29"/>
      <c r="BGV21" s="29"/>
      <c r="BGW21" s="29"/>
      <c r="BGX21" s="29"/>
      <c r="BGY21" s="29"/>
      <c r="BGZ21" s="29"/>
      <c r="BHA21" s="29"/>
      <c r="BHB21" s="29"/>
      <c r="BHC21" s="29"/>
      <c r="BHD21" s="29"/>
      <c r="BHE21" s="29"/>
      <c r="BHF21" s="29"/>
      <c r="BHG21" s="29"/>
      <c r="BHH21" s="29"/>
      <c r="BHI21" s="29"/>
      <c r="BHJ21" s="29"/>
      <c r="BHK21" s="29"/>
      <c r="BHL21" s="29"/>
      <c r="BHM21" s="29"/>
      <c r="BHN21" s="29"/>
      <c r="BHO21" s="29"/>
      <c r="BHP21" s="29"/>
      <c r="BHQ21" s="29"/>
      <c r="BHR21" s="29"/>
      <c r="BHS21" s="29"/>
      <c r="BHT21" s="29"/>
      <c r="BHU21" s="29"/>
      <c r="BHV21" s="29"/>
      <c r="BHW21" s="29"/>
      <c r="BHX21" s="29"/>
      <c r="BHY21" s="29"/>
      <c r="BHZ21" s="29"/>
      <c r="BIA21" s="29"/>
      <c r="BIB21" s="29"/>
      <c r="BIC21" s="29"/>
      <c r="BID21" s="29"/>
      <c r="BIE21" s="29"/>
      <c r="BIF21" s="29"/>
      <c r="BIG21" s="29"/>
      <c r="BIH21" s="29"/>
      <c r="BII21" s="29"/>
      <c r="BIJ21" s="29"/>
      <c r="BIK21" s="29"/>
      <c r="BIL21" s="29"/>
      <c r="BIM21" s="29"/>
      <c r="BIN21" s="29"/>
      <c r="BIO21" s="29"/>
      <c r="BIP21" s="29"/>
      <c r="BIQ21" s="29"/>
      <c r="BIR21" s="29"/>
      <c r="BIS21" s="29"/>
      <c r="BIT21" s="29"/>
      <c r="BIU21" s="29"/>
      <c r="BIV21" s="29"/>
      <c r="BIW21" s="29"/>
      <c r="BIX21" s="29"/>
      <c r="BIY21" s="29"/>
      <c r="BIZ21" s="29"/>
      <c r="BJA21" s="29"/>
      <c r="BJB21" s="29"/>
      <c r="BJC21" s="29"/>
      <c r="BJD21" s="29"/>
      <c r="BJE21" s="29"/>
      <c r="BJF21" s="29"/>
      <c r="BJG21" s="29"/>
      <c r="BJH21" s="29"/>
      <c r="BJI21" s="29"/>
      <c r="BJJ21" s="29"/>
      <c r="BJK21" s="29"/>
      <c r="BJL21" s="29"/>
      <c r="BJM21" s="29"/>
      <c r="BJN21" s="29"/>
      <c r="BJO21" s="29"/>
      <c r="BJP21" s="29"/>
      <c r="BJQ21" s="29"/>
      <c r="BJR21" s="29"/>
      <c r="BJS21" s="29"/>
      <c r="BJT21" s="29"/>
      <c r="BJU21" s="29"/>
      <c r="BJV21" s="29"/>
      <c r="BJW21" s="29"/>
      <c r="BJX21" s="29"/>
      <c r="BJY21" s="29"/>
      <c r="BJZ21" s="29"/>
      <c r="BKA21" s="29"/>
      <c r="BKB21" s="29"/>
      <c r="BKC21" s="29"/>
      <c r="BKD21" s="29"/>
      <c r="BKE21" s="29"/>
      <c r="BKF21" s="29"/>
      <c r="BKG21" s="29"/>
      <c r="BKH21" s="29"/>
      <c r="BKI21" s="29"/>
      <c r="BKJ21" s="29"/>
      <c r="BKK21" s="29"/>
      <c r="BKL21" s="29"/>
      <c r="BKM21" s="29"/>
      <c r="BKN21" s="29"/>
      <c r="BKO21" s="29"/>
      <c r="BKP21" s="29"/>
      <c r="BKQ21" s="29"/>
      <c r="BKR21" s="29"/>
      <c r="BKS21" s="29"/>
      <c r="BKT21" s="29"/>
      <c r="BKU21" s="29"/>
      <c r="BKV21" s="29"/>
      <c r="BKW21" s="29"/>
      <c r="BKX21" s="29"/>
      <c r="BKY21" s="29"/>
      <c r="BKZ21" s="29"/>
      <c r="BLA21" s="29"/>
      <c r="BLB21" s="29"/>
      <c r="BLC21" s="29"/>
      <c r="BLD21" s="29"/>
      <c r="BLE21" s="29"/>
      <c r="BLF21" s="29"/>
      <c r="BLG21" s="29"/>
      <c r="BLH21" s="29"/>
      <c r="BLI21" s="29"/>
      <c r="BLJ21" s="29"/>
      <c r="BLK21" s="29"/>
      <c r="BLL21" s="29"/>
      <c r="BLM21" s="29"/>
      <c r="BLN21" s="29"/>
      <c r="BLO21" s="29"/>
      <c r="BLP21" s="29"/>
      <c r="BLQ21" s="29"/>
      <c r="BLR21" s="29"/>
      <c r="BLS21" s="29"/>
      <c r="BLT21" s="29"/>
      <c r="BLU21" s="29"/>
      <c r="BLV21" s="29"/>
      <c r="BLW21" s="29"/>
      <c r="BLX21" s="29"/>
      <c r="BLY21" s="29"/>
      <c r="BLZ21" s="29"/>
      <c r="BMA21" s="29"/>
      <c r="BMB21" s="29"/>
      <c r="BMC21" s="29"/>
      <c r="BMD21" s="29"/>
      <c r="BME21" s="29"/>
      <c r="BMF21" s="29"/>
      <c r="BMG21" s="29"/>
      <c r="BMH21" s="29"/>
      <c r="BMI21" s="29"/>
      <c r="BMJ21" s="29"/>
      <c r="BMK21" s="29"/>
      <c r="BML21" s="29"/>
      <c r="BMM21" s="29"/>
      <c r="BMN21" s="29"/>
      <c r="BMO21" s="29"/>
      <c r="BMP21" s="29"/>
      <c r="BMQ21" s="29"/>
      <c r="BMR21" s="29"/>
      <c r="BMS21" s="29"/>
      <c r="BMT21" s="29"/>
      <c r="BMU21" s="29"/>
      <c r="BMV21" s="29"/>
      <c r="BMW21" s="29"/>
      <c r="BMX21" s="29"/>
      <c r="BMY21" s="29"/>
      <c r="BMZ21" s="29"/>
      <c r="BNA21" s="29"/>
      <c r="BNB21" s="29"/>
      <c r="BNC21" s="29"/>
      <c r="BND21" s="29"/>
      <c r="BNE21" s="29"/>
      <c r="BNF21" s="29"/>
      <c r="BNG21" s="29"/>
      <c r="BNH21" s="29"/>
      <c r="BNI21" s="29"/>
      <c r="BNJ21" s="29"/>
      <c r="BNK21" s="29"/>
      <c r="BNL21" s="29"/>
      <c r="BNM21" s="29"/>
      <c r="BNN21" s="29"/>
      <c r="BNO21" s="29"/>
      <c r="BNP21" s="29"/>
      <c r="BNQ21" s="29"/>
      <c r="BNR21" s="29"/>
      <c r="BNS21" s="29"/>
      <c r="BNT21" s="29"/>
      <c r="BNU21" s="29"/>
      <c r="BNV21" s="29"/>
      <c r="BNW21" s="29"/>
      <c r="BNX21" s="29"/>
      <c r="BNY21" s="29"/>
      <c r="BNZ21" s="29"/>
      <c r="BOA21" s="29"/>
      <c r="BOB21" s="29"/>
      <c r="BOC21" s="29"/>
      <c r="BOD21" s="29"/>
      <c r="BOE21" s="29"/>
      <c r="BOF21" s="29"/>
      <c r="BOG21" s="29"/>
      <c r="BOH21" s="29"/>
      <c r="BOI21" s="29"/>
      <c r="BOJ21" s="29"/>
      <c r="BOK21" s="29"/>
      <c r="BOL21" s="29"/>
      <c r="BOM21" s="29"/>
      <c r="BON21" s="29"/>
      <c r="BOO21" s="29"/>
      <c r="BOP21" s="29"/>
      <c r="BOQ21" s="29"/>
      <c r="BOR21" s="29"/>
      <c r="BOS21" s="29"/>
      <c r="BOT21" s="29"/>
      <c r="BOU21" s="29"/>
      <c r="BOV21" s="29"/>
      <c r="BOW21" s="29"/>
      <c r="BOX21" s="29"/>
      <c r="BOY21" s="29"/>
      <c r="BOZ21" s="29"/>
      <c r="BPA21" s="29"/>
      <c r="BPB21" s="29"/>
      <c r="BPC21" s="29"/>
      <c r="BPD21" s="29"/>
      <c r="BPE21" s="29"/>
      <c r="BPF21" s="29"/>
      <c r="BPG21" s="29"/>
      <c r="BPH21" s="29"/>
      <c r="BPI21" s="29"/>
      <c r="BPJ21" s="29"/>
      <c r="BPK21" s="29"/>
      <c r="BPL21" s="29"/>
      <c r="BPM21" s="29"/>
      <c r="BPN21" s="29"/>
      <c r="BPO21" s="29"/>
      <c r="BPP21" s="29"/>
      <c r="BPQ21" s="29"/>
      <c r="BPR21" s="29"/>
      <c r="BPS21" s="29"/>
      <c r="BPT21" s="29"/>
      <c r="BPU21" s="29"/>
      <c r="BPV21" s="29"/>
      <c r="BPW21" s="29"/>
      <c r="BPX21" s="29"/>
      <c r="BPY21" s="29"/>
      <c r="BPZ21" s="29"/>
      <c r="BQA21" s="29"/>
      <c r="BQB21" s="29"/>
      <c r="BQC21" s="29"/>
      <c r="BQD21" s="29"/>
      <c r="BQE21" s="29"/>
      <c r="BQF21" s="29"/>
      <c r="BQG21" s="29"/>
      <c r="BQH21" s="29"/>
      <c r="BQI21" s="29"/>
      <c r="BQJ21" s="29"/>
      <c r="BQK21" s="29"/>
      <c r="BQL21" s="29"/>
      <c r="BQM21" s="29"/>
      <c r="BQN21" s="29"/>
      <c r="BQO21" s="29"/>
      <c r="BQP21" s="29"/>
      <c r="BQQ21" s="29"/>
      <c r="BQR21" s="29"/>
      <c r="BQS21" s="29"/>
      <c r="BQT21" s="29"/>
      <c r="BQU21" s="29"/>
      <c r="BQV21" s="29"/>
      <c r="BQW21" s="29"/>
      <c r="BQX21" s="29"/>
      <c r="BQY21" s="29"/>
      <c r="BQZ21" s="29"/>
      <c r="BRA21" s="29"/>
      <c r="BRB21" s="29"/>
      <c r="BRC21" s="29"/>
      <c r="BRD21" s="29"/>
      <c r="BRE21" s="29"/>
      <c r="BRF21" s="29"/>
      <c r="BRG21" s="29"/>
      <c r="BRH21" s="29"/>
      <c r="BRI21" s="29"/>
      <c r="BRJ21" s="29"/>
      <c r="BRK21" s="29"/>
      <c r="BRL21" s="29"/>
      <c r="BRM21" s="29"/>
      <c r="BRN21" s="29"/>
      <c r="BRO21" s="29"/>
      <c r="BRP21" s="29"/>
      <c r="BRQ21" s="29"/>
      <c r="BRR21" s="29"/>
      <c r="BRS21" s="29"/>
      <c r="BRT21" s="29"/>
      <c r="BRU21" s="29"/>
      <c r="BRV21" s="29"/>
      <c r="BRW21" s="29"/>
      <c r="BRX21" s="29"/>
      <c r="BRY21" s="29"/>
      <c r="BRZ21" s="29"/>
      <c r="BSA21" s="29"/>
      <c r="BSB21" s="29"/>
      <c r="BSC21" s="29"/>
      <c r="BSD21" s="29"/>
      <c r="BSE21" s="29"/>
      <c r="BSF21" s="29"/>
      <c r="BSG21" s="29"/>
      <c r="BSH21" s="29"/>
      <c r="BSI21" s="29"/>
      <c r="BSJ21" s="29"/>
      <c r="BSK21" s="29"/>
      <c r="BSL21" s="29"/>
      <c r="BSM21" s="29"/>
      <c r="BSN21" s="29"/>
      <c r="BSO21" s="29"/>
      <c r="BSP21" s="29"/>
      <c r="BSQ21" s="29"/>
      <c r="BSR21" s="29"/>
      <c r="BSS21" s="29"/>
      <c r="BST21" s="29"/>
      <c r="BSU21" s="29"/>
      <c r="BSV21" s="29"/>
      <c r="BSW21" s="29"/>
      <c r="BSX21" s="29"/>
      <c r="BSY21" s="29"/>
      <c r="BSZ21" s="29"/>
      <c r="BTA21" s="29"/>
      <c r="BTB21" s="29"/>
      <c r="BTC21" s="29"/>
      <c r="BTD21" s="29"/>
      <c r="BTE21" s="29"/>
      <c r="BTF21" s="29"/>
      <c r="BTG21" s="29"/>
      <c r="BTH21" s="29"/>
      <c r="BTI21" s="29"/>
      <c r="BTJ21" s="29"/>
      <c r="BTK21" s="29"/>
      <c r="BTL21" s="29"/>
      <c r="BTM21" s="29"/>
      <c r="BTN21" s="29"/>
      <c r="BTO21" s="29"/>
      <c r="BTP21" s="29"/>
      <c r="BTQ21" s="29"/>
      <c r="BTR21" s="29"/>
      <c r="BTS21" s="29"/>
      <c r="BTT21" s="29"/>
      <c r="BTU21" s="29"/>
      <c r="BTV21" s="29"/>
      <c r="BTW21" s="29"/>
      <c r="BTX21" s="29"/>
      <c r="BTY21" s="29"/>
      <c r="BTZ21" s="29"/>
      <c r="BUA21" s="29"/>
      <c r="BUB21" s="29"/>
      <c r="BUC21" s="29"/>
      <c r="BUD21" s="29"/>
      <c r="BUE21" s="29"/>
      <c r="BUF21" s="29"/>
      <c r="BUG21" s="29"/>
      <c r="BUH21" s="29"/>
      <c r="BUI21" s="29"/>
      <c r="BUJ21" s="29"/>
      <c r="BUK21" s="29"/>
      <c r="BUL21" s="29"/>
      <c r="BUM21" s="29"/>
      <c r="BUN21" s="29"/>
      <c r="BUO21" s="29"/>
      <c r="BUP21" s="29"/>
      <c r="BUQ21" s="29"/>
      <c r="BUR21" s="29"/>
      <c r="BUS21" s="29"/>
      <c r="BUT21" s="29"/>
      <c r="BUU21" s="29"/>
      <c r="BUV21" s="29"/>
      <c r="BUW21" s="29"/>
      <c r="BUX21" s="29"/>
      <c r="BUY21" s="29"/>
      <c r="BUZ21" s="29"/>
      <c r="BVA21" s="29"/>
      <c r="BVB21" s="29"/>
      <c r="BVC21" s="29"/>
      <c r="BVD21" s="29"/>
      <c r="BVE21" s="29"/>
      <c r="BVF21" s="29"/>
      <c r="BVG21" s="29"/>
      <c r="BVH21" s="29"/>
      <c r="BVI21" s="29"/>
      <c r="BVJ21" s="29"/>
      <c r="BVK21" s="29"/>
      <c r="BVL21" s="29"/>
      <c r="BVM21" s="29"/>
      <c r="BVN21" s="29"/>
      <c r="BVO21" s="29"/>
      <c r="BVP21" s="29"/>
      <c r="BVQ21" s="29"/>
      <c r="BVR21" s="29"/>
      <c r="BVS21" s="29"/>
      <c r="BVT21" s="29"/>
      <c r="BVU21" s="29"/>
      <c r="BVV21" s="29"/>
      <c r="BVW21" s="29"/>
      <c r="BVX21" s="29"/>
      <c r="BVY21" s="29"/>
      <c r="BVZ21" s="29"/>
      <c r="BWA21" s="29"/>
      <c r="BWB21" s="29"/>
      <c r="BWC21" s="29"/>
      <c r="BWD21" s="29"/>
      <c r="BWE21" s="29"/>
      <c r="BWF21" s="29"/>
      <c r="BWG21" s="29"/>
      <c r="BWH21" s="29"/>
      <c r="BWI21" s="29"/>
      <c r="BWJ21" s="29"/>
      <c r="BWK21" s="29"/>
      <c r="BWL21" s="29"/>
      <c r="BWM21" s="29"/>
      <c r="BWN21" s="29"/>
      <c r="BWO21" s="29"/>
      <c r="BWP21" s="29"/>
      <c r="BWQ21" s="29"/>
      <c r="BWR21" s="29"/>
      <c r="BWS21" s="29"/>
      <c r="BWT21" s="29"/>
      <c r="BWU21" s="29"/>
      <c r="BWV21" s="29"/>
      <c r="BWW21" s="29"/>
      <c r="BWX21" s="29"/>
      <c r="BWY21" s="29"/>
      <c r="BWZ21" s="29"/>
      <c r="BXA21" s="29"/>
      <c r="BXB21" s="29"/>
      <c r="BXC21" s="29"/>
      <c r="BXD21" s="29"/>
      <c r="BXE21" s="29"/>
      <c r="BXF21" s="29"/>
      <c r="BXG21" s="29"/>
      <c r="BXH21" s="29"/>
      <c r="BXI21" s="29"/>
      <c r="BXJ21" s="29"/>
      <c r="BXK21" s="29"/>
      <c r="BXL21" s="29"/>
      <c r="BXM21" s="29"/>
      <c r="BXN21" s="29"/>
      <c r="BXO21" s="29"/>
      <c r="BXP21" s="29"/>
      <c r="BXQ21" s="29"/>
      <c r="BXR21" s="29"/>
      <c r="BXS21" s="29"/>
      <c r="BXT21" s="29"/>
      <c r="BXU21" s="29"/>
      <c r="BXV21" s="29"/>
      <c r="BXW21" s="29"/>
      <c r="BXX21" s="29"/>
      <c r="BXY21" s="29"/>
      <c r="BXZ21" s="29"/>
      <c r="BYA21" s="29"/>
      <c r="BYB21" s="29"/>
      <c r="BYC21" s="29"/>
      <c r="BYD21" s="29"/>
      <c r="BYE21" s="29"/>
      <c r="BYF21" s="29"/>
      <c r="BYG21" s="29"/>
      <c r="BYH21" s="29"/>
      <c r="BYI21" s="29"/>
      <c r="BYJ21" s="29"/>
      <c r="BYK21" s="29"/>
      <c r="BYL21" s="29"/>
      <c r="BYM21" s="29"/>
      <c r="BYN21" s="29"/>
      <c r="BYO21" s="29"/>
      <c r="BYP21" s="29"/>
      <c r="BYQ21" s="29"/>
      <c r="BYR21" s="29"/>
      <c r="BYS21" s="29"/>
      <c r="BYT21" s="29"/>
      <c r="BYU21" s="29"/>
      <c r="BYV21" s="29"/>
      <c r="BYW21" s="29"/>
      <c r="BYX21" s="29"/>
      <c r="BYY21" s="29"/>
      <c r="BYZ21" s="29"/>
      <c r="BZA21" s="29"/>
      <c r="BZB21" s="29"/>
      <c r="BZC21" s="29"/>
      <c r="BZD21" s="29"/>
      <c r="BZE21" s="29"/>
      <c r="BZF21" s="29"/>
      <c r="BZG21" s="29"/>
      <c r="BZH21" s="29"/>
      <c r="BZI21" s="29"/>
      <c r="BZJ21" s="29"/>
      <c r="BZK21" s="29"/>
      <c r="BZL21" s="29"/>
      <c r="BZM21" s="29"/>
      <c r="BZN21" s="29"/>
      <c r="BZO21" s="29"/>
      <c r="BZP21" s="29"/>
      <c r="BZQ21" s="29"/>
      <c r="BZR21" s="29"/>
      <c r="BZS21" s="29"/>
      <c r="BZT21" s="29"/>
      <c r="BZU21" s="29"/>
      <c r="BZV21" s="29"/>
      <c r="BZW21" s="29"/>
      <c r="BZX21" s="29"/>
      <c r="BZY21" s="29"/>
      <c r="BZZ21" s="29"/>
      <c r="CAA21" s="29"/>
      <c r="CAB21" s="29"/>
      <c r="CAC21" s="29"/>
      <c r="CAD21" s="29"/>
      <c r="CAE21" s="29"/>
      <c r="CAF21" s="29"/>
      <c r="CAG21" s="29"/>
      <c r="CAH21" s="29"/>
      <c r="CAI21" s="29"/>
      <c r="CAJ21" s="29"/>
      <c r="CAK21" s="29"/>
      <c r="CAL21" s="29"/>
      <c r="CAM21" s="29"/>
      <c r="CAN21" s="29"/>
      <c r="CAO21" s="29"/>
      <c r="CAP21" s="29"/>
      <c r="CAQ21" s="29"/>
      <c r="CAR21" s="29"/>
      <c r="CAS21" s="29"/>
      <c r="CAT21" s="29"/>
      <c r="CAU21" s="29"/>
      <c r="CAV21" s="29"/>
      <c r="CAW21" s="29"/>
      <c r="CAX21" s="29"/>
      <c r="CAY21" s="29"/>
      <c r="CAZ21" s="29"/>
      <c r="CBA21" s="29"/>
      <c r="CBB21" s="29"/>
      <c r="CBC21" s="29"/>
      <c r="CBD21" s="29"/>
      <c r="CBE21" s="29"/>
      <c r="CBF21" s="29"/>
      <c r="CBG21" s="29"/>
      <c r="CBH21" s="29"/>
      <c r="CBI21" s="29"/>
      <c r="CBJ21" s="29"/>
      <c r="CBK21" s="29"/>
      <c r="CBL21" s="29"/>
      <c r="CBM21" s="29"/>
      <c r="CBN21" s="29"/>
      <c r="CBO21" s="29"/>
      <c r="CBP21" s="29"/>
      <c r="CBQ21" s="29"/>
      <c r="CBR21" s="29"/>
      <c r="CBS21" s="29"/>
      <c r="CBT21" s="29"/>
      <c r="CBU21" s="29"/>
      <c r="CBV21" s="29"/>
      <c r="CBW21" s="29"/>
      <c r="CBX21" s="29"/>
      <c r="CBY21" s="29"/>
      <c r="CBZ21" s="29"/>
      <c r="CCA21" s="29"/>
      <c r="CCB21" s="29"/>
      <c r="CCC21" s="29"/>
      <c r="CCD21" s="29"/>
      <c r="CCE21" s="29"/>
      <c r="CCF21" s="29"/>
      <c r="CCG21" s="29"/>
      <c r="CCH21" s="29"/>
      <c r="CCI21" s="29"/>
      <c r="CCJ21" s="29"/>
      <c r="CCK21" s="29"/>
      <c r="CCL21" s="29"/>
      <c r="CCM21" s="29"/>
      <c r="CCN21" s="29"/>
      <c r="CCO21" s="29"/>
      <c r="CCP21" s="29"/>
      <c r="CCQ21" s="29"/>
      <c r="CCR21" s="29"/>
      <c r="CCS21" s="29"/>
      <c r="CCT21" s="29"/>
      <c r="CCU21" s="29"/>
      <c r="CCV21" s="29"/>
      <c r="CCW21" s="29"/>
      <c r="CCX21" s="29"/>
      <c r="CCY21" s="29"/>
      <c r="CCZ21" s="29"/>
      <c r="CDA21" s="29"/>
      <c r="CDB21" s="29"/>
      <c r="CDC21" s="29"/>
      <c r="CDD21" s="29"/>
      <c r="CDE21" s="29"/>
      <c r="CDF21" s="29"/>
      <c r="CDG21" s="29"/>
      <c r="CDH21" s="29"/>
      <c r="CDI21" s="29"/>
      <c r="CDJ21" s="29"/>
      <c r="CDK21" s="29"/>
      <c r="CDL21" s="29"/>
      <c r="CDM21" s="29"/>
      <c r="CDN21" s="29"/>
      <c r="CDO21" s="29"/>
      <c r="CDP21" s="29"/>
      <c r="CDQ21" s="29"/>
      <c r="CDR21" s="29"/>
      <c r="CDS21" s="29"/>
      <c r="CDT21" s="29"/>
      <c r="CDU21" s="29"/>
      <c r="CDV21" s="29"/>
      <c r="CDW21" s="29"/>
      <c r="CDX21" s="29"/>
      <c r="CDY21" s="29"/>
      <c r="CDZ21" s="29"/>
      <c r="CEA21" s="29"/>
      <c r="CEB21" s="29"/>
      <c r="CEC21" s="29"/>
      <c r="CED21" s="29"/>
      <c r="CEE21" s="29"/>
      <c r="CEF21" s="29"/>
      <c r="CEG21" s="29"/>
      <c r="CEH21" s="29"/>
      <c r="CEI21" s="29"/>
      <c r="CEJ21" s="29"/>
      <c r="CEK21" s="29"/>
      <c r="CEL21" s="29"/>
      <c r="CEM21" s="29"/>
      <c r="CEN21" s="29"/>
      <c r="CEO21" s="29"/>
      <c r="CEP21" s="29"/>
      <c r="CEQ21" s="29"/>
      <c r="CER21" s="29"/>
      <c r="CES21" s="29"/>
      <c r="CET21" s="29"/>
      <c r="CEU21" s="29"/>
      <c r="CEV21" s="29"/>
      <c r="CEW21" s="29"/>
      <c r="CEX21" s="29"/>
      <c r="CEY21" s="29"/>
      <c r="CEZ21" s="29"/>
      <c r="CFA21" s="29"/>
      <c r="CFB21" s="29"/>
      <c r="CFC21" s="29"/>
      <c r="CFD21" s="29"/>
      <c r="CFE21" s="29"/>
      <c r="CFF21" s="29"/>
      <c r="CFG21" s="29"/>
      <c r="CFH21" s="29"/>
      <c r="CFI21" s="29"/>
      <c r="CFJ21" s="29"/>
      <c r="CFK21" s="29"/>
      <c r="CFL21" s="29"/>
      <c r="CFM21" s="29"/>
      <c r="CFN21" s="29"/>
      <c r="CFO21" s="29"/>
      <c r="CFP21" s="29"/>
      <c r="CFQ21" s="29"/>
      <c r="CFR21" s="29"/>
      <c r="CFS21" s="29"/>
      <c r="CFT21" s="29"/>
      <c r="CFU21" s="29"/>
      <c r="CFV21" s="29"/>
      <c r="CFW21" s="29"/>
      <c r="CFX21" s="29"/>
      <c r="CFY21" s="29"/>
      <c r="CFZ21" s="29"/>
      <c r="CGA21" s="29"/>
      <c r="CGB21" s="29"/>
      <c r="CGC21" s="29"/>
      <c r="CGD21" s="29"/>
      <c r="CGE21" s="29"/>
      <c r="CGF21" s="29"/>
      <c r="CGG21" s="29"/>
      <c r="CGH21" s="29"/>
      <c r="CGI21" s="29"/>
      <c r="CGJ21" s="29"/>
      <c r="CGK21" s="29"/>
      <c r="CGL21" s="29"/>
      <c r="CGM21" s="29"/>
      <c r="CGN21" s="29"/>
      <c r="CGO21" s="29"/>
      <c r="CGP21" s="29"/>
      <c r="CGQ21" s="29"/>
      <c r="CGR21" s="29"/>
      <c r="CGS21" s="29"/>
      <c r="CGT21" s="29"/>
      <c r="CGU21" s="29"/>
      <c r="CGV21" s="29"/>
      <c r="CGW21" s="29"/>
      <c r="CGX21" s="29"/>
      <c r="CGY21" s="29"/>
      <c r="CGZ21" s="29"/>
      <c r="CHA21" s="29"/>
      <c r="CHB21" s="29"/>
      <c r="CHC21" s="29"/>
      <c r="CHD21" s="29"/>
      <c r="CHE21" s="29"/>
      <c r="CHF21" s="29"/>
      <c r="CHG21" s="29"/>
      <c r="CHH21" s="29"/>
      <c r="CHI21" s="29"/>
      <c r="CHJ21" s="29"/>
      <c r="CHK21" s="29"/>
      <c r="CHL21" s="29"/>
      <c r="CHM21" s="29"/>
      <c r="CHN21" s="29"/>
      <c r="CHO21" s="29"/>
      <c r="CHP21" s="29"/>
      <c r="CHQ21" s="29"/>
      <c r="CHR21" s="29"/>
      <c r="CHS21" s="29"/>
      <c r="CHT21" s="29"/>
      <c r="CHU21" s="29"/>
      <c r="CHV21" s="29"/>
      <c r="CHW21" s="29"/>
      <c r="CHX21" s="29"/>
      <c r="CHY21" s="29"/>
      <c r="CHZ21" s="29"/>
      <c r="CIA21" s="29"/>
      <c r="CIB21" s="29"/>
      <c r="CIC21" s="29"/>
      <c r="CID21" s="29"/>
      <c r="CIE21" s="29"/>
      <c r="CIF21" s="29"/>
      <c r="CIG21" s="29"/>
      <c r="CIH21" s="29"/>
      <c r="CII21" s="29"/>
      <c r="CIJ21" s="29"/>
      <c r="CIK21" s="29"/>
      <c r="CIL21" s="29"/>
      <c r="CIM21" s="29"/>
      <c r="CIN21" s="29"/>
      <c r="CIO21" s="29"/>
      <c r="CIP21" s="29"/>
      <c r="CIQ21" s="29"/>
      <c r="CIR21" s="29"/>
      <c r="CIS21" s="29"/>
      <c r="CIT21" s="29"/>
      <c r="CIU21" s="29"/>
      <c r="CIV21" s="29"/>
      <c r="CIW21" s="29"/>
      <c r="CIX21" s="29"/>
      <c r="CIY21" s="29"/>
      <c r="CIZ21" s="29"/>
      <c r="CJA21" s="29"/>
      <c r="CJB21" s="29"/>
      <c r="CJC21" s="29"/>
      <c r="CJD21" s="29"/>
      <c r="CJE21" s="29"/>
      <c r="CJF21" s="29"/>
      <c r="CJG21" s="29"/>
      <c r="CJH21" s="29"/>
      <c r="CJI21" s="29"/>
      <c r="CJJ21" s="29"/>
      <c r="CJK21" s="29"/>
      <c r="CJL21" s="29"/>
      <c r="CJM21" s="29"/>
      <c r="CJN21" s="29"/>
      <c r="CJO21" s="29"/>
      <c r="CJP21" s="29"/>
      <c r="CJQ21" s="29"/>
      <c r="CJR21" s="29"/>
      <c r="CJS21" s="29"/>
      <c r="CJT21" s="29"/>
      <c r="CJU21" s="29"/>
      <c r="CJV21" s="29"/>
      <c r="CJW21" s="29"/>
      <c r="CJX21" s="29"/>
      <c r="CJY21" s="29"/>
      <c r="CJZ21" s="29"/>
      <c r="CKA21" s="29"/>
      <c r="CKB21" s="29"/>
      <c r="CKC21" s="29"/>
      <c r="CKD21" s="29"/>
      <c r="CKE21" s="29"/>
      <c r="CKF21" s="29"/>
      <c r="CKG21" s="29"/>
      <c r="CKH21" s="29"/>
      <c r="CKI21" s="29"/>
      <c r="CKJ21" s="29"/>
      <c r="CKK21" s="29"/>
      <c r="CKL21" s="29"/>
      <c r="CKM21" s="29"/>
      <c r="CKN21" s="29"/>
      <c r="CKO21" s="29"/>
      <c r="CKP21" s="29"/>
      <c r="CKQ21" s="29"/>
      <c r="CKR21" s="29"/>
      <c r="CKS21" s="29"/>
      <c r="CKT21" s="29"/>
      <c r="CKU21" s="29"/>
      <c r="CKV21" s="29"/>
      <c r="CKW21" s="29"/>
      <c r="CKX21" s="29"/>
      <c r="CKY21" s="29"/>
      <c r="CKZ21" s="29"/>
      <c r="CLA21" s="29"/>
      <c r="CLB21" s="29"/>
      <c r="CLC21" s="29"/>
      <c r="CLD21" s="29"/>
      <c r="CLE21" s="29"/>
      <c r="CLF21" s="29"/>
      <c r="CLG21" s="29"/>
      <c r="CLH21" s="29"/>
      <c r="CLI21" s="29"/>
      <c r="CLJ21" s="29"/>
      <c r="CLK21" s="29"/>
      <c r="CLL21" s="29"/>
      <c r="CLM21" s="29"/>
      <c r="CLN21" s="29"/>
      <c r="CLO21" s="29"/>
      <c r="CLP21" s="29"/>
      <c r="CLQ21" s="29"/>
      <c r="CLR21" s="29"/>
      <c r="CLS21" s="29"/>
      <c r="CLT21" s="29"/>
      <c r="CLU21" s="29"/>
      <c r="CLV21" s="29"/>
      <c r="CLW21" s="29"/>
      <c r="CLX21" s="29"/>
      <c r="CLY21" s="29"/>
      <c r="CLZ21" s="29"/>
      <c r="CMA21" s="29"/>
      <c r="CMB21" s="29"/>
      <c r="CMC21" s="29"/>
      <c r="CMD21" s="29"/>
      <c r="CME21" s="29"/>
      <c r="CMF21" s="29"/>
      <c r="CMG21" s="29"/>
      <c r="CMH21" s="29"/>
      <c r="CMI21" s="29"/>
      <c r="CMJ21" s="29"/>
      <c r="CMK21" s="29"/>
      <c r="CML21" s="29"/>
      <c r="CMM21" s="29"/>
      <c r="CMN21" s="29"/>
      <c r="CMO21" s="29"/>
      <c r="CMP21" s="29"/>
      <c r="CMQ21" s="29"/>
      <c r="CMR21" s="29"/>
      <c r="CMS21" s="29"/>
      <c r="CMT21" s="29"/>
      <c r="CMU21" s="29"/>
      <c r="CMV21" s="29"/>
      <c r="CMW21" s="29"/>
      <c r="CMX21" s="29"/>
      <c r="CMY21" s="29"/>
      <c r="CMZ21" s="29"/>
      <c r="CNA21" s="29"/>
      <c r="CNB21" s="29"/>
      <c r="CNC21" s="29"/>
      <c r="CND21" s="29"/>
      <c r="CNE21" s="29"/>
      <c r="CNF21" s="29"/>
      <c r="CNG21" s="29"/>
      <c r="CNH21" s="29"/>
      <c r="CNI21" s="29"/>
      <c r="CNJ21" s="29"/>
      <c r="CNK21" s="29"/>
      <c r="CNL21" s="29"/>
      <c r="CNM21" s="29"/>
      <c r="CNN21" s="29"/>
      <c r="CNO21" s="29"/>
      <c r="CNP21" s="29"/>
      <c r="CNQ21" s="29"/>
      <c r="CNR21" s="29"/>
      <c r="CNS21" s="29"/>
      <c r="CNT21" s="29"/>
      <c r="CNU21" s="29"/>
      <c r="CNV21" s="29"/>
      <c r="CNW21" s="29"/>
      <c r="CNX21" s="29"/>
      <c r="CNY21" s="29"/>
      <c r="CNZ21" s="29"/>
      <c r="COA21" s="29"/>
      <c r="COB21" s="29"/>
      <c r="COC21" s="29"/>
      <c r="COD21" s="29"/>
      <c r="COE21" s="29"/>
      <c r="COF21" s="29"/>
      <c r="COG21" s="29"/>
      <c r="COH21" s="29"/>
      <c r="COI21" s="29"/>
      <c r="COJ21" s="29"/>
      <c r="COK21" s="29"/>
      <c r="COL21" s="29"/>
      <c r="COM21" s="29"/>
      <c r="CON21" s="29"/>
      <c r="COO21" s="29"/>
      <c r="COP21" s="29"/>
      <c r="COQ21" s="29"/>
      <c r="COR21" s="29"/>
      <c r="COS21" s="29"/>
      <c r="COT21" s="29"/>
      <c r="COU21" s="29"/>
      <c r="COV21" s="29"/>
      <c r="COW21" s="29"/>
      <c r="COX21" s="29"/>
      <c r="COY21" s="29"/>
      <c r="COZ21" s="29"/>
      <c r="CPA21" s="29"/>
      <c r="CPB21" s="29"/>
      <c r="CPC21" s="29"/>
      <c r="CPD21" s="29"/>
      <c r="CPE21" s="29"/>
      <c r="CPF21" s="29"/>
      <c r="CPG21" s="29"/>
      <c r="CPH21" s="29"/>
      <c r="CPI21" s="29"/>
      <c r="CPJ21" s="29"/>
      <c r="CPK21" s="29"/>
      <c r="CPL21" s="29"/>
      <c r="CPM21" s="29"/>
      <c r="CPN21" s="29"/>
      <c r="CPO21" s="29"/>
      <c r="CPP21" s="29"/>
      <c r="CPQ21" s="29"/>
      <c r="CPR21" s="29"/>
      <c r="CPS21" s="29"/>
      <c r="CPT21" s="29"/>
      <c r="CPU21" s="29"/>
      <c r="CPV21" s="29"/>
      <c r="CPW21" s="29"/>
      <c r="CPX21" s="29"/>
      <c r="CPY21" s="29"/>
      <c r="CPZ21" s="29"/>
      <c r="CQA21" s="29"/>
      <c r="CQB21" s="29"/>
      <c r="CQC21" s="29"/>
      <c r="CQD21" s="29"/>
      <c r="CQE21" s="29"/>
      <c r="CQF21" s="29"/>
      <c r="CQG21" s="29"/>
      <c r="CQH21" s="29"/>
      <c r="CQI21" s="29"/>
      <c r="CQJ21" s="29"/>
      <c r="CQK21" s="29"/>
      <c r="CQL21" s="29"/>
      <c r="CQM21" s="29"/>
      <c r="CQN21" s="29"/>
      <c r="CQO21" s="29"/>
      <c r="CQP21" s="29"/>
      <c r="CQQ21" s="29"/>
      <c r="CQR21" s="29"/>
      <c r="CQS21" s="29"/>
      <c r="CQT21" s="29"/>
      <c r="CQU21" s="29"/>
      <c r="CQV21" s="29"/>
      <c r="CQW21" s="29"/>
      <c r="CQX21" s="29"/>
      <c r="CQY21" s="29"/>
      <c r="CQZ21" s="29"/>
      <c r="CRA21" s="29"/>
      <c r="CRB21" s="29"/>
      <c r="CRC21" s="29"/>
      <c r="CRD21" s="29"/>
      <c r="CRE21" s="29"/>
      <c r="CRF21" s="29"/>
      <c r="CRG21" s="29"/>
      <c r="CRH21" s="29"/>
      <c r="CRI21" s="29"/>
      <c r="CRJ21" s="29"/>
      <c r="CRK21" s="29"/>
      <c r="CRL21" s="29"/>
      <c r="CRM21" s="29"/>
      <c r="CRN21" s="29"/>
      <c r="CRO21" s="29"/>
      <c r="CRP21" s="29"/>
      <c r="CRQ21" s="29"/>
      <c r="CRR21" s="29"/>
      <c r="CRS21" s="29"/>
      <c r="CRT21" s="29"/>
      <c r="CRU21" s="29"/>
      <c r="CRV21" s="29"/>
      <c r="CRW21" s="29"/>
      <c r="CRX21" s="29"/>
      <c r="CRY21" s="29"/>
      <c r="CRZ21" s="29"/>
      <c r="CSA21" s="29"/>
      <c r="CSB21" s="29"/>
      <c r="CSC21" s="29"/>
      <c r="CSD21" s="29"/>
      <c r="CSE21" s="29"/>
      <c r="CSF21" s="29"/>
      <c r="CSG21" s="29"/>
      <c r="CSH21" s="29"/>
      <c r="CSI21" s="29"/>
      <c r="CSJ21" s="29"/>
      <c r="CSK21" s="29"/>
      <c r="CSL21" s="29"/>
      <c r="CSM21" s="29"/>
      <c r="CSN21" s="29"/>
      <c r="CSO21" s="29"/>
      <c r="CSP21" s="29"/>
      <c r="CSQ21" s="29"/>
      <c r="CSR21" s="29"/>
      <c r="CSS21" s="29"/>
      <c r="CST21" s="29"/>
      <c r="CSU21" s="29"/>
      <c r="CSV21" s="29"/>
      <c r="CSW21" s="29"/>
      <c r="CSX21" s="29"/>
      <c r="CSY21" s="29"/>
      <c r="CSZ21" s="29"/>
      <c r="CTA21" s="29"/>
      <c r="CTB21" s="29"/>
      <c r="CTC21" s="29"/>
      <c r="CTD21" s="29"/>
      <c r="CTE21" s="29"/>
      <c r="CTF21" s="29"/>
      <c r="CTG21" s="29"/>
      <c r="CTH21" s="29"/>
      <c r="CTI21" s="29"/>
      <c r="CTJ21" s="29"/>
      <c r="CTK21" s="29"/>
      <c r="CTL21" s="29"/>
      <c r="CTM21" s="29"/>
      <c r="CTN21" s="29"/>
      <c r="CTO21" s="29"/>
      <c r="CTP21" s="29"/>
      <c r="CTQ21" s="29"/>
      <c r="CTR21" s="29"/>
      <c r="CTS21" s="29"/>
      <c r="CTT21" s="29"/>
      <c r="CTU21" s="29"/>
      <c r="CTV21" s="29"/>
      <c r="CTW21" s="29"/>
      <c r="CTX21" s="29"/>
      <c r="CTY21" s="29"/>
      <c r="CTZ21" s="29"/>
      <c r="CUA21" s="29"/>
      <c r="CUB21" s="29"/>
      <c r="CUC21" s="29"/>
      <c r="CUD21" s="29"/>
      <c r="CUE21" s="29"/>
      <c r="CUF21" s="29"/>
      <c r="CUG21" s="29"/>
      <c r="CUH21" s="29"/>
      <c r="CUI21" s="29"/>
      <c r="CUJ21" s="29"/>
      <c r="CUK21" s="29"/>
      <c r="CUL21" s="29"/>
      <c r="CUM21" s="29"/>
      <c r="CUN21" s="29"/>
      <c r="CUO21" s="29"/>
      <c r="CUP21" s="29"/>
      <c r="CUQ21" s="29"/>
      <c r="CUR21" s="29"/>
      <c r="CUS21" s="29"/>
      <c r="CUT21" s="29"/>
      <c r="CUU21" s="29"/>
      <c r="CUV21" s="29"/>
      <c r="CUW21" s="29"/>
      <c r="CUX21" s="29"/>
      <c r="CUY21" s="29"/>
      <c r="CUZ21" s="29"/>
      <c r="CVA21" s="29"/>
      <c r="CVB21" s="29"/>
      <c r="CVC21" s="29"/>
      <c r="CVD21" s="29"/>
      <c r="CVE21" s="29"/>
      <c r="CVF21" s="29"/>
      <c r="CVG21" s="29"/>
      <c r="CVH21" s="29"/>
      <c r="CVI21" s="29"/>
      <c r="CVJ21" s="29"/>
      <c r="CVK21" s="29"/>
      <c r="CVL21" s="29"/>
      <c r="CVM21" s="29"/>
      <c r="CVN21" s="29"/>
      <c r="CVO21" s="29"/>
      <c r="CVP21" s="29"/>
      <c r="CVQ21" s="29"/>
      <c r="CVR21" s="29"/>
      <c r="CVS21" s="29"/>
      <c r="CVT21" s="29"/>
      <c r="CVU21" s="29"/>
      <c r="CVV21" s="29"/>
      <c r="CVW21" s="29"/>
      <c r="CVX21" s="29"/>
      <c r="CVY21" s="29"/>
      <c r="CVZ21" s="29"/>
      <c r="CWA21" s="29"/>
      <c r="CWB21" s="29"/>
      <c r="CWC21" s="29"/>
      <c r="CWD21" s="29"/>
      <c r="CWE21" s="29"/>
      <c r="CWF21" s="29"/>
      <c r="CWG21" s="29"/>
      <c r="CWH21" s="29"/>
      <c r="CWI21" s="29"/>
      <c r="CWJ21" s="29"/>
      <c r="CWK21" s="29"/>
      <c r="CWL21" s="29"/>
      <c r="CWM21" s="29"/>
      <c r="CWN21" s="29"/>
      <c r="CWO21" s="29"/>
      <c r="CWP21" s="29"/>
      <c r="CWQ21" s="29"/>
      <c r="CWR21" s="29"/>
      <c r="CWS21" s="29"/>
      <c r="CWT21" s="29"/>
      <c r="CWU21" s="29"/>
      <c r="CWV21" s="29"/>
      <c r="CWW21" s="29"/>
      <c r="CWX21" s="29"/>
      <c r="CWY21" s="29"/>
      <c r="CWZ21" s="29"/>
      <c r="CXA21" s="29"/>
      <c r="CXB21" s="29"/>
      <c r="CXC21" s="29"/>
      <c r="CXD21" s="29"/>
      <c r="CXE21" s="29"/>
      <c r="CXF21" s="29"/>
      <c r="CXG21" s="29"/>
      <c r="CXH21" s="29"/>
      <c r="CXI21" s="29"/>
      <c r="CXJ21" s="29"/>
      <c r="CXK21" s="29"/>
      <c r="CXL21" s="29"/>
      <c r="CXM21" s="29"/>
      <c r="CXN21" s="29"/>
      <c r="CXO21" s="29"/>
      <c r="CXP21" s="29"/>
      <c r="CXQ21" s="29"/>
      <c r="CXR21" s="29"/>
      <c r="CXS21" s="29"/>
      <c r="CXT21" s="29"/>
      <c r="CXU21" s="29"/>
      <c r="CXV21" s="29"/>
      <c r="CXW21" s="29"/>
      <c r="CXX21" s="29"/>
      <c r="CXY21" s="29"/>
      <c r="CXZ21" s="29"/>
      <c r="CYA21" s="29"/>
      <c r="CYB21" s="29"/>
      <c r="CYC21" s="29"/>
      <c r="CYD21" s="29"/>
      <c r="CYE21" s="29"/>
      <c r="CYF21" s="29"/>
      <c r="CYG21" s="29"/>
      <c r="CYH21" s="29"/>
      <c r="CYI21" s="29"/>
      <c r="CYJ21" s="29"/>
      <c r="CYK21" s="29"/>
      <c r="CYL21" s="29"/>
      <c r="CYM21" s="29"/>
      <c r="CYN21" s="29"/>
      <c r="CYO21" s="29"/>
      <c r="CYP21" s="29"/>
      <c r="CYQ21" s="29"/>
      <c r="CYR21" s="29"/>
      <c r="CYS21" s="29"/>
      <c r="CYT21" s="29"/>
      <c r="CYU21" s="29"/>
      <c r="CYV21" s="29"/>
      <c r="CYW21" s="29"/>
      <c r="CYX21" s="29"/>
      <c r="CYY21" s="29"/>
      <c r="CYZ21" s="29"/>
      <c r="CZA21" s="29"/>
      <c r="CZB21" s="29"/>
      <c r="CZC21" s="29"/>
      <c r="CZD21" s="29"/>
      <c r="CZE21" s="29"/>
      <c r="CZF21" s="29"/>
      <c r="CZG21" s="29"/>
      <c r="CZH21" s="29"/>
      <c r="CZI21" s="29"/>
      <c r="CZJ21" s="29"/>
      <c r="CZK21" s="29"/>
      <c r="CZL21" s="29"/>
      <c r="CZM21" s="29"/>
      <c r="CZN21" s="29"/>
      <c r="CZO21" s="29"/>
      <c r="CZP21" s="29"/>
      <c r="CZQ21" s="29"/>
      <c r="CZR21" s="29"/>
      <c r="CZS21" s="29"/>
      <c r="CZT21" s="29"/>
      <c r="CZU21" s="29"/>
      <c r="CZV21" s="29"/>
      <c r="CZW21" s="29"/>
      <c r="CZX21" s="29"/>
      <c r="CZY21" s="29"/>
      <c r="CZZ21" s="29"/>
      <c r="DAA21" s="29"/>
      <c r="DAB21" s="29"/>
      <c r="DAC21" s="29"/>
      <c r="DAD21" s="29"/>
      <c r="DAE21" s="29"/>
      <c r="DAF21" s="29"/>
      <c r="DAG21" s="29"/>
      <c r="DAH21" s="29"/>
      <c r="DAI21" s="29"/>
      <c r="DAJ21" s="29"/>
      <c r="DAK21" s="29"/>
      <c r="DAL21" s="29"/>
      <c r="DAM21" s="29"/>
      <c r="DAN21" s="29"/>
      <c r="DAO21" s="29"/>
      <c r="DAP21" s="29"/>
      <c r="DAQ21" s="29"/>
      <c r="DAR21" s="29"/>
      <c r="DAS21" s="29"/>
      <c r="DAT21" s="29"/>
      <c r="DAU21" s="29"/>
      <c r="DAV21" s="29"/>
      <c r="DAW21" s="29"/>
      <c r="DAX21" s="29"/>
      <c r="DAY21" s="29"/>
      <c r="DAZ21" s="29"/>
      <c r="DBA21" s="29"/>
      <c r="DBB21" s="29"/>
      <c r="DBC21" s="29"/>
      <c r="DBD21" s="29"/>
      <c r="DBE21" s="29"/>
      <c r="DBF21" s="29"/>
      <c r="DBG21" s="29"/>
      <c r="DBH21" s="29"/>
      <c r="DBI21" s="29"/>
      <c r="DBJ21" s="29"/>
      <c r="DBK21" s="29"/>
      <c r="DBL21" s="29"/>
      <c r="DBM21" s="29"/>
      <c r="DBN21" s="29"/>
      <c r="DBO21" s="29"/>
      <c r="DBP21" s="29"/>
      <c r="DBQ21" s="29"/>
      <c r="DBR21" s="29"/>
      <c r="DBS21" s="29"/>
      <c r="DBT21" s="29"/>
      <c r="DBU21" s="29"/>
      <c r="DBV21" s="29"/>
      <c r="DBW21" s="29"/>
      <c r="DBX21" s="29"/>
      <c r="DBY21" s="29"/>
      <c r="DBZ21" s="29"/>
      <c r="DCA21" s="29"/>
      <c r="DCB21" s="29"/>
      <c r="DCC21" s="29"/>
      <c r="DCD21" s="29"/>
      <c r="DCE21" s="29"/>
      <c r="DCF21" s="29"/>
      <c r="DCG21" s="29"/>
      <c r="DCH21" s="29"/>
      <c r="DCI21" s="29"/>
      <c r="DCJ21" s="29"/>
      <c r="DCK21" s="29"/>
      <c r="DCL21" s="29"/>
      <c r="DCM21" s="29"/>
      <c r="DCN21" s="29"/>
      <c r="DCO21" s="29"/>
      <c r="DCP21" s="29"/>
      <c r="DCQ21" s="29"/>
      <c r="DCR21" s="29"/>
      <c r="DCS21" s="29"/>
      <c r="DCT21" s="29"/>
      <c r="DCU21" s="29"/>
      <c r="DCV21" s="29"/>
      <c r="DCW21" s="29"/>
      <c r="DCX21" s="29"/>
      <c r="DCY21" s="29"/>
      <c r="DCZ21" s="29"/>
      <c r="DDA21" s="29"/>
      <c r="DDB21" s="29"/>
      <c r="DDC21" s="29"/>
      <c r="DDD21" s="29"/>
      <c r="DDE21" s="29"/>
      <c r="DDF21" s="29"/>
      <c r="DDG21" s="29"/>
      <c r="DDH21" s="29"/>
      <c r="DDI21" s="29"/>
      <c r="DDJ21" s="29"/>
      <c r="DDK21" s="29"/>
      <c r="DDL21" s="29"/>
      <c r="DDM21" s="29"/>
      <c r="DDN21" s="29"/>
      <c r="DDO21" s="29"/>
      <c r="DDP21" s="29"/>
      <c r="DDQ21" s="29"/>
      <c r="DDR21" s="29"/>
      <c r="DDS21" s="29"/>
      <c r="DDT21" s="29"/>
      <c r="DDU21" s="29"/>
      <c r="DDV21" s="29"/>
      <c r="DDW21" s="29"/>
      <c r="DDX21" s="29"/>
      <c r="DDY21" s="29"/>
      <c r="DDZ21" s="29"/>
      <c r="DEA21" s="29"/>
      <c r="DEB21" s="29"/>
      <c r="DEC21" s="29"/>
      <c r="DED21" s="29"/>
      <c r="DEE21" s="29"/>
      <c r="DEF21" s="29"/>
      <c r="DEG21" s="29"/>
      <c r="DEH21" s="29"/>
      <c r="DEI21" s="29"/>
      <c r="DEJ21" s="29"/>
      <c r="DEK21" s="29"/>
      <c r="DEL21" s="29"/>
      <c r="DEM21" s="29"/>
      <c r="DEN21" s="29"/>
      <c r="DEO21" s="29"/>
      <c r="DEP21" s="29"/>
      <c r="DEQ21" s="29"/>
      <c r="DER21" s="29"/>
      <c r="DES21" s="29"/>
      <c r="DET21" s="29"/>
      <c r="DEU21" s="29"/>
      <c r="DEV21" s="29"/>
      <c r="DEW21" s="29"/>
      <c r="DEX21" s="29"/>
      <c r="DEY21" s="29"/>
      <c r="DEZ21" s="29"/>
      <c r="DFA21" s="29"/>
      <c r="DFB21" s="29"/>
      <c r="DFC21" s="29"/>
      <c r="DFD21" s="29"/>
      <c r="DFE21" s="29"/>
      <c r="DFF21" s="29"/>
      <c r="DFG21" s="29"/>
      <c r="DFH21" s="29"/>
      <c r="DFI21" s="29"/>
      <c r="DFJ21" s="29"/>
      <c r="DFK21" s="29"/>
      <c r="DFL21" s="29"/>
      <c r="DFM21" s="29"/>
      <c r="DFN21" s="29"/>
      <c r="DFO21" s="29"/>
      <c r="DFP21" s="29"/>
      <c r="DFQ21" s="29"/>
      <c r="DFR21" s="29"/>
      <c r="DFS21" s="29"/>
      <c r="DFT21" s="29"/>
      <c r="DFU21" s="29"/>
      <c r="DFV21" s="29"/>
      <c r="DFW21" s="29"/>
      <c r="DFX21" s="29"/>
      <c r="DFY21" s="29"/>
      <c r="DFZ21" s="29"/>
      <c r="DGA21" s="29"/>
      <c r="DGB21" s="29"/>
      <c r="DGC21" s="29"/>
      <c r="DGD21" s="29"/>
      <c r="DGE21" s="29"/>
      <c r="DGF21" s="29"/>
      <c r="DGG21" s="29"/>
      <c r="DGH21" s="29"/>
      <c r="DGI21" s="29"/>
      <c r="DGJ21" s="29"/>
      <c r="DGK21" s="29"/>
      <c r="DGL21" s="29"/>
      <c r="DGM21" s="29"/>
      <c r="DGN21" s="29"/>
      <c r="DGO21" s="29"/>
      <c r="DGP21" s="29"/>
      <c r="DGQ21" s="29"/>
      <c r="DGR21" s="29"/>
      <c r="DGS21" s="29"/>
      <c r="DGT21" s="29"/>
      <c r="DGU21" s="29"/>
      <c r="DGV21" s="29"/>
      <c r="DGW21" s="29"/>
      <c r="DGX21" s="29"/>
      <c r="DGY21" s="29"/>
      <c r="DGZ21" s="29"/>
      <c r="DHA21" s="29"/>
      <c r="DHB21" s="29"/>
      <c r="DHC21" s="29"/>
      <c r="DHD21" s="29"/>
      <c r="DHE21" s="29"/>
      <c r="DHF21" s="29"/>
      <c r="DHG21" s="29"/>
      <c r="DHH21" s="29"/>
      <c r="DHI21" s="29"/>
      <c r="DHJ21" s="29"/>
      <c r="DHK21" s="29"/>
      <c r="DHL21" s="29"/>
      <c r="DHM21" s="29"/>
      <c r="DHN21" s="29"/>
      <c r="DHO21" s="29"/>
      <c r="DHP21" s="29"/>
      <c r="DHQ21" s="29"/>
      <c r="DHR21" s="29"/>
      <c r="DHS21" s="29"/>
      <c r="DHT21" s="29"/>
      <c r="DHU21" s="29"/>
      <c r="DHV21" s="29"/>
      <c r="DHW21" s="29"/>
      <c r="DHX21" s="29"/>
      <c r="DHY21" s="29"/>
      <c r="DHZ21" s="29"/>
      <c r="DIA21" s="29"/>
      <c r="DIB21" s="29"/>
      <c r="DIC21" s="29"/>
      <c r="DID21" s="29"/>
      <c r="DIE21" s="29"/>
      <c r="DIF21" s="29"/>
      <c r="DIG21" s="29"/>
      <c r="DIH21" s="29"/>
      <c r="DII21" s="29"/>
      <c r="DIJ21" s="29"/>
      <c r="DIK21" s="29"/>
      <c r="DIL21" s="29"/>
      <c r="DIM21" s="29"/>
      <c r="DIN21" s="29"/>
      <c r="DIO21" s="29"/>
      <c r="DIP21" s="29"/>
      <c r="DIQ21" s="29"/>
      <c r="DIR21" s="29"/>
      <c r="DIS21" s="29"/>
      <c r="DIT21" s="29"/>
      <c r="DIU21" s="29"/>
      <c r="DIV21" s="29"/>
      <c r="DIW21" s="29"/>
      <c r="DIX21" s="29"/>
      <c r="DIY21" s="29"/>
      <c r="DIZ21" s="29"/>
      <c r="DJA21" s="29"/>
      <c r="DJB21" s="29"/>
      <c r="DJC21" s="29"/>
      <c r="DJD21" s="29"/>
      <c r="DJE21" s="29"/>
      <c r="DJF21" s="29"/>
      <c r="DJG21" s="29"/>
      <c r="DJH21" s="29"/>
      <c r="DJI21" s="29"/>
      <c r="DJJ21" s="29"/>
      <c r="DJK21" s="29"/>
      <c r="DJL21" s="29"/>
      <c r="DJM21" s="29"/>
      <c r="DJN21" s="29"/>
      <c r="DJO21" s="29"/>
      <c r="DJP21" s="29"/>
      <c r="DJQ21" s="29"/>
      <c r="DJR21" s="29"/>
      <c r="DJS21" s="29"/>
      <c r="DJT21" s="29"/>
      <c r="DJU21" s="29"/>
      <c r="DJV21" s="29"/>
      <c r="DJW21" s="29"/>
      <c r="DJX21" s="29"/>
      <c r="DJY21" s="29"/>
      <c r="DJZ21" s="29"/>
      <c r="DKA21" s="29"/>
      <c r="DKB21" s="29"/>
      <c r="DKC21" s="29"/>
      <c r="DKD21" s="29"/>
      <c r="DKE21" s="29"/>
      <c r="DKF21" s="29"/>
      <c r="DKG21" s="29"/>
      <c r="DKH21" s="29"/>
      <c r="DKI21" s="29"/>
      <c r="DKJ21" s="29"/>
      <c r="DKK21" s="29"/>
      <c r="DKL21" s="29"/>
      <c r="DKM21" s="29"/>
      <c r="DKN21" s="29"/>
      <c r="DKO21" s="29"/>
      <c r="DKP21" s="29"/>
      <c r="DKQ21" s="29"/>
      <c r="DKR21" s="29"/>
      <c r="DKS21" s="29"/>
      <c r="DKT21" s="29"/>
      <c r="DKU21" s="29"/>
      <c r="DKV21" s="29"/>
      <c r="DKW21" s="29"/>
      <c r="DKX21" s="29"/>
      <c r="DKY21" s="29"/>
      <c r="DKZ21" s="29"/>
      <c r="DLA21" s="29"/>
      <c r="DLB21" s="29"/>
      <c r="DLC21" s="29"/>
      <c r="DLD21" s="29"/>
      <c r="DLE21" s="29"/>
      <c r="DLF21" s="29"/>
      <c r="DLG21" s="29"/>
      <c r="DLH21" s="29"/>
      <c r="DLI21" s="29"/>
      <c r="DLJ21" s="29"/>
      <c r="DLK21" s="29"/>
      <c r="DLL21" s="29"/>
      <c r="DLM21" s="29"/>
      <c r="DLN21" s="29"/>
      <c r="DLO21" s="29"/>
      <c r="DLP21" s="29"/>
      <c r="DLQ21" s="29"/>
      <c r="DLR21" s="29"/>
      <c r="DLS21" s="29"/>
      <c r="DLT21" s="29"/>
      <c r="DLU21" s="29"/>
      <c r="DLV21" s="29"/>
      <c r="DLW21" s="29"/>
      <c r="DLX21" s="29"/>
      <c r="DLY21" s="29"/>
      <c r="DLZ21" s="29"/>
      <c r="DMA21" s="29"/>
      <c r="DMB21" s="29"/>
      <c r="DMC21" s="29"/>
      <c r="DMD21" s="29"/>
      <c r="DME21" s="29"/>
      <c r="DMF21" s="29"/>
      <c r="DMG21" s="29"/>
      <c r="DMH21" s="29"/>
      <c r="DMI21" s="29"/>
      <c r="DMJ21" s="29"/>
      <c r="DMK21" s="29"/>
      <c r="DML21" s="29"/>
      <c r="DMM21" s="29"/>
      <c r="DMN21" s="29"/>
      <c r="DMO21" s="29"/>
      <c r="DMP21" s="29"/>
      <c r="DMQ21" s="29"/>
      <c r="DMR21" s="29"/>
      <c r="DMS21" s="29"/>
      <c r="DMT21" s="29"/>
      <c r="DMU21" s="29"/>
      <c r="DMV21" s="29"/>
      <c r="DMW21" s="29"/>
      <c r="DMX21" s="29"/>
      <c r="DMY21" s="29"/>
      <c r="DMZ21" s="29"/>
      <c r="DNA21" s="29"/>
      <c r="DNB21" s="29"/>
      <c r="DNC21" s="29"/>
      <c r="DND21" s="29"/>
      <c r="DNE21" s="29"/>
      <c r="DNF21" s="29"/>
      <c r="DNG21" s="29"/>
      <c r="DNH21" s="29"/>
      <c r="DNI21" s="29"/>
      <c r="DNJ21" s="29"/>
      <c r="DNK21" s="29"/>
      <c r="DNL21" s="29"/>
      <c r="DNM21" s="29"/>
      <c r="DNN21" s="29"/>
      <c r="DNO21" s="29"/>
      <c r="DNP21" s="29"/>
      <c r="DNQ21" s="29"/>
      <c r="DNR21" s="29"/>
      <c r="DNS21" s="29"/>
      <c r="DNT21" s="29"/>
      <c r="DNU21" s="29"/>
      <c r="DNV21" s="29"/>
      <c r="DNW21" s="29"/>
      <c r="DNX21" s="29"/>
      <c r="DNY21" s="29"/>
      <c r="DNZ21" s="29"/>
      <c r="DOA21" s="29"/>
      <c r="DOB21" s="29"/>
      <c r="DOC21" s="29"/>
      <c r="DOD21" s="29"/>
      <c r="DOE21" s="29"/>
      <c r="DOF21" s="29"/>
      <c r="DOG21" s="29"/>
      <c r="DOH21" s="29"/>
      <c r="DOI21" s="29"/>
      <c r="DOJ21" s="29"/>
      <c r="DOK21" s="29"/>
      <c r="DOL21" s="29"/>
      <c r="DOM21" s="29"/>
      <c r="DON21" s="29"/>
      <c r="DOO21" s="29"/>
      <c r="DOP21" s="29"/>
      <c r="DOQ21" s="29"/>
      <c r="DOR21" s="29"/>
      <c r="DOS21" s="29"/>
      <c r="DOT21" s="29"/>
      <c r="DOU21" s="29"/>
      <c r="DOV21" s="29"/>
      <c r="DOW21" s="29"/>
      <c r="DOX21" s="29"/>
      <c r="DOY21" s="29"/>
      <c r="DOZ21" s="29"/>
      <c r="DPA21" s="29"/>
      <c r="DPB21" s="29"/>
      <c r="DPC21" s="29"/>
      <c r="DPD21" s="29"/>
      <c r="DPE21" s="29"/>
      <c r="DPF21" s="29"/>
      <c r="DPG21" s="29"/>
      <c r="DPH21" s="29"/>
      <c r="DPI21" s="29"/>
      <c r="DPJ21" s="29"/>
      <c r="DPK21" s="29"/>
      <c r="DPL21" s="29"/>
      <c r="DPM21" s="29"/>
      <c r="DPN21" s="29"/>
      <c r="DPO21" s="29"/>
      <c r="DPP21" s="29"/>
      <c r="DPQ21" s="29"/>
      <c r="DPR21" s="29"/>
      <c r="DPS21" s="29"/>
      <c r="DPT21" s="29"/>
      <c r="DPU21" s="29"/>
      <c r="DPV21" s="29"/>
      <c r="DPW21" s="29"/>
      <c r="DPX21" s="29"/>
      <c r="DPY21" s="29"/>
      <c r="DPZ21" s="29"/>
      <c r="DQA21" s="29"/>
      <c r="DQB21" s="29"/>
      <c r="DQC21" s="29"/>
      <c r="DQD21" s="29"/>
      <c r="DQE21" s="29"/>
      <c r="DQF21" s="29"/>
      <c r="DQG21" s="29"/>
      <c r="DQH21" s="29"/>
      <c r="DQI21" s="29"/>
      <c r="DQJ21" s="29"/>
      <c r="DQK21" s="29"/>
      <c r="DQL21" s="29"/>
      <c r="DQM21" s="29"/>
      <c r="DQN21" s="29"/>
      <c r="DQO21" s="29"/>
      <c r="DQP21" s="29"/>
      <c r="DQQ21" s="29"/>
      <c r="DQR21" s="29"/>
      <c r="DQS21" s="29"/>
      <c r="DQT21" s="29"/>
      <c r="DQU21" s="29"/>
      <c r="DQV21" s="29"/>
      <c r="DQW21" s="29"/>
      <c r="DQX21" s="29"/>
      <c r="DQY21" s="29"/>
      <c r="DQZ21" s="29"/>
      <c r="DRA21" s="29"/>
      <c r="DRB21" s="29"/>
      <c r="DRC21" s="29"/>
      <c r="DRD21" s="29"/>
      <c r="DRE21" s="29"/>
      <c r="DRF21" s="29"/>
      <c r="DRG21" s="29"/>
      <c r="DRH21" s="29"/>
      <c r="DRI21" s="29"/>
      <c r="DRJ21" s="29"/>
      <c r="DRK21" s="29"/>
      <c r="DRL21" s="29"/>
      <c r="DRM21" s="29"/>
      <c r="DRN21" s="29"/>
      <c r="DRO21" s="29"/>
      <c r="DRP21" s="29"/>
      <c r="DRQ21" s="29"/>
      <c r="DRR21" s="29"/>
      <c r="DRS21" s="29"/>
      <c r="DRT21" s="29"/>
      <c r="DRU21" s="29"/>
      <c r="DRV21" s="29"/>
      <c r="DRW21" s="29"/>
      <c r="DRX21" s="29"/>
      <c r="DRY21" s="29"/>
      <c r="DRZ21" s="29"/>
      <c r="DSA21" s="29"/>
      <c r="DSB21" s="29"/>
      <c r="DSC21" s="29"/>
      <c r="DSD21" s="29"/>
      <c r="DSE21" s="29"/>
      <c r="DSF21" s="29"/>
      <c r="DSG21" s="29"/>
      <c r="DSH21" s="29"/>
      <c r="DSI21" s="29"/>
      <c r="DSJ21" s="29"/>
      <c r="DSK21" s="29"/>
      <c r="DSL21" s="29"/>
      <c r="DSM21" s="29"/>
      <c r="DSN21" s="29"/>
      <c r="DSO21" s="29"/>
      <c r="DSP21" s="29"/>
      <c r="DSQ21" s="29"/>
      <c r="DSR21" s="29"/>
      <c r="DSS21" s="29"/>
      <c r="DST21" s="29"/>
      <c r="DSU21" s="29"/>
      <c r="DSV21" s="29"/>
      <c r="DSW21" s="29"/>
      <c r="DSX21" s="29"/>
      <c r="DSY21" s="29"/>
      <c r="DSZ21" s="29"/>
      <c r="DTA21" s="29"/>
      <c r="DTB21" s="29"/>
      <c r="DTC21" s="29"/>
      <c r="DTD21" s="29"/>
      <c r="DTE21" s="29"/>
      <c r="DTF21" s="29"/>
      <c r="DTG21" s="29"/>
      <c r="DTH21" s="29"/>
      <c r="DTI21" s="29"/>
      <c r="DTJ21" s="29"/>
      <c r="DTK21" s="29"/>
      <c r="DTL21" s="29"/>
      <c r="DTM21" s="29"/>
      <c r="DTN21" s="29"/>
      <c r="DTO21" s="29"/>
      <c r="DTP21" s="29"/>
      <c r="DTQ21" s="29"/>
      <c r="DTR21" s="29"/>
      <c r="DTS21" s="29"/>
      <c r="DTT21" s="29"/>
      <c r="DTU21" s="29"/>
      <c r="DTV21" s="29"/>
      <c r="DTW21" s="29"/>
      <c r="DTX21" s="29"/>
      <c r="DTY21" s="29"/>
      <c r="DTZ21" s="29"/>
      <c r="DUA21" s="29"/>
      <c r="DUB21" s="29"/>
      <c r="DUC21" s="29"/>
      <c r="DUD21" s="29"/>
      <c r="DUE21" s="29"/>
      <c r="DUF21" s="29"/>
      <c r="DUG21" s="29"/>
      <c r="DUH21" s="29"/>
      <c r="DUI21" s="29"/>
      <c r="DUJ21" s="29"/>
      <c r="DUK21" s="29"/>
      <c r="DUL21" s="29"/>
      <c r="DUM21" s="29"/>
      <c r="DUN21" s="29"/>
      <c r="DUO21" s="29"/>
      <c r="DUP21" s="29"/>
      <c r="DUQ21" s="29"/>
      <c r="DUR21" s="29"/>
      <c r="DUS21" s="29"/>
      <c r="DUT21" s="29"/>
      <c r="DUU21" s="29"/>
      <c r="DUV21" s="29"/>
      <c r="DUW21" s="29"/>
      <c r="DUX21" s="29"/>
      <c r="DUY21" s="29"/>
      <c r="DUZ21" s="29"/>
      <c r="DVA21" s="29"/>
      <c r="DVB21" s="29"/>
      <c r="DVC21" s="29"/>
      <c r="DVD21" s="29"/>
      <c r="DVE21" s="29"/>
      <c r="DVF21" s="29"/>
      <c r="DVG21" s="29"/>
      <c r="DVH21" s="29"/>
      <c r="DVI21" s="29"/>
      <c r="DVJ21" s="29"/>
      <c r="DVK21" s="29"/>
      <c r="DVL21" s="29"/>
      <c r="DVM21" s="29"/>
      <c r="DVN21" s="29"/>
      <c r="DVO21" s="29"/>
      <c r="DVP21" s="29"/>
      <c r="DVQ21" s="29"/>
      <c r="DVR21" s="29"/>
      <c r="DVS21" s="29"/>
      <c r="DVT21" s="29"/>
      <c r="DVU21" s="29"/>
      <c r="DVV21" s="29"/>
      <c r="DVW21" s="29"/>
      <c r="DVX21" s="29"/>
      <c r="DVY21" s="29"/>
      <c r="DVZ21" s="29"/>
      <c r="DWA21" s="29"/>
      <c r="DWB21" s="29"/>
      <c r="DWC21" s="29"/>
      <c r="DWD21" s="29"/>
      <c r="DWE21" s="29"/>
      <c r="DWF21" s="29"/>
      <c r="DWG21" s="29"/>
      <c r="DWH21" s="29"/>
      <c r="DWI21" s="29"/>
      <c r="DWJ21" s="29"/>
      <c r="DWK21" s="29"/>
      <c r="DWL21" s="29"/>
      <c r="DWM21" s="29"/>
      <c r="DWN21" s="29"/>
      <c r="DWO21" s="29"/>
      <c r="DWP21" s="29"/>
      <c r="DWQ21" s="29"/>
      <c r="DWR21" s="29"/>
      <c r="DWS21" s="29"/>
      <c r="DWT21" s="29"/>
      <c r="DWU21" s="29"/>
      <c r="DWV21" s="29"/>
      <c r="DWW21" s="29"/>
      <c r="DWX21" s="29"/>
      <c r="DWY21" s="29"/>
      <c r="DWZ21" s="29"/>
      <c r="DXA21" s="29"/>
      <c r="DXB21" s="29"/>
      <c r="DXC21" s="29"/>
      <c r="DXD21" s="29"/>
      <c r="DXE21" s="29"/>
      <c r="DXF21" s="29"/>
      <c r="DXG21" s="29"/>
      <c r="DXH21" s="29"/>
      <c r="DXI21" s="29"/>
      <c r="DXJ21" s="29"/>
      <c r="DXK21" s="29"/>
      <c r="DXL21" s="29"/>
      <c r="DXM21" s="29"/>
      <c r="DXN21" s="29"/>
      <c r="DXO21" s="29"/>
      <c r="DXP21" s="29"/>
      <c r="DXQ21" s="29"/>
      <c r="DXR21" s="29"/>
      <c r="DXS21" s="29"/>
      <c r="DXT21" s="29"/>
      <c r="DXU21" s="29"/>
      <c r="DXV21" s="29"/>
      <c r="DXW21" s="29"/>
      <c r="DXX21" s="29"/>
      <c r="DXY21" s="29"/>
      <c r="DXZ21" s="29"/>
      <c r="DYA21" s="29"/>
      <c r="DYB21" s="29"/>
      <c r="DYC21" s="29"/>
      <c r="DYD21" s="29"/>
      <c r="DYE21" s="29"/>
      <c r="DYF21" s="29"/>
      <c r="DYG21" s="29"/>
      <c r="DYH21" s="29"/>
      <c r="DYI21" s="29"/>
      <c r="DYJ21" s="29"/>
      <c r="DYK21" s="29"/>
      <c r="DYL21" s="29"/>
      <c r="DYM21" s="29"/>
      <c r="DYN21" s="29"/>
      <c r="DYO21" s="29"/>
      <c r="DYP21" s="29"/>
      <c r="DYQ21" s="29"/>
      <c r="DYR21" s="29"/>
      <c r="DYS21" s="29"/>
      <c r="DYT21" s="29"/>
      <c r="DYU21" s="29"/>
      <c r="DYV21" s="29"/>
      <c r="DYW21" s="29"/>
      <c r="DYX21" s="29"/>
      <c r="DYY21" s="29"/>
      <c r="DYZ21" s="29"/>
      <c r="DZA21" s="29"/>
      <c r="DZB21" s="29"/>
      <c r="DZC21" s="29"/>
      <c r="DZD21" s="29"/>
      <c r="DZE21" s="29"/>
      <c r="DZF21" s="29"/>
      <c r="DZG21" s="29"/>
      <c r="DZH21" s="29"/>
      <c r="DZI21" s="29"/>
      <c r="DZJ21" s="29"/>
      <c r="DZK21" s="29"/>
      <c r="DZL21" s="29"/>
      <c r="DZM21" s="29"/>
      <c r="DZN21" s="29"/>
      <c r="DZO21" s="29"/>
      <c r="DZP21" s="29"/>
      <c r="DZQ21" s="29"/>
      <c r="DZR21" s="29"/>
      <c r="DZS21" s="29"/>
      <c r="DZT21" s="29"/>
      <c r="DZU21" s="29"/>
      <c r="DZV21" s="29"/>
      <c r="DZW21" s="29"/>
      <c r="DZX21" s="29"/>
      <c r="DZY21" s="29"/>
      <c r="DZZ21" s="29"/>
      <c r="EAA21" s="29"/>
      <c r="EAB21" s="29"/>
      <c r="EAC21" s="29"/>
      <c r="EAD21" s="29"/>
      <c r="EAE21" s="29"/>
      <c r="EAF21" s="29"/>
      <c r="EAG21" s="29"/>
      <c r="EAH21" s="29"/>
      <c r="EAI21" s="29"/>
      <c r="EAJ21" s="29"/>
      <c r="EAK21" s="29"/>
      <c r="EAL21" s="29"/>
      <c r="EAM21" s="29"/>
      <c r="EAN21" s="29"/>
      <c r="EAO21" s="29"/>
      <c r="EAP21" s="29"/>
      <c r="EAQ21" s="29"/>
      <c r="EAR21" s="29"/>
      <c r="EAS21" s="29"/>
      <c r="EAT21" s="29"/>
      <c r="EAU21" s="29"/>
      <c r="EAV21" s="29"/>
      <c r="EAW21" s="29"/>
      <c r="EAX21" s="29"/>
      <c r="EAY21" s="29"/>
      <c r="EAZ21" s="29"/>
      <c r="EBA21" s="29"/>
      <c r="EBB21" s="29"/>
      <c r="EBC21" s="29"/>
      <c r="EBD21" s="29"/>
      <c r="EBE21" s="29"/>
      <c r="EBF21" s="29"/>
      <c r="EBG21" s="29"/>
      <c r="EBH21" s="29"/>
      <c r="EBI21" s="29"/>
      <c r="EBJ21" s="29"/>
      <c r="EBK21" s="29"/>
      <c r="EBL21" s="29"/>
      <c r="EBM21" s="29"/>
      <c r="EBN21" s="29"/>
      <c r="EBO21" s="29"/>
      <c r="EBP21" s="29"/>
      <c r="EBQ21" s="29"/>
      <c r="EBR21" s="29"/>
      <c r="EBS21" s="29"/>
      <c r="EBT21" s="29"/>
      <c r="EBU21" s="29"/>
      <c r="EBV21" s="29"/>
      <c r="EBW21" s="29"/>
      <c r="EBX21" s="29"/>
      <c r="EBY21" s="29"/>
      <c r="EBZ21" s="29"/>
      <c r="ECA21" s="29"/>
      <c r="ECB21" s="29"/>
      <c r="ECC21" s="29"/>
      <c r="ECD21" s="29"/>
      <c r="ECE21" s="29"/>
      <c r="ECF21" s="29"/>
      <c r="ECG21" s="29"/>
      <c r="ECH21" s="29"/>
      <c r="ECI21" s="29"/>
      <c r="ECJ21" s="29"/>
      <c r="ECK21" s="29"/>
      <c r="ECL21" s="29"/>
      <c r="ECM21" s="29"/>
      <c r="ECN21" s="29"/>
      <c r="ECO21" s="29"/>
      <c r="ECP21" s="29"/>
      <c r="ECQ21" s="29"/>
      <c r="ECR21" s="29"/>
      <c r="ECS21" s="29"/>
      <c r="ECT21" s="29"/>
      <c r="ECU21" s="29"/>
      <c r="ECV21" s="29"/>
      <c r="ECW21" s="29"/>
      <c r="ECX21" s="29"/>
      <c r="ECY21" s="29"/>
      <c r="ECZ21" s="29"/>
      <c r="EDA21" s="29"/>
      <c r="EDB21" s="29"/>
      <c r="EDC21" s="29"/>
      <c r="EDD21" s="29"/>
      <c r="EDE21" s="29"/>
      <c r="EDF21" s="29"/>
      <c r="EDG21" s="29"/>
      <c r="EDH21" s="29"/>
      <c r="EDI21" s="29"/>
      <c r="EDJ21" s="29"/>
      <c r="EDK21" s="29"/>
      <c r="EDL21" s="29"/>
      <c r="EDM21" s="29"/>
      <c r="EDN21" s="29"/>
      <c r="EDO21" s="29"/>
      <c r="EDP21" s="29"/>
      <c r="EDQ21" s="29"/>
      <c r="EDR21" s="29"/>
      <c r="EDS21" s="29"/>
      <c r="EDT21" s="29"/>
      <c r="EDU21" s="29"/>
      <c r="EDV21" s="29"/>
      <c r="EDW21" s="29"/>
      <c r="EDX21" s="29"/>
      <c r="EDY21" s="29"/>
      <c r="EDZ21" s="29"/>
      <c r="EEA21" s="29"/>
      <c r="EEB21" s="29"/>
      <c r="EEC21" s="29"/>
      <c r="EED21" s="29"/>
      <c r="EEE21" s="29"/>
      <c r="EEF21" s="29"/>
      <c r="EEG21" s="29"/>
      <c r="EEH21" s="29"/>
      <c r="EEI21" s="29"/>
      <c r="EEJ21" s="29"/>
      <c r="EEK21" s="29"/>
      <c r="EEL21" s="29"/>
      <c r="EEM21" s="29"/>
      <c r="EEN21" s="29"/>
      <c r="EEO21" s="29"/>
      <c r="EEP21" s="29"/>
      <c r="EEQ21" s="29"/>
      <c r="EER21" s="29"/>
      <c r="EES21" s="29"/>
      <c r="EET21" s="29"/>
      <c r="EEU21" s="29"/>
      <c r="EEV21" s="29"/>
      <c r="EEW21" s="29"/>
      <c r="EEX21" s="29"/>
      <c r="EEY21" s="29"/>
      <c r="EEZ21" s="29"/>
      <c r="EFA21" s="29"/>
      <c r="EFB21" s="29"/>
      <c r="EFC21" s="29"/>
      <c r="EFD21" s="29"/>
      <c r="EFE21" s="29"/>
      <c r="EFF21" s="29"/>
      <c r="EFG21" s="29"/>
      <c r="EFH21" s="29"/>
      <c r="EFI21" s="29"/>
      <c r="EFJ21" s="29"/>
      <c r="EFK21" s="29"/>
      <c r="EFL21" s="29"/>
      <c r="EFM21" s="29"/>
      <c r="EFN21" s="29"/>
      <c r="EFO21" s="29"/>
      <c r="EFP21" s="29"/>
      <c r="EFQ21" s="29"/>
      <c r="EFR21" s="29"/>
      <c r="EFS21" s="29"/>
      <c r="EFT21" s="29"/>
      <c r="EFU21" s="29"/>
      <c r="EFV21" s="29"/>
      <c r="EFW21" s="29"/>
      <c r="EFX21" s="29"/>
      <c r="EFY21" s="29"/>
      <c r="EFZ21" s="29"/>
      <c r="EGA21" s="29"/>
      <c r="EGB21" s="29"/>
      <c r="EGC21" s="29"/>
      <c r="EGD21" s="29"/>
      <c r="EGE21" s="29"/>
      <c r="EGF21" s="29"/>
      <c r="EGG21" s="29"/>
      <c r="EGH21" s="29"/>
      <c r="EGI21" s="29"/>
      <c r="EGJ21" s="29"/>
      <c r="EGK21" s="29"/>
      <c r="EGL21" s="29"/>
      <c r="EGM21" s="29"/>
      <c r="EGN21" s="29"/>
      <c r="EGO21" s="29"/>
      <c r="EGP21" s="29"/>
      <c r="EGQ21" s="29"/>
      <c r="EGR21" s="29"/>
      <c r="EGS21" s="29"/>
      <c r="EGT21" s="29"/>
      <c r="EGU21" s="29"/>
      <c r="EGV21" s="29"/>
      <c r="EGW21" s="29"/>
      <c r="EGX21" s="29"/>
      <c r="EGY21" s="29"/>
      <c r="EGZ21" s="29"/>
      <c r="EHA21" s="29"/>
      <c r="EHB21" s="29"/>
      <c r="EHC21" s="29"/>
      <c r="EHD21" s="29"/>
      <c r="EHE21" s="29"/>
      <c r="EHF21" s="29"/>
      <c r="EHG21" s="29"/>
      <c r="EHH21" s="29"/>
      <c r="EHI21" s="29"/>
      <c r="EHJ21" s="29"/>
      <c r="EHK21" s="29"/>
      <c r="EHL21" s="29"/>
      <c r="EHM21" s="29"/>
      <c r="EHN21" s="29"/>
      <c r="EHO21" s="29"/>
      <c r="EHP21" s="29"/>
      <c r="EHQ21" s="29"/>
      <c r="EHR21" s="29"/>
      <c r="EHS21" s="29"/>
      <c r="EHT21" s="29"/>
      <c r="EHU21" s="29"/>
      <c r="EHV21" s="29"/>
      <c r="EHW21" s="29"/>
      <c r="EHX21" s="29"/>
      <c r="EHY21" s="29"/>
      <c r="EHZ21" s="29"/>
      <c r="EIA21" s="29"/>
      <c r="EIB21" s="29"/>
      <c r="EIC21" s="29"/>
      <c r="EID21" s="29"/>
      <c r="EIE21" s="29"/>
      <c r="EIF21" s="29"/>
      <c r="EIG21" s="29"/>
      <c r="EIH21" s="29"/>
      <c r="EII21" s="29"/>
      <c r="EIJ21" s="29"/>
      <c r="EIK21" s="29"/>
      <c r="EIL21" s="29"/>
      <c r="EIM21" s="29"/>
      <c r="EIN21" s="29"/>
      <c r="EIO21" s="29"/>
      <c r="EIP21" s="29"/>
      <c r="EIQ21" s="29"/>
      <c r="EIR21" s="29"/>
      <c r="EIS21" s="29"/>
      <c r="EIT21" s="29"/>
      <c r="EIU21" s="29"/>
      <c r="EIV21" s="29"/>
      <c r="EIW21" s="29"/>
      <c r="EIX21" s="29"/>
      <c r="EIY21" s="29"/>
      <c r="EIZ21" s="29"/>
      <c r="EJA21" s="29"/>
      <c r="EJB21" s="29"/>
      <c r="EJC21" s="29"/>
      <c r="EJD21" s="29"/>
      <c r="EJE21" s="29"/>
      <c r="EJF21" s="29"/>
      <c r="EJG21" s="29"/>
      <c r="EJH21" s="29"/>
      <c r="EJI21" s="29"/>
      <c r="EJJ21" s="29"/>
      <c r="EJK21" s="29"/>
      <c r="EJL21" s="29"/>
      <c r="EJM21" s="29"/>
      <c r="EJN21" s="29"/>
      <c r="EJO21" s="29"/>
      <c r="EJP21" s="29"/>
      <c r="EJQ21" s="29"/>
      <c r="EJR21" s="29"/>
      <c r="EJS21" s="29"/>
      <c r="EJT21" s="29"/>
      <c r="EJU21" s="29"/>
      <c r="EJV21" s="29"/>
      <c r="EJW21" s="29"/>
      <c r="EJX21" s="29"/>
      <c r="EJY21" s="29"/>
      <c r="EJZ21" s="29"/>
      <c r="EKA21" s="29"/>
      <c r="EKB21" s="29"/>
      <c r="EKC21" s="29"/>
      <c r="EKD21" s="29"/>
      <c r="EKE21" s="29"/>
      <c r="EKF21" s="29"/>
      <c r="EKG21" s="29"/>
      <c r="EKH21" s="29"/>
      <c r="EKI21" s="29"/>
      <c r="EKJ21" s="29"/>
      <c r="EKK21" s="29"/>
      <c r="EKL21" s="29"/>
      <c r="EKM21" s="29"/>
      <c r="EKN21" s="29"/>
      <c r="EKO21" s="29"/>
      <c r="EKP21" s="29"/>
      <c r="EKQ21" s="29"/>
      <c r="EKR21" s="29"/>
      <c r="EKS21" s="29"/>
      <c r="EKT21" s="29"/>
      <c r="EKU21" s="29"/>
      <c r="EKV21" s="29"/>
      <c r="EKW21" s="29"/>
      <c r="EKX21" s="29"/>
      <c r="EKY21" s="29"/>
      <c r="EKZ21" s="29"/>
      <c r="ELA21" s="29"/>
      <c r="ELB21" s="29"/>
      <c r="ELC21" s="29"/>
      <c r="ELD21" s="29"/>
      <c r="ELE21" s="29"/>
      <c r="ELF21" s="29"/>
      <c r="ELG21" s="29"/>
      <c r="ELH21" s="29"/>
      <c r="ELI21" s="29"/>
      <c r="ELJ21" s="29"/>
      <c r="ELK21" s="29"/>
      <c r="ELL21" s="29"/>
      <c r="ELM21" s="29"/>
      <c r="ELN21" s="29"/>
      <c r="ELO21" s="29"/>
      <c r="ELP21" s="29"/>
      <c r="ELQ21" s="29"/>
      <c r="ELR21" s="29"/>
      <c r="ELS21" s="29"/>
      <c r="ELT21" s="29"/>
      <c r="ELU21" s="29"/>
      <c r="ELV21" s="29"/>
      <c r="ELW21" s="29"/>
      <c r="ELX21" s="29"/>
      <c r="ELY21" s="29"/>
      <c r="ELZ21" s="29"/>
      <c r="EMA21" s="29"/>
      <c r="EMB21" s="29"/>
      <c r="EMC21" s="29"/>
      <c r="EMD21" s="29"/>
      <c r="EME21" s="29"/>
      <c r="EMF21" s="29"/>
      <c r="EMG21" s="29"/>
      <c r="EMH21" s="29"/>
      <c r="EMI21" s="29"/>
      <c r="EMJ21" s="29"/>
      <c r="EMK21" s="29"/>
      <c r="EML21" s="29"/>
      <c r="EMM21" s="29"/>
      <c r="EMN21" s="29"/>
      <c r="EMO21" s="29"/>
      <c r="EMP21" s="29"/>
      <c r="EMQ21" s="29"/>
      <c r="EMR21" s="29"/>
      <c r="EMS21" s="29"/>
      <c r="EMT21" s="29"/>
      <c r="EMU21" s="29"/>
      <c r="EMV21" s="29"/>
      <c r="EMW21" s="29"/>
      <c r="EMX21" s="29"/>
      <c r="EMY21" s="29"/>
      <c r="EMZ21" s="29"/>
      <c r="ENA21" s="29"/>
      <c r="ENB21" s="29"/>
      <c r="ENC21" s="29"/>
      <c r="END21" s="29"/>
      <c r="ENE21" s="29"/>
      <c r="ENF21" s="29"/>
      <c r="ENG21" s="29"/>
      <c r="ENH21" s="29"/>
      <c r="ENI21" s="29"/>
      <c r="ENJ21" s="29"/>
      <c r="ENK21" s="29"/>
      <c r="ENL21" s="29"/>
      <c r="ENM21" s="29"/>
      <c r="ENN21" s="29"/>
      <c r="ENO21" s="29"/>
      <c r="ENP21" s="29"/>
      <c r="ENQ21" s="29"/>
      <c r="ENR21" s="29"/>
      <c r="ENS21" s="29"/>
      <c r="ENT21" s="29"/>
      <c r="ENU21" s="29"/>
      <c r="ENV21" s="29"/>
      <c r="ENW21" s="29"/>
      <c r="ENX21" s="29"/>
      <c r="ENY21" s="29"/>
      <c r="ENZ21" s="29"/>
      <c r="EOA21" s="29"/>
      <c r="EOB21" s="29"/>
      <c r="EOC21" s="29"/>
      <c r="EOD21" s="29"/>
      <c r="EOE21" s="29"/>
      <c r="EOF21" s="29"/>
      <c r="EOG21" s="29"/>
      <c r="EOH21" s="29"/>
      <c r="EOI21" s="29"/>
      <c r="EOJ21" s="29"/>
      <c r="EOK21" s="29"/>
      <c r="EOL21" s="29"/>
      <c r="EOM21" s="29"/>
      <c r="EON21" s="29"/>
      <c r="EOO21" s="29"/>
      <c r="EOP21" s="29"/>
      <c r="EOQ21" s="29"/>
      <c r="EOR21" s="29"/>
      <c r="EOS21" s="29"/>
      <c r="EOT21" s="29"/>
      <c r="EOU21" s="29"/>
      <c r="EOV21" s="29"/>
      <c r="EOW21" s="29"/>
      <c r="EOX21" s="29"/>
      <c r="EOY21" s="29"/>
      <c r="EOZ21" s="29"/>
      <c r="EPA21" s="29"/>
      <c r="EPB21" s="29"/>
      <c r="EPC21" s="29"/>
      <c r="EPD21" s="29"/>
      <c r="EPE21" s="29"/>
      <c r="EPF21" s="29"/>
      <c r="EPG21" s="29"/>
      <c r="EPH21" s="29"/>
      <c r="EPI21" s="29"/>
      <c r="EPJ21" s="29"/>
      <c r="EPK21" s="29"/>
      <c r="EPL21" s="29"/>
      <c r="EPM21" s="29"/>
      <c r="EPN21" s="29"/>
      <c r="EPO21" s="29"/>
      <c r="EPP21" s="29"/>
      <c r="EPQ21" s="29"/>
      <c r="EPR21" s="29"/>
      <c r="EPS21" s="29"/>
      <c r="EPT21" s="29"/>
      <c r="EPU21" s="29"/>
      <c r="EPV21" s="29"/>
      <c r="EPW21" s="29"/>
      <c r="EPX21" s="29"/>
      <c r="EPY21" s="29"/>
      <c r="EPZ21" s="29"/>
      <c r="EQA21" s="29"/>
      <c r="EQB21" s="29"/>
      <c r="EQC21" s="29"/>
      <c r="EQD21" s="29"/>
      <c r="EQE21" s="29"/>
      <c r="EQF21" s="29"/>
      <c r="EQG21" s="29"/>
      <c r="EQH21" s="29"/>
      <c r="EQI21" s="29"/>
      <c r="EQJ21" s="29"/>
      <c r="EQK21" s="29"/>
      <c r="EQL21" s="29"/>
      <c r="EQM21" s="29"/>
      <c r="EQN21" s="29"/>
      <c r="EQO21" s="29"/>
      <c r="EQP21" s="29"/>
      <c r="EQQ21" s="29"/>
      <c r="EQR21" s="29"/>
      <c r="EQS21" s="29"/>
      <c r="EQT21" s="29"/>
      <c r="EQU21" s="29"/>
      <c r="EQV21" s="29"/>
      <c r="EQW21" s="29"/>
      <c r="EQX21" s="29"/>
      <c r="EQY21" s="29"/>
      <c r="EQZ21" s="29"/>
      <c r="ERA21" s="29"/>
      <c r="ERB21" s="29"/>
      <c r="ERC21" s="29"/>
      <c r="ERD21" s="29"/>
      <c r="ERE21" s="29"/>
      <c r="ERF21" s="29"/>
      <c r="ERG21" s="29"/>
      <c r="ERH21" s="29"/>
      <c r="ERI21" s="29"/>
      <c r="ERJ21" s="29"/>
      <c r="ERK21" s="29"/>
      <c r="ERL21" s="29"/>
      <c r="ERM21" s="29"/>
      <c r="ERN21" s="29"/>
      <c r="ERO21" s="29"/>
      <c r="ERP21" s="29"/>
      <c r="ERQ21" s="29"/>
      <c r="ERR21" s="29"/>
      <c r="ERS21" s="29"/>
      <c r="ERT21" s="29"/>
      <c r="ERU21" s="29"/>
      <c r="ERV21" s="29"/>
      <c r="ERW21" s="29"/>
      <c r="ERX21" s="29"/>
      <c r="ERY21" s="29"/>
      <c r="ERZ21" s="29"/>
      <c r="ESA21" s="29"/>
      <c r="ESB21" s="29"/>
      <c r="ESC21" s="29"/>
      <c r="ESD21" s="29"/>
      <c r="ESE21" s="29"/>
      <c r="ESF21" s="29"/>
      <c r="ESG21" s="29"/>
      <c r="ESH21" s="29"/>
      <c r="ESI21" s="29"/>
      <c r="ESJ21" s="29"/>
      <c r="ESK21" s="29"/>
      <c r="ESL21" s="29"/>
      <c r="ESM21" s="29"/>
      <c r="ESN21" s="29"/>
      <c r="ESO21" s="29"/>
      <c r="ESP21" s="29"/>
      <c r="ESQ21" s="29"/>
      <c r="ESR21" s="29"/>
      <c r="ESS21" s="29"/>
      <c r="EST21" s="29"/>
      <c r="ESU21" s="29"/>
      <c r="ESV21" s="29"/>
      <c r="ESW21" s="29"/>
      <c r="ESX21" s="29"/>
      <c r="ESY21" s="29"/>
      <c r="ESZ21" s="29"/>
      <c r="ETA21" s="29"/>
      <c r="ETB21" s="29"/>
      <c r="ETC21" s="29"/>
      <c r="ETD21" s="29"/>
      <c r="ETE21" s="29"/>
      <c r="ETF21" s="29"/>
      <c r="ETG21" s="29"/>
      <c r="ETH21" s="29"/>
      <c r="ETI21" s="29"/>
      <c r="ETJ21" s="29"/>
      <c r="ETK21" s="29"/>
      <c r="ETL21" s="29"/>
      <c r="ETM21" s="29"/>
      <c r="ETN21" s="29"/>
      <c r="ETO21" s="29"/>
      <c r="ETP21" s="29"/>
      <c r="ETQ21" s="29"/>
      <c r="ETR21" s="29"/>
      <c r="ETS21" s="29"/>
      <c r="ETT21" s="29"/>
      <c r="ETU21" s="29"/>
      <c r="ETV21" s="29"/>
      <c r="ETW21" s="29"/>
      <c r="ETX21" s="29"/>
      <c r="ETY21" s="29"/>
      <c r="ETZ21" s="29"/>
      <c r="EUA21" s="29"/>
      <c r="EUB21" s="29"/>
      <c r="EUC21" s="29"/>
      <c r="EUD21" s="29"/>
      <c r="EUE21" s="29"/>
      <c r="EUF21" s="29"/>
      <c r="EUG21" s="29"/>
      <c r="EUH21" s="29"/>
      <c r="EUI21" s="29"/>
      <c r="EUJ21" s="29"/>
      <c r="EUK21" s="29"/>
      <c r="EUL21" s="29"/>
      <c r="EUM21" s="29"/>
      <c r="EUN21" s="29"/>
      <c r="EUO21" s="29"/>
      <c r="EUP21" s="29"/>
      <c r="EUQ21" s="29"/>
      <c r="EUR21" s="29"/>
      <c r="EUS21" s="29"/>
      <c r="EUT21" s="29"/>
      <c r="EUU21" s="29"/>
      <c r="EUV21" s="29"/>
      <c r="EUW21" s="29"/>
      <c r="EUX21" s="29"/>
      <c r="EUY21" s="29"/>
      <c r="EUZ21" s="29"/>
      <c r="EVA21" s="29"/>
      <c r="EVB21" s="29"/>
      <c r="EVC21" s="29"/>
      <c r="EVD21" s="29"/>
      <c r="EVE21" s="29"/>
      <c r="EVF21" s="29"/>
      <c r="EVG21" s="29"/>
      <c r="EVH21" s="29"/>
      <c r="EVI21" s="29"/>
      <c r="EVJ21" s="29"/>
      <c r="EVK21" s="29"/>
      <c r="EVL21" s="29"/>
      <c r="EVM21" s="29"/>
      <c r="EVN21" s="29"/>
      <c r="EVO21" s="29"/>
      <c r="EVP21" s="29"/>
      <c r="EVQ21" s="29"/>
      <c r="EVR21" s="29"/>
      <c r="EVS21" s="29"/>
      <c r="EVT21" s="29"/>
      <c r="EVU21" s="29"/>
      <c r="EVV21" s="29"/>
      <c r="EVW21" s="29"/>
      <c r="EVX21" s="29"/>
      <c r="EVY21" s="29"/>
      <c r="EVZ21" s="29"/>
      <c r="EWA21" s="29"/>
      <c r="EWB21" s="29"/>
      <c r="EWC21" s="29"/>
      <c r="EWD21" s="29"/>
      <c r="EWE21" s="29"/>
      <c r="EWF21" s="29"/>
      <c r="EWG21" s="29"/>
      <c r="EWH21" s="29"/>
      <c r="EWI21" s="29"/>
      <c r="EWJ21" s="29"/>
      <c r="EWK21" s="29"/>
      <c r="EWL21" s="29"/>
      <c r="EWM21" s="29"/>
      <c r="EWN21" s="29"/>
      <c r="EWO21" s="29"/>
      <c r="EWP21" s="29"/>
      <c r="EWQ21" s="29"/>
      <c r="EWR21" s="29"/>
      <c r="EWS21" s="29"/>
      <c r="EWT21" s="29"/>
      <c r="EWU21" s="29"/>
      <c r="EWV21" s="29"/>
      <c r="EWW21" s="29"/>
      <c r="EWX21" s="29"/>
      <c r="EWY21" s="29"/>
      <c r="EWZ21" s="29"/>
      <c r="EXA21" s="29"/>
      <c r="EXB21" s="29"/>
      <c r="EXC21" s="29"/>
      <c r="EXD21" s="29"/>
      <c r="EXE21" s="29"/>
      <c r="EXF21" s="29"/>
      <c r="EXG21" s="29"/>
      <c r="EXH21" s="29"/>
      <c r="EXI21" s="29"/>
      <c r="EXJ21" s="29"/>
      <c r="EXK21" s="29"/>
      <c r="EXL21" s="29"/>
      <c r="EXM21" s="29"/>
      <c r="EXN21" s="29"/>
      <c r="EXO21" s="29"/>
      <c r="EXP21" s="29"/>
      <c r="EXQ21" s="29"/>
      <c r="EXR21" s="29"/>
      <c r="EXS21" s="29"/>
      <c r="EXT21" s="29"/>
      <c r="EXU21" s="29"/>
      <c r="EXV21" s="29"/>
      <c r="EXW21" s="29"/>
      <c r="EXX21" s="29"/>
      <c r="EXY21" s="29"/>
      <c r="EXZ21" s="29"/>
      <c r="EYA21" s="29"/>
      <c r="EYB21" s="29"/>
      <c r="EYC21" s="29"/>
      <c r="EYD21" s="29"/>
      <c r="EYE21" s="29"/>
      <c r="EYF21" s="29"/>
      <c r="EYG21" s="29"/>
      <c r="EYH21" s="29"/>
      <c r="EYI21" s="29"/>
      <c r="EYJ21" s="29"/>
      <c r="EYK21" s="29"/>
      <c r="EYL21" s="29"/>
      <c r="EYM21" s="29"/>
      <c r="EYN21" s="29"/>
      <c r="EYO21" s="29"/>
      <c r="EYP21" s="29"/>
      <c r="EYQ21" s="29"/>
      <c r="EYR21" s="29"/>
      <c r="EYS21" s="29"/>
      <c r="EYT21" s="29"/>
      <c r="EYU21" s="29"/>
      <c r="EYV21" s="29"/>
      <c r="EYW21" s="29"/>
      <c r="EYX21" s="29"/>
      <c r="EYY21" s="29"/>
      <c r="EYZ21" s="29"/>
      <c r="EZA21" s="29"/>
      <c r="EZB21" s="29"/>
      <c r="EZC21" s="29"/>
      <c r="EZD21" s="29"/>
      <c r="EZE21" s="29"/>
      <c r="EZF21" s="29"/>
      <c r="EZG21" s="29"/>
      <c r="EZH21" s="29"/>
      <c r="EZI21" s="29"/>
      <c r="EZJ21" s="29"/>
      <c r="EZK21" s="29"/>
      <c r="EZL21" s="29"/>
      <c r="EZM21" s="29"/>
      <c r="EZN21" s="29"/>
      <c r="EZO21" s="29"/>
      <c r="EZP21" s="29"/>
      <c r="EZQ21" s="29"/>
      <c r="EZR21" s="29"/>
      <c r="EZS21" s="29"/>
      <c r="EZT21" s="29"/>
      <c r="EZU21" s="29"/>
      <c r="EZV21" s="29"/>
      <c r="EZW21" s="29"/>
      <c r="EZX21" s="29"/>
      <c r="EZY21" s="29"/>
      <c r="EZZ21" s="29"/>
      <c r="FAA21" s="29"/>
      <c r="FAB21" s="29"/>
      <c r="FAC21" s="29"/>
      <c r="FAD21" s="29"/>
      <c r="FAE21" s="29"/>
      <c r="FAF21" s="29"/>
      <c r="FAG21" s="29"/>
      <c r="FAH21" s="29"/>
      <c r="FAI21" s="29"/>
      <c r="FAJ21" s="29"/>
      <c r="FAK21" s="29"/>
      <c r="FAL21" s="29"/>
      <c r="FAM21" s="29"/>
      <c r="FAN21" s="29"/>
      <c r="FAO21" s="29"/>
      <c r="FAP21" s="29"/>
      <c r="FAQ21" s="29"/>
      <c r="FAR21" s="29"/>
      <c r="FAS21" s="29"/>
      <c r="FAT21" s="29"/>
      <c r="FAU21" s="29"/>
      <c r="FAV21" s="29"/>
      <c r="FAW21" s="29"/>
      <c r="FAX21" s="29"/>
      <c r="FAY21" s="29"/>
      <c r="FAZ21" s="29"/>
      <c r="FBA21" s="29"/>
      <c r="FBB21" s="29"/>
      <c r="FBC21" s="29"/>
      <c r="FBD21" s="29"/>
      <c r="FBE21" s="29"/>
      <c r="FBF21" s="29"/>
      <c r="FBG21" s="29"/>
      <c r="FBH21" s="29"/>
      <c r="FBI21" s="29"/>
      <c r="FBJ21" s="29"/>
      <c r="FBK21" s="29"/>
      <c r="FBL21" s="29"/>
      <c r="FBM21" s="29"/>
      <c r="FBN21" s="29"/>
      <c r="FBO21" s="29"/>
      <c r="FBP21" s="29"/>
      <c r="FBQ21" s="29"/>
      <c r="FBR21" s="29"/>
      <c r="FBS21" s="29"/>
      <c r="FBT21" s="29"/>
      <c r="FBU21" s="29"/>
      <c r="FBV21" s="29"/>
      <c r="FBW21" s="29"/>
      <c r="FBX21" s="29"/>
      <c r="FBY21" s="29"/>
      <c r="FBZ21" s="29"/>
      <c r="FCA21" s="29"/>
      <c r="FCB21" s="29"/>
      <c r="FCC21" s="29"/>
      <c r="FCD21" s="29"/>
      <c r="FCE21" s="29"/>
      <c r="FCF21" s="29"/>
      <c r="FCG21" s="29"/>
      <c r="FCH21" s="29"/>
      <c r="FCI21" s="29"/>
      <c r="FCJ21" s="29"/>
      <c r="FCK21" s="29"/>
      <c r="FCL21" s="29"/>
      <c r="FCM21" s="29"/>
      <c r="FCN21" s="29"/>
      <c r="FCO21" s="29"/>
      <c r="FCP21" s="29"/>
      <c r="FCQ21" s="29"/>
      <c r="FCR21" s="29"/>
      <c r="FCS21" s="29"/>
      <c r="FCT21" s="29"/>
      <c r="FCU21" s="29"/>
      <c r="FCV21" s="29"/>
      <c r="FCW21" s="29"/>
      <c r="FCX21" s="29"/>
      <c r="FCY21" s="29"/>
      <c r="FCZ21" s="29"/>
      <c r="FDA21" s="29"/>
      <c r="FDB21" s="29"/>
      <c r="FDC21" s="29"/>
      <c r="FDD21" s="29"/>
      <c r="FDE21" s="29"/>
      <c r="FDF21" s="29"/>
      <c r="FDG21" s="29"/>
      <c r="FDH21" s="29"/>
      <c r="FDI21" s="29"/>
      <c r="FDJ21" s="29"/>
      <c r="FDK21" s="29"/>
      <c r="FDL21" s="29"/>
      <c r="FDM21" s="29"/>
      <c r="FDN21" s="29"/>
      <c r="FDO21" s="29"/>
      <c r="FDP21" s="29"/>
      <c r="FDQ21" s="29"/>
      <c r="FDR21" s="29"/>
      <c r="FDS21" s="29"/>
      <c r="FDT21" s="29"/>
      <c r="FDU21" s="29"/>
      <c r="FDV21" s="29"/>
      <c r="FDW21" s="29"/>
      <c r="FDX21" s="29"/>
      <c r="FDY21" s="29"/>
      <c r="FDZ21" s="29"/>
      <c r="FEA21" s="29"/>
      <c r="FEB21" s="29"/>
      <c r="FEC21" s="29"/>
      <c r="FED21" s="29"/>
      <c r="FEE21" s="29"/>
      <c r="FEF21" s="29"/>
      <c r="FEG21" s="29"/>
      <c r="FEH21" s="29"/>
      <c r="FEI21" s="29"/>
      <c r="FEJ21" s="29"/>
      <c r="FEK21" s="29"/>
      <c r="FEL21" s="29"/>
      <c r="FEM21" s="29"/>
      <c r="FEN21" s="29"/>
      <c r="FEO21" s="29"/>
      <c r="FEP21" s="29"/>
      <c r="FEQ21" s="29"/>
      <c r="FER21" s="29"/>
      <c r="FES21" s="29"/>
      <c r="FET21" s="29"/>
      <c r="FEU21" s="29"/>
      <c r="FEV21" s="29"/>
      <c r="FEW21" s="29"/>
      <c r="FEX21" s="29"/>
      <c r="FEY21" s="29"/>
      <c r="FEZ21" s="29"/>
      <c r="FFA21" s="29"/>
      <c r="FFB21" s="29"/>
      <c r="FFC21" s="29"/>
      <c r="FFD21" s="29"/>
      <c r="FFE21" s="29"/>
      <c r="FFF21" s="29"/>
      <c r="FFG21" s="29"/>
      <c r="FFH21" s="29"/>
      <c r="FFI21" s="29"/>
      <c r="FFJ21" s="29"/>
      <c r="FFK21" s="29"/>
      <c r="FFL21" s="29"/>
      <c r="FFM21" s="29"/>
      <c r="FFN21" s="29"/>
      <c r="FFO21" s="29"/>
      <c r="FFP21" s="29"/>
      <c r="FFQ21" s="29"/>
      <c r="FFR21" s="29"/>
      <c r="FFS21" s="29"/>
      <c r="FFT21" s="29"/>
      <c r="FFU21" s="29"/>
      <c r="FFV21" s="29"/>
      <c r="FFW21" s="29"/>
      <c r="FFX21" s="29"/>
      <c r="FFY21" s="29"/>
      <c r="FFZ21" s="29"/>
      <c r="FGA21" s="29"/>
      <c r="FGB21" s="29"/>
      <c r="FGC21" s="29"/>
      <c r="FGD21" s="29"/>
      <c r="FGE21" s="29"/>
      <c r="FGF21" s="29"/>
      <c r="FGG21" s="29"/>
      <c r="FGH21" s="29"/>
      <c r="FGI21" s="29"/>
      <c r="FGJ21" s="29"/>
      <c r="FGK21" s="29"/>
      <c r="FGL21" s="29"/>
      <c r="FGM21" s="29"/>
      <c r="FGN21" s="29"/>
      <c r="FGO21" s="29"/>
      <c r="FGP21" s="29"/>
      <c r="FGQ21" s="29"/>
      <c r="FGR21" s="29"/>
      <c r="FGS21" s="29"/>
      <c r="FGT21" s="29"/>
      <c r="FGU21" s="29"/>
      <c r="FGV21" s="29"/>
      <c r="FGW21" s="29"/>
      <c r="FGX21" s="29"/>
      <c r="FGY21" s="29"/>
      <c r="FGZ21" s="29"/>
      <c r="FHA21" s="29"/>
      <c r="FHB21" s="29"/>
      <c r="FHC21" s="29"/>
      <c r="FHD21" s="29"/>
      <c r="FHE21" s="29"/>
      <c r="FHF21" s="29"/>
      <c r="FHG21" s="29"/>
      <c r="FHH21" s="29"/>
      <c r="FHI21" s="29"/>
      <c r="FHJ21" s="29"/>
      <c r="FHK21" s="29"/>
      <c r="FHL21" s="29"/>
      <c r="FHM21" s="29"/>
      <c r="FHN21" s="29"/>
      <c r="FHO21" s="29"/>
      <c r="FHP21" s="29"/>
      <c r="FHQ21" s="29"/>
      <c r="FHR21" s="29"/>
      <c r="FHS21" s="29"/>
      <c r="FHT21" s="29"/>
      <c r="FHU21" s="29"/>
      <c r="FHV21" s="29"/>
      <c r="FHW21" s="29"/>
      <c r="FHX21" s="29"/>
      <c r="FHY21" s="29"/>
      <c r="FHZ21" s="29"/>
      <c r="FIA21" s="29"/>
      <c r="FIB21" s="29"/>
      <c r="FIC21" s="29"/>
      <c r="FID21" s="29"/>
      <c r="FIE21" s="29"/>
      <c r="FIF21" s="29"/>
      <c r="FIG21" s="29"/>
      <c r="FIH21" s="29"/>
      <c r="FII21" s="29"/>
      <c r="FIJ21" s="29"/>
      <c r="FIK21" s="29"/>
      <c r="FIL21" s="29"/>
      <c r="FIM21" s="29"/>
      <c r="FIN21" s="29"/>
      <c r="FIO21" s="29"/>
      <c r="FIP21" s="29"/>
      <c r="FIQ21" s="29"/>
      <c r="FIR21" s="29"/>
      <c r="FIS21" s="29"/>
      <c r="FIT21" s="29"/>
      <c r="FIU21" s="29"/>
      <c r="FIV21" s="29"/>
      <c r="FIW21" s="29"/>
      <c r="FIX21" s="29"/>
      <c r="FIY21" s="29"/>
      <c r="FIZ21" s="29"/>
      <c r="FJA21" s="29"/>
      <c r="FJB21" s="29"/>
      <c r="FJC21" s="29"/>
      <c r="FJD21" s="29"/>
      <c r="FJE21" s="29"/>
      <c r="FJF21" s="29"/>
      <c r="FJG21" s="29"/>
      <c r="FJH21" s="29"/>
      <c r="FJI21" s="29"/>
      <c r="FJJ21" s="29"/>
      <c r="FJK21" s="29"/>
      <c r="FJL21" s="29"/>
      <c r="FJM21" s="29"/>
      <c r="FJN21" s="29"/>
      <c r="FJO21" s="29"/>
      <c r="FJP21" s="29"/>
      <c r="FJQ21" s="29"/>
      <c r="FJR21" s="29"/>
      <c r="FJS21" s="29"/>
      <c r="FJT21" s="29"/>
      <c r="FJU21" s="29"/>
      <c r="FJV21" s="29"/>
      <c r="FJW21" s="29"/>
      <c r="FJX21" s="29"/>
      <c r="FJY21" s="29"/>
      <c r="FJZ21" s="29"/>
      <c r="FKA21" s="29"/>
      <c r="FKB21" s="29"/>
      <c r="FKC21" s="29"/>
      <c r="FKD21" s="29"/>
      <c r="FKE21" s="29"/>
      <c r="FKF21" s="29"/>
      <c r="FKG21" s="29"/>
      <c r="FKH21" s="29"/>
      <c r="FKI21" s="29"/>
      <c r="FKJ21" s="29"/>
      <c r="FKK21" s="29"/>
      <c r="FKL21" s="29"/>
      <c r="FKM21" s="29"/>
      <c r="FKN21" s="29"/>
      <c r="FKO21" s="29"/>
      <c r="FKP21" s="29"/>
      <c r="FKQ21" s="29"/>
      <c r="FKR21" s="29"/>
      <c r="FKS21" s="29"/>
      <c r="FKT21" s="29"/>
      <c r="FKU21" s="29"/>
      <c r="FKV21" s="29"/>
      <c r="FKW21" s="29"/>
      <c r="FKX21" s="29"/>
      <c r="FKY21" s="29"/>
      <c r="FKZ21" s="29"/>
      <c r="FLA21" s="29"/>
      <c r="FLB21" s="29"/>
      <c r="FLC21" s="29"/>
      <c r="FLD21" s="29"/>
      <c r="FLE21" s="29"/>
      <c r="FLF21" s="29"/>
      <c r="FLG21" s="29"/>
      <c r="FLH21" s="29"/>
      <c r="FLI21" s="29"/>
      <c r="FLJ21" s="29"/>
      <c r="FLK21" s="29"/>
      <c r="FLL21" s="29"/>
      <c r="FLM21" s="29"/>
      <c r="FLN21" s="29"/>
      <c r="FLO21" s="29"/>
      <c r="FLP21" s="29"/>
      <c r="FLQ21" s="29"/>
      <c r="FLR21" s="29"/>
      <c r="FLS21" s="29"/>
      <c r="FLT21" s="29"/>
      <c r="FLU21" s="29"/>
      <c r="FLV21" s="29"/>
      <c r="FLW21" s="29"/>
      <c r="FLX21" s="29"/>
      <c r="FLY21" s="29"/>
      <c r="FLZ21" s="29"/>
      <c r="FMA21" s="29"/>
      <c r="FMB21" s="29"/>
      <c r="FMC21" s="29"/>
      <c r="FMD21" s="29"/>
      <c r="FME21" s="29"/>
      <c r="FMF21" s="29"/>
      <c r="FMG21" s="29"/>
      <c r="FMH21" s="29"/>
      <c r="FMI21" s="29"/>
      <c r="FMJ21" s="29"/>
      <c r="FMK21" s="29"/>
      <c r="FML21" s="29"/>
      <c r="FMM21" s="29"/>
      <c r="FMN21" s="29"/>
      <c r="FMO21" s="29"/>
      <c r="FMP21" s="29"/>
      <c r="FMQ21" s="29"/>
      <c r="FMR21" s="29"/>
      <c r="FMS21" s="29"/>
      <c r="FMT21" s="29"/>
      <c r="FMU21" s="29"/>
      <c r="FMV21" s="29"/>
      <c r="FMW21" s="29"/>
      <c r="FMX21" s="29"/>
      <c r="FMY21" s="29"/>
      <c r="FMZ21" s="29"/>
      <c r="FNA21" s="29"/>
      <c r="FNB21" s="29"/>
      <c r="FNC21" s="29"/>
      <c r="FND21" s="29"/>
      <c r="FNE21" s="29"/>
      <c r="FNF21" s="29"/>
      <c r="FNG21" s="29"/>
      <c r="FNH21" s="29"/>
      <c r="FNI21" s="29"/>
      <c r="FNJ21" s="29"/>
      <c r="FNK21" s="29"/>
      <c r="FNL21" s="29"/>
      <c r="FNM21" s="29"/>
      <c r="FNN21" s="29"/>
      <c r="FNO21" s="29"/>
      <c r="FNP21" s="29"/>
      <c r="FNQ21" s="29"/>
      <c r="FNR21" s="29"/>
      <c r="FNS21" s="29"/>
      <c r="FNT21" s="29"/>
      <c r="FNU21" s="29"/>
      <c r="FNV21" s="29"/>
      <c r="FNW21" s="29"/>
      <c r="FNX21" s="29"/>
      <c r="FNY21" s="29"/>
      <c r="FNZ21" s="29"/>
      <c r="FOA21" s="29"/>
      <c r="FOB21" s="29"/>
      <c r="FOC21" s="29"/>
      <c r="FOD21" s="29"/>
      <c r="FOE21" s="29"/>
      <c r="FOF21" s="29"/>
      <c r="FOG21" s="29"/>
      <c r="FOH21" s="29"/>
      <c r="FOI21" s="29"/>
      <c r="FOJ21" s="29"/>
      <c r="FOK21" s="29"/>
      <c r="FOL21" s="29"/>
      <c r="FOM21" s="29"/>
      <c r="FON21" s="29"/>
      <c r="FOO21" s="29"/>
      <c r="FOP21" s="29"/>
      <c r="FOQ21" s="29"/>
      <c r="FOR21" s="29"/>
      <c r="FOS21" s="29"/>
      <c r="FOT21" s="29"/>
      <c r="FOU21" s="29"/>
      <c r="FOV21" s="29"/>
      <c r="FOW21" s="29"/>
      <c r="FOX21" s="29"/>
      <c r="FOY21" s="29"/>
      <c r="FOZ21" s="29"/>
      <c r="FPA21" s="29"/>
      <c r="FPB21" s="29"/>
      <c r="FPC21" s="29"/>
      <c r="FPD21" s="29"/>
      <c r="FPE21" s="29"/>
      <c r="FPF21" s="29"/>
      <c r="FPG21" s="29"/>
      <c r="FPH21" s="29"/>
      <c r="FPI21" s="29"/>
      <c r="FPJ21" s="29"/>
      <c r="FPK21" s="29"/>
      <c r="FPL21" s="29"/>
      <c r="FPM21" s="29"/>
      <c r="FPN21" s="29"/>
      <c r="FPO21" s="29"/>
      <c r="FPP21" s="29"/>
      <c r="FPQ21" s="29"/>
      <c r="FPR21" s="29"/>
      <c r="FPS21" s="29"/>
      <c r="FPT21" s="29"/>
      <c r="FPU21" s="29"/>
      <c r="FPV21" s="29"/>
      <c r="FPW21" s="29"/>
      <c r="FPX21" s="29"/>
      <c r="FPY21" s="29"/>
      <c r="FPZ21" s="29"/>
      <c r="FQA21" s="29"/>
      <c r="FQB21" s="29"/>
      <c r="FQC21" s="29"/>
      <c r="FQD21" s="29"/>
      <c r="FQE21" s="29"/>
      <c r="FQF21" s="29"/>
      <c r="FQG21" s="29"/>
      <c r="FQH21" s="29"/>
      <c r="FQI21" s="29"/>
      <c r="FQJ21" s="29"/>
      <c r="FQK21" s="29"/>
      <c r="FQL21" s="29"/>
      <c r="FQM21" s="29"/>
      <c r="FQN21" s="29"/>
      <c r="FQO21" s="29"/>
      <c r="FQP21" s="29"/>
      <c r="FQQ21" s="29"/>
      <c r="FQR21" s="29"/>
      <c r="FQS21" s="29"/>
      <c r="FQT21" s="29"/>
      <c r="FQU21" s="29"/>
      <c r="FQV21" s="29"/>
      <c r="FQW21" s="29"/>
      <c r="FQX21" s="29"/>
      <c r="FQY21" s="29"/>
      <c r="FQZ21" s="29"/>
      <c r="FRA21" s="29"/>
      <c r="FRB21" s="29"/>
      <c r="FRC21" s="29"/>
      <c r="FRD21" s="29"/>
      <c r="FRE21" s="29"/>
      <c r="FRF21" s="29"/>
      <c r="FRG21" s="29"/>
      <c r="FRH21" s="29"/>
      <c r="FRI21" s="29"/>
      <c r="FRJ21" s="29"/>
      <c r="FRK21" s="29"/>
      <c r="FRL21" s="29"/>
      <c r="FRM21" s="29"/>
      <c r="FRN21" s="29"/>
      <c r="FRO21" s="29"/>
      <c r="FRP21" s="29"/>
      <c r="FRQ21" s="29"/>
      <c r="FRR21" s="29"/>
      <c r="FRS21" s="29"/>
      <c r="FRT21" s="29"/>
      <c r="FRU21" s="29"/>
      <c r="FRV21" s="29"/>
      <c r="FRW21" s="29"/>
      <c r="FRX21" s="29"/>
      <c r="FRY21" s="29"/>
      <c r="FRZ21" s="29"/>
      <c r="FSA21" s="29"/>
      <c r="FSB21" s="29"/>
      <c r="FSC21" s="29"/>
      <c r="FSD21" s="29"/>
      <c r="FSE21" s="29"/>
      <c r="FSF21" s="29"/>
      <c r="FSG21" s="29"/>
      <c r="FSH21" s="29"/>
      <c r="FSI21" s="29"/>
      <c r="FSJ21" s="29"/>
      <c r="FSK21" s="29"/>
      <c r="FSL21" s="29"/>
      <c r="FSM21" s="29"/>
      <c r="FSN21" s="29"/>
      <c r="FSO21" s="29"/>
      <c r="FSP21" s="29"/>
      <c r="FSQ21" s="29"/>
      <c r="FSR21" s="29"/>
      <c r="FSS21" s="29"/>
      <c r="FST21" s="29"/>
      <c r="FSU21" s="29"/>
      <c r="FSV21" s="29"/>
      <c r="FSW21" s="29"/>
      <c r="FSX21" s="29"/>
      <c r="FSY21" s="29"/>
      <c r="FSZ21" s="29"/>
      <c r="FTA21" s="29"/>
      <c r="FTB21" s="29"/>
      <c r="FTC21" s="29"/>
      <c r="FTD21" s="29"/>
      <c r="FTE21" s="29"/>
      <c r="FTF21" s="29"/>
      <c r="FTG21" s="29"/>
      <c r="FTH21" s="29"/>
      <c r="FTI21" s="29"/>
      <c r="FTJ21" s="29"/>
      <c r="FTK21" s="29"/>
      <c r="FTL21" s="29"/>
      <c r="FTM21" s="29"/>
      <c r="FTN21" s="29"/>
      <c r="FTO21" s="29"/>
      <c r="FTP21" s="29"/>
      <c r="FTQ21" s="29"/>
      <c r="FTR21" s="29"/>
      <c r="FTS21" s="29"/>
      <c r="FTT21" s="29"/>
      <c r="FTU21" s="29"/>
      <c r="FTV21" s="29"/>
      <c r="FTW21" s="29"/>
      <c r="FTX21" s="29"/>
      <c r="FTY21" s="29"/>
      <c r="FTZ21" s="29"/>
      <c r="FUA21" s="29"/>
      <c r="FUB21" s="29"/>
      <c r="FUC21" s="29"/>
      <c r="FUD21" s="29"/>
      <c r="FUE21" s="29"/>
      <c r="FUF21" s="29"/>
      <c r="FUG21" s="29"/>
      <c r="FUH21" s="29"/>
      <c r="FUI21" s="29"/>
      <c r="FUJ21" s="29"/>
      <c r="FUK21" s="29"/>
      <c r="FUL21" s="29"/>
      <c r="FUM21" s="29"/>
      <c r="FUN21" s="29"/>
      <c r="FUO21" s="29"/>
      <c r="FUP21" s="29"/>
      <c r="FUQ21" s="29"/>
      <c r="FUR21" s="29"/>
      <c r="FUS21" s="29"/>
      <c r="FUT21" s="29"/>
      <c r="FUU21" s="29"/>
      <c r="FUV21" s="29"/>
      <c r="FUW21" s="29"/>
      <c r="FUX21" s="29"/>
      <c r="FUY21" s="29"/>
      <c r="FUZ21" s="29"/>
      <c r="FVA21" s="29"/>
      <c r="FVB21" s="29"/>
      <c r="FVC21" s="29"/>
      <c r="FVD21" s="29"/>
      <c r="FVE21" s="29"/>
      <c r="FVF21" s="29"/>
      <c r="FVG21" s="29"/>
      <c r="FVH21" s="29"/>
      <c r="FVI21" s="29"/>
      <c r="FVJ21" s="29"/>
      <c r="FVK21" s="29"/>
      <c r="FVL21" s="29"/>
      <c r="FVM21" s="29"/>
      <c r="FVN21" s="29"/>
      <c r="FVO21" s="29"/>
      <c r="FVP21" s="29"/>
      <c r="FVQ21" s="29"/>
      <c r="FVR21" s="29"/>
      <c r="FVS21" s="29"/>
      <c r="FVT21" s="29"/>
      <c r="FVU21" s="29"/>
      <c r="FVV21" s="29"/>
      <c r="FVW21" s="29"/>
      <c r="FVX21" s="29"/>
      <c r="FVY21" s="29"/>
      <c r="FVZ21" s="29"/>
      <c r="FWA21" s="29"/>
      <c r="FWB21" s="29"/>
      <c r="FWC21" s="29"/>
      <c r="FWD21" s="29"/>
      <c r="FWE21" s="29"/>
      <c r="FWF21" s="29"/>
      <c r="FWG21" s="29"/>
      <c r="FWH21" s="29"/>
      <c r="FWI21" s="29"/>
      <c r="FWJ21" s="29"/>
      <c r="FWK21" s="29"/>
      <c r="FWL21" s="29"/>
      <c r="FWM21" s="29"/>
      <c r="FWN21" s="29"/>
      <c r="FWO21" s="29"/>
      <c r="FWP21" s="29"/>
      <c r="FWQ21" s="29"/>
      <c r="FWR21" s="29"/>
      <c r="FWS21" s="29"/>
      <c r="FWT21" s="29"/>
      <c r="FWU21" s="29"/>
      <c r="FWV21" s="29"/>
      <c r="FWW21" s="29"/>
      <c r="FWX21" s="29"/>
      <c r="FWY21" s="29"/>
      <c r="FWZ21" s="29"/>
      <c r="FXA21" s="29"/>
      <c r="FXB21" s="29"/>
      <c r="FXC21" s="29"/>
      <c r="FXD21" s="29"/>
      <c r="FXE21" s="29"/>
      <c r="FXF21" s="29"/>
      <c r="FXG21" s="29"/>
      <c r="FXH21" s="29"/>
      <c r="FXI21" s="29"/>
      <c r="FXJ21" s="29"/>
      <c r="FXK21" s="29"/>
      <c r="FXL21" s="29"/>
      <c r="FXM21" s="29"/>
      <c r="FXN21" s="29"/>
      <c r="FXO21" s="29"/>
      <c r="FXP21" s="29"/>
      <c r="FXQ21" s="29"/>
      <c r="FXR21" s="29"/>
      <c r="FXS21" s="29"/>
      <c r="FXT21" s="29"/>
      <c r="FXU21" s="29"/>
      <c r="FXV21" s="29"/>
      <c r="FXW21" s="29"/>
      <c r="FXX21" s="29"/>
      <c r="FXY21" s="29"/>
      <c r="FXZ21" s="29"/>
      <c r="FYA21" s="29"/>
      <c r="FYB21" s="29"/>
      <c r="FYC21" s="29"/>
      <c r="FYD21" s="29"/>
      <c r="FYE21" s="29"/>
      <c r="FYF21" s="29"/>
      <c r="FYG21" s="29"/>
      <c r="FYH21" s="29"/>
      <c r="FYI21" s="29"/>
      <c r="FYJ21" s="29"/>
      <c r="FYK21" s="29"/>
      <c r="FYL21" s="29"/>
      <c r="FYM21" s="29"/>
      <c r="FYN21" s="29"/>
      <c r="FYO21" s="29"/>
      <c r="FYP21" s="29"/>
      <c r="FYQ21" s="29"/>
      <c r="FYR21" s="29"/>
      <c r="FYS21" s="29"/>
      <c r="FYT21" s="29"/>
      <c r="FYU21" s="29"/>
      <c r="FYV21" s="29"/>
      <c r="FYW21" s="29"/>
      <c r="FYX21" s="29"/>
      <c r="FYY21" s="29"/>
      <c r="FYZ21" s="29"/>
      <c r="FZA21" s="29"/>
      <c r="FZB21" s="29"/>
      <c r="FZC21" s="29"/>
      <c r="FZD21" s="29"/>
      <c r="FZE21" s="29"/>
      <c r="FZF21" s="29"/>
      <c r="FZG21" s="29"/>
      <c r="FZH21" s="29"/>
      <c r="FZI21" s="29"/>
      <c r="FZJ21" s="29"/>
      <c r="FZK21" s="29"/>
      <c r="FZL21" s="29"/>
      <c r="FZM21" s="29"/>
      <c r="FZN21" s="29"/>
      <c r="FZO21" s="29"/>
      <c r="FZP21" s="29"/>
      <c r="FZQ21" s="29"/>
      <c r="FZR21" s="29"/>
      <c r="FZS21" s="29"/>
      <c r="FZT21" s="29"/>
      <c r="FZU21" s="29"/>
      <c r="FZV21" s="29"/>
      <c r="FZW21" s="29"/>
      <c r="FZX21" s="29"/>
      <c r="FZY21" s="29"/>
      <c r="FZZ21" s="29"/>
      <c r="GAA21" s="29"/>
      <c r="GAB21" s="29"/>
      <c r="GAC21" s="29"/>
      <c r="GAD21" s="29"/>
      <c r="GAE21" s="29"/>
      <c r="GAF21" s="29"/>
      <c r="GAG21" s="29"/>
      <c r="GAH21" s="29"/>
      <c r="GAI21" s="29"/>
      <c r="GAJ21" s="29"/>
      <c r="GAK21" s="29"/>
      <c r="GAL21" s="29"/>
      <c r="GAM21" s="29"/>
      <c r="GAN21" s="29"/>
      <c r="GAO21" s="29"/>
      <c r="GAP21" s="29"/>
      <c r="GAQ21" s="29"/>
      <c r="GAR21" s="29"/>
      <c r="GAS21" s="29"/>
      <c r="GAT21" s="29"/>
      <c r="GAU21" s="29"/>
      <c r="GAV21" s="29"/>
      <c r="GAW21" s="29"/>
      <c r="GAX21" s="29"/>
      <c r="GAY21" s="29"/>
      <c r="GAZ21" s="29"/>
      <c r="GBA21" s="29"/>
      <c r="GBB21" s="29"/>
      <c r="GBC21" s="29"/>
      <c r="GBD21" s="29"/>
      <c r="GBE21" s="29"/>
      <c r="GBF21" s="29"/>
      <c r="GBG21" s="29"/>
      <c r="GBH21" s="29"/>
      <c r="GBI21" s="29"/>
      <c r="GBJ21" s="29"/>
      <c r="GBK21" s="29"/>
      <c r="GBL21" s="29"/>
      <c r="GBM21" s="29"/>
      <c r="GBN21" s="29"/>
      <c r="GBO21" s="29"/>
      <c r="GBP21" s="29"/>
      <c r="GBQ21" s="29"/>
      <c r="GBR21" s="29"/>
      <c r="GBS21" s="29"/>
      <c r="GBT21" s="29"/>
      <c r="GBU21" s="29"/>
      <c r="GBV21" s="29"/>
      <c r="GBW21" s="29"/>
      <c r="GBX21" s="29"/>
      <c r="GBY21" s="29"/>
      <c r="GBZ21" s="29"/>
      <c r="GCA21" s="29"/>
      <c r="GCB21" s="29"/>
      <c r="GCC21" s="29"/>
      <c r="GCD21" s="29"/>
      <c r="GCE21" s="29"/>
      <c r="GCF21" s="29"/>
      <c r="GCG21" s="29"/>
      <c r="GCH21" s="29"/>
      <c r="GCI21" s="29"/>
      <c r="GCJ21" s="29"/>
      <c r="GCK21" s="29"/>
      <c r="GCL21" s="29"/>
      <c r="GCM21" s="29"/>
      <c r="GCN21" s="29"/>
      <c r="GCO21" s="29"/>
      <c r="GCP21" s="29"/>
      <c r="GCQ21" s="29"/>
      <c r="GCR21" s="29"/>
      <c r="GCS21" s="29"/>
      <c r="GCT21" s="29"/>
      <c r="GCU21" s="29"/>
      <c r="GCV21" s="29"/>
      <c r="GCW21" s="29"/>
      <c r="GCX21" s="29"/>
      <c r="GCY21" s="29"/>
      <c r="GCZ21" s="29"/>
      <c r="GDA21" s="29"/>
      <c r="GDB21" s="29"/>
      <c r="GDC21" s="29"/>
      <c r="GDD21" s="29"/>
      <c r="GDE21" s="29"/>
      <c r="GDF21" s="29"/>
      <c r="GDG21" s="29"/>
      <c r="GDH21" s="29"/>
      <c r="GDI21" s="29"/>
      <c r="GDJ21" s="29"/>
      <c r="GDK21" s="29"/>
      <c r="GDL21" s="29"/>
      <c r="GDM21" s="29"/>
      <c r="GDN21" s="29"/>
      <c r="GDO21" s="29"/>
      <c r="GDP21" s="29"/>
      <c r="GDQ21" s="29"/>
      <c r="GDR21" s="29"/>
      <c r="GDS21" s="29"/>
      <c r="GDT21" s="29"/>
      <c r="GDU21" s="29"/>
      <c r="GDV21" s="29"/>
      <c r="GDW21" s="29"/>
      <c r="GDX21" s="29"/>
      <c r="GDY21" s="29"/>
      <c r="GDZ21" s="29"/>
      <c r="GEA21" s="29"/>
      <c r="GEB21" s="29"/>
      <c r="GEC21" s="29"/>
      <c r="GED21" s="29"/>
      <c r="GEE21" s="29"/>
      <c r="GEF21" s="29"/>
      <c r="GEG21" s="29"/>
      <c r="GEH21" s="29"/>
      <c r="GEI21" s="29"/>
      <c r="GEJ21" s="29"/>
      <c r="GEK21" s="29"/>
      <c r="GEL21" s="29"/>
      <c r="GEM21" s="29"/>
      <c r="GEN21" s="29"/>
      <c r="GEO21" s="29"/>
      <c r="GEP21" s="29"/>
      <c r="GEQ21" s="29"/>
      <c r="GER21" s="29"/>
      <c r="GES21" s="29"/>
      <c r="GET21" s="29"/>
      <c r="GEU21" s="29"/>
      <c r="GEV21" s="29"/>
      <c r="GEW21" s="29"/>
      <c r="GEX21" s="29"/>
      <c r="GEY21" s="29"/>
      <c r="GEZ21" s="29"/>
      <c r="GFA21" s="29"/>
      <c r="GFB21" s="29"/>
      <c r="GFC21" s="29"/>
      <c r="GFD21" s="29"/>
      <c r="GFE21" s="29"/>
      <c r="GFF21" s="29"/>
      <c r="GFG21" s="29"/>
      <c r="GFH21" s="29"/>
      <c r="GFI21" s="29"/>
      <c r="GFJ21" s="29"/>
      <c r="GFK21" s="29"/>
      <c r="GFL21" s="29"/>
      <c r="GFM21" s="29"/>
      <c r="GFN21" s="29"/>
      <c r="GFO21" s="29"/>
      <c r="GFP21" s="29"/>
      <c r="GFQ21" s="29"/>
      <c r="GFR21" s="29"/>
      <c r="GFS21" s="29"/>
      <c r="GFT21" s="29"/>
      <c r="GFU21" s="29"/>
      <c r="GFV21" s="29"/>
      <c r="GFW21" s="29"/>
      <c r="GFX21" s="29"/>
      <c r="GFY21" s="29"/>
      <c r="GFZ21" s="29"/>
      <c r="GGA21" s="29"/>
      <c r="GGB21" s="29"/>
      <c r="GGC21" s="29"/>
      <c r="GGD21" s="29"/>
      <c r="GGE21" s="29"/>
      <c r="GGF21" s="29"/>
      <c r="GGG21" s="29"/>
      <c r="GGH21" s="29"/>
      <c r="GGI21" s="29"/>
      <c r="GGJ21" s="29"/>
      <c r="GGK21" s="29"/>
      <c r="GGL21" s="29"/>
      <c r="GGM21" s="29"/>
      <c r="GGN21" s="29"/>
      <c r="GGO21" s="29"/>
      <c r="GGP21" s="29"/>
      <c r="GGQ21" s="29"/>
      <c r="GGR21" s="29"/>
      <c r="GGS21" s="29"/>
      <c r="GGT21" s="29"/>
      <c r="GGU21" s="29"/>
      <c r="GGV21" s="29"/>
      <c r="GGW21" s="29"/>
      <c r="GGX21" s="29"/>
      <c r="GGY21" s="29"/>
      <c r="GGZ21" s="29"/>
      <c r="GHA21" s="29"/>
      <c r="GHB21" s="29"/>
      <c r="GHC21" s="29"/>
      <c r="GHD21" s="29"/>
      <c r="GHE21" s="29"/>
      <c r="GHF21" s="29"/>
      <c r="GHG21" s="29"/>
      <c r="GHH21" s="29"/>
      <c r="GHI21" s="29"/>
      <c r="GHJ21" s="29"/>
      <c r="GHK21" s="29"/>
      <c r="GHL21" s="29"/>
      <c r="GHM21" s="29"/>
      <c r="GHN21" s="29"/>
      <c r="GHO21" s="29"/>
      <c r="GHP21" s="29"/>
      <c r="GHQ21" s="29"/>
      <c r="GHR21" s="29"/>
      <c r="GHS21" s="29"/>
      <c r="GHT21" s="29"/>
      <c r="GHU21" s="29"/>
      <c r="GHV21" s="29"/>
      <c r="GHW21" s="29"/>
      <c r="GHX21" s="29"/>
      <c r="GHY21" s="29"/>
      <c r="GHZ21" s="29"/>
      <c r="GIA21" s="29"/>
      <c r="GIB21" s="29"/>
      <c r="GIC21" s="29"/>
      <c r="GID21" s="29"/>
      <c r="GIE21" s="29"/>
      <c r="GIF21" s="29"/>
      <c r="GIG21" s="29"/>
      <c r="GIH21" s="29"/>
      <c r="GII21" s="29"/>
      <c r="GIJ21" s="29"/>
      <c r="GIK21" s="29"/>
      <c r="GIL21" s="29"/>
      <c r="GIM21" s="29"/>
      <c r="GIN21" s="29"/>
      <c r="GIO21" s="29"/>
      <c r="GIP21" s="29"/>
      <c r="GIQ21" s="29"/>
      <c r="GIR21" s="29"/>
      <c r="GIS21" s="29"/>
      <c r="GIT21" s="29"/>
      <c r="GIU21" s="29"/>
      <c r="GIV21" s="29"/>
      <c r="GIW21" s="29"/>
      <c r="GIX21" s="29"/>
      <c r="GIY21" s="29"/>
      <c r="GIZ21" s="29"/>
      <c r="GJA21" s="29"/>
      <c r="GJB21" s="29"/>
      <c r="GJC21" s="29"/>
      <c r="GJD21" s="29"/>
      <c r="GJE21" s="29"/>
      <c r="GJF21" s="29"/>
      <c r="GJG21" s="29"/>
      <c r="GJH21" s="29"/>
      <c r="GJI21" s="29"/>
      <c r="GJJ21" s="29"/>
      <c r="GJK21" s="29"/>
      <c r="GJL21" s="29"/>
      <c r="GJM21" s="29"/>
      <c r="GJN21" s="29"/>
      <c r="GJO21" s="29"/>
      <c r="GJP21" s="29"/>
      <c r="GJQ21" s="29"/>
      <c r="GJR21" s="29"/>
      <c r="GJS21" s="29"/>
      <c r="GJT21" s="29"/>
      <c r="GJU21" s="29"/>
      <c r="GJV21" s="29"/>
      <c r="GJW21" s="29"/>
      <c r="GJX21" s="29"/>
      <c r="GJY21" s="29"/>
      <c r="GJZ21" s="29"/>
      <c r="GKA21" s="29"/>
      <c r="GKB21" s="29"/>
      <c r="GKC21" s="29"/>
      <c r="GKD21" s="29"/>
      <c r="GKE21" s="29"/>
      <c r="GKF21" s="29"/>
      <c r="GKG21" s="29"/>
      <c r="GKH21" s="29"/>
      <c r="GKI21" s="29"/>
      <c r="GKJ21" s="29"/>
      <c r="GKK21" s="29"/>
      <c r="GKL21" s="29"/>
      <c r="GKM21" s="29"/>
      <c r="GKN21" s="29"/>
      <c r="GKO21" s="29"/>
      <c r="GKP21" s="29"/>
      <c r="GKQ21" s="29"/>
      <c r="GKR21" s="29"/>
      <c r="GKS21" s="29"/>
      <c r="GKT21" s="29"/>
      <c r="GKU21" s="29"/>
      <c r="GKV21" s="29"/>
      <c r="GKW21" s="29"/>
      <c r="GKX21" s="29"/>
      <c r="GKY21" s="29"/>
      <c r="GKZ21" s="29"/>
      <c r="GLA21" s="29"/>
      <c r="GLB21" s="29"/>
      <c r="GLC21" s="29"/>
      <c r="GLD21" s="29"/>
      <c r="GLE21" s="29"/>
      <c r="GLF21" s="29"/>
      <c r="GLG21" s="29"/>
      <c r="GLH21" s="29"/>
      <c r="GLI21" s="29"/>
      <c r="GLJ21" s="29"/>
      <c r="GLK21" s="29"/>
      <c r="GLL21" s="29"/>
      <c r="GLM21" s="29"/>
      <c r="GLN21" s="29"/>
      <c r="GLO21" s="29"/>
      <c r="GLP21" s="29"/>
      <c r="GLQ21" s="29"/>
      <c r="GLR21" s="29"/>
      <c r="GLS21" s="29"/>
      <c r="GLT21" s="29"/>
      <c r="GLU21" s="29"/>
      <c r="GLV21" s="29"/>
      <c r="GLW21" s="29"/>
      <c r="GLX21" s="29"/>
      <c r="GLY21" s="29"/>
      <c r="GLZ21" s="29"/>
      <c r="GMA21" s="29"/>
      <c r="GMB21" s="29"/>
      <c r="GMC21" s="29"/>
      <c r="GMD21" s="29"/>
      <c r="GME21" s="29"/>
      <c r="GMF21" s="29"/>
      <c r="GMG21" s="29"/>
      <c r="GMH21" s="29"/>
      <c r="GMI21" s="29"/>
      <c r="GMJ21" s="29"/>
      <c r="GMK21" s="29"/>
      <c r="GML21" s="29"/>
      <c r="GMM21" s="29"/>
      <c r="GMN21" s="29"/>
      <c r="GMO21" s="29"/>
      <c r="GMP21" s="29"/>
      <c r="GMQ21" s="29"/>
      <c r="GMR21" s="29"/>
      <c r="GMS21" s="29"/>
      <c r="GMT21" s="29"/>
      <c r="GMU21" s="29"/>
      <c r="GMV21" s="29"/>
      <c r="GMW21" s="29"/>
      <c r="GMX21" s="29"/>
      <c r="GMY21" s="29"/>
      <c r="GMZ21" s="29"/>
      <c r="GNA21" s="29"/>
      <c r="GNB21" s="29"/>
      <c r="GNC21" s="29"/>
      <c r="GND21" s="29"/>
      <c r="GNE21" s="29"/>
      <c r="GNF21" s="29"/>
      <c r="GNG21" s="29"/>
      <c r="GNH21" s="29"/>
      <c r="GNI21" s="29"/>
      <c r="GNJ21" s="29"/>
      <c r="GNK21" s="29"/>
      <c r="GNL21" s="29"/>
      <c r="GNM21" s="29"/>
      <c r="GNN21" s="29"/>
      <c r="GNO21" s="29"/>
      <c r="GNP21" s="29"/>
      <c r="GNQ21" s="29"/>
      <c r="GNR21" s="29"/>
      <c r="GNS21" s="29"/>
      <c r="GNT21" s="29"/>
      <c r="GNU21" s="29"/>
      <c r="GNV21" s="29"/>
      <c r="GNW21" s="29"/>
      <c r="GNX21" s="29"/>
      <c r="GNY21" s="29"/>
      <c r="GNZ21" s="29"/>
      <c r="GOA21" s="29"/>
      <c r="GOB21" s="29"/>
      <c r="GOC21" s="29"/>
      <c r="GOD21" s="29"/>
      <c r="GOE21" s="29"/>
      <c r="GOF21" s="29"/>
      <c r="GOG21" s="29"/>
      <c r="GOH21" s="29"/>
      <c r="GOI21" s="29"/>
      <c r="GOJ21" s="29"/>
      <c r="GOK21" s="29"/>
      <c r="GOL21" s="29"/>
      <c r="GOM21" s="29"/>
      <c r="GON21" s="29"/>
      <c r="GOO21" s="29"/>
      <c r="GOP21" s="29"/>
      <c r="GOQ21" s="29"/>
      <c r="GOR21" s="29"/>
      <c r="GOS21" s="29"/>
      <c r="GOT21" s="29"/>
      <c r="GOU21" s="29"/>
      <c r="GOV21" s="29"/>
      <c r="GOW21" s="29"/>
      <c r="GOX21" s="29"/>
      <c r="GOY21" s="29"/>
      <c r="GOZ21" s="29"/>
      <c r="GPA21" s="29"/>
      <c r="GPB21" s="29"/>
      <c r="GPC21" s="29"/>
      <c r="GPD21" s="29"/>
      <c r="GPE21" s="29"/>
      <c r="GPF21" s="29"/>
      <c r="GPG21" s="29"/>
      <c r="GPH21" s="29"/>
      <c r="GPI21" s="29"/>
      <c r="GPJ21" s="29"/>
      <c r="GPK21" s="29"/>
      <c r="GPL21" s="29"/>
      <c r="GPM21" s="29"/>
      <c r="GPN21" s="29"/>
      <c r="GPO21" s="29"/>
      <c r="GPP21" s="29"/>
      <c r="GPQ21" s="29"/>
      <c r="GPR21" s="29"/>
      <c r="GPS21" s="29"/>
      <c r="GPT21" s="29"/>
      <c r="GPU21" s="29"/>
      <c r="GPV21" s="29"/>
      <c r="GPW21" s="29"/>
      <c r="GPX21" s="29"/>
      <c r="GPY21" s="29"/>
      <c r="GPZ21" s="29"/>
      <c r="GQA21" s="29"/>
      <c r="GQB21" s="29"/>
      <c r="GQC21" s="29"/>
      <c r="GQD21" s="29"/>
      <c r="GQE21" s="29"/>
      <c r="GQF21" s="29"/>
      <c r="GQG21" s="29"/>
      <c r="GQH21" s="29"/>
      <c r="GQI21" s="29"/>
      <c r="GQJ21" s="29"/>
      <c r="GQK21" s="29"/>
      <c r="GQL21" s="29"/>
      <c r="GQM21" s="29"/>
      <c r="GQN21" s="29"/>
      <c r="GQO21" s="29"/>
      <c r="GQP21" s="29"/>
      <c r="GQQ21" s="29"/>
      <c r="GQR21" s="29"/>
      <c r="GQS21" s="29"/>
      <c r="GQT21" s="29"/>
      <c r="GQU21" s="29"/>
      <c r="GQV21" s="29"/>
      <c r="GQW21" s="29"/>
      <c r="GQX21" s="29"/>
      <c r="GQY21" s="29"/>
      <c r="GQZ21" s="29"/>
      <c r="GRA21" s="29"/>
      <c r="GRB21" s="29"/>
      <c r="GRC21" s="29"/>
      <c r="GRD21" s="29"/>
      <c r="GRE21" s="29"/>
      <c r="GRF21" s="29"/>
      <c r="GRG21" s="29"/>
      <c r="GRH21" s="29"/>
      <c r="GRI21" s="29"/>
      <c r="GRJ21" s="29"/>
      <c r="GRK21" s="29"/>
      <c r="GRL21" s="29"/>
      <c r="GRM21" s="29"/>
      <c r="GRN21" s="29"/>
      <c r="GRO21" s="29"/>
      <c r="GRP21" s="29"/>
      <c r="GRQ21" s="29"/>
      <c r="GRR21" s="29"/>
      <c r="GRS21" s="29"/>
      <c r="GRT21" s="29"/>
      <c r="GRU21" s="29"/>
      <c r="GRV21" s="29"/>
      <c r="GRW21" s="29"/>
      <c r="GRX21" s="29"/>
      <c r="GRY21" s="29"/>
      <c r="GRZ21" s="29"/>
      <c r="GSA21" s="29"/>
      <c r="GSB21" s="29"/>
      <c r="GSC21" s="29"/>
      <c r="GSD21" s="29"/>
      <c r="GSE21" s="29"/>
      <c r="GSF21" s="29"/>
      <c r="GSG21" s="29"/>
      <c r="GSH21" s="29"/>
      <c r="GSI21" s="29"/>
      <c r="GSJ21" s="29"/>
      <c r="GSK21" s="29"/>
      <c r="GSL21" s="29"/>
      <c r="GSM21" s="29"/>
      <c r="GSN21" s="29"/>
      <c r="GSO21" s="29"/>
      <c r="GSP21" s="29"/>
      <c r="GSQ21" s="29"/>
      <c r="GSR21" s="29"/>
      <c r="GSS21" s="29"/>
      <c r="GST21" s="29"/>
      <c r="GSU21" s="29"/>
      <c r="GSV21" s="29"/>
      <c r="GSW21" s="29"/>
      <c r="GSX21" s="29"/>
      <c r="GSY21" s="29"/>
      <c r="GSZ21" s="29"/>
      <c r="GTA21" s="29"/>
      <c r="GTB21" s="29"/>
      <c r="GTC21" s="29"/>
      <c r="GTD21" s="29"/>
      <c r="GTE21" s="29"/>
      <c r="GTF21" s="29"/>
      <c r="GTG21" s="29"/>
      <c r="GTH21" s="29"/>
      <c r="GTI21" s="29"/>
      <c r="GTJ21" s="29"/>
      <c r="GTK21" s="29"/>
      <c r="GTL21" s="29"/>
      <c r="GTM21" s="29"/>
      <c r="GTN21" s="29"/>
      <c r="GTO21" s="29"/>
      <c r="GTP21" s="29"/>
      <c r="GTQ21" s="29"/>
      <c r="GTR21" s="29"/>
      <c r="GTS21" s="29"/>
      <c r="GTT21" s="29"/>
      <c r="GTU21" s="29"/>
      <c r="GTV21" s="29"/>
      <c r="GTW21" s="29"/>
      <c r="GTX21" s="29"/>
      <c r="GTY21" s="29"/>
      <c r="GTZ21" s="29"/>
      <c r="GUA21" s="29"/>
      <c r="GUB21" s="29"/>
      <c r="GUC21" s="29"/>
      <c r="GUD21" s="29"/>
      <c r="GUE21" s="29"/>
      <c r="GUF21" s="29"/>
      <c r="GUG21" s="29"/>
      <c r="GUH21" s="29"/>
      <c r="GUI21" s="29"/>
      <c r="GUJ21" s="29"/>
      <c r="GUK21" s="29"/>
      <c r="GUL21" s="29"/>
      <c r="GUM21" s="29"/>
      <c r="GUN21" s="29"/>
      <c r="GUO21" s="29"/>
      <c r="GUP21" s="29"/>
      <c r="GUQ21" s="29"/>
      <c r="GUR21" s="29"/>
      <c r="GUS21" s="29"/>
      <c r="GUT21" s="29"/>
      <c r="GUU21" s="29"/>
      <c r="GUV21" s="29"/>
      <c r="GUW21" s="29"/>
      <c r="GUX21" s="29"/>
      <c r="GUY21" s="29"/>
      <c r="GUZ21" s="29"/>
      <c r="GVA21" s="29"/>
      <c r="GVB21" s="29"/>
      <c r="GVC21" s="29"/>
      <c r="GVD21" s="29"/>
      <c r="GVE21" s="29"/>
      <c r="GVF21" s="29"/>
      <c r="GVG21" s="29"/>
      <c r="GVH21" s="29"/>
      <c r="GVI21" s="29"/>
      <c r="GVJ21" s="29"/>
      <c r="GVK21" s="29"/>
      <c r="GVL21" s="29"/>
      <c r="GVM21" s="29"/>
      <c r="GVN21" s="29"/>
      <c r="GVO21" s="29"/>
      <c r="GVP21" s="29"/>
      <c r="GVQ21" s="29"/>
      <c r="GVR21" s="29"/>
      <c r="GVS21" s="29"/>
      <c r="GVT21" s="29"/>
      <c r="GVU21" s="29"/>
      <c r="GVV21" s="29"/>
      <c r="GVW21" s="29"/>
      <c r="GVX21" s="29"/>
      <c r="GVY21" s="29"/>
      <c r="GVZ21" s="29"/>
      <c r="GWA21" s="29"/>
      <c r="GWB21" s="29"/>
      <c r="GWC21" s="29"/>
      <c r="GWD21" s="29"/>
      <c r="GWE21" s="29"/>
      <c r="GWF21" s="29"/>
      <c r="GWG21" s="29"/>
      <c r="GWH21" s="29"/>
      <c r="GWI21" s="29"/>
      <c r="GWJ21" s="29"/>
      <c r="GWK21" s="29"/>
      <c r="GWL21" s="29"/>
      <c r="GWM21" s="29"/>
      <c r="GWN21" s="29"/>
      <c r="GWO21" s="29"/>
      <c r="GWP21" s="29"/>
      <c r="GWQ21" s="29"/>
      <c r="GWR21" s="29"/>
      <c r="GWS21" s="29"/>
      <c r="GWT21" s="29"/>
      <c r="GWU21" s="29"/>
      <c r="GWV21" s="29"/>
      <c r="GWW21" s="29"/>
      <c r="GWX21" s="29"/>
      <c r="GWY21" s="29"/>
      <c r="GWZ21" s="29"/>
      <c r="GXA21" s="29"/>
      <c r="GXB21" s="29"/>
      <c r="GXC21" s="29"/>
      <c r="GXD21" s="29"/>
      <c r="GXE21" s="29"/>
      <c r="GXF21" s="29"/>
      <c r="GXG21" s="29"/>
      <c r="GXH21" s="29"/>
      <c r="GXI21" s="29"/>
      <c r="GXJ21" s="29"/>
      <c r="GXK21" s="29"/>
      <c r="GXL21" s="29"/>
      <c r="GXM21" s="29"/>
      <c r="GXN21" s="29"/>
      <c r="GXO21" s="29"/>
      <c r="GXP21" s="29"/>
      <c r="GXQ21" s="29"/>
      <c r="GXR21" s="29"/>
      <c r="GXS21" s="29"/>
      <c r="GXT21" s="29"/>
      <c r="GXU21" s="29"/>
      <c r="GXV21" s="29"/>
      <c r="GXW21" s="29"/>
      <c r="GXX21" s="29"/>
      <c r="GXY21" s="29"/>
      <c r="GXZ21" s="29"/>
      <c r="GYA21" s="29"/>
      <c r="GYB21" s="29"/>
      <c r="GYC21" s="29"/>
      <c r="GYD21" s="29"/>
      <c r="GYE21" s="29"/>
      <c r="GYF21" s="29"/>
      <c r="GYG21" s="29"/>
      <c r="GYH21" s="29"/>
      <c r="GYI21" s="29"/>
      <c r="GYJ21" s="29"/>
      <c r="GYK21" s="29"/>
      <c r="GYL21" s="29"/>
      <c r="GYM21" s="29"/>
      <c r="GYN21" s="29"/>
      <c r="GYO21" s="29"/>
      <c r="GYP21" s="29"/>
      <c r="GYQ21" s="29"/>
      <c r="GYR21" s="29"/>
      <c r="GYS21" s="29"/>
      <c r="GYT21" s="29"/>
      <c r="GYU21" s="29"/>
      <c r="GYV21" s="29"/>
      <c r="GYW21" s="29"/>
      <c r="GYX21" s="29"/>
      <c r="GYY21" s="29"/>
      <c r="GYZ21" s="29"/>
      <c r="GZA21" s="29"/>
      <c r="GZB21" s="29"/>
      <c r="GZC21" s="29"/>
      <c r="GZD21" s="29"/>
      <c r="GZE21" s="29"/>
      <c r="GZF21" s="29"/>
      <c r="GZG21" s="29"/>
      <c r="GZH21" s="29"/>
      <c r="GZI21" s="29"/>
      <c r="GZJ21" s="29"/>
      <c r="GZK21" s="29"/>
      <c r="GZL21" s="29"/>
      <c r="GZM21" s="29"/>
      <c r="GZN21" s="29"/>
      <c r="GZO21" s="29"/>
      <c r="GZP21" s="29"/>
      <c r="GZQ21" s="29"/>
      <c r="GZR21" s="29"/>
      <c r="GZS21" s="29"/>
      <c r="GZT21" s="29"/>
      <c r="GZU21" s="29"/>
      <c r="GZV21" s="29"/>
      <c r="GZW21" s="29"/>
      <c r="GZX21" s="29"/>
      <c r="GZY21" s="29"/>
      <c r="GZZ21" s="29"/>
      <c r="HAA21" s="29"/>
      <c r="HAB21" s="29"/>
      <c r="HAC21" s="29"/>
      <c r="HAD21" s="29"/>
      <c r="HAE21" s="29"/>
      <c r="HAF21" s="29"/>
      <c r="HAG21" s="29"/>
      <c r="HAH21" s="29"/>
      <c r="HAI21" s="29"/>
      <c r="HAJ21" s="29"/>
      <c r="HAK21" s="29"/>
      <c r="HAL21" s="29"/>
      <c r="HAM21" s="29"/>
      <c r="HAN21" s="29"/>
      <c r="HAO21" s="29"/>
      <c r="HAP21" s="29"/>
      <c r="HAQ21" s="29"/>
      <c r="HAR21" s="29"/>
      <c r="HAS21" s="29"/>
      <c r="HAT21" s="29"/>
      <c r="HAU21" s="29"/>
      <c r="HAV21" s="29"/>
      <c r="HAW21" s="29"/>
      <c r="HAX21" s="29"/>
      <c r="HAY21" s="29"/>
      <c r="HAZ21" s="29"/>
      <c r="HBA21" s="29"/>
      <c r="HBB21" s="29"/>
      <c r="HBC21" s="29"/>
      <c r="HBD21" s="29"/>
      <c r="HBE21" s="29"/>
      <c r="HBF21" s="29"/>
      <c r="HBG21" s="29"/>
      <c r="HBH21" s="29"/>
      <c r="HBI21" s="29"/>
      <c r="HBJ21" s="29"/>
      <c r="HBK21" s="29"/>
      <c r="HBL21" s="29"/>
      <c r="HBM21" s="29"/>
      <c r="HBN21" s="29"/>
      <c r="HBO21" s="29"/>
      <c r="HBP21" s="29"/>
      <c r="HBQ21" s="29"/>
      <c r="HBR21" s="29"/>
      <c r="HBS21" s="29"/>
      <c r="HBT21" s="29"/>
      <c r="HBU21" s="29"/>
      <c r="HBV21" s="29"/>
      <c r="HBW21" s="29"/>
      <c r="HBX21" s="29"/>
      <c r="HBY21" s="29"/>
      <c r="HBZ21" s="29"/>
      <c r="HCA21" s="29"/>
      <c r="HCB21" s="29"/>
      <c r="HCC21" s="29"/>
      <c r="HCD21" s="29"/>
      <c r="HCE21" s="29"/>
      <c r="HCF21" s="29"/>
      <c r="HCG21" s="29"/>
      <c r="HCH21" s="29"/>
      <c r="HCI21" s="29"/>
      <c r="HCJ21" s="29"/>
      <c r="HCK21" s="29"/>
      <c r="HCL21" s="29"/>
      <c r="HCM21" s="29"/>
      <c r="HCN21" s="29"/>
      <c r="HCO21" s="29"/>
      <c r="HCP21" s="29"/>
      <c r="HCQ21" s="29"/>
      <c r="HCR21" s="29"/>
      <c r="HCS21" s="29"/>
      <c r="HCT21" s="29"/>
      <c r="HCU21" s="29"/>
      <c r="HCV21" s="29"/>
      <c r="HCW21" s="29"/>
      <c r="HCX21" s="29"/>
      <c r="HCY21" s="29"/>
      <c r="HCZ21" s="29"/>
      <c r="HDA21" s="29"/>
      <c r="HDB21" s="29"/>
      <c r="HDC21" s="29"/>
      <c r="HDD21" s="29"/>
      <c r="HDE21" s="29"/>
      <c r="HDF21" s="29"/>
      <c r="HDG21" s="29"/>
      <c r="HDH21" s="29"/>
      <c r="HDI21" s="29"/>
      <c r="HDJ21" s="29"/>
      <c r="HDK21" s="29"/>
      <c r="HDL21" s="29"/>
      <c r="HDM21" s="29"/>
      <c r="HDN21" s="29"/>
      <c r="HDO21" s="29"/>
      <c r="HDP21" s="29"/>
      <c r="HDQ21" s="29"/>
      <c r="HDR21" s="29"/>
      <c r="HDS21" s="29"/>
      <c r="HDT21" s="29"/>
      <c r="HDU21" s="29"/>
      <c r="HDV21" s="29"/>
      <c r="HDW21" s="29"/>
      <c r="HDX21" s="29"/>
      <c r="HDY21" s="29"/>
      <c r="HDZ21" s="29"/>
      <c r="HEA21" s="29"/>
      <c r="HEB21" s="29"/>
      <c r="HEC21" s="29"/>
      <c r="HED21" s="29"/>
      <c r="HEE21" s="29"/>
      <c r="HEF21" s="29"/>
      <c r="HEG21" s="29"/>
      <c r="HEH21" s="29"/>
      <c r="HEI21" s="29"/>
      <c r="HEJ21" s="29"/>
      <c r="HEK21" s="29"/>
      <c r="HEL21" s="29"/>
      <c r="HEM21" s="29"/>
      <c r="HEN21" s="29"/>
      <c r="HEO21" s="29"/>
      <c r="HEP21" s="29"/>
      <c r="HEQ21" s="29"/>
      <c r="HER21" s="29"/>
      <c r="HES21" s="29"/>
      <c r="HET21" s="29"/>
      <c r="HEU21" s="29"/>
      <c r="HEV21" s="29"/>
      <c r="HEW21" s="29"/>
      <c r="HEX21" s="29"/>
      <c r="HEY21" s="29"/>
      <c r="HEZ21" s="29"/>
      <c r="HFA21" s="29"/>
      <c r="HFB21" s="29"/>
      <c r="HFC21" s="29"/>
      <c r="HFD21" s="29"/>
      <c r="HFE21" s="29"/>
      <c r="HFF21" s="29"/>
      <c r="HFG21" s="29"/>
      <c r="HFH21" s="29"/>
      <c r="HFI21" s="29"/>
      <c r="HFJ21" s="29"/>
      <c r="HFK21" s="29"/>
      <c r="HFL21" s="29"/>
      <c r="HFM21" s="29"/>
      <c r="HFN21" s="29"/>
      <c r="HFO21" s="29"/>
      <c r="HFP21" s="29"/>
      <c r="HFQ21" s="29"/>
      <c r="HFR21" s="29"/>
      <c r="HFS21" s="29"/>
      <c r="HFT21" s="29"/>
      <c r="HFU21" s="29"/>
      <c r="HFV21" s="29"/>
      <c r="HFW21" s="29"/>
      <c r="HFX21" s="29"/>
      <c r="HFY21" s="29"/>
      <c r="HFZ21" s="29"/>
      <c r="HGA21" s="29"/>
      <c r="HGB21" s="29"/>
      <c r="HGC21" s="29"/>
      <c r="HGD21" s="29"/>
      <c r="HGE21" s="29"/>
      <c r="HGF21" s="29"/>
      <c r="HGG21" s="29"/>
      <c r="HGH21" s="29"/>
      <c r="HGI21" s="29"/>
      <c r="HGJ21" s="29"/>
      <c r="HGK21" s="29"/>
      <c r="HGL21" s="29"/>
      <c r="HGM21" s="29"/>
      <c r="HGN21" s="29"/>
      <c r="HGO21" s="29"/>
      <c r="HGP21" s="29"/>
      <c r="HGQ21" s="29"/>
      <c r="HGR21" s="29"/>
      <c r="HGS21" s="29"/>
      <c r="HGT21" s="29"/>
      <c r="HGU21" s="29"/>
      <c r="HGV21" s="29"/>
      <c r="HGW21" s="29"/>
      <c r="HGX21" s="29"/>
      <c r="HGY21" s="29"/>
      <c r="HGZ21" s="29"/>
      <c r="HHA21" s="29"/>
      <c r="HHB21" s="29"/>
      <c r="HHC21" s="29"/>
      <c r="HHD21" s="29"/>
      <c r="HHE21" s="29"/>
      <c r="HHF21" s="29"/>
      <c r="HHG21" s="29"/>
      <c r="HHH21" s="29"/>
      <c r="HHI21" s="29"/>
      <c r="HHJ21" s="29"/>
      <c r="HHK21" s="29"/>
      <c r="HHL21" s="29"/>
      <c r="HHM21" s="29"/>
      <c r="HHN21" s="29"/>
      <c r="HHO21" s="29"/>
      <c r="HHP21" s="29"/>
      <c r="HHQ21" s="29"/>
      <c r="HHR21" s="29"/>
      <c r="HHS21" s="29"/>
      <c r="HHT21" s="29"/>
      <c r="HHU21" s="29"/>
      <c r="HHV21" s="29"/>
      <c r="HHW21" s="29"/>
      <c r="HHX21" s="29"/>
      <c r="HHY21" s="29"/>
      <c r="HHZ21" s="29"/>
      <c r="HIA21" s="29"/>
      <c r="HIB21" s="29"/>
      <c r="HIC21" s="29"/>
      <c r="HID21" s="29"/>
      <c r="HIE21" s="29"/>
      <c r="HIF21" s="29"/>
      <c r="HIG21" s="29"/>
      <c r="HIH21" s="29"/>
      <c r="HII21" s="29"/>
      <c r="HIJ21" s="29"/>
      <c r="HIK21" s="29"/>
      <c r="HIL21" s="29"/>
      <c r="HIM21" s="29"/>
      <c r="HIN21" s="29"/>
      <c r="HIO21" s="29"/>
      <c r="HIP21" s="29"/>
      <c r="HIQ21" s="29"/>
      <c r="HIR21" s="29"/>
      <c r="HIS21" s="29"/>
      <c r="HIT21" s="29"/>
      <c r="HIU21" s="29"/>
      <c r="HIV21" s="29"/>
      <c r="HIW21" s="29"/>
      <c r="HIX21" s="29"/>
      <c r="HIY21" s="29"/>
      <c r="HIZ21" s="29"/>
      <c r="HJA21" s="29"/>
      <c r="HJB21" s="29"/>
      <c r="HJC21" s="29"/>
      <c r="HJD21" s="29"/>
      <c r="HJE21" s="29"/>
      <c r="HJF21" s="29"/>
      <c r="HJG21" s="29"/>
      <c r="HJH21" s="29"/>
      <c r="HJI21" s="29"/>
      <c r="HJJ21" s="29"/>
      <c r="HJK21" s="29"/>
      <c r="HJL21" s="29"/>
      <c r="HJM21" s="29"/>
      <c r="HJN21" s="29"/>
      <c r="HJO21" s="29"/>
      <c r="HJP21" s="29"/>
      <c r="HJQ21" s="29"/>
      <c r="HJR21" s="29"/>
      <c r="HJS21" s="29"/>
      <c r="HJT21" s="29"/>
      <c r="HJU21" s="29"/>
      <c r="HJV21" s="29"/>
      <c r="HJW21" s="29"/>
      <c r="HJX21" s="29"/>
      <c r="HJY21" s="29"/>
      <c r="HJZ21" s="29"/>
      <c r="HKA21" s="29"/>
      <c r="HKB21" s="29"/>
      <c r="HKC21" s="29"/>
      <c r="HKD21" s="29"/>
      <c r="HKE21" s="29"/>
      <c r="HKF21" s="29"/>
      <c r="HKG21" s="29"/>
      <c r="HKH21" s="29"/>
      <c r="HKI21" s="29"/>
      <c r="HKJ21" s="29"/>
      <c r="HKK21" s="29"/>
      <c r="HKL21" s="29"/>
      <c r="HKM21" s="29"/>
      <c r="HKN21" s="29"/>
      <c r="HKO21" s="29"/>
      <c r="HKP21" s="29"/>
      <c r="HKQ21" s="29"/>
      <c r="HKR21" s="29"/>
      <c r="HKS21" s="29"/>
      <c r="HKT21" s="29"/>
      <c r="HKU21" s="29"/>
      <c r="HKV21" s="29"/>
      <c r="HKW21" s="29"/>
      <c r="HKX21" s="29"/>
      <c r="HKY21" s="29"/>
      <c r="HKZ21" s="29"/>
      <c r="HLA21" s="29"/>
      <c r="HLB21" s="29"/>
      <c r="HLC21" s="29"/>
      <c r="HLD21" s="29"/>
      <c r="HLE21" s="29"/>
      <c r="HLF21" s="29"/>
      <c r="HLG21" s="29"/>
      <c r="HLH21" s="29"/>
      <c r="HLI21" s="29"/>
      <c r="HLJ21" s="29"/>
      <c r="HLK21" s="29"/>
      <c r="HLL21" s="29"/>
      <c r="HLM21" s="29"/>
      <c r="HLN21" s="29"/>
      <c r="HLO21" s="29"/>
      <c r="HLP21" s="29"/>
      <c r="HLQ21" s="29"/>
      <c r="HLR21" s="29"/>
      <c r="HLS21" s="29"/>
      <c r="HLT21" s="29"/>
      <c r="HLU21" s="29"/>
      <c r="HLV21" s="29"/>
      <c r="HLW21" s="29"/>
      <c r="HLX21" s="29"/>
      <c r="HLY21" s="29"/>
      <c r="HLZ21" s="29"/>
      <c r="HMA21" s="29"/>
      <c r="HMB21" s="29"/>
      <c r="HMC21" s="29"/>
      <c r="HMD21" s="29"/>
      <c r="HME21" s="29"/>
      <c r="HMF21" s="29"/>
      <c r="HMG21" s="29"/>
      <c r="HMH21" s="29"/>
      <c r="HMI21" s="29"/>
      <c r="HMJ21" s="29"/>
      <c r="HMK21" s="29"/>
      <c r="HML21" s="29"/>
      <c r="HMM21" s="29"/>
      <c r="HMN21" s="29"/>
      <c r="HMO21" s="29"/>
      <c r="HMP21" s="29"/>
      <c r="HMQ21" s="29"/>
      <c r="HMR21" s="29"/>
      <c r="HMS21" s="29"/>
      <c r="HMT21" s="29"/>
      <c r="HMU21" s="29"/>
      <c r="HMV21" s="29"/>
      <c r="HMW21" s="29"/>
      <c r="HMX21" s="29"/>
      <c r="HMY21" s="29"/>
      <c r="HMZ21" s="29"/>
      <c r="HNA21" s="29"/>
      <c r="HNB21" s="29"/>
      <c r="HNC21" s="29"/>
      <c r="HND21" s="29"/>
      <c r="HNE21" s="29"/>
      <c r="HNF21" s="29"/>
      <c r="HNG21" s="29"/>
      <c r="HNH21" s="29"/>
      <c r="HNI21" s="29"/>
      <c r="HNJ21" s="29"/>
      <c r="HNK21" s="29"/>
      <c r="HNL21" s="29"/>
      <c r="HNM21" s="29"/>
      <c r="HNN21" s="29"/>
      <c r="HNO21" s="29"/>
      <c r="HNP21" s="29"/>
      <c r="HNQ21" s="29"/>
      <c r="HNR21" s="29"/>
      <c r="HNS21" s="29"/>
      <c r="HNT21" s="29"/>
      <c r="HNU21" s="29"/>
      <c r="HNV21" s="29"/>
      <c r="HNW21" s="29"/>
      <c r="HNX21" s="29"/>
      <c r="HNY21" s="29"/>
      <c r="HNZ21" s="29"/>
      <c r="HOA21" s="29"/>
      <c r="HOB21" s="29"/>
      <c r="HOC21" s="29"/>
      <c r="HOD21" s="29"/>
      <c r="HOE21" s="29"/>
      <c r="HOF21" s="29"/>
      <c r="HOG21" s="29"/>
      <c r="HOH21" s="29"/>
      <c r="HOI21" s="29"/>
      <c r="HOJ21" s="29"/>
      <c r="HOK21" s="29"/>
      <c r="HOL21" s="29"/>
      <c r="HOM21" s="29"/>
      <c r="HON21" s="29"/>
      <c r="HOO21" s="29"/>
      <c r="HOP21" s="29"/>
      <c r="HOQ21" s="29"/>
      <c r="HOR21" s="29"/>
      <c r="HOS21" s="29"/>
      <c r="HOT21" s="29"/>
      <c r="HOU21" s="29"/>
      <c r="HOV21" s="29"/>
      <c r="HOW21" s="29"/>
      <c r="HOX21" s="29"/>
      <c r="HOY21" s="29"/>
      <c r="HOZ21" s="29"/>
      <c r="HPA21" s="29"/>
      <c r="HPB21" s="29"/>
      <c r="HPC21" s="29"/>
      <c r="HPD21" s="29"/>
      <c r="HPE21" s="29"/>
      <c r="HPF21" s="29"/>
      <c r="HPG21" s="29"/>
      <c r="HPH21" s="29"/>
      <c r="HPI21" s="29"/>
      <c r="HPJ21" s="29"/>
      <c r="HPK21" s="29"/>
      <c r="HPL21" s="29"/>
      <c r="HPM21" s="29"/>
      <c r="HPN21" s="29"/>
      <c r="HPO21" s="29"/>
      <c r="HPP21" s="29"/>
      <c r="HPQ21" s="29"/>
      <c r="HPR21" s="29"/>
      <c r="HPS21" s="29"/>
      <c r="HPT21" s="29"/>
      <c r="HPU21" s="29"/>
      <c r="HPV21" s="29"/>
      <c r="HPW21" s="29"/>
      <c r="HPX21" s="29"/>
      <c r="HPY21" s="29"/>
      <c r="HPZ21" s="29"/>
      <c r="HQA21" s="29"/>
      <c r="HQB21" s="29"/>
      <c r="HQC21" s="29"/>
      <c r="HQD21" s="29"/>
      <c r="HQE21" s="29"/>
      <c r="HQF21" s="29"/>
      <c r="HQG21" s="29"/>
      <c r="HQH21" s="29"/>
      <c r="HQI21" s="29"/>
      <c r="HQJ21" s="29"/>
      <c r="HQK21" s="29"/>
      <c r="HQL21" s="29"/>
      <c r="HQM21" s="29"/>
      <c r="HQN21" s="29"/>
      <c r="HQO21" s="29"/>
      <c r="HQP21" s="29"/>
      <c r="HQQ21" s="29"/>
      <c r="HQR21" s="29"/>
      <c r="HQS21" s="29"/>
      <c r="HQT21" s="29"/>
      <c r="HQU21" s="29"/>
      <c r="HQV21" s="29"/>
      <c r="HQW21" s="29"/>
      <c r="HQX21" s="29"/>
      <c r="HQY21" s="29"/>
      <c r="HQZ21" s="29"/>
      <c r="HRA21" s="29"/>
      <c r="HRB21" s="29"/>
      <c r="HRC21" s="29"/>
      <c r="HRD21" s="29"/>
      <c r="HRE21" s="29"/>
      <c r="HRF21" s="29"/>
      <c r="HRG21" s="29"/>
      <c r="HRH21" s="29"/>
      <c r="HRI21" s="29"/>
      <c r="HRJ21" s="29"/>
      <c r="HRK21" s="29"/>
      <c r="HRL21" s="29"/>
      <c r="HRM21" s="29"/>
      <c r="HRN21" s="29"/>
      <c r="HRO21" s="29"/>
      <c r="HRP21" s="29"/>
      <c r="HRQ21" s="29"/>
      <c r="HRR21" s="29"/>
      <c r="HRS21" s="29"/>
      <c r="HRT21" s="29"/>
      <c r="HRU21" s="29"/>
      <c r="HRV21" s="29"/>
      <c r="HRW21" s="29"/>
      <c r="HRX21" s="29"/>
      <c r="HRY21" s="29"/>
      <c r="HRZ21" s="29"/>
      <c r="HSA21" s="29"/>
      <c r="HSB21" s="29"/>
      <c r="HSC21" s="29"/>
      <c r="HSD21" s="29"/>
      <c r="HSE21" s="29"/>
      <c r="HSF21" s="29"/>
      <c r="HSG21" s="29"/>
      <c r="HSH21" s="29"/>
      <c r="HSI21" s="29"/>
      <c r="HSJ21" s="29"/>
      <c r="HSK21" s="29"/>
      <c r="HSL21" s="29"/>
      <c r="HSM21" s="29"/>
      <c r="HSN21" s="29"/>
      <c r="HSO21" s="29"/>
      <c r="HSP21" s="29"/>
      <c r="HSQ21" s="29"/>
      <c r="HSR21" s="29"/>
      <c r="HSS21" s="29"/>
      <c r="HST21" s="29"/>
      <c r="HSU21" s="29"/>
      <c r="HSV21" s="29"/>
      <c r="HSW21" s="29"/>
      <c r="HSX21" s="29"/>
      <c r="HSY21" s="29"/>
      <c r="HSZ21" s="29"/>
      <c r="HTA21" s="29"/>
      <c r="HTB21" s="29"/>
      <c r="HTC21" s="29"/>
      <c r="HTD21" s="29"/>
      <c r="HTE21" s="29"/>
      <c r="HTF21" s="29"/>
      <c r="HTG21" s="29"/>
      <c r="HTH21" s="29"/>
      <c r="HTI21" s="29"/>
      <c r="HTJ21" s="29"/>
      <c r="HTK21" s="29"/>
      <c r="HTL21" s="29"/>
      <c r="HTM21" s="29"/>
      <c r="HTN21" s="29"/>
      <c r="HTO21" s="29"/>
      <c r="HTP21" s="29"/>
      <c r="HTQ21" s="29"/>
      <c r="HTR21" s="29"/>
      <c r="HTS21" s="29"/>
      <c r="HTT21" s="29"/>
      <c r="HTU21" s="29"/>
      <c r="HTV21" s="29"/>
      <c r="HTW21" s="29"/>
      <c r="HTX21" s="29"/>
      <c r="HTY21" s="29"/>
      <c r="HTZ21" s="29"/>
      <c r="HUA21" s="29"/>
      <c r="HUB21" s="29"/>
      <c r="HUC21" s="29"/>
      <c r="HUD21" s="29"/>
      <c r="HUE21" s="29"/>
      <c r="HUF21" s="29"/>
      <c r="HUG21" s="29"/>
      <c r="HUH21" s="29"/>
      <c r="HUI21" s="29"/>
      <c r="HUJ21" s="29"/>
      <c r="HUK21" s="29"/>
      <c r="HUL21" s="29"/>
      <c r="HUM21" s="29"/>
      <c r="HUN21" s="29"/>
      <c r="HUO21" s="29"/>
      <c r="HUP21" s="29"/>
      <c r="HUQ21" s="29"/>
      <c r="HUR21" s="29"/>
      <c r="HUS21" s="29"/>
      <c r="HUT21" s="29"/>
      <c r="HUU21" s="29"/>
      <c r="HUV21" s="29"/>
      <c r="HUW21" s="29"/>
      <c r="HUX21" s="29"/>
      <c r="HUY21" s="29"/>
      <c r="HUZ21" s="29"/>
      <c r="HVA21" s="29"/>
      <c r="HVB21" s="29"/>
      <c r="HVC21" s="29"/>
      <c r="HVD21" s="29"/>
      <c r="HVE21" s="29"/>
      <c r="HVF21" s="29"/>
      <c r="HVG21" s="29"/>
      <c r="HVH21" s="29"/>
      <c r="HVI21" s="29"/>
      <c r="HVJ21" s="29"/>
      <c r="HVK21" s="29"/>
      <c r="HVL21" s="29"/>
      <c r="HVM21" s="29"/>
      <c r="HVN21" s="29"/>
      <c r="HVO21" s="29"/>
      <c r="HVP21" s="29"/>
      <c r="HVQ21" s="29"/>
      <c r="HVR21" s="29"/>
      <c r="HVS21" s="29"/>
      <c r="HVT21" s="29"/>
      <c r="HVU21" s="29"/>
      <c r="HVV21" s="29"/>
      <c r="HVW21" s="29"/>
      <c r="HVX21" s="29"/>
      <c r="HVY21" s="29"/>
      <c r="HVZ21" s="29"/>
      <c r="HWA21" s="29"/>
      <c r="HWB21" s="29"/>
      <c r="HWC21" s="29"/>
      <c r="HWD21" s="29"/>
      <c r="HWE21" s="29"/>
      <c r="HWF21" s="29"/>
      <c r="HWG21" s="29"/>
      <c r="HWH21" s="29"/>
      <c r="HWI21" s="29"/>
      <c r="HWJ21" s="29"/>
      <c r="HWK21" s="29"/>
      <c r="HWL21" s="29"/>
      <c r="HWM21" s="29"/>
      <c r="HWN21" s="29"/>
      <c r="HWO21" s="29"/>
      <c r="HWP21" s="29"/>
      <c r="HWQ21" s="29"/>
      <c r="HWR21" s="29"/>
      <c r="HWS21" s="29"/>
      <c r="HWT21" s="29"/>
      <c r="HWU21" s="29"/>
      <c r="HWV21" s="29"/>
      <c r="HWW21" s="29"/>
      <c r="HWX21" s="29"/>
      <c r="HWY21" s="29"/>
      <c r="HWZ21" s="29"/>
      <c r="HXA21" s="29"/>
      <c r="HXB21" s="29"/>
      <c r="HXC21" s="29"/>
      <c r="HXD21" s="29"/>
      <c r="HXE21" s="29"/>
      <c r="HXF21" s="29"/>
      <c r="HXG21" s="29"/>
      <c r="HXH21" s="29"/>
      <c r="HXI21" s="29"/>
      <c r="HXJ21" s="29"/>
      <c r="HXK21" s="29"/>
      <c r="HXL21" s="29"/>
      <c r="HXM21" s="29"/>
      <c r="HXN21" s="29"/>
      <c r="HXO21" s="29"/>
      <c r="HXP21" s="29"/>
      <c r="HXQ21" s="29"/>
      <c r="HXR21" s="29"/>
      <c r="HXS21" s="29"/>
      <c r="HXT21" s="29"/>
      <c r="HXU21" s="29"/>
      <c r="HXV21" s="29"/>
      <c r="HXW21" s="29"/>
      <c r="HXX21" s="29"/>
      <c r="HXY21" s="29"/>
      <c r="HXZ21" s="29"/>
      <c r="HYA21" s="29"/>
      <c r="HYB21" s="29"/>
      <c r="HYC21" s="29"/>
      <c r="HYD21" s="29"/>
      <c r="HYE21" s="29"/>
      <c r="HYF21" s="29"/>
      <c r="HYG21" s="29"/>
      <c r="HYH21" s="29"/>
      <c r="HYI21" s="29"/>
      <c r="HYJ21" s="29"/>
      <c r="HYK21" s="29"/>
      <c r="HYL21" s="29"/>
      <c r="HYM21" s="29"/>
      <c r="HYN21" s="29"/>
      <c r="HYO21" s="29"/>
      <c r="HYP21" s="29"/>
      <c r="HYQ21" s="29"/>
      <c r="HYR21" s="29"/>
      <c r="HYS21" s="29"/>
      <c r="HYT21" s="29"/>
      <c r="HYU21" s="29"/>
      <c r="HYV21" s="29"/>
      <c r="HYW21" s="29"/>
      <c r="HYX21" s="29"/>
      <c r="HYY21" s="29"/>
      <c r="HYZ21" s="29"/>
      <c r="HZA21" s="29"/>
      <c r="HZB21" s="29"/>
      <c r="HZC21" s="29"/>
      <c r="HZD21" s="29"/>
      <c r="HZE21" s="29"/>
      <c r="HZF21" s="29"/>
      <c r="HZG21" s="29"/>
      <c r="HZH21" s="29"/>
      <c r="HZI21" s="29"/>
      <c r="HZJ21" s="29"/>
      <c r="HZK21" s="29"/>
      <c r="HZL21" s="29"/>
      <c r="HZM21" s="29"/>
      <c r="HZN21" s="29"/>
      <c r="HZO21" s="29"/>
      <c r="HZP21" s="29"/>
      <c r="HZQ21" s="29"/>
      <c r="HZR21" s="29"/>
      <c r="HZS21" s="29"/>
      <c r="HZT21" s="29"/>
      <c r="HZU21" s="29"/>
      <c r="HZV21" s="29"/>
      <c r="HZW21" s="29"/>
      <c r="HZX21" s="29"/>
      <c r="HZY21" s="29"/>
      <c r="HZZ21" s="29"/>
      <c r="IAA21" s="29"/>
      <c r="IAB21" s="29"/>
      <c r="IAC21" s="29"/>
      <c r="IAD21" s="29"/>
      <c r="IAE21" s="29"/>
      <c r="IAF21" s="29"/>
      <c r="IAG21" s="29"/>
      <c r="IAH21" s="29"/>
      <c r="IAI21" s="29"/>
      <c r="IAJ21" s="29"/>
      <c r="IAK21" s="29"/>
      <c r="IAL21" s="29"/>
      <c r="IAM21" s="29"/>
      <c r="IAN21" s="29"/>
      <c r="IAO21" s="29"/>
      <c r="IAP21" s="29"/>
      <c r="IAQ21" s="29"/>
      <c r="IAR21" s="29"/>
      <c r="IAS21" s="29"/>
      <c r="IAT21" s="29"/>
      <c r="IAU21" s="29"/>
      <c r="IAV21" s="29"/>
      <c r="IAW21" s="29"/>
      <c r="IAX21" s="29"/>
      <c r="IAY21" s="29"/>
      <c r="IAZ21" s="29"/>
      <c r="IBA21" s="29"/>
      <c r="IBB21" s="29"/>
      <c r="IBC21" s="29"/>
      <c r="IBD21" s="29"/>
      <c r="IBE21" s="29"/>
      <c r="IBF21" s="29"/>
      <c r="IBG21" s="29"/>
      <c r="IBH21" s="29"/>
      <c r="IBI21" s="29"/>
      <c r="IBJ21" s="29"/>
      <c r="IBK21" s="29"/>
      <c r="IBL21" s="29"/>
      <c r="IBM21" s="29"/>
      <c r="IBN21" s="29"/>
      <c r="IBO21" s="29"/>
      <c r="IBP21" s="29"/>
      <c r="IBQ21" s="29"/>
      <c r="IBR21" s="29"/>
      <c r="IBS21" s="29"/>
      <c r="IBT21" s="29"/>
      <c r="IBU21" s="29"/>
      <c r="IBV21" s="29"/>
      <c r="IBW21" s="29"/>
      <c r="IBX21" s="29"/>
      <c r="IBY21" s="29"/>
      <c r="IBZ21" s="29"/>
      <c r="ICA21" s="29"/>
      <c r="ICB21" s="29"/>
      <c r="ICC21" s="29"/>
      <c r="ICD21" s="29"/>
      <c r="ICE21" s="29"/>
      <c r="ICF21" s="29"/>
      <c r="ICG21" s="29"/>
      <c r="ICH21" s="29"/>
      <c r="ICI21" s="29"/>
      <c r="ICJ21" s="29"/>
      <c r="ICK21" s="29"/>
      <c r="ICL21" s="29"/>
      <c r="ICM21" s="29"/>
      <c r="ICN21" s="29"/>
      <c r="ICO21" s="29"/>
      <c r="ICP21" s="29"/>
      <c r="ICQ21" s="29"/>
      <c r="ICR21" s="29"/>
      <c r="ICS21" s="29"/>
      <c r="ICT21" s="29"/>
      <c r="ICU21" s="29"/>
      <c r="ICV21" s="29"/>
      <c r="ICW21" s="29"/>
      <c r="ICX21" s="29"/>
      <c r="ICY21" s="29"/>
      <c r="ICZ21" s="29"/>
      <c r="IDA21" s="29"/>
      <c r="IDB21" s="29"/>
      <c r="IDC21" s="29"/>
      <c r="IDD21" s="29"/>
      <c r="IDE21" s="29"/>
      <c r="IDF21" s="29"/>
      <c r="IDG21" s="29"/>
      <c r="IDH21" s="29"/>
      <c r="IDI21" s="29"/>
      <c r="IDJ21" s="29"/>
      <c r="IDK21" s="29"/>
      <c r="IDL21" s="29"/>
      <c r="IDM21" s="29"/>
      <c r="IDN21" s="29"/>
      <c r="IDO21" s="29"/>
      <c r="IDP21" s="29"/>
      <c r="IDQ21" s="29"/>
      <c r="IDR21" s="29"/>
      <c r="IDS21" s="29"/>
      <c r="IDT21" s="29"/>
      <c r="IDU21" s="29"/>
      <c r="IDV21" s="29"/>
      <c r="IDW21" s="29"/>
      <c r="IDX21" s="29"/>
      <c r="IDY21" s="29"/>
      <c r="IDZ21" s="29"/>
      <c r="IEA21" s="29"/>
      <c r="IEB21" s="29"/>
      <c r="IEC21" s="29"/>
      <c r="IED21" s="29"/>
      <c r="IEE21" s="29"/>
      <c r="IEF21" s="29"/>
      <c r="IEG21" s="29"/>
      <c r="IEH21" s="29"/>
      <c r="IEI21" s="29"/>
      <c r="IEJ21" s="29"/>
      <c r="IEK21" s="29"/>
      <c r="IEL21" s="29"/>
      <c r="IEM21" s="29"/>
      <c r="IEN21" s="29"/>
      <c r="IEO21" s="29"/>
      <c r="IEP21" s="29"/>
      <c r="IEQ21" s="29"/>
      <c r="IER21" s="29"/>
      <c r="IES21" s="29"/>
      <c r="IET21" s="29"/>
      <c r="IEU21" s="29"/>
      <c r="IEV21" s="29"/>
      <c r="IEW21" s="29"/>
      <c r="IEX21" s="29"/>
      <c r="IEY21" s="29"/>
      <c r="IEZ21" s="29"/>
      <c r="IFA21" s="29"/>
      <c r="IFB21" s="29"/>
      <c r="IFC21" s="29"/>
      <c r="IFD21" s="29"/>
      <c r="IFE21" s="29"/>
      <c r="IFF21" s="29"/>
      <c r="IFG21" s="29"/>
      <c r="IFH21" s="29"/>
      <c r="IFI21" s="29"/>
      <c r="IFJ21" s="29"/>
      <c r="IFK21" s="29"/>
      <c r="IFL21" s="29"/>
      <c r="IFM21" s="29"/>
      <c r="IFN21" s="29"/>
      <c r="IFO21" s="29"/>
      <c r="IFP21" s="29"/>
      <c r="IFQ21" s="29"/>
      <c r="IFR21" s="29"/>
      <c r="IFS21" s="29"/>
      <c r="IFT21" s="29"/>
      <c r="IFU21" s="29"/>
      <c r="IFV21" s="29"/>
      <c r="IFW21" s="29"/>
      <c r="IFX21" s="29"/>
      <c r="IFY21" s="29"/>
      <c r="IFZ21" s="29"/>
      <c r="IGA21" s="29"/>
      <c r="IGB21" s="29"/>
      <c r="IGC21" s="29"/>
      <c r="IGD21" s="29"/>
      <c r="IGE21" s="29"/>
      <c r="IGF21" s="29"/>
      <c r="IGG21" s="29"/>
      <c r="IGH21" s="29"/>
      <c r="IGI21" s="29"/>
      <c r="IGJ21" s="29"/>
      <c r="IGK21" s="29"/>
      <c r="IGL21" s="29"/>
      <c r="IGM21" s="29"/>
      <c r="IGN21" s="29"/>
      <c r="IGO21" s="29"/>
      <c r="IGP21" s="29"/>
      <c r="IGQ21" s="29"/>
      <c r="IGR21" s="29"/>
      <c r="IGS21" s="29"/>
      <c r="IGT21" s="29"/>
      <c r="IGU21" s="29"/>
      <c r="IGV21" s="29"/>
      <c r="IGW21" s="29"/>
      <c r="IGX21" s="29"/>
      <c r="IGY21" s="29"/>
      <c r="IGZ21" s="29"/>
      <c r="IHA21" s="29"/>
      <c r="IHB21" s="29"/>
      <c r="IHC21" s="29"/>
      <c r="IHD21" s="29"/>
      <c r="IHE21" s="29"/>
      <c r="IHF21" s="29"/>
      <c r="IHG21" s="29"/>
      <c r="IHH21" s="29"/>
      <c r="IHI21" s="29"/>
      <c r="IHJ21" s="29"/>
      <c r="IHK21" s="29"/>
      <c r="IHL21" s="29"/>
      <c r="IHM21" s="29"/>
      <c r="IHN21" s="29"/>
      <c r="IHO21" s="29"/>
      <c r="IHP21" s="29"/>
      <c r="IHQ21" s="29"/>
      <c r="IHR21" s="29"/>
      <c r="IHS21" s="29"/>
      <c r="IHT21" s="29"/>
      <c r="IHU21" s="29"/>
      <c r="IHV21" s="29"/>
      <c r="IHW21" s="29"/>
      <c r="IHX21" s="29"/>
      <c r="IHY21" s="29"/>
      <c r="IHZ21" s="29"/>
      <c r="IIA21" s="29"/>
      <c r="IIB21" s="29"/>
      <c r="IIC21" s="29"/>
      <c r="IID21" s="29"/>
      <c r="IIE21" s="29"/>
      <c r="IIF21" s="29"/>
      <c r="IIG21" s="29"/>
      <c r="IIH21" s="29"/>
      <c r="III21" s="29"/>
      <c r="IIJ21" s="29"/>
      <c r="IIK21" s="29"/>
      <c r="IIL21" s="29"/>
      <c r="IIM21" s="29"/>
      <c r="IIN21" s="29"/>
      <c r="IIO21" s="29"/>
      <c r="IIP21" s="29"/>
      <c r="IIQ21" s="29"/>
      <c r="IIR21" s="29"/>
      <c r="IIS21" s="29"/>
      <c r="IIT21" s="29"/>
      <c r="IIU21" s="29"/>
      <c r="IIV21" s="29"/>
      <c r="IIW21" s="29"/>
      <c r="IIX21" s="29"/>
      <c r="IIY21" s="29"/>
      <c r="IIZ21" s="29"/>
      <c r="IJA21" s="29"/>
      <c r="IJB21" s="29"/>
      <c r="IJC21" s="29"/>
      <c r="IJD21" s="29"/>
      <c r="IJE21" s="29"/>
      <c r="IJF21" s="29"/>
      <c r="IJG21" s="29"/>
      <c r="IJH21" s="29"/>
      <c r="IJI21" s="29"/>
      <c r="IJJ21" s="29"/>
      <c r="IJK21" s="29"/>
      <c r="IJL21" s="29"/>
      <c r="IJM21" s="29"/>
      <c r="IJN21" s="29"/>
      <c r="IJO21" s="29"/>
      <c r="IJP21" s="29"/>
      <c r="IJQ21" s="29"/>
      <c r="IJR21" s="29"/>
      <c r="IJS21" s="29"/>
      <c r="IJT21" s="29"/>
      <c r="IJU21" s="29"/>
      <c r="IJV21" s="29"/>
      <c r="IJW21" s="29"/>
      <c r="IJX21" s="29"/>
      <c r="IJY21" s="29"/>
      <c r="IJZ21" s="29"/>
      <c r="IKA21" s="29"/>
      <c r="IKB21" s="29"/>
      <c r="IKC21" s="29"/>
      <c r="IKD21" s="29"/>
      <c r="IKE21" s="29"/>
      <c r="IKF21" s="29"/>
      <c r="IKG21" s="29"/>
      <c r="IKH21" s="29"/>
      <c r="IKI21" s="29"/>
      <c r="IKJ21" s="29"/>
      <c r="IKK21" s="29"/>
      <c r="IKL21" s="29"/>
      <c r="IKM21" s="29"/>
      <c r="IKN21" s="29"/>
      <c r="IKO21" s="29"/>
      <c r="IKP21" s="29"/>
      <c r="IKQ21" s="29"/>
      <c r="IKR21" s="29"/>
      <c r="IKS21" s="29"/>
      <c r="IKT21" s="29"/>
      <c r="IKU21" s="29"/>
      <c r="IKV21" s="29"/>
      <c r="IKW21" s="29"/>
      <c r="IKX21" s="29"/>
      <c r="IKY21" s="29"/>
      <c r="IKZ21" s="29"/>
      <c r="ILA21" s="29"/>
      <c r="ILB21" s="29"/>
      <c r="ILC21" s="29"/>
      <c r="ILD21" s="29"/>
      <c r="ILE21" s="29"/>
      <c r="ILF21" s="29"/>
      <c r="ILG21" s="29"/>
      <c r="ILH21" s="29"/>
      <c r="ILI21" s="29"/>
      <c r="ILJ21" s="29"/>
      <c r="ILK21" s="29"/>
      <c r="ILL21" s="29"/>
      <c r="ILM21" s="29"/>
      <c r="ILN21" s="29"/>
      <c r="ILO21" s="29"/>
      <c r="ILP21" s="29"/>
      <c r="ILQ21" s="29"/>
      <c r="ILR21" s="29"/>
      <c r="ILS21" s="29"/>
      <c r="ILT21" s="29"/>
      <c r="ILU21" s="29"/>
      <c r="ILV21" s="29"/>
      <c r="ILW21" s="29"/>
      <c r="ILX21" s="29"/>
      <c r="ILY21" s="29"/>
      <c r="ILZ21" s="29"/>
      <c r="IMA21" s="29"/>
      <c r="IMB21" s="29"/>
      <c r="IMC21" s="29"/>
      <c r="IMD21" s="29"/>
      <c r="IME21" s="29"/>
      <c r="IMF21" s="29"/>
      <c r="IMG21" s="29"/>
      <c r="IMH21" s="29"/>
      <c r="IMI21" s="29"/>
      <c r="IMJ21" s="29"/>
      <c r="IMK21" s="29"/>
      <c r="IML21" s="29"/>
      <c r="IMM21" s="29"/>
      <c r="IMN21" s="29"/>
      <c r="IMO21" s="29"/>
      <c r="IMP21" s="29"/>
      <c r="IMQ21" s="29"/>
      <c r="IMR21" s="29"/>
      <c r="IMS21" s="29"/>
      <c r="IMT21" s="29"/>
      <c r="IMU21" s="29"/>
      <c r="IMV21" s="29"/>
      <c r="IMW21" s="29"/>
      <c r="IMX21" s="29"/>
      <c r="IMY21" s="29"/>
      <c r="IMZ21" s="29"/>
      <c r="INA21" s="29"/>
      <c r="INB21" s="29"/>
      <c r="INC21" s="29"/>
      <c r="IND21" s="29"/>
      <c r="INE21" s="29"/>
      <c r="INF21" s="29"/>
      <c r="ING21" s="29"/>
      <c r="INH21" s="29"/>
      <c r="INI21" s="29"/>
      <c r="INJ21" s="29"/>
      <c r="INK21" s="29"/>
      <c r="INL21" s="29"/>
      <c r="INM21" s="29"/>
      <c r="INN21" s="29"/>
      <c r="INO21" s="29"/>
      <c r="INP21" s="29"/>
      <c r="INQ21" s="29"/>
      <c r="INR21" s="29"/>
      <c r="INS21" s="29"/>
      <c r="INT21" s="29"/>
      <c r="INU21" s="29"/>
      <c r="INV21" s="29"/>
      <c r="INW21" s="29"/>
      <c r="INX21" s="29"/>
      <c r="INY21" s="29"/>
      <c r="INZ21" s="29"/>
      <c r="IOA21" s="29"/>
      <c r="IOB21" s="29"/>
      <c r="IOC21" s="29"/>
      <c r="IOD21" s="29"/>
      <c r="IOE21" s="29"/>
      <c r="IOF21" s="29"/>
      <c r="IOG21" s="29"/>
      <c r="IOH21" s="29"/>
      <c r="IOI21" s="29"/>
      <c r="IOJ21" s="29"/>
      <c r="IOK21" s="29"/>
      <c r="IOL21" s="29"/>
      <c r="IOM21" s="29"/>
      <c r="ION21" s="29"/>
      <c r="IOO21" s="29"/>
      <c r="IOP21" s="29"/>
      <c r="IOQ21" s="29"/>
      <c r="IOR21" s="29"/>
      <c r="IOS21" s="29"/>
      <c r="IOT21" s="29"/>
      <c r="IOU21" s="29"/>
      <c r="IOV21" s="29"/>
      <c r="IOW21" s="29"/>
      <c r="IOX21" s="29"/>
      <c r="IOY21" s="29"/>
      <c r="IOZ21" s="29"/>
      <c r="IPA21" s="29"/>
      <c r="IPB21" s="29"/>
      <c r="IPC21" s="29"/>
      <c r="IPD21" s="29"/>
      <c r="IPE21" s="29"/>
      <c r="IPF21" s="29"/>
      <c r="IPG21" s="29"/>
      <c r="IPH21" s="29"/>
      <c r="IPI21" s="29"/>
      <c r="IPJ21" s="29"/>
      <c r="IPK21" s="29"/>
      <c r="IPL21" s="29"/>
      <c r="IPM21" s="29"/>
      <c r="IPN21" s="29"/>
      <c r="IPO21" s="29"/>
      <c r="IPP21" s="29"/>
      <c r="IPQ21" s="29"/>
      <c r="IPR21" s="29"/>
      <c r="IPS21" s="29"/>
      <c r="IPT21" s="29"/>
      <c r="IPU21" s="29"/>
      <c r="IPV21" s="29"/>
      <c r="IPW21" s="29"/>
      <c r="IPX21" s="29"/>
      <c r="IPY21" s="29"/>
      <c r="IPZ21" s="29"/>
      <c r="IQA21" s="29"/>
      <c r="IQB21" s="29"/>
      <c r="IQC21" s="29"/>
      <c r="IQD21" s="29"/>
      <c r="IQE21" s="29"/>
      <c r="IQF21" s="29"/>
      <c r="IQG21" s="29"/>
      <c r="IQH21" s="29"/>
      <c r="IQI21" s="29"/>
      <c r="IQJ21" s="29"/>
      <c r="IQK21" s="29"/>
      <c r="IQL21" s="29"/>
      <c r="IQM21" s="29"/>
      <c r="IQN21" s="29"/>
      <c r="IQO21" s="29"/>
      <c r="IQP21" s="29"/>
      <c r="IQQ21" s="29"/>
      <c r="IQR21" s="29"/>
      <c r="IQS21" s="29"/>
      <c r="IQT21" s="29"/>
      <c r="IQU21" s="29"/>
      <c r="IQV21" s="29"/>
      <c r="IQW21" s="29"/>
      <c r="IQX21" s="29"/>
      <c r="IQY21" s="29"/>
      <c r="IQZ21" s="29"/>
      <c r="IRA21" s="29"/>
      <c r="IRB21" s="29"/>
      <c r="IRC21" s="29"/>
      <c r="IRD21" s="29"/>
      <c r="IRE21" s="29"/>
      <c r="IRF21" s="29"/>
      <c r="IRG21" s="29"/>
      <c r="IRH21" s="29"/>
      <c r="IRI21" s="29"/>
      <c r="IRJ21" s="29"/>
      <c r="IRK21" s="29"/>
      <c r="IRL21" s="29"/>
      <c r="IRM21" s="29"/>
      <c r="IRN21" s="29"/>
      <c r="IRO21" s="29"/>
      <c r="IRP21" s="29"/>
      <c r="IRQ21" s="29"/>
      <c r="IRR21" s="29"/>
      <c r="IRS21" s="29"/>
      <c r="IRT21" s="29"/>
      <c r="IRU21" s="29"/>
      <c r="IRV21" s="29"/>
      <c r="IRW21" s="29"/>
      <c r="IRX21" s="29"/>
      <c r="IRY21" s="29"/>
      <c r="IRZ21" s="29"/>
      <c r="ISA21" s="29"/>
      <c r="ISB21" s="29"/>
      <c r="ISC21" s="29"/>
      <c r="ISD21" s="29"/>
      <c r="ISE21" s="29"/>
      <c r="ISF21" s="29"/>
      <c r="ISG21" s="29"/>
      <c r="ISH21" s="29"/>
      <c r="ISI21" s="29"/>
      <c r="ISJ21" s="29"/>
      <c r="ISK21" s="29"/>
      <c r="ISL21" s="29"/>
      <c r="ISM21" s="29"/>
      <c r="ISN21" s="29"/>
      <c r="ISO21" s="29"/>
      <c r="ISP21" s="29"/>
      <c r="ISQ21" s="29"/>
      <c r="ISR21" s="29"/>
      <c r="ISS21" s="29"/>
      <c r="IST21" s="29"/>
      <c r="ISU21" s="29"/>
      <c r="ISV21" s="29"/>
      <c r="ISW21" s="29"/>
      <c r="ISX21" s="29"/>
      <c r="ISY21" s="29"/>
      <c r="ISZ21" s="29"/>
      <c r="ITA21" s="29"/>
      <c r="ITB21" s="29"/>
      <c r="ITC21" s="29"/>
      <c r="ITD21" s="29"/>
      <c r="ITE21" s="29"/>
      <c r="ITF21" s="29"/>
      <c r="ITG21" s="29"/>
      <c r="ITH21" s="29"/>
      <c r="ITI21" s="29"/>
      <c r="ITJ21" s="29"/>
      <c r="ITK21" s="29"/>
      <c r="ITL21" s="29"/>
      <c r="ITM21" s="29"/>
      <c r="ITN21" s="29"/>
      <c r="ITO21" s="29"/>
      <c r="ITP21" s="29"/>
      <c r="ITQ21" s="29"/>
      <c r="ITR21" s="29"/>
      <c r="ITS21" s="29"/>
      <c r="ITT21" s="29"/>
      <c r="ITU21" s="29"/>
      <c r="ITV21" s="29"/>
      <c r="ITW21" s="29"/>
      <c r="ITX21" s="29"/>
      <c r="ITY21" s="29"/>
      <c r="ITZ21" s="29"/>
      <c r="IUA21" s="29"/>
      <c r="IUB21" s="29"/>
      <c r="IUC21" s="29"/>
      <c r="IUD21" s="29"/>
      <c r="IUE21" s="29"/>
      <c r="IUF21" s="29"/>
      <c r="IUG21" s="29"/>
      <c r="IUH21" s="29"/>
      <c r="IUI21" s="29"/>
      <c r="IUJ21" s="29"/>
      <c r="IUK21" s="29"/>
      <c r="IUL21" s="29"/>
      <c r="IUM21" s="29"/>
      <c r="IUN21" s="29"/>
      <c r="IUO21" s="29"/>
      <c r="IUP21" s="29"/>
      <c r="IUQ21" s="29"/>
      <c r="IUR21" s="29"/>
      <c r="IUS21" s="29"/>
      <c r="IUT21" s="29"/>
      <c r="IUU21" s="29"/>
      <c r="IUV21" s="29"/>
      <c r="IUW21" s="29"/>
      <c r="IUX21" s="29"/>
      <c r="IUY21" s="29"/>
      <c r="IUZ21" s="29"/>
      <c r="IVA21" s="29"/>
      <c r="IVB21" s="29"/>
      <c r="IVC21" s="29"/>
      <c r="IVD21" s="29"/>
      <c r="IVE21" s="29"/>
      <c r="IVF21" s="29"/>
      <c r="IVG21" s="29"/>
      <c r="IVH21" s="29"/>
      <c r="IVI21" s="29"/>
      <c r="IVJ21" s="29"/>
      <c r="IVK21" s="29"/>
      <c r="IVL21" s="29"/>
      <c r="IVM21" s="29"/>
      <c r="IVN21" s="29"/>
      <c r="IVO21" s="29"/>
      <c r="IVP21" s="29"/>
      <c r="IVQ21" s="29"/>
      <c r="IVR21" s="29"/>
      <c r="IVS21" s="29"/>
      <c r="IVT21" s="29"/>
      <c r="IVU21" s="29"/>
      <c r="IVV21" s="29"/>
      <c r="IVW21" s="29"/>
      <c r="IVX21" s="29"/>
      <c r="IVY21" s="29"/>
      <c r="IVZ21" s="29"/>
      <c r="IWA21" s="29"/>
      <c r="IWB21" s="29"/>
      <c r="IWC21" s="29"/>
      <c r="IWD21" s="29"/>
      <c r="IWE21" s="29"/>
      <c r="IWF21" s="29"/>
      <c r="IWG21" s="29"/>
      <c r="IWH21" s="29"/>
      <c r="IWI21" s="29"/>
      <c r="IWJ21" s="29"/>
      <c r="IWK21" s="29"/>
      <c r="IWL21" s="29"/>
      <c r="IWM21" s="29"/>
      <c r="IWN21" s="29"/>
      <c r="IWO21" s="29"/>
      <c r="IWP21" s="29"/>
      <c r="IWQ21" s="29"/>
      <c r="IWR21" s="29"/>
      <c r="IWS21" s="29"/>
      <c r="IWT21" s="29"/>
      <c r="IWU21" s="29"/>
      <c r="IWV21" s="29"/>
      <c r="IWW21" s="29"/>
      <c r="IWX21" s="29"/>
      <c r="IWY21" s="29"/>
      <c r="IWZ21" s="29"/>
      <c r="IXA21" s="29"/>
      <c r="IXB21" s="29"/>
      <c r="IXC21" s="29"/>
      <c r="IXD21" s="29"/>
      <c r="IXE21" s="29"/>
      <c r="IXF21" s="29"/>
      <c r="IXG21" s="29"/>
      <c r="IXH21" s="29"/>
      <c r="IXI21" s="29"/>
      <c r="IXJ21" s="29"/>
      <c r="IXK21" s="29"/>
      <c r="IXL21" s="29"/>
      <c r="IXM21" s="29"/>
      <c r="IXN21" s="29"/>
      <c r="IXO21" s="29"/>
      <c r="IXP21" s="29"/>
      <c r="IXQ21" s="29"/>
      <c r="IXR21" s="29"/>
      <c r="IXS21" s="29"/>
      <c r="IXT21" s="29"/>
      <c r="IXU21" s="29"/>
      <c r="IXV21" s="29"/>
      <c r="IXW21" s="29"/>
      <c r="IXX21" s="29"/>
      <c r="IXY21" s="29"/>
      <c r="IXZ21" s="29"/>
      <c r="IYA21" s="29"/>
      <c r="IYB21" s="29"/>
      <c r="IYC21" s="29"/>
      <c r="IYD21" s="29"/>
      <c r="IYE21" s="29"/>
      <c r="IYF21" s="29"/>
      <c r="IYG21" s="29"/>
      <c r="IYH21" s="29"/>
      <c r="IYI21" s="29"/>
      <c r="IYJ21" s="29"/>
      <c r="IYK21" s="29"/>
      <c r="IYL21" s="29"/>
      <c r="IYM21" s="29"/>
      <c r="IYN21" s="29"/>
      <c r="IYO21" s="29"/>
      <c r="IYP21" s="29"/>
      <c r="IYQ21" s="29"/>
      <c r="IYR21" s="29"/>
      <c r="IYS21" s="29"/>
      <c r="IYT21" s="29"/>
      <c r="IYU21" s="29"/>
      <c r="IYV21" s="29"/>
      <c r="IYW21" s="29"/>
      <c r="IYX21" s="29"/>
      <c r="IYY21" s="29"/>
      <c r="IYZ21" s="29"/>
      <c r="IZA21" s="29"/>
      <c r="IZB21" s="29"/>
      <c r="IZC21" s="29"/>
      <c r="IZD21" s="29"/>
      <c r="IZE21" s="29"/>
      <c r="IZF21" s="29"/>
      <c r="IZG21" s="29"/>
      <c r="IZH21" s="29"/>
      <c r="IZI21" s="29"/>
      <c r="IZJ21" s="29"/>
      <c r="IZK21" s="29"/>
      <c r="IZL21" s="29"/>
      <c r="IZM21" s="29"/>
      <c r="IZN21" s="29"/>
      <c r="IZO21" s="29"/>
      <c r="IZP21" s="29"/>
      <c r="IZQ21" s="29"/>
      <c r="IZR21" s="29"/>
      <c r="IZS21" s="29"/>
      <c r="IZT21" s="29"/>
      <c r="IZU21" s="29"/>
      <c r="IZV21" s="29"/>
      <c r="IZW21" s="29"/>
      <c r="IZX21" s="29"/>
      <c r="IZY21" s="29"/>
      <c r="IZZ21" s="29"/>
      <c r="JAA21" s="29"/>
      <c r="JAB21" s="29"/>
      <c r="JAC21" s="29"/>
      <c r="JAD21" s="29"/>
      <c r="JAE21" s="29"/>
      <c r="JAF21" s="29"/>
      <c r="JAG21" s="29"/>
      <c r="JAH21" s="29"/>
      <c r="JAI21" s="29"/>
      <c r="JAJ21" s="29"/>
      <c r="JAK21" s="29"/>
      <c r="JAL21" s="29"/>
      <c r="JAM21" s="29"/>
      <c r="JAN21" s="29"/>
      <c r="JAO21" s="29"/>
      <c r="JAP21" s="29"/>
      <c r="JAQ21" s="29"/>
      <c r="JAR21" s="29"/>
      <c r="JAS21" s="29"/>
      <c r="JAT21" s="29"/>
      <c r="JAU21" s="29"/>
      <c r="JAV21" s="29"/>
      <c r="JAW21" s="29"/>
      <c r="JAX21" s="29"/>
      <c r="JAY21" s="29"/>
      <c r="JAZ21" s="29"/>
      <c r="JBA21" s="29"/>
      <c r="JBB21" s="29"/>
      <c r="JBC21" s="29"/>
      <c r="JBD21" s="29"/>
      <c r="JBE21" s="29"/>
      <c r="JBF21" s="29"/>
      <c r="JBG21" s="29"/>
      <c r="JBH21" s="29"/>
      <c r="JBI21" s="29"/>
      <c r="JBJ21" s="29"/>
      <c r="JBK21" s="29"/>
      <c r="JBL21" s="29"/>
      <c r="JBM21" s="29"/>
      <c r="JBN21" s="29"/>
      <c r="JBO21" s="29"/>
      <c r="JBP21" s="29"/>
      <c r="JBQ21" s="29"/>
      <c r="JBR21" s="29"/>
      <c r="JBS21" s="29"/>
      <c r="JBT21" s="29"/>
      <c r="JBU21" s="29"/>
      <c r="JBV21" s="29"/>
      <c r="JBW21" s="29"/>
      <c r="JBX21" s="29"/>
      <c r="JBY21" s="29"/>
      <c r="JBZ21" s="29"/>
      <c r="JCA21" s="29"/>
      <c r="JCB21" s="29"/>
      <c r="JCC21" s="29"/>
      <c r="JCD21" s="29"/>
      <c r="JCE21" s="29"/>
      <c r="JCF21" s="29"/>
      <c r="JCG21" s="29"/>
      <c r="JCH21" s="29"/>
      <c r="JCI21" s="29"/>
      <c r="JCJ21" s="29"/>
      <c r="JCK21" s="29"/>
      <c r="JCL21" s="29"/>
      <c r="JCM21" s="29"/>
      <c r="JCN21" s="29"/>
      <c r="JCO21" s="29"/>
      <c r="JCP21" s="29"/>
      <c r="JCQ21" s="29"/>
      <c r="JCR21" s="29"/>
      <c r="JCS21" s="29"/>
      <c r="JCT21" s="29"/>
      <c r="JCU21" s="29"/>
      <c r="JCV21" s="29"/>
      <c r="JCW21" s="29"/>
      <c r="JCX21" s="29"/>
      <c r="JCY21" s="29"/>
      <c r="JCZ21" s="29"/>
      <c r="JDA21" s="29"/>
      <c r="JDB21" s="29"/>
      <c r="JDC21" s="29"/>
      <c r="JDD21" s="29"/>
      <c r="JDE21" s="29"/>
      <c r="JDF21" s="29"/>
      <c r="JDG21" s="29"/>
      <c r="JDH21" s="29"/>
      <c r="JDI21" s="29"/>
      <c r="JDJ21" s="29"/>
      <c r="JDK21" s="29"/>
      <c r="JDL21" s="29"/>
      <c r="JDM21" s="29"/>
      <c r="JDN21" s="29"/>
      <c r="JDO21" s="29"/>
      <c r="JDP21" s="29"/>
      <c r="JDQ21" s="29"/>
      <c r="JDR21" s="29"/>
      <c r="JDS21" s="29"/>
      <c r="JDT21" s="29"/>
      <c r="JDU21" s="29"/>
      <c r="JDV21" s="29"/>
      <c r="JDW21" s="29"/>
      <c r="JDX21" s="29"/>
      <c r="JDY21" s="29"/>
      <c r="JDZ21" s="29"/>
      <c r="JEA21" s="29"/>
      <c r="JEB21" s="29"/>
      <c r="JEC21" s="29"/>
      <c r="JED21" s="29"/>
      <c r="JEE21" s="29"/>
      <c r="JEF21" s="29"/>
      <c r="JEG21" s="29"/>
      <c r="JEH21" s="29"/>
      <c r="JEI21" s="29"/>
      <c r="JEJ21" s="29"/>
      <c r="JEK21" s="29"/>
      <c r="JEL21" s="29"/>
      <c r="JEM21" s="29"/>
      <c r="JEN21" s="29"/>
      <c r="JEO21" s="29"/>
      <c r="JEP21" s="29"/>
      <c r="JEQ21" s="29"/>
      <c r="JER21" s="29"/>
      <c r="JES21" s="29"/>
      <c r="JET21" s="29"/>
      <c r="JEU21" s="29"/>
      <c r="JEV21" s="29"/>
      <c r="JEW21" s="29"/>
      <c r="JEX21" s="29"/>
      <c r="JEY21" s="29"/>
      <c r="JEZ21" s="29"/>
      <c r="JFA21" s="29"/>
      <c r="JFB21" s="29"/>
      <c r="JFC21" s="29"/>
      <c r="JFD21" s="29"/>
      <c r="JFE21" s="29"/>
      <c r="JFF21" s="29"/>
      <c r="JFG21" s="29"/>
      <c r="JFH21" s="29"/>
      <c r="JFI21" s="29"/>
      <c r="JFJ21" s="29"/>
      <c r="JFK21" s="29"/>
      <c r="JFL21" s="29"/>
      <c r="JFM21" s="29"/>
      <c r="JFN21" s="29"/>
      <c r="JFO21" s="29"/>
      <c r="JFP21" s="29"/>
      <c r="JFQ21" s="29"/>
      <c r="JFR21" s="29"/>
      <c r="JFS21" s="29"/>
      <c r="JFT21" s="29"/>
      <c r="JFU21" s="29"/>
      <c r="JFV21" s="29"/>
      <c r="JFW21" s="29"/>
      <c r="JFX21" s="29"/>
      <c r="JFY21" s="29"/>
      <c r="JFZ21" s="29"/>
      <c r="JGA21" s="29"/>
      <c r="JGB21" s="29"/>
      <c r="JGC21" s="29"/>
      <c r="JGD21" s="29"/>
      <c r="JGE21" s="29"/>
      <c r="JGF21" s="29"/>
      <c r="JGG21" s="29"/>
      <c r="JGH21" s="29"/>
      <c r="JGI21" s="29"/>
      <c r="JGJ21" s="29"/>
      <c r="JGK21" s="29"/>
      <c r="JGL21" s="29"/>
      <c r="JGM21" s="29"/>
      <c r="JGN21" s="29"/>
      <c r="JGO21" s="29"/>
      <c r="JGP21" s="29"/>
      <c r="JGQ21" s="29"/>
      <c r="JGR21" s="29"/>
      <c r="JGS21" s="29"/>
      <c r="JGT21" s="29"/>
      <c r="JGU21" s="29"/>
      <c r="JGV21" s="29"/>
      <c r="JGW21" s="29"/>
      <c r="JGX21" s="29"/>
      <c r="JGY21" s="29"/>
      <c r="JGZ21" s="29"/>
      <c r="JHA21" s="29"/>
      <c r="JHB21" s="29"/>
      <c r="JHC21" s="29"/>
      <c r="JHD21" s="29"/>
      <c r="JHE21" s="29"/>
      <c r="JHF21" s="29"/>
      <c r="JHG21" s="29"/>
      <c r="JHH21" s="29"/>
      <c r="JHI21" s="29"/>
      <c r="JHJ21" s="29"/>
      <c r="JHK21" s="29"/>
      <c r="JHL21" s="29"/>
      <c r="JHM21" s="29"/>
      <c r="JHN21" s="29"/>
      <c r="JHO21" s="29"/>
      <c r="JHP21" s="29"/>
      <c r="JHQ21" s="29"/>
      <c r="JHR21" s="29"/>
      <c r="JHS21" s="29"/>
      <c r="JHT21" s="29"/>
      <c r="JHU21" s="29"/>
      <c r="JHV21" s="29"/>
      <c r="JHW21" s="29"/>
      <c r="JHX21" s="29"/>
      <c r="JHY21" s="29"/>
      <c r="JHZ21" s="29"/>
      <c r="JIA21" s="29"/>
      <c r="JIB21" s="29"/>
      <c r="JIC21" s="29"/>
      <c r="JID21" s="29"/>
      <c r="JIE21" s="29"/>
      <c r="JIF21" s="29"/>
      <c r="JIG21" s="29"/>
      <c r="JIH21" s="29"/>
      <c r="JII21" s="29"/>
      <c r="JIJ21" s="29"/>
      <c r="JIK21" s="29"/>
      <c r="JIL21" s="29"/>
      <c r="JIM21" s="29"/>
      <c r="JIN21" s="29"/>
      <c r="JIO21" s="29"/>
      <c r="JIP21" s="29"/>
      <c r="JIQ21" s="29"/>
      <c r="JIR21" s="29"/>
      <c r="JIS21" s="29"/>
      <c r="JIT21" s="29"/>
      <c r="JIU21" s="29"/>
      <c r="JIV21" s="29"/>
      <c r="JIW21" s="29"/>
      <c r="JIX21" s="29"/>
      <c r="JIY21" s="29"/>
      <c r="JIZ21" s="29"/>
      <c r="JJA21" s="29"/>
      <c r="JJB21" s="29"/>
      <c r="JJC21" s="29"/>
      <c r="JJD21" s="29"/>
      <c r="JJE21" s="29"/>
      <c r="JJF21" s="29"/>
      <c r="JJG21" s="29"/>
      <c r="JJH21" s="29"/>
      <c r="JJI21" s="29"/>
      <c r="JJJ21" s="29"/>
      <c r="JJK21" s="29"/>
      <c r="JJL21" s="29"/>
      <c r="JJM21" s="29"/>
      <c r="JJN21" s="29"/>
      <c r="JJO21" s="29"/>
      <c r="JJP21" s="29"/>
      <c r="JJQ21" s="29"/>
      <c r="JJR21" s="29"/>
      <c r="JJS21" s="29"/>
      <c r="JJT21" s="29"/>
      <c r="JJU21" s="29"/>
      <c r="JJV21" s="29"/>
      <c r="JJW21" s="29"/>
      <c r="JJX21" s="29"/>
      <c r="JJY21" s="29"/>
      <c r="JJZ21" s="29"/>
      <c r="JKA21" s="29"/>
      <c r="JKB21" s="29"/>
      <c r="JKC21" s="29"/>
      <c r="JKD21" s="29"/>
      <c r="JKE21" s="29"/>
      <c r="JKF21" s="29"/>
      <c r="JKG21" s="29"/>
      <c r="JKH21" s="29"/>
      <c r="JKI21" s="29"/>
      <c r="JKJ21" s="29"/>
      <c r="JKK21" s="29"/>
      <c r="JKL21" s="29"/>
      <c r="JKM21" s="29"/>
      <c r="JKN21" s="29"/>
      <c r="JKO21" s="29"/>
      <c r="JKP21" s="29"/>
      <c r="JKQ21" s="29"/>
      <c r="JKR21" s="29"/>
      <c r="JKS21" s="29"/>
      <c r="JKT21" s="29"/>
      <c r="JKU21" s="29"/>
      <c r="JKV21" s="29"/>
      <c r="JKW21" s="29"/>
      <c r="JKX21" s="29"/>
      <c r="JKY21" s="29"/>
      <c r="JKZ21" s="29"/>
      <c r="JLA21" s="29"/>
      <c r="JLB21" s="29"/>
      <c r="JLC21" s="29"/>
      <c r="JLD21" s="29"/>
      <c r="JLE21" s="29"/>
      <c r="JLF21" s="29"/>
      <c r="JLG21" s="29"/>
      <c r="JLH21" s="29"/>
      <c r="JLI21" s="29"/>
      <c r="JLJ21" s="29"/>
      <c r="JLK21" s="29"/>
      <c r="JLL21" s="29"/>
      <c r="JLM21" s="29"/>
      <c r="JLN21" s="29"/>
      <c r="JLO21" s="29"/>
      <c r="JLP21" s="29"/>
      <c r="JLQ21" s="29"/>
      <c r="JLR21" s="29"/>
      <c r="JLS21" s="29"/>
      <c r="JLT21" s="29"/>
      <c r="JLU21" s="29"/>
      <c r="JLV21" s="29"/>
      <c r="JLW21" s="29"/>
      <c r="JLX21" s="29"/>
      <c r="JLY21" s="29"/>
      <c r="JLZ21" s="29"/>
      <c r="JMA21" s="29"/>
      <c r="JMB21" s="29"/>
      <c r="JMC21" s="29"/>
      <c r="JMD21" s="29"/>
      <c r="JME21" s="29"/>
      <c r="JMF21" s="29"/>
      <c r="JMG21" s="29"/>
      <c r="JMH21" s="29"/>
      <c r="JMI21" s="29"/>
      <c r="JMJ21" s="29"/>
      <c r="JMK21" s="29"/>
      <c r="JML21" s="29"/>
      <c r="JMM21" s="29"/>
      <c r="JMN21" s="29"/>
      <c r="JMO21" s="29"/>
      <c r="JMP21" s="29"/>
      <c r="JMQ21" s="29"/>
      <c r="JMR21" s="29"/>
      <c r="JMS21" s="29"/>
      <c r="JMT21" s="29"/>
      <c r="JMU21" s="29"/>
      <c r="JMV21" s="29"/>
      <c r="JMW21" s="29"/>
      <c r="JMX21" s="29"/>
      <c r="JMY21" s="29"/>
      <c r="JMZ21" s="29"/>
      <c r="JNA21" s="29"/>
      <c r="JNB21" s="29"/>
      <c r="JNC21" s="29"/>
      <c r="JND21" s="29"/>
      <c r="JNE21" s="29"/>
      <c r="JNF21" s="29"/>
      <c r="JNG21" s="29"/>
      <c r="JNH21" s="29"/>
      <c r="JNI21" s="29"/>
      <c r="JNJ21" s="29"/>
      <c r="JNK21" s="29"/>
      <c r="JNL21" s="29"/>
      <c r="JNM21" s="29"/>
      <c r="JNN21" s="29"/>
      <c r="JNO21" s="29"/>
      <c r="JNP21" s="29"/>
      <c r="JNQ21" s="29"/>
      <c r="JNR21" s="29"/>
      <c r="JNS21" s="29"/>
      <c r="JNT21" s="29"/>
      <c r="JNU21" s="29"/>
      <c r="JNV21" s="29"/>
      <c r="JNW21" s="29"/>
      <c r="JNX21" s="29"/>
      <c r="JNY21" s="29"/>
      <c r="JNZ21" s="29"/>
      <c r="JOA21" s="29"/>
      <c r="JOB21" s="29"/>
      <c r="JOC21" s="29"/>
      <c r="JOD21" s="29"/>
      <c r="JOE21" s="29"/>
      <c r="JOF21" s="29"/>
      <c r="JOG21" s="29"/>
      <c r="JOH21" s="29"/>
      <c r="JOI21" s="29"/>
      <c r="JOJ21" s="29"/>
      <c r="JOK21" s="29"/>
      <c r="JOL21" s="29"/>
      <c r="JOM21" s="29"/>
      <c r="JON21" s="29"/>
      <c r="JOO21" s="29"/>
      <c r="JOP21" s="29"/>
      <c r="JOQ21" s="29"/>
      <c r="JOR21" s="29"/>
      <c r="JOS21" s="29"/>
      <c r="JOT21" s="29"/>
      <c r="JOU21" s="29"/>
      <c r="JOV21" s="29"/>
      <c r="JOW21" s="29"/>
      <c r="JOX21" s="29"/>
      <c r="JOY21" s="29"/>
      <c r="JOZ21" s="29"/>
      <c r="JPA21" s="29"/>
      <c r="JPB21" s="29"/>
      <c r="JPC21" s="29"/>
      <c r="JPD21" s="29"/>
      <c r="JPE21" s="29"/>
      <c r="JPF21" s="29"/>
      <c r="JPG21" s="29"/>
      <c r="JPH21" s="29"/>
      <c r="JPI21" s="29"/>
      <c r="JPJ21" s="29"/>
      <c r="JPK21" s="29"/>
      <c r="JPL21" s="29"/>
      <c r="JPM21" s="29"/>
      <c r="JPN21" s="29"/>
      <c r="JPO21" s="29"/>
      <c r="JPP21" s="29"/>
      <c r="JPQ21" s="29"/>
      <c r="JPR21" s="29"/>
      <c r="JPS21" s="29"/>
      <c r="JPT21" s="29"/>
      <c r="JPU21" s="29"/>
      <c r="JPV21" s="29"/>
      <c r="JPW21" s="29"/>
      <c r="JPX21" s="29"/>
      <c r="JPY21" s="29"/>
      <c r="JPZ21" s="29"/>
      <c r="JQA21" s="29"/>
      <c r="JQB21" s="29"/>
      <c r="JQC21" s="29"/>
      <c r="JQD21" s="29"/>
      <c r="JQE21" s="29"/>
      <c r="JQF21" s="29"/>
      <c r="JQG21" s="29"/>
      <c r="JQH21" s="29"/>
      <c r="JQI21" s="29"/>
      <c r="JQJ21" s="29"/>
      <c r="JQK21" s="29"/>
      <c r="JQL21" s="29"/>
      <c r="JQM21" s="29"/>
      <c r="JQN21" s="29"/>
      <c r="JQO21" s="29"/>
      <c r="JQP21" s="29"/>
      <c r="JQQ21" s="29"/>
      <c r="JQR21" s="29"/>
      <c r="JQS21" s="29"/>
      <c r="JQT21" s="29"/>
      <c r="JQU21" s="29"/>
      <c r="JQV21" s="29"/>
      <c r="JQW21" s="29"/>
      <c r="JQX21" s="29"/>
      <c r="JQY21" s="29"/>
      <c r="JQZ21" s="29"/>
      <c r="JRA21" s="29"/>
      <c r="JRB21" s="29"/>
      <c r="JRC21" s="29"/>
      <c r="JRD21" s="29"/>
      <c r="JRE21" s="29"/>
      <c r="JRF21" s="29"/>
      <c r="JRG21" s="29"/>
      <c r="JRH21" s="29"/>
      <c r="JRI21" s="29"/>
      <c r="JRJ21" s="29"/>
      <c r="JRK21" s="29"/>
      <c r="JRL21" s="29"/>
      <c r="JRM21" s="29"/>
      <c r="JRN21" s="29"/>
      <c r="JRO21" s="29"/>
      <c r="JRP21" s="29"/>
      <c r="JRQ21" s="29"/>
      <c r="JRR21" s="29"/>
      <c r="JRS21" s="29"/>
      <c r="JRT21" s="29"/>
      <c r="JRU21" s="29"/>
      <c r="JRV21" s="29"/>
      <c r="JRW21" s="29"/>
      <c r="JRX21" s="29"/>
      <c r="JRY21" s="29"/>
      <c r="JRZ21" s="29"/>
      <c r="JSA21" s="29"/>
      <c r="JSB21" s="29"/>
      <c r="JSC21" s="29"/>
      <c r="JSD21" s="29"/>
      <c r="JSE21" s="29"/>
      <c r="JSF21" s="29"/>
      <c r="JSG21" s="29"/>
      <c r="JSH21" s="29"/>
      <c r="JSI21" s="29"/>
      <c r="JSJ21" s="29"/>
      <c r="JSK21" s="29"/>
      <c r="JSL21" s="29"/>
      <c r="JSM21" s="29"/>
      <c r="JSN21" s="29"/>
      <c r="JSO21" s="29"/>
      <c r="JSP21" s="29"/>
      <c r="JSQ21" s="29"/>
      <c r="JSR21" s="29"/>
      <c r="JSS21" s="29"/>
      <c r="JST21" s="29"/>
      <c r="JSU21" s="29"/>
      <c r="JSV21" s="29"/>
      <c r="JSW21" s="29"/>
      <c r="JSX21" s="29"/>
      <c r="JSY21" s="29"/>
      <c r="JSZ21" s="29"/>
      <c r="JTA21" s="29"/>
      <c r="JTB21" s="29"/>
      <c r="JTC21" s="29"/>
      <c r="JTD21" s="29"/>
      <c r="JTE21" s="29"/>
      <c r="JTF21" s="29"/>
      <c r="JTG21" s="29"/>
      <c r="JTH21" s="29"/>
      <c r="JTI21" s="29"/>
      <c r="JTJ21" s="29"/>
      <c r="JTK21" s="29"/>
      <c r="JTL21" s="29"/>
      <c r="JTM21" s="29"/>
      <c r="JTN21" s="29"/>
      <c r="JTO21" s="29"/>
      <c r="JTP21" s="29"/>
      <c r="JTQ21" s="29"/>
      <c r="JTR21" s="29"/>
      <c r="JTS21" s="29"/>
      <c r="JTT21" s="29"/>
      <c r="JTU21" s="29"/>
      <c r="JTV21" s="29"/>
      <c r="JTW21" s="29"/>
      <c r="JTX21" s="29"/>
      <c r="JTY21" s="29"/>
      <c r="JTZ21" s="29"/>
      <c r="JUA21" s="29"/>
      <c r="JUB21" s="29"/>
      <c r="JUC21" s="29"/>
      <c r="JUD21" s="29"/>
      <c r="JUE21" s="29"/>
      <c r="JUF21" s="29"/>
      <c r="JUG21" s="29"/>
      <c r="JUH21" s="29"/>
      <c r="JUI21" s="29"/>
      <c r="JUJ21" s="29"/>
      <c r="JUK21" s="29"/>
      <c r="JUL21" s="29"/>
      <c r="JUM21" s="29"/>
      <c r="JUN21" s="29"/>
      <c r="JUO21" s="29"/>
      <c r="JUP21" s="29"/>
      <c r="JUQ21" s="29"/>
      <c r="JUR21" s="29"/>
      <c r="JUS21" s="29"/>
      <c r="JUT21" s="29"/>
      <c r="JUU21" s="29"/>
      <c r="JUV21" s="29"/>
      <c r="JUW21" s="29"/>
      <c r="JUX21" s="29"/>
      <c r="JUY21" s="29"/>
      <c r="JUZ21" s="29"/>
      <c r="JVA21" s="29"/>
      <c r="JVB21" s="29"/>
      <c r="JVC21" s="29"/>
      <c r="JVD21" s="29"/>
      <c r="JVE21" s="29"/>
      <c r="JVF21" s="29"/>
      <c r="JVG21" s="29"/>
      <c r="JVH21" s="29"/>
      <c r="JVI21" s="29"/>
      <c r="JVJ21" s="29"/>
      <c r="JVK21" s="29"/>
      <c r="JVL21" s="29"/>
      <c r="JVM21" s="29"/>
      <c r="JVN21" s="29"/>
      <c r="JVO21" s="29"/>
      <c r="JVP21" s="29"/>
      <c r="JVQ21" s="29"/>
      <c r="JVR21" s="29"/>
      <c r="JVS21" s="29"/>
      <c r="JVT21" s="29"/>
      <c r="JVU21" s="29"/>
      <c r="JVV21" s="29"/>
      <c r="JVW21" s="29"/>
      <c r="JVX21" s="29"/>
      <c r="JVY21" s="29"/>
      <c r="JVZ21" s="29"/>
      <c r="JWA21" s="29"/>
      <c r="JWB21" s="29"/>
      <c r="JWC21" s="29"/>
      <c r="JWD21" s="29"/>
      <c r="JWE21" s="29"/>
      <c r="JWF21" s="29"/>
      <c r="JWG21" s="29"/>
      <c r="JWH21" s="29"/>
      <c r="JWI21" s="29"/>
      <c r="JWJ21" s="29"/>
      <c r="JWK21" s="29"/>
      <c r="JWL21" s="29"/>
      <c r="JWM21" s="29"/>
      <c r="JWN21" s="29"/>
      <c r="JWO21" s="29"/>
      <c r="JWP21" s="29"/>
      <c r="JWQ21" s="29"/>
      <c r="JWR21" s="29"/>
      <c r="JWS21" s="29"/>
      <c r="JWT21" s="29"/>
      <c r="JWU21" s="29"/>
      <c r="JWV21" s="29"/>
      <c r="JWW21" s="29"/>
      <c r="JWX21" s="29"/>
      <c r="JWY21" s="29"/>
      <c r="JWZ21" s="29"/>
      <c r="JXA21" s="29"/>
      <c r="JXB21" s="29"/>
      <c r="JXC21" s="29"/>
      <c r="JXD21" s="29"/>
      <c r="JXE21" s="29"/>
      <c r="JXF21" s="29"/>
      <c r="JXG21" s="29"/>
      <c r="JXH21" s="29"/>
      <c r="JXI21" s="29"/>
      <c r="JXJ21" s="29"/>
      <c r="JXK21" s="29"/>
      <c r="JXL21" s="29"/>
      <c r="JXM21" s="29"/>
      <c r="JXN21" s="29"/>
      <c r="JXO21" s="29"/>
      <c r="JXP21" s="29"/>
      <c r="JXQ21" s="29"/>
      <c r="JXR21" s="29"/>
      <c r="JXS21" s="29"/>
      <c r="JXT21" s="29"/>
      <c r="JXU21" s="29"/>
      <c r="JXV21" s="29"/>
      <c r="JXW21" s="29"/>
      <c r="JXX21" s="29"/>
      <c r="JXY21" s="29"/>
      <c r="JXZ21" s="29"/>
      <c r="JYA21" s="29"/>
      <c r="JYB21" s="29"/>
      <c r="JYC21" s="29"/>
      <c r="JYD21" s="29"/>
      <c r="JYE21" s="29"/>
      <c r="JYF21" s="29"/>
      <c r="JYG21" s="29"/>
      <c r="JYH21" s="29"/>
      <c r="JYI21" s="29"/>
      <c r="JYJ21" s="29"/>
      <c r="JYK21" s="29"/>
      <c r="JYL21" s="29"/>
      <c r="JYM21" s="29"/>
      <c r="JYN21" s="29"/>
      <c r="JYO21" s="29"/>
      <c r="JYP21" s="29"/>
      <c r="JYQ21" s="29"/>
      <c r="JYR21" s="29"/>
      <c r="JYS21" s="29"/>
      <c r="JYT21" s="29"/>
      <c r="JYU21" s="29"/>
      <c r="JYV21" s="29"/>
      <c r="JYW21" s="29"/>
      <c r="JYX21" s="29"/>
      <c r="JYY21" s="29"/>
      <c r="JYZ21" s="29"/>
      <c r="JZA21" s="29"/>
      <c r="JZB21" s="29"/>
      <c r="JZC21" s="29"/>
      <c r="JZD21" s="29"/>
      <c r="JZE21" s="29"/>
      <c r="JZF21" s="29"/>
      <c r="JZG21" s="29"/>
      <c r="JZH21" s="29"/>
      <c r="JZI21" s="29"/>
      <c r="JZJ21" s="29"/>
      <c r="JZK21" s="29"/>
      <c r="JZL21" s="29"/>
      <c r="JZM21" s="29"/>
      <c r="JZN21" s="29"/>
      <c r="JZO21" s="29"/>
      <c r="JZP21" s="29"/>
      <c r="JZQ21" s="29"/>
      <c r="JZR21" s="29"/>
      <c r="JZS21" s="29"/>
      <c r="JZT21" s="29"/>
      <c r="JZU21" s="29"/>
      <c r="JZV21" s="29"/>
      <c r="JZW21" s="29"/>
      <c r="JZX21" s="29"/>
      <c r="JZY21" s="29"/>
      <c r="JZZ21" s="29"/>
      <c r="KAA21" s="29"/>
      <c r="KAB21" s="29"/>
      <c r="KAC21" s="29"/>
      <c r="KAD21" s="29"/>
      <c r="KAE21" s="29"/>
      <c r="KAF21" s="29"/>
      <c r="KAG21" s="29"/>
      <c r="KAH21" s="29"/>
      <c r="KAI21" s="29"/>
      <c r="KAJ21" s="29"/>
      <c r="KAK21" s="29"/>
      <c r="KAL21" s="29"/>
      <c r="KAM21" s="29"/>
      <c r="KAN21" s="29"/>
      <c r="KAO21" s="29"/>
      <c r="KAP21" s="29"/>
      <c r="KAQ21" s="29"/>
      <c r="KAR21" s="29"/>
      <c r="KAS21" s="29"/>
      <c r="KAT21" s="29"/>
      <c r="KAU21" s="29"/>
      <c r="KAV21" s="29"/>
      <c r="KAW21" s="29"/>
      <c r="KAX21" s="29"/>
      <c r="KAY21" s="29"/>
      <c r="KAZ21" s="29"/>
      <c r="KBA21" s="29"/>
      <c r="KBB21" s="29"/>
      <c r="KBC21" s="29"/>
      <c r="KBD21" s="29"/>
      <c r="KBE21" s="29"/>
      <c r="KBF21" s="29"/>
      <c r="KBG21" s="29"/>
      <c r="KBH21" s="29"/>
      <c r="KBI21" s="29"/>
      <c r="KBJ21" s="29"/>
      <c r="KBK21" s="29"/>
      <c r="KBL21" s="29"/>
      <c r="KBM21" s="29"/>
      <c r="KBN21" s="29"/>
      <c r="KBO21" s="29"/>
      <c r="KBP21" s="29"/>
      <c r="KBQ21" s="29"/>
      <c r="KBR21" s="29"/>
      <c r="KBS21" s="29"/>
      <c r="KBT21" s="29"/>
      <c r="KBU21" s="29"/>
      <c r="KBV21" s="29"/>
      <c r="KBW21" s="29"/>
      <c r="KBX21" s="29"/>
      <c r="KBY21" s="29"/>
      <c r="KBZ21" s="29"/>
      <c r="KCA21" s="29"/>
      <c r="KCB21" s="29"/>
      <c r="KCC21" s="29"/>
      <c r="KCD21" s="29"/>
      <c r="KCE21" s="29"/>
      <c r="KCF21" s="29"/>
      <c r="KCG21" s="29"/>
      <c r="KCH21" s="29"/>
      <c r="KCI21" s="29"/>
      <c r="KCJ21" s="29"/>
      <c r="KCK21" s="29"/>
      <c r="KCL21" s="29"/>
      <c r="KCM21" s="29"/>
      <c r="KCN21" s="29"/>
      <c r="KCO21" s="29"/>
      <c r="KCP21" s="29"/>
      <c r="KCQ21" s="29"/>
      <c r="KCR21" s="29"/>
      <c r="KCS21" s="29"/>
      <c r="KCT21" s="29"/>
      <c r="KCU21" s="29"/>
      <c r="KCV21" s="29"/>
      <c r="KCW21" s="29"/>
      <c r="KCX21" s="29"/>
      <c r="KCY21" s="29"/>
      <c r="KCZ21" s="29"/>
      <c r="KDA21" s="29"/>
      <c r="KDB21" s="29"/>
      <c r="KDC21" s="29"/>
      <c r="KDD21" s="29"/>
      <c r="KDE21" s="29"/>
      <c r="KDF21" s="29"/>
      <c r="KDG21" s="29"/>
      <c r="KDH21" s="29"/>
      <c r="KDI21" s="29"/>
      <c r="KDJ21" s="29"/>
      <c r="KDK21" s="29"/>
      <c r="KDL21" s="29"/>
      <c r="KDM21" s="29"/>
      <c r="KDN21" s="29"/>
      <c r="KDO21" s="29"/>
      <c r="KDP21" s="29"/>
      <c r="KDQ21" s="29"/>
      <c r="KDR21" s="29"/>
      <c r="KDS21" s="29"/>
      <c r="KDT21" s="29"/>
      <c r="KDU21" s="29"/>
      <c r="KDV21" s="29"/>
      <c r="KDW21" s="29"/>
      <c r="KDX21" s="29"/>
      <c r="KDY21" s="29"/>
      <c r="KDZ21" s="29"/>
      <c r="KEA21" s="29"/>
      <c r="KEB21" s="29"/>
      <c r="KEC21" s="29"/>
      <c r="KED21" s="29"/>
      <c r="KEE21" s="29"/>
      <c r="KEF21" s="29"/>
      <c r="KEG21" s="29"/>
      <c r="KEH21" s="29"/>
      <c r="KEI21" s="29"/>
      <c r="KEJ21" s="29"/>
      <c r="KEK21" s="29"/>
      <c r="KEL21" s="29"/>
      <c r="KEM21" s="29"/>
      <c r="KEN21" s="29"/>
      <c r="KEO21" s="29"/>
      <c r="KEP21" s="29"/>
      <c r="KEQ21" s="29"/>
      <c r="KER21" s="29"/>
      <c r="KES21" s="29"/>
      <c r="KET21" s="29"/>
      <c r="KEU21" s="29"/>
      <c r="KEV21" s="29"/>
      <c r="KEW21" s="29"/>
      <c r="KEX21" s="29"/>
      <c r="KEY21" s="29"/>
      <c r="KEZ21" s="29"/>
      <c r="KFA21" s="29"/>
      <c r="KFB21" s="29"/>
      <c r="KFC21" s="29"/>
      <c r="KFD21" s="29"/>
      <c r="KFE21" s="29"/>
      <c r="KFF21" s="29"/>
      <c r="KFG21" s="29"/>
      <c r="KFH21" s="29"/>
      <c r="KFI21" s="29"/>
      <c r="KFJ21" s="29"/>
      <c r="KFK21" s="29"/>
      <c r="KFL21" s="29"/>
      <c r="KFM21" s="29"/>
      <c r="KFN21" s="29"/>
      <c r="KFO21" s="29"/>
      <c r="KFP21" s="29"/>
      <c r="KFQ21" s="29"/>
      <c r="KFR21" s="29"/>
      <c r="KFS21" s="29"/>
      <c r="KFT21" s="29"/>
      <c r="KFU21" s="29"/>
      <c r="KFV21" s="29"/>
      <c r="KFW21" s="29"/>
      <c r="KFX21" s="29"/>
      <c r="KFY21" s="29"/>
      <c r="KFZ21" s="29"/>
      <c r="KGA21" s="29"/>
      <c r="KGB21" s="29"/>
      <c r="KGC21" s="29"/>
      <c r="KGD21" s="29"/>
      <c r="KGE21" s="29"/>
      <c r="KGF21" s="29"/>
      <c r="KGG21" s="29"/>
      <c r="KGH21" s="29"/>
      <c r="KGI21" s="29"/>
      <c r="KGJ21" s="29"/>
      <c r="KGK21" s="29"/>
      <c r="KGL21" s="29"/>
      <c r="KGM21" s="29"/>
      <c r="KGN21" s="29"/>
      <c r="KGO21" s="29"/>
      <c r="KGP21" s="29"/>
      <c r="KGQ21" s="29"/>
      <c r="KGR21" s="29"/>
      <c r="KGS21" s="29"/>
      <c r="KGT21" s="29"/>
      <c r="KGU21" s="29"/>
      <c r="KGV21" s="29"/>
      <c r="KGW21" s="29"/>
      <c r="KGX21" s="29"/>
      <c r="KGY21" s="29"/>
      <c r="KGZ21" s="29"/>
      <c r="KHA21" s="29"/>
      <c r="KHB21" s="29"/>
      <c r="KHC21" s="29"/>
      <c r="KHD21" s="29"/>
      <c r="KHE21" s="29"/>
      <c r="KHF21" s="29"/>
      <c r="KHG21" s="29"/>
      <c r="KHH21" s="29"/>
      <c r="KHI21" s="29"/>
      <c r="KHJ21" s="29"/>
      <c r="KHK21" s="29"/>
      <c r="KHL21" s="29"/>
      <c r="KHM21" s="29"/>
      <c r="KHN21" s="29"/>
      <c r="KHO21" s="29"/>
      <c r="KHP21" s="29"/>
      <c r="KHQ21" s="29"/>
      <c r="KHR21" s="29"/>
      <c r="KHS21" s="29"/>
      <c r="KHT21" s="29"/>
      <c r="KHU21" s="29"/>
      <c r="KHV21" s="29"/>
      <c r="KHW21" s="29"/>
      <c r="KHX21" s="29"/>
      <c r="KHY21" s="29"/>
      <c r="KHZ21" s="29"/>
      <c r="KIA21" s="29"/>
      <c r="KIB21" s="29"/>
      <c r="KIC21" s="29"/>
      <c r="KID21" s="29"/>
      <c r="KIE21" s="29"/>
      <c r="KIF21" s="29"/>
      <c r="KIG21" s="29"/>
      <c r="KIH21" s="29"/>
      <c r="KII21" s="29"/>
      <c r="KIJ21" s="29"/>
      <c r="KIK21" s="29"/>
      <c r="KIL21" s="29"/>
      <c r="KIM21" s="29"/>
      <c r="KIN21" s="29"/>
      <c r="KIO21" s="29"/>
      <c r="KIP21" s="29"/>
      <c r="KIQ21" s="29"/>
      <c r="KIR21" s="29"/>
      <c r="KIS21" s="29"/>
      <c r="KIT21" s="29"/>
      <c r="KIU21" s="29"/>
      <c r="KIV21" s="29"/>
      <c r="KIW21" s="29"/>
      <c r="KIX21" s="29"/>
      <c r="KIY21" s="29"/>
      <c r="KIZ21" s="29"/>
      <c r="KJA21" s="29"/>
      <c r="KJB21" s="29"/>
      <c r="KJC21" s="29"/>
      <c r="KJD21" s="29"/>
      <c r="KJE21" s="29"/>
      <c r="KJF21" s="29"/>
      <c r="KJG21" s="29"/>
      <c r="KJH21" s="29"/>
      <c r="KJI21" s="29"/>
      <c r="KJJ21" s="29"/>
      <c r="KJK21" s="29"/>
      <c r="KJL21" s="29"/>
      <c r="KJM21" s="29"/>
      <c r="KJN21" s="29"/>
      <c r="KJO21" s="29"/>
      <c r="KJP21" s="29"/>
      <c r="KJQ21" s="29"/>
      <c r="KJR21" s="29"/>
      <c r="KJS21" s="29"/>
      <c r="KJT21" s="29"/>
      <c r="KJU21" s="29"/>
      <c r="KJV21" s="29"/>
      <c r="KJW21" s="29"/>
      <c r="KJX21" s="29"/>
      <c r="KJY21" s="29"/>
      <c r="KJZ21" s="29"/>
      <c r="KKA21" s="29"/>
      <c r="KKB21" s="29"/>
      <c r="KKC21" s="29"/>
      <c r="KKD21" s="29"/>
      <c r="KKE21" s="29"/>
      <c r="KKF21" s="29"/>
      <c r="KKG21" s="29"/>
      <c r="KKH21" s="29"/>
      <c r="KKI21" s="29"/>
      <c r="KKJ21" s="29"/>
      <c r="KKK21" s="29"/>
      <c r="KKL21" s="29"/>
      <c r="KKM21" s="29"/>
      <c r="KKN21" s="29"/>
      <c r="KKO21" s="29"/>
      <c r="KKP21" s="29"/>
      <c r="KKQ21" s="29"/>
      <c r="KKR21" s="29"/>
      <c r="KKS21" s="29"/>
      <c r="KKT21" s="29"/>
      <c r="KKU21" s="29"/>
      <c r="KKV21" s="29"/>
      <c r="KKW21" s="29"/>
      <c r="KKX21" s="29"/>
      <c r="KKY21" s="29"/>
      <c r="KKZ21" s="29"/>
      <c r="KLA21" s="29"/>
      <c r="KLB21" s="29"/>
      <c r="KLC21" s="29"/>
      <c r="KLD21" s="29"/>
      <c r="KLE21" s="29"/>
      <c r="KLF21" s="29"/>
      <c r="KLG21" s="29"/>
      <c r="KLH21" s="29"/>
      <c r="KLI21" s="29"/>
      <c r="KLJ21" s="29"/>
      <c r="KLK21" s="29"/>
      <c r="KLL21" s="29"/>
      <c r="KLM21" s="29"/>
      <c r="KLN21" s="29"/>
      <c r="KLO21" s="29"/>
      <c r="KLP21" s="29"/>
      <c r="KLQ21" s="29"/>
      <c r="KLR21" s="29"/>
      <c r="KLS21" s="29"/>
      <c r="KLT21" s="29"/>
      <c r="KLU21" s="29"/>
      <c r="KLV21" s="29"/>
      <c r="KLW21" s="29"/>
      <c r="KLX21" s="29"/>
      <c r="KLY21" s="29"/>
      <c r="KLZ21" s="29"/>
      <c r="KMA21" s="29"/>
      <c r="KMB21" s="29"/>
      <c r="KMC21" s="29"/>
      <c r="KMD21" s="29"/>
      <c r="KME21" s="29"/>
      <c r="KMF21" s="29"/>
      <c r="KMG21" s="29"/>
      <c r="KMH21" s="29"/>
      <c r="KMI21" s="29"/>
      <c r="KMJ21" s="29"/>
      <c r="KMK21" s="29"/>
      <c r="KML21" s="29"/>
      <c r="KMM21" s="29"/>
      <c r="KMN21" s="29"/>
      <c r="KMO21" s="29"/>
      <c r="KMP21" s="29"/>
      <c r="KMQ21" s="29"/>
      <c r="KMR21" s="29"/>
      <c r="KMS21" s="29"/>
      <c r="KMT21" s="29"/>
      <c r="KMU21" s="29"/>
      <c r="KMV21" s="29"/>
      <c r="KMW21" s="29"/>
      <c r="KMX21" s="29"/>
      <c r="KMY21" s="29"/>
      <c r="KMZ21" s="29"/>
      <c r="KNA21" s="29"/>
      <c r="KNB21" s="29"/>
      <c r="KNC21" s="29"/>
      <c r="KND21" s="29"/>
      <c r="KNE21" s="29"/>
      <c r="KNF21" s="29"/>
      <c r="KNG21" s="29"/>
      <c r="KNH21" s="29"/>
      <c r="KNI21" s="29"/>
      <c r="KNJ21" s="29"/>
      <c r="KNK21" s="29"/>
      <c r="KNL21" s="29"/>
      <c r="KNM21" s="29"/>
      <c r="KNN21" s="29"/>
      <c r="KNO21" s="29"/>
      <c r="KNP21" s="29"/>
      <c r="KNQ21" s="29"/>
      <c r="KNR21" s="29"/>
      <c r="KNS21" s="29"/>
      <c r="KNT21" s="29"/>
      <c r="KNU21" s="29"/>
      <c r="KNV21" s="29"/>
      <c r="KNW21" s="29"/>
      <c r="KNX21" s="29"/>
      <c r="KNY21" s="29"/>
      <c r="KNZ21" s="29"/>
      <c r="KOA21" s="29"/>
      <c r="KOB21" s="29"/>
      <c r="KOC21" s="29"/>
      <c r="KOD21" s="29"/>
      <c r="KOE21" s="29"/>
      <c r="KOF21" s="29"/>
      <c r="KOG21" s="29"/>
      <c r="KOH21" s="29"/>
      <c r="KOI21" s="29"/>
      <c r="KOJ21" s="29"/>
      <c r="KOK21" s="29"/>
      <c r="KOL21" s="29"/>
      <c r="KOM21" s="29"/>
      <c r="KON21" s="29"/>
      <c r="KOO21" s="29"/>
      <c r="KOP21" s="29"/>
      <c r="KOQ21" s="29"/>
      <c r="KOR21" s="29"/>
      <c r="KOS21" s="29"/>
      <c r="KOT21" s="29"/>
      <c r="KOU21" s="29"/>
      <c r="KOV21" s="29"/>
      <c r="KOW21" s="29"/>
      <c r="KOX21" s="29"/>
      <c r="KOY21" s="29"/>
      <c r="KOZ21" s="29"/>
      <c r="KPA21" s="29"/>
      <c r="KPB21" s="29"/>
      <c r="KPC21" s="29"/>
      <c r="KPD21" s="29"/>
      <c r="KPE21" s="29"/>
      <c r="KPF21" s="29"/>
      <c r="KPG21" s="29"/>
      <c r="KPH21" s="29"/>
      <c r="KPI21" s="29"/>
      <c r="KPJ21" s="29"/>
      <c r="KPK21" s="29"/>
      <c r="KPL21" s="29"/>
      <c r="KPM21" s="29"/>
      <c r="KPN21" s="29"/>
      <c r="KPO21" s="29"/>
      <c r="KPP21" s="29"/>
      <c r="KPQ21" s="29"/>
      <c r="KPR21" s="29"/>
      <c r="KPS21" s="29"/>
      <c r="KPT21" s="29"/>
      <c r="KPU21" s="29"/>
      <c r="KPV21" s="29"/>
      <c r="KPW21" s="29"/>
      <c r="KPX21" s="29"/>
      <c r="KPY21" s="29"/>
      <c r="KPZ21" s="29"/>
      <c r="KQA21" s="29"/>
      <c r="KQB21" s="29"/>
      <c r="KQC21" s="29"/>
      <c r="KQD21" s="29"/>
      <c r="KQE21" s="29"/>
      <c r="KQF21" s="29"/>
      <c r="KQG21" s="29"/>
      <c r="KQH21" s="29"/>
      <c r="KQI21" s="29"/>
      <c r="KQJ21" s="29"/>
      <c r="KQK21" s="29"/>
      <c r="KQL21" s="29"/>
      <c r="KQM21" s="29"/>
      <c r="KQN21" s="29"/>
      <c r="KQO21" s="29"/>
      <c r="KQP21" s="29"/>
      <c r="KQQ21" s="29"/>
      <c r="KQR21" s="29"/>
      <c r="KQS21" s="29"/>
      <c r="KQT21" s="29"/>
      <c r="KQU21" s="29"/>
      <c r="KQV21" s="29"/>
      <c r="KQW21" s="29"/>
      <c r="KQX21" s="29"/>
      <c r="KQY21" s="29"/>
      <c r="KQZ21" s="29"/>
      <c r="KRA21" s="29"/>
      <c r="KRB21" s="29"/>
      <c r="KRC21" s="29"/>
      <c r="KRD21" s="29"/>
      <c r="KRE21" s="29"/>
      <c r="KRF21" s="29"/>
      <c r="KRG21" s="29"/>
      <c r="KRH21" s="29"/>
      <c r="KRI21" s="29"/>
      <c r="KRJ21" s="29"/>
      <c r="KRK21" s="29"/>
      <c r="KRL21" s="29"/>
      <c r="KRM21" s="29"/>
      <c r="KRN21" s="29"/>
      <c r="KRO21" s="29"/>
      <c r="KRP21" s="29"/>
      <c r="KRQ21" s="29"/>
      <c r="KRR21" s="29"/>
      <c r="KRS21" s="29"/>
      <c r="KRT21" s="29"/>
      <c r="KRU21" s="29"/>
      <c r="KRV21" s="29"/>
      <c r="KRW21" s="29"/>
      <c r="KRX21" s="29"/>
      <c r="KRY21" s="29"/>
      <c r="KRZ21" s="29"/>
      <c r="KSA21" s="29"/>
      <c r="KSB21" s="29"/>
      <c r="KSC21" s="29"/>
      <c r="KSD21" s="29"/>
      <c r="KSE21" s="29"/>
      <c r="KSF21" s="29"/>
      <c r="KSG21" s="29"/>
      <c r="KSH21" s="29"/>
      <c r="KSI21" s="29"/>
      <c r="KSJ21" s="29"/>
      <c r="KSK21" s="29"/>
      <c r="KSL21" s="29"/>
      <c r="KSM21" s="29"/>
      <c r="KSN21" s="29"/>
      <c r="KSO21" s="29"/>
      <c r="KSP21" s="29"/>
      <c r="KSQ21" s="29"/>
      <c r="KSR21" s="29"/>
      <c r="KSS21" s="29"/>
      <c r="KST21" s="29"/>
      <c r="KSU21" s="29"/>
      <c r="KSV21" s="29"/>
      <c r="KSW21" s="29"/>
      <c r="KSX21" s="29"/>
      <c r="KSY21" s="29"/>
      <c r="KSZ21" s="29"/>
      <c r="KTA21" s="29"/>
      <c r="KTB21" s="29"/>
      <c r="KTC21" s="29"/>
      <c r="KTD21" s="29"/>
      <c r="KTE21" s="29"/>
      <c r="KTF21" s="29"/>
      <c r="KTG21" s="29"/>
      <c r="KTH21" s="29"/>
      <c r="KTI21" s="29"/>
      <c r="KTJ21" s="29"/>
      <c r="KTK21" s="29"/>
      <c r="KTL21" s="29"/>
      <c r="KTM21" s="29"/>
      <c r="KTN21" s="29"/>
      <c r="KTO21" s="29"/>
      <c r="KTP21" s="29"/>
      <c r="KTQ21" s="29"/>
      <c r="KTR21" s="29"/>
      <c r="KTS21" s="29"/>
      <c r="KTT21" s="29"/>
      <c r="KTU21" s="29"/>
      <c r="KTV21" s="29"/>
      <c r="KTW21" s="29"/>
      <c r="KTX21" s="29"/>
      <c r="KTY21" s="29"/>
      <c r="KTZ21" s="29"/>
      <c r="KUA21" s="29"/>
      <c r="KUB21" s="29"/>
      <c r="KUC21" s="29"/>
      <c r="KUD21" s="29"/>
      <c r="KUE21" s="29"/>
      <c r="KUF21" s="29"/>
      <c r="KUG21" s="29"/>
      <c r="KUH21" s="29"/>
      <c r="KUI21" s="29"/>
      <c r="KUJ21" s="29"/>
      <c r="KUK21" s="29"/>
      <c r="KUL21" s="29"/>
      <c r="KUM21" s="29"/>
      <c r="KUN21" s="29"/>
      <c r="KUO21" s="29"/>
      <c r="KUP21" s="29"/>
      <c r="KUQ21" s="29"/>
      <c r="KUR21" s="29"/>
      <c r="KUS21" s="29"/>
      <c r="KUT21" s="29"/>
      <c r="KUU21" s="29"/>
      <c r="KUV21" s="29"/>
      <c r="KUW21" s="29"/>
      <c r="KUX21" s="29"/>
      <c r="KUY21" s="29"/>
      <c r="KUZ21" s="29"/>
      <c r="KVA21" s="29"/>
      <c r="KVB21" s="29"/>
      <c r="KVC21" s="29"/>
      <c r="KVD21" s="29"/>
      <c r="KVE21" s="29"/>
      <c r="KVF21" s="29"/>
      <c r="KVG21" s="29"/>
      <c r="KVH21" s="29"/>
      <c r="KVI21" s="29"/>
      <c r="KVJ21" s="29"/>
      <c r="KVK21" s="29"/>
      <c r="KVL21" s="29"/>
      <c r="KVM21" s="29"/>
      <c r="KVN21" s="29"/>
      <c r="KVO21" s="29"/>
      <c r="KVP21" s="29"/>
      <c r="KVQ21" s="29"/>
      <c r="KVR21" s="29"/>
      <c r="KVS21" s="29"/>
      <c r="KVT21" s="29"/>
      <c r="KVU21" s="29"/>
      <c r="KVV21" s="29"/>
      <c r="KVW21" s="29"/>
      <c r="KVX21" s="29"/>
      <c r="KVY21" s="29"/>
      <c r="KVZ21" s="29"/>
      <c r="KWA21" s="29"/>
      <c r="KWB21" s="29"/>
      <c r="KWC21" s="29"/>
      <c r="KWD21" s="29"/>
      <c r="KWE21" s="29"/>
      <c r="KWF21" s="29"/>
      <c r="KWG21" s="29"/>
      <c r="KWH21" s="29"/>
      <c r="KWI21" s="29"/>
      <c r="KWJ21" s="29"/>
      <c r="KWK21" s="29"/>
      <c r="KWL21" s="29"/>
      <c r="KWM21" s="29"/>
      <c r="KWN21" s="29"/>
      <c r="KWO21" s="29"/>
      <c r="KWP21" s="29"/>
      <c r="KWQ21" s="29"/>
      <c r="KWR21" s="29"/>
      <c r="KWS21" s="29"/>
      <c r="KWT21" s="29"/>
      <c r="KWU21" s="29"/>
      <c r="KWV21" s="29"/>
      <c r="KWW21" s="29"/>
      <c r="KWX21" s="29"/>
      <c r="KWY21" s="29"/>
      <c r="KWZ21" s="29"/>
      <c r="KXA21" s="29"/>
      <c r="KXB21" s="29"/>
      <c r="KXC21" s="29"/>
      <c r="KXD21" s="29"/>
      <c r="KXE21" s="29"/>
      <c r="KXF21" s="29"/>
      <c r="KXG21" s="29"/>
      <c r="KXH21" s="29"/>
      <c r="KXI21" s="29"/>
      <c r="KXJ21" s="29"/>
      <c r="KXK21" s="29"/>
      <c r="KXL21" s="29"/>
      <c r="KXM21" s="29"/>
      <c r="KXN21" s="29"/>
      <c r="KXO21" s="29"/>
      <c r="KXP21" s="29"/>
      <c r="KXQ21" s="29"/>
      <c r="KXR21" s="29"/>
      <c r="KXS21" s="29"/>
      <c r="KXT21" s="29"/>
      <c r="KXU21" s="29"/>
      <c r="KXV21" s="29"/>
      <c r="KXW21" s="29"/>
      <c r="KXX21" s="29"/>
      <c r="KXY21" s="29"/>
      <c r="KXZ21" s="29"/>
      <c r="KYA21" s="29"/>
      <c r="KYB21" s="29"/>
      <c r="KYC21" s="29"/>
      <c r="KYD21" s="29"/>
      <c r="KYE21" s="29"/>
      <c r="KYF21" s="29"/>
      <c r="KYG21" s="29"/>
      <c r="KYH21" s="29"/>
      <c r="KYI21" s="29"/>
      <c r="KYJ21" s="29"/>
      <c r="KYK21" s="29"/>
      <c r="KYL21" s="29"/>
      <c r="KYM21" s="29"/>
      <c r="KYN21" s="29"/>
      <c r="KYO21" s="29"/>
      <c r="KYP21" s="29"/>
      <c r="KYQ21" s="29"/>
      <c r="KYR21" s="29"/>
      <c r="KYS21" s="29"/>
      <c r="KYT21" s="29"/>
      <c r="KYU21" s="29"/>
      <c r="KYV21" s="29"/>
      <c r="KYW21" s="29"/>
      <c r="KYX21" s="29"/>
      <c r="KYY21" s="29"/>
      <c r="KYZ21" s="29"/>
      <c r="KZA21" s="29"/>
      <c r="KZB21" s="29"/>
      <c r="KZC21" s="29"/>
      <c r="KZD21" s="29"/>
      <c r="KZE21" s="29"/>
      <c r="KZF21" s="29"/>
      <c r="KZG21" s="29"/>
      <c r="KZH21" s="29"/>
      <c r="KZI21" s="29"/>
      <c r="KZJ21" s="29"/>
      <c r="KZK21" s="29"/>
      <c r="KZL21" s="29"/>
      <c r="KZM21" s="29"/>
      <c r="KZN21" s="29"/>
      <c r="KZO21" s="29"/>
      <c r="KZP21" s="29"/>
      <c r="KZQ21" s="29"/>
      <c r="KZR21" s="29"/>
      <c r="KZS21" s="29"/>
      <c r="KZT21" s="29"/>
      <c r="KZU21" s="29"/>
      <c r="KZV21" s="29"/>
      <c r="KZW21" s="29"/>
      <c r="KZX21" s="29"/>
      <c r="KZY21" s="29"/>
      <c r="KZZ21" s="29"/>
      <c r="LAA21" s="29"/>
      <c r="LAB21" s="29"/>
      <c r="LAC21" s="29"/>
      <c r="LAD21" s="29"/>
      <c r="LAE21" s="29"/>
      <c r="LAF21" s="29"/>
      <c r="LAG21" s="29"/>
      <c r="LAH21" s="29"/>
      <c r="LAI21" s="29"/>
      <c r="LAJ21" s="29"/>
      <c r="LAK21" s="29"/>
      <c r="LAL21" s="29"/>
      <c r="LAM21" s="29"/>
      <c r="LAN21" s="29"/>
      <c r="LAO21" s="29"/>
      <c r="LAP21" s="29"/>
      <c r="LAQ21" s="29"/>
      <c r="LAR21" s="29"/>
      <c r="LAS21" s="29"/>
      <c r="LAT21" s="29"/>
      <c r="LAU21" s="29"/>
      <c r="LAV21" s="29"/>
      <c r="LAW21" s="29"/>
      <c r="LAX21" s="29"/>
      <c r="LAY21" s="29"/>
      <c r="LAZ21" s="29"/>
      <c r="LBA21" s="29"/>
      <c r="LBB21" s="29"/>
      <c r="LBC21" s="29"/>
      <c r="LBD21" s="29"/>
      <c r="LBE21" s="29"/>
      <c r="LBF21" s="29"/>
      <c r="LBG21" s="29"/>
      <c r="LBH21" s="29"/>
      <c r="LBI21" s="29"/>
      <c r="LBJ21" s="29"/>
      <c r="LBK21" s="29"/>
      <c r="LBL21" s="29"/>
      <c r="LBM21" s="29"/>
      <c r="LBN21" s="29"/>
      <c r="LBO21" s="29"/>
      <c r="LBP21" s="29"/>
      <c r="LBQ21" s="29"/>
      <c r="LBR21" s="29"/>
      <c r="LBS21" s="29"/>
      <c r="LBT21" s="29"/>
      <c r="LBU21" s="29"/>
      <c r="LBV21" s="29"/>
      <c r="LBW21" s="29"/>
      <c r="LBX21" s="29"/>
      <c r="LBY21" s="29"/>
      <c r="LBZ21" s="29"/>
      <c r="LCA21" s="29"/>
      <c r="LCB21" s="29"/>
      <c r="LCC21" s="29"/>
      <c r="LCD21" s="29"/>
      <c r="LCE21" s="29"/>
      <c r="LCF21" s="29"/>
      <c r="LCG21" s="29"/>
      <c r="LCH21" s="29"/>
      <c r="LCI21" s="29"/>
      <c r="LCJ21" s="29"/>
      <c r="LCK21" s="29"/>
      <c r="LCL21" s="29"/>
      <c r="LCM21" s="29"/>
      <c r="LCN21" s="29"/>
      <c r="LCO21" s="29"/>
      <c r="LCP21" s="29"/>
      <c r="LCQ21" s="29"/>
      <c r="LCR21" s="29"/>
      <c r="LCS21" s="29"/>
      <c r="LCT21" s="29"/>
      <c r="LCU21" s="29"/>
      <c r="LCV21" s="29"/>
      <c r="LCW21" s="29"/>
      <c r="LCX21" s="29"/>
      <c r="LCY21" s="29"/>
      <c r="LCZ21" s="29"/>
      <c r="LDA21" s="29"/>
      <c r="LDB21" s="29"/>
      <c r="LDC21" s="29"/>
      <c r="LDD21" s="29"/>
      <c r="LDE21" s="29"/>
      <c r="LDF21" s="29"/>
      <c r="LDG21" s="29"/>
      <c r="LDH21" s="29"/>
      <c r="LDI21" s="29"/>
      <c r="LDJ21" s="29"/>
      <c r="LDK21" s="29"/>
      <c r="LDL21" s="29"/>
      <c r="LDM21" s="29"/>
      <c r="LDN21" s="29"/>
      <c r="LDO21" s="29"/>
      <c r="LDP21" s="29"/>
      <c r="LDQ21" s="29"/>
      <c r="LDR21" s="29"/>
      <c r="LDS21" s="29"/>
      <c r="LDT21" s="29"/>
      <c r="LDU21" s="29"/>
      <c r="LDV21" s="29"/>
      <c r="LDW21" s="29"/>
      <c r="LDX21" s="29"/>
      <c r="LDY21" s="29"/>
      <c r="LDZ21" s="29"/>
      <c r="LEA21" s="29"/>
      <c r="LEB21" s="29"/>
      <c r="LEC21" s="29"/>
      <c r="LED21" s="29"/>
      <c r="LEE21" s="29"/>
      <c r="LEF21" s="29"/>
      <c r="LEG21" s="29"/>
      <c r="LEH21" s="29"/>
      <c r="LEI21" s="29"/>
      <c r="LEJ21" s="29"/>
      <c r="LEK21" s="29"/>
      <c r="LEL21" s="29"/>
      <c r="LEM21" s="29"/>
      <c r="LEN21" s="29"/>
      <c r="LEO21" s="29"/>
      <c r="LEP21" s="29"/>
      <c r="LEQ21" s="29"/>
      <c r="LER21" s="29"/>
      <c r="LES21" s="29"/>
      <c r="LET21" s="29"/>
      <c r="LEU21" s="29"/>
      <c r="LEV21" s="29"/>
      <c r="LEW21" s="29"/>
      <c r="LEX21" s="29"/>
      <c r="LEY21" s="29"/>
      <c r="LEZ21" s="29"/>
      <c r="LFA21" s="29"/>
      <c r="LFB21" s="29"/>
      <c r="LFC21" s="29"/>
      <c r="LFD21" s="29"/>
      <c r="LFE21" s="29"/>
      <c r="LFF21" s="29"/>
      <c r="LFG21" s="29"/>
      <c r="LFH21" s="29"/>
      <c r="LFI21" s="29"/>
      <c r="LFJ21" s="29"/>
      <c r="LFK21" s="29"/>
      <c r="LFL21" s="29"/>
      <c r="LFM21" s="29"/>
      <c r="LFN21" s="29"/>
      <c r="LFO21" s="29"/>
      <c r="LFP21" s="29"/>
      <c r="LFQ21" s="29"/>
      <c r="LFR21" s="29"/>
      <c r="LFS21" s="29"/>
      <c r="LFT21" s="29"/>
      <c r="LFU21" s="29"/>
      <c r="LFV21" s="29"/>
      <c r="LFW21" s="29"/>
      <c r="LFX21" s="29"/>
      <c r="LFY21" s="29"/>
      <c r="LFZ21" s="29"/>
      <c r="LGA21" s="29"/>
      <c r="LGB21" s="29"/>
      <c r="LGC21" s="29"/>
      <c r="LGD21" s="29"/>
      <c r="LGE21" s="29"/>
      <c r="LGF21" s="29"/>
      <c r="LGG21" s="29"/>
      <c r="LGH21" s="29"/>
      <c r="LGI21" s="29"/>
      <c r="LGJ21" s="29"/>
      <c r="LGK21" s="29"/>
      <c r="LGL21" s="29"/>
      <c r="LGM21" s="29"/>
      <c r="LGN21" s="29"/>
      <c r="LGO21" s="29"/>
      <c r="LGP21" s="29"/>
      <c r="LGQ21" s="29"/>
      <c r="LGR21" s="29"/>
      <c r="LGS21" s="29"/>
      <c r="LGT21" s="29"/>
      <c r="LGU21" s="29"/>
      <c r="LGV21" s="29"/>
      <c r="LGW21" s="29"/>
      <c r="LGX21" s="29"/>
      <c r="LGY21" s="29"/>
      <c r="LGZ21" s="29"/>
      <c r="LHA21" s="29"/>
      <c r="LHB21" s="29"/>
      <c r="LHC21" s="29"/>
      <c r="LHD21" s="29"/>
      <c r="LHE21" s="29"/>
      <c r="LHF21" s="29"/>
      <c r="LHG21" s="29"/>
      <c r="LHH21" s="29"/>
      <c r="LHI21" s="29"/>
      <c r="LHJ21" s="29"/>
      <c r="LHK21" s="29"/>
      <c r="LHL21" s="29"/>
      <c r="LHM21" s="29"/>
      <c r="LHN21" s="29"/>
      <c r="LHO21" s="29"/>
      <c r="LHP21" s="29"/>
      <c r="LHQ21" s="29"/>
      <c r="LHR21" s="29"/>
      <c r="LHS21" s="29"/>
      <c r="LHT21" s="29"/>
      <c r="LHU21" s="29"/>
      <c r="LHV21" s="29"/>
      <c r="LHW21" s="29"/>
      <c r="LHX21" s="29"/>
      <c r="LHY21" s="29"/>
      <c r="LHZ21" s="29"/>
      <c r="LIA21" s="29"/>
      <c r="LIB21" s="29"/>
      <c r="LIC21" s="29"/>
      <c r="LID21" s="29"/>
      <c r="LIE21" s="29"/>
      <c r="LIF21" s="29"/>
      <c r="LIG21" s="29"/>
      <c r="LIH21" s="29"/>
      <c r="LII21" s="29"/>
      <c r="LIJ21" s="29"/>
      <c r="LIK21" s="29"/>
      <c r="LIL21" s="29"/>
      <c r="LIM21" s="29"/>
      <c r="LIN21" s="29"/>
      <c r="LIO21" s="29"/>
      <c r="LIP21" s="29"/>
      <c r="LIQ21" s="29"/>
      <c r="LIR21" s="29"/>
      <c r="LIS21" s="29"/>
      <c r="LIT21" s="29"/>
      <c r="LIU21" s="29"/>
      <c r="LIV21" s="29"/>
      <c r="LIW21" s="29"/>
      <c r="LIX21" s="29"/>
      <c r="LIY21" s="29"/>
      <c r="LIZ21" s="29"/>
      <c r="LJA21" s="29"/>
      <c r="LJB21" s="29"/>
      <c r="LJC21" s="29"/>
      <c r="LJD21" s="29"/>
      <c r="LJE21" s="29"/>
      <c r="LJF21" s="29"/>
      <c r="LJG21" s="29"/>
      <c r="LJH21" s="29"/>
      <c r="LJI21" s="29"/>
      <c r="LJJ21" s="29"/>
      <c r="LJK21" s="29"/>
      <c r="LJL21" s="29"/>
      <c r="LJM21" s="29"/>
      <c r="LJN21" s="29"/>
      <c r="LJO21" s="29"/>
      <c r="LJP21" s="29"/>
      <c r="LJQ21" s="29"/>
      <c r="LJR21" s="29"/>
      <c r="LJS21" s="29"/>
      <c r="LJT21" s="29"/>
      <c r="LJU21" s="29"/>
      <c r="LJV21" s="29"/>
      <c r="LJW21" s="29"/>
      <c r="LJX21" s="29"/>
      <c r="LJY21" s="29"/>
      <c r="LJZ21" s="29"/>
      <c r="LKA21" s="29"/>
      <c r="LKB21" s="29"/>
      <c r="LKC21" s="29"/>
      <c r="LKD21" s="29"/>
      <c r="LKE21" s="29"/>
      <c r="LKF21" s="29"/>
      <c r="LKG21" s="29"/>
      <c r="LKH21" s="29"/>
      <c r="LKI21" s="29"/>
      <c r="LKJ21" s="29"/>
      <c r="LKK21" s="29"/>
      <c r="LKL21" s="29"/>
      <c r="LKM21" s="29"/>
      <c r="LKN21" s="29"/>
      <c r="LKO21" s="29"/>
      <c r="LKP21" s="29"/>
      <c r="LKQ21" s="29"/>
      <c r="LKR21" s="29"/>
      <c r="LKS21" s="29"/>
      <c r="LKT21" s="29"/>
      <c r="LKU21" s="29"/>
      <c r="LKV21" s="29"/>
      <c r="LKW21" s="29"/>
      <c r="LKX21" s="29"/>
      <c r="LKY21" s="29"/>
      <c r="LKZ21" s="29"/>
      <c r="LLA21" s="29"/>
      <c r="LLB21" s="29"/>
      <c r="LLC21" s="29"/>
      <c r="LLD21" s="29"/>
      <c r="LLE21" s="29"/>
      <c r="LLF21" s="29"/>
      <c r="LLG21" s="29"/>
      <c r="LLH21" s="29"/>
      <c r="LLI21" s="29"/>
      <c r="LLJ21" s="29"/>
      <c r="LLK21" s="29"/>
      <c r="LLL21" s="29"/>
      <c r="LLM21" s="29"/>
      <c r="LLN21" s="29"/>
      <c r="LLO21" s="29"/>
      <c r="LLP21" s="29"/>
      <c r="LLQ21" s="29"/>
      <c r="LLR21" s="29"/>
      <c r="LLS21" s="29"/>
      <c r="LLT21" s="29"/>
      <c r="LLU21" s="29"/>
      <c r="LLV21" s="29"/>
      <c r="LLW21" s="29"/>
      <c r="LLX21" s="29"/>
      <c r="LLY21" s="29"/>
      <c r="LLZ21" s="29"/>
      <c r="LMA21" s="29"/>
      <c r="LMB21" s="29"/>
      <c r="LMC21" s="29"/>
      <c r="LMD21" s="29"/>
      <c r="LME21" s="29"/>
      <c r="LMF21" s="29"/>
      <c r="LMG21" s="29"/>
      <c r="LMH21" s="29"/>
      <c r="LMI21" s="29"/>
      <c r="LMJ21" s="29"/>
      <c r="LMK21" s="29"/>
      <c r="LML21" s="29"/>
      <c r="LMM21" s="29"/>
      <c r="LMN21" s="29"/>
      <c r="LMO21" s="29"/>
      <c r="LMP21" s="29"/>
      <c r="LMQ21" s="29"/>
      <c r="LMR21" s="29"/>
      <c r="LMS21" s="29"/>
      <c r="LMT21" s="29"/>
      <c r="LMU21" s="29"/>
      <c r="LMV21" s="29"/>
      <c r="LMW21" s="29"/>
      <c r="LMX21" s="29"/>
      <c r="LMY21" s="29"/>
      <c r="LMZ21" s="29"/>
      <c r="LNA21" s="29"/>
      <c r="LNB21" s="29"/>
      <c r="LNC21" s="29"/>
      <c r="LND21" s="29"/>
      <c r="LNE21" s="29"/>
      <c r="LNF21" s="29"/>
      <c r="LNG21" s="29"/>
      <c r="LNH21" s="29"/>
      <c r="LNI21" s="29"/>
      <c r="LNJ21" s="29"/>
      <c r="LNK21" s="29"/>
      <c r="LNL21" s="29"/>
      <c r="LNM21" s="29"/>
      <c r="LNN21" s="29"/>
      <c r="LNO21" s="29"/>
      <c r="LNP21" s="29"/>
      <c r="LNQ21" s="29"/>
      <c r="LNR21" s="29"/>
      <c r="LNS21" s="29"/>
      <c r="LNT21" s="29"/>
      <c r="LNU21" s="29"/>
      <c r="LNV21" s="29"/>
      <c r="LNW21" s="29"/>
      <c r="LNX21" s="29"/>
      <c r="LNY21" s="29"/>
      <c r="LNZ21" s="29"/>
      <c r="LOA21" s="29"/>
      <c r="LOB21" s="29"/>
      <c r="LOC21" s="29"/>
      <c r="LOD21" s="29"/>
      <c r="LOE21" s="29"/>
      <c r="LOF21" s="29"/>
      <c r="LOG21" s="29"/>
      <c r="LOH21" s="29"/>
      <c r="LOI21" s="29"/>
      <c r="LOJ21" s="29"/>
      <c r="LOK21" s="29"/>
      <c r="LOL21" s="29"/>
      <c r="LOM21" s="29"/>
      <c r="LON21" s="29"/>
      <c r="LOO21" s="29"/>
      <c r="LOP21" s="29"/>
      <c r="LOQ21" s="29"/>
      <c r="LOR21" s="29"/>
      <c r="LOS21" s="29"/>
      <c r="LOT21" s="29"/>
      <c r="LOU21" s="29"/>
      <c r="LOV21" s="29"/>
      <c r="LOW21" s="29"/>
      <c r="LOX21" s="29"/>
      <c r="LOY21" s="29"/>
      <c r="LOZ21" s="29"/>
      <c r="LPA21" s="29"/>
      <c r="LPB21" s="29"/>
      <c r="LPC21" s="29"/>
      <c r="LPD21" s="29"/>
      <c r="LPE21" s="29"/>
      <c r="LPF21" s="29"/>
      <c r="LPG21" s="29"/>
      <c r="LPH21" s="29"/>
      <c r="LPI21" s="29"/>
      <c r="LPJ21" s="29"/>
      <c r="LPK21" s="29"/>
      <c r="LPL21" s="29"/>
      <c r="LPM21" s="29"/>
      <c r="LPN21" s="29"/>
      <c r="LPO21" s="29"/>
      <c r="LPP21" s="29"/>
      <c r="LPQ21" s="29"/>
      <c r="LPR21" s="29"/>
      <c r="LPS21" s="29"/>
      <c r="LPT21" s="29"/>
      <c r="LPU21" s="29"/>
      <c r="LPV21" s="29"/>
      <c r="LPW21" s="29"/>
      <c r="LPX21" s="29"/>
      <c r="LPY21" s="29"/>
      <c r="LPZ21" s="29"/>
      <c r="LQA21" s="29"/>
      <c r="LQB21" s="29"/>
      <c r="LQC21" s="29"/>
      <c r="LQD21" s="29"/>
      <c r="LQE21" s="29"/>
      <c r="LQF21" s="29"/>
      <c r="LQG21" s="29"/>
      <c r="LQH21" s="29"/>
      <c r="LQI21" s="29"/>
      <c r="LQJ21" s="29"/>
      <c r="LQK21" s="29"/>
      <c r="LQL21" s="29"/>
      <c r="LQM21" s="29"/>
      <c r="LQN21" s="29"/>
      <c r="LQO21" s="29"/>
      <c r="LQP21" s="29"/>
      <c r="LQQ21" s="29"/>
      <c r="LQR21" s="29"/>
      <c r="LQS21" s="29"/>
      <c r="LQT21" s="29"/>
      <c r="LQU21" s="29"/>
      <c r="LQV21" s="29"/>
      <c r="LQW21" s="29"/>
      <c r="LQX21" s="29"/>
      <c r="LQY21" s="29"/>
      <c r="LQZ21" s="29"/>
      <c r="LRA21" s="29"/>
      <c r="LRB21" s="29"/>
      <c r="LRC21" s="29"/>
      <c r="LRD21" s="29"/>
      <c r="LRE21" s="29"/>
      <c r="LRF21" s="29"/>
      <c r="LRG21" s="29"/>
      <c r="LRH21" s="29"/>
      <c r="LRI21" s="29"/>
      <c r="LRJ21" s="29"/>
      <c r="LRK21" s="29"/>
      <c r="LRL21" s="29"/>
      <c r="LRM21" s="29"/>
      <c r="LRN21" s="29"/>
      <c r="LRO21" s="29"/>
      <c r="LRP21" s="29"/>
      <c r="LRQ21" s="29"/>
      <c r="LRR21" s="29"/>
      <c r="LRS21" s="29"/>
      <c r="LRT21" s="29"/>
      <c r="LRU21" s="29"/>
      <c r="LRV21" s="29"/>
      <c r="LRW21" s="29"/>
      <c r="LRX21" s="29"/>
      <c r="LRY21" s="29"/>
      <c r="LRZ21" s="29"/>
      <c r="LSA21" s="29"/>
      <c r="LSB21" s="29"/>
      <c r="LSC21" s="29"/>
      <c r="LSD21" s="29"/>
      <c r="LSE21" s="29"/>
      <c r="LSF21" s="29"/>
      <c r="LSG21" s="29"/>
      <c r="LSH21" s="29"/>
      <c r="LSI21" s="29"/>
      <c r="LSJ21" s="29"/>
      <c r="LSK21" s="29"/>
      <c r="LSL21" s="29"/>
      <c r="LSM21" s="29"/>
      <c r="LSN21" s="29"/>
      <c r="LSO21" s="29"/>
      <c r="LSP21" s="29"/>
      <c r="LSQ21" s="29"/>
      <c r="LSR21" s="29"/>
      <c r="LSS21" s="29"/>
      <c r="LST21" s="29"/>
      <c r="LSU21" s="29"/>
      <c r="LSV21" s="29"/>
      <c r="LSW21" s="29"/>
      <c r="LSX21" s="29"/>
      <c r="LSY21" s="29"/>
      <c r="LSZ21" s="29"/>
      <c r="LTA21" s="29"/>
      <c r="LTB21" s="29"/>
      <c r="LTC21" s="29"/>
      <c r="LTD21" s="29"/>
      <c r="LTE21" s="29"/>
      <c r="LTF21" s="29"/>
      <c r="LTG21" s="29"/>
      <c r="LTH21" s="29"/>
      <c r="LTI21" s="29"/>
      <c r="LTJ21" s="29"/>
      <c r="LTK21" s="29"/>
      <c r="LTL21" s="29"/>
      <c r="LTM21" s="29"/>
      <c r="LTN21" s="29"/>
      <c r="LTO21" s="29"/>
      <c r="LTP21" s="29"/>
      <c r="LTQ21" s="29"/>
      <c r="LTR21" s="29"/>
      <c r="LTS21" s="29"/>
      <c r="LTT21" s="29"/>
      <c r="LTU21" s="29"/>
      <c r="LTV21" s="29"/>
      <c r="LTW21" s="29"/>
      <c r="LTX21" s="29"/>
      <c r="LTY21" s="29"/>
      <c r="LTZ21" s="29"/>
      <c r="LUA21" s="29"/>
      <c r="LUB21" s="29"/>
      <c r="LUC21" s="29"/>
      <c r="LUD21" s="29"/>
      <c r="LUE21" s="29"/>
      <c r="LUF21" s="29"/>
      <c r="LUG21" s="29"/>
      <c r="LUH21" s="29"/>
      <c r="LUI21" s="29"/>
      <c r="LUJ21" s="29"/>
      <c r="LUK21" s="29"/>
      <c r="LUL21" s="29"/>
      <c r="LUM21" s="29"/>
      <c r="LUN21" s="29"/>
      <c r="LUO21" s="29"/>
      <c r="LUP21" s="29"/>
      <c r="LUQ21" s="29"/>
      <c r="LUR21" s="29"/>
      <c r="LUS21" s="29"/>
      <c r="LUT21" s="29"/>
      <c r="LUU21" s="29"/>
      <c r="LUV21" s="29"/>
      <c r="LUW21" s="29"/>
      <c r="LUX21" s="29"/>
      <c r="LUY21" s="29"/>
      <c r="LUZ21" s="29"/>
      <c r="LVA21" s="29"/>
      <c r="LVB21" s="29"/>
      <c r="LVC21" s="29"/>
      <c r="LVD21" s="29"/>
      <c r="LVE21" s="29"/>
      <c r="LVF21" s="29"/>
      <c r="LVG21" s="29"/>
      <c r="LVH21" s="29"/>
      <c r="LVI21" s="29"/>
      <c r="LVJ21" s="29"/>
      <c r="LVK21" s="29"/>
      <c r="LVL21" s="29"/>
      <c r="LVM21" s="29"/>
      <c r="LVN21" s="29"/>
      <c r="LVO21" s="29"/>
      <c r="LVP21" s="29"/>
      <c r="LVQ21" s="29"/>
      <c r="LVR21" s="29"/>
      <c r="LVS21" s="29"/>
      <c r="LVT21" s="29"/>
      <c r="LVU21" s="29"/>
      <c r="LVV21" s="29"/>
      <c r="LVW21" s="29"/>
      <c r="LVX21" s="29"/>
      <c r="LVY21" s="29"/>
      <c r="LVZ21" s="29"/>
      <c r="LWA21" s="29"/>
      <c r="LWB21" s="29"/>
      <c r="LWC21" s="29"/>
      <c r="LWD21" s="29"/>
      <c r="LWE21" s="29"/>
      <c r="LWF21" s="29"/>
      <c r="LWG21" s="29"/>
      <c r="LWH21" s="29"/>
      <c r="LWI21" s="29"/>
      <c r="LWJ21" s="29"/>
      <c r="LWK21" s="29"/>
      <c r="LWL21" s="29"/>
      <c r="LWM21" s="29"/>
      <c r="LWN21" s="29"/>
      <c r="LWO21" s="29"/>
      <c r="LWP21" s="29"/>
      <c r="LWQ21" s="29"/>
      <c r="LWR21" s="29"/>
      <c r="LWS21" s="29"/>
      <c r="LWT21" s="29"/>
      <c r="LWU21" s="29"/>
      <c r="LWV21" s="29"/>
      <c r="LWW21" s="29"/>
      <c r="LWX21" s="29"/>
      <c r="LWY21" s="29"/>
      <c r="LWZ21" s="29"/>
      <c r="LXA21" s="29"/>
      <c r="LXB21" s="29"/>
      <c r="LXC21" s="29"/>
      <c r="LXD21" s="29"/>
      <c r="LXE21" s="29"/>
      <c r="LXF21" s="29"/>
      <c r="LXG21" s="29"/>
      <c r="LXH21" s="29"/>
      <c r="LXI21" s="29"/>
      <c r="LXJ21" s="29"/>
      <c r="LXK21" s="29"/>
      <c r="LXL21" s="29"/>
      <c r="LXM21" s="29"/>
      <c r="LXN21" s="29"/>
      <c r="LXO21" s="29"/>
      <c r="LXP21" s="29"/>
      <c r="LXQ21" s="29"/>
      <c r="LXR21" s="29"/>
      <c r="LXS21" s="29"/>
      <c r="LXT21" s="29"/>
      <c r="LXU21" s="29"/>
      <c r="LXV21" s="29"/>
      <c r="LXW21" s="29"/>
      <c r="LXX21" s="29"/>
      <c r="LXY21" s="29"/>
      <c r="LXZ21" s="29"/>
      <c r="LYA21" s="29"/>
      <c r="LYB21" s="29"/>
      <c r="LYC21" s="29"/>
      <c r="LYD21" s="29"/>
      <c r="LYE21" s="29"/>
      <c r="LYF21" s="29"/>
      <c r="LYG21" s="29"/>
      <c r="LYH21" s="29"/>
      <c r="LYI21" s="29"/>
      <c r="LYJ21" s="29"/>
      <c r="LYK21" s="29"/>
      <c r="LYL21" s="29"/>
      <c r="LYM21" s="29"/>
      <c r="LYN21" s="29"/>
      <c r="LYO21" s="29"/>
      <c r="LYP21" s="29"/>
      <c r="LYQ21" s="29"/>
      <c r="LYR21" s="29"/>
      <c r="LYS21" s="29"/>
      <c r="LYT21" s="29"/>
      <c r="LYU21" s="29"/>
      <c r="LYV21" s="29"/>
      <c r="LYW21" s="29"/>
      <c r="LYX21" s="29"/>
      <c r="LYY21" s="29"/>
      <c r="LYZ21" s="29"/>
      <c r="LZA21" s="29"/>
      <c r="LZB21" s="29"/>
      <c r="LZC21" s="29"/>
      <c r="LZD21" s="29"/>
      <c r="LZE21" s="29"/>
      <c r="LZF21" s="29"/>
      <c r="LZG21" s="29"/>
      <c r="LZH21" s="29"/>
      <c r="LZI21" s="29"/>
      <c r="LZJ21" s="29"/>
      <c r="LZK21" s="29"/>
      <c r="LZL21" s="29"/>
      <c r="LZM21" s="29"/>
      <c r="LZN21" s="29"/>
      <c r="LZO21" s="29"/>
      <c r="LZP21" s="29"/>
      <c r="LZQ21" s="29"/>
      <c r="LZR21" s="29"/>
      <c r="LZS21" s="29"/>
      <c r="LZT21" s="29"/>
      <c r="LZU21" s="29"/>
      <c r="LZV21" s="29"/>
      <c r="LZW21" s="29"/>
      <c r="LZX21" s="29"/>
      <c r="LZY21" s="29"/>
      <c r="LZZ21" s="29"/>
      <c r="MAA21" s="29"/>
      <c r="MAB21" s="29"/>
      <c r="MAC21" s="29"/>
      <c r="MAD21" s="29"/>
      <c r="MAE21" s="29"/>
      <c r="MAF21" s="29"/>
      <c r="MAG21" s="29"/>
      <c r="MAH21" s="29"/>
      <c r="MAI21" s="29"/>
      <c r="MAJ21" s="29"/>
      <c r="MAK21" s="29"/>
      <c r="MAL21" s="29"/>
      <c r="MAM21" s="29"/>
      <c r="MAN21" s="29"/>
      <c r="MAO21" s="29"/>
      <c r="MAP21" s="29"/>
      <c r="MAQ21" s="29"/>
      <c r="MAR21" s="29"/>
      <c r="MAS21" s="29"/>
      <c r="MAT21" s="29"/>
      <c r="MAU21" s="29"/>
      <c r="MAV21" s="29"/>
      <c r="MAW21" s="29"/>
      <c r="MAX21" s="29"/>
      <c r="MAY21" s="29"/>
      <c r="MAZ21" s="29"/>
      <c r="MBA21" s="29"/>
      <c r="MBB21" s="29"/>
      <c r="MBC21" s="29"/>
      <c r="MBD21" s="29"/>
      <c r="MBE21" s="29"/>
      <c r="MBF21" s="29"/>
      <c r="MBG21" s="29"/>
      <c r="MBH21" s="29"/>
      <c r="MBI21" s="29"/>
      <c r="MBJ21" s="29"/>
      <c r="MBK21" s="29"/>
      <c r="MBL21" s="29"/>
      <c r="MBM21" s="29"/>
      <c r="MBN21" s="29"/>
      <c r="MBO21" s="29"/>
      <c r="MBP21" s="29"/>
      <c r="MBQ21" s="29"/>
      <c r="MBR21" s="29"/>
      <c r="MBS21" s="29"/>
      <c r="MBT21" s="29"/>
      <c r="MBU21" s="29"/>
      <c r="MBV21" s="29"/>
      <c r="MBW21" s="29"/>
      <c r="MBX21" s="29"/>
      <c r="MBY21" s="29"/>
      <c r="MBZ21" s="29"/>
      <c r="MCA21" s="29"/>
      <c r="MCB21" s="29"/>
      <c r="MCC21" s="29"/>
      <c r="MCD21" s="29"/>
      <c r="MCE21" s="29"/>
      <c r="MCF21" s="29"/>
      <c r="MCG21" s="29"/>
      <c r="MCH21" s="29"/>
      <c r="MCI21" s="29"/>
      <c r="MCJ21" s="29"/>
      <c r="MCK21" s="29"/>
      <c r="MCL21" s="29"/>
      <c r="MCM21" s="29"/>
      <c r="MCN21" s="29"/>
      <c r="MCO21" s="29"/>
      <c r="MCP21" s="29"/>
      <c r="MCQ21" s="29"/>
      <c r="MCR21" s="29"/>
      <c r="MCS21" s="29"/>
      <c r="MCT21" s="29"/>
      <c r="MCU21" s="29"/>
      <c r="MCV21" s="29"/>
      <c r="MCW21" s="29"/>
      <c r="MCX21" s="29"/>
      <c r="MCY21" s="29"/>
      <c r="MCZ21" s="29"/>
      <c r="MDA21" s="29"/>
      <c r="MDB21" s="29"/>
      <c r="MDC21" s="29"/>
      <c r="MDD21" s="29"/>
      <c r="MDE21" s="29"/>
      <c r="MDF21" s="29"/>
      <c r="MDG21" s="29"/>
      <c r="MDH21" s="29"/>
      <c r="MDI21" s="29"/>
      <c r="MDJ21" s="29"/>
      <c r="MDK21" s="29"/>
      <c r="MDL21" s="29"/>
      <c r="MDM21" s="29"/>
      <c r="MDN21" s="29"/>
      <c r="MDO21" s="29"/>
      <c r="MDP21" s="29"/>
      <c r="MDQ21" s="29"/>
      <c r="MDR21" s="29"/>
      <c r="MDS21" s="29"/>
      <c r="MDT21" s="29"/>
      <c r="MDU21" s="29"/>
      <c r="MDV21" s="29"/>
      <c r="MDW21" s="29"/>
      <c r="MDX21" s="29"/>
      <c r="MDY21" s="29"/>
      <c r="MDZ21" s="29"/>
      <c r="MEA21" s="29"/>
      <c r="MEB21" s="29"/>
      <c r="MEC21" s="29"/>
      <c r="MED21" s="29"/>
      <c r="MEE21" s="29"/>
      <c r="MEF21" s="29"/>
      <c r="MEG21" s="29"/>
      <c r="MEH21" s="29"/>
      <c r="MEI21" s="29"/>
      <c r="MEJ21" s="29"/>
      <c r="MEK21" s="29"/>
      <c r="MEL21" s="29"/>
      <c r="MEM21" s="29"/>
      <c r="MEN21" s="29"/>
      <c r="MEO21" s="29"/>
      <c r="MEP21" s="29"/>
      <c r="MEQ21" s="29"/>
      <c r="MER21" s="29"/>
      <c r="MES21" s="29"/>
      <c r="MET21" s="29"/>
      <c r="MEU21" s="29"/>
      <c r="MEV21" s="29"/>
      <c r="MEW21" s="29"/>
      <c r="MEX21" s="29"/>
      <c r="MEY21" s="29"/>
      <c r="MEZ21" s="29"/>
      <c r="MFA21" s="29"/>
      <c r="MFB21" s="29"/>
      <c r="MFC21" s="29"/>
      <c r="MFD21" s="29"/>
      <c r="MFE21" s="29"/>
      <c r="MFF21" s="29"/>
      <c r="MFG21" s="29"/>
      <c r="MFH21" s="29"/>
      <c r="MFI21" s="29"/>
      <c r="MFJ21" s="29"/>
      <c r="MFK21" s="29"/>
      <c r="MFL21" s="29"/>
      <c r="MFM21" s="29"/>
      <c r="MFN21" s="29"/>
      <c r="MFO21" s="29"/>
      <c r="MFP21" s="29"/>
      <c r="MFQ21" s="29"/>
      <c r="MFR21" s="29"/>
      <c r="MFS21" s="29"/>
      <c r="MFT21" s="29"/>
      <c r="MFU21" s="29"/>
      <c r="MFV21" s="29"/>
      <c r="MFW21" s="29"/>
      <c r="MFX21" s="29"/>
      <c r="MFY21" s="29"/>
      <c r="MFZ21" s="29"/>
      <c r="MGA21" s="29"/>
      <c r="MGB21" s="29"/>
      <c r="MGC21" s="29"/>
      <c r="MGD21" s="29"/>
      <c r="MGE21" s="29"/>
      <c r="MGF21" s="29"/>
      <c r="MGG21" s="29"/>
      <c r="MGH21" s="29"/>
      <c r="MGI21" s="29"/>
      <c r="MGJ21" s="29"/>
      <c r="MGK21" s="29"/>
      <c r="MGL21" s="29"/>
      <c r="MGM21" s="29"/>
      <c r="MGN21" s="29"/>
      <c r="MGO21" s="29"/>
      <c r="MGP21" s="29"/>
      <c r="MGQ21" s="29"/>
      <c r="MGR21" s="29"/>
      <c r="MGS21" s="29"/>
      <c r="MGT21" s="29"/>
      <c r="MGU21" s="29"/>
      <c r="MGV21" s="29"/>
      <c r="MGW21" s="29"/>
      <c r="MGX21" s="29"/>
      <c r="MGY21" s="29"/>
      <c r="MGZ21" s="29"/>
      <c r="MHA21" s="29"/>
      <c r="MHB21" s="29"/>
      <c r="MHC21" s="29"/>
      <c r="MHD21" s="29"/>
      <c r="MHE21" s="29"/>
      <c r="MHF21" s="29"/>
      <c r="MHG21" s="29"/>
      <c r="MHH21" s="29"/>
      <c r="MHI21" s="29"/>
      <c r="MHJ21" s="29"/>
      <c r="MHK21" s="29"/>
      <c r="MHL21" s="29"/>
      <c r="MHM21" s="29"/>
      <c r="MHN21" s="29"/>
      <c r="MHO21" s="29"/>
      <c r="MHP21" s="29"/>
      <c r="MHQ21" s="29"/>
      <c r="MHR21" s="29"/>
      <c r="MHS21" s="29"/>
      <c r="MHT21" s="29"/>
      <c r="MHU21" s="29"/>
      <c r="MHV21" s="29"/>
      <c r="MHW21" s="29"/>
      <c r="MHX21" s="29"/>
      <c r="MHY21" s="29"/>
      <c r="MHZ21" s="29"/>
      <c r="MIA21" s="29"/>
      <c r="MIB21" s="29"/>
      <c r="MIC21" s="29"/>
      <c r="MID21" s="29"/>
      <c r="MIE21" s="29"/>
      <c r="MIF21" s="29"/>
      <c r="MIG21" s="29"/>
      <c r="MIH21" s="29"/>
      <c r="MII21" s="29"/>
      <c r="MIJ21" s="29"/>
      <c r="MIK21" s="29"/>
      <c r="MIL21" s="29"/>
      <c r="MIM21" s="29"/>
      <c r="MIN21" s="29"/>
      <c r="MIO21" s="29"/>
      <c r="MIP21" s="29"/>
      <c r="MIQ21" s="29"/>
      <c r="MIR21" s="29"/>
      <c r="MIS21" s="29"/>
      <c r="MIT21" s="29"/>
      <c r="MIU21" s="29"/>
      <c r="MIV21" s="29"/>
      <c r="MIW21" s="29"/>
      <c r="MIX21" s="29"/>
      <c r="MIY21" s="29"/>
      <c r="MIZ21" s="29"/>
      <c r="MJA21" s="29"/>
      <c r="MJB21" s="29"/>
      <c r="MJC21" s="29"/>
      <c r="MJD21" s="29"/>
      <c r="MJE21" s="29"/>
      <c r="MJF21" s="29"/>
      <c r="MJG21" s="29"/>
      <c r="MJH21" s="29"/>
      <c r="MJI21" s="29"/>
      <c r="MJJ21" s="29"/>
      <c r="MJK21" s="29"/>
      <c r="MJL21" s="29"/>
      <c r="MJM21" s="29"/>
      <c r="MJN21" s="29"/>
      <c r="MJO21" s="29"/>
      <c r="MJP21" s="29"/>
      <c r="MJQ21" s="29"/>
      <c r="MJR21" s="29"/>
      <c r="MJS21" s="29"/>
      <c r="MJT21" s="29"/>
      <c r="MJU21" s="29"/>
      <c r="MJV21" s="29"/>
      <c r="MJW21" s="29"/>
      <c r="MJX21" s="29"/>
      <c r="MJY21" s="29"/>
      <c r="MJZ21" s="29"/>
      <c r="MKA21" s="29"/>
      <c r="MKB21" s="29"/>
      <c r="MKC21" s="29"/>
      <c r="MKD21" s="29"/>
      <c r="MKE21" s="29"/>
      <c r="MKF21" s="29"/>
      <c r="MKG21" s="29"/>
      <c r="MKH21" s="29"/>
      <c r="MKI21" s="29"/>
      <c r="MKJ21" s="29"/>
      <c r="MKK21" s="29"/>
      <c r="MKL21" s="29"/>
      <c r="MKM21" s="29"/>
      <c r="MKN21" s="29"/>
      <c r="MKO21" s="29"/>
      <c r="MKP21" s="29"/>
      <c r="MKQ21" s="29"/>
      <c r="MKR21" s="29"/>
      <c r="MKS21" s="29"/>
      <c r="MKT21" s="29"/>
      <c r="MKU21" s="29"/>
      <c r="MKV21" s="29"/>
      <c r="MKW21" s="29"/>
      <c r="MKX21" s="29"/>
      <c r="MKY21" s="29"/>
      <c r="MKZ21" s="29"/>
      <c r="MLA21" s="29"/>
      <c r="MLB21" s="29"/>
      <c r="MLC21" s="29"/>
      <c r="MLD21" s="29"/>
      <c r="MLE21" s="29"/>
      <c r="MLF21" s="29"/>
      <c r="MLG21" s="29"/>
      <c r="MLH21" s="29"/>
      <c r="MLI21" s="29"/>
      <c r="MLJ21" s="29"/>
      <c r="MLK21" s="29"/>
      <c r="MLL21" s="29"/>
      <c r="MLM21" s="29"/>
      <c r="MLN21" s="29"/>
      <c r="MLO21" s="29"/>
      <c r="MLP21" s="29"/>
      <c r="MLQ21" s="29"/>
      <c r="MLR21" s="29"/>
      <c r="MLS21" s="29"/>
      <c r="MLT21" s="29"/>
      <c r="MLU21" s="29"/>
      <c r="MLV21" s="29"/>
      <c r="MLW21" s="29"/>
      <c r="MLX21" s="29"/>
      <c r="MLY21" s="29"/>
      <c r="MLZ21" s="29"/>
      <c r="MMA21" s="29"/>
      <c r="MMB21" s="29"/>
      <c r="MMC21" s="29"/>
      <c r="MMD21" s="29"/>
      <c r="MME21" s="29"/>
      <c r="MMF21" s="29"/>
      <c r="MMG21" s="29"/>
      <c r="MMH21" s="29"/>
      <c r="MMI21" s="29"/>
      <c r="MMJ21" s="29"/>
      <c r="MMK21" s="29"/>
      <c r="MML21" s="29"/>
      <c r="MMM21" s="29"/>
      <c r="MMN21" s="29"/>
      <c r="MMO21" s="29"/>
      <c r="MMP21" s="29"/>
      <c r="MMQ21" s="29"/>
      <c r="MMR21" s="29"/>
      <c r="MMS21" s="29"/>
      <c r="MMT21" s="29"/>
      <c r="MMU21" s="29"/>
      <c r="MMV21" s="29"/>
      <c r="MMW21" s="29"/>
      <c r="MMX21" s="29"/>
      <c r="MMY21" s="29"/>
      <c r="MMZ21" s="29"/>
      <c r="MNA21" s="29"/>
      <c r="MNB21" s="29"/>
      <c r="MNC21" s="29"/>
      <c r="MND21" s="29"/>
      <c r="MNE21" s="29"/>
      <c r="MNF21" s="29"/>
      <c r="MNG21" s="29"/>
      <c r="MNH21" s="29"/>
      <c r="MNI21" s="29"/>
      <c r="MNJ21" s="29"/>
      <c r="MNK21" s="29"/>
      <c r="MNL21" s="29"/>
      <c r="MNM21" s="29"/>
      <c r="MNN21" s="29"/>
      <c r="MNO21" s="29"/>
      <c r="MNP21" s="29"/>
      <c r="MNQ21" s="29"/>
      <c r="MNR21" s="29"/>
      <c r="MNS21" s="29"/>
      <c r="MNT21" s="29"/>
      <c r="MNU21" s="29"/>
      <c r="MNV21" s="29"/>
      <c r="MNW21" s="29"/>
      <c r="MNX21" s="29"/>
      <c r="MNY21" s="29"/>
      <c r="MNZ21" s="29"/>
      <c r="MOA21" s="29"/>
      <c r="MOB21" s="29"/>
      <c r="MOC21" s="29"/>
      <c r="MOD21" s="29"/>
      <c r="MOE21" s="29"/>
      <c r="MOF21" s="29"/>
      <c r="MOG21" s="29"/>
      <c r="MOH21" s="29"/>
      <c r="MOI21" s="29"/>
      <c r="MOJ21" s="29"/>
      <c r="MOK21" s="29"/>
      <c r="MOL21" s="29"/>
      <c r="MOM21" s="29"/>
      <c r="MON21" s="29"/>
      <c r="MOO21" s="29"/>
      <c r="MOP21" s="29"/>
      <c r="MOQ21" s="29"/>
      <c r="MOR21" s="29"/>
      <c r="MOS21" s="29"/>
      <c r="MOT21" s="29"/>
      <c r="MOU21" s="29"/>
      <c r="MOV21" s="29"/>
      <c r="MOW21" s="29"/>
      <c r="MOX21" s="29"/>
      <c r="MOY21" s="29"/>
      <c r="MOZ21" s="29"/>
      <c r="MPA21" s="29"/>
      <c r="MPB21" s="29"/>
      <c r="MPC21" s="29"/>
      <c r="MPD21" s="29"/>
      <c r="MPE21" s="29"/>
      <c r="MPF21" s="29"/>
      <c r="MPG21" s="29"/>
      <c r="MPH21" s="29"/>
      <c r="MPI21" s="29"/>
      <c r="MPJ21" s="29"/>
      <c r="MPK21" s="29"/>
      <c r="MPL21" s="29"/>
      <c r="MPM21" s="29"/>
      <c r="MPN21" s="29"/>
      <c r="MPO21" s="29"/>
      <c r="MPP21" s="29"/>
      <c r="MPQ21" s="29"/>
      <c r="MPR21" s="29"/>
      <c r="MPS21" s="29"/>
      <c r="MPT21" s="29"/>
      <c r="MPU21" s="29"/>
      <c r="MPV21" s="29"/>
      <c r="MPW21" s="29"/>
      <c r="MPX21" s="29"/>
      <c r="MPY21" s="29"/>
      <c r="MPZ21" s="29"/>
      <c r="MQA21" s="29"/>
      <c r="MQB21" s="29"/>
      <c r="MQC21" s="29"/>
      <c r="MQD21" s="29"/>
      <c r="MQE21" s="29"/>
      <c r="MQF21" s="29"/>
      <c r="MQG21" s="29"/>
      <c r="MQH21" s="29"/>
      <c r="MQI21" s="29"/>
      <c r="MQJ21" s="29"/>
      <c r="MQK21" s="29"/>
      <c r="MQL21" s="29"/>
      <c r="MQM21" s="29"/>
      <c r="MQN21" s="29"/>
      <c r="MQO21" s="29"/>
      <c r="MQP21" s="29"/>
      <c r="MQQ21" s="29"/>
      <c r="MQR21" s="29"/>
      <c r="MQS21" s="29"/>
      <c r="MQT21" s="29"/>
      <c r="MQU21" s="29"/>
      <c r="MQV21" s="29"/>
      <c r="MQW21" s="29"/>
      <c r="MQX21" s="29"/>
      <c r="MQY21" s="29"/>
      <c r="MQZ21" s="29"/>
      <c r="MRA21" s="29"/>
      <c r="MRB21" s="29"/>
      <c r="MRC21" s="29"/>
      <c r="MRD21" s="29"/>
      <c r="MRE21" s="29"/>
      <c r="MRF21" s="29"/>
      <c r="MRG21" s="29"/>
      <c r="MRH21" s="29"/>
      <c r="MRI21" s="29"/>
      <c r="MRJ21" s="29"/>
      <c r="MRK21" s="29"/>
      <c r="MRL21" s="29"/>
      <c r="MRM21" s="29"/>
      <c r="MRN21" s="29"/>
      <c r="MRO21" s="29"/>
      <c r="MRP21" s="29"/>
      <c r="MRQ21" s="29"/>
      <c r="MRR21" s="29"/>
      <c r="MRS21" s="29"/>
      <c r="MRT21" s="29"/>
      <c r="MRU21" s="29"/>
      <c r="MRV21" s="29"/>
      <c r="MRW21" s="29"/>
      <c r="MRX21" s="29"/>
      <c r="MRY21" s="29"/>
      <c r="MRZ21" s="29"/>
      <c r="MSA21" s="29"/>
      <c r="MSB21" s="29"/>
      <c r="MSC21" s="29"/>
      <c r="MSD21" s="29"/>
      <c r="MSE21" s="29"/>
      <c r="MSF21" s="29"/>
      <c r="MSG21" s="29"/>
      <c r="MSH21" s="29"/>
      <c r="MSI21" s="29"/>
      <c r="MSJ21" s="29"/>
      <c r="MSK21" s="29"/>
      <c r="MSL21" s="29"/>
      <c r="MSM21" s="29"/>
      <c r="MSN21" s="29"/>
      <c r="MSO21" s="29"/>
      <c r="MSP21" s="29"/>
      <c r="MSQ21" s="29"/>
      <c r="MSR21" s="29"/>
      <c r="MSS21" s="29"/>
      <c r="MST21" s="29"/>
      <c r="MSU21" s="29"/>
      <c r="MSV21" s="29"/>
      <c r="MSW21" s="29"/>
      <c r="MSX21" s="29"/>
      <c r="MSY21" s="29"/>
      <c r="MSZ21" s="29"/>
      <c r="MTA21" s="29"/>
      <c r="MTB21" s="29"/>
      <c r="MTC21" s="29"/>
      <c r="MTD21" s="29"/>
      <c r="MTE21" s="29"/>
      <c r="MTF21" s="29"/>
      <c r="MTG21" s="29"/>
      <c r="MTH21" s="29"/>
      <c r="MTI21" s="29"/>
      <c r="MTJ21" s="29"/>
      <c r="MTK21" s="29"/>
      <c r="MTL21" s="29"/>
      <c r="MTM21" s="29"/>
      <c r="MTN21" s="29"/>
      <c r="MTO21" s="29"/>
      <c r="MTP21" s="29"/>
      <c r="MTQ21" s="29"/>
      <c r="MTR21" s="29"/>
      <c r="MTS21" s="29"/>
      <c r="MTT21" s="29"/>
      <c r="MTU21" s="29"/>
      <c r="MTV21" s="29"/>
      <c r="MTW21" s="29"/>
      <c r="MTX21" s="29"/>
      <c r="MTY21" s="29"/>
      <c r="MTZ21" s="29"/>
      <c r="MUA21" s="29"/>
      <c r="MUB21" s="29"/>
      <c r="MUC21" s="29"/>
      <c r="MUD21" s="29"/>
      <c r="MUE21" s="29"/>
      <c r="MUF21" s="29"/>
      <c r="MUG21" s="29"/>
      <c r="MUH21" s="29"/>
      <c r="MUI21" s="29"/>
      <c r="MUJ21" s="29"/>
      <c r="MUK21" s="29"/>
      <c r="MUL21" s="29"/>
      <c r="MUM21" s="29"/>
      <c r="MUN21" s="29"/>
      <c r="MUO21" s="29"/>
      <c r="MUP21" s="29"/>
      <c r="MUQ21" s="29"/>
      <c r="MUR21" s="29"/>
      <c r="MUS21" s="29"/>
      <c r="MUT21" s="29"/>
      <c r="MUU21" s="29"/>
      <c r="MUV21" s="29"/>
      <c r="MUW21" s="29"/>
      <c r="MUX21" s="29"/>
      <c r="MUY21" s="29"/>
      <c r="MUZ21" s="29"/>
      <c r="MVA21" s="29"/>
      <c r="MVB21" s="29"/>
      <c r="MVC21" s="29"/>
      <c r="MVD21" s="29"/>
      <c r="MVE21" s="29"/>
      <c r="MVF21" s="29"/>
      <c r="MVG21" s="29"/>
      <c r="MVH21" s="29"/>
      <c r="MVI21" s="29"/>
      <c r="MVJ21" s="29"/>
      <c r="MVK21" s="29"/>
      <c r="MVL21" s="29"/>
      <c r="MVM21" s="29"/>
      <c r="MVN21" s="29"/>
      <c r="MVO21" s="29"/>
      <c r="MVP21" s="29"/>
      <c r="MVQ21" s="29"/>
      <c r="MVR21" s="29"/>
      <c r="MVS21" s="29"/>
      <c r="MVT21" s="29"/>
      <c r="MVU21" s="29"/>
      <c r="MVV21" s="29"/>
      <c r="MVW21" s="29"/>
      <c r="MVX21" s="29"/>
      <c r="MVY21" s="29"/>
      <c r="MVZ21" s="29"/>
      <c r="MWA21" s="29"/>
      <c r="MWB21" s="29"/>
      <c r="MWC21" s="29"/>
      <c r="MWD21" s="29"/>
      <c r="MWE21" s="29"/>
      <c r="MWF21" s="29"/>
      <c r="MWG21" s="29"/>
      <c r="MWH21" s="29"/>
      <c r="MWI21" s="29"/>
      <c r="MWJ21" s="29"/>
      <c r="MWK21" s="29"/>
      <c r="MWL21" s="29"/>
      <c r="MWM21" s="29"/>
      <c r="MWN21" s="29"/>
      <c r="MWO21" s="29"/>
      <c r="MWP21" s="29"/>
      <c r="MWQ21" s="29"/>
      <c r="MWR21" s="29"/>
      <c r="MWS21" s="29"/>
      <c r="MWT21" s="29"/>
      <c r="MWU21" s="29"/>
      <c r="MWV21" s="29"/>
      <c r="MWW21" s="29"/>
      <c r="MWX21" s="29"/>
      <c r="MWY21" s="29"/>
      <c r="MWZ21" s="29"/>
      <c r="MXA21" s="29"/>
      <c r="MXB21" s="29"/>
      <c r="MXC21" s="29"/>
      <c r="MXD21" s="29"/>
      <c r="MXE21" s="29"/>
      <c r="MXF21" s="29"/>
      <c r="MXG21" s="29"/>
      <c r="MXH21" s="29"/>
      <c r="MXI21" s="29"/>
      <c r="MXJ21" s="29"/>
      <c r="MXK21" s="29"/>
      <c r="MXL21" s="29"/>
      <c r="MXM21" s="29"/>
      <c r="MXN21" s="29"/>
      <c r="MXO21" s="29"/>
      <c r="MXP21" s="29"/>
      <c r="MXQ21" s="29"/>
      <c r="MXR21" s="29"/>
      <c r="MXS21" s="29"/>
      <c r="MXT21" s="29"/>
      <c r="MXU21" s="29"/>
      <c r="MXV21" s="29"/>
      <c r="MXW21" s="29"/>
      <c r="MXX21" s="29"/>
      <c r="MXY21" s="29"/>
      <c r="MXZ21" s="29"/>
      <c r="MYA21" s="29"/>
      <c r="MYB21" s="29"/>
      <c r="MYC21" s="29"/>
      <c r="MYD21" s="29"/>
      <c r="MYE21" s="29"/>
      <c r="MYF21" s="29"/>
      <c r="MYG21" s="29"/>
      <c r="MYH21" s="29"/>
      <c r="MYI21" s="29"/>
      <c r="MYJ21" s="29"/>
      <c r="MYK21" s="29"/>
      <c r="MYL21" s="29"/>
      <c r="MYM21" s="29"/>
      <c r="MYN21" s="29"/>
      <c r="MYO21" s="29"/>
      <c r="MYP21" s="29"/>
      <c r="MYQ21" s="29"/>
      <c r="MYR21" s="29"/>
      <c r="MYS21" s="29"/>
      <c r="MYT21" s="29"/>
      <c r="MYU21" s="29"/>
      <c r="MYV21" s="29"/>
      <c r="MYW21" s="29"/>
      <c r="MYX21" s="29"/>
      <c r="MYY21" s="29"/>
      <c r="MYZ21" s="29"/>
      <c r="MZA21" s="29"/>
      <c r="MZB21" s="29"/>
      <c r="MZC21" s="29"/>
      <c r="MZD21" s="29"/>
      <c r="MZE21" s="29"/>
      <c r="MZF21" s="29"/>
      <c r="MZG21" s="29"/>
      <c r="MZH21" s="29"/>
      <c r="MZI21" s="29"/>
      <c r="MZJ21" s="29"/>
      <c r="MZK21" s="29"/>
      <c r="MZL21" s="29"/>
      <c r="MZM21" s="29"/>
      <c r="MZN21" s="29"/>
      <c r="MZO21" s="29"/>
      <c r="MZP21" s="29"/>
      <c r="MZQ21" s="29"/>
      <c r="MZR21" s="29"/>
      <c r="MZS21" s="29"/>
      <c r="MZT21" s="29"/>
      <c r="MZU21" s="29"/>
      <c r="MZV21" s="29"/>
      <c r="MZW21" s="29"/>
      <c r="MZX21" s="29"/>
      <c r="MZY21" s="29"/>
      <c r="MZZ21" s="29"/>
      <c r="NAA21" s="29"/>
      <c r="NAB21" s="29"/>
      <c r="NAC21" s="29"/>
      <c r="NAD21" s="29"/>
      <c r="NAE21" s="29"/>
      <c r="NAF21" s="29"/>
      <c r="NAG21" s="29"/>
      <c r="NAH21" s="29"/>
      <c r="NAI21" s="29"/>
      <c r="NAJ21" s="29"/>
      <c r="NAK21" s="29"/>
      <c r="NAL21" s="29"/>
      <c r="NAM21" s="29"/>
      <c r="NAN21" s="29"/>
      <c r="NAO21" s="29"/>
      <c r="NAP21" s="29"/>
      <c r="NAQ21" s="29"/>
      <c r="NAR21" s="29"/>
      <c r="NAS21" s="29"/>
      <c r="NAT21" s="29"/>
      <c r="NAU21" s="29"/>
      <c r="NAV21" s="29"/>
      <c r="NAW21" s="29"/>
      <c r="NAX21" s="29"/>
      <c r="NAY21" s="29"/>
      <c r="NAZ21" s="29"/>
      <c r="NBA21" s="29"/>
      <c r="NBB21" s="29"/>
      <c r="NBC21" s="29"/>
      <c r="NBD21" s="29"/>
      <c r="NBE21" s="29"/>
      <c r="NBF21" s="29"/>
      <c r="NBG21" s="29"/>
      <c r="NBH21" s="29"/>
      <c r="NBI21" s="29"/>
      <c r="NBJ21" s="29"/>
      <c r="NBK21" s="29"/>
      <c r="NBL21" s="29"/>
      <c r="NBM21" s="29"/>
      <c r="NBN21" s="29"/>
      <c r="NBO21" s="29"/>
      <c r="NBP21" s="29"/>
      <c r="NBQ21" s="29"/>
      <c r="NBR21" s="29"/>
      <c r="NBS21" s="29"/>
      <c r="NBT21" s="29"/>
      <c r="NBU21" s="29"/>
      <c r="NBV21" s="29"/>
      <c r="NBW21" s="29"/>
      <c r="NBX21" s="29"/>
      <c r="NBY21" s="29"/>
      <c r="NBZ21" s="29"/>
      <c r="NCA21" s="29"/>
      <c r="NCB21" s="29"/>
      <c r="NCC21" s="29"/>
      <c r="NCD21" s="29"/>
      <c r="NCE21" s="29"/>
      <c r="NCF21" s="29"/>
      <c r="NCG21" s="29"/>
      <c r="NCH21" s="29"/>
      <c r="NCI21" s="29"/>
      <c r="NCJ21" s="29"/>
      <c r="NCK21" s="29"/>
      <c r="NCL21" s="29"/>
      <c r="NCM21" s="29"/>
      <c r="NCN21" s="29"/>
      <c r="NCO21" s="29"/>
      <c r="NCP21" s="29"/>
      <c r="NCQ21" s="29"/>
      <c r="NCR21" s="29"/>
      <c r="NCS21" s="29"/>
      <c r="NCT21" s="29"/>
      <c r="NCU21" s="29"/>
      <c r="NCV21" s="29"/>
      <c r="NCW21" s="29"/>
      <c r="NCX21" s="29"/>
      <c r="NCY21" s="29"/>
      <c r="NCZ21" s="29"/>
      <c r="NDA21" s="29"/>
      <c r="NDB21" s="29"/>
      <c r="NDC21" s="29"/>
      <c r="NDD21" s="29"/>
      <c r="NDE21" s="29"/>
      <c r="NDF21" s="29"/>
      <c r="NDG21" s="29"/>
      <c r="NDH21" s="29"/>
      <c r="NDI21" s="29"/>
      <c r="NDJ21" s="29"/>
      <c r="NDK21" s="29"/>
      <c r="NDL21" s="29"/>
      <c r="NDM21" s="29"/>
      <c r="NDN21" s="29"/>
      <c r="NDO21" s="29"/>
      <c r="NDP21" s="29"/>
      <c r="NDQ21" s="29"/>
      <c r="NDR21" s="29"/>
      <c r="NDS21" s="29"/>
      <c r="NDT21" s="29"/>
      <c r="NDU21" s="29"/>
      <c r="NDV21" s="29"/>
      <c r="NDW21" s="29"/>
      <c r="NDX21" s="29"/>
      <c r="NDY21" s="29"/>
      <c r="NDZ21" s="29"/>
      <c r="NEA21" s="29"/>
      <c r="NEB21" s="29"/>
      <c r="NEC21" s="29"/>
      <c r="NED21" s="29"/>
      <c r="NEE21" s="29"/>
      <c r="NEF21" s="29"/>
      <c r="NEG21" s="29"/>
      <c r="NEH21" s="29"/>
      <c r="NEI21" s="29"/>
      <c r="NEJ21" s="29"/>
      <c r="NEK21" s="29"/>
      <c r="NEL21" s="29"/>
      <c r="NEM21" s="29"/>
      <c r="NEN21" s="29"/>
      <c r="NEO21" s="29"/>
      <c r="NEP21" s="29"/>
      <c r="NEQ21" s="29"/>
      <c r="NER21" s="29"/>
      <c r="NES21" s="29"/>
      <c r="NET21" s="29"/>
      <c r="NEU21" s="29"/>
      <c r="NEV21" s="29"/>
      <c r="NEW21" s="29"/>
      <c r="NEX21" s="29"/>
      <c r="NEY21" s="29"/>
      <c r="NEZ21" s="29"/>
      <c r="NFA21" s="29"/>
      <c r="NFB21" s="29"/>
      <c r="NFC21" s="29"/>
      <c r="NFD21" s="29"/>
      <c r="NFE21" s="29"/>
      <c r="NFF21" s="29"/>
      <c r="NFG21" s="29"/>
      <c r="NFH21" s="29"/>
      <c r="NFI21" s="29"/>
      <c r="NFJ21" s="29"/>
      <c r="NFK21" s="29"/>
      <c r="NFL21" s="29"/>
      <c r="NFM21" s="29"/>
      <c r="NFN21" s="29"/>
      <c r="NFO21" s="29"/>
      <c r="NFP21" s="29"/>
      <c r="NFQ21" s="29"/>
      <c r="NFR21" s="29"/>
      <c r="NFS21" s="29"/>
      <c r="NFT21" s="29"/>
      <c r="NFU21" s="29"/>
      <c r="NFV21" s="29"/>
      <c r="NFW21" s="29"/>
      <c r="NFX21" s="29"/>
      <c r="NFY21" s="29"/>
      <c r="NFZ21" s="29"/>
      <c r="NGA21" s="29"/>
      <c r="NGB21" s="29"/>
      <c r="NGC21" s="29"/>
      <c r="NGD21" s="29"/>
      <c r="NGE21" s="29"/>
      <c r="NGF21" s="29"/>
      <c r="NGG21" s="29"/>
      <c r="NGH21" s="29"/>
      <c r="NGI21" s="29"/>
      <c r="NGJ21" s="29"/>
      <c r="NGK21" s="29"/>
      <c r="NGL21" s="29"/>
      <c r="NGM21" s="29"/>
      <c r="NGN21" s="29"/>
      <c r="NGO21" s="29"/>
      <c r="NGP21" s="29"/>
      <c r="NGQ21" s="29"/>
      <c r="NGR21" s="29"/>
      <c r="NGS21" s="29"/>
      <c r="NGT21" s="29"/>
      <c r="NGU21" s="29"/>
      <c r="NGV21" s="29"/>
      <c r="NGW21" s="29"/>
      <c r="NGX21" s="29"/>
      <c r="NGY21" s="29"/>
      <c r="NGZ21" s="29"/>
      <c r="NHA21" s="29"/>
      <c r="NHB21" s="29"/>
      <c r="NHC21" s="29"/>
      <c r="NHD21" s="29"/>
      <c r="NHE21" s="29"/>
      <c r="NHF21" s="29"/>
      <c r="NHG21" s="29"/>
      <c r="NHH21" s="29"/>
      <c r="NHI21" s="29"/>
      <c r="NHJ21" s="29"/>
      <c r="NHK21" s="29"/>
      <c r="NHL21" s="29"/>
      <c r="NHM21" s="29"/>
      <c r="NHN21" s="29"/>
      <c r="NHO21" s="29"/>
      <c r="NHP21" s="29"/>
      <c r="NHQ21" s="29"/>
      <c r="NHR21" s="29"/>
      <c r="NHS21" s="29"/>
      <c r="NHT21" s="29"/>
      <c r="NHU21" s="29"/>
      <c r="NHV21" s="29"/>
      <c r="NHW21" s="29"/>
      <c r="NHX21" s="29"/>
      <c r="NHY21" s="29"/>
      <c r="NHZ21" s="29"/>
      <c r="NIA21" s="29"/>
      <c r="NIB21" s="29"/>
      <c r="NIC21" s="29"/>
      <c r="NID21" s="29"/>
      <c r="NIE21" s="29"/>
      <c r="NIF21" s="29"/>
      <c r="NIG21" s="29"/>
      <c r="NIH21" s="29"/>
      <c r="NII21" s="29"/>
      <c r="NIJ21" s="29"/>
      <c r="NIK21" s="29"/>
      <c r="NIL21" s="29"/>
      <c r="NIM21" s="29"/>
      <c r="NIN21" s="29"/>
      <c r="NIO21" s="29"/>
      <c r="NIP21" s="29"/>
      <c r="NIQ21" s="29"/>
      <c r="NIR21" s="29"/>
      <c r="NIS21" s="29"/>
      <c r="NIT21" s="29"/>
      <c r="NIU21" s="29"/>
      <c r="NIV21" s="29"/>
      <c r="NIW21" s="29"/>
      <c r="NIX21" s="29"/>
      <c r="NIY21" s="29"/>
      <c r="NIZ21" s="29"/>
      <c r="NJA21" s="29"/>
      <c r="NJB21" s="29"/>
      <c r="NJC21" s="29"/>
      <c r="NJD21" s="29"/>
      <c r="NJE21" s="29"/>
      <c r="NJF21" s="29"/>
      <c r="NJG21" s="29"/>
      <c r="NJH21" s="29"/>
      <c r="NJI21" s="29"/>
      <c r="NJJ21" s="29"/>
      <c r="NJK21" s="29"/>
      <c r="NJL21" s="29"/>
      <c r="NJM21" s="29"/>
      <c r="NJN21" s="29"/>
      <c r="NJO21" s="29"/>
      <c r="NJP21" s="29"/>
      <c r="NJQ21" s="29"/>
      <c r="NJR21" s="29"/>
      <c r="NJS21" s="29"/>
      <c r="NJT21" s="29"/>
      <c r="NJU21" s="29"/>
      <c r="NJV21" s="29"/>
      <c r="NJW21" s="29"/>
      <c r="NJX21" s="29"/>
      <c r="NJY21" s="29"/>
      <c r="NJZ21" s="29"/>
      <c r="NKA21" s="29"/>
      <c r="NKB21" s="29"/>
      <c r="NKC21" s="29"/>
      <c r="NKD21" s="29"/>
      <c r="NKE21" s="29"/>
      <c r="NKF21" s="29"/>
      <c r="NKG21" s="29"/>
      <c r="NKH21" s="29"/>
      <c r="NKI21" s="29"/>
      <c r="NKJ21" s="29"/>
      <c r="NKK21" s="29"/>
      <c r="NKL21" s="29"/>
      <c r="NKM21" s="29"/>
      <c r="NKN21" s="29"/>
      <c r="NKO21" s="29"/>
      <c r="NKP21" s="29"/>
      <c r="NKQ21" s="29"/>
      <c r="NKR21" s="29"/>
      <c r="NKS21" s="29"/>
      <c r="NKT21" s="29"/>
      <c r="NKU21" s="29"/>
      <c r="NKV21" s="29"/>
      <c r="NKW21" s="29"/>
      <c r="NKX21" s="29"/>
      <c r="NKY21" s="29"/>
      <c r="NKZ21" s="29"/>
      <c r="NLA21" s="29"/>
      <c r="NLB21" s="29"/>
      <c r="NLC21" s="29"/>
      <c r="NLD21" s="29"/>
      <c r="NLE21" s="29"/>
      <c r="NLF21" s="29"/>
      <c r="NLG21" s="29"/>
      <c r="NLH21" s="29"/>
      <c r="NLI21" s="29"/>
      <c r="NLJ21" s="29"/>
      <c r="NLK21" s="29"/>
      <c r="NLL21" s="29"/>
      <c r="NLM21" s="29"/>
      <c r="NLN21" s="29"/>
      <c r="NLO21" s="29"/>
      <c r="NLP21" s="29"/>
      <c r="NLQ21" s="29"/>
      <c r="NLR21" s="29"/>
      <c r="NLS21" s="29"/>
      <c r="NLT21" s="29"/>
      <c r="NLU21" s="29"/>
      <c r="NLV21" s="29"/>
      <c r="NLW21" s="29"/>
      <c r="NLX21" s="29"/>
      <c r="NLY21" s="29"/>
      <c r="NLZ21" s="29"/>
      <c r="NMA21" s="29"/>
      <c r="NMB21" s="29"/>
      <c r="NMC21" s="29"/>
      <c r="NMD21" s="29"/>
      <c r="NME21" s="29"/>
      <c r="NMF21" s="29"/>
      <c r="NMG21" s="29"/>
      <c r="NMH21" s="29"/>
      <c r="NMI21" s="29"/>
      <c r="NMJ21" s="29"/>
      <c r="NMK21" s="29"/>
      <c r="NML21" s="29"/>
      <c r="NMM21" s="29"/>
      <c r="NMN21" s="29"/>
      <c r="NMO21" s="29"/>
      <c r="NMP21" s="29"/>
      <c r="NMQ21" s="29"/>
      <c r="NMR21" s="29"/>
      <c r="NMS21" s="29"/>
      <c r="NMT21" s="29"/>
      <c r="NMU21" s="29"/>
      <c r="NMV21" s="29"/>
      <c r="NMW21" s="29"/>
      <c r="NMX21" s="29"/>
      <c r="NMY21" s="29"/>
      <c r="NMZ21" s="29"/>
      <c r="NNA21" s="29"/>
      <c r="NNB21" s="29"/>
      <c r="NNC21" s="29"/>
      <c r="NND21" s="29"/>
      <c r="NNE21" s="29"/>
      <c r="NNF21" s="29"/>
      <c r="NNG21" s="29"/>
      <c r="NNH21" s="29"/>
      <c r="NNI21" s="29"/>
      <c r="NNJ21" s="29"/>
      <c r="NNK21" s="29"/>
      <c r="NNL21" s="29"/>
      <c r="NNM21" s="29"/>
      <c r="NNN21" s="29"/>
      <c r="NNO21" s="29"/>
      <c r="NNP21" s="29"/>
      <c r="NNQ21" s="29"/>
      <c r="NNR21" s="29"/>
      <c r="NNS21" s="29"/>
      <c r="NNT21" s="29"/>
      <c r="NNU21" s="29"/>
      <c r="NNV21" s="29"/>
      <c r="NNW21" s="29"/>
      <c r="NNX21" s="29"/>
      <c r="NNY21" s="29"/>
      <c r="NNZ21" s="29"/>
      <c r="NOA21" s="29"/>
      <c r="NOB21" s="29"/>
      <c r="NOC21" s="29"/>
      <c r="NOD21" s="29"/>
      <c r="NOE21" s="29"/>
      <c r="NOF21" s="29"/>
      <c r="NOG21" s="29"/>
      <c r="NOH21" s="29"/>
      <c r="NOI21" s="29"/>
      <c r="NOJ21" s="29"/>
      <c r="NOK21" s="29"/>
      <c r="NOL21" s="29"/>
      <c r="NOM21" s="29"/>
      <c r="NON21" s="29"/>
      <c r="NOO21" s="29"/>
      <c r="NOP21" s="29"/>
      <c r="NOQ21" s="29"/>
      <c r="NOR21" s="29"/>
      <c r="NOS21" s="29"/>
      <c r="NOT21" s="29"/>
      <c r="NOU21" s="29"/>
      <c r="NOV21" s="29"/>
      <c r="NOW21" s="29"/>
      <c r="NOX21" s="29"/>
      <c r="NOY21" s="29"/>
      <c r="NOZ21" s="29"/>
      <c r="NPA21" s="29"/>
      <c r="NPB21" s="29"/>
      <c r="NPC21" s="29"/>
      <c r="NPD21" s="29"/>
      <c r="NPE21" s="29"/>
      <c r="NPF21" s="29"/>
      <c r="NPG21" s="29"/>
      <c r="NPH21" s="29"/>
      <c r="NPI21" s="29"/>
      <c r="NPJ21" s="29"/>
      <c r="NPK21" s="29"/>
      <c r="NPL21" s="29"/>
      <c r="NPM21" s="29"/>
      <c r="NPN21" s="29"/>
      <c r="NPO21" s="29"/>
      <c r="NPP21" s="29"/>
      <c r="NPQ21" s="29"/>
      <c r="NPR21" s="29"/>
      <c r="NPS21" s="29"/>
      <c r="NPT21" s="29"/>
      <c r="NPU21" s="29"/>
      <c r="NPV21" s="29"/>
      <c r="NPW21" s="29"/>
      <c r="NPX21" s="29"/>
      <c r="NPY21" s="29"/>
      <c r="NPZ21" s="29"/>
      <c r="NQA21" s="29"/>
      <c r="NQB21" s="29"/>
      <c r="NQC21" s="29"/>
      <c r="NQD21" s="29"/>
      <c r="NQE21" s="29"/>
      <c r="NQF21" s="29"/>
      <c r="NQG21" s="29"/>
      <c r="NQH21" s="29"/>
      <c r="NQI21" s="29"/>
      <c r="NQJ21" s="29"/>
      <c r="NQK21" s="29"/>
      <c r="NQL21" s="29"/>
      <c r="NQM21" s="29"/>
      <c r="NQN21" s="29"/>
      <c r="NQO21" s="29"/>
      <c r="NQP21" s="29"/>
      <c r="NQQ21" s="29"/>
      <c r="NQR21" s="29"/>
      <c r="NQS21" s="29"/>
      <c r="NQT21" s="29"/>
      <c r="NQU21" s="29"/>
      <c r="NQV21" s="29"/>
      <c r="NQW21" s="29"/>
      <c r="NQX21" s="29"/>
      <c r="NQY21" s="29"/>
      <c r="NQZ21" s="29"/>
      <c r="NRA21" s="29"/>
      <c r="NRB21" s="29"/>
      <c r="NRC21" s="29"/>
      <c r="NRD21" s="29"/>
      <c r="NRE21" s="29"/>
      <c r="NRF21" s="29"/>
      <c r="NRG21" s="29"/>
      <c r="NRH21" s="29"/>
      <c r="NRI21" s="29"/>
      <c r="NRJ21" s="29"/>
      <c r="NRK21" s="29"/>
      <c r="NRL21" s="29"/>
      <c r="NRM21" s="29"/>
      <c r="NRN21" s="29"/>
      <c r="NRO21" s="29"/>
      <c r="NRP21" s="29"/>
      <c r="NRQ21" s="29"/>
      <c r="NRR21" s="29"/>
      <c r="NRS21" s="29"/>
      <c r="NRT21" s="29"/>
      <c r="NRU21" s="29"/>
      <c r="NRV21" s="29"/>
      <c r="NRW21" s="29"/>
      <c r="NRX21" s="29"/>
      <c r="NRY21" s="29"/>
      <c r="NRZ21" s="29"/>
      <c r="NSA21" s="29"/>
      <c r="NSB21" s="29"/>
      <c r="NSC21" s="29"/>
      <c r="NSD21" s="29"/>
      <c r="NSE21" s="29"/>
      <c r="NSF21" s="29"/>
      <c r="NSG21" s="29"/>
      <c r="NSH21" s="29"/>
      <c r="NSI21" s="29"/>
      <c r="NSJ21" s="29"/>
      <c r="NSK21" s="29"/>
      <c r="NSL21" s="29"/>
      <c r="NSM21" s="29"/>
      <c r="NSN21" s="29"/>
      <c r="NSO21" s="29"/>
      <c r="NSP21" s="29"/>
      <c r="NSQ21" s="29"/>
      <c r="NSR21" s="29"/>
      <c r="NSS21" s="29"/>
      <c r="NST21" s="29"/>
      <c r="NSU21" s="29"/>
      <c r="NSV21" s="29"/>
      <c r="NSW21" s="29"/>
      <c r="NSX21" s="29"/>
      <c r="NSY21" s="29"/>
      <c r="NSZ21" s="29"/>
      <c r="NTA21" s="29"/>
      <c r="NTB21" s="29"/>
      <c r="NTC21" s="29"/>
      <c r="NTD21" s="29"/>
      <c r="NTE21" s="29"/>
      <c r="NTF21" s="29"/>
      <c r="NTG21" s="29"/>
      <c r="NTH21" s="29"/>
      <c r="NTI21" s="29"/>
      <c r="NTJ21" s="29"/>
      <c r="NTK21" s="29"/>
      <c r="NTL21" s="29"/>
      <c r="NTM21" s="29"/>
      <c r="NTN21" s="29"/>
      <c r="NTO21" s="29"/>
      <c r="NTP21" s="29"/>
      <c r="NTQ21" s="29"/>
      <c r="NTR21" s="29"/>
      <c r="NTS21" s="29"/>
      <c r="NTT21" s="29"/>
      <c r="NTU21" s="29"/>
      <c r="NTV21" s="29"/>
      <c r="NTW21" s="29"/>
      <c r="NTX21" s="29"/>
      <c r="NTY21" s="29"/>
      <c r="NTZ21" s="29"/>
      <c r="NUA21" s="29"/>
      <c r="NUB21" s="29"/>
      <c r="NUC21" s="29"/>
      <c r="NUD21" s="29"/>
      <c r="NUE21" s="29"/>
      <c r="NUF21" s="29"/>
      <c r="NUG21" s="29"/>
      <c r="NUH21" s="29"/>
      <c r="NUI21" s="29"/>
      <c r="NUJ21" s="29"/>
      <c r="NUK21" s="29"/>
      <c r="NUL21" s="29"/>
      <c r="NUM21" s="29"/>
      <c r="NUN21" s="29"/>
      <c r="NUO21" s="29"/>
      <c r="NUP21" s="29"/>
      <c r="NUQ21" s="29"/>
      <c r="NUR21" s="29"/>
      <c r="NUS21" s="29"/>
      <c r="NUT21" s="29"/>
      <c r="NUU21" s="29"/>
      <c r="NUV21" s="29"/>
      <c r="NUW21" s="29"/>
      <c r="NUX21" s="29"/>
      <c r="NUY21" s="29"/>
      <c r="NUZ21" s="29"/>
      <c r="NVA21" s="29"/>
      <c r="NVB21" s="29"/>
      <c r="NVC21" s="29"/>
      <c r="NVD21" s="29"/>
      <c r="NVE21" s="29"/>
      <c r="NVF21" s="29"/>
      <c r="NVG21" s="29"/>
      <c r="NVH21" s="29"/>
      <c r="NVI21" s="29"/>
      <c r="NVJ21" s="29"/>
      <c r="NVK21" s="29"/>
      <c r="NVL21" s="29"/>
      <c r="NVM21" s="29"/>
      <c r="NVN21" s="29"/>
      <c r="NVO21" s="29"/>
      <c r="NVP21" s="29"/>
      <c r="NVQ21" s="29"/>
      <c r="NVR21" s="29"/>
      <c r="NVS21" s="29"/>
      <c r="NVT21" s="29"/>
      <c r="NVU21" s="29"/>
      <c r="NVV21" s="29"/>
      <c r="NVW21" s="29"/>
      <c r="NVX21" s="29"/>
      <c r="NVY21" s="29"/>
      <c r="NVZ21" s="29"/>
      <c r="NWA21" s="29"/>
      <c r="NWB21" s="29"/>
      <c r="NWC21" s="29"/>
      <c r="NWD21" s="29"/>
      <c r="NWE21" s="29"/>
      <c r="NWF21" s="29"/>
      <c r="NWG21" s="29"/>
      <c r="NWH21" s="29"/>
      <c r="NWI21" s="29"/>
      <c r="NWJ21" s="29"/>
      <c r="NWK21" s="29"/>
      <c r="NWL21" s="29"/>
      <c r="NWM21" s="29"/>
      <c r="NWN21" s="29"/>
      <c r="NWO21" s="29"/>
      <c r="NWP21" s="29"/>
      <c r="NWQ21" s="29"/>
      <c r="NWR21" s="29"/>
      <c r="NWS21" s="29"/>
      <c r="NWT21" s="29"/>
      <c r="NWU21" s="29"/>
      <c r="NWV21" s="29"/>
      <c r="NWW21" s="29"/>
      <c r="NWX21" s="29"/>
      <c r="NWY21" s="29"/>
      <c r="NWZ21" s="29"/>
      <c r="NXA21" s="29"/>
      <c r="NXB21" s="29"/>
      <c r="NXC21" s="29"/>
      <c r="NXD21" s="29"/>
      <c r="NXE21" s="29"/>
      <c r="NXF21" s="29"/>
      <c r="NXG21" s="29"/>
      <c r="NXH21" s="29"/>
      <c r="NXI21" s="29"/>
      <c r="NXJ21" s="29"/>
      <c r="NXK21" s="29"/>
      <c r="NXL21" s="29"/>
      <c r="NXM21" s="29"/>
      <c r="NXN21" s="29"/>
      <c r="NXO21" s="29"/>
      <c r="NXP21" s="29"/>
      <c r="NXQ21" s="29"/>
      <c r="NXR21" s="29"/>
      <c r="NXS21" s="29"/>
      <c r="NXT21" s="29"/>
      <c r="NXU21" s="29"/>
      <c r="NXV21" s="29"/>
      <c r="NXW21" s="29"/>
      <c r="NXX21" s="29"/>
      <c r="NXY21" s="29"/>
      <c r="NXZ21" s="29"/>
      <c r="NYA21" s="29"/>
      <c r="NYB21" s="29"/>
      <c r="NYC21" s="29"/>
      <c r="NYD21" s="29"/>
      <c r="NYE21" s="29"/>
      <c r="NYF21" s="29"/>
      <c r="NYG21" s="29"/>
      <c r="NYH21" s="29"/>
      <c r="NYI21" s="29"/>
      <c r="NYJ21" s="29"/>
      <c r="NYK21" s="29"/>
      <c r="NYL21" s="29"/>
      <c r="NYM21" s="29"/>
      <c r="NYN21" s="29"/>
      <c r="NYO21" s="29"/>
      <c r="NYP21" s="29"/>
      <c r="NYQ21" s="29"/>
      <c r="NYR21" s="29"/>
      <c r="NYS21" s="29"/>
      <c r="NYT21" s="29"/>
      <c r="NYU21" s="29"/>
      <c r="NYV21" s="29"/>
      <c r="NYW21" s="29"/>
      <c r="NYX21" s="29"/>
      <c r="NYY21" s="29"/>
      <c r="NYZ21" s="29"/>
      <c r="NZA21" s="29"/>
      <c r="NZB21" s="29"/>
      <c r="NZC21" s="29"/>
      <c r="NZD21" s="29"/>
      <c r="NZE21" s="29"/>
      <c r="NZF21" s="29"/>
      <c r="NZG21" s="29"/>
      <c r="NZH21" s="29"/>
      <c r="NZI21" s="29"/>
      <c r="NZJ21" s="29"/>
      <c r="NZK21" s="29"/>
      <c r="NZL21" s="29"/>
      <c r="NZM21" s="29"/>
      <c r="NZN21" s="29"/>
      <c r="NZO21" s="29"/>
      <c r="NZP21" s="29"/>
      <c r="NZQ21" s="29"/>
      <c r="NZR21" s="29"/>
      <c r="NZS21" s="29"/>
      <c r="NZT21" s="29"/>
      <c r="NZU21" s="29"/>
      <c r="NZV21" s="29"/>
      <c r="NZW21" s="29"/>
      <c r="NZX21" s="29"/>
      <c r="NZY21" s="29"/>
      <c r="NZZ21" s="29"/>
      <c r="OAA21" s="29"/>
      <c r="OAB21" s="29"/>
      <c r="OAC21" s="29"/>
      <c r="OAD21" s="29"/>
      <c r="OAE21" s="29"/>
      <c r="OAF21" s="29"/>
      <c r="OAG21" s="29"/>
      <c r="OAH21" s="29"/>
      <c r="OAI21" s="29"/>
      <c r="OAJ21" s="29"/>
      <c r="OAK21" s="29"/>
      <c r="OAL21" s="29"/>
      <c r="OAM21" s="29"/>
      <c r="OAN21" s="29"/>
      <c r="OAO21" s="29"/>
      <c r="OAP21" s="29"/>
      <c r="OAQ21" s="29"/>
      <c r="OAR21" s="29"/>
      <c r="OAS21" s="29"/>
      <c r="OAT21" s="29"/>
      <c r="OAU21" s="29"/>
      <c r="OAV21" s="29"/>
      <c r="OAW21" s="29"/>
      <c r="OAX21" s="29"/>
      <c r="OAY21" s="29"/>
      <c r="OAZ21" s="29"/>
      <c r="OBA21" s="29"/>
      <c r="OBB21" s="29"/>
      <c r="OBC21" s="29"/>
      <c r="OBD21" s="29"/>
      <c r="OBE21" s="29"/>
      <c r="OBF21" s="29"/>
      <c r="OBG21" s="29"/>
      <c r="OBH21" s="29"/>
      <c r="OBI21" s="29"/>
      <c r="OBJ21" s="29"/>
      <c r="OBK21" s="29"/>
      <c r="OBL21" s="29"/>
      <c r="OBM21" s="29"/>
      <c r="OBN21" s="29"/>
      <c r="OBO21" s="29"/>
      <c r="OBP21" s="29"/>
      <c r="OBQ21" s="29"/>
      <c r="OBR21" s="29"/>
      <c r="OBS21" s="29"/>
      <c r="OBT21" s="29"/>
      <c r="OBU21" s="29"/>
      <c r="OBV21" s="29"/>
      <c r="OBW21" s="29"/>
      <c r="OBX21" s="29"/>
      <c r="OBY21" s="29"/>
      <c r="OBZ21" s="29"/>
      <c r="OCA21" s="29"/>
      <c r="OCB21" s="29"/>
      <c r="OCC21" s="29"/>
      <c r="OCD21" s="29"/>
      <c r="OCE21" s="29"/>
      <c r="OCF21" s="29"/>
      <c r="OCG21" s="29"/>
      <c r="OCH21" s="29"/>
      <c r="OCI21" s="29"/>
      <c r="OCJ21" s="29"/>
      <c r="OCK21" s="29"/>
      <c r="OCL21" s="29"/>
      <c r="OCM21" s="29"/>
      <c r="OCN21" s="29"/>
      <c r="OCO21" s="29"/>
      <c r="OCP21" s="29"/>
      <c r="OCQ21" s="29"/>
      <c r="OCR21" s="29"/>
      <c r="OCS21" s="29"/>
      <c r="OCT21" s="29"/>
      <c r="OCU21" s="29"/>
      <c r="OCV21" s="29"/>
      <c r="OCW21" s="29"/>
      <c r="OCX21" s="29"/>
      <c r="OCY21" s="29"/>
      <c r="OCZ21" s="29"/>
      <c r="ODA21" s="29"/>
      <c r="ODB21" s="29"/>
      <c r="ODC21" s="29"/>
      <c r="ODD21" s="29"/>
      <c r="ODE21" s="29"/>
      <c r="ODF21" s="29"/>
      <c r="ODG21" s="29"/>
      <c r="ODH21" s="29"/>
      <c r="ODI21" s="29"/>
      <c r="ODJ21" s="29"/>
      <c r="ODK21" s="29"/>
      <c r="ODL21" s="29"/>
      <c r="ODM21" s="29"/>
      <c r="ODN21" s="29"/>
      <c r="ODO21" s="29"/>
      <c r="ODP21" s="29"/>
      <c r="ODQ21" s="29"/>
      <c r="ODR21" s="29"/>
      <c r="ODS21" s="29"/>
      <c r="ODT21" s="29"/>
      <c r="ODU21" s="29"/>
      <c r="ODV21" s="29"/>
      <c r="ODW21" s="29"/>
      <c r="ODX21" s="29"/>
      <c r="ODY21" s="29"/>
      <c r="ODZ21" s="29"/>
      <c r="OEA21" s="29"/>
      <c r="OEB21" s="29"/>
      <c r="OEC21" s="29"/>
      <c r="OED21" s="29"/>
      <c r="OEE21" s="29"/>
      <c r="OEF21" s="29"/>
      <c r="OEG21" s="29"/>
      <c r="OEH21" s="29"/>
      <c r="OEI21" s="29"/>
      <c r="OEJ21" s="29"/>
      <c r="OEK21" s="29"/>
      <c r="OEL21" s="29"/>
      <c r="OEM21" s="29"/>
      <c r="OEN21" s="29"/>
      <c r="OEO21" s="29"/>
      <c r="OEP21" s="29"/>
      <c r="OEQ21" s="29"/>
      <c r="OER21" s="29"/>
      <c r="OES21" s="29"/>
      <c r="OET21" s="29"/>
      <c r="OEU21" s="29"/>
      <c r="OEV21" s="29"/>
      <c r="OEW21" s="29"/>
      <c r="OEX21" s="29"/>
      <c r="OEY21" s="29"/>
      <c r="OEZ21" s="29"/>
      <c r="OFA21" s="29"/>
      <c r="OFB21" s="29"/>
      <c r="OFC21" s="29"/>
      <c r="OFD21" s="29"/>
      <c r="OFE21" s="29"/>
      <c r="OFF21" s="29"/>
      <c r="OFG21" s="29"/>
      <c r="OFH21" s="29"/>
      <c r="OFI21" s="29"/>
      <c r="OFJ21" s="29"/>
      <c r="OFK21" s="29"/>
      <c r="OFL21" s="29"/>
      <c r="OFM21" s="29"/>
      <c r="OFN21" s="29"/>
      <c r="OFO21" s="29"/>
      <c r="OFP21" s="29"/>
      <c r="OFQ21" s="29"/>
      <c r="OFR21" s="29"/>
      <c r="OFS21" s="29"/>
      <c r="OFT21" s="29"/>
      <c r="OFU21" s="29"/>
      <c r="OFV21" s="29"/>
      <c r="OFW21" s="29"/>
      <c r="OFX21" s="29"/>
      <c r="OFY21" s="29"/>
      <c r="OFZ21" s="29"/>
      <c r="OGA21" s="29"/>
      <c r="OGB21" s="29"/>
      <c r="OGC21" s="29"/>
      <c r="OGD21" s="29"/>
      <c r="OGE21" s="29"/>
      <c r="OGF21" s="29"/>
      <c r="OGG21" s="29"/>
      <c r="OGH21" s="29"/>
      <c r="OGI21" s="29"/>
      <c r="OGJ21" s="29"/>
      <c r="OGK21" s="29"/>
      <c r="OGL21" s="29"/>
      <c r="OGM21" s="29"/>
      <c r="OGN21" s="29"/>
      <c r="OGO21" s="29"/>
      <c r="OGP21" s="29"/>
      <c r="OGQ21" s="29"/>
      <c r="OGR21" s="29"/>
      <c r="OGS21" s="29"/>
      <c r="OGT21" s="29"/>
      <c r="OGU21" s="29"/>
      <c r="OGV21" s="29"/>
      <c r="OGW21" s="29"/>
      <c r="OGX21" s="29"/>
      <c r="OGY21" s="29"/>
      <c r="OGZ21" s="29"/>
      <c r="OHA21" s="29"/>
      <c r="OHB21" s="29"/>
      <c r="OHC21" s="29"/>
      <c r="OHD21" s="29"/>
      <c r="OHE21" s="29"/>
      <c r="OHF21" s="29"/>
      <c r="OHG21" s="29"/>
      <c r="OHH21" s="29"/>
      <c r="OHI21" s="29"/>
      <c r="OHJ21" s="29"/>
      <c r="OHK21" s="29"/>
      <c r="OHL21" s="29"/>
      <c r="OHM21" s="29"/>
      <c r="OHN21" s="29"/>
      <c r="OHO21" s="29"/>
      <c r="OHP21" s="29"/>
      <c r="OHQ21" s="29"/>
      <c r="OHR21" s="29"/>
      <c r="OHS21" s="29"/>
      <c r="OHT21" s="29"/>
      <c r="OHU21" s="29"/>
      <c r="OHV21" s="29"/>
      <c r="OHW21" s="29"/>
      <c r="OHX21" s="29"/>
      <c r="OHY21" s="29"/>
      <c r="OHZ21" s="29"/>
      <c r="OIA21" s="29"/>
      <c r="OIB21" s="29"/>
      <c r="OIC21" s="29"/>
      <c r="OID21" s="29"/>
      <c r="OIE21" s="29"/>
      <c r="OIF21" s="29"/>
      <c r="OIG21" s="29"/>
      <c r="OIH21" s="29"/>
      <c r="OII21" s="29"/>
      <c r="OIJ21" s="29"/>
      <c r="OIK21" s="29"/>
      <c r="OIL21" s="29"/>
      <c r="OIM21" s="29"/>
      <c r="OIN21" s="29"/>
      <c r="OIO21" s="29"/>
      <c r="OIP21" s="29"/>
      <c r="OIQ21" s="29"/>
      <c r="OIR21" s="29"/>
      <c r="OIS21" s="29"/>
      <c r="OIT21" s="29"/>
      <c r="OIU21" s="29"/>
      <c r="OIV21" s="29"/>
      <c r="OIW21" s="29"/>
      <c r="OIX21" s="29"/>
      <c r="OIY21" s="29"/>
      <c r="OIZ21" s="29"/>
      <c r="OJA21" s="29"/>
      <c r="OJB21" s="29"/>
      <c r="OJC21" s="29"/>
      <c r="OJD21" s="29"/>
      <c r="OJE21" s="29"/>
      <c r="OJF21" s="29"/>
      <c r="OJG21" s="29"/>
      <c r="OJH21" s="29"/>
      <c r="OJI21" s="29"/>
      <c r="OJJ21" s="29"/>
      <c r="OJK21" s="29"/>
      <c r="OJL21" s="29"/>
      <c r="OJM21" s="29"/>
      <c r="OJN21" s="29"/>
      <c r="OJO21" s="29"/>
      <c r="OJP21" s="29"/>
      <c r="OJQ21" s="29"/>
      <c r="OJR21" s="29"/>
      <c r="OJS21" s="29"/>
      <c r="OJT21" s="29"/>
      <c r="OJU21" s="29"/>
      <c r="OJV21" s="29"/>
      <c r="OJW21" s="29"/>
      <c r="OJX21" s="29"/>
      <c r="OJY21" s="29"/>
      <c r="OJZ21" s="29"/>
      <c r="OKA21" s="29"/>
      <c r="OKB21" s="29"/>
      <c r="OKC21" s="29"/>
      <c r="OKD21" s="29"/>
      <c r="OKE21" s="29"/>
      <c r="OKF21" s="29"/>
      <c r="OKG21" s="29"/>
      <c r="OKH21" s="29"/>
      <c r="OKI21" s="29"/>
      <c r="OKJ21" s="29"/>
      <c r="OKK21" s="29"/>
      <c r="OKL21" s="29"/>
      <c r="OKM21" s="29"/>
      <c r="OKN21" s="29"/>
      <c r="OKO21" s="29"/>
      <c r="OKP21" s="29"/>
      <c r="OKQ21" s="29"/>
      <c r="OKR21" s="29"/>
      <c r="OKS21" s="29"/>
      <c r="OKT21" s="29"/>
      <c r="OKU21" s="29"/>
      <c r="OKV21" s="29"/>
      <c r="OKW21" s="29"/>
      <c r="OKX21" s="29"/>
      <c r="OKY21" s="29"/>
      <c r="OKZ21" s="29"/>
      <c r="OLA21" s="29"/>
      <c r="OLB21" s="29"/>
      <c r="OLC21" s="29"/>
      <c r="OLD21" s="29"/>
      <c r="OLE21" s="29"/>
      <c r="OLF21" s="29"/>
      <c r="OLG21" s="29"/>
      <c r="OLH21" s="29"/>
      <c r="OLI21" s="29"/>
      <c r="OLJ21" s="29"/>
      <c r="OLK21" s="29"/>
      <c r="OLL21" s="29"/>
      <c r="OLM21" s="29"/>
      <c r="OLN21" s="29"/>
      <c r="OLO21" s="29"/>
      <c r="OLP21" s="29"/>
      <c r="OLQ21" s="29"/>
      <c r="OLR21" s="29"/>
      <c r="OLS21" s="29"/>
      <c r="OLT21" s="29"/>
      <c r="OLU21" s="29"/>
      <c r="OLV21" s="29"/>
      <c r="OLW21" s="29"/>
      <c r="OLX21" s="29"/>
      <c r="OLY21" s="29"/>
      <c r="OLZ21" s="29"/>
      <c r="OMA21" s="29"/>
      <c r="OMB21" s="29"/>
      <c r="OMC21" s="29"/>
      <c r="OMD21" s="29"/>
      <c r="OME21" s="29"/>
      <c r="OMF21" s="29"/>
      <c r="OMG21" s="29"/>
      <c r="OMH21" s="29"/>
      <c r="OMI21" s="29"/>
      <c r="OMJ21" s="29"/>
      <c r="OMK21" s="29"/>
      <c r="OML21" s="29"/>
      <c r="OMM21" s="29"/>
      <c r="OMN21" s="29"/>
      <c r="OMO21" s="29"/>
      <c r="OMP21" s="29"/>
      <c r="OMQ21" s="29"/>
      <c r="OMR21" s="29"/>
      <c r="OMS21" s="29"/>
      <c r="OMT21" s="29"/>
      <c r="OMU21" s="29"/>
      <c r="OMV21" s="29"/>
      <c r="OMW21" s="29"/>
      <c r="OMX21" s="29"/>
      <c r="OMY21" s="29"/>
      <c r="OMZ21" s="29"/>
      <c r="ONA21" s="29"/>
      <c r="ONB21" s="29"/>
      <c r="ONC21" s="29"/>
      <c r="OND21" s="29"/>
      <c r="ONE21" s="29"/>
      <c r="ONF21" s="29"/>
      <c r="ONG21" s="29"/>
      <c r="ONH21" s="29"/>
      <c r="ONI21" s="29"/>
      <c r="ONJ21" s="29"/>
      <c r="ONK21" s="29"/>
      <c r="ONL21" s="29"/>
      <c r="ONM21" s="29"/>
      <c r="ONN21" s="29"/>
      <c r="ONO21" s="29"/>
      <c r="ONP21" s="29"/>
      <c r="ONQ21" s="29"/>
      <c r="ONR21" s="29"/>
      <c r="ONS21" s="29"/>
      <c r="ONT21" s="29"/>
      <c r="ONU21" s="29"/>
      <c r="ONV21" s="29"/>
      <c r="ONW21" s="29"/>
      <c r="ONX21" s="29"/>
      <c r="ONY21" s="29"/>
      <c r="ONZ21" s="29"/>
      <c r="OOA21" s="29"/>
      <c r="OOB21" s="29"/>
      <c r="OOC21" s="29"/>
      <c r="OOD21" s="29"/>
      <c r="OOE21" s="29"/>
      <c r="OOF21" s="29"/>
      <c r="OOG21" s="29"/>
      <c r="OOH21" s="29"/>
      <c r="OOI21" s="29"/>
      <c r="OOJ21" s="29"/>
      <c r="OOK21" s="29"/>
      <c r="OOL21" s="29"/>
      <c r="OOM21" s="29"/>
      <c r="OON21" s="29"/>
      <c r="OOO21" s="29"/>
      <c r="OOP21" s="29"/>
      <c r="OOQ21" s="29"/>
      <c r="OOR21" s="29"/>
      <c r="OOS21" s="29"/>
      <c r="OOT21" s="29"/>
      <c r="OOU21" s="29"/>
      <c r="OOV21" s="29"/>
      <c r="OOW21" s="29"/>
      <c r="OOX21" s="29"/>
      <c r="OOY21" s="29"/>
      <c r="OOZ21" s="29"/>
      <c r="OPA21" s="29"/>
      <c r="OPB21" s="29"/>
      <c r="OPC21" s="29"/>
      <c r="OPD21" s="29"/>
      <c r="OPE21" s="29"/>
      <c r="OPF21" s="29"/>
      <c r="OPG21" s="29"/>
      <c r="OPH21" s="29"/>
      <c r="OPI21" s="29"/>
      <c r="OPJ21" s="29"/>
      <c r="OPK21" s="29"/>
      <c r="OPL21" s="29"/>
      <c r="OPM21" s="29"/>
      <c r="OPN21" s="29"/>
      <c r="OPO21" s="29"/>
      <c r="OPP21" s="29"/>
      <c r="OPQ21" s="29"/>
      <c r="OPR21" s="29"/>
      <c r="OPS21" s="29"/>
      <c r="OPT21" s="29"/>
      <c r="OPU21" s="29"/>
      <c r="OPV21" s="29"/>
      <c r="OPW21" s="29"/>
      <c r="OPX21" s="29"/>
      <c r="OPY21" s="29"/>
      <c r="OPZ21" s="29"/>
      <c r="OQA21" s="29"/>
      <c r="OQB21" s="29"/>
      <c r="OQC21" s="29"/>
      <c r="OQD21" s="29"/>
      <c r="OQE21" s="29"/>
      <c r="OQF21" s="29"/>
      <c r="OQG21" s="29"/>
      <c r="OQH21" s="29"/>
      <c r="OQI21" s="29"/>
      <c r="OQJ21" s="29"/>
      <c r="OQK21" s="29"/>
      <c r="OQL21" s="29"/>
      <c r="OQM21" s="29"/>
      <c r="OQN21" s="29"/>
      <c r="OQO21" s="29"/>
      <c r="OQP21" s="29"/>
      <c r="OQQ21" s="29"/>
      <c r="OQR21" s="29"/>
      <c r="OQS21" s="29"/>
      <c r="OQT21" s="29"/>
      <c r="OQU21" s="29"/>
      <c r="OQV21" s="29"/>
      <c r="OQW21" s="29"/>
      <c r="OQX21" s="29"/>
      <c r="OQY21" s="29"/>
      <c r="OQZ21" s="29"/>
      <c r="ORA21" s="29"/>
      <c r="ORB21" s="29"/>
      <c r="ORC21" s="29"/>
      <c r="ORD21" s="29"/>
      <c r="ORE21" s="29"/>
      <c r="ORF21" s="29"/>
      <c r="ORG21" s="29"/>
      <c r="ORH21" s="29"/>
      <c r="ORI21" s="29"/>
      <c r="ORJ21" s="29"/>
      <c r="ORK21" s="29"/>
      <c r="ORL21" s="29"/>
      <c r="ORM21" s="29"/>
      <c r="ORN21" s="29"/>
      <c r="ORO21" s="29"/>
      <c r="ORP21" s="29"/>
      <c r="ORQ21" s="29"/>
      <c r="ORR21" s="29"/>
      <c r="ORS21" s="29"/>
      <c r="ORT21" s="29"/>
      <c r="ORU21" s="29"/>
      <c r="ORV21" s="29"/>
      <c r="ORW21" s="29"/>
      <c r="ORX21" s="29"/>
      <c r="ORY21" s="29"/>
      <c r="ORZ21" s="29"/>
      <c r="OSA21" s="29"/>
      <c r="OSB21" s="29"/>
      <c r="OSC21" s="29"/>
      <c r="OSD21" s="29"/>
      <c r="OSE21" s="29"/>
      <c r="OSF21" s="29"/>
      <c r="OSG21" s="29"/>
      <c r="OSH21" s="29"/>
      <c r="OSI21" s="29"/>
      <c r="OSJ21" s="29"/>
      <c r="OSK21" s="29"/>
      <c r="OSL21" s="29"/>
      <c r="OSM21" s="29"/>
      <c r="OSN21" s="29"/>
      <c r="OSO21" s="29"/>
      <c r="OSP21" s="29"/>
      <c r="OSQ21" s="29"/>
      <c r="OSR21" s="29"/>
      <c r="OSS21" s="29"/>
      <c r="OST21" s="29"/>
      <c r="OSU21" s="29"/>
      <c r="OSV21" s="29"/>
      <c r="OSW21" s="29"/>
      <c r="OSX21" s="29"/>
      <c r="OSY21" s="29"/>
      <c r="OSZ21" s="29"/>
      <c r="OTA21" s="29"/>
      <c r="OTB21" s="29"/>
      <c r="OTC21" s="29"/>
      <c r="OTD21" s="29"/>
      <c r="OTE21" s="29"/>
      <c r="OTF21" s="29"/>
      <c r="OTG21" s="29"/>
      <c r="OTH21" s="29"/>
      <c r="OTI21" s="29"/>
      <c r="OTJ21" s="29"/>
      <c r="OTK21" s="29"/>
      <c r="OTL21" s="29"/>
      <c r="OTM21" s="29"/>
      <c r="OTN21" s="29"/>
      <c r="OTO21" s="29"/>
      <c r="OTP21" s="29"/>
      <c r="OTQ21" s="29"/>
      <c r="OTR21" s="29"/>
      <c r="OTS21" s="29"/>
      <c r="OTT21" s="29"/>
      <c r="OTU21" s="29"/>
      <c r="OTV21" s="29"/>
      <c r="OTW21" s="29"/>
      <c r="OTX21" s="29"/>
      <c r="OTY21" s="29"/>
      <c r="OTZ21" s="29"/>
      <c r="OUA21" s="29"/>
      <c r="OUB21" s="29"/>
      <c r="OUC21" s="29"/>
      <c r="OUD21" s="29"/>
      <c r="OUE21" s="29"/>
      <c r="OUF21" s="29"/>
      <c r="OUG21" s="29"/>
      <c r="OUH21" s="29"/>
      <c r="OUI21" s="29"/>
      <c r="OUJ21" s="29"/>
      <c r="OUK21" s="29"/>
      <c r="OUL21" s="29"/>
      <c r="OUM21" s="29"/>
      <c r="OUN21" s="29"/>
      <c r="OUO21" s="29"/>
      <c r="OUP21" s="29"/>
      <c r="OUQ21" s="29"/>
      <c r="OUR21" s="29"/>
      <c r="OUS21" s="29"/>
      <c r="OUT21" s="29"/>
      <c r="OUU21" s="29"/>
      <c r="OUV21" s="29"/>
      <c r="OUW21" s="29"/>
      <c r="OUX21" s="29"/>
      <c r="OUY21" s="29"/>
      <c r="OUZ21" s="29"/>
      <c r="OVA21" s="29"/>
      <c r="OVB21" s="29"/>
      <c r="OVC21" s="29"/>
      <c r="OVD21" s="29"/>
      <c r="OVE21" s="29"/>
      <c r="OVF21" s="29"/>
      <c r="OVG21" s="29"/>
      <c r="OVH21" s="29"/>
      <c r="OVI21" s="29"/>
      <c r="OVJ21" s="29"/>
      <c r="OVK21" s="29"/>
      <c r="OVL21" s="29"/>
      <c r="OVM21" s="29"/>
      <c r="OVN21" s="29"/>
      <c r="OVO21" s="29"/>
      <c r="OVP21" s="29"/>
      <c r="OVQ21" s="29"/>
      <c r="OVR21" s="29"/>
      <c r="OVS21" s="29"/>
      <c r="OVT21" s="29"/>
      <c r="OVU21" s="29"/>
      <c r="OVV21" s="29"/>
      <c r="OVW21" s="29"/>
      <c r="OVX21" s="29"/>
      <c r="OVY21" s="29"/>
      <c r="OVZ21" s="29"/>
      <c r="OWA21" s="29"/>
      <c r="OWB21" s="29"/>
      <c r="OWC21" s="29"/>
      <c r="OWD21" s="29"/>
      <c r="OWE21" s="29"/>
      <c r="OWF21" s="29"/>
      <c r="OWG21" s="29"/>
      <c r="OWH21" s="29"/>
      <c r="OWI21" s="29"/>
      <c r="OWJ21" s="29"/>
      <c r="OWK21" s="29"/>
      <c r="OWL21" s="29"/>
      <c r="OWM21" s="29"/>
      <c r="OWN21" s="29"/>
      <c r="OWO21" s="29"/>
      <c r="OWP21" s="29"/>
      <c r="OWQ21" s="29"/>
      <c r="OWR21" s="29"/>
      <c r="OWS21" s="29"/>
      <c r="OWT21" s="29"/>
      <c r="OWU21" s="29"/>
      <c r="OWV21" s="29"/>
      <c r="OWW21" s="29"/>
      <c r="OWX21" s="29"/>
      <c r="OWY21" s="29"/>
      <c r="OWZ21" s="29"/>
      <c r="OXA21" s="29"/>
      <c r="OXB21" s="29"/>
      <c r="OXC21" s="29"/>
      <c r="OXD21" s="29"/>
      <c r="OXE21" s="29"/>
      <c r="OXF21" s="29"/>
      <c r="OXG21" s="29"/>
      <c r="OXH21" s="29"/>
      <c r="OXI21" s="29"/>
      <c r="OXJ21" s="29"/>
      <c r="OXK21" s="29"/>
      <c r="OXL21" s="29"/>
      <c r="OXM21" s="29"/>
      <c r="OXN21" s="29"/>
      <c r="OXO21" s="29"/>
      <c r="OXP21" s="29"/>
      <c r="OXQ21" s="29"/>
      <c r="OXR21" s="29"/>
      <c r="OXS21" s="29"/>
      <c r="OXT21" s="29"/>
      <c r="OXU21" s="29"/>
      <c r="OXV21" s="29"/>
      <c r="OXW21" s="29"/>
      <c r="OXX21" s="29"/>
      <c r="OXY21" s="29"/>
      <c r="OXZ21" s="29"/>
      <c r="OYA21" s="29"/>
      <c r="OYB21" s="29"/>
      <c r="OYC21" s="29"/>
      <c r="OYD21" s="29"/>
      <c r="OYE21" s="29"/>
      <c r="OYF21" s="29"/>
      <c r="OYG21" s="29"/>
      <c r="OYH21" s="29"/>
      <c r="OYI21" s="29"/>
      <c r="OYJ21" s="29"/>
      <c r="OYK21" s="29"/>
      <c r="OYL21" s="29"/>
      <c r="OYM21" s="29"/>
      <c r="OYN21" s="29"/>
      <c r="OYO21" s="29"/>
      <c r="OYP21" s="29"/>
      <c r="OYQ21" s="29"/>
      <c r="OYR21" s="29"/>
      <c r="OYS21" s="29"/>
      <c r="OYT21" s="29"/>
      <c r="OYU21" s="29"/>
      <c r="OYV21" s="29"/>
      <c r="OYW21" s="29"/>
      <c r="OYX21" s="29"/>
      <c r="OYY21" s="29"/>
      <c r="OYZ21" s="29"/>
      <c r="OZA21" s="29"/>
      <c r="OZB21" s="29"/>
      <c r="OZC21" s="29"/>
      <c r="OZD21" s="29"/>
      <c r="OZE21" s="29"/>
      <c r="OZF21" s="29"/>
      <c r="OZG21" s="29"/>
      <c r="OZH21" s="29"/>
      <c r="OZI21" s="29"/>
      <c r="OZJ21" s="29"/>
      <c r="OZK21" s="29"/>
      <c r="OZL21" s="29"/>
      <c r="OZM21" s="29"/>
      <c r="OZN21" s="29"/>
      <c r="OZO21" s="29"/>
      <c r="OZP21" s="29"/>
      <c r="OZQ21" s="29"/>
      <c r="OZR21" s="29"/>
      <c r="OZS21" s="29"/>
      <c r="OZT21" s="29"/>
      <c r="OZU21" s="29"/>
      <c r="OZV21" s="29"/>
      <c r="OZW21" s="29"/>
      <c r="OZX21" s="29"/>
      <c r="OZY21" s="29"/>
      <c r="OZZ21" s="29"/>
      <c r="PAA21" s="29"/>
      <c r="PAB21" s="29"/>
      <c r="PAC21" s="29"/>
      <c r="PAD21" s="29"/>
      <c r="PAE21" s="29"/>
      <c r="PAF21" s="29"/>
      <c r="PAG21" s="29"/>
      <c r="PAH21" s="29"/>
      <c r="PAI21" s="29"/>
      <c r="PAJ21" s="29"/>
      <c r="PAK21" s="29"/>
      <c r="PAL21" s="29"/>
      <c r="PAM21" s="29"/>
      <c r="PAN21" s="29"/>
      <c r="PAO21" s="29"/>
      <c r="PAP21" s="29"/>
      <c r="PAQ21" s="29"/>
      <c r="PAR21" s="29"/>
      <c r="PAS21" s="29"/>
      <c r="PAT21" s="29"/>
      <c r="PAU21" s="29"/>
      <c r="PAV21" s="29"/>
      <c r="PAW21" s="29"/>
      <c r="PAX21" s="29"/>
      <c r="PAY21" s="29"/>
      <c r="PAZ21" s="29"/>
      <c r="PBA21" s="29"/>
      <c r="PBB21" s="29"/>
      <c r="PBC21" s="29"/>
      <c r="PBD21" s="29"/>
      <c r="PBE21" s="29"/>
      <c r="PBF21" s="29"/>
      <c r="PBG21" s="29"/>
      <c r="PBH21" s="29"/>
      <c r="PBI21" s="29"/>
      <c r="PBJ21" s="29"/>
      <c r="PBK21" s="29"/>
      <c r="PBL21" s="29"/>
      <c r="PBM21" s="29"/>
      <c r="PBN21" s="29"/>
      <c r="PBO21" s="29"/>
      <c r="PBP21" s="29"/>
      <c r="PBQ21" s="29"/>
      <c r="PBR21" s="29"/>
      <c r="PBS21" s="29"/>
      <c r="PBT21" s="29"/>
      <c r="PBU21" s="29"/>
      <c r="PBV21" s="29"/>
      <c r="PBW21" s="29"/>
      <c r="PBX21" s="29"/>
      <c r="PBY21" s="29"/>
      <c r="PBZ21" s="29"/>
      <c r="PCA21" s="29"/>
      <c r="PCB21" s="29"/>
      <c r="PCC21" s="29"/>
      <c r="PCD21" s="29"/>
      <c r="PCE21" s="29"/>
      <c r="PCF21" s="29"/>
      <c r="PCG21" s="29"/>
      <c r="PCH21" s="29"/>
      <c r="PCI21" s="29"/>
      <c r="PCJ21" s="29"/>
      <c r="PCK21" s="29"/>
      <c r="PCL21" s="29"/>
      <c r="PCM21" s="29"/>
      <c r="PCN21" s="29"/>
      <c r="PCO21" s="29"/>
      <c r="PCP21" s="29"/>
      <c r="PCQ21" s="29"/>
      <c r="PCR21" s="29"/>
      <c r="PCS21" s="29"/>
      <c r="PCT21" s="29"/>
      <c r="PCU21" s="29"/>
      <c r="PCV21" s="29"/>
      <c r="PCW21" s="29"/>
      <c r="PCX21" s="29"/>
      <c r="PCY21" s="29"/>
      <c r="PCZ21" s="29"/>
      <c r="PDA21" s="29"/>
      <c r="PDB21" s="29"/>
      <c r="PDC21" s="29"/>
      <c r="PDD21" s="29"/>
      <c r="PDE21" s="29"/>
      <c r="PDF21" s="29"/>
      <c r="PDG21" s="29"/>
      <c r="PDH21" s="29"/>
      <c r="PDI21" s="29"/>
      <c r="PDJ21" s="29"/>
      <c r="PDK21" s="29"/>
      <c r="PDL21" s="29"/>
      <c r="PDM21" s="29"/>
      <c r="PDN21" s="29"/>
      <c r="PDO21" s="29"/>
      <c r="PDP21" s="29"/>
      <c r="PDQ21" s="29"/>
      <c r="PDR21" s="29"/>
      <c r="PDS21" s="29"/>
      <c r="PDT21" s="29"/>
      <c r="PDU21" s="29"/>
      <c r="PDV21" s="29"/>
      <c r="PDW21" s="29"/>
      <c r="PDX21" s="29"/>
      <c r="PDY21" s="29"/>
      <c r="PDZ21" s="29"/>
      <c r="PEA21" s="29"/>
      <c r="PEB21" s="29"/>
      <c r="PEC21" s="29"/>
      <c r="PED21" s="29"/>
      <c r="PEE21" s="29"/>
      <c r="PEF21" s="29"/>
      <c r="PEG21" s="29"/>
      <c r="PEH21" s="29"/>
      <c r="PEI21" s="29"/>
      <c r="PEJ21" s="29"/>
      <c r="PEK21" s="29"/>
      <c r="PEL21" s="29"/>
      <c r="PEM21" s="29"/>
      <c r="PEN21" s="29"/>
      <c r="PEO21" s="29"/>
      <c r="PEP21" s="29"/>
      <c r="PEQ21" s="29"/>
      <c r="PER21" s="29"/>
      <c r="PES21" s="29"/>
      <c r="PET21" s="29"/>
      <c r="PEU21" s="29"/>
      <c r="PEV21" s="29"/>
      <c r="PEW21" s="29"/>
      <c r="PEX21" s="29"/>
      <c r="PEY21" s="29"/>
      <c r="PEZ21" s="29"/>
      <c r="PFA21" s="29"/>
      <c r="PFB21" s="29"/>
      <c r="PFC21" s="29"/>
      <c r="PFD21" s="29"/>
      <c r="PFE21" s="29"/>
      <c r="PFF21" s="29"/>
      <c r="PFG21" s="29"/>
      <c r="PFH21" s="29"/>
      <c r="PFI21" s="29"/>
      <c r="PFJ21" s="29"/>
      <c r="PFK21" s="29"/>
      <c r="PFL21" s="29"/>
      <c r="PFM21" s="29"/>
      <c r="PFN21" s="29"/>
      <c r="PFO21" s="29"/>
      <c r="PFP21" s="29"/>
      <c r="PFQ21" s="29"/>
      <c r="PFR21" s="29"/>
      <c r="PFS21" s="29"/>
      <c r="PFT21" s="29"/>
      <c r="PFU21" s="29"/>
      <c r="PFV21" s="29"/>
      <c r="PFW21" s="29"/>
      <c r="PFX21" s="29"/>
      <c r="PFY21" s="29"/>
      <c r="PFZ21" s="29"/>
      <c r="PGA21" s="29"/>
      <c r="PGB21" s="29"/>
      <c r="PGC21" s="29"/>
      <c r="PGD21" s="29"/>
      <c r="PGE21" s="29"/>
      <c r="PGF21" s="29"/>
      <c r="PGG21" s="29"/>
      <c r="PGH21" s="29"/>
      <c r="PGI21" s="29"/>
      <c r="PGJ21" s="29"/>
      <c r="PGK21" s="29"/>
      <c r="PGL21" s="29"/>
      <c r="PGM21" s="29"/>
      <c r="PGN21" s="29"/>
      <c r="PGO21" s="29"/>
      <c r="PGP21" s="29"/>
      <c r="PGQ21" s="29"/>
      <c r="PGR21" s="29"/>
      <c r="PGS21" s="29"/>
      <c r="PGT21" s="29"/>
      <c r="PGU21" s="29"/>
      <c r="PGV21" s="29"/>
      <c r="PGW21" s="29"/>
      <c r="PGX21" s="29"/>
      <c r="PGY21" s="29"/>
      <c r="PGZ21" s="29"/>
      <c r="PHA21" s="29"/>
      <c r="PHB21" s="29"/>
      <c r="PHC21" s="29"/>
      <c r="PHD21" s="29"/>
      <c r="PHE21" s="29"/>
      <c r="PHF21" s="29"/>
      <c r="PHG21" s="29"/>
      <c r="PHH21" s="29"/>
      <c r="PHI21" s="29"/>
      <c r="PHJ21" s="29"/>
      <c r="PHK21" s="29"/>
      <c r="PHL21" s="29"/>
      <c r="PHM21" s="29"/>
      <c r="PHN21" s="29"/>
      <c r="PHO21" s="29"/>
      <c r="PHP21" s="29"/>
      <c r="PHQ21" s="29"/>
      <c r="PHR21" s="29"/>
      <c r="PHS21" s="29"/>
      <c r="PHT21" s="29"/>
      <c r="PHU21" s="29"/>
      <c r="PHV21" s="29"/>
      <c r="PHW21" s="29"/>
      <c r="PHX21" s="29"/>
      <c r="PHY21" s="29"/>
      <c r="PHZ21" s="29"/>
      <c r="PIA21" s="29"/>
      <c r="PIB21" s="29"/>
      <c r="PIC21" s="29"/>
      <c r="PID21" s="29"/>
      <c r="PIE21" s="29"/>
      <c r="PIF21" s="29"/>
      <c r="PIG21" s="29"/>
      <c r="PIH21" s="29"/>
      <c r="PII21" s="29"/>
      <c r="PIJ21" s="29"/>
      <c r="PIK21" s="29"/>
      <c r="PIL21" s="29"/>
      <c r="PIM21" s="29"/>
      <c r="PIN21" s="29"/>
      <c r="PIO21" s="29"/>
      <c r="PIP21" s="29"/>
      <c r="PIQ21" s="29"/>
      <c r="PIR21" s="29"/>
      <c r="PIS21" s="29"/>
      <c r="PIT21" s="29"/>
      <c r="PIU21" s="29"/>
      <c r="PIV21" s="29"/>
      <c r="PIW21" s="29"/>
      <c r="PIX21" s="29"/>
      <c r="PIY21" s="29"/>
      <c r="PIZ21" s="29"/>
      <c r="PJA21" s="29"/>
      <c r="PJB21" s="29"/>
      <c r="PJC21" s="29"/>
      <c r="PJD21" s="29"/>
      <c r="PJE21" s="29"/>
      <c r="PJF21" s="29"/>
      <c r="PJG21" s="29"/>
      <c r="PJH21" s="29"/>
      <c r="PJI21" s="29"/>
      <c r="PJJ21" s="29"/>
      <c r="PJK21" s="29"/>
      <c r="PJL21" s="29"/>
      <c r="PJM21" s="29"/>
      <c r="PJN21" s="29"/>
      <c r="PJO21" s="29"/>
      <c r="PJP21" s="29"/>
      <c r="PJQ21" s="29"/>
      <c r="PJR21" s="29"/>
      <c r="PJS21" s="29"/>
      <c r="PJT21" s="29"/>
      <c r="PJU21" s="29"/>
      <c r="PJV21" s="29"/>
      <c r="PJW21" s="29"/>
      <c r="PJX21" s="29"/>
      <c r="PJY21" s="29"/>
      <c r="PJZ21" s="29"/>
      <c r="PKA21" s="29"/>
      <c r="PKB21" s="29"/>
      <c r="PKC21" s="29"/>
      <c r="PKD21" s="29"/>
      <c r="PKE21" s="29"/>
      <c r="PKF21" s="29"/>
      <c r="PKG21" s="29"/>
      <c r="PKH21" s="29"/>
      <c r="PKI21" s="29"/>
      <c r="PKJ21" s="29"/>
      <c r="PKK21" s="29"/>
      <c r="PKL21" s="29"/>
      <c r="PKM21" s="29"/>
      <c r="PKN21" s="29"/>
      <c r="PKO21" s="29"/>
      <c r="PKP21" s="29"/>
      <c r="PKQ21" s="29"/>
      <c r="PKR21" s="29"/>
      <c r="PKS21" s="29"/>
      <c r="PKT21" s="29"/>
      <c r="PKU21" s="29"/>
      <c r="PKV21" s="29"/>
      <c r="PKW21" s="29"/>
      <c r="PKX21" s="29"/>
      <c r="PKY21" s="29"/>
      <c r="PKZ21" s="29"/>
      <c r="PLA21" s="29"/>
      <c r="PLB21" s="29"/>
      <c r="PLC21" s="29"/>
      <c r="PLD21" s="29"/>
      <c r="PLE21" s="29"/>
      <c r="PLF21" s="29"/>
      <c r="PLG21" s="29"/>
      <c r="PLH21" s="29"/>
      <c r="PLI21" s="29"/>
      <c r="PLJ21" s="29"/>
      <c r="PLK21" s="29"/>
      <c r="PLL21" s="29"/>
      <c r="PLM21" s="29"/>
      <c r="PLN21" s="29"/>
      <c r="PLO21" s="29"/>
      <c r="PLP21" s="29"/>
      <c r="PLQ21" s="29"/>
      <c r="PLR21" s="29"/>
      <c r="PLS21" s="29"/>
      <c r="PLT21" s="29"/>
      <c r="PLU21" s="29"/>
      <c r="PLV21" s="29"/>
      <c r="PLW21" s="29"/>
      <c r="PLX21" s="29"/>
      <c r="PLY21" s="29"/>
      <c r="PLZ21" s="29"/>
      <c r="PMA21" s="29"/>
      <c r="PMB21" s="29"/>
      <c r="PMC21" s="29"/>
      <c r="PMD21" s="29"/>
      <c r="PME21" s="29"/>
      <c r="PMF21" s="29"/>
      <c r="PMG21" s="29"/>
      <c r="PMH21" s="29"/>
      <c r="PMI21" s="29"/>
      <c r="PMJ21" s="29"/>
      <c r="PMK21" s="29"/>
      <c r="PML21" s="29"/>
      <c r="PMM21" s="29"/>
      <c r="PMN21" s="29"/>
      <c r="PMO21" s="29"/>
      <c r="PMP21" s="29"/>
      <c r="PMQ21" s="29"/>
      <c r="PMR21" s="29"/>
      <c r="PMS21" s="29"/>
      <c r="PMT21" s="29"/>
      <c r="PMU21" s="29"/>
      <c r="PMV21" s="29"/>
      <c r="PMW21" s="29"/>
      <c r="PMX21" s="29"/>
      <c r="PMY21" s="29"/>
      <c r="PMZ21" s="29"/>
      <c r="PNA21" s="29"/>
      <c r="PNB21" s="29"/>
      <c r="PNC21" s="29"/>
      <c r="PND21" s="29"/>
      <c r="PNE21" s="29"/>
      <c r="PNF21" s="29"/>
      <c r="PNG21" s="29"/>
      <c r="PNH21" s="29"/>
      <c r="PNI21" s="29"/>
      <c r="PNJ21" s="29"/>
      <c r="PNK21" s="29"/>
      <c r="PNL21" s="29"/>
      <c r="PNM21" s="29"/>
      <c r="PNN21" s="29"/>
      <c r="PNO21" s="29"/>
      <c r="PNP21" s="29"/>
      <c r="PNQ21" s="29"/>
      <c r="PNR21" s="29"/>
      <c r="PNS21" s="29"/>
      <c r="PNT21" s="29"/>
      <c r="PNU21" s="29"/>
      <c r="PNV21" s="29"/>
      <c r="PNW21" s="29"/>
      <c r="PNX21" s="29"/>
      <c r="PNY21" s="29"/>
      <c r="PNZ21" s="29"/>
      <c r="POA21" s="29"/>
      <c r="POB21" s="29"/>
      <c r="POC21" s="29"/>
      <c r="POD21" s="29"/>
      <c r="POE21" s="29"/>
      <c r="POF21" s="29"/>
      <c r="POG21" s="29"/>
      <c r="POH21" s="29"/>
      <c r="POI21" s="29"/>
      <c r="POJ21" s="29"/>
      <c r="POK21" s="29"/>
      <c r="POL21" s="29"/>
      <c r="POM21" s="29"/>
      <c r="PON21" s="29"/>
      <c r="POO21" s="29"/>
      <c r="POP21" s="29"/>
      <c r="POQ21" s="29"/>
      <c r="POR21" s="29"/>
      <c r="POS21" s="29"/>
      <c r="POT21" s="29"/>
      <c r="POU21" s="29"/>
      <c r="POV21" s="29"/>
      <c r="POW21" s="29"/>
      <c r="POX21" s="29"/>
      <c r="POY21" s="29"/>
      <c r="POZ21" s="29"/>
      <c r="PPA21" s="29"/>
      <c r="PPB21" s="29"/>
      <c r="PPC21" s="29"/>
      <c r="PPD21" s="29"/>
      <c r="PPE21" s="29"/>
      <c r="PPF21" s="29"/>
      <c r="PPG21" s="29"/>
      <c r="PPH21" s="29"/>
      <c r="PPI21" s="29"/>
      <c r="PPJ21" s="29"/>
      <c r="PPK21" s="29"/>
      <c r="PPL21" s="29"/>
      <c r="PPM21" s="29"/>
      <c r="PPN21" s="29"/>
      <c r="PPO21" s="29"/>
      <c r="PPP21" s="29"/>
      <c r="PPQ21" s="29"/>
      <c r="PPR21" s="29"/>
      <c r="PPS21" s="29"/>
      <c r="PPT21" s="29"/>
      <c r="PPU21" s="29"/>
      <c r="PPV21" s="29"/>
      <c r="PPW21" s="29"/>
      <c r="PPX21" s="29"/>
      <c r="PPY21" s="29"/>
      <c r="PPZ21" s="29"/>
      <c r="PQA21" s="29"/>
      <c r="PQB21" s="29"/>
      <c r="PQC21" s="29"/>
      <c r="PQD21" s="29"/>
      <c r="PQE21" s="29"/>
      <c r="PQF21" s="29"/>
      <c r="PQG21" s="29"/>
      <c r="PQH21" s="29"/>
      <c r="PQI21" s="29"/>
      <c r="PQJ21" s="29"/>
      <c r="PQK21" s="29"/>
      <c r="PQL21" s="29"/>
      <c r="PQM21" s="29"/>
      <c r="PQN21" s="29"/>
      <c r="PQO21" s="29"/>
      <c r="PQP21" s="29"/>
      <c r="PQQ21" s="29"/>
      <c r="PQR21" s="29"/>
      <c r="PQS21" s="29"/>
      <c r="PQT21" s="29"/>
      <c r="PQU21" s="29"/>
      <c r="PQV21" s="29"/>
      <c r="PQW21" s="29"/>
      <c r="PQX21" s="29"/>
      <c r="PQY21" s="29"/>
      <c r="PQZ21" s="29"/>
      <c r="PRA21" s="29"/>
      <c r="PRB21" s="29"/>
      <c r="PRC21" s="29"/>
      <c r="PRD21" s="29"/>
      <c r="PRE21" s="29"/>
      <c r="PRF21" s="29"/>
      <c r="PRG21" s="29"/>
      <c r="PRH21" s="29"/>
      <c r="PRI21" s="29"/>
      <c r="PRJ21" s="29"/>
      <c r="PRK21" s="29"/>
      <c r="PRL21" s="29"/>
      <c r="PRM21" s="29"/>
      <c r="PRN21" s="29"/>
      <c r="PRO21" s="29"/>
      <c r="PRP21" s="29"/>
      <c r="PRQ21" s="29"/>
      <c r="PRR21" s="29"/>
      <c r="PRS21" s="29"/>
      <c r="PRT21" s="29"/>
      <c r="PRU21" s="29"/>
      <c r="PRV21" s="29"/>
      <c r="PRW21" s="29"/>
      <c r="PRX21" s="29"/>
      <c r="PRY21" s="29"/>
      <c r="PRZ21" s="29"/>
      <c r="PSA21" s="29"/>
      <c r="PSB21" s="29"/>
      <c r="PSC21" s="29"/>
      <c r="PSD21" s="29"/>
      <c r="PSE21" s="29"/>
      <c r="PSF21" s="29"/>
      <c r="PSG21" s="29"/>
      <c r="PSH21" s="29"/>
      <c r="PSI21" s="29"/>
      <c r="PSJ21" s="29"/>
      <c r="PSK21" s="29"/>
      <c r="PSL21" s="29"/>
      <c r="PSM21" s="29"/>
      <c r="PSN21" s="29"/>
      <c r="PSO21" s="29"/>
      <c r="PSP21" s="29"/>
      <c r="PSQ21" s="29"/>
      <c r="PSR21" s="29"/>
      <c r="PSS21" s="29"/>
      <c r="PST21" s="29"/>
      <c r="PSU21" s="29"/>
      <c r="PSV21" s="29"/>
      <c r="PSW21" s="29"/>
      <c r="PSX21" s="29"/>
      <c r="PSY21" s="29"/>
      <c r="PSZ21" s="29"/>
      <c r="PTA21" s="29"/>
      <c r="PTB21" s="29"/>
      <c r="PTC21" s="29"/>
      <c r="PTD21" s="29"/>
      <c r="PTE21" s="29"/>
      <c r="PTF21" s="29"/>
      <c r="PTG21" s="29"/>
      <c r="PTH21" s="29"/>
      <c r="PTI21" s="29"/>
      <c r="PTJ21" s="29"/>
      <c r="PTK21" s="29"/>
      <c r="PTL21" s="29"/>
      <c r="PTM21" s="29"/>
      <c r="PTN21" s="29"/>
      <c r="PTO21" s="29"/>
      <c r="PTP21" s="29"/>
      <c r="PTQ21" s="29"/>
      <c r="PTR21" s="29"/>
      <c r="PTS21" s="29"/>
      <c r="PTT21" s="29"/>
      <c r="PTU21" s="29"/>
      <c r="PTV21" s="29"/>
      <c r="PTW21" s="29"/>
      <c r="PTX21" s="29"/>
      <c r="PTY21" s="29"/>
      <c r="PTZ21" s="29"/>
      <c r="PUA21" s="29"/>
      <c r="PUB21" s="29"/>
      <c r="PUC21" s="29"/>
      <c r="PUD21" s="29"/>
      <c r="PUE21" s="29"/>
      <c r="PUF21" s="29"/>
      <c r="PUG21" s="29"/>
      <c r="PUH21" s="29"/>
      <c r="PUI21" s="29"/>
      <c r="PUJ21" s="29"/>
      <c r="PUK21" s="29"/>
      <c r="PUL21" s="29"/>
      <c r="PUM21" s="29"/>
      <c r="PUN21" s="29"/>
      <c r="PUO21" s="29"/>
      <c r="PUP21" s="29"/>
      <c r="PUQ21" s="29"/>
      <c r="PUR21" s="29"/>
      <c r="PUS21" s="29"/>
      <c r="PUT21" s="29"/>
      <c r="PUU21" s="29"/>
      <c r="PUV21" s="29"/>
      <c r="PUW21" s="29"/>
      <c r="PUX21" s="29"/>
      <c r="PUY21" s="29"/>
      <c r="PUZ21" s="29"/>
      <c r="PVA21" s="29"/>
      <c r="PVB21" s="29"/>
      <c r="PVC21" s="29"/>
      <c r="PVD21" s="29"/>
      <c r="PVE21" s="29"/>
      <c r="PVF21" s="29"/>
      <c r="PVG21" s="29"/>
      <c r="PVH21" s="29"/>
      <c r="PVI21" s="29"/>
      <c r="PVJ21" s="29"/>
      <c r="PVK21" s="29"/>
      <c r="PVL21" s="29"/>
      <c r="PVM21" s="29"/>
      <c r="PVN21" s="29"/>
      <c r="PVO21" s="29"/>
      <c r="PVP21" s="29"/>
      <c r="PVQ21" s="29"/>
      <c r="PVR21" s="29"/>
      <c r="PVS21" s="29"/>
      <c r="PVT21" s="29"/>
      <c r="PVU21" s="29"/>
      <c r="PVV21" s="29"/>
      <c r="PVW21" s="29"/>
      <c r="PVX21" s="29"/>
      <c r="PVY21" s="29"/>
      <c r="PVZ21" s="29"/>
      <c r="PWA21" s="29"/>
      <c r="PWB21" s="29"/>
      <c r="PWC21" s="29"/>
      <c r="PWD21" s="29"/>
      <c r="PWE21" s="29"/>
      <c r="PWF21" s="29"/>
      <c r="PWG21" s="29"/>
      <c r="PWH21" s="29"/>
      <c r="PWI21" s="29"/>
      <c r="PWJ21" s="29"/>
      <c r="PWK21" s="29"/>
      <c r="PWL21" s="29"/>
      <c r="PWM21" s="29"/>
      <c r="PWN21" s="29"/>
      <c r="PWO21" s="29"/>
      <c r="PWP21" s="29"/>
      <c r="PWQ21" s="29"/>
      <c r="PWR21" s="29"/>
      <c r="PWS21" s="29"/>
      <c r="PWT21" s="29"/>
      <c r="PWU21" s="29"/>
      <c r="PWV21" s="29"/>
      <c r="PWW21" s="29"/>
      <c r="PWX21" s="29"/>
      <c r="PWY21" s="29"/>
      <c r="PWZ21" s="29"/>
      <c r="PXA21" s="29"/>
      <c r="PXB21" s="29"/>
      <c r="PXC21" s="29"/>
      <c r="PXD21" s="29"/>
      <c r="PXE21" s="29"/>
      <c r="PXF21" s="29"/>
      <c r="PXG21" s="29"/>
      <c r="PXH21" s="29"/>
      <c r="PXI21" s="29"/>
      <c r="PXJ21" s="29"/>
      <c r="PXK21" s="29"/>
      <c r="PXL21" s="29"/>
      <c r="PXM21" s="29"/>
      <c r="PXN21" s="29"/>
      <c r="PXO21" s="29"/>
      <c r="PXP21" s="29"/>
      <c r="PXQ21" s="29"/>
      <c r="PXR21" s="29"/>
      <c r="PXS21" s="29"/>
      <c r="PXT21" s="29"/>
      <c r="PXU21" s="29"/>
      <c r="PXV21" s="29"/>
      <c r="PXW21" s="29"/>
      <c r="PXX21" s="29"/>
      <c r="PXY21" s="29"/>
      <c r="PXZ21" s="29"/>
      <c r="PYA21" s="29"/>
      <c r="PYB21" s="29"/>
      <c r="PYC21" s="29"/>
      <c r="PYD21" s="29"/>
      <c r="PYE21" s="29"/>
      <c r="PYF21" s="29"/>
      <c r="PYG21" s="29"/>
      <c r="PYH21" s="29"/>
      <c r="PYI21" s="29"/>
      <c r="PYJ21" s="29"/>
      <c r="PYK21" s="29"/>
      <c r="PYL21" s="29"/>
      <c r="PYM21" s="29"/>
      <c r="PYN21" s="29"/>
      <c r="PYO21" s="29"/>
      <c r="PYP21" s="29"/>
      <c r="PYQ21" s="29"/>
      <c r="PYR21" s="29"/>
      <c r="PYS21" s="29"/>
      <c r="PYT21" s="29"/>
      <c r="PYU21" s="29"/>
      <c r="PYV21" s="29"/>
      <c r="PYW21" s="29"/>
      <c r="PYX21" s="29"/>
      <c r="PYY21" s="29"/>
      <c r="PYZ21" s="29"/>
      <c r="PZA21" s="29"/>
      <c r="PZB21" s="29"/>
      <c r="PZC21" s="29"/>
      <c r="PZD21" s="29"/>
      <c r="PZE21" s="29"/>
      <c r="PZF21" s="29"/>
      <c r="PZG21" s="29"/>
      <c r="PZH21" s="29"/>
      <c r="PZI21" s="29"/>
      <c r="PZJ21" s="29"/>
      <c r="PZK21" s="29"/>
      <c r="PZL21" s="29"/>
      <c r="PZM21" s="29"/>
      <c r="PZN21" s="29"/>
      <c r="PZO21" s="29"/>
      <c r="PZP21" s="29"/>
      <c r="PZQ21" s="29"/>
      <c r="PZR21" s="29"/>
      <c r="PZS21" s="29"/>
      <c r="PZT21" s="29"/>
      <c r="PZU21" s="29"/>
      <c r="PZV21" s="29"/>
      <c r="PZW21" s="29"/>
      <c r="PZX21" s="29"/>
      <c r="PZY21" s="29"/>
      <c r="PZZ21" s="29"/>
      <c r="QAA21" s="29"/>
      <c r="QAB21" s="29"/>
      <c r="QAC21" s="29"/>
      <c r="QAD21" s="29"/>
      <c r="QAE21" s="29"/>
      <c r="QAF21" s="29"/>
      <c r="QAG21" s="29"/>
      <c r="QAH21" s="29"/>
      <c r="QAI21" s="29"/>
      <c r="QAJ21" s="29"/>
      <c r="QAK21" s="29"/>
      <c r="QAL21" s="29"/>
      <c r="QAM21" s="29"/>
      <c r="QAN21" s="29"/>
      <c r="QAO21" s="29"/>
      <c r="QAP21" s="29"/>
      <c r="QAQ21" s="29"/>
      <c r="QAR21" s="29"/>
      <c r="QAS21" s="29"/>
      <c r="QAT21" s="29"/>
      <c r="QAU21" s="29"/>
      <c r="QAV21" s="29"/>
      <c r="QAW21" s="29"/>
      <c r="QAX21" s="29"/>
      <c r="QAY21" s="29"/>
      <c r="QAZ21" s="29"/>
      <c r="QBA21" s="29"/>
      <c r="QBB21" s="29"/>
      <c r="QBC21" s="29"/>
      <c r="QBD21" s="29"/>
      <c r="QBE21" s="29"/>
      <c r="QBF21" s="29"/>
      <c r="QBG21" s="29"/>
      <c r="QBH21" s="29"/>
      <c r="QBI21" s="29"/>
      <c r="QBJ21" s="29"/>
      <c r="QBK21" s="29"/>
      <c r="QBL21" s="29"/>
      <c r="QBM21" s="29"/>
      <c r="QBN21" s="29"/>
      <c r="QBO21" s="29"/>
      <c r="QBP21" s="29"/>
      <c r="QBQ21" s="29"/>
      <c r="QBR21" s="29"/>
      <c r="QBS21" s="29"/>
      <c r="QBT21" s="29"/>
      <c r="QBU21" s="29"/>
      <c r="QBV21" s="29"/>
      <c r="QBW21" s="29"/>
      <c r="QBX21" s="29"/>
      <c r="QBY21" s="29"/>
      <c r="QBZ21" s="29"/>
      <c r="QCA21" s="29"/>
      <c r="QCB21" s="29"/>
      <c r="QCC21" s="29"/>
      <c r="QCD21" s="29"/>
      <c r="QCE21" s="29"/>
      <c r="QCF21" s="29"/>
      <c r="QCG21" s="29"/>
      <c r="QCH21" s="29"/>
      <c r="QCI21" s="29"/>
      <c r="QCJ21" s="29"/>
      <c r="QCK21" s="29"/>
      <c r="QCL21" s="29"/>
      <c r="QCM21" s="29"/>
      <c r="QCN21" s="29"/>
      <c r="QCO21" s="29"/>
      <c r="QCP21" s="29"/>
      <c r="QCQ21" s="29"/>
      <c r="QCR21" s="29"/>
      <c r="QCS21" s="29"/>
      <c r="QCT21" s="29"/>
      <c r="QCU21" s="29"/>
      <c r="QCV21" s="29"/>
      <c r="QCW21" s="29"/>
      <c r="QCX21" s="29"/>
      <c r="QCY21" s="29"/>
      <c r="QCZ21" s="29"/>
      <c r="QDA21" s="29"/>
      <c r="QDB21" s="29"/>
      <c r="QDC21" s="29"/>
      <c r="QDD21" s="29"/>
      <c r="QDE21" s="29"/>
      <c r="QDF21" s="29"/>
      <c r="QDG21" s="29"/>
      <c r="QDH21" s="29"/>
      <c r="QDI21" s="29"/>
      <c r="QDJ21" s="29"/>
      <c r="QDK21" s="29"/>
      <c r="QDL21" s="29"/>
      <c r="QDM21" s="29"/>
      <c r="QDN21" s="29"/>
      <c r="QDO21" s="29"/>
      <c r="QDP21" s="29"/>
      <c r="QDQ21" s="29"/>
      <c r="QDR21" s="29"/>
      <c r="QDS21" s="29"/>
      <c r="QDT21" s="29"/>
      <c r="QDU21" s="29"/>
      <c r="QDV21" s="29"/>
      <c r="QDW21" s="29"/>
      <c r="QDX21" s="29"/>
      <c r="QDY21" s="29"/>
      <c r="QDZ21" s="29"/>
      <c r="QEA21" s="29"/>
      <c r="QEB21" s="29"/>
      <c r="QEC21" s="29"/>
      <c r="QED21" s="29"/>
      <c r="QEE21" s="29"/>
      <c r="QEF21" s="29"/>
      <c r="QEG21" s="29"/>
      <c r="QEH21" s="29"/>
      <c r="QEI21" s="29"/>
      <c r="QEJ21" s="29"/>
      <c r="QEK21" s="29"/>
      <c r="QEL21" s="29"/>
      <c r="QEM21" s="29"/>
      <c r="QEN21" s="29"/>
      <c r="QEO21" s="29"/>
      <c r="QEP21" s="29"/>
      <c r="QEQ21" s="29"/>
      <c r="QER21" s="29"/>
      <c r="QES21" s="29"/>
      <c r="QET21" s="29"/>
      <c r="QEU21" s="29"/>
      <c r="QEV21" s="29"/>
      <c r="QEW21" s="29"/>
      <c r="QEX21" s="29"/>
      <c r="QEY21" s="29"/>
      <c r="QEZ21" s="29"/>
      <c r="QFA21" s="29"/>
      <c r="QFB21" s="29"/>
      <c r="QFC21" s="29"/>
      <c r="QFD21" s="29"/>
      <c r="QFE21" s="29"/>
      <c r="QFF21" s="29"/>
      <c r="QFG21" s="29"/>
      <c r="QFH21" s="29"/>
      <c r="QFI21" s="29"/>
      <c r="QFJ21" s="29"/>
      <c r="QFK21" s="29"/>
      <c r="QFL21" s="29"/>
      <c r="QFM21" s="29"/>
      <c r="QFN21" s="29"/>
      <c r="QFO21" s="29"/>
      <c r="QFP21" s="29"/>
      <c r="QFQ21" s="29"/>
      <c r="QFR21" s="29"/>
      <c r="QFS21" s="29"/>
      <c r="QFT21" s="29"/>
      <c r="QFU21" s="29"/>
      <c r="QFV21" s="29"/>
      <c r="QFW21" s="29"/>
      <c r="QFX21" s="29"/>
      <c r="QFY21" s="29"/>
      <c r="QFZ21" s="29"/>
      <c r="QGA21" s="29"/>
      <c r="QGB21" s="29"/>
      <c r="QGC21" s="29"/>
      <c r="QGD21" s="29"/>
      <c r="QGE21" s="29"/>
      <c r="QGF21" s="29"/>
      <c r="QGG21" s="29"/>
      <c r="QGH21" s="29"/>
      <c r="QGI21" s="29"/>
      <c r="QGJ21" s="29"/>
      <c r="QGK21" s="29"/>
      <c r="QGL21" s="29"/>
      <c r="QGM21" s="29"/>
      <c r="QGN21" s="29"/>
      <c r="QGO21" s="29"/>
      <c r="QGP21" s="29"/>
      <c r="QGQ21" s="29"/>
      <c r="QGR21" s="29"/>
      <c r="QGS21" s="29"/>
      <c r="QGT21" s="29"/>
      <c r="QGU21" s="29"/>
      <c r="QGV21" s="29"/>
      <c r="QGW21" s="29"/>
      <c r="QGX21" s="29"/>
      <c r="QGY21" s="29"/>
      <c r="QGZ21" s="29"/>
      <c r="QHA21" s="29"/>
      <c r="QHB21" s="29"/>
      <c r="QHC21" s="29"/>
      <c r="QHD21" s="29"/>
      <c r="QHE21" s="29"/>
      <c r="QHF21" s="29"/>
      <c r="QHG21" s="29"/>
      <c r="QHH21" s="29"/>
      <c r="QHI21" s="29"/>
      <c r="QHJ21" s="29"/>
      <c r="QHK21" s="29"/>
      <c r="QHL21" s="29"/>
      <c r="QHM21" s="29"/>
      <c r="QHN21" s="29"/>
      <c r="QHO21" s="29"/>
      <c r="QHP21" s="29"/>
      <c r="QHQ21" s="29"/>
      <c r="QHR21" s="29"/>
      <c r="QHS21" s="29"/>
      <c r="QHT21" s="29"/>
      <c r="QHU21" s="29"/>
      <c r="QHV21" s="29"/>
      <c r="QHW21" s="29"/>
      <c r="QHX21" s="29"/>
      <c r="QHY21" s="29"/>
      <c r="QHZ21" s="29"/>
      <c r="QIA21" s="29"/>
      <c r="QIB21" s="29"/>
      <c r="QIC21" s="29"/>
      <c r="QID21" s="29"/>
      <c r="QIE21" s="29"/>
      <c r="QIF21" s="29"/>
      <c r="QIG21" s="29"/>
      <c r="QIH21" s="29"/>
      <c r="QII21" s="29"/>
      <c r="QIJ21" s="29"/>
      <c r="QIK21" s="29"/>
      <c r="QIL21" s="29"/>
      <c r="QIM21" s="29"/>
      <c r="QIN21" s="29"/>
      <c r="QIO21" s="29"/>
      <c r="QIP21" s="29"/>
      <c r="QIQ21" s="29"/>
      <c r="QIR21" s="29"/>
      <c r="QIS21" s="29"/>
      <c r="QIT21" s="29"/>
      <c r="QIU21" s="29"/>
      <c r="QIV21" s="29"/>
      <c r="QIW21" s="29"/>
      <c r="QIX21" s="29"/>
      <c r="QIY21" s="29"/>
      <c r="QIZ21" s="29"/>
      <c r="QJA21" s="29"/>
      <c r="QJB21" s="29"/>
      <c r="QJC21" s="29"/>
      <c r="QJD21" s="29"/>
      <c r="QJE21" s="29"/>
      <c r="QJF21" s="29"/>
      <c r="QJG21" s="29"/>
      <c r="QJH21" s="29"/>
      <c r="QJI21" s="29"/>
      <c r="QJJ21" s="29"/>
      <c r="QJK21" s="29"/>
      <c r="QJL21" s="29"/>
      <c r="QJM21" s="29"/>
      <c r="QJN21" s="29"/>
      <c r="QJO21" s="29"/>
      <c r="QJP21" s="29"/>
      <c r="QJQ21" s="29"/>
      <c r="QJR21" s="29"/>
      <c r="QJS21" s="29"/>
      <c r="QJT21" s="29"/>
      <c r="QJU21" s="29"/>
      <c r="QJV21" s="29"/>
      <c r="QJW21" s="29"/>
      <c r="QJX21" s="29"/>
      <c r="QJY21" s="29"/>
      <c r="QJZ21" s="29"/>
      <c r="QKA21" s="29"/>
      <c r="QKB21" s="29"/>
      <c r="QKC21" s="29"/>
      <c r="QKD21" s="29"/>
      <c r="QKE21" s="29"/>
      <c r="QKF21" s="29"/>
      <c r="QKG21" s="29"/>
      <c r="QKH21" s="29"/>
      <c r="QKI21" s="29"/>
      <c r="QKJ21" s="29"/>
      <c r="QKK21" s="29"/>
      <c r="QKL21" s="29"/>
      <c r="QKM21" s="29"/>
      <c r="QKN21" s="29"/>
      <c r="QKO21" s="29"/>
      <c r="QKP21" s="29"/>
      <c r="QKQ21" s="29"/>
      <c r="QKR21" s="29"/>
      <c r="QKS21" s="29"/>
      <c r="QKT21" s="29"/>
      <c r="QKU21" s="29"/>
      <c r="QKV21" s="29"/>
      <c r="QKW21" s="29"/>
      <c r="QKX21" s="29"/>
      <c r="QKY21" s="29"/>
      <c r="QKZ21" s="29"/>
      <c r="QLA21" s="29"/>
      <c r="QLB21" s="29"/>
      <c r="QLC21" s="29"/>
      <c r="QLD21" s="29"/>
      <c r="QLE21" s="29"/>
      <c r="QLF21" s="29"/>
      <c r="QLG21" s="29"/>
      <c r="QLH21" s="29"/>
      <c r="QLI21" s="29"/>
      <c r="QLJ21" s="29"/>
      <c r="QLK21" s="29"/>
      <c r="QLL21" s="29"/>
      <c r="QLM21" s="29"/>
      <c r="QLN21" s="29"/>
      <c r="QLO21" s="29"/>
      <c r="QLP21" s="29"/>
      <c r="QLQ21" s="29"/>
      <c r="QLR21" s="29"/>
      <c r="QLS21" s="29"/>
      <c r="QLT21" s="29"/>
      <c r="QLU21" s="29"/>
      <c r="QLV21" s="29"/>
      <c r="QLW21" s="29"/>
      <c r="QLX21" s="29"/>
      <c r="QLY21" s="29"/>
      <c r="QLZ21" s="29"/>
      <c r="QMA21" s="29"/>
      <c r="QMB21" s="29"/>
      <c r="QMC21" s="29"/>
      <c r="QMD21" s="29"/>
      <c r="QME21" s="29"/>
      <c r="QMF21" s="29"/>
      <c r="QMG21" s="29"/>
      <c r="QMH21" s="29"/>
      <c r="QMI21" s="29"/>
      <c r="QMJ21" s="29"/>
      <c r="QMK21" s="29"/>
      <c r="QML21" s="29"/>
      <c r="QMM21" s="29"/>
      <c r="QMN21" s="29"/>
      <c r="QMO21" s="29"/>
      <c r="QMP21" s="29"/>
      <c r="QMQ21" s="29"/>
      <c r="QMR21" s="29"/>
      <c r="QMS21" s="29"/>
      <c r="QMT21" s="29"/>
      <c r="QMU21" s="29"/>
      <c r="QMV21" s="29"/>
      <c r="QMW21" s="29"/>
      <c r="QMX21" s="29"/>
      <c r="QMY21" s="29"/>
      <c r="QMZ21" s="29"/>
      <c r="QNA21" s="29"/>
      <c r="QNB21" s="29"/>
      <c r="QNC21" s="29"/>
      <c r="QND21" s="29"/>
      <c r="QNE21" s="29"/>
      <c r="QNF21" s="29"/>
      <c r="QNG21" s="29"/>
      <c r="QNH21" s="29"/>
      <c r="QNI21" s="29"/>
      <c r="QNJ21" s="29"/>
      <c r="QNK21" s="29"/>
      <c r="QNL21" s="29"/>
      <c r="QNM21" s="29"/>
      <c r="QNN21" s="29"/>
      <c r="QNO21" s="29"/>
      <c r="QNP21" s="29"/>
      <c r="QNQ21" s="29"/>
      <c r="QNR21" s="29"/>
      <c r="QNS21" s="29"/>
      <c r="QNT21" s="29"/>
      <c r="QNU21" s="29"/>
      <c r="QNV21" s="29"/>
      <c r="QNW21" s="29"/>
      <c r="QNX21" s="29"/>
      <c r="QNY21" s="29"/>
      <c r="QNZ21" s="29"/>
      <c r="QOA21" s="29"/>
      <c r="QOB21" s="29"/>
      <c r="QOC21" s="29"/>
      <c r="QOD21" s="29"/>
      <c r="QOE21" s="29"/>
      <c r="QOF21" s="29"/>
      <c r="QOG21" s="29"/>
      <c r="QOH21" s="29"/>
      <c r="QOI21" s="29"/>
      <c r="QOJ21" s="29"/>
      <c r="QOK21" s="29"/>
      <c r="QOL21" s="29"/>
      <c r="QOM21" s="29"/>
      <c r="QON21" s="29"/>
      <c r="QOO21" s="29"/>
      <c r="QOP21" s="29"/>
      <c r="QOQ21" s="29"/>
      <c r="QOR21" s="29"/>
      <c r="QOS21" s="29"/>
      <c r="QOT21" s="29"/>
      <c r="QOU21" s="29"/>
      <c r="QOV21" s="29"/>
      <c r="QOW21" s="29"/>
      <c r="QOX21" s="29"/>
      <c r="QOY21" s="29"/>
      <c r="QOZ21" s="29"/>
      <c r="QPA21" s="29"/>
      <c r="QPB21" s="29"/>
      <c r="QPC21" s="29"/>
      <c r="QPD21" s="29"/>
      <c r="QPE21" s="29"/>
      <c r="QPF21" s="29"/>
      <c r="QPG21" s="29"/>
      <c r="QPH21" s="29"/>
      <c r="QPI21" s="29"/>
      <c r="QPJ21" s="29"/>
      <c r="QPK21" s="29"/>
      <c r="QPL21" s="29"/>
      <c r="QPM21" s="29"/>
      <c r="QPN21" s="29"/>
      <c r="QPO21" s="29"/>
      <c r="QPP21" s="29"/>
      <c r="QPQ21" s="29"/>
      <c r="QPR21" s="29"/>
      <c r="QPS21" s="29"/>
      <c r="QPT21" s="29"/>
      <c r="QPU21" s="29"/>
      <c r="QPV21" s="29"/>
      <c r="QPW21" s="29"/>
      <c r="QPX21" s="29"/>
      <c r="QPY21" s="29"/>
      <c r="QPZ21" s="29"/>
      <c r="QQA21" s="29"/>
      <c r="QQB21" s="29"/>
      <c r="QQC21" s="29"/>
      <c r="QQD21" s="29"/>
      <c r="QQE21" s="29"/>
      <c r="QQF21" s="29"/>
      <c r="QQG21" s="29"/>
      <c r="QQH21" s="29"/>
      <c r="QQI21" s="29"/>
      <c r="QQJ21" s="29"/>
      <c r="QQK21" s="29"/>
      <c r="QQL21" s="29"/>
      <c r="QQM21" s="29"/>
      <c r="QQN21" s="29"/>
      <c r="QQO21" s="29"/>
      <c r="QQP21" s="29"/>
      <c r="QQQ21" s="29"/>
      <c r="QQR21" s="29"/>
      <c r="QQS21" s="29"/>
      <c r="QQT21" s="29"/>
      <c r="QQU21" s="29"/>
      <c r="QQV21" s="29"/>
      <c r="QQW21" s="29"/>
      <c r="QQX21" s="29"/>
      <c r="QQY21" s="29"/>
      <c r="QQZ21" s="29"/>
      <c r="QRA21" s="29"/>
      <c r="QRB21" s="29"/>
      <c r="QRC21" s="29"/>
      <c r="QRD21" s="29"/>
      <c r="QRE21" s="29"/>
      <c r="QRF21" s="29"/>
      <c r="QRG21" s="29"/>
      <c r="QRH21" s="29"/>
      <c r="QRI21" s="29"/>
      <c r="QRJ21" s="29"/>
      <c r="QRK21" s="29"/>
      <c r="QRL21" s="29"/>
      <c r="QRM21" s="29"/>
      <c r="QRN21" s="29"/>
      <c r="QRO21" s="29"/>
      <c r="QRP21" s="29"/>
      <c r="QRQ21" s="29"/>
      <c r="QRR21" s="29"/>
      <c r="QRS21" s="29"/>
      <c r="QRT21" s="29"/>
      <c r="QRU21" s="29"/>
      <c r="QRV21" s="29"/>
      <c r="QRW21" s="29"/>
      <c r="QRX21" s="29"/>
      <c r="QRY21" s="29"/>
      <c r="QRZ21" s="29"/>
      <c r="QSA21" s="29"/>
      <c r="QSB21" s="29"/>
      <c r="QSC21" s="29"/>
      <c r="QSD21" s="29"/>
      <c r="QSE21" s="29"/>
      <c r="QSF21" s="29"/>
      <c r="QSG21" s="29"/>
      <c r="QSH21" s="29"/>
      <c r="QSI21" s="29"/>
      <c r="QSJ21" s="29"/>
      <c r="QSK21" s="29"/>
      <c r="QSL21" s="29"/>
      <c r="QSM21" s="29"/>
      <c r="QSN21" s="29"/>
      <c r="QSO21" s="29"/>
      <c r="QSP21" s="29"/>
      <c r="QSQ21" s="29"/>
      <c r="QSR21" s="29"/>
      <c r="QSS21" s="29"/>
      <c r="QST21" s="29"/>
      <c r="QSU21" s="29"/>
      <c r="QSV21" s="29"/>
      <c r="QSW21" s="29"/>
      <c r="QSX21" s="29"/>
      <c r="QSY21" s="29"/>
      <c r="QSZ21" s="29"/>
      <c r="QTA21" s="29"/>
      <c r="QTB21" s="29"/>
      <c r="QTC21" s="29"/>
      <c r="QTD21" s="29"/>
      <c r="QTE21" s="29"/>
      <c r="QTF21" s="29"/>
      <c r="QTG21" s="29"/>
      <c r="QTH21" s="29"/>
      <c r="QTI21" s="29"/>
      <c r="QTJ21" s="29"/>
      <c r="QTK21" s="29"/>
      <c r="QTL21" s="29"/>
      <c r="QTM21" s="29"/>
      <c r="QTN21" s="29"/>
      <c r="QTO21" s="29"/>
      <c r="QTP21" s="29"/>
      <c r="QTQ21" s="29"/>
      <c r="QTR21" s="29"/>
      <c r="QTS21" s="29"/>
      <c r="QTT21" s="29"/>
      <c r="QTU21" s="29"/>
      <c r="QTV21" s="29"/>
      <c r="QTW21" s="29"/>
      <c r="QTX21" s="29"/>
      <c r="QTY21" s="29"/>
      <c r="QTZ21" s="29"/>
      <c r="QUA21" s="29"/>
      <c r="QUB21" s="29"/>
      <c r="QUC21" s="29"/>
      <c r="QUD21" s="29"/>
      <c r="QUE21" s="29"/>
      <c r="QUF21" s="29"/>
      <c r="QUG21" s="29"/>
      <c r="QUH21" s="29"/>
      <c r="QUI21" s="29"/>
      <c r="QUJ21" s="29"/>
      <c r="QUK21" s="29"/>
      <c r="QUL21" s="29"/>
      <c r="QUM21" s="29"/>
      <c r="QUN21" s="29"/>
      <c r="QUO21" s="29"/>
      <c r="QUP21" s="29"/>
      <c r="QUQ21" s="29"/>
      <c r="QUR21" s="29"/>
      <c r="QUS21" s="29"/>
      <c r="QUT21" s="29"/>
      <c r="QUU21" s="29"/>
      <c r="QUV21" s="29"/>
      <c r="QUW21" s="29"/>
      <c r="QUX21" s="29"/>
      <c r="QUY21" s="29"/>
      <c r="QUZ21" s="29"/>
      <c r="QVA21" s="29"/>
      <c r="QVB21" s="29"/>
      <c r="QVC21" s="29"/>
      <c r="QVD21" s="29"/>
      <c r="QVE21" s="29"/>
      <c r="QVF21" s="29"/>
      <c r="QVG21" s="29"/>
      <c r="QVH21" s="29"/>
      <c r="QVI21" s="29"/>
      <c r="QVJ21" s="29"/>
      <c r="QVK21" s="29"/>
      <c r="QVL21" s="29"/>
      <c r="QVM21" s="29"/>
      <c r="QVN21" s="29"/>
      <c r="QVO21" s="29"/>
      <c r="QVP21" s="29"/>
      <c r="QVQ21" s="29"/>
      <c r="QVR21" s="29"/>
      <c r="QVS21" s="29"/>
      <c r="QVT21" s="29"/>
      <c r="QVU21" s="29"/>
      <c r="QVV21" s="29"/>
      <c r="QVW21" s="29"/>
      <c r="QVX21" s="29"/>
      <c r="QVY21" s="29"/>
      <c r="QVZ21" s="29"/>
      <c r="QWA21" s="29"/>
      <c r="QWB21" s="29"/>
      <c r="QWC21" s="29"/>
      <c r="QWD21" s="29"/>
      <c r="QWE21" s="29"/>
      <c r="QWF21" s="29"/>
      <c r="QWG21" s="29"/>
      <c r="QWH21" s="29"/>
      <c r="QWI21" s="29"/>
      <c r="QWJ21" s="29"/>
      <c r="QWK21" s="29"/>
      <c r="QWL21" s="29"/>
      <c r="QWM21" s="29"/>
      <c r="QWN21" s="29"/>
      <c r="QWO21" s="29"/>
      <c r="QWP21" s="29"/>
      <c r="QWQ21" s="29"/>
      <c r="QWR21" s="29"/>
      <c r="QWS21" s="29"/>
      <c r="QWT21" s="29"/>
      <c r="QWU21" s="29"/>
      <c r="QWV21" s="29"/>
      <c r="QWW21" s="29"/>
      <c r="QWX21" s="29"/>
      <c r="QWY21" s="29"/>
      <c r="QWZ21" s="29"/>
      <c r="QXA21" s="29"/>
      <c r="QXB21" s="29"/>
      <c r="QXC21" s="29"/>
      <c r="QXD21" s="29"/>
      <c r="QXE21" s="29"/>
      <c r="QXF21" s="29"/>
      <c r="QXG21" s="29"/>
      <c r="QXH21" s="29"/>
      <c r="QXI21" s="29"/>
      <c r="QXJ21" s="29"/>
      <c r="QXK21" s="29"/>
      <c r="QXL21" s="29"/>
      <c r="QXM21" s="29"/>
      <c r="QXN21" s="29"/>
      <c r="QXO21" s="29"/>
      <c r="QXP21" s="29"/>
      <c r="QXQ21" s="29"/>
      <c r="QXR21" s="29"/>
      <c r="QXS21" s="29"/>
      <c r="QXT21" s="29"/>
      <c r="QXU21" s="29"/>
      <c r="QXV21" s="29"/>
      <c r="QXW21" s="29"/>
      <c r="QXX21" s="29"/>
      <c r="QXY21" s="29"/>
      <c r="QXZ21" s="29"/>
      <c r="QYA21" s="29"/>
      <c r="QYB21" s="29"/>
      <c r="QYC21" s="29"/>
      <c r="QYD21" s="29"/>
      <c r="QYE21" s="29"/>
      <c r="QYF21" s="29"/>
      <c r="QYG21" s="29"/>
      <c r="QYH21" s="29"/>
      <c r="QYI21" s="29"/>
      <c r="QYJ21" s="29"/>
      <c r="QYK21" s="29"/>
      <c r="QYL21" s="29"/>
      <c r="QYM21" s="29"/>
      <c r="QYN21" s="29"/>
      <c r="QYO21" s="29"/>
      <c r="QYP21" s="29"/>
      <c r="QYQ21" s="29"/>
      <c r="QYR21" s="29"/>
      <c r="QYS21" s="29"/>
      <c r="QYT21" s="29"/>
      <c r="QYU21" s="29"/>
      <c r="QYV21" s="29"/>
      <c r="QYW21" s="29"/>
      <c r="QYX21" s="29"/>
      <c r="QYY21" s="29"/>
      <c r="QYZ21" s="29"/>
      <c r="QZA21" s="29"/>
      <c r="QZB21" s="29"/>
      <c r="QZC21" s="29"/>
      <c r="QZD21" s="29"/>
      <c r="QZE21" s="29"/>
      <c r="QZF21" s="29"/>
      <c r="QZG21" s="29"/>
      <c r="QZH21" s="29"/>
      <c r="QZI21" s="29"/>
      <c r="QZJ21" s="29"/>
      <c r="QZK21" s="29"/>
      <c r="QZL21" s="29"/>
      <c r="QZM21" s="29"/>
      <c r="QZN21" s="29"/>
      <c r="QZO21" s="29"/>
      <c r="QZP21" s="29"/>
      <c r="QZQ21" s="29"/>
      <c r="QZR21" s="29"/>
      <c r="QZS21" s="29"/>
      <c r="QZT21" s="29"/>
      <c r="QZU21" s="29"/>
      <c r="QZV21" s="29"/>
      <c r="QZW21" s="29"/>
      <c r="QZX21" s="29"/>
      <c r="QZY21" s="29"/>
      <c r="QZZ21" s="29"/>
      <c r="RAA21" s="29"/>
      <c r="RAB21" s="29"/>
      <c r="RAC21" s="29"/>
      <c r="RAD21" s="29"/>
      <c r="RAE21" s="29"/>
      <c r="RAF21" s="29"/>
      <c r="RAG21" s="29"/>
      <c r="RAH21" s="29"/>
      <c r="RAI21" s="29"/>
      <c r="RAJ21" s="29"/>
      <c r="RAK21" s="29"/>
      <c r="RAL21" s="29"/>
      <c r="RAM21" s="29"/>
      <c r="RAN21" s="29"/>
      <c r="RAO21" s="29"/>
      <c r="RAP21" s="29"/>
      <c r="RAQ21" s="29"/>
      <c r="RAR21" s="29"/>
      <c r="RAS21" s="29"/>
      <c r="RAT21" s="29"/>
      <c r="RAU21" s="29"/>
      <c r="RAV21" s="29"/>
      <c r="RAW21" s="29"/>
      <c r="RAX21" s="29"/>
      <c r="RAY21" s="29"/>
      <c r="RAZ21" s="29"/>
      <c r="RBA21" s="29"/>
      <c r="RBB21" s="29"/>
      <c r="RBC21" s="29"/>
      <c r="RBD21" s="29"/>
      <c r="RBE21" s="29"/>
      <c r="RBF21" s="29"/>
      <c r="RBG21" s="29"/>
      <c r="RBH21" s="29"/>
      <c r="RBI21" s="29"/>
      <c r="RBJ21" s="29"/>
      <c r="RBK21" s="29"/>
      <c r="RBL21" s="29"/>
      <c r="RBM21" s="29"/>
      <c r="RBN21" s="29"/>
      <c r="RBO21" s="29"/>
      <c r="RBP21" s="29"/>
      <c r="RBQ21" s="29"/>
      <c r="RBR21" s="29"/>
      <c r="RBS21" s="29"/>
      <c r="RBT21" s="29"/>
      <c r="RBU21" s="29"/>
      <c r="RBV21" s="29"/>
      <c r="RBW21" s="29"/>
      <c r="RBX21" s="29"/>
      <c r="RBY21" s="29"/>
      <c r="RBZ21" s="29"/>
      <c r="RCA21" s="29"/>
      <c r="RCB21" s="29"/>
      <c r="RCC21" s="29"/>
      <c r="RCD21" s="29"/>
      <c r="RCE21" s="29"/>
      <c r="RCF21" s="29"/>
      <c r="RCG21" s="29"/>
      <c r="RCH21" s="29"/>
      <c r="RCI21" s="29"/>
      <c r="RCJ21" s="29"/>
      <c r="RCK21" s="29"/>
      <c r="RCL21" s="29"/>
      <c r="RCM21" s="29"/>
      <c r="RCN21" s="29"/>
      <c r="RCO21" s="29"/>
      <c r="RCP21" s="29"/>
      <c r="RCQ21" s="29"/>
      <c r="RCR21" s="29"/>
      <c r="RCS21" s="29"/>
      <c r="RCT21" s="29"/>
      <c r="RCU21" s="29"/>
      <c r="RCV21" s="29"/>
      <c r="RCW21" s="29"/>
      <c r="RCX21" s="29"/>
      <c r="RCY21" s="29"/>
      <c r="RCZ21" s="29"/>
      <c r="RDA21" s="29"/>
      <c r="RDB21" s="29"/>
      <c r="RDC21" s="29"/>
      <c r="RDD21" s="29"/>
      <c r="RDE21" s="29"/>
      <c r="RDF21" s="29"/>
      <c r="RDG21" s="29"/>
      <c r="RDH21" s="29"/>
      <c r="RDI21" s="29"/>
      <c r="RDJ21" s="29"/>
      <c r="RDK21" s="29"/>
      <c r="RDL21" s="29"/>
      <c r="RDM21" s="29"/>
      <c r="RDN21" s="29"/>
      <c r="RDO21" s="29"/>
      <c r="RDP21" s="29"/>
      <c r="RDQ21" s="29"/>
      <c r="RDR21" s="29"/>
      <c r="RDS21" s="29"/>
      <c r="RDT21" s="29"/>
      <c r="RDU21" s="29"/>
      <c r="RDV21" s="29"/>
      <c r="RDW21" s="29"/>
      <c r="RDX21" s="29"/>
      <c r="RDY21" s="29"/>
      <c r="RDZ21" s="29"/>
      <c r="REA21" s="29"/>
      <c r="REB21" s="29"/>
      <c r="REC21" s="29"/>
      <c r="RED21" s="29"/>
      <c r="REE21" s="29"/>
      <c r="REF21" s="29"/>
      <c r="REG21" s="29"/>
      <c r="REH21" s="29"/>
      <c r="REI21" s="29"/>
      <c r="REJ21" s="29"/>
      <c r="REK21" s="29"/>
      <c r="REL21" s="29"/>
      <c r="REM21" s="29"/>
      <c r="REN21" s="29"/>
      <c r="REO21" s="29"/>
      <c r="REP21" s="29"/>
      <c r="REQ21" s="29"/>
      <c r="RER21" s="29"/>
      <c r="RES21" s="29"/>
      <c r="RET21" s="29"/>
      <c r="REU21" s="29"/>
      <c r="REV21" s="29"/>
      <c r="REW21" s="29"/>
      <c r="REX21" s="29"/>
      <c r="REY21" s="29"/>
      <c r="REZ21" s="29"/>
      <c r="RFA21" s="29"/>
      <c r="RFB21" s="29"/>
      <c r="RFC21" s="29"/>
      <c r="RFD21" s="29"/>
      <c r="RFE21" s="29"/>
      <c r="RFF21" s="29"/>
      <c r="RFG21" s="29"/>
      <c r="RFH21" s="29"/>
      <c r="RFI21" s="29"/>
      <c r="RFJ21" s="29"/>
      <c r="RFK21" s="29"/>
      <c r="RFL21" s="29"/>
      <c r="RFM21" s="29"/>
      <c r="RFN21" s="29"/>
      <c r="RFO21" s="29"/>
      <c r="RFP21" s="29"/>
      <c r="RFQ21" s="29"/>
      <c r="RFR21" s="29"/>
      <c r="RFS21" s="29"/>
      <c r="RFT21" s="29"/>
      <c r="RFU21" s="29"/>
      <c r="RFV21" s="29"/>
      <c r="RFW21" s="29"/>
      <c r="RFX21" s="29"/>
      <c r="RFY21" s="29"/>
      <c r="RFZ21" s="29"/>
      <c r="RGA21" s="29"/>
      <c r="RGB21" s="29"/>
      <c r="RGC21" s="29"/>
      <c r="RGD21" s="29"/>
      <c r="RGE21" s="29"/>
      <c r="RGF21" s="29"/>
      <c r="RGG21" s="29"/>
      <c r="RGH21" s="29"/>
      <c r="RGI21" s="29"/>
      <c r="RGJ21" s="29"/>
      <c r="RGK21" s="29"/>
      <c r="RGL21" s="29"/>
      <c r="RGM21" s="29"/>
      <c r="RGN21" s="29"/>
      <c r="RGO21" s="29"/>
      <c r="RGP21" s="29"/>
      <c r="RGQ21" s="29"/>
      <c r="RGR21" s="29"/>
      <c r="RGS21" s="29"/>
      <c r="RGT21" s="29"/>
      <c r="RGU21" s="29"/>
      <c r="RGV21" s="29"/>
      <c r="RGW21" s="29"/>
      <c r="RGX21" s="29"/>
      <c r="RGY21" s="29"/>
      <c r="RGZ21" s="29"/>
      <c r="RHA21" s="29"/>
      <c r="RHB21" s="29"/>
      <c r="RHC21" s="29"/>
      <c r="RHD21" s="29"/>
      <c r="RHE21" s="29"/>
      <c r="RHF21" s="29"/>
      <c r="RHG21" s="29"/>
      <c r="RHH21" s="29"/>
      <c r="RHI21" s="29"/>
      <c r="RHJ21" s="29"/>
      <c r="RHK21" s="29"/>
      <c r="RHL21" s="29"/>
      <c r="RHM21" s="29"/>
      <c r="RHN21" s="29"/>
      <c r="RHO21" s="29"/>
      <c r="RHP21" s="29"/>
      <c r="RHQ21" s="29"/>
      <c r="RHR21" s="29"/>
      <c r="RHS21" s="29"/>
      <c r="RHT21" s="29"/>
      <c r="RHU21" s="29"/>
      <c r="RHV21" s="29"/>
      <c r="RHW21" s="29"/>
      <c r="RHX21" s="29"/>
      <c r="RHY21" s="29"/>
      <c r="RHZ21" s="29"/>
      <c r="RIA21" s="29"/>
      <c r="RIB21" s="29"/>
      <c r="RIC21" s="29"/>
      <c r="RID21" s="29"/>
      <c r="RIE21" s="29"/>
      <c r="RIF21" s="29"/>
      <c r="RIG21" s="29"/>
      <c r="RIH21" s="29"/>
      <c r="RII21" s="29"/>
      <c r="RIJ21" s="29"/>
      <c r="RIK21" s="29"/>
      <c r="RIL21" s="29"/>
      <c r="RIM21" s="29"/>
      <c r="RIN21" s="29"/>
      <c r="RIO21" s="29"/>
      <c r="RIP21" s="29"/>
      <c r="RIQ21" s="29"/>
      <c r="RIR21" s="29"/>
      <c r="RIS21" s="29"/>
      <c r="RIT21" s="29"/>
      <c r="RIU21" s="29"/>
      <c r="RIV21" s="29"/>
      <c r="RIW21" s="29"/>
      <c r="RIX21" s="29"/>
      <c r="RIY21" s="29"/>
      <c r="RIZ21" s="29"/>
      <c r="RJA21" s="29"/>
      <c r="RJB21" s="29"/>
      <c r="RJC21" s="29"/>
      <c r="RJD21" s="29"/>
      <c r="RJE21" s="29"/>
      <c r="RJF21" s="29"/>
      <c r="RJG21" s="29"/>
      <c r="RJH21" s="29"/>
      <c r="RJI21" s="29"/>
      <c r="RJJ21" s="29"/>
      <c r="RJK21" s="29"/>
      <c r="RJL21" s="29"/>
      <c r="RJM21" s="29"/>
      <c r="RJN21" s="29"/>
      <c r="RJO21" s="29"/>
      <c r="RJP21" s="29"/>
      <c r="RJQ21" s="29"/>
      <c r="RJR21" s="29"/>
      <c r="RJS21" s="29"/>
      <c r="RJT21" s="29"/>
      <c r="RJU21" s="29"/>
      <c r="RJV21" s="29"/>
      <c r="RJW21" s="29"/>
      <c r="RJX21" s="29"/>
      <c r="RJY21" s="29"/>
      <c r="RJZ21" s="29"/>
      <c r="RKA21" s="29"/>
      <c r="RKB21" s="29"/>
      <c r="RKC21" s="29"/>
      <c r="RKD21" s="29"/>
      <c r="RKE21" s="29"/>
      <c r="RKF21" s="29"/>
      <c r="RKG21" s="29"/>
      <c r="RKH21" s="29"/>
      <c r="RKI21" s="29"/>
      <c r="RKJ21" s="29"/>
      <c r="RKK21" s="29"/>
      <c r="RKL21" s="29"/>
      <c r="RKM21" s="29"/>
      <c r="RKN21" s="29"/>
      <c r="RKO21" s="29"/>
      <c r="RKP21" s="29"/>
      <c r="RKQ21" s="29"/>
      <c r="RKR21" s="29"/>
      <c r="RKS21" s="29"/>
      <c r="RKT21" s="29"/>
      <c r="RKU21" s="29"/>
      <c r="RKV21" s="29"/>
      <c r="RKW21" s="29"/>
      <c r="RKX21" s="29"/>
      <c r="RKY21" s="29"/>
      <c r="RKZ21" s="29"/>
      <c r="RLA21" s="29"/>
      <c r="RLB21" s="29"/>
      <c r="RLC21" s="29"/>
      <c r="RLD21" s="29"/>
      <c r="RLE21" s="29"/>
      <c r="RLF21" s="29"/>
      <c r="RLG21" s="29"/>
      <c r="RLH21" s="29"/>
      <c r="RLI21" s="29"/>
      <c r="RLJ21" s="29"/>
      <c r="RLK21" s="29"/>
      <c r="RLL21" s="29"/>
      <c r="RLM21" s="29"/>
      <c r="RLN21" s="29"/>
      <c r="RLO21" s="29"/>
      <c r="RLP21" s="29"/>
      <c r="RLQ21" s="29"/>
      <c r="RLR21" s="29"/>
      <c r="RLS21" s="29"/>
      <c r="RLT21" s="29"/>
      <c r="RLU21" s="29"/>
      <c r="RLV21" s="29"/>
      <c r="RLW21" s="29"/>
      <c r="RLX21" s="29"/>
      <c r="RLY21" s="29"/>
      <c r="RLZ21" s="29"/>
      <c r="RMA21" s="29"/>
      <c r="RMB21" s="29"/>
      <c r="RMC21" s="29"/>
      <c r="RMD21" s="29"/>
      <c r="RME21" s="29"/>
      <c r="RMF21" s="29"/>
      <c r="RMG21" s="29"/>
      <c r="RMH21" s="29"/>
      <c r="RMI21" s="29"/>
      <c r="RMJ21" s="29"/>
      <c r="RMK21" s="29"/>
      <c r="RML21" s="29"/>
      <c r="RMM21" s="29"/>
      <c r="RMN21" s="29"/>
      <c r="RMO21" s="29"/>
      <c r="RMP21" s="29"/>
      <c r="RMQ21" s="29"/>
      <c r="RMR21" s="29"/>
      <c r="RMS21" s="29"/>
      <c r="RMT21" s="29"/>
      <c r="RMU21" s="29"/>
      <c r="RMV21" s="29"/>
      <c r="RMW21" s="29"/>
      <c r="RMX21" s="29"/>
      <c r="RMY21" s="29"/>
      <c r="RMZ21" s="29"/>
      <c r="RNA21" s="29"/>
      <c r="RNB21" s="29"/>
      <c r="RNC21" s="29"/>
      <c r="RND21" s="29"/>
      <c r="RNE21" s="29"/>
      <c r="RNF21" s="29"/>
      <c r="RNG21" s="29"/>
      <c r="RNH21" s="29"/>
      <c r="RNI21" s="29"/>
      <c r="RNJ21" s="29"/>
      <c r="RNK21" s="29"/>
      <c r="RNL21" s="29"/>
      <c r="RNM21" s="29"/>
      <c r="RNN21" s="29"/>
      <c r="RNO21" s="29"/>
      <c r="RNP21" s="29"/>
      <c r="RNQ21" s="29"/>
      <c r="RNR21" s="29"/>
      <c r="RNS21" s="29"/>
      <c r="RNT21" s="29"/>
      <c r="RNU21" s="29"/>
      <c r="RNV21" s="29"/>
      <c r="RNW21" s="29"/>
      <c r="RNX21" s="29"/>
      <c r="RNY21" s="29"/>
      <c r="RNZ21" s="29"/>
      <c r="ROA21" s="29"/>
      <c r="ROB21" s="29"/>
      <c r="ROC21" s="29"/>
      <c r="ROD21" s="29"/>
      <c r="ROE21" s="29"/>
      <c r="ROF21" s="29"/>
      <c r="ROG21" s="29"/>
      <c r="ROH21" s="29"/>
      <c r="ROI21" s="29"/>
      <c r="ROJ21" s="29"/>
      <c r="ROK21" s="29"/>
      <c r="ROL21" s="29"/>
      <c r="ROM21" s="29"/>
      <c r="RON21" s="29"/>
      <c r="ROO21" s="29"/>
      <c r="ROP21" s="29"/>
      <c r="ROQ21" s="29"/>
      <c r="ROR21" s="29"/>
      <c r="ROS21" s="29"/>
      <c r="ROT21" s="29"/>
      <c r="ROU21" s="29"/>
      <c r="ROV21" s="29"/>
      <c r="ROW21" s="29"/>
      <c r="ROX21" s="29"/>
      <c r="ROY21" s="29"/>
      <c r="ROZ21" s="29"/>
      <c r="RPA21" s="29"/>
      <c r="RPB21" s="29"/>
      <c r="RPC21" s="29"/>
      <c r="RPD21" s="29"/>
      <c r="RPE21" s="29"/>
      <c r="RPF21" s="29"/>
      <c r="RPG21" s="29"/>
      <c r="RPH21" s="29"/>
      <c r="RPI21" s="29"/>
      <c r="RPJ21" s="29"/>
      <c r="RPK21" s="29"/>
      <c r="RPL21" s="29"/>
      <c r="RPM21" s="29"/>
      <c r="RPN21" s="29"/>
      <c r="RPO21" s="29"/>
      <c r="RPP21" s="29"/>
      <c r="RPQ21" s="29"/>
      <c r="RPR21" s="29"/>
      <c r="RPS21" s="29"/>
      <c r="RPT21" s="29"/>
      <c r="RPU21" s="29"/>
      <c r="RPV21" s="29"/>
      <c r="RPW21" s="29"/>
      <c r="RPX21" s="29"/>
      <c r="RPY21" s="29"/>
      <c r="RPZ21" s="29"/>
      <c r="RQA21" s="29"/>
      <c r="RQB21" s="29"/>
      <c r="RQC21" s="29"/>
      <c r="RQD21" s="29"/>
      <c r="RQE21" s="29"/>
      <c r="RQF21" s="29"/>
      <c r="RQG21" s="29"/>
      <c r="RQH21" s="29"/>
      <c r="RQI21" s="29"/>
      <c r="RQJ21" s="29"/>
      <c r="RQK21" s="29"/>
      <c r="RQL21" s="29"/>
      <c r="RQM21" s="29"/>
      <c r="RQN21" s="29"/>
      <c r="RQO21" s="29"/>
      <c r="RQP21" s="29"/>
      <c r="RQQ21" s="29"/>
      <c r="RQR21" s="29"/>
      <c r="RQS21" s="29"/>
      <c r="RQT21" s="29"/>
      <c r="RQU21" s="29"/>
      <c r="RQV21" s="29"/>
      <c r="RQW21" s="29"/>
      <c r="RQX21" s="29"/>
      <c r="RQY21" s="29"/>
      <c r="RQZ21" s="29"/>
      <c r="RRA21" s="29"/>
      <c r="RRB21" s="29"/>
      <c r="RRC21" s="29"/>
      <c r="RRD21" s="29"/>
      <c r="RRE21" s="29"/>
      <c r="RRF21" s="29"/>
      <c r="RRG21" s="29"/>
      <c r="RRH21" s="29"/>
      <c r="RRI21" s="29"/>
      <c r="RRJ21" s="29"/>
      <c r="RRK21" s="29"/>
      <c r="RRL21" s="29"/>
      <c r="RRM21" s="29"/>
      <c r="RRN21" s="29"/>
      <c r="RRO21" s="29"/>
      <c r="RRP21" s="29"/>
      <c r="RRQ21" s="29"/>
      <c r="RRR21" s="29"/>
      <c r="RRS21" s="29"/>
      <c r="RRT21" s="29"/>
      <c r="RRU21" s="29"/>
      <c r="RRV21" s="29"/>
      <c r="RRW21" s="29"/>
      <c r="RRX21" s="29"/>
      <c r="RRY21" s="29"/>
      <c r="RRZ21" s="29"/>
      <c r="RSA21" s="29"/>
      <c r="RSB21" s="29"/>
      <c r="RSC21" s="29"/>
      <c r="RSD21" s="29"/>
      <c r="RSE21" s="29"/>
      <c r="RSF21" s="29"/>
      <c r="RSG21" s="29"/>
      <c r="RSH21" s="29"/>
      <c r="RSI21" s="29"/>
      <c r="RSJ21" s="29"/>
      <c r="RSK21" s="29"/>
      <c r="RSL21" s="29"/>
      <c r="RSM21" s="29"/>
      <c r="RSN21" s="29"/>
      <c r="RSO21" s="29"/>
      <c r="RSP21" s="29"/>
      <c r="RSQ21" s="29"/>
      <c r="RSR21" s="29"/>
      <c r="RSS21" s="29"/>
      <c r="RST21" s="29"/>
      <c r="RSU21" s="29"/>
      <c r="RSV21" s="29"/>
      <c r="RSW21" s="29"/>
      <c r="RSX21" s="29"/>
      <c r="RSY21" s="29"/>
      <c r="RSZ21" s="29"/>
      <c r="RTA21" s="29"/>
      <c r="RTB21" s="29"/>
      <c r="RTC21" s="29"/>
      <c r="RTD21" s="29"/>
      <c r="RTE21" s="29"/>
      <c r="RTF21" s="29"/>
      <c r="RTG21" s="29"/>
      <c r="RTH21" s="29"/>
      <c r="RTI21" s="29"/>
      <c r="RTJ21" s="29"/>
      <c r="RTK21" s="29"/>
      <c r="RTL21" s="29"/>
      <c r="RTM21" s="29"/>
      <c r="RTN21" s="29"/>
      <c r="RTO21" s="29"/>
      <c r="RTP21" s="29"/>
      <c r="RTQ21" s="29"/>
      <c r="RTR21" s="29"/>
      <c r="RTS21" s="29"/>
      <c r="RTT21" s="29"/>
      <c r="RTU21" s="29"/>
      <c r="RTV21" s="29"/>
      <c r="RTW21" s="29"/>
      <c r="RTX21" s="29"/>
      <c r="RTY21" s="29"/>
      <c r="RTZ21" s="29"/>
      <c r="RUA21" s="29"/>
      <c r="RUB21" s="29"/>
      <c r="RUC21" s="29"/>
      <c r="RUD21" s="29"/>
      <c r="RUE21" s="29"/>
      <c r="RUF21" s="29"/>
      <c r="RUG21" s="29"/>
      <c r="RUH21" s="29"/>
      <c r="RUI21" s="29"/>
      <c r="RUJ21" s="29"/>
      <c r="RUK21" s="29"/>
      <c r="RUL21" s="29"/>
      <c r="RUM21" s="29"/>
      <c r="RUN21" s="29"/>
      <c r="RUO21" s="29"/>
      <c r="RUP21" s="29"/>
      <c r="RUQ21" s="29"/>
      <c r="RUR21" s="29"/>
      <c r="RUS21" s="29"/>
      <c r="RUT21" s="29"/>
      <c r="RUU21" s="29"/>
      <c r="RUV21" s="29"/>
      <c r="RUW21" s="29"/>
      <c r="RUX21" s="29"/>
      <c r="RUY21" s="29"/>
      <c r="RUZ21" s="29"/>
      <c r="RVA21" s="29"/>
      <c r="RVB21" s="29"/>
      <c r="RVC21" s="29"/>
      <c r="RVD21" s="29"/>
      <c r="RVE21" s="29"/>
      <c r="RVF21" s="29"/>
      <c r="RVG21" s="29"/>
      <c r="RVH21" s="29"/>
      <c r="RVI21" s="29"/>
      <c r="RVJ21" s="29"/>
      <c r="RVK21" s="29"/>
      <c r="RVL21" s="29"/>
      <c r="RVM21" s="29"/>
      <c r="RVN21" s="29"/>
      <c r="RVO21" s="29"/>
      <c r="RVP21" s="29"/>
      <c r="RVQ21" s="29"/>
      <c r="RVR21" s="29"/>
      <c r="RVS21" s="29"/>
      <c r="RVT21" s="29"/>
      <c r="RVU21" s="29"/>
      <c r="RVV21" s="29"/>
      <c r="RVW21" s="29"/>
      <c r="RVX21" s="29"/>
      <c r="RVY21" s="29"/>
      <c r="RVZ21" s="29"/>
      <c r="RWA21" s="29"/>
      <c r="RWB21" s="29"/>
      <c r="RWC21" s="29"/>
      <c r="RWD21" s="29"/>
      <c r="RWE21" s="29"/>
      <c r="RWF21" s="29"/>
      <c r="RWG21" s="29"/>
      <c r="RWH21" s="29"/>
      <c r="RWI21" s="29"/>
      <c r="RWJ21" s="29"/>
      <c r="RWK21" s="29"/>
      <c r="RWL21" s="29"/>
      <c r="RWM21" s="29"/>
      <c r="RWN21" s="29"/>
      <c r="RWO21" s="29"/>
      <c r="RWP21" s="29"/>
      <c r="RWQ21" s="29"/>
      <c r="RWR21" s="29"/>
      <c r="RWS21" s="29"/>
      <c r="RWT21" s="29"/>
      <c r="RWU21" s="29"/>
      <c r="RWV21" s="29"/>
      <c r="RWW21" s="29"/>
      <c r="RWX21" s="29"/>
      <c r="RWY21" s="29"/>
      <c r="RWZ21" s="29"/>
      <c r="RXA21" s="29"/>
      <c r="RXB21" s="29"/>
      <c r="RXC21" s="29"/>
      <c r="RXD21" s="29"/>
      <c r="RXE21" s="29"/>
      <c r="RXF21" s="29"/>
      <c r="RXG21" s="29"/>
      <c r="RXH21" s="29"/>
      <c r="RXI21" s="29"/>
      <c r="RXJ21" s="29"/>
      <c r="RXK21" s="29"/>
      <c r="RXL21" s="29"/>
      <c r="RXM21" s="29"/>
      <c r="RXN21" s="29"/>
      <c r="RXO21" s="29"/>
      <c r="RXP21" s="29"/>
      <c r="RXQ21" s="29"/>
      <c r="RXR21" s="29"/>
      <c r="RXS21" s="29"/>
      <c r="RXT21" s="29"/>
      <c r="RXU21" s="29"/>
      <c r="RXV21" s="29"/>
      <c r="RXW21" s="29"/>
      <c r="RXX21" s="29"/>
      <c r="RXY21" s="29"/>
      <c r="RXZ21" s="29"/>
      <c r="RYA21" s="29"/>
      <c r="RYB21" s="29"/>
      <c r="RYC21" s="29"/>
      <c r="RYD21" s="29"/>
      <c r="RYE21" s="29"/>
      <c r="RYF21" s="29"/>
      <c r="RYG21" s="29"/>
      <c r="RYH21" s="29"/>
      <c r="RYI21" s="29"/>
      <c r="RYJ21" s="29"/>
      <c r="RYK21" s="29"/>
      <c r="RYL21" s="29"/>
      <c r="RYM21" s="29"/>
      <c r="RYN21" s="29"/>
      <c r="RYO21" s="29"/>
      <c r="RYP21" s="29"/>
      <c r="RYQ21" s="29"/>
      <c r="RYR21" s="29"/>
      <c r="RYS21" s="29"/>
      <c r="RYT21" s="29"/>
      <c r="RYU21" s="29"/>
      <c r="RYV21" s="29"/>
      <c r="RYW21" s="29"/>
      <c r="RYX21" s="29"/>
      <c r="RYY21" s="29"/>
      <c r="RYZ21" s="29"/>
      <c r="RZA21" s="29"/>
      <c r="RZB21" s="29"/>
      <c r="RZC21" s="29"/>
      <c r="RZD21" s="29"/>
      <c r="RZE21" s="29"/>
      <c r="RZF21" s="29"/>
      <c r="RZG21" s="29"/>
      <c r="RZH21" s="29"/>
      <c r="RZI21" s="29"/>
      <c r="RZJ21" s="29"/>
      <c r="RZK21" s="29"/>
      <c r="RZL21" s="29"/>
      <c r="RZM21" s="29"/>
      <c r="RZN21" s="29"/>
      <c r="RZO21" s="29"/>
      <c r="RZP21" s="29"/>
      <c r="RZQ21" s="29"/>
      <c r="RZR21" s="29"/>
      <c r="RZS21" s="29"/>
      <c r="RZT21" s="29"/>
      <c r="RZU21" s="29"/>
      <c r="RZV21" s="29"/>
      <c r="RZW21" s="29"/>
      <c r="RZX21" s="29"/>
      <c r="RZY21" s="29"/>
      <c r="RZZ21" s="29"/>
      <c r="SAA21" s="29"/>
      <c r="SAB21" s="29"/>
      <c r="SAC21" s="29"/>
      <c r="SAD21" s="29"/>
      <c r="SAE21" s="29"/>
      <c r="SAF21" s="29"/>
      <c r="SAG21" s="29"/>
      <c r="SAH21" s="29"/>
      <c r="SAI21" s="29"/>
      <c r="SAJ21" s="29"/>
      <c r="SAK21" s="29"/>
      <c r="SAL21" s="29"/>
      <c r="SAM21" s="29"/>
      <c r="SAN21" s="29"/>
      <c r="SAO21" s="29"/>
      <c r="SAP21" s="29"/>
      <c r="SAQ21" s="29"/>
      <c r="SAR21" s="29"/>
      <c r="SAS21" s="29"/>
      <c r="SAT21" s="29"/>
      <c r="SAU21" s="29"/>
      <c r="SAV21" s="29"/>
      <c r="SAW21" s="29"/>
      <c r="SAX21" s="29"/>
      <c r="SAY21" s="29"/>
      <c r="SAZ21" s="29"/>
      <c r="SBA21" s="29"/>
      <c r="SBB21" s="29"/>
      <c r="SBC21" s="29"/>
      <c r="SBD21" s="29"/>
      <c r="SBE21" s="29"/>
      <c r="SBF21" s="29"/>
      <c r="SBG21" s="29"/>
      <c r="SBH21" s="29"/>
      <c r="SBI21" s="29"/>
      <c r="SBJ21" s="29"/>
      <c r="SBK21" s="29"/>
      <c r="SBL21" s="29"/>
      <c r="SBM21" s="29"/>
      <c r="SBN21" s="29"/>
      <c r="SBO21" s="29"/>
      <c r="SBP21" s="29"/>
      <c r="SBQ21" s="29"/>
      <c r="SBR21" s="29"/>
      <c r="SBS21" s="29"/>
      <c r="SBT21" s="29"/>
      <c r="SBU21" s="29"/>
      <c r="SBV21" s="29"/>
      <c r="SBW21" s="29"/>
      <c r="SBX21" s="29"/>
      <c r="SBY21" s="29"/>
      <c r="SBZ21" s="29"/>
      <c r="SCA21" s="29"/>
      <c r="SCB21" s="29"/>
      <c r="SCC21" s="29"/>
      <c r="SCD21" s="29"/>
      <c r="SCE21" s="29"/>
      <c r="SCF21" s="29"/>
      <c r="SCG21" s="29"/>
      <c r="SCH21" s="29"/>
      <c r="SCI21" s="29"/>
      <c r="SCJ21" s="29"/>
      <c r="SCK21" s="29"/>
      <c r="SCL21" s="29"/>
      <c r="SCM21" s="29"/>
      <c r="SCN21" s="29"/>
      <c r="SCO21" s="29"/>
      <c r="SCP21" s="29"/>
      <c r="SCQ21" s="29"/>
      <c r="SCR21" s="29"/>
      <c r="SCS21" s="29"/>
      <c r="SCT21" s="29"/>
      <c r="SCU21" s="29"/>
      <c r="SCV21" s="29"/>
      <c r="SCW21" s="29"/>
      <c r="SCX21" s="29"/>
      <c r="SCY21" s="29"/>
      <c r="SCZ21" s="29"/>
      <c r="SDA21" s="29"/>
      <c r="SDB21" s="29"/>
      <c r="SDC21" s="29"/>
      <c r="SDD21" s="29"/>
      <c r="SDE21" s="29"/>
      <c r="SDF21" s="29"/>
      <c r="SDG21" s="29"/>
      <c r="SDH21" s="29"/>
      <c r="SDI21" s="29"/>
      <c r="SDJ21" s="29"/>
      <c r="SDK21" s="29"/>
      <c r="SDL21" s="29"/>
      <c r="SDM21" s="29"/>
      <c r="SDN21" s="29"/>
      <c r="SDO21" s="29"/>
      <c r="SDP21" s="29"/>
      <c r="SDQ21" s="29"/>
      <c r="SDR21" s="29"/>
      <c r="SDS21" s="29"/>
      <c r="SDT21" s="29"/>
      <c r="SDU21" s="29"/>
      <c r="SDV21" s="29"/>
      <c r="SDW21" s="29"/>
      <c r="SDX21" s="29"/>
      <c r="SDY21" s="29"/>
      <c r="SDZ21" s="29"/>
      <c r="SEA21" s="29"/>
      <c r="SEB21" s="29"/>
      <c r="SEC21" s="29"/>
      <c r="SED21" s="29"/>
      <c r="SEE21" s="29"/>
      <c r="SEF21" s="29"/>
      <c r="SEG21" s="29"/>
      <c r="SEH21" s="29"/>
      <c r="SEI21" s="29"/>
      <c r="SEJ21" s="29"/>
      <c r="SEK21" s="29"/>
      <c r="SEL21" s="29"/>
      <c r="SEM21" s="29"/>
      <c r="SEN21" s="29"/>
      <c r="SEO21" s="29"/>
      <c r="SEP21" s="29"/>
      <c r="SEQ21" s="29"/>
      <c r="SER21" s="29"/>
      <c r="SES21" s="29"/>
      <c r="SET21" s="29"/>
      <c r="SEU21" s="29"/>
      <c r="SEV21" s="29"/>
      <c r="SEW21" s="29"/>
      <c r="SEX21" s="29"/>
      <c r="SEY21" s="29"/>
      <c r="SEZ21" s="29"/>
      <c r="SFA21" s="29"/>
      <c r="SFB21" s="29"/>
      <c r="SFC21" s="29"/>
      <c r="SFD21" s="29"/>
      <c r="SFE21" s="29"/>
      <c r="SFF21" s="29"/>
      <c r="SFG21" s="29"/>
      <c r="SFH21" s="29"/>
      <c r="SFI21" s="29"/>
      <c r="SFJ21" s="29"/>
      <c r="SFK21" s="29"/>
      <c r="SFL21" s="29"/>
      <c r="SFM21" s="29"/>
      <c r="SFN21" s="29"/>
      <c r="SFO21" s="29"/>
      <c r="SFP21" s="29"/>
      <c r="SFQ21" s="29"/>
      <c r="SFR21" s="29"/>
      <c r="SFS21" s="29"/>
      <c r="SFT21" s="29"/>
      <c r="SFU21" s="29"/>
      <c r="SFV21" s="29"/>
      <c r="SFW21" s="29"/>
      <c r="SFX21" s="29"/>
      <c r="SFY21" s="29"/>
      <c r="SFZ21" s="29"/>
      <c r="SGA21" s="29"/>
      <c r="SGB21" s="29"/>
      <c r="SGC21" s="29"/>
      <c r="SGD21" s="29"/>
      <c r="SGE21" s="29"/>
      <c r="SGF21" s="29"/>
      <c r="SGG21" s="29"/>
      <c r="SGH21" s="29"/>
      <c r="SGI21" s="29"/>
      <c r="SGJ21" s="29"/>
      <c r="SGK21" s="29"/>
      <c r="SGL21" s="29"/>
      <c r="SGM21" s="29"/>
      <c r="SGN21" s="29"/>
      <c r="SGO21" s="29"/>
      <c r="SGP21" s="29"/>
      <c r="SGQ21" s="29"/>
      <c r="SGR21" s="29"/>
      <c r="SGS21" s="29"/>
      <c r="SGT21" s="29"/>
      <c r="SGU21" s="29"/>
      <c r="SGV21" s="29"/>
      <c r="SGW21" s="29"/>
      <c r="SGX21" s="29"/>
      <c r="SGY21" s="29"/>
      <c r="SGZ21" s="29"/>
      <c r="SHA21" s="29"/>
      <c r="SHB21" s="29"/>
      <c r="SHC21" s="29"/>
      <c r="SHD21" s="29"/>
      <c r="SHE21" s="29"/>
      <c r="SHF21" s="29"/>
      <c r="SHG21" s="29"/>
      <c r="SHH21" s="29"/>
      <c r="SHI21" s="29"/>
      <c r="SHJ21" s="29"/>
      <c r="SHK21" s="29"/>
      <c r="SHL21" s="29"/>
      <c r="SHM21" s="29"/>
      <c r="SHN21" s="29"/>
      <c r="SHO21" s="29"/>
      <c r="SHP21" s="29"/>
      <c r="SHQ21" s="29"/>
      <c r="SHR21" s="29"/>
      <c r="SHS21" s="29"/>
      <c r="SHT21" s="29"/>
      <c r="SHU21" s="29"/>
      <c r="SHV21" s="29"/>
      <c r="SHW21" s="29"/>
      <c r="SHX21" s="29"/>
      <c r="SHY21" s="29"/>
      <c r="SHZ21" s="29"/>
      <c r="SIA21" s="29"/>
      <c r="SIB21" s="29"/>
      <c r="SIC21" s="29"/>
      <c r="SID21" s="29"/>
      <c r="SIE21" s="29"/>
      <c r="SIF21" s="29"/>
      <c r="SIG21" s="29"/>
      <c r="SIH21" s="29"/>
      <c r="SII21" s="29"/>
      <c r="SIJ21" s="29"/>
      <c r="SIK21" s="29"/>
      <c r="SIL21" s="29"/>
      <c r="SIM21" s="29"/>
      <c r="SIN21" s="29"/>
      <c r="SIO21" s="29"/>
      <c r="SIP21" s="29"/>
      <c r="SIQ21" s="29"/>
      <c r="SIR21" s="29"/>
      <c r="SIS21" s="29"/>
      <c r="SIT21" s="29"/>
      <c r="SIU21" s="29"/>
      <c r="SIV21" s="29"/>
      <c r="SIW21" s="29"/>
      <c r="SIX21" s="29"/>
      <c r="SIY21" s="29"/>
      <c r="SIZ21" s="29"/>
      <c r="SJA21" s="29"/>
      <c r="SJB21" s="29"/>
      <c r="SJC21" s="29"/>
      <c r="SJD21" s="29"/>
      <c r="SJE21" s="29"/>
      <c r="SJF21" s="29"/>
      <c r="SJG21" s="29"/>
      <c r="SJH21" s="29"/>
      <c r="SJI21" s="29"/>
      <c r="SJJ21" s="29"/>
      <c r="SJK21" s="29"/>
      <c r="SJL21" s="29"/>
      <c r="SJM21" s="29"/>
      <c r="SJN21" s="29"/>
      <c r="SJO21" s="29"/>
      <c r="SJP21" s="29"/>
      <c r="SJQ21" s="29"/>
      <c r="SJR21" s="29"/>
      <c r="SJS21" s="29"/>
      <c r="SJT21" s="29"/>
      <c r="SJU21" s="29"/>
      <c r="SJV21" s="29"/>
      <c r="SJW21" s="29"/>
      <c r="SJX21" s="29"/>
      <c r="SJY21" s="29"/>
      <c r="SJZ21" s="29"/>
      <c r="SKA21" s="29"/>
      <c r="SKB21" s="29"/>
      <c r="SKC21" s="29"/>
      <c r="SKD21" s="29"/>
      <c r="SKE21" s="29"/>
      <c r="SKF21" s="29"/>
      <c r="SKG21" s="29"/>
      <c r="SKH21" s="29"/>
      <c r="SKI21" s="29"/>
      <c r="SKJ21" s="29"/>
      <c r="SKK21" s="29"/>
      <c r="SKL21" s="29"/>
      <c r="SKM21" s="29"/>
      <c r="SKN21" s="29"/>
      <c r="SKO21" s="29"/>
      <c r="SKP21" s="29"/>
      <c r="SKQ21" s="29"/>
      <c r="SKR21" s="29"/>
      <c r="SKS21" s="29"/>
      <c r="SKT21" s="29"/>
      <c r="SKU21" s="29"/>
      <c r="SKV21" s="29"/>
      <c r="SKW21" s="29"/>
      <c r="SKX21" s="29"/>
      <c r="SKY21" s="29"/>
      <c r="SKZ21" s="29"/>
      <c r="SLA21" s="29"/>
      <c r="SLB21" s="29"/>
      <c r="SLC21" s="29"/>
      <c r="SLD21" s="29"/>
      <c r="SLE21" s="29"/>
      <c r="SLF21" s="29"/>
      <c r="SLG21" s="29"/>
      <c r="SLH21" s="29"/>
      <c r="SLI21" s="29"/>
      <c r="SLJ21" s="29"/>
      <c r="SLK21" s="29"/>
      <c r="SLL21" s="29"/>
      <c r="SLM21" s="29"/>
      <c r="SLN21" s="29"/>
      <c r="SLO21" s="29"/>
      <c r="SLP21" s="29"/>
      <c r="SLQ21" s="29"/>
      <c r="SLR21" s="29"/>
      <c r="SLS21" s="29"/>
      <c r="SLT21" s="29"/>
      <c r="SLU21" s="29"/>
      <c r="SLV21" s="29"/>
      <c r="SLW21" s="29"/>
      <c r="SLX21" s="29"/>
      <c r="SLY21" s="29"/>
      <c r="SLZ21" s="29"/>
      <c r="SMA21" s="29"/>
      <c r="SMB21" s="29"/>
      <c r="SMC21" s="29"/>
      <c r="SMD21" s="29"/>
      <c r="SME21" s="29"/>
      <c r="SMF21" s="29"/>
      <c r="SMG21" s="29"/>
      <c r="SMH21" s="29"/>
      <c r="SMI21" s="29"/>
      <c r="SMJ21" s="29"/>
      <c r="SMK21" s="29"/>
      <c r="SML21" s="29"/>
      <c r="SMM21" s="29"/>
      <c r="SMN21" s="29"/>
      <c r="SMO21" s="29"/>
      <c r="SMP21" s="29"/>
      <c r="SMQ21" s="29"/>
      <c r="SMR21" s="29"/>
      <c r="SMS21" s="29"/>
      <c r="SMT21" s="29"/>
      <c r="SMU21" s="29"/>
      <c r="SMV21" s="29"/>
      <c r="SMW21" s="29"/>
      <c r="SMX21" s="29"/>
      <c r="SMY21" s="29"/>
      <c r="SMZ21" s="29"/>
      <c r="SNA21" s="29"/>
      <c r="SNB21" s="29"/>
      <c r="SNC21" s="29"/>
      <c r="SND21" s="29"/>
      <c r="SNE21" s="29"/>
      <c r="SNF21" s="29"/>
      <c r="SNG21" s="29"/>
      <c r="SNH21" s="29"/>
      <c r="SNI21" s="29"/>
      <c r="SNJ21" s="29"/>
      <c r="SNK21" s="29"/>
      <c r="SNL21" s="29"/>
      <c r="SNM21" s="29"/>
      <c r="SNN21" s="29"/>
      <c r="SNO21" s="29"/>
      <c r="SNP21" s="29"/>
      <c r="SNQ21" s="29"/>
      <c r="SNR21" s="29"/>
      <c r="SNS21" s="29"/>
      <c r="SNT21" s="29"/>
      <c r="SNU21" s="29"/>
      <c r="SNV21" s="29"/>
      <c r="SNW21" s="29"/>
      <c r="SNX21" s="29"/>
      <c r="SNY21" s="29"/>
      <c r="SNZ21" s="29"/>
      <c r="SOA21" s="29"/>
      <c r="SOB21" s="29"/>
      <c r="SOC21" s="29"/>
      <c r="SOD21" s="29"/>
      <c r="SOE21" s="29"/>
      <c r="SOF21" s="29"/>
      <c r="SOG21" s="29"/>
      <c r="SOH21" s="29"/>
      <c r="SOI21" s="29"/>
      <c r="SOJ21" s="29"/>
      <c r="SOK21" s="29"/>
      <c r="SOL21" s="29"/>
      <c r="SOM21" s="29"/>
      <c r="SON21" s="29"/>
      <c r="SOO21" s="29"/>
      <c r="SOP21" s="29"/>
      <c r="SOQ21" s="29"/>
      <c r="SOR21" s="29"/>
      <c r="SOS21" s="29"/>
      <c r="SOT21" s="29"/>
      <c r="SOU21" s="29"/>
      <c r="SOV21" s="29"/>
      <c r="SOW21" s="29"/>
      <c r="SOX21" s="29"/>
      <c r="SOY21" s="29"/>
      <c r="SOZ21" s="29"/>
      <c r="SPA21" s="29"/>
      <c r="SPB21" s="29"/>
      <c r="SPC21" s="29"/>
      <c r="SPD21" s="29"/>
      <c r="SPE21" s="29"/>
      <c r="SPF21" s="29"/>
      <c r="SPG21" s="29"/>
      <c r="SPH21" s="29"/>
      <c r="SPI21" s="29"/>
      <c r="SPJ21" s="29"/>
      <c r="SPK21" s="29"/>
      <c r="SPL21" s="29"/>
      <c r="SPM21" s="29"/>
      <c r="SPN21" s="29"/>
      <c r="SPO21" s="29"/>
      <c r="SPP21" s="29"/>
      <c r="SPQ21" s="29"/>
      <c r="SPR21" s="29"/>
      <c r="SPS21" s="29"/>
      <c r="SPT21" s="29"/>
      <c r="SPU21" s="29"/>
      <c r="SPV21" s="29"/>
      <c r="SPW21" s="29"/>
      <c r="SPX21" s="29"/>
      <c r="SPY21" s="29"/>
      <c r="SPZ21" s="29"/>
      <c r="SQA21" s="29"/>
      <c r="SQB21" s="29"/>
      <c r="SQC21" s="29"/>
      <c r="SQD21" s="29"/>
      <c r="SQE21" s="29"/>
      <c r="SQF21" s="29"/>
      <c r="SQG21" s="29"/>
      <c r="SQH21" s="29"/>
      <c r="SQI21" s="29"/>
      <c r="SQJ21" s="29"/>
      <c r="SQK21" s="29"/>
      <c r="SQL21" s="29"/>
      <c r="SQM21" s="29"/>
      <c r="SQN21" s="29"/>
      <c r="SQO21" s="29"/>
      <c r="SQP21" s="29"/>
      <c r="SQQ21" s="29"/>
      <c r="SQR21" s="29"/>
      <c r="SQS21" s="29"/>
      <c r="SQT21" s="29"/>
      <c r="SQU21" s="29"/>
      <c r="SQV21" s="29"/>
      <c r="SQW21" s="29"/>
      <c r="SQX21" s="29"/>
      <c r="SQY21" s="29"/>
      <c r="SQZ21" s="29"/>
      <c r="SRA21" s="29"/>
      <c r="SRB21" s="29"/>
      <c r="SRC21" s="29"/>
      <c r="SRD21" s="29"/>
      <c r="SRE21" s="29"/>
      <c r="SRF21" s="29"/>
      <c r="SRG21" s="29"/>
      <c r="SRH21" s="29"/>
      <c r="SRI21" s="29"/>
      <c r="SRJ21" s="29"/>
      <c r="SRK21" s="29"/>
      <c r="SRL21" s="29"/>
      <c r="SRM21" s="29"/>
      <c r="SRN21" s="29"/>
      <c r="SRO21" s="29"/>
      <c r="SRP21" s="29"/>
      <c r="SRQ21" s="29"/>
      <c r="SRR21" s="29"/>
      <c r="SRS21" s="29"/>
      <c r="SRT21" s="29"/>
      <c r="SRU21" s="29"/>
      <c r="SRV21" s="29"/>
      <c r="SRW21" s="29"/>
      <c r="SRX21" s="29"/>
      <c r="SRY21" s="29"/>
      <c r="SRZ21" s="29"/>
      <c r="SSA21" s="29"/>
      <c r="SSB21" s="29"/>
      <c r="SSC21" s="29"/>
      <c r="SSD21" s="29"/>
      <c r="SSE21" s="29"/>
      <c r="SSF21" s="29"/>
      <c r="SSG21" s="29"/>
      <c r="SSH21" s="29"/>
      <c r="SSI21" s="29"/>
      <c r="SSJ21" s="29"/>
      <c r="SSK21" s="29"/>
      <c r="SSL21" s="29"/>
      <c r="SSM21" s="29"/>
      <c r="SSN21" s="29"/>
      <c r="SSO21" s="29"/>
      <c r="SSP21" s="29"/>
      <c r="SSQ21" s="29"/>
      <c r="SSR21" s="29"/>
      <c r="SSS21" s="29"/>
      <c r="SST21" s="29"/>
      <c r="SSU21" s="29"/>
      <c r="SSV21" s="29"/>
      <c r="SSW21" s="29"/>
      <c r="SSX21" s="29"/>
      <c r="SSY21" s="29"/>
      <c r="SSZ21" s="29"/>
      <c r="STA21" s="29"/>
      <c r="STB21" s="29"/>
      <c r="STC21" s="29"/>
      <c r="STD21" s="29"/>
      <c r="STE21" s="29"/>
      <c r="STF21" s="29"/>
      <c r="STG21" s="29"/>
      <c r="STH21" s="29"/>
      <c r="STI21" s="29"/>
      <c r="STJ21" s="29"/>
      <c r="STK21" s="29"/>
      <c r="STL21" s="29"/>
      <c r="STM21" s="29"/>
      <c r="STN21" s="29"/>
      <c r="STO21" s="29"/>
      <c r="STP21" s="29"/>
      <c r="STQ21" s="29"/>
      <c r="STR21" s="29"/>
      <c r="STS21" s="29"/>
      <c r="STT21" s="29"/>
      <c r="STU21" s="29"/>
      <c r="STV21" s="29"/>
      <c r="STW21" s="29"/>
      <c r="STX21" s="29"/>
      <c r="STY21" s="29"/>
      <c r="STZ21" s="29"/>
      <c r="SUA21" s="29"/>
      <c r="SUB21" s="29"/>
      <c r="SUC21" s="29"/>
      <c r="SUD21" s="29"/>
      <c r="SUE21" s="29"/>
      <c r="SUF21" s="29"/>
      <c r="SUG21" s="29"/>
      <c r="SUH21" s="29"/>
      <c r="SUI21" s="29"/>
      <c r="SUJ21" s="29"/>
      <c r="SUK21" s="29"/>
      <c r="SUL21" s="29"/>
      <c r="SUM21" s="29"/>
      <c r="SUN21" s="29"/>
      <c r="SUO21" s="29"/>
      <c r="SUP21" s="29"/>
      <c r="SUQ21" s="29"/>
      <c r="SUR21" s="29"/>
      <c r="SUS21" s="29"/>
      <c r="SUT21" s="29"/>
      <c r="SUU21" s="29"/>
      <c r="SUV21" s="29"/>
      <c r="SUW21" s="29"/>
      <c r="SUX21" s="29"/>
      <c r="SUY21" s="29"/>
      <c r="SUZ21" s="29"/>
      <c r="SVA21" s="29"/>
      <c r="SVB21" s="29"/>
      <c r="SVC21" s="29"/>
      <c r="SVD21" s="29"/>
      <c r="SVE21" s="29"/>
      <c r="SVF21" s="29"/>
      <c r="SVG21" s="29"/>
      <c r="SVH21" s="29"/>
      <c r="SVI21" s="29"/>
      <c r="SVJ21" s="29"/>
      <c r="SVK21" s="29"/>
      <c r="SVL21" s="29"/>
      <c r="SVM21" s="29"/>
      <c r="SVN21" s="29"/>
      <c r="SVO21" s="29"/>
      <c r="SVP21" s="29"/>
      <c r="SVQ21" s="29"/>
      <c r="SVR21" s="29"/>
      <c r="SVS21" s="29"/>
      <c r="SVT21" s="29"/>
      <c r="SVU21" s="29"/>
      <c r="SVV21" s="29"/>
      <c r="SVW21" s="29"/>
      <c r="SVX21" s="29"/>
      <c r="SVY21" s="29"/>
      <c r="SVZ21" s="29"/>
      <c r="SWA21" s="29"/>
      <c r="SWB21" s="29"/>
      <c r="SWC21" s="29"/>
      <c r="SWD21" s="29"/>
      <c r="SWE21" s="29"/>
      <c r="SWF21" s="29"/>
      <c r="SWG21" s="29"/>
      <c r="SWH21" s="29"/>
      <c r="SWI21" s="29"/>
      <c r="SWJ21" s="29"/>
      <c r="SWK21" s="29"/>
      <c r="SWL21" s="29"/>
      <c r="SWM21" s="29"/>
      <c r="SWN21" s="29"/>
      <c r="SWO21" s="29"/>
      <c r="SWP21" s="29"/>
      <c r="SWQ21" s="29"/>
      <c r="SWR21" s="29"/>
      <c r="SWS21" s="29"/>
      <c r="SWT21" s="29"/>
      <c r="SWU21" s="29"/>
      <c r="SWV21" s="29"/>
      <c r="SWW21" s="29"/>
      <c r="SWX21" s="29"/>
      <c r="SWY21" s="29"/>
      <c r="SWZ21" s="29"/>
      <c r="SXA21" s="29"/>
      <c r="SXB21" s="29"/>
      <c r="SXC21" s="29"/>
      <c r="SXD21" s="29"/>
      <c r="SXE21" s="29"/>
      <c r="SXF21" s="29"/>
      <c r="SXG21" s="29"/>
      <c r="SXH21" s="29"/>
      <c r="SXI21" s="29"/>
      <c r="SXJ21" s="29"/>
      <c r="SXK21" s="29"/>
      <c r="SXL21" s="29"/>
      <c r="SXM21" s="29"/>
      <c r="SXN21" s="29"/>
      <c r="SXO21" s="29"/>
      <c r="SXP21" s="29"/>
      <c r="SXQ21" s="29"/>
      <c r="SXR21" s="29"/>
      <c r="SXS21" s="29"/>
      <c r="SXT21" s="29"/>
      <c r="SXU21" s="29"/>
      <c r="SXV21" s="29"/>
      <c r="SXW21" s="29"/>
      <c r="SXX21" s="29"/>
      <c r="SXY21" s="29"/>
      <c r="SXZ21" s="29"/>
      <c r="SYA21" s="29"/>
      <c r="SYB21" s="29"/>
      <c r="SYC21" s="29"/>
      <c r="SYD21" s="29"/>
      <c r="SYE21" s="29"/>
      <c r="SYF21" s="29"/>
      <c r="SYG21" s="29"/>
      <c r="SYH21" s="29"/>
      <c r="SYI21" s="29"/>
      <c r="SYJ21" s="29"/>
      <c r="SYK21" s="29"/>
      <c r="SYL21" s="29"/>
      <c r="SYM21" s="29"/>
      <c r="SYN21" s="29"/>
      <c r="SYO21" s="29"/>
      <c r="SYP21" s="29"/>
      <c r="SYQ21" s="29"/>
      <c r="SYR21" s="29"/>
      <c r="SYS21" s="29"/>
      <c r="SYT21" s="29"/>
      <c r="SYU21" s="29"/>
      <c r="SYV21" s="29"/>
      <c r="SYW21" s="29"/>
      <c r="SYX21" s="29"/>
      <c r="SYY21" s="29"/>
      <c r="SYZ21" s="29"/>
      <c r="SZA21" s="29"/>
      <c r="SZB21" s="29"/>
      <c r="SZC21" s="29"/>
      <c r="SZD21" s="29"/>
      <c r="SZE21" s="29"/>
      <c r="SZF21" s="29"/>
      <c r="SZG21" s="29"/>
      <c r="SZH21" s="29"/>
      <c r="SZI21" s="29"/>
      <c r="SZJ21" s="29"/>
      <c r="SZK21" s="29"/>
      <c r="SZL21" s="29"/>
      <c r="SZM21" s="29"/>
      <c r="SZN21" s="29"/>
      <c r="SZO21" s="29"/>
      <c r="SZP21" s="29"/>
      <c r="SZQ21" s="29"/>
      <c r="SZR21" s="29"/>
      <c r="SZS21" s="29"/>
      <c r="SZT21" s="29"/>
      <c r="SZU21" s="29"/>
      <c r="SZV21" s="29"/>
      <c r="SZW21" s="29"/>
      <c r="SZX21" s="29"/>
      <c r="SZY21" s="29"/>
      <c r="SZZ21" s="29"/>
      <c r="TAA21" s="29"/>
      <c r="TAB21" s="29"/>
      <c r="TAC21" s="29"/>
      <c r="TAD21" s="29"/>
      <c r="TAE21" s="29"/>
      <c r="TAF21" s="29"/>
      <c r="TAG21" s="29"/>
      <c r="TAH21" s="29"/>
      <c r="TAI21" s="29"/>
      <c r="TAJ21" s="29"/>
      <c r="TAK21" s="29"/>
      <c r="TAL21" s="29"/>
      <c r="TAM21" s="29"/>
      <c r="TAN21" s="29"/>
      <c r="TAO21" s="29"/>
      <c r="TAP21" s="29"/>
      <c r="TAQ21" s="29"/>
      <c r="TAR21" s="29"/>
      <c r="TAS21" s="29"/>
      <c r="TAT21" s="29"/>
      <c r="TAU21" s="29"/>
      <c r="TAV21" s="29"/>
      <c r="TAW21" s="29"/>
      <c r="TAX21" s="29"/>
      <c r="TAY21" s="29"/>
      <c r="TAZ21" s="29"/>
      <c r="TBA21" s="29"/>
      <c r="TBB21" s="29"/>
      <c r="TBC21" s="29"/>
      <c r="TBD21" s="29"/>
      <c r="TBE21" s="29"/>
      <c r="TBF21" s="29"/>
      <c r="TBG21" s="29"/>
      <c r="TBH21" s="29"/>
      <c r="TBI21" s="29"/>
      <c r="TBJ21" s="29"/>
      <c r="TBK21" s="29"/>
      <c r="TBL21" s="29"/>
      <c r="TBM21" s="29"/>
      <c r="TBN21" s="29"/>
      <c r="TBO21" s="29"/>
      <c r="TBP21" s="29"/>
      <c r="TBQ21" s="29"/>
      <c r="TBR21" s="29"/>
      <c r="TBS21" s="29"/>
      <c r="TBT21" s="29"/>
      <c r="TBU21" s="29"/>
      <c r="TBV21" s="29"/>
      <c r="TBW21" s="29"/>
      <c r="TBX21" s="29"/>
      <c r="TBY21" s="29"/>
      <c r="TBZ21" s="29"/>
      <c r="TCA21" s="29"/>
      <c r="TCB21" s="29"/>
      <c r="TCC21" s="29"/>
      <c r="TCD21" s="29"/>
      <c r="TCE21" s="29"/>
      <c r="TCF21" s="29"/>
      <c r="TCG21" s="29"/>
      <c r="TCH21" s="29"/>
      <c r="TCI21" s="29"/>
      <c r="TCJ21" s="29"/>
      <c r="TCK21" s="29"/>
      <c r="TCL21" s="29"/>
      <c r="TCM21" s="29"/>
      <c r="TCN21" s="29"/>
      <c r="TCO21" s="29"/>
      <c r="TCP21" s="29"/>
      <c r="TCQ21" s="29"/>
      <c r="TCR21" s="29"/>
      <c r="TCS21" s="29"/>
      <c r="TCT21" s="29"/>
      <c r="TCU21" s="29"/>
      <c r="TCV21" s="29"/>
      <c r="TCW21" s="29"/>
      <c r="TCX21" s="29"/>
      <c r="TCY21" s="29"/>
      <c r="TCZ21" s="29"/>
      <c r="TDA21" s="29"/>
      <c r="TDB21" s="29"/>
      <c r="TDC21" s="29"/>
      <c r="TDD21" s="29"/>
      <c r="TDE21" s="29"/>
      <c r="TDF21" s="29"/>
      <c r="TDG21" s="29"/>
      <c r="TDH21" s="29"/>
      <c r="TDI21" s="29"/>
      <c r="TDJ21" s="29"/>
      <c r="TDK21" s="29"/>
      <c r="TDL21" s="29"/>
      <c r="TDM21" s="29"/>
      <c r="TDN21" s="29"/>
      <c r="TDO21" s="29"/>
      <c r="TDP21" s="29"/>
      <c r="TDQ21" s="29"/>
      <c r="TDR21" s="29"/>
      <c r="TDS21" s="29"/>
      <c r="TDT21" s="29"/>
      <c r="TDU21" s="29"/>
      <c r="TDV21" s="29"/>
      <c r="TDW21" s="29"/>
      <c r="TDX21" s="29"/>
      <c r="TDY21" s="29"/>
      <c r="TDZ21" s="29"/>
      <c r="TEA21" s="29"/>
      <c r="TEB21" s="29"/>
      <c r="TEC21" s="29"/>
      <c r="TED21" s="29"/>
      <c r="TEE21" s="29"/>
      <c r="TEF21" s="29"/>
      <c r="TEG21" s="29"/>
      <c r="TEH21" s="29"/>
      <c r="TEI21" s="29"/>
      <c r="TEJ21" s="29"/>
      <c r="TEK21" s="29"/>
      <c r="TEL21" s="29"/>
      <c r="TEM21" s="29"/>
      <c r="TEN21" s="29"/>
      <c r="TEO21" s="29"/>
      <c r="TEP21" s="29"/>
      <c r="TEQ21" s="29"/>
      <c r="TER21" s="29"/>
      <c r="TES21" s="29"/>
      <c r="TET21" s="29"/>
      <c r="TEU21" s="29"/>
      <c r="TEV21" s="29"/>
      <c r="TEW21" s="29"/>
      <c r="TEX21" s="29"/>
      <c r="TEY21" s="29"/>
      <c r="TEZ21" s="29"/>
      <c r="TFA21" s="29"/>
      <c r="TFB21" s="29"/>
      <c r="TFC21" s="29"/>
      <c r="TFD21" s="29"/>
      <c r="TFE21" s="29"/>
      <c r="TFF21" s="29"/>
      <c r="TFG21" s="29"/>
      <c r="TFH21" s="29"/>
      <c r="TFI21" s="29"/>
      <c r="TFJ21" s="29"/>
      <c r="TFK21" s="29"/>
      <c r="TFL21" s="29"/>
      <c r="TFM21" s="29"/>
      <c r="TFN21" s="29"/>
      <c r="TFO21" s="29"/>
      <c r="TFP21" s="29"/>
      <c r="TFQ21" s="29"/>
      <c r="TFR21" s="29"/>
      <c r="TFS21" s="29"/>
      <c r="TFT21" s="29"/>
      <c r="TFU21" s="29"/>
      <c r="TFV21" s="29"/>
      <c r="TFW21" s="29"/>
      <c r="TFX21" s="29"/>
      <c r="TFY21" s="29"/>
      <c r="TFZ21" s="29"/>
      <c r="TGA21" s="29"/>
      <c r="TGB21" s="29"/>
      <c r="TGC21" s="29"/>
      <c r="TGD21" s="29"/>
      <c r="TGE21" s="29"/>
      <c r="TGF21" s="29"/>
      <c r="TGG21" s="29"/>
      <c r="TGH21" s="29"/>
      <c r="TGI21" s="29"/>
      <c r="TGJ21" s="29"/>
      <c r="TGK21" s="29"/>
      <c r="TGL21" s="29"/>
      <c r="TGM21" s="29"/>
      <c r="TGN21" s="29"/>
      <c r="TGO21" s="29"/>
      <c r="TGP21" s="29"/>
      <c r="TGQ21" s="29"/>
      <c r="TGR21" s="29"/>
      <c r="TGS21" s="29"/>
      <c r="TGT21" s="29"/>
      <c r="TGU21" s="29"/>
      <c r="TGV21" s="29"/>
      <c r="TGW21" s="29"/>
      <c r="TGX21" s="29"/>
      <c r="TGY21" s="29"/>
      <c r="TGZ21" s="29"/>
      <c r="THA21" s="29"/>
      <c r="THB21" s="29"/>
      <c r="THC21" s="29"/>
      <c r="THD21" s="29"/>
      <c r="THE21" s="29"/>
      <c r="THF21" s="29"/>
      <c r="THG21" s="29"/>
      <c r="THH21" s="29"/>
      <c r="THI21" s="29"/>
      <c r="THJ21" s="29"/>
      <c r="THK21" s="29"/>
      <c r="THL21" s="29"/>
      <c r="THM21" s="29"/>
      <c r="THN21" s="29"/>
      <c r="THO21" s="29"/>
      <c r="THP21" s="29"/>
      <c r="THQ21" s="29"/>
      <c r="THR21" s="29"/>
      <c r="THS21" s="29"/>
      <c r="THT21" s="29"/>
      <c r="THU21" s="29"/>
      <c r="THV21" s="29"/>
      <c r="THW21" s="29"/>
      <c r="THX21" s="29"/>
      <c r="THY21" s="29"/>
      <c r="THZ21" s="29"/>
      <c r="TIA21" s="29"/>
      <c r="TIB21" s="29"/>
      <c r="TIC21" s="29"/>
      <c r="TID21" s="29"/>
      <c r="TIE21" s="29"/>
      <c r="TIF21" s="29"/>
      <c r="TIG21" s="29"/>
      <c r="TIH21" s="29"/>
      <c r="TII21" s="29"/>
      <c r="TIJ21" s="29"/>
      <c r="TIK21" s="29"/>
      <c r="TIL21" s="29"/>
      <c r="TIM21" s="29"/>
      <c r="TIN21" s="29"/>
      <c r="TIO21" s="29"/>
      <c r="TIP21" s="29"/>
      <c r="TIQ21" s="29"/>
      <c r="TIR21" s="29"/>
      <c r="TIS21" s="29"/>
      <c r="TIT21" s="29"/>
      <c r="TIU21" s="29"/>
      <c r="TIV21" s="29"/>
      <c r="TIW21" s="29"/>
      <c r="TIX21" s="29"/>
      <c r="TIY21" s="29"/>
      <c r="TIZ21" s="29"/>
      <c r="TJA21" s="29"/>
      <c r="TJB21" s="29"/>
      <c r="TJC21" s="29"/>
      <c r="TJD21" s="29"/>
      <c r="TJE21" s="29"/>
      <c r="TJF21" s="29"/>
      <c r="TJG21" s="29"/>
      <c r="TJH21" s="29"/>
      <c r="TJI21" s="29"/>
      <c r="TJJ21" s="29"/>
      <c r="TJK21" s="29"/>
      <c r="TJL21" s="29"/>
      <c r="TJM21" s="29"/>
      <c r="TJN21" s="29"/>
      <c r="TJO21" s="29"/>
      <c r="TJP21" s="29"/>
      <c r="TJQ21" s="29"/>
      <c r="TJR21" s="29"/>
      <c r="TJS21" s="29"/>
      <c r="TJT21" s="29"/>
      <c r="TJU21" s="29"/>
      <c r="TJV21" s="29"/>
      <c r="TJW21" s="29"/>
      <c r="TJX21" s="29"/>
      <c r="TJY21" s="29"/>
      <c r="TJZ21" s="29"/>
      <c r="TKA21" s="29"/>
      <c r="TKB21" s="29"/>
      <c r="TKC21" s="29"/>
      <c r="TKD21" s="29"/>
      <c r="TKE21" s="29"/>
      <c r="TKF21" s="29"/>
      <c r="TKG21" s="29"/>
      <c r="TKH21" s="29"/>
      <c r="TKI21" s="29"/>
      <c r="TKJ21" s="29"/>
      <c r="TKK21" s="29"/>
      <c r="TKL21" s="29"/>
      <c r="TKM21" s="29"/>
      <c r="TKN21" s="29"/>
      <c r="TKO21" s="29"/>
      <c r="TKP21" s="29"/>
      <c r="TKQ21" s="29"/>
      <c r="TKR21" s="29"/>
      <c r="TKS21" s="29"/>
      <c r="TKT21" s="29"/>
      <c r="TKU21" s="29"/>
      <c r="TKV21" s="29"/>
      <c r="TKW21" s="29"/>
      <c r="TKX21" s="29"/>
      <c r="TKY21" s="29"/>
      <c r="TKZ21" s="29"/>
      <c r="TLA21" s="29"/>
      <c r="TLB21" s="29"/>
      <c r="TLC21" s="29"/>
      <c r="TLD21" s="29"/>
      <c r="TLE21" s="29"/>
      <c r="TLF21" s="29"/>
      <c r="TLG21" s="29"/>
      <c r="TLH21" s="29"/>
      <c r="TLI21" s="29"/>
      <c r="TLJ21" s="29"/>
      <c r="TLK21" s="29"/>
      <c r="TLL21" s="29"/>
      <c r="TLM21" s="29"/>
      <c r="TLN21" s="29"/>
      <c r="TLO21" s="29"/>
      <c r="TLP21" s="29"/>
      <c r="TLQ21" s="29"/>
      <c r="TLR21" s="29"/>
      <c r="TLS21" s="29"/>
      <c r="TLT21" s="29"/>
      <c r="TLU21" s="29"/>
      <c r="TLV21" s="29"/>
      <c r="TLW21" s="29"/>
      <c r="TLX21" s="29"/>
      <c r="TLY21" s="29"/>
      <c r="TLZ21" s="29"/>
      <c r="TMA21" s="29"/>
      <c r="TMB21" s="29"/>
      <c r="TMC21" s="29"/>
      <c r="TMD21" s="29"/>
      <c r="TME21" s="29"/>
      <c r="TMF21" s="29"/>
      <c r="TMG21" s="29"/>
      <c r="TMH21" s="29"/>
      <c r="TMI21" s="29"/>
      <c r="TMJ21" s="29"/>
      <c r="TMK21" s="29"/>
      <c r="TML21" s="29"/>
      <c r="TMM21" s="29"/>
      <c r="TMN21" s="29"/>
      <c r="TMO21" s="29"/>
      <c r="TMP21" s="29"/>
      <c r="TMQ21" s="29"/>
      <c r="TMR21" s="29"/>
      <c r="TMS21" s="29"/>
      <c r="TMT21" s="29"/>
      <c r="TMU21" s="29"/>
      <c r="TMV21" s="29"/>
      <c r="TMW21" s="29"/>
      <c r="TMX21" s="29"/>
      <c r="TMY21" s="29"/>
      <c r="TMZ21" s="29"/>
      <c r="TNA21" s="29"/>
      <c r="TNB21" s="29"/>
      <c r="TNC21" s="29"/>
      <c r="TND21" s="29"/>
      <c r="TNE21" s="29"/>
      <c r="TNF21" s="29"/>
      <c r="TNG21" s="29"/>
      <c r="TNH21" s="29"/>
      <c r="TNI21" s="29"/>
      <c r="TNJ21" s="29"/>
      <c r="TNK21" s="29"/>
      <c r="TNL21" s="29"/>
      <c r="TNM21" s="29"/>
      <c r="TNN21" s="29"/>
      <c r="TNO21" s="29"/>
      <c r="TNP21" s="29"/>
      <c r="TNQ21" s="29"/>
      <c r="TNR21" s="29"/>
      <c r="TNS21" s="29"/>
      <c r="TNT21" s="29"/>
      <c r="TNU21" s="29"/>
      <c r="TNV21" s="29"/>
      <c r="TNW21" s="29"/>
      <c r="TNX21" s="29"/>
      <c r="TNY21" s="29"/>
      <c r="TNZ21" s="29"/>
      <c r="TOA21" s="29"/>
      <c r="TOB21" s="29"/>
      <c r="TOC21" s="29"/>
      <c r="TOD21" s="29"/>
      <c r="TOE21" s="29"/>
      <c r="TOF21" s="29"/>
      <c r="TOG21" s="29"/>
      <c r="TOH21" s="29"/>
      <c r="TOI21" s="29"/>
      <c r="TOJ21" s="29"/>
      <c r="TOK21" s="29"/>
      <c r="TOL21" s="29"/>
      <c r="TOM21" s="29"/>
      <c r="TON21" s="29"/>
      <c r="TOO21" s="29"/>
      <c r="TOP21" s="29"/>
      <c r="TOQ21" s="29"/>
      <c r="TOR21" s="29"/>
      <c r="TOS21" s="29"/>
      <c r="TOT21" s="29"/>
      <c r="TOU21" s="29"/>
      <c r="TOV21" s="29"/>
      <c r="TOW21" s="29"/>
      <c r="TOX21" s="29"/>
      <c r="TOY21" s="29"/>
      <c r="TOZ21" s="29"/>
      <c r="TPA21" s="29"/>
      <c r="TPB21" s="29"/>
      <c r="TPC21" s="29"/>
      <c r="TPD21" s="29"/>
      <c r="TPE21" s="29"/>
      <c r="TPF21" s="29"/>
      <c r="TPG21" s="29"/>
      <c r="TPH21" s="29"/>
      <c r="TPI21" s="29"/>
      <c r="TPJ21" s="29"/>
      <c r="TPK21" s="29"/>
      <c r="TPL21" s="29"/>
      <c r="TPM21" s="29"/>
      <c r="TPN21" s="29"/>
      <c r="TPO21" s="29"/>
      <c r="TPP21" s="29"/>
      <c r="TPQ21" s="29"/>
      <c r="TPR21" s="29"/>
      <c r="TPS21" s="29"/>
      <c r="TPT21" s="29"/>
      <c r="TPU21" s="29"/>
      <c r="TPV21" s="29"/>
      <c r="TPW21" s="29"/>
      <c r="TPX21" s="29"/>
      <c r="TPY21" s="29"/>
      <c r="TPZ21" s="29"/>
      <c r="TQA21" s="29"/>
      <c r="TQB21" s="29"/>
      <c r="TQC21" s="29"/>
      <c r="TQD21" s="29"/>
      <c r="TQE21" s="29"/>
      <c r="TQF21" s="29"/>
      <c r="TQG21" s="29"/>
      <c r="TQH21" s="29"/>
      <c r="TQI21" s="29"/>
      <c r="TQJ21" s="29"/>
      <c r="TQK21" s="29"/>
      <c r="TQL21" s="29"/>
      <c r="TQM21" s="29"/>
      <c r="TQN21" s="29"/>
      <c r="TQO21" s="29"/>
      <c r="TQP21" s="29"/>
      <c r="TQQ21" s="29"/>
      <c r="TQR21" s="29"/>
      <c r="TQS21" s="29"/>
      <c r="TQT21" s="29"/>
      <c r="TQU21" s="29"/>
      <c r="TQV21" s="29"/>
      <c r="TQW21" s="29"/>
      <c r="TQX21" s="29"/>
      <c r="TQY21" s="29"/>
      <c r="TQZ21" s="29"/>
      <c r="TRA21" s="29"/>
      <c r="TRB21" s="29"/>
      <c r="TRC21" s="29"/>
      <c r="TRD21" s="29"/>
      <c r="TRE21" s="29"/>
      <c r="TRF21" s="29"/>
      <c r="TRG21" s="29"/>
      <c r="TRH21" s="29"/>
      <c r="TRI21" s="29"/>
      <c r="TRJ21" s="29"/>
      <c r="TRK21" s="29"/>
      <c r="TRL21" s="29"/>
      <c r="TRM21" s="29"/>
      <c r="TRN21" s="29"/>
      <c r="TRO21" s="29"/>
      <c r="TRP21" s="29"/>
      <c r="TRQ21" s="29"/>
      <c r="TRR21" s="29"/>
      <c r="TRS21" s="29"/>
      <c r="TRT21" s="29"/>
      <c r="TRU21" s="29"/>
      <c r="TRV21" s="29"/>
      <c r="TRW21" s="29"/>
      <c r="TRX21" s="29"/>
      <c r="TRY21" s="29"/>
      <c r="TRZ21" s="29"/>
      <c r="TSA21" s="29"/>
      <c r="TSB21" s="29"/>
      <c r="TSC21" s="29"/>
      <c r="TSD21" s="29"/>
      <c r="TSE21" s="29"/>
      <c r="TSF21" s="29"/>
      <c r="TSG21" s="29"/>
      <c r="TSH21" s="29"/>
      <c r="TSI21" s="29"/>
      <c r="TSJ21" s="29"/>
      <c r="TSK21" s="29"/>
      <c r="TSL21" s="29"/>
      <c r="TSM21" s="29"/>
      <c r="TSN21" s="29"/>
      <c r="TSO21" s="29"/>
      <c r="TSP21" s="29"/>
      <c r="TSQ21" s="29"/>
      <c r="TSR21" s="29"/>
      <c r="TSS21" s="29"/>
      <c r="TST21" s="29"/>
      <c r="TSU21" s="29"/>
      <c r="TSV21" s="29"/>
      <c r="TSW21" s="29"/>
      <c r="TSX21" s="29"/>
      <c r="TSY21" s="29"/>
      <c r="TSZ21" s="29"/>
      <c r="TTA21" s="29"/>
      <c r="TTB21" s="29"/>
      <c r="TTC21" s="29"/>
      <c r="TTD21" s="29"/>
      <c r="TTE21" s="29"/>
      <c r="TTF21" s="29"/>
      <c r="TTG21" s="29"/>
      <c r="TTH21" s="29"/>
      <c r="TTI21" s="29"/>
      <c r="TTJ21" s="29"/>
      <c r="TTK21" s="29"/>
      <c r="TTL21" s="29"/>
      <c r="TTM21" s="29"/>
      <c r="TTN21" s="29"/>
      <c r="TTO21" s="29"/>
      <c r="TTP21" s="29"/>
      <c r="TTQ21" s="29"/>
      <c r="TTR21" s="29"/>
      <c r="TTS21" s="29"/>
      <c r="TTT21" s="29"/>
      <c r="TTU21" s="29"/>
      <c r="TTV21" s="29"/>
      <c r="TTW21" s="29"/>
      <c r="TTX21" s="29"/>
      <c r="TTY21" s="29"/>
      <c r="TTZ21" s="29"/>
      <c r="TUA21" s="29"/>
      <c r="TUB21" s="29"/>
      <c r="TUC21" s="29"/>
      <c r="TUD21" s="29"/>
      <c r="TUE21" s="29"/>
      <c r="TUF21" s="29"/>
      <c r="TUG21" s="29"/>
      <c r="TUH21" s="29"/>
      <c r="TUI21" s="29"/>
      <c r="TUJ21" s="29"/>
      <c r="TUK21" s="29"/>
      <c r="TUL21" s="29"/>
      <c r="TUM21" s="29"/>
      <c r="TUN21" s="29"/>
      <c r="TUO21" s="29"/>
      <c r="TUP21" s="29"/>
      <c r="TUQ21" s="29"/>
      <c r="TUR21" s="29"/>
      <c r="TUS21" s="29"/>
      <c r="TUT21" s="29"/>
      <c r="TUU21" s="29"/>
      <c r="TUV21" s="29"/>
      <c r="TUW21" s="29"/>
      <c r="TUX21" s="29"/>
      <c r="TUY21" s="29"/>
      <c r="TUZ21" s="29"/>
      <c r="TVA21" s="29"/>
      <c r="TVB21" s="29"/>
      <c r="TVC21" s="29"/>
      <c r="TVD21" s="29"/>
      <c r="TVE21" s="29"/>
      <c r="TVF21" s="29"/>
      <c r="TVG21" s="29"/>
      <c r="TVH21" s="29"/>
      <c r="TVI21" s="29"/>
      <c r="TVJ21" s="29"/>
      <c r="TVK21" s="29"/>
      <c r="TVL21" s="29"/>
      <c r="TVM21" s="29"/>
      <c r="TVN21" s="29"/>
      <c r="TVO21" s="29"/>
      <c r="TVP21" s="29"/>
      <c r="TVQ21" s="29"/>
      <c r="TVR21" s="29"/>
      <c r="TVS21" s="29"/>
      <c r="TVT21" s="29"/>
      <c r="TVU21" s="29"/>
      <c r="TVV21" s="29"/>
      <c r="TVW21" s="29"/>
      <c r="TVX21" s="29"/>
      <c r="TVY21" s="29"/>
      <c r="TVZ21" s="29"/>
      <c r="TWA21" s="29"/>
      <c r="TWB21" s="29"/>
      <c r="TWC21" s="29"/>
      <c r="TWD21" s="29"/>
      <c r="TWE21" s="29"/>
      <c r="TWF21" s="29"/>
      <c r="TWG21" s="29"/>
      <c r="TWH21" s="29"/>
      <c r="TWI21" s="29"/>
      <c r="TWJ21" s="29"/>
      <c r="TWK21" s="29"/>
      <c r="TWL21" s="29"/>
      <c r="TWM21" s="29"/>
      <c r="TWN21" s="29"/>
      <c r="TWO21" s="29"/>
      <c r="TWP21" s="29"/>
      <c r="TWQ21" s="29"/>
      <c r="TWR21" s="29"/>
      <c r="TWS21" s="29"/>
      <c r="TWT21" s="29"/>
      <c r="TWU21" s="29"/>
      <c r="TWV21" s="29"/>
      <c r="TWW21" s="29"/>
      <c r="TWX21" s="29"/>
      <c r="TWY21" s="29"/>
      <c r="TWZ21" s="29"/>
      <c r="TXA21" s="29"/>
      <c r="TXB21" s="29"/>
      <c r="TXC21" s="29"/>
      <c r="TXD21" s="29"/>
      <c r="TXE21" s="29"/>
      <c r="TXF21" s="29"/>
      <c r="TXG21" s="29"/>
      <c r="TXH21" s="29"/>
      <c r="TXI21" s="29"/>
      <c r="TXJ21" s="29"/>
      <c r="TXK21" s="29"/>
      <c r="TXL21" s="29"/>
      <c r="TXM21" s="29"/>
      <c r="TXN21" s="29"/>
      <c r="TXO21" s="29"/>
      <c r="TXP21" s="29"/>
      <c r="TXQ21" s="29"/>
      <c r="TXR21" s="29"/>
      <c r="TXS21" s="29"/>
      <c r="TXT21" s="29"/>
      <c r="TXU21" s="29"/>
      <c r="TXV21" s="29"/>
      <c r="TXW21" s="29"/>
      <c r="TXX21" s="29"/>
      <c r="TXY21" s="29"/>
      <c r="TXZ21" s="29"/>
      <c r="TYA21" s="29"/>
      <c r="TYB21" s="29"/>
      <c r="TYC21" s="29"/>
      <c r="TYD21" s="29"/>
      <c r="TYE21" s="29"/>
      <c r="TYF21" s="29"/>
      <c r="TYG21" s="29"/>
      <c r="TYH21" s="29"/>
      <c r="TYI21" s="29"/>
      <c r="TYJ21" s="29"/>
      <c r="TYK21" s="29"/>
      <c r="TYL21" s="29"/>
      <c r="TYM21" s="29"/>
      <c r="TYN21" s="29"/>
      <c r="TYO21" s="29"/>
      <c r="TYP21" s="29"/>
      <c r="TYQ21" s="29"/>
      <c r="TYR21" s="29"/>
      <c r="TYS21" s="29"/>
      <c r="TYT21" s="29"/>
      <c r="TYU21" s="29"/>
      <c r="TYV21" s="29"/>
      <c r="TYW21" s="29"/>
      <c r="TYX21" s="29"/>
      <c r="TYY21" s="29"/>
      <c r="TYZ21" s="29"/>
      <c r="TZA21" s="29"/>
      <c r="TZB21" s="29"/>
      <c r="TZC21" s="29"/>
      <c r="TZD21" s="29"/>
      <c r="TZE21" s="29"/>
      <c r="TZF21" s="29"/>
      <c r="TZG21" s="29"/>
      <c r="TZH21" s="29"/>
      <c r="TZI21" s="29"/>
      <c r="TZJ21" s="29"/>
      <c r="TZK21" s="29"/>
      <c r="TZL21" s="29"/>
      <c r="TZM21" s="29"/>
      <c r="TZN21" s="29"/>
      <c r="TZO21" s="29"/>
      <c r="TZP21" s="29"/>
      <c r="TZQ21" s="29"/>
      <c r="TZR21" s="29"/>
      <c r="TZS21" s="29"/>
      <c r="TZT21" s="29"/>
      <c r="TZU21" s="29"/>
      <c r="TZV21" s="29"/>
      <c r="TZW21" s="29"/>
      <c r="TZX21" s="29"/>
      <c r="TZY21" s="29"/>
      <c r="TZZ21" s="29"/>
      <c r="UAA21" s="29"/>
      <c r="UAB21" s="29"/>
      <c r="UAC21" s="29"/>
      <c r="UAD21" s="29"/>
      <c r="UAE21" s="29"/>
      <c r="UAF21" s="29"/>
      <c r="UAG21" s="29"/>
      <c r="UAH21" s="29"/>
      <c r="UAI21" s="29"/>
      <c r="UAJ21" s="29"/>
      <c r="UAK21" s="29"/>
      <c r="UAL21" s="29"/>
      <c r="UAM21" s="29"/>
      <c r="UAN21" s="29"/>
      <c r="UAO21" s="29"/>
      <c r="UAP21" s="29"/>
      <c r="UAQ21" s="29"/>
      <c r="UAR21" s="29"/>
      <c r="UAS21" s="29"/>
      <c r="UAT21" s="29"/>
      <c r="UAU21" s="29"/>
      <c r="UAV21" s="29"/>
      <c r="UAW21" s="29"/>
      <c r="UAX21" s="29"/>
      <c r="UAY21" s="29"/>
      <c r="UAZ21" s="29"/>
      <c r="UBA21" s="29"/>
      <c r="UBB21" s="29"/>
      <c r="UBC21" s="29"/>
      <c r="UBD21" s="29"/>
      <c r="UBE21" s="29"/>
      <c r="UBF21" s="29"/>
      <c r="UBG21" s="29"/>
      <c r="UBH21" s="29"/>
      <c r="UBI21" s="29"/>
      <c r="UBJ21" s="29"/>
      <c r="UBK21" s="29"/>
      <c r="UBL21" s="29"/>
      <c r="UBM21" s="29"/>
      <c r="UBN21" s="29"/>
      <c r="UBO21" s="29"/>
      <c r="UBP21" s="29"/>
      <c r="UBQ21" s="29"/>
      <c r="UBR21" s="29"/>
      <c r="UBS21" s="29"/>
      <c r="UBT21" s="29"/>
      <c r="UBU21" s="29"/>
      <c r="UBV21" s="29"/>
      <c r="UBW21" s="29"/>
      <c r="UBX21" s="29"/>
      <c r="UBY21" s="29"/>
      <c r="UBZ21" s="29"/>
      <c r="UCA21" s="29"/>
      <c r="UCB21" s="29"/>
      <c r="UCC21" s="29"/>
      <c r="UCD21" s="29"/>
      <c r="UCE21" s="29"/>
      <c r="UCF21" s="29"/>
      <c r="UCG21" s="29"/>
      <c r="UCH21" s="29"/>
      <c r="UCI21" s="29"/>
      <c r="UCJ21" s="29"/>
      <c r="UCK21" s="29"/>
      <c r="UCL21" s="29"/>
      <c r="UCM21" s="29"/>
      <c r="UCN21" s="29"/>
      <c r="UCO21" s="29"/>
      <c r="UCP21" s="29"/>
      <c r="UCQ21" s="29"/>
      <c r="UCR21" s="29"/>
      <c r="UCS21" s="29"/>
      <c r="UCT21" s="29"/>
      <c r="UCU21" s="29"/>
      <c r="UCV21" s="29"/>
      <c r="UCW21" s="29"/>
      <c r="UCX21" s="29"/>
      <c r="UCY21" s="29"/>
      <c r="UCZ21" s="29"/>
      <c r="UDA21" s="29"/>
      <c r="UDB21" s="29"/>
      <c r="UDC21" s="29"/>
      <c r="UDD21" s="29"/>
      <c r="UDE21" s="29"/>
      <c r="UDF21" s="29"/>
      <c r="UDG21" s="29"/>
      <c r="UDH21" s="29"/>
      <c r="UDI21" s="29"/>
      <c r="UDJ21" s="29"/>
      <c r="UDK21" s="29"/>
      <c r="UDL21" s="29"/>
      <c r="UDM21" s="29"/>
      <c r="UDN21" s="29"/>
      <c r="UDO21" s="29"/>
      <c r="UDP21" s="29"/>
      <c r="UDQ21" s="29"/>
      <c r="UDR21" s="29"/>
      <c r="UDS21" s="29"/>
      <c r="UDT21" s="29"/>
      <c r="UDU21" s="29"/>
      <c r="UDV21" s="29"/>
      <c r="UDW21" s="29"/>
      <c r="UDX21" s="29"/>
      <c r="UDY21" s="29"/>
      <c r="UDZ21" s="29"/>
      <c r="UEA21" s="29"/>
      <c r="UEB21" s="29"/>
      <c r="UEC21" s="29"/>
      <c r="UED21" s="29"/>
      <c r="UEE21" s="29"/>
      <c r="UEF21" s="29"/>
      <c r="UEG21" s="29"/>
      <c r="UEH21" s="29"/>
      <c r="UEI21" s="29"/>
      <c r="UEJ21" s="29"/>
      <c r="UEK21" s="29"/>
      <c r="UEL21" s="29"/>
      <c r="UEM21" s="29"/>
      <c r="UEN21" s="29"/>
      <c r="UEO21" s="29"/>
      <c r="UEP21" s="29"/>
      <c r="UEQ21" s="29"/>
      <c r="UER21" s="29"/>
      <c r="UES21" s="29"/>
      <c r="UET21" s="29"/>
      <c r="UEU21" s="29"/>
      <c r="UEV21" s="29"/>
      <c r="UEW21" s="29"/>
      <c r="UEX21" s="29"/>
      <c r="UEY21" s="29"/>
      <c r="UEZ21" s="29"/>
      <c r="UFA21" s="29"/>
      <c r="UFB21" s="29"/>
      <c r="UFC21" s="29"/>
      <c r="UFD21" s="29"/>
      <c r="UFE21" s="29"/>
      <c r="UFF21" s="29"/>
      <c r="UFG21" s="29"/>
      <c r="UFH21" s="29"/>
      <c r="UFI21" s="29"/>
      <c r="UFJ21" s="29"/>
      <c r="UFK21" s="29"/>
      <c r="UFL21" s="29"/>
      <c r="UFM21" s="29"/>
      <c r="UFN21" s="29"/>
      <c r="UFO21" s="29"/>
      <c r="UFP21" s="29"/>
      <c r="UFQ21" s="29"/>
      <c r="UFR21" s="29"/>
      <c r="UFS21" s="29"/>
      <c r="UFT21" s="29"/>
      <c r="UFU21" s="29"/>
      <c r="UFV21" s="29"/>
      <c r="UFW21" s="29"/>
      <c r="UFX21" s="29"/>
      <c r="UFY21" s="29"/>
      <c r="UFZ21" s="29"/>
      <c r="UGA21" s="29"/>
      <c r="UGB21" s="29"/>
      <c r="UGC21" s="29"/>
      <c r="UGD21" s="29"/>
      <c r="UGE21" s="29"/>
      <c r="UGF21" s="29"/>
      <c r="UGG21" s="29"/>
      <c r="UGH21" s="29"/>
      <c r="UGI21" s="29"/>
      <c r="UGJ21" s="29"/>
      <c r="UGK21" s="29"/>
      <c r="UGL21" s="29"/>
      <c r="UGM21" s="29"/>
      <c r="UGN21" s="29"/>
      <c r="UGO21" s="29"/>
      <c r="UGP21" s="29"/>
      <c r="UGQ21" s="29"/>
      <c r="UGR21" s="29"/>
      <c r="UGS21" s="29"/>
      <c r="UGT21" s="29"/>
      <c r="UGU21" s="29"/>
      <c r="UGV21" s="29"/>
      <c r="UGW21" s="29"/>
      <c r="UGX21" s="29"/>
      <c r="UGY21" s="29"/>
      <c r="UGZ21" s="29"/>
      <c r="UHA21" s="29"/>
      <c r="UHB21" s="29"/>
      <c r="UHC21" s="29"/>
      <c r="UHD21" s="29"/>
      <c r="UHE21" s="29"/>
      <c r="UHF21" s="29"/>
      <c r="UHG21" s="29"/>
      <c r="UHH21" s="29"/>
      <c r="UHI21" s="29"/>
      <c r="UHJ21" s="29"/>
      <c r="UHK21" s="29"/>
      <c r="UHL21" s="29"/>
      <c r="UHM21" s="29"/>
      <c r="UHN21" s="29"/>
      <c r="UHO21" s="29"/>
      <c r="UHP21" s="29"/>
      <c r="UHQ21" s="29"/>
      <c r="UHR21" s="29"/>
      <c r="UHS21" s="29"/>
      <c r="UHT21" s="29"/>
      <c r="UHU21" s="29"/>
      <c r="UHV21" s="29"/>
      <c r="UHW21" s="29"/>
      <c r="UHX21" s="29"/>
      <c r="UHY21" s="29"/>
      <c r="UHZ21" s="29"/>
      <c r="UIA21" s="29"/>
      <c r="UIB21" s="29"/>
      <c r="UIC21" s="29"/>
      <c r="UID21" s="29"/>
      <c r="UIE21" s="29"/>
      <c r="UIF21" s="29"/>
      <c r="UIG21" s="29"/>
      <c r="UIH21" s="29"/>
      <c r="UII21" s="29"/>
      <c r="UIJ21" s="29"/>
      <c r="UIK21" s="29"/>
      <c r="UIL21" s="29"/>
      <c r="UIM21" s="29"/>
      <c r="UIN21" s="29"/>
      <c r="UIO21" s="29"/>
      <c r="UIP21" s="29"/>
      <c r="UIQ21" s="29"/>
      <c r="UIR21" s="29"/>
      <c r="UIS21" s="29"/>
      <c r="UIT21" s="29"/>
      <c r="UIU21" s="29"/>
      <c r="UIV21" s="29"/>
      <c r="UIW21" s="29"/>
      <c r="UIX21" s="29"/>
      <c r="UIY21" s="29"/>
      <c r="UIZ21" s="29"/>
      <c r="UJA21" s="29"/>
      <c r="UJB21" s="29"/>
      <c r="UJC21" s="29"/>
      <c r="UJD21" s="29"/>
      <c r="UJE21" s="29"/>
      <c r="UJF21" s="29"/>
      <c r="UJG21" s="29"/>
      <c r="UJH21" s="29"/>
      <c r="UJI21" s="29"/>
      <c r="UJJ21" s="29"/>
      <c r="UJK21" s="29"/>
      <c r="UJL21" s="29"/>
      <c r="UJM21" s="29"/>
      <c r="UJN21" s="29"/>
      <c r="UJO21" s="29"/>
      <c r="UJP21" s="29"/>
      <c r="UJQ21" s="29"/>
      <c r="UJR21" s="29"/>
      <c r="UJS21" s="29"/>
      <c r="UJT21" s="29"/>
      <c r="UJU21" s="29"/>
      <c r="UJV21" s="29"/>
      <c r="UJW21" s="29"/>
      <c r="UJX21" s="29"/>
      <c r="UJY21" s="29"/>
      <c r="UJZ21" s="29"/>
      <c r="UKA21" s="29"/>
      <c r="UKB21" s="29"/>
      <c r="UKC21" s="29"/>
      <c r="UKD21" s="29"/>
      <c r="UKE21" s="29"/>
      <c r="UKF21" s="29"/>
      <c r="UKG21" s="29"/>
      <c r="UKH21" s="29"/>
      <c r="UKI21" s="29"/>
      <c r="UKJ21" s="29"/>
      <c r="UKK21" s="29"/>
      <c r="UKL21" s="29"/>
      <c r="UKM21" s="29"/>
      <c r="UKN21" s="29"/>
      <c r="UKO21" s="29"/>
      <c r="UKP21" s="29"/>
      <c r="UKQ21" s="29"/>
      <c r="UKR21" s="29"/>
      <c r="UKS21" s="29"/>
      <c r="UKT21" s="29"/>
      <c r="UKU21" s="29"/>
      <c r="UKV21" s="29"/>
      <c r="UKW21" s="29"/>
      <c r="UKX21" s="29"/>
      <c r="UKY21" s="29"/>
      <c r="UKZ21" s="29"/>
      <c r="ULA21" s="29"/>
      <c r="ULB21" s="29"/>
      <c r="ULC21" s="29"/>
      <c r="ULD21" s="29"/>
      <c r="ULE21" s="29"/>
      <c r="ULF21" s="29"/>
      <c r="ULG21" s="29"/>
      <c r="ULH21" s="29"/>
      <c r="ULI21" s="29"/>
      <c r="ULJ21" s="29"/>
      <c r="ULK21" s="29"/>
      <c r="ULL21" s="29"/>
      <c r="ULM21" s="29"/>
      <c r="ULN21" s="29"/>
      <c r="ULO21" s="29"/>
      <c r="ULP21" s="29"/>
      <c r="ULQ21" s="29"/>
      <c r="ULR21" s="29"/>
      <c r="ULS21" s="29"/>
      <c r="ULT21" s="29"/>
      <c r="ULU21" s="29"/>
      <c r="ULV21" s="29"/>
      <c r="ULW21" s="29"/>
      <c r="ULX21" s="29"/>
      <c r="ULY21" s="29"/>
      <c r="ULZ21" s="29"/>
      <c r="UMA21" s="29"/>
      <c r="UMB21" s="29"/>
      <c r="UMC21" s="29"/>
      <c r="UMD21" s="29"/>
      <c r="UME21" s="29"/>
      <c r="UMF21" s="29"/>
      <c r="UMG21" s="29"/>
      <c r="UMH21" s="29"/>
      <c r="UMI21" s="29"/>
      <c r="UMJ21" s="29"/>
      <c r="UMK21" s="29"/>
      <c r="UML21" s="29"/>
      <c r="UMM21" s="29"/>
      <c r="UMN21" s="29"/>
      <c r="UMO21" s="29"/>
      <c r="UMP21" s="29"/>
      <c r="UMQ21" s="29"/>
      <c r="UMR21" s="29"/>
      <c r="UMS21" s="29"/>
      <c r="UMT21" s="29"/>
      <c r="UMU21" s="29"/>
      <c r="UMV21" s="29"/>
      <c r="UMW21" s="29"/>
      <c r="UMX21" s="29"/>
      <c r="UMY21" s="29"/>
      <c r="UMZ21" s="29"/>
      <c r="UNA21" s="29"/>
      <c r="UNB21" s="29"/>
      <c r="UNC21" s="29"/>
      <c r="UND21" s="29"/>
      <c r="UNE21" s="29"/>
      <c r="UNF21" s="29"/>
      <c r="UNG21" s="29"/>
      <c r="UNH21" s="29"/>
      <c r="UNI21" s="29"/>
      <c r="UNJ21" s="29"/>
      <c r="UNK21" s="29"/>
      <c r="UNL21" s="29"/>
      <c r="UNM21" s="29"/>
      <c r="UNN21" s="29"/>
      <c r="UNO21" s="29"/>
      <c r="UNP21" s="29"/>
      <c r="UNQ21" s="29"/>
      <c r="UNR21" s="29"/>
      <c r="UNS21" s="29"/>
      <c r="UNT21" s="29"/>
      <c r="UNU21" s="29"/>
      <c r="UNV21" s="29"/>
      <c r="UNW21" s="29"/>
      <c r="UNX21" s="29"/>
      <c r="UNY21" s="29"/>
      <c r="UNZ21" s="29"/>
      <c r="UOA21" s="29"/>
      <c r="UOB21" s="29"/>
      <c r="UOC21" s="29"/>
      <c r="UOD21" s="29"/>
      <c r="UOE21" s="29"/>
      <c r="UOF21" s="29"/>
      <c r="UOG21" s="29"/>
      <c r="UOH21" s="29"/>
      <c r="UOI21" s="29"/>
      <c r="UOJ21" s="29"/>
      <c r="UOK21" s="29"/>
      <c r="UOL21" s="29"/>
      <c r="UOM21" s="29"/>
      <c r="UON21" s="29"/>
      <c r="UOO21" s="29"/>
      <c r="UOP21" s="29"/>
      <c r="UOQ21" s="29"/>
      <c r="UOR21" s="29"/>
      <c r="UOS21" s="29"/>
      <c r="UOT21" s="29"/>
      <c r="UOU21" s="29"/>
      <c r="UOV21" s="29"/>
      <c r="UOW21" s="29"/>
      <c r="UOX21" s="29"/>
      <c r="UOY21" s="29"/>
      <c r="UOZ21" s="29"/>
      <c r="UPA21" s="29"/>
      <c r="UPB21" s="29"/>
      <c r="UPC21" s="29"/>
      <c r="UPD21" s="29"/>
      <c r="UPE21" s="29"/>
      <c r="UPF21" s="29"/>
      <c r="UPG21" s="29"/>
      <c r="UPH21" s="29"/>
      <c r="UPI21" s="29"/>
      <c r="UPJ21" s="29"/>
      <c r="UPK21" s="29"/>
      <c r="UPL21" s="29"/>
      <c r="UPM21" s="29"/>
      <c r="UPN21" s="29"/>
      <c r="UPO21" s="29"/>
      <c r="UPP21" s="29"/>
      <c r="UPQ21" s="29"/>
      <c r="UPR21" s="29"/>
      <c r="UPS21" s="29"/>
      <c r="UPT21" s="29"/>
      <c r="UPU21" s="29"/>
      <c r="UPV21" s="29"/>
      <c r="UPW21" s="29"/>
      <c r="UPX21" s="29"/>
      <c r="UPY21" s="29"/>
      <c r="UPZ21" s="29"/>
      <c r="UQA21" s="29"/>
      <c r="UQB21" s="29"/>
      <c r="UQC21" s="29"/>
      <c r="UQD21" s="29"/>
      <c r="UQE21" s="29"/>
      <c r="UQF21" s="29"/>
      <c r="UQG21" s="29"/>
      <c r="UQH21" s="29"/>
      <c r="UQI21" s="29"/>
      <c r="UQJ21" s="29"/>
      <c r="UQK21" s="29"/>
      <c r="UQL21" s="29"/>
      <c r="UQM21" s="29"/>
      <c r="UQN21" s="29"/>
      <c r="UQO21" s="29"/>
      <c r="UQP21" s="29"/>
      <c r="UQQ21" s="29"/>
      <c r="UQR21" s="29"/>
      <c r="UQS21" s="29"/>
      <c r="UQT21" s="29"/>
      <c r="UQU21" s="29"/>
      <c r="UQV21" s="29"/>
      <c r="UQW21" s="29"/>
      <c r="UQX21" s="29"/>
      <c r="UQY21" s="29"/>
      <c r="UQZ21" s="29"/>
      <c r="URA21" s="29"/>
      <c r="URB21" s="29"/>
      <c r="URC21" s="29"/>
      <c r="URD21" s="29"/>
      <c r="URE21" s="29"/>
      <c r="URF21" s="29"/>
      <c r="URG21" s="29"/>
      <c r="URH21" s="29"/>
      <c r="URI21" s="29"/>
      <c r="URJ21" s="29"/>
      <c r="URK21" s="29"/>
      <c r="URL21" s="29"/>
      <c r="URM21" s="29"/>
      <c r="URN21" s="29"/>
      <c r="URO21" s="29"/>
      <c r="URP21" s="29"/>
      <c r="URQ21" s="29"/>
      <c r="URR21" s="29"/>
      <c r="URS21" s="29"/>
      <c r="URT21" s="29"/>
      <c r="URU21" s="29"/>
      <c r="URV21" s="29"/>
      <c r="URW21" s="29"/>
      <c r="URX21" s="29"/>
      <c r="URY21" s="29"/>
      <c r="URZ21" s="29"/>
      <c r="USA21" s="29"/>
      <c r="USB21" s="29"/>
      <c r="USC21" s="29"/>
      <c r="USD21" s="29"/>
      <c r="USE21" s="29"/>
      <c r="USF21" s="29"/>
      <c r="USG21" s="29"/>
      <c r="USH21" s="29"/>
      <c r="USI21" s="29"/>
      <c r="USJ21" s="29"/>
      <c r="USK21" s="29"/>
      <c r="USL21" s="29"/>
      <c r="USM21" s="29"/>
      <c r="USN21" s="29"/>
      <c r="USO21" s="29"/>
      <c r="USP21" s="29"/>
      <c r="USQ21" s="29"/>
      <c r="USR21" s="29"/>
      <c r="USS21" s="29"/>
      <c r="UST21" s="29"/>
      <c r="USU21" s="29"/>
      <c r="USV21" s="29"/>
      <c r="USW21" s="29"/>
      <c r="USX21" s="29"/>
      <c r="USY21" s="29"/>
      <c r="USZ21" s="29"/>
      <c r="UTA21" s="29"/>
      <c r="UTB21" s="29"/>
      <c r="UTC21" s="29"/>
      <c r="UTD21" s="29"/>
      <c r="UTE21" s="29"/>
      <c r="UTF21" s="29"/>
      <c r="UTG21" s="29"/>
      <c r="UTH21" s="29"/>
      <c r="UTI21" s="29"/>
      <c r="UTJ21" s="29"/>
      <c r="UTK21" s="29"/>
      <c r="UTL21" s="29"/>
      <c r="UTM21" s="29"/>
      <c r="UTN21" s="29"/>
      <c r="UTO21" s="29"/>
      <c r="UTP21" s="29"/>
      <c r="UTQ21" s="29"/>
      <c r="UTR21" s="29"/>
      <c r="UTS21" s="29"/>
      <c r="UTT21" s="29"/>
      <c r="UTU21" s="29"/>
      <c r="UTV21" s="29"/>
      <c r="UTW21" s="29"/>
      <c r="UTX21" s="29"/>
      <c r="UTY21" s="29"/>
      <c r="UTZ21" s="29"/>
      <c r="UUA21" s="29"/>
      <c r="UUB21" s="29"/>
      <c r="UUC21" s="29"/>
      <c r="UUD21" s="29"/>
      <c r="UUE21" s="29"/>
      <c r="UUF21" s="29"/>
      <c r="UUG21" s="29"/>
      <c r="UUH21" s="29"/>
      <c r="UUI21" s="29"/>
      <c r="UUJ21" s="29"/>
      <c r="UUK21" s="29"/>
      <c r="UUL21" s="29"/>
      <c r="UUM21" s="29"/>
      <c r="UUN21" s="29"/>
      <c r="UUO21" s="29"/>
      <c r="UUP21" s="29"/>
      <c r="UUQ21" s="29"/>
      <c r="UUR21" s="29"/>
      <c r="UUS21" s="29"/>
      <c r="UUT21" s="29"/>
      <c r="UUU21" s="29"/>
      <c r="UUV21" s="29"/>
      <c r="UUW21" s="29"/>
      <c r="UUX21" s="29"/>
      <c r="UUY21" s="29"/>
      <c r="UUZ21" s="29"/>
      <c r="UVA21" s="29"/>
      <c r="UVB21" s="29"/>
      <c r="UVC21" s="29"/>
      <c r="UVD21" s="29"/>
      <c r="UVE21" s="29"/>
      <c r="UVF21" s="29"/>
      <c r="UVG21" s="29"/>
      <c r="UVH21" s="29"/>
      <c r="UVI21" s="29"/>
      <c r="UVJ21" s="29"/>
      <c r="UVK21" s="29"/>
      <c r="UVL21" s="29"/>
      <c r="UVM21" s="29"/>
      <c r="UVN21" s="29"/>
      <c r="UVO21" s="29"/>
      <c r="UVP21" s="29"/>
      <c r="UVQ21" s="29"/>
      <c r="UVR21" s="29"/>
      <c r="UVS21" s="29"/>
      <c r="UVT21" s="29"/>
      <c r="UVU21" s="29"/>
      <c r="UVV21" s="29"/>
      <c r="UVW21" s="29"/>
      <c r="UVX21" s="29"/>
      <c r="UVY21" s="29"/>
      <c r="UVZ21" s="29"/>
      <c r="UWA21" s="29"/>
      <c r="UWB21" s="29"/>
      <c r="UWC21" s="29"/>
      <c r="UWD21" s="29"/>
      <c r="UWE21" s="29"/>
      <c r="UWF21" s="29"/>
      <c r="UWG21" s="29"/>
      <c r="UWH21" s="29"/>
      <c r="UWI21" s="29"/>
      <c r="UWJ21" s="29"/>
      <c r="UWK21" s="29"/>
      <c r="UWL21" s="29"/>
      <c r="UWM21" s="29"/>
      <c r="UWN21" s="29"/>
      <c r="UWO21" s="29"/>
      <c r="UWP21" s="29"/>
      <c r="UWQ21" s="29"/>
      <c r="UWR21" s="29"/>
      <c r="UWS21" s="29"/>
      <c r="UWT21" s="29"/>
      <c r="UWU21" s="29"/>
      <c r="UWV21" s="29"/>
      <c r="UWW21" s="29"/>
      <c r="UWX21" s="29"/>
      <c r="UWY21" s="29"/>
      <c r="UWZ21" s="29"/>
      <c r="UXA21" s="29"/>
      <c r="UXB21" s="29"/>
      <c r="UXC21" s="29"/>
      <c r="UXD21" s="29"/>
      <c r="UXE21" s="29"/>
      <c r="UXF21" s="29"/>
      <c r="UXG21" s="29"/>
      <c r="UXH21" s="29"/>
      <c r="UXI21" s="29"/>
      <c r="UXJ21" s="29"/>
      <c r="UXK21" s="29"/>
      <c r="UXL21" s="29"/>
      <c r="UXM21" s="29"/>
      <c r="UXN21" s="29"/>
      <c r="UXO21" s="29"/>
      <c r="UXP21" s="29"/>
      <c r="UXQ21" s="29"/>
      <c r="UXR21" s="29"/>
      <c r="UXS21" s="29"/>
      <c r="UXT21" s="29"/>
      <c r="UXU21" s="29"/>
      <c r="UXV21" s="29"/>
      <c r="UXW21" s="29"/>
      <c r="UXX21" s="29"/>
      <c r="UXY21" s="29"/>
      <c r="UXZ21" s="29"/>
      <c r="UYA21" s="29"/>
      <c r="UYB21" s="29"/>
      <c r="UYC21" s="29"/>
      <c r="UYD21" s="29"/>
      <c r="UYE21" s="29"/>
      <c r="UYF21" s="29"/>
      <c r="UYG21" s="29"/>
      <c r="UYH21" s="29"/>
      <c r="UYI21" s="29"/>
      <c r="UYJ21" s="29"/>
      <c r="UYK21" s="29"/>
      <c r="UYL21" s="29"/>
      <c r="UYM21" s="29"/>
      <c r="UYN21" s="29"/>
      <c r="UYO21" s="29"/>
      <c r="UYP21" s="29"/>
      <c r="UYQ21" s="29"/>
      <c r="UYR21" s="29"/>
      <c r="UYS21" s="29"/>
      <c r="UYT21" s="29"/>
      <c r="UYU21" s="29"/>
      <c r="UYV21" s="29"/>
      <c r="UYW21" s="29"/>
      <c r="UYX21" s="29"/>
      <c r="UYY21" s="29"/>
      <c r="UYZ21" s="29"/>
      <c r="UZA21" s="29"/>
      <c r="UZB21" s="29"/>
      <c r="UZC21" s="29"/>
      <c r="UZD21" s="29"/>
      <c r="UZE21" s="29"/>
      <c r="UZF21" s="29"/>
      <c r="UZG21" s="29"/>
      <c r="UZH21" s="29"/>
      <c r="UZI21" s="29"/>
      <c r="UZJ21" s="29"/>
      <c r="UZK21" s="29"/>
      <c r="UZL21" s="29"/>
      <c r="UZM21" s="29"/>
      <c r="UZN21" s="29"/>
      <c r="UZO21" s="29"/>
      <c r="UZP21" s="29"/>
      <c r="UZQ21" s="29"/>
      <c r="UZR21" s="29"/>
      <c r="UZS21" s="29"/>
      <c r="UZT21" s="29"/>
      <c r="UZU21" s="29"/>
      <c r="UZV21" s="29"/>
      <c r="UZW21" s="29"/>
      <c r="UZX21" s="29"/>
      <c r="UZY21" s="29"/>
      <c r="UZZ21" s="29"/>
      <c r="VAA21" s="29"/>
      <c r="VAB21" s="29"/>
      <c r="VAC21" s="29"/>
      <c r="VAD21" s="29"/>
      <c r="VAE21" s="29"/>
      <c r="VAF21" s="29"/>
      <c r="VAG21" s="29"/>
      <c r="VAH21" s="29"/>
      <c r="VAI21" s="29"/>
      <c r="VAJ21" s="29"/>
      <c r="VAK21" s="29"/>
      <c r="VAL21" s="29"/>
      <c r="VAM21" s="29"/>
      <c r="VAN21" s="29"/>
      <c r="VAO21" s="29"/>
      <c r="VAP21" s="29"/>
      <c r="VAQ21" s="29"/>
      <c r="VAR21" s="29"/>
      <c r="VAS21" s="29"/>
      <c r="VAT21" s="29"/>
      <c r="VAU21" s="29"/>
      <c r="VAV21" s="29"/>
      <c r="VAW21" s="29"/>
      <c r="VAX21" s="29"/>
      <c r="VAY21" s="29"/>
      <c r="VAZ21" s="29"/>
      <c r="VBA21" s="29"/>
      <c r="VBB21" s="29"/>
      <c r="VBC21" s="29"/>
      <c r="VBD21" s="29"/>
      <c r="VBE21" s="29"/>
      <c r="VBF21" s="29"/>
      <c r="VBG21" s="29"/>
      <c r="VBH21" s="29"/>
      <c r="VBI21" s="29"/>
      <c r="VBJ21" s="29"/>
      <c r="VBK21" s="29"/>
      <c r="VBL21" s="29"/>
      <c r="VBM21" s="29"/>
      <c r="VBN21" s="29"/>
      <c r="VBO21" s="29"/>
      <c r="VBP21" s="29"/>
      <c r="VBQ21" s="29"/>
      <c r="VBR21" s="29"/>
      <c r="VBS21" s="29"/>
      <c r="VBT21" s="29"/>
      <c r="VBU21" s="29"/>
      <c r="VBV21" s="29"/>
      <c r="VBW21" s="29"/>
      <c r="VBX21" s="29"/>
      <c r="VBY21" s="29"/>
      <c r="VBZ21" s="29"/>
      <c r="VCA21" s="29"/>
      <c r="VCB21" s="29"/>
      <c r="VCC21" s="29"/>
      <c r="VCD21" s="29"/>
      <c r="VCE21" s="29"/>
      <c r="VCF21" s="29"/>
      <c r="VCG21" s="29"/>
      <c r="VCH21" s="29"/>
      <c r="VCI21" s="29"/>
      <c r="VCJ21" s="29"/>
      <c r="VCK21" s="29"/>
      <c r="VCL21" s="29"/>
      <c r="VCM21" s="29"/>
      <c r="VCN21" s="29"/>
      <c r="VCO21" s="29"/>
      <c r="VCP21" s="29"/>
      <c r="VCQ21" s="29"/>
      <c r="VCR21" s="29"/>
      <c r="VCS21" s="29"/>
      <c r="VCT21" s="29"/>
      <c r="VCU21" s="29"/>
      <c r="VCV21" s="29"/>
      <c r="VCW21" s="29"/>
      <c r="VCX21" s="29"/>
      <c r="VCY21" s="29"/>
      <c r="VCZ21" s="29"/>
      <c r="VDA21" s="29"/>
      <c r="VDB21" s="29"/>
      <c r="VDC21" s="29"/>
      <c r="VDD21" s="29"/>
      <c r="VDE21" s="29"/>
      <c r="VDF21" s="29"/>
      <c r="VDG21" s="29"/>
      <c r="VDH21" s="29"/>
      <c r="VDI21" s="29"/>
      <c r="VDJ21" s="29"/>
      <c r="VDK21" s="29"/>
      <c r="VDL21" s="29"/>
      <c r="VDM21" s="29"/>
      <c r="VDN21" s="29"/>
      <c r="VDO21" s="29"/>
      <c r="VDP21" s="29"/>
      <c r="VDQ21" s="29"/>
      <c r="VDR21" s="29"/>
      <c r="VDS21" s="29"/>
      <c r="VDT21" s="29"/>
      <c r="VDU21" s="29"/>
      <c r="VDV21" s="29"/>
      <c r="VDW21" s="29"/>
      <c r="VDX21" s="29"/>
      <c r="VDY21" s="29"/>
      <c r="VDZ21" s="29"/>
      <c r="VEA21" s="29"/>
      <c r="VEB21" s="29"/>
      <c r="VEC21" s="29"/>
      <c r="VED21" s="29"/>
      <c r="VEE21" s="29"/>
      <c r="VEF21" s="29"/>
      <c r="VEG21" s="29"/>
      <c r="VEH21" s="29"/>
      <c r="VEI21" s="29"/>
      <c r="VEJ21" s="29"/>
      <c r="VEK21" s="29"/>
      <c r="VEL21" s="29"/>
      <c r="VEM21" s="29"/>
      <c r="VEN21" s="29"/>
      <c r="VEO21" s="29"/>
      <c r="VEP21" s="29"/>
      <c r="VEQ21" s="29"/>
      <c r="VER21" s="29"/>
      <c r="VES21" s="29"/>
      <c r="VET21" s="29"/>
      <c r="VEU21" s="29"/>
      <c r="VEV21" s="29"/>
      <c r="VEW21" s="29"/>
      <c r="VEX21" s="29"/>
      <c r="VEY21" s="29"/>
      <c r="VEZ21" s="29"/>
      <c r="VFA21" s="29"/>
      <c r="VFB21" s="29"/>
      <c r="VFC21" s="29"/>
      <c r="VFD21" s="29"/>
      <c r="VFE21" s="29"/>
      <c r="VFF21" s="29"/>
      <c r="VFG21" s="29"/>
      <c r="VFH21" s="29"/>
      <c r="VFI21" s="29"/>
      <c r="VFJ21" s="29"/>
      <c r="VFK21" s="29"/>
      <c r="VFL21" s="29"/>
      <c r="VFM21" s="29"/>
      <c r="VFN21" s="29"/>
      <c r="VFO21" s="29"/>
      <c r="VFP21" s="29"/>
      <c r="VFQ21" s="29"/>
      <c r="VFR21" s="29"/>
      <c r="VFS21" s="29"/>
      <c r="VFT21" s="29"/>
      <c r="VFU21" s="29"/>
      <c r="VFV21" s="29"/>
      <c r="VFW21" s="29"/>
      <c r="VFX21" s="29"/>
      <c r="VFY21" s="29"/>
      <c r="VFZ21" s="29"/>
      <c r="VGA21" s="29"/>
      <c r="VGB21" s="29"/>
      <c r="VGC21" s="29"/>
      <c r="VGD21" s="29"/>
      <c r="VGE21" s="29"/>
      <c r="VGF21" s="29"/>
      <c r="VGG21" s="29"/>
      <c r="VGH21" s="29"/>
      <c r="VGI21" s="29"/>
      <c r="VGJ21" s="29"/>
      <c r="VGK21" s="29"/>
      <c r="VGL21" s="29"/>
      <c r="VGM21" s="29"/>
      <c r="VGN21" s="29"/>
      <c r="VGO21" s="29"/>
      <c r="VGP21" s="29"/>
      <c r="VGQ21" s="29"/>
      <c r="VGR21" s="29"/>
      <c r="VGS21" s="29"/>
      <c r="VGT21" s="29"/>
      <c r="VGU21" s="29"/>
      <c r="VGV21" s="29"/>
      <c r="VGW21" s="29"/>
      <c r="VGX21" s="29"/>
      <c r="VGY21" s="29"/>
      <c r="VGZ21" s="29"/>
      <c r="VHA21" s="29"/>
      <c r="VHB21" s="29"/>
      <c r="VHC21" s="29"/>
      <c r="VHD21" s="29"/>
      <c r="VHE21" s="29"/>
      <c r="VHF21" s="29"/>
      <c r="VHG21" s="29"/>
      <c r="VHH21" s="29"/>
      <c r="VHI21" s="29"/>
      <c r="VHJ21" s="29"/>
      <c r="VHK21" s="29"/>
      <c r="VHL21" s="29"/>
      <c r="VHM21" s="29"/>
      <c r="VHN21" s="29"/>
      <c r="VHO21" s="29"/>
      <c r="VHP21" s="29"/>
      <c r="VHQ21" s="29"/>
      <c r="VHR21" s="29"/>
      <c r="VHS21" s="29"/>
      <c r="VHT21" s="29"/>
      <c r="VHU21" s="29"/>
      <c r="VHV21" s="29"/>
      <c r="VHW21" s="29"/>
      <c r="VHX21" s="29"/>
      <c r="VHY21" s="29"/>
      <c r="VHZ21" s="29"/>
      <c r="VIA21" s="29"/>
      <c r="VIB21" s="29"/>
      <c r="VIC21" s="29"/>
      <c r="VID21" s="29"/>
      <c r="VIE21" s="29"/>
      <c r="VIF21" s="29"/>
      <c r="VIG21" s="29"/>
      <c r="VIH21" s="29"/>
      <c r="VII21" s="29"/>
      <c r="VIJ21" s="29"/>
      <c r="VIK21" s="29"/>
      <c r="VIL21" s="29"/>
      <c r="VIM21" s="29"/>
      <c r="VIN21" s="29"/>
      <c r="VIO21" s="29"/>
      <c r="VIP21" s="29"/>
      <c r="VIQ21" s="29"/>
      <c r="VIR21" s="29"/>
      <c r="VIS21" s="29"/>
      <c r="VIT21" s="29"/>
      <c r="VIU21" s="29"/>
      <c r="VIV21" s="29"/>
      <c r="VIW21" s="29"/>
      <c r="VIX21" s="29"/>
      <c r="VIY21" s="29"/>
      <c r="VIZ21" s="29"/>
      <c r="VJA21" s="29"/>
      <c r="VJB21" s="29"/>
      <c r="VJC21" s="29"/>
      <c r="VJD21" s="29"/>
      <c r="VJE21" s="29"/>
      <c r="VJF21" s="29"/>
      <c r="VJG21" s="29"/>
      <c r="VJH21" s="29"/>
      <c r="VJI21" s="29"/>
      <c r="VJJ21" s="29"/>
      <c r="VJK21" s="29"/>
      <c r="VJL21" s="29"/>
      <c r="VJM21" s="29"/>
      <c r="VJN21" s="29"/>
      <c r="VJO21" s="29"/>
      <c r="VJP21" s="29"/>
      <c r="VJQ21" s="29"/>
      <c r="VJR21" s="29"/>
      <c r="VJS21" s="29"/>
      <c r="VJT21" s="29"/>
      <c r="VJU21" s="29"/>
      <c r="VJV21" s="29"/>
      <c r="VJW21" s="29"/>
      <c r="VJX21" s="29"/>
      <c r="VJY21" s="29"/>
      <c r="VJZ21" s="29"/>
      <c r="VKA21" s="29"/>
      <c r="VKB21" s="29"/>
      <c r="VKC21" s="29"/>
      <c r="VKD21" s="29"/>
      <c r="VKE21" s="29"/>
      <c r="VKF21" s="29"/>
      <c r="VKG21" s="29"/>
      <c r="VKH21" s="29"/>
      <c r="VKI21" s="29"/>
      <c r="VKJ21" s="29"/>
      <c r="VKK21" s="29"/>
      <c r="VKL21" s="29"/>
      <c r="VKM21" s="29"/>
      <c r="VKN21" s="29"/>
      <c r="VKO21" s="29"/>
      <c r="VKP21" s="29"/>
      <c r="VKQ21" s="29"/>
      <c r="VKR21" s="29"/>
      <c r="VKS21" s="29"/>
      <c r="VKT21" s="29"/>
      <c r="VKU21" s="29"/>
      <c r="VKV21" s="29"/>
      <c r="VKW21" s="29"/>
      <c r="VKX21" s="29"/>
      <c r="VKY21" s="29"/>
      <c r="VKZ21" s="29"/>
      <c r="VLA21" s="29"/>
      <c r="VLB21" s="29"/>
      <c r="VLC21" s="29"/>
      <c r="VLD21" s="29"/>
      <c r="VLE21" s="29"/>
      <c r="VLF21" s="29"/>
      <c r="VLG21" s="29"/>
      <c r="VLH21" s="29"/>
      <c r="VLI21" s="29"/>
      <c r="VLJ21" s="29"/>
      <c r="VLK21" s="29"/>
      <c r="VLL21" s="29"/>
      <c r="VLM21" s="29"/>
      <c r="VLN21" s="29"/>
      <c r="VLO21" s="29"/>
      <c r="VLP21" s="29"/>
      <c r="VLQ21" s="29"/>
      <c r="VLR21" s="29"/>
      <c r="VLS21" s="29"/>
      <c r="VLT21" s="29"/>
      <c r="VLU21" s="29"/>
      <c r="VLV21" s="29"/>
      <c r="VLW21" s="29"/>
      <c r="VLX21" s="29"/>
      <c r="VLY21" s="29"/>
      <c r="VLZ21" s="29"/>
      <c r="VMA21" s="29"/>
      <c r="VMB21" s="29"/>
      <c r="VMC21" s="29"/>
      <c r="VMD21" s="29"/>
      <c r="VME21" s="29"/>
      <c r="VMF21" s="29"/>
      <c r="VMG21" s="29"/>
      <c r="VMH21" s="29"/>
      <c r="VMI21" s="29"/>
      <c r="VMJ21" s="29"/>
      <c r="VMK21" s="29"/>
      <c r="VML21" s="29"/>
      <c r="VMM21" s="29"/>
      <c r="VMN21" s="29"/>
      <c r="VMO21" s="29"/>
      <c r="VMP21" s="29"/>
      <c r="VMQ21" s="29"/>
      <c r="VMR21" s="29"/>
      <c r="VMS21" s="29"/>
      <c r="VMT21" s="29"/>
      <c r="VMU21" s="29"/>
      <c r="VMV21" s="29"/>
      <c r="VMW21" s="29"/>
      <c r="VMX21" s="29"/>
      <c r="VMY21" s="29"/>
      <c r="VMZ21" s="29"/>
      <c r="VNA21" s="29"/>
      <c r="VNB21" s="29"/>
      <c r="VNC21" s="29"/>
      <c r="VND21" s="29"/>
      <c r="VNE21" s="29"/>
      <c r="VNF21" s="29"/>
      <c r="VNG21" s="29"/>
      <c r="VNH21" s="29"/>
      <c r="VNI21" s="29"/>
      <c r="VNJ21" s="29"/>
      <c r="VNK21" s="29"/>
      <c r="VNL21" s="29"/>
      <c r="VNM21" s="29"/>
      <c r="VNN21" s="29"/>
      <c r="VNO21" s="29"/>
      <c r="VNP21" s="29"/>
      <c r="VNQ21" s="29"/>
      <c r="VNR21" s="29"/>
      <c r="VNS21" s="29"/>
      <c r="VNT21" s="29"/>
      <c r="VNU21" s="29"/>
      <c r="VNV21" s="29"/>
      <c r="VNW21" s="29"/>
      <c r="VNX21" s="29"/>
      <c r="VNY21" s="29"/>
      <c r="VNZ21" s="29"/>
      <c r="VOA21" s="29"/>
      <c r="VOB21" s="29"/>
      <c r="VOC21" s="29"/>
      <c r="VOD21" s="29"/>
      <c r="VOE21" s="29"/>
      <c r="VOF21" s="29"/>
      <c r="VOG21" s="29"/>
      <c r="VOH21" s="29"/>
      <c r="VOI21" s="29"/>
      <c r="VOJ21" s="29"/>
      <c r="VOK21" s="29"/>
      <c r="VOL21" s="29"/>
      <c r="VOM21" s="29"/>
      <c r="VON21" s="29"/>
      <c r="VOO21" s="29"/>
      <c r="VOP21" s="29"/>
      <c r="VOQ21" s="29"/>
      <c r="VOR21" s="29"/>
      <c r="VOS21" s="29"/>
      <c r="VOT21" s="29"/>
      <c r="VOU21" s="29"/>
      <c r="VOV21" s="29"/>
      <c r="VOW21" s="29"/>
      <c r="VOX21" s="29"/>
      <c r="VOY21" s="29"/>
      <c r="VOZ21" s="29"/>
      <c r="VPA21" s="29"/>
      <c r="VPB21" s="29"/>
      <c r="VPC21" s="29"/>
      <c r="VPD21" s="29"/>
      <c r="VPE21" s="29"/>
      <c r="VPF21" s="29"/>
      <c r="VPG21" s="29"/>
      <c r="VPH21" s="29"/>
      <c r="VPI21" s="29"/>
      <c r="VPJ21" s="29"/>
      <c r="VPK21" s="29"/>
      <c r="VPL21" s="29"/>
      <c r="VPM21" s="29"/>
      <c r="VPN21" s="29"/>
      <c r="VPO21" s="29"/>
      <c r="VPP21" s="29"/>
      <c r="VPQ21" s="29"/>
      <c r="VPR21" s="29"/>
      <c r="VPS21" s="29"/>
      <c r="VPT21" s="29"/>
      <c r="VPU21" s="29"/>
      <c r="VPV21" s="29"/>
      <c r="VPW21" s="29"/>
      <c r="VPX21" s="29"/>
      <c r="VPY21" s="29"/>
      <c r="VPZ21" s="29"/>
      <c r="VQA21" s="29"/>
      <c r="VQB21" s="29"/>
      <c r="VQC21" s="29"/>
      <c r="VQD21" s="29"/>
      <c r="VQE21" s="29"/>
      <c r="VQF21" s="29"/>
      <c r="VQG21" s="29"/>
      <c r="VQH21" s="29"/>
      <c r="VQI21" s="29"/>
      <c r="VQJ21" s="29"/>
      <c r="VQK21" s="29"/>
      <c r="VQL21" s="29"/>
      <c r="VQM21" s="29"/>
      <c r="VQN21" s="29"/>
      <c r="VQO21" s="29"/>
      <c r="VQP21" s="29"/>
      <c r="VQQ21" s="29"/>
      <c r="VQR21" s="29"/>
      <c r="VQS21" s="29"/>
      <c r="VQT21" s="29"/>
      <c r="VQU21" s="29"/>
      <c r="VQV21" s="29"/>
      <c r="VQW21" s="29"/>
      <c r="VQX21" s="29"/>
      <c r="VQY21" s="29"/>
      <c r="VQZ21" s="29"/>
      <c r="VRA21" s="29"/>
      <c r="VRB21" s="29"/>
      <c r="VRC21" s="29"/>
      <c r="VRD21" s="29"/>
      <c r="VRE21" s="29"/>
      <c r="VRF21" s="29"/>
      <c r="VRG21" s="29"/>
      <c r="VRH21" s="29"/>
      <c r="VRI21" s="29"/>
      <c r="VRJ21" s="29"/>
      <c r="VRK21" s="29"/>
      <c r="VRL21" s="29"/>
      <c r="VRM21" s="29"/>
      <c r="VRN21" s="29"/>
      <c r="VRO21" s="29"/>
      <c r="VRP21" s="29"/>
      <c r="VRQ21" s="29"/>
      <c r="VRR21" s="29"/>
      <c r="VRS21" s="29"/>
      <c r="VRT21" s="29"/>
      <c r="VRU21" s="29"/>
      <c r="VRV21" s="29"/>
      <c r="VRW21" s="29"/>
      <c r="VRX21" s="29"/>
      <c r="VRY21" s="29"/>
      <c r="VRZ21" s="29"/>
      <c r="VSA21" s="29"/>
      <c r="VSB21" s="29"/>
      <c r="VSC21" s="29"/>
      <c r="VSD21" s="29"/>
      <c r="VSE21" s="29"/>
      <c r="VSF21" s="29"/>
      <c r="VSG21" s="29"/>
      <c r="VSH21" s="29"/>
      <c r="VSI21" s="29"/>
      <c r="VSJ21" s="29"/>
      <c r="VSK21" s="29"/>
      <c r="VSL21" s="29"/>
      <c r="VSM21" s="29"/>
      <c r="VSN21" s="29"/>
      <c r="VSO21" s="29"/>
      <c r="VSP21" s="29"/>
      <c r="VSQ21" s="29"/>
      <c r="VSR21" s="29"/>
      <c r="VSS21" s="29"/>
      <c r="VST21" s="29"/>
      <c r="VSU21" s="29"/>
      <c r="VSV21" s="29"/>
      <c r="VSW21" s="29"/>
      <c r="VSX21" s="29"/>
      <c r="VSY21" s="29"/>
      <c r="VSZ21" s="29"/>
      <c r="VTA21" s="29"/>
      <c r="VTB21" s="29"/>
      <c r="VTC21" s="29"/>
      <c r="VTD21" s="29"/>
      <c r="VTE21" s="29"/>
      <c r="VTF21" s="29"/>
      <c r="VTG21" s="29"/>
      <c r="VTH21" s="29"/>
      <c r="VTI21" s="29"/>
      <c r="VTJ21" s="29"/>
      <c r="VTK21" s="29"/>
      <c r="VTL21" s="29"/>
      <c r="VTM21" s="29"/>
      <c r="VTN21" s="29"/>
      <c r="VTO21" s="29"/>
      <c r="VTP21" s="29"/>
      <c r="VTQ21" s="29"/>
      <c r="VTR21" s="29"/>
      <c r="VTS21" s="29"/>
      <c r="VTT21" s="29"/>
      <c r="VTU21" s="29"/>
      <c r="VTV21" s="29"/>
      <c r="VTW21" s="29"/>
      <c r="VTX21" s="29"/>
      <c r="VTY21" s="29"/>
      <c r="VTZ21" s="29"/>
      <c r="VUA21" s="29"/>
      <c r="VUB21" s="29"/>
      <c r="VUC21" s="29"/>
      <c r="VUD21" s="29"/>
      <c r="VUE21" s="29"/>
      <c r="VUF21" s="29"/>
      <c r="VUG21" s="29"/>
      <c r="VUH21" s="29"/>
      <c r="VUI21" s="29"/>
      <c r="VUJ21" s="29"/>
      <c r="VUK21" s="29"/>
      <c r="VUL21" s="29"/>
      <c r="VUM21" s="29"/>
      <c r="VUN21" s="29"/>
      <c r="VUO21" s="29"/>
      <c r="VUP21" s="29"/>
      <c r="VUQ21" s="29"/>
      <c r="VUR21" s="29"/>
      <c r="VUS21" s="29"/>
      <c r="VUT21" s="29"/>
      <c r="VUU21" s="29"/>
      <c r="VUV21" s="29"/>
      <c r="VUW21" s="29"/>
      <c r="VUX21" s="29"/>
      <c r="VUY21" s="29"/>
      <c r="VUZ21" s="29"/>
      <c r="VVA21" s="29"/>
      <c r="VVB21" s="29"/>
      <c r="VVC21" s="29"/>
      <c r="VVD21" s="29"/>
      <c r="VVE21" s="29"/>
      <c r="VVF21" s="29"/>
      <c r="VVG21" s="29"/>
      <c r="VVH21" s="29"/>
      <c r="VVI21" s="29"/>
      <c r="VVJ21" s="29"/>
      <c r="VVK21" s="29"/>
      <c r="VVL21" s="29"/>
      <c r="VVM21" s="29"/>
      <c r="VVN21" s="29"/>
      <c r="VVO21" s="29"/>
      <c r="VVP21" s="29"/>
      <c r="VVQ21" s="29"/>
      <c r="VVR21" s="29"/>
      <c r="VVS21" s="29"/>
      <c r="VVT21" s="29"/>
      <c r="VVU21" s="29"/>
      <c r="VVV21" s="29"/>
      <c r="VVW21" s="29"/>
      <c r="VVX21" s="29"/>
      <c r="VVY21" s="29"/>
      <c r="VVZ21" s="29"/>
      <c r="VWA21" s="29"/>
      <c r="VWB21" s="29"/>
      <c r="VWC21" s="29"/>
      <c r="VWD21" s="29"/>
      <c r="VWE21" s="29"/>
      <c r="VWF21" s="29"/>
      <c r="VWG21" s="29"/>
      <c r="VWH21" s="29"/>
      <c r="VWI21" s="29"/>
      <c r="VWJ21" s="29"/>
      <c r="VWK21" s="29"/>
      <c r="VWL21" s="29"/>
      <c r="VWM21" s="29"/>
      <c r="VWN21" s="29"/>
      <c r="VWO21" s="29"/>
      <c r="VWP21" s="29"/>
      <c r="VWQ21" s="29"/>
      <c r="VWR21" s="29"/>
      <c r="VWS21" s="29"/>
      <c r="VWT21" s="29"/>
      <c r="VWU21" s="29"/>
      <c r="VWV21" s="29"/>
      <c r="VWW21" s="29"/>
      <c r="VWX21" s="29"/>
      <c r="VWY21" s="29"/>
      <c r="VWZ21" s="29"/>
      <c r="VXA21" s="29"/>
      <c r="VXB21" s="29"/>
      <c r="VXC21" s="29"/>
      <c r="VXD21" s="29"/>
      <c r="VXE21" s="29"/>
      <c r="VXF21" s="29"/>
      <c r="VXG21" s="29"/>
      <c r="VXH21" s="29"/>
      <c r="VXI21" s="29"/>
      <c r="VXJ21" s="29"/>
      <c r="VXK21" s="29"/>
      <c r="VXL21" s="29"/>
      <c r="VXM21" s="29"/>
      <c r="VXN21" s="29"/>
      <c r="VXO21" s="29"/>
      <c r="VXP21" s="29"/>
      <c r="VXQ21" s="29"/>
      <c r="VXR21" s="29"/>
      <c r="VXS21" s="29"/>
      <c r="VXT21" s="29"/>
      <c r="VXU21" s="29"/>
      <c r="VXV21" s="29"/>
      <c r="VXW21" s="29"/>
      <c r="VXX21" s="29"/>
      <c r="VXY21" s="29"/>
      <c r="VXZ21" s="29"/>
      <c r="VYA21" s="29"/>
      <c r="VYB21" s="29"/>
      <c r="VYC21" s="29"/>
      <c r="VYD21" s="29"/>
      <c r="VYE21" s="29"/>
      <c r="VYF21" s="29"/>
      <c r="VYG21" s="29"/>
      <c r="VYH21" s="29"/>
      <c r="VYI21" s="29"/>
      <c r="VYJ21" s="29"/>
      <c r="VYK21" s="29"/>
      <c r="VYL21" s="29"/>
      <c r="VYM21" s="29"/>
      <c r="VYN21" s="29"/>
      <c r="VYO21" s="29"/>
      <c r="VYP21" s="29"/>
      <c r="VYQ21" s="29"/>
      <c r="VYR21" s="29"/>
      <c r="VYS21" s="29"/>
      <c r="VYT21" s="29"/>
      <c r="VYU21" s="29"/>
      <c r="VYV21" s="29"/>
      <c r="VYW21" s="29"/>
      <c r="VYX21" s="29"/>
      <c r="VYY21" s="29"/>
      <c r="VYZ21" s="29"/>
      <c r="VZA21" s="29"/>
      <c r="VZB21" s="29"/>
      <c r="VZC21" s="29"/>
      <c r="VZD21" s="29"/>
      <c r="VZE21" s="29"/>
      <c r="VZF21" s="29"/>
      <c r="VZG21" s="29"/>
      <c r="VZH21" s="29"/>
      <c r="VZI21" s="29"/>
      <c r="VZJ21" s="29"/>
      <c r="VZK21" s="29"/>
      <c r="VZL21" s="29"/>
      <c r="VZM21" s="29"/>
      <c r="VZN21" s="29"/>
      <c r="VZO21" s="29"/>
      <c r="VZP21" s="29"/>
      <c r="VZQ21" s="29"/>
      <c r="VZR21" s="29"/>
      <c r="VZS21" s="29"/>
      <c r="VZT21" s="29"/>
      <c r="VZU21" s="29"/>
      <c r="VZV21" s="29"/>
      <c r="VZW21" s="29"/>
      <c r="VZX21" s="29"/>
      <c r="VZY21" s="29"/>
      <c r="VZZ21" s="29"/>
      <c r="WAA21" s="29"/>
      <c r="WAB21" s="29"/>
      <c r="WAC21" s="29"/>
      <c r="WAD21" s="29"/>
      <c r="WAE21" s="29"/>
      <c r="WAF21" s="29"/>
      <c r="WAG21" s="29"/>
      <c r="WAH21" s="29"/>
      <c r="WAI21" s="29"/>
      <c r="WAJ21" s="29"/>
      <c r="WAK21" s="29"/>
      <c r="WAL21" s="29"/>
      <c r="WAM21" s="29"/>
      <c r="WAN21" s="29"/>
      <c r="WAO21" s="29"/>
      <c r="WAP21" s="29"/>
      <c r="WAQ21" s="29"/>
      <c r="WAR21" s="29"/>
      <c r="WAS21" s="29"/>
      <c r="WAT21" s="29"/>
      <c r="WAU21" s="29"/>
      <c r="WAV21" s="29"/>
      <c r="WAW21" s="29"/>
      <c r="WAX21" s="29"/>
      <c r="WAY21" s="29"/>
      <c r="WAZ21" s="29"/>
      <c r="WBA21" s="29"/>
      <c r="WBB21" s="29"/>
      <c r="WBC21" s="29"/>
      <c r="WBD21" s="29"/>
      <c r="WBE21" s="29"/>
      <c r="WBF21" s="29"/>
      <c r="WBG21" s="29"/>
      <c r="WBH21" s="29"/>
      <c r="WBI21" s="29"/>
      <c r="WBJ21" s="29"/>
      <c r="WBK21" s="29"/>
      <c r="WBL21" s="29"/>
      <c r="WBM21" s="29"/>
      <c r="WBN21" s="29"/>
      <c r="WBO21" s="29"/>
      <c r="WBP21" s="29"/>
      <c r="WBQ21" s="29"/>
      <c r="WBR21" s="29"/>
      <c r="WBS21" s="29"/>
      <c r="WBT21" s="29"/>
      <c r="WBU21" s="29"/>
      <c r="WBV21" s="29"/>
      <c r="WBW21" s="29"/>
      <c r="WBX21" s="29"/>
      <c r="WBY21" s="29"/>
      <c r="WBZ21" s="29"/>
      <c r="WCA21" s="29"/>
      <c r="WCB21" s="29"/>
      <c r="WCC21" s="29"/>
      <c r="WCD21" s="29"/>
      <c r="WCE21" s="29"/>
      <c r="WCF21" s="29"/>
      <c r="WCG21" s="29"/>
      <c r="WCH21" s="29"/>
      <c r="WCI21" s="29"/>
      <c r="WCJ21" s="29"/>
      <c r="WCK21" s="29"/>
      <c r="WCL21" s="29"/>
      <c r="WCM21" s="29"/>
      <c r="WCN21" s="29"/>
      <c r="WCO21" s="29"/>
      <c r="WCP21" s="29"/>
      <c r="WCQ21" s="29"/>
      <c r="WCR21" s="29"/>
      <c r="WCS21" s="29"/>
      <c r="WCT21" s="29"/>
      <c r="WCU21" s="29"/>
      <c r="WCV21" s="29"/>
      <c r="WCW21" s="29"/>
      <c r="WCX21" s="29"/>
      <c r="WCY21" s="29"/>
      <c r="WCZ21" s="29"/>
      <c r="WDA21" s="29"/>
      <c r="WDB21" s="29"/>
      <c r="WDC21" s="29"/>
      <c r="WDD21" s="29"/>
      <c r="WDE21" s="29"/>
      <c r="WDF21" s="29"/>
      <c r="WDG21" s="29"/>
      <c r="WDH21" s="29"/>
      <c r="WDI21" s="29"/>
      <c r="WDJ21" s="29"/>
      <c r="WDK21" s="29"/>
      <c r="WDL21" s="29"/>
      <c r="WDM21" s="29"/>
      <c r="WDN21" s="29"/>
      <c r="WDO21" s="29"/>
      <c r="WDP21" s="29"/>
      <c r="WDQ21" s="29"/>
      <c r="WDR21" s="29"/>
      <c r="WDS21" s="29"/>
      <c r="WDT21" s="29"/>
      <c r="WDU21" s="29"/>
      <c r="WDV21" s="29"/>
      <c r="WDW21" s="29"/>
      <c r="WDX21" s="29"/>
      <c r="WDY21" s="29"/>
      <c r="WDZ21" s="29"/>
      <c r="WEA21" s="29"/>
      <c r="WEB21" s="29"/>
      <c r="WEC21" s="29"/>
      <c r="WED21" s="29"/>
      <c r="WEE21" s="29"/>
      <c r="WEF21" s="29"/>
      <c r="WEG21" s="29"/>
      <c r="WEH21" s="29"/>
      <c r="WEI21" s="29"/>
      <c r="WEJ21" s="29"/>
      <c r="WEK21" s="29"/>
      <c r="WEL21" s="29"/>
      <c r="WEM21" s="29"/>
      <c r="WEN21" s="29"/>
      <c r="WEO21" s="29"/>
      <c r="WEP21" s="29"/>
      <c r="WEQ21" s="29"/>
      <c r="WER21" s="29"/>
      <c r="WES21" s="29"/>
      <c r="WET21" s="29"/>
      <c r="WEU21" s="29"/>
      <c r="WEV21" s="29"/>
      <c r="WEW21" s="29"/>
      <c r="WEX21" s="29"/>
      <c r="WEY21" s="29"/>
      <c r="WEZ21" s="29"/>
      <c r="WFA21" s="29"/>
      <c r="WFB21" s="29"/>
      <c r="WFC21" s="29"/>
      <c r="WFD21" s="29"/>
      <c r="WFE21" s="29"/>
      <c r="WFF21" s="29"/>
      <c r="WFG21" s="29"/>
      <c r="WFH21" s="29"/>
      <c r="WFI21" s="29"/>
      <c r="WFJ21" s="29"/>
      <c r="WFK21" s="29"/>
      <c r="WFL21" s="29"/>
      <c r="WFM21" s="29"/>
      <c r="WFN21" s="29"/>
      <c r="WFO21" s="29"/>
      <c r="WFP21" s="29"/>
      <c r="WFQ21" s="29"/>
      <c r="WFR21" s="29"/>
      <c r="WFS21" s="29"/>
      <c r="WFT21" s="29"/>
      <c r="WFU21" s="29"/>
      <c r="WFV21" s="29"/>
      <c r="WFW21" s="29"/>
      <c r="WFX21" s="29"/>
      <c r="WFY21" s="29"/>
      <c r="WFZ21" s="29"/>
      <c r="WGA21" s="29"/>
      <c r="WGB21" s="29"/>
      <c r="WGC21" s="29"/>
      <c r="WGD21" s="29"/>
      <c r="WGE21" s="29"/>
      <c r="WGF21" s="29"/>
      <c r="WGG21" s="29"/>
      <c r="WGH21" s="29"/>
      <c r="WGI21" s="29"/>
      <c r="WGJ21" s="29"/>
      <c r="WGK21" s="29"/>
      <c r="WGL21" s="29"/>
      <c r="WGM21" s="29"/>
      <c r="WGN21" s="29"/>
      <c r="WGO21" s="29"/>
      <c r="WGP21" s="29"/>
      <c r="WGQ21" s="29"/>
      <c r="WGR21" s="29"/>
      <c r="WGS21" s="29"/>
      <c r="WGT21" s="29"/>
      <c r="WGU21" s="29"/>
      <c r="WGV21" s="29"/>
      <c r="WGW21" s="29"/>
      <c r="WGX21" s="29"/>
      <c r="WGY21" s="29"/>
      <c r="WGZ21" s="29"/>
      <c r="WHA21" s="29"/>
      <c r="WHB21" s="29"/>
      <c r="WHC21" s="29"/>
      <c r="WHD21" s="29"/>
      <c r="WHE21" s="29"/>
      <c r="WHF21" s="29"/>
      <c r="WHG21" s="29"/>
      <c r="WHH21" s="29"/>
      <c r="WHI21" s="29"/>
      <c r="WHJ21" s="29"/>
      <c r="WHK21" s="29"/>
      <c r="WHL21" s="29"/>
      <c r="WHM21" s="29"/>
      <c r="WHN21" s="29"/>
      <c r="WHO21" s="29"/>
      <c r="WHP21" s="29"/>
      <c r="WHQ21" s="29"/>
      <c r="WHR21" s="29"/>
      <c r="WHS21" s="29"/>
      <c r="WHT21" s="29"/>
      <c r="WHU21" s="29"/>
      <c r="WHV21" s="29"/>
      <c r="WHW21" s="29"/>
      <c r="WHX21" s="29"/>
      <c r="WHY21" s="29"/>
      <c r="WHZ21" s="29"/>
      <c r="WIA21" s="29"/>
      <c r="WIB21" s="29"/>
      <c r="WIC21" s="29"/>
      <c r="WID21" s="29"/>
      <c r="WIE21" s="29"/>
      <c r="WIF21" s="29"/>
      <c r="WIG21" s="29"/>
      <c r="WIH21" s="29"/>
      <c r="WII21" s="29"/>
      <c r="WIJ21" s="29"/>
      <c r="WIK21" s="29"/>
      <c r="WIL21" s="29"/>
      <c r="WIM21" s="29"/>
      <c r="WIN21" s="29"/>
      <c r="WIO21" s="29"/>
      <c r="WIP21" s="29"/>
      <c r="WIQ21" s="29"/>
      <c r="WIR21" s="29"/>
      <c r="WIS21" s="29"/>
      <c r="WIT21" s="29"/>
      <c r="WIU21" s="29"/>
      <c r="WIV21" s="29"/>
      <c r="WIW21" s="29"/>
      <c r="WIX21" s="29"/>
      <c r="WIY21" s="29"/>
      <c r="WIZ21" s="29"/>
      <c r="WJA21" s="29"/>
      <c r="WJB21" s="29"/>
      <c r="WJC21" s="29"/>
      <c r="WJD21" s="29"/>
      <c r="WJE21" s="29"/>
      <c r="WJF21" s="29"/>
      <c r="WJG21" s="29"/>
      <c r="WJH21" s="29"/>
      <c r="WJI21" s="29"/>
      <c r="WJJ21" s="29"/>
      <c r="WJK21" s="29"/>
      <c r="WJL21" s="29"/>
      <c r="WJM21" s="29"/>
      <c r="WJN21" s="29"/>
      <c r="WJO21" s="29"/>
      <c r="WJP21" s="29"/>
      <c r="WJQ21" s="29"/>
      <c r="WJR21" s="29"/>
      <c r="WJS21" s="29"/>
      <c r="WJT21" s="29"/>
      <c r="WJU21" s="29"/>
      <c r="WJV21" s="29"/>
      <c r="WJW21" s="29"/>
      <c r="WJX21" s="29"/>
      <c r="WJY21" s="29"/>
      <c r="WJZ21" s="29"/>
      <c r="WKA21" s="29"/>
      <c r="WKB21" s="29"/>
      <c r="WKC21" s="29"/>
      <c r="WKD21" s="29"/>
      <c r="WKE21" s="29"/>
      <c r="WKF21" s="29"/>
      <c r="WKG21" s="29"/>
      <c r="WKH21" s="29"/>
      <c r="WKI21" s="29"/>
      <c r="WKJ21" s="29"/>
      <c r="WKK21" s="29"/>
      <c r="WKL21" s="29"/>
      <c r="WKM21" s="29"/>
      <c r="WKN21" s="29"/>
      <c r="WKO21" s="29"/>
      <c r="WKP21" s="29"/>
      <c r="WKQ21" s="29"/>
      <c r="WKR21" s="29"/>
      <c r="WKS21" s="29"/>
      <c r="WKT21" s="29"/>
      <c r="WKU21" s="29"/>
      <c r="WKV21" s="29"/>
      <c r="WKW21" s="29"/>
      <c r="WKX21" s="29"/>
      <c r="WKY21" s="29"/>
      <c r="WKZ21" s="29"/>
      <c r="WLA21" s="29"/>
      <c r="WLB21" s="29"/>
      <c r="WLC21" s="29"/>
      <c r="WLD21" s="29"/>
      <c r="WLE21" s="29"/>
      <c r="WLF21" s="29"/>
      <c r="WLG21" s="29"/>
      <c r="WLH21" s="29"/>
      <c r="WLI21" s="29"/>
      <c r="WLJ21" s="29"/>
      <c r="WLK21" s="29"/>
      <c r="WLL21" s="29"/>
      <c r="WLM21" s="29"/>
      <c r="WLN21" s="29"/>
      <c r="WLO21" s="29"/>
      <c r="WLP21" s="29"/>
      <c r="WLQ21" s="29"/>
      <c r="WLR21" s="29"/>
      <c r="WLS21" s="29"/>
      <c r="WLT21" s="29"/>
      <c r="WLU21" s="29"/>
      <c r="WLV21" s="29"/>
      <c r="WLW21" s="29"/>
      <c r="WLX21" s="29"/>
      <c r="WLY21" s="29"/>
      <c r="WLZ21" s="29"/>
      <c r="WMA21" s="29"/>
      <c r="WMB21" s="29"/>
      <c r="WMC21" s="29"/>
      <c r="WMD21" s="29"/>
      <c r="WME21" s="29"/>
      <c r="WMF21" s="29"/>
      <c r="WMG21" s="29"/>
      <c r="WMH21" s="29"/>
      <c r="WMI21" s="29"/>
      <c r="WMJ21" s="29"/>
      <c r="WMK21" s="29"/>
      <c r="WML21" s="29"/>
      <c r="WMM21" s="29"/>
      <c r="WMN21" s="29"/>
      <c r="WMO21" s="29"/>
      <c r="WMP21" s="29"/>
      <c r="WMQ21" s="29"/>
      <c r="WMR21" s="29"/>
      <c r="WMS21" s="29"/>
      <c r="WMT21" s="29"/>
      <c r="WMU21" s="29"/>
      <c r="WMV21" s="29"/>
      <c r="WMW21" s="29"/>
      <c r="WMX21" s="29"/>
      <c r="WMY21" s="29"/>
      <c r="WMZ21" s="29"/>
      <c r="WNA21" s="29"/>
      <c r="WNB21" s="29"/>
      <c r="WNC21" s="29"/>
      <c r="WND21" s="29"/>
      <c r="WNE21" s="29"/>
      <c r="WNF21" s="29"/>
      <c r="WNG21" s="29"/>
      <c r="WNH21" s="29"/>
      <c r="WNI21" s="29"/>
      <c r="WNJ21" s="29"/>
      <c r="WNK21" s="29"/>
      <c r="WNL21" s="29"/>
      <c r="WNM21" s="29"/>
      <c r="WNN21" s="29"/>
      <c r="WNO21" s="29"/>
      <c r="WNP21" s="29"/>
      <c r="WNQ21" s="29"/>
      <c r="WNR21" s="29"/>
      <c r="WNS21" s="29"/>
      <c r="WNT21" s="29"/>
      <c r="WNU21" s="29"/>
      <c r="WNV21" s="29"/>
      <c r="WNW21" s="29"/>
      <c r="WNX21" s="29"/>
      <c r="WNY21" s="29"/>
      <c r="WNZ21" s="29"/>
      <c r="WOA21" s="29"/>
      <c r="WOB21" s="29"/>
      <c r="WOC21" s="29"/>
      <c r="WOD21" s="29"/>
      <c r="WOE21" s="29"/>
      <c r="WOF21" s="29"/>
      <c r="WOG21" s="29"/>
      <c r="WOH21" s="29"/>
      <c r="WOI21" s="29"/>
      <c r="WOJ21" s="29"/>
      <c r="WOK21" s="29"/>
      <c r="WOL21" s="29"/>
      <c r="WOM21" s="29"/>
      <c r="WON21" s="29"/>
      <c r="WOO21" s="29"/>
      <c r="WOP21" s="29"/>
      <c r="WOQ21" s="29"/>
      <c r="WOR21" s="29"/>
      <c r="WOS21" s="29"/>
      <c r="WOT21" s="29"/>
      <c r="WOU21" s="29"/>
      <c r="WOV21" s="29"/>
      <c r="WOW21" s="29"/>
      <c r="WOX21" s="29"/>
      <c r="WOY21" s="29"/>
      <c r="WOZ21" s="29"/>
      <c r="WPA21" s="29"/>
      <c r="WPB21" s="29"/>
      <c r="WPC21" s="29"/>
      <c r="WPD21" s="29"/>
      <c r="WPE21" s="29"/>
      <c r="WPF21" s="29"/>
      <c r="WPG21" s="29"/>
      <c r="WPH21" s="29"/>
      <c r="WPI21" s="29"/>
      <c r="WPJ21" s="29"/>
      <c r="WPK21" s="29"/>
      <c r="WPL21" s="29"/>
      <c r="WPM21" s="29"/>
      <c r="WPN21" s="29"/>
      <c r="WPO21" s="29"/>
      <c r="WPP21" s="29"/>
      <c r="WPQ21" s="29"/>
      <c r="WPR21" s="29"/>
      <c r="WPS21" s="29"/>
      <c r="WPT21" s="29"/>
      <c r="WPU21" s="29"/>
      <c r="WPV21" s="29"/>
      <c r="WPW21" s="29"/>
      <c r="WPX21" s="29"/>
      <c r="WPY21" s="29"/>
      <c r="WPZ21" s="29"/>
      <c r="WQA21" s="29"/>
      <c r="WQB21" s="29"/>
      <c r="WQC21" s="29"/>
      <c r="WQD21" s="29"/>
      <c r="WQE21" s="29"/>
      <c r="WQF21" s="29"/>
      <c r="WQG21" s="29"/>
      <c r="WQH21" s="29"/>
      <c r="WQI21" s="29"/>
      <c r="WQJ21" s="29"/>
      <c r="WQK21" s="29"/>
      <c r="WQL21" s="29"/>
      <c r="WQM21" s="29"/>
      <c r="WQN21" s="29"/>
      <c r="WQO21" s="29"/>
      <c r="WQP21" s="29"/>
      <c r="WQQ21" s="29"/>
      <c r="WQR21" s="29"/>
      <c r="WQS21" s="29"/>
      <c r="WQT21" s="29"/>
      <c r="WQU21" s="29"/>
      <c r="WQV21" s="29"/>
      <c r="WQW21" s="29"/>
      <c r="WQX21" s="29"/>
      <c r="WQY21" s="29"/>
      <c r="WQZ21" s="29"/>
      <c r="WRA21" s="29"/>
      <c r="WRB21" s="29"/>
      <c r="WRC21" s="29"/>
      <c r="WRD21" s="29"/>
      <c r="WRE21" s="29"/>
      <c r="WRF21" s="29"/>
      <c r="WRG21" s="29"/>
      <c r="WRH21" s="29"/>
      <c r="WRI21" s="29"/>
      <c r="WRJ21" s="29"/>
      <c r="WRK21" s="29"/>
      <c r="WRL21" s="29"/>
      <c r="WRM21" s="29"/>
      <c r="WRN21" s="29"/>
      <c r="WRO21" s="29"/>
      <c r="WRP21" s="29"/>
      <c r="WRQ21" s="29"/>
      <c r="WRR21" s="29"/>
      <c r="WRS21" s="29"/>
      <c r="WRT21" s="29"/>
      <c r="WRU21" s="29"/>
      <c r="WRV21" s="29"/>
      <c r="WRW21" s="29"/>
      <c r="WRX21" s="29"/>
      <c r="WRY21" s="29"/>
      <c r="WRZ21" s="29"/>
      <c r="WSA21" s="29"/>
      <c r="WSB21" s="29"/>
      <c r="WSC21" s="29"/>
      <c r="WSD21" s="29"/>
      <c r="WSE21" s="29"/>
      <c r="WSF21" s="29"/>
      <c r="WSG21" s="29"/>
      <c r="WSH21" s="29"/>
      <c r="WSI21" s="29"/>
      <c r="WSJ21" s="29"/>
      <c r="WSK21" s="29"/>
      <c r="WSL21" s="29"/>
      <c r="WSM21" s="29"/>
      <c r="WSN21" s="29"/>
      <c r="WSO21" s="29"/>
      <c r="WSP21" s="29"/>
      <c r="WSQ21" s="29"/>
      <c r="WSR21" s="29"/>
      <c r="WSS21" s="29"/>
      <c r="WST21" s="29"/>
      <c r="WSU21" s="29"/>
      <c r="WSV21" s="29"/>
      <c r="WSW21" s="29"/>
      <c r="WSX21" s="29"/>
      <c r="WSY21" s="29"/>
      <c r="WSZ21" s="29"/>
      <c r="WTA21" s="29"/>
      <c r="WTB21" s="29"/>
      <c r="WTC21" s="29"/>
      <c r="WTD21" s="29"/>
      <c r="WTE21" s="29"/>
      <c r="WTF21" s="29"/>
      <c r="WTG21" s="29"/>
      <c r="WTH21" s="29"/>
      <c r="WTI21" s="29"/>
      <c r="WTJ21" s="29"/>
      <c r="WTK21" s="29"/>
      <c r="WTL21" s="29"/>
      <c r="WTM21" s="29"/>
      <c r="WTN21" s="29"/>
      <c r="WTO21" s="29"/>
      <c r="WTP21" s="29"/>
      <c r="WTQ21" s="29"/>
      <c r="WTR21" s="29"/>
      <c r="WTS21" s="29"/>
      <c r="WTT21" s="29"/>
      <c r="WTU21" s="29"/>
      <c r="WTV21" s="29"/>
      <c r="WTW21" s="29"/>
      <c r="WTX21" s="29"/>
      <c r="WTY21" s="29"/>
      <c r="WTZ21" s="29"/>
      <c r="WUA21" s="29"/>
      <c r="WUB21" s="29"/>
      <c r="WUC21" s="29"/>
      <c r="WUD21" s="29"/>
      <c r="WUE21" s="29"/>
      <c r="WUF21" s="29"/>
      <c r="WUG21" s="29"/>
      <c r="WUH21" s="29"/>
      <c r="WUI21" s="29"/>
      <c r="WUJ21" s="29"/>
      <c r="WUK21" s="29"/>
      <c r="WUL21" s="29"/>
      <c r="WUM21" s="29"/>
      <c r="WUN21" s="29"/>
      <c r="WUO21" s="29"/>
      <c r="WUP21" s="29"/>
      <c r="WUQ21" s="29"/>
      <c r="WUR21" s="29"/>
      <c r="WUS21" s="29"/>
      <c r="WUT21" s="29"/>
      <c r="WUU21" s="29"/>
      <c r="WUV21" s="29"/>
      <c r="WUW21" s="29"/>
      <c r="WUX21" s="29"/>
      <c r="WUY21" s="29"/>
      <c r="WUZ21" s="29"/>
      <c r="WVA21" s="29"/>
      <c r="WVB21" s="29"/>
      <c r="WVC21" s="29"/>
      <c r="WVD21" s="29"/>
      <c r="WVE21" s="29"/>
      <c r="WVF21" s="29"/>
      <c r="WVG21" s="29"/>
      <c r="WVH21" s="29"/>
      <c r="WVI21" s="29"/>
      <c r="WVJ21" s="29"/>
      <c r="WVK21" s="29"/>
      <c r="WVL21" s="29"/>
      <c r="WVM21" s="29"/>
      <c r="WVN21" s="29"/>
      <c r="WVO21" s="29"/>
      <c r="WVP21" s="29"/>
      <c r="WVQ21" s="29"/>
      <c r="WVR21" s="29"/>
      <c r="WVS21" s="29"/>
      <c r="WVT21" s="29"/>
      <c r="WVU21" s="29"/>
      <c r="WVV21" s="29"/>
      <c r="WVW21" s="29"/>
      <c r="WVX21" s="29"/>
      <c r="WVY21" s="29"/>
      <c r="WVZ21" s="29"/>
      <c r="WWA21" s="29"/>
      <c r="WWB21" s="29"/>
      <c r="WWC21" s="29"/>
      <c r="WWD21" s="29"/>
      <c r="WWE21" s="29"/>
      <c r="WWF21" s="29"/>
      <c r="WWG21" s="29"/>
      <c r="WWH21" s="29"/>
      <c r="WWI21" s="29"/>
      <c r="WWJ21" s="29"/>
      <c r="WWK21" s="29"/>
      <c r="WWL21" s="29"/>
      <c r="WWM21" s="29"/>
      <c r="WWN21" s="29"/>
      <c r="WWO21" s="29"/>
      <c r="WWP21" s="29"/>
      <c r="WWQ21" s="29"/>
      <c r="WWR21" s="29"/>
      <c r="WWS21" s="29"/>
      <c r="WWT21" s="29"/>
      <c r="WWU21" s="29"/>
      <c r="WWV21" s="29"/>
      <c r="WWW21" s="29"/>
      <c r="WWX21" s="29"/>
      <c r="WWY21" s="29"/>
      <c r="WWZ21" s="29"/>
      <c r="WXA21" s="29"/>
      <c r="WXB21" s="29"/>
      <c r="WXC21" s="29"/>
      <c r="WXD21" s="29"/>
      <c r="WXE21" s="29"/>
      <c r="WXF21" s="29"/>
      <c r="WXG21" s="29"/>
      <c r="WXH21" s="29"/>
      <c r="WXI21" s="29"/>
      <c r="WXJ21" s="29"/>
      <c r="WXK21" s="29"/>
      <c r="WXL21" s="29"/>
      <c r="WXM21" s="29"/>
      <c r="WXN21" s="29"/>
      <c r="WXO21" s="29"/>
      <c r="WXP21" s="29"/>
      <c r="WXQ21" s="29"/>
      <c r="WXR21" s="29"/>
      <c r="WXS21" s="29"/>
      <c r="WXT21" s="29"/>
      <c r="WXU21" s="29"/>
      <c r="WXV21" s="29"/>
      <c r="WXW21" s="29"/>
      <c r="WXX21" s="29"/>
      <c r="WXY21" s="29"/>
      <c r="WXZ21" s="29"/>
      <c r="WYA21" s="29"/>
      <c r="WYB21" s="29"/>
      <c r="WYC21" s="29"/>
      <c r="WYD21" s="29"/>
      <c r="WYE21" s="29"/>
      <c r="WYF21" s="29"/>
      <c r="WYG21" s="29"/>
      <c r="WYH21" s="29"/>
      <c r="WYI21" s="29"/>
      <c r="WYJ21" s="29"/>
      <c r="WYK21" s="29"/>
      <c r="WYL21" s="29"/>
      <c r="WYM21" s="29"/>
      <c r="WYN21" s="29"/>
      <c r="WYO21" s="29"/>
      <c r="WYP21" s="29"/>
      <c r="WYQ21" s="29"/>
      <c r="WYR21" s="29"/>
      <c r="WYS21" s="29"/>
      <c r="WYT21" s="29"/>
      <c r="WYU21" s="29"/>
      <c r="WYV21" s="29"/>
      <c r="WYW21" s="29"/>
      <c r="WYX21" s="29"/>
      <c r="WYY21" s="29"/>
      <c r="WYZ21" s="29"/>
      <c r="WZA21" s="29"/>
      <c r="WZB21" s="29"/>
      <c r="WZC21" s="29"/>
      <c r="WZD21" s="29"/>
      <c r="WZE21" s="29"/>
      <c r="WZF21" s="29"/>
      <c r="WZG21" s="29"/>
      <c r="WZH21" s="29"/>
      <c r="WZI21" s="29"/>
      <c r="WZJ21" s="29"/>
      <c r="WZK21" s="29"/>
      <c r="WZL21" s="29"/>
      <c r="WZM21" s="29"/>
      <c r="WZN21" s="29"/>
      <c r="WZO21" s="29"/>
      <c r="WZP21" s="29"/>
      <c r="WZQ21" s="29"/>
      <c r="WZR21" s="29"/>
      <c r="WZS21" s="29"/>
      <c r="WZT21" s="29"/>
      <c r="WZU21" s="29"/>
      <c r="WZV21" s="29"/>
      <c r="WZW21" s="29"/>
      <c r="WZX21" s="29"/>
      <c r="WZY21" s="29"/>
      <c r="WZZ21" s="29"/>
      <c r="XAA21" s="29"/>
      <c r="XAB21" s="29"/>
      <c r="XAC21" s="29"/>
      <c r="XAD21" s="29"/>
      <c r="XAE21" s="29"/>
      <c r="XAF21" s="29"/>
      <c r="XAG21" s="29"/>
      <c r="XAH21" s="29"/>
      <c r="XAI21" s="29"/>
      <c r="XAJ21" s="29"/>
      <c r="XAK21" s="29"/>
      <c r="XAL21" s="29"/>
      <c r="XAM21" s="29"/>
      <c r="XAN21" s="29"/>
      <c r="XAO21" s="29"/>
      <c r="XAP21" s="29"/>
      <c r="XAQ21" s="29"/>
      <c r="XAR21" s="29"/>
      <c r="XAS21" s="29"/>
      <c r="XAT21" s="29"/>
      <c r="XAU21" s="29"/>
      <c r="XAV21" s="29"/>
      <c r="XAW21" s="29"/>
      <c r="XAX21" s="29"/>
      <c r="XAY21" s="29"/>
      <c r="XAZ21" s="29"/>
      <c r="XBA21" s="29"/>
      <c r="XBB21" s="29"/>
      <c r="XBC21" s="29"/>
      <c r="XBD21" s="29"/>
      <c r="XBE21" s="29"/>
      <c r="XBF21" s="29"/>
      <c r="XBG21" s="29"/>
      <c r="XBH21" s="29"/>
      <c r="XBI21" s="29"/>
      <c r="XBJ21" s="29"/>
      <c r="XBK21" s="29"/>
      <c r="XBL21" s="29"/>
      <c r="XBM21" s="29"/>
      <c r="XBN21" s="29"/>
      <c r="XBO21" s="29"/>
      <c r="XBP21" s="29"/>
      <c r="XBQ21" s="29"/>
      <c r="XBR21" s="29"/>
      <c r="XBS21" s="29"/>
      <c r="XBT21" s="29"/>
      <c r="XBU21" s="29"/>
      <c r="XBV21" s="29"/>
      <c r="XBW21" s="29"/>
      <c r="XBX21" s="29"/>
      <c r="XBY21" s="29"/>
      <c r="XBZ21" s="29"/>
      <c r="XCA21" s="29"/>
      <c r="XCB21" s="29"/>
      <c r="XCC21" s="29"/>
      <c r="XCD21" s="29"/>
      <c r="XCE21" s="29"/>
      <c r="XCF21" s="29"/>
      <c r="XCG21" s="29"/>
      <c r="XCH21" s="29"/>
      <c r="XCI21" s="29"/>
      <c r="XCJ21" s="29"/>
      <c r="XCK21" s="29"/>
      <c r="XCL21" s="29"/>
      <c r="XCM21" s="29"/>
      <c r="XCN21" s="29"/>
      <c r="XCO21" s="29"/>
      <c r="XCP21" s="29"/>
      <c r="XCQ21" s="29"/>
      <c r="XCR21" s="29"/>
      <c r="XCS21" s="29"/>
      <c r="XCT21" s="29"/>
      <c r="XCU21" s="29"/>
      <c r="XCV21" s="29"/>
      <c r="XCW21" s="29"/>
      <c r="XCX21" s="29"/>
      <c r="XCY21" s="29"/>
      <c r="XCZ21" s="29"/>
      <c r="XDA21" s="29"/>
      <c r="XDB21" s="29"/>
      <c r="XDC21" s="29"/>
      <c r="XDD21" s="29"/>
      <c r="XDE21" s="29"/>
      <c r="XDF21" s="29"/>
      <c r="XDG21" s="29"/>
      <c r="XDH21" s="29"/>
      <c r="XDI21" s="29"/>
      <c r="XDJ21" s="29"/>
      <c r="XDK21" s="29"/>
      <c r="XDL21" s="29"/>
      <c r="XDM21" s="29"/>
      <c r="XDN21" s="29"/>
      <c r="XDO21" s="29"/>
      <c r="XDP21" s="29"/>
      <c r="XDQ21" s="29"/>
      <c r="XDR21" s="29"/>
      <c r="XDS21" s="29"/>
      <c r="XDT21" s="29"/>
      <c r="XDU21" s="29"/>
      <c r="XDV21" s="29"/>
      <c r="XDW21" s="29"/>
      <c r="XDX21" s="29"/>
      <c r="XDY21" s="29"/>
      <c r="XDZ21" s="29"/>
      <c r="XEA21" s="29"/>
      <c r="XEB21" s="29"/>
      <c r="XEC21" s="29"/>
      <c r="XED21" s="29"/>
      <c r="XEE21" s="29"/>
      <c r="XEF21" s="29"/>
      <c r="XEG21" s="29"/>
      <c r="XEH21" s="29"/>
      <c r="XEI21" s="29"/>
      <c r="XEJ21" s="29"/>
      <c r="XEK21" s="29"/>
      <c r="XEL21" s="29"/>
      <c r="XEM21" s="29"/>
      <c r="XEN21" s="29"/>
      <c r="XEO21" s="29"/>
      <c r="XEP21" s="29"/>
      <c r="XEQ21" s="29"/>
      <c r="XER21" s="29"/>
      <c r="XES21" s="29"/>
      <c r="XET21" s="29"/>
      <c r="XEU21" s="29"/>
      <c r="XEV21" s="29"/>
      <c r="XEW21" s="29"/>
      <c r="XEX21" s="29"/>
      <c r="XEY21" s="29"/>
      <c r="XEZ21" s="29"/>
      <c r="XFA21" s="29"/>
      <c r="XFB21" s="29"/>
      <c r="XFC21" s="29"/>
      <c r="XFD21" s="29"/>
    </row>
    <row r="22" spans="2:16384" x14ac:dyDescent="0.25">
      <c r="K22" s="111"/>
    </row>
    <row r="23" spans="2:16384" x14ac:dyDescent="0.25">
      <c r="D23" s="1" t="s">
        <v>129</v>
      </c>
      <c r="E23" s="1"/>
      <c r="F23" s="1"/>
      <c r="G23" s="27">
        <f>G16+G18+G20</f>
        <v>6313.1</v>
      </c>
      <c r="H23" s="27">
        <f t="shared" ref="H23:U23" si="11">H16+H18+H20</f>
        <v>7085.8099999999995</v>
      </c>
      <c r="I23" s="27">
        <f t="shared" si="11"/>
        <v>7964.99</v>
      </c>
      <c r="J23" s="27">
        <f t="shared" si="11"/>
        <v>9714.9599999999991</v>
      </c>
      <c r="K23" s="137">
        <f t="shared" si="11"/>
        <v>11902.92</v>
      </c>
      <c r="L23" s="27">
        <f t="shared" si="11"/>
        <v>12631.890602609541</v>
      </c>
      <c r="M23" s="27">
        <f t="shared" si="11"/>
        <v>14402.704597781852</v>
      </c>
      <c r="N23" s="27">
        <f t="shared" si="11"/>
        <v>16421.761892722003</v>
      </c>
      <c r="O23" s="27">
        <f t="shared" si="11"/>
        <v>18723.862718311168</v>
      </c>
      <c r="P23" s="27">
        <f t="shared" si="11"/>
        <v>21348.68580998843</v>
      </c>
      <c r="Q23" s="27">
        <f t="shared" si="11"/>
        <v>24341.4723057054</v>
      </c>
      <c r="R23" s="27">
        <f t="shared" si="11"/>
        <v>27753.805516787652</v>
      </c>
      <c r="S23" s="27">
        <f t="shared" si="11"/>
        <v>31644.500011740391</v>
      </c>
      <c r="T23" s="27">
        <f t="shared" si="11"/>
        <v>36080.615337141004</v>
      </c>
      <c r="U23" s="27">
        <f t="shared" si="11"/>
        <v>41138.611847990993</v>
      </c>
    </row>
    <row r="24" spans="2:16384" x14ac:dyDescent="0.25">
      <c r="K24" s="111"/>
    </row>
    <row r="25" spans="2:16384" x14ac:dyDescent="0.25">
      <c r="D25" s="1" t="s">
        <v>135</v>
      </c>
      <c r="E25" s="1"/>
      <c r="F25" s="1"/>
      <c r="G25" s="27">
        <f>G13-G23</f>
        <v>35811.729999999996</v>
      </c>
      <c r="H25" s="27">
        <f t="shared" ref="H25:U25" si="12">H13-H23</f>
        <v>37639.990000000005</v>
      </c>
      <c r="I25" s="27">
        <f t="shared" si="12"/>
        <v>44633.840000000004</v>
      </c>
      <c r="J25" s="27">
        <f t="shared" si="12"/>
        <v>53525.02</v>
      </c>
      <c r="K25" s="137">
        <f t="shared" si="12"/>
        <v>59005.22</v>
      </c>
      <c r="L25" s="27">
        <f t="shared" si="12"/>
        <v>68216.576671733535</v>
      </c>
      <c r="M25" s="27">
        <f t="shared" si="12"/>
        <v>77779.584496397219</v>
      </c>
      <c r="N25" s="27">
        <f t="shared" si="12"/>
        <v>88683.191968777814</v>
      </c>
      <c r="O25" s="27">
        <f t="shared" si="12"/>
        <v>101115.33236765223</v>
      </c>
      <c r="P25" s="27">
        <f t="shared" si="12"/>
        <v>115290.28458313046</v>
      </c>
      <c r="Q25" s="27">
        <f t="shared" si="12"/>
        <v>131452.36640206497</v>
      </c>
      <c r="R25" s="27">
        <f t="shared" si="12"/>
        <v>149880.14554030474</v>
      </c>
      <c r="S25" s="27">
        <f t="shared" si="12"/>
        <v>170891.24100264237</v>
      </c>
      <c r="T25" s="27">
        <f t="shared" si="12"/>
        <v>194847.79752612329</v>
      </c>
      <c r="U25" s="27">
        <f t="shared" si="12"/>
        <v>222162.72746356908</v>
      </c>
    </row>
    <row r="26" spans="2:16384" x14ac:dyDescent="0.25">
      <c r="K26" s="111"/>
    </row>
    <row r="27" spans="2:16384" x14ac:dyDescent="0.25">
      <c r="D27" s="1" t="s">
        <v>136</v>
      </c>
      <c r="E27" s="1"/>
      <c r="F27" s="1"/>
      <c r="G27" s="44">
        <f>G25/G13</f>
        <v>0.85013351982666752</v>
      </c>
      <c r="H27" s="44">
        <f t="shared" ref="H27:U27" si="13">H25/H13</f>
        <v>0.84157220217413664</v>
      </c>
      <c r="I27" s="44">
        <f t="shared" si="13"/>
        <v>0.84857096631236861</v>
      </c>
      <c r="J27" s="44">
        <f t="shared" si="13"/>
        <v>0.84637945805801962</v>
      </c>
      <c r="K27" s="141">
        <f t="shared" si="13"/>
        <v>0.83213605659378465</v>
      </c>
      <c r="L27" s="133">
        <f t="shared" si="13"/>
        <v>0.84375844059299543</v>
      </c>
      <c r="M27" s="133">
        <f t="shared" si="13"/>
        <v>0.84375844059299543</v>
      </c>
      <c r="N27" s="133">
        <f t="shared" si="13"/>
        <v>0.84375844059299543</v>
      </c>
      <c r="O27" s="133">
        <f t="shared" si="13"/>
        <v>0.84375844059299532</v>
      </c>
      <c r="P27" s="133">
        <f t="shared" si="13"/>
        <v>0.84375844059299543</v>
      </c>
      <c r="Q27" s="133">
        <f t="shared" si="13"/>
        <v>0.84375844059299543</v>
      </c>
      <c r="R27" s="133">
        <f t="shared" si="13"/>
        <v>0.84375844059299532</v>
      </c>
      <c r="S27" s="133">
        <f t="shared" si="13"/>
        <v>0.84375844059299532</v>
      </c>
      <c r="T27" s="133">
        <f t="shared" si="13"/>
        <v>0.84375844059299532</v>
      </c>
      <c r="U27" s="133">
        <f t="shared" si="13"/>
        <v>0.84375844059299532</v>
      </c>
    </row>
    <row r="28" spans="2:16384" x14ac:dyDescent="0.25">
      <c r="D28" s="1"/>
      <c r="E28" s="1"/>
      <c r="F28" s="1"/>
      <c r="G28" s="44"/>
      <c r="H28" s="44"/>
      <c r="I28" s="44"/>
      <c r="J28" s="44"/>
      <c r="K28" s="141"/>
      <c r="L28" s="44"/>
      <c r="M28" s="44"/>
      <c r="N28" s="44"/>
      <c r="O28" s="44"/>
      <c r="P28" s="44"/>
      <c r="Q28" s="44"/>
      <c r="R28" s="44"/>
      <c r="S28" s="44"/>
      <c r="T28" s="44"/>
      <c r="U28" s="44"/>
    </row>
    <row r="29" spans="2:16384" x14ac:dyDescent="0.25">
      <c r="K29" s="111"/>
    </row>
    <row r="30" spans="2:16384" x14ac:dyDescent="0.25">
      <c r="D30" t="s">
        <v>8</v>
      </c>
      <c r="G30" s="28">
        <f>'Income statement Historical'!G14</f>
        <v>2509.4299999999998</v>
      </c>
      <c r="H30" s="28">
        <f>'Income statement Historical'!H14</f>
        <v>2353.02</v>
      </c>
      <c r="I30" s="28">
        <f>'Income statement Historical'!I14</f>
        <v>2534.6799999999998</v>
      </c>
      <c r="J30" s="28">
        <f>'Income statement Historical'!J14</f>
        <v>2738.97</v>
      </c>
      <c r="K30" s="139">
        <f>'Income statement Historical'!K14</f>
        <v>3037.58</v>
      </c>
      <c r="L30" s="28">
        <f>L$13*L31</f>
        <v>3986.1376709450874</v>
      </c>
      <c r="M30" s="28">
        <f t="shared" ref="M30:U30" si="14">M$13*M31</f>
        <v>4544.9382967939928</v>
      </c>
      <c r="N30" s="28">
        <f t="shared" si="14"/>
        <v>5182.0749374085644</v>
      </c>
      <c r="O30" s="28">
        <f t="shared" si="14"/>
        <v>5908.5292039851793</v>
      </c>
      <c r="P30" s="28">
        <f t="shared" si="14"/>
        <v>6736.8221756754047</v>
      </c>
      <c r="Q30" s="28">
        <f t="shared" si="14"/>
        <v>7681.2302114138301</v>
      </c>
      <c r="R30" s="28">
        <f t="shared" si="14"/>
        <v>8758.0310155390671</v>
      </c>
      <c r="S30" s="28">
        <f t="shared" si="14"/>
        <v>9985.7841983655471</v>
      </c>
      <c r="T30" s="28">
        <f t="shared" si="14"/>
        <v>11385.651167414757</v>
      </c>
      <c r="U30" s="28">
        <f t="shared" si="14"/>
        <v>12981.759862913028</v>
      </c>
    </row>
    <row r="31" spans="2:16384" x14ac:dyDescent="0.25">
      <c r="D31" s="42" t="s">
        <v>134</v>
      </c>
      <c r="E31" s="29"/>
      <c r="F31" s="29"/>
      <c r="G31" s="46">
        <f>G30/G$13</f>
        <v>5.9571278982016071E-2</v>
      </c>
      <c r="H31" s="46">
        <f t="shared" ref="H31:K31" si="15">H30/H$13</f>
        <v>5.2609903009001514E-2</v>
      </c>
      <c r="I31" s="46">
        <f t="shared" si="15"/>
        <v>4.8188904582098117E-2</v>
      </c>
      <c r="J31" s="46">
        <f t="shared" si="15"/>
        <v>4.3310734759878164E-2</v>
      </c>
      <c r="K31" s="142">
        <f t="shared" si="15"/>
        <v>4.2838241138464496E-2</v>
      </c>
      <c r="L31" s="132">
        <f>AVERAGE(G31:K31)</f>
        <v>4.9303812494291673E-2</v>
      </c>
      <c r="M31" s="132">
        <f>L31</f>
        <v>4.9303812494291673E-2</v>
      </c>
      <c r="N31" s="132">
        <f t="shared" ref="N31:U31" si="16">M31</f>
        <v>4.9303812494291673E-2</v>
      </c>
      <c r="O31" s="132">
        <f t="shared" si="16"/>
        <v>4.9303812494291673E-2</v>
      </c>
      <c r="P31" s="132">
        <f t="shared" si="16"/>
        <v>4.9303812494291673E-2</v>
      </c>
      <c r="Q31" s="132">
        <f t="shared" si="16"/>
        <v>4.9303812494291673E-2</v>
      </c>
      <c r="R31" s="132">
        <f t="shared" si="16"/>
        <v>4.9303812494291673E-2</v>
      </c>
      <c r="S31" s="132">
        <f t="shared" si="16"/>
        <v>4.9303812494291673E-2</v>
      </c>
      <c r="T31" s="132">
        <f t="shared" si="16"/>
        <v>4.9303812494291673E-2</v>
      </c>
      <c r="U31" s="132">
        <f t="shared" si="16"/>
        <v>4.9303812494291673E-2</v>
      </c>
    </row>
    <row r="32" spans="2:16384" x14ac:dyDescent="0.25">
      <c r="D32" s="2" t="s">
        <v>9</v>
      </c>
      <c r="G32" s="28">
        <f>'Income statement Historical'!G15</f>
        <v>5839.75</v>
      </c>
      <c r="H32" s="28">
        <f>'Income statement Historical'!H15</f>
        <v>5367.97</v>
      </c>
      <c r="I32" s="28">
        <f>'Income statement Historical'!I15</f>
        <v>6735.22</v>
      </c>
      <c r="J32" s="28">
        <f>'Income statement Historical'!J15</f>
        <v>7665.72</v>
      </c>
      <c r="K32" s="139">
        <f>'Income statement Historical'!K15</f>
        <v>8835.09</v>
      </c>
      <c r="L32" s="28">
        <f t="shared" ref="L32:U32" si="17">L$13*L33</f>
        <v>10227.54920396835</v>
      </c>
      <c r="M32" s="28">
        <f t="shared" si="17"/>
        <v>11661.308237866184</v>
      </c>
      <c r="N32" s="28">
        <f t="shared" si="17"/>
        <v>13296.060190623411</v>
      </c>
      <c r="O32" s="28">
        <f t="shared" si="17"/>
        <v>15159.981452049262</v>
      </c>
      <c r="P32" s="28">
        <f t="shared" si="17"/>
        <v>17285.198346842168</v>
      </c>
      <c r="Q32" s="28">
        <f t="shared" si="17"/>
        <v>19708.340860093038</v>
      </c>
      <c r="R32" s="28">
        <f t="shared" si="17"/>
        <v>22471.173987342361</v>
      </c>
      <c r="S32" s="28">
        <f t="shared" si="17"/>
        <v>25621.317591065264</v>
      </c>
      <c r="T32" s="28">
        <f t="shared" si="17"/>
        <v>29213.067170945254</v>
      </c>
      <c r="U32" s="28">
        <f t="shared" si="17"/>
        <v>33308.329694635242</v>
      </c>
    </row>
    <row r="33" spans="4:21" x14ac:dyDescent="0.25">
      <c r="D33" s="42" t="s">
        <v>134</v>
      </c>
      <c r="E33" s="29"/>
      <c r="F33" s="29"/>
      <c r="G33" s="46">
        <f>G32/G$13</f>
        <v>0.13862963957361965</v>
      </c>
      <c r="H33" s="46">
        <f t="shared" ref="H33:K33" si="18">H32/H$13</f>
        <v>0.12001954129383935</v>
      </c>
      <c r="I33" s="46">
        <f t="shared" si="18"/>
        <v>0.12804885583956904</v>
      </c>
      <c r="J33" s="46">
        <f t="shared" si="18"/>
        <v>0.12121635712092257</v>
      </c>
      <c r="K33" s="142">
        <f t="shared" si="18"/>
        <v>0.12459909398272187</v>
      </c>
      <c r="L33" s="132">
        <f>AVERAGE(G33:K33)</f>
        <v>0.1265026975621345</v>
      </c>
      <c r="M33" s="132">
        <f>L33</f>
        <v>0.1265026975621345</v>
      </c>
      <c r="N33" s="132">
        <f t="shared" ref="N33:U33" si="19">M33</f>
        <v>0.1265026975621345</v>
      </c>
      <c r="O33" s="132">
        <f t="shared" si="19"/>
        <v>0.1265026975621345</v>
      </c>
      <c r="P33" s="132">
        <f t="shared" si="19"/>
        <v>0.1265026975621345</v>
      </c>
      <c r="Q33" s="132">
        <f t="shared" si="19"/>
        <v>0.1265026975621345</v>
      </c>
      <c r="R33" s="132">
        <f t="shared" si="19"/>
        <v>0.1265026975621345</v>
      </c>
      <c r="S33" s="132">
        <f t="shared" si="19"/>
        <v>0.1265026975621345</v>
      </c>
      <c r="T33" s="132">
        <f t="shared" si="19"/>
        <v>0.1265026975621345</v>
      </c>
      <c r="U33" s="132">
        <f t="shared" si="19"/>
        <v>0.1265026975621345</v>
      </c>
    </row>
    <row r="34" spans="4:21" x14ac:dyDescent="0.25">
      <c r="D34" t="s">
        <v>19</v>
      </c>
      <c r="G34" s="28">
        <f>'Income statement Historical'!G16</f>
        <v>8467.9</v>
      </c>
      <c r="H34" s="28">
        <f>'Income statement Historical'!H16</f>
        <v>8331.18</v>
      </c>
      <c r="I34" s="28">
        <f>'Income statement Historical'!I16</f>
        <v>12137.26</v>
      </c>
      <c r="J34" s="28">
        <f>'Income statement Historical'!J16</f>
        <v>18491.32</v>
      </c>
      <c r="K34" s="139">
        <f>'Income statement Historical'!K16</f>
        <v>18283.32</v>
      </c>
      <c r="L34" s="28">
        <f t="shared" ref="L34:U34" si="20">L$13*L35</f>
        <v>18890.849760400717</v>
      </c>
      <c r="M34" s="28">
        <f t="shared" si="20"/>
        <v>21539.082094640886</v>
      </c>
      <c r="N34" s="28">
        <f t="shared" si="20"/>
        <v>24558.559480589432</v>
      </c>
      <c r="O34" s="28">
        <f t="shared" si="20"/>
        <v>28001.325270574605</v>
      </c>
      <c r="P34" s="28">
        <f t="shared" si="20"/>
        <v>31926.718565404299</v>
      </c>
      <c r="Q34" s="28">
        <f t="shared" si="20"/>
        <v>36402.396976034768</v>
      </c>
      <c r="R34" s="28">
        <f t="shared" si="20"/>
        <v>41505.502762088981</v>
      </c>
      <c r="S34" s="28">
        <f t="shared" si="20"/>
        <v>47323.992446648685</v>
      </c>
      <c r="T34" s="28">
        <f t="shared" si="20"/>
        <v>53958.152824402583</v>
      </c>
      <c r="U34" s="28">
        <f t="shared" si="20"/>
        <v>61522.329492886347</v>
      </c>
    </row>
    <row r="35" spans="4:21" x14ac:dyDescent="0.25">
      <c r="D35" s="42" t="s">
        <v>134</v>
      </c>
      <c r="E35" s="29"/>
      <c r="F35" s="29"/>
      <c r="G35" s="46">
        <f>G34/G$13</f>
        <v>0.20101920886090224</v>
      </c>
      <c r="H35" s="46">
        <f t="shared" ref="H35:K35" si="21">H34/H$13</f>
        <v>0.18627235287015548</v>
      </c>
      <c r="I35" s="46">
        <f t="shared" si="21"/>
        <v>0.23075152051861228</v>
      </c>
      <c r="J35" s="46">
        <f t="shared" si="21"/>
        <v>0.29239920695737098</v>
      </c>
      <c r="K35" s="142">
        <f t="shared" si="21"/>
        <v>0.25784515007726899</v>
      </c>
      <c r="L35" s="132">
        <f>AVERAGE(G35:K35)</f>
        <v>0.23365748785686197</v>
      </c>
      <c r="M35" s="132">
        <f>L35</f>
        <v>0.23365748785686197</v>
      </c>
      <c r="N35" s="132">
        <f t="shared" ref="N35:U35" si="22">M35</f>
        <v>0.23365748785686197</v>
      </c>
      <c r="O35" s="132">
        <f t="shared" si="22"/>
        <v>0.23365748785686197</v>
      </c>
      <c r="P35" s="132">
        <f t="shared" si="22"/>
        <v>0.23365748785686197</v>
      </c>
      <c r="Q35" s="132">
        <f t="shared" si="22"/>
        <v>0.23365748785686197</v>
      </c>
      <c r="R35" s="132">
        <f t="shared" si="22"/>
        <v>0.23365748785686197</v>
      </c>
      <c r="S35" s="132">
        <f t="shared" si="22"/>
        <v>0.23365748785686197</v>
      </c>
      <c r="T35" s="132">
        <f t="shared" si="22"/>
        <v>0.23365748785686197</v>
      </c>
      <c r="U35" s="132">
        <f t="shared" si="22"/>
        <v>0.23365748785686197</v>
      </c>
    </row>
    <row r="36" spans="4:21" x14ac:dyDescent="0.25">
      <c r="D36" s="6" t="s">
        <v>20</v>
      </c>
      <c r="G36" s="28">
        <f>'Income statement Historical'!G17</f>
        <v>9725.3799999999992</v>
      </c>
      <c r="H36" s="28">
        <f>'Income statement Historical'!H17</f>
        <v>10043.32</v>
      </c>
      <c r="I36" s="28">
        <f>'Income statement Historical'!I17</f>
        <v>11712.33</v>
      </c>
      <c r="J36" s="28">
        <f>'Income statement Historical'!J17</f>
        <v>14009.16</v>
      </c>
      <c r="K36" s="139">
        <f>'Income statement Historical'!K17</f>
        <v>15880.67</v>
      </c>
      <c r="L36" s="28">
        <f t="shared" ref="L36:U36" si="23">L$13*L37</f>
        <v>18167.967387790843</v>
      </c>
      <c r="M36" s="28">
        <f t="shared" si="23"/>
        <v>20714.861746382576</v>
      </c>
      <c r="N36" s="28">
        <f t="shared" si="23"/>
        <v>23618.794993000141</v>
      </c>
      <c r="O36" s="28">
        <f t="shared" si="23"/>
        <v>26929.818974958154</v>
      </c>
      <c r="P36" s="28">
        <f t="shared" si="23"/>
        <v>30705.002106963857</v>
      </c>
      <c r="Q36" s="28">
        <f t="shared" si="23"/>
        <v>35009.412995510836</v>
      </c>
      <c r="R36" s="28">
        <f t="shared" si="23"/>
        <v>39917.241953625053</v>
      </c>
      <c r="S36" s="28">
        <f t="shared" si="23"/>
        <v>45513.079736257219</v>
      </c>
      <c r="T36" s="28">
        <f t="shared" si="23"/>
        <v>51893.375536452622</v>
      </c>
      <c r="U36" s="28">
        <f t="shared" si="23"/>
        <v>59168.099372146615</v>
      </c>
    </row>
    <row r="37" spans="4:21" x14ac:dyDescent="0.25">
      <c r="D37" s="42" t="s">
        <v>134</v>
      </c>
      <c r="G37" s="18">
        <f>G36/G$13</f>
        <v>0.23087048659899637</v>
      </c>
      <c r="H37" s="18">
        <f t="shared" ref="H37:K37" si="24">H36/H$13</f>
        <v>0.22455316618148807</v>
      </c>
      <c r="I37" s="18">
        <f t="shared" si="24"/>
        <v>0.22267282371109776</v>
      </c>
      <c r="J37" s="18">
        <f t="shared" si="24"/>
        <v>0.22152378922320975</v>
      </c>
      <c r="K37" s="143">
        <f t="shared" si="24"/>
        <v>0.2239611700433829</v>
      </c>
      <c r="L37" s="132">
        <f>AVERAGE(G37:K37)</f>
        <v>0.224716287151635</v>
      </c>
      <c r="M37" s="132">
        <f>L37</f>
        <v>0.224716287151635</v>
      </c>
      <c r="N37" s="132">
        <f t="shared" ref="N37:U37" si="25">M37</f>
        <v>0.224716287151635</v>
      </c>
      <c r="O37" s="132">
        <f t="shared" si="25"/>
        <v>0.224716287151635</v>
      </c>
      <c r="P37" s="132">
        <f t="shared" si="25"/>
        <v>0.224716287151635</v>
      </c>
      <c r="Q37" s="132">
        <f t="shared" si="25"/>
        <v>0.224716287151635</v>
      </c>
      <c r="R37" s="132">
        <f t="shared" si="25"/>
        <v>0.224716287151635</v>
      </c>
      <c r="S37" s="132">
        <f t="shared" si="25"/>
        <v>0.224716287151635</v>
      </c>
      <c r="T37" s="132">
        <f t="shared" si="25"/>
        <v>0.224716287151635</v>
      </c>
      <c r="U37" s="132">
        <f t="shared" si="25"/>
        <v>0.224716287151635</v>
      </c>
    </row>
    <row r="38" spans="4:21" x14ac:dyDescent="0.25">
      <c r="D38" s="6" t="s">
        <v>21</v>
      </c>
      <c r="G38" s="28">
        <f>'Income statement Historical'!G18</f>
        <v>-14.3</v>
      </c>
      <c r="H38" s="28">
        <f>'Income statement Historical'!H18</f>
        <v>-23.41</v>
      </c>
      <c r="I38" s="28">
        <f>'Income statement Historical'!I18</f>
        <v>0</v>
      </c>
      <c r="J38" s="28">
        <f>'Income statement Historical'!J18</f>
        <v>0</v>
      </c>
      <c r="K38" s="139">
        <f>'Income statement Historical'!K18</f>
        <v>0</v>
      </c>
      <c r="L38" s="28">
        <f t="shared" ref="L38:U38" si="26">L$13*L39</f>
        <v>-13.952485499616319</v>
      </c>
      <c r="M38" s="28">
        <f t="shared" si="26"/>
        <v>-15.908428387932277</v>
      </c>
      <c r="N38" s="28">
        <f t="shared" si="26"/>
        <v>-18.138567051793675</v>
      </c>
      <c r="O38" s="28">
        <f t="shared" si="26"/>
        <v>-20.681339895397315</v>
      </c>
      <c r="P38" s="28">
        <f t="shared" si="26"/>
        <v>-23.580573848398732</v>
      </c>
      <c r="Q38" s="28">
        <f t="shared" si="26"/>
        <v>-26.886239761647875</v>
      </c>
      <c r="R38" s="28">
        <f t="shared" si="26"/>
        <v>-30.655313698818357</v>
      </c>
      <c r="S38" s="28">
        <f t="shared" si="26"/>
        <v>-34.952758969049775</v>
      </c>
      <c r="T38" s="28">
        <f t="shared" si="26"/>
        <v>-39.852645826801002</v>
      </c>
      <c r="U38" s="28">
        <f t="shared" si="26"/>
        <v>-45.439428137927543</v>
      </c>
    </row>
    <row r="39" spans="4:21" x14ac:dyDescent="0.25">
      <c r="D39" s="42" t="s">
        <v>134</v>
      </c>
      <c r="E39" s="29"/>
      <c r="F39" s="29"/>
      <c r="G39" s="46">
        <f>G38/G$13</f>
        <v>-3.394672453277557E-4</v>
      </c>
      <c r="H39" s="46">
        <f t="shared" ref="H39:K39" si="27">H38/H$13</f>
        <v>-5.2341154322561021E-4</v>
      </c>
      <c r="I39" s="46">
        <f t="shared" si="27"/>
        <v>0</v>
      </c>
      <c r="J39" s="46">
        <f t="shared" si="27"/>
        <v>0</v>
      </c>
      <c r="K39" s="142">
        <f t="shared" si="27"/>
        <v>0</v>
      </c>
      <c r="L39" s="132">
        <f>AVERAGE(G39:K39)</f>
        <v>-1.7257575771067318E-4</v>
      </c>
      <c r="M39" s="132">
        <f>L39</f>
        <v>-1.7257575771067318E-4</v>
      </c>
      <c r="N39" s="132">
        <f t="shared" ref="N39:U39" si="28">M39</f>
        <v>-1.7257575771067318E-4</v>
      </c>
      <c r="O39" s="132">
        <f t="shared" si="28"/>
        <v>-1.7257575771067318E-4</v>
      </c>
      <c r="P39" s="132">
        <f t="shared" si="28"/>
        <v>-1.7257575771067318E-4</v>
      </c>
      <c r="Q39" s="132">
        <f t="shared" si="28"/>
        <v>-1.7257575771067318E-4</v>
      </c>
      <c r="R39" s="132">
        <f t="shared" si="28"/>
        <v>-1.7257575771067318E-4</v>
      </c>
      <c r="S39" s="132">
        <f t="shared" si="28"/>
        <v>-1.7257575771067318E-4</v>
      </c>
      <c r="T39" s="132">
        <f t="shared" si="28"/>
        <v>-1.7257575771067318E-4</v>
      </c>
      <c r="U39" s="132">
        <f t="shared" si="28"/>
        <v>-1.7257575771067318E-4</v>
      </c>
    </row>
    <row r="40" spans="4:21" x14ac:dyDescent="0.25">
      <c r="K40" s="111"/>
    </row>
    <row r="41" spans="4:21" x14ac:dyDescent="0.25">
      <c r="D41" s="42" t="s">
        <v>137</v>
      </c>
      <c r="E41" s="42"/>
      <c r="F41" s="42"/>
      <c r="G41" s="47">
        <f>G39+G37+G35+G33+G31</f>
        <v>0.6297511467702066</v>
      </c>
      <c r="H41" s="47">
        <f t="shared" ref="H41:K41" si="29">H39+H37+H35+H33+H31</f>
        <v>0.58293155181125877</v>
      </c>
      <c r="I41" s="47">
        <f t="shared" si="29"/>
        <v>0.62966210465137717</v>
      </c>
      <c r="J41" s="47">
        <f t="shared" si="29"/>
        <v>0.67845008806138141</v>
      </c>
      <c r="K41" s="144">
        <f t="shared" si="29"/>
        <v>0.64924365524183825</v>
      </c>
      <c r="L41" s="133">
        <f>AVERAGE(G41:K41)</f>
        <v>0.63400770930721251</v>
      </c>
      <c r="M41" s="133">
        <f>L41</f>
        <v>0.63400770930721251</v>
      </c>
      <c r="N41" s="133">
        <f t="shared" ref="N41:U41" si="30">M41</f>
        <v>0.63400770930721251</v>
      </c>
      <c r="O41" s="133">
        <f t="shared" si="30"/>
        <v>0.63400770930721251</v>
      </c>
      <c r="P41" s="133">
        <f t="shared" si="30"/>
        <v>0.63400770930721251</v>
      </c>
      <c r="Q41" s="133">
        <f t="shared" si="30"/>
        <v>0.63400770930721251</v>
      </c>
      <c r="R41" s="133">
        <f t="shared" si="30"/>
        <v>0.63400770930721251</v>
      </c>
      <c r="S41" s="133">
        <f t="shared" si="30"/>
        <v>0.63400770930721251</v>
      </c>
      <c r="T41" s="133">
        <f t="shared" si="30"/>
        <v>0.63400770930721251</v>
      </c>
      <c r="U41" s="133">
        <f t="shared" si="30"/>
        <v>0.63400770930721251</v>
      </c>
    </row>
    <row r="42" spans="4:21" x14ac:dyDescent="0.25">
      <c r="D42" t="s">
        <v>130</v>
      </c>
      <c r="G42" s="26">
        <f>G13*G41</f>
        <v>26528.16</v>
      </c>
      <c r="H42" s="26">
        <f t="shared" ref="H42:K42" si="31">H13*H41</f>
        <v>26072.079999999998</v>
      </c>
      <c r="I42" s="26">
        <f t="shared" si="31"/>
        <v>33119.49</v>
      </c>
      <c r="J42" s="26">
        <f t="shared" si="31"/>
        <v>42905.17</v>
      </c>
      <c r="K42" s="145">
        <f t="shared" si="31"/>
        <v>46036.66</v>
      </c>
      <c r="L42" s="26">
        <f>L41*L13</f>
        <v>51258.551537605388</v>
      </c>
      <c r="M42" s="26">
        <f t="shared" ref="M42:U42" si="32">M41*M13</f>
        <v>58444.281947295705</v>
      </c>
      <c r="N42" s="26">
        <f t="shared" si="32"/>
        <v>66637.351034569758</v>
      </c>
      <c r="O42" s="26">
        <f t="shared" si="32"/>
        <v>75978.97356167181</v>
      </c>
      <c r="P42" s="26">
        <f t="shared" si="32"/>
        <v>86630.160621037328</v>
      </c>
      <c r="Q42" s="26">
        <f t="shared" si="32"/>
        <v>98774.494803290829</v>
      </c>
      <c r="R42" s="26">
        <f t="shared" si="32"/>
        <v>112621.29440489666</v>
      </c>
      <c r="S42" s="26">
        <f t="shared" si="32"/>
        <v>128409.22121336767</v>
      </c>
      <c r="T42" s="26">
        <f t="shared" si="32"/>
        <v>146410.39405338842</v>
      </c>
      <c r="U42" s="26">
        <f t="shared" si="32"/>
        <v>166935.07899444332</v>
      </c>
    </row>
    <row r="43" spans="4:21" x14ac:dyDescent="0.25">
      <c r="K43" s="111"/>
    </row>
    <row r="44" spans="4:21" x14ac:dyDescent="0.25">
      <c r="D44" t="s">
        <v>131</v>
      </c>
      <c r="G44" s="6">
        <f>'Income statement Historical'!G26</f>
        <v>1985.65</v>
      </c>
      <c r="H44" s="6">
        <f>'Income statement Historical'!H26</f>
        <v>1485.65</v>
      </c>
      <c r="I44" s="6">
        <f>'Income statement Historical'!I26</f>
        <v>944.71</v>
      </c>
      <c r="J44" s="6">
        <f>'Income statement Historical'!J26</f>
        <v>822.72</v>
      </c>
      <c r="K44" s="146">
        <f>'Income statement Historical'!K26</f>
        <v>968</v>
      </c>
      <c r="L44" s="26">
        <f>L45*L13</f>
        <v>2020.8195755231563</v>
      </c>
      <c r="M44" s="26">
        <f t="shared" ref="M44:U44" si="33">M45*M13</f>
        <v>2304.1101532071743</v>
      </c>
      <c r="N44" s="26">
        <f t="shared" si="33"/>
        <v>2627.1140988615957</v>
      </c>
      <c r="O44" s="26">
        <f t="shared" si="33"/>
        <v>2995.3986699944035</v>
      </c>
      <c r="P44" s="26">
        <f t="shared" si="33"/>
        <v>3415.3115755772656</v>
      </c>
      <c r="Q44" s="26">
        <f t="shared" si="33"/>
        <v>3894.0903844007689</v>
      </c>
      <c r="R44" s="26">
        <f t="shared" si="33"/>
        <v>4439.9872709474485</v>
      </c>
      <c r="S44" s="26">
        <f t="shared" si="33"/>
        <v>5062.4112488875699</v>
      </c>
      <c r="T44" s="26">
        <f t="shared" si="33"/>
        <v>5772.0903437172774</v>
      </c>
      <c r="U44" s="26">
        <f t="shared" si="33"/>
        <v>6581.2564997273639</v>
      </c>
    </row>
    <row r="45" spans="4:21" x14ac:dyDescent="0.25">
      <c r="D45" s="42" t="s">
        <v>134</v>
      </c>
      <c r="G45" s="20">
        <f>G44/G13</f>
        <v>4.7137282215738326E-2</v>
      </c>
      <c r="H45" s="20">
        <f t="shared" ref="H45:K45" si="34">H44/H13</f>
        <v>3.3216845757929429E-2</v>
      </c>
      <c r="I45" s="20">
        <f t="shared" si="34"/>
        <v>1.7960665664996732E-2</v>
      </c>
      <c r="J45" s="20">
        <f t="shared" si="34"/>
        <v>1.3009491780357933E-2</v>
      </c>
      <c r="K45" s="147">
        <f t="shared" si="34"/>
        <v>1.3651465120929698E-2</v>
      </c>
      <c r="L45" s="132">
        <f>AVERAGE(G45:K45)</f>
        <v>2.4995150107990423E-2</v>
      </c>
      <c r="M45" s="132">
        <f>L45</f>
        <v>2.4995150107990423E-2</v>
      </c>
      <c r="N45" s="132">
        <f t="shared" ref="N45:U45" si="35">M45</f>
        <v>2.4995150107990423E-2</v>
      </c>
      <c r="O45" s="132">
        <f t="shared" si="35"/>
        <v>2.4995150107990423E-2</v>
      </c>
      <c r="P45" s="132">
        <f t="shared" si="35"/>
        <v>2.4995150107990423E-2</v>
      </c>
      <c r="Q45" s="132">
        <f t="shared" si="35"/>
        <v>2.4995150107990423E-2</v>
      </c>
      <c r="R45" s="132">
        <f t="shared" si="35"/>
        <v>2.4995150107990423E-2</v>
      </c>
      <c r="S45" s="132">
        <f t="shared" si="35"/>
        <v>2.4995150107990423E-2</v>
      </c>
      <c r="T45" s="132">
        <f t="shared" si="35"/>
        <v>2.4995150107990423E-2</v>
      </c>
      <c r="U45" s="132">
        <f t="shared" si="35"/>
        <v>2.4995150107990423E-2</v>
      </c>
    </row>
    <row r="46" spans="4:21" x14ac:dyDescent="0.25">
      <c r="K46" s="146"/>
    </row>
    <row r="47" spans="4:21" x14ac:dyDescent="0.25">
      <c r="D47" t="s">
        <v>23</v>
      </c>
      <c r="G47" s="6">
        <f>'Income statement Historical'!G27</f>
        <v>0</v>
      </c>
      <c r="H47" s="6">
        <f>'Income statement Historical'!H27</f>
        <v>260.74</v>
      </c>
      <c r="I47" s="6">
        <f>'Income statement Historical'!I27</f>
        <v>0</v>
      </c>
      <c r="J47" s="6">
        <f>'Income statement Historical'!J27</f>
        <v>0</v>
      </c>
      <c r="K47" s="146">
        <f>'Income statement Historical'!K27</f>
        <v>72</v>
      </c>
      <c r="L47" s="26">
        <f>L48*L13</f>
        <v>110.68386449309168</v>
      </c>
      <c r="M47" s="26">
        <f t="shared" ref="M47:U47" si="36">M48*M13</f>
        <v>126.20019078581875</v>
      </c>
      <c r="N47" s="26">
        <f t="shared" si="36"/>
        <v>143.89168852494396</v>
      </c>
      <c r="O47" s="26">
        <f t="shared" si="36"/>
        <v>164.0632862568232</v>
      </c>
      <c r="P47" s="26">
        <f t="shared" si="36"/>
        <v>187.06265923568091</v>
      </c>
      <c r="Q47" s="26">
        <f t="shared" si="36"/>
        <v>213.28622191285135</v>
      </c>
      <c r="R47" s="26">
        <f t="shared" si="36"/>
        <v>243.1859604890135</v>
      </c>
      <c r="S47" s="26">
        <f t="shared" si="36"/>
        <v>277.27722329447221</v>
      </c>
      <c r="T47" s="26">
        <f t="shared" si="36"/>
        <v>316.14760327155454</v>
      </c>
      <c r="U47" s="26">
        <f t="shared" si="36"/>
        <v>360.46706565652789</v>
      </c>
    </row>
    <row r="48" spans="4:21" x14ac:dyDescent="0.25">
      <c r="D48" s="42" t="s">
        <v>134</v>
      </c>
      <c r="G48" s="21">
        <f>'Income statement Historical'!G27/'Cost Build Up'!G13</f>
        <v>0</v>
      </c>
      <c r="H48" s="21">
        <f>'Income statement Historical'!H27/'Cost Build Up'!H13</f>
        <v>5.8297448005401806E-3</v>
      </c>
      <c r="I48" s="21">
        <f>'Income statement Historical'!I27/'Cost Build Up'!I13</f>
        <v>0</v>
      </c>
      <c r="J48" s="21">
        <f>'Income statement Historical'!J27/'Cost Build Up'!J13</f>
        <v>0</v>
      </c>
      <c r="K48" s="148">
        <f>'Income statement Historical'!K27/'Cost Build Up'!K13</f>
        <v>1.0153982321352668E-3</v>
      </c>
      <c r="L48" s="132">
        <f>AVERAGE(G48:K48)</f>
        <v>1.3690286065350895E-3</v>
      </c>
      <c r="M48" s="132">
        <f>L48</f>
        <v>1.3690286065350895E-3</v>
      </c>
      <c r="N48" s="132">
        <f t="shared" ref="N48:U48" si="37">M48</f>
        <v>1.3690286065350895E-3</v>
      </c>
      <c r="O48" s="132">
        <f t="shared" si="37"/>
        <v>1.3690286065350895E-3</v>
      </c>
      <c r="P48" s="132">
        <f t="shared" si="37"/>
        <v>1.3690286065350895E-3</v>
      </c>
      <c r="Q48" s="132">
        <f t="shared" si="37"/>
        <v>1.3690286065350895E-3</v>
      </c>
      <c r="R48" s="132">
        <f t="shared" si="37"/>
        <v>1.3690286065350895E-3</v>
      </c>
      <c r="S48" s="132">
        <f t="shared" si="37"/>
        <v>1.3690286065350895E-3</v>
      </c>
      <c r="T48" s="132">
        <f t="shared" si="37"/>
        <v>1.3690286065350895E-3</v>
      </c>
      <c r="U48" s="132">
        <f t="shared" si="37"/>
        <v>1.3690286065350895E-3</v>
      </c>
    </row>
    <row r="49" spans="4:21" x14ac:dyDescent="0.25">
      <c r="K49" s="146"/>
    </row>
    <row r="50" spans="4:21" x14ac:dyDescent="0.25">
      <c r="D50" s="1" t="s">
        <v>132</v>
      </c>
      <c r="G50" s="20">
        <f>'Income statement Historical'!G30/'Income statement Historical'!G29</f>
        <v>-0.10835448638607952</v>
      </c>
      <c r="H50" s="20">
        <f>'Income statement Historical'!H30/'Income statement Historical'!H29</f>
        <v>0.32317649125576337</v>
      </c>
      <c r="I50" s="20">
        <f>'Income statement Historical'!I30/'Income statement Historical'!I29</f>
        <v>0.1423057146615328</v>
      </c>
      <c r="J50" s="20">
        <f>'Income statement Historical'!J30/'Income statement Historical'!J29</f>
        <v>0.31607939321822609</v>
      </c>
      <c r="K50" s="147">
        <f>'Income statement Historical'!K30/'Income statement Historical'!K29</f>
        <v>0.25725595492015618</v>
      </c>
      <c r="L50" s="132">
        <f>K50</f>
        <v>0.25725595492015618</v>
      </c>
      <c r="M50" s="132">
        <f t="shared" ref="M50:U50" si="38">L50</f>
        <v>0.25725595492015618</v>
      </c>
      <c r="N50" s="132">
        <f t="shared" si="38"/>
        <v>0.25725595492015618</v>
      </c>
      <c r="O50" s="132">
        <f t="shared" si="38"/>
        <v>0.25725595492015618</v>
      </c>
      <c r="P50" s="132">
        <f t="shared" si="38"/>
        <v>0.25725595492015618</v>
      </c>
      <c r="Q50" s="132">
        <f t="shared" si="38"/>
        <v>0.25725595492015618</v>
      </c>
      <c r="R50" s="132">
        <f t="shared" si="38"/>
        <v>0.25725595492015618</v>
      </c>
      <c r="S50" s="132">
        <f t="shared" si="38"/>
        <v>0.25725595492015618</v>
      </c>
      <c r="T50" s="132">
        <f t="shared" si="38"/>
        <v>0.25725595492015618</v>
      </c>
      <c r="U50" s="132">
        <f t="shared" si="38"/>
        <v>0.25725595492015618</v>
      </c>
    </row>
    <row r="51" spans="4:21" x14ac:dyDescent="0.25">
      <c r="K51" s="111"/>
    </row>
    <row r="52" spans="4:21" x14ac:dyDescent="0.25">
      <c r="D52" t="s">
        <v>131</v>
      </c>
      <c r="G52" s="28">
        <f>G44</f>
        <v>1985.65</v>
      </c>
      <c r="H52" s="28">
        <f t="shared" ref="H52:U52" si="39">H44</f>
        <v>1485.65</v>
      </c>
      <c r="I52" s="28">
        <f t="shared" si="39"/>
        <v>944.71</v>
      </c>
      <c r="J52" s="28">
        <f t="shared" si="39"/>
        <v>822.72</v>
      </c>
      <c r="K52" s="139">
        <f t="shared" si="39"/>
        <v>968</v>
      </c>
      <c r="L52" s="28">
        <f t="shared" si="39"/>
        <v>2020.8195755231563</v>
      </c>
      <c r="M52" s="28">
        <f t="shared" si="39"/>
        <v>2304.1101532071743</v>
      </c>
      <c r="N52" s="28">
        <f t="shared" si="39"/>
        <v>2627.1140988615957</v>
      </c>
      <c r="O52" s="28">
        <f t="shared" si="39"/>
        <v>2995.3986699944035</v>
      </c>
      <c r="P52" s="28">
        <f t="shared" si="39"/>
        <v>3415.3115755772656</v>
      </c>
      <c r="Q52" s="28">
        <f t="shared" si="39"/>
        <v>3894.0903844007689</v>
      </c>
      <c r="R52" s="28">
        <f t="shared" si="39"/>
        <v>4439.9872709474485</v>
      </c>
      <c r="S52" s="28">
        <f t="shared" si="39"/>
        <v>5062.4112488875699</v>
      </c>
      <c r="T52" s="28">
        <f t="shared" si="39"/>
        <v>5772.0903437172774</v>
      </c>
      <c r="U52" s="28">
        <f t="shared" si="39"/>
        <v>6581.2564997273639</v>
      </c>
    </row>
    <row r="53" spans="4:21" x14ac:dyDescent="0.25">
      <c r="D53" s="42" t="s">
        <v>307</v>
      </c>
      <c r="G53" s="18">
        <f>G52/'Balance sheet Historical'!E47</f>
        <v>0.11433123439616019</v>
      </c>
      <c r="H53" s="18">
        <f>H52/'Balance sheet Historical'!F47</f>
        <v>0.10965460993693006</v>
      </c>
      <c r="I53" s="18">
        <f>I52/'Balance sheet Historical'!G47</f>
        <v>0.17814633226475582</v>
      </c>
      <c r="J53" s="18">
        <f>J52/'Balance sheet Historical'!H47</f>
        <v>0.15359541185234141</v>
      </c>
      <c r="K53" s="143">
        <f>K52/'Balance sheet Historical'!I47</f>
        <v>0.18237379846188048</v>
      </c>
      <c r="L53" s="132">
        <f>AVERAGE(G53:K53)</f>
        <v>0.14762027738241359</v>
      </c>
      <c r="M53" s="132">
        <f>L53</f>
        <v>0.14762027738241359</v>
      </c>
      <c r="N53" s="132">
        <f t="shared" ref="N53:U53" si="40">M53</f>
        <v>0.14762027738241359</v>
      </c>
      <c r="O53" s="132">
        <f t="shared" si="40"/>
        <v>0.14762027738241359</v>
      </c>
      <c r="P53" s="132">
        <f t="shared" si="40"/>
        <v>0.14762027738241359</v>
      </c>
      <c r="Q53" s="132">
        <f t="shared" si="40"/>
        <v>0.14762027738241359</v>
      </c>
      <c r="R53" s="132">
        <f t="shared" si="40"/>
        <v>0.14762027738241359</v>
      </c>
      <c r="S53" s="132">
        <f t="shared" si="40"/>
        <v>0.14762027738241359</v>
      </c>
      <c r="T53" s="132">
        <f t="shared" si="40"/>
        <v>0.14762027738241359</v>
      </c>
      <c r="U53" s="132">
        <f t="shared" si="40"/>
        <v>0.14762027738241359</v>
      </c>
    </row>
    <row r="55" spans="4:21" x14ac:dyDescent="0.25">
      <c r="D55" s="104"/>
      <c r="E55" s="104"/>
      <c r="F55" s="104"/>
      <c r="G55" s="104"/>
      <c r="H55" s="104"/>
      <c r="I55" s="104"/>
      <c r="J55" s="104"/>
      <c r="K55" s="104"/>
      <c r="L55" s="104"/>
      <c r="M55" s="104"/>
      <c r="N55" s="104"/>
      <c r="O55" s="104"/>
      <c r="P55" s="104"/>
      <c r="Q55" s="104"/>
      <c r="R55" s="104"/>
      <c r="S55" s="104"/>
      <c r="T55" s="104"/>
      <c r="U55" s="104"/>
    </row>
  </sheetData>
  <mergeCells count="1">
    <mergeCell ref="D6:U6"/>
  </mergeCells>
  <pageMargins left="0.7" right="0.7" top="0.75" bottom="0.75" header="0.3" footer="0.3"/>
  <ignoredErrors>
    <ignoredError sqref="G32:L32 G34:K34 G36:K36 G38:K38 L31:U31 M32:U32 L33:U38 L18:U18 L20:U20" formula="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C3:T28"/>
  <sheetViews>
    <sheetView showGridLines="0" workbookViewId="0">
      <pane xSplit="4" ySplit="6" topLeftCell="E7" activePane="bottomRight" state="frozen"/>
      <selection pane="topRight" activeCell="E1" sqref="E1"/>
      <selection pane="bottomLeft" activeCell="A7" sqref="A7"/>
      <selection pane="bottomRight" activeCell="C6" sqref="C6"/>
    </sheetView>
  </sheetViews>
  <sheetFormatPr defaultRowHeight="15" x14ac:dyDescent="0.25"/>
  <cols>
    <col min="1" max="3" width="1.42578125" customWidth="1"/>
    <col min="4" max="4" width="44.28515625" customWidth="1"/>
  </cols>
  <sheetData>
    <row r="3" spans="3:20" x14ac:dyDescent="0.25">
      <c r="F3" s="201" t="s">
        <v>328</v>
      </c>
      <c r="G3" s="201"/>
      <c r="H3" s="201"/>
      <c r="I3" s="201"/>
      <c r="J3" s="201"/>
      <c r="K3" s="201"/>
      <c r="L3" s="201"/>
      <c r="M3" s="201"/>
      <c r="N3" s="201"/>
      <c r="O3" s="201"/>
      <c r="P3" s="201"/>
      <c r="Q3" s="201"/>
      <c r="R3" s="201"/>
      <c r="S3" s="201"/>
      <c r="T3" s="201"/>
    </row>
    <row r="4" spans="3:20" x14ac:dyDescent="0.25">
      <c r="F4" s="98">
        <v>2020</v>
      </c>
      <c r="G4" s="98">
        <f>F4+1</f>
        <v>2021</v>
      </c>
      <c r="H4" s="98">
        <f t="shared" ref="H4:T4" si="0">G4+1</f>
        <v>2022</v>
      </c>
      <c r="I4" s="98">
        <f t="shared" si="0"/>
        <v>2023</v>
      </c>
      <c r="J4" s="98">
        <f t="shared" si="0"/>
        <v>2024</v>
      </c>
      <c r="K4" s="100">
        <f t="shared" si="0"/>
        <v>2025</v>
      </c>
      <c r="L4" s="100">
        <f t="shared" si="0"/>
        <v>2026</v>
      </c>
      <c r="M4" s="100">
        <f t="shared" si="0"/>
        <v>2027</v>
      </c>
      <c r="N4" s="100">
        <f t="shared" si="0"/>
        <v>2028</v>
      </c>
      <c r="O4" s="100">
        <f t="shared" si="0"/>
        <v>2029</v>
      </c>
      <c r="P4" s="100">
        <f t="shared" si="0"/>
        <v>2030</v>
      </c>
      <c r="Q4" s="100">
        <f t="shared" si="0"/>
        <v>2031</v>
      </c>
      <c r="R4" s="100">
        <f t="shared" si="0"/>
        <v>2032</v>
      </c>
      <c r="S4" s="100">
        <f t="shared" si="0"/>
        <v>2033</v>
      </c>
      <c r="T4" s="100">
        <f t="shared" si="0"/>
        <v>2034</v>
      </c>
    </row>
    <row r="5" spans="3:20" x14ac:dyDescent="0.25">
      <c r="F5" s="101" t="s">
        <v>127</v>
      </c>
      <c r="G5" s="101" t="s">
        <v>127</v>
      </c>
      <c r="H5" s="101" t="s">
        <v>127</v>
      </c>
      <c r="I5" s="101" t="s">
        <v>127</v>
      </c>
      <c r="J5" s="101" t="s">
        <v>127</v>
      </c>
      <c r="K5" s="101" t="s">
        <v>128</v>
      </c>
      <c r="L5" s="101" t="s">
        <v>128</v>
      </c>
      <c r="M5" s="101" t="s">
        <v>128</v>
      </c>
      <c r="N5" s="101" t="s">
        <v>128</v>
      </c>
      <c r="O5" s="101" t="s">
        <v>128</v>
      </c>
      <c r="P5" s="101" t="s">
        <v>128</v>
      </c>
      <c r="Q5" s="101" t="s">
        <v>128</v>
      </c>
      <c r="R5" s="101" t="s">
        <v>128</v>
      </c>
      <c r="S5" s="101" t="s">
        <v>128</v>
      </c>
      <c r="T5" s="101" t="s">
        <v>128</v>
      </c>
    </row>
    <row r="6" spans="3:20" x14ac:dyDescent="0.25">
      <c r="C6" s="40" t="s">
        <v>145</v>
      </c>
      <c r="D6" s="15"/>
      <c r="E6" s="15"/>
      <c r="F6" s="41">
        <v>365</v>
      </c>
      <c r="G6" s="41">
        <f>F6</f>
        <v>365</v>
      </c>
      <c r="H6" s="41">
        <f t="shared" ref="H6:T6" si="1">G6</f>
        <v>365</v>
      </c>
      <c r="I6" s="41">
        <f t="shared" si="1"/>
        <v>365</v>
      </c>
      <c r="J6" s="41">
        <f t="shared" si="1"/>
        <v>365</v>
      </c>
      <c r="K6" s="41">
        <f t="shared" si="1"/>
        <v>365</v>
      </c>
      <c r="L6" s="41">
        <f t="shared" si="1"/>
        <v>365</v>
      </c>
      <c r="M6" s="41">
        <f t="shared" si="1"/>
        <v>365</v>
      </c>
      <c r="N6" s="41">
        <f t="shared" si="1"/>
        <v>365</v>
      </c>
      <c r="O6" s="41">
        <f t="shared" si="1"/>
        <v>365</v>
      </c>
      <c r="P6" s="41">
        <f t="shared" si="1"/>
        <v>365</v>
      </c>
      <c r="Q6" s="41">
        <f t="shared" si="1"/>
        <v>365</v>
      </c>
      <c r="R6" s="41">
        <f t="shared" si="1"/>
        <v>365</v>
      </c>
      <c r="S6" s="41">
        <f t="shared" si="1"/>
        <v>365</v>
      </c>
      <c r="T6" s="41">
        <f t="shared" si="1"/>
        <v>365</v>
      </c>
    </row>
    <row r="10" spans="3:20" x14ac:dyDescent="0.25">
      <c r="D10" t="s">
        <v>138</v>
      </c>
      <c r="F10" s="28">
        <f>'Balance sheet Historical'!E24</f>
        <v>4148.3100000000004</v>
      </c>
      <c r="G10" s="28">
        <f>'Balance sheet Historical'!F24</f>
        <v>4017.97</v>
      </c>
      <c r="H10" s="28">
        <f>'Balance sheet Historical'!G24</f>
        <v>5595.58</v>
      </c>
      <c r="I10" s="28">
        <f>'Balance sheet Historical'!H24</f>
        <v>6611.83</v>
      </c>
      <c r="J10" s="28">
        <f>'Balance sheet Historical'!I24</f>
        <v>8329.74</v>
      </c>
      <c r="K10" s="28">
        <f>(K16*'Cost Build Up'!L23)/'Working Capital Build up'!K6</f>
        <v>8354.8607472648746</v>
      </c>
      <c r="L10" s="28">
        <f>(L16*'Cost Build Up'!M23)/'Working Capital Build up'!L6</f>
        <v>9526.0951099117483</v>
      </c>
      <c r="M10" s="28">
        <f>(M16*'Cost Build Up'!N23)/'Working Capital Build up'!M6</f>
        <v>10861.520112443786</v>
      </c>
      <c r="N10" s="28">
        <f>(N16*'Cost Build Up'!O23)/'Working Capital Build up'!N6</f>
        <v>12384.152981033354</v>
      </c>
      <c r="O10" s="28">
        <f>(O16*'Cost Build Up'!P23)/'Working Capital Build up'!O6</f>
        <v>14120.237634318621</v>
      </c>
      <c r="P10" s="28">
        <f>(P16*'Cost Build Up'!Q23)/'Working Capital Build up'!P6</f>
        <v>16099.697020457115</v>
      </c>
      <c r="Q10" s="28">
        <f>(Q16*'Cost Build Up'!R23)/'Working Capital Build up'!Q6</f>
        <v>18356.648865493662</v>
      </c>
      <c r="R10" s="28">
        <f>(R16*'Cost Build Up'!S23)/'Working Capital Build up'!R6</f>
        <v>20929.993722419902</v>
      </c>
      <c r="S10" s="28">
        <f>(S16*'Cost Build Up'!T23)/'Working Capital Build up'!S6</f>
        <v>23864.085456469049</v>
      </c>
      <c r="T10" s="28">
        <f>(T16*'Cost Build Up'!U23)/'Working Capital Build up'!T6</f>
        <v>27209.495723050466</v>
      </c>
    </row>
    <row r="11" spans="3:20" x14ac:dyDescent="0.25">
      <c r="D11" t="s">
        <v>139</v>
      </c>
      <c r="F11" s="28">
        <f>'Balance sheet Historical'!E27</f>
        <v>2238.29</v>
      </c>
      <c r="G11" s="28">
        <f>'Balance sheet Historical'!F27</f>
        <v>2571.73</v>
      </c>
      <c r="H11" s="28">
        <f>'Balance sheet Historical'!G27</f>
        <v>3071.61</v>
      </c>
      <c r="I11" s="28">
        <f>'Balance sheet Historical'!H27</f>
        <v>3867.02</v>
      </c>
      <c r="J11" s="28">
        <f>'Balance sheet Historical'!I27</f>
        <v>4278.16</v>
      </c>
      <c r="K11" s="28">
        <f>(K17*'Cost Build Up'!L13)/K6</f>
        <v>4697.5178150281063</v>
      </c>
      <c r="L11" s="28">
        <f>(L17*'Cost Build Up'!M13)/L6</f>
        <v>5356.0439653182757</v>
      </c>
      <c r="M11" s="28">
        <f>(M17*'Cost Build Up'!N13)/M6</f>
        <v>6106.886250999918</v>
      </c>
      <c r="N11" s="28">
        <f>(N17*'Cost Build Up'!O13)/N6</f>
        <v>6962.9861002150446</v>
      </c>
      <c r="O11" s="28">
        <f>(O17*'Cost Build Up'!P13)/O6</f>
        <v>7939.0991479249324</v>
      </c>
      <c r="P11" s="28">
        <f>(P17*'Cost Build Up'!Q13)/P6</f>
        <v>9052.0495622755534</v>
      </c>
      <c r="Q11" s="28">
        <f>(Q17*'Cost Build Up'!R13)/Q6</f>
        <v>10321.020023954467</v>
      </c>
      <c r="R11" s="28">
        <f>(R17*'Cost Build Up'!S13)/R6</f>
        <v>11767.882356588714</v>
      </c>
      <c r="S11" s="28">
        <f>(S17*'Cost Build Up'!T13)/S6</f>
        <v>13417.574506889921</v>
      </c>
      <c r="T11" s="28">
        <f>(T17*'Cost Build Up'!U13)/T6</f>
        <v>15298.530372131458</v>
      </c>
    </row>
    <row r="12" spans="3:20" x14ac:dyDescent="0.25">
      <c r="D12" t="s">
        <v>140</v>
      </c>
      <c r="F12" s="28">
        <f>'Balance sheet Historical'!E58</f>
        <v>3501.43</v>
      </c>
      <c r="G12" s="28">
        <f>'Balance sheet Historical'!F58</f>
        <v>4699.28</v>
      </c>
      <c r="H12" s="28">
        <f>'Balance sheet Historical'!G58</f>
        <v>5862.83</v>
      </c>
      <c r="I12" s="28">
        <f>'Balance sheet Historical'!H58</f>
        <v>7209.2999999999993</v>
      </c>
      <c r="J12" s="28">
        <f>'Balance sheet Historical'!I58</f>
        <v>8478.33</v>
      </c>
      <c r="K12" s="28">
        <f>(K18*'Cost Build Up'!L23)/'Working Capital Build up'!K6</f>
        <v>8610.5847725738113</v>
      </c>
      <c r="L12" s="28">
        <f>(L18*'Cost Build Up'!M23)/'Working Capital Build up'!L6</f>
        <v>9817.6680589617863</v>
      </c>
      <c r="M12" s="28">
        <f>(M18*'Cost Build Up'!N23)/'Working Capital Build up'!M6</f>
        <v>11193.967501831739</v>
      </c>
      <c r="N12" s="28">
        <f>(N18*'Cost Build Up'!O23)/'Working Capital Build up'!N6</f>
        <v>12763.204834337823</v>
      </c>
      <c r="O12" s="28">
        <f>(O18*'Cost Build Up'!P23)/'Working Capital Build up'!O6</f>
        <v>14552.427244103414</v>
      </c>
      <c r="P12" s="28">
        <f>(P18*'Cost Build Up'!Q23)/'Working Capital Build up'!P6</f>
        <v>16592.473555323169</v>
      </c>
      <c r="Q12" s="28">
        <f>(Q18*'Cost Build Up'!R23)/'Working Capital Build up'!Q6</f>
        <v>18918.505763061166</v>
      </c>
      <c r="R12" s="28">
        <f>(R18*'Cost Build Up'!S23)/'Working Capital Build up'!R6</f>
        <v>21570.615081206779</v>
      </c>
      <c r="S12" s="28">
        <f>(S18*'Cost Build Up'!T23)/'Working Capital Build up'!S6</f>
        <v>24594.512949858748</v>
      </c>
      <c r="T12" s="28">
        <f>(T18*'Cost Build Up'!U23)/'Working Capital Build up'!T6</f>
        <v>28042.318912258332</v>
      </c>
    </row>
    <row r="13" spans="3:20" x14ac:dyDescent="0.25">
      <c r="D13" s="8" t="s">
        <v>141</v>
      </c>
      <c r="E13" s="8"/>
      <c r="F13" s="151">
        <f>F10+F11-F12</f>
        <v>2885.1700000000005</v>
      </c>
      <c r="G13" s="151">
        <f t="shared" ref="G13:J13" si="2">G10+G11-G12</f>
        <v>1890.42</v>
      </c>
      <c r="H13" s="151">
        <f t="shared" si="2"/>
        <v>2804.3600000000006</v>
      </c>
      <c r="I13" s="151">
        <f t="shared" si="2"/>
        <v>3269.5500000000011</v>
      </c>
      <c r="J13" s="151">
        <f t="shared" si="2"/>
        <v>4129.57</v>
      </c>
      <c r="K13" s="151">
        <f>K10+K11-K12</f>
        <v>4441.7937897191696</v>
      </c>
      <c r="L13" s="151">
        <f t="shared" ref="L13" si="3">L10+L11-L12</f>
        <v>5064.4710162682386</v>
      </c>
      <c r="M13" s="151">
        <f t="shared" ref="M13" si="4">M10+M11-M12</f>
        <v>5774.438861611965</v>
      </c>
      <c r="N13" s="151">
        <f t="shared" ref="N13" si="5">N10+N11-N12</f>
        <v>6583.9342469105759</v>
      </c>
      <c r="O13" s="151">
        <f t="shared" ref="O13" si="6">O10+O11-O12</f>
        <v>7506.9095381401403</v>
      </c>
      <c r="P13" s="151">
        <f t="shared" ref="P13" si="7">P10+P11-P12</f>
        <v>8559.2730274094974</v>
      </c>
      <c r="Q13" s="151">
        <f t="shared" ref="Q13" si="8">Q10+Q11-Q12</f>
        <v>9759.1631263869604</v>
      </c>
      <c r="R13" s="151">
        <f t="shared" ref="R13" si="9">R10+R11-R12</f>
        <v>11127.260997801837</v>
      </c>
      <c r="S13" s="151">
        <f t="shared" ref="S13" si="10">S10+S11-S12</f>
        <v>12687.147013500224</v>
      </c>
      <c r="T13" s="151">
        <f t="shared" ref="T13" si="11">T10+T11-T12</f>
        <v>14465.70718292359</v>
      </c>
    </row>
    <row r="15" spans="3:20" x14ac:dyDescent="0.25">
      <c r="D15" s="1" t="s">
        <v>26</v>
      </c>
    </row>
    <row r="16" spans="3:20" x14ac:dyDescent="0.25">
      <c r="D16" t="s">
        <v>146</v>
      </c>
      <c r="F16" s="28">
        <f>F10/'Cost Build Up'!G23*F6</f>
        <v>239.83988056580759</v>
      </c>
      <c r="G16" s="28">
        <f>G10/'Cost Build Up'!H23*G6</f>
        <v>206.97126369462347</v>
      </c>
      <c r="H16" s="28">
        <f>H10/'Cost Build Up'!I23*H6</f>
        <v>256.42049770307307</v>
      </c>
      <c r="I16" s="28">
        <f>I10/'Cost Build Up'!J23*I6</f>
        <v>248.41254621738022</v>
      </c>
      <c r="J16" s="28">
        <f>J10/'Cost Build Up'!K23*J6</f>
        <v>255.4293484287889</v>
      </c>
      <c r="K16" s="28">
        <f>AVERAGE(F16:J16)</f>
        <v>241.41470732193466</v>
      </c>
      <c r="L16" s="28">
        <f>K16</f>
        <v>241.41470732193466</v>
      </c>
      <c r="M16" s="28">
        <f t="shared" ref="M16:T16" si="12">L16</f>
        <v>241.41470732193466</v>
      </c>
      <c r="N16" s="28">
        <f t="shared" si="12"/>
        <v>241.41470732193466</v>
      </c>
      <c r="O16" s="28">
        <f t="shared" si="12"/>
        <v>241.41470732193466</v>
      </c>
      <c r="P16" s="28">
        <f t="shared" si="12"/>
        <v>241.41470732193466</v>
      </c>
      <c r="Q16" s="28">
        <f t="shared" si="12"/>
        <v>241.41470732193466</v>
      </c>
      <c r="R16" s="28">
        <f t="shared" si="12"/>
        <v>241.41470732193466</v>
      </c>
      <c r="S16" s="28">
        <f t="shared" si="12"/>
        <v>241.41470732193466</v>
      </c>
      <c r="T16" s="28">
        <f t="shared" si="12"/>
        <v>241.41470732193466</v>
      </c>
    </row>
    <row r="17" spans="4:20" x14ac:dyDescent="0.25">
      <c r="D17" s="2" t="s">
        <v>147</v>
      </c>
      <c r="F17" s="28">
        <f>F11/'Cost Build Up'!G13*'Working Capital Build up'!F6</f>
        <v>19.394163727188932</v>
      </c>
      <c r="G17" s="28">
        <f>G11/'Cost Build Up'!H13*'Working Capital Build up'!G6</f>
        <v>20.987471437067644</v>
      </c>
      <c r="H17" s="28">
        <f>H11/'Cost Build Up'!I13*'Working Capital Build up'!H6</f>
        <v>21.314878106604272</v>
      </c>
      <c r="I17" s="28">
        <f>I11/'Cost Build Up'!J13*'Working Capital Build up'!I6</f>
        <v>22.319145262221777</v>
      </c>
      <c r="J17" s="28">
        <f>J11/'Cost Build Up'!K13*'Working Capital Build up'!J6</f>
        <v>22.021849677625163</v>
      </c>
      <c r="K17" s="28">
        <f t="shared" ref="K17:K18" si="13">AVERAGE(F17:J17)</f>
        <v>21.207501642141558</v>
      </c>
      <c r="L17" s="28">
        <f t="shared" ref="L17:T18" si="14">K17</f>
        <v>21.207501642141558</v>
      </c>
      <c r="M17" s="28">
        <f t="shared" si="14"/>
        <v>21.207501642141558</v>
      </c>
      <c r="N17" s="28">
        <f t="shared" si="14"/>
        <v>21.207501642141558</v>
      </c>
      <c r="O17" s="28">
        <f t="shared" si="14"/>
        <v>21.207501642141558</v>
      </c>
      <c r="P17" s="28">
        <f t="shared" si="14"/>
        <v>21.207501642141558</v>
      </c>
      <c r="Q17" s="28">
        <f t="shared" si="14"/>
        <v>21.207501642141558</v>
      </c>
      <c r="R17" s="28">
        <f t="shared" si="14"/>
        <v>21.207501642141558</v>
      </c>
      <c r="S17" s="28">
        <f t="shared" si="14"/>
        <v>21.207501642141558</v>
      </c>
      <c r="T17" s="28">
        <f t="shared" si="14"/>
        <v>21.207501642141558</v>
      </c>
    </row>
    <row r="18" spans="4:20" x14ac:dyDescent="0.25">
      <c r="D18" t="s">
        <v>148</v>
      </c>
      <c r="F18" s="28">
        <f>F12/'Cost Build Up'!G23*'Working Capital Build up'!F6</f>
        <v>202.43968098081766</v>
      </c>
      <c r="G18" s="28">
        <f>G12/'Cost Build Up'!H23*'Working Capital Build up'!G6</f>
        <v>242.06649627918333</v>
      </c>
      <c r="H18" s="28">
        <f>H12/'Cost Build Up'!I23*'Working Capital Build up'!H6</f>
        <v>268.66737434698604</v>
      </c>
      <c r="I18" s="28">
        <f>I12/'Cost Build Up'!J23*'Working Capital Build up'!I6</f>
        <v>270.86004471454333</v>
      </c>
      <c r="J18" s="28">
        <f>J12/'Cost Build Up'!K23*'Working Capital Build up'!J6</f>
        <v>259.98582280650459</v>
      </c>
      <c r="K18" s="28">
        <f t="shared" si="13"/>
        <v>248.80388382560699</v>
      </c>
      <c r="L18" s="28">
        <f t="shared" si="14"/>
        <v>248.80388382560699</v>
      </c>
      <c r="M18" s="28">
        <f t="shared" si="14"/>
        <v>248.80388382560699</v>
      </c>
      <c r="N18" s="28">
        <f t="shared" si="14"/>
        <v>248.80388382560699</v>
      </c>
      <c r="O18" s="28">
        <f t="shared" si="14"/>
        <v>248.80388382560699</v>
      </c>
      <c r="P18" s="28">
        <f t="shared" si="14"/>
        <v>248.80388382560699</v>
      </c>
      <c r="Q18" s="28">
        <f t="shared" si="14"/>
        <v>248.80388382560699</v>
      </c>
      <c r="R18" s="28">
        <f t="shared" si="14"/>
        <v>248.80388382560699</v>
      </c>
      <c r="S18" s="28">
        <f t="shared" si="14"/>
        <v>248.80388382560699</v>
      </c>
      <c r="T18" s="28">
        <f t="shared" si="14"/>
        <v>248.80388382560699</v>
      </c>
    </row>
    <row r="19" spans="4:20" x14ac:dyDescent="0.25">
      <c r="D19" s="8" t="s">
        <v>142</v>
      </c>
      <c r="E19" s="8"/>
      <c r="F19" s="151">
        <f>F16+F17-F18</f>
        <v>56.794363312178888</v>
      </c>
      <c r="G19" s="151">
        <f t="shared" ref="G19:K19" si="15">G16+G17-G18</f>
        <v>-14.107761147492198</v>
      </c>
      <c r="H19" s="151">
        <f t="shared" si="15"/>
        <v>9.0680014626913135</v>
      </c>
      <c r="I19" s="151">
        <f t="shared" si="15"/>
        <v>-0.12835323494135764</v>
      </c>
      <c r="J19" s="151">
        <f t="shared" si="15"/>
        <v>17.465375299909454</v>
      </c>
      <c r="K19" s="151">
        <f t="shared" si="15"/>
        <v>13.81832513846922</v>
      </c>
      <c r="L19" s="151">
        <f t="shared" ref="L19" si="16">L16+L17-L18</f>
        <v>13.81832513846922</v>
      </c>
      <c r="M19" s="151">
        <f t="shared" ref="M19" si="17">M16+M17-M18</f>
        <v>13.81832513846922</v>
      </c>
      <c r="N19" s="151">
        <f t="shared" ref="N19" si="18">N16+N17-N18</f>
        <v>13.81832513846922</v>
      </c>
      <c r="O19" s="151">
        <f t="shared" ref="O19" si="19">O16+O17-O18</f>
        <v>13.81832513846922</v>
      </c>
      <c r="P19" s="151">
        <f t="shared" ref="P19" si="20">P16+P17-P18</f>
        <v>13.81832513846922</v>
      </c>
      <c r="Q19" s="151">
        <f t="shared" ref="Q19" si="21">Q16+Q17-Q18</f>
        <v>13.81832513846922</v>
      </c>
      <c r="R19" s="151">
        <f t="shared" ref="R19" si="22">R16+R17-R18</f>
        <v>13.81832513846922</v>
      </c>
      <c r="S19" s="151">
        <f t="shared" ref="S19" si="23">S16+S17-S18</f>
        <v>13.81832513846922</v>
      </c>
      <c r="T19" s="151">
        <f t="shared" ref="T19" si="24">T16+T17-T18</f>
        <v>13.81832513846922</v>
      </c>
    </row>
    <row r="21" spans="4:20" x14ac:dyDescent="0.25">
      <c r="D21" t="s">
        <v>60</v>
      </c>
      <c r="F21" s="28">
        <f>'Balance sheet Historical'!E33</f>
        <v>1503.38</v>
      </c>
      <c r="G21" s="28">
        <f>'Balance sheet Historical'!F33</f>
        <v>1548.17</v>
      </c>
      <c r="H21" s="28">
        <f>'Balance sheet Historical'!G33</f>
        <v>1611.33</v>
      </c>
      <c r="I21" s="28">
        <f>'Balance sheet Historical'!H33</f>
        <v>1818.28</v>
      </c>
      <c r="J21" s="28">
        <f>'Balance sheet Historical'!I33</f>
        <v>1948.23</v>
      </c>
      <c r="K21" s="28">
        <f>'Cost Build Up'!L$13*'Working Capital Build up'!K22</f>
        <v>2541.3129432730489</v>
      </c>
      <c r="L21" s="28">
        <f>'Cost Build Up'!M$13*'Working Capital Build up'!L22</f>
        <v>2897.569395108595</v>
      </c>
      <c r="M21" s="28">
        <f>'Cost Build Up'!N$13*'Working Capital Build up'!M22</f>
        <v>3303.7680076726783</v>
      </c>
      <c r="N21" s="28">
        <f>'Cost Build Up'!O$13*'Working Capital Build up'!N22</f>
        <v>3766.9099718360412</v>
      </c>
      <c r="O21" s="28">
        <f>'Cost Build Up'!P$13*'Working Capital Build up'!O22</f>
        <v>4294.9779472904356</v>
      </c>
      <c r="P21" s="28">
        <f>'Cost Build Up'!Q$13*'Working Capital Build up'!P22</f>
        <v>4897.0736507195907</v>
      </c>
      <c r="Q21" s="28">
        <f>'Cost Build Up'!R$13*'Working Capital Build up'!Q22</f>
        <v>5583.5747319031443</v>
      </c>
      <c r="R21" s="28">
        <f>'Cost Build Up'!S$13*'Working Capital Build up'!R22</f>
        <v>6366.3136416513016</v>
      </c>
      <c r="S21" s="28">
        <f>'Cost Build Up'!T$13*'Working Capital Build up'!S22</f>
        <v>7258.7815745166772</v>
      </c>
      <c r="T21" s="28">
        <f>'Cost Build Up'!U$13*'Working Capital Build up'!T22</f>
        <v>8276.3610014155765</v>
      </c>
    </row>
    <row r="22" spans="4:20" x14ac:dyDescent="0.25">
      <c r="D22" s="29" t="s">
        <v>149</v>
      </c>
      <c r="E22" s="29"/>
      <c r="F22" s="43">
        <f>F21/'Cost Build Up'!G$13</f>
        <v>3.5688690019639258E-2</v>
      </c>
      <c r="G22" s="43">
        <f>G21/'Cost Build Up'!H$13</f>
        <v>3.4614696662776293E-2</v>
      </c>
      <c r="H22" s="43">
        <f>H21/'Cost Build Up'!I$13</f>
        <v>3.0634331600151561E-2</v>
      </c>
      <c r="I22" s="43">
        <f>I21/'Cost Build Up'!J$13</f>
        <v>2.8752064753973676E-2</v>
      </c>
      <c r="J22" s="43">
        <f>J21/'Cost Build Up'!K$13</f>
        <v>2.7475406913790152E-2</v>
      </c>
      <c r="K22" s="132">
        <f>AVERAGE(F22:J22)</f>
        <v>3.1433037990066193E-2</v>
      </c>
      <c r="L22" s="132">
        <f>K22</f>
        <v>3.1433037990066193E-2</v>
      </c>
      <c r="M22" s="132">
        <f t="shared" ref="M22:T22" si="25">L22</f>
        <v>3.1433037990066193E-2</v>
      </c>
      <c r="N22" s="132">
        <f t="shared" si="25"/>
        <v>3.1433037990066193E-2</v>
      </c>
      <c r="O22" s="132">
        <f t="shared" si="25"/>
        <v>3.1433037990066193E-2</v>
      </c>
      <c r="P22" s="132">
        <f t="shared" si="25"/>
        <v>3.1433037990066193E-2</v>
      </c>
      <c r="Q22" s="132">
        <f t="shared" si="25"/>
        <v>3.1433037990066193E-2</v>
      </c>
      <c r="R22" s="132">
        <f t="shared" si="25"/>
        <v>3.1433037990066193E-2</v>
      </c>
      <c r="S22" s="132">
        <f t="shared" si="25"/>
        <v>3.1433037990066193E-2</v>
      </c>
      <c r="T22" s="132">
        <f t="shared" si="25"/>
        <v>3.1433037990066193E-2</v>
      </c>
    </row>
    <row r="23" spans="4:20" x14ac:dyDescent="0.25">
      <c r="D23" t="s">
        <v>143</v>
      </c>
      <c r="F23" s="28">
        <f>'Balance sheet Historical'!E56</f>
        <v>3985.09</v>
      </c>
      <c r="G23" s="28">
        <f>'Balance sheet Historical'!F56</f>
        <v>4235.13</v>
      </c>
      <c r="H23" s="28">
        <f>'Balance sheet Historical'!G56</f>
        <v>4899.84</v>
      </c>
      <c r="I23" s="28">
        <f>'Balance sheet Historical'!H56</f>
        <v>4544.37</v>
      </c>
      <c r="J23" s="28">
        <f>'Balance sheet Historical'!I56</f>
        <v>4990.6099999999997</v>
      </c>
      <c r="K23" s="28">
        <f>'Cost Build Up'!L$13*'Working Capital Build up'!K24</f>
        <v>6867.0796971758255</v>
      </c>
      <c r="L23" s="28">
        <f>'Cost Build Up'!M$13*'Working Capital Build up'!L24</f>
        <v>7829.7480115460012</v>
      </c>
      <c r="M23" s="28">
        <f>'Cost Build Up'!N$13*'Working Capital Build up'!M24</f>
        <v>8927.3689294040105</v>
      </c>
      <c r="N23" s="28">
        <f>'Cost Build Up'!O$13*'Working Capital Build up'!N24</f>
        <v>10178.860914063</v>
      </c>
      <c r="O23" s="28">
        <f>'Cost Build Up'!P$13*'Working Capital Build up'!O24</f>
        <v>11605.794532203388</v>
      </c>
      <c r="P23" s="28">
        <f>'Cost Build Up'!Q$13*'Working Capital Build up'!P24</f>
        <v>13232.764241589119</v>
      </c>
      <c r="Q23" s="28">
        <f>'Cost Build Up'!R$13*'Working Capital Build up'!Q24</f>
        <v>15087.812298210265</v>
      </c>
      <c r="R23" s="28">
        <f>'Cost Build Up'!S$13*'Working Capital Build up'!R24</f>
        <v>17202.912089264839</v>
      </c>
      <c r="S23" s="28">
        <f>'Cost Build Up'!T$13*'Working Capital Build up'!S24</f>
        <v>19614.519222649596</v>
      </c>
      <c r="T23" s="28">
        <f>'Cost Build Up'!U$13*'Working Capital Build up'!T24</f>
        <v>22364.199871472567</v>
      </c>
    </row>
    <row r="24" spans="4:20" x14ac:dyDescent="0.25">
      <c r="D24" s="29" t="s">
        <v>149</v>
      </c>
      <c r="E24" s="29"/>
      <c r="F24" s="43">
        <f>F23/'Cost Build Up'!G$13</f>
        <v>9.4601924803019988E-2</v>
      </c>
      <c r="G24" s="43">
        <f>G23/'Cost Build Up'!H$13</f>
        <v>9.4690983727512973E-2</v>
      </c>
      <c r="H24" s="43">
        <f>H23/'Cost Build Up'!I$13</f>
        <v>9.3154923788228747E-2</v>
      </c>
      <c r="I24" s="43">
        <f>I23/'Cost Build Up'!J$13</f>
        <v>7.1859130885240638E-2</v>
      </c>
      <c r="J24" s="43">
        <f>J23/'Cost Build Up'!K$13</f>
        <v>7.0381341267730324E-2</v>
      </c>
      <c r="K24" s="132">
        <f>AVERAGE(F24:J24)</f>
        <v>8.4937660894346539E-2</v>
      </c>
      <c r="L24" s="132">
        <f>K24</f>
        <v>8.4937660894346539E-2</v>
      </c>
      <c r="M24" s="132">
        <f t="shared" ref="M24:T24" si="26">L24</f>
        <v>8.4937660894346539E-2</v>
      </c>
      <c r="N24" s="132">
        <f t="shared" si="26"/>
        <v>8.4937660894346539E-2</v>
      </c>
      <c r="O24" s="132">
        <f t="shared" si="26"/>
        <v>8.4937660894346539E-2</v>
      </c>
      <c r="P24" s="132">
        <f t="shared" si="26"/>
        <v>8.4937660894346539E-2</v>
      </c>
      <c r="Q24" s="132">
        <f t="shared" si="26"/>
        <v>8.4937660894346539E-2</v>
      </c>
      <c r="R24" s="132">
        <f t="shared" si="26"/>
        <v>8.4937660894346539E-2</v>
      </c>
      <c r="S24" s="132">
        <f t="shared" si="26"/>
        <v>8.4937660894346539E-2</v>
      </c>
      <c r="T24" s="132">
        <f t="shared" si="26"/>
        <v>8.4937660894346539E-2</v>
      </c>
    </row>
    <row r="25" spans="4:20" x14ac:dyDescent="0.25">
      <c r="D25" t="s">
        <v>144</v>
      </c>
      <c r="F25" s="28">
        <f>'Balance sheet Historical'!E60</f>
        <v>3512.31</v>
      </c>
      <c r="G25" s="28">
        <f>'Balance sheet Historical'!F60</f>
        <v>4600.78</v>
      </c>
      <c r="H25" s="28">
        <f>'Balance sheet Historical'!G60</f>
        <v>4890.9399999999996</v>
      </c>
      <c r="I25" s="28">
        <f>'Balance sheet Historical'!H60</f>
        <v>5177.3999999999996</v>
      </c>
      <c r="J25" s="28">
        <f>'Balance sheet Historical'!I60</f>
        <v>5706.68</v>
      </c>
      <c r="K25" s="28">
        <f>'Cost Build Up'!L$13*'Working Capital Build up'!K26</f>
        <v>7140.2081315230043</v>
      </c>
      <c r="L25" s="28">
        <f>'Cost Build Up'!M$13*'Working Capital Build up'!L26</f>
        <v>8141.1652238154311</v>
      </c>
      <c r="M25" s="28">
        <f>'Cost Build Up'!N$13*'Working Capital Build up'!M26</f>
        <v>9282.442469548092</v>
      </c>
      <c r="N25" s="28">
        <f>'Cost Build Up'!O$13*'Working Capital Build up'!N26</f>
        <v>10583.710787297918</v>
      </c>
      <c r="O25" s="28">
        <f>'Cost Build Up'!P$13*'Working Capital Build up'!O26</f>
        <v>12067.398682689573</v>
      </c>
      <c r="P25" s="28">
        <f>'Cost Build Up'!Q$13*'Working Capital Build up'!P26</f>
        <v>13759.078823445068</v>
      </c>
      <c r="Q25" s="28">
        <f>'Cost Build Up'!R$13*'Working Capital Build up'!Q26</f>
        <v>15687.90880683664</v>
      </c>
      <c r="R25" s="28">
        <f>'Cost Build Up'!S$13*'Working Capital Build up'!R26</f>
        <v>17887.133716557939</v>
      </c>
      <c r="S25" s="28">
        <f>'Cost Build Up'!T$13*'Working Capital Build up'!S26</f>
        <v>20394.659131024066</v>
      </c>
      <c r="T25" s="28">
        <f>'Cost Build Up'!U$13*'Working Capital Build up'!T26</f>
        <v>23253.704459403125</v>
      </c>
    </row>
    <row r="26" spans="4:20" x14ac:dyDescent="0.25">
      <c r="D26" s="29" t="s">
        <v>149</v>
      </c>
      <c r="E26" s="29"/>
      <c r="F26" s="43">
        <f>F25/'Cost Build Up'!G$13</f>
        <v>8.3378615415183877E-2</v>
      </c>
      <c r="G26" s="43">
        <f>G25/'Cost Build Up'!H$13</f>
        <v>0.10286635454256826</v>
      </c>
      <c r="H26" s="43">
        <f>H25/'Cost Build Up'!I$13</f>
        <v>9.2985718503624498E-2</v>
      </c>
      <c r="I26" s="43">
        <f>I25/'Cost Build Up'!J$13</f>
        <v>8.1869096100283395E-2</v>
      </c>
      <c r="J26" s="43">
        <f>J25/'Cost Build Up'!K$13</f>
        <v>8.0479899768912289E-2</v>
      </c>
      <c r="K26" s="132">
        <f>AVERAGE(F26:J26)</f>
        <v>8.8315936866114469E-2</v>
      </c>
      <c r="L26" s="132">
        <f>K26</f>
        <v>8.8315936866114469E-2</v>
      </c>
      <c r="M26" s="132">
        <f t="shared" ref="M26:T26" si="27">L26</f>
        <v>8.8315936866114469E-2</v>
      </c>
      <c r="N26" s="132">
        <f t="shared" si="27"/>
        <v>8.8315936866114469E-2</v>
      </c>
      <c r="O26" s="132">
        <f t="shared" si="27"/>
        <v>8.8315936866114469E-2</v>
      </c>
      <c r="P26" s="132">
        <f t="shared" si="27"/>
        <v>8.8315936866114469E-2</v>
      </c>
      <c r="Q26" s="132">
        <f t="shared" si="27"/>
        <v>8.8315936866114469E-2</v>
      </c>
      <c r="R26" s="132">
        <f t="shared" si="27"/>
        <v>8.8315936866114469E-2</v>
      </c>
      <c r="S26" s="132">
        <f t="shared" si="27"/>
        <v>8.8315936866114469E-2</v>
      </c>
      <c r="T26" s="132">
        <f t="shared" si="27"/>
        <v>8.8315936866114469E-2</v>
      </c>
    </row>
    <row r="28" spans="4:20" x14ac:dyDescent="0.25">
      <c r="D28" s="104"/>
      <c r="E28" s="104"/>
      <c r="F28" s="104"/>
      <c r="G28" s="104"/>
      <c r="H28" s="104"/>
      <c r="I28" s="104"/>
      <c r="J28" s="104"/>
      <c r="K28" s="104"/>
      <c r="L28" s="104"/>
      <c r="M28" s="104"/>
      <c r="N28" s="104"/>
      <c r="O28" s="104"/>
      <c r="P28" s="104"/>
      <c r="Q28" s="104"/>
      <c r="R28" s="104"/>
      <c r="S28" s="104"/>
      <c r="T28" s="104"/>
    </row>
  </sheetData>
  <mergeCells count="1">
    <mergeCell ref="F3:T3"/>
  </mergeCells>
  <pageMargins left="0.7" right="0.7" top="0.75" bottom="0.75" header="0.3" footer="0.3"/>
  <ignoredErrors>
    <ignoredError sqref="K11:T11 F23 G23:XFC23 F25:T25"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U311"/>
  <sheetViews>
    <sheetView showGridLines="0" topLeftCell="B1" workbookViewId="0">
      <pane xSplit="3" ySplit="6" topLeftCell="E294" activePane="bottomRight" state="frozen"/>
      <selection activeCell="B1" sqref="B1"/>
      <selection pane="topRight" activeCell="E1" sqref="E1"/>
      <selection pane="bottomLeft" activeCell="B7" sqref="B7"/>
      <selection pane="bottomRight" activeCell="G309" sqref="G309"/>
    </sheetView>
  </sheetViews>
  <sheetFormatPr defaultRowHeight="15" x14ac:dyDescent="0.25"/>
  <cols>
    <col min="1" max="3" width="1.42578125" customWidth="1"/>
    <col min="4" max="4" width="75.28515625" customWidth="1"/>
    <col min="5" max="5" width="1.7109375" customWidth="1"/>
    <col min="6" max="6" width="0.7109375" customWidth="1"/>
    <col min="7" max="7" width="16.85546875" bestFit="1" customWidth="1"/>
    <col min="8" max="11" width="15.7109375" bestFit="1" customWidth="1"/>
    <col min="18" max="20" width="12.7109375" bestFit="1" customWidth="1"/>
    <col min="21" max="21" width="12" bestFit="1" customWidth="1"/>
  </cols>
  <sheetData>
    <row r="3" spans="1:21" x14ac:dyDescent="0.25">
      <c r="G3" s="201" t="s">
        <v>329</v>
      </c>
      <c r="H3" s="201"/>
      <c r="I3" s="201"/>
      <c r="J3" s="201"/>
      <c r="K3" s="201"/>
      <c r="L3" s="201"/>
      <c r="M3" s="201"/>
      <c r="N3" s="201"/>
      <c r="O3" s="201"/>
      <c r="P3" s="201"/>
      <c r="Q3" s="201"/>
      <c r="R3" s="201"/>
      <c r="S3" s="201"/>
      <c r="T3" s="201"/>
      <c r="U3" s="201"/>
    </row>
    <row r="4" spans="1:21" x14ac:dyDescent="0.25">
      <c r="G4" s="98">
        <v>2020</v>
      </c>
      <c r="H4" s="98">
        <f>G4+1</f>
        <v>2021</v>
      </c>
      <c r="I4" s="98">
        <f t="shared" ref="I4:U4" si="0">H4+1</f>
        <v>2022</v>
      </c>
      <c r="J4" s="98">
        <f t="shared" si="0"/>
        <v>2023</v>
      </c>
      <c r="K4" s="98">
        <f t="shared" si="0"/>
        <v>2024</v>
      </c>
      <c r="L4" s="100">
        <f t="shared" si="0"/>
        <v>2025</v>
      </c>
      <c r="M4" s="100">
        <f t="shared" si="0"/>
        <v>2026</v>
      </c>
      <c r="N4" s="100">
        <f t="shared" si="0"/>
        <v>2027</v>
      </c>
      <c r="O4" s="100">
        <f t="shared" si="0"/>
        <v>2028</v>
      </c>
      <c r="P4" s="100">
        <f t="shared" si="0"/>
        <v>2029</v>
      </c>
      <c r="Q4" s="100">
        <f t="shared" si="0"/>
        <v>2030</v>
      </c>
      <c r="R4" s="100">
        <f t="shared" si="0"/>
        <v>2031</v>
      </c>
      <c r="S4" s="100">
        <f t="shared" si="0"/>
        <v>2032</v>
      </c>
      <c r="T4" s="100">
        <f t="shared" si="0"/>
        <v>2033</v>
      </c>
      <c r="U4" s="100">
        <f t="shared" si="0"/>
        <v>2034</v>
      </c>
    </row>
    <row r="5" spans="1:21" x14ac:dyDescent="0.25">
      <c r="G5" s="101" t="s">
        <v>127</v>
      </c>
      <c r="H5" s="101" t="s">
        <v>127</v>
      </c>
      <c r="I5" s="101" t="s">
        <v>127</v>
      </c>
      <c r="J5" s="101" t="s">
        <v>127</v>
      </c>
      <c r="K5" s="101" t="s">
        <v>127</v>
      </c>
      <c r="L5" s="101" t="s">
        <v>128</v>
      </c>
      <c r="M5" s="101" t="s">
        <v>128</v>
      </c>
      <c r="N5" s="101" t="s">
        <v>128</v>
      </c>
      <c r="O5" s="101" t="s">
        <v>128</v>
      </c>
      <c r="P5" s="101" t="s">
        <v>128</v>
      </c>
      <c r="Q5" s="101" t="s">
        <v>128</v>
      </c>
      <c r="R5" s="101" t="s">
        <v>128</v>
      </c>
      <c r="S5" s="101" t="s">
        <v>128</v>
      </c>
      <c r="T5" s="101" t="s">
        <v>128</v>
      </c>
      <c r="U5" s="101" t="s">
        <v>128</v>
      </c>
    </row>
    <row r="6" spans="1:21" x14ac:dyDescent="0.25">
      <c r="D6" s="40" t="s">
        <v>90</v>
      </c>
      <c r="E6" s="15"/>
      <c r="F6" s="15"/>
      <c r="G6" s="41">
        <v>12</v>
      </c>
      <c r="H6" s="41">
        <f>G6</f>
        <v>12</v>
      </c>
      <c r="I6" s="41">
        <f t="shared" ref="I6:U6" si="1">H6</f>
        <v>12</v>
      </c>
      <c r="J6" s="41">
        <f t="shared" si="1"/>
        <v>12</v>
      </c>
      <c r="K6" s="41">
        <f t="shared" si="1"/>
        <v>12</v>
      </c>
      <c r="L6" s="41">
        <f t="shared" si="1"/>
        <v>12</v>
      </c>
      <c r="M6" s="41">
        <f t="shared" si="1"/>
        <v>12</v>
      </c>
      <c r="N6" s="41">
        <f t="shared" si="1"/>
        <v>12</v>
      </c>
      <c r="O6" s="41">
        <f t="shared" si="1"/>
        <v>12</v>
      </c>
      <c r="P6" s="41">
        <f t="shared" si="1"/>
        <v>12</v>
      </c>
      <c r="Q6" s="41">
        <f t="shared" si="1"/>
        <v>12</v>
      </c>
      <c r="R6" s="41">
        <f t="shared" si="1"/>
        <v>12</v>
      </c>
      <c r="S6" s="41">
        <f t="shared" si="1"/>
        <v>12</v>
      </c>
      <c r="T6" s="41">
        <f t="shared" si="1"/>
        <v>12</v>
      </c>
      <c r="U6" s="41">
        <f t="shared" si="1"/>
        <v>12</v>
      </c>
    </row>
    <row r="9" spans="1:21" x14ac:dyDescent="0.25">
      <c r="D9" s="48" t="s">
        <v>150</v>
      </c>
    </row>
    <row r="10" spans="1:21" s="51" customFormat="1" x14ac:dyDescent="0.25">
      <c r="A10" s="1"/>
      <c r="B10" s="1"/>
      <c r="C10" s="1"/>
      <c r="D10" s="51" t="s">
        <v>151</v>
      </c>
      <c r="G10" s="51">
        <v>6389.67</v>
      </c>
      <c r="H10" s="51">
        <f>G14</f>
        <v>6456.53</v>
      </c>
      <c r="I10" s="51">
        <f t="shared" ref="I10:K10" si="2">H14</f>
        <v>6463.96</v>
      </c>
      <c r="J10" s="51">
        <f t="shared" si="2"/>
        <v>6743.74</v>
      </c>
      <c r="K10" s="51">
        <f t="shared" si="2"/>
        <v>6981.11</v>
      </c>
      <c r="L10" s="51">
        <f>K14</f>
        <v>7515.5299999999988</v>
      </c>
      <c r="M10" s="51">
        <f t="shared" ref="M10:U10" si="3">L14</f>
        <v>8251.8226735173703</v>
      </c>
      <c r="N10" s="51">
        <f t="shared" si="3"/>
        <v>9019.1695378680561</v>
      </c>
      <c r="O10" s="51">
        <f t="shared" si="3"/>
        <v>9818.3706813205008</v>
      </c>
      <c r="P10" s="51">
        <f t="shared" si="3"/>
        <v>10648.509867002504</v>
      </c>
      <c r="Q10" s="51">
        <f t="shared" si="3"/>
        <v>11508.890341012198</v>
      </c>
      <c r="R10" s="51">
        <f t="shared" si="3"/>
        <v>12399.024811939744</v>
      </c>
      <c r="S10" s="51">
        <f t="shared" si="3"/>
        <v>13318.62579779501</v>
      </c>
      <c r="T10" s="51">
        <f t="shared" si="3"/>
        <v>14267.402468263337</v>
      </c>
      <c r="U10" s="51">
        <f t="shared" si="3"/>
        <v>15245.11877532164</v>
      </c>
    </row>
    <row r="11" spans="1:21" s="52" customFormat="1" x14ac:dyDescent="0.25">
      <c r="A11"/>
      <c r="B11"/>
      <c r="C11"/>
      <c r="D11" s="52" t="s">
        <v>152</v>
      </c>
      <c r="G11" s="52">
        <v>196.95</v>
      </c>
      <c r="H11" s="52">
        <v>115.57</v>
      </c>
      <c r="I11" s="52">
        <v>285.27</v>
      </c>
      <c r="J11" s="52">
        <v>259.66000000000003</v>
      </c>
      <c r="K11" s="52">
        <v>538.61</v>
      </c>
      <c r="L11" s="52">
        <f>K11/K$280*L$298</f>
        <v>790.51867351737212</v>
      </c>
      <c r="M11" s="52">
        <f t="shared" ref="M11:U11" si="4">L11/L$280*M298</f>
        <v>821.57286435068602</v>
      </c>
      <c r="N11" s="52">
        <f>M11/M$280*N298</f>
        <v>853.42714345244553</v>
      </c>
      <c r="O11" s="52">
        <f t="shared" si="4"/>
        <v>884.36518568200393</v>
      </c>
      <c r="P11" s="52">
        <f t="shared" si="4"/>
        <v>914.60647400969617</v>
      </c>
      <c r="Q11" s="52">
        <f t="shared" si="4"/>
        <v>944.36047092754643</v>
      </c>
      <c r="R11" s="52">
        <f t="shared" si="4"/>
        <v>973.82698585526578</v>
      </c>
      <c r="S11" s="52">
        <f t="shared" si="4"/>
        <v>1003.0026704683278</v>
      </c>
      <c r="T11" s="52">
        <f t="shared" si="4"/>
        <v>1031.9423070583032</v>
      </c>
      <c r="U11" s="52">
        <f t="shared" si="4"/>
        <v>1060.6581280501875</v>
      </c>
    </row>
    <row r="12" spans="1:21" s="52" customFormat="1" x14ac:dyDescent="0.25">
      <c r="A12"/>
      <c r="B12"/>
      <c r="C12"/>
      <c r="D12" s="52" t="s">
        <v>155</v>
      </c>
      <c r="G12" s="52">
        <v>0.83</v>
      </c>
      <c r="H12" s="52">
        <v>-0.15</v>
      </c>
      <c r="I12" s="52">
        <v>0.17</v>
      </c>
      <c r="J12" s="52">
        <v>0.4</v>
      </c>
      <c r="K12" s="52">
        <v>0.08</v>
      </c>
      <c r="L12" s="52">
        <f>K12</f>
        <v>0.08</v>
      </c>
      <c r="M12" s="52">
        <f>L12</f>
        <v>0.08</v>
      </c>
      <c r="N12" s="52">
        <f t="shared" ref="N12:U12" si="5">M12</f>
        <v>0.08</v>
      </c>
      <c r="O12" s="52">
        <f t="shared" si="5"/>
        <v>0.08</v>
      </c>
      <c r="P12" s="52">
        <f t="shared" si="5"/>
        <v>0.08</v>
      </c>
      <c r="Q12" s="52">
        <f t="shared" si="5"/>
        <v>0.08</v>
      </c>
      <c r="R12" s="52">
        <f t="shared" si="5"/>
        <v>0.08</v>
      </c>
      <c r="S12" s="52">
        <f t="shared" si="5"/>
        <v>0.08</v>
      </c>
      <c r="T12" s="52">
        <f t="shared" si="5"/>
        <v>0.08</v>
      </c>
      <c r="U12" s="52">
        <f t="shared" si="5"/>
        <v>0.08</v>
      </c>
    </row>
    <row r="13" spans="1:21" s="52" customFormat="1" x14ac:dyDescent="0.25">
      <c r="A13"/>
      <c r="B13"/>
      <c r="C13"/>
      <c r="D13" s="52" t="s">
        <v>153</v>
      </c>
      <c r="G13" s="52">
        <v>130.91999999999999</v>
      </c>
      <c r="H13" s="52">
        <v>107.99</v>
      </c>
      <c r="I13" s="52">
        <v>5.66</v>
      </c>
      <c r="J13" s="52">
        <v>22.69</v>
      </c>
      <c r="K13" s="52">
        <v>4.2699999999999996</v>
      </c>
      <c r="L13" s="52">
        <f>AVERAGE(G13:K13)</f>
        <v>54.305999999999997</v>
      </c>
      <c r="M13" s="52">
        <f>L13</f>
        <v>54.305999999999997</v>
      </c>
      <c r="N13" s="52">
        <f t="shared" ref="N13:U13" si="6">M13</f>
        <v>54.305999999999997</v>
      </c>
      <c r="O13" s="52">
        <f t="shared" si="6"/>
        <v>54.305999999999997</v>
      </c>
      <c r="P13" s="52">
        <f t="shared" si="6"/>
        <v>54.305999999999997</v>
      </c>
      <c r="Q13" s="52">
        <f t="shared" si="6"/>
        <v>54.305999999999997</v>
      </c>
      <c r="R13" s="52">
        <f t="shared" si="6"/>
        <v>54.305999999999997</v>
      </c>
      <c r="S13" s="52">
        <f t="shared" si="6"/>
        <v>54.305999999999997</v>
      </c>
      <c r="T13" s="52">
        <f t="shared" si="6"/>
        <v>54.305999999999997</v>
      </c>
      <c r="U13" s="52">
        <f t="shared" si="6"/>
        <v>54.305999999999997</v>
      </c>
    </row>
    <row r="14" spans="1:21" s="51" customFormat="1" x14ac:dyDescent="0.25">
      <c r="A14" s="1"/>
      <c r="B14" s="1"/>
      <c r="C14" s="1"/>
      <c r="D14" s="51" t="s">
        <v>154</v>
      </c>
      <c r="G14" s="51">
        <f>G10+G11+G12-G13</f>
        <v>6456.53</v>
      </c>
      <c r="H14" s="51">
        <f>H10+H11+H12-H13</f>
        <v>6463.96</v>
      </c>
      <c r="I14" s="51">
        <f>I10+I11+I12-I13</f>
        <v>6743.74</v>
      </c>
      <c r="J14" s="51">
        <f>J10+J11+J12-J13</f>
        <v>6981.11</v>
      </c>
      <c r="K14" s="51">
        <f>K10+K11+K12-K13</f>
        <v>7515.5299999999988</v>
      </c>
      <c r="L14" s="51">
        <f t="shared" ref="L14:U14" si="7">L10+L11+L12-L13</f>
        <v>8251.8226735173703</v>
      </c>
      <c r="M14" s="51">
        <f t="shared" si="7"/>
        <v>9019.1695378680561</v>
      </c>
      <c r="N14" s="51">
        <f t="shared" si="7"/>
        <v>9818.3706813205008</v>
      </c>
      <c r="O14" s="51">
        <f t="shared" si="7"/>
        <v>10648.509867002504</v>
      </c>
      <c r="P14" s="51">
        <f t="shared" si="7"/>
        <v>11508.890341012198</v>
      </c>
      <c r="Q14" s="51">
        <f t="shared" si="7"/>
        <v>12399.024811939744</v>
      </c>
      <c r="R14" s="51">
        <f t="shared" si="7"/>
        <v>13318.62579779501</v>
      </c>
      <c r="S14" s="51">
        <f t="shared" si="7"/>
        <v>14267.402468263337</v>
      </c>
      <c r="T14" s="51">
        <f t="shared" si="7"/>
        <v>15245.11877532164</v>
      </c>
      <c r="U14" s="51">
        <f t="shared" si="7"/>
        <v>16251.550903371826</v>
      </c>
    </row>
    <row r="15" spans="1:21" s="52" customFormat="1" x14ac:dyDescent="0.25">
      <c r="A15"/>
      <c r="B15"/>
      <c r="C15"/>
      <c r="D15" s="52" t="s">
        <v>157</v>
      </c>
      <c r="G15" s="52">
        <v>0</v>
      </c>
      <c r="H15" s="52">
        <v>0</v>
      </c>
      <c r="I15" s="52">
        <v>0</v>
      </c>
      <c r="J15" s="52">
        <v>0</v>
      </c>
      <c r="K15" s="52">
        <v>0</v>
      </c>
      <c r="L15" s="52">
        <v>0</v>
      </c>
      <c r="M15" s="52">
        <v>0</v>
      </c>
      <c r="N15" s="52">
        <v>0</v>
      </c>
      <c r="O15" s="52">
        <v>0</v>
      </c>
      <c r="P15" s="52">
        <v>0</v>
      </c>
      <c r="Q15" s="52">
        <v>0</v>
      </c>
      <c r="R15" s="52">
        <v>0</v>
      </c>
      <c r="S15" s="52">
        <v>0</v>
      </c>
      <c r="T15" s="52">
        <v>0</v>
      </c>
      <c r="U15" s="52">
        <v>0</v>
      </c>
    </row>
    <row r="16" spans="1:21" s="52" customFormat="1" x14ac:dyDescent="0.25">
      <c r="A16"/>
      <c r="B16"/>
      <c r="C16"/>
      <c r="D16" s="52" t="s">
        <v>158</v>
      </c>
      <c r="G16" s="52">
        <v>0</v>
      </c>
      <c r="H16" s="52">
        <v>0</v>
      </c>
      <c r="I16" s="52">
        <v>0</v>
      </c>
      <c r="J16" s="52">
        <v>0</v>
      </c>
      <c r="K16" s="52">
        <v>0</v>
      </c>
      <c r="L16" s="52">
        <v>0</v>
      </c>
      <c r="M16" s="52">
        <v>0</v>
      </c>
      <c r="N16" s="52">
        <v>0</v>
      </c>
      <c r="O16" s="52">
        <v>0</v>
      </c>
      <c r="P16" s="52">
        <v>0</v>
      </c>
      <c r="Q16" s="52">
        <v>0</v>
      </c>
      <c r="R16" s="52">
        <v>0</v>
      </c>
      <c r="S16" s="52">
        <v>0</v>
      </c>
      <c r="T16" s="52">
        <v>0</v>
      </c>
      <c r="U16" s="52">
        <v>0</v>
      </c>
    </row>
    <row r="17" spans="1:21" s="52" customFormat="1" x14ac:dyDescent="0.25">
      <c r="A17"/>
      <c r="B17"/>
      <c r="C17"/>
      <c r="D17" s="52" t="s">
        <v>159</v>
      </c>
      <c r="G17" s="52">
        <v>0</v>
      </c>
      <c r="H17" s="52">
        <v>0</v>
      </c>
      <c r="I17" s="52">
        <v>0</v>
      </c>
      <c r="J17" s="52">
        <v>0</v>
      </c>
      <c r="K17" s="52">
        <v>0</v>
      </c>
      <c r="L17" s="52">
        <v>0</v>
      </c>
      <c r="M17" s="52">
        <v>0</v>
      </c>
      <c r="N17" s="52">
        <v>0</v>
      </c>
      <c r="O17" s="52">
        <v>0</v>
      </c>
      <c r="P17" s="52">
        <v>0</v>
      </c>
      <c r="Q17" s="52">
        <v>0</v>
      </c>
      <c r="R17" s="52">
        <v>0</v>
      </c>
      <c r="S17" s="52">
        <v>0</v>
      </c>
      <c r="T17" s="52">
        <v>0</v>
      </c>
      <c r="U17" s="52">
        <v>0</v>
      </c>
    </row>
    <row r="18" spans="1:21" s="52" customFormat="1" x14ac:dyDescent="0.25">
      <c r="A18"/>
      <c r="B18"/>
      <c r="C18"/>
      <c r="D18" s="52" t="s">
        <v>161</v>
      </c>
      <c r="G18" s="52">
        <v>0</v>
      </c>
      <c r="H18" s="52">
        <v>0</v>
      </c>
      <c r="I18" s="52">
        <v>0</v>
      </c>
      <c r="J18" s="52">
        <v>0</v>
      </c>
      <c r="K18" s="52">
        <v>0</v>
      </c>
      <c r="L18" s="52">
        <v>0</v>
      </c>
      <c r="M18" s="52">
        <v>0</v>
      </c>
      <c r="N18" s="52">
        <v>0</v>
      </c>
      <c r="O18" s="52">
        <v>0</v>
      </c>
      <c r="P18" s="52">
        <v>0</v>
      </c>
      <c r="Q18" s="52">
        <v>0</v>
      </c>
      <c r="R18" s="52">
        <v>0</v>
      </c>
      <c r="S18" s="52">
        <v>0</v>
      </c>
      <c r="T18" s="52">
        <v>0</v>
      </c>
      <c r="U18" s="52">
        <v>0</v>
      </c>
    </row>
    <row r="19" spans="1:21" s="53" customFormat="1" x14ac:dyDescent="0.25">
      <c r="A19" s="1"/>
      <c r="B19" s="1"/>
      <c r="C19" s="1"/>
      <c r="D19" s="53" t="s">
        <v>160</v>
      </c>
      <c r="G19" s="53">
        <f>G14-G15-G16+G17-G18</f>
        <v>6456.53</v>
      </c>
      <c r="H19" s="53">
        <f>H14-H15-H16+H17-H18</f>
        <v>6463.96</v>
      </c>
      <c r="I19" s="53">
        <f>I14-I15-I16+I17-I18</f>
        <v>6743.74</v>
      </c>
      <c r="J19" s="53">
        <f>J14-J15-J16+J17-J18</f>
        <v>6981.11</v>
      </c>
      <c r="K19" s="53">
        <f>K14-K15-K16+K17-K18</f>
        <v>7515.5299999999988</v>
      </c>
      <c r="L19" s="53">
        <f t="shared" ref="L19:U19" si="8">L14-L15-L16+L17-L18</f>
        <v>8251.8226735173703</v>
      </c>
      <c r="M19" s="53">
        <f t="shared" si="8"/>
        <v>9019.1695378680561</v>
      </c>
      <c r="N19" s="53">
        <f t="shared" si="8"/>
        <v>9818.3706813205008</v>
      </c>
      <c r="O19" s="53">
        <f t="shared" si="8"/>
        <v>10648.509867002504</v>
      </c>
      <c r="P19" s="53">
        <f t="shared" si="8"/>
        <v>11508.890341012198</v>
      </c>
      <c r="Q19" s="53">
        <f t="shared" si="8"/>
        <v>12399.024811939744</v>
      </c>
      <c r="R19" s="53">
        <f t="shared" si="8"/>
        <v>13318.62579779501</v>
      </c>
      <c r="S19" s="53">
        <f t="shared" si="8"/>
        <v>14267.402468263337</v>
      </c>
      <c r="T19" s="53">
        <f t="shared" si="8"/>
        <v>15245.11877532164</v>
      </c>
      <c r="U19" s="53">
        <f t="shared" si="8"/>
        <v>16251.550903371826</v>
      </c>
    </row>
    <row r="20" spans="1:21" s="52" customFormat="1" x14ac:dyDescent="0.25">
      <c r="A20"/>
      <c r="B20"/>
      <c r="C20"/>
    </row>
    <row r="21" spans="1:21" s="52" customFormat="1" x14ac:dyDescent="0.25">
      <c r="A21"/>
      <c r="B21"/>
      <c r="C21"/>
      <c r="D21" s="54" t="s">
        <v>156</v>
      </c>
    </row>
    <row r="22" spans="1:21" s="51" customFormat="1" x14ac:dyDescent="0.25">
      <c r="A22" s="1"/>
      <c r="B22" s="1"/>
      <c r="C22" s="1"/>
      <c r="D22" s="51" t="s">
        <v>151</v>
      </c>
      <c r="G22" s="51">
        <v>1102.5999999999999</v>
      </c>
      <c r="H22" s="51">
        <f>G26</f>
        <v>992.92999999999984</v>
      </c>
      <c r="I22" s="51">
        <f t="shared" ref="I22:J22" si="9">H26</f>
        <v>1126.6499999999999</v>
      </c>
      <c r="J22" s="51">
        <f t="shared" si="9"/>
        <v>1178.6399999999999</v>
      </c>
      <c r="K22" s="51">
        <f>J26</f>
        <v>1150.07</v>
      </c>
      <c r="L22" s="51">
        <f t="shared" ref="L22:U22" si="10">K26</f>
        <v>1383.2199999999998</v>
      </c>
      <c r="M22" s="51">
        <f t="shared" si="10"/>
        <v>1333.5849492745785</v>
      </c>
      <c r="N22" s="51">
        <f t="shared" si="10"/>
        <v>1285.2806030003055</v>
      </c>
      <c r="O22" s="51">
        <f t="shared" si="10"/>
        <v>1238.341245793574</v>
      </c>
      <c r="P22" s="51">
        <f t="shared" si="10"/>
        <v>1192.7276159492351</v>
      </c>
      <c r="Q22" s="51">
        <f t="shared" si="10"/>
        <v>1148.409856836229</v>
      </c>
      <c r="R22" s="51">
        <f t="shared" si="10"/>
        <v>1105.3670875096434</v>
      </c>
      <c r="S22" s="51">
        <f t="shared" si="10"/>
        <v>1063.5869890665017</v>
      </c>
      <c r="T22" s="51">
        <f t="shared" si="10"/>
        <v>1023.057099124631</v>
      </c>
      <c r="U22" s="51">
        <f t="shared" si="10"/>
        <v>983.76730278016214</v>
      </c>
    </row>
    <row r="23" spans="1:21" s="52" customFormat="1" x14ac:dyDescent="0.25">
      <c r="A23"/>
      <c r="B23"/>
      <c r="C23"/>
      <c r="D23" s="52" t="s">
        <v>152</v>
      </c>
      <c r="G23" s="52">
        <v>31.05</v>
      </c>
      <c r="H23" s="52">
        <v>134.63</v>
      </c>
      <c r="I23" s="52">
        <v>53.64</v>
      </c>
      <c r="J23" s="52">
        <v>31.73</v>
      </c>
      <c r="K23" s="52">
        <v>23.08</v>
      </c>
      <c r="L23" s="52">
        <f>K23/K$280*L$298</f>
        <v>33.874549274578911</v>
      </c>
      <c r="M23" s="52">
        <f t="shared" ref="M23:U23" si="11">L23/L$280*M$298</f>
        <v>35.205253725727026</v>
      </c>
      <c r="N23" s="52">
        <f t="shared" si="11"/>
        <v>36.570242793268676</v>
      </c>
      <c r="O23" s="52">
        <f t="shared" si="11"/>
        <v>37.895970155661146</v>
      </c>
      <c r="P23" s="52">
        <f t="shared" si="11"/>
        <v>39.191840886993909</v>
      </c>
      <c r="Q23" s="52">
        <f t="shared" si="11"/>
        <v>40.466830673414478</v>
      </c>
      <c r="R23" s="52">
        <f t="shared" si="11"/>
        <v>41.729501556858459</v>
      </c>
      <c r="S23" s="52">
        <f t="shared" si="11"/>
        <v>42.979710058129264</v>
      </c>
      <c r="T23" s="52">
        <f t="shared" si="11"/>
        <v>44.219803655531152</v>
      </c>
      <c r="U23" s="52">
        <f t="shared" si="11"/>
        <v>45.450306521227468</v>
      </c>
    </row>
    <row r="24" spans="1:21" s="52" customFormat="1" x14ac:dyDescent="0.25">
      <c r="A24"/>
      <c r="B24"/>
      <c r="C24"/>
      <c r="D24" s="52" t="s">
        <v>155</v>
      </c>
      <c r="G24" s="52">
        <v>0</v>
      </c>
      <c r="H24" s="52">
        <v>0</v>
      </c>
      <c r="I24" s="52">
        <v>0.01</v>
      </c>
      <c r="J24" s="52">
        <v>0</v>
      </c>
      <c r="K24" s="52">
        <v>0</v>
      </c>
      <c r="L24" s="52">
        <v>0</v>
      </c>
      <c r="M24" s="52">
        <f>L24</f>
        <v>0</v>
      </c>
      <c r="N24" s="52">
        <f t="shared" ref="N24:U24" si="12">M24</f>
        <v>0</v>
      </c>
      <c r="O24" s="52">
        <f t="shared" si="12"/>
        <v>0</v>
      </c>
      <c r="P24" s="52">
        <f t="shared" si="12"/>
        <v>0</v>
      </c>
      <c r="Q24" s="52">
        <f t="shared" si="12"/>
        <v>0</v>
      </c>
      <c r="R24" s="52">
        <f t="shared" si="12"/>
        <v>0</v>
      </c>
      <c r="S24" s="52">
        <f t="shared" si="12"/>
        <v>0</v>
      </c>
      <c r="T24" s="52">
        <f t="shared" si="12"/>
        <v>0</v>
      </c>
      <c r="U24" s="52">
        <f t="shared" si="12"/>
        <v>0</v>
      </c>
    </row>
    <row r="25" spans="1:21" s="52" customFormat="1" x14ac:dyDescent="0.25">
      <c r="A25"/>
      <c r="B25"/>
      <c r="C25"/>
      <c r="D25" s="52" t="s">
        <v>153</v>
      </c>
      <c r="G25" s="52">
        <v>140.72</v>
      </c>
      <c r="H25" s="52">
        <v>0.91</v>
      </c>
      <c r="I25" s="52">
        <v>1.66</v>
      </c>
      <c r="J25" s="52">
        <v>60.3</v>
      </c>
      <c r="K25" s="52">
        <v>-210.07</v>
      </c>
      <c r="L25" s="52">
        <f>AVEDEV(G25:K25)</f>
        <v>83.509600000000006</v>
      </c>
      <c r="M25" s="52">
        <f>L25</f>
        <v>83.509600000000006</v>
      </c>
      <c r="N25" s="52">
        <f t="shared" ref="N25:U25" si="13">M25</f>
        <v>83.509600000000006</v>
      </c>
      <c r="O25" s="52">
        <f t="shared" si="13"/>
        <v>83.509600000000006</v>
      </c>
      <c r="P25" s="52">
        <f t="shared" si="13"/>
        <v>83.509600000000006</v>
      </c>
      <c r="Q25" s="52">
        <f t="shared" si="13"/>
        <v>83.509600000000006</v>
      </c>
      <c r="R25" s="52">
        <f t="shared" si="13"/>
        <v>83.509600000000006</v>
      </c>
      <c r="S25" s="52">
        <f t="shared" si="13"/>
        <v>83.509600000000006</v>
      </c>
      <c r="T25" s="52">
        <f t="shared" si="13"/>
        <v>83.509600000000006</v>
      </c>
      <c r="U25" s="52">
        <f t="shared" si="13"/>
        <v>83.509600000000006</v>
      </c>
    </row>
    <row r="26" spans="1:21" s="51" customFormat="1" x14ac:dyDescent="0.25">
      <c r="A26" s="1"/>
      <c r="B26" s="1"/>
      <c r="C26" s="1"/>
      <c r="D26" s="51" t="s">
        <v>154</v>
      </c>
      <c r="G26" s="51">
        <f>G22+G23+G24-G25</f>
        <v>992.92999999999984</v>
      </c>
      <c r="H26" s="51">
        <f>H22+H23+H24-H25</f>
        <v>1126.6499999999999</v>
      </c>
      <c r="I26" s="51">
        <f>I22+I23+I24-I25</f>
        <v>1178.6399999999999</v>
      </c>
      <c r="J26" s="51">
        <f>J22+J23+J24-J25</f>
        <v>1150.07</v>
      </c>
      <c r="K26" s="51">
        <f>K22+K23+K24-K25</f>
        <v>1383.2199999999998</v>
      </c>
      <c r="L26" s="51">
        <f t="shared" ref="L26:U26" si="14">L22+L23+L24-L25</f>
        <v>1333.5849492745785</v>
      </c>
      <c r="M26" s="51">
        <f t="shared" si="14"/>
        <v>1285.2806030003055</v>
      </c>
      <c r="N26" s="51">
        <f t="shared" si="14"/>
        <v>1238.341245793574</v>
      </c>
      <c r="O26" s="51">
        <f t="shared" si="14"/>
        <v>1192.7276159492351</v>
      </c>
      <c r="P26" s="51">
        <f t="shared" si="14"/>
        <v>1148.409856836229</v>
      </c>
      <c r="Q26" s="51">
        <f t="shared" si="14"/>
        <v>1105.3670875096434</v>
      </c>
      <c r="R26" s="51">
        <f t="shared" si="14"/>
        <v>1063.5869890665017</v>
      </c>
      <c r="S26" s="51">
        <f t="shared" si="14"/>
        <v>1023.057099124631</v>
      </c>
      <c r="T26" s="51">
        <f t="shared" si="14"/>
        <v>983.76730278016214</v>
      </c>
      <c r="U26" s="51">
        <f t="shared" si="14"/>
        <v>945.70800930138955</v>
      </c>
    </row>
    <row r="27" spans="1:21" s="52" customFormat="1" x14ac:dyDescent="0.25">
      <c r="A27"/>
      <c r="B27"/>
      <c r="C27"/>
      <c r="D27" s="52" t="s">
        <v>157</v>
      </c>
      <c r="G27" s="52">
        <v>89.28</v>
      </c>
      <c r="H27" s="52">
        <v>125.17</v>
      </c>
      <c r="I27" s="52">
        <v>179.58</v>
      </c>
      <c r="J27" s="52">
        <v>238.68</v>
      </c>
      <c r="K27" s="52">
        <v>290.52</v>
      </c>
      <c r="L27" s="52">
        <f>SUM(K27:K30)</f>
        <v>342.46999999999997</v>
      </c>
      <c r="M27" s="52">
        <f t="shared" ref="M27:U27" si="15">SUM(L27:L30)</f>
        <v>416.60269780699201</v>
      </c>
      <c r="N27" s="52">
        <f t="shared" si="15"/>
        <v>483.33042924030605</v>
      </c>
      <c r="O27" s="52">
        <f t="shared" si="15"/>
        <v>541.75947050010188</v>
      </c>
      <c r="P27" s="52">
        <f t="shared" si="15"/>
        <v>592.58698260055928</v>
      </c>
      <c r="Q27" s="52">
        <f t="shared" si="15"/>
        <v>636.4569992534025</v>
      </c>
      <c r="R27" s="52">
        <f t="shared" si="15"/>
        <v>673.96493810362767</v>
      </c>
      <c r="S27" s="52">
        <f t="shared" si="15"/>
        <v>705.66175553678102</v>
      </c>
      <c r="T27" s="52">
        <f t="shared" si="15"/>
        <v>732.05777190718175</v>
      </c>
      <c r="U27" s="52">
        <f t="shared" si="15"/>
        <v>753.6255927678111</v>
      </c>
    </row>
    <row r="28" spans="1:21" s="52" customFormat="1" x14ac:dyDescent="0.25">
      <c r="A28"/>
      <c r="B28"/>
      <c r="C28"/>
      <c r="D28" s="52" t="s">
        <v>158</v>
      </c>
      <c r="G28" s="52">
        <v>45.12</v>
      </c>
      <c r="H28" s="52">
        <v>54.41</v>
      </c>
      <c r="I28" s="52">
        <v>59.42</v>
      </c>
      <c r="J28" s="52">
        <v>54.89</v>
      </c>
      <c r="K28" s="52">
        <v>62.01</v>
      </c>
      <c r="L28" s="52">
        <f>K28/J31*K31</f>
        <v>73.630697806992032</v>
      </c>
      <c r="M28" s="52">
        <f t="shared" ref="M28:U28" si="16">L28/K31*L31</f>
        <v>66.225731433313996</v>
      </c>
      <c r="N28" s="52">
        <f t="shared" si="16"/>
        <v>57.927041259795914</v>
      </c>
      <c r="O28" s="52">
        <f t="shared" si="16"/>
        <v>50.325512100457445</v>
      </c>
      <c r="P28" s="52">
        <f t="shared" si="16"/>
        <v>43.368016652843217</v>
      </c>
      <c r="Q28" s="52">
        <f t="shared" si="16"/>
        <v>37.005938850225199</v>
      </c>
      <c r="R28" s="52">
        <f t="shared" si="16"/>
        <v>31.194817433153435</v>
      </c>
      <c r="S28" s="52">
        <f t="shared" si="16"/>
        <v>25.894016370400763</v>
      </c>
      <c r="T28" s="52">
        <f t="shared" si="16"/>
        <v>21.065820860629433</v>
      </c>
      <c r="U28" s="52">
        <f t="shared" si="16"/>
        <v>16.675406291508214</v>
      </c>
    </row>
    <row r="29" spans="1:21" s="52" customFormat="1" x14ac:dyDescent="0.25">
      <c r="A29"/>
      <c r="B29"/>
      <c r="C29"/>
      <c r="D29" s="52" t="s">
        <v>159</v>
      </c>
      <c r="G29" s="52">
        <v>9.1999999999999993</v>
      </c>
      <c r="H29" s="52">
        <v>0</v>
      </c>
      <c r="I29" s="52">
        <v>0.32</v>
      </c>
      <c r="J29" s="52">
        <v>3.05</v>
      </c>
      <c r="K29" s="52">
        <v>-10.06</v>
      </c>
      <c r="L29" s="52">
        <f>AVERAGE(G29:K29)</f>
        <v>0.502</v>
      </c>
      <c r="M29" s="52">
        <f>L29</f>
        <v>0.502</v>
      </c>
      <c r="N29" s="52">
        <f t="shared" ref="N29:U29" si="17">M29</f>
        <v>0.502</v>
      </c>
      <c r="O29" s="52">
        <f t="shared" si="17"/>
        <v>0.502</v>
      </c>
      <c r="P29" s="52">
        <f t="shared" si="17"/>
        <v>0.502</v>
      </c>
      <c r="Q29" s="52">
        <f t="shared" si="17"/>
        <v>0.502</v>
      </c>
      <c r="R29" s="52">
        <f t="shared" si="17"/>
        <v>0.502</v>
      </c>
      <c r="S29" s="52">
        <f t="shared" si="17"/>
        <v>0.502</v>
      </c>
      <c r="T29" s="52">
        <f t="shared" si="17"/>
        <v>0.502</v>
      </c>
      <c r="U29" s="52">
        <f t="shared" si="17"/>
        <v>0.502</v>
      </c>
    </row>
    <row r="30" spans="1:21" s="52" customFormat="1" x14ac:dyDescent="0.25">
      <c r="A30"/>
      <c r="B30"/>
      <c r="C30"/>
      <c r="D30" s="52" t="s">
        <v>161</v>
      </c>
      <c r="G30" s="52">
        <v>-0.03</v>
      </c>
      <c r="H30" s="52">
        <v>0</v>
      </c>
      <c r="I30" s="52">
        <v>0</v>
      </c>
      <c r="J30" s="52">
        <v>0</v>
      </c>
      <c r="K30" s="52">
        <v>0</v>
      </c>
      <c r="L30" s="52">
        <v>0</v>
      </c>
      <c r="M30" s="52">
        <f>L30</f>
        <v>0</v>
      </c>
      <c r="N30" s="52">
        <f t="shared" ref="N30:U30" si="18">M30</f>
        <v>0</v>
      </c>
      <c r="O30" s="52">
        <f t="shared" si="18"/>
        <v>0</v>
      </c>
      <c r="P30" s="52">
        <f t="shared" si="18"/>
        <v>0</v>
      </c>
      <c r="Q30" s="52">
        <f t="shared" si="18"/>
        <v>0</v>
      </c>
      <c r="R30" s="52">
        <f t="shared" si="18"/>
        <v>0</v>
      </c>
      <c r="S30" s="52">
        <f t="shared" si="18"/>
        <v>0</v>
      </c>
      <c r="T30" s="52">
        <f t="shared" si="18"/>
        <v>0</v>
      </c>
      <c r="U30" s="52">
        <f t="shared" si="18"/>
        <v>0</v>
      </c>
    </row>
    <row r="31" spans="1:21" s="53" customFormat="1" x14ac:dyDescent="0.25">
      <c r="A31" s="1"/>
      <c r="B31" s="1"/>
      <c r="C31" s="5"/>
      <c r="D31" s="53" t="s">
        <v>160</v>
      </c>
      <c r="G31" s="53">
        <f>G26-G27-G28+G29-G30</f>
        <v>867.75999999999988</v>
      </c>
      <c r="H31" s="53">
        <f>H26-H27-H28+H29-H30</f>
        <v>947.06999999999994</v>
      </c>
      <c r="I31" s="53">
        <f>I26-I27-I28+I29-I30</f>
        <v>939.95999999999992</v>
      </c>
      <c r="J31" s="53">
        <f>J26-J27-J28+J29-J30</f>
        <v>859.54999999999984</v>
      </c>
      <c r="K31" s="53">
        <f>K26-K27-K28+K29-K30</f>
        <v>1020.6299999999999</v>
      </c>
      <c r="L31" s="53">
        <f t="shared" ref="L31:U31" si="19">L26-L27-L28+L29-L30</f>
        <v>917.9862514675865</v>
      </c>
      <c r="M31" s="53">
        <f t="shared" si="19"/>
        <v>802.95417375999955</v>
      </c>
      <c r="N31" s="53">
        <f t="shared" si="19"/>
        <v>697.5857752934719</v>
      </c>
      <c r="O31" s="53">
        <f t="shared" si="19"/>
        <v>601.14463334867571</v>
      </c>
      <c r="P31" s="53">
        <f t="shared" si="19"/>
        <v>512.95685758282639</v>
      </c>
      <c r="Q31" s="53">
        <f t="shared" si="19"/>
        <v>432.40614940601569</v>
      </c>
      <c r="R31" s="53">
        <f t="shared" si="19"/>
        <v>358.92923352972059</v>
      </c>
      <c r="S31" s="53">
        <f t="shared" si="19"/>
        <v>292.00332721744923</v>
      </c>
      <c r="T31" s="53">
        <f t="shared" si="19"/>
        <v>231.14571001235097</v>
      </c>
      <c r="U31" s="53">
        <f t="shared" si="19"/>
        <v>175.90901024207025</v>
      </c>
    </row>
    <row r="32" spans="1:21" s="52" customFormat="1" x14ac:dyDescent="0.25">
      <c r="A32"/>
      <c r="B32"/>
      <c r="C32"/>
    </row>
    <row r="33" spans="1:21" s="52" customFormat="1" x14ac:dyDescent="0.25">
      <c r="A33"/>
      <c r="B33"/>
      <c r="C33"/>
    </row>
    <row r="34" spans="1:21" s="52" customFormat="1" x14ac:dyDescent="0.25">
      <c r="A34"/>
      <c r="B34"/>
      <c r="C34"/>
      <c r="D34" s="51" t="s">
        <v>162</v>
      </c>
    </row>
    <row r="35" spans="1:21" s="51" customFormat="1" x14ac:dyDescent="0.25">
      <c r="A35"/>
      <c r="B35" s="1"/>
      <c r="C35" s="1"/>
      <c r="D35" s="51" t="s">
        <v>151</v>
      </c>
      <c r="G35" s="51">
        <v>5130.1099999999997</v>
      </c>
      <c r="H35" s="51">
        <v>5420.7</v>
      </c>
      <c r="I35" s="51">
        <v>5516</v>
      </c>
      <c r="J35" s="51">
        <v>5734.25</v>
      </c>
      <c r="K35" s="52">
        <v>6184.13</v>
      </c>
      <c r="L35" s="51">
        <f>K39</f>
        <v>6604.5800000000008</v>
      </c>
      <c r="M35" s="51">
        <f t="shared" ref="M35:U35" si="20">L39</f>
        <v>7312.8432750522143</v>
      </c>
      <c r="N35" s="51">
        <f t="shared" si="20"/>
        <v>8049.7426410815397</v>
      </c>
      <c r="O35" s="51">
        <f t="shared" si="20"/>
        <v>8816.015885801331</v>
      </c>
      <c r="P35" s="51">
        <f t="shared" si="20"/>
        <v>9610.8181170496955</v>
      </c>
      <c r="Q35" s="51">
        <f t="shared" si="20"/>
        <v>10433.506835132161</v>
      </c>
      <c r="R35" s="51">
        <f t="shared" si="20"/>
        <v>11283.632692608971</v>
      </c>
      <c r="S35" s="51">
        <f t="shared" si="20"/>
        <v>12160.930592879547</v>
      </c>
      <c r="T35" s="51">
        <f t="shared" si="20"/>
        <v>13065.132351743112</v>
      </c>
      <c r="U35" s="51">
        <f t="shared" si="20"/>
        <v>13996.020301552153</v>
      </c>
    </row>
    <row r="36" spans="1:21" s="52" customFormat="1" x14ac:dyDescent="0.25">
      <c r="A36"/>
      <c r="B36"/>
      <c r="C36"/>
      <c r="D36" s="52" t="s">
        <v>152</v>
      </c>
      <c r="G36" s="52">
        <v>231.7</v>
      </c>
      <c r="H36" s="52">
        <v>109.4</v>
      </c>
      <c r="I36" s="52">
        <v>230.27</v>
      </c>
      <c r="J36" s="52">
        <v>436.52</v>
      </c>
      <c r="K36" s="52">
        <v>496.67</v>
      </c>
      <c r="L36" s="52">
        <f>K36/K$280*L$298</f>
        <v>728.96327505221439</v>
      </c>
      <c r="M36" s="52">
        <f t="shared" ref="M36:U36" si="21">L36/L$280*M$298</f>
        <v>757.59936602932589</v>
      </c>
      <c r="N36" s="52">
        <f t="shared" si="21"/>
        <v>786.97324471979005</v>
      </c>
      <c r="O36" s="52">
        <f t="shared" si="21"/>
        <v>815.50223124836316</v>
      </c>
      <c r="P36" s="52">
        <f t="shared" si="21"/>
        <v>843.3887180824637</v>
      </c>
      <c r="Q36" s="52">
        <f t="shared" si="21"/>
        <v>870.82585747680969</v>
      </c>
      <c r="R36" s="52">
        <f t="shared" si="21"/>
        <v>897.99790027057577</v>
      </c>
      <c r="S36" s="52">
        <f t="shared" si="21"/>
        <v>924.90175886356417</v>
      </c>
      <c r="T36" s="52">
        <f t="shared" si="21"/>
        <v>951.58794980904065</v>
      </c>
      <c r="U36" s="52">
        <f t="shared" si="21"/>
        <v>978.06775302851167</v>
      </c>
    </row>
    <row r="37" spans="1:21" s="52" customFormat="1" x14ac:dyDescent="0.25">
      <c r="A37"/>
      <c r="B37"/>
      <c r="C37"/>
      <c r="D37" s="52" t="s">
        <v>155</v>
      </c>
      <c r="G37" s="52">
        <v>-3.16</v>
      </c>
      <c r="H37" s="52">
        <v>-9.24</v>
      </c>
      <c r="I37" s="52">
        <v>6.44</v>
      </c>
      <c r="J37" s="52">
        <v>19.27</v>
      </c>
      <c r="K37" s="52">
        <v>3.89</v>
      </c>
      <c r="L37" s="52">
        <f>AVERAGE(G37:K37)</f>
        <v>3.44</v>
      </c>
      <c r="M37" s="52">
        <f>L37</f>
        <v>3.44</v>
      </c>
      <c r="N37" s="52">
        <f t="shared" ref="N37:U37" si="22">M37</f>
        <v>3.44</v>
      </c>
      <c r="O37" s="52">
        <f t="shared" si="22"/>
        <v>3.44</v>
      </c>
      <c r="P37" s="52">
        <f t="shared" si="22"/>
        <v>3.44</v>
      </c>
      <c r="Q37" s="52">
        <f t="shared" si="22"/>
        <v>3.44</v>
      </c>
      <c r="R37" s="52">
        <f t="shared" si="22"/>
        <v>3.44</v>
      </c>
      <c r="S37" s="52">
        <f t="shared" si="22"/>
        <v>3.44</v>
      </c>
      <c r="T37" s="52">
        <f t="shared" si="22"/>
        <v>3.44</v>
      </c>
      <c r="U37" s="52">
        <f t="shared" si="22"/>
        <v>3.44</v>
      </c>
    </row>
    <row r="38" spans="1:21" s="52" customFormat="1" x14ac:dyDescent="0.25">
      <c r="A38"/>
      <c r="B38"/>
      <c r="C38"/>
      <c r="D38" s="52" t="s">
        <v>153</v>
      </c>
      <c r="G38" s="52">
        <v>11.36</v>
      </c>
      <c r="H38" s="52">
        <v>4.8600000000000003</v>
      </c>
      <c r="I38" s="52">
        <v>18.46</v>
      </c>
      <c r="J38" s="52">
        <v>5.91</v>
      </c>
      <c r="K38" s="52">
        <v>80.11</v>
      </c>
      <c r="L38" s="52">
        <f>AVERAGE(G38:K38)</f>
        <v>24.14</v>
      </c>
      <c r="M38" s="52">
        <f>L38</f>
        <v>24.14</v>
      </c>
      <c r="N38" s="52">
        <f t="shared" ref="N38:U38" si="23">M38</f>
        <v>24.14</v>
      </c>
      <c r="O38" s="52">
        <f t="shared" si="23"/>
        <v>24.14</v>
      </c>
      <c r="P38" s="52">
        <f t="shared" si="23"/>
        <v>24.14</v>
      </c>
      <c r="Q38" s="52">
        <f t="shared" si="23"/>
        <v>24.14</v>
      </c>
      <c r="R38" s="52">
        <f t="shared" si="23"/>
        <v>24.14</v>
      </c>
      <c r="S38" s="52">
        <f t="shared" si="23"/>
        <v>24.14</v>
      </c>
      <c r="T38" s="52">
        <f t="shared" si="23"/>
        <v>24.14</v>
      </c>
      <c r="U38" s="52">
        <f t="shared" si="23"/>
        <v>24.14</v>
      </c>
    </row>
    <row r="39" spans="1:21" s="51" customFormat="1" x14ac:dyDescent="0.25">
      <c r="A39" s="1"/>
      <c r="B39" s="1"/>
      <c r="C39" s="1"/>
      <c r="D39" s="51" t="s">
        <v>154</v>
      </c>
      <c r="G39" s="51">
        <f>G35+G36+G37-G38</f>
        <v>5347.29</v>
      </c>
      <c r="H39" s="51">
        <f>H35+H36+H37-H38</f>
        <v>5516</v>
      </c>
      <c r="I39" s="51">
        <f>I35+I36+I37-I38</f>
        <v>5734.25</v>
      </c>
      <c r="J39" s="51">
        <f>J35+J36+J37-J38</f>
        <v>6184.130000000001</v>
      </c>
      <c r="K39" s="51">
        <f>K35+K36+K37-K38</f>
        <v>6604.5800000000008</v>
      </c>
      <c r="L39" s="51">
        <f t="shared" ref="L39:U39" si="24">L35+L36+L37-L38</f>
        <v>7312.8432750522143</v>
      </c>
      <c r="M39" s="51">
        <f t="shared" si="24"/>
        <v>8049.7426410815397</v>
      </c>
      <c r="N39" s="51">
        <f t="shared" si="24"/>
        <v>8816.015885801331</v>
      </c>
      <c r="O39" s="51">
        <f t="shared" si="24"/>
        <v>9610.8181170496955</v>
      </c>
      <c r="P39" s="51">
        <f t="shared" si="24"/>
        <v>10433.506835132161</v>
      </c>
      <c r="Q39" s="51">
        <f t="shared" si="24"/>
        <v>11283.632692608971</v>
      </c>
      <c r="R39" s="51">
        <f t="shared" si="24"/>
        <v>12160.930592879547</v>
      </c>
      <c r="S39" s="51">
        <f t="shared" si="24"/>
        <v>13065.132351743112</v>
      </c>
      <c r="T39" s="51">
        <f t="shared" si="24"/>
        <v>13996.020301552153</v>
      </c>
      <c r="U39" s="51">
        <f t="shared" si="24"/>
        <v>14953.388054580666</v>
      </c>
    </row>
    <row r="40" spans="1:21" s="52" customFormat="1" x14ac:dyDescent="0.25">
      <c r="A40"/>
      <c r="B40"/>
      <c r="C40"/>
      <c r="D40" s="52" t="s">
        <v>157</v>
      </c>
      <c r="G40" s="52">
        <v>629.19000000000005</v>
      </c>
      <c r="H40" s="52">
        <v>861.43</v>
      </c>
      <c r="I40" s="52">
        <v>1084.25</v>
      </c>
      <c r="J40" s="52">
        <v>1304.92</v>
      </c>
      <c r="K40" s="52">
        <v>1539.83</v>
      </c>
      <c r="L40" s="52">
        <f>SUM(K40:K43)</f>
        <v>1817.8999999999999</v>
      </c>
      <c r="M40" s="52">
        <f t="shared" ref="M40:U40" si="25">SUM(L40:L43)</f>
        <v>2086.4243710354626</v>
      </c>
      <c r="N40" s="52">
        <f t="shared" si="25"/>
        <v>2376.2555984748428</v>
      </c>
      <c r="O40" s="52">
        <f t="shared" si="25"/>
        <v>2689.9491347390322</v>
      </c>
      <c r="P40" s="52">
        <f t="shared" si="25"/>
        <v>3027.7991604481449</v>
      </c>
      <c r="Q40" s="52">
        <f t="shared" si="25"/>
        <v>3390.0390580929911</v>
      </c>
      <c r="R40" s="52">
        <f t="shared" si="25"/>
        <v>3776.8554598608011</v>
      </c>
      <c r="S40" s="52">
        <f t="shared" si="25"/>
        <v>4188.4010524594587</v>
      </c>
      <c r="T40" s="52">
        <f t="shared" si="25"/>
        <v>4624.8062233689034</v>
      </c>
      <c r="U40" s="52">
        <f t="shared" si="25"/>
        <v>5086.180086263781</v>
      </c>
    </row>
    <row r="41" spans="1:21" s="52" customFormat="1" x14ac:dyDescent="0.25">
      <c r="A41"/>
      <c r="B41"/>
      <c r="C41"/>
      <c r="D41" s="52" t="s">
        <v>158</v>
      </c>
      <c r="G41" s="52">
        <v>224.86</v>
      </c>
      <c r="H41" s="52">
        <v>228.78</v>
      </c>
      <c r="I41" s="52">
        <v>227.32</v>
      </c>
      <c r="J41" s="52">
        <v>231.64</v>
      </c>
      <c r="K41" s="52">
        <v>247.89</v>
      </c>
      <c r="L41" s="52">
        <f>K41/J44*K44</f>
        <v>258.58637103546278</v>
      </c>
      <c r="M41" s="52">
        <f t="shared" ref="M41:U41" si="26">L41/K44*L44</f>
        <v>279.89322743937993</v>
      </c>
      <c r="N41" s="52">
        <f t="shared" si="26"/>
        <v>303.75553626418912</v>
      </c>
      <c r="O41" s="52">
        <f t="shared" si="26"/>
        <v>327.91202570911287</v>
      </c>
      <c r="P41" s="52">
        <f t="shared" si="26"/>
        <v>352.30189764484595</v>
      </c>
      <c r="Q41" s="52">
        <f t="shared" si="26"/>
        <v>376.87840176780986</v>
      </c>
      <c r="R41" s="52">
        <f t="shared" si="26"/>
        <v>401.60759259865716</v>
      </c>
      <c r="S41" s="52">
        <f t="shared" si="26"/>
        <v>426.46717090944503</v>
      </c>
      <c r="T41" s="52">
        <f t="shared" si="26"/>
        <v>451.43586289487803</v>
      </c>
      <c r="U41" s="52">
        <f t="shared" si="26"/>
        <v>476.49622656758487</v>
      </c>
    </row>
    <row r="42" spans="1:21" s="52" customFormat="1" x14ac:dyDescent="0.25">
      <c r="A42"/>
      <c r="B42"/>
      <c r="C42"/>
      <c r="D42" s="52" t="s">
        <v>159</v>
      </c>
      <c r="G42" s="52">
        <v>2.81</v>
      </c>
      <c r="H42" s="52">
        <v>3.2</v>
      </c>
      <c r="I42" s="52">
        <v>7.19</v>
      </c>
      <c r="J42" s="52">
        <v>1.47</v>
      </c>
      <c r="K42" s="52">
        <v>29.01</v>
      </c>
      <c r="L42" s="52">
        <f>AVERAGE(G42:K42)</f>
        <v>8.7360000000000007</v>
      </c>
      <c r="M42" s="52">
        <f>L42</f>
        <v>8.7360000000000007</v>
      </c>
      <c r="N42" s="52">
        <f t="shared" ref="N42:U42" si="27">M42</f>
        <v>8.7360000000000007</v>
      </c>
      <c r="O42" s="52">
        <f t="shared" si="27"/>
        <v>8.7360000000000007</v>
      </c>
      <c r="P42" s="52">
        <f t="shared" si="27"/>
        <v>8.7360000000000007</v>
      </c>
      <c r="Q42" s="52">
        <f t="shared" si="27"/>
        <v>8.7360000000000007</v>
      </c>
      <c r="R42" s="52">
        <f t="shared" si="27"/>
        <v>8.7360000000000007</v>
      </c>
      <c r="S42" s="52">
        <f t="shared" si="27"/>
        <v>8.7360000000000007</v>
      </c>
      <c r="T42" s="52">
        <f t="shared" si="27"/>
        <v>8.7360000000000007</v>
      </c>
      <c r="U42" s="52">
        <f t="shared" si="27"/>
        <v>8.7360000000000007</v>
      </c>
    </row>
    <row r="43" spans="1:21" s="52" customFormat="1" x14ac:dyDescent="0.25">
      <c r="A43"/>
      <c r="B43"/>
      <c r="C43"/>
      <c r="D43" s="52" t="s">
        <v>161</v>
      </c>
      <c r="G43" s="52">
        <v>2.3199999999999998</v>
      </c>
      <c r="H43" s="52">
        <v>-2.76</v>
      </c>
      <c r="I43" s="52">
        <v>0.54</v>
      </c>
      <c r="J43" s="52">
        <v>4.74</v>
      </c>
      <c r="K43" s="52">
        <v>1.17</v>
      </c>
      <c r="L43" s="52">
        <f>AVERAGE(G43:K43)</f>
        <v>1.202</v>
      </c>
      <c r="M43" s="52">
        <f>L43</f>
        <v>1.202</v>
      </c>
      <c r="N43" s="52">
        <f t="shared" ref="N43:U43" si="28">M43</f>
        <v>1.202</v>
      </c>
      <c r="O43" s="52">
        <f t="shared" si="28"/>
        <v>1.202</v>
      </c>
      <c r="P43" s="52">
        <f t="shared" si="28"/>
        <v>1.202</v>
      </c>
      <c r="Q43" s="52">
        <f t="shared" si="28"/>
        <v>1.202</v>
      </c>
      <c r="R43" s="52">
        <f t="shared" si="28"/>
        <v>1.202</v>
      </c>
      <c r="S43" s="52">
        <f t="shared" si="28"/>
        <v>1.202</v>
      </c>
      <c r="T43" s="52">
        <f t="shared" si="28"/>
        <v>1.202</v>
      </c>
      <c r="U43" s="52">
        <f t="shared" si="28"/>
        <v>1.202</v>
      </c>
    </row>
    <row r="44" spans="1:21" s="53" customFormat="1" x14ac:dyDescent="0.25">
      <c r="A44" s="1"/>
      <c r="B44" s="1"/>
      <c r="C44" s="5"/>
      <c r="D44" s="53" t="s">
        <v>160</v>
      </c>
      <c r="G44" s="53">
        <f>G39-G40-G41+G42-G43</f>
        <v>4493.7300000000014</v>
      </c>
      <c r="H44" s="53">
        <f>H39-H40-H41+H42-H43</f>
        <v>4431.75</v>
      </c>
      <c r="I44" s="53">
        <f>I39-I40-I41+I42-I43</f>
        <v>4429.33</v>
      </c>
      <c r="J44" s="53">
        <f>J39-J40-J41+J42-J43</f>
        <v>4644.3000000000011</v>
      </c>
      <c r="K44" s="53">
        <f>K39-K40-K41+K42-K43</f>
        <v>4844.7000000000007</v>
      </c>
      <c r="L44" s="53">
        <f t="shared" ref="L44:U44" si="29">L39-L40-L41+L42-L43</f>
        <v>5243.8909040167518</v>
      </c>
      <c r="M44" s="53">
        <f t="shared" si="29"/>
        <v>5690.9590426066961</v>
      </c>
      <c r="N44" s="53">
        <f t="shared" si="29"/>
        <v>6143.5387510622986</v>
      </c>
      <c r="O44" s="53">
        <f t="shared" si="29"/>
        <v>6600.4909566015504</v>
      </c>
      <c r="P44" s="53">
        <f t="shared" si="29"/>
        <v>7060.9397770391697</v>
      </c>
      <c r="Q44" s="53">
        <f t="shared" si="29"/>
        <v>7524.2492327481705</v>
      </c>
      <c r="R44" s="53">
        <f t="shared" si="29"/>
        <v>7990.0015404200894</v>
      </c>
      <c r="S44" s="53">
        <f t="shared" si="29"/>
        <v>8457.7981283742083</v>
      </c>
      <c r="T44" s="53">
        <f t="shared" si="29"/>
        <v>8927.3122152883734</v>
      </c>
      <c r="U44" s="53">
        <f t="shared" si="29"/>
        <v>9398.2457417493024</v>
      </c>
    </row>
    <row r="45" spans="1:21" s="52" customFormat="1" x14ac:dyDescent="0.25">
      <c r="A45"/>
      <c r="B45"/>
      <c r="C45"/>
    </row>
    <row r="46" spans="1:21" s="52" customFormat="1" x14ac:dyDescent="0.25">
      <c r="A46"/>
      <c r="B46"/>
      <c r="C46"/>
    </row>
    <row r="47" spans="1:21" s="52" customFormat="1" x14ac:dyDescent="0.25">
      <c r="A47"/>
      <c r="B47"/>
      <c r="C47"/>
      <c r="D47" s="51" t="s">
        <v>163</v>
      </c>
    </row>
    <row r="48" spans="1:21" s="51" customFormat="1" x14ac:dyDescent="0.25">
      <c r="A48" s="1"/>
      <c r="B48" s="1"/>
      <c r="C48" s="1"/>
      <c r="D48" s="51" t="s">
        <v>151</v>
      </c>
      <c r="G48" s="51">
        <v>889.53</v>
      </c>
      <c r="H48" s="51">
        <v>905.51</v>
      </c>
      <c r="I48" s="51">
        <v>958.73</v>
      </c>
      <c r="J48" s="51">
        <f>I52</f>
        <v>988.99</v>
      </c>
      <c r="K48" s="52">
        <v>1008.07</v>
      </c>
      <c r="L48" s="51">
        <f>K52</f>
        <v>1087.53</v>
      </c>
      <c r="M48" s="51">
        <f t="shared" ref="M48:U48" si="30">L52</f>
        <v>1189.2607475694524</v>
      </c>
      <c r="N48" s="51">
        <f t="shared" si="30"/>
        <v>1294.9334476226568</v>
      </c>
      <c r="O48" s="51">
        <f t="shared" si="30"/>
        <v>1404.6496616510701</v>
      </c>
      <c r="P48" s="51">
        <f t="shared" si="30"/>
        <v>1518.2930845081999</v>
      </c>
      <c r="Q48" s="51">
        <f t="shared" si="30"/>
        <v>1635.7752717457984</v>
      </c>
      <c r="R48" s="51">
        <f t="shared" si="30"/>
        <v>1757.0343676358048</v>
      </c>
      <c r="S48" s="51">
        <f t="shared" si="30"/>
        <v>1882.0338798300168</v>
      </c>
      <c r="T48" s="51">
        <f t="shared" si="30"/>
        <v>2010.7368909510869</v>
      </c>
      <c r="U48" s="51">
        <f t="shared" si="30"/>
        <v>2143.1134375684469</v>
      </c>
    </row>
    <row r="49" spans="1:21" s="52" customFormat="1" x14ac:dyDescent="0.25">
      <c r="A49"/>
      <c r="B49"/>
      <c r="C49"/>
      <c r="D49" s="52" t="s">
        <v>152</v>
      </c>
      <c r="G49" s="52">
        <v>14.53</v>
      </c>
      <c r="H49" s="52">
        <v>53.22</v>
      </c>
      <c r="I49" s="52">
        <v>33.61</v>
      </c>
      <c r="J49" s="52">
        <v>19.75</v>
      </c>
      <c r="K49" s="52">
        <v>68.37</v>
      </c>
      <c r="L49" s="52">
        <f>K49/K$280*L$298</f>
        <v>100.34674756945236</v>
      </c>
      <c r="M49" s="52">
        <f t="shared" ref="M49:U49" si="31">L49/L$280*M$298</f>
        <v>104.28870005320438</v>
      </c>
      <c r="N49" s="52">
        <f t="shared" si="31"/>
        <v>108.33221402841333</v>
      </c>
      <c r="O49" s="52">
        <f t="shared" si="31"/>
        <v>112.25942285712968</v>
      </c>
      <c r="P49" s="52">
        <f t="shared" si="31"/>
        <v>116.09818723759851</v>
      </c>
      <c r="Q49" s="52">
        <f t="shared" si="31"/>
        <v>119.87509589000642</v>
      </c>
      <c r="R49" s="52">
        <f t="shared" si="31"/>
        <v>123.615512194212</v>
      </c>
      <c r="S49" s="52">
        <f t="shared" si="31"/>
        <v>127.31901112107012</v>
      </c>
      <c r="T49" s="52">
        <f t="shared" si="31"/>
        <v>130.99254661735986</v>
      </c>
      <c r="U49" s="52">
        <f t="shared" si="31"/>
        <v>134.6376714409152</v>
      </c>
    </row>
    <row r="50" spans="1:21" s="52" customFormat="1" x14ac:dyDescent="0.25">
      <c r="A50"/>
      <c r="B50"/>
      <c r="C50"/>
      <c r="D50" s="52" t="s">
        <v>155</v>
      </c>
      <c r="G50" s="52">
        <v>1.6</v>
      </c>
      <c r="H50" s="52">
        <v>0</v>
      </c>
      <c r="I50" s="52">
        <v>-0.01</v>
      </c>
      <c r="J50" s="52">
        <v>0.01</v>
      </c>
      <c r="K50" s="52">
        <v>0</v>
      </c>
      <c r="L50" s="52">
        <v>0</v>
      </c>
      <c r="M50" s="52">
        <f>L50</f>
        <v>0</v>
      </c>
      <c r="N50" s="52">
        <f t="shared" ref="N50:U50" si="32">M50</f>
        <v>0</v>
      </c>
      <c r="O50" s="52">
        <f t="shared" si="32"/>
        <v>0</v>
      </c>
      <c r="P50" s="52">
        <f t="shared" si="32"/>
        <v>0</v>
      </c>
      <c r="Q50" s="52">
        <f t="shared" si="32"/>
        <v>0</v>
      </c>
      <c r="R50" s="52">
        <f t="shared" si="32"/>
        <v>0</v>
      </c>
      <c r="S50" s="52">
        <f t="shared" si="32"/>
        <v>0</v>
      </c>
      <c r="T50" s="52">
        <f t="shared" si="32"/>
        <v>0</v>
      </c>
      <c r="U50" s="52">
        <f t="shared" si="32"/>
        <v>0</v>
      </c>
    </row>
    <row r="51" spans="1:21" s="52" customFormat="1" x14ac:dyDescent="0.25">
      <c r="A51"/>
      <c r="B51"/>
      <c r="C51"/>
      <c r="D51" s="52" t="s">
        <v>153</v>
      </c>
      <c r="G51" s="52">
        <v>0.15</v>
      </c>
      <c r="H51" s="52">
        <v>0</v>
      </c>
      <c r="I51" s="52">
        <v>3.34</v>
      </c>
      <c r="J51" s="52">
        <v>0.68</v>
      </c>
      <c r="K51" s="52">
        <v>-11.09</v>
      </c>
      <c r="L51" s="52">
        <f>AVERAGE(G51:K51)</f>
        <v>-1.3839999999999999</v>
      </c>
      <c r="M51" s="52">
        <f>L51</f>
        <v>-1.3839999999999999</v>
      </c>
      <c r="N51" s="52">
        <f t="shared" ref="N51:U51" si="33">M51</f>
        <v>-1.3839999999999999</v>
      </c>
      <c r="O51" s="52">
        <f t="shared" si="33"/>
        <v>-1.3839999999999999</v>
      </c>
      <c r="P51" s="52">
        <f t="shared" si="33"/>
        <v>-1.3839999999999999</v>
      </c>
      <c r="Q51" s="52">
        <f t="shared" si="33"/>
        <v>-1.3839999999999999</v>
      </c>
      <c r="R51" s="52">
        <f t="shared" si="33"/>
        <v>-1.3839999999999999</v>
      </c>
      <c r="S51" s="52">
        <f t="shared" si="33"/>
        <v>-1.3839999999999999</v>
      </c>
      <c r="T51" s="52">
        <f t="shared" si="33"/>
        <v>-1.3839999999999999</v>
      </c>
      <c r="U51" s="52">
        <f t="shared" si="33"/>
        <v>-1.3839999999999999</v>
      </c>
    </row>
    <row r="52" spans="1:21" s="51" customFormat="1" x14ac:dyDescent="0.25">
      <c r="A52" s="1"/>
      <c r="B52" s="1"/>
      <c r="C52" s="1"/>
      <c r="D52" s="51" t="s">
        <v>154</v>
      </c>
      <c r="G52" s="51">
        <f>G48+G49+G50-G51</f>
        <v>905.51</v>
      </c>
      <c r="H52" s="51">
        <f t="shared" ref="H52:U52" si="34">H48+H49+H50-H51</f>
        <v>958.73</v>
      </c>
      <c r="I52" s="51">
        <f t="shared" si="34"/>
        <v>988.99</v>
      </c>
      <c r="J52" s="51">
        <f t="shared" si="34"/>
        <v>1008.07</v>
      </c>
      <c r="K52" s="51">
        <f t="shared" si="34"/>
        <v>1087.53</v>
      </c>
      <c r="L52" s="51">
        <f t="shared" si="34"/>
        <v>1189.2607475694524</v>
      </c>
      <c r="M52" s="51">
        <f t="shared" si="34"/>
        <v>1294.9334476226568</v>
      </c>
      <c r="N52" s="51">
        <f t="shared" si="34"/>
        <v>1404.6496616510701</v>
      </c>
      <c r="O52" s="51">
        <f t="shared" si="34"/>
        <v>1518.2930845081999</v>
      </c>
      <c r="P52" s="51">
        <f t="shared" si="34"/>
        <v>1635.7752717457984</v>
      </c>
      <c r="Q52" s="51">
        <f t="shared" si="34"/>
        <v>1757.0343676358048</v>
      </c>
      <c r="R52" s="51">
        <f t="shared" si="34"/>
        <v>1882.0338798300168</v>
      </c>
      <c r="S52" s="51">
        <f t="shared" si="34"/>
        <v>2010.7368909510869</v>
      </c>
      <c r="T52" s="51">
        <f t="shared" si="34"/>
        <v>2143.1134375684469</v>
      </c>
      <c r="U52" s="51">
        <f t="shared" si="34"/>
        <v>2279.1351090093622</v>
      </c>
    </row>
    <row r="53" spans="1:21" s="52" customFormat="1" x14ac:dyDescent="0.25">
      <c r="A53"/>
      <c r="B53"/>
      <c r="C53"/>
      <c r="D53" s="52" t="s">
        <v>157</v>
      </c>
      <c r="G53" s="52">
        <v>147.52000000000001</v>
      </c>
      <c r="H53" s="52">
        <v>201.39</v>
      </c>
      <c r="I53" s="52">
        <v>256.81</v>
      </c>
      <c r="J53" s="52">
        <v>315.02</v>
      </c>
      <c r="K53" s="52">
        <v>374.67</v>
      </c>
      <c r="L53" s="52">
        <f>SUM(K53:K56)</f>
        <v>439.46000000000004</v>
      </c>
      <c r="M53" s="52">
        <f t="shared" ref="M53:U53" si="35">SUM(L53:L56)</f>
        <v>505.89611398800128</v>
      </c>
      <c r="N53" s="52">
        <f t="shared" si="35"/>
        <v>575.96015353232804</v>
      </c>
      <c r="O53" s="52">
        <f t="shared" si="35"/>
        <v>649.65926726122075</v>
      </c>
      <c r="P53" s="52">
        <f t="shared" si="35"/>
        <v>727.03515033865619</v>
      </c>
      <c r="Q53" s="52">
        <f t="shared" si="35"/>
        <v>808.11336862631435</v>
      </c>
      <c r="R53" s="52">
        <f t="shared" si="35"/>
        <v>892.90784935840429</v>
      </c>
      <c r="S53" s="52">
        <f t="shared" si="35"/>
        <v>981.42478354188495</v>
      </c>
      <c r="T53" s="52">
        <f t="shared" si="35"/>
        <v>1073.6660048964643</v>
      </c>
      <c r="U53" s="52">
        <f t="shared" si="35"/>
        <v>1169.629391275201</v>
      </c>
    </row>
    <row r="54" spans="1:21" s="52" customFormat="1" x14ac:dyDescent="0.25">
      <c r="A54"/>
      <c r="B54"/>
      <c r="C54"/>
      <c r="D54" s="52" t="s">
        <v>158</v>
      </c>
      <c r="G54" s="52">
        <v>53.96</v>
      </c>
      <c r="H54" s="52">
        <v>55.42</v>
      </c>
      <c r="I54" s="52">
        <v>58.8</v>
      </c>
      <c r="J54" s="52">
        <v>60.11</v>
      </c>
      <c r="K54" s="52">
        <v>64.66</v>
      </c>
      <c r="L54" s="52">
        <f>K54/J57*K57</f>
        <v>66.184113988001243</v>
      </c>
      <c r="M54" s="52">
        <f t="shared" ref="M54:U54" si="36">L54/K57*L57</f>
        <v>69.812039544326836</v>
      </c>
      <c r="N54" s="52">
        <f t="shared" si="36"/>
        <v>73.447113728892717</v>
      </c>
      <c r="O54" s="52">
        <f t="shared" si="36"/>
        <v>77.123883077435508</v>
      </c>
      <c r="P54" s="52">
        <f t="shared" si="36"/>
        <v>80.826218287658165</v>
      </c>
      <c r="Q54" s="52">
        <f t="shared" si="36"/>
        <v>84.542480732090027</v>
      </c>
      <c r="R54" s="52">
        <f t="shared" si="36"/>
        <v>88.264934183480733</v>
      </c>
      <c r="S54" s="52">
        <f t="shared" si="36"/>
        <v>91.989221354579385</v>
      </c>
      <c r="T54" s="52">
        <f t="shared" si="36"/>
        <v>95.711386378736776</v>
      </c>
      <c r="U54" s="52">
        <f t="shared" si="36"/>
        <v>99.428587106601299</v>
      </c>
    </row>
    <row r="55" spans="1:21" s="52" customFormat="1" x14ac:dyDescent="0.25">
      <c r="A55"/>
      <c r="B55"/>
      <c r="C55"/>
      <c r="D55" s="52" t="s">
        <v>159</v>
      </c>
      <c r="G55" s="52">
        <v>0.08</v>
      </c>
      <c r="H55" s="52">
        <v>0</v>
      </c>
      <c r="I55" s="52">
        <v>0.59</v>
      </c>
      <c r="J55" s="52">
        <v>0.46</v>
      </c>
      <c r="K55" s="52">
        <v>0.13</v>
      </c>
      <c r="L55" s="52">
        <f>AVERAGE(G55:K55)</f>
        <v>0.25199999999999995</v>
      </c>
      <c r="M55" s="52">
        <f>L55</f>
        <v>0.25199999999999995</v>
      </c>
      <c r="N55" s="52">
        <f t="shared" ref="N55:U55" si="37">M55</f>
        <v>0.25199999999999995</v>
      </c>
      <c r="O55" s="52">
        <f t="shared" si="37"/>
        <v>0.25199999999999995</v>
      </c>
      <c r="P55" s="52">
        <f t="shared" si="37"/>
        <v>0.25199999999999995</v>
      </c>
      <c r="Q55" s="52">
        <f t="shared" si="37"/>
        <v>0.25199999999999995</v>
      </c>
      <c r="R55" s="52">
        <f t="shared" si="37"/>
        <v>0.25199999999999995</v>
      </c>
      <c r="S55" s="52">
        <f t="shared" si="37"/>
        <v>0.25199999999999995</v>
      </c>
      <c r="T55" s="52">
        <f t="shared" si="37"/>
        <v>0.25199999999999995</v>
      </c>
      <c r="U55" s="52">
        <f t="shared" si="37"/>
        <v>0.25199999999999995</v>
      </c>
    </row>
    <row r="56" spans="1:21" s="52" customFormat="1" x14ac:dyDescent="0.25">
      <c r="A56"/>
      <c r="B56"/>
      <c r="C56"/>
      <c r="D56" s="52" t="s">
        <v>161</v>
      </c>
      <c r="G56" s="52">
        <v>-0.01</v>
      </c>
      <c r="H56" s="52">
        <v>0</v>
      </c>
      <c r="I56" s="52">
        <v>0</v>
      </c>
      <c r="J56" s="52">
        <v>0</v>
      </c>
      <c r="K56" s="52">
        <v>0</v>
      </c>
      <c r="L56" s="52">
        <v>0</v>
      </c>
      <c r="M56" s="52">
        <f>L56</f>
        <v>0</v>
      </c>
      <c r="N56" s="52">
        <f t="shared" ref="N56:U56" si="38">M56</f>
        <v>0</v>
      </c>
      <c r="O56" s="52">
        <f t="shared" si="38"/>
        <v>0</v>
      </c>
      <c r="P56" s="52">
        <f t="shared" si="38"/>
        <v>0</v>
      </c>
      <c r="Q56" s="52">
        <f t="shared" si="38"/>
        <v>0</v>
      </c>
      <c r="R56" s="52">
        <f t="shared" si="38"/>
        <v>0</v>
      </c>
      <c r="S56" s="52">
        <f t="shared" si="38"/>
        <v>0</v>
      </c>
      <c r="T56" s="52">
        <f t="shared" si="38"/>
        <v>0</v>
      </c>
      <c r="U56" s="52">
        <f t="shared" si="38"/>
        <v>0</v>
      </c>
    </row>
    <row r="57" spans="1:21" s="53" customFormat="1" x14ac:dyDescent="0.25">
      <c r="A57" s="1"/>
      <c r="B57" s="1"/>
      <c r="C57" s="1"/>
      <c r="D57" s="53" t="s">
        <v>160</v>
      </c>
      <c r="G57" s="53">
        <f>G52-G53-G54+G55-G56</f>
        <v>704.12</v>
      </c>
      <c r="H57" s="53">
        <f>H52-H53-H54+H55-H56</f>
        <v>701.92000000000007</v>
      </c>
      <c r="I57" s="53">
        <f>I52-I53-I54+I55-I56</f>
        <v>673.97000000000014</v>
      </c>
      <c r="J57" s="53">
        <f>J52-J53-J54+J55-J56</f>
        <v>633.40000000000009</v>
      </c>
      <c r="K57" s="53">
        <f>K52-K53-K54+K55-K56</f>
        <v>648.32999999999993</v>
      </c>
      <c r="L57" s="53">
        <f t="shared" ref="L57:U57" si="39">L52-L53-L54+L55-L56</f>
        <v>683.86863358145104</v>
      </c>
      <c r="M57" s="53">
        <f t="shared" si="39"/>
        <v>719.47729409032866</v>
      </c>
      <c r="N57" s="53">
        <f t="shared" si="39"/>
        <v>755.49439438984928</v>
      </c>
      <c r="O57" s="53">
        <f t="shared" si="39"/>
        <v>791.76193416954357</v>
      </c>
      <c r="P57" s="53">
        <f t="shared" si="39"/>
        <v>828.16590311948391</v>
      </c>
      <c r="Q57" s="53">
        <f t="shared" si="39"/>
        <v>864.63051827740037</v>
      </c>
      <c r="R57" s="53">
        <f t="shared" si="39"/>
        <v>901.11309628813171</v>
      </c>
      <c r="S57" s="53">
        <f t="shared" si="39"/>
        <v>937.57488605462243</v>
      </c>
      <c r="T57" s="53">
        <f t="shared" si="39"/>
        <v>973.98804629324582</v>
      </c>
      <c r="U57" s="53">
        <f t="shared" si="39"/>
        <v>1010.3291306275598</v>
      </c>
    </row>
    <row r="58" spans="1:21" s="52" customFormat="1" x14ac:dyDescent="0.25">
      <c r="A58"/>
      <c r="B58"/>
      <c r="C58"/>
    </row>
    <row r="59" spans="1:21" s="52" customFormat="1" x14ac:dyDescent="0.25">
      <c r="A59"/>
      <c r="B59"/>
      <c r="C59"/>
    </row>
    <row r="60" spans="1:21" s="52" customFormat="1" x14ac:dyDescent="0.25">
      <c r="A60"/>
      <c r="B60"/>
      <c r="C60"/>
      <c r="D60" s="51" t="s">
        <v>164</v>
      </c>
    </row>
    <row r="61" spans="1:21" s="51" customFormat="1" x14ac:dyDescent="0.25">
      <c r="A61" s="1"/>
      <c r="B61" s="1"/>
      <c r="C61" s="1"/>
      <c r="D61" s="51" t="s">
        <v>151</v>
      </c>
      <c r="G61" s="51">
        <v>36920.15</v>
      </c>
      <c r="H61" s="51">
        <v>38227.86</v>
      </c>
      <c r="I61" s="51">
        <v>38455.129999999997</v>
      </c>
      <c r="J61" s="51">
        <f>I65</f>
        <v>40400.889999999992</v>
      </c>
      <c r="K61" s="51">
        <f>J65</f>
        <v>46017.93</v>
      </c>
      <c r="L61" s="51">
        <f t="shared" ref="L61:U61" si="40">K65</f>
        <v>51061.11</v>
      </c>
      <c r="M61" s="51">
        <f t="shared" si="40"/>
        <v>58267.663418216609</v>
      </c>
      <c r="N61" s="51">
        <f t="shared" si="40"/>
        <v>65757.606147096361</v>
      </c>
      <c r="O61" s="51">
        <f t="shared" si="40"/>
        <v>73538.239502718658</v>
      </c>
      <c r="P61" s="51">
        <f t="shared" si="40"/>
        <v>81601.202238866827</v>
      </c>
      <c r="Q61" s="51">
        <f t="shared" si="40"/>
        <v>89940.136031506219</v>
      </c>
      <c r="R61" s="51">
        <f t="shared" si="40"/>
        <v>98550.594035524424</v>
      </c>
      <c r="S61" s="51">
        <f t="shared" si="40"/>
        <v>107429.95279428562</v>
      </c>
      <c r="T61" s="51">
        <f t="shared" si="40"/>
        <v>116575.55829555576</v>
      </c>
      <c r="U61" s="51">
        <f t="shared" si="40"/>
        <v>125985.25645047433</v>
      </c>
    </row>
    <row r="62" spans="1:21" s="52" customFormat="1" x14ac:dyDescent="0.25">
      <c r="A62"/>
      <c r="B62"/>
      <c r="C62"/>
      <c r="D62" s="52" t="s">
        <v>152</v>
      </c>
      <c r="G62" s="52">
        <v>1217.4000000000001</v>
      </c>
      <c r="H62" s="52">
        <v>379.74</v>
      </c>
      <c r="I62" s="52">
        <v>1964.81</v>
      </c>
      <c r="J62" s="52">
        <v>5582.09</v>
      </c>
      <c r="K62" s="52">
        <v>4915.16</v>
      </c>
      <c r="L62" s="52">
        <f>K62/K$280*L$298</f>
        <v>7213.9874182166068</v>
      </c>
      <c r="M62" s="52">
        <f t="shared" ref="M62:U62" si="41">L62/L$280*M$298</f>
        <v>7497.3767288797417</v>
      </c>
      <c r="N62" s="52">
        <f t="shared" si="41"/>
        <v>7788.067355622291</v>
      </c>
      <c r="O62" s="52">
        <f t="shared" si="41"/>
        <v>8070.3967361481564</v>
      </c>
      <c r="P62" s="52">
        <f t="shared" si="41"/>
        <v>8346.367792639383</v>
      </c>
      <c r="Q62" s="52">
        <f t="shared" si="41"/>
        <v>8617.8920040181929</v>
      </c>
      <c r="R62" s="52">
        <f t="shared" si="41"/>
        <v>8886.7927587611957</v>
      </c>
      <c r="S62" s="52">
        <f t="shared" si="41"/>
        <v>9153.039501270132</v>
      </c>
      <c r="T62" s="52">
        <f t="shared" si="41"/>
        <v>9417.1321549185668</v>
      </c>
      <c r="U62" s="52">
        <f t="shared" si="41"/>
        <v>9679.1823483915268</v>
      </c>
    </row>
    <row r="63" spans="1:21" s="52" customFormat="1" x14ac:dyDescent="0.25">
      <c r="A63"/>
      <c r="B63"/>
      <c r="C63"/>
      <c r="D63" s="52" t="s">
        <v>155</v>
      </c>
      <c r="G63" s="52">
        <v>148.87</v>
      </c>
      <c r="H63" s="52">
        <v>-59.38</v>
      </c>
      <c r="I63" s="52">
        <v>44.52</v>
      </c>
      <c r="J63" s="52">
        <v>139.80000000000001</v>
      </c>
      <c r="K63" s="52">
        <v>28.37</v>
      </c>
      <c r="L63" s="52">
        <f>AVERAGE(G63:K63)</f>
        <v>60.436000000000014</v>
      </c>
      <c r="M63" s="52">
        <f>L63</f>
        <v>60.436000000000014</v>
      </c>
      <c r="N63" s="52">
        <f t="shared" ref="N63:U63" si="42">M63</f>
        <v>60.436000000000014</v>
      </c>
      <c r="O63" s="52">
        <f t="shared" si="42"/>
        <v>60.436000000000014</v>
      </c>
      <c r="P63" s="52">
        <f t="shared" si="42"/>
        <v>60.436000000000014</v>
      </c>
      <c r="Q63" s="52">
        <f t="shared" si="42"/>
        <v>60.436000000000014</v>
      </c>
      <c r="R63" s="52">
        <f t="shared" si="42"/>
        <v>60.436000000000014</v>
      </c>
      <c r="S63" s="52">
        <f t="shared" si="42"/>
        <v>60.436000000000014</v>
      </c>
      <c r="T63" s="52">
        <f t="shared" si="42"/>
        <v>60.436000000000014</v>
      </c>
      <c r="U63" s="52">
        <f t="shared" si="42"/>
        <v>60.436000000000014</v>
      </c>
    </row>
    <row r="64" spans="1:21" s="52" customFormat="1" x14ac:dyDescent="0.25">
      <c r="A64"/>
      <c r="B64"/>
      <c r="C64"/>
      <c r="D64" s="52" t="s">
        <v>153</v>
      </c>
      <c r="G64" s="52">
        <v>177.49</v>
      </c>
      <c r="H64" s="52">
        <v>93.09</v>
      </c>
      <c r="I64" s="52">
        <v>63.57</v>
      </c>
      <c r="J64" s="52">
        <v>104.85</v>
      </c>
      <c r="K64" s="52">
        <v>-99.65</v>
      </c>
      <c r="L64" s="52">
        <f>AVERAGE(G64:K64)</f>
        <v>67.87</v>
      </c>
      <c r="M64" s="52">
        <f>L64</f>
        <v>67.87</v>
      </c>
      <c r="N64" s="52">
        <f t="shared" ref="N64:U64" si="43">M64</f>
        <v>67.87</v>
      </c>
      <c r="O64" s="52">
        <f t="shared" si="43"/>
        <v>67.87</v>
      </c>
      <c r="P64" s="52">
        <f t="shared" si="43"/>
        <v>67.87</v>
      </c>
      <c r="Q64" s="52">
        <f t="shared" si="43"/>
        <v>67.87</v>
      </c>
      <c r="R64" s="52">
        <f t="shared" si="43"/>
        <v>67.87</v>
      </c>
      <c r="S64" s="52">
        <f t="shared" si="43"/>
        <v>67.87</v>
      </c>
      <c r="T64" s="52">
        <f t="shared" si="43"/>
        <v>67.87</v>
      </c>
      <c r="U64" s="52">
        <f t="shared" si="43"/>
        <v>67.87</v>
      </c>
    </row>
    <row r="65" spans="1:21" s="51" customFormat="1" x14ac:dyDescent="0.25">
      <c r="A65" s="1"/>
      <c r="B65" s="1"/>
      <c r="C65" s="1"/>
      <c r="D65" s="51" t="s">
        <v>154</v>
      </c>
      <c r="G65" s="51">
        <f>G61+G62+G63-G64</f>
        <v>38108.930000000008</v>
      </c>
      <c r="H65" s="51">
        <f>H61+H62+H63-H64</f>
        <v>38455.130000000005</v>
      </c>
      <c r="I65" s="51">
        <f>I61+I62+I63-I64</f>
        <v>40400.889999999992</v>
      </c>
      <c r="J65" s="51">
        <f>J61+J62+J63-J64</f>
        <v>46017.93</v>
      </c>
      <c r="K65" s="51">
        <f>K61+K62+K63-K64</f>
        <v>51061.11</v>
      </c>
      <c r="L65" s="51">
        <f t="shared" ref="L65:U65" si="44">L61+L62+L63-L64</f>
        <v>58267.663418216609</v>
      </c>
      <c r="M65" s="51">
        <f t="shared" si="44"/>
        <v>65757.606147096361</v>
      </c>
      <c r="N65" s="51">
        <f t="shared" si="44"/>
        <v>73538.239502718658</v>
      </c>
      <c r="O65" s="51">
        <f t="shared" si="44"/>
        <v>81601.202238866827</v>
      </c>
      <c r="P65" s="51">
        <f t="shared" si="44"/>
        <v>89940.136031506219</v>
      </c>
      <c r="Q65" s="51">
        <f t="shared" si="44"/>
        <v>98550.594035524424</v>
      </c>
      <c r="R65" s="51">
        <f t="shared" si="44"/>
        <v>107429.95279428562</v>
      </c>
      <c r="S65" s="51">
        <f t="shared" si="44"/>
        <v>116575.55829555576</v>
      </c>
      <c r="T65" s="51">
        <f t="shared" si="44"/>
        <v>125985.25645047433</v>
      </c>
      <c r="U65" s="51">
        <f t="shared" si="44"/>
        <v>135657.00479886585</v>
      </c>
    </row>
    <row r="66" spans="1:21" s="52" customFormat="1" x14ac:dyDescent="0.25">
      <c r="A66"/>
      <c r="B66"/>
      <c r="C66"/>
      <c r="D66" s="52" t="s">
        <v>157</v>
      </c>
      <c r="G66" s="52">
        <v>5264.65</v>
      </c>
      <c r="H66" s="52">
        <v>7151.44</v>
      </c>
      <c r="I66" s="52">
        <v>9017.7800000000007</v>
      </c>
      <c r="J66" s="52">
        <v>10948.12</v>
      </c>
      <c r="K66" s="52">
        <v>13043.39</v>
      </c>
      <c r="L66" s="52">
        <f>SUM(K66:K69)</f>
        <v>15360.609999999999</v>
      </c>
      <c r="M66" s="52">
        <f t="shared" ref="M66:U66" si="45">SUM(L66:L69)</f>
        <v>17912.658820766566</v>
      </c>
      <c r="N66" s="52">
        <f t="shared" si="45"/>
        <v>20796.191376806411</v>
      </c>
      <c r="O66" s="52">
        <f t="shared" si="45"/>
        <v>24002.068180302715</v>
      </c>
      <c r="P66" s="52">
        <f t="shared" si="45"/>
        <v>27528.074195649559</v>
      </c>
      <c r="Q66" s="52">
        <f t="shared" si="45"/>
        <v>31371.564291882671</v>
      </c>
      <c r="R66" s="52">
        <f t="shared" si="45"/>
        <v>35529.633498731026</v>
      </c>
      <c r="S66" s="52">
        <f t="shared" si="45"/>
        <v>39999.268949651487</v>
      </c>
      <c r="T66" s="52">
        <f t="shared" si="45"/>
        <v>44777.485027963361</v>
      </c>
      <c r="U66" s="52">
        <f t="shared" si="45"/>
        <v>49861.31932177706</v>
      </c>
    </row>
    <row r="67" spans="1:21" s="52" customFormat="1" x14ac:dyDescent="0.25">
      <c r="A67"/>
      <c r="B67"/>
      <c r="C67"/>
      <c r="D67" s="52" t="s">
        <v>158</v>
      </c>
      <c r="G67" s="52">
        <v>1916.68</v>
      </c>
      <c r="H67" s="52">
        <v>1948.75</v>
      </c>
      <c r="I67" s="52">
        <v>1950.07</v>
      </c>
      <c r="J67" s="52">
        <v>2090.41</v>
      </c>
      <c r="K67" s="52">
        <v>2307.4699999999998</v>
      </c>
      <c r="L67" s="52">
        <f>K67/J70*K70</f>
        <v>2498.1008207665677</v>
      </c>
      <c r="M67" s="52">
        <f t="shared" ref="M67:U67" si="46">L67/K70*L70</f>
        <v>2829.5845560398438</v>
      </c>
      <c r="N67" s="52">
        <f t="shared" si="46"/>
        <v>3151.9288034963029</v>
      </c>
      <c r="O67" s="52">
        <f t="shared" si="46"/>
        <v>3472.0580153468445</v>
      </c>
      <c r="P67" s="52">
        <f t="shared" si="46"/>
        <v>3789.5420962331109</v>
      </c>
      <c r="Q67" s="52">
        <f t="shared" si="46"/>
        <v>4104.1212068483492</v>
      </c>
      <c r="R67" s="52">
        <f t="shared" si="46"/>
        <v>4415.687450920459</v>
      </c>
      <c r="S67" s="52">
        <f t="shared" si="46"/>
        <v>4724.2680783118722</v>
      </c>
      <c r="T67" s="52">
        <f t="shared" si="46"/>
        <v>5029.8862938136963</v>
      </c>
      <c r="U67" s="52">
        <f t="shared" si="46"/>
        <v>5332.5986617067319</v>
      </c>
    </row>
    <row r="68" spans="1:21" s="52" customFormat="1" x14ac:dyDescent="0.25">
      <c r="A68"/>
      <c r="B68"/>
      <c r="C68"/>
      <c r="D68" s="52" t="s">
        <v>159</v>
      </c>
      <c r="G68" s="52">
        <v>77.03</v>
      </c>
      <c r="H68" s="52">
        <v>59</v>
      </c>
      <c r="I68" s="52">
        <v>25.88</v>
      </c>
      <c r="J68" s="52">
        <v>40.81</v>
      </c>
      <c r="K68" s="52">
        <v>-0.89</v>
      </c>
      <c r="L68" s="52">
        <f t="shared" ref="L68:L69" si="47">AVERAGE(G68:K68)</f>
        <v>40.366</v>
      </c>
      <c r="M68" s="52">
        <f>L68</f>
        <v>40.366</v>
      </c>
      <c r="N68" s="52">
        <f t="shared" ref="N68:U68" si="48">M68</f>
        <v>40.366</v>
      </c>
      <c r="O68" s="52">
        <f t="shared" si="48"/>
        <v>40.366</v>
      </c>
      <c r="P68" s="52">
        <f t="shared" si="48"/>
        <v>40.366</v>
      </c>
      <c r="Q68" s="52">
        <f t="shared" si="48"/>
        <v>40.366</v>
      </c>
      <c r="R68" s="52">
        <f t="shared" si="48"/>
        <v>40.366</v>
      </c>
      <c r="S68" s="52">
        <f t="shared" si="48"/>
        <v>40.366</v>
      </c>
      <c r="T68" s="52">
        <f t="shared" si="48"/>
        <v>40.366</v>
      </c>
      <c r="U68" s="52">
        <f t="shared" si="48"/>
        <v>40.366</v>
      </c>
    </row>
    <row r="69" spans="1:21" s="52" customFormat="1" x14ac:dyDescent="0.25">
      <c r="A69"/>
      <c r="B69"/>
      <c r="C69"/>
      <c r="D69" s="52" t="s">
        <v>161</v>
      </c>
      <c r="G69" s="52">
        <v>28.86</v>
      </c>
      <c r="H69" s="52">
        <v>-23.41</v>
      </c>
      <c r="I69" s="52">
        <v>6.15</v>
      </c>
      <c r="J69" s="52">
        <v>45.67</v>
      </c>
      <c r="K69" s="52">
        <v>10.64</v>
      </c>
      <c r="L69" s="52">
        <f t="shared" si="47"/>
        <v>13.581999999999999</v>
      </c>
      <c r="M69" s="52">
        <f>L69</f>
        <v>13.581999999999999</v>
      </c>
      <c r="N69" s="52">
        <f t="shared" ref="N69:U69" si="49">M69</f>
        <v>13.581999999999999</v>
      </c>
      <c r="O69" s="52">
        <f t="shared" si="49"/>
        <v>13.581999999999999</v>
      </c>
      <c r="P69" s="52">
        <f t="shared" si="49"/>
        <v>13.581999999999999</v>
      </c>
      <c r="Q69" s="52">
        <f t="shared" si="49"/>
        <v>13.581999999999999</v>
      </c>
      <c r="R69" s="52">
        <f t="shared" si="49"/>
        <v>13.581999999999999</v>
      </c>
      <c r="S69" s="52">
        <f t="shared" si="49"/>
        <v>13.581999999999999</v>
      </c>
      <c r="T69" s="52">
        <f t="shared" si="49"/>
        <v>13.581999999999999</v>
      </c>
      <c r="U69" s="52">
        <f t="shared" si="49"/>
        <v>13.581999999999999</v>
      </c>
    </row>
    <row r="70" spans="1:21" s="53" customFormat="1" x14ac:dyDescent="0.25">
      <c r="A70" s="1"/>
      <c r="B70" s="1"/>
      <c r="C70" s="1"/>
      <c r="D70" s="53" t="s">
        <v>160</v>
      </c>
      <c r="G70" s="53">
        <f>G65-G66-G67+G68-G69</f>
        <v>30975.770000000004</v>
      </c>
      <c r="H70" s="53">
        <f>H65-H66-H67+H68-H69</f>
        <v>29437.350000000006</v>
      </c>
      <c r="I70" s="53">
        <f>I65-I66-I67+I68-I69</f>
        <v>29452.769999999993</v>
      </c>
      <c r="J70" s="53">
        <f>J65-J66-J67+J68-J69</f>
        <v>32974.539999999994</v>
      </c>
      <c r="K70" s="53">
        <f>K65-K66-K67+K68-K69</f>
        <v>35698.720000000001</v>
      </c>
      <c r="L70" s="53">
        <f t="shared" ref="L70:U70" si="50">L65-L66-L67+L68-L69</f>
        <v>40435.736597450043</v>
      </c>
      <c r="M70" s="53">
        <f t="shared" si="50"/>
        <v>45042.146770289954</v>
      </c>
      <c r="N70" s="53">
        <f t="shared" si="50"/>
        <v>49616.903322415943</v>
      </c>
      <c r="O70" s="53">
        <f t="shared" si="50"/>
        <v>54153.860043217268</v>
      </c>
      <c r="P70" s="53">
        <f t="shared" si="50"/>
        <v>58649.303739623545</v>
      </c>
      <c r="Q70" s="53">
        <f t="shared" si="50"/>
        <v>63101.692536793409</v>
      </c>
      <c r="R70" s="53">
        <f t="shared" si="50"/>
        <v>67511.415844634132</v>
      </c>
      <c r="S70" s="53">
        <f t="shared" si="50"/>
        <v>71878.805267592412</v>
      </c>
      <c r="T70" s="53">
        <f t="shared" si="50"/>
        <v>76204.669128697264</v>
      </c>
      <c r="U70" s="53">
        <f t="shared" si="50"/>
        <v>80489.870815382063</v>
      </c>
    </row>
    <row r="71" spans="1:21" s="52" customFormat="1" x14ac:dyDescent="0.25">
      <c r="A71"/>
      <c r="B71"/>
      <c r="C71"/>
    </row>
    <row r="72" spans="1:21" s="52" customFormat="1" x14ac:dyDescent="0.25">
      <c r="A72"/>
      <c r="B72"/>
      <c r="C72"/>
    </row>
    <row r="73" spans="1:21" s="52" customFormat="1" x14ac:dyDescent="0.25">
      <c r="A73"/>
      <c r="B73"/>
      <c r="C73"/>
      <c r="D73" s="51" t="s">
        <v>165</v>
      </c>
    </row>
    <row r="74" spans="1:21" s="51" customFormat="1" x14ac:dyDescent="0.25">
      <c r="A74" s="1"/>
      <c r="B74" s="1"/>
      <c r="C74" s="1"/>
      <c r="D74" s="51" t="s">
        <v>151</v>
      </c>
      <c r="G74" s="51">
        <v>174.64</v>
      </c>
      <c r="H74" s="51">
        <v>174.64</v>
      </c>
      <c r="I74" s="51">
        <v>174.64</v>
      </c>
      <c r="J74" s="51">
        <f>I78</f>
        <v>199.04999999999998</v>
      </c>
      <c r="K74" s="51">
        <f>J78</f>
        <v>199.04999999999998</v>
      </c>
      <c r="L74" s="51">
        <f t="shared" ref="L74:U74" si="51">K78</f>
        <v>32.899999999999977</v>
      </c>
      <c r="M74" s="51">
        <f t="shared" si="51"/>
        <v>32.899999999999977</v>
      </c>
      <c r="N74" s="51">
        <f t="shared" si="51"/>
        <v>32.899999999999977</v>
      </c>
      <c r="O74" s="51">
        <f t="shared" si="51"/>
        <v>32.899999999999977</v>
      </c>
      <c r="P74" s="51">
        <f t="shared" si="51"/>
        <v>32.899999999999977</v>
      </c>
      <c r="Q74" s="51">
        <f t="shared" si="51"/>
        <v>32.899999999999977</v>
      </c>
      <c r="R74" s="51">
        <f t="shared" si="51"/>
        <v>32.899999999999977</v>
      </c>
      <c r="S74" s="51">
        <f t="shared" si="51"/>
        <v>32.899999999999977</v>
      </c>
      <c r="T74" s="51">
        <f t="shared" si="51"/>
        <v>32.899999999999977</v>
      </c>
      <c r="U74" s="51">
        <f t="shared" si="51"/>
        <v>32.899999999999977</v>
      </c>
    </row>
    <row r="75" spans="1:21" s="52" customFormat="1" x14ac:dyDescent="0.25">
      <c r="A75"/>
      <c r="B75"/>
      <c r="C75"/>
      <c r="D75" s="52" t="s">
        <v>152</v>
      </c>
      <c r="G75" s="52">
        <v>0</v>
      </c>
      <c r="H75" s="52">
        <v>0</v>
      </c>
      <c r="I75" s="52">
        <v>24.41</v>
      </c>
      <c r="J75" s="52">
        <v>0</v>
      </c>
      <c r="K75" s="52">
        <v>0</v>
      </c>
      <c r="L75" s="52">
        <f>K75/K$280*L$298</f>
        <v>0</v>
      </c>
      <c r="M75" s="52">
        <f t="shared" ref="M75:U75" si="52">L75/L$280*M$298</f>
        <v>0</v>
      </c>
      <c r="N75" s="52">
        <f t="shared" si="52"/>
        <v>0</v>
      </c>
      <c r="O75" s="52">
        <f t="shared" si="52"/>
        <v>0</v>
      </c>
      <c r="P75" s="52">
        <f t="shared" si="52"/>
        <v>0</v>
      </c>
      <c r="Q75" s="52">
        <f t="shared" si="52"/>
        <v>0</v>
      </c>
      <c r="R75" s="52">
        <f t="shared" si="52"/>
        <v>0</v>
      </c>
      <c r="S75" s="52">
        <f t="shared" si="52"/>
        <v>0</v>
      </c>
      <c r="T75" s="52">
        <f t="shared" si="52"/>
        <v>0</v>
      </c>
      <c r="U75" s="52">
        <f t="shared" si="52"/>
        <v>0</v>
      </c>
    </row>
    <row r="76" spans="1:21" s="52" customFormat="1" x14ac:dyDescent="0.25">
      <c r="A76"/>
      <c r="B76"/>
      <c r="C76"/>
      <c r="D76" s="52" t="s">
        <v>155</v>
      </c>
      <c r="G76" s="52">
        <v>0</v>
      </c>
      <c r="H76" s="52">
        <f>G76</f>
        <v>0</v>
      </c>
      <c r="I76" s="52">
        <f t="shared" ref="I76:J76" si="53">H76</f>
        <v>0</v>
      </c>
      <c r="J76" s="52">
        <f t="shared" si="53"/>
        <v>0</v>
      </c>
      <c r="K76" s="52">
        <v>0</v>
      </c>
      <c r="L76" s="52">
        <f>K76</f>
        <v>0</v>
      </c>
      <c r="M76" s="52">
        <f t="shared" ref="M76:U76" si="54">L76</f>
        <v>0</v>
      </c>
      <c r="N76" s="52">
        <f t="shared" si="54"/>
        <v>0</v>
      </c>
      <c r="O76" s="52">
        <f t="shared" si="54"/>
        <v>0</v>
      </c>
      <c r="P76" s="52">
        <f t="shared" si="54"/>
        <v>0</v>
      </c>
      <c r="Q76" s="52">
        <f t="shared" si="54"/>
        <v>0</v>
      </c>
      <c r="R76" s="52">
        <f t="shared" si="54"/>
        <v>0</v>
      </c>
      <c r="S76" s="52">
        <f t="shared" si="54"/>
        <v>0</v>
      </c>
      <c r="T76" s="52">
        <f t="shared" si="54"/>
        <v>0</v>
      </c>
      <c r="U76" s="52">
        <f t="shared" si="54"/>
        <v>0</v>
      </c>
    </row>
    <row r="77" spans="1:21" s="52" customFormat="1" x14ac:dyDescent="0.25">
      <c r="A77"/>
      <c r="B77"/>
      <c r="C77"/>
      <c r="D77" s="52" t="s">
        <v>153</v>
      </c>
      <c r="G77" s="52">
        <v>0</v>
      </c>
      <c r="H77" s="52">
        <f>G77</f>
        <v>0</v>
      </c>
      <c r="I77" s="52">
        <f t="shared" ref="I77:J77" si="55">H77</f>
        <v>0</v>
      </c>
      <c r="J77" s="52">
        <f t="shared" si="55"/>
        <v>0</v>
      </c>
      <c r="K77" s="52">
        <v>166.15</v>
      </c>
      <c r="L77" s="52">
        <v>0</v>
      </c>
      <c r="M77" s="52">
        <f>L77</f>
        <v>0</v>
      </c>
      <c r="N77" s="52">
        <f t="shared" ref="N77:U77" si="56">M77</f>
        <v>0</v>
      </c>
      <c r="O77" s="52">
        <f t="shared" si="56"/>
        <v>0</v>
      </c>
      <c r="P77" s="52">
        <f t="shared" si="56"/>
        <v>0</v>
      </c>
      <c r="Q77" s="52">
        <f t="shared" si="56"/>
        <v>0</v>
      </c>
      <c r="R77" s="52">
        <f t="shared" si="56"/>
        <v>0</v>
      </c>
      <c r="S77" s="52">
        <f t="shared" si="56"/>
        <v>0</v>
      </c>
      <c r="T77" s="52">
        <f t="shared" si="56"/>
        <v>0</v>
      </c>
      <c r="U77" s="52">
        <f t="shared" si="56"/>
        <v>0</v>
      </c>
    </row>
    <row r="78" spans="1:21" s="51" customFormat="1" x14ac:dyDescent="0.25">
      <c r="A78" s="1"/>
      <c r="B78" s="1"/>
      <c r="C78" s="1"/>
      <c r="D78" s="51" t="s">
        <v>154</v>
      </c>
      <c r="G78" s="51">
        <f>G74+G75+G76-G77</f>
        <v>174.64</v>
      </c>
      <c r="H78" s="51">
        <f>H74+H75+H76-H77</f>
        <v>174.64</v>
      </c>
      <c r="I78" s="51">
        <f>I74+I75+I76-I77</f>
        <v>199.04999999999998</v>
      </c>
      <c r="J78" s="51">
        <f>J74+J75+J76-J77</f>
        <v>199.04999999999998</v>
      </c>
      <c r="K78" s="51">
        <f>K74+K75+K76-K77</f>
        <v>32.899999999999977</v>
      </c>
      <c r="L78" s="51">
        <f t="shared" ref="L78:U78" si="57">L74+L75+L76-L77</f>
        <v>32.899999999999977</v>
      </c>
      <c r="M78" s="51">
        <f t="shared" si="57"/>
        <v>32.899999999999977</v>
      </c>
      <c r="N78" s="51">
        <f t="shared" si="57"/>
        <v>32.899999999999977</v>
      </c>
      <c r="O78" s="51">
        <f t="shared" si="57"/>
        <v>32.899999999999977</v>
      </c>
      <c r="P78" s="51">
        <f t="shared" si="57"/>
        <v>32.899999999999977</v>
      </c>
      <c r="Q78" s="51">
        <f t="shared" si="57"/>
        <v>32.899999999999977</v>
      </c>
      <c r="R78" s="51">
        <f t="shared" si="57"/>
        <v>32.899999999999977</v>
      </c>
      <c r="S78" s="51">
        <f t="shared" si="57"/>
        <v>32.899999999999977</v>
      </c>
      <c r="T78" s="51">
        <f t="shared" si="57"/>
        <v>32.899999999999977</v>
      </c>
      <c r="U78" s="51">
        <f t="shared" si="57"/>
        <v>32.899999999999977</v>
      </c>
    </row>
    <row r="79" spans="1:21" s="52" customFormat="1" x14ac:dyDescent="0.25">
      <c r="A79"/>
      <c r="B79"/>
      <c r="C79"/>
      <c r="D79" s="52" t="s">
        <v>157</v>
      </c>
      <c r="G79" s="52">
        <v>48.49</v>
      </c>
      <c r="H79" s="52">
        <v>59.23</v>
      </c>
      <c r="I79" s="52">
        <v>70.260000000000005</v>
      </c>
      <c r="J79" s="52">
        <v>81.17</v>
      </c>
      <c r="K79" s="52">
        <v>85.78</v>
      </c>
      <c r="L79" s="52">
        <f>SUM(K79:K82)</f>
        <v>165.68</v>
      </c>
      <c r="M79" s="52">
        <f t="shared" ref="M79:U79" si="58">SUM(L79:L82)</f>
        <v>244.30828904387749</v>
      </c>
      <c r="N79" s="52">
        <f t="shared" si="58"/>
        <v>321.81896931790732</v>
      </c>
      <c r="O79" s="52">
        <f t="shared" si="58"/>
        <v>398.22792631797944</v>
      </c>
      <c r="P79" s="52">
        <f t="shared" si="58"/>
        <v>473.55081974631929</v>
      </c>
      <c r="Q79" s="52">
        <f t="shared" si="58"/>
        <v>547.80308672087938</v>
      </c>
      <c r="R79" s="52">
        <f t="shared" si="58"/>
        <v>620.99994493911356</v>
      </c>
      <c r="S79" s="52">
        <f t="shared" si="58"/>
        <v>693.15639579678134</v>
      </c>
      <c r="T79" s="52">
        <f t="shared" si="58"/>
        <v>764.28722746242249</v>
      </c>
      <c r="U79" s="52">
        <f t="shared" si="58"/>
        <v>834.40701790813182</v>
      </c>
    </row>
    <row r="80" spans="1:21" s="52" customFormat="1" x14ac:dyDescent="0.25">
      <c r="A80"/>
      <c r="B80"/>
      <c r="C80"/>
      <c r="D80" s="52" t="s">
        <v>158</v>
      </c>
      <c r="G80" s="52">
        <v>10.74</v>
      </c>
      <c r="H80" s="52">
        <v>11.03</v>
      </c>
      <c r="I80" s="52">
        <v>10.91</v>
      </c>
      <c r="J80" s="52">
        <v>4.6100000000000003</v>
      </c>
      <c r="K80" s="52">
        <v>1.61</v>
      </c>
      <c r="L80" s="52">
        <f>K80/J83*K83</f>
        <v>0.33828904387746078</v>
      </c>
      <c r="M80" s="52">
        <f t="shared" ref="M80:U80" si="59">L80/K83*L83</f>
        <v>-0.7793197259701844</v>
      </c>
      <c r="N80" s="52">
        <f t="shared" si="59"/>
        <v>-1.8810429999278786</v>
      </c>
      <c r="O80" s="52">
        <f t="shared" si="59"/>
        <v>-2.9671065716601657</v>
      </c>
      <c r="P80" s="52">
        <f t="shared" si="59"/>
        <v>-4.0377330254398709</v>
      </c>
      <c r="Q80" s="52">
        <f t="shared" si="59"/>
        <v>-5.0931417817658335</v>
      </c>
      <c r="R80" s="52">
        <f t="shared" si="59"/>
        <v>-6.1335491423322406</v>
      </c>
      <c r="S80" s="52">
        <f t="shared" si="59"/>
        <v>-7.159168334358772</v>
      </c>
      <c r="T80" s="52">
        <f t="shared" si="59"/>
        <v>-8.1702095542906381</v>
      </c>
      <c r="U80" s="52">
        <f t="shared" si="59"/>
        <v>-9.1668800108774846</v>
      </c>
    </row>
    <row r="81" spans="1:21" s="52" customFormat="1" x14ac:dyDescent="0.25">
      <c r="A81"/>
      <c r="B81"/>
      <c r="C81"/>
      <c r="D81" s="52" t="s">
        <v>159</v>
      </c>
      <c r="G81" s="52">
        <v>0</v>
      </c>
      <c r="H81" s="52">
        <f>G81</f>
        <v>0</v>
      </c>
      <c r="I81" s="52">
        <f t="shared" ref="I81:J81" si="60">H81</f>
        <v>0</v>
      </c>
      <c r="J81" s="52">
        <f t="shared" si="60"/>
        <v>0</v>
      </c>
      <c r="K81" s="52">
        <v>78.290000000000006</v>
      </c>
      <c r="L81" s="52">
        <v>78.290000000000006</v>
      </c>
      <c r="M81" s="52">
        <v>78.290000000000006</v>
      </c>
      <c r="N81" s="52">
        <v>78.290000000000006</v>
      </c>
      <c r="O81" s="52">
        <v>78.290000000000006</v>
      </c>
      <c r="P81" s="52">
        <v>78.290000000000006</v>
      </c>
      <c r="Q81" s="52">
        <v>78.290000000000006</v>
      </c>
      <c r="R81" s="52">
        <v>78.290000000000006</v>
      </c>
      <c r="S81" s="52">
        <v>78.290000000000006</v>
      </c>
      <c r="T81" s="52">
        <v>78.290000000000006</v>
      </c>
      <c r="U81" s="52">
        <v>78.290000000000006</v>
      </c>
    </row>
    <row r="82" spans="1:21" s="52" customFormat="1" x14ac:dyDescent="0.25">
      <c r="A82"/>
      <c r="B82"/>
      <c r="C82"/>
      <c r="D82" s="52" t="s">
        <v>161</v>
      </c>
      <c r="G82" s="52">
        <v>0</v>
      </c>
      <c r="H82" s="52">
        <f t="shared" ref="H82:J82" si="61">G82</f>
        <v>0</v>
      </c>
      <c r="I82" s="52">
        <f t="shared" si="61"/>
        <v>0</v>
      </c>
      <c r="J82" s="52">
        <f t="shared" si="61"/>
        <v>0</v>
      </c>
      <c r="K82" s="52">
        <v>0</v>
      </c>
      <c r="L82" s="52">
        <v>0</v>
      </c>
      <c r="M82" s="52">
        <f>L82</f>
        <v>0</v>
      </c>
      <c r="N82" s="52">
        <f t="shared" ref="N82:U82" si="62">M82</f>
        <v>0</v>
      </c>
      <c r="O82" s="52">
        <f t="shared" si="62"/>
        <v>0</v>
      </c>
      <c r="P82" s="52">
        <f t="shared" si="62"/>
        <v>0</v>
      </c>
      <c r="Q82" s="52">
        <f t="shared" si="62"/>
        <v>0</v>
      </c>
      <c r="R82" s="52">
        <f t="shared" si="62"/>
        <v>0</v>
      </c>
      <c r="S82" s="52">
        <f t="shared" si="62"/>
        <v>0</v>
      </c>
      <c r="T82" s="52">
        <f t="shared" si="62"/>
        <v>0</v>
      </c>
      <c r="U82" s="52">
        <f t="shared" si="62"/>
        <v>0</v>
      </c>
    </row>
    <row r="83" spans="1:21" s="53" customFormat="1" x14ac:dyDescent="0.25">
      <c r="A83" s="1"/>
      <c r="B83" s="1"/>
      <c r="C83" s="1"/>
      <c r="D83" s="53" t="s">
        <v>160</v>
      </c>
      <c r="G83" s="53">
        <f>G78-G79-G80+G81-G82</f>
        <v>115.40999999999998</v>
      </c>
      <c r="H83" s="53">
        <f>H78-H79-H80+H81-H82</f>
        <v>104.38</v>
      </c>
      <c r="I83" s="53">
        <f>I78-I79-I80+I81-I82</f>
        <v>117.87999999999997</v>
      </c>
      <c r="J83" s="53">
        <f>J78-J79-J80+J81-J82</f>
        <v>113.26999999999998</v>
      </c>
      <c r="K83" s="53">
        <f>K78-K79-K80+K81-K82</f>
        <v>23.799999999999983</v>
      </c>
      <c r="L83" s="53">
        <f t="shared" ref="L83:U83" si="63">L78-L79-L80+L81-L82</f>
        <v>-54.82828904387749</v>
      </c>
      <c r="M83" s="53">
        <f t="shared" si="63"/>
        <v>-132.3389693179073</v>
      </c>
      <c r="N83" s="53">
        <f t="shared" si="63"/>
        <v>-208.74792631797942</v>
      </c>
      <c r="O83" s="53">
        <f t="shared" si="63"/>
        <v>-284.07081974631927</v>
      </c>
      <c r="P83" s="53">
        <f t="shared" si="63"/>
        <v>-358.32308672087942</v>
      </c>
      <c r="Q83" s="53">
        <f t="shared" si="63"/>
        <v>-431.51994493911354</v>
      </c>
      <c r="R83" s="53">
        <f t="shared" si="63"/>
        <v>-503.67639579678138</v>
      </c>
      <c r="S83" s="53">
        <f t="shared" si="63"/>
        <v>-574.80722746242259</v>
      </c>
      <c r="T83" s="53">
        <f t="shared" si="63"/>
        <v>-644.92701790813192</v>
      </c>
      <c r="U83" s="53">
        <f t="shared" si="63"/>
        <v>-714.05013789725444</v>
      </c>
    </row>
    <row r="84" spans="1:21" s="52" customFormat="1" x14ac:dyDescent="0.25">
      <c r="A84"/>
      <c r="B84"/>
      <c r="C84"/>
    </row>
    <row r="85" spans="1:21" s="52" customFormat="1" x14ac:dyDescent="0.25">
      <c r="A85"/>
      <c r="B85"/>
      <c r="C85"/>
    </row>
    <row r="86" spans="1:21" s="52" customFormat="1" x14ac:dyDescent="0.25">
      <c r="A86"/>
      <c r="B86"/>
      <c r="C86"/>
      <c r="D86" s="51" t="s">
        <v>166</v>
      </c>
    </row>
    <row r="87" spans="1:21" s="51" customFormat="1" x14ac:dyDescent="0.25">
      <c r="A87" s="1"/>
      <c r="B87" s="1"/>
      <c r="C87" s="1"/>
      <c r="D87" s="51" t="s">
        <v>151</v>
      </c>
      <c r="G87" s="51">
        <v>208</v>
      </c>
      <c r="H87" s="51">
        <v>264.52999999999997</v>
      </c>
      <c r="I87" s="51">
        <v>289.18</v>
      </c>
      <c r="J87" s="51">
        <v>335.52</v>
      </c>
      <c r="K87" s="51">
        <f>J91</f>
        <v>386.81</v>
      </c>
      <c r="L87" s="51">
        <f t="shared" ref="L87:U87" si="64">K91</f>
        <v>465.73</v>
      </c>
      <c r="M87" s="51">
        <f t="shared" si="64"/>
        <v>593.95181134737743</v>
      </c>
      <c r="N87" s="51">
        <f t="shared" si="64"/>
        <v>727.58638412776111</v>
      </c>
      <c r="O87" s="51">
        <f t="shared" si="64"/>
        <v>866.77317413781589</v>
      </c>
      <c r="P87" s="51">
        <f t="shared" si="64"/>
        <v>1011.3524808195087</v>
      </c>
      <c r="Q87" s="51">
        <f t="shared" si="64"/>
        <v>1161.2028596094128</v>
      </c>
      <c r="R87" s="51">
        <f t="shared" si="64"/>
        <v>1316.2393753641854</v>
      </c>
      <c r="S87" s="51">
        <f t="shared" si="64"/>
        <v>1476.4119198250985</v>
      </c>
      <c r="T87" s="51">
        <f t="shared" si="64"/>
        <v>1641.6698011187368</v>
      </c>
      <c r="U87" s="51">
        <f t="shared" si="64"/>
        <v>1811.9718759532802</v>
      </c>
    </row>
    <row r="88" spans="1:21" s="52" customFormat="1" x14ac:dyDescent="0.25">
      <c r="A88"/>
      <c r="B88"/>
      <c r="C88"/>
      <c r="D88" s="52" t="s">
        <v>152</v>
      </c>
      <c r="G88" s="52">
        <v>59.54</v>
      </c>
      <c r="H88" s="52">
        <v>29.9</v>
      </c>
      <c r="I88" s="52">
        <v>55.43</v>
      </c>
      <c r="J88" s="52">
        <v>66.81</v>
      </c>
      <c r="K88" s="52">
        <v>93.88</v>
      </c>
      <c r="L88" s="52">
        <f>K88/K$280*L$298</f>
        <v>137.7878113473773</v>
      </c>
      <c r="M88" s="52">
        <f t="shared" ref="M88:U88" si="65">L88/L$280*M$298</f>
        <v>143.20057278038357</v>
      </c>
      <c r="N88" s="52">
        <f t="shared" si="65"/>
        <v>148.75279001005472</v>
      </c>
      <c r="O88" s="52">
        <f t="shared" si="65"/>
        <v>154.14530668169272</v>
      </c>
      <c r="P88" s="52">
        <f t="shared" si="65"/>
        <v>159.41637878990414</v>
      </c>
      <c r="Q88" s="52">
        <f t="shared" si="65"/>
        <v>164.60251575477255</v>
      </c>
      <c r="R88" s="52">
        <f t="shared" si="65"/>
        <v>169.73854446091298</v>
      </c>
      <c r="S88" s="52">
        <f t="shared" si="65"/>
        <v>174.82388129363844</v>
      </c>
      <c r="T88" s="52">
        <f t="shared" si="65"/>
        <v>179.86807483454353</v>
      </c>
      <c r="U88" s="52">
        <f t="shared" si="65"/>
        <v>184.87325720159598</v>
      </c>
    </row>
    <row r="89" spans="1:21" s="52" customFormat="1" x14ac:dyDescent="0.25">
      <c r="A89"/>
      <c r="B89"/>
      <c r="C89"/>
      <c r="D89" s="52" t="s">
        <v>155</v>
      </c>
      <c r="G89" s="52">
        <v>-0.17</v>
      </c>
      <c r="H89" s="52">
        <v>-0.11</v>
      </c>
      <c r="I89" s="52">
        <v>-0.33</v>
      </c>
      <c r="J89" s="52">
        <v>0.1</v>
      </c>
      <c r="K89" s="52">
        <v>7.0000000000000007E-2</v>
      </c>
      <c r="L89" s="52">
        <f>AVERAGE(G89:K89)</f>
        <v>-8.8000000000000023E-2</v>
      </c>
      <c r="M89" s="52">
        <f>L89</f>
        <v>-8.8000000000000023E-2</v>
      </c>
      <c r="N89" s="52">
        <f t="shared" ref="N89:U89" si="66">M89</f>
        <v>-8.8000000000000023E-2</v>
      </c>
      <c r="O89" s="52">
        <f t="shared" si="66"/>
        <v>-8.8000000000000023E-2</v>
      </c>
      <c r="P89" s="52">
        <f t="shared" si="66"/>
        <v>-8.8000000000000023E-2</v>
      </c>
      <c r="Q89" s="52">
        <f t="shared" si="66"/>
        <v>-8.8000000000000023E-2</v>
      </c>
      <c r="R89" s="52">
        <f t="shared" si="66"/>
        <v>-8.8000000000000023E-2</v>
      </c>
      <c r="S89" s="52">
        <f t="shared" si="66"/>
        <v>-8.8000000000000023E-2</v>
      </c>
      <c r="T89" s="52">
        <f t="shared" si="66"/>
        <v>-8.8000000000000023E-2</v>
      </c>
      <c r="U89" s="52">
        <f t="shared" si="66"/>
        <v>-8.8000000000000023E-2</v>
      </c>
    </row>
    <row r="90" spans="1:21" s="52" customFormat="1" x14ac:dyDescent="0.25">
      <c r="A90"/>
      <c r="B90"/>
      <c r="C90"/>
      <c r="D90" s="52" t="s">
        <v>153</v>
      </c>
      <c r="G90" s="52">
        <v>2.84</v>
      </c>
      <c r="H90" s="52">
        <v>5.14</v>
      </c>
      <c r="I90" s="52">
        <v>8.76</v>
      </c>
      <c r="J90" s="52">
        <v>15.62</v>
      </c>
      <c r="K90" s="52">
        <v>15.03</v>
      </c>
      <c r="L90" s="52">
        <f>AVERAGE(G90:K90)</f>
        <v>9.4779999999999998</v>
      </c>
      <c r="M90" s="52">
        <f>L90</f>
        <v>9.4779999999999998</v>
      </c>
      <c r="N90" s="52">
        <f t="shared" ref="N90:U90" si="67">M90</f>
        <v>9.4779999999999998</v>
      </c>
      <c r="O90" s="52">
        <f t="shared" si="67"/>
        <v>9.4779999999999998</v>
      </c>
      <c r="P90" s="52">
        <f t="shared" si="67"/>
        <v>9.4779999999999998</v>
      </c>
      <c r="Q90" s="52">
        <f t="shared" si="67"/>
        <v>9.4779999999999998</v>
      </c>
      <c r="R90" s="52">
        <f t="shared" si="67"/>
        <v>9.4779999999999998</v>
      </c>
      <c r="S90" s="52">
        <f t="shared" si="67"/>
        <v>9.4779999999999998</v>
      </c>
      <c r="T90" s="52">
        <f t="shared" si="67"/>
        <v>9.4779999999999998</v>
      </c>
      <c r="U90" s="52">
        <f t="shared" si="67"/>
        <v>9.4779999999999998</v>
      </c>
    </row>
    <row r="91" spans="1:21" s="51" customFormat="1" x14ac:dyDescent="0.25">
      <c r="A91" s="1"/>
      <c r="B91" s="1"/>
      <c r="C91" s="1"/>
      <c r="D91" s="51" t="s">
        <v>154</v>
      </c>
      <c r="G91" s="51">
        <f>G87+G88+G89-G90</f>
        <v>264.53000000000003</v>
      </c>
      <c r="H91" s="51">
        <f>H87+H88+H89-H90</f>
        <v>289.17999999999995</v>
      </c>
      <c r="I91" s="51">
        <f>I87+I88+I89-I90</f>
        <v>335.52000000000004</v>
      </c>
      <c r="J91" s="51">
        <f>J87+J88+J89-J90</f>
        <v>386.81</v>
      </c>
      <c r="K91" s="51">
        <f>K87+K88+K89-K90</f>
        <v>465.73</v>
      </c>
      <c r="L91" s="51">
        <f t="shared" ref="L91:U91" si="68">L87+L88+L89-L90</f>
        <v>593.95181134737743</v>
      </c>
      <c r="M91" s="51">
        <f t="shared" si="68"/>
        <v>727.58638412776111</v>
      </c>
      <c r="N91" s="51">
        <f t="shared" si="68"/>
        <v>866.77317413781589</v>
      </c>
      <c r="O91" s="51">
        <f t="shared" si="68"/>
        <v>1011.3524808195087</v>
      </c>
      <c r="P91" s="51">
        <f t="shared" si="68"/>
        <v>1161.2028596094128</v>
      </c>
      <c r="Q91" s="51">
        <f t="shared" si="68"/>
        <v>1316.2393753641854</v>
      </c>
      <c r="R91" s="51">
        <f t="shared" si="68"/>
        <v>1476.4119198250985</v>
      </c>
      <c r="S91" s="51">
        <f t="shared" si="68"/>
        <v>1641.6698011187368</v>
      </c>
      <c r="T91" s="51">
        <f t="shared" si="68"/>
        <v>1811.9718759532802</v>
      </c>
      <c r="U91" s="51">
        <f t="shared" si="68"/>
        <v>1987.2791331548763</v>
      </c>
    </row>
    <row r="92" spans="1:21" s="52" customFormat="1" x14ac:dyDescent="0.25">
      <c r="A92"/>
      <c r="B92"/>
      <c r="C92"/>
      <c r="D92" s="52" t="s">
        <v>157</v>
      </c>
      <c r="G92" s="52">
        <v>104.49</v>
      </c>
      <c r="H92" s="52">
        <v>141.74</v>
      </c>
      <c r="I92" s="52">
        <v>179.63</v>
      </c>
      <c r="J92" s="52">
        <v>216.85</v>
      </c>
      <c r="K92" s="52">
        <v>252.5</v>
      </c>
      <c r="L92" s="52">
        <f>SUM(K92:K95)</f>
        <v>322.39</v>
      </c>
      <c r="M92" s="52">
        <f t="shared" ref="M92:U92" si="69">SUM(L92:L95)</f>
        <v>401.96734658625564</v>
      </c>
      <c r="N92" s="52">
        <f t="shared" si="69"/>
        <v>497.55019162515725</v>
      </c>
      <c r="O92" s="52">
        <f t="shared" si="69"/>
        <v>609.11470565294292</v>
      </c>
      <c r="P92" s="52">
        <f t="shared" si="69"/>
        <v>732.28053446116041</v>
      </c>
      <c r="Q92" s="52">
        <f t="shared" si="69"/>
        <v>864.43999208959053</v>
      </c>
      <c r="R92" s="52">
        <f t="shared" si="69"/>
        <v>1004.0296102624235</v>
      </c>
      <c r="S92" s="52">
        <f t="shared" si="69"/>
        <v>1150.1069024178132</v>
      </c>
      <c r="T92" s="52">
        <f t="shared" si="69"/>
        <v>1302.1041795523897</v>
      </c>
      <c r="U92" s="52">
        <f t="shared" si="69"/>
        <v>1459.6708906875074</v>
      </c>
    </row>
    <row r="93" spans="1:21" s="52" customFormat="1" x14ac:dyDescent="0.25">
      <c r="A93"/>
      <c r="B93"/>
      <c r="C93"/>
      <c r="D93" s="52" t="s">
        <v>158</v>
      </c>
      <c r="G93" s="52">
        <v>39.35</v>
      </c>
      <c r="H93" s="52">
        <v>41.83</v>
      </c>
      <c r="I93" s="52">
        <v>44.92</v>
      </c>
      <c r="J93" s="52">
        <v>49.56</v>
      </c>
      <c r="K93" s="52">
        <v>56.41</v>
      </c>
      <c r="L93" s="52">
        <f>K93/J96*K96</f>
        <v>71.475346586255668</v>
      </c>
      <c r="M93" s="52">
        <f t="shared" ref="M93:U93" si="70">L93/K96*L96</f>
        <v>87.48084503890162</v>
      </c>
      <c r="N93" s="52">
        <f t="shared" si="70"/>
        <v>103.46251402778557</v>
      </c>
      <c r="O93" s="52">
        <f t="shared" si="70"/>
        <v>115.06382880821747</v>
      </c>
      <c r="P93" s="52">
        <f t="shared" si="70"/>
        <v>124.05745762842997</v>
      </c>
      <c r="Q93" s="52">
        <f t="shared" si="70"/>
        <v>131.48761817283287</v>
      </c>
      <c r="R93" s="52">
        <f t="shared" si="70"/>
        <v>137.97529215538972</v>
      </c>
      <c r="S93" s="52">
        <f t="shared" si="70"/>
        <v>143.89527713457642</v>
      </c>
      <c r="T93" s="52">
        <f t="shared" si="70"/>
        <v>149.46471113511757</v>
      </c>
      <c r="U93" s="52">
        <f t="shared" si="70"/>
        <v>154.81354492474313</v>
      </c>
    </row>
    <row r="94" spans="1:21" s="52" customFormat="1" x14ac:dyDescent="0.25">
      <c r="A94"/>
      <c r="B94"/>
      <c r="C94"/>
      <c r="D94" s="52" t="s">
        <v>159</v>
      </c>
      <c r="G94" s="52">
        <v>2.08</v>
      </c>
      <c r="H94" s="52">
        <v>3.85</v>
      </c>
      <c r="I94" s="52">
        <v>7.38</v>
      </c>
      <c r="J94" s="52">
        <v>14.03</v>
      </c>
      <c r="K94" s="52">
        <v>13.42</v>
      </c>
      <c r="L94" s="52">
        <f>AVERAGE(G94:K94)</f>
        <v>8.1519999999999992</v>
      </c>
      <c r="M94" s="52">
        <f>L94</f>
        <v>8.1519999999999992</v>
      </c>
      <c r="N94" s="52">
        <f t="shared" ref="N94:U94" si="71">M94</f>
        <v>8.1519999999999992</v>
      </c>
      <c r="O94" s="52">
        <f t="shared" si="71"/>
        <v>8.1519999999999992</v>
      </c>
      <c r="P94" s="52">
        <f t="shared" si="71"/>
        <v>8.1519999999999992</v>
      </c>
      <c r="Q94" s="52">
        <f t="shared" si="71"/>
        <v>8.1519999999999992</v>
      </c>
      <c r="R94" s="52">
        <f t="shared" si="71"/>
        <v>8.1519999999999992</v>
      </c>
      <c r="S94" s="52">
        <f t="shared" si="71"/>
        <v>8.1519999999999992</v>
      </c>
      <c r="T94" s="52">
        <f t="shared" si="71"/>
        <v>8.1519999999999992</v>
      </c>
      <c r="U94" s="52">
        <f t="shared" si="71"/>
        <v>8.1519999999999992</v>
      </c>
    </row>
    <row r="95" spans="1:21" s="52" customFormat="1" x14ac:dyDescent="0.25">
      <c r="A95"/>
      <c r="B95"/>
      <c r="C95"/>
      <c r="D95" s="52" t="s">
        <v>161</v>
      </c>
      <c r="G95" s="52">
        <v>-0.02</v>
      </c>
      <c r="H95" s="52">
        <v>-0.09</v>
      </c>
      <c r="I95" s="52">
        <v>-0.32</v>
      </c>
      <c r="J95" s="52">
        <v>0.12</v>
      </c>
      <c r="K95" s="52">
        <v>0.06</v>
      </c>
      <c r="L95" s="52">
        <f>AVERAGE(G95:K95)</f>
        <v>-0.05</v>
      </c>
      <c r="M95" s="52">
        <f>L95</f>
        <v>-0.05</v>
      </c>
      <c r="N95" s="52">
        <f t="shared" ref="N95:U95" si="72">M95</f>
        <v>-0.05</v>
      </c>
      <c r="O95" s="52">
        <f t="shared" si="72"/>
        <v>-0.05</v>
      </c>
      <c r="P95" s="52">
        <f t="shared" si="72"/>
        <v>-0.05</v>
      </c>
      <c r="Q95" s="52">
        <f t="shared" si="72"/>
        <v>-0.05</v>
      </c>
      <c r="R95" s="52">
        <f t="shared" si="72"/>
        <v>-0.05</v>
      </c>
      <c r="S95" s="52">
        <f t="shared" si="72"/>
        <v>-0.05</v>
      </c>
      <c r="T95" s="52">
        <f t="shared" si="72"/>
        <v>-0.05</v>
      </c>
      <c r="U95" s="52">
        <f t="shared" si="72"/>
        <v>-0.05</v>
      </c>
    </row>
    <row r="96" spans="1:21" s="53" customFormat="1" x14ac:dyDescent="0.25">
      <c r="A96" s="1"/>
      <c r="B96" s="1"/>
      <c r="C96" s="1"/>
      <c r="D96" s="53" t="s">
        <v>160</v>
      </c>
      <c r="G96" s="53">
        <f>G91-G92-G93+G94-G95</f>
        <v>122.79000000000002</v>
      </c>
      <c r="H96" s="53">
        <f>H91-H92-H93+H94-H95</f>
        <v>109.54999999999994</v>
      </c>
      <c r="I96" s="53">
        <f>I91-I92-I93+I94-I95</f>
        <v>118.67000000000003</v>
      </c>
      <c r="J96" s="53">
        <f>J91-J92-J93+J94-J95</f>
        <v>134.31</v>
      </c>
      <c r="K96" s="53">
        <f>K91-K92-K93+K94-K95</f>
        <v>170.18</v>
      </c>
      <c r="L96" s="53">
        <f t="shared" ref="L96:U96" si="73">L91-L92-L93+L94-L95</f>
        <v>208.28846476112176</v>
      </c>
      <c r="M96" s="53">
        <f t="shared" si="73"/>
        <v>246.34019250260383</v>
      </c>
      <c r="N96" s="53">
        <f t="shared" si="73"/>
        <v>273.96246848487306</v>
      </c>
      <c r="O96" s="53">
        <f t="shared" si="73"/>
        <v>295.37594635834836</v>
      </c>
      <c r="P96" s="53">
        <f t="shared" si="73"/>
        <v>313.06686751982244</v>
      </c>
      <c r="Q96" s="53">
        <f t="shared" si="73"/>
        <v>328.51376510176203</v>
      </c>
      <c r="R96" s="53">
        <f t="shared" si="73"/>
        <v>342.60901740728525</v>
      </c>
      <c r="S96" s="53">
        <f t="shared" si="73"/>
        <v>355.86962156634718</v>
      </c>
      <c r="T96" s="53">
        <f t="shared" si="73"/>
        <v>368.60498526577294</v>
      </c>
      <c r="U96" s="53">
        <f t="shared" si="73"/>
        <v>380.99669754262572</v>
      </c>
    </row>
    <row r="97" spans="1:21" s="52" customFormat="1" x14ac:dyDescent="0.25">
      <c r="A97"/>
      <c r="B97"/>
      <c r="C97"/>
    </row>
    <row r="98" spans="1:21" s="52" customFormat="1" x14ac:dyDescent="0.25">
      <c r="A98"/>
      <c r="B98"/>
      <c r="C98"/>
    </row>
    <row r="99" spans="1:21" s="52" customFormat="1" x14ac:dyDescent="0.25">
      <c r="A99"/>
      <c r="B99"/>
      <c r="C99"/>
      <c r="D99" s="51" t="s">
        <v>167</v>
      </c>
    </row>
    <row r="100" spans="1:21" s="52" customFormat="1" x14ac:dyDescent="0.25">
      <c r="A100"/>
      <c r="B100"/>
      <c r="C100"/>
      <c r="D100" s="51" t="s">
        <v>151</v>
      </c>
      <c r="G100" s="52">
        <v>106.11</v>
      </c>
      <c r="H100" s="52">
        <v>112.29</v>
      </c>
      <c r="I100" s="52">
        <v>111.33</v>
      </c>
      <c r="J100" s="52">
        <v>114.24</v>
      </c>
      <c r="K100" s="52">
        <v>122.32</v>
      </c>
      <c r="L100" s="52">
        <f>K104</f>
        <v>154.35</v>
      </c>
      <c r="M100" s="52">
        <f t="shared" ref="M100:U100" si="74">L104</f>
        <v>205.29489719373578</v>
      </c>
      <c r="N100" s="52">
        <f t="shared" si="74"/>
        <v>258.40708989521232</v>
      </c>
      <c r="O100" s="52">
        <f t="shared" si="74"/>
        <v>313.74241687090426</v>
      </c>
      <c r="P100" s="52">
        <f t="shared" si="74"/>
        <v>371.23693325527614</v>
      </c>
      <c r="Q100" s="52">
        <f t="shared" si="74"/>
        <v>430.84201206559248</v>
      </c>
      <c r="R100" s="52">
        <f t="shared" si="74"/>
        <v>492.52364486514409</v>
      </c>
      <c r="S100" s="52">
        <f t="shared" si="74"/>
        <v>556.26176806801709</v>
      </c>
      <c r="T100" s="52">
        <f t="shared" si="74"/>
        <v>622.03608440619212</v>
      </c>
      <c r="U100" s="52">
        <f t="shared" si="74"/>
        <v>689.8301199092864</v>
      </c>
    </row>
    <row r="101" spans="1:21" s="52" customFormat="1" x14ac:dyDescent="0.25">
      <c r="A101"/>
      <c r="B101"/>
      <c r="C101"/>
      <c r="D101" s="52" t="s">
        <v>152</v>
      </c>
      <c r="G101" s="52">
        <v>8.43</v>
      </c>
      <c r="H101" s="52">
        <v>1.82</v>
      </c>
      <c r="I101" s="52">
        <v>8.8699999999999992</v>
      </c>
      <c r="J101" s="52">
        <v>12.28</v>
      </c>
      <c r="K101" s="52">
        <v>37.590000000000003</v>
      </c>
      <c r="L101" s="52">
        <f>K101/K$280*L$298</f>
        <v>55.170897193735769</v>
      </c>
      <c r="M101" s="52">
        <f t="shared" ref="M101:U101" si="75">L101/L$280*M$298</f>
        <v>57.338192701476565</v>
      </c>
      <c r="N101" s="52">
        <f t="shared" si="75"/>
        <v>59.561326975691934</v>
      </c>
      <c r="O101" s="52">
        <f t="shared" si="75"/>
        <v>61.720516384371869</v>
      </c>
      <c r="P101" s="52">
        <f t="shared" si="75"/>
        <v>63.831078810316342</v>
      </c>
      <c r="Q101" s="52">
        <f t="shared" si="75"/>
        <v>65.907632799551578</v>
      </c>
      <c r="R101" s="52">
        <f t="shared" si="75"/>
        <v>67.96412320287304</v>
      </c>
      <c r="S101" s="52">
        <f t="shared" si="75"/>
        <v>70.000316338175011</v>
      </c>
      <c r="T101" s="52">
        <f t="shared" si="75"/>
        <v>72.020035503094306</v>
      </c>
      <c r="U101" s="52">
        <f t="shared" si="75"/>
        <v>74.024134407839739</v>
      </c>
    </row>
    <row r="102" spans="1:21" s="52" customFormat="1" x14ac:dyDescent="0.25">
      <c r="A102"/>
      <c r="B102"/>
      <c r="C102"/>
      <c r="D102" s="52" t="s">
        <v>155</v>
      </c>
      <c r="G102" s="52">
        <v>1.17</v>
      </c>
      <c r="H102" s="52">
        <v>-0.45</v>
      </c>
      <c r="I102" s="52">
        <v>0.33</v>
      </c>
      <c r="J102" s="52">
        <v>0.97</v>
      </c>
      <c r="K102" s="52">
        <v>0.22</v>
      </c>
      <c r="L102" s="52">
        <f>AVERAGE(G102:K102)</f>
        <v>0.44800000000000006</v>
      </c>
      <c r="M102" s="52">
        <f>L102</f>
        <v>0.44800000000000006</v>
      </c>
      <c r="N102" s="52">
        <f t="shared" ref="N102:U102" si="76">M102</f>
        <v>0.44800000000000006</v>
      </c>
      <c r="O102" s="52">
        <f t="shared" si="76"/>
        <v>0.44800000000000006</v>
      </c>
      <c r="P102" s="52">
        <f t="shared" si="76"/>
        <v>0.44800000000000006</v>
      </c>
      <c r="Q102" s="52">
        <f t="shared" si="76"/>
        <v>0.44800000000000006</v>
      </c>
      <c r="R102" s="52">
        <f t="shared" si="76"/>
        <v>0.44800000000000006</v>
      </c>
      <c r="S102" s="52">
        <f t="shared" si="76"/>
        <v>0.44800000000000006</v>
      </c>
      <c r="T102" s="52">
        <f t="shared" si="76"/>
        <v>0.44800000000000006</v>
      </c>
      <c r="U102" s="52">
        <f t="shared" si="76"/>
        <v>0.44800000000000006</v>
      </c>
    </row>
    <row r="103" spans="1:21" s="52" customFormat="1" x14ac:dyDescent="0.25">
      <c r="A103"/>
      <c r="B103"/>
      <c r="C103"/>
      <c r="D103" s="52" t="s">
        <v>153</v>
      </c>
      <c r="G103" s="52">
        <v>3.8</v>
      </c>
      <c r="H103" s="52">
        <v>2.33</v>
      </c>
      <c r="I103" s="52">
        <v>6.29</v>
      </c>
      <c r="J103" s="52">
        <v>5.17</v>
      </c>
      <c r="K103" s="52">
        <v>5.78</v>
      </c>
      <c r="L103" s="52">
        <f>AVERAGE(G103:K103)</f>
        <v>4.6740000000000004</v>
      </c>
      <c r="M103" s="52">
        <f>L103</f>
        <v>4.6740000000000004</v>
      </c>
      <c r="N103" s="52">
        <f t="shared" ref="N103:U103" si="77">M103</f>
        <v>4.6740000000000004</v>
      </c>
      <c r="O103" s="52">
        <f t="shared" si="77"/>
        <v>4.6740000000000004</v>
      </c>
      <c r="P103" s="52">
        <f t="shared" si="77"/>
        <v>4.6740000000000004</v>
      </c>
      <c r="Q103" s="52">
        <f t="shared" si="77"/>
        <v>4.6740000000000004</v>
      </c>
      <c r="R103" s="52">
        <f t="shared" si="77"/>
        <v>4.6740000000000004</v>
      </c>
      <c r="S103" s="52">
        <f t="shared" si="77"/>
        <v>4.6740000000000004</v>
      </c>
      <c r="T103" s="52">
        <f t="shared" si="77"/>
        <v>4.6740000000000004</v>
      </c>
      <c r="U103" s="52">
        <f t="shared" si="77"/>
        <v>4.6740000000000004</v>
      </c>
    </row>
    <row r="104" spans="1:21" s="52" customFormat="1" x14ac:dyDescent="0.25">
      <c r="A104"/>
      <c r="B104"/>
      <c r="C104"/>
      <c r="D104" s="51" t="s">
        <v>154</v>
      </c>
      <c r="G104" s="51">
        <f>G100+G101+G102-G103</f>
        <v>111.91</v>
      </c>
      <c r="H104" s="51">
        <f>H100+H101+H102-H103</f>
        <v>111.33</v>
      </c>
      <c r="I104" s="51">
        <f>I100+I101+I102-I103</f>
        <v>114.24</v>
      </c>
      <c r="J104" s="51">
        <f>J100+J101+J102-J103</f>
        <v>122.32</v>
      </c>
      <c r="K104" s="51">
        <f>K100+K101+K102-K103</f>
        <v>154.35</v>
      </c>
      <c r="L104" s="51">
        <f t="shared" ref="L104:U104" si="78">L100+L101+L102-L103</f>
        <v>205.29489719373578</v>
      </c>
      <c r="M104" s="51">
        <f t="shared" si="78"/>
        <v>258.40708989521232</v>
      </c>
      <c r="N104" s="51">
        <f t="shared" si="78"/>
        <v>313.74241687090426</v>
      </c>
      <c r="O104" s="51">
        <f t="shared" si="78"/>
        <v>371.23693325527614</v>
      </c>
      <c r="P104" s="51">
        <f t="shared" si="78"/>
        <v>430.84201206559248</v>
      </c>
      <c r="Q104" s="51">
        <f t="shared" si="78"/>
        <v>492.52364486514409</v>
      </c>
      <c r="R104" s="51">
        <f t="shared" si="78"/>
        <v>556.26176806801709</v>
      </c>
      <c r="S104" s="51">
        <f t="shared" si="78"/>
        <v>622.03608440619212</v>
      </c>
      <c r="T104" s="51">
        <f t="shared" si="78"/>
        <v>689.8301199092864</v>
      </c>
      <c r="U104" s="51">
        <f t="shared" si="78"/>
        <v>759.62825431712611</v>
      </c>
    </row>
    <row r="105" spans="1:21" s="52" customFormat="1" x14ac:dyDescent="0.25">
      <c r="A105"/>
      <c r="B105"/>
      <c r="C105"/>
      <c r="D105" s="52" t="s">
        <v>157</v>
      </c>
      <c r="G105" s="52">
        <v>57.52</v>
      </c>
      <c r="H105" s="52">
        <v>70.28</v>
      </c>
      <c r="I105" s="52">
        <v>80.12</v>
      </c>
      <c r="J105" s="52">
        <v>86.32</v>
      </c>
      <c r="K105" s="52">
        <v>92.86</v>
      </c>
      <c r="L105" s="52">
        <f>SUM(K105:K108)</f>
        <v>109.08000000000001</v>
      </c>
      <c r="M105" s="52">
        <f t="shared" ref="M105:U105" si="79">SUM(L105:L108)</f>
        <v>134.84957705363203</v>
      </c>
      <c r="N105" s="52">
        <f t="shared" si="79"/>
        <v>170.58888916777479</v>
      </c>
      <c r="O105" s="52">
        <f t="shared" si="79"/>
        <v>213.41062816086796</v>
      </c>
      <c r="P105" s="52">
        <f t="shared" si="79"/>
        <v>261.33379932201984</v>
      </c>
      <c r="Q105" s="52">
        <f t="shared" si="79"/>
        <v>313.1589343708456</v>
      </c>
      <c r="R105" s="52">
        <f t="shared" si="79"/>
        <v>368.15573013167074</v>
      </c>
      <c r="S105" s="52">
        <f t="shared" si="79"/>
        <v>425.87774289300859</v>
      </c>
      <c r="T105" s="52">
        <f t="shared" si="79"/>
        <v>486.05235193414404</v>
      </c>
      <c r="U105" s="52">
        <f t="shared" si="79"/>
        <v>548.50980159433743</v>
      </c>
    </row>
    <row r="106" spans="1:21" s="52" customFormat="1" x14ac:dyDescent="0.25">
      <c r="A106"/>
      <c r="B106"/>
      <c r="C106"/>
      <c r="D106" s="52" t="s">
        <v>158</v>
      </c>
      <c r="G106" s="52">
        <v>15.15</v>
      </c>
      <c r="H106" s="52">
        <v>11.56</v>
      </c>
      <c r="I106" s="52">
        <v>11.33</v>
      </c>
      <c r="J106" s="52">
        <v>10.26</v>
      </c>
      <c r="K106" s="52">
        <v>12.01</v>
      </c>
      <c r="L106" s="52">
        <f>K106/J109*K109</f>
        <v>21.765577053632043</v>
      </c>
      <c r="M106" s="52">
        <f t="shared" ref="M106:U106" si="80">L106/K109*L109</f>
        <v>31.735312114142761</v>
      </c>
      <c r="N106" s="52">
        <f t="shared" si="80"/>
        <v>38.817738993093172</v>
      </c>
      <c r="O106" s="52">
        <f t="shared" si="80"/>
        <v>43.919171161151937</v>
      </c>
      <c r="P106" s="52">
        <f t="shared" si="80"/>
        <v>47.821135048825788</v>
      </c>
      <c r="Q106" s="52">
        <f t="shared" si="80"/>
        <v>50.992795760825182</v>
      </c>
      <c r="R106" s="52">
        <f t="shared" si="80"/>
        <v>53.718012761337903</v>
      </c>
      <c r="S106" s="52">
        <f t="shared" si="80"/>
        <v>56.170609041135499</v>
      </c>
      <c r="T106" s="52">
        <f t="shared" si="80"/>
        <v>58.453449660193378</v>
      </c>
      <c r="U106" s="52">
        <f t="shared" si="80"/>
        <v>60.629023182706632</v>
      </c>
    </row>
    <row r="107" spans="1:21" s="52" customFormat="1" x14ac:dyDescent="0.25">
      <c r="A107"/>
      <c r="B107"/>
      <c r="C107"/>
      <c r="D107" s="52" t="s">
        <v>159</v>
      </c>
      <c r="G107" s="52">
        <v>3.21</v>
      </c>
      <c r="H107" s="52">
        <v>1.41</v>
      </c>
      <c r="I107" s="52">
        <v>5.34</v>
      </c>
      <c r="J107" s="52">
        <v>4.4800000000000004</v>
      </c>
      <c r="K107" s="52">
        <v>4.0599999999999996</v>
      </c>
      <c r="L107" s="52">
        <f>AVERAGE(G107:K107)</f>
        <v>3.7</v>
      </c>
      <c r="M107" s="52">
        <f>L107</f>
        <v>3.7</v>
      </c>
      <c r="N107" s="52">
        <f t="shared" ref="N107:U107" si="81">M107</f>
        <v>3.7</v>
      </c>
      <c r="O107" s="52">
        <f t="shared" si="81"/>
        <v>3.7</v>
      </c>
      <c r="P107" s="52">
        <f t="shared" si="81"/>
        <v>3.7</v>
      </c>
      <c r="Q107" s="52">
        <f t="shared" si="81"/>
        <v>3.7</v>
      </c>
      <c r="R107" s="52">
        <f t="shared" si="81"/>
        <v>3.7</v>
      </c>
      <c r="S107" s="52">
        <f t="shared" si="81"/>
        <v>3.7</v>
      </c>
      <c r="T107" s="52">
        <f t="shared" si="81"/>
        <v>3.7</v>
      </c>
      <c r="U107" s="52">
        <f t="shared" si="81"/>
        <v>3.7</v>
      </c>
    </row>
    <row r="108" spans="1:21" s="52" customFormat="1" x14ac:dyDescent="0.25">
      <c r="A108"/>
      <c r="B108"/>
      <c r="C108"/>
      <c r="D108" s="52" t="s">
        <v>161</v>
      </c>
      <c r="G108" s="52">
        <v>0.71</v>
      </c>
      <c r="H108" s="52">
        <v>-0.31</v>
      </c>
      <c r="I108" s="52">
        <v>0.21</v>
      </c>
      <c r="J108" s="52">
        <v>0.76</v>
      </c>
      <c r="K108" s="52">
        <v>0.15</v>
      </c>
      <c r="L108" s="52">
        <f>AVERAGE(G108:K108)</f>
        <v>0.30399999999999999</v>
      </c>
      <c r="M108" s="52">
        <f>L108</f>
        <v>0.30399999999999999</v>
      </c>
      <c r="N108" s="52">
        <f t="shared" ref="N108:U108" si="82">M108</f>
        <v>0.30399999999999999</v>
      </c>
      <c r="O108" s="52">
        <f t="shared" si="82"/>
        <v>0.30399999999999999</v>
      </c>
      <c r="P108" s="52">
        <f t="shared" si="82"/>
        <v>0.30399999999999999</v>
      </c>
      <c r="Q108" s="52">
        <f t="shared" si="82"/>
        <v>0.30399999999999999</v>
      </c>
      <c r="R108" s="52">
        <f t="shared" si="82"/>
        <v>0.30399999999999999</v>
      </c>
      <c r="S108" s="52">
        <f t="shared" si="82"/>
        <v>0.30399999999999999</v>
      </c>
      <c r="T108" s="52">
        <f t="shared" si="82"/>
        <v>0.30399999999999999</v>
      </c>
      <c r="U108" s="52">
        <f t="shared" si="82"/>
        <v>0.30399999999999999</v>
      </c>
    </row>
    <row r="109" spans="1:21" s="55" customFormat="1" x14ac:dyDescent="0.25">
      <c r="A109"/>
      <c r="B109"/>
      <c r="C109"/>
      <c r="D109" s="53" t="s">
        <v>160</v>
      </c>
      <c r="G109" s="53">
        <f>G104-G105-G106+G107-G108</f>
        <v>41.739999999999995</v>
      </c>
      <c r="H109" s="53">
        <f>H104-H105-H106+H107-H108</f>
        <v>31.209999999999994</v>
      </c>
      <c r="I109" s="53">
        <f>I104-I105-I106+I107-I108</f>
        <v>27.919999999999991</v>
      </c>
      <c r="J109" s="53">
        <f>J104-J105-J106+J107-J108</f>
        <v>29.46</v>
      </c>
      <c r="K109" s="53">
        <f>K104-K105-K106+K107-K108</f>
        <v>53.39</v>
      </c>
      <c r="L109" s="53">
        <f t="shared" ref="L109:U109" si="83">L104-L105-L106+L107-L108</f>
        <v>77.845320140103723</v>
      </c>
      <c r="M109" s="53">
        <f t="shared" si="83"/>
        <v>95.218200727437534</v>
      </c>
      <c r="N109" s="53">
        <f t="shared" si="83"/>
        <v>107.7317887100363</v>
      </c>
      <c r="O109" s="53">
        <f t="shared" si="83"/>
        <v>117.30313393325625</v>
      </c>
      <c r="P109" s="53">
        <f t="shared" si="83"/>
        <v>125.08307769474685</v>
      </c>
      <c r="Q109" s="53">
        <f t="shared" si="83"/>
        <v>131.7679147334733</v>
      </c>
      <c r="R109" s="53">
        <f t="shared" si="83"/>
        <v>137.78402517500845</v>
      </c>
      <c r="S109" s="53">
        <f t="shared" si="83"/>
        <v>143.38373247204802</v>
      </c>
      <c r="T109" s="53">
        <f t="shared" si="83"/>
        <v>148.72031831494897</v>
      </c>
      <c r="U109" s="53">
        <f t="shared" si="83"/>
        <v>153.88542954008201</v>
      </c>
    </row>
    <row r="110" spans="1:21" s="52" customFormat="1" x14ac:dyDescent="0.25">
      <c r="A110"/>
      <c r="B110"/>
      <c r="C110"/>
    </row>
    <row r="111" spans="1:21" s="52" customFormat="1" x14ac:dyDescent="0.25">
      <c r="A111"/>
      <c r="B111"/>
      <c r="C111"/>
    </row>
    <row r="112" spans="1:21" s="52" customFormat="1" x14ac:dyDescent="0.25">
      <c r="A112"/>
      <c r="B112"/>
      <c r="C112"/>
      <c r="D112" s="51" t="s">
        <v>168</v>
      </c>
    </row>
    <row r="113" spans="1:21" s="52" customFormat="1" x14ac:dyDescent="0.25">
      <c r="A113"/>
      <c r="B113"/>
      <c r="C113"/>
      <c r="D113" s="51" t="s">
        <v>151</v>
      </c>
      <c r="G113" s="52">
        <v>110.49</v>
      </c>
      <c r="H113" s="52">
        <v>122.12</v>
      </c>
      <c r="I113" s="52">
        <v>133.34</v>
      </c>
      <c r="J113" s="52">
        <v>162.80000000000001</v>
      </c>
      <c r="K113" s="52">
        <f>J117</f>
        <v>199.92000000000002</v>
      </c>
      <c r="L113" s="52">
        <f t="shared" ref="L113:U113" si="84">K117</f>
        <v>259.86000000000007</v>
      </c>
      <c r="M113" s="52">
        <f t="shared" si="84"/>
        <v>371.96208615723509</v>
      </c>
      <c r="N113" s="52">
        <f t="shared" si="84"/>
        <v>489.26937152805993</v>
      </c>
      <c r="O113" s="52">
        <f t="shared" si="84"/>
        <v>611.91596422200701</v>
      </c>
      <c r="P113" s="52">
        <f t="shared" si="84"/>
        <v>739.7482876905118</v>
      </c>
      <c r="Q113" s="52">
        <f t="shared" si="84"/>
        <v>872.64955438365791</v>
      </c>
      <c r="R113" s="52">
        <f t="shared" si="84"/>
        <v>1010.538086151243</v>
      </c>
      <c r="S113" s="52">
        <f t="shared" si="84"/>
        <v>1153.3656962272041</v>
      </c>
      <c r="T113" s="52">
        <f t="shared" si="84"/>
        <v>1301.0836366105625</v>
      </c>
      <c r="U113" s="52">
        <f t="shared" si="84"/>
        <v>1453.6523417241392</v>
      </c>
    </row>
    <row r="114" spans="1:21" s="52" customFormat="1" x14ac:dyDescent="0.25">
      <c r="A114"/>
      <c r="B114"/>
      <c r="C114"/>
      <c r="D114" s="52" t="s">
        <v>152</v>
      </c>
      <c r="G114" s="52">
        <v>24.41</v>
      </c>
      <c r="H114" s="52">
        <v>23.3</v>
      </c>
      <c r="I114" s="52">
        <v>53.89</v>
      </c>
      <c r="J114" s="52">
        <v>59.17</v>
      </c>
      <c r="K114" s="52">
        <v>90.28</v>
      </c>
      <c r="L114" s="52">
        <f>K114/K$280*L$298</f>
        <v>132.50408615723504</v>
      </c>
      <c r="M114" s="52">
        <f t="shared" ref="M114:U114" si="85">L114/L$280*M$298</f>
        <v>137.7092853708248</v>
      </c>
      <c r="N114" s="52">
        <f t="shared" si="85"/>
        <v>143.048592693947</v>
      </c>
      <c r="O114" s="52">
        <f t="shared" si="85"/>
        <v>148.23432346850473</v>
      </c>
      <c r="P114" s="52">
        <f t="shared" si="85"/>
        <v>153.30326669314604</v>
      </c>
      <c r="Q114" s="52">
        <f t="shared" si="85"/>
        <v>158.29053176758492</v>
      </c>
      <c r="R114" s="52">
        <f t="shared" si="85"/>
        <v>163.22961007596112</v>
      </c>
      <c r="S114" s="52">
        <f t="shared" si="85"/>
        <v>168.11994038335837</v>
      </c>
      <c r="T114" s="52">
        <f t="shared" si="85"/>
        <v>172.97070511357686</v>
      </c>
      <c r="U114" s="52">
        <f t="shared" si="85"/>
        <v>177.78395462462814</v>
      </c>
    </row>
    <row r="115" spans="1:21" s="52" customFormat="1" x14ac:dyDescent="0.25">
      <c r="A115"/>
      <c r="B115"/>
      <c r="C115"/>
      <c r="D115" s="52" t="s">
        <v>155</v>
      </c>
      <c r="G115" s="52">
        <v>0.66</v>
      </c>
      <c r="H115" s="52">
        <v>-0.38</v>
      </c>
      <c r="I115" s="52">
        <v>0.03</v>
      </c>
      <c r="J115" s="52">
        <v>0.39</v>
      </c>
      <c r="K115" s="52">
        <v>0.16</v>
      </c>
      <c r="L115" s="52">
        <f>AVERAGE(G115:K115)</f>
        <v>0.17200000000000001</v>
      </c>
      <c r="M115" s="52">
        <f>L115</f>
        <v>0.17200000000000001</v>
      </c>
      <c r="N115" s="52">
        <f t="shared" ref="N115:U115" si="86">M115</f>
        <v>0.17200000000000001</v>
      </c>
      <c r="O115" s="52">
        <f t="shared" si="86"/>
        <v>0.17200000000000001</v>
      </c>
      <c r="P115" s="52">
        <f t="shared" si="86"/>
        <v>0.17200000000000001</v>
      </c>
      <c r="Q115" s="52">
        <f t="shared" si="86"/>
        <v>0.17200000000000001</v>
      </c>
      <c r="R115" s="52">
        <f t="shared" si="86"/>
        <v>0.17200000000000001</v>
      </c>
      <c r="S115" s="52">
        <f t="shared" si="86"/>
        <v>0.17200000000000001</v>
      </c>
      <c r="T115" s="52">
        <f t="shared" si="86"/>
        <v>0.17200000000000001</v>
      </c>
      <c r="U115" s="52">
        <f t="shared" si="86"/>
        <v>0.17200000000000001</v>
      </c>
    </row>
    <row r="116" spans="1:21" s="52" customFormat="1" x14ac:dyDescent="0.25">
      <c r="A116"/>
      <c r="B116"/>
      <c r="C116"/>
      <c r="D116" s="52" t="s">
        <v>153</v>
      </c>
      <c r="G116" s="52">
        <v>13.77</v>
      </c>
      <c r="H116" s="52">
        <v>11.7</v>
      </c>
      <c r="I116" s="52">
        <v>24.46</v>
      </c>
      <c r="J116" s="52">
        <v>22.44</v>
      </c>
      <c r="K116" s="52">
        <v>30.5</v>
      </c>
      <c r="L116" s="52">
        <f t="shared" ref="L116" si="87">AVERAGE(G116:K116)</f>
        <v>20.574000000000002</v>
      </c>
      <c r="M116" s="52">
        <f t="shared" ref="M116:U116" si="88">L116</f>
        <v>20.574000000000002</v>
      </c>
      <c r="N116" s="52">
        <f t="shared" si="88"/>
        <v>20.574000000000002</v>
      </c>
      <c r="O116" s="52">
        <f t="shared" si="88"/>
        <v>20.574000000000002</v>
      </c>
      <c r="P116" s="52">
        <f t="shared" si="88"/>
        <v>20.574000000000002</v>
      </c>
      <c r="Q116" s="52">
        <f t="shared" si="88"/>
        <v>20.574000000000002</v>
      </c>
      <c r="R116" s="52">
        <f t="shared" si="88"/>
        <v>20.574000000000002</v>
      </c>
      <c r="S116" s="52">
        <f t="shared" si="88"/>
        <v>20.574000000000002</v>
      </c>
      <c r="T116" s="52">
        <f t="shared" si="88"/>
        <v>20.574000000000002</v>
      </c>
      <c r="U116" s="52">
        <f t="shared" si="88"/>
        <v>20.574000000000002</v>
      </c>
    </row>
    <row r="117" spans="1:21" s="52" customFormat="1" x14ac:dyDescent="0.25">
      <c r="A117"/>
      <c r="B117"/>
      <c r="C117"/>
      <c r="D117" s="51" t="s">
        <v>154</v>
      </c>
      <c r="G117" s="51">
        <f>G113+G114+G115-G116</f>
        <v>121.79</v>
      </c>
      <c r="H117" s="51">
        <f>H113+H114+H115-H116</f>
        <v>133.34000000000003</v>
      </c>
      <c r="I117" s="51">
        <f>I113+I114+I115-I116</f>
        <v>162.80000000000001</v>
      </c>
      <c r="J117" s="51">
        <f>J113+J114+J115-J116</f>
        <v>199.92000000000002</v>
      </c>
      <c r="K117" s="51">
        <f>K113+K114+K115-K116</f>
        <v>259.86000000000007</v>
      </c>
      <c r="L117" s="51">
        <f t="shared" ref="L117:U117" si="89">L113+L114+L115-L116</f>
        <v>371.96208615723509</v>
      </c>
      <c r="M117" s="51">
        <f t="shared" si="89"/>
        <v>489.26937152805993</v>
      </c>
      <c r="N117" s="51">
        <f t="shared" si="89"/>
        <v>611.91596422200701</v>
      </c>
      <c r="O117" s="51">
        <f t="shared" si="89"/>
        <v>739.7482876905118</v>
      </c>
      <c r="P117" s="51">
        <f t="shared" si="89"/>
        <v>872.64955438365791</v>
      </c>
      <c r="Q117" s="51">
        <f t="shared" si="89"/>
        <v>1010.538086151243</v>
      </c>
      <c r="R117" s="51">
        <f t="shared" si="89"/>
        <v>1153.3656962272041</v>
      </c>
      <c r="S117" s="51">
        <f t="shared" si="89"/>
        <v>1301.0836366105625</v>
      </c>
      <c r="T117" s="51">
        <f t="shared" si="89"/>
        <v>1453.6523417241392</v>
      </c>
      <c r="U117" s="51">
        <f t="shared" si="89"/>
        <v>1611.0342963487674</v>
      </c>
    </row>
    <row r="118" spans="1:21" s="52" customFormat="1" x14ac:dyDescent="0.25">
      <c r="A118"/>
      <c r="B118"/>
      <c r="C118"/>
      <c r="D118" s="52" t="s">
        <v>157</v>
      </c>
      <c r="G118" s="52">
        <v>46.87</v>
      </c>
      <c r="H118" s="52">
        <v>58.44</v>
      </c>
      <c r="I118" s="52">
        <v>69.44</v>
      </c>
      <c r="J118" s="52">
        <v>74.849999999999994</v>
      </c>
      <c r="K118" s="52">
        <v>89.58</v>
      </c>
      <c r="L118" s="52">
        <f>SUM(K118:K121)</f>
        <v>149.05000000000001</v>
      </c>
      <c r="M118" s="52">
        <f t="shared" ref="M118:U118" si="90">SUM(L118:L121)</f>
        <v>216.4606128330615</v>
      </c>
      <c r="N118" s="52">
        <f t="shared" si="90"/>
        <v>295.20457962032117</v>
      </c>
      <c r="O118" s="52">
        <f t="shared" si="90"/>
        <v>387.70118902370638</v>
      </c>
      <c r="P118" s="52">
        <f t="shared" si="90"/>
        <v>490.95003553497276</v>
      </c>
      <c r="Q118" s="52">
        <f t="shared" si="90"/>
        <v>602.96596395912036</v>
      </c>
      <c r="R118" s="52">
        <f t="shared" si="90"/>
        <v>722.43012567024539</v>
      </c>
      <c r="S118" s="52">
        <f t="shared" si="90"/>
        <v>848.46487793531014</v>
      </c>
      <c r="T118" s="52">
        <f t="shared" si="90"/>
        <v>980.48838273670594</v>
      </c>
      <c r="U118" s="52">
        <f t="shared" si="90"/>
        <v>1118.1089152719269</v>
      </c>
    </row>
    <row r="119" spans="1:21" s="52" customFormat="1" x14ac:dyDescent="0.25">
      <c r="A119"/>
      <c r="B119"/>
      <c r="C119"/>
      <c r="D119" s="52" t="s">
        <v>158</v>
      </c>
      <c r="G119" s="52">
        <v>19.39</v>
      </c>
      <c r="H119" s="52">
        <v>19.28</v>
      </c>
      <c r="I119" s="52">
        <v>22.2</v>
      </c>
      <c r="J119" s="52">
        <v>29.01</v>
      </c>
      <c r="K119" s="52">
        <v>39.35</v>
      </c>
      <c r="L119" s="52">
        <f>K119/J122*K122</f>
        <v>53.782612833061471</v>
      </c>
      <c r="M119" s="52">
        <f t="shared" ref="M119:U119" si="91">L119/K122*L122</f>
        <v>65.115966787259666</v>
      </c>
      <c r="N119" s="52">
        <f t="shared" si="91"/>
        <v>78.868609403385193</v>
      </c>
      <c r="O119" s="52">
        <f t="shared" si="91"/>
        <v>89.620846511266365</v>
      </c>
      <c r="P119" s="52">
        <f t="shared" si="91"/>
        <v>98.387928424147717</v>
      </c>
      <c r="Q119" s="52">
        <f t="shared" si="91"/>
        <v>105.83616171112513</v>
      </c>
      <c r="R119" s="52">
        <f t="shared" si="91"/>
        <v>112.4067522650648</v>
      </c>
      <c r="S119" s="52">
        <f t="shared" si="91"/>
        <v>118.3955048013959</v>
      </c>
      <c r="T119" s="52">
        <f t="shared" si="91"/>
        <v>123.99253253522069</v>
      </c>
      <c r="U119" s="52">
        <f t="shared" si="91"/>
        <v>129.32342424229259</v>
      </c>
    </row>
    <row r="120" spans="1:21" s="52" customFormat="1" x14ac:dyDescent="0.25">
      <c r="A120"/>
      <c r="B120"/>
      <c r="C120"/>
      <c r="D120" s="52" t="s">
        <v>159</v>
      </c>
      <c r="G120" s="52">
        <v>8.4600000000000009</v>
      </c>
      <c r="H120" s="52">
        <v>7.95</v>
      </c>
      <c r="I120" s="52">
        <v>16.84</v>
      </c>
      <c r="J120" s="52">
        <v>14.47</v>
      </c>
      <c r="K120" s="52">
        <v>20</v>
      </c>
      <c r="L120" s="52">
        <f>AVERAGE(G120:K120)</f>
        <v>13.544</v>
      </c>
      <c r="M120" s="52">
        <f>L120</f>
        <v>13.544</v>
      </c>
      <c r="N120" s="52">
        <f t="shared" ref="N120:U120" si="92">M120</f>
        <v>13.544</v>
      </c>
      <c r="O120" s="52">
        <f t="shared" si="92"/>
        <v>13.544</v>
      </c>
      <c r="P120" s="52">
        <f t="shared" si="92"/>
        <v>13.544</v>
      </c>
      <c r="Q120" s="52">
        <f t="shared" si="92"/>
        <v>13.544</v>
      </c>
      <c r="R120" s="52">
        <f t="shared" si="92"/>
        <v>13.544</v>
      </c>
      <c r="S120" s="52">
        <f t="shared" si="92"/>
        <v>13.544</v>
      </c>
      <c r="T120" s="52">
        <f t="shared" si="92"/>
        <v>13.544</v>
      </c>
      <c r="U120" s="52">
        <f t="shared" si="92"/>
        <v>13.544</v>
      </c>
    </row>
    <row r="121" spans="1:21" s="52" customFormat="1" x14ac:dyDescent="0.25">
      <c r="A121"/>
      <c r="B121"/>
      <c r="C121"/>
      <c r="D121" s="52" t="s">
        <v>161</v>
      </c>
      <c r="G121" s="52">
        <v>0.39</v>
      </c>
      <c r="H121" s="52">
        <v>-0.33</v>
      </c>
      <c r="I121" s="52">
        <v>0.05</v>
      </c>
      <c r="J121" s="52">
        <v>0.19</v>
      </c>
      <c r="K121" s="52">
        <v>0.12</v>
      </c>
      <c r="L121" s="52">
        <f>AVERAGE(G121:K121)</f>
        <v>8.3999999999999991E-2</v>
      </c>
      <c r="M121" s="52">
        <f>L121</f>
        <v>8.3999999999999991E-2</v>
      </c>
      <c r="N121" s="52">
        <f t="shared" ref="N121:U121" si="93">M121</f>
        <v>8.3999999999999991E-2</v>
      </c>
      <c r="O121" s="52">
        <f t="shared" si="93"/>
        <v>8.3999999999999991E-2</v>
      </c>
      <c r="P121" s="52">
        <f t="shared" si="93"/>
        <v>8.3999999999999991E-2</v>
      </c>
      <c r="Q121" s="52">
        <f t="shared" si="93"/>
        <v>8.3999999999999991E-2</v>
      </c>
      <c r="R121" s="52">
        <f t="shared" si="93"/>
        <v>8.3999999999999991E-2</v>
      </c>
      <c r="S121" s="52">
        <f t="shared" si="93"/>
        <v>8.3999999999999991E-2</v>
      </c>
      <c r="T121" s="52">
        <f t="shared" si="93"/>
        <v>8.3999999999999991E-2</v>
      </c>
      <c r="U121" s="52">
        <f t="shared" si="93"/>
        <v>8.3999999999999991E-2</v>
      </c>
    </row>
    <row r="122" spans="1:21" s="55" customFormat="1" x14ac:dyDescent="0.25">
      <c r="A122"/>
      <c r="B122"/>
      <c r="C122"/>
      <c r="D122" s="53" t="s">
        <v>160</v>
      </c>
      <c r="G122" s="53">
        <f>G117-G118-G119+G120-G121</f>
        <v>63.600000000000016</v>
      </c>
      <c r="H122" s="53">
        <f>H117-H118-H119+H120-H121</f>
        <v>63.900000000000034</v>
      </c>
      <c r="I122" s="53">
        <f>I117-I118-I119+I120-I121</f>
        <v>87.950000000000017</v>
      </c>
      <c r="J122" s="53">
        <f>J117-J118-J119+J120-J121</f>
        <v>110.34000000000002</v>
      </c>
      <c r="K122" s="53">
        <f>K117-K118-K119+K120-K121</f>
        <v>150.81000000000009</v>
      </c>
      <c r="L122" s="53">
        <f t="shared" ref="L122:U122" si="94">L117-L118-L119+L120-L121</f>
        <v>182.58947332417361</v>
      </c>
      <c r="M122" s="53">
        <f t="shared" si="94"/>
        <v>221.15279190773882</v>
      </c>
      <c r="N122" s="53">
        <f t="shared" si="94"/>
        <v>251.30277519830065</v>
      </c>
      <c r="O122" s="53">
        <f t="shared" si="94"/>
        <v>275.88625215553901</v>
      </c>
      <c r="P122" s="53">
        <f t="shared" si="94"/>
        <v>296.77159042453741</v>
      </c>
      <c r="Q122" s="53">
        <f t="shared" si="94"/>
        <v>315.19596048099748</v>
      </c>
      <c r="R122" s="53">
        <f t="shared" si="94"/>
        <v>331.98881829189389</v>
      </c>
      <c r="S122" s="53">
        <f t="shared" si="94"/>
        <v>347.68325387385647</v>
      </c>
      <c r="T122" s="53">
        <f t="shared" si="94"/>
        <v>362.63142645221257</v>
      </c>
      <c r="U122" s="53">
        <f t="shared" si="94"/>
        <v>377.06195683454786</v>
      </c>
    </row>
    <row r="123" spans="1:21" s="52" customFormat="1" x14ac:dyDescent="0.25">
      <c r="A123"/>
      <c r="B123"/>
      <c r="C123"/>
    </row>
    <row r="124" spans="1:21" s="52" customFormat="1" x14ac:dyDescent="0.25">
      <c r="A124"/>
      <c r="B124"/>
      <c r="C124"/>
    </row>
    <row r="125" spans="1:21" s="57" customFormat="1" x14ac:dyDescent="0.25">
      <c r="A125"/>
      <c r="B125"/>
      <c r="C125"/>
      <c r="D125" s="56" t="s">
        <v>169</v>
      </c>
    </row>
    <row r="126" spans="1:21" s="51" customFormat="1" x14ac:dyDescent="0.25">
      <c r="A126" s="1"/>
      <c r="B126" s="1"/>
      <c r="C126" s="1"/>
      <c r="D126" s="51" t="s">
        <v>151</v>
      </c>
      <c r="G126" s="51">
        <f>G10+G22+G35+G48+G61+G74+G87+G100+G113</f>
        <v>51031.3</v>
      </c>
      <c r="H126" s="51">
        <f t="shared" ref="H126:I126" si="95">H10+H22+H35+H48+H61+H74+H87+H100+H113</f>
        <v>52677.11</v>
      </c>
      <c r="I126" s="51">
        <f t="shared" si="95"/>
        <v>53228.959999999999</v>
      </c>
      <c r="J126" s="51">
        <f t="shared" ref="J126" si="96">J10+J22+J35+J48+J61+J74+J87+J100+J113</f>
        <v>55858.119999999995</v>
      </c>
      <c r="K126" s="51">
        <f t="shared" ref="K126" si="97">K10+K22+K35+K48+K61+K74+K87+K100+K113</f>
        <v>62249.409999999996</v>
      </c>
      <c r="L126" s="51">
        <f t="shared" ref="L126:U126" si="98">L10+L22+L35+L48+L61+L74+L87+L100+L113</f>
        <v>68564.81</v>
      </c>
      <c r="M126" s="51">
        <f t="shared" si="98"/>
        <v>77559.283858328548</v>
      </c>
      <c r="N126" s="51">
        <f t="shared" si="98"/>
        <v>86914.895222219959</v>
      </c>
      <c r="O126" s="51">
        <f t="shared" si="98"/>
        <v>96640.94853251586</v>
      </c>
      <c r="P126" s="51">
        <f t="shared" si="98"/>
        <v>106726.78862514175</v>
      </c>
      <c r="Q126" s="51">
        <f t="shared" si="98"/>
        <v>117164.31276229127</v>
      </c>
      <c r="R126" s="51">
        <f t="shared" si="98"/>
        <v>127947.85410159914</v>
      </c>
      <c r="S126" s="51">
        <f t="shared" si="98"/>
        <v>139074.06943797701</v>
      </c>
      <c r="T126" s="51">
        <f t="shared" si="98"/>
        <v>150539.57662777341</v>
      </c>
      <c r="U126" s="51">
        <f t="shared" si="98"/>
        <v>162341.63060528346</v>
      </c>
    </row>
    <row r="127" spans="1:21" s="52" customFormat="1" x14ac:dyDescent="0.25">
      <c r="A127"/>
      <c r="B127"/>
      <c r="C127"/>
      <c r="D127" s="52" t="s">
        <v>152</v>
      </c>
      <c r="G127" s="52">
        <f>G11+G23+G36+G49+G62+G75+G88+G101+G114</f>
        <v>1784.0100000000002</v>
      </c>
      <c r="H127" s="52">
        <f t="shared" ref="H127:J127" si="99">H11+H23+H36+H49+H62+H75+H88+H101+H114</f>
        <v>847.58</v>
      </c>
      <c r="I127" s="52">
        <f>I11+I23+I36+I49+I62+I75+I88+I101+I114</f>
        <v>2710.1999999999994</v>
      </c>
      <c r="J127" s="52">
        <f t="shared" si="99"/>
        <v>6468.01</v>
      </c>
      <c r="K127" s="52">
        <f t="shared" ref="K127:U127" si="100">K11+K23+K36+K49+K62+K75+K88+K101+K114</f>
        <v>6263.6399999999994</v>
      </c>
      <c r="L127" s="52">
        <f t="shared" si="100"/>
        <v>9193.153458328572</v>
      </c>
      <c r="M127" s="52">
        <f t="shared" si="100"/>
        <v>9554.2909638913716</v>
      </c>
      <c r="N127" s="52">
        <f t="shared" si="100"/>
        <v>9924.7329102959029</v>
      </c>
      <c r="O127" s="52">
        <f t="shared" si="100"/>
        <v>10284.519692625883</v>
      </c>
      <c r="P127" s="52">
        <f t="shared" si="100"/>
        <v>10636.203737149503</v>
      </c>
      <c r="Q127" s="52">
        <f t="shared" si="100"/>
        <v>10982.220939307879</v>
      </c>
      <c r="R127" s="52">
        <f t="shared" si="100"/>
        <v>11324.894936377856</v>
      </c>
      <c r="S127" s="52">
        <f t="shared" si="100"/>
        <v>11664.186789796395</v>
      </c>
      <c r="T127" s="52">
        <f t="shared" si="100"/>
        <v>12000.733577510016</v>
      </c>
      <c r="U127" s="52">
        <f t="shared" si="100"/>
        <v>12334.677553666434</v>
      </c>
    </row>
    <row r="128" spans="1:21" s="52" customFormat="1" x14ac:dyDescent="0.25">
      <c r="A128"/>
      <c r="B128"/>
      <c r="C128"/>
      <c r="D128" s="52" t="s">
        <v>155</v>
      </c>
      <c r="G128" s="52">
        <f>G12+G24+G37+G50+G63+G76+G89+G102+G115</f>
        <v>149.80000000000001</v>
      </c>
      <c r="H128" s="52">
        <f t="shared" ref="H128:I128" si="101">H12+H24+H37+H50+H63+H76+H89+H102+H115</f>
        <v>-69.710000000000008</v>
      </c>
      <c r="I128" s="52">
        <f t="shared" si="101"/>
        <v>51.160000000000004</v>
      </c>
      <c r="J128" s="52">
        <f t="shared" ref="J128" si="102">J12+J24+J37+J50+J63+J76+J89+J102+J115</f>
        <v>160.94</v>
      </c>
      <c r="K128" s="52">
        <f t="shared" ref="K128:U128" si="103">K12+K24+K37+K50+K63+K76+K89+K102+K115</f>
        <v>32.79</v>
      </c>
      <c r="L128" s="52">
        <f t="shared" si="103"/>
        <v>64.488000000000014</v>
      </c>
      <c r="M128" s="52">
        <f t="shared" si="103"/>
        <v>64.488000000000014</v>
      </c>
      <c r="N128" s="52">
        <f t="shared" si="103"/>
        <v>64.488000000000014</v>
      </c>
      <c r="O128" s="52">
        <f t="shared" si="103"/>
        <v>64.488000000000014</v>
      </c>
      <c r="P128" s="52">
        <f t="shared" si="103"/>
        <v>64.488000000000014</v>
      </c>
      <c r="Q128" s="52">
        <f t="shared" si="103"/>
        <v>64.488000000000014</v>
      </c>
      <c r="R128" s="52">
        <f t="shared" si="103"/>
        <v>64.488000000000014</v>
      </c>
      <c r="S128" s="52">
        <f t="shared" si="103"/>
        <v>64.488000000000014</v>
      </c>
      <c r="T128" s="52">
        <f t="shared" si="103"/>
        <v>64.488000000000014</v>
      </c>
      <c r="U128" s="52">
        <f t="shared" si="103"/>
        <v>64.488000000000014</v>
      </c>
    </row>
    <row r="129" spans="1:21" s="52" customFormat="1" x14ac:dyDescent="0.25">
      <c r="A129"/>
      <c r="B129"/>
      <c r="C129"/>
      <c r="D129" s="52" t="s">
        <v>153</v>
      </c>
      <c r="G129" s="52">
        <f>G13+G25+G38+G51+G64+G77+G90+G103+G116</f>
        <v>481.04999999999995</v>
      </c>
      <c r="H129" s="52">
        <f t="shared" ref="H129:I129" si="104">H13+H25+H38+H51+H64+H77+H90+H103+H116</f>
        <v>226.01999999999998</v>
      </c>
      <c r="I129" s="52">
        <f t="shared" si="104"/>
        <v>132.20000000000002</v>
      </c>
      <c r="J129" s="52">
        <f t="shared" ref="J129" si="105">J13+J25+J38+J51+J64+J77+J90+J103+J116</f>
        <v>237.66</v>
      </c>
      <c r="K129" s="52">
        <f t="shared" ref="K129:U129" si="106">K13+K25+K38+K51+K64+K77+K90+K103+K116</f>
        <v>-18.96999999999997</v>
      </c>
      <c r="L129" s="52">
        <f t="shared" si="106"/>
        <v>263.16760000000005</v>
      </c>
      <c r="M129" s="52">
        <f t="shared" si="106"/>
        <v>263.16760000000005</v>
      </c>
      <c r="N129" s="52">
        <f t="shared" si="106"/>
        <v>263.16760000000005</v>
      </c>
      <c r="O129" s="52">
        <f t="shared" si="106"/>
        <v>263.16760000000005</v>
      </c>
      <c r="P129" s="52">
        <f t="shared" si="106"/>
        <v>263.16760000000005</v>
      </c>
      <c r="Q129" s="52">
        <f t="shared" si="106"/>
        <v>263.16760000000005</v>
      </c>
      <c r="R129" s="52">
        <f t="shared" si="106"/>
        <v>263.16760000000005</v>
      </c>
      <c r="S129" s="52">
        <f t="shared" si="106"/>
        <v>263.16760000000005</v>
      </c>
      <c r="T129" s="52">
        <f t="shared" si="106"/>
        <v>263.16760000000005</v>
      </c>
      <c r="U129" s="52">
        <f t="shared" si="106"/>
        <v>263.16760000000005</v>
      </c>
    </row>
    <row r="130" spans="1:21" s="51" customFormat="1" x14ac:dyDescent="0.25">
      <c r="A130" s="1"/>
      <c r="B130" s="1"/>
      <c r="C130" s="1"/>
      <c r="D130" s="51" t="s">
        <v>154</v>
      </c>
      <c r="G130" s="51">
        <f>G14+G26+G39+G52+G65+G78+G91+G104+G117</f>
        <v>52484.060000000012</v>
      </c>
      <c r="H130" s="51">
        <f t="shared" ref="H130:I130" si="107">H14+H26+H39+H52+H65+H78+H91+H104+H117</f>
        <v>53228.959999999999</v>
      </c>
      <c r="I130" s="51">
        <f t="shared" si="107"/>
        <v>55858.119999999995</v>
      </c>
      <c r="J130" s="51">
        <f t="shared" ref="J130" si="108">J14+J26+J39+J52+J65+J78+J91+J104+J117</f>
        <v>62249.409999999996</v>
      </c>
      <c r="K130" s="51">
        <f t="shared" ref="K130" si="109">K14+K26+K39+K52+K65+K78+K91+K104+K117</f>
        <v>68564.81</v>
      </c>
      <c r="L130" s="51">
        <f t="shared" ref="L130:U130" si="110">L14+L26+L39+L52+L65+L78+L91+L104+L117</f>
        <v>77559.283858328548</v>
      </c>
      <c r="M130" s="51">
        <f t="shared" si="110"/>
        <v>86914.895222219959</v>
      </c>
      <c r="N130" s="51">
        <f t="shared" si="110"/>
        <v>96640.94853251586</v>
      </c>
      <c r="O130" s="51">
        <f t="shared" si="110"/>
        <v>106726.78862514175</v>
      </c>
      <c r="P130" s="51">
        <f t="shared" si="110"/>
        <v>117164.31276229127</v>
      </c>
      <c r="Q130" s="51">
        <f t="shared" si="110"/>
        <v>127947.85410159914</v>
      </c>
      <c r="R130" s="51">
        <f t="shared" si="110"/>
        <v>139074.06943797701</v>
      </c>
      <c r="S130" s="51">
        <f t="shared" si="110"/>
        <v>150539.57662777341</v>
      </c>
      <c r="T130" s="51">
        <f t="shared" si="110"/>
        <v>162341.63060528346</v>
      </c>
      <c r="U130" s="51">
        <f t="shared" si="110"/>
        <v>174477.62855894986</v>
      </c>
    </row>
    <row r="131" spans="1:21" s="52" customFormat="1" x14ac:dyDescent="0.25">
      <c r="A131"/>
      <c r="B131"/>
      <c r="C131"/>
      <c r="D131" s="52" t="s">
        <v>157</v>
      </c>
      <c r="G131" s="52">
        <f t="shared" ref="G131:I135" si="111">G15+G27+G40+G53+G66+G79+G92+G105+G118</f>
        <v>6388.0099999999993</v>
      </c>
      <c r="H131" s="52">
        <f t="shared" si="111"/>
        <v>8669.1200000000008</v>
      </c>
      <c r="I131" s="52">
        <f t="shared" si="111"/>
        <v>10937.87</v>
      </c>
      <c r="J131" s="52">
        <f t="shared" ref="J131" si="112">J15+J27+J40+J53+J66+J79+J92+J105+J118</f>
        <v>13265.930000000002</v>
      </c>
      <c r="K131" s="52">
        <f t="shared" ref="K131:U131" si="113">K15+K27+K40+K53+K66+K79+K92+K105+K118</f>
        <v>15769.130000000001</v>
      </c>
      <c r="L131" s="52">
        <f t="shared" si="113"/>
        <v>18706.64</v>
      </c>
      <c r="M131" s="52">
        <f t="shared" si="113"/>
        <v>21919.167829113845</v>
      </c>
      <c r="N131" s="52">
        <f t="shared" si="113"/>
        <v>25516.900187785046</v>
      </c>
      <c r="O131" s="52">
        <f t="shared" si="113"/>
        <v>29491.890501958573</v>
      </c>
      <c r="P131" s="52">
        <f t="shared" si="113"/>
        <v>33833.610678101395</v>
      </c>
      <c r="Q131" s="52">
        <f t="shared" si="113"/>
        <v>38534.541694995816</v>
      </c>
      <c r="R131" s="52">
        <f t="shared" si="113"/>
        <v>43588.977157057314</v>
      </c>
      <c r="S131" s="52">
        <f t="shared" si="113"/>
        <v>48992.362460232529</v>
      </c>
      <c r="T131" s="52">
        <f t="shared" si="113"/>
        <v>54740.947169821578</v>
      </c>
      <c r="U131" s="52">
        <f t="shared" si="113"/>
        <v>60831.451017545754</v>
      </c>
    </row>
    <row r="132" spans="1:21" s="52" customFormat="1" x14ac:dyDescent="0.25">
      <c r="A132"/>
      <c r="B132"/>
      <c r="C132"/>
      <c r="D132" s="51" t="s">
        <v>158</v>
      </c>
      <c r="E132" s="51"/>
      <c r="F132" s="51"/>
      <c r="G132" s="51">
        <f t="shared" si="111"/>
        <v>2325.2499999999995</v>
      </c>
      <c r="H132" s="51">
        <f t="shared" si="111"/>
        <v>2371.0600000000004</v>
      </c>
      <c r="I132" s="51">
        <f t="shared" si="111"/>
        <v>2384.9699999999998</v>
      </c>
      <c r="J132" s="51">
        <f t="shared" ref="J132" si="114">J16+J28+J41+J54+J67+J80+J93+J106+J119</f>
        <v>2530.4900000000002</v>
      </c>
      <c r="K132" s="51">
        <f t="shared" ref="K132:U132" si="115">K16+K28+K41+K54+K67+K80+K93+K106+K119</f>
        <v>2791.41</v>
      </c>
      <c r="L132" s="51">
        <f t="shared" si="115"/>
        <v>3043.8638291138504</v>
      </c>
      <c r="M132" s="51">
        <f t="shared" si="115"/>
        <v>3429.0683586711984</v>
      </c>
      <c r="N132" s="51">
        <f t="shared" si="115"/>
        <v>3806.3263141735165</v>
      </c>
      <c r="O132" s="51">
        <f t="shared" si="115"/>
        <v>4173.0561761428262</v>
      </c>
      <c r="P132" s="51">
        <f t="shared" si="115"/>
        <v>4532.2670168944214</v>
      </c>
      <c r="Q132" s="51">
        <f t="shared" si="115"/>
        <v>4885.7714620614925</v>
      </c>
      <c r="R132" s="51">
        <f t="shared" si="115"/>
        <v>5234.7213031752108</v>
      </c>
      <c r="S132" s="51">
        <f t="shared" si="115"/>
        <v>5579.920709589047</v>
      </c>
      <c r="T132" s="51">
        <f t="shared" si="115"/>
        <v>5921.8398477241817</v>
      </c>
      <c r="U132" s="51">
        <f t="shared" si="115"/>
        <v>6260.7979940112909</v>
      </c>
    </row>
    <row r="133" spans="1:21" s="52" customFormat="1" x14ac:dyDescent="0.25">
      <c r="A133"/>
      <c r="B133"/>
      <c r="C133"/>
      <c r="D133" s="52" t="s">
        <v>159</v>
      </c>
      <c r="G133" s="52">
        <f t="shared" si="111"/>
        <v>102.87</v>
      </c>
      <c r="H133" s="52">
        <f t="shared" si="111"/>
        <v>75.41</v>
      </c>
      <c r="I133" s="52">
        <f t="shared" si="111"/>
        <v>63.540000000000006</v>
      </c>
      <c r="J133" s="52">
        <f t="shared" ref="J133" si="116">J17+J29+J42+J55+J68+J81+J94+J107+J120</f>
        <v>78.77</v>
      </c>
      <c r="K133" s="52">
        <f t="shared" ref="K133:U133" si="117">K17+K29+K42+K55+K68+K81+K94+K107+K120</f>
        <v>133.96</v>
      </c>
      <c r="L133" s="52">
        <f t="shared" si="117"/>
        <v>153.542</v>
      </c>
      <c r="M133" s="52">
        <f t="shared" si="117"/>
        <v>153.542</v>
      </c>
      <c r="N133" s="52">
        <f t="shared" si="117"/>
        <v>153.542</v>
      </c>
      <c r="O133" s="52">
        <f t="shared" si="117"/>
        <v>153.542</v>
      </c>
      <c r="P133" s="52">
        <f t="shared" si="117"/>
        <v>153.542</v>
      </c>
      <c r="Q133" s="52">
        <f t="shared" si="117"/>
        <v>153.542</v>
      </c>
      <c r="R133" s="52">
        <f t="shared" si="117"/>
        <v>153.542</v>
      </c>
      <c r="S133" s="52">
        <f t="shared" si="117"/>
        <v>153.542</v>
      </c>
      <c r="T133" s="52">
        <f t="shared" si="117"/>
        <v>153.542</v>
      </c>
      <c r="U133" s="52">
        <f t="shared" si="117"/>
        <v>153.542</v>
      </c>
    </row>
    <row r="134" spans="1:21" s="52" customFormat="1" x14ac:dyDescent="0.25">
      <c r="A134"/>
      <c r="B134"/>
      <c r="C134"/>
      <c r="D134" s="52" t="s">
        <v>161</v>
      </c>
      <c r="G134" s="52">
        <f t="shared" si="111"/>
        <v>32.22</v>
      </c>
      <c r="H134" s="52">
        <f t="shared" si="111"/>
        <v>-26.9</v>
      </c>
      <c r="I134" s="52">
        <f t="shared" si="111"/>
        <v>6.63</v>
      </c>
      <c r="J134" s="52">
        <f t="shared" ref="J134" si="118">J18+J30+J43+J56+J69+J82+J95+J108+J121</f>
        <v>51.48</v>
      </c>
      <c r="K134" s="52">
        <f t="shared" ref="K134:U134" si="119">K18+K30+K43+K56+K69+K82+K95+K108+K121</f>
        <v>12.14</v>
      </c>
      <c r="L134" s="52">
        <f t="shared" si="119"/>
        <v>15.121999999999998</v>
      </c>
      <c r="M134" s="52">
        <f t="shared" si="119"/>
        <v>15.121999999999998</v>
      </c>
      <c r="N134" s="52">
        <f t="shared" si="119"/>
        <v>15.121999999999998</v>
      </c>
      <c r="O134" s="52">
        <f t="shared" si="119"/>
        <v>15.121999999999998</v>
      </c>
      <c r="P134" s="52">
        <f t="shared" si="119"/>
        <v>15.121999999999998</v>
      </c>
      <c r="Q134" s="52">
        <f t="shared" si="119"/>
        <v>15.121999999999998</v>
      </c>
      <c r="R134" s="52">
        <f t="shared" si="119"/>
        <v>15.121999999999998</v>
      </c>
      <c r="S134" s="52">
        <f t="shared" si="119"/>
        <v>15.121999999999998</v>
      </c>
      <c r="T134" s="52">
        <f t="shared" si="119"/>
        <v>15.121999999999998</v>
      </c>
      <c r="U134" s="52">
        <f t="shared" si="119"/>
        <v>15.121999999999998</v>
      </c>
    </row>
    <row r="135" spans="1:21" s="53" customFormat="1" x14ac:dyDescent="0.25">
      <c r="A135" s="1"/>
      <c r="B135" s="1"/>
      <c r="C135" s="1"/>
      <c r="D135" s="53" t="s">
        <v>160</v>
      </c>
      <c r="G135" s="53">
        <f t="shared" si="111"/>
        <v>43841.450000000004</v>
      </c>
      <c r="H135" s="53">
        <f t="shared" si="111"/>
        <v>42291.090000000004</v>
      </c>
      <c r="I135" s="53">
        <f t="shared" si="111"/>
        <v>42592.189999999981</v>
      </c>
      <c r="J135" s="53">
        <f t="shared" ref="J135" si="120">J19+J31+J44+J57+J70+J83+J96+J109+J122</f>
        <v>46480.279999999984</v>
      </c>
      <c r="K135" s="53">
        <f t="shared" ref="K135:U135" si="121">K19+K31+K44+K57+K70+K83+K96+K109+K122</f>
        <v>50126.090000000004</v>
      </c>
      <c r="L135" s="53">
        <f t="shared" si="121"/>
        <v>55947.20002921472</v>
      </c>
      <c r="M135" s="53">
        <f t="shared" si="121"/>
        <v>61705.079034434915</v>
      </c>
      <c r="N135" s="53">
        <f t="shared" si="121"/>
        <v>67456.142030557283</v>
      </c>
      <c r="O135" s="53">
        <f t="shared" si="121"/>
        <v>73200.261947040359</v>
      </c>
      <c r="P135" s="53">
        <f t="shared" si="121"/>
        <v>78936.855067295459</v>
      </c>
      <c r="Q135" s="53">
        <f t="shared" si="121"/>
        <v>84665.960944541861</v>
      </c>
      <c r="R135" s="53">
        <f t="shared" si="121"/>
        <v>90388.790977744487</v>
      </c>
      <c r="S135" s="53">
        <f t="shared" si="121"/>
        <v>96105.713457951861</v>
      </c>
      <c r="T135" s="53">
        <f t="shared" si="121"/>
        <v>101817.26358773767</v>
      </c>
      <c r="U135" s="53">
        <f t="shared" si="121"/>
        <v>107523.79954739282</v>
      </c>
    </row>
    <row r="136" spans="1:21" s="52" customFormat="1" x14ac:dyDescent="0.25">
      <c r="A136"/>
      <c r="B136"/>
      <c r="C136"/>
    </row>
    <row r="137" spans="1:21" s="52" customFormat="1" x14ac:dyDescent="0.25">
      <c r="A137"/>
      <c r="B137"/>
      <c r="C137"/>
    </row>
    <row r="138" spans="1:21" s="52" customFormat="1" x14ac:dyDescent="0.25">
      <c r="A138"/>
      <c r="B138"/>
      <c r="C138"/>
      <c r="D138" s="202" t="s">
        <v>183</v>
      </c>
      <c r="E138" s="202"/>
      <c r="F138" s="202"/>
      <c r="G138" s="202"/>
      <c r="H138" s="202"/>
      <c r="I138" s="202"/>
      <c r="J138" s="202"/>
      <c r="K138" s="202"/>
      <c r="L138" s="202"/>
      <c r="M138" s="202"/>
      <c r="N138" s="202"/>
      <c r="O138" s="202"/>
      <c r="P138" s="202"/>
      <c r="Q138" s="202"/>
      <c r="R138" s="202"/>
      <c r="S138" s="202"/>
      <c r="T138" s="202"/>
      <c r="U138" s="202"/>
    </row>
    <row r="139" spans="1:21" s="52" customFormat="1" x14ac:dyDescent="0.25">
      <c r="A139"/>
      <c r="B139"/>
      <c r="C139"/>
    </row>
    <row r="140" spans="1:21" s="52" customFormat="1" x14ac:dyDescent="0.25">
      <c r="A140"/>
      <c r="B140"/>
      <c r="C140"/>
      <c r="D140" s="51" t="s">
        <v>170</v>
      </c>
    </row>
    <row r="141" spans="1:21" s="51" customFormat="1" x14ac:dyDescent="0.25">
      <c r="A141"/>
      <c r="B141"/>
      <c r="C141"/>
      <c r="D141" s="51" t="s">
        <v>151</v>
      </c>
      <c r="G141" s="51">
        <v>64.77</v>
      </c>
      <c r="H141" s="51">
        <v>85.58</v>
      </c>
      <c r="I141" s="51">
        <f>H145</f>
        <v>112.53</v>
      </c>
      <c r="J141" s="51">
        <f t="shared" ref="J141:K141" si="122">I145</f>
        <v>128.18</v>
      </c>
      <c r="K141" s="51">
        <f t="shared" si="122"/>
        <v>156.78</v>
      </c>
      <c r="L141" s="51">
        <f t="shared" ref="L141" si="123">K145</f>
        <v>194.76999999999998</v>
      </c>
      <c r="M141" s="51">
        <f t="shared" ref="M141" si="124">L145</f>
        <v>257.66287530929048</v>
      </c>
      <c r="N141" s="51">
        <f t="shared" ref="N141" si="125">M145</f>
        <v>322.45477521290547</v>
      </c>
      <c r="O141" s="51">
        <f t="shared" ref="O141" si="126">N145</f>
        <v>390.9724314405949</v>
      </c>
      <c r="P141" s="51">
        <f t="shared" ref="P141" si="127">O145</f>
        <v>461.62811153987781</v>
      </c>
      <c r="Q141" s="51">
        <f t="shared" ref="Q141" si="128">P145</f>
        <v>534.11240835741785</v>
      </c>
      <c r="R141" s="51">
        <f t="shared" ref="R141" si="129">Q145</f>
        <v>609.67337038286303</v>
      </c>
      <c r="S141" s="51">
        <f t="shared" ref="S141" si="130">R145</f>
        <v>687.65845761750813</v>
      </c>
      <c r="T141" s="51">
        <f t="shared" ref="T141" si="131">S145</f>
        <v>768.17493620733308</v>
      </c>
      <c r="U141" s="51">
        <f t="shared" ref="U141" si="132">T145</f>
        <v>851.0091370920577</v>
      </c>
    </row>
    <row r="142" spans="1:21" s="52" customFormat="1" x14ac:dyDescent="0.25">
      <c r="A142"/>
      <c r="B142"/>
      <c r="C142"/>
      <c r="D142" s="52" t="s">
        <v>152</v>
      </c>
      <c r="G142" s="52">
        <v>20.55</v>
      </c>
      <c r="H142" s="52">
        <v>36.49</v>
      </c>
      <c r="I142" s="52">
        <v>16.59</v>
      </c>
      <c r="J142" s="52">
        <v>28.75</v>
      </c>
      <c r="K142" s="52">
        <v>45.3</v>
      </c>
      <c r="L142" s="52">
        <f>K142/K$280*L$298</f>
        <v>66.486875309290497</v>
      </c>
      <c r="M142" s="52">
        <f t="shared" ref="M142:U142" si="133">L142/L$280*M$298</f>
        <v>69.098699903615</v>
      </c>
      <c r="N142" s="52">
        <f t="shared" si="133"/>
        <v>71.777816227689385</v>
      </c>
      <c r="O142" s="52">
        <f t="shared" si="133"/>
        <v>74.37987209928292</v>
      </c>
      <c r="P142" s="52">
        <f t="shared" si="133"/>
        <v>76.92332721754002</v>
      </c>
      <c r="Q142" s="52">
        <f t="shared" si="133"/>
        <v>79.425798505445215</v>
      </c>
      <c r="R142" s="52">
        <f t="shared" si="133"/>
        <v>81.904091010645061</v>
      </c>
      <c r="S142" s="52">
        <f t="shared" si="133"/>
        <v>84.357923121024939</v>
      </c>
      <c r="T142" s="52">
        <f t="shared" si="133"/>
        <v>86.791902322164688</v>
      </c>
      <c r="U142" s="52">
        <f t="shared" si="133"/>
        <v>89.207057426845935</v>
      </c>
    </row>
    <row r="143" spans="1:21" s="52" customFormat="1" x14ac:dyDescent="0.25">
      <c r="A143"/>
      <c r="B143"/>
      <c r="C143"/>
      <c r="D143" s="52" t="s">
        <v>155</v>
      </c>
      <c r="G143" s="52">
        <v>0.28999999999999998</v>
      </c>
      <c r="H143" s="52">
        <v>0</v>
      </c>
      <c r="I143" s="52">
        <f>H143</f>
        <v>0</v>
      </c>
      <c r="J143" s="52">
        <f t="shared" ref="J143:U143" si="134">I143</f>
        <v>0</v>
      </c>
      <c r="K143" s="52">
        <f t="shared" si="134"/>
        <v>0</v>
      </c>
      <c r="L143" s="52">
        <f t="shared" si="134"/>
        <v>0</v>
      </c>
      <c r="M143" s="52">
        <f t="shared" si="134"/>
        <v>0</v>
      </c>
      <c r="N143" s="52">
        <f t="shared" si="134"/>
        <v>0</v>
      </c>
      <c r="O143" s="52">
        <f t="shared" si="134"/>
        <v>0</v>
      </c>
      <c r="P143" s="52">
        <f t="shared" si="134"/>
        <v>0</v>
      </c>
      <c r="Q143" s="52">
        <f t="shared" si="134"/>
        <v>0</v>
      </c>
      <c r="R143" s="52">
        <f t="shared" si="134"/>
        <v>0</v>
      </c>
      <c r="S143" s="52">
        <f t="shared" si="134"/>
        <v>0</v>
      </c>
      <c r="T143" s="52">
        <f t="shared" si="134"/>
        <v>0</v>
      </c>
      <c r="U143" s="52">
        <f t="shared" si="134"/>
        <v>0</v>
      </c>
    </row>
    <row r="144" spans="1:21" s="52" customFormat="1" x14ac:dyDescent="0.25">
      <c r="A144"/>
      <c r="B144"/>
      <c r="C144"/>
      <c r="D144" s="52" t="s">
        <v>153</v>
      </c>
      <c r="G144" s="52">
        <v>0.03</v>
      </c>
      <c r="H144" s="52">
        <v>9.5399999999999991</v>
      </c>
      <c r="I144" s="52">
        <v>0.94</v>
      </c>
      <c r="J144" s="52">
        <v>0.15</v>
      </c>
      <c r="K144" s="52">
        <v>7.31</v>
      </c>
      <c r="L144" s="52">
        <f>AVERAGE(G144:K144)</f>
        <v>3.5939999999999999</v>
      </c>
      <c r="M144" s="52">
        <f t="shared" ref="M144:U144" si="135">AVERAGE(H144:L144)</f>
        <v>4.3068</v>
      </c>
      <c r="N144" s="52">
        <f t="shared" si="135"/>
        <v>3.2601599999999999</v>
      </c>
      <c r="O144" s="52">
        <f t="shared" si="135"/>
        <v>3.7241919999999999</v>
      </c>
      <c r="P144" s="52">
        <f t="shared" si="135"/>
        <v>4.4390303999999992</v>
      </c>
      <c r="Q144" s="52">
        <f t="shared" si="135"/>
        <v>3.8648364799999997</v>
      </c>
      <c r="R144" s="52">
        <f t="shared" si="135"/>
        <v>3.9190037760000003</v>
      </c>
      <c r="S144" s="52">
        <f t="shared" si="135"/>
        <v>3.8414445311999996</v>
      </c>
      <c r="T144" s="52">
        <f t="shared" si="135"/>
        <v>3.9577014374399995</v>
      </c>
      <c r="U144" s="52">
        <f t="shared" si="135"/>
        <v>4.004403324928</v>
      </c>
    </row>
    <row r="145" spans="1:21" s="52" customFormat="1" x14ac:dyDescent="0.25">
      <c r="A145"/>
      <c r="B145"/>
      <c r="C145"/>
      <c r="D145" s="51" t="s">
        <v>154</v>
      </c>
      <c r="G145" s="51">
        <f>G141+G142+G143-G144</f>
        <v>85.58</v>
      </c>
      <c r="H145" s="51">
        <f>H141+H142+H143-H144</f>
        <v>112.53</v>
      </c>
      <c r="I145" s="51">
        <f>I141+I142+I143-I144</f>
        <v>128.18</v>
      </c>
      <c r="J145" s="51">
        <f t="shared" ref="J145:U145" si="136">J141+J142+J143-J144</f>
        <v>156.78</v>
      </c>
      <c r="K145" s="51">
        <f t="shared" si="136"/>
        <v>194.76999999999998</v>
      </c>
      <c r="L145" s="51">
        <f t="shared" si="136"/>
        <v>257.66287530929048</v>
      </c>
      <c r="M145" s="51">
        <f t="shared" si="136"/>
        <v>322.45477521290547</v>
      </c>
      <c r="N145" s="51">
        <f t="shared" si="136"/>
        <v>390.9724314405949</v>
      </c>
      <c r="O145" s="51">
        <f t="shared" si="136"/>
        <v>461.62811153987781</v>
      </c>
      <c r="P145" s="51">
        <f t="shared" si="136"/>
        <v>534.11240835741785</v>
      </c>
      <c r="Q145" s="51">
        <f t="shared" si="136"/>
        <v>609.67337038286303</v>
      </c>
      <c r="R145" s="51">
        <f t="shared" si="136"/>
        <v>687.65845761750813</v>
      </c>
      <c r="S145" s="51">
        <f t="shared" si="136"/>
        <v>768.17493620733308</v>
      </c>
      <c r="T145" s="51">
        <f t="shared" si="136"/>
        <v>851.0091370920577</v>
      </c>
      <c r="U145" s="51">
        <f t="shared" si="136"/>
        <v>936.21179119397561</v>
      </c>
    </row>
    <row r="146" spans="1:21" s="52" customFormat="1" x14ac:dyDescent="0.25">
      <c r="A146"/>
      <c r="B146"/>
      <c r="C146"/>
      <c r="D146" s="52" t="s">
        <v>157</v>
      </c>
      <c r="G146" s="52">
        <v>50.72</v>
      </c>
      <c r="H146" s="52">
        <v>63.35</v>
      </c>
      <c r="I146" s="52">
        <v>72.040000000000006</v>
      </c>
      <c r="J146" s="52">
        <v>93.89</v>
      </c>
      <c r="K146" s="52">
        <v>118.69</v>
      </c>
      <c r="L146" s="52">
        <f>SUM(K146:K149)</f>
        <v>143.38</v>
      </c>
      <c r="M146" s="52">
        <f t="shared" ref="M146:U146" si="137">SUM(L146:L149)</f>
        <v>178.736284589131</v>
      </c>
      <c r="N146" s="52">
        <f t="shared" si="137"/>
        <v>235.58695779782656</v>
      </c>
      <c r="O146" s="52">
        <f t="shared" si="137"/>
        <v>297.68313543404042</v>
      </c>
      <c r="P146" s="52">
        <f t="shared" si="137"/>
        <v>364.02096183269913</v>
      </c>
      <c r="Q146" s="52">
        <f t="shared" si="137"/>
        <v>433.21090687424845</v>
      </c>
      <c r="R146" s="52">
        <f t="shared" si="137"/>
        <v>504.57690575365353</v>
      </c>
      <c r="S146" s="52">
        <f t="shared" si="137"/>
        <v>578.71384904771787</v>
      </c>
      <c r="T146" s="52">
        <f t="shared" si="137"/>
        <v>655.39264851256235</v>
      </c>
      <c r="U146" s="52">
        <f t="shared" si="137"/>
        <v>734.60639171026344</v>
      </c>
    </row>
    <row r="147" spans="1:21" s="52" customFormat="1" x14ac:dyDescent="0.25">
      <c r="A147"/>
      <c r="B147"/>
      <c r="C147"/>
      <c r="D147" s="52" t="s">
        <v>158</v>
      </c>
      <c r="G147" s="52">
        <v>12.62</v>
      </c>
      <c r="H147" s="52">
        <v>18.23</v>
      </c>
      <c r="I147" s="52">
        <v>22.78</v>
      </c>
      <c r="J147" s="52">
        <v>24.93</v>
      </c>
      <c r="K147" s="52">
        <v>25.16</v>
      </c>
      <c r="L147" s="52">
        <f>K147/J150*K150</f>
        <v>33.324284589130997</v>
      </c>
      <c r="M147" s="52">
        <f t="shared" ref="M147:U147" si="138">L147/K150*L150</f>
        <v>54.818673208695529</v>
      </c>
      <c r="N147" s="52">
        <f t="shared" si="138"/>
        <v>60.064177636213863</v>
      </c>
      <c r="O147" s="52">
        <f t="shared" si="138"/>
        <v>64.305826398658724</v>
      </c>
      <c r="P147" s="52">
        <f t="shared" si="138"/>
        <v>67.157945041549354</v>
      </c>
      <c r="Q147" s="52">
        <f t="shared" si="138"/>
        <v>69.333998879405115</v>
      </c>
      <c r="R147" s="52">
        <f t="shared" si="138"/>
        <v>72.104943294064313</v>
      </c>
      <c r="S147" s="52">
        <f t="shared" si="138"/>
        <v>74.646799464844406</v>
      </c>
      <c r="T147" s="52">
        <f t="shared" si="138"/>
        <v>77.181743197701053</v>
      </c>
      <c r="U147" s="52">
        <f t="shared" si="138"/>
        <v>79.573203302860179</v>
      </c>
    </row>
    <row r="148" spans="1:21" s="52" customFormat="1" x14ac:dyDescent="0.25">
      <c r="A148"/>
      <c r="B148"/>
      <c r="C148"/>
      <c r="D148" s="52" t="s">
        <v>159</v>
      </c>
      <c r="G148" s="52">
        <v>0.03</v>
      </c>
      <c r="H148" s="52">
        <v>9.5399999999999991</v>
      </c>
      <c r="I148" s="52">
        <v>0.93</v>
      </c>
      <c r="J148" s="52">
        <v>0.13</v>
      </c>
      <c r="K148" s="52">
        <v>-0.47</v>
      </c>
      <c r="L148" s="52">
        <f>AVERAGE(G148:K148)</f>
        <v>2.0319999999999996</v>
      </c>
      <c r="M148" s="52">
        <f>L148</f>
        <v>2.0319999999999996</v>
      </c>
      <c r="N148" s="52">
        <f t="shared" ref="N148:U148" si="139">M148</f>
        <v>2.0319999999999996</v>
      </c>
      <c r="O148" s="52">
        <f t="shared" si="139"/>
        <v>2.0319999999999996</v>
      </c>
      <c r="P148" s="52">
        <f t="shared" si="139"/>
        <v>2.0319999999999996</v>
      </c>
      <c r="Q148" s="52">
        <f t="shared" si="139"/>
        <v>2.0319999999999996</v>
      </c>
      <c r="R148" s="52">
        <f t="shared" si="139"/>
        <v>2.0319999999999996</v>
      </c>
      <c r="S148" s="52">
        <f t="shared" si="139"/>
        <v>2.0319999999999996</v>
      </c>
      <c r="T148" s="52">
        <f t="shared" si="139"/>
        <v>2.0319999999999996</v>
      </c>
      <c r="U148" s="52">
        <f t="shared" si="139"/>
        <v>2.0319999999999996</v>
      </c>
    </row>
    <row r="149" spans="1:21" s="52" customFormat="1" x14ac:dyDescent="0.25">
      <c r="A149"/>
      <c r="B149"/>
      <c r="C149"/>
      <c r="D149" s="52" t="s">
        <v>161</v>
      </c>
      <c r="G149" s="52">
        <v>0.04</v>
      </c>
      <c r="H149" s="52">
        <v>0</v>
      </c>
      <c r="I149" s="52">
        <f>H149</f>
        <v>0</v>
      </c>
      <c r="J149" s="52">
        <f t="shared" ref="J149:U149" si="140">I149</f>
        <v>0</v>
      </c>
      <c r="K149" s="52">
        <f t="shared" si="140"/>
        <v>0</v>
      </c>
      <c r="L149" s="52">
        <f t="shared" si="140"/>
        <v>0</v>
      </c>
      <c r="M149" s="52">
        <f t="shared" si="140"/>
        <v>0</v>
      </c>
      <c r="N149" s="52">
        <f t="shared" si="140"/>
        <v>0</v>
      </c>
      <c r="O149" s="52">
        <f t="shared" si="140"/>
        <v>0</v>
      </c>
      <c r="P149" s="52">
        <f t="shared" si="140"/>
        <v>0</v>
      </c>
      <c r="Q149" s="52">
        <f t="shared" si="140"/>
        <v>0</v>
      </c>
      <c r="R149" s="52">
        <f t="shared" si="140"/>
        <v>0</v>
      </c>
      <c r="S149" s="52">
        <f t="shared" si="140"/>
        <v>0</v>
      </c>
      <c r="T149" s="52">
        <f t="shared" si="140"/>
        <v>0</v>
      </c>
      <c r="U149" s="52">
        <f t="shared" si="140"/>
        <v>0</v>
      </c>
    </row>
    <row r="150" spans="1:21" s="53" customFormat="1" x14ac:dyDescent="0.25">
      <c r="A150"/>
      <c r="B150"/>
      <c r="C150"/>
      <c r="D150" s="53" t="s">
        <v>160</v>
      </c>
      <c r="G150" s="53">
        <f>G145-G146-G147+G148-G149</f>
        <v>22.230000000000004</v>
      </c>
      <c r="H150" s="53">
        <f>H145-H146-H147+H148-H149</f>
        <v>40.489999999999995</v>
      </c>
      <c r="I150" s="53">
        <f>I145-I146-I147+I148-I149</f>
        <v>34.29</v>
      </c>
      <c r="J150" s="53">
        <f t="shared" ref="J150:U150" si="141">J145-J146-J147+J148-J149</f>
        <v>38.090000000000003</v>
      </c>
      <c r="K150" s="53">
        <f t="shared" si="141"/>
        <v>50.449999999999989</v>
      </c>
      <c r="L150" s="53">
        <f t="shared" si="141"/>
        <v>82.990590720159489</v>
      </c>
      <c r="M150" s="53">
        <f t="shared" si="141"/>
        <v>90.931817415078939</v>
      </c>
      <c r="N150" s="53">
        <f t="shared" si="141"/>
        <v>97.353296006554487</v>
      </c>
      <c r="O150" s="53">
        <f t="shared" si="141"/>
        <v>101.67114970717866</v>
      </c>
      <c r="P150" s="53">
        <f t="shared" si="141"/>
        <v>104.96550148316936</v>
      </c>
      <c r="Q150" s="53">
        <f t="shared" si="141"/>
        <v>109.16046462920946</v>
      </c>
      <c r="R150" s="53">
        <f t="shared" si="141"/>
        <v>113.00860856979028</v>
      </c>
      <c r="S150" s="53">
        <f t="shared" si="141"/>
        <v>116.84628769477079</v>
      </c>
      <c r="T150" s="53">
        <f t="shared" si="141"/>
        <v>120.4667453817943</v>
      </c>
      <c r="U150" s="53">
        <f t="shared" si="141"/>
        <v>124.06419618085199</v>
      </c>
    </row>
    <row r="151" spans="1:21" s="52" customFormat="1" x14ac:dyDescent="0.25">
      <c r="A151"/>
      <c r="B151"/>
      <c r="C151"/>
    </row>
    <row r="152" spans="1:21" s="52" customFormat="1" x14ac:dyDescent="0.25">
      <c r="A152"/>
      <c r="B152"/>
      <c r="C152"/>
    </row>
    <row r="153" spans="1:21" s="52" customFormat="1" x14ac:dyDescent="0.25">
      <c r="A153"/>
      <c r="B153"/>
      <c r="C153"/>
      <c r="D153" s="51" t="s">
        <v>171</v>
      </c>
    </row>
    <row r="154" spans="1:21" s="52" customFormat="1" x14ac:dyDescent="0.25">
      <c r="A154"/>
      <c r="B154"/>
      <c r="C154"/>
      <c r="D154" s="51" t="s">
        <v>151</v>
      </c>
      <c r="G154" s="52">
        <v>176.67</v>
      </c>
      <c r="H154" s="52">
        <f>G158</f>
        <v>183.01</v>
      </c>
      <c r="I154" s="52">
        <f>H158</f>
        <v>233.69</v>
      </c>
      <c r="J154" s="52">
        <f t="shared" ref="J154:K154" si="142">I158</f>
        <v>266.37</v>
      </c>
      <c r="K154" s="52">
        <f t="shared" si="142"/>
        <v>280.17</v>
      </c>
      <c r="L154" s="52">
        <f t="shared" ref="L154" si="143">K158</f>
        <v>328.61</v>
      </c>
      <c r="M154" s="52">
        <f t="shared" ref="M154" si="144">L158</f>
        <v>399.1477312883996</v>
      </c>
      <c r="N154" s="52">
        <f t="shared" ref="N154" si="145">M158</f>
        <v>472.45641820600969</v>
      </c>
      <c r="O154" s="52">
        <f t="shared" ref="O154" si="146">N158</f>
        <v>548.6074523760484</v>
      </c>
      <c r="P154" s="52">
        <f t="shared" ref="P154" si="147">O158</f>
        <v>627.5190782721088</v>
      </c>
      <c r="Q154" s="52">
        <f t="shared" ref="Q154" si="148">P158</f>
        <v>709.12912476383008</v>
      </c>
      <c r="R154" s="52">
        <f t="shared" ref="R154" si="149">Q158</f>
        <v>793.39411099278584</v>
      </c>
      <c r="S154" s="52">
        <f t="shared" ref="S154" si="150">R158</f>
        <v>880.28838503189411</v>
      </c>
      <c r="T154" s="52">
        <f t="shared" ref="T154" si="151">S158</f>
        <v>969.78599618413386</v>
      </c>
      <c r="U154" s="52">
        <f t="shared" ref="U154" si="152">T158</f>
        <v>1061.8658819590398</v>
      </c>
    </row>
    <row r="155" spans="1:21" s="52" customFormat="1" x14ac:dyDescent="0.25">
      <c r="A155"/>
      <c r="B155"/>
      <c r="C155"/>
      <c r="D155" s="52" t="s">
        <v>152</v>
      </c>
      <c r="G155" s="52">
        <v>7.66</v>
      </c>
      <c r="H155" s="52">
        <v>50.93</v>
      </c>
      <c r="I155" s="52">
        <v>32.68</v>
      </c>
      <c r="J155" s="52">
        <v>13.8</v>
      </c>
      <c r="K155" s="52">
        <v>48.06</v>
      </c>
      <c r="L155" s="52">
        <f>K155/K$280*L$298</f>
        <v>70.537731288399598</v>
      </c>
      <c r="M155" s="52">
        <f t="shared" ref="M155:U155" si="153">L155/L$280*M$298</f>
        <v>73.308686917610103</v>
      </c>
      <c r="N155" s="52">
        <f t="shared" si="153"/>
        <v>76.151034170038685</v>
      </c>
      <c r="O155" s="52">
        <f t="shared" si="153"/>
        <v>78.911625896060443</v>
      </c>
      <c r="P155" s="52">
        <f t="shared" si="153"/>
        <v>81.610046491721292</v>
      </c>
      <c r="Q155" s="52">
        <f t="shared" si="153"/>
        <v>84.264986228955806</v>
      </c>
      <c r="R155" s="52">
        <f t="shared" si="153"/>
        <v>86.894274039108225</v>
      </c>
      <c r="S155" s="52">
        <f t="shared" si="153"/>
        <v>89.497611152239728</v>
      </c>
      <c r="T155" s="52">
        <f t="shared" si="153"/>
        <v>92.079885774905875</v>
      </c>
      <c r="U155" s="52">
        <f t="shared" si="153"/>
        <v>94.642189402521353</v>
      </c>
    </row>
    <row r="156" spans="1:21" s="52" customFormat="1" x14ac:dyDescent="0.25">
      <c r="A156"/>
      <c r="B156"/>
      <c r="C156"/>
      <c r="D156" s="52" t="s">
        <v>155</v>
      </c>
      <c r="G156" s="52">
        <v>0</v>
      </c>
      <c r="H156" s="52">
        <f>G156</f>
        <v>0</v>
      </c>
      <c r="I156" s="52">
        <f t="shared" ref="I156:U156" si="154">H156</f>
        <v>0</v>
      </c>
      <c r="J156" s="52">
        <f t="shared" si="154"/>
        <v>0</v>
      </c>
      <c r="K156" s="52">
        <f t="shared" si="154"/>
        <v>0</v>
      </c>
      <c r="L156" s="52">
        <f t="shared" si="154"/>
        <v>0</v>
      </c>
      <c r="M156" s="52">
        <f t="shared" si="154"/>
        <v>0</v>
      </c>
      <c r="N156" s="52">
        <f t="shared" si="154"/>
        <v>0</v>
      </c>
      <c r="O156" s="52">
        <f t="shared" si="154"/>
        <v>0</v>
      </c>
      <c r="P156" s="52">
        <f t="shared" si="154"/>
        <v>0</v>
      </c>
      <c r="Q156" s="52">
        <f t="shared" si="154"/>
        <v>0</v>
      </c>
      <c r="R156" s="52">
        <f t="shared" si="154"/>
        <v>0</v>
      </c>
      <c r="S156" s="52">
        <f t="shared" si="154"/>
        <v>0</v>
      </c>
      <c r="T156" s="52">
        <f t="shared" si="154"/>
        <v>0</v>
      </c>
      <c r="U156" s="52">
        <f t="shared" si="154"/>
        <v>0</v>
      </c>
    </row>
    <row r="157" spans="1:21" s="52" customFormat="1" x14ac:dyDescent="0.25">
      <c r="A157"/>
      <c r="B157"/>
      <c r="C157"/>
      <c r="D157" s="52" t="s">
        <v>153</v>
      </c>
      <c r="G157" s="52">
        <v>1.32</v>
      </c>
      <c r="H157" s="52">
        <v>0.25</v>
      </c>
      <c r="I157" s="52">
        <v>0</v>
      </c>
      <c r="J157" s="52">
        <v>0</v>
      </c>
      <c r="K157" s="52">
        <v>-0.38</v>
      </c>
      <c r="L157" s="52">
        <v>0</v>
      </c>
      <c r="M157" s="52">
        <f>L157</f>
        <v>0</v>
      </c>
      <c r="N157" s="52">
        <f t="shared" ref="N157:U157" si="155">M157</f>
        <v>0</v>
      </c>
      <c r="O157" s="52">
        <f t="shared" si="155"/>
        <v>0</v>
      </c>
      <c r="P157" s="52">
        <f t="shared" si="155"/>
        <v>0</v>
      </c>
      <c r="Q157" s="52">
        <f t="shared" si="155"/>
        <v>0</v>
      </c>
      <c r="R157" s="52">
        <f t="shared" si="155"/>
        <v>0</v>
      </c>
      <c r="S157" s="52">
        <f t="shared" si="155"/>
        <v>0</v>
      </c>
      <c r="T157" s="52">
        <f t="shared" si="155"/>
        <v>0</v>
      </c>
      <c r="U157" s="52">
        <f t="shared" si="155"/>
        <v>0</v>
      </c>
    </row>
    <row r="158" spans="1:21" s="52" customFormat="1" x14ac:dyDescent="0.25">
      <c r="A158"/>
      <c r="B158"/>
      <c r="C158"/>
      <c r="D158" s="51" t="s">
        <v>154</v>
      </c>
      <c r="G158" s="51">
        <f>G154+G155+G156-G157</f>
        <v>183.01</v>
      </c>
      <c r="H158" s="51">
        <f>H154+H155+H156-H157</f>
        <v>233.69</v>
      </c>
      <c r="I158" s="51">
        <f t="shared" ref="I158:U158" si="156">I154+I155+I156-I157</f>
        <v>266.37</v>
      </c>
      <c r="J158" s="51">
        <f t="shared" si="156"/>
        <v>280.17</v>
      </c>
      <c r="K158" s="51">
        <f t="shared" si="156"/>
        <v>328.61</v>
      </c>
      <c r="L158" s="51">
        <f t="shared" si="156"/>
        <v>399.1477312883996</v>
      </c>
      <c r="M158" s="51">
        <f t="shared" si="156"/>
        <v>472.45641820600969</v>
      </c>
      <c r="N158" s="51">
        <f t="shared" si="156"/>
        <v>548.6074523760484</v>
      </c>
      <c r="O158" s="51">
        <f t="shared" si="156"/>
        <v>627.5190782721088</v>
      </c>
      <c r="P158" s="51">
        <f t="shared" si="156"/>
        <v>709.12912476383008</v>
      </c>
      <c r="Q158" s="51">
        <f t="shared" si="156"/>
        <v>793.39411099278584</v>
      </c>
      <c r="R158" s="51">
        <f t="shared" si="156"/>
        <v>880.28838503189411</v>
      </c>
      <c r="S158" s="51">
        <f t="shared" si="156"/>
        <v>969.78599618413386</v>
      </c>
      <c r="T158" s="51">
        <f t="shared" si="156"/>
        <v>1061.8658819590398</v>
      </c>
      <c r="U158" s="51">
        <f t="shared" si="156"/>
        <v>1156.5080713615612</v>
      </c>
    </row>
    <row r="159" spans="1:21" s="52" customFormat="1" x14ac:dyDescent="0.25">
      <c r="A159"/>
      <c r="B159"/>
      <c r="C159"/>
      <c r="D159" s="52" t="s">
        <v>157</v>
      </c>
      <c r="G159" s="52">
        <v>50.58</v>
      </c>
      <c r="H159" s="52">
        <v>54.47</v>
      </c>
      <c r="I159" s="52">
        <v>60.6</v>
      </c>
      <c r="J159" s="52">
        <v>91.12</v>
      </c>
      <c r="K159" s="52">
        <v>110.03</v>
      </c>
      <c r="L159" s="52">
        <f>SUM(K159:K162)</f>
        <v>217.97</v>
      </c>
      <c r="M159" s="52">
        <f t="shared" ref="M159:U159" si="157">SUM(L159:L162)</f>
        <v>293.29920794639708</v>
      </c>
      <c r="N159" s="52">
        <f t="shared" si="157"/>
        <v>340.88915814969477</v>
      </c>
      <c r="O159" s="52">
        <f t="shared" si="157"/>
        <v>395.26326789065757</v>
      </c>
      <c r="P159" s="52">
        <f t="shared" si="157"/>
        <v>455.38175501716717</v>
      </c>
      <c r="Q159" s="52">
        <f t="shared" si="157"/>
        <v>520.45754829142243</v>
      </c>
      <c r="R159" s="52">
        <f t="shared" si="157"/>
        <v>589.89479263185763</v>
      </c>
      <c r="S159" s="52">
        <f t="shared" si="157"/>
        <v>663.24333975797992</v>
      </c>
      <c r="T159" s="52">
        <f t="shared" si="157"/>
        <v>740.16501621203702</v>
      </c>
      <c r="U159" s="52">
        <f t="shared" si="157"/>
        <v>820.40400752006394</v>
      </c>
    </row>
    <row r="160" spans="1:21" s="52" customFormat="1" x14ac:dyDescent="0.25">
      <c r="A160"/>
      <c r="B160"/>
      <c r="C160"/>
      <c r="D160" s="52" t="s">
        <v>158</v>
      </c>
      <c r="G160" s="52">
        <v>5.21</v>
      </c>
      <c r="H160" s="52">
        <v>6.13</v>
      </c>
      <c r="I160" s="52">
        <v>30.52</v>
      </c>
      <c r="J160" s="52">
        <v>18.91</v>
      </c>
      <c r="K160" s="52">
        <v>44.88</v>
      </c>
      <c r="L160" s="52">
        <f>K160/J163*K163</f>
        <v>62.453207946397093</v>
      </c>
      <c r="M160" s="52">
        <f t="shared" ref="M160:U160" si="158">L160/K163*L163</f>
        <v>34.713950203297713</v>
      </c>
      <c r="N160" s="52">
        <f t="shared" si="158"/>
        <v>41.498109740962811</v>
      </c>
      <c r="O160" s="52">
        <f t="shared" si="158"/>
        <v>47.242487126509587</v>
      </c>
      <c r="P160" s="52">
        <f t="shared" si="158"/>
        <v>52.199793274255207</v>
      </c>
      <c r="Q160" s="52">
        <f t="shared" si="158"/>
        <v>56.56124434043528</v>
      </c>
      <c r="R160" s="52">
        <f t="shared" si="158"/>
        <v>60.472547126122343</v>
      </c>
      <c r="S160" s="52">
        <f t="shared" si="158"/>
        <v>64.045676454057059</v>
      </c>
      <c r="T160" s="52">
        <f t="shared" si="158"/>
        <v>67.362991308026977</v>
      </c>
      <c r="U160" s="52">
        <f t="shared" si="158"/>
        <v>70.486415215829524</v>
      </c>
    </row>
    <row r="161" spans="1:21" s="52" customFormat="1" x14ac:dyDescent="0.25">
      <c r="A161"/>
      <c r="B161"/>
      <c r="C161"/>
      <c r="D161" s="52" t="s">
        <v>159</v>
      </c>
      <c r="G161" s="52">
        <v>1.32</v>
      </c>
      <c r="H161" s="52">
        <v>0</v>
      </c>
      <c r="I161" s="52">
        <v>0</v>
      </c>
      <c r="J161" s="52">
        <v>0</v>
      </c>
      <c r="K161" s="52">
        <v>63.06</v>
      </c>
      <c r="L161" s="52">
        <f>AVERAGE(G161:K161)</f>
        <v>12.875999999999999</v>
      </c>
      <c r="M161" s="52">
        <f>L161</f>
        <v>12.875999999999999</v>
      </c>
      <c r="N161" s="52">
        <f t="shared" ref="N161:U161" si="159">M161</f>
        <v>12.875999999999999</v>
      </c>
      <c r="O161" s="52">
        <f t="shared" si="159"/>
        <v>12.875999999999999</v>
      </c>
      <c r="P161" s="52">
        <f t="shared" si="159"/>
        <v>12.875999999999999</v>
      </c>
      <c r="Q161" s="52">
        <f t="shared" si="159"/>
        <v>12.875999999999999</v>
      </c>
      <c r="R161" s="52">
        <f t="shared" si="159"/>
        <v>12.875999999999999</v>
      </c>
      <c r="S161" s="52">
        <f t="shared" si="159"/>
        <v>12.875999999999999</v>
      </c>
      <c r="T161" s="52">
        <f t="shared" si="159"/>
        <v>12.875999999999999</v>
      </c>
      <c r="U161" s="52">
        <f t="shared" si="159"/>
        <v>12.875999999999999</v>
      </c>
    </row>
    <row r="162" spans="1:21" s="52" customFormat="1" x14ac:dyDescent="0.25">
      <c r="A162"/>
      <c r="B162"/>
      <c r="C162"/>
      <c r="D162" s="52" t="s">
        <v>161</v>
      </c>
      <c r="G162" s="52">
        <v>0</v>
      </c>
      <c r="H162" s="52">
        <f>G162</f>
        <v>0</v>
      </c>
      <c r="I162" s="52">
        <f t="shared" ref="I162:U162" si="160">H162</f>
        <v>0</v>
      </c>
      <c r="J162" s="52">
        <f t="shared" si="160"/>
        <v>0</v>
      </c>
      <c r="K162" s="52">
        <f t="shared" si="160"/>
        <v>0</v>
      </c>
      <c r="L162" s="52">
        <f t="shared" si="160"/>
        <v>0</v>
      </c>
      <c r="M162" s="52">
        <f t="shared" si="160"/>
        <v>0</v>
      </c>
      <c r="N162" s="52">
        <f t="shared" si="160"/>
        <v>0</v>
      </c>
      <c r="O162" s="52">
        <f t="shared" si="160"/>
        <v>0</v>
      </c>
      <c r="P162" s="52">
        <f t="shared" si="160"/>
        <v>0</v>
      </c>
      <c r="Q162" s="52">
        <f t="shared" si="160"/>
        <v>0</v>
      </c>
      <c r="R162" s="52">
        <f t="shared" si="160"/>
        <v>0</v>
      </c>
      <c r="S162" s="52">
        <f t="shared" si="160"/>
        <v>0</v>
      </c>
      <c r="T162" s="52">
        <f t="shared" si="160"/>
        <v>0</v>
      </c>
      <c r="U162" s="52">
        <f t="shared" si="160"/>
        <v>0</v>
      </c>
    </row>
    <row r="163" spans="1:21" s="55" customFormat="1" x14ac:dyDescent="0.25">
      <c r="A163"/>
      <c r="B163"/>
      <c r="C163"/>
      <c r="D163" s="53" t="s">
        <v>160</v>
      </c>
      <c r="G163" s="53">
        <f>G158-G159-G160+G161-G162</f>
        <v>128.54000000000002</v>
      </c>
      <c r="H163" s="53">
        <f>H158-H159-H160+H161-H162</f>
        <v>173.09</v>
      </c>
      <c r="I163" s="53">
        <f t="shared" ref="I163:U163" si="161">I158-I159-I160+I161-I162</f>
        <v>175.25</v>
      </c>
      <c r="J163" s="53">
        <f t="shared" si="161"/>
        <v>170.14000000000001</v>
      </c>
      <c r="K163" s="53">
        <f t="shared" si="161"/>
        <v>236.76000000000002</v>
      </c>
      <c r="L163" s="53">
        <f t="shared" si="161"/>
        <v>131.6005233420025</v>
      </c>
      <c r="M163" s="53">
        <f t="shared" si="161"/>
        <v>157.3192600563149</v>
      </c>
      <c r="N163" s="53">
        <f t="shared" si="161"/>
        <v>179.09618448539084</v>
      </c>
      <c r="O163" s="53">
        <f t="shared" si="161"/>
        <v>197.88932325494164</v>
      </c>
      <c r="P163" s="53">
        <f t="shared" si="161"/>
        <v>214.42357647240772</v>
      </c>
      <c r="Q163" s="53">
        <f t="shared" si="161"/>
        <v>229.25131836092814</v>
      </c>
      <c r="R163" s="53">
        <f t="shared" si="161"/>
        <v>242.79704527391414</v>
      </c>
      <c r="S163" s="53">
        <f t="shared" si="161"/>
        <v>255.37297997209689</v>
      </c>
      <c r="T163" s="53">
        <f t="shared" si="161"/>
        <v>267.21387443897584</v>
      </c>
      <c r="U163" s="53">
        <f t="shared" si="161"/>
        <v>278.49364862566767</v>
      </c>
    </row>
    <row r="164" spans="1:21" s="52" customFormat="1" x14ac:dyDescent="0.25">
      <c r="A164"/>
      <c r="B164"/>
      <c r="C164"/>
    </row>
    <row r="165" spans="1:21" s="52" customFormat="1" x14ac:dyDescent="0.25">
      <c r="A165"/>
      <c r="B165"/>
      <c r="C165"/>
    </row>
    <row r="166" spans="1:21" s="52" customFormat="1" x14ac:dyDescent="0.25">
      <c r="A166"/>
      <c r="B166"/>
      <c r="C166"/>
      <c r="D166" s="51" t="s">
        <v>172</v>
      </c>
    </row>
    <row r="167" spans="1:21" s="52" customFormat="1" x14ac:dyDescent="0.25">
      <c r="A167"/>
      <c r="B167"/>
      <c r="C167"/>
      <c r="D167" s="51" t="s">
        <v>151</v>
      </c>
      <c r="G167" s="52">
        <v>155.21</v>
      </c>
      <c r="H167" s="52">
        <f>G171</f>
        <v>155.21</v>
      </c>
      <c r="I167" s="52">
        <f t="shared" ref="I167:K167" si="162">H171</f>
        <v>155.21</v>
      </c>
      <c r="J167" s="52">
        <f t="shared" si="162"/>
        <v>155.21</v>
      </c>
      <c r="K167" s="52">
        <f t="shared" si="162"/>
        <v>155.21</v>
      </c>
      <c r="L167" s="52">
        <f t="shared" ref="L167" si="163">K171</f>
        <v>155.21</v>
      </c>
      <c r="M167" s="52">
        <f t="shared" ref="M167" si="164">L171</f>
        <v>155.21</v>
      </c>
      <c r="N167" s="52">
        <f t="shared" ref="N167" si="165">M171</f>
        <v>155.21</v>
      </c>
      <c r="O167" s="52">
        <f t="shared" ref="O167" si="166">N171</f>
        <v>155.21</v>
      </c>
      <c r="P167" s="52">
        <f t="shared" ref="P167" si="167">O171</f>
        <v>155.21</v>
      </c>
      <c r="Q167" s="52">
        <f t="shared" ref="Q167" si="168">P171</f>
        <v>155.21</v>
      </c>
      <c r="R167" s="52">
        <f t="shared" ref="R167" si="169">Q171</f>
        <v>155.21</v>
      </c>
      <c r="S167" s="52">
        <f t="shared" ref="S167" si="170">R171</f>
        <v>155.21</v>
      </c>
      <c r="T167" s="52">
        <f t="shared" ref="T167" si="171">S171</f>
        <v>155.21</v>
      </c>
      <c r="U167" s="52">
        <f t="shared" ref="U167" si="172">T171</f>
        <v>155.21</v>
      </c>
    </row>
    <row r="168" spans="1:21" s="52" customFormat="1" x14ac:dyDescent="0.25">
      <c r="A168"/>
      <c r="B168"/>
      <c r="C168"/>
      <c r="D168" s="52" t="s">
        <v>152</v>
      </c>
      <c r="G168" s="52">
        <v>0</v>
      </c>
      <c r="H168" s="52">
        <v>0</v>
      </c>
      <c r="J168" s="52">
        <v>0</v>
      </c>
      <c r="L168" s="52">
        <f>K168/K$280*L$298</f>
        <v>0</v>
      </c>
      <c r="M168" s="52">
        <f t="shared" ref="M168:U168" si="173">L168/L$280*M$298</f>
        <v>0</v>
      </c>
      <c r="N168" s="52">
        <f t="shared" si="173"/>
        <v>0</v>
      </c>
      <c r="O168" s="52">
        <f t="shared" si="173"/>
        <v>0</v>
      </c>
      <c r="P168" s="52">
        <f t="shared" si="173"/>
        <v>0</v>
      </c>
      <c r="Q168" s="52">
        <f t="shared" si="173"/>
        <v>0</v>
      </c>
      <c r="R168" s="52">
        <f t="shared" si="173"/>
        <v>0</v>
      </c>
      <c r="S168" s="52">
        <f t="shared" si="173"/>
        <v>0</v>
      </c>
      <c r="T168" s="52">
        <f t="shared" si="173"/>
        <v>0</v>
      </c>
      <c r="U168" s="52">
        <f t="shared" si="173"/>
        <v>0</v>
      </c>
    </row>
    <row r="169" spans="1:21" s="52" customFormat="1" x14ac:dyDescent="0.25">
      <c r="A169"/>
      <c r="B169"/>
      <c r="C169"/>
      <c r="D169" s="52" t="s">
        <v>155</v>
      </c>
      <c r="G169" s="52">
        <v>0</v>
      </c>
      <c r="H169" s="52">
        <v>0</v>
      </c>
      <c r="I169" s="52">
        <v>0</v>
      </c>
      <c r="J169" s="52">
        <v>0</v>
      </c>
      <c r="K169" s="52">
        <v>0</v>
      </c>
      <c r="L169" s="52">
        <v>0</v>
      </c>
      <c r="M169" s="52">
        <v>0</v>
      </c>
      <c r="N169" s="52">
        <v>0</v>
      </c>
      <c r="O169" s="52">
        <v>0</v>
      </c>
      <c r="P169" s="52">
        <v>0</v>
      </c>
      <c r="Q169" s="52">
        <v>0</v>
      </c>
      <c r="R169" s="52">
        <v>0</v>
      </c>
      <c r="S169" s="52">
        <v>0</v>
      </c>
      <c r="T169" s="52">
        <v>0</v>
      </c>
      <c r="U169" s="52">
        <v>0</v>
      </c>
    </row>
    <row r="170" spans="1:21" s="52" customFormat="1" x14ac:dyDescent="0.25">
      <c r="A170"/>
      <c r="B170"/>
      <c r="C170"/>
      <c r="D170" s="52" t="s">
        <v>153</v>
      </c>
      <c r="G170" s="52">
        <v>0</v>
      </c>
      <c r="H170" s="52">
        <v>0</v>
      </c>
      <c r="I170" s="52">
        <v>0</v>
      </c>
      <c r="J170" s="52">
        <v>0</v>
      </c>
      <c r="K170" s="52">
        <v>0</v>
      </c>
      <c r="L170" s="52">
        <v>0</v>
      </c>
      <c r="M170" s="52">
        <v>0</v>
      </c>
      <c r="N170" s="52">
        <v>0</v>
      </c>
      <c r="O170" s="52">
        <v>0</v>
      </c>
      <c r="P170" s="52">
        <v>0</v>
      </c>
      <c r="Q170" s="52">
        <v>0</v>
      </c>
      <c r="R170" s="52">
        <v>0</v>
      </c>
      <c r="S170" s="52">
        <v>0</v>
      </c>
      <c r="T170" s="52">
        <v>0</v>
      </c>
      <c r="U170" s="52">
        <v>0</v>
      </c>
    </row>
    <row r="171" spans="1:21" s="52" customFormat="1" x14ac:dyDescent="0.25">
      <c r="A171"/>
      <c r="B171"/>
      <c r="C171"/>
      <c r="D171" s="51" t="s">
        <v>154</v>
      </c>
      <c r="G171" s="51">
        <f>G167+G168+G169-G170</f>
        <v>155.21</v>
      </c>
      <c r="H171" s="51">
        <f>H167+H168+H169-H170</f>
        <v>155.21</v>
      </c>
      <c r="I171" s="51">
        <f t="shared" ref="I171:U171" si="174">I167+I168+I169-I170</f>
        <v>155.21</v>
      </c>
      <c r="J171" s="51">
        <f t="shared" si="174"/>
        <v>155.21</v>
      </c>
      <c r="K171" s="51">
        <f t="shared" si="174"/>
        <v>155.21</v>
      </c>
      <c r="L171" s="51">
        <f t="shared" si="174"/>
        <v>155.21</v>
      </c>
      <c r="M171" s="51">
        <f t="shared" si="174"/>
        <v>155.21</v>
      </c>
      <c r="N171" s="51">
        <f t="shared" si="174"/>
        <v>155.21</v>
      </c>
      <c r="O171" s="51">
        <f t="shared" si="174"/>
        <v>155.21</v>
      </c>
      <c r="P171" s="51">
        <f t="shared" si="174"/>
        <v>155.21</v>
      </c>
      <c r="Q171" s="51">
        <f t="shared" si="174"/>
        <v>155.21</v>
      </c>
      <c r="R171" s="51">
        <f t="shared" si="174"/>
        <v>155.21</v>
      </c>
      <c r="S171" s="51">
        <f t="shared" si="174"/>
        <v>155.21</v>
      </c>
      <c r="T171" s="51">
        <f t="shared" si="174"/>
        <v>155.21</v>
      </c>
      <c r="U171" s="51">
        <f t="shared" si="174"/>
        <v>155.21</v>
      </c>
    </row>
    <row r="172" spans="1:21" s="52" customFormat="1" x14ac:dyDescent="0.25">
      <c r="A172"/>
      <c r="B172"/>
      <c r="C172"/>
      <c r="D172" s="52" t="s">
        <v>157</v>
      </c>
      <c r="G172" s="52">
        <v>89.54</v>
      </c>
      <c r="H172" s="52">
        <v>155.21</v>
      </c>
      <c r="I172" s="52">
        <v>155.21</v>
      </c>
      <c r="J172" s="52">
        <v>155.21</v>
      </c>
      <c r="K172" s="52">
        <v>155.21</v>
      </c>
      <c r="L172" s="52">
        <v>155.21</v>
      </c>
      <c r="M172" s="52">
        <v>155.21</v>
      </c>
      <c r="N172" s="52">
        <v>155.21</v>
      </c>
      <c r="O172" s="52">
        <v>155.21</v>
      </c>
      <c r="P172" s="52">
        <v>155.21</v>
      </c>
      <c r="Q172" s="52">
        <v>155.21</v>
      </c>
      <c r="R172" s="52">
        <v>155.21</v>
      </c>
      <c r="S172" s="52">
        <v>155.21</v>
      </c>
      <c r="T172" s="52">
        <v>155.21</v>
      </c>
      <c r="U172" s="52">
        <v>155.21</v>
      </c>
    </row>
    <row r="173" spans="1:21" s="52" customFormat="1" x14ac:dyDescent="0.25">
      <c r="A173"/>
      <c r="B173"/>
      <c r="C173"/>
      <c r="D173" s="52" t="s">
        <v>158</v>
      </c>
      <c r="G173" s="52">
        <v>65.67</v>
      </c>
      <c r="H173" s="52">
        <v>0</v>
      </c>
      <c r="I173" s="52">
        <v>0</v>
      </c>
      <c r="J173" s="52">
        <v>0</v>
      </c>
      <c r="K173" s="52">
        <v>0</v>
      </c>
      <c r="L173" s="52">
        <v>0</v>
      </c>
      <c r="M173" s="52">
        <v>0</v>
      </c>
      <c r="N173" s="52">
        <v>0</v>
      </c>
      <c r="O173" s="52">
        <v>0</v>
      </c>
      <c r="P173" s="52">
        <v>0</v>
      </c>
      <c r="Q173" s="52">
        <v>0</v>
      </c>
      <c r="R173" s="52">
        <v>0</v>
      </c>
      <c r="S173" s="52">
        <v>0</v>
      </c>
      <c r="T173" s="52">
        <v>0</v>
      </c>
      <c r="U173" s="52">
        <v>0</v>
      </c>
    </row>
    <row r="174" spans="1:21" s="52" customFormat="1" x14ac:dyDescent="0.25">
      <c r="A174"/>
      <c r="B174"/>
      <c r="C174"/>
      <c r="D174" s="52" t="s">
        <v>159</v>
      </c>
      <c r="G174" s="52">
        <v>0</v>
      </c>
      <c r="H174" s="52">
        <v>0</v>
      </c>
      <c r="I174" s="52">
        <v>0</v>
      </c>
      <c r="J174" s="52">
        <v>0</v>
      </c>
      <c r="K174" s="52">
        <v>0</v>
      </c>
      <c r="L174" s="52">
        <v>0</v>
      </c>
      <c r="M174" s="52">
        <v>0</v>
      </c>
      <c r="N174" s="52">
        <v>0</v>
      </c>
      <c r="O174" s="52">
        <v>0</v>
      </c>
      <c r="P174" s="52">
        <v>0</v>
      </c>
      <c r="Q174" s="52">
        <v>0</v>
      </c>
      <c r="R174" s="52">
        <v>0</v>
      </c>
      <c r="S174" s="52">
        <v>0</v>
      </c>
      <c r="T174" s="52">
        <v>0</v>
      </c>
      <c r="U174" s="52">
        <v>0</v>
      </c>
    </row>
    <row r="175" spans="1:21" s="52" customFormat="1" x14ac:dyDescent="0.25">
      <c r="A175"/>
      <c r="B175"/>
      <c r="C175"/>
      <c r="D175" s="52" t="s">
        <v>161</v>
      </c>
      <c r="G175" s="52">
        <v>0</v>
      </c>
      <c r="H175" s="52">
        <v>0</v>
      </c>
      <c r="I175" s="52">
        <v>0</v>
      </c>
      <c r="J175" s="52">
        <v>0</v>
      </c>
      <c r="K175" s="52">
        <v>0</v>
      </c>
      <c r="L175" s="52">
        <v>0</v>
      </c>
      <c r="M175" s="52">
        <v>0</v>
      </c>
      <c r="N175" s="52">
        <v>0</v>
      </c>
      <c r="O175" s="52">
        <v>0</v>
      </c>
      <c r="P175" s="52">
        <v>0</v>
      </c>
      <c r="Q175" s="52">
        <v>0</v>
      </c>
      <c r="R175" s="52">
        <v>0</v>
      </c>
      <c r="S175" s="52">
        <v>0</v>
      </c>
      <c r="T175" s="52">
        <v>0</v>
      </c>
      <c r="U175" s="52">
        <v>0</v>
      </c>
    </row>
    <row r="176" spans="1:21" s="55" customFormat="1" x14ac:dyDescent="0.25">
      <c r="A176"/>
      <c r="B176"/>
      <c r="C176"/>
      <c r="D176" s="53" t="s">
        <v>160</v>
      </c>
      <c r="G176" s="53">
        <f>G171-G172-G173+G174-G175</f>
        <v>0</v>
      </c>
      <c r="H176" s="53">
        <f>H171-H172-H173+H174-H175</f>
        <v>0</v>
      </c>
      <c r="I176" s="53">
        <f t="shared" ref="I176:U176" si="175">I171-I172-I173+I174-I175</f>
        <v>0</v>
      </c>
      <c r="J176" s="53">
        <f t="shared" si="175"/>
        <v>0</v>
      </c>
      <c r="K176" s="53">
        <f t="shared" si="175"/>
        <v>0</v>
      </c>
      <c r="L176" s="53">
        <f t="shared" si="175"/>
        <v>0</v>
      </c>
      <c r="M176" s="53">
        <f t="shared" si="175"/>
        <v>0</v>
      </c>
      <c r="N176" s="53">
        <f t="shared" si="175"/>
        <v>0</v>
      </c>
      <c r="O176" s="53">
        <f t="shared" si="175"/>
        <v>0</v>
      </c>
      <c r="P176" s="53">
        <f t="shared" si="175"/>
        <v>0</v>
      </c>
      <c r="Q176" s="53">
        <f t="shared" si="175"/>
        <v>0</v>
      </c>
      <c r="R176" s="53">
        <f t="shared" si="175"/>
        <v>0</v>
      </c>
      <c r="S176" s="53">
        <f t="shared" si="175"/>
        <v>0</v>
      </c>
      <c r="T176" s="53">
        <f t="shared" si="175"/>
        <v>0</v>
      </c>
      <c r="U176" s="53">
        <f t="shared" si="175"/>
        <v>0</v>
      </c>
    </row>
    <row r="177" spans="1:21" s="52" customFormat="1" x14ac:dyDescent="0.25">
      <c r="A177"/>
      <c r="B177"/>
      <c r="C177"/>
    </row>
    <row r="178" spans="1:21" s="52" customFormat="1" x14ac:dyDescent="0.25">
      <c r="A178"/>
      <c r="B178"/>
      <c r="C178"/>
    </row>
    <row r="179" spans="1:21" s="52" customFormat="1" x14ac:dyDescent="0.25">
      <c r="A179"/>
      <c r="B179"/>
      <c r="C179"/>
      <c r="D179" s="51" t="s">
        <v>173</v>
      </c>
    </row>
    <row r="180" spans="1:21" s="52" customFormat="1" x14ac:dyDescent="0.25">
      <c r="A180"/>
      <c r="B180"/>
      <c r="C180"/>
      <c r="D180" s="51" t="s">
        <v>151</v>
      </c>
      <c r="G180" s="52">
        <v>5482.66</v>
      </c>
      <c r="H180" s="52">
        <f>G184</f>
        <v>5483.3499999999995</v>
      </c>
      <c r="I180" s="52">
        <f t="shared" ref="I180:K180" si="176">H184</f>
        <v>5486.86</v>
      </c>
      <c r="J180" s="52">
        <f t="shared" si="176"/>
        <v>5486.86</v>
      </c>
      <c r="K180" s="52">
        <f t="shared" si="176"/>
        <v>5635.0199999999995</v>
      </c>
      <c r="L180" s="52">
        <f t="shared" ref="L180" si="177">K184</f>
        <v>5652.7199999999993</v>
      </c>
      <c r="M180" s="52">
        <f t="shared" ref="M180" si="178">L184</f>
        <v>5652.7199999999993</v>
      </c>
      <c r="N180" s="52">
        <f t="shared" ref="N180" si="179">M184</f>
        <v>5652.7199999999993</v>
      </c>
      <c r="O180" s="52">
        <f t="shared" ref="O180" si="180">N184</f>
        <v>5652.7199999999993</v>
      </c>
      <c r="P180" s="52">
        <f t="shared" ref="P180" si="181">O184</f>
        <v>5652.7199999999993</v>
      </c>
      <c r="Q180" s="52">
        <f t="shared" ref="Q180" si="182">P184</f>
        <v>5652.7199999999993</v>
      </c>
      <c r="R180" s="52">
        <f t="shared" ref="R180" si="183">Q184</f>
        <v>5652.7199999999993</v>
      </c>
      <c r="S180" s="52">
        <f t="shared" ref="S180" si="184">R184</f>
        <v>5652.7199999999993</v>
      </c>
      <c r="T180" s="52">
        <f t="shared" ref="T180" si="185">S184</f>
        <v>5652.7199999999993</v>
      </c>
      <c r="U180" s="52">
        <f t="shared" ref="U180" si="186">T184</f>
        <v>5652.7199999999993</v>
      </c>
    </row>
    <row r="181" spans="1:21" s="52" customFormat="1" x14ac:dyDescent="0.25">
      <c r="A181"/>
      <c r="B181"/>
      <c r="C181"/>
      <c r="D181" s="52" t="s">
        <v>152</v>
      </c>
      <c r="G181" s="52">
        <v>0.69</v>
      </c>
      <c r="H181" s="52">
        <v>3.51</v>
      </c>
      <c r="J181" s="52">
        <v>148.16</v>
      </c>
      <c r="K181" s="52">
        <v>0</v>
      </c>
      <c r="L181" s="52">
        <f>K181/K$280*L$298</f>
        <v>0</v>
      </c>
      <c r="M181" s="52">
        <f t="shared" ref="M181:U181" si="187">L181/L$280*M$298</f>
        <v>0</v>
      </c>
      <c r="N181" s="52">
        <f t="shared" si="187"/>
        <v>0</v>
      </c>
      <c r="O181" s="52">
        <f t="shared" si="187"/>
        <v>0</v>
      </c>
      <c r="P181" s="52">
        <f t="shared" si="187"/>
        <v>0</v>
      </c>
      <c r="Q181" s="52">
        <f t="shared" si="187"/>
        <v>0</v>
      </c>
      <c r="R181" s="52">
        <f t="shared" si="187"/>
        <v>0</v>
      </c>
      <c r="S181" s="52">
        <f t="shared" si="187"/>
        <v>0</v>
      </c>
      <c r="T181" s="52">
        <f t="shared" si="187"/>
        <v>0</v>
      </c>
      <c r="U181" s="52">
        <f t="shared" si="187"/>
        <v>0</v>
      </c>
    </row>
    <row r="182" spans="1:21" s="52" customFormat="1" x14ac:dyDescent="0.25">
      <c r="A182"/>
      <c r="B182"/>
      <c r="C182"/>
      <c r="D182" s="52" t="s">
        <v>155</v>
      </c>
      <c r="G182" s="52">
        <v>0</v>
      </c>
      <c r="H182" s="52">
        <v>0</v>
      </c>
      <c r="I182" s="52">
        <v>0</v>
      </c>
      <c r="J182" s="52">
        <v>0</v>
      </c>
      <c r="K182" s="52">
        <v>0</v>
      </c>
      <c r="L182" s="52">
        <v>0</v>
      </c>
      <c r="M182" s="52">
        <v>0</v>
      </c>
      <c r="N182" s="52">
        <v>0</v>
      </c>
      <c r="O182" s="52">
        <v>0</v>
      </c>
      <c r="P182" s="52">
        <v>0</v>
      </c>
      <c r="Q182" s="52">
        <v>0</v>
      </c>
      <c r="R182" s="52">
        <v>0</v>
      </c>
      <c r="S182" s="52">
        <v>0</v>
      </c>
      <c r="T182" s="52">
        <v>0</v>
      </c>
      <c r="U182" s="52">
        <v>0</v>
      </c>
    </row>
    <row r="183" spans="1:21" s="52" customFormat="1" x14ac:dyDescent="0.25">
      <c r="A183"/>
      <c r="B183"/>
      <c r="C183"/>
      <c r="D183" s="52" t="s">
        <v>153</v>
      </c>
      <c r="G183" s="52">
        <v>0</v>
      </c>
      <c r="H183" s="52">
        <v>0</v>
      </c>
      <c r="I183" s="52">
        <v>0</v>
      </c>
      <c r="J183" s="52">
        <v>0</v>
      </c>
      <c r="K183" s="52">
        <v>-17.7</v>
      </c>
      <c r="L183" s="52">
        <v>0</v>
      </c>
      <c r="M183" s="52">
        <v>0</v>
      </c>
      <c r="N183" s="52">
        <v>0</v>
      </c>
      <c r="O183" s="52">
        <v>0</v>
      </c>
      <c r="P183" s="52">
        <v>0</v>
      </c>
      <c r="Q183" s="52">
        <v>0</v>
      </c>
      <c r="R183" s="52">
        <v>0</v>
      </c>
      <c r="S183" s="52">
        <v>0</v>
      </c>
      <c r="T183" s="52">
        <v>0</v>
      </c>
      <c r="U183" s="52">
        <v>0</v>
      </c>
    </row>
    <row r="184" spans="1:21" s="52" customFormat="1" x14ac:dyDescent="0.25">
      <c r="A184"/>
      <c r="B184"/>
      <c r="C184"/>
      <c r="D184" s="51" t="s">
        <v>154</v>
      </c>
      <c r="G184" s="51">
        <f>G180+G181+G182-G183</f>
        <v>5483.3499999999995</v>
      </c>
      <c r="H184" s="51">
        <f>H180+H181+H182-H183</f>
        <v>5486.86</v>
      </c>
      <c r="I184" s="51">
        <f t="shared" ref="I184:U184" si="188">I180+I181+I182-I183</f>
        <v>5486.86</v>
      </c>
      <c r="J184" s="51">
        <f t="shared" si="188"/>
        <v>5635.0199999999995</v>
      </c>
      <c r="K184" s="51">
        <f t="shared" si="188"/>
        <v>5652.7199999999993</v>
      </c>
      <c r="L184" s="51">
        <f t="shared" si="188"/>
        <v>5652.7199999999993</v>
      </c>
      <c r="M184" s="51">
        <f t="shared" si="188"/>
        <v>5652.7199999999993</v>
      </c>
      <c r="N184" s="51">
        <f t="shared" si="188"/>
        <v>5652.7199999999993</v>
      </c>
      <c r="O184" s="51">
        <f t="shared" si="188"/>
        <v>5652.7199999999993</v>
      </c>
      <c r="P184" s="51">
        <f t="shared" si="188"/>
        <v>5652.7199999999993</v>
      </c>
      <c r="Q184" s="51">
        <f t="shared" si="188"/>
        <v>5652.7199999999993</v>
      </c>
      <c r="R184" s="51">
        <f t="shared" si="188"/>
        <v>5652.7199999999993</v>
      </c>
      <c r="S184" s="51">
        <f t="shared" si="188"/>
        <v>5652.7199999999993</v>
      </c>
      <c r="T184" s="51">
        <f t="shared" si="188"/>
        <v>5652.7199999999993</v>
      </c>
      <c r="U184" s="51">
        <f t="shared" si="188"/>
        <v>5652.7199999999993</v>
      </c>
    </row>
    <row r="185" spans="1:21" s="52" customFormat="1" x14ac:dyDescent="0.25">
      <c r="A185"/>
      <c r="B185"/>
      <c r="C185"/>
      <c r="D185" s="52" t="s">
        <v>157</v>
      </c>
      <c r="G185" s="52">
        <v>111.37</v>
      </c>
      <c r="H185" s="52">
        <v>232.45</v>
      </c>
      <c r="I185" s="52">
        <v>352.98</v>
      </c>
      <c r="J185" s="52">
        <v>458.81</v>
      </c>
      <c r="K185" s="52">
        <v>586.02</v>
      </c>
      <c r="L185" s="52">
        <f>SUM(K185:K188)</f>
        <v>629.22</v>
      </c>
      <c r="M185" s="52">
        <f t="shared" ref="M185:U185" si="189">SUM(L185:L188)</f>
        <v>734.00426318082793</v>
      </c>
      <c r="N185" s="52">
        <f t="shared" si="189"/>
        <v>839.32459558477342</v>
      </c>
      <c r="O185" s="52">
        <f t="shared" si="189"/>
        <v>942.38979209325635</v>
      </c>
      <c r="P185" s="52">
        <f t="shared" si="189"/>
        <v>1043.2481400387501</v>
      </c>
      <c r="Q185" s="52">
        <f t="shared" si="189"/>
        <v>1141.9468928175995</v>
      </c>
      <c r="R185" s="52">
        <f t="shared" si="189"/>
        <v>1238.5322920288274</v>
      </c>
      <c r="S185" s="52">
        <f t="shared" si="189"/>
        <v>1333.0495891389014</v>
      </c>
      <c r="T185" s="52">
        <f t="shared" si="189"/>
        <v>1425.5430666826117</v>
      </c>
      <c r="U185" s="52">
        <f t="shared" si="189"/>
        <v>1516.0560590099919</v>
      </c>
    </row>
    <row r="186" spans="1:21" s="52" customFormat="1" x14ac:dyDescent="0.25">
      <c r="A186"/>
      <c r="B186"/>
      <c r="C186"/>
      <c r="D186" s="52" t="s">
        <v>158</v>
      </c>
      <c r="G186" s="52">
        <v>121.08</v>
      </c>
      <c r="H186" s="52">
        <v>120.53</v>
      </c>
      <c r="I186" s="52">
        <v>105.83</v>
      </c>
      <c r="J186" s="52">
        <v>127.21</v>
      </c>
      <c r="K186" s="52">
        <v>108.11</v>
      </c>
      <c r="L186" s="52">
        <f>K186/J189*K189</f>
        <v>104.78426318082789</v>
      </c>
      <c r="M186" s="52">
        <f t="shared" ref="M186:U186" si="190">L186/K189*L189</f>
        <v>105.32033240394547</v>
      </c>
      <c r="N186" s="52">
        <f t="shared" si="190"/>
        <v>103.06519650848291</v>
      </c>
      <c r="O186" s="52">
        <f t="shared" si="190"/>
        <v>100.85834794549379</v>
      </c>
      <c r="P186" s="52">
        <f t="shared" si="190"/>
        <v>98.698752778849439</v>
      </c>
      <c r="Q186" s="52">
        <f t="shared" si="190"/>
        <v>96.585399211227838</v>
      </c>
      <c r="R186" s="52">
        <f t="shared" si="190"/>
        <v>94.517297110073983</v>
      </c>
      <c r="S186" s="52">
        <f t="shared" si="190"/>
        <v>92.493477543710327</v>
      </c>
      <c r="T186" s="52">
        <f t="shared" si="190"/>
        <v>90.512992327380232</v>
      </c>
      <c r="U186" s="52">
        <f t="shared" si="190"/>
        <v>88.574913579011664</v>
      </c>
    </row>
    <row r="187" spans="1:21" s="52" customFormat="1" x14ac:dyDescent="0.25">
      <c r="A187"/>
      <c r="B187"/>
      <c r="C187"/>
      <c r="D187" s="52" t="s">
        <v>159</v>
      </c>
      <c r="G187" s="52">
        <v>0</v>
      </c>
      <c r="H187" s="52">
        <v>0</v>
      </c>
      <c r="I187" s="52">
        <v>0</v>
      </c>
      <c r="J187" s="52">
        <v>0</v>
      </c>
      <c r="K187" s="52">
        <v>-64.91</v>
      </c>
      <c r="L187" s="52">
        <v>0</v>
      </c>
      <c r="M187" s="52">
        <v>0</v>
      </c>
      <c r="N187" s="52">
        <v>0</v>
      </c>
      <c r="O187" s="52">
        <v>0</v>
      </c>
      <c r="P187" s="52">
        <v>0</v>
      </c>
      <c r="Q187" s="52">
        <v>0</v>
      </c>
      <c r="R187" s="52">
        <v>0</v>
      </c>
      <c r="S187" s="52">
        <v>0</v>
      </c>
      <c r="T187" s="52">
        <v>0</v>
      </c>
      <c r="U187" s="52">
        <v>0</v>
      </c>
    </row>
    <row r="188" spans="1:21" s="52" customFormat="1" x14ac:dyDescent="0.25">
      <c r="A188"/>
      <c r="B188"/>
      <c r="C188"/>
      <c r="D188" s="52" t="s">
        <v>161</v>
      </c>
      <c r="G188" s="52">
        <v>0</v>
      </c>
      <c r="H188" s="52">
        <v>0</v>
      </c>
      <c r="I188" s="52">
        <v>0</v>
      </c>
      <c r="J188" s="52">
        <v>0</v>
      </c>
      <c r="K188" s="52">
        <v>0</v>
      </c>
      <c r="L188" s="52">
        <v>0</v>
      </c>
      <c r="M188" s="52">
        <v>0</v>
      </c>
      <c r="N188" s="52">
        <v>0</v>
      </c>
      <c r="O188" s="52">
        <v>0</v>
      </c>
      <c r="P188" s="52">
        <v>0</v>
      </c>
      <c r="Q188" s="52">
        <v>0</v>
      </c>
      <c r="R188" s="52">
        <v>0</v>
      </c>
      <c r="S188" s="52">
        <v>0</v>
      </c>
      <c r="T188" s="52">
        <v>0</v>
      </c>
      <c r="U188" s="52">
        <v>0</v>
      </c>
    </row>
    <row r="189" spans="1:21" s="55" customFormat="1" x14ac:dyDescent="0.25">
      <c r="A189"/>
      <c r="B189"/>
      <c r="C189"/>
      <c r="D189" s="53" t="s">
        <v>160</v>
      </c>
      <c r="G189" s="53">
        <f>G184-G185-G186+G187-G188</f>
        <v>5250.9</v>
      </c>
      <c r="H189" s="53">
        <f>H184-H185-H186+H187-H188</f>
        <v>5133.88</v>
      </c>
      <c r="I189" s="53">
        <f t="shared" ref="I189:U189" si="191">I184-I185-I186+I187-I188</f>
        <v>5028.0499999999993</v>
      </c>
      <c r="J189" s="53">
        <f t="shared" si="191"/>
        <v>5048.9999999999991</v>
      </c>
      <c r="K189" s="53">
        <f t="shared" si="191"/>
        <v>4893.6799999999994</v>
      </c>
      <c r="L189" s="53">
        <f t="shared" si="191"/>
        <v>4918.7157368191711</v>
      </c>
      <c r="M189" s="53">
        <f t="shared" si="191"/>
        <v>4813.395404415226</v>
      </c>
      <c r="N189" s="53">
        <f t="shared" si="191"/>
        <v>4710.3302079067435</v>
      </c>
      <c r="O189" s="53">
        <f t="shared" si="191"/>
        <v>4609.4718599612497</v>
      </c>
      <c r="P189" s="53">
        <f t="shared" si="191"/>
        <v>4510.7731071824001</v>
      </c>
      <c r="Q189" s="53">
        <f t="shared" si="191"/>
        <v>4414.1877079711721</v>
      </c>
      <c r="R189" s="53">
        <f t="shared" si="191"/>
        <v>4319.6704108610984</v>
      </c>
      <c r="S189" s="53">
        <f t="shared" si="191"/>
        <v>4227.176933317387</v>
      </c>
      <c r="T189" s="53">
        <f t="shared" si="191"/>
        <v>4136.6639409900081</v>
      </c>
      <c r="U189" s="53">
        <f t="shared" si="191"/>
        <v>4048.0890274109956</v>
      </c>
    </row>
    <row r="190" spans="1:21" s="52" customFormat="1" x14ac:dyDescent="0.25">
      <c r="A190"/>
      <c r="B190"/>
      <c r="C190"/>
    </row>
    <row r="191" spans="1:21" s="52" customFormat="1" x14ac:dyDescent="0.25">
      <c r="A191"/>
      <c r="B191"/>
      <c r="C191"/>
    </row>
    <row r="192" spans="1:21" s="52" customFormat="1" x14ac:dyDescent="0.25">
      <c r="A192"/>
      <c r="B192"/>
      <c r="C192"/>
      <c r="D192" s="51" t="s">
        <v>174</v>
      </c>
    </row>
    <row r="193" spans="1:21" s="52" customFormat="1" x14ac:dyDescent="0.25">
      <c r="A193"/>
      <c r="B193"/>
      <c r="C193"/>
      <c r="D193" s="51" t="s">
        <v>151</v>
      </c>
      <c r="G193" s="52">
        <v>182.86</v>
      </c>
      <c r="H193" s="52">
        <f>G197</f>
        <v>212.68</v>
      </c>
      <c r="I193" s="52">
        <f t="shared" ref="I193:K193" si="192">H197</f>
        <v>224.43</v>
      </c>
      <c r="J193" s="52">
        <f t="shared" si="192"/>
        <v>246.81</v>
      </c>
      <c r="K193" s="52">
        <f t="shared" si="192"/>
        <v>275.58</v>
      </c>
      <c r="L193" s="52">
        <f t="shared" ref="L193" si="193">K197</f>
        <v>250.89999999999998</v>
      </c>
      <c r="M193" s="52">
        <f t="shared" ref="M193" si="194">L197</f>
        <v>262.93515182199076</v>
      </c>
      <c r="N193" s="52">
        <f t="shared" ref="N193" si="195">M197</f>
        <v>275.44308425487469</v>
      </c>
      <c r="O193" s="52">
        <f t="shared" ref="O193" si="196">N197</f>
        <v>288.43597814156459</v>
      </c>
      <c r="P193" s="52">
        <f t="shared" ref="P193" si="197">O197</f>
        <v>301.89988434938181</v>
      </c>
      <c r="Q193" s="52">
        <f t="shared" ref="Q193" si="198">P197</f>
        <v>315.82419523644205</v>
      </c>
      <c r="R193" s="52">
        <f t="shared" ref="R193" si="199">Q197</f>
        <v>330.20149209614738</v>
      </c>
      <c r="S193" s="52">
        <f t="shared" ref="S193" si="200">R197</f>
        <v>345.02739819520451</v>
      </c>
      <c r="T193" s="52">
        <f t="shared" ref="T193" si="201">S197</f>
        <v>360.29748582417591</v>
      </c>
      <c r="U193" s="52">
        <f t="shared" ref="U193" si="202">T197</f>
        <v>376.00816129971122</v>
      </c>
    </row>
    <row r="194" spans="1:21" s="52" customFormat="1" x14ac:dyDescent="0.25">
      <c r="A194"/>
      <c r="B194"/>
      <c r="C194"/>
      <c r="D194" s="52" t="s">
        <v>152</v>
      </c>
      <c r="G194" s="52">
        <v>29.82</v>
      </c>
      <c r="H194" s="52">
        <v>11.75</v>
      </c>
      <c r="I194" s="52">
        <v>22.38</v>
      </c>
      <c r="J194" s="52">
        <v>53.43</v>
      </c>
      <c r="K194" s="52">
        <v>8.1999999999999993</v>
      </c>
      <c r="L194" s="52">
        <f>K194/K$280*L$298</f>
        <v>12.035151821990773</v>
      </c>
      <c r="M194" s="52">
        <f t="shared" ref="M194:U194" si="203">L194/L$280*M$298</f>
        <v>12.507932432883949</v>
      </c>
      <c r="N194" s="52">
        <f t="shared" si="203"/>
        <v>12.99289388668991</v>
      </c>
      <c r="O194" s="52">
        <f t="shared" si="203"/>
        <v>13.463906207817217</v>
      </c>
      <c r="P194" s="52">
        <f t="shared" si="203"/>
        <v>13.924310887060225</v>
      </c>
      <c r="Q194" s="52">
        <f t="shared" si="203"/>
        <v>14.377296859705314</v>
      </c>
      <c r="R194" s="52">
        <f t="shared" si="203"/>
        <v>14.825906099057162</v>
      </c>
      <c r="S194" s="52">
        <f t="shared" si="203"/>
        <v>15.270087628971401</v>
      </c>
      <c r="T194" s="52">
        <f t="shared" si="203"/>
        <v>15.71067547553533</v>
      </c>
      <c r="U194" s="52">
        <f t="shared" si="203"/>
        <v>16.147855869760193</v>
      </c>
    </row>
    <row r="195" spans="1:21" s="52" customFormat="1" x14ac:dyDescent="0.25">
      <c r="A195"/>
      <c r="B195"/>
      <c r="C195"/>
      <c r="D195" s="52" t="s">
        <v>155</v>
      </c>
      <c r="G195" s="52">
        <v>0</v>
      </c>
      <c r="H195" s="52">
        <v>0</v>
      </c>
      <c r="I195" s="52">
        <v>0</v>
      </c>
      <c r="J195" s="52">
        <v>0</v>
      </c>
      <c r="K195" s="52">
        <v>0</v>
      </c>
      <c r="L195" s="52">
        <v>0</v>
      </c>
      <c r="M195" s="52">
        <v>0</v>
      </c>
      <c r="N195" s="52">
        <v>0</v>
      </c>
      <c r="O195" s="52">
        <v>0</v>
      </c>
      <c r="P195" s="52">
        <v>0</v>
      </c>
      <c r="Q195" s="52">
        <v>0</v>
      </c>
      <c r="R195" s="52">
        <v>0</v>
      </c>
      <c r="S195" s="52">
        <v>0</v>
      </c>
      <c r="T195" s="52">
        <v>0</v>
      </c>
      <c r="U195" s="52">
        <v>0</v>
      </c>
    </row>
    <row r="196" spans="1:21" s="52" customFormat="1" x14ac:dyDescent="0.25">
      <c r="A196"/>
      <c r="B196"/>
      <c r="C196"/>
      <c r="D196" s="52" t="s">
        <v>153</v>
      </c>
      <c r="G196" s="52">
        <v>0</v>
      </c>
      <c r="H196" s="52">
        <v>0</v>
      </c>
      <c r="I196" s="52">
        <v>0</v>
      </c>
      <c r="J196" s="52">
        <v>24.66</v>
      </c>
      <c r="K196" s="52">
        <v>32.880000000000003</v>
      </c>
      <c r="L196" s="52">
        <v>0</v>
      </c>
      <c r="M196" s="52">
        <v>0</v>
      </c>
      <c r="N196" s="52">
        <v>0</v>
      </c>
      <c r="O196" s="52">
        <v>0</v>
      </c>
      <c r="P196" s="52">
        <v>0</v>
      </c>
      <c r="Q196" s="52">
        <v>0</v>
      </c>
      <c r="R196" s="52">
        <v>0</v>
      </c>
      <c r="S196" s="52">
        <v>0</v>
      </c>
      <c r="T196" s="52">
        <v>0</v>
      </c>
      <c r="U196" s="52">
        <v>0</v>
      </c>
    </row>
    <row r="197" spans="1:21" s="52" customFormat="1" x14ac:dyDescent="0.25">
      <c r="A197"/>
      <c r="B197"/>
      <c r="C197"/>
      <c r="D197" s="51" t="s">
        <v>154</v>
      </c>
      <c r="G197" s="51">
        <f>G193+G194+G195-G196</f>
        <v>212.68</v>
      </c>
      <c r="H197" s="51">
        <f>H193+H194+H195-H196</f>
        <v>224.43</v>
      </c>
      <c r="I197" s="51">
        <f t="shared" ref="I197:U197" si="204">I193+I194+I195-I196</f>
        <v>246.81</v>
      </c>
      <c r="J197" s="51">
        <f t="shared" si="204"/>
        <v>275.58</v>
      </c>
      <c r="K197" s="51">
        <f t="shared" si="204"/>
        <v>250.89999999999998</v>
      </c>
      <c r="L197" s="51">
        <f t="shared" si="204"/>
        <v>262.93515182199076</v>
      </c>
      <c r="M197" s="51">
        <f t="shared" si="204"/>
        <v>275.44308425487469</v>
      </c>
      <c r="N197" s="51">
        <f t="shared" si="204"/>
        <v>288.43597814156459</v>
      </c>
      <c r="O197" s="51">
        <f t="shared" si="204"/>
        <v>301.89988434938181</v>
      </c>
      <c r="P197" s="51">
        <f t="shared" si="204"/>
        <v>315.82419523644205</v>
      </c>
      <c r="Q197" s="51">
        <f t="shared" si="204"/>
        <v>330.20149209614738</v>
      </c>
      <c r="R197" s="51">
        <f t="shared" si="204"/>
        <v>345.02739819520451</v>
      </c>
      <c r="S197" s="51">
        <f t="shared" si="204"/>
        <v>360.29748582417591</v>
      </c>
      <c r="T197" s="51">
        <f t="shared" si="204"/>
        <v>376.00816129971122</v>
      </c>
      <c r="U197" s="51">
        <f t="shared" si="204"/>
        <v>392.1560171694714</v>
      </c>
    </row>
    <row r="198" spans="1:21" s="52" customFormat="1" x14ac:dyDescent="0.25">
      <c r="A198"/>
      <c r="B198"/>
      <c r="C198"/>
      <c r="D198" s="52" t="s">
        <v>157</v>
      </c>
      <c r="G198" s="52">
        <v>29.32</v>
      </c>
      <c r="H198" s="52">
        <v>37.57</v>
      </c>
      <c r="I198" s="52">
        <v>40.75</v>
      </c>
      <c r="J198" s="52">
        <v>50.6</v>
      </c>
      <c r="K198" s="52">
        <v>66.12</v>
      </c>
      <c r="L198" s="52">
        <f>SUM(K198:K201)</f>
        <v>85.03</v>
      </c>
      <c r="M198" s="52">
        <f t="shared" ref="M198:U198" si="205">SUM(L198:L201)</f>
        <v>97.358408287978619</v>
      </c>
      <c r="N198" s="52">
        <f t="shared" si="205"/>
        <v>109.08933005845861</v>
      </c>
      <c r="O198" s="52">
        <f t="shared" si="205"/>
        <v>120.87530214035881</v>
      </c>
      <c r="P198" s="52">
        <f t="shared" si="205"/>
        <v>132.74678324347107</v>
      </c>
      <c r="Q198" s="52">
        <f t="shared" si="205"/>
        <v>144.7310858330429</v>
      </c>
      <c r="R198" s="52">
        <f t="shared" si="205"/>
        <v>156.85283577836154</v>
      </c>
      <c r="S198" s="52">
        <f t="shared" si="205"/>
        <v>169.13438862738255</v>
      </c>
      <c r="T198" s="52">
        <f t="shared" si="205"/>
        <v>181.59620597669257</v>
      </c>
      <c r="U198" s="52">
        <f t="shared" si="205"/>
        <v>194.25698604418352</v>
      </c>
    </row>
    <row r="199" spans="1:21" s="52" customFormat="1" x14ac:dyDescent="0.25">
      <c r="A199"/>
      <c r="B199"/>
      <c r="C199"/>
      <c r="D199" s="52" t="s">
        <v>158</v>
      </c>
      <c r="G199" s="52">
        <v>8.25</v>
      </c>
      <c r="H199" s="52">
        <v>3.18</v>
      </c>
      <c r="I199" s="52">
        <v>9.85</v>
      </c>
      <c r="J199" s="52">
        <v>16.27</v>
      </c>
      <c r="K199" s="52">
        <v>14.84</v>
      </c>
      <c r="L199" s="52">
        <f>K199/J202*K202</f>
        <v>12.328408287978611</v>
      </c>
      <c r="M199" s="52">
        <f t="shared" ref="M199:U199" si="206">L199/K202*L202</f>
        <v>11.730921770479998</v>
      </c>
      <c r="N199" s="52">
        <f t="shared" si="206"/>
        <v>11.785972081900196</v>
      </c>
      <c r="O199" s="52">
        <f t="shared" si="206"/>
        <v>11.871481103112261</v>
      </c>
      <c r="P199" s="52">
        <f t="shared" si="206"/>
        <v>11.984302589571829</v>
      </c>
      <c r="Q199" s="52">
        <f t="shared" si="206"/>
        <v>12.121749945318648</v>
      </c>
      <c r="R199" s="52">
        <f t="shared" si="206"/>
        <v>12.281552849021017</v>
      </c>
      <c r="S199" s="52">
        <f t="shared" si="206"/>
        <v>12.461817349310028</v>
      </c>
      <c r="T199" s="52">
        <f t="shared" si="206"/>
        <v>12.660780067490943</v>
      </c>
      <c r="U199" s="52">
        <f t="shared" si="206"/>
        <v>12.876861648009317</v>
      </c>
    </row>
    <row r="200" spans="1:21" s="52" customFormat="1" x14ac:dyDescent="0.25">
      <c r="A200"/>
      <c r="B200"/>
      <c r="C200"/>
      <c r="D200" s="52" t="s">
        <v>159</v>
      </c>
      <c r="G200" s="52">
        <v>0</v>
      </c>
      <c r="H200" s="52">
        <v>0</v>
      </c>
      <c r="I200" s="52">
        <v>0</v>
      </c>
      <c r="J200" s="52">
        <v>0.75</v>
      </c>
      <c r="K200" s="52">
        <v>4.07</v>
      </c>
      <c r="L200" s="52">
        <v>0</v>
      </c>
      <c r="M200" s="52">
        <v>0</v>
      </c>
      <c r="N200" s="52">
        <v>0</v>
      </c>
      <c r="O200" s="52">
        <v>0</v>
      </c>
      <c r="P200" s="52">
        <v>0</v>
      </c>
      <c r="Q200" s="52">
        <v>0</v>
      </c>
      <c r="R200" s="52">
        <v>0</v>
      </c>
      <c r="S200" s="52">
        <v>0</v>
      </c>
      <c r="T200" s="52">
        <v>0</v>
      </c>
      <c r="U200" s="52">
        <v>0</v>
      </c>
    </row>
    <row r="201" spans="1:21" s="52" customFormat="1" x14ac:dyDescent="0.25">
      <c r="A201"/>
      <c r="B201"/>
      <c r="C201"/>
      <c r="D201" s="52" t="s">
        <v>161</v>
      </c>
      <c r="G201" s="52">
        <v>0</v>
      </c>
      <c r="H201" s="52">
        <v>0</v>
      </c>
      <c r="I201" s="52">
        <v>0</v>
      </c>
      <c r="J201" s="52">
        <v>0</v>
      </c>
      <c r="K201" s="52">
        <v>0</v>
      </c>
      <c r="L201" s="52">
        <v>0</v>
      </c>
      <c r="M201" s="52">
        <v>0</v>
      </c>
      <c r="N201" s="52">
        <v>0</v>
      </c>
      <c r="O201" s="52">
        <v>0</v>
      </c>
      <c r="P201" s="52">
        <v>0</v>
      </c>
      <c r="Q201" s="52">
        <v>0</v>
      </c>
      <c r="R201" s="52">
        <v>0</v>
      </c>
      <c r="S201" s="52">
        <v>0</v>
      </c>
      <c r="T201" s="52">
        <v>0</v>
      </c>
      <c r="U201" s="52">
        <v>0</v>
      </c>
    </row>
    <row r="202" spans="1:21" s="55" customFormat="1" x14ac:dyDescent="0.25">
      <c r="A202"/>
      <c r="B202"/>
      <c r="C202"/>
      <c r="D202" s="53" t="s">
        <v>160</v>
      </c>
      <c r="G202" s="53">
        <f>G197-G198-G199+G200-G201</f>
        <v>175.11</v>
      </c>
      <c r="H202" s="53">
        <f>H197-H198-H199+H200-H201</f>
        <v>183.68</v>
      </c>
      <c r="I202" s="53">
        <f t="shared" ref="I202:U202" si="207">I197-I198-I199+I200-I201</f>
        <v>196.21</v>
      </c>
      <c r="J202" s="53">
        <f t="shared" si="207"/>
        <v>209.45999999999998</v>
      </c>
      <c r="K202" s="53">
        <f t="shared" si="207"/>
        <v>174.00999999999996</v>
      </c>
      <c r="L202" s="53">
        <f t="shared" si="207"/>
        <v>165.57674353401214</v>
      </c>
      <c r="M202" s="53">
        <f t="shared" si="207"/>
        <v>166.35375419641608</v>
      </c>
      <c r="N202" s="53">
        <f t="shared" si="207"/>
        <v>167.56067600120579</v>
      </c>
      <c r="O202" s="53">
        <f t="shared" si="207"/>
        <v>169.15310110591071</v>
      </c>
      <c r="P202" s="53">
        <f t="shared" si="207"/>
        <v>171.09310940339915</v>
      </c>
      <c r="Q202" s="53">
        <f t="shared" si="207"/>
        <v>173.34865631778584</v>
      </c>
      <c r="R202" s="53">
        <f t="shared" si="207"/>
        <v>175.89300956782196</v>
      </c>
      <c r="S202" s="53">
        <f t="shared" si="207"/>
        <v>178.70127984748333</v>
      </c>
      <c r="T202" s="53">
        <f t="shared" si="207"/>
        <v>181.7511752555277</v>
      </c>
      <c r="U202" s="53">
        <f t="shared" si="207"/>
        <v>185.02216947727857</v>
      </c>
    </row>
    <row r="203" spans="1:21" s="52" customFormat="1" x14ac:dyDescent="0.25">
      <c r="A203"/>
      <c r="B203"/>
      <c r="C203"/>
    </row>
    <row r="204" spans="1:21" s="52" customFormat="1" x14ac:dyDescent="0.25">
      <c r="A204"/>
      <c r="B204"/>
      <c r="C204"/>
    </row>
    <row r="205" spans="1:21" s="52" customFormat="1" x14ac:dyDescent="0.25">
      <c r="A205"/>
      <c r="B205"/>
      <c r="C205"/>
      <c r="D205" s="51" t="s">
        <v>175</v>
      </c>
    </row>
    <row r="206" spans="1:21" s="52" customFormat="1" x14ac:dyDescent="0.25">
      <c r="A206"/>
      <c r="B206"/>
      <c r="C206"/>
      <c r="D206" s="51" t="s">
        <v>151</v>
      </c>
      <c r="G206" s="52">
        <v>64.88</v>
      </c>
      <c r="H206" s="52">
        <f>G210</f>
        <v>59.249999999999986</v>
      </c>
      <c r="I206" s="52">
        <f t="shared" ref="I206:K206" si="208">H210</f>
        <v>57.249999999999986</v>
      </c>
      <c r="J206" s="52">
        <f t="shared" si="208"/>
        <v>59.349999999999987</v>
      </c>
      <c r="K206" s="52">
        <f t="shared" si="208"/>
        <v>64.349999999999994</v>
      </c>
      <c r="L206" s="52">
        <f t="shared" ref="L206" si="209">K210</f>
        <v>67.569999999999993</v>
      </c>
      <c r="M206" s="52">
        <f t="shared" ref="M206" si="210">L210</f>
        <v>70.253999999999991</v>
      </c>
      <c r="N206" s="52">
        <f t="shared" ref="N206" si="211">M210</f>
        <v>72.937999999999988</v>
      </c>
      <c r="O206" s="52">
        <f t="shared" ref="O206" si="212">N210</f>
        <v>75.621999999999986</v>
      </c>
      <c r="P206" s="52">
        <f t="shared" ref="P206" si="213">O210</f>
        <v>78.305999999999983</v>
      </c>
      <c r="Q206" s="52">
        <f t="shared" ref="Q206" si="214">P210</f>
        <v>80.989999999999981</v>
      </c>
      <c r="R206" s="52">
        <f t="shared" ref="R206" si="215">Q210</f>
        <v>83.673999999999978</v>
      </c>
      <c r="S206" s="52">
        <f t="shared" ref="S206" si="216">R210</f>
        <v>86.357999999999976</v>
      </c>
      <c r="T206" s="52">
        <f t="shared" ref="T206" si="217">S210</f>
        <v>89.041999999999973</v>
      </c>
      <c r="U206" s="52">
        <f t="shared" ref="U206" si="218">T210</f>
        <v>91.725999999999971</v>
      </c>
    </row>
    <row r="207" spans="1:21" s="52" customFormat="1" x14ac:dyDescent="0.25">
      <c r="A207"/>
      <c r="B207"/>
      <c r="C207"/>
      <c r="D207" s="52" t="s">
        <v>152</v>
      </c>
      <c r="G207" s="52">
        <v>0</v>
      </c>
      <c r="H207" s="52">
        <v>0</v>
      </c>
      <c r="I207" s="52">
        <v>0</v>
      </c>
      <c r="J207" s="52">
        <v>0</v>
      </c>
      <c r="K207" s="52">
        <v>0</v>
      </c>
      <c r="L207" s="52">
        <f>K207/K$280*L$298</f>
        <v>0</v>
      </c>
      <c r="M207" s="52">
        <f t="shared" ref="M207:U207" si="219">L207/L$280*M$298</f>
        <v>0</v>
      </c>
      <c r="N207" s="52">
        <f t="shared" si="219"/>
        <v>0</v>
      </c>
      <c r="O207" s="52">
        <f t="shared" si="219"/>
        <v>0</v>
      </c>
      <c r="P207" s="52">
        <f t="shared" si="219"/>
        <v>0</v>
      </c>
      <c r="Q207" s="52">
        <f t="shared" si="219"/>
        <v>0</v>
      </c>
      <c r="R207" s="52">
        <f t="shared" si="219"/>
        <v>0</v>
      </c>
      <c r="S207" s="52">
        <f t="shared" si="219"/>
        <v>0</v>
      </c>
      <c r="T207" s="52">
        <f t="shared" si="219"/>
        <v>0</v>
      </c>
      <c r="U207" s="52">
        <f t="shared" si="219"/>
        <v>0</v>
      </c>
    </row>
    <row r="208" spans="1:21" s="52" customFormat="1" x14ac:dyDescent="0.25">
      <c r="A208"/>
      <c r="B208"/>
      <c r="C208"/>
      <c r="D208" s="52" t="s">
        <v>155</v>
      </c>
      <c r="G208" s="52">
        <v>5.0999999999999996</v>
      </c>
      <c r="H208" s="52">
        <v>-2</v>
      </c>
      <c r="I208" s="52">
        <v>2.1</v>
      </c>
      <c r="J208" s="52">
        <v>5</v>
      </c>
      <c r="K208" s="52">
        <v>3.22</v>
      </c>
      <c r="L208" s="52">
        <f>AVERAGE(G208:K208)</f>
        <v>2.6840000000000002</v>
      </c>
      <c r="M208" s="52">
        <f>L208</f>
        <v>2.6840000000000002</v>
      </c>
      <c r="N208" s="52">
        <f t="shared" ref="N208:U208" si="220">M208</f>
        <v>2.6840000000000002</v>
      </c>
      <c r="O208" s="52">
        <f t="shared" si="220"/>
        <v>2.6840000000000002</v>
      </c>
      <c r="P208" s="52">
        <f t="shared" si="220"/>
        <v>2.6840000000000002</v>
      </c>
      <c r="Q208" s="52">
        <f t="shared" si="220"/>
        <v>2.6840000000000002</v>
      </c>
      <c r="R208" s="52">
        <f t="shared" si="220"/>
        <v>2.6840000000000002</v>
      </c>
      <c r="S208" s="52">
        <f t="shared" si="220"/>
        <v>2.6840000000000002</v>
      </c>
      <c r="T208" s="52">
        <f t="shared" si="220"/>
        <v>2.6840000000000002</v>
      </c>
      <c r="U208" s="52">
        <f t="shared" si="220"/>
        <v>2.6840000000000002</v>
      </c>
    </row>
    <row r="209" spans="1:21" s="52" customFormat="1" x14ac:dyDescent="0.25">
      <c r="A209"/>
      <c r="B209"/>
      <c r="C209"/>
      <c r="D209" s="52" t="s">
        <v>153</v>
      </c>
      <c r="G209" s="52">
        <v>10.73</v>
      </c>
      <c r="H209" s="52">
        <v>0</v>
      </c>
      <c r="I209" s="52">
        <v>0</v>
      </c>
      <c r="J209" s="52">
        <v>0</v>
      </c>
      <c r="K209" s="52">
        <v>0</v>
      </c>
      <c r="L209" s="52">
        <v>0</v>
      </c>
      <c r="M209" s="52">
        <v>0</v>
      </c>
      <c r="N209" s="52">
        <v>0</v>
      </c>
      <c r="O209" s="52">
        <v>0</v>
      </c>
      <c r="P209" s="52">
        <v>0</v>
      </c>
      <c r="Q209" s="52">
        <v>0</v>
      </c>
      <c r="R209" s="52">
        <v>0</v>
      </c>
      <c r="S209" s="52">
        <v>0</v>
      </c>
      <c r="T209" s="52">
        <v>0</v>
      </c>
      <c r="U209" s="52">
        <v>0</v>
      </c>
    </row>
    <row r="210" spans="1:21" s="52" customFormat="1" x14ac:dyDescent="0.25">
      <c r="A210"/>
      <c r="B210"/>
      <c r="C210"/>
      <c r="D210" s="51" t="s">
        <v>154</v>
      </c>
      <c r="G210" s="51">
        <f>G206+G207+G208-G209</f>
        <v>59.249999999999986</v>
      </c>
      <c r="H210" s="51">
        <f>H206+H207+H208-H209</f>
        <v>57.249999999999986</v>
      </c>
      <c r="I210" s="51">
        <f t="shared" ref="I210:U210" si="221">I206+I207+I208-I209</f>
        <v>59.349999999999987</v>
      </c>
      <c r="J210" s="51">
        <f t="shared" si="221"/>
        <v>64.349999999999994</v>
      </c>
      <c r="K210" s="51">
        <f t="shared" si="221"/>
        <v>67.569999999999993</v>
      </c>
      <c r="L210" s="51">
        <f t="shared" si="221"/>
        <v>70.253999999999991</v>
      </c>
      <c r="M210" s="51">
        <f t="shared" si="221"/>
        <v>72.937999999999988</v>
      </c>
      <c r="N210" s="51">
        <f t="shared" si="221"/>
        <v>75.621999999999986</v>
      </c>
      <c r="O210" s="51">
        <f t="shared" si="221"/>
        <v>78.305999999999983</v>
      </c>
      <c r="P210" s="51">
        <f t="shared" si="221"/>
        <v>80.989999999999981</v>
      </c>
      <c r="Q210" s="51">
        <f t="shared" si="221"/>
        <v>83.673999999999978</v>
      </c>
      <c r="R210" s="51">
        <f t="shared" si="221"/>
        <v>86.357999999999976</v>
      </c>
      <c r="S210" s="51">
        <f t="shared" si="221"/>
        <v>89.041999999999973</v>
      </c>
      <c r="T210" s="51">
        <f t="shared" si="221"/>
        <v>91.725999999999971</v>
      </c>
      <c r="U210" s="51">
        <f t="shared" si="221"/>
        <v>94.409999999999968</v>
      </c>
    </row>
    <row r="211" spans="1:21" s="52" customFormat="1" x14ac:dyDescent="0.25">
      <c r="A211"/>
      <c r="B211"/>
      <c r="C211"/>
      <c r="D211" s="52" t="s">
        <v>157</v>
      </c>
      <c r="G211" s="52">
        <v>17.53</v>
      </c>
      <c r="H211" s="52">
        <v>18.96</v>
      </c>
      <c r="I211" s="52">
        <v>21.98</v>
      </c>
      <c r="J211" s="52">
        <v>26.58</v>
      </c>
      <c r="K211" s="52">
        <v>31.32</v>
      </c>
      <c r="L211" s="52">
        <f>SUM(K211:K214)</f>
        <v>34.33</v>
      </c>
      <c r="M211" s="52">
        <f t="shared" ref="M211:U211" si="222">SUM(L211:L214)</f>
        <v>37.776085376930062</v>
      </c>
      <c r="N211" s="52">
        <f t="shared" si="222"/>
        <v>41.16379727509436</v>
      </c>
      <c r="O211" s="52">
        <f t="shared" si="222"/>
        <v>44.497606929772267</v>
      </c>
      <c r="P211" s="52">
        <f t="shared" si="222"/>
        <v>47.781643092886895</v>
      </c>
      <c r="Q211" s="52">
        <f t="shared" si="222"/>
        <v>51.019718266214056</v>
      </c>
      <c r="R211" s="52">
        <f t="shared" si="222"/>
        <v>54.215352925205224</v>
      </c>
      <c r="S211" s="52">
        <f t="shared" si="222"/>
        <v>57.37179788733755</v>
      </c>
      <c r="T211" s="52">
        <f t="shared" si="222"/>
        <v>60.492054967114598</v>
      </c>
      <c r="U211" s="52">
        <f t="shared" si="222"/>
        <v>63.57889604895535</v>
      </c>
    </row>
    <row r="212" spans="1:21" s="52" customFormat="1" x14ac:dyDescent="0.25">
      <c r="A212"/>
      <c r="B212"/>
      <c r="C212"/>
      <c r="D212" s="52" t="s">
        <v>158</v>
      </c>
      <c r="G212" s="52">
        <v>3.55</v>
      </c>
      <c r="H212" s="52">
        <v>3.71</v>
      </c>
      <c r="I212" s="52">
        <v>3.73</v>
      </c>
      <c r="J212" s="52">
        <v>2.46</v>
      </c>
      <c r="K212" s="52">
        <v>2.5299999999999998</v>
      </c>
      <c r="L212" s="52">
        <f>K212/J215*K215</f>
        <v>2.5460853769300638</v>
      </c>
      <c r="M212" s="52">
        <f t="shared" ref="M212:U212" si="223">L212/K215*L215</f>
        <v>2.4877118981643029</v>
      </c>
      <c r="N212" s="52">
        <f t="shared" si="223"/>
        <v>2.4338096546779067</v>
      </c>
      <c r="O212" s="52">
        <f t="shared" si="223"/>
        <v>2.3840361631146272</v>
      </c>
      <c r="P212" s="52">
        <f t="shared" si="223"/>
        <v>2.338075173327161</v>
      </c>
      <c r="Q212" s="52">
        <f t="shared" si="223"/>
        <v>2.2956346589911716</v>
      </c>
      <c r="R212" s="52">
        <f t="shared" si="223"/>
        <v>2.2564449621323259</v>
      </c>
      <c r="S212" s="52">
        <f t="shared" si="223"/>
        <v>2.2202570797770496</v>
      </c>
      <c r="T212" s="52">
        <f t="shared" si="223"/>
        <v>2.1868410818407513</v>
      </c>
      <c r="U212" s="52">
        <f t="shared" si="223"/>
        <v>2.1559846502011175</v>
      </c>
    </row>
    <row r="213" spans="1:21" s="52" customFormat="1" x14ac:dyDescent="0.25">
      <c r="A213"/>
      <c r="B213"/>
      <c r="C213"/>
      <c r="D213" s="52" t="s">
        <v>159</v>
      </c>
      <c r="G213" s="52">
        <v>3.68</v>
      </c>
      <c r="H213" s="52">
        <v>0</v>
      </c>
      <c r="I213" s="52">
        <v>0</v>
      </c>
      <c r="J213" s="52">
        <v>0</v>
      </c>
      <c r="K213" s="52">
        <v>0</v>
      </c>
      <c r="L213" s="52">
        <v>0</v>
      </c>
      <c r="M213" s="52">
        <v>0</v>
      </c>
      <c r="N213" s="52">
        <v>0</v>
      </c>
      <c r="O213" s="52">
        <v>0</v>
      </c>
      <c r="P213" s="52">
        <v>0</v>
      </c>
      <c r="Q213" s="52">
        <v>0</v>
      </c>
      <c r="R213" s="52">
        <v>0</v>
      </c>
      <c r="S213" s="52">
        <v>0</v>
      </c>
      <c r="T213" s="52">
        <v>0</v>
      </c>
      <c r="U213" s="52">
        <v>0</v>
      </c>
    </row>
    <row r="214" spans="1:21" s="52" customFormat="1" x14ac:dyDescent="0.25">
      <c r="A214"/>
      <c r="B214"/>
      <c r="C214"/>
      <c r="D214" s="52" t="s">
        <v>161</v>
      </c>
      <c r="G214" s="52">
        <v>1.56</v>
      </c>
      <c r="H214" s="52">
        <v>-0.69</v>
      </c>
      <c r="I214" s="52">
        <v>0.87</v>
      </c>
      <c r="J214" s="52">
        <v>2.2799999999999998</v>
      </c>
      <c r="K214" s="52">
        <v>0.48</v>
      </c>
      <c r="L214" s="52">
        <f>AVERAGE(G214:K214)</f>
        <v>0.9</v>
      </c>
      <c r="M214" s="52">
        <f>L214</f>
        <v>0.9</v>
      </c>
      <c r="N214" s="52">
        <f t="shared" ref="N214:U214" si="224">M214</f>
        <v>0.9</v>
      </c>
      <c r="O214" s="52">
        <f t="shared" si="224"/>
        <v>0.9</v>
      </c>
      <c r="P214" s="52">
        <f t="shared" si="224"/>
        <v>0.9</v>
      </c>
      <c r="Q214" s="52">
        <f t="shared" si="224"/>
        <v>0.9</v>
      </c>
      <c r="R214" s="52">
        <f t="shared" si="224"/>
        <v>0.9</v>
      </c>
      <c r="S214" s="52">
        <f t="shared" si="224"/>
        <v>0.9</v>
      </c>
      <c r="T214" s="52">
        <f t="shared" si="224"/>
        <v>0.9</v>
      </c>
      <c r="U214" s="52">
        <f t="shared" si="224"/>
        <v>0.9</v>
      </c>
    </row>
    <row r="215" spans="1:21" s="55" customFormat="1" x14ac:dyDescent="0.25">
      <c r="A215"/>
      <c r="B215"/>
      <c r="C215"/>
      <c r="D215" s="53" t="s">
        <v>160</v>
      </c>
      <c r="G215" s="53">
        <f>G210-G211-G212+G213-G214</f>
        <v>40.289999999999985</v>
      </c>
      <c r="H215" s="53">
        <f>H210-H211-H212+H213-H214</f>
        <v>35.269999999999982</v>
      </c>
      <c r="I215" s="53">
        <f t="shared" ref="I215:U215" si="225">I210-I211-I212+I213-I214</f>
        <v>32.769999999999996</v>
      </c>
      <c r="J215" s="53">
        <f t="shared" si="225"/>
        <v>33.029999999999994</v>
      </c>
      <c r="K215" s="53">
        <f t="shared" si="225"/>
        <v>33.239999999999995</v>
      </c>
      <c r="L215" s="53">
        <f t="shared" si="225"/>
        <v>32.477914623069928</v>
      </c>
      <c r="M215" s="53">
        <f t="shared" si="225"/>
        <v>31.774202724905628</v>
      </c>
      <c r="N215" s="53">
        <f t="shared" si="225"/>
        <v>31.124393070227718</v>
      </c>
      <c r="O215" s="53">
        <f t="shared" si="225"/>
        <v>30.524356907113091</v>
      </c>
      <c r="P215" s="53">
        <f t="shared" si="225"/>
        <v>29.970281733785924</v>
      </c>
      <c r="Q215" s="53">
        <f t="shared" si="225"/>
        <v>29.458647074794751</v>
      </c>
      <c r="R215" s="53">
        <f t="shared" si="225"/>
        <v>28.986202112662426</v>
      </c>
      <c r="S215" s="53">
        <f t="shared" si="225"/>
        <v>28.549945032885375</v>
      </c>
      <c r="T215" s="53">
        <f t="shared" si="225"/>
        <v>28.147103951044624</v>
      </c>
      <c r="U215" s="53">
        <f t="shared" si="225"/>
        <v>27.775119300843503</v>
      </c>
    </row>
    <row r="216" spans="1:21" s="52" customFormat="1" x14ac:dyDescent="0.25">
      <c r="A216"/>
      <c r="B216"/>
      <c r="C216"/>
    </row>
    <row r="217" spans="1:21" s="52" customFormat="1" x14ac:dyDescent="0.25">
      <c r="A217"/>
      <c r="B217"/>
      <c r="C217"/>
    </row>
    <row r="218" spans="1:21" s="52" customFormat="1" x14ac:dyDescent="0.25">
      <c r="A218"/>
      <c r="B218"/>
      <c r="C218"/>
      <c r="D218" s="51" t="s">
        <v>184</v>
      </c>
    </row>
    <row r="219" spans="1:21" s="52" customFormat="1" x14ac:dyDescent="0.25">
      <c r="A219"/>
      <c r="B219"/>
      <c r="C219"/>
      <c r="D219" s="51" t="s">
        <v>151</v>
      </c>
      <c r="K219" s="52">
        <v>84.52</v>
      </c>
      <c r="L219" s="52">
        <f>K223</f>
        <v>109.55</v>
      </c>
      <c r="M219" s="52">
        <f t="shared" ref="M219:U219" si="226">L223</f>
        <v>146.28656708590597</v>
      </c>
      <c r="N219" s="52">
        <f t="shared" si="226"/>
        <v>184.46626815847736</v>
      </c>
      <c r="O219" s="52">
        <f t="shared" si="226"/>
        <v>224.12628449797108</v>
      </c>
      <c r="P219" s="52">
        <f t="shared" si="226"/>
        <v>265.22403722744241</v>
      </c>
      <c r="Q219" s="52">
        <f t="shared" si="226"/>
        <v>307.72714716684698</v>
      </c>
      <c r="R219" s="52">
        <f t="shared" si="226"/>
        <v>351.61296916665481</v>
      </c>
      <c r="S219" s="52">
        <f t="shared" si="226"/>
        <v>396.86814351536225</v>
      </c>
      <c r="T219" s="52">
        <f t="shared" si="226"/>
        <v>443.47915489989327</v>
      </c>
      <c r="U219" s="52">
        <f t="shared" si="226"/>
        <v>491.43503382094809</v>
      </c>
    </row>
    <row r="220" spans="1:21" s="52" customFormat="1" x14ac:dyDescent="0.25">
      <c r="A220"/>
      <c r="B220"/>
      <c r="C220"/>
      <c r="D220" s="52" t="s">
        <v>152</v>
      </c>
      <c r="J220" s="52">
        <v>84.52</v>
      </c>
      <c r="K220" s="52">
        <v>25.03</v>
      </c>
      <c r="L220" s="52">
        <f>K220/K$280*L$298</f>
        <v>36.736567085905989</v>
      </c>
      <c r="M220" s="52">
        <f t="shared" ref="M220:U220" si="227">L220/L$280*M$298</f>
        <v>38.179701072571376</v>
      </c>
      <c r="N220" s="52">
        <f t="shared" si="227"/>
        <v>39.660016339493716</v>
      </c>
      <c r="O220" s="52">
        <f t="shared" si="227"/>
        <v>41.097752729471338</v>
      </c>
      <c r="P220" s="52">
        <f t="shared" si="227"/>
        <v>42.503109939404567</v>
      </c>
      <c r="Q220" s="52">
        <f t="shared" si="227"/>
        <v>43.88582199980781</v>
      </c>
      <c r="R220" s="52">
        <f t="shared" si="227"/>
        <v>45.255174348707413</v>
      </c>
      <c r="S220" s="52">
        <f t="shared" si="227"/>
        <v>46.611011384530997</v>
      </c>
      <c r="T220" s="52">
        <f t="shared" si="227"/>
        <v>47.955878921054797</v>
      </c>
      <c r="U220" s="52">
        <f t="shared" si="227"/>
        <v>49.290345417085071</v>
      </c>
    </row>
    <row r="221" spans="1:21" s="52" customFormat="1" x14ac:dyDescent="0.25">
      <c r="A221"/>
      <c r="B221"/>
      <c r="C221"/>
      <c r="D221" s="52" t="s">
        <v>155</v>
      </c>
      <c r="L221" s="52">
        <v>0</v>
      </c>
      <c r="M221" s="52">
        <v>0</v>
      </c>
      <c r="N221" s="52">
        <v>0</v>
      </c>
      <c r="O221" s="52">
        <v>0</v>
      </c>
      <c r="P221" s="52">
        <v>0</v>
      </c>
      <c r="Q221" s="52">
        <v>0</v>
      </c>
      <c r="R221" s="52">
        <v>0</v>
      </c>
      <c r="S221" s="52">
        <v>0</v>
      </c>
      <c r="T221" s="52">
        <v>0</v>
      </c>
      <c r="U221" s="52">
        <v>0</v>
      </c>
    </row>
    <row r="222" spans="1:21" s="52" customFormat="1" x14ac:dyDescent="0.25">
      <c r="A222"/>
      <c r="B222"/>
      <c r="C222"/>
      <c r="D222" s="52" t="s">
        <v>153</v>
      </c>
      <c r="L222" s="52">
        <v>0</v>
      </c>
      <c r="M222" s="52">
        <v>0</v>
      </c>
      <c r="N222" s="52">
        <v>0</v>
      </c>
      <c r="O222" s="52">
        <v>0</v>
      </c>
      <c r="P222" s="52">
        <v>0</v>
      </c>
      <c r="Q222" s="52">
        <v>0</v>
      </c>
      <c r="R222" s="52">
        <v>0</v>
      </c>
      <c r="S222" s="52">
        <v>0</v>
      </c>
      <c r="T222" s="52">
        <v>0</v>
      </c>
      <c r="U222" s="52">
        <v>0</v>
      </c>
    </row>
    <row r="223" spans="1:21" s="52" customFormat="1" x14ac:dyDescent="0.25">
      <c r="A223"/>
      <c r="B223"/>
      <c r="C223"/>
      <c r="D223" s="51" t="s">
        <v>154</v>
      </c>
      <c r="G223" s="51"/>
      <c r="J223" s="51">
        <f>J219+J220+J221-J222</f>
        <v>84.52</v>
      </c>
      <c r="K223" s="51">
        <f>K219+K220+K221-K222</f>
        <v>109.55</v>
      </c>
      <c r="L223" s="51">
        <f t="shared" ref="L223:U223" si="228">L219+L220+L221-L222</f>
        <v>146.28656708590597</v>
      </c>
      <c r="M223" s="51">
        <f t="shared" si="228"/>
        <v>184.46626815847736</v>
      </c>
      <c r="N223" s="51">
        <f t="shared" si="228"/>
        <v>224.12628449797108</v>
      </c>
      <c r="O223" s="51">
        <f t="shared" si="228"/>
        <v>265.22403722744241</v>
      </c>
      <c r="P223" s="51">
        <f t="shared" si="228"/>
        <v>307.72714716684698</v>
      </c>
      <c r="Q223" s="51">
        <f t="shared" si="228"/>
        <v>351.61296916665481</v>
      </c>
      <c r="R223" s="51">
        <f t="shared" si="228"/>
        <v>396.86814351536225</v>
      </c>
      <c r="S223" s="51">
        <f t="shared" si="228"/>
        <v>443.47915489989327</v>
      </c>
      <c r="T223" s="51">
        <f t="shared" si="228"/>
        <v>491.43503382094809</v>
      </c>
      <c r="U223" s="51">
        <f t="shared" si="228"/>
        <v>540.72537923803316</v>
      </c>
    </row>
    <row r="224" spans="1:21" s="52" customFormat="1" x14ac:dyDescent="0.25">
      <c r="A224"/>
      <c r="B224"/>
      <c r="C224"/>
      <c r="D224" s="52" t="s">
        <v>157</v>
      </c>
      <c r="K224" s="52">
        <v>5.14</v>
      </c>
      <c r="L224" s="52">
        <f>SUM(K224:K227)</f>
        <v>7.93</v>
      </c>
      <c r="M224" s="52">
        <f t="shared" ref="M224:U224" si="229">SUM(L224:L227)</f>
        <v>11.501678004535147</v>
      </c>
      <c r="N224" s="52">
        <f t="shared" si="229"/>
        <v>16.239015375875844</v>
      </c>
      <c r="O224" s="52">
        <f t="shared" si="229"/>
        <v>22.151764623336895</v>
      </c>
      <c r="P224" s="52">
        <f t="shared" si="229"/>
        <v>29.250642306005446</v>
      </c>
      <c r="Q224" s="52">
        <f t="shared" si="229"/>
        <v>37.544491787371143</v>
      </c>
      <c r="R224" s="52">
        <f t="shared" si="229"/>
        <v>47.040707566014852</v>
      </c>
      <c r="S224" s="52">
        <f t="shared" si="229"/>
        <v>57.74562832522102</v>
      </c>
      <c r="T224" s="52">
        <f t="shared" si="229"/>
        <v>69.664900401064983</v>
      </c>
      <c r="U224" s="52">
        <f t="shared" si="229"/>
        <v>82.803496647622438</v>
      </c>
    </row>
    <row r="225" spans="1:21" s="52" customFormat="1" x14ac:dyDescent="0.25">
      <c r="A225"/>
      <c r="B225"/>
      <c r="C225"/>
      <c r="D225" s="52" t="s">
        <v>158</v>
      </c>
      <c r="J225" s="52">
        <v>5.14</v>
      </c>
      <c r="K225" s="52">
        <v>2.79</v>
      </c>
      <c r="L225" s="52">
        <f>K225/J228*K228</f>
        <v>3.5716780045351473</v>
      </c>
      <c r="M225" s="52">
        <f t="shared" ref="M225:U225" si="230">L225/K228*L228</f>
        <v>4.7373373713406979</v>
      </c>
      <c r="N225" s="52">
        <f t="shared" si="230"/>
        <v>5.9127492474610523</v>
      </c>
      <c r="O225" s="52">
        <f t="shared" si="230"/>
        <v>7.0988776826685491</v>
      </c>
      <c r="P225" s="52">
        <f t="shared" si="230"/>
        <v>8.2938494813656991</v>
      </c>
      <c r="Q225" s="52">
        <f t="shared" si="230"/>
        <v>9.4962157786437107</v>
      </c>
      <c r="R225" s="52">
        <f t="shared" si="230"/>
        <v>10.704920759206168</v>
      </c>
      <c r="S225" s="52">
        <f t="shared" si="230"/>
        <v>11.919272075843969</v>
      </c>
      <c r="T225" s="52">
        <f t="shared" si="230"/>
        <v>13.13859624655746</v>
      </c>
      <c r="U225" s="52">
        <f t="shared" si="230"/>
        <v>14.362332939198524</v>
      </c>
    </row>
    <row r="226" spans="1:21" s="52" customFormat="1" x14ac:dyDescent="0.25">
      <c r="A226"/>
      <c r="B226"/>
      <c r="C226"/>
      <c r="D226" s="52" t="s">
        <v>159</v>
      </c>
      <c r="L226" s="52">
        <v>0</v>
      </c>
      <c r="M226" s="52">
        <v>0</v>
      </c>
      <c r="N226" s="52">
        <v>0</v>
      </c>
      <c r="O226" s="52">
        <v>0</v>
      </c>
      <c r="P226" s="52">
        <v>0</v>
      </c>
      <c r="Q226" s="52">
        <v>0</v>
      </c>
      <c r="R226" s="52">
        <v>0</v>
      </c>
      <c r="S226" s="52">
        <v>0</v>
      </c>
      <c r="T226" s="52">
        <v>0</v>
      </c>
      <c r="U226" s="52">
        <v>0</v>
      </c>
    </row>
    <row r="227" spans="1:21" s="52" customFormat="1" x14ac:dyDescent="0.25">
      <c r="A227"/>
      <c r="B227"/>
      <c r="C227"/>
      <c r="D227" s="52" t="s">
        <v>161</v>
      </c>
      <c r="L227" s="52">
        <v>0</v>
      </c>
      <c r="M227" s="52">
        <v>0</v>
      </c>
      <c r="N227" s="52">
        <v>0</v>
      </c>
      <c r="O227" s="52">
        <v>0</v>
      </c>
      <c r="P227" s="52">
        <v>0</v>
      </c>
      <c r="Q227" s="52">
        <v>0</v>
      </c>
      <c r="R227" s="52">
        <v>0</v>
      </c>
      <c r="S227" s="52">
        <v>0</v>
      </c>
      <c r="T227" s="52">
        <v>0</v>
      </c>
      <c r="U227" s="52">
        <v>0</v>
      </c>
    </row>
    <row r="228" spans="1:21" s="55" customFormat="1" x14ac:dyDescent="0.25">
      <c r="A228"/>
      <c r="B228"/>
      <c r="C228"/>
      <c r="D228" s="53" t="s">
        <v>160</v>
      </c>
      <c r="G228" s="53"/>
      <c r="J228" s="53">
        <f>J223-J224-J225+J226-J227</f>
        <v>79.38</v>
      </c>
      <c r="K228" s="53">
        <f>K223-K224-K225+K226-K227</f>
        <v>101.61999999999999</v>
      </c>
      <c r="L228" s="53">
        <f t="shared" ref="L228:U228" si="231">L223-L224-L225+L226-L227</f>
        <v>134.78488908137081</v>
      </c>
      <c r="M228" s="53">
        <f t="shared" si="231"/>
        <v>168.22725278260154</v>
      </c>
      <c r="N228" s="53">
        <f t="shared" si="231"/>
        <v>201.97451987463418</v>
      </c>
      <c r="O228" s="53">
        <f t="shared" si="231"/>
        <v>235.97339492143695</v>
      </c>
      <c r="P228" s="53">
        <f t="shared" si="231"/>
        <v>270.18265537947582</v>
      </c>
      <c r="Q228" s="53">
        <f t="shared" si="231"/>
        <v>304.57226160063993</v>
      </c>
      <c r="R228" s="53">
        <f t="shared" si="231"/>
        <v>339.1225151901412</v>
      </c>
      <c r="S228" s="53">
        <f t="shared" si="231"/>
        <v>373.81425449882829</v>
      </c>
      <c r="T228" s="53">
        <f t="shared" si="231"/>
        <v>408.63153717332563</v>
      </c>
      <c r="U228" s="53">
        <f t="shared" si="231"/>
        <v>443.55954965121225</v>
      </c>
    </row>
    <row r="229" spans="1:21" s="52" customFormat="1" x14ac:dyDescent="0.25">
      <c r="A229"/>
      <c r="B229"/>
      <c r="C229"/>
    </row>
    <row r="230" spans="1:21" s="52" customFormat="1" x14ac:dyDescent="0.25">
      <c r="A230"/>
      <c r="B230"/>
      <c r="C230"/>
    </row>
    <row r="231" spans="1:21" s="58" customFormat="1" x14ac:dyDescent="0.25">
      <c r="A231"/>
      <c r="B231"/>
      <c r="C231"/>
      <c r="D231" s="56" t="s">
        <v>176</v>
      </c>
    </row>
    <row r="232" spans="1:21" s="52" customFormat="1" x14ac:dyDescent="0.25">
      <c r="A232"/>
      <c r="B232"/>
      <c r="C232"/>
      <c r="D232" s="51" t="s">
        <v>151</v>
      </c>
      <c r="G232" s="52">
        <f>G141+G154+G167+G180+G193+G206+G219</f>
        <v>6127.0499999999993</v>
      </c>
      <c r="H232" s="52">
        <f t="shared" ref="H232:I232" si="232">H141+H154+H167+H180+H193+H206+H219</f>
        <v>6179.08</v>
      </c>
      <c r="I232" s="52">
        <f t="shared" si="232"/>
        <v>6269.97</v>
      </c>
      <c r="J232" s="52">
        <f>J141+J154+J167+J180+J193+J206+J219</f>
        <v>6342.7800000000007</v>
      </c>
      <c r="K232" s="52">
        <f t="shared" ref="K232:U232" si="233">K141+K154+K167+K180+K193+K206+K219</f>
        <v>6651.63</v>
      </c>
      <c r="L232" s="52">
        <f t="shared" si="233"/>
        <v>6759.329999999999</v>
      </c>
      <c r="M232" s="52">
        <f t="shared" si="233"/>
        <v>6944.2163255055857</v>
      </c>
      <c r="N232" s="52">
        <f t="shared" si="233"/>
        <v>7135.6885458322668</v>
      </c>
      <c r="O232" s="52">
        <f t="shared" si="233"/>
        <v>7335.6941464561787</v>
      </c>
      <c r="P232" s="52">
        <f t="shared" si="233"/>
        <v>7542.5071113888098</v>
      </c>
      <c r="Q232" s="52">
        <f t="shared" si="233"/>
        <v>7755.7128755245367</v>
      </c>
      <c r="R232" s="52">
        <f t="shared" si="233"/>
        <v>7976.4859426384501</v>
      </c>
      <c r="S232" s="52">
        <f t="shared" si="233"/>
        <v>8204.130384359969</v>
      </c>
      <c r="T232" s="52">
        <f t="shared" si="233"/>
        <v>8438.7095731155368</v>
      </c>
      <c r="U232" s="52">
        <f t="shared" si="233"/>
        <v>8679.9742141717561</v>
      </c>
    </row>
    <row r="233" spans="1:21" s="52" customFormat="1" x14ac:dyDescent="0.25">
      <c r="A233"/>
      <c r="B233"/>
      <c r="C233"/>
      <c r="D233" s="52" t="s">
        <v>152</v>
      </c>
      <c r="G233" s="52">
        <f t="shared" ref="G233:J241" si="234">G142+G155+G168+G181+G194+G207+G220</f>
        <v>58.72</v>
      </c>
      <c r="H233" s="52">
        <f t="shared" si="234"/>
        <v>102.68</v>
      </c>
      <c r="I233" s="52">
        <f t="shared" si="234"/>
        <v>71.649999999999991</v>
      </c>
      <c r="J233" s="52">
        <f t="shared" si="234"/>
        <v>328.65999999999997</v>
      </c>
      <c r="K233" s="52">
        <f t="shared" ref="K233:U233" si="235">K142+K155+K168+K181+K194+K207+K220</f>
        <v>126.59</v>
      </c>
      <c r="L233" s="52">
        <f t="shared" si="235"/>
        <v>185.79632550558685</v>
      </c>
      <c r="M233" s="52">
        <f t="shared" si="235"/>
        <v>193.09502032668041</v>
      </c>
      <c r="N233" s="52">
        <f t="shared" si="235"/>
        <v>200.58176062391169</v>
      </c>
      <c r="O233" s="52">
        <f t="shared" si="235"/>
        <v>207.85315693263192</v>
      </c>
      <c r="P233" s="52">
        <f t="shared" si="235"/>
        <v>214.96079453572608</v>
      </c>
      <c r="Q233" s="52">
        <f t="shared" si="235"/>
        <v>221.95390359391413</v>
      </c>
      <c r="R233" s="52">
        <f t="shared" si="235"/>
        <v>228.87944549751785</v>
      </c>
      <c r="S233" s="52">
        <f t="shared" si="235"/>
        <v>235.73663328676705</v>
      </c>
      <c r="T233" s="52">
        <f t="shared" si="235"/>
        <v>242.53834249366071</v>
      </c>
      <c r="U233" s="52">
        <f t="shared" si="235"/>
        <v>249.28744811621254</v>
      </c>
    </row>
    <row r="234" spans="1:21" s="52" customFormat="1" x14ac:dyDescent="0.25">
      <c r="A234"/>
      <c r="B234"/>
      <c r="C234"/>
      <c r="D234" s="52" t="s">
        <v>155</v>
      </c>
      <c r="G234" s="52">
        <f t="shared" si="234"/>
        <v>5.39</v>
      </c>
      <c r="H234" s="52">
        <f t="shared" si="234"/>
        <v>-2</v>
      </c>
      <c r="I234" s="52">
        <f t="shared" si="234"/>
        <v>2.1</v>
      </c>
      <c r="J234" s="52">
        <f t="shared" si="234"/>
        <v>5</v>
      </c>
      <c r="K234" s="52">
        <f t="shared" ref="K234:U234" si="236">K143+K156+K169+K182+K195+K208+K221</f>
        <v>3.22</v>
      </c>
      <c r="L234" s="52">
        <f t="shared" si="236"/>
        <v>2.6840000000000002</v>
      </c>
      <c r="M234" s="52">
        <f t="shared" si="236"/>
        <v>2.6840000000000002</v>
      </c>
      <c r="N234" s="52">
        <f t="shared" si="236"/>
        <v>2.6840000000000002</v>
      </c>
      <c r="O234" s="52">
        <f t="shared" si="236"/>
        <v>2.6840000000000002</v>
      </c>
      <c r="P234" s="52">
        <f t="shared" si="236"/>
        <v>2.6840000000000002</v>
      </c>
      <c r="Q234" s="52">
        <f t="shared" si="236"/>
        <v>2.6840000000000002</v>
      </c>
      <c r="R234" s="52">
        <f t="shared" si="236"/>
        <v>2.6840000000000002</v>
      </c>
      <c r="S234" s="52">
        <f t="shared" si="236"/>
        <v>2.6840000000000002</v>
      </c>
      <c r="T234" s="52">
        <f t="shared" si="236"/>
        <v>2.6840000000000002</v>
      </c>
      <c r="U234" s="52">
        <f t="shared" si="236"/>
        <v>2.6840000000000002</v>
      </c>
    </row>
    <row r="235" spans="1:21" s="52" customFormat="1" x14ac:dyDescent="0.25">
      <c r="A235"/>
      <c r="B235"/>
      <c r="C235"/>
      <c r="D235" s="52" t="s">
        <v>153</v>
      </c>
      <c r="G235" s="52">
        <f t="shared" si="234"/>
        <v>12.08</v>
      </c>
      <c r="H235" s="52">
        <f t="shared" si="234"/>
        <v>9.7899999999999991</v>
      </c>
      <c r="I235" s="52">
        <f t="shared" si="234"/>
        <v>0.94</v>
      </c>
      <c r="J235" s="52">
        <f t="shared" si="234"/>
        <v>24.81</v>
      </c>
      <c r="K235" s="52">
        <f t="shared" ref="K235:U235" si="237">K144+K157+K170+K183+K196+K209+K222</f>
        <v>22.110000000000003</v>
      </c>
      <c r="L235" s="52">
        <f t="shared" si="237"/>
        <v>3.5939999999999999</v>
      </c>
      <c r="M235" s="52">
        <f t="shared" si="237"/>
        <v>4.3068</v>
      </c>
      <c r="N235" s="52">
        <f t="shared" si="237"/>
        <v>3.2601599999999999</v>
      </c>
      <c r="O235" s="52">
        <f t="shared" si="237"/>
        <v>3.7241919999999999</v>
      </c>
      <c r="P235" s="52">
        <f t="shared" si="237"/>
        <v>4.4390303999999992</v>
      </c>
      <c r="Q235" s="52">
        <f t="shared" si="237"/>
        <v>3.8648364799999997</v>
      </c>
      <c r="R235" s="52">
        <f t="shared" si="237"/>
        <v>3.9190037760000003</v>
      </c>
      <c r="S235" s="52">
        <f t="shared" si="237"/>
        <v>3.8414445311999996</v>
      </c>
      <c r="T235" s="52">
        <f t="shared" si="237"/>
        <v>3.9577014374399995</v>
      </c>
      <c r="U235" s="52">
        <f t="shared" si="237"/>
        <v>4.004403324928</v>
      </c>
    </row>
    <row r="236" spans="1:21" s="52" customFormat="1" x14ac:dyDescent="0.25">
      <c r="A236"/>
      <c r="B236"/>
      <c r="C236"/>
      <c r="D236" s="51" t="s">
        <v>154</v>
      </c>
      <c r="G236" s="52">
        <f t="shared" si="234"/>
        <v>6179.08</v>
      </c>
      <c r="H236" s="52">
        <f t="shared" si="234"/>
        <v>6269.97</v>
      </c>
      <c r="I236" s="52">
        <f t="shared" si="234"/>
        <v>6342.7800000000007</v>
      </c>
      <c r="J236" s="52">
        <f t="shared" si="234"/>
        <v>6651.63</v>
      </c>
      <c r="K236" s="52">
        <f t="shared" ref="K236:U236" si="238">K145+K158+K171+K184+K197+K210+K223</f>
        <v>6759.329999999999</v>
      </c>
      <c r="L236" s="52">
        <f t="shared" si="238"/>
        <v>6944.2163255055857</v>
      </c>
      <c r="M236" s="52">
        <f t="shared" si="238"/>
        <v>7135.6885458322668</v>
      </c>
      <c r="N236" s="52">
        <f t="shared" si="238"/>
        <v>7335.6941464561787</v>
      </c>
      <c r="O236" s="52">
        <f t="shared" si="238"/>
        <v>7542.5071113888098</v>
      </c>
      <c r="P236" s="52">
        <f t="shared" si="238"/>
        <v>7755.7128755245367</v>
      </c>
      <c r="Q236" s="52">
        <f t="shared" si="238"/>
        <v>7976.4859426384501</v>
      </c>
      <c r="R236" s="52">
        <f t="shared" si="238"/>
        <v>8204.130384359969</v>
      </c>
      <c r="S236" s="52">
        <f t="shared" si="238"/>
        <v>8438.7095731155368</v>
      </c>
      <c r="T236" s="52">
        <f t="shared" si="238"/>
        <v>8679.9742141717561</v>
      </c>
      <c r="U236" s="52">
        <f t="shared" si="238"/>
        <v>8927.9412589630392</v>
      </c>
    </row>
    <row r="237" spans="1:21" s="52" customFormat="1" x14ac:dyDescent="0.25">
      <c r="A237"/>
      <c r="B237"/>
      <c r="C237"/>
      <c r="D237" s="52" t="s">
        <v>157</v>
      </c>
      <c r="G237" s="52">
        <f t="shared" si="234"/>
        <v>349.06000000000006</v>
      </c>
      <c r="H237" s="52">
        <f t="shared" si="234"/>
        <v>562.01</v>
      </c>
      <c r="I237" s="52">
        <f t="shared" si="234"/>
        <v>703.56000000000006</v>
      </c>
      <c r="J237" s="52">
        <f t="shared" si="234"/>
        <v>876.21</v>
      </c>
      <c r="K237" s="52">
        <f t="shared" ref="K237:U237" si="239">K146+K159+K172+K185+K198+K211+K224</f>
        <v>1072.5300000000002</v>
      </c>
      <c r="L237" s="52">
        <f t="shared" si="239"/>
        <v>1273.0700000000002</v>
      </c>
      <c r="M237" s="52">
        <f t="shared" si="239"/>
        <v>1507.8859273857997</v>
      </c>
      <c r="N237" s="52">
        <f t="shared" si="239"/>
        <v>1737.5028542417238</v>
      </c>
      <c r="O237" s="52">
        <f t="shared" si="239"/>
        <v>1978.0708691114223</v>
      </c>
      <c r="P237" s="52">
        <f t="shared" si="239"/>
        <v>2227.6399255309798</v>
      </c>
      <c r="Q237" s="52">
        <f t="shared" si="239"/>
        <v>2484.1206438698982</v>
      </c>
      <c r="R237" s="52">
        <f t="shared" si="239"/>
        <v>2746.3228866839204</v>
      </c>
      <c r="S237" s="52">
        <f t="shared" si="239"/>
        <v>3014.4685927845399</v>
      </c>
      <c r="T237" s="52">
        <f t="shared" si="239"/>
        <v>3288.0638927520836</v>
      </c>
      <c r="U237" s="52">
        <f t="shared" si="239"/>
        <v>3566.9158369810812</v>
      </c>
    </row>
    <row r="238" spans="1:21" s="52" customFormat="1" x14ac:dyDescent="0.25">
      <c r="A238"/>
      <c r="B238"/>
      <c r="C238"/>
      <c r="D238" s="52" t="s">
        <v>158</v>
      </c>
      <c r="G238" s="52">
        <f t="shared" si="234"/>
        <v>216.38</v>
      </c>
      <c r="H238" s="52">
        <f t="shared" si="234"/>
        <v>151.78</v>
      </c>
      <c r="I238" s="52">
        <f t="shared" si="234"/>
        <v>172.70999999999998</v>
      </c>
      <c r="J238" s="52">
        <f t="shared" si="234"/>
        <v>194.92000000000002</v>
      </c>
      <c r="K238" s="52">
        <f t="shared" ref="K238:U238" si="240">K147+K160+K173+K186+K199+K212+K225</f>
        <v>198.31</v>
      </c>
      <c r="L238" s="52">
        <f t="shared" si="240"/>
        <v>219.00792738579983</v>
      </c>
      <c r="M238" s="52">
        <f t="shared" si="240"/>
        <v>213.80892685592369</v>
      </c>
      <c r="N238" s="52">
        <f t="shared" si="240"/>
        <v>224.76001486969872</v>
      </c>
      <c r="O238" s="52">
        <f t="shared" si="240"/>
        <v>233.76105641955755</v>
      </c>
      <c r="P238" s="52">
        <f t="shared" si="240"/>
        <v>240.67271833891868</v>
      </c>
      <c r="Q238" s="52">
        <f t="shared" si="240"/>
        <v>246.39424281402177</v>
      </c>
      <c r="R238" s="52">
        <f t="shared" si="240"/>
        <v>252.33770610062015</v>
      </c>
      <c r="S238" s="52">
        <f t="shared" si="240"/>
        <v>257.78729996754282</v>
      </c>
      <c r="T238" s="52">
        <f t="shared" si="240"/>
        <v>263.04394422899742</v>
      </c>
      <c r="U238" s="52">
        <f t="shared" si="240"/>
        <v>268.02971133511028</v>
      </c>
    </row>
    <row r="239" spans="1:21" s="52" customFormat="1" x14ac:dyDescent="0.25">
      <c r="A239"/>
      <c r="B239"/>
      <c r="C239"/>
      <c r="D239" s="52" t="s">
        <v>159</v>
      </c>
      <c r="G239" s="52">
        <f t="shared" si="234"/>
        <v>5.03</v>
      </c>
      <c r="H239" s="52">
        <f t="shared" si="234"/>
        <v>9.5399999999999991</v>
      </c>
      <c r="I239" s="52">
        <f t="shared" si="234"/>
        <v>0.93</v>
      </c>
      <c r="J239" s="52">
        <f t="shared" si="234"/>
        <v>0.88</v>
      </c>
      <c r="K239" s="52">
        <f t="shared" ref="K239:U239" si="241">K148+K161+K174+K187+K200+K213+K226</f>
        <v>1.7500000000000071</v>
      </c>
      <c r="L239" s="52">
        <f t="shared" si="241"/>
        <v>14.907999999999999</v>
      </c>
      <c r="M239" s="52">
        <f t="shared" si="241"/>
        <v>14.907999999999999</v>
      </c>
      <c r="N239" s="52">
        <f t="shared" si="241"/>
        <v>14.907999999999999</v>
      </c>
      <c r="O239" s="52">
        <f t="shared" si="241"/>
        <v>14.907999999999999</v>
      </c>
      <c r="P239" s="52">
        <f t="shared" si="241"/>
        <v>14.907999999999999</v>
      </c>
      <c r="Q239" s="52">
        <f t="shared" si="241"/>
        <v>14.907999999999999</v>
      </c>
      <c r="R239" s="52">
        <f t="shared" si="241"/>
        <v>14.907999999999999</v>
      </c>
      <c r="S239" s="52">
        <f t="shared" si="241"/>
        <v>14.907999999999999</v>
      </c>
      <c r="T239" s="52">
        <f t="shared" si="241"/>
        <v>14.907999999999999</v>
      </c>
      <c r="U239" s="52">
        <f t="shared" si="241"/>
        <v>14.907999999999999</v>
      </c>
    </row>
    <row r="240" spans="1:21" s="52" customFormat="1" x14ac:dyDescent="0.25">
      <c r="A240"/>
      <c r="B240"/>
      <c r="C240"/>
      <c r="D240" s="52" t="s">
        <v>161</v>
      </c>
      <c r="G240" s="52">
        <f t="shared" si="234"/>
        <v>1.6</v>
      </c>
      <c r="H240" s="52">
        <f t="shared" si="234"/>
        <v>-0.69</v>
      </c>
      <c r="I240" s="52">
        <f t="shared" si="234"/>
        <v>0.87</v>
      </c>
      <c r="J240" s="52">
        <f t="shared" si="234"/>
        <v>2.2799999999999998</v>
      </c>
      <c r="K240" s="52">
        <f t="shared" ref="K240:U240" si="242">K149+K162+K175+K188+K201+K214+K227</f>
        <v>0.48</v>
      </c>
      <c r="L240" s="52">
        <f t="shared" si="242"/>
        <v>0.9</v>
      </c>
      <c r="M240" s="52">
        <f t="shared" si="242"/>
        <v>0.9</v>
      </c>
      <c r="N240" s="52">
        <f t="shared" si="242"/>
        <v>0.9</v>
      </c>
      <c r="O240" s="52">
        <f t="shared" si="242"/>
        <v>0.9</v>
      </c>
      <c r="P240" s="52">
        <f t="shared" si="242"/>
        <v>0.9</v>
      </c>
      <c r="Q240" s="52">
        <f t="shared" si="242"/>
        <v>0.9</v>
      </c>
      <c r="R240" s="52">
        <f t="shared" si="242"/>
        <v>0.9</v>
      </c>
      <c r="S240" s="52">
        <f t="shared" si="242"/>
        <v>0.9</v>
      </c>
      <c r="T240" s="52">
        <f t="shared" si="242"/>
        <v>0.9</v>
      </c>
      <c r="U240" s="52">
        <f t="shared" si="242"/>
        <v>0.9</v>
      </c>
    </row>
    <row r="241" spans="1:21" s="55" customFormat="1" x14ac:dyDescent="0.25">
      <c r="A241"/>
      <c r="B241"/>
      <c r="C241"/>
      <c r="D241" s="53" t="s">
        <v>160</v>
      </c>
      <c r="G241" s="55">
        <f t="shared" si="234"/>
        <v>5617.07</v>
      </c>
      <c r="H241" s="55">
        <f t="shared" si="234"/>
        <v>5566.41</v>
      </c>
      <c r="I241" s="55">
        <f t="shared" si="234"/>
        <v>5466.57</v>
      </c>
      <c r="J241" s="55">
        <f t="shared" si="234"/>
        <v>5579.0999999999995</v>
      </c>
      <c r="K241" s="55">
        <f t="shared" ref="K241:U241" si="243">K150+K163+K176+K189+K202+K215+K228</f>
        <v>5489.7599999999993</v>
      </c>
      <c r="L241" s="55">
        <f t="shared" si="243"/>
        <v>5466.1463981197867</v>
      </c>
      <c r="M241" s="55">
        <f t="shared" si="243"/>
        <v>5428.0016915905435</v>
      </c>
      <c r="N241" s="55">
        <f t="shared" si="243"/>
        <v>5387.4392773447562</v>
      </c>
      <c r="O241" s="55">
        <f t="shared" si="243"/>
        <v>5344.6831858578307</v>
      </c>
      <c r="P241" s="55">
        <f t="shared" si="243"/>
        <v>5301.4082316546373</v>
      </c>
      <c r="Q241" s="55">
        <f t="shared" si="243"/>
        <v>5259.9790559545299</v>
      </c>
      <c r="R241" s="55">
        <f t="shared" si="243"/>
        <v>5219.4777915754275</v>
      </c>
      <c r="S241" s="55">
        <f t="shared" si="243"/>
        <v>5180.4616803634517</v>
      </c>
      <c r="T241" s="55">
        <f t="shared" si="243"/>
        <v>5142.8743771906757</v>
      </c>
      <c r="U241" s="55">
        <f t="shared" si="243"/>
        <v>5107.003710646849</v>
      </c>
    </row>
    <row r="242" spans="1:21" s="52" customFormat="1" x14ac:dyDescent="0.25">
      <c r="A242"/>
      <c r="B242"/>
      <c r="C242"/>
    </row>
    <row r="243" spans="1:21" s="52" customFormat="1" x14ac:dyDescent="0.25">
      <c r="A243"/>
      <c r="B243"/>
      <c r="C243"/>
    </row>
    <row r="244" spans="1:21" s="52" customFormat="1" x14ac:dyDescent="0.25">
      <c r="A244"/>
      <c r="B244"/>
      <c r="C244"/>
      <c r="D244" s="51" t="s">
        <v>41</v>
      </c>
    </row>
    <row r="245" spans="1:21" s="51" customFormat="1" x14ac:dyDescent="0.25">
      <c r="A245" s="1"/>
      <c r="B245" s="1"/>
      <c r="C245" s="1"/>
      <c r="D245" s="51" t="s">
        <v>151</v>
      </c>
      <c r="G245" s="51">
        <v>978.49</v>
      </c>
      <c r="H245" s="51">
        <v>1441.1</v>
      </c>
      <c r="I245" s="51">
        <f>H250</f>
        <v>1613.36</v>
      </c>
      <c r="J245" s="51">
        <f>I250</f>
        <v>1550.85</v>
      </c>
      <c r="K245" s="51">
        <f t="shared" ref="K245" si="244">J250</f>
        <v>1726.4699999999998</v>
      </c>
      <c r="L245" s="51">
        <f t="shared" ref="L245" si="245">K250</f>
        <v>1610.8699999999997</v>
      </c>
      <c r="M245" s="51">
        <f t="shared" ref="M245" si="246">L250</f>
        <v>1687.8781250015857</v>
      </c>
      <c r="N245" s="51">
        <f t="shared" ref="N245" si="247">M250</f>
        <v>1770.7250905477024</v>
      </c>
      <c r="O245" s="51">
        <f t="shared" ref="O245" si="248">N250</f>
        <v>1859.5613300483228</v>
      </c>
      <c r="P245" s="51">
        <f t="shared" ref="P245" si="249">O250</f>
        <v>1954.2145717148655</v>
      </c>
      <c r="Q245" s="51">
        <f t="shared" ref="Q245" si="250">P250</f>
        <v>2054.5538111700589</v>
      </c>
      <c r="R245" s="51">
        <f t="shared" ref="R245" si="251">Q250</f>
        <v>2160.4874273874193</v>
      </c>
      <c r="S245" s="51">
        <f t="shared" ref="S245" si="252">R250</f>
        <v>2271.961367710775</v>
      </c>
      <c r="T245" s="51">
        <f t="shared" ref="T245" si="253">S250</f>
        <v>2388.9209499285716</v>
      </c>
      <c r="U245" s="51">
        <f t="shared" ref="U245" si="254">T250</f>
        <v>2511.3217920514326</v>
      </c>
    </row>
    <row r="246" spans="1:21" s="52" customFormat="1" x14ac:dyDescent="0.25">
      <c r="A246"/>
      <c r="B246"/>
      <c r="C246"/>
      <c r="D246" s="52" t="s">
        <v>152</v>
      </c>
      <c r="G246" s="52">
        <v>132.13</v>
      </c>
      <c r="H246" s="52">
        <v>218.49</v>
      </c>
      <c r="I246" s="52">
        <v>81.61</v>
      </c>
      <c r="J246" s="52">
        <v>153.58000000000001</v>
      </c>
      <c r="K246" s="52">
        <v>101.27</v>
      </c>
      <c r="L246" s="52">
        <f>K246/K$280*L$298</f>
        <v>148.63412500158606</v>
      </c>
      <c r="M246" s="52">
        <f t="shared" ref="M246:U246" si="255">L246/L$280*M$298</f>
        <v>154.4729655461168</v>
      </c>
      <c r="N246" s="52">
        <f t="shared" si="255"/>
        <v>160.4622395006204</v>
      </c>
      <c r="O246" s="52">
        <f t="shared" si="255"/>
        <v>166.27924166654265</v>
      </c>
      <c r="P246" s="52">
        <f t="shared" si="255"/>
        <v>171.9652394551938</v>
      </c>
      <c r="Q246" s="52">
        <f t="shared" si="255"/>
        <v>177.55961621736066</v>
      </c>
      <c r="R246" s="52">
        <f t="shared" si="255"/>
        <v>183.09994032335598</v>
      </c>
      <c r="S246" s="52">
        <f t="shared" si="255"/>
        <v>188.58558221779683</v>
      </c>
      <c r="T246" s="52">
        <f t="shared" si="255"/>
        <v>194.02684212286135</v>
      </c>
      <c r="U246" s="52">
        <f t="shared" si="255"/>
        <v>199.4260199915384</v>
      </c>
    </row>
    <row r="247" spans="1:21" s="52" customFormat="1" x14ac:dyDescent="0.25">
      <c r="A247"/>
      <c r="B247"/>
      <c r="C247"/>
      <c r="D247" s="52" t="s">
        <v>155</v>
      </c>
      <c r="G247" s="52">
        <v>28.98</v>
      </c>
      <c r="H247" s="52">
        <v>-19.52</v>
      </c>
      <c r="I247" s="52">
        <v>-19.28</v>
      </c>
      <c r="J247" s="52">
        <v>22.04</v>
      </c>
      <c r="K247" s="52">
        <v>12.11</v>
      </c>
      <c r="L247" s="52">
        <f>AVERAGE(G247:K247)</f>
        <v>4.8659999999999997</v>
      </c>
      <c r="M247" s="52">
        <f>L247</f>
        <v>4.8659999999999997</v>
      </c>
      <c r="N247" s="52">
        <f t="shared" ref="N247:U247" si="256">M247</f>
        <v>4.8659999999999997</v>
      </c>
      <c r="O247" s="52">
        <f t="shared" si="256"/>
        <v>4.8659999999999997</v>
      </c>
      <c r="P247" s="52">
        <f t="shared" si="256"/>
        <v>4.8659999999999997</v>
      </c>
      <c r="Q247" s="52">
        <f t="shared" si="256"/>
        <v>4.8659999999999997</v>
      </c>
      <c r="R247" s="52">
        <f t="shared" si="256"/>
        <v>4.8659999999999997</v>
      </c>
      <c r="S247" s="52">
        <f t="shared" si="256"/>
        <v>4.8659999999999997</v>
      </c>
      <c r="T247" s="52">
        <f t="shared" si="256"/>
        <v>4.8659999999999997</v>
      </c>
      <c r="U247" s="52">
        <f t="shared" si="256"/>
        <v>4.8659999999999997</v>
      </c>
    </row>
    <row r="248" spans="1:21" s="52" customFormat="1" x14ac:dyDescent="0.25">
      <c r="A248"/>
      <c r="B248"/>
      <c r="C248"/>
      <c r="D248" s="59" t="s">
        <v>182</v>
      </c>
      <c r="G248" s="52">
        <v>301.14999999999998</v>
      </c>
      <c r="H248" s="52">
        <v>0</v>
      </c>
      <c r="I248" s="52">
        <v>0</v>
      </c>
      <c r="J248" s="52">
        <v>0</v>
      </c>
      <c r="K248" s="52">
        <v>0</v>
      </c>
      <c r="L248" s="52">
        <v>0</v>
      </c>
      <c r="M248" s="52">
        <f>L248</f>
        <v>0</v>
      </c>
      <c r="N248" s="52">
        <f t="shared" ref="N248:U248" si="257">M248</f>
        <v>0</v>
      </c>
      <c r="O248" s="52">
        <f t="shared" si="257"/>
        <v>0</v>
      </c>
      <c r="P248" s="52">
        <f t="shared" si="257"/>
        <v>0</v>
      </c>
      <c r="Q248" s="52">
        <f t="shared" si="257"/>
        <v>0</v>
      </c>
      <c r="R248" s="52">
        <f t="shared" si="257"/>
        <v>0</v>
      </c>
      <c r="S248" s="52">
        <f t="shared" si="257"/>
        <v>0</v>
      </c>
      <c r="T248" s="52">
        <f t="shared" si="257"/>
        <v>0</v>
      </c>
      <c r="U248" s="52">
        <f t="shared" si="257"/>
        <v>0</v>
      </c>
    </row>
    <row r="249" spans="1:21" s="52" customFormat="1" x14ac:dyDescent="0.25">
      <c r="A249"/>
      <c r="B249"/>
      <c r="C249"/>
      <c r="D249" s="52" t="s">
        <v>153</v>
      </c>
      <c r="G249" s="52">
        <v>-1.93</v>
      </c>
      <c r="H249" s="52">
        <v>-26.71</v>
      </c>
      <c r="I249" s="52">
        <v>-124.84</v>
      </c>
      <c r="J249" s="52">
        <v>0</v>
      </c>
      <c r="K249" s="52">
        <v>-228.98</v>
      </c>
      <c r="L249" s="52">
        <f>AVERAGE(G249:K249)</f>
        <v>-76.492000000000004</v>
      </c>
      <c r="M249" s="52">
        <f>L249</f>
        <v>-76.492000000000004</v>
      </c>
      <c r="N249" s="52">
        <f t="shared" ref="N249:U249" si="258">M249</f>
        <v>-76.492000000000004</v>
      </c>
      <c r="O249" s="52">
        <f t="shared" si="258"/>
        <v>-76.492000000000004</v>
      </c>
      <c r="P249" s="52">
        <f t="shared" si="258"/>
        <v>-76.492000000000004</v>
      </c>
      <c r="Q249" s="52">
        <f t="shared" si="258"/>
        <v>-76.492000000000004</v>
      </c>
      <c r="R249" s="52">
        <f t="shared" si="258"/>
        <v>-76.492000000000004</v>
      </c>
      <c r="S249" s="52">
        <f t="shared" si="258"/>
        <v>-76.492000000000004</v>
      </c>
      <c r="T249" s="52">
        <f t="shared" si="258"/>
        <v>-76.492000000000004</v>
      </c>
      <c r="U249" s="52">
        <f t="shared" si="258"/>
        <v>-76.492000000000004</v>
      </c>
    </row>
    <row r="250" spans="1:21" s="51" customFormat="1" x14ac:dyDescent="0.25">
      <c r="A250" s="1"/>
      <c r="B250" s="1"/>
      <c r="C250" s="1"/>
      <c r="D250" s="51" t="s">
        <v>154</v>
      </c>
      <c r="G250" s="51">
        <f>G245+G246+G247+G248+G249</f>
        <v>1438.82</v>
      </c>
      <c r="H250" s="51">
        <f>H245+H246+H247+H248+H249</f>
        <v>1613.36</v>
      </c>
      <c r="I250" s="51">
        <f t="shared" ref="I250:U250" si="259">I245+I246+I247+I248+I249</f>
        <v>1550.85</v>
      </c>
      <c r="J250" s="51">
        <f t="shared" si="259"/>
        <v>1726.4699999999998</v>
      </c>
      <c r="K250" s="51">
        <f t="shared" si="259"/>
        <v>1610.8699999999997</v>
      </c>
      <c r="L250" s="51">
        <f t="shared" si="259"/>
        <v>1687.8781250015857</v>
      </c>
      <c r="M250" s="51">
        <f t="shared" si="259"/>
        <v>1770.7250905477024</v>
      </c>
      <c r="N250" s="51">
        <f t="shared" si="259"/>
        <v>1859.5613300483228</v>
      </c>
      <c r="O250" s="51">
        <f t="shared" si="259"/>
        <v>1954.2145717148655</v>
      </c>
      <c r="P250" s="51">
        <f t="shared" si="259"/>
        <v>2054.5538111700589</v>
      </c>
      <c r="Q250" s="51">
        <f t="shared" si="259"/>
        <v>2160.4874273874193</v>
      </c>
      <c r="R250" s="51">
        <f t="shared" si="259"/>
        <v>2271.961367710775</v>
      </c>
      <c r="S250" s="51">
        <f t="shared" si="259"/>
        <v>2388.9209499285716</v>
      </c>
      <c r="T250" s="51">
        <f t="shared" si="259"/>
        <v>2511.3217920514326</v>
      </c>
      <c r="U250" s="51">
        <f t="shared" si="259"/>
        <v>2639.1218120429708</v>
      </c>
    </row>
    <row r="251" spans="1:21" s="52" customFormat="1" x14ac:dyDescent="0.25">
      <c r="A251"/>
      <c r="B251"/>
      <c r="C251"/>
      <c r="D251" s="59" t="s">
        <v>182</v>
      </c>
      <c r="G251" s="52">
        <v>29.03</v>
      </c>
      <c r="H251" s="52">
        <v>167.69</v>
      </c>
      <c r="I251" s="52">
        <v>279.10000000000002</v>
      </c>
      <c r="J251" s="52">
        <v>372.25</v>
      </c>
      <c r="K251" s="52">
        <v>536.11</v>
      </c>
      <c r="L251" s="52">
        <f>SUM(K251:K254)</f>
        <v>693.34000000000015</v>
      </c>
      <c r="M251" s="52">
        <f t="shared" ref="M251:U251" si="260">SUM(L251:L254)</f>
        <v>812.65110823616396</v>
      </c>
      <c r="N251" s="52">
        <f t="shared" si="260"/>
        <v>926.23172837327638</v>
      </c>
      <c r="O251" s="52">
        <f t="shared" si="260"/>
        <v>1035.5212656505619</v>
      </c>
      <c r="P251" s="52">
        <f t="shared" si="260"/>
        <v>1141.9550802133058</v>
      </c>
      <c r="Q251" s="52">
        <f t="shared" si="260"/>
        <v>1246.7440720204559</v>
      </c>
      <c r="R251" s="52">
        <f t="shared" si="260"/>
        <v>1350.9117821641637</v>
      </c>
      <c r="S251" s="52">
        <f t="shared" si="260"/>
        <v>1455.3260509871291</v>
      </c>
      <c r="T251" s="52">
        <f t="shared" si="260"/>
        <v>1560.7260026315644</v>
      </c>
      <c r="U251" s="52">
        <f t="shared" si="260"/>
        <v>1667.7399287049896</v>
      </c>
    </row>
    <row r="252" spans="1:21" s="52" customFormat="1" x14ac:dyDescent="0.25">
      <c r="A252"/>
      <c r="B252"/>
      <c r="C252"/>
      <c r="D252" s="52" t="s">
        <v>158</v>
      </c>
      <c r="G252" s="52">
        <f>128.08-5</f>
        <v>123.08000000000001</v>
      </c>
      <c r="H252" s="52">
        <f>129.47-5.88</f>
        <v>123.59</v>
      </c>
      <c r="I252" s="52">
        <f>132.11-3.79</f>
        <v>128.32000000000002</v>
      </c>
      <c r="J252" s="52">
        <f>151.3-1.19</f>
        <v>150.11000000000001</v>
      </c>
      <c r="K252" s="52">
        <f>167.46-1.26</f>
        <v>166.20000000000002</v>
      </c>
      <c r="L252" s="52">
        <f>K252/J255*K255</f>
        <v>127.93110823616384</v>
      </c>
      <c r="M252" s="52">
        <f t="shared" ref="M252:U252" si="261">L252/K255*L255</f>
        <v>122.20062013711241</v>
      </c>
      <c r="N252" s="52">
        <f t="shared" si="261"/>
        <v>117.90953727728559</v>
      </c>
      <c r="O252" s="52">
        <f t="shared" si="261"/>
        <v>115.05381456274397</v>
      </c>
      <c r="P252" s="52">
        <f t="shared" si="261"/>
        <v>113.40899180715016</v>
      </c>
      <c r="Q252" s="52">
        <f t="shared" si="261"/>
        <v>112.78771014370784</v>
      </c>
      <c r="R252" s="52">
        <f t="shared" si="261"/>
        <v>113.03426882296542</v>
      </c>
      <c r="S252" s="52">
        <f t="shared" si="261"/>
        <v>114.01995164443532</v>
      </c>
      <c r="T252" s="52">
        <f t="shared" si="261"/>
        <v>115.63392607342539</v>
      </c>
      <c r="U252" s="52">
        <f t="shared" si="261"/>
        <v>117.78227232784944</v>
      </c>
    </row>
    <row r="253" spans="1:21" s="52" customFormat="1" x14ac:dyDescent="0.25">
      <c r="A253"/>
      <c r="B253"/>
      <c r="C253"/>
      <c r="D253" s="52" t="s">
        <v>153</v>
      </c>
      <c r="G253" s="52">
        <v>-0.57999999999999996</v>
      </c>
      <c r="H253" s="52">
        <v>-9.5500000000000007</v>
      </c>
      <c r="I253" s="52">
        <v>-27.79</v>
      </c>
      <c r="J253" s="52">
        <v>0</v>
      </c>
      <c r="K253" s="52">
        <v>-16.93</v>
      </c>
      <c r="L253" s="52">
        <f>AVERAGE(G253:K253)</f>
        <v>-10.97</v>
      </c>
      <c r="M253" s="52">
        <f>L253</f>
        <v>-10.97</v>
      </c>
      <c r="N253" s="52">
        <f t="shared" ref="N253:U253" si="262">M253</f>
        <v>-10.97</v>
      </c>
      <c r="O253" s="52">
        <f t="shared" si="262"/>
        <v>-10.97</v>
      </c>
      <c r="P253" s="52">
        <f t="shared" si="262"/>
        <v>-10.97</v>
      </c>
      <c r="Q253" s="52">
        <f t="shared" si="262"/>
        <v>-10.97</v>
      </c>
      <c r="R253" s="52">
        <f t="shared" si="262"/>
        <v>-10.97</v>
      </c>
      <c r="S253" s="52">
        <f t="shared" si="262"/>
        <v>-10.97</v>
      </c>
      <c r="T253" s="52">
        <f t="shared" si="262"/>
        <v>-10.97</v>
      </c>
      <c r="U253" s="52">
        <f t="shared" si="262"/>
        <v>-10.97</v>
      </c>
    </row>
    <row r="254" spans="1:21" s="52" customFormat="1" x14ac:dyDescent="0.25">
      <c r="A254"/>
      <c r="B254"/>
      <c r="C254"/>
      <c r="D254" s="52" t="s">
        <v>161</v>
      </c>
      <c r="G254" s="52">
        <v>10.91</v>
      </c>
      <c r="H254" s="52">
        <v>-8.51</v>
      </c>
      <c r="I254" s="52">
        <v>-11.17</v>
      </c>
      <c r="J254" s="52">
        <v>12.56</v>
      </c>
      <c r="K254" s="52">
        <v>7.96</v>
      </c>
      <c r="L254" s="52">
        <f>AVERAGE(G254:K254)</f>
        <v>2.35</v>
      </c>
      <c r="M254" s="52">
        <f>L254</f>
        <v>2.35</v>
      </c>
      <c r="N254" s="52">
        <f t="shared" ref="N254:U254" si="263">M254</f>
        <v>2.35</v>
      </c>
      <c r="O254" s="52">
        <f t="shared" si="263"/>
        <v>2.35</v>
      </c>
      <c r="P254" s="52">
        <f t="shared" si="263"/>
        <v>2.35</v>
      </c>
      <c r="Q254" s="52">
        <f t="shared" si="263"/>
        <v>2.35</v>
      </c>
      <c r="R254" s="52">
        <f t="shared" si="263"/>
        <v>2.35</v>
      </c>
      <c r="S254" s="52">
        <f t="shared" si="263"/>
        <v>2.35</v>
      </c>
      <c r="T254" s="52">
        <f t="shared" si="263"/>
        <v>2.35</v>
      </c>
      <c r="U254" s="52">
        <f t="shared" si="263"/>
        <v>2.35</v>
      </c>
    </row>
    <row r="255" spans="1:21" s="53" customFormat="1" x14ac:dyDescent="0.25">
      <c r="A255" s="1"/>
      <c r="B255" s="1"/>
      <c r="C255" s="1"/>
      <c r="D255" s="53" t="s">
        <v>160</v>
      </c>
      <c r="G255" s="53">
        <f>G250-G252-G251-G253-G254-5</f>
        <v>1271.3799999999999</v>
      </c>
      <c r="H255" s="53">
        <f>H250-H252-H251-H253-H254-5.88</f>
        <v>1334.2599999999998</v>
      </c>
      <c r="I255" s="53">
        <f>I250-I252-I251-I253-I254-3.79</f>
        <v>1178.5999999999999</v>
      </c>
      <c r="J255" s="53">
        <f>J250-J252-J251-J253-J254-1.19</f>
        <v>1190.3599999999997</v>
      </c>
      <c r="K255" s="53">
        <f>K250-K252-K251-K253-K254-1.26</f>
        <v>916.26999999999953</v>
      </c>
      <c r="L255" s="53">
        <f t="shared" ref="L255:U255" si="264">L250-L252-L251-L253-L254</f>
        <v>875.22701676542158</v>
      </c>
      <c r="M255" s="53">
        <f t="shared" si="264"/>
        <v>844.49336217442612</v>
      </c>
      <c r="N255" s="53">
        <f t="shared" si="264"/>
        <v>824.04006439776083</v>
      </c>
      <c r="O255" s="53">
        <f t="shared" si="264"/>
        <v>812.25949150155964</v>
      </c>
      <c r="P255" s="53">
        <f t="shared" si="264"/>
        <v>807.80973914960293</v>
      </c>
      <c r="Q255" s="53">
        <f t="shared" si="264"/>
        <v>809.57564522325549</v>
      </c>
      <c r="R255" s="53">
        <f t="shared" si="264"/>
        <v>816.63531672364604</v>
      </c>
      <c r="S255" s="53">
        <f t="shared" si="264"/>
        <v>828.19494729700716</v>
      </c>
      <c r="T255" s="53">
        <f t="shared" si="264"/>
        <v>843.5818633464429</v>
      </c>
      <c r="U255" s="53">
        <f t="shared" si="264"/>
        <v>862.21961101013164</v>
      </c>
    </row>
    <row r="256" spans="1:21" s="52" customFormat="1" x14ac:dyDescent="0.25">
      <c r="A256"/>
      <c r="B256"/>
      <c r="C256"/>
      <c r="D256" s="51"/>
    </row>
    <row r="257" spans="1:21" s="52" customFormat="1" x14ac:dyDescent="0.25">
      <c r="A257"/>
      <c r="B257"/>
      <c r="C257"/>
      <c r="D257" s="51"/>
    </row>
    <row r="258" spans="1:21" s="52" customFormat="1" x14ac:dyDescent="0.25">
      <c r="A258"/>
      <c r="B258"/>
      <c r="C258"/>
      <c r="D258" s="51" t="s">
        <v>42</v>
      </c>
    </row>
    <row r="259" spans="1:21" s="51" customFormat="1" x14ac:dyDescent="0.25">
      <c r="A259" s="1"/>
      <c r="B259" s="1"/>
      <c r="C259" s="1"/>
      <c r="D259" s="51" t="s">
        <v>177</v>
      </c>
      <c r="G259" s="51">
        <v>6223.34</v>
      </c>
      <c r="H259" s="51">
        <f>G263</f>
        <v>6252.4900000000007</v>
      </c>
      <c r="I259" s="51">
        <f t="shared" ref="I259:K259" si="265">H263</f>
        <v>6219.85</v>
      </c>
      <c r="J259" s="51">
        <f t="shared" si="265"/>
        <v>6250.21</v>
      </c>
      <c r="K259" s="51">
        <f t="shared" si="265"/>
        <v>6329.26</v>
      </c>
      <c r="L259" s="51">
        <f t="shared" ref="L259" si="266">K263</f>
        <v>6345.49</v>
      </c>
      <c r="M259" s="51">
        <f t="shared" ref="M259" si="267">L263</f>
        <v>6361.7199999999993</v>
      </c>
      <c r="N259" s="51">
        <f t="shared" ref="N259" si="268">M263</f>
        <v>6377.9499999999989</v>
      </c>
      <c r="O259" s="51">
        <f t="shared" ref="O259" si="269">N263</f>
        <v>6394.1799999999985</v>
      </c>
      <c r="P259" s="51">
        <f t="shared" ref="P259" si="270">O263</f>
        <v>6410.409999999998</v>
      </c>
      <c r="Q259" s="51">
        <f t="shared" ref="Q259" si="271">P263</f>
        <v>6426.6399999999976</v>
      </c>
      <c r="R259" s="51">
        <f t="shared" ref="R259" si="272">Q263</f>
        <v>6442.8699999999972</v>
      </c>
      <c r="S259" s="51">
        <f t="shared" ref="S259" si="273">R263</f>
        <v>6459.0999999999967</v>
      </c>
      <c r="T259" s="51">
        <f t="shared" ref="T259" si="274">S263</f>
        <v>6475.3299999999963</v>
      </c>
      <c r="U259" s="51">
        <f t="shared" ref="U259" si="275">T263</f>
        <v>6491.5599999999959</v>
      </c>
    </row>
    <row r="260" spans="1:21" s="52" customFormat="1" x14ac:dyDescent="0.25">
      <c r="A260"/>
      <c r="B260"/>
      <c r="C260"/>
      <c r="D260" s="52" t="s">
        <v>180</v>
      </c>
      <c r="G260" s="52">
        <v>-57.99</v>
      </c>
      <c r="H260" s="52">
        <v>0</v>
      </c>
      <c r="I260" s="52">
        <v>0</v>
      </c>
      <c r="J260" s="52">
        <v>0</v>
      </c>
      <c r="K260" s="52">
        <v>0</v>
      </c>
      <c r="L260" s="52">
        <v>0</v>
      </c>
      <c r="M260" s="52">
        <v>0</v>
      </c>
      <c r="N260" s="52">
        <v>0</v>
      </c>
      <c r="O260" s="52">
        <v>0</v>
      </c>
      <c r="P260" s="52">
        <v>0</v>
      </c>
      <c r="Q260" s="52">
        <v>0</v>
      </c>
      <c r="R260" s="52">
        <v>0</v>
      </c>
      <c r="S260" s="52">
        <v>0</v>
      </c>
      <c r="T260" s="52">
        <v>0</v>
      </c>
      <c r="U260" s="52">
        <v>0</v>
      </c>
    </row>
    <row r="261" spans="1:21" s="52" customFormat="1" x14ac:dyDescent="0.25">
      <c r="A261"/>
      <c r="B261"/>
      <c r="C261"/>
      <c r="D261" s="52" t="s">
        <v>178</v>
      </c>
      <c r="G261" s="52">
        <v>87.14</v>
      </c>
      <c r="H261" s="52">
        <v>-32.64</v>
      </c>
      <c r="I261" s="52">
        <v>30.36</v>
      </c>
      <c r="J261" s="52">
        <v>79.040000000000006</v>
      </c>
      <c r="K261" s="52">
        <v>16.23</v>
      </c>
      <c r="L261" s="52">
        <f>K261</f>
        <v>16.23</v>
      </c>
      <c r="M261" s="52">
        <f t="shared" ref="M261:U261" si="276">L261</f>
        <v>16.23</v>
      </c>
      <c r="N261" s="52">
        <f t="shared" si="276"/>
        <v>16.23</v>
      </c>
      <c r="O261" s="52">
        <f t="shared" si="276"/>
        <v>16.23</v>
      </c>
      <c r="P261" s="52">
        <f t="shared" si="276"/>
        <v>16.23</v>
      </c>
      <c r="Q261" s="52">
        <f t="shared" si="276"/>
        <v>16.23</v>
      </c>
      <c r="R261" s="52">
        <f t="shared" si="276"/>
        <v>16.23</v>
      </c>
      <c r="S261" s="52">
        <f t="shared" si="276"/>
        <v>16.23</v>
      </c>
      <c r="T261" s="52">
        <f t="shared" si="276"/>
        <v>16.23</v>
      </c>
      <c r="U261" s="52">
        <f t="shared" si="276"/>
        <v>16.23</v>
      </c>
    </row>
    <row r="262" spans="1:21" s="52" customFormat="1" x14ac:dyDescent="0.25">
      <c r="A262"/>
      <c r="B262"/>
      <c r="C262"/>
      <c r="D262" s="52" t="s">
        <v>181</v>
      </c>
      <c r="G262" s="52">
        <v>0</v>
      </c>
      <c r="H262" s="52">
        <v>0</v>
      </c>
      <c r="I262" s="52">
        <v>0</v>
      </c>
      <c r="J262" s="52">
        <v>0.01</v>
      </c>
      <c r="K262" s="52">
        <v>0</v>
      </c>
      <c r="L262" s="52">
        <v>0</v>
      </c>
      <c r="M262" s="52">
        <v>0</v>
      </c>
      <c r="N262" s="52">
        <v>0</v>
      </c>
      <c r="O262" s="52">
        <v>0</v>
      </c>
      <c r="P262" s="52">
        <v>0</v>
      </c>
      <c r="Q262" s="52">
        <v>0</v>
      </c>
      <c r="R262" s="52">
        <v>0</v>
      </c>
      <c r="S262" s="52">
        <v>0</v>
      </c>
      <c r="T262" s="52">
        <v>0</v>
      </c>
      <c r="U262" s="52">
        <v>0</v>
      </c>
    </row>
    <row r="263" spans="1:21" s="53" customFormat="1" x14ac:dyDescent="0.25">
      <c r="A263" s="1"/>
      <c r="B263" s="1"/>
      <c r="C263" s="1"/>
      <c r="D263" s="53" t="s">
        <v>179</v>
      </c>
      <c r="G263" s="53">
        <f>G259+G260+G261+G262</f>
        <v>6252.4900000000007</v>
      </c>
      <c r="H263" s="53">
        <f>H259+H260+H261+H262</f>
        <v>6219.85</v>
      </c>
      <c r="I263" s="53">
        <f t="shared" ref="I263:U263" si="277">I259+I260+I261+I262</f>
        <v>6250.21</v>
      </c>
      <c r="J263" s="53">
        <f t="shared" si="277"/>
        <v>6329.26</v>
      </c>
      <c r="K263" s="53">
        <f t="shared" si="277"/>
        <v>6345.49</v>
      </c>
      <c r="L263" s="53">
        <f t="shared" si="277"/>
        <v>6361.7199999999993</v>
      </c>
      <c r="M263" s="53">
        <f t="shared" si="277"/>
        <v>6377.9499999999989</v>
      </c>
      <c r="N263" s="53">
        <f t="shared" si="277"/>
        <v>6394.1799999999985</v>
      </c>
      <c r="O263" s="53">
        <f t="shared" si="277"/>
        <v>6410.409999999998</v>
      </c>
      <c r="P263" s="53">
        <f t="shared" si="277"/>
        <v>6426.6399999999976</v>
      </c>
      <c r="Q263" s="53">
        <f t="shared" si="277"/>
        <v>6442.8699999999972</v>
      </c>
      <c r="R263" s="53">
        <f t="shared" si="277"/>
        <v>6459.0999999999967</v>
      </c>
      <c r="S263" s="53">
        <f t="shared" si="277"/>
        <v>6475.3299999999963</v>
      </c>
      <c r="T263" s="53">
        <f t="shared" si="277"/>
        <v>6491.5599999999959</v>
      </c>
      <c r="U263" s="53">
        <f t="shared" si="277"/>
        <v>6507.7899999999954</v>
      </c>
    </row>
    <row r="264" spans="1:21" s="52" customFormat="1" x14ac:dyDescent="0.25">
      <c r="A264"/>
      <c r="B264"/>
      <c r="C264"/>
    </row>
    <row r="265" spans="1:21" s="52" customFormat="1" x14ac:dyDescent="0.25">
      <c r="A265"/>
      <c r="B265"/>
      <c r="C265"/>
      <c r="D265" s="51" t="s">
        <v>185</v>
      </c>
    </row>
    <row r="266" spans="1:21" s="52" customFormat="1" x14ac:dyDescent="0.25">
      <c r="A266"/>
      <c r="B266"/>
      <c r="C266"/>
      <c r="D266" s="52" t="s">
        <v>186</v>
      </c>
      <c r="G266" s="52">
        <v>2541.63</v>
      </c>
      <c r="H266" s="52">
        <v>2522.84</v>
      </c>
      <c r="I266" s="52">
        <v>2557.6799999999998</v>
      </c>
      <c r="J266" s="52">
        <v>2725.41</v>
      </c>
      <c r="K266" s="52">
        <v>2989.72</v>
      </c>
      <c r="L266" s="52">
        <f>L132+L238</f>
        <v>3262.8717564996505</v>
      </c>
      <c r="M266" s="52">
        <f t="shared" ref="M266:U266" si="278">M132+M238</f>
        <v>3642.8772855271222</v>
      </c>
      <c r="N266" s="52">
        <f t="shared" si="278"/>
        <v>4031.0863290432153</v>
      </c>
      <c r="O266" s="52">
        <f t="shared" si="278"/>
        <v>4406.8172325623837</v>
      </c>
      <c r="P266" s="52">
        <f t="shared" si="278"/>
        <v>4772.9397352333399</v>
      </c>
      <c r="Q266" s="52">
        <f t="shared" si="278"/>
        <v>5132.1657048755142</v>
      </c>
      <c r="R266" s="52">
        <f t="shared" si="278"/>
        <v>5487.0590092758312</v>
      </c>
      <c r="S266" s="52">
        <f t="shared" si="278"/>
        <v>5837.7080095565898</v>
      </c>
      <c r="T266" s="52">
        <f t="shared" si="278"/>
        <v>6184.8837919531788</v>
      </c>
      <c r="U266" s="52">
        <f t="shared" si="278"/>
        <v>6528.8277053464008</v>
      </c>
    </row>
    <row r="267" spans="1:21" s="52" customFormat="1" ht="35.25" customHeight="1" x14ac:dyDescent="0.25">
      <c r="A267"/>
      <c r="B267"/>
      <c r="C267"/>
      <c r="D267" s="60" t="s">
        <v>190</v>
      </c>
      <c r="G267" s="52">
        <f>37.49+G268</f>
        <v>37.450000000000003</v>
      </c>
      <c r="H267" s="52">
        <f>54.62+H268</f>
        <v>53.8</v>
      </c>
      <c r="I267" s="52">
        <f>36.94+I268</f>
        <v>28.75</v>
      </c>
      <c r="J267" s="52">
        <f>22.58+J268</f>
        <v>12.469999999999999</v>
      </c>
      <c r="K267" s="52">
        <f>0+K268</f>
        <v>-10.62</v>
      </c>
      <c r="L267" s="52">
        <f>AVERAGE(G267:K267)</f>
        <v>24.369999999999997</v>
      </c>
      <c r="M267" s="52">
        <f>L267</f>
        <v>24.369999999999997</v>
      </c>
      <c r="N267" s="52">
        <f t="shared" ref="N267:U267" si="279">M267</f>
        <v>24.369999999999997</v>
      </c>
      <c r="O267" s="52">
        <f t="shared" si="279"/>
        <v>24.369999999999997</v>
      </c>
      <c r="P267" s="52">
        <f t="shared" si="279"/>
        <v>24.369999999999997</v>
      </c>
      <c r="Q267" s="52">
        <f t="shared" si="279"/>
        <v>24.369999999999997</v>
      </c>
      <c r="R267" s="52">
        <f t="shared" si="279"/>
        <v>24.369999999999997</v>
      </c>
      <c r="S267" s="52">
        <f t="shared" si="279"/>
        <v>24.369999999999997</v>
      </c>
      <c r="T267" s="52">
        <f t="shared" si="279"/>
        <v>24.369999999999997</v>
      </c>
      <c r="U267" s="52">
        <f t="shared" si="279"/>
        <v>24.369999999999997</v>
      </c>
    </row>
    <row r="268" spans="1:21" s="52" customFormat="1" x14ac:dyDescent="0.25">
      <c r="A268"/>
      <c r="B268"/>
      <c r="C268"/>
      <c r="D268" s="52" t="s">
        <v>187</v>
      </c>
      <c r="G268" s="52">
        <v>-0.04</v>
      </c>
      <c r="H268" s="52">
        <v>-0.82</v>
      </c>
      <c r="I268" s="52">
        <v>-8.19</v>
      </c>
      <c r="J268" s="52">
        <v>-10.11</v>
      </c>
      <c r="K268" s="52">
        <v>-10.62</v>
      </c>
      <c r="L268" s="52">
        <f>AVERAGE(G268:K268)</f>
        <v>-5.9559999999999986</v>
      </c>
      <c r="M268" s="52">
        <f>L268</f>
        <v>-5.9559999999999986</v>
      </c>
      <c r="N268" s="52">
        <f t="shared" ref="N268:U268" si="280">M268</f>
        <v>-5.9559999999999986</v>
      </c>
      <c r="O268" s="52">
        <f t="shared" si="280"/>
        <v>-5.9559999999999986</v>
      </c>
      <c r="P268" s="52">
        <f t="shared" si="280"/>
        <v>-5.9559999999999986</v>
      </c>
      <c r="Q268" s="52">
        <f t="shared" si="280"/>
        <v>-5.9559999999999986</v>
      </c>
      <c r="R268" s="52">
        <f t="shared" si="280"/>
        <v>-5.9559999999999986</v>
      </c>
      <c r="S268" s="52">
        <f t="shared" si="280"/>
        <v>-5.9559999999999986</v>
      </c>
      <c r="T268" s="52">
        <f t="shared" si="280"/>
        <v>-5.9559999999999986</v>
      </c>
      <c r="U268" s="52">
        <f t="shared" si="280"/>
        <v>-5.9559999999999986</v>
      </c>
    </row>
    <row r="269" spans="1:21" s="52" customFormat="1" x14ac:dyDescent="0.25">
      <c r="A269"/>
      <c r="B269"/>
      <c r="C269"/>
      <c r="D269" s="52" t="s">
        <v>188</v>
      </c>
      <c r="G269" s="52">
        <v>123.08</v>
      </c>
      <c r="H269" s="52">
        <v>123.59</v>
      </c>
      <c r="I269" s="52">
        <v>128.32</v>
      </c>
      <c r="J269" s="52">
        <v>150.11000000000001</v>
      </c>
      <c r="K269" s="52">
        <v>166.2</v>
      </c>
      <c r="L269" s="52">
        <f>L252</f>
        <v>127.93110823616384</v>
      </c>
      <c r="M269" s="52">
        <f t="shared" ref="M269:U269" si="281">M252</f>
        <v>122.20062013711241</v>
      </c>
      <c r="N269" s="52">
        <f t="shared" si="281"/>
        <v>117.90953727728559</v>
      </c>
      <c r="O269" s="52">
        <f t="shared" si="281"/>
        <v>115.05381456274397</v>
      </c>
      <c r="P269" s="52">
        <f t="shared" si="281"/>
        <v>113.40899180715016</v>
      </c>
      <c r="Q269" s="52">
        <f t="shared" si="281"/>
        <v>112.78771014370784</v>
      </c>
      <c r="R269" s="52">
        <f t="shared" si="281"/>
        <v>113.03426882296542</v>
      </c>
      <c r="S269" s="52">
        <f t="shared" si="281"/>
        <v>114.01995164443532</v>
      </c>
      <c r="T269" s="52">
        <f t="shared" si="281"/>
        <v>115.63392607342539</v>
      </c>
      <c r="U269" s="52">
        <f t="shared" si="281"/>
        <v>117.78227232784944</v>
      </c>
    </row>
    <row r="270" spans="1:21" s="53" customFormat="1" x14ac:dyDescent="0.25">
      <c r="A270"/>
      <c r="B270"/>
      <c r="C270"/>
      <c r="D270" s="53" t="s">
        <v>189</v>
      </c>
      <c r="G270" s="53">
        <f>G266+G267+G269</f>
        <v>2702.16</v>
      </c>
      <c r="H270" s="53">
        <f t="shared" ref="H270:J270" si="282">H266+H267+H269</f>
        <v>2700.2300000000005</v>
      </c>
      <c r="I270" s="53">
        <f t="shared" si="282"/>
        <v>2714.75</v>
      </c>
      <c r="J270" s="53">
        <f t="shared" si="282"/>
        <v>2887.99</v>
      </c>
      <c r="K270" s="53">
        <f t="shared" ref="K270" si="283">K266+K267+K269</f>
        <v>3145.2999999999997</v>
      </c>
      <c r="L270" s="53">
        <f t="shared" ref="L270:M270" si="284">L266+L267+L269</f>
        <v>3415.1728647358141</v>
      </c>
      <c r="M270" s="53">
        <f t="shared" si="284"/>
        <v>3789.4479056642344</v>
      </c>
      <c r="N270" s="53">
        <f t="shared" ref="N270" si="285">N266+N267+N269</f>
        <v>4173.3658663205006</v>
      </c>
      <c r="O270" s="53">
        <f t="shared" ref="O270:P270" si="286">O266+O267+O269</f>
        <v>4546.2410471251278</v>
      </c>
      <c r="P270" s="53">
        <f t="shared" si="286"/>
        <v>4910.7187270404902</v>
      </c>
      <c r="Q270" s="53">
        <f t="shared" ref="Q270" si="287">Q266+Q267+Q269</f>
        <v>5269.323415019222</v>
      </c>
      <c r="R270" s="53">
        <f t="shared" ref="R270:S270" si="288">R266+R267+R269</f>
        <v>5624.4632780987968</v>
      </c>
      <c r="S270" s="53">
        <f t="shared" si="288"/>
        <v>5976.0979612010251</v>
      </c>
      <c r="T270" s="53">
        <f t="shared" ref="T270" si="289">T266+T267+T269</f>
        <v>6324.8877180266045</v>
      </c>
      <c r="U270" s="53">
        <f t="shared" ref="U270" si="290">U266+U267+U269</f>
        <v>6670.9799776742502</v>
      </c>
    </row>
    <row r="271" spans="1:21" s="52" customFormat="1" x14ac:dyDescent="0.25">
      <c r="A271"/>
      <c r="B271"/>
      <c r="C271"/>
    </row>
    <row r="272" spans="1:21" s="52" customFormat="1" x14ac:dyDescent="0.25">
      <c r="A272"/>
      <c r="B272"/>
      <c r="C272"/>
    </row>
    <row r="273" spans="1:21" s="61" customFormat="1" x14ac:dyDescent="0.25">
      <c r="A273"/>
      <c r="B273"/>
      <c r="C273"/>
      <c r="D273" s="61" t="s">
        <v>191</v>
      </c>
      <c r="G273" s="61">
        <f>G132</f>
        <v>2325.2499999999995</v>
      </c>
      <c r="H273" s="61">
        <f t="shared" ref="H273:K273" si="291">H132</f>
        <v>2371.0600000000004</v>
      </c>
      <c r="I273" s="61">
        <f t="shared" si="291"/>
        <v>2384.9699999999998</v>
      </c>
      <c r="J273" s="61">
        <f t="shared" si="291"/>
        <v>2530.4900000000002</v>
      </c>
      <c r="K273" s="61">
        <f t="shared" si="291"/>
        <v>2791.41</v>
      </c>
      <c r="L273" s="61">
        <f>L132</f>
        <v>3043.8638291138504</v>
      </c>
      <c r="M273" s="61">
        <f t="shared" ref="M273:U273" si="292">M132</f>
        <v>3429.0683586711984</v>
      </c>
      <c r="N273" s="61">
        <f t="shared" si="292"/>
        <v>3806.3263141735165</v>
      </c>
      <c r="O273" s="61">
        <f t="shared" si="292"/>
        <v>4173.0561761428262</v>
      </c>
      <c r="P273" s="61">
        <f t="shared" si="292"/>
        <v>4532.2670168944214</v>
      </c>
      <c r="Q273" s="61">
        <f t="shared" si="292"/>
        <v>4885.7714620614925</v>
      </c>
      <c r="R273" s="61">
        <f t="shared" si="292"/>
        <v>5234.7213031752108</v>
      </c>
      <c r="S273" s="61">
        <f t="shared" si="292"/>
        <v>5579.920709589047</v>
      </c>
      <c r="T273" s="61">
        <f t="shared" si="292"/>
        <v>5921.8398477241817</v>
      </c>
      <c r="U273" s="61">
        <f t="shared" si="292"/>
        <v>6260.7979940112909</v>
      </c>
    </row>
    <row r="274" spans="1:21" s="61" customFormat="1" x14ac:dyDescent="0.25">
      <c r="A274"/>
      <c r="B274"/>
      <c r="C274"/>
      <c r="D274" s="61" t="s">
        <v>192</v>
      </c>
      <c r="G274" s="61">
        <f>G252</f>
        <v>123.08000000000001</v>
      </c>
      <c r="H274" s="61">
        <f t="shared" ref="H274:K274" si="293">H252</f>
        <v>123.59</v>
      </c>
      <c r="I274" s="61">
        <f t="shared" si="293"/>
        <v>128.32000000000002</v>
      </c>
      <c r="J274" s="61">
        <f t="shared" si="293"/>
        <v>150.11000000000001</v>
      </c>
      <c r="K274" s="61">
        <f t="shared" si="293"/>
        <v>166.20000000000002</v>
      </c>
      <c r="L274" s="61">
        <f>L252</f>
        <v>127.93110823616384</v>
      </c>
      <c r="M274" s="61">
        <f t="shared" ref="M274:U274" si="294">M252</f>
        <v>122.20062013711241</v>
      </c>
      <c r="N274" s="61">
        <f t="shared" si="294"/>
        <v>117.90953727728559</v>
      </c>
      <c r="O274" s="61">
        <f t="shared" si="294"/>
        <v>115.05381456274397</v>
      </c>
      <c r="P274" s="61">
        <f t="shared" si="294"/>
        <v>113.40899180715016</v>
      </c>
      <c r="Q274" s="61">
        <f t="shared" si="294"/>
        <v>112.78771014370784</v>
      </c>
      <c r="R274" s="61">
        <f t="shared" si="294"/>
        <v>113.03426882296542</v>
      </c>
      <c r="S274" s="61">
        <f t="shared" si="294"/>
        <v>114.01995164443532</v>
      </c>
      <c r="T274" s="61">
        <f t="shared" si="294"/>
        <v>115.63392607342539</v>
      </c>
      <c r="U274" s="61">
        <f t="shared" si="294"/>
        <v>117.78227232784944</v>
      </c>
    </row>
    <row r="275" spans="1:21" s="61" customFormat="1" x14ac:dyDescent="0.25">
      <c r="A275"/>
      <c r="B275"/>
      <c r="C275"/>
      <c r="D275" s="61" t="s">
        <v>193</v>
      </c>
      <c r="G275" s="61">
        <f>G238</f>
        <v>216.38</v>
      </c>
      <c r="H275" s="61">
        <f t="shared" ref="H275:K275" si="295">H238</f>
        <v>151.78</v>
      </c>
      <c r="I275" s="61">
        <f t="shared" si="295"/>
        <v>172.70999999999998</v>
      </c>
      <c r="J275" s="61">
        <f t="shared" si="295"/>
        <v>194.92000000000002</v>
      </c>
      <c r="K275" s="61">
        <f t="shared" si="295"/>
        <v>198.31</v>
      </c>
      <c r="L275" s="61">
        <f>L238</f>
        <v>219.00792738579983</v>
      </c>
      <c r="M275" s="61">
        <f t="shared" ref="M275:U275" si="296">M238</f>
        <v>213.80892685592369</v>
      </c>
      <c r="N275" s="61">
        <f t="shared" si="296"/>
        <v>224.76001486969872</v>
      </c>
      <c r="O275" s="61">
        <f t="shared" si="296"/>
        <v>233.76105641955755</v>
      </c>
      <c r="P275" s="61">
        <f t="shared" si="296"/>
        <v>240.67271833891868</v>
      </c>
      <c r="Q275" s="61">
        <f t="shared" si="296"/>
        <v>246.39424281402177</v>
      </c>
      <c r="R275" s="61">
        <f t="shared" si="296"/>
        <v>252.33770610062015</v>
      </c>
      <c r="S275" s="61">
        <f t="shared" si="296"/>
        <v>257.78729996754282</v>
      </c>
      <c r="T275" s="61">
        <f t="shared" si="296"/>
        <v>263.04394422899742</v>
      </c>
      <c r="U275" s="61">
        <f t="shared" si="296"/>
        <v>268.02971133511028</v>
      </c>
    </row>
    <row r="276" spans="1:21" s="61" customFormat="1" x14ac:dyDescent="0.25">
      <c r="A276"/>
      <c r="B276"/>
      <c r="C276"/>
      <c r="D276" s="61" t="s">
        <v>194</v>
      </c>
      <c r="G276" s="61">
        <f>G267</f>
        <v>37.450000000000003</v>
      </c>
      <c r="H276" s="61">
        <f t="shared" ref="H276:K276" si="297">H267</f>
        <v>53.8</v>
      </c>
      <c r="I276" s="61">
        <f t="shared" si="297"/>
        <v>28.75</v>
      </c>
      <c r="J276" s="61">
        <f t="shared" si="297"/>
        <v>12.469999999999999</v>
      </c>
      <c r="K276" s="61">
        <f t="shared" si="297"/>
        <v>-10.62</v>
      </c>
      <c r="L276" s="61">
        <f>L267</f>
        <v>24.369999999999997</v>
      </c>
      <c r="M276" s="61">
        <f t="shared" ref="M276:U276" si="298">M267</f>
        <v>24.369999999999997</v>
      </c>
      <c r="N276" s="61">
        <f t="shared" si="298"/>
        <v>24.369999999999997</v>
      </c>
      <c r="O276" s="61">
        <f t="shared" si="298"/>
        <v>24.369999999999997</v>
      </c>
      <c r="P276" s="61">
        <f t="shared" si="298"/>
        <v>24.369999999999997</v>
      </c>
      <c r="Q276" s="61">
        <f t="shared" si="298"/>
        <v>24.369999999999997</v>
      </c>
      <c r="R276" s="61">
        <f t="shared" si="298"/>
        <v>24.369999999999997</v>
      </c>
      <c r="S276" s="61">
        <f t="shared" si="298"/>
        <v>24.369999999999997</v>
      </c>
      <c r="T276" s="61">
        <f t="shared" si="298"/>
        <v>24.369999999999997</v>
      </c>
      <c r="U276" s="61">
        <f t="shared" si="298"/>
        <v>24.369999999999997</v>
      </c>
    </row>
    <row r="277" spans="1:21" s="51" customFormat="1" x14ac:dyDescent="0.25">
      <c r="A277"/>
      <c r="B277"/>
      <c r="C277"/>
      <c r="D277" s="51" t="s">
        <v>198</v>
      </c>
      <c r="G277" s="51">
        <f t="shared" ref="G277:K277" si="299">SUM(G273:G276)</f>
        <v>2702.1599999999994</v>
      </c>
      <c r="H277" s="51">
        <f t="shared" si="299"/>
        <v>2700.2300000000009</v>
      </c>
      <c r="I277" s="51">
        <f t="shared" si="299"/>
        <v>2714.75</v>
      </c>
      <c r="J277" s="51">
        <f t="shared" si="299"/>
        <v>2887.9900000000002</v>
      </c>
      <c r="K277" s="51">
        <f t="shared" si="299"/>
        <v>3145.2999999999997</v>
      </c>
      <c r="L277" s="51">
        <f t="shared" ref="L277" si="300">SUM(L273:L276)</f>
        <v>3415.1728647358141</v>
      </c>
      <c r="M277" s="51">
        <f t="shared" ref="M277" si="301">SUM(M273:M276)</f>
        <v>3789.4479056642344</v>
      </c>
      <c r="N277" s="51">
        <f t="shared" ref="N277" si="302">SUM(N273:N276)</f>
        <v>4173.3658663205006</v>
      </c>
      <c r="O277" s="51">
        <f t="shared" ref="O277" si="303">SUM(O273:O276)</f>
        <v>4546.2410471251278</v>
      </c>
      <c r="P277" s="51">
        <f t="shared" ref="P277" si="304">SUM(P273:P276)</f>
        <v>4910.7187270404902</v>
      </c>
      <c r="Q277" s="51">
        <f t="shared" ref="Q277" si="305">SUM(Q273:Q276)</f>
        <v>5269.323415019222</v>
      </c>
      <c r="R277" s="51">
        <f t="shared" ref="R277" si="306">SUM(R273:R276)</f>
        <v>5624.4632780987968</v>
      </c>
      <c r="S277" s="51">
        <f t="shared" ref="S277" si="307">SUM(S273:S276)</f>
        <v>5976.0979612010251</v>
      </c>
      <c r="T277" s="51">
        <f t="shared" ref="T277" si="308">SUM(T273:T276)</f>
        <v>6324.8877180266045</v>
      </c>
      <c r="U277" s="51">
        <f t="shared" ref="U277" si="309">SUM(U273:U276)</f>
        <v>6670.9799776742502</v>
      </c>
    </row>
    <row r="278" spans="1:21" s="51" customFormat="1" x14ac:dyDescent="0.25">
      <c r="A278"/>
      <c r="B278"/>
      <c r="C278"/>
    </row>
    <row r="279" spans="1:21" s="51" customFormat="1" x14ac:dyDescent="0.25">
      <c r="A279"/>
      <c r="B279"/>
      <c r="C279"/>
      <c r="D279" s="51" t="s">
        <v>151</v>
      </c>
      <c r="G279" s="51">
        <f t="shared" ref="G279" si="310">G126+G232+G245</f>
        <v>58136.840000000004</v>
      </c>
      <c r="H279" s="51">
        <f t="shared" ref="H279:K279" si="311">H126+H232+H245</f>
        <v>60297.29</v>
      </c>
      <c r="I279" s="51">
        <f t="shared" si="311"/>
        <v>61112.29</v>
      </c>
      <c r="J279" s="51">
        <f t="shared" ref="J279" si="312">J126+J232+J245</f>
        <v>63751.749999999993</v>
      </c>
      <c r="K279" s="51">
        <f t="shared" si="311"/>
        <v>70627.509999999995</v>
      </c>
      <c r="L279" s="51">
        <f t="shared" ref="L279:U279" si="313">L126+L232+L245</f>
        <v>76935.009999999995</v>
      </c>
      <c r="M279" s="51">
        <f t="shared" si="313"/>
        <v>86191.37830883573</v>
      </c>
      <c r="N279" s="51">
        <f t="shared" si="313"/>
        <v>95821.308858599921</v>
      </c>
      <c r="O279" s="51">
        <f t="shared" si="313"/>
        <v>105836.20400902037</v>
      </c>
      <c r="P279" s="51">
        <f t="shared" si="313"/>
        <v>116223.51030824543</v>
      </c>
      <c r="Q279" s="51">
        <f t="shared" si="313"/>
        <v>126974.57944898587</v>
      </c>
      <c r="R279" s="51">
        <f t="shared" si="313"/>
        <v>138084.827471625</v>
      </c>
      <c r="S279" s="51">
        <f t="shared" si="313"/>
        <v>149550.16119004777</v>
      </c>
      <c r="T279" s="51">
        <f t="shared" si="313"/>
        <v>161367.20715081753</v>
      </c>
      <c r="U279" s="51">
        <f t="shared" si="313"/>
        <v>173532.92661150664</v>
      </c>
    </row>
    <row r="280" spans="1:21" s="61" customFormat="1" x14ac:dyDescent="0.25">
      <c r="A280"/>
      <c r="B280"/>
      <c r="C280"/>
      <c r="D280" s="61" t="s">
        <v>152</v>
      </c>
      <c r="G280" s="61">
        <f t="shared" ref="G280" si="314">G127+G233+G246</f>
        <v>1974.8600000000001</v>
      </c>
      <c r="H280" s="61">
        <f t="shared" ref="H280:K280" si="315">H127+H233+H246</f>
        <v>1168.75</v>
      </c>
      <c r="I280" s="61">
        <f t="shared" si="315"/>
        <v>2863.4599999999996</v>
      </c>
      <c r="J280" s="61">
        <f t="shared" si="315"/>
        <v>6950.25</v>
      </c>
      <c r="K280" s="61">
        <f t="shared" si="315"/>
        <v>6491.5</v>
      </c>
      <c r="L280" s="61">
        <f t="shared" ref="L280:U280" si="316">L127+L233+L246</f>
        <v>9527.5839088357461</v>
      </c>
      <c r="M280" s="61">
        <f t="shared" si="316"/>
        <v>9901.8589497641678</v>
      </c>
      <c r="N280" s="61">
        <f t="shared" si="316"/>
        <v>10285.776910420436</v>
      </c>
      <c r="O280" s="61">
        <f t="shared" si="316"/>
        <v>10658.652091225058</v>
      </c>
      <c r="P280" s="61">
        <f t="shared" si="316"/>
        <v>11023.129771140422</v>
      </c>
      <c r="Q280" s="61">
        <f t="shared" si="316"/>
        <v>11381.734459119154</v>
      </c>
      <c r="R280" s="61">
        <f t="shared" si="316"/>
        <v>11736.87432219873</v>
      </c>
      <c r="S280" s="61">
        <f t="shared" si="316"/>
        <v>12088.509005300959</v>
      </c>
      <c r="T280" s="61">
        <f t="shared" si="316"/>
        <v>12437.298762126538</v>
      </c>
      <c r="U280" s="61">
        <f t="shared" si="316"/>
        <v>12783.391021774185</v>
      </c>
    </row>
    <row r="281" spans="1:21" s="61" customFormat="1" x14ac:dyDescent="0.25">
      <c r="A281"/>
      <c r="B281"/>
      <c r="C281"/>
      <c r="D281" s="61" t="s">
        <v>155</v>
      </c>
      <c r="G281" s="61">
        <f t="shared" ref="G281" si="317">G128+G234+G247</f>
        <v>184.17</v>
      </c>
      <c r="H281" s="61">
        <f t="shared" ref="H281:K281" si="318">H128+H234+H247</f>
        <v>-91.23</v>
      </c>
      <c r="I281" s="61">
        <f t="shared" si="318"/>
        <v>33.980000000000004</v>
      </c>
      <c r="J281" s="61">
        <f t="shared" si="318"/>
        <v>187.98</v>
      </c>
      <c r="K281" s="61">
        <f t="shared" si="318"/>
        <v>48.12</v>
      </c>
      <c r="L281" s="61">
        <f t="shared" ref="L281:U281" si="319">L128+L234+L247</f>
        <v>72.038000000000011</v>
      </c>
      <c r="M281" s="61">
        <f t="shared" si="319"/>
        <v>72.038000000000011</v>
      </c>
      <c r="N281" s="61">
        <f t="shared" si="319"/>
        <v>72.038000000000011</v>
      </c>
      <c r="O281" s="61">
        <f t="shared" si="319"/>
        <v>72.038000000000011</v>
      </c>
      <c r="P281" s="61">
        <f t="shared" si="319"/>
        <v>72.038000000000011</v>
      </c>
      <c r="Q281" s="61">
        <f t="shared" si="319"/>
        <v>72.038000000000011</v>
      </c>
      <c r="R281" s="61">
        <f t="shared" si="319"/>
        <v>72.038000000000011</v>
      </c>
      <c r="S281" s="61">
        <f t="shared" si="319"/>
        <v>72.038000000000011</v>
      </c>
      <c r="T281" s="61">
        <f t="shared" si="319"/>
        <v>72.038000000000011</v>
      </c>
      <c r="U281" s="61">
        <f t="shared" si="319"/>
        <v>72.038000000000011</v>
      </c>
    </row>
    <row r="282" spans="1:21" s="61" customFormat="1" x14ac:dyDescent="0.25">
      <c r="A282"/>
      <c r="B282"/>
      <c r="C282"/>
      <c r="D282" s="61" t="s">
        <v>153</v>
      </c>
      <c r="G282" s="61">
        <f>G129+G235+G249</f>
        <v>491.19999999999993</v>
      </c>
      <c r="H282" s="61">
        <f t="shared" ref="H282:U282" si="320">H129+H235+H249</f>
        <v>209.09999999999997</v>
      </c>
      <c r="I282" s="61">
        <f t="shared" si="320"/>
        <v>8.3000000000000114</v>
      </c>
      <c r="J282" s="61">
        <f t="shared" si="320"/>
        <v>262.46999999999997</v>
      </c>
      <c r="K282" s="61">
        <f t="shared" si="320"/>
        <v>-225.83999999999995</v>
      </c>
      <c r="L282" s="61">
        <f t="shared" si="320"/>
        <v>190.26960000000003</v>
      </c>
      <c r="M282" s="61">
        <f t="shared" si="320"/>
        <v>190.98240000000004</v>
      </c>
      <c r="N282" s="61">
        <f t="shared" si="320"/>
        <v>189.93576000000002</v>
      </c>
      <c r="O282" s="61">
        <f t="shared" si="320"/>
        <v>190.39979200000005</v>
      </c>
      <c r="P282" s="61">
        <f t="shared" si="320"/>
        <v>191.11463040000001</v>
      </c>
      <c r="Q282" s="61">
        <f t="shared" si="320"/>
        <v>190.54043648000004</v>
      </c>
      <c r="R282" s="61">
        <f t="shared" si="320"/>
        <v>190.59460377600004</v>
      </c>
      <c r="S282" s="61">
        <f t="shared" si="320"/>
        <v>190.51704453120004</v>
      </c>
      <c r="T282" s="61">
        <f t="shared" si="320"/>
        <v>190.63330143744002</v>
      </c>
      <c r="U282" s="61">
        <f t="shared" si="320"/>
        <v>190.68000332492801</v>
      </c>
    </row>
    <row r="283" spans="1:21" s="51" customFormat="1" x14ac:dyDescent="0.25">
      <c r="A283"/>
      <c r="B283"/>
      <c r="C283"/>
      <c r="D283" s="51" t="s">
        <v>154</v>
      </c>
      <c r="E283" s="52"/>
      <c r="G283" s="51">
        <f>G130+G236+G250</f>
        <v>60101.960000000014</v>
      </c>
      <c r="H283" s="51">
        <f t="shared" ref="H283:U283" si="321">H130+H236+H250</f>
        <v>61112.29</v>
      </c>
      <c r="I283" s="51">
        <f t="shared" si="321"/>
        <v>63751.749999999993</v>
      </c>
      <c r="J283" s="51">
        <f t="shared" si="321"/>
        <v>70627.509999999995</v>
      </c>
      <c r="K283" s="51">
        <f t="shared" si="321"/>
        <v>76935.009999999995</v>
      </c>
      <c r="L283" s="51">
        <f t="shared" si="321"/>
        <v>86191.37830883573</v>
      </c>
      <c r="M283" s="51">
        <f t="shared" si="321"/>
        <v>95821.308858599921</v>
      </c>
      <c r="N283" s="51">
        <f t="shared" si="321"/>
        <v>105836.20400902037</v>
      </c>
      <c r="O283" s="51">
        <f t="shared" si="321"/>
        <v>116223.51030824543</v>
      </c>
      <c r="P283" s="51">
        <f t="shared" si="321"/>
        <v>126974.57944898587</v>
      </c>
      <c r="Q283" s="51">
        <f t="shared" si="321"/>
        <v>138084.827471625</v>
      </c>
      <c r="R283" s="51">
        <f t="shared" si="321"/>
        <v>149550.16119004777</v>
      </c>
      <c r="S283" s="51">
        <f t="shared" si="321"/>
        <v>161367.20715081753</v>
      </c>
      <c r="T283" s="51">
        <f t="shared" si="321"/>
        <v>173532.92661150664</v>
      </c>
      <c r="U283" s="51">
        <f t="shared" si="321"/>
        <v>186044.69162995589</v>
      </c>
    </row>
    <row r="284" spans="1:21" s="61" customFormat="1" x14ac:dyDescent="0.25">
      <c r="A284"/>
      <c r="B284"/>
      <c r="C284"/>
      <c r="D284" s="61" t="s">
        <v>157</v>
      </c>
      <c r="G284" s="61">
        <f t="shared" ref="G284:U287" si="322">G131+G237+G251</f>
        <v>6766.0999999999995</v>
      </c>
      <c r="H284" s="61">
        <f t="shared" si="322"/>
        <v>9398.8200000000015</v>
      </c>
      <c r="I284" s="61">
        <f t="shared" si="322"/>
        <v>11920.53</v>
      </c>
      <c r="J284" s="61">
        <f t="shared" si="322"/>
        <v>14514.390000000003</v>
      </c>
      <c r="K284" s="61">
        <f t="shared" si="322"/>
        <v>17377.77</v>
      </c>
      <c r="L284" s="61">
        <f t="shared" si="322"/>
        <v>20673.05</v>
      </c>
      <c r="M284" s="61">
        <f t="shared" si="322"/>
        <v>24239.70486473581</v>
      </c>
      <c r="N284" s="61">
        <f t="shared" si="322"/>
        <v>28180.634770400047</v>
      </c>
      <c r="O284" s="61">
        <f t="shared" si="322"/>
        <v>32505.482636720557</v>
      </c>
      <c r="P284" s="61">
        <f t="shared" si="322"/>
        <v>37203.205683845685</v>
      </c>
      <c r="Q284" s="61">
        <f t="shared" si="322"/>
        <v>42265.406410886171</v>
      </c>
      <c r="R284" s="61">
        <f t="shared" si="322"/>
        <v>47686.211825905397</v>
      </c>
      <c r="S284" s="61">
        <f t="shared" si="322"/>
        <v>53462.157104004204</v>
      </c>
      <c r="T284" s="61">
        <f t="shared" si="322"/>
        <v>59589.737065205227</v>
      </c>
      <c r="U284" s="61">
        <f t="shared" si="322"/>
        <v>66066.106783231822</v>
      </c>
    </row>
    <row r="285" spans="1:21" s="61" customFormat="1" x14ac:dyDescent="0.25">
      <c r="A285"/>
      <c r="B285"/>
      <c r="C285"/>
      <c r="D285" s="61" t="s">
        <v>158</v>
      </c>
      <c r="G285" s="61">
        <f t="shared" si="322"/>
        <v>2664.7099999999996</v>
      </c>
      <c r="H285" s="61">
        <f t="shared" si="322"/>
        <v>2646.4300000000007</v>
      </c>
      <c r="I285" s="61">
        <f t="shared" si="322"/>
        <v>2686</v>
      </c>
      <c r="J285" s="61">
        <f t="shared" si="322"/>
        <v>2875.5200000000004</v>
      </c>
      <c r="K285" s="61">
        <f t="shared" si="322"/>
        <v>3155.9199999999996</v>
      </c>
      <c r="L285" s="61">
        <f t="shared" si="322"/>
        <v>3390.8028647358142</v>
      </c>
      <c r="M285" s="61">
        <f t="shared" si="322"/>
        <v>3765.0779056642345</v>
      </c>
      <c r="N285" s="61">
        <f t="shared" si="322"/>
        <v>4148.9958663205007</v>
      </c>
      <c r="O285" s="61">
        <f t="shared" si="322"/>
        <v>4521.8710471251279</v>
      </c>
      <c r="P285" s="61">
        <f t="shared" si="322"/>
        <v>4886.3487270404903</v>
      </c>
      <c r="Q285" s="61">
        <f t="shared" si="322"/>
        <v>5244.9534150192221</v>
      </c>
      <c r="R285" s="61">
        <f t="shared" si="322"/>
        <v>5600.0932780987969</v>
      </c>
      <c r="S285" s="61">
        <f t="shared" si="322"/>
        <v>5951.7279612010252</v>
      </c>
      <c r="T285" s="61">
        <f t="shared" si="322"/>
        <v>6300.5177180266046</v>
      </c>
      <c r="U285" s="61">
        <f t="shared" si="322"/>
        <v>6646.6099776742503</v>
      </c>
    </row>
    <row r="286" spans="1:21" s="61" customFormat="1" x14ac:dyDescent="0.25">
      <c r="A286"/>
      <c r="B286"/>
      <c r="C286"/>
      <c r="D286" s="61" t="s">
        <v>159</v>
      </c>
      <c r="G286" s="61">
        <f t="shared" si="322"/>
        <v>107.32000000000001</v>
      </c>
      <c r="H286" s="61">
        <f t="shared" si="322"/>
        <v>75.399999999999991</v>
      </c>
      <c r="I286" s="61">
        <f t="shared" si="322"/>
        <v>36.680000000000014</v>
      </c>
      <c r="J286" s="61">
        <f t="shared" si="322"/>
        <v>79.649999999999991</v>
      </c>
      <c r="K286" s="61">
        <f t="shared" si="322"/>
        <v>118.78</v>
      </c>
      <c r="L286" s="61">
        <f t="shared" si="322"/>
        <v>157.47999999999999</v>
      </c>
      <c r="M286" s="61">
        <f t="shared" si="322"/>
        <v>157.47999999999999</v>
      </c>
      <c r="N286" s="61">
        <f t="shared" si="322"/>
        <v>157.47999999999999</v>
      </c>
      <c r="O286" s="61">
        <f t="shared" si="322"/>
        <v>157.47999999999999</v>
      </c>
      <c r="P286" s="61">
        <f t="shared" si="322"/>
        <v>157.47999999999999</v>
      </c>
      <c r="Q286" s="61">
        <f t="shared" si="322"/>
        <v>157.47999999999999</v>
      </c>
      <c r="R286" s="61">
        <f t="shared" si="322"/>
        <v>157.47999999999999</v>
      </c>
      <c r="S286" s="61">
        <f t="shared" si="322"/>
        <v>157.47999999999999</v>
      </c>
      <c r="T286" s="61">
        <f t="shared" si="322"/>
        <v>157.47999999999999</v>
      </c>
      <c r="U286" s="61">
        <f t="shared" si="322"/>
        <v>157.47999999999999</v>
      </c>
    </row>
    <row r="287" spans="1:21" s="61" customFormat="1" x14ac:dyDescent="0.25">
      <c r="A287"/>
      <c r="B287"/>
      <c r="C287"/>
      <c r="D287" s="61" t="s">
        <v>161</v>
      </c>
      <c r="G287" s="61">
        <f t="shared" si="322"/>
        <v>44.730000000000004</v>
      </c>
      <c r="H287" s="61">
        <f t="shared" si="322"/>
        <v>-36.1</v>
      </c>
      <c r="I287" s="61">
        <f t="shared" si="322"/>
        <v>-3.67</v>
      </c>
      <c r="J287" s="61">
        <f t="shared" si="322"/>
        <v>66.319999999999993</v>
      </c>
      <c r="K287" s="61">
        <f t="shared" si="322"/>
        <v>20.580000000000002</v>
      </c>
      <c r="L287" s="61">
        <f t="shared" si="322"/>
        <v>18.372</v>
      </c>
      <c r="M287" s="61">
        <f t="shared" si="322"/>
        <v>18.372</v>
      </c>
      <c r="N287" s="61">
        <f t="shared" si="322"/>
        <v>18.372</v>
      </c>
      <c r="O287" s="61">
        <f t="shared" si="322"/>
        <v>18.372</v>
      </c>
      <c r="P287" s="61">
        <f t="shared" si="322"/>
        <v>18.372</v>
      </c>
      <c r="Q287" s="61">
        <f t="shared" si="322"/>
        <v>18.372</v>
      </c>
      <c r="R287" s="61">
        <f t="shared" si="322"/>
        <v>18.372</v>
      </c>
      <c r="S287" s="61">
        <f t="shared" si="322"/>
        <v>18.372</v>
      </c>
      <c r="T287" s="61">
        <f t="shared" si="322"/>
        <v>18.372</v>
      </c>
      <c r="U287" s="61">
        <f t="shared" si="322"/>
        <v>18.372</v>
      </c>
    </row>
    <row r="288" spans="1:21" s="53" customFormat="1" x14ac:dyDescent="0.25">
      <c r="A288"/>
      <c r="B288"/>
      <c r="C288"/>
      <c r="D288" s="53" t="s">
        <v>160</v>
      </c>
      <c r="E288" s="55"/>
      <c r="G288" s="53">
        <f>G135+G241+G255+G263</f>
        <v>56982.39</v>
      </c>
      <c r="H288" s="53">
        <f t="shared" ref="H288:U288" si="323">H135+H241+H255+H263</f>
        <v>55411.61</v>
      </c>
      <c r="I288" s="53">
        <f t="shared" si="323"/>
        <v>55487.569999999978</v>
      </c>
      <c r="J288" s="53">
        <f t="shared" si="323"/>
        <v>59578.999999999985</v>
      </c>
      <c r="K288" s="53">
        <f t="shared" si="323"/>
        <v>62877.61</v>
      </c>
      <c r="L288" s="53">
        <f t="shared" si="323"/>
        <v>68650.293444099923</v>
      </c>
      <c r="M288" s="53">
        <f t="shared" si="323"/>
        <v>74355.524088199876</v>
      </c>
      <c r="N288" s="53">
        <f t="shared" si="323"/>
        <v>80061.8013722998</v>
      </c>
      <c r="O288" s="53">
        <f t="shared" si="323"/>
        <v>85767.614624399765</v>
      </c>
      <c r="P288" s="53">
        <f t="shared" si="323"/>
        <v>91472.713038099697</v>
      </c>
      <c r="Q288" s="53">
        <f t="shared" si="323"/>
        <v>97178.385645719653</v>
      </c>
      <c r="R288" s="53">
        <f t="shared" si="323"/>
        <v>102884.00408604355</v>
      </c>
      <c r="S288" s="53">
        <f t="shared" si="323"/>
        <v>108589.70008561232</v>
      </c>
      <c r="T288" s="53">
        <f t="shared" si="323"/>
        <v>114295.27982827478</v>
      </c>
      <c r="U288" s="53">
        <f t="shared" si="323"/>
        <v>120000.8128690498</v>
      </c>
    </row>
    <row r="289" spans="1:21" s="1" customFormat="1" x14ac:dyDescent="0.25">
      <c r="A289"/>
      <c r="B289"/>
      <c r="C289"/>
      <c r="E289"/>
      <c r="L289" s="44"/>
      <c r="M289" s="44"/>
      <c r="N289" s="44"/>
      <c r="O289" s="44"/>
      <c r="P289" s="44"/>
      <c r="Q289" s="44"/>
      <c r="R289" s="44"/>
      <c r="S289" s="44"/>
      <c r="T289" s="44"/>
      <c r="U289" s="44"/>
    </row>
    <row r="290" spans="1:21" s="1" customFormat="1" x14ac:dyDescent="0.25">
      <c r="A290"/>
      <c r="B290"/>
      <c r="C290"/>
      <c r="G290" s="7"/>
    </row>
    <row r="291" spans="1:21" s="1" customFormat="1" x14ac:dyDescent="0.25">
      <c r="A291"/>
      <c r="B291"/>
      <c r="C291"/>
    </row>
    <row r="292" spans="1:21" s="1" customFormat="1" x14ac:dyDescent="0.25">
      <c r="A292"/>
      <c r="B292"/>
      <c r="C292"/>
    </row>
    <row r="294" spans="1:21" s="5" customFormat="1" x14ac:dyDescent="0.25">
      <c r="A294" s="1"/>
      <c r="B294" s="1"/>
      <c r="C294" s="1"/>
      <c r="D294" s="5" t="str">
        <f>D252</f>
        <v>Dep for the Year</v>
      </c>
      <c r="G294" s="30">
        <f>G277</f>
        <v>2702.1599999999994</v>
      </c>
      <c r="H294" s="30">
        <f t="shared" ref="H294:U294" si="324">H277</f>
        <v>2700.2300000000009</v>
      </c>
      <c r="I294" s="30">
        <f t="shared" si="324"/>
        <v>2714.75</v>
      </c>
      <c r="J294" s="30">
        <f t="shared" si="324"/>
        <v>2887.9900000000002</v>
      </c>
      <c r="K294" s="30">
        <f t="shared" si="324"/>
        <v>3145.2999999999997</v>
      </c>
      <c r="L294" s="30">
        <f t="shared" si="324"/>
        <v>3415.1728647358141</v>
      </c>
      <c r="M294" s="30">
        <f t="shared" si="324"/>
        <v>3789.4479056642344</v>
      </c>
      <c r="N294" s="30">
        <f t="shared" si="324"/>
        <v>4173.3658663205006</v>
      </c>
      <c r="O294" s="30">
        <f t="shared" si="324"/>
        <v>4546.2410471251278</v>
      </c>
      <c r="P294" s="30">
        <f t="shared" si="324"/>
        <v>4910.7187270404902</v>
      </c>
      <c r="Q294" s="30">
        <f t="shared" si="324"/>
        <v>5269.323415019222</v>
      </c>
      <c r="R294" s="30">
        <f t="shared" si="324"/>
        <v>5624.4632780987968</v>
      </c>
      <c r="S294" s="30">
        <f t="shared" si="324"/>
        <v>5976.0979612010251</v>
      </c>
      <c r="T294" s="30">
        <f t="shared" si="324"/>
        <v>6324.8877180266045</v>
      </c>
      <c r="U294" s="30">
        <f t="shared" si="324"/>
        <v>6670.9799776742502</v>
      </c>
    </row>
    <row r="295" spans="1:21" x14ac:dyDescent="0.25">
      <c r="D295" s="1" t="s">
        <v>195</v>
      </c>
      <c r="G295" s="28">
        <f>(G288*10^7)/('Revenue Build up'!G23*10^6)</f>
        <v>6965.2108544187749</v>
      </c>
      <c r="H295" s="28">
        <f>(H288*10^7)/('Revenue Build up'!H23*10^6)</f>
        <v>6511.352526439483</v>
      </c>
      <c r="I295" s="28">
        <f>(I288*10^7)/('Revenue Build up'!I23*10^6)</f>
        <v>5996.7113368637174</v>
      </c>
      <c r="J295" s="28">
        <f>(J288*10^7)/('Revenue Build up'!J23*10^6)</f>
        <v>5723.7967143817841</v>
      </c>
      <c r="K295" s="28">
        <f>(K288*10^7)/('Revenue Build up'!K23*10^6)</f>
        <v>5364.9837883959044</v>
      </c>
      <c r="L295" s="28">
        <f>+AVERAGE(G295:K295)</f>
        <v>6112.411044099933</v>
      </c>
      <c r="M295" s="28">
        <f>L295</f>
        <v>6112.411044099933</v>
      </c>
      <c r="N295" s="28">
        <f t="shared" ref="N295:U295" si="325">M295</f>
        <v>6112.411044099933</v>
      </c>
      <c r="O295" s="28">
        <f t="shared" si="325"/>
        <v>6112.411044099933</v>
      </c>
      <c r="P295" s="28">
        <f t="shared" si="325"/>
        <v>6112.411044099933</v>
      </c>
      <c r="Q295" s="28">
        <f t="shared" si="325"/>
        <v>6112.411044099933</v>
      </c>
      <c r="R295" s="28">
        <f t="shared" si="325"/>
        <v>6112.411044099933</v>
      </c>
      <c r="S295" s="28">
        <f t="shared" si="325"/>
        <v>6112.411044099933</v>
      </c>
      <c r="T295" s="28">
        <f t="shared" si="325"/>
        <v>6112.411044099933</v>
      </c>
      <c r="U295" s="28">
        <f t="shared" si="325"/>
        <v>6112.411044099933</v>
      </c>
    </row>
    <row r="296" spans="1:21" x14ac:dyDescent="0.25">
      <c r="D296" s="1" t="s">
        <v>196</v>
      </c>
      <c r="G296" s="28">
        <f>G294</f>
        <v>2702.1599999999994</v>
      </c>
      <c r="H296" s="28">
        <f t="shared" ref="H296:U296" si="326">H294</f>
        <v>2700.2300000000009</v>
      </c>
      <c r="I296" s="28">
        <f t="shared" si="326"/>
        <v>2714.75</v>
      </c>
      <c r="J296" s="28">
        <f t="shared" si="326"/>
        <v>2887.9900000000002</v>
      </c>
      <c r="K296" s="28">
        <f t="shared" si="326"/>
        <v>3145.2999999999997</v>
      </c>
      <c r="L296" s="28">
        <f t="shared" si="326"/>
        <v>3415.1728647358141</v>
      </c>
      <c r="M296" s="28">
        <f t="shared" si="326"/>
        <v>3789.4479056642344</v>
      </c>
      <c r="N296" s="28">
        <f t="shared" si="326"/>
        <v>4173.3658663205006</v>
      </c>
      <c r="O296" s="28">
        <f t="shared" si="326"/>
        <v>4546.2410471251278</v>
      </c>
      <c r="P296" s="28">
        <f t="shared" si="326"/>
        <v>4910.7187270404902</v>
      </c>
      <c r="Q296" s="28">
        <f t="shared" si="326"/>
        <v>5269.323415019222</v>
      </c>
      <c r="R296" s="28">
        <f t="shared" si="326"/>
        <v>5624.4632780987968</v>
      </c>
      <c r="S296" s="28">
        <f t="shared" si="326"/>
        <v>5976.0979612010251</v>
      </c>
      <c r="T296" s="28">
        <f t="shared" si="326"/>
        <v>6324.8877180266045</v>
      </c>
      <c r="U296" s="28">
        <f t="shared" si="326"/>
        <v>6670.9799776742502</v>
      </c>
    </row>
    <row r="297" spans="1:21" x14ac:dyDescent="0.25">
      <c r="G297" s="28"/>
      <c r="H297" s="28"/>
      <c r="I297" s="28"/>
      <c r="J297" s="28"/>
      <c r="K297" s="28"/>
      <c r="L297" s="28"/>
      <c r="M297" s="28"/>
      <c r="N297" s="28"/>
      <c r="O297" s="28"/>
      <c r="P297" s="28"/>
      <c r="Q297" s="28"/>
      <c r="R297" s="28"/>
      <c r="S297" s="28"/>
      <c r="T297" s="28"/>
      <c r="U297" s="28"/>
    </row>
    <row r="298" spans="1:21" x14ac:dyDescent="0.25">
      <c r="D298" s="1" t="s">
        <v>197</v>
      </c>
      <c r="E298" s="1"/>
      <c r="F298" s="1"/>
      <c r="G298" s="27">
        <f>G295+G296</f>
        <v>9667.3708544187739</v>
      </c>
      <c r="H298" s="27">
        <f t="shared" ref="H298:U298" si="327">H295+H296</f>
        <v>9211.5825264394844</v>
      </c>
      <c r="I298" s="27">
        <f t="shared" si="327"/>
        <v>8711.4613368637183</v>
      </c>
      <c r="J298" s="27">
        <f t="shared" si="327"/>
        <v>8611.7867143817839</v>
      </c>
      <c r="K298" s="27">
        <f t="shared" si="327"/>
        <v>8510.2837883959037</v>
      </c>
      <c r="L298" s="27">
        <f t="shared" si="327"/>
        <v>9527.5839088357461</v>
      </c>
      <c r="M298" s="27">
        <f t="shared" si="327"/>
        <v>9901.8589497641678</v>
      </c>
      <c r="N298" s="27">
        <f t="shared" si="327"/>
        <v>10285.776910420434</v>
      </c>
      <c r="O298" s="27">
        <f t="shared" si="327"/>
        <v>10658.65209122506</v>
      </c>
      <c r="P298" s="27">
        <f t="shared" si="327"/>
        <v>11023.129771140422</v>
      </c>
      <c r="Q298" s="27">
        <f t="shared" si="327"/>
        <v>11381.734459119154</v>
      </c>
      <c r="R298" s="27">
        <f t="shared" si="327"/>
        <v>11736.87432219873</v>
      </c>
      <c r="S298" s="27">
        <f t="shared" si="327"/>
        <v>12088.509005300959</v>
      </c>
      <c r="T298" s="27">
        <f t="shared" si="327"/>
        <v>12437.298762126538</v>
      </c>
      <c r="U298" s="27">
        <f t="shared" si="327"/>
        <v>12783.391021774183</v>
      </c>
    </row>
    <row r="299" spans="1:21" x14ac:dyDescent="0.25">
      <c r="G299" s="28"/>
      <c r="H299" s="28"/>
      <c r="I299" s="28"/>
      <c r="J299" s="28"/>
      <c r="K299" s="28"/>
      <c r="L299" s="28"/>
      <c r="M299" s="28"/>
      <c r="N299" s="28"/>
      <c r="O299" s="28"/>
      <c r="P299" s="28"/>
      <c r="Q299" s="28"/>
      <c r="R299" s="28"/>
      <c r="S299" s="28"/>
      <c r="T299" s="28"/>
      <c r="U299" s="28"/>
    </row>
    <row r="300" spans="1:21" x14ac:dyDescent="0.25">
      <c r="D300" s="1" t="s">
        <v>202</v>
      </c>
      <c r="E300" s="1"/>
      <c r="F300" s="1"/>
      <c r="G300" s="1">
        <f>'Balance sheet Historical'!E9</f>
        <v>909.52</v>
      </c>
      <c r="H300" s="1">
        <f>'Balance sheet Historical'!F9</f>
        <v>1680.96</v>
      </c>
      <c r="I300" s="1">
        <f>'Balance sheet Historical'!G9</f>
        <v>4777.25</v>
      </c>
      <c r="J300" s="1">
        <f>'Balance sheet Historical'!H9</f>
        <v>4034.91</v>
      </c>
      <c r="K300" s="1">
        <f>'Balance sheet Historical'!I9</f>
        <v>6782.77</v>
      </c>
      <c r="L300" s="63">
        <f>K300+L301</f>
        <v>9640.5444000000007</v>
      </c>
      <c r="M300" s="63">
        <f t="shared" ref="M300:U300" si="328">L300+M301</f>
        <v>12612.629776000002</v>
      </c>
      <c r="N300" s="63">
        <f t="shared" si="328"/>
        <v>15703.598567040002</v>
      </c>
      <c r="O300" s="63">
        <f t="shared" si="328"/>
        <v>18918.206109721603</v>
      </c>
      <c r="P300" s="63">
        <f t="shared" si="328"/>
        <v>22261.397954110467</v>
      </c>
      <c r="Q300" s="63">
        <f t="shared" si="328"/>
        <v>25738.317472274888</v>
      </c>
      <c r="R300" s="63">
        <f t="shared" si="328"/>
        <v>29354.313771165886</v>
      </c>
      <c r="S300" s="63">
        <f t="shared" si="328"/>
        <v>33114.949922012522</v>
      </c>
      <c r="T300" s="63">
        <f t="shared" si="328"/>
        <v>37026.011518893021</v>
      </c>
      <c r="U300" s="63">
        <f t="shared" si="328"/>
        <v>41093.515579648745</v>
      </c>
    </row>
    <row r="301" spans="1:21" x14ac:dyDescent="0.25">
      <c r="D301" s="1"/>
      <c r="G301" s="18"/>
      <c r="H301" s="64">
        <f>H300-G300</f>
        <v>771.44</v>
      </c>
      <c r="I301" s="64">
        <f t="shared" ref="I301:K301" si="329">I300-H300</f>
        <v>3096.29</v>
      </c>
      <c r="J301" s="64">
        <f t="shared" si="329"/>
        <v>-742.34000000000015</v>
      </c>
      <c r="K301" s="64">
        <f t="shared" si="329"/>
        <v>2747.8600000000006</v>
      </c>
      <c r="L301" s="64">
        <f>K301*(1+4%)</f>
        <v>2857.7744000000007</v>
      </c>
      <c r="M301" s="64">
        <f t="shared" ref="M301:U301" si="330">L301*(1+4%)</f>
        <v>2972.0853760000009</v>
      </c>
      <c r="N301" s="64">
        <f t="shared" si="330"/>
        <v>3090.9687910400012</v>
      </c>
      <c r="O301" s="64">
        <f t="shared" si="330"/>
        <v>3214.6075426816014</v>
      </c>
      <c r="P301" s="64">
        <f t="shared" si="330"/>
        <v>3343.1918443888658</v>
      </c>
      <c r="Q301" s="64">
        <f t="shared" si="330"/>
        <v>3476.9195181644204</v>
      </c>
      <c r="R301" s="64">
        <f t="shared" si="330"/>
        <v>3615.9962988909974</v>
      </c>
      <c r="S301" s="64">
        <f t="shared" si="330"/>
        <v>3760.6361508466375</v>
      </c>
      <c r="T301" s="64">
        <f t="shared" si="330"/>
        <v>3911.0615968805032</v>
      </c>
      <c r="U301" s="64">
        <f t="shared" si="330"/>
        <v>4067.5040607557235</v>
      </c>
    </row>
    <row r="303" spans="1:21" x14ac:dyDescent="0.25">
      <c r="D303" s="1" t="s">
        <v>203</v>
      </c>
      <c r="E303" s="1"/>
      <c r="F303" s="1"/>
      <c r="G303" s="1">
        <f>'Balance sheet Historical'!E13</f>
        <v>10.07</v>
      </c>
      <c r="H303" s="1">
        <f>'Balance sheet Historical'!F13</f>
        <v>5.72</v>
      </c>
      <c r="I303" s="1">
        <f>'Balance sheet Historical'!G13</f>
        <v>7.42</v>
      </c>
      <c r="J303" s="1">
        <f>'Balance sheet Historical'!H13</f>
        <v>5.48</v>
      </c>
      <c r="K303" s="1">
        <f>'Balance sheet Historical'!I13</f>
        <v>28.41</v>
      </c>
      <c r="L303" s="63">
        <f>K303+L304</f>
        <v>52.257199999999997</v>
      </c>
      <c r="M303" s="63">
        <f t="shared" ref="M303:U303" si="331">L303+M304</f>
        <v>77.058288000000005</v>
      </c>
      <c r="N303" s="63">
        <f t="shared" si="331"/>
        <v>102.85141952000001</v>
      </c>
      <c r="O303" s="63">
        <f t="shared" si="331"/>
        <v>129.6762763008</v>
      </c>
      <c r="P303" s="63">
        <f t="shared" si="331"/>
        <v>157.57412735283199</v>
      </c>
      <c r="Q303" s="63">
        <f t="shared" si="331"/>
        <v>186.58789244694529</v>
      </c>
      <c r="R303" s="63">
        <f t="shared" si="331"/>
        <v>216.76220814482312</v>
      </c>
      <c r="S303" s="63">
        <f t="shared" si="331"/>
        <v>248.14349647061604</v>
      </c>
      <c r="T303" s="63">
        <f t="shared" si="331"/>
        <v>280.78003632944069</v>
      </c>
      <c r="U303" s="63">
        <f t="shared" si="331"/>
        <v>314.72203778261832</v>
      </c>
    </row>
    <row r="304" spans="1:21" x14ac:dyDescent="0.25">
      <c r="H304" s="64">
        <f>H303-G303</f>
        <v>-4.3500000000000005</v>
      </c>
      <c r="I304" s="64">
        <f t="shared" ref="I304:K304" si="332">I303-H303</f>
        <v>1.7000000000000002</v>
      </c>
      <c r="J304" s="64">
        <f t="shared" si="332"/>
        <v>-1.9399999999999995</v>
      </c>
      <c r="K304" s="64">
        <f t="shared" si="332"/>
        <v>22.93</v>
      </c>
      <c r="L304" s="64">
        <f>K304*(1+4%)</f>
        <v>23.847200000000001</v>
      </c>
      <c r="M304" s="64">
        <f t="shared" ref="M304:U304" si="333">L304*(1+4%)</f>
        <v>24.801088</v>
      </c>
      <c r="N304" s="64">
        <f t="shared" si="333"/>
        <v>25.793131519999999</v>
      </c>
      <c r="O304" s="64">
        <f t="shared" si="333"/>
        <v>26.824856780800001</v>
      </c>
      <c r="P304" s="64">
        <f t="shared" si="333"/>
        <v>27.897851052032003</v>
      </c>
      <c r="Q304" s="64">
        <f t="shared" si="333"/>
        <v>29.013765094113285</v>
      </c>
      <c r="R304" s="64">
        <f t="shared" si="333"/>
        <v>30.17431569787782</v>
      </c>
      <c r="S304" s="64">
        <f t="shared" si="333"/>
        <v>31.381288325792934</v>
      </c>
      <c r="T304" s="64">
        <f t="shared" si="333"/>
        <v>32.636539858824655</v>
      </c>
      <c r="U304" s="64">
        <f t="shared" si="333"/>
        <v>33.942001453177639</v>
      </c>
    </row>
    <row r="306" spans="1:21" x14ac:dyDescent="0.25">
      <c r="D306" s="1" t="s">
        <v>45</v>
      </c>
      <c r="E306" s="1"/>
      <c r="F306" s="1"/>
      <c r="G306" s="1">
        <f>'Balance sheet Historical'!E14</f>
        <v>23.2</v>
      </c>
      <c r="H306" s="1">
        <f>'Balance sheet Historical'!F14</f>
        <v>28.8</v>
      </c>
      <c r="I306" s="1">
        <f>'Balance sheet Historical'!G14</f>
        <v>30.17</v>
      </c>
      <c r="J306" s="1">
        <f>'Balance sheet Historical'!H14</f>
        <v>876.01</v>
      </c>
      <c r="K306" s="1">
        <f>'Balance sheet Historical'!I14</f>
        <v>968.94</v>
      </c>
      <c r="L306" s="63">
        <f>K306+L307</f>
        <v>1065.5872000000002</v>
      </c>
      <c r="M306" s="63">
        <f t="shared" ref="M306:U306" si="334">L306+M307</f>
        <v>1166.1002880000003</v>
      </c>
      <c r="N306" s="63">
        <f t="shared" si="334"/>
        <v>1270.6338995200003</v>
      </c>
      <c r="O306" s="63">
        <f t="shared" si="334"/>
        <v>1379.3488555008005</v>
      </c>
      <c r="P306" s="63">
        <f t="shared" si="334"/>
        <v>1492.4124097208326</v>
      </c>
      <c r="Q306" s="63">
        <f t="shared" si="334"/>
        <v>1609.9985061096659</v>
      </c>
      <c r="R306" s="63">
        <f t="shared" si="334"/>
        <v>1732.2880463540525</v>
      </c>
      <c r="S306" s="63">
        <f t="shared" si="334"/>
        <v>1859.4691682082148</v>
      </c>
      <c r="T306" s="63">
        <f t="shared" si="334"/>
        <v>1991.7375349365434</v>
      </c>
      <c r="U306" s="63">
        <f t="shared" si="334"/>
        <v>2129.2966363340051</v>
      </c>
    </row>
    <row r="307" spans="1:21" x14ac:dyDescent="0.25">
      <c r="H307" s="64">
        <f>H306-G306</f>
        <v>5.6000000000000014</v>
      </c>
      <c r="I307" s="64">
        <f t="shared" ref="I307:K307" si="335">I306-H306</f>
        <v>1.370000000000001</v>
      </c>
      <c r="J307" s="64">
        <f t="shared" si="335"/>
        <v>845.84</v>
      </c>
      <c r="K307" s="64">
        <f t="shared" si="335"/>
        <v>92.930000000000064</v>
      </c>
      <c r="L307" s="64">
        <f>K307*(1+4%)</f>
        <v>96.647200000000069</v>
      </c>
      <c r="M307" s="64">
        <f t="shared" ref="M307:U307" si="336">L307*(1+4%)</f>
        <v>100.51308800000008</v>
      </c>
      <c r="N307" s="64">
        <f t="shared" si="336"/>
        <v>104.53361152000009</v>
      </c>
      <c r="O307" s="64">
        <f t="shared" si="336"/>
        <v>108.7149559808001</v>
      </c>
      <c r="P307" s="64">
        <f t="shared" si="336"/>
        <v>113.0635542200321</v>
      </c>
      <c r="Q307" s="64">
        <f t="shared" si="336"/>
        <v>117.5860963888334</v>
      </c>
      <c r="R307" s="64">
        <f t="shared" si="336"/>
        <v>122.28954024438674</v>
      </c>
      <c r="S307" s="64">
        <f t="shared" si="336"/>
        <v>127.18112185416221</v>
      </c>
      <c r="T307" s="64">
        <f t="shared" si="336"/>
        <v>132.26836672832871</v>
      </c>
      <c r="U307" s="64">
        <f t="shared" si="336"/>
        <v>137.55910139746186</v>
      </c>
    </row>
    <row r="308" spans="1:21" x14ac:dyDescent="0.25">
      <c r="A308" s="1"/>
      <c r="B308" s="1"/>
      <c r="C308" s="1"/>
      <c r="D308" s="1" t="s">
        <v>215</v>
      </c>
      <c r="E308" s="1"/>
      <c r="F308" s="1"/>
      <c r="G308" s="51">
        <f>G306+G303+G300+G288</f>
        <v>57925.18</v>
      </c>
      <c r="H308" s="51">
        <f t="shared" ref="H308:U308" si="337">H306+H303+H300+H288</f>
        <v>57127.090000000004</v>
      </c>
      <c r="I308" s="51">
        <f t="shared" si="337"/>
        <v>60302.409999999974</v>
      </c>
      <c r="J308" s="51">
        <f t="shared" si="337"/>
        <v>64495.399999999987</v>
      </c>
      <c r="K308" s="51">
        <f t="shared" si="337"/>
        <v>70657.73</v>
      </c>
      <c r="L308" s="51">
        <f t="shared" si="337"/>
        <v>79408.682244099924</v>
      </c>
      <c r="M308" s="51">
        <f t="shared" si="337"/>
        <v>88211.312440199879</v>
      </c>
      <c r="N308" s="51">
        <f t="shared" si="337"/>
        <v>97138.8852583798</v>
      </c>
      <c r="O308" s="51">
        <f t="shared" si="337"/>
        <v>106194.84586592297</v>
      </c>
      <c r="P308" s="51">
        <f t="shared" si="337"/>
        <v>115384.09752928383</v>
      </c>
      <c r="Q308" s="51">
        <f t="shared" si="337"/>
        <v>124713.28951655116</v>
      </c>
      <c r="R308" s="51">
        <f t="shared" si="337"/>
        <v>134187.36811170832</v>
      </c>
      <c r="S308" s="51">
        <f t="shared" si="337"/>
        <v>143812.26267230368</v>
      </c>
      <c r="T308" s="51">
        <f t="shared" si="337"/>
        <v>153593.80891843379</v>
      </c>
      <c r="U308" s="51">
        <f t="shared" si="337"/>
        <v>163538.34712281518</v>
      </c>
    </row>
    <row r="310" spans="1:21" s="104" customFormat="1" x14ac:dyDescent="0.25">
      <c r="A310"/>
      <c r="B310"/>
      <c r="C310"/>
      <c r="G310" s="154"/>
      <c r="H310" s="154"/>
      <c r="I310" s="154"/>
      <c r="J310" s="154"/>
      <c r="K310" s="154"/>
    </row>
    <row r="311" spans="1:21" x14ac:dyDescent="0.25">
      <c r="G311" s="62"/>
      <c r="H311" s="50"/>
      <c r="I311" s="50"/>
      <c r="J311" s="50"/>
      <c r="K311" s="50"/>
    </row>
  </sheetData>
  <mergeCells count="2">
    <mergeCell ref="D138:U138"/>
    <mergeCell ref="G3:U3"/>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4:T30"/>
  <sheetViews>
    <sheetView showGridLines="0" topLeftCell="C8" workbookViewId="0">
      <selection activeCell="F16" sqref="F16"/>
    </sheetView>
  </sheetViews>
  <sheetFormatPr defaultRowHeight="15" x14ac:dyDescent="0.25"/>
  <cols>
    <col min="1" max="3" width="1.42578125" customWidth="1"/>
    <col min="4" max="4" width="42.5703125" customWidth="1"/>
    <col min="5" max="5" width="3" customWidth="1"/>
    <col min="6" max="12" width="9.28515625" bestFit="1" customWidth="1"/>
    <col min="13" max="16" width="9.7109375" bestFit="1" customWidth="1"/>
    <col min="17" max="20" width="10.42578125" bestFit="1" customWidth="1"/>
  </cols>
  <sheetData>
    <row r="4" spans="3:20" x14ac:dyDescent="0.25">
      <c r="F4" s="98">
        <v>2020</v>
      </c>
      <c r="G4" s="98">
        <f>F4+1</f>
        <v>2021</v>
      </c>
      <c r="H4" s="98">
        <f t="shared" ref="H4:T4" si="0">G4+1</f>
        <v>2022</v>
      </c>
      <c r="I4" s="98">
        <f t="shared" si="0"/>
        <v>2023</v>
      </c>
      <c r="J4" s="98">
        <f t="shared" si="0"/>
        <v>2024</v>
      </c>
      <c r="K4" s="100">
        <f t="shared" si="0"/>
        <v>2025</v>
      </c>
      <c r="L4" s="100">
        <f t="shared" si="0"/>
        <v>2026</v>
      </c>
      <c r="M4" s="100">
        <f t="shared" si="0"/>
        <v>2027</v>
      </c>
      <c r="N4" s="100">
        <f t="shared" si="0"/>
        <v>2028</v>
      </c>
      <c r="O4" s="100">
        <f t="shared" si="0"/>
        <v>2029</v>
      </c>
      <c r="P4" s="100">
        <f t="shared" si="0"/>
        <v>2030</v>
      </c>
      <c r="Q4" s="100">
        <f t="shared" si="0"/>
        <v>2031</v>
      </c>
      <c r="R4" s="100">
        <f t="shared" si="0"/>
        <v>2032</v>
      </c>
      <c r="S4" s="100">
        <f t="shared" si="0"/>
        <v>2033</v>
      </c>
      <c r="T4" s="100">
        <f t="shared" si="0"/>
        <v>2034</v>
      </c>
    </row>
    <row r="5" spans="3:20" x14ac:dyDescent="0.25">
      <c r="F5" s="101" t="s">
        <v>127</v>
      </c>
      <c r="G5" s="101" t="s">
        <v>127</v>
      </c>
      <c r="H5" s="101" t="s">
        <v>127</v>
      </c>
      <c r="I5" s="101" t="s">
        <v>127</v>
      </c>
      <c r="J5" s="101" t="s">
        <v>127</v>
      </c>
      <c r="K5" s="101" t="s">
        <v>128</v>
      </c>
      <c r="L5" s="101" t="s">
        <v>128</v>
      </c>
      <c r="M5" s="101" t="s">
        <v>128</v>
      </c>
      <c r="N5" s="101" t="s">
        <v>128</v>
      </c>
      <c r="O5" s="101" t="s">
        <v>128</v>
      </c>
      <c r="P5" s="101" t="s">
        <v>128</v>
      </c>
      <c r="Q5" s="101" t="s">
        <v>128</v>
      </c>
      <c r="R5" s="101" t="s">
        <v>128</v>
      </c>
      <c r="S5" s="101" t="s">
        <v>128</v>
      </c>
      <c r="T5" s="101" t="s">
        <v>128</v>
      </c>
    </row>
    <row r="6" spans="3:20" x14ac:dyDescent="0.25">
      <c r="C6" s="40" t="s">
        <v>90</v>
      </c>
      <c r="D6" s="15"/>
      <c r="E6" s="15"/>
      <c r="F6" s="41">
        <v>12</v>
      </c>
      <c r="G6" s="41">
        <f>F6</f>
        <v>12</v>
      </c>
      <c r="H6" s="41">
        <f t="shared" ref="H6:T6" si="1">G6</f>
        <v>12</v>
      </c>
      <c r="I6" s="41">
        <f t="shared" si="1"/>
        <v>12</v>
      </c>
      <c r="J6" s="41">
        <f t="shared" si="1"/>
        <v>12</v>
      </c>
      <c r="K6" s="41">
        <f t="shared" si="1"/>
        <v>12</v>
      </c>
      <c r="L6" s="41">
        <f t="shared" si="1"/>
        <v>12</v>
      </c>
      <c r="M6" s="41">
        <f t="shared" si="1"/>
        <v>12</v>
      </c>
      <c r="N6" s="41">
        <f t="shared" si="1"/>
        <v>12</v>
      </c>
      <c r="O6" s="41">
        <f t="shared" si="1"/>
        <v>12</v>
      </c>
      <c r="P6" s="41">
        <f t="shared" si="1"/>
        <v>12</v>
      </c>
      <c r="Q6" s="41">
        <f t="shared" si="1"/>
        <v>12</v>
      </c>
      <c r="R6" s="41">
        <f t="shared" si="1"/>
        <v>12</v>
      </c>
      <c r="S6" s="41">
        <f t="shared" si="1"/>
        <v>12</v>
      </c>
      <c r="T6" s="41">
        <f t="shared" si="1"/>
        <v>12</v>
      </c>
    </row>
    <row r="8" spans="3:20" x14ac:dyDescent="0.25">
      <c r="C8" s="1" t="s">
        <v>0</v>
      </c>
    </row>
    <row r="9" spans="3:20" x14ac:dyDescent="0.25">
      <c r="D9" t="s">
        <v>1</v>
      </c>
      <c r="F9" s="28">
        <f>'Revenue Build up'!G10</f>
        <v>42124.829999999994</v>
      </c>
      <c r="G9" s="28">
        <f>'Revenue Build up'!H10</f>
        <v>44725.8</v>
      </c>
      <c r="H9" s="28">
        <f>'Revenue Build up'!I10</f>
        <v>52598.83</v>
      </c>
      <c r="I9" s="28">
        <f>'Revenue Build up'!J10</f>
        <v>63239.979999999996</v>
      </c>
      <c r="J9" s="28">
        <f>'Revenue Build up'!K10</f>
        <v>70908.14</v>
      </c>
      <c r="K9" s="28">
        <f>'Revenue Build up'!L10</f>
        <v>80848.467274343071</v>
      </c>
      <c r="L9" s="28">
        <f>'Revenue Build up'!M10</f>
        <v>92182.289094179068</v>
      </c>
      <c r="M9" s="28">
        <f>'Revenue Build up'!N10</f>
        <v>105104.95386149982</v>
      </c>
      <c r="N9" s="28">
        <f>'Revenue Build up'!O10</f>
        <v>119839.19508596339</v>
      </c>
      <c r="O9" s="28">
        <f>'Revenue Build up'!P10</f>
        <v>136638.97039311889</v>
      </c>
      <c r="P9" s="28">
        <f>'Revenue Build up'!Q10</f>
        <v>155793.83870777037</v>
      </c>
      <c r="Q9" s="28">
        <f>'Revenue Build up'!R10</f>
        <v>177633.9510570924</v>
      </c>
      <c r="R9" s="28">
        <f>'Revenue Build up'!S10</f>
        <v>202535.74101438277</v>
      </c>
      <c r="S9" s="28">
        <f>'Revenue Build up'!T10</f>
        <v>230928.4128632643</v>
      </c>
      <c r="T9" s="28">
        <f>'Revenue Build up'!U10</f>
        <v>263301.33931156009</v>
      </c>
    </row>
    <row r="10" spans="3:20" x14ac:dyDescent="0.25">
      <c r="D10" t="s">
        <v>129</v>
      </c>
      <c r="F10" s="149">
        <f>-'Cost Build Up'!G23</f>
        <v>-6313.1</v>
      </c>
      <c r="G10" s="149">
        <f>-'Cost Build Up'!H23</f>
        <v>-7085.8099999999995</v>
      </c>
      <c r="H10" s="149">
        <f>-'Cost Build Up'!I23</f>
        <v>-7964.99</v>
      </c>
      <c r="I10" s="149">
        <f>-'Cost Build Up'!J23</f>
        <v>-9714.9599999999991</v>
      </c>
      <c r="J10" s="149">
        <f>-'Cost Build Up'!K23</f>
        <v>-11902.92</v>
      </c>
      <c r="K10" s="149">
        <f>-'Cost Build Up'!L23</f>
        <v>-12631.890602609541</v>
      </c>
      <c r="L10" s="149">
        <f>-'Cost Build Up'!M23</f>
        <v>-14402.704597781852</v>
      </c>
      <c r="M10" s="149">
        <f>-'Cost Build Up'!N23</f>
        <v>-16421.761892722003</v>
      </c>
      <c r="N10" s="149">
        <f>-'Cost Build Up'!O23</f>
        <v>-18723.862718311168</v>
      </c>
      <c r="O10" s="149">
        <f>-'Cost Build Up'!P23</f>
        <v>-21348.68580998843</v>
      </c>
      <c r="P10" s="149">
        <f>-'Cost Build Up'!Q23</f>
        <v>-24341.4723057054</v>
      </c>
      <c r="Q10" s="149">
        <f>-'Cost Build Up'!R23</f>
        <v>-27753.805516787652</v>
      </c>
      <c r="R10" s="149">
        <f>-'Cost Build Up'!S23</f>
        <v>-31644.500011740391</v>
      </c>
      <c r="S10" s="149">
        <f>-'Cost Build Up'!T23</f>
        <v>-36080.615337141004</v>
      </c>
      <c r="T10" s="149">
        <f>-'Cost Build Up'!U23</f>
        <v>-41138.611847990993</v>
      </c>
    </row>
    <row r="11" spans="3:20" x14ac:dyDescent="0.25">
      <c r="F11" s="28"/>
      <c r="G11" s="28"/>
      <c r="H11" s="28"/>
      <c r="I11" s="28"/>
      <c r="J11" s="28"/>
      <c r="K11" s="28"/>
      <c r="L11" s="28"/>
      <c r="M11" s="28"/>
      <c r="N11" s="28"/>
      <c r="O11" s="28"/>
      <c r="P11" s="28"/>
      <c r="Q11" s="28"/>
      <c r="R11" s="28"/>
      <c r="S11" s="28"/>
      <c r="T11" s="28"/>
    </row>
    <row r="12" spans="3:20" x14ac:dyDescent="0.25">
      <c r="D12" s="5" t="s">
        <v>135</v>
      </c>
      <c r="E12" s="5"/>
      <c r="F12" s="30">
        <f>SUM(F9:F10)</f>
        <v>35811.729999999996</v>
      </c>
      <c r="G12" s="30">
        <f t="shared" ref="G12:T12" si="2">SUM(G9:G10)</f>
        <v>37639.990000000005</v>
      </c>
      <c r="H12" s="30">
        <f t="shared" si="2"/>
        <v>44633.840000000004</v>
      </c>
      <c r="I12" s="30">
        <f t="shared" si="2"/>
        <v>53525.02</v>
      </c>
      <c r="J12" s="30">
        <f t="shared" si="2"/>
        <v>59005.22</v>
      </c>
      <c r="K12" s="30">
        <f t="shared" si="2"/>
        <v>68216.576671733535</v>
      </c>
      <c r="L12" s="30">
        <f t="shared" si="2"/>
        <v>77779.584496397219</v>
      </c>
      <c r="M12" s="30">
        <f t="shared" si="2"/>
        <v>88683.191968777814</v>
      </c>
      <c r="N12" s="30">
        <f t="shared" si="2"/>
        <v>101115.33236765223</v>
      </c>
      <c r="O12" s="30">
        <f t="shared" si="2"/>
        <v>115290.28458313046</v>
      </c>
      <c r="P12" s="30">
        <f t="shared" si="2"/>
        <v>131452.36640206497</v>
      </c>
      <c r="Q12" s="30">
        <f t="shared" si="2"/>
        <v>149880.14554030474</v>
      </c>
      <c r="R12" s="30">
        <f t="shared" si="2"/>
        <v>170891.24100264237</v>
      </c>
      <c r="S12" s="30">
        <f t="shared" si="2"/>
        <v>194847.79752612329</v>
      </c>
      <c r="T12" s="30">
        <f t="shared" si="2"/>
        <v>222162.72746356908</v>
      </c>
    </row>
    <row r="13" spans="3:20" x14ac:dyDescent="0.25">
      <c r="D13" s="2" t="s">
        <v>199</v>
      </c>
      <c r="F13" s="149">
        <f>-'Cost Build Up'!G42</f>
        <v>-26528.16</v>
      </c>
      <c r="G13" s="149">
        <f>-'Cost Build Up'!H42</f>
        <v>-26072.079999999998</v>
      </c>
      <c r="H13" s="149">
        <f>-'Cost Build Up'!I42</f>
        <v>-33119.49</v>
      </c>
      <c r="I13" s="149">
        <f>-'Cost Build Up'!J42</f>
        <v>-42905.17</v>
      </c>
      <c r="J13" s="149">
        <f>-'Cost Build Up'!K42</f>
        <v>-46036.66</v>
      </c>
      <c r="K13" s="149">
        <f>-'Cost Build Up'!L42</f>
        <v>-51258.551537605388</v>
      </c>
      <c r="L13" s="149">
        <f>-'Cost Build Up'!M42</f>
        <v>-58444.281947295705</v>
      </c>
      <c r="M13" s="149">
        <f>-'Cost Build Up'!N42</f>
        <v>-66637.351034569758</v>
      </c>
      <c r="N13" s="149">
        <f>-'Cost Build Up'!O42</f>
        <v>-75978.97356167181</v>
      </c>
      <c r="O13" s="149">
        <f>-'Cost Build Up'!P42</f>
        <v>-86630.160621037328</v>
      </c>
      <c r="P13" s="149">
        <f>-'Cost Build Up'!Q42</f>
        <v>-98774.494803290829</v>
      </c>
      <c r="Q13" s="149">
        <f>-'Cost Build Up'!R42</f>
        <v>-112621.29440489666</v>
      </c>
      <c r="R13" s="149">
        <f>-'Cost Build Up'!S42</f>
        <v>-128409.22121336767</v>
      </c>
      <c r="S13" s="149">
        <f>-'Cost Build Up'!T42</f>
        <v>-146410.39405338842</v>
      </c>
      <c r="T13" s="149">
        <f>-'Cost Build Up'!U42</f>
        <v>-166935.07899444332</v>
      </c>
    </row>
    <row r="14" spans="3:20" x14ac:dyDescent="0.25">
      <c r="D14" s="2"/>
      <c r="F14" s="28"/>
      <c r="G14" s="28"/>
      <c r="H14" s="28"/>
      <c r="I14" s="28"/>
      <c r="J14" s="28"/>
      <c r="K14" s="28"/>
      <c r="L14" s="28"/>
      <c r="M14" s="28"/>
      <c r="N14" s="28"/>
      <c r="O14" s="28"/>
      <c r="P14" s="28"/>
      <c r="Q14" s="28"/>
      <c r="R14" s="28"/>
      <c r="S14" s="28"/>
      <c r="T14" s="28"/>
    </row>
    <row r="15" spans="3:20" x14ac:dyDescent="0.25">
      <c r="C15" s="1"/>
      <c r="D15" s="5" t="s">
        <v>11</v>
      </c>
      <c r="E15" s="5"/>
      <c r="F15" s="30">
        <f>SUM(F12:F13)</f>
        <v>9283.5699999999961</v>
      </c>
      <c r="G15" s="30">
        <f t="shared" ref="G15:T15" si="3">SUM(G12:G13)</f>
        <v>11567.910000000007</v>
      </c>
      <c r="H15" s="30">
        <f t="shared" si="3"/>
        <v>11514.350000000006</v>
      </c>
      <c r="I15" s="30">
        <f t="shared" si="3"/>
        <v>10619.849999999999</v>
      </c>
      <c r="J15" s="30">
        <f t="shared" si="3"/>
        <v>12968.559999999998</v>
      </c>
      <c r="K15" s="30">
        <f t="shared" si="3"/>
        <v>16958.025134128147</v>
      </c>
      <c r="L15" s="30">
        <f t="shared" si="3"/>
        <v>19335.302549101514</v>
      </c>
      <c r="M15" s="30">
        <f t="shared" si="3"/>
        <v>22045.840934208056</v>
      </c>
      <c r="N15" s="30">
        <f t="shared" si="3"/>
        <v>25136.358805980417</v>
      </c>
      <c r="O15" s="30">
        <f t="shared" si="3"/>
        <v>28660.12396209313</v>
      </c>
      <c r="P15" s="30">
        <f t="shared" si="3"/>
        <v>32677.871598774145</v>
      </c>
      <c r="Q15" s="30">
        <f t="shared" si="3"/>
        <v>37258.851135408084</v>
      </c>
      <c r="R15" s="30">
        <f t="shared" si="3"/>
        <v>42482.019789274709</v>
      </c>
      <c r="S15" s="30">
        <f t="shared" si="3"/>
        <v>48437.403472734877</v>
      </c>
      <c r="T15" s="30">
        <f t="shared" si="3"/>
        <v>55227.648469125765</v>
      </c>
    </row>
    <row r="16" spans="3:20" x14ac:dyDescent="0.25">
      <c r="D16" t="s">
        <v>200</v>
      </c>
      <c r="F16" s="149">
        <f>-FAS!G294</f>
        <v>-2702.1599999999994</v>
      </c>
      <c r="G16" s="149">
        <f>-FAS!H294</f>
        <v>-2700.2300000000009</v>
      </c>
      <c r="H16" s="149">
        <f>-FAS!I294</f>
        <v>-2714.75</v>
      </c>
      <c r="I16" s="149">
        <f>-FAS!J294</f>
        <v>-2887.9900000000002</v>
      </c>
      <c r="J16" s="149">
        <f>-FAS!K294</f>
        <v>-3145.2999999999997</v>
      </c>
      <c r="K16" s="149">
        <f>-FAS!L294</f>
        <v>-3415.1728647358141</v>
      </c>
      <c r="L16" s="149">
        <f>-FAS!M294</f>
        <v>-3789.4479056642344</v>
      </c>
      <c r="M16" s="149">
        <f>-FAS!N294</f>
        <v>-4173.3658663205006</v>
      </c>
      <c r="N16" s="149">
        <f>-FAS!O294</f>
        <v>-4546.2410471251278</v>
      </c>
      <c r="O16" s="149">
        <f>-FAS!P294</f>
        <v>-4910.7187270404902</v>
      </c>
      <c r="P16" s="149">
        <f>-FAS!Q294</f>
        <v>-5269.323415019222</v>
      </c>
      <c r="Q16" s="149">
        <f>-FAS!R294</f>
        <v>-5624.4632780987968</v>
      </c>
      <c r="R16" s="149">
        <f>-FAS!S294</f>
        <v>-5976.0979612010251</v>
      </c>
      <c r="S16" s="149">
        <f>-FAS!T294</f>
        <v>-6324.8877180266045</v>
      </c>
      <c r="T16" s="149">
        <f>-FAS!U294</f>
        <v>-6670.9799776742502</v>
      </c>
    </row>
    <row r="17" spans="4:20" x14ac:dyDescent="0.25">
      <c r="F17" s="28"/>
      <c r="G17" s="28"/>
      <c r="H17" s="28"/>
      <c r="I17" s="28"/>
      <c r="J17" s="28"/>
      <c r="K17" s="28"/>
      <c r="L17" s="28"/>
      <c r="M17" s="28"/>
      <c r="N17" s="28"/>
      <c r="O17" s="28"/>
      <c r="P17" s="28"/>
      <c r="Q17" s="28"/>
      <c r="R17" s="28"/>
      <c r="S17" s="28"/>
      <c r="T17" s="28"/>
    </row>
    <row r="18" spans="4:20" x14ac:dyDescent="0.25">
      <c r="D18" s="5" t="s">
        <v>13</v>
      </c>
      <c r="E18" s="5"/>
      <c r="F18" s="30">
        <f>SUM(F15:F16)</f>
        <v>6581.4099999999962</v>
      </c>
      <c r="G18" s="30">
        <f t="shared" ref="G18:T18" si="4">SUM(G15:G16)</f>
        <v>8867.6800000000057</v>
      </c>
      <c r="H18" s="30">
        <f t="shared" si="4"/>
        <v>8799.6000000000058</v>
      </c>
      <c r="I18" s="30">
        <f t="shared" si="4"/>
        <v>7731.8599999999988</v>
      </c>
      <c r="J18" s="30">
        <f t="shared" si="4"/>
        <v>9823.2599999999984</v>
      </c>
      <c r="K18" s="30">
        <f t="shared" si="4"/>
        <v>13542.852269392333</v>
      </c>
      <c r="L18" s="30">
        <f t="shared" si="4"/>
        <v>15545.85464343728</v>
      </c>
      <c r="M18" s="30">
        <f t="shared" si="4"/>
        <v>17872.475067887557</v>
      </c>
      <c r="N18" s="30">
        <f t="shared" si="4"/>
        <v>20590.117758855289</v>
      </c>
      <c r="O18" s="30">
        <f t="shared" si="4"/>
        <v>23749.40523505264</v>
      </c>
      <c r="P18" s="30">
        <f t="shared" si="4"/>
        <v>27408.548183754923</v>
      </c>
      <c r="Q18" s="30">
        <f t="shared" si="4"/>
        <v>31634.387857309288</v>
      </c>
      <c r="R18" s="30">
        <f t="shared" si="4"/>
        <v>36505.921828073682</v>
      </c>
      <c r="S18" s="30">
        <f t="shared" si="4"/>
        <v>42112.515754708271</v>
      </c>
      <c r="T18" s="30">
        <f t="shared" si="4"/>
        <v>48556.668491451514</v>
      </c>
    </row>
    <row r="19" spans="4:20" x14ac:dyDescent="0.25">
      <c r="D19" s="3" t="s">
        <v>131</v>
      </c>
      <c r="F19" s="149">
        <f>-'Cost Build Up'!G44</f>
        <v>-1985.65</v>
      </c>
      <c r="G19" s="149">
        <f>-'Cost Build Up'!H44</f>
        <v>-1485.65</v>
      </c>
      <c r="H19" s="149">
        <f>-'Cost Build Up'!I44</f>
        <v>-944.71</v>
      </c>
      <c r="I19" s="149">
        <f>-'Cost Build Up'!J44</f>
        <v>-822.72</v>
      </c>
      <c r="J19" s="149">
        <f>-'Cost Build Up'!K44</f>
        <v>-968</v>
      </c>
      <c r="K19" s="149">
        <f>-'Cost Build Up'!L44</f>
        <v>-2020.8195755231563</v>
      </c>
      <c r="L19" s="149">
        <f>-'Cost Build Up'!M44</f>
        <v>-2304.1101532071743</v>
      </c>
      <c r="M19" s="149">
        <f>-'Cost Build Up'!N44</f>
        <v>-2627.1140988615957</v>
      </c>
      <c r="N19" s="149">
        <f>-'Cost Build Up'!O44</f>
        <v>-2995.3986699944035</v>
      </c>
      <c r="O19" s="149">
        <f>-'Cost Build Up'!P44</f>
        <v>-3415.3115755772656</v>
      </c>
      <c r="P19" s="149">
        <f>-'Cost Build Up'!Q44</f>
        <v>-3894.0903844007689</v>
      </c>
      <c r="Q19" s="149">
        <f>-'Cost Build Up'!R44</f>
        <v>-4439.9872709474485</v>
      </c>
      <c r="R19" s="149">
        <f>-'Cost Build Up'!S44</f>
        <v>-5062.4112488875699</v>
      </c>
      <c r="S19" s="149">
        <f>-'Cost Build Up'!T44</f>
        <v>-5772.0903437172774</v>
      </c>
      <c r="T19" s="149">
        <f>-'Cost Build Up'!U44</f>
        <v>-6581.2564997273639</v>
      </c>
    </row>
    <row r="20" spans="4:20" x14ac:dyDescent="0.25">
      <c r="D20" t="s">
        <v>2</v>
      </c>
      <c r="F20" s="28">
        <f>'Revenue Build up'!G16</f>
        <v>647.77</v>
      </c>
      <c r="G20" s="28">
        <f>'Revenue Build up'!H16</f>
        <v>734.17</v>
      </c>
      <c r="H20" s="28">
        <f>'Revenue Build up'!I16</f>
        <v>507.81</v>
      </c>
      <c r="I20" s="28">
        <f>'Revenue Build up'!J16</f>
        <v>503.08</v>
      </c>
      <c r="J20" s="28">
        <f>'Revenue Build up'!K16</f>
        <v>616.95000000000005</v>
      </c>
      <c r="K20" s="28">
        <f>'Revenue Build up'!L16</f>
        <v>703.4377419137769</v>
      </c>
      <c r="L20" s="28">
        <f>'Revenue Build up'!M16</f>
        <v>802.0498529034013</v>
      </c>
      <c r="M20" s="28">
        <f>'Revenue Build up'!N16</f>
        <v>914.48599956016778</v>
      </c>
      <c r="N20" s="28">
        <f>'Revenue Build up'!O16</f>
        <v>1042.6841179064227</v>
      </c>
      <c r="O20" s="28">
        <f>'Revenue Build up'!P16</f>
        <v>1188.8538154298606</v>
      </c>
      <c r="P20" s="28">
        <f>'Revenue Build up'!Q16</f>
        <v>1355.514455614813</v>
      </c>
      <c r="Q20" s="28">
        <f>'Revenue Build up'!R16</f>
        <v>1545.5385813909822</v>
      </c>
      <c r="R20" s="28">
        <f>'Revenue Build up'!S16</f>
        <v>1762.2014259409916</v>
      </c>
      <c r="S20" s="28">
        <f>'Revenue Build up'!T16</f>
        <v>2009.2373642291411</v>
      </c>
      <c r="T20" s="28">
        <f>'Revenue Build up'!U16</f>
        <v>2290.9042782431893</v>
      </c>
    </row>
    <row r="21" spans="4:20" x14ac:dyDescent="0.25">
      <c r="D21" t="s">
        <v>23</v>
      </c>
      <c r="F21" s="149">
        <f>-'Cost Build Up'!G47</f>
        <v>0</v>
      </c>
      <c r="G21" s="149">
        <f>-'Cost Build Up'!H47</f>
        <v>-260.74</v>
      </c>
      <c r="H21" s="149">
        <f>-'Cost Build Up'!I47</f>
        <v>0</v>
      </c>
      <c r="I21" s="149">
        <f>-'Cost Build Up'!J47</f>
        <v>0</v>
      </c>
      <c r="J21" s="149">
        <f>-'Cost Build Up'!K47</f>
        <v>-72</v>
      </c>
      <c r="K21" s="149">
        <f>-'Cost Build Up'!L47</f>
        <v>-110.68386449309168</v>
      </c>
      <c r="L21" s="149">
        <f>-'Cost Build Up'!M47</f>
        <v>-126.20019078581875</v>
      </c>
      <c r="M21" s="149">
        <f>-'Cost Build Up'!N47</f>
        <v>-143.89168852494396</v>
      </c>
      <c r="N21" s="149">
        <f>-'Cost Build Up'!O47</f>
        <v>-164.0632862568232</v>
      </c>
      <c r="O21" s="149">
        <f>-'Cost Build Up'!P47</f>
        <v>-187.06265923568091</v>
      </c>
      <c r="P21" s="149">
        <f>-'Cost Build Up'!Q47</f>
        <v>-213.28622191285135</v>
      </c>
      <c r="Q21" s="149">
        <f>-'Cost Build Up'!R47</f>
        <v>-243.1859604890135</v>
      </c>
      <c r="R21" s="149">
        <f>-'Cost Build Up'!S47</f>
        <v>-277.27722329447221</v>
      </c>
      <c r="S21" s="149">
        <f>-'Cost Build Up'!T47</f>
        <v>-316.14760327155454</v>
      </c>
      <c r="T21" s="149">
        <f>-'Cost Build Up'!U47</f>
        <v>-360.46706565652789</v>
      </c>
    </row>
    <row r="22" spans="4:20" x14ac:dyDescent="0.25">
      <c r="F22" s="28"/>
      <c r="G22" s="28"/>
      <c r="H22" s="28"/>
      <c r="I22" s="28"/>
      <c r="J22" s="28"/>
      <c r="K22" s="28"/>
      <c r="L22" s="28"/>
      <c r="M22" s="28"/>
      <c r="N22" s="28"/>
      <c r="O22" s="28"/>
      <c r="P22" s="28"/>
      <c r="Q22" s="28"/>
      <c r="R22" s="28"/>
      <c r="S22" s="28"/>
      <c r="T22" s="28"/>
    </row>
    <row r="23" spans="4:20" x14ac:dyDescent="0.25">
      <c r="D23" s="5" t="s">
        <v>15</v>
      </c>
      <c r="E23" s="5"/>
      <c r="F23" s="30">
        <f>SUM(F18:F20)</f>
        <v>5243.529999999997</v>
      </c>
      <c r="G23" s="30">
        <f t="shared" ref="G23:T23" si="5">SUM(G18:G20)</f>
        <v>8116.2000000000062</v>
      </c>
      <c r="H23" s="30">
        <f t="shared" si="5"/>
        <v>8362.7000000000062</v>
      </c>
      <c r="I23" s="30">
        <f t="shared" si="5"/>
        <v>7412.2199999999984</v>
      </c>
      <c r="J23" s="30">
        <f t="shared" si="5"/>
        <v>9472.2099999999991</v>
      </c>
      <c r="K23" s="30">
        <f t="shared" si="5"/>
        <v>12225.470435782952</v>
      </c>
      <c r="L23" s="30">
        <f t="shared" si="5"/>
        <v>14043.794343133508</v>
      </c>
      <c r="M23" s="30">
        <f t="shared" si="5"/>
        <v>16159.846968586129</v>
      </c>
      <c r="N23" s="30">
        <f t="shared" si="5"/>
        <v>18637.403206767307</v>
      </c>
      <c r="O23" s="30">
        <f t="shared" si="5"/>
        <v>21522.947474905235</v>
      </c>
      <c r="P23" s="30">
        <f t="shared" si="5"/>
        <v>24869.972254968965</v>
      </c>
      <c r="Q23" s="30">
        <f t="shared" si="5"/>
        <v>28739.939167752822</v>
      </c>
      <c r="R23" s="30">
        <f t="shared" si="5"/>
        <v>33205.712005127105</v>
      </c>
      <c r="S23" s="30">
        <f t="shared" si="5"/>
        <v>38349.662775220138</v>
      </c>
      <c r="T23" s="30">
        <f t="shared" si="5"/>
        <v>44266.316269967334</v>
      </c>
    </row>
    <row r="24" spans="4:20" x14ac:dyDescent="0.25">
      <c r="D24" s="2" t="s">
        <v>16</v>
      </c>
      <c r="F24" s="149">
        <f>-'Cost Build Up'!G50*'Income '!F23</f>
        <v>568.15999999999917</v>
      </c>
      <c r="G24" s="149">
        <f>-'Cost Build Up'!H50*'Income '!G23</f>
        <v>-2622.9650383300286</v>
      </c>
      <c r="H24" s="149">
        <f>-'Cost Build Up'!I50*'Income '!H23</f>
        <v>-1190.0600000000013</v>
      </c>
      <c r="I24" s="149">
        <f>-'Cost Build Up'!J50*'Income '!I23</f>
        <v>-2342.8499999999995</v>
      </c>
      <c r="J24" s="149">
        <f>-'Cost Build Up'!K50*'Income '!J23</f>
        <v>-2436.7824287542526</v>
      </c>
      <c r="K24" s="149">
        <f>-'Cost Build Up'!L50*'Income '!K23</f>
        <v>-3145.0750713054813</v>
      </c>
      <c r="L24" s="149">
        <f>-'Cost Build Up'!M50*'Income '!L23</f>
        <v>-3612.8497244450982</v>
      </c>
      <c r="M24" s="149">
        <f>-'Cost Build Up'!N50*'Income '!M23</f>
        <v>-4157.2168632672156</v>
      </c>
      <c r="N24" s="149">
        <f>-'Cost Build Up'!O50*'Income '!N23</f>
        <v>-4794.5829591889042</v>
      </c>
      <c r="O24" s="149">
        <f>-'Cost Build Up'!P50*'Income '!O23</f>
        <v>-5536.9064053531101</v>
      </c>
      <c r="P24" s="149">
        <f>-'Cost Build Up'!Q50*'Income '!P23</f>
        <v>-6397.9484612898314</v>
      </c>
      <c r="Q24" s="149">
        <f>-'Cost Build Up'!R50*'Income '!Q23</f>
        <v>-7393.520494947451</v>
      </c>
      <c r="R24" s="149">
        <f>-'Cost Build Up'!S50*'Income '!R23</f>
        <v>-8542.3671506826668</v>
      </c>
      <c r="S24" s="149">
        <f>-'Cost Build Up'!T50*'Income '!S23</f>
        <v>-9865.6791181052231</v>
      </c>
      <c r="T24" s="149">
        <f>-'Cost Build Up'!U50*'Income '!T23</f>
        <v>-11387.773462828092</v>
      </c>
    </row>
    <row r="25" spans="4:20" x14ac:dyDescent="0.25">
      <c r="D25" s="2" t="s">
        <v>22</v>
      </c>
      <c r="F25" s="28">
        <f>'Revenue Build up'!G19</f>
        <v>-1.23</v>
      </c>
      <c r="G25" s="28">
        <f>'Revenue Build up'!H19</f>
        <v>2.1800000000000002</v>
      </c>
      <c r="H25" s="28">
        <f>'Revenue Build up'!I19</f>
        <v>1.7</v>
      </c>
      <c r="I25" s="28">
        <f>'Revenue Build up'!J19</f>
        <v>4.03</v>
      </c>
      <c r="J25" s="28">
        <f>'Revenue Build up'!K19</f>
        <v>22.01</v>
      </c>
      <c r="K25" s="28">
        <f>'Revenue Build up'!L19</f>
        <v>25.095493475196093</v>
      </c>
      <c r="L25" s="28">
        <f>'Revenue Build up'!M19</f>
        <v>28.613529884761913</v>
      </c>
      <c r="M25" s="28">
        <f>'Revenue Build up'!N19</f>
        <v>32.624745684932805</v>
      </c>
      <c r="N25" s="28">
        <f>'Revenue Build up'!O19</f>
        <v>37.198277713137799</v>
      </c>
      <c r="O25" s="28">
        <f>'Revenue Build up'!P19</f>
        <v>42.412954822289052</v>
      </c>
      <c r="P25" s="28">
        <f>'Revenue Build up'!Q19</f>
        <v>48.358656565494826</v>
      </c>
      <c r="Q25" s="28">
        <f>'Revenue Build up'!R19</f>
        <v>55.137862349324131</v>
      </c>
      <c r="R25" s="28">
        <f>'Revenue Build up'!S19</f>
        <v>62.867417756643533</v>
      </c>
      <c r="S25" s="28">
        <f>'Revenue Build up'!T19</f>
        <v>71.680548483156485</v>
      </c>
      <c r="T25" s="28">
        <f>'Revenue Build up'!U19</f>
        <v>81.729156599615195</v>
      </c>
    </row>
    <row r="26" spans="4:20" x14ac:dyDescent="0.25">
      <c r="D26" s="2"/>
      <c r="F26" s="28"/>
      <c r="G26" s="28"/>
      <c r="H26" s="28"/>
      <c r="I26" s="28"/>
      <c r="J26" s="28"/>
      <c r="K26" s="28"/>
      <c r="L26" s="28"/>
      <c r="M26" s="28"/>
      <c r="N26" s="28"/>
      <c r="O26" s="28"/>
      <c r="P26" s="28"/>
      <c r="Q26" s="28"/>
      <c r="R26" s="28"/>
      <c r="S26" s="28"/>
      <c r="T26" s="28"/>
    </row>
    <row r="27" spans="4:20" x14ac:dyDescent="0.25">
      <c r="D27" s="10" t="s">
        <v>201</v>
      </c>
      <c r="E27" s="5"/>
      <c r="F27" s="30">
        <f>SUM(F23:F25)</f>
        <v>5810.4599999999964</v>
      </c>
      <c r="G27" s="30">
        <f t="shared" ref="G27:T27" si="6">SUM(G23:G25)</f>
        <v>5495.4149616699779</v>
      </c>
      <c r="H27" s="30">
        <f t="shared" si="6"/>
        <v>7174.3400000000047</v>
      </c>
      <c r="I27" s="30">
        <f t="shared" si="6"/>
        <v>5073.3999999999987</v>
      </c>
      <c r="J27" s="30">
        <f t="shared" si="6"/>
        <v>7057.4375712457468</v>
      </c>
      <c r="K27" s="30">
        <f t="shared" si="6"/>
        <v>9105.4908579526655</v>
      </c>
      <c r="L27" s="30">
        <f t="shared" si="6"/>
        <v>10459.558148573171</v>
      </c>
      <c r="M27" s="30">
        <f t="shared" si="6"/>
        <v>12035.254851003845</v>
      </c>
      <c r="N27" s="30">
        <f t="shared" si="6"/>
        <v>13880.01852529154</v>
      </c>
      <c r="O27" s="30">
        <f t="shared" si="6"/>
        <v>16028.454024374412</v>
      </c>
      <c r="P27" s="30">
        <f t="shared" si="6"/>
        <v>18520.38245024463</v>
      </c>
      <c r="Q27" s="30">
        <f t="shared" si="6"/>
        <v>21401.556535154697</v>
      </c>
      <c r="R27" s="30">
        <f t="shared" si="6"/>
        <v>24726.212272201083</v>
      </c>
      <c r="S27" s="30">
        <f t="shared" si="6"/>
        <v>28555.66420559807</v>
      </c>
      <c r="T27" s="30">
        <f t="shared" si="6"/>
        <v>32960.271963738851</v>
      </c>
    </row>
    <row r="28" spans="4:20" x14ac:dyDescent="0.25">
      <c r="D28" s="6"/>
      <c r="F28" s="28"/>
      <c r="G28" s="28"/>
      <c r="H28" s="28"/>
      <c r="I28" s="28"/>
      <c r="J28" s="28"/>
      <c r="K28" s="28"/>
      <c r="L28" s="28"/>
      <c r="M28" s="28"/>
      <c r="N28" s="28"/>
      <c r="O28" s="28"/>
      <c r="P28" s="28"/>
      <c r="Q28" s="28"/>
      <c r="R28" s="28"/>
      <c r="S28" s="28"/>
      <c r="T28" s="28"/>
    </row>
    <row r="29" spans="4:20" x14ac:dyDescent="0.25">
      <c r="D29" s="8" t="s">
        <v>212</v>
      </c>
      <c r="E29" s="8"/>
      <c r="F29" s="151">
        <f>'Income statement Historical'!G34</f>
        <v>379.98</v>
      </c>
      <c r="G29" s="151">
        <f>'Income statement Historical'!H34</f>
        <v>374.8</v>
      </c>
      <c r="H29" s="151">
        <f>'Income statement Historical'!I34</f>
        <v>1065</v>
      </c>
      <c r="I29" s="151">
        <f>'Income statement Historical'!J34</f>
        <v>1091.27</v>
      </c>
      <c r="J29" s="151">
        <f>'Income statement Historical'!K34</f>
        <v>1094.43</v>
      </c>
      <c r="K29" s="151">
        <f>J29/J27*K27</f>
        <v>1412.0312449196917</v>
      </c>
      <c r="L29" s="151">
        <f t="shared" ref="L29:T29" si="7">K29/K27*L27</f>
        <v>1622.0128210815076</v>
      </c>
      <c r="M29" s="151">
        <f t="shared" si="7"/>
        <v>1866.3635113472387</v>
      </c>
      <c r="N29" s="151">
        <f t="shared" si="7"/>
        <v>2152.4396810149078</v>
      </c>
      <c r="O29" s="151">
        <f t="shared" si="7"/>
        <v>2485.6076672031618</v>
      </c>
      <c r="P29" s="151">
        <f t="shared" si="7"/>
        <v>2872.04271527738</v>
      </c>
      <c r="Q29" s="151">
        <f t="shared" si="7"/>
        <v>3318.8399163741983</v>
      </c>
      <c r="R29" s="151">
        <f t="shared" si="7"/>
        <v>3834.4099007436675</v>
      </c>
      <c r="S29" s="151">
        <f t="shared" si="7"/>
        <v>4428.2610028126974</v>
      </c>
      <c r="T29" s="151">
        <f t="shared" si="7"/>
        <v>5111.3042207056069</v>
      </c>
    </row>
    <row r="30" spans="4:20" x14ac:dyDescent="0.25">
      <c r="D30" s="40" t="s">
        <v>213</v>
      </c>
      <c r="E30" s="40"/>
      <c r="F30" s="156">
        <f>F29/F27</f>
        <v>6.5395855061389327E-2</v>
      </c>
      <c r="G30" s="156">
        <f t="shared" ref="G30:T30" si="8">G29/G27</f>
        <v>6.8202310947252598E-2</v>
      </c>
      <c r="H30" s="156">
        <f t="shared" si="8"/>
        <v>0.14844571068558213</v>
      </c>
      <c r="I30" s="156">
        <f t="shared" si="8"/>
        <v>0.21509638506721335</v>
      </c>
      <c r="J30" s="156">
        <f t="shared" si="8"/>
        <v>0.15507469799790469</v>
      </c>
      <c r="K30" s="156">
        <f t="shared" si="8"/>
        <v>0.15507469799790469</v>
      </c>
      <c r="L30" s="156">
        <f t="shared" si="8"/>
        <v>0.15507469799790469</v>
      </c>
      <c r="M30" s="156">
        <f t="shared" si="8"/>
        <v>0.15507469799790469</v>
      </c>
      <c r="N30" s="156">
        <f t="shared" si="8"/>
        <v>0.15507469799790469</v>
      </c>
      <c r="O30" s="156">
        <f t="shared" si="8"/>
        <v>0.15507469799790469</v>
      </c>
      <c r="P30" s="156">
        <f t="shared" si="8"/>
        <v>0.15507469799790469</v>
      </c>
      <c r="Q30" s="156">
        <f t="shared" si="8"/>
        <v>0.15507469799790469</v>
      </c>
      <c r="R30" s="156">
        <f t="shared" si="8"/>
        <v>0.15507469799790469</v>
      </c>
      <c r="S30" s="156">
        <f t="shared" si="8"/>
        <v>0.15507469799790469</v>
      </c>
      <c r="T30" s="156">
        <f t="shared" si="8"/>
        <v>0.15507469799790469</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4:X88"/>
  <sheetViews>
    <sheetView showGridLines="0" workbookViewId="0">
      <selection activeCell="E15" sqref="E15"/>
    </sheetView>
  </sheetViews>
  <sheetFormatPr defaultRowHeight="15" x14ac:dyDescent="0.25"/>
  <cols>
    <col min="1" max="3" width="1.42578125" customWidth="1"/>
    <col min="4" max="4" width="53.5703125" customWidth="1"/>
    <col min="5" max="9" width="15.7109375" bestFit="1" customWidth="1"/>
    <col min="10" max="10" width="9.85546875" bestFit="1" customWidth="1"/>
  </cols>
  <sheetData>
    <row r="4" spans="3:19" x14ac:dyDescent="0.25">
      <c r="E4" s="98">
        <v>2020</v>
      </c>
      <c r="F4" s="98">
        <f>E4+1</f>
        <v>2021</v>
      </c>
      <c r="G4" s="98">
        <f t="shared" ref="G4:S4" si="0">F4+1</f>
        <v>2022</v>
      </c>
      <c r="H4" s="98">
        <f t="shared" si="0"/>
        <v>2023</v>
      </c>
      <c r="I4" s="98">
        <f t="shared" si="0"/>
        <v>2024</v>
      </c>
      <c r="J4" s="100">
        <f t="shared" si="0"/>
        <v>2025</v>
      </c>
      <c r="K4" s="100">
        <f t="shared" si="0"/>
        <v>2026</v>
      </c>
      <c r="L4" s="100">
        <f t="shared" si="0"/>
        <v>2027</v>
      </c>
      <c r="M4" s="100">
        <f t="shared" si="0"/>
        <v>2028</v>
      </c>
      <c r="N4" s="100">
        <f t="shared" si="0"/>
        <v>2029</v>
      </c>
      <c r="O4" s="100">
        <f t="shared" si="0"/>
        <v>2030</v>
      </c>
      <c r="P4" s="100">
        <f t="shared" si="0"/>
        <v>2031</v>
      </c>
      <c r="Q4" s="100">
        <f t="shared" si="0"/>
        <v>2032</v>
      </c>
      <c r="R4" s="100">
        <f t="shared" si="0"/>
        <v>2033</v>
      </c>
      <c r="S4" s="100">
        <f t="shared" si="0"/>
        <v>2034</v>
      </c>
    </row>
    <row r="5" spans="3:19" x14ac:dyDescent="0.25">
      <c r="E5" s="101" t="s">
        <v>127</v>
      </c>
      <c r="F5" s="101" t="s">
        <v>127</v>
      </c>
      <c r="G5" s="101" t="s">
        <v>127</v>
      </c>
      <c r="H5" s="101" t="s">
        <v>127</v>
      </c>
      <c r="I5" s="101" t="s">
        <v>127</v>
      </c>
      <c r="J5" s="101" t="s">
        <v>128</v>
      </c>
      <c r="K5" s="101" t="s">
        <v>128</v>
      </c>
      <c r="L5" s="101" t="s">
        <v>128</v>
      </c>
      <c r="M5" s="101" t="s">
        <v>128</v>
      </c>
      <c r="N5" s="101" t="s">
        <v>128</v>
      </c>
      <c r="O5" s="101" t="s">
        <v>128</v>
      </c>
      <c r="P5" s="101" t="s">
        <v>128</v>
      </c>
      <c r="Q5" s="101" t="s">
        <v>128</v>
      </c>
      <c r="R5" s="101" t="s">
        <v>128</v>
      </c>
      <c r="S5" s="101" t="s">
        <v>128</v>
      </c>
    </row>
    <row r="6" spans="3:19" x14ac:dyDescent="0.25">
      <c r="C6" s="40"/>
      <c r="D6" s="15"/>
      <c r="E6" s="41">
        <v>12</v>
      </c>
      <c r="F6" s="41">
        <f>E6</f>
        <v>12</v>
      </c>
      <c r="G6" s="41">
        <f t="shared" ref="G6:S6" si="1">F6</f>
        <v>12</v>
      </c>
      <c r="H6" s="41">
        <f t="shared" si="1"/>
        <v>12</v>
      </c>
      <c r="I6" s="41">
        <f t="shared" si="1"/>
        <v>12</v>
      </c>
      <c r="J6" s="41">
        <f t="shared" si="1"/>
        <v>12</v>
      </c>
      <c r="K6" s="41">
        <f t="shared" si="1"/>
        <v>12</v>
      </c>
      <c r="L6" s="41">
        <f t="shared" si="1"/>
        <v>12</v>
      </c>
      <c r="M6" s="41">
        <f t="shared" si="1"/>
        <v>12</v>
      </c>
      <c r="N6" s="41">
        <f t="shared" si="1"/>
        <v>12</v>
      </c>
      <c r="O6" s="41">
        <f t="shared" si="1"/>
        <v>12</v>
      </c>
      <c r="P6" s="41">
        <f t="shared" si="1"/>
        <v>12</v>
      </c>
      <c r="Q6" s="41">
        <f t="shared" si="1"/>
        <v>12</v>
      </c>
      <c r="R6" s="41">
        <f t="shared" si="1"/>
        <v>12</v>
      </c>
      <c r="S6" s="41">
        <f t="shared" si="1"/>
        <v>12</v>
      </c>
    </row>
    <row r="7" spans="3:19" x14ac:dyDescent="0.25">
      <c r="C7" s="65"/>
      <c r="D7" s="65" t="s">
        <v>1</v>
      </c>
      <c r="E7" s="157">
        <f>'Revenue Build up'!G10</f>
        <v>42124.829999999994</v>
      </c>
      <c r="F7" s="157">
        <f>'Revenue Build up'!H10</f>
        <v>44725.8</v>
      </c>
      <c r="G7" s="157">
        <f>'Revenue Build up'!I10</f>
        <v>52598.83</v>
      </c>
      <c r="H7" s="157">
        <f>'Revenue Build up'!J10</f>
        <v>63239.979999999996</v>
      </c>
      <c r="I7" s="157">
        <f>'Revenue Build up'!K10</f>
        <v>70908.14</v>
      </c>
      <c r="J7" s="157">
        <f>'Revenue Build up'!L10</f>
        <v>80848.467274343071</v>
      </c>
      <c r="K7" s="157">
        <f>'Revenue Build up'!M10</f>
        <v>92182.289094179068</v>
      </c>
      <c r="L7" s="157">
        <f>'Revenue Build up'!N10</f>
        <v>105104.95386149982</v>
      </c>
      <c r="M7" s="157">
        <f>'Revenue Build up'!O10</f>
        <v>119839.19508596339</v>
      </c>
      <c r="N7" s="157">
        <f>'Revenue Build up'!P10</f>
        <v>136638.97039311889</v>
      </c>
      <c r="O7" s="157">
        <f>'Revenue Build up'!Q10</f>
        <v>155793.83870777037</v>
      </c>
      <c r="P7" s="157">
        <f>'Revenue Build up'!R10</f>
        <v>177633.9510570924</v>
      </c>
      <c r="Q7" s="157">
        <f>'Revenue Build up'!S10</f>
        <v>202535.74101438277</v>
      </c>
      <c r="R7" s="157">
        <f>'Revenue Build up'!T10</f>
        <v>230928.4128632643</v>
      </c>
      <c r="S7" s="157">
        <f>'Revenue Build up'!U10</f>
        <v>263301.33931156009</v>
      </c>
    </row>
    <row r="9" spans="3:19" x14ac:dyDescent="0.25">
      <c r="D9" s="1" t="s">
        <v>204</v>
      </c>
    </row>
    <row r="10" spans="3:19" x14ac:dyDescent="0.25">
      <c r="D10" t="s">
        <v>205</v>
      </c>
      <c r="E10" s="26">
        <f>'Balance sheet Historical'!E39</f>
        <v>288.63</v>
      </c>
      <c r="F10" s="26">
        <f>'Balance sheet Historical'!F39</f>
        <v>288.64999999999998</v>
      </c>
      <c r="G10" s="26">
        <f>'Balance sheet Historical'!G39</f>
        <v>288.67</v>
      </c>
      <c r="H10" s="26">
        <f>'Balance sheet Historical'!H39</f>
        <v>288.69</v>
      </c>
      <c r="I10" s="26">
        <f>'Balance sheet Historical'!I39</f>
        <v>288.69</v>
      </c>
      <c r="J10" s="26">
        <f>I10</f>
        <v>288.69</v>
      </c>
      <c r="K10" s="26">
        <f t="shared" ref="K10:S10" si="2">J10</f>
        <v>288.69</v>
      </c>
      <c r="L10" s="26">
        <f t="shared" si="2"/>
        <v>288.69</v>
      </c>
      <c r="M10" s="26">
        <f t="shared" si="2"/>
        <v>288.69</v>
      </c>
      <c r="N10" s="26">
        <f t="shared" si="2"/>
        <v>288.69</v>
      </c>
      <c r="O10" s="26">
        <f t="shared" si="2"/>
        <v>288.69</v>
      </c>
      <c r="P10" s="26">
        <f t="shared" si="2"/>
        <v>288.69</v>
      </c>
      <c r="Q10" s="26">
        <f t="shared" si="2"/>
        <v>288.69</v>
      </c>
      <c r="R10" s="26">
        <f t="shared" si="2"/>
        <v>288.69</v>
      </c>
      <c r="S10" s="26">
        <f t="shared" si="2"/>
        <v>288.69</v>
      </c>
    </row>
    <row r="11" spans="3:19" x14ac:dyDescent="0.25">
      <c r="D11" t="s">
        <v>206</v>
      </c>
      <c r="E11" s="26">
        <f>'Balance sheet Historical'!E40</f>
        <v>38826.85</v>
      </c>
      <c r="F11" s="26">
        <f>'Balance sheet Historical'!F40</f>
        <v>43886.03</v>
      </c>
      <c r="G11" s="26">
        <f>'Balance sheet Historical'!G40</f>
        <v>50146.6</v>
      </c>
      <c r="H11" s="26">
        <f>'Balance sheet Historical'!H40</f>
        <v>54035.85</v>
      </c>
      <c r="I11" s="26">
        <f>'Balance sheet Historical'!I40</f>
        <v>59938.78</v>
      </c>
      <c r="J11" s="26">
        <f>I11+'Income '!J27-'Income '!J29</f>
        <v>65901.787571245746</v>
      </c>
      <c r="K11" s="26">
        <f>J11+'Income '!K27-'Income '!K29</f>
        <v>73595.24718427872</v>
      </c>
      <c r="L11" s="26">
        <f>K11+'Income '!L27-'Income '!L29</f>
        <v>82432.792511770385</v>
      </c>
      <c r="M11" s="26">
        <f>L11+'Income '!M27-'Income '!M29</f>
        <v>92601.683851426991</v>
      </c>
      <c r="N11" s="26">
        <f>M11+'Income '!N27-'Income '!N29</f>
        <v>104329.26269570363</v>
      </c>
      <c r="O11" s="26">
        <f>N11+'Income '!O27-'Income '!O29</f>
        <v>117872.10905287488</v>
      </c>
      <c r="P11" s="26">
        <f>O11+'Income '!P27-'Income '!P29</f>
        <v>133520.44878784212</v>
      </c>
      <c r="Q11" s="26">
        <f>P11+'Income '!Q27-'Income '!Q29</f>
        <v>151603.16540662263</v>
      </c>
      <c r="R11" s="26">
        <f>Q11+'Income '!R27-'Income '!R29</f>
        <v>172494.96777808006</v>
      </c>
      <c r="S11" s="26">
        <f>R11+'Income '!S27-'Income '!S29</f>
        <v>196622.37098086541</v>
      </c>
    </row>
    <row r="12" spans="3:19" x14ac:dyDescent="0.25">
      <c r="D12" t="s">
        <v>207</v>
      </c>
      <c r="E12" s="26">
        <f>'Balance sheet Historical'!E41</f>
        <v>7.52</v>
      </c>
      <c r="F12" s="26">
        <f>'Balance sheet Historical'!F41</f>
        <v>5.72</v>
      </c>
      <c r="G12" s="26">
        <f>'Balance sheet Historical'!G41</f>
        <v>-3.06</v>
      </c>
      <c r="H12" s="26">
        <f>'Balance sheet Historical'!H41</f>
        <v>55.63</v>
      </c>
      <c r="I12" s="26">
        <f>'Balance sheet Historical'!I41</f>
        <v>55.94</v>
      </c>
      <c r="J12" s="26">
        <f>I12</f>
        <v>55.94</v>
      </c>
      <c r="K12" s="26">
        <f t="shared" ref="K12:S12" si="3">J12</f>
        <v>55.94</v>
      </c>
      <c r="L12" s="26">
        <f t="shared" si="3"/>
        <v>55.94</v>
      </c>
      <c r="M12" s="26">
        <f t="shared" si="3"/>
        <v>55.94</v>
      </c>
      <c r="N12" s="26">
        <f t="shared" si="3"/>
        <v>55.94</v>
      </c>
      <c r="O12" s="26">
        <f t="shared" si="3"/>
        <v>55.94</v>
      </c>
      <c r="P12" s="26">
        <f t="shared" si="3"/>
        <v>55.94</v>
      </c>
      <c r="Q12" s="26">
        <f t="shared" si="3"/>
        <v>55.94</v>
      </c>
      <c r="R12" s="26">
        <f t="shared" si="3"/>
        <v>55.94</v>
      </c>
      <c r="S12" s="26">
        <f t="shared" si="3"/>
        <v>55.94</v>
      </c>
    </row>
    <row r="13" spans="3:19" x14ac:dyDescent="0.25">
      <c r="D13" t="s">
        <v>69</v>
      </c>
      <c r="E13" s="26">
        <f>'Balance sheet Historical'!E42</f>
        <v>0</v>
      </c>
      <c r="F13" s="26">
        <f>'Balance sheet Historical'!F42</f>
        <v>0</v>
      </c>
      <c r="G13" s="26">
        <f>'Balance sheet Historical'!G42</f>
        <v>0</v>
      </c>
      <c r="H13" s="26">
        <f>'Balance sheet Historical'!H42</f>
        <v>0</v>
      </c>
      <c r="I13" s="26">
        <f>'Balance sheet Historical'!I42</f>
        <v>0</v>
      </c>
      <c r="J13" s="26">
        <f>I13</f>
        <v>0</v>
      </c>
      <c r="K13" s="26">
        <f t="shared" ref="K13:S13" si="4">J13</f>
        <v>0</v>
      </c>
      <c r="L13" s="26">
        <f t="shared" si="4"/>
        <v>0</v>
      </c>
      <c r="M13" s="26">
        <f t="shared" si="4"/>
        <v>0</v>
      </c>
      <c r="N13" s="26">
        <f t="shared" si="4"/>
        <v>0</v>
      </c>
      <c r="O13" s="26">
        <f t="shared" si="4"/>
        <v>0</v>
      </c>
      <c r="P13" s="26">
        <f t="shared" si="4"/>
        <v>0</v>
      </c>
      <c r="Q13" s="26">
        <f t="shared" si="4"/>
        <v>0</v>
      </c>
      <c r="R13" s="26">
        <f t="shared" si="4"/>
        <v>0</v>
      </c>
      <c r="S13" s="26">
        <f t="shared" si="4"/>
        <v>0</v>
      </c>
    </row>
    <row r="14" spans="3:19" x14ac:dyDescent="0.25">
      <c r="D14" t="s">
        <v>70</v>
      </c>
      <c r="E14" s="26">
        <f>'Balance sheet Historical'!E43</f>
        <v>0</v>
      </c>
      <c r="F14" s="26">
        <f>'Balance sheet Historical'!F43</f>
        <v>0</v>
      </c>
      <c r="G14" s="26">
        <f>'Balance sheet Historical'!G43</f>
        <v>0</v>
      </c>
      <c r="H14" s="26">
        <f>'Balance sheet Historical'!H43</f>
        <v>0</v>
      </c>
      <c r="I14" s="26">
        <f>'Balance sheet Historical'!I43</f>
        <v>0.01</v>
      </c>
      <c r="J14" s="26">
        <f t="shared" ref="J14:S14" si="5">I14</f>
        <v>0.01</v>
      </c>
      <c r="K14" s="26">
        <f t="shared" si="5"/>
        <v>0.01</v>
      </c>
      <c r="L14" s="26">
        <f t="shared" si="5"/>
        <v>0.01</v>
      </c>
      <c r="M14" s="26">
        <f t="shared" si="5"/>
        <v>0.01</v>
      </c>
      <c r="N14" s="26">
        <f t="shared" si="5"/>
        <v>0.01</v>
      </c>
      <c r="O14" s="26">
        <f t="shared" si="5"/>
        <v>0.01</v>
      </c>
      <c r="P14" s="26">
        <f t="shared" si="5"/>
        <v>0.01</v>
      </c>
      <c r="Q14" s="26">
        <f t="shared" si="5"/>
        <v>0.01</v>
      </c>
      <c r="R14" s="26">
        <f t="shared" si="5"/>
        <v>0.01</v>
      </c>
      <c r="S14" s="26">
        <f t="shared" si="5"/>
        <v>0.01</v>
      </c>
    </row>
    <row r="15" spans="3:19" x14ac:dyDescent="0.25">
      <c r="D15" s="8" t="s">
        <v>208</v>
      </c>
      <c r="E15" s="158">
        <f>SUM(E10:E14)</f>
        <v>39122.999999999993</v>
      </c>
      <c r="F15" s="158">
        <f t="shared" ref="F15:S15" si="6">SUM(F10:F14)</f>
        <v>44180.4</v>
      </c>
      <c r="G15" s="158">
        <f t="shared" si="6"/>
        <v>50432.21</v>
      </c>
      <c r="H15" s="158">
        <f t="shared" si="6"/>
        <v>54380.17</v>
      </c>
      <c r="I15" s="158">
        <f t="shared" si="6"/>
        <v>60283.420000000006</v>
      </c>
      <c r="J15" s="158">
        <f t="shared" si="6"/>
        <v>66246.427571245746</v>
      </c>
      <c r="K15" s="158">
        <f t="shared" si="6"/>
        <v>73939.887184278719</v>
      </c>
      <c r="L15" s="158">
        <f t="shared" si="6"/>
        <v>82777.432511770385</v>
      </c>
      <c r="M15" s="158">
        <f t="shared" si="6"/>
        <v>92946.323851426991</v>
      </c>
      <c r="N15" s="158">
        <f t="shared" si="6"/>
        <v>104673.90269570363</v>
      </c>
      <c r="O15" s="158">
        <f t="shared" si="6"/>
        <v>118216.74905287487</v>
      </c>
      <c r="P15" s="158">
        <f t="shared" si="6"/>
        <v>133865.08878784213</v>
      </c>
      <c r="Q15" s="158">
        <f t="shared" si="6"/>
        <v>151947.80540662265</v>
      </c>
      <c r="R15" s="158">
        <f t="shared" si="6"/>
        <v>172839.60777808007</v>
      </c>
      <c r="S15" s="158">
        <f t="shared" si="6"/>
        <v>196967.01098086542</v>
      </c>
    </row>
    <row r="16" spans="3:19" x14ac:dyDescent="0.25">
      <c r="D16" s="1"/>
      <c r="E16" s="63"/>
      <c r="F16" s="63"/>
      <c r="G16" s="63"/>
      <c r="H16" s="63"/>
      <c r="I16" s="63"/>
      <c r="J16" s="63"/>
      <c r="K16" s="63"/>
      <c r="L16" s="63"/>
      <c r="M16" s="63"/>
      <c r="N16" s="63"/>
      <c r="O16" s="63"/>
      <c r="P16" s="63"/>
      <c r="Q16" s="63"/>
      <c r="R16" s="63"/>
      <c r="S16" s="63"/>
    </row>
    <row r="17" spans="3:24" x14ac:dyDescent="0.25">
      <c r="D17" s="1" t="s">
        <v>71</v>
      </c>
      <c r="E17" s="63"/>
      <c r="F17" s="63"/>
      <c r="G17" s="63"/>
      <c r="H17" s="63"/>
      <c r="I17" s="63"/>
      <c r="J17" s="63"/>
      <c r="K17" s="63"/>
      <c r="L17" s="63"/>
      <c r="M17" s="63"/>
      <c r="N17" s="63"/>
      <c r="O17" s="63"/>
      <c r="P17" s="63"/>
      <c r="Q17" s="63"/>
      <c r="R17" s="63"/>
      <c r="S17" s="63"/>
    </row>
    <row r="19" spans="3:24" x14ac:dyDescent="0.25">
      <c r="D19" s="1" t="s">
        <v>209</v>
      </c>
    </row>
    <row r="20" spans="3:24" x14ac:dyDescent="0.25">
      <c r="D20" t="s">
        <v>74</v>
      </c>
      <c r="E20" s="26">
        <f>VLOOKUP($D20,'Balance sheet Historical'!$D$47:$I$52,COUNTBLANK('BS items'!$D$3:E$3),FALSE)</f>
        <v>17367.52</v>
      </c>
      <c r="F20" s="26">
        <f>VLOOKUP($D20,'Balance sheet Historical'!$D$47:$I$52,COUNTBLANK('BS items'!$D$3:F$3),FALSE)</f>
        <v>13548.45</v>
      </c>
      <c r="G20" s="26">
        <f>VLOOKUP($D20,'Balance sheet Historical'!$D$47:$I$52,COUNTBLANK('BS items'!$D$3:G$3),FALSE)</f>
        <v>5303</v>
      </c>
      <c r="H20" s="26">
        <f>VLOOKUP($D20,'Balance sheet Historical'!$D$47:$I$52,COUNTBLANK('BS items'!$D$3:H$3),FALSE)</f>
        <v>5356.41</v>
      </c>
      <c r="I20" s="26">
        <f>VLOOKUP($D20,'Balance sheet Historical'!$D$47:$I$52,COUNTBLANK('BS items'!$D$3:I$3),FALSE)</f>
        <v>5307.78</v>
      </c>
      <c r="J20" s="26">
        <f>I20*(1+J21)</f>
        <v>6343.4162696055982</v>
      </c>
      <c r="K20" s="26">
        <f t="shared" ref="K20:S20" si="7">J20*(1+K21)</f>
        <v>7581.1224220855056</v>
      </c>
      <c r="L20" s="26">
        <f t="shared" si="7"/>
        <v>9060.3256567018598</v>
      </c>
      <c r="M20" s="26">
        <f t="shared" si="7"/>
        <v>10828.146075882498</v>
      </c>
      <c r="N20" s="26">
        <f t="shared" si="7"/>
        <v>12940.897698740162</v>
      </c>
      <c r="O20" s="26">
        <f t="shared" si="7"/>
        <v>15465.882347326</v>
      </c>
      <c r="P20" s="26">
        <f t="shared" si="7"/>
        <v>18483.533549965101</v>
      </c>
      <c r="Q20" s="26">
        <f t="shared" si="7"/>
        <v>22089.978755835687</v>
      </c>
      <c r="R20" s="26">
        <f t="shared" si="7"/>
        <v>26400.101480281799</v>
      </c>
      <c r="S20" s="26">
        <f t="shared" si="7"/>
        <v>31551.200925671073</v>
      </c>
    </row>
    <row r="21" spans="3:24" x14ac:dyDescent="0.25">
      <c r="C21" s="29"/>
      <c r="D21" s="42" t="str">
        <f>D20&amp;"  as a % Revenue"</f>
        <v>Borrowings  as a % Revenue</v>
      </c>
      <c r="E21" s="46">
        <f>E20/E$7</f>
        <v>0.41228700507515409</v>
      </c>
      <c r="F21" s="46">
        <f t="shared" ref="F21:I21" si="8">F20/F$7</f>
        <v>0.30292247427659202</v>
      </c>
      <c r="G21" s="46">
        <f t="shared" si="8"/>
        <v>0.10081973306250348</v>
      </c>
      <c r="H21" s="46">
        <f t="shared" si="8"/>
        <v>8.4699742156781208E-2</v>
      </c>
      <c r="I21" s="159">
        <f t="shared" si="8"/>
        <v>7.4854311507818419E-2</v>
      </c>
      <c r="J21" s="152">
        <f>AVERAGE(E21:I21)</f>
        <v>0.19511665321576982</v>
      </c>
      <c r="K21" s="152">
        <f>J21</f>
        <v>0.19511665321576982</v>
      </c>
      <c r="L21" s="152">
        <f t="shared" ref="L21:S21" si="9">K21</f>
        <v>0.19511665321576982</v>
      </c>
      <c r="M21" s="152">
        <f t="shared" si="9"/>
        <v>0.19511665321576982</v>
      </c>
      <c r="N21" s="152">
        <f t="shared" si="9"/>
        <v>0.19511665321576982</v>
      </c>
      <c r="O21" s="152">
        <f t="shared" si="9"/>
        <v>0.19511665321576982</v>
      </c>
      <c r="P21" s="152">
        <f t="shared" si="9"/>
        <v>0.19511665321576982</v>
      </c>
      <c r="Q21" s="152">
        <f t="shared" si="9"/>
        <v>0.19511665321576982</v>
      </c>
      <c r="R21" s="152">
        <f t="shared" si="9"/>
        <v>0.19511665321576982</v>
      </c>
      <c r="S21" s="152">
        <f t="shared" si="9"/>
        <v>0.19511665321576982</v>
      </c>
    </row>
    <row r="22" spans="3:24" x14ac:dyDescent="0.25">
      <c r="D22" t="s">
        <v>88</v>
      </c>
      <c r="E22" s="26">
        <f>VLOOKUP($D22,'Balance sheet Historical'!$D$47:$I$52,COUNTBLANK('BS items'!$D$3:E$3),FALSE)</f>
        <v>0</v>
      </c>
      <c r="F22" s="26">
        <f>VLOOKUP($D22,'Balance sheet Historical'!$D$47:$I$52,COUNTBLANK('BS items'!$D$3:F$3),FALSE)</f>
        <v>1119.05</v>
      </c>
      <c r="G22" s="26">
        <f>VLOOKUP($D22,'Balance sheet Historical'!$D$47:$I$52,COUNTBLANK('BS items'!$D$3:G$3),FALSE)</f>
        <v>978.2</v>
      </c>
      <c r="H22" s="26">
        <f>VLOOKUP($D22,'Balance sheet Historical'!$D$47:$I$52,COUNTBLANK('BS items'!$D$3:H$3),FALSE)</f>
        <v>1010.65</v>
      </c>
      <c r="I22" s="26">
        <f>VLOOKUP($D22,'Balance sheet Historical'!$D$47:$I$52,COUNTBLANK('BS items'!$D$3:I$3),FALSE)</f>
        <v>942.11</v>
      </c>
      <c r="J22" s="26">
        <f t="shared" ref="J22:S22" si="10">I22*(1+J23)</f>
        <v>955.84316364908318</v>
      </c>
      <c r="K22" s="26">
        <f t="shared" si="10"/>
        <v>969.77651600629235</v>
      </c>
      <c r="L22" s="26">
        <f t="shared" si="10"/>
        <v>983.91297522798857</v>
      </c>
      <c r="M22" s="26">
        <f t="shared" si="10"/>
        <v>998.25550200857924</v>
      </c>
      <c r="N22" s="26">
        <f t="shared" si="10"/>
        <v>1012.8071002005967</v>
      </c>
      <c r="O22" s="26">
        <f t="shared" si="10"/>
        <v>1027.5708174438148</v>
      </c>
      <c r="P22" s="26">
        <f t="shared" si="10"/>
        <v>1042.5497458035372</v>
      </c>
      <c r="Q22" s="26">
        <f t="shared" si="10"/>
        <v>1057.7470224181895</v>
      </c>
      <c r="R22" s="26">
        <f t="shared" si="10"/>
        <v>1073.1658301563511</v>
      </c>
      <c r="S22" s="26">
        <f t="shared" si="10"/>
        <v>1088.8093982833655</v>
      </c>
    </row>
    <row r="23" spans="3:24" x14ac:dyDescent="0.25">
      <c r="D23" s="42" t="str">
        <f>D22&amp;"  as a % Revenue"</f>
        <v>Lease Laibility  as a % Revenue</v>
      </c>
      <c r="E23" s="46">
        <f>E22/E$7</f>
        <v>0</v>
      </c>
      <c r="F23" s="46">
        <f t="shared" ref="F23:I23" si="11">F22/F$7</f>
        <v>2.5020234406092232E-2</v>
      </c>
      <c r="G23" s="46">
        <f t="shared" si="11"/>
        <v>1.8597371842681672E-2</v>
      </c>
      <c r="H23" s="46">
        <f t="shared" si="11"/>
        <v>1.5981187849838031E-2</v>
      </c>
      <c r="I23" s="159">
        <f t="shared" si="11"/>
        <v>1.3286344839957725E-2</v>
      </c>
      <c r="J23" s="152">
        <f>AVERAGE(E23:I23)</f>
        <v>1.4577027787713932E-2</v>
      </c>
      <c r="K23" s="152">
        <f>J23</f>
        <v>1.4577027787713932E-2</v>
      </c>
      <c r="L23" s="152">
        <f t="shared" ref="L23:S23" si="12">K23</f>
        <v>1.4577027787713932E-2</v>
      </c>
      <c r="M23" s="152">
        <f t="shared" si="12"/>
        <v>1.4577027787713932E-2</v>
      </c>
      <c r="N23" s="152">
        <f t="shared" si="12"/>
        <v>1.4577027787713932E-2</v>
      </c>
      <c r="O23" s="152">
        <f t="shared" si="12"/>
        <v>1.4577027787713932E-2</v>
      </c>
      <c r="P23" s="152">
        <f t="shared" si="12"/>
        <v>1.4577027787713932E-2</v>
      </c>
      <c r="Q23" s="152">
        <f t="shared" si="12"/>
        <v>1.4577027787713932E-2</v>
      </c>
      <c r="R23" s="152">
        <f t="shared" si="12"/>
        <v>1.4577027787713932E-2</v>
      </c>
      <c r="S23" s="152">
        <f t="shared" si="12"/>
        <v>1.4577027787713932E-2</v>
      </c>
      <c r="T23" s="66"/>
      <c r="U23" s="66"/>
      <c r="V23" s="66"/>
      <c r="W23" s="66"/>
      <c r="X23" s="66"/>
    </row>
    <row r="24" spans="3:24" x14ac:dyDescent="0.25">
      <c r="D24" t="s">
        <v>75</v>
      </c>
      <c r="E24" s="26">
        <f>VLOOKUP($D24,'Balance sheet Historical'!$D$47:$I$52,COUNTBLANK('BS items'!$D$3:E$3),FALSE)</f>
        <v>1055.8499999999999</v>
      </c>
      <c r="F24" s="26">
        <f>VLOOKUP($D24,'Balance sheet Historical'!$D$47:$I$52,COUNTBLANK('BS items'!$D$3:F$3),FALSE)</f>
        <v>332.19</v>
      </c>
      <c r="G24" s="26">
        <f>VLOOKUP($D24,'Balance sheet Historical'!$D$47:$I$52,COUNTBLANK('BS items'!$D$3:G$3),FALSE)</f>
        <v>303.48</v>
      </c>
      <c r="H24" s="26">
        <f>VLOOKUP($D24,'Balance sheet Historical'!$D$47:$I$52,COUNTBLANK('BS items'!$D$3:H$3),FALSE)</f>
        <v>319.83999999999997</v>
      </c>
      <c r="I24" s="26">
        <f>VLOOKUP($D24,'Balance sheet Historical'!$D$47:$I$52,COUNTBLANK('BS items'!$D$3:I$3),FALSE)</f>
        <v>240.86</v>
      </c>
      <c r="J24" s="26">
        <f t="shared" ref="J24:S24" si="13">I24*(1+J25)</f>
        <v>243.11040824210059</v>
      </c>
      <c r="K24" s="26">
        <f t="shared" si="13"/>
        <v>245.3818425460467</v>
      </c>
      <c r="L24" s="26">
        <f t="shared" si="13"/>
        <v>247.67449936298371</v>
      </c>
      <c r="M24" s="26">
        <f t="shared" si="13"/>
        <v>249.98857697954352</v>
      </c>
      <c r="N24" s="26">
        <f t="shared" si="13"/>
        <v>252.32427553499383</v>
      </c>
      <c r="O24" s="26">
        <f t="shared" si="13"/>
        <v>254.68179703854781</v>
      </c>
      <c r="P24" s="26">
        <f t="shared" si="13"/>
        <v>257.06134538683534</v>
      </c>
      <c r="Q24" s="26">
        <f t="shared" si="13"/>
        <v>259.46312638153768</v>
      </c>
      <c r="R24" s="26">
        <f t="shared" si="13"/>
        <v>261.8873477471866</v>
      </c>
      <c r="S24" s="26">
        <f t="shared" si="13"/>
        <v>264.33421914913021</v>
      </c>
    </row>
    <row r="25" spans="3:24" x14ac:dyDescent="0.25">
      <c r="D25" s="42" t="str">
        <f>D24&amp;"  as a % Revenue"</f>
        <v>Other Financial Liabilities  as a % Revenue</v>
      </c>
      <c r="E25" s="46">
        <f>E24/E$7</f>
        <v>2.5064789578972783E-2</v>
      </c>
      <c r="F25" s="46">
        <f t="shared" ref="F25:I25" si="14">F24/F$7</f>
        <v>7.4272567511369271E-3</v>
      </c>
      <c r="G25" s="46">
        <f t="shared" si="14"/>
        <v>5.7697100867072524E-3</v>
      </c>
      <c r="H25" s="46">
        <f t="shared" si="14"/>
        <v>5.0575601067552522E-3</v>
      </c>
      <c r="I25" s="159">
        <f t="shared" si="14"/>
        <v>3.3967891415569496E-3</v>
      </c>
      <c r="J25" s="152">
        <f>AVERAGE(E25:I25)</f>
        <v>9.3432211330258339E-3</v>
      </c>
      <c r="K25" s="152">
        <f>J25</f>
        <v>9.3432211330258339E-3</v>
      </c>
      <c r="L25" s="152">
        <f t="shared" ref="L25:S25" si="15">K25</f>
        <v>9.3432211330258339E-3</v>
      </c>
      <c r="M25" s="152">
        <f t="shared" si="15"/>
        <v>9.3432211330258339E-3</v>
      </c>
      <c r="N25" s="152">
        <f t="shared" si="15"/>
        <v>9.3432211330258339E-3</v>
      </c>
      <c r="O25" s="152">
        <f t="shared" si="15"/>
        <v>9.3432211330258339E-3</v>
      </c>
      <c r="P25" s="152">
        <f t="shared" si="15"/>
        <v>9.3432211330258339E-3</v>
      </c>
      <c r="Q25" s="152">
        <f t="shared" si="15"/>
        <v>9.3432211330258339E-3</v>
      </c>
      <c r="R25" s="152">
        <f t="shared" si="15"/>
        <v>9.3432211330258339E-3</v>
      </c>
      <c r="S25" s="152">
        <f t="shared" si="15"/>
        <v>9.3432211330258339E-3</v>
      </c>
      <c r="T25" s="66"/>
      <c r="U25" s="66"/>
      <c r="V25" s="66"/>
      <c r="W25" s="66"/>
      <c r="X25" s="66"/>
    </row>
    <row r="26" spans="3:24" x14ac:dyDescent="0.25">
      <c r="D26" t="s">
        <v>76</v>
      </c>
      <c r="E26" s="26">
        <f>VLOOKUP($D26,'Balance sheet Historical'!$D$47:$I$52,COUNTBLANK('BS items'!$D$3:E$3),FALSE)</f>
        <v>241.74</v>
      </c>
      <c r="F26" s="26">
        <f>VLOOKUP($D26,'Balance sheet Historical'!$D$47:$I$52,COUNTBLANK('BS items'!$D$3:F$3),FALSE)</f>
        <v>365.49</v>
      </c>
      <c r="G26" s="26">
        <f>VLOOKUP($D26,'Balance sheet Historical'!$D$47:$I$52,COUNTBLANK('BS items'!$D$3:G$3),FALSE)</f>
        <v>617.84</v>
      </c>
      <c r="H26" s="26">
        <f>VLOOKUP($D26,'Balance sheet Historical'!$D$47:$I$52,COUNTBLANK('BS items'!$D$3:H$3),FALSE)</f>
        <v>624.21</v>
      </c>
      <c r="I26" s="26">
        <f>VLOOKUP($D26,'Balance sheet Historical'!$D$47:$I$52,COUNTBLANK('BS items'!$D$3:I$3),FALSE)</f>
        <v>670.57</v>
      </c>
      <c r="J26" s="26">
        <f t="shared" ref="J26:S26" si="16">I26*(1+J27)</f>
        <v>676.60299761769772</v>
      </c>
      <c r="K26" s="26">
        <f t="shared" si="16"/>
        <v>682.69027302929487</v>
      </c>
      <c r="L26" s="26">
        <f t="shared" si="16"/>
        <v>688.83231456233557</v>
      </c>
      <c r="M26" s="26">
        <f t="shared" si="16"/>
        <v>695.02961493775911</v>
      </c>
      <c r="N26" s="26">
        <f t="shared" si="16"/>
        <v>701.28267130942629</v>
      </c>
      <c r="O26" s="26">
        <f t="shared" si="16"/>
        <v>707.5919853040017</v>
      </c>
      <c r="P26" s="26">
        <f t="shared" si="16"/>
        <v>713.95806306119482</v>
      </c>
      <c r="Q26" s="26">
        <f t="shared" si="16"/>
        <v>720.38141527436312</v>
      </c>
      <c r="R26" s="26">
        <f t="shared" si="16"/>
        <v>726.86255723148008</v>
      </c>
      <c r="S26" s="26">
        <f t="shared" si="16"/>
        <v>733.40200885647255</v>
      </c>
    </row>
    <row r="27" spans="3:24" x14ac:dyDescent="0.25">
      <c r="D27" s="42" t="str">
        <f>D26&amp;"  as a % Revenue"</f>
        <v>Provisions  as a % Revenue</v>
      </c>
      <c r="E27" s="46">
        <f>E26/E$7</f>
        <v>5.7386581738134027E-3</v>
      </c>
      <c r="F27" s="46">
        <f t="shared" ref="F27:I27" si="17">F26/F$7</f>
        <v>8.1717934614920253E-3</v>
      </c>
      <c r="G27" s="46">
        <f t="shared" si="17"/>
        <v>1.1746268880885754E-2</v>
      </c>
      <c r="H27" s="46">
        <f t="shared" si="17"/>
        <v>9.8704964802329171E-3</v>
      </c>
      <c r="I27" s="159">
        <f t="shared" si="17"/>
        <v>9.4568832294853605E-3</v>
      </c>
      <c r="J27" s="152">
        <f>AVERAGE(E27:I27)</f>
        <v>8.9968200451818921E-3</v>
      </c>
      <c r="K27" s="152">
        <f>J27</f>
        <v>8.9968200451818921E-3</v>
      </c>
      <c r="L27" s="152">
        <f t="shared" ref="L27:S27" si="18">K27</f>
        <v>8.9968200451818921E-3</v>
      </c>
      <c r="M27" s="152">
        <f t="shared" si="18"/>
        <v>8.9968200451818921E-3</v>
      </c>
      <c r="N27" s="152">
        <f t="shared" si="18"/>
        <v>8.9968200451818921E-3</v>
      </c>
      <c r="O27" s="152">
        <f t="shared" si="18"/>
        <v>8.9968200451818921E-3</v>
      </c>
      <c r="P27" s="152">
        <f t="shared" si="18"/>
        <v>8.9968200451818921E-3</v>
      </c>
      <c r="Q27" s="152">
        <f t="shared" si="18"/>
        <v>8.9968200451818921E-3</v>
      </c>
      <c r="R27" s="152">
        <f t="shared" si="18"/>
        <v>8.9968200451818921E-3</v>
      </c>
      <c r="S27" s="152">
        <f t="shared" si="18"/>
        <v>8.9968200451818921E-3</v>
      </c>
      <c r="T27" s="66"/>
      <c r="U27" s="66"/>
      <c r="V27" s="66"/>
      <c r="W27" s="66"/>
      <c r="X27" s="66"/>
    </row>
    <row r="28" spans="3:24" x14ac:dyDescent="0.25">
      <c r="D28" t="s">
        <v>77</v>
      </c>
      <c r="E28" s="26">
        <f>VLOOKUP($D28,'Balance sheet Historical'!$D$47:$I$52,COUNTBLANK('BS items'!$D$3:E$3),FALSE)</f>
        <v>4911.99</v>
      </c>
      <c r="F28" s="26">
        <f>VLOOKUP($D28,'Balance sheet Historical'!$D$47:$I$52,COUNTBLANK('BS items'!$D$3:F$3),FALSE)</f>
        <v>6040.68</v>
      </c>
      <c r="G28" s="26">
        <f>VLOOKUP($D28,'Balance sheet Historical'!$D$47:$I$52,COUNTBLANK('BS items'!$D$3:G$3),FALSE)</f>
        <v>6033.24</v>
      </c>
      <c r="H28" s="26">
        <f>VLOOKUP($D28,'Balance sheet Historical'!$D$47:$I$52,COUNTBLANK('BS items'!$D$3:H$3),FALSE)</f>
        <v>6260.11</v>
      </c>
      <c r="I28" s="26">
        <f>VLOOKUP($D28,'Balance sheet Historical'!$D$47:$I$52,COUNTBLANK('BS items'!$D$3:I$3),FALSE)</f>
        <v>6447.78</v>
      </c>
      <c r="J28" s="26">
        <f t="shared" ref="J28" si="19">I28*(1+J29)</f>
        <v>7165.1471201195764</v>
      </c>
      <c r="K28" s="26">
        <f t="shared" ref="K28" si="20">J28*(1+K29)</f>
        <v>7962.3270727223726</v>
      </c>
      <c r="L28" s="26">
        <f t="shared" ref="L28" si="21">K28*(1+L29)</f>
        <v>8848.1996740842351</v>
      </c>
      <c r="M28" s="26">
        <f t="shared" ref="M28" si="22">L28*(1+M29)</f>
        <v>9832.6326910979642</v>
      </c>
      <c r="N28" s="26">
        <f t="shared" ref="N28" si="23">M28*(1+N29)</f>
        <v>10926.591758685034</v>
      </c>
      <c r="O28" s="26">
        <f t="shared" ref="O28" si="24">N28*(1+O29)</f>
        <v>12142.26252639891</v>
      </c>
      <c r="P28" s="26">
        <f t="shared" ref="P28" si="25">O28*(1+P29)</f>
        <v>13493.186394815426</v>
      </c>
      <c r="Q28" s="26">
        <f t="shared" ref="Q28" si="26">P28*(1+Q29)</f>
        <v>14994.411353682726</v>
      </c>
      <c r="R28" s="26">
        <f t="shared" ref="R28" si="27">Q28*(1+R29)</f>
        <v>16662.659602022413</v>
      </c>
      <c r="S28" s="26">
        <f t="shared" ref="S28" si="28">R28*(1+S29)</f>
        <v>18516.513817308238</v>
      </c>
    </row>
    <row r="29" spans="3:24" x14ac:dyDescent="0.25">
      <c r="D29" s="42" t="str">
        <f>D28&amp;"  as a % Revenue"</f>
        <v>Deferred Tax Liabilities (Net)  as a % Revenue</v>
      </c>
      <c r="E29" s="46">
        <f>E28/E$7</f>
        <v>0.11660557443199178</v>
      </c>
      <c r="F29" s="46">
        <f t="shared" ref="F29:I29" si="29">F28/F$7</f>
        <v>0.13506030076600084</v>
      </c>
      <c r="G29" s="46">
        <f t="shared" si="29"/>
        <v>0.11470293160513266</v>
      </c>
      <c r="H29" s="46">
        <f t="shared" si="29"/>
        <v>9.8989753001186911E-2</v>
      </c>
      <c r="I29" s="159">
        <f t="shared" si="29"/>
        <v>9.0931450183293475E-2</v>
      </c>
      <c r="J29" s="152">
        <f>AVERAGE(E29:I29)</f>
        <v>0.11125800199752114</v>
      </c>
      <c r="K29" s="152">
        <f>J29</f>
        <v>0.11125800199752114</v>
      </c>
      <c r="L29" s="152">
        <f t="shared" ref="L29:S29" si="30">K29</f>
        <v>0.11125800199752114</v>
      </c>
      <c r="M29" s="152">
        <f t="shared" si="30"/>
        <v>0.11125800199752114</v>
      </c>
      <c r="N29" s="152">
        <f t="shared" si="30"/>
        <v>0.11125800199752114</v>
      </c>
      <c r="O29" s="152">
        <f t="shared" si="30"/>
        <v>0.11125800199752114</v>
      </c>
      <c r="P29" s="152">
        <f t="shared" si="30"/>
        <v>0.11125800199752114</v>
      </c>
      <c r="Q29" s="152">
        <f t="shared" si="30"/>
        <v>0.11125800199752114</v>
      </c>
      <c r="R29" s="152">
        <f t="shared" si="30"/>
        <v>0.11125800199752114</v>
      </c>
      <c r="S29" s="152">
        <f t="shared" si="30"/>
        <v>0.11125800199752114</v>
      </c>
      <c r="T29" s="66"/>
      <c r="U29" s="66"/>
      <c r="V29" s="66"/>
      <c r="W29" s="66"/>
      <c r="X29" s="66"/>
    </row>
    <row r="30" spans="3:24" x14ac:dyDescent="0.25">
      <c r="D30" t="s">
        <v>78</v>
      </c>
      <c r="E30" s="26">
        <f>VLOOKUP($D30,'Balance sheet Historical'!$D$47:$I$52,COUNTBLANK('BS items'!$D$3:E$3),FALSE)</f>
        <v>6.28</v>
      </c>
      <c r="F30" s="26">
        <f>VLOOKUP($D30,'Balance sheet Historical'!$D$47:$I$52,COUNTBLANK('BS items'!$D$3:F$3),FALSE)</f>
        <v>5.53</v>
      </c>
      <c r="G30" s="26">
        <f>VLOOKUP($D30,'Balance sheet Historical'!$D$47:$I$52,COUNTBLANK('BS items'!$D$3:G$3),FALSE)</f>
        <v>4.63</v>
      </c>
      <c r="H30" s="26">
        <f>VLOOKUP($D30,'Balance sheet Historical'!$D$47:$I$52,COUNTBLANK('BS items'!$D$3:H$3),FALSE)</f>
        <v>3.78</v>
      </c>
      <c r="I30" s="26">
        <f>VLOOKUP($D30,'Balance sheet Historical'!$D$47:$I$52,COUNTBLANK('BS items'!$D$3:I$3),FALSE)</f>
        <v>3.53</v>
      </c>
      <c r="J30" s="26">
        <f t="shared" ref="J30" si="31">I30*(1+J31)</f>
        <v>3.5303320337826665</v>
      </c>
      <c r="K30" s="26">
        <f t="shared" ref="K30" si="32">J30*(1+K31)</f>
        <v>3.5306640987966174</v>
      </c>
      <c r="L30" s="26">
        <f t="shared" ref="L30" si="33">K30*(1+L31)</f>
        <v>3.5309961950447897</v>
      </c>
      <c r="M30" s="26">
        <f t="shared" ref="M30" si="34">L30*(1+M31)</f>
        <v>3.531328322530122</v>
      </c>
      <c r="N30" s="26">
        <f t="shared" ref="N30" si="35">M30*(1+N31)</f>
        <v>3.5316604812555519</v>
      </c>
      <c r="O30" s="26">
        <f t="shared" ref="O30" si="36">N30*(1+O31)</f>
        <v>3.5319926712240179</v>
      </c>
      <c r="P30" s="26">
        <f t="shared" ref="P30" si="37">O30*(1+P31)</f>
        <v>3.5323248924384592</v>
      </c>
      <c r="Q30" s="26">
        <f t="shared" ref="Q30" si="38">P30*(1+Q31)</f>
        <v>3.5326571449018145</v>
      </c>
      <c r="R30" s="26">
        <f t="shared" ref="R30" si="39">Q30*(1+R31)</f>
        <v>3.5329894286170229</v>
      </c>
      <c r="S30" s="26">
        <f t="shared" ref="S30" si="40">R30*(1+S31)</f>
        <v>3.5333217435870243</v>
      </c>
    </row>
    <row r="31" spans="3:24" x14ac:dyDescent="0.25">
      <c r="D31" s="42" t="str">
        <f>D30&amp;"  as a % Revenue"</f>
        <v>Other Non-Current Liabilities  as a % Revenue</v>
      </c>
      <c r="E31" s="46">
        <f>E30/E$7</f>
        <v>1.4908072032575564E-4</v>
      </c>
      <c r="F31" s="46">
        <f t="shared" ref="F31:I31" si="41">F30/F$7</f>
        <v>1.2364228253044105E-4</v>
      </c>
      <c r="G31" s="46">
        <f t="shared" si="41"/>
        <v>8.8024771653666051E-5</v>
      </c>
      <c r="H31" s="46">
        <f t="shared" si="41"/>
        <v>5.9772314918505671E-5</v>
      </c>
      <c r="I31" s="159">
        <f t="shared" si="41"/>
        <v>4.9782718881076275E-5</v>
      </c>
      <c r="J31" s="152">
        <f>AVERAGE(E31:I31)</f>
        <v>9.4060561661888931E-5</v>
      </c>
      <c r="K31" s="152">
        <f>J31</f>
        <v>9.4060561661888931E-5</v>
      </c>
      <c r="L31" s="152">
        <f t="shared" ref="L31:S31" si="42">K31</f>
        <v>9.4060561661888931E-5</v>
      </c>
      <c r="M31" s="152">
        <f t="shared" si="42"/>
        <v>9.4060561661888931E-5</v>
      </c>
      <c r="N31" s="152">
        <f t="shared" si="42"/>
        <v>9.4060561661888931E-5</v>
      </c>
      <c r="O31" s="152">
        <f t="shared" si="42"/>
        <v>9.4060561661888931E-5</v>
      </c>
      <c r="P31" s="152">
        <f t="shared" si="42"/>
        <v>9.4060561661888931E-5</v>
      </c>
      <c r="Q31" s="152">
        <f t="shared" si="42"/>
        <v>9.4060561661888931E-5</v>
      </c>
      <c r="R31" s="152">
        <f t="shared" si="42"/>
        <v>9.4060561661888931E-5</v>
      </c>
      <c r="S31" s="152">
        <f t="shared" si="42"/>
        <v>9.4060561661888931E-5</v>
      </c>
      <c r="T31" s="66"/>
      <c r="U31" s="66"/>
      <c r="V31" s="66"/>
      <c r="W31" s="66"/>
      <c r="X31" s="66"/>
    </row>
    <row r="32" spans="3:24" x14ac:dyDescent="0.25">
      <c r="E32" s="6"/>
    </row>
    <row r="33" spans="4:24" x14ac:dyDescent="0.25">
      <c r="D33" s="1"/>
      <c r="E33" s="6"/>
    </row>
    <row r="35" spans="4:24" x14ac:dyDescent="0.25">
      <c r="D35" s="1" t="s">
        <v>80</v>
      </c>
    </row>
    <row r="36" spans="4:24" x14ac:dyDescent="0.25">
      <c r="D36" t="s">
        <v>74</v>
      </c>
      <c r="E36" s="26">
        <f>VLOOKUP($D36,'Balance sheet Historical'!$D$56:$I$62,COUNTBLANK('BS items'!$D$3:E$3),FALSE)</f>
        <v>3985.09</v>
      </c>
      <c r="F36" s="26">
        <f>VLOOKUP($D36,'Balance sheet Historical'!$D$56:$I$62,COUNTBLANK('BS items'!$D$3:F$3),FALSE)</f>
        <v>4235.13</v>
      </c>
      <c r="G36" s="26">
        <f>VLOOKUP($D36,'Balance sheet Historical'!$D$56:$I$62,COUNTBLANK('BS items'!$D$3:G$3),FALSE)</f>
        <v>4899.84</v>
      </c>
      <c r="H36" s="26">
        <f>VLOOKUP($D36,'Balance sheet Historical'!$D$56:$I$62,COUNTBLANK('BS items'!$D$3:H$3),FALSE)</f>
        <v>4544.37</v>
      </c>
      <c r="I36" s="26">
        <f>VLOOKUP($D36,'Balance sheet Historical'!$D$56:$I$62,COUNTBLANK('BS items'!$D$3:I$3),FALSE)</f>
        <v>4990.6099999999997</v>
      </c>
      <c r="J36" s="26">
        <f t="shared" ref="J36" si="43">I36*(1+J37)</f>
        <v>5414.5007398359348</v>
      </c>
      <c r="K36" s="26">
        <f t="shared" ref="K36" si="44">J36*(1+K37)</f>
        <v>5874.3957675883084</v>
      </c>
      <c r="L36" s="26">
        <f t="shared" ref="L36" si="45">K36*(1+L37)</f>
        <v>6373.3532032549092</v>
      </c>
      <c r="M36" s="26">
        <f t="shared" ref="M36" si="46">L36*(1+M37)</f>
        <v>6914.6909163928722</v>
      </c>
      <c r="N36" s="26">
        <f t="shared" ref="N36" si="47">M36*(1+N37)</f>
        <v>7502.0085886386687</v>
      </c>
      <c r="O36" s="26">
        <f t="shared" ref="O36" si="48">N36*(1+O37)</f>
        <v>8139.2116501669361</v>
      </c>
      <c r="P36" s="26">
        <f t="shared" ref="P36" si="49">O36*(1+P37)</f>
        <v>8830.537249256131</v>
      </c>
      <c r="Q36" s="26">
        <f t="shared" ref="Q36" si="50">P36*(1+Q37)</f>
        <v>9580.5824276483454</v>
      </c>
      <c r="R36" s="26">
        <f t="shared" ref="R36" si="51">Q36*(1+R37)</f>
        <v>10394.334689058276</v>
      </c>
      <c r="S36" s="26">
        <f t="shared" ref="S36" si="52">R36*(1+S37)</f>
        <v>11277.205164099852</v>
      </c>
    </row>
    <row r="37" spans="4:24" x14ac:dyDescent="0.25">
      <c r="D37" s="42" t="str">
        <f>D36&amp;"  as a % Revenue"</f>
        <v>Borrowings  as a % Revenue</v>
      </c>
      <c r="E37" s="46">
        <f>E36/E$7</f>
        <v>9.4601924803019988E-2</v>
      </c>
      <c r="F37" s="46">
        <f t="shared" ref="F37:I37" si="53">F36/F$7</f>
        <v>9.4690983727512973E-2</v>
      </c>
      <c r="G37" s="46">
        <f t="shared" si="53"/>
        <v>9.3154923788228747E-2</v>
      </c>
      <c r="H37" s="46">
        <f t="shared" si="53"/>
        <v>7.1859130885240638E-2</v>
      </c>
      <c r="I37" s="159">
        <f t="shared" si="53"/>
        <v>7.0381341267730324E-2</v>
      </c>
      <c r="J37" s="152">
        <f>AVERAGE(E37:I37)</f>
        <v>8.4937660894346539E-2</v>
      </c>
      <c r="K37" s="152">
        <f>J37</f>
        <v>8.4937660894346539E-2</v>
      </c>
      <c r="L37" s="152">
        <f t="shared" ref="L37:S37" si="54">K37</f>
        <v>8.4937660894346539E-2</v>
      </c>
      <c r="M37" s="152">
        <f t="shared" si="54"/>
        <v>8.4937660894346539E-2</v>
      </c>
      <c r="N37" s="152">
        <f t="shared" si="54"/>
        <v>8.4937660894346539E-2</v>
      </c>
      <c r="O37" s="152">
        <f t="shared" si="54"/>
        <v>8.4937660894346539E-2</v>
      </c>
      <c r="P37" s="152">
        <f t="shared" si="54"/>
        <v>8.4937660894346539E-2</v>
      </c>
      <c r="Q37" s="152">
        <f t="shared" si="54"/>
        <v>8.4937660894346539E-2</v>
      </c>
      <c r="R37" s="152">
        <f t="shared" si="54"/>
        <v>8.4937660894346539E-2</v>
      </c>
      <c r="S37" s="152">
        <f t="shared" si="54"/>
        <v>8.4937660894346539E-2</v>
      </c>
      <c r="T37" s="66"/>
      <c r="U37" s="66"/>
      <c r="V37" s="66"/>
      <c r="W37" s="66"/>
      <c r="X37" s="66"/>
    </row>
    <row r="38" spans="4:24" x14ac:dyDescent="0.25">
      <c r="D38" t="s">
        <v>88</v>
      </c>
      <c r="E38">
        <f>VLOOKUP($D38,'Balance sheet Historical'!$D$56:$I$62,COUNTBLANK('BS items'!$D$3:E$3),FALSE)</f>
        <v>0</v>
      </c>
      <c r="F38">
        <f>VLOOKUP($D38,'Balance sheet Historical'!$D$56:$I$62,COUNTBLANK('BS items'!$D$3:F$3),FALSE)</f>
        <v>0</v>
      </c>
      <c r="G38">
        <f>VLOOKUP($D38,'Balance sheet Historical'!$D$56:$I$62,COUNTBLANK('BS items'!$D$3:G$3),FALSE)</f>
        <v>117.76</v>
      </c>
      <c r="H38">
        <f>VLOOKUP($D38,'Balance sheet Historical'!$D$56:$I$62,COUNTBLANK('BS items'!$D$3:H$3),FALSE)</f>
        <v>146.31</v>
      </c>
      <c r="I38">
        <f>VLOOKUP($D38,'Balance sheet Historical'!$D$56:$I$62,COUNTBLANK('BS items'!$D$3:I$3),FALSE)</f>
        <v>162.44999999999999</v>
      </c>
      <c r="J38">
        <f t="shared" ref="J38" si="55">I38*(1+J39)</f>
        <v>162.67234185236083</v>
      </c>
      <c r="K38">
        <f t="shared" ref="K38" si="56">J38*(1+K39)</f>
        <v>162.89498801927576</v>
      </c>
      <c r="L38">
        <f t="shared" ref="L38" si="57">K38*(1+L39)</f>
        <v>163.11793891725361</v>
      </c>
      <c r="M38">
        <f t="shared" ref="M38" si="58">L38*(1+M39)</f>
        <v>163.34119496337328</v>
      </c>
      <c r="N38">
        <f t="shared" ref="N38" si="59">M38*(1+N39)</f>
        <v>163.56475657528458</v>
      </c>
      <c r="O38">
        <f t="shared" ref="O38" si="60">N38*(1+O39)</f>
        <v>163.78862417120885</v>
      </c>
      <c r="P38">
        <f t="shared" ref="P38" si="61">O38*(1+P39)</f>
        <v>164.01279816993988</v>
      </c>
      <c r="Q38">
        <f t="shared" ref="Q38" si="62">P38*(1+Q39)</f>
        <v>164.23727899084471</v>
      </c>
      <c r="R38">
        <f t="shared" ref="R38" si="63">Q38*(1+R39)</f>
        <v>164.46206705386427</v>
      </c>
      <c r="S38">
        <f t="shared" ref="S38" si="64">R38*(1+S39)</f>
        <v>164.6871627795143</v>
      </c>
    </row>
    <row r="39" spans="4:24" x14ac:dyDescent="0.25">
      <c r="D39" s="42" t="str">
        <f>D38&amp;"  as a % Revenue"</f>
        <v>Lease Laibility  as a % Revenue</v>
      </c>
      <c r="E39" s="46">
        <f t="shared" ref="E39:I39" si="65">E38/E$7</f>
        <v>0</v>
      </c>
      <c r="F39" s="46">
        <f t="shared" si="65"/>
        <v>0</v>
      </c>
      <c r="G39" s="46">
        <f t="shared" si="65"/>
        <v>2.2388330691005863E-3</v>
      </c>
      <c r="H39" s="46">
        <f t="shared" si="65"/>
        <v>2.313568094107557E-3</v>
      </c>
      <c r="I39" s="159">
        <f t="shared" si="65"/>
        <v>2.2909922612551958E-3</v>
      </c>
      <c r="J39" s="152">
        <f>AVERAGE(E39:I39)</f>
        <v>1.3686786848926679E-3</v>
      </c>
      <c r="K39" s="152">
        <f>J39</f>
        <v>1.3686786848926679E-3</v>
      </c>
      <c r="L39" s="152">
        <f t="shared" ref="L39:S39" si="66">K39</f>
        <v>1.3686786848926679E-3</v>
      </c>
      <c r="M39" s="152">
        <f t="shared" si="66"/>
        <v>1.3686786848926679E-3</v>
      </c>
      <c r="N39" s="152">
        <f t="shared" si="66"/>
        <v>1.3686786848926679E-3</v>
      </c>
      <c r="O39" s="152">
        <f t="shared" si="66"/>
        <v>1.3686786848926679E-3</v>
      </c>
      <c r="P39" s="152">
        <f t="shared" si="66"/>
        <v>1.3686786848926679E-3</v>
      </c>
      <c r="Q39" s="152">
        <f t="shared" si="66"/>
        <v>1.3686786848926679E-3</v>
      </c>
      <c r="R39" s="152">
        <f t="shared" si="66"/>
        <v>1.3686786848926679E-3</v>
      </c>
      <c r="S39" s="152">
        <f t="shared" si="66"/>
        <v>1.3686786848926679E-3</v>
      </c>
      <c r="T39" s="66"/>
      <c r="U39" s="66"/>
      <c r="V39" s="66"/>
      <c r="W39" s="66"/>
      <c r="X39" s="66"/>
    </row>
    <row r="40" spans="4:24" x14ac:dyDescent="0.25">
      <c r="D40" t="s">
        <v>75</v>
      </c>
      <c r="E40" s="26">
        <f>VLOOKUP($D40,'Balance sheet Historical'!$D$56:$I$62,COUNTBLANK('BS items'!$D$3:E$3),FALSE)</f>
        <v>3993.72</v>
      </c>
      <c r="F40" s="26">
        <f>VLOOKUP($D40,'Balance sheet Historical'!$D$56:$I$62,COUNTBLANK('BS items'!$D$3:F$3),FALSE)</f>
        <v>5578.98</v>
      </c>
      <c r="G40" s="26">
        <f>VLOOKUP($D40,'Balance sheet Historical'!$D$56:$I$62,COUNTBLANK('BS items'!$D$3:G$3),FALSE)</f>
        <v>3608.55</v>
      </c>
      <c r="H40" s="26">
        <f>VLOOKUP($D40,'Balance sheet Historical'!$D$56:$I$62,COUNTBLANK('BS items'!$D$3:H$3),FALSE)</f>
        <v>4783.5600000000004</v>
      </c>
      <c r="I40" s="26">
        <f>VLOOKUP($D40,'Balance sheet Historical'!$D$56:$I$62,COUNTBLANK('BS items'!$D$3:I$3),FALSE)</f>
        <v>5326.92</v>
      </c>
      <c r="J40" s="26">
        <f t="shared" ref="J40" si="67">I40*(1+J41)</f>
        <v>5794.532974161687</v>
      </c>
      <c r="K40" s="26">
        <f t="shared" ref="K40" si="68">J40*(1+K41)</f>
        <v>6303.194414154349</v>
      </c>
      <c r="L40" s="26">
        <f t="shared" ref="L40" si="69">K40*(1+L41)</f>
        <v>6856.5076771134409</v>
      </c>
      <c r="M40" s="26">
        <f t="shared" ref="M40" si="70">L40*(1+M41)</f>
        <v>7458.3924336439422</v>
      </c>
      <c r="N40" s="26">
        <f t="shared" ref="N40" si="71">M40*(1+N41)</f>
        <v>8113.1124347630257</v>
      </c>
      <c r="O40" s="26">
        <f t="shared" ref="O40" si="72">N40*(1+O41)</f>
        <v>8825.3057163080284</v>
      </c>
      <c r="P40" s="26">
        <f t="shared" ref="P40" si="73">O40*(1+P41)</f>
        <v>9600.0174547777133</v>
      </c>
      <c r="Q40" s="26">
        <f t="shared" ref="Q40" si="74">P40*(1+Q41)</f>
        <v>10442.735707357575</v>
      </c>
      <c r="R40" s="26">
        <f t="shared" ref="R40" si="75">Q40*(1+R41)</f>
        <v>11359.430289311485</v>
      </c>
      <c r="S40" s="26">
        <f t="shared" ref="S40" si="76">R40*(1+S41)</f>
        <v>12356.595064147094</v>
      </c>
    </row>
    <row r="41" spans="4:24" x14ac:dyDescent="0.25">
      <c r="D41" s="42" t="str">
        <f>D40&amp;"  as a % Revenue"</f>
        <v>Other Financial Liabilities  as a % Revenue</v>
      </c>
      <c r="E41" s="46">
        <f t="shared" ref="E41:I41" si="77">E40/E$7</f>
        <v>9.4806792098626871E-2</v>
      </c>
      <c r="F41" s="46">
        <f t="shared" si="77"/>
        <v>0.12473739988999635</v>
      </c>
      <c r="G41" s="46">
        <f t="shared" si="77"/>
        <v>6.8605138175126715E-2</v>
      </c>
      <c r="H41" s="46">
        <f t="shared" si="77"/>
        <v>7.5641390145917198E-2</v>
      </c>
      <c r="I41" s="159">
        <f t="shared" si="77"/>
        <v>7.5124238204527724E-2</v>
      </c>
      <c r="J41" s="152">
        <f>AVERAGE(E41:I41)</f>
        <v>8.7782991702838972E-2</v>
      </c>
      <c r="K41" s="152">
        <f>J41</f>
        <v>8.7782991702838972E-2</v>
      </c>
      <c r="L41" s="152">
        <f t="shared" ref="L41:S41" si="78">K41</f>
        <v>8.7782991702838972E-2</v>
      </c>
      <c r="M41" s="152">
        <f t="shared" si="78"/>
        <v>8.7782991702838972E-2</v>
      </c>
      <c r="N41" s="152">
        <f t="shared" si="78"/>
        <v>8.7782991702838972E-2</v>
      </c>
      <c r="O41" s="152">
        <f t="shared" si="78"/>
        <v>8.7782991702838972E-2</v>
      </c>
      <c r="P41" s="152">
        <f t="shared" si="78"/>
        <v>8.7782991702838972E-2</v>
      </c>
      <c r="Q41" s="152">
        <f t="shared" si="78"/>
        <v>8.7782991702838972E-2</v>
      </c>
      <c r="R41" s="152">
        <f t="shared" si="78"/>
        <v>8.7782991702838972E-2</v>
      </c>
      <c r="S41" s="152">
        <f t="shared" si="78"/>
        <v>8.7782991702838972E-2</v>
      </c>
      <c r="T41" s="66"/>
      <c r="U41" s="66"/>
      <c r="V41" s="66"/>
      <c r="W41" s="66"/>
      <c r="X41" s="66"/>
    </row>
    <row r="42" spans="4:24" x14ac:dyDescent="0.25">
      <c r="D42" t="s">
        <v>82</v>
      </c>
      <c r="E42" s="26">
        <f>VLOOKUP($D42,'Balance sheet Historical'!$D$56:$I$62,COUNTBLANK('BS items'!$D$3:E$3),FALSE)</f>
        <v>3512.31</v>
      </c>
      <c r="F42" s="26">
        <f>VLOOKUP($D42,'Balance sheet Historical'!$D$56:$I$62,COUNTBLANK('BS items'!$D$3:F$3),FALSE)</f>
        <v>4600.78</v>
      </c>
      <c r="G42" s="26">
        <f>VLOOKUP($D42,'Balance sheet Historical'!$D$56:$I$62,COUNTBLANK('BS items'!$D$3:G$3),FALSE)</f>
        <v>4890.9399999999996</v>
      </c>
      <c r="H42" s="26">
        <f>VLOOKUP($D42,'Balance sheet Historical'!$D$56:$I$62,COUNTBLANK('BS items'!$D$3:H$3),FALSE)</f>
        <v>5177.3999999999996</v>
      </c>
      <c r="I42" s="26">
        <f>VLOOKUP($D42,'Balance sheet Historical'!$D$56:$I$62,COUNTBLANK('BS items'!$D$3:I$3),FALSE)</f>
        <v>5706.68</v>
      </c>
      <c r="J42" s="26">
        <f t="shared" ref="J42" si="79">I42*(1+J43)</f>
        <v>6210.670790595118</v>
      </c>
      <c r="K42" s="26">
        <f t="shared" ref="K42" si="80">J42*(1+K43)</f>
        <v>6759.1720000335372</v>
      </c>
      <c r="L42" s="26">
        <f t="shared" ref="L42" si="81">K42*(1+L43)</f>
        <v>7356.114607655707</v>
      </c>
      <c r="M42" s="26">
        <f t="shared" ref="M42" si="82">L42*(1+M43)</f>
        <v>8005.7767609253306</v>
      </c>
      <c r="N42" s="26">
        <f t="shared" ref="N42" si="83">M42*(1+N43)</f>
        <v>8712.8144359074176</v>
      </c>
      <c r="O42" s="26">
        <f t="shared" ref="O42" si="84">N42*(1+O43)</f>
        <v>9482.2948055551878</v>
      </c>
      <c r="P42" s="26">
        <f t="shared" ref="P42" si="85">O42*(1+P43)</f>
        <v>10319.732554948485</v>
      </c>
      <c r="Q42" s="26">
        <f t="shared" ref="Q42" si="86">P42*(1+Q43)</f>
        <v>11231.129403746501</v>
      </c>
      <c r="R42" s="26">
        <f t="shared" ref="R42" si="87">Q42*(1+R43)</f>
        <v>12223.017119102939</v>
      </c>
      <c r="S42" s="26">
        <f t="shared" ref="S42" si="88">R42*(1+S43)</f>
        <v>13302.50432730707</v>
      </c>
    </row>
    <row r="43" spans="4:24" x14ac:dyDescent="0.25">
      <c r="D43" s="42" t="str">
        <f>D42&amp;"  as a % Revenue"</f>
        <v>Other Current Liabilities  as a % Revenue</v>
      </c>
      <c r="E43" s="46">
        <f t="shared" ref="E43:I43" si="89">E42/E$7</f>
        <v>8.3378615415183877E-2</v>
      </c>
      <c r="F43" s="46">
        <f t="shared" si="89"/>
        <v>0.10286635454256826</v>
      </c>
      <c r="G43" s="46">
        <f t="shared" si="89"/>
        <v>9.2985718503624498E-2</v>
      </c>
      <c r="H43" s="46">
        <f t="shared" si="89"/>
        <v>8.1869096100283395E-2</v>
      </c>
      <c r="I43" s="159">
        <f t="shared" si="89"/>
        <v>8.0479899768912289E-2</v>
      </c>
      <c r="J43" s="152">
        <f>AVERAGE(E43:I43)</f>
        <v>8.8315936866114469E-2</v>
      </c>
      <c r="K43" s="152">
        <f>J43</f>
        <v>8.8315936866114469E-2</v>
      </c>
      <c r="L43" s="152">
        <f t="shared" ref="L43:S43" si="90">K43</f>
        <v>8.8315936866114469E-2</v>
      </c>
      <c r="M43" s="152">
        <f t="shared" si="90"/>
        <v>8.8315936866114469E-2</v>
      </c>
      <c r="N43" s="152">
        <f t="shared" si="90"/>
        <v>8.8315936866114469E-2</v>
      </c>
      <c r="O43" s="152">
        <f t="shared" si="90"/>
        <v>8.8315936866114469E-2</v>
      </c>
      <c r="P43" s="152">
        <f t="shared" si="90"/>
        <v>8.8315936866114469E-2</v>
      </c>
      <c r="Q43" s="152">
        <f t="shared" si="90"/>
        <v>8.8315936866114469E-2</v>
      </c>
      <c r="R43" s="152">
        <f t="shared" si="90"/>
        <v>8.8315936866114469E-2</v>
      </c>
      <c r="S43" s="152">
        <f t="shared" si="90"/>
        <v>8.8315936866114469E-2</v>
      </c>
      <c r="T43" s="66"/>
      <c r="U43" s="66"/>
      <c r="V43" s="66"/>
      <c r="W43" s="66"/>
      <c r="X43" s="66"/>
    </row>
    <row r="44" spans="4:24" x14ac:dyDescent="0.25">
      <c r="D44" t="s">
        <v>76</v>
      </c>
      <c r="E44" s="26">
        <f>VLOOKUP($D44,'Balance sheet Historical'!$D$56:$I$62,COUNTBLANK('BS items'!$D$3:E$3),FALSE)</f>
        <v>548.05999999999995</v>
      </c>
      <c r="F44" s="26">
        <f>VLOOKUP($D44,'Balance sheet Historical'!$D$56:$I$62,COUNTBLANK('BS items'!$D$3:F$3),FALSE)</f>
        <v>521.85</v>
      </c>
      <c r="G44" s="26">
        <f>VLOOKUP($D44,'Balance sheet Historical'!$D$56:$I$62,COUNTBLANK('BS items'!$D$3:G$3),FALSE)</f>
        <v>247.98</v>
      </c>
      <c r="H44" s="26">
        <f>VLOOKUP($D44,'Balance sheet Historical'!$D$56:$I$62,COUNTBLANK('BS items'!$D$3:H$3),FALSE)</f>
        <v>204.43</v>
      </c>
      <c r="I44" s="26">
        <f>VLOOKUP($D44,'Balance sheet Historical'!$D$56:$I$62,COUNTBLANK('BS items'!$D$3:I$3),FALSE)</f>
        <v>257.5</v>
      </c>
      <c r="J44" s="26">
        <f t="shared" ref="J44" si="91">I44*(1+J45)</f>
        <v>259.36722317117147</v>
      </c>
      <c r="K44" s="26">
        <f t="shared" ref="K44" si="92">J44*(1+K45)</f>
        <v>261.24798623504569</v>
      </c>
      <c r="L44" s="26">
        <f t="shared" ref="L44" si="93">K44*(1+L45)</f>
        <v>263.14238737415235</v>
      </c>
      <c r="M44" s="26">
        <f t="shared" ref="M44" si="94">L44*(1+M45)</f>
        <v>265.05052548297715</v>
      </c>
      <c r="N44" s="26">
        <f t="shared" ref="N44" si="95">M44*(1+N45)</f>
        <v>266.97250017312467</v>
      </c>
      <c r="O44" s="26">
        <f t="shared" ref="O44" si="96">N44*(1+O45)</f>
        <v>268.9084117785182</v>
      </c>
      <c r="P44" s="26">
        <f t="shared" ref="P44" si="97">O44*(1+P45)</f>
        <v>270.85836136063767</v>
      </c>
      <c r="Q44" s="26">
        <f t="shared" ref="Q44" si="98">P44*(1+Q45)</f>
        <v>272.82245071379538</v>
      </c>
      <c r="R44" s="26">
        <f t="shared" ref="R44" si="99">Q44*(1+R45)</f>
        <v>274.80078237045007</v>
      </c>
      <c r="S44" s="26">
        <f t="shared" ref="S44" si="100">R44*(1+S45)</f>
        <v>276.7934596065594</v>
      </c>
    </row>
    <row r="45" spans="4:24" x14ac:dyDescent="0.25">
      <c r="D45" s="42" t="str">
        <f>D44&amp;"  as a % Revenue"</f>
        <v>Provisions  as a % Revenue</v>
      </c>
      <c r="E45" s="46">
        <f t="shared" ref="E45:I45" si="101">E44/E$7</f>
        <v>1.3010378914288794E-2</v>
      </c>
      <c r="F45" s="46">
        <f t="shared" si="101"/>
        <v>1.1667762231195417E-2</v>
      </c>
      <c r="G45" s="46">
        <f t="shared" si="101"/>
        <v>4.7145535366471076E-3</v>
      </c>
      <c r="H45" s="46">
        <f t="shared" si="101"/>
        <v>3.2326069679338926E-3</v>
      </c>
      <c r="I45" s="159">
        <f t="shared" si="101"/>
        <v>3.6314589552059891E-3</v>
      </c>
      <c r="J45" s="152">
        <f>AVERAGE(E45:I45)</f>
        <v>7.2513521210542404E-3</v>
      </c>
      <c r="K45" s="152">
        <f>J45</f>
        <v>7.2513521210542404E-3</v>
      </c>
      <c r="L45" s="152">
        <f t="shared" ref="L45:S45" si="102">K45</f>
        <v>7.2513521210542404E-3</v>
      </c>
      <c r="M45" s="152">
        <f t="shared" si="102"/>
        <v>7.2513521210542404E-3</v>
      </c>
      <c r="N45" s="152">
        <f t="shared" si="102"/>
        <v>7.2513521210542404E-3</v>
      </c>
      <c r="O45" s="152">
        <f t="shared" si="102"/>
        <v>7.2513521210542404E-3</v>
      </c>
      <c r="P45" s="152">
        <f t="shared" si="102"/>
        <v>7.2513521210542404E-3</v>
      </c>
      <c r="Q45" s="152">
        <f t="shared" si="102"/>
        <v>7.2513521210542404E-3</v>
      </c>
      <c r="R45" s="152">
        <f t="shared" si="102"/>
        <v>7.2513521210542404E-3</v>
      </c>
      <c r="S45" s="152">
        <f t="shared" si="102"/>
        <v>7.2513521210542404E-3</v>
      </c>
      <c r="T45" s="66"/>
      <c r="U45" s="66"/>
      <c r="V45" s="66"/>
      <c r="W45" s="66"/>
      <c r="X45" s="66"/>
    </row>
    <row r="46" spans="4:24" x14ac:dyDescent="0.25">
      <c r="D46" t="s">
        <v>83</v>
      </c>
      <c r="E46" s="26">
        <f>VLOOKUP($D46,'Balance sheet Historical'!$D$56:$I$62,COUNTBLANK('BS items'!$D$3:E$3),FALSE)</f>
        <v>601.14</v>
      </c>
      <c r="F46" s="26">
        <f>VLOOKUP($D46,'Balance sheet Historical'!$D$56:$I$62,COUNTBLANK('BS items'!$D$3:F$3),FALSE)</f>
        <v>711.74</v>
      </c>
      <c r="G46" s="26">
        <f>VLOOKUP($D46,'Balance sheet Historical'!$D$56:$I$62,COUNTBLANK('BS items'!$D$3:G$3),FALSE)</f>
        <v>527.29</v>
      </c>
      <c r="H46" s="26">
        <f>VLOOKUP($D46,'Balance sheet Historical'!$D$56:$I$62,COUNTBLANK('BS items'!$D$3:H$3),FALSE)</f>
        <v>1366.42</v>
      </c>
      <c r="I46" s="26">
        <f>VLOOKUP($D46,'Balance sheet Historical'!$D$56:$I$62,COUNTBLANK('BS items'!$D$3:I$3),FALSE)</f>
        <v>1983.47</v>
      </c>
      <c r="J46" s="26">
        <f t="shared" ref="J46" si="103">I46*(1+J47)</f>
        <v>2019.0883173720113</v>
      </c>
      <c r="K46" s="26">
        <f t="shared" ref="K46" si="104">J46*(1+K47)</f>
        <v>2055.3462534589075</v>
      </c>
      <c r="L46" s="26">
        <f t="shared" ref="L46" si="105">K46*(1+L47)</f>
        <v>2092.2552942636958</v>
      </c>
      <c r="M46" s="26">
        <f t="shared" ref="M46" si="106">L46*(1+M47)</f>
        <v>2129.8271320501785</v>
      </c>
      <c r="N46" s="26">
        <f t="shared" ref="N46" si="107">M46*(1+N47)</f>
        <v>2168.0736690468984</v>
      </c>
      <c r="O46" s="26">
        <f t="shared" ref="O46" si="108">N46*(1+O47)</f>
        <v>2207.007021217596</v>
      </c>
      <c r="P46" s="26">
        <f t="shared" ref="P46" si="109">O46*(1+P47)</f>
        <v>2246.6395220993768</v>
      </c>
      <c r="Q46" s="26">
        <f t="shared" ref="Q46" si="110">P46*(1+Q47)</f>
        <v>2286.9837267098014</v>
      </c>
      <c r="R46" s="26">
        <f t="shared" ref="R46" si="111">Q46*(1+R47)</f>
        <v>2328.0524155241392</v>
      </c>
      <c r="S46" s="26">
        <f t="shared" ref="S46" si="112">R46*(1+S47)</f>
        <v>2369.8585985240416</v>
      </c>
    </row>
    <row r="47" spans="4:24" x14ac:dyDescent="0.25">
      <c r="D47" s="42" t="str">
        <f>D46&amp;"  as a % Revenue"</f>
        <v>Current Tax Liabilities (Net)  as a % Revenue</v>
      </c>
      <c r="E47" s="46">
        <f t="shared" ref="E47:I47" si="113">E46/E$7</f>
        <v>1.4270443346596296E-2</v>
      </c>
      <c r="F47" s="46">
        <f t="shared" si="113"/>
        <v>1.5913410157001102E-2</v>
      </c>
      <c r="G47" s="46">
        <f t="shared" si="113"/>
        <v>1.0024747698760599E-2</v>
      </c>
      <c r="H47" s="46">
        <f t="shared" si="113"/>
        <v>2.1606901203953578E-2</v>
      </c>
      <c r="I47" s="159">
        <f t="shared" si="113"/>
        <v>2.7972387937407469E-2</v>
      </c>
      <c r="J47" s="152">
        <f>AVERAGE(E47:I47)</f>
        <v>1.7957578068743811E-2</v>
      </c>
      <c r="K47" s="152">
        <f>J47</f>
        <v>1.7957578068743811E-2</v>
      </c>
      <c r="L47" s="152">
        <f t="shared" ref="L47:S47" si="114">K47</f>
        <v>1.7957578068743811E-2</v>
      </c>
      <c r="M47" s="152">
        <f t="shared" si="114"/>
        <v>1.7957578068743811E-2</v>
      </c>
      <c r="N47" s="152">
        <f t="shared" si="114"/>
        <v>1.7957578068743811E-2</v>
      </c>
      <c r="O47" s="152">
        <f t="shared" si="114"/>
        <v>1.7957578068743811E-2</v>
      </c>
      <c r="P47" s="152">
        <f t="shared" si="114"/>
        <v>1.7957578068743811E-2</v>
      </c>
      <c r="Q47" s="152">
        <f t="shared" si="114"/>
        <v>1.7957578068743811E-2</v>
      </c>
      <c r="R47" s="152">
        <f t="shared" si="114"/>
        <v>1.7957578068743811E-2</v>
      </c>
      <c r="S47" s="152">
        <f t="shared" si="114"/>
        <v>1.7957578068743811E-2</v>
      </c>
      <c r="T47" s="66"/>
      <c r="U47" s="66"/>
      <c r="V47" s="66"/>
      <c r="W47" s="66"/>
      <c r="X47" s="66"/>
    </row>
    <row r="49" spans="4:24" x14ac:dyDescent="0.25">
      <c r="D49" s="1"/>
    </row>
    <row r="51" spans="4:24" x14ac:dyDescent="0.25">
      <c r="D51" s="1" t="s">
        <v>37</v>
      </c>
    </row>
    <row r="53" spans="4:24" x14ac:dyDescent="0.25">
      <c r="D53" s="1" t="s">
        <v>38</v>
      </c>
    </row>
    <row r="54" spans="4:24" x14ac:dyDescent="0.25">
      <c r="D54" t="s">
        <v>47</v>
      </c>
      <c r="E54" s="26">
        <f>VLOOKUP($D54,'Balance sheet Historical'!$D$16:$I$21,COUNTBLANK('BS items'!$D$3:E$3),FALSE)</f>
        <v>1661.8</v>
      </c>
      <c r="F54" s="26">
        <f>VLOOKUP($D54,'Balance sheet Historical'!$D$16:$I$21,COUNTBLANK('BS items'!$D$3:F$3),FALSE)</f>
        <v>1255.44</v>
      </c>
      <c r="G54" s="26">
        <f>VLOOKUP($D54,'Balance sheet Historical'!$D$16:$I$21,COUNTBLANK('BS items'!$D$3:G$3),FALSE)</f>
        <v>1342.26</v>
      </c>
      <c r="H54" s="26">
        <f>VLOOKUP($D54,'Balance sheet Historical'!$D$16:$I$21,COUNTBLANK('BS items'!$D$3:H$3),FALSE)</f>
        <v>584.34</v>
      </c>
      <c r="I54" s="26">
        <f>VLOOKUP($D54,'Balance sheet Historical'!$D$16:$I$21,COUNTBLANK('BS items'!$D$3:I$3),FALSE)</f>
        <v>1795.21</v>
      </c>
      <c r="J54" s="26">
        <f t="shared" ref="J54" si="115">I54*(1+J55)</f>
        <v>1841.0221022784776</v>
      </c>
      <c r="K54" s="26">
        <f t="shared" ref="K54" si="116">J54*(1+K55)</f>
        <v>1888.0032871239939</v>
      </c>
      <c r="L54" s="26">
        <f t="shared" ref="L54" si="117">K54*(1+L55)</f>
        <v>1936.1833884446339</v>
      </c>
      <c r="M54" s="26">
        <f t="shared" ref="M54" si="118">L54*(1+M55)</f>
        <v>1985.5930014822811</v>
      </c>
      <c r="N54" s="26">
        <f t="shared" ref="N54" si="119">M54*(1+N55)</f>
        <v>2036.2635022411537</v>
      </c>
      <c r="O54" s="26">
        <f t="shared" ref="O54" si="120">N54*(1+O55)</f>
        <v>2088.2270674121378</v>
      </c>
      <c r="P54" s="26">
        <f t="shared" ref="P54" si="121">O54*(1+P55)</f>
        <v>2141.5166948055735</v>
      </c>
      <c r="Q54" s="26">
        <f t="shared" ref="Q54" si="122">P54*(1+Q55)</f>
        <v>2196.1662243054648</v>
      </c>
      <c r="R54" s="26">
        <f t="shared" ref="R54" si="123">Q54*(1+R55)</f>
        <v>2252.210359358422</v>
      </c>
      <c r="S54" s="26">
        <f t="shared" ref="S54" si="124">R54*(1+S55)</f>
        <v>2309.6846890109832</v>
      </c>
    </row>
    <row r="55" spans="4:24" x14ac:dyDescent="0.25">
      <c r="D55" s="42" t="str">
        <f>D54&amp;"  as a % Revenue"</f>
        <v>Investments  as a % Revenue</v>
      </c>
      <c r="E55" s="46">
        <f t="shared" ref="E55" si="125">E54/E$7</f>
        <v>3.9449417362633868E-2</v>
      </c>
      <c r="F55" s="46">
        <f t="shared" ref="F55" si="126">F54/F$7</f>
        <v>2.806970473418027E-2</v>
      </c>
      <c r="G55" s="46">
        <f t="shared" ref="G55" si="127">G54/G$7</f>
        <v>2.55188185744816E-2</v>
      </c>
      <c r="H55" s="46">
        <f t="shared" ref="H55" si="128">H54/H$7</f>
        <v>9.2400408728782017E-3</v>
      </c>
      <c r="I55" s="159">
        <f t="shared" ref="I55" si="129">I54/I$7</f>
        <v>2.5317403615438227E-2</v>
      </c>
      <c r="J55" s="152">
        <f>AVERAGE(E55:I55)</f>
        <v>2.5519077031922431E-2</v>
      </c>
      <c r="K55" s="152">
        <f>J55</f>
        <v>2.5519077031922431E-2</v>
      </c>
      <c r="L55" s="152">
        <f t="shared" ref="L55:S55" si="130">K55</f>
        <v>2.5519077031922431E-2</v>
      </c>
      <c r="M55" s="152">
        <f t="shared" si="130"/>
        <v>2.5519077031922431E-2</v>
      </c>
      <c r="N55" s="152">
        <f t="shared" si="130"/>
        <v>2.5519077031922431E-2</v>
      </c>
      <c r="O55" s="152">
        <f t="shared" si="130"/>
        <v>2.5519077031922431E-2</v>
      </c>
      <c r="P55" s="152">
        <f t="shared" si="130"/>
        <v>2.5519077031922431E-2</v>
      </c>
      <c r="Q55" s="152">
        <f t="shared" si="130"/>
        <v>2.5519077031922431E-2</v>
      </c>
      <c r="R55" s="152">
        <f t="shared" si="130"/>
        <v>2.5519077031922431E-2</v>
      </c>
      <c r="S55" s="152">
        <f t="shared" si="130"/>
        <v>2.5519077031922431E-2</v>
      </c>
      <c r="T55" s="66"/>
      <c r="U55" s="66"/>
      <c r="V55" s="66"/>
      <c r="W55" s="66"/>
      <c r="X55" s="66"/>
    </row>
    <row r="56" spans="4:24" x14ac:dyDescent="0.25">
      <c r="D56" t="s">
        <v>48</v>
      </c>
      <c r="E56" s="26">
        <f>VLOOKUP($D56,'Balance sheet Historical'!$D$16:$I$21,COUNTBLANK('BS items'!$D$3:E$3),FALSE)</f>
        <v>1231.67</v>
      </c>
      <c r="F56" s="26">
        <f>VLOOKUP($D56,'Balance sheet Historical'!$D$16:$I$21,COUNTBLANK('BS items'!$D$3:F$3),FALSE)</f>
        <v>167.14</v>
      </c>
      <c r="G56" s="26">
        <f>VLOOKUP($D56,'Balance sheet Historical'!$D$16:$I$21,COUNTBLANK('BS items'!$D$3:G$3),FALSE)</f>
        <v>9.59</v>
      </c>
      <c r="H56" s="26">
        <f>VLOOKUP($D56,'Balance sheet Historical'!$D$16:$I$21,COUNTBLANK('BS items'!$D$3:H$3),FALSE)</f>
        <v>9.2200000000000006</v>
      </c>
      <c r="I56" s="26">
        <f>VLOOKUP($D56,'Balance sheet Historical'!$D$16:$I$21,COUNTBLANK('BS items'!$D$3:I$3),FALSE)</f>
        <v>8.31</v>
      </c>
      <c r="J56" s="26">
        <f t="shared" ref="J56" si="131">I56*(1+J57)</f>
        <v>8.3655455010786088</v>
      </c>
      <c r="K56" s="26">
        <f t="shared" ref="K56" si="132">J56*(1+K57)</f>
        <v>8.4214622780525321</v>
      </c>
      <c r="L56" s="26">
        <f t="shared" ref="L56" si="133">K56*(1+L57)</f>
        <v>8.4777528125951331</v>
      </c>
      <c r="M56" s="26">
        <f t="shared" ref="M56" si="134">L56*(1+M57)</f>
        <v>8.5344196029677164</v>
      </c>
      <c r="N56" s="26">
        <f t="shared" ref="N56" si="135">M56*(1+N57)</f>
        <v>8.591465164130403</v>
      </c>
      <c r="O56" s="26">
        <f t="shared" ref="O56" si="136">N56*(1+O57)</f>
        <v>8.6488920278537513</v>
      </c>
      <c r="P56" s="26">
        <f t="shared" ref="P56" si="137">O56*(1+P57)</f>
        <v>8.7067027428311174</v>
      </c>
      <c r="Q56" s="26">
        <f t="shared" ref="Q56" si="138">P56*(1+Q57)</f>
        <v>8.764899874791773</v>
      </c>
      <c r="R56" s="26">
        <f t="shared" ref="R56" si="139">Q56*(1+R57)</f>
        <v>8.8234860066147736</v>
      </c>
      <c r="S56" s="26">
        <f t="shared" ref="S56" si="140">R56*(1+S57)</f>
        <v>8.8824637384435938</v>
      </c>
    </row>
    <row r="57" spans="4:24" x14ac:dyDescent="0.25">
      <c r="D57" s="42" t="str">
        <f>D56&amp;"  as a % Revenue"</f>
        <v>Loans  as a % Revenue</v>
      </c>
      <c r="E57" s="46">
        <f t="shared" ref="E57" si="141">E56/E$7</f>
        <v>2.923857496872985E-2</v>
      </c>
      <c r="F57" s="46">
        <f t="shared" ref="F57" si="142">F56/F$7</f>
        <v>3.7369929660285555E-3</v>
      </c>
      <c r="G57" s="46">
        <f t="shared" ref="G57" si="143">G56/G$7</f>
        <v>1.8232344711850053E-4</v>
      </c>
      <c r="H57" s="46">
        <f t="shared" ref="H57" si="144">H56/H$7</f>
        <v>1.4579384749963554E-4</v>
      </c>
      <c r="I57" s="159">
        <f t="shared" ref="I57" si="145">I56/I$7</f>
        <v>1.1719387929227872E-4</v>
      </c>
      <c r="J57" s="152">
        <f>AVERAGE(E57:I57)</f>
        <v>6.6841758217337649E-3</v>
      </c>
      <c r="K57" s="152">
        <f>J57</f>
        <v>6.6841758217337649E-3</v>
      </c>
      <c r="L57" s="152">
        <f t="shared" ref="L57:S57" si="146">K57</f>
        <v>6.6841758217337649E-3</v>
      </c>
      <c r="M57" s="152">
        <f t="shared" si="146"/>
        <v>6.6841758217337649E-3</v>
      </c>
      <c r="N57" s="152">
        <f t="shared" si="146"/>
        <v>6.6841758217337649E-3</v>
      </c>
      <c r="O57" s="152">
        <f t="shared" si="146"/>
        <v>6.6841758217337649E-3</v>
      </c>
      <c r="P57" s="152">
        <f t="shared" si="146"/>
        <v>6.6841758217337649E-3</v>
      </c>
      <c r="Q57" s="152">
        <f t="shared" si="146"/>
        <v>6.6841758217337649E-3</v>
      </c>
      <c r="R57" s="152">
        <f t="shared" si="146"/>
        <v>6.6841758217337649E-3</v>
      </c>
      <c r="S57" s="152">
        <f t="shared" si="146"/>
        <v>6.6841758217337649E-3</v>
      </c>
      <c r="T57" s="66"/>
      <c r="U57" s="66"/>
      <c r="V57" s="66"/>
      <c r="W57" s="66"/>
      <c r="X57" s="66"/>
    </row>
    <row r="58" spans="4:24" x14ac:dyDescent="0.25">
      <c r="D58" t="s">
        <v>49</v>
      </c>
      <c r="E58" s="26">
        <f>VLOOKUP($D58,'Balance sheet Historical'!$D$16:$I$21,COUNTBLANK('BS items'!$D$3:E$3),FALSE)</f>
        <v>399.76</v>
      </c>
      <c r="F58" s="26">
        <f>VLOOKUP($D58,'Balance sheet Historical'!$D$16:$I$21,COUNTBLANK('BS items'!$D$3:F$3),FALSE)</f>
        <v>554.58000000000004</v>
      </c>
      <c r="G58" s="26">
        <f>VLOOKUP($D58,'Balance sheet Historical'!$D$16:$I$21,COUNTBLANK('BS items'!$D$3:G$3),FALSE)</f>
        <v>1109.98</v>
      </c>
      <c r="H58" s="26">
        <f>VLOOKUP($D58,'Balance sheet Historical'!$D$16:$I$21,COUNTBLANK('BS items'!$D$3:H$3),FALSE)</f>
        <v>1881.11</v>
      </c>
      <c r="I58" s="26">
        <f>VLOOKUP($D58,'Balance sheet Historical'!$D$16:$I$21,COUNTBLANK('BS items'!$D$3:I$3),FALSE)</f>
        <v>1457.23</v>
      </c>
      <c r="J58" s="26">
        <f t="shared" ref="J58" si="147">I58*(1+J59)</f>
        <v>1484.4186278517836</v>
      </c>
      <c r="K58" s="26">
        <f t="shared" ref="K58" si="148">J58*(1+K59)</f>
        <v>1512.1145342282084</v>
      </c>
      <c r="L58" s="26">
        <f t="shared" ref="L58" si="149">K58*(1+L59)</f>
        <v>1540.3271838033638</v>
      </c>
      <c r="M58" s="26">
        <f t="shared" ref="M58" si="150">L58*(1+M59)</f>
        <v>1569.066217840829</v>
      </c>
      <c r="N58" s="26">
        <f t="shared" ref="N58" si="151">M58*(1+N59)</f>
        <v>1598.3414574884343</v>
      </c>
      <c r="O58" s="26">
        <f t="shared" ref="O58" si="152">N58*(1+O59)</f>
        <v>1628.162907134496</v>
      </c>
      <c r="P58" s="26">
        <f t="shared" ref="P58" si="153">O58*(1+P59)</f>
        <v>1658.5407578266709</v>
      </c>
      <c r="Q58" s="26">
        <f t="shared" ref="Q58" si="154">P58*(1+Q59)</f>
        <v>1689.4853907545989</v>
      </c>
      <c r="R58" s="26">
        <f t="shared" ref="R58" si="155">Q58*(1+R59)</f>
        <v>1721.0073807975241</v>
      </c>
      <c r="S58" s="26">
        <f t="shared" ref="S58" si="156">R58*(1+S59)</f>
        <v>1753.1175001381064</v>
      </c>
    </row>
    <row r="59" spans="4:24" x14ac:dyDescent="0.25">
      <c r="D59" s="42" t="str">
        <f>D58&amp;"  as a % Revenue"</f>
        <v>Other Financial Assets  as a % Revenue</v>
      </c>
      <c r="E59" s="46">
        <f t="shared" ref="E59" si="157">E58/E$7</f>
        <v>9.4898899295261258E-3</v>
      </c>
      <c r="F59" s="46">
        <f t="shared" ref="F59" si="158">F58/F$7</f>
        <v>1.2399554619481373E-2</v>
      </c>
      <c r="G59" s="46">
        <f t="shared" ref="G59" si="159">G58/G$7</f>
        <v>2.1102750764608262E-2</v>
      </c>
      <c r="H59" s="46">
        <f t="shared" ref="H59" si="160">H58/H$7</f>
        <v>2.9745581829722274E-2</v>
      </c>
      <c r="I59" s="159">
        <f t="shared" ref="I59" si="161">I58/I$7</f>
        <v>2.0550955080756595E-2</v>
      </c>
      <c r="J59" s="152">
        <f>AVERAGE(E59:I59)</f>
        <v>1.8657746444818928E-2</v>
      </c>
      <c r="K59" s="152">
        <f>J59</f>
        <v>1.8657746444818928E-2</v>
      </c>
      <c r="L59" s="152">
        <f t="shared" ref="L59:S59" si="162">K59</f>
        <v>1.8657746444818928E-2</v>
      </c>
      <c r="M59" s="152">
        <f t="shared" si="162"/>
        <v>1.8657746444818928E-2</v>
      </c>
      <c r="N59" s="152">
        <f t="shared" si="162"/>
        <v>1.8657746444818928E-2</v>
      </c>
      <c r="O59" s="152">
        <f t="shared" si="162"/>
        <v>1.8657746444818928E-2</v>
      </c>
      <c r="P59" s="152">
        <f t="shared" si="162"/>
        <v>1.8657746444818928E-2</v>
      </c>
      <c r="Q59" s="152">
        <f t="shared" si="162"/>
        <v>1.8657746444818928E-2</v>
      </c>
      <c r="R59" s="152">
        <f t="shared" si="162"/>
        <v>1.8657746444818928E-2</v>
      </c>
      <c r="S59" s="152">
        <f t="shared" si="162"/>
        <v>1.8657746444818928E-2</v>
      </c>
      <c r="T59" s="66"/>
      <c r="U59" s="66"/>
      <c r="V59" s="66"/>
      <c r="W59" s="66"/>
      <c r="X59" s="66"/>
    </row>
    <row r="60" spans="4:24" x14ac:dyDescent="0.25">
      <c r="D60" t="s">
        <v>50</v>
      </c>
      <c r="E60" s="26">
        <f>VLOOKUP($D60,'Balance sheet Historical'!$D$16:$I$21,COUNTBLANK('BS items'!$D$3:E$3),FALSE)</f>
        <v>279.83</v>
      </c>
      <c r="F60" s="26">
        <f>VLOOKUP($D60,'Balance sheet Historical'!$D$16:$I$21,COUNTBLANK('BS items'!$D$3:F$3),FALSE)</f>
        <v>314.31</v>
      </c>
      <c r="G60" s="26">
        <f>VLOOKUP($D60,'Balance sheet Historical'!$D$16:$I$21,COUNTBLANK('BS items'!$D$3:G$3),FALSE)</f>
        <v>479.46</v>
      </c>
      <c r="H60" s="26">
        <f>VLOOKUP($D60,'Balance sheet Historical'!$D$16:$I$21,COUNTBLANK('BS items'!$D$3:H$3),FALSE)</f>
        <v>401.94</v>
      </c>
      <c r="I60" s="26">
        <f>VLOOKUP($D60,'Balance sheet Historical'!$D$16:$I$21,COUNTBLANK('BS items'!$D$3:I$3),FALSE)</f>
        <v>456.03</v>
      </c>
      <c r="J60" s="26">
        <f t="shared" ref="J60" si="163">I60*(1+J61)</f>
        <v>459.27445670817212</v>
      </c>
      <c r="K60" s="26">
        <f t="shared" ref="K60" si="164">J60*(1+K61)</f>
        <v>462.5419963260897</v>
      </c>
      <c r="L60" s="26">
        <f t="shared" ref="L60" si="165">K60*(1+L61)</f>
        <v>465.83278307869705</v>
      </c>
      <c r="M60" s="26">
        <f t="shared" ref="M60" si="166">L60*(1+M61)</f>
        <v>469.14698235932809</v>
      </c>
      <c r="N60" s="26">
        <f t="shared" ref="N60" si="167">M60*(1+N61)</f>
        <v>472.48476073801908</v>
      </c>
      <c r="O60" s="26">
        <f t="shared" ref="O60" si="168">N60*(1+O61)</f>
        <v>475.84628596988006</v>
      </c>
      <c r="P60" s="26">
        <f t="shared" ref="P60" si="169">O60*(1+P61)</f>
        <v>479.23172700352649</v>
      </c>
      <c r="Q60" s="26">
        <f t="shared" ref="Q60" si="170">P60*(1+Q61)</f>
        <v>482.6412539895702</v>
      </c>
      <c r="R60" s="26">
        <f t="shared" ref="R60" si="171">Q60*(1+R61)</f>
        <v>486.07503828917129</v>
      </c>
      <c r="S60" s="26">
        <f t="shared" ref="S60" si="172">R60*(1+S61)</f>
        <v>489.53325248265054</v>
      </c>
    </row>
    <row r="61" spans="4:24" x14ac:dyDescent="0.25">
      <c r="D61" s="42" t="str">
        <f>D60&amp;"  as a % Revenue"</f>
        <v>Income Tax Assets (Net)  as a % Revenue</v>
      </c>
      <c r="E61" s="46">
        <f t="shared" ref="E61" si="173">E60/E$7</f>
        <v>6.6428754727318783E-3</v>
      </c>
      <c r="F61" s="46">
        <f t="shared" ref="F61" si="174">F60/F$7</f>
        <v>7.0274874904417582E-3</v>
      </c>
      <c r="G61" s="46">
        <f t="shared" ref="G61" si="175">G60/G$7</f>
        <v>9.1154118827357945E-3</v>
      </c>
      <c r="H61" s="46">
        <f t="shared" ref="H61" si="176">H60/H$7</f>
        <v>6.355789486334436E-3</v>
      </c>
      <c r="I61" s="159">
        <f t="shared" ref="I61" si="177">I60/I$7</f>
        <v>6.4312785527867464E-3</v>
      </c>
      <c r="J61" s="152">
        <f>AVERAGE(E61:I61)</f>
        <v>7.1145685770061225E-3</v>
      </c>
      <c r="K61" s="152">
        <f>J61</f>
        <v>7.1145685770061225E-3</v>
      </c>
      <c r="L61" s="152">
        <f t="shared" ref="L61:S61" si="178">K61</f>
        <v>7.1145685770061225E-3</v>
      </c>
      <c r="M61" s="152">
        <f t="shared" si="178"/>
        <v>7.1145685770061225E-3</v>
      </c>
      <c r="N61" s="152">
        <f t="shared" si="178"/>
        <v>7.1145685770061225E-3</v>
      </c>
      <c r="O61" s="152">
        <f t="shared" si="178"/>
        <v>7.1145685770061225E-3</v>
      </c>
      <c r="P61" s="152">
        <f t="shared" si="178"/>
        <v>7.1145685770061225E-3</v>
      </c>
      <c r="Q61" s="152">
        <f t="shared" si="178"/>
        <v>7.1145685770061225E-3</v>
      </c>
      <c r="R61" s="152">
        <f t="shared" si="178"/>
        <v>7.1145685770061225E-3</v>
      </c>
      <c r="S61" s="152">
        <f t="shared" si="178"/>
        <v>7.1145685770061225E-3</v>
      </c>
      <c r="T61" s="66"/>
      <c r="U61" s="66"/>
      <c r="V61" s="66"/>
      <c r="W61" s="66"/>
      <c r="X61" s="66"/>
    </row>
    <row r="62" spans="4:24" x14ac:dyDescent="0.25">
      <c r="D62" t="s">
        <v>51</v>
      </c>
      <c r="E62" s="26">
        <f>VLOOKUP($D62,'Balance sheet Historical'!$D$16:$I$21,COUNTBLANK('BS items'!$D$3:E$3),FALSE)</f>
        <v>5.98</v>
      </c>
      <c r="F62" s="26">
        <f>VLOOKUP($D62,'Balance sheet Historical'!$D$16:$I$21,COUNTBLANK('BS items'!$D$3:F$3),FALSE)</f>
        <v>7.16</v>
      </c>
      <c r="G62" s="26">
        <f>VLOOKUP($D62,'Balance sheet Historical'!$D$16:$I$21,COUNTBLANK('BS items'!$D$3:G$3),FALSE)</f>
        <v>16.350000000000001</v>
      </c>
      <c r="H62" s="26">
        <f>VLOOKUP($D62,'Balance sheet Historical'!$D$16:$I$21,COUNTBLANK('BS items'!$D$3:H$3),FALSE)</f>
        <v>6.56</v>
      </c>
      <c r="I62" s="26">
        <f>VLOOKUP($D62,'Balance sheet Historical'!$D$16:$I$21,COUNTBLANK('BS items'!$D$3:I$3),FALSE)</f>
        <v>4.9000000000000004</v>
      </c>
      <c r="J62" s="26">
        <f t="shared" ref="J62" si="179">I62*(1+J63)</f>
        <v>4.900770009869694</v>
      </c>
      <c r="K62" s="26">
        <f t="shared" ref="K62" si="180">J62*(1+K63)</f>
        <v>4.9015401407424894</v>
      </c>
      <c r="L62" s="26">
        <f t="shared" ref="L62" si="181">K62*(1+L63)</f>
        <v>4.9023103926374016</v>
      </c>
      <c r="M62" s="26">
        <f t="shared" ref="M62" si="182">L62*(1+M63)</f>
        <v>4.9030807655734492</v>
      </c>
      <c r="N62" s="26">
        <f t="shared" ref="N62" si="183">M62*(1+N63)</f>
        <v>4.9038512595696524</v>
      </c>
      <c r="O62" s="26">
        <f t="shared" ref="O62" si="184">N62*(1+O63)</f>
        <v>4.9046218746450352</v>
      </c>
      <c r="P62" s="26">
        <f t="shared" ref="P62" si="185">O62*(1+P63)</f>
        <v>4.905392610818625</v>
      </c>
      <c r="Q62" s="26">
        <f t="shared" ref="Q62" si="186">P62*(1+Q63)</f>
        <v>4.9061634681094519</v>
      </c>
      <c r="R62" s="26">
        <f t="shared" ref="R62" si="187">Q62*(1+R63)</f>
        <v>4.9069344465365488</v>
      </c>
      <c r="S62" s="26">
        <f t="shared" ref="S62" si="188">R62*(1+S63)</f>
        <v>4.9077055461189509</v>
      </c>
    </row>
    <row r="63" spans="4:24" x14ac:dyDescent="0.25">
      <c r="D63" s="42" t="str">
        <f>D62&amp;"  as a % Revenue"</f>
        <v>Deferred Tax Assets (Net)  as a % Revenue</v>
      </c>
      <c r="E63" s="46">
        <f t="shared" ref="E63" si="189">E62/E$7</f>
        <v>1.4195902986433419E-4</v>
      </c>
      <c r="F63" s="46">
        <f t="shared" ref="F63" si="190">F62/F$7</f>
        <v>1.6008657195623106E-4</v>
      </c>
      <c r="G63" s="46">
        <f t="shared" ref="G63" si="191">G62/G$7</f>
        <v>3.1084341609879918E-4</v>
      </c>
      <c r="H63" s="46">
        <f t="shared" ref="H63" si="192">H62/H$7</f>
        <v>1.0373184811253894E-4</v>
      </c>
      <c r="I63" s="159">
        <f t="shared" ref="I63" si="193">I62/I$7</f>
        <v>6.9103490798094554E-5</v>
      </c>
      <c r="J63" s="152">
        <f>AVERAGE(E63:I63)</f>
        <v>1.571448713659996E-4</v>
      </c>
      <c r="K63" s="152">
        <f>J63</f>
        <v>1.571448713659996E-4</v>
      </c>
      <c r="L63" s="152">
        <f t="shared" ref="L63:S63" si="194">K63</f>
        <v>1.571448713659996E-4</v>
      </c>
      <c r="M63" s="152">
        <f t="shared" si="194"/>
        <v>1.571448713659996E-4</v>
      </c>
      <c r="N63" s="152">
        <f t="shared" si="194"/>
        <v>1.571448713659996E-4</v>
      </c>
      <c r="O63" s="152">
        <f t="shared" si="194"/>
        <v>1.571448713659996E-4</v>
      </c>
      <c r="P63" s="152">
        <f t="shared" si="194"/>
        <v>1.571448713659996E-4</v>
      </c>
      <c r="Q63" s="152">
        <f t="shared" si="194"/>
        <v>1.571448713659996E-4</v>
      </c>
      <c r="R63" s="152">
        <f t="shared" si="194"/>
        <v>1.571448713659996E-4</v>
      </c>
      <c r="S63" s="152">
        <f t="shared" si="194"/>
        <v>1.571448713659996E-4</v>
      </c>
      <c r="T63" s="66"/>
      <c r="U63" s="66"/>
      <c r="V63" s="66"/>
      <c r="W63" s="66"/>
      <c r="X63" s="66"/>
    </row>
    <row r="64" spans="4:24" x14ac:dyDescent="0.25">
      <c r="D64" t="s">
        <v>52</v>
      </c>
      <c r="E64" s="26">
        <f>VLOOKUP($D64,'Balance sheet Historical'!$D$16:$I$21,COUNTBLANK('BS items'!$D$3:E$3),FALSE)</f>
        <v>2825.54</v>
      </c>
      <c r="F64" s="26">
        <f>VLOOKUP($D64,'Balance sheet Historical'!$D$16:$I$21,COUNTBLANK('BS items'!$D$3:F$3),FALSE)</f>
        <v>2707.5</v>
      </c>
      <c r="G64" s="26">
        <f>VLOOKUP($D64,'Balance sheet Historical'!$D$16:$I$21,COUNTBLANK('BS items'!$D$3:G$3),FALSE)</f>
        <v>3078.27</v>
      </c>
      <c r="H64" s="26">
        <f>VLOOKUP($D64,'Balance sheet Historical'!$D$16:$I$21,COUNTBLANK('BS items'!$D$3:H$3),FALSE)</f>
        <v>3265.49</v>
      </c>
      <c r="I64" s="26">
        <f>VLOOKUP($D64,'Balance sheet Historical'!$D$16:$I$21,COUNTBLANK('BS items'!$D$3:I$3),FALSE)</f>
        <v>3264.23</v>
      </c>
      <c r="J64" s="26">
        <f t="shared" ref="J64" si="195">I64*(1+J65)</f>
        <v>3449.5113441472913</v>
      </c>
      <c r="K64" s="26">
        <f t="shared" ref="K64" si="196">J64*(1+K65)</f>
        <v>3645.309464529415</v>
      </c>
      <c r="L64" s="26">
        <f t="shared" ref="L64" si="197">K64*(1+L65)</f>
        <v>3852.2213051230165</v>
      </c>
      <c r="M64" s="26">
        <f t="shared" ref="M64" si="198">L64*(1+M65)</f>
        <v>4070.8776931122284</v>
      </c>
      <c r="N64" s="26">
        <f t="shared" ref="N64" si="199">M64*(1+N65)</f>
        <v>4301.9452621374066</v>
      </c>
      <c r="O64" s="26">
        <f t="shared" ref="O64" si="200">N64*(1+O65)</f>
        <v>4546.1284847096176</v>
      </c>
      <c r="P64" s="26">
        <f t="shared" ref="P64" si="201">O64*(1+P65)</f>
        <v>4804.1718199872439</v>
      </c>
      <c r="Q64" s="26">
        <f t="shared" ref="Q64" si="202">P64*(1+Q65)</f>
        <v>5076.861983462788</v>
      </c>
      <c r="R64" s="26">
        <f t="shared" ref="R64" si="203">Q64*(1+R65)</f>
        <v>5365.0303454796394</v>
      </c>
      <c r="S64" s="26">
        <f t="shared" ref="S64" si="204">R64*(1+S65)</f>
        <v>5669.5554658913361</v>
      </c>
    </row>
    <row r="65" spans="4:24" x14ac:dyDescent="0.25">
      <c r="D65" s="42" t="str">
        <f>D64&amp;"  as a % Revenue"</f>
        <v>Other Non-Current Assets  as a % Revenue</v>
      </c>
      <c r="E65" s="46">
        <f t="shared" ref="E65" si="205">E64/E$7</f>
        <v>6.7075404221215856E-2</v>
      </c>
      <c r="F65" s="46">
        <f t="shared" ref="F65" si="206">F64/F$7</f>
        <v>6.0535529828421177E-2</v>
      </c>
      <c r="G65" s="46">
        <f t="shared" ref="G65" si="207">G64/G$7</f>
        <v>5.8523545105470975E-2</v>
      </c>
      <c r="H65" s="46">
        <f t="shared" ref="H65" si="208">H64/H$7</f>
        <v>5.1636480593447373E-2</v>
      </c>
      <c r="I65" s="159">
        <f t="shared" ref="I65" si="209">I64/I$7</f>
        <v>4.6034630156706974E-2</v>
      </c>
      <c r="J65" s="152">
        <f>AVERAGE(E65:I65)</f>
        <v>5.6761117981052475E-2</v>
      </c>
      <c r="K65" s="152">
        <f>J65</f>
        <v>5.6761117981052475E-2</v>
      </c>
      <c r="L65" s="152">
        <f t="shared" ref="L65:S65" si="210">K65</f>
        <v>5.6761117981052475E-2</v>
      </c>
      <c r="M65" s="152">
        <f t="shared" si="210"/>
        <v>5.6761117981052475E-2</v>
      </c>
      <c r="N65" s="152">
        <f t="shared" si="210"/>
        <v>5.6761117981052475E-2</v>
      </c>
      <c r="O65" s="152">
        <f t="shared" si="210"/>
        <v>5.6761117981052475E-2</v>
      </c>
      <c r="P65" s="152">
        <f t="shared" si="210"/>
        <v>5.6761117981052475E-2</v>
      </c>
      <c r="Q65" s="152">
        <f t="shared" si="210"/>
        <v>5.6761117981052475E-2</v>
      </c>
      <c r="R65" s="152">
        <f t="shared" si="210"/>
        <v>5.6761117981052475E-2</v>
      </c>
      <c r="S65" s="152">
        <f t="shared" si="210"/>
        <v>5.6761117981052475E-2</v>
      </c>
      <c r="T65" s="66"/>
      <c r="U65" s="66"/>
      <c r="V65" s="66"/>
      <c r="W65" s="66"/>
      <c r="X65" s="66"/>
    </row>
    <row r="67" spans="4:24" x14ac:dyDescent="0.25">
      <c r="D67" s="1"/>
    </row>
    <row r="69" spans="4:24" x14ac:dyDescent="0.25">
      <c r="D69" s="1" t="s">
        <v>54</v>
      </c>
    </row>
    <row r="70" spans="4:24" x14ac:dyDescent="0.25">
      <c r="D70" s="1"/>
    </row>
    <row r="71" spans="4:24" x14ac:dyDescent="0.25">
      <c r="D71" t="s">
        <v>47</v>
      </c>
      <c r="E71" s="26">
        <f>VLOOKUP($D71,'Balance sheet Historical'!$D$26:$I$33,COUNTBLANK('BS items'!$D$3:E$3),FALSE)</f>
        <v>4243.6899999999996</v>
      </c>
      <c r="F71" s="26">
        <f>VLOOKUP($D71,'Balance sheet Historical'!$D$26:$I$33,COUNTBLANK('BS items'!$D$3:F$3),FALSE)</f>
        <v>10893.87</v>
      </c>
      <c r="G71" s="26">
        <f>VLOOKUP($D71,'Balance sheet Historical'!$D$26:$I$33,COUNTBLANK('BS items'!$D$3:G$3),FALSE)</f>
        <v>4963.34</v>
      </c>
      <c r="H71" s="26">
        <f>VLOOKUP($D71,'Balance sheet Historical'!$D$26:$I$33,COUNTBLANK('BS items'!$D$3:H$3),FALSE)</f>
        <v>5836.6</v>
      </c>
      <c r="I71" s="26">
        <f>VLOOKUP($D71,'Balance sheet Historical'!$D$26:$I$33,COUNTBLANK('BS items'!$D$3:I$3),FALSE)</f>
        <v>5484.8</v>
      </c>
      <c r="J71" s="26">
        <f t="shared" ref="J71" si="211">I71*(1+J72)</f>
        <v>6152.0992120580695</v>
      </c>
      <c r="K71" s="26">
        <f t="shared" ref="K71" si="212">J71*(1+K72)</f>
        <v>6900.5842902212507</v>
      </c>
      <c r="L71" s="26">
        <f t="shared" ref="L71" si="213">K71*(1+L72)</f>
        <v>7740.1325799683573</v>
      </c>
      <c r="M71" s="26">
        <f t="shared" ref="M71" si="214">L71*(1+M72)</f>
        <v>8681.8231378442833</v>
      </c>
      <c r="N71" s="26">
        <f t="shared" ref="N71" si="215">M71*(1+N72)</f>
        <v>9738.0829356693648</v>
      </c>
      <c r="O71" s="26">
        <f t="shared" ref="O71" si="216">N71*(1+O72)</f>
        <v>10922.850852444506</v>
      </c>
      <c r="P71" s="26">
        <f t="shared" ref="P71" si="217">O71*(1+P72)</f>
        <v>12251.761618062947</v>
      </c>
      <c r="Q71" s="26">
        <f t="shared" ref="Q71" si="218">P71*(1+Q72)</f>
        <v>13742.352136232561</v>
      </c>
      <c r="R71" s="26">
        <f t="shared" ref="R71" si="219">Q71*(1+R72)</f>
        <v>15414.292909338692</v>
      </c>
      <c r="S71" s="26">
        <f t="shared" ref="S71" si="220">R71*(1+S72)</f>
        <v>17289.647619234038</v>
      </c>
    </row>
    <row r="72" spans="4:24" x14ac:dyDescent="0.25">
      <c r="D72" s="42" t="str">
        <f>D71&amp;"  as a % Revenue"</f>
        <v>Investments  as a % Revenue</v>
      </c>
      <c r="E72" s="46">
        <f t="shared" ref="E72" si="221">E71/E$7</f>
        <v>0.10074082198076527</v>
      </c>
      <c r="F72" s="46">
        <f t="shared" ref="F72" si="222">F71/F$7</f>
        <v>0.24357015413922167</v>
      </c>
      <c r="G72" s="46">
        <f t="shared" ref="G72" si="223">G71/G$7</f>
        <v>9.4362174976135402E-2</v>
      </c>
      <c r="H72" s="46">
        <f t="shared" ref="H72" si="224">H71/H$7</f>
        <v>9.2292881813055616E-2</v>
      </c>
      <c r="I72" s="159">
        <f t="shared" ref="I72" si="225">I71/I$7</f>
        <v>7.735078088354877E-2</v>
      </c>
      <c r="J72" s="152">
        <f>AVERAGE(E72:I72)</f>
        <v>0.12166336275854535</v>
      </c>
      <c r="K72" s="152">
        <f>J72</f>
        <v>0.12166336275854535</v>
      </c>
      <c r="L72" s="152">
        <f t="shared" ref="L72:S72" si="226">K72</f>
        <v>0.12166336275854535</v>
      </c>
      <c r="M72" s="152">
        <f t="shared" si="226"/>
        <v>0.12166336275854535</v>
      </c>
      <c r="N72" s="152">
        <f t="shared" si="226"/>
        <v>0.12166336275854535</v>
      </c>
      <c r="O72" s="152">
        <f t="shared" si="226"/>
        <v>0.12166336275854535</v>
      </c>
      <c r="P72" s="152">
        <f t="shared" si="226"/>
        <v>0.12166336275854535</v>
      </c>
      <c r="Q72" s="152">
        <f t="shared" si="226"/>
        <v>0.12166336275854535</v>
      </c>
      <c r="R72" s="152">
        <f t="shared" si="226"/>
        <v>0.12166336275854535</v>
      </c>
      <c r="S72" s="152">
        <f t="shared" si="226"/>
        <v>0.12166336275854535</v>
      </c>
      <c r="T72" s="66"/>
      <c r="U72" s="66"/>
      <c r="V72" s="66"/>
      <c r="W72" s="66"/>
      <c r="X72" s="66"/>
    </row>
    <row r="73" spans="4:24" x14ac:dyDescent="0.25">
      <c r="D73" t="s">
        <v>48</v>
      </c>
      <c r="E73" s="26">
        <f>VLOOKUP($D73,'Balance sheet Historical'!$D$26:$I$33,COUNTBLANK('BS items'!$D$3:E$3),FALSE)</f>
        <v>197.73</v>
      </c>
      <c r="F73" s="26">
        <f>VLOOKUP($D73,'Balance sheet Historical'!$D$26:$I$33,COUNTBLANK('BS items'!$D$3:F$3),FALSE)</f>
        <v>114.65</v>
      </c>
      <c r="G73" s="26">
        <f>VLOOKUP($D73,'Balance sheet Historical'!$D$26:$I$33,COUNTBLANK('BS items'!$D$3:G$3),FALSE)</f>
        <v>6.86</v>
      </c>
      <c r="H73" s="26">
        <f>VLOOKUP($D73,'Balance sheet Historical'!$D$26:$I$33,COUNTBLANK('BS items'!$D$3:H$3),FALSE)</f>
        <v>7.67</v>
      </c>
      <c r="I73" s="26">
        <f>VLOOKUP($D73,'Balance sheet Historical'!$D$26:$I$33,COUNTBLANK('BS items'!$D$3:I$3),FALSE)</f>
        <v>8.91</v>
      </c>
      <c r="J73" s="26">
        <f t="shared" ref="J73" si="227">I73*(1+J74)</f>
        <v>8.923604971808988</v>
      </c>
      <c r="K73" s="26">
        <f t="shared" ref="K73" si="228">J73*(1+K74)</f>
        <v>8.9372307174965311</v>
      </c>
      <c r="L73" s="26">
        <f t="shared" ref="L73" si="229">K73*(1+L74)</f>
        <v>8.9508772687829463</v>
      </c>
      <c r="M73" s="26">
        <f t="shared" ref="M73" si="230">L73*(1+M74)</f>
        <v>8.9645446574369885</v>
      </c>
      <c r="N73" s="26">
        <f t="shared" ref="N73" si="231">M73*(1+N74)</f>
        <v>8.9782329152759157</v>
      </c>
      <c r="O73" s="26">
        <f t="shared" ref="O73" si="232">N73*(1+O74)</f>
        <v>8.9919420741655749</v>
      </c>
      <c r="P73" s="26">
        <f t="shared" ref="P73" si="233">O73*(1+P74)</f>
        <v>9.0056721660204655</v>
      </c>
      <c r="Q73" s="26">
        <f t="shared" ref="Q73" si="234">P73*(1+Q74)</f>
        <v>9.0194232228038214</v>
      </c>
      <c r="R73" s="26">
        <f t="shared" ref="R73" si="235">Q73*(1+R74)</f>
        <v>9.03319527652768</v>
      </c>
      <c r="S73" s="26">
        <f t="shared" ref="S73" si="236">R73*(1+S74)</f>
        <v>9.0469883592529605</v>
      </c>
    </row>
    <row r="74" spans="4:24" x14ac:dyDescent="0.25">
      <c r="D74" s="42" t="str">
        <f>D73&amp;"  as a % Revenue"</f>
        <v>Loans  as a % Revenue</v>
      </c>
      <c r="E74" s="46">
        <f t="shared" ref="E74" si="237">E73/E$7</f>
        <v>4.6939061831228757E-3</v>
      </c>
      <c r="F74" s="46">
        <f t="shared" ref="F74" si="238">F73/F$7</f>
        <v>2.5633974126790353E-3</v>
      </c>
      <c r="G74" s="46">
        <f t="shared" ref="G74" si="239">G73/G$7</f>
        <v>1.3042115195337995E-4</v>
      </c>
      <c r="H74" s="46">
        <f t="shared" ref="H74" si="240">H73/H$7</f>
        <v>1.212840358267033E-4</v>
      </c>
      <c r="I74" s="159">
        <f t="shared" ref="I74" si="241">I73/I$7</f>
        <v>1.2565553122673926E-4</v>
      </c>
      <c r="J74" s="152">
        <f>AVERAGE(E74:I74)</f>
        <v>1.5269328629617467E-3</v>
      </c>
      <c r="K74" s="152">
        <f>J74</f>
        <v>1.5269328629617467E-3</v>
      </c>
      <c r="L74" s="152">
        <f t="shared" ref="L74:S74" si="242">K74</f>
        <v>1.5269328629617467E-3</v>
      </c>
      <c r="M74" s="152">
        <f t="shared" si="242"/>
        <v>1.5269328629617467E-3</v>
      </c>
      <c r="N74" s="152">
        <f t="shared" si="242"/>
        <v>1.5269328629617467E-3</v>
      </c>
      <c r="O74" s="152">
        <f t="shared" si="242"/>
        <v>1.5269328629617467E-3</v>
      </c>
      <c r="P74" s="152">
        <f t="shared" si="242"/>
        <v>1.5269328629617467E-3</v>
      </c>
      <c r="Q74" s="152">
        <f t="shared" si="242"/>
        <v>1.5269328629617467E-3</v>
      </c>
      <c r="R74" s="152">
        <f t="shared" si="242"/>
        <v>1.5269328629617467E-3</v>
      </c>
      <c r="S74" s="152">
        <f t="shared" si="242"/>
        <v>1.5269328629617467E-3</v>
      </c>
      <c r="T74" s="66"/>
      <c r="U74" s="66"/>
      <c r="V74" s="66"/>
      <c r="W74" s="66"/>
      <c r="X74" s="66"/>
    </row>
    <row r="75" spans="4:24" x14ac:dyDescent="0.25">
      <c r="D75" t="s">
        <v>49</v>
      </c>
      <c r="E75" s="26">
        <f>VLOOKUP($D75,'Balance sheet Historical'!$D$26:$I$33,COUNTBLANK('BS items'!$D$3:E$3),FALSE)</f>
        <v>1060.8800000000001</v>
      </c>
      <c r="F75" s="26">
        <f>VLOOKUP($D75,'Balance sheet Historical'!$D$26:$I$33,COUNTBLANK('BS items'!$D$3:F$3),FALSE)</f>
        <v>1899.65</v>
      </c>
      <c r="G75" s="26">
        <f>VLOOKUP($D75,'Balance sheet Historical'!$D$26:$I$33,COUNTBLANK('BS items'!$D$3:G$3),FALSE)</f>
        <v>1871.95</v>
      </c>
      <c r="H75" s="26">
        <f>VLOOKUP($D75,'Balance sheet Historical'!$D$26:$I$33,COUNTBLANK('BS items'!$D$3:H$3),FALSE)</f>
        <v>1433.82</v>
      </c>
      <c r="I75" s="26">
        <f>VLOOKUP($D75,'Balance sheet Historical'!$D$26:$I$33,COUNTBLANK('BS items'!$D$3:I$3),FALSE)</f>
        <v>2310.35</v>
      </c>
      <c r="J75" s="26">
        <f t="shared" ref="J75" si="243">I75*(1+J76)</f>
        <v>2383.5888426107808</v>
      </c>
      <c r="K75" s="26">
        <f t="shared" ref="K75" si="244">J75*(1+K76)</f>
        <v>2459.1493802318273</v>
      </c>
      <c r="L75" s="26">
        <f t="shared" ref="L75" si="245">K75*(1+L76)</f>
        <v>2537.1052113462465</v>
      </c>
      <c r="M75" s="26">
        <f t="shared" ref="M75" si="246">L75*(1+M76)</f>
        <v>2617.5322675328762</v>
      </c>
      <c r="N75" s="26">
        <f t="shared" ref="N75" si="247">M75*(1+N76)</f>
        <v>2700.5088874261742</v>
      </c>
      <c r="O75" s="26">
        <f t="shared" ref="O75" si="248">N75*(1+O76)</f>
        <v>2786.1158930206602</v>
      </c>
      <c r="P75" s="26">
        <f t="shared" ref="P75" si="249">O75*(1+P76)</f>
        <v>2874.4366683942339</v>
      </c>
      <c r="Q75" s="26">
        <f t="shared" ref="Q75" si="250">P75*(1+Q76)</f>
        <v>2965.5572409270462</v>
      </c>
      <c r="R75" s="26">
        <f t="shared" ref="R75" si="251">Q75*(1+R76)</f>
        <v>3059.5663650950373</v>
      </c>
      <c r="S75" s="26">
        <f t="shared" ref="S75" si="252">R75*(1+S76)</f>
        <v>3156.5556089197544</v>
      </c>
    </row>
    <row r="76" spans="4:24" x14ac:dyDescent="0.25">
      <c r="D76" s="42" t="str">
        <f>D75&amp;"  as a % Revenue"</f>
        <v>Other Financial Assets  as a % Revenue</v>
      </c>
      <c r="E76" s="46">
        <f t="shared" ref="E76" si="253">E75/E$7</f>
        <v>2.5184196589042619E-2</v>
      </c>
      <c r="F76" s="46">
        <f t="shared" ref="F76" si="254">F75/F$7</f>
        <v>4.2473248102884685E-2</v>
      </c>
      <c r="G76" s="46">
        <f t="shared" ref="G76" si="255">G75/G$7</f>
        <v>3.5589194664596153E-2</v>
      </c>
      <c r="H76" s="46">
        <f t="shared" ref="H76" si="256">H75/H$7</f>
        <v>2.2672682692183015E-2</v>
      </c>
      <c r="I76" s="159">
        <f t="shared" ref="I76" si="257">I75/I$7</f>
        <v>3.258229591130158E-2</v>
      </c>
      <c r="J76" s="152">
        <f>AVERAGE(E76:I76)</f>
        <v>3.1700323592001603E-2</v>
      </c>
      <c r="K76" s="152">
        <f>J76</f>
        <v>3.1700323592001603E-2</v>
      </c>
      <c r="L76" s="152">
        <f t="shared" ref="L76:S76" si="258">K76</f>
        <v>3.1700323592001603E-2</v>
      </c>
      <c r="M76" s="152">
        <f t="shared" si="258"/>
        <v>3.1700323592001603E-2</v>
      </c>
      <c r="N76" s="152">
        <f t="shared" si="258"/>
        <v>3.1700323592001603E-2</v>
      </c>
      <c r="O76" s="152">
        <f t="shared" si="258"/>
        <v>3.1700323592001603E-2</v>
      </c>
      <c r="P76" s="152">
        <f t="shared" si="258"/>
        <v>3.1700323592001603E-2</v>
      </c>
      <c r="Q76" s="152">
        <f t="shared" si="258"/>
        <v>3.1700323592001603E-2</v>
      </c>
      <c r="R76" s="152">
        <f t="shared" si="258"/>
        <v>3.1700323592001603E-2</v>
      </c>
      <c r="S76" s="152">
        <f t="shared" si="258"/>
        <v>3.1700323592001603E-2</v>
      </c>
      <c r="T76" s="66"/>
      <c r="U76" s="66"/>
      <c r="V76" s="66"/>
      <c r="W76" s="66"/>
      <c r="X76" s="66"/>
    </row>
    <row r="77" spans="4:24" x14ac:dyDescent="0.25">
      <c r="D77" t="s">
        <v>59</v>
      </c>
      <c r="E77" s="26">
        <f>VLOOKUP($D77,'Balance sheet Historical'!$D$26:$I$33,COUNTBLANK('BS items'!$D$3:E$3),FALSE)</f>
        <v>0.09</v>
      </c>
      <c r="F77" s="26">
        <f>VLOOKUP($D77,'Balance sheet Historical'!$D$26:$I$33,COUNTBLANK('BS items'!$D$3:F$3),FALSE)</f>
        <v>0.1</v>
      </c>
      <c r="G77" s="26">
        <f>VLOOKUP($D77,'Balance sheet Historical'!$D$26:$I$33,COUNTBLANK('BS items'!$D$3:G$3),FALSE)</f>
        <v>0.09</v>
      </c>
      <c r="H77" s="26">
        <f>VLOOKUP($D77,'Balance sheet Historical'!$D$26:$I$33,COUNTBLANK('BS items'!$D$3:H$3),FALSE)</f>
        <v>7.0000000000000007E-2</v>
      </c>
      <c r="I77" s="26">
        <f>VLOOKUP($D77,'Balance sheet Historical'!$D$26:$I$33,COUNTBLANK('BS items'!$D$3:I$3),FALSE)</f>
        <v>7.0000000000000007E-2</v>
      </c>
      <c r="J77" s="26">
        <f t="shared" ref="J77" si="259">I77*(1+J78)</f>
        <v>7.0000114485073331E-2</v>
      </c>
      <c r="K77" s="26">
        <f t="shared" ref="K77" si="260">J77*(1+K78)</f>
        <v>7.0000228970333894E-2</v>
      </c>
      <c r="L77" s="26">
        <f t="shared" ref="L77" si="261">K77*(1+L78)</f>
        <v>7.0000343455781697E-2</v>
      </c>
      <c r="M77" s="26">
        <f t="shared" ref="M77" si="262">L77*(1+M78)</f>
        <v>7.0000457941416738E-2</v>
      </c>
      <c r="N77" s="26">
        <f t="shared" ref="N77" si="263">M77*(1+N78)</f>
        <v>7.0000572427239019E-2</v>
      </c>
      <c r="O77" s="26">
        <f t="shared" ref="O77" si="264">N77*(1+O78)</f>
        <v>7.0000686913248553E-2</v>
      </c>
      <c r="P77" s="26">
        <f t="shared" ref="P77" si="265">O77*(1+P78)</f>
        <v>7.0000801399445325E-2</v>
      </c>
      <c r="Q77" s="26">
        <f t="shared" ref="Q77" si="266">P77*(1+Q78)</f>
        <v>7.0000915885829337E-2</v>
      </c>
      <c r="R77" s="26">
        <f t="shared" ref="R77" si="267">Q77*(1+R78)</f>
        <v>7.0001030372400588E-2</v>
      </c>
      <c r="S77" s="26">
        <f t="shared" ref="S77" si="268">R77*(1+S78)</f>
        <v>7.0001144859159092E-2</v>
      </c>
    </row>
    <row r="78" spans="4:24" x14ac:dyDescent="0.25">
      <c r="D78" s="42" t="str">
        <f>D77&amp;"  as a % Revenue"</f>
        <v>Current Tax Assets (Net)  as a % Revenue</v>
      </c>
      <c r="E78" s="46">
        <f t="shared" ref="E78" si="269">E77/E$7</f>
        <v>2.1365071384264341E-6</v>
      </c>
      <c r="F78" s="46">
        <f t="shared" ref="F78" si="270">F77/F$7</f>
        <v>2.2358459770423335E-6</v>
      </c>
      <c r="G78" s="46">
        <f t="shared" ref="G78" si="271">G77/G$7</f>
        <v>1.7110646757732063E-6</v>
      </c>
      <c r="H78" s="46">
        <f t="shared" ref="H78" si="272">H77/H$7</f>
        <v>1.1068947207130682E-6</v>
      </c>
      <c r="I78" s="159">
        <f t="shared" ref="I78" si="273">I77/I$7</f>
        <v>9.8719272568706508E-7</v>
      </c>
      <c r="J78" s="152">
        <f>AVERAGE(E78:I78)</f>
        <v>1.6355010475284216E-6</v>
      </c>
      <c r="K78" s="152">
        <f>J78</f>
        <v>1.6355010475284216E-6</v>
      </c>
      <c r="L78" s="152">
        <f t="shared" ref="L78:S78" si="274">K78</f>
        <v>1.6355010475284216E-6</v>
      </c>
      <c r="M78" s="152">
        <f t="shared" si="274"/>
        <v>1.6355010475284216E-6</v>
      </c>
      <c r="N78" s="152">
        <f t="shared" si="274"/>
        <v>1.6355010475284216E-6</v>
      </c>
      <c r="O78" s="152">
        <f t="shared" si="274"/>
        <v>1.6355010475284216E-6</v>
      </c>
      <c r="P78" s="152">
        <f t="shared" si="274"/>
        <v>1.6355010475284216E-6</v>
      </c>
      <c r="Q78" s="152">
        <f t="shared" si="274"/>
        <v>1.6355010475284216E-6</v>
      </c>
      <c r="R78" s="152">
        <f t="shared" si="274"/>
        <v>1.6355010475284216E-6</v>
      </c>
      <c r="S78" s="152">
        <f t="shared" si="274"/>
        <v>1.6355010475284216E-6</v>
      </c>
      <c r="T78" s="66"/>
      <c r="U78" s="66"/>
      <c r="V78" s="66"/>
      <c r="W78" s="66"/>
      <c r="X78" s="66"/>
    </row>
    <row r="79" spans="4:24" x14ac:dyDescent="0.25">
      <c r="D79" t="s">
        <v>60</v>
      </c>
      <c r="E79" s="26">
        <f>VLOOKUP($D79,'Balance sheet Historical'!$D$26:$I$33,COUNTBLANK('BS items'!$D$3:E$3),FALSE)</f>
        <v>1503.38</v>
      </c>
      <c r="F79" s="26">
        <f>VLOOKUP($D79,'Balance sheet Historical'!$D$26:$I$33,COUNTBLANK('BS items'!$D$3:F$3),FALSE)</f>
        <v>1548.17</v>
      </c>
      <c r="G79" s="26">
        <f>VLOOKUP($D79,'Balance sheet Historical'!$D$26:$I$33,COUNTBLANK('BS items'!$D$3:G$3),FALSE)</f>
        <v>1611.33</v>
      </c>
      <c r="H79" s="26">
        <f>VLOOKUP($D79,'Balance sheet Historical'!$D$26:$I$33,COUNTBLANK('BS items'!$D$3:H$3),FALSE)</f>
        <v>1818.28</v>
      </c>
      <c r="I79" s="26">
        <f>VLOOKUP($D79,'Balance sheet Historical'!$D$26:$I$33,COUNTBLANK('BS items'!$D$3:I$3),FALSE)</f>
        <v>1948.23</v>
      </c>
      <c r="J79" s="26">
        <f t="shared" ref="J79" si="275">I79*(1+J80)</f>
        <v>2009.4687876033868</v>
      </c>
      <c r="K79" s="26">
        <f t="shared" ref="K79" si="276">J79*(1+K80)</f>
        <v>2072.6324963439765</v>
      </c>
      <c r="L79" s="26">
        <f t="shared" ref="L79" si="277">K79*(1+L80)</f>
        <v>2137.7816323410025</v>
      </c>
      <c r="M79" s="26">
        <f t="shared" ref="M79" si="278">L79*(1+M80)</f>
        <v>2204.9786036048431</v>
      </c>
      <c r="N79" s="26">
        <f t="shared" ref="N79" si="279">M79*(1+N80)</f>
        <v>2274.2877798192376</v>
      </c>
      <c r="O79" s="26">
        <f t="shared" ref="O79" si="280">N79*(1+O80)</f>
        <v>2345.7755540026392</v>
      </c>
      <c r="P79" s="26">
        <f t="shared" ref="P79" si="281">O79*(1+P80)</f>
        <v>2419.5104061077727</v>
      </c>
      <c r="Q79" s="26">
        <f t="shared" ref="Q79" si="282">P79*(1+Q80)</f>
        <v>2495.5629686203188</v>
      </c>
      <c r="R79" s="26">
        <f t="shared" ref="R79" si="283">Q79*(1+R80)</f>
        <v>2574.0060942195637</v>
      </c>
      <c r="S79" s="26">
        <f t="shared" ref="S79" si="284">R79*(1+S80)</f>
        <v>2654.9149255658294</v>
      </c>
    </row>
    <row r="80" spans="4:24" x14ac:dyDescent="0.25">
      <c r="D80" s="42" t="str">
        <f>D79&amp;"  as a % Revenue"</f>
        <v>Other Current Assets  as a % Revenue</v>
      </c>
      <c r="E80" s="46">
        <f t="shared" ref="E80" si="285">E79/E$7</f>
        <v>3.5688690019639258E-2</v>
      </c>
      <c r="F80" s="46">
        <f t="shared" ref="F80" si="286">F79/F$7</f>
        <v>3.4614696662776293E-2</v>
      </c>
      <c r="G80" s="46">
        <f t="shared" ref="G80" si="287">G79/G$7</f>
        <v>3.0634331600151561E-2</v>
      </c>
      <c r="H80" s="46">
        <f t="shared" ref="H80" si="288">H79/H$7</f>
        <v>2.8752064753973676E-2</v>
      </c>
      <c r="I80" s="159">
        <f t="shared" ref="I80" si="289">I79/I$7</f>
        <v>2.7475406913790152E-2</v>
      </c>
      <c r="J80" s="152">
        <f>AVERAGE(E80:I80)</f>
        <v>3.1433037990066193E-2</v>
      </c>
      <c r="K80" s="152">
        <f>J80</f>
        <v>3.1433037990066193E-2</v>
      </c>
      <c r="L80" s="152">
        <f t="shared" ref="L80:S80" si="290">K80</f>
        <v>3.1433037990066193E-2</v>
      </c>
      <c r="M80" s="152">
        <f t="shared" si="290"/>
        <v>3.1433037990066193E-2</v>
      </c>
      <c r="N80" s="152">
        <f t="shared" si="290"/>
        <v>3.1433037990066193E-2</v>
      </c>
      <c r="O80" s="152">
        <f t="shared" si="290"/>
        <v>3.1433037990066193E-2</v>
      </c>
      <c r="P80" s="152">
        <f t="shared" si="290"/>
        <v>3.1433037990066193E-2</v>
      </c>
      <c r="Q80" s="152">
        <f t="shared" si="290"/>
        <v>3.1433037990066193E-2</v>
      </c>
      <c r="R80" s="152">
        <f t="shared" si="290"/>
        <v>3.1433037990066193E-2</v>
      </c>
      <c r="S80" s="152">
        <f t="shared" si="290"/>
        <v>3.1433037990066193E-2</v>
      </c>
      <c r="T80" s="66"/>
      <c r="U80" s="66"/>
      <c r="V80" s="66"/>
      <c r="W80" s="66"/>
      <c r="X80" s="66"/>
    </row>
    <row r="82" spans="4:19" x14ac:dyDescent="0.25">
      <c r="D82" s="160"/>
      <c r="E82" s="102"/>
      <c r="F82" s="102"/>
      <c r="G82" s="102"/>
      <c r="H82" s="102"/>
      <c r="I82" s="102"/>
      <c r="J82" s="102"/>
      <c r="K82" s="102"/>
      <c r="L82" s="102"/>
      <c r="M82" s="102"/>
      <c r="N82" s="102"/>
      <c r="O82" s="102"/>
      <c r="P82" s="102"/>
      <c r="Q82" s="102"/>
      <c r="R82" s="102"/>
      <c r="S82" s="102"/>
    </row>
    <row r="84" spans="4:19" x14ac:dyDescent="0.25">
      <c r="D84" s="1"/>
    </row>
    <row r="86" spans="4:19" x14ac:dyDescent="0.25">
      <c r="D86" s="1"/>
    </row>
    <row r="88" spans="4:19" x14ac:dyDescent="0.25">
      <c r="D88" s="1"/>
    </row>
  </sheetData>
  <pageMargins left="0.7" right="0.7" top="0.75" bottom="0.75" header="0.3" footer="0.3"/>
  <ignoredErrors>
    <ignoredError sqref="J11:S11 E72:S72 D74:S74 E76:S76 E78:S78 E56:S56 E58:S58 D60:S60 E62:S62 D64:S64 D21:S21" 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6:S73"/>
  <sheetViews>
    <sheetView showGridLines="0" workbookViewId="0">
      <pane ySplit="8" topLeftCell="A59" activePane="bottomLeft" state="frozen"/>
      <selection pane="bottomLeft" activeCell="E49" sqref="E49"/>
    </sheetView>
  </sheetViews>
  <sheetFormatPr defaultRowHeight="15" x14ac:dyDescent="0.25"/>
  <cols>
    <col min="1" max="3" width="1.42578125" customWidth="1"/>
    <col min="4" max="4" width="80.7109375" customWidth="1"/>
    <col min="5" max="6" width="9.140625" bestFit="1" customWidth="1"/>
    <col min="9" max="9" width="10.7109375" bestFit="1" customWidth="1"/>
    <col min="10" max="19" width="13.7109375" bestFit="1" customWidth="1"/>
  </cols>
  <sheetData>
    <row r="6" spans="3:19" x14ac:dyDescent="0.25">
      <c r="D6" s="1" t="s">
        <v>18</v>
      </c>
      <c r="E6" s="98">
        <v>2020</v>
      </c>
      <c r="F6" s="98">
        <f>E6+1</f>
        <v>2021</v>
      </c>
      <c r="G6" s="98">
        <f t="shared" ref="G6:S6" si="0">F6+1</f>
        <v>2022</v>
      </c>
      <c r="H6" s="98">
        <f t="shared" si="0"/>
        <v>2023</v>
      </c>
      <c r="I6" s="98">
        <f t="shared" si="0"/>
        <v>2024</v>
      </c>
      <c r="J6" s="100">
        <f t="shared" si="0"/>
        <v>2025</v>
      </c>
      <c r="K6" s="100">
        <f t="shared" si="0"/>
        <v>2026</v>
      </c>
      <c r="L6" s="100">
        <f t="shared" si="0"/>
        <v>2027</v>
      </c>
      <c r="M6" s="100">
        <f t="shared" si="0"/>
        <v>2028</v>
      </c>
      <c r="N6" s="100">
        <f t="shared" si="0"/>
        <v>2029</v>
      </c>
      <c r="O6" s="100">
        <f t="shared" si="0"/>
        <v>2030</v>
      </c>
      <c r="P6" s="100">
        <f t="shared" si="0"/>
        <v>2031</v>
      </c>
      <c r="Q6" s="100">
        <f t="shared" si="0"/>
        <v>2032</v>
      </c>
      <c r="R6" s="100">
        <f t="shared" si="0"/>
        <v>2033</v>
      </c>
      <c r="S6" s="100">
        <f t="shared" si="0"/>
        <v>2034</v>
      </c>
    </row>
    <row r="7" spans="3:19" x14ac:dyDescent="0.25">
      <c r="E7" s="101" t="s">
        <v>127</v>
      </c>
      <c r="F7" s="101" t="s">
        <v>127</v>
      </c>
      <c r="G7" s="101" t="s">
        <v>127</v>
      </c>
      <c r="H7" s="101" t="s">
        <v>127</v>
      </c>
      <c r="I7" s="101" t="s">
        <v>127</v>
      </c>
      <c r="J7" s="101" t="s">
        <v>128</v>
      </c>
      <c r="K7" s="101" t="s">
        <v>128</v>
      </c>
      <c r="L7" s="101" t="s">
        <v>128</v>
      </c>
      <c r="M7" s="101" t="s">
        <v>128</v>
      </c>
      <c r="N7" s="101" t="s">
        <v>128</v>
      </c>
      <c r="O7" s="101" t="s">
        <v>128</v>
      </c>
      <c r="P7" s="101" t="s">
        <v>128</v>
      </c>
      <c r="Q7" s="101" t="s">
        <v>128</v>
      </c>
      <c r="R7" s="101" t="s">
        <v>128</v>
      </c>
      <c r="S7" s="101" t="s">
        <v>128</v>
      </c>
    </row>
    <row r="8" spans="3:19" x14ac:dyDescent="0.25">
      <c r="C8" s="40"/>
      <c r="D8" s="40"/>
      <c r="E8" s="41">
        <v>12</v>
      </c>
      <c r="F8" s="41">
        <f>E8</f>
        <v>12</v>
      </c>
      <c r="G8" s="41">
        <f t="shared" ref="G8:S8" si="1">F8</f>
        <v>12</v>
      </c>
      <c r="H8" s="41">
        <f t="shared" si="1"/>
        <v>12</v>
      </c>
      <c r="I8" s="41">
        <f t="shared" si="1"/>
        <v>12</v>
      </c>
      <c r="J8" s="41">
        <f t="shared" si="1"/>
        <v>12</v>
      </c>
      <c r="K8" s="41">
        <f t="shared" si="1"/>
        <v>12</v>
      </c>
      <c r="L8" s="41">
        <f t="shared" si="1"/>
        <v>12</v>
      </c>
      <c r="M8" s="41">
        <f t="shared" si="1"/>
        <v>12</v>
      </c>
      <c r="N8" s="41">
        <f t="shared" si="1"/>
        <v>12</v>
      </c>
      <c r="O8" s="41">
        <f t="shared" si="1"/>
        <v>12</v>
      </c>
      <c r="P8" s="41">
        <f t="shared" si="1"/>
        <v>12</v>
      </c>
      <c r="Q8" s="41">
        <f t="shared" si="1"/>
        <v>12</v>
      </c>
      <c r="R8" s="41">
        <f t="shared" si="1"/>
        <v>12</v>
      </c>
      <c r="S8" s="41">
        <f t="shared" si="1"/>
        <v>12</v>
      </c>
    </row>
    <row r="10" spans="3:19" x14ac:dyDescent="0.25">
      <c r="D10" s="1" t="s">
        <v>204</v>
      </c>
    </row>
    <row r="11" spans="3:19" x14ac:dyDescent="0.25">
      <c r="D11" t="s">
        <v>205</v>
      </c>
      <c r="E11" s="28">
        <f>'BS items'!E10</f>
        <v>288.63</v>
      </c>
      <c r="F11" s="28">
        <f>'BS items'!F10</f>
        <v>288.64999999999998</v>
      </c>
      <c r="G11" s="28">
        <f>'BS items'!G10</f>
        <v>288.67</v>
      </c>
      <c r="H11" s="28">
        <f>'BS items'!H10</f>
        <v>288.69</v>
      </c>
      <c r="I11" s="28">
        <f>'BS items'!I10</f>
        <v>288.69</v>
      </c>
      <c r="J11" s="28">
        <f>'BS items'!J10</f>
        <v>288.69</v>
      </c>
      <c r="K11" s="28">
        <f>'BS items'!K10</f>
        <v>288.69</v>
      </c>
      <c r="L11" s="28">
        <f>'BS items'!L10</f>
        <v>288.69</v>
      </c>
      <c r="M11" s="28">
        <f>'BS items'!M10</f>
        <v>288.69</v>
      </c>
      <c r="N11" s="28">
        <f>'BS items'!N10</f>
        <v>288.69</v>
      </c>
      <c r="O11" s="28">
        <f>'BS items'!O10</f>
        <v>288.69</v>
      </c>
      <c r="P11" s="28">
        <f>'BS items'!P10</f>
        <v>288.69</v>
      </c>
      <c r="Q11" s="28">
        <f>'BS items'!Q10</f>
        <v>288.69</v>
      </c>
      <c r="R11" s="28">
        <f>'BS items'!R10</f>
        <v>288.69</v>
      </c>
      <c r="S11" s="28">
        <f>'BS items'!S10</f>
        <v>288.69</v>
      </c>
    </row>
    <row r="12" spans="3:19" x14ac:dyDescent="0.25">
      <c r="D12" t="s">
        <v>206</v>
      </c>
      <c r="E12" s="28">
        <f>'BS items'!E11</f>
        <v>38826.85</v>
      </c>
      <c r="F12" s="28">
        <f>'BS items'!F11</f>
        <v>43886.03</v>
      </c>
      <c r="G12" s="28">
        <f>'BS items'!G11</f>
        <v>50146.6</v>
      </c>
      <c r="H12" s="28">
        <f>'BS items'!H11</f>
        <v>54035.85</v>
      </c>
      <c r="I12" s="28">
        <f>'BS items'!I11</f>
        <v>59938.78</v>
      </c>
      <c r="J12" s="28">
        <f>'BS items'!J11</f>
        <v>65901.787571245746</v>
      </c>
      <c r="K12" s="28">
        <f>'BS items'!K11</f>
        <v>73595.24718427872</v>
      </c>
      <c r="L12" s="28">
        <f>'BS items'!L11</f>
        <v>82432.792511770385</v>
      </c>
      <c r="M12" s="28">
        <f>'BS items'!M11</f>
        <v>92601.683851426991</v>
      </c>
      <c r="N12" s="28">
        <f>'BS items'!N11</f>
        <v>104329.26269570363</v>
      </c>
      <c r="O12" s="28">
        <f>'BS items'!O11</f>
        <v>117872.10905287488</v>
      </c>
      <c r="P12" s="28">
        <f>'BS items'!P11</f>
        <v>133520.44878784212</v>
      </c>
      <c r="Q12" s="28">
        <f>'BS items'!Q11</f>
        <v>151603.16540662263</v>
      </c>
      <c r="R12" s="28">
        <f>'BS items'!R11</f>
        <v>172494.96777808006</v>
      </c>
      <c r="S12" s="28">
        <f>'BS items'!S11</f>
        <v>196622.37098086541</v>
      </c>
    </row>
    <row r="13" spans="3:19" x14ac:dyDescent="0.25">
      <c r="D13" t="s">
        <v>207</v>
      </c>
      <c r="E13" s="28">
        <f>'BS items'!E12</f>
        <v>7.52</v>
      </c>
      <c r="F13" s="28">
        <f>'BS items'!F12</f>
        <v>5.72</v>
      </c>
      <c r="G13" s="28">
        <f>'BS items'!G12</f>
        <v>-3.06</v>
      </c>
      <c r="H13" s="28">
        <f>'BS items'!H12</f>
        <v>55.63</v>
      </c>
      <c r="I13" s="28">
        <f>'BS items'!I12</f>
        <v>55.94</v>
      </c>
      <c r="J13" s="28">
        <f>'BS items'!J12</f>
        <v>55.94</v>
      </c>
      <c r="K13" s="28">
        <f>'BS items'!K12</f>
        <v>55.94</v>
      </c>
      <c r="L13" s="28">
        <f>'BS items'!L12</f>
        <v>55.94</v>
      </c>
      <c r="M13" s="28">
        <f>'BS items'!M12</f>
        <v>55.94</v>
      </c>
      <c r="N13" s="28">
        <f>'BS items'!N12</f>
        <v>55.94</v>
      </c>
      <c r="O13" s="28">
        <f>'BS items'!O12</f>
        <v>55.94</v>
      </c>
      <c r="P13" s="28">
        <f>'BS items'!P12</f>
        <v>55.94</v>
      </c>
      <c r="Q13" s="28">
        <f>'BS items'!Q12</f>
        <v>55.94</v>
      </c>
      <c r="R13" s="28">
        <f>'BS items'!R12</f>
        <v>55.94</v>
      </c>
      <c r="S13" s="28">
        <f>'BS items'!S12</f>
        <v>55.94</v>
      </c>
    </row>
    <row r="14" spans="3:19" x14ac:dyDescent="0.25">
      <c r="D14" t="s">
        <v>69</v>
      </c>
      <c r="E14" s="28">
        <f>'BS items'!E13</f>
        <v>0</v>
      </c>
      <c r="F14" s="28">
        <f>'BS items'!F13</f>
        <v>0</v>
      </c>
      <c r="G14" s="28">
        <f>'BS items'!G13</f>
        <v>0</v>
      </c>
      <c r="H14" s="28">
        <f>'BS items'!H13</f>
        <v>0</v>
      </c>
      <c r="I14" s="28">
        <f>'BS items'!I13</f>
        <v>0</v>
      </c>
      <c r="J14" s="28">
        <f>'BS items'!J13</f>
        <v>0</v>
      </c>
      <c r="K14" s="28">
        <f>'BS items'!K13</f>
        <v>0</v>
      </c>
      <c r="L14" s="28">
        <f>'BS items'!L13</f>
        <v>0</v>
      </c>
      <c r="M14" s="28">
        <f>'BS items'!M13</f>
        <v>0</v>
      </c>
      <c r="N14" s="28">
        <f>'BS items'!N13</f>
        <v>0</v>
      </c>
      <c r="O14" s="28">
        <f>'BS items'!O13</f>
        <v>0</v>
      </c>
      <c r="P14" s="28">
        <f>'BS items'!P13</f>
        <v>0</v>
      </c>
      <c r="Q14" s="28">
        <f>'BS items'!Q13</f>
        <v>0</v>
      </c>
      <c r="R14" s="28">
        <f>'BS items'!R13</f>
        <v>0</v>
      </c>
      <c r="S14" s="28">
        <f>'BS items'!S13</f>
        <v>0</v>
      </c>
    </row>
    <row r="15" spans="3:19" x14ac:dyDescent="0.25">
      <c r="D15" t="s">
        <v>70</v>
      </c>
      <c r="E15" s="28">
        <f>'BS items'!E14</f>
        <v>0</v>
      </c>
      <c r="F15" s="28">
        <f>'BS items'!F14</f>
        <v>0</v>
      </c>
      <c r="G15" s="28">
        <f>'BS items'!G14</f>
        <v>0</v>
      </c>
      <c r="H15" s="28">
        <f>'BS items'!H14</f>
        <v>0</v>
      </c>
      <c r="I15" s="28">
        <f>'BS items'!I14</f>
        <v>0.01</v>
      </c>
      <c r="J15" s="28">
        <f>'BS items'!J14</f>
        <v>0.01</v>
      </c>
      <c r="K15" s="28">
        <f>'BS items'!K14</f>
        <v>0.01</v>
      </c>
      <c r="L15" s="28">
        <f>'BS items'!L14</f>
        <v>0.01</v>
      </c>
      <c r="M15" s="28">
        <f>'BS items'!M14</f>
        <v>0.01</v>
      </c>
      <c r="N15" s="28">
        <f>'BS items'!N14</f>
        <v>0.01</v>
      </c>
      <c r="O15" s="28">
        <f>'BS items'!O14</f>
        <v>0.01</v>
      </c>
      <c r="P15" s="28">
        <f>'BS items'!P14</f>
        <v>0.01</v>
      </c>
      <c r="Q15" s="28">
        <f>'BS items'!Q14</f>
        <v>0.01</v>
      </c>
      <c r="R15" s="28">
        <f>'BS items'!R14</f>
        <v>0.01</v>
      </c>
      <c r="S15" s="28">
        <f>'BS items'!S14</f>
        <v>0.01</v>
      </c>
    </row>
    <row r="16" spans="3:19" x14ac:dyDescent="0.25">
      <c r="D16" s="8" t="s">
        <v>208</v>
      </c>
      <c r="E16" s="151">
        <f>SUM(E11:E15)</f>
        <v>39122.999999999993</v>
      </c>
      <c r="F16" s="151">
        <f t="shared" ref="F16:S16" si="2">SUM(F11:F15)</f>
        <v>44180.4</v>
      </c>
      <c r="G16" s="151">
        <f t="shared" si="2"/>
        <v>50432.21</v>
      </c>
      <c r="H16" s="151">
        <f t="shared" si="2"/>
        <v>54380.17</v>
      </c>
      <c r="I16" s="151">
        <f t="shared" si="2"/>
        <v>60283.420000000006</v>
      </c>
      <c r="J16" s="151">
        <f t="shared" si="2"/>
        <v>66246.427571245746</v>
      </c>
      <c r="K16" s="151">
        <f t="shared" si="2"/>
        <v>73939.887184278719</v>
      </c>
      <c r="L16" s="151">
        <f t="shared" si="2"/>
        <v>82777.432511770385</v>
      </c>
      <c r="M16" s="151">
        <f t="shared" si="2"/>
        <v>92946.323851426991</v>
      </c>
      <c r="N16" s="151">
        <f t="shared" si="2"/>
        <v>104673.90269570363</v>
      </c>
      <c r="O16" s="151">
        <f t="shared" si="2"/>
        <v>118216.74905287487</v>
      </c>
      <c r="P16" s="151">
        <f t="shared" si="2"/>
        <v>133865.08878784213</v>
      </c>
      <c r="Q16" s="151">
        <f t="shared" si="2"/>
        <v>151947.80540662265</v>
      </c>
      <c r="R16" s="151">
        <f t="shared" si="2"/>
        <v>172839.60777808007</v>
      </c>
      <c r="S16" s="151">
        <f t="shared" si="2"/>
        <v>196967.01098086542</v>
      </c>
    </row>
    <row r="17" spans="1:19" x14ac:dyDescent="0.25">
      <c r="E17" s="28"/>
      <c r="F17" s="28"/>
      <c r="G17" s="28"/>
      <c r="H17" s="28"/>
      <c r="I17" s="28"/>
      <c r="J17" s="28"/>
      <c r="K17" s="28"/>
      <c r="L17" s="28"/>
      <c r="M17" s="28"/>
      <c r="N17" s="28"/>
      <c r="O17" s="28"/>
      <c r="P17" s="28"/>
      <c r="Q17" s="28"/>
      <c r="R17" s="28"/>
      <c r="S17" s="28"/>
    </row>
    <row r="18" spans="1:19" x14ac:dyDescent="0.25">
      <c r="E18" s="28"/>
      <c r="F18" s="28"/>
      <c r="G18" s="28"/>
      <c r="H18" s="28"/>
      <c r="I18" s="28"/>
      <c r="J18" s="28"/>
      <c r="K18" s="28"/>
      <c r="L18" s="28"/>
      <c r="M18" s="28"/>
      <c r="N18" s="28"/>
      <c r="O18" s="28"/>
      <c r="P18" s="28"/>
      <c r="Q18" s="28"/>
      <c r="R18" s="28"/>
      <c r="S18" s="28"/>
    </row>
    <row r="19" spans="1:19" x14ac:dyDescent="0.25">
      <c r="D19" s="1" t="s">
        <v>209</v>
      </c>
      <c r="E19" s="28"/>
      <c r="F19" s="28"/>
      <c r="G19" s="28"/>
      <c r="H19" s="28"/>
      <c r="I19" s="28"/>
      <c r="J19" s="28"/>
      <c r="K19" s="28"/>
      <c r="L19" s="28"/>
      <c r="M19" s="28"/>
      <c r="N19" s="28"/>
      <c r="O19" s="28"/>
      <c r="P19" s="28"/>
      <c r="Q19" s="28"/>
      <c r="R19" s="28"/>
      <c r="S19" s="28"/>
    </row>
    <row r="20" spans="1:19" x14ac:dyDescent="0.25">
      <c r="D20" t="s">
        <v>74</v>
      </c>
      <c r="E20" s="28">
        <f>'BS items'!E20</f>
        <v>17367.52</v>
      </c>
      <c r="F20" s="28">
        <f>'BS items'!F20</f>
        <v>13548.45</v>
      </c>
      <c r="G20" s="28">
        <f>'BS items'!G20</f>
        <v>5303</v>
      </c>
      <c r="H20" s="28">
        <f>'BS items'!H20</f>
        <v>5356.41</v>
      </c>
      <c r="I20" s="28">
        <f>'BS items'!I20</f>
        <v>5307.78</v>
      </c>
      <c r="J20" s="28">
        <f>'BS items'!J20</f>
        <v>6343.4162696055982</v>
      </c>
      <c r="K20" s="28">
        <f>'BS items'!K20</f>
        <v>7581.1224220855056</v>
      </c>
      <c r="L20" s="28">
        <f>'BS items'!L20</f>
        <v>9060.3256567018598</v>
      </c>
      <c r="M20" s="28">
        <f>'BS items'!M20</f>
        <v>10828.146075882498</v>
      </c>
      <c r="N20" s="28">
        <f>'BS items'!N20</f>
        <v>12940.897698740162</v>
      </c>
      <c r="O20" s="28">
        <f>'BS items'!O20</f>
        <v>15465.882347326</v>
      </c>
      <c r="P20" s="28">
        <f>'BS items'!P20</f>
        <v>18483.533549965101</v>
      </c>
      <c r="Q20" s="28">
        <f>'BS items'!Q20</f>
        <v>22089.978755835687</v>
      </c>
      <c r="R20" s="28">
        <f>'BS items'!R20</f>
        <v>26400.101480281799</v>
      </c>
      <c r="S20" s="28">
        <f>'BS items'!S20</f>
        <v>31551.200925671073</v>
      </c>
    </row>
    <row r="21" spans="1:19" x14ac:dyDescent="0.25">
      <c r="D21" t="s">
        <v>88</v>
      </c>
      <c r="E21" s="28">
        <f>'BS items'!E22</f>
        <v>0</v>
      </c>
      <c r="F21" s="28">
        <f>'BS items'!F22</f>
        <v>1119.05</v>
      </c>
      <c r="G21" s="28">
        <f>'BS items'!G22</f>
        <v>978.2</v>
      </c>
      <c r="H21" s="28">
        <f>'BS items'!H22</f>
        <v>1010.65</v>
      </c>
      <c r="I21" s="28">
        <f>'BS items'!I22</f>
        <v>942.11</v>
      </c>
      <c r="J21" s="28">
        <f>'BS items'!J22</f>
        <v>955.84316364908318</v>
      </c>
      <c r="K21" s="28">
        <f>'BS items'!K22</f>
        <v>969.77651600629235</v>
      </c>
      <c r="L21" s="28">
        <f>'BS items'!L22</f>
        <v>983.91297522798857</v>
      </c>
      <c r="M21" s="28">
        <f>'BS items'!M22</f>
        <v>998.25550200857924</v>
      </c>
      <c r="N21" s="28">
        <f>'BS items'!N22</f>
        <v>1012.8071002005967</v>
      </c>
      <c r="O21" s="28">
        <f>'BS items'!O22</f>
        <v>1027.5708174438148</v>
      </c>
      <c r="P21" s="28">
        <f>'BS items'!P22</f>
        <v>1042.5497458035372</v>
      </c>
      <c r="Q21" s="28">
        <f>'BS items'!Q22</f>
        <v>1057.7470224181895</v>
      </c>
      <c r="R21" s="28">
        <f>'BS items'!R22</f>
        <v>1073.1658301563511</v>
      </c>
      <c r="S21" s="28">
        <f>'BS items'!S22</f>
        <v>1088.8093982833655</v>
      </c>
    </row>
    <row r="22" spans="1:19" x14ac:dyDescent="0.25">
      <c r="D22" t="s">
        <v>75</v>
      </c>
      <c r="E22" s="28">
        <f>'BS items'!E24</f>
        <v>1055.8499999999999</v>
      </c>
      <c r="F22" s="28">
        <f>'BS items'!F24</f>
        <v>332.19</v>
      </c>
      <c r="G22" s="28">
        <f>'BS items'!G24</f>
        <v>303.48</v>
      </c>
      <c r="H22" s="28">
        <f>'BS items'!H24</f>
        <v>319.83999999999997</v>
      </c>
      <c r="I22" s="28">
        <f>'BS items'!I24</f>
        <v>240.86</v>
      </c>
      <c r="J22" s="28">
        <f>'BS items'!J24</f>
        <v>243.11040824210059</v>
      </c>
      <c r="K22" s="28">
        <f>'BS items'!K24</f>
        <v>245.3818425460467</v>
      </c>
      <c r="L22" s="28">
        <f>'BS items'!L24</f>
        <v>247.67449936298371</v>
      </c>
      <c r="M22" s="28">
        <f>'BS items'!M24</f>
        <v>249.98857697954352</v>
      </c>
      <c r="N22" s="28">
        <f>'BS items'!N24</f>
        <v>252.32427553499383</v>
      </c>
      <c r="O22" s="28">
        <f>'BS items'!O24</f>
        <v>254.68179703854781</v>
      </c>
      <c r="P22" s="28">
        <f>'BS items'!P24</f>
        <v>257.06134538683534</v>
      </c>
      <c r="Q22" s="28">
        <f>'BS items'!Q24</f>
        <v>259.46312638153768</v>
      </c>
      <c r="R22" s="28">
        <f>'BS items'!R24</f>
        <v>261.8873477471866</v>
      </c>
      <c r="S22" s="28">
        <f>'BS items'!S24</f>
        <v>264.33421914913021</v>
      </c>
    </row>
    <row r="23" spans="1:19" x14ac:dyDescent="0.25">
      <c r="D23" t="s">
        <v>76</v>
      </c>
      <c r="E23" s="28">
        <f>'BS items'!E26</f>
        <v>241.74</v>
      </c>
      <c r="F23" s="28">
        <f>'BS items'!F26</f>
        <v>365.49</v>
      </c>
      <c r="G23" s="28">
        <f>'BS items'!G26</f>
        <v>617.84</v>
      </c>
      <c r="H23" s="28">
        <f>'BS items'!H26</f>
        <v>624.21</v>
      </c>
      <c r="I23" s="28">
        <f>'BS items'!I26</f>
        <v>670.57</v>
      </c>
      <c r="J23" s="28">
        <f>'BS items'!J26</f>
        <v>676.60299761769772</v>
      </c>
      <c r="K23" s="28">
        <f>'BS items'!K26</f>
        <v>682.69027302929487</v>
      </c>
      <c r="L23" s="28">
        <f>'BS items'!L26</f>
        <v>688.83231456233557</v>
      </c>
      <c r="M23" s="28">
        <f>'BS items'!M26</f>
        <v>695.02961493775911</v>
      </c>
      <c r="N23" s="28">
        <f>'BS items'!N26</f>
        <v>701.28267130942629</v>
      </c>
      <c r="O23" s="28">
        <f>'BS items'!O26</f>
        <v>707.5919853040017</v>
      </c>
      <c r="P23" s="28">
        <f>'BS items'!P26</f>
        <v>713.95806306119482</v>
      </c>
      <c r="Q23" s="28">
        <f>'BS items'!Q26</f>
        <v>720.38141527436312</v>
      </c>
      <c r="R23" s="28">
        <f>'BS items'!R26</f>
        <v>726.86255723148008</v>
      </c>
      <c r="S23" s="28">
        <f>'BS items'!S26</f>
        <v>733.40200885647255</v>
      </c>
    </row>
    <row r="24" spans="1:19" x14ac:dyDescent="0.25">
      <c r="D24" t="s">
        <v>77</v>
      </c>
      <c r="E24" s="28">
        <f>'BS items'!E28</f>
        <v>4911.99</v>
      </c>
      <c r="F24" s="28">
        <f>'BS items'!F28</f>
        <v>6040.68</v>
      </c>
      <c r="G24" s="28">
        <f>'BS items'!G28</f>
        <v>6033.24</v>
      </c>
      <c r="H24" s="28">
        <f>'BS items'!H28</f>
        <v>6260.11</v>
      </c>
      <c r="I24" s="28">
        <f>'BS items'!I28</f>
        <v>6447.78</v>
      </c>
      <c r="J24" s="28">
        <f>'BS items'!J28</f>
        <v>7165.1471201195764</v>
      </c>
      <c r="K24" s="28">
        <f>'BS items'!K28</f>
        <v>7962.3270727223726</v>
      </c>
      <c r="L24" s="28">
        <f>'BS items'!L28</f>
        <v>8848.1996740842351</v>
      </c>
      <c r="M24" s="28">
        <f>'BS items'!M28</f>
        <v>9832.6326910979642</v>
      </c>
      <c r="N24" s="28">
        <f>'BS items'!N28</f>
        <v>10926.591758685034</v>
      </c>
      <c r="O24" s="28">
        <f>'BS items'!O28</f>
        <v>12142.26252639891</v>
      </c>
      <c r="P24" s="28">
        <f>'BS items'!P28</f>
        <v>13493.186394815426</v>
      </c>
      <c r="Q24" s="28">
        <f>'BS items'!Q28</f>
        <v>14994.411353682726</v>
      </c>
      <c r="R24" s="28">
        <f>'BS items'!R28</f>
        <v>16662.659602022413</v>
      </c>
      <c r="S24" s="28">
        <f>'BS items'!S28</f>
        <v>18516.513817308238</v>
      </c>
    </row>
    <row r="25" spans="1:19" x14ac:dyDescent="0.25">
      <c r="D25" t="s">
        <v>78</v>
      </c>
      <c r="E25" s="28">
        <f>'BS items'!E30</f>
        <v>6.28</v>
      </c>
      <c r="F25" s="28">
        <f>'BS items'!F30</f>
        <v>5.53</v>
      </c>
      <c r="G25" s="28">
        <f>'BS items'!G30</f>
        <v>4.63</v>
      </c>
      <c r="H25" s="28">
        <f>'BS items'!H30</f>
        <v>3.78</v>
      </c>
      <c r="I25" s="28">
        <f>'BS items'!I30</f>
        <v>3.53</v>
      </c>
      <c r="J25" s="28">
        <f>'BS items'!J30</f>
        <v>3.5303320337826665</v>
      </c>
      <c r="K25" s="28">
        <f>'BS items'!K30</f>
        <v>3.5306640987966174</v>
      </c>
      <c r="L25" s="28">
        <f>'BS items'!L30</f>
        <v>3.5309961950447897</v>
      </c>
      <c r="M25" s="28">
        <f>'BS items'!M30</f>
        <v>3.531328322530122</v>
      </c>
      <c r="N25" s="28">
        <f>'BS items'!N30</f>
        <v>3.5316604812555519</v>
      </c>
      <c r="O25" s="28">
        <f>'BS items'!O30</f>
        <v>3.5319926712240179</v>
      </c>
      <c r="P25" s="28">
        <f>'BS items'!P30</f>
        <v>3.5323248924384592</v>
      </c>
      <c r="Q25" s="28">
        <f>'BS items'!Q30</f>
        <v>3.5326571449018145</v>
      </c>
      <c r="R25" s="28">
        <f>'BS items'!R30</f>
        <v>3.5329894286170229</v>
      </c>
      <c r="S25" s="28">
        <f>'BS items'!S30</f>
        <v>3.5333217435870243</v>
      </c>
    </row>
    <row r="26" spans="1:19" x14ac:dyDescent="0.25">
      <c r="E26" s="28"/>
      <c r="F26" s="28"/>
      <c r="G26" s="28"/>
      <c r="H26" s="28"/>
      <c r="I26" s="28"/>
      <c r="J26" s="28"/>
      <c r="K26" s="28"/>
      <c r="L26" s="28"/>
      <c r="M26" s="28"/>
      <c r="N26" s="28"/>
      <c r="O26" s="28"/>
      <c r="P26" s="28"/>
      <c r="Q26" s="28"/>
      <c r="R26" s="28"/>
      <c r="S26" s="28"/>
    </row>
    <row r="27" spans="1:19" x14ac:dyDescent="0.25">
      <c r="A27" s="1"/>
      <c r="B27" s="1"/>
      <c r="C27" s="1"/>
      <c r="D27" s="8" t="s">
        <v>79</v>
      </c>
      <c r="E27" s="151">
        <f>SUM(E20:E25)</f>
        <v>23583.379999999997</v>
      </c>
      <c r="F27" s="151">
        <f t="shared" ref="F27:S27" si="3">SUM(F20:F25)</f>
        <v>21411.39</v>
      </c>
      <c r="G27" s="151">
        <f t="shared" si="3"/>
        <v>13240.39</v>
      </c>
      <c r="H27" s="151">
        <f t="shared" si="3"/>
        <v>13575</v>
      </c>
      <c r="I27" s="151">
        <f t="shared" si="3"/>
        <v>13612.63</v>
      </c>
      <c r="J27" s="151">
        <f t="shared" si="3"/>
        <v>15387.650291267839</v>
      </c>
      <c r="K27" s="151">
        <f t="shared" si="3"/>
        <v>17444.828790488311</v>
      </c>
      <c r="L27" s="151">
        <f t="shared" si="3"/>
        <v>19832.476116134447</v>
      </c>
      <c r="M27" s="151">
        <f t="shared" si="3"/>
        <v>22607.583789228873</v>
      </c>
      <c r="N27" s="151">
        <f t="shared" si="3"/>
        <v>25837.435164951465</v>
      </c>
      <c r="O27" s="151">
        <f t="shared" si="3"/>
        <v>29601.521466182501</v>
      </c>
      <c r="P27" s="151">
        <f t="shared" si="3"/>
        <v>33993.821423924535</v>
      </c>
      <c r="Q27" s="151">
        <f t="shared" si="3"/>
        <v>39125.514330737409</v>
      </c>
      <c r="R27" s="151">
        <f t="shared" si="3"/>
        <v>45128.209806867853</v>
      </c>
      <c r="S27" s="151">
        <f t="shared" si="3"/>
        <v>52157.793691011866</v>
      </c>
    </row>
    <row r="28" spans="1:19" x14ac:dyDescent="0.25">
      <c r="E28" s="28"/>
      <c r="F28" s="28"/>
      <c r="G28" s="28"/>
      <c r="H28" s="28"/>
      <c r="I28" s="28"/>
      <c r="J28" s="28"/>
      <c r="K28" s="28"/>
      <c r="L28" s="28"/>
      <c r="M28" s="28"/>
      <c r="N28" s="28"/>
      <c r="O28" s="28"/>
      <c r="P28" s="28"/>
      <c r="Q28" s="28"/>
      <c r="R28" s="28"/>
      <c r="S28" s="28"/>
    </row>
    <row r="29" spans="1:19" x14ac:dyDescent="0.25">
      <c r="C29" s="1" t="s">
        <v>80</v>
      </c>
      <c r="E29" s="28"/>
      <c r="F29" s="28"/>
      <c r="G29" s="28"/>
      <c r="H29" s="28"/>
      <c r="I29" s="28"/>
      <c r="J29" s="28"/>
      <c r="K29" s="28"/>
      <c r="L29" s="28"/>
      <c r="M29" s="28"/>
      <c r="N29" s="28"/>
      <c r="O29" s="28"/>
      <c r="P29" s="28"/>
      <c r="Q29" s="28"/>
      <c r="R29" s="28"/>
      <c r="S29" s="28"/>
    </row>
    <row r="30" spans="1:19" x14ac:dyDescent="0.25">
      <c r="D30" s="1" t="s">
        <v>73</v>
      </c>
      <c r="E30" s="28"/>
      <c r="F30" s="28"/>
      <c r="G30" s="28"/>
      <c r="H30" s="28"/>
      <c r="I30" s="28"/>
      <c r="J30" s="28"/>
      <c r="K30" s="28"/>
      <c r="L30" s="28"/>
      <c r="M30" s="28"/>
      <c r="N30" s="28"/>
      <c r="O30" s="28"/>
      <c r="P30" s="28"/>
      <c r="Q30" s="28"/>
      <c r="R30" s="28"/>
      <c r="S30" s="28"/>
    </row>
    <row r="31" spans="1:19" x14ac:dyDescent="0.25">
      <c r="D31" t="s">
        <v>74</v>
      </c>
      <c r="E31" s="28">
        <f>'BS items'!E36</f>
        <v>3985.09</v>
      </c>
      <c r="F31" s="28">
        <f>'BS items'!F36</f>
        <v>4235.13</v>
      </c>
      <c r="G31" s="28">
        <f>'BS items'!G36</f>
        <v>4899.84</v>
      </c>
      <c r="H31" s="28">
        <f>'BS items'!H36</f>
        <v>4544.37</v>
      </c>
      <c r="I31" s="28">
        <f>'BS items'!I36</f>
        <v>4990.6099999999997</v>
      </c>
      <c r="J31" s="28">
        <f>'BS items'!J36</f>
        <v>5414.5007398359348</v>
      </c>
      <c r="K31" s="28">
        <f>'BS items'!K36</f>
        <v>5874.3957675883084</v>
      </c>
      <c r="L31" s="28">
        <f>'BS items'!L36</f>
        <v>6373.3532032549092</v>
      </c>
      <c r="M31" s="28">
        <f>'BS items'!M36</f>
        <v>6914.6909163928722</v>
      </c>
      <c r="N31" s="28">
        <f>'BS items'!N36</f>
        <v>7502.0085886386687</v>
      </c>
      <c r="O31" s="28">
        <f>'BS items'!O36</f>
        <v>8139.2116501669361</v>
      </c>
      <c r="P31" s="28">
        <f>'BS items'!P36</f>
        <v>8830.537249256131</v>
      </c>
      <c r="Q31" s="28">
        <f>'BS items'!Q36</f>
        <v>9580.5824276483454</v>
      </c>
      <c r="R31" s="28">
        <f>'BS items'!R36</f>
        <v>10394.334689058276</v>
      </c>
      <c r="S31" s="28">
        <f>'BS items'!S36</f>
        <v>11277.205164099852</v>
      </c>
    </row>
    <row r="32" spans="1:19" x14ac:dyDescent="0.25">
      <c r="D32" t="s">
        <v>88</v>
      </c>
      <c r="E32" s="28">
        <f>'BS items'!E38</f>
        <v>0</v>
      </c>
      <c r="F32" s="28">
        <f>'BS items'!F38</f>
        <v>0</v>
      </c>
      <c r="G32" s="28">
        <f>'BS items'!G38</f>
        <v>117.76</v>
      </c>
      <c r="H32" s="28">
        <f>'BS items'!H38</f>
        <v>146.31</v>
      </c>
      <c r="I32" s="28">
        <f>'BS items'!I38</f>
        <v>162.44999999999999</v>
      </c>
      <c r="J32" s="28">
        <f>'BS items'!J38</f>
        <v>162.67234185236083</v>
      </c>
      <c r="K32" s="28">
        <f>'BS items'!K38</f>
        <v>162.89498801927576</v>
      </c>
      <c r="L32" s="28">
        <f>'BS items'!L38</f>
        <v>163.11793891725361</v>
      </c>
      <c r="M32" s="28">
        <f>'BS items'!M38</f>
        <v>163.34119496337328</v>
      </c>
      <c r="N32" s="28">
        <f>'BS items'!N38</f>
        <v>163.56475657528458</v>
      </c>
      <c r="O32" s="28">
        <f>'BS items'!O38</f>
        <v>163.78862417120885</v>
      </c>
      <c r="P32" s="28">
        <f>'BS items'!P38</f>
        <v>164.01279816993988</v>
      </c>
      <c r="Q32" s="28">
        <f>'BS items'!Q38</f>
        <v>164.23727899084471</v>
      </c>
      <c r="R32" s="28">
        <f>'BS items'!R38</f>
        <v>164.46206705386427</v>
      </c>
      <c r="S32" s="28">
        <f>'BS items'!S38</f>
        <v>164.6871627795143</v>
      </c>
    </row>
    <row r="33" spans="1:19" x14ac:dyDescent="0.25">
      <c r="D33" t="s">
        <v>81</v>
      </c>
      <c r="E33" s="28">
        <f>'Working Capital Build up'!F12</f>
        <v>3501.43</v>
      </c>
      <c r="F33" s="28">
        <f>'Working Capital Build up'!G12</f>
        <v>4699.28</v>
      </c>
      <c r="G33" s="28">
        <f>'Working Capital Build up'!H12</f>
        <v>5862.83</v>
      </c>
      <c r="H33" s="28">
        <f>'Working Capital Build up'!I12</f>
        <v>7209.2999999999993</v>
      </c>
      <c r="I33" s="28">
        <f>'Working Capital Build up'!J12</f>
        <v>8478.33</v>
      </c>
      <c r="J33" s="28">
        <f>'Working Capital Build up'!K12</f>
        <v>8610.5847725738113</v>
      </c>
      <c r="K33" s="28">
        <f>'Working Capital Build up'!L12</f>
        <v>9817.6680589617863</v>
      </c>
      <c r="L33" s="28">
        <f>'Working Capital Build up'!M12</f>
        <v>11193.967501831739</v>
      </c>
      <c r="M33" s="28">
        <f>'Working Capital Build up'!N12</f>
        <v>12763.204834337823</v>
      </c>
      <c r="N33" s="28">
        <f>'Working Capital Build up'!O12</f>
        <v>14552.427244103414</v>
      </c>
      <c r="O33" s="28">
        <f>'Working Capital Build up'!P12</f>
        <v>16592.473555323169</v>
      </c>
      <c r="P33" s="28">
        <f>'Working Capital Build up'!Q12</f>
        <v>18918.505763061166</v>
      </c>
      <c r="Q33" s="28">
        <f>'Working Capital Build up'!R12</f>
        <v>21570.615081206779</v>
      </c>
      <c r="R33" s="28">
        <f>'Working Capital Build up'!S12</f>
        <v>24594.512949858748</v>
      </c>
      <c r="S33" s="28">
        <f>'Working Capital Build up'!T12</f>
        <v>28042.318912258332</v>
      </c>
    </row>
    <row r="34" spans="1:19" x14ac:dyDescent="0.25">
      <c r="D34" t="s">
        <v>75</v>
      </c>
      <c r="E34" s="28">
        <f>'BS items'!E40</f>
        <v>3993.72</v>
      </c>
      <c r="F34" s="28">
        <f>'BS items'!F40</f>
        <v>5578.98</v>
      </c>
      <c r="G34" s="28">
        <f>'BS items'!G40</f>
        <v>3608.55</v>
      </c>
      <c r="H34" s="28">
        <f>'BS items'!H40</f>
        <v>4783.5600000000004</v>
      </c>
      <c r="I34" s="28">
        <f>'BS items'!I40</f>
        <v>5326.92</v>
      </c>
      <c r="J34" s="28">
        <f>'BS items'!J40</f>
        <v>5794.532974161687</v>
      </c>
      <c r="K34" s="28">
        <f>'BS items'!K40</f>
        <v>6303.194414154349</v>
      </c>
      <c r="L34" s="28">
        <f>'BS items'!L40</f>
        <v>6856.5076771134409</v>
      </c>
      <c r="M34" s="28">
        <f>'BS items'!M40</f>
        <v>7458.3924336439422</v>
      </c>
      <c r="N34" s="28">
        <f>'BS items'!N40</f>
        <v>8113.1124347630257</v>
      </c>
      <c r="O34" s="28">
        <f>'BS items'!O40</f>
        <v>8825.3057163080284</v>
      </c>
      <c r="P34" s="28">
        <f>'BS items'!P40</f>
        <v>9600.0174547777133</v>
      </c>
      <c r="Q34" s="28">
        <f>'BS items'!Q40</f>
        <v>10442.735707357575</v>
      </c>
      <c r="R34" s="28">
        <f>'BS items'!R40</f>
        <v>11359.430289311485</v>
      </c>
      <c r="S34" s="28">
        <f>'BS items'!S40</f>
        <v>12356.595064147094</v>
      </c>
    </row>
    <row r="35" spans="1:19" x14ac:dyDescent="0.25">
      <c r="D35" t="s">
        <v>82</v>
      </c>
      <c r="E35" s="28">
        <f>'BS items'!E42</f>
        <v>3512.31</v>
      </c>
      <c r="F35" s="28">
        <f>'BS items'!F42</f>
        <v>4600.78</v>
      </c>
      <c r="G35" s="28">
        <f>'BS items'!G42</f>
        <v>4890.9399999999996</v>
      </c>
      <c r="H35" s="28">
        <f>'BS items'!H42</f>
        <v>5177.3999999999996</v>
      </c>
      <c r="I35" s="28">
        <f>'BS items'!I42</f>
        <v>5706.68</v>
      </c>
      <c r="J35" s="28">
        <f>'BS items'!J42</f>
        <v>6210.670790595118</v>
      </c>
      <c r="K35" s="28">
        <f>'BS items'!K42</f>
        <v>6759.1720000335372</v>
      </c>
      <c r="L35" s="28">
        <f>'BS items'!L42</f>
        <v>7356.114607655707</v>
      </c>
      <c r="M35" s="28">
        <f>'BS items'!M42</f>
        <v>8005.7767609253306</v>
      </c>
      <c r="N35" s="28">
        <f>'BS items'!N42</f>
        <v>8712.8144359074176</v>
      </c>
      <c r="O35" s="28">
        <f>'BS items'!O42</f>
        <v>9482.2948055551878</v>
      </c>
      <c r="P35" s="28">
        <f>'BS items'!P42</f>
        <v>10319.732554948485</v>
      </c>
      <c r="Q35" s="28">
        <f>'BS items'!Q42</f>
        <v>11231.129403746501</v>
      </c>
      <c r="R35" s="28">
        <f>'BS items'!R42</f>
        <v>12223.017119102939</v>
      </c>
      <c r="S35" s="28">
        <f>'BS items'!S42</f>
        <v>13302.50432730707</v>
      </c>
    </row>
    <row r="36" spans="1:19" x14ac:dyDescent="0.25">
      <c r="D36" t="s">
        <v>76</v>
      </c>
      <c r="E36" s="28">
        <f>'BS items'!E44</f>
        <v>548.05999999999995</v>
      </c>
      <c r="F36" s="28">
        <f>'BS items'!F44</f>
        <v>521.85</v>
      </c>
      <c r="G36" s="28">
        <f>'BS items'!G44</f>
        <v>247.98</v>
      </c>
      <c r="H36" s="28">
        <f>'BS items'!H44</f>
        <v>204.43</v>
      </c>
      <c r="I36" s="28">
        <f>'BS items'!I44</f>
        <v>257.5</v>
      </c>
      <c r="J36" s="28">
        <f>'BS items'!J44</f>
        <v>259.36722317117147</v>
      </c>
      <c r="K36" s="28">
        <f>'BS items'!K44</f>
        <v>261.24798623504569</v>
      </c>
      <c r="L36" s="28">
        <f>'BS items'!L44</f>
        <v>263.14238737415235</v>
      </c>
      <c r="M36" s="28">
        <f>'BS items'!M44</f>
        <v>265.05052548297715</v>
      </c>
      <c r="N36" s="28">
        <f>'BS items'!N44</f>
        <v>266.97250017312467</v>
      </c>
      <c r="O36" s="28">
        <f>'BS items'!O44</f>
        <v>268.9084117785182</v>
      </c>
      <c r="P36" s="28">
        <f>'BS items'!P44</f>
        <v>270.85836136063767</v>
      </c>
      <c r="Q36" s="28">
        <f>'BS items'!Q44</f>
        <v>272.82245071379538</v>
      </c>
      <c r="R36" s="28">
        <f>'BS items'!R44</f>
        <v>274.80078237045007</v>
      </c>
      <c r="S36" s="28">
        <f>'BS items'!S44</f>
        <v>276.7934596065594</v>
      </c>
    </row>
    <row r="37" spans="1:19" x14ac:dyDescent="0.25">
      <c r="C37" s="1"/>
      <c r="D37" t="s">
        <v>83</v>
      </c>
      <c r="E37" s="28">
        <f>'BS items'!E46</f>
        <v>601.14</v>
      </c>
      <c r="F37" s="28">
        <f>'BS items'!F46</f>
        <v>711.74</v>
      </c>
      <c r="G37" s="28">
        <f>'BS items'!G46</f>
        <v>527.29</v>
      </c>
      <c r="H37" s="28">
        <f>'BS items'!H46</f>
        <v>1366.42</v>
      </c>
      <c r="I37" s="28">
        <f>'BS items'!I46</f>
        <v>1983.47</v>
      </c>
      <c r="J37" s="28">
        <f>'BS items'!J46</f>
        <v>2019.0883173720113</v>
      </c>
      <c r="K37" s="28">
        <f>'BS items'!K46</f>
        <v>2055.3462534589075</v>
      </c>
      <c r="L37" s="28">
        <f>'BS items'!L46</f>
        <v>2092.2552942636958</v>
      </c>
      <c r="M37" s="28">
        <f>'BS items'!M46</f>
        <v>2129.8271320501785</v>
      </c>
      <c r="N37" s="28">
        <f>'BS items'!N46</f>
        <v>2168.0736690468984</v>
      </c>
      <c r="O37" s="28">
        <f>'BS items'!O46</f>
        <v>2207.007021217596</v>
      </c>
      <c r="P37" s="28">
        <f>'BS items'!P46</f>
        <v>2246.6395220993768</v>
      </c>
      <c r="Q37" s="28">
        <f>'BS items'!Q46</f>
        <v>2286.9837267098014</v>
      </c>
      <c r="R37" s="28">
        <f>'BS items'!R46</f>
        <v>2328.0524155241392</v>
      </c>
      <c r="S37" s="28">
        <f>'BS items'!S46</f>
        <v>2369.8585985240416</v>
      </c>
    </row>
    <row r="38" spans="1:19" x14ac:dyDescent="0.25">
      <c r="A38" s="1"/>
      <c r="B38" s="1"/>
      <c r="C38" s="1" t="s">
        <v>216</v>
      </c>
      <c r="D38" s="8"/>
      <c r="E38" s="151">
        <f>SUM(E31:E37)</f>
        <v>16141.749999999998</v>
      </c>
      <c r="F38" s="151">
        <f t="shared" ref="F38:S38" si="4">SUM(F31:F37)</f>
        <v>20347.759999999998</v>
      </c>
      <c r="G38" s="151">
        <f t="shared" si="4"/>
        <v>20155.189999999999</v>
      </c>
      <c r="H38" s="151">
        <f t="shared" si="4"/>
        <v>23431.79</v>
      </c>
      <c r="I38" s="151">
        <f t="shared" si="4"/>
        <v>26905.96</v>
      </c>
      <c r="J38" s="151">
        <f t="shared" si="4"/>
        <v>28471.417159562094</v>
      </c>
      <c r="K38" s="151">
        <f t="shared" si="4"/>
        <v>31233.919468451211</v>
      </c>
      <c r="L38" s="151">
        <f t="shared" si="4"/>
        <v>34298.458610410897</v>
      </c>
      <c r="M38" s="151">
        <f t="shared" si="4"/>
        <v>37700.283797796495</v>
      </c>
      <c r="N38" s="151">
        <f t="shared" si="4"/>
        <v>41478.973629207838</v>
      </c>
      <c r="O38" s="151">
        <f t="shared" si="4"/>
        <v>45678.989784520643</v>
      </c>
      <c r="P38" s="151">
        <f t="shared" si="4"/>
        <v>50350.30370367346</v>
      </c>
      <c r="Q38" s="151">
        <f t="shared" si="4"/>
        <v>55549.106076373646</v>
      </c>
      <c r="R38" s="151">
        <f t="shared" si="4"/>
        <v>61338.610312279896</v>
      </c>
      <c r="S38" s="151">
        <f t="shared" si="4"/>
        <v>67789.962688722459</v>
      </c>
    </row>
    <row r="39" spans="1:19" x14ac:dyDescent="0.25">
      <c r="C39" s="1"/>
      <c r="D39" t="s">
        <v>85</v>
      </c>
      <c r="E39" s="28">
        <f>'Balance sheet Historical'!E64</f>
        <v>489</v>
      </c>
      <c r="F39" s="28">
        <f>'Balance sheet Historical'!F64</f>
        <v>243.96</v>
      </c>
      <c r="G39" s="28">
        <f>'Balance sheet Historical'!G64</f>
        <v>0</v>
      </c>
      <c r="H39" s="28">
        <f>'Balance sheet Historical'!H64</f>
        <v>0</v>
      </c>
      <c r="I39" s="28">
        <f>'Balance sheet Historical'!I64</f>
        <v>0</v>
      </c>
      <c r="J39" s="28">
        <f>'Balance sheet Historical'!J64</f>
        <v>0</v>
      </c>
      <c r="K39" s="28">
        <f>'Balance sheet Historical'!K64</f>
        <v>0</v>
      </c>
      <c r="L39" s="28">
        <f>'Balance sheet Historical'!L64</f>
        <v>0</v>
      </c>
      <c r="M39" s="28">
        <f>'Balance sheet Historical'!M64</f>
        <v>0</v>
      </c>
      <c r="N39" s="28">
        <f>'Balance sheet Historical'!N64</f>
        <v>0</v>
      </c>
      <c r="O39" s="28">
        <f>'Balance sheet Historical'!O64</f>
        <v>0</v>
      </c>
      <c r="P39" s="28">
        <f>'Balance sheet Historical'!P64</f>
        <v>0</v>
      </c>
      <c r="Q39" s="28">
        <f>'Balance sheet Historical'!Q64</f>
        <v>0</v>
      </c>
      <c r="R39" s="28">
        <f>'Balance sheet Historical'!R64</f>
        <v>0</v>
      </c>
      <c r="S39" s="28">
        <f>'Balance sheet Historical'!S64</f>
        <v>0</v>
      </c>
    </row>
    <row r="40" spans="1:19" x14ac:dyDescent="0.25">
      <c r="E40" s="28"/>
      <c r="F40" s="28"/>
      <c r="G40" s="28"/>
      <c r="H40" s="28"/>
      <c r="I40" s="28"/>
      <c r="J40" s="28"/>
      <c r="K40" s="28"/>
      <c r="L40" s="28"/>
      <c r="M40" s="28"/>
      <c r="N40" s="28"/>
      <c r="O40" s="28"/>
      <c r="P40" s="28"/>
      <c r="Q40" s="28"/>
      <c r="R40" s="28"/>
      <c r="S40" s="28"/>
    </row>
    <row r="41" spans="1:19" x14ac:dyDescent="0.25">
      <c r="A41" s="1"/>
      <c r="B41" s="1"/>
      <c r="C41" s="1"/>
      <c r="D41" s="5" t="s">
        <v>217</v>
      </c>
      <c r="E41" s="30">
        <f>E39+E38+E27</f>
        <v>40214.129999999997</v>
      </c>
      <c r="F41" s="30">
        <f t="shared" ref="F41:S41" si="5">F39+F38+F27</f>
        <v>42003.11</v>
      </c>
      <c r="G41" s="30">
        <f t="shared" si="5"/>
        <v>33395.58</v>
      </c>
      <c r="H41" s="30">
        <f t="shared" si="5"/>
        <v>37006.79</v>
      </c>
      <c r="I41" s="30">
        <f t="shared" si="5"/>
        <v>40518.589999999997</v>
      </c>
      <c r="J41" s="30">
        <f t="shared" si="5"/>
        <v>43859.067450829934</v>
      </c>
      <c r="K41" s="30">
        <f t="shared" si="5"/>
        <v>48678.748258939522</v>
      </c>
      <c r="L41" s="30">
        <f t="shared" si="5"/>
        <v>54130.93472654534</v>
      </c>
      <c r="M41" s="30">
        <f t="shared" si="5"/>
        <v>60307.867587025365</v>
      </c>
      <c r="N41" s="30">
        <f t="shared" si="5"/>
        <v>67316.408794159302</v>
      </c>
      <c r="O41" s="30">
        <f t="shared" si="5"/>
        <v>75280.511250703144</v>
      </c>
      <c r="P41" s="30">
        <f t="shared" si="5"/>
        <v>84344.125127598003</v>
      </c>
      <c r="Q41" s="30">
        <f t="shared" si="5"/>
        <v>94674.620407111055</v>
      </c>
      <c r="R41" s="30">
        <f t="shared" si="5"/>
        <v>106466.82011914774</v>
      </c>
      <c r="S41" s="30">
        <f t="shared" si="5"/>
        <v>119947.75637973432</v>
      </c>
    </row>
    <row r="42" spans="1:19" x14ac:dyDescent="0.25">
      <c r="E42" s="28"/>
      <c r="F42" s="28"/>
      <c r="G42" s="28"/>
      <c r="H42" s="28"/>
      <c r="I42" s="28"/>
      <c r="J42" s="28"/>
      <c r="K42" s="28"/>
      <c r="L42" s="28"/>
      <c r="M42" s="28"/>
      <c r="N42" s="28"/>
      <c r="O42" s="28"/>
      <c r="P42" s="28"/>
      <c r="Q42" s="28"/>
      <c r="R42" s="28"/>
      <c r="S42" s="28"/>
    </row>
    <row r="43" spans="1:19" x14ac:dyDescent="0.25">
      <c r="E43" s="28"/>
      <c r="F43" s="28"/>
      <c r="G43" s="28"/>
      <c r="H43" s="28"/>
      <c r="I43" s="28"/>
      <c r="J43" s="28"/>
      <c r="K43" s="28"/>
      <c r="L43" s="28"/>
      <c r="M43" s="28"/>
      <c r="N43" s="28"/>
      <c r="O43" s="28"/>
      <c r="P43" s="28"/>
      <c r="Q43" s="28"/>
      <c r="R43" s="28"/>
      <c r="S43" s="28"/>
    </row>
    <row r="44" spans="1:19" x14ac:dyDescent="0.25">
      <c r="A44" s="1"/>
      <c r="B44" s="1"/>
      <c r="C44" s="1"/>
      <c r="D44" s="5" t="s">
        <v>218</v>
      </c>
      <c r="E44" s="30">
        <f>E41+E16</f>
        <v>79337.12999999999</v>
      </c>
      <c r="F44" s="30">
        <f t="shared" ref="F44:S44" si="6">F41+F16</f>
        <v>86183.510000000009</v>
      </c>
      <c r="G44" s="30">
        <f t="shared" si="6"/>
        <v>83827.790000000008</v>
      </c>
      <c r="H44" s="30">
        <f t="shared" si="6"/>
        <v>91386.959999999992</v>
      </c>
      <c r="I44" s="30">
        <f t="shared" si="6"/>
        <v>100802.01000000001</v>
      </c>
      <c r="J44" s="30">
        <f t="shared" si="6"/>
        <v>110105.49502207569</v>
      </c>
      <c r="K44" s="30">
        <f t="shared" si="6"/>
        <v>122618.63544321824</v>
      </c>
      <c r="L44" s="30">
        <f t="shared" si="6"/>
        <v>136908.36723831572</v>
      </c>
      <c r="M44" s="30">
        <f t="shared" si="6"/>
        <v>153254.19143845234</v>
      </c>
      <c r="N44" s="30">
        <f t="shared" si="6"/>
        <v>171990.31148986291</v>
      </c>
      <c r="O44" s="30">
        <f t="shared" si="6"/>
        <v>193497.26030357802</v>
      </c>
      <c r="P44" s="30">
        <f t="shared" si="6"/>
        <v>218209.21391544014</v>
      </c>
      <c r="Q44" s="30">
        <f t="shared" si="6"/>
        <v>246622.42581373372</v>
      </c>
      <c r="R44" s="30">
        <f t="shared" si="6"/>
        <v>279306.42789722781</v>
      </c>
      <c r="S44" s="30">
        <f t="shared" si="6"/>
        <v>316914.76736059971</v>
      </c>
    </row>
    <row r="46" spans="1:19" x14ac:dyDescent="0.25">
      <c r="D46" s="1" t="s">
        <v>214</v>
      </c>
    </row>
    <row r="48" spans="1:19" x14ac:dyDescent="0.25">
      <c r="D48" s="1" t="s">
        <v>219</v>
      </c>
      <c r="E48" s="6"/>
    </row>
    <row r="49" spans="2:19" x14ac:dyDescent="0.25">
      <c r="D49" t="s">
        <v>210</v>
      </c>
      <c r="E49" s="26">
        <f>FAS!G308</f>
        <v>57925.18</v>
      </c>
      <c r="F49" s="26">
        <f>FAS!H308</f>
        <v>57127.090000000004</v>
      </c>
      <c r="G49" s="26">
        <f>FAS!I308</f>
        <v>60302.409999999974</v>
      </c>
      <c r="H49" s="26">
        <f>FAS!J308</f>
        <v>64495.399999999987</v>
      </c>
      <c r="I49" s="26">
        <f>FAS!K308</f>
        <v>70657.73</v>
      </c>
      <c r="J49" s="26">
        <f>FAS!L308</f>
        <v>79408.682244099924</v>
      </c>
      <c r="K49" s="26">
        <f>FAS!M308</f>
        <v>88211.312440199879</v>
      </c>
      <c r="L49" s="26">
        <f>FAS!N308</f>
        <v>97138.8852583798</v>
      </c>
      <c r="M49" s="26">
        <f>FAS!O308</f>
        <v>106194.84586592297</v>
      </c>
      <c r="N49" s="26">
        <f>FAS!P308</f>
        <v>115384.09752928383</v>
      </c>
      <c r="O49" s="26">
        <f>FAS!Q308</f>
        <v>124713.28951655116</v>
      </c>
      <c r="P49" s="26">
        <f>FAS!R308</f>
        <v>134187.36811170832</v>
      </c>
      <c r="Q49" s="26">
        <f>FAS!S308</f>
        <v>143812.26267230368</v>
      </c>
      <c r="R49" s="26">
        <f>FAS!T308</f>
        <v>153593.80891843379</v>
      </c>
      <c r="S49" s="26">
        <f>FAS!U308</f>
        <v>163538.34712281518</v>
      </c>
    </row>
    <row r="50" spans="2:19" x14ac:dyDescent="0.25">
      <c r="D50" t="s">
        <v>47</v>
      </c>
      <c r="E50" s="26">
        <f>'BS items'!E54</f>
        <v>1661.8</v>
      </c>
      <c r="F50" s="26">
        <f>'BS items'!F54</f>
        <v>1255.44</v>
      </c>
      <c r="G50" s="26">
        <f>'BS items'!G54</f>
        <v>1342.26</v>
      </c>
      <c r="H50" s="26">
        <f>'BS items'!H54</f>
        <v>584.34</v>
      </c>
      <c r="I50" s="26">
        <f>'BS items'!I54</f>
        <v>1795.21</v>
      </c>
      <c r="J50" s="26">
        <f>'BS items'!J54</f>
        <v>1841.0221022784776</v>
      </c>
      <c r="K50" s="26">
        <f>'BS items'!K54</f>
        <v>1888.0032871239939</v>
      </c>
      <c r="L50" s="26">
        <f>'BS items'!L54</f>
        <v>1936.1833884446339</v>
      </c>
      <c r="M50" s="26">
        <f>'BS items'!M54</f>
        <v>1985.5930014822811</v>
      </c>
      <c r="N50" s="26">
        <f>'BS items'!N54</f>
        <v>2036.2635022411537</v>
      </c>
      <c r="O50" s="26">
        <f>'BS items'!O54</f>
        <v>2088.2270674121378</v>
      </c>
      <c r="P50" s="26">
        <f>'BS items'!P54</f>
        <v>2141.5166948055735</v>
      </c>
      <c r="Q50" s="26">
        <f>'BS items'!Q54</f>
        <v>2196.1662243054648</v>
      </c>
      <c r="R50" s="26">
        <f>'BS items'!R54</f>
        <v>2252.210359358422</v>
      </c>
      <c r="S50" s="26">
        <f>'BS items'!S54</f>
        <v>2309.6846890109832</v>
      </c>
    </row>
    <row r="51" spans="2:19" x14ac:dyDescent="0.25">
      <c r="D51" t="s">
        <v>48</v>
      </c>
      <c r="E51" s="26">
        <f>'BS items'!E56</f>
        <v>1231.67</v>
      </c>
      <c r="F51" s="26">
        <f>'BS items'!F56</f>
        <v>167.14</v>
      </c>
      <c r="G51" s="26">
        <f>'BS items'!G56</f>
        <v>9.59</v>
      </c>
      <c r="H51" s="26">
        <f>'BS items'!H56</f>
        <v>9.2200000000000006</v>
      </c>
      <c r="I51" s="26">
        <f>'BS items'!I56</f>
        <v>8.31</v>
      </c>
      <c r="J51" s="26">
        <f>'BS items'!J56</f>
        <v>8.3655455010786088</v>
      </c>
      <c r="K51" s="26">
        <f>'BS items'!K56</f>
        <v>8.4214622780525321</v>
      </c>
      <c r="L51" s="26">
        <f>'BS items'!L56</f>
        <v>8.4777528125951331</v>
      </c>
      <c r="M51" s="26">
        <f>'BS items'!M56</f>
        <v>8.5344196029677164</v>
      </c>
      <c r="N51" s="26">
        <f>'BS items'!N56</f>
        <v>8.591465164130403</v>
      </c>
      <c r="O51" s="26">
        <f>'BS items'!O56</f>
        <v>8.6488920278537513</v>
      </c>
      <c r="P51" s="26">
        <f>'BS items'!P56</f>
        <v>8.7067027428311174</v>
      </c>
      <c r="Q51" s="26">
        <f>'BS items'!Q56</f>
        <v>8.764899874791773</v>
      </c>
      <c r="R51" s="26">
        <f>'BS items'!R56</f>
        <v>8.8234860066147736</v>
      </c>
      <c r="S51" s="26">
        <f>'BS items'!S56</f>
        <v>8.8824637384435938</v>
      </c>
    </row>
    <row r="52" spans="2:19" x14ac:dyDescent="0.25">
      <c r="D52" t="s">
        <v>49</v>
      </c>
      <c r="E52" s="26">
        <f>'BS items'!E58</f>
        <v>399.76</v>
      </c>
      <c r="F52" s="26">
        <f>'BS items'!F58</f>
        <v>554.58000000000004</v>
      </c>
      <c r="G52" s="26">
        <f>'BS items'!G58</f>
        <v>1109.98</v>
      </c>
      <c r="H52" s="26">
        <f>'BS items'!H58</f>
        <v>1881.11</v>
      </c>
      <c r="I52" s="26">
        <f>'BS items'!I58</f>
        <v>1457.23</v>
      </c>
      <c r="J52" s="26">
        <f>'BS items'!J58</f>
        <v>1484.4186278517836</v>
      </c>
      <c r="K52" s="26">
        <f>'BS items'!K58</f>
        <v>1512.1145342282084</v>
      </c>
      <c r="L52" s="26">
        <f>'BS items'!L58</f>
        <v>1540.3271838033638</v>
      </c>
      <c r="M52" s="26">
        <f>'BS items'!M58</f>
        <v>1569.066217840829</v>
      </c>
      <c r="N52" s="26">
        <f>'BS items'!N58</f>
        <v>1598.3414574884343</v>
      </c>
      <c r="O52" s="26">
        <f>'BS items'!O58</f>
        <v>1628.162907134496</v>
      </c>
      <c r="P52" s="26">
        <f>'BS items'!P58</f>
        <v>1658.5407578266709</v>
      </c>
      <c r="Q52" s="26">
        <f>'BS items'!Q58</f>
        <v>1689.4853907545989</v>
      </c>
      <c r="R52" s="26">
        <f>'BS items'!R58</f>
        <v>1721.0073807975241</v>
      </c>
      <c r="S52" s="26">
        <f>'BS items'!S58</f>
        <v>1753.1175001381064</v>
      </c>
    </row>
    <row r="53" spans="2:19" x14ac:dyDescent="0.25">
      <c r="D53" t="s">
        <v>50</v>
      </c>
      <c r="E53" s="26">
        <f>'BS items'!E60</f>
        <v>279.83</v>
      </c>
      <c r="F53" s="26">
        <f>'BS items'!F60</f>
        <v>314.31</v>
      </c>
      <c r="G53" s="26">
        <f>'BS items'!G60</f>
        <v>479.46</v>
      </c>
      <c r="H53" s="26">
        <f>'BS items'!H60</f>
        <v>401.94</v>
      </c>
      <c r="I53" s="26">
        <f>'BS items'!I60</f>
        <v>456.03</v>
      </c>
      <c r="J53" s="26">
        <f>'BS items'!J60</f>
        <v>459.27445670817212</v>
      </c>
      <c r="K53" s="26">
        <f>'BS items'!K60</f>
        <v>462.5419963260897</v>
      </c>
      <c r="L53" s="26">
        <f>'BS items'!L60</f>
        <v>465.83278307869705</v>
      </c>
      <c r="M53" s="26">
        <f>'BS items'!M60</f>
        <v>469.14698235932809</v>
      </c>
      <c r="N53" s="26">
        <f>'BS items'!N60</f>
        <v>472.48476073801908</v>
      </c>
      <c r="O53" s="26">
        <f>'BS items'!O60</f>
        <v>475.84628596988006</v>
      </c>
      <c r="P53" s="26">
        <f>'BS items'!P60</f>
        <v>479.23172700352649</v>
      </c>
      <c r="Q53" s="26">
        <f>'BS items'!Q60</f>
        <v>482.6412539895702</v>
      </c>
      <c r="R53" s="26">
        <f>'BS items'!R60</f>
        <v>486.07503828917129</v>
      </c>
      <c r="S53" s="26">
        <f>'BS items'!S60</f>
        <v>489.53325248265054</v>
      </c>
    </row>
    <row r="54" spans="2:19" x14ac:dyDescent="0.25">
      <c r="D54" t="s">
        <v>51</v>
      </c>
      <c r="E54" s="26">
        <f>'BS items'!E62</f>
        <v>5.98</v>
      </c>
      <c r="F54" s="26">
        <f>'BS items'!F62</f>
        <v>7.16</v>
      </c>
      <c r="G54" s="26">
        <f>'BS items'!G62</f>
        <v>16.350000000000001</v>
      </c>
      <c r="H54" s="26">
        <f>'BS items'!H62</f>
        <v>6.56</v>
      </c>
      <c r="I54" s="26">
        <f>'BS items'!I62</f>
        <v>4.9000000000000004</v>
      </c>
      <c r="J54" s="26">
        <f>'BS items'!J62</f>
        <v>4.900770009869694</v>
      </c>
      <c r="K54" s="26">
        <f>'BS items'!K62</f>
        <v>4.9015401407424894</v>
      </c>
      <c r="L54" s="26">
        <f>'BS items'!L62</f>
        <v>4.9023103926374016</v>
      </c>
      <c r="M54" s="26">
        <f>'BS items'!M62</f>
        <v>4.9030807655734492</v>
      </c>
      <c r="N54" s="26">
        <f>'BS items'!N62</f>
        <v>4.9038512595696524</v>
      </c>
      <c r="O54" s="26">
        <f>'BS items'!O62</f>
        <v>4.9046218746450352</v>
      </c>
      <c r="P54" s="26">
        <f>'BS items'!P62</f>
        <v>4.905392610818625</v>
      </c>
      <c r="Q54" s="26">
        <f>'BS items'!Q62</f>
        <v>4.9061634681094519</v>
      </c>
      <c r="R54" s="26">
        <f>'BS items'!R62</f>
        <v>4.9069344465365488</v>
      </c>
      <c r="S54" s="26">
        <f>'BS items'!S62</f>
        <v>4.9077055461189509</v>
      </c>
    </row>
    <row r="55" spans="2:19" x14ac:dyDescent="0.25">
      <c r="D55" t="s">
        <v>52</v>
      </c>
      <c r="E55" s="26">
        <f>'BS items'!E64</f>
        <v>2825.54</v>
      </c>
      <c r="F55" s="26">
        <f>'BS items'!F64</f>
        <v>2707.5</v>
      </c>
      <c r="G55" s="26">
        <f>'BS items'!G64</f>
        <v>3078.27</v>
      </c>
      <c r="H55" s="26">
        <f>'BS items'!H64</f>
        <v>3265.49</v>
      </c>
      <c r="I55" s="26">
        <f>'BS items'!I64</f>
        <v>3264.23</v>
      </c>
      <c r="J55" s="26">
        <f>'BS items'!J64</f>
        <v>3449.5113441472913</v>
      </c>
      <c r="K55" s="26">
        <f>'BS items'!K64</f>
        <v>3645.309464529415</v>
      </c>
      <c r="L55" s="26">
        <f>'BS items'!L64</f>
        <v>3852.2213051230165</v>
      </c>
      <c r="M55" s="26">
        <f>'BS items'!M64</f>
        <v>4070.8776931122284</v>
      </c>
      <c r="N55" s="26">
        <f>'BS items'!N64</f>
        <v>4301.9452621374066</v>
      </c>
      <c r="O55" s="26">
        <f>'BS items'!O64</f>
        <v>4546.1284847096176</v>
      </c>
      <c r="P55" s="26">
        <f>'BS items'!P64</f>
        <v>4804.1718199872439</v>
      </c>
      <c r="Q55" s="26">
        <f>'BS items'!Q64</f>
        <v>5076.861983462788</v>
      </c>
      <c r="R55" s="26">
        <f>'BS items'!R64</f>
        <v>5365.0303454796394</v>
      </c>
      <c r="S55" s="26">
        <f>'BS items'!S64</f>
        <v>5669.5554658913361</v>
      </c>
    </row>
    <row r="56" spans="2:19" s="1" customFormat="1" x14ac:dyDescent="0.25">
      <c r="B56" s="1" t="s">
        <v>53</v>
      </c>
      <c r="D56" s="8"/>
      <c r="E56" s="158">
        <f>SUM(E49:E55)</f>
        <v>64329.760000000009</v>
      </c>
      <c r="F56" s="158">
        <f t="shared" ref="F56:S56" si="7">SUM(F49:F55)</f>
        <v>62133.220000000008</v>
      </c>
      <c r="G56" s="158">
        <f t="shared" si="7"/>
        <v>66338.319999999978</v>
      </c>
      <c r="H56" s="158">
        <f t="shared" si="7"/>
        <v>70644.059999999983</v>
      </c>
      <c r="I56" s="158">
        <f t="shared" si="7"/>
        <v>77643.639999999985</v>
      </c>
      <c r="J56" s="158">
        <f t="shared" si="7"/>
        <v>86656.175090596604</v>
      </c>
      <c r="K56" s="158">
        <f t="shared" si="7"/>
        <v>95732.604724826393</v>
      </c>
      <c r="L56" s="158">
        <f t="shared" si="7"/>
        <v>104946.82998203476</v>
      </c>
      <c r="M56" s="158">
        <f t="shared" si="7"/>
        <v>114302.96726108616</v>
      </c>
      <c r="N56" s="158">
        <f t="shared" si="7"/>
        <v>123806.62782831256</v>
      </c>
      <c r="O56" s="158">
        <f t="shared" si="7"/>
        <v>133465.2077756798</v>
      </c>
      <c r="P56" s="158">
        <f t="shared" si="7"/>
        <v>143284.44120668501</v>
      </c>
      <c r="Q56" s="158">
        <f t="shared" si="7"/>
        <v>153271.08858815901</v>
      </c>
      <c r="R56" s="158">
        <f t="shared" si="7"/>
        <v>163431.86246281172</v>
      </c>
      <c r="S56" s="158">
        <f t="shared" si="7"/>
        <v>173774.02819962284</v>
      </c>
    </row>
    <row r="58" spans="2:19" x14ac:dyDescent="0.25">
      <c r="C58" s="1" t="s">
        <v>54</v>
      </c>
    </row>
    <row r="59" spans="2:19" x14ac:dyDescent="0.25">
      <c r="D59" t="s">
        <v>55</v>
      </c>
      <c r="E59" s="28">
        <f>'Working Capital Build up'!F10</f>
        <v>4148.3100000000004</v>
      </c>
      <c r="F59" s="28">
        <f>'Working Capital Build up'!G10</f>
        <v>4017.97</v>
      </c>
      <c r="G59" s="28">
        <f>'Working Capital Build up'!H10</f>
        <v>5595.58</v>
      </c>
      <c r="H59" s="28">
        <f>'Working Capital Build up'!I10</f>
        <v>6611.83</v>
      </c>
      <c r="I59" s="28">
        <f>'Working Capital Build up'!J10</f>
        <v>8329.74</v>
      </c>
      <c r="J59" s="28">
        <f>'Working Capital Build up'!K10</f>
        <v>8354.8607472648746</v>
      </c>
      <c r="K59" s="28">
        <f>'Working Capital Build up'!L10</f>
        <v>9526.0951099117483</v>
      </c>
      <c r="L59" s="28">
        <f>'Working Capital Build up'!M10</f>
        <v>10861.520112443786</v>
      </c>
      <c r="M59" s="28">
        <f>'Working Capital Build up'!N10</f>
        <v>12384.152981033354</v>
      </c>
      <c r="N59" s="28">
        <f>'Working Capital Build up'!O10</f>
        <v>14120.237634318621</v>
      </c>
      <c r="O59" s="28">
        <f>'Working Capital Build up'!P10</f>
        <v>16099.697020457115</v>
      </c>
      <c r="P59" s="28">
        <f>'Working Capital Build up'!Q10</f>
        <v>18356.648865493662</v>
      </c>
      <c r="Q59" s="28">
        <f>'Working Capital Build up'!R10</f>
        <v>20929.993722419902</v>
      </c>
      <c r="R59" s="28">
        <f>'Working Capital Build up'!S10</f>
        <v>23864.085456469049</v>
      </c>
      <c r="S59" s="28">
        <f>'Working Capital Build up'!T10</f>
        <v>27209.495723050466</v>
      </c>
    </row>
    <row r="60" spans="2:19" x14ac:dyDescent="0.25">
      <c r="C60" s="1" t="s">
        <v>46</v>
      </c>
    </row>
    <row r="61" spans="2:19" x14ac:dyDescent="0.25">
      <c r="D61" t="s">
        <v>47</v>
      </c>
      <c r="E61" s="28">
        <f>'BS items'!E71</f>
        <v>4243.6899999999996</v>
      </c>
      <c r="F61" s="28">
        <f>'BS items'!F71</f>
        <v>10893.87</v>
      </c>
      <c r="G61" s="28">
        <f>'BS items'!G71</f>
        <v>4963.34</v>
      </c>
      <c r="H61" s="28">
        <f>'BS items'!H71</f>
        <v>5836.6</v>
      </c>
      <c r="I61" s="28">
        <f>'BS items'!I71</f>
        <v>5484.8</v>
      </c>
      <c r="J61" s="28">
        <f>'BS items'!J71</f>
        <v>6152.0992120580695</v>
      </c>
      <c r="K61" s="28">
        <f>'BS items'!K71</f>
        <v>6900.5842902212507</v>
      </c>
      <c r="L61" s="28">
        <f>'BS items'!L71</f>
        <v>7740.1325799683573</v>
      </c>
      <c r="M61" s="28">
        <f>'BS items'!M71</f>
        <v>8681.8231378442833</v>
      </c>
      <c r="N61" s="28">
        <f>'BS items'!N71</f>
        <v>9738.0829356693648</v>
      </c>
      <c r="O61" s="28">
        <f>'BS items'!O71</f>
        <v>10922.850852444506</v>
      </c>
      <c r="P61" s="28">
        <f>'BS items'!P71</f>
        <v>12251.761618062947</v>
      </c>
      <c r="Q61" s="28">
        <f>'BS items'!Q71</f>
        <v>13742.352136232561</v>
      </c>
      <c r="R61" s="28">
        <f>'BS items'!R71</f>
        <v>15414.292909338692</v>
      </c>
      <c r="S61" s="28">
        <f>'BS items'!S71</f>
        <v>17289.647619234038</v>
      </c>
    </row>
    <row r="62" spans="2:19" x14ac:dyDescent="0.25">
      <c r="D62" t="s">
        <v>56</v>
      </c>
      <c r="E62" s="28">
        <f>'Working Capital Build up'!F11</f>
        <v>2238.29</v>
      </c>
      <c r="F62" s="28">
        <f>'Working Capital Build up'!G11</f>
        <v>2571.73</v>
      </c>
      <c r="G62" s="28">
        <f>'Working Capital Build up'!H11</f>
        <v>3071.61</v>
      </c>
      <c r="H62" s="28">
        <f>'Working Capital Build up'!I11</f>
        <v>3867.02</v>
      </c>
      <c r="I62" s="28">
        <f>'Working Capital Build up'!J11</f>
        <v>4278.16</v>
      </c>
      <c r="J62" s="28">
        <f>'Working Capital Build up'!K11</f>
        <v>4697.5178150281063</v>
      </c>
      <c r="K62" s="28">
        <f>'Working Capital Build up'!L11</f>
        <v>5356.0439653182757</v>
      </c>
      <c r="L62" s="28">
        <f>'Working Capital Build up'!M11</f>
        <v>6106.886250999918</v>
      </c>
      <c r="M62" s="28">
        <f>'Working Capital Build up'!N11</f>
        <v>6962.9861002150446</v>
      </c>
      <c r="N62" s="28">
        <f>'Working Capital Build up'!O11</f>
        <v>7939.0991479249324</v>
      </c>
      <c r="O62" s="28">
        <f>'Working Capital Build up'!P11</f>
        <v>9052.0495622755534</v>
      </c>
      <c r="P62" s="28">
        <f>'Working Capital Build up'!Q11</f>
        <v>10321.020023954467</v>
      </c>
      <c r="Q62" s="28">
        <f>'Working Capital Build up'!R11</f>
        <v>11767.882356588714</v>
      </c>
      <c r="R62" s="28">
        <f>'Working Capital Build up'!S11</f>
        <v>13417.574506889921</v>
      </c>
      <c r="S62" s="28">
        <f>'Working Capital Build up'!T11</f>
        <v>15298.530372131458</v>
      </c>
    </row>
    <row r="63" spans="2:19" x14ac:dyDescent="0.25">
      <c r="D63" t="s">
        <v>57</v>
      </c>
      <c r="E63" s="28">
        <f>'Balance sheet Historical'!E28</f>
        <v>146.53</v>
      </c>
      <c r="F63" s="28">
        <f>'Balance sheet Historical'!F28</f>
        <v>177.21</v>
      </c>
      <c r="G63" s="28">
        <f>'Balance sheet Historical'!G28</f>
        <v>120.54</v>
      </c>
      <c r="H63" s="28">
        <f>'Balance sheet Historical'!H28</f>
        <v>370.37</v>
      </c>
      <c r="I63" s="28">
        <f>'Balance sheet Historical'!I28</f>
        <v>553.58000000000004</v>
      </c>
      <c r="J63" s="28">
        <f>J44-J56-J59-J61-J62-J64-J65-J66-J67-J68-J70</f>
        <v>-157.20907817242778</v>
      </c>
      <c r="K63" s="28">
        <f t="shared" ref="K63:S63" si="8">K44-K56-K59-K61-K62-K64-K65-K66-K67-K68-K70</f>
        <v>562.5182454183041</v>
      </c>
      <c r="L63" s="28">
        <f t="shared" si="8"/>
        <v>2569.090591569412</v>
      </c>
      <c r="M63" s="28">
        <f t="shared" si="8"/>
        <v>6090.7165420204037</v>
      </c>
      <c r="N63" s="28">
        <f t="shared" si="8"/>
        <v>11402.419042904326</v>
      </c>
      <c r="O63" s="28">
        <f t="shared" si="8"/>
        <v>18816.501702936679</v>
      </c>
      <c r="P63" s="28">
        <f t="shared" si="8"/>
        <v>28692.319453774628</v>
      </c>
      <c r="Q63" s="28">
        <f t="shared" si="8"/>
        <v>41440.899376647489</v>
      </c>
      <c r="R63" s="28">
        <f t="shared" si="8"/>
        <v>57535.936906096926</v>
      </c>
      <c r="S63" s="28">
        <f t="shared" si="8"/>
        <v>77522.477922571212</v>
      </c>
    </row>
    <row r="64" spans="2:19" x14ac:dyDescent="0.25">
      <c r="D64" t="s">
        <v>58</v>
      </c>
      <c r="E64" s="28">
        <f>'Balance sheet Historical'!E29</f>
        <v>392.68</v>
      </c>
      <c r="F64" s="28">
        <f>'Balance sheet Historical'!F29</f>
        <v>1830.34</v>
      </c>
      <c r="G64" s="28">
        <f>'Balance sheet Historical'!G29</f>
        <v>238.64</v>
      </c>
      <c r="H64" s="28">
        <f>'Balance sheet Historical'!H29</f>
        <v>779.22</v>
      </c>
      <c r="I64" s="28">
        <f>'Balance sheet Historical'!I29</f>
        <v>229.63</v>
      </c>
      <c r="J64" s="28">
        <v>0</v>
      </c>
      <c r="K64" s="28">
        <f t="shared" ref="K64:S64" si="9">J64</f>
        <v>0</v>
      </c>
      <c r="L64" s="28">
        <f t="shared" si="9"/>
        <v>0</v>
      </c>
      <c r="M64" s="28">
        <f t="shared" si="9"/>
        <v>0</v>
      </c>
      <c r="N64" s="28">
        <f t="shared" si="9"/>
        <v>0</v>
      </c>
      <c r="O64" s="28">
        <f t="shared" si="9"/>
        <v>0</v>
      </c>
      <c r="P64" s="28">
        <f t="shared" si="9"/>
        <v>0</v>
      </c>
      <c r="Q64" s="28">
        <f t="shared" si="9"/>
        <v>0</v>
      </c>
      <c r="R64" s="28">
        <f t="shared" si="9"/>
        <v>0</v>
      </c>
      <c r="S64" s="28">
        <f t="shared" si="9"/>
        <v>0</v>
      </c>
    </row>
    <row r="65" spans="1:19" x14ac:dyDescent="0.25">
      <c r="D65" t="s">
        <v>48</v>
      </c>
      <c r="E65" s="28">
        <f>'BS items'!E73</f>
        <v>197.73</v>
      </c>
      <c r="F65" s="28">
        <f>'BS items'!F73</f>
        <v>114.65</v>
      </c>
      <c r="G65" s="28">
        <f>'BS items'!G73</f>
        <v>6.86</v>
      </c>
      <c r="H65" s="28">
        <f>'BS items'!H73</f>
        <v>7.67</v>
      </c>
      <c r="I65" s="28">
        <f>'BS items'!I73</f>
        <v>8.91</v>
      </c>
      <c r="J65" s="28">
        <f>'BS items'!J73</f>
        <v>8.923604971808988</v>
      </c>
      <c r="K65" s="28">
        <f>'BS items'!K73</f>
        <v>8.9372307174965311</v>
      </c>
      <c r="L65" s="28">
        <f>'BS items'!L73</f>
        <v>8.9508772687829463</v>
      </c>
      <c r="M65" s="28">
        <f>'BS items'!M73</f>
        <v>8.9645446574369885</v>
      </c>
      <c r="N65" s="28">
        <f>'BS items'!N73</f>
        <v>8.9782329152759157</v>
      </c>
      <c r="O65" s="28">
        <f>'BS items'!O73</f>
        <v>8.9919420741655749</v>
      </c>
      <c r="P65" s="28">
        <f>'BS items'!P73</f>
        <v>9.0056721660204655</v>
      </c>
      <c r="Q65" s="28">
        <f>'BS items'!Q73</f>
        <v>9.0194232228038214</v>
      </c>
      <c r="R65" s="28">
        <f>'BS items'!R73</f>
        <v>9.03319527652768</v>
      </c>
      <c r="S65" s="28">
        <f>'BS items'!S73</f>
        <v>9.0469883592529605</v>
      </c>
    </row>
    <row r="66" spans="1:19" x14ac:dyDescent="0.25">
      <c r="D66" t="s">
        <v>49</v>
      </c>
      <c r="E66" s="28">
        <f>'BS items'!E75</f>
        <v>1060.8800000000001</v>
      </c>
      <c r="F66" s="28">
        <f>'BS items'!F75</f>
        <v>1899.65</v>
      </c>
      <c r="G66" s="28">
        <f>'BS items'!G75</f>
        <v>1871.95</v>
      </c>
      <c r="H66" s="28">
        <f>'BS items'!H75</f>
        <v>1433.82</v>
      </c>
      <c r="I66" s="28">
        <f>'BS items'!I75</f>
        <v>2310.35</v>
      </c>
      <c r="J66" s="28">
        <f>'BS items'!J75</f>
        <v>2383.5888426107808</v>
      </c>
      <c r="K66" s="28">
        <f>'BS items'!K75</f>
        <v>2459.1493802318273</v>
      </c>
      <c r="L66" s="28">
        <f>'BS items'!L75</f>
        <v>2537.1052113462465</v>
      </c>
      <c r="M66" s="28">
        <f>'BS items'!M75</f>
        <v>2617.5322675328762</v>
      </c>
      <c r="N66" s="28">
        <f>'BS items'!N75</f>
        <v>2700.5088874261742</v>
      </c>
      <c r="O66" s="28">
        <f>'BS items'!O75</f>
        <v>2786.1158930206602</v>
      </c>
      <c r="P66" s="28">
        <f>'BS items'!P75</f>
        <v>2874.4366683942339</v>
      </c>
      <c r="Q66" s="28">
        <f>'BS items'!Q75</f>
        <v>2965.5572409270462</v>
      </c>
      <c r="R66" s="28">
        <f>'BS items'!R75</f>
        <v>3059.5663650950373</v>
      </c>
      <c r="S66" s="28">
        <f>'BS items'!S75</f>
        <v>3156.5556089197544</v>
      </c>
    </row>
    <row r="67" spans="1:19" x14ac:dyDescent="0.25">
      <c r="D67" t="s">
        <v>59</v>
      </c>
      <c r="E67" s="28">
        <f>'BS items'!E77</f>
        <v>0.09</v>
      </c>
      <c r="F67" s="28">
        <f>'BS items'!F77</f>
        <v>0.1</v>
      </c>
      <c r="G67" s="28">
        <f>'BS items'!G77</f>
        <v>0.09</v>
      </c>
      <c r="H67" s="28">
        <f>'BS items'!H77</f>
        <v>7.0000000000000007E-2</v>
      </c>
      <c r="I67" s="28">
        <f>'BS items'!I77</f>
        <v>7.0000000000000007E-2</v>
      </c>
      <c r="J67" s="28">
        <f>'BS items'!J77</f>
        <v>7.0000114485073331E-2</v>
      </c>
      <c r="K67" s="28">
        <f>'BS items'!K77</f>
        <v>7.0000228970333894E-2</v>
      </c>
      <c r="L67" s="28">
        <f>'BS items'!L77</f>
        <v>7.0000343455781697E-2</v>
      </c>
      <c r="M67" s="28">
        <f>'BS items'!M77</f>
        <v>7.0000457941416738E-2</v>
      </c>
      <c r="N67" s="28">
        <f>'BS items'!N77</f>
        <v>7.0000572427239019E-2</v>
      </c>
      <c r="O67" s="28">
        <f>'BS items'!O77</f>
        <v>7.0000686913248553E-2</v>
      </c>
      <c r="P67" s="28">
        <f>'BS items'!P77</f>
        <v>7.0000801399445325E-2</v>
      </c>
      <c r="Q67" s="28">
        <f>'BS items'!Q77</f>
        <v>7.0000915885829337E-2</v>
      </c>
      <c r="R67" s="28">
        <f>'BS items'!R77</f>
        <v>7.0001030372400588E-2</v>
      </c>
      <c r="S67" s="28">
        <f>'BS items'!S77</f>
        <v>7.0001144859159092E-2</v>
      </c>
    </row>
    <row r="68" spans="1:19" x14ac:dyDescent="0.25">
      <c r="D68" t="s">
        <v>60</v>
      </c>
      <c r="E68" s="28">
        <f>'BS items'!E79</f>
        <v>1503.38</v>
      </c>
      <c r="F68" s="28">
        <f>'BS items'!F79</f>
        <v>1548.17</v>
      </c>
      <c r="G68" s="28">
        <f>'BS items'!G79</f>
        <v>1611.33</v>
      </c>
      <c r="H68" s="28">
        <f>'BS items'!H79</f>
        <v>1818.28</v>
      </c>
      <c r="I68" s="28">
        <f>'BS items'!I79</f>
        <v>1948.23</v>
      </c>
      <c r="J68" s="28">
        <f>'BS items'!J79</f>
        <v>2009.4687876033868</v>
      </c>
      <c r="K68" s="28">
        <f>'BS items'!K79</f>
        <v>2072.6324963439765</v>
      </c>
      <c r="L68" s="28">
        <f>'BS items'!L79</f>
        <v>2137.7816323410025</v>
      </c>
      <c r="M68" s="28">
        <f>'BS items'!M79</f>
        <v>2204.9786036048431</v>
      </c>
      <c r="N68" s="28">
        <f>'BS items'!N79</f>
        <v>2274.2877798192376</v>
      </c>
      <c r="O68" s="28">
        <f>'BS items'!O79</f>
        <v>2345.7755540026392</v>
      </c>
      <c r="P68" s="28">
        <f>'BS items'!P79</f>
        <v>2419.5104061077727</v>
      </c>
      <c r="Q68" s="28">
        <f>'BS items'!Q79</f>
        <v>2495.5629686203188</v>
      </c>
      <c r="R68" s="28">
        <f>'BS items'!R79</f>
        <v>2574.0060942195637</v>
      </c>
      <c r="S68" s="28">
        <f>'BS items'!S79</f>
        <v>2654.9149255658294</v>
      </c>
    </row>
    <row r="69" spans="1:19" x14ac:dyDescent="0.25">
      <c r="B69" s="1" t="s">
        <v>61</v>
      </c>
      <c r="C69" s="8"/>
      <c r="D69" s="8"/>
      <c r="E69" s="151">
        <f>SUM(E59:E68)</f>
        <v>13931.580000000002</v>
      </c>
      <c r="F69" s="151">
        <f t="shared" ref="F69:S69" si="10">SUM(F59:F68)</f>
        <v>23053.690000000002</v>
      </c>
      <c r="G69" s="151">
        <f t="shared" si="10"/>
        <v>17479.940000000002</v>
      </c>
      <c r="H69" s="151">
        <f t="shared" si="10"/>
        <v>20724.879999999997</v>
      </c>
      <c r="I69" s="151">
        <f t="shared" si="10"/>
        <v>23143.47</v>
      </c>
      <c r="J69" s="151">
        <f t="shared" si="10"/>
        <v>23449.31993147908</v>
      </c>
      <c r="K69" s="151">
        <f t="shared" si="10"/>
        <v>26886.030718391852</v>
      </c>
      <c r="L69" s="151">
        <f t="shared" si="10"/>
        <v>31961.537256280957</v>
      </c>
      <c r="M69" s="151">
        <f t="shared" si="10"/>
        <v>38951.224177366188</v>
      </c>
      <c r="N69" s="151">
        <f t="shared" si="10"/>
        <v>48183.683661550349</v>
      </c>
      <c r="O69" s="151">
        <f t="shared" si="10"/>
        <v>60032.052527898231</v>
      </c>
      <c r="P69" s="151">
        <f t="shared" si="10"/>
        <v>74924.772708755132</v>
      </c>
      <c r="Q69" s="151">
        <f t="shared" si="10"/>
        <v>93351.337225574738</v>
      </c>
      <c r="R69" s="151">
        <f t="shared" si="10"/>
        <v>115874.56543441609</v>
      </c>
      <c r="S69" s="151">
        <f t="shared" si="10"/>
        <v>143140.73916097687</v>
      </c>
    </row>
    <row r="70" spans="1:19" x14ac:dyDescent="0.25">
      <c r="D70" t="s">
        <v>62</v>
      </c>
      <c r="E70" s="28">
        <f>'Balance sheet Historical'!E35</f>
        <v>1075.79</v>
      </c>
      <c r="F70" s="28">
        <f>'Balance sheet Historical'!F35</f>
        <v>996.6</v>
      </c>
      <c r="G70" s="28">
        <f>'Balance sheet Historical'!G35</f>
        <v>9.5299999999999994</v>
      </c>
      <c r="H70" s="28">
        <f>'Balance sheet Historical'!H35</f>
        <v>18.02</v>
      </c>
      <c r="I70" s="28">
        <f>'Balance sheet Historical'!I35</f>
        <v>14.9</v>
      </c>
      <c r="J70" s="28">
        <v>0</v>
      </c>
      <c r="K70" s="28">
        <f t="shared" ref="K70:S70" si="11">J70*(1+4%)</f>
        <v>0</v>
      </c>
      <c r="L70" s="28">
        <f t="shared" si="11"/>
        <v>0</v>
      </c>
      <c r="M70" s="28">
        <f t="shared" si="11"/>
        <v>0</v>
      </c>
      <c r="N70" s="28">
        <f t="shared" si="11"/>
        <v>0</v>
      </c>
      <c r="O70" s="28">
        <f t="shared" si="11"/>
        <v>0</v>
      </c>
      <c r="P70" s="28">
        <f t="shared" si="11"/>
        <v>0</v>
      </c>
      <c r="Q70" s="28">
        <f t="shared" si="11"/>
        <v>0</v>
      </c>
      <c r="R70" s="28">
        <f t="shared" si="11"/>
        <v>0</v>
      </c>
      <c r="S70" s="28">
        <f t="shared" si="11"/>
        <v>0</v>
      </c>
    </row>
    <row r="71" spans="1:19" s="1" customFormat="1" x14ac:dyDescent="0.25">
      <c r="A71" s="5"/>
      <c r="B71" s="5" t="s">
        <v>63</v>
      </c>
      <c r="C71" s="5"/>
      <c r="D71" s="5"/>
      <c r="E71" s="30">
        <f>E70+E69+E56</f>
        <v>79337.13</v>
      </c>
      <c r="F71" s="30">
        <f t="shared" ref="F71:S71" si="12">F70+F69+F56</f>
        <v>86183.510000000009</v>
      </c>
      <c r="G71" s="30">
        <f t="shared" si="12"/>
        <v>83827.789999999979</v>
      </c>
      <c r="H71" s="30">
        <f t="shared" si="12"/>
        <v>91386.959999999977</v>
      </c>
      <c r="I71" s="30">
        <f t="shared" si="12"/>
        <v>100802.00999999998</v>
      </c>
      <c r="J71" s="30">
        <f t="shared" si="12"/>
        <v>110105.49502207569</v>
      </c>
      <c r="K71" s="30">
        <f t="shared" si="12"/>
        <v>122618.63544321824</v>
      </c>
      <c r="L71" s="30">
        <f t="shared" si="12"/>
        <v>136908.36723831572</v>
      </c>
      <c r="M71" s="30">
        <f t="shared" si="12"/>
        <v>153254.19143845234</v>
      </c>
      <c r="N71" s="30">
        <f t="shared" si="12"/>
        <v>171990.31148986291</v>
      </c>
      <c r="O71" s="30">
        <f t="shared" si="12"/>
        <v>193497.26030357802</v>
      </c>
      <c r="P71" s="30">
        <f t="shared" si="12"/>
        <v>218209.21391544014</v>
      </c>
      <c r="Q71" s="30">
        <f t="shared" si="12"/>
        <v>246622.42581373375</v>
      </c>
      <c r="R71" s="30">
        <f t="shared" si="12"/>
        <v>279306.42789722781</v>
      </c>
      <c r="S71" s="30">
        <f t="shared" si="12"/>
        <v>316914.76736059971</v>
      </c>
    </row>
    <row r="72" spans="1:19" x14ac:dyDescent="0.25">
      <c r="E72" s="28"/>
      <c r="F72" s="28"/>
      <c r="G72" s="28"/>
      <c r="H72" s="28"/>
      <c r="I72" s="28"/>
      <c r="J72" s="28"/>
      <c r="K72" s="28"/>
      <c r="L72" s="28"/>
      <c r="M72" s="28"/>
      <c r="N72" s="28"/>
      <c r="O72" s="28"/>
      <c r="P72" s="28"/>
      <c r="Q72" s="28"/>
      <c r="R72" s="28"/>
      <c r="S72" s="28"/>
    </row>
    <row r="73" spans="1:19" x14ac:dyDescent="0.25">
      <c r="D73" s="1" t="s">
        <v>87</v>
      </c>
      <c r="E73" s="27">
        <f>E71-E44</f>
        <v>0</v>
      </c>
      <c r="F73" s="27">
        <f t="shared" ref="F73:S73" si="13">F71-F44</f>
        <v>0</v>
      </c>
      <c r="G73" s="27">
        <f t="shared" si="13"/>
        <v>0</v>
      </c>
      <c r="H73" s="27">
        <f t="shared" si="13"/>
        <v>0</v>
      </c>
      <c r="I73" s="27">
        <f t="shared" si="13"/>
        <v>0</v>
      </c>
      <c r="J73" s="27">
        <f t="shared" si="13"/>
        <v>0</v>
      </c>
      <c r="K73" s="27">
        <f t="shared" si="13"/>
        <v>0</v>
      </c>
      <c r="L73" s="27">
        <f t="shared" si="13"/>
        <v>0</v>
      </c>
      <c r="M73" s="27">
        <f t="shared" si="13"/>
        <v>0</v>
      </c>
      <c r="N73" s="27">
        <f t="shared" si="13"/>
        <v>0</v>
      </c>
      <c r="O73" s="27">
        <f t="shared" si="13"/>
        <v>0</v>
      </c>
      <c r="P73" s="27">
        <f t="shared" si="13"/>
        <v>0</v>
      </c>
      <c r="Q73" s="27">
        <f t="shared" si="13"/>
        <v>0</v>
      </c>
      <c r="R73" s="27">
        <f t="shared" si="13"/>
        <v>0</v>
      </c>
      <c r="S73" s="27">
        <f t="shared" si="13"/>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S44"/>
  <sheetViews>
    <sheetView showGridLines="0" tabSelected="1" workbookViewId="0">
      <selection activeCell="D23" sqref="D23"/>
    </sheetView>
  </sheetViews>
  <sheetFormatPr defaultRowHeight="15" x14ac:dyDescent="0.25"/>
  <cols>
    <col min="1" max="3" width="1.42578125" customWidth="1"/>
    <col min="4" max="4" width="52" bestFit="1" customWidth="1"/>
  </cols>
  <sheetData>
    <row r="3" spans="3:19" x14ac:dyDescent="0.25">
      <c r="E3" s="98">
        <v>2020</v>
      </c>
      <c r="F3" s="98">
        <f>E3+1</f>
        <v>2021</v>
      </c>
      <c r="G3" s="98">
        <f t="shared" ref="G3:S3" si="0">F3+1</f>
        <v>2022</v>
      </c>
      <c r="H3" s="98">
        <f t="shared" si="0"/>
        <v>2023</v>
      </c>
      <c r="I3" s="98">
        <f t="shared" si="0"/>
        <v>2024</v>
      </c>
      <c r="J3" s="100">
        <f t="shared" si="0"/>
        <v>2025</v>
      </c>
      <c r="K3" s="100">
        <f t="shared" si="0"/>
        <v>2026</v>
      </c>
      <c r="L3" s="100">
        <f t="shared" si="0"/>
        <v>2027</v>
      </c>
      <c r="M3" s="100">
        <f t="shared" si="0"/>
        <v>2028</v>
      </c>
      <c r="N3" s="100">
        <f t="shared" si="0"/>
        <v>2029</v>
      </c>
      <c r="O3" s="100">
        <f t="shared" si="0"/>
        <v>2030</v>
      </c>
      <c r="P3" s="100">
        <f t="shared" si="0"/>
        <v>2031</v>
      </c>
      <c r="Q3" s="100">
        <f t="shared" si="0"/>
        <v>2032</v>
      </c>
      <c r="R3" s="100">
        <f t="shared" si="0"/>
        <v>2033</v>
      </c>
      <c r="S3" s="100">
        <f t="shared" si="0"/>
        <v>2034</v>
      </c>
    </row>
    <row r="4" spans="3:19" x14ac:dyDescent="0.25">
      <c r="E4" s="101" t="s">
        <v>127</v>
      </c>
      <c r="F4" s="101" t="s">
        <v>127</v>
      </c>
      <c r="G4" s="101" t="s">
        <v>127</v>
      </c>
      <c r="H4" s="101" t="s">
        <v>127</v>
      </c>
      <c r="I4" s="101" t="s">
        <v>127</v>
      </c>
      <c r="J4" s="101" t="s">
        <v>128</v>
      </c>
      <c r="K4" s="101" t="s">
        <v>128</v>
      </c>
      <c r="L4" s="101" t="s">
        <v>128</v>
      </c>
      <c r="M4" s="101" t="s">
        <v>128</v>
      </c>
      <c r="N4" s="101" t="s">
        <v>128</v>
      </c>
      <c r="O4" s="101" t="s">
        <v>128</v>
      </c>
      <c r="P4" s="101" t="s">
        <v>128</v>
      </c>
      <c r="Q4" s="101" t="s">
        <v>128</v>
      </c>
      <c r="R4" s="101" t="s">
        <v>128</v>
      </c>
      <c r="S4" s="101" t="s">
        <v>128</v>
      </c>
    </row>
    <row r="5" spans="3:19" x14ac:dyDescent="0.25">
      <c r="C5" s="40"/>
      <c r="D5" s="40"/>
      <c r="E5" s="41">
        <v>12</v>
      </c>
      <c r="F5" s="41">
        <f>E5</f>
        <v>12</v>
      </c>
      <c r="G5" s="41">
        <f t="shared" ref="G5:S5" si="1">F5</f>
        <v>12</v>
      </c>
      <c r="H5" s="41">
        <f t="shared" si="1"/>
        <v>12</v>
      </c>
      <c r="I5" s="41">
        <f t="shared" si="1"/>
        <v>12</v>
      </c>
      <c r="J5" s="41">
        <f t="shared" si="1"/>
        <v>12</v>
      </c>
      <c r="K5" s="41">
        <f t="shared" si="1"/>
        <v>12</v>
      </c>
      <c r="L5" s="41">
        <f t="shared" si="1"/>
        <v>12</v>
      </c>
      <c r="M5" s="41">
        <f t="shared" si="1"/>
        <v>12</v>
      </c>
      <c r="N5" s="41">
        <f t="shared" si="1"/>
        <v>12</v>
      </c>
      <c r="O5" s="41">
        <f t="shared" si="1"/>
        <v>12</v>
      </c>
      <c r="P5" s="41">
        <f t="shared" si="1"/>
        <v>12</v>
      </c>
      <c r="Q5" s="41">
        <f t="shared" si="1"/>
        <v>12</v>
      </c>
      <c r="R5" s="41">
        <f t="shared" si="1"/>
        <v>12</v>
      </c>
      <c r="S5" s="41">
        <f t="shared" si="1"/>
        <v>12</v>
      </c>
    </row>
    <row r="6" spans="3:19" x14ac:dyDescent="0.25">
      <c r="D6" s="1" t="s">
        <v>220</v>
      </c>
      <c r="E6" s="161">
        <f>'Income '!F23</f>
        <v>5243.529999999997</v>
      </c>
      <c r="F6" s="161">
        <f>'Income '!G23</f>
        <v>8116.2000000000062</v>
      </c>
      <c r="G6" s="161">
        <f>'Income '!H23</f>
        <v>8362.7000000000062</v>
      </c>
      <c r="H6" s="161">
        <f>'Income '!I23</f>
        <v>7412.2199999999984</v>
      </c>
      <c r="I6" s="161">
        <f>'Income '!J23</f>
        <v>9472.2099999999991</v>
      </c>
      <c r="J6" s="161">
        <f>'Income '!K23</f>
        <v>12225.470435782952</v>
      </c>
      <c r="K6" s="161">
        <f>'Income '!L23</f>
        <v>14043.794343133508</v>
      </c>
      <c r="L6" s="161">
        <f>'Income '!M23</f>
        <v>16159.846968586129</v>
      </c>
      <c r="M6" s="161">
        <f>'Income '!N23</f>
        <v>18637.403206767307</v>
      </c>
      <c r="N6" s="161">
        <f>'Income '!O23</f>
        <v>21522.947474905235</v>
      </c>
      <c r="O6" s="161">
        <f>'Income '!P23</f>
        <v>24869.972254968965</v>
      </c>
      <c r="P6" s="161">
        <f>'Income '!Q23</f>
        <v>28739.939167752822</v>
      </c>
      <c r="Q6" s="161">
        <f>'Income '!R23</f>
        <v>33205.712005127105</v>
      </c>
      <c r="R6" s="161">
        <f>'Income '!S23</f>
        <v>38349.662775220138</v>
      </c>
      <c r="S6" s="161">
        <f>'Income '!T23</f>
        <v>44266.316269967334</v>
      </c>
    </row>
    <row r="7" spans="3:19" x14ac:dyDescent="0.25">
      <c r="D7" t="s">
        <v>221</v>
      </c>
      <c r="E7" s="149">
        <f>-'Income '!F16</f>
        <v>2702.1599999999994</v>
      </c>
      <c r="F7" s="149">
        <f>-'Income '!G16</f>
        <v>2700.2300000000009</v>
      </c>
      <c r="G7" s="149">
        <f>-'Income '!H16</f>
        <v>2714.75</v>
      </c>
      <c r="H7" s="149">
        <f>-'Income '!I16</f>
        <v>2887.9900000000002</v>
      </c>
      <c r="I7" s="149">
        <f>-'Income '!J16</f>
        <v>3145.2999999999997</v>
      </c>
      <c r="J7" s="149">
        <f>-'Income '!K16</f>
        <v>3415.1728647358141</v>
      </c>
      <c r="K7" s="149">
        <f>-'Income '!L16</f>
        <v>3789.4479056642344</v>
      </c>
      <c r="L7" s="149">
        <f>-'Income '!M16</f>
        <v>4173.3658663205006</v>
      </c>
      <c r="M7" s="149">
        <f>-'Income '!N16</f>
        <v>4546.2410471251278</v>
      </c>
      <c r="N7" s="149">
        <f>-'Income '!O16</f>
        <v>4910.7187270404902</v>
      </c>
      <c r="O7" s="149">
        <f>-'Income '!P16</f>
        <v>5269.323415019222</v>
      </c>
      <c r="P7" s="149">
        <f>-'Income '!Q16</f>
        <v>5624.4632780987968</v>
      </c>
      <c r="Q7" s="149">
        <f>-'Income '!R16</f>
        <v>5976.0979612010251</v>
      </c>
      <c r="R7" s="149">
        <f>-'Income '!S16</f>
        <v>6324.8877180266045</v>
      </c>
      <c r="S7" s="149">
        <f>-'Income '!T16</f>
        <v>6670.9799776742502</v>
      </c>
    </row>
    <row r="8" spans="3:19" x14ac:dyDescent="0.25">
      <c r="D8" t="s">
        <v>222</v>
      </c>
      <c r="E8" s="149">
        <f>-'Income '!F19</f>
        <v>1985.65</v>
      </c>
      <c r="F8" s="149">
        <f>-'Income '!G19</f>
        <v>1485.65</v>
      </c>
      <c r="G8" s="149">
        <f>-'Income '!H19</f>
        <v>944.71</v>
      </c>
      <c r="H8" s="149">
        <f>-'Income '!I19</f>
        <v>822.72</v>
      </c>
      <c r="I8" s="149">
        <f>-'Income '!J19</f>
        <v>968</v>
      </c>
      <c r="J8" s="149">
        <f>-'Income '!K19</f>
        <v>2020.8195755231563</v>
      </c>
      <c r="K8" s="149">
        <f>-'Income '!L19</f>
        <v>2304.1101532071743</v>
      </c>
      <c r="L8" s="149">
        <f>-'Income '!M19</f>
        <v>2627.1140988615957</v>
      </c>
      <c r="M8" s="149">
        <f>-'Income '!N19</f>
        <v>2995.3986699944035</v>
      </c>
      <c r="N8" s="149">
        <f>-'Income '!O19</f>
        <v>3415.3115755772656</v>
      </c>
      <c r="O8" s="149">
        <f>-'Income '!P19</f>
        <v>3894.0903844007689</v>
      </c>
      <c r="P8" s="149">
        <f>-'Income '!Q19</f>
        <v>4439.9872709474485</v>
      </c>
      <c r="Q8" s="149">
        <f>-'Income '!R19</f>
        <v>5062.4112488875699</v>
      </c>
      <c r="R8" s="149">
        <f>-'Income '!S19</f>
        <v>5772.0903437172774</v>
      </c>
      <c r="S8" s="149">
        <f>-'Income '!T19</f>
        <v>6581.2564997273639</v>
      </c>
    </row>
    <row r="9" spans="3:19" x14ac:dyDescent="0.25">
      <c r="D9" t="s">
        <v>223</v>
      </c>
      <c r="E9" s="149">
        <f>-'Income '!F20</f>
        <v>-647.77</v>
      </c>
      <c r="F9" s="149">
        <f>-'Income '!G20</f>
        <v>-734.17</v>
      </c>
      <c r="G9" s="149">
        <f>-'Income '!H20</f>
        <v>-507.81</v>
      </c>
      <c r="H9" s="149">
        <f>-'Income '!I20</f>
        <v>-503.08</v>
      </c>
      <c r="I9" s="149">
        <f>-'Income '!J20</f>
        <v>-616.95000000000005</v>
      </c>
      <c r="J9" s="149">
        <f>-'Income '!K20</f>
        <v>-703.4377419137769</v>
      </c>
      <c r="K9" s="149">
        <f>-'Income '!L20</f>
        <v>-802.0498529034013</v>
      </c>
      <c r="L9" s="149">
        <f>-'Income '!M20</f>
        <v>-914.48599956016778</v>
      </c>
      <c r="M9" s="149">
        <f>-'Income '!N20</f>
        <v>-1042.6841179064227</v>
      </c>
      <c r="N9" s="149">
        <f>-'Income '!O20</f>
        <v>-1188.8538154298606</v>
      </c>
      <c r="O9" s="149">
        <f>-'Income '!P20</f>
        <v>-1355.514455614813</v>
      </c>
      <c r="P9" s="149">
        <f>-'Income '!Q20</f>
        <v>-1545.5385813909822</v>
      </c>
      <c r="Q9" s="149">
        <f>-'Income '!R20</f>
        <v>-1762.2014259409916</v>
      </c>
      <c r="R9" s="149">
        <f>-'Income '!S20</f>
        <v>-2009.2373642291411</v>
      </c>
      <c r="S9" s="149">
        <f>-'Income '!T20</f>
        <v>-2290.9042782431893</v>
      </c>
    </row>
    <row r="10" spans="3:19" x14ac:dyDescent="0.25">
      <c r="E10" s="149"/>
      <c r="F10" s="149"/>
      <c r="G10" s="149"/>
      <c r="H10" s="149"/>
      <c r="I10" s="149"/>
      <c r="J10" s="149"/>
      <c r="K10" s="149"/>
      <c r="L10" s="149"/>
      <c r="M10" s="149"/>
      <c r="N10" s="149"/>
      <c r="O10" s="149"/>
      <c r="P10" s="149"/>
      <c r="Q10" s="149"/>
      <c r="R10" s="149"/>
      <c r="S10" s="149"/>
    </row>
    <row r="11" spans="3:19" x14ac:dyDescent="0.25">
      <c r="D11" s="1" t="s">
        <v>224</v>
      </c>
      <c r="E11" s="149"/>
      <c r="F11" s="149"/>
      <c r="G11" s="149"/>
      <c r="H11" s="149"/>
      <c r="I11" s="149"/>
      <c r="J11" s="149"/>
      <c r="K11" s="149"/>
      <c r="L11" s="149"/>
      <c r="M11" s="149"/>
      <c r="N11" s="149"/>
      <c r="O11" s="149"/>
      <c r="P11" s="149"/>
      <c r="Q11" s="149"/>
      <c r="R11" s="149"/>
      <c r="S11" s="149"/>
    </row>
    <row r="12" spans="3:19" x14ac:dyDescent="0.25">
      <c r="D12" s="1" t="s">
        <v>225</v>
      </c>
      <c r="E12" s="149"/>
      <c r="F12" s="149"/>
      <c r="G12" s="149"/>
      <c r="H12" s="149"/>
      <c r="I12" s="149"/>
      <c r="J12" s="149"/>
      <c r="K12" s="149"/>
      <c r="L12" s="149"/>
      <c r="M12" s="149"/>
      <c r="N12" s="149"/>
      <c r="O12" s="149"/>
      <c r="P12" s="149"/>
      <c r="Q12" s="149"/>
      <c r="R12" s="149"/>
      <c r="S12" s="149"/>
    </row>
    <row r="13" spans="3:19" x14ac:dyDescent="0.25">
      <c r="D13" t="s">
        <v>55</v>
      </c>
      <c r="E13" s="149"/>
      <c r="F13" s="149">
        <f>'balance sheet'!E59-'balance sheet'!F59</f>
        <v>130.3400000000006</v>
      </c>
      <c r="G13" s="149">
        <f>'balance sheet'!F59-'balance sheet'!G59</f>
        <v>-1577.6100000000001</v>
      </c>
      <c r="H13" s="149">
        <f>'balance sheet'!G59-'balance sheet'!H59</f>
        <v>-1016.25</v>
      </c>
      <c r="I13" s="149">
        <f>'balance sheet'!H59-'balance sheet'!I59</f>
        <v>-1717.9099999999999</v>
      </c>
      <c r="J13" s="149">
        <f>'balance sheet'!I59-'balance sheet'!J59</f>
        <v>-25.120747264874808</v>
      </c>
      <c r="K13" s="149">
        <f>'balance sheet'!J59-'balance sheet'!K59</f>
        <v>-1171.2343626468737</v>
      </c>
      <c r="L13" s="149">
        <f>'balance sheet'!K59-'balance sheet'!L59</f>
        <v>-1335.425002532038</v>
      </c>
      <c r="M13" s="149">
        <f>'balance sheet'!L59-'balance sheet'!M59</f>
        <v>-1522.6328685895678</v>
      </c>
      <c r="N13" s="149">
        <f>'balance sheet'!M59-'balance sheet'!N59</f>
        <v>-1736.0846532852665</v>
      </c>
      <c r="O13" s="149">
        <f>'balance sheet'!N59-'balance sheet'!O59</f>
        <v>-1979.4593861384947</v>
      </c>
      <c r="P13" s="149">
        <f>'balance sheet'!O59-'balance sheet'!P59</f>
        <v>-2256.9518450365467</v>
      </c>
      <c r="Q13" s="149">
        <f>'balance sheet'!P59-'balance sheet'!Q59</f>
        <v>-2573.34485692624</v>
      </c>
      <c r="R13" s="149">
        <f>'balance sheet'!Q59-'balance sheet'!R59</f>
        <v>-2934.0917340491469</v>
      </c>
      <c r="S13" s="149">
        <f>'balance sheet'!R59-'balance sheet'!S59</f>
        <v>-3345.4102665814171</v>
      </c>
    </row>
    <row r="14" spans="3:19" x14ac:dyDescent="0.25">
      <c r="D14" t="s">
        <v>139</v>
      </c>
      <c r="E14" s="149"/>
      <c r="F14" s="149">
        <f>'balance sheet'!E62-'balance sheet'!F62</f>
        <v>-333.44000000000005</v>
      </c>
      <c r="G14" s="149">
        <f>'balance sheet'!F62-'balance sheet'!G62</f>
        <v>-499.88000000000011</v>
      </c>
      <c r="H14" s="149">
        <f>'balance sheet'!G62-'balance sheet'!H62</f>
        <v>-795.40999999999985</v>
      </c>
      <c r="I14" s="149">
        <f>'balance sheet'!H62-'balance sheet'!I62</f>
        <v>-411.13999999999987</v>
      </c>
      <c r="J14" s="149">
        <f>'balance sheet'!I62-'balance sheet'!J62</f>
        <v>-419.35781502810642</v>
      </c>
      <c r="K14" s="149">
        <f>'balance sheet'!J62-'balance sheet'!K62</f>
        <v>-658.52615029016943</v>
      </c>
      <c r="L14" s="149">
        <f>'balance sheet'!K62-'balance sheet'!L62</f>
        <v>-750.84228568164235</v>
      </c>
      <c r="M14" s="149">
        <f>'balance sheet'!L62-'balance sheet'!M62</f>
        <v>-856.0998492151266</v>
      </c>
      <c r="N14" s="149">
        <f>'balance sheet'!M62-'balance sheet'!N62</f>
        <v>-976.11304770988772</v>
      </c>
      <c r="O14" s="149">
        <f>'balance sheet'!N62-'balance sheet'!O62</f>
        <v>-1112.950414350621</v>
      </c>
      <c r="P14" s="149">
        <f>'balance sheet'!O62-'balance sheet'!P62</f>
        <v>-1268.9704616789131</v>
      </c>
      <c r="Q14" s="149">
        <f>'balance sheet'!P62-'balance sheet'!Q62</f>
        <v>-1446.8623326342477</v>
      </c>
      <c r="R14" s="149">
        <f>'balance sheet'!Q62-'balance sheet'!R62</f>
        <v>-1649.6921503012072</v>
      </c>
      <c r="S14" s="149">
        <f>'balance sheet'!R62-'balance sheet'!S62</f>
        <v>-1880.9558652415362</v>
      </c>
    </row>
    <row r="15" spans="3:19" x14ac:dyDescent="0.25">
      <c r="D15" t="s">
        <v>47</v>
      </c>
      <c r="E15" s="149"/>
      <c r="F15" s="149">
        <f>'balance sheet'!E59-'balance sheet'!F59</f>
        <v>130.3400000000006</v>
      </c>
      <c r="G15" s="149">
        <f>'balance sheet'!F59-'balance sheet'!G59</f>
        <v>-1577.6100000000001</v>
      </c>
      <c r="H15" s="149">
        <f>'balance sheet'!G59-'balance sheet'!H59</f>
        <v>-1016.25</v>
      </c>
      <c r="I15" s="149">
        <f>'balance sheet'!H59-'balance sheet'!I59</f>
        <v>-1717.9099999999999</v>
      </c>
      <c r="J15" s="149">
        <f>'balance sheet'!I59-'balance sheet'!J59</f>
        <v>-25.120747264874808</v>
      </c>
      <c r="K15" s="149">
        <f>'balance sheet'!J59-'balance sheet'!K59</f>
        <v>-1171.2343626468737</v>
      </c>
      <c r="L15" s="149">
        <f>'balance sheet'!K59-'balance sheet'!L59</f>
        <v>-1335.425002532038</v>
      </c>
      <c r="M15" s="149">
        <f>'balance sheet'!L59-'balance sheet'!M59</f>
        <v>-1522.6328685895678</v>
      </c>
      <c r="N15" s="149">
        <f>'balance sheet'!M59-'balance sheet'!N59</f>
        <v>-1736.0846532852665</v>
      </c>
      <c r="O15" s="149">
        <f>'balance sheet'!N59-'balance sheet'!O59</f>
        <v>-1979.4593861384947</v>
      </c>
      <c r="P15" s="149">
        <f>'balance sheet'!O59-'balance sheet'!P59</f>
        <v>-2256.9518450365467</v>
      </c>
      <c r="Q15" s="149">
        <f>'balance sheet'!P59-'balance sheet'!Q59</f>
        <v>-2573.34485692624</v>
      </c>
      <c r="R15" s="149">
        <f>'balance sheet'!Q59-'balance sheet'!R59</f>
        <v>-2934.0917340491469</v>
      </c>
      <c r="S15" s="149">
        <f>'balance sheet'!R59-'balance sheet'!S59</f>
        <v>-3345.4102665814171</v>
      </c>
    </row>
    <row r="16" spans="3:19" x14ac:dyDescent="0.25">
      <c r="D16" t="s">
        <v>226</v>
      </c>
      <c r="E16" s="149"/>
      <c r="F16" s="149">
        <f>SUM('balance sheet'!E65:E68,'balance sheet'!E70)-SUM('balance sheet'!F65:F68,'balance sheet'!F70)</f>
        <v>-721.30000000000018</v>
      </c>
      <c r="G16" s="149">
        <f>SUM('balance sheet'!F65:F68,'balance sheet'!F70)-SUM('balance sheet'!G65:G68,'balance sheet'!G70)</f>
        <v>1059.4100000000003</v>
      </c>
      <c r="H16" s="149">
        <f>SUM('balance sheet'!G65:G68,'balance sheet'!G70)-SUM('balance sheet'!H65:H68,'balance sheet'!H70)</f>
        <v>221.89999999999964</v>
      </c>
      <c r="I16" s="149">
        <f>SUM('balance sheet'!H65:H68,'balance sheet'!H70)-SUM('balance sheet'!I65:I68,'balance sheet'!I70)</f>
        <v>-1004.599999999999</v>
      </c>
      <c r="J16" s="149">
        <f>SUM('balance sheet'!I65:I68,'balance sheet'!I70)-SUM('balance sheet'!J65:J68,'balance sheet'!J70)</f>
        <v>-119.59123530046236</v>
      </c>
      <c r="K16" s="149">
        <f>SUM('balance sheet'!J65:J68,'balance sheet'!J70)-SUM('balance sheet'!K65:K68,'balance sheet'!K70)</f>
        <v>-138.73787222180908</v>
      </c>
      <c r="L16" s="149">
        <f>SUM('balance sheet'!K65:K68,'balance sheet'!K70)-SUM('balance sheet'!L65:L68,'balance sheet'!L70)</f>
        <v>-143.11861377721652</v>
      </c>
      <c r="M16" s="149">
        <f>SUM('balance sheet'!L65:L68,'balance sheet'!L70)-SUM('balance sheet'!M65:M68,'balance sheet'!M70)</f>
        <v>-147.63769495360975</v>
      </c>
      <c r="N16" s="149">
        <f>SUM('balance sheet'!M65:M68,'balance sheet'!M70)-SUM('balance sheet'!N65:N68,'balance sheet'!N70)</f>
        <v>-152.29948448001778</v>
      </c>
      <c r="O16" s="149">
        <f>SUM('balance sheet'!N65:N68,'balance sheet'!N70)-SUM('balance sheet'!O65:O68,'balance sheet'!O70)</f>
        <v>-157.10848905126386</v>
      </c>
      <c r="P16" s="149">
        <f>SUM('balance sheet'!O65:O68,'balance sheet'!O70)-SUM('balance sheet'!P65:P68,'balance sheet'!P70)</f>
        <v>-162.06935768504809</v>
      </c>
      <c r="Q16" s="149">
        <f>SUM('balance sheet'!P65:P68,'balance sheet'!P70)-SUM('balance sheet'!Q65:Q68,'balance sheet'!Q70)</f>
        <v>-167.1868862166275</v>
      </c>
      <c r="R16" s="149">
        <f>SUM('balance sheet'!Q65:Q68,'balance sheet'!Q70)-SUM('balance sheet'!R65:R68,'balance sheet'!R70)</f>
        <v>-172.46602193544732</v>
      </c>
      <c r="S16" s="149">
        <f>SUM('balance sheet'!R65:R68,'balance sheet'!R70)-SUM('balance sheet'!S65:S68,'balance sheet'!S70)</f>
        <v>-177.91186836819452</v>
      </c>
    </row>
    <row r="17" spans="4:19" x14ac:dyDescent="0.25">
      <c r="E17" s="149"/>
      <c r="F17" s="149"/>
      <c r="G17" s="149"/>
      <c r="H17" s="149"/>
      <c r="I17" s="149"/>
      <c r="J17" s="149"/>
      <c r="K17" s="149"/>
      <c r="L17" s="149"/>
      <c r="M17" s="149"/>
      <c r="N17" s="149"/>
      <c r="O17" s="149"/>
      <c r="P17" s="149"/>
      <c r="Q17" s="149"/>
      <c r="R17" s="149"/>
      <c r="S17" s="149"/>
    </row>
    <row r="18" spans="4:19" x14ac:dyDescent="0.25">
      <c r="D18" s="1" t="s">
        <v>227</v>
      </c>
      <c r="E18" s="149"/>
      <c r="F18" s="149"/>
      <c r="G18" s="149"/>
      <c r="H18" s="149"/>
      <c r="I18" s="149"/>
      <c r="J18" s="149"/>
      <c r="K18" s="149"/>
      <c r="L18" s="149"/>
      <c r="M18" s="149"/>
      <c r="N18" s="149"/>
      <c r="O18" s="149"/>
      <c r="P18" s="149"/>
      <c r="Q18" s="149"/>
      <c r="R18" s="149"/>
      <c r="S18" s="149"/>
    </row>
    <row r="19" spans="4:19" x14ac:dyDescent="0.25">
      <c r="D19" t="s">
        <v>140</v>
      </c>
      <c r="E19" s="149"/>
      <c r="F19" s="149">
        <f>'balance sheet'!F33-'balance sheet'!E33</f>
        <v>1197.8499999999999</v>
      </c>
      <c r="G19" s="149">
        <f>'balance sheet'!G33-'balance sheet'!F33</f>
        <v>1163.5500000000002</v>
      </c>
      <c r="H19" s="149">
        <f>'balance sheet'!H33-'balance sheet'!G33</f>
        <v>1346.4699999999993</v>
      </c>
      <c r="I19" s="149">
        <f>'balance sheet'!I33-'balance sheet'!H33</f>
        <v>1269.0300000000007</v>
      </c>
      <c r="J19" s="149">
        <f>'balance sheet'!J33-'balance sheet'!I33</f>
        <v>132.25477257381135</v>
      </c>
      <c r="K19" s="149">
        <f>'balance sheet'!K33-'balance sheet'!J33</f>
        <v>1207.083286387975</v>
      </c>
      <c r="L19" s="149">
        <f>'balance sheet'!L33-'balance sheet'!K33</f>
        <v>1376.2994428699531</v>
      </c>
      <c r="M19" s="149">
        <f>'balance sheet'!M33-'balance sheet'!L33</f>
        <v>1569.2373325060835</v>
      </c>
      <c r="N19" s="149">
        <f>'balance sheet'!N33-'balance sheet'!M33</f>
        <v>1789.2224097655908</v>
      </c>
      <c r="O19" s="149">
        <f>'balance sheet'!O33-'balance sheet'!N33</f>
        <v>2040.0463112197558</v>
      </c>
      <c r="P19" s="149">
        <f>'balance sheet'!P33-'balance sheet'!O33</f>
        <v>2326.0322077379969</v>
      </c>
      <c r="Q19" s="149">
        <f>'balance sheet'!Q33-'balance sheet'!P33</f>
        <v>2652.1093181456126</v>
      </c>
      <c r="R19" s="149">
        <f>'balance sheet'!R33-'balance sheet'!Q33</f>
        <v>3023.8978686519695</v>
      </c>
      <c r="S19" s="149">
        <f>'balance sheet'!S33-'balance sheet'!R33</f>
        <v>3447.8059623995832</v>
      </c>
    </row>
    <row r="20" spans="4:19" x14ac:dyDescent="0.25">
      <c r="D20" t="s">
        <v>228</v>
      </c>
      <c r="E20" s="149"/>
      <c r="F20" s="149">
        <f>'balance sheet'!F31-'balance sheet'!E31</f>
        <v>250.03999999999996</v>
      </c>
      <c r="G20" s="149">
        <f>'balance sheet'!G31-'balance sheet'!F31</f>
        <v>664.71</v>
      </c>
      <c r="H20" s="149">
        <f>'balance sheet'!H31-'balance sheet'!G31</f>
        <v>-355.47000000000025</v>
      </c>
      <c r="I20" s="149">
        <f>'balance sheet'!I31-'balance sheet'!H31</f>
        <v>446.23999999999978</v>
      </c>
      <c r="J20" s="149">
        <f>'balance sheet'!J31-'balance sheet'!I31</f>
        <v>423.89073983593516</v>
      </c>
      <c r="K20" s="149">
        <f>'balance sheet'!K31-'balance sheet'!J31</f>
        <v>459.89502775237361</v>
      </c>
      <c r="L20" s="149">
        <f>'balance sheet'!L31-'balance sheet'!K31</f>
        <v>498.95743566660076</v>
      </c>
      <c r="M20" s="149">
        <f>'balance sheet'!M31-'balance sheet'!L31</f>
        <v>541.33771313796296</v>
      </c>
      <c r="N20" s="149">
        <f>'balance sheet'!N31-'balance sheet'!M31</f>
        <v>587.31767224579653</v>
      </c>
      <c r="O20" s="149">
        <f>'balance sheet'!O31-'balance sheet'!N31</f>
        <v>637.20306152826743</v>
      </c>
      <c r="P20" s="149">
        <f>'balance sheet'!P31-'balance sheet'!O31</f>
        <v>691.32559908919484</v>
      </c>
      <c r="Q20" s="149">
        <f>'balance sheet'!Q31-'balance sheet'!P31</f>
        <v>750.04517839221444</v>
      </c>
      <c r="R20" s="149">
        <f>'balance sheet'!R31-'balance sheet'!Q31</f>
        <v>813.75226140993072</v>
      </c>
      <c r="S20" s="149">
        <f>'balance sheet'!S31-'balance sheet'!R31</f>
        <v>882.87047504157636</v>
      </c>
    </row>
    <row r="21" spans="4:19" x14ac:dyDescent="0.25">
      <c r="D21" t="s">
        <v>226</v>
      </c>
      <c r="E21" s="149"/>
      <c r="F21" s="149">
        <f>SUM('balance sheet'!F34:F37,'balance sheet'!F33,'balance sheet'!F39)-SUM('balance sheet'!E34:E37,'balance sheet'!E32,'balance sheet'!E39)</f>
        <v>7212.3599999999969</v>
      </c>
      <c r="G21" s="149">
        <f>SUM('balance sheet'!G34:G37,'balance sheet'!G33,'balance sheet'!G39)-SUM('balance sheet'!F34:F37,'balance sheet'!F32,'balance sheet'!F39)</f>
        <v>3480.2800000000007</v>
      </c>
      <c r="H21" s="149">
        <f>SUM('balance sheet'!H34:H37,'balance sheet'!H33,'balance sheet'!H39)-SUM('balance sheet'!G34:G37,'balance sheet'!G32,'balance sheet'!G39)</f>
        <v>9348.590000000002</v>
      </c>
      <c r="I21" s="149">
        <f>SUM('balance sheet'!I34:I37,'balance sheet'!I33,'balance sheet'!I39)-SUM('balance sheet'!H34:H37,'balance sheet'!H32,'balance sheet'!H39)</f>
        <v>10074.780000000002</v>
      </c>
      <c r="J21" s="149">
        <f>SUM('balance sheet'!J34:J37,'balance sheet'!J33,'balance sheet'!J39)-SUM('balance sheet'!I34:I37,'balance sheet'!I32,'balance sheet'!I39)</f>
        <v>9457.2240778738014</v>
      </c>
      <c r="K21" s="149">
        <f>SUM('balance sheet'!K34:K37,'balance sheet'!K33,'balance sheet'!K39)-SUM('balance sheet'!J34:J37,'balance sheet'!J32,'balance sheet'!J39)</f>
        <v>10750.297065691277</v>
      </c>
      <c r="L21" s="149">
        <f>SUM('balance sheet'!L34:L37,'balance sheet'!L33,'balance sheet'!L39)-SUM('balance sheet'!K34:K37,'balance sheet'!K32,'balance sheet'!K39)</f>
        <v>12220.131826337618</v>
      </c>
      <c r="M21" s="149">
        <f>SUM('balance sheet'!M34:M37,'balance sheet'!M33,'balance sheet'!M39)-SUM('balance sheet'!L34:L37,'balance sheet'!L32,'balance sheet'!L39)</f>
        <v>13891.113781116001</v>
      </c>
      <c r="N21" s="149">
        <f>SUM('balance sheet'!N34:N37,'balance sheet'!N33,'balance sheet'!N39)-SUM('balance sheet'!M34:M37,'balance sheet'!M32,'balance sheet'!M39)</f>
        <v>15791.012236928076</v>
      </c>
      <c r="O21" s="149">
        <f>SUM('balance sheet'!O34:O37,'balance sheet'!O33,'balance sheet'!O39)-SUM('balance sheet'!N34:N37,'balance sheet'!N32,'balance sheet'!N39)</f>
        <v>17951.451713716746</v>
      </c>
      <c r="P21" s="149">
        <f>SUM('balance sheet'!P34:P37,'balance sheet'!P33,'balance sheet'!P39)-SUM('balance sheet'!O34:O37,'balance sheet'!O32,'balance sheet'!O39)</f>
        <v>20408.449077216846</v>
      </c>
      <c r="Q21" s="149">
        <f>SUM('balance sheet'!Q34:Q37,'balance sheet'!Q33,'balance sheet'!Q39)-SUM('balance sheet'!P34:P37,'balance sheet'!P32,'balance sheet'!P39)</f>
        <v>23203.025678378297</v>
      </c>
      <c r="R21" s="149">
        <f>SUM('balance sheet'!R34:R37,'balance sheet'!R33,'balance sheet'!R39)-SUM('balance sheet'!Q34:Q37,'balance sheet'!Q32,'balance sheet'!Q39)</f>
        <v>26381.904988649247</v>
      </c>
      <c r="S21" s="149">
        <f>SUM('balance sheet'!S34:S37,'balance sheet'!S33,'balance sheet'!S39)-SUM('balance sheet'!R34:R37,'balance sheet'!R32,'balance sheet'!R39)</f>
        <v>29998.307688480221</v>
      </c>
    </row>
    <row r="22" spans="4:19" x14ac:dyDescent="0.25">
      <c r="D22" t="s">
        <v>229</v>
      </c>
      <c r="E22" s="149"/>
      <c r="F22" s="149">
        <f>'Income '!F24</f>
        <v>568.15999999999917</v>
      </c>
      <c r="G22" s="149">
        <f>'Income '!G24</f>
        <v>-2622.9650383300286</v>
      </c>
      <c r="H22" s="149">
        <f>'Income '!H24</f>
        <v>-1190.0600000000013</v>
      </c>
      <c r="I22" s="149">
        <f>'Income '!I24</f>
        <v>-2342.8499999999995</v>
      </c>
      <c r="J22" s="149">
        <f>'Income '!J24</f>
        <v>-2436.7824287542526</v>
      </c>
      <c r="K22" s="149">
        <f>'Income '!K24</f>
        <v>-3145.0750713054813</v>
      </c>
      <c r="L22" s="149">
        <f>'Income '!L24</f>
        <v>-3612.8497244450982</v>
      </c>
      <c r="M22" s="149">
        <f>'Income '!M24</f>
        <v>-4157.2168632672156</v>
      </c>
      <c r="N22" s="149">
        <f>'Income '!N24</f>
        <v>-4794.5829591889042</v>
      </c>
      <c r="O22" s="149">
        <f>'Income '!O24</f>
        <v>-5536.9064053531101</v>
      </c>
      <c r="P22" s="149">
        <f>'Income '!P24</f>
        <v>-6397.9484612898314</v>
      </c>
      <c r="Q22" s="149">
        <f>'Income '!Q24</f>
        <v>-7393.520494947451</v>
      </c>
      <c r="R22" s="149">
        <f>'Income '!R24</f>
        <v>-8542.3671506826668</v>
      </c>
      <c r="S22" s="149">
        <f>'Income '!S24</f>
        <v>-9865.6791181052231</v>
      </c>
    </row>
    <row r="23" spans="4:19" x14ac:dyDescent="0.25">
      <c r="D23" s="5" t="s">
        <v>230</v>
      </c>
      <c r="E23" s="162"/>
      <c r="F23" s="162">
        <f>SUM(F19:F22)</f>
        <v>9228.4099999999962</v>
      </c>
      <c r="G23" s="162">
        <f t="shared" ref="G23:S23" si="2">SUM(G19:G22)</f>
        <v>2685.5749616699723</v>
      </c>
      <c r="H23" s="162">
        <f t="shared" si="2"/>
        <v>9149.5299999999988</v>
      </c>
      <c r="I23" s="162">
        <f t="shared" si="2"/>
        <v>9447.2000000000044</v>
      </c>
      <c r="J23" s="162">
        <f t="shared" si="2"/>
        <v>7576.5871615292954</v>
      </c>
      <c r="K23" s="162">
        <f t="shared" si="2"/>
        <v>9272.2003085261458</v>
      </c>
      <c r="L23" s="162">
        <f t="shared" si="2"/>
        <v>10482.538980429072</v>
      </c>
      <c r="M23" s="162">
        <f t="shared" si="2"/>
        <v>11844.471963492833</v>
      </c>
      <c r="N23" s="162">
        <f t="shared" si="2"/>
        <v>13372.969359750557</v>
      </c>
      <c r="O23" s="162">
        <f t="shared" si="2"/>
        <v>15091.794681111656</v>
      </c>
      <c r="P23" s="162">
        <f t="shared" si="2"/>
        <v>17027.858422754209</v>
      </c>
      <c r="Q23" s="162">
        <f t="shared" si="2"/>
        <v>19211.659679968674</v>
      </c>
      <c r="R23" s="162">
        <f t="shared" si="2"/>
        <v>21677.187968028484</v>
      </c>
      <c r="S23" s="162">
        <f t="shared" si="2"/>
        <v>24463.305007816154</v>
      </c>
    </row>
    <row r="24" spans="4:19" x14ac:dyDescent="0.25">
      <c r="E24" s="149"/>
      <c r="F24" s="149"/>
      <c r="G24" s="149"/>
      <c r="H24" s="149"/>
      <c r="I24" s="149"/>
      <c r="J24" s="149"/>
      <c r="K24" s="149"/>
      <c r="L24" s="149"/>
      <c r="M24" s="149"/>
      <c r="N24" s="149"/>
      <c r="O24" s="149"/>
      <c r="P24" s="149"/>
      <c r="Q24" s="149"/>
      <c r="R24" s="149"/>
      <c r="S24" s="149"/>
    </row>
    <row r="25" spans="4:19" x14ac:dyDescent="0.25">
      <c r="D25" t="s">
        <v>231</v>
      </c>
      <c r="E25" s="149"/>
      <c r="F25" s="149">
        <f>-('balance sheet'!F49-'balance sheet'!E49)-'Cash Flow'!F7</f>
        <v>-1902.1400000000044</v>
      </c>
      <c r="G25" s="149">
        <f>-('balance sheet'!G49-'balance sheet'!F49)-'Cash Flow'!G7</f>
        <v>-5890.0699999999706</v>
      </c>
      <c r="H25" s="149">
        <f>-('balance sheet'!H49-'balance sheet'!G49)-'Cash Flow'!H7</f>
        <v>-7080.9800000000123</v>
      </c>
      <c r="I25" s="149">
        <f>-('balance sheet'!I49-'balance sheet'!H49)-'Cash Flow'!I7</f>
        <v>-9307.6300000000083</v>
      </c>
      <c r="J25" s="149">
        <f>-('balance sheet'!J49-'balance sheet'!I49)-'Cash Flow'!J7</f>
        <v>-12166.125108835742</v>
      </c>
      <c r="K25" s="149">
        <f>-('balance sheet'!K49-'balance sheet'!J49)-'Cash Flow'!K7</f>
        <v>-12592.078101764189</v>
      </c>
      <c r="L25" s="149">
        <f>-('balance sheet'!L49-'balance sheet'!K49)-'Cash Flow'!L7</f>
        <v>-13100.938684500421</v>
      </c>
      <c r="M25" s="149">
        <f>-('balance sheet'!M49-'balance sheet'!L49)-'Cash Flow'!M7</f>
        <v>-13602.201654668293</v>
      </c>
      <c r="N25" s="149">
        <f>-('balance sheet'!N49-'balance sheet'!M49)-'Cash Flow'!N7</f>
        <v>-14099.970390401351</v>
      </c>
      <c r="O25" s="149">
        <f>-('balance sheet'!O49-'balance sheet'!N49)-'Cash Flow'!O7</f>
        <v>-14598.515402286554</v>
      </c>
      <c r="P25" s="149">
        <f>-('balance sheet'!P49-'balance sheet'!O49)-'Cash Flow'!P7</f>
        <v>-15098.541873255956</v>
      </c>
      <c r="Q25" s="149">
        <f>-('balance sheet'!Q49-'balance sheet'!P49)-'Cash Flow'!Q7</f>
        <v>-15600.992521796388</v>
      </c>
      <c r="R25" s="149">
        <f>-('balance sheet'!R49-'balance sheet'!Q49)-'Cash Flow'!R7</f>
        <v>-16106.433964156711</v>
      </c>
      <c r="S25" s="149">
        <f>-('balance sheet'!S49-'balance sheet'!R49)-'Cash Flow'!S7</f>
        <v>-16615.518182055639</v>
      </c>
    </row>
    <row r="26" spans="4:19" x14ac:dyDescent="0.25">
      <c r="D26" t="s">
        <v>232</v>
      </c>
      <c r="E26" s="149"/>
      <c r="F26" s="149">
        <f>-(SUM('balance sheet'!F50:F55)-SUM('balance sheet'!E50:E55))</f>
        <v>1398.4500000000007</v>
      </c>
      <c r="G26" s="149">
        <f>-(SUM('balance sheet'!G50:G55)-SUM('balance sheet'!F50:F55))</f>
        <v>-1029.7800000000007</v>
      </c>
      <c r="H26" s="149">
        <f>-(SUM('balance sheet'!H50:H55)-SUM('balance sheet'!G50:G55))</f>
        <v>-112.75</v>
      </c>
      <c r="I26" s="149">
        <f>-(SUM('balance sheet'!I50:I55)-SUM('balance sheet'!H50:H55))</f>
        <v>-837.25</v>
      </c>
      <c r="J26" s="149">
        <f>-(SUM('balance sheet'!J50:J55)-SUM('balance sheet'!I50:I55))</f>
        <v>-261.58284649667348</v>
      </c>
      <c r="K26" s="149">
        <f>-(SUM('balance sheet'!K50:K55)-SUM('balance sheet'!J50:J55))</f>
        <v>-273.79943812982856</v>
      </c>
      <c r="L26" s="149">
        <f>-(SUM('balance sheet'!L50:L55)-SUM('balance sheet'!K50:K55))</f>
        <v>-286.65243902844213</v>
      </c>
      <c r="M26" s="149">
        <f>-(SUM('balance sheet'!M50:M55)-SUM('balance sheet'!L50:L55))</f>
        <v>-300.17667150826401</v>
      </c>
      <c r="N26" s="149">
        <f>-(SUM('balance sheet'!N50:N55)-SUM('balance sheet'!M50:M55))</f>
        <v>-314.40890386550473</v>
      </c>
      <c r="O26" s="149">
        <f>-(SUM('balance sheet'!O50:O55)-SUM('balance sheet'!N50:N55))</f>
        <v>-329.38796009991711</v>
      </c>
      <c r="P26" s="149">
        <f>-(SUM('balance sheet'!P50:P55)-SUM('balance sheet'!O50:O55))</f>
        <v>-345.15483584803587</v>
      </c>
      <c r="Q26" s="149">
        <f>-(SUM('balance sheet'!Q50:Q55)-SUM('balance sheet'!P50:P55))</f>
        <v>-361.75282087865708</v>
      </c>
      <c r="R26" s="149">
        <f>-(SUM('balance sheet'!R50:R55)-SUM('balance sheet'!Q50:Q55))</f>
        <v>-379.22762852258529</v>
      </c>
      <c r="S26" s="149">
        <f>-(SUM('balance sheet'!S50:S55)-SUM('balance sheet'!R50:R55))</f>
        <v>-397.62753242973122</v>
      </c>
    </row>
    <row r="27" spans="4:19" x14ac:dyDescent="0.25">
      <c r="D27" t="s">
        <v>233</v>
      </c>
      <c r="E27" s="149"/>
      <c r="F27" s="149">
        <f>-F9</f>
        <v>734.17</v>
      </c>
      <c r="G27" s="149">
        <f t="shared" ref="G27:S27" si="3">-G9</f>
        <v>507.81</v>
      </c>
      <c r="H27" s="149">
        <f t="shared" si="3"/>
        <v>503.08</v>
      </c>
      <c r="I27" s="149">
        <f t="shared" si="3"/>
        <v>616.95000000000005</v>
      </c>
      <c r="J27" s="149">
        <f t="shared" si="3"/>
        <v>703.4377419137769</v>
      </c>
      <c r="K27" s="149">
        <f t="shared" si="3"/>
        <v>802.0498529034013</v>
      </c>
      <c r="L27" s="149">
        <f t="shared" si="3"/>
        <v>914.48599956016778</v>
      </c>
      <c r="M27" s="149">
        <f t="shared" si="3"/>
        <v>1042.6841179064227</v>
      </c>
      <c r="N27" s="149">
        <f t="shared" si="3"/>
        <v>1188.8538154298606</v>
      </c>
      <c r="O27" s="149">
        <f t="shared" si="3"/>
        <v>1355.514455614813</v>
      </c>
      <c r="P27" s="149">
        <f t="shared" si="3"/>
        <v>1545.5385813909822</v>
      </c>
      <c r="Q27" s="149">
        <f t="shared" si="3"/>
        <v>1762.2014259409916</v>
      </c>
      <c r="R27" s="149">
        <f t="shared" si="3"/>
        <v>2009.2373642291411</v>
      </c>
      <c r="S27" s="149">
        <f t="shared" si="3"/>
        <v>2290.9042782431893</v>
      </c>
    </row>
    <row r="28" spans="4:19" x14ac:dyDescent="0.25">
      <c r="E28" s="149"/>
      <c r="F28" s="149"/>
      <c r="G28" s="149"/>
      <c r="H28" s="149"/>
      <c r="I28" s="149"/>
      <c r="J28" s="149"/>
      <c r="K28" s="149"/>
      <c r="L28" s="149"/>
      <c r="M28" s="149"/>
      <c r="N28" s="149"/>
      <c r="O28" s="149"/>
      <c r="P28" s="149"/>
      <c r="Q28" s="149"/>
      <c r="R28" s="149"/>
      <c r="S28" s="149"/>
    </row>
    <row r="29" spans="4:19" x14ac:dyDescent="0.25">
      <c r="D29" s="5" t="s">
        <v>234</v>
      </c>
      <c r="E29" s="162"/>
      <c r="F29" s="162">
        <f>SUM(F25:F27)</f>
        <v>230.47999999999627</v>
      </c>
      <c r="G29" s="162">
        <f t="shared" ref="G29:S29" si="4">SUM(G25:G27)</f>
        <v>-6412.0399999999709</v>
      </c>
      <c r="H29" s="162">
        <f t="shared" si="4"/>
        <v>-6690.6500000000124</v>
      </c>
      <c r="I29" s="162">
        <f t="shared" si="4"/>
        <v>-9527.9300000000076</v>
      </c>
      <c r="J29" s="162">
        <f t="shared" si="4"/>
        <v>-11724.270213418638</v>
      </c>
      <c r="K29" s="162">
        <f t="shared" si="4"/>
        <v>-12063.827686990617</v>
      </c>
      <c r="L29" s="162">
        <f t="shared" si="4"/>
        <v>-12473.105123968695</v>
      </c>
      <c r="M29" s="162">
        <f t="shared" si="4"/>
        <v>-12859.694208270133</v>
      </c>
      <c r="N29" s="162">
        <f t="shared" si="4"/>
        <v>-13225.525478836995</v>
      </c>
      <c r="O29" s="162">
        <f t="shared" si="4"/>
        <v>-13572.388906771657</v>
      </c>
      <c r="P29" s="162">
        <f t="shared" si="4"/>
        <v>-13898.15812771301</v>
      </c>
      <c r="Q29" s="162">
        <f t="shared" si="4"/>
        <v>-14200.543916734054</v>
      </c>
      <c r="R29" s="162">
        <f t="shared" si="4"/>
        <v>-14476.424228450154</v>
      </c>
      <c r="S29" s="162">
        <f t="shared" si="4"/>
        <v>-14722.24143624218</v>
      </c>
    </row>
    <row r="30" spans="4:19" x14ac:dyDescent="0.25">
      <c r="E30" s="149"/>
      <c r="F30" s="149"/>
      <c r="G30" s="149"/>
      <c r="H30" s="149"/>
      <c r="I30" s="149"/>
      <c r="J30" s="149"/>
      <c r="K30" s="149"/>
      <c r="L30" s="149"/>
      <c r="M30" s="149"/>
      <c r="N30" s="149"/>
      <c r="O30" s="149"/>
      <c r="P30" s="149"/>
      <c r="Q30" s="149"/>
      <c r="R30" s="149"/>
      <c r="S30" s="149"/>
    </row>
    <row r="31" spans="4:19" x14ac:dyDescent="0.25">
      <c r="D31" t="s">
        <v>235</v>
      </c>
      <c r="E31" s="149"/>
      <c r="F31" s="149">
        <f>-F8</f>
        <v>-1485.65</v>
      </c>
      <c r="G31" s="149">
        <f t="shared" ref="G31:S31" si="5">-G8</f>
        <v>-944.71</v>
      </c>
      <c r="H31" s="149">
        <f t="shared" si="5"/>
        <v>-822.72</v>
      </c>
      <c r="I31" s="149">
        <f t="shared" si="5"/>
        <v>-968</v>
      </c>
      <c r="J31" s="149">
        <f t="shared" si="5"/>
        <v>-2020.8195755231563</v>
      </c>
      <c r="K31" s="149">
        <f t="shared" si="5"/>
        <v>-2304.1101532071743</v>
      </c>
      <c r="L31" s="149">
        <f t="shared" si="5"/>
        <v>-2627.1140988615957</v>
      </c>
      <c r="M31" s="149">
        <f t="shared" si="5"/>
        <v>-2995.3986699944035</v>
      </c>
      <c r="N31" s="149">
        <f t="shared" si="5"/>
        <v>-3415.3115755772656</v>
      </c>
      <c r="O31" s="149">
        <f t="shared" si="5"/>
        <v>-3894.0903844007689</v>
      </c>
      <c r="P31" s="149">
        <f t="shared" si="5"/>
        <v>-4439.9872709474485</v>
      </c>
      <c r="Q31" s="149">
        <f t="shared" si="5"/>
        <v>-5062.4112488875699</v>
      </c>
      <c r="R31" s="149">
        <f t="shared" si="5"/>
        <v>-5772.0903437172774</v>
      </c>
      <c r="S31" s="149">
        <f t="shared" si="5"/>
        <v>-6581.2564997273639</v>
      </c>
    </row>
    <row r="32" spans="4:19" x14ac:dyDescent="0.25">
      <c r="D32" t="s">
        <v>236</v>
      </c>
      <c r="E32" s="149"/>
      <c r="F32" s="149">
        <f>-('balance sheet'!F11-'balance sheet'!E11)</f>
        <v>-1.999999999998181E-2</v>
      </c>
      <c r="G32" s="149">
        <f>-('balance sheet'!G11-'balance sheet'!F11)</f>
        <v>-2.0000000000038654E-2</v>
      </c>
      <c r="H32" s="149">
        <f>-('balance sheet'!H11-'balance sheet'!G11)</f>
        <v>-1.999999999998181E-2</v>
      </c>
      <c r="I32" s="149">
        <f>-('balance sheet'!I11-'balance sheet'!H11)</f>
        <v>0</v>
      </c>
      <c r="J32" s="149">
        <f>-('balance sheet'!J11-'balance sheet'!I11)</f>
        <v>0</v>
      </c>
      <c r="K32" s="149">
        <f>-('balance sheet'!K11-'balance sheet'!J11)</f>
        <v>0</v>
      </c>
      <c r="L32" s="149">
        <f>-('balance sheet'!L11-'balance sheet'!K11)</f>
        <v>0</v>
      </c>
      <c r="M32" s="149">
        <f>-('balance sheet'!M11-'balance sheet'!L11)</f>
        <v>0</v>
      </c>
      <c r="N32" s="149">
        <f>-('balance sheet'!N11-'balance sheet'!M11)</f>
        <v>0</v>
      </c>
      <c r="O32" s="149">
        <f>-('balance sheet'!O11-'balance sheet'!N11)</f>
        <v>0</v>
      </c>
      <c r="P32" s="149">
        <f>-('balance sheet'!P11-'balance sheet'!O11)</f>
        <v>0</v>
      </c>
      <c r="Q32" s="149">
        <f>-('balance sheet'!Q11-'balance sheet'!P11)</f>
        <v>0</v>
      </c>
      <c r="R32" s="149">
        <f>-('balance sheet'!R11-'balance sheet'!Q11)</f>
        <v>0</v>
      </c>
      <c r="S32" s="149">
        <f>-('balance sheet'!S11-'balance sheet'!R11)</f>
        <v>0</v>
      </c>
    </row>
    <row r="33" spans="4:19" x14ac:dyDescent="0.25">
      <c r="D33" t="s">
        <v>237</v>
      </c>
      <c r="E33" s="149"/>
      <c r="F33" s="149">
        <f>'balance sheet'!F12-'balance sheet'!E12-'Income '!G27</f>
        <v>-436.23496166997757</v>
      </c>
      <c r="G33" s="149">
        <f>'balance sheet'!G12-'balance sheet'!F12-'Income '!H27</f>
        <v>-913.77000000000498</v>
      </c>
      <c r="H33" s="149">
        <f>'balance sheet'!H12-'balance sheet'!G12-'Income '!I27</f>
        <v>-1184.1499999999987</v>
      </c>
      <c r="I33" s="149">
        <f>'balance sheet'!I12-'balance sheet'!H12-'Income '!J27</f>
        <v>-1154.5075712457465</v>
      </c>
      <c r="J33" s="149">
        <f>'balance sheet'!J12-'balance sheet'!I12-'Income '!K27</f>
        <v>-3142.4832867069181</v>
      </c>
      <c r="K33" s="149">
        <f>'balance sheet'!K12-'balance sheet'!J12-'Income '!L27</f>
        <v>-2766.0985355401972</v>
      </c>
      <c r="L33" s="149">
        <f>'balance sheet'!L12-'balance sheet'!K12-'Income '!M27</f>
        <v>-3197.7095235121797</v>
      </c>
      <c r="M33" s="149">
        <f>'balance sheet'!M12-'balance sheet'!L12-'Income '!N27</f>
        <v>-3711.127185634934</v>
      </c>
      <c r="N33" s="149">
        <f>'balance sheet'!N12-'balance sheet'!M12-'Income '!O27</f>
        <v>-4300.875180097777</v>
      </c>
      <c r="O33" s="149">
        <f>'balance sheet'!O12-'balance sheet'!N12-'Income '!P27</f>
        <v>-4977.5360930733805</v>
      </c>
      <c r="P33" s="149">
        <f>'balance sheet'!P12-'balance sheet'!O12-'Income '!Q27</f>
        <v>-5753.2168001874525</v>
      </c>
      <c r="Q33" s="149">
        <f>'balance sheet'!Q12-'balance sheet'!P12-'Income '!R27</f>
        <v>-6643.4956534205703</v>
      </c>
      <c r="R33" s="149">
        <f>'balance sheet'!R12-'balance sheet'!Q12-'Income '!S27</f>
        <v>-7663.8618341406473</v>
      </c>
      <c r="S33" s="149">
        <f>'balance sheet'!S12-'balance sheet'!R12-'Income '!T27</f>
        <v>-8832.8687609534973</v>
      </c>
    </row>
    <row r="34" spans="4:19" x14ac:dyDescent="0.25">
      <c r="D34" t="s">
        <v>238</v>
      </c>
      <c r="E34" s="149"/>
      <c r="F34" s="149">
        <f>'balance sheet'!F13-'balance sheet'!E13</f>
        <v>-1.7999999999999998</v>
      </c>
      <c r="G34" s="149">
        <f>'balance sheet'!G13-'balance sheet'!F13</f>
        <v>-8.7799999999999994</v>
      </c>
      <c r="H34" s="149">
        <f>'balance sheet'!H13-'balance sheet'!G13</f>
        <v>58.690000000000005</v>
      </c>
      <c r="I34" s="149">
        <f>'balance sheet'!I13-'balance sheet'!H13</f>
        <v>0.30999999999999517</v>
      </c>
      <c r="J34" s="149">
        <f>'balance sheet'!J13-'balance sheet'!I13</f>
        <v>0</v>
      </c>
      <c r="K34" s="149">
        <f>'balance sheet'!K13-'balance sheet'!J13</f>
        <v>0</v>
      </c>
      <c r="L34" s="149">
        <f>'balance sheet'!L13-'balance sheet'!K13</f>
        <v>0</v>
      </c>
      <c r="M34" s="149">
        <f>'balance sheet'!M13-'balance sheet'!L13</f>
        <v>0</v>
      </c>
      <c r="N34" s="149">
        <f>'balance sheet'!N13-'balance sheet'!M13</f>
        <v>0</v>
      </c>
      <c r="O34" s="149">
        <f>'balance sheet'!O13-'balance sheet'!N13</f>
        <v>0</v>
      </c>
      <c r="P34" s="149">
        <f>'balance sheet'!P13-'balance sheet'!O13</f>
        <v>0</v>
      </c>
      <c r="Q34" s="149">
        <f>'balance sheet'!Q13-'balance sheet'!P13</f>
        <v>0</v>
      </c>
      <c r="R34" s="149">
        <f>'balance sheet'!R13-'balance sheet'!Q13</f>
        <v>0</v>
      </c>
      <c r="S34" s="149">
        <f>'balance sheet'!S13-'balance sheet'!R13</f>
        <v>0</v>
      </c>
    </row>
    <row r="35" spans="4:19" x14ac:dyDescent="0.25">
      <c r="D35" t="s">
        <v>239</v>
      </c>
      <c r="E35" s="149"/>
      <c r="F35" s="149">
        <f>'balance sheet'!F27-'balance sheet'!E27</f>
        <v>-2171.989999999998</v>
      </c>
      <c r="G35" s="149">
        <f>'balance sheet'!G27-'balance sheet'!F27</f>
        <v>-8171</v>
      </c>
      <c r="H35" s="149">
        <f>'balance sheet'!H27-'balance sheet'!G27</f>
        <v>334.61000000000058</v>
      </c>
      <c r="I35" s="149">
        <f>'balance sheet'!I27-'balance sheet'!H27</f>
        <v>37.6299999999992</v>
      </c>
      <c r="J35" s="149">
        <f>'balance sheet'!J27-'balance sheet'!I27</f>
        <v>1775.0202912678396</v>
      </c>
      <c r="K35" s="149">
        <f>'balance sheet'!K27-'balance sheet'!J27</f>
        <v>2057.1784992204721</v>
      </c>
      <c r="L35" s="149">
        <f>'balance sheet'!L27-'balance sheet'!K27</f>
        <v>2387.6473256461359</v>
      </c>
      <c r="M35" s="149">
        <f>'balance sheet'!M27-'balance sheet'!L27</f>
        <v>2775.107673094426</v>
      </c>
      <c r="N35" s="149">
        <f>'balance sheet'!N27-'balance sheet'!M27</f>
        <v>3229.8513757225919</v>
      </c>
      <c r="O35" s="149">
        <f>'balance sheet'!O27-'balance sheet'!N27</f>
        <v>3764.0863012310365</v>
      </c>
      <c r="P35" s="149">
        <f>'balance sheet'!P27-'balance sheet'!O27</f>
        <v>4392.2999577420342</v>
      </c>
      <c r="Q35" s="149">
        <f>'balance sheet'!Q27-'balance sheet'!P27</f>
        <v>5131.6929068128738</v>
      </c>
      <c r="R35" s="149">
        <f>'balance sheet'!R27-'balance sheet'!Q27</f>
        <v>6002.6954761304441</v>
      </c>
      <c r="S35" s="149">
        <f>'balance sheet'!S27-'balance sheet'!R27</f>
        <v>7029.5838841440127</v>
      </c>
    </row>
    <row r="36" spans="4:19" x14ac:dyDescent="0.25">
      <c r="E36" s="149"/>
      <c r="F36" s="149"/>
      <c r="G36" s="149"/>
      <c r="H36" s="149"/>
      <c r="I36" s="149"/>
      <c r="J36" s="149"/>
      <c r="K36" s="149"/>
      <c r="L36" s="149"/>
      <c r="M36" s="149"/>
      <c r="N36" s="149"/>
      <c r="O36" s="149"/>
      <c r="P36" s="149"/>
      <c r="Q36" s="149"/>
      <c r="R36" s="149"/>
      <c r="S36" s="149"/>
    </row>
    <row r="37" spans="4:19" x14ac:dyDescent="0.25">
      <c r="D37" s="5" t="s">
        <v>240</v>
      </c>
      <c r="E37" s="162"/>
      <c r="F37" s="162">
        <f>SUM(F31:F35)</f>
        <v>-4095.6949616699758</v>
      </c>
      <c r="G37" s="162">
        <f t="shared" ref="G37:S37" si="6">SUM(G31:G35)</f>
        <v>-10038.280000000004</v>
      </c>
      <c r="H37" s="162">
        <f t="shared" si="6"/>
        <v>-1613.5899999999981</v>
      </c>
      <c r="I37" s="162">
        <f t="shared" si="6"/>
        <v>-2084.5675712457473</v>
      </c>
      <c r="J37" s="162">
        <f t="shared" si="6"/>
        <v>-3388.2825709622348</v>
      </c>
      <c r="K37" s="162">
        <f t="shared" si="6"/>
        <v>-3013.0301895268994</v>
      </c>
      <c r="L37" s="162">
        <f t="shared" si="6"/>
        <v>-3437.1762967276391</v>
      </c>
      <c r="M37" s="162">
        <f t="shared" si="6"/>
        <v>-3931.4181825349115</v>
      </c>
      <c r="N37" s="162">
        <f t="shared" si="6"/>
        <v>-4486.3353799524502</v>
      </c>
      <c r="O37" s="162">
        <f t="shared" si="6"/>
        <v>-5107.5401762431138</v>
      </c>
      <c r="P37" s="162">
        <f t="shared" si="6"/>
        <v>-5800.9041133928658</v>
      </c>
      <c r="Q37" s="162">
        <f t="shared" si="6"/>
        <v>-6574.2139954952654</v>
      </c>
      <c r="R37" s="162">
        <f t="shared" si="6"/>
        <v>-7433.2567017274814</v>
      </c>
      <c r="S37" s="162">
        <f t="shared" si="6"/>
        <v>-8384.5413765368485</v>
      </c>
    </row>
    <row r="38" spans="4:19" x14ac:dyDescent="0.25">
      <c r="E38" s="149"/>
      <c r="F38" s="149"/>
      <c r="G38" s="149"/>
      <c r="H38" s="149"/>
      <c r="I38" s="149"/>
      <c r="J38" s="149"/>
      <c r="K38" s="149"/>
      <c r="L38" s="149"/>
      <c r="M38" s="149"/>
      <c r="N38" s="149"/>
      <c r="O38" s="149"/>
      <c r="P38" s="149"/>
      <c r="Q38" s="149"/>
      <c r="R38" s="149"/>
      <c r="S38" s="149"/>
    </row>
    <row r="39" spans="4:19" x14ac:dyDescent="0.25">
      <c r="D39" s="8" t="s">
        <v>241</v>
      </c>
      <c r="E39" s="163"/>
      <c r="F39" s="163">
        <f>F37+F29+F23</f>
        <v>5363.1950383300173</v>
      </c>
      <c r="G39" s="163">
        <f t="shared" ref="G39:S39" si="7">G37+G29+G23</f>
        <v>-13764.745038330002</v>
      </c>
      <c r="H39" s="163">
        <f t="shared" si="7"/>
        <v>845.28999999998814</v>
      </c>
      <c r="I39" s="163">
        <f t="shared" si="7"/>
        <v>-2165.2975712457501</v>
      </c>
      <c r="J39" s="163">
        <f t="shared" si="7"/>
        <v>-7535.9656228515787</v>
      </c>
      <c r="K39" s="163">
        <f t="shared" si="7"/>
        <v>-5804.6575679913694</v>
      </c>
      <c r="L39" s="163">
        <f t="shared" si="7"/>
        <v>-5427.7424402672623</v>
      </c>
      <c r="M39" s="163">
        <f t="shared" si="7"/>
        <v>-4946.6404273122098</v>
      </c>
      <c r="N39" s="163">
        <f t="shared" si="7"/>
        <v>-4338.8914990388876</v>
      </c>
      <c r="O39" s="163">
        <f t="shared" si="7"/>
        <v>-3588.1344019031167</v>
      </c>
      <c r="P39" s="163">
        <f t="shared" si="7"/>
        <v>-2671.203818351667</v>
      </c>
      <c r="Q39" s="163">
        <f t="shared" si="7"/>
        <v>-1563.0982322606433</v>
      </c>
      <c r="R39" s="163">
        <f t="shared" si="7"/>
        <v>-232.49296214915375</v>
      </c>
      <c r="S39" s="163">
        <f t="shared" si="7"/>
        <v>1356.5221950371269</v>
      </c>
    </row>
    <row r="40" spans="4:19" x14ac:dyDescent="0.25">
      <c r="D40" s="65" t="s">
        <v>242</v>
      </c>
      <c r="E40" s="164"/>
      <c r="F40" s="164">
        <f>'balance sheet'!E63</f>
        <v>146.53</v>
      </c>
      <c r="G40" s="164">
        <f>'balance sheet'!F63</f>
        <v>177.21</v>
      </c>
      <c r="H40" s="164">
        <f>'balance sheet'!G63</f>
        <v>120.54</v>
      </c>
      <c r="I40" s="164">
        <f>'balance sheet'!H63</f>
        <v>370.37</v>
      </c>
      <c r="J40" s="164">
        <f>'balance sheet'!I63</f>
        <v>553.58000000000004</v>
      </c>
      <c r="K40" s="164">
        <f>'balance sheet'!J63</f>
        <v>-157.20907817242778</v>
      </c>
      <c r="L40" s="164">
        <f>'balance sheet'!K63</f>
        <v>562.5182454183041</v>
      </c>
      <c r="M40" s="164">
        <f>'balance sheet'!L63</f>
        <v>2569.090591569412</v>
      </c>
      <c r="N40" s="164">
        <f>'balance sheet'!M63</f>
        <v>6090.7165420204037</v>
      </c>
      <c r="O40" s="164">
        <f>'balance sheet'!N63</f>
        <v>11402.419042904326</v>
      </c>
      <c r="P40" s="164">
        <f>'balance sheet'!O63</f>
        <v>18816.501702936679</v>
      </c>
      <c r="Q40" s="164">
        <f>'balance sheet'!P63</f>
        <v>28692.319453774628</v>
      </c>
      <c r="R40" s="164">
        <f>'balance sheet'!Q63</f>
        <v>41440.899376647489</v>
      </c>
      <c r="S40" s="164">
        <f>'balance sheet'!R63</f>
        <v>57535.936906096926</v>
      </c>
    </row>
    <row r="41" spans="4:19" x14ac:dyDescent="0.25">
      <c r="D41" s="40" t="s">
        <v>243</v>
      </c>
      <c r="E41" s="165"/>
      <c r="F41" s="165">
        <f>SUM(F39:F40)</f>
        <v>5509.725038330017</v>
      </c>
      <c r="G41" s="165">
        <f t="shared" ref="G41:S41" si="8">SUM(G39:G40)</f>
        <v>-13587.535038330003</v>
      </c>
      <c r="H41" s="165">
        <f t="shared" si="8"/>
        <v>965.8299999999881</v>
      </c>
      <c r="I41" s="165">
        <f t="shared" si="8"/>
        <v>-1794.9275712457502</v>
      </c>
      <c r="J41" s="165">
        <f t="shared" si="8"/>
        <v>-6982.3856228515788</v>
      </c>
      <c r="K41" s="165">
        <f t="shared" si="8"/>
        <v>-5961.8666461637968</v>
      </c>
      <c r="L41" s="165">
        <f t="shared" si="8"/>
        <v>-4865.2241948489582</v>
      </c>
      <c r="M41" s="165">
        <f t="shared" si="8"/>
        <v>-2377.5498357427978</v>
      </c>
      <c r="N41" s="165">
        <f t="shared" si="8"/>
        <v>1751.8250429815162</v>
      </c>
      <c r="O41" s="165">
        <f t="shared" si="8"/>
        <v>7814.2846410012098</v>
      </c>
      <c r="P41" s="165">
        <f t="shared" si="8"/>
        <v>16145.297884585012</v>
      </c>
      <c r="Q41" s="165">
        <f t="shared" si="8"/>
        <v>27129.221221513984</v>
      </c>
      <c r="R41" s="165">
        <f t="shared" si="8"/>
        <v>41208.406414498335</v>
      </c>
      <c r="S41" s="165">
        <f t="shared" si="8"/>
        <v>58892.459101134053</v>
      </c>
    </row>
    <row r="44" spans="4:19" x14ac:dyDescent="0.25">
      <c r="D44" s="102"/>
      <c r="E44" s="102"/>
      <c r="F44" s="102"/>
      <c r="G44" s="102"/>
      <c r="H44" s="102"/>
      <c r="I44" s="102"/>
      <c r="J44" s="102"/>
      <c r="K44" s="102"/>
      <c r="L44" s="102"/>
      <c r="M44" s="102"/>
      <c r="N44" s="102"/>
      <c r="O44" s="102"/>
      <c r="P44" s="102"/>
      <c r="Q44" s="102"/>
      <c r="R44" s="102"/>
      <c r="S44" s="102"/>
    </row>
  </sheetData>
  <pageMargins left="0.7" right="0.7" top="0.75" bottom="0.75" header="0.3" footer="0.3"/>
  <ignoredErrors>
    <ignoredError sqref="F14:S14" formula="1"/>
  </ignoredError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S252"/>
  <sheetViews>
    <sheetView showGridLines="0" workbookViewId="0">
      <selection activeCell="F2" sqref="F2"/>
    </sheetView>
  </sheetViews>
  <sheetFormatPr defaultRowHeight="15" x14ac:dyDescent="0.25"/>
  <cols>
    <col min="1" max="3" width="1.42578125" customWidth="1"/>
    <col min="4" max="4" width="10.140625" bestFit="1" customWidth="1"/>
    <col min="5" max="5" width="14.7109375" customWidth="1"/>
    <col min="6" max="6" width="13.140625" customWidth="1"/>
    <col min="7" max="7" width="13.7109375" customWidth="1"/>
    <col min="8" max="8" width="13.42578125" customWidth="1"/>
    <col min="10" max="10" width="18" bestFit="1" customWidth="1"/>
  </cols>
  <sheetData>
    <row r="3" spans="4:19" ht="33" customHeight="1" x14ac:dyDescent="0.25">
      <c r="D3" s="108" t="s">
        <v>244</v>
      </c>
      <c r="E3" s="109" t="s">
        <v>246</v>
      </c>
      <c r="F3" s="110" t="s">
        <v>248</v>
      </c>
      <c r="G3" s="109" t="s">
        <v>247</v>
      </c>
      <c r="H3" s="110" t="s">
        <v>249</v>
      </c>
    </row>
    <row r="4" spans="4:19" x14ac:dyDescent="0.25">
      <c r="D4" s="106">
        <v>45744</v>
      </c>
      <c r="E4" s="106">
        <v>23519.35</v>
      </c>
      <c r="F4" s="107">
        <f>E4/E5-1</f>
        <v>-3.0773208658039231E-3</v>
      </c>
      <c r="G4" s="106">
        <v>11509.55</v>
      </c>
      <c r="H4" s="107">
        <f>G4/G5-1</f>
        <v>-7.7631987309908501E-3</v>
      </c>
    </row>
    <row r="5" spans="4:19" x14ac:dyDescent="0.25">
      <c r="D5" s="106">
        <v>45743</v>
      </c>
      <c r="E5" s="106">
        <v>23591.95</v>
      </c>
      <c r="F5" s="107">
        <f t="shared" ref="F5:F68" si="0">E5/E6-1</f>
        <v>4.4748444342259663E-3</v>
      </c>
      <c r="G5" s="106">
        <v>11599.6</v>
      </c>
      <c r="H5" s="107">
        <f t="shared" ref="H5:H68" si="1">G5/G6-1</f>
        <v>1.7321370624709509E-2</v>
      </c>
      <c r="I5" s="67" t="s">
        <v>250</v>
      </c>
      <c r="J5" s="67">
        <f>SLOPE(H4:H251,F4:F251)</f>
        <v>1.1680249507855733</v>
      </c>
    </row>
    <row r="6" spans="4:19" x14ac:dyDescent="0.25">
      <c r="D6" s="106">
        <v>45742</v>
      </c>
      <c r="E6" s="106">
        <v>23486.85</v>
      </c>
      <c r="F6" s="107">
        <f t="shared" si="0"/>
        <v>-7.6810464475161044E-3</v>
      </c>
      <c r="G6" s="106">
        <v>11402.1</v>
      </c>
      <c r="H6" s="107">
        <f t="shared" si="1"/>
        <v>-1.6723286519805258E-3</v>
      </c>
    </row>
    <row r="7" spans="4:19" x14ac:dyDescent="0.25">
      <c r="D7" s="106">
        <v>45741</v>
      </c>
      <c r="E7" s="106">
        <v>23668.65</v>
      </c>
      <c r="F7" s="107">
        <f t="shared" si="0"/>
        <v>4.353642582852757E-4</v>
      </c>
      <c r="G7" s="106">
        <v>11421.2</v>
      </c>
      <c r="H7" s="107">
        <f t="shared" si="1"/>
        <v>3.3480527001592542E-2</v>
      </c>
    </row>
    <row r="8" spans="4:19" x14ac:dyDescent="0.25">
      <c r="D8" s="106">
        <v>45740</v>
      </c>
      <c r="E8" s="106">
        <v>23658.35</v>
      </c>
      <c r="F8" s="107">
        <f t="shared" si="0"/>
        <v>1.3188210908592346E-2</v>
      </c>
      <c r="G8" s="106">
        <v>11051.2</v>
      </c>
      <c r="H8" s="107">
        <f t="shared" si="1"/>
        <v>6.7825175940054994E-3</v>
      </c>
    </row>
    <row r="9" spans="4:19" x14ac:dyDescent="0.25">
      <c r="D9" s="106">
        <v>45737</v>
      </c>
      <c r="E9" s="106">
        <v>23350.400000000001</v>
      </c>
      <c r="F9" s="107">
        <f t="shared" si="0"/>
        <v>6.8885520673203082E-3</v>
      </c>
      <c r="G9" s="106">
        <v>10976.75</v>
      </c>
      <c r="H9" s="107">
        <f t="shared" si="1"/>
        <v>2.6123134958875305E-3</v>
      </c>
      <c r="J9" s="112"/>
      <c r="K9" s="113"/>
      <c r="L9" s="113"/>
      <c r="M9" s="113"/>
      <c r="N9" s="113"/>
      <c r="O9" s="113"/>
      <c r="P9" s="113"/>
      <c r="Q9" s="113"/>
      <c r="R9" s="113"/>
      <c r="S9" s="114"/>
    </row>
    <row r="10" spans="4:19" x14ac:dyDescent="0.25">
      <c r="D10" s="106">
        <v>45736</v>
      </c>
      <c r="E10" s="106">
        <v>23190.65</v>
      </c>
      <c r="F10" s="107">
        <f t="shared" si="0"/>
        <v>1.2356161273987754E-2</v>
      </c>
      <c r="G10" s="106">
        <v>10948.15</v>
      </c>
      <c r="H10" s="107">
        <f t="shared" si="1"/>
        <v>1.3628152653601955E-3</v>
      </c>
      <c r="J10" s="115" t="s">
        <v>251</v>
      </c>
      <c r="K10" s="116"/>
      <c r="L10" s="116"/>
      <c r="M10" s="116"/>
      <c r="N10" s="116"/>
      <c r="O10" s="116"/>
      <c r="P10" s="116"/>
      <c r="Q10" s="116"/>
      <c r="R10" s="116"/>
      <c r="S10" s="117"/>
    </row>
    <row r="11" spans="4:19" ht="15.75" thickBot="1" x14ac:dyDescent="0.3">
      <c r="D11" s="106">
        <v>45735</v>
      </c>
      <c r="E11" s="106">
        <v>22907.599999999999</v>
      </c>
      <c r="F11" s="107">
        <f t="shared" si="0"/>
        <v>3.2100830767747279E-3</v>
      </c>
      <c r="G11" s="106">
        <v>10933.25</v>
      </c>
      <c r="H11" s="107">
        <f t="shared" si="1"/>
        <v>2.1980538600312238E-2</v>
      </c>
      <c r="J11" s="118"/>
      <c r="K11" s="116"/>
      <c r="L11" s="116"/>
      <c r="M11" s="116"/>
      <c r="N11" s="116"/>
      <c r="O11" s="116"/>
      <c r="P11" s="116"/>
      <c r="Q11" s="116"/>
      <c r="R11" s="116"/>
      <c r="S11" s="117"/>
    </row>
    <row r="12" spans="4:19" x14ac:dyDescent="0.25">
      <c r="D12" s="106">
        <v>45734</v>
      </c>
      <c r="E12" s="106">
        <v>22834.3</v>
      </c>
      <c r="F12" s="107">
        <f t="shared" si="0"/>
        <v>1.4463264286110888E-2</v>
      </c>
      <c r="G12" s="106">
        <v>10698.1</v>
      </c>
      <c r="H12" s="107">
        <f t="shared" si="1"/>
        <v>1.431673161342939E-2</v>
      </c>
      <c r="J12" s="119" t="s">
        <v>252</v>
      </c>
      <c r="K12" s="120"/>
      <c r="L12" s="116"/>
      <c r="M12" s="116"/>
      <c r="N12" s="116"/>
      <c r="O12" s="116"/>
      <c r="P12" s="116"/>
      <c r="Q12" s="116"/>
      <c r="R12" s="116"/>
      <c r="S12" s="117"/>
    </row>
    <row r="13" spans="4:19" x14ac:dyDescent="0.25">
      <c r="D13" s="106">
        <v>45733</v>
      </c>
      <c r="E13" s="106">
        <v>22508.75</v>
      </c>
      <c r="F13" s="107">
        <f t="shared" si="0"/>
        <v>4.9805332809458314E-3</v>
      </c>
      <c r="G13" s="106">
        <v>10547.1</v>
      </c>
      <c r="H13" s="107">
        <f t="shared" si="1"/>
        <v>9.0890825767071526E-3</v>
      </c>
      <c r="J13" s="121" t="s">
        <v>253</v>
      </c>
      <c r="K13" s="122">
        <v>0.65650719606125696</v>
      </c>
      <c r="L13" s="116"/>
      <c r="M13" s="116"/>
      <c r="N13" s="116"/>
      <c r="O13" s="116"/>
      <c r="P13" s="116"/>
      <c r="Q13" s="116"/>
      <c r="R13" s="116"/>
      <c r="S13" s="117"/>
    </row>
    <row r="14" spans="4:19" x14ac:dyDescent="0.25">
      <c r="D14" s="106">
        <v>45729</v>
      </c>
      <c r="E14" s="106">
        <v>22397.200000000001</v>
      </c>
      <c r="F14" s="107">
        <f t="shared" si="0"/>
        <v>-3.2620546939320372E-3</v>
      </c>
      <c r="G14" s="106">
        <v>10452.1</v>
      </c>
      <c r="H14" s="107">
        <f t="shared" si="1"/>
        <v>-6.4921485875061302E-3</v>
      </c>
      <c r="J14" s="121" t="s">
        <v>254</v>
      </c>
      <c r="K14" s="122">
        <v>0.43100169848021369</v>
      </c>
      <c r="L14" s="116"/>
      <c r="M14" s="116"/>
      <c r="N14" s="116"/>
      <c r="O14" s="116"/>
      <c r="P14" s="116"/>
      <c r="Q14" s="116"/>
      <c r="R14" s="116"/>
      <c r="S14" s="117"/>
    </row>
    <row r="15" spans="4:19" x14ac:dyDescent="0.25">
      <c r="D15" s="106">
        <v>45728</v>
      </c>
      <c r="E15" s="106">
        <v>22470.5</v>
      </c>
      <c r="F15" s="107">
        <f t="shared" si="0"/>
        <v>-1.2178914476462799E-3</v>
      </c>
      <c r="G15" s="106">
        <v>10520.4</v>
      </c>
      <c r="H15" s="107">
        <f t="shared" si="1"/>
        <v>7.7735469502118182E-3</v>
      </c>
      <c r="J15" s="121" t="s">
        <v>255</v>
      </c>
      <c r="K15" s="122">
        <v>0.42868869725452352</v>
      </c>
      <c r="L15" s="116"/>
      <c r="M15" s="116"/>
      <c r="N15" s="116"/>
      <c r="O15" s="116"/>
      <c r="P15" s="116"/>
      <c r="Q15" s="116"/>
      <c r="R15" s="116"/>
      <c r="S15" s="117"/>
    </row>
    <row r="16" spans="4:19" x14ac:dyDescent="0.25">
      <c r="D16" s="106">
        <v>45727</v>
      </c>
      <c r="E16" s="106">
        <v>22497.9</v>
      </c>
      <c r="F16" s="107">
        <f t="shared" si="0"/>
        <v>1.6740649056334878E-3</v>
      </c>
      <c r="G16" s="106">
        <v>10439.25</v>
      </c>
      <c r="H16" s="107">
        <f t="shared" si="1"/>
        <v>-7.6852881626601199E-3</v>
      </c>
      <c r="J16" s="121" t="s">
        <v>256</v>
      </c>
      <c r="K16" s="122">
        <v>1.1915081189496093E-2</v>
      </c>
      <c r="L16" s="116"/>
      <c r="M16" s="116"/>
      <c r="N16" s="116"/>
      <c r="O16" s="116"/>
      <c r="P16" s="116"/>
      <c r="Q16" s="116"/>
      <c r="R16" s="116"/>
      <c r="S16" s="117"/>
    </row>
    <row r="17" spans="4:19" ht="15.75" thickBot="1" x14ac:dyDescent="0.3">
      <c r="D17" s="106">
        <v>45726</v>
      </c>
      <c r="E17" s="106">
        <v>22460.3</v>
      </c>
      <c r="F17" s="107">
        <f t="shared" si="0"/>
        <v>-4.0882385544840361E-3</v>
      </c>
      <c r="G17" s="106">
        <v>10520.1</v>
      </c>
      <c r="H17" s="107">
        <f t="shared" si="1"/>
        <v>-5.8871333534925574E-3</v>
      </c>
      <c r="J17" s="123" t="s">
        <v>257</v>
      </c>
      <c r="K17" s="124">
        <v>248</v>
      </c>
      <c r="L17" s="116"/>
      <c r="M17" s="116"/>
      <c r="N17" s="116"/>
      <c r="O17" s="116"/>
      <c r="P17" s="116"/>
      <c r="Q17" s="116"/>
      <c r="R17" s="116"/>
      <c r="S17" s="117"/>
    </row>
    <row r="18" spans="4:19" x14ac:dyDescent="0.25">
      <c r="D18" s="106">
        <v>45723</v>
      </c>
      <c r="E18" s="106">
        <v>22552.5</v>
      </c>
      <c r="F18" s="107">
        <f t="shared" si="0"/>
        <v>3.459793210820461E-4</v>
      </c>
      <c r="G18" s="106">
        <v>10582.4</v>
      </c>
      <c r="H18" s="107">
        <f t="shared" si="1"/>
        <v>8.4719111831133009E-3</v>
      </c>
      <c r="J18" s="118"/>
      <c r="K18" s="116"/>
      <c r="L18" s="116"/>
      <c r="M18" s="116"/>
      <c r="N18" s="116"/>
      <c r="O18" s="116"/>
      <c r="P18" s="116"/>
      <c r="Q18" s="116"/>
      <c r="R18" s="116"/>
      <c r="S18" s="117"/>
    </row>
    <row r="19" spans="4:19" ht="15.75" thickBot="1" x14ac:dyDescent="0.3">
      <c r="D19" s="106">
        <v>45722</v>
      </c>
      <c r="E19" s="106">
        <v>22544.7</v>
      </c>
      <c r="F19" s="107">
        <f t="shared" si="0"/>
        <v>9.2849180518683738E-3</v>
      </c>
      <c r="G19" s="106">
        <v>10493.5</v>
      </c>
      <c r="H19" s="107">
        <f t="shared" si="1"/>
        <v>2.8000229353413175E-3</v>
      </c>
      <c r="J19" s="115" t="s">
        <v>258</v>
      </c>
      <c r="K19" s="125"/>
      <c r="L19" s="125"/>
      <c r="M19" s="125"/>
      <c r="N19" s="125"/>
      <c r="O19" s="125"/>
      <c r="P19" s="125"/>
      <c r="Q19" s="116"/>
      <c r="R19" s="116"/>
      <c r="S19" s="117"/>
    </row>
    <row r="20" spans="4:19" x14ac:dyDescent="0.25">
      <c r="D20" s="106">
        <v>45721</v>
      </c>
      <c r="E20" s="106">
        <v>22337.3</v>
      </c>
      <c r="F20" s="107">
        <f t="shared" si="0"/>
        <v>1.1531677583985545E-2</v>
      </c>
      <c r="G20" s="106">
        <v>10464.200000000001</v>
      </c>
      <c r="H20" s="107">
        <f t="shared" si="1"/>
        <v>9.0741651478771779E-3</v>
      </c>
      <c r="J20" s="126"/>
      <c r="K20" s="127" t="s">
        <v>263</v>
      </c>
      <c r="L20" s="127" t="s">
        <v>264</v>
      </c>
      <c r="M20" s="127" t="s">
        <v>265</v>
      </c>
      <c r="N20" s="127" t="s">
        <v>266</v>
      </c>
      <c r="O20" s="127" t="s">
        <v>267</v>
      </c>
      <c r="P20" s="125"/>
      <c r="Q20" s="116"/>
      <c r="R20" s="116"/>
      <c r="S20" s="117"/>
    </row>
    <row r="21" spans="4:19" x14ac:dyDescent="0.25">
      <c r="D21" s="106">
        <v>45720</v>
      </c>
      <c r="E21" s="106">
        <v>22082.65</v>
      </c>
      <c r="F21" s="107">
        <f t="shared" si="0"/>
        <v>-1.6569240437083188E-3</v>
      </c>
      <c r="G21" s="106">
        <v>10370.1</v>
      </c>
      <c r="H21" s="107">
        <f t="shared" si="1"/>
        <v>2.8334364846047677E-3</v>
      </c>
      <c r="J21" s="121" t="s">
        <v>259</v>
      </c>
      <c r="K21" s="122">
        <v>1</v>
      </c>
      <c r="L21" s="122">
        <v>2.6454352166105984E-2</v>
      </c>
      <c r="M21" s="122">
        <v>2.6454352166105984E-2</v>
      </c>
      <c r="N21" s="122">
        <v>186.33872463755606</v>
      </c>
      <c r="O21" s="122">
        <v>5.8231611715916417E-32</v>
      </c>
      <c r="P21" s="116"/>
      <c r="Q21" s="116"/>
      <c r="R21" s="116"/>
      <c r="S21" s="117"/>
    </row>
    <row r="22" spans="4:19" x14ac:dyDescent="0.25">
      <c r="D22" s="106">
        <v>45719</v>
      </c>
      <c r="E22" s="106">
        <v>22119.3</v>
      </c>
      <c r="F22" s="107">
        <f t="shared" si="0"/>
        <v>-2.4407110604895976E-4</v>
      </c>
      <c r="G22" s="106">
        <v>10340.799999999999</v>
      </c>
      <c r="H22" s="107">
        <f t="shared" si="1"/>
        <v>2.096569563951034E-2</v>
      </c>
      <c r="J22" s="121" t="s">
        <v>260</v>
      </c>
      <c r="K22" s="122">
        <v>246</v>
      </c>
      <c r="L22" s="122">
        <v>3.492441329906177E-2</v>
      </c>
      <c r="M22" s="122">
        <v>1.4196915975228362E-4</v>
      </c>
      <c r="N22" s="122"/>
      <c r="O22" s="122"/>
      <c r="P22" s="116"/>
      <c r="Q22" s="116"/>
      <c r="R22" s="116"/>
      <c r="S22" s="117"/>
    </row>
    <row r="23" spans="4:19" ht="15.75" thickBot="1" x14ac:dyDescent="0.3">
      <c r="D23" s="106">
        <v>45716</v>
      </c>
      <c r="E23" s="106">
        <v>22124.7</v>
      </c>
      <c r="F23" s="107">
        <f t="shared" si="0"/>
        <v>-1.8644891007116748E-2</v>
      </c>
      <c r="G23" s="106">
        <v>10128.450000000001</v>
      </c>
      <c r="H23" s="107">
        <f t="shared" si="1"/>
        <v>-3.0552325164031946E-2</v>
      </c>
      <c r="J23" s="123" t="s">
        <v>261</v>
      </c>
      <c r="K23" s="124">
        <v>247</v>
      </c>
      <c r="L23" s="124">
        <v>6.1378765465167753E-2</v>
      </c>
      <c r="M23" s="124"/>
      <c r="N23" s="124"/>
      <c r="O23" s="124"/>
      <c r="P23" s="116"/>
      <c r="Q23" s="116"/>
      <c r="R23" s="116"/>
      <c r="S23" s="117"/>
    </row>
    <row r="24" spans="4:19" ht="15.75" thickBot="1" x14ac:dyDescent="0.3">
      <c r="D24" s="106">
        <v>45715</v>
      </c>
      <c r="E24" s="106">
        <v>22545.05</v>
      </c>
      <c r="F24" s="107">
        <f t="shared" si="0"/>
        <v>-1.1087679149179852E-4</v>
      </c>
      <c r="G24" s="106">
        <v>10447.65</v>
      </c>
      <c r="H24" s="107">
        <f t="shared" si="1"/>
        <v>-4.7108074953370771E-2</v>
      </c>
      <c r="J24" s="118"/>
      <c r="K24" s="116"/>
      <c r="L24" s="116"/>
      <c r="M24" s="116"/>
      <c r="N24" s="116"/>
      <c r="O24" s="116"/>
      <c r="P24" s="116"/>
      <c r="Q24" s="116"/>
      <c r="R24" s="116"/>
      <c r="S24" s="117"/>
    </row>
    <row r="25" spans="4:19" x14ac:dyDescent="0.25">
      <c r="D25" s="106">
        <v>45713</v>
      </c>
      <c r="E25" s="106">
        <v>22547.55</v>
      </c>
      <c r="F25" s="107">
        <f t="shared" si="0"/>
        <v>-2.5716800386632599E-4</v>
      </c>
      <c r="G25" s="106">
        <v>10964.15</v>
      </c>
      <c r="H25" s="107">
        <f t="shared" si="1"/>
        <v>-7.1088008766011512E-3</v>
      </c>
      <c r="J25" s="126"/>
      <c r="K25" s="127" t="s">
        <v>268</v>
      </c>
      <c r="L25" s="127" t="s">
        <v>256</v>
      </c>
      <c r="M25" s="127" t="s">
        <v>269</v>
      </c>
      <c r="N25" s="127" t="s">
        <v>270</v>
      </c>
      <c r="O25" s="127" t="s">
        <v>271</v>
      </c>
      <c r="P25" s="127" t="s">
        <v>272</v>
      </c>
      <c r="Q25" s="127" t="s">
        <v>273</v>
      </c>
      <c r="R25" s="127" t="s">
        <v>274</v>
      </c>
      <c r="S25" s="117"/>
    </row>
    <row r="26" spans="4:19" x14ac:dyDescent="0.25">
      <c r="D26" s="106">
        <v>45712</v>
      </c>
      <c r="E26" s="106">
        <v>22553.35</v>
      </c>
      <c r="F26" s="107">
        <f t="shared" si="0"/>
        <v>-1.0640071240881177E-2</v>
      </c>
      <c r="G26" s="106">
        <v>11042.65</v>
      </c>
      <c r="H26" s="107">
        <f t="shared" si="1"/>
        <v>-1.0271348226489563E-2</v>
      </c>
      <c r="J26" s="121" t="s">
        <v>262</v>
      </c>
      <c r="K26" s="122">
        <v>4.4604415293569475E-4</v>
      </c>
      <c r="L26" s="122">
        <v>7.5685288360207575E-4</v>
      </c>
      <c r="M26" s="122">
        <v>0.58934062695625222</v>
      </c>
      <c r="N26" s="122">
        <v>0.55617363058492431</v>
      </c>
      <c r="O26" s="122">
        <v>-1.0446942900041911E-3</v>
      </c>
      <c r="P26" s="122">
        <v>1.9367825958755806E-3</v>
      </c>
      <c r="Q26" s="122">
        <v>-1.0446942900041911E-3</v>
      </c>
      <c r="R26" s="122">
        <v>1.9367825958755806E-3</v>
      </c>
      <c r="S26" s="117"/>
    </row>
    <row r="27" spans="4:19" ht="15.75" thickBot="1" x14ac:dyDescent="0.3">
      <c r="D27" s="106">
        <v>45709</v>
      </c>
      <c r="E27" s="106">
        <v>22795.9</v>
      </c>
      <c r="F27" s="107">
        <f t="shared" si="0"/>
        <v>-5.1171488861200265E-3</v>
      </c>
      <c r="G27" s="106">
        <v>11157.25</v>
      </c>
      <c r="H27" s="107">
        <f t="shared" si="1"/>
        <v>-1.1548070448988312E-2</v>
      </c>
      <c r="J27" s="123" t="s">
        <v>275</v>
      </c>
      <c r="K27" s="128">
        <v>1.1680249507855749</v>
      </c>
      <c r="L27" s="124">
        <v>8.5565868082143073E-2</v>
      </c>
      <c r="M27" s="124">
        <v>13.650594296130709</v>
      </c>
      <c r="N27" s="124">
        <v>5.8231611715912256E-32</v>
      </c>
      <c r="O27" s="124">
        <v>0.9994897813792073</v>
      </c>
      <c r="P27" s="124">
        <v>1.3365601201919426</v>
      </c>
      <c r="Q27" s="124">
        <v>0.9994897813792073</v>
      </c>
      <c r="R27" s="124">
        <v>1.3365601201919426</v>
      </c>
      <c r="S27" s="117"/>
    </row>
    <row r="28" spans="4:19" x14ac:dyDescent="0.25">
      <c r="D28" s="106">
        <v>45708</v>
      </c>
      <c r="E28" s="106">
        <v>22913.15</v>
      </c>
      <c r="F28" s="107">
        <f t="shared" si="0"/>
        <v>-8.6120813329326751E-4</v>
      </c>
      <c r="G28" s="106">
        <v>11287.6</v>
      </c>
      <c r="H28" s="107">
        <f t="shared" si="1"/>
        <v>-3.498191125220762E-4</v>
      </c>
      <c r="J28" s="129"/>
      <c r="K28" s="130"/>
      <c r="L28" s="130"/>
      <c r="M28" s="130"/>
      <c r="N28" s="130"/>
      <c r="O28" s="130"/>
      <c r="P28" s="130"/>
      <c r="Q28" s="130"/>
      <c r="R28" s="130"/>
      <c r="S28" s="131"/>
    </row>
    <row r="29" spans="4:19" x14ac:dyDescent="0.25">
      <c r="D29" s="106">
        <v>45707</v>
      </c>
      <c r="E29" s="106">
        <v>22932.9</v>
      </c>
      <c r="F29" s="107">
        <f t="shared" si="0"/>
        <v>-5.4041568425766684E-4</v>
      </c>
      <c r="G29" s="106">
        <v>11291.55</v>
      </c>
      <c r="H29" s="107">
        <f t="shared" si="1"/>
        <v>-1.5341898858421965E-3</v>
      </c>
    </row>
    <row r="30" spans="4:19" x14ac:dyDescent="0.25">
      <c r="D30" s="106">
        <v>45706</v>
      </c>
      <c r="E30" s="106">
        <v>22945.3</v>
      </c>
      <c r="F30" s="107">
        <f t="shared" si="0"/>
        <v>-6.1848036760381309E-4</v>
      </c>
      <c r="G30" s="106">
        <v>11308.9</v>
      </c>
      <c r="H30" s="107">
        <f t="shared" si="1"/>
        <v>-1.5770097736312216E-2</v>
      </c>
    </row>
    <row r="31" spans="4:19" x14ac:dyDescent="0.25">
      <c r="D31" s="106">
        <v>45705</v>
      </c>
      <c r="E31" s="106">
        <v>22959.5</v>
      </c>
      <c r="F31" s="107">
        <f t="shared" si="0"/>
        <v>1.3192755977626813E-3</v>
      </c>
      <c r="G31" s="106">
        <v>11490.1</v>
      </c>
      <c r="H31" s="107">
        <f t="shared" si="1"/>
        <v>2.0086382542381154E-2</v>
      </c>
    </row>
    <row r="32" spans="4:19" x14ac:dyDescent="0.25">
      <c r="D32" s="106">
        <v>45702</v>
      </c>
      <c r="E32" s="106">
        <v>22929.25</v>
      </c>
      <c r="F32" s="107">
        <f t="shared" si="0"/>
        <v>-4.4352492683902289E-3</v>
      </c>
      <c r="G32" s="106">
        <v>11263.85</v>
      </c>
      <c r="H32" s="107">
        <f t="shared" si="1"/>
        <v>-2.4475055103516663E-2</v>
      </c>
    </row>
    <row r="33" spans="4:8" x14ac:dyDescent="0.25">
      <c r="D33" s="106">
        <v>45701</v>
      </c>
      <c r="E33" s="106">
        <v>23031.4</v>
      </c>
      <c r="F33" s="107">
        <f t="shared" si="0"/>
        <v>-6.0099152753811946E-4</v>
      </c>
      <c r="G33" s="106">
        <v>11546.45</v>
      </c>
      <c r="H33" s="107">
        <f t="shared" si="1"/>
        <v>5.9197630352398889E-3</v>
      </c>
    </row>
    <row r="34" spans="4:8" x14ac:dyDescent="0.25">
      <c r="D34" s="106">
        <v>45700</v>
      </c>
      <c r="E34" s="106">
        <v>23045.25</v>
      </c>
      <c r="F34" s="107">
        <f t="shared" si="0"/>
        <v>-1.1507554677138154E-3</v>
      </c>
      <c r="G34" s="106">
        <v>11478.5</v>
      </c>
      <c r="H34" s="107">
        <f t="shared" si="1"/>
        <v>1.5778481796782318E-2</v>
      </c>
    </row>
    <row r="35" spans="4:8" x14ac:dyDescent="0.25">
      <c r="D35" s="106">
        <v>45699</v>
      </c>
      <c r="E35" s="106">
        <v>23071.8</v>
      </c>
      <c r="F35" s="107">
        <f t="shared" si="0"/>
        <v>-1.3249734834228644E-2</v>
      </c>
      <c r="G35" s="106">
        <v>11300.2</v>
      </c>
      <c r="H35" s="107">
        <f t="shared" si="1"/>
        <v>-2.0126080660405887E-2</v>
      </c>
    </row>
    <row r="36" spans="4:8" x14ac:dyDescent="0.25">
      <c r="D36" s="106">
        <v>45698</v>
      </c>
      <c r="E36" s="106">
        <v>23381.599999999999</v>
      </c>
      <c r="F36" s="107">
        <f t="shared" si="0"/>
        <v>-7.5700500213287114E-3</v>
      </c>
      <c r="G36" s="106">
        <v>11532.3</v>
      </c>
      <c r="H36" s="107">
        <f t="shared" si="1"/>
        <v>-9.3036441420546456E-3</v>
      </c>
    </row>
    <row r="37" spans="4:8" x14ac:dyDescent="0.25">
      <c r="D37" s="106">
        <v>45695</v>
      </c>
      <c r="E37" s="106">
        <v>23559.95</v>
      </c>
      <c r="F37" s="107">
        <f t="shared" si="0"/>
        <v>-1.8387220458111475E-3</v>
      </c>
      <c r="G37" s="106">
        <v>11640.6</v>
      </c>
      <c r="H37" s="107">
        <f t="shared" si="1"/>
        <v>1.4223666612937613E-2</v>
      </c>
    </row>
    <row r="38" spans="4:8" x14ac:dyDescent="0.25">
      <c r="D38" s="106">
        <v>45694</v>
      </c>
      <c r="E38" s="106">
        <v>23603.35</v>
      </c>
      <c r="F38" s="107">
        <f t="shared" si="0"/>
        <v>-3.922553310010457E-3</v>
      </c>
      <c r="G38" s="106">
        <v>11477.35</v>
      </c>
      <c r="H38" s="107">
        <f t="shared" si="1"/>
        <v>-9.3520460567769748E-3</v>
      </c>
    </row>
    <row r="39" spans="4:8" x14ac:dyDescent="0.25">
      <c r="D39" s="106">
        <v>45693</v>
      </c>
      <c r="E39" s="106">
        <v>23696.3</v>
      </c>
      <c r="F39" s="107">
        <f t="shared" si="0"/>
        <v>-1.8092399717767327E-3</v>
      </c>
      <c r="G39" s="106">
        <v>11585.7</v>
      </c>
      <c r="H39" s="107">
        <f t="shared" si="1"/>
        <v>5.7773360013544384E-3</v>
      </c>
    </row>
    <row r="40" spans="4:8" x14ac:dyDescent="0.25">
      <c r="D40" s="106">
        <v>45692</v>
      </c>
      <c r="E40" s="106">
        <v>23739.25</v>
      </c>
      <c r="F40" s="107">
        <f t="shared" si="0"/>
        <v>1.6189340804458663E-2</v>
      </c>
      <c r="G40" s="106">
        <v>11519.15</v>
      </c>
      <c r="H40" s="107">
        <f t="shared" si="1"/>
        <v>3.0828706044484511E-2</v>
      </c>
    </row>
    <row r="41" spans="4:8" x14ac:dyDescent="0.25">
      <c r="D41" s="106">
        <v>45691</v>
      </c>
      <c r="E41" s="106">
        <v>23361.05</v>
      </c>
      <c r="F41" s="107">
        <f t="shared" si="0"/>
        <v>-5.1571086974575575E-3</v>
      </c>
      <c r="G41" s="106">
        <v>11174.65</v>
      </c>
      <c r="H41" s="107">
        <f t="shared" si="1"/>
        <v>-7.5050070387195911E-3</v>
      </c>
    </row>
    <row r="42" spans="4:8" x14ac:dyDescent="0.25">
      <c r="D42" s="106">
        <v>45689</v>
      </c>
      <c r="E42" s="106">
        <v>23482.15</v>
      </c>
      <c r="F42" s="107">
        <f t="shared" si="0"/>
        <v>-1.1166221435742196E-3</v>
      </c>
      <c r="G42" s="106">
        <v>11259.15</v>
      </c>
      <c r="H42" s="107">
        <f t="shared" si="1"/>
        <v>-1.9873862345429205E-2</v>
      </c>
    </row>
    <row r="43" spans="4:8" x14ac:dyDescent="0.25">
      <c r="D43" s="106">
        <v>45688</v>
      </c>
      <c r="E43" s="106">
        <v>23508.400000000001</v>
      </c>
      <c r="F43" s="107">
        <f t="shared" si="0"/>
        <v>1.1135723348889348E-2</v>
      </c>
      <c r="G43" s="106">
        <v>11487.45</v>
      </c>
      <c r="H43" s="107">
        <f t="shared" si="1"/>
        <v>7.0125616321425888E-4</v>
      </c>
    </row>
    <row r="44" spans="4:8" x14ac:dyDescent="0.25">
      <c r="D44" s="106">
        <v>45687</v>
      </c>
      <c r="E44" s="106">
        <v>23249.5</v>
      </c>
      <c r="F44" s="107">
        <f t="shared" si="0"/>
        <v>3.7300706727512178E-3</v>
      </c>
      <c r="G44" s="106">
        <v>11479.4</v>
      </c>
      <c r="H44" s="107">
        <f t="shared" si="1"/>
        <v>-5.669194489317797E-3</v>
      </c>
    </row>
    <row r="45" spans="4:8" x14ac:dyDescent="0.25">
      <c r="D45" s="106">
        <v>45686</v>
      </c>
      <c r="E45" s="106">
        <v>23163.1</v>
      </c>
      <c r="F45" s="107">
        <f t="shared" si="0"/>
        <v>8.9666663036731542E-3</v>
      </c>
      <c r="G45" s="106">
        <v>11544.85</v>
      </c>
      <c r="H45" s="107">
        <f t="shared" si="1"/>
        <v>2.1998256073864519E-2</v>
      </c>
    </row>
    <row r="46" spans="4:8" x14ac:dyDescent="0.25">
      <c r="D46" s="106">
        <v>45685</v>
      </c>
      <c r="E46" s="106">
        <v>22957.25</v>
      </c>
      <c r="F46" s="107">
        <f t="shared" si="0"/>
        <v>5.6112470240896606E-3</v>
      </c>
      <c r="G46" s="106">
        <v>11296.35</v>
      </c>
      <c r="H46" s="107">
        <f t="shared" si="1"/>
        <v>5.0580541839049253E-3</v>
      </c>
    </row>
    <row r="47" spans="4:8" x14ac:dyDescent="0.25">
      <c r="D47" s="106">
        <v>45684</v>
      </c>
      <c r="E47" s="106">
        <v>22829.15</v>
      </c>
      <c r="F47" s="107">
        <f t="shared" si="0"/>
        <v>-1.139129229783209E-2</v>
      </c>
      <c r="G47" s="106">
        <v>11239.5</v>
      </c>
      <c r="H47" s="107">
        <f t="shared" si="1"/>
        <v>-4.1069126383923571E-3</v>
      </c>
    </row>
    <row r="48" spans="4:8" x14ac:dyDescent="0.25">
      <c r="D48" s="106">
        <v>45681</v>
      </c>
      <c r="E48" s="106">
        <v>23092.2</v>
      </c>
      <c r="F48" s="107">
        <f t="shared" si="0"/>
        <v>-4.876030742910431E-3</v>
      </c>
      <c r="G48" s="106">
        <v>11285.85</v>
      </c>
      <c r="H48" s="107">
        <f t="shared" si="1"/>
        <v>-1.1824812405327068E-2</v>
      </c>
    </row>
    <row r="49" spans="4:8" x14ac:dyDescent="0.25">
      <c r="D49" s="106">
        <v>45680</v>
      </c>
      <c r="E49" s="106">
        <v>23205.35</v>
      </c>
      <c r="F49" s="107">
        <f t="shared" si="0"/>
        <v>2.1593281898135697E-3</v>
      </c>
      <c r="G49" s="106">
        <v>11420.9</v>
      </c>
      <c r="H49" s="107">
        <f t="shared" si="1"/>
        <v>6.7997662185856234E-2</v>
      </c>
    </row>
    <row r="50" spans="4:8" x14ac:dyDescent="0.25">
      <c r="D50" s="106">
        <v>45679</v>
      </c>
      <c r="E50" s="106">
        <v>23155.35</v>
      </c>
      <c r="F50" s="107">
        <f t="shared" si="0"/>
        <v>5.6765249417471964E-3</v>
      </c>
      <c r="G50" s="106">
        <v>10693.75</v>
      </c>
      <c r="H50" s="107">
        <f t="shared" si="1"/>
        <v>2.4325540411331836E-3</v>
      </c>
    </row>
    <row r="51" spans="4:8" x14ac:dyDescent="0.25">
      <c r="D51" s="106">
        <v>45678</v>
      </c>
      <c r="E51" s="106">
        <v>23024.65</v>
      </c>
      <c r="F51" s="107">
        <f t="shared" si="0"/>
        <v>-1.3711862410177855E-2</v>
      </c>
      <c r="G51" s="106">
        <v>10667.8</v>
      </c>
      <c r="H51" s="107">
        <f t="shared" si="1"/>
        <v>4.0802112109330491E-3</v>
      </c>
    </row>
    <row r="52" spans="4:8" x14ac:dyDescent="0.25">
      <c r="D52" s="106">
        <v>45677</v>
      </c>
      <c r="E52" s="106">
        <v>23344.75</v>
      </c>
      <c r="F52" s="107">
        <f t="shared" si="0"/>
        <v>6.1004516618397009E-3</v>
      </c>
      <c r="G52" s="106">
        <v>10624.45</v>
      </c>
      <c r="H52" s="107">
        <f t="shared" si="1"/>
        <v>4.2013232514177545E-3</v>
      </c>
    </row>
    <row r="53" spans="4:8" x14ac:dyDescent="0.25">
      <c r="D53" s="106">
        <v>45674</v>
      </c>
      <c r="E53" s="106">
        <v>23203.200000000001</v>
      </c>
      <c r="F53" s="107">
        <f t="shared" si="0"/>
        <v>-4.6585849226571385E-3</v>
      </c>
      <c r="G53" s="106">
        <v>10580</v>
      </c>
      <c r="H53" s="107">
        <f t="shared" si="1"/>
        <v>-5.2838419736372932E-3</v>
      </c>
    </row>
    <row r="54" spans="4:8" x14ac:dyDescent="0.25">
      <c r="D54" s="106">
        <v>45673</v>
      </c>
      <c r="E54" s="106">
        <v>23311.8</v>
      </c>
      <c r="F54" s="107">
        <f t="shared" si="0"/>
        <v>4.2475832715866968E-3</v>
      </c>
      <c r="G54" s="106">
        <v>10636.2</v>
      </c>
      <c r="H54" s="107">
        <f t="shared" si="1"/>
        <v>1.0887075696302428E-2</v>
      </c>
    </row>
    <row r="55" spans="4:8" x14ac:dyDescent="0.25">
      <c r="D55" s="106">
        <v>45672</v>
      </c>
      <c r="E55" s="106">
        <v>23213.200000000001</v>
      </c>
      <c r="F55" s="107">
        <f t="shared" si="0"/>
        <v>1.6029478707546563E-3</v>
      </c>
      <c r="G55" s="106">
        <v>10521.65</v>
      </c>
      <c r="H55" s="107">
        <f t="shared" si="1"/>
        <v>3.6151186359842935E-3</v>
      </c>
    </row>
    <row r="56" spans="4:8" x14ac:dyDescent="0.25">
      <c r="D56" s="106">
        <v>45671</v>
      </c>
      <c r="E56" s="106">
        <v>23176.05</v>
      </c>
      <c r="F56" s="107">
        <f t="shared" si="0"/>
        <v>3.9028066854513987E-3</v>
      </c>
      <c r="G56" s="106">
        <v>10483.75</v>
      </c>
      <c r="H56" s="107">
        <f t="shared" si="1"/>
        <v>-1.2378534453116541E-2</v>
      </c>
    </row>
    <row r="57" spans="4:8" x14ac:dyDescent="0.25">
      <c r="D57" s="106">
        <v>45670</v>
      </c>
      <c r="E57" s="106">
        <v>23085.95</v>
      </c>
      <c r="F57" s="107">
        <f t="shared" si="0"/>
        <v>-1.4747241960608504E-2</v>
      </c>
      <c r="G57" s="106">
        <v>10615.15</v>
      </c>
      <c r="H57" s="107">
        <f t="shared" si="1"/>
        <v>-2.3013842359091541E-2</v>
      </c>
    </row>
    <row r="58" spans="4:8" x14ac:dyDescent="0.25">
      <c r="D58" s="106">
        <v>45667</v>
      </c>
      <c r="E58" s="106">
        <v>23431.5</v>
      </c>
      <c r="F58" s="107">
        <f t="shared" si="0"/>
        <v>-4.037999702463213E-3</v>
      </c>
      <c r="G58" s="106">
        <v>10865.2</v>
      </c>
      <c r="H58" s="107">
        <f t="shared" si="1"/>
        <v>-3.5045027442760834E-2</v>
      </c>
    </row>
    <row r="59" spans="4:8" x14ac:dyDescent="0.25">
      <c r="D59" s="106">
        <v>45666</v>
      </c>
      <c r="E59" s="106">
        <v>23526.5</v>
      </c>
      <c r="F59" s="107">
        <f t="shared" si="0"/>
        <v>-6.8576277124988705E-3</v>
      </c>
      <c r="G59" s="106">
        <v>11259.8</v>
      </c>
      <c r="H59" s="107">
        <f t="shared" si="1"/>
        <v>-1.2605723656229806E-2</v>
      </c>
    </row>
    <row r="60" spans="4:8" x14ac:dyDescent="0.25">
      <c r="D60" s="106">
        <v>45665</v>
      </c>
      <c r="E60" s="106">
        <v>23688.95</v>
      </c>
      <c r="F60" s="107">
        <f t="shared" si="0"/>
        <v>-7.9931162186441806E-4</v>
      </c>
      <c r="G60" s="106">
        <v>11403.55</v>
      </c>
      <c r="H60" s="107">
        <f t="shared" si="1"/>
        <v>-1.8504890885695735E-2</v>
      </c>
    </row>
    <row r="61" spans="4:8" x14ac:dyDescent="0.25">
      <c r="D61" s="106">
        <v>45664</v>
      </c>
      <c r="E61" s="106">
        <v>23707.9</v>
      </c>
      <c r="F61" s="107">
        <f t="shared" si="0"/>
        <v>3.8893040961549552E-3</v>
      </c>
      <c r="G61" s="106">
        <v>11618.55</v>
      </c>
      <c r="H61" s="107">
        <f t="shared" si="1"/>
        <v>9.9925240794185299E-3</v>
      </c>
    </row>
    <row r="62" spans="4:8" x14ac:dyDescent="0.25">
      <c r="D62" s="106">
        <v>45663</v>
      </c>
      <c r="E62" s="106">
        <v>23616.05</v>
      </c>
      <c r="F62" s="107">
        <f t="shared" si="0"/>
        <v>-1.6192628542267662E-2</v>
      </c>
      <c r="G62" s="106">
        <v>11503.6</v>
      </c>
      <c r="H62" s="107">
        <f t="shared" si="1"/>
        <v>-2.3960631257423981E-2</v>
      </c>
    </row>
    <row r="63" spans="4:8" x14ac:dyDescent="0.25">
      <c r="D63" s="106">
        <v>45660</v>
      </c>
      <c r="E63" s="106">
        <v>24004.75</v>
      </c>
      <c r="F63" s="107">
        <f t="shared" si="0"/>
        <v>-7.6027393012839672E-3</v>
      </c>
      <c r="G63" s="106">
        <v>11786</v>
      </c>
      <c r="H63" s="107">
        <f t="shared" si="1"/>
        <v>-9.9171872483627688E-4</v>
      </c>
    </row>
    <row r="64" spans="4:8" x14ac:dyDescent="0.25">
      <c r="D64" s="106">
        <v>45659</v>
      </c>
      <c r="E64" s="106">
        <v>24188.65</v>
      </c>
      <c r="F64" s="107">
        <f t="shared" si="0"/>
        <v>1.8774033500541298E-2</v>
      </c>
      <c r="G64" s="106">
        <v>11797.7</v>
      </c>
      <c r="H64" s="107">
        <f t="shared" si="1"/>
        <v>3.0636848082467028E-2</v>
      </c>
    </row>
    <row r="65" spans="4:8" x14ac:dyDescent="0.25">
      <c r="D65" s="106">
        <v>45658</v>
      </c>
      <c r="E65" s="106">
        <v>23742.9</v>
      </c>
      <c r="F65" s="107">
        <f t="shared" si="0"/>
        <v>4.1489037758830616E-3</v>
      </c>
      <c r="G65" s="106">
        <v>11447</v>
      </c>
      <c r="H65" s="107">
        <f t="shared" si="1"/>
        <v>1.807226279608054E-3</v>
      </c>
    </row>
    <row r="66" spans="4:8" x14ac:dyDescent="0.25">
      <c r="D66" s="106">
        <v>45657</v>
      </c>
      <c r="E66" s="106">
        <v>23644.799999999999</v>
      </c>
      <c r="F66" s="107">
        <f t="shared" si="0"/>
        <v>-4.2292418238609741E-6</v>
      </c>
      <c r="G66" s="106">
        <v>11426.35</v>
      </c>
      <c r="H66" s="107">
        <f t="shared" si="1"/>
        <v>1.2224993023781217E-2</v>
      </c>
    </row>
    <row r="67" spans="4:8" x14ac:dyDescent="0.25">
      <c r="D67" s="106">
        <v>45656</v>
      </c>
      <c r="E67" s="106">
        <v>23644.9</v>
      </c>
      <c r="F67" s="107">
        <f t="shared" si="0"/>
        <v>-7.0758480519371725E-3</v>
      </c>
      <c r="G67" s="106">
        <v>11288.35</v>
      </c>
      <c r="H67" s="107">
        <f t="shared" si="1"/>
        <v>-1.0362467178945289E-2</v>
      </c>
    </row>
    <row r="68" spans="4:8" x14ac:dyDescent="0.25">
      <c r="D68" s="106">
        <v>45653</v>
      </c>
      <c r="E68" s="106">
        <v>23813.4</v>
      </c>
      <c r="F68" s="107">
        <f t="shared" si="0"/>
        <v>2.6610302229033156E-3</v>
      </c>
      <c r="G68" s="106">
        <v>11406.55</v>
      </c>
      <c r="H68" s="107">
        <f t="shared" si="1"/>
        <v>-4.7205001461523288E-3</v>
      </c>
    </row>
    <row r="69" spans="4:8" x14ac:dyDescent="0.25">
      <c r="D69" s="106">
        <v>45652</v>
      </c>
      <c r="E69" s="106">
        <v>23750.2</v>
      </c>
      <c r="F69" s="107">
        <f t="shared" ref="F69:F132" si="2">E69/E70-1</f>
        <v>9.5036803054671104E-4</v>
      </c>
      <c r="G69" s="106">
        <v>11460.65</v>
      </c>
      <c r="H69" s="107">
        <f t="shared" ref="H69:H132" si="3">G69/G70-1</f>
        <v>6.1718911183588077E-3</v>
      </c>
    </row>
    <row r="70" spans="4:8" x14ac:dyDescent="0.25">
      <c r="D70" s="106">
        <v>45650</v>
      </c>
      <c r="E70" s="106">
        <v>23727.65</v>
      </c>
      <c r="F70" s="107">
        <f t="shared" si="2"/>
        <v>-1.0861580107310864E-3</v>
      </c>
      <c r="G70" s="106">
        <v>11390.35</v>
      </c>
      <c r="H70" s="107">
        <f t="shared" si="3"/>
        <v>-7.1692554434042988E-3</v>
      </c>
    </row>
    <row r="71" spans="4:8" x14ac:dyDescent="0.25">
      <c r="D71" s="106">
        <v>45649</v>
      </c>
      <c r="E71" s="106">
        <v>23753.45</v>
      </c>
      <c r="F71" s="107">
        <f t="shared" si="2"/>
        <v>7.0355060943296799E-3</v>
      </c>
      <c r="G71" s="106">
        <v>11472.6</v>
      </c>
      <c r="H71" s="107">
        <f t="shared" si="3"/>
        <v>4.3597016493330809E-3</v>
      </c>
    </row>
    <row r="72" spans="4:8" x14ac:dyDescent="0.25">
      <c r="D72" s="106">
        <v>45646</v>
      </c>
      <c r="E72" s="106">
        <v>23587.5</v>
      </c>
      <c r="F72" s="107">
        <f t="shared" si="2"/>
        <v>-1.5205601272561098E-2</v>
      </c>
      <c r="G72" s="106">
        <v>11422.8</v>
      </c>
      <c r="H72" s="107">
        <f t="shared" si="3"/>
        <v>-2.1249614422318985E-2</v>
      </c>
    </row>
    <row r="73" spans="4:8" x14ac:dyDescent="0.25">
      <c r="D73" s="106">
        <v>45645</v>
      </c>
      <c r="E73" s="106">
        <v>23951.7</v>
      </c>
      <c r="F73" s="107">
        <f t="shared" si="2"/>
        <v>-1.0213295259898669E-2</v>
      </c>
      <c r="G73" s="106">
        <v>11670.8</v>
      </c>
      <c r="H73" s="107">
        <f t="shared" si="3"/>
        <v>-7.9182587481246847E-3</v>
      </c>
    </row>
    <row r="74" spans="4:8" x14ac:dyDescent="0.25">
      <c r="D74" s="106">
        <v>45644</v>
      </c>
      <c r="E74" s="106">
        <v>24198.85</v>
      </c>
      <c r="F74" s="107">
        <f t="shared" si="2"/>
        <v>-5.6356837606837962E-3</v>
      </c>
      <c r="G74" s="106">
        <v>11763.95</v>
      </c>
      <c r="H74" s="107">
        <f t="shared" si="3"/>
        <v>-9.3418655705546083E-4</v>
      </c>
    </row>
    <row r="75" spans="4:8" x14ac:dyDescent="0.25">
      <c r="D75" s="106">
        <v>45643</v>
      </c>
      <c r="E75" s="106">
        <v>24336</v>
      </c>
      <c r="F75" s="107">
        <f t="shared" si="2"/>
        <v>-1.3468730047733413E-2</v>
      </c>
      <c r="G75" s="106">
        <v>11774.95</v>
      </c>
      <c r="H75" s="107">
        <f t="shared" si="3"/>
        <v>-1.4029725769311274E-2</v>
      </c>
    </row>
    <row r="76" spans="4:8" x14ac:dyDescent="0.25">
      <c r="D76" s="106">
        <v>45642</v>
      </c>
      <c r="E76" s="106">
        <v>24668.25</v>
      </c>
      <c r="F76" s="107">
        <f t="shared" si="2"/>
        <v>-4.0394375068131261E-3</v>
      </c>
      <c r="G76" s="106">
        <v>11942.5</v>
      </c>
      <c r="H76" s="107">
        <f t="shared" si="3"/>
        <v>-1.1701520204569715E-2</v>
      </c>
    </row>
    <row r="77" spans="4:8" x14ac:dyDescent="0.25">
      <c r="D77" s="106">
        <v>45639</v>
      </c>
      <c r="E77" s="106">
        <v>24768.3</v>
      </c>
      <c r="F77" s="107">
        <f t="shared" si="2"/>
        <v>8.9454838749098986E-3</v>
      </c>
      <c r="G77" s="106">
        <v>12083.9</v>
      </c>
      <c r="H77" s="107">
        <f t="shared" si="3"/>
        <v>1.9140672769978773E-2</v>
      </c>
    </row>
    <row r="78" spans="4:8" x14ac:dyDescent="0.25">
      <c r="D78" s="106">
        <v>45638</v>
      </c>
      <c r="E78" s="106">
        <v>24548.7</v>
      </c>
      <c r="F78" s="107">
        <f t="shared" si="2"/>
        <v>-3.778133090926783E-3</v>
      </c>
      <c r="G78" s="106">
        <v>11856.95</v>
      </c>
      <c r="H78" s="107">
        <f t="shared" si="3"/>
        <v>-3.4920368113626754E-3</v>
      </c>
    </row>
    <row r="79" spans="4:8" x14ac:dyDescent="0.25">
      <c r="D79" s="106">
        <v>45637</v>
      </c>
      <c r="E79" s="106">
        <v>24641.8</v>
      </c>
      <c r="F79" s="107">
        <f t="shared" si="2"/>
        <v>1.2901233439184256E-3</v>
      </c>
      <c r="G79" s="106">
        <v>11898.5</v>
      </c>
      <c r="H79" s="107">
        <f t="shared" si="3"/>
        <v>1.3000391629348407E-2</v>
      </c>
    </row>
    <row r="80" spans="4:8" x14ac:dyDescent="0.25">
      <c r="D80" s="106">
        <v>45636</v>
      </c>
      <c r="E80" s="106">
        <v>24610.05</v>
      </c>
      <c r="F80" s="107">
        <f t="shared" si="2"/>
        <v>-3.6354035501040549E-4</v>
      </c>
      <c r="G80" s="106">
        <v>11745.8</v>
      </c>
      <c r="H80" s="107">
        <f t="shared" si="3"/>
        <v>-5.8401327148999149E-3</v>
      </c>
    </row>
    <row r="81" spans="4:8" x14ac:dyDescent="0.25">
      <c r="D81" s="106">
        <v>45635</v>
      </c>
      <c r="E81" s="106">
        <v>24619</v>
      </c>
      <c r="F81" s="107">
        <f t="shared" si="2"/>
        <v>-2.3827083451523068E-3</v>
      </c>
      <c r="G81" s="106">
        <v>11814.8</v>
      </c>
      <c r="H81" s="107">
        <f t="shared" si="3"/>
        <v>-2.844241887158816E-3</v>
      </c>
    </row>
    <row r="82" spans="4:8" x14ac:dyDescent="0.25">
      <c r="D82" s="106">
        <v>45632</v>
      </c>
      <c r="E82" s="106">
        <v>24677.8</v>
      </c>
      <c r="F82" s="107">
        <f t="shared" si="2"/>
        <v>-1.2384452251057443E-3</v>
      </c>
      <c r="G82" s="106">
        <v>11848.5</v>
      </c>
      <c r="H82" s="107">
        <f t="shared" si="3"/>
        <v>-7.064561544649961E-3</v>
      </c>
    </row>
    <row r="83" spans="4:8" x14ac:dyDescent="0.25">
      <c r="D83" s="106">
        <v>45631</v>
      </c>
      <c r="E83" s="106">
        <v>24708.400000000001</v>
      </c>
      <c r="F83" s="107">
        <f t="shared" si="2"/>
        <v>9.8477773531773227E-3</v>
      </c>
      <c r="G83" s="106">
        <v>11932.8</v>
      </c>
      <c r="H83" s="107">
        <f t="shared" si="3"/>
        <v>1.4107488866981654E-2</v>
      </c>
    </row>
    <row r="84" spans="4:8" x14ac:dyDescent="0.25">
      <c r="D84" s="106">
        <v>45630</v>
      </c>
      <c r="E84" s="106">
        <v>24467.45</v>
      </c>
      <c r="F84" s="107">
        <f t="shared" si="2"/>
        <v>4.2114473681520437E-4</v>
      </c>
      <c r="G84" s="106">
        <v>11766.8</v>
      </c>
      <c r="H84" s="107">
        <f t="shared" si="3"/>
        <v>-7.217977869367731E-3</v>
      </c>
    </row>
    <row r="85" spans="4:8" x14ac:dyDescent="0.25">
      <c r="D85" s="106">
        <v>45629</v>
      </c>
      <c r="E85" s="106">
        <v>24457.15</v>
      </c>
      <c r="F85" s="107">
        <f t="shared" si="2"/>
        <v>7.4600274756395635E-3</v>
      </c>
      <c r="G85" s="106">
        <v>11852.35</v>
      </c>
      <c r="H85" s="107">
        <f t="shared" si="3"/>
        <v>1.7495739813109923E-2</v>
      </c>
    </row>
    <row r="86" spans="4:8" x14ac:dyDescent="0.25">
      <c r="D86" s="106">
        <v>45628</v>
      </c>
      <c r="E86" s="106">
        <v>24276.05</v>
      </c>
      <c r="F86" s="107">
        <f t="shared" si="2"/>
        <v>6.0067713448621607E-3</v>
      </c>
      <c r="G86" s="106">
        <v>11648.55</v>
      </c>
      <c r="H86" s="107">
        <f t="shared" si="3"/>
        <v>3.9849493177648965E-2</v>
      </c>
    </row>
    <row r="87" spans="4:8" x14ac:dyDescent="0.25">
      <c r="D87" s="106">
        <v>45625</v>
      </c>
      <c r="E87" s="106">
        <v>24131.1</v>
      </c>
      <c r="F87" s="107">
        <f t="shared" si="2"/>
        <v>9.0720347576642713E-3</v>
      </c>
      <c r="G87" s="106">
        <v>11202.15</v>
      </c>
      <c r="H87" s="107">
        <f t="shared" si="3"/>
        <v>1.8580988925057884E-2</v>
      </c>
    </row>
    <row r="88" spans="4:8" x14ac:dyDescent="0.25">
      <c r="D88" s="106">
        <v>45624</v>
      </c>
      <c r="E88" s="106">
        <v>23914.15</v>
      </c>
      <c r="F88" s="107">
        <f t="shared" si="2"/>
        <v>-1.4861029293632533E-2</v>
      </c>
      <c r="G88" s="106">
        <v>10997.8</v>
      </c>
      <c r="H88" s="107">
        <f t="shared" si="3"/>
        <v>-1.2755949335272354E-2</v>
      </c>
    </row>
    <row r="89" spans="4:8" x14ac:dyDescent="0.25">
      <c r="D89" s="106">
        <v>45623</v>
      </c>
      <c r="E89" s="106">
        <v>24274.9</v>
      </c>
      <c r="F89" s="107">
        <f t="shared" si="2"/>
        <v>3.3230692926078387E-3</v>
      </c>
      <c r="G89" s="106">
        <v>11139.9</v>
      </c>
      <c r="H89" s="107">
        <f t="shared" si="3"/>
        <v>1.6949838369577641E-3</v>
      </c>
    </row>
    <row r="90" spans="4:8" x14ac:dyDescent="0.25">
      <c r="D90" s="106">
        <v>45622</v>
      </c>
      <c r="E90" s="106">
        <v>24194.5</v>
      </c>
      <c r="F90" s="107">
        <f t="shared" si="2"/>
        <v>-1.1312077087264338E-3</v>
      </c>
      <c r="G90" s="106">
        <v>11121.05</v>
      </c>
      <c r="H90" s="107">
        <f t="shared" si="3"/>
        <v>-2.9360808905995794E-2</v>
      </c>
    </row>
    <row r="91" spans="4:8" x14ac:dyDescent="0.25">
      <c r="D91" s="106">
        <v>45621</v>
      </c>
      <c r="E91" s="106">
        <v>24221.9</v>
      </c>
      <c r="F91" s="107">
        <f t="shared" si="2"/>
        <v>1.3161279528176584E-2</v>
      </c>
      <c r="G91" s="106">
        <v>11457.45</v>
      </c>
      <c r="H91" s="107">
        <f t="shared" si="3"/>
        <v>7.2217875572513357E-3</v>
      </c>
    </row>
    <row r="92" spans="4:8" x14ac:dyDescent="0.25">
      <c r="D92" s="106">
        <v>45618</v>
      </c>
      <c r="E92" s="106">
        <v>23907.25</v>
      </c>
      <c r="F92" s="107">
        <f t="shared" si="2"/>
        <v>2.3869481239748191E-2</v>
      </c>
      <c r="G92" s="106">
        <v>11375.3</v>
      </c>
      <c r="H92" s="107">
        <f t="shared" si="3"/>
        <v>3.8380260797728827E-2</v>
      </c>
    </row>
    <row r="93" spans="4:8" x14ac:dyDescent="0.25">
      <c r="D93" s="106">
        <v>45617</v>
      </c>
      <c r="E93" s="106">
        <v>23349.9</v>
      </c>
      <c r="F93" s="107">
        <f t="shared" si="2"/>
        <v>-7.1688245423814356E-3</v>
      </c>
      <c r="G93" s="106">
        <v>10954.85</v>
      </c>
      <c r="H93" s="107">
        <f t="shared" si="3"/>
        <v>1.7205918538843346E-2</v>
      </c>
    </row>
    <row r="94" spans="4:8" x14ac:dyDescent="0.25">
      <c r="D94" s="106">
        <v>45615</v>
      </c>
      <c r="E94" s="106">
        <v>23518.5</v>
      </c>
      <c r="F94" s="107">
        <f t="shared" si="2"/>
        <v>2.758614808687776E-3</v>
      </c>
      <c r="G94" s="106">
        <v>10769.55</v>
      </c>
      <c r="H94" s="107">
        <f t="shared" si="3"/>
        <v>1.3042169524687397E-2</v>
      </c>
    </row>
    <row r="95" spans="4:8" x14ac:dyDescent="0.25">
      <c r="D95" s="106">
        <v>45614</v>
      </c>
      <c r="E95" s="106">
        <v>23453.8</v>
      </c>
      <c r="F95" s="107">
        <f t="shared" si="2"/>
        <v>-3.3527814487925856E-3</v>
      </c>
      <c r="G95" s="106">
        <v>10630.9</v>
      </c>
      <c r="H95" s="107">
        <f t="shared" si="3"/>
        <v>-9.0972642960339689E-3</v>
      </c>
    </row>
    <row r="96" spans="4:8" x14ac:dyDescent="0.25">
      <c r="D96" s="106">
        <v>45610</v>
      </c>
      <c r="E96" s="106">
        <v>23532.7</v>
      </c>
      <c r="F96" s="107">
        <f t="shared" si="2"/>
        <v>-1.1184661520731165E-3</v>
      </c>
      <c r="G96" s="106">
        <v>10728.5</v>
      </c>
      <c r="H96" s="107">
        <f t="shared" si="3"/>
        <v>-4.980430709873751E-3</v>
      </c>
    </row>
    <row r="97" spans="4:8" x14ac:dyDescent="0.25">
      <c r="D97" s="106">
        <v>45609</v>
      </c>
      <c r="E97" s="106">
        <v>23559.05</v>
      </c>
      <c r="F97" s="107">
        <f t="shared" si="2"/>
        <v>-1.3582627300494754E-2</v>
      </c>
      <c r="G97" s="106">
        <v>10782.2</v>
      </c>
      <c r="H97" s="107">
        <f t="shared" si="3"/>
        <v>-1.008079324274691E-2</v>
      </c>
    </row>
    <row r="98" spans="4:8" x14ac:dyDescent="0.25">
      <c r="D98" s="106">
        <v>45608</v>
      </c>
      <c r="E98" s="106">
        <v>23883.45</v>
      </c>
      <c r="F98" s="107">
        <f t="shared" si="2"/>
        <v>-1.0680866399075395E-2</v>
      </c>
      <c r="G98" s="106">
        <v>10892</v>
      </c>
      <c r="H98" s="107">
        <f t="shared" si="3"/>
        <v>-7.151028444594365E-3</v>
      </c>
    </row>
    <row r="99" spans="4:8" x14ac:dyDescent="0.25">
      <c r="D99" s="106">
        <v>45607</v>
      </c>
      <c r="E99" s="106">
        <v>24141.3</v>
      </c>
      <c r="F99" s="107">
        <f t="shared" si="2"/>
        <v>-2.8573558277644739E-4</v>
      </c>
      <c r="G99" s="106">
        <v>10970.45</v>
      </c>
      <c r="H99" s="107">
        <f t="shared" si="3"/>
        <v>-6.6012577705134579E-3</v>
      </c>
    </row>
    <row r="100" spans="4:8" x14ac:dyDescent="0.25">
      <c r="D100" s="106">
        <v>45604</v>
      </c>
      <c r="E100" s="106">
        <v>24148.2</v>
      </c>
      <c r="F100" s="107">
        <f t="shared" si="2"/>
        <v>-2.1136931363857636E-3</v>
      </c>
      <c r="G100" s="106">
        <v>11043.35</v>
      </c>
      <c r="H100" s="107">
        <f t="shared" si="3"/>
        <v>-6.7415933688053098E-4</v>
      </c>
    </row>
    <row r="101" spans="4:8" x14ac:dyDescent="0.25">
      <c r="D101" s="106">
        <v>45603</v>
      </c>
      <c r="E101" s="106">
        <v>24199.35</v>
      </c>
      <c r="F101" s="107">
        <f t="shared" si="2"/>
        <v>-1.1627978214388546E-2</v>
      </c>
      <c r="G101" s="106">
        <v>11050.8</v>
      </c>
      <c r="H101" s="107">
        <f t="shared" si="3"/>
        <v>-1.9832540977790414E-2</v>
      </c>
    </row>
    <row r="102" spans="4:8" x14ac:dyDescent="0.25">
      <c r="D102" s="106">
        <v>45602</v>
      </c>
      <c r="E102" s="106">
        <v>24484.05</v>
      </c>
      <c r="F102" s="107">
        <f t="shared" si="2"/>
        <v>1.1181871120417242E-2</v>
      </c>
      <c r="G102" s="106">
        <v>11274.4</v>
      </c>
      <c r="H102" s="107">
        <f t="shared" si="3"/>
        <v>8.7729893927801506E-3</v>
      </c>
    </row>
    <row r="103" spans="4:8" x14ac:dyDescent="0.25">
      <c r="D103" s="106">
        <v>45601</v>
      </c>
      <c r="E103" s="106">
        <v>24213.3</v>
      </c>
      <c r="F103" s="107">
        <f t="shared" si="2"/>
        <v>9.0830098331551312E-3</v>
      </c>
      <c r="G103" s="106">
        <v>11176.35</v>
      </c>
      <c r="H103" s="107">
        <f t="shared" si="3"/>
        <v>1.5860968837059231E-2</v>
      </c>
    </row>
    <row r="104" spans="4:8" x14ac:dyDescent="0.25">
      <c r="D104" s="106">
        <v>45600</v>
      </c>
      <c r="E104" s="106">
        <v>23995.35</v>
      </c>
      <c r="F104" s="107">
        <f t="shared" si="2"/>
        <v>-1.2713773460306443E-2</v>
      </c>
      <c r="G104" s="106">
        <v>11001.85</v>
      </c>
      <c r="H104" s="107">
        <f t="shared" si="3"/>
        <v>-1.2915178811749639E-2</v>
      </c>
    </row>
    <row r="105" spans="4:8" x14ac:dyDescent="0.25">
      <c r="D105" s="106">
        <v>45597</v>
      </c>
      <c r="E105" s="106">
        <v>24304.35</v>
      </c>
      <c r="F105" s="107">
        <f t="shared" si="2"/>
        <v>4.0900048956118429E-3</v>
      </c>
      <c r="G105" s="106">
        <v>11145.8</v>
      </c>
      <c r="H105" s="107">
        <f t="shared" si="3"/>
        <v>7.2431352880308886E-3</v>
      </c>
    </row>
    <row r="106" spans="4:8" x14ac:dyDescent="0.25">
      <c r="D106" s="106">
        <v>45596</v>
      </c>
      <c r="E106" s="106">
        <v>24205.35</v>
      </c>
      <c r="F106" s="107">
        <f t="shared" si="2"/>
        <v>-5.5667735514577377E-3</v>
      </c>
      <c r="G106" s="106">
        <v>11065.65</v>
      </c>
      <c r="H106" s="107">
        <f t="shared" si="3"/>
        <v>-1.2445225834664675E-2</v>
      </c>
    </row>
    <row r="107" spans="4:8" x14ac:dyDescent="0.25">
      <c r="D107" s="106">
        <v>45595</v>
      </c>
      <c r="E107" s="106">
        <v>24340.85</v>
      </c>
      <c r="F107" s="107">
        <f t="shared" si="2"/>
        <v>-5.1498251716097787E-3</v>
      </c>
      <c r="G107" s="106">
        <v>11205.1</v>
      </c>
      <c r="H107" s="107">
        <f t="shared" si="3"/>
        <v>8.3692551362928302E-3</v>
      </c>
    </row>
    <row r="108" spans="4:8" x14ac:dyDescent="0.25">
      <c r="D108" s="106">
        <v>45594</v>
      </c>
      <c r="E108" s="106">
        <v>24466.85</v>
      </c>
      <c r="F108" s="107">
        <f t="shared" si="2"/>
        <v>5.2466910307056303E-3</v>
      </c>
      <c r="G108" s="106">
        <v>11112.1</v>
      </c>
      <c r="H108" s="107">
        <f t="shared" si="3"/>
        <v>1.7579287092295282E-3</v>
      </c>
    </row>
    <row r="109" spans="4:8" x14ac:dyDescent="0.25">
      <c r="D109" s="106">
        <v>45593</v>
      </c>
      <c r="E109" s="106">
        <v>24339.15</v>
      </c>
      <c r="F109" s="107">
        <f t="shared" si="2"/>
        <v>6.5485840005294893E-3</v>
      </c>
      <c r="G109" s="106">
        <v>11092.6</v>
      </c>
      <c r="H109" s="107">
        <f t="shared" si="3"/>
        <v>8.858410942956807E-3</v>
      </c>
    </row>
    <row r="110" spans="4:8" x14ac:dyDescent="0.25">
      <c r="D110" s="106">
        <v>45590</v>
      </c>
      <c r="E110" s="106">
        <v>24180.799999999999</v>
      </c>
      <c r="F110" s="107">
        <f t="shared" si="2"/>
        <v>-8.9592367025419506E-3</v>
      </c>
      <c r="G110" s="106">
        <v>10995.2</v>
      </c>
      <c r="H110" s="107">
        <f t="shared" si="3"/>
        <v>-4.3826288529102975E-3</v>
      </c>
    </row>
    <row r="111" spans="4:8" x14ac:dyDescent="0.25">
      <c r="D111" s="106">
        <v>45589</v>
      </c>
      <c r="E111" s="106">
        <v>24399.4</v>
      </c>
      <c r="F111" s="107">
        <f t="shared" si="2"/>
        <v>-1.4773587608192251E-3</v>
      </c>
      <c r="G111" s="106">
        <v>11043.6</v>
      </c>
      <c r="H111" s="107">
        <f t="shared" si="3"/>
        <v>2.7020240768898196E-2</v>
      </c>
    </row>
    <row r="112" spans="4:8" x14ac:dyDescent="0.25">
      <c r="D112" s="106">
        <v>45588</v>
      </c>
      <c r="E112" s="106">
        <v>24435.5</v>
      </c>
      <c r="F112" s="107">
        <f t="shared" si="2"/>
        <v>-1.4955806816742134E-3</v>
      </c>
      <c r="G112" s="106">
        <v>10753.05</v>
      </c>
      <c r="H112" s="107">
        <f t="shared" si="3"/>
        <v>-6.6604157910052919E-3</v>
      </c>
    </row>
    <row r="113" spans="4:8" x14ac:dyDescent="0.25">
      <c r="D113" s="106">
        <v>45587</v>
      </c>
      <c r="E113" s="106">
        <v>24472.1</v>
      </c>
      <c r="F113" s="107">
        <f t="shared" si="2"/>
        <v>-1.2469180141317371E-2</v>
      </c>
      <c r="G113" s="106">
        <v>10825.15</v>
      </c>
      <c r="H113" s="107">
        <f t="shared" si="3"/>
        <v>-4.061899110338274E-3</v>
      </c>
    </row>
    <row r="114" spans="4:8" x14ac:dyDescent="0.25">
      <c r="D114" s="106">
        <v>45586</v>
      </c>
      <c r="E114" s="106">
        <v>24781.1</v>
      </c>
      <c r="F114" s="107">
        <f t="shared" si="2"/>
        <v>-2.9351353199982277E-3</v>
      </c>
      <c r="G114" s="106">
        <v>10869.3</v>
      </c>
      <c r="H114" s="107">
        <f t="shared" si="3"/>
        <v>-1.8067989845789723E-2</v>
      </c>
    </row>
    <row r="115" spans="4:8" x14ac:dyDescent="0.25">
      <c r="D115" s="106">
        <v>45583</v>
      </c>
      <c r="E115" s="106">
        <v>24854.05</v>
      </c>
      <c r="F115" s="107">
        <f t="shared" si="2"/>
        <v>4.2101265260194864E-3</v>
      </c>
      <c r="G115" s="106">
        <v>11069.3</v>
      </c>
      <c r="H115" s="107">
        <f t="shared" si="3"/>
        <v>4.7198496909406362E-3</v>
      </c>
    </row>
    <row r="116" spans="4:8" x14ac:dyDescent="0.25">
      <c r="D116" s="106">
        <v>45582</v>
      </c>
      <c r="E116" s="106">
        <v>24749.85</v>
      </c>
      <c r="F116" s="107">
        <f t="shared" si="2"/>
        <v>-8.8681806714108191E-3</v>
      </c>
      <c r="G116" s="106">
        <v>11017.3</v>
      </c>
      <c r="H116" s="107">
        <f t="shared" si="3"/>
        <v>-2.6937989631082071E-2</v>
      </c>
    </row>
    <row r="117" spans="4:8" x14ac:dyDescent="0.25">
      <c r="D117" s="106">
        <v>45581</v>
      </c>
      <c r="E117" s="106">
        <v>24971.3</v>
      </c>
      <c r="F117" s="107">
        <f t="shared" si="2"/>
        <v>-3.4341221238478603E-3</v>
      </c>
      <c r="G117" s="106">
        <v>11322.3</v>
      </c>
      <c r="H117" s="107">
        <f t="shared" si="3"/>
        <v>-8.2859620387321087E-3</v>
      </c>
    </row>
    <row r="118" spans="4:8" x14ac:dyDescent="0.25">
      <c r="D118" s="106">
        <v>45580</v>
      </c>
      <c r="E118" s="106">
        <v>25057.35</v>
      </c>
      <c r="F118" s="107">
        <f t="shared" si="2"/>
        <v>-2.809620362982379E-3</v>
      </c>
      <c r="G118" s="106">
        <v>11416.9</v>
      </c>
      <c r="H118" s="107">
        <f t="shared" si="3"/>
        <v>1.0318310133359265E-2</v>
      </c>
    </row>
    <row r="119" spans="4:8" x14ac:dyDescent="0.25">
      <c r="D119" s="106">
        <v>45579</v>
      </c>
      <c r="E119" s="106">
        <v>25127.95</v>
      </c>
      <c r="F119" s="107">
        <f t="shared" si="2"/>
        <v>6.5573770491802463E-3</v>
      </c>
      <c r="G119" s="106">
        <v>11300.3</v>
      </c>
      <c r="H119" s="107">
        <f t="shared" si="3"/>
        <v>-1.0594240585572567E-2</v>
      </c>
    </row>
    <row r="120" spans="4:8" x14ac:dyDescent="0.25">
      <c r="D120" s="106">
        <v>45576</v>
      </c>
      <c r="E120" s="106">
        <v>24964.25</v>
      </c>
      <c r="F120" s="107">
        <f t="shared" si="2"/>
        <v>-1.3680848212589414E-3</v>
      </c>
      <c r="G120" s="106">
        <v>11421.3</v>
      </c>
      <c r="H120" s="107">
        <f t="shared" si="3"/>
        <v>-7.6552596007894991E-4</v>
      </c>
    </row>
    <row r="121" spans="4:8" x14ac:dyDescent="0.25">
      <c r="D121" s="106">
        <v>45575</v>
      </c>
      <c r="E121" s="106">
        <v>24998.45</v>
      </c>
      <c r="F121" s="107">
        <f t="shared" si="2"/>
        <v>6.6047686429593355E-4</v>
      </c>
      <c r="G121" s="106">
        <v>11430.05</v>
      </c>
      <c r="H121" s="107">
        <f t="shared" si="3"/>
        <v>7.0395545433319384E-3</v>
      </c>
    </row>
    <row r="122" spans="4:8" x14ac:dyDescent="0.25">
      <c r="D122" s="106">
        <v>45574</v>
      </c>
      <c r="E122" s="106">
        <v>24981.95</v>
      </c>
      <c r="F122" s="107">
        <f t="shared" si="2"/>
        <v>-1.2473438971101203E-3</v>
      </c>
      <c r="G122" s="106">
        <v>11350.15</v>
      </c>
      <c r="H122" s="107">
        <f t="shared" si="3"/>
        <v>-3.4811849198405076E-3</v>
      </c>
    </row>
    <row r="123" spans="4:8" x14ac:dyDescent="0.25">
      <c r="D123" s="106">
        <v>45573</v>
      </c>
      <c r="E123" s="106">
        <v>25013.15</v>
      </c>
      <c r="F123" s="107">
        <f t="shared" si="2"/>
        <v>8.7676315497615676E-3</v>
      </c>
      <c r="G123" s="106">
        <v>11389.8</v>
      </c>
      <c r="H123" s="107">
        <f t="shared" si="3"/>
        <v>1.4198132738516556E-2</v>
      </c>
    </row>
    <row r="124" spans="4:8" x14ac:dyDescent="0.25">
      <c r="D124" s="106">
        <v>45572</v>
      </c>
      <c r="E124" s="106">
        <v>24795.75</v>
      </c>
      <c r="F124" s="107">
        <f t="shared" si="2"/>
        <v>-8.7488906478615514E-3</v>
      </c>
      <c r="G124" s="106">
        <v>11230.35</v>
      </c>
      <c r="H124" s="107">
        <f t="shared" si="3"/>
        <v>-1.9204820855439841E-2</v>
      </c>
    </row>
    <row r="125" spans="4:8" x14ac:dyDescent="0.25">
      <c r="D125" s="106">
        <v>45569</v>
      </c>
      <c r="E125" s="106">
        <v>25014.6</v>
      </c>
      <c r="F125" s="107">
        <f t="shared" si="2"/>
        <v>-9.3266957358584257E-3</v>
      </c>
      <c r="G125" s="106">
        <v>11450.25</v>
      </c>
      <c r="H125" s="107">
        <f t="shared" si="3"/>
        <v>-2.3416177674672412E-2</v>
      </c>
    </row>
    <row r="126" spans="4:8" x14ac:dyDescent="0.25">
      <c r="D126" s="106">
        <v>45568</v>
      </c>
      <c r="E126" s="106">
        <v>25250.1</v>
      </c>
      <c r="F126" s="107">
        <f t="shared" si="2"/>
        <v>-2.1196345297303298E-2</v>
      </c>
      <c r="G126" s="106">
        <v>11724.8</v>
      </c>
      <c r="H126" s="107">
        <f t="shared" si="3"/>
        <v>-9.4913049171464481E-3</v>
      </c>
    </row>
    <row r="127" spans="4:8" x14ac:dyDescent="0.25">
      <c r="D127" s="106">
        <v>45566</v>
      </c>
      <c r="E127" s="106">
        <v>25796.9</v>
      </c>
      <c r="F127" s="107">
        <f t="shared" si="2"/>
        <v>-5.4047038357885047E-4</v>
      </c>
      <c r="G127" s="106">
        <v>11837.15</v>
      </c>
      <c r="H127" s="107">
        <f t="shared" si="3"/>
        <v>2.9783087612269554E-3</v>
      </c>
    </row>
    <row r="128" spans="4:8" x14ac:dyDescent="0.25">
      <c r="D128" s="106">
        <v>45565</v>
      </c>
      <c r="E128" s="106">
        <v>25810.85</v>
      </c>
      <c r="F128" s="107">
        <f t="shared" si="2"/>
        <v>-1.4060915353747983E-2</v>
      </c>
      <c r="G128" s="106">
        <v>11802</v>
      </c>
      <c r="H128" s="107">
        <f t="shared" si="3"/>
        <v>-1.2574985567631258E-2</v>
      </c>
    </row>
    <row r="129" spans="4:8" x14ac:dyDescent="0.25">
      <c r="D129" s="106">
        <v>45562</v>
      </c>
      <c r="E129" s="106">
        <v>26178.95</v>
      </c>
      <c r="F129" s="107">
        <f t="shared" si="2"/>
        <v>-1.4151636116043198E-3</v>
      </c>
      <c r="G129" s="106">
        <v>11952.3</v>
      </c>
      <c r="H129" s="107">
        <f t="shared" si="3"/>
        <v>-9.3410692084542335E-3</v>
      </c>
    </row>
    <row r="130" spans="4:8" x14ac:dyDescent="0.25">
      <c r="D130" s="106">
        <v>45561</v>
      </c>
      <c r="E130" s="106">
        <v>26216.05</v>
      </c>
      <c r="F130" s="107">
        <f t="shared" si="2"/>
        <v>8.1486993422204002E-3</v>
      </c>
      <c r="G130" s="106">
        <v>12065</v>
      </c>
      <c r="H130" s="107">
        <f t="shared" si="3"/>
        <v>2.1047197515296823E-2</v>
      </c>
    </row>
    <row r="131" spans="4:8" x14ac:dyDescent="0.25">
      <c r="D131" s="106">
        <v>45560</v>
      </c>
      <c r="E131" s="106">
        <v>26004.15</v>
      </c>
      <c r="F131" s="107">
        <f t="shared" si="2"/>
        <v>2.4575565527131804E-3</v>
      </c>
      <c r="G131" s="106">
        <v>11816.3</v>
      </c>
      <c r="H131" s="107">
        <f t="shared" si="3"/>
        <v>4.6464569171842385E-3</v>
      </c>
    </row>
    <row r="132" spans="4:8" x14ac:dyDescent="0.25">
      <c r="D132" s="106">
        <v>45559</v>
      </c>
      <c r="E132" s="106">
        <v>25940.400000000001</v>
      </c>
      <c r="F132" s="107">
        <f t="shared" si="2"/>
        <v>5.2045082607143911E-5</v>
      </c>
      <c r="G132" s="106">
        <v>11761.65</v>
      </c>
      <c r="H132" s="107">
        <f t="shared" si="3"/>
        <v>-1.6752981303371883E-2</v>
      </c>
    </row>
    <row r="133" spans="4:8" x14ac:dyDescent="0.25">
      <c r="D133" s="106">
        <v>45558</v>
      </c>
      <c r="E133" s="106">
        <v>25939.05</v>
      </c>
      <c r="F133" s="107">
        <f t="shared" ref="F133:F196" si="4">E133/E134-1</f>
        <v>5.7423243424534753E-3</v>
      </c>
      <c r="G133" s="106">
        <v>11962.05</v>
      </c>
      <c r="H133" s="107">
        <f t="shared" ref="H133:H196" si="5">G133/G134-1</f>
        <v>1.387911817804266E-2</v>
      </c>
    </row>
    <row r="134" spans="4:8" x14ac:dyDescent="0.25">
      <c r="D134" s="106">
        <v>45555</v>
      </c>
      <c r="E134" s="106">
        <v>25790.95</v>
      </c>
      <c r="F134" s="107">
        <f t="shared" si="4"/>
        <v>1.4760503308965278E-2</v>
      </c>
      <c r="G134" s="106">
        <v>11798.3</v>
      </c>
      <c r="H134" s="107">
        <f t="shared" si="5"/>
        <v>1.4689314125994279E-2</v>
      </c>
    </row>
    <row r="135" spans="4:8" x14ac:dyDescent="0.25">
      <c r="D135" s="106">
        <v>45554</v>
      </c>
      <c r="E135" s="106">
        <v>25415.8</v>
      </c>
      <c r="F135" s="107">
        <f t="shared" si="4"/>
        <v>1.5072376963103373E-3</v>
      </c>
      <c r="G135" s="106">
        <v>11627.5</v>
      </c>
      <c r="H135" s="107">
        <f t="shared" si="5"/>
        <v>-2.9232475560792004E-4</v>
      </c>
    </row>
    <row r="136" spans="4:8" x14ac:dyDescent="0.25">
      <c r="D136" s="106">
        <v>45553</v>
      </c>
      <c r="E136" s="106">
        <v>25377.55</v>
      </c>
      <c r="F136" s="107">
        <f t="shared" si="4"/>
        <v>-1.6129952337957665E-3</v>
      </c>
      <c r="G136" s="106">
        <v>11630.9</v>
      </c>
      <c r="H136" s="107">
        <f t="shared" si="5"/>
        <v>-1.2665673448883918E-3</v>
      </c>
    </row>
    <row r="137" spans="4:8" x14ac:dyDescent="0.25">
      <c r="D137" s="106">
        <v>45552</v>
      </c>
      <c r="E137" s="106">
        <v>25418.55</v>
      </c>
      <c r="F137" s="107">
        <f t="shared" si="4"/>
        <v>1.3709558280394774E-3</v>
      </c>
      <c r="G137" s="106">
        <v>11645.65</v>
      </c>
      <c r="H137" s="107">
        <f t="shared" si="5"/>
        <v>2.5767329602799371E-4</v>
      </c>
    </row>
    <row r="138" spans="4:8" x14ac:dyDescent="0.25">
      <c r="D138" s="106">
        <v>45551</v>
      </c>
      <c r="E138" s="106">
        <v>25383.75</v>
      </c>
      <c r="F138" s="107">
        <f t="shared" si="4"/>
        <v>1.0746751326089488E-3</v>
      </c>
      <c r="G138" s="106">
        <v>11642.65</v>
      </c>
      <c r="H138" s="107">
        <f t="shared" si="5"/>
        <v>-6.4260386842409645E-3</v>
      </c>
    </row>
    <row r="139" spans="4:8" x14ac:dyDescent="0.25">
      <c r="D139" s="106">
        <v>45548</v>
      </c>
      <c r="E139" s="106">
        <v>25356.5</v>
      </c>
      <c r="F139" s="107">
        <f t="shared" si="4"/>
        <v>-1.276148238009589E-3</v>
      </c>
      <c r="G139" s="106">
        <v>11717.95</v>
      </c>
      <c r="H139" s="107">
        <f t="shared" si="5"/>
        <v>6.5754360496161901E-4</v>
      </c>
    </row>
    <row r="140" spans="4:8" x14ac:dyDescent="0.25">
      <c r="D140" s="106">
        <v>45547</v>
      </c>
      <c r="E140" s="106">
        <v>25388.9</v>
      </c>
      <c r="F140" s="107">
        <f t="shared" si="4"/>
        <v>1.8879585206944993E-2</v>
      </c>
      <c r="G140" s="106">
        <v>11710.25</v>
      </c>
      <c r="H140" s="107">
        <f t="shared" si="5"/>
        <v>1.9395078977492819E-2</v>
      </c>
    </row>
    <row r="141" spans="4:8" x14ac:dyDescent="0.25">
      <c r="D141" s="106">
        <v>45546</v>
      </c>
      <c r="E141" s="106">
        <v>24918.45</v>
      </c>
      <c r="F141" s="107">
        <f t="shared" si="4"/>
        <v>-4.8979477738596566E-3</v>
      </c>
      <c r="G141" s="106">
        <v>11487.45</v>
      </c>
      <c r="H141" s="107">
        <f t="shared" si="5"/>
        <v>-4.6442914639481803E-3</v>
      </c>
    </row>
    <row r="142" spans="4:8" x14ac:dyDescent="0.25">
      <c r="D142" s="106">
        <v>45545</v>
      </c>
      <c r="E142" s="106">
        <v>25041.1</v>
      </c>
      <c r="F142" s="107">
        <f t="shared" si="4"/>
        <v>4.1986814455974297E-3</v>
      </c>
      <c r="G142" s="106">
        <v>11541.05</v>
      </c>
      <c r="H142" s="107">
        <f t="shared" si="5"/>
        <v>4.0628656687851095E-3</v>
      </c>
    </row>
    <row r="143" spans="4:8" x14ac:dyDescent="0.25">
      <c r="D143" s="106">
        <v>45544</v>
      </c>
      <c r="E143" s="106">
        <v>24936.400000000001</v>
      </c>
      <c r="F143" s="107">
        <f t="shared" si="4"/>
        <v>3.3900487482974029E-3</v>
      </c>
      <c r="G143" s="106">
        <v>11494.35</v>
      </c>
      <c r="H143" s="107">
        <f t="shared" si="5"/>
        <v>5.3792361484670259E-3</v>
      </c>
    </row>
    <row r="144" spans="4:8" x14ac:dyDescent="0.25">
      <c r="D144" s="106">
        <v>45541</v>
      </c>
      <c r="E144" s="106">
        <v>24852.15</v>
      </c>
      <c r="F144" s="107">
        <f t="shared" si="4"/>
        <v>-1.16503811875871E-2</v>
      </c>
      <c r="G144" s="106">
        <v>11432.85</v>
      </c>
      <c r="H144" s="107">
        <f t="shared" si="5"/>
        <v>-9.5125469454587774E-3</v>
      </c>
    </row>
    <row r="145" spans="4:8" x14ac:dyDescent="0.25">
      <c r="D145" s="106">
        <v>45540</v>
      </c>
      <c r="E145" s="106">
        <v>25145.1</v>
      </c>
      <c r="F145" s="107">
        <f t="shared" si="4"/>
        <v>-2.127093858016571E-3</v>
      </c>
      <c r="G145" s="106">
        <v>11542.65</v>
      </c>
      <c r="H145" s="107">
        <f t="shared" si="5"/>
        <v>-3.2641218605495848E-3</v>
      </c>
    </row>
    <row r="146" spans="4:8" x14ac:dyDescent="0.25">
      <c r="D146" s="106">
        <v>45539</v>
      </c>
      <c r="E146" s="106">
        <v>25198.7</v>
      </c>
      <c r="F146" s="107">
        <f t="shared" si="4"/>
        <v>-3.2100665154262131E-3</v>
      </c>
      <c r="G146" s="106">
        <v>11580.45</v>
      </c>
      <c r="H146" s="107">
        <f t="shared" si="5"/>
        <v>1.0439934385034322E-2</v>
      </c>
    </row>
    <row r="147" spans="4:8" x14ac:dyDescent="0.25">
      <c r="D147" s="106">
        <v>45538</v>
      </c>
      <c r="E147" s="106">
        <v>25279.85</v>
      </c>
      <c r="F147" s="107">
        <f t="shared" si="4"/>
        <v>4.5492845755390476E-5</v>
      </c>
      <c r="G147" s="106">
        <v>11460.8</v>
      </c>
      <c r="H147" s="107">
        <f t="shared" si="5"/>
        <v>3.1422594508485613E-3</v>
      </c>
    </row>
    <row r="148" spans="4:8" x14ac:dyDescent="0.25">
      <c r="D148" s="106">
        <v>45537</v>
      </c>
      <c r="E148" s="106">
        <v>25278.7</v>
      </c>
      <c r="F148" s="107">
        <f t="shared" si="4"/>
        <v>1.6959965763059248E-3</v>
      </c>
      <c r="G148" s="106">
        <v>11424.9</v>
      </c>
      <c r="H148" s="107">
        <f t="shared" si="5"/>
        <v>1.0883125846096631E-2</v>
      </c>
    </row>
    <row r="149" spans="4:8" x14ac:dyDescent="0.25">
      <c r="D149" s="106">
        <v>45534</v>
      </c>
      <c r="E149" s="106">
        <v>25235.9</v>
      </c>
      <c r="F149" s="107">
        <f t="shared" si="4"/>
        <v>3.3377133780880808E-3</v>
      </c>
      <c r="G149" s="106">
        <v>11301.9</v>
      </c>
      <c r="H149" s="107">
        <f t="shared" si="5"/>
        <v>7.1199429691677363E-3</v>
      </c>
    </row>
    <row r="150" spans="4:8" x14ac:dyDescent="0.25">
      <c r="D150" s="106">
        <v>45533</v>
      </c>
      <c r="E150" s="106">
        <v>25151.95</v>
      </c>
      <c r="F150" s="107">
        <f t="shared" si="4"/>
        <v>3.975674936682605E-3</v>
      </c>
      <c r="G150" s="106">
        <v>11222</v>
      </c>
      <c r="H150" s="107">
        <f t="shared" si="5"/>
        <v>-1.1393171218000431E-3</v>
      </c>
    </row>
    <row r="151" spans="4:8" x14ac:dyDescent="0.25">
      <c r="D151" s="106">
        <v>45532</v>
      </c>
      <c r="E151" s="106">
        <v>25052.35</v>
      </c>
      <c r="F151" s="107">
        <f t="shared" si="4"/>
        <v>1.3830180571794415E-3</v>
      </c>
      <c r="G151" s="106">
        <v>11234.8</v>
      </c>
      <c r="H151" s="107">
        <f t="shared" si="5"/>
        <v>-5.8007052878894516E-3</v>
      </c>
    </row>
    <row r="152" spans="4:8" x14ac:dyDescent="0.25">
      <c r="D152" s="106">
        <v>45531</v>
      </c>
      <c r="E152" s="106">
        <v>25017.75</v>
      </c>
      <c r="F152" s="107">
        <f t="shared" si="4"/>
        <v>2.8587878739427808E-4</v>
      </c>
      <c r="G152" s="106">
        <v>11300.35</v>
      </c>
      <c r="H152" s="107">
        <f t="shared" si="5"/>
        <v>-3.2415697135952382E-3</v>
      </c>
    </row>
    <row r="153" spans="4:8" x14ac:dyDescent="0.25">
      <c r="D153" s="106">
        <v>45530</v>
      </c>
      <c r="E153" s="106">
        <v>25010.6</v>
      </c>
      <c r="F153" s="107">
        <f t="shared" si="4"/>
        <v>7.5514187361394036E-3</v>
      </c>
      <c r="G153" s="106">
        <v>11337.1</v>
      </c>
      <c r="H153" s="107">
        <f t="shared" si="5"/>
        <v>-4.1439630393758087E-4</v>
      </c>
    </row>
    <row r="154" spans="4:8" x14ac:dyDescent="0.25">
      <c r="D154" s="106">
        <v>45527</v>
      </c>
      <c r="E154" s="106">
        <v>24823.15</v>
      </c>
      <c r="F154" s="107">
        <f t="shared" si="4"/>
        <v>4.6954033411927831E-4</v>
      </c>
      <c r="G154" s="106">
        <v>11341.8</v>
      </c>
      <c r="H154" s="107">
        <f t="shared" si="5"/>
        <v>2.8648734680885024E-3</v>
      </c>
    </row>
    <row r="155" spans="4:8" x14ac:dyDescent="0.25">
      <c r="D155" s="106">
        <v>45526</v>
      </c>
      <c r="E155" s="106">
        <v>24811.5</v>
      </c>
      <c r="F155" s="107">
        <f t="shared" si="4"/>
        <v>1.6673260611541618E-3</v>
      </c>
      <c r="G155" s="106">
        <v>11309.4</v>
      </c>
      <c r="H155" s="107">
        <f t="shared" si="5"/>
        <v>9.6867216027283209E-3</v>
      </c>
    </row>
    <row r="156" spans="4:8" x14ac:dyDescent="0.25">
      <c r="D156" s="106">
        <v>45525</v>
      </c>
      <c r="E156" s="106">
        <v>24770.2</v>
      </c>
      <c r="F156" s="107">
        <f t="shared" si="4"/>
        <v>2.888798466325504E-3</v>
      </c>
      <c r="G156" s="106">
        <v>11200.9</v>
      </c>
      <c r="H156" s="107">
        <f t="shared" si="5"/>
        <v>-1.3110478691066851E-2</v>
      </c>
    </row>
    <row r="157" spans="4:8" x14ac:dyDescent="0.25">
      <c r="D157" s="106">
        <v>45524</v>
      </c>
      <c r="E157" s="106">
        <v>24698.85</v>
      </c>
      <c r="F157" s="107">
        <f t="shared" si="4"/>
        <v>5.1357912150296059E-3</v>
      </c>
      <c r="G157" s="106">
        <v>11349.7</v>
      </c>
      <c r="H157" s="107">
        <f t="shared" si="5"/>
        <v>3.0356992934377214E-3</v>
      </c>
    </row>
    <row r="158" spans="4:8" x14ac:dyDescent="0.25">
      <c r="D158" s="106">
        <v>45523</v>
      </c>
      <c r="E158" s="106">
        <v>24572.65</v>
      </c>
      <c r="F158" s="107">
        <f t="shared" si="4"/>
        <v>1.283558431450782E-3</v>
      </c>
      <c r="G158" s="106">
        <v>11315.35</v>
      </c>
      <c r="H158" s="107">
        <f t="shared" si="5"/>
        <v>1.7396000247882348E-3</v>
      </c>
    </row>
    <row r="159" spans="4:8" x14ac:dyDescent="0.25">
      <c r="D159" s="106">
        <v>45520</v>
      </c>
      <c r="E159" s="106">
        <v>24541.15</v>
      </c>
      <c r="F159" s="107">
        <f t="shared" si="4"/>
        <v>1.6459746311157097E-2</v>
      </c>
      <c r="G159" s="106">
        <v>11295.7</v>
      </c>
      <c r="H159" s="107">
        <f t="shared" si="5"/>
        <v>2.6639158017196074E-2</v>
      </c>
    </row>
    <row r="160" spans="4:8" x14ac:dyDescent="0.25">
      <c r="D160" s="106">
        <v>45518</v>
      </c>
      <c r="E160" s="106">
        <v>24143.75</v>
      </c>
      <c r="F160" s="107">
        <f t="shared" si="4"/>
        <v>1.9677699987563635E-4</v>
      </c>
      <c r="G160" s="106">
        <v>11002.6</v>
      </c>
      <c r="H160" s="107">
        <f t="shared" si="5"/>
        <v>-2.3830648023280609E-2</v>
      </c>
    </row>
    <row r="161" spans="4:8" x14ac:dyDescent="0.25">
      <c r="D161" s="106">
        <v>45517</v>
      </c>
      <c r="E161" s="106">
        <v>24139</v>
      </c>
      <c r="F161" s="107">
        <f t="shared" si="4"/>
        <v>-8.5431469996303244E-3</v>
      </c>
      <c r="G161" s="106">
        <v>11271.2</v>
      </c>
      <c r="H161" s="107">
        <f t="shared" si="5"/>
        <v>-2.800178715987478E-3</v>
      </c>
    </row>
    <row r="162" spans="4:8" x14ac:dyDescent="0.25">
      <c r="D162" s="106">
        <v>45516</v>
      </c>
      <c r="E162" s="106">
        <v>24347</v>
      </c>
      <c r="F162" s="107">
        <f t="shared" si="4"/>
        <v>-8.4128449779419245E-4</v>
      </c>
      <c r="G162" s="106">
        <v>11302.85</v>
      </c>
      <c r="H162" s="107">
        <f t="shared" si="5"/>
        <v>2.2123208573177067E-4</v>
      </c>
    </row>
    <row r="163" spans="4:8" x14ac:dyDescent="0.25">
      <c r="D163" s="106">
        <v>45513</v>
      </c>
      <c r="E163" s="106">
        <v>24367.5</v>
      </c>
      <c r="F163" s="107">
        <f t="shared" si="4"/>
        <v>1.0386864037815746E-2</v>
      </c>
      <c r="G163" s="106">
        <v>11300.35</v>
      </c>
      <c r="H163" s="107">
        <f t="shared" si="5"/>
        <v>3.7617694084206565E-3</v>
      </c>
    </row>
    <row r="164" spans="4:8" x14ac:dyDescent="0.25">
      <c r="D164" s="106">
        <v>45512</v>
      </c>
      <c r="E164" s="106">
        <v>24117</v>
      </c>
      <c r="F164" s="107">
        <f t="shared" si="4"/>
        <v>-7.4287478135610652E-3</v>
      </c>
      <c r="G164" s="106">
        <v>11258</v>
      </c>
      <c r="H164" s="107">
        <f t="shared" si="5"/>
        <v>-2.4707186915240209E-2</v>
      </c>
    </row>
    <row r="165" spans="4:8" x14ac:dyDescent="0.25">
      <c r="D165" s="106">
        <v>45511</v>
      </c>
      <c r="E165" s="106">
        <v>24297.5</v>
      </c>
      <c r="F165" s="107">
        <f t="shared" si="4"/>
        <v>1.2710195456506312E-2</v>
      </c>
      <c r="G165" s="106">
        <v>11543.2</v>
      </c>
      <c r="H165" s="107">
        <f t="shared" si="5"/>
        <v>1.9240108429798841E-2</v>
      </c>
    </row>
    <row r="166" spans="4:8" x14ac:dyDescent="0.25">
      <c r="D166" s="106">
        <v>45510</v>
      </c>
      <c r="E166" s="106">
        <v>23992.55</v>
      </c>
      <c r="F166" s="107">
        <f t="shared" si="4"/>
        <v>-2.6210113237665755E-3</v>
      </c>
      <c r="G166" s="106">
        <v>11325.3</v>
      </c>
      <c r="H166" s="107">
        <f t="shared" si="5"/>
        <v>-8.0536031005715714E-3</v>
      </c>
    </row>
    <row r="167" spans="4:8" x14ac:dyDescent="0.25">
      <c r="D167" s="106">
        <v>45509</v>
      </c>
      <c r="E167" s="106">
        <v>24055.599999999999</v>
      </c>
      <c r="F167" s="107">
        <f t="shared" si="4"/>
        <v>-2.6786472851438536E-2</v>
      </c>
      <c r="G167" s="106">
        <v>11417.25</v>
      </c>
      <c r="H167" s="107">
        <f t="shared" si="5"/>
        <v>-2.9516766543414508E-2</v>
      </c>
    </row>
    <row r="168" spans="4:8" x14ac:dyDescent="0.25">
      <c r="D168" s="106">
        <v>45506</v>
      </c>
      <c r="E168" s="106">
        <v>24717.7</v>
      </c>
      <c r="F168" s="107">
        <f t="shared" si="4"/>
        <v>-1.1722888820474342E-2</v>
      </c>
      <c r="G168" s="106">
        <v>11764.5</v>
      </c>
      <c r="H168" s="107">
        <f t="shared" si="5"/>
        <v>-1.8357044515832976E-2</v>
      </c>
    </row>
    <row r="169" spans="4:8" x14ac:dyDescent="0.25">
      <c r="D169" s="106">
        <v>45505</v>
      </c>
      <c r="E169" s="106">
        <v>25010.9</v>
      </c>
      <c r="F169" s="107">
        <f t="shared" si="4"/>
        <v>2.3946792031630526E-3</v>
      </c>
      <c r="G169" s="106">
        <v>11984.5</v>
      </c>
      <c r="H169" s="107">
        <f t="shared" si="5"/>
        <v>8.1852749175583828E-3</v>
      </c>
    </row>
    <row r="170" spans="4:8" x14ac:dyDescent="0.25">
      <c r="D170" s="106">
        <v>45504</v>
      </c>
      <c r="E170" s="106">
        <v>24951.15</v>
      </c>
      <c r="F170" s="107">
        <f t="shared" si="4"/>
        <v>3.7755508442189889E-3</v>
      </c>
      <c r="G170" s="106">
        <v>11887.2</v>
      </c>
      <c r="H170" s="107">
        <f t="shared" si="5"/>
        <v>6.8394818086723319E-3</v>
      </c>
    </row>
    <row r="171" spans="4:8" x14ac:dyDescent="0.25">
      <c r="D171" s="106">
        <v>45503</v>
      </c>
      <c r="E171" s="106">
        <v>24857.3</v>
      </c>
      <c r="F171" s="107">
        <f t="shared" si="4"/>
        <v>8.5359617653346653E-4</v>
      </c>
      <c r="G171" s="106">
        <v>11806.45</v>
      </c>
      <c r="H171" s="107">
        <f t="shared" si="5"/>
        <v>-5.6721521332681046E-3</v>
      </c>
    </row>
    <row r="172" spans="4:8" x14ac:dyDescent="0.25">
      <c r="D172" s="106">
        <v>45502</v>
      </c>
      <c r="E172" s="106">
        <v>24836.1</v>
      </c>
      <c r="F172" s="107">
        <f t="shared" si="4"/>
        <v>5.0332496471794386E-5</v>
      </c>
      <c r="G172" s="106">
        <v>11873.8</v>
      </c>
      <c r="H172" s="107">
        <f t="shared" si="5"/>
        <v>1.719773324024132E-2</v>
      </c>
    </row>
    <row r="173" spans="4:8" x14ac:dyDescent="0.25">
      <c r="D173" s="106">
        <v>45499</v>
      </c>
      <c r="E173" s="106">
        <v>24834.85</v>
      </c>
      <c r="F173" s="107">
        <f t="shared" si="4"/>
        <v>1.7567329479105664E-2</v>
      </c>
      <c r="G173" s="106">
        <v>11673.05</v>
      </c>
      <c r="H173" s="107">
        <f t="shared" si="5"/>
        <v>2.0237731066730769E-2</v>
      </c>
    </row>
    <row r="174" spans="4:8" x14ac:dyDescent="0.25">
      <c r="D174" s="106">
        <v>45498</v>
      </c>
      <c r="E174" s="106">
        <v>24406.1</v>
      </c>
      <c r="F174" s="107">
        <f t="shared" si="4"/>
        <v>-3.0311098367707956E-4</v>
      </c>
      <c r="G174" s="106">
        <v>11441.5</v>
      </c>
      <c r="H174" s="107">
        <f t="shared" si="5"/>
        <v>-1.0389927881676586E-3</v>
      </c>
    </row>
    <row r="175" spans="4:8" x14ac:dyDescent="0.25">
      <c r="D175" s="106">
        <v>45497</v>
      </c>
      <c r="E175" s="106">
        <v>24413.5</v>
      </c>
      <c r="F175" s="107">
        <f t="shared" si="4"/>
        <v>-2.6777999963233379E-3</v>
      </c>
      <c r="G175" s="106">
        <v>11453.4</v>
      </c>
      <c r="H175" s="107">
        <f t="shared" si="5"/>
        <v>-8.0029101491451149E-3</v>
      </c>
    </row>
    <row r="176" spans="4:8" x14ac:dyDescent="0.25">
      <c r="D176" s="106">
        <v>45496</v>
      </c>
      <c r="E176" s="106">
        <v>24479.05</v>
      </c>
      <c r="F176" s="107">
        <f t="shared" si="4"/>
        <v>-1.2321878474453873E-3</v>
      </c>
      <c r="G176" s="106">
        <v>11545.8</v>
      </c>
      <c r="H176" s="107">
        <f t="shared" si="5"/>
        <v>2.6138228679106756E-3</v>
      </c>
    </row>
    <row r="177" spans="4:8" x14ac:dyDescent="0.25">
      <c r="D177" s="106">
        <v>45495</v>
      </c>
      <c r="E177" s="106">
        <v>24509.25</v>
      </c>
      <c r="F177" s="107">
        <f t="shared" si="4"/>
        <v>-8.8256036264466875E-4</v>
      </c>
      <c r="G177" s="106">
        <v>11515.7</v>
      </c>
      <c r="H177" s="107">
        <f t="shared" si="5"/>
        <v>2.2863132089214311E-2</v>
      </c>
    </row>
    <row r="178" spans="4:8" x14ac:dyDescent="0.25">
      <c r="D178" s="106">
        <v>45492</v>
      </c>
      <c r="E178" s="106">
        <v>24530.9</v>
      </c>
      <c r="F178" s="107">
        <f t="shared" si="4"/>
        <v>-1.0884707580586794E-2</v>
      </c>
      <c r="G178" s="106">
        <v>11258.3</v>
      </c>
      <c r="H178" s="107">
        <f t="shared" si="5"/>
        <v>-3.3394148833415627E-2</v>
      </c>
    </row>
    <row r="179" spans="4:8" x14ac:dyDescent="0.25">
      <c r="D179" s="106">
        <v>45491</v>
      </c>
      <c r="E179" s="106">
        <v>24800.85</v>
      </c>
      <c r="F179" s="107">
        <f t="shared" si="4"/>
        <v>7.6321456141064115E-3</v>
      </c>
      <c r="G179" s="106">
        <v>11647.25</v>
      </c>
      <c r="H179" s="107">
        <f t="shared" si="5"/>
        <v>-9.8209920488567803E-4</v>
      </c>
    </row>
    <row r="180" spans="4:8" x14ac:dyDescent="0.25">
      <c r="D180" s="106">
        <v>45489</v>
      </c>
      <c r="E180" s="106">
        <v>24613</v>
      </c>
      <c r="F180" s="107">
        <f t="shared" si="4"/>
        <v>1.0696840161550369E-3</v>
      </c>
      <c r="G180" s="106">
        <v>11658.7</v>
      </c>
      <c r="H180" s="107">
        <f t="shared" si="5"/>
        <v>-1.4784111411103029E-2</v>
      </c>
    </row>
    <row r="181" spans="4:8" x14ac:dyDescent="0.25">
      <c r="D181" s="106">
        <v>45488</v>
      </c>
      <c r="E181" s="106">
        <v>24586.7</v>
      </c>
      <c r="F181" s="107">
        <f t="shared" si="4"/>
        <v>3.4507175900890807E-3</v>
      </c>
      <c r="G181" s="106">
        <v>11833.65</v>
      </c>
      <c r="H181" s="107">
        <f t="shared" si="5"/>
        <v>1.9940011894193477E-2</v>
      </c>
    </row>
    <row r="182" spans="4:8" x14ac:dyDescent="0.25">
      <c r="D182" s="106">
        <v>45485</v>
      </c>
      <c r="E182" s="106">
        <v>24502.15</v>
      </c>
      <c r="F182" s="107">
        <f t="shared" si="4"/>
        <v>7.6575252046495734E-3</v>
      </c>
      <c r="G182" s="106">
        <v>11602.3</v>
      </c>
      <c r="H182" s="107">
        <f t="shared" si="5"/>
        <v>4.097810894897691E-3</v>
      </c>
    </row>
    <row r="183" spans="4:8" x14ac:dyDescent="0.25">
      <c r="D183" s="106">
        <v>45484</v>
      </c>
      <c r="E183" s="106">
        <v>24315.95</v>
      </c>
      <c r="F183" s="107">
        <f t="shared" si="4"/>
        <v>-3.4944263899083783E-4</v>
      </c>
      <c r="G183" s="106">
        <v>11554.95</v>
      </c>
      <c r="H183" s="107">
        <f t="shared" si="5"/>
        <v>-6.8160818273631518E-3</v>
      </c>
    </row>
    <row r="184" spans="4:8" x14ac:dyDescent="0.25">
      <c r="D184" s="106">
        <v>45483</v>
      </c>
      <c r="E184" s="106">
        <v>24324.45</v>
      </c>
      <c r="F184" s="107">
        <f t="shared" si="4"/>
        <v>-4.4509110554491471E-3</v>
      </c>
      <c r="G184" s="106">
        <v>11634.25</v>
      </c>
      <c r="H184" s="107">
        <f t="shared" si="5"/>
        <v>-3.899895546156551E-3</v>
      </c>
    </row>
    <row r="185" spans="4:8" x14ac:dyDescent="0.25">
      <c r="D185" s="106">
        <v>45482</v>
      </c>
      <c r="E185" s="106">
        <v>24433.200000000001</v>
      </c>
      <c r="F185" s="107">
        <f t="shared" si="4"/>
        <v>4.6318853808815508E-3</v>
      </c>
      <c r="G185" s="106">
        <v>11679.8</v>
      </c>
      <c r="H185" s="107">
        <f t="shared" si="5"/>
        <v>8.3657805903529781E-3</v>
      </c>
    </row>
    <row r="186" spans="4:8" x14ac:dyDescent="0.25">
      <c r="D186" s="106">
        <v>45481</v>
      </c>
      <c r="E186" s="106">
        <v>24320.55</v>
      </c>
      <c r="F186" s="107">
        <f t="shared" si="4"/>
        <v>-1.3566931221820067E-4</v>
      </c>
      <c r="G186" s="106">
        <v>11582.9</v>
      </c>
      <c r="H186" s="107">
        <f t="shared" si="5"/>
        <v>-9.1743904055978653E-3</v>
      </c>
    </row>
    <row r="187" spans="4:8" x14ac:dyDescent="0.25">
      <c r="D187" s="106">
        <v>45478</v>
      </c>
      <c r="E187" s="106">
        <v>24323.85</v>
      </c>
      <c r="F187" s="107">
        <f t="shared" si="4"/>
        <v>8.9292511156413568E-4</v>
      </c>
      <c r="G187" s="106">
        <v>11690.15</v>
      </c>
      <c r="H187" s="107">
        <f t="shared" si="5"/>
        <v>-5.9438522795396409E-3</v>
      </c>
    </row>
    <row r="188" spans="4:8" x14ac:dyDescent="0.25">
      <c r="D188" s="106">
        <v>45477</v>
      </c>
      <c r="E188" s="106">
        <v>24302.15</v>
      </c>
      <c r="F188" s="107">
        <f t="shared" si="4"/>
        <v>6.4439091676460336E-4</v>
      </c>
      <c r="G188" s="106">
        <v>11760.05</v>
      </c>
      <c r="H188" s="107">
        <f t="shared" si="5"/>
        <v>-9.4380943556743313E-3</v>
      </c>
    </row>
    <row r="189" spans="4:8" x14ac:dyDescent="0.25">
      <c r="D189" s="106">
        <v>45476</v>
      </c>
      <c r="E189" s="106">
        <v>24286.5</v>
      </c>
      <c r="F189" s="107">
        <f t="shared" si="4"/>
        <v>6.7422903060665451E-3</v>
      </c>
      <c r="G189" s="106">
        <v>11872.1</v>
      </c>
      <c r="H189" s="107">
        <f t="shared" si="5"/>
        <v>1.5311351912230542E-3</v>
      </c>
    </row>
    <row r="190" spans="4:8" x14ac:dyDescent="0.25">
      <c r="D190" s="106">
        <v>45475</v>
      </c>
      <c r="E190" s="106">
        <v>24123.85</v>
      </c>
      <c r="F190" s="107">
        <f t="shared" si="4"/>
        <v>-7.4973231242725369E-4</v>
      </c>
      <c r="G190" s="106">
        <v>11853.95</v>
      </c>
      <c r="H190" s="107">
        <f t="shared" si="5"/>
        <v>-4.2588400330961784E-3</v>
      </c>
    </row>
    <row r="191" spans="4:8" x14ac:dyDescent="0.25">
      <c r="D191" s="106">
        <v>45474</v>
      </c>
      <c r="E191" s="106">
        <v>24141.95</v>
      </c>
      <c r="F191" s="107">
        <f t="shared" si="4"/>
        <v>5.4705005289330533E-3</v>
      </c>
      <c r="G191" s="106">
        <v>11904.65</v>
      </c>
      <c r="H191" s="107">
        <f t="shared" si="5"/>
        <v>2.0290712124718224E-2</v>
      </c>
    </row>
    <row r="192" spans="4:8" x14ac:dyDescent="0.25">
      <c r="D192" s="106">
        <v>45471</v>
      </c>
      <c r="E192" s="106">
        <v>24010.6</v>
      </c>
      <c r="F192" s="107">
        <f t="shared" si="4"/>
        <v>-1.4098858366778932E-3</v>
      </c>
      <c r="G192" s="106">
        <v>11667.9</v>
      </c>
      <c r="H192" s="107">
        <f t="shared" si="5"/>
        <v>-4.1649952631714893E-3</v>
      </c>
    </row>
    <row r="193" spans="4:8" x14ac:dyDescent="0.25">
      <c r="D193" s="106">
        <v>45470</v>
      </c>
      <c r="E193" s="106">
        <v>24044.5</v>
      </c>
      <c r="F193" s="107">
        <f t="shared" si="4"/>
        <v>7.3610738704921186E-3</v>
      </c>
      <c r="G193" s="106">
        <v>11716.7</v>
      </c>
      <c r="H193" s="107">
        <f t="shared" si="5"/>
        <v>5.1475801168436197E-2</v>
      </c>
    </row>
    <row r="194" spans="4:8" x14ac:dyDescent="0.25">
      <c r="D194" s="106">
        <v>45469</v>
      </c>
      <c r="E194" s="106">
        <v>23868.799999999999</v>
      </c>
      <c r="F194" s="107">
        <f t="shared" si="4"/>
        <v>6.2180403266263173E-3</v>
      </c>
      <c r="G194" s="106">
        <v>11143.1</v>
      </c>
      <c r="H194" s="107">
        <f t="shared" si="5"/>
        <v>2.737364238166351E-2</v>
      </c>
    </row>
    <row r="195" spans="4:8" x14ac:dyDescent="0.25">
      <c r="D195" s="106">
        <v>45468</v>
      </c>
      <c r="E195" s="106">
        <v>23721.3</v>
      </c>
      <c r="F195" s="107">
        <f t="shared" si="4"/>
        <v>7.7938299377386944E-3</v>
      </c>
      <c r="G195" s="106">
        <v>10846.2</v>
      </c>
      <c r="H195" s="107">
        <f t="shared" si="5"/>
        <v>5.5813091043945828E-3</v>
      </c>
    </row>
    <row r="196" spans="4:8" x14ac:dyDescent="0.25">
      <c r="D196" s="106">
        <v>45467</v>
      </c>
      <c r="E196" s="106">
        <v>23537.85</v>
      </c>
      <c r="F196" s="107">
        <f t="shared" si="4"/>
        <v>1.5637565901169825E-3</v>
      </c>
      <c r="G196" s="106">
        <v>10786</v>
      </c>
      <c r="H196" s="107">
        <f t="shared" si="5"/>
        <v>1.159213685474203E-2</v>
      </c>
    </row>
    <row r="197" spans="4:8" x14ac:dyDescent="0.25">
      <c r="D197" s="106">
        <v>45464</v>
      </c>
      <c r="E197" s="106">
        <v>23501.1</v>
      </c>
      <c r="F197" s="107">
        <f t="shared" ref="F197:F251" si="6">E197/E198-1</f>
        <v>-2.7962829380066001E-3</v>
      </c>
      <c r="G197" s="106">
        <v>10662.4</v>
      </c>
      <c r="H197" s="107">
        <f t="shared" ref="H197:H251" si="7">G197/G198-1</f>
        <v>-2.2085259373395116E-2</v>
      </c>
    </row>
    <row r="198" spans="4:8" x14ac:dyDescent="0.25">
      <c r="D198" s="106">
        <v>45463</v>
      </c>
      <c r="E198" s="106">
        <v>23567</v>
      </c>
      <c r="F198" s="107">
        <f t="shared" si="6"/>
        <v>2.1687361796223215E-3</v>
      </c>
      <c r="G198" s="106">
        <v>10903.2</v>
      </c>
      <c r="H198" s="107">
        <f t="shared" si="7"/>
        <v>-8.3988522629607765E-3</v>
      </c>
    </row>
    <row r="199" spans="4:8" x14ac:dyDescent="0.25">
      <c r="D199" s="106">
        <v>45462</v>
      </c>
      <c r="E199" s="106">
        <v>23516</v>
      </c>
      <c r="F199" s="107">
        <f t="shared" si="6"/>
        <v>-1.7785965642099777E-3</v>
      </c>
      <c r="G199" s="106">
        <v>10995.55</v>
      </c>
      <c r="H199" s="107">
        <f t="shared" si="7"/>
        <v>-1.1107064002770062E-2</v>
      </c>
    </row>
    <row r="200" spans="4:8" x14ac:dyDescent="0.25">
      <c r="D200" s="106">
        <v>45461</v>
      </c>
      <c r="E200" s="106">
        <v>23557.9</v>
      </c>
      <c r="F200" s="107">
        <f t="shared" si="6"/>
        <v>3.933417428064967E-3</v>
      </c>
      <c r="G200" s="106">
        <v>11119.05</v>
      </c>
      <c r="H200" s="107">
        <f t="shared" si="7"/>
        <v>-1.1007044508485442E-2</v>
      </c>
    </row>
    <row r="201" spans="4:8" x14ac:dyDescent="0.25">
      <c r="D201" s="106">
        <v>45457</v>
      </c>
      <c r="E201" s="106">
        <v>23465.599999999999</v>
      </c>
      <c r="F201" s="107">
        <f t="shared" si="6"/>
        <v>2.8505613511744521E-3</v>
      </c>
      <c r="G201" s="106">
        <v>11242.8</v>
      </c>
      <c r="H201" s="107">
        <f t="shared" si="7"/>
        <v>6.1751597486978671E-3</v>
      </c>
    </row>
    <row r="202" spans="4:8" x14ac:dyDescent="0.25">
      <c r="D202" s="106">
        <v>45456</v>
      </c>
      <c r="E202" s="106">
        <v>23398.9</v>
      </c>
      <c r="F202" s="107">
        <f t="shared" si="6"/>
        <v>3.2564491198583401E-3</v>
      </c>
      <c r="G202" s="106">
        <v>11173.8</v>
      </c>
      <c r="H202" s="107">
        <f t="shared" si="7"/>
        <v>1.1679704476314612E-2</v>
      </c>
    </row>
    <row r="203" spans="4:8" x14ac:dyDescent="0.25">
      <c r="D203" s="106">
        <v>45455</v>
      </c>
      <c r="E203" s="106">
        <v>23322.95</v>
      </c>
      <c r="F203" s="107">
        <f t="shared" si="6"/>
        <v>2.4973296625596664E-3</v>
      </c>
      <c r="G203" s="106">
        <v>11044.8</v>
      </c>
      <c r="H203" s="107">
        <f t="shared" si="7"/>
        <v>1.0175103237283434E-2</v>
      </c>
    </row>
    <row r="204" spans="4:8" x14ac:dyDescent="0.25">
      <c r="D204" s="106">
        <v>45454</v>
      </c>
      <c r="E204" s="106">
        <v>23264.85</v>
      </c>
      <c r="F204" s="107">
        <f t="shared" si="6"/>
        <v>2.4291463162962046E-4</v>
      </c>
      <c r="G204" s="106">
        <v>10933.55</v>
      </c>
      <c r="H204" s="107">
        <f t="shared" si="7"/>
        <v>9.9110957164298963E-3</v>
      </c>
    </row>
    <row r="205" spans="4:8" x14ac:dyDescent="0.25">
      <c r="D205" s="106">
        <v>45453</v>
      </c>
      <c r="E205" s="106">
        <v>23259.200000000001</v>
      </c>
      <c r="F205" s="107">
        <f t="shared" si="6"/>
        <v>-1.3288879633664985E-3</v>
      </c>
      <c r="G205" s="106">
        <v>10826.25</v>
      </c>
      <c r="H205" s="107">
        <f t="shared" si="7"/>
        <v>3.4702742481948601E-2</v>
      </c>
    </row>
    <row r="206" spans="4:8" x14ac:dyDescent="0.25">
      <c r="D206" s="106">
        <v>45450</v>
      </c>
      <c r="E206" s="106">
        <v>23290.15</v>
      </c>
      <c r="F206" s="107">
        <f t="shared" si="6"/>
        <v>2.0539931818380985E-2</v>
      </c>
      <c r="G206" s="106">
        <v>10463.15</v>
      </c>
      <c r="H206" s="107">
        <f t="shared" si="7"/>
        <v>4.0596919925012021E-2</v>
      </c>
    </row>
    <row r="207" spans="4:8" x14ac:dyDescent="0.25">
      <c r="D207" s="106">
        <v>45449</v>
      </c>
      <c r="E207" s="106">
        <v>22821.4</v>
      </c>
      <c r="F207" s="107">
        <f t="shared" si="6"/>
        <v>8.888014553267487E-3</v>
      </c>
      <c r="G207" s="106">
        <v>10054.950000000001</v>
      </c>
      <c r="H207" s="107">
        <f t="shared" si="7"/>
        <v>1.6786045167911379E-3</v>
      </c>
    </row>
    <row r="208" spans="4:8" x14ac:dyDescent="0.25">
      <c r="D208" s="106">
        <v>45448</v>
      </c>
      <c r="E208" s="106">
        <v>22620.35</v>
      </c>
      <c r="F208" s="107">
        <f t="shared" si="6"/>
        <v>3.3624254609426751E-2</v>
      </c>
      <c r="G208" s="106">
        <v>10038.1</v>
      </c>
      <c r="H208" s="107">
        <f t="shared" si="7"/>
        <v>1.2078682838793098E-2</v>
      </c>
    </row>
    <row r="209" spans="4:8" x14ac:dyDescent="0.25">
      <c r="D209" s="106">
        <v>45447</v>
      </c>
      <c r="E209" s="106">
        <v>21884.5</v>
      </c>
      <c r="F209" s="107">
        <f t="shared" si="6"/>
        <v>-5.9293583620975032E-2</v>
      </c>
      <c r="G209" s="106">
        <v>9918.2999999999993</v>
      </c>
      <c r="H209" s="107">
        <f t="shared" si="7"/>
        <v>-5.2697933629734295E-2</v>
      </c>
    </row>
    <row r="210" spans="4:8" x14ac:dyDescent="0.25">
      <c r="D210" s="106">
        <v>45446</v>
      </c>
      <c r="E210" s="106">
        <v>23263.9</v>
      </c>
      <c r="F210" s="107">
        <f t="shared" si="6"/>
        <v>3.2542264554585643E-2</v>
      </c>
      <c r="G210" s="106">
        <v>10470.049999999999</v>
      </c>
      <c r="H210" s="107">
        <f t="shared" si="7"/>
        <v>5.5927588119610627E-2</v>
      </c>
    </row>
    <row r="211" spans="4:8" x14ac:dyDescent="0.25">
      <c r="D211" s="106">
        <v>45443</v>
      </c>
      <c r="E211" s="106">
        <v>22530.7</v>
      </c>
      <c r="F211" s="107">
        <f t="shared" si="6"/>
        <v>1.8698321153114428E-3</v>
      </c>
      <c r="G211" s="106">
        <v>9915.5</v>
      </c>
      <c r="H211" s="107">
        <f t="shared" si="7"/>
        <v>4.726994533304163E-3</v>
      </c>
    </row>
    <row r="212" spans="4:8" x14ac:dyDescent="0.25">
      <c r="D212" s="106">
        <v>45442</v>
      </c>
      <c r="E212" s="106">
        <v>22488.65</v>
      </c>
      <c r="F212" s="107">
        <f t="shared" si="6"/>
        <v>-9.515650944518117E-3</v>
      </c>
      <c r="G212" s="106">
        <v>9868.85</v>
      </c>
      <c r="H212" s="107">
        <f t="shared" si="7"/>
        <v>-1.5418919727836822E-2</v>
      </c>
    </row>
    <row r="213" spans="4:8" x14ac:dyDescent="0.25">
      <c r="D213" s="106">
        <v>45441</v>
      </c>
      <c r="E213" s="106">
        <v>22704.7</v>
      </c>
      <c r="F213" s="107">
        <f t="shared" si="6"/>
        <v>-8.015064563977492E-3</v>
      </c>
      <c r="G213" s="106">
        <v>10023.4</v>
      </c>
      <c r="H213" s="107">
        <f t="shared" si="7"/>
        <v>-1.5276699839864794E-2</v>
      </c>
    </row>
    <row r="214" spans="4:8" x14ac:dyDescent="0.25">
      <c r="D214" s="106">
        <v>45440</v>
      </c>
      <c r="E214" s="106">
        <v>22888.15</v>
      </c>
      <c r="F214" s="107">
        <f t="shared" si="6"/>
        <v>-1.9317604529824894E-3</v>
      </c>
      <c r="G214" s="106">
        <v>10178.9</v>
      </c>
      <c r="H214" s="107">
        <f t="shared" si="7"/>
        <v>-4.5572343650677194E-3</v>
      </c>
    </row>
    <row r="215" spans="4:8" x14ac:dyDescent="0.25">
      <c r="D215" s="106">
        <v>45439</v>
      </c>
      <c r="E215" s="106">
        <v>22932.45</v>
      </c>
      <c r="F215" s="107">
        <f t="shared" si="6"/>
        <v>-1.073741892486324E-3</v>
      </c>
      <c r="G215" s="106">
        <v>10225.5</v>
      </c>
      <c r="H215" s="107">
        <f t="shared" si="7"/>
        <v>-5.4735072475109448E-4</v>
      </c>
    </row>
    <row r="216" spans="4:8" x14ac:dyDescent="0.25">
      <c r="D216" s="106">
        <v>45436</v>
      </c>
      <c r="E216" s="106">
        <v>22957.1</v>
      </c>
      <c r="F216" s="107">
        <f t="shared" si="6"/>
        <v>-4.5934172629780168E-4</v>
      </c>
      <c r="G216" s="106">
        <v>10231.1</v>
      </c>
      <c r="H216" s="107">
        <f t="shared" si="7"/>
        <v>5.9534636769891236E-3</v>
      </c>
    </row>
    <row r="217" spans="4:8" x14ac:dyDescent="0.25">
      <c r="D217" s="106">
        <v>45435</v>
      </c>
      <c r="E217" s="106">
        <v>22967.65</v>
      </c>
      <c r="F217" s="107">
        <f t="shared" si="6"/>
        <v>1.6366637460283773E-2</v>
      </c>
      <c r="G217" s="106">
        <v>10170.549999999999</v>
      </c>
      <c r="H217" s="107">
        <f t="shared" si="7"/>
        <v>2.7862979226567219E-2</v>
      </c>
    </row>
    <row r="218" spans="4:8" x14ac:dyDescent="0.25">
      <c r="D218" s="106">
        <v>45434</v>
      </c>
      <c r="E218" s="106">
        <v>22597.8</v>
      </c>
      <c r="F218" s="107">
        <f t="shared" si="6"/>
        <v>3.0516155807722711E-3</v>
      </c>
      <c r="G218" s="106">
        <v>9894.85</v>
      </c>
      <c r="H218" s="107">
        <f t="shared" si="7"/>
        <v>1.0771855272029063E-2</v>
      </c>
    </row>
    <row r="219" spans="4:8" x14ac:dyDescent="0.25">
      <c r="D219" s="106">
        <v>45433</v>
      </c>
      <c r="E219" s="106">
        <v>22529.05</v>
      </c>
      <c r="F219" s="107">
        <f t="shared" si="6"/>
        <v>1.2021153675227936E-3</v>
      </c>
      <c r="G219" s="106">
        <v>9789.4</v>
      </c>
      <c r="H219" s="107">
        <f t="shared" si="7"/>
        <v>-7.7238079792411041E-3</v>
      </c>
    </row>
    <row r="220" spans="4:8" x14ac:dyDescent="0.25">
      <c r="D220" s="106">
        <v>45430</v>
      </c>
      <c r="E220" s="106">
        <v>22502</v>
      </c>
      <c r="F220" s="107">
        <f t="shared" si="6"/>
        <v>1.5979631533733496E-3</v>
      </c>
      <c r="G220" s="106">
        <v>9865.6</v>
      </c>
      <c r="H220" s="107">
        <f t="shared" si="7"/>
        <v>-2.5024392463360856E-3</v>
      </c>
    </row>
    <row r="221" spans="4:8" x14ac:dyDescent="0.25">
      <c r="D221" s="106">
        <v>45429</v>
      </c>
      <c r="E221" s="106">
        <v>22466.1</v>
      </c>
      <c r="F221" s="107">
        <f t="shared" si="6"/>
        <v>2.7785402955295968E-3</v>
      </c>
      <c r="G221" s="106">
        <v>9890.35</v>
      </c>
      <c r="H221" s="107">
        <f t="shared" si="7"/>
        <v>1.866805368159774E-2</v>
      </c>
    </row>
    <row r="222" spans="4:8" x14ac:dyDescent="0.25">
      <c r="D222" s="106">
        <v>45428</v>
      </c>
      <c r="E222" s="106">
        <v>22403.85</v>
      </c>
      <c r="F222" s="107">
        <f t="shared" si="6"/>
        <v>9.1574307843724778E-3</v>
      </c>
      <c r="G222" s="106">
        <v>9709.1</v>
      </c>
      <c r="H222" s="107">
        <f t="shared" si="7"/>
        <v>9.8813201443712639E-3</v>
      </c>
    </row>
    <row r="223" spans="4:8" x14ac:dyDescent="0.25">
      <c r="D223" s="106">
        <v>45427</v>
      </c>
      <c r="E223" s="106">
        <v>22200.55</v>
      </c>
      <c r="F223" s="107">
        <f t="shared" si="6"/>
        <v>-7.7865320001702099E-4</v>
      </c>
      <c r="G223" s="106">
        <v>9614.1</v>
      </c>
      <c r="H223" s="107">
        <f t="shared" si="7"/>
        <v>-4.8185163524192554E-3</v>
      </c>
    </row>
    <row r="224" spans="4:8" x14ac:dyDescent="0.25">
      <c r="D224" s="106">
        <v>45426</v>
      </c>
      <c r="E224" s="106">
        <v>22217.85</v>
      </c>
      <c r="F224" s="107">
        <f t="shared" si="6"/>
        <v>5.1483777859713253E-3</v>
      </c>
      <c r="G224" s="106">
        <v>9660.65</v>
      </c>
      <c r="H224" s="107">
        <f t="shared" si="7"/>
        <v>1.1427524472595874E-2</v>
      </c>
    </row>
    <row r="225" spans="4:8" x14ac:dyDescent="0.25">
      <c r="D225" s="106">
        <v>45425</v>
      </c>
      <c r="E225" s="106">
        <v>22104.05</v>
      </c>
      <c r="F225" s="107">
        <f t="shared" si="6"/>
        <v>2.2148971671078765E-3</v>
      </c>
      <c r="G225" s="106">
        <v>9551.5</v>
      </c>
      <c r="H225" s="107">
        <f t="shared" si="7"/>
        <v>6.3002412634194371E-3</v>
      </c>
    </row>
    <row r="226" spans="4:8" x14ac:dyDescent="0.25">
      <c r="D226" s="106">
        <v>45422</v>
      </c>
      <c r="E226" s="106">
        <v>22055.200000000001</v>
      </c>
      <c r="F226" s="107">
        <f t="shared" si="6"/>
        <v>4.4495047250370234E-3</v>
      </c>
      <c r="G226" s="106">
        <v>9491.7000000000007</v>
      </c>
      <c r="H226" s="107">
        <f t="shared" si="7"/>
        <v>4.8273890812080555E-3</v>
      </c>
    </row>
    <row r="227" spans="4:8" x14ac:dyDescent="0.25">
      <c r="D227" s="106">
        <v>45421</v>
      </c>
      <c r="E227" s="106">
        <v>21957.5</v>
      </c>
      <c r="F227" s="107">
        <f t="shared" si="6"/>
        <v>-1.546911781190452E-2</v>
      </c>
      <c r="G227" s="106">
        <v>9446.1</v>
      </c>
      <c r="H227" s="107">
        <f t="shared" si="7"/>
        <v>-7.7000651301551981E-3</v>
      </c>
    </row>
    <row r="228" spans="4:8" x14ac:dyDescent="0.25">
      <c r="D228" s="106">
        <v>45420</v>
      </c>
      <c r="E228" s="106">
        <v>22302.5</v>
      </c>
      <c r="F228" s="107">
        <f t="shared" si="6"/>
        <v>0</v>
      </c>
      <c r="G228" s="106">
        <v>9519.4</v>
      </c>
      <c r="H228" s="107">
        <f t="shared" si="7"/>
        <v>-1.6834669090308174E-2</v>
      </c>
    </row>
    <row r="229" spans="4:8" x14ac:dyDescent="0.25">
      <c r="D229" s="106">
        <v>45419</v>
      </c>
      <c r="E229" s="106">
        <v>22302.5</v>
      </c>
      <c r="F229" s="107">
        <f t="shared" si="6"/>
        <v>-6.2470201891929866E-3</v>
      </c>
      <c r="G229" s="106">
        <v>9682.4</v>
      </c>
      <c r="H229" s="107">
        <f t="shared" si="7"/>
        <v>-9.6656404381757488E-3</v>
      </c>
    </row>
    <row r="230" spans="4:8" x14ac:dyDescent="0.25">
      <c r="D230" s="106">
        <v>45418</v>
      </c>
      <c r="E230" s="106">
        <v>22442.7</v>
      </c>
      <c r="F230" s="107">
        <f t="shared" si="6"/>
        <v>-1.4749164102803025E-3</v>
      </c>
      <c r="G230" s="106">
        <v>9776.9</v>
      </c>
      <c r="H230" s="107">
        <f t="shared" si="7"/>
        <v>-4.0137322616463633E-3</v>
      </c>
    </row>
    <row r="231" spans="4:8" x14ac:dyDescent="0.25">
      <c r="D231" s="106">
        <v>45415</v>
      </c>
      <c r="E231" s="106">
        <v>22475.85</v>
      </c>
      <c r="F231" s="107">
        <f t="shared" si="6"/>
        <v>-7.6098762815588472E-3</v>
      </c>
      <c r="G231" s="106">
        <v>9816.2999999999993</v>
      </c>
      <c r="H231" s="107">
        <f t="shared" si="7"/>
        <v>-1.6742709183699134E-2</v>
      </c>
    </row>
    <row r="232" spans="4:8" x14ac:dyDescent="0.25">
      <c r="D232" s="106">
        <v>45414</v>
      </c>
      <c r="E232" s="106">
        <v>22648.2</v>
      </c>
      <c r="F232" s="107">
        <f t="shared" si="6"/>
        <v>1.917730044658672E-3</v>
      </c>
      <c r="G232" s="106">
        <v>9983.4500000000007</v>
      </c>
      <c r="H232" s="107">
        <f t="shared" si="7"/>
        <v>1.163274618049881E-3</v>
      </c>
    </row>
    <row r="233" spans="4:8" x14ac:dyDescent="0.25">
      <c r="D233" s="106">
        <v>45412</v>
      </c>
      <c r="E233" s="106">
        <v>22604.85</v>
      </c>
      <c r="F233" s="107">
        <f t="shared" si="6"/>
        <v>-1.7024828426828176E-3</v>
      </c>
      <c r="G233" s="106">
        <v>9971.85</v>
      </c>
      <c r="H233" s="107">
        <f t="shared" si="7"/>
        <v>7.4264008550395388E-4</v>
      </c>
    </row>
    <row r="234" spans="4:8" x14ac:dyDescent="0.25">
      <c r="D234" s="106">
        <v>45411</v>
      </c>
      <c r="E234" s="106">
        <v>22643.4</v>
      </c>
      <c r="F234" s="107">
        <f t="shared" si="6"/>
        <v>9.9665699522077933E-3</v>
      </c>
      <c r="G234" s="106">
        <v>9964.4500000000007</v>
      </c>
      <c r="H234" s="107">
        <f t="shared" si="7"/>
        <v>2.7167582389262979E-2</v>
      </c>
    </row>
    <row r="235" spans="4:8" x14ac:dyDescent="0.25">
      <c r="D235" s="106">
        <v>45408</v>
      </c>
      <c r="E235" s="106">
        <v>22419.95</v>
      </c>
      <c r="F235" s="107">
        <f t="shared" si="6"/>
        <v>-6.6636095585579369E-3</v>
      </c>
      <c r="G235" s="106">
        <v>9700.9</v>
      </c>
      <c r="H235" s="107">
        <f t="shared" si="7"/>
        <v>1.7710081321802296E-3</v>
      </c>
    </row>
    <row r="236" spans="4:8" x14ac:dyDescent="0.25">
      <c r="D236" s="106">
        <v>45407</v>
      </c>
      <c r="E236" s="106">
        <v>22570.35</v>
      </c>
      <c r="F236" s="107">
        <f t="shared" si="6"/>
        <v>7.496964610934409E-3</v>
      </c>
      <c r="G236" s="106">
        <v>9683.75</v>
      </c>
      <c r="H236" s="107">
        <f t="shared" si="7"/>
        <v>2.5779466499633585E-3</v>
      </c>
    </row>
    <row r="237" spans="4:8" x14ac:dyDescent="0.25">
      <c r="D237" s="106">
        <v>45406</v>
      </c>
      <c r="E237" s="106">
        <v>22402.400000000001</v>
      </c>
      <c r="F237" s="107">
        <f t="shared" si="6"/>
        <v>1.5379113018598733E-3</v>
      </c>
      <c r="G237" s="106">
        <v>9658.85</v>
      </c>
      <c r="H237" s="107">
        <f t="shared" si="7"/>
        <v>1.3143057937494484E-2</v>
      </c>
    </row>
    <row r="238" spans="4:8" x14ac:dyDescent="0.25">
      <c r="D238" s="106">
        <v>45405</v>
      </c>
      <c r="E238" s="106">
        <v>22368</v>
      </c>
      <c r="F238" s="107">
        <f t="shared" si="6"/>
        <v>1.4147311115488836E-3</v>
      </c>
      <c r="G238" s="106">
        <v>9533.5499999999993</v>
      </c>
      <c r="H238" s="107">
        <f t="shared" si="7"/>
        <v>-3.3140796110923132E-3</v>
      </c>
    </row>
    <row r="239" spans="4:8" x14ac:dyDescent="0.25">
      <c r="D239" s="106">
        <v>45404</v>
      </c>
      <c r="E239" s="106">
        <v>22336.400000000001</v>
      </c>
      <c r="F239" s="107">
        <f t="shared" si="6"/>
        <v>8.5519483451483858E-3</v>
      </c>
      <c r="G239" s="106">
        <v>9565.25</v>
      </c>
      <c r="H239" s="107">
        <f t="shared" si="7"/>
        <v>2.1497338195953564E-2</v>
      </c>
    </row>
    <row r="240" spans="4:8" x14ac:dyDescent="0.25">
      <c r="D240" s="106">
        <v>45401</v>
      </c>
      <c r="E240" s="106">
        <v>22147</v>
      </c>
      <c r="F240" s="107">
        <f t="shared" si="6"/>
        <v>6.8717508075386569E-3</v>
      </c>
      <c r="G240" s="106">
        <v>9363.9500000000007</v>
      </c>
      <c r="H240" s="107">
        <f t="shared" si="7"/>
        <v>-2.0036769603793969E-3</v>
      </c>
    </row>
    <row r="241" spans="4:8" x14ac:dyDescent="0.25">
      <c r="D241" s="106">
        <v>45400</v>
      </c>
      <c r="E241" s="106">
        <v>21995.85</v>
      </c>
      <c r="F241" s="107">
        <f t="shared" si="6"/>
        <v>-6.8652106971768267E-3</v>
      </c>
      <c r="G241" s="106">
        <v>9382.75</v>
      </c>
      <c r="H241" s="107">
        <f t="shared" si="7"/>
        <v>-8.5642131067857896E-3</v>
      </c>
    </row>
    <row r="242" spans="4:8" x14ac:dyDescent="0.25">
      <c r="D242" s="106">
        <v>45398</v>
      </c>
      <c r="E242" s="106">
        <v>22147.9</v>
      </c>
      <c r="F242" s="107">
        <f t="shared" si="6"/>
        <v>-5.5943427994162853E-3</v>
      </c>
      <c r="G242" s="106">
        <v>9463.7999999999993</v>
      </c>
      <c r="H242" s="107">
        <f t="shared" si="7"/>
        <v>-4.4654832347140738E-3</v>
      </c>
    </row>
    <row r="243" spans="4:8" x14ac:dyDescent="0.25">
      <c r="D243" s="106">
        <v>45397</v>
      </c>
      <c r="E243" s="106">
        <v>22272.5</v>
      </c>
      <c r="F243" s="107">
        <f t="shared" si="6"/>
        <v>-1.0963880032327733E-2</v>
      </c>
      <c r="G243" s="106">
        <v>9506.25</v>
      </c>
      <c r="H243" s="107">
        <f t="shared" si="7"/>
        <v>-1.5156616645342402E-2</v>
      </c>
    </row>
    <row r="244" spans="4:8" x14ac:dyDescent="0.25">
      <c r="D244" s="106">
        <v>45394</v>
      </c>
      <c r="E244" s="106">
        <v>22519.4</v>
      </c>
      <c r="F244" s="107">
        <f t="shared" si="6"/>
        <v>-1.0301576000492085E-2</v>
      </c>
      <c r="G244" s="106">
        <v>9652.5499999999993</v>
      </c>
      <c r="H244" s="107">
        <f t="shared" si="7"/>
        <v>-1.6836680128541448E-2</v>
      </c>
    </row>
    <row r="245" spans="4:8" x14ac:dyDescent="0.25">
      <c r="D245" s="106">
        <v>45392</v>
      </c>
      <c r="E245" s="106">
        <v>22753.8</v>
      </c>
      <c r="F245" s="107">
        <f t="shared" si="6"/>
        <v>4.904439610913025E-3</v>
      </c>
      <c r="G245" s="106">
        <v>9817.85</v>
      </c>
      <c r="H245" s="107">
        <f t="shared" si="7"/>
        <v>4.9850805853119962E-3</v>
      </c>
    </row>
    <row r="246" spans="4:8" x14ac:dyDescent="0.25">
      <c r="D246" s="106">
        <v>45391</v>
      </c>
      <c r="E246" s="106">
        <v>22642.75</v>
      </c>
      <c r="F246" s="107">
        <f t="shared" si="6"/>
        <v>-1.0389873953843276E-3</v>
      </c>
      <c r="G246" s="106">
        <v>9769.15</v>
      </c>
      <c r="H246" s="107">
        <f t="shared" si="7"/>
        <v>-9.5906729185147865E-3</v>
      </c>
    </row>
    <row r="247" spans="4:8" x14ac:dyDescent="0.25">
      <c r="D247" s="106">
        <v>45390</v>
      </c>
      <c r="E247" s="106">
        <v>22666.3</v>
      </c>
      <c r="F247" s="107">
        <f t="shared" si="6"/>
        <v>6.7780951154186031E-3</v>
      </c>
      <c r="G247" s="106">
        <v>9863.75</v>
      </c>
      <c r="H247" s="107">
        <f t="shared" si="7"/>
        <v>4.087096380145816E-3</v>
      </c>
    </row>
    <row r="248" spans="4:8" x14ac:dyDescent="0.25">
      <c r="D248" s="106">
        <v>45387</v>
      </c>
      <c r="E248" s="106">
        <v>22513.7</v>
      </c>
      <c r="F248" s="107">
        <f t="shared" si="6"/>
        <v>-4.2194748752555356E-5</v>
      </c>
      <c r="G248" s="106">
        <v>9823.6</v>
      </c>
      <c r="H248" s="107">
        <f t="shared" si="7"/>
        <v>-1.8140748218408609E-2</v>
      </c>
    </row>
    <row r="249" spans="4:8" x14ac:dyDescent="0.25">
      <c r="D249" s="106">
        <v>45386</v>
      </c>
      <c r="E249" s="106">
        <v>22514.65</v>
      </c>
      <c r="F249" s="107">
        <f t="shared" si="6"/>
        <v>3.5659125504521327E-3</v>
      </c>
      <c r="G249" s="106">
        <v>10005.1</v>
      </c>
      <c r="H249" s="107">
        <f t="shared" si="7"/>
        <v>3.1993921154982452E-4</v>
      </c>
    </row>
    <row r="250" spans="4:8" x14ac:dyDescent="0.25">
      <c r="D250" s="106">
        <v>45385</v>
      </c>
      <c r="E250" s="106">
        <v>22434.65</v>
      </c>
      <c r="F250" s="107">
        <f t="shared" si="6"/>
        <v>-8.306128720498851E-4</v>
      </c>
      <c r="G250" s="106">
        <v>10001.9</v>
      </c>
      <c r="H250" s="107">
        <f t="shared" si="7"/>
        <v>-3.6112231835547792E-3</v>
      </c>
    </row>
    <row r="251" spans="4:8" x14ac:dyDescent="0.25">
      <c r="D251" s="106">
        <v>45384</v>
      </c>
      <c r="E251" s="106">
        <v>22453.3</v>
      </c>
      <c r="F251" s="107">
        <f t="shared" si="6"/>
        <v>-3.8732080847658779E-4</v>
      </c>
      <c r="G251" s="106">
        <v>10038.15</v>
      </c>
      <c r="H251" s="107">
        <f t="shared" si="7"/>
        <v>8.4133649441453517E-3</v>
      </c>
    </row>
    <row r="252" spans="4:8" x14ac:dyDescent="0.25">
      <c r="D252" s="106">
        <v>45383</v>
      </c>
      <c r="E252" s="106">
        <v>22462</v>
      </c>
      <c r="F252" s="106"/>
      <c r="G252" s="106">
        <v>9954.4</v>
      </c>
      <c r="H252" s="106"/>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R64"/>
  <sheetViews>
    <sheetView showGridLines="0" workbookViewId="0">
      <selection activeCell="S57" sqref="S57"/>
    </sheetView>
  </sheetViews>
  <sheetFormatPr defaultRowHeight="15" x14ac:dyDescent="0.25"/>
  <cols>
    <col min="1" max="1" width="1.5703125" customWidth="1"/>
    <col min="2" max="2" width="26.140625" bestFit="1" customWidth="1"/>
  </cols>
  <sheetData>
    <row r="2" spans="2:17" x14ac:dyDescent="0.25">
      <c r="B2" s="1" t="s">
        <v>18</v>
      </c>
      <c r="C2" s="98">
        <v>2020</v>
      </c>
      <c r="D2" s="98">
        <f>C2+1</f>
        <v>2021</v>
      </c>
      <c r="E2" s="98">
        <f t="shared" ref="E2:Q2" si="0">D2+1</f>
        <v>2022</v>
      </c>
      <c r="F2" s="98">
        <f t="shared" si="0"/>
        <v>2023</v>
      </c>
      <c r="G2" s="98">
        <f t="shared" si="0"/>
        <v>2024</v>
      </c>
      <c r="H2" s="100">
        <f t="shared" si="0"/>
        <v>2025</v>
      </c>
      <c r="I2" s="100">
        <f t="shared" si="0"/>
        <v>2026</v>
      </c>
      <c r="J2" s="100">
        <f t="shared" si="0"/>
        <v>2027</v>
      </c>
      <c r="K2" s="100">
        <f t="shared" si="0"/>
        <v>2028</v>
      </c>
      <c r="L2" s="100">
        <f t="shared" si="0"/>
        <v>2029</v>
      </c>
      <c r="M2" s="100">
        <f t="shared" si="0"/>
        <v>2030</v>
      </c>
      <c r="N2" s="100">
        <f t="shared" si="0"/>
        <v>2031</v>
      </c>
      <c r="O2" s="100">
        <f t="shared" si="0"/>
        <v>2032</v>
      </c>
      <c r="P2" s="100">
        <f t="shared" si="0"/>
        <v>2033</v>
      </c>
      <c r="Q2" s="100">
        <f t="shared" si="0"/>
        <v>2034</v>
      </c>
    </row>
    <row r="3" spans="2:17" x14ac:dyDescent="0.25">
      <c r="C3" s="101" t="s">
        <v>127</v>
      </c>
      <c r="D3" s="101" t="s">
        <v>127</v>
      </c>
      <c r="E3" s="101" t="s">
        <v>127</v>
      </c>
      <c r="F3" s="101" t="s">
        <v>127</v>
      </c>
      <c r="G3" s="101" t="s">
        <v>127</v>
      </c>
      <c r="H3" s="101" t="s">
        <v>128</v>
      </c>
      <c r="I3" s="101" t="s">
        <v>128</v>
      </c>
      <c r="J3" s="101" t="s">
        <v>128</v>
      </c>
      <c r="K3" s="101" t="s">
        <v>128</v>
      </c>
      <c r="L3" s="101" t="s">
        <v>128</v>
      </c>
      <c r="M3" s="101" t="s">
        <v>128</v>
      </c>
      <c r="N3" s="101" t="s">
        <v>128</v>
      </c>
      <c r="O3" s="101" t="s">
        <v>128</v>
      </c>
      <c r="P3" s="101" t="s">
        <v>128</v>
      </c>
      <c r="Q3" s="101" t="s">
        <v>128</v>
      </c>
    </row>
    <row r="4" spans="2:17" x14ac:dyDescent="0.25">
      <c r="B4" s="203" t="s">
        <v>351</v>
      </c>
      <c r="C4" s="203"/>
      <c r="D4" s="203"/>
      <c r="E4" s="203"/>
      <c r="F4" s="203"/>
      <c r="G4" s="203"/>
      <c r="H4" s="203"/>
      <c r="I4" s="203"/>
      <c r="J4" s="203"/>
      <c r="K4" s="203"/>
      <c r="L4" s="203"/>
      <c r="M4" s="203"/>
      <c r="N4" s="203"/>
      <c r="O4" s="203"/>
      <c r="P4" s="203"/>
      <c r="Q4" s="203"/>
    </row>
    <row r="5" spans="2:17" x14ac:dyDescent="0.25">
      <c r="B5" s="1"/>
    </row>
    <row r="6" spans="2:17" x14ac:dyDescent="0.25">
      <c r="B6" t="s">
        <v>136</v>
      </c>
      <c r="C6" s="18">
        <f>'Income '!F12/'Income '!F9</f>
        <v>0.85013351982666752</v>
      </c>
      <c r="D6" s="18">
        <f>'Income '!G12/'Income '!G9</f>
        <v>0.84157220217413664</v>
      </c>
      <c r="E6" s="18">
        <f>'Income '!H12/'Income '!H9</f>
        <v>0.84857096631236861</v>
      </c>
      <c r="F6" s="18">
        <f>'Income '!I12/'Income '!I9</f>
        <v>0.84637945805801962</v>
      </c>
      <c r="G6" s="18">
        <f>'Income '!J12/'Income '!J9</f>
        <v>0.83213605659378465</v>
      </c>
      <c r="H6" s="46">
        <f>'Income '!K12/'Income '!K9</f>
        <v>0.84375844059299543</v>
      </c>
      <c r="I6" s="46">
        <f>'Income '!L12/'Income '!L9</f>
        <v>0.84375844059299543</v>
      </c>
      <c r="J6" s="46">
        <f>'Income '!M12/'Income '!M9</f>
        <v>0.84375844059299543</v>
      </c>
      <c r="K6" s="46">
        <f>'Income '!N12/'Income '!N9</f>
        <v>0.84375844059299532</v>
      </c>
      <c r="L6" s="46">
        <f>'Income '!O12/'Income '!O9</f>
        <v>0.84375844059299543</v>
      </c>
      <c r="M6" s="46">
        <f>'Income '!P12/'Income '!P9</f>
        <v>0.84375844059299543</v>
      </c>
      <c r="N6" s="46">
        <f>'Income '!Q12/'Income '!Q9</f>
        <v>0.84375844059299532</v>
      </c>
      <c r="O6" s="46">
        <f>'Income '!R12/'Income '!R9</f>
        <v>0.84375844059299532</v>
      </c>
      <c r="P6" s="46">
        <f>'Income '!S12/'Income '!S9</f>
        <v>0.84375844059299532</v>
      </c>
      <c r="Q6" s="46">
        <f>'Income '!T12/'Income '!T9</f>
        <v>0.84375844059299532</v>
      </c>
    </row>
    <row r="7" spans="2:17" x14ac:dyDescent="0.25">
      <c r="H7" s="29"/>
      <c r="I7" s="29"/>
      <c r="J7" s="29"/>
      <c r="K7" s="29"/>
      <c r="L7" s="29"/>
      <c r="M7" s="29"/>
      <c r="N7" s="29"/>
      <c r="O7" s="29"/>
      <c r="P7" s="29"/>
      <c r="Q7" s="29"/>
    </row>
    <row r="8" spans="2:17" x14ac:dyDescent="0.25">
      <c r="B8" t="s">
        <v>330</v>
      </c>
      <c r="C8" s="18">
        <f>'Income '!F15/'Income '!F9</f>
        <v>0.22038237305646094</v>
      </c>
      <c r="D8" s="18">
        <f>'Income '!G15/'Income '!G9</f>
        <v>0.25864065036287792</v>
      </c>
      <c r="E8" s="18">
        <f>'Income '!H15/'Income '!H9</f>
        <v>0.21890886166099141</v>
      </c>
      <c r="F8" s="18">
        <f>'Income '!I15/'Income '!I9</f>
        <v>0.16792936999663818</v>
      </c>
      <c r="G8" s="18">
        <f>'Income '!J15/'Income '!J9</f>
        <v>0.18289240135194632</v>
      </c>
      <c r="H8" s="46">
        <f>'Income '!K15/'Income '!K9</f>
        <v>0.20975073128578292</v>
      </c>
      <c r="I8" s="46">
        <f>'Income '!L15/'Income '!L9</f>
        <v>0.20975073128578295</v>
      </c>
      <c r="J8" s="46">
        <f>'Income '!M15/'Income '!M9</f>
        <v>0.20975073128578289</v>
      </c>
      <c r="K8" s="46">
        <f>'Income '!N15/'Income '!N9</f>
        <v>0.20975073128578287</v>
      </c>
      <c r="L8" s="46">
        <f>'Income '!O15/'Income '!O9</f>
        <v>0.20975073128578295</v>
      </c>
      <c r="M8" s="46">
        <f>'Income '!P15/'Income '!P9</f>
        <v>0.20975073128578289</v>
      </c>
      <c r="N8" s="46">
        <f>'Income '!Q15/'Income '!Q9</f>
        <v>0.20975073128578281</v>
      </c>
      <c r="O8" s="46">
        <f>'Income '!R15/'Income '!R9</f>
        <v>0.20975073128578284</v>
      </c>
      <c r="P8" s="46">
        <f>'Income '!S15/'Income '!S9</f>
        <v>0.20975073128578289</v>
      </c>
      <c r="Q8" s="46">
        <f>'Income '!T15/'Income '!T9</f>
        <v>0.20975073128578281</v>
      </c>
    </row>
    <row r="9" spans="2:17" x14ac:dyDescent="0.25">
      <c r="H9" s="29"/>
      <c r="I9" s="29"/>
      <c r="J9" s="29"/>
      <c r="K9" s="29"/>
      <c r="L9" s="29"/>
      <c r="M9" s="29"/>
      <c r="N9" s="29"/>
      <c r="O9" s="29"/>
      <c r="P9" s="29"/>
      <c r="Q9" s="29"/>
    </row>
    <row r="10" spans="2:17" x14ac:dyDescent="0.25">
      <c r="B10" t="s">
        <v>331</v>
      </c>
      <c r="C10" s="18">
        <f>'Income '!F18/'Income '!F9</f>
        <v>0.15623588273234568</v>
      </c>
      <c r="D10" s="18">
        <f>'Income '!G18/'Income '!G9</f>
        <v>0.19826766653698771</v>
      </c>
      <c r="E10" s="18">
        <f>'Income '!H18/'Income '!H9</f>
        <v>0.16729649689926573</v>
      </c>
      <c r="F10" s="18">
        <f>'Income '!I18/'Income '!I9</f>
        <v>0.12226221450417915</v>
      </c>
      <c r="G10" s="18">
        <f>'Income '!J18/'Income '!J9</f>
        <v>0.13853501163618168</v>
      </c>
      <c r="H10" s="46">
        <f>'Income '!K18/'Income '!K9</f>
        <v>0.1675090787242432</v>
      </c>
      <c r="I10" s="46">
        <f>'Income '!L18/'Income '!L9</f>
        <v>0.16864253205466273</v>
      </c>
      <c r="J10" s="46">
        <f>'Income '!M18/'Income '!M9</f>
        <v>0.17004407890648707</v>
      </c>
      <c r="K10" s="46">
        <f>'Income '!N18/'Income '!N9</f>
        <v>0.17181455319426608</v>
      </c>
      <c r="L10" s="46">
        <f>'Income '!O18/'Income '!O9</f>
        <v>0.17381135972207717</v>
      </c>
      <c r="M10" s="46">
        <f>'Income '!P18/'Income '!P9</f>
        <v>0.17592831918832419</v>
      </c>
      <c r="N10" s="46">
        <f>'Income '!Q18/'Income '!Q9</f>
        <v>0.17808750899844503</v>
      </c>
      <c r="O10" s="46">
        <f>'Income '!R18/'Income '!R9</f>
        <v>0.1802443442586327</v>
      </c>
      <c r="P10" s="46">
        <f>'Income '!S18/'Income '!S9</f>
        <v>0.182361777109011</v>
      </c>
      <c r="Q10" s="46">
        <f>'Income '!T18/'Income '!T9</f>
        <v>0.18441481770814397</v>
      </c>
    </row>
    <row r="11" spans="2:17" x14ac:dyDescent="0.25">
      <c r="C11" s="18"/>
      <c r="D11" s="18"/>
      <c r="E11" s="18"/>
      <c r="F11" s="18"/>
      <c r="G11" s="18"/>
      <c r="H11" s="46"/>
      <c r="I11" s="46"/>
      <c r="J11" s="46"/>
      <c r="K11" s="46"/>
      <c r="L11" s="46"/>
      <c r="M11" s="46"/>
      <c r="N11" s="46"/>
      <c r="O11" s="46"/>
      <c r="P11" s="46"/>
      <c r="Q11" s="46"/>
    </row>
    <row r="12" spans="2:17" x14ac:dyDescent="0.25">
      <c r="B12" t="s">
        <v>332</v>
      </c>
      <c r="C12" s="18">
        <f>'Income '!F23/'Income '!F9</f>
        <v>0.1244759919505906</v>
      </c>
      <c r="D12" s="18">
        <f>'Income '!G23/'Income '!G9</f>
        <v>0.18146573118871001</v>
      </c>
      <c r="E12" s="18">
        <f>'Income '!H23/'Income '!H9</f>
        <v>0.15899022848987338</v>
      </c>
      <c r="F12" s="18">
        <f>'Income '!I23/'Income '!I9</f>
        <v>0.11720781695376878</v>
      </c>
      <c r="G12" s="18">
        <f>'Income '!J23/'Income '!J9</f>
        <v>0.13358424011686104</v>
      </c>
      <c r="H12" s="46">
        <f>'Income '!K23/'Income '!K9</f>
        <v>0.15121462221786183</v>
      </c>
      <c r="I12" s="46">
        <f>'Income '!L23/'Income '!L9</f>
        <v>0.15234807554828139</v>
      </c>
      <c r="J12" s="46">
        <f>'Income '!M23/'Income '!M9</f>
        <v>0.1537496224001057</v>
      </c>
      <c r="K12" s="46">
        <f>'Income '!N23/'Income '!N9</f>
        <v>0.15552009668788472</v>
      </c>
      <c r="L12" s="46">
        <f>'Income '!O23/'Income '!O9</f>
        <v>0.15751690321569584</v>
      </c>
      <c r="M12" s="46">
        <f>'Income '!P23/'Income '!P9</f>
        <v>0.15963386268194282</v>
      </c>
      <c r="N12" s="46">
        <f>'Income '!Q23/'Income '!Q9</f>
        <v>0.16179305249206369</v>
      </c>
      <c r="O12" s="46">
        <f>'Income '!R23/'Income '!R9</f>
        <v>0.16394988775225133</v>
      </c>
      <c r="P12" s="46">
        <f>'Income '!S23/'Income '!S9</f>
        <v>0.16606732060262966</v>
      </c>
      <c r="Q12" s="46">
        <f>'Income '!T23/'Income '!T9</f>
        <v>0.16812036120176257</v>
      </c>
    </row>
    <row r="13" spans="2:17" x14ac:dyDescent="0.25">
      <c r="C13" s="18"/>
      <c r="D13" s="18"/>
      <c r="E13" s="18"/>
      <c r="F13" s="18"/>
      <c r="G13" s="18"/>
      <c r="H13" s="46"/>
      <c r="I13" s="46"/>
      <c r="J13" s="46"/>
      <c r="K13" s="46"/>
      <c r="L13" s="46"/>
      <c r="M13" s="46"/>
      <c r="N13" s="46"/>
      <c r="O13" s="46"/>
      <c r="P13" s="46"/>
      <c r="Q13" s="46"/>
    </row>
    <row r="14" spans="2:17" x14ac:dyDescent="0.25">
      <c r="B14" t="s">
        <v>333</v>
      </c>
      <c r="C14" s="18">
        <f>'Cost Build Up'!G50</f>
        <v>-0.10835448638607952</v>
      </c>
      <c r="D14" s="18">
        <f>'Cost Build Up'!H50</f>
        <v>0.32317649125576337</v>
      </c>
      <c r="E14" s="18">
        <f>'Cost Build Up'!I50</f>
        <v>0.1423057146615328</v>
      </c>
      <c r="F14" s="18">
        <f>'Cost Build Up'!J50</f>
        <v>0.31607939321822609</v>
      </c>
      <c r="G14" s="18">
        <f>'Cost Build Up'!K50</f>
        <v>0.25725595492015618</v>
      </c>
      <c r="H14" s="46">
        <f>'Cost Build Up'!L50</f>
        <v>0.25725595492015618</v>
      </c>
      <c r="I14" s="46">
        <f>'Cost Build Up'!M50</f>
        <v>0.25725595492015618</v>
      </c>
      <c r="J14" s="46">
        <f>'Cost Build Up'!N50</f>
        <v>0.25725595492015618</v>
      </c>
      <c r="K14" s="46">
        <f>'Cost Build Up'!O50</f>
        <v>0.25725595492015618</v>
      </c>
      <c r="L14" s="46">
        <f>'Cost Build Up'!P50</f>
        <v>0.25725595492015618</v>
      </c>
      <c r="M14" s="46">
        <f>'Cost Build Up'!Q50</f>
        <v>0.25725595492015618</v>
      </c>
      <c r="N14" s="46">
        <f>'Cost Build Up'!R50</f>
        <v>0.25725595492015618</v>
      </c>
      <c r="O14" s="46">
        <f>'Cost Build Up'!S50</f>
        <v>0.25725595492015618</v>
      </c>
      <c r="P14" s="46">
        <f>'Cost Build Up'!T50</f>
        <v>0.25725595492015618</v>
      </c>
      <c r="Q14" s="46">
        <f>'Cost Build Up'!U50</f>
        <v>0.25725595492015618</v>
      </c>
    </row>
    <row r="15" spans="2:17" x14ac:dyDescent="0.25">
      <c r="C15" s="18"/>
      <c r="D15" s="18"/>
      <c r="E15" s="18"/>
      <c r="F15" s="18"/>
      <c r="G15" s="18"/>
      <c r="H15" s="46"/>
      <c r="I15" s="46"/>
      <c r="J15" s="46"/>
      <c r="K15" s="46"/>
      <c r="L15" s="46"/>
      <c r="M15" s="46"/>
      <c r="N15" s="46"/>
      <c r="O15" s="46"/>
      <c r="P15" s="46"/>
      <c r="Q15" s="46"/>
    </row>
    <row r="16" spans="2:17" x14ac:dyDescent="0.25">
      <c r="B16" t="s">
        <v>334</v>
      </c>
      <c r="C16" s="18">
        <f>'Income '!F27/'Income '!F9</f>
        <v>0.13793432519490278</v>
      </c>
      <c r="D16" s="18">
        <f>'Income '!G27/'Income '!G9</f>
        <v>0.12286901434228069</v>
      </c>
      <c r="E16" s="18">
        <f>'Income '!H27/'Income '!H9</f>
        <v>0.13639733051096392</v>
      </c>
      <c r="F16" s="18">
        <f>'Income '!I27/'Income '!I9</f>
        <v>8.0224566800938257E-2</v>
      </c>
      <c r="G16" s="18">
        <f>'Income '!J27/'Income '!J9</f>
        <v>9.9529300461776979E-2</v>
      </c>
      <c r="H16" s="46">
        <f>'Income '!K27/'Income '!K9</f>
        <v>0.11262416177977756</v>
      </c>
      <c r="I16" s="46">
        <f>'Income '!L27/'Income '!L9</f>
        <v>0.11346602749132262</v>
      </c>
      <c r="J16" s="46">
        <f>'Income '!M27/'Income '!M9</f>
        <v>0.11450701806941553</v>
      </c>
      <c r="K16" s="46">
        <f>'Income '!N27/'Income '!N9</f>
        <v>0.11582202730363038</v>
      </c>
      <c r="L16" s="46">
        <f>'Income '!O27/'Income '!O9</f>
        <v>0.11730514346133863</v>
      </c>
      <c r="M16" s="46">
        <f>'Income '!P27/'Income '!P9</f>
        <v>0.11887750249856902</v>
      </c>
      <c r="N16" s="46">
        <f>'Income '!Q27/'Income '!Q9</f>
        <v>0.12048122787223337</v>
      </c>
      <c r="O16" s="46">
        <f>'Income '!R27/'Income '!R9</f>
        <v>0.12208320441795598</v>
      </c>
      <c r="P16" s="46">
        <f>'Income '!S27/'Income '!S9</f>
        <v>0.12365591505843089</v>
      </c>
      <c r="Q16" s="46">
        <f>'Income '!T27/'Income '!T9</f>
        <v>0.12518079873774401</v>
      </c>
    </row>
    <row r="17" spans="2:18" x14ac:dyDescent="0.25">
      <c r="C17" s="18"/>
      <c r="D17" s="18"/>
      <c r="E17" s="18"/>
      <c r="F17" s="18"/>
      <c r="G17" s="18"/>
      <c r="H17" s="46"/>
      <c r="I17" s="46"/>
      <c r="J17" s="46"/>
      <c r="K17" s="46"/>
      <c r="L17" s="46"/>
      <c r="M17" s="46"/>
      <c r="N17" s="46"/>
      <c r="O17" s="46"/>
      <c r="P17" s="46"/>
      <c r="Q17" s="46"/>
    </row>
    <row r="18" spans="2:18" x14ac:dyDescent="0.25">
      <c r="B18" t="s">
        <v>335</v>
      </c>
      <c r="C18" s="18">
        <f>'Income '!F27/'balance sheet'!E16</f>
        <v>0.14851775170615744</v>
      </c>
      <c r="D18" s="18">
        <f>'Income '!G27/'balance sheet'!F16</f>
        <v>0.12438581275112895</v>
      </c>
      <c r="E18" s="18">
        <f>'Income '!H27/'balance sheet'!G16</f>
        <v>0.1422571011661001</v>
      </c>
      <c r="F18" s="18">
        <f>'Income '!I27/'balance sheet'!H16</f>
        <v>9.3295037510916182E-2</v>
      </c>
      <c r="G18" s="18">
        <f>'Income '!J27/'balance sheet'!I16</f>
        <v>0.11707095535133452</v>
      </c>
      <c r="H18" s="46">
        <f>'Income '!K27/'balance sheet'!J16</f>
        <v>0.13744878315377873</v>
      </c>
      <c r="I18" s="46">
        <f>'Income '!L27/'balance sheet'!K16</f>
        <v>0.14146029358288104</v>
      </c>
      <c r="J18" s="46">
        <f>'Income '!M27/'balance sheet'!L16</f>
        <v>0.14539294691572505</v>
      </c>
      <c r="K18" s="46">
        <f>'Income '!N27/'balance sheet'!M16</f>
        <v>0.14933370089470668</v>
      </c>
      <c r="L18" s="46">
        <f>'Income '!O27/'balance sheet'!N16</f>
        <v>0.15312750945162099</v>
      </c>
      <c r="M18" s="46">
        <f>'Income '!P27/'balance sheet'!O16</f>
        <v>0.15666462323338809</v>
      </c>
      <c r="N18" s="46">
        <f>'Income '!Q27/'balance sheet'!P16</f>
        <v>0.15987406969918228</v>
      </c>
      <c r="O18" s="46">
        <f>'Income '!R27/'balance sheet'!Q16</f>
        <v>0.1627283277045829</v>
      </c>
      <c r="P18" s="46">
        <f>'Income '!S27/'balance sheet'!R16</f>
        <v>0.16521481720938946</v>
      </c>
      <c r="Q18" s="46">
        <f>'Income '!T27/'balance sheet'!S16</f>
        <v>0.16733904728310475</v>
      </c>
    </row>
    <row r="19" spans="2:18" x14ac:dyDescent="0.25">
      <c r="C19" s="18"/>
      <c r="D19" s="18"/>
      <c r="E19" s="18"/>
      <c r="F19" s="18"/>
      <c r="G19" s="18"/>
      <c r="H19" s="46"/>
      <c r="I19" s="46"/>
      <c r="J19" s="46"/>
      <c r="K19" s="46"/>
      <c r="L19" s="46"/>
      <c r="M19" s="46"/>
      <c r="N19" s="46"/>
      <c r="O19" s="46"/>
      <c r="P19" s="46"/>
      <c r="Q19" s="46"/>
    </row>
    <row r="20" spans="2:18" x14ac:dyDescent="0.25">
      <c r="B20" t="s">
        <v>336</v>
      </c>
      <c r="C20" s="18">
        <f>'Income '!F18/('balance sheet'!E71-'balance sheet'!E38)</f>
        <v>0.10414384722427487</v>
      </c>
      <c r="D20" s="18">
        <f>'Income '!G18/('balance sheet'!F71-'balance sheet'!F38)</f>
        <v>0.13469399224585432</v>
      </c>
      <c r="E20" s="18">
        <f>'Income '!H18/('balance sheet'!G71-'balance sheet'!G38)</f>
        <v>0.13820073312539474</v>
      </c>
      <c r="F20" s="18">
        <f>'Income '!I18/('balance sheet'!H71-'balance sheet'!H38)</f>
        <v>0.11377883389887776</v>
      </c>
      <c r="G20" s="18">
        <f>'Income '!J18/('balance sheet'!I71-'balance sheet'!I38)</f>
        <v>0.1329334923855876</v>
      </c>
      <c r="H20" s="46">
        <f>'Income '!K18/('balance sheet'!J71-'balance sheet'!J38)</f>
        <v>0.1658970447635964</v>
      </c>
      <c r="I20" s="46">
        <f>'Income '!L18/('balance sheet'!K71-'balance sheet'!K38)</f>
        <v>0.17011438376336119</v>
      </c>
      <c r="J20" s="46">
        <f>'Income '!M18/('balance sheet'!L71-'balance sheet'!L38)</f>
        <v>0.17417884205217121</v>
      </c>
      <c r="K20" s="46">
        <f>'Income '!N18/('balance sheet'!M71-'balance sheet'!M38)</f>
        <v>0.17818625245357758</v>
      </c>
      <c r="L20" s="46">
        <f>'Income '!O18/('balance sheet'!N71-'balance sheet'!N38)</f>
        <v>0.18197196982540714</v>
      </c>
      <c r="M20" s="46">
        <f>'Income '!P18/('balance sheet'!O71-'balance sheet'!O38)</f>
        <v>0.18542057140508414</v>
      </c>
      <c r="N20" s="46">
        <f>'Income '!Q18/('balance sheet'!P71-'balance sheet'!P38)</f>
        <v>0.18845819871819805</v>
      </c>
      <c r="O20" s="46">
        <f>'Income '!R18/('balance sheet'!Q71-'balance sheet'!Q38)</f>
        <v>0.19105713910373728</v>
      </c>
      <c r="P20" s="46">
        <f>'Income '!S18/('balance sheet'!R71-'balance sheet'!R38)</f>
        <v>0.19320519983779666</v>
      </c>
      <c r="Q20" s="46">
        <f>'Income '!T18/('balance sheet'!S71-'balance sheet'!S38)</f>
        <v>0.19490900777787099</v>
      </c>
    </row>
    <row r="21" spans="2:18" x14ac:dyDescent="0.25">
      <c r="C21" s="18"/>
      <c r="D21" s="18"/>
      <c r="E21" s="18"/>
      <c r="F21" s="18"/>
      <c r="G21" s="18"/>
      <c r="H21" s="46"/>
      <c r="I21" s="46"/>
      <c r="J21" s="46"/>
      <c r="K21" s="46"/>
      <c r="L21" s="46"/>
      <c r="M21" s="46"/>
      <c r="N21" s="46"/>
      <c r="O21" s="46"/>
      <c r="P21" s="46"/>
      <c r="Q21" s="46"/>
    </row>
    <row r="22" spans="2:18" x14ac:dyDescent="0.25">
      <c r="B22" t="s">
        <v>337</v>
      </c>
      <c r="C22" s="18">
        <f>'Income '!F27/'balance sheet'!E71</f>
        <v>7.3237587495287471E-2</v>
      </c>
      <c r="D22" s="18">
        <f>'Income '!G27/'balance sheet'!F71</f>
        <v>6.3764111738660645E-2</v>
      </c>
      <c r="E22" s="18">
        <f>'Income '!H27/'balance sheet'!G71</f>
        <v>8.5584267460707325E-2</v>
      </c>
      <c r="F22" s="18">
        <f>'Income '!I27/'balance sheet'!H71</f>
        <v>5.5515579027905076E-2</v>
      </c>
      <c r="G22" s="18">
        <f>'Income '!J27/'balance sheet'!I71</f>
        <v>7.0012865529623353E-2</v>
      </c>
      <c r="H22" s="46">
        <f>'Income '!K27/'balance sheet'!J71</f>
        <v>8.2697878576605585E-2</v>
      </c>
      <c r="I22" s="46">
        <f>'Income '!L27/'balance sheet'!K71</f>
        <v>8.5301537655887077E-2</v>
      </c>
      <c r="J22" s="46">
        <f>'Income '!M27/'balance sheet'!L71</f>
        <v>8.7907372600931954E-2</v>
      </c>
      <c r="K22" s="46">
        <f>'Income '!N27/'balance sheet'!M71</f>
        <v>9.0568606280930497E-2</v>
      </c>
      <c r="L22" s="46">
        <f>'Income '!O27/'balance sheet'!N71</f>
        <v>9.3193935667237437E-2</v>
      </c>
      <c r="M22" s="46">
        <f>'Income '!P27/'balance sheet'!O71</f>
        <v>9.5713925981112002E-2</v>
      </c>
      <c r="N22" s="46">
        <f>'Income '!Q27/'balance sheet'!P71</f>
        <v>9.8078152389331152E-2</v>
      </c>
      <c r="O22" s="46">
        <f>'Income '!R27/'balance sheet'!Q71</f>
        <v>0.10025938310604414</v>
      </c>
      <c r="P22" s="46">
        <f>'Income '!S27/'balance sheet'!R71</f>
        <v>0.1022377623765439</v>
      </c>
      <c r="Q22" s="46">
        <f>'Income '!T27/'balance sheet'!S71</f>
        <v>0.10400358505930772</v>
      </c>
    </row>
    <row r="23" spans="2:18" x14ac:dyDescent="0.25">
      <c r="H23" s="29"/>
      <c r="I23" s="29"/>
      <c r="J23" s="29"/>
      <c r="K23" s="29"/>
      <c r="L23" s="29"/>
      <c r="M23" s="29"/>
      <c r="N23" s="29"/>
      <c r="O23" s="29"/>
      <c r="P23" s="29"/>
      <c r="Q23" s="29"/>
    </row>
    <row r="25" spans="2:18" x14ac:dyDescent="0.25">
      <c r="B25" s="203" t="s">
        <v>355</v>
      </c>
      <c r="C25" s="203"/>
      <c r="D25" s="203"/>
      <c r="E25" s="203"/>
      <c r="F25" s="203"/>
      <c r="G25" s="203"/>
      <c r="H25" s="203"/>
      <c r="I25" s="203"/>
      <c r="J25" s="203"/>
      <c r="K25" s="203"/>
      <c r="L25" s="203"/>
      <c r="M25" s="203"/>
      <c r="N25" s="203"/>
      <c r="O25" s="203"/>
      <c r="P25" s="203"/>
      <c r="Q25" s="203"/>
    </row>
    <row r="27" spans="2:18" x14ac:dyDescent="0.25">
      <c r="B27" t="s">
        <v>338</v>
      </c>
      <c r="C27" s="168">
        <f>'balance sheet'!E69/'balance sheet'!E38</f>
        <v>0.86307742345160865</v>
      </c>
      <c r="D27" s="168">
        <f>'balance sheet'!F69/'balance sheet'!F38</f>
        <v>1.1329841712306419</v>
      </c>
      <c r="E27" s="168">
        <f>'balance sheet'!G69/'balance sheet'!G38</f>
        <v>0.86726743831241504</v>
      </c>
      <c r="F27" s="168">
        <f>'balance sheet'!H69/'balance sheet'!H38</f>
        <v>0.88447702885695023</v>
      </c>
      <c r="G27" s="168">
        <f>'balance sheet'!I69/'balance sheet'!I38</f>
        <v>0.86016146608409449</v>
      </c>
      <c r="H27" s="169">
        <f>'balance sheet'!J69/'balance sheet'!J38</f>
        <v>0.8236091586190557</v>
      </c>
      <c r="I27" s="169">
        <f>'balance sheet'!K69/'balance sheet'!K38</f>
        <v>0.86079592878341515</v>
      </c>
      <c r="J27" s="169">
        <f>'balance sheet'!L69/'balance sheet'!L38</f>
        <v>0.93186512021795076</v>
      </c>
      <c r="K27" s="169">
        <f>'balance sheet'!M69/'balance sheet'!M38</f>
        <v>1.0331811926477543</v>
      </c>
      <c r="L27" s="169">
        <f>'balance sheet'!N69/'balance sheet'!N38</f>
        <v>1.1616411749306479</v>
      </c>
      <c r="M27" s="169">
        <f>'balance sheet'!O69/'balance sheet'!O38</f>
        <v>1.3142158530887968</v>
      </c>
      <c r="N27" s="169">
        <f>'balance sheet'!P69/'balance sheet'!P38</f>
        <v>1.4880699260467174</v>
      </c>
      <c r="O27" s="169">
        <f>'balance sheet'!Q69/'balance sheet'!Q38</f>
        <v>1.6805191625807148</v>
      </c>
      <c r="P27" s="169">
        <f>'balance sheet'!R69/'balance sheet'!R38</f>
        <v>1.8890966855050868</v>
      </c>
      <c r="Q27" s="169">
        <f>'balance sheet'!S69/'balance sheet'!S38</f>
        <v>2.1115329391498512</v>
      </c>
    </row>
    <row r="28" spans="2:18" x14ac:dyDescent="0.25">
      <c r="C28" s="168"/>
      <c r="D28" s="168"/>
      <c r="E28" s="168"/>
      <c r="F28" s="168"/>
      <c r="G28" s="168"/>
      <c r="H28" s="169"/>
      <c r="I28" s="169"/>
      <c r="J28" s="169"/>
      <c r="K28" s="169"/>
      <c r="L28" s="169"/>
      <c r="M28" s="169"/>
      <c r="N28" s="169"/>
      <c r="O28" s="169"/>
      <c r="P28" s="169"/>
      <c r="Q28" s="169"/>
    </row>
    <row r="29" spans="2:18" x14ac:dyDescent="0.25">
      <c r="B29" t="s">
        <v>339</v>
      </c>
      <c r="C29" s="168">
        <f>('balance sheet'!E69-'balance sheet'!E59)/'balance sheet'!E38</f>
        <v>0.60608484210200264</v>
      </c>
      <c r="D29" s="168">
        <f>('balance sheet'!F69-'balance sheet'!F59)/'balance sheet'!F38</f>
        <v>0.93551919228455627</v>
      </c>
      <c r="E29" s="168">
        <f>('balance sheet'!G69-'balance sheet'!G59)/'balance sheet'!G38</f>
        <v>0.58964266771982821</v>
      </c>
      <c r="F29" s="168">
        <f>('balance sheet'!H69-'balance sheet'!H59)/'balance sheet'!H38</f>
        <v>0.60230353720309016</v>
      </c>
      <c r="G29" s="168">
        <f>('balance sheet'!I69-'balance sheet'!I59)/'balance sheet'!I38</f>
        <v>0.55057429654990941</v>
      </c>
      <c r="H29" s="169">
        <f>('balance sheet'!J69-'balance sheet'!J59)/'balance sheet'!J38</f>
        <v>0.530161849676132</v>
      </c>
      <c r="I29" s="169">
        <f>('balance sheet'!K69-'balance sheet'!K59)/'balance sheet'!K38</f>
        <v>0.55580394340246175</v>
      </c>
      <c r="J29" s="169">
        <f>('balance sheet'!L69-'balance sheet'!L59)/'balance sheet'!L38</f>
        <v>0.61518849530551512</v>
      </c>
      <c r="K29" s="169">
        <f>('balance sheet'!M69-'balance sheet'!M59)/'balance sheet'!M38</f>
        <v>0.70469154393701483</v>
      </c>
      <c r="L29" s="169">
        <f>('balance sheet'!N69-'balance sheet'!N59)/'balance sheet'!N38</f>
        <v>0.82122200832967596</v>
      </c>
      <c r="M29" s="169">
        <f>('balance sheet'!O69-'balance sheet'!O59)/'balance sheet'!O38</f>
        <v>0.96176285234592873</v>
      </c>
      <c r="N29" s="169">
        <f>('balance sheet'!P69-'balance sheet'!P59)/'balance sheet'!P38</f>
        <v>1.1234912141976687</v>
      </c>
      <c r="O29" s="169">
        <f>('balance sheet'!Q69-'balance sheet'!Q59)/'balance sheet'!Q38</f>
        <v>1.3037355345301833</v>
      </c>
      <c r="P29" s="169">
        <f>('balance sheet'!R69-'balance sheet'!R59)/'balance sheet'!R38</f>
        <v>1.5000418090581795</v>
      </c>
      <c r="Q29" s="169">
        <f>('balance sheet'!S69-'balance sheet'!S59)/'balance sheet'!S38</f>
        <v>1.7101535218459816</v>
      </c>
    </row>
    <row r="30" spans="2:18" x14ac:dyDescent="0.25">
      <c r="H30" s="29"/>
      <c r="I30" s="29"/>
      <c r="J30" s="29"/>
      <c r="K30" s="29"/>
      <c r="L30" s="29"/>
      <c r="M30" s="29"/>
      <c r="N30" s="29"/>
      <c r="O30" s="29"/>
      <c r="P30" s="29"/>
      <c r="Q30" s="29"/>
    </row>
    <row r="31" spans="2:18" x14ac:dyDescent="0.25">
      <c r="B31" t="s">
        <v>340</v>
      </c>
      <c r="C31" s="28">
        <f>'Working Capital Build up'!F19</f>
        <v>56.794363312178888</v>
      </c>
      <c r="D31" s="28">
        <f>'Working Capital Build up'!G19</f>
        <v>-14.107761147492198</v>
      </c>
      <c r="E31" s="28">
        <f>'Working Capital Build up'!H19</f>
        <v>9.0680014626913135</v>
      </c>
      <c r="F31" s="28">
        <f>'Working Capital Build up'!I19</f>
        <v>-0.12835323494135764</v>
      </c>
      <c r="G31" s="28">
        <f>'Working Capital Build up'!J19</f>
        <v>17.465375299909454</v>
      </c>
      <c r="H31" s="170">
        <f>'Working Capital Build up'!K19</f>
        <v>13.81832513846922</v>
      </c>
      <c r="I31" s="170">
        <f>'Working Capital Build up'!L19</f>
        <v>13.81832513846922</v>
      </c>
      <c r="J31" s="170">
        <f>'Working Capital Build up'!M19</f>
        <v>13.81832513846922</v>
      </c>
      <c r="K31" s="170">
        <f>'Working Capital Build up'!N19</f>
        <v>13.81832513846922</v>
      </c>
      <c r="L31" s="170">
        <f>'Working Capital Build up'!O19</f>
        <v>13.81832513846922</v>
      </c>
      <c r="M31" s="170">
        <f>'Working Capital Build up'!P19</f>
        <v>13.81832513846922</v>
      </c>
      <c r="N31" s="170">
        <f>'Working Capital Build up'!Q19</f>
        <v>13.81832513846922</v>
      </c>
      <c r="O31" s="170">
        <f>'Working Capital Build up'!R19</f>
        <v>13.81832513846922</v>
      </c>
      <c r="P31" s="170">
        <f>'Working Capital Build up'!S19</f>
        <v>13.81832513846922</v>
      </c>
      <c r="Q31" s="170">
        <f>'Working Capital Build up'!T19</f>
        <v>13.81832513846922</v>
      </c>
      <c r="R31" s="28"/>
    </row>
    <row r="34" spans="2:17" x14ac:dyDescent="0.25">
      <c r="B34" s="203" t="s">
        <v>352</v>
      </c>
      <c r="C34" s="203"/>
      <c r="D34" s="203"/>
      <c r="E34" s="203"/>
      <c r="F34" s="203"/>
      <c r="G34" s="203"/>
      <c r="H34" s="203"/>
      <c r="I34" s="203"/>
      <c r="J34" s="203"/>
      <c r="K34" s="203"/>
      <c r="L34" s="203"/>
      <c r="M34" s="203"/>
      <c r="N34" s="203"/>
      <c r="O34" s="203"/>
      <c r="P34" s="203"/>
      <c r="Q34" s="203"/>
    </row>
    <row r="36" spans="2:17" x14ac:dyDescent="0.25">
      <c r="B36" t="s">
        <v>341</v>
      </c>
      <c r="C36" s="168">
        <f>'balance sheet'!E71/'balance sheet'!E16</f>
        <v>2.0278897323824867</v>
      </c>
      <c r="D36" s="168">
        <f>'balance sheet'!F71/'balance sheet'!F16</f>
        <v>1.9507181917773493</v>
      </c>
      <c r="E36" s="168">
        <f>'balance sheet'!G71/'balance sheet'!G16</f>
        <v>1.6621875186512742</v>
      </c>
      <c r="F36" s="168">
        <f>'balance sheet'!H71/'balance sheet'!H16</f>
        <v>1.6805199395294275</v>
      </c>
      <c r="G36" s="168">
        <f>'balance sheet'!I71/'balance sheet'!I16</f>
        <v>1.6721348921477908</v>
      </c>
      <c r="H36" s="169">
        <f>'balance sheet'!J71/'balance sheet'!J16</f>
        <v>1.6620593601618898</v>
      </c>
      <c r="I36" s="169">
        <f>'balance sheet'!K71/'balance sheet'!K16</f>
        <v>1.6583557280472794</v>
      </c>
      <c r="J36" s="169">
        <f>'balance sheet'!L71/'balance sheet'!L16</f>
        <v>1.6539334826415193</v>
      </c>
      <c r="K36" s="169">
        <f>'balance sheet'!M71/'balance sheet'!M16</f>
        <v>1.6488461844217355</v>
      </c>
      <c r="L36" s="169">
        <f>'balance sheet'!N71/'balance sheet'!N16</f>
        <v>1.6431059419830183</v>
      </c>
      <c r="M36" s="169">
        <f>'balance sheet'!O71/'balance sheet'!O16</f>
        <v>1.6368007228572357</v>
      </c>
      <c r="N36" s="169">
        <f>'balance sheet'!P71/'balance sheet'!P16</f>
        <v>1.6300681222515896</v>
      </c>
      <c r="O36" s="169">
        <f>'balance sheet'!Q71/'balance sheet'!Q16</f>
        <v>1.6230732991092263</v>
      </c>
      <c r="P36" s="169">
        <f>'balance sheet'!R71/'balance sheet'!R16</f>
        <v>1.6159862400049378</v>
      </c>
      <c r="Q36" s="169">
        <f>'balance sheet'!S71/'balance sheet'!S16</f>
        <v>1.6089738366968809</v>
      </c>
    </row>
    <row r="37" spans="2:17" x14ac:dyDescent="0.25">
      <c r="C37" s="168"/>
      <c r="D37" s="168"/>
      <c r="E37" s="168"/>
      <c r="F37" s="168"/>
      <c r="G37" s="168"/>
      <c r="H37" s="169"/>
      <c r="I37" s="169"/>
      <c r="J37" s="169"/>
      <c r="K37" s="169"/>
      <c r="L37" s="169"/>
      <c r="M37" s="169"/>
      <c r="N37" s="169"/>
      <c r="O37" s="169"/>
      <c r="P37" s="169"/>
      <c r="Q37" s="169"/>
    </row>
    <row r="38" spans="2:17" x14ac:dyDescent="0.25">
      <c r="B38" t="s">
        <v>342</v>
      </c>
      <c r="C38" s="168">
        <f>('balance sheet'!E31+'balance sheet'!E32+'balance sheet'!E20+'balance sheet'!E21)/'balance sheet'!E16</f>
        <v>0.54578150959793481</v>
      </c>
      <c r="D38" s="168">
        <f>('balance sheet'!F31+'balance sheet'!F32+'balance sheet'!F20+'balance sheet'!F21)/'balance sheet'!F16</f>
        <v>0.42785103801685814</v>
      </c>
      <c r="E38" s="168">
        <f>('balance sheet'!G31+'balance sheet'!G32+'balance sheet'!G20+'balance sheet'!G21)/'balance sheet'!G16</f>
        <v>0.22403935897316421</v>
      </c>
      <c r="F38" s="168">
        <f>('balance sheet'!H31+'balance sheet'!H32+'balance sheet'!H20+'balance sheet'!H21)/'balance sheet'!H16</f>
        <v>0.20334140183820684</v>
      </c>
      <c r="G38" s="168">
        <f>('balance sheet'!I31+'balance sheet'!I32+'balance sheet'!I20+'balance sheet'!I21)/'balance sheet'!I16</f>
        <v>0.18915565838832635</v>
      </c>
      <c r="H38" s="169">
        <f>('balance sheet'!J31+'balance sheet'!J32+'balance sheet'!J20+'balance sheet'!J21)/'balance sheet'!J16</f>
        <v>0.19437172670322209</v>
      </c>
      <c r="I38" s="169">
        <f>('balance sheet'!K31+'balance sheet'!K32+'balance sheet'!K20+'balance sheet'!K21)/'balance sheet'!K16</f>
        <v>0.19729797067909455</v>
      </c>
      <c r="J38" s="169">
        <f>('balance sheet'!L31+'balance sheet'!L32+'balance sheet'!L20+'balance sheet'!L21)/'balance sheet'!L16</f>
        <v>0.2003047119363644</v>
      </c>
      <c r="K38" s="169">
        <f>('balance sheet'!M31+'balance sheet'!M32+'balance sheet'!M20+'balance sheet'!M21)/'balance sheet'!M16</f>
        <v>0.20339087019154964</v>
      </c>
      <c r="L38" s="169">
        <f>('balance sheet'!N31+'balance sheet'!N32+'balance sheet'!N20+'balance sheet'!N21)/'balance sheet'!N16</f>
        <v>0.20653933394462115</v>
      </c>
      <c r="M38" s="169">
        <f>('balance sheet'!O31+'balance sheet'!O32+'balance sheet'!O20+'balance sheet'!O21)/'balance sheet'!O16</f>
        <v>0.20975414768018394</v>
      </c>
      <c r="N38" s="169">
        <f>('balance sheet'!P31+'balance sheet'!P32+'balance sheet'!P20+'balance sheet'!P21)/'balance sheet'!P16</f>
        <v>0.21305505118213472</v>
      </c>
      <c r="O38" s="169">
        <f>('balance sheet'!Q31+'balance sheet'!Q32+'balance sheet'!Q20+'balance sheet'!Q21)/'balance sheet'!Q16</f>
        <v>0.21647265912706262</v>
      </c>
      <c r="P38" s="169">
        <f>('balance sheet'!R31+'balance sheet'!R32+'balance sheet'!R20+'balance sheet'!R21)/'balance sheet'!R16</f>
        <v>0.2200425270310849</v>
      </c>
      <c r="Q38" s="169">
        <f>('balance sheet'!S31+'balance sheet'!S32+'balance sheet'!S20+'balance sheet'!S21)/'balance sheet'!S16</f>
        <v>0.22380348075199349</v>
      </c>
    </row>
    <row r="39" spans="2:17" x14ac:dyDescent="0.25">
      <c r="C39" s="168"/>
      <c r="D39" s="168"/>
      <c r="E39" s="168"/>
      <c r="F39" s="168"/>
      <c r="G39" s="168"/>
      <c r="H39" s="169"/>
      <c r="I39" s="169"/>
      <c r="J39" s="169"/>
      <c r="K39" s="169"/>
      <c r="L39" s="169"/>
      <c r="M39" s="169"/>
      <c r="N39" s="169"/>
      <c r="O39" s="169"/>
      <c r="P39" s="169"/>
      <c r="Q39" s="169"/>
    </row>
    <row r="40" spans="2:17" x14ac:dyDescent="0.25">
      <c r="B40" t="s">
        <v>343</v>
      </c>
      <c r="C40" s="168">
        <f>('balance sheet'!E20+'balance sheet'!E21+'balance sheet'!E31+'balance sheet'!E32)/'balance sheet'!E71</f>
        <v>0.26913766605875455</v>
      </c>
      <c r="D40" s="168">
        <f>('balance sheet'!F20+'balance sheet'!F21+'balance sheet'!F31+'balance sheet'!F32)/'balance sheet'!F71</f>
        <v>0.21933000872208616</v>
      </c>
      <c r="E40" s="168">
        <f>('balance sheet'!G20+'balance sheet'!G21+'balance sheet'!G31+'balance sheet'!G32)/'balance sheet'!G71</f>
        <v>0.13478585084970038</v>
      </c>
      <c r="F40" s="168">
        <f>('balance sheet'!H20+'balance sheet'!H21+'balance sheet'!H31+'balance sheet'!H32)/'balance sheet'!H71</f>
        <v>0.1209991009658271</v>
      </c>
      <c r="G40" s="168">
        <f>('balance sheet'!I20+'balance sheet'!I21+'balance sheet'!I31+'balance sheet'!I32)/'balance sheet'!I71</f>
        <v>0.11312224825675601</v>
      </c>
      <c r="H40" s="169">
        <f>('balance sheet'!J20+'balance sheet'!J21+'balance sheet'!J31+'balance sheet'!J32)/'balance sheet'!J71</f>
        <v>0.11694632054795547</v>
      </c>
      <c r="I40" s="169">
        <f>('balance sheet'!K20+'balance sheet'!K21+'balance sheet'!K31+'balance sheet'!K32)/'balance sheet'!K71</f>
        <v>0.11897204402062379</v>
      </c>
      <c r="J40" s="169">
        <f>('balance sheet'!L20+'balance sheet'!L21+'balance sheet'!L31+'balance sheet'!L32)/'balance sheet'!L71</f>
        <v>0.12110808205929482</v>
      </c>
      <c r="K40" s="169">
        <f>('balance sheet'!M20+'balance sheet'!M21+'balance sheet'!M31+'balance sheet'!M32)/'balance sheet'!M71</f>
        <v>0.12335345292555629</v>
      </c>
      <c r="L40" s="169">
        <f>('balance sheet'!N20+'balance sheet'!N21+'balance sheet'!N31+'balance sheet'!N32)/'balance sheet'!N71</f>
        <v>0.12570055811212918</v>
      </c>
      <c r="M40" s="169">
        <f>('balance sheet'!O20+'balance sheet'!O21+'balance sheet'!O31+'balance sheet'!O32)/'balance sheet'!O71</f>
        <v>0.1281488606102473</v>
      </c>
      <c r="N40" s="169">
        <f>('balance sheet'!P20+'balance sheet'!P21+'balance sheet'!P31+'balance sheet'!P32)/'balance sheet'!P71</f>
        <v>0.13070315790719522</v>
      </c>
      <c r="O40" s="169">
        <f>('balance sheet'!Q20+'balance sheet'!Q21+'balance sheet'!Q31+'balance sheet'!Q32)/'balance sheet'!Q71</f>
        <v>0.13337207829484163</v>
      </c>
      <c r="P40" s="169">
        <f>('balance sheet'!R20+'balance sheet'!R21+'balance sheet'!R31+'balance sheet'!R32)/'balance sheet'!R71</f>
        <v>0.13616608952710671</v>
      </c>
      <c r="Q40" s="169">
        <f>('balance sheet'!S20+'balance sheet'!S21+'balance sheet'!S31+'balance sheet'!S32)/'balance sheet'!S71</f>
        <v>0.13909702920430797</v>
      </c>
    </row>
    <row r="41" spans="2:17" x14ac:dyDescent="0.25">
      <c r="C41" s="168"/>
      <c r="D41" s="168"/>
      <c r="E41" s="168"/>
      <c r="F41" s="168"/>
      <c r="G41" s="168"/>
      <c r="H41" s="169"/>
      <c r="I41" s="169"/>
      <c r="J41" s="169"/>
      <c r="K41" s="169"/>
      <c r="L41" s="169"/>
      <c r="M41" s="169"/>
      <c r="N41" s="169"/>
      <c r="O41" s="169"/>
      <c r="P41" s="169"/>
      <c r="Q41" s="169"/>
    </row>
    <row r="42" spans="2:17" x14ac:dyDescent="0.25">
      <c r="B42" t="s">
        <v>344</v>
      </c>
      <c r="C42" s="168">
        <f>-'Income '!F18/'Income '!F19</f>
        <v>3.3144864402084937</v>
      </c>
      <c r="D42" s="168">
        <f>-'Income '!G18/'Income '!G19</f>
        <v>5.9688890384680144</v>
      </c>
      <c r="E42" s="168">
        <f>-'Income '!H18/'Income '!H19</f>
        <v>9.3146044817986535</v>
      </c>
      <c r="F42" s="168">
        <f>-'Income '!I18/'Income '!I19</f>
        <v>9.3979239595488124</v>
      </c>
      <c r="G42" s="168">
        <f>-'Income '!J18/'Income '!J19</f>
        <v>10.147995867768593</v>
      </c>
      <c r="H42" s="169">
        <f>-'Income '!K18/'Income '!K19</f>
        <v>6.7016632426901923</v>
      </c>
      <c r="I42" s="169">
        <f>-'Income '!L18/'Income '!L19</f>
        <v>6.7470101730155747</v>
      </c>
      <c r="J42" s="169">
        <f>-'Income '!M18/'Income '!M19</f>
        <v>6.8030829249602123</v>
      </c>
      <c r="K42" s="169">
        <f>-'Income '!N18/'Income '!N19</f>
        <v>6.8739156377116775</v>
      </c>
      <c r="L42" s="169">
        <f>-'Income '!O18/'Income '!O19</f>
        <v>6.9538033967042816</v>
      </c>
      <c r="M42" s="169">
        <f>-'Income '!P18/'Income '!P19</f>
        <v>7.0384982057812735</v>
      </c>
      <c r="N42" s="169">
        <f>-'Income '!Q18/'Income '!Q19</f>
        <v>7.124882556376976</v>
      </c>
      <c r="O42" s="169">
        <f>-'Income '!R18/'Income '!R19</f>
        <v>7.2111727067009044</v>
      </c>
      <c r="P42" s="169">
        <f>-'Income '!S18/'Income '!S19</f>
        <v>7.2958864548172402</v>
      </c>
      <c r="Q42" s="169">
        <f>-'Income '!T18/'Income '!T19</f>
        <v>7.3780240131140653</v>
      </c>
    </row>
    <row r="45" spans="2:17" x14ac:dyDescent="0.25">
      <c r="B45" s="203" t="s">
        <v>353</v>
      </c>
      <c r="C45" s="203"/>
      <c r="D45" s="203"/>
      <c r="E45" s="203"/>
      <c r="F45" s="203"/>
      <c r="G45" s="203"/>
      <c r="H45" s="203"/>
      <c r="I45" s="203"/>
      <c r="J45" s="203"/>
      <c r="K45" s="203"/>
      <c r="L45" s="203"/>
      <c r="M45" s="203"/>
      <c r="N45" s="203"/>
      <c r="O45" s="203"/>
      <c r="P45" s="203"/>
      <c r="Q45" s="203"/>
    </row>
    <row r="47" spans="2:17" x14ac:dyDescent="0.25">
      <c r="B47" t="s">
        <v>345</v>
      </c>
      <c r="C47" s="168">
        <f>'Income '!F9/'balance sheet'!E49</f>
        <v>0.72722829691681568</v>
      </c>
      <c r="D47" s="168">
        <f>'Income '!G9/'balance sheet'!F49</f>
        <v>0.78291752651850466</v>
      </c>
      <c r="E47" s="168">
        <f>'Income '!H9/'balance sheet'!G49</f>
        <v>0.87225087687208558</v>
      </c>
      <c r="F47" s="168">
        <f>'Income '!I9/'balance sheet'!H49</f>
        <v>0.98053473581061612</v>
      </c>
      <c r="G47" s="168">
        <f>'Income '!J9/'balance sheet'!I49</f>
        <v>1.0035439859163322</v>
      </c>
      <c r="H47" s="169">
        <f>'Income '!K9/'balance sheet'!J49</f>
        <v>1.0181313300958363</v>
      </c>
      <c r="I47" s="169">
        <f>'Income '!L9/'balance sheet'!K49</f>
        <v>1.0450166372558076</v>
      </c>
      <c r="J47" s="169">
        <f>'Income '!M9/'balance sheet'!L49</f>
        <v>1.0820070004090645</v>
      </c>
      <c r="K47" s="169">
        <f>'Income '!N9/'balance sheet'!M49</f>
        <v>1.1284841002289998</v>
      </c>
      <c r="L47" s="169">
        <f>'Income '!O9/'balance sheet'!N49</f>
        <v>1.1842097249011345</v>
      </c>
      <c r="M47" s="169">
        <f>'Income '!P9/'balance sheet'!O49</f>
        <v>1.2492160162858537</v>
      </c>
      <c r="N47" s="169">
        <f>'Income '!Q9/'balance sheet'!P49</f>
        <v>1.323775505524601</v>
      </c>
      <c r="O47" s="169">
        <f>'Income '!R9/'balance sheet'!Q49</f>
        <v>1.4083342911855072</v>
      </c>
      <c r="P47" s="169">
        <f>'Income '!S9/'balance sheet'!R49</f>
        <v>1.5035007887974128</v>
      </c>
      <c r="Q47" s="169">
        <f>'Income '!T9/'balance sheet'!S49</f>
        <v>1.6100281306733779</v>
      </c>
    </row>
    <row r="48" spans="2:17" x14ac:dyDescent="0.25">
      <c r="C48" s="168"/>
      <c r="D48" s="168"/>
      <c r="E48" s="168"/>
      <c r="F48" s="168"/>
      <c r="G48" s="168"/>
      <c r="H48" s="169"/>
      <c r="I48" s="169"/>
      <c r="J48" s="169"/>
      <c r="K48" s="169"/>
      <c r="L48" s="169"/>
      <c r="M48" s="169"/>
      <c r="N48" s="169"/>
      <c r="O48" s="169"/>
      <c r="P48" s="169"/>
      <c r="Q48" s="169"/>
    </row>
    <row r="49" spans="2:17" x14ac:dyDescent="0.25">
      <c r="B49" t="s">
        <v>346</v>
      </c>
      <c r="C49" s="168">
        <f>'Income '!F9/'balance sheet'!E71</f>
        <v>0.53095984187983603</v>
      </c>
      <c r="D49" s="168">
        <f>'Income '!G9/'balance sheet'!F71</f>
        <v>0.51896006556242602</v>
      </c>
      <c r="E49" s="168">
        <f>'Income '!H9/'balance sheet'!G71</f>
        <v>0.62746292130569126</v>
      </c>
      <c r="F49" s="168">
        <f>'Income '!I9/'balance sheet'!H71</f>
        <v>0.69200222876436646</v>
      </c>
      <c r="G49" s="168">
        <f>'Income '!J9/'balance sheet'!I71</f>
        <v>0.70343974291782485</v>
      </c>
      <c r="H49" s="169">
        <f>'Income '!K9/'balance sheet'!J71</f>
        <v>0.7342818563063841</v>
      </c>
      <c r="I49" s="169">
        <f>'Income '!L9/'balance sheet'!K71</f>
        <v>0.7517804187020698</v>
      </c>
      <c r="J49" s="169">
        <f>'Income '!M9/'balance sheet'!L71</f>
        <v>0.76770292409187924</v>
      </c>
      <c r="K49" s="169">
        <f>'Income '!N9/'balance sheet'!M71</f>
        <v>0.78196357281419882</v>
      </c>
      <c r="L49" s="169">
        <f>'Income '!O9/'balance sheet'!N71</f>
        <v>0.79445736919415</v>
      </c>
      <c r="M49" s="169">
        <f>'Income '!P9/'balance sheet'!O71</f>
        <v>0.80514751714492117</v>
      </c>
      <c r="N49" s="169">
        <f>'Income '!Q9/'balance sheet'!P71</f>
        <v>0.81405339339120963</v>
      </c>
      <c r="O49" s="169">
        <f>'Income '!R9/'balance sheet'!Q71</f>
        <v>0.82123813495919351</v>
      </c>
      <c r="P49" s="169">
        <f>'Income '!S9/'balance sheet'!R71</f>
        <v>0.82679233199830104</v>
      </c>
      <c r="Q49" s="169">
        <f>'Income '!T9/'balance sheet'!S71</f>
        <v>0.83082698071928007</v>
      </c>
    </row>
    <row r="50" spans="2:17" x14ac:dyDescent="0.25">
      <c r="C50" s="168"/>
      <c r="D50" s="168"/>
      <c r="E50" s="168"/>
      <c r="F50" s="168"/>
      <c r="G50" s="168"/>
      <c r="H50" s="169"/>
      <c r="I50" s="169"/>
      <c r="J50" s="169"/>
      <c r="K50" s="169"/>
      <c r="L50" s="169"/>
      <c r="M50" s="169"/>
      <c r="N50" s="169"/>
      <c r="O50" s="169"/>
      <c r="P50" s="169"/>
      <c r="Q50" s="169"/>
    </row>
    <row r="51" spans="2:17" x14ac:dyDescent="0.25">
      <c r="B51" t="s">
        <v>347</v>
      </c>
      <c r="C51" s="168">
        <f>-'Income '!F10/'balance sheet'!E59</f>
        <v>1.5218486564408156</v>
      </c>
      <c r="D51" s="168">
        <f>-'Income '!G10/'balance sheet'!F59</f>
        <v>1.7635298421839884</v>
      </c>
      <c r="E51" s="168">
        <f>-'Income '!H10/'balance sheet'!G59</f>
        <v>1.4234431461975345</v>
      </c>
      <c r="F51" s="168">
        <f>-'Income '!I10/'balance sheet'!H59</f>
        <v>1.4693299736986583</v>
      </c>
      <c r="G51" s="168">
        <f>-'Income '!J10/'balance sheet'!I59</f>
        <v>1.4289665703851502</v>
      </c>
      <c r="H51" s="169">
        <f>-'Income '!K10/'balance sheet'!J59</f>
        <v>1.5119211420423535</v>
      </c>
      <c r="I51" s="169">
        <f>-'Income '!L10/'balance sheet'!K59</f>
        <v>1.5119211420423537</v>
      </c>
      <c r="J51" s="169">
        <f>-'Income '!M10/'balance sheet'!L59</f>
        <v>1.5119211420423537</v>
      </c>
      <c r="K51" s="169">
        <f>-'Income '!N10/'balance sheet'!M59</f>
        <v>1.5119211420423537</v>
      </c>
      <c r="L51" s="169">
        <f>-'Income '!O10/'balance sheet'!N59</f>
        <v>1.5119211420423535</v>
      </c>
      <c r="M51" s="169">
        <f>-'Income '!P10/'balance sheet'!O59</f>
        <v>1.5119211420423537</v>
      </c>
      <c r="N51" s="169">
        <f>-'Income '!Q10/'balance sheet'!P59</f>
        <v>1.5119211420423535</v>
      </c>
      <c r="O51" s="169">
        <f>-'Income '!R10/'balance sheet'!Q59</f>
        <v>1.5119211420423537</v>
      </c>
      <c r="P51" s="169">
        <f>-'Income '!S10/'balance sheet'!R59</f>
        <v>1.5119211420423535</v>
      </c>
      <c r="Q51" s="169">
        <f>-'Income '!T10/'balance sheet'!S59</f>
        <v>1.5119211420423535</v>
      </c>
    </row>
    <row r="54" spans="2:17" x14ac:dyDescent="0.25">
      <c r="B54" s="203" t="s">
        <v>354</v>
      </c>
      <c r="C54" s="203"/>
      <c r="D54" s="203"/>
      <c r="E54" s="203"/>
      <c r="F54" s="203"/>
      <c r="G54" s="203"/>
      <c r="H54" s="203"/>
      <c r="I54" s="203"/>
      <c r="J54" s="203"/>
      <c r="K54" s="203"/>
      <c r="L54" s="203"/>
      <c r="M54" s="203"/>
      <c r="N54" s="203"/>
      <c r="O54" s="203"/>
      <c r="P54" s="203"/>
      <c r="Q54" s="203"/>
    </row>
    <row r="56" spans="2:17" x14ac:dyDescent="0.25">
      <c r="B56" t="s">
        <v>348</v>
      </c>
      <c r="C56" s="18">
        <f>'Income '!F27/'Income '!F9</f>
        <v>0.13793432519490278</v>
      </c>
      <c r="D56" s="18">
        <f>'Income '!G27/'Income '!G9</f>
        <v>0.12286901434228069</v>
      </c>
      <c r="E56" s="18">
        <f>'Income '!H27/'Income '!H9</f>
        <v>0.13639733051096392</v>
      </c>
      <c r="F56" s="18">
        <f>'Income '!I27/'Income '!I9</f>
        <v>8.0224566800938257E-2</v>
      </c>
      <c r="G56" s="18">
        <f>'Income '!J27/'Income '!J9</f>
        <v>9.9529300461776979E-2</v>
      </c>
      <c r="H56" s="46">
        <f>'Income '!K27/'Income '!K9</f>
        <v>0.11262416177977756</v>
      </c>
      <c r="I56" s="46">
        <f>'Income '!L27/'Income '!L9</f>
        <v>0.11346602749132262</v>
      </c>
      <c r="J56" s="46">
        <f>'Income '!M27/'Income '!M9</f>
        <v>0.11450701806941553</v>
      </c>
      <c r="K56" s="46">
        <f>'Income '!N27/'Income '!N9</f>
        <v>0.11582202730363038</v>
      </c>
      <c r="L56" s="46">
        <f>'Income '!O27/'Income '!O9</f>
        <v>0.11730514346133863</v>
      </c>
      <c r="M56" s="46">
        <f>'Income '!P27/'Income '!P9</f>
        <v>0.11887750249856902</v>
      </c>
      <c r="N56" s="46">
        <f>'Income '!Q27/'Income '!Q9</f>
        <v>0.12048122787223337</v>
      </c>
      <c r="O56" s="46">
        <f>'Income '!R27/'Income '!R9</f>
        <v>0.12208320441795598</v>
      </c>
      <c r="P56" s="46">
        <f>'Income '!S27/'Income '!S9</f>
        <v>0.12365591505843089</v>
      </c>
      <c r="Q56" s="46">
        <f>'Income '!T27/'Income '!T9</f>
        <v>0.12518079873774401</v>
      </c>
    </row>
    <row r="57" spans="2:17" x14ac:dyDescent="0.25">
      <c r="H57" s="29"/>
      <c r="I57" s="29"/>
      <c r="J57" s="29"/>
      <c r="K57" s="29"/>
      <c r="L57" s="29"/>
      <c r="M57" s="29"/>
      <c r="N57" s="29"/>
      <c r="O57" s="29"/>
      <c r="P57" s="29"/>
      <c r="Q57" s="29"/>
    </row>
    <row r="58" spans="2:17" x14ac:dyDescent="0.25">
      <c r="B58" t="s">
        <v>349</v>
      </c>
      <c r="C58" s="168">
        <f>'Income '!F9/'balance sheet'!E71</f>
        <v>0.53095984187983603</v>
      </c>
      <c r="D58" s="168">
        <f>'Income '!G9/'balance sheet'!F71</f>
        <v>0.51896006556242602</v>
      </c>
      <c r="E58" s="168">
        <f>'Income '!H9/'balance sheet'!G71</f>
        <v>0.62746292130569126</v>
      </c>
      <c r="F58" s="168">
        <f>'Income '!I9/'balance sheet'!H71</f>
        <v>0.69200222876436646</v>
      </c>
      <c r="G58" s="168">
        <f>'Income '!J9/'balance sheet'!I71</f>
        <v>0.70343974291782485</v>
      </c>
      <c r="H58" s="169">
        <f>'Income '!K9/'balance sheet'!J71</f>
        <v>0.7342818563063841</v>
      </c>
      <c r="I58" s="169">
        <f>'Income '!L9/'balance sheet'!K71</f>
        <v>0.7517804187020698</v>
      </c>
      <c r="J58" s="169">
        <f>'Income '!M9/'balance sheet'!L71</f>
        <v>0.76770292409187924</v>
      </c>
      <c r="K58" s="169">
        <f>'Income '!N9/'balance sheet'!M71</f>
        <v>0.78196357281419882</v>
      </c>
      <c r="L58" s="169">
        <f>'Income '!O9/'balance sheet'!N71</f>
        <v>0.79445736919415</v>
      </c>
      <c r="M58" s="169">
        <f>'Income '!P9/'balance sheet'!O71</f>
        <v>0.80514751714492117</v>
      </c>
      <c r="N58" s="169">
        <f>'Income '!Q9/'balance sheet'!P71</f>
        <v>0.81405339339120963</v>
      </c>
      <c r="O58" s="169">
        <f>'Income '!R9/'balance sheet'!Q71</f>
        <v>0.82123813495919351</v>
      </c>
      <c r="P58" s="169">
        <f>'Income '!S9/'balance sheet'!R71</f>
        <v>0.82679233199830104</v>
      </c>
      <c r="Q58" s="169">
        <f>'Income '!T9/'balance sheet'!S71</f>
        <v>0.83082698071928007</v>
      </c>
    </row>
    <row r="59" spans="2:17" x14ac:dyDescent="0.25">
      <c r="C59" s="168"/>
      <c r="D59" s="168"/>
      <c r="E59" s="168"/>
      <c r="F59" s="168"/>
      <c r="G59" s="168"/>
      <c r="H59" s="169"/>
      <c r="I59" s="169"/>
      <c r="J59" s="169"/>
      <c r="K59" s="169"/>
      <c r="L59" s="169"/>
      <c r="M59" s="169"/>
      <c r="N59" s="169"/>
      <c r="O59" s="169"/>
      <c r="P59" s="169"/>
      <c r="Q59" s="169"/>
    </row>
    <row r="60" spans="2:17" x14ac:dyDescent="0.25">
      <c r="B60" t="s">
        <v>350</v>
      </c>
      <c r="C60" s="168">
        <f>'balance sheet'!E71/'balance sheet'!E16</f>
        <v>2.0278897323824867</v>
      </c>
      <c r="D60" s="168">
        <f>'balance sheet'!F71/'balance sheet'!F16</f>
        <v>1.9507181917773493</v>
      </c>
      <c r="E60" s="168">
        <f>'balance sheet'!G71/'balance sheet'!G16</f>
        <v>1.6621875186512742</v>
      </c>
      <c r="F60" s="168">
        <f>'balance sheet'!H71/'balance sheet'!H16</f>
        <v>1.6805199395294275</v>
      </c>
      <c r="G60" s="168">
        <f>'balance sheet'!I71/'balance sheet'!I16</f>
        <v>1.6721348921477908</v>
      </c>
      <c r="H60" s="169">
        <f>'balance sheet'!J71/'balance sheet'!J16</f>
        <v>1.6620593601618898</v>
      </c>
      <c r="I60" s="169">
        <f>'balance sheet'!K71/'balance sheet'!K16</f>
        <v>1.6583557280472794</v>
      </c>
      <c r="J60" s="169">
        <f>'balance sheet'!L71/'balance sheet'!L16</f>
        <v>1.6539334826415193</v>
      </c>
      <c r="K60" s="169">
        <f>'balance sheet'!M71/'balance sheet'!M16</f>
        <v>1.6488461844217355</v>
      </c>
      <c r="L60" s="169">
        <f>'balance sheet'!N71/'balance sheet'!N16</f>
        <v>1.6431059419830183</v>
      </c>
      <c r="M60" s="169">
        <f>'balance sheet'!O71/'balance sheet'!O16</f>
        <v>1.6368007228572357</v>
      </c>
      <c r="N60" s="169">
        <f>'balance sheet'!P71/'balance sheet'!P16</f>
        <v>1.6300681222515896</v>
      </c>
      <c r="O60" s="169">
        <f>'balance sheet'!Q71/'balance sheet'!Q16</f>
        <v>1.6230732991092263</v>
      </c>
      <c r="P60" s="169">
        <f>'balance sheet'!R71/'balance sheet'!R16</f>
        <v>1.6159862400049378</v>
      </c>
      <c r="Q60" s="169">
        <f>'balance sheet'!S71/'balance sheet'!S16</f>
        <v>1.6089738366968809</v>
      </c>
    </row>
    <row r="61" spans="2:17" x14ac:dyDescent="0.25">
      <c r="C61" s="168"/>
      <c r="D61" s="168"/>
      <c r="E61" s="168"/>
      <c r="F61" s="168"/>
      <c r="G61" s="168"/>
      <c r="H61" s="169"/>
      <c r="I61" s="169"/>
      <c r="J61" s="169"/>
      <c r="K61" s="169"/>
      <c r="L61" s="169"/>
      <c r="M61" s="169"/>
      <c r="N61" s="169"/>
      <c r="O61" s="169"/>
      <c r="P61" s="169"/>
      <c r="Q61" s="169"/>
    </row>
    <row r="62" spans="2:17" x14ac:dyDescent="0.25">
      <c r="B62" t="s">
        <v>35</v>
      </c>
      <c r="C62" s="18">
        <f>C56*C58*C60</f>
        <v>0.14851775170615747</v>
      </c>
      <c r="D62" s="18">
        <f t="shared" ref="D62:Q62" si="1">D56*D58*D60</f>
        <v>0.12438581275112895</v>
      </c>
      <c r="E62" s="18">
        <f t="shared" si="1"/>
        <v>0.14225710116610008</v>
      </c>
      <c r="F62" s="18">
        <f t="shared" si="1"/>
        <v>9.3295037510916196E-2</v>
      </c>
      <c r="G62" s="18">
        <f t="shared" si="1"/>
        <v>0.11707095535133449</v>
      </c>
      <c r="H62" s="46">
        <f t="shared" si="1"/>
        <v>0.13744878315377873</v>
      </c>
      <c r="I62" s="46">
        <f t="shared" si="1"/>
        <v>0.14146029358288104</v>
      </c>
      <c r="J62" s="46">
        <f t="shared" si="1"/>
        <v>0.14539294691572505</v>
      </c>
      <c r="K62" s="46">
        <f t="shared" si="1"/>
        <v>0.14933370089470668</v>
      </c>
      <c r="L62" s="46">
        <f t="shared" si="1"/>
        <v>0.15312750945162099</v>
      </c>
      <c r="M62" s="46">
        <f t="shared" si="1"/>
        <v>0.15666462323338806</v>
      </c>
      <c r="N62" s="46">
        <f t="shared" si="1"/>
        <v>0.15987406969918228</v>
      </c>
      <c r="O62" s="46">
        <f t="shared" si="1"/>
        <v>0.1627283277045829</v>
      </c>
      <c r="P62" s="46">
        <f t="shared" si="1"/>
        <v>0.16521481720938949</v>
      </c>
      <c r="Q62" s="46">
        <f t="shared" si="1"/>
        <v>0.16733904728310475</v>
      </c>
    </row>
    <row r="64" spans="2:17" x14ac:dyDescent="0.25">
      <c r="B64" s="104"/>
      <c r="C64" s="104"/>
      <c r="D64" s="104"/>
      <c r="E64" s="104"/>
      <c r="F64" s="104"/>
      <c r="G64" s="104"/>
      <c r="H64" s="104"/>
      <c r="I64" s="104"/>
      <c r="J64" s="104"/>
      <c r="K64" s="104"/>
      <c r="L64" s="104"/>
      <c r="M64" s="104"/>
      <c r="N64" s="104"/>
      <c r="O64" s="104"/>
      <c r="P64" s="104"/>
      <c r="Q64" s="104"/>
    </row>
  </sheetData>
  <mergeCells count="5">
    <mergeCell ref="B4:Q4"/>
    <mergeCell ref="B25:Q25"/>
    <mergeCell ref="B34:Q34"/>
    <mergeCell ref="B45:Q45"/>
    <mergeCell ref="B54:Q5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P24"/>
  <sheetViews>
    <sheetView showGridLines="0" workbookViewId="0">
      <selection activeCell="R4" sqref="R4"/>
    </sheetView>
  </sheetViews>
  <sheetFormatPr defaultRowHeight="15" x14ac:dyDescent="0.25"/>
  <sheetData>
    <row r="3" spans="1:16" x14ac:dyDescent="0.25">
      <c r="A3" s="185" t="s">
        <v>276</v>
      </c>
      <c r="B3" s="186">
        <v>2020</v>
      </c>
      <c r="C3" s="186">
        <f>B3+1</f>
        <v>2021</v>
      </c>
      <c r="D3" s="186">
        <f t="shared" ref="D3:P3" si="0">C3+1</f>
        <v>2022</v>
      </c>
      <c r="E3" s="186">
        <f t="shared" si="0"/>
        <v>2023</v>
      </c>
      <c r="F3" s="186">
        <f t="shared" si="0"/>
        <v>2024</v>
      </c>
      <c r="G3" s="187">
        <f t="shared" si="0"/>
        <v>2025</v>
      </c>
      <c r="H3" s="187">
        <f t="shared" si="0"/>
        <v>2026</v>
      </c>
      <c r="I3" s="187">
        <f t="shared" si="0"/>
        <v>2027</v>
      </c>
      <c r="J3" s="187">
        <f t="shared" si="0"/>
        <v>2028</v>
      </c>
      <c r="K3" s="187">
        <f t="shared" si="0"/>
        <v>2029</v>
      </c>
      <c r="L3" s="187">
        <f t="shared" si="0"/>
        <v>2030</v>
      </c>
      <c r="M3" s="187">
        <f t="shared" si="0"/>
        <v>2031</v>
      </c>
      <c r="N3" s="187">
        <f t="shared" si="0"/>
        <v>2032</v>
      </c>
      <c r="O3" s="187">
        <f t="shared" si="0"/>
        <v>2033</v>
      </c>
      <c r="P3" s="188">
        <f t="shared" si="0"/>
        <v>2034</v>
      </c>
    </row>
    <row r="4" spans="1:16" x14ac:dyDescent="0.25">
      <c r="A4" s="189" t="s">
        <v>1</v>
      </c>
      <c r="B4" s="190">
        <v>42124.829999999994</v>
      </c>
      <c r="C4" s="190">
        <v>44725.8</v>
      </c>
      <c r="D4" s="190">
        <v>52598.83</v>
      </c>
      <c r="E4" s="190">
        <v>63239.979999999996</v>
      </c>
      <c r="F4" s="190">
        <v>70908.14</v>
      </c>
      <c r="G4" s="190">
        <v>80848.467274343071</v>
      </c>
      <c r="H4" s="190">
        <v>92182.289094179068</v>
      </c>
      <c r="I4" s="190">
        <v>105104.95386149982</v>
      </c>
      <c r="J4" s="190">
        <v>119839.19508596339</v>
      </c>
      <c r="K4" s="190">
        <v>136638.97039311889</v>
      </c>
      <c r="L4" s="190">
        <v>155793.83870777037</v>
      </c>
      <c r="M4" s="190">
        <v>177633.9510570924</v>
      </c>
      <c r="N4" s="190">
        <v>202535.74101438277</v>
      </c>
      <c r="O4" s="190">
        <v>230928.4128632643</v>
      </c>
      <c r="P4" s="191">
        <v>263301.33931156009</v>
      </c>
    </row>
    <row r="22" spans="1:16" x14ac:dyDescent="0.25">
      <c r="A22" s="192" t="s">
        <v>398</v>
      </c>
      <c r="B22" s="186">
        <v>2020</v>
      </c>
      <c r="C22" s="186">
        <f>B22+1</f>
        <v>2021</v>
      </c>
      <c r="D22" s="186">
        <f t="shared" ref="D22" si="1">C22+1</f>
        <v>2022</v>
      </c>
      <c r="E22" s="186">
        <f t="shared" ref="E22" si="2">D22+1</f>
        <v>2023</v>
      </c>
      <c r="F22" s="186">
        <f t="shared" ref="F22" si="3">E22+1</f>
        <v>2024</v>
      </c>
      <c r="G22" s="187">
        <f t="shared" ref="G22" si="4">F22+1</f>
        <v>2025</v>
      </c>
      <c r="H22" s="187">
        <f t="shared" ref="H22" si="5">G22+1</f>
        <v>2026</v>
      </c>
      <c r="I22" s="187">
        <f t="shared" ref="I22" si="6">H22+1</f>
        <v>2027</v>
      </c>
      <c r="J22" s="187">
        <f t="shared" ref="J22" si="7">I22+1</f>
        <v>2028</v>
      </c>
      <c r="K22" s="187">
        <f t="shared" ref="K22" si="8">J22+1</f>
        <v>2029</v>
      </c>
      <c r="L22" s="187">
        <f t="shared" ref="L22" si="9">K22+1</f>
        <v>2030</v>
      </c>
      <c r="M22" s="187">
        <f t="shared" ref="M22" si="10">L22+1</f>
        <v>2031</v>
      </c>
      <c r="N22" s="187">
        <f t="shared" ref="N22" si="11">M22+1</f>
        <v>2032</v>
      </c>
      <c r="O22" s="187">
        <f t="shared" ref="O22" si="12">N22+1</f>
        <v>2033</v>
      </c>
      <c r="P22" s="188">
        <f t="shared" ref="P22" si="13">O22+1</f>
        <v>2034</v>
      </c>
    </row>
    <row r="23" spans="1:16" x14ac:dyDescent="0.25">
      <c r="A23" s="193" t="s">
        <v>11</v>
      </c>
      <c r="B23" s="194">
        <v>9283.5699999999961</v>
      </c>
      <c r="C23" s="194">
        <v>11567.910000000007</v>
      </c>
      <c r="D23" s="194">
        <v>11514.350000000006</v>
      </c>
      <c r="E23" s="194">
        <v>10619.849999999999</v>
      </c>
      <c r="F23" s="194">
        <v>12968.559999999998</v>
      </c>
      <c r="G23" s="194">
        <v>16958.025134128147</v>
      </c>
      <c r="H23" s="194">
        <v>19335.302549101514</v>
      </c>
      <c r="I23" s="194">
        <v>22045.840934208056</v>
      </c>
      <c r="J23" s="194">
        <v>25136.358805980417</v>
      </c>
      <c r="K23" s="194">
        <v>28660.12396209313</v>
      </c>
      <c r="L23" s="194">
        <v>32677.871598774145</v>
      </c>
      <c r="M23" s="194">
        <v>37258.851135408084</v>
      </c>
      <c r="N23" s="194">
        <v>42482.019789274709</v>
      </c>
      <c r="O23" s="194">
        <v>48437.403472734877</v>
      </c>
      <c r="P23" s="145">
        <v>55227.648469125765</v>
      </c>
    </row>
    <row r="24" spans="1:16" x14ac:dyDescent="0.25">
      <c r="A24" s="195" t="s">
        <v>397</v>
      </c>
      <c r="B24" s="196">
        <v>5243.529999999997</v>
      </c>
      <c r="C24" s="196">
        <v>8116.2000000000062</v>
      </c>
      <c r="D24" s="196">
        <v>8362.7000000000062</v>
      </c>
      <c r="E24" s="196">
        <v>7412.2199999999984</v>
      </c>
      <c r="F24" s="196">
        <v>9472.2099999999991</v>
      </c>
      <c r="G24" s="196">
        <v>12225.470435782952</v>
      </c>
      <c r="H24" s="196">
        <v>14043.794343133508</v>
      </c>
      <c r="I24" s="196">
        <v>16159.846968586129</v>
      </c>
      <c r="J24" s="196">
        <v>18637.403206767307</v>
      </c>
      <c r="K24" s="196">
        <v>21522.947474905235</v>
      </c>
      <c r="L24" s="196">
        <v>24869.972254968965</v>
      </c>
      <c r="M24" s="196">
        <v>28739.939167752822</v>
      </c>
      <c r="N24" s="196">
        <v>33205.712005127105</v>
      </c>
      <c r="O24" s="196">
        <v>38349.662775220138</v>
      </c>
      <c r="P24" s="197">
        <v>44266.316269967334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W64"/>
  <sheetViews>
    <sheetView showGridLines="0" workbookViewId="0">
      <selection activeCell="B14" sqref="B14:C16"/>
    </sheetView>
  </sheetViews>
  <sheetFormatPr defaultRowHeight="15" x14ac:dyDescent="0.25"/>
  <cols>
    <col min="1" max="1" width="4.7109375" customWidth="1"/>
    <col min="2" max="2" width="26.140625" bestFit="1" customWidth="1"/>
    <col min="4" max="4" width="10.42578125" customWidth="1"/>
    <col min="5" max="5" width="10.5703125" customWidth="1"/>
    <col min="9" max="9" width="11.7109375" customWidth="1"/>
    <col min="10" max="10" width="16" customWidth="1"/>
    <col min="11" max="11" width="2.28515625" customWidth="1"/>
    <col min="17" max="17" width="18.42578125" customWidth="1"/>
    <col min="22" max="22" width="15.85546875" customWidth="1"/>
    <col min="23" max="23" width="25.7109375" customWidth="1"/>
  </cols>
  <sheetData>
    <row r="3" spans="2:23" x14ac:dyDescent="0.25">
      <c r="B3" s="212" t="s">
        <v>18</v>
      </c>
      <c r="C3" s="213"/>
      <c r="D3" s="213" t="s">
        <v>257</v>
      </c>
      <c r="E3" s="213"/>
      <c r="F3" s="213"/>
      <c r="G3" s="213"/>
      <c r="H3" s="213"/>
      <c r="I3" s="213"/>
      <c r="J3" s="213"/>
      <c r="K3" s="171"/>
      <c r="L3" s="213" t="s">
        <v>356</v>
      </c>
      <c r="M3" s="213"/>
      <c r="N3" s="213"/>
      <c r="O3" s="213"/>
      <c r="P3" s="213"/>
      <c r="Q3" s="213"/>
      <c r="R3" s="213"/>
      <c r="S3" s="213"/>
      <c r="T3" s="172"/>
      <c r="U3" s="172"/>
      <c r="V3" s="172"/>
      <c r="W3" s="173"/>
    </row>
    <row r="5" spans="2:23" x14ac:dyDescent="0.25">
      <c r="B5" s="207" t="s">
        <v>136</v>
      </c>
      <c r="C5" s="208"/>
      <c r="D5" s="209" t="s">
        <v>357</v>
      </c>
      <c r="E5" s="210"/>
      <c r="F5" s="210"/>
      <c r="G5" s="210"/>
      <c r="H5" s="210"/>
      <c r="I5" s="210"/>
      <c r="J5" s="211"/>
      <c r="L5" s="204" t="s">
        <v>379</v>
      </c>
      <c r="M5" s="205"/>
      <c r="N5" s="205"/>
      <c r="O5" s="205"/>
      <c r="P5" s="205"/>
      <c r="Q5" s="205"/>
      <c r="R5" s="205"/>
      <c r="S5" s="205"/>
      <c r="T5" s="205"/>
      <c r="U5" s="205"/>
      <c r="V5" s="205"/>
      <c r="W5" s="206"/>
    </row>
    <row r="6" spans="2:23" x14ac:dyDescent="0.25">
      <c r="B6" s="207"/>
      <c r="C6" s="208"/>
      <c r="D6" s="209"/>
      <c r="E6" s="210"/>
      <c r="F6" s="210"/>
      <c r="G6" s="210"/>
      <c r="H6" s="210"/>
      <c r="I6" s="210"/>
      <c r="J6" s="211"/>
      <c r="L6" s="204"/>
      <c r="M6" s="205"/>
      <c r="N6" s="205"/>
      <c r="O6" s="205"/>
      <c r="P6" s="205"/>
      <c r="Q6" s="205"/>
      <c r="R6" s="205"/>
      <c r="S6" s="205"/>
      <c r="T6" s="205"/>
      <c r="U6" s="205"/>
      <c r="V6" s="205"/>
      <c r="W6" s="206"/>
    </row>
    <row r="7" spans="2:23" x14ac:dyDescent="0.25">
      <c r="B7" s="207"/>
      <c r="C7" s="208"/>
      <c r="D7" s="209"/>
      <c r="E7" s="210"/>
      <c r="F7" s="210"/>
      <c r="G7" s="210"/>
      <c r="H7" s="210"/>
      <c r="I7" s="210"/>
      <c r="J7" s="211"/>
      <c r="L7" s="204"/>
      <c r="M7" s="205"/>
      <c r="N7" s="205"/>
      <c r="O7" s="205"/>
      <c r="P7" s="205"/>
      <c r="Q7" s="205"/>
      <c r="R7" s="205"/>
      <c r="S7" s="205"/>
      <c r="T7" s="205"/>
      <c r="U7" s="205"/>
      <c r="V7" s="205"/>
      <c r="W7" s="206"/>
    </row>
    <row r="8" spans="2:23" x14ac:dyDescent="0.25">
      <c r="B8" s="207" t="s">
        <v>330</v>
      </c>
      <c r="C8" s="208"/>
      <c r="D8" s="209" t="s">
        <v>358</v>
      </c>
      <c r="E8" s="210"/>
      <c r="F8" s="210"/>
      <c r="G8" s="210"/>
      <c r="H8" s="210"/>
      <c r="I8" s="210"/>
      <c r="J8" s="211"/>
      <c r="L8" s="204" t="s">
        <v>377</v>
      </c>
      <c r="M8" s="205"/>
      <c r="N8" s="205"/>
      <c r="O8" s="205"/>
      <c r="P8" s="205"/>
      <c r="Q8" s="205"/>
      <c r="R8" s="205"/>
      <c r="S8" s="205"/>
      <c r="T8" s="205"/>
      <c r="U8" s="205"/>
      <c r="V8" s="205"/>
      <c r="W8" s="206"/>
    </row>
    <row r="9" spans="2:23" x14ac:dyDescent="0.25">
      <c r="B9" s="207"/>
      <c r="C9" s="208"/>
      <c r="D9" s="209"/>
      <c r="E9" s="210"/>
      <c r="F9" s="210"/>
      <c r="G9" s="210"/>
      <c r="H9" s="210"/>
      <c r="I9" s="210"/>
      <c r="J9" s="211"/>
      <c r="L9" s="204"/>
      <c r="M9" s="205"/>
      <c r="N9" s="205"/>
      <c r="O9" s="205"/>
      <c r="P9" s="205"/>
      <c r="Q9" s="205"/>
      <c r="R9" s="205"/>
      <c r="S9" s="205"/>
      <c r="T9" s="205"/>
      <c r="U9" s="205"/>
      <c r="V9" s="205"/>
      <c r="W9" s="206"/>
    </row>
    <row r="10" spans="2:23" ht="15.75" customHeight="1" x14ac:dyDescent="0.25">
      <c r="B10" s="207"/>
      <c r="C10" s="208"/>
      <c r="D10" s="209"/>
      <c r="E10" s="210"/>
      <c r="F10" s="210"/>
      <c r="G10" s="210"/>
      <c r="H10" s="210"/>
      <c r="I10" s="210"/>
      <c r="J10" s="211"/>
      <c r="L10" s="204"/>
      <c r="M10" s="205"/>
      <c r="N10" s="205"/>
      <c r="O10" s="205"/>
      <c r="P10" s="205"/>
      <c r="Q10" s="205"/>
      <c r="R10" s="205"/>
      <c r="S10" s="205"/>
      <c r="T10" s="205"/>
      <c r="U10" s="205"/>
      <c r="V10" s="205"/>
      <c r="W10" s="206"/>
    </row>
    <row r="11" spans="2:23" x14ac:dyDescent="0.25">
      <c r="B11" s="207" t="s">
        <v>331</v>
      </c>
      <c r="C11" s="208"/>
      <c r="D11" s="209" t="s">
        <v>359</v>
      </c>
      <c r="E11" s="210"/>
      <c r="F11" s="210"/>
      <c r="G11" s="210"/>
      <c r="H11" s="210"/>
      <c r="I11" s="210"/>
      <c r="J11" s="211"/>
      <c r="L11" s="204" t="s">
        <v>378</v>
      </c>
      <c r="M11" s="205"/>
      <c r="N11" s="205"/>
      <c r="O11" s="205"/>
      <c r="P11" s="205"/>
      <c r="Q11" s="205"/>
      <c r="R11" s="205"/>
      <c r="S11" s="205"/>
      <c r="T11" s="205"/>
      <c r="U11" s="205"/>
      <c r="V11" s="205"/>
      <c r="W11" s="206"/>
    </row>
    <row r="12" spans="2:23" x14ac:dyDescent="0.25">
      <c r="B12" s="207"/>
      <c r="C12" s="208"/>
      <c r="D12" s="209"/>
      <c r="E12" s="210"/>
      <c r="F12" s="210"/>
      <c r="G12" s="210"/>
      <c r="H12" s="210"/>
      <c r="I12" s="210"/>
      <c r="J12" s="211"/>
      <c r="L12" s="204"/>
      <c r="M12" s="205"/>
      <c r="N12" s="205"/>
      <c r="O12" s="205"/>
      <c r="P12" s="205"/>
      <c r="Q12" s="205"/>
      <c r="R12" s="205"/>
      <c r="S12" s="205"/>
      <c r="T12" s="205"/>
      <c r="U12" s="205"/>
      <c r="V12" s="205"/>
      <c r="W12" s="206"/>
    </row>
    <row r="13" spans="2:23" ht="20.25" customHeight="1" x14ac:dyDescent="0.25">
      <c r="B13" s="207"/>
      <c r="C13" s="208"/>
      <c r="D13" s="209"/>
      <c r="E13" s="210"/>
      <c r="F13" s="210"/>
      <c r="G13" s="210"/>
      <c r="H13" s="210"/>
      <c r="I13" s="210"/>
      <c r="J13" s="211"/>
      <c r="L13" s="204"/>
      <c r="M13" s="205"/>
      <c r="N13" s="205"/>
      <c r="O13" s="205"/>
      <c r="P13" s="205"/>
      <c r="Q13" s="205"/>
      <c r="R13" s="205"/>
      <c r="S13" s="205"/>
      <c r="T13" s="205"/>
      <c r="U13" s="205"/>
      <c r="V13" s="205"/>
      <c r="W13" s="206"/>
    </row>
    <row r="14" spans="2:23" x14ac:dyDescent="0.25">
      <c r="B14" s="207" t="s">
        <v>332</v>
      </c>
      <c r="C14" s="208"/>
      <c r="D14" s="209" t="s">
        <v>360</v>
      </c>
      <c r="E14" s="210"/>
      <c r="F14" s="210"/>
      <c r="G14" s="210"/>
      <c r="H14" s="210"/>
      <c r="I14" s="210"/>
      <c r="J14" s="211"/>
      <c r="L14" s="204" t="s">
        <v>380</v>
      </c>
      <c r="M14" s="205"/>
      <c r="N14" s="205"/>
      <c r="O14" s="205"/>
      <c r="P14" s="205"/>
      <c r="Q14" s="205"/>
      <c r="R14" s="205"/>
      <c r="S14" s="205"/>
      <c r="T14" s="205"/>
      <c r="U14" s="205"/>
      <c r="V14" s="205"/>
      <c r="W14" s="206"/>
    </row>
    <row r="15" spans="2:23" x14ac:dyDescent="0.25">
      <c r="B15" s="207"/>
      <c r="C15" s="208"/>
      <c r="D15" s="209"/>
      <c r="E15" s="210"/>
      <c r="F15" s="210"/>
      <c r="G15" s="210"/>
      <c r="H15" s="210"/>
      <c r="I15" s="210"/>
      <c r="J15" s="211"/>
      <c r="L15" s="204"/>
      <c r="M15" s="205"/>
      <c r="N15" s="205"/>
      <c r="O15" s="205"/>
      <c r="P15" s="205"/>
      <c r="Q15" s="205"/>
      <c r="R15" s="205"/>
      <c r="S15" s="205"/>
      <c r="T15" s="205"/>
      <c r="U15" s="205"/>
      <c r="V15" s="205"/>
      <c r="W15" s="206"/>
    </row>
    <row r="16" spans="2:23" x14ac:dyDescent="0.25">
      <c r="B16" s="207"/>
      <c r="C16" s="208"/>
      <c r="D16" s="209"/>
      <c r="E16" s="210"/>
      <c r="F16" s="210"/>
      <c r="G16" s="210"/>
      <c r="H16" s="210"/>
      <c r="I16" s="210"/>
      <c r="J16" s="211"/>
      <c r="L16" s="204"/>
      <c r="M16" s="205"/>
      <c r="N16" s="205"/>
      <c r="O16" s="205"/>
      <c r="P16" s="205"/>
      <c r="Q16" s="205"/>
      <c r="R16" s="205"/>
      <c r="S16" s="205"/>
      <c r="T16" s="205"/>
      <c r="U16" s="205"/>
      <c r="V16" s="205"/>
      <c r="W16" s="206"/>
    </row>
    <row r="17" spans="2:23" x14ac:dyDescent="0.25">
      <c r="B17" s="207" t="s">
        <v>333</v>
      </c>
      <c r="C17" s="208"/>
      <c r="D17" s="209" t="s">
        <v>361</v>
      </c>
      <c r="E17" s="210"/>
      <c r="F17" s="210"/>
      <c r="G17" s="210"/>
      <c r="H17" s="210"/>
      <c r="I17" s="210"/>
      <c r="J17" s="211"/>
      <c r="L17" s="204" t="s">
        <v>381</v>
      </c>
      <c r="M17" s="205"/>
      <c r="N17" s="205"/>
      <c r="O17" s="205"/>
      <c r="P17" s="205"/>
      <c r="Q17" s="205"/>
      <c r="R17" s="205"/>
      <c r="S17" s="205"/>
      <c r="T17" s="205"/>
      <c r="U17" s="205"/>
      <c r="V17" s="205"/>
      <c r="W17" s="206"/>
    </row>
    <row r="18" spans="2:23" x14ac:dyDescent="0.25">
      <c r="B18" s="207"/>
      <c r="C18" s="208"/>
      <c r="D18" s="209"/>
      <c r="E18" s="210"/>
      <c r="F18" s="210"/>
      <c r="G18" s="210"/>
      <c r="H18" s="210"/>
      <c r="I18" s="210"/>
      <c r="J18" s="211"/>
      <c r="L18" s="204"/>
      <c r="M18" s="205"/>
      <c r="N18" s="205"/>
      <c r="O18" s="205"/>
      <c r="P18" s="205"/>
      <c r="Q18" s="205"/>
      <c r="R18" s="205"/>
      <c r="S18" s="205"/>
      <c r="T18" s="205"/>
      <c r="U18" s="205"/>
      <c r="V18" s="205"/>
      <c r="W18" s="206"/>
    </row>
    <row r="19" spans="2:23" x14ac:dyDescent="0.25">
      <c r="B19" s="207"/>
      <c r="C19" s="208"/>
      <c r="D19" s="209"/>
      <c r="E19" s="210"/>
      <c r="F19" s="210"/>
      <c r="G19" s="210"/>
      <c r="H19" s="210"/>
      <c r="I19" s="210"/>
      <c r="J19" s="211"/>
      <c r="L19" s="204"/>
      <c r="M19" s="205"/>
      <c r="N19" s="205"/>
      <c r="O19" s="205"/>
      <c r="P19" s="205"/>
      <c r="Q19" s="205"/>
      <c r="R19" s="205"/>
      <c r="S19" s="205"/>
      <c r="T19" s="205"/>
      <c r="U19" s="205"/>
      <c r="V19" s="205"/>
      <c r="W19" s="206"/>
    </row>
    <row r="20" spans="2:23" x14ac:dyDescent="0.25">
      <c r="B20" s="207" t="s">
        <v>334</v>
      </c>
      <c r="C20" s="208"/>
      <c r="D20" s="209" t="s">
        <v>362</v>
      </c>
      <c r="E20" s="210"/>
      <c r="F20" s="210"/>
      <c r="G20" s="210"/>
      <c r="H20" s="210"/>
      <c r="I20" s="210"/>
      <c r="J20" s="211"/>
      <c r="L20" s="204" t="s">
        <v>382</v>
      </c>
      <c r="M20" s="205"/>
      <c r="N20" s="205"/>
      <c r="O20" s="205"/>
      <c r="P20" s="205"/>
      <c r="Q20" s="205"/>
      <c r="R20" s="205"/>
      <c r="S20" s="205"/>
      <c r="T20" s="205"/>
      <c r="U20" s="205"/>
      <c r="V20" s="205"/>
      <c r="W20" s="206"/>
    </row>
    <row r="21" spans="2:23" x14ac:dyDescent="0.25">
      <c r="B21" s="207"/>
      <c r="C21" s="208"/>
      <c r="D21" s="209"/>
      <c r="E21" s="210"/>
      <c r="F21" s="210"/>
      <c r="G21" s="210"/>
      <c r="H21" s="210"/>
      <c r="I21" s="210"/>
      <c r="J21" s="211"/>
      <c r="L21" s="204"/>
      <c r="M21" s="205"/>
      <c r="N21" s="205"/>
      <c r="O21" s="205"/>
      <c r="P21" s="205"/>
      <c r="Q21" s="205"/>
      <c r="R21" s="205"/>
      <c r="S21" s="205"/>
      <c r="T21" s="205"/>
      <c r="U21" s="205"/>
      <c r="V21" s="205"/>
      <c r="W21" s="206"/>
    </row>
    <row r="22" spans="2:23" x14ac:dyDescent="0.25">
      <c r="B22" s="207"/>
      <c r="C22" s="208"/>
      <c r="D22" s="209"/>
      <c r="E22" s="210"/>
      <c r="F22" s="210"/>
      <c r="G22" s="210"/>
      <c r="H22" s="210"/>
      <c r="I22" s="210"/>
      <c r="J22" s="211"/>
      <c r="L22" s="204"/>
      <c r="M22" s="205"/>
      <c r="N22" s="205"/>
      <c r="O22" s="205"/>
      <c r="P22" s="205"/>
      <c r="Q22" s="205"/>
      <c r="R22" s="205"/>
      <c r="S22" s="205"/>
      <c r="T22" s="205"/>
      <c r="U22" s="205"/>
      <c r="V22" s="205"/>
      <c r="W22" s="206"/>
    </row>
    <row r="23" spans="2:23" x14ac:dyDescent="0.25">
      <c r="B23" s="207" t="s">
        <v>335</v>
      </c>
      <c r="C23" s="208"/>
      <c r="D23" s="209" t="s">
        <v>363</v>
      </c>
      <c r="E23" s="210"/>
      <c r="F23" s="210"/>
      <c r="G23" s="210"/>
      <c r="H23" s="210"/>
      <c r="I23" s="210"/>
      <c r="J23" s="211"/>
      <c r="L23" s="204" t="s">
        <v>383</v>
      </c>
      <c r="M23" s="205"/>
      <c r="N23" s="205"/>
      <c r="O23" s="205"/>
      <c r="P23" s="205"/>
      <c r="Q23" s="205"/>
      <c r="R23" s="205"/>
      <c r="S23" s="205"/>
      <c r="T23" s="205"/>
      <c r="U23" s="205"/>
      <c r="V23" s="205"/>
      <c r="W23" s="206"/>
    </row>
    <row r="24" spans="2:23" x14ac:dyDescent="0.25">
      <c r="B24" s="207"/>
      <c r="C24" s="208"/>
      <c r="D24" s="209"/>
      <c r="E24" s="210"/>
      <c r="F24" s="210"/>
      <c r="G24" s="210"/>
      <c r="H24" s="210"/>
      <c r="I24" s="210"/>
      <c r="J24" s="211"/>
      <c r="L24" s="204"/>
      <c r="M24" s="205"/>
      <c r="N24" s="205"/>
      <c r="O24" s="205"/>
      <c r="P24" s="205"/>
      <c r="Q24" s="205"/>
      <c r="R24" s="205"/>
      <c r="S24" s="205"/>
      <c r="T24" s="205"/>
      <c r="U24" s="205"/>
      <c r="V24" s="205"/>
      <c r="W24" s="206"/>
    </row>
    <row r="25" spans="2:23" x14ac:dyDescent="0.25">
      <c r="B25" s="207"/>
      <c r="C25" s="208"/>
      <c r="D25" s="209"/>
      <c r="E25" s="210"/>
      <c r="F25" s="210"/>
      <c r="G25" s="210"/>
      <c r="H25" s="210"/>
      <c r="I25" s="210"/>
      <c r="J25" s="211"/>
      <c r="L25" s="204"/>
      <c r="M25" s="205"/>
      <c r="N25" s="205"/>
      <c r="O25" s="205"/>
      <c r="P25" s="205"/>
      <c r="Q25" s="205"/>
      <c r="R25" s="205"/>
      <c r="S25" s="205"/>
      <c r="T25" s="205"/>
      <c r="U25" s="205"/>
      <c r="V25" s="205"/>
      <c r="W25" s="206"/>
    </row>
    <row r="26" spans="2:23" x14ac:dyDescent="0.25">
      <c r="B26" s="207" t="s">
        <v>336</v>
      </c>
      <c r="C26" s="208"/>
      <c r="D26" s="209" t="s">
        <v>364</v>
      </c>
      <c r="E26" s="210"/>
      <c r="F26" s="210"/>
      <c r="G26" s="210"/>
      <c r="H26" s="210"/>
      <c r="I26" s="210"/>
      <c r="J26" s="211"/>
      <c r="L26" s="204" t="s">
        <v>384</v>
      </c>
      <c r="M26" s="205"/>
      <c r="N26" s="205"/>
      <c r="O26" s="205"/>
      <c r="P26" s="205"/>
      <c r="Q26" s="205"/>
      <c r="R26" s="205"/>
      <c r="S26" s="205"/>
      <c r="T26" s="205"/>
      <c r="U26" s="205"/>
      <c r="V26" s="205"/>
      <c r="W26" s="206"/>
    </row>
    <row r="27" spans="2:23" x14ac:dyDescent="0.25">
      <c r="B27" s="207"/>
      <c r="C27" s="208"/>
      <c r="D27" s="209"/>
      <c r="E27" s="210"/>
      <c r="F27" s="210"/>
      <c r="G27" s="210"/>
      <c r="H27" s="210"/>
      <c r="I27" s="210"/>
      <c r="J27" s="211"/>
      <c r="L27" s="204"/>
      <c r="M27" s="205"/>
      <c r="N27" s="205"/>
      <c r="O27" s="205"/>
      <c r="P27" s="205"/>
      <c r="Q27" s="205"/>
      <c r="R27" s="205"/>
      <c r="S27" s="205"/>
      <c r="T27" s="205"/>
      <c r="U27" s="205"/>
      <c r="V27" s="205"/>
      <c r="W27" s="206"/>
    </row>
    <row r="28" spans="2:23" x14ac:dyDescent="0.25">
      <c r="B28" s="207"/>
      <c r="C28" s="208"/>
      <c r="D28" s="209"/>
      <c r="E28" s="210"/>
      <c r="F28" s="210"/>
      <c r="G28" s="210"/>
      <c r="H28" s="210"/>
      <c r="I28" s="210"/>
      <c r="J28" s="211"/>
      <c r="L28" s="204"/>
      <c r="M28" s="205"/>
      <c r="N28" s="205"/>
      <c r="O28" s="205"/>
      <c r="P28" s="205"/>
      <c r="Q28" s="205"/>
      <c r="R28" s="205"/>
      <c r="S28" s="205"/>
      <c r="T28" s="205"/>
      <c r="U28" s="205"/>
      <c r="V28" s="205"/>
      <c r="W28" s="206"/>
    </row>
    <row r="29" spans="2:23" x14ac:dyDescent="0.25">
      <c r="B29" s="207" t="s">
        <v>337</v>
      </c>
      <c r="C29" s="208"/>
      <c r="D29" s="209" t="s">
        <v>365</v>
      </c>
      <c r="E29" s="210"/>
      <c r="F29" s="210"/>
      <c r="G29" s="210"/>
      <c r="H29" s="210"/>
      <c r="I29" s="210"/>
      <c r="J29" s="211"/>
      <c r="L29" s="204" t="s">
        <v>385</v>
      </c>
      <c r="M29" s="205"/>
      <c r="N29" s="205"/>
      <c r="O29" s="205"/>
      <c r="P29" s="205"/>
      <c r="Q29" s="205"/>
      <c r="R29" s="205"/>
      <c r="S29" s="205"/>
      <c r="T29" s="205"/>
      <c r="U29" s="205"/>
      <c r="V29" s="205"/>
      <c r="W29" s="206"/>
    </row>
    <row r="30" spans="2:23" x14ac:dyDescent="0.25">
      <c r="B30" s="207"/>
      <c r="C30" s="208"/>
      <c r="D30" s="209"/>
      <c r="E30" s="210"/>
      <c r="F30" s="210"/>
      <c r="G30" s="210"/>
      <c r="H30" s="210"/>
      <c r="I30" s="210"/>
      <c r="J30" s="211"/>
      <c r="L30" s="204"/>
      <c r="M30" s="205"/>
      <c r="N30" s="205"/>
      <c r="O30" s="205"/>
      <c r="P30" s="205"/>
      <c r="Q30" s="205"/>
      <c r="R30" s="205"/>
      <c r="S30" s="205"/>
      <c r="T30" s="205"/>
      <c r="U30" s="205"/>
      <c r="V30" s="205"/>
      <c r="W30" s="206"/>
    </row>
    <row r="31" spans="2:23" x14ac:dyDescent="0.25">
      <c r="B31" s="207"/>
      <c r="C31" s="208"/>
      <c r="D31" s="209"/>
      <c r="E31" s="210"/>
      <c r="F31" s="210"/>
      <c r="G31" s="210"/>
      <c r="H31" s="210"/>
      <c r="I31" s="210"/>
      <c r="J31" s="211"/>
      <c r="L31" s="204"/>
      <c r="M31" s="205"/>
      <c r="N31" s="205"/>
      <c r="O31" s="205"/>
      <c r="P31" s="205"/>
      <c r="Q31" s="205"/>
      <c r="R31" s="205"/>
      <c r="S31" s="205"/>
      <c r="T31" s="205"/>
      <c r="U31" s="205"/>
      <c r="V31" s="205"/>
      <c r="W31" s="206"/>
    </row>
    <row r="32" spans="2:23" x14ac:dyDescent="0.25">
      <c r="B32" s="207" t="s">
        <v>338</v>
      </c>
      <c r="C32" s="208"/>
      <c r="D32" s="209" t="s">
        <v>366</v>
      </c>
      <c r="E32" s="210"/>
      <c r="F32" s="210"/>
      <c r="G32" s="210"/>
      <c r="H32" s="210"/>
      <c r="I32" s="210"/>
      <c r="J32" s="211"/>
      <c r="L32" s="204" t="s">
        <v>386</v>
      </c>
      <c r="M32" s="205"/>
      <c r="N32" s="205"/>
      <c r="O32" s="205"/>
      <c r="P32" s="205"/>
      <c r="Q32" s="205"/>
      <c r="R32" s="205"/>
      <c r="S32" s="205"/>
      <c r="T32" s="205"/>
      <c r="U32" s="205"/>
      <c r="V32" s="205"/>
      <c r="W32" s="206"/>
    </row>
    <row r="33" spans="2:23" x14ac:dyDescent="0.25">
      <c r="B33" s="207"/>
      <c r="C33" s="208"/>
      <c r="D33" s="209"/>
      <c r="E33" s="210"/>
      <c r="F33" s="210"/>
      <c r="G33" s="210"/>
      <c r="H33" s="210"/>
      <c r="I33" s="210"/>
      <c r="J33" s="211"/>
      <c r="L33" s="204"/>
      <c r="M33" s="205"/>
      <c r="N33" s="205"/>
      <c r="O33" s="205"/>
      <c r="P33" s="205"/>
      <c r="Q33" s="205"/>
      <c r="R33" s="205"/>
      <c r="S33" s="205"/>
      <c r="T33" s="205"/>
      <c r="U33" s="205"/>
      <c r="V33" s="205"/>
      <c r="W33" s="206"/>
    </row>
    <row r="34" spans="2:23" x14ac:dyDescent="0.25">
      <c r="B34" s="207"/>
      <c r="C34" s="208"/>
      <c r="D34" s="209"/>
      <c r="E34" s="210"/>
      <c r="F34" s="210"/>
      <c r="G34" s="210"/>
      <c r="H34" s="210"/>
      <c r="I34" s="210"/>
      <c r="J34" s="211"/>
      <c r="L34" s="204"/>
      <c r="M34" s="205"/>
      <c r="N34" s="205"/>
      <c r="O34" s="205"/>
      <c r="P34" s="205"/>
      <c r="Q34" s="205"/>
      <c r="R34" s="205"/>
      <c r="S34" s="205"/>
      <c r="T34" s="205"/>
      <c r="U34" s="205"/>
      <c r="V34" s="205"/>
      <c r="W34" s="206"/>
    </row>
    <row r="35" spans="2:23" x14ac:dyDescent="0.25">
      <c r="B35" s="207" t="s">
        <v>339</v>
      </c>
      <c r="C35" s="208"/>
      <c r="D35" s="209" t="s">
        <v>367</v>
      </c>
      <c r="E35" s="210"/>
      <c r="F35" s="210"/>
      <c r="G35" s="210"/>
      <c r="H35" s="210"/>
      <c r="I35" s="210"/>
      <c r="J35" s="211"/>
      <c r="L35" s="204" t="s">
        <v>387</v>
      </c>
      <c r="M35" s="205"/>
      <c r="N35" s="205"/>
      <c r="O35" s="205"/>
      <c r="P35" s="205"/>
      <c r="Q35" s="205"/>
      <c r="R35" s="205"/>
      <c r="S35" s="205"/>
      <c r="T35" s="205"/>
      <c r="U35" s="205"/>
      <c r="V35" s="205"/>
      <c r="W35" s="206"/>
    </row>
    <row r="36" spans="2:23" x14ac:dyDescent="0.25">
      <c r="B36" s="207"/>
      <c r="C36" s="208"/>
      <c r="D36" s="209"/>
      <c r="E36" s="210"/>
      <c r="F36" s="210"/>
      <c r="G36" s="210"/>
      <c r="H36" s="210"/>
      <c r="I36" s="210"/>
      <c r="J36" s="211"/>
      <c r="L36" s="204"/>
      <c r="M36" s="205"/>
      <c r="N36" s="205"/>
      <c r="O36" s="205"/>
      <c r="P36" s="205"/>
      <c r="Q36" s="205"/>
      <c r="R36" s="205"/>
      <c r="S36" s="205"/>
      <c r="T36" s="205"/>
      <c r="U36" s="205"/>
      <c r="V36" s="205"/>
      <c r="W36" s="206"/>
    </row>
    <row r="37" spans="2:23" x14ac:dyDescent="0.25">
      <c r="B37" s="207"/>
      <c r="C37" s="208"/>
      <c r="D37" s="209"/>
      <c r="E37" s="210"/>
      <c r="F37" s="210"/>
      <c r="G37" s="210"/>
      <c r="H37" s="210"/>
      <c r="I37" s="210"/>
      <c r="J37" s="211"/>
      <c r="L37" s="204"/>
      <c r="M37" s="205"/>
      <c r="N37" s="205"/>
      <c r="O37" s="205"/>
      <c r="P37" s="205"/>
      <c r="Q37" s="205"/>
      <c r="R37" s="205"/>
      <c r="S37" s="205"/>
      <c r="T37" s="205"/>
      <c r="U37" s="205"/>
      <c r="V37" s="205"/>
      <c r="W37" s="206"/>
    </row>
    <row r="38" spans="2:23" x14ac:dyDescent="0.25">
      <c r="B38" s="207" t="s">
        <v>340</v>
      </c>
      <c r="C38" s="208"/>
      <c r="D38" s="209" t="s">
        <v>368</v>
      </c>
      <c r="E38" s="210"/>
      <c r="F38" s="210"/>
      <c r="G38" s="210"/>
      <c r="H38" s="210"/>
      <c r="I38" s="210"/>
      <c r="J38" s="211"/>
      <c r="L38" s="204" t="s">
        <v>388</v>
      </c>
      <c r="M38" s="205"/>
      <c r="N38" s="205"/>
      <c r="O38" s="205"/>
      <c r="P38" s="205"/>
      <c r="Q38" s="205"/>
      <c r="R38" s="205"/>
      <c r="S38" s="205"/>
      <c r="T38" s="205"/>
      <c r="U38" s="205"/>
      <c r="V38" s="205"/>
      <c r="W38" s="206"/>
    </row>
    <row r="39" spans="2:23" x14ac:dyDescent="0.25">
      <c r="B39" s="207"/>
      <c r="C39" s="208"/>
      <c r="D39" s="209"/>
      <c r="E39" s="210"/>
      <c r="F39" s="210"/>
      <c r="G39" s="210"/>
      <c r="H39" s="210"/>
      <c r="I39" s="210"/>
      <c r="J39" s="211"/>
      <c r="L39" s="204"/>
      <c r="M39" s="205"/>
      <c r="N39" s="205"/>
      <c r="O39" s="205"/>
      <c r="P39" s="205"/>
      <c r="Q39" s="205"/>
      <c r="R39" s="205"/>
      <c r="S39" s="205"/>
      <c r="T39" s="205"/>
      <c r="U39" s="205"/>
      <c r="V39" s="205"/>
      <c r="W39" s="206"/>
    </row>
    <row r="40" spans="2:23" x14ac:dyDescent="0.25">
      <c r="B40" s="207"/>
      <c r="C40" s="208"/>
      <c r="D40" s="209"/>
      <c r="E40" s="210"/>
      <c r="F40" s="210"/>
      <c r="G40" s="210"/>
      <c r="H40" s="210"/>
      <c r="I40" s="210"/>
      <c r="J40" s="211"/>
      <c r="L40" s="204"/>
      <c r="M40" s="205"/>
      <c r="N40" s="205"/>
      <c r="O40" s="205"/>
      <c r="P40" s="205"/>
      <c r="Q40" s="205"/>
      <c r="R40" s="205"/>
      <c r="S40" s="205"/>
      <c r="T40" s="205"/>
      <c r="U40" s="205"/>
      <c r="V40" s="205"/>
      <c r="W40" s="206"/>
    </row>
    <row r="41" spans="2:23" x14ac:dyDescent="0.25">
      <c r="B41" s="207" t="s">
        <v>341</v>
      </c>
      <c r="C41" s="208"/>
      <c r="D41" s="209" t="s">
        <v>369</v>
      </c>
      <c r="E41" s="210"/>
      <c r="F41" s="210"/>
      <c r="G41" s="210"/>
      <c r="H41" s="210"/>
      <c r="I41" s="210"/>
      <c r="J41" s="211"/>
      <c r="L41" s="204" t="s">
        <v>389</v>
      </c>
      <c r="M41" s="205"/>
      <c r="N41" s="205"/>
      <c r="O41" s="205"/>
      <c r="P41" s="205"/>
      <c r="Q41" s="205"/>
      <c r="R41" s="205"/>
      <c r="S41" s="205"/>
      <c r="T41" s="205"/>
      <c r="U41" s="205"/>
      <c r="V41" s="205"/>
      <c r="W41" s="206"/>
    </row>
    <row r="42" spans="2:23" x14ac:dyDescent="0.25">
      <c r="B42" s="207"/>
      <c r="C42" s="208"/>
      <c r="D42" s="209"/>
      <c r="E42" s="210"/>
      <c r="F42" s="210"/>
      <c r="G42" s="210"/>
      <c r="H42" s="210"/>
      <c r="I42" s="210"/>
      <c r="J42" s="211"/>
      <c r="L42" s="204"/>
      <c r="M42" s="205"/>
      <c r="N42" s="205"/>
      <c r="O42" s="205"/>
      <c r="P42" s="205"/>
      <c r="Q42" s="205"/>
      <c r="R42" s="205"/>
      <c r="S42" s="205"/>
      <c r="T42" s="205"/>
      <c r="U42" s="205"/>
      <c r="V42" s="205"/>
      <c r="W42" s="206"/>
    </row>
    <row r="43" spans="2:23" x14ac:dyDescent="0.25">
      <c r="B43" s="207"/>
      <c r="C43" s="208"/>
      <c r="D43" s="209"/>
      <c r="E43" s="210"/>
      <c r="F43" s="210"/>
      <c r="G43" s="210"/>
      <c r="H43" s="210"/>
      <c r="I43" s="210"/>
      <c r="J43" s="211"/>
      <c r="L43" s="204"/>
      <c r="M43" s="205"/>
      <c r="N43" s="205"/>
      <c r="O43" s="205"/>
      <c r="P43" s="205"/>
      <c r="Q43" s="205"/>
      <c r="R43" s="205"/>
      <c r="S43" s="205"/>
      <c r="T43" s="205"/>
      <c r="U43" s="205"/>
      <c r="V43" s="205"/>
      <c r="W43" s="206"/>
    </row>
    <row r="44" spans="2:23" x14ac:dyDescent="0.25">
      <c r="B44" s="207" t="s">
        <v>342</v>
      </c>
      <c r="C44" s="208"/>
      <c r="D44" s="209" t="s">
        <v>370</v>
      </c>
      <c r="E44" s="210"/>
      <c r="F44" s="210"/>
      <c r="G44" s="210"/>
      <c r="H44" s="210"/>
      <c r="I44" s="210"/>
      <c r="J44" s="211"/>
      <c r="L44" s="204" t="s">
        <v>390</v>
      </c>
      <c r="M44" s="205"/>
      <c r="N44" s="205"/>
      <c r="O44" s="205"/>
      <c r="P44" s="205"/>
      <c r="Q44" s="205"/>
      <c r="R44" s="205"/>
      <c r="S44" s="205"/>
      <c r="T44" s="205"/>
      <c r="U44" s="205"/>
      <c r="V44" s="205"/>
      <c r="W44" s="206"/>
    </row>
    <row r="45" spans="2:23" x14ac:dyDescent="0.25">
      <c r="B45" s="207"/>
      <c r="C45" s="208"/>
      <c r="D45" s="209"/>
      <c r="E45" s="210"/>
      <c r="F45" s="210"/>
      <c r="G45" s="210"/>
      <c r="H45" s="210"/>
      <c r="I45" s="210"/>
      <c r="J45" s="211"/>
      <c r="L45" s="204"/>
      <c r="M45" s="205"/>
      <c r="N45" s="205"/>
      <c r="O45" s="205"/>
      <c r="P45" s="205"/>
      <c r="Q45" s="205"/>
      <c r="R45" s="205"/>
      <c r="S45" s="205"/>
      <c r="T45" s="205"/>
      <c r="U45" s="205"/>
      <c r="V45" s="205"/>
      <c r="W45" s="206"/>
    </row>
    <row r="46" spans="2:23" x14ac:dyDescent="0.25">
      <c r="B46" s="207"/>
      <c r="C46" s="208"/>
      <c r="D46" s="209"/>
      <c r="E46" s="210"/>
      <c r="F46" s="210"/>
      <c r="G46" s="210"/>
      <c r="H46" s="210"/>
      <c r="I46" s="210"/>
      <c r="J46" s="211"/>
      <c r="L46" s="204"/>
      <c r="M46" s="205"/>
      <c r="N46" s="205"/>
      <c r="O46" s="205"/>
      <c r="P46" s="205"/>
      <c r="Q46" s="205"/>
      <c r="R46" s="205"/>
      <c r="S46" s="205"/>
      <c r="T46" s="205"/>
      <c r="U46" s="205"/>
      <c r="V46" s="205"/>
      <c r="W46" s="206"/>
    </row>
    <row r="47" spans="2:23" x14ac:dyDescent="0.25">
      <c r="B47" s="207" t="s">
        <v>343</v>
      </c>
      <c r="C47" s="208"/>
      <c r="D47" s="209" t="s">
        <v>371</v>
      </c>
      <c r="E47" s="210"/>
      <c r="F47" s="210"/>
      <c r="G47" s="210"/>
      <c r="H47" s="210"/>
      <c r="I47" s="210"/>
      <c r="J47" s="211"/>
      <c r="L47" s="204" t="s">
        <v>391</v>
      </c>
      <c r="M47" s="205"/>
      <c r="N47" s="205"/>
      <c r="O47" s="205"/>
      <c r="P47" s="205"/>
      <c r="Q47" s="205"/>
      <c r="R47" s="205"/>
      <c r="S47" s="205"/>
      <c r="T47" s="205"/>
      <c r="U47" s="205"/>
      <c r="V47" s="205"/>
      <c r="W47" s="206"/>
    </row>
    <row r="48" spans="2:23" x14ac:dyDescent="0.25">
      <c r="B48" s="207"/>
      <c r="C48" s="208"/>
      <c r="D48" s="209"/>
      <c r="E48" s="210"/>
      <c r="F48" s="210"/>
      <c r="G48" s="210"/>
      <c r="H48" s="210"/>
      <c r="I48" s="210"/>
      <c r="J48" s="211"/>
      <c r="L48" s="204"/>
      <c r="M48" s="205"/>
      <c r="N48" s="205"/>
      <c r="O48" s="205"/>
      <c r="P48" s="205"/>
      <c r="Q48" s="205"/>
      <c r="R48" s="205"/>
      <c r="S48" s="205"/>
      <c r="T48" s="205"/>
      <c r="U48" s="205"/>
      <c r="V48" s="205"/>
      <c r="W48" s="206"/>
    </row>
    <row r="49" spans="2:23" x14ac:dyDescent="0.25">
      <c r="B49" s="207"/>
      <c r="C49" s="208"/>
      <c r="D49" s="209"/>
      <c r="E49" s="210"/>
      <c r="F49" s="210"/>
      <c r="G49" s="210"/>
      <c r="H49" s="210"/>
      <c r="I49" s="210"/>
      <c r="J49" s="211"/>
      <c r="L49" s="204"/>
      <c r="M49" s="205"/>
      <c r="N49" s="205"/>
      <c r="O49" s="205"/>
      <c r="P49" s="205"/>
      <c r="Q49" s="205"/>
      <c r="R49" s="205"/>
      <c r="S49" s="205"/>
      <c r="T49" s="205"/>
      <c r="U49" s="205"/>
      <c r="V49" s="205"/>
      <c r="W49" s="206"/>
    </row>
    <row r="50" spans="2:23" x14ac:dyDescent="0.25">
      <c r="B50" s="207" t="s">
        <v>344</v>
      </c>
      <c r="C50" s="208"/>
      <c r="D50" s="209" t="s">
        <v>372</v>
      </c>
      <c r="E50" s="210"/>
      <c r="F50" s="210"/>
      <c r="G50" s="210"/>
      <c r="H50" s="210"/>
      <c r="I50" s="210"/>
      <c r="J50" s="211"/>
      <c r="L50" s="204" t="s">
        <v>392</v>
      </c>
      <c r="M50" s="205"/>
      <c r="N50" s="205"/>
      <c r="O50" s="205"/>
      <c r="P50" s="205"/>
      <c r="Q50" s="205"/>
      <c r="R50" s="205"/>
      <c r="S50" s="205"/>
      <c r="T50" s="205"/>
      <c r="U50" s="205"/>
      <c r="V50" s="205"/>
      <c r="W50" s="206"/>
    </row>
    <row r="51" spans="2:23" x14ac:dyDescent="0.25">
      <c r="B51" s="207"/>
      <c r="C51" s="208"/>
      <c r="D51" s="209"/>
      <c r="E51" s="210"/>
      <c r="F51" s="210"/>
      <c r="G51" s="210"/>
      <c r="H51" s="210"/>
      <c r="I51" s="210"/>
      <c r="J51" s="211"/>
      <c r="L51" s="204"/>
      <c r="M51" s="205"/>
      <c r="N51" s="205"/>
      <c r="O51" s="205"/>
      <c r="P51" s="205"/>
      <c r="Q51" s="205"/>
      <c r="R51" s="205"/>
      <c r="S51" s="205"/>
      <c r="T51" s="205"/>
      <c r="U51" s="205"/>
      <c r="V51" s="205"/>
      <c r="W51" s="206"/>
    </row>
    <row r="52" spans="2:23" x14ac:dyDescent="0.25">
      <c r="B52" s="207"/>
      <c r="C52" s="208"/>
      <c r="D52" s="209"/>
      <c r="E52" s="210"/>
      <c r="F52" s="210"/>
      <c r="G52" s="210"/>
      <c r="H52" s="210"/>
      <c r="I52" s="210"/>
      <c r="J52" s="211"/>
      <c r="L52" s="204"/>
      <c r="M52" s="205"/>
      <c r="N52" s="205"/>
      <c r="O52" s="205"/>
      <c r="P52" s="205"/>
      <c r="Q52" s="205"/>
      <c r="R52" s="205"/>
      <c r="S52" s="205"/>
      <c r="T52" s="205"/>
      <c r="U52" s="205"/>
      <c r="V52" s="205"/>
      <c r="W52" s="206"/>
    </row>
    <row r="53" spans="2:23" x14ac:dyDescent="0.25">
      <c r="B53" s="207" t="s">
        <v>345</v>
      </c>
      <c r="C53" s="208"/>
      <c r="D53" s="209" t="s">
        <v>373</v>
      </c>
      <c r="E53" s="210"/>
      <c r="F53" s="210"/>
      <c r="G53" s="210"/>
      <c r="H53" s="210"/>
      <c r="I53" s="210"/>
      <c r="J53" s="211"/>
      <c r="L53" s="204" t="s">
        <v>393</v>
      </c>
      <c r="M53" s="205"/>
      <c r="N53" s="205"/>
      <c r="O53" s="205"/>
      <c r="P53" s="205"/>
      <c r="Q53" s="205"/>
      <c r="R53" s="205"/>
      <c r="S53" s="205"/>
      <c r="T53" s="205"/>
      <c r="U53" s="205"/>
      <c r="V53" s="205"/>
      <c r="W53" s="206"/>
    </row>
    <row r="54" spans="2:23" x14ac:dyDescent="0.25">
      <c r="B54" s="207"/>
      <c r="C54" s="208"/>
      <c r="D54" s="209"/>
      <c r="E54" s="210"/>
      <c r="F54" s="210"/>
      <c r="G54" s="210"/>
      <c r="H54" s="210"/>
      <c r="I54" s="210"/>
      <c r="J54" s="211"/>
      <c r="L54" s="204"/>
      <c r="M54" s="205"/>
      <c r="N54" s="205"/>
      <c r="O54" s="205"/>
      <c r="P54" s="205"/>
      <c r="Q54" s="205"/>
      <c r="R54" s="205"/>
      <c r="S54" s="205"/>
      <c r="T54" s="205"/>
      <c r="U54" s="205"/>
      <c r="V54" s="205"/>
      <c r="W54" s="206"/>
    </row>
    <row r="55" spans="2:23" x14ac:dyDescent="0.25">
      <c r="B55" s="207"/>
      <c r="C55" s="208"/>
      <c r="D55" s="209"/>
      <c r="E55" s="210"/>
      <c r="F55" s="210"/>
      <c r="G55" s="210"/>
      <c r="H55" s="210"/>
      <c r="I55" s="210"/>
      <c r="J55" s="211"/>
      <c r="L55" s="204"/>
      <c r="M55" s="205"/>
      <c r="N55" s="205"/>
      <c r="O55" s="205"/>
      <c r="P55" s="205"/>
      <c r="Q55" s="205"/>
      <c r="R55" s="205"/>
      <c r="S55" s="205"/>
      <c r="T55" s="205"/>
      <c r="U55" s="205"/>
      <c r="V55" s="205"/>
      <c r="W55" s="206"/>
    </row>
    <row r="56" spans="2:23" x14ac:dyDescent="0.25">
      <c r="B56" s="207" t="s">
        <v>346</v>
      </c>
      <c r="C56" s="208"/>
      <c r="D56" s="209" t="s">
        <v>374</v>
      </c>
      <c r="E56" s="210"/>
      <c r="F56" s="210"/>
      <c r="G56" s="210"/>
      <c r="H56" s="210"/>
      <c r="I56" s="210"/>
      <c r="J56" s="211"/>
      <c r="L56" s="204" t="s">
        <v>394</v>
      </c>
      <c r="M56" s="205"/>
      <c r="N56" s="205"/>
      <c r="O56" s="205"/>
      <c r="P56" s="205"/>
      <c r="Q56" s="205"/>
      <c r="R56" s="205"/>
      <c r="S56" s="205"/>
      <c r="T56" s="205"/>
      <c r="U56" s="205"/>
      <c r="V56" s="205"/>
      <c r="W56" s="206"/>
    </row>
    <row r="57" spans="2:23" x14ac:dyDescent="0.25">
      <c r="B57" s="207"/>
      <c r="C57" s="208"/>
      <c r="D57" s="209"/>
      <c r="E57" s="210"/>
      <c r="F57" s="210"/>
      <c r="G57" s="210"/>
      <c r="H57" s="210"/>
      <c r="I57" s="210"/>
      <c r="J57" s="211"/>
      <c r="L57" s="204"/>
      <c r="M57" s="205"/>
      <c r="N57" s="205"/>
      <c r="O57" s="205"/>
      <c r="P57" s="205"/>
      <c r="Q57" s="205"/>
      <c r="R57" s="205"/>
      <c r="S57" s="205"/>
      <c r="T57" s="205"/>
      <c r="U57" s="205"/>
      <c r="V57" s="205"/>
      <c r="W57" s="206"/>
    </row>
    <row r="58" spans="2:23" x14ac:dyDescent="0.25">
      <c r="B58" s="207"/>
      <c r="C58" s="208"/>
      <c r="D58" s="209"/>
      <c r="E58" s="210"/>
      <c r="F58" s="210"/>
      <c r="G58" s="210"/>
      <c r="H58" s="210"/>
      <c r="I58" s="210"/>
      <c r="J58" s="211"/>
      <c r="L58" s="204"/>
      <c r="M58" s="205"/>
      <c r="N58" s="205"/>
      <c r="O58" s="205"/>
      <c r="P58" s="205"/>
      <c r="Q58" s="205"/>
      <c r="R58" s="205"/>
      <c r="S58" s="205"/>
      <c r="T58" s="205"/>
      <c r="U58" s="205"/>
      <c r="V58" s="205"/>
      <c r="W58" s="206"/>
    </row>
    <row r="59" spans="2:23" x14ac:dyDescent="0.25">
      <c r="B59" s="207" t="s">
        <v>347</v>
      </c>
      <c r="C59" s="208"/>
      <c r="D59" s="209" t="s">
        <v>375</v>
      </c>
      <c r="E59" s="210"/>
      <c r="F59" s="210"/>
      <c r="G59" s="210"/>
      <c r="H59" s="210"/>
      <c r="I59" s="210"/>
      <c r="J59" s="211"/>
      <c r="L59" s="204" t="s">
        <v>395</v>
      </c>
      <c r="M59" s="205"/>
      <c r="N59" s="205"/>
      <c r="O59" s="205"/>
      <c r="P59" s="205"/>
      <c r="Q59" s="205"/>
      <c r="R59" s="205"/>
      <c r="S59" s="205"/>
      <c r="T59" s="205"/>
      <c r="U59" s="205"/>
      <c r="V59" s="205"/>
      <c r="W59" s="206"/>
    </row>
    <row r="60" spans="2:23" x14ac:dyDescent="0.25">
      <c r="B60" s="207"/>
      <c r="C60" s="208"/>
      <c r="D60" s="209"/>
      <c r="E60" s="210"/>
      <c r="F60" s="210"/>
      <c r="G60" s="210"/>
      <c r="H60" s="210"/>
      <c r="I60" s="210"/>
      <c r="J60" s="211"/>
      <c r="L60" s="204"/>
      <c r="M60" s="205"/>
      <c r="N60" s="205"/>
      <c r="O60" s="205"/>
      <c r="P60" s="205"/>
      <c r="Q60" s="205"/>
      <c r="R60" s="205"/>
      <c r="S60" s="205"/>
      <c r="T60" s="205"/>
      <c r="U60" s="205"/>
      <c r="V60" s="205"/>
      <c r="W60" s="206"/>
    </row>
    <row r="61" spans="2:23" x14ac:dyDescent="0.25">
      <c r="B61" s="207"/>
      <c r="C61" s="208"/>
      <c r="D61" s="209"/>
      <c r="E61" s="210"/>
      <c r="F61" s="210"/>
      <c r="G61" s="210"/>
      <c r="H61" s="210"/>
      <c r="I61" s="210"/>
      <c r="J61" s="211"/>
      <c r="L61" s="204"/>
      <c r="M61" s="205"/>
      <c r="N61" s="205"/>
      <c r="O61" s="205"/>
      <c r="P61" s="205"/>
      <c r="Q61" s="205"/>
      <c r="R61" s="205"/>
      <c r="S61" s="205"/>
      <c r="T61" s="205"/>
      <c r="U61" s="205"/>
      <c r="V61" s="205"/>
      <c r="W61" s="206"/>
    </row>
    <row r="62" spans="2:23" x14ac:dyDescent="0.25">
      <c r="B62" s="207" t="s">
        <v>350</v>
      </c>
      <c r="C62" s="208"/>
      <c r="D62" s="209" t="s">
        <v>376</v>
      </c>
      <c r="E62" s="210"/>
      <c r="F62" s="210"/>
      <c r="G62" s="210"/>
      <c r="H62" s="210"/>
      <c r="I62" s="210"/>
      <c r="J62" s="211"/>
      <c r="L62" s="204" t="s">
        <v>396</v>
      </c>
      <c r="M62" s="205"/>
      <c r="N62" s="205"/>
      <c r="O62" s="205"/>
      <c r="P62" s="205"/>
      <c r="Q62" s="205"/>
      <c r="R62" s="205"/>
      <c r="S62" s="205"/>
      <c r="T62" s="205"/>
      <c r="U62" s="205"/>
      <c r="V62" s="205"/>
      <c r="W62" s="206"/>
    </row>
    <row r="63" spans="2:23" x14ac:dyDescent="0.25">
      <c r="B63" s="207"/>
      <c r="C63" s="208"/>
      <c r="D63" s="209"/>
      <c r="E63" s="210"/>
      <c r="F63" s="210"/>
      <c r="G63" s="210"/>
      <c r="H63" s="210"/>
      <c r="I63" s="210"/>
      <c r="J63" s="211"/>
      <c r="L63" s="204"/>
      <c r="M63" s="205"/>
      <c r="N63" s="205"/>
      <c r="O63" s="205"/>
      <c r="P63" s="205"/>
      <c r="Q63" s="205"/>
      <c r="R63" s="205"/>
      <c r="S63" s="205"/>
      <c r="T63" s="205"/>
      <c r="U63" s="205"/>
      <c r="V63" s="205"/>
      <c r="W63" s="206"/>
    </row>
    <row r="64" spans="2:23" x14ac:dyDescent="0.25">
      <c r="B64" s="207"/>
      <c r="C64" s="208"/>
      <c r="D64" s="209"/>
      <c r="E64" s="210"/>
      <c r="F64" s="210"/>
      <c r="G64" s="210"/>
      <c r="H64" s="210"/>
      <c r="I64" s="210"/>
      <c r="J64" s="211"/>
      <c r="L64" s="204"/>
      <c r="M64" s="205"/>
      <c r="N64" s="205"/>
      <c r="O64" s="205"/>
      <c r="P64" s="205"/>
      <c r="Q64" s="205"/>
      <c r="R64" s="205"/>
      <c r="S64" s="205"/>
      <c r="T64" s="205"/>
      <c r="U64" s="205"/>
      <c r="V64" s="205"/>
      <c r="W64" s="206"/>
    </row>
  </sheetData>
  <mergeCells count="63">
    <mergeCell ref="D11:J13"/>
    <mergeCell ref="B3:C3"/>
    <mergeCell ref="D3:J3"/>
    <mergeCell ref="L3:S3"/>
    <mergeCell ref="D5:J7"/>
    <mergeCell ref="D8:J10"/>
    <mergeCell ref="D47:J49"/>
    <mergeCell ref="D14:J16"/>
    <mergeCell ref="D17:J19"/>
    <mergeCell ref="D20:J22"/>
    <mergeCell ref="D23:J25"/>
    <mergeCell ref="D26:J28"/>
    <mergeCell ref="D29:J31"/>
    <mergeCell ref="D32:J34"/>
    <mergeCell ref="D35:J37"/>
    <mergeCell ref="D38:J40"/>
    <mergeCell ref="D41:J43"/>
    <mergeCell ref="D44:J46"/>
    <mergeCell ref="B5:C7"/>
    <mergeCell ref="B8:C10"/>
    <mergeCell ref="B11:C13"/>
    <mergeCell ref="B14:C16"/>
    <mergeCell ref="B17:C19"/>
    <mergeCell ref="D50:J52"/>
    <mergeCell ref="D53:J55"/>
    <mergeCell ref="D56:J58"/>
    <mergeCell ref="D59:J61"/>
    <mergeCell ref="D62:J64"/>
    <mergeCell ref="B53:C55"/>
    <mergeCell ref="B20:C22"/>
    <mergeCell ref="B23:C25"/>
    <mergeCell ref="B26:C28"/>
    <mergeCell ref="B29:C31"/>
    <mergeCell ref="B32:C34"/>
    <mergeCell ref="B35:C37"/>
    <mergeCell ref="L41:W43"/>
    <mergeCell ref="B56:C58"/>
    <mergeCell ref="B59:C61"/>
    <mergeCell ref="B62:C64"/>
    <mergeCell ref="L5:W7"/>
    <mergeCell ref="L8:W10"/>
    <mergeCell ref="L11:W13"/>
    <mergeCell ref="L14:W16"/>
    <mergeCell ref="L17:W19"/>
    <mergeCell ref="L20:W22"/>
    <mergeCell ref="L23:W25"/>
    <mergeCell ref="B38:C40"/>
    <mergeCell ref="B41:C43"/>
    <mergeCell ref="B44:C46"/>
    <mergeCell ref="B47:C49"/>
    <mergeCell ref="B50:C52"/>
    <mergeCell ref="L26:W28"/>
    <mergeCell ref="L29:W31"/>
    <mergeCell ref="L32:W34"/>
    <mergeCell ref="L35:W37"/>
    <mergeCell ref="L38:W40"/>
    <mergeCell ref="L62:W64"/>
    <mergeCell ref="L44:W46"/>
    <mergeCell ref="L47:W49"/>
    <mergeCell ref="L50:W52"/>
    <mergeCell ref="L53:W55"/>
    <mergeCell ref="L56:W58"/>
    <mergeCell ref="L59:W6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4:G1243"/>
  <sheetViews>
    <sheetView showGridLines="0" workbookViewId="0">
      <selection activeCell="D1" sqref="D1"/>
    </sheetView>
  </sheetViews>
  <sheetFormatPr defaultRowHeight="15" x14ac:dyDescent="0.25"/>
  <cols>
    <col min="1" max="3" width="1.42578125" customWidth="1"/>
    <col min="4" max="4" width="10.140625" bestFit="1" customWidth="1"/>
  </cols>
  <sheetData>
    <row r="4" spans="4:7" x14ac:dyDescent="0.25">
      <c r="D4" s="105" t="s">
        <v>244</v>
      </c>
      <c r="E4" s="105" t="s">
        <v>245</v>
      </c>
    </row>
    <row r="5" spans="4:7" x14ac:dyDescent="0.25">
      <c r="D5" s="68">
        <v>45379</v>
      </c>
      <c r="E5" s="69">
        <v>22326.9</v>
      </c>
      <c r="F5" s="67" t="s">
        <v>276</v>
      </c>
      <c r="G5" s="67">
        <f>ROUND(YEARFRAC(D1243,D5),)</f>
        <v>5</v>
      </c>
    </row>
    <row r="6" spans="4:7" x14ac:dyDescent="0.25">
      <c r="D6" s="68">
        <v>45378</v>
      </c>
      <c r="E6" s="69">
        <v>22123.65</v>
      </c>
      <c r="F6" s="67" t="s">
        <v>277</v>
      </c>
      <c r="G6" s="70">
        <f>_xlfn.RRI(G5,E1243,E5)</f>
        <v>0.13856503060970526</v>
      </c>
    </row>
    <row r="7" spans="4:7" x14ac:dyDescent="0.25">
      <c r="D7" s="68">
        <v>45377</v>
      </c>
      <c r="E7" s="69">
        <v>22004.7</v>
      </c>
    </row>
    <row r="8" spans="4:7" x14ac:dyDescent="0.25">
      <c r="D8" s="68">
        <v>45373</v>
      </c>
      <c r="E8" s="69">
        <v>22096.75</v>
      </c>
    </row>
    <row r="9" spans="4:7" x14ac:dyDescent="0.25">
      <c r="D9" s="68">
        <v>45372</v>
      </c>
      <c r="E9" s="69">
        <v>22011.95</v>
      </c>
    </row>
    <row r="10" spans="4:7" x14ac:dyDescent="0.25">
      <c r="D10" s="68">
        <v>45371</v>
      </c>
      <c r="E10" s="69">
        <v>21839.1</v>
      </c>
    </row>
    <row r="11" spans="4:7" x14ac:dyDescent="0.25">
      <c r="D11" s="68">
        <v>45370</v>
      </c>
      <c r="E11" s="69">
        <v>21817.45</v>
      </c>
    </row>
    <row r="12" spans="4:7" x14ac:dyDescent="0.25">
      <c r="D12" s="68">
        <v>45369</v>
      </c>
      <c r="E12" s="69">
        <v>22055.7</v>
      </c>
    </row>
    <row r="13" spans="4:7" x14ac:dyDescent="0.25">
      <c r="D13" s="68">
        <v>45366</v>
      </c>
      <c r="E13" s="69">
        <v>22023.35</v>
      </c>
    </row>
    <row r="14" spans="4:7" x14ac:dyDescent="0.25">
      <c r="D14" s="68">
        <v>45365</v>
      </c>
      <c r="E14" s="69">
        <v>22146.65</v>
      </c>
    </row>
    <row r="15" spans="4:7" x14ac:dyDescent="0.25">
      <c r="D15" s="68">
        <v>45364</v>
      </c>
      <c r="E15" s="69">
        <v>21997.7</v>
      </c>
    </row>
    <row r="16" spans="4:7" x14ac:dyDescent="0.25">
      <c r="D16" s="68">
        <v>45363</v>
      </c>
      <c r="E16" s="69">
        <v>22335.7</v>
      </c>
    </row>
    <row r="17" spans="4:5" x14ac:dyDescent="0.25">
      <c r="D17" s="68">
        <v>45362</v>
      </c>
      <c r="E17" s="69">
        <v>22332.65</v>
      </c>
    </row>
    <row r="18" spans="4:5" x14ac:dyDescent="0.25">
      <c r="D18" s="68">
        <v>45358</v>
      </c>
      <c r="E18" s="69">
        <v>22493.55</v>
      </c>
    </row>
    <row r="19" spans="4:5" x14ac:dyDescent="0.25">
      <c r="D19" s="68">
        <v>45357</v>
      </c>
      <c r="E19" s="69">
        <v>22474.05</v>
      </c>
    </row>
    <row r="20" spans="4:5" x14ac:dyDescent="0.25">
      <c r="D20" s="68">
        <v>45356</v>
      </c>
      <c r="E20" s="69">
        <v>22356.3</v>
      </c>
    </row>
    <row r="21" spans="4:5" x14ac:dyDescent="0.25">
      <c r="D21" s="68">
        <v>45355</v>
      </c>
      <c r="E21" s="69">
        <v>22405.599999999999</v>
      </c>
    </row>
    <row r="22" spans="4:5" x14ac:dyDescent="0.25">
      <c r="D22" s="68">
        <v>45353</v>
      </c>
      <c r="E22" s="69">
        <v>22378.400000000001</v>
      </c>
    </row>
    <row r="23" spans="4:5" x14ac:dyDescent="0.25">
      <c r="D23" s="68">
        <v>45352</v>
      </c>
      <c r="E23" s="69">
        <v>22338.75</v>
      </c>
    </row>
    <row r="24" spans="4:5" x14ac:dyDescent="0.25">
      <c r="D24" s="68">
        <v>45351</v>
      </c>
      <c r="E24" s="69">
        <v>21982.799999999999</v>
      </c>
    </row>
    <row r="25" spans="4:5" x14ac:dyDescent="0.25">
      <c r="D25" s="68">
        <v>45350</v>
      </c>
      <c r="E25" s="69">
        <v>21951.15</v>
      </c>
    </row>
    <row r="26" spans="4:5" x14ac:dyDescent="0.25">
      <c r="D26" s="68">
        <v>45349</v>
      </c>
      <c r="E26" s="69">
        <v>22198.35</v>
      </c>
    </row>
    <row r="27" spans="4:5" x14ac:dyDescent="0.25">
      <c r="D27" s="68">
        <v>45348</v>
      </c>
      <c r="E27" s="69">
        <v>22122.05</v>
      </c>
    </row>
    <row r="28" spans="4:5" x14ac:dyDescent="0.25">
      <c r="D28" s="68">
        <v>45345</v>
      </c>
      <c r="E28" s="69">
        <v>22212.7</v>
      </c>
    </row>
    <row r="29" spans="4:5" x14ac:dyDescent="0.25">
      <c r="D29" s="68">
        <v>45344</v>
      </c>
      <c r="E29" s="69">
        <v>22217.45</v>
      </c>
    </row>
    <row r="30" spans="4:5" x14ac:dyDescent="0.25">
      <c r="D30" s="68">
        <v>45343</v>
      </c>
      <c r="E30" s="69">
        <v>22055.05</v>
      </c>
    </row>
    <row r="31" spans="4:5" x14ac:dyDescent="0.25">
      <c r="D31" s="68">
        <v>45342</v>
      </c>
      <c r="E31" s="69">
        <v>22196.95</v>
      </c>
    </row>
    <row r="32" spans="4:5" x14ac:dyDescent="0.25">
      <c r="D32" s="68">
        <v>45341</v>
      </c>
      <c r="E32" s="69">
        <v>22122.25</v>
      </c>
    </row>
    <row r="33" spans="4:5" x14ac:dyDescent="0.25">
      <c r="D33" s="68">
        <v>45338</v>
      </c>
      <c r="E33" s="69">
        <v>22040.7</v>
      </c>
    </row>
    <row r="34" spans="4:5" x14ac:dyDescent="0.25">
      <c r="D34" s="68">
        <v>45337</v>
      </c>
      <c r="E34" s="69">
        <v>21910.75</v>
      </c>
    </row>
    <row r="35" spans="4:5" x14ac:dyDescent="0.25">
      <c r="D35" s="68">
        <v>45336</v>
      </c>
      <c r="E35" s="69">
        <v>21840.05</v>
      </c>
    </row>
    <row r="36" spans="4:5" x14ac:dyDescent="0.25">
      <c r="D36" s="68">
        <v>45335</v>
      </c>
      <c r="E36" s="69">
        <v>21743.25</v>
      </c>
    </row>
    <row r="37" spans="4:5" x14ac:dyDescent="0.25">
      <c r="D37" s="68">
        <v>45334</v>
      </c>
      <c r="E37" s="69">
        <v>21616.05</v>
      </c>
    </row>
    <row r="38" spans="4:5" x14ac:dyDescent="0.25">
      <c r="D38" s="68">
        <v>45331</v>
      </c>
      <c r="E38" s="69">
        <v>21782.5</v>
      </c>
    </row>
    <row r="39" spans="4:5" x14ac:dyDescent="0.25">
      <c r="D39" s="68">
        <v>45330</v>
      </c>
      <c r="E39" s="69">
        <v>21717.95</v>
      </c>
    </row>
    <row r="40" spans="4:5" x14ac:dyDescent="0.25">
      <c r="D40" s="68">
        <v>45329</v>
      </c>
      <c r="E40" s="69">
        <v>21930.5</v>
      </c>
    </row>
    <row r="41" spans="4:5" x14ac:dyDescent="0.25">
      <c r="D41" s="68">
        <v>45328</v>
      </c>
      <c r="E41" s="69">
        <v>21929.4</v>
      </c>
    </row>
    <row r="42" spans="4:5" x14ac:dyDescent="0.25">
      <c r="D42" s="68">
        <v>45327</v>
      </c>
      <c r="E42" s="69">
        <v>21771.7</v>
      </c>
    </row>
    <row r="43" spans="4:5" x14ac:dyDescent="0.25">
      <c r="D43" s="68">
        <v>45324</v>
      </c>
      <c r="E43" s="69">
        <v>21853.8</v>
      </c>
    </row>
    <row r="44" spans="4:5" x14ac:dyDescent="0.25">
      <c r="D44" s="68">
        <v>45323</v>
      </c>
      <c r="E44" s="69">
        <v>21697.45</v>
      </c>
    </row>
    <row r="45" spans="4:5" x14ac:dyDescent="0.25">
      <c r="D45" s="68">
        <v>45322</v>
      </c>
      <c r="E45" s="69">
        <v>21725.7</v>
      </c>
    </row>
    <row r="46" spans="4:5" x14ac:dyDescent="0.25">
      <c r="D46" s="68">
        <v>45321</v>
      </c>
      <c r="E46" s="69">
        <v>21522.1</v>
      </c>
    </row>
    <row r="47" spans="4:5" x14ac:dyDescent="0.25">
      <c r="D47" s="68">
        <v>45320</v>
      </c>
      <c r="E47" s="69">
        <v>21737.599999999999</v>
      </c>
    </row>
    <row r="48" spans="4:5" x14ac:dyDescent="0.25">
      <c r="D48" s="68">
        <v>45316</v>
      </c>
      <c r="E48" s="69">
        <v>21352.6</v>
      </c>
    </row>
    <row r="49" spans="4:5" x14ac:dyDescent="0.25">
      <c r="D49" s="68">
        <v>45315</v>
      </c>
      <c r="E49" s="69">
        <v>21453.95</v>
      </c>
    </row>
    <row r="50" spans="4:5" x14ac:dyDescent="0.25">
      <c r="D50" s="68">
        <v>45314</v>
      </c>
      <c r="E50" s="69">
        <v>21238.799999999999</v>
      </c>
    </row>
    <row r="51" spans="4:5" x14ac:dyDescent="0.25">
      <c r="D51" s="68">
        <v>45311</v>
      </c>
      <c r="E51" s="69">
        <v>21571.8</v>
      </c>
    </row>
    <row r="52" spans="4:5" x14ac:dyDescent="0.25">
      <c r="D52" s="68">
        <v>45310</v>
      </c>
      <c r="E52" s="69">
        <v>21622.400000000001</v>
      </c>
    </row>
    <row r="53" spans="4:5" x14ac:dyDescent="0.25">
      <c r="D53" s="68">
        <v>45309</v>
      </c>
      <c r="E53" s="69">
        <v>21462.25</v>
      </c>
    </row>
    <row r="54" spans="4:5" x14ac:dyDescent="0.25">
      <c r="D54" s="68">
        <v>45308</v>
      </c>
      <c r="E54" s="69">
        <v>21571.95</v>
      </c>
    </row>
    <row r="55" spans="4:5" x14ac:dyDescent="0.25">
      <c r="D55" s="68">
        <v>45307</v>
      </c>
      <c r="E55" s="69">
        <v>22032.3</v>
      </c>
    </row>
    <row r="56" spans="4:5" x14ac:dyDescent="0.25">
      <c r="D56" s="68">
        <v>45306</v>
      </c>
      <c r="E56" s="69">
        <v>22097.45</v>
      </c>
    </row>
    <row r="57" spans="4:5" x14ac:dyDescent="0.25">
      <c r="D57" s="68">
        <v>45303</v>
      </c>
      <c r="E57" s="69">
        <v>21894.55</v>
      </c>
    </row>
    <row r="58" spans="4:5" x14ac:dyDescent="0.25">
      <c r="D58" s="68">
        <v>45302</v>
      </c>
      <c r="E58" s="69">
        <v>21647.200000000001</v>
      </c>
    </row>
    <row r="59" spans="4:5" x14ac:dyDescent="0.25">
      <c r="D59" s="68">
        <v>45301</v>
      </c>
      <c r="E59" s="69">
        <v>21618.7</v>
      </c>
    </row>
    <row r="60" spans="4:5" x14ac:dyDescent="0.25">
      <c r="D60" s="68">
        <v>45300</v>
      </c>
      <c r="E60" s="69">
        <v>21544.85</v>
      </c>
    </row>
    <row r="61" spans="4:5" x14ac:dyDescent="0.25">
      <c r="D61" s="68">
        <v>45299</v>
      </c>
      <c r="E61" s="69">
        <v>21513</v>
      </c>
    </row>
    <row r="62" spans="4:5" x14ac:dyDescent="0.25">
      <c r="D62" s="68">
        <v>45296</v>
      </c>
      <c r="E62" s="69">
        <v>21710.799999999999</v>
      </c>
    </row>
    <row r="63" spans="4:5" x14ac:dyDescent="0.25">
      <c r="D63" s="68">
        <v>45295</v>
      </c>
      <c r="E63" s="69">
        <v>21658.6</v>
      </c>
    </row>
    <row r="64" spans="4:5" x14ac:dyDescent="0.25">
      <c r="D64" s="68">
        <v>45294</v>
      </c>
      <c r="E64" s="69">
        <v>21517.35</v>
      </c>
    </row>
    <row r="65" spans="4:5" x14ac:dyDescent="0.25">
      <c r="D65" s="68">
        <v>45293</v>
      </c>
      <c r="E65" s="69">
        <v>21665.8</v>
      </c>
    </row>
    <row r="66" spans="4:5" x14ac:dyDescent="0.25">
      <c r="D66" s="68">
        <v>45292</v>
      </c>
      <c r="E66" s="69">
        <v>21741.9</v>
      </c>
    </row>
    <row r="67" spans="4:5" x14ac:dyDescent="0.25">
      <c r="D67" s="68">
        <v>45289</v>
      </c>
      <c r="E67" s="69">
        <v>21731.4</v>
      </c>
    </row>
    <row r="68" spans="4:5" x14ac:dyDescent="0.25">
      <c r="D68" s="68">
        <v>45288</v>
      </c>
      <c r="E68" s="69">
        <v>21778.7</v>
      </c>
    </row>
    <row r="69" spans="4:5" x14ac:dyDescent="0.25">
      <c r="D69" s="68">
        <v>45287</v>
      </c>
      <c r="E69" s="69">
        <v>21654.75</v>
      </c>
    </row>
    <row r="70" spans="4:5" x14ac:dyDescent="0.25">
      <c r="D70" s="68">
        <v>45286</v>
      </c>
      <c r="E70" s="69">
        <v>21441.35</v>
      </c>
    </row>
    <row r="71" spans="4:5" x14ac:dyDescent="0.25">
      <c r="D71" s="68">
        <v>45282</v>
      </c>
      <c r="E71" s="69">
        <v>21349.4</v>
      </c>
    </row>
    <row r="72" spans="4:5" x14ac:dyDescent="0.25">
      <c r="D72" s="68">
        <v>45281</v>
      </c>
      <c r="E72" s="69">
        <v>21255.05</v>
      </c>
    </row>
    <row r="73" spans="4:5" x14ac:dyDescent="0.25">
      <c r="D73" s="68">
        <v>45280</v>
      </c>
      <c r="E73" s="69">
        <v>21150.15</v>
      </c>
    </row>
    <row r="74" spans="4:5" x14ac:dyDescent="0.25">
      <c r="D74" s="68">
        <v>45279</v>
      </c>
      <c r="E74" s="69">
        <v>21453.1</v>
      </c>
    </row>
    <row r="75" spans="4:5" x14ac:dyDescent="0.25">
      <c r="D75" s="68">
        <v>45278</v>
      </c>
      <c r="E75" s="69">
        <v>21418.65</v>
      </c>
    </row>
    <row r="76" spans="4:5" x14ac:dyDescent="0.25">
      <c r="D76" s="68">
        <v>45275</v>
      </c>
      <c r="E76" s="69">
        <v>21456.65</v>
      </c>
    </row>
    <row r="77" spans="4:5" x14ac:dyDescent="0.25">
      <c r="D77" s="68">
        <v>45274</v>
      </c>
      <c r="E77" s="69">
        <v>21182.7</v>
      </c>
    </row>
    <row r="78" spans="4:5" x14ac:dyDescent="0.25">
      <c r="D78" s="68">
        <v>45273</v>
      </c>
      <c r="E78" s="69">
        <v>20926.349999999999</v>
      </c>
    </row>
    <row r="79" spans="4:5" x14ac:dyDescent="0.25">
      <c r="D79" s="68">
        <v>45272</v>
      </c>
      <c r="E79" s="69">
        <v>20906.400000000001</v>
      </c>
    </row>
    <row r="80" spans="4:5" x14ac:dyDescent="0.25">
      <c r="D80" s="68">
        <v>45271</v>
      </c>
      <c r="E80" s="69">
        <v>20997.1</v>
      </c>
    </row>
    <row r="81" spans="4:5" x14ac:dyDescent="0.25">
      <c r="D81" s="68">
        <v>45268</v>
      </c>
      <c r="E81" s="69">
        <v>20969.400000000001</v>
      </c>
    </row>
    <row r="82" spans="4:5" x14ac:dyDescent="0.25">
      <c r="D82" s="68">
        <v>45267</v>
      </c>
      <c r="E82" s="69">
        <v>20901.150000000001</v>
      </c>
    </row>
    <row r="83" spans="4:5" x14ac:dyDescent="0.25">
      <c r="D83" s="68">
        <v>45266</v>
      </c>
      <c r="E83" s="69">
        <v>20937.7</v>
      </c>
    </row>
    <row r="84" spans="4:5" x14ac:dyDescent="0.25">
      <c r="D84" s="68">
        <v>45265</v>
      </c>
      <c r="E84" s="69">
        <v>20855.099999999999</v>
      </c>
    </row>
    <row r="85" spans="4:5" x14ac:dyDescent="0.25">
      <c r="D85" s="68">
        <v>45264</v>
      </c>
      <c r="E85" s="69">
        <v>20686.8</v>
      </c>
    </row>
    <row r="86" spans="4:5" x14ac:dyDescent="0.25">
      <c r="D86" s="68">
        <v>45261</v>
      </c>
      <c r="E86" s="69">
        <v>20267.900000000001</v>
      </c>
    </row>
    <row r="87" spans="4:5" x14ac:dyDescent="0.25">
      <c r="D87" s="68">
        <v>45260</v>
      </c>
      <c r="E87" s="69">
        <v>20133.150000000001</v>
      </c>
    </row>
    <row r="88" spans="4:5" x14ac:dyDescent="0.25">
      <c r="D88" s="68">
        <v>45259</v>
      </c>
      <c r="E88" s="69">
        <v>20096.599999999999</v>
      </c>
    </row>
    <row r="89" spans="4:5" x14ac:dyDescent="0.25">
      <c r="D89" s="68">
        <v>45258</v>
      </c>
      <c r="E89" s="69">
        <v>19889.7</v>
      </c>
    </row>
    <row r="90" spans="4:5" x14ac:dyDescent="0.25">
      <c r="D90" s="68">
        <v>45254</v>
      </c>
      <c r="E90" s="69">
        <v>19794.7</v>
      </c>
    </row>
    <row r="91" spans="4:5" x14ac:dyDescent="0.25">
      <c r="D91" s="68">
        <v>45253</v>
      </c>
      <c r="E91" s="69">
        <v>19802</v>
      </c>
    </row>
    <row r="92" spans="4:5" x14ac:dyDescent="0.25">
      <c r="D92" s="68">
        <v>45252</v>
      </c>
      <c r="E92" s="69">
        <v>19811.849999999999</v>
      </c>
    </row>
    <row r="93" spans="4:5" x14ac:dyDescent="0.25">
      <c r="D93" s="68">
        <v>45251</v>
      </c>
      <c r="E93" s="69">
        <v>19783.400000000001</v>
      </c>
    </row>
    <row r="94" spans="4:5" x14ac:dyDescent="0.25">
      <c r="D94" s="68">
        <v>45250</v>
      </c>
      <c r="E94" s="69">
        <v>19694</v>
      </c>
    </row>
    <row r="95" spans="4:5" x14ac:dyDescent="0.25">
      <c r="D95" s="68">
        <v>45247</v>
      </c>
      <c r="E95" s="69">
        <v>19731.8</v>
      </c>
    </row>
    <row r="96" spans="4:5" x14ac:dyDescent="0.25">
      <c r="D96" s="68">
        <v>45246</v>
      </c>
      <c r="E96" s="69">
        <v>19765.2</v>
      </c>
    </row>
    <row r="97" spans="4:5" x14ac:dyDescent="0.25">
      <c r="D97" s="68">
        <v>45245</v>
      </c>
      <c r="E97" s="69">
        <v>19675.45</v>
      </c>
    </row>
    <row r="98" spans="4:5" x14ac:dyDescent="0.25">
      <c r="D98" s="68">
        <v>45243</v>
      </c>
      <c r="E98" s="69">
        <v>19443.55</v>
      </c>
    </row>
    <row r="99" spans="4:5" x14ac:dyDescent="0.25">
      <c r="D99" s="68">
        <v>45242</v>
      </c>
      <c r="E99" s="69">
        <v>19525.55</v>
      </c>
    </row>
    <row r="100" spans="4:5" x14ac:dyDescent="0.25">
      <c r="D100" s="68">
        <v>45240</v>
      </c>
      <c r="E100" s="69">
        <v>19425.349999999999</v>
      </c>
    </row>
    <row r="101" spans="4:5" x14ac:dyDescent="0.25">
      <c r="D101" s="68">
        <v>45239</v>
      </c>
      <c r="E101" s="69">
        <v>19395.3</v>
      </c>
    </row>
    <row r="102" spans="4:5" x14ac:dyDescent="0.25">
      <c r="D102" s="68">
        <v>45238</v>
      </c>
      <c r="E102" s="69">
        <v>19443.5</v>
      </c>
    </row>
    <row r="103" spans="4:5" x14ac:dyDescent="0.25">
      <c r="D103" s="68">
        <v>45237</v>
      </c>
      <c r="E103" s="69">
        <v>19406.7</v>
      </c>
    </row>
    <row r="104" spans="4:5" x14ac:dyDescent="0.25">
      <c r="D104" s="68">
        <v>45236</v>
      </c>
      <c r="E104" s="69">
        <v>19411.75</v>
      </c>
    </row>
    <row r="105" spans="4:5" x14ac:dyDescent="0.25">
      <c r="D105" s="68">
        <v>45233</v>
      </c>
      <c r="E105" s="69">
        <v>19230.599999999999</v>
      </c>
    </row>
    <row r="106" spans="4:5" x14ac:dyDescent="0.25">
      <c r="D106" s="68">
        <v>45232</v>
      </c>
      <c r="E106" s="69">
        <v>19133.25</v>
      </c>
    </row>
    <row r="107" spans="4:5" x14ac:dyDescent="0.25">
      <c r="D107" s="68">
        <v>45231</v>
      </c>
      <c r="E107" s="69">
        <v>18989.150000000001</v>
      </c>
    </row>
    <row r="108" spans="4:5" x14ac:dyDescent="0.25">
      <c r="D108" s="68">
        <v>45230</v>
      </c>
      <c r="E108" s="69">
        <v>19079.599999999999</v>
      </c>
    </row>
    <row r="109" spans="4:5" x14ac:dyDescent="0.25">
      <c r="D109" s="68">
        <v>45229</v>
      </c>
      <c r="E109" s="69">
        <v>19140.900000000001</v>
      </c>
    </row>
    <row r="110" spans="4:5" x14ac:dyDescent="0.25">
      <c r="D110" s="68">
        <v>45226</v>
      </c>
      <c r="E110" s="69">
        <v>19047.25</v>
      </c>
    </row>
    <row r="111" spans="4:5" x14ac:dyDescent="0.25">
      <c r="D111" s="68">
        <v>45225</v>
      </c>
      <c r="E111" s="69">
        <v>18857.25</v>
      </c>
    </row>
    <row r="112" spans="4:5" x14ac:dyDescent="0.25">
      <c r="D112" s="68">
        <v>45224</v>
      </c>
      <c r="E112" s="69">
        <v>19122.150000000001</v>
      </c>
    </row>
    <row r="113" spans="4:5" x14ac:dyDescent="0.25">
      <c r="D113" s="68">
        <v>45222</v>
      </c>
      <c r="E113" s="69">
        <v>19281.75</v>
      </c>
    </row>
    <row r="114" spans="4:5" x14ac:dyDescent="0.25">
      <c r="D114" s="68">
        <v>45219</v>
      </c>
      <c r="E114" s="69">
        <v>19542.650000000001</v>
      </c>
    </row>
    <row r="115" spans="4:5" x14ac:dyDescent="0.25">
      <c r="D115" s="68">
        <v>45218</v>
      </c>
      <c r="E115" s="69">
        <v>19624.7</v>
      </c>
    </row>
    <row r="116" spans="4:5" x14ac:dyDescent="0.25">
      <c r="D116" s="68">
        <v>45217</v>
      </c>
      <c r="E116" s="69">
        <v>19671.099999999999</v>
      </c>
    </row>
    <row r="117" spans="4:5" x14ac:dyDescent="0.25">
      <c r="D117" s="68">
        <v>45216</v>
      </c>
      <c r="E117" s="69">
        <v>19811.5</v>
      </c>
    </row>
    <row r="118" spans="4:5" x14ac:dyDescent="0.25">
      <c r="D118" s="68">
        <v>45215</v>
      </c>
      <c r="E118" s="69">
        <v>19731.75</v>
      </c>
    </row>
    <row r="119" spans="4:5" x14ac:dyDescent="0.25">
      <c r="D119" s="68">
        <v>45212</v>
      </c>
      <c r="E119" s="69">
        <v>19751.05</v>
      </c>
    </row>
    <row r="120" spans="4:5" x14ac:dyDescent="0.25">
      <c r="D120" s="68">
        <v>45211</v>
      </c>
      <c r="E120" s="69">
        <v>19794</v>
      </c>
    </row>
    <row r="121" spans="4:5" x14ac:dyDescent="0.25">
      <c r="D121" s="68">
        <v>45210</v>
      </c>
      <c r="E121" s="69">
        <v>19811.349999999999</v>
      </c>
    </row>
    <row r="122" spans="4:5" x14ac:dyDescent="0.25">
      <c r="D122" s="68">
        <v>45209</v>
      </c>
      <c r="E122" s="69">
        <v>19689.849999999999</v>
      </c>
    </row>
    <row r="123" spans="4:5" x14ac:dyDescent="0.25">
      <c r="D123" s="68">
        <v>45208</v>
      </c>
      <c r="E123" s="69">
        <v>19512.349999999999</v>
      </c>
    </row>
    <row r="124" spans="4:5" x14ac:dyDescent="0.25">
      <c r="D124" s="68">
        <v>45205</v>
      </c>
      <c r="E124" s="69">
        <v>19653.5</v>
      </c>
    </row>
    <row r="125" spans="4:5" x14ac:dyDescent="0.25">
      <c r="D125" s="68">
        <v>45204</v>
      </c>
      <c r="E125" s="69">
        <v>19545.75</v>
      </c>
    </row>
    <row r="126" spans="4:5" x14ac:dyDescent="0.25">
      <c r="D126" s="68">
        <v>45203</v>
      </c>
      <c r="E126" s="69">
        <v>19436.099999999999</v>
      </c>
    </row>
    <row r="127" spans="4:5" x14ac:dyDescent="0.25">
      <c r="D127" s="68">
        <v>45202</v>
      </c>
      <c r="E127" s="69">
        <v>19528.75</v>
      </c>
    </row>
    <row r="128" spans="4:5" x14ac:dyDescent="0.25">
      <c r="D128" s="68">
        <v>45198</v>
      </c>
      <c r="E128" s="69">
        <v>19638.3</v>
      </c>
    </row>
    <row r="129" spans="4:5" x14ac:dyDescent="0.25">
      <c r="D129" s="68">
        <v>45197</v>
      </c>
      <c r="E129" s="69">
        <v>19523.55</v>
      </c>
    </row>
    <row r="130" spans="4:5" x14ac:dyDescent="0.25">
      <c r="D130" s="68">
        <v>45196</v>
      </c>
      <c r="E130" s="69">
        <v>19716.45</v>
      </c>
    </row>
    <row r="131" spans="4:5" x14ac:dyDescent="0.25">
      <c r="D131" s="68">
        <v>45195</v>
      </c>
      <c r="E131" s="69">
        <v>19664.7</v>
      </c>
    </row>
    <row r="132" spans="4:5" x14ac:dyDescent="0.25">
      <c r="D132" s="68">
        <v>45194</v>
      </c>
      <c r="E132" s="69">
        <v>19674.55</v>
      </c>
    </row>
    <row r="133" spans="4:5" x14ac:dyDescent="0.25">
      <c r="D133" s="68">
        <v>45191</v>
      </c>
      <c r="E133" s="69">
        <v>19674.25</v>
      </c>
    </row>
    <row r="134" spans="4:5" x14ac:dyDescent="0.25">
      <c r="D134" s="68">
        <v>45190</v>
      </c>
      <c r="E134" s="69">
        <v>19742.349999999999</v>
      </c>
    </row>
    <row r="135" spans="4:5" x14ac:dyDescent="0.25">
      <c r="D135" s="68">
        <v>45189</v>
      </c>
      <c r="E135" s="69">
        <v>19901.400000000001</v>
      </c>
    </row>
    <row r="136" spans="4:5" x14ac:dyDescent="0.25">
      <c r="D136" s="68">
        <v>45187</v>
      </c>
      <c r="E136" s="69">
        <v>20133.3</v>
      </c>
    </row>
    <row r="137" spans="4:5" x14ac:dyDescent="0.25">
      <c r="D137" s="68">
        <v>45184</v>
      </c>
      <c r="E137" s="69">
        <v>20192.349999999999</v>
      </c>
    </row>
    <row r="138" spans="4:5" x14ac:dyDescent="0.25">
      <c r="D138" s="68">
        <v>45183</v>
      </c>
      <c r="E138" s="69">
        <v>20103.099999999999</v>
      </c>
    </row>
    <row r="139" spans="4:5" x14ac:dyDescent="0.25">
      <c r="D139" s="68">
        <v>45182</v>
      </c>
      <c r="E139" s="69">
        <v>20070</v>
      </c>
    </row>
    <row r="140" spans="4:5" x14ac:dyDescent="0.25">
      <c r="D140" s="68">
        <v>45181</v>
      </c>
      <c r="E140" s="69">
        <v>19993.2</v>
      </c>
    </row>
    <row r="141" spans="4:5" x14ac:dyDescent="0.25">
      <c r="D141" s="68">
        <v>45180</v>
      </c>
      <c r="E141" s="69">
        <v>19996.349999999999</v>
      </c>
    </row>
    <row r="142" spans="4:5" x14ac:dyDescent="0.25">
      <c r="D142" s="68">
        <v>45177</v>
      </c>
      <c r="E142" s="69">
        <v>19819.95</v>
      </c>
    </row>
    <row r="143" spans="4:5" x14ac:dyDescent="0.25">
      <c r="D143" s="68">
        <v>45176</v>
      </c>
      <c r="E143" s="69">
        <v>19727.05</v>
      </c>
    </row>
    <row r="144" spans="4:5" x14ac:dyDescent="0.25">
      <c r="D144" s="68">
        <v>45175</v>
      </c>
      <c r="E144" s="69">
        <v>19611.05</v>
      </c>
    </row>
    <row r="145" spans="4:5" x14ac:dyDescent="0.25">
      <c r="D145" s="68">
        <v>45174</v>
      </c>
      <c r="E145" s="69">
        <v>19574.900000000001</v>
      </c>
    </row>
    <row r="146" spans="4:5" x14ac:dyDescent="0.25">
      <c r="D146" s="68">
        <v>45173</v>
      </c>
      <c r="E146" s="69">
        <v>19528.8</v>
      </c>
    </row>
    <row r="147" spans="4:5" x14ac:dyDescent="0.25">
      <c r="D147" s="68">
        <v>45170</v>
      </c>
      <c r="E147" s="69">
        <v>19435.3</v>
      </c>
    </row>
    <row r="148" spans="4:5" x14ac:dyDescent="0.25">
      <c r="D148" s="68">
        <v>45169</v>
      </c>
      <c r="E148" s="69">
        <v>19253.8</v>
      </c>
    </row>
    <row r="149" spans="4:5" x14ac:dyDescent="0.25">
      <c r="D149" s="68">
        <v>45168</v>
      </c>
      <c r="E149" s="69">
        <v>19347.45</v>
      </c>
    </row>
    <row r="150" spans="4:5" x14ac:dyDescent="0.25">
      <c r="D150" s="68">
        <v>45167</v>
      </c>
      <c r="E150" s="69">
        <v>19342.650000000001</v>
      </c>
    </row>
    <row r="151" spans="4:5" x14ac:dyDescent="0.25">
      <c r="D151" s="68">
        <v>45166</v>
      </c>
      <c r="E151" s="69">
        <v>19306.05</v>
      </c>
    </row>
    <row r="152" spans="4:5" x14ac:dyDescent="0.25">
      <c r="D152" s="68">
        <v>45163</v>
      </c>
      <c r="E152" s="69">
        <v>19265.8</v>
      </c>
    </row>
    <row r="153" spans="4:5" x14ac:dyDescent="0.25">
      <c r="D153" s="68">
        <v>45162</v>
      </c>
      <c r="E153" s="69">
        <v>19386.7</v>
      </c>
    </row>
    <row r="154" spans="4:5" x14ac:dyDescent="0.25">
      <c r="D154" s="68">
        <v>45161</v>
      </c>
      <c r="E154" s="69">
        <v>19444</v>
      </c>
    </row>
    <row r="155" spans="4:5" x14ac:dyDescent="0.25">
      <c r="D155" s="68">
        <v>45160</v>
      </c>
      <c r="E155" s="69">
        <v>19396.45</v>
      </c>
    </row>
    <row r="156" spans="4:5" x14ac:dyDescent="0.25">
      <c r="D156" s="68">
        <v>45159</v>
      </c>
      <c r="E156" s="69">
        <v>19393.599999999999</v>
      </c>
    </row>
    <row r="157" spans="4:5" x14ac:dyDescent="0.25">
      <c r="D157" s="68">
        <v>45156</v>
      </c>
      <c r="E157" s="69">
        <v>19310.150000000001</v>
      </c>
    </row>
    <row r="158" spans="4:5" x14ac:dyDescent="0.25">
      <c r="D158" s="68">
        <v>45155</v>
      </c>
      <c r="E158" s="69">
        <v>19365.25</v>
      </c>
    </row>
    <row r="159" spans="4:5" x14ac:dyDescent="0.25">
      <c r="D159" s="68">
        <v>45154</v>
      </c>
      <c r="E159" s="69">
        <v>19465</v>
      </c>
    </row>
    <row r="160" spans="4:5" x14ac:dyDescent="0.25">
      <c r="D160" s="68">
        <v>45152</v>
      </c>
      <c r="E160" s="69">
        <v>19434.55</v>
      </c>
    </row>
    <row r="161" spans="4:5" x14ac:dyDescent="0.25">
      <c r="D161" s="68">
        <v>45149</v>
      </c>
      <c r="E161" s="69">
        <v>19428.3</v>
      </c>
    </row>
    <row r="162" spans="4:5" x14ac:dyDescent="0.25">
      <c r="D162" s="68">
        <v>45148</v>
      </c>
      <c r="E162" s="69">
        <v>19543.099999999999</v>
      </c>
    </row>
    <row r="163" spans="4:5" x14ac:dyDescent="0.25">
      <c r="D163" s="68">
        <v>45147</v>
      </c>
      <c r="E163" s="69">
        <v>19632.55</v>
      </c>
    </row>
    <row r="164" spans="4:5" x14ac:dyDescent="0.25">
      <c r="D164" s="68">
        <v>45146</v>
      </c>
      <c r="E164" s="69">
        <v>19570.849999999999</v>
      </c>
    </row>
    <row r="165" spans="4:5" x14ac:dyDescent="0.25">
      <c r="D165" s="68">
        <v>45145</v>
      </c>
      <c r="E165" s="69">
        <v>19597.3</v>
      </c>
    </row>
    <row r="166" spans="4:5" x14ac:dyDescent="0.25">
      <c r="D166" s="68">
        <v>45142</v>
      </c>
      <c r="E166" s="69">
        <v>19517</v>
      </c>
    </row>
    <row r="167" spans="4:5" x14ac:dyDescent="0.25">
      <c r="D167" s="68">
        <v>45141</v>
      </c>
      <c r="E167" s="69">
        <v>19381.650000000001</v>
      </c>
    </row>
    <row r="168" spans="4:5" x14ac:dyDescent="0.25">
      <c r="D168" s="68">
        <v>45140</v>
      </c>
      <c r="E168" s="69">
        <v>19526.55</v>
      </c>
    </row>
    <row r="169" spans="4:5" x14ac:dyDescent="0.25">
      <c r="D169" s="68">
        <v>45139</v>
      </c>
      <c r="E169" s="69">
        <v>19733.55</v>
      </c>
    </row>
    <row r="170" spans="4:5" x14ac:dyDescent="0.25">
      <c r="D170" s="68">
        <v>45138</v>
      </c>
      <c r="E170" s="69">
        <v>19753.8</v>
      </c>
    </row>
    <row r="171" spans="4:5" x14ac:dyDescent="0.25">
      <c r="D171" s="68">
        <v>45135</v>
      </c>
      <c r="E171" s="69">
        <v>19646.05</v>
      </c>
    </row>
    <row r="172" spans="4:5" x14ac:dyDescent="0.25">
      <c r="D172" s="68">
        <v>45134</v>
      </c>
      <c r="E172" s="69">
        <v>19659.900000000001</v>
      </c>
    </row>
    <row r="173" spans="4:5" x14ac:dyDescent="0.25">
      <c r="D173" s="68">
        <v>45133</v>
      </c>
      <c r="E173" s="69">
        <v>19778.3</v>
      </c>
    </row>
    <row r="174" spans="4:5" x14ac:dyDescent="0.25">
      <c r="D174" s="68">
        <v>45132</v>
      </c>
      <c r="E174" s="69">
        <v>19680.599999999999</v>
      </c>
    </row>
    <row r="175" spans="4:5" x14ac:dyDescent="0.25">
      <c r="D175" s="68">
        <v>45131</v>
      </c>
      <c r="E175" s="69">
        <v>19672.349999999999</v>
      </c>
    </row>
    <row r="176" spans="4:5" x14ac:dyDescent="0.25">
      <c r="D176" s="68">
        <v>45128</v>
      </c>
      <c r="E176" s="69">
        <v>19745</v>
      </c>
    </row>
    <row r="177" spans="4:5" x14ac:dyDescent="0.25">
      <c r="D177" s="68">
        <v>45127</v>
      </c>
      <c r="E177" s="69">
        <v>19979.150000000001</v>
      </c>
    </row>
    <row r="178" spans="4:5" x14ac:dyDescent="0.25">
      <c r="D178" s="68">
        <v>45126</v>
      </c>
      <c r="E178" s="69">
        <v>19833.150000000001</v>
      </c>
    </row>
    <row r="179" spans="4:5" x14ac:dyDescent="0.25">
      <c r="D179" s="68">
        <v>45125</v>
      </c>
      <c r="E179" s="69">
        <v>19749.25</v>
      </c>
    </row>
    <row r="180" spans="4:5" x14ac:dyDescent="0.25">
      <c r="D180" s="68">
        <v>45124</v>
      </c>
      <c r="E180" s="69">
        <v>19711.45</v>
      </c>
    </row>
    <row r="181" spans="4:5" x14ac:dyDescent="0.25">
      <c r="D181" s="68">
        <v>45121</v>
      </c>
      <c r="E181" s="69">
        <v>19564.5</v>
      </c>
    </row>
    <row r="182" spans="4:5" x14ac:dyDescent="0.25">
      <c r="D182" s="68">
        <v>45120</v>
      </c>
      <c r="E182" s="69">
        <v>19413.75</v>
      </c>
    </row>
    <row r="183" spans="4:5" x14ac:dyDescent="0.25">
      <c r="D183" s="68">
        <v>45119</v>
      </c>
      <c r="E183" s="69">
        <v>19384.3</v>
      </c>
    </row>
    <row r="184" spans="4:5" x14ac:dyDescent="0.25">
      <c r="D184" s="68">
        <v>45118</v>
      </c>
      <c r="E184" s="69">
        <v>19439.400000000001</v>
      </c>
    </row>
    <row r="185" spans="4:5" x14ac:dyDescent="0.25">
      <c r="D185" s="68">
        <v>45117</v>
      </c>
      <c r="E185" s="69">
        <v>19355.900000000001</v>
      </c>
    </row>
    <row r="186" spans="4:5" x14ac:dyDescent="0.25">
      <c r="D186" s="68">
        <v>45114</v>
      </c>
      <c r="E186" s="69">
        <v>19331.8</v>
      </c>
    </row>
    <row r="187" spans="4:5" x14ac:dyDescent="0.25">
      <c r="D187" s="68">
        <v>45113</v>
      </c>
      <c r="E187" s="69">
        <v>19497.3</v>
      </c>
    </row>
    <row r="188" spans="4:5" x14ac:dyDescent="0.25">
      <c r="D188" s="68">
        <v>45112</v>
      </c>
      <c r="E188" s="69">
        <v>19398.5</v>
      </c>
    </row>
    <row r="189" spans="4:5" x14ac:dyDescent="0.25">
      <c r="D189" s="68">
        <v>45111</v>
      </c>
      <c r="E189" s="69">
        <v>19389</v>
      </c>
    </row>
    <row r="190" spans="4:5" x14ac:dyDescent="0.25">
      <c r="D190" s="68">
        <v>45110</v>
      </c>
      <c r="E190" s="69">
        <v>19322.55</v>
      </c>
    </row>
    <row r="191" spans="4:5" x14ac:dyDescent="0.25">
      <c r="D191" s="68">
        <v>45107</v>
      </c>
      <c r="E191" s="69">
        <v>19189.05</v>
      </c>
    </row>
    <row r="192" spans="4:5" x14ac:dyDescent="0.25">
      <c r="D192" s="68">
        <v>45105</v>
      </c>
      <c r="E192" s="69">
        <v>18972.099999999999</v>
      </c>
    </row>
    <row r="193" spans="4:5" x14ac:dyDescent="0.25">
      <c r="D193" s="68">
        <v>45104</v>
      </c>
      <c r="E193" s="69">
        <v>18817.400000000001</v>
      </c>
    </row>
    <row r="194" spans="4:5" x14ac:dyDescent="0.25">
      <c r="D194" s="68">
        <v>45103</v>
      </c>
      <c r="E194" s="69">
        <v>18691.2</v>
      </c>
    </row>
    <row r="195" spans="4:5" x14ac:dyDescent="0.25">
      <c r="D195" s="68">
        <v>45100</v>
      </c>
      <c r="E195" s="69">
        <v>18665.5</v>
      </c>
    </row>
    <row r="196" spans="4:5" x14ac:dyDescent="0.25">
      <c r="D196" s="68">
        <v>45099</v>
      </c>
      <c r="E196" s="69">
        <v>18771.25</v>
      </c>
    </row>
    <row r="197" spans="4:5" x14ac:dyDescent="0.25">
      <c r="D197" s="68">
        <v>45098</v>
      </c>
      <c r="E197" s="69">
        <v>18856.849999999999</v>
      </c>
    </row>
    <row r="198" spans="4:5" x14ac:dyDescent="0.25">
      <c r="D198" s="68">
        <v>45097</v>
      </c>
      <c r="E198" s="69">
        <v>18816.7</v>
      </c>
    </row>
    <row r="199" spans="4:5" x14ac:dyDescent="0.25">
      <c r="D199" s="68">
        <v>45096</v>
      </c>
      <c r="E199" s="69">
        <v>18755.45</v>
      </c>
    </row>
    <row r="200" spans="4:5" x14ac:dyDescent="0.25">
      <c r="D200" s="68">
        <v>45093</v>
      </c>
      <c r="E200" s="69">
        <v>18826</v>
      </c>
    </row>
    <row r="201" spans="4:5" x14ac:dyDescent="0.25">
      <c r="D201" s="68">
        <v>45092</v>
      </c>
      <c r="E201" s="69">
        <v>18688.099999999999</v>
      </c>
    </row>
    <row r="202" spans="4:5" x14ac:dyDescent="0.25">
      <c r="D202" s="68">
        <v>45091</v>
      </c>
      <c r="E202" s="69">
        <v>18755.900000000001</v>
      </c>
    </row>
    <row r="203" spans="4:5" x14ac:dyDescent="0.25">
      <c r="D203" s="68">
        <v>45090</v>
      </c>
      <c r="E203" s="69">
        <v>18716.150000000001</v>
      </c>
    </row>
    <row r="204" spans="4:5" x14ac:dyDescent="0.25">
      <c r="D204" s="68">
        <v>45089</v>
      </c>
      <c r="E204" s="69">
        <v>18601.5</v>
      </c>
    </row>
    <row r="205" spans="4:5" x14ac:dyDescent="0.25">
      <c r="D205" s="68">
        <v>45086</v>
      </c>
      <c r="E205" s="69">
        <v>18563.400000000001</v>
      </c>
    </row>
    <row r="206" spans="4:5" x14ac:dyDescent="0.25">
      <c r="D206" s="68">
        <v>45085</v>
      </c>
      <c r="E206" s="69">
        <v>18634.55</v>
      </c>
    </row>
    <row r="207" spans="4:5" x14ac:dyDescent="0.25">
      <c r="D207" s="68">
        <v>45084</v>
      </c>
      <c r="E207" s="69">
        <v>18726.400000000001</v>
      </c>
    </row>
    <row r="208" spans="4:5" x14ac:dyDescent="0.25">
      <c r="D208" s="68">
        <v>45083</v>
      </c>
      <c r="E208" s="69">
        <v>18599</v>
      </c>
    </row>
    <row r="209" spans="4:5" x14ac:dyDescent="0.25">
      <c r="D209" s="68">
        <v>45082</v>
      </c>
      <c r="E209" s="69">
        <v>18593.849999999999</v>
      </c>
    </row>
    <row r="210" spans="4:5" x14ac:dyDescent="0.25">
      <c r="D210" s="68">
        <v>45079</v>
      </c>
      <c r="E210" s="69">
        <v>18534.099999999999</v>
      </c>
    </row>
    <row r="211" spans="4:5" x14ac:dyDescent="0.25">
      <c r="D211" s="68">
        <v>45078</v>
      </c>
      <c r="E211" s="69">
        <v>18487.75</v>
      </c>
    </row>
    <row r="212" spans="4:5" x14ac:dyDescent="0.25">
      <c r="D212" s="68">
        <v>45077</v>
      </c>
      <c r="E212" s="69">
        <v>18534.400000000001</v>
      </c>
    </row>
    <row r="213" spans="4:5" x14ac:dyDescent="0.25">
      <c r="D213" s="68">
        <v>45076</v>
      </c>
      <c r="E213" s="69">
        <v>18633.849999999999</v>
      </c>
    </row>
    <row r="214" spans="4:5" x14ac:dyDescent="0.25">
      <c r="D214" s="68">
        <v>45075</v>
      </c>
      <c r="E214" s="69">
        <v>18598.650000000001</v>
      </c>
    </row>
    <row r="215" spans="4:5" x14ac:dyDescent="0.25">
      <c r="D215" s="68">
        <v>45072</v>
      </c>
      <c r="E215" s="69">
        <v>18499.349999999999</v>
      </c>
    </row>
    <row r="216" spans="4:5" x14ac:dyDescent="0.25">
      <c r="D216" s="68">
        <v>45071</v>
      </c>
      <c r="E216" s="69">
        <v>18321.150000000001</v>
      </c>
    </row>
    <row r="217" spans="4:5" x14ac:dyDescent="0.25">
      <c r="D217" s="68">
        <v>45070</v>
      </c>
      <c r="E217" s="69">
        <v>18285.400000000001</v>
      </c>
    </row>
    <row r="218" spans="4:5" x14ac:dyDescent="0.25">
      <c r="D218" s="68">
        <v>45069</v>
      </c>
      <c r="E218" s="69">
        <v>18348</v>
      </c>
    </row>
    <row r="219" spans="4:5" x14ac:dyDescent="0.25">
      <c r="D219" s="68">
        <v>45068</v>
      </c>
      <c r="E219" s="69">
        <v>18314.400000000001</v>
      </c>
    </row>
    <row r="220" spans="4:5" x14ac:dyDescent="0.25">
      <c r="D220" s="68">
        <v>45065</v>
      </c>
      <c r="E220" s="69">
        <v>18203.400000000001</v>
      </c>
    </row>
    <row r="221" spans="4:5" x14ac:dyDescent="0.25">
      <c r="D221" s="68">
        <v>45064</v>
      </c>
      <c r="E221" s="69">
        <v>18129.95</v>
      </c>
    </row>
    <row r="222" spans="4:5" x14ac:dyDescent="0.25">
      <c r="D222" s="68">
        <v>45063</v>
      </c>
      <c r="E222" s="69">
        <v>18181.75</v>
      </c>
    </row>
    <row r="223" spans="4:5" x14ac:dyDescent="0.25">
      <c r="D223" s="68">
        <v>45062</v>
      </c>
      <c r="E223" s="69">
        <v>18286.5</v>
      </c>
    </row>
    <row r="224" spans="4:5" x14ac:dyDescent="0.25">
      <c r="D224" s="68">
        <v>45061</v>
      </c>
      <c r="E224" s="69">
        <v>18398.849999999999</v>
      </c>
    </row>
    <row r="225" spans="4:5" x14ac:dyDescent="0.25">
      <c r="D225" s="68">
        <v>45058</v>
      </c>
      <c r="E225" s="69">
        <v>18314.8</v>
      </c>
    </row>
    <row r="226" spans="4:5" x14ac:dyDescent="0.25">
      <c r="D226" s="68">
        <v>45057</v>
      </c>
      <c r="E226" s="69">
        <v>18297</v>
      </c>
    </row>
    <row r="227" spans="4:5" x14ac:dyDescent="0.25">
      <c r="D227" s="68">
        <v>45056</v>
      </c>
      <c r="E227" s="69">
        <v>18315.099999999999</v>
      </c>
    </row>
    <row r="228" spans="4:5" x14ac:dyDescent="0.25">
      <c r="D228" s="68">
        <v>45055</v>
      </c>
      <c r="E228" s="69">
        <v>18265.95</v>
      </c>
    </row>
    <row r="229" spans="4:5" x14ac:dyDescent="0.25">
      <c r="D229" s="68">
        <v>45054</v>
      </c>
      <c r="E229" s="69">
        <v>18264.400000000001</v>
      </c>
    </row>
    <row r="230" spans="4:5" x14ac:dyDescent="0.25">
      <c r="D230" s="68">
        <v>45051</v>
      </c>
      <c r="E230" s="69">
        <v>18069</v>
      </c>
    </row>
    <row r="231" spans="4:5" x14ac:dyDescent="0.25">
      <c r="D231" s="68">
        <v>45050</v>
      </c>
      <c r="E231" s="69">
        <v>18255.8</v>
      </c>
    </row>
    <row r="232" spans="4:5" x14ac:dyDescent="0.25">
      <c r="D232" s="68">
        <v>45049</v>
      </c>
      <c r="E232" s="69">
        <v>18089.849999999999</v>
      </c>
    </row>
    <row r="233" spans="4:5" x14ac:dyDescent="0.25">
      <c r="D233" s="68">
        <v>45048</v>
      </c>
      <c r="E233" s="69">
        <v>18147.650000000001</v>
      </c>
    </row>
    <row r="234" spans="4:5" x14ac:dyDescent="0.25">
      <c r="D234" s="68">
        <v>45044</v>
      </c>
      <c r="E234" s="69">
        <v>18065</v>
      </c>
    </row>
    <row r="235" spans="4:5" x14ac:dyDescent="0.25">
      <c r="D235" s="68">
        <v>45043</v>
      </c>
      <c r="E235" s="69">
        <v>17915.05</v>
      </c>
    </row>
    <row r="236" spans="4:5" x14ac:dyDescent="0.25">
      <c r="D236" s="68">
        <v>45042</v>
      </c>
      <c r="E236" s="69">
        <v>17813.599999999999</v>
      </c>
    </row>
    <row r="237" spans="4:5" x14ac:dyDescent="0.25">
      <c r="D237" s="68">
        <v>45041</v>
      </c>
      <c r="E237" s="69">
        <v>17769.25</v>
      </c>
    </row>
    <row r="238" spans="4:5" x14ac:dyDescent="0.25">
      <c r="D238" s="68">
        <v>45040</v>
      </c>
      <c r="E238" s="69">
        <v>17743.400000000001</v>
      </c>
    </row>
    <row r="239" spans="4:5" x14ac:dyDescent="0.25">
      <c r="D239" s="68">
        <v>45037</v>
      </c>
      <c r="E239" s="69">
        <v>17624.05</v>
      </c>
    </row>
    <row r="240" spans="4:5" x14ac:dyDescent="0.25">
      <c r="D240" s="68">
        <v>45036</v>
      </c>
      <c r="E240" s="69">
        <v>17624.45</v>
      </c>
    </row>
    <row r="241" spans="4:5" x14ac:dyDescent="0.25">
      <c r="D241" s="68">
        <v>45035</v>
      </c>
      <c r="E241" s="69">
        <v>17618.75</v>
      </c>
    </row>
    <row r="242" spans="4:5" x14ac:dyDescent="0.25">
      <c r="D242" s="68">
        <v>45034</v>
      </c>
      <c r="E242" s="69">
        <v>17660.150000000001</v>
      </c>
    </row>
    <row r="243" spans="4:5" x14ac:dyDescent="0.25">
      <c r="D243" s="68">
        <v>45033</v>
      </c>
      <c r="E243" s="69">
        <v>17706.849999999999</v>
      </c>
    </row>
    <row r="244" spans="4:5" x14ac:dyDescent="0.25">
      <c r="D244" s="68">
        <v>45029</v>
      </c>
      <c r="E244" s="69">
        <v>17828</v>
      </c>
    </row>
    <row r="245" spans="4:5" x14ac:dyDescent="0.25">
      <c r="D245" s="68">
        <v>45028</v>
      </c>
      <c r="E245" s="69">
        <v>17812.400000000001</v>
      </c>
    </row>
    <row r="246" spans="4:5" x14ac:dyDescent="0.25">
      <c r="D246" s="68">
        <v>45027</v>
      </c>
      <c r="E246" s="69">
        <v>17722.3</v>
      </c>
    </row>
    <row r="247" spans="4:5" x14ac:dyDescent="0.25">
      <c r="D247" s="68">
        <v>45026</v>
      </c>
      <c r="E247" s="69">
        <v>17624.05</v>
      </c>
    </row>
    <row r="248" spans="4:5" x14ac:dyDescent="0.25">
      <c r="D248" s="68">
        <v>45022</v>
      </c>
      <c r="E248" s="69">
        <v>17599.150000000001</v>
      </c>
    </row>
    <row r="249" spans="4:5" x14ac:dyDescent="0.25">
      <c r="D249" s="68">
        <v>45021</v>
      </c>
      <c r="E249" s="69">
        <v>17557.05</v>
      </c>
    </row>
    <row r="250" spans="4:5" x14ac:dyDescent="0.25">
      <c r="D250" s="68">
        <v>45019</v>
      </c>
      <c r="E250" s="69">
        <v>17398.05</v>
      </c>
    </row>
    <row r="251" spans="4:5" x14ac:dyDescent="0.25">
      <c r="D251" s="68">
        <v>45016</v>
      </c>
      <c r="E251" s="69">
        <v>17359.75</v>
      </c>
    </row>
    <row r="252" spans="4:5" x14ac:dyDescent="0.25">
      <c r="D252" s="68">
        <v>45014</v>
      </c>
      <c r="E252" s="69">
        <v>17080.7</v>
      </c>
    </row>
    <row r="253" spans="4:5" x14ac:dyDescent="0.25">
      <c r="D253" s="68">
        <v>45013</v>
      </c>
      <c r="E253" s="69">
        <v>16951.7</v>
      </c>
    </row>
    <row r="254" spans="4:5" x14ac:dyDescent="0.25">
      <c r="D254" s="68">
        <v>45012</v>
      </c>
      <c r="E254" s="69">
        <v>16985.7</v>
      </c>
    </row>
    <row r="255" spans="4:5" x14ac:dyDescent="0.25">
      <c r="D255" s="68">
        <v>45009</v>
      </c>
      <c r="E255" s="69">
        <v>16945.05</v>
      </c>
    </row>
    <row r="256" spans="4:5" x14ac:dyDescent="0.25">
      <c r="D256" s="68">
        <v>45008</v>
      </c>
      <c r="E256" s="69">
        <v>17076.900000000001</v>
      </c>
    </row>
    <row r="257" spans="4:5" x14ac:dyDescent="0.25">
      <c r="D257" s="68">
        <v>45007</v>
      </c>
      <c r="E257" s="69">
        <v>17151.900000000001</v>
      </c>
    </row>
    <row r="258" spans="4:5" x14ac:dyDescent="0.25">
      <c r="D258" s="68">
        <v>45006</v>
      </c>
      <c r="E258" s="69">
        <v>17107.5</v>
      </c>
    </row>
    <row r="259" spans="4:5" x14ac:dyDescent="0.25">
      <c r="D259" s="68">
        <v>45005</v>
      </c>
      <c r="E259" s="69">
        <v>16988.400000000001</v>
      </c>
    </row>
    <row r="260" spans="4:5" x14ac:dyDescent="0.25">
      <c r="D260" s="68">
        <v>45002</v>
      </c>
      <c r="E260" s="69">
        <v>17100.05</v>
      </c>
    </row>
    <row r="261" spans="4:5" x14ac:dyDescent="0.25">
      <c r="D261" s="68">
        <v>45001</v>
      </c>
      <c r="E261" s="69">
        <v>16985.599999999999</v>
      </c>
    </row>
    <row r="262" spans="4:5" x14ac:dyDescent="0.25">
      <c r="D262" s="68">
        <v>45000</v>
      </c>
      <c r="E262" s="69">
        <v>16972.150000000001</v>
      </c>
    </row>
    <row r="263" spans="4:5" x14ac:dyDescent="0.25">
      <c r="D263" s="68">
        <v>44999</v>
      </c>
      <c r="E263" s="69">
        <v>17043.3</v>
      </c>
    </row>
    <row r="264" spans="4:5" x14ac:dyDescent="0.25">
      <c r="D264" s="68">
        <v>44998</v>
      </c>
      <c r="E264" s="69">
        <v>17154.3</v>
      </c>
    </row>
    <row r="265" spans="4:5" x14ac:dyDescent="0.25">
      <c r="D265" s="68">
        <v>44995</v>
      </c>
      <c r="E265" s="69">
        <v>17412.900000000001</v>
      </c>
    </row>
    <row r="266" spans="4:5" x14ac:dyDescent="0.25">
      <c r="D266" s="68">
        <v>44994</v>
      </c>
      <c r="E266" s="69">
        <v>17589.599999999999</v>
      </c>
    </row>
    <row r="267" spans="4:5" x14ac:dyDescent="0.25">
      <c r="D267" s="68">
        <v>44993</v>
      </c>
      <c r="E267" s="69">
        <v>17754.400000000001</v>
      </c>
    </row>
    <row r="268" spans="4:5" x14ac:dyDescent="0.25">
      <c r="D268" s="68">
        <v>44991</v>
      </c>
      <c r="E268" s="69">
        <v>17711.45</v>
      </c>
    </row>
    <row r="269" spans="4:5" x14ac:dyDescent="0.25">
      <c r="D269" s="68">
        <v>44988</v>
      </c>
      <c r="E269" s="69">
        <v>17594.349999999999</v>
      </c>
    </row>
    <row r="270" spans="4:5" x14ac:dyDescent="0.25">
      <c r="D270" s="68">
        <v>44987</v>
      </c>
      <c r="E270" s="69">
        <v>17321.900000000001</v>
      </c>
    </row>
    <row r="271" spans="4:5" x14ac:dyDescent="0.25">
      <c r="D271" s="68">
        <v>44986</v>
      </c>
      <c r="E271" s="69">
        <v>17450.900000000001</v>
      </c>
    </row>
    <row r="272" spans="4:5" x14ac:dyDescent="0.25">
      <c r="D272" s="68">
        <v>44985</v>
      </c>
      <c r="E272" s="69">
        <v>17303.95</v>
      </c>
    </row>
    <row r="273" spans="4:5" x14ac:dyDescent="0.25">
      <c r="D273" s="68">
        <v>44984</v>
      </c>
      <c r="E273" s="69">
        <v>17392.7</v>
      </c>
    </row>
    <row r="274" spans="4:5" x14ac:dyDescent="0.25">
      <c r="D274" s="68">
        <v>44981</v>
      </c>
      <c r="E274" s="69">
        <v>17465.8</v>
      </c>
    </row>
    <row r="275" spans="4:5" x14ac:dyDescent="0.25">
      <c r="D275" s="68">
        <v>44980</v>
      </c>
      <c r="E275" s="69">
        <v>17511.25</v>
      </c>
    </row>
    <row r="276" spans="4:5" x14ac:dyDescent="0.25">
      <c r="D276" s="68">
        <v>44979</v>
      </c>
      <c r="E276" s="69">
        <v>17554.3</v>
      </c>
    </row>
    <row r="277" spans="4:5" x14ac:dyDescent="0.25">
      <c r="D277" s="68">
        <v>44978</v>
      </c>
      <c r="E277" s="69">
        <v>17826.7</v>
      </c>
    </row>
    <row r="278" spans="4:5" x14ac:dyDescent="0.25">
      <c r="D278" s="68">
        <v>44977</v>
      </c>
      <c r="E278" s="69">
        <v>17844.599999999999</v>
      </c>
    </row>
    <row r="279" spans="4:5" x14ac:dyDescent="0.25">
      <c r="D279" s="68">
        <v>44974</v>
      </c>
      <c r="E279" s="69">
        <v>17944.2</v>
      </c>
    </row>
    <row r="280" spans="4:5" x14ac:dyDescent="0.25">
      <c r="D280" s="68">
        <v>44973</v>
      </c>
      <c r="E280" s="69">
        <v>18035.849999999999</v>
      </c>
    </row>
    <row r="281" spans="4:5" x14ac:dyDescent="0.25">
      <c r="D281" s="68">
        <v>44972</v>
      </c>
      <c r="E281" s="69">
        <v>18015.849999999999</v>
      </c>
    </row>
    <row r="282" spans="4:5" x14ac:dyDescent="0.25">
      <c r="D282" s="68">
        <v>44971</v>
      </c>
      <c r="E282" s="69">
        <v>17929.849999999999</v>
      </c>
    </row>
    <row r="283" spans="4:5" x14ac:dyDescent="0.25">
      <c r="D283" s="68">
        <v>44970</v>
      </c>
      <c r="E283" s="69">
        <v>17770.900000000001</v>
      </c>
    </row>
    <row r="284" spans="4:5" x14ac:dyDescent="0.25">
      <c r="D284" s="68">
        <v>44967</v>
      </c>
      <c r="E284" s="69">
        <v>17856.5</v>
      </c>
    </row>
    <row r="285" spans="4:5" x14ac:dyDescent="0.25">
      <c r="D285" s="68">
        <v>44966</v>
      </c>
      <c r="E285" s="69">
        <v>17893.45</v>
      </c>
    </row>
    <row r="286" spans="4:5" x14ac:dyDescent="0.25">
      <c r="D286" s="68">
        <v>44965</v>
      </c>
      <c r="E286" s="69">
        <v>17871.7</v>
      </c>
    </row>
    <row r="287" spans="4:5" x14ac:dyDescent="0.25">
      <c r="D287" s="68">
        <v>44964</v>
      </c>
      <c r="E287" s="69">
        <v>17721.5</v>
      </c>
    </row>
    <row r="288" spans="4:5" x14ac:dyDescent="0.25">
      <c r="D288" s="68">
        <v>44963</v>
      </c>
      <c r="E288" s="69">
        <v>17764.599999999999</v>
      </c>
    </row>
    <row r="289" spans="4:5" x14ac:dyDescent="0.25">
      <c r="D289" s="68">
        <v>44960</v>
      </c>
      <c r="E289" s="69">
        <v>17854.05</v>
      </c>
    </row>
    <row r="290" spans="4:5" x14ac:dyDescent="0.25">
      <c r="D290" s="68">
        <v>44959</v>
      </c>
      <c r="E290" s="69">
        <v>17610.400000000001</v>
      </c>
    </row>
    <row r="291" spans="4:5" x14ac:dyDescent="0.25">
      <c r="D291" s="68">
        <v>44958</v>
      </c>
      <c r="E291" s="69">
        <v>17616.3</v>
      </c>
    </row>
    <row r="292" spans="4:5" x14ac:dyDescent="0.25">
      <c r="D292" s="68">
        <v>44957</v>
      </c>
      <c r="E292" s="69">
        <v>17662.150000000001</v>
      </c>
    </row>
    <row r="293" spans="4:5" x14ac:dyDescent="0.25">
      <c r="D293" s="68">
        <v>44956</v>
      </c>
      <c r="E293" s="69">
        <v>17648.95</v>
      </c>
    </row>
    <row r="294" spans="4:5" x14ac:dyDescent="0.25">
      <c r="D294" s="68">
        <v>44953</v>
      </c>
      <c r="E294" s="69">
        <v>17604.349999999999</v>
      </c>
    </row>
    <row r="295" spans="4:5" x14ac:dyDescent="0.25">
      <c r="D295" s="68">
        <v>44951</v>
      </c>
      <c r="E295" s="69">
        <v>17891.95</v>
      </c>
    </row>
    <row r="296" spans="4:5" x14ac:dyDescent="0.25">
      <c r="D296" s="68">
        <v>44950</v>
      </c>
      <c r="E296" s="69">
        <v>18118.3</v>
      </c>
    </row>
    <row r="297" spans="4:5" x14ac:dyDescent="0.25">
      <c r="D297" s="68">
        <v>44949</v>
      </c>
      <c r="E297" s="69">
        <v>18118.55</v>
      </c>
    </row>
    <row r="298" spans="4:5" x14ac:dyDescent="0.25">
      <c r="D298" s="68">
        <v>44946</v>
      </c>
      <c r="E298" s="69">
        <v>18027.650000000001</v>
      </c>
    </row>
    <row r="299" spans="4:5" x14ac:dyDescent="0.25">
      <c r="D299" s="68">
        <v>44945</v>
      </c>
      <c r="E299" s="69">
        <v>18107.849999999999</v>
      </c>
    </row>
    <row r="300" spans="4:5" x14ac:dyDescent="0.25">
      <c r="D300" s="68">
        <v>44944</v>
      </c>
      <c r="E300" s="69">
        <v>18165.349999999999</v>
      </c>
    </row>
    <row r="301" spans="4:5" x14ac:dyDescent="0.25">
      <c r="D301" s="68">
        <v>44943</v>
      </c>
      <c r="E301" s="69">
        <v>18053.3</v>
      </c>
    </row>
    <row r="302" spans="4:5" x14ac:dyDescent="0.25">
      <c r="D302" s="68">
        <v>44942</v>
      </c>
      <c r="E302" s="69">
        <v>17894.849999999999</v>
      </c>
    </row>
    <row r="303" spans="4:5" x14ac:dyDescent="0.25">
      <c r="D303" s="68">
        <v>44939</v>
      </c>
      <c r="E303" s="69">
        <v>17956.599999999999</v>
      </c>
    </row>
    <row r="304" spans="4:5" x14ac:dyDescent="0.25">
      <c r="D304" s="68">
        <v>44938</v>
      </c>
      <c r="E304" s="69">
        <v>17858.2</v>
      </c>
    </row>
    <row r="305" spans="4:5" x14ac:dyDescent="0.25">
      <c r="D305" s="68">
        <v>44937</v>
      </c>
      <c r="E305" s="69">
        <v>17895.7</v>
      </c>
    </row>
    <row r="306" spans="4:5" x14ac:dyDescent="0.25">
      <c r="D306" s="68">
        <v>44936</v>
      </c>
      <c r="E306" s="69">
        <v>17914.150000000001</v>
      </c>
    </row>
    <row r="307" spans="4:5" x14ac:dyDescent="0.25">
      <c r="D307" s="68">
        <v>44935</v>
      </c>
      <c r="E307" s="69">
        <v>18101.2</v>
      </c>
    </row>
    <row r="308" spans="4:5" x14ac:dyDescent="0.25">
      <c r="D308" s="68">
        <v>44932</v>
      </c>
      <c r="E308" s="69">
        <v>17859.45</v>
      </c>
    </row>
    <row r="309" spans="4:5" x14ac:dyDescent="0.25">
      <c r="D309" s="68">
        <v>44931</v>
      </c>
      <c r="E309" s="69">
        <v>17992.150000000001</v>
      </c>
    </row>
    <row r="310" spans="4:5" x14ac:dyDescent="0.25">
      <c r="D310" s="68">
        <v>44930</v>
      </c>
      <c r="E310" s="69">
        <v>18042.95</v>
      </c>
    </row>
    <row r="311" spans="4:5" x14ac:dyDescent="0.25">
      <c r="D311" s="68">
        <v>44929</v>
      </c>
      <c r="E311" s="69">
        <v>18232.55</v>
      </c>
    </row>
    <row r="312" spans="4:5" x14ac:dyDescent="0.25">
      <c r="D312" s="68">
        <v>44928</v>
      </c>
      <c r="E312" s="69">
        <v>18197.45</v>
      </c>
    </row>
    <row r="313" spans="4:5" x14ac:dyDescent="0.25">
      <c r="D313" s="68">
        <v>44925</v>
      </c>
      <c r="E313" s="69">
        <v>18105.3</v>
      </c>
    </row>
    <row r="314" spans="4:5" x14ac:dyDescent="0.25">
      <c r="D314" s="68">
        <v>44924</v>
      </c>
      <c r="E314" s="69">
        <v>18191</v>
      </c>
    </row>
    <row r="315" spans="4:5" x14ac:dyDescent="0.25">
      <c r="D315" s="68">
        <v>44923</v>
      </c>
      <c r="E315" s="69">
        <v>18122.5</v>
      </c>
    </row>
    <row r="316" spans="4:5" x14ac:dyDescent="0.25">
      <c r="D316" s="68">
        <v>44922</v>
      </c>
      <c r="E316" s="69">
        <v>18132.3</v>
      </c>
    </row>
    <row r="317" spans="4:5" x14ac:dyDescent="0.25">
      <c r="D317" s="68">
        <v>44921</v>
      </c>
      <c r="E317" s="69">
        <v>18014.599999999999</v>
      </c>
    </row>
    <row r="318" spans="4:5" x14ac:dyDescent="0.25">
      <c r="D318" s="68">
        <v>44918</v>
      </c>
      <c r="E318" s="69">
        <v>17806.8</v>
      </c>
    </row>
    <row r="319" spans="4:5" x14ac:dyDescent="0.25">
      <c r="D319" s="68">
        <v>44917</v>
      </c>
      <c r="E319" s="69">
        <v>18127.349999999999</v>
      </c>
    </row>
    <row r="320" spans="4:5" x14ac:dyDescent="0.25">
      <c r="D320" s="68">
        <v>44916</v>
      </c>
      <c r="E320" s="69">
        <v>18199.099999999999</v>
      </c>
    </row>
    <row r="321" spans="4:5" x14ac:dyDescent="0.25">
      <c r="D321" s="68">
        <v>44915</v>
      </c>
      <c r="E321" s="69">
        <v>18385.3</v>
      </c>
    </row>
    <row r="322" spans="4:5" x14ac:dyDescent="0.25">
      <c r="D322" s="68">
        <v>44914</v>
      </c>
      <c r="E322" s="69">
        <v>18420.45</v>
      </c>
    </row>
    <row r="323" spans="4:5" x14ac:dyDescent="0.25">
      <c r="D323" s="68">
        <v>44911</v>
      </c>
      <c r="E323" s="69">
        <v>18269</v>
      </c>
    </row>
    <row r="324" spans="4:5" x14ac:dyDescent="0.25">
      <c r="D324" s="68">
        <v>44910</v>
      </c>
      <c r="E324" s="69">
        <v>18414.900000000001</v>
      </c>
    </row>
    <row r="325" spans="4:5" x14ac:dyDescent="0.25">
      <c r="D325" s="68">
        <v>44909</v>
      </c>
      <c r="E325" s="69">
        <v>18660.3</v>
      </c>
    </row>
    <row r="326" spans="4:5" x14ac:dyDescent="0.25">
      <c r="D326" s="68">
        <v>44908</v>
      </c>
      <c r="E326" s="69">
        <v>18608</v>
      </c>
    </row>
    <row r="327" spans="4:5" x14ac:dyDescent="0.25">
      <c r="D327" s="68">
        <v>44907</v>
      </c>
      <c r="E327" s="69">
        <v>18497.150000000001</v>
      </c>
    </row>
    <row r="328" spans="4:5" x14ac:dyDescent="0.25">
      <c r="D328" s="68">
        <v>44904</v>
      </c>
      <c r="E328" s="69">
        <v>18496.599999999999</v>
      </c>
    </row>
    <row r="329" spans="4:5" x14ac:dyDescent="0.25">
      <c r="D329" s="68">
        <v>44903</v>
      </c>
      <c r="E329" s="69">
        <v>18609.349999999999</v>
      </c>
    </row>
    <row r="330" spans="4:5" x14ac:dyDescent="0.25">
      <c r="D330" s="68">
        <v>44902</v>
      </c>
      <c r="E330" s="69">
        <v>18560.5</v>
      </c>
    </row>
    <row r="331" spans="4:5" x14ac:dyDescent="0.25">
      <c r="D331" s="68">
        <v>44901</v>
      </c>
      <c r="E331" s="69">
        <v>18642.75</v>
      </c>
    </row>
    <row r="332" spans="4:5" x14ac:dyDescent="0.25">
      <c r="D332" s="68">
        <v>44900</v>
      </c>
      <c r="E332" s="69">
        <v>18701.05</v>
      </c>
    </row>
    <row r="333" spans="4:5" x14ac:dyDescent="0.25">
      <c r="D333" s="68">
        <v>44897</v>
      </c>
      <c r="E333" s="69">
        <v>18696.099999999999</v>
      </c>
    </row>
    <row r="334" spans="4:5" x14ac:dyDescent="0.25">
      <c r="D334" s="68">
        <v>44896</v>
      </c>
      <c r="E334" s="69">
        <v>18812.5</v>
      </c>
    </row>
    <row r="335" spans="4:5" x14ac:dyDescent="0.25">
      <c r="D335" s="68">
        <v>44895</v>
      </c>
      <c r="E335" s="69">
        <v>18758.349999999999</v>
      </c>
    </row>
    <row r="336" spans="4:5" x14ac:dyDescent="0.25">
      <c r="D336" s="68">
        <v>44894</v>
      </c>
      <c r="E336" s="69">
        <v>18618.05</v>
      </c>
    </row>
    <row r="337" spans="4:5" x14ac:dyDescent="0.25">
      <c r="D337" s="68">
        <v>44893</v>
      </c>
      <c r="E337" s="69">
        <v>18562.75</v>
      </c>
    </row>
    <row r="338" spans="4:5" x14ac:dyDescent="0.25">
      <c r="D338" s="68">
        <v>44890</v>
      </c>
      <c r="E338" s="69">
        <v>18512.75</v>
      </c>
    </row>
    <row r="339" spans="4:5" x14ac:dyDescent="0.25">
      <c r="D339" s="68">
        <v>44889</v>
      </c>
      <c r="E339" s="69">
        <v>18484.099999999999</v>
      </c>
    </row>
    <row r="340" spans="4:5" x14ac:dyDescent="0.25">
      <c r="D340" s="68">
        <v>44888</v>
      </c>
      <c r="E340" s="69">
        <v>18267.25</v>
      </c>
    </row>
    <row r="341" spans="4:5" x14ac:dyDescent="0.25">
      <c r="D341" s="68">
        <v>44887</v>
      </c>
      <c r="E341" s="69">
        <v>18244.2</v>
      </c>
    </row>
    <row r="342" spans="4:5" x14ac:dyDescent="0.25">
      <c r="D342" s="68">
        <v>44886</v>
      </c>
      <c r="E342" s="69">
        <v>18159.95</v>
      </c>
    </row>
    <row r="343" spans="4:5" x14ac:dyDescent="0.25">
      <c r="D343" s="68">
        <v>44883</v>
      </c>
      <c r="E343" s="69">
        <v>18307.650000000001</v>
      </c>
    </row>
    <row r="344" spans="4:5" x14ac:dyDescent="0.25">
      <c r="D344" s="68">
        <v>44882</v>
      </c>
      <c r="E344" s="69">
        <v>18343.900000000001</v>
      </c>
    </row>
    <row r="345" spans="4:5" x14ac:dyDescent="0.25">
      <c r="D345" s="68">
        <v>44881</v>
      </c>
      <c r="E345" s="69">
        <v>18409.650000000001</v>
      </c>
    </row>
    <row r="346" spans="4:5" x14ac:dyDescent="0.25">
      <c r="D346" s="68">
        <v>44880</v>
      </c>
      <c r="E346" s="69">
        <v>18403.400000000001</v>
      </c>
    </row>
    <row r="347" spans="4:5" x14ac:dyDescent="0.25">
      <c r="D347" s="68">
        <v>44879</v>
      </c>
      <c r="E347" s="69">
        <v>18329.150000000001</v>
      </c>
    </row>
    <row r="348" spans="4:5" x14ac:dyDescent="0.25">
      <c r="D348" s="68">
        <v>44876</v>
      </c>
      <c r="E348" s="69">
        <v>18349.7</v>
      </c>
    </row>
    <row r="349" spans="4:5" x14ac:dyDescent="0.25">
      <c r="D349" s="68">
        <v>44875</v>
      </c>
      <c r="E349" s="69">
        <v>18028.2</v>
      </c>
    </row>
    <row r="350" spans="4:5" x14ac:dyDescent="0.25">
      <c r="D350" s="68">
        <v>44874</v>
      </c>
      <c r="E350" s="69">
        <v>18157</v>
      </c>
    </row>
    <row r="351" spans="4:5" x14ac:dyDescent="0.25">
      <c r="D351" s="68">
        <v>44872</v>
      </c>
      <c r="E351" s="69">
        <v>18202.8</v>
      </c>
    </row>
    <row r="352" spans="4:5" x14ac:dyDescent="0.25">
      <c r="D352" s="68">
        <v>44869</v>
      </c>
      <c r="E352" s="69">
        <v>18117.150000000001</v>
      </c>
    </row>
    <row r="353" spans="4:5" x14ac:dyDescent="0.25">
      <c r="D353" s="68">
        <v>44868</v>
      </c>
      <c r="E353" s="69">
        <v>18052.7</v>
      </c>
    </row>
    <row r="354" spans="4:5" x14ac:dyDescent="0.25">
      <c r="D354" s="68">
        <v>44867</v>
      </c>
      <c r="E354" s="69">
        <v>18082.849999999999</v>
      </c>
    </row>
    <row r="355" spans="4:5" x14ac:dyDescent="0.25">
      <c r="D355" s="68">
        <v>44866</v>
      </c>
      <c r="E355" s="69">
        <v>18145.400000000001</v>
      </c>
    </row>
    <row r="356" spans="4:5" x14ac:dyDescent="0.25">
      <c r="D356" s="68">
        <v>44865</v>
      </c>
      <c r="E356" s="69">
        <v>18012.2</v>
      </c>
    </row>
    <row r="357" spans="4:5" x14ac:dyDescent="0.25">
      <c r="D357" s="68">
        <v>44862</v>
      </c>
      <c r="E357" s="69">
        <v>17786.8</v>
      </c>
    </row>
    <row r="358" spans="4:5" x14ac:dyDescent="0.25">
      <c r="D358" s="68">
        <v>44861</v>
      </c>
      <c r="E358" s="69">
        <v>17736.95</v>
      </c>
    </row>
    <row r="359" spans="4:5" x14ac:dyDescent="0.25">
      <c r="D359" s="68">
        <v>44859</v>
      </c>
      <c r="E359" s="69">
        <v>17656.349999999999</v>
      </c>
    </row>
    <row r="360" spans="4:5" x14ac:dyDescent="0.25">
      <c r="D360" s="68">
        <v>44858</v>
      </c>
      <c r="E360" s="69">
        <v>17730.75</v>
      </c>
    </row>
    <row r="361" spans="4:5" x14ac:dyDescent="0.25">
      <c r="D361" s="68">
        <v>44855</v>
      </c>
      <c r="E361" s="69">
        <v>17576.3</v>
      </c>
    </row>
    <row r="362" spans="4:5" x14ac:dyDescent="0.25">
      <c r="D362" s="68">
        <v>44854</v>
      </c>
      <c r="E362" s="69">
        <v>17563.95</v>
      </c>
    </row>
    <row r="363" spans="4:5" x14ac:dyDescent="0.25">
      <c r="D363" s="68">
        <v>44853</v>
      </c>
      <c r="E363" s="69">
        <v>17512.25</v>
      </c>
    </row>
    <row r="364" spans="4:5" x14ac:dyDescent="0.25">
      <c r="D364" s="68">
        <v>44852</v>
      </c>
      <c r="E364" s="69">
        <v>17486.95</v>
      </c>
    </row>
    <row r="365" spans="4:5" x14ac:dyDescent="0.25">
      <c r="D365" s="68">
        <v>44851</v>
      </c>
      <c r="E365" s="69">
        <v>17311.8</v>
      </c>
    </row>
    <row r="366" spans="4:5" x14ac:dyDescent="0.25">
      <c r="D366" s="68">
        <v>44848</v>
      </c>
      <c r="E366" s="69">
        <v>17185.7</v>
      </c>
    </row>
    <row r="367" spans="4:5" x14ac:dyDescent="0.25">
      <c r="D367" s="68">
        <v>44847</v>
      </c>
      <c r="E367" s="69">
        <v>17014.349999999999</v>
      </c>
    </row>
    <row r="368" spans="4:5" x14ac:dyDescent="0.25">
      <c r="D368" s="68">
        <v>44846</v>
      </c>
      <c r="E368" s="69">
        <v>17123.599999999999</v>
      </c>
    </row>
    <row r="369" spans="4:5" x14ac:dyDescent="0.25">
      <c r="D369" s="68">
        <v>44845</v>
      </c>
      <c r="E369" s="69">
        <v>16983.55</v>
      </c>
    </row>
    <row r="370" spans="4:5" x14ac:dyDescent="0.25">
      <c r="D370" s="68">
        <v>44844</v>
      </c>
      <c r="E370" s="69">
        <v>17241</v>
      </c>
    </row>
    <row r="371" spans="4:5" x14ac:dyDescent="0.25">
      <c r="D371" s="68">
        <v>44841</v>
      </c>
      <c r="E371" s="69">
        <v>17314.650000000001</v>
      </c>
    </row>
    <row r="372" spans="4:5" x14ac:dyDescent="0.25">
      <c r="D372" s="68">
        <v>44840</v>
      </c>
      <c r="E372" s="69">
        <v>17331.8</v>
      </c>
    </row>
    <row r="373" spans="4:5" x14ac:dyDescent="0.25">
      <c r="D373" s="68">
        <v>44838</v>
      </c>
      <c r="E373" s="69">
        <v>17274.3</v>
      </c>
    </row>
    <row r="374" spans="4:5" x14ac:dyDescent="0.25">
      <c r="D374" s="68">
        <v>44837</v>
      </c>
      <c r="E374" s="69">
        <v>16887.349999999999</v>
      </c>
    </row>
    <row r="375" spans="4:5" x14ac:dyDescent="0.25">
      <c r="D375" s="68">
        <v>44834</v>
      </c>
      <c r="E375" s="69">
        <v>17094.349999999999</v>
      </c>
    </row>
    <row r="376" spans="4:5" x14ac:dyDescent="0.25">
      <c r="D376" s="68">
        <v>44833</v>
      </c>
      <c r="E376" s="69">
        <v>16818.099999999999</v>
      </c>
    </row>
    <row r="377" spans="4:5" x14ac:dyDescent="0.25">
      <c r="D377" s="68">
        <v>44832</v>
      </c>
      <c r="E377" s="69">
        <v>16858.599999999999</v>
      </c>
    </row>
    <row r="378" spans="4:5" x14ac:dyDescent="0.25">
      <c r="D378" s="68">
        <v>44831</v>
      </c>
      <c r="E378" s="69">
        <v>17007.400000000001</v>
      </c>
    </row>
    <row r="379" spans="4:5" x14ac:dyDescent="0.25">
      <c r="D379" s="68">
        <v>44830</v>
      </c>
      <c r="E379" s="69">
        <v>17016.3</v>
      </c>
    </row>
    <row r="380" spans="4:5" x14ac:dyDescent="0.25">
      <c r="D380" s="68">
        <v>44827</v>
      </c>
      <c r="E380" s="69">
        <v>17327.349999999999</v>
      </c>
    </row>
    <row r="381" spans="4:5" x14ac:dyDescent="0.25">
      <c r="D381" s="68">
        <v>44826</v>
      </c>
      <c r="E381" s="69">
        <v>17629.8</v>
      </c>
    </row>
    <row r="382" spans="4:5" x14ac:dyDescent="0.25">
      <c r="D382" s="68">
        <v>44825</v>
      </c>
      <c r="E382" s="69">
        <v>17718.349999999999</v>
      </c>
    </row>
    <row r="383" spans="4:5" x14ac:dyDescent="0.25">
      <c r="D383" s="68">
        <v>44824</v>
      </c>
      <c r="E383" s="69">
        <v>17816.25</v>
      </c>
    </row>
    <row r="384" spans="4:5" x14ac:dyDescent="0.25">
      <c r="D384" s="68">
        <v>44823</v>
      </c>
      <c r="E384" s="69">
        <v>17622.25</v>
      </c>
    </row>
    <row r="385" spans="4:5" x14ac:dyDescent="0.25">
      <c r="D385" s="68">
        <v>44820</v>
      </c>
      <c r="E385" s="69">
        <v>17530.849999999999</v>
      </c>
    </row>
    <row r="386" spans="4:5" x14ac:dyDescent="0.25">
      <c r="D386" s="68">
        <v>44819</v>
      </c>
      <c r="E386" s="69">
        <v>17877.400000000001</v>
      </c>
    </row>
    <row r="387" spans="4:5" x14ac:dyDescent="0.25">
      <c r="D387" s="68">
        <v>44818</v>
      </c>
      <c r="E387" s="69">
        <v>18003.75</v>
      </c>
    </row>
    <row r="388" spans="4:5" x14ac:dyDescent="0.25">
      <c r="D388" s="68">
        <v>44817</v>
      </c>
      <c r="E388" s="69">
        <v>18070.05</v>
      </c>
    </row>
    <row r="389" spans="4:5" x14ac:dyDescent="0.25">
      <c r="D389" s="68">
        <v>44816</v>
      </c>
      <c r="E389" s="69">
        <v>17936.349999999999</v>
      </c>
    </row>
    <row r="390" spans="4:5" x14ac:dyDescent="0.25">
      <c r="D390" s="68">
        <v>44813</v>
      </c>
      <c r="E390" s="69">
        <v>17833.349999999999</v>
      </c>
    </row>
    <row r="391" spans="4:5" x14ac:dyDescent="0.25">
      <c r="D391" s="68">
        <v>44812</v>
      </c>
      <c r="E391" s="69">
        <v>17798.75</v>
      </c>
    </row>
    <row r="392" spans="4:5" x14ac:dyDescent="0.25">
      <c r="D392" s="68">
        <v>44811</v>
      </c>
      <c r="E392" s="69">
        <v>17624.400000000001</v>
      </c>
    </row>
    <row r="393" spans="4:5" x14ac:dyDescent="0.25">
      <c r="D393" s="68">
        <v>44810</v>
      </c>
      <c r="E393" s="69">
        <v>17655.599999999999</v>
      </c>
    </row>
    <row r="394" spans="4:5" x14ac:dyDescent="0.25">
      <c r="D394" s="68">
        <v>44809</v>
      </c>
      <c r="E394" s="69">
        <v>17665.8</v>
      </c>
    </row>
    <row r="395" spans="4:5" x14ac:dyDescent="0.25">
      <c r="D395" s="68">
        <v>44806</v>
      </c>
      <c r="E395" s="69">
        <v>17539.45</v>
      </c>
    </row>
    <row r="396" spans="4:5" x14ac:dyDescent="0.25">
      <c r="D396" s="68">
        <v>44805</v>
      </c>
      <c r="E396" s="69">
        <v>17542.8</v>
      </c>
    </row>
    <row r="397" spans="4:5" x14ac:dyDescent="0.25">
      <c r="D397" s="68">
        <v>44803</v>
      </c>
      <c r="E397" s="69">
        <v>17759.3</v>
      </c>
    </row>
    <row r="398" spans="4:5" x14ac:dyDescent="0.25">
      <c r="D398" s="68">
        <v>44802</v>
      </c>
      <c r="E398" s="69">
        <v>17312.900000000001</v>
      </c>
    </row>
    <row r="399" spans="4:5" x14ac:dyDescent="0.25">
      <c r="D399" s="68">
        <v>44799</v>
      </c>
      <c r="E399" s="69">
        <v>17558.900000000001</v>
      </c>
    </row>
    <row r="400" spans="4:5" x14ac:dyDescent="0.25">
      <c r="D400" s="68">
        <v>44798</v>
      </c>
      <c r="E400" s="69">
        <v>17522.45</v>
      </c>
    </row>
    <row r="401" spans="4:5" x14ac:dyDescent="0.25">
      <c r="D401" s="68">
        <v>44797</v>
      </c>
      <c r="E401" s="69">
        <v>17604.95</v>
      </c>
    </row>
    <row r="402" spans="4:5" x14ac:dyDescent="0.25">
      <c r="D402" s="68">
        <v>44796</v>
      </c>
      <c r="E402" s="69">
        <v>17577.5</v>
      </c>
    </row>
    <row r="403" spans="4:5" x14ac:dyDescent="0.25">
      <c r="D403" s="68">
        <v>44795</v>
      </c>
      <c r="E403" s="69">
        <v>17490.7</v>
      </c>
    </row>
    <row r="404" spans="4:5" x14ac:dyDescent="0.25">
      <c r="D404" s="68">
        <v>44792</v>
      </c>
      <c r="E404" s="69">
        <v>17758.45</v>
      </c>
    </row>
    <row r="405" spans="4:5" x14ac:dyDescent="0.25">
      <c r="D405" s="68">
        <v>44791</v>
      </c>
      <c r="E405" s="69">
        <v>17956.5</v>
      </c>
    </row>
    <row r="406" spans="4:5" x14ac:dyDescent="0.25">
      <c r="D406" s="68">
        <v>44790</v>
      </c>
      <c r="E406" s="69">
        <v>17944.25</v>
      </c>
    </row>
    <row r="407" spans="4:5" x14ac:dyDescent="0.25">
      <c r="D407" s="68">
        <v>44789</v>
      </c>
      <c r="E407" s="69">
        <v>17825.25</v>
      </c>
    </row>
    <row r="408" spans="4:5" x14ac:dyDescent="0.25">
      <c r="D408" s="68">
        <v>44785</v>
      </c>
      <c r="E408" s="69">
        <v>17698.150000000001</v>
      </c>
    </row>
    <row r="409" spans="4:5" x14ac:dyDescent="0.25">
      <c r="D409" s="68">
        <v>44784</v>
      </c>
      <c r="E409" s="69">
        <v>17659</v>
      </c>
    </row>
    <row r="410" spans="4:5" x14ac:dyDescent="0.25">
      <c r="D410" s="68">
        <v>44783</v>
      </c>
      <c r="E410" s="69">
        <v>17534.75</v>
      </c>
    </row>
    <row r="411" spans="4:5" x14ac:dyDescent="0.25">
      <c r="D411" s="68">
        <v>44781</v>
      </c>
      <c r="E411" s="69">
        <v>17525.099999999999</v>
      </c>
    </row>
    <row r="412" spans="4:5" x14ac:dyDescent="0.25">
      <c r="D412" s="68">
        <v>44778</v>
      </c>
      <c r="E412" s="69">
        <v>17397.5</v>
      </c>
    </row>
    <row r="413" spans="4:5" x14ac:dyDescent="0.25">
      <c r="D413" s="68">
        <v>44777</v>
      </c>
      <c r="E413" s="69">
        <v>17382</v>
      </c>
    </row>
    <row r="414" spans="4:5" x14ac:dyDescent="0.25">
      <c r="D414" s="68">
        <v>44776</v>
      </c>
      <c r="E414" s="69">
        <v>17388.150000000001</v>
      </c>
    </row>
    <row r="415" spans="4:5" x14ac:dyDescent="0.25">
      <c r="D415" s="68">
        <v>44775</v>
      </c>
      <c r="E415" s="69">
        <v>17345.45</v>
      </c>
    </row>
    <row r="416" spans="4:5" x14ac:dyDescent="0.25">
      <c r="D416" s="68">
        <v>44774</v>
      </c>
      <c r="E416" s="69">
        <v>17340.05</v>
      </c>
    </row>
    <row r="417" spans="4:5" x14ac:dyDescent="0.25">
      <c r="D417" s="68">
        <v>44771</v>
      </c>
      <c r="E417" s="69">
        <v>17158.25</v>
      </c>
    </row>
    <row r="418" spans="4:5" x14ac:dyDescent="0.25">
      <c r="D418" s="68">
        <v>44770</v>
      </c>
      <c r="E418" s="69">
        <v>16929.599999999999</v>
      </c>
    </row>
    <row r="419" spans="4:5" x14ac:dyDescent="0.25">
      <c r="D419" s="68">
        <v>44769</v>
      </c>
      <c r="E419" s="69">
        <v>16641.8</v>
      </c>
    </row>
    <row r="420" spans="4:5" x14ac:dyDescent="0.25">
      <c r="D420" s="68">
        <v>44768</v>
      </c>
      <c r="E420" s="69">
        <v>16483.849999999999</v>
      </c>
    </row>
    <row r="421" spans="4:5" x14ac:dyDescent="0.25">
      <c r="D421" s="68">
        <v>44767</v>
      </c>
      <c r="E421" s="69">
        <v>16631</v>
      </c>
    </row>
    <row r="422" spans="4:5" x14ac:dyDescent="0.25">
      <c r="D422" s="68">
        <v>44764</v>
      </c>
      <c r="E422" s="69">
        <v>16719.45</v>
      </c>
    </row>
    <row r="423" spans="4:5" x14ac:dyDescent="0.25">
      <c r="D423" s="68">
        <v>44763</v>
      </c>
      <c r="E423" s="69">
        <v>16605.25</v>
      </c>
    </row>
    <row r="424" spans="4:5" x14ac:dyDescent="0.25">
      <c r="D424" s="68">
        <v>44762</v>
      </c>
      <c r="E424" s="69">
        <v>16520.849999999999</v>
      </c>
    </row>
    <row r="425" spans="4:5" x14ac:dyDescent="0.25">
      <c r="D425" s="68">
        <v>44761</v>
      </c>
      <c r="E425" s="69">
        <v>16340.55</v>
      </c>
    </row>
    <row r="426" spans="4:5" x14ac:dyDescent="0.25">
      <c r="D426" s="68">
        <v>44760</v>
      </c>
      <c r="E426" s="69">
        <v>16278.5</v>
      </c>
    </row>
    <row r="427" spans="4:5" x14ac:dyDescent="0.25">
      <c r="D427" s="68">
        <v>44757</v>
      </c>
      <c r="E427" s="69">
        <v>16049.2</v>
      </c>
    </row>
    <row r="428" spans="4:5" x14ac:dyDescent="0.25">
      <c r="D428" s="68">
        <v>44756</v>
      </c>
      <c r="E428" s="69">
        <v>15938.65</v>
      </c>
    </row>
    <row r="429" spans="4:5" x14ac:dyDescent="0.25">
      <c r="D429" s="68">
        <v>44755</v>
      </c>
      <c r="E429" s="69">
        <v>15966.65</v>
      </c>
    </row>
    <row r="430" spans="4:5" x14ac:dyDescent="0.25">
      <c r="D430" s="68">
        <v>44754</v>
      </c>
      <c r="E430" s="69">
        <v>16058.3</v>
      </c>
    </row>
    <row r="431" spans="4:5" x14ac:dyDescent="0.25">
      <c r="D431" s="68">
        <v>44753</v>
      </c>
      <c r="E431" s="69">
        <v>16216</v>
      </c>
    </row>
    <row r="432" spans="4:5" x14ac:dyDescent="0.25">
      <c r="D432" s="68">
        <v>44750</v>
      </c>
      <c r="E432" s="69">
        <v>16220.6</v>
      </c>
    </row>
    <row r="433" spans="4:5" x14ac:dyDescent="0.25">
      <c r="D433" s="68">
        <v>44749</v>
      </c>
      <c r="E433" s="69">
        <v>16132.9</v>
      </c>
    </row>
    <row r="434" spans="4:5" x14ac:dyDescent="0.25">
      <c r="D434" s="68">
        <v>44748</v>
      </c>
      <c r="E434" s="69">
        <v>15989.8</v>
      </c>
    </row>
    <row r="435" spans="4:5" x14ac:dyDescent="0.25">
      <c r="D435" s="68">
        <v>44747</v>
      </c>
      <c r="E435" s="69">
        <v>15810.85</v>
      </c>
    </row>
    <row r="436" spans="4:5" x14ac:dyDescent="0.25">
      <c r="D436" s="68">
        <v>44746</v>
      </c>
      <c r="E436" s="69">
        <v>15835.35</v>
      </c>
    </row>
    <row r="437" spans="4:5" x14ac:dyDescent="0.25">
      <c r="D437" s="68">
        <v>44743</v>
      </c>
      <c r="E437" s="69">
        <v>15752.05</v>
      </c>
    </row>
    <row r="438" spans="4:5" x14ac:dyDescent="0.25">
      <c r="D438" s="68">
        <v>44742</v>
      </c>
      <c r="E438" s="69">
        <v>15780.25</v>
      </c>
    </row>
    <row r="439" spans="4:5" x14ac:dyDescent="0.25">
      <c r="D439" s="68">
        <v>44741</v>
      </c>
      <c r="E439" s="69">
        <v>15799.1</v>
      </c>
    </row>
    <row r="440" spans="4:5" x14ac:dyDescent="0.25">
      <c r="D440" s="68">
        <v>44740</v>
      </c>
      <c r="E440" s="69">
        <v>15850.2</v>
      </c>
    </row>
    <row r="441" spans="4:5" x14ac:dyDescent="0.25">
      <c r="D441" s="68">
        <v>44739</v>
      </c>
      <c r="E441" s="69">
        <v>15832.05</v>
      </c>
    </row>
    <row r="442" spans="4:5" x14ac:dyDescent="0.25">
      <c r="D442" s="68">
        <v>44736</v>
      </c>
      <c r="E442" s="69">
        <v>15699.25</v>
      </c>
    </row>
    <row r="443" spans="4:5" x14ac:dyDescent="0.25">
      <c r="D443" s="68">
        <v>44735</v>
      </c>
      <c r="E443" s="69">
        <v>15556.65</v>
      </c>
    </row>
    <row r="444" spans="4:5" x14ac:dyDescent="0.25">
      <c r="D444" s="68">
        <v>44734</v>
      </c>
      <c r="E444" s="69">
        <v>15413.3</v>
      </c>
    </row>
    <row r="445" spans="4:5" x14ac:dyDescent="0.25">
      <c r="D445" s="68">
        <v>44733</v>
      </c>
      <c r="E445" s="69">
        <v>15638.8</v>
      </c>
    </row>
    <row r="446" spans="4:5" x14ac:dyDescent="0.25">
      <c r="D446" s="68">
        <v>44732</v>
      </c>
      <c r="E446" s="69">
        <v>15350.15</v>
      </c>
    </row>
    <row r="447" spans="4:5" x14ac:dyDescent="0.25">
      <c r="D447" s="68">
        <v>44729</v>
      </c>
      <c r="E447" s="69">
        <v>15293.5</v>
      </c>
    </row>
    <row r="448" spans="4:5" x14ac:dyDescent="0.25">
      <c r="D448" s="68">
        <v>44728</v>
      </c>
      <c r="E448" s="69">
        <v>15360.6</v>
      </c>
    </row>
    <row r="449" spans="4:5" x14ac:dyDescent="0.25">
      <c r="D449" s="68">
        <v>44727</v>
      </c>
      <c r="E449" s="69">
        <v>15692.15</v>
      </c>
    </row>
    <row r="450" spans="4:5" x14ac:dyDescent="0.25">
      <c r="D450" s="68">
        <v>44726</v>
      </c>
      <c r="E450" s="69">
        <v>15732.1</v>
      </c>
    </row>
    <row r="451" spans="4:5" x14ac:dyDescent="0.25">
      <c r="D451" s="68">
        <v>44725</v>
      </c>
      <c r="E451" s="69">
        <v>15774.4</v>
      </c>
    </row>
    <row r="452" spans="4:5" x14ac:dyDescent="0.25">
      <c r="D452" s="68">
        <v>44722</v>
      </c>
      <c r="E452" s="69">
        <v>16201.8</v>
      </c>
    </row>
    <row r="453" spans="4:5" x14ac:dyDescent="0.25">
      <c r="D453" s="68">
        <v>44721</v>
      </c>
      <c r="E453" s="69">
        <v>16478.099999999999</v>
      </c>
    </row>
    <row r="454" spans="4:5" x14ac:dyDescent="0.25">
      <c r="D454" s="68">
        <v>44720</v>
      </c>
      <c r="E454" s="69">
        <v>16356.25</v>
      </c>
    </row>
    <row r="455" spans="4:5" x14ac:dyDescent="0.25">
      <c r="D455" s="68">
        <v>44719</v>
      </c>
      <c r="E455" s="69">
        <v>16416.349999999999</v>
      </c>
    </row>
    <row r="456" spans="4:5" x14ac:dyDescent="0.25">
      <c r="D456" s="68">
        <v>44718</v>
      </c>
      <c r="E456" s="69">
        <v>16569.55</v>
      </c>
    </row>
    <row r="457" spans="4:5" x14ac:dyDescent="0.25">
      <c r="D457" s="68">
        <v>44715</v>
      </c>
      <c r="E457" s="69">
        <v>16584.3</v>
      </c>
    </row>
    <row r="458" spans="4:5" x14ac:dyDescent="0.25">
      <c r="D458" s="68">
        <v>44714</v>
      </c>
      <c r="E458" s="69">
        <v>16628</v>
      </c>
    </row>
    <row r="459" spans="4:5" x14ac:dyDescent="0.25">
      <c r="D459" s="68">
        <v>44713</v>
      </c>
      <c r="E459" s="69">
        <v>16522.75</v>
      </c>
    </row>
    <row r="460" spans="4:5" x14ac:dyDescent="0.25">
      <c r="D460" s="68">
        <v>44712</v>
      </c>
      <c r="E460" s="69">
        <v>16584.55</v>
      </c>
    </row>
    <row r="461" spans="4:5" x14ac:dyDescent="0.25">
      <c r="D461" s="68">
        <v>44711</v>
      </c>
      <c r="E461" s="69">
        <v>16661.400000000001</v>
      </c>
    </row>
    <row r="462" spans="4:5" x14ac:dyDescent="0.25">
      <c r="D462" s="68">
        <v>44708</v>
      </c>
      <c r="E462" s="69">
        <v>16352.45</v>
      </c>
    </row>
    <row r="463" spans="4:5" x14ac:dyDescent="0.25">
      <c r="D463" s="68">
        <v>44707</v>
      </c>
      <c r="E463" s="69">
        <v>16170.15</v>
      </c>
    </row>
    <row r="464" spans="4:5" x14ac:dyDescent="0.25">
      <c r="D464" s="68">
        <v>44706</v>
      </c>
      <c r="E464" s="69">
        <v>16025.8</v>
      </c>
    </row>
    <row r="465" spans="4:5" x14ac:dyDescent="0.25">
      <c r="D465" s="68">
        <v>44705</v>
      </c>
      <c r="E465" s="69">
        <v>16125.15</v>
      </c>
    </row>
    <row r="466" spans="4:5" x14ac:dyDescent="0.25">
      <c r="D466" s="68">
        <v>44704</v>
      </c>
      <c r="E466" s="69">
        <v>16214.7</v>
      </c>
    </row>
    <row r="467" spans="4:5" x14ac:dyDescent="0.25">
      <c r="D467" s="68">
        <v>44701</v>
      </c>
      <c r="E467" s="69">
        <v>16266.15</v>
      </c>
    </row>
    <row r="468" spans="4:5" x14ac:dyDescent="0.25">
      <c r="D468" s="68">
        <v>44700</v>
      </c>
      <c r="E468" s="69">
        <v>15809.4</v>
      </c>
    </row>
    <row r="469" spans="4:5" x14ac:dyDescent="0.25">
      <c r="D469" s="68">
        <v>44699</v>
      </c>
      <c r="E469" s="69">
        <v>16240.3</v>
      </c>
    </row>
    <row r="470" spans="4:5" x14ac:dyDescent="0.25">
      <c r="D470" s="68">
        <v>44698</v>
      </c>
      <c r="E470" s="69">
        <v>16259.3</v>
      </c>
    </row>
    <row r="471" spans="4:5" x14ac:dyDescent="0.25">
      <c r="D471" s="68">
        <v>44697</v>
      </c>
      <c r="E471" s="69">
        <v>15842.3</v>
      </c>
    </row>
    <row r="472" spans="4:5" x14ac:dyDescent="0.25">
      <c r="D472" s="68">
        <v>44694</v>
      </c>
      <c r="E472" s="69">
        <v>15782.15</v>
      </c>
    </row>
    <row r="473" spans="4:5" x14ac:dyDescent="0.25">
      <c r="D473" s="68">
        <v>44693</v>
      </c>
      <c r="E473" s="69">
        <v>15808</v>
      </c>
    </row>
    <row r="474" spans="4:5" x14ac:dyDescent="0.25">
      <c r="D474" s="68">
        <v>44692</v>
      </c>
      <c r="E474" s="69">
        <v>16167.1</v>
      </c>
    </row>
    <row r="475" spans="4:5" x14ac:dyDescent="0.25">
      <c r="D475" s="68">
        <v>44691</v>
      </c>
      <c r="E475" s="69">
        <v>16240.05</v>
      </c>
    </row>
    <row r="476" spans="4:5" x14ac:dyDescent="0.25">
      <c r="D476" s="68">
        <v>44690</v>
      </c>
      <c r="E476" s="69">
        <v>16301.85</v>
      </c>
    </row>
    <row r="477" spans="4:5" x14ac:dyDescent="0.25">
      <c r="D477" s="68">
        <v>44687</v>
      </c>
      <c r="E477" s="69">
        <v>16411.25</v>
      </c>
    </row>
    <row r="478" spans="4:5" x14ac:dyDescent="0.25">
      <c r="D478" s="68">
        <v>44686</v>
      </c>
      <c r="E478" s="69">
        <v>16682.650000000001</v>
      </c>
    </row>
    <row r="479" spans="4:5" x14ac:dyDescent="0.25">
      <c r="D479" s="68">
        <v>44685</v>
      </c>
      <c r="E479" s="69">
        <v>16677.599999999999</v>
      </c>
    </row>
    <row r="480" spans="4:5" x14ac:dyDescent="0.25">
      <c r="D480" s="68">
        <v>44683</v>
      </c>
      <c r="E480" s="69">
        <v>17069.099999999999</v>
      </c>
    </row>
    <row r="481" spans="4:5" x14ac:dyDescent="0.25">
      <c r="D481" s="68">
        <v>44680</v>
      </c>
      <c r="E481" s="69">
        <v>17102.55</v>
      </c>
    </row>
    <row r="482" spans="4:5" x14ac:dyDescent="0.25">
      <c r="D482" s="68">
        <v>44679</v>
      </c>
      <c r="E482" s="69">
        <v>17245.05</v>
      </c>
    </row>
    <row r="483" spans="4:5" x14ac:dyDescent="0.25">
      <c r="D483" s="68">
        <v>44678</v>
      </c>
      <c r="E483" s="69">
        <v>17038.400000000001</v>
      </c>
    </row>
    <row r="484" spans="4:5" x14ac:dyDescent="0.25">
      <c r="D484" s="68">
        <v>44677</v>
      </c>
      <c r="E484" s="69">
        <v>17200.8</v>
      </c>
    </row>
    <row r="485" spans="4:5" x14ac:dyDescent="0.25">
      <c r="D485" s="68">
        <v>44676</v>
      </c>
      <c r="E485" s="69">
        <v>16953.95</v>
      </c>
    </row>
    <row r="486" spans="4:5" x14ac:dyDescent="0.25">
      <c r="D486" s="68">
        <v>44673</v>
      </c>
      <c r="E486" s="69">
        <v>17171.95</v>
      </c>
    </row>
    <row r="487" spans="4:5" x14ac:dyDescent="0.25">
      <c r="D487" s="68">
        <v>44672</v>
      </c>
      <c r="E487" s="69">
        <v>17392.599999999999</v>
      </c>
    </row>
    <row r="488" spans="4:5" x14ac:dyDescent="0.25">
      <c r="D488" s="68">
        <v>44671</v>
      </c>
      <c r="E488" s="69">
        <v>17136.55</v>
      </c>
    </row>
    <row r="489" spans="4:5" x14ac:dyDescent="0.25">
      <c r="D489" s="68">
        <v>44670</v>
      </c>
      <c r="E489" s="69">
        <v>16958.650000000001</v>
      </c>
    </row>
    <row r="490" spans="4:5" x14ac:dyDescent="0.25">
      <c r="D490" s="68">
        <v>44669</v>
      </c>
      <c r="E490" s="69">
        <v>17173.650000000001</v>
      </c>
    </row>
    <row r="491" spans="4:5" x14ac:dyDescent="0.25">
      <c r="D491" s="68">
        <v>44664</v>
      </c>
      <c r="E491" s="69">
        <v>17475.650000000001</v>
      </c>
    </row>
    <row r="492" spans="4:5" x14ac:dyDescent="0.25">
      <c r="D492" s="68">
        <v>44663</v>
      </c>
      <c r="E492" s="69">
        <v>17530.3</v>
      </c>
    </row>
    <row r="493" spans="4:5" x14ac:dyDescent="0.25">
      <c r="D493" s="68">
        <v>44662</v>
      </c>
      <c r="E493" s="69">
        <v>17674.95</v>
      </c>
    </row>
    <row r="494" spans="4:5" x14ac:dyDescent="0.25">
      <c r="D494" s="68">
        <v>44659</v>
      </c>
      <c r="E494" s="69">
        <v>17784.349999999999</v>
      </c>
    </row>
    <row r="495" spans="4:5" x14ac:dyDescent="0.25">
      <c r="D495" s="68">
        <v>44658</v>
      </c>
      <c r="E495" s="69">
        <v>17639.55</v>
      </c>
    </row>
    <row r="496" spans="4:5" x14ac:dyDescent="0.25">
      <c r="D496" s="68">
        <v>44657</v>
      </c>
      <c r="E496" s="69">
        <v>17807.650000000001</v>
      </c>
    </row>
    <row r="497" spans="4:5" x14ac:dyDescent="0.25">
      <c r="D497" s="68">
        <v>44656</v>
      </c>
      <c r="E497" s="69">
        <v>17957.400000000001</v>
      </c>
    </row>
    <row r="498" spans="4:5" x14ac:dyDescent="0.25">
      <c r="D498" s="68">
        <v>44655</v>
      </c>
      <c r="E498" s="69">
        <v>18053.400000000001</v>
      </c>
    </row>
    <row r="499" spans="4:5" x14ac:dyDescent="0.25">
      <c r="D499" s="68">
        <v>44652</v>
      </c>
      <c r="E499" s="69">
        <v>17670.45</v>
      </c>
    </row>
    <row r="500" spans="4:5" x14ac:dyDescent="0.25">
      <c r="D500" s="68">
        <v>44651</v>
      </c>
      <c r="E500" s="69">
        <v>17464.75</v>
      </c>
    </row>
    <row r="501" spans="4:5" x14ac:dyDescent="0.25">
      <c r="D501" s="68">
        <v>44650</v>
      </c>
      <c r="E501" s="69">
        <v>17498.25</v>
      </c>
    </row>
    <row r="502" spans="4:5" x14ac:dyDescent="0.25">
      <c r="D502" s="68">
        <v>44649</v>
      </c>
      <c r="E502" s="69">
        <v>17325.3</v>
      </c>
    </row>
    <row r="503" spans="4:5" x14ac:dyDescent="0.25">
      <c r="D503" s="68">
        <v>44648</v>
      </c>
      <c r="E503" s="69">
        <v>17222</v>
      </c>
    </row>
    <row r="504" spans="4:5" x14ac:dyDescent="0.25">
      <c r="D504" s="68">
        <v>44645</v>
      </c>
      <c r="E504" s="69">
        <v>17153</v>
      </c>
    </row>
    <row r="505" spans="4:5" x14ac:dyDescent="0.25">
      <c r="D505" s="68">
        <v>44644</v>
      </c>
      <c r="E505" s="69">
        <v>17222.75</v>
      </c>
    </row>
    <row r="506" spans="4:5" x14ac:dyDescent="0.25">
      <c r="D506" s="68">
        <v>44643</v>
      </c>
      <c r="E506" s="69">
        <v>17245.650000000001</v>
      </c>
    </row>
    <row r="507" spans="4:5" x14ac:dyDescent="0.25">
      <c r="D507" s="68">
        <v>44642</v>
      </c>
      <c r="E507" s="69">
        <v>17315.5</v>
      </c>
    </row>
    <row r="508" spans="4:5" x14ac:dyDescent="0.25">
      <c r="D508" s="68">
        <v>44641</v>
      </c>
      <c r="E508" s="69">
        <v>17117.599999999999</v>
      </c>
    </row>
    <row r="509" spans="4:5" x14ac:dyDescent="0.25">
      <c r="D509" s="68">
        <v>44637</v>
      </c>
      <c r="E509" s="69">
        <v>17287.05</v>
      </c>
    </row>
    <row r="510" spans="4:5" x14ac:dyDescent="0.25">
      <c r="D510" s="68">
        <v>44636</v>
      </c>
      <c r="E510" s="69">
        <v>16975.349999999999</v>
      </c>
    </row>
    <row r="511" spans="4:5" x14ac:dyDescent="0.25">
      <c r="D511" s="68">
        <v>44635</v>
      </c>
      <c r="E511" s="69">
        <v>16663</v>
      </c>
    </row>
    <row r="512" spans="4:5" x14ac:dyDescent="0.25">
      <c r="D512" s="68">
        <v>44634</v>
      </c>
      <c r="E512" s="69">
        <v>16871.3</v>
      </c>
    </row>
    <row r="513" spans="4:5" x14ac:dyDescent="0.25">
      <c r="D513" s="68">
        <v>44631</v>
      </c>
      <c r="E513" s="69">
        <v>16630.45</v>
      </c>
    </row>
    <row r="514" spans="4:5" x14ac:dyDescent="0.25">
      <c r="D514" s="68">
        <v>44630</v>
      </c>
      <c r="E514" s="69">
        <v>16594.900000000001</v>
      </c>
    </row>
    <row r="515" spans="4:5" x14ac:dyDescent="0.25">
      <c r="D515" s="68">
        <v>44629</v>
      </c>
      <c r="E515" s="69">
        <v>16345.35</v>
      </c>
    </row>
    <row r="516" spans="4:5" x14ac:dyDescent="0.25">
      <c r="D516" s="68">
        <v>44628</v>
      </c>
      <c r="E516" s="69">
        <v>16013.45</v>
      </c>
    </row>
    <row r="517" spans="4:5" x14ac:dyDescent="0.25">
      <c r="D517" s="68">
        <v>44627</v>
      </c>
      <c r="E517" s="69">
        <v>15863.15</v>
      </c>
    </row>
    <row r="518" spans="4:5" x14ac:dyDescent="0.25">
      <c r="D518" s="68">
        <v>44624</v>
      </c>
      <c r="E518" s="69">
        <v>16245.35</v>
      </c>
    </row>
    <row r="519" spans="4:5" x14ac:dyDescent="0.25">
      <c r="D519" s="68">
        <v>44623</v>
      </c>
      <c r="E519" s="69">
        <v>16498.05</v>
      </c>
    </row>
    <row r="520" spans="4:5" x14ac:dyDescent="0.25">
      <c r="D520" s="68">
        <v>44622</v>
      </c>
      <c r="E520" s="69">
        <v>16605.95</v>
      </c>
    </row>
    <row r="521" spans="4:5" x14ac:dyDescent="0.25">
      <c r="D521" s="68">
        <v>44620</v>
      </c>
      <c r="E521" s="69">
        <v>16793.900000000001</v>
      </c>
    </row>
    <row r="522" spans="4:5" x14ac:dyDescent="0.25">
      <c r="D522" s="68">
        <v>44617</v>
      </c>
      <c r="E522" s="69">
        <v>16658.400000000001</v>
      </c>
    </row>
    <row r="523" spans="4:5" x14ac:dyDescent="0.25">
      <c r="D523" s="68">
        <v>44616</v>
      </c>
      <c r="E523" s="69">
        <v>16247.95</v>
      </c>
    </row>
    <row r="524" spans="4:5" x14ac:dyDescent="0.25">
      <c r="D524" s="68">
        <v>44615</v>
      </c>
      <c r="E524" s="69">
        <v>17063.25</v>
      </c>
    </row>
    <row r="525" spans="4:5" x14ac:dyDescent="0.25">
      <c r="D525" s="68">
        <v>44614</v>
      </c>
      <c r="E525" s="69">
        <v>17092.2</v>
      </c>
    </row>
    <row r="526" spans="4:5" x14ac:dyDescent="0.25">
      <c r="D526" s="68">
        <v>44613</v>
      </c>
      <c r="E526" s="69">
        <v>17206.650000000001</v>
      </c>
    </row>
    <row r="527" spans="4:5" x14ac:dyDescent="0.25">
      <c r="D527" s="68">
        <v>44610</v>
      </c>
      <c r="E527" s="69">
        <v>17276.3</v>
      </c>
    </row>
    <row r="528" spans="4:5" x14ac:dyDescent="0.25">
      <c r="D528" s="68">
        <v>44609</v>
      </c>
      <c r="E528" s="69">
        <v>17304.599999999999</v>
      </c>
    </row>
    <row r="529" spans="4:5" x14ac:dyDescent="0.25">
      <c r="D529" s="68">
        <v>44608</v>
      </c>
      <c r="E529" s="69">
        <v>17322.2</v>
      </c>
    </row>
    <row r="530" spans="4:5" x14ac:dyDescent="0.25">
      <c r="D530" s="68">
        <v>44607</v>
      </c>
      <c r="E530" s="69">
        <v>17352.45</v>
      </c>
    </row>
    <row r="531" spans="4:5" x14ac:dyDescent="0.25">
      <c r="D531" s="68">
        <v>44606</v>
      </c>
      <c r="E531" s="69">
        <v>16842.8</v>
      </c>
    </row>
    <row r="532" spans="4:5" x14ac:dyDescent="0.25">
      <c r="D532" s="68">
        <v>44603</v>
      </c>
      <c r="E532" s="69">
        <v>17374.75</v>
      </c>
    </row>
    <row r="533" spans="4:5" x14ac:dyDescent="0.25">
      <c r="D533" s="68">
        <v>44602</v>
      </c>
      <c r="E533" s="69">
        <v>17605.849999999999</v>
      </c>
    </row>
    <row r="534" spans="4:5" x14ac:dyDescent="0.25">
      <c r="D534" s="68">
        <v>44601</v>
      </c>
      <c r="E534" s="69">
        <v>17463.8</v>
      </c>
    </row>
    <row r="535" spans="4:5" x14ac:dyDescent="0.25">
      <c r="D535" s="68">
        <v>44600</v>
      </c>
      <c r="E535" s="69">
        <v>17266.75</v>
      </c>
    </row>
    <row r="536" spans="4:5" x14ac:dyDescent="0.25">
      <c r="D536" s="68">
        <v>44599</v>
      </c>
      <c r="E536" s="69">
        <v>17213.599999999999</v>
      </c>
    </row>
    <row r="537" spans="4:5" x14ac:dyDescent="0.25">
      <c r="D537" s="68">
        <v>44596</v>
      </c>
      <c r="E537" s="69">
        <v>17516.3</v>
      </c>
    </row>
    <row r="538" spans="4:5" x14ac:dyDescent="0.25">
      <c r="D538" s="68">
        <v>44595</v>
      </c>
      <c r="E538" s="69">
        <v>17560.2</v>
      </c>
    </row>
    <row r="539" spans="4:5" x14ac:dyDescent="0.25">
      <c r="D539" s="68">
        <v>44594</v>
      </c>
      <c r="E539" s="69">
        <v>17780</v>
      </c>
    </row>
    <row r="540" spans="4:5" x14ac:dyDescent="0.25">
      <c r="D540" s="68">
        <v>44593</v>
      </c>
      <c r="E540" s="69">
        <v>17576.849999999999</v>
      </c>
    </row>
    <row r="541" spans="4:5" x14ac:dyDescent="0.25">
      <c r="D541" s="68">
        <v>44592</v>
      </c>
      <c r="E541" s="69">
        <v>17339.849999999999</v>
      </c>
    </row>
    <row r="542" spans="4:5" x14ac:dyDescent="0.25">
      <c r="D542" s="68">
        <v>44589</v>
      </c>
      <c r="E542" s="69">
        <v>17101.95</v>
      </c>
    </row>
    <row r="543" spans="4:5" x14ac:dyDescent="0.25">
      <c r="D543" s="68">
        <v>44588</v>
      </c>
      <c r="E543" s="69">
        <v>17110.150000000001</v>
      </c>
    </row>
    <row r="544" spans="4:5" x14ac:dyDescent="0.25">
      <c r="D544" s="68">
        <v>44586</v>
      </c>
      <c r="E544" s="69">
        <v>17277.95</v>
      </c>
    </row>
    <row r="545" spans="4:5" x14ac:dyDescent="0.25">
      <c r="D545" s="68">
        <v>44585</v>
      </c>
      <c r="E545" s="69">
        <v>17149.099999999999</v>
      </c>
    </row>
    <row r="546" spans="4:5" x14ac:dyDescent="0.25">
      <c r="D546" s="68">
        <v>44582</v>
      </c>
      <c r="E546" s="69">
        <v>17617.150000000001</v>
      </c>
    </row>
    <row r="547" spans="4:5" x14ac:dyDescent="0.25">
      <c r="D547" s="68">
        <v>44581</v>
      </c>
      <c r="E547" s="69">
        <v>17757</v>
      </c>
    </row>
    <row r="548" spans="4:5" x14ac:dyDescent="0.25">
      <c r="D548" s="68">
        <v>44580</v>
      </c>
      <c r="E548" s="69">
        <v>17938.400000000001</v>
      </c>
    </row>
    <row r="549" spans="4:5" x14ac:dyDescent="0.25">
      <c r="D549" s="68">
        <v>44579</v>
      </c>
      <c r="E549" s="69">
        <v>18113.05</v>
      </c>
    </row>
    <row r="550" spans="4:5" x14ac:dyDescent="0.25">
      <c r="D550" s="68">
        <v>44578</v>
      </c>
      <c r="E550" s="69">
        <v>18308.099999999999</v>
      </c>
    </row>
    <row r="551" spans="4:5" x14ac:dyDescent="0.25">
      <c r="D551" s="68">
        <v>44575</v>
      </c>
      <c r="E551" s="69">
        <v>18255.75</v>
      </c>
    </row>
    <row r="552" spans="4:5" x14ac:dyDescent="0.25">
      <c r="D552" s="68">
        <v>44574</v>
      </c>
      <c r="E552" s="69">
        <v>18257.8</v>
      </c>
    </row>
    <row r="553" spans="4:5" x14ac:dyDescent="0.25">
      <c r="D553" s="68">
        <v>44573</v>
      </c>
      <c r="E553" s="69">
        <v>18212.349999999999</v>
      </c>
    </row>
    <row r="554" spans="4:5" x14ac:dyDescent="0.25">
      <c r="D554" s="68">
        <v>44572</v>
      </c>
      <c r="E554" s="69">
        <v>18055.75</v>
      </c>
    </row>
    <row r="555" spans="4:5" x14ac:dyDescent="0.25">
      <c r="D555" s="68">
        <v>44571</v>
      </c>
      <c r="E555" s="69">
        <v>18003.3</v>
      </c>
    </row>
    <row r="556" spans="4:5" x14ac:dyDescent="0.25">
      <c r="D556" s="68">
        <v>44568</v>
      </c>
      <c r="E556" s="69">
        <v>17812.7</v>
      </c>
    </row>
    <row r="557" spans="4:5" x14ac:dyDescent="0.25">
      <c r="D557" s="68">
        <v>44567</v>
      </c>
      <c r="E557" s="69">
        <v>17745.900000000001</v>
      </c>
    </row>
    <row r="558" spans="4:5" x14ac:dyDescent="0.25">
      <c r="D558" s="68">
        <v>44566</v>
      </c>
      <c r="E558" s="69">
        <v>17925.25</v>
      </c>
    </row>
    <row r="559" spans="4:5" x14ac:dyDescent="0.25">
      <c r="D559" s="68">
        <v>44565</v>
      </c>
      <c r="E559" s="69">
        <v>17805.25</v>
      </c>
    </row>
    <row r="560" spans="4:5" x14ac:dyDescent="0.25">
      <c r="D560" s="68">
        <v>44564</v>
      </c>
      <c r="E560" s="69">
        <v>17625.7</v>
      </c>
    </row>
    <row r="561" spans="4:5" x14ac:dyDescent="0.25">
      <c r="D561" s="68">
        <v>44561</v>
      </c>
      <c r="E561" s="69">
        <v>17354.05</v>
      </c>
    </row>
    <row r="562" spans="4:5" x14ac:dyDescent="0.25">
      <c r="D562" s="68">
        <v>44560</v>
      </c>
      <c r="E562" s="69">
        <v>17203.95</v>
      </c>
    </row>
    <row r="563" spans="4:5" x14ac:dyDescent="0.25">
      <c r="D563" s="68">
        <v>44559</v>
      </c>
      <c r="E563" s="69">
        <v>17213.599999999999</v>
      </c>
    </row>
    <row r="564" spans="4:5" x14ac:dyDescent="0.25">
      <c r="D564" s="68">
        <v>44558</v>
      </c>
      <c r="E564" s="69">
        <v>17233.25</v>
      </c>
    </row>
    <row r="565" spans="4:5" x14ac:dyDescent="0.25">
      <c r="D565" s="68">
        <v>44557</v>
      </c>
      <c r="E565" s="69">
        <v>17086.25</v>
      </c>
    </row>
    <row r="566" spans="4:5" x14ac:dyDescent="0.25">
      <c r="D566" s="68">
        <v>44554</v>
      </c>
      <c r="E566" s="69">
        <v>17003.75</v>
      </c>
    </row>
    <row r="567" spans="4:5" x14ac:dyDescent="0.25">
      <c r="D567" s="68">
        <v>44553</v>
      </c>
      <c r="E567" s="69">
        <v>17072.599999999999</v>
      </c>
    </row>
    <row r="568" spans="4:5" x14ac:dyDescent="0.25">
      <c r="D568" s="68">
        <v>44552</v>
      </c>
      <c r="E568" s="69">
        <v>16955.45</v>
      </c>
    </row>
    <row r="569" spans="4:5" x14ac:dyDescent="0.25">
      <c r="D569" s="68">
        <v>44551</v>
      </c>
      <c r="E569" s="69">
        <v>16770.849999999999</v>
      </c>
    </row>
    <row r="570" spans="4:5" x14ac:dyDescent="0.25">
      <c r="D570" s="68">
        <v>44550</v>
      </c>
      <c r="E570" s="69">
        <v>16614.2</v>
      </c>
    </row>
    <row r="571" spans="4:5" x14ac:dyDescent="0.25">
      <c r="D571" s="68">
        <v>44547</v>
      </c>
      <c r="E571" s="69">
        <v>16985.2</v>
      </c>
    </row>
    <row r="572" spans="4:5" x14ac:dyDescent="0.25">
      <c r="D572" s="68">
        <v>44546</v>
      </c>
      <c r="E572" s="69">
        <v>17248.400000000001</v>
      </c>
    </row>
    <row r="573" spans="4:5" x14ac:dyDescent="0.25">
      <c r="D573" s="68">
        <v>44545</v>
      </c>
      <c r="E573" s="69">
        <v>17221.400000000001</v>
      </c>
    </row>
    <row r="574" spans="4:5" x14ac:dyDescent="0.25">
      <c r="D574" s="68">
        <v>44544</v>
      </c>
      <c r="E574" s="69">
        <v>17324.900000000001</v>
      </c>
    </row>
    <row r="575" spans="4:5" x14ac:dyDescent="0.25">
      <c r="D575" s="68">
        <v>44543</v>
      </c>
      <c r="E575" s="69">
        <v>17368.25</v>
      </c>
    </row>
    <row r="576" spans="4:5" x14ac:dyDescent="0.25">
      <c r="D576" s="68">
        <v>44540</v>
      </c>
      <c r="E576" s="69">
        <v>17511.3</v>
      </c>
    </row>
    <row r="577" spans="4:5" x14ac:dyDescent="0.25">
      <c r="D577" s="68">
        <v>44539</v>
      </c>
      <c r="E577" s="69">
        <v>17516.849999999999</v>
      </c>
    </row>
    <row r="578" spans="4:5" x14ac:dyDescent="0.25">
      <c r="D578" s="68">
        <v>44538</v>
      </c>
      <c r="E578" s="69">
        <v>17469.75</v>
      </c>
    </row>
    <row r="579" spans="4:5" x14ac:dyDescent="0.25">
      <c r="D579" s="68">
        <v>44537</v>
      </c>
      <c r="E579" s="69">
        <v>17176.7</v>
      </c>
    </row>
    <row r="580" spans="4:5" x14ac:dyDescent="0.25">
      <c r="D580" s="68">
        <v>44536</v>
      </c>
      <c r="E580" s="69">
        <v>16912.25</v>
      </c>
    </row>
    <row r="581" spans="4:5" x14ac:dyDescent="0.25">
      <c r="D581" s="68">
        <v>44533</v>
      </c>
      <c r="E581" s="69">
        <v>17196.7</v>
      </c>
    </row>
    <row r="582" spans="4:5" x14ac:dyDescent="0.25">
      <c r="D582" s="68">
        <v>44532</v>
      </c>
      <c r="E582" s="69">
        <v>17401.650000000001</v>
      </c>
    </row>
    <row r="583" spans="4:5" x14ac:dyDescent="0.25">
      <c r="D583" s="68">
        <v>44531</v>
      </c>
      <c r="E583" s="69">
        <v>17166.900000000001</v>
      </c>
    </row>
    <row r="584" spans="4:5" x14ac:dyDescent="0.25">
      <c r="D584" s="68">
        <v>44530</v>
      </c>
      <c r="E584" s="69">
        <v>16983.2</v>
      </c>
    </row>
    <row r="585" spans="4:5" x14ac:dyDescent="0.25">
      <c r="D585" s="68">
        <v>44529</v>
      </c>
      <c r="E585" s="69">
        <v>17053.95</v>
      </c>
    </row>
    <row r="586" spans="4:5" x14ac:dyDescent="0.25">
      <c r="D586" s="68">
        <v>44526</v>
      </c>
      <c r="E586" s="69">
        <v>17026.45</v>
      </c>
    </row>
    <row r="587" spans="4:5" x14ac:dyDescent="0.25">
      <c r="D587" s="68">
        <v>44525</v>
      </c>
      <c r="E587" s="69">
        <v>17536.25</v>
      </c>
    </row>
    <row r="588" spans="4:5" x14ac:dyDescent="0.25">
      <c r="D588" s="68">
        <v>44524</v>
      </c>
      <c r="E588" s="69">
        <v>17415.05</v>
      </c>
    </row>
    <row r="589" spans="4:5" x14ac:dyDescent="0.25">
      <c r="D589" s="68">
        <v>44523</v>
      </c>
      <c r="E589" s="69">
        <v>17503.349999999999</v>
      </c>
    </row>
    <row r="590" spans="4:5" x14ac:dyDescent="0.25">
      <c r="D590" s="68">
        <v>44522</v>
      </c>
      <c r="E590" s="69">
        <v>17416.55</v>
      </c>
    </row>
    <row r="591" spans="4:5" x14ac:dyDescent="0.25">
      <c r="D591" s="68">
        <v>44518</v>
      </c>
      <c r="E591" s="69">
        <v>17764.8</v>
      </c>
    </row>
    <row r="592" spans="4:5" x14ac:dyDescent="0.25">
      <c r="D592" s="68">
        <v>44517</v>
      </c>
      <c r="E592" s="69">
        <v>17898.650000000001</v>
      </c>
    </row>
    <row r="593" spans="4:5" x14ac:dyDescent="0.25">
      <c r="D593" s="68">
        <v>44516</v>
      </c>
      <c r="E593" s="69">
        <v>17999.2</v>
      </c>
    </row>
    <row r="594" spans="4:5" x14ac:dyDescent="0.25">
      <c r="D594" s="68">
        <v>44515</v>
      </c>
      <c r="E594" s="69">
        <v>18109.45</v>
      </c>
    </row>
    <row r="595" spans="4:5" x14ac:dyDescent="0.25">
      <c r="D595" s="68">
        <v>44512</v>
      </c>
      <c r="E595" s="69">
        <v>18102.75</v>
      </c>
    </row>
    <row r="596" spans="4:5" x14ac:dyDescent="0.25">
      <c r="D596" s="68">
        <v>44511</v>
      </c>
      <c r="E596" s="69">
        <v>17873.599999999999</v>
      </c>
    </row>
    <row r="597" spans="4:5" x14ac:dyDescent="0.25">
      <c r="D597" s="68">
        <v>44510</v>
      </c>
      <c r="E597" s="69">
        <v>18017.2</v>
      </c>
    </row>
    <row r="598" spans="4:5" x14ac:dyDescent="0.25">
      <c r="D598" s="68">
        <v>44509</v>
      </c>
      <c r="E598" s="69">
        <v>18044.25</v>
      </c>
    </row>
    <row r="599" spans="4:5" x14ac:dyDescent="0.25">
      <c r="D599" s="68">
        <v>44508</v>
      </c>
      <c r="E599" s="69">
        <v>18068.55</v>
      </c>
    </row>
    <row r="600" spans="4:5" x14ac:dyDescent="0.25">
      <c r="D600" s="68">
        <v>44504</v>
      </c>
      <c r="E600" s="69">
        <v>17916.8</v>
      </c>
    </row>
    <row r="601" spans="4:5" x14ac:dyDescent="0.25">
      <c r="D601" s="68">
        <v>44503</v>
      </c>
      <c r="E601" s="69">
        <v>17829.2</v>
      </c>
    </row>
    <row r="602" spans="4:5" x14ac:dyDescent="0.25">
      <c r="D602" s="68">
        <v>44502</v>
      </c>
      <c r="E602" s="69">
        <v>17888.95</v>
      </c>
    </row>
    <row r="603" spans="4:5" x14ac:dyDescent="0.25">
      <c r="D603" s="68">
        <v>44501</v>
      </c>
      <c r="E603" s="69">
        <v>17929.650000000001</v>
      </c>
    </row>
    <row r="604" spans="4:5" x14ac:dyDescent="0.25">
      <c r="D604" s="68">
        <v>44498</v>
      </c>
      <c r="E604" s="69">
        <v>17671.650000000001</v>
      </c>
    </row>
    <row r="605" spans="4:5" x14ac:dyDescent="0.25">
      <c r="D605" s="68">
        <v>44497</v>
      </c>
      <c r="E605" s="69">
        <v>17857.25</v>
      </c>
    </row>
    <row r="606" spans="4:5" x14ac:dyDescent="0.25">
      <c r="D606" s="68">
        <v>44496</v>
      </c>
      <c r="E606" s="69">
        <v>18210.95</v>
      </c>
    </row>
    <row r="607" spans="4:5" x14ac:dyDescent="0.25">
      <c r="D607" s="68">
        <v>44495</v>
      </c>
      <c r="E607" s="69">
        <v>18268.400000000001</v>
      </c>
    </row>
    <row r="608" spans="4:5" x14ac:dyDescent="0.25">
      <c r="D608" s="68">
        <v>44494</v>
      </c>
      <c r="E608" s="69">
        <v>18125.400000000001</v>
      </c>
    </row>
    <row r="609" spans="4:5" x14ac:dyDescent="0.25">
      <c r="D609" s="68">
        <v>44491</v>
      </c>
      <c r="E609" s="69">
        <v>18114.900000000001</v>
      </c>
    </row>
    <row r="610" spans="4:5" x14ac:dyDescent="0.25">
      <c r="D610" s="68">
        <v>44490</v>
      </c>
      <c r="E610" s="69">
        <v>18178.099999999999</v>
      </c>
    </row>
    <row r="611" spans="4:5" x14ac:dyDescent="0.25">
      <c r="D611" s="68">
        <v>44489</v>
      </c>
      <c r="E611" s="69">
        <v>18266.599999999999</v>
      </c>
    </row>
    <row r="612" spans="4:5" x14ac:dyDescent="0.25">
      <c r="D612" s="68">
        <v>44488</v>
      </c>
      <c r="E612" s="69">
        <v>18418.75</v>
      </c>
    </row>
    <row r="613" spans="4:5" x14ac:dyDescent="0.25">
      <c r="D613" s="68">
        <v>44487</v>
      </c>
      <c r="E613" s="69">
        <v>18477.05</v>
      </c>
    </row>
    <row r="614" spans="4:5" x14ac:dyDescent="0.25">
      <c r="D614" s="68">
        <v>44483</v>
      </c>
      <c r="E614" s="69">
        <v>18338.55</v>
      </c>
    </row>
    <row r="615" spans="4:5" x14ac:dyDescent="0.25">
      <c r="D615" s="68">
        <v>44482</v>
      </c>
      <c r="E615" s="69">
        <v>18161.75</v>
      </c>
    </row>
    <row r="616" spans="4:5" x14ac:dyDescent="0.25">
      <c r="D616" s="68">
        <v>44481</v>
      </c>
      <c r="E616" s="69">
        <v>17991.95</v>
      </c>
    </row>
    <row r="617" spans="4:5" x14ac:dyDescent="0.25">
      <c r="D617" s="68">
        <v>44480</v>
      </c>
      <c r="E617" s="69">
        <v>17945.95</v>
      </c>
    </row>
    <row r="618" spans="4:5" x14ac:dyDescent="0.25">
      <c r="D618" s="68">
        <v>44477</v>
      </c>
      <c r="E618" s="69">
        <v>17895.2</v>
      </c>
    </row>
    <row r="619" spans="4:5" x14ac:dyDescent="0.25">
      <c r="D619" s="68">
        <v>44476</v>
      </c>
      <c r="E619" s="69">
        <v>17790.349999999999</v>
      </c>
    </row>
    <row r="620" spans="4:5" x14ac:dyDescent="0.25">
      <c r="D620" s="68">
        <v>44475</v>
      </c>
      <c r="E620" s="69">
        <v>17646</v>
      </c>
    </row>
    <row r="621" spans="4:5" x14ac:dyDescent="0.25">
      <c r="D621" s="68">
        <v>44474</v>
      </c>
      <c r="E621" s="69">
        <v>17822.3</v>
      </c>
    </row>
    <row r="622" spans="4:5" x14ac:dyDescent="0.25">
      <c r="D622" s="68">
        <v>44473</v>
      </c>
      <c r="E622" s="69">
        <v>17691.25</v>
      </c>
    </row>
    <row r="623" spans="4:5" x14ac:dyDescent="0.25">
      <c r="D623" s="68">
        <v>44470</v>
      </c>
      <c r="E623" s="69">
        <v>17532.05</v>
      </c>
    </row>
    <row r="624" spans="4:5" x14ac:dyDescent="0.25">
      <c r="D624" s="68">
        <v>44469</v>
      </c>
      <c r="E624" s="69">
        <v>17618.150000000001</v>
      </c>
    </row>
    <row r="625" spans="4:5" x14ac:dyDescent="0.25">
      <c r="D625" s="68">
        <v>44468</v>
      </c>
      <c r="E625" s="69">
        <v>17711.3</v>
      </c>
    </row>
    <row r="626" spans="4:5" x14ac:dyDescent="0.25">
      <c r="D626" s="68">
        <v>44467</v>
      </c>
      <c r="E626" s="69">
        <v>17748.599999999999</v>
      </c>
    </row>
    <row r="627" spans="4:5" x14ac:dyDescent="0.25">
      <c r="D627" s="68">
        <v>44466</v>
      </c>
      <c r="E627" s="69">
        <v>17855.099999999999</v>
      </c>
    </row>
    <row r="628" spans="4:5" x14ac:dyDescent="0.25">
      <c r="D628" s="68">
        <v>44463</v>
      </c>
      <c r="E628" s="69">
        <v>17853.2</v>
      </c>
    </row>
    <row r="629" spans="4:5" x14ac:dyDescent="0.25">
      <c r="D629" s="68">
        <v>44462</v>
      </c>
      <c r="E629" s="69">
        <v>17822.95</v>
      </c>
    </row>
    <row r="630" spans="4:5" x14ac:dyDescent="0.25">
      <c r="D630" s="68">
        <v>44461</v>
      </c>
      <c r="E630" s="69">
        <v>17546.650000000001</v>
      </c>
    </row>
    <row r="631" spans="4:5" x14ac:dyDescent="0.25">
      <c r="D631" s="68">
        <v>44460</v>
      </c>
      <c r="E631" s="69">
        <v>17562</v>
      </c>
    </row>
    <row r="632" spans="4:5" x14ac:dyDescent="0.25">
      <c r="D632" s="68">
        <v>44459</v>
      </c>
      <c r="E632" s="69">
        <v>17396.900000000001</v>
      </c>
    </row>
    <row r="633" spans="4:5" x14ac:dyDescent="0.25">
      <c r="D633" s="68">
        <v>44456</v>
      </c>
      <c r="E633" s="69">
        <v>17585.150000000001</v>
      </c>
    </row>
    <row r="634" spans="4:5" x14ac:dyDescent="0.25">
      <c r="D634" s="68">
        <v>44455</v>
      </c>
      <c r="E634" s="69">
        <v>17629.5</v>
      </c>
    </row>
    <row r="635" spans="4:5" x14ac:dyDescent="0.25">
      <c r="D635" s="68">
        <v>44454</v>
      </c>
      <c r="E635" s="69">
        <v>17519.45</v>
      </c>
    </row>
    <row r="636" spans="4:5" x14ac:dyDescent="0.25">
      <c r="D636" s="68">
        <v>44453</v>
      </c>
      <c r="E636" s="69">
        <v>17380</v>
      </c>
    </row>
    <row r="637" spans="4:5" x14ac:dyDescent="0.25">
      <c r="D637" s="68">
        <v>44452</v>
      </c>
      <c r="E637" s="69">
        <v>17355.3</v>
      </c>
    </row>
    <row r="638" spans="4:5" x14ac:dyDescent="0.25">
      <c r="D638" s="68">
        <v>44448</v>
      </c>
      <c r="E638" s="69">
        <v>17369.25</v>
      </c>
    </row>
    <row r="639" spans="4:5" x14ac:dyDescent="0.25">
      <c r="D639" s="68">
        <v>44447</v>
      </c>
      <c r="E639" s="69">
        <v>17353.5</v>
      </c>
    </row>
    <row r="640" spans="4:5" x14ac:dyDescent="0.25">
      <c r="D640" s="68">
        <v>44446</v>
      </c>
      <c r="E640" s="69">
        <v>17362.099999999999</v>
      </c>
    </row>
    <row r="641" spans="4:5" x14ac:dyDescent="0.25">
      <c r="D641" s="68">
        <v>44445</v>
      </c>
      <c r="E641" s="69">
        <v>17377.8</v>
      </c>
    </row>
    <row r="642" spans="4:5" x14ac:dyDescent="0.25">
      <c r="D642" s="68">
        <v>44442</v>
      </c>
      <c r="E642" s="69">
        <v>17323.599999999999</v>
      </c>
    </row>
    <row r="643" spans="4:5" x14ac:dyDescent="0.25">
      <c r="D643" s="68">
        <v>44441</v>
      </c>
      <c r="E643" s="69">
        <v>17234.150000000001</v>
      </c>
    </row>
    <row r="644" spans="4:5" x14ac:dyDescent="0.25">
      <c r="D644" s="68">
        <v>44440</v>
      </c>
      <c r="E644" s="69">
        <v>17076.25</v>
      </c>
    </row>
    <row r="645" spans="4:5" x14ac:dyDescent="0.25">
      <c r="D645" s="68">
        <v>44439</v>
      </c>
      <c r="E645" s="69">
        <v>17132.2</v>
      </c>
    </row>
    <row r="646" spans="4:5" x14ac:dyDescent="0.25">
      <c r="D646" s="68">
        <v>44438</v>
      </c>
      <c r="E646" s="69">
        <v>16931.05</v>
      </c>
    </row>
    <row r="647" spans="4:5" x14ac:dyDescent="0.25">
      <c r="D647" s="68">
        <v>44435</v>
      </c>
      <c r="E647" s="69">
        <v>16705.2</v>
      </c>
    </row>
    <row r="648" spans="4:5" x14ac:dyDescent="0.25">
      <c r="D648" s="68">
        <v>44434</v>
      </c>
      <c r="E648" s="69">
        <v>16636.900000000001</v>
      </c>
    </row>
    <row r="649" spans="4:5" x14ac:dyDescent="0.25">
      <c r="D649" s="68">
        <v>44433</v>
      </c>
      <c r="E649" s="69">
        <v>16634.650000000001</v>
      </c>
    </row>
    <row r="650" spans="4:5" x14ac:dyDescent="0.25">
      <c r="D650" s="68">
        <v>44432</v>
      </c>
      <c r="E650" s="69">
        <v>16624.599999999999</v>
      </c>
    </row>
    <row r="651" spans="4:5" x14ac:dyDescent="0.25">
      <c r="D651" s="68">
        <v>44431</v>
      </c>
      <c r="E651" s="69">
        <v>16496.45</v>
      </c>
    </row>
    <row r="652" spans="4:5" x14ac:dyDescent="0.25">
      <c r="D652" s="68">
        <v>44428</v>
      </c>
      <c r="E652" s="69">
        <v>16450.5</v>
      </c>
    </row>
    <row r="653" spans="4:5" x14ac:dyDescent="0.25">
      <c r="D653" s="68">
        <v>44426</v>
      </c>
      <c r="E653" s="69">
        <v>16568.849999999999</v>
      </c>
    </row>
    <row r="654" spans="4:5" x14ac:dyDescent="0.25">
      <c r="D654" s="68">
        <v>44425</v>
      </c>
      <c r="E654" s="69">
        <v>16614.599999999999</v>
      </c>
    </row>
    <row r="655" spans="4:5" x14ac:dyDescent="0.25">
      <c r="D655" s="68">
        <v>44424</v>
      </c>
      <c r="E655" s="69">
        <v>16563.05</v>
      </c>
    </row>
    <row r="656" spans="4:5" x14ac:dyDescent="0.25">
      <c r="D656" s="68">
        <v>44421</v>
      </c>
      <c r="E656" s="69">
        <v>16529.099999999999</v>
      </c>
    </row>
    <row r="657" spans="4:5" x14ac:dyDescent="0.25">
      <c r="D657" s="68">
        <v>44420</v>
      </c>
      <c r="E657" s="69">
        <v>16364.4</v>
      </c>
    </row>
    <row r="658" spans="4:5" x14ac:dyDescent="0.25">
      <c r="D658" s="68">
        <v>44419</v>
      </c>
      <c r="E658" s="69">
        <v>16282.25</v>
      </c>
    </row>
    <row r="659" spans="4:5" x14ac:dyDescent="0.25">
      <c r="D659" s="68">
        <v>44418</v>
      </c>
      <c r="E659" s="69">
        <v>16280.1</v>
      </c>
    </row>
    <row r="660" spans="4:5" x14ac:dyDescent="0.25">
      <c r="D660" s="68">
        <v>44417</v>
      </c>
      <c r="E660" s="69">
        <v>16258.25</v>
      </c>
    </row>
    <row r="661" spans="4:5" x14ac:dyDescent="0.25">
      <c r="D661" s="68">
        <v>44414</v>
      </c>
      <c r="E661" s="69">
        <v>16238.2</v>
      </c>
    </row>
    <row r="662" spans="4:5" x14ac:dyDescent="0.25">
      <c r="D662" s="68">
        <v>44413</v>
      </c>
      <c r="E662" s="69">
        <v>16294.6</v>
      </c>
    </row>
    <row r="663" spans="4:5" x14ac:dyDescent="0.25">
      <c r="D663" s="68">
        <v>44412</v>
      </c>
      <c r="E663" s="69">
        <v>16258.8</v>
      </c>
    </row>
    <row r="664" spans="4:5" x14ac:dyDescent="0.25">
      <c r="D664" s="68">
        <v>44411</v>
      </c>
      <c r="E664" s="69">
        <v>16130.75</v>
      </c>
    </row>
    <row r="665" spans="4:5" x14ac:dyDescent="0.25">
      <c r="D665" s="68">
        <v>44410</v>
      </c>
      <c r="E665" s="69">
        <v>15885.15</v>
      </c>
    </row>
    <row r="666" spans="4:5" x14ac:dyDescent="0.25">
      <c r="D666" s="68">
        <v>44407</v>
      </c>
      <c r="E666" s="69">
        <v>15763.05</v>
      </c>
    </row>
    <row r="667" spans="4:5" x14ac:dyDescent="0.25">
      <c r="D667" s="68">
        <v>44406</v>
      </c>
      <c r="E667" s="69">
        <v>15778.45</v>
      </c>
    </row>
    <row r="668" spans="4:5" x14ac:dyDescent="0.25">
      <c r="D668" s="68">
        <v>44405</v>
      </c>
      <c r="E668" s="69">
        <v>15709.4</v>
      </c>
    </row>
    <row r="669" spans="4:5" x14ac:dyDescent="0.25">
      <c r="D669" s="68">
        <v>44404</v>
      </c>
      <c r="E669" s="69">
        <v>15746.45</v>
      </c>
    </row>
    <row r="670" spans="4:5" x14ac:dyDescent="0.25">
      <c r="D670" s="68">
        <v>44403</v>
      </c>
      <c r="E670" s="69">
        <v>15824.45</v>
      </c>
    </row>
    <row r="671" spans="4:5" x14ac:dyDescent="0.25">
      <c r="D671" s="68">
        <v>44400</v>
      </c>
      <c r="E671" s="69">
        <v>15856.05</v>
      </c>
    </row>
    <row r="672" spans="4:5" x14ac:dyDescent="0.25">
      <c r="D672" s="68">
        <v>44399</v>
      </c>
      <c r="E672" s="69">
        <v>15824.05</v>
      </c>
    </row>
    <row r="673" spans="4:5" x14ac:dyDescent="0.25">
      <c r="D673" s="68">
        <v>44397</v>
      </c>
      <c r="E673" s="69">
        <v>15632.1</v>
      </c>
    </row>
    <row r="674" spans="4:5" x14ac:dyDescent="0.25">
      <c r="D674" s="68">
        <v>44396</v>
      </c>
      <c r="E674" s="69">
        <v>15752.4</v>
      </c>
    </row>
    <row r="675" spans="4:5" x14ac:dyDescent="0.25">
      <c r="D675" s="68">
        <v>44393</v>
      </c>
      <c r="E675" s="69">
        <v>15923.4</v>
      </c>
    </row>
    <row r="676" spans="4:5" x14ac:dyDescent="0.25">
      <c r="D676" s="68">
        <v>44392</v>
      </c>
      <c r="E676" s="69">
        <v>15924.2</v>
      </c>
    </row>
    <row r="677" spans="4:5" x14ac:dyDescent="0.25">
      <c r="D677" s="68">
        <v>44391</v>
      </c>
      <c r="E677" s="69">
        <v>15853.95</v>
      </c>
    </row>
    <row r="678" spans="4:5" x14ac:dyDescent="0.25">
      <c r="D678" s="68">
        <v>44390</v>
      </c>
      <c r="E678" s="69">
        <v>15812.35</v>
      </c>
    </row>
    <row r="679" spans="4:5" x14ac:dyDescent="0.25">
      <c r="D679" s="68">
        <v>44389</v>
      </c>
      <c r="E679" s="69">
        <v>15692.6</v>
      </c>
    </row>
    <row r="680" spans="4:5" x14ac:dyDescent="0.25">
      <c r="D680" s="68">
        <v>44386</v>
      </c>
      <c r="E680" s="69">
        <v>15689.8</v>
      </c>
    </row>
    <row r="681" spans="4:5" x14ac:dyDescent="0.25">
      <c r="D681" s="68">
        <v>44385</v>
      </c>
      <c r="E681" s="69">
        <v>15727.9</v>
      </c>
    </row>
    <row r="682" spans="4:5" x14ac:dyDescent="0.25">
      <c r="D682" s="68">
        <v>44384</v>
      </c>
      <c r="E682" s="69">
        <v>15879.65</v>
      </c>
    </row>
    <row r="683" spans="4:5" x14ac:dyDescent="0.25">
      <c r="D683" s="68">
        <v>44383</v>
      </c>
      <c r="E683" s="69">
        <v>15818.25</v>
      </c>
    </row>
    <row r="684" spans="4:5" x14ac:dyDescent="0.25">
      <c r="D684" s="68">
        <v>44382</v>
      </c>
      <c r="E684" s="69">
        <v>15834.35</v>
      </c>
    </row>
    <row r="685" spans="4:5" x14ac:dyDescent="0.25">
      <c r="D685" s="68">
        <v>44379</v>
      </c>
      <c r="E685" s="69">
        <v>15722.2</v>
      </c>
    </row>
    <row r="686" spans="4:5" x14ac:dyDescent="0.25">
      <c r="D686" s="68">
        <v>44378</v>
      </c>
      <c r="E686" s="69">
        <v>15680</v>
      </c>
    </row>
    <row r="687" spans="4:5" x14ac:dyDescent="0.25">
      <c r="D687" s="68">
        <v>44377</v>
      </c>
      <c r="E687" s="69">
        <v>15721.5</v>
      </c>
    </row>
    <row r="688" spans="4:5" x14ac:dyDescent="0.25">
      <c r="D688" s="68">
        <v>44376</v>
      </c>
      <c r="E688" s="69">
        <v>15748.45</v>
      </c>
    </row>
    <row r="689" spans="4:5" x14ac:dyDescent="0.25">
      <c r="D689" s="68">
        <v>44375</v>
      </c>
      <c r="E689" s="69">
        <v>15814.7</v>
      </c>
    </row>
    <row r="690" spans="4:5" x14ac:dyDescent="0.25">
      <c r="D690" s="68">
        <v>44372</v>
      </c>
      <c r="E690" s="69">
        <v>15860.35</v>
      </c>
    </row>
    <row r="691" spans="4:5" x14ac:dyDescent="0.25">
      <c r="D691" s="68">
        <v>44371</v>
      </c>
      <c r="E691" s="69">
        <v>15790.45</v>
      </c>
    </row>
    <row r="692" spans="4:5" x14ac:dyDescent="0.25">
      <c r="D692" s="68">
        <v>44370</v>
      </c>
      <c r="E692" s="69">
        <v>15686.95</v>
      </c>
    </row>
    <row r="693" spans="4:5" x14ac:dyDescent="0.25">
      <c r="D693" s="68">
        <v>44369</v>
      </c>
      <c r="E693" s="69">
        <v>15772.75</v>
      </c>
    </row>
    <row r="694" spans="4:5" x14ac:dyDescent="0.25">
      <c r="D694" s="68">
        <v>44368</v>
      </c>
      <c r="E694" s="69">
        <v>15746.5</v>
      </c>
    </row>
    <row r="695" spans="4:5" x14ac:dyDescent="0.25">
      <c r="D695" s="68">
        <v>44365</v>
      </c>
      <c r="E695" s="69">
        <v>15683.35</v>
      </c>
    </row>
    <row r="696" spans="4:5" x14ac:dyDescent="0.25">
      <c r="D696" s="68">
        <v>44364</v>
      </c>
      <c r="E696" s="69">
        <v>15691.4</v>
      </c>
    </row>
    <row r="697" spans="4:5" x14ac:dyDescent="0.25">
      <c r="D697" s="68">
        <v>44363</v>
      </c>
      <c r="E697" s="69">
        <v>15767.55</v>
      </c>
    </row>
    <row r="698" spans="4:5" x14ac:dyDescent="0.25">
      <c r="D698" s="68">
        <v>44362</v>
      </c>
      <c r="E698" s="69">
        <v>15869.25</v>
      </c>
    </row>
    <row r="699" spans="4:5" x14ac:dyDescent="0.25">
      <c r="D699" s="68">
        <v>44361</v>
      </c>
      <c r="E699" s="69">
        <v>15811.85</v>
      </c>
    </row>
    <row r="700" spans="4:5" x14ac:dyDescent="0.25">
      <c r="D700" s="68">
        <v>44358</v>
      </c>
      <c r="E700" s="69">
        <v>15799.35</v>
      </c>
    </row>
    <row r="701" spans="4:5" x14ac:dyDescent="0.25">
      <c r="D701" s="68">
        <v>44357</v>
      </c>
      <c r="E701" s="69">
        <v>15737.75</v>
      </c>
    </row>
    <row r="702" spans="4:5" x14ac:dyDescent="0.25">
      <c r="D702" s="68">
        <v>44356</v>
      </c>
      <c r="E702" s="69">
        <v>15635.35</v>
      </c>
    </row>
    <row r="703" spans="4:5" x14ac:dyDescent="0.25">
      <c r="D703" s="68">
        <v>44355</v>
      </c>
      <c r="E703" s="69">
        <v>15740.1</v>
      </c>
    </row>
    <row r="704" spans="4:5" x14ac:dyDescent="0.25">
      <c r="D704" s="68">
        <v>44354</v>
      </c>
      <c r="E704" s="69">
        <v>15751.65</v>
      </c>
    </row>
    <row r="705" spans="4:5" x14ac:dyDescent="0.25">
      <c r="D705" s="68">
        <v>44351</v>
      </c>
      <c r="E705" s="69">
        <v>15670.25</v>
      </c>
    </row>
    <row r="706" spans="4:5" x14ac:dyDescent="0.25">
      <c r="D706" s="68">
        <v>44350</v>
      </c>
      <c r="E706" s="69">
        <v>15690.35</v>
      </c>
    </row>
    <row r="707" spans="4:5" x14ac:dyDescent="0.25">
      <c r="D707" s="68">
        <v>44349</v>
      </c>
      <c r="E707" s="69">
        <v>15576.2</v>
      </c>
    </row>
    <row r="708" spans="4:5" x14ac:dyDescent="0.25">
      <c r="D708" s="68">
        <v>44348</v>
      </c>
      <c r="E708" s="69">
        <v>15574.85</v>
      </c>
    </row>
    <row r="709" spans="4:5" x14ac:dyDescent="0.25">
      <c r="D709" s="68">
        <v>44347</v>
      </c>
      <c r="E709" s="69">
        <v>15582.8</v>
      </c>
    </row>
    <row r="710" spans="4:5" x14ac:dyDescent="0.25">
      <c r="D710" s="68">
        <v>44344</v>
      </c>
      <c r="E710" s="69">
        <v>15435.65</v>
      </c>
    </row>
    <row r="711" spans="4:5" x14ac:dyDescent="0.25">
      <c r="D711" s="68">
        <v>44343</v>
      </c>
      <c r="E711" s="69">
        <v>15337.85</v>
      </c>
    </row>
    <row r="712" spans="4:5" x14ac:dyDescent="0.25">
      <c r="D712" s="68">
        <v>44342</v>
      </c>
      <c r="E712" s="69">
        <v>15301.45</v>
      </c>
    </row>
    <row r="713" spans="4:5" x14ac:dyDescent="0.25">
      <c r="D713" s="68">
        <v>44341</v>
      </c>
      <c r="E713" s="69">
        <v>15208.45</v>
      </c>
    </row>
    <row r="714" spans="4:5" x14ac:dyDescent="0.25">
      <c r="D714" s="68">
        <v>44340</v>
      </c>
      <c r="E714" s="69">
        <v>15197.7</v>
      </c>
    </row>
    <row r="715" spans="4:5" x14ac:dyDescent="0.25">
      <c r="D715" s="68">
        <v>44337</v>
      </c>
      <c r="E715" s="69">
        <v>15175.3</v>
      </c>
    </row>
    <row r="716" spans="4:5" x14ac:dyDescent="0.25">
      <c r="D716" s="68">
        <v>44336</v>
      </c>
      <c r="E716" s="69">
        <v>14906.05</v>
      </c>
    </row>
    <row r="717" spans="4:5" x14ac:dyDescent="0.25">
      <c r="D717" s="68">
        <v>44335</v>
      </c>
      <c r="E717" s="69">
        <v>15030.15</v>
      </c>
    </row>
    <row r="718" spans="4:5" x14ac:dyDescent="0.25">
      <c r="D718" s="68">
        <v>44334</v>
      </c>
      <c r="E718" s="69">
        <v>15108.1</v>
      </c>
    </row>
    <row r="719" spans="4:5" x14ac:dyDescent="0.25">
      <c r="D719" s="68">
        <v>44333</v>
      </c>
      <c r="E719" s="69">
        <v>14923.15</v>
      </c>
    </row>
    <row r="720" spans="4:5" x14ac:dyDescent="0.25">
      <c r="D720" s="68">
        <v>44330</v>
      </c>
      <c r="E720" s="69">
        <v>14677.8</v>
      </c>
    </row>
    <row r="721" spans="4:5" x14ac:dyDescent="0.25">
      <c r="D721" s="68">
        <v>44328</v>
      </c>
      <c r="E721" s="69">
        <v>14696.5</v>
      </c>
    </row>
    <row r="722" spans="4:5" x14ac:dyDescent="0.25">
      <c r="D722" s="68">
        <v>44327</v>
      </c>
      <c r="E722" s="69">
        <v>14850.75</v>
      </c>
    </row>
    <row r="723" spans="4:5" x14ac:dyDescent="0.25">
      <c r="D723" s="68">
        <v>44326</v>
      </c>
      <c r="E723" s="69">
        <v>14942.35</v>
      </c>
    </row>
    <row r="724" spans="4:5" x14ac:dyDescent="0.25">
      <c r="D724" s="68">
        <v>44323</v>
      </c>
      <c r="E724" s="69">
        <v>14823.15</v>
      </c>
    </row>
    <row r="725" spans="4:5" x14ac:dyDescent="0.25">
      <c r="D725" s="68">
        <v>44322</v>
      </c>
      <c r="E725" s="69">
        <v>14724.8</v>
      </c>
    </row>
    <row r="726" spans="4:5" x14ac:dyDescent="0.25">
      <c r="D726" s="68">
        <v>44321</v>
      </c>
      <c r="E726" s="69">
        <v>14617.85</v>
      </c>
    </row>
    <row r="727" spans="4:5" x14ac:dyDescent="0.25">
      <c r="D727" s="68">
        <v>44320</v>
      </c>
      <c r="E727" s="69">
        <v>14496.5</v>
      </c>
    </row>
    <row r="728" spans="4:5" x14ac:dyDescent="0.25">
      <c r="D728" s="68">
        <v>44319</v>
      </c>
      <c r="E728" s="69">
        <v>14634.15</v>
      </c>
    </row>
    <row r="729" spans="4:5" x14ac:dyDescent="0.25">
      <c r="D729" s="68">
        <v>44316</v>
      </c>
      <c r="E729" s="69">
        <v>14631.1</v>
      </c>
    </row>
    <row r="730" spans="4:5" x14ac:dyDescent="0.25">
      <c r="D730" s="68">
        <v>44315</v>
      </c>
      <c r="E730" s="69">
        <v>14894.9</v>
      </c>
    </row>
    <row r="731" spans="4:5" x14ac:dyDescent="0.25">
      <c r="D731" s="68">
        <v>44314</v>
      </c>
      <c r="E731" s="69">
        <v>14864.55</v>
      </c>
    </row>
    <row r="732" spans="4:5" x14ac:dyDescent="0.25">
      <c r="D732" s="68">
        <v>44313</v>
      </c>
      <c r="E732" s="69">
        <v>14653.05</v>
      </c>
    </row>
    <row r="733" spans="4:5" x14ac:dyDescent="0.25">
      <c r="D733" s="68">
        <v>44312</v>
      </c>
      <c r="E733" s="69">
        <v>14485</v>
      </c>
    </row>
    <row r="734" spans="4:5" x14ac:dyDescent="0.25">
      <c r="D734" s="68">
        <v>44309</v>
      </c>
      <c r="E734" s="69">
        <v>14341.35</v>
      </c>
    </row>
    <row r="735" spans="4:5" x14ac:dyDescent="0.25">
      <c r="D735" s="68">
        <v>44308</v>
      </c>
      <c r="E735" s="69">
        <v>14406.15</v>
      </c>
    </row>
    <row r="736" spans="4:5" x14ac:dyDescent="0.25">
      <c r="D736" s="68">
        <v>44306</v>
      </c>
      <c r="E736" s="69">
        <v>14296.4</v>
      </c>
    </row>
    <row r="737" spans="4:5" x14ac:dyDescent="0.25">
      <c r="D737" s="68">
        <v>44305</v>
      </c>
      <c r="E737" s="69">
        <v>14359.45</v>
      </c>
    </row>
    <row r="738" spans="4:5" x14ac:dyDescent="0.25">
      <c r="D738" s="68">
        <v>44302</v>
      </c>
      <c r="E738" s="69">
        <v>14617.85</v>
      </c>
    </row>
    <row r="739" spans="4:5" x14ac:dyDescent="0.25">
      <c r="D739" s="68">
        <v>44301</v>
      </c>
      <c r="E739" s="69">
        <v>14581.45</v>
      </c>
    </row>
    <row r="740" spans="4:5" x14ac:dyDescent="0.25">
      <c r="D740" s="68">
        <v>44299</v>
      </c>
      <c r="E740" s="69">
        <v>14504.8</v>
      </c>
    </row>
    <row r="741" spans="4:5" x14ac:dyDescent="0.25">
      <c r="D741" s="68">
        <v>44298</v>
      </c>
      <c r="E741" s="69">
        <v>14310.8</v>
      </c>
    </row>
    <row r="742" spans="4:5" x14ac:dyDescent="0.25">
      <c r="D742" s="68">
        <v>44295</v>
      </c>
      <c r="E742" s="69">
        <v>14834.85</v>
      </c>
    </row>
    <row r="743" spans="4:5" x14ac:dyDescent="0.25">
      <c r="D743" s="68">
        <v>44294</v>
      </c>
      <c r="E743" s="69">
        <v>14873.8</v>
      </c>
    </row>
    <row r="744" spans="4:5" x14ac:dyDescent="0.25">
      <c r="D744" s="68">
        <v>44293</v>
      </c>
      <c r="E744" s="69">
        <v>14819.05</v>
      </c>
    </row>
    <row r="745" spans="4:5" x14ac:dyDescent="0.25">
      <c r="D745" s="68">
        <v>44292</v>
      </c>
      <c r="E745" s="69">
        <v>14683.5</v>
      </c>
    </row>
    <row r="746" spans="4:5" x14ac:dyDescent="0.25">
      <c r="D746" s="68">
        <v>44291</v>
      </c>
      <c r="E746" s="69">
        <v>14637.8</v>
      </c>
    </row>
    <row r="747" spans="4:5" x14ac:dyDescent="0.25">
      <c r="D747" s="68">
        <v>44287</v>
      </c>
      <c r="E747" s="69">
        <v>14867.35</v>
      </c>
    </row>
    <row r="748" spans="4:5" x14ac:dyDescent="0.25">
      <c r="D748" s="68">
        <v>44286</v>
      </c>
      <c r="E748" s="69">
        <v>14690.7</v>
      </c>
    </row>
    <row r="749" spans="4:5" x14ac:dyDescent="0.25">
      <c r="D749" s="68">
        <v>44285</v>
      </c>
      <c r="E749" s="69">
        <v>14845.1</v>
      </c>
    </row>
    <row r="750" spans="4:5" x14ac:dyDescent="0.25">
      <c r="D750" s="68">
        <v>44281</v>
      </c>
      <c r="E750" s="69">
        <v>14507.3</v>
      </c>
    </row>
    <row r="751" spans="4:5" x14ac:dyDescent="0.25">
      <c r="D751" s="68">
        <v>44280</v>
      </c>
      <c r="E751" s="69">
        <v>14324.9</v>
      </c>
    </row>
    <row r="752" spans="4:5" x14ac:dyDescent="0.25">
      <c r="D752" s="68">
        <v>44279</v>
      </c>
      <c r="E752" s="69">
        <v>14549.4</v>
      </c>
    </row>
    <row r="753" spans="4:5" x14ac:dyDescent="0.25">
      <c r="D753" s="68">
        <v>44278</v>
      </c>
      <c r="E753" s="69">
        <v>14814.75</v>
      </c>
    </row>
    <row r="754" spans="4:5" x14ac:dyDescent="0.25">
      <c r="D754" s="68">
        <v>44277</v>
      </c>
      <c r="E754" s="69">
        <v>14736.4</v>
      </c>
    </row>
    <row r="755" spans="4:5" x14ac:dyDescent="0.25">
      <c r="D755" s="68">
        <v>44274</v>
      </c>
      <c r="E755" s="69">
        <v>14744</v>
      </c>
    </row>
    <row r="756" spans="4:5" x14ac:dyDescent="0.25">
      <c r="D756" s="68">
        <v>44273</v>
      </c>
      <c r="E756" s="69">
        <v>14557.85</v>
      </c>
    </row>
    <row r="757" spans="4:5" x14ac:dyDescent="0.25">
      <c r="D757" s="68">
        <v>44272</v>
      </c>
      <c r="E757" s="69">
        <v>14721.3</v>
      </c>
    </row>
    <row r="758" spans="4:5" x14ac:dyDescent="0.25">
      <c r="D758" s="68">
        <v>44271</v>
      </c>
      <c r="E758" s="69">
        <v>14910.45</v>
      </c>
    </row>
    <row r="759" spans="4:5" x14ac:dyDescent="0.25">
      <c r="D759" s="68">
        <v>44270</v>
      </c>
      <c r="E759" s="69">
        <v>14929.5</v>
      </c>
    </row>
    <row r="760" spans="4:5" x14ac:dyDescent="0.25">
      <c r="D760" s="68">
        <v>44267</v>
      </c>
      <c r="E760" s="69">
        <v>15030.95</v>
      </c>
    </row>
    <row r="761" spans="4:5" x14ac:dyDescent="0.25">
      <c r="D761" s="68">
        <v>44265</v>
      </c>
      <c r="E761" s="69">
        <v>15174.8</v>
      </c>
    </row>
    <row r="762" spans="4:5" x14ac:dyDescent="0.25">
      <c r="D762" s="68">
        <v>44264</v>
      </c>
      <c r="E762" s="69">
        <v>15098.4</v>
      </c>
    </row>
    <row r="763" spans="4:5" x14ac:dyDescent="0.25">
      <c r="D763" s="68">
        <v>44263</v>
      </c>
      <c r="E763" s="69">
        <v>14956.2</v>
      </c>
    </row>
    <row r="764" spans="4:5" x14ac:dyDescent="0.25">
      <c r="D764" s="68">
        <v>44260</v>
      </c>
      <c r="E764" s="69">
        <v>14938.1</v>
      </c>
    </row>
    <row r="765" spans="4:5" x14ac:dyDescent="0.25">
      <c r="D765" s="68">
        <v>44259</v>
      </c>
      <c r="E765" s="69">
        <v>15080.75</v>
      </c>
    </row>
    <row r="766" spans="4:5" x14ac:dyDescent="0.25">
      <c r="D766" s="68">
        <v>44258</v>
      </c>
      <c r="E766" s="69">
        <v>15245.6</v>
      </c>
    </row>
    <row r="767" spans="4:5" x14ac:dyDescent="0.25">
      <c r="D767" s="68">
        <v>44257</v>
      </c>
      <c r="E767" s="69">
        <v>14919.1</v>
      </c>
    </row>
    <row r="768" spans="4:5" x14ac:dyDescent="0.25">
      <c r="D768" s="68">
        <v>44256</v>
      </c>
      <c r="E768" s="69">
        <v>14761.55</v>
      </c>
    </row>
    <row r="769" spans="4:5" x14ac:dyDescent="0.25">
      <c r="D769" s="68">
        <v>44253</v>
      </c>
      <c r="E769" s="69">
        <v>14529.15</v>
      </c>
    </row>
    <row r="770" spans="4:5" x14ac:dyDescent="0.25">
      <c r="D770" s="68">
        <v>44252</v>
      </c>
      <c r="E770" s="69">
        <v>15097.35</v>
      </c>
    </row>
    <row r="771" spans="4:5" x14ac:dyDescent="0.25">
      <c r="D771" s="68">
        <v>44251</v>
      </c>
      <c r="E771" s="69">
        <v>14982</v>
      </c>
    </row>
    <row r="772" spans="4:5" x14ac:dyDescent="0.25">
      <c r="D772" s="68">
        <v>44250</v>
      </c>
      <c r="E772" s="69">
        <v>14707.8</v>
      </c>
    </row>
    <row r="773" spans="4:5" x14ac:dyDescent="0.25">
      <c r="D773" s="68">
        <v>44249</v>
      </c>
      <c r="E773" s="69">
        <v>14675.7</v>
      </c>
    </row>
    <row r="774" spans="4:5" x14ac:dyDescent="0.25">
      <c r="D774" s="68">
        <v>44246</v>
      </c>
      <c r="E774" s="69">
        <v>14981.75</v>
      </c>
    </row>
    <row r="775" spans="4:5" x14ac:dyDescent="0.25">
      <c r="D775" s="68">
        <v>44245</v>
      </c>
      <c r="E775" s="69">
        <v>15118.95</v>
      </c>
    </row>
    <row r="776" spans="4:5" x14ac:dyDescent="0.25">
      <c r="D776" s="68">
        <v>44244</v>
      </c>
      <c r="E776" s="69">
        <v>15208.9</v>
      </c>
    </row>
    <row r="777" spans="4:5" x14ac:dyDescent="0.25">
      <c r="D777" s="68">
        <v>44243</v>
      </c>
      <c r="E777" s="69">
        <v>15313.45</v>
      </c>
    </row>
    <row r="778" spans="4:5" x14ac:dyDescent="0.25">
      <c r="D778" s="68">
        <v>44242</v>
      </c>
      <c r="E778" s="69">
        <v>15314.7</v>
      </c>
    </row>
    <row r="779" spans="4:5" x14ac:dyDescent="0.25">
      <c r="D779" s="68">
        <v>44239</v>
      </c>
      <c r="E779" s="69">
        <v>15163.3</v>
      </c>
    </row>
    <row r="780" spans="4:5" x14ac:dyDescent="0.25">
      <c r="D780" s="68">
        <v>44238</v>
      </c>
      <c r="E780" s="69">
        <v>15173.3</v>
      </c>
    </row>
    <row r="781" spans="4:5" x14ac:dyDescent="0.25">
      <c r="D781" s="68">
        <v>44237</v>
      </c>
      <c r="E781" s="69">
        <v>15106.5</v>
      </c>
    </row>
    <row r="782" spans="4:5" x14ac:dyDescent="0.25">
      <c r="D782" s="68">
        <v>44236</v>
      </c>
      <c r="E782" s="69">
        <v>15109.3</v>
      </c>
    </row>
    <row r="783" spans="4:5" x14ac:dyDescent="0.25">
      <c r="D783" s="68">
        <v>44235</v>
      </c>
      <c r="E783" s="69">
        <v>15115.8</v>
      </c>
    </row>
    <row r="784" spans="4:5" x14ac:dyDescent="0.25">
      <c r="D784" s="68">
        <v>44232</v>
      </c>
      <c r="E784" s="69">
        <v>14924.25</v>
      </c>
    </row>
    <row r="785" spans="4:5" x14ac:dyDescent="0.25">
      <c r="D785" s="68">
        <v>44231</v>
      </c>
      <c r="E785" s="69">
        <v>14895.65</v>
      </c>
    </row>
    <row r="786" spans="4:5" x14ac:dyDescent="0.25">
      <c r="D786" s="68">
        <v>44230</v>
      </c>
      <c r="E786" s="69">
        <v>14789.95</v>
      </c>
    </row>
    <row r="787" spans="4:5" x14ac:dyDescent="0.25">
      <c r="D787" s="68">
        <v>44229</v>
      </c>
      <c r="E787" s="69">
        <v>14647.85</v>
      </c>
    </row>
    <row r="788" spans="4:5" x14ac:dyDescent="0.25">
      <c r="D788" s="68">
        <v>44228</v>
      </c>
      <c r="E788" s="69">
        <v>14281.2</v>
      </c>
    </row>
    <row r="789" spans="4:5" x14ac:dyDescent="0.25">
      <c r="D789" s="68">
        <v>44225</v>
      </c>
      <c r="E789" s="69">
        <v>13634.6</v>
      </c>
    </row>
    <row r="790" spans="4:5" x14ac:dyDescent="0.25">
      <c r="D790" s="68">
        <v>44224</v>
      </c>
      <c r="E790" s="69">
        <v>13817.55</v>
      </c>
    </row>
    <row r="791" spans="4:5" x14ac:dyDescent="0.25">
      <c r="D791" s="68">
        <v>44223</v>
      </c>
      <c r="E791" s="69">
        <v>13967.5</v>
      </c>
    </row>
    <row r="792" spans="4:5" x14ac:dyDescent="0.25">
      <c r="D792" s="68">
        <v>44221</v>
      </c>
      <c r="E792" s="69">
        <v>14238.9</v>
      </c>
    </row>
    <row r="793" spans="4:5" x14ac:dyDescent="0.25">
      <c r="D793" s="68">
        <v>44218</v>
      </c>
      <c r="E793" s="69">
        <v>14371.9</v>
      </c>
    </row>
    <row r="794" spans="4:5" x14ac:dyDescent="0.25">
      <c r="D794" s="68">
        <v>44217</v>
      </c>
      <c r="E794" s="69">
        <v>14590.35</v>
      </c>
    </row>
    <row r="795" spans="4:5" x14ac:dyDescent="0.25">
      <c r="D795" s="68">
        <v>44216</v>
      </c>
      <c r="E795" s="69">
        <v>14644.7</v>
      </c>
    </row>
    <row r="796" spans="4:5" x14ac:dyDescent="0.25">
      <c r="D796" s="68">
        <v>44215</v>
      </c>
      <c r="E796" s="69">
        <v>14521.15</v>
      </c>
    </row>
    <row r="797" spans="4:5" x14ac:dyDescent="0.25">
      <c r="D797" s="68">
        <v>44214</v>
      </c>
      <c r="E797" s="69">
        <v>14281.3</v>
      </c>
    </row>
    <row r="798" spans="4:5" x14ac:dyDescent="0.25">
      <c r="D798" s="68">
        <v>44211</v>
      </c>
      <c r="E798" s="69">
        <v>14433.7</v>
      </c>
    </row>
    <row r="799" spans="4:5" x14ac:dyDescent="0.25">
      <c r="D799" s="68">
        <v>44210</v>
      </c>
      <c r="E799" s="69">
        <v>14595.6</v>
      </c>
    </row>
    <row r="800" spans="4:5" x14ac:dyDescent="0.25">
      <c r="D800" s="68">
        <v>44209</v>
      </c>
      <c r="E800" s="69">
        <v>14564.85</v>
      </c>
    </row>
    <row r="801" spans="4:5" x14ac:dyDescent="0.25">
      <c r="D801" s="68">
        <v>44208</v>
      </c>
      <c r="E801" s="69">
        <v>14563.45</v>
      </c>
    </row>
    <row r="802" spans="4:5" x14ac:dyDescent="0.25">
      <c r="D802" s="68">
        <v>44207</v>
      </c>
      <c r="E802" s="69">
        <v>14484.75</v>
      </c>
    </row>
    <row r="803" spans="4:5" x14ac:dyDescent="0.25">
      <c r="D803" s="68">
        <v>44204</v>
      </c>
      <c r="E803" s="69">
        <v>14347.25</v>
      </c>
    </row>
    <row r="804" spans="4:5" x14ac:dyDescent="0.25">
      <c r="D804" s="68">
        <v>44203</v>
      </c>
      <c r="E804" s="69">
        <v>14137.35</v>
      </c>
    </row>
    <row r="805" spans="4:5" x14ac:dyDescent="0.25">
      <c r="D805" s="68">
        <v>44202</v>
      </c>
      <c r="E805" s="69">
        <v>14146.25</v>
      </c>
    </row>
    <row r="806" spans="4:5" x14ac:dyDescent="0.25">
      <c r="D806" s="68">
        <v>44201</v>
      </c>
      <c r="E806" s="69">
        <v>14199.5</v>
      </c>
    </row>
    <row r="807" spans="4:5" x14ac:dyDescent="0.25">
      <c r="D807" s="68">
        <v>44200</v>
      </c>
      <c r="E807" s="69">
        <v>14132.9</v>
      </c>
    </row>
    <row r="808" spans="4:5" x14ac:dyDescent="0.25">
      <c r="D808" s="68">
        <v>44197</v>
      </c>
      <c r="E808" s="69">
        <v>14018.5</v>
      </c>
    </row>
    <row r="809" spans="4:5" x14ac:dyDescent="0.25">
      <c r="D809" s="68">
        <v>44196</v>
      </c>
      <c r="E809" s="69">
        <v>13981.75</v>
      </c>
    </row>
    <row r="810" spans="4:5" x14ac:dyDescent="0.25">
      <c r="D810" s="68">
        <v>44195</v>
      </c>
      <c r="E810" s="69">
        <v>13981.95</v>
      </c>
    </row>
    <row r="811" spans="4:5" x14ac:dyDescent="0.25">
      <c r="D811" s="68">
        <v>44194</v>
      </c>
      <c r="E811" s="69">
        <v>13932.6</v>
      </c>
    </row>
    <row r="812" spans="4:5" x14ac:dyDescent="0.25">
      <c r="D812" s="68">
        <v>44193</v>
      </c>
      <c r="E812" s="69">
        <v>13873.2</v>
      </c>
    </row>
    <row r="813" spans="4:5" x14ac:dyDescent="0.25">
      <c r="D813" s="68">
        <v>44189</v>
      </c>
      <c r="E813" s="69">
        <v>13749.25</v>
      </c>
    </row>
    <row r="814" spans="4:5" x14ac:dyDescent="0.25">
      <c r="D814" s="68">
        <v>44188</v>
      </c>
      <c r="E814" s="69">
        <v>13601.1</v>
      </c>
    </row>
    <row r="815" spans="4:5" x14ac:dyDescent="0.25">
      <c r="D815" s="68">
        <v>44187</v>
      </c>
      <c r="E815" s="69">
        <v>13466.3</v>
      </c>
    </row>
    <row r="816" spans="4:5" x14ac:dyDescent="0.25">
      <c r="D816" s="68">
        <v>44186</v>
      </c>
      <c r="E816" s="69">
        <v>13328.4</v>
      </c>
    </row>
    <row r="817" spans="4:5" x14ac:dyDescent="0.25">
      <c r="D817" s="68">
        <v>44183</v>
      </c>
      <c r="E817" s="69">
        <v>13760.55</v>
      </c>
    </row>
    <row r="818" spans="4:5" x14ac:dyDescent="0.25">
      <c r="D818" s="68">
        <v>44182</v>
      </c>
      <c r="E818" s="69">
        <v>13740.7</v>
      </c>
    </row>
    <row r="819" spans="4:5" x14ac:dyDescent="0.25">
      <c r="D819" s="68">
        <v>44181</v>
      </c>
      <c r="E819" s="69">
        <v>13682.7</v>
      </c>
    </row>
    <row r="820" spans="4:5" x14ac:dyDescent="0.25">
      <c r="D820" s="68">
        <v>44180</v>
      </c>
      <c r="E820" s="69">
        <v>13567.85</v>
      </c>
    </row>
    <row r="821" spans="4:5" x14ac:dyDescent="0.25">
      <c r="D821" s="68">
        <v>44179</v>
      </c>
      <c r="E821" s="69">
        <v>13558.15</v>
      </c>
    </row>
    <row r="822" spans="4:5" x14ac:dyDescent="0.25">
      <c r="D822" s="68">
        <v>44176</v>
      </c>
      <c r="E822" s="69">
        <v>13513.85</v>
      </c>
    </row>
    <row r="823" spans="4:5" x14ac:dyDescent="0.25">
      <c r="D823" s="68">
        <v>44175</v>
      </c>
      <c r="E823" s="69">
        <v>13478.3</v>
      </c>
    </row>
    <row r="824" spans="4:5" x14ac:dyDescent="0.25">
      <c r="D824" s="68">
        <v>44174</v>
      </c>
      <c r="E824" s="69">
        <v>13529.1</v>
      </c>
    </row>
    <row r="825" spans="4:5" x14ac:dyDescent="0.25">
      <c r="D825" s="68">
        <v>44173</v>
      </c>
      <c r="E825" s="69">
        <v>13392.95</v>
      </c>
    </row>
    <row r="826" spans="4:5" x14ac:dyDescent="0.25">
      <c r="D826" s="68">
        <v>44172</v>
      </c>
      <c r="E826" s="69">
        <v>13355.75</v>
      </c>
    </row>
    <row r="827" spans="4:5" x14ac:dyDescent="0.25">
      <c r="D827" s="68">
        <v>44169</v>
      </c>
      <c r="E827" s="69">
        <v>13258.55</v>
      </c>
    </row>
    <row r="828" spans="4:5" x14ac:dyDescent="0.25">
      <c r="D828" s="68">
        <v>44168</v>
      </c>
      <c r="E828" s="69">
        <v>13133.9</v>
      </c>
    </row>
    <row r="829" spans="4:5" x14ac:dyDescent="0.25">
      <c r="D829" s="68">
        <v>44167</v>
      </c>
      <c r="E829" s="69">
        <v>13113.75</v>
      </c>
    </row>
    <row r="830" spans="4:5" x14ac:dyDescent="0.25">
      <c r="D830" s="68">
        <v>44166</v>
      </c>
      <c r="E830" s="69">
        <v>13109.05</v>
      </c>
    </row>
    <row r="831" spans="4:5" x14ac:dyDescent="0.25">
      <c r="D831" s="68">
        <v>44162</v>
      </c>
      <c r="E831" s="69">
        <v>12968.95</v>
      </c>
    </row>
    <row r="832" spans="4:5" x14ac:dyDescent="0.25">
      <c r="D832" s="68">
        <v>44161</v>
      </c>
      <c r="E832" s="69">
        <v>12987</v>
      </c>
    </row>
    <row r="833" spans="4:5" x14ac:dyDescent="0.25">
      <c r="D833" s="68">
        <v>44160</v>
      </c>
      <c r="E833" s="69">
        <v>12858.4</v>
      </c>
    </row>
    <row r="834" spans="4:5" x14ac:dyDescent="0.25">
      <c r="D834" s="68">
        <v>44159</v>
      </c>
      <c r="E834" s="69">
        <v>13055.15</v>
      </c>
    </row>
    <row r="835" spans="4:5" x14ac:dyDescent="0.25">
      <c r="D835" s="68">
        <v>44158</v>
      </c>
      <c r="E835" s="69">
        <v>12926.45</v>
      </c>
    </row>
    <row r="836" spans="4:5" x14ac:dyDescent="0.25">
      <c r="D836" s="68">
        <v>44155</v>
      </c>
      <c r="E836" s="69">
        <v>12859.05</v>
      </c>
    </row>
    <row r="837" spans="4:5" x14ac:dyDescent="0.25">
      <c r="D837" s="68">
        <v>44154</v>
      </c>
      <c r="E837" s="69">
        <v>12771.7</v>
      </c>
    </row>
    <row r="838" spans="4:5" x14ac:dyDescent="0.25">
      <c r="D838" s="68">
        <v>44153</v>
      </c>
      <c r="E838" s="69">
        <v>12938.25</v>
      </c>
    </row>
    <row r="839" spans="4:5" x14ac:dyDescent="0.25">
      <c r="D839" s="68">
        <v>44152</v>
      </c>
      <c r="E839" s="69">
        <v>12874.2</v>
      </c>
    </row>
    <row r="840" spans="4:5" x14ac:dyDescent="0.25">
      <c r="D840" s="68">
        <v>44149</v>
      </c>
      <c r="E840" s="69">
        <v>12780.25</v>
      </c>
    </row>
    <row r="841" spans="4:5" x14ac:dyDescent="0.25">
      <c r="D841" s="68">
        <v>44148</v>
      </c>
      <c r="E841" s="69">
        <v>12719.95</v>
      </c>
    </row>
    <row r="842" spans="4:5" x14ac:dyDescent="0.25">
      <c r="D842" s="68">
        <v>44147</v>
      </c>
      <c r="E842" s="69">
        <v>12690.8</v>
      </c>
    </row>
    <row r="843" spans="4:5" x14ac:dyDescent="0.25">
      <c r="D843" s="68">
        <v>44146</v>
      </c>
      <c r="E843" s="69">
        <v>12749.15</v>
      </c>
    </row>
    <row r="844" spans="4:5" x14ac:dyDescent="0.25">
      <c r="D844" s="68">
        <v>44145</v>
      </c>
      <c r="E844" s="69">
        <v>12631.1</v>
      </c>
    </row>
    <row r="845" spans="4:5" x14ac:dyDescent="0.25">
      <c r="D845" s="68">
        <v>44144</v>
      </c>
      <c r="E845" s="69">
        <v>12461.05</v>
      </c>
    </row>
    <row r="846" spans="4:5" x14ac:dyDescent="0.25">
      <c r="D846" s="68">
        <v>44141</v>
      </c>
      <c r="E846" s="69">
        <v>12263.55</v>
      </c>
    </row>
    <row r="847" spans="4:5" x14ac:dyDescent="0.25">
      <c r="D847" s="68">
        <v>44140</v>
      </c>
      <c r="E847" s="69">
        <v>12120.3</v>
      </c>
    </row>
    <row r="848" spans="4:5" x14ac:dyDescent="0.25">
      <c r="D848" s="68">
        <v>44139</v>
      </c>
      <c r="E848" s="69">
        <v>11908.5</v>
      </c>
    </row>
    <row r="849" spans="4:5" x14ac:dyDescent="0.25">
      <c r="D849" s="68">
        <v>44138</v>
      </c>
      <c r="E849" s="69">
        <v>11813.5</v>
      </c>
    </row>
    <row r="850" spans="4:5" x14ac:dyDescent="0.25">
      <c r="D850" s="68">
        <v>44137</v>
      </c>
      <c r="E850" s="69">
        <v>11669.15</v>
      </c>
    </row>
    <row r="851" spans="4:5" x14ac:dyDescent="0.25">
      <c r="D851" s="68">
        <v>44134</v>
      </c>
      <c r="E851" s="69">
        <v>11642.4</v>
      </c>
    </row>
    <row r="852" spans="4:5" x14ac:dyDescent="0.25">
      <c r="D852" s="68">
        <v>44133</v>
      </c>
      <c r="E852" s="69">
        <v>11670.8</v>
      </c>
    </row>
    <row r="853" spans="4:5" x14ac:dyDescent="0.25">
      <c r="D853" s="68">
        <v>44132</v>
      </c>
      <c r="E853" s="69">
        <v>11729.6</v>
      </c>
    </row>
    <row r="854" spans="4:5" x14ac:dyDescent="0.25">
      <c r="D854" s="68">
        <v>44131</v>
      </c>
      <c r="E854" s="69">
        <v>11889.4</v>
      </c>
    </row>
    <row r="855" spans="4:5" x14ac:dyDescent="0.25">
      <c r="D855" s="68">
        <v>44130</v>
      </c>
      <c r="E855" s="69">
        <v>11767.75</v>
      </c>
    </row>
    <row r="856" spans="4:5" x14ac:dyDescent="0.25">
      <c r="D856" s="68">
        <v>44127</v>
      </c>
      <c r="E856" s="69">
        <v>11930.35</v>
      </c>
    </row>
    <row r="857" spans="4:5" x14ac:dyDescent="0.25">
      <c r="D857" s="68">
        <v>44126</v>
      </c>
      <c r="E857" s="69">
        <v>11896.45</v>
      </c>
    </row>
    <row r="858" spans="4:5" x14ac:dyDescent="0.25">
      <c r="D858" s="68">
        <v>44125</v>
      </c>
      <c r="E858" s="69">
        <v>11937.65</v>
      </c>
    </row>
    <row r="859" spans="4:5" x14ac:dyDescent="0.25">
      <c r="D859" s="68">
        <v>44124</v>
      </c>
      <c r="E859" s="69">
        <v>11896.8</v>
      </c>
    </row>
    <row r="860" spans="4:5" x14ac:dyDescent="0.25">
      <c r="D860" s="68">
        <v>44123</v>
      </c>
      <c r="E860" s="69">
        <v>11873.05</v>
      </c>
    </row>
    <row r="861" spans="4:5" x14ac:dyDescent="0.25">
      <c r="D861" s="68">
        <v>44120</v>
      </c>
      <c r="E861" s="69">
        <v>11762.45</v>
      </c>
    </row>
    <row r="862" spans="4:5" x14ac:dyDescent="0.25">
      <c r="D862" s="68">
        <v>44119</v>
      </c>
      <c r="E862" s="69">
        <v>11680.35</v>
      </c>
    </row>
    <row r="863" spans="4:5" x14ac:dyDescent="0.25">
      <c r="D863" s="68">
        <v>44118</v>
      </c>
      <c r="E863" s="69">
        <v>11971.05</v>
      </c>
    </row>
    <row r="864" spans="4:5" x14ac:dyDescent="0.25">
      <c r="D864" s="68">
        <v>44117</v>
      </c>
      <c r="E864" s="69">
        <v>11934.5</v>
      </c>
    </row>
    <row r="865" spans="4:5" x14ac:dyDescent="0.25">
      <c r="D865" s="68">
        <v>44116</v>
      </c>
      <c r="E865" s="69">
        <v>11930.95</v>
      </c>
    </row>
    <row r="866" spans="4:5" x14ac:dyDescent="0.25">
      <c r="D866" s="68">
        <v>44113</v>
      </c>
      <c r="E866" s="69">
        <v>11914.2</v>
      </c>
    </row>
    <row r="867" spans="4:5" x14ac:dyDescent="0.25">
      <c r="D867" s="68">
        <v>44112</v>
      </c>
      <c r="E867" s="69">
        <v>11834.6</v>
      </c>
    </row>
    <row r="868" spans="4:5" x14ac:dyDescent="0.25">
      <c r="D868" s="68">
        <v>44111</v>
      </c>
      <c r="E868" s="69">
        <v>11738.85</v>
      </c>
    </row>
    <row r="869" spans="4:5" x14ac:dyDescent="0.25">
      <c r="D869" s="68">
        <v>44110</v>
      </c>
      <c r="E869" s="69">
        <v>11662.4</v>
      </c>
    </row>
    <row r="870" spans="4:5" x14ac:dyDescent="0.25">
      <c r="D870" s="68">
        <v>44109</v>
      </c>
      <c r="E870" s="69">
        <v>11503.35</v>
      </c>
    </row>
    <row r="871" spans="4:5" x14ac:dyDescent="0.25">
      <c r="D871" s="68">
        <v>44105</v>
      </c>
      <c r="E871" s="69">
        <v>11416.95</v>
      </c>
    </row>
    <row r="872" spans="4:5" x14ac:dyDescent="0.25">
      <c r="D872" s="68">
        <v>44104</v>
      </c>
      <c r="E872" s="69">
        <v>11247.55</v>
      </c>
    </row>
    <row r="873" spans="4:5" x14ac:dyDescent="0.25">
      <c r="D873" s="68">
        <v>44103</v>
      </c>
      <c r="E873" s="69">
        <v>11222.4</v>
      </c>
    </row>
    <row r="874" spans="4:5" x14ac:dyDescent="0.25">
      <c r="D874" s="68">
        <v>44102</v>
      </c>
      <c r="E874" s="69">
        <v>11227.55</v>
      </c>
    </row>
    <row r="875" spans="4:5" x14ac:dyDescent="0.25">
      <c r="D875" s="68">
        <v>44099</v>
      </c>
      <c r="E875" s="69">
        <v>11050.25</v>
      </c>
    </row>
    <row r="876" spans="4:5" x14ac:dyDescent="0.25">
      <c r="D876" s="68">
        <v>44098</v>
      </c>
      <c r="E876" s="69">
        <v>10805.55</v>
      </c>
    </row>
    <row r="877" spans="4:5" x14ac:dyDescent="0.25">
      <c r="D877" s="68">
        <v>44097</v>
      </c>
      <c r="E877" s="69">
        <v>11131.85</v>
      </c>
    </row>
    <row r="878" spans="4:5" x14ac:dyDescent="0.25">
      <c r="D878" s="68">
        <v>44096</v>
      </c>
      <c r="E878" s="69">
        <v>11153.65</v>
      </c>
    </row>
    <row r="879" spans="4:5" x14ac:dyDescent="0.25">
      <c r="D879" s="68">
        <v>44095</v>
      </c>
      <c r="E879" s="69">
        <v>11250.55</v>
      </c>
    </row>
    <row r="880" spans="4:5" x14ac:dyDescent="0.25">
      <c r="D880" s="68">
        <v>44092</v>
      </c>
      <c r="E880" s="69">
        <v>11504.95</v>
      </c>
    </row>
    <row r="881" spans="4:5" x14ac:dyDescent="0.25">
      <c r="D881" s="68">
        <v>44091</v>
      </c>
      <c r="E881" s="69">
        <v>11516.1</v>
      </c>
    </row>
    <row r="882" spans="4:5" x14ac:dyDescent="0.25">
      <c r="D882" s="68">
        <v>44090</v>
      </c>
      <c r="E882" s="69">
        <v>11604.55</v>
      </c>
    </row>
    <row r="883" spans="4:5" x14ac:dyDescent="0.25">
      <c r="D883" s="68">
        <v>44089</v>
      </c>
      <c r="E883" s="69">
        <v>11521.8</v>
      </c>
    </row>
    <row r="884" spans="4:5" x14ac:dyDescent="0.25">
      <c r="D884" s="68">
        <v>44088</v>
      </c>
      <c r="E884" s="69">
        <v>11440.05</v>
      </c>
    </row>
    <row r="885" spans="4:5" x14ac:dyDescent="0.25">
      <c r="D885" s="68">
        <v>44085</v>
      </c>
      <c r="E885" s="69">
        <v>11464.45</v>
      </c>
    </row>
    <row r="886" spans="4:5" x14ac:dyDescent="0.25">
      <c r="D886" s="68">
        <v>44084</v>
      </c>
      <c r="E886" s="69">
        <v>11449.25</v>
      </c>
    </row>
    <row r="887" spans="4:5" x14ac:dyDescent="0.25">
      <c r="D887" s="68">
        <v>44083</v>
      </c>
      <c r="E887" s="69">
        <v>11278</v>
      </c>
    </row>
    <row r="888" spans="4:5" x14ac:dyDescent="0.25">
      <c r="D888" s="68">
        <v>44082</v>
      </c>
      <c r="E888" s="69">
        <v>11317.35</v>
      </c>
    </row>
    <row r="889" spans="4:5" x14ac:dyDescent="0.25">
      <c r="D889" s="68">
        <v>44081</v>
      </c>
      <c r="E889" s="69">
        <v>11355.05</v>
      </c>
    </row>
    <row r="890" spans="4:5" x14ac:dyDescent="0.25">
      <c r="D890" s="68">
        <v>44078</v>
      </c>
      <c r="E890" s="69">
        <v>11333.85</v>
      </c>
    </row>
    <row r="891" spans="4:5" x14ac:dyDescent="0.25">
      <c r="D891" s="68">
        <v>44077</v>
      </c>
      <c r="E891" s="69">
        <v>11527.45</v>
      </c>
    </row>
    <row r="892" spans="4:5" x14ac:dyDescent="0.25">
      <c r="D892" s="68">
        <v>44076</v>
      </c>
      <c r="E892" s="69">
        <v>11535</v>
      </c>
    </row>
    <row r="893" spans="4:5" x14ac:dyDescent="0.25">
      <c r="D893" s="68">
        <v>44075</v>
      </c>
      <c r="E893" s="69">
        <v>11470.25</v>
      </c>
    </row>
    <row r="894" spans="4:5" x14ac:dyDescent="0.25">
      <c r="D894" s="68">
        <v>44074</v>
      </c>
      <c r="E894" s="69">
        <v>11387.5</v>
      </c>
    </row>
    <row r="895" spans="4:5" x14ac:dyDescent="0.25">
      <c r="D895" s="68">
        <v>44071</v>
      </c>
      <c r="E895" s="69">
        <v>11647.6</v>
      </c>
    </row>
    <row r="896" spans="4:5" x14ac:dyDescent="0.25">
      <c r="D896" s="68">
        <v>44070</v>
      </c>
      <c r="E896" s="69">
        <v>11559.25</v>
      </c>
    </row>
    <row r="897" spans="4:5" x14ac:dyDescent="0.25">
      <c r="D897" s="68">
        <v>44069</v>
      </c>
      <c r="E897" s="69">
        <v>11549.6</v>
      </c>
    </row>
    <row r="898" spans="4:5" x14ac:dyDescent="0.25">
      <c r="D898" s="68">
        <v>44068</v>
      </c>
      <c r="E898" s="69">
        <v>11472.25</v>
      </c>
    </row>
    <row r="899" spans="4:5" x14ac:dyDescent="0.25">
      <c r="D899" s="68">
        <v>44067</v>
      </c>
      <c r="E899" s="69">
        <v>11466.45</v>
      </c>
    </row>
    <row r="900" spans="4:5" x14ac:dyDescent="0.25">
      <c r="D900" s="68">
        <v>44064</v>
      </c>
      <c r="E900" s="69">
        <v>11371.6</v>
      </c>
    </row>
    <row r="901" spans="4:5" x14ac:dyDescent="0.25">
      <c r="D901" s="68">
        <v>44063</v>
      </c>
      <c r="E901" s="69">
        <v>11312.2</v>
      </c>
    </row>
    <row r="902" spans="4:5" x14ac:dyDescent="0.25">
      <c r="D902" s="68">
        <v>44062</v>
      </c>
      <c r="E902" s="69">
        <v>11408.4</v>
      </c>
    </row>
    <row r="903" spans="4:5" x14ac:dyDescent="0.25">
      <c r="D903" s="68">
        <v>44061</v>
      </c>
      <c r="E903" s="69">
        <v>11385.35</v>
      </c>
    </row>
    <row r="904" spans="4:5" x14ac:dyDescent="0.25">
      <c r="D904" s="68">
        <v>44060</v>
      </c>
      <c r="E904" s="69">
        <v>11247.1</v>
      </c>
    </row>
    <row r="905" spans="4:5" x14ac:dyDescent="0.25">
      <c r="D905" s="68">
        <v>44057</v>
      </c>
      <c r="E905" s="69">
        <v>11178.4</v>
      </c>
    </row>
    <row r="906" spans="4:5" x14ac:dyDescent="0.25">
      <c r="D906" s="68">
        <v>44056</v>
      </c>
      <c r="E906" s="69">
        <v>11300.45</v>
      </c>
    </row>
    <row r="907" spans="4:5" x14ac:dyDescent="0.25">
      <c r="D907" s="68">
        <v>44055</v>
      </c>
      <c r="E907" s="69">
        <v>11308.4</v>
      </c>
    </row>
    <row r="908" spans="4:5" x14ac:dyDescent="0.25">
      <c r="D908" s="68">
        <v>44054</v>
      </c>
      <c r="E908" s="69">
        <v>11322.5</v>
      </c>
    </row>
    <row r="909" spans="4:5" x14ac:dyDescent="0.25">
      <c r="D909" s="68">
        <v>44053</v>
      </c>
      <c r="E909" s="69">
        <v>11270.15</v>
      </c>
    </row>
    <row r="910" spans="4:5" x14ac:dyDescent="0.25">
      <c r="D910" s="68">
        <v>44050</v>
      </c>
      <c r="E910" s="69">
        <v>11214.05</v>
      </c>
    </row>
    <row r="911" spans="4:5" x14ac:dyDescent="0.25">
      <c r="D911" s="68">
        <v>44049</v>
      </c>
      <c r="E911" s="69">
        <v>11200.15</v>
      </c>
    </row>
    <row r="912" spans="4:5" x14ac:dyDescent="0.25">
      <c r="D912" s="68">
        <v>44048</v>
      </c>
      <c r="E912" s="69">
        <v>11101.65</v>
      </c>
    </row>
    <row r="913" spans="4:5" x14ac:dyDescent="0.25">
      <c r="D913" s="68">
        <v>44047</v>
      </c>
      <c r="E913" s="69">
        <v>11095.25</v>
      </c>
    </row>
    <row r="914" spans="4:5" x14ac:dyDescent="0.25">
      <c r="D914" s="68">
        <v>44046</v>
      </c>
      <c r="E914" s="69">
        <v>10891.6</v>
      </c>
    </row>
    <row r="915" spans="4:5" x14ac:dyDescent="0.25">
      <c r="D915" s="68">
        <v>44043</v>
      </c>
      <c r="E915" s="69">
        <v>11073.45</v>
      </c>
    </row>
    <row r="916" spans="4:5" x14ac:dyDescent="0.25">
      <c r="D916" s="68">
        <v>44042</v>
      </c>
      <c r="E916" s="69">
        <v>11102.15</v>
      </c>
    </row>
    <row r="917" spans="4:5" x14ac:dyDescent="0.25">
      <c r="D917" s="68">
        <v>44041</v>
      </c>
      <c r="E917" s="69">
        <v>11202.85</v>
      </c>
    </row>
    <row r="918" spans="4:5" x14ac:dyDescent="0.25">
      <c r="D918" s="68">
        <v>44040</v>
      </c>
      <c r="E918" s="69">
        <v>11300.55</v>
      </c>
    </row>
    <row r="919" spans="4:5" x14ac:dyDescent="0.25">
      <c r="D919" s="68">
        <v>44039</v>
      </c>
      <c r="E919" s="69">
        <v>11131.8</v>
      </c>
    </row>
    <row r="920" spans="4:5" x14ac:dyDescent="0.25">
      <c r="D920" s="68">
        <v>44036</v>
      </c>
      <c r="E920" s="69">
        <v>11194.15</v>
      </c>
    </row>
    <row r="921" spans="4:5" x14ac:dyDescent="0.25">
      <c r="D921" s="68">
        <v>44035</v>
      </c>
      <c r="E921" s="69">
        <v>11215.45</v>
      </c>
    </row>
    <row r="922" spans="4:5" x14ac:dyDescent="0.25">
      <c r="D922" s="68">
        <v>44034</v>
      </c>
      <c r="E922" s="69">
        <v>11132.6</v>
      </c>
    </row>
    <row r="923" spans="4:5" x14ac:dyDescent="0.25">
      <c r="D923" s="68">
        <v>44033</v>
      </c>
      <c r="E923" s="69">
        <v>11162.25</v>
      </c>
    </row>
    <row r="924" spans="4:5" x14ac:dyDescent="0.25">
      <c r="D924" s="68">
        <v>44032</v>
      </c>
      <c r="E924" s="69">
        <v>11022.2</v>
      </c>
    </row>
    <row r="925" spans="4:5" x14ac:dyDescent="0.25">
      <c r="D925" s="68">
        <v>44029</v>
      </c>
      <c r="E925" s="69">
        <v>10901.7</v>
      </c>
    </row>
    <row r="926" spans="4:5" x14ac:dyDescent="0.25">
      <c r="D926" s="68">
        <v>44028</v>
      </c>
      <c r="E926" s="69">
        <v>10739.95</v>
      </c>
    </row>
    <row r="927" spans="4:5" x14ac:dyDescent="0.25">
      <c r="D927" s="68">
        <v>44027</v>
      </c>
      <c r="E927" s="69">
        <v>10618.2</v>
      </c>
    </row>
    <row r="928" spans="4:5" x14ac:dyDescent="0.25">
      <c r="D928" s="68">
        <v>44026</v>
      </c>
      <c r="E928" s="69">
        <v>10607.35</v>
      </c>
    </row>
    <row r="929" spans="4:5" x14ac:dyDescent="0.25">
      <c r="D929" s="68">
        <v>44025</v>
      </c>
      <c r="E929" s="69">
        <v>10802.7</v>
      </c>
    </row>
    <row r="930" spans="4:5" x14ac:dyDescent="0.25">
      <c r="D930" s="68">
        <v>44022</v>
      </c>
      <c r="E930" s="69">
        <v>10768.05</v>
      </c>
    </row>
    <row r="931" spans="4:5" x14ac:dyDescent="0.25">
      <c r="D931" s="68">
        <v>44021</v>
      </c>
      <c r="E931" s="69">
        <v>10813.45</v>
      </c>
    </row>
    <row r="932" spans="4:5" x14ac:dyDescent="0.25">
      <c r="D932" s="68">
        <v>44020</v>
      </c>
      <c r="E932" s="69">
        <v>10705.75</v>
      </c>
    </row>
    <row r="933" spans="4:5" x14ac:dyDescent="0.25">
      <c r="D933" s="68">
        <v>44019</v>
      </c>
      <c r="E933" s="69">
        <v>10799.65</v>
      </c>
    </row>
    <row r="934" spans="4:5" x14ac:dyDescent="0.25">
      <c r="D934" s="68">
        <v>44018</v>
      </c>
      <c r="E934" s="69">
        <v>10763.65</v>
      </c>
    </row>
    <row r="935" spans="4:5" x14ac:dyDescent="0.25">
      <c r="D935" s="68">
        <v>44015</v>
      </c>
      <c r="E935" s="69">
        <v>10607.35</v>
      </c>
    </row>
    <row r="936" spans="4:5" x14ac:dyDescent="0.25">
      <c r="D936" s="68">
        <v>44014</v>
      </c>
      <c r="E936" s="69">
        <v>10551.7</v>
      </c>
    </row>
    <row r="937" spans="4:5" x14ac:dyDescent="0.25">
      <c r="D937" s="68">
        <v>44013</v>
      </c>
      <c r="E937" s="69">
        <v>10430.049999999999</v>
      </c>
    </row>
    <row r="938" spans="4:5" x14ac:dyDescent="0.25">
      <c r="D938" s="68">
        <v>44012</v>
      </c>
      <c r="E938" s="69">
        <v>10302.1</v>
      </c>
    </row>
    <row r="939" spans="4:5" x14ac:dyDescent="0.25">
      <c r="D939" s="68">
        <v>44011</v>
      </c>
      <c r="E939" s="69">
        <v>10312.4</v>
      </c>
    </row>
    <row r="940" spans="4:5" x14ac:dyDescent="0.25">
      <c r="D940" s="68">
        <v>44008</v>
      </c>
      <c r="E940" s="69">
        <v>10383</v>
      </c>
    </row>
    <row r="941" spans="4:5" x14ac:dyDescent="0.25">
      <c r="D941" s="68">
        <v>44007</v>
      </c>
      <c r="E941" s="69">
        <v>10288.9</v>
      </c>
    </row>
    <row r="942" spans="4:5" x14ac:dyDescent="0.25">
      <c r="D942" s="68">
        <v>44006</v>
      </c>
      <c r="E942" s="69">
        <v>10305.299999999999</v>
      </c>
    </row>
    <row r="943" spans="4:5" x14ac:dyDescent="0.25">
      <c r="D943" s="68">
        <v>44005</v>
      </c>
      <c r="E943" s="69">
        <v>10471</v>
      </c>
    </row>
    <row r="944" spans="4:5" x14ac:dyDescent="0.25">
      <c r="D944" s="68">
        <v>44004</v>
      </c>
      <c r="E944" s="69">
        <v>10311.200000000001</v>
      </c>
    </row>
    <row r="945" spans="4:5" x14ac:dyDescent="0.25">
      <c r="D945" s="68">
        <v>44001</v>
      </c>
      <c r="E945" s="69">
        <v>10244.4</v>
      </c>
    </row>
    <row r="946" spans="4:5" x14ac:dyDescent="0.25">
      <c r="D946" s="68">
        <v>44000</v>
      </c>
      <c r="E946" s="69">
        <v>10091.65</v>
      </c>
    </row>
    <row r="947" spans="4:5" x14ac:dyDescent="0.25">
      <c r="D947" s="68">
        <v>43999</v>
      </c>
      <c r="E947" s="69">
        <v>9881.15</v>
      </c>
    </row>
    <row r="948" spans="4:5" x14ac:dyDescent="0.25">
      <c r="D948" s="68">
        <v>43998</v>
      </c>
      <c r="E948" s="69">
        <v>9914</v>
      </c>
    </row>
    <row r="949" spans="4:5" x14ac:dyDescent="0.25">
      <c r="D949" s="68">
        <v>43997</v>
      </c>
      <c r="E949" s="69">
        <v>9813.7000000000007</v>
      </c>
    </row>
    <row r="950" spans="4:5" x14ac:dyDescent="0.25">
      <c r="D950" s="68">
        <v>43994</v>
      </c>
      <c r="E950" s="69">
        <v>9972.9</v>
      </c>
    </row>
    <row r="951" spans="4:5" x14ac:dyDescent="0.25">
      <c r="D951" s="68">
        <v>43993</v>
      </c>
      <c r="E951" s="69">
        <v>9902</v>
      </c>
    </row>
    <row r="952" spans="4:5" x14ac:dyDescent="0.25">
      <c r="D952" s="68">
        <v>43992</v>
      </c>
      <c r="E952" s="69">
        <v>10116.15</v>
      </c>
    </row>
    <row r="953" spans="4:5" x14ac:dyDescent="0.25">
      <c r="D953" s="68">
        <v>43991</v>
      </c>
      <c r="E953" s="69">
        <v>10046.65</v>
      </c>
    </row>
    <row r="954" spans="4:5" x14ac:dyDescent="0.25">
      <c r="D954" s="68">
        <v>43990</v>
      </c>
      <c r="E954" s="69">
        <v>10167.450000000001</v>
      </c>
    </row>
    <row r="955" spans="4:5" x14ac:dyDescent="0.25">
      <c r="D955" s="68">
        <v>43987</v>
      </c>
      <c r="E955" s="69">
        <v>10142.15</v>
      </c>
    </row>
    <row r="956" spans="4:5" x14ac:dyDescent="0.25">
      <c r="D956" s="68">
        <v>43986</v>
      </c>
      <c r="E956" s="69">
        <v>10029.1</v>
      </c>
    </row>
    <row r="957" spans="4:5" x14ac:dyDescent="0.25">
      <c r="D957" s="68">
        <v>43985</v>
      </c>
      <c r="E957" s="69">
        <v>10061.549999999999</v>
      </c>
    </row>
    <row r="958" spans="4:5" x14ac:dyDescent="0.25">
      <c r="D958" s="68">
        <v>43984</v>
      </c>
      <c r="E958" s="69">
        <v>9979.1</v>
      </c>
    </row>
    <row r="959" spans="4:5" x14ac:dyDescent="0.25">
      <c r="D959" s="68">
        <v>43983</v>
      </c>
      <c r="E959" s="69">
        <v>9826.15</v>
      </c>
    </row>
    <row r="960" spans="4:5" x14ac:dyDescent="0.25">
      <c r="D960" s="68">
        <v>43980</v>
      </c>
      <c r="E960" s="69">
        <v>9580.2999999999993</v>
      </c>
    </row>
    <row r="961" spans="4:5" x14ac:dyDescent="0.25">
      <c r="D961" s="68">
        <v>43979</v>
      </c>
      <c r="E961" s="69">
        <v>9490.1</v>
      </c>
    </row>
    <row r="962" spans="4:5" x14ac:dyDescent="0.25">
      <c r="D962" s="68">
        <v>43978</v>
      </c>
      <c r="E962" s="69">
        <v>9314.9500000000007</v>
      </c>
    </row>
    <row r="963" spans="4:5" x14ac:dyDescent="0.25">
      <c r="D963" s="68">
        <v>43977</v>
      </c>
      <c r="E963" s="69">
        <v>9029.0499999999993</v>
      </c>
    </row>
    <row r="964" spans="4:5" x14ac:dyDescent="0.25">
      <c r="D964" s="68">
        <v>43973</v>
      </c>
      <c r="E964" s="69">
        <v>9039.25</v>
      </c>
    </row>
    <row r="965" spans="4:5" x14ac:dyDescent="0.25">
      <c r="D965" s="68">
        <v>43972</v>
      </c>
      <c r="E965" s="69">
        <v>9106.25</v>
      </c>
    </row>
    <row r="966" spans="4:5" x14ac:dyDescent="0.25">
      <c r="D966" s="68">
        <v>43971</v>
      </c>
      <c r="E966" s="69">
        <v>9066.5499999999993</v>
      </c>
    </row>
    <row r="967" spans="4:5" x14ac:dyDescent="0.25">
      <c r="D967" s="68">
        <v>43970</v>
      </c>
      <c r="E967" s="69">
        <v>8879.1</v>
      </c>
    </row>
    <row r="968" spans="4:5" x14ac:dyDescent="0.25">
      <c r="D968" s="68">
        <v>43969</v>
      </c>
      <c r="E968" s="69">
        <v>8823.25</v>
      </c>
    </row>
    <row r="969" spans="4:5" x14ac:dyDescent="0.25">
      <c r="D969" s="68">
        <v>43966</v>
      </c>
      <c r="E969" s="69">
        <v>9136.85</v>
      </c>
    </row>
    <row r="970" spans="4:5" x14ac:dyDescent="0.25">
      <c r="D970" s="68">
        <v>43965</v>
      </c>
      <c r="E970" s="69">
        <v>9142.75</v>
      </c>
    </row>
    <row r="971" spans="4:5" x14ac:dyDescent="0.25">
      <c r="D971" s="68">
        <v>43964</v>
      </c>
      <c r="E971" s="69">
        <v>9383.5499999999993</v>
      </c>
    </row>
    <row r="972" spans="4:5" x14ac:dyDescent="0.25">
      <c r="D972" s="68">
        <v>43963</v>
      </c>
      <c r="E972" s="69">
        <v>9196.5499999999993</v>
      </c>
    </row>
    <row r="973" spans="4:5" x14ac:dyDescent="0.25">
      <c r="D973" s="68">
        <v>43962</v>
      </c>
      <c r="E973" s="69">
        <v>9239.2000000000007</v>
      </c>
    </row>
    <row r="974" spans="4:5" x14ac:dyDescent="0.25">
      <c r="D974" s="68">
        <v>43959</v>
      </c>
      <c r="E974" s="69">
        <v>9251.5</v>
      </c>
    </row>
    <row r="975" spans="4:5" x14ac:dyDescent="0.25">
      <c r="D975" s="68">
        <v>43958</v>
      </c>
      <c r="E975" s="69">
        <v>9199.0499999999993</v>
      </c>
    </row>
    <row r="976" spans="4:5" x14ac:dyDescent="0.25">
      <c r="D976" s="68">
        <v>43957</v>
      </c>
      <c r="E976" s="69">
        <v>9270.9</v>
      </c>
    </row>
    <row r="977" spans="4:5" x14ac:dyDescent="0.25">
      <c r="D977" s="68">
        <v>43956</v>
      </c>
      <c r="E977" s="69">
        <v>9205.6</v>
      </c>
    </row>
    <row r="978" spans="4:5" x14ac:dyDescent="0.25">
      <c r="D978" s="68">
        <v>43955</v>
      </c>
      <c r="E978" s="69">
        <v>9293.5</v>
      </c>
    </row>
    <row r="979" spans="4:5" x14ac:dyDescent="0.25">
      <c r="D979" s="68">
        <v>43951</v>
      </c>
      <c r="E979" s="69">
        <v>9859.9</v>
      </c>
    </row>
    <row r="980" spans="4:5" x14ac:dyDescent="0.25">
      <c r="D980" s="68">
        <v>43950</v>
      </c>
      <c r="E980" s="69">
        <v>9553.35</v>
      </c>
    </row>
    <row r="981" spans="4:5" x14ac:dyDescent="0.25">
      <c r="D981" s="68">
        <v>43949</v>
      </c>
      <c r="E981" s="69">
        <v>9380.9</v>
      </c>
    </row>
    <row r="982" spans="4:5" x14ac:dyDescent="0.25">
      <c r="D982" s="68">
        <v>43948</v>
      </c>
      <c r="E982" s="69">
        <v>9282.2999999999993</v>
      </c>
    </row>
    <row r="983" spans="4:5" x14ac:dyDescent="0.25">
      <c r="D983" s="68">
        <v>43945</v>
      </c>
      <c r="E983" s="69">
        <v>9154.4</v>
      </c>
    </row>
    <row r="984" spans="4:5" x14ac:dyDescent="0.25">
      <c r="D984" s="68">
        <v>43944</v>
      </c>
      <c r="E984" s="69">
        <v>9313.9</v>
      </c>
    </row>
    <row r="985" spans="4:5" x14ac:dyDescent="0.25">
      <c r="D985" s="68">
        <v>43943</v>
      </c>
      <c r="E985" s="69">
        <v>9187.2999999999993</v>
      </c>
    </row>
    <row r="986" spans="4:5" x14ac:dyDescent="0.25">
      <c r="D986" s="68">
        <v>43942</v>
      </c>
      <c r="E986" s="69">
        <v>8981.4500000000007</v>
      </c>
    </row>
    <row r="987" spans="4:5" x14ac:dyDescent="0.25">
      <c r="D987" s="68">
        <v>43941</v>
      </c>
      <c r="E987" s="69">
        <v>9261.85</v>
      </c>
    </row>
    <row r="988" spans="4:5" x14ac:dyDescent="0.25">
      <c r="D988" s="68">
        <v>43938</v>
      </c>
      <c r="E988" s="69">
        <v>9266.75</v>
      </c>
    </row>
    <row r="989" spans="4:5" x14ac:dyDescent="0.25">
      <c r="D989" s="68">
        <v>43937</v>
      </c>
      <c r="E989" s="69">
        <v>8992.7999999999993</v>
      </c>
    </row>
    <row r="990" spans="4:5" x14ac:dyDescent="0.25">
      <c r="D990" s="68">
        <v>43936</v>
      </c>
      <c r="E990" s="69">
        <v>8925.2999999999993</v>
      </c>
    </row>
    <row r="991" spans="4:5" x14ac:dyDescent="0.25">
      <c r="D991" s="68">
        <v>43934</v>
      </c>
      <c r="E991" s="69">
        <v>8993.85</v>
      </c>
    </row>
    <row r="992" spans="4:5" x14ac:dyDescent="0.25">
      <c r="D992" s="68">
        <v>43930</v>
      </c>
      <c r="E992" s="69">
        <v>9111.9</v>
      </c>
    </row>
    <row r="993" spans="4:5" x14ac:dyDescent="0.25">
      <c r="D993" s="68">
        <v>43929</v>
      </c>
      <c r="E993" s="69">
        <v>8748.75</v>
      </c>
    </row>
    <row r="994" spans="4:5" x14ac:dyDescent="0.25">
      <c r="D994" s="68">
        <v>43928</v>
      </c>
      <c r="E994" s="69">
        <v>8792.2000000000007</v>
      </c>
    </row>
    <row r="995" spans="4:5" x14ac:dyDescent="0.25">
      <c r="D995" s="68">
        <v>43924</v>
      </c>
      <c r="E995" s="69">
        <v>8083.8</v>
      </c>
    </row>
    <row r="996" spans="4:5" x14ac:dyDescent="0.25">
      <c r="D996" s="68">
        <v>43922</v>
      </c>
      <c r="E996" s="69">
        <v>8253.7999999999993</v>
      </c>
    </row>
    <row r="997" spans="4:5" x14ac:dyDescent="0.25">
      <c r="D997" s="68">
        <v>43921</v>
      </c>
      <c r="E997" s="69">
        <v>8597.75</v>
      </c>
    </row>
    <row r="998" spans="4:5" x14ac:dyDescent="0.25">
      <c r="D998" s="68">
        <v>43920</v>
      </c>
      <c r="E998" s="69">
        <v>8281.1</v>
      </c>
    </row>
    <row r="999" spans="4:5" x14ac:dyDescent="0.25">
      <c r="D999" s="68">
        <v>43917</v>
      </c>
      <c r="E999" s="69">
        <v>8660.25</v>
      </c>
    </row>
    <row r="1000" spans="4:5" x14ac:dyDescent="0.25">
      <c r="D1000" s="68">
        <v>43916</v>
      </c>
      <c r="E1000" s="69">
        <v>8641.4500000000007</v>
      </c>
    </row>
    <row r="1001" spans="4:5" x14ac:dyDescent="0.25">
      <c r="D1001" s="68">
        <v>43915</v>
      </c>
      <c r="E1001" s="69">
        <v>8317.85</v>
      </c>
    </row>
    <row r="1002" spans="4:5" x14ac:dyDescent="0.25">
      <c r="D1002" s="68">
        <v>43914</v>
      </c>
      <c r="E1002" s="69">
        <v>7801.05</v>
      </c>
    </row>
    <row r="1003" spans="4:5" x14ac:dyDescent="0.25">
      <c r="D1003" s="68">
        <v>43913</v>
      </c>
      <c r="E1003" s="69">
        <v>7610.25</v>
      </c>
    </row>
    <row r="1004" spans="4:5" x14ac:dyDescent="0.25">
      <c r="D1004" s="68">
        <v>43910</v>
      </c>
      <c r="E1004" s="69">
        <v>8745.4500000000007</v>
      </c>
    </row>
    <row r="1005" spans="4:5" x14ac:dyDescent="0.25">
      <c r="D1005" s="68">
        <v>43909</v>
      </c>
      <c r="E1005" s="69">
        <v>8263.4500000000007</v>
      </c>
    </row>
    <row r="1006" spans="4:5" x14ac:dyDescent="0.25">
      <c r="D1006" s="68">
        <v>43908</v>
      </c>
      <c r="E1006" s="69">
        <v>8468.7999999999993</v>
      </c>
    </row>
    <row r="1007" spans="4:5" x14ac:dyDescent="0.25">
      <c r="D1007" s="68">
        <v>43907</v>
      </c>
      <c r="E1007" s="69">
        <v>8967.0499999999993</v>
      </c>
    </row>
    <row r="1008" spans="4:5" x14ac:dyDescent="0.25">
      <c r="D1008" s="68">
        <v>43906</v>
      </c>
      <c r="E1008" s="69">
        <v>9197.4</v>
      </c>
    </row>
    <row r="1009" spans="4:5" x14ac:dyDescent="0.25">
      <c r="D1009" s="68">
        <v>43903</v>
      </c>
      <c r="E1009" s="69">
        <v>9955.2000000000007</v>
      </c>
    </row>
    <row r="1010" spans="4:5" x14ac:dyDescent="0.25">
      <c r="D1010" s="68">
        <v>43902</v>
      </c>
      <c r="E1010" s="69">
        <v>9590.15</v>
      </c>
    </row>
    <row r="1011" spans="4:5" x14ac:dyDescent="0.25">
      <c r="D1011" s="68">
        <v>43901</v>
      </c>
      <c r="E1011" s="69">
        <v>10458.4</v>
      </c>
    </row>
    <row r="1012" spans="4:5" x14ac:dyDescent="0.25">
      <c r="D1012" s="68">
        <v>43899</v>
      </c>
      <c r="E1012" s="69">
        <v>10451.450000000001</v>
      </c>
    </row>
    <row r="1013" spans="4:5" x14ac:dyDescent="0.25">
      <c r="D1013" s="68">
        <v>43896</v>
      </c>
      <c r="E1013" s="69">
        <v>10989.45</v>
      </c>
    </row>
    <row r="1014" spans="4:5" x14ac:dyDescent="0.25">
      <c r="D1014" s="68">
        <v>43895</v>
      </c>
      <c r="E1014" s="69">
        <v>11269</v>
      </c>
    </row>
    <row r="1015" spans="4:5" x14ac:dyDescent="0.25">
      <c r="D1015" s="68">
        <v>43894</v>
      </c>
      <c r="E1015" s="69">
        <v>11251</v>
      </c>
    </row>
    <row r="1016" spans="4:5" x14ac:dyDescent="0.25">
      <c r="D1016" s="68">
        <v>43893</v>
      </c>
      <c r="E1016" s="69">
        <v>11303.3</v>
      </c>
    </row>
    <row r="1017" spans="4:5" x14ac:dyDescent="0.25">
      <c r="D1017" s="68">
        <v>43892</v>
      </c>
      <c r="E1017" s="69">
        <v>11132.75</v>
      </c>
    </row>
    <row r="1018" spans="4:5" x14ac:dyDescent="0.25">
      <c r="D1018" s="68">
        <v>43889</v>
      </c>
      <c r="E1018" s="69">
        <v>11201.75</v>
      </c>
    </row>
    <row r="1019" spans="4:5" x14ac:dyDescent="0.25">
      <c r="D1019" s="68">
        <v>43888</v>
      </c>
      <c r="E1019" s="69">
        <v>11633.3</v>
      </c>
    </row>
    <row r="1020" spans="4:5" x14ac:dyDescent="0.25">
      <c r="D1020" s="68">
        <v>43887</v>
      </c>
      <c r="E1020" s="69">
        <v>11678.5</v>
      </c>
    </row>
    <row r="1021" spans="4:5" x14ac:dyDescent="0.25">
      <c r="D1021" s="68">
        <v>43886</v>
      </c>
      <c r="E1021" s="69">
        <v>11797.9</v>
      </c>
    </row>
    <row r="1022" spans="4:5" x14ac:dyDescent="0.25">
      <c r="D1022" s="68">
        <v>43885</v>
      </c>
      <c r="E1022" s="69">
        <v>11829.4</v>
      </c>
    </row>
    <row r="1023" spans="4:5" x14ac:dyDescent="0.25">
      <c r="D1023" s="68">
        <v>43881</v>
      </c>
      <c r="E1023" s="69">
        <v>12080.85</v>
      </c>
    </row>
    <row r="1024" spans="4:5" x14ac:dyDescent="0.25">
      <c r="D1024" s="68">
        <v>43880</v>
      </c>
      <c r="E1024" s="69">
        <v>12125.9</v>
      </c>
    </row>
    <row r="1025" spans="4:5" x14ac:dyDescent="0.25">
      <c r="D1025" s="68">
        <v>43879</v>
      </c>
      <c r="E1025" s="69">
        <v>11992.5</v>
      </c>
    </row>
    <row r="1026" spans="4:5" x14ac:dyDescent="0.25">
      <c r="D1026" s="68">
        <v>43878</v>
      </c>
      <c r="E1026" s="69">
        <v>12045.8</v>
      </c>
    </row>
    <row r="1027" spans="4:5" x14ac:dyDescent="0.25">
      <c r="D1027" s="68">
        <v>43875</v>
      </c>
      <c r="E1027" s="69">
        <v>12113.45</v>
      </c>
    </row>
    <row r="1028" spans="4:5" x14ac:dyDescent="0.25">
      <c r="D1028" s="68">
        <v>43874</v>
      </c>
      <c r="E1028" s="69">
        <v>12174.65</v>
      </c>
    </row>
    <row r="1029" spans="4:5" x14ac:dyDescent="0.25">
      <c r="D1029" s="68">
        <v>43873</v>
      </c>
      <c r="E1029" s="69">
        <v>12201.2</v>
      </c>
    </row>
    <row r="1030" spans="4:5" x14ac:dyDescent="0.25">
      <c r="D1030" s="68">
        <v>43872</v>
      </c>
      <c r="E1030" s="69">
        <v>12107.9</v>
      </c>
    </row>
    <row r="1031" spans="4:5" x14ac:dyDescent="0.25">
      <c r="D1031" s="68">
        <v>43871</v>
      </c>
      <c r="E1031" s="69">
        <v>12031.5</v>
      </c>
    </row>
    <row r="1032" spans="4:5" x14ac:dyDescent="0.25">
      <c r="D1032" s="68">
        <v>43868</v>
      </c>
      <c r="E1032" s="69">
        <v>12098.35</v>
      </c>
    </row>
    <row r="1033" spans="4:5" x14ac:dyDescent="0.25">
      <c r="D1033" s="68">
        <v>43867</v>
      </c>
      <c r="E1033" s="69">
        <v>12137.95</v>
      </c>
    </row>
    <row r="1034" spans="4:5" x14ac:dyDescent="0.25">
      <c r="D1034" s="68">
        <v>43866</v>
      </c>
      <c r="E1034" s="69">
        <v>12089.15</v>
      </c>
    </row>
    <row r="1035" spans="4:5" x14ac:dyDescent="0.25">
      <c r="D1035" s="68">
        <v>43865</v>
      </c>
      <c r="E1035" s="69">
        <v>11979.65</v>
      </c>
    </row>
    <row r="1036" spans="4:5" x14ac:dyDescent="0.25">
      <c r="D1036" s="68">
        <v>43864</v>
      </c>
      <c r="E1036" s="69">
        <v>11707.9</v>
      </c>
    </row>
    <row r="1037" spans="4:5" x14ac:dyDescent="0.25">
      <c r="D1037" s="68">
        <v>43862</v>
      </c>
      <c r="E1037" s="69">
        <v>11661.85</v>
      </c>
    </row>
    <row r="1038" spans="4:5" x14ac:dyDescent="0.25">
      <c r="D1038" s="68">
        <v>43861</v>
      </c>
      <c r="E1038" s="69">
        <v>11962.1</v>
      </c>
    </row>
    <row r="1039" spans="4:5" x14ac:dyDescent="0.25">
      <c r="D1039" s="68">
        <v>43860</v>
      </c>
      <c r="E1039" s="69">
        <v>12035.8</v>
      </c>
    </row>
    <row r="1040" spans="4:5" x14ac:dyDescent="0.25">
      <c r="D1040" s="68">
        <v>43859</v>
      </c>
      <c r="E1040" s="69">
        <v>12129.5</v>
      </c>
    </row>
    <row r="1041" spans="4:5" x14ac:dyDescent="0.25">
      <c r="D1041" s="68">
        <v>43858</v>
      </c>
      <c r="E1041" s="69">
        <v>12055.8</v>
      </c>
    </row>
    <row r="1042" spans="4:5" x14ac:dyDescent="0.25">
      <c r="D1042" s="68">
        <v>43857</v>
      </c>
      <c r="E1042" s="69">
        <v>12119</v>
      </c>
    </row>
    <row r="1043" spans="4:5" x14ac:dyDescent="0.25">
      <c r="D1043" s="68">
        <v>43854</v>
      </c>
      <c r="E1043" s="69">
        <v>12248.25</v>
      </c>
    </row>
    <row r="1044" spans="4:5" x14ac:dyDescent="0.25">
      <c r="D1044" s="68">
        <v>43853</v>
      </c>
      <c r="E1044" s="69">
        <v>12180.35</v>
      </c>
    </row>
    <row r="1045" spans="4:5" x14ac:dyDescent="0.25">
      <c r="D1045" s="68">
        <v>43852</v>
      </c>
      <c r="E1045" s="69">
        <v>12106.9</v>
      </c>
    </row>
    <row r="1046" spans="4:5" x14ac:dyDescent="0.25">
      <c r="D1046" s="68">
        <v>43851</v>
      </c>
      <c r="E1046" s="69">
        <v>12169.85</v>
      </c>
    </row>
    <row r="1047" spans="4:5" x14ac:dyDescent="0.25">
      <c r="D1047" s="68">
        <v>43850</v>
      </c>
      <c r="E1047" s="69">
        <v>12224.55</v>
      </c>
    </row>
    <row r="1048" spans="4:5" x14ac:dyDescent="0.25">
      <c r="D1048" s="68">
        <v>43847</v>
      </c>
      <c r="E1048" s="69">
        <v>12352.35</v>
      </c>
    </row>
    <row r="1049" spans="4:5" x14ac:dyDescent="0.25">
      <c r="D1049" s="68">
        <v>43846</v>
      </c>
      <c r="E1049" s="69">
        <v>12355.5</v>
      </c>
    </row>
    <row r="1050" spans="4:5" x14ac:dyDescent="0.25">
      <c r="D1050" s="68">
        <v>43845</v>
      </c>
      <c r="E1050" s="69">
        <v>12343.3</v>
      </c>
    </row>
    <row r="1051" spans="4:5" x14ac:dyDescent="0.25">
      <c r="D1051" s="68">
        <v>43844</v>
      </c>
      <c r="E1051" s="69">
        <v>12362.3</v>
      </c>
    </row>
    <row r="1052" spans="4:5" x14ac:dyDescent="0.25">
      <c r="D1052" s="68">
        <v>43843</v>
      </c>
      <c r="E1052" s="69">
        <v>12329.55</v>
      </c>
    </row>
    <row r="1053" spans="4:5" x14ac:dyDescent="0.25">
      <c r="D1053" s="68">
        <v>43840</v>
      </c>
      <c r="E1053" s="69">
        <v>12256.8</v>
      </c>
    </row>
    <row r="1054" spans="4:5" x14ac:dyDescent="0.25">
      <c r="D1054" s="68">
        <v>43839</v>
      </c>
      <c r="E1054" s="69">
        <v>12215.9</v>
      </c>
    </row>
    <row r="1055" spans="4:5" x14ac:dyDescent="0.25">
      <c r="D1055" s="68">
        <v>43838</v>
      </c>
      <c r="E1055" s="69">
        <v>12025.35</v>
      </c>
    </row>
    <row r="1056" spans="4:5" x14ac:dyDescent="0.25">
      <c r="D1056" s="68">
        <v>43837</v>
      </c>
      <c r="E1056" s="69">
        <v>12052.95</v>
      </c>
    </row>
    <row r="1057" spans="4:5" x14ac:dyDescent="0.25">
      <c r="D1057" s="68">
        <v>43836</v>
      </c>
      <c r="E1057" s="69">
        <v>11993.05</v>
      </c>
    </row>
    <row r="1058" spans="4:5" x14ac:dyDescent="0.25">
      <c r="D1058" s="68">
        <v>43833</v>
      </c>
      <c r="E1058" s="69">
        <v>12226.65</v>
      </c>
    </row>
    <row r="1059" spans="4:5" x14ac:dyDescent="0.25">
      <c r="D1059" s="68">
        <v>43832</v>
      </c>
      <c r="E1059" s="69">
        <v>12282.2</v>
      </c>
    </row>
    <row r="1060" spans="4:5" x14ac:dyDescent="0.25">
      <c r="D1060" s="68">
        <v>43831</v>
      </c>
      <c r="E1060" s="69">
        <v>12182.5</v>
      </c>
    </row>
    <row r="1061" spans="4:5" x14ac:dyDescent="0.25">
      <c r="D1061" s="68">
        <v>43830</v>
      </c>
      <c r="E1061" s="69">
        <v>12168.45</v>
      </c>
    </row>
    <row r="1062" spans="4:5" x14ac:dyDescent="0.25">
      <c r="D1062" s="68">
        <v>43829</v>
      </c>
      <c r="E1062" s="69">
        <v>12255.85</v>
      </c>
    </row>
    <row r="1063" spans="4:5" x14ac:dyDescent="0.25">
      <c r="D1063" s="68">
        <v>43826</v>
      </c>
      <c r="E1063" s="69">
        <v>12245.8</v>
      </c>
    </row>
    <row r="1064" spans="4:5" x14ac:dyDescent="0.25">
      <c r="D1064" s="68">
        <v>43825</v>
      </c>
      <c r="E1064" s="69">
        <v>12126.55</v>
      </c>
    </row>
    <row r="1065" spans="4:5" x14ac:dyDescent="0.25">
      <c r="D1065" s="68">
        <v>43823</v>
      </c>
      <c r="E1065" s="69">
        <v>12214.55</v>
      </c>
    </row>
    <row r="1066" spans="4:5" x14ac:dyDescent="0.25">
      <c r="D1066" s="68">
        <v>43822</v>
      </c>
      <c r="E1066" s="69">
        <v>12262.75</v>
      </c>
    </row>
    <row r="1067" spans="4:5" x14ac:dyDescent="0.25">
      <c r="D1067" s="68">
        <v>43819</v>
      </c>
      <c r="E1067" s="69">
        <v>12271.8</v>
      </c>
    </row>
    <row r="1068" spans="4:5" x14ac:dyDescent="0.25">
      <c r="D1068" s="68">
        <v>43818</v>
      </c>
      <c r="E1068" s="69">
        <v>12259.7</v>
      </c>
    </row>
    <row r="1069" spans="4:5" x14ac:dyDescent="0.25">
      <c r="D1069" s="68">
        <v>43817</v>
      </c>
      <c r="E1069" s="69">
        <v>12221.65</v>
      </c>
    </row>
    <row r="1070" spans="4:5" x14ac:dyDescent="0.25">
      <c r="D1070" s="68">
        <v>43816</v>
      </c>
      <c r="E1070" s="69">
        <v>12165</v>
      </c>
    </row>
    <row r="1071" spans="4:5" x14ac:dyDescent="0.25">
      <c r="D1071" s="68">
        <v>43815</v>
      </c>
      <c r="E1071" s="69">
        <v>12053.95</v>
      </c>
    </row>
    <row r="1072" spans="4:5" x14ac:dyDescent="0.25">
      <c r="D1072" s="68">
        <v>43812</v>
      </c>
      <c r="E1072" s="69">
        <v>12086.7</v>
      </c>
    </row>
    <row r="1073" spans="4:5" x14ac:dyDescent="0.25">
      <c r="D1073" s="68">
        <v>43811</v>
      </c>
      <c r="E1073" s="69">
        <v>11971.8</v>
      </c>
    </row>
    <row r="1074" spans="4:5" x14ac:dyDescent="0.25">
      <c r="D1074" s="68">
        <v>43810</v>
      </c>
      <c r="E1074" s="69">
        <v>11910.15</v>
      </c>
    </row>
    <row r="1075" spans="4:5" x14ac:dyDescent="0.25">
      <c r="D1075" s="68">
        <v>43809</v>
      </c>
      <c r="E1075" s="69">
        <v>11856.8</v>
      </c>
    </row>
    <row r="1076" spans="4:5" x14ac:dyDescent="0.25">
      <c r="D1076" s="68">
        <v>43808</v>
      </c>
      <c r="E1076" s="69">
        <v>11937.5</v>
      </c>
    </row>
    <row r="1077" spans="4:5" x14ac:dyDescent="0.25">
      <c r="D1077" s="68">
        <v>43805</v>
      </c>
      <c r="E1077" s="69">
        <v>11921.5</v>
      </c>
    </row>
    <row r="1078" spans="4:5" x14ac:dyDescent="0.25">
      <c r="D1078" s="68">
        <v>43804</v>
      </c>
      <c r="E1078" s="69">
        <v>12018.4</v>
      </c>
    </row>
    <row r="1079" spans="4:5" x14ac:dyDescent="0.25">
      <c r="D1079" s="68">
        <v>43803</v>
      </c>
      <c r="E1079" s="69">
        <v>12043.2</v>
      </c>
    </row>
    <row r="1080" spans="4:5" x14ac:dyDescent="0.25">
      <c r="D1080" s="68">
        <v>43802</v>
      </c>
      <c r="E1080" s="69">
        <v>11994.2</v>
      </c>
    </row>
    <row r="1081" spans="4:5" x14ac:dyDescent="0.25">
      <c r="D1081" s="68">
        <v>43801</v>
      </c>
      <c r="E1081" s="69">
        <v>12048.2</v>
      </c>
    </row>
    <row r="1082" spans="4:5" x14ac:dyDescent="0.25">
      <c r="D1082" s="68">
        <v>43798</v>
      </c>
      <c r="E1082" s="69">
        <v>12056.05</v>
      </c>
    </row>
    <row r="1083" spans="4:5" x14ac:dyDescent="0.25">
      <c r="D1083" s="68">
        <v>43797</v>
      </c>
      <c r="E1083" s="69">
        <v>12151.15</v>
      </c>
    </row>
    <row r="1084" spans="4:5" x14ac:dyDescent="0.25">
      <c r="D1084" s="68">
        <v>43796</v>
      </c>
      <c r="E1084" s="69">
        <v>12100.7</v>
      </c>
    </row>
    <row r="1085" spans="4:5" x14ac:dyDescent="0.25">
      <c r="D1085" s="68">
        <v>43795</v>
      </c>
      <c r="E1085" s="69">
        <v>12037.7</v>
      </c>
    </row>
    <row r="1086" spans="4:5" x14ac:dyDescent="0.25">
      <c r="D1086" s="68">
        <v>43794</v>
      </c>
      <c r="E1086" s="69">
        <v>12073.75</v>
      </c>
    </row>
    <row r="1087" spans="4:5" x14ac:dyDescent="0.25">
      <c r="D1087" s="68">
        <v>43791</v>
      </c>
      <c r="E1087" s="69">
        <v>11914.4</v>
      </c>
    </row>
    <row r="1088" spans="4:5" x14ac:dyDescent="0.25">
      <c r="D1088" s="68">
        <v>43790</v>
      </c>
      <c r="E1088" s="69">
        <v>11968.4</v>
      </c>
    </row>
    <row r="1089" spans="4:5" x14ac:dyDescent="0.25">
      <c r="D1089" s="68">
        <v>43789</v>
      </c>
      <c r="E1089" s="69">
        <v>11999.1</v>
      </c>
    </row>
    <row r="1090" spans="4:5" x14ac:dyDescent="0.25">
      <c r="D1090" s="68">
        <v>43788</v>
      </c>
      <c r="E1090" s="69">
        <v>11940.1</v>
      </c>
    </row>
    <row r="1091" spans="4:5" x14ac:dyDescent="0.25">
      <c r="D1091" s="68">
        <v>43787</v>
      </c>
      <c r="E1091" s="69">
        <v>11884.5</v>
      </c>
    </row>
    <row r="1092" spans="4:5" x14ac:dyDescent="0.25">
      <c r="D1092" s="68">
        <v>43784</v>
      </c>
      <c r="E1092" s="69">
        <v>11895.45</v>
      </c>
    </row>
    <row r="1093" spans="4:5" x14ac:dyDescent="0.25">
      <c r="D1093" s="68">
        <v>43783</v>
      </c>
      <c r="E1093" s="69">
        <v>11872.1</v>
      </c>
    </row>
    <row r="1094" spans="4:5" x14ac:dyDescent="0.25">
      <c r="D1094" s="68">
        <v>43782</v>
      </c>
      <c r="E1094" s="69">
        <v>11840.45</v>
      </c>
    </row>
    <row r="1095" spans="4:5" x14ac:dyDescent="0.25">
      <c r="D1095" s="68">
        <v>43780</v>
      </c>
      <c r="E1095" s="69">
        <v>11913.45</v>
      </c>
    </row>
    <row r="1096" spans="4:5" x14ac:dyDescent="0.25">
      <c r="D1096" s="68">
        <v>43777</v>
      </c>
      <c r="E1096" s="69">
        <v>11908.15</v>
      </c>
    </row>
    <row r="1097" spans="4:5" x14ac:dyDescent="0.25">
      <c r="D1097" s="68">
        <v>43776</v>
      </c>
      <c r="E1097" s="69">
        <v>12012.05</v>
      </c>
    </row>
    <row r="1098" spans="4:5" x14ac:dyDescent="0.25">
      <c r="D1098" s="68">
        <v>43775</v>
      </c>
      <c r="E1098" s="69">
        <v>11966.05</v>
      </c>
    </row>
    <row r="1099" spans="4:5" x14ac:dyDescent="0.25">
      <c r="D1099" s="68">
        <v>43774</v>
      </c>
      <c r="E1099" s="69">
        <v>11917.2</v>
      </c>
    </row>
    <row r="1100" spans="4:5" x14ac:dyDescent="0.25">
      <c r="D1100" s="68">
        <v>43773</v>
      </c>
      <c r="E1100" s="69">
        <v>11941.3</v>
      </c>
    </row>
    <row r="1101" spans="4:5" x14ac:dyDescent="0.25">
      <c r="D1101" s="68">
        <v>43770</v>
      </c>
      <c r="E1101" s="69">
        <v>11890.6</v>
      </c>
    </row>
    <row r="1102" spans="4:5" x14ac:dyDescent="0.25">
      <c r="D1102" s="68">
        <v>43769</v>
      </c>
      <c r="E1102" s="69">
        <v>11877.45</v>
      </c>
    </row>
    <row r="1103" spans="4:5" x14ac:dyDescent="0.25">
      <c r="D1103" s="68">
        <v>43768</v>
      </c>
      <c r="E1103" s="69">
        <v>11844.1</v>
      </c>
    </row>
    <row r="1104" spans="4:5" x14ac:dyDescent="0.25">
      <c r="D1104" s="68">
        <v>43767</v>
      </c>
      <c r="E1104" s="69">
        <v>11786.85</v>
      </c>
    </row>
    <row r="1105" spans="4:5" x14ac:dyDescent="0.25">
      <c r="D1105" s="68">
        <v>43765</v>
      </c>
      <c r="E1105" s="69">
        <v>11627.15</v>
      </c>
    </row>
    <row r="1106" spans="4:5" x14ac:dyDescent="0.25">
      <c r="D1106" s="68">
        <v>43763</v>
      </c>
      <c r="E1106" s="69">
        <v>11583.9</v>
      </c>
    </row>
    <row r="1107" spans="4:5" x14ac:dyDescent="0.25">
      <c r="D1107" s="68">
        <v>43762</v>
      </c>
      <c r="E1107" s="69">
        <v>11582.6</v>
      </c>
    </row>
    <row r="1108" spans="4:5" x14ac:dyDescent="0.25">
      <c r="D1108" s="68">
        <v>43761</v>
      </c>
      <c r="E1108" s="69">
        <v>11604.1</v>
      </c>
    </row>
    <row r="1109" spans="4:5" x14ac:dyDescent="0.25">
      <c r="D1109" s="68">
        <v>43760</v>
      </c>
      <c r="E1109" s="69">
        <v>11588.35</v>
      </c>
    </row>
    <row r="1110" spans="4:5" x14ac:dyDescent="0.25">
      <c r="D1110" s="68">
        <v>43756</v>
      </c>
      <c r="E1110" s="69">
        <v>11661.85</v>
      </c>
    </row>
    <row r="1111" spans="4:5" x14ac:dyDescent="0.25">
      <c r="D1111" s="68">
        <v>43755</v>
      </c>
      <c r="E1111" s="69">
        <v>11586.35</v>
      </c>
    </row>
    <row r="1112" spans="4:5" x14ac:dyDescent="0.25">
      <c r="D1112" s="68">
        <v>43754</v>
      </c>
      <c r="E1112" s="69">
        <v>11464</v>
      </c>
    </row>
    <row r="1113" spans="4:5" x14ac:dyDescent="0.25">
      <c r="D1113" s="68">
        <v>43753</v>
      </c>
      <c r="E1113" s="69">
        <v>11428.3</v>
      </c>
    </row>
    <row r="1114" spans="4:5" x14ac:dyDescent="0.25">
      <c r="D1114" s="68">
        <v>43752</v>
      </c>
      <c r="E1114" s="69">
        <v>11341.15</v>
      </c>
    </row>
    <row r="1115" spans="4:5" x14ac:dyDescent="0.25">
      <c r="D1115" s="68">
        <v>43749</v>
      </c>
      <c r="E1115" s="69">
        <v>11305.05</v>
      </c>
    </row>
    <row r="1116" spans="4:5" x14ac:dyDescent="0.25">
      <c r="D1116" s="68">
        <v>43748</v>
      </c>
      <c r="E1116" s="69">
        <v>11234.55</v>
      </c>
    </row>
    <row r="1117" spans="4:5" x14ac:dyDescent="0.25">
      <c r="D1117" s="68">
        <v>43747</v>
      </c>
      <c r="E1117" s="69">
        <v>11313.3</v>
      </c>
    </row>
    <row r="1118" spans="4:5" x14ac:dyDescent="0.25">
      <c r="D1118" s="68">
        <v>43745</v>
      </c>
      <c r="E1118" s="69">
        <v>11126.4</v>
      </c>
    </row>
    <row r="1119" spans="4:5" x14ac:dyDescent="0.25">
      <c r="D1119" s="68">
        <v>43742</v>
      </c>
      <c r="E1119" s="69">
        <v>11174.75</v>
      </c>
    </row>
    <row r="1120" spans="4:5" x14ac:dyDescent="0.25">
      <c r="D1120" s="68">
        <v>43741</v>
      </c>
      <c r="E1120" s="69">
        <v>11314</v>
      </c>
    </row>
    <row r="1121" spans="4:5" x14ac:dyDescent="0.25">
      <c r="D1121" s="68">
        <v>43739</v>
      </c>
      <c r="E1121" s="69">
        <v>11359.9</v>
      </c>
    </row>
    <row r="1122" spans="4:5" x14ac:dyDescent="0.25">
      <c r="D1122" s="68">
        <v>43738</v>
      </c>
      <c r="E1122" s="69">
        <v>11474.45</v>
      </c>
    </row>
    <row r="1123" spans="4:5" x14ac:dyDescent="0.25">
      <c r="D1123" s="68">
        <v>43735</v>
      </c>
      <c r="E1123" s="69">
        <v>11512.4</v>
      </c>
    </row>
    <row r="1124" spans="4:5" x14ac:dyDescent="0.25">
      <c r="D1124" s="68">
        <v>43734</v>
      </c>
      <c r="E1124" s="69">
        <v>11571.2</v>
      </c>
    </row>
    <row r="1125" spans="4:5" x14ac:dyDescent="0.25">
      <c r="D1125" s="68">
        <v>43733</v>
      </c>
      <c r="E1125" s="69">
        <v>11440.2</v>
      </c>
    </row>
    <row r="1126" spans="4:5" x14ac:dyDescent="0.25">
      <c r="D1126" s="68">
        <v>43732</v>
      </c>
      <c r="E1126" s="69">
        <v>11588.2</v>
      </c>
    </row>
    <row r="1127" spans="4:5" x14ac:dyDescent="0.25">
      <c r="D1127" s="68">
        <v>43731</v>
      </c>
      <c r="E1127" s="69">
        <v>11600.2</v>
      </c>
    </row>
    <row r="1128" spans="4:5" x14ac:dyDescent="0.25">
      <c r="D1128" s="68">
        <v>43728</v>
      </c>
      <c r="E1128" s="69">
        <v>11274.2</v>
      </c>
    </row>
    <row r="1129" spans="4:5" x14ac:dyDescent="0.25">
      <c r="D1129" s="68">
        <v>43727</v>
      </c>
      <c r="E1129" s="69">
        <v>10704.8</v>
      </c>
    </row>
    <row r="1130" spans="4:5" x14ac:dyDescent="0.25">
      <c r="D1130" s="68">
        <v>43726</v>
      </c>
      <c r="E1130" s="69">
        <v>10840.65</v>
      </c>
    </row>
    <row r="1131" spans="4:5" x14ac:dyDescent="0.25">
      <c r="D1131" s="68">
        <v>43725</v>
      </c>
      <c r="E1131" s="69">
        <v>10817.6</v>
      </c>
    </row>
    <row r="1132" spans="4:5" x14ac:dyDescent="0.25">
      <c r="D1132" s="68">
        <v>43724</v>
      </c>
      <c r="E1132" s="69">
        <v>11003.5</v>
      </c>
    </row>
    <row r="1133" spans="4:5" x14ac:dyDescent="0.25">
      <c r="D1133" s="68">
        <v>43721</v>
      </c>
      <c r="E1133" s="69">
        <v>11075.9</v>
      </c>
    </row>
    <row r="1134" spans="4:5" x14ac:dyDescent="0.25">
      <c r="D1134" s="68">
        <v>43720</v>
      </c>
      <c r="E1134" s="69">
        <v>10982.8</v>
      </c>
    </row>
    <row r="1135" spans="4:5" x14ac:dyDescent="0.25">
      <c r="D1135" s="68">
        <v>43719</v>
      </c>
      <c r="E1135" s="69">
        <v>11035.7</v>
      </c>
    </row>
    <row r="1136" spans="4:5" x14ac:dyDescent="0.25">
      <c r="D1136" s="68">
        <v>43717</v>
      </c>
      <c r="E1136" s="69">
        <v>11003.05</v>
      </c>
    </row>
    <row r="1137" spans="4:5" x14ac:dyDescent="0.25">
      <c r="D1137" s="68">
        <v>43714</v>
      </c>
      <c r="E1137" s="69">
        <v>10946.2</v>
      </c>
    </row>
    <row r="1138" spans="4:5" x14ac:dyDescent="0.25">
      <c r="D1138" s="68">
        <v>43713</v>
      </c>
      <c r="E1138" s="69">
        <v>10847.9</v>
      </c>
    </row>
    <row r="1139" spans="4:5" x14ac:dyDescent="0.25">
      <c r="D1139" s="68">
        <v>43712</v>
      </c>
      <c r="E1139" s="69">
        <v>10844.65</v>
      </c>
    </row>
    <row r="1140" spans="4:5" x14ac:dyDescent="0.25">
      <c r="D1140" s="68">
        <v>43711</v>
      </c>
      <c r="E1140" s="69">
        <v>10797.9</v>
      </c>
    </row>
    <row r="1141" spans="4:5" x14ac:dyDescent="0.25">
      <c r="D1141" s="68">
        <v>43707</v>
      </c>
      <c r="E1141" s="69">
        <v>11023.25</v>
      </c>
    </row>
    <row r="1142" spans="4:5" x14ac:dyDescent="0.25">
      <c r="D1142" s="68">
        <v>43706</v>
      </c>
      <c r="E1142" s="69">
        <v>10948.3</v>
      </c>
    </row>
    <row r="1143" spans="4:5" x14ac:dyDescent="0.25">
      <c r="D1143" s="68">
        <v>43705</v>
      </c>
      <c r="E1143" s="69">
        <v>11046.1</v>
      </c>
    </row>
    <row r="1144" spans="4:5" x14ac:dyDescent="0.25">
      <c r="D1144" s="68">
        <v>43704</v>
      </c>
      <c r="E1144" s="69">
        <v>11105.35</v>
      </c>
    </row>
    <row r="1145" spans="4:5" x14ac:dyDescent="0.25">
      <c r="D1145" s="68">
        <v>43703</v>
      </c>
      <c r="E1145" s="69">
        <v>11057.85</v>
      </c>
    </row>
    <row r="1146" spans="4:5" x14ac:dyDescent="0.25">
      <c r="D1146" s="68">
        <v>43700</v>
      </c>
      <c r="E1146" s="69">
        <v>10829.35</v>
      </c>
    </row>
    <row r="1147" spans="4:5" x14ac:dyDescent="0.25">
      <c r="D1147" s="68">
        <v>43699</v>
      </c>
      <c r="E1147" s="69">
        <v>10741.35</v>
      </c>
    </row>
    <row r="1148" spans="4:5" x14ac:dyDescent="0.25">
      <c r="D1148" s="68">
        <v>43698</v>
      </c>
      <c r="E1148" s="69">
        <v>10918.7</v>
      </c>
    </row>
    <row r="1149" spans="4:5" x14ac:dyDescent="0.25">
      <c r="D1149" s="68">
        <v>43697</v>
      </c>
      <c r="E1149" s="69">
        <v>11017</v>
      </c>
    </row>
    <row r="1150" spans="4:5" x14ac:dyDescent="0.25">
      <c r="D1150" s="68">
        <v>43696</v>
      </c>
      <c r="E1150" s="69">
        <v>11053.9</v>
      </c>
    </row>
    <row r="1151" spans="4:5" x14ac:dyDescent="0.25">
      <c r="D1151" s="68">
        <v>43693</v>
      </c>
      <c r="E1151" s="69">
        <v>11047.8</v>
      </c>
    </row>
    <row r="1152" spans="4:5" x14ac:dyDescent="0.25">
      <c r="D1152" s="68">
        <v>43691</v>
      </c>
      <c r="E1152" s="69">
        <v>11029.4</v>
      </c>
    </row>
    <row r="1153" spans="4:5" x14ac:dyDescent="0.25">
      <c r="D1153" s="68">
        <v>43690</v>
      </c>
      <c r="E1153" s="69">
        <v>10925.85</v>
      </c>
    </row>
    <row r="1154" spans="4:5" x14ac:dyDescent="0.25">
      <c r="D1154" s="68">
        <v>43686</v>
      </c>
      <c r="E1154" s="69">
        <v>11109.65</v>
      </c>
    </row>
    <row r="1155" spans="4:5" x14ac:dyDescent="0.25">
      <c r="D1155" s="68">
        <v>43685</v>
      </c>
      <c r="E1155" s="69">
        <v>11032.45</v>
      </c>
    </row>
    <row r="1156" spans="4:5" x14ac:dyDescent="0.25">
      <c r="D1156" s="68">
        <v>43684</v>
      </c>
      <c r="E1156" s="69">
        <v>10855.5</v>
      </c>
    </row>
    <row r="1157" spans="4:5" x14ac:dyDescent="0.25">
      <c r="D1157" s="68">
        <v>43683</v>
      </c>
      <c r="E1157" s="69">
        <v>10948.25</v>
      </c>
    </row>
    <row r="1158" spans="4:5" x14ac:dyDescent="0.25">
      <c r="D1158" s="68">
        <v>43682</v>
      </c>
      <c r="E1158" s="69">
        <v>10862.6</v>
      </c>
    </row>
    <row r="1159" spans="4:5" x14ac:dyDescent="0.25">
      <c r="D1159" s="68">
        <v>43679</v>
      </c>
      <c r="E1159" s="69">
        <v>10997.35</v>
      </c>
    </row>
    <row r="1160" spans="4:5" x14ac:dyDescent="0.25">
      <c r="D1160" s="68">
        <v>43678</v>
      </c>
      <c r="E1160" s="69">
        <v>10980</v>
      </c>
    </row>
    <row r="1161" spans="4:5" x14ac:dyDescent="0.25">
      <c r="D1161" s="68">
        <v>43677</v>
      </c>
      <c r="E1161" s="69">
        <v>11118</v>
      </c>
    </row>
    <row r="1162" spans="4:5" x14ac:dyDescent="0.25">
      <c r="D1162" s="68">
        <v>43676</v>
      </c>
      <c r="E1162" s="69">
        <v>11085.4</v>
      </c>
    </row>
    <row r="1163" spans="4:5" x14ac:dyDescent="0.25">
      <c r="D1163" s="68">
        <v>43675</v>
      </c>
      <c r="E1163" s="69">
        <v>11189.2</v>
      </c>
    </row>
    <row r="1164" spans="4:5" x14ac:dyDescent="0.25">
      <c r="D1164" s="68">
        <v>43672</v>
      </c>
      <c r="E1164" s="69">
        <v>11284.3</v>
      </c>
    </row>
    <row r="1165" spans="4:5" x14ac:dyDescent="0.25">
      <c r="D1165" s="68">
        <v>43671</v>
      </c>
      <c r="E1165" s="69">
        <v>11252.15</v>
      </c>
    </row>
    <row r="1166" spans="4:5" x14ac:dyDescent="0.25">
      <c r="D1166" s="68">
        <v>43670</v>
      </c>
      <c r="E1166" s="69">
        <v>11271.3</v>
      </c>
    </row>
    <row r="1167" spans="4:5" x14ac:dyDescent="0.25">
      <c r="D1167" s="68">
        <v>43669</v>
      </c>
      <c r="E1167" s="69">
        <v>11331.05</v>
      </c>
    </row>
    <row r="1168" spans="4:5" x14ac:dyDescent="0.25">
      <c r="D1168" s="68">
        <v>43668</v>
      </c>
      <c r="E1168" s="69">
        <v>11346.2</v>
      </c>
    </row>
    <row r="1169" spans="4:5" x14ac:dyDescent="0.25">
      <c r="D1169" s="68">
        <v>43665</v>
      </c>
      <c r="E1169" s="69">
        <v>11419.25</v>
      </c>
    </row>
    <row r="1170" spans="4:5" x14ac:dyDescent="0.25">
      <c r="D1170" s="68">
        <v>43664</v>
      </c>
      <c r="E1170" s="69">
        <v>11596.9</v>
      </c>
    </row>
    <row r="1171" spans="4:5" x14ac:dyDescent="0.25">
      <c r="D1171" s="68">
        <v>43663</v>
      </c>
      <c r="E1171" s="69">
        <v>11687.5</v>
      </c>
    </row>
    <row r="1172" spans="4:5" x14ac:dyDescent="0.25">
      <c r="D1172" s="68">
        <v>43662</v>
      </c>
      <c r="E1172" s="69">
        <v>11662.6</v>
      </c>
    </row>
    <row r="1173" spans="4:5" x14ac:dyDescent="0.25">
      <c r="D1173" s="68">
        <v>43661</v>
      </c>
      <c r="E1173" s="69">
        <v>11588.35</v>
      </c>
    </row>
    <row r="1174" spans="4:5" x14ac:dyDescent="0.25">
      <c r="D1174" s="68">
        <v>43658</v>
      </c>
      <c r="E1174" s="69">
        <v>11552.5</v>
      </c>
    </row>
    <row r="1175" spans="4:5" x14ac:dyDescent="0.25">
      <c r="D1175" s="68">
        <v>43657</v>
      </c>
      <c r="E1175" s="69">
        <v>11582.9</v>
      </c>
    </row>
    <row r="1176" spans="4:5" x14ac:dyDescent="0.25">
      <c r="D1176" s="68">
        <v>43656</v>
      </c>
      <c r="E1176" s="69">
        <v>11498.9</v>
      </c>
    </row>
    <row r="1177" spans="4:5" x14ac:dyDescent="0.25">
      <c r="D1177" s="68">
        <v>43655</v>
      </c>
      <c r="E1177" s="69">
        <v>11555.9</v>
      </c>
    </row>
    <row r="1178" spans="4:5" x14ac:dyDescent="0.25">
      <c r="D1178" s="68">
        <v>43654</v>
      </c>
      <c r="E1178" s="69">
        <v>11558.6</v>
      </c>
    </row>
    <row r="1179" spans="4:5" x14ac:dyDescent="0.25">
      <c r="D1179" s="68">
        <v>43651</v>
      </c>
      <c r="E1179" s="69">
        <v>11811.15</v>
      </c>
    </row>
    <row r="1180" spans="4:5" x14ac:dyDescent="0.25">
      <c r="D1180" s="68">
        <v>43650</v>
      </c>
      <c r="E1180" s="69">
        <v>11946.75</v>
      </c>
    </row>
    <row r="1181" spans="4:5" x14ac:dyDescent="0.25">
      <c r="D1181" s="68">
        <v>43649</v>
      </c>
      <c r="E1181" s="69">
        <v>11916.75</v>
      </c>
    </row>
    <row r="1182" spans="4:5" x14ac:dyDescent="0.25">
      <c r="D1182" s="68">
        <v>43648</v>
      </c>
      <c r="E1182" s="69">
        <v>11910.3</v>
      </c>
    </row>
    <row r="1183" spans="4:5" x14ac:dyDescent="0.25">
      <c r="D1183" s="68">
        <v>43647</v>
      </c>
      <c r="E1183" s="69">
        <v>11865.6</v>
      </c>
    </row>
    <row r="1184" spans="4:5" x14ac:dyDescent="0.25">
      <c r="D1184" s="68">
        <v>43644</v>
      </c>
      <c r="E1184" s="69">
        <v>11788.85</v>
      </c>
    </row>
    <row r="1185" spans="4:5" x14ac:dyDescent="0.25">
      <c r="D1185" s="68">
        <v>43643</v>
      </c>
      <c r="E1185" s="69">
        <v>11841.55</v>
      </c>
    </row>
    <row r="1186" spans="4:5" x14ac:dyDescent="0.25">
      <c r="D1186" s="68">
        <v>43642</v>
      </c>
      <c r="E1186" s="69">
        <v>11847.55</v>
      </c>
    </row>
    <row r="1187" spans="4:5" x14ac:dyDescent="0.25">
      <c r="D1187" s="68">
        <v>43641</v>
      </c>
      <c r="E1187" s="69">
        <v>11796.45</v>
      </c>
    </row>
    <row r="1188" spans="4:5" x14ac:dyDescent="0.25">
      <c r="D1188" s="68">
        <v>43640</v>
      </c>
      <c r="E1188" s="69">
        <v>11699.65</v>
      </c>
    </row>
    <row r="1189" spans="4:5" x14ac:dyDescent="0.25">
      <c r="D1189" s="68">
        <v>43637</v>
      </c>
      <c r="E1189" s="69">
        <v>11724.1</v>
      </c>
    </row>
    <row r="1190" spans="4:5" x14ac:dyDescent="0.25">
      <c r="D1190" s="68">
        <v>43636</v>
      </c>
      <c r="E1190" s="69">
        <v>11831.75</v>
      </c>
    </row>
    <row r="1191" spans="4:5" x14ac:dyDescent="0.25">
      <c r="D1191" s="68">
        <v>43635</v>
      </c>
      <c r="E1191" s="69">
        <v>11691.45</v>
      </c>
    </row>
    <row r="1192" spans="4:5" x14ac:dyDescent="0.25">
      <c r="D1192" s="68">
        <v>43634</v>
      </c>
      <c r="E1192" s="69">
        <v>11691.5</v>
      </c>
    </row>
    <row r="1193" spans="4:5" x14ac:dyDescent="0.25">
      <c r="D1193" s="68">
        <v>43633</v>
      </c>
      <c r="E1193" s="69">
        <v>11672.15</v>
      </c>
    </row>
    <row r="1194" spans="4:5" x14ac:dyDescent="0.25">
      <c r="D1194" s="68">
        <v>43630</v>
      </c>
      <c r="E1194" s="69">
        <v>11823.3</v>
      </c>
    </row>
    <row r="1195" spans="4:5" x14ac:dyDescent="0.25">
      <c r="D1195" s="68">
        <v>43629</v>
      </c>
      <c r="E1195" s="69">
        <v>11914.05</v>
      </c>
    </row>
    <row r="1196" spans="4:5" x14ac:dyDescent="0.25">
      <c r="D1196" s="68">
        <v>43628</v>
      </c>
      <c r="E1196" s="69">
        <v>11906.2</v>
      </c>
    </row>
    <row r="1197" spans="4:5" x14ac:dyDescent="0.25">
      <c r="D1197" s="68">
        <v>43627</v>
      </c>
      <c r="E1197" s="69">
        <v>11965.6</v>
      </c>
    </row>
    <row r="1198" spans="4:5" x14ac:dyDescent="0.25">
      <c r="D1198" s="68">
        <v>43626</v>
      </c>
      <c r="E1198" s="69">
        <v>11922.7</v>
      </c>
    </row>
    <row r="1199" spans="4:5" x14ac:dyDescent="0.25">
      <c r="D1199" s="68">
        <v>43623</v>
      </c>
      <c r="E1199" s="69">
        <v>11870.65</v>
      </c>
    </row>
    <row r="1200" spans="4:5" x14ac:dyDescent="0.25">
      <c r="D1200" s="68">
        <v>43622</v>
      </c>
      <c r="E1200" s="69">
        <v>11843.75</v>
      </c>
    </row>
    <row r="1201" spans="4:5" x14ac:dyDescent="0.25">
      <c r="D1201" s="68">
        <v>43620</v>
      </c>
      <c r="E1201" s="69">
        <v>12021.65</v>
      </c>
    </row>
    <row r="1202" spans="4:5" x14ac:dyDescent="0.25">
      <c r="D1202" s="68">
        <v>43619</v>
      </c>
      <c r="E1202" s="69">
        <v>12088.55</v>
      </c>
    </row>
    <row r="1203" spans="4:5" x14ac:dyDescent="0.25">
      <c r="D1203" s="68">
        <v>43616</v>
      </c>
      <c r="E1203" s="69">
        <v>11922.8</v>
      </c>
    </row>
    <row r="1204" spans="4:5" x14ac:dyDescent="0.25">
      <c r="D1204" s="68">
        <v>43615</v>
      </c>
      <c r="E1204" s="69">
        <v>11945.9</v>
      </c>
    </row>
    <row r="1205" spans="4:5" x14ac:dyDescent="0.25">
      <c r="D1205" s="68">
        <v>43614</v>
      </c>
      <c r="E1205" s="69">
        <v>11861.1</v>
      </c>
    </row>
    <row r="1206" spans="4:5" x14ac:dyDescent="0.25">
      <c r="D1206" s="68">
        <v>43613</v>
      </c>
      <c r="E1206" s="69">
        <v>11928.75</v>
      </c>
    </row>
    <row r="1207" spans="4:5" x14ac:dyDescent="0.25">
      <c r="D1207" s="68">
        <v>43612</v>
      </c>
      <c r="E1207" s="69">
        <v>11924.75</v>
      </c>
    </row>
    <row r="1208" spans="4:5" x14ac:dyDescent="0.25">
      <c r="D1208" s="68">
        <v>43609</v>
      </c>
      <c r="E1208" s="69">
        <v>11844.1</v>
      </c>
    </row>
    <row r="1209" spans="4:5" x14ac:dyDescent="0.25">
      <c r="D1209" s="68">
        <v>43608</v>
      </c>
      <c r="E1209" s="69">
        <v>11657.05</v>
      </c>
    </row>
    <row r="1210" spans="4:5" x14ac:dyDescent="0.25">
      <c r="D1210" s="68">
        <v>43607</v>
      </c>
      <c r="E1210" s="69">
        <v>11737.9</v>
      </c>
    </row>
    <row r="1211" spans="4:5" x14ac:dyDescent="0.25">
      <c r="D1211" s="68">
        <v>43606</v>
      </c>
      <c r="E1211" s="69">
        <v>11709.1</v>
      </c>
    </row>
    <row r="1212" spans="4:5" x14ac:dyDescent="0.25">
      <c r="D1212" s="68">
        <v>43605</v>
      </c>
      <c r="E1212" s="69">
        <v>11828.25</v>
      </c>
    </row>
    <row r="1213" spans="4:5" x14ac:dyDescent="0.25">
      <c r="D1213" s="68">
        <v>43602</v>
      </c>
      <c r="E1213" s="69">
        <v>11407.15</v>
      </c>
    </row>
    <row r="1214" spans="4:5" x14ac:dyDescent="0.25">
      <c r="D1214" s="68">
        <v>43601</v>
      </c>
      <c r="E1214" s="69">
        <v>11257.1</v>
      </c>
    </row>
    <row r="1215" spans="4:5" x14ac:dyDescent="0.25">
      <c r="D1215" s="68">
        <v>43600</v>
      </c>
      <c r="E1215" s="69">
        <v>11157</v>
      </c>
    </row>
    <row r="1216" spans="4:5" x14ac:dyDescent="0.25">
      <c r="D1216" s="68">
        <v>43599</v>
      </c>
      <c r="E1216" s="69">
        <v>11222.05</v>
      </c>
    </row>
    <row r="1217" spans="4:5" x14ac:dyDescent="0.25">
      <c r="D1217" s="68">
        <v>43598</v>
      </c>
      <c r="E1217" s="69">
        <v>11148.2</v>
      </c>
    </row>
    <row r="1218" spans="4:5" x14ac:dyDescent="0.25">
      <c r="D1218" s="68">
        <v>43595</v>
      </c>
      <c r="E1218" s="69">
        <v>11278.9</v>
      </c>
    </row>
    <row r="1219" spans="4:5" x14ac:dyDescent="0.25">
      <c r="D1219" s="68">
        <v>43594</v>
      </c>
      <c r="E1219" s="69">
        <v>11301.8</v>
      </c>
    </row>
    <row r="1220" spans="4:5" x14ac:dyDescent="0.25">
      <c r="D1220" s="68">
        <v>43593</v>
      </c>
      <c r="E1220" s="69">
        <v>11359.45</v>
      </c>
    </row>
    <row r="1221" spans="4:5" x14ac:dyDescent="0.25">
      <c r="D1221" s="68">
        <v>43592</v>
      </c>
      <c r="E1221" s="69">
        <v>11497.9</v>
      </c>
    </row>
    <row r="1222" spans="4:5" x14ac:dyDescent="0.25">
      <c r="D1222" s="68">
        <v>43591</v>
      </c>
      <c r="E1222" s="69">
        <v>11598.25</v>
      </c>
    </row>
    <row r="1223" spans="4:5" x14ac:dyDescent="0.25">
      <c r="D1223" s="68">
        <v>43588</v>
      </c>
      <c r="E1223" s="69">
        <v>11712.25</v>
      </c>
    </row>
    <row r="1224" spans="4:5" x14ac:dyDescent="0.25">
      <c r="D1224" s="68">
        <v>43587</v>
      </c>
      <c r="E1224" s="69">
        <v>11724.75</v>
      </c>
    </row>
    <row r="1225" spans="4:5" x14ac:dyDescent="0.25">
      <c r="D1225" s="68">
        <v>43585</v>
      </c>
      <c r="E1225" s="69">
        <v>11748.15</v>
      </c>
    </row>
    <row r="1226" spans="4:5" x14ac:dyDescent="0.25">
      <c r="D1226" s="68">
        <v>43581</v>
      </c>
      <c r="E1226" s="69">
        <v>11754.65</v>
      </c>
    </row>
    <row r="1227" spans="4:5" x14ac:dyDescent="0.25">
      <c r="D1227" s="68">
        <v>43580</v>
      </c>
      <c r="E1227" s="69">
        <v>11641.8</v>
      </c>
    </row>
    <row r="1228" spans="4:5" x14ac:dyDescent="0.25">
      <c r="D1228" s="68">
        <v>43579</v>
      </c>
      <c r="E1228" s="69">
        <v>11726.15</v>
      </c>
    </row>
    <row r="1229" spans="4:5" x14ac:dyDescent="0.25">
      <c r="D1229" s="68">
        <v>43578</v>
      </c>
      <c r="E1229" s="69">
        <v>11575.95</v>
      </c>
    </row>
    <row r="1230" spans="4:5" x14ac:dyDescent="0.25">
      <c r="D1230" s="68">
        <v>43577</v>
      </c>
      <c r="E1230" s="69">
        <v>11594.45</v>
      </c>
    </row>
    <row r="1231" spans="4:5" x14ac:dyDescent="0.25">
      <c r="D1231" s="68">
        <v>43573</v>
      </c>
      <c r="E1231" s="69">
        <v>11752.8</v>
      </c>
    </row>
    <row r="1232" spans="4:5" x14ac:dyDescent="0.25">
      <c r="D1232" s="68">
        <v>43571</v>
      </c>
      <c r="E1232" s="69">
        <v>11787.15</v>
      </c>
    </row>
    <row r="1233" spans="4:5" x14ac:dyDescent="0.25">
      <c r="D1233" s="68">
        <v>43570</v>
      </c>
      <c r="E1233" s="69">
        <v>11690.35</v>
      </c>
    </row>
    <row r="1234" spans="4:5" x14ac:dyDescent="0.25">
      <c r="D1234" s="68">
        <v>43567</v>
      </c>
      <c r="E1234" s="69">
        <v>11643.45</v>
      </c>
    </row>
    <row r="1235" spans="4:5" x14ac:dyDescent="0.25">
      <c r="D1235" s="68">
        <v>43566</v>
      </c>
      <c r="E1235" s="69">
        <v>11596.7</v>
      </c>
    </row>
    <row r="1236" spans="4:5" x14ac:dyDescent="0.25">
      <c r="D1236" s="68">
        <v>43565</v>
      </c>
      <c r="E1236" s="69">
        <v>11584.3</v>
      </c>
    </row>
    <row r="1237" spans="4:5" x14ac:dyDescent="0.25">
      <c r="D1237" s="68">
        <v>43564</v>
      </c>
      <c r="E1237" s="69">
        <v>11671.95</v>
      </c>
    </row>
    <row r="1238" spans="4:5" x14ac:dyDescent="0.25">
      <c r="D1238" s="68">
        <v>43563</v>
      </c>
      <c r="E1238" s="69">
        <v>11604.5</v>
      </c>
    </row>
    <row r="1239" spans="4:5" x14ac:dyDescent="0.25">
      <c r="D1239" s="68">
        <v>43560</v>
      </c>
      <c r="E1239" s="69">
        <v>11665.95</v>
      </c>
    </row>
    <row r="1240" spans="4:5" x14ac:dyDescent="0.25">
      <c r="D1240" s="68">
        <v>43559</v>
      </c>
      <c r="E1240" s="69">
        <v>11598</v>
      </c>
    </row>
    <row r="1241" spans="4:5" x14ac:dyDescent="0.25">
      <c r="D1241" s="68">
        <v>43558</v>
      </c>
      <c r="E1241" s="69">
        <v>11643.95</v>
      </c>
    </row>
    <row r="1242" spans="4:5" x14ac:dyDescent="0.25">
      <c r="D1242" s="68">
        <v>43557</v>
      </c>
      <c r="E1242" s="69">
        <v>11713.2</v>
      </c>
    </row>
    <row r="1243" spans="4:5" x14ac:dyDescent="0.25">
      <c r="D1243" s="68">
        <v>43556</v>
      </c>
      <c r="E1243" s="69">
        <v>11669.15</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S61"/>
  <sheetViews>
    <sheetView showGridLines="0" workbookViewId="0">
      <selection activeCell="J18" sqref="J18"/>
    </sheetView>
  </sheetViews>
  <sheetFormatPr defaultRowHeight="15" x14ac:dyDescent="0.25"/>
  <cols>
    <col min="1" max="3" width="1.42578125" customWidth="1"/>
    <col min="4" max="4" width="24.5703125" bestFit="1" customWidth="1"/>
    <col min="5" max="5" width="14.140625" bestFit="1" customWidth="1"/>
    <col min="6" max="6" width="15.85546875" customWidth="1"/>
    <col min="7" max="7" width="13.5703125" customWidth="1"/>
    <col min="9" max="9" width="12" bestFit="1" customWidth="1"/>
    <col min="11" max="11" width="12" bestFit="1" customWidth="1"/>
  </cols>
  <sheetData>
    <row r="3" spans="3:19" x14ac:dyDescent="0.25">
      <c r="E3" s="99">
        <v>2025</v>
      </c>
      <c r="F3" s="99">
        <f>E3+1</f>
        <v>2026</v>
      </c>
      <c r="G3" s="99">
        <f t="shared" ref="G3:N3" si="0">F3+1</f>
        <v>2027</v>
      </c>
      <c r="H3" s="99">
        <f t="shared" si="0"/>
        <v>2028</v>
      </c>
      <c r="I3" s="99">
        <f t="shared" si="0"/>
        <v>2029</v>
      </c>
      <c r="J3" s="99">
        <f t="shared" si="0"/>
        <v>2030</v>
      </c>
      <c r="K3" s="99">
        <f t="shared" si="0"/>
        <v>2031</v>
      </c>
      <c r="L3" s="99">
        <f t="shared" si="0"/>
        <v>2032</v>
      </c>
      <c r="M3" s="99">
        <f t="shared" si="0"/>
        <v>2033</v>
      </c>
      <c r="N3" s="99">
        <f t="shared" si="0"/>
        <v>2034</v>
      </c>
      <c r="O3" s="1"/>
      <c r="P3" s="1"/>
      <c r="Q3" s="1"/>
      <c r="R3" s="1"/>
      <c r="S3" s="1"/>
    </row>
    <row r="4" spans="3:19" x14ac:dyDescent="0.25">
      <c r="E4" s="29" t="s">
        <v>128</v>
      </c>
      <c r="F4" s="29" t="s">
        <v>128</v>
      </c>
      <c r="G4" s="29" t="s">
        <v>128</v>
      </c>
      <c r="H4" s="29" t="s">
        <v>128</v>
      </c>
      <c r="I4" s="29" t="s">
        <v>128</v>
      </c>
      <c r="J4" s="29" t="s">
        <v>128</v>
      </c>
      <c r="K4" s="29" t="s">
        <v>128</v>
      </c>
      <c r="L4" s="29" t="s">
        <v>128</v>
      </c>
      <c r="M4" s="29" t="s">
        <v>128</v>
      </c>
      <c r="N4" s="29" t="s">
        <v>128</v>
      </c>
      <c r="O4" s="29"/>
      <c r="P4" s="29"/>
      <c r="Q4" s="29"/>
      <c r="R4" s="29"/>
      <c r="S4" s="29"/>
    </row>
    <row r="5" spans="3:19" x14ac:dyDescent="0.25">
      <c r="C5" s="40"/>
      <c r="D5" s="40"/>
      <c r="E5" s="41">
        <v>12</v>
      </c>
      <c r="F5" s="41">
        <f>E5</f>
        <v>12</v>
      </c>
      <c r="G5" s="41">
        <f t="shared" ref="G5:N5" si="1">F5</f>
        <v>12</v>
      </c>
      <c r="H5" s="41">
        <f t="shared" si="1"/>
        <v>12</v>
      </c>
      <c r="I5" s="41">
        <f t="shared" si="1"/>
        <v>12</v>
      </c>
      <c r="J5" s="41">
        <f t="shared" si="1"/>
        <v>12</v>
      </c>
      <c r="K5" s="41">
        <f t="shared" si="1"/>
        <v>12</v>
      </c>
      <c r="L5" s="41">
        <f t="shared" si="1"/>
        <v>12</v>
      </c>
      <c r="M5" s="41">
        <f t="shared" si="1"/>
        <v>12</v>
      </c>
      <c r="N5" s="41">
        <f t="shared" si="1"/>
        <v>12</v>
      </c>
      <c r="O5" s="41"/>
      <c r="P5" s="41"/>
      <c r="Q5" s="41"/>
      <c r="R5" s="41"/>
      <c r="S5" s="41"/>
    </row>
    <row r="6" spans="3:19" x14ac:dyDescent="0.25">
      <c r="D6" s="1" t="s">
        <v>13</v>
      </c>
      <c r="E6" s="161">
        <f>'Income '!K18</f>
        <v>13542.852269392333</v>
      </c>
      <c r="F6" s="161">
        <f>'Income '!L18</f>
        <v>15545.85464343728</v>
      </c>
      <c r="G6" s="161">
        <f>'Income '!M18</f>
        <v>17872.475067887557</v>
      </c>
      <c r="H6" s="161">
        <f>'Income '!N18</f>
        <v>20590.117758855289</v>
      </c>
      <c r="I6" s="161">
        <f>'Income '!O18</f>
        <v>23749.40523505264</v>
      </c>
      <c r="J6" s="161">
        <f>'Income '!P18</f>
        <v>27408.548183754923</v>
      </c>
      <c r="K6" s="161">
        <f>'Income '!Q18</f>
        <v>31634.387857309288</v>
      </c>
      <c r="L6" s="161">
        <f>'Income '!R18</f>
        <v>36505.921828073682</v>
      </c>
      <c r="M6" s="161">
        <f>'Income '!S18</f>
        <v>42112.515754708271</v>
      </c>
      <c r="N6" s="161">
        <f>'Income '!T18</f>
        <v>48556.668491451514</v>
      </c>
    </row>
    <row r="7" spans="3:19" x14ac:dyDescent="0.25">
      <c r="D7" t="s">
        <v>278</v>
      </c>
      <c r="E7" s="149">
        <f>'Income '!L19</f>
        <v>-2304.1101532071743</v>
      </c>
      <c r="F7" s="149">
        <f>'Income '!M19</f>
        <v>-2627.1140988615957</v>
      </c>
      <c r="G7" s="149">
        <f>'Income '!N19</f>
        <v>-2995.3986699944035</v>
      </c>
      <c r="H7" s="149">
        <f>'Income '!O19</f>
        <v>-3415.3115755772656</v>
      </c>
      <c r="I7" s="149">
        <f>'Income '!P19</f>
        <v>-3894.0903844007689</v>
      </c>
      <c r="J7" s="149">
        <f>'Income '!Q19</f>
        <v>-4439.9872709474485</v>
      </c>
      <c r="K7" s="149">
        <f>'Income '!R19</f>
        <v>-5062.4112488875699</v>
      </c>
      <c r="L7" s="149">
        <f>'Income '!S19</f>
        <v>-5772.0903437172774</v>
      </c>
      <c r="M7" s="149">
        <f>'Income '!T19</f>
        <v>-6581.2564997273639</v>
      </c>
      <c r="N7" s="149">
        <f>'Income '!U19</f>
        <v>0</v>
      </c>
    </row>
    <row r="8" spans="3:19" x14ac:dyDescent="0.25">
      <c r="D8" t="s">
        <v>279</v>
      </c>
      <c r="E8" s="149">
        <f>-'Income '!K16</f>
        <v>3415.1728647358141</v>
      </c>
      <c r="F8" s="149">
        <f>-'Income '!L16</f>
        <v>3789.4479056642344</v>
      </c>
      <c r="G8" s="149">
        <f>-'Income '!M16</f>
        <v>4173.3658663205006</v>
      </c>
      <c r="H8" s="149">
        <f>-'Income '!N16</f>
        <v>4546.2410471251278</v>
      </c>
      <c r="I8" s="149">
        <f>-'Income '!O16</f>
        <v>4910.7187270404902</v>
      </c>
      <c r="J8" s="149">
        <f>-'Income '!P16</f>
        <v>5269.323415019222</v>
      </c>
      <c r="K8" s="149">
        <f>-'Income '!Q16</f>
        <v>5624.4632780987968</v>
      </c>
      <c r="L8" s="149">
        <f>-'Income '!R16</f>
        <v>5976.0979612010251</v>
      </c>
      <c r="M8" s="149">
        <f>-'Income '!S16</f>
        <v>6324.8877180266045</v>
      </c>
      <c r="N8" s="149">
        <f>-'Income '!T16</f>
        <v>6670.9799776742502</v>
      </c>
    </row>
    <row r="9" spans="3:19" x14ac:dyDescent="0.25">
      <c r="D9" t="s">
        <v>280</v>
      </c>
      <c r="E9" s="149">
        <f>'Cash Flow'!J25</f>
        <v>-12166.125108835742</v>
      </c>
      <c r="F9" s="149">
        <f>'Cash Flow'!K25</f>
        <v>-12592.078101764189</v>
      </c>
      <c r="G9" s="149">
        <f>'Cash Flow'!L25</f>
        <v>-13100.938684500421</v>
      </c>
      <c r="H9" s="149">
        <f>'Cash Flow'!M25</f>
        <v>-13602.201654668293</v>
      </c>
      <c r="I9" s="149">
        <f>'Cash Flow'!N25</f>
        <v>-14099.970390401351</v>
      </c>
      <c r="J9" s="149">
        <f>'Cash Flow'!O25</f>
        <v>-14598.515402286554</v>
      </c>
      <c r="K9" s="149">
        <f>'Cash Flow'!P25</f>
        <v>-15098.541873255956</v>
      </c>
      <c r="L9" s="149">
        <f>'Cash Flow'!Q25</f>
        <v>-15600.992521796388</v>
      </c>
      <c r="M9" s="149">
        <f>'Cash Flow'!R25</f>
        <v>-16106.433964156711</v>
      </c>
      <c r="N9" s="149">
        <f>'Cash Flow'!S25</f>
        <v>-16615.518182055639</v>
      </c>
    </row>
    <row r="10" spans="3:19" x14ac:dyDescent="0.25">
      <c r="D10" t="s">
        <v>281</v>
      </c>
      <c r="E10" s="149">
        <f>SUM('Cash Flow'!J13:J14,'Cash Flow'!J16,'Cash Flow'!J19,'Cash Flow'!J21)</f>
        <v>9025.4090528541692</v>
      </c>
      <c r="F10" s="149">
        <f>SUM('Cash Flow'!K13:K14,'Cash Flow'!K16,'Cash Flow'!K19,'Cash Flow'!K21)</f>
        <v>9988.8819669203986</v>
      </c>
      <c r="G10" s="149">
        <f>SUM('Cash Flow'!L13:L14,'Cash Flow'!L16,'Cash Flow'!L19,'Cash Flow'!L21)</f>
        <v>11367.045367216673</v>
      </c>
      <c r="H10" s="149">
        <f>SUM('Cash Flow'!M13:M14,'Cash Flow'!M16,'Cash Flow'!M19,'Cash Flow'!M21)</f>
        <v>12933.98070086378</v>
      </c>
      <c r="I10" s="149">
        <f>SUM('Cash Flow'!N13:N14,'Cash Flow'!N16,'Cash Flow'!N19,'Cash Flow'!N21)</f>
        <v>14715.737461218494</v>
      </c>
      <c r="J10" s="149">
        <f>SUM('Cash Flow'!O13:O14,'Cash Flow'!O16,'Cash Flow'!O19,'Cash Flow'!O21)</f>
        <v>16741.979735396122</v>
      </c>
      <c r="K10" s="149">
        <f>SUM('Cash Flow'!P13:P14,'Cash Flow'!P16,'Cash Flow'!P19,'Cash Flow'!P21)</f>
        <v>19046.489620554334</v>
      </c>
      <c r="L10" s="149">
        <f>SUM('Cash Flow'!Q13:Q14,'Cash Flow'!Q16,'Cash Flow'!Q19,'Cash Flow'!Q21)</f>
        <v>21667.740920746794</v>
      </c>
      <c r="M10" s="149">
        <f>SUM('Cash Flow'!R13:R14,'Cash Flow'!R16,'Cash Flow'!R19,'Cash Flow'!R21)</f>
        <v>24649.552951015416</v>
      </c>
      <c r="N10" s="149">
        <f>SUM('Cash Flow'!S13:S14,'Cash Flow'!S16,'Cash Flow'!S19,'Cash Flow'!S21)</f>
        <v>28041.835650688656</v>
      </c>
    </row>
    <row r="11" spans="3:19" x14ac:dyDescent="0.25">
      <c r="D11" s="1" t="s">
        <v>282</v>
      </c>
      <c r="E11" s="161">
        <f>SUM(E5:E10)</f>
        <v>11525.198924939401</v>
      </c>
      <c r="F11" s="161">
        <f t="shared" ref="F11:N11" si="2">SUM(F5:F10)</f>
        <v>14116.992315396128</v>
      </c>
      <c r="G11" s="161">
        <f t="shared" si="2"/>
        <v>17328.548946929906</v>
      </c>
      <c r="H11" s="161">
        <f t="shared" si="2"/>
        <v>21064.826276598636</v>
      </c>
      <c r="I11" s="161">
        <f t="shared" si="2"/>
        <v>25393.800648509503</v>
      </c>
      <c r="J11" s="161">
        <f t="shared" si="2"/>
        <v>30393.348660936266</v>
      </c>
      <c r="K11" s="161">
        <f t="shared" si="2"/>
        <v>36156.387633818893</v>
      </c>
      <c r="L11" s="161">
        <f t="shared" si="2"/>
        <v>42788.677844507831</v>
      </c>
      <c r="M11" s="161">
        <f t="shared" si="2"/>
        <v>50411.265959866214</v>
      </c>
      <c r="N11" s="161">
        <f t="shared" si="2"/>
        <v>66665.965937758781</v>
      </c>
    </row>
    <row r="14" spans="3:19" x14ac:dyDescent="0.25">
      <c r="D14" s="214" t="s">
        <v>283</v>
      </c>
      <c r="E14" s="214"/>
    </row>
    <row r="15" spans="3:19" x14ac:dyDescent="0.25">
      <c r="D15" s="76" t="s">
        <v>95</v>
      </c>
      <c r="E15" s="82">
        <v>0.25</v>
      </c>
    </row>
    <row r="16" spans="3:19" x14ac:dyDescent="0.25">
      <c r="D16" s="76" t="s">
        <v>284</v>
      </c>
      <c r="E16" s="79">
        <f>G29</f>
        <v>0.15037524230289034</v>
      </c>
    </row>
    <row r="17" spans="4:7" x14ac:dyDescent="0.25">
      <c r="D17" s="76" t="s">
        <v>285</v>
      </c>
      <c r="E17" s="82">
        <v>0.05</v>
      </c>
    </row>
    <row r="18" spans="4:7" x14ac:dyDescent="0.25">
      <c r="D18" s="76" t="s">
        <v>287</v>
      </c>
      <c r="E18" s="179">
        <f>E19*E20</f>
        <v>390044.64</v>
      </c>
    </row>
    <row r="19" spans="4:7" x14ac:dyDescent="0.25">
      <c r="D19" s="76" t="s">
        <v>288</v>
      </c>
      <c r="E19" s="84">
        <f>31.44</f>
        <v>31.44</v>
      </c>
    </row>
    <row r="20" spans="4:7" x14ac:dyDescent="0.25">
      <c r="D20" s="76" t="s">
        <v>286</v>
      </c>
      <c r="E20" s="25">
        <v>12406</v>
      </c>
    </row>
    <row r="24" spans="4:7" x14ac:dyDescent="0.25">
      <c r="D24" s="1" t="s">
        <v>289</v>
      </c>
    </row>
    <row r="26" spans="4:7" x14ac:dyDescent="0.25">
      <c r="D26" s="76"/>
      <c r="E26" s="78" t="s">
        <v>290</v>
      </c>
      <c r="F26" s="78" t="s">
        <v>291</v>
      </c>
      <c r="G26" s="78" t="s">
        <v>292</v>
      </c>
    </row>
    <row r="27" spans="4:7" x14ac:dyDescent="0.25">
      <c r="D27" s="76" t="s">
        <v>293</v>
      </c>
      <c r="E27" s="77">
        <f>H39</f>
        <v>0.11249999999999999</v>
      </c>
      <c r="F27" s="81">
        <f>E33</f>
        <v>1.626330839876584E-2</v>
      </c>
      <c r="G27" s="79">
        <f>F27*E27</f>
        <v>1.8296221948611569E-3</v>
      </c>
    </row>
    <row r="28" spans="4:7" x14ac:dyDescent="0.25">
      <c r="D28" s="76" t="s">
        <v>294</v>
      </c>
      <c r="E28" s="82">
        <f>E37+(E38*E40)</f>
        <v>0.1510014024852937</v>
      </c>
      <c r="F28" s="81">
        <f>1-F27</f>
        <v>0.98373669160123411</v>
      </c>
      <c r="G28" s="79">
        <f>F28*E28</f>
        <v>0.14854562010802919</v>
      </c>
    </row>
    <row r="29" spans="4:7" x14ac:dyDescent="0.25">
      <c r="D29" s="76" t="s">
        <v>292</v>
      </c>
      <c r="E29" s="76"/>
      <c r="F29" s="76"/>
      <c r="G29" s="174">
        <f>SUM(G27:G28)</f>
        <v>0.15037524230289034</v>
      </c>
    </row>
    <row r="31" spans="4:7" x14ac:dyDescent="0.25">
      <c r="D31" s="76" t="s">
        <v>295</v>
      </c>
      <c r="E31" s="179">
        <f>E18</f>
        <v>390044.64</v>
      </c>
    </row>
    <row r="32" spans="4:7" x14ac:dyDescent="0.25">
      <c r="D32" s="76" t="s">
        <v>296</v>
      </c>
      <c r="E32" s="83">
        <f>'balance sheet'!J20</f>
        <v>6343.4162696055982</v>
      </c>
    </row>
    <row r="33" spans="4:12" x14ac:dyDescent="0.25">
      <c r="D33" s="76" t="s">
        <v>309</v>
      </c>
      <c r="E33" s="175">
        <f>E32/E31</f>
        <v>1.626330839876584E-2</v>
      </c>
    </row>
    <row r="36" spans="4:12" x14ac:dyDescent="0.25">
      <c r="D36" s="214" t="s">
        <v>297</v>
      </c>
      <c r="E36" s="214"/>
      <c r="G36" s="214" t="s">
        <v>304</v>
      </c>
      <c r="H36" s="214"/>
    </row>
    <row r="37" spans="4:12" x14ac:dyDescent="0.25">
      <c r="D37" s="76" t="s">
        <v>298</v>
      </c>
      <c r="E37" s="77">
        <f>Assumption!F19</f>
        <v>6.4549999999999996E-2</v>
      </c>
      <c r="G37" s="76" t="s">
        <v>305</v>
      </c>
      <c r="H37" s="77">
        <v>0.15</v>
      </c>
    </row>
    <row r="38" spans="4:12" x14ac:dyDescent="0.25">
      <c r="D38" s="76" t="s">
        <v>250</v>
      </c>
      <c r="E38" s="178">
        <f>beta!J5</f>
        <v>1.1680249507855733</v>
      </c>
      <c r="G38" s="76" t="s">
        <v>306</v>
      </c>
      <c r="H38" s="77">
        <f>E15</f>
        <v>0.25</v>
      </c>
    </row>
    <row r="39" spans="4:12" x14ac:dyDescent="0.25">
      <c r="D39" s="76" t="s">
        <v>299</v>
      </c>
      <c r="E39" s="77">
        <f>'Market data'!G6</f>
        <v>0.13856503060970526</v>
      </c>
      <c r="G39" s="78" t="s">
        <v>308</v>
      </c>
      <c r="H39" s="176">
        <f>H37*(1-H38)</f>
        <v>0.11249999999999999</v>
      </c>
    </row>
    <row r="40" spans="4:12" x14ac:dyDescent="0.25">
      <c r="D40" s="76" t="s">
        <v>300</v>
      </c>
      <c r="E40" s="80">
        <f>E39-E37</f>
        <v>7.4015030609705268E-2</v>
      </c>
    </row>
    <row r="42" spans="4:12" x14ac:dyDescent="0.25">
      <c r="D42" s="214" t="s">
        <v>301</v>
      </c>
      <c r="E42" s="214"/>
    </row>
    <row r="43" spans="4:12" x14ac:dyDescent="0.25">
      <c r="D43" s="76" t="s">
        <v>301</v>
      </c>
      <c r="E43" s="177">
        <f>N11*(1+E17)/(E16-E17)</f>
        <v>697375.79335966462</v>
      </c>
      <c r="F43" s="217" t="s">
        <v>323</v>
      </c>
      <c r="G43" s="220" t="s">
        <v>322</v>
      </c>
      <c r="H43" s="221"/>
      <c r="I43" s="221"/>
      <c r="J43" s="221"/>
      <c r="K43" s="221"/>
      <c r="L43" s="222"/>
    </row>
    <row r="44" spans="4:12" x14ac:dyDescent="0.25">
      <c r="F44" s="218"/>
      <c r="G44" s="89">
        <f>E57</f>
        <v>9583.2514733428234</v>
      </c>
      <c r="H44" s="85">
        <f>I44-1%</f>
        <v>0.13037524230289033</v>
      </c>
      <c r="I44" s="85">
        <f>J44-1%</f>
        <v>0.14037524230289034</v>
      </c>
      <c r="J44" s="85">
        <v>0.15037524230289034</v>
      </c>
      <c r="K44" s="85">
        <f>J44+1%</f>
        <v>0.16037524230289035</v>
      </c>
      <c r="L44" s="85">
        <f>K44+1%</f>
        <v>0.17037524230289036</v>
      </c>
    </row>
    <row r="45" spans="4:12" ht="15" customHeight="1" x14ac:dyDescent="0.25">
      <c r="F45" s="218"/>
      <c r="G45" s="85">
        <v>0.03</v>
      </c>
      <c r="H45" s="86">
        <f t="dataTable" ref="H45:L49" dt2D="1" dtr="1" r1="E16" r2="E17"/>
        <v>10956.05437059764</v>
      </c>
      <c r="I45" s="86">
        <v>9654.6349853507218</v>
      </c>
      <c r="J45" s="86">
        <v>8588.4598610583889</v>
      </c>
      <c r="K45" s="86">
        <v>7702.008783266203</v>
      </c>
      <c r="L45" s="86">
        <v>6955.6976818204475</v>
      </c>
    </row>
    <row r="46" spans="4:12" x14ac:dyDescent="0.25">
      <c r="D46" s="215" t="s">
        <v>310</v>
      </c>
      <c r="E46" s="216"/>
      <c r="F46" s="218"/>
      <c r="G46" s="85">
        <v>0.04</v>
      </c>
      <c r="H46" s="86">
        <v>11731.840168600289</v>
      </c>
      <c r="I46" s="87">
        <v>10241.439357113761</v>
      </c>
      <c r="J46" s="87">
        <v>9040.7915934314824</v>
      </c>
      <c r="K46" s="87">
        <v>8056.2533912340714</v>
      </c>
      <c r="L46" s="86">
        <v>7236.8941453572006</v>
      </c>
    </row>
    <row r="47" spans="4:12" x14ac:dyDescent="0.25">
      <c r="D47" s="71" t="s">
        <v>311</v>
      </c>
      <c r="E47" s="180">
        <f>NPV(E16,E11:N11)</f>
        <v>128041.70565129338</v>
      </c>
      <c r="F47" s="218"/>
      <c r="G47" s="85">
        <v>0.05</v>
      </c>
      <c r="H47" s="86">
        <v>12700.666951805611</v>
      </c>
      <c r="I47" s="87">
        <v>10958.103269346164</v>
      </c>
      <c r="J47" s="88">
        <v>9583.2514733428234</v>
      </c>
      <c r="K47" s="87">
        <v>8474.6871417264501</v>
      </c>
      <c r="L47" s="86">
        <v>7564.8105918667316</v>
      </c>
    </row>
    <row r="48" spans="4:12" x14ac:dyDescent="0.25">
      <c r="D48" s="71" t="s">
        <v>312</v>
      </c>
      <c r="E48" s="180">
        <f>-PV(E16,COUNT(E3:N3),0,E43)</f>
        <v>171819.16470404642</v>
      </c>
      <c r="F48" s="218"/>
      <c r="G48" s="85">
        <v>0.06</v>
      </c>
      <c r="H48" s="86">
        <v>13944.825443010048</v>
      </c>
      <c r="I48" s="87">
        <v>11853.096699897573</v>
      </c>
      <c r="J48" s="87">
        <v>10245.757477853926</v>
      </c>
      <c r="K48" s="87">
        <v>8976.4947881900498</v>
      </c>
      <c r="L48" s="86">
        <v>7952.1455165907282</v>
      </c>
    </row>
    <row r="49" spans="4:19" x14ac:dyDescent="0.25">
      <c r="D49" s="72" t="s">
        <v>313</v>
      </c>
      <c r="E49" s="181">
        <f>E47+E48</f>
        <v>299860.87035533978</v>
      </c>
      <c r="F49" s="219"/>
      <c r="G49" s="85">
        <v>7.0000000000000007E-2</v>
      </c>
      <c r="H49" s="86">
        <v>15601.125879736708</v>
      </c>
      <c r="I49" s="86">
        <v>13002.439075124565</v>
      </c>
      <c r="J49" s="86">
        <v>11073.116734567864</v>
      </c>
      <c r="K49" s="86">
        <v>9589.3522384886019</v>
      </c>
      <c r="L49" s="86">
        <v>8416.6578240711569</v>
      </c>
    </row>
    <row r="50" spans="4:19" x14ac:dyDescent="0.25">
      <c r="D50" s="71" t="s">
        <v>314</v>
      </c>
      <c r="E50" s="73">
        <f>'balance sheet'!J50+'balance sheet'!J61+'balance sheet'!J63</f>
        <v>7835.9122361641203</v>
      </c>
    </row>
    <row r="51" spans="4:19" x14ac:dyDescent="0.25">
      <c r="D51" s="71" t="s">
        <v>315</v>
      </c>
      <c r="E51" s="74">
        <f>-E32</f>
        <v>-6343.4162696055982</v>
      </c>
    </row>
    <row r="52" spans="4:19" x14ac:dyDescent="0.25">
      <c r="D52" s="71" t="s">
        <v>316</v>
      </c>
      <c r="E52" s="71">
        <v>0</v>
      </c>
    </row>
    <row r="53" spans="4:19" x14ac:dyDescent="0.25">
      <c r="D53" s="71" t="s">
        <v>317</v>
      </c>
      <c r="E53" s="74">
        <f>-'balance sheet'!J13</f>
        <v>-55.94</v>
      </c>
    </row>
    <row r="54" spans="4:19" x14ac:dyDescent="0.25">
      <c r="D54" s="72" t="s">
        <v>318</v>
      </c>
      <c r="E54" s="182">
        <f>SUM(E49:E53)</f>
        <v>301297.42632189835</v>
      </c>
    </row>
    <row r="55" spans="4:19" x14ac:dyDescent="0.25">
      <c r="D55" s="71"/>
      <c r="E55" s="183"/>
    </row>
    <row r="56" spans="4:19" x14ac:dyDescent="0.25">
      <c r="D56" s="71" t="s">
        <v>319</v>
      </c>
      <c r="E56" s="184">
        <f>E19</f>
        <v>31.44</v>
      </c>
    </row>
    <row r="57" spans="4:19" x14ac:dyDescent="0.25">
      <c r="D57" s="72" t="s">
        <v>320</v>
      </c>
      <c r="E57" s="182">
        <f>E54/E56</f>
        <v>9583.2514733428234</v>
      </c>
    </row>
    <row r="58" spans="4:19" x14ac:dyDescent="0.25">
      <c r="D58" s="71"/>
      <c r="E58" s="71"/>
    </row>
    <row r="59" spans="4:19" x14ac:dyDescent="0.25">
      <c r="D59" s="72" t="s">
        <v>321</v>
      </c>
      <c r="E59" s="75">
        <f>E57/E20-1</f>
        <v>-0.22753091461044472</v>
      </c>
    </row>
    <row r="61" spans="4:19" x14ac:dyDescent="0.25">
      <c r="D61" s="103"/>
      <c r="E61" s="103"/>
      <c r="F61" s="103"/>
      <c r="G61" s="103"/>
      <c r="H61" s="103"/>
      <c r="I61" s="103"/>
      <c r="J61" s="103"/>
      <c r="K61" s="103"/>
      <c r="L61" s="103"/>
      <c r="M61" s="103"/>
      <c r="N61" s="103"/>
      <c r="O61" s="103"/>
      <c r="P61" s="103"/>
      <c r="Q61" s="103"/>
      <c r="R61" s="103"/>
      <c r="S61" s="103"/>
    </row>
  </sheetData>
  <mergeCells count="7">
    <mergeCell ref="D14:E14"/>
    <mergeCell ref="D46:E46"/>
    <mergeCell ref="D42:E42"/>
    <mergeCell ref="D36:E36"/>
    <mergeCell ref="G36:H36"/>
    <mergeCell ref="F43:F49"/>
    <mergeCell ref="G43:L4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Assumption</vt:lpstr>
      <vt:lpstr>Income statement Historical</vt:lpstr>
      <vt:lpstr>Balance sheet Historical</vt:lpstr>
      <vt:lpstr>Common Size statement</vt:lpstr>
      <vt:lpstr>Revenue Build up</vt:lpstr>
      <vt:lpstr>Cost Build Up</vt:lpstr>
      <vt:lpstr>Working Capital Build up</vt:lpstr>
      <vt:lpstr>FAS</vt:lpstr>
      <vt:lpstr>Income </vt:lpstr>
      <vt:lpstr>BS items</vt:lpstr>
      <vt:lpstr>balance sheet</vt:lpstr>
      <vt:lpstr>Cash Flow</vt:lpstr>
      <vt:lpstr>beta</vt:lpstr>
      <vt:lpstr>ratios Analysis</vt:lpstr>
      <vt:lpstr>Charts</vt:lpstr>
      <vt:lpstr>Ratio Interpretation</vt:lpstr>
      <vt:lpstr>Market data</vt:lpstr>
      <vt:lpstr>DCF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Dhiraj Kumar</dc:creator>
  <cp:lastModifiedBy>Dhiraj Kumar</cp:lastModifiedBy>
  <dcterms:created xsi:type="dcterms:W3CDTF">2025-05-06T14:15:20Z</dcterms:created>
  <dcterms:modified xsi:type="dcterms:W3CDTF">2025-07-12T12:56:57Z</dcterms:modified>
</cp:coreProperties>
</file>