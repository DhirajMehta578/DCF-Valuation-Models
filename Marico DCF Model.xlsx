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hiraj Kumar\OneDrive\Desktop\"/>
    </mc:Choice>
  </mc:AlternateContent>
  <bookViews>
    <workbookView xWindow="0" yWindow="0" windowWidth="20490" windowHeight="7350" firstSheet="6" activeTab="10"/>
  </bookViews>
  <sheets>
    <sheet name="Assumption" sheetId="1" r:id="rId1"/>
    <sheet name="Income Statement" sheetId="2" r:id="rId2"/>
    <sheet name="P&amp;L Statement " sheetId="11" r:id="rId3"/>
    <sheet name="Balance Sheet" sheetId="3" r:id="rId4"/>
    <sheet name="Common Size Statement" sheetId="12" r:id="rId5"/>
    <sheet name="Cash Flow " sheetId="4" r:id="rId6"/>
    <sheet name="B_Sheet Forecast" sheetId="9" r:id="rId7"/>
    <sheet name="FAS Seechules" sheetId="10" r:id="rId8"/>
    <sheet name="Revenue BuildUp" sheetId="5" r:id="rId9"/>
    <sheet name="Cost BuildUp" sheetId="6" r:id="rId10"/>
    <sheet name="Debt Schedules" sheetId="7" r:id="rId11"/>
    <sheet name="Working Capital" sheetId="8" r:id="rId12"/>
    <sheet name="Equity Market" sheetId="13" r:id="rId13"/>
    <sheet name="Beta" sheetId="14" r:id="rId14"/>
    <sheet name="Comps Valuation" sheetId="15" r:id="rId15"/>
    <sheet name="Comps Data" sheetId="16" r:id="rId16"/>
    <sheet name="WACC" sheetId="17" r:id="rId17"/>
    <sheet name="DCF Model" sheetId="18" r:id="rId18"/>
    <sheet name="Foot Field Analysis" sheetId="19" r:id="rId1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5" i="18" l="1"/>
  <c r="C27" i="18"/>
  <c r="C26" i="18"/>
  <c r="F15" i="19" l="1"/>
  <c r="E15" i="19"/>
  <c r="I15" i="19"/>
  <c r="H15" i="19"/>
  <c r="G15" i="19"/>
  <c r="I13" i="19"/>
  <c r="H13" i="19"/>
  <c r="G13" i="19"/>
  <c r="F13" i="19"/>
  <c r="E13" i="19"/>
  <c r="G33" i="6"/>
  <c r="F33" i="6"/>
  <c r="E33" i="6"/>
  <c r="D33" i="6"/>
  <c r="C33" i="6"/>
  <c r="E10" i="18"/>
  <c r="F10" i="18" s="1"/>
  <c r="G10" i="18" s="1"/>
  <c r="H10" i="18" s="1"/>
  <c r="I10" i="18" s="1"/>
  <c r="J10" i="18" s="1"/>
  <c r="K10" i="18" s="1"/>
  <c r="L10" i="18" s="1"/>
  <c r="M10" i="18" s="1"/>
  <c r="N10" i="18" s="1"/>
  <c r="O10" i="18" s="1"/>
  <c r="P10" i="18" s="1"/>
  <c r="Q10" i="18" s="1"/>
  <c r="D10" i="18"/>
  <c r="D9" i="8"/>
  <c r="E9" i="8" s="1"/>
  <c r="F9" i="8" s="1"/>
  <c r="G9" i="8" s="1"/>
  <c r="H9" i="8" s="1"/>
  <c r="I9" i="8" s="1"/>
  <c r="J9" i="8" s="1"/>
  <c r="K9" i="8" s="1"/>
  <c r="L9" i="8" s="1"/>
  <c r="M9" i="8" s="1"/>
  <c r="N9" i="8" s="1"/>
  <c r="O9" i="8" s="1"/>
  <c r="P9" i="8" s="1"/>
  <c r="Q9" i="8" s="1"/>
  <c r="D9" i="7"/>
  <c r="E9" i="7" s="1"/>
  <c r="F9" i="7" s="1"/>
  <c r="G9" i="7" s="1"/>
  <c r="H9" i="7" s="1"/>
  <c r="I9" i="7" s="1"/>
  <c r="J9" i="7" s="1"/>
  <c r="K9" i="7" s="1"/>
  <c r="L9" i="7" s="1"/>
  <c r="M9" i="7" s="1"/>
  <c r="N9" i="7" s="1"/>
  <c r="O9" i="7" s="1"/>
  <c r="P9" i="7" s="1"/>
  <c r="Q9" i="7" s="1"/>
  <c r="D9" i="6"/>
  <c r="E9" i="6" s="1"/>
  <c r="F9" i="6" s="1"/>
  <c r="G9" i="6" s="1"/>
  <c r="H9" i="6" s="1"/>
  <c r="I9" i="6" s="1"/>
  <c r="J9" i="6" s="1"/>
  <c r="K9" i="6" s="1"/>
  <c r="L9" i="6" s="1"/>
  <c r="M9" i="6" s="1"/>
  <c r="N9" i="6" s="1"/>
  <c r="O9" i="6" s="1"/>
  <c r="P9" i="6" s="1"/>
  <c r="Q9" i="6" s="1"/>
  <c r="D9" i="5"/>
  <c r="E9" i="5" s="1"/>
  <c r="F9" i="5" s="1"/>
  <c r="G9" i="5" s="1"/>
  <c r="H9" i="5" s="1"/>
  <c r="I9" i="5" s="1"/>
  <c r="J9" i="5" s="1"/>
  <c r="K9" i="5" s="1"/>
  <c r="L9" i="5" s="1"/>
  <c r="M9" i="5" s="1"/>
  <c r="N9" i="5" s="1"/>
  <c r="O9" i="5" s="1"/>
  <c r="P9" i="5" s="1"/>
  <c r="Q9" i="5" s="1"/>
  <c r="D8" i="10"/>
  <c r="E8" i="10" s="1"/>
  <c r="F8" i="10" s="1"/>
  <c r="G8" i="10" s="1"/>
  <c r="H8" i="10" s="1"/>
  <c r="I8" i="10" s="1"/>
  <c r="J8" i="10" s="1"/>
  <c r="K8" i="10" s="1"/>
  <c r="L8" i="10" s="1"/>
  <c r="M8" i="10" s="1"/>
  <c r="N8" i="10" s="1"/>
  <c r="O8" i="10" s="1"/>
  <c r="P8" i="10" s="1"/>
  <c r="Q8" i="10" s="1"/>
  <c r="D6" i="9"/>
  <c r="E6" i="9" s="1"/>
  <c r="F6" i="9" s="1"/>
  <c r="G6" i="9" s="1"/>
  <c r="H6" i="9" s="1"/>
  <c r="I6" i="9" s="1"/>
  <c r="J6" i="9" s="1"/>
  <c r="K6" i="9" s="1"/>
  <c r="L6" i="9" s="1"/>
  <c r="M6" i="9" s="1"/>
  <c r="N6" i="9" s="1"/>
  <c r="O6" i="9" s="1"/>
  <c r="P6" i="9" s="1"/>
  <c r="Q6" i="9" s="1"/>
  <c r="D6" i="4"/>
  <c r="E6" i="4" s="1"/>
  <c r="F6" i="4" s="1"/>
  <c r="G6" i="4" s="1"/>
  <c r="H6" i="4" s="1"/>
  <c r="I6" i="4" s="1"/>
  <c r="J6" i="4" s="1"/>
  <c r="K6" i="4" s="1"/>
  <c r="L6" i="4" s="1"/>
  <c r="M6" i="4" s="1"/>
  <c r="N6" i="4" s="1"/>
  <c r="O6" i="4" s="1"/>
  <c r="P6" i="4" s="1"/>
  <c r="Q6" i="4" s="1"/>
  <c r="D6" i="12"/>
  <c r="E6" i="12" s="1"/>
  <c r="F6" i="12" s="1"/>
  <c r="G6" i="12" s="1"/>
  <c r="H6" i="12" s="1"/>
  <c r="I6" i="12" s="1"/>
  <c r="J6" i="12" s="1"/>
  <c r="K6" i="12" s="1"/>
  <c r="L6" i="12" s="1"/>
  <c r="M6" i="12" s="1"/>
  <c r="N6" i="12" s="1"/>
  <c r="O6" i="12" s="1"/>
  <c r="P6" i="12" s="1"/>
  <c r="Q6" i="12" s="1"/>
  <c r="E6" i="3"/>
  <c r="F6" i="3" s="1"/>
  <c r="G6" i="3" s="1"/>
  <c r="H6" i="3" s="1"/>
  <c r="I6" i="3" s="1"/>
  <c r="J6" i="3" s="1"/>
  <c r="K6" i="3" s="1"/>
  <c r="L6" i="3" s="1"/>
  <c r="M6" i="3" s="1"/>
  <c r="N6" i="3" s="1"/>
  <c r="O6" i="3" s="1"/>
  <c r="P6" i="3" s="1"/>
  <c r="Q6" i="3" s="1"/>
  <c r="D6" i="3"/>
  <c r="F29" i="18"/>
  <c r="F41" i="18"/>
  <c r="F38" i="18"/>
  <c r="F37" i="18"/>
  <c r="F36" i="18"/>
  <c r="F35" i="18"/>
  <c r="C37" i="18"/>
  <c r="C38" i="18"/>
  <c r="C36" i="18"/>
  <c r="Q18" i="18"/>
  <c r="P18" i="18"/>
  <c r="O18" i="18"/>
  <c r="N18" i="18"/>
  <c r="M18" i="18"/>
  <c r="L18" i="18"/>
  <c r="K18" i="18"/>
  <c r="J18" i="18"/>
  <c r="I18" i="18"/>
  <c r="H18" i="18"/>
  <c r="G19" i="18"/>
  <c r="G18" i="18"/>
  <c r="G15" i="18"/>
  <c r="H12" i="18"/>
  <c r="I14" i="18" s="1"/>
  <c r="G12" i="18"/>
  <c r="H14" i="18" s="1"/>
  <c r="I13" i="18"/>
  <c r="I12" i="18" s="1"/>
  <c r="C17" i="1"/>
  <c r="C42" i="17"/>
  <c r="F46" i="17"/>
  <c r="C46" i="17"/>
  <c r="C22" i="1"/>
  <c r="F49" i="17"/>
  <c r="F48" i="17"/>
  <c r="F50" i="17" s="1"/>
  <c r="C49" i="17"/>
  <c r="C43" i="17"/>
  <c r="C41" i="17"/>
  <c r="C37" i="17"/>
  <c r="C36" i="17"/>
  <c r="C31" i="17"/>
  <c r="C30" i="17"/>
  <c r="C38" i="17"/>
  <c r="J26" i="17"/>
  <c r="G26" i="17"/>
  <c r="F26" i="17"/>
  <c r="E26" i="17"/>
  <c r="D26" i="17"/>
  <c r="B26" i="17"/>
  <c r="J24" i="17"/>
  <c r="I24" i="17"/>
  <c r="H24" i="17"/>
  <c r="G24" i="17"/>
  <c r="J23" i="17"/>
  <c r="I23" i="17"/>
  <c r="H23" i="17"/>
  <c r="G23" i="17"/>
  <c r="F24" i="17"/>
  <c r="F23" i="17"/>
  <c r="J21" i="17"/>
  <c r="J20" i="17"/>
  <c r="J19" i="17"/>
  <c r="J18" i="17"/>
  <c r="J17" i="17"/>
  <c r="J16" i="17"/>
  <c r="J15" i="17"/>
  <c r="J14" i="17"/>
  <c r="J13" i="17"/>
  <c r="G21" i="17"/>
  <c r="G20" i="17"/>
  <c r="G19" i="17"/>
  <c r="G18" i="17"/>
  <c r="G17" i="17"/>
  <c r="G16" i="17"/>
  <c r="G15" i="17"/>
  <c r="G14" i="17"/>
  <c r="G13" i="17"/>
  <c r="F21" i="17"/>
  <c r="F20" i="17"/>
  <c r="F19" i="17"/>
  <c r="F18" i="17"/>
  <c r="F17" i="17"/>
  <c r="F16" i="17"/>
  <c r="F15" i="17"/>
  <c r="F14" i="17"/>
  <c r="F13" i="17"/>
  <c r="E21" i="17"/>
  <c r="E20" i="17"/>
  <c r="E19" i="17"/>
  <c r="E18" i="17"/>
  <c r="E17" i="17"/>
  <c r="E16" i="17"/>
  <c r="E15" i="17"/>
  <c r="E14" i="17"/>
  <c r="E13" i="17"/>
  <c r="D21" i="17"/>
  <c r="B21" i="17"/>
  <c r="D20" i="17"/>
  <c r="B20" i="17"/>
  <c r="D19" i="17"/>
  <c r="B19" i="17"/>
  <c r="D18" i="17"/>
  <c r="B18" i="17"/>
  <c r="D17" i="17"/>
  <c r="B17" i="17"/>
  <c r="D16" i="17"/>
  <c r="B16" i="17"/>
  <c r="D15" i="17"/>
  <c r="B15" i="17"/>
  <c r="D14" i="17"/>
  <c r="B14" i="17"/>
  <c r="D13" i="17"/>
  <c r="B13" i="17"/>
  <c r="L43" i="15"/>
  <c r="L42" i="15"/>
  <c r="L41" i="15"/>
  <c r="L37" i="15"/>
  <c r="L36" i="15"/>
  <c r="L35" i="15"/>
  <c r="J35" i="15"/>
  <c r="F43" i="15"/>
  <c r="F37" i="15"/>
  <c r="H43" i="15"/>
  <c r="H37" i="15"/>
  <c r="F42" i="15"/>
  <c r="F41" i="15"/>
  <c r="I43" i="15"/>
  <c r="I42" i="15"/>
  <c r="I41" i="15"/>
  <c r="I37" i="15"/>
  <c r="I36" i="15"/>
  <c r="I35" i="15"/>
  <c r="G43" i="15"/>
  <c r="G42" i="15"/>
  <c r="G41" i="15"/>
  <c r="G37" i="15"/>
  <c r="G36" i="15"/>
  <c r="G35" i="15"/>
  <c r="F36" i="15"/>
  <c r="F35" i="15"/>
  <c r="N31" i="15"/>
  <c r="M31" i="15"/>
  <c r="L31" i="15"/>
  <c r="I31" i="15"/>
  <c r="H31" i="15"/>
  <c r="F31" i="15"/>
  <c r="E31" i="15"/>
  <c r="B31" i="15"/>
  <c r="N22" i="15"/>
  <c r="M22" i="15"/>
  <c r="L22" i="15"/>
  <c r="N21" i="15"/>
  <c r="M21" i="15"/>
  <c r="L21" i="15"/>
  <c r="N20" i="15"/>
  <c r="M20" i="15"/>
  <c r="L20" i="15"/>
  <c r="N19" i="15"/>
  <c r="M19" i="15"/>
  <c r="L19" i="15"/>
  <c r="N18" i="15"/>
  <c r="M18" i="15"/>
  <c r="L18" i="15"/>
  <c r="N17" i="15"/>
  <c r="M17" i="15"/>
  <c r="L17" i="15"/>
  <c r="N16" i="15"/>
  <c r="M16" i="15"/>
  <c r="L16" i="15"/>
  <c r="N15" i="15"/>
  <c r="M15" i="15"/>
  <c r="L15" i="15"/>
  <c r="N14" i="15"/>
  <c r="M14" i="15"/>
  <c r="L14" i="15"/>
  <c r="N13" i="15"/>
  <c r="M13" i="15"/>
  <c r="L13" i="15"/>
  <c r="I22" i="15"/>
  <c r="H22" i="15"/>
  <c r="I21" i="15"/>
  <c r="H21" i="15"/>
  <c r="I20" i="15"/>
  <c r="H20" i="15"/>
  <c r="I19" i="15"/>
  <c r="H19" i="15"/>
  <c r="I18" i="15"/>
  <c r="H18" i="15"/>
  <c r="I17" i="15"/>
  <c r="H17" i="15"/>
  <c r="I16" i="15"/>
  <c r="H16" i="15"/>
  <c r="I15" i="15"/>
  <c r="H15" i="15"/>
  <c r="I14" i="15"/>
  <c r="H14" i="15"/>
  <c r="I13" i="15"/>
  <c r="H13" i="15"/>
  <c r="F22" i="15"/>
  <c r="F21" i="15"/>
  <c r="F20" i="15"/>
  <c r="G20" i="15" s="1"/>
  <c r="F19" i="15"/>
  <c r="G19" i="15" s="1"/>
  <c r="F18" i="15"/>
  <c r="F17" i="15"/>
  <c r="F16" i="15"/>
  <c r="G16" i="15" s="1"/>
  <c r="F15" i="15"/>
  <c r="G15" i="15" s="1"/>
  <c r="F14" i="15"/>
  <c r="F13" i="15"/>
  <c r="E22" i="15"/>
  <c r="E21" i="15"/>
  <c r="E20" i="15"/>
  <c r="E19" i="15"/>
  <c r="E18" i="15"/>
  <c r="E17" i="15"/>
  <c r="E16" i="15"/>
  <c r="E15" i="15"/>
  <c r="E14" i="15"/>
  <c r="E13" i="15"/>
  <c r="B22" i="15"/>
  <c r="B21" i="15"/>
  <c r="B20" i="15"/>
  <c r="B19" i="15"/>
  <c r="B18" i="15"/>
  <c r="B17" i="15"/>
  <c r="B16" i="15"/>
  <c r="B15" i="15"/>
  <c r="B14" i="15"/>
  <c r="B13" i="15"/>
  <c r="B11" i="16"/>
  <c r="B12" i="16" s="1"/>
  <c r="B13" i="16" s="1"/>
  <c r="B14" i="16" s="1"/>
  <c r="B15" i="16" s="1"/>
  <c r="B16" i="16" s="1"/>
  <c r="B17" i="16" s="1"/>
  <c r="B18" i="16" s="1"/>
  <c r="B10" i="16"/>
  <c r="L14" i="14"/>
  <c r="M12" i="14"/>
  <c r="M13" i="14"/>
  <c r="J13" i="18" l="1"/>
  <c r="J12" i="18" s="1"/>
  <c r="J14" i="18" s="1"/>
  <c r="G16" i="18"/>
  <c r="G17" i="18" s="1"/>
  <c r="F52" i="17"/>
  <c r="G13" i="15"/>
  <c r="G31" i="15"/>
  <c r="J31" i="15" s="1"/>
  <c r="G17" i="15"/>
  <c r="J17" i="15" s="1"/>
  <c r="G21" i="15"/>
  <c r="R21" i="15" s="1"/>
  <c r="G14" i="15"/>
  <c r="G18" i="15"/>
  <c r="G22" i="15"/>
  <c r="R22" i="15" s="1"/>
  <c r="R15" i="15"/>
  <c r="J15" i="15"/>
  <c r="R16" i="15"/>
  <c r="J16" i="15"/>
  <c r="R31" i="15"/>
  <c r="R19" i="15"/>
  <c r="J19" i="15"/>
  <c r="R20" i="15"/>
  <c r="J20" i="15"/>
  <c r="J13" i="15"/>
  <c r="R13" i="15"/>
  <c r="R17" i="15"/>
  <c r="J14" i="15"/>
  <c r="R14" i="15"/>
  <c r="J18" i="15"/>
  <c r="R18" i="15"/>
  <c r="J22" i="15"/>
  <c r="K13" i="18" l="1"/>
  <c r="K12" i="18" s="1"/>
  <c r="K14" i="18" s="1"/>
  <c r="L13" i="18"/>
  <c r="L12" i="18" s="1"/>
  <c r="J21" i="15"/>
  <c r="Q18" i="15"/>
  <c r="P18" i="15"/>
  <c r="P17" i="15"/>
  <c r="Q17" i="15"/>
  <c r="P21" i="15"/>
  <c r="Q21" i="15"/>
  <c r="Q20" i="15"/>
  <c r="P20" i="15"/>
  <c r="Q19" i="15"/>
  <c r="P19" i="15"/>
  <c r="Q31" i="15"/>
  <c r="P31" i="15"/>
  <c r="Q15" i="15"/>
  <c r="P15" i="15"/>
  <c r="Q16" i="15"/>
  <c r="P16" i="15"/>
  <c r="R29" i="15"/>
  <c r="R27" i="15"/>
  <c r="R25" i="15"/>
  <c r="R28" i="15"/>
  <c r="R26" i="15"/>
  <c r="R24" i="15"/>
  <c r="Q22" i="15"/>
  <c r="P22" i="15"/>
  <c r="Q14" i="15"/>
  <c r="P14" i="15"/>
  <c r="Q13" i="15"/>
  <c r="P13" i="15"/>
  <c r="L14" i="18" l="1"/>
  <c r="M13" i="18"/>
  <c r="M12" i="18" s="1"/>
  <c r="P26" i="15"/>
  <c r="H35" i="15" s="1"/>
  <c r="P29" i="15"/>
  <c r="P25" i="15"/>
  <c r="H41" i="15" s="1"/>
  <c r="J41" i="15" s="1"/>
  <c r="P28" i="15"/>
  <c r="P24" i="15"/>
  <c r="P27" i="15"/>
  <c r="J43" i="15"/>
  <c r="Q28" i="15"/>
  <c r="Q26" i="15"/>
  <c r="H36" i="15" s="1"/>
  <c r="J36" i="15" s="1"/>
  <c r="Q24" i="15"/>
  <c r="Q29" i="15"/>
  <c r="Q27" i="15"/>
  <c r="Q25" i="15"/>
  <c r="H42" i="15" s="1"/>
  <c r="J42" i="15" s="1"/>
  <c r="J37" i="15"/>
  <c r="M14" i="18" l="1"/>
  <c r="N13" i="18"/>
  <c r="N12" i="18" s="1"/>
  <c r="L13" i="14"/>
  <c r="L12" i="14"/>
  <c r="H13" i="14"/>
  <c r="H132" i="14"/>
  <c r="H131" i="14"/>
  <c r="H130" i="14"/>
  <c r="H129" i="14"/>
  <c r="H128" i="14"/>
  <c r="H127" i="14"/>
  <c r="H126" i="14"/>
  <c r="H125" i="14"/>
  <c r="H124" i="14"/>
  <c r="H123" i="14"/>
  <c r="H122" i="14"/>
  <c r="H121" i="14"/>
  <c r="H120" i="14"/>
  <c r="H119" i="14"/>
  <c r="H118" i="14"/>
  <c r="H117" i="14"/>
  <c r="H116" i="14"/>
  <c r="H115" i="14"/>
  <c r="H114" i="14"/>
  <c r="H113" i="14"/>
  <c r="H112" i="14"/>
  <c r="H111" i="14"/>
  <c r="H110" i="14"/>
  <c r="H109" i="14"/>
  <c r="H108" i="14"/>
  <c r="H107" i="14"/>
  <c r="H106" i="14"/>
  <c r="H105" i="14"/>
  <c r="H104" i="14"/>
  <c r="H103" i="14"/>
  <c r="H102" i="14"/>
  <c r="H101" i="14"/>
  <c r="H100" i="14"/>
  <c r="H99" i="14"/>
  <c r="H98" i="14"/>
  <c r="H97" i="14"/>
  <c r="H96" i="14"/>
  <c r="H95" i="14"/>
  <c r="H94" i="14"/>
  <c r="H93" i="14"/>
  <c r="H92" i="14"/>
  <c r="H91" i="14"/>
  <c r="H90" i="14"/>
  <c r="H89" i="14"/>
  <c r="H88" i="14"/>
  <c r="H87" i="14"/>
  <c r="H86" i="14"/>
  <c r="H85" i="14"/>
  <c r="H84" i="14"/>
  <c r="H83" i="14"/>
  <c r="H82" i="14"/>
  <c r="H81" i="14"/>
  <c r="H80" i="14"/>
  <c r="H79" i="14"/>
  <c r="H78" i="14"/>
  <c r="H77" i="14"/>
  <c r="H76" i="14"/>
  <c r="H75" i="14"/>
  <c r="H74" i="14"/>
  <c r="H73" i="14"/>
  <c r="H72" i="14"/>
  <c r="H71" i="14"/>
  <c r="H70" i="14"/>
  <c r="H69" i="14"/>
  <c r="H68" i="14"/>
  <c r="H67" i="14"/>
  <c r="H66" i="14"/>
  <c r="H65" i="14"/>
  <c r="H64" i="14"/>
  <c r="H63" i="14"/>
  <c r="H62" i="14"/>
  <c r="H61" i="14"/>
  <c r="H60" i="14"/>
  <c r="H59" i="14"/>
  <c r="H58" i="14"/>
  <c r="H57" i="14"/>
  <c r="H56" i="14"/>
  <c r="H55" i="14"/>
  <c r="H54" i="14"/>
  <c r="H53" i="14"/>
  <c r="H52" i="14"/>
  <c r="H51" i="14"/>
  <c r="H50" i="14"/>
  <c r="H49" i="14"/>
  <c r="H48" i="14"/>
  <c r="H47" i="14"/>
  <c r="H46" i="14"/>
  <c r="H45" i="14"/>
  <c r="H44" i="14"/>
  <c r="H43" i="14"/>
  <c r="H42" i="14"/>
  <c r="H41" i="14"/>
  <c r="H40" i="14"/>
  <c r="H39" i="14"/>
  <c r="H38" i="14"/>
  <c r="H37" i="14"/>
  <c r="H36" i="14"/>
  <c r="H35" i="14"/>
  <c r="H34" i="14"/>
  <c r="H33" i="14"/>
  <c r="H32" i="14"/>
  <c r="H31" i="14"/>
  <c r="H30" i="14"/>
  <c r="H29" i="14"/>
  <c r="H28" i="14"/>
  <c r="H27" i="14"/>
  <c r="H26" i="14"/>
  <c r="H25" i="14"/>
  <c r="H24" i="14"/>
  <c r="H23" i="14"/>
  <c r="H22" i="14"/>
  <c r="H21" i="14"/>
  <c r="H20" i="14"/>
  <c r="H19" i="14"/>
  <c r="H18" i="14"/>
  <c r="H17" i="14"/>
  <c r="H16" i="14"/>
  <c r="H15" i="14"/>
  <c r="H14" i="14"/>
  <c r="D13" i="14"/>
  <c r="D132" i="14"/>
  <c r="D131" i="14"/>
  <c r="D130" i="14"/>
  <c r="D129" i="14"/>
  <c r="D128" i="14"/>
  <c r="D127" i="14"/>
  <c r="D126" i="14"/>
  <c r="D125" i="14"/>
  <c r="D124" i="14"/>
  <c r="D123" i="14"/>
  <c r="D122" i="14"/>
  <c r="D121" i="14"/>
  <c r="D120" i="14"/>
  <c r="D119" i="14"/>
  <c r="D118" i="14"/>
  <c r="D117" i="14"/>
  <c r="D116" i="14"/>
  <c r="D115" i="14"/>
  <c r="D114" i="14"/>
  <c r="D113" i="14"/>
  <c r="D112" i="14"/>
  <c r="D111" i="14"/>
  <c r="D110" i="14"/>
  <c r="D109" i="14"/>
  <c r="D108" i="14"/>
  <c r="D107" i="14"/>
  <c r="D106" i="14"/>
  <c r="D105" i="14"/>
  <c r="D104" i="14"/>
  <c r="D103" i="14"/>
  <c r="D102" i="14"/>
  <c r="D101" i="14"/>
  <c r="D100" i="14"/>
  <c r="D99" i="14"/>
  <c r="D98" i="14"/>
  <c r="D97" i="14"/>
  <c r="D96" i="14"/>
  <c r="D95" i="14"/>
  <c r="D94" i="14"/>
  <c r="D93" i="14"/>
  <c r="D92" i="14"/>
  <c r="D91" i="14"/>
  <c r="D90" i="14"/>
  <c r="D89" i="14"/>
  <c r="D88" i="14"/>
  <c r="D87" i="14"/>
  <c r="D86" i="14"/>
  <c r="D85" i="14"/>
  <c r="D84" i="14"/>
  <c r="D83" i="14"/>
  <c r="D82" i="14"/>
  <c r="D81" i="14"/>
  <c r="D80" i="14"/>
  <c r="D79" i="14"/>
  <c r="D78" i="14"/>
  <c r="D77" i="14"/>
  <c r="D76" i="14"/>
  <c r="D75" i="14"/>
  <c r="D74" i="14"/>
  <c r="D73" i="14"/>
  <c r="D72" i="14"/>
  <c r="D71" i="14"/>
  <c r="D70" i="14"/>
  <c r="D69" i="14"/>
  <c r="D68" i="14"/>
  <c r="D67" i="14"/>
  <c r="D66" i="14"/>
  <c r="D65" i="14"/>
  <c r="D64" i="14"/>
  <c r="D63" i="14"/>
  <c r="D62" i="14"/>
  <c r="D61" i="14"/>
  <c r="D60" i="14"/>
  <c r="D59" i="14"/>
  <c r="D58" i="14"/>
  <c r="D57" i="14"/>
  <c r="D56" i="14"/>
  <c r="D55" i="14"/>
  <c r="D54" i="14"/>
  <c r="D53" i="14"/>
  <c r="D52" i="14"/>
  <c r="D51" i="14"/>
  <c r="D50" i="14"/>
  <c r="D49" i="14"/>
  <c r="D48" i="14"/>
  <c r="D47" i="14"/>
  <c r="D46" i="14"/>
  <c r="D45" i="14"/>
  <c r="D44" i="14"/>
  <c r="D43" i="14"/>
  <c r="D42" i="14"/>
  <c r="D41" i="14"/>
  <c r="D40" i="14"/>
  <c r="D39" i="14"/>
  <c r="D38" i="14"/>
  <c r="D37" i="14"/>
  <c r="D36" i="14"/>
  <c r="D35" i="14"/>
  <c r="D34" i="14"/>
  <c r="D33" i="14"/>
  <c r="D32" i="14"/>
  <c r="D31" i="14"/>
  <c r="D30" i="14"/>
  <c r="D29" i="14"/>
  <c r="D28" i="14"/>
  <c r="D27" i="14"/>
  <c r="D26" i="14"/>
  <c r="D25" i="14"/>
  <c r="D24" i="14"/>
  <c r="D23" i="14"/>
  <c r="D22" i="14"/>
  <c r="D21" i="14"/>
  <c r="D20" i="14"/>
  <c r="D19" i="14"/>
  <c r="D18" i="14"/>
  <c r="D17" i="14"/>
  <c r="D16" i="14"/>
  <c r="D15" i="14"/>
  <c r="D14" i="14"/>
  <c r="F11" i="13"/>
  <c r="F12" i="13" s="1"/>
  <c r="C47" i="17" s="1"/>
  <c r="C48" i="17" s="1"/>
  <c r="C50" i="17" s="1"/>
  <c r="C52" i="17" s="1"/>
  <c r="C19" i="1" s="1"/>
  <c r="N14" i="18" l="1"/>
  <c r="O13" i="18"/>
  <c r="O12" i="18" s="1"/>
  <c r="O14" i="18" l="1"/>
  <c r="P13" i="18"/>
  <c r="P12" i="18" s="1"/>
  <c r="P14" i="18" l="1"/>
  <c r="Q13" i="18"/>
  <c r="Q12" i="18" l="1"/>
  <c r="Q14" i="18" s="1"/>
  <c r="R14" i="18" l="1"/>
  <c r="R12" i="18"/>
  <c r="F39" i="18" l="1"/>
  <c r="G98" i="12" l="1"/>
  <c r="F98" i="12"/>
  <c r="E98" i="12"/>
  <c r="D98" i="12"/>
  <c r="G97" i="12"/>
  <c r="F97" i="12"/>
  <c r="E97" i="12"/>
  <c r="D97" i="12"/>
  <c r="G96" i="12"/>
  <c r="F96" i="12"/>
  <c r="E96" i="12"/>
  <c r="D96" i="12"/>
  <c r="G95" i="12"/>
  <c r="F95" i="12"/>
  <c r="E95" i="12"/>
  <c r="D95" i="12"/>
  <c r="G94" i="12"/>
  <c r="F94" i="12"/>
  <c r="E94" i="12"/>
  <c r="D94" i="12"/>
  <c r="G93" i="12"/>
  <c r="F93" i="12"/>
  <c r="E93" i="12"/>
  <c r="D93" i="12"/>
  <c r="G92" i="12"/>
  <c r="F92" i="12"/>
  <c r="E92" i="12"/>
  <c r="D92" i="12"/>
  <c r="G91" i="12"/>
  <c r="F91" i="12"/>
  <c r="E91" i="12"/>
  <c r="D91" i="12"/>
  <c r="G90" i="12"/>
  <c r="F90" i="12"/>
  <c r="E90" i="12"/>
  <c r="D90" i="12"/>
  <c r="G89" i="12"/>
  <c r="F89" i="12"/>
  <c r="E89" i="12"/>
  <c r="D89" i="12"/>
  <c r="G87" i="12"/>
  <c r="F87" i="12"/>
  <c r="E87" i="12"/>
  <c r="D87" i="12"/>
  <c r="G86" i="12"/>
  <c r="F86" i="12"/>
  <c r="E86" i="12"/>
  <c r="D86" i="12"/>
  <c r="G83" i="12"/>
  <c r="F83" i="12"/>
  <c r="E83" i="12"/>
  <c r="D83" i="12"/>
  <c r="G82" i="12"/>
  <c r="F82" i="12"/>
  <c r="E82" i="12"/>
  <c r="D82" i="12"/>
  <c r="G81" i="12"/>
  <c r="F81" i="12"/>
  <c r="E81" i="12"/>
  <c r="D81" i="12"/>
  <c r="G80" i="12"/>
  <c r="F80" i="12"/>
  <c r="E80" i="12"/>
  <c r="D80" i="12"/>
  <c r="G79" i="12"/>
  <c r="F79" i="12"/>
  <c r="E79" i="12"/>
  <c r="D79" i="12"/>
  <c r="G78" i="12"/>
  <c r="F78" i="12"/>
  <c r="E78" i="12"/>
  <c r="D78" i="12"/>
  <c r="G77" i="12"/>
  <c r="F77" i="12"/>
  <c r="E77" i="12"/>
  <c r="D77" i="12"/>
  <c r="G73" i="12"/>
  <c r="F73" i="12"/>
  <c r="E73" i="12"/>
  <c r="D73" i="12"/>
  <c r="G72" i="12"/>
  <c r="F72" i="12"/>
  <c r="E72" i="12"/>
  <c r="D72" i="12"/>
  <c r="G71" i="12"/>
  <c r="F71" i="12"/>
  <c r="E71" i="12"/>
  <c r="D71" i="12"/>
  <c r="G70" i="12"/>
  <c r="F70" i="12"/>
  <c r="E70" i="12"/>
  <c r="D70" i="12"/>
  <c r="G69" i="12"/>
  <c r="F69" i="12"/>
  <c r="E69" i="12"/>
  <c r="D69" i="12"/>
  <c r="G68" i="12"/>
  <c r="F68" i="12"/>
  <c r="E68" i="12"/>
  <c r="D68" i="12"/>
  <c r="G66" i="12"/>
  <c r="F66" i="12"/>
  <c r="E66" i="12"/>
  <c r="D66" i="12"/>
  <c r="G63" i="12"/>
  <c r="F63" i="12"/>
  <c r="E63" i="12"/>
  <c r="D63" i="12"/>
  <c r="G62" i="12"/>
  <c r="F62" i="12"/>
  <c r="E62" i="12"/>
  <c r="D62" i="12"/>
  <c r="G61" i="12"/>
  <c r="F61" i="12"/>
  <c r="E61" i="12"/>
  <c r="D61" i="12"/>
  <c r="G60" i="12"/>
  <c r="F60" i="12"/>
  <c r="E60" i="12"/>
  <c r="D60" i="12"/>
  <c r="G59" i="12"/>
  <c r="F59" i="12"/>
  <c r="E59" i="12"/>
  <c r="D59" i="12"/>
  <c r="G58" i="12"/>
  <c r="F58" i="12"/>
  <c r="E58" i="12"/>
  <c r="D58" i="12"/>
  <c r="G57" i="12"/>
  <c r="F57" i="12"/>
  <c r="E57" i="12"/>
  <c r="D57" i="12"/>
  <c r="G56" i="12"/>
  <c r="F56" i="12"/>
  <c r="E56" i="12"/>
  <c r="D56" i="12"/>
  <c r="G55" i="12"/>
  <c r="F55" i="12"/>
  <c r="E55" i="12"/>
  <c r="D55" i="12"/>
  <c r="G54" i="12"/>
  <c r="F54" i="12"/>
  <c r="E54" i="12"/>
  <c r="D54" i="12"/>
  <c r="G53" i="12"/>
  <c r="F53" i="12"/>
  <c r="E53" i="12"/>
  <c r="D53" i="12"/>
  <c r="G51" i="12"/>
  <c r="F51" i="12"/>
  <c r="E51" i="12"/>
  <c r="D51" i="12"/>
  <c r="G49" i="12"/>
  <c r="F49" i="12"/>
  <c r="E49" i="12"/>
  <c r="D49" i="12"/>
  <c r="G48" i="12"/>
  <c r="F48" i="12"/>
  <c r="E48" i="12"/>
  <c r="D48" i="12"/>
  <c r="G47" i="12"/>
  <c r="F47" i="12"/>
  <c r="E47" i="12"/>
  <c r="D47" i="12"/>
  <c r="G46" i="12"/>
  <c r="F46" i="12"/>
  <c r="E46" i="12"/>
  <c r="D46" i="12"/>
  <c r="G45" i="12"/>
  <c r="F45" i="12"/>
  <c r="E45" i="12"/>
  <c r="D45" i="12"/>
  <c r="G44" i="12"/>
  <c r="F44" i="12"/>
  <c r="E44" i="12"/>
  <c r="D44" i="12"/>
  <c r="G43" i="12"/>
  <c r="F43" i="12"/>
  <c r="E43" i="12"/>
  <c r="D43" i="12"/>
  <c r="G41" i="12"/>
  <c r="F41" i="12"/>
  <c r="E41" i="12"/>
  <c r="D41" i="12"/>
  <c r="G40" i="12"/>
  <c r="F40" i="12"/>
  <c r="E40" i="12"/>
  <c r="D40" i="12"/>
  <c r="G39" i="12"/>
  <c r="F39" i="12"/>
  <c r="E39" i="12"/>
  <c r="D39" i="12"/>
  <c r="G38" i="12"/>
  <c r="F38" i="12"/>
  <c r="E38" i="12"/>
  <c r="D38" i="12"/>
  <c r="G37" i="12"/>
  <c r="F37" i="12"/>
  <c r="E37" i="12"/>
  <c r="D37" i="12"/>
  <c r="G36" i="12"/>
  <c r="F36" i="12"/>
  <c r="E36" i="12"/>
  <c r="D36" i="12"/>
  <c r="G31" i="12"/>
  <c r="F31" i="12"/>
  <c r="E31" i="12"/>
  <c r="D31" i="12"/>
  <c r="G29" i="12"/>
  <c r="F29" i="12"/>
  <c r="E29" i="12"/>
  <c r="D29" i="12"/>
  <c r="G27" i="12"/>
  <c r="F27" i="12"/>
  <c r="E27" i="12"/>
  <c r="D27" i="12"/>
  <c r="G25" i="12"/>
  <c r="F25" i="12"/>
  <c r="E25" i="12"/>
  <c r="D25" i="12"/>
  <c r="G24" i="12"/>
  <c r="F24" i="12"/>
  <c r="E24" i="12"/>
  <c r="D24" i="12"/>
  <c r="G23" i="12"/>
  <c r="F23" i="12"/>
  <c r="E23" i="12"/>
  <c r="D23" i="12"/>
  <c r="G21" i="12"/>
  <c r="F21" i="12"/>
  <c r="E21" i="12"/>
  <c r="D21" i="12"/>
  <c r="G20" i="12"/>
  <c r="F20" i="12"/>
  <c r="E20" i="12"/>
  <c r="D20" i="12"/>
  <c r="G18" i="12"/>
  <c r="F18" i="12"/>
  <c r="E18" i="12"/>
  <c r="D18" i="12"/>
  <c r="G16" i="12"/>
  <c r="F16" i="12"/>
  <c r="E16" i="12"/>
  <c r="D16" i="12"/>
  <c r="G15" i="12"/>
  <c r="F15" i="12"/>
  <c r="E15" i="12"/>
  <c r="D15" i="12"/>
  <c r="G13" i="12"/>
  <c r="F13" i="12"/>
  <c r="E13" i="12"/>
  <c r="D13" i="12"/>
  <c r="G12" i="12"/>
  <c r="F12" i="12"/>
  <c r="E12" i="12"/>
  <c r="D12" i="12"/>
  <c r="G10" i="12"/>
  <c r="F10" i="12"/>
  <c r="E10" i="12"/>
  <c r="D10" i="12"/>
  <c r="G9" i="12"/>
  <c r="F9" i="12"/>
  <c r="E9" i="12"/>
  <c r="D9" i="12"/>
  <c r="G8" i="12"/>
  <c r="F8" i="12"/>
  <c r="E8" i="12"/>
  <c r="D8" i="12"/>
  <c r="C20" i="12"/>
  <c r="C16" i="12"/>
  <c r="C13" i="12"/>
  <c r="C12" i="12"/>
  <c r="C9" i="12"/>
  <c r="C31" i="12"/>
  <c r="C29" i="12"/>
  <c r="C27" i="12"/>
  <c r="C25" i="12"/>
  <c r="C24" i="12"/>
  <c r="C23" i="12"/>
  <c r="C21" i="12"/>
  <c r="C18" i="12"/>
  <c r="C15" i="12"/>
  <c r="C15" i="11"/>
  <c r="C10" i="12"/>
  <c r="C8" i="12"/>
  <c r="G42" i="11" l="1"/>
  <c r="F42" i="11"/>
  <c r="E42" i="11"/>
  <c r="D42" i="11"/>
  <c r="H14" i="3"/>
  <c r="I14" i="3" s="1"/>
  <c r="J14" i="3" s="1"/>
  <c r="K14" i="3" s="1"/>
  <c r="L14" i="3" s="1"/>
  <c r="M14" i="3" s="1"/>
  <c r="N14" i="3" s="1"/>
  <c r="O14" i="3" s="1"/>
  <c r="P14" i="3" s="1"/>
  <c r="Q14" i="3" s="1"/>
  <c r="Q11" i="4"/>
  <c r="P11" i="4"/>
  <c r="O11" i="4"/>
  <c r="N11" i="4"/>
  <c r="M11" i="4"/>
  <c r="L11" i="4"/>
  <c r="K11" i="4"/>
  <c r="J11" i="4"/>
  <c r="I11" i="4"/>
  <c r="Q16" i="3"/>
  <c r="P16" i="3"/>
  <c r="O16" i="3"/>
  <c r="N16" i="3"/>
  <c r="M16" i="3"/>
  <c r="L16" i="3"/>
  <c r="K16" i="3"/>
  <c r="J16" i="3"/>
  <c r="I16" i="3"/>
  <c r="Q13" i="3"/>
  <c r="P13" i="3"/>
  <c r="O13" i="3"/>
  <c r="N13" i="3"/>
  <c r="M13" i="3"/>
  <c r="L13" i="3"/>
  <c r="K13" i="3"/>
  <c r="J13" i="3"/>
  <c r="I13" i="3"/>
  <c r="Q11" i="3"/>
  <c r="P11" i="3"/>
  <c r="O11" i="3"/>
  <c r="N11" i="3"/>
  <c r="M11" i="3"/>
  <c r="L11" i="3"/>
  <c r="K11" i="3"/>
  <c r="J11" i="3"/>
  <c r="I11" i="3"/>
  <c r="H45" i="3"/>
  <c r="I45" i="3" s="1"/>
  <c r="J45" i="3" s="1"/>
  <c r="K45" i="3" s="1"/>
  <c r="L45" i="3" s="1"/>
  <c r="M45" i="3" s="1"/>
  <c r="N45" i="3" s="1"/>
  <c r="O45" i="3" s="1"/>
  <c r="P45" i="3" s="1"/>
  <c r="Q45" i="3" s="1"/>
  <c r="H44" i="3"/>
  <c r="I44" i="3" s="1"/>
  <c r="J44" i="3" s="1"/>
  <c r="K44" i="3" s="1"/>
  <c r="L44" i="3" s="1"/>
  <c r="M44" i="3" s="1"/>
  <c r="N44" i="3" s="1"/>
  <c r="O44" i="3" s="1"/>
  <c r="P44" i="3" s="1"/>
  <c r="Q44" i="3" s="1"/>
  <c r="H11" i="4" l="1"/>
  <c r="H41" i="3"/>
  <c r="I41" i="3" s="1"/>
  <c r="J41" i="3" s="1"/>
  <c r="K41" i="3" s="1"/>
  <c r="L41" i="3" s="1"/>
  <c r="M41" i="3" s="1"/>
  <c r="N41" i="3" s="1"/>
  <c r="O41" i="3" s="1"/>
  <c r="P41" i="3" s="1"/>
  <c r="Q41" i="3" s="1"/>
  <c r="H16" i="3"/>
  <c r="H15" i="3"/>
  <c r="I15" i="3" s="1"/>
  <c r="J15" i="3" s="1"/>
  <c r="K15" i="3" s="1"/>
  <c r="L15" i="3" s="1"/>
  <c r="M15" i="3" s="1"/>
  <c r="N15" i="3" s="1"/>
  <c r="O15" i="3" s="1"/>
  <c r="P15" i="3" s="1"/>
  <c r="Q15" i="3" s="1"/>
  <c r="H13" i="3"/>
  <c r="H11" i="3"/>
  <c r="F45" i="11"/>
  <c r="G44" i="11"/>
  <c r="G47" i="11" s="1"/>
  <c r="G48" i="11" s="1"/>
  <c r="F44" i="11"/>
  <c r="F47" i="11" s="1"/>
  <c r="F48" i="11" s="1"/>
  <c r="E44" i="11"/>
  <c r="E45" i="11" s="1"/>
  <c r="D44" i="11"/>
  <c r="D45" i="11" s="1"/>
  <c r="C44" i="11"/>
  <c r="G40" i="11"/>
  <c r="F40" i="11"/>
  <c r="E40" i="11"/>
  <c r="D40" i="11"/>
  <c r="G39" i="11"/>
  <c r="F39" i="11"/>
  <c r="E39" i="11"/>
  <c r="D39" i="11"/>
  <c r="G37" i="11"/>
  <c r="F37" i="11"/>
  <c r="E37" i="11"/>
  <c r="D37" i="11"/>
  <c r="C37" i="11"/>
  <c r="Q32" i="11"/>
  <c r="P32" i="11"/>
  <c r="O32" i="11"/>
  <c r="N32" i="11"/>
  <c r="M32" i="11"/>
  <c r="L32" i="11"/>
  <c r="K32" i="11"/>
  <c r="J32" i="11"/>
  <c r="I32" i="11"/>
  <c r="H32" i="11"/>
  <c r="G32" i="11"/>
  <c r="F32" i="11"/>
  <c r="E32" i="11"/>
  <c r="D32" i="11"/>
  <c r="Q31" i="11"/>
  <c r="P31" i="11"/>
  <c r="O31" i="11"/>
  <c r="N31" i="11"/>
  <c r="M31" i="11"/>
  <c r="L31" i="11"/>
  <c r="K31" i="11"/>
  <c r="J31" i="11"/>
  <c r="I31" i="11"/>
  <c r="H31" i="11"/>
  <c r="G31" i="11"/>
  <c r="F31" i="11"/>
  <c r="E31" i="11"/>
  <c r="D31" i="11"/>
  <c r="D34" i="11" s="1"/>
  <c r="D35" i="11" s="1"/>
  <c r="G35" i="11"/>
  <c r="G34" i="11"/>
  <c r="F34" i="11"/>
  <c r="F35" i="11" s="1"/>
  <c r="E34" i="11"/>
  <c r="E35" i="11" s="1"/>
  <c r="C32" i="11"/>
  <c r="C31" i="11"/>
  <c r="G29" i="11"/>
  <c r="F29" i="11"/>
  <c r="E29" i="11"/>
  <c r="D29" i="11"/>
  <c r="G27" i="11"/>
  <c r="F27" i="11"/>
  <c r="E27" i="11"/>
  <c r="D27" i="11"/>
  <c r="C27" i="11"/>
  <c r="G26" i="11"/>
  <c r="F26" i="11"/>
  <c r="E26" i="11"/>
  <c r="D26" i="11"/>
  <c r="C26" i="11"/>
  <c r="G24" i="11"/>
  <c r="F24" i="11"/>
  <c r="E24" i="11"/>
  <c r="D24" i="11"/>
  <c r="G19" i="11"/>
  <c r="F19" i="11"/>
  <c r="E19" i="11"/>
  <c r="D19" i="11"/>
  <c r="G23" i="11"/>
  <c r="F23" i="11"/>
  <c r="E23" i="11"/>
  <c r="D23" i="11"/>
  <c r="C23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C21" i="11"/>
  <c r="G18" i="11"/>
  <c r="F18" i="11"/>
  <c r="E18" i="11"/>
  <c r="D18" i="11"/>
  <c r="C18" i="11"/>
  <c r="G16" i="11"/>
  <c r="F16" i="11"/>
  <c r="E16" i="11"/>
  <c r="D16" i="11"/>
  <c r="G15" i="11"/>
  <c r="F15" i="11"/>
  <c r="E15" i="11"/>
  <c r="D15" i="11"/>
  <c r="C16" i="11"/>
  <c r="G13" i="11"/>
  <c r="F13" i="11"/>
  <c r="E13" i="11"/>
  <c r="D13" i="11"/>
  <c r="C13" i="11"/>
  <c r="H8" i="11"/>
  <c r="I8" i="11" s="1"/>
  <c r="J8" i="11" s="1"/>
  <c r="K8" i="11" s="1"/>
  <c r="L8" i="11" s="1"/>
  <c r="M8" i="11" s="1"/>
  <c r="N8" i="11" s="1"/>
  <c r="O8" i="11" s="1"/>
  <c r="P8" i="11" s="1"/>
  <c r="Q8" i="11" s="1"/>
  <c r="G12" i="11"/>
  <c r="F12" i="11"/>
  <c r="E12" i="11"/>
  <c r="D12" i="11"/>
  <c r="C12" i="11"/>
  <c r="G11" i="11"/>
  <c r="F11" i="11"/>
  <c r="E11" i="11"/>
  <c r="D11" i="11"/>
  <c r="C11" i="11"/>
  <c r="G10" i="11"/>
  <c r="F10" i="11"/>
  <c r="E10" i="11"/>
  <c r="D10" i="11"/>
  <c r="C10" i="11"/>
  <c r="D8" i="11"/>
  <c r="E8" i="11" s="1"/>
  <c r="F8" i="11" s="1"/>
  <c r="G8" i="11" s="1"/>
  <c r="G89" i="10"/>
  <c r="F89" i="10"/>
  <c r="F90" i="10" s="1"/>
  <c r="F92" i="10" s="1"/>
  <c r="E89" i="10"/>
  <c r="E90" i="10" s="1"/>
  <c r="E92" i="10" s="1"/>
  <c r="D89" i="10"/>
  <c r="D90" i="10" s="1"/>
  <c r="D92" i="10" s="1"/>
  <c r="C89" i="10"/>
  <c r="Q87" i="10"/>
  <c r="P87" i="10"/>
  <c r="O87" i="10"/>
  <c r="N87" i="10"/>
  <c r="M87" i="10"/>
  <c r="L87" i="10"/>
  <c r="K87" i="10"/>
  <c r="J87" i="10"/>
  <c r="I87" i="10"/>
  <c r="H87" i="10"/>
  <c r="Q86" i="10"/>
  <c r="P86" i="10"/>
  <c r="O86" i="10"/>
  <c r="N86" i="10"/>
  <c r="M86" i="10"/>
  <c r="L86" i="10"/>
  <c r="K86" i="10"/>
  <c r="J86" i="10"/>
  <c r="I86" i="10"/>
  <c r="H86" i="10"/>
  <c r="Q85" i="10"/>
  <c r="P85" i="10"/>
  <c r="O85" i="10"/>
  <c r="N85" i="10"/>
  <c r="M85" i="10"/>
  <c r="L85" i="10"/>
  <c r="K85" i="10"/>
  <c r="J85" i="10"/>
  <c r="I85" i="10"/>
  <c r="H85" i="10"/>
  <c r="Q83" i="10"/>
  <c r="P83" i="10"/>
  <c r="O83" i="10"/>
  <c r="N83" i="10"/>
  <c r="M83" i="10"/>
  <c r="L83" i="10"/>
  <c r="K83" i="10"/>
  <c r="J83" i="10"/>
  <c r="I83" i="10"/>
  <c r="H83" i="10"/>
  <c r="Q82" i="10"/>
  <c r="P82" i="10"/>
  <c r="O82" i="10"/>
  <c r="N82" i="10"/>
  <c r="M82" i="10"/>
  <c r="L82" i="10"/>
  <c r="K82" i="10"/>
  <c r="J82" i="10"/>
  <c r="I82" i="10"/>
  <c r="H82" i="10"/>
  <c r="Q81" i="10"/>
  <c r="P81" i="10"/>
  <c r="O81" i="10"/>
  <c r="N81" i="10"/>
  <c r="M81" i="10"/>
  <c r="L81" i="10"/>
  <c r="K81" i="10"/>
  <c r="J81" i="10"/>
  <c r="I81" i="10"/>
  <c r="H81" i="10"/>
  <c r="Q80" i="10"/>
  <c r="P80" i="10"/>
  <c r="O80" i="10"/>
  <c r="N80" i="10"/>
  <c r="M80" i="10"/>
  <c r="L80" i="10"/>
  <c r="K80" i="10"/>
  <c r="J80" i="10"/>
  <c r="I80" i="10"/>
  <c r="H80" i="10"/>
  <c r="Q79" i="10"/>
  <c r="P79" i="10"/>
  <c r="O79" i="10"/>
  <c r="N79" i="10"/>
  <c r="M79" i="10"/>
  <c r="L79" i="10"/>
  <c r="K79" i="10"/>
  <c r="J79" i="10"/>
  <c r="I79" i="10"/>
  <c r="H79" i="10"/>
  <c r="Q78" i="10"/>
  <c r="P78" i="10"/>
  <c r="O78" i="10"/>
  <c r="N78" i="10"/>
  <c r="M78" i="10"/>
  <c r="L78" i="10"/>
  <c r="K78" i="10"/>
  <c r="J78" i="10"/>
  <c r="I78" i="10"/>
  <c r="H78" i="10"/>
  <c r="Q77" i="10"/>
  <c r="P77" i="10"/>
  <c r="O77" i="10"/>
  <c r="N77" i="10"/>
  <c r="M77" i="10"/>
  <c r="L77" i="10"/>
  <c r="K77" i="10"/>
  <c r="J77" i="10"/>
  <c r="I77" i="10"/>
  <c r="H77" i="10"/>
  <c r="Q76" i="10"/>
  <c r="P76" i="10"/>
  <c r="O76" i="10"/>
  <c r="N76" i="10"/>
  <c r="M76" i="10"/>
  <c r="L76" i="10"/>
  <c r="K76" i="10"/>
  <c r="J76" i="10"/>
  <c r="I76" i="10"/>
  <c r="H76" i="10"/>
  <c r="Q75" i="10"/>
  <c r="P75" i="10"/>
  <c r="O75" i="10"/>
  <c r="N75" i="10"/>
  <c r="M75" i="10"/>
  <c r="L75" i="10"/>
  <c r="K75" i="10"/>
  <c r="J75" i="10"/>
  <c r="I75" i="10"/>
  <c r="H75" i="10"/>
  <c r="Q74" i="10"/>
  <c r="P74" i="10"/>
  <c r="O74" i="10"/>
  <c r="N74" i="10"/>
  <c r="M74" i="10"/>
  <c r="L74" i="10"/>
  <c r="K74" i="10"/>
  <c r="J74" i="10"/>
  <c r="I74" i="10"/>
  <c r="H74" i="10"/>
  <c r="Q73" i="10"/>
  <c r="P73" i="10"/>
  <c r="O73" i="10"/>
  <c r="N73" i="10"/>
  <c r="M73" i="10"/>
  <c r="L73" i="10"/>
  <c r="K73" i="10"/>
  <c r="J73" i="10"/>
  <c r="I73" i="10"/>
  <c r="H73" i="10"/>
  <c r="Q72" i="10"/>
  <c r="P72" i="10"/>
  <c r="O72" i="10"/>
  <c r="N72" i="10"/>
  <c r="M72" i="10"/>
  <c r="L72" i="10"/>
  <c r="K72" i="10"/>
  <c r="J72" i="10"/>
  <c r="I72" i="10"/>
  <c r="H72" i="10"/>
  <c r="Q71" i="10"/>
  <c r="P71" i="10"/>
  <c r="O71" i="10"/>
  <c r="N71" i="10"/>
  <c r="M71" i="10"/>
  <c r="L71" i="10"/>
  <c r="K71" i="10"/>
  <c r="J71" i="10"/>
  <c r="I71" i="10"/>
  <c r="H71" i="10"/>
  <c r="Q70" i="10"/>
  <c r="P70" i="10"/>
  <c r="O70" i="10"/>
  <c r="N70" i="10"/>
  <c r="M70" i="10"/>
  <c r="L70" i="10"/>
  <c r="K70" i="10"/>
  <c r="J70" i="10"/>
  <c r="I70" i="10"/>
  <c r="H70" i="10"/>
  <c r="Q69" i="10"/>
  <c r="P69" i="10"/>
  <c r="O69" i="10"/>
  <c r="N69" i="10"/>
  <c r="M69" i="10"/>
  <c r="L69" i="10"/>
  <c r="K69" i="10"/>
  <c r="J69" i="10"/>
  <c r="I69" i="10"/>
  <c r="H69" i="10"/>
  <c r="Q68" i="10"/>
  <c r="P68" i="10"/>
  <c r="O68" i="10"/>
  <c r="N68" i="10"/>
  <c r="M68" i="10"/>
  <c r="L68" i="10"/>
  <c r="K68" i="10"/>
  <c r="J68" i="10"/>
  <c r="I68" i="10"/>
  <c r="H68" i="10"/>
  <c r="H58" i="10"/>
  <c r="H51" i="10"/>
  <c r="H39" i="10"/>
  <c r="H32" i="10"/>
  <c r="Q26" i="10"/>
  <c r="P26" i="10"/>
  <c r="O26" i="10"/>
  <c r="N26" i="10"/>
  <c r="M26" i="10"/>
  <c r="L26" i="10"/>
  <c r="K26" i="10"/>
  <c r="J26" i="10"/>
  <c r="I26" i="10"/>
  <c r="H26" i="10"/>
  <c r="H20" i="10"/>
  <c r="H13" i="10"/>
  <c r="F87" i="10"/>
  <c r="E87" i="10"/>
  <c r="D87" i="10"/>
  <c r="D47" i="11" l="1"/>
  <c r="D48" i="11" s="1"/>
  <c r="E47" i="11"/>
  <c r="E48" i="11" s="1"/>
  <c r="G90" i="10"/>
  <c r="C24" i="11"/>
  <c r="C19" i="11"/>
  <c r="C29" i="11"/>
  <c r="G45" i="11"/>
  <c r="G92" i="10" l="1"/>
  <c r="H90" i="10"/>
  <c r="C34" i="11"/>
  <c r="H92" i="10" l="1"/>
  <c r="H42" i="4" s="1"/>
  <c r="H19" i="18" s="1"/>
  <c r="I90" i="10"/>
  <c r="H89" i="10"/>
  <c r="C35" i="11"/>
  <c r="C39" i="11"/>
  <c r="H12" i="3" l="1"/>
  <c r="I89" i="10"/>
  <c r="J90" i="10"/>
  <c r="I92" i="10"/>
  <c r="I42" i="4" s="1"/>
  <c r="I19" i="18" s="1"/>
  <c r="C42" i="11"/>
  <c r="C40" i="11"/>
  <c r="C45" i="11"/>
  <c r="H45" i="11" s="1"/>
  <c r="C47" i="11"/>
  <c r="C48" i="11" s="1"/>
  <c r="K90" i="10" l="1"/>
  <c r="J92" i="10"/>
  <c r="J42" i="4" s="1"/>
  <c r="J19" i="18" s="1"/>
  <c r="J89" i="10"/>
  <c r="I12" i="3"/>
  <c r="I45" i="11"/>
  <c r="K89" i="10" l="1"/>
  <c r="J12" i="3"/>
  <c r="L90" i="10"/>
  <c r="K92" i="10"/>
  <c r="K42" i="4" s="1"/>
  <c r="K19" i="18" s="1"/>
  <c r="J45" i="11"/>
  <c r="M90" i="10" l="1"/>
  <c r="L92" i="10"/>
  <c r="L42" i="4" s="1"/>
  <c r="L19" i="18" s="1"/>
  <c r="K12" i="3"/>
  <c r="L89" i="10"/>
  <c r="K45" i="11"/>
  <c r="M89" i="10" l="1"/>
  <c r="L12" i="3"/>
  <c r="N90" i="10"/>
  <c r="M92" i="10"/>
  <c r="M42" i="4" s="1"/>
  <c r="M19" i="18" s="1"/>
  <c r="L45" i="11"/>
  <c r="O90" i="10" l="1"/>
  <c r="N92" i="10"/>
  <c r="N42" i="4" s="1"/>
  <c r="N19" i="18" s="1"/>
  <c r="M12" i="3"/>
  <c r="N89" i="10"/>
  <c r="M45" i="11"/>
  <c r="O89" i="10" l="1"/>
  <c r="N12" i="3"/>
  <c r="P90" i="10"/>
  <c r="O92" i="10"/>
  <c r="O42" i="4" s="1"/>
  <c r="O19" i="18" s="1"/>
  <c r="N45" i="11"/>
  <c r="Q90" i="10" l="1"/>
  <c r="Q92" i="10" s="1"/>
  <c r="Q42" i="4" s="1"/>
  <c r="Q19" i="18" s="1"/>
  <c r="P92" i="10"/>
  <c r="P42" i="4" s="1"/>
  <c r="P19" i="18" s="1"/>
  <c r="O12" i="3"/>
  <c r="P89" i="10"/>
  <c r="O45" i="11"/>
  <c r="Q89" i="10" l="1"/>
  <c r="Q12" i="3" s="1"/>
  <c r="P12" i="3"/>
  <c r="P45" i="11"/>
  <c r="Q45" i="11" l="1"/>
  <c r="F85" i="10"/>
  <c r="E85" i="10"/>
  <c r="D85" i="10"/>
  <c r="C85" i="10"/>
  <c r="F83" i="10"/>
  <c r="E83" i="10"/>
  <c r="D83" i="10"/>
  <c r="C83" i="10"/>
  <c r="G82" i="10"/>
  <c r="F82" i="10"/>
  <c r="E82" i="10"/>
  <c r="D82" i="10"/>
  <c r="C82" i="10"/>
  <c r="F81" i="10"/>
  <c r="E81" i="10"/>
  <c r="D81" i="10"/>
  <c r="C81" i="10"/>
  <c r="G80" i="10"/>
  <c r="F80" i="10"/>
  <c r="E80" i="10"/>
  <c r="D80" i="10"/>
  <c r="C80" i="10"/>
  <c r="G79" i="10"/>
  <c r="F79" i="10"/>
  <c r="E79" i="10"/>
  <c r="D79" i="10"/>
  <c r="C79" i="10"/>
  <c r="G78" i="10"/>
  <c r="F78" i="10"/>
  <c r="E78" i="10"/>
  <c r="D78" i="10"/>
  <c r="C78" i="10"/>
  <c r="G77" i="10"/>
  <c r="F77" i="10"/>
  <c r="E77" i="10"/>
  <c r="D77" i="10"/>
  <c r="C77" i="10"/>
  <c r="G76" i="10"/>
  <c r="F76" i="10"/>
  <c r="E76" i="10"/>
  <c r="D76" i="10"/>
  <c r="C76" i="10"/>
  <c r="G75" i="10"/>
  <c r="F75" i="10"/>
  <c r="E75" i="10"/>
  <c r="D75" i="10"/>
  <c r="C75" i="10"/>
  <c r="F74" i="10"/>
  <c r="E74" i="10"/>
  <c r="D74" i="10"/>
  <c r="C74" i="10"/>
  <c r="G73" i="10"/>
  <c r="F73" i="10"/>
  <c r="E73" i="10"/>
  <c r="D73" i="10"/>
  <c r="C73" i="10"/>
  <c r="G72" i="10"/>
  <c r="F72" i="10"/>
  <c r="E72" i="10"/>
  <c r="D72" i="10"/>
  <c r="C72" i="10"/>
  <c r="G71" i="10"/>
  <c r="F71" i="10"/>
  <c r="E71" i="10"/>
  <c r="D71" i="10"/>
  <c r="C71" i="10"/>
  <c r="G70" i="10"/>
  <c r="F70" i="10"/>
  <c r="E70" i="10"/>
  <c r="D70" i="10"/>
  <c r="C70" i="10"/>
  <c r="G69" i="10"/>
  <c r="F69" i="10"/>
  <c r="E69" i="10"/>
  <c r="D69" i="10"/>
  <c r="C69" i="10"/>
  <c r="G68" i="10"/>
  <c r="F68" i="10"/>
  <c r="E68" i="10"/>
  <c r="D68" i="10"/>
  <c r="C68" i="10"/>
  <c r="D57" i="10"/>
  <c r="D62" i="10" s="1"/>
  <c r="E57" i="10" s="1"/>
  <c r="E62" i="10" s="1"/>
  <c r="F57" i="10" s="1"/>
  <c r="F62" i="10" s="1"/>
  <c r="G57" i="10" s="1"/>
  <c r="G62" i="10" s="1"/>
  <c r="H57" i="10" s="1"/>
  <c r="H62" i="10" s="1"/>
  <c r="I58" i="10" s="1"/>
  <c r="C64" i="10"/>
  <c r="C62" i="10"/>
  <c r="D49" i="10"/>
  <c r="D55" i="10"/>
  <c r="E49" i="10" s="1"/>
  <c r="E55" i="10" s="1"/>
  <c r="F49" i="10" s="1"/>
  <c r="F55" i="10" s="1"/>
  <c r="G49" i="10" s="1"/>
  <c r="G55" i="10" s="1"/>
  <c r="H49" i="10" s="1"/>
  <c r="H55" i="10" s="1"/>
  <c r="C55" i="10"/>
  <c r="F26" i="10"/>
  <c r="E26" i="10"/>
  <c r="D26" i="10"/>
  <c r="C26" i="10"/>
  <c r="C43" i="10"/>
  <c r="D38" i="10" s="1"/>
  <c r="D43" i="10" s="1"/>
  <c r="E38" i="10" s="1"/>
  <c r="E43" i="10" s="1"/>
  <c r="F38" i="10" s="1"/>
  <c r="F43" i="10" s="1"/>
  <c r="G38" i="10" s="1"/>
  <c r="G43" i="10" s="1"/>
  <c r="H38" i="10" s="1"/>
  <c r="H43" i="10" s="1"/>
  <c r="C36" i="10"/>
  <c r="D30" i="10" s="1"/>
  <c r="D36" i="10" s="1"/>
  <c r="E30" i="10" s="1"/>
  <c r="E36" i="10" s="1"/>
  <c r="F30" i="10" s="1"/>
  <c r="F36" i="10" s="1"/>
  <c r="C24" i="10"/>
  <c r="D19" i="10" s="1"/>
  <c r="D24" i="10" s="1"/>
  <c r="E19" i="10" s="1"/>
  <c r="E24" i="10" s="1"/>
  <c r="F19" i="10" s="1"/>
  <c r="F24" i="10" s="1"/>
  <c r="G19" i="10" s="1"/>
  <c r="G24" i="10" s="1"/>
  <c r="H19" i="10" s="1"/>
  <c r="H24" i="10" s="1"/>
  <c r="C17" i="10"/>
  <c r="D11" i="10" s="1"/>
  <c r="D17" i="10" s="1"/>
  <c r="E11" i="10" s="1"/>
  <c r="E17" i="10" s="1"/>
  <c r="F11" i="10" s="1"/>
  <c r="F17" i="10" s="1"/>
  <c r="G11" i="10" s="1"/>
  <c r="G17" i="10" s="1"/>
  <c r="H11" i="10" s="1"/>
  <c r="H17" i="10" s="1"/>
  <c r="G66" i="9"/>
  <c r="G67" i="9" s="1"/>
  <c r="F66" i="9"/>
  <c r="F67" i="9" s="1"/>
  <c r="E66" i="9"/>
  <c r="E67" i="9" s="1"/>
  <c r="D66" i="9"/>
  <c r="D67" i="9" s="1"/>
  <c r="G64" i="9"/>
  <c r="G65" i="9" s="1"/>
  <c r="F64" i="9"/>
  <c r="F65" i="9" s="1"/>
  <c r="E64" i="9"/>
  <c r="E65" i="9" s="1"/>
  <c r="D64" i="9"/>
  <c r="D65" i="9" s="1"/>
  <c r="G62" i="9"/>
  <c r="G63" i="9" s="1"/>
  <c r="F62" i="9"/>
  <c r="F63" i="9" s="1"/>
  <c r="E62" i="9"/>
  <c r="E63" i="9" s="1"/>
  <c r="D62" i="9"/>
  <c r="D63" i="9" s="1"/>
  <c r="G60" i="9"/>
  <c r="G61" i="9" s="1"/>
  <c r="F60" i="9"/>
  <c r="F61" i="9" s="1"/>
  <c r="E60" i="9"/>
  <c r="E61" i="9" s="1"/>
  <c r="D60" i="9"/>
  <c r="D61" i="9" s="1"/>
  <c r="G58" i="9"/>
  <c r="G59" i="9" s="1"/>
  <c r="F58" i="9"/>
  <c r="F59" i="9" s="1"/>
  <c r="E58" i="9"/>
  <c r="E59" i="9" s="1"/>
  <c r="D58" i="9"/>
  <c r="D59" i="9" s="1"/>
  <c r="G56" i="9"/>
  <c r="G57" i="9" s="1"/>
  <c r="F56" i="9"/>
  <c r="F57" i="9" s="1"/>
  <c r="E56" i="9"/>
  <c r="E57" i="9" s="1"/>
  <c r="D56" i="9"/>
  <c r="D57" i="9" s="1"/>
  <c r="G54" i="9"/>
  <c r="G55" i="9" s="1"/>
  <c r="F54" i="9"/>
  <c r="F55" i="9" s="1"/>
  <c r="E54" i="9"/>
  <c r="E55" i="9" s="1"/>
  <c r="D54" i="9"/>
  <c r="D55" i="9" s="1"/>
  <c r="C66" i="9"/>
  <c r="C67" i="9" s="1"/>
  <c r="C64" i="9"/>
  <c r="C65" i="9" s="1"/>
  <c r="C62" i="9"/>
  <c r="C63" i="9" s="1"/>
  <c r="C60" i="9"/>
  <c r="C61" i="9" s="1"/>
  <c r="H61" i="9" s="1"/>
  <c r="C58" i="9"/>
  <c r="C59" i="9" s="1"/>
  <c r="C56" i="9"/>
  <c r="C57" i="9" s="1"/>
  <c r="C54" i="9"/>
  <c r="C55" i="9" s="1"/>
  <c r="G49" i="9"/>
  <c r="G50" i="9" s="1"/>
  <c r="F49" i="9"/>
  <c r="F50" i="9" s="1"/>
  <c r="E49" i="9"/>
  <c r="E50" i="9" s="1"/>
  <c r="D49" i="9"/>
  <c r="D50" i="9" s="1"/>
  <c r="G47" i="9"/>
  <c r="G48" i="9" s="1"/>
  <c r="F47" i="9"/>
  <c r="F48" i="9" s="1"/>
  <c r="E47" i="9"/>
  <c r="E48" i="9" s="1"/>
  <c r="D47" i="9"/>
  <c r="D48" i="9" s="1"/>
  <c r="G45" i="9"/>
  <c r="G46" i="9" s="1"/>
  <c r="F45" i="9"/>
  <c r="F46" i="9" s="1"/>
  <c r="E45" i="9"/>
  <c r="E46" i="9" s="1"/>
  <c r="D45" i="9"/>
  <c r="D46" i="9" s="1"/>
  <c r="G43" i="9"/>
  <c r="G44" i="9" s="1"/>
  <c r="F43" i="9"/>
  <c r="F44" i="9" s="1"/>
  <c r="E43" i="9"/>
  <c r="E44" i="9" s="1"/>
  <c r="D43" i="9"/>
  <c r="D44" i="9" s="1"/>
  <c r="G41" i="9"/>
  <c r="G42" i="9" s="1"/>
  <c r="F41" i="9"/>
  <c r="F42" i="9" s="1"/>
  <c r="E41" i="9"/>
  <c r="E42" i="9" s="1"/>
  <c r="D41" i="9"/>
  <c r="D42" i="9" s="1"/>
  <c r="G39" i="9"/>
  <c r="G40" i="9" s="1"/>
  <c r="F39" i="9"/>
  <c r="F40" i="9" s="1"/>
  <c r="E39" i="9"/>
  <c r="E40" i="9" s="1"/>
  <c r="D39" i="9"/>
  <c r="D40" i="9" s="1"/>
  <c r="C49" i="9"/>
  <c r="C50" i="9" s="1"/>
  <c r="C47" i="9"/>
  <c r="C48" i="9" s="1"/>
  <c r="C45" i="9"/>
  <c r="C46" i="9" s="1"/>
  <c r="C43" i="9"/>
  <c r="C44" i="9" s="1"/>
  <c r="C41" i="9"/>
  <c r="C42" i="9" s="1"/>
  <c r="C39" i="9"/>
  <c r="C40" i="9" s="1"/>
  <c r="G34" i="9"/>
  <c r="G35" i="9" s="1"/>
  <c r="F34" i="9"/>
  <c r="F35" i="9" s="1"/>
  <c r="E34" i="9"/>
  <c r="E35" i="9" s="1"/>
  <c r="D34" i="9"/>
  <c r="D35" i="9" s="1"/>
  <c r="G32" i="9"/>
  <c r="G33" i="9" s="1"/>
  <c r="F32" i="9"/>
  <c r="F33" i="9" s="1"/>
  <c r="E32" i="9"/>
  <c r="E33" i="9" s="1"/>
  <c r="D32" i="9"/>
  <c r="D33" i="9" s="1"/>
  <c r="G30" i="9"/>
  <c r="G31" i="9" s="1"/>
  <c r="F30" i="9"/>
  <c r="F31" i="9" s="1"/>
  <c r="E30" i="9"/>
  <c r="E31" i="9" s="1"/>
  <c r="D30" i="9"/>
  <c r="D31" i="9" s="1"/>
  <c r="G28" i="9"/>
  <c r="G29" i="9" s="1"/>
  <c r="F28" i="9"/>
  <c r="F29" i="9" s="1"/>
  <c r="E28" i="9"/>
  <c r="E29" i="9" s="1"/>
  <c r="D28" i="9"/>
  <c r="D29" i="9" s="1"/>
  <c r="G26" i="9"/>
  <c r="G27" i="9" s="1"/>
  <c r="F26" i="9"/>
  <c r="F27" i="9" s="1"/>
  <c r="E26" i="9"/>
  <c r="E27" i="9" s="1"/>
  <c r="D26" i="9"/>
  <c r="D27" i="9" s="1"/>
  <c r="G24" i="9"/>
  <c r="G25" i="9" s="1"/>
  <c r="F24" i="9"/>
  <c r="F25" i="9" s="1"/>
  <c r="E24" i="9"/>
  <c r="E25" i="9" s="1"/>
  <c r="D24" i="9"/>
  <c r="D25" i="9" s="1"/>
  <c r="C34" i="9"/>
  <c r="C35" i="9" s="1"/>
  <c r="C32" i="9"/>
  <c r="C33" i="9" s="1"/>
  <c r="C30" i="9"/>
  <c r="C31" i="9" s="1"/>
  <c r="C28" i="9"/>
  <c r="C29" i="9" s="1"/>
  <c r="C26" i="9"/>
  <c r="C27" i="9" s="1"/>
  <c r="C24" i="9"/>
  <c r="C25" i="9" s="1"/>
  <c r="G19" i="9"/>
  <c r="G20" i="9" s="1"/>
  <c r="F19" i="9"/>
  <c r="F20" i="9" s="1"/>
  <c r="E19" i="9"/>
  <c r="E20" i="9" s="1"/>
  <c r="D19" i="9"/>
  <c r="D20" i="9" s="1"/>
  <c r="G17" i="9"/>
  <c r="G18" i="9" s="1"/>
  <c r="F17" i="9"/>
  <c r="F18" i="9" s="1"/>
  <c r="E17" i="9"/>
  <c r="E18" i="9" s="1"/>
  <c r="D17" i="9"/>
  <c r="D18" i="9" s="1"/>
  <c r="G15" i="9"/>
  <c r="G16" i="9" s="1"/>
  <c r="F15" i="9"/>
  <c r="F16" i="9" s="1"/>
  <c r="E15" i="9"/>
  <c r="E16" i="9" s="1"/>
  <c r="D15" i="9"/>
  <c r="D16" i="9" s="1"/>
  <c r="G13" i="9"/>
  <c r="G14" i="9" s="1"/>
  <c r="F13" i="9"/>
  <c r="F14" i="9" s="1"/>
  <c r="E13" i="9"/>
  <c r="E14" i="9" s="1"/>
  <c r="D13" i="9"/>
  <c r="D14" i="9" s="1"/>
  <c r="G11" i="9"/>
  <c r="G12" i="9" s="1"/>
  <c r="F11" i="9"/>
  <c r="F12" i="9" s="1"/>
  <c r="E11" i="9"/>
  <c r="E12" i="9" s="1"/>
  <c r="D11" i="9"/>
  <c r="D12" i="9" s="1"/>
  <c r="G9" i="9"/>
  <c r="G10" i="9" s="1"/>
  <c r="F9" i="9"/>
  <c r="F10" i="9" s="1"/>
  <c r="E9" i="9"/>
  <c r="E10" i="9" s="1"/>
  <c r="D9" i="9"/>
  <c r="D10" i="9" s="1"/>
  <c r="C19" i="9"/>
  <c r="C20" i="9" s="1"/>
  <c r="H20" i="9" s="1"/>
  <c r="C17" i="9"/>
  <c r="C18" i="9" s="1"/>
  <c r="C15" i="9"/>
  <c r="C16" i="9" s="1"/>
  <c r="C13" i="9"/>
  <c r="C14" i="9" s="1"/>
  <c r="C11" i="9"/>
  <c r="C12" i="9" s="1"/>
  <c r="H12" i="9" s="1"/>
  <c r="C9" i="9"/>
  <c r="C10" i="9" s="1"/>
  <c r="G15" i="7"/>
  <c r="D15" i="7"/>
  <c r="C15" i="7"/>
  <c r="G14" i="7"/>
  <c r="F14" i="7"/>
  <c r="E14" i="7"/>
  <c r="D14" i="7"/>
  <c r="C14" i="7"/>
  <c r="F11" i="7"/>
  <c r="E11" i="7"/>
  <c r="G13" i="7"/>
  <c r="F13" i="7"/>
  <c r="E13" i="7"/>
  <c r="E12" i="7" s="1"/>
  <c r="D13" i="7"/>
  <c r="C13" i="7"/>
  <c r="D11" i="7" s="1"/>
  <c r="G19" i="8"/>
  <c r="G18" i="8"/>
  <c r="G17" i="8"/>
  <c r="C19" i="8"/>
  <c r="G14" i="8"/>
  <c r="F14" i="8"/>
  <c r="F19" i="8" s="1"/>
  <c r="E14" i="8"/>
  <c r="E19" i="8" s="1"/>
  <c r="D14" i="8"/>
  <c r="D19" i="8" s="1"/>
  <c r="G13" i="8"/>
  <c r="F13" i="8"/>
  <c r="F18" i="8" s="1"/>
  <c r="E13" i="8"/>
  <c r="E18" i="8" s="1"/>
  <c r="D13" i="8"/>
  <c r="D18" i="8" s="1"/>
  <c r="G12" i="8"/>
  <c r="F12" i="8"/>
  <c r="F17" i="8" s="1"/>
  <c r="E12" i="8"/>
  <c r="E17" i="8" s="1"/>
  <c r="D12" i="8"/>
  <c r="D17" i="8" s="1"/>
  <c r="C14" i="8"/>
  <c r="C13" i="8"/>
  <c r="C18" i="8" s="1"/>
  <c r="C12" i="8"/>
  <c r="C17" i="8" s="1"/>
  <c r="H67" i="5"/>
  <c r="G67" i="5"/>
  <c r="F67" i="5"/>
  <c r="E67" i="5"/>
  <c r="D67" i="5"/>
  <c r="C67" i="5"/>
  <c r="G66" i="5"/>
  <c r="F66" i="5"/>
  <c r="E66" i="5"/>
  <c r="D66" i="5"/>
  <c r="C66" i="5"/>
  <c r="I64" i="5"/>
  <c r="H64" i="5"/>
  <c r="G64" i="5"/>
  <c r="F64" i="5"/>
  <c r="E64" i="5"/>
  <c r="D64" i="5"/>
  <c r="C64" i="5"/>
  <c r="G63" i="5"/>
  <c r="F63" i="5"/>
  <c r="E63" i="5"/>
  <c r="D63" i="5"/>
  <c r="C63" i="5"/>
  <c r="C27" i="6"/>
  <c r="D27" i="6"/>
  <c r="E27" i="6"/>
  <c r="H27" i="6" s="1"/>
  <c r="I27" i="6" s="1"/>
  <c r="J27" i="6" s="1"/>
  <c r="K27" i="6" s="1"/>
  <c r="L27" i="6" s="1"/>
  <c r="M27" i="6" s="1"/>
  <c r="N27" i="6" s="1"/>
  <c r="O27" i="6" s="1"/>
  <c r="P27" i="6" s="1"/>
  <c r="Q27" i="6" s="1"/>
  <c r="F27" i="6"/>
  <c r="G27" i="6"/>
  <c r="H30" i="6"/>
  <c r="I30" i="6" s="1"/>
  <c r="G30" i="6"/>
  <c r="F30" i="6"/>
  <c r="E30" i="6"/>
  <c r="D30" i="6"/>
  <c r="C30" i="6"/>
  <c r="G29" i="6"/>
  <c r="F29" i="6"/>
  <c r="E29" i="6"/>
  <c r="D29" i="6"/>
  <c r="G26" i="6"/>
  <c r="F26" i="6"/>
  <c r="E26" i="6"/>
  <c r="D26" i="6"/>
  <c r="C29" i="6"/>
  <c r="C26" i="6"/>
  <c r="G14" i="6"/>
  <c r="F14" i="6"/>
  <c r="E14" i="6"/>
  <c r="D14" i="6"/>
  <c r="C14" i="6"/>
  <c r="G13" i="6"/>
  <c r="F13" i="6"/>
  <c r="E13" i="6"/>
  <c r="D13" i="6"/>
  <c r="C13" i="6"/>
  <c r="I23" i="6"/>
  <c r="J23" i="6" s="1"/>
  <c r="I20" i="6"/>
  <c r="H23" i="6"/>
  <c r="H20" i="6"/>
  <c r="H17" i="6"/>
  <c r="I17" i="6" s="1"/>
  <c r="G23" i="6"/>
  <c r="F23" i="6"/>
  <c r="E23" i="6"/>
  <c r="D23" i="6"/>
  <c r="G20" i="6"/>
  <c r="F20" i="6"/>
  <c r="E20" i="6"/>
  <c r="D20" i="6"/>
  <c r="C23" i="6"/>
  <c r="C20" i="6"/>
  <c r="G17" i="6"/>
  <c r="F17" i="6"/>
  <c r="E17" i="6"/>
  <c r="D17" i="6"/>
  <c r="C17" i="6"/>
  <c r="G22" i="6"/>
  <c r="F22" i="6"/>
  <c r="E22" i="6"/>
  <c r="D22" i="6"/>
  <c r="G19" i="6"/>
  <c r="F19" i="6"/>
  <c r="E19" i="6"/>
  <c r="D19" i="6"/>
  <c r="G16" i="6"/>
  <c r="F16" i="6"/>
  <c r="E16" i="6"/>
  <c r="D16" i="6"/>
  <c r="C22" i="6"/>
  <c r="C19" i="6"/>
  <c r="C16" i="6"/>
  <c r="D11" i="6"/>
  <c r="J46" i="5"/>
  <c r="K46" i="5" s="1"/>
  <c r="L46" i="5" s="1"/>
  <c r="M46" i="5" s="1"/>
  <c r="N46" i="5" s="1"/>
  <c r="O46" i="5" s="1"/>
  <c r="P46" i="5" s="1"/>
  <c r="Q46" i="5" s="1"/>
  <c r="I46" i="5"/>
  <c r="H46" i="5"/>
  <c r="C9" i="1"/>
  <c r="H14" i="5"/>
  <c r="I14" i="5" s="1"/>
  <c r="J14" i="5" s="1"/>
  <c r="K14" i="5" s="1"/>
  <c r="L14" i="5" s="1"/>
  <c r="M14" i="5" s="1"/>
  <c r="N14" i="5" s="1"/>
  <c r="O14" i="5" s="1"/>
  <c r="P14" i="5" s="1"/>
  <c r="Q14" i="5" s="1"/>
  <c r="G38" i="5"/>
  <c r="F38" i="5"/>
  <c r="E38" i="5"/>
  <c r="D38" i="5"/>
  <c r="G31" i="5"/>
  <c r="F31" i="5"/>
  <c r="E31" i="5"/>
  <c r="D31" i="5"/>
  <c r="G24" i="5"/>
  <c r="F24" i="5"/>
  <c r="E24" i="5"/>
  <c r="D24" i="5"/>
  <c r="G17" i="5"/>
  <c r="F17" i="5"/>
  <c r="E17" i="5"/>
  <c r="D17" i="5"/>
  <c r="G11" i="5"/>
  <c r="G57" i="5" s="1"/>
  <c r="F11" i="5"/>
  <c r="F48" i="5" s="1"/>
  <c r="E11" i="5"/>
  <c r="E51" i="5" s="1"/>
  <c r="D11" i="5"/>
  <c r="D54" i="5" s="1"/>
  <c r="C11" i="5"/>
  <c r="C57" i="5" s="1"/>
  <c r="G59" i="5"/>
  <c r="F59" i="5"/>
  <c r="E59" i="5"/>
  <c r="D59" i="5"/>
  <c r="C59" i="5"/>
  <c r="G43" i="5"/>
  <c r="F43" i="5"/>
  <c r="E43" i="5"/>
  <c r="D43" i="5"/>
  <c r="C43" i="5"/>
  <c r="G65" i="4"/>
  <c r="F53" i="4"/>
  <c r="E53" i="4"/>
  <c r="D53" i="4"/>
  <c r="C53" i="4"/>
  <c r="G53" i="4"/>
  <c r="G36" i="4"/>
  <c r="G20" i="18" s="1"/>
  <c r="G21" i="18" s="1"/>
  <c r="G22" i="4"/>
  <c r="G23" i="4" s="1"/>
  <c r="F65" i="4"/>
  <c r="E65" i="4"/>
  <c r="D65" i="4"/>
  <c r="C65" i="4"/>
  <c r="F36" i="4"/>
  <c r="E36" i="4"/>
  <c r="D36" i="4"/>
  <c r="C36" i="4"/>
  <c r="F22" i="4"/>
  <c r="F23" i="4" s="1"/>
  <c r="F37" i="4" s="1"/>
  <c r="F39" i="4" s="1"/>
  <c r="E22" i="4"/>
  <c r="E23" i="4" s="1"/>
  <c r="E37" i="4" s="1"/>
  <c r="E39" i="4" s="1"/>
  <c r="D22" i="4"/>
  <c r="D23" i="4" s="1"/>
  <c r="D37" i="4" s="1"/>
  <c r="D39" i="4" s="1"/>
  <c r="C22" i="4"/>
  <c r="C23" i="4" s="1"/>
  <c r="G71" i="3"/>
  <c r="G72" i="3" s="1"/>
  <c r="G58" i="3"/>
  <c r="G46" i="3"/>
  <c r="F46" i="3"/>
  <c r="F48" i="3" s="1"/>
  <c r="E46" i="3"/>
  <c r="E48" i="3" s="1"/>
  <c r="D46" i="3"/>
  <c r="D48" i="3" s="1"/>
  <c r="C46" i="3"/>
  <c r="G48" i="3"/>
  <c r="G37" i="3"/>
  <c r="G24" i="3"/>
  <c r="F71" i="3"/>
  <c r="E71" i="3"/>
  <c r="D71" i="3"/>
  <c r="C71" i="3"/>
  <c r="F58" i="3"/>
  <c r="F72" i="3" s="1"/>
  <c r="E58" i="3"/>
  <c r="E72" i="3" s="1"/>
  <c r="D58" i="3"/>
  <c r="D72" i="3" s="1"/>
  <c r="C58" i="3"/>
  <c r="F37" i="3"/>
  <c r="E37" i="3"/>
  <c r="D37" i="3"/>
  <c r="C37" i="3"/>
  <c r="F24" i="3"/>
  <c r="F38" i="3" s="1"/>
  <c r="E24" i="3"/>
  <c r="E38" i="3" s="1"/>
  <c r="D24" i="3"/>
  <c r="D38" i="3" s="1"/>
  <c r="C24" i="3"/>
  <c r="G21" i="2"/>
  <c r="G12" i="2"/>
  <c r="G22" i="2" s="1"/>
  <c r="G24" i="2" s="1"/>
  <c r="G26" i="2" s="1"/>
  <c r="G29" i="2" s="1"/>
  <c r="F21" i="2"/>
  <c r="E21" i="2"/>
  <c r="D21" i="2"/>
  <c r="C21" i="2"/>
  <c r="F12" i="2"/>
  <c r="F22" i="2" s="1"/>
  <c r="F24" i="2" s="1"/>
  <c r="F26" i="2" s="1"/>
  <c r="F29" i="2" s="1"/>
  <c r="E12" i="2"/>
  <c r="D12" i="2"/>
  <c r="C12" i="2"/>
  <c r="C22" i="2" s="1"/>
  <c r="C24" i="2" s="1"/>
  <c r="C26" i="2" s="1"/>
  <c r="C29" i="2" s="1"/>
  <c r="D8" i="2"/>
  <c r="E8" i="2" s="1"/>
  <c r="F8" i="2" s="1"/>
  <c r="G8" i="2" s="1"/>
  <c r="I67" i="5" l="1"/>
  <c r="H50" i="9"/>
  <c r="D67" i="4"/>
  <c r="D70" i="4" s="1"/>
  <c r="H63" i="9"/>
  <c r="H25" i="9"/>
  <c r="H44" i="9"/>
  <c r="I44" i="9" s="1"/>
  <c r="H55" i="9"/>
  <c r="I20" i="9"/>
  <c r="J20" i="9" s="1"/>
  <c r="H17" i="8"/>
  <c r="F12" i="7"/>
  <c r="F15" i="7"/>
  <c r="G11" i="7"/>
  <c r="H16" i="9"/>
  <c r="H27" i="9"/>
  <c r="H35" i="9"/>
  <c r="H46" i="9"/>
  <c r="H65" i="9"/>
  <c r="I65" i="9" s="1"/>
  <c r="J65" i="9" s="1"/>
  <c r="I61" i="9"/>
  <c r="I12" i="9"/>
  <c r="H31" i="9"/>
  <c r="H19" i="8"/>
  <c r="H14" i="9"/>
  <c r="I14" i="9" s="1"/>
  <c r="H33" i="9"/>
  <c r="H18" i="8"/>
  <c r="H10" i="9"/>
  <c r="H18" i="9"/>
  <c r="H29" i="9"/>
  <c r="I29" i="9" s="1"/>
  <c r="H40" i="9"/>
  <c r="H48" i="9"/>
  <c r="H59" i="9"/>
  <c r="I59" i="9" s="1"/>
  <c r="J59" i="9" s="1"/>
  <c r="H67" i="9"/>
  <c r="I67" i="9" s="1"/>
  <c r="H42" i="9"/>
  <c r="H11" i="7"/>
  <c r="G12" i="7"/>
  <c r="E15" i="7"/>
  <c r="H15" i="7" s="1"/>
  <c r="I15" i="7" s="1"/>
  <c r="J15" i="7" s="1"/>
  <c r="K15" i="7" s="1"/>
  <c r="L15" i="7" s="1"/>
  <c r="M15" i="7" s="1"/>
  <c r="N15" i="7" s="1"/>
  <c r="O15" i="7" s="1"/>
  <c r="P15" i="7" s="1"/>
  <c r="Q15" i="7" s="1"/>
  <c r="H57" i="9"/>
  <c r="I57" i="9" s="1"/>
  <c r="J57" i="9" s="1"/>
  <c r="K57" i="9" s="1"/>
  <c r="L57" i="9" s="1"/>
  <c r="M57" i="9" s="1"/>
  <c r="N57" i="9" s="1"/>
  <c r="O57" i="9" s="1"/>
  <c r="P57" i="9" s="1"/>
  <c r="Q57" i="9" s="1"/>
  <c r="C38" i="3"/>
  <c r="C49" i="12" s="1"/>
  <c r="C72" i="3"/>
  <c r="C97" i="12" s="1"/>
  <c r="C83" i="12"/>
  <c r="C48" i="3"/>
  <c r="C71" i="12"/>
  <c r="D12" i="7"/>
  <c r="G38" i="3"/>
  <c r="I49" i="10"/>
  <c r="I51" i="10"/>
  <c r="H64" i="10"/>
  <c r="I57" i="10"/>
  <c r="I62" i="10" s="1"/>
  <c r="J58" i="10" s="1"/>
  <c r="I38" i="10"/>
  <c r="I39" i="10"/>
  <c r="I19" i="10"/>
  <c r="I20" i="10"/>
  <c r="G81" i="10"/>
  <c r="I11" i="10"/>
  <c r="I13" i="10"/>
  <c r="G26" i="10"/>
  <c r="G74" i="10"/>
  <c r="G64" i="10"/>
  <c r="E64" i="10"/>
  <c r="D64" i="10"/>
  <c r="F64" i="10"/>
  <c r="C45" i="10"/>
  <c r="G30" i="10"/>
  <c r="G36" i="10" s="1"/>
  <c r="F45" i="10"/>
  <c r="D45" i="10"/>
  <c r="E45" i="10"/>
  <c r="J67" i="9"/>
  <c r="I63" i="9"/>
  <c r="I50" i="9"/>
  <c r="J44" i="9"/>
  <c r="K20" i="9"/>
  <c r="I18" i="9"/>
  <c r="J14" i="9"/>
  <c r="J12" i="9"/>
  <c r="J64" i="5"/>
  <c r="J30" i="6"/>
  <c r="K23" i="6"/>
  <c r="J20" i="6"/>
  <c r="J17" i="6"/>
  <c r="G73" i="3"/>
  <c r="G75" i="3" s="1"/>
  <c r="G12" i="5"/>
  <c r="E11" i="6"/>
  <c r="D12" i="5"/>
  <c r="F11" i="6"/>
  <c r="E22" i="2"/>
  <c r="E24" i="2" s="1"/>
  <c r="E26" i="2" s="1"/>
  <c r="E29" i="2" s="1"/>
  <c r="F12" i="5"/>
  <c r="E12" i="5"/>
  <c r="C11" i="6"/>
  <c r="G11" i="6"/>
  <c r="H27" i="5"/>
  <c r="H26" i="5" s="1"/>
  <c r="I26" i="5" s="1"/>
  <c r="J26" i="5" s="1"/>
  <c r="K26" i="5" s="1"/>
  <c r="L26" i="5" s="1"/>
  <c r="M26" i="5" s="1"/>
  <c r="N26" i="5" s="1"/>
  <c r="O26" i="5" s="1"/>
  <c r="P26" i="5" s="1"/>
  <c r="Q26" i="5" s="1"/>
  <c r="H34" i="5"/>
  <c r="H33" i="5" s="1"/>
  <c r="I33" i="5" s="1"/>
  <c r="J33" i="5" s="1"/>
  <c r="K33" i="5" s="1"/>
  <c r="L33" i="5" s="1"/>
  <c r="M33" i="5" s="1"/>
  <c r="N33" i="5" s="1"/>
  <c r="O33" i="5" s="1"/>
  <c r="P33" i="5" s="1"/>
  <c r="Q33" i="5" s="1"/>
  <c r="H20" i="5"/>
  <c r="H16" i="5" s="1"/>
  <c r="H15" i="5" s="1"/>
  <c r="H41" i="5"/>
  <c r="I41" i="5" s="1"/>
  <c r="I27" i="5"/>
  <c r="J27" i="5" s="1"/>
  <c r="H28" i="5"/>
  <c r="I28" i="5" s="1"/>
  <c r="J28" i="5" s="1"/>
  <c r="K28" i="5" s="1"/>
  <c r="L28" i="5" s="1"/>
  <c r="M28" i="5" s="1"/>
  <c r="N28" i="5" s="1"/>
  <c r="O28" i="5" s="1"/>
  <c r="P28" i="5" s="1"/>
  <c r="Q28" i="5" s="1"/>
  <c r="H35" i="5"/>
  <c r="I35" i="5" s="1"/>
  <c r="J35" i="5" s="1"/>
  <c r="K35" i="5" s="1"/>
  <c r="L35" i="5" s="1"/>
  <c r="M35" i="5" s="1"/>
  <c r="N35" i="5" s="1"/>
  <c r="O35" i="5" s="1"/>
  <c r="P35" i="5" s="1"/>
  <c r="Q35" i="5" s="1"/>
  <c r="G51" i="5"/>
  <c r="F51" i="5"/>
  <c r="C48" i="5"/>
  <c r="G48" i="5"/>
  <c r="E54" i="5"/>
  <c r="C51" i="5"/>
  <c r="F54" i="5"/>
  <c r="D48" i="5"/>
  <c r="E57" i="5"/>
  <c r="E48" i="5"/>
  <c r="D51" i="5"/>
  <c r="C54" i="5"/>
  <c r="G54" i="5"/>
  <c r="F57" i="5"/>
  <c r="D57" i="5"/>
  <c r="F67" i="4"/>
  <c r="F70" i="4" s="1"/>
  <c r="C37" i="4"/>
  <c r="C39" i="4" s="1"/>
  <c r="C67" i="4" s="1"/>
  <c r="C70" i="4" s="1"/>
  <c r="E67" i="4"/>
  <c r="E70" i="4" s="1"/>
  <c r="G37" i="4"/>
  <c r="G39" i="4" s="1"/>
  <c r="G67" i="4" s="1"/>
  <c r="G70" i="4" s="1"/>
  <c r="H68" i="4" s="1"/>
  <c r="D73" i="3"/>
  <c r="D75" i="3" s="1"/>
  <c r="E73" i="3"/>
  <c r="E75" i="3" s="1"/>
  <c r="C73" i="3"/>
  <c r="F73" i="3"/>
  <c r="F75" i="3" s="1"/>
  <c r="D22" i="2"/>
  <c r="D24" i="2" s="1"/>
  <c r="D26" i="2" s="1"/>
  <c r="D29" i="2" s="1"/>
  <c r="J67" i="5" l="1"/>
  <c r="J29" i="9"/>
  <c r="I33" i="9"/>
  <c r="J61" i="9"/>
  <c r="K61" i="9" s="1"/>
  <c r="C73" i="12"/>
  <c r="C62" i="12"/>
  <c r="I42" i="9"/>
  <c r="I40" i="9"/>
  <c r="I18" i="8"/>
  <c r="I31" i="9"/>
  <c r="I27" i="9"/>
  <c r="I55" i="9"/>
  <c r="C98" i="12"/>
  <c r="C75" i="3"/>
  <c r="I48" i="9"/>
  <c r="C96" i="12"/>
  <c r="I16" i="9"/>
  <c r="I17" i="8"/>
  <c r="C61" i="12"/>
  <c r="C92" i="12"/>
  <c r="C80" i="12"/>
  <c r="C72" i="12"/>
  <c r="C68" i="12"/>
  <c r="C60" i="12"/>
  <c r="C56" i="12"/>
  <c r="C48" i="12"/>
  <c r="C44" i="12"/>
  <c r="C41" i="12"/>
  <c r="C37" i="12"/>
  <c r="C94" i="12"/>
  <c r="C86" i="12"/>
  <c r="C78" i="12"/>
  <c r="C66" i="12"/>
  <c r="C58" i="12"/>
  <c r="C89" i="12"/>
  <c r="C77" i="12"/>
  <c r="C53" i="12"/>
  <c r="C36" i="12"/>
  <c r="C95" i="12"/>
  <c r="C91" i="12"/>
  <c r="C87" i="12"/>
  <c r="C79" i="12"/>
  <c r="C63" i="12"/>
  <c r="C59" i="12"/>
  <c r="C55" i="12"/>
  <c r="C51" i="12"/>
  <c r="C47" i="12"/>
  <c r="C43" i="12"/>
  <c r="C40" i="12"/>
  <c r="C90" i="12"/>
  <c r="C82" i="12"/>
  <c r="C70" i="12"/>
  <c r="C54" i="12"/>
  <c r="C46" i="12"/>
  <c r="C39" i="12"/>
  <c r="C93" i="12"/>
  <c r="C81" i="12"/>
  <c r="C69" i="12"/>
  <c r="C57" i="12"/>
  <c r="C45" i="12"/>
  <c r="C38" i="12"/>
  <c r="I46" i="9"/>
  <c r="I25" i="9"/>
  <c r="I10" i="9"/>
  <c r="I19" i="8"/>
  <c r="I35" i="9"/>
  <c r="I55" i="10"/>
  <c r="J49" i="10" s="1"/>
  <c r="I64" i="10"/>
  <c r="J57" i="10"/>
  <c r="J62" i="10" s="1"/>
  <c r="K58" i="10" s="1"/>
  <c r="I43" i="10"/>
  <c r="J38" i="10" s="1"/>
  <c r="G45" i="10"/>
  <c r="G83" i="10" s="1"/>
  <c r="G85" i="10" s="1"/>
  <c r="G87" i="10" s="1"/>
  <c r="H30" i="10"/>
  <c r="H36" i="10" s="1"/>
  <c r="I32" i="10" s="1"/>
  <c r="I24" i="10"/>
  <c r="J19" i="10" s="1"/>
  <c r="I17" i="10"/>
  <c r="J11" i="10" s="1"/>
  <c r="K67" i="9"/>
  <c r="K65" i="9"/>
  <c r="J63" i="9"/>
  <c r="K59" i="9"/>
  <c r="J50" i="9"/>
  <c r="K44" i="9"/>
  <c r="J33" i="9"/>
  <c r="K29" i="9"/>
  <c r="L20" i="9"/>
  <c r="J18" i="9"/>
  <c r="K14" i="9"/>
  <c r="K12" i="9"/>
  <c r="K64" i="5"/>
  <c r="K30" i="6"/>
  <c r="L23" i="6"/>
  <c r="K20" i="6"/>
  <c r="K17" i="6"/>
  <c r="I34" i="5"/>
  <c r="I30" i="5" s="1"/>
  <c r="H23" i="5"/>
  <c r="H22" i="5" s="1"/>
  <c r="H30" i="5"/>
  <c r="H29" i="5" s="1"/>
  <c r="H42" i="5"/>
  <c r="I42" i="5" s="1"/>
  <c r="J42" i="5" s="1"/>
  <c r="K42" i="5" s="1"/>
  <c r="L42" i="5" s="1"/>
  <c r="M42" i="5" s="1"/>
  <c r="N42" i="5" s="1"/>
  <c r="O42" i="5" s="1"/>
  <c r="P42" i="5" s="1"/>
  <c r="Q42" i="5" s="1"/>
  <c r="H40" i="5"/>
  <c r="I40" i="5" s="1"/>
  <c r="J40" i="5" s="1"/>
  <c r="K40" i="5" s="1"/>
  <c r="L40" i="5" s="1"/>
  <c r="M40" i="5" s="1"/>
  <c r="N40" i="5" s="1"/>
  <c r="O40" i="5" s="1"/>
  <c r="P40" i="5" s="1"/>
  <c r="Q40" i="5" s="1"/>
  <c r="H19" i="5"/>
  <c r="I19" i="5" s="1"/>
  <c r="J19" i="5" s="1"/>
  <c r="K19" i="5" s="1"/>
  <c r="L19" i="5" s="1"/>
  <c r="M19" i="5" s="1"/>
  <c r="N19" i="5" s="1"/>
  <c r="O19" i="5" s="1"/>
  <c r="P19" i="5" s="1"/>
  <c r="Q19" i="5" s="1"/>
  <c r="H21" i="5"/>
  <c r="I21" i="5" s="1"/>
  <c r="J21" i="5" s="1"/>
  <c r="K21" i="5" s="1"/>
  <c r="L21" i="5" s="1"/>
  <c r="M21" i="5" s="1"/>
  <c r="N21" i="5" s="1"/>
  <c r="O21" i="5" s="1"/>
  <c r="P21" i="5" s="1"/>
  <c r="Q21" i="5" s="1"/>
  <c r="I20" i="5"/>
  <c r="I16" i="5" s="1"/>
  <c r="I15" i="5" s="1"/>
  <c r="I23" i="5"/>
  <c r="H57" i="5"/>
  <c r="J34" i="5"/>
  <c r="J30" i="5" s="1"/>
  <c r="J41" i="5"/>
  <c r="I37" i="5"/>
  <c r="H37" i="5"/>
  <c r="H36" i="5" s="1"/>
  <c r="H48" i="5"/>
  <c r="H51" i="5"/>
  <c r="H54" i="5"/>
  <c r="K27" i="5"/>
  <c r="J23" i="5"/>
  <c r="I29" i="5" l="1"/>
  <c r="K67" i="5"/>
  <c r="J48" i="9"/>
  <c r="J35" i="9"/>
  <c r="J40" i="9"/>
  <c r="J16" i="9"/>
  <c r="J31" i="9"/>
  <c r="J19" i="8"/>
  <c r="J46" i="9"/>
  <c r="J17" i="8"/>
  <c r="J27" i="9"/>
  <c r="J18" i="8"/>
  <c r="J42" i="9"/>
  <c r="J10" i="9"/>
  <c r="J25" i="9"/>
  <c r="J55" i="9"/>
  <c r="J51" i="10"/>
  <c r="K57" i="10"/>
  <c r="K62" i="10" s="1"/>
  <c r="L58" i="10" s="1"/>
  <c r="J39" i="10"/>
  <c r="I30" i="10"/>
  <c r="I36" i="10" s="1"/>
  <c r="J32" i="10" s="1"/>
  <c r="H45" i="10"/>
  <c r="J20" i="10"/>
  <c r="J13" i="10"/>
  <c r="L67" i="9"/>
  <c r="L65" i="9"/>
  <c r="K63" i="9"/>
  <c r="L61" i="9"/>
  <c r="L59" i="9"/>
  <c r="K50" i="9"/>
  <c r="K48" i="9"/>
  <c r="L44" i="9"/>
  <c r="K33" i="9"/>
  <c r="L29" i="9"/>
  <c r="M20" i="9"/>
  <c r="K18" i="9"/>
  <c r="L14" i="9"/>
  <c r="L12" i="9"/>
  <c r="L64" i="5"/>
  <c r="L30" i="6"/>
  <c r="M23" i="6"/>
  <c r="L20" i="6"/>
  <c r="L17" i="6"/>
  <c r="I48" i="5"/>
  <c r="I57" i="5"/>
  <c r="I51" i="5"/>
  <c r="I54" i="5"/>
  <c r="I22" i="5"/>
  <c r="J22" i="5" s="1"/>
  <c r="J20" i="5"/>
  <c r="H43" i="5"/>
  <c r="H11" i="5" s="1"/>
  <c r="H53" i="5" s="1"/>
  <c r="I36" i="5"/>
  <c r="K34" i="5"/>
  <c r="L34" i="5" s="1"/>
  <c r="J29" i="5"/>
  <c r="K41" i="5"/>
  <c r="J37" i="5"/>
  <c r="J36" i="5" s="1"/>
  <c r="L27" i="5"/>
  <c r="K23" i="5"/>
  <c r="H10" i="11" l="1"/>
  <c r="H11" i="6"/>
  <c r="H63" i="5"/>
  <c r="H27" i="11" s="1"/>
  <c r="H21" i="12" s="1"/>
  <c r="H13" i="9"/>
  <c r="H20" i="3" s="1"/>
  <c r="H12" i="5"/>
  <c r="H64" i="9"/>
  <c r="H69" i="3" s="1"/>
  <c r="H32" i="4" s="1"/>
  <c r="H19" i="9"/>
  <c r="H23" i="3" s="1"/>
  <c r="H60" i="9"/>
  <c r="H67" i="3" s="1"/>
  <c r="H33" i="4" s="1"/>
  <c r="H49" i="9"/>
  <c r="H57" i="3" s="1"/>
  <c r="H11" i="9"/>
  <c r="H19" i="3" s="1"/>
  <c r="H66" i="9"/>
  <c r="H70" i="3" s="1"/>
  <c r="H58" i="9"/>
  <c r="H66" i="3" s="1"/>
  <c r="H43" i="9"/>
  <c r="H54" i="3" s="1"/>
  <c r="H28" i="9"/>
  <c r="H33" i="3" s="1"/>
  <c r="H39" i="9"/>
  <c r="H26" i="9"/>
  <c r="H32" i="3" s="1"/>
  <c r="H30" i="4" s="1"/>
  <c r="H45" i="9"/>
  <c r="H55" i="3" s="1"/>
  <c r="H34" i="9"/>
  <c r="H36" i="3" s="1"/>
  <c r="H62" i="9"/>
  <c r="H68" i="3" s="1"/>
  <c r="H31" i="4" s="1"/>
  <c r="H41" i="9"/>
  <c r="H53" i="3" s="1"/>
  <c r="H17" i="9"/>
  <c r="H22" i="3" s="1"/>
  <c r="H15" i="9"/>
  <c r="H21" i="3" s="1"/>
  <c r="H9" i="9"/>
  <c r="H18" i="3" s="1"/>
  <c r="H47" i="9"/>
  <c r="H56" i="3" s="1"/>
  <c r="H30" i="9"/>
  <c r="H34" i="3" s="1"/>
  <c r="H54" i="9"/>
  <c r="H61" i="3" s="1"/>
  <c r="H24" i="9"/>
  <c r="H28" i="3" s="1"/>
  <c r="H28" i="4" s="1"/>
  <c r="H56" i="9"/>
  <c r="H62" i="3" s="1"/>
  <c r="H32" i="9"/>
  <c r="H35" i="3" s="1"/>
  <c r="H56" i="5"/>
  <c r="H50" i="5"/>
  <c r="H47" i="5"/>
  <c r="H59" i="5" s="1"/>
  <c r="L67" i="5"/>
  <c r="K40" i="9"/>
  <c r="K10" i="9"/>
  <c r="K17" i="8"/>
  <c r="K35" i="9"/>
  <c r="K18" i="8"/>
  <c r="K19" i="8"/>
  <c r="K55" i="9"/>
  <c r="K25" i="9"/>
  <c r="K42" i="9"/>
  <c r="K27" i="9"/>
  <c r="K46" i="9"/>
  <c r="K31" i="9"/>
  <c r="K16" i="9"/>
  <c r="J55" i="10"/>
  <c r="L57" i="10"/>
  <c r="L62" i="10" s="1"/>
  <c r="M58" i="10" s="1"/>
  <c r="J43" i="10"/>
  <c r="K38" i="10" s="1"/>
  <c r="J30" i="10"/>
  <c r="J36" i="10" s="1"/>
  <c r="K32" i="10" s="1"/>
  <c r="I45" i="10"/>
  <c r="J24" i="10"/>
  <c r="K19" i="10" s="1"/>
  <c r="J17" i="10"/>
  <c r="K11" i="10" s="1"/>
  <c r="M67" i="9"/>
  <c r="M65" i="9"/>
  <c r="L63" i="9"/>
  <c r="M61" i="9"/>
  <c r="M59" i="9"/>
  <c r="L50" i="9"/>
  <c r="L48" i="9"/>
  <c r="M44" i="9"/>
  <c r="L33" i="9"/>
  <c r="M29" i="9"/>
  <c r="N20" i="9"/>
  <c r="L18" i="9"/>
  <c r="M14" i="9"/>
  <c r="M12" i="9"/>
  <c r="M64" i="5"/>
  <c r="M30" i="6"/>
  <c r="N23" i="6"/>
  <c r="M20" i="6"/>
  <c r="M17" i="6"/>
  <c r="J57" i="5"/>
  <c r="J54" i="5"/>
  <c r="J51" i="5"/>
  <c r="J48" i="5"/>
  <c r="I43" i="5"/>
  <c r="I11" i="5" s="1"/>
  <c r="I47" i="5" s="1"/>
  <c r="K30" i="5"/>
  <c r="K29" i="5" s="1"/>
  <c r="J16" i="5"/>
  <c r="J15" i="5" s="1"/>
  <c r="J43" i="5" s="1"/>
  <c r="J11" i="5" s="1"/>
  <c r="J15" i="9" s="1"/>
  <c r="J21" i="3" s="1"/>
  <c r="K20" i="5"/>
  <c r="K22" i="5"/>
  <c r="L41" i="5"/>
  <c r="K37" i="5"/>
  <c r="K36" i="5" s="1"/>
  <c r="M27" i="5"/>
  <c r="L23" i="5"/>
  <c r="M34" i="5"/>
  <c r="L30" i="5"/>
  <c r="J24" i="9" l="1"/>
  <c r="J28" i="3" s="1"/>
  <c r="J30" i="9"/>
  <c r="J34" i="3" s="1"/>
  <c r="J34" i="9"/>
  <c r="J36" i="3" s="1"/>
  <c r="J26" i="9"/>
  <c r="J32" i="3" s="1"/>
  <c r="J30" i="4" s="1"/>
  <c r="J54" i="9"/>
  <c r="J61" i="3" s="1"/>
  <c r="I56" i="5"/>
  <c r="H24" i="3"/>
  <c r="H45" i="4"/>
  <c r="H52" i="3"/>
  <c r="H35" i="4"/>
  <c r="H27" i="4"/>
  <c r="H46" i="4"/>
  <c r="H29" i="6"/>
  <c r="H19" i="6"/>
  <c r="H22" i="6"/>
  <c r="H16" i="6"/>
  <c r="H26" i="6"/>
  <c r="H15" i="11" s="1"/>
  <c r="H12" i="12" s="1"/>
  <c r="H13" i="8"/>
  <c r="H29" i="3" s="1"/>
  <c r="I10" i="11"/>
  <c r="I12" i="5"/>
  <c r="I11" i="6"/>
  <c r="I58" i="9"/>
  <c r="I66" i="3" s="1"/>
  <c r="I19" i="9"/>
  <c r="I23" i="3" s="1"/>
  <c r="I63" i="5"/>
  <c r="I27" i="11" s="1"/>
  <c r="I13" i="9"/>
  <c r="I20" i="3" s="1"/>
  <c r="I60" i="9"/>
  <c r="I67" i="3" s="1"/>
  <c r="I33" i="4" s="1"/>
  <c r="I43" i="9"/>
  <c r="I54" i="3" s="1"/>
  <c r="I11" i="9"/>
  <c r="I19" i="3" s="1"/>
  <c r="I49" i="9"/>
  <c r="I57" i="3" s="1"/>
  <c r="I62" i="9"/>
  <c r="I68" i="3" s="1"/>
  <c r="I31" i="4" s="1"/>
  <c r="I17" i="9"/>
  <c r="I22" i="3" s="1"/>
  <c r="I64" i="9"/>
  <c r="I69" i="3" s="1"/>
  <c r="I32" i="4" s="1"/>
  <c r="I66" i="9"/>
  <c r="I70" i="3" s="1"/>
  <c r="I28" i="9"/>
  <c r="I33" i="3" s="1"/>
  <c r="I56" i="9"/>
  <c r="I62" i="3" s="1"/>
  <c r="I32" i="9"/>
  <c r="I35" i="3" s="1"/>
  <c r="I29" i="4" s="1"/>
  <c r="I30" i="9"/>
  <c r="I34" i="3" s="1"/>
  <c r="I9" i="9"/>
  <c r="I18" i="3" s="1"/>
  <c r="I54" i="9"/>
  <c r="I61" i="3" s="1"/>
  <c r="I47" i="9"/>
  <c r="I56" i="3" s="1"/>
  <c r="I45" i="9"/>
  <c r="I55" i="3" s="1"/>
  <c r="I26" i="9"/>
  <c r="I32" i="3" s="1"/>
  <c r="I30" i="4" s="1"/>
  <c r="I41" i="9"/>
  <c r="I53" i="3" s="1"/>
  <c r="I24" i="9"/>
  <c r="I28" i="3" s="1"/>
  <c r="I34" i="9"/>
  <c r="I36" i="3" s="1"/>
  <c r="I39" i="9"/>
  <c r="I15" i="9"/>
  <c r="I21" i="3" s="1"/>
  <c r="I50" i="5"/>
  <c r="J10" i="11"/>
  <c r="J11" i="6"/>
  <c r="J12" i="5"/>
  <c r="J19" i="9"/>
  <c r="J23" i="3" s="1"/>
  <c r="J64" i="9"/>
  <c r="J69" i="3" s="1"/>
  <c r="J13" i="9"/>
  <c r="J20" i="3" s="1"/>
  <c r="J63" i="5"/>
  <c r="J27" i="11" s="1"/>
  <c r="J43" i="9"/>
  <c r="J54" i="3" s="1"/>
  <c r="J60" i="9"/>
  <c r="J67" i="3" s="1"/>
  <c r="J58" i="9"/>
  <c r="J66" i="3" s="1"/>
  <c r="J66" i="9"/>
  <c r="J70" i="3" s="1"/>
  <c r="J28" i="9"/>
  <c r="J33" i="3" s="1"/>
  <c r="J11" i="9"/>
  <c r="J19" i="3" s="1"/>
  <c r="J17" i="9"/>
  <c r="J22" i="3" s="1"/>
  <c r="J62" i="9"/>
  <c r="J68" i="3" s="1"/>
  <c r="J56" i="9"/>
  <c r="J62" i="3" s="1"/>
  <c r="J47" i="9"/>
  <c r="J56" i="3" s="1"/>
  <c r="J32" i="9"/>
  <c r="J35" i="3" s="1"/>
  <c r="J49" i="9"/>
  <c r="J57" i="3" s="1"/>
  <c r="I53" i="5"/>
  <c r="I59" i="5" s="1"/>
  <c r="J45" i="9"/>
  <c r="J55" i="3" s="1"/>
  <c r="J41" i="9"/>
  <c r="J53" i="3" s="1"/>
  <c r="J9" i="9"/>
  <c r="J18" i="3" s="1"/>
  <c r="J39" i="9"/>
  <c r="J52" i="3" s="1"/>
  <c r="H29" i="4"/>
  <c r="H24" i="12"/>
  <c r="H16" i="12"/>
  <c r="H25" i="12"/>
  <c r="H8" i="12"/>
  <c r="M67" i="5"/>
  <c r="L55" i="9"/>
  <c r="L10" i="9"/>
  <c r="L27" i="9"/>
  <c r="L46" i="9"/>
  <c r="L42" i="9"/>
  <c r="L18" i="8"/>
  <c r="L35" i="9"/>
  <c r="L17" i="8"/>
  <c r="L25" i="9"/>
  <c r="L19" i="8"/>
  <c r="L16" i="9"/>
  <c r="L31" i="9"/>
  <c r="L40" i="9"/>
  <c r="K49" i="10"/>
  <c r="J64" i="10"/>
  <c r="K51" i="10"/>
  <c r="M57" i="10"/>
  <c r="M62" i="10" s="1"/>
  <c r="N58" i="10" s="1"/>
  <c r="K39" i="10"/>
  <c r="K30" i="10"/>
  <c r="K36" i="10" s="1"/>
  <c r="L32" i="10" s="1"/>
  <c r="J45" i="10"/>
  <c r="K20" i="10"/>
  <c r="K13" i="10"/>
  <c r="N67" i="9"/>
  <c r="N65" i="9"/>
  <c r="M63" i="9"/>
  <c r="N61" i="9"/>
  <c r="N59" i="9"/>
  <c r="M50" i="9"/>
  <c r="M48" i="9"/>
  <c r="N44" i="9"/>
  <c r="M33" i="9"/>
  <c r="N29" i="9"/>
  <c r="O20" i="9"/>
  <c r="M18" i="9"/>
  <c r="N14" i="9"/>
  <c r="N12" i="9"/>
  <c r="N64" i="5"/>
  <c r="N30" i="6"/>
  <c r="O23" i="6"/>
  <c r="N20" i="6"/>
  <c r="N17" i="6"/>
  <c r="K51" i="5"/>
  <c r="J50" i="5"/>
  <c r="K54" i="5"/>
  <c r="J53" i="5"/>
  <c r="K48" i="5"/>
  <c r="J47" i="5"/>
  <c r="K57" i="5"/>
  <c r="J56" i="5"/>
  <c r="L20" i="5"/>
  <c r="K16" i="5"/>
  <c r="K15" i="5" s="1"/>
  <c r="L29" i="5"/>
  <c r="L22" i="5"/>
  <c r="L37" i="5"/>
  <c r="L36" i="5" s="1"/>
  <c r="M41" i="5"/>
  <c r="N27" i="5"/>
  <c r="M23" i="5"/>
  <c r="M22" i="5" s="1"/>
  <c r="N34" i="5"/>
  <c r="M30" i="5"/>
  <c r="J46" i="4" l="1"/>
  <c r="J33" i="4"/>
  <c r="H53" i="4"/>
  <c r="J24" i="3"/>
  <c r="J31" i="4"/>
  <c r="J32" i="4"/>
  <c r="J35" i="4"/>
  <c r="J25" i="12"/>
  <c r="J16" i="12"/>
  <c r="J8" i="12"/>
  <c r="J24" i="12"/>
  <c r="I28" i="4"/>
  <c r="I19" i="6"/>
  <c r="I29" i="6"/>
  <c r="I22" i="6"/>
  <c r="I16" i="6"/>
  <c r="I26" i="6"/>
  <c r="I15" i="11" s="1"/>
  <c r="I12" i="12" s="1"/>
  <c r="I13" i="8"/>
  <c r="I29" i="3" s="1"/>
  <c r="I26" i="4" s="1"/>
  <c r="J21" i="12"/>
  <c r="I35" i="4"/>
  <c r="I24" i="12"/>
  <c r="I25" i="12"/>
  <c r="I16" i="12"/>
  <c r="I8" i="12"/>
  <c r="H58" i="3"/>
  <c r="H63" i="4"/>
  <c r="J22" i="6"/>
  <c r="J19" i="6"/>
  <c r="J29" i="6"/>
  <c r="J16" i="6"/>
  <c r="J26" i="6"/>
  <c r="J15" i="11" s="1"/>
  <c r="J12" i="12" s="1"/>
  <c r="J13" i="8"/>
  <c r="J29" i="3" s="1"/>
  <c r="I13" i="7"/>
  <c r="I52" i="3"/>
  <c r="I24" i="3"/>
  <c r="I45" i="4"/>
  <c r="J45" i="4"/>
  <c r="J53" i="4" s="1"/>
  <c r="J27" i="4"/>
  <c r="H26" i="4"/>
  <c r="I27" i="4"/>
  <c r="H33" i="6"/>
  <c r="H16" i="11"/>
  <c r="H13" i="12" s="1"/>
  <c r="J28" i="4"/>
  <c r="J29" i="4"/>
  <c r="I46" i="4"/>
  <c r="I21" i="12"/>
  <c r="H13" i="6"/>
  <c r="H13" i="7"/>
  <c r="N67" i="5"/>
  <c r="M16" i="9"/>
  <c r="M18" i="8"/>
  <c r="M40" i="9"/>
  <c r="M31" i="9"/>
  <c r="M25" i="9"/>
  <c r="M35" i="9"/>
  <c r="M46" i="9"/>
  <c r="M27" i="9"/>
  <c r="M42" i="9"/>
  <c r="M10" i="9"/>
  <c r="M55" i="9"/>
  <c r="M17" i="8"/>
  <c r="J58" i="3"/>
  <c r="J63" i="4"/>
  <c r="M19" i="8"/>
  <c r="K55" i="10"/>
  <c r="N57" i="10"/>
  <c r="N62" i="10" s="1"/>
  <c r="O58" i="10" s="1"/>
  <c r="K43" i="10"/>
  <c r="L38" i="10" s="1"/>
  <c r="L30" i="10"/>
  <c r="L36" i="10" s="1"/>
  <c r="M32" i="10" s="1"/>
  <c r="K45" i="10"/>
  <c r="K24" i="10"/>
  <c r="L19" i="10" s="1"/>
  <c r="K17" i="10"/>
  <c r="L11" i="10" s="1"/>
  <c r="O67" i="9"/>
  <c r="O65" i="9"/>
  <c r="N63" i="9"/>
  <c r="O61" i="9"/>
  <c r="O59" i="9"/>
  <c r="N50" i="9"/>
  <c r="N48" i="9"/>
  <c r="O44" i="9"/>
  <c r="N33" i="9"/>
  <c r="O29" i="9"/>
  <c r="P20" i="9"/>
  <c r="N18" i="9"/>
  <c r="O14" i="9"/>
  <c r="O12" i="9"/>
  <c r="O64" i="5"/>
  <c r="O30" i="6"/>
  <c r="P23" i="6"/>
  <c r="O20" i="6"/>
  <c r="O17" i="6"/>
  <c r="L57" i="5"/>
  <c r="L54" i="5"/>
  <c r="L48" i="5"/>
  <c r="J59" i="5"/>
  <c r="L51" i="5"/>
  <c r="K43" i="5"/>
  <c r="K11" i="5" s="1"/>
  <c r="K56" i="5" s="1"/>
  <c r="M20" i="5"/>
  <c r="L16" i="5"/>
  <c r="L15" i="5" s="1"/>
  <c r="M29" i="5"/>
  <c r="M37" i="5"/>
  <c r="M36" i="5" s="1"/>
  <c r="N41" i="5"/>
  <c r="O27" i="5"/>
  <c r="N23" i="5"/>
  <c r="N22" i="5" s="1"/>
  <c r="O34" i="5"/>
  <c r="N30" i="5"/>
  <c r="K47" i="5" l="1"/>
  <c r="K50" i="5"/>
  <c r="I53" i="4"/>
  <c r="I13" i="6"/>
  <c r="I11" i="7"/>
  <c r="H14" i="7"/>
  <c r="H26" i="11" s="1"/>
  <c r="H12" i="7"/>
  <c r="I58" i="3"/>
  <c r="I63" i="4"/>
  <c r="J13" i="6"/>
  <c r="K10" i="11"/>
  <c r="K12" i="5"/>
  <c r="K11" i="6"/>
  <c r="K19" i="9"/>
  <c r="K23" i="3" s="1"/>
  <c r="K43" i="9"/>
  <c r="K54" i="3" s="1"/>
  <c r="K28" i="9"/>
  <c r="K33" i="3" s="1"/>
  <c r="K11" i="9"/>
  <c r="K19" i="3" s="1"/>
  <c r="K66" i="9"/>
  <c r="K70" i="3" s="1"/>
  <c r="K58" i="9"/>
  <c r="K66" i="3" s="1"/>
  <c r="K13" i="9"/>
  <c r="K20" i="3" s="1"/>
  <c r="K63" i="5"/>
  <c r="K27" i="11" s="1"/>
  <c r="K64" i="9"/>
  <c r="K69" i="3" s="1"/>
  <c r="K32" i="4" s="1"/>
  <c r="K60" i="9"/>
  <c r="K67" i="3" s="1"/>
  <c r="K33" i="4" s="1"/>
  <c r="K56" i="9"/>
  <c r="K47" i="9"/>
  <c r="K56" i="3" s="1"/>
  <c r="K32" i="9"/>
  <c r="K35" i="3" s="1"/>
  <c r="K49" i="9"/>
  <c r="K57" i="3" s="1"/>
  <c r="K17" i="9"/>
  <c r="K22" i="3" s="1"/>
  <c r="K62" i="9"/>
  <c r="K68" i="3" s="1"/>
  <c r="K31" i="4" s="1"/>
  <c r="K54" i="9"/>
  <c r="K61" i="3" s="1"/>
  <c r="K34" i="9"/>
  <c r="K36" i="3" s="1"/>
  <c r="K26" i="9"/>
  <c r="K32" i="3" s="1"/>
  <c r="K30" i="4" s="1"/>
  <c r="K24" i="9"/>
  <c r="K28" i="3" s="1"/>
  <c r="K9" i="9"/>
  <c r="K18" i="3" s="1"/>
  <c r="K45" i="9"/>
  <c r="K55" i="3" s="1"/>
  <c r="K15" i="9"/>
  <c r="K21" i="3" s="1"/>
  <c r="K39" i="9"/>
  <c r="K41" i="9"/>
  <c r="K53" i="3" s="1"/>
  <c r="K30" i="9"/>
  <c r="K34" i="3" s="1"/>
  <c r="K53" i="5"/>
  <c r="H14" i="6"/>
  <c r="H11" i="11"/>
  <c r="H12" i="8"/>
  <c r="H26" i="3" s="1"/>
  <c r="H14" i="8"/>
  <c r="I12" i="7"/>
  <c r="J11" i="7"/>
  <c r="I14" i="7"/>
  <c r="I26" i="11" s="1"/>
  <c r="J33" i="6"/>
  <c r="J16" i="11"/>
  <c r="J13" i="12" s="1"/>
  <c r="J26" i="4"/>
  <c r="I33" i="6"/>
  <c r="I16" i="11"/>
  <c r="I13" i="12" s="1"/>
  <c r="O67" i="5"/>
  <c r="N55" i="9"/>
  <c r="N42" i="9"/>
  <c r="N25" i="9"/>
  <c r="N40" i="9"/>
  <c r="N16" i="9"/>
  <c r="N19" i="8"/>
  <c r="N17" i="8"/>
  <c r="N10" i="9"/>
  <c r="N46" i="9"/>
  <c r="N18" i="8"/>
  <c r="N27" i="9"/>
  <c r="N35" i="9"/>
  <c r="N31" i="9"/>
  <c r="L49" i="10"/>
  <c r="K64" i="10"/>
  <c r="L51" i="10"/>
  <c r="O57" i="10"/>
  <c r="O62" i="10" s="1"/>
  <c r="P58" i="10" s="1"/>
  <c r="L39" i="10"/>
  <c r="M30" i="10"/>
  <c r="M36" i="10" s="1"/>
  <c r="N32" i="10" s="1"/>
  <c r="L20" i="10"/>
  <c r="L13" i="10"/>
  <c r="P67" i="9"/>
  <c r="P65" i="9"/>
  <c r="O63" i="9"/>
  <c r="P61" i="9"/>
  <c r="P59" i="9"/>
  <c r="O50" i="9"/>
  <c r="O48" i="9"/>
  <c r="P44" i="9"/>
  <c r="O33" i="9"/>
  <c r="P29" i="9"/>
  <c r="Q20" i="9"/>
  <c r="O18" i="9"/>
  <c r="P14" i="9"/>
  <c r="P12" i="9"/>
  <c r="P64" i="5"/>
  <c r="P30" i="6"/>
  <c r="Q23" i="6"/>
  <c r="P20" i="6"/>
  <c r="P17" i="6"/>
  <c r="M51" i="5"/>
  <c r="M54" i="5"/>
  <c r="K59" i="5"/>
  <c r="M48" i="5"/>
  <c r="M57" i="5"/>
  <c r="N29" i="5"/>
  <c r="L43" i="5"/>
  <c r="L11" i="5" s="1"/>
  <c r="L53" i="5" s="1"/>
  <c r="N20" i="5"/>
  <c r="M16" i="5"/>
  <c r="M15" i="5" s="1"/>
  <c r="O41" i="5"/>
  <c r="N37" i="5"/>
  <c r="N36" i="5" s="1"/>
  <c r="P27" i="5"/>
  <c r="O23" i="5"/>
  <c r="O22" i="5" s="1"/>
  <c r="P34" i="5"/>
  <c r="O30" i="5"/>
  <c r="L56" i="5" l="1"/>
  <c r="L50" i="5"/>
  <c r="K27" i="4"/>
  <c r="H9" i="12"/>
  <c r="H12" i="11"/>
  <c r="K25" i="12"/>
  <c r="K16" i="12"/>
  <c r="K8" i="12"/>
  <c r="K24" i="12"/>
  <c r="H25" i="4"/>
  <c r="K62" i="3"/>
  <c r="J13" i="7"/>
  <c r="I14" i="6"/>
  <c r="I11" i="11"/>
  <c r="I12" i="8"/>
  <c r="I26" i="3" s="1"/>
  <c r="I25" i="4" s="1"/>
  <c r="I14" i="8"/>
  <c r="K45" i="4"/>
  <c r="K24" i="3"/>
  <c r="K35" i="4"/>
  <c r="K29" i="4"/>
  <c r="J14" i="6"/>
  <c r="J11" i="11"/>
  <c r="J14" i="8"/>
  <c r="J12" i="8"/>
  <c r="J26" i="3" s="1"/>
  <c r="H61" i="4"/>
  <c r="H20" i="12"/>
  <c r="H13" i="4"/>
  <c r="H22" i="4" s="1"/>
  <c r="I13" i="4"/>
  <c r="I22" i="4" s="1"/>
  <c r="I20" i="12"/>
  <c r="I61" i="4"/>
  <c r="O29" i="5"/>
  <c r="L10" i="11"/>
  <c r="L12" i="5"/>
  <c r="L11" i="6"/>
  <c r="L19" i="9"/>
  <c r="L23" i="3" s="1"/>
  <c r="L13" i="9"/>
  <c r="L20" i="3" s="1"/>
  <c r="L63" i="5"/>
  <c r="L27" i="11" s="1"/>
  <c r="L43" i="9"/>
  <c r="L54" i="3" s="1"/>
  <c r="L11" i="9"/>
  <c r="L19" i="3" s="1"/>
  <c r="L66" i="9"/>
  <c r="L70" i="3" s="1"/>
  <c r="L58" i="9"/>
  <c r="L66" i="3" s="1"/>
  <c r="L64" i="9"/>
  <c r="L69" i="3" s="1"/>
  <c r="L32" i="4" s="1"/>
  <c r="L60" i="9"/>
  <c r="L67" i="3" s="1"/>
  <c r="L33" i="4" s="1"/>
  <c r="L28" i="9"/>
  <c r="L33" i="3" s="1"/>
  <c r="L56" i="9"/>
  <c r="L62" i="3" s="1"/>
  <c r="L47" i="9"/>
  <c r="L56" i="3" s="1"/>
  <c r="L32" i="9"/>
  <c r="L35" i="3" s="1"/>
  <c r="L49" i="9"/>
  <c r="L57" i="3" s="1"/>
  <c r="L17" i="9"/>
  <c r="L22" i="3" s="1"/>
  <c r="L62" i="9"/>
  <c r="L68" i="3" s="1"/>
  <c r="L31" i="4" s="1"/>
  <c r="L30" i="9"/>
  <c r="L34" i="3" s="1"/>
  <c r="L34" i="9"/>
  <c r="L36" i="3" s="1"/>
  <c r="L26" i="9"/>
  <c r="L32" i="3" s="1"/>
  <c r="L41" i="9"/>
  <c r="L53" i="3" s="1"/>
  <c r="L54" i="9"/>
  <c r="L61" i="3" s="1"/>
  <c r="L39" i="9"/>
  <c r="L24" i="9"/>
  <c r="L28" i="3" s="1"/>
  <c r="L15" i="9"/>
  <c r="L21" i="3" s="1"/>
  <c r="L45" i="9"/>
  <c r="L55" i="3" s="1"/>
  <c r="L9" i="9"/>
  <c r="L18" i="3" s="1"/>
  <c r="L47" i="5"/>
  <c r="L30" i="4"/>
  <c r="H65" i="3"/>
  <c r="H71" i="3" s="1"/>
  <c r="H72" i="3" s="1"/>
  <c r="H34" i="4"/>
  <c r="K52" i="3"/>
  <c r="K13" i="7"/>
  <c r="K28" i="4"/>
  <c r="K21" i="12"/>
  <c r="K46" i="4"/>
  <c r="K53" i="4" s="1"/>
  <c r="K22" i="6"/>
  <c r="K29" i="6"/>
  <c r="K19" i="6"/>
  <c r="K16" i="6"/>
  <c r="K26" i="6"/>
  <c r="K15" i="11" s="1"/>
  <c r="K12" i="12" s="1"/>
  <c r="K13" i="8"/>
  <c r="K29" i="3" s="1"/>
  <c r="P67" i="5"/>
  <c r="O25" i="9"/>
  <c r="O42" i="9"/>
  <c r="O18" i="8"/>
  <c r="O55" i="9"/>
  <c r="O17" i="8"/>
  <c r="O16" i="9"/>
  <c r="O31" i="9"/>
  <c r="O10" i="9"/>
  <c r="O19" i="8"/>
  <c r="O40" i="9"/>
  <c r="O27" i="9"/>
  <c r="O35" i="9"/>
  <c r="O46" i="9"/>
  <c r="L55" i="10"/>
  <c r="P57" i="10"/>
  <c r="P62" i="10" s="1"/>
  <c r="Q58" i="10" s="1"/>
  <c r="L43" i="10"/>
  <c r="N30" i="10"/>
  <c r="N36" i="10" s="1"/>
  <c r="O32" i="10" s="1"/>
  <c r="L24" i="10"/>
  <c r="M19" i="10" s="1"/>
  <c r="L17" i="10"/>
  <c r="M11" i="10" s="1"/>
  <c r="Q67" i="9"/>
  <c r="Q65" i="9"/>
  <c r="P63" i="9"/>
  <c r="Q61" i="9"/>
  <c r="Q59" i="9"/>
  <c r="P50" i="9"/>
  <c r="P48" i="9"/>
  <c r="Q44" i="9"/>
  <c r="P33" i="9"/>
  <c r="Q29" i="9"/>
  <c r="P18" i="9"/>
  <c r="Q14" i="9"/>
  <c r="Q12" i="9"/>
  <c r="Q64" i="5"/>
  <c r="Q30" i="6"/>
  <c r="Q20" i="6"/>
  <c r="Q17" i="6"/>
  <c r="N57" i="5"/>
  <c r="N54" i="5"/>
  <c r="N48" i="5"/>
  <c r="L59" i="5"/>
  <c r="N51" i="5"/>
  <c r="M43" i="5"/>
  <c r="M11" i="5" s="1"/>
  <c r="M47" i="5" s="1"/>
  <c r="O20" i="5"/>
  <c r="N16" i="5"/>
  <c r="N15" i="5" s="1"/>
  <c r="P41" i="5"/>
  <c r="O37" i="5"/>
  <c r="O36" i="5" s="1"/>
  <c r="Q27" i="5"/>
  <c r="Q23" i="5" s="1"/>
  <c r="P23" i="5"/>
  <c r="P22" i="5" s="1"/>
  <c r="Q22" i="5" s="1"/>
  <c r="Q34" i="5"/>
  <c r="Q30" i="5" s="1"/>
  <c r="P30" i="5"/>
  <c r="P29" i="5" s="1"/>
  <c r="M53" i="5" l="1"/>
  <c r="L46" i="4"/>
  <c r="L45" i="4"/>
  <c r="L24" i="3"/>
  <c r="K13" i="6"/>
  <c r="L11" i="7"/>
  <c r="K14" i="7"/>
  <c r="K26" i="11" s="1"/>
  <c r="L35" i="4"/>
  <c r="L29" i="4"/>
  <c r="H36" i="4"/>
  <c r="H20" i="18" s="1"/>
  <c r="L52" i="3"/>
  <c r="L24" i="12"/>
  <c r="L8" i="12"/>
  <c r="L25" i="12"/>
  <c r="L16" i="12"/>
  <c r="K63" i="4"/>
  <c r="K58" i="3"/>
  <c r="L22" i="6"/>
  <c r="L19" i="6"/>
  <c r="L16" i="6"/>
  <c r="L29" i="6"/>
  <c r="L26" i="6"/>
  <c r="L15" i="11" s="1"/>
  <c r="L12" i="12" s="1"/>
  <c r="L13" i="8"/>
  <c r="L29" i="3" s="1"/>
  <c r="J65" i="3"/>
  <c r="J71" i="3" s="1"/>
  <c r="J72" i="3" s="1"/>
  <c r="J34" i="4"/>
  <c r="I34" i="4"/>
  <c r="I36" i="4" s="1"/>
  <c r="I20" i="18" s="1"/>
  <c r="I65" i="3"/>
  <c r="I71" i="3" s="1"/>
  <c r="I72" i="3" s="1"/>
  <c r="J12" i="7"/>
  <c r="J14" i="7"/>
  <c r="J26" i="11" s="1"/>
  <c r="K11" i="7"/>
  <c r="K12" i="7" s="1"/>
  <c r="I9" i="12"/>
  <c r="I12" i="11"/>
  <c r="H10" i="12"/>
  <c r="H13" i="11"/>
  <c r="H18" i="11"/>
  <c r="M10" i="11"/>
  <c r="M12" i="5"/>
  <c r="M11" i="6"/>
  <c r="M19" i="9"/>
  <c r="M23" i="3" s="1"/>
  <c r="M13" i="9"/>
  <c r="M20" i="3" s="1"/>
  <c r="M63" i="5"/>
  <c r="M27" i="11" s="1"/>
  <c r="M43" i="9"/>
  <c r="M54" i="3" s="1"/>
  <c r="M28" i="9"/>
  <c r="M33" i="3" s="1"/>
  <c r="M11" i="9"/>
  <c r="M19" i="3" s="1"/>
  <c r="M66" i="9"/>
  <c r="M70" i="3" s="1"/>
  <c r="M58" i="9"/>
  <c r="M66" i="3" s="1"/>
  <c r="M64" i="9"/>
  <c r="M69" i="3" s="1"/>
  <c r="M32" i="4" s="1"/>
  <c r="M60" i="9"/>
  <c r="M67" i="3" s="1"/>
  <c r="M33" i="4" s="1"/>
  <c r="M56" i="9"/>
  <c r="M62" i="3" s="1"/>
  <c r="M47" i="9"/>
  <c r="M56" i="3" s="1"/>
  <c r="M32" i="9"/>
  <c r="M35" i="3" s="1"/>
  <c r="M49" i="9"/>
  <c r="M57" i="3" s="1"/>
  <c r="M17" i="9"/>
  <c r="M22" i="3" s="1"/>
  <c r="M62" i="9"/>
  <c r="M68" i="3" s="1"/>
  <c r="M31" i="4" s="1"/>
  <c r="M54" i="9"/>
  <c r="M61" i="3" s="1"/>
  <c r="M45" i="9"/>
  <c r="M55" i="3" s="1"/>
  <c r="M26" i="9"/>
  <c r="M32" i="3" s="1"/>
  <c r="M30" i="4" s="1"/>
  <c r="M30" i="9"/>
  <c r="M34" i="3" s="1"/>
  <c r="M9" i="9"/>
  <c r="M18" i="3" s="1"/>
  <c r="M24" i="9"/>
  <c r="M28" i="3" s="1"/>
  <c r="M28" i="4" s="1"/>
  <c r="M15" i="9"/>
  <c r="M21" i="3" s="1"/>
  <c r="M34" i="9"/>
  <c r="M36" i="3" s="1"/>
  <c r="M39" i="9"/>
  <c r="M41" i="9"/>
  <c r="M53" i="3" s="1"/>
  <c r="M56" i="5"/>
  <c r="M50" i="5"/>
  <c r="K26" i="4"/>
  <c r="K33" i="6"/>
  <c r="K16" i="11"/>
  <c r="K13" i="12" s="1"/>
  <c r="L28" i="4"/>
  <c r="L21" i="12"/>
  <c r="J9" i="12"/>
  <c r="J12" i="11"/>
  <c r="J25" i="4"/>
  <c r="J36" i="4" s="1"/>
  <c r="J20" i="18" s="1"/>
  <c r="L27" i="4"/>
  <c r="Q67" i="5"/>
  <c r="P19" i="8"/>
  <c r="P31" i="9"/>
  <c r="P18" i="8"/>
  <c r="P25" i="9"/>
  <c r="P40" i="9"/>
  <c r="P10" i="9"/>
  <c r="P17" i="8"/>
  <c r="P42" i="9"/>
  <c r="P46" i="9"/>
  <c r="P35" i="9"/>
  <c r="P27" i="9"/>
  <c r="P16" i="9"/>
  <c r="P55" i="9"/>
  <c r="M49" i="10"/>
  <c r="L64" i="10"/>
  <c r="M51" i="10"/>
  <c r="Q57" i="10"/>
  <c r="Q62" i="10" s="1"/>
  <c r="M38" i="10"/>
  <c r="L45" i="10"/>
  <c r="M39" i="10"/>
  <c r="O30" i="10"/>
  <c r="O36" i="10" s="1"/>
  <c r="P32" i="10" s="1"/>
  <c r="M20" i="10"/>
  <c r="M13" i="10"/>
  <c r="Q63" i="9"/>
  <c r="Q50" i="9"/>
  <c r="Q48" i="9"/>
  <c r="Q33" i="9"/>
  <c r="Q18" i="9"/>
  <c r="O51" i="5"/>
  <c r="O54" i="5"/>
  <c r="M59" i="5"/>
  <c r="O48" i="5"/>
  <c r="O57" i="5"/>
  <c r="N43" i="5"/>
  <c r="N11" i="5" s="1"/>
  <c r="N47" i="5" s="1"/>
  <c r="O16" i="5"/>
  <c r="O15" i="5" s="1"/>
  <c r="O43" i="5" s="1"/>
  <c r="O11" i="5" s="1"/>
  <c r="P20" i="5"/>
  <c r="P37" i="5"/>
  <c r="P36" i="5" s="1"/>
  <c r="Q41" i="5"/>
  <c r="Q37" i="5" s="1"/>
  <c r="Q29" i="5"/>
  <c r="L53" i="4" l="1"/>
  <c r="O10" i="11"/>
  <c r="O11" i="6"/>
  <c r="O12" i="5"/>
  <c r="O19" i="9"/>
  <c r="O23" i="3" s="1"/>
  <c r="O13" i="9"/>
  <c r="O20" i="3" s="1"/>
  <c r="O63" i="5"/>
  <c r="O27" i="11" s="1"/>
  <c r="O66" i="9"/>
  <c r="O70" i="3" s="1"/>
  <c r="O58" i="9"/>
  <c r="O66" i="3" s="1"/>
  <c r="O64" i="9"/>
  <c r="O69" i="3" s="1"/>
  <c r="O60" i="9"/>
  <c r="O67" i="3" s="1"/>
  <c r="O43" i="9"/>
  <c r="O54" i="3" s="1"/>
  <c r="O28" i="9"/>
  <c r="O33" i="3" s="1"/>
  <c r="O11" i="9"/>
  <c r="O19" i="3" s="1"/>
  <c r="O49" i="9"/>
  <c r="O57" i="3" s="1"/>
  <c r="O62" i="9"/>
  <c r="O68" i="3" s="1"/>
  <c r="O56" i="9"/>
  <c r="O62" i="3" s="1"/>
  <c r="O47" i="9"/>
  <c r="O56" i="3" s="1"/>
  <c r="O32" i="9"/>
  <c r="O35" i="3" s="1"/>
  <c r="O17" i="9"/>
  <c r="O22" i="3" s="1"/>
  <c r="M8" i="12"/>
  <c r="M24" i="12"/>
  <c r="M25" i="12"/>
  <c r="M16" i="12"/>
  <c r="N10" i="11"/>
  <c r="N11" i="6"/>
  <c r="N12" i="5"/>
  <c r="N19" i="9"/>
  <c r="N23" i="3" s="1"/>
  <c r="N13" i="9"/>
  <c r="N20" i="3" s="1"/>
  <c r="N63" i="5"/>
  <c r="N27" i="11" s="1"/>
  <c r="N64" i="9"/>
  <c r="N69" i="3" s="1"/>
  <c r="N32" i="4" s="1"/>
  <c r="N66" i="9"/>
  <c r="N70" i="3" s="1"/>
  <c r="N58" i="9"/>
  <c r="N66" i="3" s="1"/>
  <c r="N60" i="9"/>
  <c r="N67" i="3" s="1"/>
  <c r="N33" i="4" s="1"/>
  <c r="N43" i="9"/>
  <c r="N54" i="3" s="1"/>
  <c r="N28" i="9"/>
  <c r="N33" i="3" s="1"/>
  <c r="N11" i="9"/>
  <c r="N19" i="3" s="1"/>
  <c r="N56" i="9"/>
  <c r="N62" i="3" s="1"/>
  <c r="N47" i="9"/>
  <c r="N56" i="3" s="1"/>
  <c r="N32" i="9"/>
  <c r="N35" i="3" s="1"/>
  <c r="O29" i="4" s="1"/>
  <c r="N49" i="9"/>
  <c r="N57" i="3" s="1"/>
  <c r="N17" i="9"/>
  <c r="N22" i="3" s="1"/>
  <c r="N62" i="9"/>
  <c r="N68" i="3" s="1"/>
  <c r="N31" i="4" s="1"/>
  <c r="N41" i="9"/>
  <c r="N53" i="3" s="1"/>
  <c r="N34" i="9"/>
  <c r="N36" i="3" s="1"/>
  <c r="N15" i="9"/>
  <c r="N21" i="3" s="1"/>
  <c r="N26" i="9"/>
  <c r="N32" i="3" s="1"/>
  <c r="N30" i="4" s="1"/>
  <c r="N45" i="9"/>
  <c r="N55" i="3" s="1"/>
  <c r="N24" i="9"/>
  <c r="N28" i="3" s="1"/>
  <c r="N28" i="4" s="1"/>
  <c r="N54" i="9"/>
  <c r="N61" i="3" s="1"/>
  <c r="N30" i="9"/>
  <c r="N34" i="3" s="1"/>
  <c r="N9" i="9"/>
  <c r="N18" i="3" s="1"/>
  <c r="N39" i="9"/>
  <c r="N50" i="5"/>
  <c r="O54" i="9"/>
  <c r="O61" i="3" s="1"/>
  <c r="O15" i="9"/>
  <c r="O21" i="3" s="1"/>
  <c r="O26" i="9"/>
  <c r="O32" i="3" s="1"/>
  <c r="O30" i="4" s="1"/>
  <c r="O45" i="9"/>
  <c r="O55" i="3" s="1"/>
  <c r="M52" i="3"/>
  <c r="M24" i="3"/>
  <c r="M35" i="4"/>
  <c r="H15" i="12"/>
  <c r="H23" i="11"/>
  <c r="H19" i="11"/>
  <c r="M46" i="4"/>
  <c r="K13" i="4"/>
  <c r="K22" i="4" s="1"/>
  <c r="K61" i="4"/>
  <c r="K20" i="12"/>
  <c r="I10" i="12"/>
  <c r="I18" i="11"/>
  <c r="I13" i="11"/>
  <c r="N56" i="5"/>
  <c r="O30" i="9"/>
  <c r="O34" i="3" s="1"/>
  <c r="L26" i="4"/>
  <c r="M22" i="6"/>
  <c r="M16" i="6"/>
  <c r="M29" i="6"/>
  <c r="M19" i="6"/>
  <c r="M26" i="6"/>
  <c r="M15" i="11" s="1"/>
  <c r="M12" i="12" s="1"/>
  <c r="M13" i="8"/>
  <c r="M29" i="3" s="1"/>
  <c r="M27" i="4"/>
  <c r="J20" i="12"/>
  <c r="J61" i="4"/>
  <c r="J13" i="4"/>
  <c r="J22" i="4" s="1"/>
  <c r="L33" i="6"/>
  <c r="L16" i="11"/>
  <c r="L13" i="12" s="1"/>
  <c r="M29" i="4"/>
  <c r="M45" i="4"/>
  <c r="O9" i="9"/>
  <c r="O18" i="3" s="1"/>
  <c r="L58" i="3"/>
  <c r="L63" i="4"/>
  <c r="O39" i="9"/>
  <c r="O52" i="3" s="1"/>
  <c r="N53" i="5"/>
  <c r="N59" i="5" s="1"/>
  <c r="O34" i="9"/>
  <c r="O36" i="3" s="1"/>
  <c r="O41" i="9"/>
  <c r="O53" i="3" s="1"/>
  <c r="O24" i="9"/>
  <c r="O28" i="3" s="1"/>
  <c r="J10" i="12"/>
  <c r="J18" i="11"/>
  <c r="J13" i="11"/>
  <c r="M21" i="12"/>
  <c r="L13" i="6"/>
  <c r="L13" i="7"/>
  <c r="K14" i="6"/>
  <c r="K11" i="11"/>
  <c r="K14" i="8"/>
  <c r="K12" i="8"/>
  <c r="K26" i="3" s="1"/>
  <c r="Q16" i="9"/>
  <c r="Q27" i="9"/>
  <c r="Q46" i="9"/>
  <c r="Q17" i="8"/>
  <c r="Q18" i="8"/>
  <c r="Q19" i="8"/>
  <c r="Q40" i="9"/>
  <c r="Q25" i="9"/>
  <c r="Q31" i="9"/>
  <c r="Q55" i="9"/>
  <c r="Q35" i="9"/>
  <c r="Q42" i="9"/>
  <c r="Q10" i="9"/>
  <c r="M55" i="10"/>
  <c r="M43" i="10"/>
  <c r="P30" i="10"/>
  <c r="P36" i="10" s="1"/>
  <c r="Q32" i="10" s="1"/>
  <c r="M24" i="10"/>
  <c r="N19" i="10" s="1"/>
  <c r="M17" i="10"/>
  <c r="N11" i="10" s="1"/>
  <c r="P57" i="5"/>
  <c r="O56" i="5"/>
  <c r="P54" i="5"/>
  <c r="O53" i="5"/>
  <c r="P48" i="5"/>
  <c r="O47" i="5"/>
  <c r="P51" i="5"/>
  <c r="O50" i="5"/>
  <c r="P16" i="5"/>
  <c r="P15" i="5" s="1"/>
  <c r="P43" i="5" s="1"/>
  <c r="P11" i="5" s="1"/>
  <c r="P45" i="9" s="1"/>
  <c r="P55" i="3" s="1"/>
  <c r="Q20" i="5"/>
  <c r="Q16" i="5" s="1"/>
  <c r="Q36" i="5"/>
  <c r="O21" i="12" l="1"/>
  <c r="N46" i="4"/>
  <c r="M53" i="4"/>
  <c r="O28" i="4"/>
  <c r="O27" i="4"/>
  <c r="O24" i="3"/>
  <c r="M13" i="6"/>
  <c r="O35" i="4"/>
  <c r="O46" i="4"/>
  <c r="O33" i="4"/>
  <c r="N21" i="12"/>
  <c r="I15" i="12"/>
  <c r="I23" i="11"/>
  <c r="I19" i="11"/>
  <c r="P9" i="9"/>
  <c r="P18" i="3" s="1"/>
  <c r="P24" i="9"/>
  <c r="P28" i="3" s="1"/>
  <c r="O32" i="4"/>
  <c r="O24" i="12"/>
  <c r="O25" i="12"/>
  <c r="O16" i="12"/>
  <c r="O8" i="12"/>
  <c r="P41" i="9"/>
  <c r="P53" i="3" s="1"/>
  <c r="P30" i="9"/>
  <c r="P34" i="3" s="1"/>
  <c r="K9" i="12"/>
  <c r="K12" i="11"/>
  <c r="M14" i="6"/>
  <c r="M11" i="11"/>
  <c r="M14" i="8"/>
  <c r="M12" i="8"/>
  <c r="M26" i="3" s="1"/>
  <c r="M26" i="4"/>
  <c r="O22" i="6"/>
  <c r="O16" i="6"/>
  <c r="O29" i="6"/>
  <c r="O19" i="6"/>
  <c r="O26" i="6"/>
  <c r="O15" i="11" s="1"/>
  <c r="O12" i="12" s="1"/>
  <c r="O13" i="8"/>
  <c r="O29" i="3" s="1"/>
  <c r="P34" i="9"/>
  <c r="P36" i="3" s="1"/>
  <c r="K25" i="4"/>
  <c r="L12" i="7"/>
  <c r="M11" i="7"/>
  <c r="L14" i="7"/>
  <c r="L26" i="11" s="1"/>
  <c r="J15" i="12"/>
  <c r="J19" i="11"/>
  <c r="J23" i="11"/>
  <c r="N27" i="4"/>
  <c r="N35" i="4"/>
  <c r="N22" i="6"/>
  <c r="N16" i="6"/>
  <c r="N19" i="6"/>
  <c r="N29" i="6"/>
  <c r="N26" i="6"/>
  <c r="N15" i="11" s="1"/>
  <c r="N12" i="12" s="1"/>
  <c r="N13" i="8"/>
  <c r="N29" i="3" s="1"/>
  <c r="N26" i="4" s="1"/>
  <c r="P10" i="11"/>
  <c r="P11" i="6"/>
  <c r="P12" i="5"/>
  <c r="P19" i="9"/>
  <c r="P23" i="3" s="1"/>
  <c r="P43" i="9"/>
  <c r="P54" i="3" s="1"/>
  <c r="P28" i="9"/>
  <c r="P33" i="3" s="1"/>
  <c r="P27" i="4" s="1"/>
  <c r="P13" i="9"/>
  <c r="P20" i="3" s="1"/>
  <c r="P63" i="5"/>
  <c r="P27" i="11" s="1"/>
  <c r="P66" i="9"/>
  <c r="P70" i="3" s="1"/>
  <c r="P58" i="9"/>
  <c r="P66" i="3" s="1"/>
  <c r="P60" i="9"/>
  <c r="P67" i="3" s="1"/>
  <c r="P33" i="4" s="1"/>
  <c r="P11" i="9"/>
  <c r="P19" i="3" s="1"/>
  <c r="P64" i="9"/>
  <c r="P69" i="3" s="1"/>
  <c r="P32" i="4" s="1"/>
  <c r="P62" i="9"/>
  <c r="P68" i="3" s="1"/>
  <c r="P31" i="4" s="1"/>
  <c r="P49" i="9"/>
  <c r="P57" i="3" s="1"/>
  <c r="P32" i="9"/>
  <c r="P35" i="3" s="1"/>
  <c r="P56" i="9"/>
  <c r="P62" i="3" s="1"/>
  <c r="P47" i="9"/>
  <c r="P56" i="3" s="1"/>
  <c r="P17" i="9"/>
  <c r="P22" i="3" s="1"/>
  <c r="P54" i="9"/>
  <c r="P61" i="3" s="1"/>
  <c r="P39" i="9"/>
  <c r="P52" i="3" s="1"/>
  <c r="P26" i="9"/>
  <c r="P32" i="3" s="1"/>
  <c r="P30" i="4" s="1"/>
  <c r="H15" i="18"/>
  <c r="H16" i="18" s="1"/>
  <c r="H17" i="18" s="1"/>
  <c r="H21" i="18" s="1"/>
  <c r="H23" i="18" s="1"/>
  <c r="H18" i="12"/>
  <c r="H24" i="11"/>
  <c r="H29" i="11"/>
  <c r="M58" i="3"/>
  <c r="M63" i="4"/>
  <c r="N24" i="3"/>
  <c r="N45" i="4"/>
  <c r="N53" i="4" s="1"/>
  <c r="O45" i="4"/>
  <c r="O53" i="4" s="1"/>
  <c r="P15" i="9"/>
  <c r="P21" i="3" s="1"/>
  <c r="K65" i="3"/>
  <c r="K71" i="3" s="1"/>
  <c r="K72" i="3" s="1"/>
  <c r="K34" i="4"/>
  <c r="L14" i="6"/>
  <c r="L11" i="11"/>
  <c r="L12" i="8"/>
  <c r="L26" i="3" s="1"/>
  <c r="L25" i="4" s="1"/>
  <c r="L14" i="8"/>
  <c r="M33" i="6"/>
  <c r="M16" i="11"/>
  <c r="M13" i="12" s="1"/>
  <c r="N29" i="4"/>
  <c r="M13" i="7"/>
  <c r="N52" i="3"/>
  <c r="O63" i="4" s="1"/>
  <c r="N13" i="7"/>
  <c r="N25" i="12"/>
  <c r="N16" i="12"/>
  <c r="N8" i="12"/>
  <c r="N24" i="12"/>
  <c r="O31" i="4"/>
  <c r="O58" i="3"/>
  <c r="P28" i="4"/>
  <c r="P45" i="4"/>
  <c r="N49" i="10"/>
  <c r="M64" i="10"/>
  <c r="N51" i="10"/>
  <c r="N38" i="10"/>
  <c r="M45" i="10"/>
  <c r="N39" i="10"/>
  <c r="Q30" i="10"/>
  <c r="Q36" i="10" s="1"/>
  <c r="N20" i="10"/>
  <c r="N13" i="10"/>
  <c r="Q51" i="5"/>
  <c r="P50" i="5"/>
  <c r="Q54" i="5"/>
  <c r="P53" i="5"/>
  <c r="O59" i="5"/>
  <c r="Q48" i="5"/>
  <c r="P47" i="5"/>
  <c r="Q57" i="5"/>
  <c r="P56" i="5"/>
  <c r="Q15" i="5"/>
  <c r="Q43" i="5" s="1"/>
  <c r="Q11" i="5" s="1"/>
  <c r="P24" i="3" l="1"/>
  <c r="P35" i="4"/>
  <c r="K36" i="4"/>
  <c r="K20" i="18" s="1"/>
  <c r="Q10" i="11"/>
  <c r="Q12" i="5"/>
  <c r="Q11" i="6"/>
  <c r="Q19" i="9"/>
  <c r="Q23" i="3" s="1"/>
  <c r="Q28" i="9"/>
  <c r="Q33" i="3" s="1"/>
  <c r="Q27" i="4" s="1"/>
  <c r="Q43" i="9"/>
  <c r="Q54" i="3" s="1"/>
  <c r="Q66" i="9"/>
  <c r="Q70" i="3" s="1"/>
  <c r="Q11" i="9"/>
  <c r="Q19" i="3" s="1"/>
  <c r="Q58" i="9"/>
  <c r="Q66" i="3" s="1"/>
  <c r="Q63" i="5"/>
  <c r="Q27" i="11" s="1"/>
  <c r="Q60" i="9"/>
  <c r="Q67" i="3" s="1"/>
  <c r="Q33" i="4" s="1"/>
  <c r="Q13" i="9"/>
  <c r="Q20" i="3" s="1"/>
  <c r="Q56" i="9"/>
  <c r="Q64" i="9"/>
  <c r="Q69" i="3" s="1"/>
  <c r="Q32" i="4" s="1"/>
  <c r="Q32" i="9"/>
  <c r="Q35" i="3" s="1"/>
  <c r="Q29" i="4" s="1"/>
  <c r="Q49" i="9"/>
  <c r="Q57" i="3" s="1"/>
  <c r="Q17" i="9"/>
  <c r="Q22" i="3" s="1"/>
  <c r="Q62" i="9"/>
  <c r="Q68" i="3" s="1"/>
  <c r="Q31" i="4" s="1"/>
  <c r="Q47" i="9"/>
  <c r="Q56" i="3" s="1"/>
  <c r="Q15" i="9"/>
  <c r="Q21" i="3" s="1"/>
  <c r="P24" i="12"/>
  <c r="P25" i="12"/>
  <c r="P16" i="12"/>
  <c r="P8" i="12"/>
  <c r="N33" i="6"/>
  <c r="N16" i="11"/>
  <c r="N13" i="12" s="1"/>
  <c r="I15" i="18"/>
  <c r="I16" i="18" s="1"/>
  <c r="I17" i="18" s="1"/>
  <c r="I21" i="18" s="1"/>
  <c r="I23" i="18" s="1"/>
  <c r="I18" i="12"/>
  <c r="I24" i="11"/>
  <c r="I29" i="11"/>
  <c r="Q50" i="5"/>
  <c r="N11" i="7"/>
  <c r="M14" i="7"/>
  <c r="M26" i="11" s="1"/>
  <c r="M12" i="7"/>
  <c r="Q45" i="9"/>
  <c r="Q55" i="3" s="1"/>
  <c r="P46" i="4"/>
  <c r="P21" i="12"/>
  <c r="L13" i="4"/>
  <c r="L22" i="4" s="1"/>
  <c r="L61" i="4"/>
  <c r="L20" i="12"/>
  <c r="Q9" i="9"/>
  <c r="Q18" i="3" s="1"/>
  <c r="O33" i="6"/>
  <c r="O16" i="11"/>
  <c r="O13" i="12" s="1"/>
  <c r="M25" i="4"/>
  <c r="K10" i="12"/>
  <c r="K18" i="11"/>
  <c r="K13" i="11"/>
  <c r="Q41" i="9"/>
  <c r="Q53" i="3" s="1"/>
  <c r="Q47" i="5"/>
  <c r="Q26" i="9"/>
  <c r="Q32" i="3" s="1"/>
  <c r="Q30" i="4" s="1"/>
  <c r="L65" i="3"/>
  <c r="L71" i="3" s="1"/>
  <c r="L72" i="3" s="1"/>
  <c r="L34" i="4"/>
  <c r="L36" i="4" s="1"/>
  <c r="L20" i="18" s="1"/>
  <c r="N13" i="6"/>
  <c r="J15" i="18"/>
  <c r="J16" i="18" s="1"/>
  <c r="J17" i="18" s="1"/>
  <c r="J21" i="18" s="1"/>
  <c r="J23" i="18" s="1"/>
  <c r="J18" i="12"/>
  <c r="J24" i="11"/>
  <c r="J29" i="11"/>
  <c r="O13" i="7"/>
  <c r="O26" i="4"/>
  <c r="O13" i="6"/>
  <c r="M65" i="3"/>
  <c r="M71" i="3" s="1"/>
  <c r="M72" i="3" s="1"/>
  <c r="M34" i="4"/>
  <c r="Q39" i="9"/>
  <c r="N63" i="4"/>
  <c r="N58" i="3"/>
  <c r="L9" i="12"/>
  <c r="L12" i="11"/>
  <c r="Q34" i="9"/>
  <c r="Q36" i="3" s="1"/>
  <c r="Q54" i="9"/>
  <c r="Q61" i="3" s="1"/>
  <c r="Q56" i="5"/>
  <c r="Q53" i="5"/>
  <c r="P53" i="4"/>
  <c r="O11" i="7"/>
  <c r="N14" i="7"/>
  <c r="N26" i="11" s="1"/>
  <c r="N12" i="7"/>
  <c r="Q30" i="9"/>
  <c r="Q34" i="3" s="1"/>
  <c r="H23" i="12"/>
  <c r="H34" i="11"/>
  <c r="P22" i="6"/>
  <c r="P16" i="6"/>
  <c r="P19" i="6"/>
  <c r="P29" i="6"/>
  <c r="P26" i="6"/>
  <c r="P15" i="11" s="1"/>
  <c r="P12" i="12" s="1"/>
  <c r="P13" i="8"/>
  <c r="P29" i="3" s="1"/>
  <c r="P26" i="4" s="1"/>
  <c r="Q24" i="9"/>
  <c r="Q28" i="3" s="1"/>
  <c r="M9" i="12"/>
  <c r="M12" i="11"/>
  <c r="P29" i="4"/>
  <c r="P58" i="3"/>
  <c r="P63" i="4"/>
  <c r="O51" i="10"/>
  <c r="N55" i="10"/>
  <c r="N43" i="10"/>
  <c r="O39" i="10" s="1"/>
  <c r="N24" i="10"/>
  <c r="O19" i="10" s="1"/>
  <c r="N17" i="10"/>
  <c r="O11" i="10" s="1"/>
  <c r="P59" i="5"/>
  <c r="Q28" i="4" l="1"/>
  <c r="Q21" i="12"/>
  <c r="Q59" i="5"/>
  <c r="M36" i="4"/>
  <c r="M20" i="18" s="1"/>
  <c r="M10" i="12"/>
  <c r="M18" i="11"/>
  <c r="M13" i="11"/>
  <c r="J34" i="11"/>
  <c r="J23" i="12"/>
  <c r="P33" i="6"/>
  <c r="P16" i="11"/>
  <c r="P13" i="12" s="1"/>
  <c r="L10" i="12"/>
  <c r="L18" i="11"/>
  <c r="L13" i="11"/>
  <c r="Q52" i="3"/>
  <c r="Q13" i="7"/>
  <c r="Q14" i="7" s="1"/>
  <c r="Q26" i="11" s="1"/>
  <c r="K15" i="12"/>
  <c r="K23" i="11"/>
  <c r="K19" i="11"/>
  <c r="Q62" i="3"/>
  <c r="Q35" i="4" s="1"/>
  <c r="P13" i="7"/>
  <c r="Q25" i="12"/>
  <c r="Q16" i="12"/>
  <c r="Q24" i="12"/>
  <c r="Q8" i="12"/>
  <c r="O14" i="6"/>
  <c r="O11" i="11"/>
  <c r="O14" i="8"/>
  <c r="O12" i="8"/>
  <c r="O26" i="3" s="1"/>
  <c r="M13" i="4"/>
  <c r="M22" i="4" s="1"/>
  <c r="M61" i="4"/>
  <c r="M20" i="12"/>
  <c r="H66" i="5"/>
  <c r="H27" i="12"/>
  <c r="H37" i="11"/>
  <c r="H39" i="11" s="1"/>
  <c r="H9" i="4"/>
  <c r="H23" i="4" s="1"/>
  <c r="H37" i="4" s="1"/>
  <c r="H35" i="11"/>
  <c r="N20" i="12"/>
  <c r="N61" i="4"/>
  <c r="N13" i="4"/>
  <c r="N22" i="4" s="1"/>
  <c r="Q46" i="4"/>
  <c r="N14" i="6"/>
  <c r="N11" i="11"/>
  <c r="N14" i="8"/>
  <c r="N12" i="8"/>
  <c r="N26" i="3" s="1"/>
  <c r="N25" i="4" s="1"/>
  <c r="P13" i="6"/>
  <c r="O14" i="7"/>
  <c r="O26" i="11" s="1"/>
  <c r="P11" i="7"/>
  <c r="O12" i="7"/>
  <c r="Q24" i="3"/>
  <c r="Q45" i="4"/>
  <c r="I34" i="11"/>
  <c r="I23" i="12"/>
  <c r="Q22" i="6"/>
  <c r="Q26" i="6"/>
  <c r="Q15" i="11" s="1"/>
  <c r="Q12" i="12" s="1"/>
  <c r="Q16" i="6"/>
  <c r="Q29" i="6"/>
  <c r="Q19" i="6"/>
  <c r="Q13" i="8"/>
  <c r="Q29" i="3" s="1"/>
  <c r="Q26" i="4" s="1"/>
  <c r="O49" i="10"/>
  <c r="O55" i="10" s="1"/>
  <c r="P51" i="10" s="1"/>
  <c r="N64" i="10"/>
  <c r="O38" i="10"/>
  <c r="O43" i="10" s="1"/>
  <c r="N45" i="10"/>
  <c r="O20" i="10"/>
  <c r="O13" i="10"/>
  <c r="P12" i="7" l="1"/>
  <c r="Q13" i="6"/>
  <c r="Q14" i="8" s="1"/>
  <c r="N34" i="4"/>
  <c r="N65" i="3"/>
  <c r="N71" i="3" s="1"/>
  <c r="N72" i="3" s="1"/>
  <c r="Q58" i="3"/>
  <c r="Q63" i="4"/>
  <c r="Q53" i="4"/>
  <c r="O20" i="12"/>
  <c r="O61" i="4"/>
  <c r="O13" i="4"/>
  <c r="O22" i="4" s="1"/>
  <c r="P14" i="6"/>
  <c r="P11" i="11"/>
  <c r="P14" i="8"/>
  <c r="P12" i="8"/>
  <c r="P26" i="3" s="1"/>
  <c r="N9" i="12"/>
  <c r="N12" i="11"/>
  <c r="O25" i="4"/>
  <c r="P25" i="4"/>
  <c r="K15" i="18"/>
  <c r="K16" i="18" s="1"/>
  <c r="K17" i="18" s="1"/>
  <c r="K21" i="18" s="1"/>
  <c r="K23" i="18" s="1"/>
  <c r="K18" i="12"/>
  <c r="K24" i="11"/>
  <c r="K29" i="11"/>
  <c r="M15" i="12"/>
  <c r="M19" i="11"/>
  <c r="M23" i="11"/>
  <c r="I66" i="5"/>
  <c r="I9" i="4"/>
  <c r="I23" i="4" s="1"/>
  <c r="I37" i="4" s="1"/>
  <c r="I37" i="11"/>
  <c r="I39" i="11" s="1"/>
  <c r="I35" i="11"/>
  <c r="I27" i="12"/>
  <c r="H38" i="4"/>
  <c r="H39" i="4" s="1"/>
  <c r="H29" i="12"/>
  <c r="O65" i="3"/>
  <c r="O71" i="3" s="1"/>
  <c r="O72" i="3" s="1"/>
  <c r="O34" i="4"/>
  <c r="P14" i="7"/>
  <c r="P26" i="11" s="1"/>
  <c r="Q11" i="7"/>
  <c r="Q12" i="7" s="1"/>
  <c r="L15" i="12"/>
  <c r="L23" i="11"/>
  <c r="L19" i="11"/>
  <c r="Q14" i="6"/>
  <c r="Q11" i="11"/>
  <c r="Q33" i="6"/>
  <c r="Q16" i="11"/>
  <c r="Q13" i="12" s="1"/>
  <c r="N36" i="4"/>
  <c r="N20" i="18" s="1"/>
  <c r="H44" i="11"/>
  <c r="H64" i="4" s="1"/>
  <c r="H65" i="4" s="1"/>
  <c r="H40" i="11"/>
  <c r="H31" i="12"/>
  <c r="H42" i="11"/>
  <c r="H43" i="3"/>
  <c r="O9" i="12"/>
  <c r="O12" i="11"/>
  <c r="Q20" i="12"/>
  <c r="Q61" i="4"/>
  <c r="Q13" i="4"/>
  <c r="Q22" i="4" s="1"/>
  <c r="J66" i="5"/>
  <c r="J37" i="11"/>
  <c r="J39" i="11" s="1"/>
  <c r="J35" i="11"/>
  <c r="J27" i="12"/>
  <c r="J9" i="4"/>
  <c r="J23" i="4" s="1"/>
  <c r="J37" i="4" s="1"/>
  <c r="Q51" i="10"/>
  <c r="P49" i="10"/>
  <c r="P55" i="10" s="1"/>
  <c r="O64" i="10"/>
  <c r="P38" i="10"/>
  <c r="O45" i="10"/>
  <c r="P39" i="10"/>
  <c r="O24" i="10"/>
  <c r="P19" i="10" s="1"/>
  <c r="O17" i="10"/>
  <c r="P11" i="10" s="1"/>
  <c r="H67" i="4" l="1"/>
  <c r="H70" i="4" s="1"/>
  <c r="Q12" i="8"/>
  <c r="Q26" i="3" s="1"/>
  <c r="H47" i="11"/>
  <c r="H48" i="11" s="1"/>
  <c r="Q25" i="4"/>
  <c r="H46" i="3"/>
  <c r="M15" i="18"/>
  <c r="M16" i="18" s="1"/>
  <c r="M17" i="18" s="1"/>
  <c r="M21" i="18" s="1"/>
  <c r="M23" i="18" s="1"/>
  <c r="M18" i="12"/>
  <c r="M24" i="11"/>
  <c r="M29" i="11"/>
  <c r="O36" i="4"/>
  <c r="O20" i="18" s="1"/>
  <c r="P65" i="3"/>
  <c r="P71" i="3" s="1"/>
  <c r="P72" i="3" s="1"/>
  <c r="P34" i="4"/>
  <c r="P36" i="4" s="1"/>
  <c r="P20" i="18" s="1"/>
  <c r="K34" i="11"/>
  <c r="K23" i="12"/>
  <c r="J42" i="11"/>
  <c r="J40" i="11"/>
  <c r="J44" i="11"/>
  <c r="J64" i="4" s="1"/>
  <c r="J65" i="4" s="1"/>
  <c r="J31" i="12"/>
  <c r="J38" i="4"/>
  <c r="J39" i="4" s="1"/>
  <c r="J29" i="12"/>
  <c r="I68" i="4"/>
  <c r="H30" i="3"/>
  <c r="P20" i="12"/>
  <c r="P61" i="4"/>
  <c r="P13" i="4"/>
  <c r="P22" i="4" s="1"/>
  <c r="I38" i="4"/>
  <c r="I39" i="4" s="1"/>
  <c r="I29" i="12"/>
  <c r="N10" i="12"/>
  <c r="N18" i="11"/>
  <c r="N13" i="11"/>
  <c r="P9" i="12"/>
  <c r="P12" i="11"/>
  <c r="Q9" i="12"/>
  <c r="Q12" i="11"/>
  <c r="O10" i="12"/>
  <c r="O13" i="11"/>
  <c r="O18" i="11"/>
  <c r="Q65" i="3"/>
  <c r="Q71" i="3" s="1"/>
  <c r="Q72" i="3" s="1"/>
  <c r="Q34" i="4"/>
  <c r="Q36" i="4" s="1"/>
  <c r="Q20" i="18" s="1"/>
  <c r="L15" i="18"/>
  <c r="L16" i="18" s="1"/>
  <c r="L17" i="18" s="1"/>
  <c r="L21" i="18" s="1"/>
  <c r="L23" i="18" s="1"/>
  <c r="L18" i="12"/>
  <c r="L24" i="11"/>
  <c r="L29" i="11"/>
  <c r="I31" i="12"/>
  <c r="I42" i="11"/>
  <c r="I44" i="11"/>
  <c r="I64" i="4" s="1"/>
  <c r="I65" i="4" s="1"/>
  <c r="I40" i="11"/>
  <c r="Q49" i="10"/>
  <c r="Q55" i="10" s="1"/>
  <c r="Q64" i="10" s="1"/>
  <c r="P64" i="10"/>
  <c r="P43" i="10"/>
  <c r="P20" i="10"/>
  <c r="P13" i="10"/>
  <c r="I47" i="11" l="1"/>
  <c r="I48" i="11" s="1"/>
  <c r="J47" i="11"/>
  <c r="J48" i="11" s="1"/>
  <c r="K66" i="5"/>
  <c r="K35" i="11"/>
  <c r="K37" i="11"/>
  <c r="K39" i="11" s="1"/>
  <c r="K9" i="4"/>
  <c r="K23" i="4" s="1"/>
  <c r="K37" i="4" s="1"/>
  <c r="K27" i="12"/>
  <c r="L23" i="12"/>
  <c r="L34" i="11"/>
  <c r="Q10" i="12"/>
  <c r="Q18" i="11"/>
  <c r="Q13" i="11"/>
  <c r="H37" i="3"/>
  <c r="M23" i="12"/>
  <c r="M34" i="11"/>
  <c r="O15" i="12"/>
  <c r="O19" i="11"/>
  <c r="O23" i="11"/>
  <c r="I67" i="4"/>
  <c r="I70" i="4" s="1"/>
  <c r="N15" i="12"/>
  <c r="N19" i="11"/>
  <c r="N23" i="11"/>
  <c r="H48" i="3"/>
  <c r="P10" i="12"/>
  <c r="P13" i="11"/>
  <c r="P18" i="11"/>
  <c r="J67" i="4"/>
  <c r="I43" i="3"/>
  <c r="Q38" i="10"/>
  <c r="P45" i="10"/>
  <c r="Q39" i="10"/>
  <c r="P24" i="10"/>
  <c r="Q19" i="10" s="1"/>
  <c r="P17" i="10"/>
  <c r="Q11" i="10" s="1"/>
  <c r="K31" i="12" l="1"/>
  <c r="K42" i="11"/>
  <c r="K44" i="11"/>
  <c r="K64" i="4" s="1"/>
  <c r="K65" i="4" s="1"/>
  <c r="K40" i="11"/>
  <c r="P15" i="12"/>
  <c r="P23" i="11"/>
  <c r="P19" i="11"/>
  <c r="O15" i="18"/>
  <c r="O16" i="18" s="1"/>
  <c r="O17" i="18" s="1"/>
  <c r="O21" i="18" s="1"/>
  <c r="O23" i="18" s="1"/>
  <c r="O18" i="12"/>
  <c r="O24" i="11"/>
  <c r="O29" i="11"/>
  <c r="H73" i="3"/>
  <c r="H38" i="3"/>
  <c r="H62" i="12"/>
  <c r="L66" i="5"/>
  <c r="L35" i="11"/>
  <c r="L37" i="11"/>
  <c r="L39" i="11" s="1"/>
  <c r="L27" i="12"/>
  <c r="L9" i="4"/>
  <c r="L23" i="4" s="1"/>
  <c r="L37" i="4" s="1"/>
  <c r="N15" i="18"/>
  <c r="N16" i="18" s="1"/>
  <c r="N17" i="18" s="1"/>
  <c r="N21" i="18" s="1"/>
  <c r="N23" i="18" s="1"/>
  <c r="N18" i="12"/>
  <c r="N24" i="11"/>
  <c r="N29" i="11"/>
  <c r="Q15" i="12"/>
  <c r="Q23" i="11"/>
  <c r="Q19" i="11"/>
  <c r="J43" i="3"/>
  <c r="I46" i="3"/>
  <c r="J68" i="4"/>
  <c r="J70" i="4" s="1"/>
  <c r="I30" i="3"/>
  <c r="M66" i="5"/>
  <c r="M27" i="12"/>
  <c r="M9" i="4"/>
  <c r="M23" i="4" s="1"/>
  <c r="M37" i="4" s="1"/>
  <c r="M37" i="11"/>
  <c r="M35" i="11"/>
  <c r="K29" i="12"/>
  <c r="K38" i="4"/>
  <c r="K39" i="4" s="1"/>
  <c r="Q43" i="10"/>
  <c r="Q45" i="10" s="1"/>
  <c r="Q20" i="10"/>
  <c r="Q24" i="10" s="1"/>
  <c r="Q13" i="10"/>
  <c r="Q17" i="10" s="1"/>
  <c r="L31" i="12" l="1"/>
  <c r="L42" i="11"/>
  <c r="L40" i="11"/>
  <c r="L44" i="11"/>
  <c r="L64" i="4" s="1"/>
  <c r="L65" i="4" s="1"/>
  <c r="Q15" i="18"/>
  <c r="Q18" i="12"/>
  <c r="Q24" i="11"/>
  <c r="Q29" i="11"/>
  <c r="H89" i="12"/>
  <c r="H90" i="12"/>
  <c r="H54" i="12"/>
  <c r="H37" i="12"/>
  <c r="H45" i="12"/>
  <c r="H79" i="12"/>
  <c r="H82" i="12"/>
  <c r="H44" i="12"/>
  <c r="H87" i="12"/>
  <c r="H80" i="12"/>
  <c r="H96" i="12"/>
  <c r="H97" i="12"/>
  <c r="H60" i="12"/>
  <c r="H46" i="12"/>
  <c r="H69" i="12"/>
  <c r="H72" i="12"/>
  <c r="H51" i="12"/>
  <c r="H40" i="12"/>
  <c r="H93" i="12"/>
  <c r="H81" i="12"/>
  <c r="H92" i="12"/>
  <c r="H47" i="12"/>
  <c r="H59" i="12"/>
  <c r="H78" i="12"/>
  <c r="H49" i="12"/>
  <c r="H56" i="12"/>
  <c r="H39" i="12"/>
  <c r="H48" i="12"/>
  <c r="H57" i="12"/>
  <c r="H83" i="12"/>
  <c r="H66" i="12"/>
  <c r="H70" i="12"/>
  <c r="H41" i="12"/>
  <c r="H38" i="12"/>
  <c r="H94" i="12"/>
  <c r="H58" i="12"/>
  <c r="H95" i="12"/>
  <c r="H53" i="12"/>
  <c r="H86" i="12"/>
  <c r="H43" i="12"/>
  <c r="H77" i="12"/>
  <c r="H63" i="12"/>
  <c r="H36" i="12"/>
  <c r="H91" i="12"/>
  <c r="H61" i="12"/>
  <c r="H68" i="12"/>
  <c r="H71" i="12"/>
  <c r="H55" i="12"/>
  <c r="P15" i="18"/>
  <c r="P16" i="18" s="1"/>
  <c r="P17" i="18" s="1"/>
  <c r="P21" i="18" s="1"/>
  <c r="P23" i="18" s="1"/>
  <c r="P18" i="12"/>
  <c r="P24" i="11"/>
  <c r="P29" i="11"/>
  <c r="K67" i="4"/>
  <c r="O23" i="12"/>
  <c r="O34" i="11"/>
  <c r="M29" i="12"/>
  <c r="M38" i="4"/>
  <c r="M39" i="4" s="1"/>
  <c r="I48" i="3"/>
  <c r="M39" i="11"/>
  <c r="I37" i="3"/>
  <c r="K43" i="3"/>
  <c r="J46" i="3"/>
  <c r="N34" i="11"/>
  <c r="N23" i="12"/>
  <c r="H73" i="12"/>
  <c r="L29" i="12"/>
  <c r="L38" i="4"/>
  <c r="L39" i="4" s="1"/>
  <c r="J30" i="3"/>
  <c r="K68" i="4"/>
  <c r="K70" i="4" s="1"/>
  <c r="H75" i="3"/>
  <c r="H98" i="12"/>
  <c r="K47" i="11"/>
  <c r="K48" i="11" s="1"/>
  <c r="K46" i="3" l="1"/>
  <c r="L43" i="3"/>
  <c r="O66" i="5"/>
  <c r="O37" i="11"/>
  <c r="O39" i="11" s="1"/>
  <c r="O35" i="11"/>
  <c r="O27" i="12"/>
  <c r="O9" i="4"/>
  <c r="O23" i="4" s="1"/>
  <c r="O37" i="4" s="1"/>
  <c r="I73" i="3"/>
  <c r="L67" i="4"/>
  <c r="L68" i="4"/>
  <c r="K30" i="3"/>
  <c r="I38" i="3"/>
  <c r="I73" i="12" s="1"/>
  <c r="N66" i="5"/>
  <c r="N37" i="11"/>
  <c r="N35" i="11"/>
  <c r="N9" i="4"/>
  <c r="N23" i="4" s="1"/>
  <c r="N37" i="4" s="1"/>
  <c r="N27" i="12"/>
  <c r="J37" i="3"/>
  <c r="J48" i="3"/>
  <c r="M44" i="11"/>
  <c r="M64" i="4" s="1"/>
  <c r="M65" i="4" s="1"/>
  <c r="M67" i="4" s="1"/>
  <c r="M40" i="11"/>
  <c r="M31" i="12"/>
  <c r="M42" i="11"/>
  <c r="P34" i="11"/>
  <c r="P23" i="12"/>
  <c r="C30" i="18"/>
  <c r="Q16" i="18"/>
  <c r="Q17" i="18" s="1"/>
  <c r="Q21" i="18" s="1"/>
  <c r="Q34" i="11"/>
  <c r="Q23" i="12"/>
  <c r="L47" i="11"/>
  <c r="L48" i="11" s="1"/>
  <c r="C31" i="18" l="1"/>
  <c r="C32" i="18" s="1"/>
  <c r="R23" i="18" s="1"/>
  <c r="Q23" i="18"/>
  <c r="N39" i="11"/>
  <c r="N29" i="12"/>
  <c r="N38" i="4"/>
  <c r="N39" i="4" s="1"/>
  <c r="M47" i="11"/>
  <c r="M48" i="11" s="1"/>
  <c r="K37" i="3"/>
  <c r="I98" i="12"/>
  <c r="I75" i="3"/>
  <c r="M43" i="3"/>
  <c r="L46" i="3"/>
  <c r="J73" i="3"/>
  <c r="L70" i="4"/>
  <c r="O44" i="11"/>
  <c r="O64" i="4" s="1"/>
  <c r="O65" i="4" s="1"/>
  <c r="O31" i="12"/>
  <c r="O40" i="11"/>
  <c r="O42" i="11"/>
  <c r="O47" i="11"/>
  <c r="O48" i="11" s="1"/>
  <c r="O38" i="4"/>
  <c r="O39" i="4" s="1"/>
  <c r="O29" i="12"/>
  <c r="K48" i="3"/>
  <c r="J38" i="3"/>
  <c r="J73" i="12" s="1"/>
  <c r="I90" i="12"/>
  <c r="I69" i="12"/>
  <c r="I66" i="12"/>
  <c r="I51" i="12"/>
  <c r="I95" i="12"/>
  <c r="I58" i="12"/>
  <c r="I81" i="12"/>
  <c r="I94" i="12"/>
  <c r="I57" i="12"/>
  <c r="I80" i="12"/>
  <c r="I49" i="12"/>
  <c r="I97" i="12"/>
  <c r="I39" i="12"/>
  <c r="I87" i="12"/>
  <c r="I59" i="12"/>
  <c r="I77" i="12"/>
  <c r="I72" i="12"/>
  <c r="I56" i="12"/>
  <c r="I40" i="12"/>
  <c r="I41" i="12"/>
  <c r="I44" i="12"/>
  <c r="I91" i="12"/>
  <c r="I47" i="12"/>
  <c r="I93" i="12"/>
  <c r="I46" i="12"/>
  <c r="I43" i="12"/>
  <c r="I96" i="12"/>
  <c r="I38" i="12"/>
  <c r="I79" i="12"/>
  <c r="I61" i="12"/>
  <c r="I63" i="12"/>
  <c r="I36" i="12"/>
  <c r="I37" i="12"/>
  <c r="I45" i="12"/>
  <c r="I78" i="12"/>
  <c r="I86" i="12"/>
  <c r="I83" i="12"/>
  <c r="I70" i="12"/>
  <c r="I54" i="12"/>
  <c r="I48" i="12"/>
  <c r="I60" i="12"/>
  <c r="I89" i="12"/>
  <c r="I92" i="12"/>
  <c r="I82" i="12"/>
  <c r="I53" i="12"/>
  <c r="I68" i="12"/>
  <c r="I55" i="12"/>
  <c r="I71" i="12"/>
  <c r="Q66" i="5"/>
  <c r="Q27" i="12"/>
  <c r="Q9" i="4"/>
  <c r="Q23" i="4" s="1"/>
  <c r="Q37" i="4" s="1"/>
  <c r="Q37" i="11"/>
  <c r="Q35" i="11"/>
  <c r="P66" i="5"/>
  <c r="P37" i="11"/>
  <c r="P39" i="11" s="1"/>
  <c r="P35" i="11"/>
  <c r="P27" i="12"/>
  <c r="P9" i="4"/>
  <c r="P23" i="4" s="1"/>
  <c r="P37" i="4" s="1"/>
  <c r="I62" i="12"/>
  <c r="J62" i="12" l="1"/>
  <c r="O67" i="4"/>
  <c r="P40" i="11"/>
  <c r="P44" i="11"/>
  <c r="P64" i="4" s="1"/>
  <c r="P65" i="4" s="1"/>
  <c r="P31" i="12"/>
  <c r="P42" i="11"/>
  <c r="K73" i="3"/>
  <c r="L48" i="3"/>
  <c r="L73" i="3" s="1"/>
  <c r="Q39" i="11"/>
  <c r="Q38" i="4"/>
  <c r="Q39" i="4" s="1"/>
  <c r="Q29" i="12"/>
  <c r="M46" i="3"/>
  <c r="K38" i="3"/>
  <c r="K73" i="12" s="1"/>
  <c r="N42" i="11"/>
  <c r="N40" i="11"/>
  <c r="N44" i="11"/>
  <c r="N64" i="4" s="1"/>
  <c r="N65" i="4" s="1"/>
  <c r="N31" i="12"/>
  <c r="P29" i="12"/>
  <c r="P38" i="4"/>
  <c r="P39" i="4" s="1"/>
  <c r="J70" i="12"/>
  <c r="J66" i="12"/>
  <c r="J54" i="12"/>
  <c r="J37" i="12"/>
  <c r="J91" i="12"/>
  <c r="J45" i="12"/>
  <c r="J81" i="12"/>
  <c r="J87" i="12"/>
  <c r="J53" i="12"/>
  <c r="J57" i="12"/>
  <c r="J49" i="12"/>
  <c r="J69" i="12"/>
  <c r="J39" i="12"/>
  <c r="J58" i="12"/>
  <c r="J60" i="12"/>
  <c r="J77" i="12"/>
  <c r="J63" i="12"/>
  <c r="J40" i="12"/>
  <c r="J51" i="12"/>
  <c r="J56" i="12"/>
  <c r="J79" i="12"/>
  <c r="J92" i="12"/>
  <c r="J93" i="12"/>
  <c r="J61" i="12"/>
  <c r="J78" i="12"/>
  <c r="J43" i="12"/>
  <c r="J83" i="12"/>
  <c r="J38" i="12"/>
  <c r="J48" i="12"/>
  <c r="J95" i="12"/>
  <c r="J80" i="12"/>
  <c r="J96" i="12"/>
  <c r="J94" i="12"/>
  <c r="J86" i="12"/>
  <c r="J90" i="12"/>
  <c r="J89" i="12"/>
  <c r="J41" i="12"/>
  <c r="J44" i="12"/>
  <c r="J82" i="12"/>
  <c r="J59" i="12"/>
  <c r="J97" i="12"/>
  <c r="J72" i="12"/>
  <c r="J36" i="12"/>
  <c r="J47" i="12"/>
  <c r="J46" i="12"/>
  <c r="J68" i="12"/>
  <c r="J55" i="12"/>
  <c r="J71" i="12"/>
  <c r="J75" i="3"/>
  <c r="J98" i="12"/>
  <c r="L30" i="3"/>
  <c r="M68" i="4"/>
  <c r="M70" i="4" s="1"/>
  <c r="N67" i="4"/>
  <c r="C35" i="18"/>
  <c r="C39" i="18" s="1"/>
  <c r="C41" i="18" s="1"/>
  <c r="N47" i="11" l="1"/>
  <c r="N48" i="11" s="1"/>
  <c r="N43" i="3"/>
  <c r="O43" i="3" s="1"/>
  <c r="K62" i="12"/>
  <c r="L37" i="3"/>
  <c r="F30" i="18"/>
  <c r="F31" i="18" s="1"/>
  <c r="I36" i="18"/>
  <c r="I28" i="18"/>
  <c r="M48" i="3"/>
  <c r="Q42" i="11"/>
  <c r="Q40" i="11"/>
  <c r="Q44" i="11"/>
  <c r="Q64" i="4" s="1"/>
  <c r="Q65" i="4" s="1"/>
  <c r="Q67" i="4" s="1"/>
  <c r="Q31" i="12"/>
  <c r="K75" i="3"/>
  <c r="K98" i="12"/>
  <c r="P47" i="11"/>
  <c r="P48" i="11" s="1"/>
  <c r="M30" i="3"/>
  <c r="N68" i="4"/>
  <c r="N70" i="4" s="1"/>
  <c r="P67" i="4"/>
  <c r="K89" i="12"/>
  <c r="K72" i="12"/>
  <c r="K41" i="12"/>
  <c r="K90" i="12"/>
  <c r="K48" i="12"/>
  <c r="K58" i="12"/>
  <c r="K91" i="12"/>
  <c r="K81" i="12"/>
  <c r="K46" i="12"/>
  <c r="K80" i="12"/>
  <c r="K49" i="12"/>
  <c r="K97" i="12"/>
  <c r="K94" i="12"/>
  <c r="K78" i="12"/>
  <c r="K36" i="12"/>
  <c r="K59" i="12"/>
  <c r="K83" i="12"/>
  <c r="K69" i="12"/>
  <c r="K70" i="12"/>
  <c r="K39" i="12"/>
  <c r="K40" i="12"/>
  <c r="K44" i="12"/>
  <c r="K92" i="12"/>
  <c r="K47" i="12"/>
  <c r="K82" i="12"/>
  <c r="K86" i="12"/>
  <c r="K43" i="12"/>
  <c r="K77" i="12"/>
  <c r="K66" i="12"/>
  <c r="K54" i="12"/>
  <c r="K37" i="12"/>
  <c r="K38" i="12"/>
  <c r="K60" i="12"/>
  <c r="K87" i="12"/>
  <c r="K61" i="12"/>
  <c r="K51" i="12"/>
  <c r="K95" i="12"/>
  <c r="K93" i="12"/>
  <c r="K53" i="12"/>
  <c r="K79" i="12"/>
  <c r="K96" i="12"/>
  <c r="K56" i="12"/>
  <c r="K63" i="12"/>
  <c r="K45" i="12"/>
  <c r="K57" i="12"/>
  <c r="K68" i="12"/>
  <c r="K71" i="12"/>
  <c r="K55" i="12"/>
  <c r="N46" i="3" l="1"/>
  <c r="N48" i="3" s="1"/>
  <c r="M73" i="3"/>
  <c r="M37" i="3"/>
  <c r="M38" i="3" s="1"/>
  <c r="M55" i="12" s="1"/>
  <c r="O46" i="3"/>
  <c r="P43" i="3"/>
  <c r="N30" i="3"/>
  <c r="O68" i="4"/>
  <c r="O70" i="4" s="1"/>
  <c r="Q47" i="11"/>
  <c r="Q48" i="11" s="1"/>
  <c r="L38" i="3"/>
  <c r="L62" i="12"/>
  <c r="N37" i="3" l="1"/>
  <c r="N38" i="3" s="1"/>
  <c r="N55" i="12" s="1"/>
  <c r="M62" i="12"/>
  <c r="M63" i="12"/>
  <c r="M38" i="12"/>
  <c r="M56" i="12"/>
  <c r="M39" i="12"/>
  <c r="M44" i="12"/>
  <c r="M91" i="12"/>
  <c r="M47" i="12"/>
  <c r="M61" i="12"/>
  <c r="M86" i="12"/>
  <c r="M53" i="12"/>
  <c r="M83" i="12"/>
  <c r="M66" i="12"/>
  <c r="M69" i="12"/>
  <c r="M79" i="12"/>
  <c r="M82" i="12"/>
  <c r="M78" i="12"/>
  <c r="M46" i="12"/>
  <c r="M70" i="12"/>
  <c r="M40" i="12"/>
  <c r="M41" i="12"/>
  <c r="M92" i="12"/>
  <c r="M94" i="12"/>
  <c r="M81" i="12"/>
  <c r="M57" i="12"/>
  <c r="M90" i="12"/>
  <c r="M89" i="12"/>
  <c r="M36" i="12"/>
  <c r="M51" i="12"/>
  <c r="M48" i="12"/>
  <c r="M45" i="12"/>
  <c r="M58" i="12"/>
  <c r="M60" i="12"/>
  <c r="M59" i="12"/>
  <c r="M43" i="12"/>
  <c r="M77" i="12"/>
  <c r="M97" i="12"/>
  <c r="M72" i="12"/>
  <c r="M37" i="12"/>
  <c r="M95" i="12"/>
  <c r="M87" i="12"/>
  <c r="M49" i="12"/>
  <c r="M54" i="12"/>
  <c r="M93" i="12"/>
  <c r="M80" i="12"/>
  <c r="M96" i="12"/>
  <c r="M68" i="12"/>
  <c r="M71" i="12"/>
  <c r="N73" i="3"/>
  <c r="N73" i="12"/>
  <c r="P46" i="3"/>
  <c r="Q43" i="3"/>
  <c r="M98" i="12"/>
  <c r="M75" i="3"/>
  <c r="L73" i="12"/>
  <c r="L69" i="12"/>
  <c r="L72" i="12"/>
  <c r="L51" i="12"/>
  <c r="L40" i="12"/>
  <c r="L44" i="12"/>
  <c r="L58" i="12"/>
  <c r="L87" i="12"/>
  <c r="L47" i="12"/>
  <c r="L46" i="12"/>
  <c r="L43" i="12"/>
  <c r="L96" i="12"/>
  <c r="L90" i="12"/>
  <c r="L54" i="12"/>
  <c r="L48" i="12"/>
  <c r="L92" i="12"/>
  <c r="L81" i="12"/>
  <c r="L59" i="12"/>
  <c r="L80" i="12"/>
  <c r="L77" i="12"/>
  <c r="L66" i="12"/>
  <c r="L70" i="12"/>
  <c r="L41" i="12"/>
  <c r="L38" i="12"/>
  <c r="L91" i="12"/>
  <c r="L94" i="12"/>
  <c r="L93" i="12"/>
  <c r="L60" i="12"/>
  <c r="L78" i="12"/>
  <c r="L53" i="12"/>
  <c r="L49" i="12"/>
  <c r="L56" i="12"/>
  <c r="L63" i="12"/>
  <c r="L39" i="12"/>
  <c r="L36" i="12"/>
  <c r="L79" i="12"/>
  <c r="L45" i="12"/>
  <c r="L82" i="12"/>
  <c r="L86" i="12"/>
  <c r="L57" i="12"/>
  <c r="L61" i="12"/>
  <c r="L83" i="12"/>
  <c r="L89" i="12"/>
  <c r="L37" i="12"/>
  <c r="L95" i="12"/>
  <c r="L97" i="12"/>
  <c r="L68" i="12"/>
  <c r="L71" i="12"/>
  <c r="L55" i="12"/>
  <c r="L75" i="3"/>
  <c r="L98" i="12"/>
  <c r="O30" i="3"/>
  <c r="P68" i="4"/>
  <c r="P70" i="4" s="1"/>
  <c r="O48" i="3"/>
  <c r="M73" i="12"/>
  <c r="O73" i="3" l="1"/>
  <c r="N75" i="3"/>
  <c r="N98" i="12"/>
  <c r="Q68" i="4"/>
  <c r="Q70" i="4" s="1"/>
  <c r="Q30" i="3" s="1"/>
  <c r="P30" i="3"/>
  <c r="Q46" i="3"/>
  <c r="O37" i="3"/>
  <c r="O38" i="3" s="1"/>
  <c r="O55" i="12" s="1"/>
  <c r="P48" i="3"/>
  <c r="N62" i="12"/>
  <c r="N70" i="12"/>
  <c r="N66" i="12"/>
  <c r="N56" i="12"/>
  <c r="N39" i="12"/>
  <c r="N95" i="12"/>
  <c r="N91" i="12"/>
  <c r="N60" i="12"/>
  <c r="N93" i="12"/>
  <c r="N61" i="12"/>
  <c r="N59" i="12"/>
  <c r="N77" i="12"/>
  <c r="N89" i="12"/>
  <c r="N51" i="12"/>
  <c r="N45" i="12"/>
  <c r="N47" i="12"/>
  <c r="N78" i="12"/>
  <c r="N97" i="12"/>
  <c r="N69" i="12"/>
  <c r="N92" i="12"/>
  <c r="N82" i="12"/>
  <c r="N57" i="12"/>
  <c r="N96" i="12"/>
  <c r="N63" i="12"/>
  <c r="N40" i="12"/>
  <c r="N54" i="12"/>
  <c r="N37" i="12"/>
  <c r="N58" i="12"/>
  <c r="N79" i="12"/>
  <c r="N87" i="12"/>
  <c r="N80" i="12"/>
  <c r="N86" i="12"/>
  <c r="N53" i="12"/>
  <c r="N83" i="12"/>
  <c r="N90" i="12"/>
  <c r="N38" i="12"/>
  <c r="N48" i="12"/>
  <c r="N44" i="12"/>
  <c r="N43" i="12"/>
  <c r="N49" i="12"/>
  <c r="N72" i="12"/>
  <c r="N36" i="12"/>
  <c r="N41" i="12"/>
  <c r="N94" i="12"/>
  <c r="N81" i="12"/>
  <c r="N46" i="12"/>
  <c r="N68" i="12"/>
  <c r="N71" i="12"/>
  <c r="O73" i="12" l="1"/>
  <c r="Q48" i="3"/>
  <c r="P73" i="12"/>
  <c r="P73" i="3"/>
  <c r="P37" i="3"/>
  <c r="P38" i="3" s="1"/>
  <c r="P55" i="12"/>
  <c r="O62" i="12"/>
  <c r="O56" i="12"/>
  <c r="O54" i="12"/>
  <c r="O37" i="12"/>
  <c r="O36" i="12"/>
  <c r="O95" i="12"/>
  <c r="O58" i="12"/>
  <c r="O82" i="12"/>
  <c r="O59" i="12"/>
  <c r="O86" i="12"/>
  <c r="O53" i="12"/>
  <c r="O83" i="12"/>
  <c r="O89" i="12"/>
  <c r="O70" i="12"/>
  <c r="O51" i="12"/>
  <c r="O63" i="12"/>
  <c r="O48" i="12"/>
  <c r="O94" i="12"/>
  <c r="O44" i="12"/>
  <c r="O81" i="12"/>
  <c r="O80" i="12"/>
  <c r="O43" i="12"/>
  <c r="O49" i="12"/>
  <c r="O97" i="12"/>
  <c r="O69" i="12"/>
  <c r="O72" i="12"/>
  <c r="O41" i="12"/>
  <c r="O40" i="12"/>
  <c r="O79" i="12"/>
  <c r="O91" i="12"/>
  <c r="O93" i="12"/>
  <c r="O60" i="12"/>
  <c r="O57" i="12"/>
  <c r="O78" i="12"/>
  <c r="O77" i="12"/>
  <c r="O66" i="12"/>
  <c r="O90" i="12"/>
  <c r="O39" i="12"/>
  <c r="O38" i="12"/>
  <c r="O45" i="12"/>
  <c r="O92" i="12"/>
  <c r="O87" i="12"/>
  <c r="O47" i="12"/>
  <c r="O61" i="12"/>
  <c r="O46" i="12"/>
  <c r="O96" i="12"/>
  <c r="O68" i="12"/>
  <c r="O71" i="12"/>
  <c r="Q37" i="3"/>
  <c r="Q38" i="3" s="1"/>
  <c r="Q55" i="12" s="1"/>
  <c r="O98" i="12"/>
  <c r="O75" i="3"/>
  <c r="Q71" i="12" l="1"/>
  <c r="P62" i="12"/>
  <c r="P69" i="12"/>
  <c r="P51" i="12"/>
  <c r="P95" i="12"/>
  <c r="P86" i="12"/>
  <c r="P77" i="12"/>
  <c r="P56" i="12"/>
  <c r="P63" i="12"/>
  <c r="P36" i="12"/>
  <c r="P91" i="12"/>
  <c r="P60" i="12"/>
  <c r="P61" i="12"/>
  <c r="P78" i="12"/>
  <c r="P83" i="12"/>
  <c r="P89" i="12"/>
  <c r="P90" i="12"/>
  <c r="P54" i="12"/>
  <c r="P37" i="12"/>
  <c r="P48" i="12"/>
  <c r="P92" i="12"/>
  <c r="P79" i="12"/>
  <c r="P82" i="12"/>
  <c r="P80" i="12"/>
  <c r="P43" i="12"/>
  <c r="P96" i="12"/>
  <c r="P97" i="12"/>
  <c r="P72" i="12"/>
  <c r="P40" i="12"/>
  <c r="P44" i="12"/>
  <c r="P93" i="12"/>
  <c r="P47" i="12"/>
  <c r="P46" i="12"/>
  <c r="P66" i="12"/>
  <c r="P70" i="12"/>
  <c r="P41" i="12"/>
  <c r="P38" i="12"/>
  <c r="P45" i="12"/>
  <c r="P58" i="12"/>
  <c r="P87" i="12"/>
  <c r="P81" i="12"/>
  <c r="P57" i="12"/>
  <c r="P53" i="12"/>
  <c r="P49" i="12"/>
  <c r="P39" i="12"/>
  <c r="P94" i="12"/>
  <c r="P59" i="12"/>
  <c r="P68" i="12"/>
  <c r="P71" i="12"/>
  <c r="Q73" i="3"/>
  <c r="Q73" i="12"/>
  <c r="P75" i="3"/>
  <c r="P98" i="12"/>
  <c r="Q62" i="12"/>
  <c r="Q70" i="12"/>
  <c r="Q41" i="12"/>
  <c r="Q69" i="12"/>
  <c r="Q39" i="12"/>
  <c r="Q58" i="12"/>
  <c r="Q95" i="12"/>
  <c r="Q47" i="12"/>
  <c r="Q93" i="12"/>
  <c r="Q43" i="12"/>
  <c r="Q90" i="12"/>
  <c r="Q56" i="12"/>
  <c r="Q38" i="12"/>
  <c r="Q66" i="12"/>
  <c r="Q48" i="12"/>
  <c r="Q45" i="12"/>
  <c r="Q87" i="12"/>
  <c r="Q78" i="12"/>
  <c r="Q46" i="12"/>
  <c r="Q49" i="12"/>
  <c r="Q97" i="12"/>
  <c r="Q72" i="12"/>
  <c r="Q51" i="12"/>
  <c r="Q36" i="12"/>
  <c r="Q54" i="12"/>
  <c r="Q91" i="12"/>
  <c r="Q94" i="12"/>
  <c r="Q81" i="12"/>
  <c r="Q82" i="12"/>
  <c r="Q57" i="12"/>
  <c r="Q86" i="12"/>
  <c r="Q77" i="12"/>
  <c r="Q53" i="12"/>
  <c r="Q96" i="12"/>
  <c r="Q63" i="12"/>
  <c r="Q40" i="12"/>
  <c r="Q89" i="12"/>
  <c r="Q37" i="12"/>
  <c r="Q44" i="12"/>
  <c r="Q92" i="12"/>
  <c r="Q60" i="12"/>
  <c r="Q80" i="12"/>
  <c r="Q61" i="12"/>
  <c r="Q59" i="12"/>
  <c r="Q83" i="12"/>
  <c r="Q79" i="12"/>
  <c r="Q68" i="12"/>
  <c r="Q98" i="12" l="1"/>
  <c r="Q75" i="3"/>
  <c r="C7" i="3" s="1"/>
</calcChain>
</file>

<file path=xl/sharedStrings.xml><?xml version="1.0" encoding="utf-8"?>
<sst xmlns="http://schemas.openxmlformats.org/spreadsheetml/2006/main" count="743" uniqueCount="413">
  <si>
    <t>Income Statement</t>
  </si>
  <si>
    <t>Income</t>
  </si>
  <si>
    <t>Revenue from operations</t>
  </si>
  <si>
    <t>Other income</t>
  </si>
  <si>
    <t>Total Income</t>
  </si>
  <si>
    <t>Expenses</t>
  </si>
  <si>
    <t>Cost of materials consumed</t>
  </si>
  <si>
    <t>Purchases of stock-in-trade</t>
  </si>
  <si>
    <t>Employee benefit expense</t>
  </si>
  <si>
    <t>Finance costs</t>
  </si>
  <si>
    <t>Depreciation and amortization expense</t>
  </si>
  <si>
    <t>Other expenses</t>
  </si>
  <si>
    <t>Total expenses</t>
  </si>
  <si>
    <t>Profit before exceptional items and tax</t>
  </si>
  <si>
    <t>Exceptional items</t>
  </si>
  <si>
    <t>Profit before tax</t>
  </si>
  <si>
    <t>Income tax expense</t>
  </si>
  <si>
    <t>Tax expense for the current year</t>
  </si>
  <si>
    <t>Profit for the year (A)</t>
  </si>
  <si>
    <t xml:space="preserve">Share of net gain/(loss) of joint ventures </t>
  </si>
  <si>
    <t>Changes in inventories of finished goods, stock-in-trade and work-in progress</t>
  </si>
  <si>
    <t>Balance Sheet</t>
  </si>
  <si>
    <t>ASSETS</t>
  </si>
  <si>
    <t>Non-current assets</t>
  </si>
  <si>
    <t>Property, plant and equipment</t>
  </si>
  <si>
    <t>Capital work-in-progress</t>
  </si>
  <si>
    <t>Right of use assets</t>
  </si>
  <si>
    <t>Investment properties</t>
  </si>
  <si>
    <t>Goodwill</t>
  </si>
  <si>
    <t>Other intangible assets</t>
  </si>
  <si>
    <t>Financial assets</t>
  </si>
  <si>
    <t>(i) Investments</t>
  </si>
  <si>
    <t>(ii) Loans</t>
  </si>
  <si>
    <t>(iii) Other financial assets</t>
  </si>
  <si>
    <t>Deferred tax assets (net)</t>
  </si>
  <si>
    <t>Non current tax assets (net)</t>
  </si>
  <si>
    <t>Other non-current assets</t>
  </si>
  <si>
    <t>Total non-current assets</t>
  </si>
  <si>
    <t>Current assets</t>
  </si>
  <si>
    <t>Inventories</t>
  </si>
  <si>
    <t>(ii) Trade receivables</t>
  </si>
  <si>
    <t>(iii) Cash and cash equivalents</t>
  </si>
  <si>
    <t>(iv) Bank balances other than (iii) above</t>
  </si>
  <si>
    <t>(v) Loans</t>
  </si>
  <si>
    <t>(vi) Other financial assets</t>
  </si>
  <si>
    <t>Current tax asset (net)</t>
  </si>
  <si>
    <t>Other current assets</t>
  </si>
  <si>
    <t>Assets classified as held for sale</t>
  </si>
  <si>
    <t>Total current assets</t>
  </si>
  <si>
    <t>Total assets</t>
  </si>
  <si>
    <t>EQUITY AND LIABILITIES</t>
  </si>
  <si>
    <t>Equity</t>
  </si>
  <si>
    <t>Equity share capital</t>
  </si>
  <si>
    <t>Share application money pending allotment</t>
  </si>
  <si>
    <t>Other equity</t>
  </si>
  <si>
    <t>Reserves and surplus</t>
  </si>
  <si>
    <t>Other reserves</t>
  </si>
  <si>
    <t>Equity attributable to owners</t>
  </si>
  <si>
    <t>Non-controlling interests</t>
  </si>
  <si>
    <t>Total equity</t>
  </si>
  <si>
    <t>Liabilities</t>
  </si>
  <si>
    <t>Non-current liabilities</t>
  </si>
  <si>
    <t>Financial liabilities</t>
  </si>
  <si>
    <t>i) Borrowings</t>
  </si>
  <si>
    <t>ii) Lease liabilities</t>
  </si>
  <si>
    <t>iii) Other financial liabilities</t>
  </si>
  <si>
    <t>Provisions</t>
  </si>
  <si>
    <t>Employee benefit obligations (net)</t>
  </si>
  <si>
    <t>Deferred tax liabilities (net)</t>
  </si>
  <si>
    <t>Total non-current liabilities</t>
  </si>
  <si>
    <t>Current liabilities</t>
  </si>
  <si>
    <t>(i) Borrowings</t>
  </si>
  <si>
    <t>(ii) Lease liabilities</t>
  </si>
  <si>
    <t>(iii) Trade payables</t>
  </si>
  <si>
    <t>Total outstanding dues of micro enterprises and small enterprises</t>
  </si>
  <si>
    <t>Total outstanding dues of creditors other than micro enterprises and small enterprises</t>
  </si>
  <si>
    <t>(iv) Other financial liabilities</t>
  </si>
  <si>
    <t>Other current liabilities</t>
  </si>
  <si>
    <t>Current tax liabilities (net)</t>
  </si>
  <si>
    <t>Total current liabilities</t>
  </si>
  <si>
    <t>Total liabilities</t>
  </si>
  <si>
    <t>Total equity and liabilities</t>
  </si>
  <si>
    <t>PROFIT BEFORE INCOME TAX</t>
  </si>
  <si>
    <t>Adjustments for:</t>
  </si>
  <si>
    <t>Depreciation and amortization expense/impairment</t>
  </si>
  <si>
    <t>Share of net loss /(gain) of joint ventures accounted for using the equity method</t>
  </si>
  <si>
    <t>Interest income from financial assets</t>
  </si>
  <si>
    <t>(Gain)/ Loss on disposal of property, plant and equipment (NET)</t>
  </si>
  <si>
    <t>Net fair value changes financial assets (including net gain on sale)</t>
  </si>
  <si>
    <t>Employees stock option charge</t>
  </si>
  <si>
    <t>Impairment of Non-current assets and Inventory (refer note 39)</t>
  </si>
  <si>
    <t>Fair valuation gain on existing stake of Joint venture (refer note 42)/FA and Invstmnt</t>
  </si>
  <si>
    <t>Bad debt written off and Provision for doubtful debts</t>
  </si>
  <si>
    <t>Stock appreciation rights expense charge</t>
  </si>
  <si>
    <t>Sum of Adjustments</t>
  </si>
  <si>
    <t>Sub total of Adjustment</t>
  </si>
  <si>
    <t>Change in operating assets and liabilities:</t>
  </si>
  <si>
    <t>(Increase) / Decrease in inventories</t>
  </si>
  <si>
    <t>(Increase) in trade receivables/decrease</t>
  </si>
  <si>
    <t>(Increase) / Decrease in other financials assets</t>
  </si>
  <si>
    <t>(Increase) in other non-current assets/decrease</t>
  </si>
  <si>
    <t>(Increase) in other current assets/decrease</t>
  </si>
  <si>
    <t>(Increase) / Decrease in loans and other assets</t>
  </si>
  <si>
    <t>(Decrease)/ Increase in provisions</t>
  </si>
  <si>
    <t>Increase in employee benefit obligations/(decrease)</t>
  </si>
  <si>
    <t>(Decrease) in other current liabilities/increase</t>
  </si>
  <si>
    <t>Increase in trade payables/(decrease)</t>
  </si>
  <si>
    <t>Increase / (Decrease) in other financial liabilities</t>
  </si>
  <si>
    <t>Changes in working capital</t>
  </si>
  <si>
    <t>Cash generated from operations</t>
  </si>
  <si>
    <t>Income taxes paid (net of refunds)</t>
  </si>
  <si>
    <t>Net cash generated from operating activities (A)</t>
  </si>
  <si>
    <t>Payment for property, plant and equipment and intangible assets</t>
  </si>
  <si>
    <t>Acquisition of subsidiary under business combination net of cash (refer note 42)</t>
  </si>
  <si>
    <t>Proceeds from sale of property, plant and equipment</t>
  </si>
  <si>
    <t>(Payment for)/ proceeds from purchase / sale of investments (net)</t>
  </si>
  <si>
    <t>Proceeds from sale of investments in Joint venture</t>
  </si>
  <si>
    <t>Other bank balance taken over pursuant to Business combination</t>
  </si>
  <si>
    <t>(Purchase) / redemption of Inter-corporate deposits (net)</t>
  </si>
  <si>
    <t>Investment in bank deposits (having original maturity more than 3 months) (net)</t>
  </si>
  <si>
    <t>Interest received</t>
  </si>
  <si>
    <t>Net cash generated / (utilised) in investing activities (B)</t>
  </si>
  <si>
    <t>Proceeds from issuance of share capital</t>
  </si>
  <si>
    <t>(Purchase)/ sale of investments by WEOMA trust (net)</t>
  </si>
  <si>
    <t>Other borrowings (repaid) / taken (net)</t>
  </si>
  <si>
    <t>Dividend paid to minority Interest</t>
  </si>
  <si>
    <t>Acquisition of non controlling interest</t>
  </si>
  <si>
    <t>Interest paid</t>
  </si>
  <si>
    <t>Repayment of principal portion of lease liabilities</t>
  </si>
  <si>
    <t>Interest on lease liabilities</t>
  </si>
  <si>
    <t>Dividends paid to company's shareholders</t>
  </si>
  <si>
    <t>Net cash utilised in financing activities (C)</t>
  </si>
  <si>
    <t>Purchase of non current investments</t>
  </si>
  <si>
    <t>Proceeds from sale of non current investments</t>
  </si>
  <si>
    <t>SEGMENTED REVENUES</t>
  </si>
  <si>
    <t>India</t>
  </si>
  <si>
    <t>Bangladesh</t>
  </si>
  <si>
    <t>Vietnam</t>
  </si>
  <si>
    <t>Others</t>
  </si>
  <si>
    <t>Particulars</t>
  </si>
  <si>
    <t>Edible Oils</t>
  </si>
  <si>
    <t>Hair oils</t>
  </si>
  <si>
    <t>Personal care</t>
  </si>
  <si>
    <t>Total</t>
  </si>
  <si>
    <t>Revenue</t>
  </si>
  <si>
    <t>% of Revenue</t>
  </si>
  <si>
    <t>Y-O-Y Growth</t>
  </si>
  <si>
    <t>Scenario</t>
  </si>
  <si>
    <t>Best</t>
  </si>
  <si>
    <t>Base</t>
  </si>
  <si>
    <t>Worst</t>
  </si>
  <si>
    <t>Forecasted growth</t>
  </si>
  <si>
    <t>COGS</t>
  </si>
  <si>
    <t>Tax</t>
  </si>
  <si>
    <t>Days of Operation</t>
  </si>
  <si>
    <t>Trade receivables</t>
  </si>
  <si>
    <t>Trade Payables</t>
  </si>
  <si>
    <t>KPI</t>
  </si>
  <si>
    <t>DIO</t>
  </si>
  <si>
    <t>DSO</t>
  </si>
  <si>
    <t>DPO</t>
  </si>
  <si>
    <t>Debt Opening</t>
  </si>
  <si>
    <t>Issuance (Repayments)</t>
  </si>
  <si>
    <t>Debt Closing</t>
  </si>
  <si>
    <t>Interest Expenses</t>
  </si>
  <si>
    <t>Opening gross carrying amount</t>
  </si>
  <si>
    <t>Property, Plant and Equipment</t>
  </si>
  <si>
    <t>Acqusitions through business combinations</t>
  </si>
  <si>
    <t>Additions</t>
  </si>
  <si>
    <t>Disposals / transfers</t>
  </si>
  <si>
    <t>Exchange Differences</t>
  </si>
  <si>
    <t>Closing gross carrying amount</t>
  </si>
  <si>
    <t>Accumulated depreciation</t>
  </si>
  <si>
    <t>Opening accumulated depreciation</t>
  </si>
  <si>
    <t>Depreciation charge during the year</t>
  </si>
  <si>
    <t>Adjustments (refer note iii)</t>
  </si>
  <si>
    <t>Closing accumulated depreciation</t>
  </si>
  <si>
    <t>Closing impairment loss</t>
  </si>
  <si>
    <t>Net carrying amount</t>
  </si>
  <si>
    <t>Adjustments</t>
  </si>
  <si>
    <t>Right of use Assets</t>
  </si>
  <si>
    <t>Dep</t>
  </si>
  <si>
    <t>Net Block</t>
  </si>
  <si>
    <t>Increse In fixed Assets</t>
  </si>
  <si>
    <t>Capital Work in Progress</t>
  </si>
  <si>
    <t>CAPEX</t>
  </si>
  <si>
    <t>Interest rate</t>
  </si>
  <si>
    <t>Gross Profit</t>
  </si>
  <si>
    <t>Gross Margin</t>
  </si>
  <si>
    <t>Salaries &amp; Benefits</t>
  </si>
  <si>
    <t>S&amp;G Expenses</t>
  </si>
  <si>
    <t>EBITDA</t>
  </si>
  <si>
    <t>EBITDA Margin</t>
  </si>
  <si>
    <t>Dep &amp; Amortization</t>
  </si>
  <si>
    <t>EBIT</t>
  </si>
  <si>
    <t>EBIT Margin</t>
  </si>
  <si>
    <t>Interest Cost</t>
  </si>
  <si>
    <t>Other Income</t>
  </si>
  <si>
    <t>Profit before share of profit/ (loss) of associates and tax</t>
  </si>
  <si>
    <t>Share in profit/(loss) of associates (net of tax)</t>
  </si>
  <si>
    <t>Exceptional item</t>
  </si>
  <si>
    <t>EBT</t>
  </si>
  <si>
    <t>EBT Margin</t>
  </si>
  <si>
    <t>Net Profit</t>
  </si>
  <si>
    <t>Net Profit Margin</t>
  </si>
  <si>
    <t>EPS in Rs.</t>
  </si>
  <si>
    <t>Dividend</t>
  </si>
  <si>
    <t>Dividend Payout %</t>
  </si>
  <si>
    <t>Retained Earning</t>
  </si>
  <si>
    <t>Retained %</t>
  </si>
  <si>
    <t>Q</t>
  </si>
  <si>
    <t>CASH FLOW FROM FINANCING ACTIVITIES</t>
  </si>
  <si>
    <t>Check</t>
  </si>
  <si>
    <t>Master Check</t>
  </si>
  <si>
    <t>NET INCREASE / (DECREASE) IN CASH &amp; CASH EQUIVALENTS (A+B+C+D)</t>
  </si>
  <si>
    <t>Effect of exchange difference on translation of foreign currency (D)</t>
  </si>
  <si>
    <t>Cash and cash equivalents at the beginning of the financial year</t>
  </si>
  <si>
    <t>Cash and cash equivalents at end of the year (Refer note 6 (d))</t>
  </si>
  <si>
    <t xml:space="preserve">Cash and cash equivalents acquired on Business Combination </t>
  </si>
  <si>
    <t>CASH FLOW FROM INVESTING ACTIVITIES</t>
  </si>
  <si>
    <t>CASH FLOW FROM OPERATING ACTIVITIES</t>
  </si>
  <si>
    <t>Date</t>
  </si>
  <si>
    <t>Close</t>
  </si>
  <si>
    <t>Year</t>
  </si>
  <si>
    <t>RRI</t>
  </si>
  <si>
    <t>Sensex</t>
  </si>
  <si>
    <t>%</t>
  </si>
  <si>
    <t>Change</t>
  </si>
  <si>
    <t>Stock Closing Price</t>
  </si>
  <si>
    <t>Closing Price</t>
  </si>
  <si>
    <t xml:space="preserve">% </t>
  </si>
  <si>
    <t xml:space="preserve"> Change</t>
  </si>
  <si>
    <t>Beta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</si>
  <si>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</si>
  <si>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</si>
  <si>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</si>
  <si>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</si>
  <si>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</si>
  <si>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</si>
  <si>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</si>
  <si>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</si>
  <si>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</si>
  <si>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</si>
  <si>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</si>
  <si>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</si>
  <si>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</si>
  <si>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</si>
  <si>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</si>
  <si>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</si>
  <si>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</si>
  <si>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</si>
  <si>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</si>
  <si>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</si>
  <si>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</si>
  <si>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</si>
  <si>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</si>
  <si>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</si>
  <si>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Regression Method</t>
  </si>
  <si>
    <t xml:space="preserve">Company </t>
  </si>
  <si>
    <t>Company Name</t>
  </si>
  <si>
    <t>Ticker</t>
  </si>
  <si>
    <t>S.No.</t>
  </si>
  <si>
    <t>Name</t>
  </si>
  <si>
    <t>EV / EBITDA</t>
  </si>
  <si>
    <t>P/E</t>
  </si>
  <si>
    <t>Marico</t>
  </si>
  <si>
    <t>Patanjali Foods</t>
  </si>
  <si>
    <t>AWL Agri Busine.</t>
  </si>
  <si>
    <t>CMP Rs.</t>
  </si>
  <si>
    <t>No. Eq. Shares Cr.</t>
  </si>
  <si>
    <t>Debt Rs.Cr.</t>
  </si>
  <si>
    <t>Cash Rs.Cr.</t>
  </si>
  <si>
    <t>NP Ann Rs.Cr.</t>
  </si>
  <si>
    <t>Sales Ann Rs.Cr.</t>
  </si>
  <si>
    <t>Dep Ann Rs.Cr.</t>
  </si>
  <si>
    <t>EBIT Ann Rs.Cr.</t>
  </si>
  <si>
    <t>EV Rs.Cr.</t>
  </si>
  <si>
    <t>Tax 12M Rs.Cr.</t>
  </si>
  <si>
    <t>Hind. Unilever</t>
  </si>
  <si>
    <t>Nestle India</t>
  </si>
  <si>
    <t>Britannia Inds.</t>
  </si>
  <si>
    <t>Godrej Consumer</t>
  </si>
  <si>
    <t>Tata Consumer</t>
  </si>
  <si>
    <t>Dabur India</t>
  </si>
  <si>
    <t>Emami</t>
  </si>
  <si>
    <t>Bikaji Foods</t>
  </si>
  <si>
    <t xml:space="preserve">Mar Cap Rs.Cr. </t>
  </si>
  <si>
    <t>Market Data</t>
  </si>
  <si>
    <t>Price</t>
  </si>
  <si>
    <t>Share</t>
  </si>
  <si>
    <t>Market Cap</t>
  </si>
  <si>
    <t>Debt</t>
  </si>
  <si>
    <t xml:space="preserve">Cash </t>
  </si>
  <si>
    <t>EV</t>
  </si>
  <si>
    <t>(/share)</t>
  </si>
  <si>
    <t>(Cr.)</t>
  </si>
  <si>
    <t>₹  Cr.</t>
  </si>
  <si>
    <t>Financial data</t>
  </si>
  <si>
    <t>Sales</t>
  </si>
  <si>
    <t>Earnings</t>
  </si>
  <si>
    <t>Valution</t>
  </si>
  <si>
    <t>EV/Sales</t>
  </si>
  <si>
    <t>EV/EBITDA</t>
  </si>
  <si>
    <t>x</t>
  </si>
  <si>
    <t>High</t>
  </si>
  <si>
    <t>75th Percentile</t>
  </si>
  <si>
    <t>Average</t>
  </si>
  <si>
    <t>Median</t>
  </si>
  <si>
    <t>25th Percentile</t>
  </si>
  <si>
    <t>Low</t>
  </si>
  <si>
    <t>Metric</t>
  </si>
  <si>
    <t>Comps</t>
  </si>
  <si>
    <t>Net Debt</t>
  </si>
  <si>
    <t>Equity Value</t>
  </si>
  <si>
    <t xml:space="preserve">Share Price </t>
  </si>
  <si>
    <t>EV/REVENUE</t>
  </si>
  <si>
    <t>Stock Value</t>
  </si>
  <si>
    <t>Comparables Companies Beta</t>
  </si>
  <si>
    <t>equity Value</t>
  </si>
  <si>
    <t>Total Debt</t>
  </si>
  <si>
    <t xml:space="preserve">Debt/Equity </t>
  </si>
  <si>
    <t>Debt/Capital</t>
  </si>
  <si>
    <t>Tax rate</t>
  </si>
  <si>
    <t>Levered Beta</t>
  </si>
  <si>
    <t>Unlevered Beta</t>
  </si>
  <si>
    <t>Target Capital Structure</t>
  </si>
  <si>
    <t>Proportion of Debt</t>
  </si>
  <si>
    <t>Proportion of Equity</t>
  </si>
  <si>
    <t>Current Capital structure</t>
  </si>
  <si>
    <t>Market cap</t>
  </si>
  <si>
    <t>Debt/equity</t>
  </si>
  <si>
    <t>Cost of debt</t>
  </si>
  <si>
    <t>Pre-tax cost of debt</t>
  </si>
  <si>
    <t>tax rate</t>
  </si>
  <si>
    <t>After -Tax cost of debt</t>
  </si>
  <si>
    <t>Cost of equity</t>
  </si>
  <si>
    <t>Risk free Rate</t>
  </si>
  <si>
    <t>Equity Market Return</t>
  </si>
  <si>
    <t>Equity risk premium</t>
  </si>
  <si>
    <t>Levered Equity Beta</t>
  </si>
  <si>
    <t>WACC</t>
  </si>
  <si>
    <t>Assumptions</t>
  </si>
  <si>
    <t>Transaction Date</t>
  </si>
  <si>
    <t>Fiscal Year End</t>
  </si>
  <si>
    <t>Risk Free Rate</t>
  </si>
  <si>
    <t>Tax Rate</t>
  </si>
  <si>
    <t>EV/EBITDA Multiple</t>
  </si>
  <si>
    <t>Perpetual Growth Rate</t>
  </si>
  <si>
    <t>Discount Rate</t>
  </si>
  <si>
    <t>Shares Outstanding(Cr.)</t>
  </si>
  <si>
    <t>Current market price</t>
  </si>
  <si>
    <t>Market Cap (Cr.)</t>
  </si>
  <si>
    <t>DATE</t>
  </si>
  <si>
    <t>Time Periods</t>
  </si>
  <si>
    <t>Year Frac</t>
  </si>
  <si>
    <t>Entry</t>
  </si>
  <si>
    <t>Exit</t>
  </si>
  <si>
    <t>EBIT/ Operating Income</t>
  </si>
  <si>
    <t>NOPAT</t>
  </si>
  <si>
    <t>Add: Depreciation &amp; Amortization</t>
  </si>
  <si>
    <t>Less: CapEx</t>
  </si>
  <si>
    <t>Less: Change in Working Capital</t>
  </si>
  <si>
    <t>Unlevered FCFF</t>
  </si>
  <si>
    <t>Transaction FCFF</t>
  </si>
  <si>
    <t>Terminal Value</t>
  </si>
  <si>
    <t>Prep.Growth</t>
  </si>
  <si>
    <t>Intrinsic Value</t>
  </si>
  <si>
    <t>Enterpreise Value</t>
  </si>
  <si>
    <t>Plus: Cash &amp; Cash equivalent</t>
  </si>
  <si>
    <t>Less- Debt</t>
  </si>
  <si>
    <t>Less-non- controlling interest</t>
  </si>
  <si>
    <t>Equity value/share</t>
  </si>
  <si>
    <t>Rate of Return</t>
  </si>
  <si>
    <t>Current price</t>
  </si>
  <si>
    <t>Target Price</t>
  </si>
  <si>
    <t>Target Price Upside</t>
  </si>
  <si>
    <t>Market Value</t>
  </si>
  <si>
    <t>plus- Debt</t>
  </si>
  <si>
    <t>Plus - Non- controlling interest</t>
  </si>
  <si>
    <t>Less- cash &amp; cash Equivalent</t>
  </si>
  <si>
    <t>Sensitivity - Intrinsic Value (Rs/share)</t>
  </si>
  <si>
    <t>Exit Multiple</t>
  </si>
  <si>
    <t>Color Code</t>
  </si>
  <si>
    <t>Blue color</t>
  </si>
  <si>
    <t>Hardcoded Figures</t>
  </si>
  <si>
    <t>Black color</t>
  </si>
  <si>
    <t>Calculated/Formula Figures</t>
  </si>
  <si>
    <t>Green color</t>
  </si>
  <si>
    <t>Linked sheet</t>
  </si>
  <si>
    <t>Particular</t>
  </si>
  <si>
    <t>All Figure In INR Cr.</t>
  </si>
  <si>
    <t>Common Size Statement</t>
  </si>
  <si>
    <t>CashFlow Statement</t>
  </si>
  <si>
    <t>Balance Sheet Forecast</t>
  </si>
  <si>
    <t>Fixed Asset Schedules</t>
  </si>
  <si>
    <t>Increse In CWP</t>
  </si>
  <si>
    <t>Revenue Build_Up</t>
  </si>
  <si>
    <t>Growth</t>
  </si>
  <si>
    <t>Cost Build_Up</t>
  </si>
  <si>
    <t>OPEX</t>
  </si>
  <si>
    <t>Debt Schedules</t>
  </si>
  <si>
    <t>Working Capital</t>
  </si>
  <si>
    <t>Equity Marekt Return</t>
  </si>
  <si>
    <t>Comparable Valuation</t>
  </si>
  <si>
    <t>Comps Data</t>
  </si>
  <si>
    <t>DCF Analysis</t>
  </si>
  <si>
    <t>Football Field Analysis</t>
  </si>
  <si>
    <t>Football Field Data</t>
  </si>
  <si>
    <t>Comps Median</t>
  </si>
  <si>
    <t>Comps Average</t>
  </si>
  <si>
    <t>DCF</t>
  </si>
  <si>
    <t>52-Week Hi/LO</t>
  </si>
  <si>
    <t>Market Consenses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</si>
</sst>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3">
    <numFmt numFmtId="164" formatCode="#,##0;\(#,##0\);"/>
    <numFmt numFmtId="165" formatCode="#,##0.00;\(#,##0.00\);&quot;-&quot;"/>
    <numFmt numFmtId="166" formatCode="#,##0;\(#,##0\);&quot;-&quot;"/>
    <numFmt numFmtId="167" formatCode="0.0%"/>
    <numFmt numFmtId="168" formatCode="0.0"/>
    <numFmt numFmtId="169" formatCode="0.00&quot;x&quot;"/>
    <numFmt numFmtId="170" formatCode="&quot;₹&quot;\ #,##0"/>
    <numFmt numFmtId="171" formatCode="&quot;₹&quot;\ #,##0.00"/>
    <numFmt numFmtId="172" formatCode="&quot;₹&quot;\ #,##0.0"/>
    <numFmt numFmtId="173" formatCode="&quot;₹&quot;\ #,##0;\(&quot;₹&quot;\ #,##0\);\-"/>
    <numFmt numFmtId="174" formatCode="0&quot;A&quot;"/>
    <numFmt numFmtId="175" formatCode="0&quot;E&quot;"/>
    <numFmt numFmtId="176" formatCode="0\ &quot;Days&quot;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Book Antiqua"/>
      <family val="1"/>
    </font>
    <font>
      <sz val="11"/>
      <color theme="1"/>
      <name val="Book Antiqua"/>
      <family val="1"/>
    </font>
    <font>
      <sz val="11"/>
      <name val="Book Antiqua"/>
      <family val="1"/>
    </font>
    <font>
      <sz val="12"/>
      <color theme="1"/>
      <name val="Book Antiqua"/>
      <family val="1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1"/>
      <color theme="1"/>
      <name val="Book Antiqua"/>
      <family val="1"/>
    </font>
    <font>
      <i/>
      <sz val="11"/>
      <color theme="2" tint="-0.249977111117893"/>
      <name val="Calibri"/>
      <family val="2"/>
      <scheme val="minor"/>
    </font>
    <font>
      <b/>
      <sz val="11"/>
      <color rgb="FFFFFF00"/>
      <name val="Calibri"/>
      <family val="2"/>
      <scheme val="minor"/>
    </font>
    <font>
      <sz val="11"/>
      <color rgb="FF0070C0"/>
      <name val="Book Antiqua"/>
      <family val="1"/>
    </font>
    <font>
      <sz val="11"/>
      <color rgb="FF0070C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B050"/>
      <name val="Book Antiqua"/>
      <family val="1"/>
    </font>
    <font>
      <b/>
      <sz val="11"/>
      <color rgb="FF00B050"/>
      <name val="Calibri"/>
      <family val="2"/>
      <scheme val="minor"/>
    </font>
    <font>
      <sz val="12"/>
      <color rgb="FF0070C0"/>
      <name val="Book Antiqua"/>
      <family val="1"/>
    </font>
    <font>
      <b/>
      <sz val="11"/>
      <color rgb="FF0070C0"/>
      <name val="Book Antiqua"/>
      <family val="1"/>
    </font>
    <font>
      <b/>
      <sz val="11"/>
      <color rgb="FF0070C0"/>
      <name val="Calibri"/>
      <family val="2"/>
      <scheme val="minor"/>
    </font>
    <font>
      <b/>
      <i/>
      <u/>
      <sz val="11"/>
      <color theme="1"/>
      <name val="Book Antiqua"/>
      <family val="1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mbria"/>
      <family val="1"/>
    </font>
    <font>
      <i/>
      <sz val="11"/>
      <name val="Cambria"/>
      <family val="1"/>
    </font>
    <font>
      <b/>
      <i/>
      <sz val="11"/>
      <name val="Cambria"/>
      <family val="1"/>
    </font>
    <font>
      <b/>
      <sz val="11"/>
      <color theme="0"/>
      <name val="Times New Roman"/>
      <family val="1"/>
    </font>
    <font>
      <b/>
      <sz val="11"/>
      <color theme="1"/>
      <name val="Times New Roman"/>
      <family val="1"/>
    </font>
    <font>
      <i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00B050"/>
      <name val="Calibri"/>
      <family val="2"/>
      <scheme val="minor"/>
    </font>
    <font>
      <i/>
      <sz val="9"/>
      <color rgb="FF0070C0"/>
      <name val="Calibri"/>
      <family val="2"/>
      <scheme val="minor"/>
    </font>
    <font>
      <i/>
      <sz val="9"/>
      <name val="Cambria"/>
      <family val="1"/>
    </font>
    <font>
      <i/>
      <sz val="11"/>
      <color theme="4" tint="0.59999389629810485"/>
      <name val="Calibri"/>
      <family val="2"/>
      <scheme val="minor"/>
    </font>
    <font>
      <b/>
      <sz val="11"/>
      <color theme="4" tint="0.59999389629810485"/>
      <name val="Calibri"/>
      <family val="2"/>
      <scheme val="minor"/>
    </font>
    <font>
      <b/>
      <sz val="11"/>
      <color theme="0"/>
      <name val="Book Antiqua"/>
      <family val="1"/>
    </font>
    <font>
      <sz val="11"/>
      <color rgb="FF3333FF"/>
      <name val="Calibri"/>
      <family val="2"/>
      <scheme val="minor"/>
    </font>
    <font>
      <b/>
      <i/>
      <sz val="10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F0"/>
        <bgColor indexed="64"/>
      </patternFill>
    </fill>
    <fill>
      <patternFill patternType="mediumGray">
        <bgColor theme="4" tint="0.79998168889431442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70C0"/>
        <bgColor indexed="64"/>
      </patternFill>
    </fill>
  </fills>
  <borders count="48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60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1" xfId="0" applyFont="1" applyBorder="1"/>
    <xf numFmtId="0" fontId="3" fillId="0" borderId="1" xfId="0" applyFont="1" applyBorder="1"/>
    <xf numFmtId="0" fontId="5" fillId="0" borderId="0" xfId="0" applyFont="1"/>
    <xf numFmtId="0" fontId="2" fillId="0" borderId="0" xfId="0" applyFont="1"/>
    <xf numFmtId="164" fontId="4" fillId="0" borderId="0" xfId="0" applyNumberFormat="1" applyFont="1"/>
    <xf numFmtId="164" fontId="3" fillId="0" borderId="1" xfId="0" applyNumberFormat="1" applyFont="1" applyBorder="1"/>
    <xf numFmtId="164" fontId="6" fillId="0" borderId="0" xfId="0" applyNumberFormat="1" applyFont="1"/>
    <xf numFmtId="164" fontId="4" fillId="0" borderId="0" xfId="0" applyNumberFormat="1" applyFont="1" applyAlignment="1">
      <alignment horizontal="center"/>
    </xf>
    <xf numFmtId="164" fontId="3" fillId="0" borderId="0" xfId="0" applyNumberFormat="1" applyFont="1"/>
    <xf numFmtId="3" fontId="0" fillId="0" borderId="0" xfId="0" applyNumberFormat="1"/>
    <xf numFmtId="0" fontId="3" fillId="0" borderId="2" xfId="0" applyFont="1" applyBorder="1"/>
    <xf numFmtId="3" fontId="3" fillId="0" borderId="1" xfId="0" applyNumberFormat="1" applyFont="1" applyBorder="1"/>
    <xf numFmtId="3" fontId="3" fillId="0" borderId="2" xfId="0" applyNumberFormat="1" applyFont="1" applyBorder="1"/>
    <xf numFmtId="3" fontId="3" fillId="0" borderId="0" xfId="0" applyNumberFormat="1" applyFont="1"/>
    <xf numFmtId="0" fontId="4" fillId="0" borderId="0" xfId="0" applyFont="1" applyAlignment="1">
      <alignment horizontal="left" indent="2"/>
    </xf>
    <xf numFmtId="0" fontId="3" fillId="0" borderId="4" xfId="0" applyFont="1" applyBorder="1"/>
    <xf numFmtId="0" fontId="0" fillId="0" borderId="0" xfId="0" applyFont="1"/>
    <xf numFmtId="0" fontId="2" fillId="0" borderId="4" xfId="0" applyFont="1" applyBorder="1"/>
    <xf numFmtId="9" fontId="0" fillId="0" borderId="0" xfId="1" applyFont="1"/>
    <xf numFmtId="3" fontId="0" fillId="3" borderId="0" xfId="0" applyNumberFormat="1" applyFont="1" applyFill="1"/>
    <xf numFmtId="0" fontId="8" fillId="0" borderId="0" xfId="0" applyFont="1" applyBorder="1"/>
    <xf numFmtId="0" fontId="9" fillId="0" borderId="0" xfId="0" applyFont="1"/>
    <xf numFmtId="1" fontId="0" fillId="0" borderId="0" xfId="0" applyNumberFormat="1"/>
    <xf numFmtId="1" fontId="2" fillId="0" borderId="0" xfId="0" applyNumberFormat="1" applyFont="1"/>
    <xf numFmtId="0" fontId="2" fillId="0" borderId="3" xfId="0" applyFont="1" applyBorder="1"/>
    <xf numFmtId="3" fontId="2" fillId="0" borderId="3" xfId="0" applyNumberFormat="1" applyFont="1" applyBorder="1"/>
    <xf numFmtId="0" fontId="4" fillId="0" borderId="4" xfId="0" applyFont="1" applyBorder="1"/>
    <xf numFmtId="1" fontId="0" fillId="0" borderId="4" xfId="0" applyNumberFormat="1" applyBorder="1"/>
    <xf numFmtId="3" fontId="2" fillId="0" borderId="4" xfId="0" applyNumberFormat="1" applyFont="1" applyBorder="1"/>
    <xf numFmtId="1" fontId="2" fillId="0" borderId="4" xfId="0" applyNumberFormat="1" applyFont="1" applyBorder="1"/>
    <xf numFmtId="0" fontId="2" fillId="0" borderId="5" xfId="0" applyFont="1" applyBorder="1"/>
    <xf numFmtId="1" fontId="2" fillId="0" borderId="5" xfId="0" applyNumberFormat="1" applyFont="1" applyBorder="1"/>
    <xf numFmtId="0" fontId="8" fillId="0" borderId="0" xfId="0" applyFont="1"/>
    <xf numFmtId="0" fontId="0" fillId="0" borderId="4" xfId="0" applyBorder="1"/>
    <xf numFmtId="0" fontId="9" fillId="0" borderId="1" xfId="0" applyFont="1" applyBorder="1"/>
    <xf numFmtId="3" fontId="8" fillId="0" borderId="0" xfId="0" applyNumberFormat="1" applyFont="1" applyBorder="1"/>
    <xf numFmtId="0" fontId="2" fillId="0" borderId="6" xfId="0" applyFont="1" applyBorder="1"/>
    <xf numFmtId="3" fontId="2" fillId="0" borderId="6" xfId="0" applyNumberFormat="1" applyFont="1" applyBorder="1"/>
    <xf numFmtId="0" fontId="0" fillId="0" borderId="5" xfId="0" applyBorder="1"/>
    <xf numFmtId="1" fontId="0" fillId="0" borderId="5" xfId="0" applyNumberFormat="1" applyBorder="1"/>
    <xf numFmtId="0" fontId="2" fillId="3" borderId="5" xfId="0" applyFont="1" applyFill="1" applyBorder="1"/>
    <xf numFmtId="3" fontId="2" fillId="3" borderId="5" xfId="0" applyNumberFormat="1" applyFont="1" applyFill="1" applyBorder="1"/>
    <xf numFmtId="9" fontId="8" fillId="0" borderId="5" xfId="1" applyFont="1" applyBorder="1"/>
    <xf numFmtId="9" fontId="8" fillId="0" borderId="5" xfId="0" applyNumberFormat="1" applyFont="1" applyBorder="1"/>
    <xf numFmtId="1" fontId="2" fillId="0" borderId="3" xfId="0" applyNumberFormat="1" applyFont="1" applyBorder="1"/>
    <xf numFmtId="165" fontId="2" fillId="0" borderId="3" xfId="0" applyNumberFormat="1" applyFont="1" applyBorder="1"/>
    <xf numFmtId="0" fontId="0" fillId="0" borderId="3" xfId="0" applyFont="1" applyBorder="1"/>
    <xf numFmtId="0" fontId="11" fillId="0" borderId="0" xfId="0" applyFont="1"/>
    <xf numFmtId="9" fontId="11" fillId="0" borderId="0" xfId="1" applyFont="1"/>
    <xf numFmtId="0" fontId="7" fillId="0" borderId="5" xfId="0" applyFont="1" applyBorder="1"/>
    <xf numFmtId="1" fontId="8" fillId="0" borderId="5" xfId="0" applyNumberFormat="1" applyFont="1" applyBorder="1"/>
    <xf numFmtId="9" fontId="11" fillId="0" borderId="0" xfId="0" applyNumberFormat="1" applyFont="1"/>
    <xf numFmtId="165" fontId="4" fillId="0" borderId="0" xfId="0" applyNumberFormat="1" applyFont="1"/>
    <xf numFmtId="165" fontId="0" fillId="0" borderId="0" xfId="0" applyNumberFormat="1"/>
    <xf numFmtId="165" fontId="4" fillId="0" borderId="1" xfId="0" applyNumberFormat="1" applyFont="1" applyBorder="1"/>
    <xf numFmtId="165" fontId="3" fillId="0" borderId="1" xfId="0" applyNumberFormat="1" applyFont="1" applyBorder="1"/>
    <xf numFmtId="165" fontId="3" fillId="0" borderId="1" xfId="0" applyNumberFormat="1" applyFont="1" applyBorder="1" applyAlignment="1">
      <alignment horizontal="right"/>
    </xf>
    <xf numFmtId="165" fontId="2" fillId="0" borderId="1" xfId="0" applyNumberFormat="1" applyFont="1" applyBorder="1"/>
    <xf numFmtId="0" fontId="12" fillId="4" borderId="7" xfId="0" applyFont="1" applyFill="1" applyBorder="1" applyAlignment="1"/>
    <xf numFmtId="3" fontId="12" fillId="4" borderId="7" xfId="0" applyNumberFormat="1" applyFont="1" applyFill="1" applyBorder="1" applyAlignment="1">
      <alignment horizontal="center"/>
    </xf>
    <xf numFmtId="0" fontId="13" fillId="0" borderId="0" xfId="0" applyFont="1"/>
    <xf numFmtId="0" fontId="14" fillId="0" borderId="0" xfId="0" applyFont="1"/>
    <xf numFmtId="0" fontId="13" fillId="0" borderId="0" xfId="0" applyFont="1" applyAlignment="1">
      <alignment horizontal="right"/>
    </xf>
    <xf numFmtId="3" fontId="13" fillId="0" borderId="0" xfId="0" applyNumberFormat="1" applyFont="1"/>
    <xf numFmtId="3" fontId="14" fillId="0" borderId="0" xfId="0" applyNumberFormat="1" applyFont="1"/>
    <xf numFmtId="1" fontId="13" fillId="0" borderId="0" xfId="0" applyNumberFormat="1" applyFont="1"/>
    <xf numFmtId="1" fontId="15" fillId="0" borderId="0" xfId="0" applyNumberFormat="1" applyFont="1"/>
    <xf numFmtId="0" fontId="15" fillId="0" borderId="0" xfId="0" applyFont="1"/>
    <xf numFmtId="3" fontId="15" fillId="0" borderId="0" xfId="0" applyNumberFormat="1" applyFont="1"/>
    <xf numFmtId="0" fontId="16" fillId="0" borderId="0" xfId="0" applyFont="1"/>
    <xf numFmtId="1" fontId="3" fillId="0" borderId="1" xfId="0" applyNumberFormat="1" applyFont="1" applyBorder="1"/>
    <xf numFmtId="166" fontId="2" fillId="0" borderId="3" xfId="0" applyNumberFormat="1" applyFont="1" applyBorder="1"/>
    <xf numFmtId="166" fontId="0" fillId="0" borderId="5" xfId="0" applyNumberFormat="1" applyBorder="1"/>
    <xf numFmtId="166" fontId="15" fillId="0" borderId="5" xfId="0" applyNumberFormat="1" applyFont="1" applyBorder="1"/>
    <xf numFmtId="1" fontId="0" fillId="0" borderId="3" xfId="0" applyNumberFormat="1" applyFont="1" applyBorder="1"/>
    <xf numFmtId="0" fontId="15" fillId="0" borderId="3" xfId="0" applyFont="1" applyBorder="1"/>
    <xf numFmtId="166" fontId="15" fillId="0" borderId="0" xfId="0" applyNumberFormat="1" applyFont="1"/>
    <xf numFmtId="166" fontId="17" fillId="0" borderId="0" xfId="0" applyNumberFormat="1" applyFont="1"/>
    <xf numFmtId="164" fontId="13" fillId="0" borderId="0" xfId="0" applyNumberFormat="1" applyFont="1"/>
    <xf numFmtId="164" fontId="18" fillId="0" borderId="0" xfId="0" applyNumberFormat="1" applyFont="1"/>
    <xf numFmtId="165" fontId="19" fillId="0" borderId="0" xfId="0" applyNumberFormat="1" applyFont="1"/>
    <xf numFmtId="165" fontId="20" fillId="0" borderId="0" xfId="0" applyNumberFormat="1" applyFont="1"/>
    <xf numFmtId="165" fontId="13" fillId="0" borderId="0" xfId="0" applyNumberFormat="1" applyFont="1"/>
    <xf numFmtId="165" fontId="14" fillId="0" borderId="0" xfId="0" applyNumberFormat="1" applyFont="1"/>
    <xf numFmtId="165" fontId="13" fillId="0" borderId="0" xfId="0" applyNumberFormat="1" applyFont="1" applyAlignment="1">
      <alignment horizontal="right"/>
    </xf>
    <xf numFmtId="0" fontId="21" fillId="0" borderId="0" xfId="0" applyFont="1"/>
    <xf numFmtId="165" fontId="17" fillId="0" borderId="0" xfId="0" applyNumberFormat="1" applyFont="1"/>
    <xf numFmtId="165" fontId="15" fillId="0" borderId="0" xfId="0" applyNumberFormat="1" applyFont="1"/>
    <xf numFmtId="0" fontId="10" fillId="2" borderId="0" xfId="0" applyFont="1" applyFill="1"/>
    <xf numFmtId="9" fontId="8" fillId="2" borderId="0" xfId="1" applyFont="1" applyFill="1"/>
    <xf numFmtId="9" fontId="8" fillId="2" borderId="0" xfId="0" applyNumberFormat="1" applyFont="1" applyFill="1"/>
    <xf numFmtId="167" fontId="0" fillId="0" borderId="0" xfId="1" applyNumberFormat="1" applyFont="1"/>
    <xf numFmtId="167" fontId="2" fillId="0" borderId="0" xfId="1" applyNumberFormat="1" applyFont="1"/>
    <xf numFmtId="167" fontId="2" fillId="0" borderId="3" xfId="1" applyNumberFormat="1" applyFont="1" applyBorder="1"/>
    <xf numFmtId="0" fontId="0" fillId="0" borderId="0" xfId="0" applyFont="1" applyBorder="1"/>
    <xf numFmtId="167" fontId="2" fillId="0" borderId="5" xfId="1" applyNumberFormat="1" applyFont="1" applyBorder="1"/>
    <xf numFmtId="167" fontId="2" fillId="0" borderId="1" xfId="1" applyNumberFormat="1" applyFont="1" applyBorder="1"/>
    <xf numFmtId="167" fontId="2" fillId="0" borderId="2" xfId="1" applyNumberFormat="1" applyFont="1" applyBorder="1"/>
    <xf numFmtId="0" fontId="0" fillId="0" borderId="1" xfId="0" applyBorder="1"/>
    <xf numFmtId="0" fontId="22" fillId="7" borderId="1" xfId="0" applyFont="1" applyFill="1" applyBorder="1" applyAlignment="1">
      <alignment horizontal="center"/>
    </xf>
    <xf numFmtId="15" fontId="0" fillId="0" borderId="10" xfId="0" applyNumberFormat="1" applyBorder="1"/>
    <xf numFmtId="168" fontId="0" fillId="0" borderId="10" xfId="0" applyNumberFormat="1" applyBorder="1"/>
    <xf numFmtId="15" fontId="0" fillId="0" borderId="11" xfId="0" applyNumberFormat="1" applyBorder="1"/>
    <xf numFmtId="168" fontId="0" fillId="0" borderId="11" xfId="0" applyNumberFormat="1" applyBorder="1"/>
    <xf numFmtId="0" fontId="24" fillId="0" borderId="3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/>
    </xf>
    <xf numFmtId="0" fontId="24" fillId="0" borderId="6" xfId="0" applyFont="1" applyBorder="1" applyAlignment="1">
      <alignment horizontal="center" vertical="center"/>
    </xf>
    <xf numFmtId="0" fontId="25" fillId="0" borderId="6" xfId="0" applyFont="1" applyBorder="1" applyAlignment="1">
      <alignment horizontal="center"/>
    </xf>
    <xf numFmtId="2" fontId="0" fillId="0" borderId="0" xfId="0" applyNumberFormat="1"/>
    <xf numFmtId="167" fontId="2" fillId="0" borderId="11" xfId="1" applyNumberFormat="1" applyFont="1" applyBorder="1"/>
    <xf numFmtId="17" fontId="0" fillId="0" borderId="12" xfId="0" applyNumberFormat="1" applyBorder="1"/>
    <xf numFmtId="168" fontId="0" fillId="0" borderId="12" xfId="0" applyNumberFormat="1" applyBorder="1"/>
    <xf numFmtId="0" fontId="0" fillId="0" borderId="12" xfId="0" applyBorder="1"/>
    <xf numFmtId="17" fontId="0" fillId="0" borderId="11" xfId="0" applyNumberFormat="1" applyBorder="1"/>
    <xf numFmtId="17" fontId="0" fillId="0" borderId="13" xfId="0" applyNumberFormat="1" applyBorder="1"/>
    <xf numFmtId="168" fontId="0" fillId="0" borderId="13" xfId="0" applyNumberFormat="1" applyBorder="1"/>
    <xf numFmtId="167" fontId="2" fillId="0" borderId="13" xfId="1" applyNumberFormat="1" applyFont="1" applyBorder="1"/>
    <xf numFmtId="0" fontId="8" fillId="0" borderId="3" xfId="0" applyFont="1" applyBorder="1" applyAlignment="1">
      <alignment horizontal="center" wrapText="1"/>
    </xf>
    <xf numFmtId="0" fontId="8" fillId="0" borderId="6" xfId="0" applyFont="1" applyBorder="1" applyAlignment="1">
      <alignment horizontal="center" wrapText="1"/>
    </xf>
    <xf numFmtId="0" fontId="0" fillId="0" borderId="0" xfId="0" applyFill="1" applyBorder="1" applyAlignment="1"/>
    <xf numFmtId="0" fontId="0" fillId="0" borderId="6" xfId="0" applyFill="1" applyBorder="1" applyAlignment="1"/>
    <xf numFmtId="0" fontId="8" fillId="0" borderId="15" xfId="0" applyFont="1" applyFill="1" applyBorder="1" applyAlignment="1">
      <alignment horizontal="center"/>
    </xf>
    <xf numFmtId="0" fontId="8" fillId="0" borderId="15" xfId="0" applyFont="1" applyFill="1" applyBorder="1" applyAlignment="1">
      <alignment horizontal="centerContinuous"/>
    </xf>
    <xf numFmtId="0" fontId="22" fillId="7" borderId="6" xfId="0" applyFont="1" applyFill="1" applyBorder="1" applyAlignment="1"/>
    <xf numFmtId="0" fontId="0" fillId="0" borderId="16" xfId="0" applyBorder="1"/>
    <xf numFmtId="0" fontId="0" fillId="0" borderId="14" xfId="0" applyBorder="1"/>
    <xf numFmtId="0" fontId="0" fillId="0" borderId="17" xfId="0" applyBorder="1"/>
    <xf numFmtId="0" fontId="0" fillId="0" borderId="18" xfId="0" applyBorder="1"/>
    <xf numFmtId="0" fontId="0" fillId="0" borderId="0" xfId="0" applyBorder="1"/>
    <xf numFmtId="0" fontId="0" fillId="0" borderId="19" xfId="0" applyBorder="1"/>
    <xf numFmtId="0" fontId="8" fillId="0" borderId="20" xfId="0" applyFont="1" applyFill="1" applyBorder="1" applyAlignment="1">
      <alignment horizontal="centerContinuous"/>
    </xf>
    <xf numFmtId="0" fontId="0" fillId="0" borderId="18" xfId="0" applyFill="1" applyBorder="1" applyAlignment="1"/>
    <xf numFmtId="0" fontId="0" fillId="0" borderId="21" xfId="0" applyFill="1" applyBorder="1" applyAlignment="1"/>
    <xf numFmtId="0" fontId="8" fillId="0" borderId="20" xfId="0" applyFont="1" applyFill="1" applyBorder="1" applyAlignment="1">
      <alignment horizontal="center"/>
    </xf>
    <xf numFmtId="0" fontId="8" fillId="0" borderId="22" xfId="0" applyFont="1" applyFill="1" applyBorder="1" applyAlignment="1">
      <alignment horizontal="center"/>
    </xf>
    <xf numFmtId="0" fontId="0" fillId="0" borderId="19" xfId="0" applyFill="1" applyBorder="1" applyAlignment="1"/>
    <xf numFmtId="0" fontId="0" fillId="0" borderId="23" xfId="0" applyFill="1" applyBorder="1" applyAlignment="1"/>
    <xf numFmtId="0" fontId="0" fillId="0" borderId="21" xfId="0" applyBorder="1"/>
    <xf numFmtId="0" fontId="0" fillId="0" borderId="23" xfId="0" applyBorder="1"/>
    <xf numFmtId="0" fontId="2" fillId="6" borderId="24" xfId="0" applyFont="1" applyFill="1" applyBorder="1"/>
    <xf numFmtId="0" fontId="22" fillId="7" borderId="24" xfId="0" applyFont="1" applyFill="1" applyBorder="1"/>
    <xf numFmtId="2" fontId="22" fillId="7" borderId="24" xfId="0" applyNumberFormat="1" applyFont="1" applyFill="1" applyBorder="1"/>
    <xf numFmtId="0" fontId="28" fillId="7" borderId="14" xfId="0" applyFont="1" applyFill="1" applyBorder="1"/>
    <xf numFmtId="9" fontId="28" fillId="7" borderId="14" xfId="1" applyFont="1" applyFill="1" applyBorder="1"/>
    <xf numFmtId="0" fontId="27" fillId="7" borderId="4" xfId="0" applyFont="1" applyFill="1" applyBorder="1"/>
    <xf numFmtId="9" fontId="27" fillId="7" borderId="4" xfId="1" applyFont="1" applyFill="1" applyBorder="1"/>
    <xf numFmtId="3" fontId="27" fillId="7" borderId="14" xfId="0" applyNumberFormat="1" applyFont="1" applyFill="1" applyBorder="1" applyAlignment="1">
      <alignment horizontal="right"/>
    </xf>
    <xf numFmtId="9" fontId="27" fillId="7" borderId="14" xfId="0" applyNumberFormat="1" applyFont="1" applyFill="1" applyBorder="1" applyAlignment="1">
      <alignment horizontal="right"/>
    </xf>
    <xf numFmtId="167" fontId="27" fillId="7" borderId="14" xfId="1" applyNumberFormat="1" applyFont="1" applyFill="1" applyBorder="1" applyAlignment="1">
      <alignment horizontal="right"/>
    </xf>
    <xf numFmtId="3" fontId="27" fillId="7" borderId="4" xfId="0" applyNumberFormat="1" applyFont="1" applyFill="1" applyBorder="1" applyAlignment="1">
      <alignment horizontal="right"/>
    </xf>
    <xf numFmtId="9" fontId="27" fillId="7" borderId="4" xfId="0" applyNumberFormat="1" applyFont="1" applyFill="1" applyBorder="1" applyAlignment="1">
      <alignment horizontal="right"/>
    </xf>
    <xf numFmtId="167" fontId="27" fillId="7" borderId="4" xfId="1" applyNumberFormat="1" applyFont="1" applyFill="1" applyBorder="1" applyAlignment="1">
      <alignment horizontal="right"/>
    </xf>
    <xf numFmtId="0" fontId="22" fillId="7" borderId="0" xfId="0" applyFont="1" applyFill="1"/>
    <xf numFmtId="167" fontId="27" fillId="7" borderId="4" xfId="1" applyNumberFormat="1" applyFont="1" applyFill="1" applyBorder="1"/>
    <xf numFmtId="0" fontId="22" fillId="7" borderId="4" xfId="0" applyFont="1" applyFill="1" applyBorder="1"/>
    <xf numFmtId="168" fontId="15" fillId="0" borderId="0" xfId="0" applyNumberFormat="1" applyFont="1"/>
    <xf numFmtId="169" fontId="0" fillId="0" borderId="0" xfId="0" applyNumberFormat="1"/>
    <xf numFmtId="0" fontId="0" fillId="8" borderId="25" xfId="0" applyFill="1" applyBorder="1"/>
    <xf numFmtId="169" fontId="0" fillId="8" borderId="25" xfId="0" applyNumberFormat="1" applyFill="1" applyBorder="1"/>
    <xf numFmtId="0" fontId="0" fillId="5" borderId="25" xfId="0" applyFill="1" applyBorder="1"/>
    <xf numFmtId="169" fontId="0" fillId="5" borderId="25" xfId="0" applyNumberFormat="1" applyFill="1" applyBorder="1"/>
    <xf numFmtId="169" fontId="0" fillId="0" borderId="25" xfId="0" applyNumberFormat="1" applyBorder="1"/>
    <xf numFmtId="0" fontId="0" fillId="9" borderId="1" xfId="0" applyFill="1" applyBorder="1"/>
    <xf numFmtId="1" fontId="0" fillId="9" borderId="1" xfId="0" applyNumberFormat="1" applyFill="1" applyBorder="1"/>
    <xf numFmtId="0" fontId="0" fillId="8" borderId="1" xfId="0" applyFill="1" applyBorder="1"/>
    <xf numFmtId="0" fontId="15" fillId="8" borderId="1" xfId="0" applyFont="1" applyFill="1" applyBorder="1"/>
    <xf numFmtId="1" fontId="0" fillId="8" borderId="1" xfId="0" applyNumberFormat="1" applyFill="1" applyBorder="1"/>
    <xf numFmtId="168" fontId="15" fillId="8" borderId="1" xfId="0" applyNumberFormat="1" applyFont="1" applyFill="1" applyBorder="1"/>
    <xf numFmtId="169" fontId="0" fillId="8" borderId="1" xfId="0" applyNumberFormat="1" applyFill="1" applyBorder="1"/>
    <xf numFmtId="0" fontId="0" fillId="0" borderId="26" xfId="0" applyBorder="1"/>
    <xf numFmtId="169" fontId="0" fillId="0" borderId="26" xfId="0" applyNumberFormat="1" applyBorder="1"/>
    <xf numFmtId="170" fontId="0" fillId="0" borderId="26" xfId="0" applyNumberFormat="1" applyBorder="1"/>
    <xf numFmtId="0" fontId="0" fillId="0" borderId="25" xfId="0" applyBorder="1"/>
    <xf numFmtId="170" fontId="0" fillId="0" borderId="25" xfId="0" applyNumberFormat="1" applyBorder="1"/>
    <xf numFmtId="0" fontId="0" fillId="3" borderId="0" xfId="0" applyFill="1" applyBorder="1"/>
    <xf numFmtId="0" fontId="15" fillId="3" borderId="0" xfId="0" applyFont="1" applyFill="1" applyBorder="1"/>
    <xf numFmtId="1" fontId="0" fillId="3" borderId="0" xfId="0" applyNumberFormat="1" applyFill="1" applyBorder="1"/>
    <xf numFmtId="168" fontId="15" fillId="3" borderId="0" xfId="0" applyNumberFormat="1" applyFont="1" applyFill="1" applyBorder="1"/>
    <xf numFmtId="169" fontId="0" fillId="3" borderId="0" xfId="0" applyNumberFormat="1" applyFill="1" applyBorder="1"/>
    <xf numFmtId="0" fontId="0" fillId="3" borderId="0" xfId="0" applyFill="1"/>
    <xf numFmtId="169" fontId="0" fillId="0" borderId="0" xfId="0" applyNumberFormat="1" applyBorder="1"/>
    <xf numFmtId="170" fontId="0" fillId="0" borderId="0" xfId="0" applyNumberFormat="1" applyBorder="1"/>
    <xf numFmtId="0" fontId="23" fillId="0" borderId="25" xfId="0" applyFont="1" applyBorder="1"/>
    <xf numFmtId="0" fontId="15" fillId="0" borderId="25" xfId="0" applyFont="1" applyBorder="1"/>
    <xf numFmtId="0" fontId="22" fillId="7" borderId="5" xfId="0" applyFont="1" applyFill="1" applyBorder="1"/>
    <xf numFmtId="9" fontId="22" fillId="7" borderId="5" xfId="1" applyFont="1" applyFill="1" applyBorder="1"/>
    <xf numFmtId="10" fontId="0" fillId="0" borderId="0" xfId="0" applyNumberFormat="1"/>
    <xf numFmtId="10" fontId="0" fillId="8" borderId="25" xfId="0" applyNumberFormat="1" applyFill="1" applyBorder="1"/>
    <xf numFmtId="2" fontId="0" fillId="8" borderId="25" xfId="0" applyNumberFormat="1" applyFill="1" applyBorder="1"/>
    <xf numFmtId="0" fontId="0" fillId="0" borderId="6" xfId="0" applyBorder="1"/>
    <xf numFmtId="10" fontId="0" fillId="0" borderId="25" xfId="0" applyNumberFormat="1" applyBorder="1"/>
    <xf numFmtId="0" fontId="0" fillId="0" borderId="27" xfId="0" applyBorder="1"/>
    <xf numFmtId="10" fontId="0" fillId="0" borderId="27" xfId="0" applyNumberFormat="1" applyBorder="1"/>
    <xf numFmtId="170" fontId="0" fillId="0" borderId="27" xfId="0" applyNumberFormat="1" applyBorder="1"/>
    <xf numFmtId="10" fontId="14" fillId="0" borderId="25" xfId="0" applyNumberFormat="1" applyFont="1" applyBorder="1"/>
    <xf numFmtId="0" fontId="0" fillId="0" borderId="28" xfId="0" applyBorder="1"/>
    <xf numFmtId="10" fontId="15" fillId="0" borderId="25" xfId="0" applyNumberFormat="1" applyFont="1" applyBorder="1"/>
    <xf numFmtId="2" fontId="0" fillId="0" borderId="27" xfId="0" applyNumberFormat="1" applyBorder="1"/>
    <xf numFmtId="10" fontId="1" fillId="0" borderId="5" xfId="1" applyNumberFormat="1" applyFont="1" applyBorder="1"/>
    <xf numFmtId="167" fontId="15" fillId="0" borderId="28" xfId="1" applyNumberFormat="1" applyFont="1" applyBorder="1"/>
    <xf numFmtId="167" fontId="0" fillId="0" borderId="25" xfId="1" applyNumberFormat="1" applyFont="1" applyBorder="1"/>
    <xf numFmtId="0" fontId="22" fillId="11" borderId="5" xfId="0" applyFont="1" applyFill="1" applyBorder="1"/>
    <xf numFmtId="167" fontId="1" fillId="0" borderId="28" xfId="1" applyNumberFormat="1" applyFont="1" applyBorder="1"/>
    <xf numFmtId="10" fontId="0" fillId="0" borderId="25" xfId="0" applyNumberFormat="1" applyFont="1" applyBorder="1"/>
    <xf numFmtId="2" fontId="15" fillId="0" borderId="27" xfId="0" applyNumberFormat="1" applyFont="1" applyBorder="1"/>
    <xf numFmtId="10" fontId="22" fillId="11" borderId="5" xfId="1" applyNumberFormat="1" applyFont="1" applyFill="1" applyBorder="1"/>
    <xf numFmtId="9" fontId="0" fillId="9" borderId="1" xfId="1" applyFont="1" applyFill="1" applyBorder="1"/>
    <xf numFmtId="10" fontId="0" fillId="9" borderId="1" xfId="1" applyNumberFormat="1" applyFont="1" applyFill="1" applyBorder="1"/>
    <xf numFmtId="2" fontId="0" fillId="9" borderId="1" xfId="0" applyNumberFormat="1" applyFill="1" applyBorder="1"/>
    <xf numFmtId="0" fontId="29" fillId="8" borderId="25" xfId="0" applyFont="1" applyFill="1" applyBorder="1"/>
    <xf numFmtId="14" fontId="30" fillId="8" borderId="25" xfId="0" applyNumberFormat="1" applyFont="1" applyFill="1" applyBorder="1"/>
    <xf numFmtId="0" fontId="30" fillId="8" borderId="25" xfId="0" applyFont="1" applyFill="1" applyBorder="1"/>
    <xf numFmtId="14" fontId="31" fillId="8" borderId="25" xfId="0" applyNumberFormat="1" applyFont="1" applyFill="1" applyBorder="1"/>
    <xf numFmtId="14" fontId="29" fillId="8" borderId="25" xfId="0" applyNumberFormat="1" applyFont="1" applyFill="1" applyBorder="1"/>
    <xf numFmtId="0" fontId="32" fillId="8" borderId="25" xfId="0" applyFont="1" applyFill="1" applyBorder="1"/>
    <xf numFmtId="0" fontId="33" fillId="8" borderId="25" xfId="0" applyFont="1" applyFill="1" applyBorder="1" applyAlignment="1">
      <alignment horizontal="center"/>
    </xf>
    <xf numFmtId="0" fontId="29" fillId="8" borderId="27" xfId="0" applyFont="1" applyFill="1" applyBorder="1"/>
    <xf numFmtId="0" fontId="30" fillId="8" borderId="27" xfId="0" applyFont="1" applyFill="1" applyBorder="1"/>
    <xf numFmtId="168" fontId="29" fillId="8" borderId="27" xfId="0" applyNumberFormat="1" applyFont="1" applyFill="1" applyBorder="1"/>
    <xf numFmtId="0" fontId="2" fillId="0" borderId="1" xfId="0" applyFont="1" applyBorder="1"/>
    <xf numFmtId="1" fontId="0" fillId="0" borderId="0" xfId="0" applyNumberFormat="1" applyFont="1"/>
    <xf numFmtId="1" fontId="2" fillId="0" borderId="1" xfId="0" applyNumberFormat="1" applyFont="1" applyBorder="1"/>
    <xf numFmtId="170" fontId="2" fillId="3" borderId="5" xfId="0" applyNumberFormat="1" applyFont="1" applyFill="1" applyBorder="1"/>
    <xf numFmtId="172" fontId="2" fillId="3" borderId="5" xfId="0" applyNumberFormat="1" applyFont="1" applyFill="1" applyBorder="1"/>
    <xf numFmtId="172" fontId="0" fillId="0" borderId="0" xfId="0" applyNumberFormat="1"/>
    <xf numFmtId="0" fontId="2" fillId="12" borderId="5" xfId="0" applyFont="1" applyFill="1" applyBorder="1"/>
    <xf numFmtId="172" fontId="2" fillId="12" borderId="5" xfId="0" applyNumberFormat="1" applyFont="1" applyFill="1" applyBorder="1"/>
    <xf numFmtId="173" fontId="0" fillId="0" borderId="0" xfId="0" applyNumberFormat="1"/>
    <xf numFmtId="173" fontId="2" fillId="0" borderId="5" xfId="0" applyNumberFormat="1" applyFont="1" applyBorder="1"/>
    <xf numFmtId="0" fontId="22" fillId="12" borderId="2" xfId="0" applyFont="1" applyFill="1" applyBorder="1"/>
    <xf numFmtId="173" fontId="15" fillId="0" borderId="0" xfId="0" applyNumberFormat="1" applyFont="1"/>
    <xf numFmtId="0" fontId="22" fillId="12" borderId="5" xfId="0" applyFont="1" applyFill="1" applyBorder="1"/>
    <xf numFmtId="171" fontId="22" fillId="12" borderId="5" xfId="0" applyNumberFormat="1" applyFont="1" applyFill="1" applyBorder="1"/>
    <xf numFmtId="170" fontId="15" fillId="0" borderId="0" xfId="0" applyNumberFormat="1" applyFont="1"/>
    <xf numFmtId="170" fontId="0" fillId="0" borderId="0" xfId="0" applyNumberFormat="1"/>
    <xf numFmtId="9" fontId="2" fillId="12" borderId="5" xfId="1" applyFont="1" applyFill="1" applyBorder="1"/>
    <xf numFmtId="170" fontId="22" fillId="12" borderId="2" xfId="0" applyNumberFormat="1" applyFont="1" applyFill="1" applyBorder="1"/>
    <xf numFmtId="170" fontId="0" fillId="0" borderId="6" xfId="0" applyNumberFormat="1" applyBorder="1"/>
    <xf numFmtId="10" fontId="7" fillId="5" borderId="31" xfId="1" applyNumberFormat="1" applyFont="1" applyFill="1" applyBorder="1"/>
    <xf numFmtId="167" fontId="7" fillId="5" borderId="3" xfId="0" applyNumberFormat="1" applyFont="1" applyFill="1" applyBorder="1"/>
    <xf numFmtId="167" fontId="7" fillId="5" borderId="3" xfId="1" applyNumberFormat="1" applyFont="1" applyFill="1" applyBorder="1"/>
    <xf numFmtId="169" fontId="7" fillId="5" borderId="3" xfId="0" applyNumberFormat="1" applyFont="1" applyFill="1" applyBorder="1"/>
    <xf numFmtId="169" fontId="7" fillId="5" borderId="36" xfId="0" applyNumberFormat="1" applyFont="1" applyFill="1" applyBorder="1"/>
    <xf numFmtId="170" fontId="0" fillId="0" borderId="19" xfId="0" applyNumberFormat="1" applyBorder="1"/>
    <xf numFmtId="10" fontId="7" fillId="5" borderId="32" xfId="1" applyNumberFormat="1" applyFont="1" applyFill="1" applyBorder="1"/>
    <xf numFmtId="170" fontId="0" fillId="0" borderId="23" xfId="0" applyNumberFormat="1" applyBorder="1"/>
    <xf numFmtId="167" fontId="7" fillId="5" borderId="36" xfId="0" applyNumberFormat="1" applyFont="1" applyFill="1" applyBorder="1"/>
    <xf numFmtId="173" fontId="35" fillId="5" borderId="30" xfId="0" applyNumberFormat="1" applyFont="1" applyFill="1" applyBorder="1"/>
    <xf numFmtId="0" fontId="0" fillId="5" borderId="15" xfId="0" applyFont="1" applyFill="1" applyBorder="1" applyAlignment="1">
      <alignment horizontal="center" vertical="center"/>
    </xf>
    <xf numFmtId="173" fontId="34" fillId="5" borderId="3" xfId="0" applyNumberFormat="1" applyFont="1" applyFill="1" applyBorder="1"/>
    <xf numFmtId="10" fontId="7" fillId="5" borderId="0" xfId="1" applyNumberFormat="1" applyFont="1" applyFill="1" applyBorder="1"/>
    <xf numFmtId="10" fontId="7" fillId="5" borderId="6" xfId="1" applyNumberFormat="1" applyFont="1" applyFill="1" applyBorder="1"/>
    <xf numFmtId="0" fontId="8" fillId="8" borderId="8" xfId="0" applyFont="1" applyFill="1" applyBorder="1"/>
    <xf numFmtId="169" fontId="8" fillId="8" borderId="8" xfId="0" applyNumberFormat="1" applyFont="1" applyFill="1" applyBorder="1"/>
    <xf numFmtId="0" fontId="8" fillId="8" borderId="25" xfId="0" applyFont="1" applyFill="1" applyBorder="1"/>
    <xf numFmtId="9" fontId="8" fillId="8" borderId="25" xfId="0" applyNumberFormat="1" applyFont="1" applyFill="1" applyBorder="1"/>
    <xf numFmtId="0" fontId="8" fillId="8" borderId="27" xfId="0" applyFont="1" applyFill="1" applyBorder="1"/>
    <xf numFmtId="10" fontId="8" fillId="8" borderId="27" xfId="0" applyNumberFormat="1" applyFont="1" applyFill="1" applyBorder="1"/>
    <xf numFmtId="0" fontId="0" fillId="13" borderId="0" xfId="0" applyFill="1"/>
    <xf numFmtId="0" fontId="0" fillId="0" borderId="38" xfId="0" applyBorder="1"/>
    <xf numFmtId="0" fontId="0" fillId="0" borderId="39" xfId="0" applyBorder="1"/>
    <xf numFmtId="0" fontId="37" fillId="0" borderId="46" xfId="0" applyFont="1" applyBorder="1"/>
    <xf numFmtId="0" fontId="0" fillId="0" borderId="47" xfId="0" applyFont="1" applyBorder="1" applyAlignment="1"/>
    <xf numFmtId="0" fontId="0" fillId="0" borderId="42" xfId="0" applyFont="1" applyBorder="1"/>
    <xf numFmtId="0" fontId="0" fillId="0" borderId="43" xfId="0" applyFont="1" applyBorder="1" applyAlignment="1"/>
    <xf numFmtId="0" fontId="15" fillId="0" borderId="44" xfId="0" applyFont="1" applyBorder="1"/>
    <xf numFmtId="0" fontId="0" fillId="0" borderId="45" xfId="0" applyFont="1" applyBorder="1" applyAlignment="1"/>
    <xf numFmtId="175" fontId="22" fillId="10" borderId="4" xfId="0" applyNumberFormat="1" applyFont="1" applyFill="1" applyBorder="1"/>
    <xf numFmtId="0" fontId="22" fillId="15" borderId="4" xfId="0" applyFont="1" applyFill="1" applyBorder="1"/>
    <xf numFmtId="174" fontId="22" fillId="15" borderId="4" xfId="0" applyNumberFormat="1" applyFont="1" applyFill="1" applyBorder="1"/>
    <xf numFmtId="0" fontId="0" fillId="8" borderId="40" xfId="0" applyFill="1" applyBorder="1"/>
    <xf numFmtId="14" fontId="0" fillId="8" borderId="41" xfId="0" applyNumberFormat="1" applyFill="1" applyBorder="1"/>
    <xf numFmtId="0" fontId="0" fillId="8" borderId="42" xfId="0" applyFill="1" applyBorder="1"/>
    <xf numFmtId="14" fontId="0" fillId="8" borderId="43" xfId="0" applyNumberFormat="1" applyFill="1" applyBorder="1"/>
    <xf numFmtId="10" fontId="0" fillId="8" borderId="43" xfId="0" applyNumberFormat="1" applyFill="1" applyBorder="1"/>
    <xf numFmtId="9" fontId="0" fillId="8" borderId="43" xfId="0" applyNumberFormat="1" applyFill="1" applyBorder="1"/>
    <xf numFmtId="169" fontId="0" fillId="8" borderId="43" xfId="0" applyNumberFormat="1" applyFill="1" applyBorder="1"/>
    <xf numFmtId="10" fontId="0" fillId="8" borderId="19" xfId="0" applyNumberFormat="1" applyFill="1" applyBorder="1"/>
    <xf numFmtId="0" fontId="0" fillId="8" borderId="43" xfId="0" applyFill="1" applyBorder="1"/>
    <xf numFmtId="171" fontId="0" fillId="8" borderId="43" xfId="0" applyNumberFormat="1" applyFill="1" applyBorder="1"/>
    <xf numFmtId="0" fontId="0" fillId="8" borderId="44" xfId="0" applyFill="1" applyBorder="1"/>
    <xf numFmtId="171" fontId="0" fillId="8" borderId="45" xfId="0" applyNumberFormat="1" applyFill="1" applyBorder="1"/>
    <xf numFmtId="0" fontId="0" fillId="15" borderId="0" xfId="0" applyFill="1"/>
    <xf numFmtId="0" fontId="7" fillId="14" borderId="24" xfId="0" applyFont="1" applyFill="1" applyBorder="1"/>
    <xf numFmtId="0" fontId="0" fillId="14" borderId="29" xfId="0" applyFill="1" applyBorder="1"/>
    <xf numFmtId="0" fontId="0" fillId="14" borderId="1" xfId="0" applyFill="1" applyBorder="1"/>
    <xf numFmtId="0" fontId="7" fillId="14" borderId="24" xfId="0" applyFont="1" applyFill="1" applyBorder="1" applyAlignment="1">
      <alignment horizontal="center"/>
    </xf>
    <xf numFmtId="0" fontId="3" fillId="0" borderId="0" xfId="0" applyFont="1" applyBorder="1"/>
    <xf numFmtId="165" fontId="3" fillId="0" borderId="0" xfId="0" applyNumberFormat="1" applyFont="1" applyBorder="1"/>
    <xf numFmtId="165" fontId="4" fillId="0" borderId="4" xfId="0" applyNumberFormat="1" applyFont="1" applyBorder="1"/>
    <xf numFmtId="165" fontId="0" fillId="0" borderId="4" xfId="0" applyNumberFormat="1" applyBorder="1"/>
    <xf numFmtId="3" fontId="2" fillId="0" borderId="1" xfId="0" applyNumberFormat="1" applyFont="1" applyBorder="1"/>
    <xf numFmtId="1" fontId="8" fillId="0" borderId="0" xfId="0" applyNumberFormat="1" applyFont="1"/>
    <xf numFmtId="0" fontId="17" fillId="0" borderId="5" xfId="0" applyFont="1" applyBorder="1"/>
    <xf numFmtId="0" fontId="8" fillId="2" borderId="0" xfId="0" applyFont="1" applyFill="1"/>
    <xf numFmtId="0" fontId="9" fillId="2" borderId="0" xfId="0" applyFont="1" applyFill="1" applyBorder="1"/>
    <xf numFmtId="9" fontId="9" fillId="2" borderId="0" xfId="1" applyFont="1" applyFill="1"/>
    <xf numFmtId="0" fontId="9" fillId="2" borderId="0" xfId="0" applyFont="1" applyFill="1"/>
    <xf numFmtId="0" fontId="9" fillId="2" borderId="25" xfId="0" applyFont="1" applyFill="1" applyBorder="1"/>
    <xf numFmtId="9" fontId="9" fillId="2" borderId="25" xfId="1" applyFont="1" applyFill="1" applyBorder="1"/>
    <xf numFmtId="9" fontId="8" fillId="2" borderId="25" xfId="0" applyNumberFormat="1" applyFont="1" applyFill="1" applyBorder="1"/>
    <xf numFmtId="0" fontId="38" fillId="2" borderId="0" xfId="0" applyFont="1" applyFill="1" applyBorder="1"/>
    <xf numFmtId="9" fontId="9" fillId="2" borderId="0" xfId="1" applyNumberFormat="1" applyFont="1" applyFill="1"/>
    <xf numFmtId="0" fontId="9" fillId="2" borderId="27" xfId="0" applyFont="1" applyFill="1" applyBorder="1"/>
    <xf numFmtId="9" fontId="9" fillId="2" borderId="27" xfId="1" applyFont="1" applyFill="1" applyBorder="1"/>
    <xf numFmtId="9" fontId="8" fillId="2" borderId="27" xfId="0" applyNumberFormat="1" applyFont="1" applyFill="1" applyBorder="1"/>
    <xf numFmtId="9" fontId="9" fillId="2" borderId="0" xfId="0" applyNumberFormat="1" applyFont="1" applyFill="1"/>
    <xf numFmtId="0" fontId="9" fillId="2" borderId="3" xfId="0" applyFont="1" applyFill="1" applyBorder="1"/>
    <xf numFmtId="9" fontId="9" fillId="2" borderId="3" xfId="1" applyFont="1" applyFill="1" applyBorder="1"/>
    <xf numFmtId="9" fontId="9" fillId="2" borderId="3" xfId="0" applyNumberFormat="1" applyFont="1" applyFill="1" applyBorder="1"/>
    <xf numFmtId="0" fontId="0" fillId="3" borderId="0" xfId="0" applyFont="1" applyFill="1"/>
    <xf numFmtId="0" fontId="0" fillId="2" borderId="0" xfId="0" applyFont="1" applyFill="1"/>
    <xf numFmtId="9" fontId="0" fillId="2" borderId="0" xfId="0" applyNumberFormat="1" applyFont="1" applyFill="1"/>
    <xf numFmtId="3" fontId="0" fillId="0" borderId="0" xfId="0" applyNumberFormat="1" applyFont="1"/>
    <xf numFmtId="0" fontId="0" fillId="0" borderId="4" xfId="0" applyFont="1" applyBorder="1"/>
    <xf numFmtId="1" fontId="0" fillId="0" borderId="4" xfId="0" applyNumberFormat="1" applyFont="1" applyBorder="1"/>
    <xf numFmtId="0" fontId="8" fillId="0" borderId="5" xfId="0" applyFont="1" applyBorder="1"/>
    <xf numFmtId="0" fontId="0" fillId="2" borderId="25" xfId="0" applyFill="1" applyBorder="1"/>
    <xf numFmtId="176" fontId="0" fillId="2" borderId="25" xfId="0" applyNumberFormat="1" applyFill="1" applyBorder="1"/>
    <xf numFmtId="0" fontId="0" fillId="0" borderId="25" xfId="0" applyFont="1" applyBorder="1"/>
    <xf numFmtId="3" fontId="0" fillId="0" borderId="25" xfId="0" applyNumberFormat="1" applyFont="1" applyBorder="1"/>
    <xf numFmtId="0" fontId="2" fillId="8" borderId="8" xfId="0" applyFont="1" applyFill="1" applyBorder="1"/>
    <xf numFmtId="0" fontId="2" fillId="8" borderId="9" xfId="0" applyFont="1" applyFill="1" applyBorder="1"/>
    <xf numFmtId="9" fontId="2" fillId="8" borderId="9" xfId="1" applyFont="1" applyFill="1" applyBorder="1"/>
    <xf numFmtId="0" fontId="2" fillId="0" borderId="18" xfId="0" applyFont="1" applyBorder="1"/>
    <xf numFmtId="0" fontId="2" fillId="0" borderId="0" xfId="0" applyFont="1" applyBorder="1"/>
    <xf numFmtId="0" fontId="2" fillId="0" borderId="19" xfId="0" applyFont="1" applyBorder="1"/>
    <xf numFmtId="170" fontId="0" fillId="0" borderId="9" xfId="0" applyNumberFormat="1" applyBorder="1"/>
    <xf numFmtId="0" fontId="22" fillId="15" borderId="16" xfId="0" applyFont="1" applyFill="1" applyBorder="1"/>
    <xf numFmtId="0" fontId="0" fillId="15" borderId="14" xfId="0" applyFill="1" applyBorder="1"/>
    <xf numFmtId="0" fontId="0" fillId="15" borderId="17" xfId="0" applyFill="1" applyBorder="1"/>
    <xf numFmtId="0" fontId="2" fillId="0" borderId="0" xfId="0" applyFont="1" applyFill="1" applyBorder="1"/>
    <xf numFmtId="0" fontId="22" fillId="15" borderId="38" xfId="0" applyFont="1" applyFill="1" applyBorder="1" applyAlignment="1">
      <alignment horizontal="center"/>
    </xf>
    <xf numFmtId="0" fontId="22" fillId="15" borderId="39" xfId="0" applyFont="1" applyFill="1" applyBorder="1" applyAlignment="1">
      <alignment horizontal="center"/>
    </xf>
    <xf numFmtId="0" fontId="22" fillId="15" borderId="20" xfId="0" applyFont="1" applyFill="1" applyBorder="1" applyAlignment="1">
      <alignment horizontal="center"/>
    </xf>
    <xf numFmtId="0" fontId="22" fillId="15" borderId="22" xfId="0" applyFont="1" applyFill="1" applyBorder="1" applyAlignment="1">
      <alignment horizontal="center"/>
    </xf>
    <xf numFmtId="0" fontId="36" fillId="15" borderId="38" xfId="0" applyFont="1" applyFill="1" applyBorder="1" applyAlignment="1">
      <alignment horizontal="center"/>
    </xf>
    <xf numFmtId="0" fontId="36" fillId="15" borderId="39" xfId="0" applyFont="1" applyFill="1" applyBorder="1" applyAlignment="1">
      <alignment horizontal="center"/>
    </xf>
    <xf numFmtId="0" fontId="22" fillId="15" borderId="5" xfId="0" applyFont="1" applyFill="1" applyBorder="1" applyAlignment="1">
      <alignment horizontal="center"/>
    </xf>
    <xf numFmtId="0" fontId="24" fillId="0" borderId="3" xfId="0" applyFont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wrapText="1"/>
    </xf>
    <xf numFmtId="0" fontId="26" fillId="0" borderId="6" xfId="0" applyFont="1" applyBorder="1" applyAlignment="1">
      <alignment horizontal="center" wrapText="1"/>
    </xf>
    <xf numFmtId="0" fontId="27" fillId="7" borderId="5" xfId="0" applyFont="1" applyFill="1" applyBorder="1" applyAlignment="1">
      <alignment horizontal="center"/>
    </xf>
    <xf numFmtId="0" fontId="22" fillId="7" borderId="5" xfId="0" applyFont="1" applyFill="1" applyBorder="1" applyAlignment="1">
      <alignment horizontal="center"/>
    </xf>
    <xf numFmtId="0" fontId="22" fillId="7" borderId="1" xfId="0" applyFont="1" applyFill="1" applyBorder="1" applyAlignment="1">
      <alignment horizontal="center"/>
    </xf>
    <xf numFmtId="0" fontId="22" fillId="11" borderId="5" xfId="0" applyFont="1" applyFill="1" applyBorder="1" applyAlignment="1">
      <alignment horizontal="center"/>
    </xf>
    <xf numFmtId="0" fontId="2" fillId="5" borderId="33" xfId="0" applyFont="1" applyFill="1" applyBorder="1" applyAlignment="1">
      <alignment horizontal="center" vertical="center" textRotation="90"/>
    </xf>
    <xf numFmtId="0" fontId="2" fillId="5" borderId="35" xfId="0" applyFont="1" applyFill="1" applyBorder="1" applyAlignment="1">
      <alignment horizontal="center" vertical="center" textRotation="90"/>
    </xf>
    <xf numFmtId="0" fontId="2" fillId="5" borderId="37" xfId="0" applyFont="1" applyFill="1" applyBorder="1" applyAlignment="1">
      <alignment horizontal="center" vertical="center" textRotation="90"/>
    </xf>
    <xf numFmtId="0" fontId="2" fillId="5" borderId="34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2" fillId="5" borderId="22" xfId="0" applyFont="1" applyFill="1" applyBorder="1" applyAlignment="1">
      <alignment horizontal="center"/>
    </xf>
    <xf numFmtId="0" fontId="22" fillId="12" borderId="5" xfId="0" applyFont="1" applyFill="1" applyBorder="1" applyAlignment="1">
      <alignment horizontal="center"/>
    </xf>
    <xf numFmtId="4" fontId="22" fillId="12" borderId="5" xfId="0" applyNumberFormat="1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 vertical="center"/>
    </xf>
    <xf numFmtId="0" fontId="2" fillId="5" borderId="22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ED035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tockChart>
        <c:ser>
          <c:idx val="0"/>
          <c:order val="0"/>
          <c:tx>
            <c:strRef>
              <c:f>'Foot Field Analysis'!$B$12:$D$12</c:f>
              <c:strCache>
                <c:ptCount val="3"/>
                <c:pt idx="0">
                  <c:v>High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'Foot Field Analysis'!$E$11:$I$11</c:f>
              <c:strCache>
                <c:ptCount val="5"/>
                <c:pt idx="0">
                  <c:v>Comps Median</c:v>
                </c:pt>
                <c:pt idx="1">
                  <c:v>Comps Average</c:v>
                </c:pt>
                <c:pt idx="2">
                  <c:v>DCF</c:v>
                </c:pt>
                <c:pt idx="3">
                  <c:v>52-Week Hi/LO</c:v>
                </c:pt>
                <c:pt idx="4">
                  <c:v>Market Consenses</c:v>
                </c:pt>
              </c:strCache>
            </c:strRef>
          </c:cat>
          <c:val>
            <c:numRef>
              <c:f>'Foot Field Analysis'!$E$12:$I$12</c:f>
              <c:numCache>
                <c:formatCode>"₹"\ #,##0</c:formatCode>
                <c:ptCount val="5"/>
                <c:pt idx="0">
                  <c:v>730</c:v>
                </c:pt>
                <c:pt idx="1">
                  <c:v>738</c:v>
                </c:pt>
                <c:pt idx="2">
                  <c:v>1438</c:v>
                </c:pt>
                <c:pt idx="3">
                  <c:v>745</c:v>
                </c:pt>
                <c:pt idx="4">
                  <c:v>768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EA-4985-9FA6-1951842DB2D8}"/>
            </c:ext>
          </c:extLst>
        </c:ser>
        <c:ser>
          <c:idx val="1"/>
          <c:order val="1"/>
          <c:tx>
            <c:strRef>
              <c:f>'Foot Field Analysis'!$B$13:$D$13</c:f>
              <c:strCache>
                <c:ptCount val="3"/>
                <c:pt idx="0">
                  <c:v>High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'Foot Field Analysis'!$E$11:$I$11</c:f>
              <c:strCache>
                <c:ptCount val="5"/>
                <c:pt idx="0">
                  <c:v>Comps Median</c:v>
                </c:pt>
                <c:pt idx="1">
                  <c:v>Comps Average</c:v>
                </c:pt>
                <c:pt idx="2">
                  <c:v>DCF</c:v>
                </c:pt>
                <c:pt idx="3">
                  <c:v>52-Week Hi/LO</c:v>
                </c:pt>
                <c:pt idx="4">
                  <c:v>Market Consenses</c:v>
                </c:pt>
              </c:strCache>
            </c:strRef>
          </c:cat>
          <c:val>
            <c:numRef>
              <c:f>'Foot Field Analysis'!$E$13:$I$13</c:f>
              <c:numCache>
                <c:formatCode>"₹"\ #,##0</c:formatCode>
                <c:ptCount val="5"/>
                <c:pt idx="0">
                  <c:v>730</c:v>
                </c:pt>
                <c:pt idx="1">
                  <c:v>738</c:v>
                </c:pt>
                <c:pt idx="2">
                  <c:v>1438</c:v>
                </c:pt>
                <c:pt idx="3">
                  <c:v>745</c:v>
                </c:pt>
                <c:pt idx="4">
                  <c:v>768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EA-4985-9FA6-1951842DB2D8}"/>
            </c:ext>
          </c:extLst>
        </c:ser>
        <c:ser>
          <c:idx val="2"/>
          <c:order val="2"/>
          <c:tx>
            <c:strRef>
              <c:f>'Foot Field Analysis'!$B$14:$D$14</c:f>
              <c:strCache>
                <c:ptCount val="3"/>
                <c:pt idx="0">
                  <c:v>Low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'Foot Field Analysis'!$E$11:$I$11</c:f>
              <c:strCache>
                <c:ptCount val="5"/>
                <c:pt idx="0">
                  <c:v>Comps Median</c:v>
                </c:pt>
                <c:pt idx="1">
                  <c:v>Comps Average</c:v>
                </c:pt>
                <c:pt idx="2">
                  <c:v>DCF</c:v>
                </c:pt>
                <c:pt idx="3">
                  <c:v>52-Week Hi/LO</c:v>
                </c:pt>
                <c:pt idx="4">
                  <c:v>Market Consenses</c:v>
                </c:pt>
              </c:strCache>
            </c:strRef>
          </c:cat>
          <c:val>
            <c:numRef>
              <c:f>'Foot Field Analysis'!$E$14:$I$14</c:f>
              <c:numCache>
                <c:formatCode>"₹"\ #,##0</c:formatCode>
                <c:ptCount val="5"/>
                <c:pt idx="0">
                  <c:v>589</c:v>
                </c:pt>
                <c:pt idx="1">
                  <c:v>542</c:v>
                </c:pt>
                <c:pt idx="2">
                  <c:v>513</c:v>
                </c:pt>
                <c:pt idx="3">
                  <c:v>578</c:v>
                </c:pt>
                <c:pt idx="4">
                  <c:v>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0EA-4985-9FA6-1951842DB2D8}"/>
            </c:ext>
          </c:extLst>
        </c:ser>
        <c:ser>
          <c:idx val="3"/>
          <c:order val="3"/>
          <c:tx>
            <c:strRef>
              <c:f>'Foot Field Analysis'!$B$15:$D$15</c:f>
              <c:strCache>
                <c:ptCount val="3"/>
                <c:pt idx="0">
                  <c:v>Low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'Foot Field Analysis'!$E$11:$I$11</c:f>
              <c:strCache>
                <c:ptCount val="5"/>
                <c:pt idx="0">
                  <c:v>Comps Median</c:v>
                </c:pt>
                <c:pt idx="1">
                  <c:v>Comps Average</c:v>
                </c:pt>
                <c:pt idx="2">
                  <c:v>DCF</c:v>
                </c:pt>
                <c:pt idx="3">
                  <c:v>52-Week Hi/LO</c:v>
                </c:pt>
                <c:pt idx="4">
                  <c:v>Market Consenses</c:v>
                </c:pt>
              </c:strCache>
            </c:strRef>
          </c:cat>
          <c:val>
            <c:numRef>
              <c:f>'Foot Field Analysis'!$E$15:$I$15</c:f>
              <c:numCache>
                <c:formatCode>"₹"\ #,##0</c:formatCode>
                <c:ptCount val="5"/>
                <c:pt idx="0">
                  <c:v>589</c:v>
                </c:pt>
                <c:pt idx="1">
                  <c:v>542</c:v>
                </c:pt>
                <c:pt idx="2">
                  <c:v>513</c:v>
                </c:pt>
                <c:pt idx="3">
                  <c:v>578</c:v>
                </c:pt>
                <c:pt idx="4">
                  <c:v>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0EA-4985-9FA6-1951842DB2D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upDownBars>
          <c:gapWidth val="150"/>
          <c:upBars>
            <c:spPr>
              <a:solidFill>
                <a:schemeClr val="lt1"/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upBars>
          <c:downBars>
            <c:spPr>
              <a:solidFill>
                <a:srgbClr val="002060"/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downBars>
        </c:upDownBars>
        <c:axId val="709440256"/>
        <c:axId val="709436648"/>
      </c:stockChart>
      <c:catAx>
        <c:axId val="709440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436648"/>
        <c:crosses val="autoZero"/>
        <c:auto val="1"/>
        <c:lblAlgn val="ctr"/>
        <c:lblOffset val="100"/>
        <c:noMultiLvlLbl val="0"/>
      </c:catAx>
      <c:valAx>
        <c:axId val="709436648"/>
        <c:scaling>
          <c:orientation val="minMax"/>
          <c:min val="200"/>
        </c:scaling>
        <c:delete val="0"/>
        <c:axPos val="l"/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440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276225</xdr:colOff>
      <xdr:row>6</xdr:row>
      <xdr:rowOff>123825</xdr:rowOff>
    </xdr:from>
    <xdr:to>
      <xdr:col>10</xdr:col>
      <xdr:colOff>571006</xdr:colOff>
      <xdr:row>27</xdr:row>
      <xdr:rowOff>57150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10075" y="1266825"/>
          <a:ext cx="3952381" cy="4010025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0</xdr:row>
      <xdr:rowOff>28575</xdr:rowOff>
    </xdr:from>
    <xdr:to>
      <xdr:col>1</xdr:col>
      <xdr:colOff>1200151</xdr:colOff>
      <xdr:row>5</xdr:row>
      <xdr:rowOff>0</xdr:rowOff>
    </xdr:to>
    <xdr:pic>
      <xdr:nvPicPr>
        <xdr:cNvPr id="8" name="Picture 7" descr="Download Marico Logo in SVG Vector or PNG File Format - Logo.win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19" t="12170" r="19568" b="13745"/>
        <a:stretch/>
      </xdr:blipFill>
      <xdr:spPr bwMode="auto">
        <a:xfrm>
          <a:off x="123826" y="28575"/>
          <a:ext cx="1200150" cy="923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1200150</xdr:colOff>
      <xdr:row>4</xdr:row>
      <xdr:rowOff>161925</xdr:rowOff>
    </xdr:to>
    <xdr:pic>
      <xdr:nvPicPr>
        <xdr:cNvPr id="2" name="Picture 1" descr="Download Marico Logo in SVG Vector or PNG File Format - Logo.win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19" t="12170" r="19568" b="13745"/>
        <a:stretch/>
      </xdr:blipFill>
      <xdr:spPr bwMode="auto">
        <a:xfrm>
          <a:off x="114300" y="0"/>
          <a:ext cx="1200150" cy="923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1200150</xdr:colOff>
      <xdr:row>4</xdr:row>
      <xdr:rowOff>161925</xdr:rowOff>
    </xdr:to>
    <xdr:pic>
      <xdr:nvPicPr>
        <xdr:cNvPr id="2" name="Picture 1" descr="Download Marico Logo in SVG Vector or PNG File Format - Logo.win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19" t="12170" r="19568" b="13745"/>
        <a:stretch/>
      </xdr:blipFill>
      <xdr:spPr bwMode="auto">
        <a:xfrm>
          <a:off x="123825" y="0"/>
          <a:ext cx="1200150" cy="923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</xdr:rowOff>
    </xdr:from>
    <xdr:to>
      <xdr:col>1</xdr:col>
      <xdr:colOff>1009650</xdr:colOff>
      <xdr:row>2</xdr:row>
      <xdr:rowOff>171451</xdr:rowOff>
    </xdr:to>
    <xdr:pic>
      <xdr:nvPicPr>
        <xdr:cNvPr id="2" name="Picture 1" descr="Download Marico Logo in SVG Vector or PNG File Format - Logo.win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19" t="12170" r="19568" b="13745"/>
        <a:stretch/>
      </xdr:blipFill>
      <xdr:spPr bwMode="auto">
        <a:xfrm>
          <a:off x="123825" y="1"/>
          <a:ext cx="1009650" cy="552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952500</xdr:colOff>
      <xdr:row>2</xdr:row>
      <xdr:rowOff>190499</xdr:rowOff>
    </xdr:to>
    <xdr:pic>
      <xdr:nvPicPr>
        <xdr:cNvPr id="2" name="Picture 1" descr="Download Marico Logo in SVG Vector or PNG File Format - Logo.win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19" t="12170" r="19568" b="13745"/>
        <a:stretch/>
      </xdr:blipFill>
      <xdr:spPr bwMode="auto">
        <a:xfrm>
          <a:off x="123825" y="0"/>
          <a:ext cx="952500" cy="5714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952500</xdr:colOff>
      <xdr:row>2</xdr:row>
      <xdr:rowOff>190499</xdr:rowOff>
    </xdr:to>
    <xdr:pic>
      <xdr:nvPicPr>
        <xdr:cNvPr id="2" name="Picture 1" descr="Download Marico Logo in SVG Vector or PNG File Format - Logo.win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19" t="12170" r="19568" b="13745"/>
        <a:stretch/>
      </xdr:blipFill>
      <xdr:spPr bwMode="auto">
        <a:xfrm>
          <a:off x="123825" y="0"/>
          <a:ext cx="952500" cy="5714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952500</xdr:colOff>
      <xdr:row>2</xdr:row>
      <xdr:rowOff>190499</xdr:rowOff>
    </xdr:to>
    <xdr:pic>
      <xdr:nvPicPr>
        <xdr:cNvPr id="2" name="Picture 1" descr="Download Marico Logo in SVG Vector or PNG File Format - Logo.win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19" t="12170" r="19568" b="13745"/>
        <a:stretch/>
      </xdr:blipFill>
      <xdr:spPr bwMode="auto">
        <a:xfrm>
          <a:off x="123825" y="0"/>
          <a:ext cx="952500" cy="5714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66674</xdr:colOff>
      <xdr:row>0</xdr:row>
      <xdr:rowOff>85725</xdr:rowOff>
    </xdr:from>
    <xdr:to>
      <xdr:col>1</xdr:col>
      <xdr:colOff>1181099</xdr:colOff>
      <xdr:row>5</xdr:row>
      <xdr:rowOff>9525</xdr:rowOff>
    </xdr:to>
    <xdr:pic>
      <xdr:nvPicPr>
        <xdr:cNvPr id="2" name="Picture 1" descr="Download Marico Logo in SVG Vector or PNG File Format - Logo.win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19" t="12170" r="19568" b="13745"/>
        <a:stretch/>
      </xdr:blipFill>
      <xdr:spPr bwMode="auto">
        <a:xfrm>
          <a:off x="190499" y="85725"/>
          <a:ext cx="1114425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0</xdr:row>
      <xdr:rowOff>180975</xdr:rowOff>
    </xdr:from>
    <xdr:to>
      <xdr:col>1</xdr:col>
      <xdr:colOff>1295400</xdr:colOff>
      <xdr:row>5</xdr:row>
      <xdr:rowOff>171450</xdr:rowOff>
    </xdr:to>
    <xdr:pic>
      <xdr:nvPicPr>
        <xdr:cNvPr id="2" name="Picture 1" descr="Download Marico Logo in SVG Vector or PNG File Format - Logo.win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19" t="12170" r="19568" b="13745"/>
        <a:stretch/>
      </xdr:blipFill>
      <xdr:spPr bwMode="auto">
        <a:xfrm>
          <a:off x="152400" y="180975"/>
          <a:ext cx="1266825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152400</xdr:rowOff>
    </xdr:from>
    <xdr:to>
      <xdr:col>1</xdr:col>
      <xdr:colOff>1285875</xdr:colOff>
      <xdr:row>5</xdr:row>
      <xdr:rowOff>142875</xdr:rowOff>
    </xdr:to>
    <xdr:pic>
      <xdr:nvPicPr>
        <xdr:cNvPr id="2" name="Picture 1" descr="Download Marico Logo in SVG Vector or PNG File Format - Logo.win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19" t="12170" r="19568" b="13745"/>
        <a:stretch/>
      </xdr:blipFill>
      <xdr:spPr bwMode="auto">
        <a:xfrm>
          <a:off x="142875" y="152400"/>
          <a:ext cx="1266825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0</xdr:row>
      <xdr:rowOff>114300</xdr:rowOff>
    </xdr:from>
    <xdr:to>
      <xdr:col>1</xdr:col>
      <xdr:colOff>1295400</xdr:colOff>
      <xdr:row>5</xdr:row>
      <xdr:rowOff>104775</xdr:rowOff>
    </xdr:to>
    <xdr:pic>
      <xdr:nvPicPr>
        <xdr:cNvPr id="2" name="Picture 1" descr="Download Marico Logo in SVG Vector or PNG File Format - Logo.win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19" t="12170" r="19568" b="13745"/>
        <a:stretch/>
      </xdr:blipFill>
      <xdr:spPr bwMode="auto">
        <a:xfrm>
          <a:off x="152400" y="114300"/>
          <a:ext cx="1266825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133350</xdr:rowOff>
    </xdr:from>
    <xdr:to>
      <xdr:col>2</xdr:col>
      <xdr:colOff>85725</xdr:colOff>
      <xdr:row>5</xdr:row>
      <xdr:rowOff>123825</xdr:rowOff>
    </xdr:to>
    <xdr:pic>
      <xdr:nvPicPr>
        <xdr:cNvPr id="2" name="Picture 1" descr="Download Marico Logo in SVG Vector or PNG File Format - Logo.win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19" t="12170" r="19568" b="13745"/>
        <a:stretch/>
      </xdr:blipFill>
      <xdr:spPr bwMode="auto">
        <a:xfrm>
          <a:off x="123825" y="133350"/>
          <a:ext cx="1266825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1</xdr:row>
      <xdr:rowOff>152400</xdr:rowOff>
    </xdr:from>
    <xdr:to>
      <xdr:col>2</xdr:col>
      <xdr:colOff>571500</xdr:colOff>
      <xdr:row>6</xdr:row>
      <xdr:rowOff>142875</xdr:rowOff>
    </xdr:to>
    <xdr:pic>
      <xdr:nvPicPr>
        <xdr:cNvPr id="2" name="Picture 1" descr="Download Marico Logo in SVG Vector or PNG File Format - Logo.win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19" t="12170" r="19568" b="13745"/>
        <a:stretch/>
      </xdr:blipFill>
      <xdr:spPr bwMode="auto">
        <a:xfrm>
          <a:off x="104775" y="342900"/>
          <a:ext cx="1266825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1</xdr:row>
      <xdr:rowOff>114300</xdr:rowOff>
    </xdr:from>
    <xdr:to>
      <xdr:col>2</xdr:col>
      <xdr:colOff>838200</xdr:colOff>
      <xdr:row>6</xdr:row>
      <xdr:rowOff>104775</xdr:rowOff>
    </xdr:to>
    <xdr:pic>
      <xdr:nvPicPr>
        <xdr:cNvPr id="2" name="Picture 1" descr="Download Marico Logo in SVG Vector or PNG File Format - Logo.win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19" t="12170" r="19568" b="13745"/>
        <a:stretch/>
      </xdr:blipFill>
      <xdr:spPr bwMode="auto">
        <a:xfrm>
          <a:off x="190500" y="304800"/>
          <a:ext cx="1266825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1</xdr:row>
      <xdr:rowOff>95250</xdr:rowOff>
    </xdr:from>
    <xdr:to>
      <xdr:col>2</xdr:col>
      <xdr:colOff>247650</xdr:colOff>
      <xdr:row>6</xdr:row>
      <xdr:rowOff>85725</xdr:rowOff>
    </xdr:to>
    <xdr:pic>
      <xdr:nvPicPr>
        <xdr:cNvPr id="2" name="Picture 1" descr="Download Marico Logo in SVG Vector or PNG File Format - Logo.win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19" t="12170" r="19568" b="13745"/>
        <a:stretch/>
      </xdr:blipFill>
      <xdr:spPr bwMode="auto">
        <a:xfrm>
          <a:off x="161925" y="285750"/>
          <a:ext cx="1266825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0</xdr:rowOff>
    </xdr:from>
    <xdr:to>
      <xdr:col>2</xdr:col>
      <xdr:colOff>676275</xdr:colOff>
      <xdr:row>4</xdr:row>
      <xdr:rowOff>180975</xdr:rowOff>
    </xdr:to>
    <xdr:pic>
      <xdr:nvPicPr>
        <xdr:cNvPr id="2" name="Picture 1" descr="Download Marico Logo in SVG Vector or PNG File Format - Logo.win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19" t="12170" r="19568" b="13745"/>
        <a:stretch/>
      </xdr:blipFill>
      <xdr:spPr bwMode="auto">
        <a:xfrm>
          <a:off x="142875" y="0"/>
          <a:ext cx="1266825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161925</xdr:rowOff>
    </xdr:from>
    <xdr:to>
      <xdr:col>2</xdr:col>
      <xdr:colOff>76200</xdr:colOff>
      <xdr:row>9</xdr:row>
      <xdr:rowOff>0</xdr:rowOff>
    </xdr:to>
    <xdr:pic>
      <xdr:nvPicPr>
        <xdr:cNvPr id="2" name="Picture 1" descr="Download Marico Logo in SVG Vector or PNG File Format - Logo.win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19" t="12170" r="19568" b="13745"/>
        <a:stretch/>
      </xdr:blipFill>
      <xdr:spPr bwMode="auto">
        <a:xfrm>
          <a:off x="123825" y="542925"/>
          <a:ext cx="1466850" cy="1171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142875</xdr:rowOff>
    </xdr:from>
    <xdr:to>
      <xdr:col>1</xdr:col>
      <xdr:colOff>1457325</xdr:colOff>
      <xdr:row>6</xdr:row>
      <xdr:rowOff>171450</xdr:rowOff>
    </xdr:to>
    <xdr:pic>
      <xdr:nvPicPr>
        <xdr:cNvPr id="2" name="Picture 1" descr="Download Marico Logo in SVG Vector or PNG File Format - Logo.win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19" t="12170" r="19568" b="13745"/>
        <a:stretch/>
      </xdr:blipFill>
      <xdr:spPr bwMode="auto">
        <a:xfrm>
          <a:off x="114300" y="142875"/>
          <a:ext cx="1466850" cy="1171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16</xdr:row>
      <xdr:rowOff>161924</xdr:rowOff>
    </xdr:from>
    <xdr:to>
      <xdr:col>9</xdr:col>
      <xdr:colOff>600075</xdr:colOff>
      <xdr:row>36</xdr:row>
      <xdr:rowOff>95249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123825</xdr:colOff>
      <xdr:row>28</xdr:row>
      <xdr:rowOff>57150</xdr:rowOff>
    </xdr:from>
    <xdr:to>
      <xdr:col>9</xdr:col>
      <xdr:colOff>476250</xdr:colOff>
      <xdr:row>28</xdr:row>
      <xdr:rowOff>104775</xdr:rowOff>
    </xdr:to>
    <xdr:cxnSp macro="">
      <xdr:nvCxnSpPr>
        <xdr:cNvPr id="5" name="Straight Connector 4"/>
        <xdr:cNvCxnSpPr/>
      </xdr:nvCxnSpPr>
      <xdr:spPr>
        <a:xfrm flipV="1">
          <a:off x="857250" y="5419725"/>
          <a:ext cx="5924550" cy="47625"/>
        </a:xfrm>
        <a:prstGeom prst="line">
          <a:avLst/>
        </a:prstGeom>
        <a:ln w="22225" cap="flat" cmpd="sng" algn="ctr">
          <a:solidFill>
            <a:schemeClr val="accent2">
              <a:lumMod val="75000"/>
            </a:schemeClr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9525</xdr:colOff>
      <xdr:row>0</xdr:row>
      <xdr:rowOff>171450</xdr:rowOff>
    </xdr:from>
    <xdr:to>
      <xdr:col>3</xdr:col>
      <xdr:colOff>257175</xdr:colOff>
      <xdr:row>7</xdr:row>
      <xdr:rowOff>9525</xdr:rowOff>
    </xdr:to>
    <xdr:pic>
      <xdr:nvPicPr>
        <xdr:cNvPr id="6" name="Picture 5" descr="Download Marico Logo in SVG Vector or PNG File Format - Logo.win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19" t="12170" r="19568" b="13745"/>
        <a:stretch/>
      </xdr:blipFill>
      <xdr:spPr bwMode="auto">
        <a:xfrm>
          <a:off x="133350" y="171450"/>
          <a:ext cx="1466850" cy="1171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K29"/>
  <sheetViews>
    <sheetView showGridLines="0" topLeftCell="A7" workbookViewId="0">
      <selection activeCell="O12" sqref="O12:P12"/>
    </sheetView>
  </sheetViews>
  <sheetFormatPr defaultRowHeight="15" x14ac:dyDescent="0.25"/>
  <cols>
    <col min="1" max="1" width="1.85546875" customWidth="1"/>
    <col min="2" max="2" width="22.42578125" bestFit="1" customWidth="1"/>
    <col min="3" max="3" width="28.5703125" bestFit="1" customWidth="1"/>
  </cols>
  <sheetData>
    <row r="6" spans="2:11" x14ac:dyDescent="0.25">
      <c r="B6" s="285"/>
      <c r="C6" s="285"/>
      <c r="D6" s="285"/>
      <c r="E6" s="285"/>
      <c r="F6" s="285"/>
      <c r="G6" s="285"/>
      <c r="H6" s="285"/>
      <c r="I6" s="285"/>
      <c r="J6" s="285"/>
      <c r="K6" s="285"/>
    </row>
    <row r="7" spans="2:11" ht="15.75" thickBot="1" x14ac:dyDescent="0.3"/>
    <row r="8" spans="2:11" ht="15.75" thickBot="1" x14ac:dyDescent="0.3">
      <c r="B8" s="335" t="s">
        <v>147</v>
      </c>
      <c r="C8" s="336"/>
    </row>
    <row r="9" spans="2:11" ht="15.75" thickBot="1" x14ac:dyDescent="0.3">
      <c r="B9" s="262" t="s">
        <v>149</v>
      </c>
      <c r="C9" s="263">
        <f>IF(B9="Best",1,IF(B9="Base",2,3))</f>
        <v>2</v>
      </c>
    </row>
    <row r="11" spans="2:11" ht="15.75" thickBot="1" x14ac:dyDescent="0.3"/>
    <row r="12" spans="2:11" x14ac:dyDescent="0.25">
      <c r="B12" s="337" t="s">
        <v>341</v>
      </c>
      <c r="C12" s="338"/>
    </row>
    <row r="13" spans="2:11" x14ac:dyDescent="0.25">
      <c r="B13" s="273" t="s">
        <v>342</v>
      </c>
      <c r="C13" s="274">
        <v>45883</v>
      </c>
    </row>
    <row r="14" spans="2:11" x14ac:dyDescent="0.25">
      <c r="B14" s="275" t="s">
        <v>343</v>
      </c>
      <c r="C14" s="276">
        <v>46112</v>
      </c>
    </row>
    <row r="15" spans="2:11" x14ac:dyDescent="0.25">
      <c r="B15" s="275" t="s">
        <v>344</v>
      </c>
      <c r="C15" s="277">
        <v>6.4630000000000007E-2</v>
      </c>
    </row>
    <row r="16" spans="2:11" x14ac:dyDescent="0.25">
      <c r="B16" s="275" t="s">
        <v>345</v>
      </c>
      <c r="C16" s="278">
        <v>0.22228214650532618</v>
      </c>
    </row>
    <row r="17" spans="2:11" x14ac:dyDescent="0.25">
      <c r="B17" s="275" t="s">
        <v>346</v>
      </c>
      <c r="C17" s="279">
        <f>'Comps Valuation'!E36</f>
        <v>37.41989627255942</v>
      </c>
    </row>
    <row r="18" spans="2:11" x14ac:dyDescent="0.25">
      <c r="B18" s="275" t="s">
        <v>347</v>
      </c>
      <c r="C18" s="278">
        <v>0.05</v>
      </c>
    </row>
    <row r="19" spans="2:11" x14ac:dyDescent="0.25">
      <c r="B19" s="275" t="s">
        <v>348</v>
      </c>
      <c r="C19" s="280">
        <f>WACC!C52</f>
        <v>8.0628448796998112E-2</v>
      </c>
    </row>
    <row r="20" spans="2:11" x14ac:dyDescent="0.25">
      <c r="B20" s="275" t="s">
        <v>349</v>
      </c>
      <c r="C20" s="281">
        <v>129.78</v>
      </c>
    </row>
    <row r="21" spans="2:11" x14ac:dyDescent="0.25">
      <c r="B21" s="275" t="s">
        <v>350</v>
      </c>
      <c r="C21" s="282">
        <v>711</v>
      </c>
    </row>
    <row r="22" spans="2:11" ht="15.75" thickBot="1" x14ac:dyDescent="0.3">
      <c r="B22" s="283" t="s">
        <v>351</v>
      </c>
      <c r="C22" s="284">
        <f>C21*C20</f>
        <v>92273.58</v>
      </c>
    </row>
    <row r="23" spans="2:11" ht="15.75" thickBot="1" x14ac:dyDescent="0.3"/>
    <row r="24" spans="2:11" ht="15.75" thickBot="1" x14ac:dyDescent="0.3">
      <c r="B24" s="339" t="s">
        <v>382</v>
      </c>
      <c r="C24" s="340"/>
    </row>
    <row r="25" spans="2:11" x14ac:dyDescent="0.25">
      <c r="B25" s="264" t="s">
        <v>383</v>
      </c>
      <c r="C25" s="265" t="s">
        <v>384</v>
      </c>
    </row>
    <row r="26" spans="2:11" x14ac:dyDescent="0.25">
      <c r="B26" s="266" t="s">
        <v>385</v>
      </c>
      <c r="C26" s="267" t="s">
        <v>386</v>
      </c>
    </row>
    <row r="27" spans="2:11" ht="15.75" thickBot="1" x14ac:dyDescent="0.3">
      <c r="B27" s="268" t="s">
        <v>387</v>
      </c>
      <c r="C27" s="269" t="s">
        <v>388</v>
      </c>
    </row>
    <row r="29" spans="2:11" x14ac:dyDescent="0.25">
      <c r="B29" s="285"/>
      <c r="C29" s="285"/>
      <c r="D29" s="285"/>
      <c r="E29" s="285"/>
      <c r="F29" s="285"/>
      <c r="G29" s="285"/>
      <c r="H29" s="285"/>
      <c r="I29" s="285"/>
      <c r="J29" s="285"/>
      <c r="K29" s="285"/>
    </row>
  </sheetData>
  <mergeCells count="3">
    <mergeCell ref="B8:C8"/>
    <mergeCell ref="B12:C12"/>
    <mergeCell ref="B24:C24"/>
  </mergeCells>
  <dataValidations count="1">
    <dataValidation type="list" allowBlank="1" showInputMessage="1" showErrorMessage="1" sqref="B9">
      <formula1>"Best, Base, Worst"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G31"/>
  <sheetViews>
    <sheetView showGridLines="0" workbookViewId="0">
      <selection activeCell="B3" sqref="B3"/>
    </sheetView>
  </sheetViews>
  <sheetFormatPr defaultRowHeight="15" x14ac:dyDescent="0.25"/>
  <cols>
    <col min="1" max="1" width="1.7109375" customWidth="1"/>
    <col min="2" max="2" width="77" bestFit="1" customWidth="1"/>
  </cols>
  <sheetData>
    <row r="6" spans="2:7" ht="15.75" thickBot="1" x14ac:dyDescent="0.3">
      <c r="B6" s="341" t="s">
        <v>0</v>
      </c>
      <c r="C6" s="341"/>
      <c r="D6" s="341"/>
      <c r="E6" s="341"/>
      <c r="F6" s="341"/>
      <c r="G6" s="341"/>
    </row>
    <row r="7" spans="2:7" x14ac:dyDescent="0.25">
      <c r="B7" s="24" t="s">
        <v>390</v>
      </c>
    </row>
    <row r="8" spans="2:7" x14ac:dyDescent="0.25">
      <c r="B8" s="271" t="s">
        <v>389</v>
      </c>
      <c r="C8" s="271">
        <v>2021</v>
      </c>
      <c r="D8" s="271">
        <f t="shared" ref="D8:G8" si="0">C8+1</f>
        <v>2022</v>
      </c>
      <c r="E8" s="271">
        <f t="shared" si="0"/>
        <v>2023</v>
      </c>
      <c r="F8" s="271">
        <f t="shared" si="0"/>
        <v>2024</v>
      </c>
      <c r="G8" s="271">
        <f t="shared" si="0"/>
        <v>2025</v>
      </c>
    </row>
    <row r="9" spans="2:7" x14ac:dyDescent="0.25">
      <c r="B9" s="1" t="s">
        <v>1</v>
      </c>
    </row>
    <row r="10" spans="2:7" ht="16.5" x14ac:dyDescent="0.3">
      <c r="B10" s="2" t="s">
        <v>2</v>
      </c>
      <c r="C10" s="81">
        <v>8048</v>
      </c>
      <c r="D10" s="81">
        <v>9512</v>
      </c>
      <c r="E10" s="81">
        <v>9764</v>
      </c>
      <c r="F10" s="81">
        <v>9653</v>
      </c>
      <c r="G10" s="67">
        <v>10831</v>
      </c>
    </row>
    <row r="11" spans="2:7" ht="16.5" x14ac:dyDescent="0.3">
      <c r="B11" s="2" t="s">
        <v>3</v>
      </c>
      <c r="C11" s="81">
        <v>94</v>
      </c>
      <c r="D11" s="81">
        <v>98</v>
      </c>
      <c r="E11" s="81">
        <v>144</v>
      </c>
      <c r="F11" s="81">
        <v>142</v>
      </c>
      <c r="G11" s="64">
        <v>208</v>
      </c>
    </row>
    <row r="12" spans="2:7" ht="16.5" x14ac:dyDescent="0.3">
      <c r="B12" s="3" t="s">
        <v>4</v>
      </c>
      <c r="C12" s="8">
        <f t="shared" ref="C12:E12" si="1">SUM(C10:C11)</f>
        <v>8142</v>
      </c>
      <c r="D12" s="8">
        <f t="shared" si="1"/>
        <v>9610</v>
      </c>
      <c r="E12" s="8">
        <f t="shared" si="1"/>
        <v>9908</v>
      </c>
      <c r="F12" s="8">
        <f>SUM(F10:F11)</f>
        <v>9795</v>
      </c>
      <c r="G12" s="8">
        <f>SUM(G10:G11)</f>
        <v>11039</v>
      </c>
    </row>
    <row r="13" spans="2:7" ht="16.5" x14ac:dyDescent="0.3">
      <c r="B13" s="1" t="s">
        <v>5</v>
      </c>
      <c r="C13" s="7"/>
      <c r="D13" s="7"/>
      <c r="E13" s="7"/>
      <c r="F13" s="7"/>
    </row>
    <row r="14" spans="2:7" ht="16.5" x14ac:dyDescent="0.3">
      <c r="B14" s="2" t="s">
        <v>6</v>
      </c>
      <c r="C14" s="81">
        <v>3884</v>
      </c>
      <c r="D14" s="81">
        <v>5061</v>
      </c>
      <c r="E14" s="81">
        <v>4649</v>
      </c>
      <c r="F14" s="81">
        <v>3941</v>
      </c>
      <c r="G14" s="67">
        <v>4572</v>
      </c>
    </row>
    <row r="15" spans="2:7" ht="16.5" x14ac:dyDescent="0.3">
      <c r="B15" s="2" t="s">
        <v>7</v>
      </c>
      <c r="C15" s="81">
        <v>339</v>
      </c>
      <c r="D15" s="81">
        <v>491</v>
      </c>
      <c r="E15" s="81">
        <v>541</v>
      </c>
      <c r="F15" s="81">
        <v>752</v>
      </c>
      <c r="G15" s="64">
        <v>960</v>
      </c>
    </row>
    <row r="16" spans="2:7" ht="16.5" x14ac:dyDescent="0.3">
      <c r="B16" s="2" t="s">
        <v>20</v>
      </c>
      <c r="C16" s="82">
        <v>47</v>
      </c>
      <c r="D16" s="82">
        <v>-116</v>
      </c>
      <c r="E16" s="82">
        <v>161</v>
      </c>
      <c r="F16" s="82">
        <v>55</v>
      </c>
      <c r="G16" s="64">
        <v>-144</v>
      </c>
    </row>
    <row r="17" spans="2:7" ht="16.5" x14ac:dyDescent="0.3">
      <c r="B17" s="2" t="s">
        <v>8</v>
      </c>
      <c r="C17" s="81">
        <v>570</v>
      </c>
      <c r="D17" s="81">
        <v>586</v>
      </c>
      <c r="E17" s="81">
        <v>653</v>
      </c>
      <c r="F17" s="81">
        <v>743</v>
      </c>
      <c r="G17" s="64">
        <v>831</v>
      </c>
    </row>
    <row r="18" spans="2:7" ht="16.5" x14ac:dyDescent="0.3">
      <c r="B18" s="2" t="s">
        <v>9</v>
      </c>
      <c r="C18" s="81">
        <v>34</v>
      </c>
      <c r="D18" s="81">
        <v>39</v>
      </c>
      <c r="E18" s="81">
        <v>56</v>
      </c>
      <c r="F18" s="81">
        <v>73</v>
      </c>
      <c r="G18" s="64">
        <v>53</v>
      </c>
    </row>
    <row r="19" spans="2:7" ht="16.5" x14ac:dyDescent="0.3">
      <c r="B19" s="2" t="s">
        <v>10</v>
      </c>
      <c r="C19" s="81">
        <v>139</v>
      </c>
      <c r="D19" s="81">
        <v>139</v>
      </c>
      <c r="E19" s="81">
        <v>155</v>
      </c>
      <c r="F19" s="81">
        <v>158</v>
      </c>
      <c r="G19" s="64">
        <v>178</v>
      </c>
    </row>
    <row r="20" spans="2:7" ht="16.5" x14ac:dyDescent="0.3">
      <c r="B20" s="2" t="s">
        <v>11</v>
      </c>
      <c r="C20" s="81">
        <v>1617</v>
      </c>
      <c r="D20" s="81">
        <v>1809</v>
      </c>
      <c r="E20" s="81">
        <v>1950</v>
      </c>
      <c r="F20" s="81">
        <v>2136</v>
      </c>
      <c r="G20" s="67">
        <v>2473</v>
      </c>
    </row>
    <row r="21" spans="2:7" x14ac:dyDescent="0.25">
      <c r="B21" s="4" t="s">
        <v>12</v>
      </c>
      <c r="C21" s="8">
        <f>SUM(C14:C20)</f>
        <v>6630</v>
      </c>
      <c r="D21" s="8">
        <f>SUM(D14:D20)</f>
        <v>8009</v>
      </c>
      <c r="E21" s="8">
        <f>SUM(E14:E20)</f>
        <v>8165</v>
      </c>
      <c r="F21" s="8">
        <f>SUM(F14:F20)</f>
        <v>7858</v>
      </c>
      <c r="G21" s="8">
        <f>SUM(G14:G20)</f>
        <v>8923</v>
      </c>
    </row>
    <row r="22" spans="2:7" x14ac:dyDescent="0.25">
      <c r="B22" s="1" t="s">
        <v>13</v>
      </c>
      <c r="C22" s="11">
        <f>C12-C21</f>
        <v>1512</v>
      </c>
      <c r="D22" s="11">
        <f>D12-D21</f>
        <v>1601</v>
      </c>
      <c r="E22" s="11">
        <f>E12-E21</f>
        <v>1743</v>
      </c>
      <c r="F22" s="11">
        <f>F12-F21</f>
        <v>1937</v>
      </c>
      <c r="G22" s="11">
        <f>G12-G21</f>
        <v>2116</v>
      </c>
    </row>
    <row r="23" spans="2:7" ht="16.5" x14ac:dyDescent="0.3">
      <c r="B23" s="2" t="s">
        <v>19</v>
      </c>
      <c r="C23" s="81">
        <v>-2</v>
      </c>
      <c r="D23" s="10"/>
      <c r="E23" s="7"/>
      <c r="F23" s="7"/>
    </row>
    <row r="24" spans="2:7" x14ac:dyDescent="0.25">
      <c r="B24" s="1" t="s">
        <v>13</v>
      </c>
      <c r="C24" s="11">
        <f>C22+C23</f>
        <v>1510</v>
      </c>
      <c r="D24" s="11">
        <f>D22+D23</f>
        <v>1601</v>
      </c>
      <c r="E24" s="11">
        <f>E22+E23</f>
        <v>1743</v>
      </c>
      <c r="F24" s="11">
        <f>F22+F23</f>
        <v>1937</v>
      </c>
      <c r="G24" s="11">
        <f>G22+G23</f>
        <v>2116</v>
      </c>
    </row>
    <row r="25" spans="2:7" ht="16.5" x14ac:dyDescent="0.3">
      <c r="B25" s="2" t="s">
        <v>14</v>
      </c>
      <c r="C25" s="81">
        <v>13</v>
      </c>
      <c r="D25" s="10"/>
      <c r="E25" s="7"/>
      <c r="F25" s="7"/>
    </row>
    <row r="26" spans="2:7" x14ac:dyDescent="0.25">
      <c r="B26" s="1" t="s">
        <v>15</v>
      </c>
      <c r="C26" s="11">
        <f t="shared" ref="C26:G26" si="2">C24+C25</f>
        <v>1523</v>
      </c>
      <c r="D26" s="11">
        <f t="shared" si="2"/>
        <v>1601</v>
      </c>
      <c r="E26" s="11">
        <f t="shared" si="2"/>
        <v>1743</v>
      </c>
      <c r="F26" s="11">
        <f t="shared" si="2"/>
        <v>1937</v>
      </c>
      <c r="G26" s="11">
        <f t="shared" si="2"/>
        <v>2116</v>
      </c>
    </row>
    <row r="27" spans="2:7" ht="16.5" x14ac:dyDescent="0.3">
      <c r="B27" s="2" t="s">
        <v>16</v>
      </c>
      <c r="C27" s="7"/>
      <c r="D27" s="7"/>
      <c r="E27" s="7"/>
      <c r="F27" s="7"/>
    </row>
    <row r="28" spans="2:7" ht="16.5" x14ac:dyDescent="0.3">
      <c r="B28" s="2" t="s">
        <v>17</v>
      </c>
      <c r="C28" s="81">
        <v>324</v>
      </c>
      <c r="D28" s="81">
        <v>346</v>
      </c>
      <c r="E28" s="81">
        <v>421</v>
      </c>
      <c r="F28" s="81">
        <v>435</v>
      </c>
      <c r="G28" s="64">
        <v>458</v>
      </c>
    </row>
    <row r="29" spans="2:7" x14ac:dyDescent="0.25">
      <c r="B29" s="4" t="s">
        <v>18</v>
      </c>
      <c r="C29" s="8">
        <f t="shared" ref="C29:G29" si="3">C26-C28</f>
        <v>1199</v>
      </c>
      <c r="D29" s="8">
        <f t="shared" si="3"/>
        <v>1255</v>
      </c>
      <c r="E29" s="8">
        <f t="shared" si="3"/>
        <v>1322</v>
      </c>
      <c r="F29" s="8">
        <f t="shared" si="3"/>
        <v>1502</v>
      </c>
      <c r="G29" s="8">
        <f t="shared" si="3"/>
        <v>1658</v>
      </c>
    </row>
    <row r="30" spans="2:7" ht="16.5" x14ac:dyDescent="0.3">
      <c r="B30" s="5"/>
      <c r="C30" s="7"/>
      <c r="D30" s="7"/>
      <c r="E30" s="7"/>
      <c r="F30" s="7"/>
    </row>
    <row r="31" spans="2:7" ht="16.5" x14ac:dyDescent="0.3">
      <c r="B31" s="5"/>
      <c r="C31" s="7"/>
      <c r="D31" s="11"/>
      <c r="E31" s="7"/>
      <c r="F31" s="9"/>
    </row>
  </sheetData>
  <mergeCells count="1">
    <mergeCell ref="B6:G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Q48"/>
  <sheetViews>
    <sheetView showGridLines="0" topLeftCell="B1" workbookViewId="0">
      <selection activeCell="B1" sqref="B1"/>
    </sheetView>
  </sheetViews>
  <sheetFormatPr defaultRowHeight="15" x14ac:dyDescent="0.25"/>
  <cols>
    <col min="1" max="1" width="1.85546875" customWidth="1"/>
    <col min="2" max="2" width="51.5703125" bestFit="1" customWidth="1"/>
    <col min="3" max="12" width="9.5703125" bestFit="1" customWidth="1"/>
    <col min="13" max="17" width="10.5703125" bestFit="1" customWidth="1"/>
  </cols>
  <sheetData>
    <row r="6" spans="2:17" ht="15.75" thickBot="1" x14ac:dyDescent="0.3">
      <c r="B6" s="341" t="s">
        <v>0</v>
      </c>
      <c r="C6" s="341"/>
      <c r="D6" s="341"/>
      <c r="E6" s="341"/>
      <c r="F6" s="341"/>
      <c r="G6" s="341"/>
      <c r="H6" s="341"/>
      <c r="I6" s="341"/>
      <c r="J6" s="341"/>
      <c r="K6" s="341"/>
      <c r="L6" s="341"/>
      <c r="M6" s="341"/>
      <c r="N6" s="341"/>
      <c r="O6" s="341"/>
      <c r="P6" s="341"/>
      <c r="Q6" s="341"/>
    </row>
    <row r="7" spans="2:17" x14ac:dyDescent="0.25">
      <c r="B7" s="24" t="s">
        <v>390</v>
      </c>
    </row>
    <row r="8" spans="2:17" x14ac:dyDescent="0.25">
      <c r="B8" s="271" t="s">
        <v>139</v>
      </c>
      <c r="C8" s="272">
        <v>2021</v>
      </c>
      <c r="D8" s="272">
        <f t="shared" ref="D8:Q8" si="0">C8+1</f>
        <v>2022</v>
      </c>
      <c r="E8" s="272">
        <f t="shared" si="0"/>
        <v>2023</v>
      </c>
      <c r="F8" s="272">
        <f t="shared" si="0"/>
        <v>2024</v>
      </c>
      <c r="G8" s="272">
        <f t="shared" si="0"/>
        <v>2025</v>
      </c>
      <c r="H8" s="270">
        <f t="shared" si="0"/>
        <v>2026</v>
      </c>
      <c r="I8" s="270">
        <f t="shared" si="0"/>
        <v>2027</v>
      </c>
      <c r="J8" s="270">
        <f t="shared" si="0"/>
        <v>2028</v>
      </c>
      <c r="K8" s="270">
        <f t="shared" si="0"/>
        <v>2029</v>
      </c>
      <c r="L8" s="270">
        <f t="shared" si="0"/>
        <v>2030</v>
      </c>
      <c r="M8" s="270">
        <f t="shared" si="0"/>
        <v>2031</v>
      </c>
      <c r="N8" s="270">
        <f t="shared" si="0"/>
        <v>2032</v>
      </c>
      <c r="O8" s="270">
        <f t="shared" si="0"/>
        <v>2033</v>
      </c>
      <c r="P8" s="270">
        <f t="shared" si="0"/>
        <v>2034</v>
      </c>
      <c r="Q8" s="270">
        <f t="shared" si="0"/>
        <v>2035</v>
      </c>
    </row>
    <row r="10" spans="2:17" x14ac:dyDescent="0.25">
      <c r="B10" s="6" t="s">
        <v>144</v>
      </c>
      <c r="C10" s="80">
        <f>'Revenue BuildUp'!C11</f>
        <v>8048</v>
      </c>
      <c r="D10" s="80">
        <f>'Revenue BuildUp'!D11</f>
        <v>9512</v>
      </c>
      <c r="E10" s="80">
        <f>'Revenue BuildUp'!E11</f>
        <v>9764</v>
      </c>
      <c r="F10" s="80">
        <f>'Revenue BuildUp'!F11</f>
        <v>9653</v>
      </c>
      <c r="G10" s="80">
        <f>'Revenue BuildUp'!G11</f>
        <v>10831</v>
      </c>
      <c r="H10" s="80">
        <f>'Revenue BuildUp'!H11</f>
        <v>11829.457858113532</v>
      </c>
      <c r="I10" s="80">
        <f>'Revenue BuildUp'!I11</f>
        <v>12984.788155193986</v>
      </c>
      <c r="J10" s="80">
        <f>'Revenue BuildUp'!J11</f>
        <v>14334.340305272006</v>
      </c>
      <c r="K10" s="80">
        <f>'Revenue BuildUp'!K11</f>
        <v>15926.063214420681</v>
      </c>
      <c r="L10" s="80">
        <f>'Revenue BuildUp'!L11</f>
        <v>17821.671195653013</v>
      </c>
      <c r="M10" s="80">
        <f>'Revenue BuildUp'!M11</f>
        <v>20100.767888448714</v>
      </c>
      <c r="N10" s="80">
        <f>'Revenue BuildUp'!N11</f>
        <v>22866.219002105689</v>
      </c>
      <c r="O10" s="80">
        <f>'Revenue BuildUp'!O11</f>
        <v>26251.153053976024</v>
      </c>
      <c r="P10" s="80">
        <f>'Revenue BuildUp'!P11</f>
        <v>30428.084472164293</v>
      </c>
      <c r="Q10" s="80">
        <f>'Revenue BuildUp'!Q11</f>
        <v>35620.803635451201</v>
      </c>
    </row>
    <row r="11" spans="2:17" x14ac:dyDescent="0.25">
      <c r="B11" t="s">
        <v>152</v>
      </c>
      <c r="C11" s="79">
        <f>-'Cost BuildUp'!C13</f>
        <v>-4270</v>
      </c>
      <c r="D11" s="79">
        <f>-'Cost BuildUp'!D13</f>
        <v>-5436</v>
      </c>
      <c r="E11" s="79">
        <f>-'Cost BuildUp'!E13</f>
        <v>-5351</v>
      </c>
      <c r="F11" s="79">
        <f>-'Cost BuildUp'!F13</f>
        <v>-4748</v>
      </c>
      <c r="G11" s="79">
        <f>-'Cost BuildUp'!G13</f>
        <v>-5388</v>
      </c>
      <c r="H11" s="79">
        <f>-'Cost BuildUp'!H13</f>
        <v>-6244.5759575099764</v>
      </c>
      <c r="I11" s="79">
        <f>-'Cost BuildUp'!I13</f>
        <v>-6854.4557916211561</v>
      </c>
      <c r="J11" s="79">
        <f>-'Cost BuildUp'!J13</f>
        <v>-7566.8621428558381</v>
      </c>
      <c r="K11" s="79">
        <f>-'Cost BuildUp'!K13</f>
        <v>-8407.106448952276</v>
      </c>
      <c r="L11" s="79">
        <f>-'Cost BuildUp'!L13</f>
        <v>-9407.7666792390373</v>
      </c>
      <c r="M11" s="79">
        <f>-'Cost BuildUp'!M13</f>
        <v>-10610.864283827161</v>
      </c>
      <c r="N11" s="79">
        <f>-'Cost BuildUp'!N13</f>
        <v>-12070.700376329669</v>
      </c>
      <c r="O11" s="79">
        <f>-'Cost BuildUp'!O13</f>
        <v>-13857.551308265543</v>
      </c>
      <c r="P11" s="79">
        <f>-'Cost BuildUp'!P13</f>
        <v>-16062.484604705389</v>
      </c>
      <c r="Q11" s="79">
        <f>-'Cost BuildUp'!Q13</f>
        <v>-18803.635520503471</v>
      </c>
    </row>
    <row r="12" spans="2:17" x14ac:dyDescent="0.25">
      <c r="B12" s="27" t="s">
        <v>187</v>
      </c>
      <c r="C12" s="74">
        <f>SUM(C10:C11)</f>
        <v>3778</v>
      </c>
      <c r="D12" s="74">
        <f t="shared" ref="D12:G12" si="1">SUM(D10:D11)</f>
        <v>4076</v>
      </c>
      <c r="E12" s="74">
        <f t="shared" si="1"/>
        <v>4413</v>
      </c>
      <c r="F12" s="74">
        <f t="shared" si="1"/>
        <v>4905</v>
      </c>
      <c r="G12" s="74">
        <f t="shared" si="1"/>
        <v>5443</v>
      </c>
      <c r="H12" s="74">
        <f t="shared" ref="H12" si="2">SUM(H10:H11)</f>
        <v>5584.8819006035556</v>
      </c>
      <c r="I12" s="74">
        <f t="shared" ref="I12" si="3">SUM(I10:I11)</f>
        <v>6130.3323635728302</v>
      </c>
      <c r="J12" s="74">
        <f t="shared" ref="J12" si="4">SUM(J10:J11)</f>
        <v>6767.4781624161678</v>
      </c>
      <c r="K12" s="74">
        <f t="shared" ref="K12" si="5">SUM(K10:K11)</f>
        <v>7518.9567654684051</v>
      </c>
      <c r="L12" s="74">
        <f t="shared" ref="L12" si="6">SUM(L10:L11)</f>
        <v>8413.9045164139752</v>
      </c>
      <c r="M12" s="74">
        <f t="shared" ref="M12" si="7">SUM(M10:M11)</f>
        <v>9489.9036046215533</v>
      </c>
      <c r="N12" s="74">
        <f t="shared" ref="N12" si="8">SUM(N10:N11)</f>
        <v>10795.51862577602</v>
      </c>
      <c r="O12" s="74">
        <f t="shared" ref="O12" si="9">SUM(O10:O11)</f>
        <v>12393.601745710481</v>
      </c>
      <c r="P12" s="74">
        <f t="shared" ref="P12" si="10">SUM(P10:P11)</f>
        <v>14365.599867458905</v>
      </c>
      <c r="Q12" s="74">
        <f t="shared" ref="Q12" si="11">SUM(Q10:Q11)</f>
        <v>16817.16811494773</v>
      </c>
    </row>
    <row r="13" spans="2:17" x14ac:dyDescent="0.25">
      <c r="B13" s="50" t="s">
        <v>188</v>
      </c>
      <c r="C13" s="51">
        <f>C12/C10</f>
        <v>0.46943339960238567</v>
      </c>
      <c r="D13" s="51">
        <f t="shared" ref="D13:Q13" si="12">D12/D10</f>
        <v>0.42851135407905805</v>
      </c>
      <c r="E13" s="51">
        <f t="shared" si="12"/>
        <v>0.45196640721015979</v>
      </c>
      <c r="F13" s="51">
        <f t="shared" si="12"/>
        <v>0.50813218688490625</v>
      </c>
      <c r="G13" s="51">
        <f t="shared" si="12"/>
        <v>0.50253900840180965</v>
      </c>
      <c r="H13" s="51">
        <f t="shared" si="12"/>
        <v>0.47211647123566391</v>
      </c>
      <c r="I13" s="51">
        <f t="shared" si="12"/>
        <v>0.47211647123566386</v>
      </c>
      <c r="J13" s="51">
        <f t="shared" si="12"/>
        <v>0.47211647123566386</v>
      </c>
      <c r="K13" s="51">
        <f t="shared" si="12"/>
        <v>0.4721164712356638</v>
      </c>
      <c r="L13" s="51">
        <f t="shared" si="12"/>
        <v>0.47211647123566391</v>
      </c>
      <c r="M13" s="51">
        <f t="shared" si="12"/>
        <v>0.47211647123566386</v>
      </c>
      <c r="N13" s="51">
        <f t="shared" si="12"/>
        <v>0.4721164712356638</v>
      </c>
      <c r="O13" s="51">
        <f t="shared" si="12"/>
        <v>0.47211647123566386</v>
      </c>
      <c r="P13" s="51">
        <f t="shared" si="12"/>
        <v>0.47211647123566386</v>
      </c>
      <c r="Q13" s="51">
        <f t="shared" si="12"/>
        <v>0.47211647123566391</v>
      </c>
    </row>
    <row r="14" spans="2:17" x14ac:dyDescent="0.25">
      <c r="B14" s="35"/>
    </row>
    <row r="15" spans="2:17" x14ac:dyDescent="0.25">
      <c r="B15" t="s">
        <v>189</v>
      </c>
      <c r="C15" s="79">
        <f>-'Cost BuildUp'!C26</f>
        <v>-570</v>
      </c>
      <c r="D15" s="79">
        <f>-'Cost BuildUp'!D26</f>
        <v>-586</v>
      </c>
      <c r="E15" s="79">
        <f>-'Cost BuildUp'!E26</f>
        <v>-653</v>
      </c>
      <c r="F15" s="79">
        <f>-'Cost BuildUp'!F26</f>
        <v>-743</v>
      </c>
      <c r="G15" s="79">
        <f>-'Cost BuildUp'!G26</f>
        <v>-831</v>
      </c>
      <c r="H15" s="79">
        <f>-'Cost BuildUp'!H26</f>
        <v>-835.17126461820521</v>
      </c>
      <c r="I15" s="79">
        <f>-'Cost BuildUp'!I26</f>
        <v>-916.73871063624983</v>
      </c>
      <c r="J15" s="79">
        <f>-'Cost BuildUp'!J26</f>
        <v>-1012.0184089426116</v>
      </c>
      <c r="K15" s="79">
        <f>-'Cost BuildUp'!K26</f>
        <v>-1124.3955990810161</v>
      </c>
      <c r="L15" s="79">
        <f>-'Cost BuildUp'!L26</f>
        <v>-1258.2273717535331</v>
      </c>
      <c r="M15" s="79">
        <f>-'Cost BuildUp'!M26</f>
        <v>-1419.1338215621213</v>
      </c>
      <c r="N15" s="79">
        <f>-'Cost BuildUp'!N26</f>
        <v>-1614.377367930445</v>
      </c>
      <c r="O15" s="79">
        <f>-'Cost BuildUp'!O26</f>
        <v>-1853.3570140526722</v>
      </c>
      <c r="P15" s="79">
        <f>-'Cost BuildUp'!P26</f>
        <v>-2148.2524468437164</v>
      </c>
      <c r="Q15" s="79">
        <f>-'Cost BuildUp'!Q26</f>
        <v>-2514.8634853567796</v>
      </c>
    </row>
    <row r="16" spans="2:17" x14ac:dyDescent="0.25">
      <c r="B16" t="s">
        <v>190</v>
      </c>
      <c r="C16" s="79">
        <f>-'Cost BuildUp'!C29</f>
        <v>-1617</v>
      </c>
      <c r="D16" s="79">
        <f>-'Cost BuildUp'!D29</f>
        <v>-1809</v>
      </c>
      <c r="E16" s="79">
        <f>-'Cost BuildUp'!E29</f>
        <v>-1950</v>
      </c>
      <c r="F16" s="79">
        <f>-'Cost BuildUp'!F29</f>
        <v>-2136</v>
      </c>
      <c r="G16" s="79">
        <f>-'Cost BuildUp'!G29</f>
        <v>-2473</v>
      </c>
      <c r="H16" s="79">
        <f>-'Cost BuildUp'!H29</f>
        <v>-2461.5161763861961</v>
      </c>
      <c r="I16" s="79">
        <f>-'Cost BuildUp'!I29</f>
        <v>-2701.9214637157479</v>
      </c>
      <c r="J16" s="79">
        <f>-'Cost BuildUp'!J29</f>
        <v>-2982.7411334029243</v>
      </c>
      <c r="K16" s="79">
        <f>-'Cost BuildUp'!K29</f>
        <v>-3313.9525664363209</v>
      </c>
      <c r="L16" s="79">
        <f>-'Cost BuildUp'!L29</f>
        <v>-3708.3974992351496</v>
      </c>
      <c r="M16" s="79">
        <f>-'Cost BuildUp'!M29</f>
        <v>-4182.6401436702126</v>
      </c>
      <c r="N16" s="79">
        <f>-'Cost BuildUp'!N29</f>
        <v>-4758.0851668420037</v>
      </c>
      <c r="O16" s="79">
        <f>-'Cost BuildUp'!O29</f>
        <v>-5462.4344298950473</v>
      </c>
      <c r="P16" s="79">
        <f>-'Cost BuildUp'!P29</f>
        <v>-6331.5853560699334</v>
      </c>
      <c r="Q16" s="79">
        <f>-'Cost BuildUp'!Q29</f>
        <v>-7412.1050530139892</v>
      </c>
    </row>
    <row r="18" spans="2:17" x14ac:dyDescent="0.25">
      <c r="B18" s="27" t="s">
        <v>191</v>
      </c>
      <c r="C18" s="47">
        <f>SUM(C12,C15:C16)</f>
        <v>1591</v>
      </c>
      <c r="D18" s="47">
        <f t="shared" ref="D18:Q18" si="13">SUM(D12,D15:D16)</f>
        <v>1681</v>
      </c>
      <c r="E18" s="47">
        <f t="shared" si="13"/>
        <v>1810</v>
      </c>
      <c r="F18" s="47">
        <f t="shared" si="13"/>
        <v>2026</v>
      </c>
      <c r="G18" s="47">
        <f t="shared" si="13"/>
        <v>2139</v>
      </c>
      <c r="H18" s="47">
        <f t="shared" si="13"/>
        <v>2288.1944595991545</v>
      </c>
      <c r="I18" s="47">
        <f t="shared" si="13"/>
        <v>2511.6721892208329</v>
      </c>
      <c r="J18" s="47">
        <f t="shared" si="13"/>
        <v>2772.7186200706324</v>
      </c>
      <c r="K18" s="47">
        <f t="shared" si="13"/>
        <v>3080.6085999510678</v>
      </c>
      <c r="L18" s="47">
        <f t="shared" si="13"/>
        <v>3447.2796454252921</v>
      </c>
      <c r="M18" s="47">
        <f t="shared" si="13"/>
        <v>3888.1296393892189</v>
      </c>
      <c r="N18" s="47">
        <f t="shared" si="13"/>
        <v>4423.0560910035711</v>
      </c>
      <c r="O18" s="47">
        <f t="shared" si="13"/>
        <v>5077.8103017627618</v>
      </c>
      <c r="P18" s="47">
        <f t="shared" si="13"/>
        <v>5885.7620645452544</v>
      </c>
      <c r="Q18" s="47">
        <f t="shared" si="13"/>
        <v>6890.1995765769607</v>
      </c>
    </row>
    <row r="19" spans="2:17" x14ac:dyDescent="0.25">
      <c r="B19" s="50" t="s">
        <v>192</v>
      </c>
      <c r="C19" s="51">
        <f>C18/C10</f>
        <v>0.19768886679920478</v>
      </c>
      <c r="D19" s="51">
        <f t="shared" ref="D19:Q19" si="14">D18/D10</f>
        <v>0.17672413793103448</v>
      </c>
      <c r="E19" s="51">
        <f t="shared" si="14"/>
        <v>0.18537484637443671</v>
      </c>
      <c r="F19" s="51">
        <f t="shared" si="14"/>
        <v>0.20988293794675231</v>
      </c>
      <c r="G19" s="51">
        <f t="shared" si="14"/>
        <v>0.19748868987166468</v>
      </c>
      <c r="H19" s="51">
        <f t="shared" si="14"/>
        <v>0.19343189578461861</v>
      </c>
      <c r="I19" s="51">
        <f t="shared" si="14"/>
        <v>0.19343189578461858</v>
      </c>
      <c r="J19" s="51">
        <f t="shared" si="14"/>
        <v>0.19343189578461858</v>
      </c>
      <c r="K19" s="51">
        <f t="shared" si="14"/>
        <v>0.19343189578461853</v>
      </c>
      <c r="L19" s="51">
        <f t="shared" si="14"/>
        <v>0.19343189578461856</v>
      </c>
      <c r="M19" s="51">
        <f t="shared" si="14"/>
        <v>0.19343189578461856</v>
      </c>
      <c r="N19" s="51">
        <f t="shared" si="14"/>
        <v>0.1934318957846185</v>
      </c>
      <c r="O19" s="51">
        <f t="shared" si="14"/>
        <v>0.19343189578461856</v>
      </c>
      <c r="P19" s="51">
        <f t="shared" si="14"/>
        <v>0.19343189578461858</v>
      </c>
      <c r="Q19" s="51">
        <f t="shared" si="14"/>
        <v>0.19343189578461861</v>
      </c>
    </row>
    <row r="21" spans="2:17" x14ac:dyDescent="0.25">
      <c r="B21" t="s">
        <v>193</v>
      </c>
      <c r="C21" s="79">
        <f>-'Income Statement'!C19</f>
        <v>-139</v>
      </c>
      <c r="D21" s="79">
        <f>-'Income Statement'!D19</f>
        <v>-139</v>
      </c>
      <c r="E21" s="79">
        <f>-'Income Statement'!E19</f>
        <v>-155</v>
      </c>
      <c r="F21" s="79">
        <f>-'Income Statement'!F19</f>
        <v>-158</v>
      </c>
      <c r="G21" s="79">
        <f>-'Income Statement'!G19</f>
        <v>-178</v>
      </c>
      <c r="H21" s="79">
        <f>-'FAS Seechules'!H86</f>
        <v>-160.81079831034486</v>
      </c>
      <c r="I21" s="79">
        <f>-'FAS Seechules'!I86</f>
        <v>-195.72190874665102</v>
      </c>
      <c r="J21" s="79">
        <f>-'FAS Seechules'!J86</f>
        <v>-238.5485754101974</v>
      </c>
      <c r="K21" s="79">
        <f>-'FAS Seechules'!K86</f>
        <v>-291.16513583935858</v>
      </c>
      <c r="L21" s="79">
        <f>-'FAS Seechules'!L86</f>
        <v>-355.90783134641481</v>
      </c>
      <c r="M21" s="79">
        <f>-'FAS Seechules'!M86</f>
        <v>-435.69257897204534</v>
      </c>
      <c r="N21" s="79">
        <f>-'FAS Seechules'!N86</f>
        <v>-534.16360112434597</v>
      </c>
      <c r="O21" s="79">
        <f>-'FAS Seechules'!O86</f>
        <v>-655.8811673940337</v>
      </c>
      <c r="P21" s="79">
        <f>-'FAS Seechules'!P86</f>
        <v>-806.55894501074386</v>
      </c>
      <c r="Q21" s="79">
        <f>-'FAS Seechules'!Q86</f>
        <v>-993.36431200222432</v>
      </c>
    </row>
    <row r="23" spans="2:17" x14ac:dyDescent="0.25">
      <c r="B23" s="27" t="s">
        <v>194</v>
      </c>
      <c r="C23" s="47">
        <f>SUM(C18,C21)</f>
        <v>1452</v>
      </c>
      <c r="D23" s="47">
        <f t="shared" ref="D23:Q23" si="15">SUM(D18,D21)</f>
        <v>1542</v>
      </c>
      <c r="E23" s="47">
        <f t="shared" si="15"/>
        <v>1655</v>
      </c>
      <c r="F23" s="47">
        <f t="shared" si="15"/>
        <v>1868</v>
      </c>
      <c r="G23" s="47">
        <f t="shared" si="15"/>
        <v>1961</v>
      </c>
      <c r="H23" s="47">
        <f t="shared" si="15"/>
        <v>2127.3836612888094</v>
      </c>
      <c r="I23" s="47">
        <f t="shared" si="15"/>
        <v>2315.9502804741819</v>
      </c>
      <c r="J23" s="47">
        <f t="shared" si="15"/>
        <v>2534.170044660435</v>
      </c>
      <c r="K23" s="47">
        <f t="shared" si="15"/>
        <v>2789.4434641117091</v>
      </c>
      <c r="L23" s="47">
        <f t="shared" si="15"/>
        <v>3091.3718140788774</v>
      </c>
      <c r="M23" s="47">
        <f t="shared" si="15"/>
        <v>3452.4370604171736</v>
      </c>
      <c r="N23" s="47">
        <f t="shared" si="15"/>
        <v>3888.8924898792252</v>
      </c>
      <c r="O23" s="47">
        <f t="shared" si="15"/>
        <v>4421.9291343687282</v>
      </c>
      <c r="P23" s="47">
        <f t="shared" si="15"/>
        <v>5079.2031195345107</v>
      </c>
      <c r="Q23" s="47">
        <f t="shared" si="15"/>
        <v>5896.8352645747364</v>
      </c>
    </row>
    <row r="24" spans="2:17" x14ac:dyDescent="0.25">
      <c r="B24" s="50" t="s">
        <v>195</v>
      </c>
      <c r="C24" s="51">
        <f>C23/C10</f>
        <v>0.18041749502982107</v>
      </c>
      <c r="D24" s="51">
        <f t="shared" ref="D24:Q24" si="16">D23/D10</f>
        <v>0.16211101766190075</v>
      </c>
      <c r="E24" s="51">
        <f t="shared" si="16"/>
        <v>0.1695002048340844</v>
      </c>
      <c r="F24" s="51">
        <f t="shared" si="16"/>
        <v>0.19351496943955246</v>
      </c>
      <c r="G24" s="51">
        <f t="shared" si="16"/>
        <v>0.18105438094358786</v>
      </c>
      <c r="H24" s="51">
        <f t="shared" si="16"/>
        <v>0.17983779872293046</v>
      </c>
      <c r="I24" s="51">
        <f t="shared" si="16"/>
        <v>0.17835872659561175</v>
      </c>
      <c r="J24" s="51">
        <f t="shared" si="16"/>
        <v>0.17679014106623353</v>
      </c>
      <c r="K24" s="51">
        <f t="shared" si="16"/>
        <v>0.17514959136831335</v>
      </c>
      <c r="L24" s="51">
        <f t="shared" si="16"/>
        <v>0.17346138755118048</v>
      </c>
      <c r="M24" s="51">
        <f t="shared" si="16"/>
        <v>0.17175647614941028</v>
      </c>
      <c r="N24" s="51">
        <f t="shared" si="16"/>
        <v>0.17007151420709771</v>
      </c>
      <c r="O24" s="51">
        <f t="shared" si="16"/>
        <v>0.16844704403180411</v>
      </c>
      <c r="P24" s="51">
        <f t="shared" si="16"/>
        <v>0.16692483958958973</v>
      </c>
      <c r="Q24" s="51">
        <f t="shared" si="16"/>
        <v>0.16554470036453581</v>
      </c>
    </row>
    <row r="26" spans="2:17" x14ac:dyDescent="0.25">
      <c r="B26" t="s">
        <v>196</v>
      </c>
      <c r="C26" s="79">
        <f>-'Income Statement'!C18</f>
        <v>-34</v>
      </c>
      <c r="D26" s="79">
        <f>-'Income Statement'!D18</f>
        <v>-39</v>
      </c>
      <c r="E26" s="79">
        <f>-'Income Statement'!E18</f>
        <v>-56</v>
      </c>
      <c r="F26" s="79">
        <f>-'Income Statement'!F18</f>
        <v>-73</v>
      </c>
      <c r="G26" s="79">
        <f>-'Income Statement'!G18</f>
        <v>-53</v>
      </c>
      <c r="H26" s="79">
        <f>-'Debt Schedules'!H14</f>
        <v>-63.701955112290243</v>
      </c>
      <c r="I26" s="79">
        <f>-'Debt Schedules'!I14</f>
        <v>-69.958187298755334</v>
      </c>
      <c r="J26" s="79">
        <f>-'Debt Schedules'!J14</f>
        <v>-77.272682246114286</v>
      </c>
      <c r="K26" s="79">
        <f>-'Debt Schedules'!K14</f>
        <v>-85.907523784394655</v>
      </c>
      <c r="L26" s="79">
        <f>-'Debt Schedules'!L14</f>
        <v>-96.200109521251832</v>
      </c>
      <c r="M26" s="79">
        <f>-'Debt Schedules'!M14</f>
        <v>-108.58571947759692</v>
      </c>
      <c r="N26" s="79">
        <f>-'Debt Schedules'!N14</f>
        <v>-123.62691948428029</v>
      </c>
      <c r="O26" s="79">
        <f>-'Debt Schedules'!O14</f>
        <v>-142.05187455877237</v>
      </c>
      <c r="P26" s="79">
        <f>-'Debt Schedules'!P14</f>
        <v>-164.80427796936834</v>
      </c>
      <c r="Q26" s="79">
        <f>-'Debt Schedules'!Q14</f>
        <v>-175.12579489802951</v>
      </c>
    </row>
    <row r="27" spans="2:17" x14ac:dyDescent="0.25">
      <c r="B27" t="s">
        <v>197</v>
      </c>
      <c r="C27" s="69">
        <f>'Revenue BuildUp'!C63</f>
        <v>94</v>
      </c>
      <c r="D27" s="69">
        <f>'Revenue BuildUp'!D63</f>
        <v>98</v>
      </c>
      <c r="E27" s="69">
        <f>'Revenue BuildUp'!E63</f>
        <v>144</v>
      </c>
      <c r="F27" s="69">
        <f>'Revenue BuildUp'!F63</f>
        <v>142</v>
      </c>
      <c r="G27" s="69">
        <f>'Revenue BuildUp'!G63</f>
        <v>208</v>
      </c>
      <c r="H27" s="69">
        <f>'Revenue BuildUp'!H63</f>
        <v>167.13921206576984</v>
      </c>
      <c r="I27" s="69">
        <f>'Revenue BuildUp'!I63</f>
        <v>183.46295215985165</v>
      </c>
      <c r="J27" s="69">
        <f>'Revenue BuildUp'!J63</f>
        <v>202.53086598237715</v>
      </c>
      <c r="K27" s="69">
        <f>'Revenue BuildUp'!K63</f>
        <v>225.02042687799121</v>
      </c>
      <c r="L27" s="69">
        <f>'Revenue BuildUp'!L63</f>
        <v>251.80360055923057</v>
      </c>
      <c r="M27" s="69">
        <f>'Revenue BuildUp'!M63</f>
        <v>284.00511224510274</v>
      </c>
      <c r="N27" s="69">
        <f>'Revenue BuildUp'!N63</f>
        <v>323.07835851614891</v>
      </c>
      <c r="O27" s="69">
        <f>'Revenue BuildUp'!O63</f>
        <v>370.90432121960151</v>
      </c>
      <c r="P27" s="69">
        <f>'Revenue BuildUp'!P63</f>
        <v>429.92046840591712</v>
      </c>
      <c r="Q27" s="69">
        <f>'Revenue BuildUp'!Q63</f>
        <v>503.28874950895357</v>
      </c>
    </row>
    <row r="29" spans="2:17" x14ac:dyDescent="0.25">
      <c r="B29" s="48" t="s">
        <v>198</v>
      </c>
      <c r="C29" s="47">
        <f>SUM(C23,C26,C27)</f>
        <v>1512</v>
      </c>
      <c r="D29" s="47">
        <f t="shared" ref="D29:Q29" si="17">SUM(D23,D26,D27)</f>
        <v>1601</v>
      </c>
      <c r="E29" s="47">
        <f t="shared" si="17"/>
        <v>1743</v>
      </c>
      <c r="F29" s="47">
        <f t="shared" si="17"/>
        <v>1937</v>
      </c>
      <c r="G29" s="47">
        <f t="shared" si="17"/>
        <v>2116</v>
      </c>
      <c r="H29" s="47">
        <f t="shared" si="17"/>
        <v>2230.8209182422888</v>
      </c>
      <c r="I29" s="47">
        <f t="shared" si="17"/>
        <v>2429.4550453352781</v>
      </c>
      <c r="J29" s="47">
        <f t="shared" si="17"/>
        <v>2659.4282283966982</v>
      </c>
      <c r="K29" s="47">
        <f t="shared" si="17"/>
        <v>2928.5563672053058</v>
      </c>
      <c r="L29" s="47">
        <f t="shared" si="17"/>
        <v>3246.9753051168564</v>
      </c>
      <c r="M29" s="47">
        <f t="shared" si="17"/>
        <v>3627.8564531846796</v>
      </c>
      <c r="N29" s="47">
        <f t="shared" si="17"/>
        <v>4088.3439289110938</v>
      </c>
      <c r="O29" s="47">
        <f t="shared" si="17"/>
        <v>4650.7815810295569</v>
      </c>
      <c r="P29" s="47">
        <f t="shared" si="17"/>
        <v>5344.3193099710588</v>
      </c>
      <c r="Q29" s="47">
        <f t="shared" si="17"/>
        <v>6224.9982191856607</v>
      </c>
    </row>
    <row r="31" spans="2:17" x14ac:dyDescent="0.25">
      <c r="B31" s="19" t="s">
        <v>199</v>
      </c>
      <c r="C31" s="79">
        <f>'Income Statement'!C23</f>
        <v>-2</v>
      </c>
      <c r="D31" s="79">
        <f>'Income Statement'!D23</f>
        <v>0</v>
      </c>
      <c r="E31" s="79">
        <f>'Income Statement'!E23</f>
        <v>0</v>
      </c>
      <c r="F31" s="79">
        <f>'Income Statement'!F23</f>
        <v>0</v>
      </c>
      <c r="G31" s="79">
        <f>'Income Statement'!G23</f>
        <v>0</v>
      </c>
      <c r="H31" s="79">
        <f>'Income Statement'!H23</f>
        <v>0</v>
      </c>
      <c r="I31" s="79">
        <f>'Income Statement'!I23</f>
        <v>0</v>
      </c>
      <c r="J31" s="79">
        <f>'Income Statement'!J23</f>
        <v>0</v>
      </c>
      <c r="K31" s="79">
        <f>'Income Statement'!K23</f>
        <v>0</v>
      </c>
      <c r="L31" s="79">
        <f>'Income Statement'!L23</f>
        <v>0</v>
      </c>
      <c r="M31" s="79">
        <f>'Income Statement'!M23</f>
        <v>0</v>
      </c>
      <c r="N31" s="79">
        <f>'Income Statement'!N23</f>
        <v>0</v>
      </c>
      <c r="O31" s="79">
        <f>'Income Statement'!O23</f>
        <v>0</v>
      </c>
      <c r="P31" s="79">
        <f>'Income Statement'!P23</f>
        <v>0</v>
      </c>
      <c r="Q31" s="79">
        <f>'Income Statement'!Q23</f>
        <v>0</v>
      </c>
    </row>
    <row r="32" spans="2:17" x14ac:dyDescent="0.25">
      <c r="B32" s="19" t="s">
        <v>200</v>
      </c>
      <c r="C32" s="79">
        <f>'Income Statement'!C25</f>
        <v>13</v>
      </c>
      <c r="D32" s="79">
        <f>'Income Statement'!D25</f>
        <v>0</v>
      </c>
      <c r="E32" s="79">
        <f>'Income Statement'!E25</f>
        <v>0</v>
      </c>
      <c r="F32" s="79">
        <f>'Income Statement'!F25</f>
        <v>0</v>
      </c>
      <c r="G32" s="79">
        <f>'Income Statement'!G25</f>
        <v>0</v>
      </c>
      <c r="H32" s="79">
        <f>'Income Statement'!H25</f>
        <v>0</v>
      </c>
      <c r="I32" s="79">
        <f>'Income Statement'!I25</f>
        <v>0</v>
      </c>
      <c r="J32" s="79">
        <f>'Income Statement'!J25</f>
        <v>0</v>
      </c>
      <c r="K32" s="79">
        <f>'Income Statement'!K25</f>
        <v>0</v>
      </c>
      <c r="L32" s="79">
        <f>'Income Statement'!L25</f>
        <v>0</v>
      </c>
      <c r="M32" s="79">
        <f>'Income Statement'!M25</f>
        <v>0</v>
      </c>
      <c r="N32" s="79">
        <f>'Income Statement'!N25</f>
        <v>0</v>
      </c>
      <c r="O32" s="79">
        <f>'Income Statement'!O25</f>
        <v>0</v>
      </c>
      <c r="P32" s="79">
        <f>'Income Statement'!P25</f>
        <v>0</v>
      </c>
      <c r="Q32" s="79">
        <f>'Income Statement'!Q25</f>
        <v>0</v>
      </c>
    </row>
    <row r="34" spans="2:17" x14ac:dyDescent="0.25">
      <c r="B34" s="27" t="s">
        <v>201</v>
      </c>
      <c r="C34" s="47">
        <f>SUM(C29:C33)</f>
        <v>1523</v>
      </c>
      <c r="D34" s="47">
        <f t="shared" ref="D34:H34" si="18">SUM(D29:D33)</f>
        <v>1601</v>
      </c>
      <c r="E34" s="47">
        <f t="shared" si="18"/>
        <v>1743</v>
      </c>
      <c r="F34" s="47">
        <f t="shared" si="18"/>
        <v>1937</v>
      </c>
      <c r="G34" s="47">
        <f t="shared" si="18"/>
        <v>2116</v>
      </c>
      <c r="H34" s="47">
        <f t="shared" si="18"/>
        <v>2230.8209182422888</v>
      </c>
      <c r="I34" s="47">
        <f t="shared" ref="I34" si="19">SUM(I29:I33)</f>
        <v>2429.4550453352781</v>
      </c>
      <c r="J34" s="47">
        <f t="shared" ref="J34" si="20">SUM(J29:J33)</f>
        <v>2659.4282283966982</v>
      </c>
      <c r="K34" s="47">
        <f t="shared" ref="K34" si="21">SUM(K29:K33)</f>
        <v>2928.5563672053058</v>
      </c>
      <c r="L34" s="47">
        <f t="shared" ref="L34" si="22">SUM(L29:L33)</f>
        <v>3246.9753051168564</v>
      </c>
      <c r="M34" s="47">
        <f t="shared" ref="M34" si="23">SUM(M29:M33)</f>
        <v>3627.8564531846796</v>
      </c>
      <c r="N34" s="47">
        <f t="shared" ref="N34" si="24">SUM(N29:N33)</f>
        <v>4088.3439289110938</v>
      </c>
      <c r="O34" s="47">
        <f t="shared" ref="O34" si="25">SUM(O29:O33)</f>
        <v>4650.7815810295569</v>
      </c>
      <c r="P34" s="47">
        <f t="shared" ref="P34" si="26">SUM(P29:P33)</f>
        <v>5344.3193099710588</v>
      </c>
      <c r="Q34" s="47">
        <f t="shared" ref="Q34" si="27">SUM(Q29:Q33)</f>
        <v>6224.9982191856607</v>
      </c>
    </row>
    <row r="35" spans="2:17" x14ac:dyDescent="0.25">
      <c r="B35" s="50" t="s">
        <v>202</v>
      </c>
      <c r="C35" s="51">
        <f>C34/C10</f>
        <v>0.18923956262425448</v>
      </c>
      <c r="D35" s="51">
        <f t="shared" ref="D35:Q35" si="28">D34/D10</f>
        <v>0.16831370899915896</v>
      </c>
      <c r="E35" s="51">
        <f t="shared" si="28"/>
        <v>0.17851290454731666</v>
      </c>
      <c r="F35" s="51">
        <f t="shared" si="28"/>
        <v>0.20066300631927897</v>
      </c>
      <c r="G35" s="51">
        <f t="shared" si="28"/>
        <v>0.19536515557196935</v>
      </c>
      <c r="H35" s="51">
        <f t="shared" si="28"/>
        <v>0.18858183908337134</v>
      </c>
      <c r="I35" s="51">
        <f t="shared" si="28"/>
        <v>0.18710009099097105</v>
      </c>
      <c r="J35" s="51">
        <f t="shared" si="28"/>
        <v>0.18552847021628133</v>
      </c>
      <c r="K35" s="51">
        <f t="shared" si="28"/>
        <v>0.18388451231020897</v>
      </c>
      <c r="L35" s="51">
        <f t="shared" si="28"/>
        <v>0.18219252669799255</v>
      </c>
      <c r="M35" s="51">
        <f t="shared" si="28"/>
        <v>0.18048347572181536</v>
      </c>
      <c r="N35" s="51">
        <f t="shared" si="28"/>
        <v>0.17879405110808258</v>
      </c>
      <c r="O35" s="51">
        <f t="shared" si="28"/>
        <v>0.17716484953887179</v>
      </c>
      <c r="P35" s="51">
        <f t="shared" si="28"/>
        <v>0.17563771767690664</v>
      </c>
      <c r="Q35" s="51">
        <f t="shared" si="28"/>
        <v>0.17475737725889773</v>
      </c>
    </row>
    <row r="37" spans="2:17" x14ac:dyDescent="0.25">
      <c r="B37" s="49" t="s">
        <v>153</v>
      </c>
      <c r="C37" s="78">
        <f>'Income Statement'!C28</f>
        <v>324</v>
      </c>
      <c r="D37" s="78">
        <f>'Income Statement'!D28</f>
        <v>346</v>
      </c>
      <c r="E37" s="78">
        <f>'Income Statement'!E28</f>
        <v>421</v>
      </c>
      <c r="F37" s="78">
        <f>'Income Statement'!F28</f>
        <v>435</v>
      </c>
      <c r="G37" s="78">
        <f>'Income Statement'!G28</f>
        <v>458</v>
      </c>
      <c r="H37" s="77">
        <f>H34*'Revenue BuildUp'!H67</f>
        <v>495.87166217587873</v>
      </c>
      <c r="I37" s="77">
        <f>I34*'Revenue BuildUp'!I67</f>
        <v>540.02448231532014</v>
      </c>
      <c r="J37" s="77">
        <f>J34*'Revenue BuildUp'!J67</f>
        <v>591.14341508487496</v>
      </c>
      <c r="K37" s="77">
        <f>K34*'Revenue BuildUp'!K67</f>
        <v>650.96579546423561</v>
      </c>
      <c r="L37" s="77">
        <f>L34*'Revenue BuildUp'!L67</f>
        <v>721.74464047116123</v>
      </c>
      <c r="M37" s="77">
        <f>M34*'Revenue BuildUp'!M67</f>
        <v>806.40771962708993</v>
      </c>
      <c r="N37" s="77">
        <f>N34*'Revenue BuildUp'!N67</f>
        <v>908.76586417037663</v>
      </c>
      <c r="O37" s="77">
        <f>O34*'Revenue BuildUp'!O67</f>
        <v>1033.7857127586844</v>
      </c>
      <c r="P37" s="77">
        <f>P34*'Revenue BuildUp'!P67</f>
        <v>1187.9467678302306</v>
      </c>
      <c r="Q37" s="77">
        <f>Q34*'Revenue BuildUp'!Q67</f>
        <v>1383.7059661524215</v>
      </c>
    </row>
    <row r="39" spans="2:17" ht="15.75" thickBot="1" x14ac:dyDescent="0.3">
      <c r="B39" s="33" t="s">
        <v>203</v>
      </c>
      <c r="C39" s="34">
        <f>C34-C37</f>
        <v>1199</v>
      </c>
      <c r="D39" s="34">
        <f t="shared" ref="D39:Q39" si="29">D34-D37</f>
        <v>1255</v>
      </c>
      <c r="E39" s="34">
        <f t="shared" si="29"/>
        <v>1322</v>
      </c>
      <c r="F39" s="34">
        <f t="shared" si="29"/>
        <v>1502</v>
      </c>
      <c r="G39" s="34">
        <f t="shared" si="29"/>
        <v>1658</v>
      </c>
      <c r="H39" s="34">
        <f t="shared" si="29"/>
        <v>1734.94925606641</v>
      </c>
      <c r="I39" s="34">
        <f t="shared" si="29"/>
        <v>1889.4305630199578</v>
      </c>
      <c r="J39" s="34">
        <f t="shared" si="29"/>
        <v>2068.2848133118232</v>
      </c>
      <c r="K39" s="34">
        <f t="shared" si="29"/>
        <v>2277.5905717410701</v>
      </c>
      <c r="L39" s="34">
        <f t="shared" si="29"/>
        <v>2525.230664645695</v>
      </c>
      <c r="M39" s="34">
        <f t="shared" si="29"/>
        <v>2821.4487335575895</v>
      </c>
      <c r="N39" s="34">
        <f t="shared" si="29"/>
        <v>3179.5780647407173</v>
      </c>
      <c r="O39" s="34">
        <f t="shared" si="29"/>
        <v>3616.9958682708725</v>
      </c>
      <c r="P39" s="34">
        <f t="shared" si="29"/>
        <v>4156.372542140828</v>
      </c>
      <c r="Q39" s="34">
        <f t="shared" si="29"/>
        <v>4841.2922530332389</v>
      </c>
    </row>
    <row r="40" spans="2:17" x14ac:dyDescent="0.25">
      <c r="B40" s="50" t="s">
        <v>204</v>
      </c>
      <c r="C40" s="51">
        <f>C39/C10</f>
        <v>0.14898111332007952</v>
      </c>
      <c r="D40" s="51">
        <f t="shared" ref="D40:Q40" si="30">D39/D10</f>
        <v>0.1319386038687973</v>
      </c>
      <c r="E40" s="51">
        <f t="shared" si="30"/>
        <v>0.13539532978287588</v>
      </c>
      <c r="F40" s="51">
        <f t="shared" si="30"/>
        <v>0.15559929555578578</v>
      </c>
      <c r="G40" s="51">
        <f t="shared" si="30"/>
        <v>0.1530791247345582</v>
      </c>
      <c r="H40" s="51">
        <f t="shared" si="30"/>
        <v>0.14666346309999756</v>
      </c>
      <c r="I40" s="51">
        <f t="shared" si="30"/>
        <v>0.14551108115415617</v>
      </c>
      <c r="J40" s="51">
        <f t="shared" si="30"/>
        <v>0.14428880361875682</v>
      </c>
      <c r="K40" s="51">
        <f t="shared" si="30"/>
        <v>0.14301026820481064</v>
      </c>
      <c r="L40" s="51">
        <f t="shared" si="30"/>
        <v>0.14169438078633381</v>
      </c>
      <c r="M40" s="51">
        <f t="shared" si="30"/>
        <v>0.14036522132962834</v>
      </c>
      <c r="N40" s="51">
        <f t="shared" si="30"/>
        <v>0.13905132564539502</v>
      </c>
      <c r="O40" s="51">
        <f t="shared" si="30"/>
        <v>0.13778426649807823</v>
      </c>
      <c r="P40" s="51">
        <f t="shared" si="30"/>
        <v>0.13659658878438735</v>
      </c>
      <c r="Q40" s="51">
        <f t="shared" si="30"/>
        <v>0.13591193232414886</v>
      </c>
    </row>
    <row r="41" spans="2:17" x14ac:dyDescent="0.25">
      <c r="B41" s="35"/>
    </row>
    <row r="42" spans="2:17" ht="15.75" thickBot="1" x14ac:dyDescent="0.3">
      <c r="B42" s="52" t="s">
        <v>205</v>
      </c>
      <c r="C42" s="53">
        <f>C39/129</f>
        <v>9.2945736434108532</v>
      </c>
      <c r="D42" s="53">
        <f t="shared" ref="D42:Q42" si="31">D39/129</f>
        <v>9.7286821705426352</v>
      </c>
      <c r="E42" s="53">
        <f t="shared" si="31"/>
        <v>10.248062015503876</v>
      </c>
      <c r="F42" s="53">
        <f t="shared" si="31"/>
        <v>11.643410852713178</v>
      </c>
      <c r="G42" s="53">
        <f t="shared" si="31"/>
        <v>12.852713178294573</v>
      </c>
      <c r="H42" s="53">
        <f t="shared" si="31"/>
        <v>13.449219039274496</v>
      </c>
      <c r="I42" s="53">
        <f t="shared" si="31"/>
        <v>14.646748550542309</v>
      </c>
      <c r="J42" s="53">
        <f t="shared" si="31"/>
        <v>16.033215607068396</v>
      </c>
      <c r="K42" s="53">
        <f t="shared" si="31"/>
        <v>17.655740866209847</v>
      </c>
      <c r="L42" s="53">
        <f t="shared" si="31"/>
        <v>19.575431508881358</v>
      </c>
      <c r="M42" s="53">
        <f t="shared" si="31"/>
        <v>21.871695608973564</v>
      </c>
      <c r="N42" s="53">
        <f t="shared" si="31"/>
        <v>24.647891974734243</v>
      </c>
      <c r="O42" s="53">
        <f t="shared" si="31"/>
        <v>28.038727661014516</v>
      </c>
      <c r="P42" s="53">
        <f t="shared" si="31"/>
        <v>32.219942187138201</v>
      </c>
      <c r="Q42" s="53">
        <f t="shared" si="31"/>
        <v>37.529397310335185</v>
      </c>
    </row>
    <row r="44" spans="2:17" ht="15.75" thickBot="1" x14ac:dyDescent="0.3">
      <c r="B44" s="33" t="s">
        <v>206</v>
      </c>
      <c r="C44" s="76">
        <f>'Cash Flow '!C64</f>
        <v>-968</v>
      </c>
      <c r="D44" s="76">
        <f>'Cash Flow '!D64</f>
        <v>-1195</v>
      </c>
      <c r="E44" s="76">
        <f>'Cash Flow '!E64</f>
        <v>-582</v>
      </c>
      <c r="F44" s="76">
        <f>'Cash Flow '!F64</f>
        <v>-1229</v>
      </c>
      <c r="G44" s="76">
        <f>'Cash Flow '!G64</f>
        <v>-453</v>
      </c>
      <c r="H44" s="75">
        <f>H45*-H39</f>
        <v>-1142.0254321811581</v>
      </c>
      <c r="I44" s="75">
        <f t="shared" ref="I44:Q44" si="32">I45*-I39</f>
        <v>-1243.7123147920825</v>
      </c>
      <c r="J44" s="75">
        <f t="shared" si="32"/>
        <v>-1361.4426182996947</v>
      </c>
      <c r="K44" s="75">
        <f t="shared" si="32"/>
        <v>-1499.2175407606062</v>
      </c>
      <c r="L44" s="75">
        <f t="shared" si="32"/>
        <v>-1662.2259302774239</v>
      </c>
      <c r="M44" s="75">
        <f t="shared" si="32"/>
        <v>-1857.210634865248</v>
      </c>
      <c r="N44" s="75">
        <f t="shared" si="32"/>
        <v>-2092.9482524301879</v>
      </c>
      <c r="O44" s="75">
        <f t="shared" si="32"/>
        <v>-2380.8772822698579</v>
      </c>
      <c r="P44" s="75">
        <f t="shared" si="32"/>
        <v>-2735.9204496310554</v>
      </c>
      <c r="Q44" s="75">
        <f t="shared" si="32"/>
        <v>-3186.7669087457989</v>
      </c>
    </row>
    <row r="45" spans="2:17" x14ac:dyDescent="0.25">
      <c r="B45" s="50" t="s">
        <v>207</v>
      </c>
      <c r="C45" s="51">
        <f>-C44/C39</f>
        <v>0.80733944954128445</v>
      </c>
      <c r="D45" s="51">
        <f t="shared" ref="D45:G45" si="33">-D44/D39</f>
        <v>0.952191235059761</v>
      </c>
      <c r="E45" s="51">
        <f t="shared" si="33"/>
        <v>0.44024205748865358</v>
      </c>
      <c r="F45" s="51">
        <f t="shared" si="33"/>
        <v>0.81824234354194403</v>
      </c>
      <c r="G45" s="51">
        <f t="shared" si="33"/>
        <v>0.2732207478890229</v>
      </c>
      <c r="H45" s="54">
        <f>AVERAGE(C45:G45)</f>
        <v>0.65824716670413319</v>
      </c>
      <c r="I45" s="54">
        <f>H45</f>
        <v>0.65824716670413319</v>
      </c>
      <c r="J45" s="54">
        <f t="shared" ref="J45:Q45" si="34">I45</f>
        <v>0.65824716670413319</v>
      </c>
      <c r="K45" s="54">
        <f t="shared" si="34"/>
        <v>0.65824716670413319</v>
      </c>
      <c r="L45" s="54">
        <f t="shared" si="34"/>
        <v>0.65824716670413319</v>
      </c>
      <c r="M45" s="54">
        <f t="shared" si="34"/>
        <v>0.65824716670413319</v>
      </c>
      <c r="N45" s="54">
        <f t="shared" si="34"/>
        <v>0.65824716670413319</v>
      </c>
      <c r="O45" s="54">
        <f t="shared" si="34"/>
        <v>0.65824716670413319</v>
      </c>
      <c r="P45" s="54">
        <f t="shared" si="34"/>
        <v>0.65824716670413319</v>
      </c>
      <c r="Q45" s="54">
        <f t="shared" si="34"/>
        <v>0.65824716670413319</v>
      </c>
    </row>
    <row r="47" spans="2:17" ht="15.75" thickBot="1" x14ac:dyDescent="0.3">
      <c r="B47" s="33" t="s">
        <v>208</v>
      </c>
      <c r="C47" s="42">
        <f>C39+C44</f>
        <v>231</v>
      </c>
      <c r="D47" s="42">
        <f t="shared" ref="D47:Q47" si="35">D39+D44</f>
        <v>60</v>
      </c>
      <c r="E47" s="42">
        <f t="shared" si="35"/>
        <v>740</v>
      </c>
      <c r="F47" s="42">
        <f t="shared" si="35"/>
        <v>273</v>
      </c>
      <c r="G47" s="42">
        <f t="shared" si="35"/>
        <v>1205</v>
      </c>
      <c r="H47" s="42">
        <f t="shared" si="35"/>
        <v>592.92382388525198</v>
      </c>
      <c r="I47" s="42">
        <f t="shared" si="35"/>
        <v>645.71824822787539</v>
      </c>
      <c r="J47" s="42">
        <f t="shared" si="35"/>
        <v>706.84219501212851</v>
      </c>
      <c r="K47" s="42">
        <f t="shared" si="35"/>
        <v>778.37303098046391</v>
      </c>
      <c r="L47" s="42">
        <f t="shared" si="35"/>
        <v>863.0047343682711</v>
      </c>
      <c r="M47" s="42">
        <f t="shared" si="35"/>
        <v>964.23809869234151</v>
      </c>
      <c r="N47" s="42">
        <f t="shared" si="35"/>
        <v>1086.6298123105294</v>
      </c>
      <c r="O47" s="42">
        <f t="shared" si="35"/>
        <v>1236.1185860010146</v>
      </c>
      <c r="P47" s="42">
        <f t="shared" si="35"/>
        <v>1420.4520925097727</v>
      </c>
      <c r="Q47" s="42">
        <f t="shared" si="35"/>
        <v>1654.52534428744</v>
      </c>
    </row>
    <row r="48" spans="2:17" x14ac:dyDescent="0.25">
      <c r="B48" s="50" t="s">
        <v>209</v>
      </c>
      <c r="C48" s="51">
        <f>C47/C39</f>
        <v>0.19266055045871561</v>
      </c>
      <c r="D48" s="51">
        <f t="shared" ref="D48:Q48" si="36">D47/D39</f>
        <v>4.7808764940239043E-2</v>
      </c>
      <c r="E48" s="51">
        <f t="shared" si="36"/>
        <v>0.55975794251134647</v>
      </c>
      <c r="F48" s="51">
        <f t="shared" si="36"/>
        <v>0.18175765645805592</v>
      </c>
      <c r="G48" s="51">
        <f t="shared" si="36"/>
        <v>0.72677925211097705</v>
      </c>
      <c r="H48" s="51">
        <f t="shared" si="36"/>
        <v>0.34175283329586681</v>
      </c>
      <c r="I48" s="51">
        <f t="shared" si="36"/>
        <v>0.34175283329586681</v>
      </c>
      <c r="J48" s="51">
        <f t="shared" si="36"/>
        <v>0.34175283329586681</v>
      </c>
      <c r="K48" s="51">
        <f t="shared" si="36"/>
        <v>0.34175283329586681</v>
      </c>
      <c r="L48" s="51">
        <f t="shared" si="36"/>
        <v>0.34175283329586681</v>
      </c>
      <c r="M48" s="51">
        <f t="shared" si="36"/>
        <v>0.34175283329586686</v>
      </c>
      <c r="N48" s="51">
        <f t="shared" si="36"/>
        <v>0.34175283329586686</v>
      </c>
      <c r="O48" s="51">
        <f t="shared" si="36"/>
        <v>0.34175283329586681</v>
      </c>
      <c r="P48" s="51">
        <f t="shared" si="36"/>
        <v>0.34175283329586686</v>
      </c>
      <c r="Q48" s="51">
        <f t="shared" si="36"/>
        <v>0.34175283329586681</v>
      </c>
    </row>
  </sheetData>
  <mergeCells count="1">
    <mergeCell ref="B6:Q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BJ179"/>
  <sheetViews>
    <sheetView showGridLines="0" topLeftCell="B1" workbookViewId="0">
      <selection activeCell="B2" sqref="B2"/>
    </sheetView>
  </sheetViews>
  <sheetFormatPr defaultRowHeight="15" x14ac:dyDescent="0.25"/>
  <cols>
    <col min="1" max="1" width="1.85546875" customWidth="1"/>
    <col min="2" max="2" width="84.85546875" bestFit="1" customWidth="1"/>
    <col min="3" max="3" width="9.5703125" bestFit="1" customWidth="1"/>
  </cols>
  <sheetData>
    <row r="4" spans="2:17" ht="15.75" thickBot="1" x14ac:dyDescent="0.3">
      <c r="B4" s="341" t="s">
        <v>21</v>
      </c>
      <c r="C4" s="341"/>
      <c r="D4" s="341"/>
      <c r="E4" s="341"/>
      <c r="F4" s="341"/>
      <c r="G4" s="341"/>
      <c r="H4" s="341"/>
      <c r="I4" s="341"/>
      <c r="J4" s="341"/>
      <c r="K4" s="341"/>
      <c r="L4" s="341"/>
      <c r="M4" s="341"/>
      <c r="N4" s="341"/>
      <c r="O4" s="341"/>
      <c r="P4" s="341"/>
      <c r="Q4" s="341"/>
    </row>
    <row r="5" spans="2:17" x14ac:dyDescent="0.25">
      <c r="B5" s="24" t="s">
        <v>390</v>
      </c>
    </row>
    <row r="6" spans="2:17" x14ac:dyDescent="0.25">
      <c r="B6" s="271" t="s">
        <v>139</v>
      </c>
      <c r="C6" s="272">
        <v>2021</v>
      </c>
      <c r="D6" s="272">
        <f t="shared" ref="D6:Q6" si="0">C6+1</f>
        <v>2022</v>
      </c>
      <c r="E6" s="272">
        <f t="shared" si="0"/>
        <v>2023</v>
      </c>
      <c r="F6" s="272">
        <f t="shared" si="0"/>
        <v>2024</v>
      </c>
      <c r="G6" s="272">
        <f t="shared" si="0"/>
        <v>2025</v>
      </c>
      <c r="H6" s="270">
        <f t="shared" si="0"/>
        <v>2026</v>
      </c>
      <c r="I6" s="270">
        <f t="shared" si="0"/>
        <v>2027</v>
      </c>
      <c r="J6" s="270">
        <f t="shared" si="0"/>
        <v>2028</v>
      </c>
      <c r="K6" s="270">
        <f t="shared" si="0"/>
        <v>2029</v>
      </c>
      <c r="L6" s="270">
        <f t="shared" si="0"/>
        <v>2030</v>
      </c>
      <c r="M6" s="270">
        <f t="shared" si="0"/>
        <v>2031</v>
      </c>
      <c r="N6" s="270">
        <f t="shared" si="0"/>
        <v>2032</v>
      </c>
      <c r="O6" s="270">
        <f t="shared" si="0"/>
        <v>2033</v>
      </c>
      <c r="P6" s="270">
        <f t="shared" si="0"/>
        <v>2034</v>
      </c>
      <c r="Q6" s="270">
        <f t="shared" si="0"/>
        <v>2035</v>
      </c>
    </row>
    <row r="7" spans="2:17" x14ac:dyDescent="0.25">
      <c r="B7" s="286" t="s">
        <v>213</v>
      </c>
      <c r="C7" s="289" t="str">
        <f>IF(SUM(C75:Q75)=0,"OK","Error")</f>
        <v>OK</v>
      </c>
      <c r="D7" s="287"/>
      <c r="E7" s="288"/>
      <c r="F7" s="288"/>
      <c r="G7" s="288"/>
      <c r="H7" s="288"/>
      <c r="I7" s="288"/>
      <c r="J7" s="288"/>
      <c r="K7" s="288"/>
      <c r="L7" s="288"/>
      <c r="M7" s="288"/>
      <c r="N7" s="288"/>
      <c r="O7" s="288"/>
      <c r="P7" s="288"/>
      <c r="Q7" s="288"/>
    </row>
    <row r="8" spans="2:17" x14ac:dyDescent="0.25">
      <c r="B8" s="20" t="s">
        <v>21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</row>
    <row r="9" spans="2:17" x14ac:dyDescent="0.25">
      <c r="B9" s="1" t="s">
        <v>22</v>
      </c>
    </row>
    <row r="10" spans="2:17" x14ac:dyDescent="0.25">
      <c r="B10" s="1" t="s">
        <v>23</v>
      </c>
    </row>
    <row r="11" spans="2:17" ht="16.5" x14ac:dyDescent="0.3">
      <c r="B11" s="2" t="s">
        <v>24</v>
      </c>
      <c r="C11" s="63">
        <v>572</v>
      </c>
      <c r="D11" s="63">
        <v>600</v>
      </c>
      <c r="E11" s="63">
        <v>633</v>
      </c>
      <c r="F11" s="63">
        <v>700</v>
      </c>
      <c r="G11" s="64">
        <v>710</v>
      </c>
      <c r="H11" s="71">
        <f>'FAS Seechules'!H26</f>
        <v>740.95968474780682</v>
      </c>
      <c r="I11" s="71">
        <f>'FAS Seechules'!I26</f>
        <v>767.18738044055681</v>
      </c>
      <c r="J11" s="71">
        <f>'FAS Seechules'!J26</f>
        <v>786.72483121249365</v>
      </c>
      <c r="K11" s="71">
        <f>'FAS Seechules'!K26</f>
        <v>797.14067960737452</v>
      </c>
      <c r="L11" s="71">
        <f>'FAS Seechules'!L26</f>
        <v>795.43183769734128</v>
      </c>
      <c r="M11" s="71">
        <f>'FAS Seechules'!M26</f>
        <v>777.90554366356992</v>
      </c>
      <c r="N11" s="71">
        <f>'FAS Seechules'!N26</f>
        <v>740.03843645365941</v>
      </c>
      <c r="O11" s="71">
        <f>'FAS Seechules'!O26</f>
        <v>676.30829606781981</v>
      </c>
      <c r="P11" s="71">
        <f>'FAS Seechules'!P26</f>
        <v>579.9932851371309</v>
      </c>
      <c r="Q11" s="71">
        <f>'FAS Seechules'!Q26</f>
        <v>442.93256538080777</v>
      </c>
    </row>
    <row r="12" spans="2:17" ht="16.5" x14ac:dyDescent="0.3">
      <c r="B12" s="2" t="s">
        <v>25</v>
      </c>
      <c r="C12" s="63">
        <v>24</v>
      </c>
      <c r="D12" s="63">
        <v>39</v>
      </c>
      <c r="E12" s="63">
        <v>67</v>
      </c>
      <c r="F12" s="63">
        <v>44</v>
      </c>
      <c r="G12" s="64">
        <v>40</v>
      </c>
      <c r="H12" s="69">
        <f>'FAS Seechules'!H89</f>
        <v>44.8</v>
      </c>
      <c r="I12" s="69">
        <f>'FAS Seechules'!I89</f>
        <v>50.559999999999995</v>
      </c>
      <c r="J12" s="69">
        <f>'FAS Seechules'!J89</f>
        <v>57.471999999999994</v>
      </c>
      <c r="K12" s="69">
        <f>'FAS Seechules'!K89</f>
        <v>65.76639999999999</v>
      </c>
      <c r="L12" s="69">
        <f>'FAS Seechules'!L89</f>
        <v>75.719679999999983</v>
      </c>
      <c r="M12" s="69">
        <f>'FAS Seechules'!M89</f>
        <v>87.663615999999976</v>
      </c>
      <c r="N12" s="69">
        <f>'FAS Seechules'!N89</f>
        <v>101.99633919999998</v>
      </c>
      <c r="O12" s="69">
        <f>'FAS Seechules'!O89</f>
        <v>119.19560703999997</v>
      </c>
      <c r="P12" s="69">
        <f>'FAS Seechules'!P89</f>
        <v>139.83472844799996</v>
      </c>
      <c r="Q12" s="69">
        <f>'FAS Seechules'!Q89</f>
        <v>164.60167413759996</v>
      </c>
    </row>
    <row r="13" spans="2:17" ht="16.5" x14ac:dyDescent="0.3">
      <c r="B13" s="2" t="s">
        <v>26</v>
      </c>
      <c r="C13" s="63">
        <v>180</v>
      </c>
      <c r="D13" s="63">
        <v>178</v>
      </c>
      <c r="E13" s="63">
        <v>175</v>
      </c>
      <c r="F13" s="63">
        <v>209</v>
      </c>
      <c r="G13" s="64">
        <v>230</v>
      </c>
      <c r="H13" s="69">
        <f>'FAS Seechules'!H45</f>
        <v>277.32026143790847</v>
      </c>
      <c r="I13" s="69">
        <f>'FAS Seechules'!I45</f>
        <v>333.81101391744153</v>
      </c>
      <c r="J13" s="69">
        <f>'FAS Seechules'!J45</f>
        <v>401.06464677349391</v>
      </c>
      <c r="K13" s="69">
        <f>'FAS Seechules'!K45</f>
        <v>480.88589608001115</v>
      </c>
      <c r="L13" s="69">
        <f>'FAS Seechules'!L45</f>
        <v>575.29530276957803</v>
      </c>
      <c r="M13" s="69">
        <f>'FAS Seechules'!M45</f>
        <v>686.52018566666425</v>
      </c>
      <c r="N13" s="69">
        <f>'FAS Seechules'!N45</f>
        <v>816.96639459695666</v>
      </c>
      <c r="O13" s="69">
        <f>'FAS Seechules'!O45</f>
        <v>969.16144121717434</v>
      </c>
      <c r="P13" s="69">
        <f>'FAS Seechules'!P45</f>
        <v>1145.6560015584701</v>
      </c>
      <c r="Q13" s="69">
        <f>'FAS Seechules'!Q45</f>
        <v>1348.8659364200819</v>
      </c>
    </row>
    <row r="14" spans="2:17" ht="16.5" x14ac:dyDescent="0.3">
      <c r="B14" s="2" t="s">
        <v>27</v>
      </c>
      <c r="C14" s="63">
        <v>17</v>
      </c>
      <c r="D14" s="63">
        <v>22</v>
      </c>
      <c r="E14" s="63">
        <v>16</v>
      </c>
      <c r="F14" s="63">
        <v>15</v>
      </c>
      <c r="G14" s="64">
        <v>15</v>
      </c>
      <c r="H14">
        <f>G14</f>
        <v>15</v>
      </c>
      <c r="I14">
        <f t="shared" ref="I14:Q14" si="1">H14</f>
        <v>15</v>
      </c>
      <c r="J14">
        <f t="shared" si="1"/>
        <v>15</v>
      </c>
      <c r="K14">
        <f t="shared" si="1"/>
        <v>15</v>
      </c>
      <c r="L14">
        <f t="shared" si="1"/>
        <v>15</v>
      </c>
      <c r="M14">
        <f t="shared" si="1"/>
        <v>15</v>
      </c>
      <c r="N14">
        <f t="shared" si="1"/>
        <v>15</v>
      </c>
      <c r="O14">
        <f t="shared" si="1"/>
        <v>15</v>
      </c>
      <c r="P14">
        <f t="shared" si="1"/>
        <v>15</v>
      </c>
      <c r="Q14">
        <f t="shared" si="1"/>
        <v>15</v>
      </c>
    </row>
    <row r="15" spans="2:17" ht="16.5" x14ac:dyDescent="0.3">
      <c r="B15" s="2" t="s">
        <v>28</v>
      </c>
      <c r="C15" s="63">
        <v>613</v>
      </c>
      <c r="D15" s="63">
        <v>654</v>
      </c>
      <c r="E15" s="63">
        <v>862</v>
      </c>
      <c r="F15" s="63">
        <v>863</v>
      </c>
      <c r="G15" s="64">
        <v>857</v>
      </c>
      <c r="H15">
        <f>G15</f>
        <v>857</v>
      </c>
      <c r="I15">
        <f t="shared" ref="I15:Q15" si="2">H15</f>
        <v>857</v>
      </c>
      <c r="J15">
        <f t="shared" si="2"/>
        <v>857</v>
      </c>
      <c r="K15">
        <f t="shared" si="2"/>
        <v>857</v>
      </c>
      <c r="L15">
        <f t="shared" si="2"/>
        <v>857</v>
      </c>
      <c r="M15">
        <f t="shared" si="2"/>
        <v>857</v>
      </c>
      <c r="N15">
        <f t="shared" si="2"/>
        <v>857</v>
      </c>
      <c r="O15">
        <f t="shared" si="2"/>
        <v>857</v>
      </c>
      <c r="P15">
        <f t="shared" si="2"/>
        <v>857</v>
      </c>
      <c r="Q15">
        <f t="shared" si="2"/>
        <v>857</v>
      </c>
    </row>
    <row r="16" spans="2:17" ht="16.5" x14ac:dyDescent="0.3">
      <c r="B16" s="2" t="s">
        <v>29</v>
      </c>
      <c r="C16" s="63">
        <v>230</v>
      </c>
      <c r="D16" s="63">
        <v>306</v>
      </c>
      <c r="E16" s="63">
        <v>560</v>
      </c>
      <c r="F16" s="63">
        <v>937</v>
      </c>
      <c r="G16" s="64">
        <v>946</v>
      </c>
      <c r="H16" s="69">
        <f>'FAS Seechules'!H64</f>
        <v>952.82961556715713</v>
      </c>
      <c r="I16" s="69">
        <f>'FAS Seechules'!I64</f>
        <v>956.60694649268407</v>
      </c>
      <c r="J16" s="69">
        <f>'FAS Seechules'!J64</f>
        <v>956.4532289262404</v>
      </c>
      <c r="K16" s="69">
        <f>'FAS Seechules'!K64</f>
        <v>951.26290004746204</v>
      </c>
      <c r="L16" s="69">
        <f>'FAS Seechules'!L64</f>
        <v>939.64553893060213</v>
      </c>
      <c r="M16" s="69">
        <f>'FAS Seechules'!M64</f>
        <v>919.85295423968694</v>
      </c>
      <c r="N16" s="69">
        <f>'FAS Seechules'!N64</f>
        <v>889.68761908918486</v>
      </c>
      <c r="O16" s="69">
        <f>'FAS Seechules'!O64</f>
        <v>846.38768139752051</v>
      </c>
      <c r="P16" s="69">
        <f>'FAS Seechules'!P64</f>
        <v>786.48255739995716</v>
      </c>
      <c r="Q16" s="69">
        <f>'FAS Seechules'!Q64</f>
        <v>705.61158306449408</v>
      </c>
    </row>
    <row r="17" spans="2:17" ht="16.5" x14ac:dyDescent="0.3">
      <c r="B17" s="2" t="s">
        <v>30</v>
      </c>
      <c r="C17" s="63"/>
      <c r="D17" s="63"/>
      <c r="E17" s="63"/>
      <c r="F17" s="63"/>
      <c r="G17" s="64"/>
    </row>
    <row r="18" spans="2:17" ht="16.5" x14ac:dyDescent="0.3">
      <c r="B18" s="2" t="s">
        <v>31</v>
      </c>
      <c r="C18" s="63">
        <v>226</v>
      </c>
      <c r="D18" s="63">
        <v>187</v>
      </c>
      <c r="E18" s="63">
        <v>518</v>
      </c>
      <c r="F18" s="63">
        <v>343</v>
      </c>
      <c r="G18" s="64">
        <v>215</v>
      </c>
      <c r="H18" s="69">
        <f>'B_Sheet Forecast'!H9</f>
        <v>369.49628807136924</v>
      </c>
      <c r="I18" s="69">
        <f>'B_Sheet Forecast'!I9</f>
        <v>405.58333968336063</v>
      </c>
      <c r="J18" s="69">
        <f>'B_Sheet Forecast'!J9</f>
        <v>447.73696295110398</v>
      </c>
      <c r="K18" s="69">
        <f>'B_Sheet Forecast'!K9</f>
        <v>497.45485481249716</v>
      </c>
      <c r="L18" s="69">
        <f>'B_Sheet Forecast'!L9</f>
        <v>556.66467838217216</v>
      </c>
      <c r="M18" s="69">
        <f>'B_Sheet Forecast'!M9</f>
        <v>627.8528746836754</v>
      </c>
      <c r="N18" s="69">
        <f>'B_Sheet Forecast'!N9</f>
        <v>714.23248172866283</v>
      </c>
      <c r="O18" s="69">
        <f>'B_Sheet Forecast'!O9</f>
        <v>819.96180445283403</v>
      </c>
      <c r="P18" s="69">
        <f>'B_Sheet Forecast'!P9</f>
        <v>950.42937727492188</v>
      </c>
      <c r="Q18" s="69">
        <f>'B_Sheet Forecast'!Q9</f>
        <v>1112.625352681825</v>
      </c>
    </row>
    <row r="19" spans="2:17" ht="16.5" x14ac:dyDescent="0.3">
      <c r="B19" s="2" t="s">
        <v>32</v>
      </c>
      <c r="C19" s="63">
        <v>4</v>
      </c>
      <c r="D19" s="63">
        <v>4</v>
      </c>
      <c r="E19" s="63">
        <v>4</v>
      </c>
      <c r="F19" s="63">
        <v>4</v>
      </c>
      <c r="G19" s="63">
        <v>6</v>
      </c>
      <c r="H19" s="69">
        <f>'B_Sheet Forecast'!H11</f>
        <v>5.4310269564447502</v>
      </c>
      <c r="I19" s="69">
        <f>'B_Sheet Forecast'!I11</f>
        <v>5.9614510944146621</v>
      </c>
      <c r="J19" s="69">
        <f>'B_Sheet Forecast'!J11</f>
        <v>6.5810445021695756</v>
      </c>
      <c r="K19" s="69">
        <f>'B_Sheet Forecast'!K11</f>
        <v>7.3118210204567538</v>
      </c>
      <c r="L19" s="69">
        <f>'B_Sheet Forecast'!L11</f>
        <v>8.1821143313089877</v>
      </c>
      <c r="M19" s="69">
        <f>'B_Sheet Forecast'!M11</f>
        <v>9.2284712923279493</v>
      </c>
      <c r="N19" s="69">
        <f>'B_Sheet Forecast'!N11</f>
        <v>10.498118618954997</v>
      </c>
      <c r="O19" s="69">
        <f>'B_Sheet Forecast'!O11</f>
        <v>12.052176996100883</v>
      </c>
      <c r="P19" s="69">
        <f>'B_Sheet Forecast'!P11</f>
        <v>13.969849589341695</v>
      </c>
      <c r="Q19" s="69">
        <f>'B_Sheet Forecast'!Q11</f>
        <v>16.353880885730778</v>
      </c>
    </row>
    <row r="20" spans="2:17" ht="16.5" x14ac:dyDescent="0.3">
      <c r="B20" s="2" t="s">
        <v>33</v>
      </c>
      <c r="C20" s="63">
        <v>41</v>
      </c>
      <c r="D20" s="63">
        <v>17</v>
      </c>
      <c r="E20" s="63">
        <v>32</v>
      </c>
      <c r="F20" s="63">
        <v>100</v>
      </c>
      <c r="G20" s="63">
        <v>22</v>
      </c>
      <c r="H20" s="69">
        <f>'B_Sheet Forecast'!H13</f>
        <v>53.350086872495488</v>
      </c>
      <c r="I20" s="69">
        <f>'B_Sheet Forecast'!I13</f>
        <v>58.560551498597768</v>
      </c>
      <c r="J20" s="69">
        <f>'B_Sheet Forecast'!J13</f>
        <v>64.646944071207784</v>
      </c>
      <c r="K20" s="69">
        <f>'B_Sheet Forecast'!K13</f>
        <v>71.825511043470129</v>
      </c>
      <c r="L20" s="69">
        <f>'B_Sheet Forecast'!L13</f>
        <v>80.374579960062746</v>
      </c>
      <c r="M20" s="69">
        <f>'B_Sheet Forecast'!M13</f>
        <v>90.65315806650338</v>
      </c>
      <c r="N20" s="69">
        <f>'B_Sheet Forecast'!N13</f>
        <v>103.12516303282118</v>
      </c>
      <c r="O20" s="69">
        <f>'B_Sheet Forecast'!O13</f>
        <v>118.39099582845438</v>
      </c>
      <c r="P20" s="69">
        <f>'B_Sheet Forecast'!P13</f>
        <v>137.2286853230714</v>
      </c>
      <c r="Q20" s="69">
        <f>'B_Sheet Forecast'!Q13</f>
        <v>160.64751159462526</v>
      </c>
    </row>
    <row r="21" spans="2:17" ht="16.5" x14ac:dyDescent="0.3">
      <c r="B21" s="2" t="s">
        <v>34</v>
      </c>
      <c r="C21" s="63">
        <v>186</v>
      </c>
      <c r="D21" s="63">
        <v>187</v>
      </c>
      <c r="E21" s="63">
        <v>146</v>
      </c>
      <c r="F21" s="63">
        <v>68</v>
      </c>
      <c r="G21" s="63">
        <v>57</v>
      </c>
      <c r="H21" s="69">
        <f>'B_Sheet Forecast'!H15</f>
        <v>165.68507103718514</v>
      </c>
      <c r="I21" s="69">
        <f>'B_Sheet Forecast'!I15</f>
        <v>181.86679167384952</v>
      </c>
      <c r="J21" s="69">
        <f>'B_Sheet Forecast'!J15</f>
        <v>200.76881123687627</v>
      </c>
      <c r="K21" s="69">
        <f>'B_Sheet Forecast'!K15</f>
        <v>223.06270893168323</v>
      </c>
      <c r="L21" s="69">
        <f>'B_Sheet Forecast'!L15</f>
        <v>249.61286421320514</v>
      </c>
      <c r="M21" s="69">
        <f>'B_Sheet Forecast'!M15</f>
        <v>281.53421698994924</v>
      </c>
      <c r="N21" s="69">
        <f>'B_Sheet Forecast'!N15</f>
        <v>320.26751903234629</v>
      </c>
      <c r="O21" s="69">
        <f>'B_Sheet Forecast'!O15</f>
        <v>367.67738730924805</v>
      </c>
      <c r="P21" s="69">
        <f>'B_Sheet Forecast'!P15</f>
        <v>426.18008346326582</v>
      </c>
      <c r="Q21" s="69">
        <f>'B_Sheet Forecast'!Q15</f>
        <v>498.91004740284291</v>
      </c>
    </row>
    <row r="22" spans="2:17" ht="16.5" x14ac:dyDescent="0.3">
      <c r="B22" s="2" t="s">
        <v>35</v>
      </c>
      <c r="C22" s="63">
        <v>55</v>
      </c>
      <c r="D22" s="63">
        <v>57</v>
      </c>
      <c r="E22" s="63">
        <v>67</v>
      </c>
      <c r="F22" s="63">
        <v>95</v>
      </c>
      <c r="G22" s="63">
        <v>108</v>
      </c>
      <c r="H22" s="69">
        <f>'B_Sheet Forecast'!H17</f>
        <v>93.455667268945106</v>
      </c>
      <c r="I22" s="69">
        <f>'B_Sheet Forecast'!I17</f>
        <v>102.58306474774224</v>
      </c>
      <c r="J22" s="69">
        <f>'B_Sheet Forecast'!J17</f>
        <v>113.24486330288701</v>
      </c>
      <c r="K22" s="69">
        <f>'B_Sheet Forecast'!K17</f>
        <v>125.81987125050215</v>
      </c>
      <c r="L22" s="69">
        <f>'B_Sheet Forecast'!L17</f>
        <v>140.79564705453859</v>
      </c>
      <c r="M22" s="69">
        <f>'B_Sheet Forecast'!M17</f>
        <v>158.80107931951605</v>
      </c>
      <c r="N22" s="69">
        <f>'B_Sheet Forecast'!N17</f>
        <v>180.64883280292673</v>
      </c>
      <c r="O22" s="69">
        <f>'B_Sheet Forecast'!O17</f>
        <v>207.39065599323851</v>
      </c>
      <c r="P22" s="69">
        <f>'B_Sheet Forecast'!P17</f>
        <v>240.38945589645377</v>
      </c>
      <c r="Q22" s="69">
        <f>'B_Sheet Forecast'!Q17</f>
        <v>281.41323231680497</v>
      </c>
    </row>
    <row r="23" spans="2:17" ht="16.5" x14ac:dyDescent="0.3">
      <c r="B23" s="2" t="s">
        <v>36</v>
      </c>
      <c r="C23" s="63">
        <v>26</v>
      </c>
      <c r="D23" s="63">
        <v>30</v>
      </c>
      <c r="E23" s="63">
        <v>46</v>
      </c>
      <c r="F23" s="63">
        <v>40</v>
      </c>
      <c r="G23" s="63">
        <v>49</v>
      </c>
      <c r="H23" s="69">
        <f>'B_Sheet Forecast'!H19</f>
        <v>46.758420918238436</v>
      </c>
      <c r="I23" s="69">
        <f>'B_Sheet Forecast'!I19</f>
        <v>51.325106980983854</v>
      </c>
      <c r="J23" s="69">
        <f>'B_Sheet Forecast'!J19</f>
        <v>56.659495778960846</v>
      </c>
      <c r="K23" s="69">
        <f>'B_Sheet Forecast'!K19</f>
        <v>62.951115451127777</v>
      </c>
      <c r="L23" s="69">
        <f>'B_Sheet Forecast'!L19</f>
        <v>70.443904803400628</v>
      </c>
      <c r="M23" s="69">
        <f>'B_Sheet Forecast'!M19</f>
        <v>79.452513968191298</v>
      </c>
      <c r="N23" s="69">
        <f>'B_Sheet Forecast'!N19</f>
        <v>90.383541302845941</v>
      </c>
      <c r="O23" s="69">
        <f>'B_Sheet Forecast'!O19</f>
        <v>103.76320528036923</v>
      </c>
      <c r="P23" s="69">
        <f>'B_Sheet Forecast'!P19</f>
        <v>120.27340547219845</v>
      </c>
      <c r="Q23" s="69">
        <f>'B_Sheet Forecast'!Q19</f>
        <v>140.79872043248122</v>
      </c>
    </row>
    <row r="24" spans="2:17" x14ac:dyDescent="0.25">
      <c r="B24" s="4" t="s">
        <v>37</v>
      </c>
      <c r="C24" s="14">
        <f t="shared" ref="C24:Q24" si="3">SUM(C11:C23)</f>
        <v>2174</v>
      </c>
      <c r="D24" s="14">
        <f t="shared" si="3"/>
        <v>2281</v>
      </c>
      <c r="E24" s="14">
        <f t="shared" si="3"/>
        <v>3126</v>
      </c>
      <c r="F24" s="14">
        <f t="shared" si="3"/>
        <v>3418</v>
      </c>
      <c r="G24" s="14">
        <f t="shared" si="3"/>
        <v>3255</v>
      </c>
      <c r="H24" s="14">
        <f t="shared" si="3"/>
        <v>3622.0861228775502</v>
      </c>
      <c r="I24" s="14">
        <f t="shared" si="3"/>
        <v>3786.0456465296311</v>
      </c>
      <c r="J24" s="14">
        <f t="shared" si="3"/>
        <v>3963.3528287554341</v>
      </c>
      <c r="K24" s="14">
        <f t="shared" si="3"/>
        <v>4155.4817582445849</v>
      </c>
      <c r="L24" s="14">
        <f t="shared" si="3"/>
        <v>4364.1661481422097</v>
      </c>
      <c r="M24" s="14">
        <f t="shared" si="3"/>
        <v>4591.4646138900844</v>
      </c>
      <c r="N24" s="14">
        <f t="shared" si="3"/>
        <v>4839.844445858359</v>
      </c>
      <c r="O24" s="14">
        <f t="shared" si="3"/>
        <v>5112.2892515827589</v>
      </c>
      <c r="P24" s="14">
        <f t="shared" si="3"/>
        <v>5412.4374295628113</v>
      </c>
      <c r="Q24" s="14">
        <f t="shared" si="3"/>
        <v>5744.7605043172935</v>
      </c>
    </row>
    <row r="25" spans="2:17" ht="16.5" x14ac:dyDescent="0.3">
      <c r="B25" s="1" t="s">
        <v>38</v>
      </c>
      <c r="C25" s="2"/>
      <c r="D25" s="2"/>
      <c r="E25" s="2"/>
      <c r="F25" s="2"/>
    </row>
    <row r="26" spans="2:17" ht="16.5" x14ac:dyDescent="0.3">
      <c r="B26" s="2" t="s">
        <v>39</v>
      </c>
      <c r="C26" s="66">
        <v>1126</v>
      </c>
      <c r="D26" s="66">
        <v>1412</v>
      </c>
      <c r="E26" s="66">
        <v>1225</v>
      </c>
      <c r="F26" s="66">
        <v>1336</v>
      </c>
      <c r="G26" s="67">
        <v>1235</v>
      </c>
      <c r="H26" s="71">
        <f>'Working Capital'!H12</f>
        <v>1577.3473186504516</v>
      </c>
      <c r="I26" s="71">
        <f>'Working Capital'!I12</f>
        <v>1731.3997839547326</v>
      </c>
      <c r="J26" s="71">
        <f>'Working Capital'!J12</f>
        <v>1911.3499127634241</v>
      </c>
      <c r="K26" s="71">
        <f>'Working Capital'!K12</f>
        <v>2123.5912422389024</v>
      </c>
      <c r="L26" s="71">
        <f>'Working Capital'!L12</f>
        <v>2376.3527975250918</v>
      </c>
      <c r="M26" s="71">
        <f>'Working Capital'!M12</f>
        <v>2680.2489777596529</v>
      </c>
      <c r="N26" s="71">
        <f>'Working Capital'!N12</f>
        <v>3048.9959610369888</v>
      </c>
      <c r="O26" s="71">
        <f>'Working Capital'!O12</f>
        <v>3500.3451872286387</v>
      </c>
      <c r="P26" s="71">
        <f>'Working Capital'!P12</f>
        <v>4057.2998382101478</v>
      </c>
      <c r="Q26" s="71">
        <f>'Working Capital'!Q12</f>
        <v>4749.7002632302683</v>
      </c>
    </row>
    <row r="27" spans="2:17" ht="16.5" x14ac:dyDescent="0.3">
      <c r="B27" s="1" t="s">
        <v>30</v>
      </c>
      <c r="C27" s="63"/>
      <c r="D27" s="63"/>
      <c r="E27" s="63"/>
      <c r="F27" s="63"/>
      <c r="G27" s="64"/>
      <c r="H27" s="70"/>
      <c r="I27" s="70"/>
      <c r="J27" s="70"/>
      <c r="K27" s="70"/>
      <c r="L27" s="70"/>
      <c r="M27" s="70"/>
      <c r="N27" s="70"/>
      <c r="O27" s="70"/>
      <c r="P27" s="70"/>
      <c r="Q27" s="70"/>
    </row>
    <row r="28" spans="2:17" ht="16.5" x14ac:dyDescent="0.3">
      <c r="B28" s="2" t="s">
        <v>31</v>
      </c>
      <c r="C28" s="63">
        <v>628</v>
      </c>
      <c r="D28" s="63">
        <v>641</v>
      </c>
      <c r="E28" s="63">
        <v>578</v>
      </c>
      <c r="F28" s="63">
        <v>259</v>
      </c>
      <c r="G28" s="67">
        <v>1375</v>
      </c>
      <c r="H28" s="69">
        <f>'B_Sheet Forecast'!H24</f>
        <v>847.93288574419194</v>
      </c>
      <c r="I28" s="69">
        <f>'B_Sheet Forecast'!I24</f>
        <v>930.74670228094988</v>
      </c>
      <c r="J28" s="69">
        <f>'B_Sheet Forecast'!J24</f>
        <v>1027.4822976736893</v>
      </c>
      <c r="K28" s="69">
        <f>'B_Sheet Forecast'!K24</f>
        <v>1141.5766387540684</v>
      </c>
      <c r="L28" s="69">
        <f>'B_Sheet Forecast'!L24</f>
        <v>1277.4533936354101</v>
      </c>
      <c r="M28" s="69">
        <f>'B_Sheet Forecast'!M24</f>
        <v>1440.818533339326</v>
      </c>
      <c r="N28" s="69">
        <f>'B_Sheet Forecast'!N24</f>
        <v>1639.0454488339637</v>
      </c>
      <c r="O28" s="69">
        <f>'B_Sheet Forecast'!O24</f>
        <v>1881.676762380391</v>
      </c>
      <c r="P28" s="69">
        <f>'B_Sheet Forecast'!P24</f>
        <v>2181.078269487562</v>
      </c>
      <c r="Q28" s="69">
        <f>'B_Sheet Forecast'!Q24</f>
        <v>2553.2912143069284</v>
      </c>
    </row>
    <row r="29" spans="2:17" ht="16.5" x14ac:dyDescent="0.3">
      <c r="B29" s="2" t="s">
        <v>40</v>
      </c>
      <c r="C29" s="63">
        <v>388</v>
      </c>
      <c r="D29" s="63">
        <v>652</v>
      </c>
      <c r="E29" s="66">
        <v>1015</v>
      </c>
      <c r="F29" s="66">
        <v>1069</v>
      </c>
      <c r="G29" s="67">
        <v>1271</v>
      </c>
      <c r="H29" s="71">
        <f>'Working Capital'!H13</f>
        <v>1061.8125050743738</v>
      </c>
      <c r="I29" s="71">
        <f>'Working Capital'!I13</f>
        <v>1165.5149884548716</v>
      </c>
      <c r="J29" s="71">
        <f>'Working Capital'!J13</f>
        <v>1286.6508313980044</v>
      </c>
      <c r="K29" s="71">
        <f>'Working Capital'!K13</f>
        <v>1429.523929203431</v>
      </c>
      <c r="L29" s="71">
        <f>'Working Capital'!L13</f>
        <v>1599.6737605256465</v>
      </c>
      <c r="M29" s="71">
        <f>'Working Capital'!M13</f>
        <v>1804.2455505189068</v>
      </c>
      <c r="N29" s="71">
        <f>'Working Capital'!N13</f>
        <v>2052.4725284474712</v>
      </c>
      <c r="O29" s="71">
        <f>'Working Capital'!O13</f>
        <v>2356.3043141672911</v>
      </c>
      <c r="P29" s="71">
        <f>'Working Capital'!P13</f>
        <v>2731.2258081078107</v>
      </c>
      <c r="Q29" s="71">
        <f>'Working Capital'!Q13</f>
        <v>3197.3244416251255</v>
      </c>
    </row>
    <row r="30" spans="2:17" ht="16.5" x14ac:dyDescent="0.3">
      <c r="B30" s="2" t="s">
        <v>41</v>
      </c>
      <c r="C30" s="63">
        <v>109</v>
      </c>
      <c r="D30" s="63">
        <v>276</v>
      </c>
      <c r="E30" s="63">
        <v>207</v>
      </c>
      <c r="F30" s="63">
        <v>228</v>
      </c>
      <c r="G30" s="64">
        <v>321</v>
      </c>
      <c r="H30" s="71">
        <f>'Cash Flow '!H70</f>
        <v>587.50130638607561</v>
      </c>
      <c r="I30" s="71">
        <f>'Cash Flow '!I70</f>
        <v>1050.3777290919277</v>
      </c>
      <c r="J30" s="71">
        <f>'Cash Flow '!J70</f>
        <v>1557.8561480614042</v>
      </c>
      <c r="K30" s="71">
        <f>'Cash Flow '!K70</f>
        <v>2118.0857041540548</v>
      </c>
      <c r="L30" s="71">
        <f>'Cash Flow '!L70</f>
        <v>2741.424915160831</v>
      </c>
      <c r="M30" s="71">
        <f>'Cash Flow '!M70</f>
        <v>3441.1158133902932</v>
      </c>
      <c r="N30" s="71">
        <f>'Cash Flow '!N70</f>
        <v>4234.1682576975309</v>
      </c>
      <c r="O30" s="71">
        <f>'Cash Flow '!O70</f>
        <v>5142.5198961253773</v>
      </c>
      <c r="P30" s="71">
        <f>'Cash Flow '!P70</f>
        <v>6194.5575493724282</v>
      </c>
      <c r="Q30" s="71">
        <f>'Cash Flow '!Q70</f>
        <v>7431.8918889161887</v>
      </c>
    </row>
    <row r="31" spans="2:17" ht="16.5" x14ac:dyDescent="0.3">
      <c r="B31" s="2" t="s">
        <v>42</v>
      </c>
      <c r="C31" s="63">
        <v>835</v>
      </c>
      <c r="D31" s="63">
        <v>303</v>
      </c>
      <c r="E31" s="63">
        <v>549</v>
      </c>
      <c r="F31" s="63">
        <v>715</v>
      </c>
      <c r="G31" s="64">
        <v>456</v>
      </c>
      <c r="H31" s="19">
        <v>456</v>
      </c>
      <c r="I31" s="19">
        <v>456</v>
      </c>
      <c r="J31" s="19">
        <v>456</v>
      </c>
      <c r="K31" s="19">
        <v>456</v>
      </c>
      <c r="L31" s="19">
        <v>456</v>
      </c>
      <c r="M31" s="19">
        <v>456</v>
      </c>
      <c r="N31" s="19">
        <v>456</v>
      </c>
      <c r="O31" s="19">
        <v>456</v>
      </c>
      <c r="P31" s="19">
        <v>456</v>
      </c>
      <c r="Q31" s="19">
        <v>456</v>
      </c>
    </row>
    <row r="32" spans="2:17" ht="16.5" x14ac:dyDescent="0.3">
      <c r="B32" s="2" t="s">
        <v>43</v>
      </c>
      <c r="C32" s="63">
        <v>6</v>
      </c>
      <c r="D32" s="63">
        <v>5</v>
      </c>
      <c r="E32" s="63">
        <v>4</v>
      </c>
      <c r="F32" s="63">
        <v>6</v>
      </c>
      <c r="G32" s="63">
        <v>7</v>
      </c>
      <c r="H32" s="69">
        <f>'B_Sheet Forecast'!H26</f>
        <v>6.976324085869412</v>
      </c>
      <c r="I32" s="69">
        <f>'B_Sheet Forecast'!I26</f>
        <v>7.6576704903564874</v>
      </c>
      <c r="J32" s="69">
        <f>'B_Sheet Forecast'!J26</f>
        <v>8.4535576123743983</v>
      </c>
      <c r="K32" s="69">
        <f>'B_Sheet Forecast'!K26</f>
        <v>9.3922629192712659</v>
      </c>
      <c r="L32" s="69">
        <f>'B_Sheet Forecast'!L26</f>
        <v>10.510181912301631</v>
      </c>
      <c r="M32" s="69">
        <f>'B_Sheet Forecast'!M26</f>
        <v>11.854260173764031</v>
      </c>
      <c r="N32" s="69">
        <f>'B_Sheet Forecast'!N26</f>
        <v>13.485161897571023</v>
      </c>
      <c r="O32" s="69">
        <f>'B_Sheet Forecast'!O26</f>
        <v>15.481398516220969</v>
      </c>
      <c r="P32" s="69">
        <f>'B_Sheet Forecast'!P26</f>
        <v>17.944708974505865</v>
      </c>
      <c r="Q32" s="69">
        <f>'B_Sheet Forecast'!Q26</f>
        <v>21.007071781364974</v>
      </c>
    </row>
    <row r="33" spans="2:17" ht="16.5" x14ac:dyDescent="0.3">
      <c r="B33" s="2" t="s">
        <v>44</v>
      </c>
      <c r="C33" s="63">
        <v>5</v>
      </c>
      <c r="D33" s="63">
        <v>2</v>
      </c>
      <c r="E33" s="63">
        <v>4</v>
      </c>
      <c r="F33" s="63">
        <v>5</v>
      </c>
      <c r="G33" s="63">
        <v>3</v>
      </c>
      <c r="H33" s="69">
        <f>'B_Sheet Forecast'!H28</f>
        <v>4.8173282925774767</v>
      </c>
      <c r="I33" s="69">
        <f>'B_Sheet Forecast'!I28</f>
        <v>5.287815223944353</v>
      </c>
      <c r="J33" s="69">
        <f>'B_Sheet Forecast'!J28</f>
        <v>5.8373954188152934</v>
      </c>
      <c r="K33" s="69">
        <f>'B_Sheet Forecast'!K28</f>
        <v>6.4855951838557893</v>
      </c>
      <c r="L33" s="69">
        <f>'B_Sheet Forecast'!L28</f>
        <v>7.25754653354194</v>
      </c>
      <c r="M33" s="69">
        <f>'B_Sheet Forecast'!M28</f>
        <v>8.1856665802433337</v>
      </c>
      <c r="N33" s="69">
        <f>'B_Sheet Forecast'!N28</f>
        <v>9.3118454847501315</v>
      </c>
      <c r="O33" s="69">
        <f>'B_Sheet Forecast'!O28</f>
        <v>10.690297377657444</v>
      </c>
      <c r="P33" s="69">
        <f>'B_Sheet Forecast'!P28</f>
        <v>12.391275574489446</v>
      </c>
      <c r="Q33" s="69">
        <f>'B_Sheet Forecast'!Q28</f>
        <v>14.505914574919553</v>
      </c>
    </row>
    <row r="34" spans="2:17" ht="16.5" x14ac:dyDescent="0.3">
      <c r="B34" s="2" t="s">
        <v>45</v>
      </c>
      <c r="C34" s="63">
        <v>1</v>
      </c>
      <c r="D34" s="63">
        <v>1</v>
      </c>
      <c r="E34" s="63">
        <v>2</v>
      </c>
      <c r="F34" s="63">
        <v>2</v>
      </c>
      <c r="G34" s="63">
        <v>2</v>
      </c>
      <c r="H34" s="69">
        <f>'B_Sheet Forecast'!H30</f>
        <v>1.9543767916841785</v>
      </c>
      <c r="I34" s="69">
        <f>'B_Sheet Forecast'!I30</f>
        <v>2.1452520411187885</v>
      </c>
      <c r="J34" s="69">
        <f>'B_Sheet Forecast'!J30</f>
        <v>2.3682152092466455</v>
      </c>
      <c r="K34" s="69">
        <f>'B_Sheet Forecast'!K30</f>
        <v>2.6311880647861372</v>
      </c>
      <c r="L34" s="69">
        <f>'B_Sheet Forecast'!L30</f>
        <v>2.944366596641744</v>
      </c>
      <c r="M34" s="69">
        <f>'B_Sheet Forecast'!M30</f>
        <v>3.3209023378252716</v>
      </c>
      <c r="N34" s="69">
        <f>'B_Sheet Forecast'!N30</f>
        <v>3.7777900109455897</v>
      </c>
      <c r="O34" s="69">
        <f>'B_Sheet Forecast'!O30</f>
        <v>4.3370241391452611</v>
      </c>
      <c r="P34" s="69">
        <f>'B_Sheet Forecast'!P30</f>
        <v>5.0271062986217947</v>
      </c>
      <c r="Q34" s="69">
        <f>'B_Sheet Forecast'!Q30</f>
        <v>5.8850095043465602</v>
      </c>
    </row>
    <row r="35" spans="2:17" ht="16.5" x14ac:dyDescent="0.3">
      <c r="B35" s="2" t="s">
        <v>46</v>
      </c>
      <c r="C35" s="63">
        <v>224</v>
      </c>
      <c r="D35" s="63">
        <v>213</v>
      </c>
      <c r="E35" s="63">
        <v>229</v>
      </c>
      <c r="F35" s="63">
        <v>378</v>
      </c>
      <c r="G35" s="63">
        <v>413</v>
      </c>
      <c r="H35" s="69">
        <f>'B_Sheet Forecast'!H32</f>
        <v>357.17716533382242</v>
      </c>
      <c r="I35" s="69">
        <f>'B_Sheet Forecast'!I32</f>
        <v>392.06106326769503</v>
      </c>
      <c r="J35" s="69">
        <f>'B_Sheet Forecast'!J32</f>
        <v>432.8092714456734</v>
      </c>
      <c r="K35" s="69">
        <f>'B_Sheet Forecast'!K32</f>
        <v>480.86955311755833</v>
      </c>
      <c r="L35" s="69">
        <f>'B_Sheet Forecast'!L32</f>
        <v>538.1053025019944</v>
      </c>
      <c r="M35" s="69">
        <f>'B_Sheet Forecast'!M32</f>
        <v>606.92006189488814</v>
      </c>
      <c r="N35" s="69">
        <f>'B_Sheet Forecast'!N32</f>
        <v>690.41974560759377</v>
      </c>
      <c r="O35" s="69">
        <f>'B_Sheet Forecast'!O32</f>
        <v>792.62401937824154</v>
      </c>
      <c r="P35" s="69">
        <f>'B_Sheet Forecast'!P32</f>
        <v>918.74176218916909</v>
      </c>
      <c r="Q35" s="69">
        <f>'B_Sheet Forecast'!Q32</f>
        <v>1075.530072639536</v>
      </c>
    </row>
    <row r="36" spans="2:17" ht="16.5" x14ac:dyDescent="0.3">
      <c r="B36" s="2" t="s">
        <v>47</v>
      </c>
      <c r="C36" s="63">
        <v>14</v>
      </c>
      <c r="D36" s="63">
        <v>0</v>
      </c>
      <c r="E36" s="63">
        <v>7</v>
      </c>
      <c r="F36" s="63">
        <v>5</v>
      </c>
      <c r="G36" s="64"/>
      <c r="H36" s="69">
        <f>'B_Sheet Forecast'!H34</f>
        <v>7.0372394497307669</v>
      </c>
      <c r="I36" s="69">
        <f>'B_Sheet Forecast'!I34</f>
        <v>7.72453518564713</v>
      </c>
      <c r="J36" s="69">
        <f>'B_Sheet Forecast'!J34</f>
        <v>8.5273717774765831</v>
      </c>
      <c r="K36" s="69">
        <f>'B_Sheet Forecast'!K34</f>
        <v>9.4742736037186503</v>
      </c>
      <c r="L36" s="69">
        <f>'B_Sheet Forecast'!L34</f>
        <v>10.601953961242659</v>
      </c>
      <c r="M36" s="69">
        <f>'B_Sheet Forecast'!M34</f>
        <v>11.957768348399243</v>
      </c>
      <c r="N36" s="69">
        <f>'B_Sheet Forecast'!N34</f>
        <v>13.602910662337226</v>
      </c>
      <c r="O36" s="69">
        <f>'B_Sheet Forecast'!O34</f>
        <v>15.616577876022845</v>
      </c>
      <c r="P36" s="69">
        <f>'B_Sheet Forecast'!P34</f>
        <v>18.101397291033798</v>
      </c>
      <c r="Q36" s="69">
        <f>'B_Sheet Forecast'!Q34</f>
        <v>21.190499816741855</v>
      </c>
    </row>
    <row r="37" spans="2:17" x14ac:dyDescent="0.25">
      <c r="B37" s="4" t="s">
        <v>48</v>
      </c>
      <c r="C37" s="14">
        <f t="shared" ref="C37:E37" si="4">SUM(C26:C36)</f>
        <v>3336</v>
      </c>
      <c r="D37" s="14">
        <f t="shared" si="4"/>
        <v>3505</v>
      </c>
      <c r="E37" s="14">
        <f t="shared" si="4"/>
        <v>3820</v>
      </c>
      <c r="F37" s="14">
        <f>SUM(F26:F36)</f>
        <v>4003</v>
      </c>
      <c r="G37" s="14">
        <f>SUM(G26:G36)</f>
        <v>5083</v>
      </c>
      <c r="H37" s="14">
        <f t="shared" ref="H37" si="5">SUM(H26:H36)</f>
        <v>4908.556449808777</v>
      </c>
      <c r="I37" s="14">
        <f t="shared" ref="I37" si="6">SUM(I26:I36)</f>
        <v>5748.9155399912443</v>
      </c>
      <c r="J37" s="14">
        <f t="shared" ref="J37" si="7">SUM(J26:J36)</f>
        <v>6697.3350013601084</v>
      </c>
      <c r="K37" s="14">
        <f t="shared" ref="K37" si="8">SUM(K26:K36)</f>
        <v>7777.6303872396466</v>
      </c>
      <c r="L37" s="14">
        <f t="shared" ref="L37" si="9">SUM(L26:L36)</f>
        <v>9020.3242183527</v>
      </c>
      <c r="M37" s="14">
        <f t="shared" ref="M37" si="10">SUM(M26:M36)</f>
        <v>10464.6675343433</v>
      </c>
      <c r="N37" s="14">
        <f t="shared" ref="N37" si="11">SUM(N26:N36)</f>
        <v>12161.279649679152</v>
      </c>
      <c r="O37" s="14">
        <f t="shared" ref="O37" si="12">SUM(O26:O36)</f>
        <v>14175.595477188986</v>
      </c>
      <c r="P37" s="14">
        <f t="shared" ref="P37" si="13">SUM(P26:P36)</f>
        <v>16592.36771550577</v>
      </c>
      <c r="Q37" s="14">
        <f t="shared" ref="Q37" si="14">SUM(Q26:Q36)</f>
        <v>19526.326376395416</v>
      </c>
    </row>
    <row r="38" spans="2:17" ht="15.75" thickBot="1" x14ac:dyDescent="0.3">
      <c r="B38" s="13" t="s">
        <v>49</v>
      </c>
      <c r="C38" s="15">
        <f t="shared" ref="C38:E38" si="15">C24+C37</f>
        <v>5510</v>
      </c>
      <c r="D38" s="15">
        <f t="shared" si="15"/>
        <v>5786</v>
      </c>
      <c r="E38" s="15">
        <f t="shared" si="15"/>
        <v>6946</v>
      </c>
      <c r="F38" s="15">
        <f>F24+F37</f>
        <v>7421</v>
      </c>
      <c r="G38" s="15">
        <f>G24+G37</f>
        <v>8338</v>
      </c>
      <c r="H38" s="15">
        <f t="shared" ref="H38" si="16">H24+H37</f>
        <v>8530.6425726863272</v>
      </c>
      <c r="I38" s="15">
        <f t="shared" ref="I38" si="17">I24+I37</f>
        <v>9534.9611865208753</v>
      </c>
      <c r="J38" s="15">
        <f t="shared" ref="J38" si="18">J24+J37</f>
        <v>10660.687830115543</v>
      </c>
      <c r="K38" s="15">
        <f t="shared" ref="K38" si="19">K24+K37</f>
        <v>11933.112145484232</v>
      </c>
      <c r="L38" s="15">
        <f t="shared" ref="L38" si="20">L24+L37</f>
        <v>13384.490366494909</v>
      </c>
      <c r="M38" s="15">
        <f t="shared" ref="M38" si="21">M24+M37</f>
        <v>15056.132148233384</v>
      </c>
      <c r="N38" s="15">
        <f t="shared" ref="N38" si="22">N24+N37</f>
        <v>17001.124095537511</v>
      </c>
      <c r="O38" s="15">
        <f t="shared" ref="O38" si="23">O24+O37</f>
        <v>19287.884728771744</v>
      </c>
      <c r="P38" s="15">
        <f t="shared" ref="P38" si="24">P24+P37</f>
        <v>22004.805145068582</v>
      </c>
      <c r="Q38" s="15">
        <f t="shared" ref="Q38" si="25">Q24+Q37</f>
        <v>25271.086880712712</v>
      </c>
    </row>
    <row r="39" spans="2:17" ht="17.25" thickTop="1" x14ac:dyDescent="0.3">
      <c r="B39" s="1" t="s">
        <v>50</v>
      </c>
      <c r="C39" s="2"/>
      <c r="D39" s="2"/>
      <c r="E39" s="2"/>
      <c r="F39" s="2"/>
    </row>
    <row r="40" spans="2:17" ht="16.5" x14ac:dyDescent="0.3">
      <c r="B40" s="1" t="s">
        <v>51</v>
      </c>
      <c r="C40" s="2"/>
      <c r="D40" s="2"/>
      <c r="E40" s="2"/>
      <c r="F40" s="2"/>
    </row>
    <row r="41" spans="2:17" ht="16.5" x14ac:dyDescent="0.3">
      <c r="B41" s="2" t="s">
        <v>52</v>
      </c>
      <c r="C41" s="68">
        <v>129</v>
      </c>
      <c r="D41" s="63">
        <v>129</v>
      </c>
      <c r="E41" s="63">
        <v>129</v>
      </c>
      <c r="F41" s="63">
        <v>129</v>
      </c>
      <c r="G41" s="63">
        <v>129</v>
      </c>
      <c r="H41" s="70">
        <f>G41</f>
        <v>129</v>
      </c>
      <c r="I41" s="70">
        <f t="shared" ref="I41:Q41" si="26">H41</f>
        <v>129</v>
      </c>
      <c r="J41" s="70">
        <f t="shared" si="26"/>
        <v>129</v>
      </c>
      <c r="K41" s="70">
        <f t="shared" si="26"/>
        <v>129</v>
      </c>
      <c r="L41" s="70">
        <f t="shared" si="26"/>
        <v>129</v>
      </c>
      <c r="M41" s="70">
        <f t="shared" si="26"/>
        <v>129</v>
      </c>
      <c r="N41" s="70">
        <f t="shared" si="26"/>
        <v>129</v>
      </c>
      <c r="O41" s="70">
        <f t="shared" si="26"/>
        <v>129</v>
      </c>
      <c r="P41" s="70">
        <f t="shared" si="26"/>
        <v>129</v>
      </c>
      <c r="Q41" s="70">
        <f t="shared" si="26"/>
        <v>129</v>
      </c>
    </row>
    <row r="42" spans="2:17" ht="16.5" x14ac:dyDescent="0.3">
      <c r="B42" s="1" t="s">
        <v>54</v>
      </c>
      <c r="C42" s="63"/>
      <c r="D42" s="63"/>
      <c r="E42" s="63"/>
      <c r="F42" s="63"/>
      <c r="G42" s="64"/>
      <c r="H42" s="70"/>
      <c r="I42" s="70"/>
      <c r="J42" s="70"/>
      <c r="K42" s="70"/>
      <c r="L42" s="70"/>
      <c r="M42" s="70"/>
      <c r="N42" s="70"/>
      <c r="O42" s="70"/>
      <c r="P42" s="70"/>
      <c r="Q42" s="70"/>
    </row>
    <row r="43" spans="2:17" ht="16.5" x14ac:dyDescent="0.3">
      <c r="B43" s="17" t="s">
        <v>55</v>
      </c>
      <c r="C43" s="66">
        <v>3111</v>
      </c>
      <c r="D43" s="66">
        <v>3189</v>
      </c>
      <c r="E43" s="66">
        <v>3674</v>
      </c>
      <c r="F43" s="66">
        <v>3782</v>
      </c>
      <c r="G43" s="66">
        <v>3997</v>
      </c>
      <c r="H43" s="71">
        <f>G43+'P&amp;L Statement '!H39+'P&amp;L Statement '!H44</f>
        <v>4589.9238238852522</v>
      </c>
      <c r="I43" s="71">
        <f>H43+'P&amp;L Statement '!I39+'P&amp;L Statement '!I44</f>
        <v>5235.6420721131271</v>
      </c>
      <c r="J43" s="71">
        <f>I43+'P&amp;L Statement '!J39+'P&amp;L Statement '!J44</f>
        <v>5942.4842671252554</v>
      </c>
      <c r="K43" s="71">
        <f>J43+'P&amp;L Statement '!K39+'P&amp;L Statement '!K44</f>
        <v>6720.8572981057187</v>
      </c>
      <c r="L43" s="71">
        <f>K43+'P&amp;L Statement '!L39+'P&amp;L Statement '!L44</f>
        <v>7583.8620324739895</v>
      </c>
      <c r="M43" s="71">
        <f>L43+'P&amp;L Statement '!M39+'P&amp;L Statement '!M44</f>
        <v>8548.1001311663313</v>
      </c>
      <c r="N43" s="71">
        <f>M43+'P&amp;L Statement '!N39+'P&amp;L Statement '!N44</f>
        <v>9634.7299434768611</v>
      </c>
      <c r="O43" s="71">
        <f>N43+'P&amp;L Statement '!O39+'P&amp;L Statement '!O44</f>
        <v>10870.848529477877</v>
      </c>
      <c r="P43" s="71">
        <f>O43+'P&amp;L Statement '!P39+'P&amp;L Statement '!P44</f>
        <v>12291.300621987648</v>
      </c>
      <c r="Q43" s="71">
        <f>P43+'P&amp;L Statement '!Q39+'P&amp;L Statement '!Q44</f>
        <v>13945.82596627509</v>
      </c>
    </row>
    <row r="44" spans="2:17" ht="16.5" x14ac:dyDescent="0.3">
      <c r="B44" s="17" t="s">
        <v>56</v>
      </c>
      <c r="C44" s="63">
        <v>0</v>
      </c>
      <c r="D44" s="63">
        <v>30</v>
      </c>
      <c r="E44" s="63">
        <v>-4</v>
      </c>
      <c r="F44" s="63">
        <v>-79</v>
      </c>
      <c r="G44" s="63">
        <v>-152</v>
      </c>
      <c r="H44" s="72">
        <f>G44</f>
        <v>-152</v>
      </c>
      <c r="I44" s="72">
        <f t="shared" ref="I44:Q44" si="27">H44</f>
        <v>-152</v>
      </c>
      <c r="J44" s="72">
        <f t="shared" si="27"/>
        <v>-152</v>
      </c>
      <c r="K44" s="72">
        <f t="shared" si="27"/>
        <v>-152</v>
      </c>
      <c r="L44" s="72">
        <f t="shared" si="27"/>
        <v>-152</v>
      </c>
      <c r="M44" s="72">
        <f t="shared" si="27"/>
        <v>-152</v>
      </c>
      <c r="N44" s="72">
        <f t="shared" si="27"/>
        <v>-152</v>
      </c>
      <c r="O44" s="72">
        <f t="shared" si="27"/>
        <v>-152</v>
      </c>
      <c r="P44" s="72">
        <f t="shared" si="27"/>
        <v>-152</v>
      </c>
      <c r="Q44" s="72">
        <f t="shared" si="27"/>
        <v>-152</v>
      </c>
    </row>
    <row r="45" spans="2:17" ht="16.5" x14ac:dyDescent="0.3">
      <c r="B45" s="17" t="s">
        <v>53</v>
      </c>
      <c r="C45" s="63"/>
      <c r="D45" s="63"/>
      <c r="E45" s="63"/>
      <c r="F45" s="63"/>
      <c r="G45" s="64">
        <v>1</v>
      </c>
      <c r="H45" s="72">
        <f>G45</f>
        <v>1</v>
      </c>
      <c r="I45" s="72">
        <f t="shared" ref="I45:Q45" si="28">H45</f>
        <v>1</v>
      </c>
      <c r="J45" s="72">
        <f t="shared" si="28"/>
        <v>1</v>
      </c>
      <c r="K45" s="72">
        <f t="shared" si="28"/>
        <v>1</v>
      </c>
      <c r="L45" s="72">
        <f t="shared" si="28"/>
        <v>1</v>
      </c>
      <c r="M45" s="72">
        <f t="shared" si="28"/>
        <v>1</v>
      </c>
      <c r="N45" s="72">
        <f t="shared" si="28"/>
        <v>1</v>
      </c>
      <c r="O45" s="72">
        <f t="shared" si="28"/>
        <v>1</v>
      </c>
      <c r="P45" s="72">
        <f t="shared" si="28"/>
        <v>1</v>
      </c>
      <c r="Q45" s="72">
        <f t="shared" si="28"/>
        <v>1</v>
      </c>
    </row>
    <row r="46" spans="2:17" x14ac:dyDescent="0.25">
      <c r="B46" s="1" t="s">
        <v>57</v>
      </c>
      <c r="C46" s="16">
        <f t="shared" ref="C46:H46" si="29">SUM(C41:C45)</f>
        <v>3240</v>
      </c>
      <c r="D46" s="16">
        <f t="shared" si="29"/>
        <v>3348</v>
      </c>
      <c r="E46" s="16">
        <f t="shared" si="29"/>
        <v>3799</v>
      </c>
      <c r="F46" s="16">
        <f t="shared" si="29"/>
        <v>3832</v>
      </c>
      <c r="G46" s="16">
        <f t="shared" si="29"/>
        <v>3975</v>
      </c>
      <c r="H46" s="16">
        <f t="shared" si="29"/>
        <v>4567.9238238852522</v>
      </c>
      <c r="I46" s="16">
        <f t="shared" ref="I46" si="30">SUM(I41:I45)</f>
        <v>5213.6420721131271</v>
      </c>
      <c r="J46" s="16">
        <f t="shared" ref="J46" si="31">SUM(J41:J45)</f>
        <v>5920.4842671252554</v>
      </c>
      <c r="K46" s="16">
        <f t="shared" ref="K46" si="32">SUM(K41:K45)</f>
        <v>6698.8572981057187</v>
      </c>
      <c r="L46" s="16">
        <f t="shared" ref="L46" si="33">SUM(L41:L45)</f>
        <v>7561.8620324739895</v>
      </c>
      <c r="M46" s="16">
        <f t="shared" ref="M46" si="34">SUM(M41:M45)</f>
        <v>8526.1001311663313</v>
      </c>
      <c r="N46" s="16">
        <f t="shared" ref="N46" si="35">SUM(N41:N45)</f>
        <v>9612.7299434768611</v>
      </c>
      <c r="O46" s="16">
        <f t="shared" ref="O46" si="36">SUM(O41:O45)</f>
        <v>10848.848529477877</v>
      </c>
      <c r="P46" s="16">
        <f t="shared" ref="P46" si="37">SUM(P41:P45)</f>
        <v>12269.300621987648</v>
      </c>
      <c r="Q46" s="16">
        <f t="shared" ref="Q46" si="38">SUM(Q41:Q45)</f>
        <v>13923.82596627509</v>
      </c>
    </row>
    <row r="47" spans="2:17" ht="16.5" x14ac:dyDescent="0.3">
      <c r="B47" s="2" t="s">
        <v>58</v>
      </c>
      <c r="C47" s="63">
        <v>18</v>
      </c>
      <c r="D47" s="63">
        <v>57</v>
      </c>
      <c r="E47" s="63">
        <v>157</v>
      </c>
      <c r="F47" s="63">
        <v>337</v>
      </c>
      <c r="G47" s="63">
        <v>291</v>
      </c>
      <c r="H47" s="72">
        <v>291</v>
      </c>
      <c r="I47" s="72">
        <v>291</v>
      </c>
      <c r="J47" s="72">
        <v>291</v>
      </c>
      <c r="K47" s="72">
        <v>291</v>
      </c>
      <c r="L47" s="72">
        <v>291</v>
      </c>
      <c r="M47" s="72">
        <v>291</v>
      </c>
      <c r="N47" s="72">
        <v>291</v>
      </c>
      <c r="O47" s="72">
        <v>291</v>
      </c>
      <c r="P47" s="72">
        <v>291</v>
      </c>
      <c r="Q47" s="72">
        <v>291</v>
      </c>
    </row>
    <row r="48" spans="2:17" x14ac:dyDescent="0.25">
      <c r="B48" s="4" t="s">
        <v>59</v>
      </c>
      <c r="C48" s="14">
        <f t="shared" ref="C48:H48" si="39">SUM(C46:C47)</f>
        <v>3258</v>
      </c>
      <c r="D48" s="14">
        <f t="shared" si="39"/>
        <v>3405</v>
      </c>
      <c r="E48" s="14">
        <f t="shared" si="39"/>
        <v>3956</v>
      </c>
      <c r="F48" s="14">
        <f t="shared" si="39"/>
        <v>4169</v>
      </c>
      <c r="G48" s="14">
        <f t="shared" si="39"/>
        <v>4266</v>
      </c>
      <c r="H48" s="14">
        <f t="shared" si="39"/>
        <v>4858.9238238852522</v>
      </c>
      <c r="I48" s="14">
        <f t="shared" ref="I48" si="40">SUM(I46:I47)</f>
        <v>5504.6420721131271</v>
      </c>
      <c r="J48" s="14">
        <f t="shared" ref="J48" si="41">SUM(J46:J47)</f>
        <v>6211.4842671252554</v>
      </c>
      <c r="K48" s="14">
        <f t="shared" ref="K48" si="42">SUM(K46:K47)</f>
        <v>6989.8572981057187</v>
      </c>
      <c r="L48" s="14">
        <f t="shared" ref="L48" si="43">SUM(L46:L47)</f>
        <v>7852.8620324739895</v>
      </c>
      <c r="M48" s="14">
        <f t="shared" ref="M48" si="44">SUM(M46:M47)</f>
        <v>8817.1001311663313</v>
      </c>
      <c r="N48" s="14">
        <f t="shared" ref="N48" si="45">SUM(N46:N47)</f>
        <v>9903.7299434768611</v>
      </c>
      <c r="O48" s="14">
        <f t="shared" ref="O48" si="46">SUM(O46:O47)</f>
        <v>11139.848529477877</v>
      </c>
      <c r="P48" s="14">
        <f t="shared" ref="P48" si="47">SUM(P46:P47)</f>
        <v>12560.300621987648</v>
      </c>
      <c r="Q48" s="14">
        <f t="shared" ref="Q48" si="48">SUM(Q46:Q47)</f>
        <v>14214.82596627509</v>
      </c>
    </row>
    <row r="49" spans="2:17" ht="16.5" x14ac:dyDescent="0.3">
      <c r="B49" s="1" t="s">
        <v>60</v>
      </c>
      <c r="C49" s="2"/>
      <c r="D49" s="2"/>
      <c r="E49" s="2"/>
      <c r="F49" s="2"/>
    </row>
    <row r="50" spans="2:17" ht="16.5" x14ac:dyDescent="0.3">
      <c r="B50" s="1" t="s">
        <v>61</v>
      </c>
      <c r="C50" s="2"/>
      <c r="D50" s="2"/>
      <c r="E50" s="2"/>
      <c r="F50" s="2"/>
    </row>
    <row r="51" spans="2:17" ht="16.5" x14ac:dyDescent="0.3">
      <c r="B51" s="2" t="s">
        <v>62</v>
      </c>
      <c r="C51" s="2"/>
      <c r="D51" s="2"/>
      <c r="E51" s="2"/>
      <c r="F51" s="2"/>
    </row>
    <row r="52" spans="2:17" ht="16.5" x14ac:dyDescent="0.3">
      <c r="B52" s="2" t="s">
        <v>63</v>
      </c>
      <c r="C52" s="63">
        <v>8</v>
      </c>
      <c r="D52" s="65"/>
      <c r="E52" s="63">
        <v>2</v>
      </c>
      <c r="F52" s="65"/>
      <c r="G52" s="64"/>
      <c r="H52" s="69">
        <f>'B_Sheet Forecast'!H39</f>
        <v>2.8363961201481187</v>
      </c>
      <c r="I52" s="69">
        <f>'B_Sheet Forecast'!I39</f>
        <v>3.1134142566877387</v>
      </c>
      <c r="J52" s="69">
        <f>'B_Sheet Forecast'!J39</f>
        <v>3.4370017387457952</v>
      </c>
      <c r="K52" s="69">
        <f>'B_Sheet Forecast'!K39</f>
        <v>3.818655466077316</v>
      </c>
      <c r="L52" s="69">
        <f>'B_Sheet Forecast'!L39</f>
        <v>4.2731729247621582</v>
      </c>
      <c r="M52" s="69">
        <f>'B_Sheet Forecast'!M39</f>
        <v>4.8196409957781388</v>
      </c>
      <c r="N52" s="69">
        <f>'B_Sheet Forecast'!N39</f>
        <v>5.4827241990253599</v>
      </c>
      <c r="O52" s="69">
        <f>'B_Sheet Forecast'!O39</f>
        <v>6.2943432881535379</v>
      </c>
      <c r="P52" s="69">
        <f>'B_Sheet Forecast'!P39</f>
        <v>7.2958627331505985</v>
      </c>
      <c r="Q52" s="69">
        <f>'B_Sheet Forecast'!Q39</f>
        <v>8.5409416424654321</v>
      </c>
    </row>
    <row r="53" spans="2:17" ht="16.5" x14ac:dyDescent="0.3">
      <c r="B53" s="2" t="s">
        <v>64</v>
      </c>
      <c r="C53" s="63">
        <v>122</v>
      </c>
      <c r="D53" s="63">
        <v>91</v>
      </c>
      <c r="E53" s="63">
        <v>91</v>
      </c>
      <c r="F53" s="63">
        <v>104</v>
      </c>
      <c r="G53" s="63">
        <v>124</v>
      </c>
      <c r="H53" s="69">
        <f>'B_Sheet Forecast'!H41</f>
        <v>133.12477211213397</v>
      </c>
      <c r="I53" s="69">
        <f>'B_Sheet Forecast'!I41</f>
        <v>146.12647382643439</v>
      </c>
      <c r="J53" s="69">
        <f>'B_Sheet Forecast'!J41</f>
        <v>161.31388347677211</v>
      </c>
      <c r="K53" s="69">
        <f>'B_Sheet Forecast'!K41</f>
        <v>179.22660205505801</v>
      </c>
      <c r="L53" s="69">
        <f>'B_Sheet Forecast'!L41</f>
        <v>200.55914185039734</v>
      </c>
      <c r="M53" s="69">
        <f>'B_Sheet Forecast'!M41</f>
        <v>226.20733566359465</v>
      </c>
      <c r="N53" s="69">
        <f>'B_Sheet Forecast'!N41</f>
        <v>257.3287998683407</v>
      </c>
      <c r="O53" s="69">
        <f>'B_Sheet Forecast'!O41</f>
        <v>295.42171838368688</v>
      </c>
      <c r="P53" s="69">
        <f>'B_Sheet Forecast'!P41</f>
        <v>342.42751102810149</v>
      </c>
      <c r="Q53" s="69">
        <f>'B_Sheet Forecast'!Q41</f>
        <v>400.8646400619354</v>
      </c>
    </row>
    <row r="54" spans="2:17" ht="16.5" x14ac:dyDescent="0.3">
      <c r="B54" s="2" t="s">
        <v>65</v>
      </c>
      <c r="C54" s="63"/>
      <c r="D54" s="63"/>
      <c r="E54" s="63">
        <v>266</v>
      </c>
      <c r="F54" s="63">
        <v>405</v>
      </c>
      <c r="G54" s="63">
        <v>1211</v>
      </c>
      <c r="H54" s="69">
        <f>'B_Sheet Forecast'!H43</f>
        <v>428.24411657757952</v>
      </c>
      <c r="I54" s="69">
        <f>'B_Sheet Forecast'!I43</f>
        <v>470.06880612488499</v>
      </c>
      <c r="J54" s="69">
        <f>'B_Sheet Forecast'!J43</f>
        <v>518.92461804944764</v>
      </c>
      <c r="K54" s="69">
        <f>'B_Sheet Forecast'!K43</f>
        <v>576.54737466607025</v>
      </c>
      <c r="L54" s="69">
        <f>'B_Sheet Forecast'!L43</f>
        <v>645.17122666647845</v>
      </c>
      <c r="M54" s="69">
        <f>'B_Sheet Forecast'!M43</f>
        <v>727.67794519134782</v>
      </c>
      <c r="N54" s="69">
        <f>'B_Sheet Forecast'!N43</f>
        <v>827.79142319780112</v>
      </c>
      <c r="O54" s="69">
        <f>'B_Sheet Forecast'!O43</f>
        <v>950.33111268343112</v>
      </c>
      <c r="P54" s="69">
        <f>'B_Sheet Forecast'!P43</f>
        <v>1101.5422946870353</v>
      </c>
      <c r="Q54" s="69">
        <f>'B_Sheet Forecast'!Q43</f>
        <v>1289.5265165668279</v>
      </c>
    </row>
    <row r="55" spans="2:17" ht="16.5" x14ac:dyDescent="0.3">
      <c r="B55" s="2" t="s">
        <v>66</v>
      </c>
      <c r="C55" s="63">
        <v>1</v>
      </c>
      <c r="D55" s="63">
        <v>1</v>
      </c>
      <c r="E55" s="63">
        <v>4</v>
      </c>
      <c r="F55" s="63">
        <v>1</v>
      </c>
      <c r="G55" s="63">
        <v>1</v>
      </c>
      <c r="H55" s="69">
        <f>'B_Sheet Forecast'!H45</f>
        <v>1.9754610702738569</v>
      </c>
      <c r="I55" s="69">
        <f>'B_Sheet Forecast'!I45</f>
        <v>2.1683955269975002</v>
      </c>
      <c r="J55" s="69">
        <f>'B_Sheet Forecast'!J45</f>
        <v>2.393764074462672</v>
      </c>
      <c r="K55" s="69">
        <f>'B_Sheet Forecast'!K45</f>
        <v>2.659573943300372</v>
      </c>
      <c r="L55" s="69">
        <f>'B_Sheet Forecast'!L45</f>
        <v>2.9761311191523907</v>
      </c>
      <c r="M55" s="69">
        <f>'B_Sheet Forecast'!M45</f>
        <v>3.3567290168759798</v>
      </c>
      <c r="N55" s="69">
        <f>'B_Sheet Forecast'!N45</f>
        <v>3.8185457021628606</v>
      </c>
      <c r="O55" s="69">
        <f>'B_Sheet Forecast'!O45</f>
        <v>4.3838129802679076</v>
      </c>
      <c r="P55" s="69">
        <f>'B_Sheet Forecast'!P45</f>
        <v>5.0813399091267222</v>
      </c>
      <c r="Q55" s="69">
        <f>'B_Sheet Forecast'!Q45</f>
        <v>5.9484983773318056</v>
      </c>
    </row>
    <row r="56" spans="2:17" ht="16.5" x14ac:dyDescent="0.3">
      <c r="B56" s="2" t="s">
        <v>67</v>
      </c>
      <c r="C56" s="63">
        <v>24</v>
      </c>
      <c r="D56" s="63">
        <v>27</v>
      </c>
      <c r="E56" s="63">
        <v>20</v>
      </c>
      <c r="F56" s="63">
        <v>19</v>
      </c>
      <c r="G56" s="63">
        <v>27</v>
      </c>
      <c r="H56" s="69">
        <f>'B_Sheet Forecast'!H47</f>
        <v>29.171709447533761</v>
      </c>
      <c r="I56" s="69">
        <f>'B_Sheet Forecast'!I47</f>
        <v>32.020779975245887</v>
      </c>
      <c r="J56" s="69">
        <f>'B_Sheet Forecast'!J47</f>
        <v>35.348805965834153</v>
      </c>
      <c r="K56" s="69">
        <f>'B_Sheet Forecast'!K47</f>
        <v>39.274030501362716</v>
      </c>
      <c r="L56" s="69">
        <f>'B_Sheet Forecast'!L47</f>
        <v>43.94864246737162</v>
      </c>
      <c r="M56" s="69">
        <f>'B_Sheet Forecast'!M47</f>
        <v>49.56894623129017</v>
      </c>
      <c r="N56" s="69">
        <f>'B_Sheet Forecast'!N47</f>
        <v>56.388610948522185</v>
      </c>
      <c r="O56" s="69">
        <f>'B_Sheet Forecast'!O47</f>
        <v>64.735934540574917</v>
      </c>
      <c r="P56" s="69">
        <f>'B_Sheet Forecast'!P47</f>
        <v>75.036341471742148</v>
      </c>
      <c r="Q56" s="69">
        <f>'B_Sheet Forecast'!Q47</f>
        <v>87.841703855289552</v>
      </c>
    </row>
    <row r="57" spans="2:17" ht="16.5" x14ac:dyDescent="0.3">
      <c r="B57" s="2" t="s">
        <v>68</v>
      </c>
      <c r="C57" s="63">
        <v>84</v>
      </c>
      <c r="D57" s="63">
        <v>109</v>
      </c>
      <c r="E57" s="63">
        <v>178</v>
      </c>
      <c r="F57" s="63">
        <v>279</v>
      </c>
      <c r="G57" s="63">
        <v>248</v>
      </c>
      <c r="H57" s="69">
        <f>'B_Sheet Forecast'!H49</f>
        <v>217.48929040213932</v>
      </c>
      <c r="I57" s="69">
        <f>'B_Sheet Forecast'!I49</f>
        <v>238.7304976921065</v>
      </c>
      <c r="J57" s="69">
        <f>'B_Sheet Forecast'!J49</f>
        <v>263.54255104244976</v>
      </c>
      <c r="K57" s="69">
        <f>'B_Sheet Forecast'!K49</f>
        <v>292.80701017318972</v>
      </c>
      <c r="L57" s="69">
        <f>'B_Sheet Forecast'!L49</f>
        <v>327.65851728905324</v>
      </c>
      <c r="M57" s="69">
        <f>'B_Sheet Forecast'!M49</f>
        <v>369.56061698113893</v>
      </c>
      <c r="N57" s="69">
        <f>'B_Sheet Forecast'!N49</f>
        <v>420.40453625158437</v>
      </c>
      <c r="O57" s="69">
        <f>'B_Sheet Forecast'!O49</f>
        <v>482.63789587206651</v>
      </c>
      <c r="P57" s="69">
        <f>'B_Sheet Forecast'!P49</f>
        <v>559.43244225756234</v>
      </c>
      <c r="Q57" s="69">
        <f>'B_Sheet Forecast'!Q49</f>
        <v>654.90265058213572</v>
      </c>
    </row>
    <row r="58" spans="2:17" x14ac:dyDescent="0.25">
      <c r="B58" s="4" t="s">
        <v>69</v>
      </c>
      <c r="C58" s="4">
        <f t="shared" ref="C58:D58" si="49">SUM(C52:C57)</f>
        <v>239</v>
      </c>
      <c r="D58" s="4">
        <f t="shared" si="49"/>
        <v>228</v>
      </c>
      <c r="E58" s="4">
        <f>SUM(E52:E57)</f>
        <v>561</v>
      </c>
      <c r="F58" s="4">
        <f>SUM(F52:F57)</f>
        <v>808</v>
      </c>
      <c r="G58" s="4">
        <f>SUM(G52:G57)</f>
        <v>1611</v>
      </c>
      <c r="H58" s="73">
        <f>SUM(H52:H57)</f>
        <v>812.84174572980851</v>
      </c>
      <c r="I58" s="73">
        <f t="shared" ref="I58:Q58" si="50">SUM(I52:I57)</f>
        <v>892.22836740235709</v>
      </c>
      <c r="J58" s="73">
        <f t="shared" si="50"/>
        <v>984.96062434771204</v>
      </c>
      <c r="K58" s="73">
        <f t="shared" si="50"/>
        <v>1094.3332468050585</v>
      </c>
      <c r="L58" s="73">
        <f t="shared" si="50"/>
        <v>1224.5868323172151</v>
      </c>
      <c r="M58" s="73">
        <f t="shared" si="50"/>
        <v>1381.1912140800257</v>
      </c>
      <c r="N58" s="73">
        <f t="shared" si="50"/>
        <v>1571.2146401674368</v>
      </c>
      <c r="O58" s="73">
        <f t="shared" si="50"/>
        <v>1803.804817748181</v>
      </c>
      <c r="P58" s="73">
        <f t="shared" si="50"/>
        <v>2090.8157920867188</v>
      </c>
      <c r="Q58" s="73">
        <f t="shared" si="50"/>
        <v>2447.6249510859861</v>
      </c>
    </row>
    <row r="59" spans="2:17" ht="16.5" x14ac:dyDescent="0.3">
      <c r="B59" s="1" t="s">
        <v>70</v>
      </c>
      <c r="C59" s="2"/>
      <c r="D59" s="2"/>
      <c r="E59" s="2"/>
      <c r="F59" s="2"/>
    </row>
    <row r="60" spans="2:17" ht="16.5" x14ac:dyDescent="0.3">
      <c r="B60" s="2" t="s">
        <v>62</v>
      </c>
      <c r="C60" s="2"/>
      <c r="D60" s="2"/>
      <c r="E60" s="2"/>
      <c r="F60" s="2"/>
    </row>
    <row r="61" spans="2:17" ht="16.5" x14ac:dyDescent="0.3">
      <c r="B61" s="2" t="s">
        <v>71</v>
      </c>
      <c r="C61" s="63">
        <v>340</v>
      </c>
      <c r="D61" s="63">
        <v>345</v>
      </c>
      <c r="E61" s="63">
        <v>473</v>
      </c>
      <c r="F61" s="63">
        <v>383</v>
      </c>
      <c r="G61" s="63">
        <v>379</v>
      </c>
      <c r="H61" s="69">
        <f>'B_Sheet Forecast'!H54</f>
        <v>477.03162578544789</v>
      </c>
      <c r="I61" s="69">
        <f>'B_Sheet Forecast'!I54</f>
        <v>523.62117338313999</v>
      </c>
      <c r="J61" s="69">
        <f>'B_Sheet Forecast'!J54</f>
        <v>578.04286066210625</v>
      </c>
      <c r="K61" s="69">
        <f>'B_Sheet Forecast'!K54</f>
        <v>642.23026267650619</v>
      </c>
      <c r="L61" s="69">
        <f>'B_Sheet Forecast'!L54</f>
        <v>718.67205468296879</v>
      </c>
      <c r="M61" s="69">
        <f>'B_Sheet Forecast'!M54</f>
        <v>810.5783122415844</v>
      </c>
      <c r="N61" s="69">
        <f>'B_Sheet Forecast'!N54</f>
        <v>922.09717106005098</v>
      </c>
      <c r="O61" s="69">
        <f>'B_Sheet Forecast'!O54</f>
        <v>1058.597136934035</v>
      </c>
      <c r="P61" s="69">
        <f>'B_Sheet Forecast'!P54</f>
        <v>1227.0349816021271</v>
      </c>
      <c r="Q61" s="69">
        <f>'B_Sheet Forecast'!Q54</f>
        <v>1436.4352173881675</v>
      </c>
    </row>
    <row r="62" spans="2:17" ht="16.5" x14ac:dyDescent="0.3">
      <c r="B62" s="2" t="s">
        <v>72</v>
      </c>
      <c r="C62" s="63">
        <v>38</v>
      </c>
      <c r="D62" s="63">
        <v>43</v>
      </c>
      <c r="E62" s="63">
        <v>42</v>
      </c>
      <c r="F62" s="63">
        <v>41</v>
      </c>
      <c r="G62" s="63">
        <v>51</v>
      </c>
      <c r="H62" s="69">
        <f>'B_Sheet Forecast'!H56</f>
        <v>53.232281249561332</v>
      </c>
      <c r="I62" s="69">
        <f>'B_Sheet Forecast'!I56</f>
        <v>58.431240326806282</v>
      </c>
      <c r="J62" s="69">
        <f>'B_Sheet Forecast'!J56</f>
        <v>64.504193159943114</v>
      </c>
      <c r="K62" s="69">
        <f>'B_Sheet Forecast'!K56</f>
        <v>71.666908694962942</v>
      </c>
      <c r="L62" s="69">
        <f>'B_Sheet Forecast'!L56</f>
        <v>80.197099884296506</v>
      </c>
      <c r="M62" s="69">
        <f>'B_Sheet Forecast'!M56</f>
        <v>90.452981227382267</v>
      </c>
      <c r="N62" s="69">
        <f>'B_Sheet Forecast'!N56</f>
        <v>102.89744598898012</v>
      </c>
      <c r="O62" s="69">
        <f>'B_Sheet Forecast'!O56</f>
        <v>118.12956935605332</v>
      </c>
      <c r="P62" s="69">
        <f>'B_Sheet Forecast'!P56</f>
        <v>136.92566218465447</v>
      </c>
      <c r="Q62" s="69">
        <f>'B_Sheet Forecast'!Q56</f>
        <v>160.29277589904041</v>
      </c>
    </row>
    <row r="63" spans="2:17" ht="16.5" x14ac:dyDescent="0.3">
      <c r="B63" s="1" t="s">
        <v>73</v>
      </c>
      <c r="C63" s="63"/>
      <c r="D63" s="63"/>
      <c r="E63" s="63"/>
      <c r="F63" s="63"/>
      <c r="G63" s="64"/>
      <c r="H63" s="70"/>
      <c r="I63" s="70"/>
      <c r="J63" s="70"/>
      <c r="K63" s="70"/>
      <c r="L63" s="70"/>
      <c r="M63" s="70"/>
      <c r="N63" s="70"/>
      <c r="O63" s="70"/>
      <c r="P63" s="70"/>
      <c r="Q63" s="70"/>
    </row>
    <row r="64" spans="2:17" ht="16.5" x14ac:dyDescent="0.3">
      <c r="B64" s="2" t="s">
        <v>74</v>
      </c>
      <c r="C64" s="63">
        <v>50</v>
      </c>
      <c r="D64" s="63">
        <v>76</v>
      </c>
      <c r="E64" s="63">
        <v>68</v>
      </c>
      <c r="F64" s="63">
        <v>71</v>
      </c>
      <c r="G64" s="63">
        <v>89</v>
      </c>
      <c r="H64" s="70"/>
      <c r="I64" s="70"/>
      <c r="J64" s="70"/>
      <c r="K64" s="70"/>
      <c r="L64" s="70"/>
      <c r="M64" s="70"/>
      <c r="N64" s="70"/>
      <c r="O64" s="70"/>
      <c r="P64" s="70"/>
      <c r="Q64" s="70"/>
    </row>
    <row r="65" spans="2:17" ht="16.5" x14ac:dyDescent="0.3">
      <c r="B65" s="2" t="s">
        <v>75</v>
      </c>
      <c r="C65" s="66">
        <v>1084</v>
      </c>
      <c r="D65" s="66">
        <v>1268</v>
      </c>
      <c r="E65" s="66">
        <v>1384</v>
      </c>
      <c r="F65" s="66">
        <v>1510</v>
      </c>
      <c r="G65" s="63">
        <v>1274</v>
      </c>
      <c r="H65" s="71">
        <f>'Working Capital'!H14</f>
        <v>1711.1604452937675</v>
      </c>
      <c r="I65" s="71">
        <f>'Working Capital'!I14</f>
        <v>1878.2818408239632</v>
      </c>
      <c r="J65" s="71">
        <f>'Working Capital'!J14</f>
        <v>2073.4979095376088</v>
      </c>
      <c r="K65" s="71">
        <f>'Working Capital'!K14</f>
        <v>2303.7445797292635</v>
      </c>
      <c r="L65" s="71">
        <f>'Working Capital'!L14</f>
        <v>2577.9489799793696</v>
      </c>
      <c r="M65" s="71">
        <f>'Working Capital'!M14</f>
        <v>2907.6259743512633</v>
      </c>
      <c r="N65" s="71">
        <f>'Working Capital'!N14</f>
        <v>3307.6553430545609</v>
      </c>
      <c r="O65" s="71">
        <f>'Working Capital'!O14</f>
        <v>3797.2944566100296</v>
      </c>
      <c r="P65" s="71">
        <f>'Working Capital'!P14</f>
        <v>4401.4979553026042</v>
      </c>
      <c r="Q65" s="71">
        <f>'Working Capital'!Q14</f>
        <v>5152.6376729728518</v>
      </c>
    </row>
    <row r="66" spans="2:17" ht="16.5" x14ac:dyDescent="0.3">
      <c r="B66" s="2" t="s">
        <v>76</v>
      </c>
      <c r="C66" s="63">
        <v>44</v>
      </c>
      <c r="D66" s="63">
        <v>45</v>
      </c>
      <c r="E66" s="63">
        <v>40</v>
      </c>
      <c r="F66" s="63">
        <v>59</v>
      </c>
      <c r="G66" s="63">
        <v>231</v>
      </c>
      <c r="H66" s="69">
        <f>'B_Sheet Forecast'!H58</f>
        <v>98.739313299212867</v>
      </c>
      <c r="I66" s="69">
        <f>'B_Sheet Forecast'!I58</f>
        <v>108.38274087939207</v>
      </c>
      <c r="J66" s="69">
        <f>'B_Sheet Forecast'!J58</f>
        <v>119.64731903322389</v>
      </c>
      <c r="K66" s="69">
        <f>'B_Sheet Forecast'!K58</f>
        <v>132.93327253143678</v>
      </c>
      <c r="L66" s="69">
        <f>'B_Sheet Forecast'!L58</f>
        <v>148.75572463333185</v>
      </c>
      <c r="M66" s="69">
        <f>'B_Sheet Forecast'!M58</f>
        <v>167.77911903469132</v>
      </c>
      <c r="N66" s="69">
        <f>'B_Sheet Forecast'!N58</f>
        <v>190.86206562448359</v>
      </c>
      <c r="O66" s="69">
        <f>'B_Sheet Forecast'!O58</f>
        <v>219.11577495365304</v>
      </c>
      <c r="P66" s="69">
        <f>'B_Sheet Forecast'!P58</f>
        <v>253.98020786990401</v>
      </c>
      <c r="Q66" s="69">
        <f>'B_Sheet Forecast'!Q58</f>
        <v>297.32332050350169</v>
      </c>
    </row>
    <row r="67" spans="2:17" ht="16.5" x14ac:dyDescent="0.3">
      <c r="B67" s="2" t="s">
        <v>77</v>
      </c>
      <c r="C67" s="63">
        <v>287</v>
      </c>
      <c r="D67" s="66">
        <v>224</v>
      </c>
      <c r="E67" s="63">
        <v>217</v>
      </c>
      <c r="F67" s="63">
        <v>211</v>
      </c>
      <c r="G67" s="63">
        <v>232</v>
      </c>
      <c r="H67" s="69">
        <f>'B_Sheet Forecast'!H60</f>
        <v>295.05795773621014</v>
      </c>
      <c r="I67" s="69">
        <f>'B_Sheet Forecast'!I60</f>
        <v>323.87495020163578</v>
      </c>
      <c r="J67" s="69">
        <f>'B_Sheet Forecast'!J60</f>
        <v>357.53634923079073</v>
      </c>
      <c r="K67" s="69">
        <f>'B_Sheet Forecast'!K60</f>
        <v>397.23812732480758</v>
      </c>
      <c r="L67" s="69">
        <f>'B_Sheet Forecast'!L60</f>
        <v>444.51960263157758</v>
      </c>
      <c r="M67" s="69">
        <f>'B_Sheet Forecast'!M60</f>
        <v>501.36630040297405</v>
      </c>
      <c r="N67" s="69">
        <f>'B_Sheet Forecast'!N60</f>
        <v>570.34396342032881</v>
      </c>
      <c r="O67" s="69">
        <f>'B_Sheet Forecast'!O60</f>
        <v>654.77316891697774</v>
      </c>
      <c r="P67" s="69">
        <f>'B_Sheet Forecast'!P60</f>
        <v>758.95688288232611</v>
      </c>
      <c r="Q67" s="69">
        <f>'B_Sheet Forecast'!Q60</f>
        <v>888.47702909648683</v>
      </c>
    </row>
    <row r="68" spans="2:17" ht="16.5" x14ac:dyDescent="0.3">
      <c r="B68" s="2" t="s">
        <v>66</v>
      </c>
      <c r="C68" s="63">
        <v>20</v>
      </c>
      <c r="D68" s="63">
        <v>21</v>
      </c>
      <c r="E68" s="63">
        <v>44</v>
      </c>
      <c r="F68" s="63">
        <v>7</v>
      </c>
      <c r="G68" s="63">
        <v>21</v>
      </c>
      <c r="H68" s="69">
        <f>'B_Sheet Forecast'!H62</f>
        <v>28.06709036340958</v>
      </c>
      <c r="I68" s="69">
        <f>'B_Sheet Forecast'!I62</f>
        <v>30.808277680417625</v>
      </c>
      <c r="J68" s="69">
        <f>'B_Sheet Forecast'!J62</f>
        <v>34.010284281285969</v>
      </c>
      <c r="K68" s="69">
        <f>'B_Sheet Forecast'!K62</f>
        <v>37.786875842829389</v>
      </c>
      <c r="L68" s="69">
        <f>'B_Sheet Forecast'!L62</f>
        <v>42.284478449897037</v>
      </c>
      <c r="M68" s="69">
        <f>'B_Sheet Forecast'!M62</f>
        <v>47.691963187650344</v>
      </c>
      <c r="N68" s="69">
        <f>'B_Sheet Forecast'!N62</f>
        <v>54.253393748000633</v>
      </c>
      <c r="O68" s="69">
        <f>'B_Sheet Forecast'!O62</f>
        <v>62.284636688087282</v>
      </c>
      <c r="P68" s="69">
        <f>'B_Sheet Forecast'!P62</f>
        <v>72.195007303731899</v>
      </c>
      <c r="Q68" s="69">
        <f>'B_Sheet Forecast'!Q62</f>
        <v>84.515480459466559</v>
      </c>
    </row>
    <row r="69" spans="2:17" ht="16.5" x14ac:dyDescent="0.3">
      <c r="B69" s="2" t="s">
        <v>67</v>
      </c>
      <c r="C69" s="63">
        <v>78</v>
      </c>
      <c r="D69" s="63">
        <v>64</v>
      </c>
      <c r="E69" s="63">
        <v>74</v>
      </c>
      <c r="F69" s="63">
        <v>79</v>
      </c>
      <c r="G69" s="63">
        <v>92</v>
      </c>
      <c r="H69" s="69">
        <f>'B_Sheet Forecast'!H64</f>
        <v>96.23778460728586</v>
      </c>
      <c r="I69" s="69">
        <f>'B_Sheet Forecast'!I64</f>
        <v>105.63689905651148</v>
      </c>
      <c r="J69" s="69">
        <f>'B_Sheet Forecast'!J64</f>
        <v>116.61609275188678</v>
      </c>
      <c r="K69" s="69">
        <f>'B_Sheet Forecast'!K64</f>
        <v>129.56545089851289</v>
      </c>
      <c r="L69" s="69">
        <f>'B_Sheet Forecast'!L64</f>
        <v>144.98704627387201</v>
      </c>
      <c r="M69" s="69">
        <f>'B_Sheet Forecast'!M64</f>
        <v>163.52848910677525</v>
      </c>
      <c r="N69" s="69">
        <f>'B_Sheet Forecast'!N64</f>
        <v>186.02663668126948</v>
      </c>
      <c r="O69" s="69">
        <f>'B_Sheet Forecast'!O64</f>
        <v>213.56454738698582</v>
      </c>
      <c r="P69" s="69">
        <f>'B_Sheet Forecast'!P64</f>
        <v>247.54570112745927</v>
      </c>
      <c r="Q69" s="69">
        <f>'B_Sheet Forecast'!Q64</f>
        <v>289.79072996618788</v>
      </c>
    </row>
    <row r="70" spans="2:17" ht="16.5" x14ac:dyDescent="0.3">
      <c r="B70" s="2" t="s">
        <v>78</v>
      </c>
      <c r="C70" s="63">
        <v>72</v>
      </c>
      <c r="D70" s="63">
        <v>67</v>
      </c>
      <c r="E70" s="63">
        <v>87</v>
      </c>
      <c r="F70" s="63">
        <v>83</v>
      </c>
      <c r="G70" s="63">
        <v>92</v>
      </c>
      <c r="H70" s="69">
        <f>'B_Sheet Forecast'!H66</f>
        <v>99.350504736372088</v>
      </c>
      <c r="I70" s="69">
        <f>'B_Sheet Forecast'!I66</f>
        <v>109.05362465352358</v>
      </c>
      <c r="J70" s="69">
        <f>'B_Sheet Forecast'!J66</f>
        <v>120.38792998572832</v>
      </c>
      <c r="K70" s="69">
        <f>'B_Sheet Forecast'!K66</f>
        <v>133.75612287513485</v>
      </c>
      <c r="L70" s="69">
        <f>'B_Sheet Forecast'!L66</f>
        <v>149.67651516839254</v>
      </c>
      <c r="M70" s="69">
        <f>'B_Sheet Forecast'!M66</f>
        <v>168.81766343470528</v>
      </c>
      <c r="N70" s="69">
        <f>'B_Sheet Forecast'!N66</f>
        <v>192.04349231553934</v>
      </c>
      <c r="O70" s="69">
        <f>'B_Sheet Forecast'!O66</f>
        <v>220.47209069986803</v>
      </c>
      <c r="P70" s="69">
        <f>'B_Sheet Forecast'!P66</f>
        <v>255.55233272140671</v>
      </c>
      <c r="Q70" s="69">
        <f>'B_Sheet Forecast'!Q66</f>
        <v>299.16373706593828</v>
      </c>
    </row>
    <row r="71" spans="2:17" x14ac:dyDescent="0.25">
      <c r="B71" s="4" t="s">
        <v>79</v>
      </c>
      <c r="C71" s="14">
        <f t="shared" ref="C71:E71" si="51">SUM(C61:C70)</f>
        <v>2013</v>
      </c>
      <c r="D71" s="14">
        <f t="shared" si="51"/>
        <v>2153</v>
      </c>
      <c r="E71" s="14">
        <f t="shared" si="51"/>
        <v>2429</v>
      </c>
      <c r="F71" s="14">
        <f>SUM(F61:F70)</f>
        <v>2444</v>
      </c>
      <c r="G71" s="14">
        <f>SUM(G61:G70)</f>
        <v>2461</v>
      </c>
      <c r="H71" s="14">
        <f>SUM(H61:H70)</f>
        <v>2858.8770030712672</v>
      </c>
      <c r="I71" s="14">
        <f t="shared" ref="I71:Q71" si="52">SUM(I61:I70)</f>
        <v>3138.0907470053899</v>
      </c>
      <c r="J71" s="14">
        <f t="shared" si="52"/>
        <v>3464.2429386425738</v>
      </c>
      <c r="K71" s="14">
        <f t="shared" si="52"/>
        <v>3848.9216005734538</v>
      </c>
      <c r="L71" s="14">
        <f t="shared" si="52"/>
        <v>4307.0415017037049</v>
      </c>
      <c r="M71" s="14">
        <f t="shared" si="52"/>
        <v>4857.8408029870261</v>
      </c>
      <c r="N71" s="14">
        <f t="shared" si="52"/>
        <v>5526.1795118932132</v>
      </c>
      <c r="O71" s="14">
        <f t="shared" si="52"/>
        <v>6344.2313815456901</v>
      </c>
      <c r="P71" s="14">
        <f t="shared" si="52"/>
        <v>7353.6887309942131</v>
      </c>
      <c r="Q71" s="14">
        <f t="shared" si="52"/>
        <v>8608.6359633516422</v>
      </c>
    </row>
    <row r="72" spans="2:17" x14ac:dyDescent="0.25">
      <c r="B72" s="1" t="s">
        <v>80</v>
      </c>
      <c r="C72" s="16">
        <f t="shared" ref="C72:E72" si="53">C58+C71</f>
        <v>2252</v>
      </c>
      <c r="D72" s="16">
        <f t="shared" si="53"/>
        <v>2381</v>
      </c>
      <c r="E72" s="16">
        <f t="shared" si="53"/>
        <v>2990</v>
      </c>
      <c r="F72" s="16">
        <f>F58+F71</f>
        <v>3252</v>
      </c>
      <c r="G72" s="16">
        <f>G58+G71</f>
        <v>4072</v>
      </c>
      <c r="H72" s="16">
        <f>H58+H71</f>
        <v>3671.7187488010759</v>
      </c>
      <c r="I72" s="16">
        <f t="shared" ref="I72:Q72" si="54">I58+I71</f>
        <v>4030.3191144077468</v>
      </c>
      <c r="J72" s="16">
        <f t="shared" si="54"/>
        <v>4449.2035629902857</v>
      </c>
      <c r="K72" s="16">
        <f t="shared" si="54"/>
        <v>4943.2548473785118</v>
      </c>
      <c r="L72" s="16">
        <f t="shared" si="54"/>
        <v>5531.6283340209202</v>
      </c>
      <c r="M72" s="16">
        <f t="shared" si="54"/>
        <v>6239.032017067052</v>
      </c>
      <c r="N72" s="16">
        <f t="shared" si="54"/>
        <v>7097.3941520606495</v>
      </c>
      <c r="O72" s="16">
        <f t="shared" si="54"/>
        <v>8148.0361992938706</v>
      </c>
      <c r="P72" s="16">
        <f t="shared" si="54"/>
        <v>9444.5045230809319</v>
      </c>
      <c r="Q72" s="16">
        <f t="shared" si="54"/>
        <v>11056.260914437629</v>
      </c>
    </row>
    <row r="73" spans="2:17" ht="15.75" thickBot="1" x14ac:dyDescent="0.3">
      <c r="B73" s="13" t="s">
        <v>81</v>
      </c>
      <c r="C73" s="15">
        <f t="shared" ref="C73:E73" si="55">C72+C48</f>
        <v>5510</v>
      </c>
      <c r="D73" s="15">
        <f t="shared" si="55"/>
        <v>5786</v>
      </c>
      <c r="E73" s="15">
        <f t="shared" si="55"/>
        <v>6946</v>
      </c>
      <c r="F73" s="15">
        <f>F72+F48</f>
        <v>7421</v>
      </c>
      <c r="G73" s="15">
        <f>G72+G48</f>
        <v>8338</v>
      </c>
      <c r="H73" s="15">
        <f>H72+H48</f>
        <v>8530.6425726863272</v>
      </c>
      <c r="I73" s="15">
        <f t="shared" ref="I73:Q73" si="56">I72+I48</f>
        <v>9534.9611865208735</v>
      </c>
      <c r="J73" s="15">
        <f t="shared" si="56"/>
        <v>10660.687830115541</v>
      </c>
      <c r="K73" s="15">
        <f t="shared" si="56"/>
        <v>11933.11214548423</v>
      </c>
      <c r="L73" s="15">
        <f t="shared" si="56"/>
        <v>13384.490366494909</v>
      </c>
      <c r="M73" s="15">
        <f t="shared" si="56"/>
        <v>15056.132148233384</v>
      </c>
      <c r="N73" s="15">
        <f t="shared" si="56"/>
        <v>17001.124095537511</v>
      </c>
      <c r="O73" s="15">
        <f t="shared" si="56"/>
        <v>19287.884728771747</v>
      </c>
      <c r="P73" s="15">
        <f t="shared" si="56"/>
        <v>22004.805145068582</v>
      </c>
      <c r="Q73" s="15">
        <f t="shared" si="56"/>
        <v>25271.086880712719</v>
      </c>
    </row>
    <row r="74" spans="2:17" ht="16.5" thickTop="1" thickBot="1" x14ac:dyDescent="0.3"/>
    <row r="75" spans="2:17" ht="16.5" thickTop="1" thickBot="1" x14ac:dyDescent="0.3">
      <c r="B75" s="61" t="s">
        <v>212</v>
      </c>
      <c r="C75" s="62">
        <f>ROUND(C73,0)-ROUND(C38,0)</f>
        <v>0</v>
      </c>
      <c r="D75" s="62">
        <f t="shared" ref="D75:Q75" si="57">ROUND(D73,0)-ROUND(D38,0)</f>
        <v>0</v>
      </c>
      <c r="E75" s="62">
        <f t="shared" si="57"/>
        <v>0</v>
      </c>
      <c r="F75" s="62">
        <f t="shared" si="57"/>
        <v>0</v>
      </c>
      <c r="G75" s="62">
        <f t="shared" si="57"/>
        <v>0</v>
      </c>
      <c r="H75" s="62">
        <f t="shared" si="57"/>
        <v>0</v>
      </c>
      <c r="I75" s="62">
        <f t="shared" si="57"/>
        <v>0</v>
      </c>
      <c r="J75" s="62">
        <f t="shared" si="57"/>
        <v>0</v>
      </c>
      <c r="K75" s="62">
        <f t="shared" si="57"/>
        <v>0</v>
      </c>
      <c r="L75" s="62">
        <f t="shared" si="57"/>
        <v>0</v>
      </c>
      <c r="M75" s="62">
        <f t="shared" si="57"/>
        <v>0</v>
      </c>
      <c r="N75" s="62">
        <f t="shared" si="57"/>
        <v>0</v>
      </c>
      <c r="O75" s="62">
        <f t="shared" si="57"/>
        <v>0</v>
      </c>
      <c r="P75" s="62">
        <f t="shared" si="57"/>
        <v>0</v>
      </c>
      <c r="Q75" s="62">
        <f t="shared" si="57"/>
        <v>0</v>
      </c>
    </row>
    <row r="76" spans="2:17" ht="15.75" thickTop="1" x14ac:dyDescent="0.25"/>
    <row r="179" spans="62:62" x14ac:dyDescent="0.25">
      <c r="BJ179" t="s">
        <v>210</v>
      </c>
    </row>
  </sheetData>
  <mergeCells count="1">
    <mergeCell ref="B4:Q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Q99"/>
  <sheetViews>
    <sheetView showGridLines="0" workbookViewId="0">
      <selection activeCell="B3" sqref="B3"/>
    </sheetView>
  </sheetViews>
  <sheetFormatPr defaultRowHeight="15" x14ac:dyDescent="0.25"/>
  <cols>
    <col min="1" max="1" width="1.85546875" customWidth="1"/>
    <col min="2" max="2" width="51.5703125" bestFit="1" customWidth="1"/>
  </cols>
  <sheetData>
    <row r="4" spans="2:17" ht="15.75" thickBot="1" x14ac:dyDescent="0.3">
      <c r="B4" s="341" t="s">
        <v>391</v>
      </c>
      <c r="C4" s="341"/>
      <c r="D4" s="341"/>
      <c r="E4" s="341"/>
      <c r="F4" s="341"/>
      <c r="G4" s="341"/>
      <c r="H4" s="341"/>
      <c r="I4" s="341"/>
      <c r="J4" s="341"/>
      <c r="K4" s="341"/>
      <c r="L4" s="341"/>
      <c r="M4" s="341"/>
      <c r="N4" s="341"/>
      <c r="O4" s="341"/>
      <c r="P4" s="341"/>
      <c r="Q4" s="341"/>
    </row>
    <row r="5" spans="2:17" x14ac:dyDescent="0.25">
      <c r="B5" s="24" t="s">
        <v>390</v>
      </c>
    </row>
    <row r="6" spans="2:17" x14ac:dyDescent="0.25">
      <c r="B6" s="271" t="s">
        <v>139</v>
      </c>
      <c r="C6" s="272">
        <v>2021</v>
      </c>
      <c r="D6" s="272">
        <f t="shared" ref="D6:Q6" si="0">C6+1</f>
        <v>2022</v>
      </c>
      <c r="E6" s="272">
        <f t="shared" si="0"/>
        <v>2023</v>
      </c>
      <c r="F6" s="272">
        <f t="shared" si="0"/>
        <v>2024</v>
      </c>
      <c r="G6" s="272">
        <f t="shared" si="0"/>
        <v>2025</v>
      </c>
      <c r="H6" s="270">
        <f t="shared" si="0"/>
        <v>2026</v>
      </c>
      <c r="I6" s="270">
        <f t="shared" si="0"/>
        <v>2027</v>
      </c>
      <c r="J6" s="270">
        <f t="shared" si="0"/>
        <v>2028</v>
      </c>
      <c r="K6" s="270">
        <f t="shared" si="0"/>
        <v>2029</v>
      </c>
      <c r="L6" s="270">
        <f t="shared" si="0"/>
        <v>2030</v>
      </c>
      <c r="M6" s="270">
        <f t="shared" si="0"/>
        <v>2031</v>
      </c>
      <c r="N6" s="270">
        <f t="shared" si="0"/>
        <v>2032</v>
      </c>
      <c r="O6" s="270">
        <f t="shared" si="0"/>
        <v>2033</v>
      </c>
      <c r="P6" s="270">
        <f t="shared" si="0"/>
        <v>2034</v>
      </c>
      <c r="Q6" s="270">
        <f t="shared" si="0"/>
        <v>2035</v>
      </c>
    </row>
    <row r="7" spans="2:17" ht="15.75" thickBot="1" x14ac:dyDescent="0.3">
      <c r="B7" s="33" t="s">
        <v>0</v>
      </c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</row>
    <row r="8" spans="2:17" x14ac:dyDescent="0.25">
      <c r="B8" s="6" t="s">
        <v>144</v>
      </c>
      <c r="C8" s="95">
        <f>'P&amp;L Statement '!C10/'P&amp;L Statement '!C$10</f>
        <v>1</v>
      </c>
      <c r="D8" s="95">
        <f>'P&amp;L Statement '!D10/'P&amp;L Statement '!D$10</f>
        <v>1</v>
      </c>
      <c r="E8" s="95">
        <f>'P&amp;L Statement '!E10/'P&amp;L Statement '!E$10</f>
        <v>1</v>
      </c>
      <c r="F8" s="95">
        <f>'P&amp;L Statement '!F10/'P&amp;L Statement '!F$10</f>
        <v>1</v>
      </c>
      <c r="G8" s="95">
        <f>'P&amp;L Statement '!G10/'P&amp;L Statement '!G$10</f>
        <v>1</v>
      </c>
      <c r="H8" s="95">
        <f>'P&amp;L Statement '!H10/'P&amp;L Statement '!H$10</f>
        <v>1</v>
      </c>
      <c r="I8" s="95">
        <f>'P&amp;L Statement '!I10/'P&amp;L Statement '!I$10</f>
        <v>1</v>
      </c>
      <c r="J8" s="95">
        <f>'P&amp;L Statement '!J10/'P&amp;L Statement '!J$10</f>
        <v>1</v>
      </c>
      <c r="K8" s="95">
        <f>'P&amp;L Statement '!K10/'P&amp;L Statement '!K$10</f>
        <v>1</v>
      </c>
      <c r="L8" s="95">
        <f>'P&amp;L Statement '!L10/'P&amp;L Statement '!L$10</f>
        <v>1</v>
      </c>
      <c r="M8" s="95">
        <f>'P&amp;L Statement '!M10/'P&amp;L Statement '!M$10</f>
        <v>1</v>
      </c>
      <c r="N8" s="95">
        <f>'P&amp;L Statement '!N10/'P&amp;L Statement '!N$10</f>
        <v>1</v>
      </c>
      <c r="O8" s="95">
        <f>'P&amp;L Statement '!O10/'P&amp;L Statement '!O$10</f>
        <v>1</v>
      </c>
      <c r="P8" s="95">
        <f>'P&amp;L Statement '!P10/'P&amp;L Statement '!P$10</f>
        <v>1</v>
      </c>
      <c r="Q8" s="95">
        <f>'P&amp;L Statement '!Q10/'P&amp;L Statement '!Q$10</f>
        <v>1</v>
      </c>
    </row>
    <row r="9" spans="2:17" x14ac:dyDescent="0.25">
      <c r="B9" t="s">
        <v>152</v>
      </c>
      <c r="C9" s="94">
        <f>-'P&amp;L Statement '!C11/'P&amp;L Statement '!C$10</f>
        <v>0.53056660039761427</v>
      </c>
      <c r="D9" s="94">
        <f>-'P&amp;L Statement '!D11/'P&amp;L Statement '!D$10</f>
        <v>0.57148864592094195</v>
      </c>
      <c r="E9" s="94">
        <f>-'P&amp;L Statement '!E11/'P&amp;L Statement '!E$10</f>
        <v>0.54803359278984021</v>
      </c>
      <c r="F9" s="94">
        <f>-'P&amp;L Statement '!F11/'P&amp;L Statement '!F$10</f>
        <v>0.49186781311509375</v>
      </c>
      <c r="G9" s="94">
        <f>-'P&amp;L Statement '!G11/'P&amp;L Statement '!G$10</f>
        <v>0.49746099159819041</v>
      </c>
      <c r="H9" s="94">
        <f>-'P&amp;L Statement '!H11/'P&amp;L Statement '!H$10</f>
        <v>0.52788352876433609</v>
      </c>
      <c r="I9" s="94">
        <f>-'P&amp;L Statement '!I11/'P&amp;L Statement '!I$10</f>
        <v>0.5278835287643362</v>
      </c>
      <c r="J9" s="94">
        <f>-'P&amp;L Statement '!J11/'P&amp;L Statement '!J$10</f>
        <v>0.5278835287643362</v>
      </c>
      <c r="K9" s="94">
        <f>-'P&amp;L Statement '!K11/'P&amp;L Statement '!K$10</f>
        <v>0.5278835287643362</v>
      </c>
      <c r="L9" s="94">
        <f>-'P&amp;L Statement '!L11/'P&amp;L Statement '!L$10</f>
        <v>0.52788352876433609</v>
      </c>
      <c r="M9" s="94">
        <f>-'P&amp;L Statement '!M11/'P&amp;L Statement '!M$10</f>
        <v>0.52788352876433609</v>
      </c>
      <c r="N9" s="94">
        <f>-'P&amp;L Statement '!N11/'P&amp;L Statement '!N$10</f>
        <v>0.5278835287643362</v>
      </c>
      <c r="O9" s="94">
        <f>-'P&amp;L Statement '!O11/'P&amp;L Statement '!O$10</f>
        <v>0.5278835287643362</v>
      </c>
      <c r="P9" s="94">
        <f>-'P&amp;L Statement '!P11/'P&amp;L Statement '!P$10</f>
        <v>0.52788352876433609</v>
      </c>
      <c r="Q9" s="94">
        <f>-'P&amp;L Statement '!Q11/'P&amp;L Statement '!Q$10</f>
        <v>0.52788352876433609</v>
      </c>
    </row>
    <row r="10" spans="2:17" x14ac:dyDescent="0.25">
      <c r="B10" s="27" t="s">
        <v>187</v>
      </c>
      <c r="C10" s="96">
        <f>'P&amp;L Statement '!C12/'P&amp;L Statement '!C$10</f>
        <v>0.46943339960238567</v>
      </c>
      <c r="D10" s="96">
        <f>'P&amp;L Statement '!D12/'P&amp;L Statement '!D$10</f>
        <v>0.42851135407905805</v>
      </c>
      <c r="E10" s="96">
        <f>'P&amp;L Statement '!E12/'P&amp;L Statement '!E$10</f>
        <v>0.45196640721015979</v>
      </c>
      <c r="F10" s="96">
        <f>'P&amp;L Statement '!F12/'P&amp;L Statement '!F$10</f>
        <v>0.50813218688490625</v>
      </c>
      <c r="G10" s="96">
        <f>'P&amp;L Statement '!G12/'P&amp;L Statement '!G$10</f>
        <v>0.50253900840180965</v>
      </c>
      <c r="H10" s="96">
        <f>'P&amp;L Statement '!H12/'P&amp;L Statement '!H$10</f>
        <v>0.47211647123566391</v>
      </c>
      <c r="I10" s="96">
        <f>'P&amp;L Statement '!I12/'P&amp;L Statement '!I$10</f>
        <v>0.47211647123566386</v>
      </c>
      <c r="J10" s="96">
        <f>'P&amp;L Statement '!J12/'P&amp;L Statement '!J$10</f>
        <v>0.47211647123566386</v>
      </c>
      <c r="K10" s="96">
        <f>'P&amp;L Statement '!K12/'P&amp;L Statement '!K$10</f>
        <v>0.4721164712356638</v>
      </c>
      <c r="L10" s="96">
        <f>'P&amp;L Statement '!L12/'P&amp;L Statement '!L$10</f>
        <v>0.47211647123566391</v>
      </c>
      <c r="M10" s="96">
        <f>'P&amp;L Statement '!M12/'P&amp;L Statement '!M$10</f>
        <v>0.47211647123566386</v>
      </c>
      <c r="N10" s="96">
        <f>'P&amp;L Statement '!N12/'P&amp;L Statement '!N$10</f>
        <v>0.4721164712356638</v>
      </c>
      <c r="O10" s="96">
        <f>'P&amp;L Statement '!O12/'P&amp;L Statement '!O$10</f>
        <v>0.47211647123566386</v>
      </c>
      <c r="P10" s="96">
        <f>'P&amp;L Statement '!P12/'P&amp;L Statement '!P$10</f>
        <v>0.47211647123566386</v>
      </c>
      <c r="Q10" s="96">
        <f>'P&amp;L Statement '!Q12/'P&amp;L Statement '!Q$10</f>
        <v>0.47211647123566391</v>
      </c>
    </row>
    <row r="11" spans="2:17" x14ac:dyDescent="0.25">
      <c r="B11" s="35"/>
      <c r="C11" s="94"/>
      <c r="D11" s="94"/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94"/>
      <c r="Q11" s="94"/>
    </row>
    <row r="12" spans="2:17" x14ac:dyDescent="0.25">
      <c r="B12" t="s">
        <v>189</v>
      </c>
      <c r="C12" s="94">
        <f>-'P&amp;L Statement '!C15/'P&amp;L Statement '!C$10</f>
        <v>7.0825049701789267E-2</v>
      </c>
      <c r="D12" s="94">
        <f>-'P&amp;L Statement '!D15/'P&amp;L Statement '!D$10</f>
        <v>6.1606391925988227E-2</v>
      </c>
      <c r="E12" s="94">
        <f>-'P&amp;L Statement '!E15/'P&amp;L Statement '!E$10</f>
        <v>6.6878328553871366E-2</v>
      </c>
      <c r="F12" s="94">
        <f>-'P&amp;L Statement '!F15/'P&amp;L Statement '!F$10</f>
        <v>7.6970889878794163E-2</v>
      </c>
      <c r="G12" s="94">
        <f>-'P&amp;L Statement '!G15/'P&amp;L Statement '!G$10</f>
        <v>7.6724217523774355E-2</v>
      </c>
      <c r="H12" s="94">
        <f>-'P&amp;L Statement '!H15/'P&amp;L Statement '!H$10</f>
        <v>7.0600975516843481E-2</v>
      </c>
      <c r="I12" s="94">
        <f>-'P&amp;L Statement '!I15/'P&amp;L Statement '!I$10</f>
        <v>7.0600975516843481E-2</v>
      </c>
      <c r="J12" s="94">
        <f>-'P&amp;L Statement '!J15/'P&amp;L Statement '!J$10</f>
        <v>7.0600975516843481E-2</v>
      </c>
      <c r="K12" s="94">
        <f>-'P&amp;L Statement '!K15/'P&amp;L Statement '!K$10</f>
        <v>7.0600975516843481E-2</v>
      </c>
      <c r="L12" s="94">
        <f>-'P&amp;L Statement '!L15/'P&amp;L Statement '!L$10</f>
        <v>7.0600975516843481E-2</v>
      </c>
      <c r="M12" s="94">
        <f>-'P&amp;L Statement '!M15/'P&amp;L Statement '!M$10</f>
        <v>7.0600975516843481E-2</v>
      </c>
      <c r="N12" s="94">
        <f>-'P&amp;L Statement '!N15/'P&amp;L Statement '!N$10</f>
        <v>7.0600975516843481E-2</v>
      </c>
      <c r="O12" s="94">
        <f>-'P&amp;L Statement '!O15/'P&amp;L Statement '!O$10</f>
        <v>7.0600975516843481E-2</v>
      </c>
      <c r="P12" s="94">
        <f>-'P&amp;L Statement '!P15/'P&amp;L Statement '!P$10</f>
        <v>7.0600975516843481E-2</v>
      </c>
      <c r="Q12" s="94">
        <f>-'P&amp;L Statement '!Q15/'P&amp;L Statement '!Q$10</f>
        <v>7.0600975516843481E-2</v>
      </c>
    </row>
    <row r="13" spans="2:17" x14ac:dyDescent="0.25">
      <c r="B13" t="s">
        <v>190</v>
      </c>
      <c r="C13" s="94">
        <f>-'P&amp;L Statement '!C16/'P&amp;L Statement '!C$10</f>
        <v>0.20091948310139165</v>
      </c>
      <c r="D13" s="94">
        <f>-'P&amp;L Statement '!D16/'P&amp;L Statement '!D$10</f>
        <v>0.19018082422203533</v>
      </c>
      <c r="E13" s="94">
        <f>-'P&amp;L Statement '!E16/'P&amp;L Statement '!E$10</f>
        <v>0.1997132322818517</v>
      </c>
      <c r="F13" s="94">
        <f>-'P&amp;L Statement '!F16/'P&amp;L Statement '!F$10</f>
        <v>0.22127835905935977</v>
      </c>
      <c r="G13" s="94">
        <f>-'P&amp;L Statement '!G16/'P&amp;L Statement '!G$10</f>
        <v>0.2283261010063706</v>
      </c>
      <c r="H13" s="94">
        <f>-'P&amp;L Statement '!H16/'P&amp;L Statement '!H$10</f>
        <v>0.20808359993420181</v>
      </c>
      <c r="I13" s="94">
        <f>-'P&amp;L Statement '!I16/'P&amp;L Statement '!I$10</f>
        <v>0.20808359993420181</v>
      </c>
      <c r="J13" s="94">
        <f>-'P&amp;L Statement '!J16/'P&amp;L Statement '!J$10</f>
        <v>0.20808359993420181</v>
      </c>
      <c r="K13" s="94">
        <f>-'P&amp;L Statement '!K16/'P&amp;L Statement '!K$10</f>
        <v>0.20808359993420181</v>
      </c>
      <c r="L13" s="94">
        <f>-'P&amp;L Statement '!L16/'P&amp;L Statement '!L$10</f>
        <v>0.20808359993420181</v>
      </c>
      <c r="M13" s="94">
        <f>-'P&amp;L Statement '!M16/'P&amp;L Statement '!M$10</f>
        <v>0.20808359993420181</v>
      </c>
      <c r="N13" s="94">
        <f>-'P&amp;L Statement '!N16/'P&amp;L Statement '!N$10</f>
        <v>0.20808359993420181</v>
      </c>
      <c r="O13" s="94">
        <f>-'P&amp;L Statement '!O16/'P&amp;L Statement '!O$10</f>
        <v>0.20808359993420181</v>
      </c>
      <c r="P13" s="94">
        <f>-'P&amp;L Statement '!P16/'P&amp;L Statement '!P$10</f>
        <v>0.20808359993420181</v>
      </c>
      <c r="Q13" s="94">
        <f>-'P&amp;L Statement '!Q16/'P&amp;L Statement '!Q$10</f>
        <v>0.20808359993420181</v>
      </c>
    </row>
    <row r="14" spans="2:17" x14ac:dyDescent="0.25">
      <c r="C14" s="94"/>
      <c r="D14" s="94"/>
      <c r="E14" s="94"/>
      <c r="F14" s="94"/>
      <c r="G14" s="94"/>
      <c r="H14" s="94"/>
      <c r="I14" s="94"/>
      <c r="J14" s="94"/>
      <c r="K14" s="94"/>
      <c r="L14" s="94"/>
      <c r="M14" s="94"/>
      <c r="N14" s="94"/>
      <c r="O14" s="94"/>
      <c r="P14" s="94"/>
      <c r="Q14" s="94"/>
    </row>
    <row r="15" spans="2:17" x14ac:dyDescent="0.25">
      <c r="B15" s="27" t="s">
        <v>191</v>
      </c>
      <c r="C15" s="96">
        <f>'P&amp;L Statement '!C18/'P&amp;L Statement '!C$10</f>
        <v>0.19768886679920478</v>
      </c>
      <c r="D15" s="96">
        <f>'P&amp;L Statement '!D18/'P&amp;L Statement '!D$10</f>
        <v>0.17672413793103448</v>
      </c>
      <c r="E15" s="96">
        <f>'P&amp;L Statement '!E18/'P&amp;L Statement '!E$10</f>
        <v>0.18537484637443671</v>
      </c>
      <c r="F15" s="96">
        <f>'P&amp;L Statement '!F18/'P&amp;L Statement '!F$10</f>
        <v>0.20988293794675231</v>
      </c>
      <c r="G15" s="96">
        <f>'P&amp;L Statement '!G18/'P&amp;L Statement '!G$10</f>
        <v>0.19748868987166468</v>
      </c>
      <c r="H15" s="96">
        <f>'P&amp;L Statement '!H18/'P&amp;L Statement '!H$10</f>
        <v>0.19343189578461861</v>
      </c>
      <c r="I15" s="96">
        <f>'P&amp;L Statement '!I18/'P&amp;L Statement '!I$10</f>
        <v>0.19343189578461858</v>
      </c>
      <c r="J15" s="96">
        <f>'P&amp;L Statement '!J18/'P&amp;L Statement '!J$10</f>
        <v>0.19343189578461858</v>
      </c>
      <c r="K15" s="96">
        <f>'P&amp;L Statement '!K18/'P&amp;L Statement '!K$10</f>
        <v>0.19343189578461853</v>
      </c>
      <c r="L15" s="96">
        <f>'P&amp;L Statement '!L18/'P&amp;L Statement '!L$10</f>
        <v>0.19343189578461856</v>
      </c>
      <c r="M15" s="96">
        <f>'P&amp;L Statement '!M18/'P&amp;L Statement '!M$10</f>
        <v>0.19343189578461856</v>
      </c>
      <c r="N15" s="96">
        <f>'P&amp;L Statement '!N18/'P&amp;L Statement '!N$10</f>
        <v>0.1934318957846185</v>
      </c>
      <c r="O15" s="96">
        <f>'P&amp;L Statement '!O18/'P&amp;L Statement '!O$10</f>
        <v>0.19343189578461856</v>
      </c>
      <c r="P15" s="96">
        <f>'P&amp;L Statement '!P18/'P&amp;L Statement '!P$10</f>
        <v>0.19343189578461858</v>
      </c>
      <c r="Q15" s="96">
        <f>'P&amp;L Statement '!Q18/'P&amp;L Statement '!Q$10</f>
        <v>0.19343189578461861</v>
      </c>
    </row>
    <row r="16" spans="2:17" x14ac:dyDescent="0.25">
      <c r="B16" t="s">
        <v>193</v>
      </c>
      <c r="C16" s="94">
        <f>-'P&amp;L Statement '!C21/'P&amp;L Statement '!C$10</f>
        <v>1.7271371769383696E-2</v>
      </c>
      <c r="D16" s="94">
        <f>-'P&amp;L Statement '!D21/'P&amp;L Statement '!D$10</f>
        <v>1.4613120269133726E-2</v>
      </c>
      <c r="E16" s="94">
        <f>-'P&amp;L Statement '!E21/'P&amp;L Statement '!E$10</f>
        <v>1.5874641540352313E-2</v>
      </c>
      <c r="F16" s="94">
        <f>-'P&amp;L Statement '!F21/'P&amp;L Statement '!F$10</f>
        <v>1.6367968507199834E-2</v>
      </c>
      <c r="G16" s="94">
        <f>-'P&amp;L Statement '!G21/'P&amp;L Statement '!G$10</f>
        <v>1.6434308928076815E-2</v>
      </c>
      <c r="H16" s="94">
        <f>-'P&amp;L Statement '!H21/'P&amp;L Statement '!H$10</f>
        <v>1.3594097061688142E-2</v>
      </c>
      <c r="I16" s="94">
        <f>-'P&amp;L Statement '!I21/'P&amp;L Statement '!I$10</f>
        <v>1.5073169189006846E-2</v>
      </c>
      <c r="J16" s="94">
        <f>-'P&amp;L Statement '!J21/'P&amp;L Statement '!J$10</f>
        <v>1.6641754718385051E-2</v>
      </c>
      <c r="K16" s="94">
        <f>-'P&amp;L Statement '!K21/'P&amp;L Statement '!K$10</f>
        <v>1.8282304416305174E-2</v>
      </c>
      <c r="L16" s="94">
        <f>-'P&amp;L Statement '!L21/'P&amp;L Statement '!L$10</f>
        <v>1.9970508233438083E-2</v>
      </c>
      <c r="M16" s="94">
        <f>-'P&amp;L Statement '!M21/'P&amp;L Statement '!M$10</f>
        <v>2.167541963520828E-2</v>
      </c>
      <c r="N16" s="94">
        <f>-'P&amp;L Statement '!N21/'P&amp;L Statement '!N$10</f>
        <v>2.3360381577520808E-2</v>
      </c>
      <c r="O16" s="94">
        <f>-'P&amp;L Statement '!O21/'P&amp;L Statement '!O$10</f>
        <v>2.4984851752814466E-2</v>
      </c>
      <c r="P16" s="94">
        <f>-'P&amp;L Statement '!P21/'P&amp;L Statement '!P$10</f>
        <v>2.6507056195028855E-2</v>
      </c>
      <c r="Q16" s="94">
        <f>-'P&amp;L Statement '!Q21/'P&amp;L Statement '!Q$10</f>
        <v>2.7887195420082823E-2</v>
      </c>
    </row>
    <row r="17" spans="2:17" x14ac:dyDescent="0.25">
      <c r="C17" s="94"/>
      <c r="D17" s="94"/>
      <c r="E17" s="94"/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</row>
    <row r="18" spans="2:17" x14ac:dyDescent="0.25">
      <c r="B18" s="27" t="s">
        <v>194</v>
      </c>
      <c r="C18" s="96">
        <f>'P&amp;L Statement '!C23/'P&amp;L Statement '!C$10</f>
        <v>0.18041749502982107</v>
      </c>
      <c r="D18" s="96">
        <f>'P&amp;L Statement '!D23/'P&amp;L Statement '!D$10</f>
        <v>0.16211101766190075</v>
      </c>
      <c r="E18" s="96">
        <f>'P&amp;L Statement '!E23/'P&amp;L Statement '!E$10</f>
        <v>0.1695002048340844</v>
      </c>
      <c r="F18" s="96">
        <f>'P&amp;L Statement '!F23/'P&amp;L Statement '!F$10</f>
        <v>0.19351496943955246</v>
      </c>
      <c r="G18" s="96">
        <f>'P&amp;L Statement '!G23/'P&amp;L Statement '!G$10</f>
        <v>0.18105438094358786</v>
      </c>
      <c r="H18" s="96">
        <f>'P&amp;L Statement '!H23/'P&amp;L Statement '!H$10</f>
        <v>0.17983779872293046</v>
      </c>
      <c r="I18" s="96">
        <f>'P&amp;L Statement '!I23/'P&amp;L Statement '!I$10</f>
        <v>0.17835872659561175</v>
      </c>
      <c r="J18" s="96">
        <f>'P&amp;L Statement '!J23/'P&amp;L Statement '!J$10</f>
        <v>0.17679014106623353</v>
      </c>
      <c r="K18" s="96">
        <f>'P&amp;L Statement '!K23/'P&amp;L Statement '!K$10</f>
        <v>0.17514959136831335</v>
      </c>
      <c r="L18" s="96">
        <f>'P&amp;L Statement '!L23/'P&amp;L Statement '!L$10</f>
        <v>0.17346138755118048</v>
      </c>
      <c r="M18" s="96">
        <f>'P&amp;L Statement '!M23/'P&amp;L Statement '!M$10</f>
        <v>0.17175647614941028</v>
      </c>
      <c r="N18" s="96">
        <f>'P&amp;L Statement '!N23/'P&amp;L Statement '!N$10</f>
        <v>0.17007151420709771</v>
      </c>
      <c r="O18" s="96">
        <f>'P&amp;L Statement '!O23/'P&amp;L Statement '!O$10</f>
        <v>0.16844704403180411</v>
      </c>
      <c r="P18" s="96">
        <f>'P&amp;L Statement '!P23/'P&amp;L Statement '!P$10</f>
        <v>0.16692483958958973</v>
      </c>
      <c r="Q18" s="96">
        <f>'P&amp;L Statement '!Q23/'P&amp;L Statement '!Q$10</f>
        <v>0.16554470036453581</v>
      </c>
    </row>
    <row r="19" spans="2:17" x14ac:dyDescent="0.25"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</row>
    <row r="20" spans="2:17" x14ac:dyDescent="0.25">
      <c r="B20" t="s">
        <v>196</v>
      </c>
      <c r="C20" s="94">
        <f>-'P&amp;L Statement '!C26/'P&amp;L Statement '!C$10</f>
        <v>4.2246520874751493E-3</v>
      </c>
      <c r="D20" s="94">
        <f>-'P&amp;L Statement '!D26/'P&amp;L Statement '!D$10</f>
        <v>4.1000841042893189E-3</v>
      </c>
      <c r="E20" s="94">
        <f>-'P&amp;L Statement '!E26/'P&amp;L Statement '!E$10</f>
        <v>5.7353543629659973E-3</v>
      </c>
      <c r="F20" s="94">
        <f>-'P&amp;L Statement '!F26/'P&amp;L Statement '!F$10</f>
        <v>7.5624158292758731E-3</v>
      </c>
      <c r="G20" s="94">
        <f>-'P&amp;L Statement '!G26/'P&amp;L Statement '!G$10</f>
        <v>4.8933616471239956E-3</v>
      </c>
      <c r="H20" s="94">
        <f>-'P&amp;L Statement '!H26/'P&amp;L Statement '!H$10</f>
        <v>5.3850274354372589E-3</v>
      </c>
      <c r="I20" s="94">
        <f>-'P&amp;L Statement '!I26/'P&amp;L Statement '!I$10</f>
        <v>5.3877034005188349E-3</v>
      </c>
      <c r="J20" s="94">
        <f>-'P&amp;L Statement '!J26/'P&amp;L Statement '!J$10</f>
        <v>5.3907386458304108E-3</v>
      </c>
      <c r="K20" s="94">
        <f>-'P&amp;L Statement '!K26/'P&amp;L Statement '!K$10</f>
        <v>5.3941468539825572E-3</v>
      </c>
      <c r="L20" s="94">
        <f>-'P&amp;L Statement '!L26/'P&amp;L Statement '!L$10</f>
        <v>5.3979286490661192E-3</v>
      </c>
      <c r="M20" s="94">
        <f>-'P&amp;L Statement '!M26/'P&amp;L Statement '!M$10</f>
        <v>5.4020682234730824E-3</v>
      </c>
      <c r="N20" s="94">
        <f>-'P&amp;L Statement '!N26/'P&amp;L Statement '!N$10</f>
        <v>5.4065308948932841E-3</v>
      </c>
      <c r="O20" s="94">
        <f>-'P&amp;L Statement '!O26/'P&amp;L Statement '!O$10</f>
        <v>5.4112622888104738E-3</v>
      </c>
      <c r="P20" s="94">
        <f>-'P&amp;L Statement '!P26/'P&amp;L Statement '!P$10</f>
        <v>5.416189708561241E-3</v>
      </c>
      <c r="Q20" s="94">
        <f>-'P&amp;L Statement '!Q26/'P&amp;L Statement '!Q$10</f>
        <v>4.9163909015162571E-3</v>
      </c>
    </row>
    <row r="21" spans="2:17" x14ac:dyDescent="0.25">
      <c r="B21" t="s">
        <v>197</v>
      </c>
      <c r="C21" s="94">
        <f>'P&amp;L Statement '!C27/'P&amp;L Statement '!C$10</f>
        <v>1.1679920477137177E-2</v>
      </c>
      <c r="D21" s="94">
        <f>'P&amp;L Statement '!D27/'P&amp;L Statement '!D$10</f>
        <v>1.0302775441547519E-2</v>
      </c>
      <c r="E21" s="94">
        <f>'P&amp;L Statement '!E27/'P&amp;L Statement '!E$10</f>
        <v>1.4748054076198279E-2</v>
      </c>
      <c r="F21" s="94">
        <f>'P&amp;L Statement '!F27/'P&amp;L Statement '!F$10</f>
        <v>1.4710452709002383E-2</v>
      </c>
      <c r="G21" s="94">
        <f>'P&amp;L Statement '!G27/'P&amp;L Statement '!G$10</f>
        <v>1.9204136275505494E-2</v>
      </c>
      <c r="H21" s="94">
        <f>'P&amp;L Statement '!H27/'P&amp;L Statement '!H$10</f>
        <v>1.4129067795878168E-2</v>
      </c>
      <c r="I21" s="94">
        <f>'P&amp;L Statement '!I27/'P&amp;L Statement '!I$10</f>
        <v>1.4129067795878169E-2</v>
      </c>
      <c r="J21" s="94">
        <f>'P&amp;L Statement '!J27/'P&amp;L Statement '!J$10</f>
        <v>1.4129067795878169E-2</v>
      </c>
      <c r="K21" s="94">
        <f>'P&amp;L Statement '!K27/'P&amp;L Statement '!K$10</f>
        <v>1.4129067795878169E-2</v>
      </c>
      <c r="L21" s="94">
        <f>'P&amp;L Statement '!L27/'P&amp;L Statement '!L$10</f>
        <v>1.4129067795878169E-2</v>
      </c>
      <c r="M21" s="94">
        <f>'P&amp;L Statement '!M27/'P&amp;L Statement '!M$10</f>
        <v>1.4129067795878168E-2</v>
      </c>
      <c r="N21" s="94">
        <f>'P&amp;L Statement '!N27/'P&amp;L Statement '!N$10</f>
        <v>1.4129067795878168E-2</v>
      </c>
      <c r="O21" s="94">
        <f>'P&amp;L Statement '!O27/'P&amp;L Statement '!O$10</f>
        <v>1.4129067795878169E-2</v>
      </c>
      <c r="P21" s="94">
        <f>'P&amp;L Statement '!P27/'P&amp;L Statement '!P$10</f>
        <v>1.4129067795878169E-2</v>
      </c>
      <c r="Q21" s="94">
        <f>'P&amp;L Statement '!Q27/'P&amp;L Statement '!Q$10</f>
        <v>1.4129067795878169E-2</v>
      </c>
    </row>
    <row r="22" spans="2:17" x14ac:dyDescent="0.25"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</row>
    <row r="23" spans="2:17" x14ac:dyDescent="0.25">
      <c r="B23" s="48" t="s">
        <v>198</v>
      </c>
      <c r="C23" s="96">
        <f>'P&amp;L Statement '!C29/'P&amp;L Statement '!C$10</f>
        <v>0.18787276341948311</v>
      </c>
      <c r="D23" s="96">
        <f>'P&amp;L Statement '!D29/'P&amp;L Statement '!D$10</f>
        <v>0.16831370899915896</v>
      </c>
      <c r="E23" s="96">
        <f>'P&amp;L Statement '!E29/'P&amp;L Statement '!E$10</f>
        <v>0.17851290454731666</v>
      </c>
      <c r="F23" s="96">
        <f>'P&amp;L Statement '!F29/'P&amp;L Statement '!F$10</f>
        <v>0.20066300631927897</v>
      </c>
      <c r="G23" s="96">
        <f>'P&amp;L Statement '!G29/'P&amp;L Statement '!G$10</f>
        <v>0.19536515557196935</v>
      </c>
      <c r="H23" s="96">
        <f>'P&amp;L Statement '!H29/'P&amp;L Statement '!H$10</f>
        <v>0.18858183908337134</v>
      </c>
      <c r="I23" s="96">
        <f>'P&amp;L Statement '!I29/'P&amp;L Statement '!I$10</f>
        <v>0.18710009099097105</v>
      </c>
      <c r="J23" s="96">
        <f>'P&amp;L Statement '!J29/'P&amp;L Statement '!J$10</f>
        <v>0.18552847021628133</v>
      </c>
      <c r="K23" s="96">
        <f>'P&amp;L Statement '!K29/'P&amp;L Statement '!K$10</f>
        <v>0.18388451231020897</v>
      </c>
      <c r="L23" s="96">
        <f>'P&amp;L Statement '!L29/'P&amp;L Statement '!L$10</f>
        <v>0.18219252669799255</v>
      </c>
      <c r="M23" s="96">
        <f>'P&amp;L Statement '!M29/'P&amp;L Statement '!M$10</f>
        <v>0.18048347572181536</v>
      </c>
      <c r="N23" s="96">
        <f>'P&amp;L Statement '!N29/'P&amp;L Statement '!N$10</f>
        <v>0.17879405110808258</v>
      </c>
      <c r="O23" s="96">
        <f>'P&amp;L Statement '!O29/'P&amp;L Statement '!O$10</f>
        <v>0.17716484953887179</v>
      </c>
      <c r="P23" s="96">
        <f>'P&amp;L Statement '!P29/'P&amp;L Statement '!P$10</f>
        <v>0.17563771767690664</v>
      </c>
      <c r="Q23" s="96">
        <f>'P&amp;L Statement '!Q29/'P&amp;L Statement '!Q$10</f>
        <v>0.17475737725889773</v>
      </c>
    </row>
    <row r="24" spans="2:17" x14ac:dyDescent="0.25">
      <c r="B24" s="19" t="s">
        <v>199</v>
      </c>
      <c r="C24" s="94">
        <f>'P&amp;L Statement '!C31/'P&amp;L Statement '!C$10</f>
        <v>-2.4850894632206757E-4</v>
      </c>
      <c r="D24" s="94">
        <f>'P&amp;L Statement '!D31/'P&amp;L Statement '!D$10</f>
        <v>0</v>
      </c>
      <c r="E24" s="94">
        <f>'P&amp;L Statement '!E31/'P&amp;L Statement '!E$10</f>
        <v>0</v>
      </c>
      <c r="F24" s="94">
        <f>'P&amp;L Statement '!F31/'P&amp;L Statement '!F$10</f>
        <v>0</v>
      </c>
      <c r="G24" s="94">
        <f>'P&amp;L Statement '!G31/'P&amp;L Statement '!G$10</f>
        <v>0</v>
      </c>
      <c r="H24" s="94">
        <f>'P&amp;L Statement '!H31/'P&amp;L Statement '!H$10</f>
        <v>0</v>
      </c>
      <c r="I24" s="94">
        <f>'P&amp;L Statement '!I31/'P&amp;L Statement '!I$10</f>
        <v>0</v>
      </c>
      <c r="J24" s="94">
        <f>'P&amp;L Statement '!J31/'P&amp;L Statement '!J$10</f>
        <v>0</v>
      </c>
      <c r="K24" s="94">
        <f>'P&amp;L Statement '!K31/'P&amp;L Statement '!K$10</f>
        <v>0</v>
      </c>
      <c r="L24" s="94">
        <f>'P&amp;L Statement '!L31/'P&amp;L Statement '!L$10</f>
        <v>0</v>
      </c>
      <c r="M24" s="94">
        <f>'P&amp;L Statement '!M31/'P&amp;L Statement '!M$10</f>
        <v>0</v>
      </c>
      <c r="N24" s="94">
        <f>'P&amp;L Statement '!N31/'P&amp;L Statement '!N$10</f>
        <v>0</v>
      </c>
      <c r="O24" s="94">
        <f>'P&amp;L Statement '!O31/'P&amp;L Statement '!O$10</f>
        <v>0</v>
      </c>
      <c r="P24" s="94">
        <f>'P&amp;L Statement '!P31/'P&amp;L Statement '!P$10</f>
        <v>0</v>
      </c>
      <c r="Q24" s="94">
        <f>'P&amp;L Statement '!Q31/'P&amp;L Statement '!Q$10</f>
        <v>0</v>
      </c>
    </row>
    <row r="25" spans="2:17" x14ac:dyDescent="0.25">
      <c r="B25" s="19" t="s">
        <v>200</v>
      </c>
      <c r="C25" s="94">
        <f>'P&amp;L Statement '!C32/'P&amp;L Statement '!C$10</f>
        <v>1.6153081510934394E-3</v>
      </c>
      <c r="D25" s="94">
        <f>'P&amp;L Statement '!D32/'P&amp;L Statement '!D$10</f>
        <v>0</v>
      </c>
      <c r="E25" s="94">
        <f>'P&amp;L Statement '!E32/'P&amp;L Statement '!E$10</f>
        <v>0</v>
      </c>
      <c r="F25" s="94">
        <f>'P&amp;L Statement '!F32/'P&amp;L Statement '!F$10</f>
        <v>0</v>
      </c>
      <c r="G25" s="94">
        <f>'P&amp;L Statement '!G32/'P&amp;L Statement '!G$10</f>
        <v>0</v>
      </c>
      <c r="H25" s="94">
        <f>'P&amp;L Statement '!H32/'P&amp;L Statement '!H$10</f>
        <v>0</v>
      </c>
      <c r="I25" s="94">
        <f>'P&amp;L Statement '!I32/'P&amp;L Statement '!I$10</f>
        <v>0</v>
      </c>
      <c r="J25" s="94">
        <f>'P&amp;L Statement '!J32/'P&amp;L Statement '!J$10</f>
        <v>0</v>
      </c>
      <c r="K25" s="94">
        <f>'P&amp;L Statement '!K32/'P&amp;L Statement '!K$10</f>
        <v>0</v>
      </c>
      <c r="L25" s="94">
        <f>'P&amp;L Statement '!L32/'P&amp;L Statement '!L$10</f>
        <v>0</v>
      </c>
      <c r="M25" s="94">
        <f>'P&amp;L Statement '!M32/'P&amp;L Statement '!M$10</f>
        <v>0</v>
      </c>
      <c r="N25" s="94">
        <f>'P&amp;L Statement '!N32/'P&amp;L Statement '!N$10</f>
        <v>0</v>
      </c>
      <c r="O25" s="94">
        <f>'P&amp;L Statement '!O32/'P&amp;L Statement '!O$10</f>
        <v>0</v>
      </c>
      <c r="P25" s="94">
        <f>'P&amp;L Statement '!P32/'P&amp;L Statement '!P$10</f>
        <v>0</v>
      </c>
      <c r="Q25" s="94">
        <f>'P&amp;L Statement '!Q32/'P&amp;L Statement '!Q$10</f>
        <v>0</v>
      </c>
    </row>
    <row r="26" spans="2:17" x14ac:dyDescent="0.25"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</row>
    <row r="27" spans="2:17" x14ac:dyDescent="0.25">
      <c r="B27" s="27" t="s">
        <v>201</v>
      </c>
      <c r="C27" s="96">
        <f>'P&amp;L Statement '!C34/'P&amp;L Statement '!C$10</f>
        <v>0.18923956262425448</v>
      </c>
      <c r="D27" s="96">
        <f>'P&amp;L Statement '!D34/'P&amp;L Statement '!D$10</f>
        <v>0.16831370899915896</v>
      </c>
      <c r="E27" s="96">
        <f>'P&amp;L Statement '!E34/'P&amp;L Statement '!E$10</f>
        <v>0.17851290454731666</v>
      </c>
      <c r="F27" s="96">
        <f>'P&amp;L Statement '!F34/'P&amp;L Statement '!F$10</f>
        <v>0.20066300631927897</v>
      </c>
      <c r="G27" s="96">
        <f>'P&amp;L Statement '!G34/'P&amp;L Statement '!G$10</f>
        <v>0.19536515557196935</v>
      </c>
      <c r="H27" s="96">
        <f>'P&amp;L Statement '!H34/'P&amp;L Statement '!H$10</f>
        <v>0.18858183908337134</v>
      </c>
      <c r="I27" s="96">
        <f>'P&amp;L Statement '!I34/'P&amp;L Statement '!I$10</f>
        <v>0.18710009099097105</v>
      </c>
      <c r="J27" s="96">
        <f>'P&amp;L Statement '!J34/'P&amp;L Statement '!J$10</f>
        <v>0.18552847021628133</v>
      </c>
      <c r="K27" s="96">
        <f>'P&amp;L Statement '!K34/'P&amp;L Statement '!K$10</f>
        <v>0.18388451231020897</v>
      </c>
      <c r="L27" s="96">
        <f>'P&amp;L Statement '!L34/'P&amp;L Statement '!L$10</f>
        <v>0.18219252669799255</v>
      </c>
      <c r="M27" s="96">
        <f>'P&amp;L Statement '!M34/'P&amp;L Statement '!M$10</f>
        <v>0.18048347572181536</v>
      </c>
      <c r="N27" s="96">
        <f>'P&amp;L Statement '!N34/'P&amp;L Statement '!N$10</f>
        <v>0.17879405110808258</v>
      </c>
      <c r="O27" s="96">
        <f>'P&amp;L Statement '!O34/'P&amp;L Statement '!O$10</f>
        <v>0.17716484953887179</v>
      </c>
      <c r="P27" s="96">
        <f>'P&amp;L Statement '!P34/'P&amp;L Statement '!P$10</f>
        <v>0.17563771767690664</v>
      </c>
      <c r="Q27" s="96">
        <f>'P&amp;L Statement '!Q34/'P&amp;L Statement '!Q$10</f>
        <v>0.17475737725889773</v>
      </c>
    </row>
    <row r="28" spans="2:17" x14ac:dyDescent="0.25"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</row>
    <row r="29" spans="2:17" x14ac:dyDescent="0.25">
      <c r="B29" s="97" t="s">
        <v>153</v>
      </c>
      <c r="C29" s="94">
        <f>'P&amp;L Statement '!C37/'P&amp;L Statement '!C$10</f>
        <v>4.0258449304174951E-2</v>
      </c>
      <c r="D29" s="94">
        <f>'P&amp;L Statement '!D37/'P&amp;L Statement '!D$10</f>
        <v>3.637510513036165E-2</v>
      </c>
      <c r="E29" s="94">
        <f>'P&amp;L Statement '!E37/'P&amp;L Statement '!E$10</f>
        <v>4.3117574764440801E-2</v>
      </c>
      <c r="F29" s="94">
        <f>'P&amp;L Statement '!F37/'P&amp;L Statement '!F$10</f>
        <v>4.5063710763493213E-2</v>
      </c>
      <c r="G29" s="94">
        <f>'P&amp;L Statement '!G37/'P&amp;L Statement '!G$10</f>
        <v>4.2286030837411136E-2</v>
      </c>
      <c r="H29" s="94">
        <f>'P&amp;L Statement '!H37/'P&amp;L Statement '!H$10</f>
        <v>4.19183759833738E-2</v>
      </c>
      <c r="I29" s="94">
        <f>'P&amp;L Statement '!I37/'P&amp;L Statement '!I$10</f>
        <v>4.1589009836814891E-2</v>
      </c>
      <c r="J29" s="94">
        <f>'P&amp;L Statement '!J37/'P&amp;L Statement '!J$10</f>
        <v>4.1239666597524489E-2</v>
      </c>
      <c r="K29" s="94">
        <f>'P&amp;L Statement '!K37/'P&amp;L Statement '!K$10</f>
        <v>4.0874244105398326E-2</v>
      </c>
      <c r="L29" s="94">
        <f>'P&amp;L Statement '!L37/'P&amp;L Statement '!L$10</f>
        <v>4.0498145911658734E-2</v>
      </c>
      <c r="M29" s="94">
        <f>'P&amp;L Statement '!M37/'P&amp;L Statement '!M$10</f>
        <v>4.0118254392187046E-2</v>
      </c>
      <c r="N29" s="94">
        <f>'P&amp;L Statement '!N37/'P&amp;L Statement '!N$10</f>
        <v>3.9742725462687596E-2</v>
      </c>
      <c r="O29" s="94">
        <f>'P&amp;L Statement '!O37/'P&amp;L Statement '!O$10</f>
        <v>3.9380583040793567E-2</v>
      </c>
      <c r="P29" s="94">
        <f>'P&amp;L Statement '!P37/'P&amp;L Statement '!P$10</f>
        <v>3.9041128892519275E-2</v>
      </c>
      <c r="Q29" s="94">
        <f>'P&amp;L Statement '!Q37/'P&amp;L Statement '!Q$10</f>
        <v>3.8845444934748855E-2</v>
      </c>
    </row>
    <row r="30" spans="2:17" x14ac:dyDescent="0.25"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</row>
    <row r="31" spans="2:17" ht="15.75" thickBot="1" x14ac:dyDescent="0.3">
      <c r="B31" s="33" t="s">
        <v>203</v>
      </c>
      <c r="C31" s="98">
        <f>'P&amp;L Statement '!C39/'P&amp;L Statement '!C$10</f>
        <v>0.14898111332007952</v>
      </c>
      <c r="D31" s="98">
        <f>'P&amp;L Statement '!D39/'P&amp;L Statement '!D$10</f>
        <v>0.1319386038687973</v>
      </c>
      <c r="E31" s="98">
        <f>'P&amp;L Statement '!E39/'P&amp;L Statement '!E$10</f>
        <v>0.13539532978287588</v>
      </c>
      <c r="F31" s="98">
        <f>'P&amp;L Statement '!F39/'P&amp;L Statement '!F$10</f>
        <v>0.15559929555578578</v>
      </c>
      <c r="G31" s="98">
        <f>'P&amp;L Statement '!G39/'P&amp;L Statement '!G$10</f>
        <v>0.1530791247345582</v>
      </c>
      <c r="H31" s="98">
        <f>'P&amp;L Statement '!H39/'P&amp;L Statement '!H$10</f>
        <v>0.14666346309999756</v>
      </c>
      <c r="I31" s="98">
        <f>'P&amp;L Statement '!I39/'P&amp;L Statement '!I$10</f>
        <v>0.14551108115415617</v>
      </c>
      <c r="J31" s="98">
        <f>'P&amp;L Statement '!J39/'P&amp;L Statement '!J$10</f>
        <v>0.14428880361875682</v>
      </c>
      <c r="K31" s="98">
        <f>'P&amp;L Statement '!K39/'P&amp;L Statement '!K$10</f>
        <v>0.14301026820481064</v>
      </c>
      <c r="L31" s="98">
        <f>'P&amp;L Statement '!L39/'P&amp;L Statement '!L$10</f>
        <v>0.14169438078633381</v>
      </c>
      <c r="M31" s="98">
        <f>'P&amp;L Statement '!M39/'P&amp;L Statement '!M$10</f>
        <v>0.14036522132962834</v>
      </c>
      <c r="N31" s="98">
        <f>'P&amp;L Statement '!N39/'P&amp;L Statement '!N$10</f>
        <v>0.13905132564539502</v>
      </c>
      <c r="O31" s="98">
        <f>'P&amp;L Statement '!O39/'P&amp;L Statement '!O$10</f>
        <v>0.13778426649807823</v>
      </c>
      <c r="P31" s="98">
        <f>'P&amp;L Statement '!P39/'P&amp;L Statement '!P$10</f>
        <v>0.13659658878438735</v>
      </c>
      <c r="Q31" s="98">
        <f>'P&amp;L Statement '!Q39/'P&amp;L Statement '!Q$10</f>
        <v>0.13591193232414886</v>
      </c>
    </row>
    <row r="33" spans="2:17" ht="15.75" thickBot="1" x14ac:dyDescent="0.3">
      <c r="B33" s="33" t="s">
        <v>21</v>
      </c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</row>
    <row r="34" spans="2:17" x14ac:dyDescent="0.25">
      <c r="B34" s="1" t="s">
        <v>22</v>
      </c>
    </row>
    <row r="35" spans="2:17" x14ac:dyDescent="0.25">
      <c r="B35" s="1" t="s">
        <v>23</v>
      </c>
    </row>
    <row r="36" spans="2:17" ht="16.5" x14ac:dyDescent="0.3">
      <c r="B36" s="2" t="s">
        <v>24</v>
      </c>
      <c r="C36" s="94">
        <f>'Balance Sheet'!C11/'Balance Sheet'!C$38</f>
        <v>0.10381125226860254</v>
      </c>
      <c r="D36" s="94">
        <f>'Balance Sheet'!D11/'Balance Sheet'!D$38</f>
        <v>0.10369858278603526</v>
      </c>
      <c r="E36" s="94">
        <f>'Balance Sheet'!E11/'Balance Sheet'!E$38</f>
        <v>9.1131586524618488E-2</v>
      </c>
      <c r="F36" s="94">
        <f>'Balance Sheet'!F11/'Balance Sheet'!F$38</f>
        <v>9.4326910119929927E-2</v>
      </c>
      <c r="G36" s="94">
        <f>'Balance Sheet'!G11/'Balance Sheet'!G$38</f>
        <v>8.5152314703765886E-2</v>
      </c>
      <c r="H36" s="94">
        <f>'Balance Sheet'!H11/'Balance Sheet'!H$38</f>
        <v>8.685860161580726E-2</v>
      </c>
      <c r="I36" s="94">
        <f>'Balance Sheet'!I11/'Balance Sheet'!I$38</f>
        <v>8.0460461813425463E-2</v>
      </c>
      <c r="J36" s="94">
        <f>'Balance Sheet'!J11/'Balance Sheet'!J$38</f>
        <v>7.3796817217559124E-2</v>
      </c>
      <c r="K36" s="94">
        <f>'Balance Sheet'!K11/'Balance Sheet'!K$38</f>
        <v>6.6800736462451757E-2</v>
      </c>
      <c r="L36" s="94">
        <f>'Balance Sheet'!L11/'Balance Sheet'!L$38</f>
        <v>5.9429370556276673E-2</v>
      </c>
      <c r="M36" s="94">
        <f>'Balance Sheet'!M11/'Balance Sheet'!M$38</f>
        <v>5.1667024173592001E-2</v>
      </c>
      <c r="N36" s="94">
        <f>'Balance Sheet'!N11/'Balance Sheet'!N$38</f>
        <v>4.3528794466473321E-2</v>
      </c>
      <c r="O36" s="94">
        <f>'Balance Sheet'!O11/'Balance Sheet'!O$38</f>
        <v>3.5063891431234576E-2</v>
      </c>
      <c r="P36" s="94">
        <f>'Balance Sheet'!P11/'Balance Sheet'!P$38</f>
        <v>2.6357574234967089E-2</v>
      </c>
      <c r="Q36" s="94">
        <f>'Balance Sheet'!Q11/'Balance Sheet'!Q$38</f>
        <v>1.7527246353573372E-2</v>
      </c>
    </row>
    <row r="37" spans="2:17" ht="16.5" x14ac:dyDescent="0.3">
      <c r="B37" s="2" t="s">
        <v>25</v>
      </c>
      <c r="C37" s="94">
        <f>'Balance Sheet'!C12/'Balance Sheet'!C$38</f>
        <v>4.3557168784029042E-3</v>
      </c>
      <c r="D37" s="94">
        <f>'Balance Sheet'!D12/'Balance Sheet'!D$38</f>
        <v>6.7404078810922915E-3</v>
      </c>
      <c r="E37" s="94">
        <f>'Balance Sheet'!E12/'Balance Sheet'!E$38</f>
        <v>9.6458393319896335E-3</v>
      </c>
      <c r="F37" s="94">
        <f>'Balance Sheet'!F12/'Balance Sheet'!F$38</f>
        <v>5.9291200646813102E-3</v>
      </c>
      <c r="G37" s="94">
        <f>'Balance Sheet'!G12/'Balance Sheet'!G$38</f>
        <v>4.7973135044375153E-3</v>
      </c>
      <c r="H37" s="94">
        <f>'Balance Sheet'!H12/'Balance Sheet'!H$38</f>
        <v>5.2516559706114064E-3</v>
      </c>
      <c r="I37" s="94">
        <f>'Balance Sheet'!I12/'Balance Sheet'!I$38</f>
        <v>5.3025910657585355E-3</v>
      </c>
      <c r="J37" s="94">
        <f>'Balance Sheet'!J12/'Balance Sheet'!J$38</f>
        <v>5.3910217535538792E-3</v>
      </c>
      <c r="K37" s="94">
        <f>'Balance Sheet'!K12/'Balance Sheet'!K$38</f>
        <v>5.5112529906867196E-3</v>
      </c>
      <c r="L37" s="94">
        <f>'Balance Sheet'!L12/'Balance Sheet'!L$38</f>
        <v>5.6572703126259736E-3</v>
      </c>
      <c r="M37" s="94">
        <f>'Balance Sheet'!M12/'Balance Sheet'!M$38</f>
        <v>5.8224526151150983E-3</v>
      </c>
      <c r="N37" s="94">
        <f>'Balance Sheet'!N12/'Balance Sheet'!N$38</f>
        <v>5.9993879596921583E-3</v>
      </c>
      <c r="O37" s="94">
        <f>'Balance Sheet'!O12/'Balance Sheet'!O$38</f>
        <v>6.1798174717518839E-3</v>
      </c>
      <c r="P37" s="94">
        <f>'Balance Sheet'!P12/'Balance Sheet'!P$38</f>
        <v>6.3547360463374891E-3</v>
      </c>
      <c r="Q37" s="94">
        <f>'Balance Sheet'!Q12/'Balance Sheet'!Q$38</f>
        <v>6.5134386547982832E-3</v>
      </c>
    </row>
    <row r="38" spans="2:17" ht="16.5" x14ac:dyDescent="0.3">
      <c r="B38" s="2" t="s">
        <v>26</v>
      </c>
      <c r="C38" s="94">
        <f>'Balance Sheet'!C13/'Balance Sheet'!C$38</f>
        <v>3.2667876588021776E-2</v>
      </c>
      <c r="D38" s="94">
        <f>'Balance Sheet'!D13/'Balance Sheet'!D$38</f>
        <v>3.076391289319046E-2</v>
      </c>
      <c r="E38" s="94">
        <f>'Balance Sheet'!E13/'Balance Sheet'!E$38</f>
        <v>2.519435646415203E-2</v>
      </c>
      <c r="F38" s="94">
        <f>'Balance Sheet'!F13/'Balance Sheet'!F$38</f>
        <v>2.8163320307236221E-2</v>
      </c>
      <c r="G38" s="94">
        <f>'Balance Sheet'!G13/'Balance Sheet'!G$38</f>
        <v>2.7584552650515713E-2</v>
      </c>
      <c r="H38" s="94">
        <f>'Balance Sheet'!H13/'Balance Sheet'!H$38</f>
        <v>3.250871890071224E-2</v>
      </c>
      <c r="I38" s="94">
        <f>'Balance Sheet'!I13/'Balance Sheet'!I$38</f>
        <v>3.5009163371250471E-2</v>
      </c>
      <c r="J38" s="94">
        <f>'Balance Sheet'!J13/'Balance Sheet'!J$38</f>
        <v>3.7620897747378E-2</v>
      </c>
      <c r="K38" s="94">
        <f>'Balance Sheet'!K13/'Balance Sheet'!K$38</f>
        <v>4.0298447732429098E-2</v>
      </c>
      <c r="L38" s="94">
        <f>'Balance Sheet'!L13/'Balance Sheet'!L$38</f>
        <v>4.2982234438279525E-2</v>
      </c>
      <c r="M38" s="94">
        <f>'Balance Sheet'!M13/'Balance Sheet'!M$38</f>
        <v>4.5597380449879842E-2</v>
      </c>
      <c r="N38" s="94">
        <f>'Balance Sheet'!N13/'Balance Sheet'!N$38</f>
        <v>4.8053669275397837E-2</v>
      </c>
      <c r="O38" s="94">
        <f>'Balance Sheet'!O13/'Balance Sheet'!O$38</f>
        <v>5.0247160580106323E-2</v>
      </c>
      <c r="P38" s="94">
        <f>'Balance Sheet'!P13/'Balance Sheet'!P$38</f>
        <v>5.2063901225465697E-2</v>
      </c>
      <c r="Q38" s="94">
        <f>'Balance Sheet'!Q13/'Balance Sheet'!Q$38</f>
        <v>5.3375857666397304E-2</v>
      </c>
    </row>
    <row r="39" spans="2:17" ht="16.5" x14ac:dyDescent="0.3">
      <c r="B39" s="2" t="s">
        <v>27</v>
      </c>
      <c r="C39" s="94">
        <f>'Balance Sheet'!C14/'Balance Sheet'!C$38</f>
        <v>3.0852994555353903E-3</v>
      </c>
      <c r="D39" s="94">
        <f>'Balance Sheet'!D14/'Balance Sheet'!D$38</f>
        <v>3.8022813688212928E-3</v>
      </c>
      <c r="E39" s="94">
        <f>'Balance Sheet'!E14/'Balance Sheet'!E$38</f>
        <v>2.3034840195796141E-3</v>
      </c>
      <c r="F39" s="94">
        <f>'Balance Sheet'!F14/'Balance Sheet'!F$38</f>
        <v>2.0212909311413557E-3</v>
      </c>
      <c r="G39" s="94">
        <f>'Balance Sheet'!G14/'Balance Sheet'!G$38</f>
        <v>1.798992564164068E-3</v>
      </c>
      <c r="H39" s="94">
        <f>'Balance Sheet'!H14/'Balance Sheet'!H$38</f>
        <v>1.7583669544457834E-3</v>
      </c>
      <c r="I39" s="94">
        <f>'Balance Sheet'!I14/'Balance Sheet'!I$38</f>
        <v>1.5731579506799453E-3</v>
      </c>
      <c r="J39" s="94">
        <f>'Balance Sheet'!J14/'Balance Sheet'!J$38</f>
        <v>1.4070386675826177E-3</v>
      </c>
      <c r="K39" s="94">
        <f>'Balance Sheet'!K14/'Balance Sheet'!K$38</f>
        <v>1.2570065392100039E-3</v>
      </c>
      <c r="L39" s="94">
        <f>'Balance Sheet'!L14/'Balance Sheet'!L$38</f>
        <v>1.1207001229982696E-3</v>
      </c>
      <c r="M39" s="94">
        <f>'Balance Sheet'!M14/'Balance Sheet'!M$38</f>
        <v>9.9627180821204673E-4</v>
      </c>
      <c r="N39" s="94">
        <f>'Balance Sheet'!N14/'Balance Sheet'!N$38</f>
        <v>8.8229460097507498E-4</v>
      </c>
      <c r="O39" s="94">
        <f>'Balance Sheet'!O14/'Balance Sheet'!O$38</f>
        <v>7.7769025535622861E-4</v>
      </c>
      <c r="P39" s="94">
        <f>'Balance Sheet'!P14/'Balance Sheet'!P$38</f>
        <v>6.8166929455231264E-4</v>
      </c>
      <c r="Q39" s="94">
        <f>'Balance Sheet'!Q14/'Balance Sheet'!Q$38</f>
        <v>5.9356370665039474E-4</v>
      </c>
    </row>
    <row r="40" spans="2:17" ht="16.5" x14ac:dyDescent="0.3">
      <c r="B40" s="2" t="s">
        <v>28</v>
      </c>
      <c r="C40" s="94">
        <f>'Balance Sheet'!C15/'Balance Sheet'!C$38</f>
        <v>0.11125226860254084</v>
      </c>
      <c r="D40" s="94">
        <f>'Balance Sheet'!D15/'Balance Sheet'!D$38</f>
        <v>0.11303145523677843</v>
      </c>
      <c r="E40" s="94">
        <f>'Balance Sheet'!E15/'Balance Sheet'!E$38</f>
        <v>0.12410020155485171</v>
      </c>
      <c r="F40" s="94">
        <f>'Balance Sheet'!F15/'Balance Sheet'!F$38</f>
        <v>0.11629160490499933</v>
      </c>
      <c r="G40" s="94">
        <f>'Balance Sheet'!G15/'Balance Sheet'!G$38</f>
        <v>0.10278244183257376</v>
      </c>
      <c r="H40" s="94">
        <f>'Balance Sheet'!H15/'Balance Sheet'!H$38</f>
        <v>0.1004613653306691</v>
      </c>
      <c r="I40" s="94">
        <f>'Balance Sheet'!I15/'Balance Sheet'!I$38</f>
        <v>8.9879757582180878E-2</v>
      </c>
      <c r="J40" s="94">
        <f>'Balance Sheet'!J15/'Balance Sheet'!J$38</f>
        <v>8.038880920788688E-2</v>
      </c>
      <c r="K40" s="94">
        <f>'Balance Sheet'!K15/'Balance Sheet'!K$38</f>
        <v>7.1816973606864898E-2</v>
      </c>
      <c r="L40" s="94">
        <f>'Balance Sheet'!L15/'Balance Sheet'!L$38</f>
        <v>6.4029333693967808E-2</v>
      </c>
      <c r="M40" s="94">
        <f>'Balance Sheet'!M15/'Balance Sheet'!M$38</f>
        <v>5.6920329309181596E-2</v>
      </c>
      <c r="N40" s="94">
        <f>'Balance Sheet'!N15/'Balance Sheet'!N$38</f>
        <v>5.0408431535709279E-2</v>
      </c>
      <c r="O40" s="94">
        <f>'Balance Sheet'!O15/'Balance Sheet'!O$38</f>
        <v>4.4432036589352526E-2</v>
      </c>
      <c r="P40" s="94">
        <f>'Balance Sheet'!P15/'Balance Sheet'!P$38</f>
        <v>3.8946039028755465E-2</v>
      </c>
      <c r="Q40" s="94">
        <f>'Balance Sheet'!Q15/'Balance Sheet'!Q$38</f>
        <v>3.3912273106625888E-2</v>
      </c>
    </row>
    <row r="41" spans="2:17" ht="16.5" x14ac:dyDescent="0.3">
      <c r="B41" s="2" t="s">
        <v>29</v>
      </c>
      <c r="C41" s="94">
        <f>'Balance Sheet'!C16/'Balance Sheet'!C$38</f>
        <v>4.1742286751361164E-2</v>
      </c>
      <c r="D41" s="94">
        <f>'Balance Sheet'!D16/'Balance Sheet'!D$38</f>
        <v>5.2886277220877978E-2</v>
      </c>
      <c r="E41" s="94">
        <f>'Balance Sheet'!E16/'Balance Sheet'!E$38</f>
        <v>8.0621940685286497E-2</v>
      </c>
      <c r="F41" s="94">
        <f>'Balance Sheet'!F16/'Balance Sheet'!F$38</f>
        <v>0.12626330683196335</v>
      </c>
      <c r="G41" s="94">
        <f>'Balance Sheet'!G16/'Balance Sheet'!G$38</f>
        <v>0.11345646437994723</v>
      </c>
      <c r="H41" s="94">
        <f>'Balance Sheet'!H16/'Balance Sheet'!H$38</f>
        <v>0.11169494061537125</v>
      </c>
      <c r="I41" s="94">
        <f>'Balance Sheet'!I16/'Balance Sheet'!I$38</f>
        <v>0.10032625490337539</v>
      </c>
      <c r="J41" s="94">
        <f>'Balance Sheet'!J16/'Balance Sheet'!J$38</f>
        <v>8.971777845556464E-2</v>
      </c>
      <c r="K41" s="94">
        <f>'Balance Sheet'!K16/'Balance Sheet'!K$38</f>
        <v>7.9716245724502144E-2</v>
      </c>
      <c r="L41" s="94">
        <f>'Balance Sheet'!L16/'Balance Sheet'!L$38</f>
        <v>7.0204058070286748E-2</v>
      </c>
      <c r="M41" s="94">
        <f>'Balance Sheet'!M16/'Balance Sheet'!M$38</f>
        <v>6.109490440063773E-2</v>
      </c>
      <c r="N41" s="94">
        <f>'Balance Sheet'!N16/'Balance Sheet'!N$38</f>
        <v>5.2331105525117119E-2</v>
      </c>
      <c r="O41" s="94">
        <f>'Balance Sheet'!O16/'Balance Sheet'!O$38</f>
        <v>4.3881830138426933E-2</v>
      </c>
      <c r="P41" s="94">
        <f>'Balance Sheet'!P16/'Balance Sheet'!P$38</f>
        <v>3.574140067203517E-2</v>
      </c>
      <c r="Q41" s="94">
        <f>'Balance Sheet'!Q16/'Balance Sheet'!Q$38</f>
        <v>2.7921695113280937E-2</v>
      </c>
    </row>
    <row r="42" spans="2:17" ht="16.5" x14ac:dyDescent="0.3">
      <c r="B42" s="2" t="s">
        <v>30</v>
      </c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</row>
    <row r="43" spans="2:17" ht="16.5" x14ac:dyDescent="0.3">
      <c r="B43" s="2" t="s">
        <v>31</v>
      </c>
      <c r="C43" s="94">
        <f>'Balance Sheet'!C18/'Balance Sheet'!C$38</f>
        <v>4.1016333938294014E-2</v>
      </c>
      <c r="D43" s="94">
        <f>'Balance Sheet'!D18/'Balance Sheet'!D$38</f>
        <v>3.2319391634980987E-2</v>
      </c>
      <c r="E43" s="94">
        <f>'Balance Sheet'!E18/'Balance Sheet'!E$38</f>
        <v>7.457529513389001E-2</v>
      </c>
      <c r="F43" s="94">
        <f>'Balance Sheet'!F18/'Balance Sheet'!F$38</f>
        <v>4.6220185958765668E-2</v>
      </c>
      <c r="G43" s="94">
        <f>'Balance Sheet'!G18/'Balance Sheet'!G$38</f>
        <v>2.5785560086351644E-2</v>
      </c>
      <c r="H43" s="94">
        <f>'Balance Sheet'!H18/'Balance Sheet'!H$38</f>
        <v>4.3314004182338356E-2</v>
      </c>
      <c r="I43" s="94">
        <f>'Balance Sheet'!I18/'Balance Sheet'!I$38</f>
        <v>4.2536443699080252E-2</v>
      </c>
      <c r="J43" s="94">
        <f>'Balance Sheet'!J18/'Balance Sheet'!J$38</f>
        <v>4.1998881318547274E-2</v>
      </c>
      <c r="K43" s="94">
        <f>'Balance Sheet'!K18/'Balance Sheet'!K$38</f>
        <v>4.1686933697404803E-2</v>
      </c>
      <c r="L43" s="94">
        <f>'Balance Sheet'!L18/'Balance Sheet'!L$38</f>
        <v>4.1590278235446171E-2</v>
      </c>
      <c r="M43" s="94">
        <f>'Balance Sheet'!M18/'Balance Sheet'!M$38</f>
        <v>4.1700807916815789E-2</v>
      </c>
      <c r="N43" s="94">
        <f>'Balance Sheet'!N18/'Balance Sheet'!N$38</f>
        <v>4.2010897498015204E-2</v>
      </c>
      <c r="O43" s="94">
        <f>'Balance Sheet'!O18/'Balance Sheet'!O$38</f>
        <v>4.2511753672485234E-2</v>
      </c>
      <c r="P43" s="94">
        <f>'Balance Sheet'!P18/'Balance Sheet'!P$38</f>
        <v>4.319190154191932E-2</v>
      </c>
      <c r="Q43" s="94">
        <f>'Balance Sheet'!Q18/'Balance Sheet'!Q$38</f>
        <v>4.4027601896735123E-2</v>
      </c>
    </row>
    <row r="44" spans="2:17" ht="16.5" x14ac:dyDescent="0.3">
      <c r="B44" s="2" t="s">
        <v>32</v>
      </c>
      <c r="C44" s="94">
        <f>'Balance Sheet'!C19/'Balance Sheet'!C$38</f>
        <v>7.2595281306715059E-4</v>
      </c>
      <c r="D44" s="94">
        <f>'Balance Sheet'!D19/'Balance Sheet'!D$38</f>
        <v>6.9132388524023505E-4</v>
      </c>
      <c r="E44" s="94">
        <f>'Balance Sheet'!E19/'Balance Sheet'!E$38</f>
        <v>5.7587100489490354E-4</v>
      </c>
      <c r="F44" s="94">
        <f>'Balance Sheet'!F19/'Balance Sheet'!F$38</f>
        <v>5.3901091497102812E-4</v>
      </c>
      <c r="G44" s="94">
        <f>'Balance Sheet'!G19/'Balance Sheet'!G$38</f>
        <v>7.1959702566562727E-4</v>
      </c>
      <c r="H44" s="94">
        <f>'Balance Sheet'!H19/'Balance Sheet'!H$38</f>
        <v>6.366492219277805E-4</v>
      </c>
      <c r="I44" s="94">
        <f>'Balance Sheet'!I19/'Balance Sheet'!I$38</f>
        <v>6.2522027911787249E-4</v>
      </c>
      <c r="J44" s="94">
        <f>'Balance Sheet'!J19/'Balance Sheet'!J$38</f>
        <v>6.1731893917563933E-4</v>
      </c>
      <c r="K44" s="94">
        <f>'Balance Sheet'!K19/'Balance Sheet'!K$38</f>
        <v>6.127337890831536E-4</v>
      </c>
      <c r="L44" s="94">
        <f>'Balance Sheet'!L19/'Balance Sheet'!L$38</f>
        <v>6.1131310249892584E-4</v>
      </c>
      <c r="M44" s="94">
        <f>'Balance Sheet'!M19/'Balance Sheet'!M$38</f>
        <v>6.1293771876270195E-4</v>
      </c>
      <c r="N44" s="94">
        <f>'Balance Sheet'!N19/'Balance Sheet'!N$38</f>
        <v>6.1749555852666027E-4</v>
      </c>
      <c r="O44" s="94">
        <f>'Balance Sheet'!O19/'Balance Sheet'!O$38</f>
        <v>6.2485737371307734E-4</v>
      </c>
      <c r="P44" s="94">
        <f>'Balance Sheet'!P19/'Balance Sheet'!P$38</f>
        <v>6.348545009712312E-4</v>
      </c>
      <c r="Q44" s="94">
        <f>'Balance Sheet'!Q19/'Balance Sheet'!Q$38</f>
        <v>6.4713801044356009E-4</v>
      </c>
    </row>
    <row r="45" spans="2:17" ht="16.5" x14ac:dyDescent="0.3">
      <c r="B45" s="2" t="s">
        <v>33</v>
      </c>
      <c r="C45" s="94">
        <f>'Balance Sheet'!C20/'Balance Sheet'!C$38</f>
        <v>7.4410163339382936E-3</v>
      </c>
      <c r="D45" s="94">
        <f>'Balance Sheet'!D20/'Balance Sheet'!D$38</f>
        <v>2.9381265122709992E-3</v>
      </c>
      <c r="E45" s="94">
        <f>'Balance Sheet'!E20/'Balance Sheet'!E$38</f>
        <v>4.6069680391592283E-3</v>
      </c>
      <c r="F45" s="94">
        <f>'Balance Sheet'!F20/'Balance Sheet'!F$38</f>
        <v>1.3475272874275704E-2</v>
      </c>
      <c r="G45" s="94">
        <f>'Balance Sheet'!G20/'Balance Sheet'!G$38</f>
        <v>2.6385224274406332E-3</v>
      </c>
      <c r="H45" s="94">
        <f>'Balance Sheet'!H20/'Balance Sheet'!H$38</f>
        <v>6.2539353182271907E-3</v>
      </c>
      <c r="I45" s="94">
        <f>'Balance Sheet'!I20/'Balance Sheet'!I$38</f>
        <v>6.1416664790814313E-3</v>
      </c>
      <c r="J45" s="94">
        <f>'Balance Sheet'!J20/'Balance Sheet'!J$38</f>
        <v>6.0640500032826802E-3</v>
      </c>
      <c r="K45" s="94">
        <f>'Balance Sheet'!K20/'Balance Sheet'!K$38</f>
        <v>6.0190091375828206E-3</v>
      </c>
      <c r="L45" s="94">
        <f>'Balance Sheet'!L20/'Balance Sheet'!L$38</f>
        <v>6.0050534431451055E-3</v>
      </c>
      <c r="M45" s="94">
        <f>'Balance Sheet'!M20/'Balance Sheet'!M$38</f>
        <v>6.0210123804698536E-3</v>
      </c>
      <c r="N45" s="94">
        <f>'Balance Sheet'!N20/'Balance Sheet'!N$38</f>
        <v>6.0657849712355012E-3</v>
      </c>
      <c r="O45" s="94">
        <f>'Balance Sheet'!O20/'Balance Sheet'!O$38</f>
        <v>6.1381015851805923E-3</v>
      </c>
      <c r="P45" s="94">
        <f>'Balance Sheet'!P20/'Balance Sheet'!P$38</f>
        <v>6.2363054077679593E-3</v>
      </c>
      <c r="Q45" s="94">
        <f>'Balance Sheet'!Q20/'Balance Sheet'!Q$38</f>
        <v>6.3569688297512028E-3</v>
      </c>
    </row>
    <row r="46" spans="2:17" ht="16.5" x14ac:dyDescent="0.3">
      <c r="B46" s="2" t="s">
        <v>34</v>
      </c>
      <c r="C46" s="94">
        <f>'Balance Sheet'!C21/'Balance Sheet'!C$38</f>
        <v>3.3756805807622504E-2</v>
      </c>
      <c r="D46" s="94">
        <f>'Balance Sheet'!D21/'Balance Sheet'!D$38</f>
        <v>3.2319391634980987E-2</v>
      </c>
      <c r="E46" s="94">
        <f>'Balance Sheet'!E21/'Balance Sheet'!E$38</f>
        <v>2.1019291678663978E-2</v>
      </c>
      <c r="F46" s="94">
        <f>'Balance Sheet'!F21/'Balance Sheet'!F$38</f>
        <v>9.1631855545074789E-3</v>
      </c>
      <c r="G46" s="94">
        <f>'Balance Sheet'!G21/'Balance Sheet'!G$38</f>
        <v>6.8361717438234588E-3</v>
      </c>
      <c r="H46" s="94">
        <f>'Balance Sheet'!H21/'Balance Sheet'!H$38</f>
        <v>1.94223435837859E-2</v>
      </c>
      <c r="I46" s="94">
        <f>'Balance Sheet'!I21/'Balance Sheet'!I$38</f>
        <v>1.9073679285757976E-2</v>
      </c>
      <c r="J46" s="94">
        <f>'Balance Sheet'!J21/'Balance Sheet'!J$38</f>
        <v>1.8832632043658697E-2</v>
      </c>
      <c r="K46" s="94">
        <f>'Balance Sheet'!K21/'Balance Sheet'!K$38</f>
        <v>1.8692752252068238E-2</v>
      </c>
      <c r="L46" s="94">
        <f>'Balance Sheet'!L21/'Balance Sheet'!L$38</f>
        <v>1.8649411175045958E-2</v>
      </c>
      <c r="M46" s="94">
        <f>'Balance Sheet'!M21/'Balance Sheet'!M$38</f>
        <v>1.8698973562275963E-2</v>
      </c>
      <c r="N46" s="94">
        <f>'Balance Sheet'!N21/'Balance Sheet'!N$38</f>
        <v>1.8838020193994744E-2</v>
      </c>
      <c r="O46" s="94">
        <f>'Balance Sheet'!O21/'Balance Sheet'!O$38</f>
        <v>1.9062608081682673E-2</v>
      </c>
      <c r="P46" s="94">
        <f>'Balance Sheet'!P21/'Balance Sheet'!P$38</f>
        <v>1.9367591789776675E-2</v>
      </c>
      <c r="Q46" s="94">
        <f>'Balance Sheet'!Q21/'Balance Sheet'!Q$38</f>
        <v>1.9742326468103706E-2</v>
      </c>
    </row>
    <row r="47" spans="2:17" ht="16.5" x14ac:dyDescent="0.3">
      <c r="B47" s="2" t="s">
        <v>35</v>
      </c>
      <c r="C47" s="94">
        <f>'Balance Sheet'!C22/'Balance Sheet'!C$38</f>
        <v>9.9818511796733213E-3</v>
      </c>
      <c r="D47" s="94">
        <f>'Balance Sheet'!D22/'Balance Sheet'!D$38</f>
        <v>9.8513653646733496E-3</v>
      </c>
      <c r="E47" s="94">
        <f>'Balance Sheet'!E22/'Balance Sheet'!E$38</f>
        <v>9.6458393319896335E-3</v>
      </c>
      <c r="F47" s="94">
        <f>'Balance Sheet'!F22/'Balance Sheet'!F$38</f>
        <v>1.2801509230561919E-2</v>
      </c>
      <c r="G47" s="94">
        <f>'Balance Sheet'!G22/'Balance Sheet'!G$38</f>
        <v>1.2952746461981291E-2</v>
      </c>
      <c r="H47" s="94">
        <f>'Balance Sheet'!H22/'Balance Sheet'!H$38</f>
        <v>1.0955290468759567E-2</v>
      </c>
      <c r="I47" s="94">
        <f>'Balance Sheet'!I22/'Balance Sheet'!I$38</f>
        <v>1.0758624260868422E-2</v>
      </c>
      <c r="J47" s="94">
        <f>'Balance Sheet'!J22/'Balance Sheet'!J$38</f>
        <v>1.0622660104817987E-2</v>
      </c>
      <c r="K47" s="94">
        <f>'Balance Sheet'!K22/'Balance Sheet'!K$38</f>
        <v>1.0543760061629465E-2</v>
      </c>
      <c r="L47" s="94">
        <f>'Balance Sheet'!L22/'Balance Sheet'!L$38</f>
        <v>1.0519313264776158E-2</v>
      </c>
      <c r="M47" s="94">
        <f>'Balance Sheet'!M22/'Balance Sheet'!M$38</f>
        <v>1.0547269229311927E-2</v>
      </c>
      <c r="N47" s="94">
        <f>'Balance Sheet'!N22/'Balance Sheet'!N$38</f>
        <v>1.0625699323631417E-2</v>
      </c>
      <c r="O47" s="94">
        <f>'Balance Sheet'!O22/'Balance Sheet'!O$38</f>
        <v>1.0752379481191829E-2</v>
      </c>
      <c r="P47" s="94">
        <f>'Balance Sheet'!P22/'Balance Sheet'!P$38</f>
        <v>1.0924407387916661E-2</v>
      </c>
      <c r="Q47" s="94">
        <f>'Balance Sheet'!Q22/'Balance Sheet'!Q$38</f>
        <v>1.1135778751628762E-2</v>
      </c>
    </row>
    <row r="48" spans="2:17" ht="16.5" x14ac:dyDescent="0.3">
      <c r="B48" s="2" t="s">
        <v>36</v>
      </c>
      <c r="C48" s="94">
        <f>'Balance Sheet'!C23/'Balance Sheet'!C$38</f>
        <v>4.7186932849364793E-3</v>
      </c>
      <c r="D48" s="94">
        <f>'Balance Sheet'!D23/'Balance Sheet'!D$38</f>
        <v>5.1849291393017633E-3</v>
      </c>
      <c r="E48" s="94">
        <f>'Balance Sheet'!E23/'Balance Sheet'!E$38</f>
        <v>6.6225165562913907E-3</v>
      </c>
      <c r="F48" s="94">
        <f>'Balance Sheet'!F23/'Balance Sheet'!F$38</f>
        <v>5.3901091497102821E-3</v>
      </c>
      <c r="G48" s="94">
        <f>'Balance Sheet'!G23/'Balance Sheet'!G$38</f>
        <v>5.8767090429359559E-3</v>
      </c>
      <c r="H48" s="94">
        <f>'Balance Sheet'!H23/'Balance Sheet'!H$38</f>
        <v>5.4812308123131284E-3</v>
      </c>
      <c r="I48" s="94">
        <f>'Balance Sheet'!I23/'Balance Sheet'!I$38</f>
        <v>5.3828333411089007E-3</v>
      </c>
      <c r="J48" s="94">
        <f>'Balance Sheet'!J23/'Balance Sheet'!J$38</f>
        <v>5.3148067631154676E-3</v>
      </c>
      <c r="K48" s="94">
        <f>'Balance Sheet'!K23/'Balance Sheet'!K$38</f>
        <v>5.2753309181754358E-3</v>
      </c>
      <c r="L48" s="94">
        <f>'Balance Sheet'!L23/'Balance Sheet'!L$38</f>
        <v>5.2630995185099652E-3</v>
      </c>
      <c r="M48" s="94">
        <f>'Balance Sheet'!M23/'Balance Sheet'!M$38</f>
        <v>5.2770866505388557E-3</v>
      </c>
      <c r="N48" s="94">
        <f>'Balance Sheet'!N23/'Balance Sheet'!N$38</f>
        <v>5.3163273672339108E-3</v>
      </c>
      <c r="O48" s="94">
        <f>'Balance Sheet'!O23/'Balance Sheet'!O$38</f>
        <v>5.3797089074047412E-3</v>
      </c>
      <c r="P48" s="94">
        <f>'Balance Sheet'!P23/'Balance Sheet'!P$38</f>
        <v>5.465779164109185E-3</v>
      </c>
      <c r="Q48" s="94">
        <f>'Balance Sheet'!Q23/'Balance Sheet'!Q$38</f>
        <v>5.5715340261024149E-3</v>
      </c>
    </row>
    <row r="49" spans="2:17" x14ac:dyDescent="0.25">
      <c r="B49" s="4" t="s">
        <v>37</v>
      </c>
      <c r="C49" s="99">
        <f>'Balance Sheet'!C24/'Balance Sheet'!C$38</f>
        <v>0.39455535390199636</v>
      </c>
      <c r="D49" s="99">
        <f>'Balance Sheet'!D24/'Balance Sheet'!D$38</f>
        <v>0.39422744555824402</v>
      </c>
      <c r="E49" s="99">
        <f>'Balance Sheet'!E24/'Balance Sheet'!E$38</f>
        <v>0.4500431903253671</v>
      </c>
      <c r="F49" s="99">
        <f>'Balance Sheet'!F24/'Balance Sheet'!F$38</f>
        <v>0.46058482684274354</v>
      </c>
      <c r="G49" s="99">
        <f>'Balance Sheet'!G24/'Balance Sheet'!G$38</f>
        <v>0.39038138642360276</v>
      </c>
      <c r="H49" s="99">
        <f>'Balance Sheet'!H24/'Balance Sheet'!H$38</f>
        <v>0.42459710297496894</v>
      </c>
      <c r="I49" s="99">
        <f>'Balance Sheet'!I24/'Balance Sheet'!I$38</f>
        <v>0.39706985403168554</v>
      </c>
      <c r="J49" s="99">
        <f>'Balance Sheet'!J24/'Balance Sheet'!J$38</f>
        <v>0.37177271222212294</v>
      </c>
      <c r="K49" s="99">
        <f>'Balance Sheet'!K24/'Balance Sheet'!K$38</f>
        <v>0.34823118291208854</v>
      </c>
      <c r="L49" s="99">
        <f>'Balance Sheet'!L24/'Balance Sheet'!L$38</f>
        <v>0.32606143593385728</v>
      </c>
      <c r="M49" s="99">
        <f>'Balance Sheet'!M24/'Balance Sheet'!M$38</f>
        <v>0.3049564502147934</v>
      </c>
      <c r="N49" s="99">
        <f>'Balance Sheet'!N24/'Balance Sheet'!N$38</f>
        <v>0.28467790827600226</v>
      </c>
      <c r="O49" s="99">
        <f>'Balance Sheet'!O24/'Balance Sheet'!O$38</f>
        <v>0.26505183556788658</v>
      </c>
      <c r="P49" s="99">
        <f>'Balance Sheet'!P24/'Balance Sheet'!P$38</f>
        <v>0.24596616029457427</v>
      </c>
      <c r="Q49" s="99">
        <f>'Balance Sheet'!Q24/'Balance Sheet'!Q$38</f>
        <v>0.22732542258409094</v>
      </c>
    </row>
    <row r="50" spans="2:17" x14ac:dyDescent="0.25">
      <c r="B50" s="1" t="s">
        <v>38</v>
      </c>
      <c r="C50" s="94"/>
      <c r="D50" s="94"/>
      <c r="E50" s="94"/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94"/>
    </row>
    <row r="51" spans="2:17" ht="16.5" x14ac:dyDescent="0.3">
      <c r="B51" s="2" t="s">
        <v>39</v>
      </c>
      <c r="C51" s="94">
        <f>'Balance Sheet'!C26/'Balance Sheet'!C$38</f>
        <v>0.2043557168784029</v>
      </c>
      <c r="D51" s="94">
        <f>'Balance Sheet'!D26/'Balance Sheet'!D$38</f>
        <v>0.24403733148980297</v>
      </c>
      <c r="E51" s="94">
        <f>'Balance Sheet'!E26/'Balance Sheet'!E$38</f>
        <v>0.17636049524906422</v>
      </c>
      <c r="F51" s="94">
        <f>'Balance Sheet'!F26/'Balance Sheet'!F$38</f>
        <v>0.18002964560032342</v>
      </c>
      <c r="G51" s="94">
        <f>'Balance Sheet'!G26/'Balance Sheet'!G$38</f>
        <v>0.14811705444950826</v>
      </c>
      <c r="H51" s="94">
        <f>'Balance Sheet'!H26/'Balance Sheet'!H$38</f>
        <v>0.18490369338657447</v>
      </c>
      <c r="I51" s="94">
        <f>'Balance Sheet'!I26/'Balance Sheet'!I$38</f>
        <v>0.18158435572892848</v>
      </c>
      <c r="J51" s="94">
        <f>'Balance Sheet'!J26/'Balance Sheet'!J$38</f>
        <v>0.17928954896925337</v>
      </c>
      <c r="K51" s="94">
        <f>'Balance Sheet'!K26/'Balance Sheet'!K$38</f>
        <v>0.17795787187355971</v>
      </c>
      <c r="L51" s="94">
        <f>'Balance Sheet'!L26/'Balance Sheet'!L$38</f>
        <v>0.17754525816491018</v>
      </c>
      <c r="M51" s="94">
        <f>'Balance Sheet'!M26/'Balance Sheet'!M$38</f>
        <v>0.17801709970207327</v>
      </c>
      <c r="N51" s="94">
        <f>'Balance Sheet'!N26/'Balance Sheet'!N$38</f>
        <v>0.17934084498784969</v>
      </c>
      <c r="O51" s="94">
        <f>'Balance Sheet'!O26/'Balance Sheet'!O$38</f>
        <v>0.18147895616605239</v>
      </c>
      <c r="P51" s="94">
        <f>'Balance Sheet'!P26/'Balance Sheet'!P$38</f>
        <v>0.18438244789999492</v>
      </c>
      <c r="Q51" s="94">
        <f>'Balance Sheet'!Q26/'Balance Sheet'!Q$38</f>
        <v>0.18794997958142093</v>
      </c>
    </row>
    <row r="52" spans="2:17" x14ac:dyDescent="0.25">
      <c r="B52" s="1" t="s">
        <v>30</v>
      </c>
      <c r="C52" s="94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94"/>
    </row>
    <row r="53" spans="2:17" ht="16.5" x14ac:dyDescent="0.3">
      <c r="B53" s="2" t="s">
        <v>31</v>
      </c>
      <c r="C53" s="94">
        <f>'Balance Sheet'!C28/'Balance Sheet'!C$38</f>
        <v>0.11397459165154265</v>
      </c>
      <c r="D53" s="94">
        <f>'Balance Sheet'!D28/'Balance Sheet'!D$38</f>
        <v>0.11078465260974767</v>
      </c>
      <c r="E53" s="94">
        <f>'Balance Sheet'!E28/'Balance Sheet'!E$38</f>
        <v>8.3213360207313555E-2</v>
      </c>
      <c r="F53" s="94">
        <f>'Balance Sheet'!F28/'Balance Sheet'!F$38</f>
        <v>3.4900956744374073E-2</v>
      </c>
      <c r="G53" s="94">
        <f>'Balance Sheet'!G28/'Balance Sheet'!G$38</f>
        <v>0.16490765171503957</v>
      </c>
      <c r="H53" s="94">
        <f>'Balance Sheet'!H28/'Balance Sheet'!H$38</f>
        <v>9.9398477725362616E-2</v>
      </c>
      <c r="I53" s="94">
        <f>'Balance Sheet'!I28/'Balance Sheet'!I$38</f>
        <v>9.7614104984161079E-2</v>
      </c>
      <c r="J53" s="94">
        <f>'Balance Sheet'!J28/'Balance Sheet'!J$38</f>
        <v>9.6380488205567619E-2</v>
      </c>
      <c r="K53" s="94">
        <f>'Balance Sheet'!K28/'Balance Sheet'!K$38</f>
        <v>9.5664619994882696E-2</v>
      </c>
      <c r="L53" s="94">
        <f>'Balance Sheet'!L28/'Balance Sheet'!L$38</f>
        <v>9.5442811691450732E-2</v>
      </c>
      <c r="M53" s="94">
        <f>'Balance Sheet'!M28/'Balance Sheet'!M$38</f>
        <v>9.5696459034359957E-2</v>
      </c>
      <c r="N53" s="94">
        <f>'Balance Sheet'!N28/'Balance Sheet'!N$38</f>
        <v>9.6408063350598316E-2</v>
      </c>
      <c r="O53" s="94">
        <f>'Balance Sheet'!O28/'Balance Sheet'!O$38</f>
        <v>9.7557445455565855E-2</v>
      </c>
      <c r="P53" s="94">
        <f>'Balance Sheet'!P28/'Balance Sheet'!P$38</f>
        <v>9.9118272354997691E-2</v>
      </c>
      <c r="Q53" s="94">
        <f>'Balance Sheet'!Q28/'Balance Sheet'!Q$38</f>
        <v>0.1010360664881272</v>
      </c>
    </row>
    <row r="54" spans="2:17" ht="16.5" x14ac:dyDescent="0.3">
      <c r="B54" s="2" t="s">
        <v>40</v>
      </c>
      <c r="C54" s="94">
        <f>'Balance Sheet'!C29/'Balance Sheet'!C$38</f>
        <v>7.041742286751361E-2</v>
      </c>
      <c r="D54" s="94">
        <f>'Balance Sheet'!D29/'Balance Sheet'!D$38</f>
        <v>0.11268579329415832</v>
      </c>
      <c r="E54" s="94">
        <f>'Balance Sheet'!E29/'Balance Sheet'!E$38</f>
        <v>0.14612726749208177</v>
      </c>
      <c r="F54" s="94">
        <f>'Balance Sheet'!F29/'Balance Sheet'!F$38</f>
        <v>0.14405066702600727</v>
      </c>
      <c r="G54" s="94">
        <f>'Balance Sheet'!G29/'Balance Sheet'!G$38</f>
        <v>0.15243463660350204</v>
      </c>
      <c r="H54" s="94">
        <f>'Balance Sheet'!H29/'Balance Sheet'!H$38</f>
        <v>0.12447040138267164</v>
      </c>
      <c r="I54" s="94">
        <f>'Balance Sheet'!I29/'Balance Sheet'!I$38</f>
        <v>0.12223594471496173</v>
      </c>
      <c r="J54" s="94">
        <f>'Balance Sheet'!J29/'Balance Sheet'!J$38</f>
        <v>0.12069116476362102</v>
      </c>
      <c r="K54" s="94">
        <f>'Balance Sheet'!K29/'Balance Sheet'!K$38</f>
        <v>0.11979472846439276</v>
      </c>
      <c r="L54" s="94">
        <f>'Balance Sheet'!L29/'Balance Sheet'!L$38</f>
        <v>0.11951697201187977</v>
      </c>
      <c r="M54" s="94">
        <f>'Balance Sheet'!M29/'Balance Sheet'!M$38</f>
        <v>0.11983459847160073</v>
      </c>
      <c r="N54" s="94">
        <f>'Balance Sheet'!N29/'Balance Sheet'!N$38</f>
        <v>0.12072569536659099</v>
      </c>
      <c r="O54" s="94">
        <f>'Balance Sheet'!O29/'Balance Sheet'!O$38</f>
        <v>0.12216499358544959</v>
      </c>
      <c r="P54" s="94">
        <f>'Balance Sheet'!P29/'Balance Sheet'!P$38</f>
        <v>0.12411951799172809</v>
      </c>
      <c r="Q54" s="94">
        <f>'Balance Sheet'!Q29/'Balance Sheet'!Q$38</f>
        <v>0.12652104979566089</v>
      </c>
    </row>
    <row r="55" spans="2:17" ht="16.5" x14ac:dyDescent="0.3">
      <c r="B55" s="2" t="s">
        <v>41</v>
      </c>
      <c r="C55" s="94">
        <f>'Balance Sheet'!C30/'Balance Sheet'!C$38</f>
        <v>1.9782214156079853E-2</v>
      </c>
      <c r="D55" s="94">
        <f>'Balance Sheet'!D30/'Balance Sheet'!D$38</f>
        <v>4.7701348081576216E-2</v>
      </c>
      <c r="E55" s="94">
        <f>'Balance Sheet'!E30/'Balance Sheet'!E$38</f>
        <v>2.9801324503311258E-2</v>
      </c>
      <c r="F55" s="94">
        <f>'Balance Sheet'!F30/'Balance Sheet'!F$38</f>
        <v>3.0723622153348604E-2</v>
      </c>
      <c r="G55" s="94">
        <f>'Balance Sheet'!G30/'Balance Sheet'!G$38</f>
        <v>3.8498440873111058E-2</v>
      </c>
      <c r="H55" s="94">
        <f>'Balance Sheet'!H30/'Balance Sheet'!H$38</f>
        <v>6.8869525522866862E-2</v>
      </c>
      <c r="I55" s="94">
        <f>'Balance Sheet'!I30/'Balance Sheet'!I$38</f>
        <v>0.11016067171587411</v>
      </c>
      <c r="J55" s="94">
        <f>'Balance Sheet'!J30/'Balance Sheet'!J$38</f>
        <v>0.14613092259024715</v>
      </c>
      <c r="K55" s="94">
        <f>'Balance Sheet'!K30/'Balance Sheet'!K$38</f>
        <v>0.17749650538192485</v>
      </c>
      <c r="L55" s="94">
        <f>'Balance Sheet'!L30/'Balance Sheet'!L$38</f>
        <v>0.20482101597408428</v>
      </c>
      <c r="M55" s="94">
        <f>'Balance Sheet'!M30/'Balance Sheet'!M$38</f>
        <v>0.22855244491156101</v>
      </c>
      <c r="N55" s="94">
        <f>'Balance Sheet'!N30/'Balance Sheet'!N$38</f>
        <v>0.2490522528924381</v>
      </c>
      <c r="O55" s="94">
        <f>'Balance Sheet'!O30/'Balance Sheet'!O$38</f>
        <v>0.26661917407948205</v>
      </c>
      <c r="P55" s="94">
        <f>'Balance Sheet'!P30/'Balance Sheet'!P$38</f>
        <v>0.28150931164962706</v>
      </c>
      <c r="Q55" s="94">
        <f>'Balance Sheet'!Q30/'Balance Sheet'!Q$38</f>
        <v>0.29408675313400645</v>
      </c>
    </row>
    <row r="56" spans="2:17" ht="16.5" x14ac:dyDescent="0.3">
      <c r="B56" s="2" t="s">
        <v>42</v>
      </c>
      <c r="C56" s="94">
        <f>'Balance Sheet'!C31/'Balance Sheet'!C$38</f>
        <v>0.15154264972776771</v>
      </c>
      <c r="D56" s="94">
        <f>'Balance Sheet'!D31/'Balance Sheet'!D$38</f>
        <v>5.2367784306947808E-2</v>
      </c>
      <c r="E56" s="94">
        <f>'Balance Sheet'!E31/'Balance Sheet'!E$38</f>
        <v>7.9038295421825513E-2</v>
      </c>
      <c r="F56" s="94">
        <f>'Balance Sheet'!F31/'Balance Sheet'!F$38</f>
        <v>9.6348201051071281E-2</v>
      </c>
      <c r="G56" s="94">
        <f>'Balance Sheet'!G31/'Balance Sheet'!G$38</f>
        <v>5.4689373950587671E-2</v>
      </c>
      <c r="H56" s="94">
        <f>'Balance Sheet'!H31/'Balance Sheet'!H$38</f>
        <v>5.3454355415151818E-2</v>
      </c>
      <c r="I56" s="94">
        <f>'Balance Sheet'!I31/'Balance Sheet'!I$38</f>
        <v>4.7824001700670339E-2</v>
      </c>
      <c r="J56" s="94">
        <f>'Balance Sheet'!J31/'Balance Sheet'!J$38</f>
        <v>4.2773975494511576E-2</v>
      </c>
      <c r="K56" s="94">
        <f>'Balance Sheet'!K31/'Balance Sheet'!K$38</f>
        <v>3.8212998791984122E-2</v>
      </c>
      <c r="L56" s="94">
        <f>'Balance Sheet'!L31/'Balance Sheet'!L$38</f>
        <v>3.4069283739147402E-2</v>
      </c>
      <c r="M56" s="94">
        <f>'Balance Sheet'!M31/'Balance Sheet'!M$38</f>
        <v>3.0286662969646216E-2</v>
      </c>
      <c r="N56" s="94">
        <f>'Balance Sheet'!N31/'Balance Sheet'!N$38</f>
        <v>2.6821755869642278E-2</v>
      </c>
      <c r="O56" s="94">
        <f>'Balance Sheet'!O31/'Balance Sheet'!O$38</f>
        <v>2.3641783762829351E-2</v>
      </c>
      <c r="P56" s="94">
        <f>'Balance Sheet'!P31/'Balance Sheet'!P$38</f>
        <v>2.0722746554390305E-2</v>
      </c>
      <c r="Q56" s="94">
        <f>'Balance Sheet'!Q31/'Balance Sheet'!Q$38</f>
        <v>1.8044336682172001E-2</v>
      </c>
    </row>
    <row r="57" spans="2:17" ht="16.5" x14ac:dyDescent="0.3">
      <c r="B57" s="2" t="s">
        <v>43</v>
      </c>
      <c r="C57" s="94">
        <f>'Balance Sheet'!C32/'Balance Sheet'!C$38</f>
        <v>1.088929219600726E-3</v>
      </c>
      <c r="D57" s="94">
        <f>'Balance Sheet'!D32/'Balance Sheet'!D$38</f>
        <v>8.6415485655029381E-4</v>
      </c>
      <c r="E57" s="94">
        <f>'Balance Sheet'!E32/'Balance Sheet'!E$38</f>
        <v>5.7587100489490354E-4</v>
      </c>
      <c r="F57" s="94">
        <f>'Balance Sheet'!F32/'Balance Sheet'!F$38</f>
        <v>8.0851637245654229E-4</v>
      </c>
      <c r="G57" s="94">
        <f>'Balance Sheet'!G32/'Balance Sheet'!G$38</f>
        <v>8.3952986327656513E-4</v>
      </c>
      <c r="H57" s="94">
        <f>'Balance Sheet'!H32/'Balance Sheet'!H$38</f>
        <v>8.1779584907313077E-4</v>
      </c>
      <c r="I57" s="94">
        <f>'Balance Sheet'!I32/'Balance Sheet'!I$38</f>
        <v>8.0311501437276694E-4</v>
      </c>
      <c r="J57" s="94">
        <f>'Balance Sheet'!J32/'Balance Sheet'!J$38</f>
        <v>7.9296549594987781E-4</v>
      </c>
      <c r="K57" s="94">
        <f>'Balance Sheet'!K32/'Balance Sheet'!K$38</f>
        <v>7.8707572716690821E-4</v>
      </c>
      <c r="L57" s="94">
        <f>'Balance Sheet'!L32/'Balance Sheet'!L$38</f>
        <v>7.852508107900418E-4</v>
      </c>
      <c r="M57" s="94">
        <f>'Balance Sheet'!M32/'Balance Sheet'!M$38</f>
        <v>7.8733768122212942E-4</v>
      </c>
      <c r="N57" s="94">
        <f>'Balance Sheet'!N32/'Balance Sheet'!N$38</f>
        <v>7.9319236903344743E-4</v>
      </c>
      <c r="O57" s="94">
        <f>'Balance Sheet'!O32/'Balance Sheet'!O$38</f>
        <v>8.0264885102342826E-4</v>
      </c>
      <c r="P57" s="94">
        <f>'Balance Sheet'!P32/'Balance Sheet'!P$38</f>
        <v>8.1549047383986447E-4</v>
      </c>
      <c r="Q57" s="94">
        <f>'Balance Sheet'!Q32/'Balance Sheet'!Q$38</f>
        <v>8.3126902616119369E-4</v>
      </c>
    </row>
    <row r="58" spans="2:17" ht="16.5" x14ac:dyDescent="0.3">
      <c r="B58" s="2" t="s">
        <v>44</v>
      </c>
      <c r="C58" s="94">
        <f>'Balance Sheet'!C33/'Balance Sheet'!C$38</f>
        <v>9.0744101633393826E-4</v>
      </c>
      <c r="D58" s="94">
        <f>'Balance Sheet'!D33/'Balance Sheet'!D$38</f>
        <v>3.4566194262011752E-4</v>
      </c>
      <c r="E58" s="94">
        <f>'Balance Sheet'!E33/'Balance Sheet'!E$38</f>
        <v>5.7587100489490354E-4</v>
      </c>
      <c r="F58" s="94">
        <f>'Balance Sheet'!F33/'Balance Sheet'!F$38</f>
        <v>6.7376364371378526E-4</v>
      </c>
      <c r="G58" s="94">
        <f>'Balance Sheet'!G33/'Balance Sheet'!G$38</f>
        <v>3.5979851283281364E-4</v>
      </c>
      <c r="H58" s="94">
        <f>'Balance Sheet'!H33/'Balance Sheet'!H$38</f>
        <v>5.6470872522566427E-4</v>
      </c>
      <c r="I58" s="94">
        <f>'Balance Sheet'!I33/'Balance Sheet'!I$38</f>
        <v>5.5457123741830096E-4</v>
      </c>
      <c r="J58" s="94">
        <f>'Balance Sheet'!J33/'Balance Sheet'!J$38</f>
        <v>5.4756273814951647E-4</v>
      </c>
      <c r="K58" s="94">
        <f>'Balance Sheet'!K33/'Balance Sheet'!K$38</f>
        <v>5.4349570378504236E-4</v>
      </c>
      <c r="L58" s="94">
        <f>'Balance Sheet'!L33/'Balance Sheet'!L$38</f>
        <v>5.4223555285374116E-4</v>
      </c>
      <c r="M58" s="94">
        <f>'Balance Sheet'!M33/'Balance Sheet'!M$38</f>
        <v>5.4367658968799645E-4</v>
      </c>
      <c r="N58" s="94">
        <f>'Balance Sheet'!N33/'Balance Sheet'!N$38</f>
        <v>5.4771939975394469E-4</v>
      </c>
      <c r="O58" s="94">
        <f>'Balance Sheet'!O33/'Balance Sheet'!O$38</f>
        <v>5.5424933983096256E-4</v>
      </c>
      <c r="P58" s="94">
        <f>'Balance Sheet'!P33/'Balance Sheet'!P$38</f>
        <v>5.6311680529770158E-4</v>
      </c>
      <c r="Q58" s="94">
        <f>'Balance Sheet'!Q33/'Balance Sheet'!Q$38</f>
        <v>5.7401229489621567E-4</v>
      </c>
    </row>
    <row r="59" spans="2:17" ht="16.5" x14ac:dyDescent="0.3">
      <c r="B59" s="2" t="s">
        <v>45</v>
      </c>
      <c r="C59" s="94">
        <f>'Balance Sheet'!C34/'Balance Sheet'!C$38</f>
        <v>1.8148820326678765E-4</v>
      </c>
      <c r="D59" s="94">
        <f>'Balance Sheet'!D34/'Balance Sheet'!D$38</f>
        <v>1.7283097131005876E-4</v>
      </c>
      <c r="E59" s="94">
        <f>'Balance Sheet'!E34/'Balance Sheet'!E$38</f>
        <v>2.8793550244745177E-4</v>
      </c>
      <c r="F59" s="94">
        <f>'Balance Sheet'!F34/'Balance Sheet'!F$38</f>
        <v>2.6950545748551406E-4</v>
      </c>
      <c r="G59" s="94">
        <f>'Balance Sheet'!G34/'Balance Sheet'!G$38</f>
        <v>2.3986567522187575E-4</v>
      </c>
      <c r="H59" s="94">
        <f>'Balance Sheet'!H34/'Balance Sheet'!H$38</f>
        <v>2.2910077113554868E-4</v>
      </c>
      <c r="I59" s="94">
        <f>'Balance Sheet'!I34/'Balance Sheet'!I$38</f>
        <v>2.2498802031322687E-4</v>
      </c>
      <c r="J59" s="94">
        <f>'Balance Sheet'!J34/'Balance Sheet'!J$38</f>
        <v>2.2214469150448599E-4</v>
      </c>
      <c r="K59" s="94">
        <f>'Balance Sheet'!K34/'Balance Sheet'!K$38</f>
        <v>2.2049470688849932E-4</v>
      </c>
      <c r="L59" s="94">
        <f>'Balance Sheet'!L34/'Balance Sheet'!L$38</f>
        <v>2.1998346713389329E-4</v>
      </c>
      <c r="M59" s="94">
        <f>'Balance Sheet'!M34/'Balance Sheet'!M$38</f>
        <v>2.2056809180005308E-4</v>
      </c>
      <c r="N59" s="94">
        <f>'Balance Sheet'!N34/'Balance Sheet'!N$38</f>
        <v>2.2220824868499086E-4</v>
      </c>
      <c r="O59" s="94">
        <f>'Balance Sheet'!O34/'Balance Sheet'!O$38</f>
        <v>2.2485742735053372E-4</v>
      </c>
      <c r="P59" s="94">
        <f>'Balance Sheet'!P34/'Balance Sheet'!P$38</f>
        <v>2.2845493361473376E-4</v>
      </c>
      <c r="Q59" s="94">
        <f>'Balance Sheet'!Q34/'Balance Sheet'!Q$38</f>
        <v>2.3287520367151646E-4</v>
      </c>
    </row>
    <row r="60" spans="2:17" ht="16.5" x14ac:dyDescent="0.3">
      <c r="B60" s="2" t="s">
        <v>46</v>
      </c>
      <c r="C60" s="94">
        <f>'Balance Sheet'!C35/'Balance Sheet'!C$38</f>
        <v>4.0653357531760435E-2</v>
      </c>
      <c r="D60" s="94">
        <f>'Balance Sheet'!D35/'Balance Sheet'!D$38</f>
        <v>3.6812996889042514E-2</v>
      </c>
      <c r="E60" s="94">
        <f>'Balance Sheet'!E35/'Balance Sheet'!E$38</f>
        <v>3.2968615030233225E-2</v>
      </c>
      <c r="F60" s="94">
        <f>'Balance Sheet'!F35/'Balance Sheet'!F$38</f>
        <v>5.0936531464762159E-2</v>
      </c>
      <c r="G60" s="94">
        <f>'Balance Sheet'!G35/'Balance Sheet'!G$38</f>
        <v>4.9532261933317341E-2</v>
      </c>
      <c r="H60" s="94">
        <f>'Balance Sheet'!H35/'Balance Sheet'!H$38</f>
        <v>4.1869901627040761E-2</v>
      </c>
      <c r="I60" s="94">
        <f>'Balance Sheet'!I35/'Balance Sheet'!I$38</f>
        <v>4.1118265255440503E-2</v>
      </c>
      <c r="J60" s="94">
        <f>'Balance Sheet'!J35/'Balance Sheet'!J$38</f>
        <v>4.0598625374154915E-2</v>
      </c>
      <c r="K60" s="94">
        <f>'Balance Sheet'!K35/'Balance Sheet'!K$38</f>
        <v>4.0297078185050877E-2</v>
      </c>
      <c r="L60" s="94">
        <f>'Balance Sheet'!L35/'Balance Sheet'!L$38</f>
        <v>4.0203645246667086E-2</v>
      </c>
      <c r="M60" s="94">
        <f>'Balance Sheet'!M35/'Balance Sheet'!M$38</f>
        <v>4.0310489833612496E-2</v>
      </c>
      <c r="N60" s="94">
        <f>'Balance Sheet'!N35/'Balance Sheet'!N$38</f>
        <v>4.0610240930410983E-2</v>
      </c>
      <c r="O60" s="94">
        <f>'Balance Sheet'!O35/'Balance Sheet'!O$38</f>
        <v>4.1094398402116331E-2</v>
      </c>
      <c r="P60" s="94">
        <f>'Balance Sheet'!P35/'Balance Sheet'!P$38</f>
        <v>4.1751869927149299E-2</v>
      </c>
      <c r="Q60" s="94">
        <f>'Balance Sheet'!Q35/'Balance Sheet'!Q$38</f>
        <v>4.2559707768659423E-2</v>
      </c>
    </row>
    <row r="61" spans="2:17" ht="16.5" x14ac:dyDescent="0.3">
      <c r="B61" s="2" t="s">
        <v>47</v>
      </c>
      <c r="C61" s="94">
        <f>'Balance Sheet'!C36/'Balance Sheet'!C$38</f>
        <v>2.5408348457350272E-3</v>
      </c>
      <c r="D61" s="94">
        <f>'Balance Sheet'!D36/'Balance Sheet'!D$38</f>
        <v>0</v>
      </c>
      <c r="E61" s="94">
        <f>'Balance Sheet'!E36/'Balance Sheet'!E$38</f>
        <v>1.0077742585660812E-3</v>
      </c>
      <c r="F61" s="94">
        <f>'Balance Sheet'!F36/'Balance Sheet'!F$38</f>
        <v>6.7376364371378526E-4</v>
      </c>
      <c r="G61" s="94">
        <f>'Balance Sheet'!G36/'Balance Sheet'!G$38</f>
        <v>0</v>
      </c>
      <c r="H61" s="94">
        <f>'Balance Sheet'!H36/'Balance Sheet'!H$38</f>
        <v>8.2493661992858727E-4</v>
      </c>
      <c r="I61" s="94">
        <f>'Balance Sheet'!I36/'Balance Sheet'!I$38</f>
        <v>8.1012759617385128E-4</v>
      </c>
      <c r="J61" s="94">
        <f>'Balance Sheet'!J36/'Balance Sheet'!J$38</f>
        <v>7.9988945491748457E-4</v>
      </c>
      <c r="K61" s="94">
        <f>'Balance Sheet'!K36/'Balance Sheet'!K$38</f>
        <v>7.9394825827593823E-4</v>
      </c>
      <c r="L61" s="94">
        <f>'Balance Sheet'!L36/'Balance Sheet'!L$38</f>
        <v>7.9210740722577601E-4</v>
      </c>
      <c r="M61" s="94">
        <f>'Balance Sheet'!M36/'Balance Sheet'!M$38</f>
        <v>7.9421249964269948E-4</v>
      </c>
      <c r="N61" s="94">
        <f>'Balance Sheet'!N36/'Balance Sheet'!N$38</f>
        <v>8.0011830899509443E-4</v>
      </c>
      <c r="O61" s="94">
        <f>'Balance Sheet'!O36/'Balance Sheet'!O$38</f>
        <v>8.096573624129758E-4</v>
      </c>
      <c r="P61" s="94">
        <f>'Balance Sheet'!P36/'Balance Sheet'!P$38</f>
        <v>8.2261111478601013E-4</v>
      </c>
      <c r="Q61" s="94">
        <f>'Balance Sheet'!Q36/'Balance Sheet'!Q$38</f>
        <v>8.3852744113332045E-4</v>
      </c>
    </row>
    <row r="62" spans="2:17" x14ac:dyDescent="0.25">
      <c r="B62" s="4" t="s">
        <v>48</v>
      </c>
      <c r="C62" s="99">
        <f>'Balance Sheet'!C37/'Balance Sheet'!C$38</f>
        <v>0.60544464609800364</v>
      </c>
      <c r="D62" s="99">
        <f>'Balance Sheet'!D37/'Balance Sheet'!D$38</f>
        <v>0.60577255444175593</v>
      </c>
      <c r="E62" s="99">
        <f>'Balance Sheet'!E37/'Balance Sheet'!E$38</f>
        <v>0.5499568096746329</v>
      </c>
      <c r="F62" s="99">
        <f>'Balance Sheet'!F37/'Balance Sheet'!F$38</f>
        <v>0.5394151731572564</v>
      </c>
      <c r="G62" s="99">
        <f>'Balance Sheet'!G37/'Balance Sheet'!G$38</f>
        <v>0.60961861357639724</v>
      </c>
      <c r="H62" s="99">
        <f>'Balance Sheet'!H37/'Balance Sheet'!H$38</f>
        <v>0.57540289702503111</v>
      </c>
      <c r="I62" s="99">
        <f>'Balance Sheet'!I37/'Balance Sheet'!I$38</f>
        <v>0.60293014596831451</v>
      </c>
      <c r="J62" s="99">
        <f>'Balance Sheet'!J37/'Balance Sheet'!J$38</f>
        <v>0.62822728777787706</v>
      </c>
      <c r="K62" s="99">
        <f>'Balance Sheet'!K37/'Balance Sheet'!K$38</f>
        <v>0.65176881708791135</v>
      </c>
      <c r="L62" s="99">
        <f>'Balance Sheet'!L37/'Balance Sheet'!L$38</f>
        <v>0.67393856406614283</v>
      </c>
      <c r="M62" s="99">
        <f>'Balance Sheet'!M37/'Balance Sheet'!M$38</f>
        <v>0.69504354978520666</v>
      </c>
      <c r="N62" s="99">
        <f>'Balance Sheet'!N37/'Balance Sheet'!N$38</f>
        <v>0.71532209172399785</v>
      </c>
      <c r="O62" s="99">
        <f>'Balance Sheet'!O37/'Balance Sheet'!O$38</f>
        <v>0.73494816443211353</v>
      </c>
      <c r="P62" s="99">
        <f>'Balance Sheet'!P37/'Balance Sheet'!P$38</f>
        <v>0.7540338397054257</v>
      </c>
      <c r="Q62" s="99">
        <f>'Balance Sheet'!Q37/'Balance Sheet'!Q$38</f>
        <v>0.77267457741590895</v>
      </c>
    </row>
    <row r="63" spans="2:17" ht="15.75" thickBot="1" x14ac:dyDescent="0.3">
      <c r="B63" s="13" t="s">
        <v>49</v>
      </c>
      <c r="C63" s="100">
        <f>'Balance Sheet'!C38/'Balance Sheet'!C$38</f>
        <v>1</v>
      </c>
      <c r="D63" s="100">
        <f>'Balance Sheet'!D38/'Balance Sheet'!D$38</f>
        <v>1</v>
      </c>
      <c r="E63" s="100">
        <f>'Balance Sheet'!E38/'Balance Sheet'!E$38</f>
        <v>1</v>
      </c>
      <c r="F63" s="100">
        <f>'Balance Sheet'!F38/'Balance Sheet'!F$38</f>
        <v>1</v>
      </c>
      <c r="G63" s="100">
        <f>'Balance Sheet'!G38/'Balance Sheet'!G$38</f>
        <v>1</v>
      </c>
      <c r="H63" s="100">
        <f>'Balance Sheet'!H38/'Balance Sheet'!H$38</f>
        <v>1</v>
      </c>
      <c r="I63" s="100">
        <f>'Balance Sheet'!I38/'Balance Sheet'!I$38</f>
        <v>1</v>
      </c>
      <c r="J63" s="100">
        <f>'Balance Sheet'!J38/'Balance Sheet'!J$38</f>
        <v>1</v>
      </c>
      <c r="K63" s="100">
        <f>'Balance Sheet'!K38/'Balance Sheet'!K$38</f>
        <v>1</v>
      </c>
      <c r="L63" s="100">
        <f>'Balance Sheet'!L38/'Balance Sheet'!L$38</f>
        <v>1</v>
      </c>
      <c r="M63" s="100">
        <f>'Balance Sheet'!M38/'Balance Sheet'!M$38</f>
        <v>1</v>
      </c>
      <c r="N63" s="100">
        <f>'Balance Sheet'!N38/'Balance Sheet'!N$38</f>
        <v>1</v>
      </c>
      <c r="O63" s="100">
        <f>'Balance Sheet'!O38/'Balance Sheet'!O$38</f>
        <v>1</v>
      </c>
      <c r="P63" s="100">
        <f>'Balance Sheet'!P38/'Balance Sheet'!P$38</f>
        <v>1</v>
      </c>
      <c r="Q63" s="100">
        <f>'Balance Sheet'!Q38/'Balance Sheet'!Q$38</f>
        <v>1</v>
      </c>
    </row>
    <row r="64" spans="2:17" ht="15.75" thickTop="1" x14ac:dyDescent="0.25">
      <c r="B64" s="1" t="s">
        <v>50</v>
      </c>
      <c r="C64" s="94"/>
      <c r="D64" s="94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94"/>
    </row>
    <row r="65" spans="2:17" x14ac:dyDescent="0.25">
      <c r="B65" s="1" t="s">
        <v>51</v>
      </c>
      <c r="C65" s="94"/>
      <c r="D65" s="94"/>
      <c r="E65" s="94"/>
      <c r="F65" s="94"/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94"/>
    </row>
    <row r="66" spans="2:17" ht="16.5" x14ac:dyDescent="0.3">
      <c r="B66" s="2" t="s">
        <v>52</v>
      </c>
      <c r="C66" s="94">
        <f>'Balance Sheet'!C41/'Balance Sheet'!C$38</f>
        <v>2.3411978221415608E-2</v>
      </c>
      <c r="D66" s="94">
        <f>'Balance Sheet'!D41/'Balance Sheet'!D$38</f>
        <v>2.229519529899758E-2</v>
      </c>
      <c r="E66" s="94">
        <f>'Balance Sheet'!E41/'Balance Sheet'!E$38</f>
        <v>1.8571839907860641E-2</v>
      </c>
      <c r="F66" s="94">
        <f>'Balance Sheet'!F41/'Balance Sheet'!F$38</f>
        <v>1.7383102007815659E-2</v>
      </c>
      <c r="G66" s="94">
        <f>'Balance Sheet'!G41/'Balance Sheet'!G$38</f>
        <v>1.5471336051810987E-2</v>
      </c>
      <c r="H66" s="94">
        <f>'Balance Sheet'!H41/'Balance Sheet'!H$38</f>
        <v>1.5121955808233738E-2</v>
      </c>
      <c r="I66" s="94">
        <f>'Balance Sheet'!I41/'Balance Sheet'!I$38</f>
        <v>1.352915837584753E-2</v>
      </c>
      <c r="J66" s="94">
        <f>'Balance Sheet'!J41/'Balance Sheet'!J$38</f>
        <v>1.2100532541210511E-2</v>
      </c>
      <c r="K66" s="94">
        <f>'Balance Sheet'!K41/'Balance Sheet'!K$38</f>
        <v>1.0810256237206033E-2</v>
      </c>
      <c r="L66" s="94">
        <f>'Balance Sheet'!L41/'Balance Sheet'!L$38</f>
        <v>9.6380210577851188E-3</v>
      </c>
      <c r="M66" s="94">
        <f>'Balance Sheet'!M41/'Balance Sheet'!M$38</f>
        <v>8.5679375506236017E-3</v>
      </c>
      <c r="N66" s="94">
        <f>'Balance Sheet'!N41/'Balance Sheet'!N$38</f>
        <v>7.5877335683856443E-3</v>
      </c>
      <c r="O66" s="94">
        <f>'Balance Sheet'!O41/'Balance Sheet'!O$38</f>
        <v>6.6881361960635663E-3</v>
      </c>
      <c r="P66" s="94">
        <f>'Balance Sheet'!P41/'Balance Sheet'!P$38</f>
        <v>5.8623559331498886E-3</v>
      </c>
      <c r="Q66" s="94">
        <f>'Balance Sheet'!Q41/'Balance Sheet'!Q$38</f>
        <v>5.1046478771933947E-3</v>
      </c>
    </row>
    <row r="67" spans="2:17" x14ac:dyDescent="0.25">
      <c r="B67" s="1" t="s">
        <v>54</v>
      </c>
      <c r="C67" s="94"/>
      <c r="D67" s="94"/>
      <c r="E67" s="94"/>
      <c r="F67" s="94"/>
      <c r="G67" s="94"/>
      <c r="H67" s="94"/>
      <c r="I67" s="94"/>
      <c r="J67" s="94"/>
      <c r="K67" s="94"/>
      <c r="L67" s="94"/>
      <c r="M67" s="94"/>
      <c r="N67" s="94"/>
      <c r="O67" s="94"/>
      <c r="P67" s="94"/>
      <c r="Q67" s="94"/>
    </row>
    <row r="68" spans="2:17" ht="16.5" x14ac:dyDescent="0.3">
      <c r="B68" s="17" t="s">
        <v>55</v>
      </c>
      <c r="C68" s="94">
        <f>'Balance Sheet'!C43/'Balance Sheet'!C$38</f>
        <v>0.56460980036297637</v>
      </c>
      <c r="D68" s="94">
        <f>'Balance Sheet'!D43/'Balance Sheet'!D$38</f>
        <v>0.55115796750777735</v>
      </c>
      <c r="E68" s="94">
        <f>'Balance Sheet'!E43/'Balance Sheet'!E$38</f>
        <v>0.52893751799596889</v>
      </c>
      <c r="F68" s="94">
        <f>'Balance Sheet'!F43/'Balance Sheet'!F$38</f>
        <v>0.50963482010510708</v>
      </c>
      <c r="G68" s="94">
        <f>'Balance Sheet'!G43/'Balance Sheet'!G$38</f>
        <v>0.47937155193091868</v>
      </c>
      <c r="H68" s="94">
        <f>'Balance Sheet'!H43/'Balance Sheet'!H$38</f>
        <v>0.53805135835621698</v>
      </c>
      <c r="I68" s="94">
        <f>'Balance Sheet'!I43/'Balance Sheet'!I$38</f>
        <v>0.54909946351061267</v>
      </c>
      <c r="J68" s="94">
        <f>'Balance Sheet'!J43/'Balance Sheet'!J$38</f>
        <v>0.55742034302310584</v>
      </c>
      <c r="K68" s="94">
        <f>'Balance Sheet'!K43/'Balance Sheet'!K$38</f>
        <v>0.56321077152107779</v>
      </c>
      <c r="L68" s="94">
        <f>'Balance Sheet'!L43/'Balance Sheet'!L$38</f>
        <v>0.56661567417303382</v>
      </c>
      <c r="M68" s="94">
        <f>'Balance Sheet'!M43/'Balance Sheet'!M$38</f>
        <v>0.56774874496364758</v>
      </c>
      <c r="N68" s="94">
        <f>'Balance Sheet'!N43/'Balance Sheet'!N$38</f>
        <v>0.56671134739883489</v>
      </c>
      <c r="O68" s="94">
        <f>'Balance Sheet'!O43/'Balance Sheet'!O$38</f>
        <v>0.56361019792190215</v>
      </c>
      <c r="P68" s="94">
        <f>'Balance Sheet'!P43/'Balance Sheet'!P$38</f>
        <v>0.55857348160804809</v>
      </c>
      <c r="Q68" s="94">
        <f>'Balance Sheet'!Q43/'Balance Sheet'!Q$38</f>
        <v>0.55184907685623774</v>
      </c>
    </row>
    <row r="69" spans="2:17" ht="16.5" x14ac:dyDescent="0.3">
      <c r="B69" s="17" t="s">
        <v>56</v>
      </c>
      <c r="C69" s="94">
        <f>'Balance Sheet'!C44/'Balance Sheet'!C$38</f>
        <v>0</v>
      </c>
      <c r="D69" s="94">
        <f>'Balance Sheet'!D44/'Balance Sheet'!D$38</f>
        <v>5.1849291393017633E-3</v>
      </c>
      <c r="E69" s="94">
        <f>'Balance Sheet'!E44/'Balance Sheet'!E$38</f>
        <v>-5.7587100489490354E-4</v>
      </c>
      <c r="F69" s="94">
        <f>'Balance Sheet'!F44/'Balance Sheet'!F$38</f>
        <v>-1.0645465570677807E-2</v>
      </c>
      <c r="G69" s="94">
        <f>'Balance Sheet'!G44/'Balance Sheet'!G$38</f>
        <v>-1.8229791316862556E-2</v>
      </c>
      <c r="H69" s="94">
        <f>'Balance Sheet'!H44/'Balance Sheet'!H$38</f>
        <v>-1.7818118471717274E-2</v>
      </c>
      <c r="I69" s="94">
        <f>'Balance Sheet'!I44/'Balance Sheet'!I$38</f>
        <v>-1.5941333900223446E-2</v>
      </c>
      <c r="J69" s="94">
        <f>'Balance Sheet'!J44/'Balance Sheet'!J$38</f>
        <v>-1.4257991831503858E-2</v>
      </c>
      <c r="K69" s="94">
        <f>'Balance Sheet'!K44/'Balance Sheet'!K$38</f>
        <v>-1.2737666263994706E-2</v>
      </c>
      <c r="L69" s="94">
        <f>'Balance Sheet'!L44/'Balance Sheet'!L$38</f>
        <v>-1.1356427913049133E-2</v>
      </c>
      <c r="M69" s="94">
        <f>'Balance Sheet'!M44/'Balance Sheet'!M$38</f>
        <v>-1.0095554323215405E-2</v>
      </c>
      <c r="N69" s="94">
        <f>'Balance Sheet'!N44/'Balance Sheet'!N$38</f>
        <v>-8.9405852898807592E-3</v>
      </c>
      <c r="O69" s="94">
        <f>'Balance Sheet'!O44/'Balance Sheet'!O$38</f>
        <v>-7.8805945876097832E-3</v>
      </c>
      <c r="P69" s="94">
        <f>'Balance Sheet'!P44/'Balance Sheet'!P$38</f>
        <v>-6.907582184796768E-3</v>
      </c>
      <c r="Q69" s="94">
        <f>'Balance Sheet'!Q44/'Balance Sheet'!Q$38</f>
        <v>-6.0147788940573335E-3</v>
      </c>
    </row>
    <row r="70" spans="2:17" ht="16.5" x14ac:dyDescent="0.3">
      <c r="B70" s="17" t="s">
        <v>53</v>
      </c>
      <c r="C70" s="94">
        <f>'Balance Sheet'!C45/'Balance Sheet'!C$38</f>
        <v>0</v>
      </c>
      <c r="D70" s="94">
        <f>'Balance Sheet'!D45/'Balance Sheet'!D$38</f>
        <v>0</v>
      </c>
      <c r="E70" s="94">
        <f>'Balance Sheet'!E45/'Balance Sheet'!E$38</f>
        <v>0</v>
      </c>
      <c r="F70" s="94">
        <f>'Balance Sheet'!F45/'Balance Sheet'!F$38</f>
        <v>0</v>
      </c>
      <c r="G70" s="94">
        <f>'Balance Sheet'!G45/'Balance Sheet'!G$38</f>
        <v>1.1993283761093787E-4</v>
      </c>
      <c r="H70" s="94">
        <f>'Balance Sheet'!H45/'Balance Sheet'!H$38</f>
        <v>1.172244636297189E-4</v>
      </c>
      <c r="I70" s="94">
        <f>'Balance Sheet'!I45/'Balance Sheet'!I$38</f>
        <v>1.0487719671199635E-4</v>
      </c>
      <c r="J70" s="94">
        <f>'Balance Sheet'!J45/'Balance Sheet'!J$38</f>
        <v>9.3802577838841169E-5</v>
      </c>
      <c r="K70" s="94">
        <f>'Balance Sheet'!K45/'Balance Sheet'!K$38</f>
        <v>8.3800435947333602E-5</v>
      </c>
      <c r="L70" s="94">
        <f>'Balance Sheet'!L45/'Balance Sheet'!L$38</f>
        <v>7.4713341533217981E-5</v>
      </c>
      <c r="M70" s="94">
        <f>'Balance Sheet'!M45/'Balance Sheet'!M$38</f>
        <v>6.6418120547469779E-5</v>
      </c>
      <c r="N70" s="94">
        <f>'Balance Sheet'!N45/'Balance Sheet'!N$38</f>
        <v>5.8819640065004999E-5</v>
      </c>
      <c r="O70" s="94">
        <f>'Balance Sheet'!O45/'Balance Sheet'!O$38</f>
        <v>5.1846017023748579E-5</v>
      </c>
      <c r="P70" s="94">
        <f>'Balance Sheet'!P45/'Balance Sheet'!P$38</f>
        <v>4.5444619636820844E-5</v>
      </c>
      <c r="Q70" s="94">
        <f>'Balance Sheet'!Q45/'Balance Sheet'!Q$38</f>
        <v>3.9570913776692986E-5</v>
      </c>
    </row>
    <row r="71" spans="2:17" x14ac:dyDescent="0.25">
      <c r="B71" s="4" t="s">
        <v>57</v>
      </c>
      <c r="C71" s="99">
        <f>'Balance Sheet'!C46/'Balance Sheet'!C$38</f>
        <v>0.58802177858439197</v>
      </c>
      <c r="D71" s="99">
        <f>'Balance Sheet'!D46/'Balance Sheet'!D$38</f>
        <v>0.57863809194607674</v>
      </c>
      <c r="E71" s="99">
        <f>'Balance Sheet'!E46/'Balance Sheet'!E$38</f>
        <v>0.54693348689893462</v>
      </c>
      <c r="F71" s="99">
        <f>'Balance Sheet'!F46/'Balance Sheet'!F$38</f>
        <v>0.51637245654224495</v>
      </c>
      <c r="G71" s="99">
        <f>'Balance Sheet'!G46/'Balance Sheet'!G$38</f>
        <v>0.47673302950347807</v>
      </c>
      <c r="H71" s="99">
        <f>'Balance Sheet'!H46/'Balance Sheet'!H$38</f>
        <v>0.5354724201563632</v>
      </c>
      <c r="I71" s="99">
        <f>'Balance Sheet'!I46/'Balance Sheet'!I$38</f>
        <v>0.54679216518294871</v>
      </c>
      <c r="J71" s="99">
        <f>'Balance Sheet'!J46/'Balance Sheet'!J$38</f>
        <v>0.55535668631065127</v>
      </c>
      <c r="K71" s="99">
        <f>'Balance Sheet'!K46/'Balance Sheet'!K$38</f>
        <v>0.5613671619302365</v>
      </c>
      <c r="L71" s="99">
        <f>'Balance Sheet'!L46/'Balance Sheet'!L$38</f>
        <v>0.5649719806593031</v>
      </c>
      <c r="M71" s="99">
        <f>'Balance Sheet'!M46/'Balance Sheet'!M$38</f>
        <v>0.56628754631160327</v>
      </c>
      <c r="N71" s="99">
        <f>'Balance Sheet'!N46/'Balance Sheet'!N$38</f>
        <v>0.5654173153174048</v>
      </c>
      <c r="O71" s="99">
        <f>'Balance Sheet'!O46/'Balance Sheet'!O$38</f>
        <v>0.56246958554737969</v>
      </c>
      <c r="P71" s="99">
        <f>'Balance Sheet'!P46/'Balance Sheet'!P$38</f>
        <v>0.55757369997603801</v>
      </c>
      <c r="Q71" s="99">
        <f>'Balance Sheet'!Q46/'Balance Sheet'!Q$38</f>
        <v>0.55097851675315046</v>
      </c>
    </row>
    <row r="72" spans="2:17" ht="16.5" x14ac:dyDescent="0.3">
      <c r="B72" s="2" t="s">
        <v>58</v>
      </c>
      <c r="C72" s="94">
        <f>'Balance Sheet'!C47/'Balance Sheet'!C$38</f>
        <v>3.2667876588021779E-3</v>
      </c>
      <c r="D72" s="94">
        <f>'Balance Sheet'!D47/'Balance Sheet'!D$38</f>
        <v>9.8513653646733496E-3</v>
      </c>
      <c r="E72" s="94">
        <f>'Balance Sheet'!E47/'Balance Sheet'!E$38</f>
        <v>2.2602936942124965E-2</v>
      </c>
      <c r="F72" s="94">
        <f>'Balance Sheet'!F47/'Balance Sheet'!F$38</f>
        <v>4.5411669586309121E-2</v>
      </c>
      <c r="G72" s="94">
        <f>'Balance Sheet'!G47/'Balance Sheet'!G$38</f>
        <v>3.490045574478292E-2</v>
      </c>
      <c r="H72" s="94">
        <f>'Balance Sheet'!H47/'Balance Sheet'!H$38</f>
        <v>3.4112318916248198E-2</v>
      </c>
      <c r="I72" s="94">
        <f>'Balance Sheet'!I47/'Balance Sheet'!I$38</f>
        <v>3.051926424319094E-2</v>
      </c>
      <c r="J72" s="94">
        <f>'Balance Sheet'!J47/'Balance Sheet'!J$38</f>
        <v>2.7296550151102782E-2</v>
      </c>
      <c r="K72" s="94">
        <f>'Balance Sheet'!K47/'Balance Sheet'!K$38</f>
        <v>2.4385926860674076E-2</v>
      </c>
      <c r="L72" s="94">
        <f>'Balance Sheet'!L47/'Balance Sheet'!L$38</f>
        <v>2.1741582386166431E-2</v>
      </c>
      <c r="M72" s="94">
        <f>'Balance Sheet'!M47/'Balance Sheet'!M$38</f>
        <v>1.9327673079313705E-2</v>
      </c>
      <c r="N72" s="94">
        <f>'Balance Sheet'!N47/'Balance Sheet'!N$38</f>
        <v>1.7116515258916453E-2</v>
      </c>
      <c r="O72" s="94">
        <f>'Balance Sheet'!O47/'Balance Sheet'!O$38</f>
        <v>1.5087190953910836E-2</v>
      </c>
      <c r="P72" s="94">
        <f>'Balance Sheet'!P47/'Balance Sheet'!P$38</f>
        <v>1.3224384314314866E-2</v>
      </c>
      <c r="Q72" s="94">
        <f>'Balance Sheet'!Q47/'Balance Sheet'!Q$38</f>
        <v>1.1515135909017659E-2</v>
      </c>
    </row>
    <row r="73" spans="2:17" ht="15.75" thickBot="1" x14ac:dyDescent="0.3">
      <c r="B73" s="13" t="s">
        <v>59</v>
      </c>
      <c r="C73" s="100">
        <f>'Balance Sheet'!C48/'Balance Sheet'!C$38</f>
        <v>0.59128856624319415</v>
      </c>
      <c r="D73" s="100">
        <f>'Balance Sheet'!D48/'Balance Sheet'!D$38</f>
        <v>0.58848945731075009</v>
      </c>
      <c r="E73" s="100">
        <f>'Balance Sheet'!E48/'Balance Sheet'!E$38</f>
        <v>0.56953642384105962</v>
      </c>
      <c r="F73" s="100">
        <f>'Balance Sheet'!F48/'Balance Sheet'!F$38</f>
        <v>0.56178412612855411</v>
      </c>
      <c r="G73" s="100">
        <f>'Balance Sheet'!G48/'Balance Sheet'!G$38</f>
        <v>0.51163348524826102</v>
      </c>
      <c r="H73" s="100">
        <f>'Balance Sheet'!H48/'Balance Sheet'!H$38</f>
        <v>0.56958473907261142</v>
      </c>
      <c r="I73" s="100">
        <f>'Balance Sheet'!I48/'Balance Sheet'!I$38</f>
        <v>0.57731142942613967</v>
      </c>
      <c r="J73" s="100">
        <f>'Balance Sheet'!J48/'Balance Sheet'!J$38</f>
        <v>0.58265323646175404</v>
      </c>
      <c r="K73" s="100">
        <f>'Balance Sheet'!K48/'Balance Sheet'!K$38</f>
        <v>0.58575308879091059</v>
      </c>
      <c r="L73" s="100">
        <f>'Balance Sheet'!L48/'Balance Sheet'!L$38</f>
        <v>0.58671356304546951</v>
      </c>
      <c r="M73" s="100">
        <f>'Balance Sheet'!M48/'Balance Sheet'!M$38</f>
        <v>0.58561521939091699</v>
      </c>
      <c r="N73" s="100">
        <f>'Balance Sheet'!N48/'Balance Sheet'!N$38</f>
        <v>0.58253383057632124</v>
      </c>
      <c r="O73" s="100">
        <f>'Balance Sheet'!O48/'Balance Sheet'!O$38</f>
        <v>0.57755677650129056</v>
      </c>
      <c r="P73" s="100">
        <f>'Balance Sheet'!P48/'Balance Sheet'!P$38</f>
        <v>0.57079808429035295</v>
      </c>
      <c r="Q73" s="100">
        <f>'Balance Sheet'!Q48/'Balance Sheet'!Q$38</f>
        <v>0.56249365266216811</v>
      </c>
    </row>
    <row r="74" spans="2:17" ht="15.75" thickTop="1" x14ac:dyDescent="0.25">
      <c r="B74" s="1" t="s">
        <v>60</v>
      </c>
      <c r="C74" s="94"/>
      <c r="D74" s="94"/>
      <c r="E74" s="94"/>
      <c r="F74" s="94"/>
      <c r="G74" s="94"/>
      <c r="H74" s="94"/>
      <c r="I74" s="94"/>
      <c r="J74" s="94"/>
      <c r="K74" s="94"/>
      <c r="L74" s="94"/>
      <c r="M74" s="94"/>
      <c r="N74" s="94"/>
      <c r="O74" s="94"/>
      <c r="P74" s="94"/>
      <c r="Q74" s="94"/>
    </row>
    <row r="75" spans="2:17" x14ac:dyDescent="0.25">
      <c r="B75" s="1" t="s">
        <v>61</v>
      </c>
      <c r="C75" s="94"/>
      <c r="D75" s="94"/>
      <c r="E75" s="94"/>
      <c r="F75" s="94"/>
      <c r="G75" s="94"/>
      <c r="H75" s="94"/>
      <c r="I75" s="94"/>
      <c r="J75" s="94"/>
      <c r="K75" s="94"/>
      <c r="L75" s="94"/>
      <c r="M75" s="94"/>
      <c r="N75" s="94"/>
      <c r="O75" s="94"/>
      <c r="P75" s="94"/>
      <c r="Q75" s="94"/>
    </row>
    <row r="76" spans="2:17" ht="16.5" x14ac:dyDescent="0.3">
      <c r="B76" s="2" t="s">
        <v>62</v>
      </c>
      <c r="C76" s="94"/>
      <c r="D76" s="94"/>
      <c r="E76" s="94"/>
      <c r="F76" s="94"/>
      <c r="G76" s="94"/>
      <c r="H76" s="94"/>
      <c r="I76" s="94"/>
      <c r="J76" s="94"/>
      <c r="K76" s="94"/>
      <c r="L76" s="94"/>
      <c r="M76" s="94"/>
      <c r="N76" s="94"/>
      <c r="O76" s="94"/>
      <c r="P76" s="94"/>
      <c r="Q76" s="94"/>
    </row>
    <row r="77" spans="2:17" ht="16.5" x14ac:dyDescent="0.3">
      <c r="B77" s="2" t="s">
        <v>63</v>
      </c>
      <c r="C77" s="94">
        <f>'Balance Sheet'!C52/'Balance Sheet'!C$38</f>
        <v>1.4519056261343012E-3</v>
      </c>
      <c r="D77" s="94">
        <f>'Balance Sheet'!D52/'Balance Sheet'!D$38</f>
        <v>0</v>
      </c>
      <c r="E77" s="94">
        <f>'Balance Sheet'!E52/'Balance Sheet'!E$38</f>
        <v>2.8793550244745177E-4</v>
      </c>
      <c r="F77" s="94">
        <f>'Balance Sheet'!F52/'Balance Sheet'!F$38</f>
        <v>0</v>
      </c>
      <c r="G77" s="94">
        <f>'Balance Sheet'!G52/'Balance Sheet'!G$38</f>
        <v>0</v>
      </c>
      <c r="H77" s="94">
        <f>'Balance Sheet'!H52/'Balance Sheet'!H$38</f>
        <v>3.3249501382577894E-4</v>
      </c>
      <c r="I77" s="94">
        <f>'Balance Sheet'!I52/'Balance Sheet'!I$38</f>
        <v>3.2652615944457386E-4</v>
      </c>
      <c r="J77" s="94">
        <f>'Balance Sheet'!J52/'Balance Sheet'!J$38</f>
        <v>3.2239962313093489E-4</v>
      </c>
      <c r="K77" s="94">
        <f>'Balance Sheet'!K52/'Balance Sheet'!K$38</f>
        <v>3.2000499278994745E-4</v>
      </c>
      <c r="L77" s="94">
        <f>'Balance Sheet'!L52/'Balance Sheet'!L$38</f>
        <v>3.192630281582551E-4</v>
      </c>
      <c r="M77" s="94">
        <f>'Balance Sheet'!M52/'Balance Sheet'!M$38</f>
        <v>3.2011149665311971E-4</v>
      </c>
      <c r="N77" s="94">
        <f>'Balance Sheet'!N52/'Balance Sheet'!N$38</f>
        <v>3.2249186396236449E-4</v>
      </c>
      <c r="O77" s="94">
        <f>'Balance Sheet'!O52/'Balance Sheet'!O$38</f>
        <v>3.2633662927092594E-4</v>
      </c>
      <c r="P77" s="94">
        <f>'Balance Sheet'!P52/'Balance Sheet'!P$38</f>
        <v>3.315577068304851E-4</v>
      </c>
      <c r="Q77" s="94">
        <f>'Balance Sheet'!Q52/'Balance Sheet'!Q$38</f>
        <v>3.3797286530576619E-4</v>
      </c>
    </row>
    <row r="78" spans="2:17" ht="16.5" x14ac:dyDescent="0.3">
      <c r="B78" s="2" t="s">
        <v>64</v>
      </c>
      <c r="C78" s="94">
        <f>'Balance Sheet'!C53/'Balance Sheet'!C$38</f>
        <v>2.2141560798548093E-2</v>
      </c>
      <c r="D78" s="94">
        <f>'Balance Sheet'!D53/'Balance Sheet'!D$38</f>
        <v>1.5727618389215346E-2</v>
      </c>
      <c r="E78" s="94">
        <f>'Balance Sheet'!E53/'Balance Sheet'!E$38</f>
        <v>1.3101065361359056E-2</v>
      </c>
      <c r="F78" s="94">
        <f>'Balance Sheet'!F53/'Balance Sheet'!F$38</f>
        <v>1.4014283789246733E-2</v>
      </c>
      <c r="G78" s="94">
        <f>'Balance Sheet'!G53/'Balance Sheet'!G$38</f>
        <v>1.4871671863756297E-2</v>
      </c>
      <c r="H78" s="94">
        <f>'Balance Sheet'!H53/'Balance Sheet'!H$38</f>
        <v>1.5605480006673465E-2</v>
      </c>
      <c r="I78" s="94">
        <f>'Balance Sheet'!I53/'Balance Sheet'!I$38</f>
        <v>1.5325334940325347E-2</v>
      </c>
      <c r="J78" s="94">
        <f>'Balance Sheet'!J53/'Balance Sheet'!J$38</f>
        <v>1.5131658111315669E-2</v>
      </c>
      <c r="K78" s="94">
        <f>'Balance Sheet'!K53/'Balance Sheet'!K$38</f>
        <v>1.5019267385573137E-2</v>
      </c>
      <c r="L78" s="94">
        <f>'Balance Sheet'!L53/'Balance Sheet'!L$38</f>
        <v>1.4984443662677848E-2</v>
      </c>
      <c r="M78" s="94">
        <f>'Balance Sheet'!M53/'Balance Sheet'!M$38</f>
        <v>1.5024266088826588E-2</v>
      </c>
      <c r="N78" s="94">
        <f>'Balance Sheet'!N53/'Balance Sheet'!N$38</f>
        <v>1.5135987386615505E-2</v>
      </c>
      <c r="O78" s="94">
        <f>'Balance Sheet'!O53/'Balance Sheet'!O$38</f>
        <v>1.5316439440505687E-2</v>
      </c>
      <c r="P78" s="94">
        <f>'Balance Sheet'!P53/'Balance Sheet'!P$38</f>
        <v>1.5561487991855347E-2</v>
      </c>
      <c r="Q78" s="94">
        <f>'Balance Sheet'!Q53/'Balance Sheet'!Q$38</f>
        <v>1.5862580108015913E-2</v>
      </c>
    </row>
    <row r="79" spans="2:17" ht="16.5" x14ac:dyDescent="0.3">
      <c r="B79" s="2" t="s">
        <v>65</v>
      </c>
      <c r="C79" s="94">
        <f>'Balance Sheet'!C54/'Balance Sheet'!C$38</f>
        <v>0</v>
      </c>
      <c r="D79" s="94">
        <f>'Balance Sheet'!D54/'Balance Sheet'!D$38</f>
        <v>0</v>
      </c>
      <c r="E79" s="94">
        <f>'Balance Sheet'!E54/'Balance Sheet'!E$38</f>
        <v>3.8295421825511086E-2</v>
      </c>
      <c r="F79" s="94">
        <f>'Balance Sheet'!F54/'Balance Sheet'!F$38</f>
        <v>5.45748551408166E-2</v>
      </c>
      <c r="G79" s="94">
        <f>'Balance Sheet'!G54/'Balance Sheet'!G$38</f>
        <v>0.14523866634684576</v>
      </c>
      <c r="H79" s="94">
        <f>'Balance Sheet'!H54/'Balance Sheet'!H$38</f>
        <v>5.020068686838957E-2</v>
      </c>
      <c r="I79" s="94">
        <f>'Balance Sheet'!I54/'Balance Sheet'!I$38</f>
        <v>4.9299498648132836E-2</v>
      </c>
      <c r="J79" s="94">
        <f>'Balance Sheet'!J54/'Balance Sheet'!J$38</f>
        <v>4.8676466877074234E-2</v>
      </c>
      <c r="K79" s="94">
        <f>'Balance Sheet'!K54/'Balance Sheet'!K$38</f>
        <v>4.8314921341307368E-2</v>
      </c>
      <c r="L79" s="94">
        <f>'Balance Sheet'!L54/'Balance Sheet'!L$38</f>
        <v>4.8202898205337796E-2</v>
      </c>
      <c r="M79" s="94">
        <f>'Balance Sheet'!M54/'Balance Sheet'!M$38</f>
        <v>4.8331001483454046E-2</v>
      </c>
      <c r="N79" s="94">
        <f>'Balance Sheet'!N54/'Balance Sheet'!N$38</f>
        <v>4.8690393561392889E-2</v>
      </c>
      <c r="O79" s="94">
        <f>'Balance Sheet'!O54/'Balance Sheet'!O$38</f>
        <v>4.9270883046383093E-2</v>
      </c>
      <c r="P79" s="94">
        <f>'Balance Sheet'!P54/'Balance Sheet'!P$38</f>
        <v>5.0059170595923137E-2</v>
      </c>
      <c r="Q79" s="94">
        <f>'Balance Sheet'!Q54/'Balance Sheet'!Q$38</f>
        <v>5.1027742599825204E-2</v>
      </c>
    </row>
    <row r="80" spans="2:17" ht="16.5" x14ac:dyDescent="0.3">
      <c r="B80" s="2" t="s">
        <v>66</v>
      </c>
      <c r="C80" s="94">
        <f>'Balance Sheet'!C55/'Balance Sheet'!C$38</f>
        <v>1.8148820326678765E-4</v>
      </c>
      <c r="D80" s="94">
        <f>'Balance Sheet'!D55/'Balance Sheet'!D$38</f>
        <v>1.7283097131005876E-4</v>
      </c>
      <c r="E80" s="94">
        <f>'Balance Sheet'!E55/'Balance Sheet'!E$38</f>
        <v>5.7587100489490354E-4</v>
      </c>
      <c r="F80" s="94">
        <f>'Balance Sheet'!F55/'Balance Sheet'!F$38</f>
        <v>1.3475272874275703E-4</v>
      </c>
      <c r="G80" s="94">
        <f>'Balance Sheet'!G55/'Balance Sheet'!G$38</f>
        <v>1.1993283761093787E-4</v>
      </c>
      <c r="H80" s="94">
        <f>'Balance Sheet'!H55/'Balance Sheet'!H$38</f>
        <v>2.315723643842433E-4</v>
      </c>
      <c r="I80" s="94">
        <f>'Balance Sheet'!I55/'Balance Sheet'!I$38</f>
        <v>2.2741524423432983E-4</v>
      </c>
      <c r="J80" s="94">
        <f>'Balance Sheet'!J55/'Balance Sheet'!J$38</f>
        <v>2.2454124092260639E-4</v>
      </c>
      <c r="K80" s="94">
        <f>'Balance Sheet'!K55/'Balance Sheet'!K$38</f>
        <v>2.2287345588274025E-4</v>
      </c>
      <c r="L80" s="94">
        <f>'Balance Sheet'!L55/'Balance Sheet'!L$38</f>
        <v>2.2235670075287082E-4</v>
      </c>
      <c r="M80" s="94">
        <f>'Balance Sheet'!M55/'Balance Sheet'!M$38</f>
        <v>2.2294763248805854E-4</v>
      </c>
      <c r="N80" s="94">
        <f>'Balance Sheet'!N55/'Balance Sheet'!N$38</f>
        <v>2.2460548377299124E-4</v>
      </c>
      <c r="O80" s="94">
        <f>'Balance Sheet'!O55/'Balance Sheet'!O$38</f>
        <v>2.272832424038999E-4</v>
      </c>
      <c r="P80" s="94">
        <f>'Balance Sheet'!P55/'Balance Sheet'!P$38</f>
        <v>2.3091955941566169E-4</v>
      </c>
      <c r="Q80" s="94">
        <f>'Balance Sheet'!Q55/'Balance Sheet'!Q$38</f>
        <v>2.3538751639019502E-4</v>
      </c>
    </row>
    <row r="81" spans="2:17" ht="16.5" x14ac:dyDescent="0.3">
      <c r="B81" s="2" t="s">
        <v>67</v>
      </c>
      <c r="C81" s="94">
        <f>'Balance Sheet'!C56/'Balance Sheet'!C$38</f>
        <v>4.3557168784029042E-3</v>
      </c>
      <c r="D81" s="94">
        <f>'Balance Sheet'!D56/'Balance Sheet'!D$38</f>
        <v>4.6664362253715863E-3</v>
      </c>
      <c r="E81" s="94">
        <f>'Balance Sheet'!E56/'Balance Sheet'!E$38</f>
        <v>2.8793550244745176E-3</v>
      </c>
      <c r="F81" s="94">
        <f>'Balance Sheet'!F56/'Balance Sheet'!F$38</f>
        <v>2.5603018461123838E-3</v>
      </c>
      <c r="G81" s="94">
        <f>'Balance Sheet'!G56/'Balance Sheet'!G$38</f>
        <v>3.2381866154953228E-3</v>
      </c>
      <c r="H81" s="94">
        <f>'Balance Sheet'!H56/'Balance Sheet'!H$38</f>
        <v>3.4196379931491485E-3</v>
      </c>
      <c r="I81" s="94">
        <f>'Balance Sheet'!I56/'Balance Sheet'!I$38</f>
        <v>3.3582496403354164E-3</v>
      </c>
      <c r="J81" s="94">
        <f>'Balance Sheet'!J56/'Balance Sheet'!J$38</f>
        <v>3.3158091231202513E-3</v>
      </c>
      <c r="K81" s="94">
        <f>'Balance Sheet'!K56/'Balance Sheet'!K$38</f>
        <v>3.2911808774230725E-3</v>
      </c>
      <c r="L81" s="94">
        <f>'Balance Sheet'!L56/'Balance Sheet'!L$38</f>
        <v>3.2835499345860233E-3</v>
      </c>
      <c r="M81" s="94">
        <f>'Balance Sheet'!M56/'Balance Sheet'!M$38</f>
        <v>3.2922762462008781E-3</v>
      </c>
      <c r="N81" s="94">
        <f>'Balance Sheet'!N56/'Balance Sheet'!N$38</f>
        <v>3.3167577997576751E-3</v>
      </c>
      <c r="O81" s="94">
        <f>'Balance Sheet'!O56/'Balance Sheet'!O$38</f>
        <v>3.3563003642389207E-3</v>
      </c>
      <c r="P81" s="94">
        <f>'Balance Sheet'!P56/'Balance Sheet'!P$38</f>
        <v>3.4099979971219277E-3</v>
      </c>
      <c r="Q81" s="94">
        <f>'Balance Sheet'!Q56/'Balance Sheet'!Q$38</f>
        <v>3.4759764892554625E-3</v>
      </c>
    </row>
    <row r="82" spans="2:17" ht="16.5" x14ac:dyDescent="0.3">
      <c r="B82" s="2" t="s">
        <v>68</v>
      </c>
      <c r="C82" s="94">
        <f>'Balance Sheet'!C57/'Balance Sheet'!C$38</f>
        <v>1.5245009074410164E-2</v>
      </c>
      <c r="D82" s="94">
        <f>'Balance Sheet'!D57/'Balance Sheet'!D$38</f>
        <v>1.8838575872796404E-2</v>
      </c>
      <c r="E82" s="94">
        <f>'Balance Sheet'!E57/'Balance Sheet'!E$38</f>
        <v>2.5626259717823209E-2</v>
      </c>
      <c r="F82" s="94">
        <f>'Balance Sheet'!F57/'Balance Sheet'!F$38</f>
        <v>3.7596011319229211E-2</v>
      </c>
      <c r="G82" s="94">
        <f>'Balance Sheet'!G57/'Balance Sheet'!G$38</f>
        <v>2.9743343727512594E-2</v>
      </c>
      <c r="H82" s="94">
        <f>'Balance Sheet'!H57/'Balance Sheet'!H$38</f>
        <v>2.5495065412598952E-2</v>
      </c>
      <c r="I82" s="94">
        <f>'Balance Sheet'!I57/'Balance Sheet'!I$38</f>
        <v>2.5037385367607846E-2</v>
      </c>
      <c r="J82" s="94">
        <f>'Balance Sheet'!J57/'Balance Sheet'!J$38</f>
        <v>2.4720970658006165E-2</v>
      </c>
      <c r="K82" s="94">
        <f>'Balance Sheet'!K57/'Balance Sheet'!K$38</f>
        <v>2.4537355100948642E-2</v>
      </c>
      <c r="L82" s="94">
        <f>'Balance Sheet'!L57/'Balance Sheet'!L$38</f>
        <v>2.4480462708484842E-2</v>
      </c>
      <c r="M82" s="94">
        <f>'Balance Sheet'!M57/'Balance Sheet'!M$38</f>
        <v>2.4545521608250593E-2</v>
      </c>
      <c r="N82" s="94">
        <f>'Balance Sheet'!N57/'Balance Sheet'!N$38</f>
        <v>2.4728043504013537E-2</v>
      </c>
      <c r="O82" s="94">
        <f>'Balance Sheet'!O57/'Balance Sheet'!O$38</f>
        <v>2.5022852565689351E-2</v>
      </c>
      <c r="P82" s="94">
        <f>'Balance Sheet'!P57/'Balance Sheet'!P$38</f>
        <v>2.5423194550892661E-2</v>
      </c>
      <c r="Q82" s="94">
        <f>'Balance Sheet'!Q57/'Balance Sheet'!Q$38</f>
        <v>2.5915096318313388E-2</v>
      </c>
    </row>
    <row r="83" spans="2:17" x14ac:dyDescent="0.25">
      <c r="B83" s="4" t="s">
        <v>69</v>
      </c>
      <c r="C83" s="99">
        <f>'Balance Sheet'!C58/'Balance Sheet'!C$38</f>
        <v>4.3375680580762251E-2</v>
      </c>
      <c r="D83" s="99">
        <f>'Balance Sheet'!D58/'Balance Sheet'!D$38</f>
        <v>3.9405461458693399E-2</v>
      </c>
      <c r="E83" s="99">
        <f>'Balance Sheet'!E58/'Balance Sheet'!E$38</f>
        <v>8.0765908436510228E-2</v>
      </c>
      <c r="F83" s="99">
        <f>'Balance Sheet'!F58/'Balance Sheet'!F$38</f>
        <v>0.10888020482414769</v>
      </c>
      <c r="G83" s="99">
        <f>'Balance Sheet'!G58/'Balance Sheet'!G$38</f>
        <v>0.19321180139122091</v>
      </c>
      <c r="H83" s="99">
        <f>'Balance Sheet'!H58/'Balance Sheet'!H$38</f>
        <v>9.5284937659021157E-2</v>
      </c>
      <c r="I83" s="99">
        <f>'Balance Sheet'!I58/'Balance Sheet'!I$38</f>
        <v>9.3574410000080363E-2</v>
      </c>
      <c r="J83" s="99">
        <f>'Balance Sheet'!J58/'Balance Sheet'!J$38</f>
        <v>9.2391845633569863E-2</v>
      </c>
      <c r="K83" s="99">
        <f>'Balance Sheet'!K58/'Balance Sheet'!K$38</f>
        <v>9.1705603153924911E-2</v>
      </c>
      <c r="L83" s="99">
        <f>'Balance Sheet'!L58/'Balance Sheet'!L$38</f>
        <v>9.1492974239997624E-2</v>
      </c>
      <c r="M83" s="99">
        <f>'Balance Sheet'!M58/'Balance Sheet'!M$38</f>
        <v>9.173612455587328E-2</v>
      </c>
      <c r="N83" s="99">
        <f>'Balance Sheet'!N58/'Balance Sheet'!N$38</f>
        <v>9.2418279599514971E-2</v>
      </c>
      <c r="O83" s="99">
        <f>'Balance Sheet'!O58/'Balance Sheet'!O$38</f>
        <v>9.3520095288491895E-2</v>
      </c>
      <c r="P83" s="99">
        <f>'Balance Sheet'!P58/'Balance Sheet'!P$38</f>
        <v>9.5016328402039232E-2</v>
      </c>
      <c r="Q83" s="99">
        <f>'Balance Sheet'!Q58/'Balance Sheet'!Q$38</f>
        <v>9.6854755897105946E-2</v>
      </c>
    </row>
    <row r="84" spans="2:17" x14ac:dyDescent="0.25">
      <c r="B84" s="1" t="s">
        <v>70</v>
      </c>
      <c r="C84" s="94"/>
      <c r="D84" s="94"/>
      <c r="E84" s="94"/>
      <c r="F84" s="94"/>
      <c r="G84" s="94"/>
      <c r="H84" s="94"/>
      <c r="I84" s="94"/>
      <c r="J84" s="94"/>
      <c r="K84" s="94"/>
      <c r="L84" s="94"/>
      <c r="M84" s="94"/>
      <c r="N84" s="94"/>
      <c r="O84" s="94"/>
      <c r="P84" s="94"/>
      <c r="Q84" s="94"/>
    </row>
    <row r="85" spans="2:17" ht="16.5" x14ac:dyDescent="0.3">
      <c r="B85" s="2" t="s">
        <v>62</v>
      </c>
      <c r="C85" s="94"/>
      <c r="D85" s="94"/>
      <c r="E85" s="94"/>
      <c r="F85" s="94"/>
      <c r="G85" s="94"/>
      <c r="H85" s="94"/>
      <c r="I85" s="94"/>
      <c r="J85" s="94"/>
      <c r="K85" s="94"/>
      <c r="L85" s="94"/>
      <c r="M85" s="94"/>
      <c r="N85" s="94"/>
      <c r="O85" s="94"/>
      <c r="P85" s="94"/>
      <c r="Q85" s="94"/>
    </row>
    <row r="86" spans="2:17" ht="16.5" x14ac:dyDescent="0.3">
      <c r="B86" s="2" t="s">
        <v>71</v>
      </c>
      <c r="C86" s="94">
        <f>'Balance Sheet'!C61/'Balance Sheet'!C$38</f>
        <v>6.1705989110707807E-2</v>
      </c>
      <c r="D86" s="94">
        <f>'Balance Sheet'!D61/'Balance Sheet'!D$38</f>
        <v>5.9626685101970271E-2</v>
      </c>
      <c r="E86" s="94">
        <f>'Balance Sheet'!E61/'Balance Sheet'!E$38</f>
        <v>6.8096746328822344E-2</v>
      </c>
      <c r="F86" s="94">
        <f>'Balance Sheet'!F61/'Balance Sheet'!F$38</f>
        <v>5.1610295108475944E-2</v>
      </c>
      <c r="G86" s="94">
        <f>'Balance Sheet'!G61/'Balance Sheet'!G$38</f>
        <v>4.5454545454545456E-2</v>
      </c>
      <c r="H86" s="94">
        <f>'Balance Sheet'!H61/'Balance Sheet'!H$38</f>
        <v>5.5919776467111909E-2</v>
      </c>
      <c r="I86" s="94">
        <f>'Balance Sheet'!I61/'Balance Sheet'!I$38</f>
        <v>5.4915920803469923E-2</v>
      </c>
      <c r="J86" s="94">
        <f>'Balance Sheet'!J61/'Balance Sheet'!J$38</f>
        <v>5.4221910431443643E-2</v>
      </c>
      <c r="K86" s="94">
        <f>'Balance Sheet'!K61/'Balance Sheet'!K$38</f>
        <v>5.3819175990861785E-2</v>
      </c>
      <c r="L86" s="94">
        <f>'Balance Sheet'!L61/'Balance Sheet'!L$38</f>
        <v>5.3694390671908156E-2</v>
      </c>
      <c r="M86" s="94">
        <f>'Balance Sheet'!M61/'Balance Sheet'!M$38</f>
        <v>5.3837088055626148E-2</v>
      </c>
      <c r="N86" s="94">
        <f>'Balance Sheet'!N61/'Balance Sheet'!N$38</f>
        <v>5.4237423706711543E-2</v>
      </c>
      <c r="O86" s="94">
        <f>'Balance Sheet'!O61/'Balance Sheet'!O$38</f>
        <v>5.4884045182773483E-2</v>
      </c>
      <c r="P86" s="94">
        <f>'Balance Sheet'!P61/'Balance Sheet'!P$38</f>
        <v>5.576213801998213E-2</v>
      </c>
      <c r="Q86" s="94">
        <f>'Balance Sheet'!Q61/'Balance Sheet'!Q$38</f>
        <v>5.6841054133072423E-2</v>
      </c>
    </row>
    <row r="87" spans="2:17" ht="16.5" x14ac:dyDescent="0.3">
      <c r="B87" s="2" t="s">
        <v>72</v>
      </c>
      <c r="C87" s="94">
        <f>'Balance Sheet'!C62/'Balance Sheet'!C$38</f>
        <v>6.8965517241379309E-3</v>
      </c>
      <c r="D87" s="94">
        <f>'Balance Sheet'!D62/'Balance Sheet'!D$38</f>
        <v>7.4317317663325265E-3</v>
      </c>
      <c r="E87" s="94">
        <f>'Balance Sheet'!E62/'Balance Sheet'!E$38</f>
        <v>6.0466455513964873E-3</v>
      </c>
      <c r="F87" s="94">
        <f>'Balance Sheet'!F62/'Balance Sheet'!F$38</f>
        <v>5.5248618784530384E-3</v>
      </c>
      <c r="G87" s="94">
        <f>'Balance Sheet'!G62/'Balance Sheet'!G$38</f>
        <v>6.1165747181578314E-3</v>
      </c>
      <c r="H87" s="94">
        <f>'Balance Sheet'!H62/'Balance Sheet'!H$38</f>
        <v>6.2401256172661696E-3</v>
      </c>
      <c r="I87" s="94">
        <f>'Balance Sheet'!I62/'Balance Sheet'!I$38</f>
        <v>6.1281046858803964E-3</v>
      </c>
      <c r="J87" s="94">
        <f>'Balance Sheet'!J62/'Balance Sheet'!J$38</f>
        <v>6.0506595998172106E-3</v>
      </c>
      <c r="K87" s="94">
        <f>'Balance Sheet'!K62/'Balance Sheet'!K$38</f>
        <v>6.0057181916356468E-3</v>
      </c>
      <c r="L87" s="94">
        <f>'Balance Sheet'!L62/'Balance Sheet'!L$38</f>
        <v>5.9917933136290407E-3</v>
      </c>
      <c r="M87" s="94">
        <f>'Balance Sheet'!M62/'Balance Sheet'!M$38</f>
        <v>6.0077170110382962E-3</v>
      </c>
      <c r="N87" s="94">
        <f>'Balance Sheet'!N62/'Balance Sheet'!N$38</f>
        <v>6.0523907366801027E-3</v>
      </c>
      <c r="O87" s="94">
        <f>'Balance Sheet'!O62/'Balance Sheet'!O$38</f>
        <v>6.1245476638420284E-3</v>
      </c>
      <c r="P87" s="94">
        <f>'Balance Sheet'!P62/'Balance Sheet'!P$38</f>
        <v>6.2225346365014454E-3</v>
      </c>
      <c r="Q87" s="94">
        <f>'Balance Sheet'!Q62/'Balance Sheet'!Q$38</f>
        <v>6.3429316141276997E-3</v>
      </c>
    </row>
    <row r="88" spans="2:17" x14ac:dyDescent="0.25">
      <c r="B88" s="1" t="s">
        <v>73</v>
      </c>
      <c r="C88" s="94"/>
      <c r="D88" s="94"/>
      <c r="E88" s="94"/>
      <c r="F88" s="94"/>
      <c r="G88" s="94"/>
      <c r="H88" s="94"/>
      <c r="I88" s="94"/>
      <c r="J88" s="94"/>
      <c r="K88" s="94"/>
      <c r="L88" s="94"/>
      <c r="M88" s="94"/>
      <c r="N88" s="94"/>
      <c r="O88" s="94"/>
      <c r="P88" s="94"/>
      <c r="Q88" s="94"/>
    </row>
    <row r="89" spans="2:17" ht="16.5" x14ac:dyDescent="0.3">
      <c r="B89" s="2" t="s">
        <v>74</v>
      </c>
      <c r="C89" s="94">
        <f>'Balance Sheet'!C64/'Balance Sheet'!C$38</f>
        <v>9.0744101633393835E-3</v>
      </c>
      <c r="D89" s="94">
        <f>'Balance Sheet'!D64/'Balance Sheet'!D$38</f>
        <v>1.3135153819564467E-2</v>
      </c>
      <c r="E89" s="94">
        <f>'Balance Sheet'!E64/'Balance Sheet'!E$38</f>
        <v>9.7898070832133609E-3</v>
      </c>
      <c r="F89" s="94">
        <f>'Balance Sheet'!F64/'Balance Sheet'!F$38</f>
        <v>9.5674437407357506E-3</v>
      </c>
      <c r="G89" s="94">
        <f>'Balance Sheet'!G64/'Balance Sheet'!G$38</f>
        <v>1.0674022547373471E-2</v>
      </c>
      <c r="H89" s="94">
        <f>'Balance Sheet'!H64/'Balance Sheet'!H$38</f>
        <v>0</v>
      </c>
      <c r="I89" s="94">
        <f>'Balance Sheet'!I64/'Balance Sheet'!I$38</f>
        <v>0</v>
      </c>
      <c r="J89" s="94">
        <f>'Balance Sheet'!J64/'Balance Sheet'!J$38</f>
        <v>0</v>
      </c>
      <c r="K89" s="94">
        <f>'Balance Sheet'!K64/'Balance Sheet'!K$38</f>
        <v>0</v>
      </c>
      <c r="L89" s="94">
        <f>'Balance Sheet'!L64/'Balance Sheet'!L$38</f>
        <v>0</v>
      </c>
      <c r="M89" s="94">
        <f>'Balance Sheet'!M64/'Balance Sheet'!M$38</f>
        <v>0</v>
      </c>
      <c r="N89" s="94">
        <f>'Balance Sheet'!N64/'Balance Sheet'!N$38</f>
        <v>0</v>
      </c>
      <c r="O89" s="94">
        <f>'Balance Sheet'!O64/'Balance Sheet'!O$38</f>
        <v>0</v>
      </c>
      <c r="P89" s="94">
        <f>'Balance Sheet'!P64/'Balance Sheet'!P$38</f>
        <v>0</v>
      </c>
      <c r="Q89" s="94">
        <f>'Balance Sheet'!Q64/'Balance Sheet'!Q$38</f>
        <v>0</v>
      </c>
    </row>
    <row r="90" spans="2:17" ht="16.5" x14ac:dyDescent="0.3">
      <c r="B90" s="2" t="s">
        <v>75</v>
      </c>
      <c r="C90" s="94">
        <f>'Balance Sheet'!C65/'Balance Sheet'!C$38</f>
        <v>0.19673321234119781</v>
      </c>
      <c r="D90" s="94">
        <f>'Balance Sheet'!D65/'Balance Sheet'!D$38</f>
        <v>0.21914967162115451</v>
      </c>
      <c r="E90" s="94">
        <f>'Balance Sheet'!E65/'Balance Sheet'!E$38</f>
        <v>0.19925136769363663</v>
      </c>
      <c r="F90" s="94">
        <f>'Balance Sheet'!F65/'Balance Sheet'!F$38</f>
        <v>0.20347662040156314</v>
      </c>
      <c r="G90" s="94">
        <f>'Balance Sheet'!G65/'Balance Sheet'!G$38</f>
        <v>0.15279443511633486</v>
      </c>
      <c r="H90" s="94">
        <f>'Balance Sheet'!H65/'Balance Sheet'!H$38</f>
        <v>0.20058986538395285</v>
      </c>
      <c r="I90" s="94">
        <f>'Balance Sheet'!I65/'Balance Sheet'!I$38</f>
        <v>0.19698893410066542</v>
      </c>
      <c r="J90" s="94">
        <f>'Balance Sheet'!J65/'Balance Sheet'!J$38</f>
        <v>0.19449944905807601</v>
      </c>
      <c r="K90" s="94">
        <f>'Balance Sheet'!K65/'Balance Sheet'!K$38</f>
        <v>0.19305480009261911</v>
      </c>
      <c r="L90" s="94">
        <f>'Balance Sheet'!L65/'Balance Sheet'!L$38</f>
        <v>0.19260718259640955</v>
      </c>
      <c r="M90" s="94">
        <f>'Balance Sheet'!M65/'Balance Sheet'!M$38</f>
        <v>0.19311905247141647</v>
      </c>
      <c r="N90" s="94">
        <f>'Balance Sheet'!N65/'Balance Sheet'!N$38</f>
        <v>0.19455509673755991</v>
      </c>
      <c r="O90" s="94">
        <f>'Balance Sheet'!O65/'Balance Sheet'!O$38</f>
        <v>0.19687459304158969</v>
      </c>
      <c r="P90" s="94">
        <f>'Balance Sheet'!P65/'Balance Sheet'!P$38</f>
        <v>0.20002440041097153</v>
      </c>
      <c r="Q90" s="94">
        <f>'Balance Sheet'!Q65/'Balance Sheet'!Q$38</f>
        <v>0.2038945810797487</v>
      </c>
    </row>
    <row r="91" spans="2:17" ht="16.5" x14ac:dyDescent="0.3">
      <c r="B91" s="2" t="s">
        <v>76</v>
      </c>
      <c r="C91" s="94">
        <f>'Balance Sheet'!C66/'Balance Sheet'!C$38</f>
        <v>7.9854809437386563E-3</v>
      </c>
      <c r="D91" s="94">
        <f>'Balance Sheet'!D66/'Balance Sheet'!D$38</f>
        <v>7.7773937089526445E-3</v>
      </c>
      <c r="E91" s="94">
        <f>'Balance Sheet'!E66/'Balance Sheet'!E$38</f>
        <v>5.7587100489490351E-3</v>
      </c>
      <c r="F91" s="94">
        <f>'Balance Sheet'!F66/'Balance Sheet'!F$38</f>
        <v>7.9504109958226654E-3</v>
      </c>
      <c r="G91" s="94">
        <f>'Balance Sheet'!G66/'Balance Sheet'!G$38</f>
        <v>2.7704485488126648E-2</v>
      </c>
      <c r="H91" s="94">
        <f>'Balance Sheet'!H66/'Balance Sheet'!H$38</f>
        <v>1.1574663040666998E-2</v>
      </c>
      <c r="I91" s="94">
        <f>'Balance Sheet'!I66/'Balance Sheet'!I$38</f>
        <v>1.1366878035393331E-2</v>
      </c>
      <c r="J91" s="94">
        <f>'Balance Sheet'!J66/'Balance Sheet'!J$38</f>
        <v>1.1223226956822646E-2</v>
      </c>
      <c r="K91" s="94">
        <f>'Balance Sheet'!K66/'Balance Sheet'!K$38</f>
        <v>1.1139866190040109E-2</v>
      </c>
      <c r="L91" s="94">
        <f>'Balance Sheet'!L66/'Balance Sheet'!L$38</f>
        <v>1.111403725955145E-2</v>
      </c>
      <c r="M91" s="94">
        <f>'Balance Sheet'!M66/'Balance Sheet'!M$38</f>
        <v>1.114357375339441E-2</v>
      </c>
      <c r="N91" s="94">
        <f>'Balance Sheet'!N66/'Balance Sheet'!N$38</f>
        <v>1.1226438002095489E-2</v>
      </c>
      <c r="O91" s="94">
        <f>'Balance Sheet'!O66/'Balance Sheet'!O$38</f>
        <v>1.1360280198418957E-2</v>
      </c>
      <c r="P91" s="94">
        <f>'Balance Sheet'!P66/'Balance Sheet'!P$38</f>
        <v>1.154203394192848E-2</v>
      </c>
      <c r="Q91" s="94">
        <f>'Balance Sheet'!Q66/'Balance Sheet'!Q$38</f>
        <v>1.176535547944412E-2</v>
      </c>
    </row>
    <row r="92" spans="2:17" ht="16.5" x14ac:dyDescent="0.3">
      <c r="B92" s="2" t="s">
        <v>77</v>
      </c>
      <c r="C92" s="94">
        <f>'Balance Sheet'!C67/'Balance Sheet'!C$38</f>
        <v>5.2087114337568061E-2</v>
      </c>
      <c r="D92" s="94">
        <f>'Balance Sheet'!D67/'Balance Sheet'!D$38</f>
        <v>3.8714137573453163E-2</v>
      </c>
      <c r="E92" s="94">
        <f>'Balance Sheet'!E67/'Balance Sheet'!E$38</f>
        <v>3.1241002015548518E-2</v>
      </c>
      <c r="F92" s="94">
        <f>'Balance Sheet'!F67/'Balance Sheet'!F$38</f>
        <v>2.8432825764721736E-2</v>
      </c>
      <c r="G92" s="94">
        <f>'Balance Sheet'!G67/'Balance Sheet'!G$38</f>
        <v>2.7824418325737586E-2</v>
      </c>
      <c r="H92" s="94">
        <f>'Balance Sheet'!H67/'Balance Sheet'!H$38</f>
        <v>3.4588010835307499E-2</v>
      </c>
      <c r="I92" s="94">
        <f>'Balance Sheet'!I67/'Balance Sheet'!I$38</f>
        <v>3.3967096862384978E-2</v>
      </c>
      <c r="J92" s="94">
        <f>'Balance Sheet'!J67/'Balance Sheet'!J$38</f>
        <v>3.3537831228936346E-2</v>
      </c>
      <c r="K92" s="94">
        <f>'Balance Sheet'!K67/'Balance Sheet'!K$38</f>
        <v>3.3288728244721288E-2</v>
      </c>
      <c r="L92" s="94">
        <f>'Balance Sheet'!L67/'Balance Sheet'!L$38</f>
        <v>3.3211544889623398E-2</v>
      </c>
      <c r="M92" s="94">
        <f>'Balance Sheet'!M67/'Balance Sheet'!M$38</f>
        <v>3.3299807378603677E-2</v>
      </c>
      <c r="N92" s="94">
        <f>'Balance Sheet'!N67/'Balance Sheet'!N$38</f>
        <v>3.3547426641632114E-2</v>
      </c>
      <c r="O92" s="94">
        <f>'Balance Sheet'!O67/'Balance Sheet'!O$38</f>
        <v>3.394738086236343E-2</v>
      </c>
      <c r="P92" s="94">
        <f>'Balance Sheet'!P67/'Balance Sheet'!P$38</f>
        <v>3.4490506863334491E-2</v>
      </c>
      <c r="Q92" s="94">
        <f>'Balance Sheet'!Q67/'Balance Sheet'!Q$38</f>
        <v>3.5157847910949426E-2</v>
      </c>
    </row>
    <row r="93" spans="2:17" ht="16.5" x14ac:dyDescent="0.3">
      <c r="B93" s="2" t="s">
        <v>66</v>
      </c>
      <c r="C93" s="94">
        <f>'Balance Sheet'!C68/'Balance Sheet'!C$38</f>
        <v>3.629764065335753E-3</v>
      </c>
      <c r="D93" s="94">
        <f>'Balance Sheet'!D68/'Balance Sheet'!D$38</f>
        <v>3.6294503975112342E-3</v>
      </c>
      <c r="E93" s="94">
        <f>'Balance Sheet'!E68/'Balance Sheet'!E$38</f>
        <v>6.3345810538439386E-3</v>
      </c>
      <c r="F93" s="94">
        <f>'Balance Sheet'!F68/'Balance Sheet'!F$38</f>
        <v>9.4326910119929932E-4</v>
      </c>
      <c r="G93" s="94">
        <f>'Balance Sheet'!G68/'Balance Sheet'!G$38</f>
        <v>2.5185895898296954E-3</v>
      </c>
      <c r="H93" s="94">
        <f>'Balance Sheet'!H68/'Balance Sheet'!H$38</f>
        <v>3.2901496134975401E-3</v>
      </c>
      <c r="I93" s="94">
        <f>'Balance Sheet'!I68/'Balance Sheet'!I$38</f>
        <v>3.2310857986469661E-3</v>
      </c>
      <c r="J93" s="94">
        <f>'Balance Sheet'!J68/'Balance Sheet'!J$38</f>
        <v>3.1902523386164437E-3</v>
      </c>
      <c r="K93" s="94">
        <f>'Balance Sheet'!K68/'Balance Sheet'!K$38</f>
        <v>3.1665566687168714E-3</v>
      </c>
      <c r="L93" s="94">
        <f>'Balance Sheet'!L68/'Balance Sheet'!L$38</f>
        <v>3.159214679981153E-3</v>
      </c>
      <c r="M93" s="94">
        <f>'Balance Sheet'!M68/'Balance Sheet'!M$38</f>
        <v>3.1676105601428513E-3</v>
      </c>
      <c r="N93" s="94">
        <f>'Balance Sheet'!N68/'Balance Sheet'!N$38</f>
        <v>3.1911650925623898E-3</v>
      </c>
      <c r="O93" s="94">
        <f>'Balance Sheet'!O68/'Balance Sheet'!O$38</f>
        <v>3.2292103340485685E-3</v>
      </c>
      <c r="P93" s="94">
        <f>'Balance Sheet'!P68/'Balance Sheet'!P$38</f>
        <v>3.2808746465955987E-3</v>
      </c>
      <c r="Q93" s="94">
        <f>'Balance Sheet'!Q68/'Balance Sheet'!Q$38</f>
        <v>3.344354790057332E-3</v>
      </c>
    </row>
    <row r="94" spans="2:17" ht="16.5" x14ac:dyDescent="0.3">
      <c r="B94" s="2" t="s">
        <v>67</v>
      </c>
      <c r="C94" s="94">
        <f>'Balance Sheet'!C69/'Balance Sheet'!C$38</f>
        <v>1.4156079854809437E-2</v>
      </c>
      <c r="D94" s="94">
        <f>'Balance Sheet'!D69/'Balance Sheet'!D$38</f>
        <v>1.1061182163843761E-2</v>
      </c>
      <c r="E94" s="94">
        <f>'Balance Sheet'!E69/'Balance Sheet'!E$38</f>
        <v>1.0653613590555715E-2</v>
      </c>
      <c r="F94" s="94">
        <f>'Balance Sheet'!F69/'Balance Sheet'!F$38</f>
        <v>1.0645465570677807E-2</v>
      </c>
      <c r="G94" s="94">
        <f>'Balance Sheet'!G69/'Balance Sheet'!G$38</f>
        <v>1.1033821060206284E-2</v>
      </c>
      <c r="H94" s="94">
        <f>'Balance Sheet'!H69/'Balance Sheet'!H$38</f>
        <v>1.1281422681501502E-2</v>
      </c>
      <c r="I94" s="94">
        <f>'Balance Sheet'!I69/'Balance Sheet'!I$38</f>
        <v>1.1078901842395057E-2</v>
      </c>
      <c r="J94" s="94">
        <f>'Balance Sheet'!J69/'Balance Sheet'!J$38</f>
        <v>1.0938890117620382E-2</v>
      </c>
      <c r="K94" s="94">
        <f>'Balance Sheet'!K69/'Balance Sheet'!K$38</f>
        <v>1.0857641269008227E-2</v>
      </c>
      <c r="L94" s="94">
        <f>'Balance Sheet'!L69/'Balance Sheet'!L$38</f>
        <v>1.0832466706152278E-2</v>
      </c>
      <c r="M94" s="94">
        <f>'Balance Sheet'!M69/'Balance Sheet'!M$38</f>
        <v>1.0861254902439397E-2</v>
      </c>
      <c r="N94" s="94">
        <f>'Balance Sheet'!N69/'Balance Sheet'!N$38</f>
        <v>1.0942019812095726E-2</v>
      </c>
      <c r="O94" s="94">
        <f>'Balance Sheet'!O69/'Balance Sheet'!O$38</f>
        <v>1.1072471159494826E-2</v>
      </c>
      <c r="P94" s="94">
        <f>'Balance Sheet'!P69/'Balance Sheet'!P$38</f>
        <v>1.1249620230467518E-2</v>
      </c>
      <c r="Q94" s="94">
        <f>'Balance Sheet'!Q69/'Balance Sheet'!Q$38</f>
        <v>1.1467283988776941E-2</v>
      </c>
    </row>
    <row r="95" spans="2:17" ht="16.5" x14ac:dyDescent="0.3">
      <c r="B95" s="2" t="s">
        <v>78</v>
      </c>
      <c r="C95" s="94">
        <f>'Balance Sheet'!C70/'Balance Sheet'!C$38</f>
        <v>1.3067150635208712E-2</v>
      </c>
      <c r="D95" s="94">
        <f>'Balance Sheet'!D70/'Balance Sheet'!D$38</f>
        <v>1.1579675077773938E-2</v>
      </c>
      <c r="E95" s="94">
        <f>'Balance Sheet'!E70/'Balance Sheet'!E$38</f>
        <v>1.2525194356464152E-2</v>
      </c>
      <c r="F95" s="94">
        <f>'Balance Sheet'!F70/'Balance Sheet'!F$38</f>
        <v>1.1184476485648834E-2</v>
      </c>
      <c r="G95" s="94">
        <f>'Balance Sheet'!G70/'Balance Sheet'!G$38</f>
        <v>1.1033821060206284E-2</v>
      </c>
      <c r="H95" s="94">
        <f>'Balance Sheet'!H70/'Balance Sheet'!H$38</f>
        <v>1.1646309629063064E-2</v>
      </c>
      <c r="I95" s="94">
        <f>'Balance Sheet'!I70/'Balance Sheet'!I$38</f>
        <v>1.1437238444943808E-2</v>
      </c>
      <c r="J95" s="94">
        <f>'Balance Sheet'!J70/'Balance Sheet'!J$38</f>
        <v>1.1292698173343241E-2</v>
      </c>
      <c r="K95" s="94">
        <f>'Balance Sheet'!K70/'Balance Sheet'!K$38</f>
        <v>1.1208821407561419E-2</v>
      </c>
      <c r="L95" s="94">
        <f>'Balance Sheet'!L70/'Balance Sheet'!L$38</f>
        <v>1.1182832597277993E-2</v>
      </c>
      <c r="M95" s="94">
        <f>'Balance Sheet'!M70/'Balance Sheet'!M$38</f>
        <v>1.1212551920548436E-2</v>
      </c>
      <c r="N95" s="94">
        <f>'Balance Sheet'!N70/'Balance Sheet'!N$38</f>
        <v>1.1295929094826577E-2</v>
      </c>
      <c r="O95" s="94">
        <f>'Balance Sheet'!O70/'Balance Sheet'!O$38</f>
        <v>1.1430599767686797E-2</v>
      </c>
      <c r="P95" s="94">
        <f>'Balance Sheet'!P70/'Balance Sheet'!P$38</f>
        <v>1.1613478557826613E-2</v>
      </c>
      <c r="Q95" s="94">
        <f>'Balance Sheet'!Q70/'Balance Sheet'!Q$38</f>
        <v>1.1838182444549495E-2</v>
      </c>
    </row>
    <row r="96" spans="2:17" x14ac:dyDescent="0.25">
      <c r="B96" s="4" t="s">
        <v>79</v>
      </c>
      <c r="C96" s="99">
        <f>'Balance Sheet'!C71/'Balance Sheet'!C$38</f>
        <v>0.36533575317604355</v>
      </c>
      <c r="D96" s="99">
        <f>'Balance Sheet'!D71/'Balance Sheet'!D$38</f>
        <v>0.37210508123055652</v>
      </c>
      <c r="E96" s="99">
        <f>'Balance Sheet'!E71/'Balance Sheet'!E$38</f>
        <v>0.34969766772243016</v>
      </c>
      <c r="F96" s="99">
        <f>'Balance Sheet'!F71/'Balance Sheet'!F$38</f>
        <v>0.32933566904729822</v>
      </c>
      <c r="G96" s="99">
        <f>'Balance Sheet'!G71/'Balance Sheet'!G$38</f>
        <v>0.29515471336051813</v>
      </c>
      <c r="H96" s="99">
        <f>'Balance Sheet'!H71/'Balance Sheet'!H$38</f>
        <v>0.3351303232683675</v>
      </c>
      <c r="I96" s="99">
        <f>'Balance Sheet'!I71/'Balance Sheet'!I$38</f>
        <v>0.32911416057377985</v>
      </c>
      <c r="J96" s="99">
        <f>'Balance Sheet'!J71/'Balance Sheet'!J$38</f>
        <v>0.3249549179046759</v>
      </c>
      <c r="K96" s="99">
        <f>'Balance Sheet'!K71/'Balance Sheet'!K$38</f>
        <v>0.3225413080551644</v>
      </c>
      <c r="L96" s="99">
        <f>'Balance Sheet'!L71/'Balance Sheet'!L$38</f>
        <v>0.32179346271453296</v>
      </c>
      <c r="M96" s="99">
        <f>'Balance Sheet'!M71/'Balance Sheet'!M$38</f>
        <v>0.32264865605320969</v>
      </c>
      <c r="N96" s="99">
        <f>'Balance Sheet'!N71/'Balance Sheet'!N$38</f>
        <v>0.32504788982416383</v>
      </c>
      <c r="O96" s="99">
        <f>'Balance Sheet'!O71/'Balance Sheet'!O$38</f>
        <v>0.3289231282102178</v>
      </c>
      <c r="P96" s="99">
        <f>'Balance Sheet'!P71/'Balance Sheet'!P$38</f>
        <v>0.33418558730760778</v>
      </c>
      <c r="Q96" s="99">
        <f>'Balance Sheet'!Q71/'Balance Sheet'!Q$38</f>
        <v>0.34065159144072621</v>
      </c>
    </row>
    <row r="97" spans="2:17" x14ac:dyDescent="0.25">
      <c r="B97" s="4" t="s">
        <v>80</v>
      </c>
      <c r="C97" s="99">
        <f>'Balance Sheet'!C72/'Balance Sheet'!C$38</f>
        <v>0.4087114337568058</v>
      </c>
      <c r="D97" s="99">
        <f>'Balance Sheet'!D72/'Balance Sheet'!D$38</f>
        <v>0.41151054268924991</v>
      </c>
      <c r="E97" s="99">
        <f>'Balance Sheet'!E72/'Balance Sheet'!E$38</f>
        <v>0.43046357615894038</v>
      </c>
      <c r="F97" s="99">
        <f>'Balance Sheet'!F72/'Balance Sheet'!F$38</f>
        <v>0.43821587387144589</v>
      </c>
      <c r="G97" s="99">
        <f>'Balance Sheet'!G72/'Balance Sheet'!G$38</f>
        <v>0.48836651475173903</v>
      </c>
      <c r="H97" s="99">
        <f>'Balance Sheet'!H72/'Balance Sheet'!H$38</f>
        <v>0.43041526092738869</v>
      </c>
      <c r="I97" s="99">
        <f>'Balance Sheet'!I72/'Balance Sheet'!I$38</f>
        <v>0.42268857057386022</v>
      </c>
      <c r="J97" s="99">
        <f>'Balance Sheet'!J72/'Balance Sheet'!J$38</f>
        <v>0.41734676353824574</v>
      </c>
      <c r="K97" s="99">
        <f>'Balance Sheet'!K72/'Balance Sheet'!K$38</f>
        <v>0.4142469112090893</v>
      </c>
      <c r="L97" s="99">
        <f>'Balance Sheet'!L72/'Balance Sheet'!L$38</f>
        <v>0.4132864369545306</v>
      </c>
      <c r="M97" s="99">
        <f>'Balance Sheet'!M72/'Balance Sheet'!M$38</f>
        <v>0.41438478060908296</v>
      </c>
      <c r="N97" s="99">
        <f>'Balance Sheet'!N72/'Balance Sheet'!N$38</f>
        <v>0.41746616942367876</v>
      </c>
      <c r="O97" s="99">
        <f>'Balance Sheet'!O72/'Balance Sheet'!O$38</f>
        <v>0.42244322349870966</v>
      </c>
      <c r="P97" s="99">
        <f>'Balance Sheet'!P72/'Balance Sheet'!P$38</f>
        <v>0.429201915709647</v>
      </c>
      <c r="Q97" s="99">
        <f>'Balance Sheet'!Q72/'Balance Sheet'!Q$38</f>
        <v>0.43750634733783217</v>
      </c>
    </row>
    <row r="98" spans="2:17" ht="15.75" thickBot="1" x14ac:dyDescent="0.3">
      <c r="B98" s="13" t="s">
        <v>81</v>
      </c>
      <c r="C98" s="100">
        <f>'Balance Sheet'!C73/'Balance Sheet'!C$38</f>
        <v>1</v>
      </c>
      <c r="D98" s="100">
        <f>'Balance Sheet'!D73/'Balance Sheet'!D$38</f>
        <v>1</v>
      </c>
      <c r="E98" s="100">
        <f>'Balance Sheet'!E73/'Balance Sheet'!E$38</f>
        <v>1</v>
      </c>
      <c r="F98" s="100">
        <f>'Balance Sheet'!F73/'Balance Sheet'!F$38</f>
        <v>1</v>
      </c>
      <c r="G98" s="100">
        <f>'Balance Sheet'!G73/'Balance Sheet'!G$38</f>
        <v>1</v>
      </c>
      <c r="H98" s="100">
        <f>'Balance Sheet'!H73/'Balance Sheet'!H$38</f>
        <v>1</v>
      </c>
      <c r="I98" s="100">
        <f>'Balance Sheet'!I73/'Balance Sheet'!I$38</f>
        <v>0.99999999999999978</v>
      </c>
      <c r="J98" s="100">
        <f>'Balance Sheet'!J73/'Balance Sheet'!J$38</f>
        <v>0.99999999999999978</v>
      </c>
      <c r="K98" s="100">
        <f>'Balance Sheet'!K73/'Balance Sheet'!K$38</f>
        <v>0.99999999999999989</v>
      </c>
      <c r="L98" s="100">
        <f>'Balance Sheet'!L73/'Balance Sheet'!L$38</f>
        <v>1</v>
      </c>
      <c r="M98" s="100">
        <f>'Balance Sheet'!M73/'Balance Sheet'!M$38</f>
        <v>1</v>
      </c>
      <c r="N98" s="100">
        <f>'Balance Sheet'!N73/'Balance Sheet'!N$38</f>
        <v>1</v>
      </c>
      <c r="O98" s="100">
        <f>'Balance Sheet'!O73/'Balance Sheet'!O$38</f>
        <v>1.0000000000000002</v>
      </c>
      <c r="P98" s="100">
        <f>'Balance Sheet'!P73/'Balance Sheet'!P$38</f>
        <v>1</v>
      </c>
      <c r="Q98" s="100">
        <f>'Balance Sheet'!Q73/'Balance Sheet'!Q$38</f>
        <v>1.0000000000000002</v>
      </c>
    </row>
    <row r="99" spans="2:17" ht="15.75" thickTop="1" x14ac:dyDescent="0.25"/>
  </sheetData>
  <mergeCells count="1">
    <mergeCell ref="B4:Q4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Z70"/>
  <sheetViews>
    <sheetView showGridLines="0" topLeftCell="B1" workbookViewId="0">
      <selection activeCell="B3" sqref="B3"/>
    </sheetView>
  </sheetViews>
  <sheetFormatPr defaultRowHeight="15" x14ac:dyDescent="0.25"/>
  <cols>
    <col min="1" max="1" width="1.85546875" customWidth="1"/>
    <col min="2" max="2" width="84.7109375" bestFit="1" customWidth="1"/>
    <col min="3" max="4" width="10.42578125" bestFit="1" customWidth="1"/>
    <col min="5" max="5" width="9.28515625" bestFit="1" customWidth="1"/>
    <col min="6" max="6" width="10.42578125" bestFit="1" customWidth="1"/>
    <col min="7" max="7" width="9.28515625" bestFit="1" customWidth="1"/>
    <col min="8" max="17" width="10.42578125" bestFit="1" customWidth="1"/>
  </cols>
  <sheetData>
    <row r="4" spans="2:17" ht="15.75" thickBot="1" x14ac:dyDescent="0.3">
      <c r="B4" s="341" t="s">
        <v>392</v>
      </c>
      <c r="C4" s="341"/>
      <c r="D4" s="341"/>
      <c r="E4" s="341"/>
      <c r="F4" s="341"/>
      <c r="G4" s="341"/>
      <c r="H4" s="341"/>
      <c r="I4" s="341"/>
      <c r="J4" s="341"/>
      <c r="K4" s="341"/>
      <c r="L4" s="341"/>
      <c r="M4" s="341"/>
      <c r="N4" s="341"/>
      <c r="O4" s="341"/>
      <c r="P4" s="341"/>
      <c r="Q4" s="341"/>
    </row>
    <row r="5" spans="2:17" x14ac:dyDescent="0.25">
      <c r="B5" s="24" t="s">
        <v>390</v>
      </c>
    </row>
    <row r="6" spans="2:17" x14ac:dyDescent="0.25">
      <c r="B6" s="271" t="s">
        <v>139</v>
      </c>
      <c r="C6" s="272">
        <v>2021</v>
      </c>
      <c r="D6" s="272">
        <f t="shared" ref="D6:Q6" si="0">C6+1</f>
        <v>2022</v>
      </c>
      <c r="E6" s="272">
        <f t="shared" si="0"/>
        <v>2023</v>
      </c>
      <c r="F6" s="272">
        <f t="shared" si="0"/>
        <v>2024</v>
      </c>
      <c r="G6" s="272">
        <f t="shared" si="0"/>
        <v>2025</v>
      </c>
      <c r="H6" s="270">
        <f t="shared" si="0"/>
        <v>2026</v>
      </c>
      <c r="I6" s="270">
        <f t="shared" si="0"/>
        <v>2027</v>
      </c>
      <c r="J6" s="270">
        <f t="shared" si="0"/>
        <v>2028</v>
      </c>
      <c r="K6" s="270">
        <f t="shared" si="0"/>
        <v>2029</v>
      </c>
      <c r="L6" s="270">
        <f t="shared" si="0"/>
        <v>2030</v>
      </c>
      <c r="M6" s="270">
        <f t="shared" si="0"/>
        <v>2031</v>
      </c>
      <c r="N6" s="270">
        <f t="shared" si="0"/>
        <v>2032</v>
      </c>
      <c r="O6" s="270">
        <f t="shared" si="0"/>
        <v>2033</v>
      </c>
      <c r="P6" s="270">
        <f t="shared" si="0"/>
        <v>2034</v>
      </c>
      <c r="Q6" s="270">
        <f t="shared" si="0"/>
        <v>2035</v>
      </c>
    </row>
    <row r="8" spans="2:17" ht="16.5" x14ac:dyDescent="0.3">
      <c r="B8" s="18" t="s">
        <v>220</v>
      </c>
      <c r="C8" s="29"/>
      <c r="D8" s="29"/>
      <c r="E8" s="29"/>
      <c r="F8" s="29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</row>
    <row r="9" spans="2:17" x14ac:dyDescent="0.25">
      <c r="B9" s="1" t="s">
        <v>82</v>
      </c>
      <c r="C9" s="83">
        <v>1523</v>
      </c>
      <c r="D9" s="83">
        <v>1601</v>
      </c>
      <c r="E9" s="83">
        <v>1743</v>
      </c>
      <c r="F9" s="83">
        <v>1937</v>
      </c>
      <c r="G9" s="84">
        <v>2116</v>
      </c>
      <c r="H9" s="89">
        <f>'P&amp;L Statement '!H34</f>
        <v>2230.8209182422888</v>
      </c>
      <c r="I9" s="89">
        <f>'P&amp;L Statement '!I34</f>
        <v>2429.4550453352781</v>
      </c>
      <c r="J9" s="89">
        <f>'P&amp;L Statement '!J34</f>
        <v>2659.4282283966982</v>
      </c>
      <c r="K9" s="89">
        <f>'P&amp;L Statement '!K34</f>
        <v>2928.5563672053058</v>
      </c>
      <c r="L9" s="89">
        <f>'P&amp;L Statement '!L34</f>
        <v>3246.9753051168564</v>
      </c>
      <c r="M9" s="89">
        <f>'P&amp;L Statement '!M34</f>
        <v>3627.8564531846796</v>
      </c>
      <c r="N9" s="89">
        <f>'P&amp;L Statement '!N34</f>
        <v>4088.3439289110938</v>
      </c>
      <c r="O9" s="89">
        <f>'P&amp;L Statement '!O34</f>
        <v>4650.7815810295569</v>
      </c>
      <c r="P9" s="89">
        <f>'P&amp;L Statement '!P34</f>
        <v>5344.3193099710588</v>
      </c>
      <c r="Q9" s="89">
        <f>'P&amp;L Statement '!Q34</f>
        <v>6224.9982191856607</v>
      </c>
    </row>
    <row r="10" spans="2:17" ht="16.5" x14ac:dyDescent="0.3">
      <c r="B10" s="88" t="s">
        <v>83</v>
      </c>
      <c r="C10" s="85"/>
      <c r="D10" s="85"/>
      <c r="E10" s="85"/>
      <c r="F10" s="85"/>
      <c r="G10" s="86"/>
      <c r="H10" s="90"/>
      <c r="I10" s="90"/>
      <c r="J10" s="90"/>
      <c r="K10" s="90"/>
      <c r="L10" s="90"/>
      <c r="M10" s="90"/>
      <c r="N10" s="90"/>
      <c r="O10" s="90"/>
      <c r="P10" s="90"/>
      <c r="Q10" s="90"/>
    </row>
    <row r="11" spans="2:17" ht="16.5" x14ac:dyDescent="0.3">
      <c r="B11" s="2" t="s">
        <v>84</v>
      </c>
      <c r="C11" s="85">
        <v>139</v>
      </c>
      <c r="D11" s="85">
        <v>139</v>
      </c>
      <c r="E11" s="87">
        <v>155</v>
      </c>
      <c r="F11" s="85">
        <v>158</v>
      </c>
      <c r="G11" s="86">
        <v>178</v>
      </c>
      <c r="H11" s="90">
        <f>-'P&amp;L Statement '!H21</f>
        <v>160.81079831034486</v>
      </c>
      <c r="I11" s="90">
        <f>-'P&amp;L Statement '!I21</f>
        <v>195.72190874665102</v>
      </c>
      <c r="J11" s="90">
        <f>-'P&amp;L Statement '!J21</f>
        <v>238.5485754101974</v>
      </c>
      <c r="K11" s="90">
        <f>-'P&amp;L Statement '!K21</f>
        <v>291.16513583935858</v>
      </c>
      <c r="L11" s="90">
        <f>-'P&amp;L Statement '!L21</f>
        <v>355.90783134641481</v>
      </c>
      <c r="M11" s="90">
        <f>-'P&amp;L Statement '!M21</f>
        <v>435.69257897204534</v>
      </c>
      <c r="N11" s="90">
        <f>-'P&amp;L Statement '!N21</f>
        <v>534.16360112434597</v>
      </c>
      <c r="O11" s="90">
        <f>-'P&amp;L Statement '!O21</f>
        <v>655.8811673940337</v>
      </c>
      <c r="P11" s="90">
        <f>-'P&amp;L Statement '!P21</f>
        <v>806.55894501074386</v>
      </c>
      <c r="Q11" s="90">
        <f>-'P&amp;L Statement '!Q21</f>
        <v>993.36431200222432</v>
      </c>
    </row>
    <row r="12" spans="2:17" ht="16.5" x14ac:dyDescent="0.3">
      <c r="B12" s="2" t="s">
        <v>85</v>
      </c>
      <c r="C12" s="85">
        <v>2</v>
      </c>
      <c r="D12" s="86">
        <v>0</v>
      </c>
      <c r="E12" s="86">
        <v>0</v>
      </c>
      <c r="F12" s="86">
        <v>0</v>
      </c>
      <c r="G12" s="86">
        <v>0</v>
      </c>
      <c r="H12" s="90">
        <v>0</v>
      </c>
      <c r="I12" s="90">
        <v>0</v>
      </c>
      <c r="J12" s="90">
        <v>0</v>
      </c>
      <c r="K12" s="90">
        <v>0</v>
      </c>
      <c r="L12" s="90">
        <v>0</v>
      </c>
      <c r="M12" s="90">
        <v>0</v>
      </c>
      <c r="N12" s="90">
        <v>0</v>
      </c>
      <c r="O12" s="90">
        <v>0</v>
      </c>
      <c r="P12" s="90">
        <v>0</v>
      </c>
      <c r="Q12" s="90">
        <v>0</v>
      </c>
    </row>
    <row r="13" spans="2:17" ht="16.5" x14ac:dyDescent="0.3">
      <c r="B13" s="2" t="s">
        <v>9</v>
      </c>
      <c r="C13" s="85">
        <v>34</v>
      </c>
      <c r="D13" s="85">
        <v>39</v>
      </c>
      <c r="E13" s="87">
        <v>56</v>
      </c>
      <c r="F13" s="85">
        <v>73</v>
      </c>
      <c r="G13" s="86">
        <v>53</v>
      </c>
      <c r="H13" s="90">
        <f>-'P&amp;L Statement '!H26</f>
        <v>63.701955112290243</v>
      </c>
      <c r="I13" s="90">
        <f>-'P&amp;L Statement '!I26</f>
        <v>69.958187298755334</v>
      </c>
      <c r="J13" s="90">
        <f>-'P&amp;L Statement '!J26</f>
        <v>77.272682246114286</v>
      </c>
      <c r="K13" s="90">
        <f>-'P&amp;L Statement '!K26</f>
        <v>85.907523784394655</v>
      </c>
      <c r="L13" s="90">
        <f>-'P&amp;L Statement '!L26</f>
        <v>96.200109521251832</v>
      </c>
      <c r="M13" s="90">
        <f>-'P&amp;L Statement '!M26</f>
        <v>108.58571947759692</v>
      </c>
      <c r="N13" s="90">
        <f>-'P&amp;L Statement '!N26</f>
        <v>123.62691948428029</v>
      </c>
      <c r="O13" s="90">
        <f>-'P&amp;L Statement '!O26</f>
        <v>142.05187455877237</v>
      </c>
      <c r="P13" s="90">
        <f>-'P&amp;L Statement '!P26</f>
        <v>164.80427796936834</v>
      </c>
      <c r="Q13" s="90">
        <f>-'P&amp;L Statement '!Q26</f>
        <v>175.12579489802951</v>
      </c>
    </row>
    <row r="14" spans="2:17" ht="16.5" x14ac:dyDescent="0.3">
      <c r="B14" s="2" t="s">
        <v>86</v>
      </c>
      <c r="C14" s="85">
        <v>-59</v>
      </c>
      <c r="D14" s="85">
        <v>-59</v>
      </c>
      <c r="E14" s="87">
        <v>-49</v>
      </c>
      <c r="F14" s="85">
        <v>-77</v>
      </c>
      <c r="G14" s="86">
        <v>-77</v>
      </c>
      <c r="H14" s="56">
        <v>0</v>
      </c>
      <c r="I14" s="56">
        <v>0</v>
      </c>
      <c r="J14" s="56">
        <v>0</v>
      </c>
      <c r="K14" s="56">
        <v>0</v>
      </c>
      <c r="L14" s="56">
        <v>0</v>
      </c>
      <c r="M14" s="56">
        <v>0</v>
      </c>
      <c r="N14" s="56">
        <v>0</v>
      </c>
      <c r="O14" s="56">
        <v>0</v>
      </c>
      <c r="P14" s="56">
        <v>0</v>
      </c>
      <c r="Q14" s="56">
        <v>0</v>
      </c>
    </row>
    <row r="15" spans="2:17" ht="16.5" x14ac:dyDescent="0.3">
      <c r="B15" s="2" t="s">
        <v>87</v>
      </c>
      <c r="C15" s="85">
        <v>0</v>
      </c>
      <c r="D15" s="85">
        <v>0</v>
      </c>
      <c r="E15" s="87">
        <v>-28</v>
      </c>
      <c r="F15" s="85">
        <v>-15</v>
      </c>
      <c r="G15" s="86">
        <v>-20</v>
      </c>
      <c r="H15" s="56">
        <v>0</v>
      </c>
      <c r="I15" s="56">
        <v>0</v>
      </c>
      <c r="J15" s="56">
        <v>0</v>
      </c>
      <c r="K15" s="56">
        <v>0</v>
      </c>
      <c r="L15" s="56">
        <v>0</v>
      </c>
      <c r="M15" s="56">
        <v>0</v>
      </c>
      <c r="N15" s="56">
        <v>0</v>
      </c>
      <c r="O15" s="56">
        <v>0</v>
      </c>
      <c r="P15" s="56">
        <v>0</v>
      </c>
      <c r="Q15" s="56">
        <v>0</v>
      </c>
    </row>
    <row r="16" spans="2:17" ht="16.5" x14ac:dyDescent="0.3">
      <c r="B16" s="2" t="s">
        <v>88</v>
      </c>
      <c r="C16" s="85">
        <v>-21</v>
      </c>
      <c r="D16" s="85">
        <v>-29</v>
      </c>
      <c r="E16" s="87">
        <v>-50</v>
      </c>
      <c r="F16" s="85">
        <v>-73</v>
      </c>
      <c r="G16" s="86">
        <v>-76</v>
      </c>
      <c r="H16" s="56">
        <v>0</v>
      </c>
      <c r="I16" s="56">
        <v>0</v>
      </c>
      <c r="J16" s="56">
        <v>0</v>
      </c>
      <c r="K16" s="56">
        <v>0</v>
      </c>
      <c r="L16" s="56">
        <v>0</v>
      </c>
      <c r="M16" s="56">
        <v>0</v>
      </c>
      <c r="N16" s="56">
        <v>0</v>
      </c>
      <c r="O16" s="56">
        <v>0</v>
      </c>
      <c r="P16" s="56">
        <v>0</v>
      </c>
      <c r="Q16" s="56">
        <v>0</v>
      </c>
    </row>
    <row r="17" spans="2:17" ht="16.5" x14ac:dyDescent="0.3">
      <c r="B17" s="2" t="s">
        <v>89</v>
      </c>
      <c r="C17" s="85">
        <v>9</v>
      </c>
      <c r="D17" s="85">
        <v>10</v>
      </c>
      <c r="E17" s="87">
        <v>19</v>
      </c>
      <c r="F17" s="85">
        <v>35</v>
      </c>
      <c r="G17" s="86">
        <v>43</v>
      </c>
      <c r="H17" s="56">
        <v>0</v>
      </c>
      <c r="I17" s="56">
        <v>0</v>
      </c>
      <c r="J17" s="56">
        <v>0</v>
      </c>
      <c r="K17" s="56">
        <v>0</v>
      </c>
      <c r="L17" s="56">
        <v>0</v>
      </c>
      <c r="M17" s="56">
        <v>0</v>
      </c>
      <c r="N17" s="56">
        <v>0</v>
      </c>
      <c r="O17" s="56">
        <v>0</v>
      </c>
      <c r="P17" s="56">
        <v>0</v>
      </c>
      <c r="Q17" s="56">
        <v>0</v>
      </c>
    </row>
    <row r="18" spans="2:17" ht="16.5" x14ac:dyDescent="0.3">
      <c r="B18" s="2" t="s">
        <v>90</v>
      </c>
      <c r="C18" s="85">
        <v>51</v>
      </c>
      <c r="D18" s="86">
        <v>0</v>
      </c>
      <c r="E18" s="86">
        <v>0</v>
      </c>
      <c r="F18" s="86">
        <v>0</v>
      </c>
      <c r="G18" s="86">
        <v>0</v>
      </c>
      <c r="H18" s="56">
        <v>0</v>
      </c>
      <c r="I18" s="56">
        <v>0</v>
      </c>
      <c r="J18" s="56">
        <v>0</v>
      </c>
      <c r="K18" s="56">
        <v>0</v>
      </c>
      <c r="L18" s="56">
        <v>0</v>
      </c>
      <c r="M18" s="56">
        <v>0</v>
      </c>
      <c r="N18" s="56">
        <v>0</v>
      </c>
      <c r="O18" s="56">
        <v>0</v>
      </c>
      <c r="P18" s="56">
        <v>0</v>
      </c>
      <c r="Q18" s="56">
        <v>0</v>
      </c>
    </row>
    <row r="19" spans="2:17" ht="16.5" x14ac:dyDescent="0.3">
      <c r="B19" s="2" t="s">
        <v>91</v>
      </c>
      <c r="C19" s="85">
        <v>-64</v>
      </c>
      <c r="D19" s="86">
        <v>0</v>
      </c>
      <c r="E19" s="86">
        <v>0</v>
      </c>
      <c r="F19" s="86">
        <v>0</v>
      </c>
      <c r="G19" s="86">
        <v>0</v>
      </c>
      <c r="H19" s="56">
        <v>0</v>
      </c>
      <c r="I19" s="56">
        <v>0</v>
      </c>
      <c r="J19" s="56">
        <v>0</v>
      </c>
      <c r="K19" s="56">
        <v>0</v>
      </c>
      <c r="L19" s="56">
        <v>0</v>
      </c>
      <c r="M19" s="56">
        <v>0</v>
      </c>
      <c r="N19" s="56">
        <v>0</v>
      </c>
      <c r="O19" s="56">
        <v>0</v>
      </c>
      <c r="P19" s="56">
        <v>0</v>
      </c>
      <c r="Q19" s="56">
        <v>0</v>
      </c>
    </row>
    <row r="20" spans="2:17" ht="16.5" x14ac:dyDescent="0.3">
      <c r="B20" s="2" t="s">
        <v>92</v>
      </c>
      <c r="C20" s="85">
        <v>3</v>
      </c>
      <c r="D20" s="85">
        <v>8</v>
      </c>
      <c r="E20" s="85">
        <v>1</v>
      </c>
      <c r="F20" s="85">
        <v>2</v>
      </c>
      <c r="G20" s="86">
        <v>2</v>
      </c>
      <c r="H20" s="56">
        <v>0</v>
      </c>
      <c r="I20" s="56">
        <v>0</v>
      </c>
      <c r="J20" s="56">
        <v>0</v>
      </c>
      <c r="K20" s="56">
        <v>0</v>
      </c>
      <c r="L20" s="56">
        <v>0</v>
      </c>
      <c r="M20" s="56">
        <v>0</v>
      </c>
      <c r="N20" s="56">
        <v>0</v>
      </c>
      <c r="O20" s="56">
        <v>0</v>
      </c>
      <c r="P20" s="56">
        <v>0</v>
      </c>
      <c r="Q20" s="56">
        <v>0</v>
      </c>
    </row>
    <row r="21" spans="2:17" ht="16.5" x14ac:dyDescent="0.3">
      <c r="B21" s="2" t="s">
        <v>93</v>
      </c>
      <c r="C21" s="85"/>
      <c r="D21" s="85"/>
      <c r="E21" s="85"/>
      <c r="F21" s="85"/>
      <c r="G21" s="86"/>
      <c r="H21" s="56"/>
      <c r="I21" s="56"/>
      <c r="J21" s="56"/>
      <c r="K21" s="56"/>
      <c r="L21" s="56"/>
      <c r="M21" s="56"/>
      <c r="N21" s="56"/>
      <c r="O21" s="56"/>
      <c r="P21" s="56"/>
      <c r="Q21" s="56"/>
    </row>
    <row r="22" spans="2:17" ht="16.5" x14ac:dyDescent="0.3">
      <c r="B22" s="3" t="s">
        <v>94</v>
      </c>
      <c r="C22" s="57">
        <f t="shared" ref="C22:E22" si="1">SUM(C11:C21)</f>
        <v>94</v>
      </c>
      <c r="D22" s="57">
        <f t="shared" si="1"/>
        <v>108</v>
      </c>
      <c r="E22" s="57">
        <f t="shared" si="1"/>
        <v>104</v>
      </c>
      <c r="F22" s="57">
        <f>SUM(F11:F21)</f>
        <v>103</v>
      </c>
      <c r="G22" s="57">
        <f t="shared" ref="G22:H22" si="2">SUM(G11:G21)</f>
        <v>103</v>
      </c>
      <c r="H22" s="57">
        <f t="shared" si="2"/>
        <v>224.51275342263511</v>
      </c>
      <c r="I22" s="57">
        <f t="shared" ref="I22" si="3">SUM(I11:I21)</f>
        <v>265.68009604540634</v>
      </c>
      <c r="J22" s="57">
        <f t="shared" ref="J22" si="4">SUM(J11:J21)</f>
        <v>315.82125765631167</v>
      </c>
      <c r="K22" s="57">
        <f t="shared" ref="K22" si="5">SUM(K11:K21)</f>
        <v>377.07265962375322</v>
      </c>
      <c r="L22" s="57">
        <f t="shared" ref="L22" si="6">SUM(L11:L21)</f>
        <v>452.10794086766663</v>
      </c>
      <c r="M22" s="57">
        <f t="shared" ref="M22" si="7">SUM(M11:M21)</f>
        <v>544.27829844964231</v>
      </c>
      <c r="N22" s="57">
        <f t="shared" ref="N22" si="8">SUM(N11:N21)</f>
        <v>657.79052060862625</v>
      </c>
      <c r="O22" s="57">
        <f t="shared" ref="O22" si="9">SUM(O11:O21)</f>
        <v>797.93304195280609</v>
      </c>
      <c r="P22" s="57">
        <f t="shared" ref="P22" si="10">SUM(P11:P21)</f>
        <v>971.36322298011214</v>
      </c>
      <c r="Q22" s="57">
        <f t="shared" ref="Q22" si="11">SUM(Q11:Q21)</f>
        <v>1168.4901069002537</v>
      </c>
    </row>
    <row r="23" spans="2:17" x14ac:dyDescent="0.25">
      <c r="B23" s="4" t="s">
        <v>95</v>
      </c>
      <c r="C23" s="58">
        <f t="shared" ref="C23:E23" si="12">SUM(C22,C9)</f>
        <v>1617</v>
      </c>
      <c r="D23" s="58">
        <f t="shared" si="12"/>
        <v>1709</v>
      </c>
      <c r="E23" s="58">
        <f t="shared" si="12"/>
        <v>1847</v>
      </c>
      <c r="F23" s="58">
        <f>SUM(F22,F9)</f>
        <v>2040</v>
      </c>
      <c r="G23" s="58">
        <f t="shared" ref="G23:H23" si="13">SUM(G22,G9)</f>
        <v>2219</v>
      </c>
      <c r="H23" s="58">
        <f t="shared" si="13"/>
        <v>2455.3336716649237</v>
      </c>
      <c r="I23" s="58">
        <f t="shared" ref="I23" si="14">SUM(I22,I9)</f>
        <v>2695.1351413806842</v>
      </c>
      <c r="J23" s="58">
        <f t="shared" ref="J23" si="15">SUM(J22,J9)</f>
        <v>2975.2494860530096</v>
      </c>
      <c r="K23" s="58">
        <f t="shared" ref="K23" si="16">SUM(K22,K9)</f>
        <v>3305.6290268290591</v>
      </c>
      <c r="L23" s="58">
        <f t="shared" ref="L23" si="17">SUM(L22,L9)</f>
        <v>3699.0832459845228</v>
      </c>
      <c r="M23" s="58">
        <f t="shared" ref="M23" si="18">SUM(M22,M9)</f>
        <v>4172.1347516343221</v>
      </c>
      <c r="N23" s="58">
        <f t="shared" ref="N23" si="19">SUM(N22,N9)</f>
        <v>4746.13444951972</v>
      </c>
      <c r="O23" s="58">
        <f t="shared" ref="O23" si="20">SUM(O22,O9)</f>
        <v>5448.7146229823629</v>
      </c>
      <c r="P23" s="58">
        <f t="shared" ref="P23" si="21">SUM(P22,P9)</f>
        <v>6315.6825329511712</v>
      </c>
      <c r="Q23" s="58">
        <f t="shared" ref="Q23" si="22">SUM(Q22,Q9)</f>
        <v>7393.4883260859142</v>
      </c>
    </row>
    <row r="24" spans="2:17" ht="16.5" x14ac:dyDescent="0.3">
      <c r="B24" s="1" t="s">
        <v>96</v>
      </c>
      <c r="C24" s="55"/>
      <c r="D24" s="55"/>
      <c r="E24" s="55"/>
      <c r="F24" s="55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</row>
    <row r="25" spans="2:17" ht="16.5" x14ac:dyDescent="0.3">
      <c r="B25" s="2" t="s">
        <v>97</v>
      </c>
      <c r="C25" s="85">
        <v>251</v>
      </c>
      <c r="D25" s="85">
        <v>-286</v>
      </c>
      <c r="E25" s="85">
        <v>191</v>
      </c>
      <c r="F25" s="85">
        <v>-101</v>
      </c>
      <c r="G25" s="86">
        <v>101</v>
      </c>
      <c r="H25" s="56">
        <f>'Balance Sheet'!G26-'Balance Sheet'!H26</f>
        <v>-342.3473186504516</v>
      </c>
      <c r="I25" s="56">
        <f>'Balance Sheet'!H26-'Balance Sheet'!I26</f>
        <v>-154.05246530428099</v>
      </c>
      <c r="J25" s="56">
        <f>'Balance Sheet'!I26-'Balance Sheet'!J26</f>
        <v>-179.95012880869149</v>
      </c>
      <c r="K25" s="56">
        <f>'Balance Sheet'!J26-'Balance Sheet'!K26</f>
        <v>-212.24132947547832</v>
      </c>
      <c r="L25" s="56">
        <f>'Balance Sheet'!K26-'Balance Sheet'!L26</f>
        <v>-252.76155528618938</v>
      </c>
      <c r="M25" s="56">
        <f>'Balance Sheet'!L26-'Balance Sheet'!M26</f>
        <v>-303.89618023456114</v>
      </c>
      <c r="N25" s="56">
        <f>'Balance Sheet'!M26-'Balance Sheet'!N26</f>
        <v>-368.74698327733586</v>
      </c>
      <c r="O25" s="56">
        <f>'Balance Sheet'!N26-'Balance Sheet'!O26</f>
        <v>-451.3492261916499</v>
      </c>
      <c r="P25" s="56">
        <f>'Balance Sheet'!O26-'Balance Sheet'!P26</f>
        <v>-556.95465098150908</v>
      </c>
      <c r="Q25" s="56">
        <f>'Balance Sheet'!P26-'Balance Sheet'!Q26</f>
        <v>-692.40042502012057</v>
      </c>
    </row>
    <row r="26" spans="2:17" ht="16.5" x14ac:dyDescent="0.3">
      <c r="B26" s="2" t="s">
        <v>98</v>
      </c>
      <c r="C26" s="85">
        <v>147</v>
      </c>
      <c r="D26" s="85">
        <v>-272</v>
      </c>
      <c r="E26" s="85">
        <v>-360</v>
      </c>
      <c r="F26" s="85">
        <v>-52</v>
      </c>
      <c r="G26" s="86">
        <v>-205</v>
      </c>
      <c r="H26" s="56">
        <f>'Balance Sheet'!G29-'Balance Sheet'!H29</f>
        <v>209.1874949256262</v>
      </c>
      <c r="I26" s="56">
        <f>'Balance Sheet'!H29-'Balance Sheet'!I29</f>
        <v>-103.70248338049782</v>
      </c>
      <c r="J26" s="56">
        <f>'Balance Sheet'!I29-'Balance Sheet'!J29</f>
        <v>-121.13584294313273</v>
      </c>
      <c r="K26" s="56">
        <f>'Balance Sheet'!J29-'Balance Sheet'!K29</f>
        <v>-142.8730978054266</v>
      </c>
      <c r="L26" s="56">
        <f>'Balance Sheet'!K29-'Balance Sheet'!L29</f>
        <v>-170.1498313222155</v>
      </c>
      <c r="M26" s="56">
        <f>'Balance Sheet'!L29-'Balance Sheet'!M29</f>
        <v>-204.57178999326038</v>
      </c>
      <c r="N26" s="56">
        <f>'Balance Sheet'!M29-'Balance Sheet'!N29</f>
        <v>-248.22697792856434</v>
      </c>
      <c r="O26" s="56">
        <f>'Balance Sheet'!N29-'Balance Sheet'!O29</f>
        <v>-303.83178571981989</v>
      </c>
      <c r="P26" s="56">
        <f>'Balance Sheet'!O29-'Balance Sheet'!P29</f>
        <v>-374.92149394051967</v>
      </c>
      <c r="Q26" s="56">
        <f>'Balance Sheet'!P29-'Balance Sheet'!Q29</f>
        <v>-466.09863351731474</v>
      </c>
    </row>
    <row r="27" spans="2:17" ht="16.5" x14ac:dyDescent="0.3">
      <c r="B27" s="2" t="s">
        <v>99</v>
      </c>
      <c r="C27" s="85">
        <v>-4</v>
      </c>
      <c r="D27" s="85">
        <v>3</v>
      </c>
      <c r="E27" s="85">
        <v>13</v>
      </c>
      <c r="F27" s="85">
        <v>-4</v>
      </c>
      <c r="G27" s="86">
        <v>3</v>
      </c>
      <c r="H27" s="56">
        <f>'Balance Sheet'!G33-'Balance Sheet'!H33</f>
        <v>-1.8173282925774767</v>
      </c>
      <c r="I27" s="56">
        <f>'Balance Sheet'!H33-'Balance Sheet'!I33</f>
        <v>-0.47048693136687625</v>
      </c>
      <c r="J27" s="56">
        <f>'Balance Sheet'!I33-'Balance Sheet'!J33</f>
        <v>-0.54958019487094045</v>
      </c>
      <c r="K27" s="56">
        <f>'Balance Sheet'!J33-'Balance Sheet'!K33</f>
        <v>-0.64819976504049581</v>
      </c>
      <c r="L27" s="56">
        <f>'Balance Sheet'!K33-'Balance Sheet'!L33</f>
        <v>-0.77195134968615076</v>
      </c>
      <c r="M27" s="56">
        <f>'Balance Sheet'!L33-'Balance Sheet'!M33</f>
        <v>-0.9281200467013937</v>
      </c>
      <c r="N27" s="56">
        <f>'Balance Sheet'!M33-'Balance Sheet'!N33</f>
        <v>-1.1261789045067978</v>
      </c>
      <c r="O27" s="56">
        <f>'Balance Sheet'!N33-'Balance Sheet'!O33</f>
        <v>-1.3784518929073126</v>
      </c>
      <c r="P27" s="56">
        <f>'Balance Sheet'!O33-'Balance Sheet'!P33</f>
        <v>-1.7009781968320024</v>
      </c>
      <c r="Q27" s="56">
        <f>'Balance Sheet'!P33-'Balance Sheet'!Q33</f>
        <v>-2.1146390004301061</v>
      </c>
    </row>
    <row r="28" spans="2:17" ht="16.5" x14ac:dyDescent="0.3">
      <c r="B28" s="2" t="s">
        <v>100</v>
      </c>
      <c r="C28" s="85">
        <v>2</v>
      </c>
      <c r="D28" s="85">
        <v>0</v>
      </c>
      <c r="E28" s="85">
        <v>-4</v>
      </c>
      <c r="F28" s="85">
        <v>-6</v>
      </c>
      <c r="G28" s="85">
        <v>2</v>
      </c>
      <c r="H28" s="56">
        <f>SUM('Balance Sheet'!G28,'Balance Sheet'!G34,'Balance Sheet'!G36)-SUM('Balance Sheet'!H28,'Balance Sheet'!H34,'Balance Sheet'!H36)</f>
        <v>520.07549801439313</v>
      </c>
      <c r="I28" s="56">
        <f>SUM('Balance Sheet'!H28,'Balance Sheet'!H34,'Balance Sheet'!H36)-SUM('Balance Sheet'!I28,'Balance Sheet'!I34,'Balance Sheet'!I36)</f>
        <v>-83.691987522108889</v>
      </c>
      <c r="J28" s="56">
        <f>SUM('Balance Sheet'!I28,'Balance Sheet'!I34,'Balance Sheet'!I36)-SUM('Balance Sheet'!J28,'Balance Sheet'!J34,'Balance Sheet'!J36)</f>
        <v>-97.761395152696991</v>
      </c>
      <c r="K28" s="56">
        <f>SUM('Balance Sheet'!J28,'Balance Sheet'!J34,'Balance Sheet'!J36)-SUM('Balance Sheet'!K28,'Balance Sheet'!K34,'Balance Sheet'!K36)</f>
        <v>-115.30421576216054</v>
      </c>
      <c r="L28" s="56">
        <f>SUM('Balance Sheet'!K28,'Balance Sheet'!K34,'Balance Sheet'!K36)-SUM('Balance Sheet'!L28,'Balance Sheet'!L34,'Balance Sheet'!L36)</f>
        <v>-137.31761377072121</v>
      </c>
      <c r="M28" s="56">
        <f>SUM('Balance Sheet'!L28,'Balance Sheet'!L34,'Balance Sheet'!L36)-SUM('Balance Sheet'!M28,'Balance Sheet'!M34,'Balance Sheet'!M36)</f>
        <v>-165.09748983225609</v>
      </c>
      <c r="N28" s="56">
        <f>SUM('Balance Sheet'!M28,'Balance Sheet'!M34,'Balance Sheet'!M36)-SUM('Balance Sheet'!N28,'Balance Sheet'!N34,'Balance Sheet'!N36)</f>
        <v>-200.32894548169611</v>
      </c>
      <c r="O28" s="56">
        <f>SUM('Balance Sheet'!N28,'Balance Sheet'!N34,'Balance Sheet'!N36)-SUM('Balance Sheet'!O28,'Balance Sheet'!O34,'Balance Sheet'!O36)</f>
        <v>-245.20421488831244</v>
      </c>
      <c r="P28" s="56">
        <f>SUM('Balance Sheet'!O28,'Balance Sheet'!O34,'Balance Sheet'!O36)-SUM('Balance Sheet'!P28,'Balance Sheet'!P34,'Balance Sheet'!P36)</f>
        <v>-302.57640868165822</v>
      </c>
      <c r="Q28" s="56">
        <f>SUM('Balance Sheet'!P28,'Balance Sheet'!P34,'Balance Sheet'!P36)-SUM('Balance Sheet'!Q28,'Balance Sheet'!Q34,'Balance Sheet'!Q36)</f>
        <v>-376.15995055079975</v>
      </c>
    </row>
    <row r="29" spans="2:17" ht="16.5" x14ac:dyDescent="0.3">
      <c r="B29" s="2" t="s">
        <v>101</v>
      </c>
      <c r="C29" s="85">
        <v>83</v>
      </c>
      <c r="D29" s="85">
        <v>11</v>
      </c>
      <c r="E29" s="85">
        <v>-13</v>
      </c>
      <c r="F29" s="85">
        <v>-145</v>
      </c>
      <c r="G29" s="86">
        <v>-33</v>
      </c>
      <c r="H29" s="56">
        <f>'Balance Sheet'!G35-'Balance Sheet'!H35</f>
        <v>55.822834666177584</v>
      </c>
      <c r="I29" s="56">
        <f>'Balance Sheet'!H35-'Balance Sheet'!I35</f>
        <v>-34.883897933872618</v>
      </c>
      <c r="J29" s="56">
        <f>'Balance Sheet'!I35-'Balance Sheet'!J35</f>
        <v>-40.74820817797837</v>
      </c>
      <c r="K29" s="56">
        <f>'Balance Sheet'!J35-'Balance Sheet'!K35</f>
        <v>-48.060281671884923</v>
      </c>
      <c r="L29" s="56">
        <f>'Balance Sheet'!K35-'Balance Sheet'!L35</f>
        <v>-57.235749384436076</v>
      </c>
      <c r="M29" s="56">
        <f>'Balance Sheet'!L35-'Balance Sheet'!M35</f>
        <v>-68.814759392893734</v>
      </c>
      <c r="N29" s="56">
        <f>'Balance Sheet'!M35-'Balance Sheet'!N35</f>
        <v>-83.499683712705632</v>
      </c>
      <c r="O29" s="56">
        <f>'Balance Sheet'!N35-'Balance Sheet'!O35</f>
        <v>-102.20427377064777</v>
      </c>
      <c r="P29" s="56">
        <f>'Balance Sheet'!O35-'Balance Sheet'!P35</f>
        <v>-126.11774281092755</v>
      </c>
      <c r="Q29" s="56">
        <f>'Balance Sheet'!P35-'Balance Sheet'!Q35</f>
        <v>-156.78831045036691</v>
      </c>
    </row>
    <row r="30" spans="2:17" ht="16.5" x14ac:dyDescent="0.3">
      <c r="B30" s="2" t="s">
        <v>102</v>
      </c>
      <c r="C30" s="85">
        <v>-60</v>
      </c>
      <c r="D30" s="85">
        <v>1</v>
      </c>
      <c r="E30" s="85">
        <v>1</v>
      </c>
      <c r="F30" s="85">
        <v>9</v>
      </c>
      <c r="G30" s="86">
        <v>-3</v>
      </c>
      <c r="H30" s="56">
        <f>'Balance Sheet'!G32-'Balance Sheet'!H32</f>
        <v>2.3675914130588005E-2</v>
      </c>
      <c r="I30" s="56">
        <f>'Balance Sheet'!H32-'Balance Sheet'!I32</f>
        <v>-0.6813464044870754</v>
      </c>
      <c r="J30" s="56">
        <f>'Balance Sheet'!I32-'Balance Sheet'!J32</f>
        <v>-0.7958871220179109</v>
      </c>
      <c r="K30" s="56">
        <f>'Balance Sheet'!J32-'Balance Sheet'!K32</f>
        <v>-0.9387053068968676</v>
      </c>
      <c r="L30" s="56">
        <f>'Balance Sheet'!K32-'Balance Sheet'!L32</f>
        <v>-1.117918993030365</v>
      </c>
      <c r="M30" s="56">
        <f>'Balance Sheet'!L32-'Balance Sheet'!M32</f>
        <v>-1.3440782614623998</v>
      </c>
      <c r="N30" s="56">
        <f>'Balance Sheet'!M32-'Balance Sheet'!N32</f>
        <v>-1.6309017238069927</v>
      </c>
      <c r="O30" s="56">
        <f>'Balance Sheet'!N32-'Balance Sheet'!O32</f>
        <v>-1.9962366186499452</v>
      </c>
      <c r="P30" s="56">
        <f>'Balance Sheet'!O32-'Balance Sheet'!P32</f>
        <v>-2.4633104582848961</v>
      </c>
      <c r="Q30" s="56">
        <f>'Balance Sheet'!P32-'Balance Sheet'!Q32</f>
        <v>-3.0623628068591096</v>
      </c>
    </row>
    <row r="31" spans="2:17" ht="16.5" x14ac:dyDescent="0.3">
      <c r="B31" s="2" t="s">
        <v>103</v>
      </c>
      <c r="C31" s="85">
        <v>-39</v>
      </c>
      <c r="D31" s="85">
        <v>1</v>
      </c>
      <c r="E31" s="85">
        <v>26</v>
      </c>
      <c r="F31" s="85">
        <v>-40</v>
      </c>
      <c r="G31" s="86">
        <v>14</v>
      </c>
      <c r="H31" s="56">
        <f>'Balance Sheet'!H68-'Balance Sheet'!G68</f>
        <v>7.0670903634095801</v>
      </c>
      <c r="I31" s="56">
        <f>'Balance Sheet'!I68-'Balance Sheet'!H68</f>
        <v>2.7411873170080447</v>
      </c>
      <c r="J31" s="56">
        <f>'Balance Sheet'!J68-'Balance Sheet'!I68</f>
        <v>3.2020066008683443</v>
      </c>
      <c r="K31" s="56">
        <f>'Balance Sheet'!K68-'Balance Sheet'!J68</f>
        <v>3.7765915615434196</v>
      </c>
      <c r="L31" s="56">
        <f>'Balance Sheet'!L68-'Balance Sheet'!K68</f>
        <v>4.4976026070676483</v>
      </c>
      <c r="M31" s="56">
        <f>'Balance Sheet'!M68-'Balance Sheet'!L68</f>
        <v>5.4074847377533075</v>
      </c>
      <c r="N31" s="56">
        <f>'Balance Sheet'!N68-'Balance Sheet'!M68</f>
        <v>6.5614305603502885</v>
      </c>
      <c r="O31" s="56">
        <f>'Balance Sheet'!O68-'Balance Sheet'!N68</f>
        <v>8.0312429400866492</v>
      </c>
      <c r="P31" s="56">
        <f>'Balance Sheet'!P68-'Balance Sheet'!O68</f>
        <v>9.9103706156446165</v>
      </c>
      <c r="Q31" s="56">
        <f>'Balance Sheet'!Q68-'Balance Sheet'!P68</f>
        <v>12.320473155734661</v>
      </c>
    </row>
    <row r="32" spans="2:17" ht="16.5" x14ac:dyDescent="0.3">
      <c r="B32" s="2" t="s">
        <v>104</v>
      </c>
      <c r="C32" s="85">
        <v>26</v>
      </c>
      <c r="D32" s="85">
        <v>-7</v>
      </c>
      <c r="E32" s="85">
        <v>5</v>
      </c>
      <c r="F32" s="85">
        <v>5</v>
      </c>
      <c r="G32" s="86">
        <v>21</v>
      </c>
      <c r="H32" s="56">
        <f>'Balance Sheet'!H69-'Balance Sheet'!G69</f>
        <v>4.2377846072858603</v>
      </c>
      <c r="I32" s="56">
        <f>'Balance Sheet'!I69-'Balance Sheet'!H69</f>
        <v>9.3991144492256211</v>
      </c>
      <c r="J32" s="56">
        <f>'Balance Sheet'!J69-'Balance Sheet'!I69</f>
        <v>10.979193695375301</v>
      </c>
      <c r="K32" s="56">
        <f>'Balance Sheet'!K69-'Balance Sheet'!J69</f>
        <v>12.949358146626111</v>
      </c>
      <c r="L32" s="56">
        <f>'Balance Sheet'!L69-'Balance Sheet'!K69</f>
        <v>15.421595375359118</v>
      </c>
      <c r="M32" s="56">
        <f>'Balance Sheet'!M69-'Balance Sheet'!L69</f>
        <v>18.541442832903243</v>
      </c>
      <c r="N32" s="56">
        <f>'Balance Sheet'!N69-'Balance Sheet'!M69</f>
        <v>22.498147574494226</v>
      </c>
      <c r="O32" s="56">
        <f>'Balance Sheet'!O69-'Balance Sheet'!N69</f>
        <v>27.537910705716342</v>
      </c>
      <c r="P32" s="56">
        <f>'Balance Sheet'!P69-'Balance Sheet'!O69</f>
        <v>33.981153740473445</v>
      </c>
      <c r="Q32" s="56">
        <f>'Balance Sheet'!Q69-'Balance Sheet'!P69</f>
        <v>42.245028838728615</v>
      </c>
    </row>
    <row r="33" spans="2:26" ht="16.5" x14ac:dyDescent="0.3">
      <c r="B33" s="2" t="s">
        <v>105</v>
      </c>
      <c r="C33" s="85">
        <v>77</v>
      </c>
      <c r="D33" s="85">
        <v>-3</v>
      </c>
      <c r="E33" s="85">
        <v>-9</v>
      </c>
      <c r="F33" s="85">
        <v>-7</v>
      </c>
      <c r="G33" s="86">
        <v>21</v>
      </c>
      <c r="H33" s="56">
        <f>'Balance Sheet'!H67-'Balance Sheet'!G67</f>
        <v>63.057957736210142</v>
      </c>
      <c r="I33" s="56">
        <f>'Balance Sheet'!I67-'Balance Sheet'!H67</f>
        <v>28.816992465425642</v>
      </c>
      <c r="J33" s="56">
        <f>'Balance Sheet'!J67-'Balance Sheet'!I67</f>
        <v>33.66139902915495</v>
      </c>
      <c r="K33" s="56">
        <f>'Balance Sheet'!K67-'Balance Sheet'!J67</f>
        <v>39.701778094016845</v>
      </c>
      <c r="L33" s="56">
        <f>'Balance Sheet'!L67-'Balance Sheet'!K67</f>
        <v>47.281475306770005</v>
      </c>
      <c r="M33" s="56">
        <f>'Balance Sheet'!M67-'Balance Sheet'!L67</f>
        <v>56.846697771396464</v>
      </c>
      <c r="N33" s="56">
        <f>'Balance Sheet'!N67-'Balance Sheet'!M67</f>
        <v>68.977663017354757</v>
      </c>
      <c r="O33" s="56">
        <f>'Balance Sheet'!O67-'Balance Sheet'!N67</f>
        <v>84.429205496648933</v>
      </c>
      <c r="P33" s="56">
        <f>'Balance Sheet'!P67-'Balance Sheet'!O67</f>
        <v>104.18371396534837</v>
      </c>
      <c r="Q33" s="56">
        <f>'Balance Sheet'!Q67-'Balance Sheet'!P67</f>
        <v>129.52014621416072</v>
      </c>
    </row>
    <row r="34" spans="2:26" ht="16.5" x14ac:dyDescent="0.3">
      <c r="B34" s="2" t="s">
        <v>106</v>
      </c>
      <c r="C34" s="85">
        <v>184</v>
      </c>
      <c r="D34" s="85">
        <v>210</v>
      </c>
      <c r="E34" s="85">
        <v>99</v>
      </c>
      <c r="F34" s="85">
        <v>106</v>
      </c>
      <c r="G34" s="86">
        <v>-218</v>
      </c>
      <c r="H34" s="56">
        <f>'Working Capital'!H14-'Working Capital'!G14</f>
        <v>348.16044529376745</v>
      </c>
      <c r="I34" s="56">
        <f>'Working Capital'!I14-'Working Capital'!H14</f>
        <v>167.12139553019574</v>
      </c>
      <c r="J34" s="56">
        <f>'Working Capital'!J14-'Working Capital'!I14</f>
        <v>195.21606871364565</v>
      </c>
      <c r="K34" s="56">
        <f>'Working Capital'!K14-'Working Capital'!J14</f>
        <v>230.24667019165463</v>
      </c>
      <c r="L34" s="56">
        <f>'Working Capital'!L14-'Working Capital'!K14</f>
        <v>274.20440025010612</v>
      </c>
      <c r="M34" s="56">
        <f>'Working Capital'!M14-'Working Capital'!L14</f>
        <v>329.67699437189367</v>
      </c>
      <c r="N34" s="56">
        <f>'Working Capital'!N14-'Working Capital'!M14</f>
        <v>400.02936870329768</v>
      </c>
      <c r="O34" s="56">
        <f>'Working Capital'!O14-'Working Capital'!N14</f>
        <v>489.63911355546861</v>
      </c>
      <c r="P34" s="56">
        <f>'Working Capital'!P14-'Working Capital'!O14</f>
        <v>604.20349869257461</v>
      </c>
      <c r="Q34" s="56">
        <f>'Working Capital'!Q14-'Working Capital'!P14</f>
        <v>751.13971767024759</v>
      </c>
    </row>
    <row r="35" spans="2:26" ht="16.5" x14ac:dyDescent="0.3">
      <c r="B35" s="2" t="s">
        <v>107</v>
      </c>
      <c r="C35" s="85">
        <v>8</v>
      </c>
      <c r="D35" s="85">
        <v>0</v>
      </c>
      <c r="E35" s="85">
        <v>-8</v>
      </c>
      <c r="F35" s="85">
        <v>9</v>
      </c>
      <c r="G35" s="85">
        <v>4</v>
      </c>
      <c r="H35" s="56">
        <f>SUM('Balance Sheet'!H61,'Balance Sheet'!H62,'Balance Sheet'!H66,'Balance Sheet'!H70)-SUM('Balance Sheet'!G61:G62,'Balance Sheet'!G66,'Balance Sheet'!G70)</f>
        <v>-24.646274929405877</v>
      </c>
      <c r="I35" s="56">
        <f>SUM('Balance Sheet'!I61,'Balance Sheet'!I62,'Balance Sheet'!I66,'Balance Sheet'!I70)-SUM('Balance Sheet'!H61:H62,'Balance Sheet'!H66,'Balance Sheet'!H70)</f>
        <v>71.135054172267701</v>
      </c>
      <c r="J35" s="56">
        <f>SUM('Balance Sheet'!J61,'Balance Sheet'!J62,'Balance Sheet'!J66,'Balance Sheet'!J70)-SUM('Balance Sheet'!I61:I62,'Balance Sheet'!I66,'Balance Sheet'!I70)</f>
        <v>83.093523598139768</v>
      </c>
      <c r="K35" s="56">
        <f>SUM('Balance Sheet'!K61,'Balance Sheet'!K62,'Balance Sheet'!K66,'Balance Sheet'!K70)-SUM('Balance Sheet'!J61:J62,'Balance Sheet'!J66,'Balance Sheet'!J70)</f>
        <v>98.004263937039241</v>
      </c>
      <c r="L35" s="56">
        <f>SUM('Balance Sheet'!L61,'Balance Sheet'!L62,'Balance Sheet'!L66,'Balance Sheet'!L70)-SUM('Balance Sheet'!K61:K62,'Balance Sheet'!K66,'Balance Sheet'!K70)</f>
        <v>116.71482759094874</v>
      </c>
      <c r="M35" s="56">
        <f>SUM('Balance Sheet'!M61,'Balance Sheet'!M62,'Balance Sheet'!M66,'Balance Sheet'!M70)-SUM('Balance Sheet'!L61:L62,'Balance Sheet'!L66,'Balance Sheet'!L70)</f>
        <v>140.3266815693737</v>
      </c>
      <c r="N35" s="56">
        <f>SUM('Balance Sheet'!N61,'Balance Sheet'!N62,'Balance Sheet'!N66,'Balance Sheet'!N70)-SUM('Balance Sheet'!M61:M62,'Balance Sheet'!M66,'Balance Sheet'!M70)</f>
        <v>170.27209905069094</v>
      </c>
      <c r="O35" s="56">
        <f>SUM('Balance Sheet'!O61,'Balance Sheet'!O62,'Balance Sheet'!O66,'Balance Sheet'!O70)-SUM('Balance Sheet'!N61:N62,'Balance Sheet'!N66,'Balance Sheet'!N70)</f>
        <v>208.41439695455506</v>
      </c>
      <c r="P35" s="56">
        <f>SUM('Balance Sheet'!P61,'Balance Sheet'!P62,'Balance Sheet'!P66,'Balance Sheet'!P70)-SUM('Balance Sheet'!O61:O62,'Balance Sheet'!O66,'Balance Sheet'!O70)</f>
        <v>257.17861243448283</v>
      </c>
      <c r="Q35" s="56">
        <f>SUM('Balance Sheet'!Q61,'Balance Sheet'!Q62,'Balance Sheet'!Q66,'Balance Sheet'!Q70)-SUM('Balance Sheet'!P61:P62,'Balance Sheet'!P66,'Balance Sheet'!P70)</f>
        <v>319.72186647855574</v>
      </c>
    </row>
    <row r="36" spans="2:26" ht="16.5" x14ac:dyDescent="0.3">
      <c r="B36" s="3" t="s">
        <v>108</v>
      </c>
      <c r="C36" s="57">
        <f t="shared" ref="C36:D36" si="23">SUM(C25:C35)</f>
        <v>675</v>
      </c>
      <c r="D36" s="57">
        <f t="shared" si="23"/>
        <v>-342</v>
      </c>
      <c r="E36" s="57">
        <f>SUM(E25:E35)</f>
        <v>-59</v>
      </c>
      <c r="F36" s="57">
        <f>SUM(F25:F35)</f>
        <v>-226</v>
      </c>
      <c r="G36" s="57">
        <f t="shared" ref="G36:H36" si="24">SUM(G25:G35)</f>
        <v>-293</v>
      </c>
      <c r="H36" s="57">
        <f t="shared" si="24"/>
        <v>838.82185964856558</v>
      </c>
      <c r="I36" s="57">
        <f t="shared" ref="I36" si="25">SUM(I25:I35)</f>
        <v>-98.268923542491507</v>
      </c>
      <c r="J36" s="57">
        <f t="shared" ref="J36" si="26">SUM(J25:J35)</f>
        <v>-114.78885076220445</v>
      </c>
      <c r="K36" s="57">
        <f t="shared" ref="K36" si="27">SUM(K25:K35)</f>
        <v>-135.38716785600752</v>
      </c>
      <c r="L36" s="57">
        <f t="shared" ref="L36" si="28">SUM(L25:L35)</f>
        <v>-161.2347189760269</v>
      </c>
      <c r="M36" s="57">
        <f t="shared" ref="M36" si="29">SUM(M25:M35)</f>
        <v>-193.85311647781486</v>
      </c>
      <c r="N36" s="57">
        <f t="shared" ref="N36" si="30">SUM(N25:N35)</f>
        <v>-235.22096212242798</v>
      </c>
      <c r="O36" s="57">
        <f t="shared" ref="O36" si="31">SUM(O25:O35)</f>
        <v>-287.91231942951151</v>
      </c>
      <c r="P36" s="57">
        <f t="shared" ref="P36" si="32">SUM(P25:P35)</f>
        <v>-355.27723562120786</v>
      </c>
      <c r="Q36" s="57">
        <f t="shared" ref="Q36" si="33">SUM(Q25:Q35)</f>
        <v>-441.67708898846399</v>
      </c>
    </row>
    <row r="37" spans="2:26" x14ac:dyDescent="0.25">
      <c r="B37" s="4" t="s">
        <v>109</v>
      </c>
      <c r="C37" s="58">
        <f t="shared" ref="C37:E37" si="34">C23+C36</f>
        <v>2292</v>
      </c>
      <c r="D37" s="58">
        <f t="shared" si="34"/>
        <v>1367</v>
      </c>
      <c r="E37" s="58">
        <f t="shared" si="34"/>
        <v>1788</v>
      </c>
      <c r="F37" s="58">
        <f>F23+F36</f>
        <v>1814</v>
      </c>
      <c r="G37" s="58">
        <f t="shared" ref="G37:H37" si="35">G23+G36</f>
        <v>1926</v>
      </c>
      <c r="H37" s="58">
        <f t="shared" si="35"/>
        <v>3294.1555313134895</v>
      </c>
      <c r="I37" s="58">
        <f t="shared" ref="I37" si="36">I23+I36</f>
        <v>2596.8662178381928</v>
      </c>
      <c r="J37" s="58">
        <f t="shared" ref="J37" si="37">J23+J36</f>
        <v>2860.4606352908049</v>
      </c>
      <c r="K37" s="58">
        <f t="shared" ref="K37" si="38">K23+K36</f>
        <v>3170.2418589730514</v>
      </c>
      <c r="L37" s="58">
        <f t="shared" ref="L37" si="39">L23+L36</f>
        <v>3537.8485270084957</v>
      </c>
      <c r="M37" s="58">
        <f t="shared" ref="M37" si="40">M23+M36</f>
        <v>3978.281635156507</v>
      </c>
      <c r="N37" s="58">
        <f t="shared" ref="N37" si="41">N23+N36</f>
        <v>4510.9134873972916</v>
      </c>
      <c r="O37" s="58">
        <f t="shared" ref="O37" si="42">O23+O36</f>
        <v>5160.8023035528513</v>
      </c>
      <c r="P37" s="58">
        <f t="shared" ref="P37" si="43">P23+P36</f>
        <v>5960.4052973299631</v>
      </c>
      <c r="Q37" s="58">
        <f t="shared" ref="Q37" si="44">Q23+Q36</f>
        <v>6951.8112370974504</v>
      </c>
    </row>
    <row r="38" spans="2:26" ht="16.5" x14ac:dyDescent="0.3">
      <c r="B38" s="2" t="s">
        <v>110</v>
      </c>
      <c r="C38" s="85">
        <v>-285</v>
      </c>
      <c r="D38" s="85">
        <v>-351</v>
      </c>
      <c r="E38" s="85">
        <v>-369</v>
      </c>
      <c r="F38" s="85">
        <v>-378</v>
      </c>
      <c r="G38" s="86">
        <v>-484</v>
      </c>
      <c r="H38" s="56">
        <f>-'P&amp;L Statement '!H37</f>
        <v>-495.87166217587873</v>
      </c>
      <c r="I38" s="56">
        <f>-'P&amp;L Statement '!I37</f>
        <v>-540.02448231532014</v>
      </c>
      <c r="J38" s="56">
        <f>-'P&amp;L Statement '!J37</f>
        <v>-591.14341508487496</v>
      </c>
      <c r="K38" s="56">
        <f>-'P&amp;L Statement '!K37</f>
        <v>-650.96579546423561</v>
      </c>
      <c r="L38" s="56">
        <f>-'P&amp;L Statement '!L37</f>
        <v>-721.74464047116123</v>
      </c>
      <c r="M38" s="56">
        <f>-'P&amp;L Statement '!M37</f>
        <v>-806.40771962708993</v>
      </c>
      <c r="N38" s="56">
        <f>-'P&amp;L Statement '!N37</f>
        <v>-908.76586417037663</v>
      </c>
      <c r="O38" s="56">
        <f>-'P&amp;L Statement '!O37</f>
        <v>-1033.7857127586844</v>
      </c>
      <c r="P38" s="56">
        <f>-'P&amp;L Statement '!P37</f>
        <v>-1187.9467678302306</v>
      </c>
      <c r="Q38" s="56">
        <f>-'P&amp;L Statement '!Q37</f>
        <v>-1383.7059661524215</v>
      </c>
    </row>
    <row r="39" spans="2:26" x14ac:dyDescent="0.25">
      <c r="B39" s="4" t="s">
        <v>111</v>
      </c>
      <c r="C39" s="58">
        <f t="shared" ref="C39:H39" si="45">SUM(C37:C38)</f>
        <v>2007</v>
      </c>
      <c r="D39" s="58">
        <f t="shared" si="45"/>
        <v>1016</v>
      </c>
      <c r="E39" s="58">
        <f t="shared" si="45"/>
        <v>1419</v>
      </c>
      <c r="F39" s="58">
        <f t="shared" si="45"/>
        <v>1436</v>
      </c>
      <c r="G39" s="58">
        <f t="shared" si="45"/>
        <v>1442</v>
      </c>
      <c r="H39" s="58">
        <f t="shared" si="45"/>
        <v>2798.283869137611</v>
      </c>
      <c r="I39" s="58">
        <f t="shared" ref="I39:Q39" si="46">SUM(I37:I38)</f>
        <v>2056.8417355228726</v>
      </c>
      <c r="J39" s="58">
        <f t="shared" si="46"/>
        <v>2269.31722020593</v>
      </c>
      <c r="K39" s="58">
        <f t="shared" si="46"/>
        <v>2519.2760635088157</v>
      </c>
      <c r="L39" s="58">
        <f t="shared" si="46"/>
        <v>2816.1038865373343</v>
      </c>
      <c r="M39" s="58">
        <f t="shared" si="46"/>
        <v>3171.873915529417</v>
      </c>
      <c r="N39" s="58">
        <f t="shared" si="46"/>
        <v>3602.1476232269151</v>
      </c>
      <c r="O39" s="58">
        <f t="shared" si="46"/>
        <v>4127.0165907941664</v>
      </c>
      <c r="P39" s="58">
        <f t="shared" si="46"/>
        <v>4772.4585294997323</v>
      </c>
      <c r="Q39" s="58">
        <f t="shared" si="46"/>
        <v>5568.1052709450287</v>
      </c>
    </row>
    <row r="40" spans="2:26" x14ac:dyDescent="0.25">
      <c r="B40" s="290"/>
      <c r="C40" s="291"/>
      <c r="D40" s="291"/>
      <c r="E40" s="291"/>
      <c r="F40" s="291"/>
      <c r="G40" s="291"/>
      <c r="H40" s="291"/>
      <c r="I40" s="291"/>
      <c r="J40" s="291"/>
      <c r="K40" s="291"/>
      <c r="L40" s="291"/>
      <c r="M40" s="291"/>
      <c r="N40" s="291"/>
      <c r="O40" s="291"/>
      <c r="P40" s="291"/>
      <c r="Q40" s="291"/>
    </row>
    <row r="41" spans="2:26" ht="16.5" x14ac:dyDescent="0.3">
      <c r="B41" s="18" t="s">
        <v>219</v>
      </c>
      <c r="C41" s="292"/>
      <c r="D41" s="292"/>
      <c r="E41" s="292"/>
      <c r="F41" s="292"/>
      <c r="G41" s="293"/>
      <c r="H41" s="293"/>
      <c r="I41" s="293"/>
      <c r="J41" s="293"/>
      <c r="K41" s="293"/>
      <c r="L41" s="293"/>
      <c r="M41" s="293"/>
      <c r="N41" s="293"/>
      <c r="O41" s="293"/>
      <c r="P41" s="293"/>
      <c r="Q41" s="293"/>
    </row>
    <row r="42" spans="2:26" ht="16.5" x14ac:dyDescent="0.3">
      <c r="B42" s="2" t="s">
        <v>112</v>
      </c>
      <c r="C42" s="85">
        <v>-142</v>
      </c>
      <c r="D42" s="85">
        <v>-132</v>
      </c>
      <c r="E42" s="85">
        <v>-182</v>
      </c>
      <c r="F42" s="85">
        <v>-153</v>
      </c>
      <c r="G42" s="86">
        <v>-161</v>
      </c>
      <c r="H42" s="56">
        <f>-'FAS Seechules'!H92</f>
        <v>-250.7203600632177</v>
      </c>
      <c r="I42" s="56">
        <f>-'FAS Seechules'!I92</f>
        <v>-287.97768784446066</v>
      </c>
      <c r="J42" s="56">
        <f>-'FAS Seechules'!J92</f>
        <v>-332.09794147174279</v>
      </c>
      <c r="K42" s="56">
        <f>-'FAS Seechules'!K92</f>
        <v>-384.50630466197867</v>
      </c>
      <c r="L42" s="56">
        <f>-'FAS Seechules'!L92</f>
        <v>-446.94431500908814</v>
      </c>
      <c r="M42" s="56">
        <f>-'FAS Seechules'!M92</f>
        <v>-521.54251914444546</v>
      </c>
      <c r="N42" s="56">
        <f>-'FAS Seechules'!N92</f>
        <v>-610.91009089422539</v>
      </c>
      <c r="O42" s="56">
        <f>-'FAS Seechules'!O92</f>
        <v>-718.24540377674725</v>
      </c>
      <c r="P42" s="56">
        <f>-'FAS Seechules'!P92</f>
        <v>-847.47249183178758</v>
      </c>
      <c r="Q42" s="56">
        <f>-'FAS Seechules'!Q92</f>
        <v>-1003.4094984616498</v>
      </c>
    </row>
    <row r="43" spans="2:26" ht="16.5" x14ac:dyDescent="0.3">
      <c r="B43" s="2" t="s">
        <v>113</v>
      </c>
      <c r="C43" s="85">
        <v>-132</v>
      </c>
      <c r="D43" s="85">
        <v>-55</v>
      </c>
      <c r="E43" s="85">
        <v>-277</v>
      </c>
      <c r="F43" s="85">
        <v>-103</v>
      </c>
      <c r="G43" s="86">
        <v>0</v>
      </c>
      <c r="H43" s="56">
        <v>0</v>
      </c>
      <c r="I43" s="56">
        <v>0</v>
      </c>
      <c r="J43" s="56">
        <v>0</v>
      </c>
      <c r="K43" s="56">
        <v>0</v>
      </c>
      <c r="L43" s="56">
        <v>0</v>
      </c>
      <c r="M43" s="56">
        <v>0</v>
      </c>
      <c r="N43" s="56">
        <v>0</v>
      </c>
      <c r="O43" s="56">
        <v>0</v>
      </c>
      <c r="P43" s="56">
        <v>0</v>
      </c>
      <c r="Q43" s="56">
        <v>0</v>
      </c>
    </row>
    <row r="44" spans="2:26" ht="16.5" x14ac:dyDescent="0.3">
      <c r="B44" s="2" t="s">
        <v>114</v>
      </c>
      <c r="C44" s="85">
        <v>5</v>
      </c>
      <c r="D44" s="85">
        <v>3</v>
      </c>
      <c r="E44" s="85">
        <v>25</v>
      </c>
      <c r="F44" s="85">
        <v>18</v>
      </c>
      <c r="G44" s="86">
        <v>39</v>
      </c>
      <c r="H44" s="56">
        <v>0</v>
      </c>
      <c r="I44" s="56">
        <v>0</v>
      </c>
      <c r="J44" s="56">
        <v>0</v>
      </c>
      <c r="K44" s="56">
        <v>0</v>
      </c>
      <c r="L44" s="56">
        <v>0</v>
      </c>
      <c r="M44" s="56">
        <v>0</v>
      </c>
      <c r="N44" s="56">
        <v>0</v>
      </c>
      <c r="O44" s="56">
        <v>0</v>
      </c>
      <c r="P44" s="56">
        <v>0</v>
      </c>
      <c r="Q44" s="56">
        <v>0</v>
      </c>
      <c r="R44" s="56"/>
      <c r="S44" s="56"/>
      <c r="T44" s="56"/>
      <c r="U44" s="56"/>
      <c r="V44" s="56"/>
      <c r="W44" s="56"/>
      <c r="X44" s="56"/>
      <c r="Y44" s="56"/>
      <c r="Z44" s="56"/>
    </row>
    <row r="45" spans="2:26" x14ac:dyDescent="0.25">
      <c r="B45" t="s">
        <v>132</v>
      </c>
      <c r="C45" s="86">
        <v>0</v>
      </c>
      <c r="D45" s="86">
        <v>0</v>
      </c>
      <c r="E45" s="86">
        <v>0</v>
      </c>
      <c r="F45" s="86">
        <v>0</v>
      </c>
      <c r="G45" s="86">
        <v>-46</v>
      </c>
      <c r="H45" s="56">
        <f>'Balance Sheet'!G18-'Balance Sheet'!H18</f>
        <v>-154.49628807136924</v>
      </c>
      <c r="I45" s="56">
        <f>'Balance Sheet'!H18-'Balance Sheet'!I18</f>
        <v>-36.087051611991399</v>
      </c>
      <c r="J45" s="56">
        <f>'Balance Sheet'!I18-'Balance Sheet'!J18</f>
        <v>-42.153623267743342</v>
      </c>
      <c r="K45" s="56">
        <f>'Balance Sheet'!J18-'Balance Sheet'!K18</f>
        <v>-49.717891861393184</v>
      </c>
      <c r="L45" s="56">
        <f>'Balance Sheet'!K18-'Balance Sheet'!L18</f>
        <v>-59.209823569674995</v>
      </c>
      <c r="M45" s="56">
        <f>'Balance Sheet'!L18-'Balance Sheet'!M18</f>
        <v>-71.18819630150324</v>
      </c>
      <c r="N45" s="56">
        <f>'Balance Sheet'!M18-'Balance Sheet'!N18</f>
        <v>-86.379607044987438</v>
      </c>
      <c r="O45" s="56">
        <f>'Balance Sheet'!N18-'Balance Sheet'!O18</f>
        <v>-105.7293227241712</v>
      </c>
      <c r="P45" s="56">
        <f>'Balance Sheet'!O18-'Balance Sheet'!P18</f>
        <v>-130.46757282208785</v>
      </c>
      <c r="Q45" s="56">
        <f>'Balance Sheet'!P18-'Balance Sheet'!Q18</f>
        <v>-162.19597540690313</v>
      </c>
    </row>
    <row r="46" spans="2:26" x14ac:dyDescent="0.25">
      <c r="B46" t="s">
        <v>133</v>
      </c>
      <c r="C46" s="86">
        <v>0</v>
      </c>
      <c r="D46" s="86">
        <v>0</v>
      </c>
      <c r="E46" s="86">
        <v>0</v>
      </c>
      <c r="F46" s="86">
        <v>233</v>
      </c>
      <c r="G46" s="86">
        <v>60</v>
      </c>
      <c r="H46" s="56">
        <f>SUM('Balance Sheet'!G19:G23)-SUM('Balance Sheet'!H19:H23)</f>
        <v>-122.68027305330889</v>
      </c>
      <c r="I46" s="56">
        <f>SUM('Balance Sheet'!H19:H23)-SUM('Balance Sheet'!I19:I23)</f>
        <v>-35.616692942279144</v>
      </c>
      <c r="J46" s="56">
        <f>SUM('Balance Sheet'!I19:I23)-SUM('Balance Sheet'!J19:J23)</f>
        <v>-41.604192896513382</v>
      </c>
      <c r="K46" s="56">
        <f>SUM('Balance Sheet'!J19:J23)-SUM('Balance Sheet'!K19:K23)</f>
        <v>-49.06986880513864</v>
      </c>
      <c r="L46" s="56">
        <f>SUM('Balance Sheet'!K19:K23)-SUM('Balance Sheet'!L19:L23)</f>
        <v>-58.438082665276056</v>
      </c>
      <c r="M46" s="56">
        <f>SUM('Balance Sheet'!L19:L23)-SUM('Balance Sheet'!M19:M23)</f>
        <v>-70.26032927397182</v>
      </c>
      <c r="N46" s="56">
        <f>SUM('Balance Sheet'!M19:M23)-SUM('Balance Sheet'!N19:N23)</f>
        <v>-85.25373515340732</v>
      </c>
      <c r="O46" s="56">
        <f>SUM('Balance Sheet'!N19:N23)-SUM('Balance Sheet'!O19:O23)</f>
        <v>-104.35124661751581</v>
      </c>
      <c r="P46" s="56">
        <f>SUM('Balance Sheet'!O19:O23)-SUM('Balance Sheet'!P19:P23)</f>
        <v>-128.76705833692006</v>
      </c>
      <c r="Q46" s="56">
        <f>SUM('Balance Sheet'!P19:P23)-SUM('Balance Sheet'!Q19:Q23)</f>
        <v>-160.08191288815397</v>
      </c>
    </row>
    <row r="47" spans="2:26" ht="16.5" x14ac:dyDescent="0.3">
      <c r="B47" s="2" t="s">
        <v>115</v>
      </c>
      <c r="C47" s="85">
        <v>164</v>
      </c>
      <c r="D47" s="85">
        <v>-146</v>
      </c>
      <c r="E47" s="85">
        <v>-130</v>
      </c>
      <c r="F47" s="86">
        <v>147</v>
      </c>
      <c r="G47" s="86">
        <v>-926</v>
      </c>
      <c r="H47" s="56">
        <v>0</v>
      </c>
      <c r="I47" s="56">
        <v>0</v>
      </c>
      <c r="J47" s="56">
        <v>0</v>
      </c>
      <c r="K47" s="56">
        <v>0</v>
      </c>
      <c r="L47" s="56">
        <v>0</v>
      </c>
      <c r="M47" s="56">
        <v>0</v>
      </c>
      <c r="N47" s="56">
        <v>0</v>
      </c>
      <c r="O47" s="56">
        <v>0</v>
      </c>
      <c r="P47" s="56">
        <v>0</v>
      </c>
      <c r="Q47" s="56">
        <v>0</v>
      </c>
    </row>
    <row r="48" spans="2:26" ht="16.5" x14ac:dyDescent="0.3">
      <c r="B48" s="2" t="s">
        <v>116</v>
      </c>
      <c r="C48" s="85">
        <v>1</v>
      </c>
      <c r="D48" s="86">
        <v>0</v>
      </c>
      <c r="E48" s="86">
        <v>0</v>
      </c>
      <c r="F48" s="86">
        <v>0</v>
      </c>
      <c r="G48" s="86">
        <v>0</v>
      </c>
      <c r="H48" s="56">
        <v>0</v>
      </c>
      <c r="I48" s="56">
        <v>0</v>
      </c>
      <c r="J48" s="56">
        <v>0</v>
      </c>
      <c r="K48" s="56">
        <v>0</v>
      </c>
      <c r="L48" s="56">
        <v>0</v>
      </c>
      <c r="M48" s="56">
        <v>0</v>
      </c>
      <c r="N48" s="56">
        <v>0</v>
      </c>
      <c r="O48" s="56">
        <v>0</v>
      </c>
      <c r="P48" s="56">
        <v>0</v>
      </c>
      <c r="Q48" s="56">
        <v>0</v>
      </c>
    </row>
    <row r="49" spans="2:17" ht="16.5" x14ac:dyDescent="0.3">
      <c r="B49" s="2" t="s">
        <v>117</v>
      </c>
      <c r="C49" s="86">
        <v>0</v>
      </c>
      <c r="D49" s="85">
        <v>3</v>
      </c>
      <c r="E49" s="86">
        <v>0</v>
      </c>
      <c r="F49" s="86">
        <v>0</v>
      </c>
      <c r="G49" s="86">
        <v>0</v>
      </c>
      <c r="H49" s="56">
        <v>0</v>
      </c>
      <c r="I49" s="56">
        <v>0</v>
      </c>
      <c r="J49" s="56">
        <v>0</v>
      </c>
      <c r="K49" s="56">
        <v>0</v>
      </c>
      <c r="L49" s="56">
        <v>0</v>
      </c>
      <c r="M49" s="56">
        <v>0</v>
      </c>
      <c r="N49" s="56">
        <v>0</v>
      </c>
      <c r="O49" s="56">
        <v>0</v>
      </c>
      <c r="P49" s="56">
        <v>0</v>
      </c>
      <c r="Q49" s="56">
        <v>0</v>
      </c>
    </row>
    <row r="50" spans="2:17" ht="16.5" x14ac:dyDescent="0.3">
      <c r="B50" s="2" t="s">
        <v>118</v>
      </c>
      <c r="C50" s="85">
        <v>-295</v>
      </c>
      <c r="D50" s="85">
        <v>215</v>
      </c>
      <c r="E50" s="85">
        <v>-90</v>
      </c>
      <c r="F50" s="85">
        <v>200</v>
      </c>
      <c r="G50" s="86">
        <v>0</v>
      </c>
      <c r="H50" s="56">
        <v>0</v>
      </c>
      <c r="I50" s="56">
        <v>0</v>
      </c>
      <c r="J50" s="56">
        <v>0</v>
      </c>
      <c r="K50" s="56">
        <v>0</v>
      </c>
      <c r="L50" s="56">
        <v>0</v>
      </c>
      <c r="M50" s="56">
        <v>0</v>
      </c>
      <c r="N50" s="56">
        <v>0</v>
      </c>
      <c r="O50" s="56">
        <v>0</v>
      </c>
      <c r="P50" s="56">
        <v>0</v>
      </c>
      <c r="Q50" s="56">
        <v>0</v>
      </c>
    </row>
    <row r="51" spans="2:17" ht="16.5" x14ac:dyDescent="0.3">
      <c r="B51" s="2" t="s">
        <v>119</v>
      </c>
      <c r="C51" s="85">
        <v>-591</v>
      </c>
      <c r="D51" s="85">
        <v>483</v>
      </c>
      <c r="E51" s="85">
        <v>-259</v>
      </c>
      <c r="F51" s="85">
        <v>-232</v>
      </c>
      <c r="G51" s="86">
        <v>343</v>
      </c>
      <c r="H51" s="56">
        <v>0</v>
      </c>
      <c r="I51" s="56">
        <v>0</v>
      </c>
      <c r="J51" s="56">
        <v>0</v>
      </c>
      <c r="K51" s="56">
        <v>0</v>
      </c>
      <c r="L51" s="56">
        <v>0</v>
      </c>
      <c r="M51" s="56">
        <v>0</v>
      </c>
      <c r="N51" s="56">
        <v>0</v>
      </c>
      <c r="O51" s="56">
        <v>0</v>
      </c>
      <c r="P51" s="56">
        <v>0</v>
      </c>
      <c r="Q51" s="56">
        <v>0</v>
      </c>
    </row>
    <row r="52" spans="2:17" ht="16.5" x14ac:dyDescent="0.3">
      <c r="B52" s="2" t="s">
        <v>120</v>
      </c>
      <c r="C52" s="85">
        <v>52</v>
      </c>
      <c r="D52" s="85">
        <v>57</v>
      </c>
      <c r="E52" s="85">
        <v>48</v>
      </c>
      <c r="F52" s="85">
        <v>66</v>
      </c>
      <c r="G52" s="86">
        <v>70</v>
      </c>
      <c r="H52" s="56">
        <v>0</v>
      </c>
      <c r="I52" s="56">
        <v>0</v>
      </c>
      <c r="J52" s="56">
        <v>0</v>
      </c>
      <c r="K52" s="56">
        <v>0</v>
      </c>
      <c r="L52" s="56">
        <v>0</v>
      </c>
      <c r="M52" s="56">
        <v>0</v>
      </c>
      <c r="N52" s="56">
        <v>0</v>
      </c>
      <c r="O52" s="56">
        <v>0</v>
      </c>
      <c r="P52" s="56">
        <v>0</v>
      </c>
      <c r="Q52" s="56">
        <v>0</v>
      </c>
    </row>
    <row r="53" spans="2:17" x14ac:dyDescent="0.25">
      <c r="B53" s="4" t="s">
        <v>121</v>
      </c>
      <c r="C53" s="58">
        <f t="shared" ref="C53:F53" si="47">SUM(C42:C52)</f>
        <v>-938</v>
      </c>
      <c r="D53" s="58">
        <f t="shared" si="47"/>
        <v>428</v>
      </c>
      <c r="E53" s="58">
        <f t="shared" si="47"/>
        <v>-865</v>
      </c>
      <c r="F53" s="58">
        <f t="shared" si="47"/>
        <v>176</v>
      </c>
      <c r="G53" s="58">
        <f>SUM(G42:G52)</f>
        <v>-621</v>
      </c>
      <c r="H53" s="58">
        <f>SUM(H42:H52)</f>
        <v>-527.89692118789583</v>
      </c>
      <c r="I53" s="58">
        <f t="shared" ref="I53:Q53" si="48">SUM(I42:I52)</f>
        <v>-359.6814323987312</v>
      </c>
      <c r="J53" s="58">
        <f t="shared" si="48"/>
        <v>-415.85575763599951</v>
      </c>
      <c r="K53" s="58">
        <f t="shared" si="48"/>
        <v>-483.2940653285105</v>
      </c>
      <c r="L53" s="58">
        <f t="shared" si="48"/>
        <v>-564.59222124403914</v>
      </c>
      <c r="M53" s="58">
        <f t="shared" si="48"/>
        <v>-662.99104471992052</v>
      </c>
      <c r="N53" s="58">
        <f t="shared" si="48"/>
        <v>-782.54343309262015</v>
      </c>
      <c r="O53" s="58">
        <f t="shared" si="48"/>
        <v>-928.32597311843426</v>
      </c>
      <c r="P53" s="58">
        <f t="shared" si="48"/>
        <v>-1106.7071229907956</v>
      </c>
      <c r="Q53" s="58">
        <f t="shared" si="48"/>
        <v>-1325.6873867567069</v>
      </c>
    </row>
    <row r="54" spans="2:17" x14ac:dyDescent="0.25">
      <c r="B54" s="290"/>
      <c r="C54" s="291"/>
      <c r="D54" s="291"/>
      <c r="E54" s="291"/>
      <c r="F54" s="291"/>
      <c r="G54" s="291"/>
      <c r="H54" s="291"/>
      <c r="I54" s="291"/>
      <c r="J54" s="291"/>
      <c r="K54" s="291"/>
      <c r="L54" s="291"/>
      <c r="M54" s="291"/>
      <c r="N54" s="291"/>
      <c r="O54" s="291"/>
      <c r="P54" s="291"/>
      <c r="Q54" s="291"/>
    </row>
    <row r="55" spans="2:17" ht="16.5" x14ac:dyDescent="0.3">
      <c r="B55" s="18" t="s">
        <v>211</v>
      </c>
      <c r="C55" s="292"/>
      <c r="D55" s="292"/>
      <c r="E55" s="292"/>
      <c r="F55" s="292"/>
      <c r="G55" s="293"/>
      <c r="H55" s="293"/>
      <c r="I55" s="293"/>
      <c r="J55" s="293"/>
      <c r="K55" s="293"/>
      <c r="L55" s="293"/>
      <c r="M55" s="293"/>
      <c r="N55" s="293"/>
      <c r="O55" s="293"/>
      <c r="P55" s="293"/>
      <c r="Q55" s="293"/>
    </row>
    <row r="56" spans="2:17" ht="16.5" x14ac:dyDescent="0.3">
      <c r="B56" s="2" t="s">
        <v>122</v>
      </c>
      <c r="C56" s="85">
        <v>6</v>
      </c>
      <c r="D56" s="85">
        <v>41</v>
      </c>
      <c r="E56" s="87">
        <v>9</v>
      </c>
      <c r="F56" s="87">
        <v>34</v>
      </c>
      <c r="G56" s="86">
        <v>46</v>
      </c>
      <c r="H56" s="56">
        <v>0</v>
      </c>
      <c r="I56" s="56">
        <v>0</v>
      </c>
      <c r="J56" s="56">
        <v>0</v>
      </c>
      <c r="K56" s="56">
        <v>0</v>
      </c>
      <c r="L56" s="56">
        <v>0</v>
      </c>
      <c r="M56" s="56">
        <v>0</v>
      </c>
      <c r="N56" s="56">
        <v>0</v>
      </c>
      <c r="O56" s="56">
        <v>0</v>
      </c>
      <c r="P56" s="56">
        <v>0</v>
      </c>
      <c r="Q56" s="56">
        <v>0</v>
      </c>
    </row>
    <row r="57" spans="2:17" ht="16.5" x14ac:dyDescent="0.3">
      <c r="B57" s="2" t="s">
        <v>123</v>
      </c>
      <c r="C57" s="85">
        <v>-9</v>
      </c>
      <c r="D57" s="85">
        <v>-8</v>
      </c>
      <c r="E57" s="87">
        <v>4</v>
      </c>
      <c r="F57" s="87">
        <v>2</v>
      </c>
      <c r="G57" s="86">
        <v>-12</v>
      </c>
      <c r="H57" s="56">
        <v>0</v>
      </c>
      <c r="I57" s="56">
        <v>0</v>
      </c>
      <c r="J57" s="56">
        <v>0</v>
      </c>
      <c r="K57" s="56">
        <v>0</v>
      </c>
      <c r="L57" s="56">
        <v>0</v>
      </c>
      <c r="M57" s="56">
        <v>0</v>
      </c>
      <c r="N57" s="56">
        <v>0</v>
      </c>
      <c r="O57" s="56">
        <v>0</v>
      </c>
      <c r="P57" s="56">
        <v>0</v>
      </c>
      <c r="Q57" s="56">
        <v>0</v>
      </c>
    </row>
    <row r="58" spans="2:17" ht="16.5" x14ac:dyDescent="0.3">
      <c r="B58" s="2" t="s">
        <v>124</v>
      </c>
      <c r="C58" s="85">
        <v>13</v>
      </c>
      <c r="D58" s="85">
        <v>-3</v>
      </c>
      <c r="E58" s="87">
        <v>128</v>
      </c>
      <c r="F58" s="87">
        <v>-91</v>
      </c>
      <c r="G58" s="86">
        <v>-5</v>
      </c>
      <c r="H58" s="56">
        <v>0</v>
      </c>
      <c r="I58" s="56">
        <v>0</v>
      </c>
      <c r="J58" s="56">
        <v>0</v>
      </c>
      <c r="K58" s="56">
        <v>0</v>
      </c>
      <c r="L58" s="56">
        <v>0</v>
      </c>
      <c r="M58" s="56">
        <v>0</v>
      </c>
      <c r="N58" s="56">
        <v>0</v>
      </c>
      <c r="O58" s="56">
        <v>0</v>
      </c>
      <c r="P58" s="56">
        <v>0</v>
      </c>
      <c r="Q58" s="56">
        <v>0</v>
      </c>
    </row>
    <row r="59" spans="2:17" ht="16.5" x14ac:dyDescent="0.3">
      <c r="B59" s="2" t="s">
        <v>125</v>
      </c>
      <c r="C59" s="85">
        <v>-22</v>
      </c>
      <c r="D59" s="85">
        <v>-22</v>
      </c>
      <c r="E59" s="87">
        <v>-25</v>
      </c>
      <c r="F59" s="86">
        <v>0</v>
      </c>
      <c r="G59" s="86">
        <v>-47</v>
      </c>
      <c r="H59" s="56">
        <v>0</v>
      </c>
      <c r="I59" s="56">
        <v>0</v>
      </c>
      <c r="J59" s="56">
        <v>0</v>
      </c>
      <c r="K59" s="56">
        <v>0</v>
      </c>
      <c r="L59" s="56">
        <v>0</v>
      </c>
      <c r="M59" s="56">
        <v>0</v>
      </c>
      <c r="N59" s="56">
        <v>0</v>
      </c>
      <c r="O59" s="56">
        <v>0</v>
      </c>
      <c r="P59" s="56">
        <v>0</v>
      </c>
      <c r="Q59" s="56">
        <v>0</v>
      </c>
    </row>
    <row r="60" spans="2:17" ht="16.5" x14ac:dyDescent="0.3">
      <c r="B60" s="2" t="s">
        <v>126</v>
      </c>
      <c r="C60" s="86">
        <v>0</v>
      </c>
      <c r="D60" s="86">
        <v>0</v>
      </c>
      <c r="E60" s="86">
        <v>0</v>
      </c>
      <c r="F60" s="87">
        <v>-141</v>
      </c>
      <c r="G60" s="86">
        <v>-70</v>
      </c>
      <c r="H60" s="56">
        <v>0</v>
      </c>
      <c r="I60" s="56">
        <v>0</v>
      </c>
      <c r="J60" s="56">
        <v>0</v>
      </c>
      <c r="K60" s="56">
        <v>0</v>
      </c>
      <c r="L60" s="56">
        <v>0</v>
      </c>
      <c r="M60" s="56">
        <v>0</v>
      </c>
      <c r="N60" s="56">
        <v>0</v>
      </c>
      <c r="O60" s="56">
        <v>0</v>
      </c>
      <c r="P60" s="56">
        <v>0</v>
      </c>
      <c r="Q60" s="56">
        <v>0</v>
      </c>
    </row>
    <row r="61" spans="2:17" ht="16.5" x14ac:dyDescent="0.3">
      <c r="B61" s="2" t="s">
        <v>127</v>
      </c>
      <c r="C61" s="85">
        <v>-21</v>
      </c>
      <c r="D61" s="85">
        <v>-28</v>
      </c>
      <c r="E61" s="87">
        <v>-42</v>
      </c>
      <c r="F61" s="87">
        <v>-54</v>
      </c>
      <c r="G61" s="86">
        <v>-51</v>
      </c>
      <c r="H61" s="90">
        <f>'P&amp;L Statement '!H26</f>
        <v>-63.701955112290243</v>
      </c>
      <c r="I61" s="90">
        <f>'P&amp;L Statement '!I26</f>
        <v>-69.958187298755334</v>
      </c>
      <c r="J61" s="90">
        <f>'P&amp;L Statement '!J26</f>
        <v>-77.272682246114286</v>
      </c>
      <c r="K61" s="90">
        <f>'P&amp;L Statement '!K26</f>
        <v>-85.907523784394655</v>
      </c>
      <c r="L61" s="90">
        <f>'P&amp;L Statement '!L26</f>
        <v>-96.200109521251832</v>
      </c>
      <c r="M61" s="90">
        <f>'P&amp;L Statement '!M26</f>
        <v>-108.58571947759692</v>
      </c>
      <c r="N61" s="90">
        <f>'P&amp;L Statement '!N26</f>
        <v>-123.62691948428029</v>
      </c>
      <c r="O61" s="90">
        <f>'P&amp;L Statement '!O26</f>
        <v>-142.05187455877237</v>
      </c>
      <c r="P61" s="90">
        <f>'P&amp;L Statement '!P26</f>
        <v>-164.80427796936834</v>
      </c>
      <c r="Q61" s="90">
        <f>'P&amp;L Statement '!Q26</f>
        <v>-175.12579489802951</v>
      </c>
    </row>
    <row r="62" spans="2:17" ht="16.5" x14ac:dyDescent="0.3">
      <c r="B62" s="2" t="s">
        <v>128</v>
      </c>
      <c r="C62" s="85">
        <v>-44</v>
      </c>
      <c r="D62" s="85">
        <v>-64</v>
      </c>
      <c r="E62" s="87">
        <v>-41</v>
      </c>
      <c r="F62" s="87">
        <v>-52</v>
      </c>
      <c r="G62" s="86">
        <v>-43</v>
      </c>
      <c r="H62" s="56">
        <v>0</v>
      </c>
      <c r="I62" s="56">
        <v>0</v>
      </c>
      <c r="J62" s="56">
        <v>0</v>
      </c>
      <c r="K62" s="56">
        <v>0</v>
      </c>
      <c r="L62" s="56">
        <v>0</v>
      </c>
      <c r="M62" s="56">
        <v>0</v>
      </c>
      <c r="N62" s="56">
        <v>0</v>
      </c>
      <c r="O62" s="56">
        <v>0</v>
      </c>
      <c r="P62" s="56">
        <v>0</v>
      </c>
      <c r="Q62" s="56">
        <v>0</v>
      </c>
    </row>
    <row r="63" spans="2:17" ht="16.5" x14ac:dyDescent="0.3">
      <c r="B63" s="2" t="s">
        <v>129</v>
      </c>
      <c r="C63" s="85">
        <v>-13</v>
      </c>
      <c r="D63" s="85">
        <v>-11</v>
      </c>
      <c r="E63" s="87">
        <v>-11</v>
      </c>
      <c r="F63" s="87">
        <v>-11</v>
      </c>
      <c r="G63" s="86">
        <v>-14</v>
      </c>
      <c r="H63" s="56">
        <f>SUM('Balance Sheet'!H52:H57)-SUM('Balance Sheet'!G52:G57)</f>
        <v>-798.15825427019149</v>
      </c>
      <c r="I63" s="56">
        <f>SUM('Balance Sheet'!I52:I57)-SUM('Balance Sheet'!H52:H57)</f>
        <v>79.386621672548586</v>
      </c>
      <c r="J63" s="56">
        <f>SUM('Balance Sheet'!J52:J57)-SUM('Balance Sheet'!I52:I57)</f>
        <v>92.732256945354948</v>
      </c>
      <c r="K63" s="56">
        <f>SUM('Balance Sheet'!K52:K57)-SUM('Balance Sheet'!J52:J57)</f>
        <v>109.37262245734644</v>
      </c>
      <c r="L63" s="56">
        <f>SUM('Balance Sheet'!L52:L57)-SUM('Balance Sheet'!K52:K57)</f>
        <v>130.25358551215663</v>
      </c>
      <c r="M63" s="56">
        <f>SUM('Balance Sheet'!M52:M57)-SUM('Balance Sheet'!L52:L57)</f>
        <v>156.60438176281059</v>
      </c>
      <c r="N63" s="56">
        <f>SUM('Balance Sheet'!N52:N57)-SUM('Balance Sheet'!M52:M57)</f>
        <v>190.02342608741105</v>
      </c>
      <c r="O63" s="56">
        <f>SUM('Balance Sheet'!O52:O57)-SUM('Balance Sheet'!N52:N57)</f>
        <v>232.59017758074424</v>
      </c>
      <c r="P63" s="56">
        <f>SUM('Balance Sheet'!P52:P57)-SUM('Balance Sheet'!O52:O57)</f>
        <v>287.01097433853784</v>
      </c>
      <c r="Q63" s="56">
        <f>SUM('Balance Sheet'!Q52:Q57)-SUM('Balance Sheet'!P52:P57)</f>
        <v>356.80915899926731</v>
      </c>
    </row>
    <row r="64" spans="2:17" ht="16.5" x14ac:dyDescent="0.3">
      <c r="B64" s="2" t="s">
        <v>130</v>
      </c>
      <c r="C64" s="85">
        <v>-968</v>
      </c>
      <c r="D64" s="85">
        <v>-1195</v>
      </c>
      <c r="E64" s="87">
        <v>-582</v>
      </c>
      <c r="F64" s="85">
        <v>-1229</v>
      </c>
      <c r="G64" s="86">
        <v>-453</v>
      </c>
      <c r="H64" s="90">
        <f>'P&amp;L Statement '!H44</f>
        <v>-1142.0254321811581</v>
      </c>
      <c r="I64" s="90">
        <f>'P&amp;L Statement '!I44</f>
        <v>-1243.7123147920825</v>
      </c>
      <c r="J64" s="90">
        <f>'P&amp;L Statement '!J44</f>
        <v>-1361.4426182996947</v>
      </c>
      <c r="K64" s="90">
        <f>'P&amp;L Statement '!K44</f>
        <v>-1499.2175407606062</v>
      </c>
      <c r="L64" s="90">
        <f>'P&amp;L Statement '!L44</f>
        <v>-1662.2259302774239</v>
      </c>
      <c r="M64" s="90">
        <f>'P&amp;L Statement '!M44</f>
        <v>-1857.210634865248</v>
      </c>
      <c r="N64" s="90">
        <f>'P&amp;L Statement '!N44</f>
        <v>-2092.9482524301879</v>
      </c>
      <c r="O64" s="90">
        <f>'P&amp;L Statement '!O44</f>
        <v>-2380.8772822698579</v>
      </c>
      <c r="P64" s="90">
        <f>'P&amp;L Statement '!P44</f>
        <v>-2735.9204496310554</v>
      </c>
      <c r="Q64" s="90">
        <f>'P&amp;L Statement '!Q44</f>
        <v>-3186.7669087457989</v>
      </c>
    </row>
    <row r="65" spans="2:17" x14ac:dyDescent="0.25">
      <c r="B65" s="4" t="s">
        <v>131</v>
      </c>
      <c r="C65" s="58">
        <f t="shared" ref="C65:Q65" si="49">SUM(C56:C64)</f>
        <v>-1058</v>
      </c>
      <c r="D65" s="58">
        <f t="shared" si="49"/>
        <v>-1290</v>
      </c>
      <c r="E65" s="58">
        <f t="shared" si="49"/>
        <v>-560</v>
      </c>
      <c r="F65" s="58">
        <f t="shared" si="49"/>
        <v>-1542</v>
      </c>
      <c r="G65" s="58">
        <f t="shared" si="49"/>
        <v>-649</v>
      </c>
      <c r="H65" s="58">
        <f t="shared" si="49"/>
        <v>-2003.8856415636396</v>
      </c>
      <c r="I65" s="58">
        <f t="shared" si="49"/>
        <v>-1234.2838804182893</v>
      </c>
      <c r="J65" s="58">
        <f t="shared" si="49"/>
        <v>-1345.983043600454</v>
      </c>
      <c r="K65" s="58">
        <f t="shared" si="49"/>
        <v>-1475.7524420876543</v>
      </c>
      <c r="L65" s="58">
        <f t="shared" si="49"/>
        <v>-1628.172454286519</v>
      </c>
      <c r="M65" s="58">
        <f t="shared" si="49"/>
        <v>-1809.1919725800344</v>
      </c>
      <c r="N65" s="58">
        <f t="shared" si="49"/>
        <v>-2026.5517458270572</v>
      </c>
      <c r="O65" s="58">
        <f t="shared" si="49"/>
        <v>-2290.3389792478861</v>
      </c>
      <c r="P65" s="58">
        <f t="shared" si="49"/>
        <v>-2613.7137532618858</v>
      </c>
      <c r="Q65" s="58">
        <f t="shared" si="49"/>
        <v>-3005.0835446445612</v>
      </c>
    </row>
    <row r="66" spans="2:17" ht="16.5" x14ac:dyDescent="0.3">
      <c r="B66" s="2" t="s">
        <v>215</v>
      </c>
      <c r="C66" s="85">
        <v>5</v>
      </c>
      <c r="D66" s="85">
        <v>2</v>
      </c>
      <c r="E66" s="85">
        <v>-63</v>
      </c>
      <c r="F66" s="85">
        <v>-49</v>
      </c>
      <c r="G66" s="85">
        <v>-79</v>
      </c>
      <c r="H66" s="56">
        <v>0</v>
      </c>
      <c r="I66" s="56">
        <v>0</v>
      </c>
      <c r="J66" s="56">
        <v>0</v>
      </c>
      <c r="K66" s="56">
        <v>0</v>
      </c>
      <c r="L66" s="56">
        <v>0</v>
      </c>
      <c r="M66" s="56">
        <v>0</v>
      </c>
      <c r="N66" s="56">
        <v>0</v>
      </c>
      <c r="O66" s="56">
        <v>0</v>
      </c>
      <c r="P66" s="56">
        <v>0</v>
      </c>
      <c r="Q66" s="56">
        <v>0</v>
      </c>
    </row>
    <row r="67" spans="2:17" ht="16.5" x14ac:dyDescent="0.3">
      <c r="B67" s="2" t="s">
        <v>214</v>
      </c>
      <c r="C67" s="85">
        <f t="shared" ref="C67:Q67" si="50">C39+C53+C65+C66</f>
        <v>16</v>
      </c>
      <c r="D67" s="85">
        <f t="shared" si="50"/>
        <v>156</v>
      </c>
      <c r="E67" s="85">
        <f t="shared" si="50"/>
        <v>-69</v>
      </c>
      <c r="F67" s="85">
        <f t="shared" si="50"/>
        <v>21</v>
      </c>
      <c r="G67" s="85">
        <f t="shared" si="50"/>
        <v>93</v>
      </c>
      <c r="H67" s="55">
        <f t="shared" si="50"/>
        <v>266.50130638607561</v>
      </c>
      <c r="I67" s="55">
        <f t="shared" si="50"/>
        <v>462.87642270585206</v>
      </c>
      <c r="J67" s="55">
        <f t="shared" si="50"/>
        <v>507.47841896947648</v>
      </c>
      <c r="K67" s="55">
        <f t="shared" si="50"/>
        <v>560.22955609265091</v>
      </c>
      <c r="L67" s="55">
        <f t="shared" si="50"/>
        <v>623.33921100677617</v>
      </c>
      <c r="M67" s="55">
        <f t="shared" si="50"/>
        <v>699.69089822946216</v>
      </c>
      <c r="N67" s="55">
        <f t="shared" si="50"/>
        <v>793.05244430723792</v>
      </c>
      <c r="O67" s="55">
        <f t="shared" si="50"/>
        <v>908.35163842784596</v>
      </c>
      <c r="P67" s="55">
        <f t="shared" si="50"/>
        <v>1052.0376532470509</v>
      </c>
      <c r="Q67" s="55">
        <f t="shared" si="50"/>
        <v>1237.334339543761</v>
      </c>
    </row>
    <row r="68" spans="2:17" x14ac:dyDescent="0.25">
      <c r="B68" s="4" t="s">
        <v>216</v>
      </c>
      <c r="C68" s="59">
        <v>93</v>
      </c>
      <c r="D68" s="58">
        <v>109</v>
      </c>
      <c r="E68" s="58">
        <v>276</v>
      </c>
      <c r="F68" s="58">
        <v>207</v>
      </c>
      <c r="G68" s="60">
        <v>228</v>
      </c>
      <c r="H68" s="60">
        <f>G70</f>
        <v>321</v>
      </c>
      <c r="I68" s="60">
        <f t="shared" ref="I68:Q68" si="51">H70</f>
        <v>587.50130638607561</v>
      </c>
      <c r="J68" s="60">
        <f t="shared" si="51"/>
        <v>1050.3777290919277</v>
      </c>
      <c r="K68" s="60">
        <f t="shared" si="51"/>
        <v>1557.8561480614042</v>
      </c>
      <c r="L68" s="60">
        <f t="shared" si="51"/>
        <v>2118.0857041540548</v>
      </c>
      <c r="M68" s="60">
        <f t="shared" si="51"/>
        <v>2741.424915160831</v>
      </c>
      <c r="N68" s="60">
        <f t="shared" si="51"/>
        <v>3441.1158133902932</v>
      </c>
      <c r="O68" s="60">
        <f t="shared" si="51"/>
        <v>4234.1682576975309</v>
      </c>
      <c r="P68" s="60">
        <f t="shared" si="51"/>
        <v>5142.5198961253773</v>
      </c>
      <c r="Q68" s="60">
        <f t="shared" si="51"/>
        <v>6194.5575493724282</v>
      </c>
    </row>
    <row r="69" spans="2:17" ht="16.5" x14ac:dyDescent="0.3">
      <c r="B69" s="2" t="s">
        <v>218</v>
      </c>
      <c r="C69" s="87"/>
      <c r="D69" s="85">
        <v>11</v>
      </c>
      <c r="E69" s="85"/>
      <c r="F69" s="85"/>
      <c r="G69" s="86"/>
      <c r="H69" s="56"/>
      <c r="I69" s="56"/>
      <c r="J69" s="56"/>
      <c r="K69" s="56"/>
      <c r="L69" s="56"/>
      <c r="M69" s="56"/>
      <c r="N69" s="56"/>
      <c r="O69" s="56"/>
      <c r="P69" s="56"/>
      <c r="Q69" s="56"/>
    </row>
    <row r="70" spans="2:17" x14ac:dyDescent="0.25">
      <c r="B70" s="4" t="s">
        <v>217</v>
      </c>
      <c r="C70" s="58">
        <f t="shared" ref="C70:E70" si="52">C67+C68+C69</f>
        <v>109</v>
      </c>
      <c r="D70" s="58">
        <f t="shared" si="52"/>
        <v>276</v>
      </c>
      <c r="E70" s="58">
        <f t="shared" si="52"/>
        <v>207</v>
      </c>
      <c r="F70" s="58">
        <f>F67+F68+F69</f>
        <v>228</v>
      </c>
      <c r="G70" s="58">
        <f>G67+G68+G69</f>
        <v>321</v>
      </c>
      <c r="H70" s="58">
        <f>H67+H68+H69</f>
        <v>587.50130638607561</v>
      </c>
      <c r="I70" s="58">
        <f t="shared" ref="I70:Q70" si="53">I67+I68+I69</f>
        <v>1050.3777290919277</v>
      </c>
      <c r="J70" s="58">
        <f t="shared" si="53"/>
        <v>1557.8561480614042</v>
      </c>
      <c r="K70" s="58">
        <f t="shared" si="53"/>
        <v>2118.0857041540548</v>
      </c>
      <c r="L70" s="58">
        <f t="shared" si="53"/>
        <v>2741.424915160831</v>
      </c>
      <c r="M70" s="58">
        <f t="shared" si="53"/>
        <v>3441.1158133902932</v>
      </c>
      <c r="N70" s="58">
        <f t="shared" si="53"/>
        <v>4234.1682576975309</v>
      </c>
      <c r="O70" s="58">
        <f t="shared" si="53"/>
        <v>5142.5198961253773</v>
      </c>
      <c r="P70" s="58">
        <f t="shared" si="53"/>
        <v>6194.5575493724282</v>
      </c>
      <c r="Q70" s="58">
        <f t="shared" si="53"/>
        <v>7431.8918889161887</v>
      </c>
    </row>
  </sheetData>
  <mergeCells count="1">
    <mergeCell ref="B4:Q4"/>
  </mergeCells>
  <pageMargins left="0.7" right="0.7" top="0.75" bottom="0.75" header="0.3" footer="0.3"/>
  <ignoredErrors>
    <ignoredError sqref="H46" formulaRange="1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Q67"/>
  <sheetViews>
    <sheetView showGridLines="0" workbookViewId="0">
      <selection activeCell="B1" sqref="B1"/>
    </sheetView>
  </sheetViews>
  <sheetFormatPr defaultRowHeight="15" x14ac:dyDescent="0.25"/>
  <cols>
    <col min="1" max="1" width="1.85546875" customWidth="1"/>
    <col min="2" max="2" width="34" bestFit="1" customWidth="1"/>
  </cols>
  <sheetData>
    <row r="4" spans="2:17" ht="15.75" thickBot="1" x14ac:dyDescent="0.3">
      <c r="B4" s="341" t="s">
        <v>393</v>
      </c>
      <c r="C4" s="341"/>
      <c r="D4" s="341"/>
      <c r="E4" s="341"/>
      <c r="F4" s="341"/>
      <c r="G4" s="341"/>
      <c r="H4" s="341"/>
      <c r="I4" s="341"/>
      <c r="J4" s="341"/>
      <c r="K4" s="341"/>
      <c r="L4" s="341"/>
      <c r="M4" s="341"/>
      <c r="N4" s="341"/>
      <c r="O4" s="341"/>
      <c r="P4" s="341"/>
      <c r="Q4" s="341"/>
    </row>
    <row r="5" spans="2:17" x14ac:dyDescent="0.25">
      <c r="B5" s="24" t="s">
        <v>390</v>
      </c>
    </row>
    <row r="6" spans="2:17" x14ac:dyDescent="0.25">
      <c r="B6" s="271" t="s">
        <v>139</v>
      </c>
      <c r="C6" s="272">
        <v>2021</v>
      </c>
      <c r="D6" s="272">
        <f t="shared" ref="D6:Q6" si="0">C6+1</f>
        <v>2022</v>
      </c>
      <c r="E6" s="272">
        <f t="shared" si="0"/>
        <v>2023</v>
      </c>
      <c r="F6" s="272">
        <f t="shared" si="0"/>
        <v>2024</v>
      </c>
      <c r="G6" s="272">
        <f t="shared" si="0"/>
        <v>2025</v>
      </c>
      <c r="H6" s="270">
        <f t="shared" si="0"/>
        <v>2026</v>
      </c>
      <c r="I6" s="270">
        <f t="shared" si="0"/>
        <v>2027</v>
      </c>
      <c r="J6" s="270">
        <f t="shared" si="0"/>
        <v>2028</v>
      </c>
      <c r="K6" s="270">
        <f t="shared" si="0"/>
        <v>2029</v>
      </c>
      <c r="L6" s="270">
        <f t="shared" si="0"/>
        <v>2030</v>
      </c>
      <c r="M6" s="270">
        <f t="shared" si="0"/>
        <v>2031</v>
      </c>
      <c r="N6" s="270">
        <f t="shared" si="0"/>
        <v>2032</v>
      </c>
      <c r="O6" s="270">
        <f t="shared" si="0"/>
        <v>2033</v>
      </c>
      <c r="P6" s="270">
        <f t="shared" si="0"/>
        <v>2034</v>
      </c>
      <c r="Q6" s="270">
        <f t="shared" si="0"/>
        <v>2035</v>
      </c>
    </row>
    <row r="7" spans="2:17" x14ac:dyDescent="0.25">
      <c r="B7" s="1" t="s">
        <v>23</v>
      </c>
    </row>
    <row r="9" spans="2:17" ht="16.5" x14ac:dyDescent="0.3">
      <c r="B9" s="2" t="s">
        <v>31</v>
      </c>
      <c r="C9">
        <f>'Balance Sheet'!C18</f>
        <v>226</v>
      </c>
      <c r="D9">
        <f>'Balance Sheet'!D18</f>
        <v>187</v>
      </c>
      <c r="E9">
        <f>'Balance Sheet'!E18</f>
        <v>518</v>
      </c>
      <c r="F9">
        <f>'Balance Sheet'!F18</f>
        <v>343</v>
      </c>
      <c r="G9">
        <f>'Balance Sheet'!G18</f>
        <v>215</v>
      </c>
      <c r="H9" s="25">
        <f>H10*'Revenue BuildUp'!H$11</f>
        <v>369.49628807136924</v>
      </c>
      <c r="I9" s="25">
        <f>I10*'Revenue BuildUp'!I$11</f>
        <v>405.58333968336063</v>
      </c>
      <c r="J9" s="25">
        <f>J10*'Revenue BuildUp'!J$11</f>
        <v>447.73696295110398</v>
      </c>
      <c r="K9" s="25">
        <f>K10*'Revenue BuildUp'!K$11</f>
        <v>497.45485481249716</v>
      </c>
      <c r="L9" s="25">
        <f>L10*'Revenue BuildUp'!L$11</f>
        <v>556.66467838217216</v>
      </c>
      <c r="M9" s="25">
        <f>M10*'Revenue BuildUp'!M$11</f>
        <v>627.8528746836754</v>
      </c>
      <c r="N9" s="25">
        <f>N10*'Revenue BuildUp'!N$11</f>
        <v>714.23248172866283</v>
      </c>
      <c r="O9" s="25">
        <f>O10*'Revenue BuildUp'!O$11</f>
        <v>819.96180445283403</v>
      </c>
      <c r="P9" s="25">
        <f>P10*'Revenue BuildUp'!P$11</f>
        <v>950.42937727492188</v>
      </c>
      <c r="Q9" s="25">
        <f>Q10*'Revenue BuildUp'!Q$11</f>
        <v>1112.625352681825</v>
      </c>
    </row>
    <row r="10" spans="2:17" x14ac:dyDescent="0.25">
      <c r="B10" s="91" t="s">
        <v>145</v>
      </c>
      <c r="C10" s="92">
        <f>C9/'Revenue BuildUp'!C$11</f>
        <v>2.8081510934393639E-2</v>
      </c>
      <c r="D10" s="92">
        <f>D9/'Revenue BuildUp'!D$11</f>
        <v>1.9659377628259041E-2</v>
      </c>
      <c r="E10" s="92">
        <f>E9/'Revenue BuildUp'!E$11</f>
        <v>5.3052027857435478E-2</v>
      </c>
      <c r="F10" s="92">
        <f>F9/'Revenue BuildUp'!F$11</f>
        <v>3.553299492385787E-2</v>
      </c>
      <c r="G10" s="92">
        <f>G9/'Revenue BuildUp'!G$11</f>
        <v>1.9850429323238852E-2</v>
      </c>
      <c r="H10" s="93">
        <f>AVERAGE(C10:G10)</f>
        <v>3.1235268133436977E-2</v>
      </c>
      <c r="I10" s="93">
        <f>H10</f>
        <v>3.1235268133436977E-2</v>
      </c>
      <c r="J10" s="93">
        <f t="shared" ref="J10:Q20" si="1">I10</f>
        <v>3.1235268133436977E-2</v>
      </c>
      <c r="K10" s="93">
        <f t="shared" si="1"/>
        <v>3.1235268133436977E-2</v>
      </c>
      <c r="L10" s="93">
        <f t="shared" si="1"/>
        <v>3.1235268133436977E-2</v>
      </c>
      <c r="M10" s="93">
        <f t="shared" si="1"/>
        <v>3.1235268133436977E-2</v>
      </c>
      <c r="N10" s="93">
        <f t="shared" si="1"/>
        <v>3.1235268133436977E-2</v>
      </c>
      <c r="O10" s="93">
        <f t="shared" si="1"/>
        <v>3.1235268133436977E-2</v>
      </c>
      <c r="P10" s="93">
        <f t="shared" si="1"/>
        <v>3.1235268133436977E-2</v>
      </c>
      <c r="Q10" s="93">
        <f t="shared" si="1"/>
        <v>3.1235268133436977E-2</v>
      </c>
    </row>
    <row r="11" spans="2:17" ht="16.5" x14ac:dyDescent="0.3">
      <c r="B11" s="2" t="s">
        <v>32</v>
      </c>
      <c r="C11">
        <f>'Balance Sheet'!C19</f>
        <v>4</v>
      </c>
      <c r="D11">
        <f>'Balance Sheet'!D19</f>
        <v>4</v>
      </c>
      <c r="E11">
        <f>'Balance Sheet'!E19</f>
        <v>4</v>
      </c>
      <c r="F11">
        <f>'Balance Sheet'!F19</f>
        <v>4</v>
      </c>
      <c r="G11">
        <f>'Balance Sheet'!G19</f>
        <v>6</v>
      </c>
      <c r="H11" s="25">
        <f>H12*'Revenue BuildUp'!H$11</f>
        <v>5.4310269564447502</v>
      </c>
      <c r="I11" s="25">
        <f>I12*'Revenue BuildUp'!I$11</f>
        <v>5.9614510944146621</v>
      </c>
      <c r="J11" s="25">
        <f>J12*'Revenue BuildUp'!J$11</f>
        <v>6.5810445021695756</v>
      </c>
      <c r="K11" s="25">
        <f>K12*'Revenue BuildUp'!K$11</f>
        <v>7.3118210204567538</v>
      </c>
      <c r="L11" s="25">
        <f>L12*'Revenue BuildUp'!L$11</f>
        <v>8.1821143313089877</v>
      </c>
      <c r="M11" s="25">
        <f>M12*'Revenue BuildUp'!M$11</f>
        <v>9.2284712923279493</v>
      </c>
      <c r="N11" s="25">
        <f>N12*'Revenue BuildUp'!N$11</f>
        <v>10.498118618954997</v>
      </c>
      <c r="O11" s="25">
        <f>O12*'Revenue BuildUp'!O$11</f>
        <v>12.052176996100883</v>
      </c>
      <c r="P11" s="25">
        <f>P12*'Revenue BuildUp'!P$11</f>
        <v>13.969849589341695</v>
      </c>
      <c r="Q11" s="25">
        <f>Q12*'Revenue BuildUp'!Q$11</f>
        <v>16.353880885730778</v>
      </c>
    </row>
    <row r="12" spans="2:17" x14ac:dyDescent="0.25">
      <c r="B12" s="91" t="s">
        <v>145</v>
      </c>
      <c r="C12" s="92">
        <f>C11/'Revenue BuildUp'!C$11</f>
        <v>4.9701789264413514E-4</v>
      </c>
      <c r="D12" s="92">
        <f>D11/'Revenue BuildUp'!D$11</f>
        <v>4.2052144659377626E-4</v>
      </c>
      <c r="E12" s="92">
        <f>E11/'Revenue BuildUp'!E$11</f>
        <v>4.0966816878328555E-4</v>
      </c>
      <c r="F12" s="92">
        <f>F11/'Revenue BuildUp'!F$11</f>
        <v>4.1437894954936288E-4</v>
      </c>
      <c r="G12" s="92">
        <f>G11/'Revenue BuildUp'!G$11</f>
        <v>5.5396546948573535E-4</v>
      </c>
      <c r="H12" s="93">
        <f>AVERAGE(C12:G12)</f>
        <v>4.5911038541125905E-4</v>
      </c>
      <c r="I12" s="93">
        <f>H12</f>
        <v>4.5911038541125905E-4</v>
      </c>
      <c r="J12" s="93">
        <f t="shared" si="1"/>
        <v>4.5911038541125905E-4</v>
      </c>
      <c r="K12" s="93">
        <f t="shared" si="1"/>
        <v>4.5911038541125905E-4</v>
      </c>
      <c r="L12" s="93">
        <f t="shared" si="1"/>
        <v>4.5911038541125905E-4</v>
      </c>
      <c r="M12" s="93">
        <f t="shared" si="1"/>
        <v>4.5911038541125905E-4</v>
      </c>
      <c r="N12" s="93">
        <f t="shared" si="1"/>
        <v>4.5911038541125905E-4</v>
      </c>
      <c r="O12" s="93">
        <f t="shared" si="1"/>
        <v>4.5911038541125905E-4</v>
      </c>
      <c r="P12" s="93">
        <f t="shared" si="1"/>
        <v>4.5911038541125905E-4</v>
      </c>
      <c r="Q12" s="93">
        <f t="shared" si="1"/>
        <v>4.5911038541125905E-4</v>
      </c>
    </row>
    <row r="13" spans="2:17" ht="16.5" x14ac:dyDescent="0.3">
      <c r="B13" s="2" t="s">
        <v>33</v>
      </c>
      <c r="C13">
        <f>'Balance Sheet'!C20</f>
        <v>41</v>
      </c>
      <c r="D13">
        <f>'Balance Sheet'!D20</f>
        <v>17</v>
      </c>
      <c r="E13">
        <f>'Balance Sheet'!E20</f>
        <v>32</v>
      </c>
      <c r="F13">
        <f>'Balance Sheet'!F20</f>
        <v>100</v>
      </c>
      <c r="G13">
        <f>'Balance Sheet'!G20</f>
        <v>22</v>
      </c>
      <c r="H13" s="25">
        <f>H14*'Revenue BuildUp'!H$11</f>
        <v>53.350086872495488</v>
      </c>
      <c r="I13" s="25">
        <f>I14*'Revenue BuildUp'!I$11</f>
        <v>58.560551498597768</v>
      </c>
      <c r="J13" s="25">
        <f>J14*'Revenue BuildUp'!J$11</f>
        <v>64.646944071207784</v>
      </c>
      <c r="K13" s="25">
        <f>K14*'Revenue BuildUp'!K$11</f>
        <v>71.825511043470129</v>
      </c>
      <c r="L13" s="25">
        <f>L14*'Revenue BuildUp'!L$11</f>
        <v>80.374579960062746</v>
      </c>
      <c r="M13" s="25">
        <f>M14*'Revenue BuildUp'!M$11</f>
        <v>90.65315806650338</v>
      </c>
      <c r="N13" s="25">
        <f>N14*'Revenue BuildUp'!N$11</f>
        <v>103.12516303282118</v>
      </c>
      <c r="O13" s="25">
        <f>O14*'Revenue BuildUp'!O$11</f>
        <v>118.39099582845438</v>
      </c>
      <c r="P13" s="25">
        <f>P14*'Revenue BuildUp'!P$11</f>
        <v>137.2286853230714</v>
      </c>
      <c r="Q13" s="25">
        <f>Q14*'Revenue BuildUp'!Q$11</f>
        <v>160.64751159462526</v>
      </c>
    </row>
    <row r="14" spans="2:17" x14ac:dyDescent="0.25">
      <c r="B14" s="91" t="s">
        <v>145</v>
      </c>
      <c r="C14" s="92">
        <f>C13/'Revenue BuildUp'!C$11</f>
        <v>5.0944333996023857E-3</v>
      </c>
      <c r="D14" s="92">
        <f>D13/'Revenue BuildUp'!D$11</f>
        <v>1.7872161480235493E-3</v>
      </c>
      <c r="E14" s="92">
        <f>E13/'Revenue BuildUp'!E$11</f>
        <v>3.2773453502662844E-3</v>
      </c>
      <c r="F14" s="92">
        <f>F13/'Revenue BuildUp'!F$11</f>
        <v>1.0359473738734073E-2</v>
      </c>
      <c r="G14" s="92">
        <f>G13/'Revenue BuildUp'!G$11</f>
        <v>2.0312067214476965E-3</v>
      </c>
      <c r="H14" s="93">
        <f>AVERAGE(C14:G14)</f>
        <v>4.5099350716147979E-3</v>
      </c>
      <c r="I14" s="93">
        <f>H14</f>
        <v>4.5099350716147979E-3</v>
      </c>
      <c r="J14" s="93">
        <f t="shared" si="1"/>
        <v>4.5099350716147979E-3</v>
      </c>
      <c r="K14" s="93">
        <f t="shared" si="1"/>
        <v>4.5099350716147979E-3</v>
      </c>
      <c r="L14" s="93">
        <f t="shared" si="1"/>
        <v>4.5099350716147979E-3</v>
      </c>
      <c r="M14" s="93">
        <f t="shared" si="1"/>
        <v>4.5099350716147979E-3</v>
      </c>
      <c r="N14" s="93">
        <f t="shared" si="1"/>
        <v>4.5099350716147979E-3</v>
      </c>
      <c r="O14" s="93">
        <f t="shared" si="1"/>
        <v>4.5099350716147979E-3</v>
      </c>
      <c r="P14" s="93">
        <f t="shared" si="1"/>
        <v>4.5099350716147979E-3</v>
      </c>
      <c r="Q14" s="93">
        <f t="shared" si="1"/>
        <v>4.5099350716147979E-3</v>
      </c>
    </row>
    <row r="15" spans="2:17" ht="16.5" x14ac:dyDescent="0.3">
      <c r="B15" s="2" t="s">
        <v>34</v>
      </c>
      <c r="C15">
        <f>'Balance Sheet'!C21</f>
        <v>186</v>
      </c>
      <c r="D15">
        <f>'Balance Sheet'!D21</f>
        <v>187</v>
      </c>
      <c r="E15">
        <f>'Balance Sheet'!E21</f>
        <v>146</v>
      </c>
      <c r="F15">
        <f>'Balance Sheet'!F21</f>
        <v>68</v>
      </c>
      <c r="G15">
        <f>'Balance Sheet'!G21</f>
        <v>57</v>
      </c>
      <c r="H15" s="25">
        <f>H16*'Revenue BuildUp'!H$11</f>
        <v>165.68507103718514</v>
      </c>
      <c r="I15" s="25">
        <f>I16*'Revenue BuildUp'!I$11</f>
        <v>181.86679167384952</v>
      </c>
      <c r="J15" s="25">
        <f>J16*'Revenue BuildUp'!J$11</f>
        <v>200.76881123687627</v>
      </c>
      <c r="K15" s="25">
        <f>K16*'Revenue BuildUp'!K$11</f>
        <v>223.06270893168323</v>
      </c>
      <c r="L15" s="25">
        <f>L16*'Revenue BuildUp'!L$11</f>
        <v>249.61286421320514</v>
      </c>
      <c r="M15" s="25">
        <f>M16*'Revenue BuildUp'!M$11</f>
        <v>281.53421698994924</v>
      </c>
      <c r="N15" s="25">
        <f>N16*'Revenue BuildUp'!N$11</f>
        <v>320.26751903234629</v>
      </c>
      <c r="O15" s="25">
        <f>O16*'Revenue BuildUp'!O$11</f>
        <v>367.67738730924805</v>
      </c>
      <c r="P15" s="25">
        <f>P16*'Revenue BuildUp'!P$11</f>
        <v>426.18008346326582</v>
      </c>
      <c r="Q15" s="25">
        <f>Q16*'Revenue BuildUp'!Q$11</f>
        <v>498.91004740284291</v>
      </c>
    </row>
    <row r="16" spans="2:17" x14ac:dyDescent="0.25">
      <c r="B16" s="91" t="s">
        <v>145</v>
      </c>
      <c r="C16" s="92">
        <f>C15/'Revenue BuildUp'!C$11</f>
        <v>2.3111332007952286E-2</v>
      </c>
      <c r="D16" s="92">
        <f>D15/'Revenue BuildUp'!D$11</f>
        <v>1.9659377628259041E-2</v>
      </c>
      <c r="E16" s="92">
        <f>E15/'Revenue BuildUp'!E$11</f>
        <v>1.4952888160589923E-2</v>
      </c>
      <c r="F16" s="92">
        <f>F15/'Revenue BuildUp'!F$11</f>
        <v>7.0444421423391688E-3</v>
      </c>
      <c r="G16" s="92">
        <f>G15/'Revenue BuildUp'!G$11</f>
        <v>5.2626719601144862E-3</v>
      </c>
      <c r="H16" s="93">
        <f>AVERAGE(C16:G16)</f>
        <v>1.400614237985098E-2</v>
      </c>
      <c r="I16" s="93">
        <f>H16</f>
        <v>1.400614237985098E-2</v>
      </c>
      <c r="J16" s="93">
        <f t="shared" si="1"/>
        <v>1.400614237985098E-2</v>
      </c>
      <c r="K16" s="93">
        <f t="shared" si="1"/>
        <v>1.400614237985098E-2</v>
      </c>
      <c r="L16" s="93">
        <f t="shared" si="1"/>
        <v>1.400614237985098E-2</v>
      </c>
      <c r="M16" s="93">
        <f t="shared" si="1"/>
        <v>1.400614237985098E-2</v>
      </c>
      <c r="N16" s="93">
        <f t="shared" si="1"/>
        <v>1.400614237985098E-2</v>
      </c>
      <c r="O16" s="93">
        <f t="shared" si="1"/>
        <v>1.400614237985098E-2</v>
      </c>
      <c r="P16" s="93">
        <f t="shared" si="1"/>
        <v>1.400614237985098E-2</v>
      </c>
      <c r="Q16" s="93">
        <f t="shared" si="1"/>
        <v>1.400614237985098E-2</v>
      </c>
    </row>
    <row r="17" spans="2:17" ht="16.5" x14ac:dyDescent="0.3">
      <c r="B17" s="2" t="s">
        <v>35</v>
      </c>
      <c r="C17">
        <f>'Balance Sheet'!C22</f>
        <v>55</v>
      </c>
      <c r="D17">
        <f>'Balance Sheet'!D22</f>
        <v>57</v>
      </c>
      <c r="E17">
        <f>'Balance Sheet'!E22</f>
        <v>67</v>
      </c>
      <c r="F17">
        <f>'Balance Sheet'!F22</f>
        <v>95</v>
      </c>
      <c r="G17">
        <f>'Balance Sheet'!G22</f>
        <v>108</v>
      </c>
      <c r="H17" s="25">
        <f>H18*'Revenue BuildUp'!H$11</f>
        <v>93.455667268945106</v>
      </c>
      <c r="I17" s="25">
        <f>I18*'Revenue BuildUp'!I$11</f>
        <v>102.58306474774224</v>
      </c>
      <c r="J17" s="25">
        <f>J18*'Revenue BuildUp'!J$11</f>
        <v>113.24486330288701</v>
      </c>
      <c r="K17" s="25">
        <f>K18*'Revenue BuildUp'!K$11</f>
        <v>125.81987125050215</v>
      </c>
      <c r="L17" s="25">
        <f>L18*'Revenue BuildUp'!L$11</f>
        <v>140.79564705453859</v>
      </c>
      <c r="M17" s="25">
        <f>M18*'Revenue BuildUp'!M$11</f>
        <v>158.80107931951605</v>
      </c>
      <c r="N17" s="25">
        <f>N18*'Revenue BuildUp'!N$11</f>
        <v>180.64883280292673</v>
      </c>
      <c r="O17" s="25">
        <f>O18*'Revenue BuildUp'!O$11</f>
        <v>207.39065599323851</v>
      </c>
      <c r="P17" s="25">
        <f>P18*'Revenue BuildUp'!P$11</f>
        <v>240.38945589645377</v>
      </c>
      <c r="Q17" s="25">
        <f>Q18*'Revenue BuildUp'!Q$11</f>
        <v>281.41323231680497</v>
      </c>
    </row>
    <row r="18" spans="2:17" x14ac:dyDescent="0.25">
      <c r="B18" s="91" t="s">
        <v>145</v>
      </c>
      <c r="C18" s="92">
        <f>C17/'Revenue BuildUp'!C$11</f>
        <v>6.8339960238568585E-3</v>
      </c>
      <c r="D18" s="92">
        <f>D17/'Revenue BuildUp'!D$11</f>
        <v>5.9924306139613123E-3</v>
      </c>
      <c r="E18" s="92">
        <f>E17/'Revenue BuildUp'!E$11</f>
        <v>6.8619418271200329E-3</v>
      </c>
      <c r="F18" s="92">
        <f>F17/'Revenue BuildUp'!F$11</f>
        <v>9.841500051797368E-3</v>
      </c>
      <c r="G18" s="92">
        <f>G17/'Revenue BuildUp'!G$11</f>
        <v>9.9713784507432374E-3</v>
      </c>
      <c r="H18" s="93">
        <f>AVERAGE(C18:G18)</f>
        <v>7.9002493934957618E-3</v>
      </c>
      <c r="I18" s="93">
        <f>H18</f>
        <v>7.9002493934957618E-3</v>
      </c>
      <c r="J18" s="93">
        <f t="shared" si="1"/>
        <v>7.9002493934957618E-3</v>
      </c>
      <c r="K18" s="93">
        <f t="shared" si="1"/>
        <v>7.9002493934957618E-3</v>
      </c>
      <c r="L18" s="93">
        <f t="shared" si="1"/>
        <v>7.9002493934957618E-3</v>
      </c>
      <c r="M18" s="93">
        <f t="shared" si="1"/>
        <v>7.9002493934957618E-3</v>
      </c>
      <c r="N18" s="93">
        <f t="shared" si="1"/>
        <v>7.9002493934957618E-3</v>
      </c>
      <c r="O18" s="93">
        <f t="shared" si="1"/>
        <v>7.9002493934957618E-3</v>
      </c>
      <c r="P18" s="93">
        <f t="shared" si="1"/>
        <v>7.9002493934957618E-3</v>
      </c>
      <c r="Q18" s="93">
        <f t="shared" si="1"/>
        <v>7.9002493934957618E-3</v>
      </c>
    </row>
    <row r="19" spans="2:17" ht="16.5" x14ac:dyDescent="0.3">
      <c r="B19" s="2" t="s">
        <v>36</v>
      </c>
      <c r="C19">
        <f>'Balance Sheet'!C23</f>
        <v>26</v>
      </c>
      <c r="D19">
        <f>'Balance Sheet'!D23</f>
        <v>30</v>
      </c>
      <c r="E19">
        <f>'Balance Sheet'!E23</f>
        <v>46</v>
      </c>
      <c r="F19">
        <f>'Balance Sheet'!F23</f>
        <v>40</v>
      </c>
      <c r="G19">
        <f>'Balance Sheet'!G23</f>
        <v>49</v>
      </c>
      <c r="H19" s="25">
        <f>H20*'Revenue BuildUp'!H$11</f>
        <v>46.758420918238436</v>
      </c>
      <c r="I19" s="25">
        <f>I20*'Revenue BuildUp'!I$11</f>
        <v>51.325106980983854</v>
      </c>
      <c r="J19" s="25">
        <f>J20*'Revenue BuildUp'!J$11</f>
        <v>56.659495778960846</v>
      </c>
      <c r="K19" s="25">
        <f>K20*'Revenue BuildUp'!K$11</f>
        <v>62.951115451127777</v>
      </c>
      <c r="L19" s="25">
        <f>L20*'Revenue BuildUp'!L$11</f>
        <v>70.443904803400628</v>
      </c>
      <c r="M19" s="25">
        <f>M20*'Revenue BuildUp'!M$11</f>
        <v>79.452513968191298</v>
      </c>
      <c r="N19" s="25">
        <f>N20*'Revenue BuildUp'!N$11</f>
        <v>90.383541302845941</v>
      </c>
      <c r="O19" s="25">
        <f>O20*'Revenue BuildUp'!O$11</f>
        <v>103.76320528036923</v>
      </c>
      <c r="P19" s="25">
        <f>P20*'Revenue BuildUp'!P$11</f>
        <v>120.27340547219845</v>
      </c>
      <c r="Q19" s="25">
        <f>Q20*'Revenue BuildUp'!Q$11</f>
        <v>140.79872043248122</v>
      </c>
    </row>
    <row r="20" spans="2:17" x14ac:dyDescent="0.25">
      <c r="B20" s="91" t="s">
        <v>145</v>
      </c>
      <c r="C20" s="92">
        <f>C19/'Revenue BuildUp'!C$11</f>
        <v>3.2306163021868788E-3</v>
      </c>
      <c r="D20" s="92">
        <f>D19/'Revenue BuildUp'!D$11</f>
        <v>3.1539108494533221E-3</v>
      </c>
      <c r="E20" s="92">
        <f>E19/'Revenue BuildUp'!E$11</f>
        <v>4.7111839410077837E-3</v>
      </c>
      <c r="F20" s="92">
        <f>F19/'Revenue BuildUp'!F$11</f>
        <v>4.1437894954936289E-3</v>
      </c>
      <c r="G20" s="92">
        <f>G19/'Revenue BuildUp'!G$11</f>
        <v>4.5240513341335059E-3</v>
      </c>
      <c r="H20" s="93">
        <f>AVERAGE(C20:G20)</f>
        <v>3.9527103844550233E-3</v>
      </c>
      <c r="I20" s="93">
        <f>H20</f>
        <v>3.9527103844550233E-3</v>
      </c>
      <c r="J20" s="93">
        <f t="shared" si="1"/>
        <v>3.9527103844550233E-3</v>
      </c>
      <c r="K20" s="93">
        <f t="shared" si="1"/>
        <v>3.9527103844550233E-3</v>
      </c>
      <c r="L20" s="93">
        <f t="shared" si="1"/>
        <v>3.9527103844550233E-3</v>
      </c>
      <c r="M20" s="93">
        <f t="shared" si="1"/>
        <v>3.9527103844550233E-3</v>
      </c>
      <c r="N20" s="93">
        <f t="shared" si="1"/>
        <v>3.9527103844550233E-3</v>
      </c>
      <c r="O20" s="93">
        <f t="shared" si="1"/>
        <v>3.9527103844550233E-3</v>
      </c>
      <c r="P20" s="93">
        <f t="shared" si="1"/>
        <v>3.9527103844550233E-3</v>
      </c>
      <c r="Q20" s="93">
        <f t="shared" si="1"/>
        <v>3.9527103844550233E-3</v>
      </c>
    </row>
    <row r="22" spans="2:17" x14ac:dyDescent="0.25">
      <c r="B22" s="1" t="s">
        <v>38</v>
      </c>
    </row>
    <row r="24" spans="2:17" ht="16.5" x14ac:dyDescent="0.3">
      <c r="B24" s="2" t="s">
        <v>31</v>
      </c>
      <c r="C24">
        <f>'Balance Sheet'!C28</f>
        <v>628</v>
      </c>
      <c r="D24">
        <f>'Balance Sheet'!D28</f>
        <v>641</v>
      </c>
      <c r="E24">
        <f>'Balance Sheet'!E28</f>
        <v>578</v>
      </c>
      <c r="F24">
        <f>'Balance Sheet'!F28</f>
        <v>259</v>
      </c>
      <c r="G24">
        <f>'Balance Sheet'!G28</f>
        <v>1375</v>
      </c>
      <c r="H24" s="25">
        <f>H25*'Revenue BuildUp'!H$11</f>
        <v>847.93288574419194</v>
      </c>
      <c r="I24" s="25">
        <f>I25*'Revenue BuildUp'!I$11</f>
        <v>930.74670228094988</v>
      </c>
      <c r="J24" s="25">
        <f>J25*'Revenue BuildUp'!J$11</f>
        <v>1027.4822976736893</v>
      </c>
      <c r="K24" s="25">
        <f>K25*'Revenue BuildUp'!K$11</f>
        <v>1141.5766387540684</v>
      </c>
      <c r="L24" s="25">
        <f>L25*'Revenue BuildUp'!L$11</f>
        <v>1277.4533936354101</v>
      </c>
      <c r="M24" s="25">
        <f>M25*'Revenue BuildUp'!M$11</f>
        <v>1440.818533339326</v>
      </c>
      <c r="N24" s="25">
        <f>N25*'Revenue BuildUp'!N$11</f>
        <v>1639.0454488339637</v>
      </c>
      <c r="O24" s="25">
        <f>O25*'Revenue BuildUp'!O$11</f>
        <v>1881.676762380391</v>
      </c>
      <c r="P24" s="25">
        <f>P25*'Revenue BuildUp'!P$11</f>
        <v>2181.078269487562</v>
      </c>
      <c r="Q24" s="25">
        <f>Q25*'Revenue BuildUp'!Q$11</f>
        <v>2553.2912143069284</v>
      </c>
    </row>
    <row r="25" spans="2:17" x14ac:dyDescent="0.25">
      <c r="B25" s="91" t="s">
        <v>145</v>
      </c>
      <c r="C25" s="92">
        <f>C24/'Revenue BuildUp'!C$11</f>
        <v>7.8031809145129222E-2</v>
      </c>
      <c r="D25" s="92">
        <f>D24/'Revenue BuildUp'!D$11</f>
        <v>6.7388561816652648E-2</v>
      </c>
      <c r="E25" s="92">
        <f>E24/'Revenue BuildUp'!E$11</f>
        <v>5.9197050389184762E-2</v>
      </c>
      <c r="F25" s="92">
        <f>F24/'Revenue BuildUp'!F$11</f>
        <v>2.6831036983321246E-2</v>
      </c>
      <c r="G25" s="92">
        <f>G24/'Revenue BuildUp'!G$11</f>
        <v>0.12695042009048102</v>
      </c>
      <c r="H25" s="93">
        <f>AVERAGE(C25:G25)</f>
        <v>7.1679775684953789E-2</v>
      </c>
      <c r="I25" s="93">
        <f>H25</f>
        <v>7.1679775684953789E-2</v>
      </c>
      <c r="J25" s="93">
        <f t="shared" ref="J25:Q25" si="2">I25</f>
        <v>7.1679775684953789E-2</v>
      </c>
      <c r="K25" s="93">
        <f t="shared" si="2"/>
        <v>7.1679775684953789E-2</v>
      </c>
      <c r="L25" s="93">
        <f t="shared" si="2"/>
        <v>7.1679775684953789E-2</v>
      </c>
      <c r="M25" s="93">
        <f t="shared" si="2"/>
        <v>7.1679775684953789E-2</v>
      </c>
      <c r="N25" s="93">
        <f t="shared" si="2"/>
        <v>7.1679775684953789E-2</v>
      </c>
      <c r="O25" s="93">
        <f t="shared" si="2"/>
        <v>7.1679775684953789E-2</v>
      </c>
      <c r="P25" s="93">
        <f t="shared" si="2"/>
        <v>7.1679775684953789E-2</v>
      </c>
      <c r="Q25" s="93">
        <f t="shared" si="2"/>
        <v>7.1679775684953789E-2</v>
      </c>
    </row>
    <row r="26" spans="2:17" ht="16.5" x14ac:dyDescent="0.3">
      <c r="B26" s="2" t="s">
        <v>43</v>
      </c>
      <c r="C26">
        <f>'Balance Sheet'!C32</f>
        <v>6</v>
      </c>
      <c r="D26">
        <f>'Balance Sheet'!D32</f>
        <v>5</v>
      </c>
      <c r="E26">
        <f>'Balance Sheet'!E32</f>
        <v>4</v>
      </c>
      <c r="F26">
        <f>'Balance Sheet'!F32</f>
        <v>6</v>
      </c>
      <c r="G26">
        <f>'Balance Sheet'!G32</f>
        <v>7</v>
      </c>
      <c r="H26" s="25">
        <f>H27*'Revenue BuildUp'!H$11</f>
        <v>6.976324085869412</v>
      </c>
      <c r="I26" s="25">
        <f>I27*'Revenue BuildUp'!I$11</f>
        <v>7.6576704903564874</v>
      </c>
      <c r="J26" s="25">
        <f>J27*'Revenue BuildUp'!J$11</f>
        <v>8.4535576123743983</v>
      </c>
      <c r="K26" s="25">
        <f>K27*'Revenue BuildUp'!K$11</f>
        <v>9.3922629192712659</v>
      </c>
      <c r="L26" s="25">
        <f>L27*'Revenue BuildUp'!L$11</f>
        <v>10.510181912301631</v>
      </c>
      <c r="M26" s="25">
        <f>M27*'Revenue BuildUp'!M$11</f>
        <v>11.854260173764031</v>
      </c>
      <c r="N26" s="25">
        <f>N27*'Revenue BuildUp'!N$11</f>
        <v>13.485161897571023</v>
      </c>
      <c r="O26" s="25">
        <f>O27*'Revenue BuildUp'!O$11</f>
        <v>15.481398516220969</v>
      </c>
      <c r="P26" s="25">
        <f>P27*'Revenue BuildUp'!P$11</f>
        <v>17.944708974505865</v>
      </c>
      <c r="Q26" s="25">
        <f>Q27*'Revenue BuildUp'!Q$11</f>
        <v>21.007071781364974</v>
      </c>
    </row>
    <row r="27" spans="2:17" x14ac:dyDescent="0.25">
      <c r="B27" s="91" t="s">
        <v>145</v>
      </c>
      <c r="C27" s="92">
        <f>C26/'Revenue BuildUp'!C$11</f>
        <v>7.4552683896620276E-4</v>
      </c>
      <c r="D27" s="92">
        <f>D26/'Revenue BuildUp'!D$11</f>
        <v>5.2565180824222036E-4</v>
      </c>
      <c r="E27" s="92">
        <f>E26/'Revenue BuildUp'!E$11</f>
        <v>4.0966816878328555E-4</v>
      </c>
      <c r="F27" s="92">
        <f>F26/'Revenue BuildUp'!F$11</f>
        <v>6.2156842432404429E-4</v>
      </c>
      <c r="G27" s="92">
        <f>G26/'Revenue BuildUp'!G$11</f>
        <v>6.46293047733358E-4</v>
      </c>
      <c r="H27" s="93">
        <f>AVERAGE(C27:G27)</f>
        <v>5.8974165760982225E-4</v>
      </c>
      <c r="I27" s="93">
        <f>H27</f>
        <v>5.8974165760982225E-4</v>
      </c>
      <c r="J27" s="93">
        <f t="shared" ref="J27:Q27" si="3">I27</f>
        <v>5.8974165760982225E-4</v>
      </c>
      <c r="K27" s="93">
        <f t="shared" si="3"/>
        <v>5.8974165760982225E-4</v>
      </c>
      <c r="L27" s="93">
        <f t="shared" si="3"/>
        <v>5.8974165760982225E-4</v>
      </c>
      <c r="M27" s="93">
        <f t="shared" si="3"/>
        <v>5.8974165760982225E-4</v>
      </c>
      <c r="N27" s="93">
        <f t="shared" si="3"/>
        <v>5.8974165760982225E-4</v>
      </c>
      <c r="O27" s="93">
        <f t="shared" si="3"/>
        <v>5.8974165760982225E-4</v>
      </c>
      <c r="P27" s="93">
        <f t="shared" si="3"/>
        <v>5.8974165760982225E-4</v>
      </c>
      <c r="Q27" s="93">
        <f t="shared" si="3"/>
        <v>5.8974165760982225E-4</v>
      </c>
    </row>
    <row r="28" spans="2:17" ht="16.5" x14ac:dyDescent="0.3">
      <c r="B28" s="2" t="s">
        <v>44</v>
      </c>
      <c r="C28">
        <f>'Balance Sheet'!C33</f>
        <v>5</v>
      </c>
      <c r="D28">
        <f>'Balance Sheet'!D33</f>
        <v>2</v>
      </c>
      <c r="E28">
        <f>'Balance Sheet'!E33</f>
        <v>4</v>
      </c>
      <c r="F28">
        <f>'Balance Sheet'!F33</f>
        <v>5</v>
      </c>
      <c r="G28">
        <f>'Balance Sheet'!G33</f>
        <v>3</v>
      </c>
      <c r="H28" s="25">
        <f>H29*'Revenue BuildUp'!H$11</f>
        <v>4.8173282925774767</v>
      </c>
      <c r="I28" s="25">
        <f>I29*'Revenue BuildUp'!I$11</f>
        <v>5.287815223944353</v>
      </c>
      <c r="J28" s="25">
        <f>J29*'Revenue BuildUp'!J$11</f>
        <v>5.8373954188152934</v>
      </c>
      <c r="K28" s="25">
        <f>K29*'Revenue BuildUp'!K$11</f>
        <v>6.4855951838557893</v>
      </c>
      <c r="L28" s="25">
        <f>L29*'Revenue BuildUp'!L$11</f>
        <v>7.25754653354194</v>
      </c>
      <c r="M28" s="25">
        <f>M29*'Revenue BuildUp'!M$11</f>
        <v>8.1856665802433337</v>
      </c>
      <c r="N28" s="25">
        <f>N29*'Revenue BuildUp'!N$11</f>
        <v>9.3118454847501315</v>
      </c>
      <c r="O28" s="25">
        <f>O29*'Revenue BuildUp'!O$11</f>
        <v>10.690297377657444</v>
      </c>
      <c r="P28" s="25">
        <f>P29*'Revenue BuildUp'!P$11</f>
        <v>12.391275574489446</v>
      </c>
      <c r="Q28" s="25">
        <f>Q29*'Revenue BuildUp'!Q$11</f>
        <v>14.505914574919553</v>
      </c>
    </row>
    <row r="29" spans="2:17" x14ac:dyDescent="0.25">
      <c r="B29" s="91" t="s">
        <v>145</v>
      </c>
      <c r="C29" s="92">
        <f>C28/'Revenue BuildUp'!C$11</f>
        <v>6.21272365805169E-4</v>
      </c>
      <c r="D29" s="92">
        <f>D28/'Revenue BuildUp'!D$11</f>
        <v>2.1026072329688813E-4</v>
      </c>
      <c r="E29" s="92">
        <f>E28/'Revenue BuildUp'!E$11</f>
        <v>4.0966816878328555E-4</v>
      </c>
      <c r="F29" s="92">
        <f>F28/'Revenue BuildUp'!F$11</f>
        <v>5.1797368693670361E-4</v>
      </c>
      <c r="G29" s="92">
        <f>G28/'Revenue BuildUp'!G$11</f>
        <v>2.7698273474286767E-4</v>
      </c>
      <c r="H29" s="93">
        <f>AVERAGE(C29:G29)</f>
        <v>4.0723153591298275E-4</v>
      </c>
      <c r="I29" s="93">
        <f>H29</f>
        <v>4.0723153591298275E-4</v>
      </c>
      <c r="J29" s="93">
        <f t="shared" ref="J29:Q29" si="4">I29</f>
        <v>4.0723153591298275E-4</v>
      </c>
      <c r="K29" s="93">
        <f t="shared" si="4"/>
        <v>4.0723153591298275E-4</v>
      </c>
      <c r="L29" s="93">
        <f t="shared" si="4"/>
        <v>4.0723153591298275E-4</v>
      </c>
      <c r="M29" s="93">
        <f t="shared" si="4"/>
        <v>4.0723153591298275E-4</v>
      </c>
      <c r="N29" s="93">
        <f t="shared" si="4"/>
        <v>4.0723153591298275E-4</v>
      </c>
      <c r="O29" s="93">
        <f t="shared" si="4"/>
        <v>4.0723153591298275E-4</v>
      </c>
      <c r="P29" s="93">
        <f t="shared" si="4"/>
        <v>4.0723153591298275E-4</v>
      </c>
      <c r="Q29" s="93">
        <f t="shared" si="4"/>
        <v>4.0723153591298275E-4</v>
      </c>
    </row>
    <row r="30" spans="2:17" ht="16.5" x14ac:dyDescent="0.3">
      <c r="B30" s="2" t="s">
        <v>45</v>
      </c>
      <c r="C30">
        <f>'Balance Sheet'!C34</f>
        <v>1</v>
      </c>
      <c r="D30">
        <f>'Balance Sheet'!D34</f>
        <v>1</v>
      </c>
      <c r="E30">
        <f>'Balance Sheet'!E34</f>
        <v>2</v>
      </c>
      <c r="F30">
        <f>'Balance Sheet'!F34</f>
        <v>2</v>
      </c>
      <c r="G30">
        <f>'Balance Sheet'!G34</f>
        <v>2</v>
      </c>
      <c r="H30" s="25">
        <f>H31*'Revenue BuildUp'!H$11</f>
        <v>1.9543767916841785</v>
      </c>
      <c r="I30" s="25">
        <f>I31*'Revenue BuildUp'!I$11</f>
        <v>2.1452520411187885</v>
      </c>
      <c r="J30" s="25">
        <f>J31*'Revenue BuildUp'!J$11</f>
        <v>2.3682152092466455</v>
      </c>
      <c r="K30" s="25">
        <f>K31*'Revenue BuildUp'!K$11</f>
        <v>2.6311880647861372</v>
      </c>
      <c r="L30" s="25">
        <f>L31*'Revenue BuildUp'!L$11</f>
        <v>2.944366596641744</v>
      </c>
      <c r="M30" s="25">
        <f>M31*'Revenue BuildUp'!M$11</f>
        <v>3.3209023378252716</v>
      </c>
      <c r="N30" s="25">
        <f>N31*'Revenue BuildUp'!N$11</f>
        <v>3.7777900109455897</v>
      </c>
      <c r="O30" s="25">
        <f>O31*'Revenue BuildUp'!O$11</f>
        <v>4.3370241391452611</v>
      </c>
      <c r="P30" s="25">
        <f>P31*'Revenue BuildUp'!P$11</f>
        <v>5.0271062986217947</v>
      </c>
      <c r="Q30" s="25">
        <f>Q31*'Revenue BuildUp'!Q$11</f>
        <v>5.8850095043465602</v>
      </c>
    </row>
    <row r="31" spans="2:17" x14ac:dyDescent="0.25">
      <c r="B31" s="91" t="s">
        <v>145</v>
      </c>
      <c r="C31" s="92">
        <f>C30/'Revenue BuildUp'!C$11</f>
        <v>1.2425447316103378E-4</v>
      </c>
      <c r="D31" s="92">
        <f>D30/'Revenue BuildUp'!D$11</f>
        <v>1.0513036164844407E-4</v>
      </c>
      <c r="E31" s="92">
        <f>E30/'Revenue BuildUp'!E$11</f>
        <v>2.0483408439164277E-4</v>
      </c>
      <c r="F31" s="92">
        <f>F30/'Revenue BuildUp'!F$11</f>
        <v>2.0718947477468144E-4</v>
      </c>
      <c r="G31" s="92">
        <f>G30/'Revenue BuildUp'!G$11</f>
        <v>1.8465515649524513E-4</v>
      </c>
      <c r="H31" s="93">
        <f>AVERAGE(C31:G31)</f>
        <v>1.6521271009420943E-4</v>
      </c>
      <c r="I31" s="93">
        <f>H31</f>
        <v>1.6521271009420943E-4</v>
      </c>
      <c r="J31" s="93">
        <f t="shared" ref="J31:Q31" si="5">I31</f>
        <v>1.6521271009420943E-4</v>
      </c>
      <c r="K31" s="93">
        <f t="shared" si="5"/>
        <v>1.6521271009420943E-4</v>
      </c>
      <c r="L31" s="93">
        <f t="shared" si="5"/>
        <v>1.6521271009420943E-4</v>
      </c>
      <c r="M31" s="93">
        <f t="shared" si="5"/>
        <v>1.6521271009420943E-4</v>
      </c>
      <c r="N31" s="93">
        <f t="shared" si="5"/>
        <v>1.6521271009420943E-4</v>
      </c>
      <c r="O31" s="93">
        <f t="shared" si="5"/>
        <v>1.6521271009420943E-4</v>
      </c>
      <c r="P31" s="93">
        <f t="shared" si="5"/>
        <v>1.6521271009420943E-4</v>
      </c>
      <c r="Q31" s="93">
        <f t="shared" si="5"/>
        <v>1.6521271009420943E-4</v>
      </c>
    </row>
    <row r="32" spans="2:17" ht="16.5" x14ac:dyDescent="0.3">
      <c r="B32" s="2" t="s">
        <v>46</v>
      </c>
      <c r="C32">
        <f>'Balance Sheet'!C35</f>
        <v>224</v>
      </c>
      <c r="D32">
        <f>'Balance Sheet'!D35</f>
        <v>213</v>
      </c>
      <c r="E32">
        <f>'Balance Sheet'!E35</f>
        <v>229</v>
      </c>
      <c r="F32">
        <f>'Balance Sheet'!F35</f>
        <v>378</v>
      </c>
      <c r="G32">
        <f>'Balance Sheet'!G35</f>
        <v>413</v>
      </c>
      <c r="H32" s="25">
        <f>H33*'Revenue BuildUp'!H$11</f>
        <v>357.17716533382242</v>
      </c>
      <c r="I32" s="25">
        <f>I33*'Revenue BuildUp'!I$11</f>
        <v>392.06106326769503</v>
      </c>
      <c r="J32" s="25">
        <f>J33*'Revenue BuildUp'!J$11</f>
        <v>432.8092714456734</v>
      </c>
      <c r="K32" s="25">
        <f>K33*'Revenue BuildUp'!K$11</f>
        <v>480.86955311755833</v>
      </c>
      <c r="L32" s="25">
        <f>L33*'Revenue BuildUp'!L$11</f>
        <v>538.1053025019944</v>
      </c>
      <c r="M32" s="25">
        <f>M33*'Revenue BuildUp'!M$11</f>
        <v>606.92006189488814</v>
      </c>
      <c r="N32" s="25">
        <f>N33*'Revenue BuildUp'!N$11</f>
        <v>690.41974560759377</v>
      </c>
      <c r="O32" s="25">
        <f>O33*'Revenue BuildUp'!O$11</f>
        <v>792.62401937824154</v>
      </c>
      <c r="P32" s="25">
        <f>P33*'Revenue BuildUp'!P$11</f>
        <v>918.74176218916909</v>
      </c>
      <c r="Q32" s="25">
        <f>Q33*'Revenue BuildUp'!Q$11</f>
        <v>1075.530072639536</v>
      </c>
    </row>
    <row r="33" spans="2:17" x14ac:dyDescent="0.25">
      <c r="B33" s="91" t="s">
        <v>145</v>
      </c>
      <c r="C33" s="92">
        <f>C32/'Revenue BuildUp'!C$11</f>
        <v>2.7833001988071572E-2</v>
      </c>
      <c r="D33" s="92">
        <f>D32/'Revenue BuildUp'!D$11</f>
        <v>2.2392767031118588E-2</v>
      </c>
      <c r="E33" s="92">
        <f>E32/'Revenue BuildUp'!E$11</f>
        <v>2.3453502662843097E-2</v>
      </c>
      <c r="F33" s="92">
        <f>F32/'Revenue BuildUp'!F$11</f>
        <v>3.9158810732414791E-2</v>
      </c>
      <c r="G33" s="92">
        <f>G32/'Revenue BuildUp'!G$11</f>
        <v>3.8131289816268121E-2</v>
      </c>
      <c r="H33" s="93">
        <f>AVERAGE(C33:G33)</f>
        <v>3.0193874446143232E-2</v>
      </c>
      <c r="I33" s="93">
        <f>H33</f>
        <v>3.0193874446143232E-2</v>
      </c>
      <c r="J33" s="93">
        <f t="shared" ref="J33:Q33" si="6">I33</f>
        <v>3.0193874446143232E-2</v>
      </c>
      <c r="K33" s="93">
        <f t="shared" si="6"/>
        <v>3.0193874446143232E-2</v>
      </c>
      <c r="L33" s="93">
        <f t="shared" si="6"/>
        <v>3.0193874446143232E-2</v>
      </c>
      <c r="M33" s="93">
        <f t="shared" si="6"/>
        <v>3.0193874446143232E-2</v>
      </c>
      <c r="N33" s="93">
        <f t="shared" si="6"/>
        <v>3.0193874446143232E-2</v>
      </c>
      <c r="O33" s="93">
        <f t="shared" si="6"/>
        <v>3.0193874446143232E-2</v>
      </c>
      <c r="P33" s="93">
        <f t="shared" si="6"/>
        <v>3.0193874446143232E-2</v>
      </c>
      <c r="Q33" s="93">
        <f t="shared" si="6"/>
        <v>3.0193874446143232E-2</v>
      </c>
    </row>
    <row r="34" spans="2:17" ht="16.5" x14ac:dyDescent="0.3">
      <c r="B34" s="2" t="s">
        <v>47</v>
      </c>
      <c r="C34">
        <f>'Balance Sheet'!C36</f>
        <v>14</v>
      </c>
      <c r="D34">
        <f>'Balance Sheet'!D36</f>
        <v>0</v>
      </c>
      <c r="E34">
        <f>'Balance Sheet'!E36</f>
        <v>7</v>
      </c>
      <c r="F34">
        <f>'Balance Sheet'!F36</f>
        <v>5</v>
      </c>
      <c r="G34">
        <f>'Balance Sheet'!G36</f>
        <v>0</v>
      </c>
      <c r="H34" s="25">
        <f>H35*'Revenue BuildUp'!H$11</f>
        <v>7.0372394497307669</v>
      </c>
      <c r="I34" s="25">
        <f>I35*'Revenue BuildUp'!I$11</f>
        <v>7.72453518564713</v>
      </c>
      <c r="J34" s="25">
        <f>J35*'Revenue BuildUp'!J$11</f>
        <v>8.5273717774765831</v>
      </c>
      <c r="K34" s="25">
        <f>K35*'Revenue BuildUp'!K$11</f>
        <v>9.4742736037186503</v>
      </c>
      <c r="L34" s="25">
        <f>L35*'Revenue BuildUp'!L$11</f>
        <v>10.601953961242659</v>
      </c>
      <c r="M34" s="25">
        <f>M35*'Revenue BuildUp'!M$11</f>
        <v>11.957768348399243</v>
      </c>
      <c r="N34" s="25">
        <f>N35*'Revenue BuildUp'!N$11</f>
        <v>13.602910662337226</v>
      </c>
      <c r="O34" s="25">
        <f>O35*'Revenue BuildUp'!O$11</f>
        <v>15.616577876022845</v>
      </c>
      <c r="P34" s="25">
        <f>P35*'Revenue BuildUp'!P$11</f>
        <v>18.101397291033798</v>
      </c>
      <c r="Q34" s="25">
        <f>Q35*'Revenue BuildUp'!Q$11</f>
        <v>21.190499816741855</v>
      </c>
    </row>
    <row r="35" spans="2:17" x14ac:dyDescent="0.25">
      <c r="B35" s="91" t="s">
        <v>145</v>
      </c>
      <c r="C35" s="92">
        <f>C34/'Revenue BuildUp'!C$11</f>
        <v>1.7395626242544733E-3</v>
      </c>
      <c r="D35" s="92">
        <f>D34/'Revenue BuildUp'!D$11</f>
        <v>0</v>
      </c>
      <c r="E35" s="92">
        <f>E34/'Revenue BuildUp'!E$11</f>
        <v>7.1691929537074967E-4</v>
      </c>
      <c r="F35" s="92">
        <f>F34/'Revenue BuildUp'!F$11</f>
        <v>5.1797368693670361E-4</v>
      </c>
      <c r="G35" s="92">
        <f>G34/'Revenue BuildUp'!G$11</f>
        <v>0</v>
      </c>
      <c r="H35" s="93">
        <f>AVERAGE(C35:G35)</f>
        <v>5.9489112131238533E-4</v>
      </c>
      <c r="I35" s="93">
        <f>H35</f>
        <v>5.9489112131238533E-4</v>
      </c>
      <c r="J35" s="93">
        <f t="shared" ref="J35:Q35" si="7">I35</f>
        <v>5.9489112131238533E-4</v>
      </c>
      <c r="K35" s="93">
        <f t="shared" si="7"/>
        <v>5.9489112131238533E-4</v>
      </c>
      <c r="L35" s="93">
        <f t="shared" si="7"/>
        <v>5.9489112131238533E-4</v>
      </c>
      <c r="M35" s="93">
        <f t="shared" si="7"/>
        <v>5.9489112131238533E-4</v>
      </c>
      <c r="N35" s="93">
        <f t="shared" si="7"/>
        <v>5.9489112131238533E-4</v>
      </c>
      <c r="O35" s="93">
        <f t="shared" si="7"/>
        <v>5.9489112131238533E-4</v>
      </c>
      <c r="P35" s="93">
        <f t="shared" si="7"/>
        <v>5.9489112131238533E-4</v>
      </c>
      <c r="Q35" s="93">
        <f t="shared" si="7"/>
        <v>5.9489112131238533E-4</v>
      </c>
    </row>
    <row r="37" spans="2:17" x14ac:dyDescent="0.25">
      <c r="B37" s="1" t="s">
        <v>61</v>
      </c>
    </row>
    <row r="39" spans="2:17" ht="16.5" x14ac:dyDescent="0.3">
      <c r="B39" s="2" t="s">
        <v>63</v>
      </c>
      <c r="C39">
        <f>'Balance Sheet'!C52</f>
        <v>8</v>
      </c>
      <c r="D39">
        <f>'Balance Sheet'!D52</f>
        <v>0</v>
      </c>
      <c r="E39">
        <f>'Balance Sheet'!E52</f>
        <v>2</v>
      </c>
      <c r="F39">
        <f>'Balance Sheet'!F52</f>
        <v>0</v>
      </c>
      <c r="G39">
        <f>'Balance Sheet'!G52</f>
        <v>0</v>
      </c>
      <c r="H39" s="25">
        <f>H40*'Revenue BuildUp'!H$11</f>
        <v>2.8363961201481187</v>
      </c>
      <c r="I39" s="25">
        <f>I40*'Revenue BuildUp'!I$11</f>
        <v>3.1134142566877387</v>
      </c>
      <c r="J39" s="25">
        <f>J40*'Revenue BuildUp'!J$11</f>
        <v>3.4370017387457952</v>
      </c>
      <c r="K39" s="25">
        <f>K40*'Revenue BuildUp'!K$11</f>
        <v>3.818655466077316</v>
      </c>
      <c r="L39" s="25">
        <f>L40*'Revenue BuildUp'!L$11</f>
        <v>4.2731729247621582</v>
      </c>
      <c r="M39" s="25">
        <f>M40*'Revenue BuildUp'!M$11</f>
        <v>4.8196409957781388</v>
      </c>
      <c r="N39" s="25">
        <f>N40*'Revenue BuildUp'!N$11</f>
        <v>5.4827241990253599</v>
      </c>
      <c r="O39" s="25">
        <f>O40*'Revenue BuildUp'!O$11</f>
        <v>6.2943432881535379</v>
      </c>
      <c r="P39" s="25">
        <f>P40*'Revenue BuildUp'!P$11</f>
        <v>7.2958627331505985</v>
      </c>
      <c r="Q39" s="25">
        <f>Q40*'Revenue BuildUp'!Q$11</f>
        <v>8.5409416424654321</v>
      </c>
    </row>
    <row r="40" spans="2:17" x14ac:dyDescent="0.25">
      <c r="B40" s="91" t="s">
        <v>145</v>
      </c>
      <c r="C40" s="92">
        <f>C39/'Revenue BuildUp'!C$11</f>
        <v>9.9403578528827028E-4</v>
      </c>
      <c r="D40" s="92">
        <f>D39/'Revenue BuildUp'!D$11</f>
        <v>0</v>
      </c>
      <c r="E40" s="92">
        <f>E39/'Revenue BuildUp'!E$11</f>
        <v>2.0483408439164277E-4</v>
      </c>
      <c r="F40" s="92">
        <f>F39/'Revenue BuildUp'!F$11</f>
        <v>0</v>
      </c>
      <c r="G40" s="92">
        <f>G39/'Revenue BuildUp'!G$11</f>
        <v>0</v>
      </c>
      <c r="H40" s="93">
        <f>AVERAGE(C40:G40)</f>
        <v>2.3977397393598263E-4</v>
      </c>
      <c r="I40" s="93">
        <f>H40</f>
        <v>2.3977397393598263E-4</v>
      </c>
      <c r="J40" s="93">
        <f t="shared" ref="J40:Q40" si="8">I40</f>
        <v>2.3977397393598263E-4</v>
      </c>
      <c r="K40" s="93">
        <f t="shared" si="8"/>
        <v>2.3977397393598263E-4</v>
      </c>
      <c r="L40" s="93">
        <f t="shared" si="8"/>
        <v>2.3977397393598263E-4</v>
      </c>
      <c r="M40" s="93">
        <f t="shared" si="8"/>
        <v>2.3977397393598263E-4</v>
      </c>
      <c r="N40" s="93">
        <f t="shared" si="8"/>
        <v>2.3977397393598263E-4</v>
      </c>
      <c r="O40" s="93">
        <f t="shared" si="8"/>
        <v>2.3977397393598263E-4</v>
      </c>
      <c r="P40" s="93">
        <f t="shared" si="8"/>
        <v>2.3977397393598263E-4</v>
      </c>
      <c r="Q40" s="93">
        <f t="shared" si="8"/>
        <v>2.3977397393598263E-4</v>
      </c>
    </row>
    <row r="41" spans="2:17" ht="16.5" x14ac:dyDescent="0.3">
      <c r="B41" s="2" t="s">
        <v>64</v>
      </c>
      <c r="C41">
        <f>'Balance Sheet'!C53</f>
        <v>122</v>
      </c>
      <c r="D41">
        <f>'Balance Sheet'!D53</f>
        <v>91</v>
      </c>
      <c r="E41">
        <f>'Balance Sheet'!E53</f>
        <v>91</v>
      </c>
      <c r="F41">
        <f>'Balance Sheet'!F53</f>
        <v>104</v>
      </c>
      <c r="G41">
        <f>'Balance Sheet'!G53</f>
        <v>124</v>
      </c>
      <c r="H41" s="25">
        <f>H42*'Revenue BuildUp'!H$11</f>
        <v>133.12477211213397</v>
      </c>
      <c r="I41" s="25">
        <f>I42*'Revenue BuildUp'!I$11</f>
        <v>146.12647382643439</v>
      </c>
      <c r="J41" s="25">
        <f>J42*'Revenue BuildUp'!J$11</f>
        <v>161.31388347677211</v>
      </c>
      <c r="K41" s="25">
        <f>K42*'Revenue BuildUp'!K$11</f>
        <v>179.22660205505801</v>
      </c>
      <c r="L41" s="25">
        <f>L42*'Revenue BuildUp'!L$11</f>
        <v>200.55914185039734</v>
      </c>
      <c r="M41" s="25">
        <f>M42*'Revenue BuildUp'!M$11</f>
        <v>226.20733566359465</v>
      </c>
      <c r="N41" s="25">
        <f>N42*'Revenue BuildUp'!N$11</f>
        <v>257.3287998683407</v>
      </c>
      <c r="O41" s="25">
        <f>O42*'Revenue BuildUp'!O$11</f>
        <v>295.42171838368688</v>
      </c>
      <c r="P41" s="25">
        <f>P42*'Revenue BuildUp'!P$11</f>
        <v>342.42751102810149</v>
      </c>
      <c r="Q41" s="25">
        <f>Q42*'Revenue BuildUp'!Q$11</f>
        <v>400.8646400619354</v>
      </c>
    </row>
    <row r="42" spans="2:17" x14ac:dyDescent="0.25">
      <c r="B42" s="91" t="s">
        <v>145</v>
      </c>
      <c r="C42" s="92">
        <f>C41/'Revenue BuildUp'!C$11</f>
        <v>1.5159045725646123E-2</v>
      </c>
      <c r="D42" s="92">
        <f>D41/'Revenue BuildUp'!D$11</f>
        <v>9.5668629100084113E-3</v>
      </c>
      <c r="E42" s="92">
        <f>E41/'Revenue BuildUp'!E$11</f>
        <v>9.3199508398197455E-3</v>
      </c>
      <c r="F42" s="92">
        <f>F41/'Revenue BuildUp'!F$11</f>
        <v>1.0773852688283436E-2</v>
      </c>
      <c r="G42" s="92">
        <f>G41/'Revenue BuildUp'!G$11</f>
        <v>1.1448619702705198E-2</v>
      </c>
      <c r="H42" s="93">
        <f>AVERAGE(C42:G42)</f>
        <v>1.1253666373292583E-2</v>
      </c>
      <c r="I42" s="93">
        <f>H42</f>
        <v>1.1253666373292583E-2</v>
      </c>
      <c r="J42" s="93">
        <f t="shared" ref="J42:Q42" si="9">I42</f>
        <v>1.1253666373292583E-2</v>
      </c>
      <c r="K42" s="93">
        <f t="shared" si="9"/>
        <v>1.1253666373292583E-2</v>
      </c>
      <c r="L42" s="93">
        <f t="shared" si="9"/>
        <v>1.1253666373292583E-2</v>
      </c>
      <c r="M42" s="93">
        <f t="shared" si="9"/>
        <v>1.1253666373292583E-2</v>
      </c>
      <c r="N42" s="93">
        <f t="shared" si="9"/>
        <v>1.1253666373292583E-2</v>
      </c>
      <c r="O42" s="93">
        <f t="shared" si="9"/>
        <v>1.1253666373292583E-2</v>
      </c>
      <c r="P42" s="93">
        <f t="shared" si="9"/>
        <v>1.1253666373292583E-2</v>
      </c>
      <c r="Q42" s="93">
        <f t="shared" si="9"/>
        <v>1.1253666373292583E-2</v>
      </c>
    </row>
    <row r="43" spans="2:17" ht="16.5" x14ac:dyDescent="0.3">
      <c r="B43" s="2" t="s">
        <v>65</v>
      </c>
      <c r="C43">
        <f>'Balance Sheet'!C54</f>
        <v>0</v>
      </c>
      <c r="D43">
        <f>'Balance Sheet'!D54</f>
        <v>0</v>
      </c>
      <c r="E43">
        <f>'Balance Sheet'!E54</f>
        <v>266</v>
      </c>
      <c r="F43">
        <f>'Balance Sheet'!F54</f>
        <v>405</v>
      </c>
      <c r="G43">
        <f>'Balance Sheet'!G54</f>
        <v>1211</v>
      </c>
      <c r="H43" s="25">
        <f>H44*'Revenue BuildUp'!H$11</f>
        <v>428.24411657757952</v>
      </c>
      <c r="I43" s="25">
        <f>I44*'Revenue BuildUp'!I$11</f>
        <v>470.06880612488499</v>
      </c>
      <c r="J43" s="25">
        <f>J44*'Revenue BuildUp'!J$11</f>
        <v>518.92461804944764</v>
      </c>
      <c r="K43" s="25">
        <f>K44*'Revenue BuildUp'!K$11</f>
        <v>576.54737466607025</v>
      </c>
      <c r="L43" s="25">
        <f>L44*'Revenue BuildUp'!L$11</f>
        <v>645.17122666647845</v>
      </c>
      <c r="M43" s="25">
        <f>M44*'Revenue BuildUp'!M$11</f>
        <v>727.67794519134782</v>
      </c>
      <c r="N43" s="25">
        <f>N44*'Revenue BuildUp'!N$11</f>
        <v>827.79142319780112</v>
      </c>
      <c r="O43" s="25">
        <f>O44*'Revenue BuildUp'!O$11</f>
        <v>950.33111268343112</v>
      </c>
      <c r="P43" s="25">
        <f>P44*'Revenue BuildUp'!P$11</f>
        <v>1101.5422946870353</v>
      </c>
      <c r="Q43" s="25">
        <f>Q44*'Revenue BuildUp'!Q$11</f>
        <v>1289.5265165668279</v>
      </c>
    </row>
    <row r="44" spans="2:17" x14ac:dyDescent="0.25">
      <c r="B44" s="91" t="s">
        <v>145</v>
      </c>
      <c r="C44" s="92">
        <f>C43/'Revenue BuildUp'!C$11</f>
        <v>0</v>
      </c>
      <c r="D44" s="92">
        <f>D43/'Revenue BuildUp'!D$11</f>
        <v>0</v>
      </c>
      <c r="E44" s="92">
        <f>E43/'Revenue BuildUp'!E$11</f>
        <v>2.7242933224088488E-2</v>
      </c>
      <c r="F44" s="92">
        <f>F43/'Revenue BuildUp'!F$11</f>
        <v>4.1955868641872993E-2</v>
      </c>
      <c r="G44" s="92">
        <f>G43/'Revenue BuildUp'!G$11</f>
        <v>0.11180869725787093</v>
      </c>
      <c r="H44" s="93">
        <f>AVERAGE(C44:G44)</f>
        <v>3.6201499824766482E-2</v>
      </c>
      <c r="I44" s="93">
        <f>H44</f>
        <v>3.6201499824766482E-2</v>
      </c>
      <c r="J44" s="93">
        <f t="shared" ref="J44:Q44" si="10">I44</f>
        <v>3.6201499824766482E-2</v>
      </c>
      <c r="K44" s="93">
        <f t="shared" si="10"/>
        <v>3.6201499824766482E-2</v>
      </c>
      <c r="L44" s="93">
        <f t="shared" si="10"/>
        <v>3.6201499824766482E-2</v>
      </c>
      <c r="M44" s="93">
        <f t="shared" si="10"/>
        <v>3.6201499824766482E-2</v>
      </c>
      <c r="N44" s="93">
        <f t="shared" si="10"/>
        <v>3.6201499824766482E-2</v>
      </c>
      <c r="O44" s="93">
        <f t="shared" si="10"/>
        <v>3.6201499824766482E-2</v>
      </c>
      <c r="P44" s="93">
        <f t="shared" si="10"/>
        <v>3.6201499824766482E-2</v>
      </c>
      <c r="Q44" s="93">
        <f t="shared" si="10"/>
        <v>3.6201499824766482E-2</v>
      </c>
    </row>
    <row r="45" spans="2:17" ht="16.5" x14ac:dyDescent="0.3">
      <c r="B45" s="2" t="s">
        <v>66</v>
      </c>
      <c r="C45">
        <f>'Balance Sheet'!C55</f>
        <v>1</v>
      </c>
      <c r="D45">
        <f>'Balance Sheet'!D55</f>
        <v>1</v>
      </c>
      <c r="E45">
        <f>'Balance Sheet'!E55</f>
        <v>4</v>
      </c>
      <c r="F45">
        <f>'Balance Sheet'!F55</f>
        <v>1</v>
      </c>
      <c r="G45">
        <f>'Balance Sheet'!G55</f>
        <v>1</v>
      </c>
      <c r="H45" s="25">
        <f>H46*'Revenue BuildUp'!H$11</f>
        <v>1.9754610702738569</v>
      </c>
      <c r="I45" s="25">
        <f>I46*'Revenue BuildUp'!I$11</f>
        <v>2.1683955269975002</v>
      </c>
      <c r="J45" s="25">
        <f>J46*'Revenue BuildUp'!J$11</f>
        <v>2.393764074462672</v>
      </c>
      <c r="K45" s="25">
        <f>K46*'Revenue BuildUp'!K$11</f>
        <v>2.659573943300372</v>
      </c>
      <c r="L45" s="25">
        <f>L46*'Revenue BuildUp'!L$11</f>
        <v>2.9761311191523907</v>
      </c>
      <c r="M45" s="25">
        <f>M46*'Revenue BuildUp'!M$11</f>
        <v>3.3567290168759798</v>
      </c>
      <c r="N45" s="25">
        <f>N46*'Revenue BuildUp'!N$11</f>
        <v>3.8185457021628606</v>
      </c>
      <c r="O45" s="25">
        <f>O46*'Revenue BuildUp'!O$11</f>
        <v>4.3838129802679076</v>
      </c>
      <c r="P45" s="25">
        <f>P46*'Revenue BuildUp'!P$11</f>
        <v>5.0813399091267222</v>
      </c>
      <c r="Q45" s="25">
        <f>Q46*'Revenue BuildUp'!Q$11</f>
        <v>5.9484983773318056</v>
      </c>
    </row>
    <row r="46" spans="2:17" x14ac:dyDescent="0.25">
      <c r="B46" s="91" t="s">
        <v>145</v>
      </c>
      <c r="C46" s="92">
        <f>C45/'Revenue BuildUp'!C$11</f>
        <v>1.2425447316103378E-4</v>
      </c>
      <c r="D46" s="92">
        <f>D45/'Revenue BuildUp'!D$11</f>
        <v>1.0513036164844407E-4</v>
      </c>
      <c r="E46" s="92">
        <f>E45/'Revenue BuildUp'!E$11</f>
        <v>4.0966816878328555E-4</v>
      </c>
      <c r="F46" s="92">
        <f>F45/'Revenue BuildUp'!F$11</f>
        <v>1.0359473738734072E-4</v>
      </c>
      <c r="G46" s="92">
        <f>G45/'Revenue BuildUp'!G$11</f>
        <v>9.2327578247622567E-5</v>
      </c>
      <c r="H46" s="93">
        <f>AVERAGE(C46:G46)</f>
        <v>1.669950638455453E-4</v>
      </c>
      <c r="I46" s="93">
        <f>H46</f>
        <v>1.669950638455453E-4</v>
      </c>
      <c r="J46" s="93">
        <f t="shared" ref="J46:Q46" si="11">I46</f>
        <v>1.669950638455453E-4</v>
      </c>
      <c r="K46" s="93">
        <f t="shared" si="11"/>
        <v>1.669950638455453E-4</v>
      </c>
      <c r="L46" s="93">
        <f t="shared" si="11"/>
        <v>1.669950638455453E-4</v>
      </c>
      <c r="M46" s="93">
        <f t="shared" si="11"/>
        <v>1.669950638455453E-4</v>
      </c>
      <c r="N46" s="93">
        <f t="shared" si="11"/>
        <v>1.669950638455453E-4</v>
      </c>
      <c r="O46" s="93">
        <f t="shared" si="11"/>
        <v>1.669950638455453E-4</v>
      </c>
      <c r="P46" s="93">
        <f t="shared" si="11"/>
        <v>1.669950638455453E-4</v>
      </c>
      <c r="Q46" s="93">
        <f t="shared" si="11"/>
        <v>1.669950638455453E-4</v>
      </c>
    </row>
    <row r="47" spans="2:17" ht="16.5" x14ac:dyDescent="0.3">
      <c r="B47" s="2" t="s">
        <v>67</v>
      </c>
      <c r="C47">
        <f>'Balance Sheet'!C56</f>
        <v>24</v>
      </c>
      <c r="D47">
        <f>'Balance Sheet'!D56</f>
        <v>27</v>
      </c>
      <c r="E47">
        <f>'Balance Sheet'!E56</f>
        <v>20</v>
      </c>
      <c r="F47">
        <f>'Balance Sheet'!F56</f>
        <v>19</v>
      </c>
      <c r="G47">
        <f>'Balance Sheet'!G56</f>
        <v>27</v>
      </c>
      <c r="H47" s="25">
        <f>H48*'Revenue BuildUp'!H$11</f>
        <v>29.171709447533761</v>
      </c>
      <c r="I47" s="25">
        <f>I48*'Revenue BuildUp'!I$11</f>
        <v>32.020779975245887</v>
      </c>
      <c r="J47" s="25">
        <f>J48*'Revenue BuildUp'!J$11</f>
        <v>35.348805965834153</v>
      </c>
      <c r="K47" s="25">
        <f>K48*'Revenue BuildUp'!K$11</f>
        <v>39.274030501362716</v>
      </c>
      <c r="L47" s="25">
        <f>L48*'Revenue BuildUp'!L$11</f>
        <v>43.94864246737162</v>
      </c>
      <c r="M47" s="25">
        <f>M48*'Revenue BuildUp'!M$11</f>
        <v>49.56894623129017</v>
      </c>
      <c r="N47" s="25">
        <f>N48*'Revenue BuildUp'!N$11</f>
        <v>56.388610948522185</v>
      </c>
      <c r="O47" s="25">
        <f>O48*'Revenue BuildUp'!O$11</f>
        <v>64.735934540574917</v>
      </c>
      <c r="P47" s="25">
        <f>P48*'Revenue BuildUp'!P$11</f>
        <v>75.036341471742148</v>
      </c>
      <c r="Q47" s="25">
        <f>Q48*'Revenue BuildUp'!Q$11</f>
        <v>87.841703855289552</v>
      </c>
    </row>
    <row r="48" spans="2:17" x14ac:dyDescent="0.25">
      <c r="B48" s="91" t="s">
        <v>145</v>
      </c>
      <c r="C48" s="92">
        <f>C47/'Revenue BuildUp'!C$11</f>
        <v>2.982107355864811E-3</v>
      </c>
      <c r="D48" s="92">
        <f>D47/'Revenue BuildUp'!D$11</f>
        <v>2.8385197645079898E-3</v>
      </c>
      <c r="E48" s="92">
        <f>E47/'Revenue BuildUp'!E$11</f>
        <v>2.0483408439164277E-3</v>
      </c>
      <c r="F48" s="92">
        <f>F47/'Revenue BuildUp'!F$11</f>
        <v>1.9683000103594738E-3</v>
      </c>
      <c r="G48" s="92">
        <f>G47/'Revenue BuildUp'!G$11</f>
        <v>2.4928446126858093E-3</v>
      </c>
      <c r="H48" s="93">
        <f>AVERAGE(C48:G48)</f>
        <v>2.4660225174669022E-3</v>
      </c>
      <c r="I48" s="93">
        <f>H48</f>
        <v>2.4660225174669022E-3</v>
      </c>
      <c r="J48" s="93">
        <f t="shared" ref="J48:Q48" si="12">I48</f>
        <v>2.4660225174669022E-3</v>
      </c>
      <c r="K48" s="93">
        <f t="shared" si="12"/>
        <v>2.4660225174669022E-3</v>
      </c>
      <c r="L48" s="93">
        <f t="shared" si="12"/>
        <v>2.4660225174669022E-3</v>
      </c>
      <c r="M48" s="93">
        <f t="shared" si="12"/>
        <v>2.4660225174669022E-3</v>
      </c>
      <c r="N48" s="93">
        <f t="shared" si="12"/>
        <v>2.4660225174669022E-3</v>
      </c>
      <c r="O48" s="93">
        <f t="shared" si="12"/>
        <v>2.4660225174669022E-3</v>
      </c>
      <c r="P48" s="93">
        <f t="shared" si="12"/>
        <v>2.4660225174669022E-3</v>
      </c>
      <c r="Q48" s="93">
        <f t="shared" si="12"/>
        <v>2.4660225174669022E-3</v>
      </c>
    </row>
    <row r="49" spans="2:17" ht="16.5" x14ac:dyDescent="0.3">
      <c r="B49" s="2" t="s">
        <v>68</v>
      </c>
      <c r="C49">
        <f>'Balance Sheet'!C57</f>
        <v>84</v>
      </c>
      <c r="D49">
        <f>'Balance Sheet'!D57</f>
        <v>109</v>
      </c>
      <c r="E49">
        <f>'Balance Sheet'!E57</f>
        <v>178</v>
      </c>
      <c r="F49">
        <f>'Balance Sheet'!F57</f>
        <v>279</v>
      </c>
      <c r="G49">
        <f>'Balance Sheet'!G57</f>
        <v>248</v>
      </c>
      <c r="H49" s="25">
        <f>H50*'Revenue BuildUp'!H$11</f>
        <v>217.48929040213932</v>
      </c>
      <c r="I49" s="25">
        <f>I50*'Revenue BuildUp'!I$11</f>
        <v>238.7304976921065</v>
      </c>
      <c r="J49" s="25">
        <f>J50*'Revenue BuildUp'!J$11</f>
        <v>263.54255104244976</v>
      </c>
      <c r="K49" s="25">
        <f>K50*'Revenue BuildUp'!K$11</f>
        <v>292.80701017318972</v>
      </c>
      <c r="L49" s="25">
        <f>L50*'Revenue BuildUp'!L$11</f>
        <v>327.65851728905324</v>
      </c>
      <c r="M49" s="25">
        <f>M50*'Revenue BuildUp'!M$11</f>
        <v>369.56061698113893</v>
      </c>
      <c r="N49" s="25">
        <f>N50*'Revenue BuildUp'!N$11</f>
        <v>420.40453625158437</v>
      </c>
      <c r="O49" s="25">
        <f>O50*'Revenue BuildUp'!O$11</f>
        <v>482.63789587206651</v>
      </c>
      <c r="P49" s="25">
        <f>P50*'Revenue BuildUp'!P$11</f>
        <v>559.43244225756234</v>
      </c>
      <c r="Q49" s="25">
        <f>Q50*'Revenue BuildUp'!Q$11</f>
        <v>654.90265058213572</v>
      </c>
    </row>
    <row r="50" spans="2:17" x14ac:dyDescent="0.25">
      <c r="B50" s="91" t="s">
        <v>145</v>
      </c>
      <c r="C50" s="92">
        <f>C49/'Revenue BuildUp'!C$11</f>
        <v>1.0437375745526839E-2</v>
      </c>
      <c r="D50" s="92">
        <f>D49/'Revenue BuildUp'!D$11</f>
        <v>1.1459209419680403E-2</v>
      </c>
      <c r="E50" s="92">
        <f>E49/'Revenue BuildUp'!E$11</f>
        <v>1.8230233510856206E-2</v>
      </c>
      <c r="F50" s="92">
        <f>F49/'Revenue BuildUp'!F$11</f>
        <v>2.890293173106806E-2</v>
      </c>
      <c r="G50" s="92">
        <f>G49/'Revenue BuildUp'!G$11</f>
        <v>2.2897239405410396E-2</v>
      </c>
      <c r="H50" s="93">
        <f>AVERAGE(C50:G50)</f>
        <v>1.8385397962508383E-2</v>
      </c>
      <c r="I50" s="93">
        <f>H50</f>
        <v>1.8385397962508383E-2</v>
      </c>
      <c r="J50" s="93">
        <f t="shared" ref="J50:Q50" si="13">I50</f>
        <v>1.8385397962508383E-2</v>
      </c>
      <c r="K50" s="93">
        <f t="shared" si="13"/>
        <v>1.8385397962508383E-2</v>
      </c>
      <c r="L50" s="93">
        <f t="shared" si="13"/>
        <v>1.8385397962508383E-2</v>
      </c>
      <c r="M50" s="93">
        <f t="shared" si="13"/>
        <v>1.8385397962508383E-2</v>
      </c>
      <c r="N50" s="93">
        <f t="shared" si="13"/>
        <v>1.8385397962508383E-2</v>
      </c>
      <c r="O50" s="93">
        <f t="shared" si="13"/>
        <v>1.8385397962508383E-2</v>
      </c>
      <c r="P50" s="93">
        <f t="shared" si="13"/>
        <v>1.8385397962508383E-2</v>
      </c>
      <c r="Q50" s="93">
        <f t="shared" si="13"/>
        <v>1.8385397962508383E-2</v>
      </c>
    </row>
    <row r="52" spans="2:17" x14ac:dyDescent="0.25">
      <c r="B52" s="1" t="s">
        <v>70</v>
      </c>
    </row>
    <row r="54" spans="2:17" ht="16.5" x14ac:dyDescent="0.3">
      <c r="B54" s="2" t="s">
        <v>71</v>
      </c>
      <c r="C54">
        <f>'Balance Sheet'!C61</f>
        <v>340</v>
      </c>
      <c r="D54">
        <f>'Balance Sheet'!D61</f>
        <v>345</v>
      </c>
      <c r="E54">
        <f>'Balance Sheet'!E61</f>
        <v>473</v>
      </c>
      <c r="F54">
        <f>'Balance Sheet'!F61</f>
        <v>383</v>
      </c>
      <c r="G54">
        <f>'Balance Sheet'!G61</f>
        <v>379</v>
      </c>
      <c r="H54" s="25">
        <f>H55*'Revenue BuildUp'!H$11</f>
        <v>477.03162578544789</v>
      </c>
      <c r="I54" s="25">
        <f>I55*'Revenue BuildUp'!I$11</f>
        <v>523.62117338313999</v>
      </c>
      <c r="J54" s="25">
        <f>J55*'Revenue BuildUp'!J$11</f>
        <v>578.04286066210625</v>
      </c>
      <c r="K54" s="25">
        <f>K55*'Revenue BuildUp'!K$11</f>
        <v>642.23026267650619</v>
      </c>
      <c r="L54" s="25">
        <f>L55*'Revenue BuildUp'!L$11</f>
        <v>718.67205468296879</v>
      </c>
      <c r="M54" s="25">
        <f>M55*'Revenue BuildUp'!M$11</f>
        <v>810.5783122415844</v>
      </c>
      <c r="N54" s="25">
        <f>N55*'Revenue BuildUp'!N$11</f>
        <v>922.09717106005098</v>
      </c>
      <c r="O54" s="25">
        <f>O55*'Revenue BuildUp'!O$11</f>
        <v>1058.597136934035</v>
      </c>
      <c r="P54" s="25">
        <f>P55*'Revenue BuildUp'!P$11</f>
        <v>1227.0349816021271</v>
      </c>
      <c r="Q54" s="25">
        <f>Q55*'Revenue BuildUp'!Q$11</f>
        <v>1436.4352173881675</v>
      </c>
    </row>
    <row r="55" spans="2:17" x14ac:dyDescent="0.25">
      <c r="B55" s="91" t="s">
        <v>145</v>
      </c>
      <c r="C55" s="92">
        <f>C54/'Revenue BuildUp'!C$11</f>
        <v>4.2246520874751489E-2</v>
      </c>
      <c r="D55" s="92">
        <f>D54/'Revenue BuildUp'!D$11</f>
        <v>3.6269974768713208E-2</v>
      </c>
      <c r="E55" s="92">
        <f>E54/'Revenue BuildUp'!E$11</f>
        <v>4.8443260958623516E-2</v>
      </c>
      <c r="F55" s="92">
        <f>F54/'Revenue BuildUp'!F$11</f>
        <v>3.9676784419351498E-2</v>
      </c>
      <c r="G55" s="92">
        <f>G54/'Revenue BuildUp'!G$11</f>
        <v>3.499215215584895E-2</v>
      </c>
      <c r="H55" s="93">
        <f>AVERAGE(C55:G55)</f>
        <v>4.0325738635457728E-2</v>
      </c>
      <c r="I55" s="93">
        <f>H55</f>
        <v>4.0325738635457728E-2</v>
      </c>
      <c r="J55" s="93">
        <f t="shared" ref="J55:Q55" si="14">I55</f>
        <v>4.0325738635457728E-2</v>
      </c>
      <c r="K55" s="93">
        <f t="shared" si="14"/>
        <v>4.0325738635457728E-2</v>
      </c>
      <c r="L55" s="93">
        <f t="shared" si="14"/>
        <v>4.0325738635457728E-2</v>
      </c>
      <c r="M55" s="93">
        <f t="shared" si="14"/>
        <v>4.0325738635457728E-2</v>
      </c>
      <c r="N55" s="93">
        <f t="shared" si="14"/>
        <v>4.0325738635457728E-2</v>
      </c>
      <c r="O55" s="93">
        <f t="shared" si="14"/>
        <v>4.0325738635457728E-2</v>
      </c>
      <c r="P55" s="93">
        <f t="shared" si="14"/>
        <v>4.0325738635457728E-2</v>
      </c>
      <c r="Q55" s="93">
        <f t="shared" si="14"/>
        <v>4.0325738635457728E-2</v>
      </c>
    </row>
    <row r="56" spans="2:17" ht="16.5" x14ac:dyDescent="0.3">
      <c r="B56" s="2" t="s">
        <v>72</v>
      </c>
      <c r="C56">
        <f>'Balance Sheet'!C62</f>
        <v>38</v>
      </c>
      <c r="D56">
        <f>'Balance Sheet'!D62</f>
        <v>43</v>
      </c>
      <c r="E56">
        <f>'Balance Sheet'!E62</f>
        <v>42</v>
      </c>
      <c r="F56">
        <f>'Balance Sheet'!F62</f>
        <v>41</v>
      </c>
      <c r="G56">
        <f>'Balance Sheet'!G62</f>
        <v>51</v>
      </c>
      <c r="H56" s="25">
        <f>H57*'Revenue BuildUp'!H$11</f>
        <v>53.232281249561332</v>
      </c>
      <c r="I56" s="25">
        <f>I57*'Revenue BuildUp'!I$11</f>
        <v>58.431240326806282</v>
      </c>
      <c r="J56" s="25">
        <f>J57*'Revenue BuildUp'!J$11</f>
        <v>64.504193159943114</v>
      </c>
      <c r="K56" s="25">
        <f>K57*'Revenue BuildUp'!K$11</f>
        <v>71.666908694962942</v>
      </c>
      <c r="L56" s="25">
        <f>L57*'Revenue BuildUp'!L$11</f>
        <v>80.197099884296506</v>
      </c>
      <c r="M56" s="25">
        <f>M57*'Revenue BuildUp'!M$11</f>
        <v>90.452981227382267</v>
      </c>
      <c r="N56" s="25">
        <f>N57*'Revenue BuildUp'!N$11</f>
        <v>102.89744598898012</v>
      </c>
      <c r="O56" s="25">
        <f>O57*'Revenue BuildUp'!O$11</f>
        <v>118.12956935605332</v>
      </c>
      <c r="P56" s="25">
        <f>P57*'Revenue BuildUp'!P$11</f>
        <v>136.92566218465447</v>
      </c>
      <c r="Q56" s="25">
        <f>Q57*'Revenue BuildUp'!Q$11</f>
        <v>160.29277589904041</v>
      </c>
    </row>
    <row r="57" spans="2:17" x14ac:dyDescent="0.25">
      <c r="B57" s="91" t="s">
        <v>145</v>
      </c>
      <c r="C57" s="92">
        <f>C56/'Revenue BuildUp'!C$11</f>
        <v>4.7216699801192839E-3</v>
      </c>
      <c r="D57" s="92">
        <f>D56/'Revenue BuildUp'!D$11</f>
        <v>4.5206055508830948E-3</v>
      </c>
      <c r="E57" s="92">
        <f>E56/'Revenue BuildUp'!E$11</f>
        <v>4.3015157722244984E-3</v>
      </c>
      <c r="F57" s="92">
        <f>F56/'Revenue BuildUp'!F$11</f>
        <v>4.2473842328809696E-3</v>
      </c>
      <c r="G57" s="92">
        <f>G56/'Revenue BuildUp'!G$11</f>
        <v>4.7087064906287512E-3</v>
      </c>
      <c r="H57" s="93">
        <f>AVERAGE(C57:G57)</f>
        <v>4.4999764053473192E-3</v>
      </c>
      <c r="I57" s="93">
        <f>H57</f>
        <v>4.4999764053473192E-3</v>
      </c>
      <c r="J57" s="93">
        <f t="shared" ref="J57:Q57" si="15">I57</f>
        <v>4.4999764053473192E-3</v>
      </c>
      <c r="K57" s="93">
        <f t="shared" si="15"/>
        <v>4.4999764053473192E-3</v>
      </c>
      <c r="L57" s="93">
        <f t="shared" si="15"/>
        <v>4.4999764053473192E-3</v>
      </c>
      <c r="M57" s="93">
        <f t="shared" si="15"/>
        <v>4.4999764053473192E-3</v>
      </c>
      <c r="N57" s="93">
        <f t="shared" si="15"/>
        <v>4.4999764053473192E-3</v>
      </c>
      <c r="O57" s="93">
        <f t="shared" si="15"/>
        <v>4.4999764053473192E-3</v>
      </c>
      <c r="P57" s="93">
        <f t="shared" si="15"/>
        <v>4.4999764053473192E-3</v>
      </c>
      <c r="Q57" s="93">
        <f t="shared" si="15"/>
        <v>4.4999764053473192E-3</v>
      </c>
    </row>
    <row r="58" spans="2:17" ht="16.5" x14ac:dyDescent="0.3">
      <c r="B58" s="2" t="s">
        <v>76</v>
      </c>
      <c r="C58">
        <f>'Balance Sheet'!C66</f>
        <v>44</v>
      </c>
      <c r="D58">
        <f>'Balance Sheet'!D66</f>
        <v>45</v>
      </c>
      <c r="E58">
        <f>'Balance Sheet'!E66</f>
        <v>40</v>
      </c>
      <c r="F58">
        <f>'Balance Sheet'!F66</f>
        <v>59</v>
      </c>
      <c r="G58">
        <f>'Balance Sheet'!G66</f>
        <v>231</v>
      </c>
      <c r="H58" s="25">
        <f>H59*'Revenue BuildUp'!H$11</f>
        <v>98.739313299212867</v>
      </c>
      <c r="I58" s="25">
        <f>I59*'Revenue BuildUp'!I$11</f>
        <v>108.38274087939207</v>
      </c>
      <c r="J58" s="25">
        <f>J59*'Revenue BuildUp'!J$11</f>
        <v>119.64731903322389</v>
      </c>
      <c r="K58" s="25">
        <f>K59*'Revenue BuildUp'!K$11</f>
        <v>132.93327253143678</v>
      </c>
      <c r="L58" s="25">
        <f>L59*'Revenue BuildUp'!L$11</f>
        <v>148.75572463333185</v>
      </c>
      <c r="M58" s="25">
        <f>M59*'Revenue BuildUp'!M$11</f>
        <v>167.77911903469132</v>
      </c>
      <c r="N58" s="25">
        <f>N59*'Revenue BuildUp'!N$11</f>
        <v>190.86206562448359</v>
      </c>
      <c r="O58" s="25">
        <f>O59*'Revenue BuildUp'!O$11</f>
        <v>219.11577495365304</v>
      </c>
      <c r="P58" s="25">
        <f>P59*'Revenue BuildUp'!P$11</f>
        <v>253.98020786990401</v>
      </c>
      <c r="Q58" s="25">
        <f>Q59*'Revenue BuildUp'!Q$11</f>
        <v>297.32332050350169</v>
      </c>
    </row>
    <row r="59" spans="2:17" x14ac:dyDescent="0.25">
      <c r="B59" s="91" t="s">
        <v>145</v>
      </c>
      <c r="C59" s="92">
        <f>C58/'Revenue BuildUp'!C$11</f>
        <v>5.4671968190854875E-3</v>
      </c>
      <c r="D59" s="92">
        <f>D58/'Revenue BuildUp'!D$11</f>
        <v>4.7308662741799828E-3</v>
      </c>
      <c r="E59" s="92">
        <f>E58/'Revenue BuildUp'!E$11</f>
        <v>4.0966816878328554E-3</v>
      </c>
      <c r="F59" s="92">
        <f>F58/'Revenue BuildUp'!F$11</f>
        <v>6.1120895058531027E-3</v>
      </c>
      <c r="G59" s="92">
        <f>G58/'Revenue BuildUp'!G$11</f>
        <v>2.1327670575200814E-2</v>
      </c>
      <c r="H59" s="93">
        <f>AVERAGE(C59:G59)</f>
        <v>8.3469009724304495E-3</v>
      </c>
      <c r="I59" s="93">
        <f>H59</f>
        <v>8.3469009724304495E-3</v>
      </c>
      <c r="J59" s="93">
        <f t="shared" ref="J59:Q59" si="16">I59</f>
        <v>8.3469009724304495E-3</v>
      </c>
      <c r="K59" s="93">
        <f t="shared" si="16"/>
        <v>8.3469009724304495E-3</v>
      </c>
      <c r="L59" s="93">
        <f t="shared" si="16"/>
        <v>8.3469009724304495E-3</v>
      </c>
      <c r="M59" s="93">
        <f t="shared" si="16"/>
        <v>8.3469009724304495E-3</v>
      </c>
      <c r="N59" s="93">
        <f t="shared" si="16"/>
        <v>8.3469009724304495E-3</v>
      </c>
      <c r="O59" s="93">
        <f t="shared" si="16"/>
        <v>8.3469009724304495E-3</v>
      </c>
      <c r="P59" s="93">
        <f t="shared" si="16"/>
        <v>8.3469009724304495E-3</v>
      </c>
      <c r="Q59" s="93">
        <f t="shared" si="16"/>
        <v>8.3469009724304495E-3</v>
      </c>
    </row>
    <row r="60" spans="2:17" ht="16.5" x14ac:dyDescent="0.3">
      <c r="B60" s="2" t="s">
        <v>77</v>
      </c>
      <c r="C60">
        <f>'Balance Sheet'!C67</f>
        <v>287</v>
      </c>
      <c r="D60">
        <f>'Balance Sheet'!D67</f>
        <v>224</v>
      </c>
      <c r="E60">
        <f>'Balance Sheet'!E67</f>
        <v>217</v>
      </c>
      <c r="F60">
        <f>'Balance Sheet'!F67</f>
        <v>211</v>
      </c>
      <c r="G60">
        <f>'Balance Sheet'!G67</f>
        <v>232</v>
      </c>
      <c r="H60" s="25">
        <f>H61*'Revenue BuildUp'!H$11</f>
        <v>295.05795773621014</v>
      </c>
      <c r="I60" s="25">
        <f>I61*'Revenue BuildUp'!I$11</f>
        <v>323.87495020163578</v>
      </c>
      <c r="J60" s="25">
        <f>J61*'Revenue BuildUp'!J$11</f>
        <v>357.53634923079073</v>
      </c>
      <c r="K60" s="25">
        <f>K61*'Revenue BuildUp'!K$11</f>
        <v>397.23812732480758</v>
      </c>
      <c r="L60" s="25">
        <f>L61*'Revenue BuildUp'!L$11</f>
        <v>444.51960263157758</v>
      </c>
      <c r="M60" s="25">
        <f>M61*'Revenue BuildUp'!M$11</f>
        <v>501.36630040297405</v>
      </c>
      <c r="N60" s="25">
        <f>N61*'Revenue BuildUp'!N$11</f>
        <v>570.34396342032881</v>
      </c>
      <c r="O60" s="25">
        <f>O61*'Revenue BuildUp'!O$11</f>
        <v>654.77316891697774</v>
      </c>
      <c r="P60" s="25">
        <f>P61*'Revenue BuildUp'!P$11</f>
        <v>758.95688288232611</v>
      </c>
      <c r="Q60" s="25">
        <f>Q61*'Revenue BuildUp'!Q$11</f>
        <v>888.47702909648683</v>
      </c>
    </row>
    <row r="61" spans="2:17" x14ac:dyDescent="0.25">
      <c r="B61" s="91" t="s">
        <v>145</v>
      </c>
      <c r="C61" s="92">
        <f>C60/'Revenue BuildUp'!C$11</f>
        <v>3.5661033797216697E-2</v>
      </c>
      <c r="D61" s="92">
        <f>D60/'Revenue BuildUp'!D$11</f>
        <v>2.3549201009251473E-2</v>
      </c>
      <c r="E61" s="92">
        <f>E60/'Revenue BuildUp'!E$11</f>
        <v>2.2224498156493241E-2</v>
      </c>
      <c r="F61" s="92">
        <f>F60/'Revenue BuildUp'!F$11</f>
        <v>2.1858489588728894E-2</v>
      </c>
      <c r="G61" s="92">
        <f>G60/'Revenue BuildUp'!G$11</f>
        <v>2.1419998153448434E-2</v>
      </c>
      <c r="H61" s="93">
        <f>AVERAGE(C61:G61)</f>
        <v>2.4942644141027748E-2</v>
      </c>
      <c r="I61" s="93">
        <f>H61</f>
        <v>2.4942644141027748E-2</v>
      </c>
      <c r="J61" s="93">
        <f t="shared" ref="J61:Q61" si="17">I61</f>
        <v>2.4942644141027748E-2</v>
      </c>
      <c r="K61" s="93">
        <f t="shared" si="17"/>
        <v>2.4942644141027748E-2</v>
      </c>
      <c r="L61" s="93">
        <f t="shared" si="17"/>
        <v>2.4942644141027748E-2</v>
      </c>
      <c r="M61" s="93">
        <f t="shared" si="17"/>
        <v>2.4942644141027748E-2</v>
      </c>
      <c r="N61" s="93">
        <f t="shared" si="17"/>
        <v>2.4942644141027748E-2</v>
      </c>
      <c r="O61" s="93">
        <f t="shared" si="17"/>
        <v>2.4942644141027748E-2</v>
      </c>
      <c r="P61" s="93">
        <f t="shared" si="17"/>
        <v>2.4942644141027748E-2</v>
      </c>
      <c r="Q61" s="93">
        <f t="shared" si="17"/>
        <v>2.4942644141027748E-2</v>
      </c>
    </row>
    <row r="62" spans="2:17" ht="16.5" x14ac:dyDescent="0.3">
      <c r="B62" s="2" t="s">
        <v>66</v>
      </c>
      <c r="C62">
        <f>'Balance Sheet'!C68</f>
        <v>20</v>
      </c>
      <c r="D62">
        <f>'Balance Sheet'!D68</f>
        <v>21</v>
      </c>
      <c r="E62">
        <f>'Balance Sheet'!E68</f>
        <v>44</v>
      </c>
      <c r="F62">
        <f>'Balance Sheet'!F68</f>
        <v>7</v>
      </c>
      <c r="G62">
        <f>'Balance Sheet'!G68</f>
        <v>21</v>
      </c>
      <c r="H62" s="25">
        <f>H63*'Revenue BuildUp'!H$11</f>
        <v>28.06709036340958</v>
      </c>
      <c r="I62" s="25">
        <f>I63*'Revenue BuildUp'!I$11</f>
        <v>30.808277680417625</v>
      </c>
      <c r="J62" s="25">
        <f>J63*'Revenue BuildUp'!J$11</f>
        <v>34.010284281285969</v>
      </c>
      <c r="K62" s="25">
        <f>K63*'Revenue BuildUp'!K$11</f>
        <v>37.786875842829389</v>
      </c>
      <c r="L62" s="25">
        <f>L63*'Revenue BuildUp'!L$11</f>
        <v>42.284478449897037</v>
      </c>
      <c r="M62" s="25">
        <f>M63*'Revenue BuildUp'!M$11</f>
        <v>47.691963187650344</v>
      </c>
      <c r="N62" s="25">
        <f>N63*'Revenue BuildUp'!N$11</f>
        <v>54.253393748000633</v>
      </c>
      <c r="O62" s="25">
        <f>O63*'Revenue BuildUp'!O$11</f>
        <v>62.284636688087282</v>
      </c>
      <c r="P62" s="25">
        <f>P63*'Revenue BuildUp'!P$11</f>
        <v>72.195007303731899</v>
      </c>
      <c r="Q62" s="25">
        <f>Q63*'Revenue BuildUp'!Q$11</f>
        <v>84.515480459466559</v>
      </c>
    </row>
    <row r="63" spans="2:17" x14ac:dyDescent="0.25">
      <c r="B63" s="91" t="s">
        <v>145</v>
      </c>
      <c r="C63" s="92">
        <f>C62/'Revenue BuildUp'!C$11</f>
        <v>2.485089463220676E-3</v>
      </c>
      <c r="D63" s="92">
        <f>D62/'Revenue BuildUp'!D$11</f>
        <v>2.2077375946173254E-3</v>
      </c>
      <c r="E63" s="92">
        <f>E62/'Revenue BuildUp'!E$11</f>
        <v>4.5063498566161406E-3</v>
      </c>
      <c r="F63" s="92">
        <f>F62/'Revenue BuildUp'!F$11</f>
        <v>7.2516316171138508E-4</v>
      </c>
      <c r="G63" s="92">
        <f>G62/'Revenue BuildUp'!G$11</f>
        <v>1.9388791432000739E-3</v>
      </c>
      <c r="H63" s="93">
        <f>AVERAGE(C63:G63)</f>
        <v>2.3726438438731205E-3</v>
      </c>
      <c r="I63" s="93">
        <f>H63</f>
        <v>2.3726438438731205E-3</v>
      </c>
      <c r="J63" s="93">
        <f t="shared" ref="J63:Q63" si="18">I63</f>
        <v>2.3726438438731205E-3</v>
      </c>
      <c r="K63" s="93">
        <f t="shared" si="18"/>
        <v>2.3726438438731205E-3</v>
      </c>
      <c r="L63" s="93">
        <f t="shared" si="18"/>
        <v>2.3726438438731205E-3</v>
      </c>
      <c r="M63" s="93">
        <f t="shared" si="18"/>
        <v>2.3726438438731205E-3</v>
      </c>
      <c r="N63" s="93">
        <f t="shared" si="18"/>
        <v>2.3726438438731205E-3</v>
      </c>
      <c r="O63" s="93">
        <f t="shared" si="18"/>
        <v>2.3726438438731205E-3</v>
      </c>
      <c r="P63" s="93">
        <f t="shared" si="18"/>
        <v>2.3726438438731205E-3</v>
      </c>
      <c r="Q63" s="93">
        <f t="shared" si="18"/>
        <v>2.3726438438731205E-3</v>
      </c>
    </row>
    <row r="64" spans="2:17" ht="16.5" x14ac:dyDescent="0.3">
      <c r="B64" s="2" t="s">
        <v>67</v>
      </c>
      <c r="C64">
        <f>'Balance Sheet'!C69</f>
        <v>78</v>
      </c>
      <c r="D64">
        <f>'Balance Sheet'!D69</f>
        <v>64</v>
      </c>
      <c r="E64">
        <f>'Balance Sheet'!E69</f>
        <v>74</v>
      </c>
      <c r="F64">
        <f>'Balance Sheet'!F69</f>
        <v>79</v>
      </c>
      <c r="G64">
        <f>'Balance Sheet'!G69</f>
        <v>92</v>
      </c>
      <c r="H64" s="25">
        <f>H65*'Revenue BuildUp'!H$11</f>
        <v>96.23778460728586</v>
      </c>
      <c r="I64" s="25">
        <f>I65*'Revenue BuildUp'!I$11</f>
        <v>105.63689905651148</v>
      </c>
      <c r="J64" s="25">
        <f>J65*'Revenue BuildUp'!J$11</f>
        <v>116.61609275188678</v>
      </c>
      <c r="K64" s="25">
        <f>K65*'Revenue BuildUp'!K$11</f>
        <v>129.56545089851289</v>
      </c>
      <c r="L64" s="25">
        <f>L65*'Revenue BuildUp'!L$11</f>
        <v>144.98704627387201</v>
      </c>
      <c r="M64" s="25">
        <f>M65*'Revenue BuildUp'!M$11</f>
        <v>163.52848910677525</v>
      </c>
      <c r="N64" s="25">
        <f>N65*'Revenue BuildUp'!N$11</f>
        <v>186.02663668126948</v>
      </c>
      <c r="O64" s="25">
        <f>O65*'Revenue BuildUp'!O$11</f>
        <v>213.56454738698582</v>
      </c>
      <c r="P64" s="25">
        <f>P65*'Revenue BuildUp'!P$11</f>
        <v>247.54570112745927</v>
      </c>
      <c r="Q64" s="25">
        <f>Q65*'Revenue BuildUp'!Q$11</f>
        <v>289.79072996618788</v>
      </c>
    </row>
    <row r="65" spans="2:17" x14ac:dyDescent="0.25">
      <c r="B65" s="91" t="s">
        <v>145</v>
      </c>
      <c r="C65" s="92">
        <f>C64/'Revenue BuildUp'!C$11</f>
        <v>9.6918489065606368E-3</v>
      </c>
      <c r="D65" s="92">
        <f>D64/'Revenue BuildUp'!D$11</f>
        <v>6.7283431455004202E-3</v>
      </c>
      <c r="E65" s="92">
        <f>E64/'Revenue BuildUp'!E$11</f>
        <v>7.5788611224907824E-3</v>
      </c>
      <c r="F65" s="92">
        <f>F64/'Revenue BuildUp'!F$11</f>
        <v>8.1839842535999172E-3</v>
      </c>
      <c r="G65" s="92">
        <f>G64/'Revenue BuildUp'!G$11</f>
        <v>8.4941371987812767E-3</v>
      </c>
      <c r="H65" s="93">
        <f>AVERAGE(C65:G65)</f>
        <v>8.1354349253866063E-3</v>
      </c>
      <c r="I65" s="93">
        <f>H65</f>
        <v>8.1354349253866063E-3</v>
      </c>
      <c r="J65" s="93">
        <f t="shared" ref="J65:Q65" si="19">I65</f>
        <v>8.1354349253866063E-3</v>
      </c>
      <c r="K65" s="93">
        <f t="shared" si="19"/>
        <v>8.1354349253866063E-3</v>
      </c>
      <c r="L65" s="93">
        <f t="shared" si="19"/>
        <v>8.1354349253866063E-3</v>
      </c>
      <c r="M65" s="93">
        <f t="shared" si="19"/>
        <v>8.1354349253866063E-3</v>
      </c>
      <c r="N65" s="93">
        <f t="shared" si="19"/>
        <v>8.1354349253866063E-3</v>
      </c>
      <c r="O65" s="93">
        <f t="shared" si="19"/>
        <v>8.1354349253866063E-3</v>
      </c>
      <c r="P65" s="93">
        <f t="shared" si="19"/>
        <v>8.1354349253866063E-3</v>
      </c>
      <c r="Q65" s="93">
        <f t="shared" si="19"/>
        <v>8.1354349253866063E-3</v>
      </c>
    </row>
    <row r="66" spans="2:17" ht="16.5" x14ac:dyDescent="0.3">
      <c r="B66" s="2" t="s">
        <v>78</v>
      </c>
      <c r="C66">
        <f>'Balance Sheet'!C70</f>
        <v>72</v>
      </c>
      <c r="D66">
        <f>'Balance Sheet'!D70</f>
        <v>67</v>
      </c>
      <c r="E66">
        <f>'Balance Sheet'!E70</f>
        <v>87</v>
      </c>
      <c r="F66">
        <f>'Balance Sheet'!F70</f>
        <v>83</v>
      </c>
      <c r="G66">
        <f>'Balance Sheet'!G70</f>
        <v>92</v>
      </c>
      <c r="H66" s="25">
        <f>H67*'Revenue BuildUp'!H$11</f>
        <v>99.350504736372088</v>
      </c>
      <c r="I66" s="25">
        <f>I67*'Revenue BuildUp'!I$11</f>
        <v>109.05362465352358</v>
      </c>
      <c r="J66" s="25">
        <f>J67*'Revenue BuildUp'!J$11</f>
        <v>120.38792998572832</v>
      </c>
      <c r="K66" s="25">
        <f>K67*'Revenue BuildUp'!K$11</f>
        <v>133.75612287513485</v>
      </c>
      <c r="L66" s="25">
        <f>L67*'Revenue BuildUp'!L$11</f>
        <v>149.67651516839254</v>
      </c>
      <c r="M66" s="25">
        <f>M67*'Revenue BuildUp'!M$11</f>
        <v>168.81766343470528</v>
      </c>
      <c r="N66" s="25">
        <f>N67*'Revenue BuildUp'!N$11</f>
        <v>192.04349231553934</v>
      </c>
      <c r="O66" s="25">
        <f>O67*'Revenue BuildUp'!O$11</f>
        <v>220.47209069986803</v>
      </c>
      <c r="P66" s="25">
        <f>P67*'Revenue BuildUp'!P$11</f>
        <v>255.55233272140671</v>
      </c>
      <c r="Q66" s="25">
        <f>Q67*'Revenue BuildUp'!Q$11</f>
        <v>299.16373706593828</v>
      </c>
    </row>
    <row r="67" spans="2:17" x14ac:dyDescent="0.25">
      <c r="B67" s="91" t="s">
        <v>145</v>
      </c>
      <c r="C67" s="92">
        <f>C66/'Revenue BuildUp'!C$11</f>
        <v>8.9463220675944331E-3</v>
      </c>
      <c r="D67" s="92">
        <f>D66/'Revenue BuildUp'!D$11</f>
        <v>7.043734230445753E-3</v>
      </c>
      <c r="E67" s="92">
        <f>E66/'Revenue BuildUp'!E$11</f>
        <v>8.910282671036461E-3</v>
      </c>
      <c r="F67" s="92">
        <f>F66/'Revenue BuildUp'!F$11</f>
        <v>8.5983632031492799E-3</v>
      </c>
      <c r="G67" s="92">
        <f>G66/'Revenue BuildUp'!G$11</f>
        <v>8.4941371987812767E-3</v>
      </c>
      <c r="H67" s="93">
        <f>AVERAGE(C67:G67)</f>
        <v>8.3985678742014395E-3</v>
      </c>
      <c r="I67" s="93">
        <f>H67</f>
        <v>8.3985678742014395E-3</v>
      </c>
      <c r="J67" s="93">
        <f t="shared" ref="J67:Q67" si="20">I67</f>
        <v>8.3985678742014395E-3</v>
      </c>
      <c r="K67" s="93">
        <f t="shared" si="20"/>
        <v>8.3985678742014395E-3</v>
      </c>
      <c r="L67" s="93">
        <f t="shared" si="20"/>
        <v>8.3985678742014395E-3</v>
      </c>
      <c r="M67" s="93">
        <f t="shared" si="20"/>
        <v>8.3985678742014395E-3</v>
      </c>
      <c r="N67" s="93">
        <f t="shared" si="20"/>
        <v>8.3985678742014395E-3</v>
      </c>
      <c r="O67" s="93">
        <f t="shared" si="20"/>
        <v>8.3985678742014395E-3</v>
      </c>
      <c r="P67" s="93">
        <f t="shared" si="20"/>
        <v>8.3985678742014395E-3</v>
      </c>
      <c r="Q67" s="93">
        <f t="shared" si="20"/>
        <v>8.3985678742014395E-3</v>
      </c>
    </row>
  </sheetData>
  <mergeCells count="1">
    <mergeCell ref="B4:Q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Q92"/>
  <sheetViews>
    <sheetView showGridLines="0" workbookViewId="0">
      <selection activeCell="B4" sqref="B4"/>
    </sheetView>
  </sheetViews>
  <sheetFormatPr defaultRowHeight="15" x14ac:dyDescent="0.25"/>
  <cols>
    <col min="1" max="1" width="1.85546875" customWidth="1"/>
    <col min="2" max="2" width="55.28515625" bestFit="1" customWidth="1"/>
    <col min="8" max="17" width="9.5703125" bestFit="1" customWidth="1"/>
  </cols>
  <sheetData>
    <row r="6" spans="2:17" ht="15.75" thickBot="1" x14ac:dyDescent="0.3">
      <c r="B6" s="341" t="s">
        <v>394</v>
      </c>
      <c r="C6" s="341"/>
      <c r="D6" s="341"/>
      <c r="E6" s="341"/>
      <c r="F6" s="341"/>
      <c r="G6" s="341"/>
      <c r="H6" s="341"/>
      <c r="I6" s="341"/>
      <c r="J6" s="341"/>
      <c r="K6" s="341"/>
      <c r="L6" s="341"/>
      <c r="M6" s="341"/>
      <c r="N6" s="341"/>
      <c r="O6" s="341"/>
      <c r="P6" s="341"/>
      <c r="Q6" s="341"/>
    </row>
    <row r="7" spans="2:17" x14ac:dyDescent="0.25">
      <c r="B7" s="24" t="s">
        <v>390</v>
      </c>
    </row>
    <row r="8" spans="2:17" x14ac:dyDescent="0.25">
      <c r="B8" s="271" t="s">
        <v>139</v>
      </c>
      <c r="C8" s="272">
        <v>2021</v>
      </c>
      <c r="D8" s="272">
        <f t="shared" ref="D8:Q8" si="0">C8+1</f>
        <v>2022</v>
      </c>
      <c r="E8" s="272">
        <f t="shared" si="0"/>
        <v>2023</v>
      </c>
      <c r="F8" s="272">
        <f t="shared" si="0"/>
        <v>2024</v>
      </c>
      <c r="G8" s="272">
        <f t="shared" si="0"/>
        <v>2025</v>
      </c>
      <c r="H8" s="270">
        <f t="shared" si="0"/>
        <v>2026</v>
      </c>
      <c r="I8" s="270">
        <f t="shared" si="0"/>
        <v>2027</v>
      </c>
      <c r="J8" s="270">
        <f t="shared" si="0"/>
        <v>2028</v>
      </c>
      <c r="K8" s="270">
        <f t="shared" si="0"/>
        <v>2029</v>
      </c>
      <c r="L8" s="270">
        <f t="shared" si="0"/>
        <v>2030</v>
      </c>
      <c r="M8" s="270">
        <f t="shared" si="0"/>
        <v>2031</v>
      </c>
      <c r="N8" s="270">
        <f t="shared" si="0"/>
        <v>2032</v>
      </c>
      <c r="O8" s="270">
        <f t="shared" si="0"/>
        <v>2033</v>
      </c>
      <c r="P8" s="270">
        <f t="shared" si="0"/>
        <v>2034</v>
      </c>
      <c r="Q8" s="270">
        <f t="shared" si="0"/>
        <v>2035</v>
      </c>
    </row>
    <row r="9" spans="2:17" x14ac:dyDescent="0.25">
      <c r="B9" s="222" t="s">
        <v>166</v>
      </c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</row>
    <row r="11" spans="2:17" x14ac:dyDescent="0.25">
      <c r="B11" s="20" t="s">
        <v>165</v>
      </c>
      <c r="C11" s="31">
        <v>1010</v>
      </c>
      <c r="D11" s="31">
        <f>C17</f>
        <v>999</v>
      </c>
      <c r="E11" s="31">
        <f t="shared" ref="E11:Q11" si="1">D17</f>
        <v>1095</v>
      </c>
      <c r="F11" s="31">
        <f t="shared" si="1"/>
        <v>1184</v>
      </c>
      <c r="G11" s="31">
        <f t="shared" si="1"/>
        <v>1323</v>
      </c>
      <c r="H11" s="31">
        <f t="shared" si="1"/>
        <v>1270</v>
      </c>
      <c r="I11" s="31">
        <f t="shared" si="1"/>
        <v>1403.4315948601663</v>
      </c>
      <c r="J11" s="31">
        <f t="shared" si="1"/>
        <v>1550.8820798832678</v>
      </c>
      <c r="K11" s="31">
        <f t="shared" si="1"/>
        <v>1713.8243392209656</v>
      </c>
      <c r="L11" s="31">
        <f t="shared" si="1"/>
        <v>1893.8860044905909</v>
      </c>
      <c r="M11" s="31">
        <f t="shared" si="1"/>
        <v>2092.8657132012427</v>
      </c>
      <c r="N11" s="31">
        <f t="shared" si="1"/>
        <v>2312.7510753591964</v>
      </c>
      <c r="O11" s="31">
        <f t="shared" si="1"/>
        <v>2555.7385277211984</v>
      </c>
      <c r="P11" s="31">
        <f t="shared" si="1"/>
        <v>2824.2552740199485</v>
      </c>
      <c r="Q11" s="31">
        <f t="shared" si="1"/>
        <v>3120.9835303228756</v>
      </c>
    </row>
    <row r="12" spans="2:17" x14ac:dyDescent="0.25">
      <c r="B12" t="s">
        <v>167</v>
      </c>
      <c r="C12">
        <v>1</v>
      </c>
      <c r="D12">
        <v>1</v>
      </c>
      <c r="E12">
        <v>2</v>
      </c>
      <c r="F12">
        <v>1</v>
      </c>
    </row>
    <row r="13" spans="2:17" x14ac:dyDescent="0.25">
      <c r="B13" t="s">
        <v>168</v>
      </c>
      <c r="C13">
        <v>105</v>
      </c>
      <c r="D13">
        <v>115</v>
      </c>
      <c r="E13">
        <v>145</v>
      </c>
      <c r="F13">
        <v>171</v>
      </c>
      <c r="G13">
        <v>139</v>
      </c>
      <c r="H13" s="25">
        <f>G13/F17*G17</f>
        <v>133.43159486016629</v>
      </c>
      <c r="I13" s="25">
        <f t="shared" ref="I13:Q13" si="2">H13/G17*H17</f>
        <v>147.45048502310138</v>
      </c>
      <c r="J13" s="25">
        <f t="shared" si="2"/>
        <v>162.94225933769783</v>
      </c>
      <c r="K13" s="25">
        <f t="shared" si="2"/>
        <v>180.06166526962528</v>
      </c>
      <c r="L13" s="25">
        <f t="shared" si="2"/>
        <v>198.97970871065169</v>
      </c>
      <c r="M13" s="25">
        <f t="shared" si="2"/>
        <v>219.88536215795372</v>
      </c>
      <c r="N13" s="25">
        <f t="shared" si="2"/>
        <v>242.98745236200179</v>
      </c>
      <c r="O13" s="25">
        <f t="shared" si="2"/>
        <v>268.51674629875026</v>
      </c>
      <c r="P13" s="25">
        <f t="shared" si="2"/>
        <v>296.72825630292732</v>
      </c>
      <c r="Q13" s="25">
        <f t="shared" si="2"/>
        <v>327.90378738842003</v>
      </c>
    </row>
    <row r="14" spans="2:17" x14ac:dyDescent="0.25">
      <c r="B14" t="s">
        <v>169</v>
      </c>
      <c r="C14">
        <v>-21</v>
      </c>
      <c r="D14">
        <v>-23</v>
      </c>
      <c r="E14">
        <v>-35</v>
      </c>
      <c r="F14">
        <v>-21</v>
      </c>
      <c r="G14">
        <v>-177</v>
      </c>
    </row>
    <row r="15" spans="2:17" x14ac:dyDescent="0.25">
      <c r="B15" t="s">
        <v>179</v>
      </c>
      <c r="C15">
        <v>-92</v>
      </c>
      <c r="E15">
        <v>-2</v>
      </c>
    </row>
    <row r="16" spans="2:17" x14ac:dyDescent="0.25">
      <c r="B16" t="s">
        <v>170</v>
      </c>
      <c r="C16">
        <v>-4</v>
      </c>
      <c r="D16">
        <v>3</v>
      </c>
      <c r="E16">
        <v>-21</v>
      </c>
      <c r="F16">
        <v>-12</v>
      </c>
      <c r="G16">
        <v>-15</v>
      </c>
    </row>
    <row r="17" spans="2:17" x14ac:dyDescent="0.25">
      <c r="B17" s="20" t="s">
        <v>171</v>
      </c>
      <c r="C17" s="31">
        <f>SUM(C11:C16)</f>
        <v>999</v>
      </c>
      <c r="D17" s="31">
        <f t="shared" ref="D17:G17" si="3">SUM(D11:D16)</f>
        <v>1095</v>
      </c>
      <c r="E17" s="31">
        <f t="shared" si="3"/>
        <v>1184</v>
      </c>
      <c r="F17" s="31">
        <f t="shared" si="3"/>
        <v>1323</v>
      </c>
      <c r="G17" s="31">
        <f t="shared" si="3"/>
        <v>1270</v>
      </c>
      <c r="H17" s="31">
        <f t="shared" ref="H17" si="4">SUM(H11:H16)</f>
        <v>1403.4315948601663</v>
      </c>
      <c r="I17" s="31">
        <f t="shared" ref="I17" si="5">SUM(I11:I16)</f>
        <v>1550.8820798832678</v>
      </c>
      <c r="J17" s="31">
        <f t="shared" ref="J17" si="6">SUM(J11:J16)</f>
        <v>1713.8243392209656</v>
      </c>
      <c r="K17" s="31">
        <f t="shared" ref="K17" si="7">SUM(K11:K16)</f>
        <v>1893.8860044905909</v>
      </c>
      <c r="L17" s="31">
        <f t="shared" ref="L17" si="8">SUM(L11:L16)</f>
        <v>2092.8657132012427</v>
      </c>
      <c r="M17" s="31">
        <f t="shared" ref="M17" si="9">SUM(M11:M16)</f>
        <v>2312.7510753591964</v>
      </c>
      <c r="N17" s="31">
        <f t="shared" ref="N17" si="10">SUM(N11:N16)</f>
        <v>2555.7385277211984</v>
      </c>
      <c r="O17" s="31">
        <f t="shared" ref="O17" si="11">SUM(O11:O16)</f>
        <v>2824.2552740199485</v>
      </c>
      <c r="P17" s="31">
        <f t="shared" ref="P17" si="12">SUM(P11:P16)</f>
        <v>3120.9835303228756</v>
      </c>
      <c r="Q17" s="31">
        <f t="shared" ref="Q17" si="13">SUM(Q11:Q16)</f>
        <v>3448.8873177112955</v>
      </c>
    </row>
    <row r="18" spans="2:17" x14ac:dyDescent="0.25">
      <c r="B18" t="s">
        <v>172</v>
      </c>
    </row>
    <row r="19" spans="2:17" x14ac:dyDescent="0.25">
      <c r="B19" t="s">
        <v>173</v>
      </c>
      <c r="C19">
        <v>404</v>
      </c>
      <c r="D19">
        <f>C24</f>
        <v>426</v>
      </c>
      <c r="E19">
        <f t="shared" ref="E19:Q19" si="14">D24</f>
        <v>495</v>
      </c>
      <c r="F19">
        <f t="shared" si="14"/>
        <v>551</v>
      </c>
      <c r="G19">
        <f t="shared" si="14"/>
        <v>623</v>
      </c>
      <c r="H19" s="25">
        <f t="shared" si="14"/>
        <v>560</v>
      </c>
      <c r="I19" s="25">
        <f t="shared" si="14"/>
        <v>662.47191011235952</v>
      </c>
      <c r="J19" s="25">
        <f t="shared" si="14"/>
        <v>783.694699442711</v>
      </c>
      <c r="K19" s="25">
        <f t="shared" si="14"/>
        <v>927.09950800847196</v>
      </c>
      <c r="L19" s="25">
        <f t="shared" si="14"/>
        <v>1096.7453248832164</v>
      </c>
      <c r="M19" s="25">
        <f t="shared" si="14"/>
        <v>1297.4338755039014</v>
      </c>
      <c r="N19" s="25">
        <f t="shared" si="14"/>
        <v>1534.8455316956265</v>
      </c>
      <c r="O19" s="25">
        <f t="shared" si="14"/>
        <v>1815.7000912675389</v>
      </c>
      <c r="P19" s="25">
        <f t="shared" si="14"/>
        <v>2147.9469779521287</v>
      </c>
      <c r="Q19" s="25">
        <f t="shared" si="14"/>
        <v>2540.9902451857447</v>
      </c>
    </row>
    <row r="20" spans="2:17" x14ac:dyDescent="0.25">
      <c r="B20" t="s">
        <v>174</v>
      </c>
      <c r="C20">
        <v>94</v>
      </c>
      <c r="D20">
        <v>89</v>
      </c>
      <c r="E20">
        <v>102</v>
      </c>
      <c r="F20">
        <v>99</v>
      </c>
      <c r="G20">
        <v>114</v>
      </c>
      <c r="H20" s="25">
        <f>G20/F24*G24</f>
        <v>102.47191011235955</v>
      </c>
      <c r="I20" s="25">
        <f t="shared" ref="I20:Q20" si="15">H20/G24*H24</f>
        <v>121.2227893303515</v>
      </c>
      <c r="J20" s="25">
        <f t="shared" si="15"/>
        <v>143.40480856576093</v>
      </c>
      <c r="K20" s="25">
        <f t="shared" si="15"/>
        <v>169.64581687474447</v>
      </c>
      <c r="L20" s="25">
        <f t="shared" si="15"/>
        <v>200.68855062068488</v>
      </c>
      <c r="M20" s="25">
        <f t="shared" si="15"/>
        <v>237.41165619172514</v>
      </c>
      <c r="N20" s="25">
        <f t="shared" si="15"/>
        <v>280.85455957191238</v>
      </c>
      <c r="O20" s="25">
        <f t="shared" si="15"/>
        <v>332.24688668458981</v>
      </c>
      <c r="P20" s="25">
        <f t="shared" si="15"/>
        <v>393.04326723361584</v>
      </c>
      <c r="Q20" s="25">
        <f t="shared" si="15"/>
        <v>464.96450714474298</v>
      </c>
    </row>
    <row r="21" spans="2:17" x14ac:dyDescent="0.25">
      <c r="B21" t="s">
        <v>169</v>
      </c>
      <c r="C21">
        <v>-17</v>
      </c>
      <c r="D21">
        <v>-21</v>
      </c>
      <c r="E21">
        <v>-35</v>
      </c>
      <c r="F21">
        <v>-21</v>
      </c>
      <c r="G21">
        <v>-170</v>
      </c>
    </row>
    <row r="22" spans="2:17" x14ac:dyDescent="0.25">
      <c r="B22" t="s">
        <v>175</v>
      </c>
      <c r="C22">
        <v>-53</v>
      </c>
      <c r="E22">
        <v>-11</v>
      </c>
    </row>
    <row r="23" spans="2:17" x14ac:dyDescent="0.25">
      <c r="B23" t="s">
        <v>170</v>
      </c>
      <c r="C23">
        <v>-2</v>
      </c>
      <c r="D23">
        <v>1</v>
      </c>
      <c r="F23">
        <v>-6</v>
      </c>
      <c r="G23">
        <v>-7</v>
      </c>
    </row>
    <row r="24" spans="2:17" x14ac:dyDescent="0.25">
      <c r="B24" s="20" t="s">
        <v>176</v>
      </c>
      <c r="C24" s="20">
        <f>SUM(C19:C23)</f>
        <v>426</v>
      </c>
      <c r="D24" s="20">
        <f t="shared" ref="D24:G24" si="16">SUM(D19:D23)</f>
        <v>495</v>
      </c>
      <c r="E24" s="20">
        <f t="shared" si="16"/>
        <v>551</v>
      </c>
      <c r="F24" s="20">
        <f t="shared" si="16"/>
        <v>623</v>
      </c>
      <c r="G24" s="20">
        <f t="shared" si="16"/>
        <v>560</v>
      </c>
      <c r="H24" s="32">
        <f t="shared" ref="H24" si="17">SUM(H19:H23)</f>
        <v>662.47191011235952</v>
      </c>
      <c r="I24" s="32">
        <f t="shared" ref="I24" si="18">SUM(I19:I23)</f>
        <v>783.694699442711</v>
      </c>
      <c r="J24" s="32">
        <f t="shared" ref="J24" si="19">SUM(J19:J23)</f>
        <v>927.09950800847196</v>
      </c>
      <c r="K24" s="32">
        <f t="shared" ref="K24" si="20">SUM(K19:K23)</f>
        <v>1096.7453248832164</v>
      </c>
      <c r="L24" s="32">
        <f t="shared" ref="L24" si="21">SUM(L19:L23)</f>
        <v>1297.4338755039014</v>
      </c>
      <c r="M24" s="32">
        <f t="shared" ref="M24" si="22">SUM(M19:M23)</f>
        <v>1534.8455316956265</v>
      </c>
      <c r="N24" s="32">
        <f t="shared" ref="N24" si="23">SUM(N19:N23)</f>
        <v>1815.7000912675389</v>
      </c>
      <c r="O24" s="32">
        <f t="shared" ref="O24" si="24">SUM(O19:O23)</f>
        <v>2147.9469779521287</v>
      </c>
      <c r="P24" s="32">
        <f t="shared" ref="P24" si="25">SUM(P19:P23)</f>
        <v>2540.9902451857447</v>
      </c>
      <c r="Q24" s="32">
        <f t="shared" ref="Q24" si="26">SUM(Q19:Q23)</f>
        <v>3005.9547523304877</v>
      </c>
    </row>
    <row r="25" spans="2:17" x14ac:dyDescent="0.25">
      <c r="B25" t="s">
        <v>177</v>
      </c>
      <c r="C25">
        <v>1</v>
      </c>
      <c r="D25">
        <v>0</v>
      </c>
      <c r="E25">
        <v>0</v>
      </c>
      <c r="F25">
        <v>0</v>
      </c>
      <c r="G25">
        <v>0</v>
      </c>
    </row>
    <row r="26" spans="2:17" x14ac:dyDescent="0.25">
      <c r="B26" s="222" t="s">
        <v>178</v>
      </c>
      <c r="C26" s="294">
        <f>C17-C24-C25</f>
        <v>572</v>
      </c>
      <c r="D26" s="294">
        <f t="shared" ref="D26:G26" si="27">D17-D24-D25</f>
        <v>600</v>
      </c>
      <c r="E26" s="294">
        <f t="shared" si="27"/>
        <v>633</v>
      </c>
      <c r="F26" s="294">
        <f t="shared" si="27"/>
        <v>700</v>
      </c>
      <c r="G26" s="294">
        <f t="shared" si="27"/>
        <v>710</v>
      </c>
      <c r="H26" s="294">
        <f t="shared" ref="H26" si="28">H17-H24-H25</f>
        <v>740.95968474780682</v>
      </c>
      <c r="I26" s="294">
        <f t="shared" ref="I26" si="29">I17-I24-I25</f>
        <v>767.18738044055681</v>
      </c>
      <c r="J26" s="294">
        <f t="shared" ref="J26" si="30">J17-J24-J25</f>
        <v>786.72483121249365</v>
      </c>
      <c r="K26" s="294">
        <f t="shared" ref="K26" si="31">K17-K24-K25</f>
        <v>797.14067960737452</v>
      </c>
      <c r="L26" s="294">
        <f t="shared" ref="L26" si="32">L17-L24-L25</f>
        <v>795.43183769734128</v>
      </c>
      <c r="M26" s="294">
        <f t="shared" ref="M26" si="33">M17-M24-M25</f>
        <v>777.90554366356992</v>
      </c>
      <c r="N26" s="294">
        <f t="shared" ref="N26" si="34">N17-N24-N25</f>
        <v>740.03843645365941</v>
      </c>
      <c r="O26" s="294">
        <f t="shared" ref="O26" si="35">O17-O24-O25</f>
        <v>676.30829606781981</v>
      </c>
      <c r="P26" s="294">
        <f t="shared" ref="P26" si="36">P17-P24-P25</f>
        <v>579.9932851371309</v>
      </c>
      <c r="Q26" s="294">
        <f t="shared" ref="Q26" si="37">Q17-Q24-Q25</f>
        <v>442.93256538080777</v>
      </c>
    </row>
    <row r="29" spans="2:17" x14ac:dyDescent="0.25">
      <c r="B29" s="20" t="s">
        <v>180</v>
      </c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</row>
    <row r="30" spans="2:17" x14ac:dyDescent="0.25">
      <c r="B30" s="222" t="s">
        <v>165</v>
      </c>
      <c r="C30" s="222">
        <v>318</v>
      </c>
      <c r="D30" s="222">
        <f>C36</f>
        <v>323</v>
      </c>
      <c r="E30" s="222">
        <f t="shared" ref="E30:Q30" si="38">D36</f>
        <v>345</v>
      </c>
      <c r="F30" s="222">
        <f t="shared" si="38"/>
        <v>354</v>
      </c>
      <c r="G30" s="222">
        <f t="shared" si="38"/>
        <v>396</v>
      </c>
      <c r="H30" s="224">
        <f t="shared" si="38"/>
        <v>388</v>
      </c>
      <c r="I30" s="224">
        <f t="shared" si="38"/>
        <v>480.1010101010101</v>
      </c>
      <c r="J30" s="224">
        <f t="shared" si="38"/>
        <v>594.06438118559333</v>
      </c>
      <c r="K30" s="224">
        <f t="shared" si="38"/>
        <v>735.07966358823421</v>
      </c>
      <c r="L30" s="224">
        <f t="shared" si="38"/>
        <v>909.56827060160299</v>
      </c>
      <c r="M30" s="224">
        <f t="shared" si="38"/>
        <v>1125.4758903908723</v>
      </c>
      <c r="N30" s="224">
        <f t="shared" si="38"/>
        <v>1392.6343088169886</v>
      </c>
      <c r="O30" s="224">
        <f t="shared" si="38"/>
        <v>1723.2091194957686</v>
      </c>
      <c r="P30" s="224">
        <f t="shared" si="38"/>
        <v>2132.2537084669866</v>
      </c>
      <c r="Q30" s="224">
        <f t="shared" si="38"/>
        <v>2638.3947402748067</v>
      </c>
    </row>
    <row r="31" spans="2:17" x14ac:dyDescent="0.25">
      <c r="B31" t="s">
        <v>167</v>
      </c>
      <c r="D31">
        <v>1</v>
      </c>
      <c r="E31">
        <v>1</v>
      </c>
      <c r="F31">
        <v>3</v>
      </c>
      <c r="H31" s="25"/>
      <c r="I31" s="25"/>
      <c r="J31" s="25"/>
      <c r="K31" s="25"/>
      <c r="L31" s="25"/>
      <c r="M31" s="25"/>
      <c r="N31" s="25"/>
      <c r="O31" s="25"/>
      <c r="P31" s="25"/>
      <c r="Q31" s="25"/>
    </row>
    <row r="32" spans="2:17" x14ac:dyDescent="0.25">
      <c r="B32" t="s">
        <v>168</v>
      </c>
      <c r="C32">
        <v>34</v>
      </c>
      <c r="D32">
        <v>31</v>
      </c>
      <c r="E32">
        <v>61</v>
      </c>
      <c r="F32">
        <v>99</v>
      </c>
      <c r="G32">
        <v>94</v>
      </c>
      <c r="H32" s="25">
        <f>G32/F36*G36</f>
        <v>92.101010101010104</v>
      </c>
      <c r="I32" s="25">
        <f t="shared" ref="I32:Q32" si="39">H32/G36*H36</f>
        <v>113.9633710845832</v>
      </c>
      <c r="J32" s="25">
        <f t="shared" si="39"/>
        <v>141.01528240264085</v>
      </c>
      <c r="K32" s="25">
        <f t="shared" si="39"/>
        <v>174.48860701336872</v>
      </c>
      <c r="L32" s="25">
        <f t="shared" si="39"/>
        <v>215.9076197892694</v>
      </c>
      <c r="M32" s="25">
        <f t="shared" si="39"/>
        <v>267.15841842611616</v>
      </c>
      <c r="N32" s="25">
        <f t="shared" si="39"/>
        <v>330.57481067878012</v>
      </c>
      <c r="O32" s="25">
        <f t="shared" si="39"/>
        <v>409.04458897121782</v>
      </c>
      <c r="P32" s="25">
        <f t="shared" si="39"/>
        <v>506.14103180782007</v>
      </c>
      <c r="Q32" s="25">
        <f t="shared" si="39"/>
        <v>626.28562016624198</v>
      </c>
    </row>
    <row r="33" spans="2:17" x14ac:dyDescent="0.25">
      <c r="B33" t="s">
        <v>169</v>
      </c>
      <c r="C33">
        <v>-29</v>
      </c>
      <c r="D33">
        <v>-21</v>
      </c>
      <c r="E33">
        <v>-48</v>
      </c>
      <c r="F33">
        <v>-55</v>
      </c>
      <c r="G33">
        <v>-101</v>
      </c>
      <c r="H33" s="25"/>
      <c r="I33" s="25"/>
      <c r="J33" s="25"/>
      <c r="K33" s="25"/>
      <c r="L33" s="25"/>
      <c r="M33" s="25"/>
      <c r="N33" s="25"/>
      <c r="O33" s="25"/>
      <c r="P33" s="25"/>
      <c r="Q33" s="25"/>
    </row>
    <row r="34" spans="2:17" x14ac:dyDescent="0.25">
      <c r="B34" t="s">
        <v>179</v>
      </c>
      <c r="D34">
        <v>7</v>
      </c>
      <c r="H34" s="25"/>
      <c r="I34" s="25"/>
      <c r="J34" s="25"/>
      <c r="K34" s="25"/>
      <c r="L34" s="25"/>
      <c r="M34" s="25"/>
      <c r="N34" s="25"/>
      <c r="O34" s="25"/>
      <c r="P34" s="25"/>
      <c r="Q34" s="25"/>
    </row>
    <row r="35" spans="2:17" x14ac:dyDescent="0.25">
      <c r="B35" t="s">
        <v>170</v>
      </c>
      <c r="D35">
        <v>4</v>
      </c>
      <c r="E35">
        <v>-5</v>
      </c>
      <c r="F35">
        <v>-5</v>
      </c>
      <c r="G35">
        <v>-1</v>
      </c>
      <c r="H35" s="25"/>
      <c r="I35" s="25"/>
      <c r="J35" s="25"/>
      <c r="K35" s="25"/>
      <c r="L35" s="25"/>
      <c r="M35" s="25"/>
      <c r="N35" s="25"/>
      <c r="O35" s="25"/>
      <c r="P35" s="25"/>
      <c r="Q35" s="25"/>
    </row>
    <row r="36" spans="2:17" x14ac:dyDescent="0.25">
      <c r="B36" s="20" t="s">
        <v>171</v>
      </c>
      <c r="C36" s="20">
        <f>SUM(C30:C35)</f>
        <v>323</v>
      </c>
      <c r="D36" s="20">
        <f t="shared" ref="D36:G36" si="40">SUM(D30:D35)</f>
        <v>345</v>
      </c>
      <c r="E36" s="20">
        <f t="shared" si="40"/>
        <v>354</v>
      </c>
      <c r="F36" s="20">
        <f t="shared" si="40"/>
        <v>396</v>
      </c>
      <c r="G36" s="20">
        <f t="shared" si="40"/>
        <v>388</v>
      </c>
      <c r="H36" s="32">
        <f t="shared" ref="H36" si="41">SUM(H30:H35)</f>
        <v>480.1010101010101</v>
      </c>
      <c r="I36" s="32">
        <f t="shared" ref="I36" si="42">SUM(I30:I35)</f>
        <v>594.06438118559333</v>
      </c>
      <c r="J36" s="32">
        <f t="shared" ref="J36" si="43">SUM(J30:J35)</f>
        <v>735.07966358823421</v>
      </c>
      <c r="K36" s="32">
        <f t="shared" ref="K36" si="44">SUM(K30:K35)</f>
        <v>909.56827060160299</v>
      </c>
      <c r="L36" s="32">
        <f t="shared" ref="L36" si="45">SUM(L30:L35)</f>
        <v>1125.4758903908723</v>
      </c>
      <c r="M36" s="32">
        <f t="shared" ref="M36" si="46">SUM(M30:M35)</f>
        <v>1392.6343088169886</v>
      </c>
      <c r="N36" s="32">
        <f t="shared" ref="N36" si="47">SUM(N30:N35)</f>
        <v>1723.2091194957686</v>
      </c>
      <c r="O36" s="32">
        <f t="shared" ref="O36" si="48">SUM(O30:O35)</f>
        <v>2132.2537084669866</v>
      </c>
      <c r="P36" s="32">
        <f t="shared" ref="P36" si="49">SUM(P30:P35)</f>
        <v>2638.3947402748067</v>
      </c>
      <c r="Q36" s="32">
        <f t="shared" ref="Q36" si="50">SUM(Q30:Q35)</f>
        <v>3264.6803604410488</v>
      </c>
    </row>
    <row r="37" spans="2:17" x14ac:dyDescent="0.25">
      <c r="B37" t="s">
        <v>172</v>
      </c>
    </row>
    <row r="38" spans="2:17" x14ac:dyDescent="0.25">
      <c r="B38" s="19" t="s">
        <v>173</v>
      </c>
      <c r="C38" s="19">
        <v>120</v>
      </c>
      <c r="D38" s="19">
        <f>C43</f>
        <v>143</v>
      </c>
      <c r="E38" s="19">
        <f t="shared" ref="E38:Q38" si="51">D43</f>
        <v>167</v>
      </c>
      <c r="F38" s="19">
        <f t="shared" si="51"/>
        <v>179</v>
      </c>
      <c r="G38" s="19">
        <f t="shared" si="51"/>
        <v>187</v>
      </c>
      <c r="H38" s="223">
        <f t="shared" si="51"/>
        <v>158</v>
      </c>
      <c r="I38" s="223">
        <f t="shared" si="51"/>
        <v>202.7807486631016</v>
      </c>
      <c r="J38" s="223">
        <f t="shared" si="51"/>
        <v>260.25336726815181</v>
      </c>
      <c r="K38" s="223">
        <f t="shared" si="51"/>
        <v>334.01501681474031</v>
      </c>
      <c r="L38" s="223">
        <f t="shared" si="51"/>
        <v>428.68237452159184</v>
      </c>
      <c r="M38" s="223">
        <f t="shared" si="51"/>
        <v>550.18058762129431</v>
      </c>
      <c r="N38" s="223">
        <f t="shared" si="51"/>
        <v>706.1141231503243</v>
      </c>
      <c r="O38" s="223">
        <f t="shared" si="51"/>
        <v>906.24272489881196</v>
      </c>
      <c r="P38" s="223">
        <f t="shared" si="51"/>
        <v>1163.0922672498123</v>
      </c>
      <c r="Q38" s="223">
        <f t="shared" si="51"/>
        <v>1492.7387387163367</v>
      </c>
    </row>
    <row r="39" spans="2:17" x14ac:dyDescent="0.25">
      <c r="B39" t="s">
        <v>174</v>
      </c>
      <c r="C39">
        <v>38</v>
      </c>
      <c r="D39">
        <v>40</v>
      </c>
      <c r="E39">
        <v>44</v>
      </c>
      <c r="F39">
        <v>48</v>
      </c>
      <c r="G39">
        <v>53</v>
      </c>
      <c r="H39" s="25">
        <f>G39/F43*G43</f>
        <v>44.780748663101605</v>
      </c>
      <c r="I39" s="25">
        <f t="shared" ref="I39:Q39" si="52">H39/G43*H43</f>
        <v>57.472618605050194</v>
      </c>
      <c r="J39" s="25">
        <f t="shared" si="52"/>
        <v>73.761649546588487</v>
      </c>
      <c r="K39" s="25">
        <f t="shared" si="52"/>
        <v>94.667357706851533</v>
      </c>
      <c r="L39" s="25">
        <f t="shared" si="52"/>
        <v>121.49821309970251</v>
      </c>
      <c r="M39" s="25">
        <f t="shared" si="52"/>
        <v>155.93353552902994</v>
      </c>
      <c r="N39" s="25">
        <f t="shared" si="52"/>
        <v>200.12860174848765</v>
      </c>
      <c r="O39" s="25">
        <f t="shared" si="52"/>
        <v>256.8495423510002</v>
      </c>
      <c r="P39" s="25">
        <f t="shared" si="52"/>
        <v>329.64647146652436</v>
      </c>
      <c r="Q39" s="25">
        <f t="shared" si="52"/>
        <v>423.07568530463021</v>
      </c>
    </row>
    <row r="40" spans="2:17" x14ac:dyDescent="0.25">
      <c r="B40" t="s">
        <v>169</v>
      </c>
      <c r="C40">
        <v>-16</v>
      </c>
      <c r="D40">
        <v>-16</v>
      </c>
      <c r="E40">
        <v>-30</v>
      </c>
      <c r="F40">
        <v>-27</v>
      </c>
      <c r="G40">
        <v>-82</v>
      </c>
      <c r="H40" s="25"/>
      <c r="I40" s="25"/>
      <c r="J40" s="25"/>
      <c r="K40" s="25"/>
      <c r="L40" s="25"/>
      <c r="M40" s="25"/>
      <c r="N40" s="25"/>
      <c r="O40" s="25"/>
      <c r="P40" s="25"/>
      <c r="Q40" s="25"/>
    </row>
    <row r="41" spans="2:17" x14ac:dyDescent="0.25">
      <c r="B41" t="s">
        <v>175</v>
      </c>
      <c r="H41" s="25"/>
      <c r="I41" s="25"/>
      <c r="J41" s="25"/>
      <c r="K41" s="25"/>
      <c r="L41" s="25"/>
      <c r="M41" s="25"/>
      <c r="N41" s="25"/>
      <c r="O41" s="25"/>
      <c r="P41" s="25"/>
      <c r="Q41" s="25"/>
    </row>
    <row r="42" spans="2:17" x14ac:dyDescent="0.25">
      <c r="B42" t="s">
        <v>170</v>
      </c>
      <c r="C42">
        <v>1</v>
      </c>
      <c r="E42">
        <v>-2</v>
      </c>
      <c r="F42">
        <v>-13</v>
      </c>
      <c r="H42" s="25"/>
      <c r="I42" s="25"/>
      <c r="J42" s="25"/>
      <c r="K42" s="25"/>
      <c r="L42" s="25"/>
      <c r="M42" s="25"/>
      <c r="N42" s="25"/>
      <c r="O42" s="25"/>
      <c r="P42" s="25"/>
      <c r="Q42" s="25"/>
    </row>
    <row r="43" spans="2:17" x14ac:dyDescent="0.25">
      <c r="B43" s="20" t="s">
        <v>176</v>
      </c>
      <c r="C43" s="20">
        <f>SUM(C38:C42)</f>
        <v>143</v>
      </c>
      <c r="D43" s="20">
        <f t="shared" ref="D43:G43" si="53">SUM(D38:D42)</f>
        <v>167</v>
      </c>
      <c r="E43" s="20">
        <f t="shared" si="53"/>
        <v>179</v>
      </c>
      <c r="F43" s="20">
        <f t="shared" si="53"/>
        <v>187</v>
      </c>
      <c r="G43" s="20">
        <f t="shared" si="53"/>
        <v>158</v>
      </c>
      <c r="H43" s="32">
        <f t="shared" ref="H43" si="54">SUM(H38:H42)</f>
        <v>202.7807486631016</v>
      </c>
      <c r="I43" s="32">
        <f t="shared" ref="I43" si="55">SUM(I38:I42)</f>
        <v>260.25336726815181</v>
      </c>
      <c r="J43" s="32">
        <f t="shared" ref="J43" si="56">SUM(J38:J42)</f>
        <v>334.01501681474031</v>
      </c>
      <c r="K43" s="32">
        <f t="shared" ref="K43" si="57">SUM(K38:K42)</f>
        <v>428.68237452159184</v>
      </c>
      <c r="L43" s="32">
        <f t="shared" ref="L43" si="58">SUM(L38:L42)</f>
        <v>550.18058762129431</v>
      </c>
      <c r="M43" s="32">
        <f t="shared" ref="M43" si="59">SUM(M38:M42)</f>
        <v>706.1141231503243</v>
      </c>
      <c r="N43" s="32">
        <f t="shared" ref="N43" si="60">SUM(N38:N42)</f>
        <v>906.24272489881196</v>
      </c>
      <c r="O43" s="32">
        <f t="shared" ref="O43" si="61">SUM(O38:O42)</f>
        <v>1163.0922672498123</v>
      </c>
      <c r="P43" s="32">
        <f t="shared" ref="P43" si="62">SUM(P38:P42)</f>
        <v>1492.7387387163367</v>
      </c>
      <c r="Q43" s="32">
        <f t="shared" ref="Q43" si="63">SUM(Q38:Q42)</f>
        <v>1915.814424020967</v>
      </c>
    </row>
    <row r="44" spans="2:17" x14ac:dyDescent="0.25">
      <c r="B44" t="s">
        <v>177</v>
      </c>
      <c r="H44" s="25"/>
      <c r="I44" s="25"/>
      <c r="J44" s="25"/>
      <c r="K44" s="25"/>
      <c r="L44" s="25"/>
      <c r="M44" s="25"/>
      <c r="N44" s="25"/>
      <c r="O44" s="25"/>
      <c r="P44" s="25"/>
      <c r="Q44" s="25"/>
    </row>
    <row r="45" spans="2:17" x14ac:dyDescent="0.25">
      <c r="B45" s="222" t="s">
        <v>178</v>
      </c>
      <c r="C45" s="222">
        <f>C36-C43-C44</f>
        <v>180</v>
      </c>
      <c r="D45" s="222">
        <f t="shared" ref="D45:G45" si="64">D36-D43-D44</f>
        <v>178</v>
      </c>
      <c r="E45" s="222">
        <f t="shared" si="64"/>
        <v>175</v>
      </c>
      <c r="F45" s="222">
        <f t="shared" si="64"/>
        <v>209</v>
      </c>
      <c r="G45" s="222">
        <f t="shared" si="64"/>
        <v>230</v>
      </c>
      <c r="H45" s="224">
        <f t="shared" ref="H45" si="65">H36-H43-H44</f>
        <v>277.32026143790847</v>
      </c>
      <c r="I45" s="224">
        <f t="shared" ref="I45" si="66">I36-I43-I44</f>
        <v>333.81101391744153</v>
      </c>
      <c r="J45" s="224">
        <f t="shared" ref="J45" si="67">J36-J43-J44</f>
        <v>401.06464677349391</v>
      </c>
      <c r="K45" s="224">
        <f t="shared" ref="K45" si="68">K36-K43-K44</f>
        <v>480.88589608001115</v>
      </c>
      <c r="L45" s="224">
        <f t="shared" ref="L45" si="69">L36-L43-L44</f>
        <v>575.29530276957803</v>
      </c>
      <c r="M45" s="224">
        <f t="shared" ref="M45" si="70">M36-M43-M44</f>
        <v>686.52018566666425</v>
      </c>
      <c r="N45" s="224">
        <f t="shared" ref="N45" si="71">N36-N43-N44</f>
        <v>816.96639459695666</v>
      </c>
      <c r="O45" s="224">
        <f t="shared" ref="O45" si="72">O36-O43-O44</f>
        <v>969.16144121717434</v>
      </c>
      <c r="P45" s="224">
        <f t="shared" ref="P45" si="73">P36-P43-P44</f>
        <v>1145.6560015584701</v>
      </c>
      <c r="Q45" s="224">
        <f t="shared" ref="Q45" si="74">Q36-Q43-Q44</f>
        <v>1348.8659364200819</v>
      </c>
    </row>
    <row r="48" spans="2:17" x14ac:dyDescent="0.25">
      <c r="B48" s="20" t="s">
        <v>29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</row>
    <row r="49" spans="2:17" x14ac:dyDescent="0.25">
      <c r="B49" s="222" t="s">
        <v>165</v>
      </c>
      <c r="C49" s="222">
        <v>57</v>
      </c>
      <c r="D49" s="222">
        <f>C55</f>
        <v>252</v>
      </c>
      <c r="E49" s="222">
        <f t="shared" ref="E49:Q49" si="75">D55</f>
        <v>335</v>
      </c>
      <c r="F49" s="222">
        <f t="shared" si="75"/>
        <v>593</v>
      </c>
      <c r="G49" s="222">
        <f t="shared" si="75"/>
        <v>980</v>
      </c>
      <c r="H49" s="224">
        <f t="shared" si="75"/>
        <v>999</v>
      </c>
      <c r="I49" s="224">
        <f t="shared" si="75"/>
        <v>1019.3877551020408</v>
      </c>
      <c r="J49" s="224">
        <f t="shared" si="75"/>
        <v>1040.1915868388171</v>
      </c>
      <c r="K49" s="224">
        <f t="shared" si="75"/>
        <v>1061.4199865702215</v>
      </c>
      <c r="L49" s="224">
        <f t="shared" si="75"/>
        <v>1083.0816189492057</v>
      </c>
      <c r="M49" s="224">
        <f t="shared" si="75"/>
        <v>1105.1853254583732</v>
      </c>
      <c r="N49" s="224">
        <f t="shared" si="75"/>
        <v>1127.7401280187482</v>
      </c>
      <c r="O49" s="224">
        <f t="shared" si="75"/>
        <v>1150.7552326721921</v>
      </c>
      <c r="P49" s="224">
        <f t="shared" si="75"/>
        <v>1174.2400333389714</v>
      </c>
      <c r="Q49" s="224">
        <f t="shared" si="75"/>
        <v>1198.2041156520118</v>
      </c>
    </row>
    <row r="50" spans="2:17" x14ac:dyDescent="0.25">
      <c r="B50" t="s">
        <v>167</v>
      </c>
      <c r="C50">
        <v>174</v>
      </c>
      <c r="D50">
        <v>81</v>
      </c>
      <c r="E50">
        <v>266</v>
      </c>
      <c r="F50">
        <v>363</v>
      </c>
    </row>
    <row r="51" spans="2:17" x14ac:dyDescent="0.25">
      <c r="B51" t="s">
        <v>168</v>
      </c>
      <c r="C51">
        <v>4</v>
      </c>
      <c r="D51">
        <v>1</v>
      </c>
      <c r="E51">
        <v>1</v>
      </c>
      <c r="F51">
        <v>3</v>
      </c>
      <c r="G51">
        <v>20</v>
      </c>
      <c r="H51" s="25">
        <f>G51/F55*G55</f>
        <v>20.387755102040813</v>
      </c>
      <c r="I51" s="25">
        <f t="shared" ref="I51:Q51" si="76">H51/G55*H55</f>
        <v>20.803831736776342</v>
      </c>
      <c r="J51" s="25">
        <f t="shared" si="76"/>
        <v>21.22839973140443</v>
      </c>
      <c r="K51" s="25">
        <f t="shared" si="76"/>
        <v>21.661632378984109</v>
      </c>
      <c r="L51" s="25">
        <f t="shared" si="76"/>
        <v>22.103706509167463</v>
      </c>
      <c r="M51" s="25">
        <f t="shared" si="76"/>
        <v>22.554802560374963</v>
      </c>
      <c r="N51" s="25">
        <f t="shared" si="76"/>
        <v>23.015104653443839</v>
      </c>
      <c r="O51" s="25">
        <f t="shared" si="76"/>
        <v>23.484800666779428</v>
      </c>
      <c r="P51" s="25">
        <f t="shared" si="76"/>
        <v>23.964082313040233</v>
      </c>
      <c r="Q51" s="25">
        <f t="shared" si="76"/>
        <v>24.453145217387991</v>
      </c>
    </row>
    <row r="52" spans="2:17" x14ac:dyDescent="0.25">
      <c r="B52" t="s">
        <v>169</v>
      </c>
      <c r="E52">
        <v>-5</v>
      </c>
      <c r="G52">
        <v>-1</v>
      </c>
    </row>
    <row r="53" spans="2:17" x14ac:dyDescent="0.25">
      <c r="B53" t="s">
        <v>179</v>
      </c>
      <c r="C53">
        <v>7</v>
      </c>
      <c r="F53">
        <v>22</v>
      </c>
    </row>
    <row r="54" spans="2:17" x14ac:dyDescent="0.25">
      <c r="B54" t="s">
        <v>170</v>
      </c>
      <c r="C54">
        <v>10</v>
      </c>
      <c r="D54">
        <v>1</v>
      </c>
      <c r="E54">
        <v>-4</v>
      </c>
      <c r="F54">
        <v>-1</v>
      </c>
    </row>
    <row r="55" spans="2:17" x14ac:dyDescent="0.25">
      <c r="B55" s="20" t="s">
        <v>171</v>
      </c>
      <c r="C55" s="20">
        <f>SUM(C49:C54)</f>
        <v>252</v>
      </c>
      <c r="D55" s="20">
        <f t="shared" ref="D55:G55" si="77">SUM(D49:D54)</f>
        <v>335</v>
      </c>
      <c r="E55" s="20">
        <f t="shared" si="77"/>
        <v>593</v>
      </c>
      <c r="F55" s="20">
        <f t="shared" si="77"/>
        <v>980</v>
      </c>
      <c r="G55" s="20">
        <f t="shared" si="77"/>
        <v>999</v>
      </c>
      <c r="H55" s="32">
        <f t="shared" ref="H55" si="78">SUM(H49:H54)</f>
        <v>1019.3877551020408</v>
      </c>
      <c r="I55" s="32">
        <f t="shared" ref="I55" si="79">SUM(I49:I54)</f>
        <v>1040.1915868388171</v>
      </c>
      <c r="J55" s="32">
        <f t="shared" ref="J55" si="80">SUM(J49:J54)</f>
        <v>1061.4199865702215</v>
      </c>
      <c r="K55" s="32">
        <f t="shared" ref="K55" si="81">SUM(K49:K54)</f>
        <v>1083.0816189492057</v>
      </c>
      <c r="L55" s="32">
        <f t="shared" ref="L55" si="82">SUM(L49:L54)</f>
        <v>1105.1853254583732</v>
      </c>
      <c r="M55" s="32">
        <f t="shared" ref="M55" si="83">SUM(M49:M54)</f>
        <v>1127.7401280187482</v>
      </c>
      <c r="N55" s="32">
        <f t="shared" ref="N55" si="84">SUM(N49:N54)</f>
        <v>1150.7552326721921</v>
      </c>
      <c r="O55" s="32">
        <f t="shared" ref="O55" si="85">SUM(O49:O54)</f>
        <v>1174.2400333389714</v>
      </c>
      <c r="P55" s="32">
        <f t="shared" ref="P55" si="86">SUM(P49:P54)</f>
        <v>1198.2041156520118</v>
      </c>
      <c r="Q55" s="32">
        <f t="shared" ref="Q55" si="87">SUM(Q49:Q54)</f>
        <v>1222.6572608693998</v>
      </c>
    </row>
    <row r="56" spans="2:17" x14ac:dyDescent="0.25">
      <c r="B56" t="s">
        <v>172</v>
      </c>
    </row>
    <row r="57" spans="2:17" x14ac:dyDescent="0.25">
      <c r="B57" t="s">
        <v>173</v>
      </c>
      <c r="C57" s="6"/>
      <c r="D57" s="19">
        <f>C62</f>
        <v>22</v>
      </c>
      <c r="E57" s="19">
        <f t="shared" ref="E57:Q57" si="88">D62</f>
        <v>29</v>
      </c>
      <c r="F57" s="19">
        <f t="shared" si="88"/>
        <v>33</v>
      </c>
      <c r="G57" s="19">
        <f t="shared" si="88"/>
        <v>43</v>
      </c>
      <c r="H57" s="223">
        <f t="shared" si="88"/>
        <v>53</v>
      </c>
      <c r="I57" s="223">
        <f t="shared" si="88"/>
        <v>66.558139534883722</v>
      </c>
      <c r="J57" s="223">
        <f t="shared" si="88"/>
        <v>83.584640346133042</v>
      </c>
      <c r="K57" s="223">
        <f t="shared" si="88"/>
        <v>104.96675764398103</v>
      </c>
      <c r="L57" s="223">
        <f t="shared" si="88"/>
        <v>131.81871890174361</v>
      </c>
      <c r="M57" s="223">
        <f t="shared" si="88"/>
        <v>165.53978652777104</v>
      </c>
      <c r="N57" s="223">
        <f t="shared" si="88"/>
        <v>207.8871737790613</v>
      </c>
      <c r="O57" s="223">
        <f t="shared" si="88"/>
        <v>261.06761358300719</v>
      </c>
      <c r="P57" s="223">
        <f t="shared" si="88"/>
        <v>327.85235194145088</v>
      </c>
      <c r="Q57" s="223">
        <f t="shared" si="88"/>
        <v>411.72155825205459</v>
      </c>
    </row>
    <row r="58" spans="2:17" x14ac:dyDescent="0.25">
      <c r="B58" t="s">
        <v>174</v>
      </c>
      <c r="C58">
        <v>16</v>
      </c>
      <c r="D58">
        <v>7</v>
      </c>
      <c r="E58">
        <v>8</v>
      </c>
      <c r="F58">
        <v>10</v>
      </c>
      <c r="G58">
        <v>11</v>
      </c>
      <c r="H58" s="25">
        <f>G58/F62*G62</f>
        <v>13.558139534883722</v>
      </c>
      <c r="I58" s="25">
        <f t="shared" ref="I58:Q58" si="89">H58/G62*H62</f>
        <v>17.026500811249324</v>
      </c>
      <c r="J58" s="25">
        <f t="shared" si="89"/>
        <v>21.382117297847987</v>
      </c>
      <c r="K58" s="25">
        <f t="shared" si="89"/>
        <v>26.851961257762589</v>
      </c>
      <c r="L58" s="25">
        <f t="shared" si="89"/>
        <v>33.721067626027434</v>
      </c>
      <c r="M58" s="25">
        <f t="shared" si="89"/>
        <v>42.347387251290272</v>
      </c>
      <c r="N58" s="25">
        <f t="shared" si="89"/>
        <v>53.180439803945916</v>
      </c>
      <c r="O58" s="25">
        <f t="shared" si="89"/>
        <v>66.784738358443704</v>
      </c>
      <c r="P58" s="25">
        <f t="shared" si="89"/>
        <v>83.869206310603715</v>
      </c>
      <c r="Q58" s="25">
        <f t="shared" si="89"/>
        <v>105.32411955285117</v>
      </c>
    </row>
    <row r="59" spans="2:17" x14ac:dyDescent="0.25">
      <c r="B59" t="s">
        <v>169</v>
      </c>
      <c r="C59">
        <v>6</v>
      </c>
      <c r="E59">
        <v>-4</v>
      </c>
      <c r="G59">
        <v>-1</v>
      </c>
      <c r="H59" s="25"/>
      <c r="I59" s="25"/>
      <c r="J59" s="25"/>
      <c r="K59" s="25"/>
      <c r="L59" s="25"/>
      <c r="M59" s="25"/>
      <c r="N59" s="25"/>
      <c r="O59" s="25"/>
      <c r="P59" s="25"/>
      <c r="Q59" s="25"/>
    </row>
    <row r="60" spans="2:17" x14ac:dyDescent="0.25">
      <c r="B60" t="s">
        <v>175</v>
      </c>
      <c r="H60" s="25"/>
      <c r="I60" s="25"/>
      <c r="J60" s="25"/>
      <c r="K60" s="25"/>
      <c r="L60" s="25"/>
      <c r="M60" s="25"/>
      <c r="N60" s="25"/>
      <c r="O60" s="25"/>
      <c r="P60" s="25"/>
      <c r="Q60" s="25"/>
    </row>
    <row r="61" spans="2:17" x14ac:dyDescent="0.25">
      <c r="B61" t="s">
        <v>170</v>
      </c>
      <c r="H61" s="25"/>
      <c r="I61" s="25"/>
      <c r="J61" s="25"/>
      <c r="K61" s="25"/>
      <c r="L61" s="25"/>
      <c r="M61" s="25"/>
      <c r="N61" s="25"/>
      <c r="O61" s="25"/>
      <c r="P61" s="25"/>
      <c r="Q61" s="25"/>
    </row>
    <row r="62" spans="2:17" x14ac:dyDescent="0.25">
      <c r="B62" s="20" t="s">
        <v>176</v>
      </c>
      <c r="C62" s="20">
        <f>SUM(C56:C61)</f>
        <v>22</v>
      </c>
      <c r="D62" s="20">
        <f t="shared" ref="D62:G62" si="90">SUM(D56:D61)</f>
        <v>29</v>
      </c>
      <c r="E62" s="20">
        <f t="shared" si="90"/>
        <v>33</v>
      </c>
      <c r="F62" s="20">
        <f t="shared" si="90"/>
        <v>43</v>
      </c>
      <c r="G62" s="20">
        <f t="shared" si="90"/>
        <v>53</v>
      </c>
      <c r="H62" s="32">
        <f t="shared" ref="H62" si="91">SUM(H56:H61)</f>
        <v>66.558139534883722</v>
      </c>
      <c r="I62" s="32">
        <f t="shared" ref="I62" si="92">SUM(I56:I61)</f>
        <v>83.584640346133042</v>
      </c>
      <c r="J62" s="32">
        <f t="shared" ref="J62" si="93">SUM(J56:J61)</f>
        <v>104.96675764398103</v>
      </c>
      <c r="K62" s="32">
        <f t="shared" ref="K62" si="94">SUM(K56:K61)</f>
        <v>131.81871890174361</v>
      </c>
      <c r="L62" s="32">
        <f t="shared" ref="L62" si="95">SUM(L56:L61)</f>
        <v>165.53978652777104</v>
      </c>
      <c r="M62" s="32">
        <f t="shared" ref="M62" si="96">SUM(M56:M61)</f>
        <v>207.8871737790613</v>
      </c>
      <c r="N62" s="32">
        <f t="shared" ref="N62" si="97">SUM(N56:N61)</f>
        <v>261.06761358300719</v>
      </c>
      <c r="O62" s="32">
        <f t="shared" ref="O62" si="98">SUM(O56:O61)</f>
        <v>327.85235194145088</v>
      </c>
      <c r="P62" s="32">
        <f t="shared" ref="P62" si="99">SUM(P56:P61)</f>
        <v>411.72155825205459</v>
      </c>
      <c r="Q62" s="32">
        <f t="shared" ref="Q62" si="100">SUM(Q56:Q61)</f>
        <v>517.04567780490572</v>
      </c>
    </row>
    <row r="63" spans="2:17" x14ac:dyDescent="0.25">
      <c r="B63" t="s">
        <v>177</v>
      </c>
      <c r="H63" s="25"/>
      <c r="I63" s="25"/>
      <c r="J63" s="25"/>
      <c r="K63" s="25"/>
      <c r="L63" s="25"/>
      <c r="M63" s="25"/>
      <c r="N63" s="25"/>
      <c r="O63" s="25"/>
      <c r="P63" s="25"/>
      <c r="Q63" s="25"/>
    </row>
    <row r="64" spans="2:17" x14ac:dyDescent="0.25">
      <c r="B64" s="222" t="s">
        <v>178</v>
      </c>
      <c r="C64" s="222">
        <f>C55-C62-C63</f>
        <v>230</v>
      </c>
      <c r="D64" s="222">
        <f t="shared" ref="D64:G64" si="101">D55-D62-D63</f>
        <v>306</v>
      </c>
      <c r="E64" s="222">
        <f t="shared" si="101"/>
        <v>560</v>
      </c>
      <c r="F64" s="222">
        <f t="shared" si="101"/>
        <v>937</v>
      </c>
      <c r="G64" s="222">
        <f t="shared" si="101"/>
        <v>946</v>
      </c>
      <c r="H64" s="224">
        <f t="shared" ref="H64" si="102">H55-H62-H63</f>
        <v>952.82961556715713</v>
      </c>
      <c r="I64" s="224">
        <f t="shared" ref="I64" si="103">I55-I62-I63</f>
        <v>956.60694649268407</v>
      </c>
      <c r="J64" s="224">
        <f t="shared" ref="J64" si="104">J55-J62-J63</f>
        <v>956.4532289262404</v>
      </c>
      <c r="K64" s="224">
        <f t="shared" ref="K64" si="105">K55-K62-K63</f>
        <v>951.26290004746204</v>
      </c>
      <c r="L64" s="224">
        <f t="shared" ref="L64" si="106">L55-L62-L63</f>
        <v>939.64553893060213</v>
      </c>
      <c r="M64" s="224">
        <f t="shared" ref="M64" si="107">M55-M62-M63</f>
        <v>919.85295423968694</v>
      </c>
      <c r="N64" s="224">
        <f t="shared" ref="N64" si="108">N55-N62-N63</f>
        <v>889.68761908918486</v>
      </c>
      <c r="O64" s="224">
        <f t="shared" ref="O64" si="109">O55-O62-O63</f>
        <v>846.38768139752051</v>
      </c>
      <c r="P64" s="224">
        <f t="shared" ref="P64" si="110">P55-P62-P63</f>
        <v>786.48255739995716</v>
      </c>
      <c r="Q64" s="224">
        <f t="shared" ref="Q64" si="111">Q55-Q62-Q63</f>
        <v>705.61158306449408</v>
      </c>
    </row>
    <row r="67" spans="2:17" x14ac:dyDescent="0.25">
      <c r="B67" s="20" t="s">
        <v>143</v>
      </c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</row>
    <row r="68" spans="2:17" x14ac:dyDescent="0.25">
      <c r="B68" s="222" t="s">
        <v>165</v>
      </c>
      <c r="C68" s="294">
        <f>C49+C30+C11</f>
        <v>1385</v>
      </c>
      <c r="D68" s="294">
        <f t="shared" ref="D68:G68" si="112">D49+D30+D11</f>
        <v>1574</v>
      </c>
      <c r="E68" s="294">
        <f t="shared" si="112"/>
        <v>1775</v>
      </c>
      <c r="F68" s="294">
        <f t="shared" si="112"/>
        <v>2131</v>
      </c>
      <c r="G68" s="294">
        <f t="shared" si="112"/>
        <v>2699</v>
      </c>
      <c r="H68" s="294">
        <f t="shared" ref="H68:Q68" si="113">H49+H30+H11</f>
        <v>2657</v>
      </c>
      <c r="I68" s="294">
        <f t="shared" si="113"/>
        <v>2902.9203600632172</v>
      </c>
      <c r="J68" s="294">
        <f t="shared" si="113"/>
        <v>3185.1380479076779</v>
      </c>
      <c r="K68" s="294">
        <f t="shared" si="113"/>
        <v>3510.3239893794212</v>
      </c>
      <c r="L68" s="294">
        <f t="shared" si="113"/>
        <v>3886.5358940413998</v>
      </c>
      <c r="M68" s="294">
        <f t="shared" si="113"/>
        <v>4323.5269290504875</v>
      </c>
      <c r="N68" s="294">
        <f t="shared" si="113"/>
        <v>4833.1255121949325</v>
      </c>
      <c r="O68" s="294">
        <f t="shared" si="113"/>
        <v>5429.7028798891588</v>
      </c>
      <c r="P68" s="294">
        <f t="shared" si="113"/>
        <v>6130.7490158259061</v>
      </c>
      <c r="Q68" s="294">
        <f t="shared" si="113"/>
        <v>6957.5823862496945</v>
      </c>
    </row>
    <row r="69" spans="2:17" x14ac:dyDescent="0.25">
      <c r="B69" t="s">
        <v>167</v>
      </c>
      <c r="C69" s="12">
        <f t="shared" ref="C69:G69" si="114">C50+C31+C12</f>
        <v>175</v>
      </c>
      <c r="D69" s="12">
        <f t="shared" si="114"/>
        <v>83</v>
      </c>
      <c r="E69" s="12">
        <f t="shared" si="114"/>
        <v>269</v>
      </c>
      <c r="F69" s="12">
        <f t="shared" si="114"/>
        <v>367</v>
      </c>
      <c r="G69" s="12">
        <f t="shared" si="114"/>
        <v>0</v>
      </c>
      <c r="H69" s="12">
        <f t="shared" ref="H69:Q69" si="115">H50+H31+H12</f>
        <v>0</v>
      </c>
      <c r="I69" s="12">
        <f t="shared" si="115"/>
        <v>0</v>
      </c>
      <c r="J69" s="12">
        <f t="shared" si="115"/>
        <v>0</v>
      </c>
      <c r="K69" s="12">
        <f t="shared" si="115"/>
        <v>0</v>
      </c>
      <c r="L69" s="12">
        <f t="shared" si="115"/>
        <v>0</v>
      </c>
      <c r="M69" s="12">
        <f t="shared" si="115"/>
        <v>0</v>
      </c>
      <c r="N69" s="12">
        <f t="shared" si="115"/>
        <v>0</v>
      </c>
      <c r="O69" s="12">
        <f t="shared" si="115"/>
        <v>0</v>
      </c>
      <c r="P69" s="12">
        <f t="shared" si="115"/>
        <v>0</v>
      </c>
      <c r="Q69" s="12">
        <f t="shared" si="115"/>
        <v>0</v>
      </c>
    </row>
    <row r="70" spans="2:17" x14ac:dyDescent="0.25">
      <c r="B70" t="s">
        <v>168</v>
      </c>
      <c r="C70" s="12">
        <f t="shared" ref="C70:G70" si="116">C51+C32+C13</f>
        <v>143</v>
      </c>
      <c r="D70" s="12">
        <f t="shared" si="116"/>
        <v>147</v>
      </c>
      <c r="E70" s="12">
        <f t="shared" si="116"/>
        <v>207</v>
      </c>
      <c r="F70" s="12">
        <f t="shared" si="116"/>
        <v>273</v>
      </c>
      <c r="G70" s="12">
        <f t="shared" si="116"/>
        <v>253</v>
      </c>
      <c r="H70" s="12">
        <f t="shared" ref="H70:Q70" si="117">H51+H32+H13</f>
        <v>245.9203600632172</v>
      </c>
      <c r="I70" s="12">
        <f t="shared" si="117"/>
        <v>282.2176878444609</v>
      </c>
      <c r="J70" s="12">
        <f t="shared" si="117"/>
        <v>325.18594147174315</v>
      </c>
      <c r="K70" s="12">
        <f t="shared" si="117"/>
        <v>376.21190466197811</v>
      </c>
      <c r="L70" s="12">
        <f t="shared" si="117"/>
        <v>436.99103500908859</v>
      </c>
      <c r="M70" s="12">
        <f t="shared" si="117"/>
        <v>509.59858314444489</v>
      </c>
      <c r="N70" s="12">
        <f t="shared" si="117"/>
        <v>596.5773676942257</v>
      </c>
      <c r="O70" s="12">
        <f t="shared" si="117"/>
        <v>701.04613593674753</v>
      </c>
      <c r="P70" s="12">
        <f t="shared" si="117"/>
        <v>826.83337042378764</v>
      </c>
      <c r="Q70" s="12">
        <f t="shared" si="117"/>
        <v>978.64255277204995</v>
      </c>
    </row>
    <row r="71" spans="2:17" x14ac:dyDescent="0.25">
      <c r="B71" t="s">
        <v>169</v>
      </c>
      <c r="C71" s="12">
        <f t="shared" ref="C71:G71" si="118">C52+C33+C14</f>
        <v>-50</v>
      </c>
      <c r="D71" s="12">
        <f t="shared" si="118"/>
        <v>-44</v>
      </c>
      <c r="E71" s="12">
        <f t="shared" si="118"/>
        <v>-88</v>
      </c>
      <c r="F71" s="12">
        <f t="shared" si="118"/>
        <v>-76</v>
      </c>
      <c r="G71" s="12">
        <f t="shared" si="118"/>
        <v>-279</v>
      </c>
      <c r="H71" s="12">
        <f t="shared" ref="H71:Q71" si="119">H52+H33+H14</f>
        <v>0</v>
      </c>
      <c r="I71" s="12">
        <f t="shared" si="119"/>
        <v>0</v>
      </c>
      <c r="J71" s="12">
        <f t="shared" si="119"/>
        <v>0</v>
      </c>
      <c r="K71" s="12">
        <f t="shared" si="119"/>
        <v>0</v>
      </c>
      <c r="L71" s="12">
        <f t="shared" si="119"/>
        <v>0</v>
      </c>
      <c r="M71" s="12">
        <f t="shared" si="119"/>
        <v>0</v>
      </c>
      <c r="N71" s="12">
        <f t="shared" si="119"/>
        <v>0</v>
      </c>
      <c r="O71" s="12">
        <f t="shared" si="119"/>
        <v>0</v>
      </c>
      <c r="P71" s="12">
        <f t="shared" si="119"/>
        <v>0</v>
      </c>
      <c r="Q71" s="12">
        <f t="shared" si="119"/>
        <v>0</v>
      </c>
    </row>
    <row r="72" spans="2:17" x14ac:dyDescent="0.25">
      <c r="B72" t="s">
        <v>179</v>
      </c>
      <c r="C72" s="12">
        <f t="shared" ref="C72:G72" si="120">C53+C34+C15</f>
        <v>-85</v>
      </c>
      <c r="D72" s="12">
        <f t="shared" si="120"/>
        <v>7</v>
      </c>
      <c r="E72" s="12">
        <f t="shared" si="120"/>
        <v>-2</v>
      </c>
      <c r="F72" s="12">
        <f t="shared" si="120"/>
        <v>22</v>
      </c>
      <c r="G72" s="12">
        <f t="shared" si="120"/>
        <v>0</v>
      </c>
      <c r="H72" s="12">
        <f t="shared" ref="H72:Q72" si="121">H53+H34+H15</f>
        <v>0</v>
      </c>
      <c r="I72" s="12">
        <f t="shared" si="121"/>
        <v>0</v>
      </c>
      <c r="J72" s="12">
        <f t="shared" si="121"/>
        <v>0</v>
      </c>
      <c r="K72" s="12">
        <f t="shared" si="121"/>
        <v>0</v>
      </c>
      <c r="L72" s="12">
        <f t="shared" si="121"/>
        <v>0</v>
      </c>
      <c r="M72" s="12">
        <f t="shared" si="121"/>
        <v>0</v>
      </c>
      <c r="N72" s="12">
        <f t="shared" si="121"/>
        <v>0</v>
      </c>
      <c r="O72" s="12">
        <f t="shared" si="121"/>
        <v>0</v>
      </c>
      <c r="P72" s="12">
        <f t="shared" si="121"/>
        <v>0</v>
      </c>
      <c r="Q72" s="12">
        <f t="shared" si="121"/>
        <v>0</v>
      </c>
    </row>
    <row r="73" spans="2:17" x14ac:dyDescent="0.25">
      <c r="B73" t="s">
        <v>170</v>
      </c>
      <c r="C73" s="12">
        <f t="shared" ref="C73:G73" si="122">C54+C35+C16</f>
        <v>6</v>
      </c>
      <c r="D73" s="12">
        <f t="shared" si="122"/>
        <v>8</v>
      </c>
      <c r="E73" s="12">
        <f t="shared" si="122"/>
        <v>-30</v>
      </c>
      <c r="F73" s="12">
        <f t="shared" si="122"/>
        <v>-18</v>
      </c>
      <c r="G73" s="12">
        <f t="shared" si="122"/>
        <v>-16</v>
      </c>
      <c r="H73" s="12">
        <f t="shared" ref="H73:Q73" si="123">H54+H35+H16</f>
        <v>0</v>
      </c>
      <c r="I73" s="12">
        <f t="shared" si="123"/>
        <v>0</v>
      </c>
      <c r="J73" s="12">
        <f t="shared" si="123"/>
        <v>0</v>
      </c>
      <c r="K73" s="12">
        <f t="shared" si="123"/>
        <v>0</v>
      </c>
      <c r="L73" s="12">
        <f t="shared" si="123"/>
        <v>0</v>
      </c>
      <c r="M73" s="12">
        <f t="shared" si="123"/>
        <v>0</v>
      </c>
      <c r="N73" s="12">
        <f t="shared" si="123"/>
        <v>0</v>
      </c>
      <c r="O73" s="12">
        <f t="shared" si="123"/>
        <v>0</v>
      </c>
      <c r="P73" s="12">
        <f t="shared" si="123"/>
        <v>0</v>
      </c>
      <c r="Q73" s="12">
        <f t="shared" si="123"/>
        <v>0</v>
      </c>
    </row>
    <row r="74" spans="2:17" x14ac:dyDescent="0.25">
      <c r="B74" s="20" t="s">
        <v>171</v>
      </c>
      <c r="C74" s="31">
        <f t="shared" ref="C74:G74" si="124">C55+C36+C17</f>
        <v>1574</v>
      </c>
      <c r="D74" s="31">
        <f t="shared" si="124"/>
        <v>1775</v>
      </c>
      <c r="E74" s="31">
        <f t="shared" si="124"/>
        <v>2131</v>
      </c>
      <c r="F74" s="31">
        <f t="shared" si="124"/>
        <v>2699</v>
      </c>
      <c r="G74" s="31">
        <f t="shared" si="124"/>
        <v>2657</v>
      </c>
      <c r="H74" s="31">
        <f t="shared" ref="H74:Q74" si="125">H55+H36+H17</f>
        <v>2902.9203600632172</v>
      </c>
      <c r="I74" s="31">
        <f t="shared" si="125"/>
        <v>3185.1380479076779</v>
      </c>
      <c r="J74" s="31">
        <f t="shared" si="125"/>
        <v>3510.3239893794212</v>
      </c>
      <c r="K74" s="31">
        <f t="shared" si="125"/>
        <v>3886.5358940413998</v>
      </c>
      <c r="L74" s="31">
        <f t="shared" si="125"/>
        <v>4323.5269290504875</v>
      </c>
      <c r="M74" s="31">
        <f t="shared" si="125"/>
        <v>4833.1255121949325</v>
      </c>
      <c r="N74" s="31">
        <f t="shared" si="125"/>
        <v>5429.7028798891588</v>
      </c>
      <c r="O74" s="31">
        <f t="shared" si="125"/>
        <v>6130.7490158259061</v>
      </c>
      <c r="P74" s="31">
        <f t="shared" si="125"/>
        <v>6957.5823862496945</v>
      </c>
      <c r="Q74" s="31">
        <f t="shared" si="125"/>
        <v>7936.2249390217439</v>
      </c>
    </row>
    <row r="75" spans="2:17" x14ac:dyDescent="0.25">
      <c r="B75" t="s">
        <v>172</v>
      </c>
      <c r="C75" s="12">
        <f t="shared" ref="C75:G75" si="126">C56+C37+C18</f>
        <v>0</v>
      </c>
      <c r="D75" s="12">
        <f t="shared" si="126"/>
        <v>0</v>
      </c>
      <c r="E75" s="12">
        <f t="shared" si="126"/>
        <v>0</v>
      </c>
      <c r="F75" s="12">
        <f t="shared" si="126"/>
        <v>0</v>
      </c>
      <c r="G75" s="12">
        <f t="shared" si="126"/>
        <v>0</v>
      </c>
      <c r="H75" s="12">
        <f t="shared" ref="H75:Q75" si="127">H56+H37+H18</f>
        <v>0</v>
      </c>
      <c r="I75" s="12">
        <f t="shared" si="127"/>
        <v>0</v>
      </c>
      <c r="J75" s="12">
        <f t="shared" si="127"/>
        <v>0</v>
      </c>
      <c r="K75" s="12">
        <f t="shared" si="127"/>
        <v>0</v>
      </c>
      <c r="L75" s="12">
        <f t="shared" si="127"/>
        <v>0</v>
      </c>
      <c r="M75" s="12">
        <f t="shared" si="127"/>
        <v>0</v>
      </c>
      <c r="N75" s="12">
        <f t="shared" si="127"/>
        <v>0</v>
      </c>
      <c r="O75" s="12">
        <f t="shared" si="127"/>
        <v>0</v>
      </c>
      <c r="P75" s="12">
        <f t="shared" si="127"/>
        <v>0</v>
      </c>
      <c r="Q75" s="12">
        <f t="shared" si="127"/>
        <v>0</v>
      </c>
    </row>
    <row r="76" spans="2:17" x14ac:dyDescent="0.25">
      <c r="B76" t="s">
        <v>173</v>
      </c>
      <c r="C76" s="12">
        <f t="shared" ref="C76:G76" si="128">C57+C38+C19</f>
        <v>524</v>
      </c>
      <c r="D76" s="12">
        <f t="shared" si="128"/>
        <v>591</v>
      </c>
      <c r="E76" s="12">
        <f t="shared" si="128"/>
        <v>691</v>
      </c>
      <c r="F76" s="12">
        <f t="shared" si="128"/>
        <v>763</v>
      </c>
      <c r="G76" s="12">
        <f t="shared" si="128"/>
        <v>853</v>
      </c>
      <c r="H76" s="12">
        <f t="shared" ref="H76:Q76" si="129">H57+H38+H19</f>
        <v>771</v>
      </c>
      <c r="I76" s="12">
        <f t="shared" si="129"/>
        <v>931.81079831034481</v>
      </c>
      <c r="J76" s="12">
        <f t="shared" si="129"/>
        <v>1127.5327070569958</v>
      </c>
      <c r="K76" s="12">
        <f t="shared" si="129"/>
        <v>1366.0812824671934</v>
      </c>
      <c r="L76" s="12">
        <f t="shared" si="129"/>
        <v>1657.2464183065517</v>
      </c>
      <c r="M76" s="12">
        <f t="shared" si="129"/>
        <v>2013.1542496529669</v>
      </c>
      <c r="N76" s="12">
        <f t="shared" si="129"/>
        <v>2448.8468286250122</v>
      </c>
      <c r="O76" s="12">
        <f t="shared" si="129"/>
        <v>2983.0104297493581</v>
      </c>
      <c r="P76" s="12">
        <f t="shared" si="129"/>
        <v>3638.8915971433917</v>
      </c>
      <c r="Q76" s="12">
        <f t="shared" si="129"/>
        <v>4445.4505421541362</v>
      </c>
    </row>
    <row r="77" spans="2:17" x14ac:dyDescent="0.25">
      <c r="B77" t="s">
        <v>174</v>
      </c>
      <c r="C77" s="12">
        <f t="shared" ref="C77:G77" si="130">C58+C39+C20</f>
        <v>148</v>
      </c>
      <c r="D77" s="12">
        <f t="shared" si="130"/>
        <v>136</v>
      </c>
      <c r="E77" s="12">
        <f t="shared" si="130"/>
        <v>154</v>
      </c>
      <c r="F77" s="12">
        <f t="shared" si="130"/>
        <v>157</v>
      </c>
      <c r="G77" s="12">
        <f t="shared" si="130"/>
        <v>178</v>
      </c>
      <c r="H77" s="12">
        <f t="shared" ref="H77:Q77" si="131">H58+H39+H20</f>
        <v>160.81079831034486</v>
      </c>
      <c r="I77" s="12">
        <f t="shared" si="131"/>
        <v>195.72190874665102</v>
      </c>
      <c r="J77" s="12">
        <f t="shared" si="131"/>
        <v>238.5485754101974</v>
      </c>
      <c r="K77" s="12">
        <f t="shared" si="131"/>
        <v>291.16513583935858</v>
      </c>
      <c r="L77" s="12">
        <f t="shared" si="131"/>
        <v>355.90783134641481</v>
      </c>
      <c r="M77" s="12">
        <f t="shared" si="131"/>
        <v>435.69257897204534</v>
      </c>
      <c r="N77" s="12">
        <f t="shared" si="131"/>
        <v>534.16360112434597</v>
      </c>
      <c r="O77" s="12">
        <f t="shared" si="131"/>
        <v>655.8811673940337</v>
      </c>
      <c r="P77" s="12">
        <f t="shared" si="131"/>
        <v>806.55894501074386</v>
      </c>
      <c r="Q77" s="12">
        <f t="shared" si="131"/>
        <v>993.36431200222432</v>
      </c>
    </row>
    <row r="78" spans="2:17" x14ac:dyDescent="0.25">
      <c r="B78" t="s">
        <v>169</v>
      </c>
      <c r="C78" s="12">
        <f t="shared" ref="C78:G78" si="132">C59+C40+C21</f>
        <v>-27</v>
      </c>
      <c r="D78" s="12">
        <f t="shared" si="132"/>
        <v>-37</v>
      </c>
      <c r="E78" s="12">
        <f t="shared" si="132"/>
        <v>-69</v>
      </c>
      <c r="F78" s="12">
        <f t="shared" si="132"/>
        <v>-48</v>
      </c>
      <c r="G78" s="12">
        <f t="shared" si="132"/>
        <v>-253</v>
      </c>
      <c r="H78" s="12">
        <f t="shared" ref="H78:Q78" si="133">H59+H40+H21</f>
        <v>0</v>
      </c>
      <c r="I78" s="12">
        <f t="shared" si="133"/>
        <v>0</v>
      </c>
      <c r="J78" s="12">
        <f t="shared" si="133"/>
        <v>0</v>
      </c>
      <c r="K78" s="12">
        <f t="shared" si="133"/>
        <v>0</v>
      </c>
      <c r="L78" s="12">
        <f t="shared" si="133"/>
        <v>0</v>
      </c>
      <c r="M78" s="12">
        <f t="shared" si="133"/>
        <v>0</v>
      </c>
      <c r="N78" s="12">
        <f t="shared" si="133"/>
        <v>0</v>
      </c>
      <c r="O78" s="12">
        <f t="shared" si="133"/>
        <v>0</v>
      </c>
      <c r="P78" s="12">
        <f t="shared" si="133"/>
        <v>0</v>
      </c>
      <c r="Q78" s="12">
        <f t="shared" si="133"/>
        <v>0</v>
      </c>
    </row>
    <row r="79" spans="2:17" x14ac:dyDescent="0.25">
      <c r="B79" t="s">
        <v>175</v>
      </c>
      <c r="C79" s="12">
        <f t="shared" ref="C79:G79" si="134">C60+C41+C22</f>
        <v>-53</v>
      </c>
      <c r="D79" s="12">
        <f t="shared" si="134"/>
        <v>0</v>
      </c>
      <c r="E79" s="12">
        <f t="shared" si="134"/>
        <v>-11</v>
      </c>
      <c r="F79" s="12">
        <f t="shared" si="134"/>
        <v>0</v>
      </c>
      <c r="G79" s="12">
        <f t="shared" si="134"/>
        <v>0</v>
      </c>
      <c r="H79" s="12">
        <f t="shared" ref="H79:Q79" si="135">H60+H41+H22</f>
        <v>0</v>
      </c>
      <c r="I79" s="12">
        <f t="shared" si="135"/>
        <v>0</v>
      </c>
      <c r="J79" s="12">
        <f t="shared" si="135"/>
        <v>0</v>
      </c>
      <c r="K79" s="12">
        <f t="shared" si="135"/>
        <v>0</v>
      </c>
      <c r="L79" s="12">
        <f t="shared" si="135"/>
        <v>0</v>
      </c>
      <c r="M79" s="12">
        <f t="shared" si="135"/>
        <v>0</v>
      </c>
      <c r="N79" s="12">
        <f t="shared" si="135"/>
        <v>0</v>
      </c>
      <c r="O79" s="12">
        <f t="shared" si="135"/>
        <v>0</v>
      </c>
      <c r="P79" s="12">
        <f t="shared" si="135"/>
        <v>0</v>
      </c>
      <c r="Q79" s="12">
        <f t="shared" si="135"/>
        <v>0</v>
      </c>
    </row>
    <row r="80" spans="2:17" x14ac:dyDescent="0.25">
      <c r="B80" t="s">
        <v>170</v>
      </c>
      <c r="C80" s="12">
        <f t="shared" ref="C80:G80" si="136">C61+C42+C23</f>
        <v>-1</v>
      </c>
      <c r="D80" s="12">
        <f t="shared" si="136"/>
        <v>1</v>
      </c>
      <c r="E80" s="12">
        <f t="shared" si="136"/>
        <v>-2</v>
      </c>
      <c r="F80" s="12">
        <f t="shared" si="136"/>
        <v>-19</v>
      </c>
      <c r="G80" s="12">
        <f t="shared" si="136"/>
        <v>-7</v>
      </c>
      <c r="H80" s="12">
        <f t="shared" ref="H80:Q80" si="137">H61+H42+H23</f>
        <v>0</v>
      </c>
      <c r="I80" s="12">
        <f t="shared" si="137"/>
        <v>0</v>
      </c>
      <c r="J80" s="12">
        <f t="shared" si="137"/>
        <v>0</v>
      </c>
      <c r="K80" s="12">
        <f t="shared" si="137"/>
        <v>0</v>
      </c>
      <c r="L80" s="12">
        <f t="shared" si="137"/>
        <v>0</v>
      </c>
      <c r="M80" s="12">
        <f t="shared" si="137"/>
        <v>0</v>
      </c>
      <c r="N80" s="12">
        <f t="shared" si="137"/>
        <v>0</v>
      </c>
      <c r="O80" s="12">
        <f t="shared" si="137"/>
        <v>0</v>
      </c>
      <c r="P80" s="12">
        <f t="shared" si="137"/>
        <v>0</v>
      </c>
      <c r="Q80" s="12">
        <f t="shared" si="137"/>
        <v>0</v>
      </c>
    </row>
    <row r="81" spans="2:17" x14ac:dyDescent="0.25">
      <c r="B81" s="20" t="s">
        <v>176</v>
      </c>
      <c r="C81" s="31">
        <f t="shared" ref="C81:G81" si="138">C62+C43+C24</f>
        <v>591</v>
      </c>
      <c r="D81" s="31">
        <f t="shared" si="138"/>
        <v>691</v>
      </c>
      <c r="E81" s="31">
        <f t="shared" si="138"/>
        <v>763</v>
      </c>
      <c r="F81" s="31">
        <f t="shared" si="138"/>
        <v>853</v>
      </c>
      <c r="G81" s="31">
        <f t="shared" si="138"/>
        <v>771</v>
      </c>
      <c r="H81" s="31">
        <f t="shared" ref="H81:Q81" si="139">H62+H43+H24</f>
        <v>931.81079831034481</v>
      </c>
      <c r="I81" s="31">
        <f t="shared" si="139"/>
        <v>1127.5327070569958</v>
      </c>
      <c r="J81" s="31">
        <f t="shared" si="139"/>
        <v>1366.0812824671934</v>
      </c>
      <c r="K81" s="31">
        <f t="shared" si="139"/>
        <v>1657.2464183065517</v>
      </c>
      <c r="L81" s="31">
        <f t="shared" si="139"/>
        <v>2013.1542496529669</v>
      </c>
      <c r="M81" s="31">
        <f t="shared" si="139"/>
        <v>2448.8468286250122</v>
      </c>
      <c r="N81" s="31">
        <f t="shared" si="139"/>
        <v>2983.0104297493581</v>
      </c>
      <c r="O81" s="31">
        <f t="shared" si="139"/>
        <v>3638.8915971433917</v>
      </c>
      <c r="P81" s="31">
        <f t="shared" si="139"/>
        <v>4445.4505421541362</v>
      </c>
      <c r="Q81" s="31">
        <f t="shared" si="139"/>
        <v>5438.8148541563605</v>
      </c>
    </row>
    <row r="82" spans="2:17" x14ac:dyDescent="0.25">
      <c r="B82" t="s">
        <v>177</v>
      </c>
      <c r="C82" s="12">
        <f t="shared" ref="C82:G82" si="140">C63+C44+C25</f>
        <v>1</v>
      </c>
      <c r="D82" s="12">
        <f t="shared" si="140"/>
        <v>0</v>
      </c>
      <c r="E82" s="12">
        <f t="shared" si="140"/>
        <v>0</v>
      </c>
      <c r="F82" s="12">
        <f t="shared" si="140"/>
        <v>0</v>
      </c>
      <c r="G82" s="12">
        <f t="shared" si="140"/>
        <v>0</v>
      </c>
      <c r="H82" s="12">
        <f t="shared" ref="H82:Q82" si="141">H63+H44+H25</f>
        <v>0</v>
      </c>
      <c r="I82" s="12">
        <f t="shared" si="141"/>
        <v>0</v>
      </c>
      <c r="J82" s="12">
        <f t="shared" si="141"/>
        <v>0</v>
      </c>
      <c r="K82" s="12">
        <f t="shared" si="141"/>
        <v>0</v>
      </c>
      <c r="L82" s="12">
        <f t="shared" si="141"/>
        <v>0</v>
      </c>
      <c r="M82" s="12">
        <f t="shared" si="141"/>
        <v>0</v>
      </c>
      <c r="N82" s="12">
        <f t="shared" si="141"/>
        <v>0</v>
      </c>
      <c r="O82" s="12">
        <f t="shared" si="141"/>
        <v>0</v>
      </c>
      <c r="P82" s="12">
        <f t="shared" si="141"/>
        <v>0</v>
      </c>
      <c r="Q82" s="12">
        <f t="shared" si="141"/>
        <v>0</v>
      </c>
    </row>
    <row r="83" spans="2:17" x14ac:dyDescent="0.25">
      <c r="B83" s="222" t="s">
        <v>178</v>
      </c>
      <c r="C83" s="294">
        <f t="shared" ref="C83:G83" si="142">C64+C45+C26</f>
        <v>982</v>
      </c>
      <c r="D83" s="294">
        <f t="shared" si="142"/>
        <v>1084</v>
      </c>
      <c r="E83" s="294">
        <f t="shared" si="142"/>
        <v>1368</v>
      </c>
      <c r="F83" s="294">
        <f t="shared" si="142"/>
        <v>1846</v>
      </c>
      <c r="G83" s="294">
        <f t="shared" si="142"/>
        <v>1886</v>
      </c>
      <c r="H83" s="294">
        <f t="shared" ref="H83:Q83" si="143">H64+H45+H26</f>
        <v>1971.1095617528727</v>
      </c>
      <c r="I83" s="294">
        <f t="shared" si="143"/>
        <v>2057.6053408506823</v>
      </c>
      <c r="J83" s="294">
        <f t="shared" si="143"/>
        <v>2144.2427069122277</v>
      </c>
      <c r="K83" s="294">
        <f t="shared" si="143"/>
        <v>2229.2894757348477</v>
      </c>
      <c r="L83" s="294">
        <f t="shared" si="143"/>
        <v>2310.3726793975211</v>
      </c>
      <c r="M83" s="294">
        <f t="shared" si="143"/>
        <v>2384.2786835699212</v>
      </c>
      <c r="N83" s="294">
        <f t="shared" si="143"/>
        <v>2446.6924501398007</v>
      </c>
      <c r="O83" s="294">
        <f t="shared" si="143"/>
        <v>2491.8574186825144</v>
      </c>
      <c r="P83" s="294">
        <f t="shared" si="143"/>
        <v>2512.1318440955583</v>
      </c>
      <c r="Q83" s="294">
        <f t="shared" si="143"/>
        <v>2497.4100848653839</v>
      </c>
    </row>
    <row r="85" spans="2:17" x14ac:dyDescent="0.25">
      <c r="B85" s="27" t="s">
        <v>182</v>
      </c>
      <c r="C85" s="28">
        <f>C83</f>
        <v>982</v>
      </c>
      <c r="D85" s="28">
        <f t="shared" ref="D85:Q85" si="144">D83</f>
        <v>1084</v>
      </c>
      <c r="E85" s="28">
        <f t="shared" si="144"/>
        <v>1368</v>
      </c>
      <c r="F85" s="28">
        <f t="shared" si="144"/>
        <v>1846</v>
      </c>
      <c r="G85" s="28">
        <f t="shared" si="144"/>
        <v>1886</v>
      </c>
      <c r="H85" s="28">
        <f t="shared" si="144"/>
        <v>1971.1095617528727</v>
      </c>
      <c r="I85" s="28">
        <f t="shared" si="144"/>
        <v>2057.6053408506823</v>
      </c>
      <c r="J85" s="28">
        <f t="shared" si="144"/>
        <v>2144.2427069122277</v>
      </c>
      <c r="K85" s="28">
        <f t="shared" si="144"/>
        <v>2229.2894757348477</v>
      </c>
      <c r="L85" s="28">
        <f t="shared" si="144"/>
        <v>2310.3726793975211</v>
      </c>
      <c r="M85" s="28">
        <f t="shared" si="144"/>
        <v>2384.2786835699212</v>
      </c>
      <c r="N85" s="28">
        <f t="shared" si="144"/>
        <v>2446.6924501398007</v>
      </c>
      <c r="O85" s="28">
        <f t="shared" si="144"/>
        <v>2491.8574186825144</v>
      </c>
      <c r="P85" s="28">
        <f t="shared" si="144"/>
        <v>2512.1318440955583</v>
      </c>
      <c r="Q85" s="28">
        <f t="shared" si="144"/>
        <v>2497.4100848653839</v>
      </c>
    </row>
    <row r="86" spans="2:17" ht="15.75" thickBot="1" x14ac:dyDescent="0.3">
      <c r="B86" s="39" t="s">
        <v>181</v>
      </c>
      <c r="C86" s="39">
        <v>139</v>
      </c>
      <c r="D86" s="39">
        <v>139</v>
      </c>
      <c r="E86" s="39">
        <v>155</v>
      </c>
      <c r="F86" s="39">
        <v>158</v>
      </c>
      <c r="G86" s="39">
        <v>178</v>
      </c>
      <c r="H86" s="40">
        <f>H77</f>
        <v>160.81079831034486</v>
      </c>
      <c r="I86" s="40">
        <f t="shared" ref="I86:Q86" si="145">I77</f>
        <v>195.72190874665102</v>
      </c>
      <c r="J86" s="40">
        <f t="shared" si="145"/>
        <v>238.5485754101974</v>
      </c>
      <c r="K86" s="40">
        <f t="shared" si="145"/>
        <v>291.16513583935858</v>
      </c>
      <c r="L86" s="40">
        <f t="shared" si="145"/>
        <v>355.90783134641481</v>
      </c>
      <c r="M86" s="40">
        <f t="shared" si="145"/>
        <v>435.69257897204534</v>
      </c>
      <c r="N86" s="40">
        <f t="shared" si="145"/>
        <v>534.16360112434597</v>
      </c>
      <c r="O86" s="40">
        <f t="shared" si="145"/>
        <v>655.8811673940337</v>
      </c>
      <c r="P86" s="40">
        <f t="shared" si="145"/>
        <v>806.55894501074386</v>
      </c>
      <c r="Q86" s="40">
        <f t="shared" si="145"/>
        <v>993.36431200222432</v>
      </c>
    </row>
    <row r="87" spans="2:17" x14ac:dyDescent="0.25">
      <c r="B87" s="23" t="s">
        <v>183</v>
      </c>
      <c r="C87" s="23"/>
      <c r="D87" s="38">
        <f>D85+D86-C85</f>
        <v>241</v>
      </c>
      <c r="E87" s="38">
        <f t="shared" ref="E87:G87" si="146">E85+E86-D85</f>
        <v>439</v>
      </c>
      <c r="F87" s="38">
        <f t="shared" si="146"/>
        <v>636</v>
      </c>
      <c r="G87" s="38">
        <f t="shared" si="146"/>
        <v>218</v>
      </c>
      <c r="H87" s="38">
        <f t="shared" ref="H87" si="147">H85+H86-G85</f>
        <v>245.92036006321769</v>
      </c>
      <c r="I87" s="38">
        <f t="shared" ref="I87" si="148">I85+I86-H85</f>
        <v>282.21768784446067</v>
      </c>
      <c r="J87" s="38">
        <f t="shared" ref="J87" si="149">J85+J86-I85</f>
        <v>325.18594147174281</v>
      </c>
      <c r="K87" s="38">
        <f t="shared" ref="K87" si="150">K85+K86-J85</f>
        <v>376.21190466197868</v>
      </c>
      <c r="L87" s="38">
        <f t="shared" ref="L87" si="151">L85+L86-K85</f>
        <v>436.99103500908814</v>
      </c>
      <c r="M87" s="38">
        <f t="shared" ref="M87" si="152">M85+M86-L85</f>
        <v>509.59858314444546</v>
      </c>
      <c r="N87" s="38">
        <f t="shared" ref="N87" si="153">N85+N86-M85</f>
        <v>596.57736769422536</v>
      </c>
      <c r="O87" s="38">
        <f t="shared" ref="O87" si="154">O85+O86-N85</f>
        <v>701.04613593674731</v>
      </c>
      <c r="P87" s="38">
        <f t="shared" ref="P87" si="155">P85+P86-O85</f>
        <v>826.83337042378753</v>
      </c>
      <c r="Q87" s="38">
        <f t="shared" ref="Q87" si="156">Q85+Q86-P85</f>
        <v>978.64255277204984</v>
      </c>
    </row>
    <row r="89" spans="2:17" ht="15.75" thickBot="1" x14ac:dyDescent="0.3">
      <c r="B89" s="33" t="s">
        <v>184</v>
      </c>
      <c r="C89" s="33">
        <f>'Balance Sheet'!C12</f>
        <v>24</v>
      </c>
      <c r="D89" s="33">
        <f>'Balance Sheet'!D12</f>
        <v>39</v>
      </c>
      <c r="E89" s="33">
        <f>'Balance Sheet'!E12</f>
        <v>67</v>
      </c>
      <c r="F89" s="33">
        <f>'Balance Sheet'!F12</f>
        <v>44</v>
      </c>
      <c r="G89" s="33">
        <f>'Balance Sheet'!G12</f>
        <v>40</v>
      </c>
      <c r="H89" s="34">
        <f>G89+H90</f>
        <v>44.8</v>
      </c>
      <c r="I89" s="34">
        <f t="shared" ref="I89:Q89" si="157">H89+I90</f>
        <v>50.559999999999995</v>
      </c>
      <c r="J89" s="34">
        <f t="shared" si="157"/>
        <v>57.471999999999994</v>
      </c>
      <c r="K89" s="34">
        <f t="shared" si="157"/>
        <v>65.76639999999999</v>
      </c>
      <c r="L89" s="34">
        <f t="shared" si="157"/>
        <v>75.719679999999983</v>
      </c>
      <c r="M89" s="34">
        <f t="shared" si="157"/>
        <v>87.663615999999976</v>
      </c>
      <c r="N89" s="34">
        <f t="shared" si="157"/>
        <v>101.99633919999998</v>
      </c>
      <c r="O89" s="34">
        <f t="shared" si="157"/>
        <v>119.19560703999997</v>
      </c>
      <c r="P89" s="34">
        <f t="shared" si="157"/>
        <v>139.83472844799996</v>
      </c>
      <c r="Q89" s="34">
        <f t="shared" si="157"/>
        <v>164.60167413759996</v>
      </c>
    </row>
    <row r="90" spans="2:17" x14ac:dyDescent="0.25">
      <c r="B90" s="23" t="s">
        <v>395</v>
      </c>
      <c r="D90" s="35">
        <f>D89-C89</f>
        <v>15</v>
      </c>
      <c r="E90" s="35">
        <f t="shared" ref="E90:G90" si="158">E89-D89</f>
        <v>28</v>
      </c>
      <c r="F90" s="35">
        <f t="shared" si="158"/>
        <v>-23</v>
      </c>
      <c r="G90" s="35">
        <f t="shared" si="158"/>
        <v>-4</v>
      </c>
      <c r="H90" s="295">
        <f>-G90*1.2</f>
        <v>4.8</v>
      </c>
      <c r="I90" s="295">
        <f>H90*1.2</f>
        <v>5.76</v>
      </c>
      <c r="J90" s="295">
        <f t="shared" ref="J90:Q90" si="159">I90*1.2</f>
        <v>6.9119999999999999</v>
      </c>
      <c r="K90" s="295">
        <f t="shared" si="159"/>
        <v>8.2943999999999996</v>
      </c>
      <c r="L90" s="295">
        <f t="shared" si="159"/>
        <v>9.9532799999999995</v>
      </c>
      <c r="M90" s="295">
        <f t="shared" si="159"/>
        <v>11.943935999999999</v>
      </c>
      <c r="N90" s="295">
        <f t="shared" si="159"/>
        <v>14.332723199999998</v>
      </c>
      <c r="O90" s="295">
        <f t="shared" si="159"/>
        <v>17.199267839999997</v>
      </c>
      <c r="P90" s="295">
        <f t="shared" si="159"/>
        <v>20.639121407999998</v>
      </c>
      <c r="Q90" s="295">
        <f t="shared" si="159"/>
        <v>24.766945689599996</v>
      </c>
    </row>
    <row r="92" spans="2:17" ht="15.75" thickBot="1" x14ac:dyDescent="0.3">
      <c r="B92" s="43" t="s">
        <v>185</v>
      </c>
      <c r="C92" s="43"/>
      <c r="D92" s="44">
        <f>D87+D90</f>
        <v>256</v>
      </c>
      <c r="E92" s="44">
        <f t="shared" ref="E92:Q92" si="160">E87+E90</f>
        <v>467</v>
      </c>
      <c r="F92" s="44">
        <f t="shared" si="160"/>
        <v>613</v>
      </c>
      <c r="G92" s="44">
        <f t="shared" si="160"/>
        <v>214</v>
      </c>
      <c r="H92" s="44">
        <f t="shared" si="160"/>
        <v>250.7203600632177</v>
      </c>
      <c r="I92" s="44">
        <f t="shared" si="160"/>
        <v>287.97768784446066</v>
      </c>
      <c r="J92" s="44">
        <f t="shared" si="160"/>
        <v>332.09794147174279</v>
      </c>
      <c r="K92" s="44">
        <f t="shared" si="160"/>
        <v>384.50630466197867</v>
      </c>
      <c r="L92" s="44">
        <f t="shared" si="160"/>
        <v>446.94431500908814</v>
      </c>
      <c r="M92" s="44">
        <f t="shared" si="160"/>
        <v>521.54251914444546</v>
      </c>
      <c r="N92" s="44">
        <f t="shared" si="160"/>
        <v>610.91009089422539</v>
      </c>
      <c r="O92" s="44">
        <f t="shared" si="160"/>
        <v>718.24540377674725</v>
      </c>
      <c r="P92" s="44">
        <f t="shared" si="160"/>
        <v>847.47249183178758</v>
      </c>
      <c r="Q92" s="44">
        <f t="shared" si="160"/>
        <v>1003.4094984616498</v>
      </c>
    </row>
  </sheetData>
  <mergeCells count="1">
    <mergeCell ref="B6:Q6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7:Q68"/>
  <sheetViews>
    <sheetView showGridLines="0" workbookViewId="0">
      <selection activeCell="D5" sqref="D5"/>
    </sheetView>
  </sheetViews>
  <sheetFormatPr defaultRowHeight="15" x14ac:dyDescent="0.25"/>
  <cols>
    <col min="1" max="1" width="1.85546875" customWidth="1"/>
    <col min="2" max="2" width="28.42578125" bestFit="1" customWidth="1"/>
    <col min="8" max="8" width="9.5703125" customWidth="1"/>
    <col min="9" max="17" width="10.5703125" bestFit="1" customWidth="1"/>
  </cols>
  <sheetData>
    <row r="7" spans="2:17" ht="15.75" thickBot="1" x14ac:dyDescent="0.3">
      <c r="B7" s="341" t="s">
        <v>396</v>
      </c>
      <c r="C7" s="341"/>
      <c r="D7" s="341"/>
      <c r="E7" s="341"/>
      <c r="F7" s="341"/>
      <c r="G7" s="341"/>
      <c r="H7" s="341"/>
      <c r="I7" s="341"/>
      <c r="J7" s="341"/>
      <c r="K7" s="341"/>
      <c r="L7" s="341"/>
      <c r="M7" s="341"/>
      <c r="N7" s="341"/>
      <c r="O7" s="341"/>
      <c r="P7" s="341"/>
      <c r="Q7" s="341"/>
    </row>
    <row r="8" spans="2:17" x14ac:dyDescent="0.25">
      <c r="B8" s="24" t="s">
        <v>390</v>
      </c>
    </row>
    <row r="9" spans="2:17" x14ac:dyDescent="0.25">
      <c r="B9" s="271" t="s">
        <v>139</v>
      </c>
      <c r="C9" s="272">
        <v>2021</v>
      </c>
      <c r="D9" s="272">
        <f t="shared" ref="D9:Q9" si="0">C9+1</f>
        <v>2022</v>
      </c>
      <c r="E9" s="272">
        <f t="shared" si="0"/>
        <v>2023</v>
      </c>
      <c r="F9" s="272">
        <f t="shared" si="0"/>
        <v>2024</v>
      </c>
      <c r="G9" s="272">
        <f t="shared" si="0"/>
        <v>2025</v>
      </c>
      <c r="H9" s="270">
        <f t="shared" si="0"/>
        <v>2026</v>
      </c>
      <c r="I9" s="270">
        <f t="shared" si="0"/>
        <v>2027</v>
      </c>
      <c r="J9" s="270">
        <f t="shared" si="0"/>
        <v>2028</v>
      </c>
      <c r="K9" s="270">
        <f t="shared" si="0"/>
        <v>2029</v>
      </c>
      <c r="L9" s="270">
        <f t="shared" si="0"/>
        <v>2030</v>
      </c>
      <c r="M9" s="270">
        <f t="shared" si="0"/>
        <v>2031</v>
      </c>
      <c r="N9" s="270">
        <f t="shared" si="0"/>
        <v>2032</v>
      </c>
      <c r="O9" s="270">
        <f t="shared" si="0"/>
        <v>2033</v>
      </c>
      <c r="P9" s="270">
        <f t="shared" si="0"/>
        <v>2034</v>
      </c>
      <c r="Q9" s="270">
        <f t="shared" si="0"/>
        <v>2035</v>
      </c>
    </row>
    <row r="11" spans="2:17" ht="15.75" thickBot="1" x14ac:dyDescent="0.3">
      <c r="B11" s="33" t="s">
        <v>144</v>
      </c>
      <c r="C11" s="296">
        <f>'Income Statement'!C10</f>
        <v>8048</v>
      </c>
      <c r="D11" s="296">
        <f>'Income Statement'!D10</f>
        <v>9512</v>
      </c>
      <c r="E11" s="296">
        <f>'Income Statement'!E10</f>
        <v>9764</v>
      </c>
      <c r="F11" s="296">
        <f>'Income Statement'!F10</f>
        <v>9653</v>
      </c>
      <c r="G11" s="296">
        <f>'Income Statement'!G10</f>
        <v>10831</v>
      </c>
      <c r="H11" s="34">
        <f>H43</f>
        <v>11829.457858113532</v>
      </c>
      <c r="I11" s="34">
        <f t="shared" ref="I11:Q11" si="1">I43</f>
        <v>12984.788155193986</v>
      </c>
      <c r="J11" s="34">
        <f t="shared" si="1"/>
        <v>14334.340305272006</v>
      </c>
      <c r="K11" s="34">
        <f t="shared" si="1"/>
        <v>15926.063214420681</v>
      </c>
      <c r="L11" s="34">
        <f t="shared" si="1"/>
        <v>17821.671195653013</v>
      </c>
      <c r="M11" s="34">
        <f t="shared" si="1"/>
        <v>20100.767888448714</v>
      </c>
      <c r="N11" s="34">
        <f t="shared" si="1"/>
        <v>22866.219002105689</v>
      </c>
      <c r="O11" s="34">
        <f t="shared" si="1"/>
        <v>26251.153053976024</v>
      </c>
      <c r="P11" s="34">
        <f t="shared" si="1"/>
        <v>30428.084472164293</v>
      </c>
      <c r="Q11" s="34">
        <f t="shared" si="1"/>
        <v>35620.803635451201</v>
      </c>
    </row>
    <row r="12" spans="2:17" x14ac:dyDescent="0.25">
      <c r="B12" s="297" t="s">
        <v>397</v>
      </c>
      <c r="C12" s="297"/>
      <c r="D12" s="92">
        <f>D11/C11-1</f>
        <v>0.18190854870775341</v>
      </c>
      <c r="E12" s="92">
        <f t="shared" ref="E12:Q12" si="2">E11/D11-1</f>
        <v>2.6492851135407891E-2</v>
      </c>
      <c r="F12" s="92">
        <f t="shared" si="2"/>
        <v>-1.1368291683736209E-2</v>
      </c>
      <c r="G12" s="92">
        <f t="shared" si="2"/>
        <v>0.12203460064228744</v>
      </c>
      <c r="H12" s="92">
        <f t="shared" si="2"/>
        <v>9.2185196021930649E-2</v>
      </c>
      <c r="I12" s="92">
        <f t="shared" si="2"/>
        <v>9.7665532177203085E-2</v>
      </c>
      <c r="J12" s="92">
        <f t="shared" si="2"/>
        <v>0.10393332058622695</v>
      </c>
      <c r="K12" s="92">
        <f t="shared" si="2"/>
        <v>0.11104263434873651</v>
      </c>
      <c r="L12" s="92">
        <f t="shared" si="2"/>
        <v>0.11902552160636293</v>
      </c>
      <c r="M12" s="92">
        <f t="shared" si="2"/>
        <v>0.1278834441380341</v>
      </c>
      <c r="N12" s="92">
        <f t="shared" si="2"/>
        <v>0.13757937651955054</v>
      </c>
      <c r="O12" s="92">
        <f t="shared" si="2"/>
        <v>0.14803208399073875</v>
      </c>
      <c r="P12" s="92">
        <f t="shared" si="2"/>
        <v>0.15911420765403772</v>
      </c>
      <c r="Q12" s="92">
        <f t="shared" si="2"/>
        <v>0.17065547349972765</v>
      </c>
    </row>
    <row r="13" spans="2:17" x14ac:dyDescent="0.25"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2:17" x14ac:dyDescent="0.25">
      <c r="B14" s="6" t="s">
        <v>134</v>
      </c>
      <c r="C14" s="20">
        <v>2021</v>
      </c>
      <c r="D14" s="20">
        <v>2022</v>
      </c>
      <c r="E14" s="20">
        <v>2023</v>
      </c>
      <c r="F14" s="20">
        <v>2024</v>
      </c>
      <c r="G14" s="20">
        <v>2025</v>
      </c>
      <c r="H14" s="20">
        <f>G14+1</f>
        <v>2026</v>
      </c>
      <c r="I14" s="20">
        <f t="shared" ref="I14:Q14" si="3">H14+1</f>
        <v>2027</v>
      </c>
      <c r="J14" s="20">
        <f t="shared" si="3"/>
        <v>2028</v>
      </c>
      <c r="K14" s="20">
        <f t="shared" si="3"/>
        <v>2029</v>
      </c>
      <c r="L14" s="20">
        <f t="shared" si="3"/>
        <v>2030</v>
      </c>
      <c r="M14" s="20">
        <f t="shared" si="3"/>
        <v>2031</v>
      </c>
      <c r="N14" s="20">
        <f t="shared" si="3"/>
        <v>2032</v>
      </c>
      <c r="O14" s="20">
        <f t="shared" si="3"/>
        <v>2033</v>
      </c>
      <c r="P14" s="20">
        <f t="shared" si="3"/>
        <v>2034</v>
      </c>
      <c r="Q14" s="20">
        <f t="shared" si="3"/>
        <v>2035</v>
      </c>
    </row>
    <row r="15" spans="2:17" x14ac:dyDescent="0.25">
      <c r="B15" s="27" t="s">
        <v>135</v>
      </c>
      <c r="C15" s="313">
        <v>6189</v>
      </c>
      <c r="D15" s="313">
        <v>7333</v>
      </c>
      <c r="E15" s="313">
        <v>7351</v>
      </c>
      <c r="F15" s="313">
        <v>7132</v>
      </c>
      <c r="G15" s="22">
        <v>8110</v>
      </c>
      <c r="H15" s="223">
        <f>G15*(1+H16)</f>
        <v>8707.3730817031465</v>
      </c>
      <c r="I15" s="223">
        <f t="shared" ref="I15:Q15" si="4">H15*(1+I16)</f>
        <v>9348.7479634979718</v>
      </c>
      <c r="J15" s="223">
        <f t="shared" si="4"/>
        <v>10037.365766336541</v>
      </c>
      <c r="K15" s="223">
        <f t="shared" si="4"/>
        <v>10776.706348336309</v>
      </c>
      <c r="L15" s="223">
        <f t="shared" si="4"/>
        <v>11570.505889879529</v>
      </c>
      <c r="M15" s="223">
        <f t="shared" si="4"/>
        <v>12422.775774010446</v>
      </c>
      <c r="N15" s="223">
        <f t="shared" si="4"/>
        <v>13337.822857540385</v>
      </c>
      <c r="O15" s="223">
        <f t="shared" si="4"/>
        <v>14320.271235298653</v>
      </c>
      <c r="P15" s="223">
        <f t="shared" si="4"/>
        <v>15375.085607512619</v>
      </c>
      <c r="Q15" s="223">
        <f t="shared" si="4"/>
        <v>16507.596368401584</v>
      </c>
    </row>
    <row r="16" spans="2:17" x14ac:dyDescent="0.25">
      <c r="B16" s="298" t="s">
        <v>151</v>
      </c>
      <c r="C16" s="299"/>
      <c r="D16" s="299"/>
      <c r="E16" s="299"/>
      <c r="F16" s="299"/>
      <c r="G16" s="299"/>
      <c r="H16" s="299">
        <f>CHOOSE(Assumption!$C$9,'Revenue BuildUp'!$H$19:$Q$19,'Revenue BuildUp'!$H$20:$Q$20,'Revenue BuildUp'!$H$21:$Q$21)</f>
        <v>7.3658826350572915E-2</v>
      </c>
      <c r="I16" s="299">
        <f>CHOOSE(Assumption!$C$9,'Revenue BuildUp'!$H$19:$Q$19,'Revenue BuildUp'!$H$20:$Q$20,'Revenue BuildUp'!$H$21:$Q$21)</f>
        <v>7.3658826350572915E-2</v>
      </c>
      <c r="J16" s="299">
        <f>CHOOSE(Assumption!$C$9,'Revenue BuildUp'!$H$19:$Q$19,'Revenue BuildUp'!$H$20:$Q$20,'Revenue BuildUp'!$H$21:$Q$21)</f>
        <v>7.3658826350572915E-2</v>
      </c>
      <c r="K16" s="299">
        <f>CHOOSE(Assumption!$C$9,'Revenue BuildUp'!$H$19:$Q$19,'Revenue BuildUp'!$H$20:$Q$20,'Revenue BuildUp'!$H$21:$Q$21)</f>
        <v>7.3658826350572915E-2</v>
      </c>
      <c r="L16" s="299">
        <f>CHOOSE(Assumption!$C$9,'Revenue BuildUp'!$H$19:$Q$19,'Revenue BuildUp'!$H$20:$Q$20,'Revenue BuildUp'!$H$21:$Q$21)</f>
        <v>7.3658826350572915E-2</v>
      </c>
      <c r="M16" s="299">
        <f>CHOOSE(Assumption!$C$9,'Revenue BuildUp'!$H$19:$Q$19,'Revenue BuildUp'!$H$20:$Q$20,'Revenue BuildUp'!$H$21:$Q$21)</f>
        <v>7.3658826350572915E-2</v>
      </c>
      <c r="N16" s="299">
        <f>CHOOSE(Assumption!$C$9,'Revenue BuildUp'!$H$19:$Q$19,'Revenue BuildUp'!$H$20:$Q$20,'Revenue BuildUp'!$H$21:$Q$21)</f>
        <v>7.3658826350572915E-2</v>
      </c>
      <c r="O16" s="299">
        <f>CHOOSE(Assumption!$C$9,'Revenue BuildUp'!$H$19:$Q$19,'Revenue BuildUp'!$H$20:$Q$20,'Revenue BuildUp'!$H$21:$Q$21)</f>
        <v>7.3658826350572915E-2</v>
      </c>
      <c r="P16" s="299">
        <f>CHOOSE(Assumption!$C$9,'Revenue BuildUp'!$H$19:$Q$19,'Revenue BuildUp'!$H$20:$Q$20,'Revenue BuildUp'!$H$21:$Q$21)</f>
        <v>7.3658826350572915E-2</v>
      </c>
      <c r="Q16" s="299">
        <f>CHOOSE(Assumption!$C$9,'Revenue BuildUp'!$H$19:$Q$19,'Revenue BuildUp'!$H$20:$Q$20,'Revenue BuildUp'!$H$21:$Q$21)</f>
        <v>7.3658826350572915E-2</v>
      </c>
    </row>
    <row r="17" spans="2:17" x14ac:dyDescent="0.25">
      <c r="B17" s="298" t="s">
        <v>146</v>
      </c>
      <c r="C17" s="300"/>
      <c r="D17" s="299">
        <f>D15/C15-1</f>
        <v>0.18484407820326387</v>
      </c>
      <c r="E17" s="299">
        <f t="shared" ref="E17:G17" si="5">E15/D15-1</f>
        <v>2.4546570298649151E-3</v>
      </c>
      <c r="F17" s="299">
        <f t="shared" si="5"/>
        <v>-2.9791865052373856E-2</v>
      </c>
      <c r="G17" s="299">
        <f t="shared" si="5"/>
        <v>0.13712843522153673</v>
      </c>
      <c r="H17" s="314"/>
      <c r="I17" s="314"/>
      <c r="J17" s="314"/>
      <c r="K17" s="314"/>
      <c r="L17" s="314"/>
      <c r="M17" s="314"/>
      <c r="N17" s="314"/>
      <c r="O17" s="314"/>
      <c r="P17" s="314"/>
      <c r="Q17" s="314"/>
    </row>
    <row r="18" spans="2:17" x14ac:dyDescent="0.25">
      <c r="B18" s="304" t="s">
        <v>147</v>
      </c>
      <c r="C18" s="300"/>
      <c r="D18" s="299"/>
      <c r="E18" s="299"/>
      <c r="F18" s="299"/>
      <c r="G18" s="299"/>
      <c r="H18" s="314"/>
      <c r="I18" s="314"/>
      <c r="J18" s="314"/>
      <c r="K18" s="314"/>
      <c r="L18" s="314"/>
      <c r="M18" s="314"/>
      <c r="N18" s="314"/>
      <c r="O18" s="314"/>
      <c r="P18" s="314"/>
      <c r="Q18" s="314"/>
    </row>
    <row r="19" spans="2:17" x14ac:dyDescent="0.25">
      <c r="B19" s="301" t="s">
        <v>148</v>
      </c>
      <c r="C19" s="301"/>
      <c r="D19" s="302"/>
      <c r="E19" s="302"/>
      <c r="F19" s="302"/>
      <c r="G19" s="302"/>
      <c r="H19" s="303">
        <f>H20+3%</f>
        <v>0.10365882635057291</v>
      </c>
      <c r="I19" s="303">
        <f>H19</f>
        <v>0.10365882635057291</v>
      </c>
      <c r="J19" s="303">
        <f t="shared" ref="J19:Q19" si="6">I19</f>
        <v>0.10365882635057291</v>
      </c>
      <c r="K19" s="303">
        <f t="shared" si="6"/>
        <v>0.10365882635057291</v>
      </c>
      <c r="L19" s="303">
        <f t="shared" si="6"/>
        <v>0.10365882635057291</v>
      </c>
      <c r="M19" s="303">
        <f t="shared" si="6"/>
        <v>0.10365882635057291</v>
      </c>
      <c r="N19" s="303">
        <f t="shared" si="6"/>
        <v>0.10365882635057291</v>
      </c>
      <c r="O19" s="303">
        <f t="shared" si="6"/>
        <v>0.10365882635057291</v>
      </c>
      <c r="P19" s="303">
        <f t="shared" si="6"/>
        <v>0.10365882635057291</v>
      </c>
      <c r="Q19" s="303">
        <f t="shared" si="6"/>
        <v>0.10365882635057291</v>
      </c>
    </row>
    <row r="20" spans="2:17" x14ac:dyDescent="0.25">
      <c r="B20" s="301" t="s">
        <v>149</v>
      </c>
      <c r="C20" s="301"/>
      <c r="D20" s="302"/>
      <c r="E20" s="302"/>
      <c r="F20" s="302"/>
      <c r="G20" s="302"/>
      <c r="H20" s="303">
        <f>AVERAGE(D17:G17)</f>
        <v>7.3658826350572915E-2</v>
      </c>
      <c r="I20" s="303">
        <f t="shared" ref="I20:Q21" si="7">H20</f>
        <v>7.3658826350572915E-2</v>
      </c>
      <c r="J20" s="303">
        <f t="shared" si="7"/>
        <v>7.3658826350572915E-2</v>
      </c>
      <c r="K20" s="303">
        <f t="shared" si="7"/>
        <v>7.3658826350572915E-2</v>
      </c>
      <c r="L20" s="303">
        <f t="shared" si="7"/>
        <v>7.3658826350572915E-2</v>
      </c>
      <c r="M20" s="303">
        <f t="shared" si="7"/>
        <v>7.3658826350572915E-2</v>
      </c>
      <c r="N20" s="303">
        <f t="shared" si="7"/>
        <v>7.3658826350572915E-2</v>
      </c>
      <c r="O20" s="303">
        <f t="shared" si="7"/>
        <v>7.3658826350572915E-2</v>
      </c>
      <c r="P20" s="303">
        <f t="shared" si="7"/>
        <v>7.3658826350572915E-2</v>
      </c>
      <c r="Q20" s="303">
        <f t="shared" si="7"/>
        <v>7.3658826350572915E-2</v>
      </c>
    </row>
    <row r="21" spans="2:17" x14ac:dyDescent="0.25">
      <c r="B21" s="301" t="s">
        <v>150</v>
      </c>
      <c r="C21" s="301"/>
      <c r="D21" s="302"/>
      <c r="E21" s="302"/>
      <c r="F21" s="302"/>
      <c r="G21" s="302"/>
      <c r="H21" s="303">
        <f>H20-3%</f>
        <v>4.3658826350572916E-2</v>
      </c>
      <c r="I21" s="303">
        <f t="shared" si="7"/>
        <v>4.3658826350572916E-2</v>
      </c>
      <c r="J21" s="303">
        <f t="shared" si="7"/>
        <v>4.3658826350572916E-2</v>
      </c>
      <c r="K21" s="303">
        <f t="shared" si="7"/>
        <v>4.3658826350572916E-2</v>
      </c>
      <c r="L21" s="303">
        <f t="shared" si="7"/>
        <v>4.3658826350572916E-2</v>
      </c>
      <c r="M21" s="303">
        <f t="shared" si="7"/>
        <v>4.3658826350572916E-2</v>
      </c>
      <c r="N21" s="303">
        <f t="shared" si="7"/>
        <v>4.3658826350572916E-2</v>
      </c>
      <c r="O21" s="303">
        <f t="shared" si="7"/>
        <v>4.3658826350572916E-2</v>
      </c>
      <c r="P21" s="303">
        <f t="shared" si="7"/>
        <v>4.3658826350572916E-2</v>
      </c>
      <c r="Q21" s="303">
        <f t="shared" si="7"/>
        <v>4.3658826350572916E-2</v>
      </c>
    </row>
    <row r="22" spans="2:17" x14ac:dyDescent="0.25">
      <c r="B22" s="20" t="s">
        <v>136</v>
      </c>
      <c r="C22" s="20">
        <v>990</v>
      </c>
      <c r="D22" s="20">
        <v>1139</v>
      </c>
      <c r="E22" s="20">
        <v>1159</v>
      </c>
      <c r="F22" s="20">
        <v>1103</v>
      </c>
      <c r="G22" s="31">
        <v>1065</v>
      </c>
      <c r="H22" s="32">
        <f>G22*(1+H23)</f>
        <v>1087.7098741565906</v>
      </c>
      <c r="I22" s="32">
        <f t="shared" ref="I22" si="8">H22*(1+I23)</f>
        <v>1110.9040097068039</v>
      </c>
      <c r="J22" s="32">
        <f t="shared" ref="J22" si="9">I22*(1+J23)</f>
        <v>1134.5927329560934</v>
      </c>
      <c r="K22" s="32">
        <f t="shared" ref="K22" si="10">J22*(1+K23)</f>
        <v>1158.7865904062485</v>
      </c>
      <c r="L22" s="32">
        <f t="shared" ref="L22" si="11">K22*(1+L23)</f>
        <v>1183.4963534508217</v>
      </c>
      <c r="M22" s="32">
        <f t="shared" ref="M22" si="12">L22*(1+M23)</f>
        <v>1208.7330231706828</v>
      </c>
      <c r="N22" s="32">
        <f t="shared" ref="N22" si="13">M22*(1+N23)</f>
        <v>1234.5078352318299</v>
      </c>
      <c r="O22" s="32">
        <f t="shared" ref="O22" si="14">N22*(1+O23)</f>
        <v>1260.8322648876419</v>
      </c>
      <c r="P22" s="32">
        <f t="shared" ref="P22" si="15">O22*(1+P23)</f>
        <v>1287.7180320877992</v>
      </c>
      <c r="Q22" s="32">
        <f t="shared" ref="Q22" si="16">P22*(1+Q23)</f>
        <v>1315.1771066961433</v>
      </c>
    </row>
    <row r="23" spans="2:17" x14ac:dyDescent="0.25">
      <c r="B23" s="298" t="s">
        <v>151</v>
      </c>
      <c r="C23" s="299"/>
      <c r="D23" s="299"/>
      <c r="E23" s="299"/>
      <c r="F23" s="299"/>
      <c r="G23" s="299"/>
      <c r="H23" s="305">
        <f>CHOOSE(Assumption!$C$9,'Revenue BuildUp'!$H$26:$Q$26,'Revenue BuildUp'!$H$27:$Q$27,'Revenue BuildUp'!$H$28:$Q$28)</f>
        <v>2.1323825499146021E-2</v>
      </c>
      <c r="I23" s="299">
        <f>CHOOSE(Assumption!$C$9,'Revenue BuildUp'!$H$26:$Q$26,'Revenue BuildUp'!$H$27:$Q$27,'Revenue BuildUp'!$H$28:$Q$28)</f>
        <v>2.1323825499146021E-2</v>
      </c>
      <c r="J23" s="299">
        <f>CHOOSE(Assumption!$C$9,'Revenue BuildUp'!$H$26:$Q$26,'Revenue BuildUp'!$H$27:$Q$27,'Revenue BuildUp'!$H$28:$Q$28)</f>
        <v>2.1323825499146021E-2</v>
      </c>
      <c r="K23" s="299">
        <f>CHOOSE(Assumption!$C$9,'Revenue BuildUp'!$H$26:$Q$26,'Revenue BuildUp'!$H$27:$Q$27,'Revenue BuildUp'!$H$28:$Q$28)</f>
        <v>2.1323825499146021E-2</v>
      </c>
      <c r="L23" s="299">
        <f>CHOOSE(Assumption!$C$9,'Revenue BuildUp'!$H$26:$Q$26,'Revenue BuildUp'!$H$27:$Q$27,'Revenue BuildUp'!$H$28:$Q$28)</f>
        <v>2.1323825499146021E-2</v>
      </c>
      <c r="M23" s="299">
        <f>CHOOSE(Assumption!$C$9,'Revenue BuildUp'!$H$26:$Q$26,'Revenue BuildUp'!$H$27:$Q$27,'Revenue BuildUp'!$H$28:$Q$28)</f>
        <v>2.1323825499146021E-2</v>
      </c>
      <c r="N23" s="299">
        <f>CHOOSE(Assumption!$C$9,'Revenue BuildUp'!$H$26:$Q$26,'Revenue BuildUp'!$H$27:$Q$27,'Revenue BuildUp'!$H$28:$Q$28)</f>
        <v>2.1323825499146021E-2</v>
      </c>
      <c r="O23" s="299">
        <f>CHOOSE(Assumption!$C$9,'Revenue BuildUp'!$H$26:$Q$26,'Revenue BuildUp'!$H$27:$Q$27,'Revenue BuildUp'!$H$28:$Q$28)</f>
        <v>2.1323825499146021E-2</v>
      </c>
      <c r="P23" s="299">
        <f>CHOOSE(Assumption!$C$9,'Revenue BuildUp'!$H$26:$Q$26,'Revenue BuildUp'!$H$27:$Q$27,'Revenue BuildUp'!$H$28:$Q$28)</f>
        <v>2.1323825499146021E-2</v>
      </c>
      <c r="Q23" s="299">
        <f>CHOOSE(Assumption!$C$9,'Revenue BuildUp'!$H$26:$Q$26,'Revenue BuildUp'!$H$27:$Q$27,'Revenue BuildUp'!$H$28:$Q$28)</f>
        <v>2.1323825499146021E-2</v>
      </c>
    </row>
    <row r="24" spans="2:17" x14ac:dyDescent="0.25">
      <c r="B24" s="298" t="s">
        <v>146</v>
      </c>
      <c r="C24" s="300"/>
      <c r="D24" s="299">
        <f>D22/C22-1</f>
        <v>0.15050505050505047</v>
      </c>
      <c r="E24" s="299">
        <f t="shared" ref="E24:G24" si="17">E22/D22-1</f>
        <v>1.7559262510974616E-2</v>
      </c>
      <c r="F24" s="299">
        <f t="shared" si="17"/>
        <v>-4.831751509922344E-2</v>
      </c>
      <c r="G24" s="299">
        <f t="shared" si="17"/>
        <v>-3.4451495920217567E-2</v>
      </c>
      <c r="H24" s="315"/>
      <c r="I24" s="314"/>
      <c r="J24" s="314"/>
      <c r="K24" s="314"/>
      <c r="L24" s="314"/>
      <c r="M24" s="314"/>
      <c r="N24" s="314"/>
      <c r="O24" s="314"/>
      <c r="P24" s="314"/>
      <c r="Q24" s="314"/>
    </row>
    <row r="25" spans="2:17" x14ac:dyDescent="0.25">
      <c r="B25" s="304" t="s">
        <v>147</v>
      </c>
      <c r="C25" s="300"/>
      <c r="D25" s="299"/>
      <c r="E25" s="299"/>
      <c r="F25" s="299"/>
      <c r="G25" s="299"/>
      <c r="H25" s="315"/>
      <c r="I25" s="314"/>
      <c r="J25" s="314"/>
      <c r="K25" s="314"/>
      <c r="L25" s="314"/>
      <c r="M25" s="314"/>
      <c r="N25" s="314"/>
      <c r="O25" s="314"/>
      <c r="P25" s="314"/>
      <c r="Q25" s="314"/>
    </row>
    <row r="26" spans="2:17" x14ac:dyDescent="0.25">
      <c r="B26" s="301" t="s">
        <v>148</v>
      </c>
      <c r="C26" s="301"/>
      <c r="D26" s="302"/>
      <c r="E26" s="302"/>
      <c r="F26" s="302"/>
      <c r="G26" s="302"/>
      <c r="H26" s="303">
        <f>H27+5%</f>
        <v>7.1323825499146024E-2</v>
      </c>
      <c r="I26" s="303">
        <f>H26</f>
        <v>7.1323825499146024E-2</v>
      </c>
      <c r="J26" s="303">
        <f t="shared" ref="J26:Q26" si="18">I26</f>
        <v>7.1323825499146024E-2</v>
      </c>
      <c r="K26" s="303">
        <f t="shared" si="18"/>
        <v>7.1323825499146024E-2</v>
      </c>
      <c r="L26" s="303">
        <f t="shared" si="18"/>
        <v>7.1323825499146024E-2</v>
      </c>
      <c r="M26" s="303">
        <f t="shared" si="18"/>
        <v>7.1323825499146024E-2</v>
      </c>
      <c r="N26" s="303">
        <f t="shared" si="18"/>
        <v>7.1323825499146024E-2</v>
      </c>
      <c r="O26" s="303">
        <f t="shared" si="18"/>
        <v>7.1323825499146024E-2</v>
      </c>
      <c r="P26" s="303">
        <f t="shared" si="18"/>
        <v>7.1323825499146024E-2</v>
      </c>
      <c r="Q26" s="303">
        <f t="shared" si="18"/>
        <v>7.1323825499146024E-2</v>
      </c>
    </row>
    <row r="27" spans="2:17" x14ac:dyDescent="0.25">
      <c r="B27" s="301" t="s">
        <v>149</v>
      </c>
      <c r="C27" s="301"/>
      <c r="D27" s="302"/>
      <c r="E27" s="302"/>
      <c r="F27" s="302"/>
      <c r="G27" s="302"/>
      <c r="H27" s="303">
        <f>AVERAGE(D24:G24)</f>
        <v>2.1323825499146021E-2</v>
      </c>
      <c r="I27" s="303">
        <f t="shared" ref="I27:Q27" si="19">H27</f>
        <v>2.1323825499146021E-2</v>
      </c>
      <c r="J27" s="303">
        <f t="shared" si="19"/>
        <v>2.1323825499146021E-2</v>
      </c>
      <c r="K27" s="303">
        <f t="shared" si="19"/>
        <v>2.1323825499146021E-2</v>
      </c>
      <c r="L27" s="303">
        <f t="shared" si="19"/>
        <v>2.1323825499146021E-2</v>
      </c>
      <c r="M27" s="303">
        <f t="shared" si="19"/>
        <v>2.1323825499146021E-2</v>
      </c>
      <c r="N27" s="303">
        <f t="shared" si="19"/>
        <v>2.1323825499146021E-2</v>
      </c>
      <c r="O27" s="303">
        <f t="shared" si="19"/>
        <v>2.1323825499146021E-2</v>
      </c>
      <c r="P27" s="303">
        <f t="shared" si="19"/>
        <v>2.1323825499146021E-2</v>
      </c>
      <c r="Q27" s="303">
        <f t="shared" si="19"/>
        <v>2.1323825499146021E-2</v>
      </c>
    </row>
    <row r="28" spans="2:17" x14ac:dyDescent="0.25">
      <c r="B28" s="301" t="s">
        <v>150</v>
      </c>
      <c r="C28" s="301"/>
      <c r="D28" s="302"/>
      <c r="E28" s="302"/>
      <c r="F28" s="302"/>
      <c r="G28" s="302"/>
      <c r="H28" s="303">
        <f>H27-5%</f>
        <v>-2.8676174500853982E-2</v>
      </c>
      <c r="I28" s="303">
        <f t="shared" ref="I28:Q28" si="20">H28</f>
        <v>-2.8676174500853982E-2</v>
      </c>
      <c r="J28" s="303">
        <f t="shared" si="20"/>
        <v>-2.8676174500853982E-2</v>
      </c>
      <c r="K28" s="303">
        <f t="shared" si="20"/>
        <v>-2.8676174500853982E-2</v>
      </c>
      <c r="L28" s="303">
        <f t="shared" si="20"/>
        <v>-2.8676174500853982E-2</v>
      </c>
      <c r="M28" s="303">
        <f t="shared" si="20"/>
        <v>-2.8676174500853982E-2</v>
      </c>
      <c r="N28" s="303">
        <f t="shared" si="20"/>
        <v>-2.8676174500853982E-2</v>
      </c>
      <c r="O28" s="303">
        <f t="shared" si="20"/>
        <v>-2.8676174500853982E-2</v>
      </c>
      <c r="P28" s="303">
        <f t="shared" si="20"/>
        <v>-2.8676174500853982E-2</v>
      </c>
      <c r="Q28" s="303">
        <f t="shared" si="20"/>
        <v>-2.8676174500853982E-2</v>
      </c>
    </row>
    <row r="29" spans="2:17" x14ac:dyDescent="0.25">
      <c r="B29" s="20" t="s">
        <v>137</v>
      </c>
      <c r="C29" s="20">
        <v>440</v>
      </c>
      <c r="D29" s="20">
        <v>495</v>
      </c>
      <c r="E29" s="20">
        <v>593</v>
      </c>
      <c r="F29" s="20">
        <v>626</v>
      </c>
      <c r="G29" s="20">
        <v>441</v>
      </c>
      <c r="H29" s="32">
        <f>G29*(1+H30)</f>
        <v>450.16198255411297</v>
      </c>
      <c r="I29" s="32">
        <f t="shared" ref="I29" si="21">H29*(1+I30)</f>
        <v>459.51430960782204</v>
      </c>
      <c r="J29" s="32">
        <f t="shared" ref="J29" si="22">I29*(1+J30)</f>
        <v>469.06093565769083</v>
      </c>
      <c r="K29" s="32">
        <f t="shared" ref="K29" si="23">J29*(1+K30)</f>
        <v>478.80589735681025</v>
      </c>
      <c r="L29" s="32">
        <f t="shared" ref="L29" si="24">K29*(1+L30)</f>
        <v>488.75331522163907</v>
      </c>
      <c r="M29" s="32">
        <f t="shared" ref="M29" si="25">L29*(1+M30)</f>
        <v>498.90739537430471</v>
      </c>
      <c r="N29" s="32">
        <f t="shared" ref="N29" si="26">M29*(1+N30)</f>
        <v>509.27243132110135</v>
      </c>
      <c r="O29" s="32">
        <f t="shared" ref="O29" si="27">N29*(1+O30)</f>
        <v>519.8528057679373</v>
      </c>
      <c r="P29" s="32">
        <f t="shared" ref="P29" si="28">O29*(1+P30)</f>
        <v>530.65299247349856</v>
      </c>
      <c r="Q29" s="32">
        <f t="shared" ref="Q29" si="29">P29*(1+Q30)</f>
        <v>541.67755814091356</v>
      </c>
    </row>
    <row r="30" spans="2:17" x14ac:dyDescent="0.25">
      <c r="B30" s="298" t="s">
        <v>151</v>
      </c>
      <c r="C30" s="299"/>
      <c r="D30" s="299"/>
      <c r="E30" s="299"/>
      <c r="F30" s="299"/>
      <c r="G30" s="299"/>
      <c r="H30" s="299">
        <f>CHOOSE(Assumption!$C$9,'Revenue BuildUp'!$H$33:$Q$33,'Revenue BuildUp'!$H$34:$Q$34,'Revenue BuildUp'!$H$35:$Q$35)</f>
        <v>2.0775470644247174E-2</v>
      </c>
      <c r="I30" s="299">
        <f>CHOOSE(Assumption!$C$9,'Revenue BuildUp'!$H$33:$Q$33,'Revenue BuildUp'!$H$34:$Q$34,'Revenue BuildUp'!$H$35:$Q$35)</f>
        <v>2.0775470644247174E-2</v>
      </c>
      <c r="J30" s="299">
        <f>CHOOSE(Assumption!$C$9,'Revenue BuildUp'!$H$33:$Q$33,'Revenue BuildUp'!$H$34:$Q$34,'Revenue BuildUp'!$H$35:$Q$35)</f>
        <v>2.0775470644247174E-2</v>
      </c>
      <c r="K30" s="299">
        <f>CHOOSE(Assumption!$C$9,'Revenue BuildUp'!$H$33:$Q$33,'Revenue BuildUp'!$H$34:$Q$34,'Revenue BuildUp'!$H$35:$Q$35)</f>
        <v>2.0775470644247174E-2</v>
      </c>
      <c r="L30" s="299">
        <f>CHOOSE(Assumption!$C$9,'Revenue BuildUp'!$H$33:$Q$33,'Revenue BuildUp'!$H$34:$Q$34,'Revenue BuildUp'!$H$35:$Q$35)</f>
        <v>2.0775470644247174E-2</v>
      </c>
      <c r="M30" s="299">
        <f>CHOOSE(Assumption!$C$9,'Revenue BuildUp'!$H$33:$Q$33,'Revenue BuildUp'!$H$34:$Q$34,'Revenue BuildUp'!$H$35:$Q$35)</f>
        <v>2.0775470644247174E-2</v>
      </c>
      <c r="N30" s="299">
        <f>CHOOSE(Assumption!$C$9,'Revenue BuildUp'!$H$33:$Q$33,'Revenue BuildUp'!$H$34:$Q$34,'Revenue BuildUp'!$H$35:$Q$35)</f>
        <v>2.0775470644247174E-2</v>
      </c>
      <c r="O30" s="299">
        <f>CHOOSE(Assumption!$C$9,'Revenue BuildUp'!$H$33:$Q$33,'Revenue BuildUp'!$H$34:$Q$34,'Revenue BuildUp'!$H$35:$Q$35)</f>
        <v>2.0775470644247174E-2</v>
      </c>
      <c r="P30" s="299">
        <f>CHOOSE(Assumption!$C$9,'Revenue BuildUp'!$H$33:$Q$33,'Revenue BuildUp'!$H$34:$Q$34,'Revenue BuildUp'!$H$35:$Q$35)</f>
        <v>2.0775470644247174E-2</v>
      </c>
      <c r="Q30" s="299">
        <f>CHOOSE(Assumption!$C$9,'Revenue BuildUp'!$H$33:$Q$33,'Revenue BuildUp'!$H$34:$Q$34,'Revenue BuildUp'!$H$35:$Q$35)</f>
        <v>2.0775470644247174E-2</v>
      </c>
    </row>
    <row r="31" spans="2:17" x14ac:dyDescent="0.25">
      <c r="B31" s="298" t="s">
        <v>146</v>
      </c>
      <c r="C31" s="300"/>
      <c r="D31" s="299">
        <f>D29/C29-1</f>
        <v>0.125</v>
      </c>
      <c r="E31" s="299">
        <f t="shared" ref="E31:G31" si="30">E29/D29-1</f>
        <v>0.19797979797979792</v>
      </c>
      <c r="F31" s="299">
        <f t="shared" si="30"/>
        <v>5.5649241146711548E-2</v>
      </c>
      <c r="G31" s="299">
        <f t="shared" si="30"/>
        <v>-0.29552715654952078</v>
      </c>
      <c r="H31" s="314"/>
      <c r="I31" s="314"/>
      <c r="J31" s="314"/>
      <c r="K31" s="314"/>
      <c r="L31" s="314"/>
      <c r="M31" s="314"/>
      <c r="N31" s="314"/>
      <c r="O31" s="314"/>
      <c r="P31" s="314"/>
      <c r="Q31" s="314"/>
    </row>
    <row r="32" spans="2:17" x14ac:dyDescent="0.25">
      <c r="B32" s="304" t="s">
        <v>147</v>
      </c>
      <c r="C32" s="300"/>
      <c r="D32" s="299"/>
      <c r="E32" s="299"/>
      <c r="F32" s="299"/>
      <c r="G32" s="299"/>
      <c r="H32" s="314"/>
      <c r="I32" s="314"/>
      <c r="J32" s="314"/>
      <c r="K32" s="314"/>
      <c r="L32" s="314"/>
      <c r="M32" s="314"/>
      <c r="N32" s="314"/>
      <c r="O32" s="314"/>
      <c r="P32" s="314"/>
      <c r="Q32" s="314"/>
    </row>
    <row r="33" spans="2:17" x14ac:dyDescent="0.25">
      <c r="B33" s="301" t="s">
        <v>148</v>
      </c>
      <c r="C33" s="301"/>
      <c r="D33" s="302"/>
      <c r="E33" s="302"/>
      <c r="F33" s="302"/>
      <c r="G33" s="302"/>
      <c r="H33" s="303">
        <f>H34+10%</f>
        <v>0.12077547064424718</v>
      </c>
      <c r="I33" s="303">
        <f>H33</f>
        <v>0.12077547064424718</v>
      </c>
      <c r="J33" s="303">
        <f t="shared" ref="J33:Q33" si="31">I33</f>
        <v>0.12077547064424718</v>
      </c>
      <c r="K33" s="303">
        <f t="shared" si="31"/>
        <v>0.12077547064424718</v>
      </c>
      <c r="L33" s="303">
        <f t="shared" si="31"/>
        <v>0.12077547064424718</v>
      </c>
      <c r="M33" s="303">
        <f t="shared" si="31"/>
        <v>0.12077547064424718</v>
      </c>
      <c r="N33" s="303">
        <f t="shared" si="31"/>
        <v>0.12077547064424718</v>
      </c>
      <c r="O33" s="303">
        <f t="shared" si="31"/>
        <v>0.12077547064424718</v>
      </c>
      <c r="P33" s="303">
        <f t="shared" si="31"/>
        <v>0.12077547064424718</v>
      </c>
      <c r="Q33" s="303">
        <f t="shared" si="31"/>
        <v>0.12077547064424718</v>
      </c>
    </row>
    <row r="34" spans="2:17" x14ac:dyDescent="0.25">
      <c r="B34" s="301" t="s">
        <v>149</v>
      </c>
      <c r="C34" s="301"/>
      <c r="D34" s="302"/>
      <c r="E34" s="302"/>
      <c r="F34" s="302"/>
      <c r="G34" s="302"/>
      <c r="H34" s="303">
        <f>AVERAGE(D31:G31)</f>
        <v>2.0775470644247174E-2</v>
      </c>
      <c r="I34" s="303">
        <f t="shared" ref="I34:Q34" si="32">H34</f>
        <v>2.0775470644247174E-2</v>
      </c>
      <c r="J34" s="303">
        <f t="shared" si="32"/>
        <v>2.0775470644247174E-2</v>
      </c>
      <c r="K34" s="303">
        <f t="shared" si="32"/>
        <v>2.0775470644247174E-2</v>
      </c>
      <c r="L34" s="303">
        <f t="shared" si="32"/>
        <v>2.0775470644247174E-2</v>
      </c>
      <c r="M34" s="303">
        <f t="shared" si="32"/>
        <v>2.0775470644247174E-2</v>
      </c>
      <c r="N34" s="303">
        <f t="shared" si="32"/>
        <v>2.0775470644247174E-2</v>
      </c>
      <c r="O34" s="303">
        <f t="shared" si="32"/>
        <v>2.0775470644247174E-2</v>
      </c>
      <c r="P34" s="303">
        <f t="shared" si="32"/>
        <v>2.0775470644247174E-2</v>
      </c>
      <c r="Q34" s="303">
        <f t="shared" si="32"/>
        <v>2.0775470644247174E-2</v>
      </c>
    </row>
    <row r="35" spans="2:17" x14ac:dyDescent="0.25">
      <c r="B35" s="301" t="s">
        <v>150</v>
      </c>
      <c r="C35" s="301"/>
      <c r="D35" s="302"/>
      <c r="E35" s="302"/>
      <c r="F35" s="302"/>
      <c r="G35" s="302"/>
      <c r="H35" s="303">
        <f>H34-10%</f>
        <v>-7.9224529355752832E-2</v>
      </c>
      <c r="I35" s="303">
        <f t="shared" ref="I35:Q35" si="33">H35</f>
        <v>-7.9224529355752832E-2</v>
      </c>
      <c r="J35" s="303">
        <f t="shared" si="33"/>
        <v>-7.9224529355752832E-2</v>
      </c>
      <c r="K35" s="303">
        <f t="shared" si="33"/>
        <v>-7.9224529355752832E-2</v>
      </c>
      <c r="L35" s="303">
        <f t="shared" si="33"/>
        <v>-7.9224529355752832E-2</v>
      </c>
      <c r="M35" s="303">
        <f t="shared" si="33"/>
        <v>-7.9224529355752832E-2</v>
      </c>
      <c r="N35" s="303">
        <f t="shared" si="33"/>
        <v>-7.9224529355752832E-2</v>
      </c>
      <c r="O35" s="303">
        <f t="shared" si="33"/>
        <v>-7.9224529355752832E-2</v>
      </c>
      <c r="P35" s="303">
        <f t="shared" si="33"/>
        <v>-7.9224529355752832E-2</v>
      </c>
      <c r="Q35" s="303">
        <f t="shared" si="33"/>
        <v>-7.9224529355752832E-2</v>
      </c>
    </row>
    <row r="36" spans="2:17" x14ac:dyDescent="0.25">
      <c r="B36" s="20" t="s">
        <v>138</v>
      </c>
      <c r="C36" s="20">
        <v>429</v>
      </c>
      <c r="D36" s="20">
        <v>545</v>
      </c>
      <c r="E36" s="20">
        <v>661</v>
      </c>
      <c r="F36" s="20">
        <v>792</v>
      </c>
      <c r="G36" s="20">
        <v>1215</v>
      </c>
      <c r="H36" s="32">
        <f>G36*(1+H37)</f>
        <v>1584.2129196996809</v>
      </c>
      <c r="I36" s="32">
        <f t="shared" ref="I36" si="34">H36*(1+I37)</f>
        <v>2065.621872381389</v>
      </c>
      <c r="J36" s="32">
        <f t="shared" ref="J36" si="35">I36*(1+J37)</f>
        <v>2693.3208703216806</v>
      </c>
      <c r="K36" s="32">
        <f t="shared" ref="K36" si="36">J36*(1+K37)</f>
        <v>3511.764378321313</v>
      </c>
      <c r="L36" s="32">
        <f t="shared" ref="L36" si="37">K36*(1+L37)</f>
        <v>4578.9156371010222</v>
      </c>
      <c r="M36" s="32">
        <f t="shared" ref="M36" si="38">L36*(1+M37)</f>
        <v>5970.3516958932796</v>
      </c>
      <c r="N36" s="32">
        <f t="shared" ref="N36" si="39">M36*(1+N37)</f>
        <v>7784.6158780123733</v>
      </c>
      <c r="O36" s="32">
        <f t="shared" ref="O36" si="40">N36*(1+O37)</f>
        <v>10150.196748021792</v>
      </c>
      <c r="P36" s="32">
        <f t="shared" ref="P36" si="41">O36*(1+P37)</f>
        <v>13234.627840090378</v>
      </c>
      <c r="Q36" s="32">
        <f t="shared" ref="Q36" si="42">P36*(1+Q37)</f>
        <v>17256.352602212559</v>
      </c>
    </row>
    <row r="37" spans="2:17" x14ac:dyDescent="0.25">
      <c r="B37" s="298" t="s">
        <v>151</v>
      </c>
      <c r="C37" s="299"/>
      <c r="D37" s="299"/>
      <c r="E37" s="299"/>
      <c r="F37" s="299"/>
      <c r="G37" s="299"/>
      <c r="H37" s="299">
        <f>CHOOSE(Assumption!$C$9,'Revenue BuildUp'!$H$40:$Q$40,'Revenue BuildUp'!$H$41:$Q$41,'Revenue BuildUp'!$H$42:$Q$42)</f>
        <v>0.30387894625488138</v>
      </c>
      <c r="I37" s="299">
        <f>CHOOSE(Assumption!$C$9,'Revenue BuildUp'!$H$40:$Q$40,'Revenue BuildUp'!$H$41:$Q$41,'Revenue BuildUp'!$H$42:$Q$42)</f>
        <v>0.30387894625488138</v>
      </c>
      <c r="J37" s="299">
        <f>CHOOSE(Assumption!$C$9,'Revenue BuildUp'!$H$40:$Q$40,'Revenue BuildUp'!$H$41:$Q$41,'Revenue BuildUp'!$H$42:$Q$42)</f>
        <v>0.30387894625488138</v>
      </c>
      <c r="K37" s="299">
        <f>CHOOSE(Assumption!$C$9,'Revenue BuildUp'!$H$40:$Q$40,'Revenue BuildUp'!$H$41:$Q$41,'Revenue BuildUp'!$H$42:$Q$42)</f>
        <v>0.30387894625488138</v>
      </c>
      <c r="L37" s="299">
        <f>CHOOSE(Assumption!$C$9,'Revenue BuildUp'!$H$40:$Q$40,'Revenue BuildUp'!$H$41:$Q$41,'Revenue BuildUp'!$H$42:$Q$42)</f>
        <v>0.30387894625488138</v>
      </c>
      <c r="M37" s="299">
        <f>CHOOSE(Assumption!$C$9,'Revenue BuildUp'!$H$40:$Q$40,'Revenue BuildUp'!$H$41:$Q$41,'Revenue BuildUp'!$H$42:$Q$42)</f>
        <v>0.30387894625488138</v>
      </c>
      <c r="N37" s="299">
        <f>CHOOSE(Assumption!$C$9,'Revenue BuildUp'!$H$40:$Q$40,'Revenue BuildUp'!$H$41:$Q$41,'Revenue BuildUp'!$H$42:$Q$42)</f>
        <v>0.30387894625488138</v>
      </c>
      <c r="O37" s="299">
        <f>CHOOSE(Assumption!$C$9,'Revenue BuildUp'!$H$40:$Q$40,'Revenue BuildUp'!$H$41:$Q$41,'Revenue BuildUp'!$H$42:$Q$42)</f>
        <v>0.30387894625488138</v>
      </c>
      <c r="P37" s="299">
        <f>CHOOSE(Assumption!$C$9,'Revenue BuildUp'!$H$40:$Q$40,'Revenue BuildUp'!$H$41:$Q$41,'Revenue BuildUp'!$H$42:$Q$42)</f>
        <v>0.30387894625488138</v>
      </c>
      <c r="Q37" s="299">
        <f>CHOOSE(Assumption!$C$9,'Revenue BuildUp'!$H$40:$Q$40,'Revenue BuildUp'!$H$41:$Q$41,'Revenue BuildUp'!$H$42:$Q$42)</f>
        <v>0.30387894625488138</v>
      </c>
    </row>
    <row r="38" spans="2:17" x14ac:dyDescent="0.25">
      <c r="B38" s="298" t="s">
        <v>146</v>
      </c>
      <c r="C38" s="300"/>
      <c r="D38" s="299">
        <f>D36/C36-1</f>
        <v>0.27039627039627034</v>
      </c>
      <c r="E38" s="299">
        <f t="shared" ref="E38:G38" si="43">E36/D36-1</f>
        <v>0.21284403669724772</v>
      </c>
      <c r="F38" s="299">
        <f t="shared" si="43"/>
        <v>0.19818456883509827</v>
      </c>
      <c r="G38" s="299">
        <f t="shared" si="43"/>
        <v>0.53409090909090917</v>
      </c>
      <c r="H38" s="314"/>
      <c r="I38" s="314"/>
      <c r="J38" s="314"/>
      <c r="K38" s="314"/>
      <c r="L38" s="314"/>
      <c r="M38" s="314"/>
      <c r="N38" s="314"/>
      <c r="O38" s="314"/>
      <c r="P38" s="314"/>
      <c r="Q38" s="314"/>
    </row>
    <row r="39" spans="2:17" x14ac:dyDescent="0.25">
      <c r="B39" s="304" t="s">
        <v>147</v>
      </c>
      <c r="C39" s="300"/>
      <c r="D39" s="299"/>
      <c r="E39" s="299"/>
      <c r="F39" s="299"/>
      <c r="G39" s="299"/>
      <c r="H39" s="314"/>
      <c r="I39" s="314"/>
      <c r="J39" s="314"/>
      <c r="K39" s="314"/>
      <c r="L39" s="314"/>
      <c r="M39" s="314"/>
      <c r="N39" s="314"/>
      <c r="O39" s="314"/>
      <c r="P39" s="314"/>
      <c r="Q39" s="314"/>
    </row>
    <row r="40" spans="2:17" x14ac:dyDescent="0.25">
      <c r="B40" s="301" t="s">
        <v>148</v>
      </c>
      <c r="C40" s="301"/>
      <c r="D40" s="302"/>
      <c r="E40" s="302"/>
      <c r="F40" s="302"/>
      <c r="G40" s="302"/>
      <c r="H40" s="303">
        <f>H41+10%</f>
        <v>0.40387894625488141</v>
      </c>
      <c r="I40" s="303">
        <f>H40</f>
        <v>0.40387894625488141</v>
      </c>
      <c r="J40" s="303">
        <f t="shared" ref="J40:Q40" si="44">I40</f>
        <v>0.40387894625488141</v>
      </c>
      <c r="K40" s="303">
        <f t="shared" si="44"/>
        <v>0.40387894625488141</v>
      </c>
      <c r="L40" s="303">
        <f t="shared" si="44"/>
        <v>0.40387894625488141</v>
      </c>
      <c r="M40" s="303">
        <f t="shared" si="44"/>
        <v>0.40387894625488141</v>
      </c>
      <c r="N40" s="303">
        <f t="shared" si="44"/>
        <v>0.40387894625488141</v>
      </c>
      <c r="O40" s="303">
        <f t="shared" si="44"/>
        <v>0.40387894625488141</v>
      </c>
      <c r="P40" s="303">
        <f t="shared" si="44"/>
        <v>0.40387894625488141</v>
      </c>
      <c r="Q40" s="303">
        <f t="shared" si="44"/>
        <v>0.40387894625488141</v>
      </c>
    </row>
    <row r="41" spans="2:17" x14ac:dyDescent="0.25">
      <c r="B41" s="301" t="s">
        <v>149</v>
      </c>
      <c r="C41" s="301"/>
      <c r="D41" s="302"/>
      <c r="E41" s="302"/>
      <c r="F41" s="302"/>
      <c r="G41" s="302"/>
      <c r="H41" s="303">
        <f>AVERAGE(D38:G38)</f>
        <v>0.30387894625488138</v>
      </c>
      <c r="I41" s="303">
        <f t="shared" ref="I41:Q41" si="45">H41</f>
        <v>0.30387894625488138</v>
      </c>
      <c r="J41" s="303">
        <f t="shared" si="45"/>
        <v>0.30387894625488138</v>
      </c>
      <c r="K41" s="303">
        <f t="shared" si="45"/>
        <v>0.30387894625488138</v>
      </c>
      <c r="L41" s="303">
        <f t="shared" si="45"/>
        <v>0.30387894625488138</v>
      </c>
      <c r="M41" s="303">
        <f t="shared" si="45"/>
        <v>0.30387894625488138</v>
      </c>
      <c r="N41" s="303">
        <f t="shared" si="45"/>
        <v>0.30387894625488138</v>
      </c>
      <c r="O41" s="303">
        <f t="shared" si="45"/>
        <v>0.30387894625488138</v>
      </c>
      <c r="P41" s="303">
        <f t="shared" si="45"/>
        <v>0.30387894625488138</v>
      </c>
      <c r="Q41" s="303">
        <f t="shared" si="45"/>
        <v>0.30387894625488138</v>
      </c>
    </row>
    <row r="42" spans="2:17" x14ac:dyDescent="0.25">
      <c r="B42" s="306" t="s">
        <v>150</v>
      </c>
      <c r="C42" s="306"/>
      <c r="D42" s="307"/>
      <c r="E42" s="307"/>
      <c r="F42" s="307"/>
      <c r="G42" s="307"/>
      <c r="H42" s="308">
        <f>H41-10%</f>
        <v>0.20387894625488137</v>
      </c>
      <c r="I42" s="308">
        <f t="shared" ref="I42:Q42" si="46">H42</f>
        <v>0.20387894625488137</v>
      </c>
      <c r="J42" s="308">
        <f t="shared" si="46"/>
        <v>0.20387894625488137</v>
      </c>
      <c r="K42" s="308">
        <f t="shared" si="46"/>
        <v>0.20387894625488137</v>
      </c>
      <c r="L42" s="308">
        <f t="shared" si="46"/>
        <v>0.20387894625488137</v>
      </c>
      <c r="M42" s="308">
        <f t="shared" si="46"/>
        <v>0.20387894625488137</v>
      </c>
      <c r="N42" s="308">
        <f t="shared" si="46"/>
        <v>0.20387894625488137</v>
      </c>
      <c r="O42" s="308">
        <f t="shared" si="46"/>
        <v>0.20387894625488137</v>
      </c>
      <c r="P42" s="308">
        <f t="shared" si="46"/>
        <v>0.20387894625488137</v>
      </c>
      <c r="Q42" s="308">
        <f t="shared" si="46"/>
        <v>0.20387894625488137</v>
      </c>
    </row>
    <row r="43" spans="2:17" ht="15.75" thickBot="1" x14ac:dyDescent="0.3">
      <c r="B43" s="33" t="s">
        <v>143</v>
      </c>
      <c r="C43" s="33">
        <f>SUM(C36,C29,C22,C15)</f>
        <v>8048</v>
      </c>
      <c r="D43" s="33">
        <f t="shared" ref="D43:Q43" si="47">SUM(D36,D29,D22,D15)</f>
        <v>9512</v>
      </c>
      <c r="E43" s="33">
        <f t="shared" si="47"/>
        <v>9764</v>
      </c>
      <c r="F43" s="33">
        <f t="shared" si="47"/>
        <v>9653</v>
      </c>
      <c r="G43" s="33">
        <f t="shared" si="47"/>
        <v>10831</v>
      </c>
      <c r="H43" s="34">
        <f t="shared" si="47"/>
        <v>11829.457858113532</v>
      </c>
      <c r="I43" s="34">
        <f t="shared" si="47"/>
        <v>12984.788155193986</v>
      </c>
      <c r="J43" s="34">
        <f t="shared" si="47"/>
        <v>14334.340305272006</v>
      </c>
      <c r="K43" s="34">
        <f t="shared" si="47"/>
        <v>15926.063214420681</v>
      </c>
      <c r="L43" s="34">
        <f t="shared" si="47"/>
        <v>17821.671195653013</v>
      </c>
      <c r="M43" s="34">
        <f t="shared" si="47"/>
        <v>20100.767888448714</v>
      </c>
      <c r="N43" s="34">
        <f t="shared" si="47"/>
        <v>22866.219002105689</v>
      </c>
      <c r="O43" s="34">
        <f t="shared" si="47"/>
        <v>26251.153053976024</v>
      </c>
      <c r="P43" s="34">
        <f t="shared" si="47"/>
        <v>30428.084472164293</v>
      </c>
      <c r="Q43" s="34">
        <f t="shared" si="47"/>
        <v>35620.803635451201</v>
      </c>
    </row>
    <row r="44" spans="2:17" x14ac:dyDescent="0.25"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</row>
    <row r="45" spans="2:17" x14ac:dyDescent="0.25"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</row>
    <row r="46" spans="2:17" x14ac:dyDescent="0.25">
      <c r="B46" s="20" t="s">
        <v>139</v>
      </c>
      <c r="C46" s="20">
        <v>2021</v>
      </c>
      <c r="D46" s="20">
        <v>2022</v>
      </c>
      <c r="E46" s="20">
        <v>2023</v>
      </c>
      <c r="F46" s="20">
        <v>2024</v>
      </c>
      <c r="G46" s="20">
        <v>2025</v>
      </c>
      <c r="H46" s="20">
        <f>G46+1</f>
        <v>2026</v>
      </c>
      <c r="I46" s="20">
        <f t="shared" ref="I46:Q46" si="48">H46+1</f>
        <v>2027</v>
      </c>
      <c r="J46" s="20">
        <f t="shared" si="48"/>
        <v>2028</v>
      </c>
      <c r="K46" s="20">
        <f t="shared" si="48"/>
        <v>2029</v>
      </c>
      <c r="L46" s="20">
        <f t="shared" si="48"/>
        <v>2030</v>
      </c>
      <c r="M46" s="20">
        <f t="shared" si="48"/>
        <v>2031</v>
      </c>
      <c r="N46" s="20">
        <f t="shared" si="48"/>
        <v>2032</v>
      </c>
      <c r="O46" s="20">
        <f t="shared" si="48"/>
        <v>2033</v>
      </c>
      <c r="P46" s="20">
        <f t="shared" si="48"/>
        <v>2034</v>
      </c>
      <c r="Q46" s="20">
        <f t="shared" si="48"/>
        <v>2035</v>
      </c>
    </row>
    <row r="47" spans="2:17" x14ac:dyDescent="0.25">
      <c r="B47" s="19" t="s">
        <v>140</v>
      </c>
      <c r="C47" s="316">
        <v>5082</v>
      </c>
      <c r="D47" s="316">
        <v>5593</v>
      </c>
      <c r="E47" s="316">
        <v>5356</v>
      </c>
      <c r="F47" s="316">
        <v>4919</v>
      </c>
      <c r="G47" s="316">
        <v>5494</v>
      </c>
      <c r="H47" s="223">
        <f>H48*H11</f>
        <v>6588.6087860922798</v>
      </c>
      <c r="I47" s="223">
        <f t="shared" ref="I47:Q47" si="49">I48*I11</f>
        <v>7232.0887694933772</v>
      </c>
      <c r="J47" s="223">
        <f t="shared" si="49"/>
        <v>7983.7437700811843</v>
      </c>
      <c r="K47" s="223">
        <f t="shared" si="49"/>
        <v>8870.2797102763125</v>
      </c>
      <c r="L47" s="223">
        <f t="shared" si="49"/>
        <v>9926.0693795862881</v>
      </c>
      <c r="M47" s="223">
        <f t="shared" si="49"/>
        <v>11195.449318600862</v>
      </c>
      <c r="N47" s="223">
        <f t="shared" si="49"/>
        <v>12735.712255710194</v>
      </c>
      <c r="O47" s="223">
        <f t="shared" si="49"/>
        <v>14621.006282029366</v>
      </c>
      <c r="P47" s="223">
        <f t="shared" si="49"/>
        <v>16947.416111699178</v>
      </c>
      <c r="Q47" s="223">
        <f t="shared" si="49"/>
        <v>19839.585432838114</v>
      </c>
    </row>
    <row r="48" spans="2:17" x14ac:dyDescent="0.25">
      <c r="B48" s="300" t="s">
        <v>145</v>
      </c>
      <c r="C48" s="299">
        <f>C47/C$11</f>
        <v>0.63146123260437381</v>
      </c>
      <c r="D48" s="299">
        <f t="shared" ref="D48:G48" si="50">D47/D$11</f>
        <v>0.58799411269974766</v>
      </c>
      <c r="E48" s="299">
        <f t="shared" si="50"/>
        <v>0.54854567800081933</v>
      </c>
      <c r="F48" s="299">
        <f t="shared" si="50"/>
        <v>0.50958251320832904</v>
      </c>
      <c r="G48" s="299">
        <f t="shared" si="50"/>
        <v>0.50724771489243836</v>
      </c>
      <c r="H48" s="309">
        <f>AVERAGE(C48:G48)</f>
        <v>0.55696625028114166</v>
      </c>
      <c r="I48" s="309">
        <f>H48</f>
        <v>0.55696625028114166</v>
      </c>
      <c r="J48" s="309">
        <f t="shared" ref="J48:Q48" si="51">I48</f>
        <v>0.55696625028114166</v>
      </c>
      <c r="K48" s="309">
        <f t="shared" si="51"/>
        <v>0.55696625028114166</v>
      </c>
      <c r="L48" s="309">
        <f t="shared" si="51"/>
        <v>0.55696625028114166</v>
      </c>
      <c r="M48" s="309">
        <f t="shared" si="51"/>
        <v>0.55696625028114166</v>
      </c>
      <c r="N48" s="309">
        <f t="shared" si="51"/>
        <v>0.55696625028114166</v>
      </c>
      <c r="O48" s="309">
        <f t="shared" si="51"/>
        <v>0.55696625028114166</v>
      </c>
      <c r="P48" s="309">
        <f t="shared" si="51"/>
        <v>0.55696625028114166</v>
      </c>
      <c r="Q48" s="309">
        <f t="shared" si="51"/>
        <v>0.55696625028114166</v>
      </c>
    </row>
    <row r="49" spans="2:17" x14ac:dyDescent="0.25">
      <c r="B49" s="19"/>
      <c r="C49" s="21"/>
      <c r="D49" s="21"/>
      <c r="E49" s="21"/>
      <c r="F49" s="21"/>
      <c r="G49" s="21"/>
      <c r="H49" s="19"/>
      <c r="I49" s="19"/>
      <c r="J49" s="19"/>
      <c r="K49" s="19"/>
      <c r="L49" s="19"/>
      <c r="M49" s="19"/>
      <c r="N49" s="19"/>
      <c r="O49" s="19"/>
      <c r="P49" s="19"/>
      <c r="Q49" s="19"/>
    </row>
    <row r="50" spans="2:17" x14ac:dyDescent="0.25">
      <c r="B50" s="19" t="s">
        <v>141</v>
      </c>
      <c r="C50" s="316">
        <v>1789</v>
      </c>
      <c r="D50" s="316">
        <v>2003</v>
      </c>
      <c r="E50" s="316">
        <v>2111</v>
      </c>
      <c r="F50" s="316">
        <v>2043</v>
      </c>
      <c r="G50" s="316">
        <v>2115</v>
      </c>
      <c r="H50" s="223">
        <f>H51*H11</f>
        <v>2498.349842628254</v>
      </c>
      <c r="I50" s="223">
        <f t="shared" ref="I50:Q50" si="52">I51*I11</f>
        <v>2742.3525095733739</v>
      </c>
      <c r="J50" s="223">
        <f t="shared" si="52"/>
        <v>3027.3743121113075</v>
      </c>
      <c r="K50" s="223">
        <f t="shared" si="52"/>
        <v>3363.5419308878409</v>
      </c>
      <c r="L50" s="223">
        <f t="shared" si="52"/>
        <v>3763.8892636566397</v>
      </c>
      <c r="M50" s="223">
        <f t="shared" si="52"/>
        <v>4245.2283860472189</v>
      </c>
      <c r="N50" s="223">
        <f t="shared" si="52"/>
        <v>4829.2842605826936</v>
      </c>
      <c r="O50" s="223">
        <f t="shared" si="52"/>
        <v>5544.1732738604233</v>
      </c>
      <c r="P50" s="223">
        <f t="shared" si="52"/>
        <v>6426.330011427417</v>
      </c>
      <c r="Q50" s="223">
        <f t="shared" si="52"/>
        <v>7523.0184023930724</v>
      </c>
    </row>
    <row r="51" spans="2:17" x14ac:dyDescent="0.25">
      <c r="B51" s="300" t="s">
        <v>145</v>
      </c>
      <c r="C51" s="299">
        <f>C50/C$11</f>
        <v>0.22229125248508946</v>
      </c>
      <c r="D51" s="299">
        <f t="shared" ref="D51" si="53">D50/D$11</f>
        <v>0.21057611438183346</v>
      </c>
      <c r="E51" s="299">
        <f t="shared" ref="E51" si="54">E50/E$11</f>
        <v>0.21620237607537895</v>
      </c>
      <c r="F51" s="299">
        <f t="shared" ref="F51" si="55">F50/F$11</f>
        <v>0.21164404848233709</v>
      </c>
      <c r="G51" s="299">
        <f t="shared" ref="G51" si="56">G50/G$11</f>
        <v>0.19527282799372173</v>
      </c>
      <c r="H51" s="309">
        <f>AVERAGE(C51:G51)</f>
        <v>0.21119732388367213</v>
      </c>
      <c r="I51" s="309">
        <f>H51</f>
        <v>0.21119732388367213</v>
      </c>
      <c r="J51" s="309">
        <f t="shared" ref="J51:Q51" si="57">I51</f>
        <v>0.21119732388367213</v>
      </c>
      <c r="K51" s="309">
        <f t="shared" si="57"/>
        <v>0.21119732388367213</v>
      </c>
      <c r="L51" s="309">
        <f t="shared" si="57"/>
        <v>0.21119732388367213</v>
      </c>
      <c r="M51" s="309">
        <f t="shared" si="57"/>
        <v>0.21119732388367213</v>
      </c>
      <c r="N51" s="309">
        <f t="shared" si="57"/>
        <v>0.21119732388367213</v>
      </c>
      <c r="O51" s="309">
        <f t="shared" si="57"/>
        <v>0.21119732388367213</v>
      </c>
      <c r="P51" s="309">
        <f t="shared" si="57"/>
        <v>0.21119732388367213</v>
      </c>
      <c r="Q51" s="309">
        <f t="shared" si="57"/>
        <v>0.21119732388367213</v>
      </c>
    </row>
    <row r="52" spans="2:17" x14ac:dyDescent="0.25">
      <c r="B52" s="19"/>
      <c r="C52" s="21"/>
      <c r="D52" s="21"/>
      <c r="E52" s="21"/>
      <c r="F52" s="21"/>
      <c r="G52" s="21"/>
      <c r="H52" s="19"/>
      <c r="I52" s="19"/>
      <c r="J52" s="19"/>
      <c r="K52" s="19"/>
      <c r="L52" s="19"/>
      <c r="M52" s="19"/>
      <c r="N52" s="19"/>
      <c r="O52" s="19"/>
      <c r="P52" s="19"/>
      <c r="Q52" s="19"/>
    </row>
    <row r="53" spans="2:17" x14ac:dyDescent="0.25">
      <c r="B53" s="19" t="s">
        <v>142</v>
      </c>
      <c r="C53" s="19">
        <v>773</v>
      </c>
      <c r="D53" s="316">
        <v>1031</v>
      </c>
      <c r="E53" s="316">
        <v>1254</v>
      </c>
      <c r="F53" s="316">
        <v>1593</v>
      </c>
      <c r="G53" s="316">
        <v>1886</v>
      </c>
      <c r="H53" s="223">
        <f>H54*H11</f>
        <v>1589.9390186433504</v>
      </c>
      <c r="I53" s="223">
        <f t="shared" ref="I53:Q53" si="58">I54*I11</f>
        <v>1745.2212590284532</v>
      </c>
      <c r="J53" s="223">
        <f t="shared" si="58"/>
        <v>1926.6078996369561</v>
      </c>
      <c r="K53" s="223">
        <f t="shared" si="58"/>
        <v>2140.5435161697296</v>
      </c>
      <c r="L53" s="223">
        <f t="shared" si="58"/>
        <v>2395.3228247029501</v>
      </c>
      <c r="M53" s="223">
        <f t="shared" si="58"/>
        <v>2701.6449573484078</v>
      </c>
      <c r="N53" s="223">
        <f t="shared" si="58"/>
        <v>3073.3355861575892</v>
      </c>
      <c r="O53" s="223">
        <f t="shared" si="58"/>
        <v>3528.2878577793954</v>
      </c>
      <c r="P53" s="223">
        <f t="shared" si="58"/>
        <v>4089.6885846453265</v>
      </c>
      <c r="Q53" s="223">
        <f t="shared" si="58"/>
        <v>4787.6163265244058</v>
      </c>
    </row>
    <row r="54" spans="2:17" x14ac:dyDescent="0.25">
      <c r="B54" s="300" t="s">
        <v>145</v>
      </c>
      <c r="C54" s="299">
        <f>C53/C$11</f>
        <v>9.6048707753479123E-2</v>
      </c>
      <c r="D54" s="299">
        <f t="shared" ref="D54" si="59">D53/D$11</f>
        <v>0.10838940285954583</v>
      </c>
      <c r="E54" s="299">
        <f t="shared" ref="E54" si="60">E53/E$11</f>
        <v>0.12843097091356001</v>
      </c>
      <c r="F54" s="299">
        <f t="shared" ref="F54" si="61">F53/F$11</f>
        <v>0.16502641665803378</v>
      </c>
      <c r="G54" s="299">
        <f t="shared" ref="G54" si="62">G53/G$11</f>
        <v>0.17412981257501617</v>
      </c>
      <c r="H54" s="309">
        <f>AVERAGE(C54:G54)</f>
        <v>0.13440506215192699</v>
      </c>
      <c r="I54" s="309">
        <f>H54</f>
        <v>0.13440506215192699</v>
      </c>
      <c r="J54" s="309">
        <f t="shared" ref="J54:Q54" si="63">I54</f>
        <v>0.13440506215192699</v>
      </c>
      <c r="K54" s="309">
        <f t="shared" si="63"/>
        <v>0.13440506215192699</v>
      </c>
      <c r="L54" s="309">
        <f t="shared" si="63"/>
        <v>0.13440506215192699</v>
      </c>
      <c r="M54" s="309">
        <f t="shared" si="63"/>
        <v>0.13440506215192699</v>
      </c>
      <c r="N54" s="309">
        <f t="shared" si="63"/>
        <v>0.13440506215192699</v>
      </c>
      <c r="O54" s="309">
        <f t="shared" si="63"/>
        <v>0.13440506215192699</v>
      </c>
      <c r="P54" s="309">
        <f t="shared" si="63"/>
        <v>0.13440506215192699</v>
      </c>
      <c r="Q54" s="309">
        <f t="shared" si="63"/>
        <v>0.13440506215192699</v>
      </c>
    </row>
    <row r="55" spans="2:17" x14ac:dyDescent="0.25">
      <c r="B55" s="19"/>
      <c r="C55" s="21"/>
      <c r="D55" s="21"/>
      <c r="E55" s="21"/>
      <c r="F55" s="21"/>
      <c r="G55" s="21"/>
      <c r="H55" s="19"/>
      <c r="I55" s="19"/>
      <c r="J55" s="19"/>
      <c r="K55" s="19"/>
      <c r="L55" s="19"/>
      <c r="M55" s="19"/>
      <c r="N55" s="19"/>
      <c r="O55" s="19"/>
      <c r="P55" s="19"/>
      <c r="Q55" s="19"/>
    </row>
    <row r="56" spans="2:17" x14ac:dyDescent="0.25">
      <c r="B56" s="19" t="s">
        <v>138</v>
      </c>
      <c r="C56" s="19">
        <v>404</v>
      </c>
      <c r="D56" s="19">
        <v>885</v>
      </c>
      <c r="E56" s="316">
        <v>1043</v>
      </c>
      <c r="F56" s="316">
        <v>1098</v>
      </c>
      <c r="G56" s="316">
        <v>1336</v>
      </c>
      <c r="H56" s="223">
        <f>H57*H11</f>
        <v>1152.5602107496486</v>
      </c>
      <c r="I56" s="223">
        <f t="shared" ref="I56:Q56" si="64">I57*I11</f>
        <v>1265.1256170987822</v>
      </c>
      <c r="J56" s="223">
        <f t="shared" si="64"/>
        <v>1396.6143234425581</v>
      </c>
      <c r="K56" s="223">
        <f t="shared" si="64"/>
        <v>1551.6980570867981</v>
      </c>
      <c r="L56" s="223">
        <f t="shared" si="64"/>
        <v>1736.3897277071344</v>
      </c>
      <c r="M56" s="223">
        <f t="shared" si="64"/>
        <v>1958.4452264522258</v>
      </c>
      <c r="N56" s="223">
        <f t="shared" si="64"/>
        <v>2227.8868996552128</v>
      </c>
      <c r="O56" s="223">
        <f t="shared" si="64"/>
        <v>2557.6856403068396</v>
      </c>
      <c r="P56" s="223">
        <f t="shared" si="64"/>
        <v>2964.6497643923726</v>
      </c>
      <c r="Q56" s="223">
        <f t="shared" si="64"/>
        <v>3470.583473695609</v>
      </c>
    </row>
    <row r="57" spans="2:17" x14ac:dyDescent="0.25">
      <c r="B57" s="300" t="s">
        <v>145</v>
      </c>
      <c r="C57" s="299">
        <f>C56/C$11</f>
        <v>5.0198807157057657E-2</v>
      </c>
      <c r="D57" s="299">
        <f t="shared" ref="D57" si="65">D56/D$11</f>
        <v>9.3040370058873001E-2</v>
      </c>
      <c r="E57" s="299">
        <f t="shared" ref="E57" si="66">E56/E$11</f>
        <v>0.10682097501024171</v>
      </c>
      <c r="F57" s="299">
        <f t="shared" ref="F57" si="67">F56/F$11</f>
        <v>0.11374702165130011</v>
      </c>
      <c r="G57" s="299">
        <f t="shared" ref="G57" si="68">G56/G$11</f>
        <v>0.12334964453882374</v>
      </c>
      <c r="H57" s="309">
        <f>AVERAGE(C57:G57)</f>
        <v>9.7431363683259248E-2</v>
      </c>
      <c r="I57" s="309">
        <f>H57</f>
        <v>9.7431363683259248E-2</v>
      </c>
      <c r="J57" s="309">
        <f t="shared" ref="J57:Q57" si="69">I57</f>
        <v>9.7431363683259248E-2</v>
      </c>
      <c r="K57" s="309">
        <f t="shared" si="69"/>
        <v>9.7431363683259248E-2</v>
      </c>
      <c r="L57" s="309">
        <f t="shared" si="69"/>
        <v>9.7431363683259248E-2</v>
      </c>
      <c r="M57" s="309">
        <f t="shared" si="69"/>
        <v>9.7431363683259248E-2</v>
      </c>
      <c r="N57" s="309">
        <f t="shared" si="69"/>
        <v>9.7431363683259248E-2</v>
      </c>
      <c r="O57" s="309">
        <f t="shared" si="69"/>
        <v>9.7431363683259248E-2</v>
      </c>
      <c r="P57" s="309">
        <f t="shared" si="69"/>
        <v>9.7431363683259248E-2</v>
      </c>
      <c r="Q57" s="309">
        <f t="shared" si="69"/>
        <v>9.7431363683259248E-2</v>
      </c>
    </row>
    <row r="58" spans="2:17" x14ac:dyDescent="0.25">
      <c r="B58" s="19"/>
      <c r="C58" s="21"/>
      <c r="D58" s="21"/>
      <c r="E58" s="21"/>
      <c r="F58" s="21"/>
      <c r="G58" s="21"/>
      <c r="H58" s="19"/>
      <c r="I58" s="19"/>
      <c r="J58" s="19"/>
      <c r="K58" s="19"/>
      <c r="L58" s="19"/>
      <c r="M58" s="19"/>
      <c r="N58" s="19"/>
      <c r="O58" s="19"/>
      <c r="P58" s="19"/>
      <c r="Q58" s="19"/>
    </row>
    <row r="59" spans="2:17" x14ac:dyDescent="0.25">
      <c r="B59" s="27" t="s">
        <v>143</v>
      </c>
      <c r="C59" s="28">
        <f>SUM(C56,C53,C50,C47)</f>
        <v>8048</v>
      </c>
      <c r="D59" s="28">
        <f>SUM(D56,D53,D50,D47)</f>
        <v>9512</v>
      </c>
      <c r="E59" s="28">
        <f>SUM(E56,E53,E50,E47)</f>
        <v>9764</v>
      </c>
      <c r="F59" s="28">
        <f>SUM(F56,F53,F50,F47)</f>
        <v>9653</v>
      </c>
      <c r="G59" s="28">
        <f>SUM(G56,G53,G50,G47)</f>
        <v>10831</v>
      </c>
      <c r="H59" s="28">
        <f t="shared" ref="H59:Q59" si="70">SUM(H56,H53,H50,H47)</f>
        <v>11829.457858113532</v>
      </c>
      <c r="I59" s="28">
        <f t="shared" si="70"/>
        <v>12984.788155193986</v>
      </c>
      <c r="J59" s="28">
        <f t="shared" si="70"/>
        <v>14334.340305272006</v>
      </c>
      <c r="K59" s="28">
        <f t="shared" si="70"/>
        <v>15926.063214420681</v>
      </c>
      <c r="L59" s="28">
        <f t="shared" si="70"/>
        <v>17821.671195653013</v>
      </c>
      <c r="M59" s="28">
        <f t="shared" si="70"/>
        <v>20100.767888448714</v>
      </c>
      <c r="N59" s="28">
        <f t="shared" si="70"/>
        <v>22866.219002105689</v>
      </c>
      <c r="O59" s="28">
        <f t="shared" si="70"/>
        <v>26251.153053976024</v>
      </c>
      <c r="P59" s="28">
        <f t="shared" si="70"/>
        <v>30428.084472164293</v>
      </c>
      <c r="Q59" s="28">
        <f t="shared" si="70"/>
        <v>35620.803635451201</v>
      </c>
    </row>
    <row r="60" spans="2:17" x14ac:dyDescent="0.25"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</row>
    <row r="61" spans="2:17" x14ac:dyDescent="0.25"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</row>
    <row r="62" spans="2:17" x14ac:dyDescent="0.25"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</row>
    <row r="63" spans="2:17" x14ac:dyDescent="0.25">
      <c r="B63" s="317" t="s">
        <v>3</v>
      </c>
      <c r="C63" s="317">
        <f>'Income Statement'!C11</f>
        <v>94</v>
      </c>
      <c r="D63" s="317">
        <f>'Income Statement'!D11</f>
        <v>98</v>
      </c>
      <c r="E63" s="317">
        <f>'Income Statement'!E11</f>
        <v>144</v>
      </c>
      <c r="F63" s="317">
        <f>'Income Statement'!F11</f>
        <v>142</v>
      </c>
      <c r="G63" s="317">
        <f>'Income Statement'!G11</f>
        <v>208</v>
      </c>
      <c r="H63" s="318">
        <f>H64*H11</f>
        <v>167.13921206576984</v>
      </c>
      <c r="I63" s="318">
        <f t="shared" ref="I63:Q63" si="71">I64*I11</f>
        <v>183.46295215985165</v>
      </c>
      <c r="J63" s="318">
        <f t="shared" si="71"/>
        <v>202.53086598237715</v>
      </c>
      <c r="K63" s="318">
        <f t="shared" si="71"/>
        <v>225.02042687799121</v>
      </c>
      <c r="L63" s="318">
        <f t="shared" si="71"/>
        <v>251.80360055923057</v>
      </c>
      <c r="M63" s="318">
        <f t="shared" si="71"/>
        <v>284.00511224510274</v>
      </c>
      <c r="N63" s="318">
        <f t="shared" si="71"/>
        <v>323.07835851614891</v>
      </c>
      <c r="O63" s="318">
        <f t="shared" si="71"/>
        <v>370.90432121960151</v>
      </c>
      <c r="P63" s="318">
        <f t="shared" si="71"/>
        <v>429.92046840591712</v>
      </c>
      <c r="Q63" s="318">
        <f t="shared" si="71"/>
        <v>503.28874950895357</v>
      </c>
    </row>
    <row r="64" spans="2:17" x14ac:dyDescent="0.25">
      <c r="B64" s="300" t="s">
        <v>145</v>
      </c>
      <c r="C64" s="299">
        <f>C63/C11</f>
        <v>1.1679920477137177E-2</v>
      </c>
      <c r="D64" s="299">
        <f t="shared" ref="D64:G64" si="72">D63/D11</f>
        <v>1.0302775441547519E-2</v>
      </c>
      <c r="E64" s="299">
        <f t="shared" si="72"/>
        <v>1.4748054076198279E-2</v>
      </c>
      <c r="F64" s="299">
        <f t="shared" si="72"/>
        <v>1.4710452709002383E-2</v>
      </c>
      <c r="G64" s="299">
        <f t="shared" si="72"/>
        <v>1.9204136275505494E-2</v>
      </c>
      <c r="H64" s="309">
        <f>AVERAGE(C64:G64)</f>
        <v>1.4129067795878169E-2</v>
      </c>
      <c r="I64" s="309">
        <f>H64</f>
        <v>1.4129067795878169E-2</v>
      </c>
      <c r="J64" s="309">
        <f t="shared" ref="J64:Q64" si="73">I64</f>
        <v>1.4129067795878169E-2</v>
      </c>
      <c r="K64" s="309">
        <f t="shared" si="73"/>
        <v>1.4129067795878169E-2</v>
      </c>
      <c r="L64" s="309">
        <f t="shared" si="73"/>
        <v>1.4129067795878169E-2</v>
      </c>
      <c r="M64" s="309">
        <f t="shared" si="73"/>
        <v>1.4129067795878169E-2</v>
      </c>
      <c r="N64" s="309">
        <f t="shared" si="73"/>
        <v>1.4129067795878169E-2</v>
      </c>
      <c r="O64" s="309">
        <f t="shared" si="73"/>
        <v>1.4129067795878169E-2</v>
      </c>
      <c r="P64" s="309">
        <f t="shared" si="73"/>
        <v>1.4129067795878169E-2</v>
      </c>
      <c r="Q64" s="309">
        <f t="shared" si="73"/>
        <v>1.4129067795878169E-2</v>
      </c>
    </row>
    <row r="65" spans="2:17" x14ac:dyDescent="0.25"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</row>
    <row r="66" spans="2:17" x14ac:dyDescent="0.25">
      <c r="B66" s="19" t="s">
        <v>153</v>
      </c>
      <c r="C66" s="19">
        <f>'Income Statement'!C28</f>
        <v>324</v>
      </c>
      <c r="D66" s="19">
        <f>'Income Statement'!D28</f>
        <v>346</v>
      </c>
      <c r="E66" s="19">
        <f>'Income Statement'!E28</f>
        <v>421</v>
      </c>
      <c r="F66" s="19">
        <f>'Income Statement'!F28</f>
        <v>435</v>
      </c>
      <c r="G66" s="19">
        <f>'Income Statement'!G28</f>
        <v>458</v>
      </c>
      <c r="H66" s="223">
        <f>H67*'P&amp;L Statement '!H34</f>
        <v>495.87166217587873</v>
      </c>
      <c r="I66" s="223">
        <f>I67*'P&amp;L Statement '!I34</f>
        <v>540.02448231532014</v>
      </c>
      <c r="J66" s="223">
        <f>J67*'P&amp;L Statement '!J34</f>
        <v>591.14341508487496</v>
      </c>
      <c r="K66" s="223">
        <f>K67*'P&amp;L Statement '!K34</f>
        <v>650.96579546423561</v>
      </c>
      <c r="L66" s="223">
        <f>L67*'P&amp;L Statement '!L34</f>
        <v>721.74464047116123</v>
      </c>
      <c r="M66" s="223">
        <f>M67*'P&amp;L Statement '!M34</f>
        <v>806.40771962708993</v>
      </c>
      <c r="N66" s="223">
        <f>N67*'P&amp;L Statement '!N34</f>
        <v>908.76586417037663</v>
      </c>
      <c r="O66" s="223">
        <f>O67*'P&amp;L Statement '!O34</f>
        <v>1033.7857127586844</v>
      </c>
      <c r="P66" s="223">
        <f>P67*'P&amp;L Statement '!P34</f>
        <v>1187.9467678302306</v>
      </c>
      <c r="Q66" s="223">
        <f>Q67*'P&amp;L Statement '!Q34</f>
        <v>1383.7059661524215</v>
      </c>
    </row>
    <row r="67" spans="2:17" x14ac:dyDescent="0.25">
      <c r="B67" s="310" t="s">
        <v>345</v>
      </c>
      <c r="C67" s="311">
        <f>C66/'Income Statement'!C26</f>
        <v>0.21273801707156928</v>
      </c>
      <c r="D67" s="311">
        <f>D66/'Income Statement'!D26</f>
        <v>0.21611492816989381</v>
      </c>
      <c r="E67" s="311">
        <f>E66/'Income Statement'!E26</f>
        <v>0.24153757888697647</v>
      </c>
      <c r="F67" s="311">
        <f>F66/'Income Statement'!F26</f>
        <v>0.22457408363448633</v>
      </c>
      <c r="G67" s="311">
        <f>G66/'Income Statement'!G26</f>
        <v>0.21644612476370512</v>
      </c>
      <c r="H67" s="312">
        <f>AVERAGE(C67:G67)</f>
        <v>0.22228214650532618</v>
      </c>
      <c r="I67" s="312">
        <f>H67</f>
        <v>0.22228214650532618</v>
      </c>
      <c r="J67" s="312">
        <f t="shared" ref="J67:Q67" si="74">I67</f>
        <v>0.22228214650532618</v>
      </c>
      <c r="K67" s="312">
        <f t="shared" si="74"/>
        <v>0.22228214650532618</v>
      </c>
      <c r="L67" s="312">
        <f t="shared" si="74"/>
        <v>0.22228214650532618</v>
      </c>
      <c r="M67" s="312">
        <f t="shared" si="74"/>
        <v>0.22228214650532618</v>
      </c>
      <c r="N67" s="312">
        <f t="shared" si="74"/>
        <v>0.22228214650532618</v>
      </c>
      <c r="O67" s="312">
        <f t="shared" si="74"/>
        <v>0.22228214650532618</v>
      </c>
      <c r="P67" s="312">
        <f t="shared" si="74"/>
        <v>0.22228214650532618</v>
      </c>
      <c r="Q67" s="312">
        <f t="shared" si="74"/>
        <v>0.22228214650532618</v>
      </c>
    </row>
    <row r="68" spans="2:17" x14ac:dyDescent="0.25"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</row>
  </sheetData>
  <mergeCells count="1">
    <mergeCell ref="B7:Q7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7:Q33"/>
  <sheetViews>
    <sheetView showGridLines="0" workbookViewId="0">
      <selection activeCell="B5" sqref="B5"/>
    </sheetView>
  </sheetViews>
  <sheetFormatPr defaultRowHeight="15" x14ac:dyDescent="0.25"/>
  <cols>
    <col min="1" max="1" width="1.85546875" customWidth="1"/>
    <col min="2" max="2" width="77" bestFit="1" customWidth="1"/>
  </cols>
  <sheetData>
    <row r="7" spans="2:17" ht="15.75" thickBot="1" x14ac:dyDescent="0.3">
      <c r="B7" s="341" t="s">
        <v>398</v>
      </c>
      <c r="C7" s="341"/>
      <c r="D7" s="341"/>
      <c r="E7" s="341"/>
      <c r="F7" s="341"/>
      <c r="G7" s="341"/>
      <c r="H7" s="341"/>
      <c r="I7" s="341"/>
      <c r="J7" s="341"/>
      <c r="K7" s="341"/>
      <c r="L7" s="341"/>
      <c r="M7" s="341"/>
      <c r="N7" s="341"/>
      <c r="O7" s="341"/>
      <c r="P7" s="341"/>
      <c r="Q7" s="341"/>
    </row>
    <row r="8" spans="2:17" x14ac:dyDescent="0.25">
      <c r="B8" s="24" t="s">
        <v>390</v>
      </c>
    </row>
    <row r="9" spans="2:17" x14ac:dyDescent="0.25">
      <c r="B9" s="271" t="s">
        <v>139</v>
      </c>
      <c r="C9" s="272">
        <v>2021</v>
      </c>
      <c r="D9" s="272">
        <f t="shared" ref="D9:Q9" si="0">C9+1</f>
        <v>2022</v>
      </c>
      <c r="E9" s="272">
        <f t="shared" si="0"/>
        <v>2023</v>
      </c>
      <c r="F9" s="272">
        <f t="shared" si="0"/>
        <v>2024</v>
      </c>
      <c r="G9" s="272">
        <f t="shared" si="0"/>
        <v>2025</v>
      </c>
      <c r="H9" s="270">
        <f t="shared" si="0"/>
        <v>2026</v>
      </c>
      <c r="I9" s="270">
        <f t="shared" si="0"/>
        <v>2027</v>
      </c>
      <c r="J9" s="270">
        <f t="shared" si="0"/>
        <v>2028</v>
      </c>
      <c r="K9" s="270">
        <f t="shared" si="0"/>
        <v>2029</v>
      </c>
      <c r="L9" s="270">
        <f t="shared" si="0"/>
        <v>2030</v>
      </c>
      <c r="M9" s="270">
        <f t="shared" si="0"/>
        <v>2031</v>
      </c>
      <c r="N9" s="270">
        <f t="shared" si="0"/>
        <v>2032</v>
      </c>
      <c r="O9" s="270">
        <f t="shared" si="0"/>
        <v>2033</v>
      </c>
      <c r="P9" s="270">
        <f t="shared" si="0"/>
        <v>2034</v>
      </c>
      <c r="Q9" s="270">
        <f t="shared" si="0"/>
        <v>2035</v>
      </c>
    </row>
    <row r="11" spans="2:17" x14ac:dyDescent="0.25">
      <c r="B11" s="20" t="s">
        <v>144</v>
      </c>
      <c r="C11" s="20">
        <f>'Revenue BuildUp'!C11</f>
        <v>8048</v>
      </c>
      <c r="D11" s="20">
        <f>'Revenue BuildUp'!D11</f>
        <v>9512</v>
      </c>
      <c r="E11" s="20">
        <f>'Revenue BuildUp'!E11</f>
        <v>9764</v>
      </c>
      <c r="F11" s="20">
        <f>'Revenue BuildUp'!F11</f>
        <v>9653</v>
      </c>
      <c r="G11" s="20">
        <f>'Revenue BuildUp'!G11</f>
        <v>10831</v>
      </c>
      <c r="H11" s="32">
        <f>'Revenue BuildUp'!H11</f>
        <v>11829.457858113532</v>
      </c>
      <c r="I11" s="32">
        <f>'Revenue BuildUp'!I11</f>
        <v>12984.788155193986</v>
      </c>
      <c r="J11" s="32">
        <f>'Revenue BuildUp'!J11</f>
        <v>14334.340305272006</v>
      </c>
      <c r="K11" s="32">
        <f>'Revenue BuildUp'!K11</f>
        <v>15926.063214420681</v>
      </c>
      <c r="L11" s="32">
        <f>'Revenue BuildUp'!L11</f>
        <v>17821.671195653013</v>
      </c>
      <c r="M11" s="32">
        <f>'Revenue BuildUp'!M11</f>
        <v>20100.767888448714</v>
      </c>
      <c r="N11" s="32">
        <f>'Revenue BuildUp'!N11</f>
        <v>22866.219002105689</v>
      </c>
      <c r="O11" s="32">
        <f>'Revenue BuildUp'!O11</f>
        <v>26251.153053976024</v>
      </c>
      <c r="P11" s="32">
        <f>'Revenue BuildUp'!P11</f>
        <v>30428.084472164293</v>
      </c>
      <c r="Q11" s="32">
        <f>'Revenue BuildUp'!Q11</f>
        <v>35620.803635451201</v>
      </c>
    </row>
    <row r="13" spans="2:17" x14ac:dyDescent="0.25">
      <c r="B13" s="20" t="s">
        <v>152</v>
      </c>
      <c r="C13" s="20">
        <f>SUM(C16,C19,C22)</f>
        <v>4270</v>
      </c>
      <c r="D13" s="20">
        <f t="shared" ref="D13:Q13" si="1">SUM(D16,D19,D22)</f>
        <v>5436</v>
      </c>
      <c r="E13" s="20">
        <f t="shared" si="1"/>
        <v>5351</v>
      </c>
      <c r="F13" s="20">
        <f t="shared" si="1"/>
        <v>4748</v>
      </c>
      <c r="G13" s="20">
        <f t="shared" si="1"/>
        <v>5388</v>
      </c>
      <c r="H13" s="32">
        <f t="shared" si="1"/>
        <v>6244.5759575099764</v>
      </c>
      <c r="I13" s="32">
        <f t="shared" si="1"/>
        <v>6854.4557916211561</v>
      </c>
      <c r="J13" s="32">
        <f t="shared" si="1"/>
        <v>7566.8621428558381</v>
      </c>
      <c r="K13" s="32">
        <f t="shared" si="1"/>
        <v>8407.106448952276</v>
      </c>
      <c r="L13" s="32">
        <f t="shared" si="1"/>
        <v>9407.7666792390373</v>
      </c>
      <c r="M13" s="32">
        <f t="shared" si="1"/>
        <v>10610.864283827161</v>
      </c>
      <c r="N13" s="32">
        <f t="shared" si="1"/>
        <v>12070.700376329669</v>
      </c>
      <c r="O13" s="32">
        <f t="shared" si="1"/>
        <v>13857.551308265543</v>
      </c>
      <c r="P13" s="32">
        <f t="shared" si="1"/>
        <v>16062.484604705389</v>
      </c>
      <c r="Q13" s="32">
        <f t="shared" si="1"/>
        <v>18803.635520503471</v>
      </c>
    </row>
    <row r="14" spans="2:17" x14ac:dyDescent="0.25">
      <c r="B14" s="300" t="s">
        <v>145</v>
      </c>
      <c r="C14" s="299">
        <f>C13/C11</f>
        <v>0.53056660039761427</v>
      </c>
      <c r="D14" s="299">
        <f t="shared" ref="D14:Q14" si="2">D13/D11</f>
        <v>0.57148864592094195</v>
      </c>
      <c r="E14" s="299">
        <f t="shared" si="2"/>
        <v>0.54803359278984021</v>
      </c>
      <c r="F14" s="299">
        <f t="shared" si="2"/>
        <v>0.49186781311509375</v>
      </c>
      <c r="G14" s="299">
        <f t="shared" si="2"/>
        <v>0.49746099159819041</v>
      </c>
      <c r="H14" s="299">
        <f t="shared" si="2"/>
        <v>0.52788352876433609</v>
      </c>
      <c r="I14" s="299">
        <f t="shared" si="2"/>
        <v>0.5278835287643362</v>
      </c>
      <c r="J14" s="299">
        <f t="shared" si="2"/>
        <v>0.5278835287643362</v>
      </c>
      <c r="K14" s="299">
        <f t="shared" si="2"/>
        <v>0.5278835287643362</v>
      </c>
      <c r="L14" s="299">
        <f t="shared" si="2"/>
        <v>0.52788352876433609</v>
      </c>
      <c r="M14" s="299">
        <f t="shared" si="2"/>
        <v>0.52788352876433609</v>
      </c>
      <c r="N14" s="299">
        <f t="shared" si="2"/>
        <v>0.5278835287643362</v>
      </c>
      <c r="O14" s="299">
        <f t="shared" si="2"/>
        <v>0.5278835287643362</v>
      </c>
      <c r="P14" s="299">
        <f t="shared" si="2"/>
        <v>0.52788352876433609</v>
      </c>
      <c r="Q14" s="299">
        <f t="shared" si="2"/>
        <v>0.52788352876433609</v>
      </c>
    </row>
    <row r="16" spans="2:17" ht="16.5" x14ac:dyDescent="0.3">
      <c r="B16" s="2" t="s">
        <v>6</v>
      </c>
      <c r="C16">
        <f>'Income Statement'!C14</f>
        <v>3884</v>
      </c>
      <c r="D16">
        <f>'Income Statement'!D14</f>
        <v>5061</v>
      </c>
      <c r="E16">
        <f>'Income Statement'!E14</f>
        <v>4649</v>
      </c>
      <c r="F16">
        <f>'Income Statement'!F14</f>
        <v>3941</v>
      </c>
      <c r="G16">
        <f>'Income Statement'!G14</f>
        <v>4572</v>
      </c>
      <c r="H16" s="25">
        <f>H17*H11</f>
        <v>5491.6945297196853</v>
      </c>
      <c r="I16" s="25">
        <f t="shared" ref="I16:Q16" si="3">I17*I11</f>
        <v>6028.0437985193939</v>
      </c>
      <c r="J16" s="25">
        <f t="shared" si="3"/>
        <v>6654.5584071387275</v>
      </c>
      <c r="K16" s="25">
        <f t="shared" si="3"/>
        <v>7393.498103094943</v>
      </c>
      <c r="L16" s="25">
        <f t="shared" si="3"/>
        <v>8273.5130713114741</v>
      </c>
      <c r="M16" s="25">
        <f t="shared" si="3"/>
        <v>9331.5584179918296</v>
      </c>
      <c r="N16" s="25">
        <f t="shared" si="3"/>
        <v>10615.388407094908</v>
      </c>
      <c r="O16" s="25">
        <f t="shared" si="3"/>
        <v>12186.806475368296</v>
      </c>
      <c r="P16" s="25">
        <f t="shared" si="3"/>
        <v>14125.900531529618</v>
      </c>
      <c r="Q16" s="25">
        <f t="shared" si="3"/>
        <v>16536.562775347858</v>
      </c>
    </row>
    <row r="17" spans="2:17" x14ac:dyDescent="0.25">
      <c r="B17" s="300" t="s">
        <v>145</v>
      </c>
      <c r="C17" s="299">
        <f>C16/C11</f>
        <v>0.4826043737574553</v>
      </c>
      <c r="D17" s="299">
        <f t="shared" ref="D17:G17" si="4">D16/D11</f>
        <v>0.5320647603027755</v>
      </c>
      <c r="E17" s="299">
        <f t="shared" si="4"/>
        <v>0.47613682916837363</v>
      </c>
      <c r="F17" s="299">
        <f t="shared" si="4"/>
        <v>0.40826686004350982</v>
      </c>
      <c r="G17" s="299">
        <f t="shared" si="4"/>
        <v>0.42212168774813036</v>
      </c>
      <c r="H17" s="299">
        <f>AVERAGE(C17:G17)</f>
        <v>0.4642389022040489</v>
      </c>
      <c r="I17" s="299">
        <f>H17</f>
        <v>0.4642389022040489</v>
      </c>
      <c r="J17" s="299">
        <f t="shared" ref="J17:Q17" si="5">I17</f>
        <v>0.4642389022040489</v>
      </c>
      <c r="K17" s="299">
        <f t="shared" si="5"/>
        <v>0.4642389022040489</v>
      </c>
      <c r="L17" s="299">
        <f t="shared" si="5"/>
        <v>0.4642389022040489</v>
      </c>
      <c r="M17" s="299">
        <f t="shared" si="5"/>
        <v>0.4642389022040489</v>
      </c>
      <c r="N17" s="299">
        <f t="shared" si="5"/>
        <v>0.4642389022040489</v>
      </c>
      <c r="O17" s="299">
        <f t="shared" si="5"/>
        <v>0.4642389022040489</v>
      </c>
      <c r="P17" s="299">
        <f t="shared" si="5"/>
        <v>0.4642389022040489</v>
      </c>
      <c r="Q17" s="299">
        <f t="shared" si="5"/>
        <v>0.4642389022040489</v>
      </c>
    </row>
    <row r="18" spans="2:17" ht="16.5" x14ac:dyDescent="0.3">
      <c r="B18" s="2"/>
    </row>
    <row r="19" spans="2:17" ht="16.5" x14ac:dyDescent="0.3">
      <c r="B19" s="2" t="s">
        <v>7</v>
      </c>
      <c r="C19">
        <f>'Income Statement'!C15</f>
        <v>339</v>
      </c>
      <c r="D19">
        <f>'Income Statement'!D15</f>
        <v>491</v>
      </c>
      <c r="E19">
        <f>'Income Statement'!E15</f>
        <v>541</v>
      </c>
      <c r="F19">
        <f>'Income Statement'!F15</f>
        <v>752</v>
      </c>
      <c r="G19">
        <f>'Income Statement'!G15</f>
        <v>960</v>
      </c>
      <c r="H19" s="25">
        <f>H20*H11</f>
        <v>746.88029326089702</v>
      </c>
      <c r="I19" s="25">
        <f t="shared" ref="I19:Q19" si="6">I20*I11</f>
        <v>819.82475457488795</v>
      </c>
      <c r="J19" s="25">
        <f t="shared" si="6"/>
        <v>905.03186361664473</v>
      </c>
      <c r="K19" s="25">
        <f t="shared" si="6"/>
        <v>1005.5289859221833</v>
      </c>
      <c r="L19" s="25">
        <f t="shared" si="6"/>
        <v>1125.2125979618884</v>
      </c>
      <c r="M19" s="25">
        <f t="shared" si="6"/>
        <v>1269.1086603767596</v>
      </c>
      <c r="N19" s="25">
        <f t="shared" si="6"/>
        <v>1443.7118386069562</v>
      </c>
      <c r="O19" s="25">
        <f t="shared" si="6"/>
        <v>1657.4275107580449</v>
      </c>
      <c r="P19" s="25">
        <f t="shared" si="6"/>
        <v>1921.1477758763153</v>
      </c>
      <c r="Q19" s="25">
        <f t="shared" si="6"/>
        <v>2249.0021592314365</v>
      </c>
    </row>
    <row r="20" spans="2:17" x14ac:dyDescent="0.25">
      <c r="B20" s="300" t="s">
        <v>145</v>
      </c>
      <c r="C20" s="299">
        <f>C19/C11</f>
        <v>4.2122266401590454E-2</v>
      </c>
      <c r="D20" s="299">
        <f t="shared" ref="D20:G20" si="7">D19/D11</f>
        <v>5.161900756938604E-2</v>
      </c>
      <c r="E20" s="299">
        <f t="shared" si="7"/>
        <v>5.5407619827939368E-2</v>
      </c>
      <c r="F20" s="299">
        <f t="shared" si="7"/>
        <v>7.7903242515280219E-2</v>
      </c>
      <c r="G20" s="299">
        <f t="shared" si="7"/>
        <v>8.8634475117717659E-2</v>
      </c>
      <c r="H20" s="299">
        <f>AVERAGE(C20:G20)</f>
        <v>6.3137322286382747E-2</v>
      </c>
      <c r="I20" s="299">
        <f>H20</f>
        <v>6.3137322286382747E-2</v>
      </c>
      <c r="J20" s="299">
        <f t="shared" ref="J20:Q20" si="8">I20</f>
        <v>6.3137322286382747E-2</v>
      </c>
      <c r="K20" s="299">
        <f t="shared" si="8"/>
        <v>6.3137322286382747E-2</v>
      </c>
      <c r="L20" s="299">
        <f t="shared" si="8"/>
        <v>6.3137322286382747E-2</v>
      </c>
      <c r="M20" s="299">
        <f t="shared" si="8"/>
        <v>6.3137322286382747E-2</v>
      </c>
      <c r="N20" s="299">
        <f t="shared" si="8"/>
        <v>6.3137322286382747E-2</v>
      </c>
      <c r="O20" s="299">
        <f t="shared" si="8"/>
        <v>6.3137322286382747E-2</v>
      </c>
      <c r="P20" s="299">
        <f t="shared" si="8"/>
        <v>6.3137322286382747E-2</v>
      </c>
      <c r="Q20" s="299">
        <f t="shared" si="8"/>
        <v>6.3137322286382747E-2</v>
      </c>
    </row>
    <row r="21" spans="2:17" ht="16.5" x14ac:dyDescent="0.3">
      <c r="B21" s="2"/>
    </row>
    <row r="22" spans="2:17" ht="16.5" x14ac:dyDescent="0.3">
      <c r="B22" s="2" t="s">
        <v>20</v>
      </c>
      <c r="C22">
        <f>'Income Statement'!C16</f>
        <v>47</v>
      </c>
      <c r="D22">
        <f>'Income Statement'!D16</f>
        <v>-116</v>
      </c>
      <c r="E22">
        <f>'Income Statement'!E16</f>
        <v>161</v>
      </c>
      <c r="F22">
        <f>'Income Statement'!F16</f>
        <v>55</v>
      </c>
      <c r="G22">
        <f>'Income Statement'!G16</f>
        <v>-144</v>
      </c>
      <c r="H22" s="25">
        <f>H23*H11</f>
        <v>6.0011345293939478</v>
      </c>
      <c r="I22" s="25">
        <f t="shared" ref="I22:Q22" si="9">I23*I11</f>
        <v>6.587238526874196</v>
      </c>
      <c r="J22" s="25">
        <f t="shared" si="9"/>
        <v>7.2718721004657576</v>
      </c>
      <c r="K22" s="25">
        <f t="shared" si="9"/>
        <v>8.0793599351485543</v>
      </c>
      <c r="L22" s="25">
        <f t="shared" si="9"/>
        <v>9.0410099656751637</v>
      </c>
      <c r="M22" s="25">
        <f t="shared" si="9"/>
        <v>10.197205458571991</v>
      </c>
      <c r="N22" s="25">
        <f t="shared" si="9"/>
        <v>11.600130627804083</v>
      </c>
      <c r="O22" s="25">
        <f t="shared" si="9"/>
        <v>13.317322139202718</v>
      </c>
      <c r="P22" s="25">
        <f t="shared" si="9"/>
        <v>15.436297299455534</v>
      </c>
      <c r="Q22" s="25">
        <f t="shared" si="9"/>
        <v>18.070585924176683</v>
      </c>
    </row>
    <row r="23" spans="2:17" x14ac:dyDescent="0.25">
      <c r="B23" s="300" t="s">
        <v>145</v>
      </c>
      <c r="C23" s="299">
        <f>C22/C11</f>
        <v>5.8399602385685884E-3</v>
      </c>
      <c r="D23" s="299">
        <f t="shared" ref="D23:G23" si="10">D22/D11</f>
        <v>-1.2195121951219513E-2</v>
      </c>
      <c r="E23" s="299">
        <f t="shared" si="10"/>
        <v>1.6489143793527242E-2</v>
      </c>
      <c r="F23" s="299">
        <f t="shared" si="10"/>
        <v>5.69771055630374E-3</v>
      </c>
      <c r="G23" s="299">
        <f t="shared" si="10"/>
        <v>-1.3295171267657649E-2</v>
      </c>
      <c r="H23" s="299">
        <f>AVERAGE(C23:G23)</f>
        <v>5.0730427390448143E-4</v>
      </c>
      <c r="I23" s="299">
        <f>H23</f>
        <v>5.0730427390448143E-4</v>
      </c>
      <c r="J23" s="299">
        <f t="shared" ref="J23:Q23" si="11">I23</f>
        <v>5.0730427390448143E-4</v>
      </c>
      <c r="K23" s="299">
        <f t="shared" si="11"/>
        <v>5.0730427390448143E-4</v>
      </c>
      <c r="L23" s="299">
        <f t="shared" si="11"/>
        <v>5.0730427390448143E-4</v>
      </c>
      <c r="M23" s="299">
        <f t="shared" si="11"/>
        <v>5.0730427390448143E-4</v>
      </c>
      <c r="N23" s="299">
        <f t="shared" si="11"/>
        <v>5.0730427390448143E-4</v>
      </c>
      <c r="O23" s="299">
        <f t="shared" si="11"/>
        <v>5.0730427390448143E-4</v>
      </c>
      <c r="P23" s="299">
        <f t="shared" si="11"/>
        <v>5.0730427390448143E-4</v>
      </c>
      <c r="Q23" s="299">
        <f t="shared" si="11"/>
        <v>5.0730427390448143E-4</v>
      </c>
    </row>
    <row r="26" spans="2:17" ht="16.5" x14ac:dyDescent="0.3">
      <c r="B26" s="29" t="s">
        <v>8</v>
      </c>
      <c r="C26" s="36">
        <f>'Income Statement'!C17</f>
        <v>570</v>
      </c>
      <c r="D26" s="36">
        <f>'Income Statement'!D17</f>
        <v>586</v>
      </c>
      <c r="E26" s="36">
        <f>'Income Statement'!E17</f>
        <v>653</v>
      </c>
      <c r="F26" s="36">
        <f>'Income Statement'!F17</f>
        <v>743</v>
      </c>
      <c r="G26" s="36">
        <f>'Income Statement'!G17</f>
        <v>831</v>
      </c>
      <c r="H26" s="30">
        <f>H27*H11</f>
        <v>835.17126461820521</v>
      </c>
      <c r="I26" s="30">
        <f t="shared" ref="I26:Q26" si="12">I27*I11</f>
        <v>916.73871063624983</v>
      </c>
      <c r="J26" s="30">
        <f t="shared" si="12"/>
        <v>1012.0184089426116</v>
      </c>
      <c r="K26" s="30">
        <f t="shared" si="12"/>
        <v>1124.3955990810161</v>
      </c>
      <c r="L26" s="30">
        <f t="shared" si="12"/>
        <v>1258.2273717535331</v>
      </c>
      <c r="M26" s="30">
        <f t="shared" si="12"/>
        <v>1419.1338215621213</v>
      </c>
      <c r="N26" s="30">
        <f t="shared" si="12"/>
        <v>1614.377367930445</v>
      </c>
      <c r="O26" s="30">
        <f t="shared" si="12"/>
        <v>1853.3570140526722</v>
      </c>
      <c r="P26" s="30">
        <f t="shared" si="12"/>
        <v>2148.2524468437164</v>
      </c>
      <c r="Q26" s="30">
        <f t="shared" si="12"/>
        <v>2514.8634853567796</v>
      </c>
    </row>
    <row r="27" spans="2:17" x14ac:dyDescent="0.25">
      <c r="B27" s="300" t="s">
        <v>145</v>
      </c>
      <c r="C27" s="299">
        <f>C26/C11</f>
        <v>7.0825049701789267E-2</v>
      </c>
      <c r="D27" s="299">
        <f t="shared" ref="D27:G27" si="13">D26/D11</f>
        <v>6.1606391925988227E-2</v>
      </c>
      <c r="E27" s="299">
        <f t="shared" si="13"/>
        <v>6.6878328553871366E-2</v>
      </c>
      <c r="F27" s="299">
        <f t="shared" si="13"/>
        <v>7.6970889878794163E-2</v>
      </c>
      <c r="G27" s="299">
        <f t="shared" si="13"/>
        <v>7.6724217523774355E-2</v>
      </c>
      <c r="H27" s="299">
        <f>AVERAGE(C27:G27)</f>
        <v>7.0600975516843481E-2</v>
      </c>
      <c r="I27" s="299">
        <f>H27</f>
        <v>7.0600975516843481E-2</v>
      </c>
      <c r="J27" s="299">
        <f t="shared" ref="J27:Q27" si="14">I27</f>
        <v>7.0600975516843481E-2</v>
      </c>
      <c r="K27" s="299">
        <f t="shared" si="14"/>
        <v>7.0600975516843481E-2</v>
      </c>
      <c r="L27" s="299">
        <f t="shared" si="14"/>
        <v>7.0600975516843481E-2</v>
      </c>
      <c r="M27" s="299">
        <f t="shared" si="14"/>
        <v>7.0600975516843481E-2</v>
      </c>
      <c r="N27" s="299">
        <f t="shared" si="14"/>
        <v>7.0600975516843481E-2</v>
      </c>
      <c r="O27" s="299">
        <f t="shared" si="14"/>
        <v>7.0600975516843481E-2</v>
      </c>
      <c r="P27" s="299">
        <f t="shared" si="14"/>
        <v>7.0600975516843481E-2</v>
      </c>
      <c r="Q27" s="299">
        <f t="shared" si="14"/>
        <v>7.0600975516843481E-2</v>
      </c>
    </row>
    <row r="29" spans="2:17" ht="16.5" x14ac:dyDescent="0.3">
      <c r="B29" s="29" t="s">
        <v>11</v>
      </c>
      <c r="C29" s="36">
        <f>'Income Statement'!C20</f>
        <v>1617</v>
      </c>
      <c r="D29" s="36">
        <f>'Income Statement'!D20</f>
        <v>1809</v>
      </c>
      <c r="E29" s="36">
        <f>'Income Statement'!E20</f>
        <v>1950</v>
      </c>
      <c r="F29" s="36">
        <f>'Income Statement'!F20</f>
        <v>2136</v>
      </c>
      <c r="G29" s="36">
        <f>'Income Statement'!G20</f>
        <v>2473</v>
      </c>
      <c r="H29" s="30">
        <f>H30*H11</f>
        <v>2461.5161763861961</v>
      </c>
      <c r="I29" s="30">
        <f t="shared" ref="I29:Q29" si="15">I30*I11</f>
        <v>2701.9214637157479</v>
      </c>
      <c r="J29" s="30">
        <f t="shared" si="15"/>
        <v>2982.7411334029243</v>
      </c>
      <c r="K29" s="30">
        <f t="shared" si="15"/>
        <v>3313.9525664363209</v>
      </c>
      <c r="L29" s="30">
        <f t="shared" si="15"/>
        <v>3708.3974992351496</v>
      </c>
      <c r="M29" s="30">
        <f t="shared" si="15"/>
        <v>4182.6401436702126</v>
      </c>
      <c r="N29" s="30">
        <f t="shared" si="15"/>
        <v>4758.0851668420037</v>
      </c>
      <c r="O29" s="30">
        <f t="shared" si="15"/>
        <v>5462.4344298950473</v>
      </c>
      <c r="P29" s="30">
        <f t="shared" si="15"/>
        <v>6331.5853560699334</v>
      </c>
      <c r="Q29" s="30">
        <f t="shared" si="15"/>
        <v>7412.1050530139892</v>
      </c>
    </row>
    <row r="30" spans="2:17" x14ac:dyDescent="0.25">
      <c r="B30" s="300" t="s">
        <v>145</v>
      </c>
      <c r="C30" s="299">
        <f>C29/C11</f>
        <v>0.20091948310139165</v>
      </c>
      <c r="D30" s="299">
        <f t="shared" ref="D30:G30" si="16">D29/D11</f>
        <v>0.19018082422203533</v>
      </c>
      <c r="E30" s="299">
        <f t="shared" si="16"/>
        <v>0.1997132322818517</v>
      </c>
      <c r="F30" s="299">
        <f t="shared" si="16"/>
        <v>0.22127835905935977</v>
      </c>
      <c r="G30" s="299">
        <f t="shared" si="16"/>
        <v>0.2283261010063706</v>
      </c>
      <c r="H30" s="299">
        <f>AVERAGE(C30:G30)</f>
        <v>0.20808359993420181</v>
      </c>
      <c r="I30" s="299">
        <f>H30</f>
        <v>0.20808359993420181</v>
      </c>
      <c r="J30" s="299">
        <f t="shared" ref="J30:Q30" si="17">I30</f>
        <v>0.20808359993420181</v>
      </c>
      <c r="K30" s="299">
        <f t="shared" si="17"/>
        <v>0.20808359993420181</v>
      </c>
      <c r="L30" s="299">
        <f t="shared" si="17"/>
        <v>0.20808359993420181</v>
      </c>
      <c r="M30" s="299">
        <f t="shared" si="17"/>
        <v>0.20808359993420181</v>
      </c>
      <c r="N30" s="299">
        <f t="shared" si="17"/>
        <v>0.20808359993420181</v>
      </c>
      <c r="O30" s="299">
        <f t="shared" si="17"/>
        <v>0.20808359993420181</v>
      </c>
      <c r="P30" s="299">
        <f t="shared" si="17"/>
        <v>0.20808359993420181</v>
      </c>
      <c r="Q30" s="299">
        <f t="shared" si="17"/>
        <v>0.20808359993420181</v>
      </c>
    </row>
    <row r="33" spans="2:17" ht="15.75" thickBot="1" x14ac:dyDescent="0.3">
      <c r="B33" s="41" t="s">
        <v>399</v>
      </c>
      <c r="C33" s="41">
        <f>C29+C26</f>
        <v>2187</v>
      </c>
      <c r="D33" s="41">
        <f t="shared" ref="D33:Q33" si="18">D29+D26</f>
        <v>2395</v>
      </c>
      <c r="E33" s="41">
        <f t="shared" si="18"/>
        <v>2603</v>
      </c>
      <c r="F33" s="41">
        <f t="shared" si="18"/>
        <v>2879</v>
      </c>
      <c r="G33" s="41">
        <f t="shared" si="18"/>
        <v>3304</v>
      </c>
      <c r="H33" s="41">
        <f t="shared" si="18"/>
        <v>3296.6874410044011</v>
      </c>
      <c r="I33" s="41">
        <f t="shared" si="18"/>
        <v>3618.6601743519977</v>
      </c>
      <c r="J33" s="41">
        <f t="shared" si="18"/>
        <v>3994.7595423455359</v>
      </c>
      <c r="K33" s="41">
        <f t="shared" si="18"/>
        <v>4438.3481655173373</v>
      </c>
      <c r="L33" s="41">
        <f t="shared" si="18"/>
        <v>4966.6248709886822</v>
      </c>
      <c r="M33" s="41">
        <f t="shared" si="18"/>
        <v>5601.7739652323344</v>
      </c>
      <c r="N33" s="41">
        <f t="shared" si="18"/>
        <v>6372.4625347724486</v>
      </c>
      <c r="O33" s="41">
        <f t="shared" si="18"/>
        <v>7315.791443947719</v>
      </c>
      <c r="P33" s="41">
        <f t="shared" si="18"/>
        <v>8479.8378029136493</v>
      </c>
      <c r="Q33" s="41">
        <f t="shared" si="18"/>
        <v>9926.9685383707692</v>
      </c>
    </row>
  </sheetData>
  <mergeCells count="1">
    <mergeCell ref="B7:Q7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7:Q15"/>
  <sheetViews>
    <sheetView showGridLines="0" tabSelected="1" workbookViewId="0">
      <selection activeCell="N19" sqref="N19"/>
    </sheetView>
  </sheetViews>
  <sheetFormatPr defaultRowHeight="15" x14ac:dyDescent="0.25"/>
  <cols>
    <col min="1" max="1" width="1.85546875" customWidth="1"/>
    <col min="2" max="2" width="23.28515625" bestFit="1" customWidth="1"/>
    <col min="8" max="11" width="9.28515625" bestFit="1" customWidth="1"/>
    <col min="12" max="17" width="9.5703125" bestFit="1" customWidth="1"/>
  </cols>
  <sheetData>
    <row r="7" spans="2:17" ht="15.75" thickBot="1" x14ac:dyDescent="0.3">
      <c r="B7" s="341" t="s">
        <v>400</v>
      </c>
      <c r="C7" s="341"/>
      <c r="D7" s="341"/>
      <c r="E7" s="341"/>
      <c r="F7" s="341"/>
      <c r="G7" s="341"/>
      <c r="H7" s="341"/>
      <c r="I7" s="341"/>
      <c r="J7" s="341"/>
      <c r="K7" s="341"/>
      <c r="L7" s="341"/>
      <c r="M7" s="341"/>
      <c r="N7" s="341"/>
      <c r="O7" s="341"/>
      <c r="P7" s="341"/>
      <c r="Q7" s="341"/>
    </row>
    <row r="8" spans="2:17" x14ac:dyDescent="0.25">
      <c r="B8" s="24" t="s">
        <v>390</v>
      </c>
    </row>
    <row r="9" spans="2:17" x14ac:dyDescent="0.25">
      <c r="B9" s="271" t="s">
        <v>139</v>
      </c>
      <c r="C9" s="272">
        <v>2021</v>
      </c>
      <c r="D9" s="272">
        <f t="shared" ref="D9:Q9" si="0">C9+1</f>
        <v>2022</v>
      </c>
      <c r="E9" s="272">
        <f t="shared" si="0"/>
        <v>2023</v>
      </c>
      <c r="F9" s="272">
        <f t="shared" si="0"/>
        <v>2024</v>
      </c>
      <c r="G9" s="272">
        <f t="shared" si="0"/>
        <v>2025</v>
      </c>
      <c r="H9" s="270">
        <f t="shared" si="0"/>
        <v>2026</v>
      </c>
      <c r="I9" s="270">
        <f t="shared" si="0"/>
        <v>2027</v>
      </c>
      <c r="J9" s="270">
        <f t="shared" si="0"/>
        <v>2028</v>
      </c>
      <c r="K9" s="270">
        <f t="shared" si="0"/>
        <v>2029</v>
      </c>
      <c r="L9" s="270">
        <f t="shared" si="0"/>
        <v>2030</v>
      </c>
      <c r="M9" s="270">
        <f t="shared" si="0"/>
        <v>2031</v>
      </c>
      <c r="N9" s="270">
        <f t="shared" si="0"/>
        <v>2032</v>
      </c>
      <c r="O9" s="270">
        <f t="shared" si="0"/>
        <v>2033</v>
      </c>
      <c r="P9" s="270">
        <f t="shared" si="0"/>
        <v>2034</v>
      </c>
      <c r="Q9" s="270">
        <f t="shared" si="0"/>
        <v>2035</v>
      </c>
    </row>
    <row r="11" spans="2:17" x14ac:dyDescent="0.25">
      <c r="B11" s="19" t="s">
        <v>161</v>
      </c>
      <c r="C11" s="19"/>
      <c r="D11" s="19">
        <f>C13</f>
        <v>508</v>
      </c>
      <c r="E11" s="19">
        <f t="shared" ref="E11:Q11" si="1">D13</f>
        <v>479</v>
      </c>
      <c r="F11" s="19">
        <f t="shared" si="1"/>
        <v>608</v>
      </c>
      <c r="G11" s="19">
        <f t="shared" si="1"/>
        <v>528</v>
      </c>
      <c r="H11" s="223">
        <f t="shared" si="1"/>
        <v>554</v>
      </c>
      <c r="I11" s="223">
        <f t="shared" si="1"/>
        <v>671.42403434453615</v>
      </c>
      <c r="J11" s="223">
        <f t="shared" si="1"/>
        <v>737.36525462620523</v>
      </c>
      <c r="K11" s="223">
        <f t="shared" si="1"/>
        <v>814.46065457258703</v>
      </c>
      <c r="L11" s="223">
        <f t="shared" si="1"/>
        <v>905.47262008193798</v>
      </c>
      <c r="M11" s="223">
        <f t="shared" si="1"/>
        <v>1013.9573506855105</v>
      </c>
      <c r="N11" s="223">
        <f t="shared" si="1"/>
        <v>1144.5027348899373</v>
      </c>
      <c r="O11" s="223">
        <f t="shared" si="1"/>
        <v>1303.0382644834704</v>
      </c>
      <c r="P11" s="223">
        <f t="shared" si="1"/>
        <v>1497.23886079053</v>
      </c>
      <c r="Q11" s="223">
        <f t="shared" si="1"/>
        <v>1737.0511312624196</v>
      </c>
    </row>
    <row r="12" spans="2:17" x14ac:dyDescent="0.25">
      <c r="B12" s="19" t="s">
        <v>162</v>
      </c>
      <c r="C12" s="19"/>
      <c r="D12" s="19">
        <f>D13-D11</f>
        <v>-29</v>
      </c>
      <c r="E12" s="19">
        <f t="shared" ref="E12:Q12" si="2">E13-E11</f>
        <v>129</v>
      </c>
      <c r="F12" s="19">
        <f t="shared" si="2"/>
        <v>-80</v>
      </c>
      <c r="G12" s="19">
        <f t="shared" si="2"/>
        <v>26</v>
      </c>
      <c r="H12" s="223">
        <f t="shared" si="2"/>
        <v>117.42403434453615</v>
      </c>
      <c r="I12" s="223">
        <f t="shared" si="2"/>
        <v>65.941220281669075</v>
      </c>
      <c r="J12" s="223">
        <f t="shared" si="2"/>
        <v>77.095399946381804</v>
      </c>
      <c r="K12" s="223">
        <f t="shared" si="2"/>
        <v>91.011965509350944</v>
      </c>
      <c r="L12" s="223">
        <f t="shared" si="2"/>
        <v>108.48473060357253</v>
      </c>
      <c r="M12" s="223">
        <f t="shared" si="2"/>
        <v>130.5453842044268</v>
      </c>
      <c r="N12" s="223">
        <f t="shared" si="2"/>
        <v>158.53552959353306</v>
      </c>
      <c r="O12" s="223">
        <f t="shared" si="2"/>
        <v>194.20059630705964</v>
      </c>
      <c r="P12" s="223">
        <f t="shared" si="2"/>
        <v>239.81227047188963</v>
      </c>
      <c r="Q12" s="223">
        <f t="shared" si="2"/>
        <v>108.7896678301488</v>
      </c>
    </row>
    <row r="13" spans="2:17" x14ac:dyDescent="0.25">
      <c r="B13" s="27" t="s">
        <v>163</v>
      </c>
      <c r="C13" s="27">
        <f>'Balance Sheet'!C52+'Balance Sheet'!C53+'Balance Sheet'!C61+'Balance Sheet'!C62</f>
        <v>508</v>
      </c>
      <c r="D13" s="27">
        <f>'Balance Sheet'!D52+'Balance Sheet'!D53+'Balance Sheet'!D61+'Balance Sheet'!D62</f>
        <v>479</v>
      </c>
      <c r="E13" s="27">
        <f>'Balance Sheet'!E52+'Balance Sheet'!E53+'Balance Sheet'!E61+'Balance Sheet'!E62</f>
        <v>608</v>
      </c>
      <c r="F13" s="27">
        <f>'Balance Sheet'!F52+'Balance Sheet'!F53+'Balance Sheet'!F61+'Balance Sheet'!F62</f>
        <v>528</v>
      </c>
      <c r="G13" s="27">
        <f>'Balance Sheet'!G52+'Balance Sheet'!G53+'Balance Sheet'!G61+'Balance Sheet'!G62</f>
        <v>554</v>
      </c>
      <c r="H13" s="47">
        <f>SUM('B_Sheet Forecast'!H39,'B_Sheet Forecast'!H41,'B_Sheet Forecast'!H54,'B_Sheet Forecast'!I56)</f>
        <v>671.42403434453615</v>
      </c>
      <c r="I13" s="47">
        <f>SUM('B_Sheet Forecast'!I39,'B_Sheet Forecast'!I41,'B_Sheet Forecast'!I54,'B_Sheet Forecast'!J56)</f>
        <v>737.36525462620523</v>
      </c>
      <c r="J13" s="47">
        <f>SUM('B_Sheet Forecast'!J39,'B_Sheet Forecast'!J41,'B_Sheet Forecast'!J54,'B_Sheet Forecast'!K56)</f>
        <v>814.46065457258703</v>
      </c>
      <c r="K13" s="47">
        <f>SUM('B_Sheet Forecast'!K39,'B_Sheet Forecast'!K41,'B_Sheet Forecast'!K54,'B_Sheet Forecast'!L56)</f>
        <v>905.47262008193798</v>
      </c>
      <c r="L13" s="47">
        <f>SUM('B_Sheet Forecast'!L39,'B_Sheet Forecast'!L41,'B_Sheet Forecast'!L54,'B_Sheet Forecast'!M56)</f>
        <v>1013.9573506855105</v>
      </c>
      <c r="M13" s="47">
        <f>SUM('B_Sheet Forecast'!M39,'B_Sheet Forecast'!M41,'B_Sheet Forecast'!M54,'B_Sheet Forecast'!N56)</f>
        <v>1144.5027348899373</v>
      </c>
      <c r="N13" s="47">
        <f>SUM('B_Sheet Forecast'!N39,'B_Sheet Forecast'!N41,'B_Sheet Forecast'!N54,'B_Sheet Forecast'!O56)</f>
        <v>1303.0382644834704</v>
      </c>
      <c r="O13" s="47">
        <f>SUM('B_Sheet Forecast'!O39,'B_Sheet Forecast'!O41,'B_Sheet Forecast'!O54,'B_Sheet Forecast'!P56)</f>
        <v>1497.23886079053</v>
      </c>
      <c r="P13" s="47">
        <f>SUM('B_Sheet Forecast'!P39,'B_Sheet Forecast'!P41,'B_Sheet Forecast'!P54,'B_Sheet Forecast'!Q56)</f>
        <v>1737.0511312624196</v>
      </c>
      <c r="Q13" s="47">
        <f>SUM('B_Sheet Forecast'!Q39,'B_Sheet Forecast'!Q41,'B_Sheet Forecast'!Q54,'B_Sheet Forecast'!R56)</f>
        <v>1845.8407990925684</v>
      </c>
    </row>
    <row r="14" spans="2:17" x14ac:dyDescent="0.25">
      <c r="B14" s="19" t="s">
        <v>164</v>
      </c>
      <c r="C14" s="19">
        <f>'Income Statement'!C18</f>
        <v>34</v>
      </c>
      <c r="D14" s="19">
        <f>'Income Statement'!D18</f>
        <v>39</v>
      </c>
      <c r="E14" s="19">
        <f>'Income Statement'!E18</f>
        <v>56</v>
      </c>
      <c r="F14" s="19">
        <f>'Income Statement'!F18</f>
        <v>73</v>
      </c>
      <c r="G14" s="19">
        <f>'Income Statement'!G18</f>
        <v>53</v>
      </c>
      <c r="H14" s="223">
        <f>H13*H15</f>
        <v>63.701955112290243</v>
      </c>
      <c r="I14" s="223">
        <f t="shared" ref="I14:Q14" si="3">I13*I15</f>
        <v>69.958187298755334</v>
      </c>
      <c r="J14" s="223">
        <f t="shared" si="3"/>
        <v>77.272682246114286</v>
      </c>
      <c r="K14" s="223">
        <f t="shared" si="3"/>
        <v>85.907523784394655</v>
      </c>
      <c r="L14" s="223">
        <f t="shared" si="3"/>
        <v>96.200109521251832</v>
      </c>
      <c r="M14" s="223">
        <f t="shared" si="3"/>
        <v>108.58571947759692</v>
      </c>
      <c r="N14" s="223">
        <f t="shared" si="3"/>
        <v>123.62691948428029</v>
      </c>
      <c r="O14" s="223">
        <f t="shared" si="3"/>
        <v>142.05187455877237</v>
      </c>
      <c r="P14" s="223">
        <f t="shared" si="3"/>
        <v>164.80427796936834</v>
      </c>
      <c r="Q14" s="223">
        <f t="shared" si="3"/>
        <v>175.12579489802951</v>
      </c>
    </row>
    <row r="15" spans="2:17" ht="15.75" thickBot="1" x14ac:dyDescent="0.3">
      <c r="B15" s="319" t="s">
        <v>186</v>
      </c>
      <c r="C15" s="45">
        <f>C14/C13</f>
        <v>6.6929133858267723E-2</v>
      </c>
      <c r="D15" s="45">
        <f t="shared" ref="D15:G15" si="4">D14/D13</f>
        <v>8.1419624217118999E-2</v>
      </c>
      <c r="E15" s="45">
        <f t="shared" si="4"/>
        <v>9.2105263157894732E-2</v>
      </c>
      <c r="F15" s="45">
        <f t="shared" si="4"/>
        <v>0.13825757575757575</v>
      </c>
      <c r="G15" s="45">
        <f t="shared" si="4"/>
        <v>9.5667870036101083E-2</v>
      </c>
      <c r="H15" s="46">
        <f>AVERAGE(C15:G15)</f>
        <v>9.4875893405391667E-2</v>
      </c>
      <c r="I15" s="46">
        <f>H15</f>
        <v>9.4875893405391667E-2</v>
      </c>
      <c r="J15" s="46">
        <f t="shared" ref="J15:Q15" si="5">I15</f>
        <v>9.4875893405391667E-2</v>
      </c>
      <c r="K15" s="46">
        <f t="shared" si="5"/>
        <v>9.4875893405391667E-2</v>
      </c>
      <c r="L15" s="46">
        <f t="shared" si="5"/>
        <v>9.4875893405391667E-2</v>
      </c>
      <c r="M15" s="46">
        <f t="shared" si="5"/>
        <v>9.4875893405391667E-2</v>
      </c>
      <c r="N15" s="46">
        <f t="shared" si="5"/>
        <v>9.4875893405391667E-2</v>
      </c>
      <c r="O15" s="46">
        <f t="shared" si="5"/>
        <v>9.4875893405391667E-2</v>
      </c>
      <c r="P15" s="46">
        <f t="shared" si="5"/>
        <v>9.4875893405391667E-2</v>
      </c>
      <c r="Q15" s="46">
        <f t="shared" si="5"/>
        <v>9.4875893405391667E-2</v>
      </c>
    </row>
  </sheetData>
  <mergeCells count="1">
    <mergeCell ref="B7:Q7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7:Q22"/>
  <sheetViews>
    <sheetView showGridLines="0" workbookViewId="0">
      <selection activeCell="E4" sqref="E4"/>
    </sheetView>
  </sheetViews>
  <sheetFormatPr defaultRowHeight="15" x14ac:dyDescent="0.25"/>
  <cols>
    <col min="1" max="1" width="1.85546875" customWidth="1"/>
    <col min="2" max="2" width="17.7109375" bestFit="1" customWidth="1"/>
  </cols>
  <sheetData>
    <row r="7" spans="2:17" ht="15.75" thickBot="1" x14ac:dyDescent="0.3">
      <c r="B7" s="341" t="s">
        <v>401</v>
      </c>
      <c r="C7" s="341"/>
      <c r="D7" s="341"/>
      <c r="E7" s="341"/>
      <c r="F7" s="341"/>
      <c r="G7" s="341"/>
      <c r="H7" s="341"/>
      <c r="I7" s="341"/>
      <c r="J7" s="341"/>
      <c r="K7" s="341"/>
      <c r="L7" s="341"/>
      <c r="M7" s="341"/>
      <c r="N7" s="341"/>
      <c r="O7" s="341"/>
      <c r="P7" s="341"/>
      <c r="Q7" s="341"/>
    </row>
    <row r="8" spans="2:17" x14ac:dyDescent="0.25">
      <c r="B8" s="24" t="s">
        <v>390</v>
      </c>
    </row>
    <row r="9" spans="2:17" x14ac:dyDescent="0.25">
      <c r="B9" s="271" t="s">
        <v>139</v>
      </c>
      <c r="C9" s="272">
        <v>2021</v>
      </c>
      <c r="D9" s="272">
        <f t="shared" ref="D9:Q9" si="0">C9+1</f>
        <v>2022</v>
      </c>
      <c r="E9" s="272">
        <f t="shared" si="0"/>
        <v>2023</v>
      </c>
      <c r="F9" s="272">
        <f t="shared" si="0"/>
        <v>2024</v>
      </c>
      <c r="G9" s="272">
        <f t="shared" si="0"/>
        <v>2025</v>
      </c>
      <c r="H9" s="270">
        <f t="shared" si="0"/>
        <v>2026</v>
      </c>
      <c r="I9" s="270">
        <f t="shared" si="0"/>
        <v>2027</v>
      </c>
      <c r="J9" s="270">
        <f t="shared" si="0"/>
        <v>2028</v>
      </c>
      <c r="K9" s="270">
        <f t="shared" si="0"/>
        <v>2029</v>
      </c>
      <c r="L9" s="270">
        <f t="shared" si="0"/>
        <v>2030</v>
      </c>
      <c r="M9" s="270">
        <f t="shared" si="0"/>
        <v>2031</v>
      </c>
      <c r="N9" s="270">
        <f t="shared" si="0"/>
        <v>2032</v>
      </c>
      <c r="O9" s="270">
        <f t="shared" si="0"/>
        <v>2033</v>
      </c>
      <c r="P9" s="270">
        <f t="shared" si="0"/>
        <v>2034</v>
      </c>
      <c r="Q9" s="270">
        <f t="shared" si="0"/>
        <v>2035</v>
      </c>
    </row>
    <row r="10" spans="2:17" x14ac:dyDescent="0.25">
      <c r="B10" s="37" t="s">
        <v>154</v>
      </c>
      <c r="C10" s="37">
        <v>365</v>
      </c>
      <c r="D10" s="37">
        <v>365</v>
      </c>
      <c r="E10" s="37">
        <v>365</v>
      </c>
      <c r="F10" s="37">
        <v>365</v>
      </c>
      <c r="G10" s="37">
        <v>365</v>
      </c>
      <c r="H10" s="37">
        <v>365</v>
      </c>
      <c r="I10" s="37">
        <v>365</v>
      </c>
      <c r="J10" s="37">
        <v>365</v>
      </c>
      <c r="K10" s="37">
        <v>365</v>
      </c>
      <c r="L10" s="37">
        <v>365</v>
      </c>
      <c r="M10" s="37">
        <v>365</v>
      </c>
      <c r="N10" s="37">
        <v>365</v>
      </c>
      <c r="O10" s="37">
        <v>365</v>
      </c>
      <c r="P10" s="37">
        <v>365</v>
      </c>
      <c r="Q10" s="37">
        <v>365</v>
      </c>
    </row>
    <row r="12" spans="2:17" x14ac:dyDescent="0.25">
      <c r="B12" s="322" t="s">
        <v>39</v>
      </c>
      <c r="C12" s="323">
        <f>'Balance Sheet'!C26</f>
        <v>1126</v>
      </c>
      <c r="D12" s="323">
        <f>'Balance Sheet'!D26</f>
        <v>1412</v>
      </c>
      <c r="E12" s="323">
        <f>'Balance Sheet'!E26</f>
        <v>1225</v>
      </c>
      <c r="F12" s="323">
        <f>'Balance Sheet'!F26</f>
        <v>1336</v>
      </c>
      <c r="G12" s="323">
        <f>'Balance Sheet'!G26</f>
        <v>1235</v>
      </c>
      <c r="H12" s="323">
        <f>H17*'Cost BuildUp'!H13/'Working Capital'!H10</f>
        <v>1577.3473186504516</v>
      </c>
      <c r="I12" s="323">
        <f>I17*'Cost BuildUp'!I13/'Working Capital'!I10</f>
        <v>1731.3997839547326</v>
      </c>
      <c r="J12" s="323">
        <f>J17*'Cost BuildUp'!J13/'Working Capital'!J10</f>
        <v>1911.3499127634241</v>
      </c>
      <c r="K12" s="323">
        <f>K17*'Cost BuildUp'!K13/'Working Capital'!K10</f>
        <v>2123.5912422389024</v>
      </c>
      <c r="L12" s="323">
        <f>L17*'Cost BuildUp'!L13/'Working Capital'!L10</f>
        <v>2376.3527975250918</v>
      </c>
      <c r="M12" s="323">
        <f>M17*'Cost BuildUp'!M13/'Working Capital'!M10</f>
        <v>2680.2489777596529</v>
      </c>
      <c r="N12" s="323">
        <f>N17*'Cost BuildUp'!N13/'Working Capital'!N10</f>
        <v>3048.9959610369888</v>
      </c>
      <c r="O12" s="323">
        <f>O17*'Cost BuildUp'!O13/'Working Capital'!O10</f>
        <v>3500.3451872286387</v>
      </c>
      <c r="P12" s="323">
        <f>P17*'Cost BuildUp'!P13/'Working Capital'!P10</f>
        <v>4057.2998382101478</v>
      </c>
      <c r="Q12" s="323">
        <f>Q17*'Cost BuildUp'!Q13/'Working Capital'!Q10</f>
        <v>4749.7002632302683</v>
      </c>
    </row>
    <row r="13" spans="2:17" x14ac:dyDescent="0.25">
      <c r="B13" s="322" t="s">
        <v>155</v>
      </c>
      <c r="C13" s="322">
        <f>'Balance Sheet'!C29</f>
        <v>388</v>
      </c>
      <c r="D13" s="322">
        <f>'Balance Sheet'!D29</f>
        <v>652</v>
      </c>
      <c r="E13" s="322">
        <f>'Balance Sheet'!E29</f>
        <v>1015</v>
      </c>
      <c r="F13" s="322">
        <f>'Balance Sheet'!F29</f>
        <v>1069</v>
      </c>
      <c r="G13" s="322">
        <f>'Balance Sheet'!G29</f>
        <v>1271</v>
      </c>
      <c r="H13" s="323">
        <f>H18*'Cost BuildUp'!H11/'Working Capital'!H10</f>
        <v>1061.8125050743738</v>
      </c>
      <c r="I13" s="323">
        <f>I18*'Cost BuildUp'!I11/'Working Capital'!I10</f>
        <v>1165.5149884548716</v>
      </c>
      <c r="J13" s="323">
        <f>J18*'Cost BuildUp'!J11/'Working Capital'!J10</f>
        <v>1286.6508313980044</v>
      </c>
      <c r="K13" s="323">
        <f>K18*'Cost BuildUp'!K11/'Working Capital'!K10</f>
        <v>1429.523929203431</v>
      </c>
      <c r="L13" s="323">
        <f>L18*'Cost BuildUp'!L11/'Working Capital'!L10</f>
        <v>1599.6737605256465</v>
      </c>
      <c r="M13" s="323">
        <f>M18*'Cost BuildUp'!M11/'Working Capital'!M10</f>
        <v>1804.2455505189068</v>
      </c>
      <c r="N13" s="323">
        <f>N18*'Cost BuildUp'!N11/'Working Capital'!N10</f>
        <v>2052.4725284474712</v>
      </c>
      <c r="O13" s="323">
        <f>O18*'Cost BuildUp'!O11/'Working Capital'!O10</f>
        <v>2356.3043141672911</v>
      </c>
      <c r="P13" s="323">
        <f>P18*'Cost BuildUp'!P11/'Working Capital'!P10</f>
        <v>2731.2258081078107</v>
      </c>
      <c r="Q13" s="323">
        <f>Q18*'Cost BuildUp'!Q11/'Working Capital'!Q10</f>
        <v>3197.3244416251255</v>
      </c>
    </row>
    <row r="14" spans="2:17" x14ac:dyDescent="0.25">
      <c r="B14" s="322" t="s">
        <v>156</v>
      </c>
      <c r="C14" s="322">
        <f>SUM('Balance Sheet'!C64:C65)</f>
        <v>1134</v>
      </c>
      <c r="D14" s="322">
        <f>SUM('Balance Sheet'!D64:D65)</f>
        <v>1344</v>
      </c>
      <c r="E14" s="322">
        <f>SUM('Balance Sheet'!E64:E65)</f>
        <v>1452</v>
      </c>
      <c r="F14" s="322">
        <f>SUM('Balance Sheet'!F64:F65)</f>
        <v>1581</v>
      </c>
      <c r="G14" s="322">
        <f>SUM('Balance Sheet'!G64:G65)</f>
        <v>1363</v>
      </c>
      <c r="H14" s="323">
        <f>H19*'Cost BuildUp'!H13/'Working Capital'!H10</f>
        <v>1711.1604452937675</v>
      </c>
      <c r="I14" s="323">
        <f>I19*'Cost BuildUp'!I13/'Working Capital'!I10</f>
        <v>1878.2818408239632</v>
      </c>
      <c r="J14" s="323">
        <f>J19*'Cost BuildUp'!J13/'Working Capital'!J10</f>
        <v>2073.4979095376088</v>
      </c>
      <c r="K14" s="323">
        <f>K19*'Cost BuildUp'!K13/'Working Capital'!K10</f>
        <v>2303.7445797292635</v>
      </c>
      <c r="L14" s="323">
        <f>L19*'Cost BuildUp'!L13/'Working Capital'!L10</f>
        <v>2577.9489799793696</v>
      </c>
      <c r="M14" s="323">
        <f>M19*'Cost BuildUp'!M13/'Working Capital'!M10</f>
        <v>2907.6259743512633</v>
      </c>
      <c r="N14" s="323">
        <f>N19*'Cost BuildUp'!N13/'Working Capital'!N10</f>
        <v>3307.6553430545609</v>
      </c>
      <c r="O14" s="323">
        <f>O19*'Cost BuildUp'!O13/'Working Capital'!O10</f>
        <v>3797.2944566100296</v>
      </c>
      <c r="P14" s="323">
        <f>P19*'Cost BuildUp'!P13/'Working Capital'!P10</f>
        <v>4401.4979553026042</v>
      </c>
      <c r="Q14" s="323">
        <f>Q19*'Cost BuildUp'!Q13/'Working Capital'!Q10</f>
        <v>5152.6376729728518</v>
      </c>
    </row>
    <row r="16" spans="2:17" x14ac:dyDescent="0.25">
      <c r="B16" s="6" t="s">
        <v>157</v>
      </c>
    </row>
    <row r="17" spans="2:17" x14ac:dyDescent="0.25">
      <c r="B17" s="320" t="s">
        <v>158</v>
      </c>
      <c r="C17" s="321">
        <f>C12/'Cost BuildUp'!C13*'Working Capital'!C10</f>
        <v>96.250585480093676</v>
      </c>
      <c r="D17" s="321">
        <f>D12/'Cost BuildUp'!D13*'Working Capital'!D10</f>
        <v>94.808682855040473</v>
      </c>
      <c r="E17" s="321">
        <f>E12/'Cost BuildUp'!E13*'Working Capital'!E10</f>
        <v>83.559147822836849</v>
      </c>
      <c r="F17" s="321">
        <f>F12/'Cost BuildUp'!F13*'Working Capital'!F10</f>
        <v>102.70429654591406</v>
      </c>
      <c r="G17" s="321">
        <f>G12/'Cost BuildUp'!G13*'Working Capital'!G10</f>
        <v>83.66276911655531</v>
      </c>
      <c r="H17" s="321">
        <f>AVERAGE(C17:G17)</f>
        <v>92.197096364088083</v>
      </c>
      <c r="I17" s="321">
        <f>H17</f>
        <v>92.197096364088083</v>
      </c>
      <c r="J17" s="321">
        <f t="shared" ref="J17:Q17" si="1">I17</f>
        <v>92.197096364088083</v>
      </c>
      <c r="K17" s="321">
        <f t="shared" si="1"/>
        <v>92.197096364088083</v>
      </c>
      <c r="L17" s="321">
        <f t="shared" si="1"/>
        <v>92.197096364088083</v>
      </c>
      <c r="M17" s="321">
        <f t="shared" si="1"/>
        <v>92.197096364088083</v>
      </c>
      <c r="N17" s="321">
        <f t="shared" si="1"/>
        <v>92.197096364088083</v>
      </c>
      <c r="O17" s="321">
        <f t="shared" si="1"/>
        <v>92.197096364088083</v>
      </c>
      <c r="P17" s="321">
        <f t="shared" si="1"/>
        <v>92.197096364088083</v>
      </c>
      <c r="Q17" s="321">
        <f t="shared" si="1"/>
        <v>92.197096364088083</v>
      </c>
    </row>
    <row r="18" spans="2:17" x14ac:dyDescent="0.25">
      <c r="B18" s="320" t="s">
        <v>159</v>
      </c>
      <c r="C18" s="321">
        <f>C13/'Cost BuildUp'!C11*'Working Capital'!C10</f>
        <v>17.596918489065605</v>
      </c>
      <c r="D18" s="321">
        <f>D13/'Cost BuildUp'!D11*'Working Capital'!D10</f>
        <v>25.018923465096723</v>
      </c>
      <c r="E18" s="321">
        <f>E13/'Cost BuildUp'!E11*'Working Capital'!E10</f>
        <v>37.942953707496926</v>
      </c>
      <c r="F18" s="321">
        <f>F13/'Cost BuildUp'!F11*'Working Capital'!F10</f>
        <v>40.421112607479543</v>
      </c>
      <c r="G18" s="321">
        <f>G13/'Cost BuildUp'!G11*'Working Capital'!G10</f>
        <v>42.83214846274582</v>
      </c>
      <c r="H18" s="321">
        <f>AVERAGE(C18:G18)</f>
        <v>32.762411346376922</v>
      </c>
      <c r="I18" s="321">
        <f>H18</f>
        <v>32.762411346376922</v>
      </c>
      <c r="J18" s="321">
        <f t="shared" ref="J18:Q18" si="2">I18</f>
        <v>32.762411346376922</v>
      </c>
      <c r="K18" s="321">
        <f t="shared" si="2"/>
        <v>32.762411346376922</v>
      </c>
      <c r="L18" s="321">
        <f t="shared" si="2"/>
        <v>32.762411346376922</v>
      </c>
      <c r="M18" s="321">
        <f t="shared" si="2"/>
        <v>32.762411346376922</v>
      </c>
      <c r="N18" s="321">
        <f t="shared" si="2"/>
        <v>32.762411346376922</v>
      </c>
      <c r="O18" s="321">
        <f t="shared" si="2"/>
        <v>32.762411346376922</v>
      </c>
      <c r="P18" s="321">
        <f t="shared" si="2"/>
        <v>32.762411346376922</v>
      </c>
      <c r="Q18" s="321">
        <f t="shared" si="2"/>
        <v>32.762411346376922</v>
      </c>
    </row>
    <row r="19" spans="2:17" x14ac:dyDescent="0.25">
      <c r="B19" s="320" t="s">
        <v>160</v>
      </c>
      <c r="C19" s="321">
        <f>C14/'Cost BuildUp'!C13*'Working Capital'!C10</f>
        <v>96.93442622950819</v>
      </c>
      <c r="D19" s="321">
        <f>D14/'Cost BuildUp'!D13*'Working Capital'!D10</f>
        <v>90.24282560706402</v>
      </c>
      <c r="E19" s="321">
        <f>E14/'Cost BuildUp'!E13*'Working Capital'!E10</f>
        <v>99.043169501027847</v>
      </c>
      <c r="F19" s="321">
        <f>F14/'Cost BuildUp'!F13*'Working Capital'!F10</f>
        <v>121.53854254422916</v>
      </c>
      <c r="G19" s="321">
        <f>G14/'Cost BuildUp'!G13*'Working Capital'!G10</f>
        <v>92.333890126206384</v>
      </c>
      <c r="H19" s="321">
        <f>AVERAGE(C19:G19)</f>
        <v>100.01857080160713</v>
      </c>
      <c r="I19" s="321">
        <f>H19</f>
        <v>100.01857080160713</v>
      </c>
      <c r="J19" s="321">
        <f t="shared" ref="J19:Q19" si="3">I19</f>
        <v>100.01857080160713</v>
      </c>
      <c r="K19" s="321">
        <f t="shared" si="3"/>
        <v>100.01857080160713</v>
      </c>
      <c r="L19" s="321">
        <f t="shared" si="3"/>
        <v>100.01857080160713</v>
      </c>
      <c r="M19" s="321">
        <f t="shared" si="3"/>
        <v>100.01857080160713</v>
      </c>
      <c r="N19" s="321">
        <f t="shared" si="3"/>
        <v>100.01857080160713</v>
      </c>
      <c r="O19" s="321">
        <f t="shared" si="3"/>
        <v>100.01857080160713</v>
      </c>
      <c r="P19" s="321">
        <f t="shared" si="3"/>
        <v>100.01857080160713</v>
      </c>
      <c r="Q19" s="321">
        <f t="shared" si="3"/>
        <v>100.01857080160713</v>
      </c>
    </row>
    <row r="22" spans="2:17" x14ac:dyDescent="0.25">
      <c r="F22" s="25"/>
      <c r="G22" s="25"/>
    </row>
  </sheetData>
  <mergeCells count="1">
    <mergeCell ref="B7:Q7"/>
  </mergeCells>
  <pageMargins left="0.7" right="0.7" top="0.75" bottom="0.75" header="0.3" footer="0.3"/>
  <ignoredErrors>
    <ignoredError sqref="C14:G14" formulaRange="1"/>
    <ignoredError sqref="C18:G18 H13:Q13" formula="1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8:F2488"/>
  <sheetViews>
    <sheetView showGridLines="0" workbookViewId="0">
      <selection activeCell="J9" sqref="J9"/>
    </sheetView>
  </sheetViews>
  <sheetFormatPr defaultRowHeight="15" x14ac:dyDescent="0.25"/>
  <cols>
    <col min="1" max="1" width="1.85546875" customWidth="1"/>
    <col min="2" max="2" width="10.140625" bestFit="1" customWidth="1"/>
  </cols>
  <sheetData>
    <row r="8" spans="2:6" ht="15.75" thickBot="1" x14ac:dyDescent="0.3">
      <c r="B8" s="341" t="s">
        <v>402</v>
      </c>
      <c r="C8" s="341"/>
      <c r="D8" s="341"/>
      <c r="E8" s="341"/>
      <c r="F8" s="341"/>
    </row>
    <row r="10" spans="2:6" x14ac:dyDescent="0.25">
      <c r="B10" s="102" t="s">
        <v>221</v>
      </c>
      <c r="C10" s="102" t="s">
        <v>222</v>
      </c>
    </row>
    <row r="11" spans="2:6" x14ac:dyDescent="0.25">
      <c r="B11" s="103">
        <v>42229</v>
      </c>
      <c r="C11" s="104">
        <v>27549.53</v>
      </c>
      <c r="E11" s="324" t="s">
        <v>223</v>
      </c>
      <c r="F11" s="324">
        <f>YEARFRAC(B2488,B11)</f>
        <v>10</v>
      </c>
    </row>
    <row r="12" spans="2:6" ht="15.75" thickBot="1" x14ac:dyDescent="0.3">
      <c r="B12" s="105">
        <v>42230</v>
      </c>
      <c r="C12" s="106">
        <v>28067.31</v>
      </c>
      <c r="E12" s="325" t="s">
        <v>224</v>
      </c>
      <c r="F12" s="326">
        <f>_xlfn.RRI(F11,C11,C2488)</f>
        <v>0.11324228634046007</v>
      </c>
    </row>
    <row r="13" spans="2:6" x14ac:dyDescent="0.25">
      <c r="B13" s="105">
        <v>42233</v>
      </c>
      <c r="C13" s="106">
        <v>27878.27</v>
      </c>
    </row>
    <row r="14" spans="2:6" x14ac:dyDescent="0.25">
      <c r="B14" s="105">
        <v>42234</v>
      </c>
      <c r="C14" s="106">
        <v>27831.54</v>
      </c>
    </row>
    <row r="15" spans="2:6" x14ac:dyDescent="0.25">
      <c r="B15" s="105">
        <v>42235</v>
      </c>
      <c r="C15" s="106">
        <v>27931.64</v>
      </c>
    </row>
    <row r="16" spans="2:6" x14ac:dyDescent="0.25">
      <c r="B16" s="105">
        <v>42236</v>
      </c>
      <c r="C16" s="106">
        <v>27607.82</v>
      </c>
    </row>
    <row r="17" spans="2:3" x14ac:dyDescent="0.25">
      <c r="B17" s="105">
        <v>42237</v>
      </c>
      <c r="C17" s="106">
        <v>27366.07</v>
      </c>
    </row>
    <row r="18" spans="2:3" x14ac:dyDescent="0.25">
      <c r="B18" s="105">
        <v>42240</v>
      </c>
      <c r="C18" s="106">
        <v>25741.56</v>
      </c>
    </row>
    <row r="19" spans="2:3" x14ac:dyDescent="0.25">
      <c r="B19" s="105">
        <v>42241</v>
      </c>
      <c r="C19" s="106">
        <v>26032.38</v>
      </c>
    </row>
    <row r="20" spans="2:3" x14ac:dyDescent="0.25">
      <c r="B20" s="105">
        <v>42242</v>
      </c>
      <c r="C20" s="106">
        <v>25714.66</v>
      </c>
    </row>
    <row r="21" spans="2:3" x14ac:dyDescent="0.25">
      <c r="B21" s="105">
        <v>42243</v>
      </c>
      <c r="C21" s="106">
        <v>26231.19</v>
      </c>
    </row>
    <row r="22" spans="2:3" x14ac:dyDescent="0.25">
      <c r="B22" s="105">
        <v>42244</v>
      </c>
      <c r="C22" s="106">
        <v>26392.38</v>
      </c>
    </row>
    <row r="23" spans="2:3" x14ac:dyDescent="0.25">
      <c r="B23" s="105">
        <v>42247</v>
      </c>
      <c r="C23" s="106">
        <v>26283.09</v>
      </c>
    </row>
    <row r="24" spans="2:3" x14ac:dyDescent="0.25">
      <c r="B24" s="105">
        <v>42248</v>
      </c>
      <c r="C24" s="106">
        <v>25696.44</v>
      </c>
    </row>
    <row r="25" spans="2:3" x14ac:dyDescent="0.25">
      <c r="B25" s="105">
        <v>42249</v>
      </c>
      <c r="C25" s="106">
        <v>25453.56</v>
      </c>
    </row>
    <row r="26" spans="2:3" x14ac:dyDescent="0.25">
      <c r="B26" s="105">
        <v>42250</v>
      </c>
      <c r="C26" s="106">
        <v>25764.78</v>
      </c>
    </row>
    <row r="27" spans="2:3" x14ac:dyDescent="0.25">
      <c r="B27" s="105">
        <v>42251</v>
      </c>
      <c r="C27" s="106">
        <v>25201.9</v>
      </c>
    </row>
    <row r="28" spans="2:3" x14ac:dyDescent="0.25">
      <c r="B28" s="105">
        <v>42254</v>
      </c>
      <c r="C28" s="106">
        <v>24893.81</v>
      </c>
    </row>
    <row r="29" spans="2:3" x14ac:dyDescent="0.25">
      <c r="B29" s="105">
        <v>42255</v>
      </c>
      <c r="C29" s="106">
        <v>25317.87</v>
      </c>
    </row>
    <row r="30" spans="2:3" x14ac:dyDescent="0.25">
      <c r="B30" s="105">
        <v>42256</v>
      </c>
      <c r="C30" s="106">
        <v>25719.58</v>
      </c>
    </row>
    <row r="31" spans="2:3" x14ac:dyDescent="0.25">
      <c r="B31" s="105">
        <v>42257</v>
      </c>
      <c r="C31" s="106">
        <v>25622.17</v>
      </c>
    </row>
    <row r="32" spans="2:3" x14ac:dyDescent="0.25">
      <c r="B32" s="105">
        <v>42258</v>
      </c>
      <c r="C32" s="106">
        <v>25610.21</v>
      </c>
    </row>
    <row r="33" spans="2:3" x14ac:dyDescent="0.25">
      <c r="B33" s="105">
        <v>42261</v>
      </c>
      <c r="C33" s="106">
        <v>25856.7</v>
      </c>
    </row>
    <row r="34" spans="2:3" x14ac:dyDescent="0.25">
      <c r="B34" s="105">
        <v>42262</v>
      </c>
      <c r="C34" s="106">
        <v>25705.93</v>
      </c>
    </row>
    <row r="35" spans="2:3" x14ac:dyDescent="0.25">
      <c r="B35" s="105">
        <v>42263</v>
      </c>
      <c r="C35" s="106">
        <v>25963.97</v>
      </c>
    </row>
    <row r="36" spans="2:3" x14ac:dyDescent="0.25">
      <c r="B36" s="105">
        <v>42265</v>
      </c>
      <c r="C36" s="106">
        <v>26218.91</v>
      </c>
    </row>
    <row r="37" spans="2:3" x14ac:dyDescent="0.25">
      <c r="B37" s="105">
        <v>42268</v>
      </c>
      <c r="C37" s="106">
        <v>26192.98</v>
      </c>
    </row>
    <row r="38" spans="2:3" x14ac:dyDescent="0.25">
      <c r="B38" s="105">
        <v>42269</v>
      </c>
      <c r="C38" s="106">
        <v>25651.84</v>
      </c>
    </row>
    <row r="39" spans="2:3" x14ac:dyDescent="0.25">
      <c r="B39" s="105">
        <v>42270</v>
      </c>
      <c r="C39" s="106">
        <v>25822.99</v>
      </c>
    </row>
    <row r="40" spans="2:3" x14ac:dyDescent="0.25">
      <c r="B40" s="105">
        <v>42271</v>
      </c>
      <c r="C40" s="106">
        <v>25863.5</v>
      </c>
    </row>
    <row r="41" spans="2:3" x14ac:dyDescent="0.25">
      <c r="B41" s="105">
        <v>42275</v>
      </c>
      <c r="C41" s="106">
        <v>25616.84</v>
      </c>
    </row>
    <row r="42" spans="2:3" x14ac:dyDescent="0.25">
      <c r="B42" s="105">
        <v>42276</v>
      </c>
      <c r="C42" s="106">
        <v>25778.66</v>
      </c>
    </row>
    <row r="43" spans="2:3" x14ac:dyDescent="0.25">
      <c r="B43" s="105">
        <v>42277</v>
      </c>
      <c r="C43" s="106">
        <v>26154.83</v>
      </c>
    </row>
    <row r="44" spans="2:3" x14ac:dyDescent="0.25">
      <c r="B44" s="105">
        <v>42278</v>
      </c>
      <c r="C44" s="106">
        <v>26220.95</v>
      </c>
    </row>
    <row r="45" spans="2:3" x14ac:dyDescent="0.25">
      <c r="B45" s="105">
        <v>42282</v>
      </c>
      <c r="C45" s="106">
        <v>26785.55</v>
      </c>
    </row>
    <row r="46" spans="2:3" x14ac:dyDescent="0.25">
      <c r="B46" s="105">
        <v>42283</v>
      </c>
      <c r="C46" s="106">
        <v>26932.880000000001</v>
      </c>
    </row>
    <row r="47" spans="2:3" x14ac:dyDescent="0.25">
      <c r="B47" s="105">
        <v>42284</v>
      </c>
      <c r="C47" s="106">
        <v>27035.85</v>
      </c>
    </row>
    <row r="48" spans="2:3" x14ac:dyDescent="0.25">
      <c r="B48" s="105">
        <v>42285</v>
      </c>
      <c r="C48" s="106">
        <v>26845.81</v>
      </c>
    </row>
    <row r="49" spans="2:3" x14ac:dyDescent="0.25">
      <c r="B49" s="105">
        <v>42286</v>
      </c>
      <c r="C49" s="106">
        <v>27079.51</v>
      </c>
    </row>
    <row r="50" spans="2:3" x14ac:dyDescent="0.25">
      <c r="B50" s="105">
        <v>42289</v>
      </c>
      <c r="C50" s="106">
        <v>26904.11</v>
      </c>
    </row>
    <row r="51" spans="2:3" x14ac:dyDescent="0.25">
      <c r="B51" s="105">
        <v>42290</v>
      </c>
      <c r="C51" s="106">
        <v>26846.53</v>
      </c>
    </row>
    <row r="52" spans="2:3" x14ac:dyDescent="0.25">
      <c r="B52" s="105">
        <v>42291</v>
      </c>
      <c r="C52" s="106">
        <v>26779.66</v>
      </c>
    </row>
    <row r="53" spans="2:3" x14ac:dyDescent="0.25">
      <c r="B53" s="105">
        <v>42292</v>
      </c>
      <c r="C53" s="106">
        <v>27010.14</v>
      </c>
    </row>
    <row r="54" spans="2:3" x14ac:dyDescent="0.25">
      <c r="B54" s="105">
        <v>42293</v>
      </c>
      <c r="C54" s="106">
        <v>27214.6</v>
      </c>
    </row>
    <row r="55" spans="2:3" x14ac:dyDescent="0.25">
      <c r="B55" s="105">
        <v>42296</v>
      </c>
      <c r="C55" s="106">
        <v>27364.92</v>
      </c>
    </row>
    <row r="56" spans="2:3" x14ac:dyDescent="0.25">
      <c r="B56" s="105">
        <v>42297</v>
      </c>
      <c r="C56" s="106">
        <v>27306.83</v>
      </c>
    </row>
    <row r="57" spans="2:3" x14ac:dyDescent="0.25">
      <c r="B57" s="105">
        <v>42298</v>
      </c>
      <c r="C57" s="106">
        <v>27287.66</v>
      </c>
    </row>
    <row r="58" spans="2:3" x14ac:dyDescent="0.25">
      <c r="B58" s="105">
        <v>42300</v>
      </c>
      <c r="C58" s="106">
        <v>27470.81</v>
      </c>
    </row>
    <row r="59" spans="2:3" x14ac:dyDescent="0.25">
      <c r="B59" s="105">
        <v>42303</v>
      </c>
      <c r="C59" s="106">
        <v>27361.96</v>
      </c>
    </row>
    <row r="60" spans="2:3" x14ac:dyDescent="0.25">
      <c r="B60" s="105">
        <v>42304</v>
      </c>
      <c r="C60" s="106">
        <v>27253.439999999999</v>
      </c>
    </row>
    <row r="61" spans="2:3" x14ac:dyDescent="0.25">
      <c r="B61" s="105">
        <v>42305</v>
      </c>
      <c r="C61" s="106">
        <v>27039.759999999998</v>
      </c>
    </row>
    <row r="62" spans="2:3" x14ac:dyDescent="0.25">
      <c r="B62" s="105">
        <v>42306</v>
      </c>
      <c r="C62" s="106">
        <v>26838.14</v>
      </c>
    </row>
    <row r="63" spans="2:3" x14ac:dyDescent="0.25">
      <c r="B63" s="105">
        <v>42307</v>
      </c>
      <c r="C63" s="106">
        <v>26656.83</v>
      </c>
    </row>
    <row r="64" spans="2:3" x14ac:dyDescent="0.25">
      <c r="B64" s="105">
        <v>42310</v>
      </c>
      <c r="C64" s="106">
        <v>26559.15</v>
      </c>
    </row>
    <row r="65" spans="2:3" x14ac:dyDescent="0.25">
      <c r="B65" s="105">
        <v>42311</v>
      </c>
      <c r="C65" s="106">
        <v>26590.59</v>
      </c>
    </row>
    <row r="66" spans="2:3" x14ac:dyDescent="0.25">
      <c r="B66" s="105">
        <v>42312</v>
      </c>
      <c r="C66" s="106">
        <v>26552.92</v>
      </c>
    </row>
    <row r="67" spans="2:3" x14ac:dyDescent="0.25">
      <c r="B67" s="105">
        <v>42313</v>
      </c>
      <c r="C67" s="106">
        <v>26304.2</v>
      </c>
    </row>
    <row r="68" spans="2:3" x14ac:dyDescent="0.25">
      <c r="B68" s="105">
        <v>42314</v>
      </c>
      <c r="C68" s="106">
        <v>26265.24</v>
      </c>
    </row>
    <row r="69" spans="2:3" x14ac:dyDescent="0.25">
      <c r="B69" s="105">
        <v>42317</v>
      </c>
      <c r="C69" s="106">
        <v>26121.4</v>
      </c>
    </row>
    <row r="70" spans="2:3" x14ac:dyDescent="0.25">
      <c r="B70" s="105">
        <v>42318</v>
      </c>
      <c r="C70" s="106">
        <v>25743.26</v>
      </c>
    </row>
    <row r="71" spans="2:3" x14ac:dyDescent="0.25">
      <c r="B71" s="105">
        <v>42319</v>
      </c>
      <c r="C71" s="106">
        <v>25866.95</v>
      </c>
    </row>
    <row r="72" spans="2:3" x14ac:dyDescent="0.25">
      <c r="B72" s="105">
        <v>42321</v>
      </c>
      <c r="C72" s="106">
        <v>25610.53</v>
      </c>
    </row>
    <row r="73" spans="2:3" x14ac:dyDescent="0.25">
      <c r="B73" s="105">
        <v>42324</v>
      </c>
      <c r="C73" s="106">
        <v>25760.1</v>
      </c>
    </row>
    <row r="74" spans="2:3" x14ac:dyDescent="0.25">
      <c r="B74" s="105">
        <v>42325</v>
      </c>
      <c r="C74" s="106">
        <v>25864.47</v>
      </c>
    </row>
    <row r="75" spans="2:3" x14ac:dyDescent="0.25">
      <c r="B75" s="105">
        <v>42326</v>
      </c>
      <c r="C75" s="106">
        <v>25482.52</v>
      </c>
    </row>
    <row r="76" spans="2:3" x14ac:dyDescent="0.25">
      <c r="B76" s="105">
        <v>42327</v>
      </c>
      <c r="C76" s="106">
        <v>25841.919999999998</v>
      </c>
    </row>
    <row r="77" spans="2:3" x14ac:dyDescent="0.25">
      <c r="B77" s="105">
        <v>42328</v>
      </c>
      <c r="C77" s="106">
        <v>25868.49</v>
      </c>
    </row>
    <row r="78" spans="2:3" x14ac:dyDescent="0.25">
      <c r="B78" s="105">
        <v>42331</v>
      </c>
      <c r="C78" s="106">
        <v>25819.34</v>
      </c>
    </row>
    <row r="79" spans="2:3" x14ac:dyDescent="0.25">
      <c r="B79" s="105">
        <v>42332</v>
      </c>
      <c r="C79" s="106">
        <v>25775.74</v>
      </c>
    </row>
    <row r="80" spans="2:3" x14ac:dyDescent="0.25">
      <c r="B80" s="105">
        <v>42334</v>
      </c>
      <c r="C80" s="106">
        <v>25958.63</v>
      </c>
    </row>
    <row r="81" spans="2:3" x14ac:dyDescent="0.25">
      <c r="B81" s="105">
        <v>42335</v>
      </c>
      <c r="C81" s="106">
        <v>26128.2</v>
      </c>
    </row>
    <row r="82" spans="2:3" x14ac:dyDescent="0.25">
      <c r="B82" s="105">
        <v>42338</v>
      </c>
      <c r="C82" s="106">
        <v>26145.67</v>
      </c>
    </row>
    <row r="83" spans="2:3" x14ac:dyDescent="0.25">
      <c r="B83" s="105">
        <v>42339</v>
      </c>
      <c r="C83" s="106">
        <v>26169.41</v>
      </c>
    </row>
    <row r="84" spans="2:3" x14ac:dyDescent="0.25">
      <c r="B84" s="105">
        <v>42340</v>
      </c>
      <c r="C84" s="106">
        <v>26117.85</v>
      </c>
    </row>
    <row r="85" spans="2:3" x14ac:dyDescent="0.25">
      <c r="B85" s="105">
        <v>42341</v>
      </c>
      <c r="C85" s="106">
        <v>25886.62</v>
      </c>
    </row>
    <row r="86" spans="2:3" x14ac:dyDescent="0.25">
      <c r="B86" s="105">
        <v>42342</v>
      </c>
      <c r="C86" s="106">
        <v>25638.11</v>
      </c>
    </row>
    <row r="87" spans="2:3" x14ac:dyDescent="0.25">
      <c r="B87" s="105">
        <v>42345</v>
      </c>
      <c r="C87" s="106">
        <v>25530.11</v>
      </c>
    </row>
    <row r="88" spans="2:3" x14ac:dyDescent="0.25">
      <c r="B88" s="105">
        <v>42346</v>
      </c>
      <c r="C88" s="106">
        <v>25310.33</v>
      </c>
    </row>
    <row r="89" spans="2:3" x14ac:dyDescent="0.25">
      <c r="B89" s="105">
        <v>42347</v>
      </c>
      <c r="C89" s="106">
        <v>25036.05</v>
      </c>
    </row>
    <row r="90" spans="2:3" x14ac:dyDescent="0.25">
      <c r="B90" s="105">
        <v>42348</v>
      </c>
      <c r="C90" s="106">
        <v>25252.32</v>
      </c>
    </row>
    <row r="91" spans="2:3" x14ac:dyDescent="0.25">
      <c r="B91" s="105">
        <v>42349</v>
      </c>
      <c r="C91" s="106">
        <v>25044.43</v>
      </c>
    </row>
    <row r="92" spans="2:3" x14ac:dyDescent="0.25">
      <c r="B92" s="105">
        <v>42352</v>
      </c>
      <c r="C92" s="106">
        <v>25150.35</v>
      </c>
    </row>
    <row r="93" spans="2:3" x14ac:dyDescent="0.25">
      <c r="B93" s="105">
        <v>42353</v>
      </c>
      <c r="C93" s="106">
        <v>25320.44</v>
      </c>
    </row>
    <row r="94" spans="2:3" x14ac:dyDescent="0.25">
      <c r="B94" s="105">
        <v>42354</v>
      </c>
      <c r="C94" s="106">
        <v>25494.37</v>
      </c>
    </row>
    <row r="95" spans="2:3" x14ac:dyDescent="0.25">
      <c r="B95" s="105">
        <v>42355</v>
      </c>
      <c r="C95" s="106">
        <v>25803.78</v>
      </c>
    </row>
    <row r="96" spans="2:3" x14ac:dyDescent="0.25">
      <c r="B96" s="105">
        <v>42356</v>
      </c>
      <c r="C96" s="106">
        <v>25519.22</v>
      </c>
    </row>
    <row r="97" spans="2:3" x14ac:dyDescent="0.25">
      <c r="B97" s="105">
        <v>42359</v>
      </c>
      <c r="C97" s="106">
        <v>25735.9</v>
      </c>
    </row>
    <row r="98" spans="2:3" x14ac:dyDescent="0.25">
      <c r="B98" s="105">
        <v>42360</v>
      </c>
      <c r="C98" s="106">
        <v>25590.65</v>
      </c>
    </row>
    <row r="99" spans="2:3" x14ac:dyDescent="0.25">
      <c r="B99" s="105">
        <v>42361</v>
      </c>
      <c r="C99" s="106">
        <v>25850.3</v>
      </c>
    </row>
    <row r="100" spans="2:3" x14ac:dyDescent="0.25">
      <c r="B100" s="105">
        <v>42362</v>
      </c>
      <c r="C100" s="106">
        <v>25838.71</v>
      </c>
    </row>
    <row r="101" spans="2:3" x14ac:dyDescent="0.25">
      <c r="B101" s="105">
        <v>42366</v>
      </c>
      <c r="C101" s="106">
        <v>26034.13</v>
      </c>
    </row>
    <row r="102" spans="2:3" x14ac:dyDescent="0.25">
      <c r="B102" s="105">
        <v>42367</v>
      </c>
      <c r="C102" s="106">
        <v>26079.48</v>
      </c>
    </row>
    <row r="103" spans="2:3" x14ac:dyDescent="0.25">
      <c r="B103" s="105">
        <v>42368</v>
      </c>
      <c r="C103" s="106">
        <v>25960.03</v>
      </c>
    </row>
    <row r="104" spans="2:3" x14ac:dyDescent="0.25">
      <c r="B104" s="105">
        <v>42369</v>
      </c>
      <c r="C104" s="106">
        <v>26117.54</v>
      </c>
    </row>
    <row r="105" spans="2:3" x14ac:dyDescent="0.25">
      <c r="B105" s="105">
        <v>42370</v>
      </c>
      <c r="C105" s="106">
        <v>26160.9</v>
      </c>
    </row>
    <row r="106" spans="2:3" x14ac:dyDescent="0.25">
      <c r="B106" s="105">
        <v>42373</v>
      </c>
      <c r="C106" s="106">
        <v>25623.35</v>
      </c>
    </row>
    <row r="107" spans="2:3" x14ac:dyDescent="0.25">
      <c r="B107" s="105">
        <v>42374</v>
      </c>
      <c r="C107" s="106">
        <v>25580.34</v>
      </c>
    </row>
    <row r="108" spans="2:3" x14ac:dyDescent="0.25">
      <c r="B108" s="105">
        <v>42375</v>
      </c>
      <c r="C108" s="106">
        <v>25406.33</v>
      </c>
    </row>
    <row r="109" spans="2:3" x14ac:dyDescent="0.25">
      <c r="B109" s="105">
        <v>42376</v>
      </c>
      <c r="C109" s="106">
        <v>24851.83</v>
      </c>
    </row>
    <row r="110" spans="2:3" x14ac:dyDescent="0.25">
      <c r="B110" s="105">
        <v>42377</v>
      </c>
      <c r="C110" s="106">
        <v>24934.33</v>
      </c>
    </row>
    <row r="111" spans="2:3" x14ac:dyDescent="0.25">
      <c r="B111" s="105">
        <v>42380</v>
      </c>
      <c r="C111" s="106">
        <v>24825.040000000001</v>
      </c>
    </row>
    <row r="112" spans="2:3" x14ac:dyDescent="0.25">
      <c r="B112" s="105">
        <v>42381</v>
      </c>
      <c r="C112" s="106">
        <v>24682.03</v>
      </c>
    </row>
    <row r="113" spans="2:3" x14ac:dyDescent="0.25">
      <c r="B113" s="105">
        <v>42382</v>
      </c>
      <c r="C113" s="106">
        <v>24854.11</v>
      </c>
    </row>
    <row r="114" spans="2:3" x14ac:dyDescent="0.25">
      <c r="B114" s="105">
        <v>42383</v>
      </c>
      <c r="C114" s="106">
        <v>24772.97</v>
      </c>
    </row>
    <row r="115" spans="2:3" x14ac:dyDescent="0.25">
      <c r="B115" s="105">
        <v>42384</v>
      </c>
      <c r="C115" s="106">
        <v>24455.040000000001</v>
      </c>
    </row>
    <row r="116" spans="2:3" x14ac:dyDescent="0.25">
      <c r="B116" s="105">
        <v>42387</v>
      </c>
      <c r="C116" s="106">
        <v>24188.37</v>
      </c>
    </row>
    <row r="117" spans="2:3" x14ac:dyDescent="0.25">
      <c r="B117" s="105">
        <v>42388</v>
      </c>
      <c r="C117" s="106">
        <v>24479.84</v>
      </c>
    </row>
    <row r="118" spans="2:3" x14ac:dyDescent="0.25">
      <c r="B118" s="105">
        <v>42389</v>
      </c>
      <c r="C118" s="106">
        <v>24062.04</v>
      </c>
    </row>
    <row r="119" spans="2:3" x14ac:dyDescent="0.25">
      <c r="B119" s="105">
        <v>42390</v>
      </c>
      <c r="C119" s="106">
        <v>23962.21</v>
      </c>
    </row>
    <row r="120" spans="2:3" x14ac:dyDescent="0.25">
      <c r="B120" s="105">
        <v>42391</v>
      </c>
      <c r="C120" s="106">
        <v>24435.66</v>
      </c>
    </row>
    <row r="121" spans="2:3" x14ac:dyDescent="0.25">
      <c r="B121" s="105">
        <v>42394</v>
      </c>
      <c r="C121" s="106">
        <v>24485.95</v>
      </c>
    </row>
    <row r="122" spans="2:3" x14ac:dyDescent="0.25">
      <c r="B122" s="105">
        <v>42396</v>
      </c>
      <c r="C122" s="106">
        <v>24492.39</v>
      </c>
    </row>
    <row r="123" spans="2:3" x14ac:dyDescent="0.25">
      <c r="B123" s="105">
        <v>42397</v>
      </c>
      <c r="C123" s="106">
        <v>24469.57</v>
      </c>
    </row>
    <row r="124" spans="2:3" x14ac:dyDescent="0.25">
      <c r="B124" s="105">
        <v>42398</v>
      </c>
      <c r="C124" s="106">
        <v>24870.69</v>
      </c>
    </row>
    <row r="125" spans="2:3" x14ac:dyDescent="0.25">
      <c r="B125" s="105">
        <v>42401</v>
      </c>
      <c r="C125" s="106">
        <v>24824.83</v>
      </c>
    </row>
    <row r="126" spans="2:3" x14ac:dyDescent="0.25">
      <c r="B126" s="105">
        <v>42402</v>
      </c>
      <c r="C126" s="106">
        <v>24539</v>
      </c>
    </row>
    <row r="127" spans="2:3" x14ac:dyDescent="0.25">
      <c r="B127" s="105">
        <v>42403</v>
      </c>
      <c r="C127" s="106">
        <v>24223.32</v>
      </c>
    </row>
    <row r="128" spans="2:3" x14ac:dyDescent="0.25">
      <c r="B128" s="105">
        <v>42404</v>
      </c>
      <c r="C128" s="106">
        <v>24338.43</v>
      </c>
    </row>
    <row r="129" spans="2:3" x14ac:dyDescent="0.25">
      <c r="B129" s="105">
        <v>42405</v>
      </c>
      <c r="C129" s="106">
        <v>24616.97</v>
      </c>
    </row>
    <row r="130" spans="2:3" x14ac:dyDescent="0.25">
      <c r="B130" s="105">
        <v>42408</v>
      </c>
      <c r="C130" s="106">
        <v>24287.42</v>
      </c>
    </row>
    <row r="131" spans="2:3" x14ac:dyDescent="0.25">
      <c r="B131" s="105">
        <v>42409</v>
      </c>
      <c r="C131" s="106">
        <v>24020.98</v>
      </c>
    </row>
    <row r="132" spans="2:3" x14ac:dyDescent="0.25">
      <c r="B132" s="105">
        <v>42410</v>
      </c>
      <c r="C132" s="106">
        <v>23758.9</v>
      </c>
    </row>
    <row r="133" spans="2:3" x14ac:dyDescent="0.25">
      <c r="B133" s="105">
        <v>42411</v>
      </c>
      <c r="C133" s="106">
        <v>22951.83</v>
      </c>
    </row>
    <row r="134" spans="2:3" x14ac:dyDescent="0.25">
      <c r="B134" s="105">
        <v>42412</v>
      </c>
      <c r="C134" s="106">
        <v>22986.12</v>
      </c>
    </row>
    <row r="135" spans="2:3" x14ac:dyDescent="0.25">
      <c r="B135" s="105">
        <v>42415</v>
      </c>
      <c r="C135" s="106">
        <v>23554.12</v>
      </c>
    </row>
    <row r="136" spans="2:3" x14ac:dyDescent="0.25">
      <c r="B136" s="105">
        <v>42416</v>
      </c>
      <c r="C136" s="106">
        <v>23191.97</v>
      </c>
    </row>
    <row r="137" spans="2:3" x14ac:dyDescent="0.25">
      <c r="B137" s="105">
        <v>42417</v>
      </c>
      <c r="C137" s="106">
        <v>23381.87</v>
      </c>
    </row>
    <row r="138" spans="2:3" x14ac:dyDescent="0.25">
      <c r="B138" s="105">
        <v>42418</v>
      </c>
      <c r="C138" s="106">
        <v>23649.22</v>
      </c>
    </row>
    <row r="139" spans="2:3" x14ac:dyDescent="0.25">
      <c r="B139" s="105">
        <v>42419</v>
      </c>
      <c r="C139" s="106">
        <v>23709.15</v>
      </c>
    </row>
    <row r="140" spans="2:3" x14ac:dyDescent="0.25">
      <c r="B140" s="105">
        <v>42422</v>
      </c>
      <c r="C140" s="106">
        <v>23788.79</v>
      </c>
    </row>
    <row r="141" spans="2:3" x14ac:dyDescent="0.25">
      <c r="B141" s="105">
        <v>42423</v>
      </c>
      <c r="C141" s="106">
        <v>23410.18</v>
      </c>
    </row>
    <row r="142" spans="2:3" x14ac:dyDescent="0.25">
      <c r="B142" s="105">
        <v>42424</v>
      </c>
      <c r="C142" s="106">
        <v>23088.93</v>
      </c>
    </row>
    <row r="143" spans="2:3" x14ac:dyDescent="0.25">
      <c r="B143" s="105">
        <v>42425</v>
      </c>
      <c r="C143" s="106">
        <v>22976</v>
      </c>
    </row>
    <row r="144" spans="2:3" x14ac:dyDescent="0.25">
      <c r="B144" s="105">
        <v>42426</v>
      </c>
      <c r="C144" s="106">
        <v>23154.3</v>
      </c>
    </row>
    <row r="145" spans="2:3" x14ac:dyDescent="0.25">
      <c r="B145" s="105">
        <v>42429</v>
      </c>
      <c r="C145" s="106">
        <v>23002</v>
      </c>
    </row>
    <row r="146" spans="2:3" x14ac:dyDescent="0.25">
      <c r="B146" s="105">
        <v>42430</v>
      </c>
      <c r="C146" s="106">
        <v>23779.35</v>
      </c>
    </row>
    <row r="147" spans="2:3" x14ac:dyDescent="0.25">
      <c r="B147" s="105">
        <v>42431</v>
      </c>
      <c r="C147" s="106">
        <v>24242.98</v>
      </c>
    </row>
    <row r="148" spans="2:3" x14ac:dyDescent="0.25">
      <c r="B148" s="105">
        <v>42432</v>
      </c>
      <c r="C148" s="106">
        <v>24606.99</v>
      </c>
    </row>
    <row r="149" spans="2:3" x14ac:dyDescent="0.25">
      <c r="B149" s="105">
        <v>42433</v>
      </c>
      <c r="C149" s="106">
        <v>24646.48</v>
      </c>
    </row>
    <row r="150" spans="2:3" x14ac:dyDescent="0.25">
      <c r="B150" s="105">
        <v>42437</v>
      </c>
      <c r="C150" s="106">
        <v>24659.23</v>
      </c>
    </row>
    <row r="151" spans="2:3" x14ac:dyDescent="0.25">
      <c r="B151" s="105">
        <v>42438</v>
      </c>
      <c r="C151" s="106">
        <v>24793.96</v>
      </c>
    </row>
    <row r="152" spans="2:3" x14ac:dyDescent="0.25">
      <c r="B152" s="105">
        <v>42439</v>
      </c>
      <c r="C152" s="106">
        <v>24623.34</v>
      </c>
    </row>
    <row r="153" spans="2:3" x14ac:dyDescent="0.25">
      <c r="B153" s="105">
        <v>42440</v>
      </c>
      <c r="C153" s="106">
        <v>24717.99</v>
      </c>
    </row>
    <row r="154" spans="2:3" x14ac:dyDescent="0.25">
      <c r="B154" s="105">
        <v>42443</v>
      </c>
      <c r="C154" s="106">
        <v>24804.28</v>
      </c>
    </row>
    <row r="155" spans="2:3" x14ac:dyDescent="0.25">
      <c r="B155" s="105">
        <v>42444</v>
      </c>
      <c r="C155" s="106">
        <v>24551.17</v>
      </c>
    </row>
    <row r="156" spans="2:3" x14ac:dyDescent="0.25">
      <c r="B156" s="105">
        <v>42445</v>
      </c>
      <c r="C156" s="106">
        <v>24682.48</v>
      </c>
    </row>
    <row r="157" spans="2:3" x14ac:dyDescent="0.25">
      <c r="B157" s="105">
        <v>42446</v>
      </c>
      <c r="C157" s="106">
        <v>24677.37</v>
      </c>
    </row>
    <row r="158" spans="2:3" x14ac:dyDescent="0.25">
      <c r="B158" s="105">
        <v>42447</v>
      </c>
      <c r="C158" s="106">
        <v>24952.74</v>
      </c>
    </row>
    <row r="159" spans="2:3" x14ac:dyDescent="0.25">
      <c r="B159" s="105">
        <v>42450</v>
      </c>
      <c r="C159" s="106">
        <v>25285.37</v>
      </c>
    </row>
    <row r="160" spans="2:3" x14ac:dyDescent="0.25">
      <c r="B160" s="105">
        <v>42451</v>
      </c>
      <c r="C160" s="106">
        <v>25330.49</v>
      </c>
    </row>
    <row r="161" spans="2:3" x14ac:dyDescent="0.25">
      <c r="B161" s="105">
        <v>42452</v>
      </c>
      <c r="C161" s="106">
        <v>25337.56</v>
      </c>
    </row>
    <row r="162" spans="2:3" x14ac:dyDescent="0.25">
      <c r="B162" s="105">
        <v>42457</v>
      </c>
      <c r="C162" s="106">
        <v>24966.400000000001</v>
      </c>
    </row>
    <row r="163" spans="2:3" x14ac:dyDescent="0.25">
      <c r="B163" s="105">
        <v>42458</v>
      </c>
      <c r="C163" s="106">
        <v>24900.46</v>
      </c>
    </row>
    <row r="164" spans="2:3" x14ac:dyDescent="0.25">
      <c r="B164" s="105">
        <v>42459</v>
      </c>
      <c r="C164" s="106">
        <v>25338.58</v>
      </c>
    </row>
    <row r="165" spans="2:3" x14ac:dyDescent="0.25">
      <c r="B165" s="105">
        <v>42460</v>
      </c>
      <c r="C165" s="106">
        <v>25341.86</v>
      </c>
    </row>
    <row r="166" spans="2:3" x14ac:dyDescent="0.25">
      <c r="B166" s="105">
        <v>42461</v>
      </c>
      <c r="C166" s="106">
        <v>25269.64</v>
      </c>
    </row>
    <row r="167" spans="2:3" x14ac:dyDescent="0.25">
      <c r="B167" s="105">
        <v>42464</v>
      </c>
      <c r="C167" s="106">
        <v>25399.65</v>
      </c>
    </row>
    <row r="168" spans="2:3" x14ac:dyDescent="0.25">
      <c r="B168" s="105">
        <v>42465</v>
      </c>
      <c r="C168" s="106">
        <v>24883.59</v>
      </c>
    </row>
    <row r="169" spans="2:3" x14ac:dyDescent="0.25">
      <c r="B169" s="105">
        <v>42466</v>
      </c>
      <c r="C169" s="106">
        <v>24900.63</v>
      </c>
    </row>
    <row r="170" spans="2:3" x14ac:dyDescent="0.25">
      <c r="B170" s="105">
        <v>42467</v>
      </c>
      <c r="C170" s="106">
        <v>24685.42</v>
      </c>
    </row>
    <row r="171" spans="2:3" x14ac:dyDescent="0.25">
      <c r="B171" s="105">
        <v>42468</v>
      </c>
      <c r="C171" s="106">
        <v>24673.84</v>
      </c>
    </row>
    <row r="172" spans="2:3" x14ac:dyDescent="0.25">
      <c r="B172" s="105">
        <v>42471</v>
      </c>
      <c r="C172" s="106">
        <v>25022.16</v>
      </c>
    </row>
    <row r="173" spans="2:3" x14ac:dyDescent="0.25">
      <c r="B173" s="105">
        <v>42472</v>
      </c>
      <c r="C173" s="106">
        <v>25145.59</v>
      </c>
    </row>
    <row r="174" spans="2:3" x14ac:dyDescent="0.25">
      <c r="B174" s="105">
        <v>42473</v>
      </c>
      <c r="C174" s="106">
        <v>25626.75</v>
      </c>
    </row>
    <row r="175" spans="2:3" x14ac:dyDescent="0.25">
      <c r="B175" s="105">
        <v>42478</v>
      </c>
      <c r="C175" s="106">
        <v>25816.36</v>
      </c>
    </row>
    <row r="176" spans="2:3" x14ac:dyDescent="0.25">
      <c r="B176" s="105">
        <v>42480</v>
      </c>
      <c r="C176" s="106">
        <v>25844.18</v>
      </c>
    </row>
    <row r="177" spans="2:3" x14ac:dyDescent="0.25">
      <c r="B177" s="105">
        <v>42481</v>
      </c>
      <c r="C177" s="106">
        <v>25880.38</v>
      </c>
    </row>
    <row r="178" spans="2:3" x14ac:dyDescent="0.25">
      <c r="B178" s="105">
        <v>42482</v>
      </c>
      <c r="C178" s="106">
        <v>25838.14</v>
      </c>
    </row>
    <row r="179" spans="2:3" x14ac:dyDescent="0.25">
      <c r="B179" s="105">
        <v>42485</v>
      </c>
      <c r="C179" s="106">
        <v>25678.93</v>
      </c>
    </row>
    <row r="180" spans="2:3" x14ac:dyDescent="0.25">
      <c r="B180" s="105">
        <v>42486</v>
      </c>
      <c r="C180" s="106">
        <v>26007.3</v>
      </c>
    </row>
    <row r="181" spans="2:3" x14ac:dyDescent="0.25">
      <c r="B181" s="105">
        <v>42487</v>
      </c>
      <c r="C181" s="106">
        <v>26064.12</v>
      </c>
    </row>
    <row r="182" spans="2:3" x14ac:dyDescent="0.25">
      <c r="B182" s="105">
        <v>42488</v>
      </c>
      <c r="C182" s="106">
        <v>25603.1</v>
      </c>
    </row>
    <row r="183" spans="2:3" x14ac:dyDescent="0.25">
      <c r="B183" s="105">
        <v>42489</v>
      </c>
      <c r="C183" s="106">
        <v>25606.62</v>
      </c>
    </row>
    <row r="184" spans="2:3" x14ac:dyDescent="0.25">
      <c r="B184" s="105">
        <v>42492</v>
      </c>
      <c r="C184" s="106">
        <v>25436.97</v>
      </c>
    </row>
    <row r="185" spans="2:3" x14ac:dyDescent="0.25">
      <c r="B185" s="105">
        <v>42493</v>
      </c>
      <c r="C185" s="106">
        <v>25229.7</v>
      </c>
    </row>
    <row r="186" spans="2:3" x14ac:dyDescent="0.25">
      <c r="B186" s="105">
        <v>42494</v>
      </c>
      <c r="C186" s="106">
        <v>25101.73</v>
      </c>
    </row>
    <row r="187" spans="2:3" x14ac:dyDescent="0.25">
      <c r="B187" s="105">
        <v>42495</v>
      </c>
      <c r="C187" s="106">
        <v>25262.21</v>
      </c>
    </row>
    <row r="188" spans="2:3" x14ac:dyDescent="0.25">
      <c r="B188" s="105">
        <v>42496</v>
      </c>
      <c r="C188" s="106">
        <v>25228.5</v>
      </c>
    </row>
    <row r="189" spans="2:3" x14ac:dyDescent="0.25">
      <c r="B189" s="105">
        <v>42499</v>
      </c>
      <c r="C189" s="106">
        <v>25688.86</v>
      </c>
    </row>
    <row r="190" spans="2:3" x14ac:dyDescent="0.25">
      <c r="B190" s="105">
        <v>42500</v>
      </c>
      <c r="C190" s="106">
        <v>25772.53</v>
      </c>
    </row>
    <row r="191" spans="2:3" x14ac:dyDescent="0.25">
      <c r="B191" s="105">
        <v>42501</v>
      </c>
      <c r="C191" s="106">
        <v>25597.02</v>
      </c>
    </row>
    <row r="192" spans="2:3" x14ac:dyDescent="0.25">
      <c r="B192" s="105">
        <v>42502</v>
      </c>
      <c r="C192" s="106">
        <v>25790.22</v>
      </c>
    </row>
    <row r="193" spans="2:3" x14ac:dyDescent="0.25">
      <c r="B193" s="105">
        <v>42503</v>
      </c>
      <c r="C193" s="106">
        <v>25489.57</v>
      </c>
    </row>
    <row r="194" spans="2:3" x14ac:dyDescent="0.25">
      <c r="B194" s="105">
        <v>42506</v>
      </c>
      <c r="C194" s="106">
        <v>25653.23</v>
      </c>
    </row>
    <row r="195" spans="2:3" x14ac:dyDescent="0.25">
      <c r="B195" s="105">
        <v>42507</v>
      </c>
      <c r="C195" s="106">
        <v>25773.61</v>
      </c>
    </row>
    <row r="196" spans="2:3" x14ac:dyDescent="0.25">
      <c r="B196" s="105">
        <v>42508</v>
      </c>
      <c r="C196" s="106">
        <v>25704.61</v>
      </c>
    </row>
    <row r="197" spans="2:3" x14ac:dyDescent="0.25">
      <c r="B197" s="105">
        <v>42509</v>
      </c>
      <c r="C197" s="106">
        <v>25399.72</v>
      </c>
    </row>
    <row r="198" spans="2:3" x14ac:dyDescent="0.25">
      <c r="B198" s="105">
        <v>42510</v>
      </c>
      <c r="C198" s="106">
        <v>25301.9</v>
      </c>
    </row>
    <row r="199" spans="2:3" x14ac:dyDescent="0.25">
      <c r="B199" s="105">
        <v>42513</v>
      </c>
      <c r="C199" s="106">
        <v>25230.36</v>
      </c>
    </row>
    <row r="200" spans="2:3" x14ac:dyDescent="0.25">
      <c r="B200" s="105">
        <v>42514</v>
      </c>
      <c r="C200" s="106">
        <v>25305.47</v>
      </c>
    </row>
    <row r="201" spans="2:3" x14ac:dyDescent="0.25">
      <c r="B201" s="105">
        <v>42515</v>
      </c>
      <c r="C201" s="106">
        <v>25881.17</v>
      </c>
    </row>
    <row r="202" spans="2:3" x14ac:dyDescent="0.25">
      <c r="B202" s="105">
        <v>42516</v>
      </c>
      <c r="C202" s="106">
        <v>26366.68</v>
      </c>
    </row>
    <row r="203" spans="2:3" x14ac:dyDescent="0.25">
      <c r="B203" s="105">
        <v>42517</v>
      </c>
      <c r="C203" s="106">
        <v>26653.599999999999</v>
      </c>
    </row>
    <row r="204" spans="2:3" x14ac:dyDescent="0.25">
      <c r="B204" s="105">
        <v>42520</v>
      </c>
      <c r="C204" s="106">
        <v>26725.599999999999</v>
      </c>
    </row>
    <row r="205" spans="2:3" x14ac:dyDescent="0.25">
      <c r="B205" s="105">
        <v>42521</v>
      </c>
      <c r="C205" s="106">
        <v>26667.96</v>
      </c>
    </row>
    <row r="206" spans="2:3" x14ac:dyDescent="0.25">
      <c r="B206" s="105">
        <v>42522</v>
      </c>
      <c r="C206" s="106">
        <v>26713.93</v>
      </c>
    </row>
    <row r="207" spans="2:3" x14ac:dyDescent="0.25">
      <c r="B207" s="105">
        <v>42523</v>
      </c>
      <c r="C207" s="106">
        <v>26843.14</v>
      </c>
    </row>
    <row r="208" spans="2:3" x14ac:dyDescent="0.25">
      <c r="B208" s="105">
        <v>42524</v>
      </c>
      <c r="C208" s="106">
        <v>26843.03</v>
      </c>
    </row>
    <row r="209" spans="2:3" x14ac:dyDescent="0.25">
      <c r="B209" s="105">
        <v>42527</v>
      </c>
      <c r="C209" s="106">
        <v>26777.45</v>
      </c>
    </row>
    <row r="210" spans="2:3" x14ac:dyDescent="0.25">
      <c r="B210" s="105">
        <v>42528</v>
      </c>
      <c r="C210" s="106">
        <v>27009.67</v>
      </c>
    </row>
    <row r="211" spans="2:3" x14ac:dyDescent="0.25">
      <c r="B211" s="105">
        <v>42529</v>
      </c>
      <c r="C211" s="106">
        <v>27020.66</v>
      </c>
    </row>
    <row r="212" spans="2:3" x14ac:dyDescent="0.25">
      <c r="B212" s="105">
        <v>42530</v>
      </c>
      <c r="C212" s="106">
        <v>26763.46</v>
      </c>
    </row>
    <row r="213" spans="2:3" x14ac:dyDescent="0.25">
      <c r="B213" s="105">
        <v>42531</v>
      </c>
      <c r="C213" s="106">
        <v>26635.75</v>
      </c>
    </row>
    <row r="214" spans="2:3" x14ac:dyDescent="0.25">
      <c r="B214" s="105">
        <v>42534</v>
      </c>
      <c r="C214" s="106">
        <v>26396.77</v>
      </c>
    </row>
    <row r="215" spans="2:3" x14ac:dyDescent="0.25">
      <c r="B215" s="105">
        <v>42535</v>
      </c>
      <c r="C215" s="106">
        <v>26395.71</v>
      </c>
    </row>
    <row r="216" spans="2:3" x14ac:dyDescent="0.25">
      <c r="B216" s="105">
        <v>42536</v>
      </c>
      <c r="C216" s="106">
        <v>26726.34</v>
      </c>
    </row>
    <row r="217" spans="2:3" x14ac:dyDescent="0.25">
      <c r="B217" s="105">
        <v>42537</v>
      </c>
      <c r="C217" s="106">
        <v>26525.46</v>
      </c>
    </row>
    <row r="218" spans="2:3" x14ac:dyDescent="0.25">
      <c r="B218" s="105">
        <v>42538</v>
      </c>
      <c r="C218" s="106">
        <v>26625.91</v>
      </c>
    </row>
    <row r="219" spans="2:3" x14ac:dyDescent="0.25">
      <c r="B219" s="105">
        <v>42541</v>
      </c>
      <c r="C219" s="106">
        <v>26866.92</v>
      </c>
    </row>
    <row r="220" spans="2:3" x14ac:dyDescent="0.25">
      <c r="B220" s="105">
        <v>42542</v>
      </c>
      <c r="C220" s="106">
        <v>26812.78</v>
      </c>
    </row>
    <row r="221" spans="2:3" x14ac:dyDescent="0.25">
      <c r="B221" s="105">
        <v>42543</v>
      </c>
      <c r="C221" s="106">
        <v>26765.65</v>
      </c>
    </row>
    <row r="222" spans="2:3" x14ac:dyDescent="0.25">
      <c r="B222" s="105">
        <v>42544</v>
      </c>
      <c r="C222" s="106">
        <v>27002.22</v>
      </c>
    </row>
    <row r="223" spans="2:3" x14ac:dyDescent="0.25">
      <c r="B223" s="105">
        <v>42545</v>
      </c>
      <c r="C223" s="106">
        <v>26397.71</v>
      </c>
    </row>
    <row r="224" spans="2:3" x14ac:dyDescent="0.25">
      <c r="B224" s="105">
        <v>42548</v>
      </c>
      <c r="C224" s="106">
        <v>26402.959999999999</v>
      </c>
    </row>
    <row r="225" spans="2:3" x14ac:dyDescent="0.25">
      <c r="B225" s="105">
        <v>42549</v>
      </c>
      <c r="C225" s="106">
        <v>26524.55</v>
      </c>
    </row>
    <row r="226" spans="2:3" x14ac:dyDescent="0.25">
      <c r="B226" s="105">
        <v>42550</v>
      </c>
      <c r="C226" s="106">
        <v>26740.39</v>
      </c>
    </row>
    <row r="227" spans="2:3" x14ac:dyDescent="0.25">
      <c r="B227" s="105">
        <v>42551</v>
      </c>
      <c r="C227" s="106">
        <v>26999.72</v>
      </c>
    </row>
    <row r="228" spans="2:3" x14ac:dyDescent="0.25">
      <c r="B228" s="105">
        <v>42552</v>
      </c>
      <c r="C228" s="106">
        <v>27144.91</v>
      </c>
    </row>
    <row r="229" spans="2:3" x14ac:dyDescent="0.25">
      <c r="B229" s="105">
        <v>42555</v>
      </c>
      <c r="C229" s="106">
        <v>27278.76</v>
      </c>
    </row>
    <row r="230" spans="2:3" x14ac:dyDescent="0.25">
      <c r="B230" s="105">
        <v>42556</v>
      </c>
      <c r="C230" s="106">
        <v>27166.87</v>
      </c>
    </row>
    <row r="231" spans="2:3" x14ac:dyDescent="0.25">
      <c r="B231" s="105">
        <v>42558</v>
      </c>
      <c r="C231" s="106">
        <v>27201.49</v>
      </c>
    </row>
    <row r="232" spans="2:3" x14ac:dyDescent="0.25">
      <c r="B232" s="105">
        <v>42559</v>
      </c>
      <c r="C232" s="106">
        <v>27126.9</v>
      </c>
    </row>
    <row r="233" spans="2:3" x14ac:dyDescent="0.25">
      <c r="B233" s="105">
        <v>42562</v>
      </c>
      <c r="C233" s="106">
        <v>27626.69</v>
      </c>
    </row>
    <row r="234" spans="2:3" x14ac:dyDescent="0.25">
      <c r="B234" s="105">
        <v>42563</v>
      </c>
      <c r="C234" s="106">
        <v>27808.14</v>
      </c>
    </row>
    <row r="235" spans="2:3" x14ac:dyDescent="0.25">
      <c r="B235" s="105">
        <v>42564</v>
      </c>
      <c r="C235" s="106">
        <v>27815.18</v>
      </c>
    </row>
    <row r="236" spans="2:3" x14ac:dyDescent="0.25">
      <c r="B236" s="105">
        <v>42565</v>
      </c>
      <c r="C236" s="106">
        <v>27942.11</v>
      </c>
    </row>
    <row r="237" spans="2:3" x14ac:dyDescent="0.25">
      <c r="B237" s="105">
        <v>42566</v>
      </c>
      <c r="C237" s="106">
        <v>27836.5</v>
      </c>
    </row>
    <row r="238" spans="2:3" x14ac:dyDescent="0.25">
      <c r="B238" s="105">
        <v>42569</v>
      </c>
      <c r="C238" s="106">
        <v>27746.66</v>
      </c>
    </row>
    <row r="239" spans="2:3" x14ac:dyDescent="0.25">
      <c r="B239" s="105">
        <v>42570</v>
      </c>
      <c r="C239" s="106">
        <v>27787.62</v>
      </c>
    </row>
    <row r="240" spans="2:3" x14ac:dyDescent="0.25">
      <c r="B240" s="105">
        <v>42571</v>
      </c>
      <c r="C240" s="106">
        <v>27915.89</v>
      </c>
    </row>
    <row r="241" spans="2:3" x14ac:dyDescent="0.25">
      <c r="B241" s="105">
        <v>42572</v>
      </c>
      <c r="C241" s="106">
        <v>27710.52</v>
      </c>
    </row>
    <row r="242" spans="2:3" x14ac:dyDescent="0.25">
      <c r="B242" s="105">
        <v>42573</v>
      </c>
      <c r="C242" s="106">
        <v>27803.24</v>
      </c>
    </row>
    <row r="243" spans="2:3" x14ac:dyDescent="0.25">
      <c r="B243" s="105">
        <v>42576</v>
      </c>
      <c r="C243" s="106">
        <v>28095.34</v>
      </c>
    </row>
    <row r="244" spans="2:3" x14ac:dyDescent="0.25">
      <c r="B244" s="105">
        <v>42577</v>
      </c>
      <c r="C244" s="106">
        <v>27976.52</v>
      </c>
    </row>
    <row r="245" spans="2:3" x14ac:dyDescent="0.25">
      <c r="B245" s="105">
        <v>42578</v>
      </c>
      <c r="C245" s="106">
        <v>28024.33</v>
      </c>
    </row>
    <row r="246" spans="2:3" x14ac:dyDescent="0.25">
      <c r="B246" s="105">
        <v>42579</v>
      </c>
      <c r="C246" s="106">
        <v>28208.62</v>
      </c>
    </row>
    <row r="247" spans="2:3" x14ac:dyDescent="0.25">
      <c r="B247" s="105">
        <v>42580</v>
      </c>
      <c r="C247" s="106">
        <v>28051.86</v>
      </c>
    </row>
    <row r="248" spans="2:3" x14ac:dyDescent="0.25">
      <c r="B248" s="105">
        <v>42583</v>
      </c>
      <c r="C248" s="106">
        <v>28003.119999999999</v>
      </c>
    </row>
    <row r="249" spans="2:3" x14ac:dyDescent="0.25">
      <c r="B249" s="105">
        <v>42584</v>
      </c>
      <c r="C249" s="106">
        <v>27981.71</v>
      </c>
    </row>
    <row r="250" spans="2:3" x14ac:dyDescent="0.25">
      <c r="B250" s="105">
        <v>42585</v>
      </c>
      <c r="C250" s="106">
        <v>27697.51</v>
      </c>
    </row>
    <row r="251" spans="2:3" x14ac:dyDescent="0.25">
      <c r="B251" s="105">
        <v>42586</v>
      </c>
      <c r="C251" s="106">
        <v>27714.37</v>
      </c>
    </row>
    <row r="252" spans="2:3" x14ac:dyDescent="0.25">
      <c r="B252" s="105">
        <v>42587</v>
      </c>
      <c r="C252" s="106">
        <v>28078.35</v>
      </c>
    </row>
    <row r="253" spans="2:3" x14ac:dyDescent="0.25">
      <c r="B253" s="105">
        <v>42590</v>
      </c>
      <c r="C253" s="106">
        <v>28182.57</v>
      </c>
    </row>
    <row r="254" spans="2:3" x14ac:dyDescent="0.25">
      <c r="B254" s="105">
        <v>42591</v>
      </c>
      <c r="C254" s="106">
        <v>28085.16</v>
      </c>
    </row>
    <row r="255" spans="2:3" x14ac:dyDescent="0.25">
      <c r="B255" s="105">
        <v>42592</v>
      </c>
      <c r="C255" s="106">
        <v>27774.880000000001</v>
      </c>
    </row>
    <row r="256" spans="2:3" x14ac:dyDescent="0.25">
      <c r="B256" s="105">
        <v>42593</v>
      </c>
      <c r="C256" s="106">
        <v>27859.599999999999</v>
      </c>
    </row>
    <row r="257" spans="2:3" x14ac:dyDescent="0.25">
      <c r="B257" s="105">
        <v>42594</v>
      </c>
      <c r="C257" s="106">
        <v>28152.400000000001</v>
      </c>
    </row>
    <row r="258" spans="2:3" x14ac:dyDescent="0.25">
      <c r="B258" s="105">
        <v>42598</v>
      </c>
      <c r="C258" s="106">
        <v>28064.61</v>
      </c>
    </row>
    <row r="259" spans="2:3" x14ac:dyDescent="0.25">
      <c r="B259" s="105">
        <v>42599</v>
      </c>
      <c r="C259" s="106">
        <v>28005.37</v>
      </c>
    </row>
    <row r="260" spans="2:3" x14ac:dyDescent="0.25">
      <c r="B260" s="105">
        <v>42600</v>
      </c>
      <c r="C260" s="106">
        <v>28123.439999999999</v>
      </c>
    </row>
    <row r="261" spans="2:3" x14ac:dyDescent="0.25">
      <c r="B261" s="105">
        <v>42601</v>
      </c>
      <c r="C261" s="106">
        <v>28077</v>
      </c>
    </row>
    <row r="262" spans="2:3" x14ac:dyDescent="0.25">
      <c r="B262" s="105">
        <v>42604</v>
      </c>
      <c r="C262" s="106">
        <v>27985.54</v>
      </c>
    </row>
    <row r="263" spans="2:3" x14ac:dyDescent="0.25">
      <c r="B263" s="105">
        <v>42605</v>
      </c>
      <c r="C263" s="106">
        <v>27990.21</v>
      </c>
    </row>
    <row r="264" spans="2:3" x14ac:dyDescent="0.25">
      <c r="B264" s="105">
        <v>42606</v>
      </c>
      <c r="C264" s="106">
        <v>28059.94</v>
      </c>
    </row>
    <row r="265" spans="2:3" x14ac:dyDescent="0.25">
      <c r="B265" s="105">
        <v>42607</v>
      </c>
      <c r="C265" s="106">
        <v>27835.91</v>
      </c>
    </row>
    <row r="266" spans="2:3" x14ac:dyDescent="0.25">
      <c r="B266" s="105">
        <v>42608</v>
      </c>
      <c r="C266" s="106">
        <v>27782.25</v>
      </c>
    </row>
    <row r="267" spans="2:3" x14ac:dyDescent="0.25">
      <c r="B267" s="105">
        <v>42611</v>
      </c>
      <c r="C267" s="106">
        <v>27902.66</v>
      </c>
    </row>
    <row r="268" spans="2:3" x14ac:dyDescent="0.25">
      <c r="B268" s="105">
        <v>42612</v>
      </c>
      <c r="C268" s="106">
        <v>28343.01</v>
      </c>
    </row>
    <row r="269" spans="2:3" x14ac:dyDescent="0.25">
      <c r="B269" s="105">
        <v>42613</v>
      </c>
      <c r="C269" s="106">
        <v>28452.17</v>
      </c>
    </row>
    <row r="270" spans="2:3" x14ac:dyDescent="0.25">
      <c r="B270" s="105">
        <v>42614</v>
      </c>
      <c r="C270" s="106">
        <v>28423.48</v>
      </c>
    </row>
    <row r="271" spans="2:3" x14ac:dyDescent="0.25">
      <c r="B271" s="105">
        <v>42615</v>
      </c>
      <c r="C271" s="106">
        <v>28532.11</v>
      </c>
    </row>
    <row r="272" spans="2:3" x14ac:dyDescent="0.25">
      <c r="B272" s="105">
        <v>42619</v>
      </c>
      <c r="C272" s="106">
        <v>28978.02</v>
      </c>
    </row>
    <row r="273" spans="2:3" x14ac:dyDescent="0.25">
      <c r="B273" s="105">
        <v>42620</v>
      </c>
      <c r="C273" s="106">
        <v>28926.36</v>
      </c>
    </row>
    <row r="274" spans="2:3" x14ac:dyDescent="0.25">
      <c r="B274" s="105">
        <v>42621</v>
      </c>
      <c r="C274" s="106">
        <v>29045.279999999999</v>
      </c>
    </row>
    <row r="275" spans="2:3" x14ac:dyDescent="0.25">
      <c r="B275" s="105">
        <v>42622</v>
      </c>
      <c r="C275" s="106">
        <v>28797.25</v>
      </c>
    </row>
    <row r="276" spans="2:3" x14ac:dyDescent="0.25">
      <c r="B276" s="105">
        <v>42625</v>
      </c>
      <c r="C276" s="106">
        <v>28353.54</v>
      </c>
    </row>
    <row r="277" spans="2:3" x14ac:dyDescent="0.25">
      <c r="B277" s="105">
        <v>42627</v>
      </c>
      <c r="C277" s="106">
        <v>28372.23</v>
      </c>
    </row>
    <row r="278" spans="2:3" x14ac:dyDescent="0.25">
      <c r="B278" s="105">
        <v>42628</v>
      </c>
      <c r="C278" s="106">
        <v>28412.89</v>
      </c>
    </row>
    <row r="279" spans="2:3" x14ac:dyDescent="0.25">
      <c r="B279" s="105">
        <v>42629</v>
      </c>
      <c r="C279" s="106">
        <v>28599.03</v>
      </c>
    </row>
    <row r="280" spans="2:3" x14ac:dyDescent="0.25">
      <c r="B280" s="105">
        <v>42632</v>
      </c>
      <c r="C280" s="106">
        <v>28634.5</v>
      </c>
    </row>
    <row r="281" spans="2:3" x14ac:dyDescent="0.25">
      <c r="B281" s="105">
        <v>42633</v>
      </c>
      <c r="C281" s="106">
        <v>28523.200000000001</v>
      </c>
    </row>
    <row r="282" spans="2:3" x14ac:dyDescent="0.25">
      <c r="B282" s="105">
        <v>42634</v>
      </c>
      <c r="C282" s="106">
        <v>28507.42</v>
      </c>
    </row>
    <row r="283" spans="2:3" x14ac:dyDescent="0.25">
      <c r="B283" s="105">
        <v>42635</v>
      </c>
      <c r="C283" s="106">
        <v>28773.13</v>
      </c>
    </row>
    <row r="284" spans="2:3" x14ac:dyDescent="0.25">
      <c r="B284" s="105">
        <v>42636</v>
      </c>
      <c r="C284" s="106">
        <v>28668.22</v>
      </c>
    </row>
    <row r="285" spans="2:3" x14ac:dyDescent="0.25">
      <c r="B285" s="105">
        <v>42639</v>
      </c>
      <c r="C285" s="106">
        <v>28294.28</v>
      </c>
    </row>
    <row r="286" spans="2:3" x14ac:dyDescent="0.25">
      <c r="B286" s="105">
        <v>42640</v>
      </c>
      <c r="C286" s="106">
        <v>28223.7</v>
      </c>
    </row>
    <row r="287" spans="2:3" x14ac:dyDescent="0.25">
      <c r="B287" s="105">
        <v>42641</v>
      </c>
      <c r="C287" s="106">
        <v>28292.81</v>
      </c>
    </row>
    <row r="288" spans="2:3" x14ac:dyDescent="0.25">
      <c r="B288" s="105">
        <v>42642</v>
      </c>
      <c r="C288" s="106">
        <v>27827.53</v>
      </c>
    </row>
    <row r="289" spans="2:3" x14ac:dyDescent="0.25">
      <c r="B289" s="105">
        <v>42643</v>
      </c>
      <c r="C289" s="106">
        <v>27865.96</v>
      </c>
    </row>
    <row r="290" spans="2:3" x14ac:dyDescent="0.25">
      <c r="B290" s="105">
        <v>42646</v>
      </c>
      <c r="C290" s="106">
        <v>28243.29</v>
      </c>
    </row>
    <row r="291" spans="2:3" x14ac:dyDescent="0.25">
      <c r="B291" s="105">
        <v>42647</v>
      </c>
      <c r="C291" s="106">
        <v>28334.55</v>
      </c>
    </row>
    <row r="292" spans="2:3" x14ac:dyDescent="0.25">
      <c r="B292" s="105">
        <v>42648</v>
      </c>
      <c r="C292" s="106">
        <v>28220.98</v>
      </c>
    </row>
    <row r="293" spans="2:3" x14ac:dyDescent="0.25">
      <c r="B293" s="105">
        <v>42649</v>
      </c>
      <c r="C293" s="106">
        <v>28106.21</v>
      </c>
    </row>
    <row r="294" spans="2:3" x14ac:dyDescent="0.25">
      <c r="B294" s="105">
        <v>42650</v>
      </c>
      <c r="C294" s="106">
        <v>28061.14</v>
      </c>
    </row>
    <row r="295" spans="2:3" x14ac:dyDescent="0.25">
      <c r="B295" s="105">
        <v>42653</v>
      </c>
      <c r="C295" s="106">
        <v>28082.34</v>
      </c>
    </row>
    <row r="296" spans="2:3" x14ac:dyDescent="0.25">
      <c r="B296" s="105">
        <v>42656</v>
      </c>
      <c r="C296" s="106">
        <v>27643.11</v>
      </c>
    </row>
    <row r="297" spans="2:3" x14ac:dyDescent="0.25">
      <c r="B297" s="105">
        <v>42657</v>
      </c>
      <c r="C297" s="106">
        <v>27673.599999999999</v>
      </c>
    </row>
    <row r="298" spans="2:3" x14ac:dyDescent="0.25">
      <c r="B298" s="105">
        <v>42660</v>
      </c>
      <c r="C298" s="106">
        <v>27529.97</v>
      </c>
    </row>
    <row r="299" spans="2:3" x14ac:dyDescent="0.25">
      <c r="B299" s="105">
        <v>42661</v>
      </c>
      <c r="C299" s="106">
        <v>28050.880000000001</v>
      </c>
    </row>
    <row r="300" spans="2:3" x14ac:dyDescent="0.25">
      <c r="B300" s="105">
        <v>42662</v>
      </c>
      <c r="C300" s="106">
        <v>27984.37</v>
      </c>
    </row>
    <row r="301" spans="2:3" x14ac:dyDescent="0.25">
      <c r="B301" s="105">
        <v>42663</v>
      </c>
      <c r="C301" s="106">
        <v>28129.84</v>
      </c>
    </row>
    <row r="302" spans="2:3" x14ac:dyDescent="0.25">
      <c r="B302" s="105">
        <v>42664</v>
      </c>
      <c r="C302" s="106">
        <v>28077.18</v>
      </c>
    </row>
    <row r="303" spans="2:3" x14ac:dyDescent="0.25">
      <c r="B303" s="105">
        <v>42667</v>
      </c>
      <c r="C303" s="106">
        <v>28179.08</v>
      </c>
    </row>
    <row r="304" spans="2:3" x14ac:dyDescent="0.25">
      <c r="B304" s="105">
        <v>42668</v>
      </c>
      <c r="C304" s="106">
        <v>28091.42</v>
      </c>
    </row>
    <row r="305" spans="2:3" x14ac:dyDescent="0.25">
      <c r="B305" s="105">
        <v>42669</v>
      </c>
      <c r="C305" s="106">
        <v>27836.51</v>
      </c>
    </row>
    <row r="306" spans="2:3" x14ac:dyDescent="0.25">
      <c r="B306" s="105">
        <v>42670</v>
      </c>
      <c r="C306" s="106">
        <v>27915.9</v>
      </c>
    </row>
    <row r="307" spans="2:3" x14ac:dyDescent="0.25">
      <c r="B307" s="105">
        <v>42671</v>
      </c>
      <c r="C307" s="106">
        <v>27941.51</v>
      </c>
    </row>
    <row r="308" spans="2:3" x14ac:dyDescent="0.25">
      <c r="B308" s="105">
        <v>42673</v>
      </c>
      <c r="C308" s="106">
        <v>27930.21</v>
      </c>
    </row>
    <row r="309" spans="2:3" x14ac:dyDescent="0.25">
      <c r="B309" s="105">
        <v>42675</v>
      </c>
      <c r="C309" s="106">
        <v>27876.61</v>
      </c>
    </row>
    <row r="310" spans="2:3" x14ac:dyDescent="0.25">
      <c r="B310" s="105">
        <v>42676</v>
      </c>
      <c r="C310" s="106">
        <v>27527.22</v>
      </c>
    </row>
    <row r="311" spans="2:3" x14ac:dyDescent="0.25">
      <c r="B311" s="105">
        <v>42677</v>
      </c>
      <c r="C311" s="106">
        <v>27430.28</v>
      </c>
    </row>
    <row r="312" spans="2:3" x14ac:dyDescent="0.25">
      <c r="B312" s="105">
        <v>42678</v>
      </c>
      <c r="C312" s="106">
        <v>27274.15</v>
      </c>
    </row>
    <row r="313" spans="2:3" x14ac:dyDescent="0.25">
      <c r="B313" s="105">
        <v>42681</v>
      </c>
      <c r="C313" s="106">
        <v>27458.99</v>
      </c>
    </row>
    <row r="314" spans="2:3" x14ac:dyDescent="0.25">
      <c r="B314" s="105">
        <v>42682</v>
      </c>
      <c r="C314" s="106">
        <v>27591.14</v>
      </c>
    </row>
    <row r="315" spans="2:3" x14ac:dyDescent="0.25">
      <c r="B315" s="105">
        <v>42683</v>
      </c>
      <c r="C315" s="106">
        <v>27252.53</v>
      </c>
    </row>
    <row r="316" spans="2:3" x14ac:dyDescent="0.25">
      <c r="B316" s="105">
        <v>42684</v>
      </c>
      <c r="C316" s="106">
        <v>27517.68</v>
      </c>
    </row>
    <row r="317" spans="2:3" x14ac:dyDescent="0.25">
      <c r="B317" s="105">
        <v>42685</v>
      </c>
      <c r="C317" s="106">
        <v>26818.82</v>
      </c>
    </row>
    <row r="318" spans="2:3" x14ac:dyDescent="0.25">
      <c r="B318" s="105">
        <v>42689</v>
      </c>
      <c r="C318" s="106">
        <v>26304.63</v>
      </c>
    </row>
    <row r="319" spans="2:3" x14ac:dyDescent="0.25">
      <c r="B319" s="105">
        <v>42690</v>
      </c>
      <c r="C319" s="106">
        <v>26298.69</v>
      </c>
    </row>
    <row r="320" spans="2:3" x14ac:dyDescent="0.25">
      <c r="B320" s="105">
        <v>42691</v>
      </c>
      <c r="C320" s="106">
        <v>26227.62</v>
      </c>
    </row>
    <row r="321" spans="2:3" x14ac:dyDescent="0.25">
      <c r="B321" s="105">
        <v>42692</v>
      </c>
      <c r="C321" s="106">
        <v>26150.240000000002</v>
      </c>
    </row>
    <row r="322" spans="2:3" x14ac:dyDescent="0.25">
      <c r="B322" s="105">
        <v>42695</v>
      </c>
      <c r="C322" s="106">
        <v>25765.14</v>
      </c>
    </row>
    <row r="323" spans="2:3" x14ac:dyDescent="0.25">
      <c r="B323" s="105">
        <v>42696</v>
      </c>
      <c r="C323" s="106">
        <v>25960.78</v>
      </c>
    </row>
    <row r="324" spans="2:3" x14ac:dyDescent="0.25">
      <c r="B324" s="105">
        <v>42697</v>
      </c>
      <c r="C324" s="106">
        <v>26051.81</v>
      </c>
    </row>
    <row r="325" spans="2:3" x14ac:dyDescent="0.25">
      <c r="B325" s="105">
        <v>42698</v>
      </c>
      <c r="C325" s="106">
        <v>25860.17</v>
      </c>
    </row>
    <row r="326" spans="2:3" x14ac:dyDescent="0.25">
      <c r="B326" s="105">
        <v>42699</v>
      </c>
      <c r="C326" s="106">
        <v>26316.34</v>
      </c>
    </row>
    <row r="327" spans="2:3" x14ac:dyDescent="0.25">
      <c r="B327" s="105">
        <v>42702</v>
      </c>
      <c r="C327" s="106">
        <v>26350.17</v>
      </c>
    </row>
    <row r="328" spans="2:3" x14ac:dyDescent="0.25">
      <c r="B328" s="105">
        <v>42703</v>
      </c>
      <c r="C328" s="106">
        <v>26394.01</v>
      </c>
    </row>
    <row r="329" spans="2:3" x14ac:dyDescent="0.25">
      <c r="B329" s="105">
        <v>42704</v>
      </c>
      <c r="C329" s="106">
        <v>26652.81</v>
      </c>
    </row>
    <row r="330" spans="2:3" x14ac:dyDescent="0.25">
      <c r="B330" s="105">
        <v>42705</v>
      </c>
      <c r="C330" s="106">
        <v>26559.919999999998</v>
      </c>
    </row>
    <row r="331" spans="2:3" x14ac:dyDescent="0.25">
      <c r="B331" s="105">
        <v>42706</v>
      </c>
      <c r="C331" s="106">
        <v>26230.66</v>
      </c>
    </row>
    <row r="332" spans="2:3" x14ac:dyDescent="0.25">
      <c r="B332" s="105">
        <v>42709</v>
      </c>
      <c r="C332" s="106">
        <v>26349.1</v>
      </c>
    </row>
    <row r="333" spans="2:3" x14ac:dyDescent="0.25">
      <c r="B333" s="105">
        <v>42710</v>
      </c>
      <c r="C333" s="106">
        <v>26392.76</v>
      </c>
    </row>
    <row r="334" spans="2:3" x14ac:dyDescent="0.25">
      <c r="B334" s="105">
        <v>42711</v>
      </c>
      <c r="C334" s="106">
        <v>26236.87</v>
      </c>
    </row>
    <row r="335" spans="2:3" x14ac:dyDescent="0.25">
      <c r="B335" s="105">
        <v>42712</v>
      </c>
      <c r="C335" s="106">
        <v>26694.28</v>
      </c>
    </row>
    <row r="336" spans="2:3" x14ac:dyDescent="0.25">
      <c r="B336" s="105">
        <v>42713</v>
      </c>
      <c r="C336" s="106">
        <v>26747.18</v>
      </c>
    </row>
    <row r="337" spans="2:3" x14ac:dyDescent="0.25">
      <c r="B337" s="105">
        <v>42716</v>
      </c>
      <c r="C337" s="106">
        <v>26515.24</v>
      </c>
    </row>
    <row r="338" spans="2:3" x14ac:dyDescent="0.25">
      <c r="B338" s="105">
        <v>42717</v>
      </c>
      <c r="C338" s="106">
        <v>26697.82</v>
      </c>
    </row>
    <row r="339" spans="2:3" x14ac:dyDescent="0.25">
      <c r="B339" s="105">
        <v>42718</v>
      </c>
      <c r="C339" s="106">
        <v>26602.84</v>
      </c>
    </row>
    <row r="340" spans="2:3" x14ac:dyDescent="0.25">
      <c r="B340" s="105">
        <v>42719</v>
      </c>
      <c r="C340" s="106">
        <v>26519.07</v>
      </c>
    </row>
    <row r="341" spans="2:3" x14ac:dyDescent="0.25">
      <c r="B341" s="105">
        <v>42720</v>
      </c>
      <c r="C341" s="106">
        <v>26489.56</v>
      </c>
    </row>
    <row r="342" spans="2:3" x14ac:dyDescent="0.25">
      <c r="B342" s="105">
        <v>42723</v>
      </c>
      <c r="C342" s="106">
        <v>26374.7</v>
      </c>
    </row>
    <row r="343" spans="2:3" x14ac:dyDescent="0.25">
      <c r="B343" s="105">
        <v>42724</v>
      </c>
      <c r="C343" s="106">
        <v>26307.98</v>
      </c>
    </row>
    <row r="344" spans="2:3" x14ac:dyDescent="0.25">
      <c r="B344" s="105">
        <v>42725</v>
      </c>
      <c r="C344" s="106">
        <v>26242.38</v>
      </c>
    </row>
    <row r="345" spans="2:3" x14ac:dyDescent="0.25">
      <c r="B345" s="105">
        <v>42726</v>
      </c>
      <c r="C345" s="106">
        <v>25979.599999999999</v>
      </c>
    </row>
    <row r="346" spans="2:3" x14ac:dyDescent="0.25">
      <c r="B346" s="105">
        <v>42727</v>
      </c>
      <c r="C346" s="106">
        <v>26040.7</v>
      </c>
    </row>
    <row r="347" spans="2:3" x14ac:dyDescent="0.25">
      <c r="B347" s="105">
        <v>42730</v>
      </c>
      <c r="C347" s="106">
        <v>25807.1</v>
      </c>
    </row>
    <row r="348" spans="2:3" x14ac:dyDescent="0.25">
      <c r="B348" s="105">
        <v>42731</v>
      </c>
      <c r="C348" s="106">
        <v>26213.439999999999</v>
      </c>
    </row>
    <row r="349" spans="2:3" x14ac:dyDescent="0.25">
      <c r="B349" s="105">
        <v>42732</v>
      </c>
      <c r="C349" s="106">
        <v>26210.68</v>
      </c>
    </row>
    <row r="350" spans="2:3" x14ac:dyDescent="0.25">
      <c r="B350" s="105">
        <v>42733</v>
      </c>
      <c r="C350" s="106">
        <v>26366.15</v>
      </c>
    </row>
    <row r="351" spans="2:3" x14ac:dyDescent="0.25">
      <c r="B351" s="105">
        <v>42734</v>
      </c>
      <c r="C351" s="106">
        <v>26626.46</v>
      </c>
    </row>
    <row r="352" spans="2:3" x14ac:dyDescent="0.25">
      <c r="B352" s="105">
        <v>42737</v>
      </c>
      <c r="C352" s="106">
        <v>26595.45</v>
      </c>
    </row>
    <row r="353" spans="2:3" x14ac:dyDescent="0.25">
      <c r="B353" s="105">
        <v>42738</v>
      </c>
      <c r="C353" s="106">
        <v>26643.24</v>
      </c>
    </row>
    <row r="354" spans="2:3" x14ac:dyDescent="0.25">
      <c r="B354" s="105">
        <v>42739</v>
      </c>
      <c r="C354" s="106">
        <v>26633.13</v>
      </c>
    </row>
    <row r="355" spans="2:3" x14ac:dyDescent="0.25">
      <c r="B355" s="105">
        <v>42740</v>
      </c>
      <c r="C355" s="106">
        <v>26878.240000000002</v>
      </c>
    </row>
    <row r="356" spans="2:3" x14ac:dyDescent="0.25">
      <c r="B356" s="105">
        <v>42741</v>
      </c>
      <c r="C356" s="106">
        <v>26759.23</v>
      </c>
    </row>
    <row r="357" spans="2:3" x14ac:dyDescent="0.25">
      <c r="B357" s="105">
        <v>42744</v>
      </c>
      <c r="C357" s="106">
        <v>26726.55</v>
      </c>
    </row>
    <row r="358" spans="2:3" x14ac:dyDescent="0.25">
      <c r="B358" s="105">
        <v>42745</v>
      </c>
      <c r="C358" s="106">
        <v>26899.56</v>
      </c>
    </row>
    <row r="359" spans="2:3" x14ac:dyDescent="0.25">
      <c r="B359" s="105">
        <v>42746</v>
      </c>
      <c r="C359" s="106">
        <v>27140.41</v>
      </c>
    </row>
    <row r="360" spans="2:3" x14ac:dyDescent="0.25">
      <c r="B360" s="105">
        <v>42747</v>
      </c>
      <c r="C360" s="106">
        <v>27247.16</v>
      </c>
    </row>
    <row r="361" spans="2:3" x14ac:dyDescent="0.25">
      <c r="B361" s="105">
        <v>42748</v>
      </c>
      <c r="C361" s="106">
        <v>27238.06</v>
      </c>
    </row>
    <row r="362" spans="2:3" x14ac:dyDescent="0.25">
      <c r="B362" s="105">
        <v>42751</v>
      </c>
      <c r="C362" s="106">
        <v>27288.17</v>
      </c>
    </row>
    <row r="363" spans="2:3" x14ac:dyDescent="0.25">
      <c r="B363" s="105">
        <v>42752</v>
      </c>
      <c r="C363" s="106">
        <v>27235.66</v>
      </c>
    </row>
    <row r="364" spans="2:3" x14ac:dyDescent="0.25">
      <c r="B364" s="105">
        <v>42753</v>
      </c>
      <c r="C364" s="106">
        <v>27257.64</v>
      </c>
    </row>
    <row r="365" spans="2:3" x14ac:dyDescent="0.25">
      <c r="B365" s="105">
        <v>42754</v>
      </c>
      <c r="C365" s="106">
        <v>27308.6</v>
      </c>
    </row>
    <row r="366" spans="2:3" x14ac:dyDescent="0.25">
      <c r="B366" s="105">
        <v>42755</v>
      </c>
      <c r="C366" s="106">
        <v>27034.5</v>
      </c>
    </row>
    <row r="367" spans="2:3" x14ac:dyDescent="0.25">
      <c r="B367" s="105">
        <v>42758</v>
      </c>
      <c r="C367" s="106">
        <v>27117.34</v>
      </c>
    </row>
    <row r="368" spans="2:3" x14ac:dyDescent="0.25">
      <c r="B368" s="105">
        <v>42759</v>
      </c>
      <c r="C368" s="106">
        <v>27375.58</v>
      </c>
    </row>
    <row r="369" spans="2:3" x14ac:dyDescent="0.25">
      <c r="B369" s="105">
        <v>42760</v>
      </c>
      <c r="C369" s="106">
        <v>27708.14</v>
      </c>
    </row>
    <row r="370" spans="2:3" x14ac:dyDescent="0.25">
      <c r="B370" s="105">
        <v>42762</v>
      </c>
      <c r="C370" s="106">
        <v>27882.46</v>
      </c>
    </row>
    <row r="371" spans="2:3" x14ac:dyDescent="0.25">
      <c r="B371" s="105">
        <v>42765</v>
      </c>
      <c r="C371" s="106">
        <v>27849.56</v>
      </c>
    </row>
    <row r="372" spans="2:3" x14ac:dyDescent="0.25">
      <c r="B372" s="105">
        <v>42766</v>
      </c>
      <c r="C372" s="106">
        <v>27655.96</v>
      </c>
    </row>
    <row r="373" spans="2:3" x14ac:dyDescent="0.25">
      <c r="B373" s="105">
        <v>42767</v>
      </c>
      <c r="C373" s="106">
        <v>28141.64</v>
      </c>
    </row>
    <row r="374" spans="2:3" x14ac:dyDescent="0.25">
      <c r="B374" s="105">
        <v>42768</v>
      </c>
      <c r="C374" s="106">
        <v>28226.61</v>
      </c>
    </row>
    <row r="375" spans="2:3" x14ac:dyDescent="0.25">
      <c r="B375" s="105">
        <v>42769</v>
      </c>
      <c r="C375" s="106">
        <v>28240.52</v>
      </c>
    </row>
    <row r="376" spans="2:3" x14ac:dyDescent="0.25">
      <c r="B376" s="105">
        <v>42772</v>
      </c>
      <c r="C376" s="106">
        <v>28439.279999999999</v>
      </c>
    </row>
    <row r="377" spans="2:3" x14ac:dyDescent="0.25">
      <c r="B377" s="105">
        <v>42773</v>
      </c>
      <c r="C377" s="106">
        <v>28335.16</v>
      </c>
    </row>
    <row r="378" spans="2:3" x14ac:dyDescent="0.25">
      <c r="B378" s="105">
        <v>42774</v>
      </c>
      <c r="C378" s="106">
        <v>28289.919999999998</v>
      </c>
    </row>
    <row r="379" spans="2:3" x14ac:dyDescent="0.25">
      <c r="B379" s="105">
        <v>42775</v>
      </c>
      <c r="C379" s="106">
        <v>28329.7</v>
      </c>
    </row>
    <row r="380" spans="2:3" x14ac:dyDescent="0.25">
      <c r="B380" s="105">
        <v>42776</v>
      </c>
      <c r="C380" s="106">
        <v>28334.25</v>
      </c>
    </row>
    <row r="381" spans="2:3" x14ac:dyDescent="0.25">
      <c r="B381" s="105">
        <v>42779</v>
      </c>
      <c r="C381" s="106">
        <v>28351.62</v>
      </c>
    </row>
    <row r="382" spans="2:3" x14ac:dyDescent="0.25">
      <c r="B382" s="105">
        <v>42780</v>
      </c>
      <c r="C382" s="106">
        <v>28339.31</v>
      </c>
    </row>
    <row r="383" spans="2:3" x14ac:dyDescent="0.25">
      <c r="B383" s="105">
        <v>42781</v>
      </c>
      <c r="C383" s="106">
        <v>28155.56</v>
      </c>
    </row>
    <row r="384" spans="2:3" x14ac:dyDescent="0.25">
      <c r="B384" s="105">
        <v>42782</v>
      </c>
      <c r="C384" s="106">
        <v>28301.27</v>
      </c>
    </row>
    <row r="385" spans="2:3" x14ac:dyDescent="0.25">
      <c r="B385" s="105">
        <v>42783</v>
      </c>
      <c r="C385" s="106">
        <v>28468.75</v>
      </c>
    </row>
    <row r="386" spans="2:3" x14ac:dyDescent="0.25">
      <c r="B386" s="105">
        <v>42786</v>
      </c>
      <c r="C386" s="106">
        <v>28661.58</v>
      </c>
    </row>
    <row r="387" spans="2:3" x14ac:dyDescent="0.25">
      <c r="B387" s="105">
        <v>42787</v>
      </c>
      <c r="C387" s="106">
        <v>28761.59</v>
      </c>
    </row>
    <row r="388" spans="2:3" x14ac:dyDescent="0.25">
      <c r="B388" s="105">
        <v>42788</v>
      </c>
      <c r="C388" s="106">
        <v>28864.71</v>
      </c>
    </row>
    <row r="389" spans="2:3" x14ac:dyDescent="0.25">
      <c r="B389" s="105">
        <v>42789</v>
      </c>
      <c r="C389" s="106">
        <v>28892.97</v>
      </c>
    </row>
    <row r="390" spans="2:3" x14ac:dyDescent="0.25">
      <c r="B390" s="105">
        <v>42793</v>
      </c>
      <c r="C390" s="106">
        <v>28812.880000000001</v>
      </c>
    </row>
    <row r="391" spans="2:3" x14ac:dyDescent="0.25">
      <c r="B391" s="105">
        <v>42794</v>
      </c>
      <c r="C391" s="106">
        <v>28743.32</v>
      </c>
    </row>
    <row r="392" spans="2:3" x14ac:dyDescent="0.25">
      <c r="B392" s="105">
        <v>42795</v>
      </c>
      <c r="C392" s="106">
        <v>28984.49</v>
      </c>
    </row>
    <row r="393" spans="2:3" x14ac:dyDescent="0.25">
      <c r="B393" s="105">
        <v>42796</v>
      </c>
      <c r="C393" s="106">
        <v>28839.79</v>
      </c>
    </row>
    <row r="394" spans="2:3" x14ac:dyDescent="0.25">
      <c r="B394" s="105">
        <v>42797</v>
      </c>
      <c r="C394" s="106">
        <v>28832.45</v>
      </c>
    </row>
    <row r="395" spans="2:3" x14ac:dyDescent="0.25">
      <c r="B395" s="105">
        <v>42800</v>
      </c>
      <c r="C395" s="106">
        <v>29048.19</v>
      </c>
    </row>
    <row r="396" spans="2:3" x14ac:dyDescent="0.25">
      <c r="B396" s="105">
        <v>42801</v>
      </c>
      <c r="C396" s="106">
        <v>28999.56</v>
      </c>
    </row>
    <row r="397" spans="2:3" x14ac:dyDescent="0.25">
      <c r="B397" s="105">
        <v>42802</v>
      </c>
      <c r="C397" s="106">
        <v>28901.94</v>
      </c>
    </row>
    <row r="398" spans="2:3" x14ac:dyDescent="0.25">
      <c r="B398" s="105">
        <v>42803</v>
      </c>
      <c r="C398" s="106">
        <v>28929.13</v>
      </c>
    </row>
    <row r="399" spans="2:3" x14ac:dyDescent="0.25">
      <c r="B399" s="105">
        <v>42804</v>
      </c>
      <c r="C399" s="106">
        <v>28946.23</v>
      </c>
    </row>
    <row r="400" spans="2:3" x14ac:dyDescent="0.25">
      <c r="B400" s="105">
        <v>42808</v>
      </c>
      <c r="C400" s="106">
        <v>29442.63</v>
      </c>
    </row>
    <row r="401" spans="2:3" x14ac:dyDescent="0.25">
      <c r="B401" s="105">
        <v>42809</v>
      </c>
      <c r="C401" s="106">
        <v>29398.11</v>
      </c>
    </row>
    <row r="402" spans="2:3" x14ac:dyDescent="0.25">
      <c r="B402" s="105">
        <v>42810</v>
      </c>
      <c r="C402" s="106">
        <v>29585.85</v>
      </c>
    </row>
    <row r="403" spans="2:3" x14ac:dyDescent="0.25">
      <c r="B403" s="105">
        <v>42811</v>
      </c>
      <c r="C403" s="106">
        <v>29648.99</v>
      </c>
    </row>
    <row r="404" spans="2:3" x14ac:dyDescent="0.25">
      <c r="B404" s="105">
        <v>42814</v>
      </c>
      <c r="C404" s="106">
        <v>29518.74</v>
      </c>
    </row>
    <row r="405" spans="2:3" x14ac:dyDescent="0.25">
      <c r="B405" s="105">
        <v>42815</v>
      </c>
      <c r="C405" s="106">
        <v>29485.45</v>
      </c>
    </row>
    <row r="406" spans="2:3" x14ac:dyDescent="0.25">
      <c r="B406" s="105">
        <v>42816</v>
      </c>
      <c r="C406" s="106">
        <v>29167.68</v>
      </c>
    </row>
    <row r="407" spans="2:3" x14ac:dyDescent="0.25">
      <c r="B407" s="105">
        <v>42817</v>
      </c>
      <c r="C407" s="106">
        <v>29332.16</v>
      </c>
    </row>
    <row r="408" spans="2:3" x14ac:dyDescent="0.25">
      <c r="B408" s="105">
        <v>42818</v>
      </c>
      <c r="C408" s="106">
        <v>29421.4</v>
      </c>
    </row>
    <row r="409" spans="2:3" x14ac:dyDescent="0.25">
      <c r="B409" s="105">
        <v>42821</v>
      </c>
      <c r="C409" s="106">
        <v>29237.15</v>
      </c>
    </row>
    <row r="410" spans="2:3" x14ac:dyDescent="0.25">
      <c r="B410" s="105">
        <v>42822</v>
      </c>
      <c r="C410" s="106">
        <v>29409.52</v>
      </c>
    </row>
    <row r="411" spans="2:3" x14ac:dyDescent="0.25">
      <c r="B411" s="105">
        <v>42823</v>
      </c>
      <c r="C411" s="106">
        <v>29531.43</v>
      </c>
    </row>
    <row r="412" spans="2:3" x14ac:dyDescent="0.25">
      <c r="B412" s="105">
        <v>42824</v>
      </c>
      <c r="C412" s="106">
        <v>29647.42</v>
      </c>
    </row>
    <row r="413" spans="2:3" x14ac:dyDescent="0.25">
      <c r="B413" s="105">
        <v>42825</v>
      </c>
      <c r="C413" s="106">
        <v>29620.5</v>
      </c>
    </row>
    <row r="414" spans="2:3" x14ac:dyDescent="0.25">
      <c r="B414" s="105">
        <v>42828</v>
      </c>
      <c r="C414" s="106">
        <v>29910.22</v>
      </c>
    </row>
    <row r="415" spans="2:3" x14ac:dyDescent="0.25">
      <c r="B415" s="105">
        <v>42830</v>
      </c>
      <c r="C415" s="106">
        <v>29974.240000000002</v>
      </c>
    </row>
    <row r="416" spans="2:3" x14ac:dyDescent="0.25">
      <c r="B416" s="105">
        <v>42831</v>
      </c>
      <c r="C416" s="106">
        <v>29927.34</v>
      </c>
    </row>
    <row r="417" spans="2:3" x14ac:dyDescent="0.25">
      <c r="B417" s="105">
        <v>42832</v>
      </c>
      <c r="C417" s="106">
        <v>29706.61</v>
      </c>
    </row>
    <row r="418" spans="2:3" x14ac:dyDescent="0.25">
      <c r="B418" s="105">
        <v>42835</v>
      </c>
      <c r="C418" s="106">
        <v>29575.74</v>
      </c>
    </row>
    <row r="419" spans="2:3" x14ac:dyDescent="0.25">
      <c r="B419" s="105">
        <v>42836</v>
      </c>
      <c r="C419" s="106">
        <v>29788.35</v>
      </c>
    </row>
    <row r="420" spans="2:3" x14ac:dyDescent="0.25">
      <c r="B420" s="105">
        <v>42837</v>
      </c>
      <c r="C420" s="106">
        <v>29643.48</v>
      </c>
    </row>
    <row r="421" spans="2:3" x14ac:dyDescent="0.25">
      <c r="B421" s="105">
        <v>42838</v>
      </c>
      <c r="C421" s="106">
        <v>29461.45</v>
      </c>
    </row>
    <row r="422" spans="2:3" x14ac:dyDescent="0.25">
      <c r="B422" s="105">
        <v>42842</v>
      </c>
      <c r="C422" s="106">
        <v>29413.66</v>
      </c>
    </row>
    <row r="423" spans="2:3" x14ac:dyDescent="0.25">
      <c r="B423" s="105">
        <v>42843</v>
      </c>
      <c r="C423" s="106">
        <v>29319.1</v>
      </c>
    </row>
    <row r="424" spans="2:3" x14ac:dyDescent="0.25">
      <c r="B424" s="105">
        <v>42844</v>
      </c>
      <c r="C424" s="106">
        <v>29336.57</v>
      </c>
    </row>
    <row r="425" spans="2:3" x14ac:dyDescent="0.25">
      <c r="B425" s="105">
        <v>42845</v>
      </c>
      <c r="C425" s="106">
        <v>29422.39</v>
      </c>
    </row>
    <row r="426" spans="2:3" x14ac:dyDescent="0.25">
      <c r="B426" s="105">
        <v>42846</v>
      </c>
      <c r="C426" s="106">
        <v>29365.3</v>
      </c>
    </row>
    <row r="427" spans="2:3" x14ac:dyDescent="0.25">
      <c r="B427" s="105">
        <v>42849</v>
      </c>
      <c r="C427" s="106">
        <v>29655.84</v>
      </c>
    </row>
    <row r="428" spans="2:3" x14ac:dyDescent="0.25">
      <c r="B428" s="105">
        <v>42850</v>
      </c>
      <c r="C428" s="106">
        <v>29943.24</v>
      </c>
    </row>
    <row r="429" spans="2:3" x14ac:dyDescent="0.25">
      <c r="B429" s="105">
        <v>42851</v>
      </c>
      <c r="C429" s="106">
        <v>30133.35</v>
      </c>
    </row>
    <row r="430" spans="2:3" x14ac:dyDescent="0.25">
      <c r="B430" s="105">
        <v>42852</v>
      </c>
      <c r="C430" s="106">
        <v>30029.74</v>
      </c>
    </row>
    <row r="431" spans="2:3" x14ac:dyDescent="0.25">
      <c r="B431" s="105">
        <v>42853</v>
      </c>
      <c r="C431" s="106">
        <v>29918.400000000001</v>
      </c>
    </row>
    <row r="432" spans="2:3" x14ac:dyDescent="0.25">
      <c r="B432" s="105">
        <v>42857</v>
      </c>
      <c r="C432" s="106">
        <v>29921.18</v>
      </c>
    </row>
    <row r="433" spans="2:3" x14ac:dyDescent="0.25">
      <c r="B433" s="105">
        <v>42858</v>
      </c>
      <c r="C433" s="106">
        <v>29894.799999999999</v>
      </c>
    </row>
    <row r="434" spans="2:3" x14ac:dyDescent="0.25">
      <c r="B434" s="105">
        <v>42859</v>
      </c>
      <c r="C434" s="106">
        <v>30126.21</v>
      </c>
    </row>
    <row r="435" spans="2:3" x14ac:dyDescent="0.25">
      <c r="B435" s="105">
        <v>42860</v>
      </c>
      <c r="C435" s="106">
        <v>29858.799999999999</v>
      </c>
    </row>
    <row r="436" spans="2:3" x14ac:dyDescent="0.25">
      <c r="B436" s="105">
        <v>42863</v>
      </c>
      <c r="C436" s="106">
        <v>29926.15</v>
      </c>
    </row>
    <row r="437" spans="2:3" x14ac:dyDescent="0.25">
      <c r="B437" s="105">
        <v>42864</v>
      </c>
      <c r="C437" s="106">
        <v>29933.25</v>
      </c>
    </row>
    <row r="438" spans="2:3" x14ac:dyDescent="0.25">
      <c r="B438" s="105">
        <v>42865</v>
      </c>
      <c r="C438" s="106">
        <v>30248.17</v>
      </c>
    </row>
    <row r="439" spans="2:3" x14ac:dyDescent="0.25">
      <c r="B439" s="105">
        <v>42866</v>
      </c>
      <c r="C439" s="106">
        <v>30250.98</v>
      </c>
    </row>
    <row r="440" spans="2:3" x14ac:dyDescent="0.25">
      <c r="B440" s="105">
        <v>42867</v>
      </c>
      <c r="C440" s="106">
        <v>30188.15</v>
      </c>
    </row>
    <row r="441" spans="2:3" x14ac:dyDescent="0.25">
      <c r="B441" s="105">
        <v>42870</v>
      </c>
      <c r="C441" s="106">
        <v>30322.12</v>
      </c>
    </row>
    <row r="442" spans="2:3" x14ac:dyDescent="0.25">
      <c r="B442" s="105">
        <v>42871</v>
      </c>
      <c r="C442" s="106">
        <v>30582.6</v>
      </c>
    </row>
    <row r="443" spans="2:3" x14ac:dyDescent="0.25">
      <c r="B443" s="105">
        <v>42872</v>
      </c>
      <c r="C443" s="106">
        <v>30658.77</v>
      </c>
    </row>
    <row r="444" spans="2:3" x14ac:dyDescent="0.25">
      <c r="B444" s="105">
        <v>42873</v>
      </c>
      <c r="C444" s="106">
        <v>30434.79</v>
      </c>
    </row>
    <row r="445" spans="2:3" x14ac:dyDescent="0.25">
      <c r="B445" s="105">
        <v>42874</v>
      </c>
      <c r="C445" s="106">
        <v>30464.92</v>
      </c>
    </row>
    <row r="446" spans="2:3" x14ac:dyDescent="0.25">
      <c r="B446" s="105">
        <v>42877</v>
      </c>
      <c r="C446" s="106">
        <v>30570.97</v>
      </c>
    </row>
    <row r="447" spans="2:3" x14ac:dyDescent="0.25">
      <c r="B447" s="105">
        <v>42878</v>
      </c>
      <c r="C447" s="106">
        <v>30365.25</v>
      </c>
    </row>
    <row r="448" spans="2:3" x14ac:dyDescent="0.25">
      <c r="B448" s="105">
        <v>42879</v>
      </c>
      <c r="C448" s="106">
        <v>30301.64</v>
      </c>
    </row>
    <row r="449" spans="2:3" x14ac:dyDescent="0.25">
      <c r="B449" s="105">
        <v>42880</v>
      </c>
      <c r="C449" s="106">
        <v>30750.03</v>
      </c>
    </row>
    <row r="450" spans="2:3" x14ac:dyDescent="0.25">
      <c r="B450" s="105">
        <v>42881</v>
      </c>
      <c r="C450" s="106">
        <v>31028.21</v>
      </c>
    </row>
    <row r="451" spans="2:3" x14ac:dyDescent="0.25">
      <c r="B451" s="105">
        <v>42884</v>
      </c>
      <c r="C451" s="106">
        <v>31109.279999999999</v>
      </c>
    </row>
    <row r="452" spans="2:3" x14ac:dyDescent="0.25">
      <c r="B452" s="105">
        <v>42885</v>
      </c>
      <c r="C452" s="106">
        <v>31159.4</v>
      </c>
    </row>
    <row r="453" spans="2:3" x14ac:dyDescent="0.25">
      <c r="B453" s="105">
        <v>42886</v>
      </c>
      <c r="C453" s="106">
        <v>31145.8</v>
      </c>
    </row>
    <row r="454" spans="2:3" x14ac:dyDescent="0.25">
      <c r="B454" s="105">
        <v>42887</v>
      </c>
      <c r="C454" s="106">
        <v>31137.59</v>
      </c>
    </row>
    <row r="455" spans="2:3" x14ac:dyDescent="0.25">
      <c r="B455" s="105">
        <v>42888</v>
      </c>
      <c r="C455" s="106">
        <v>31273.29</v>
      </c>
    </row>
    <row r="456" spans="2:3" x14ac:dyDescent="0.25">
      <c r="B456" s="105">
        <v>42891</v>
      </c>
      <c r="C456" s="106">
        <v>31309.49</v>
      </c>
    </row>
    <row r="457" spans="2:3" x14ac:dyDescent="0.25">
      <c r="B457" s="105">
        <v>42892</v>
      </c>
      <c r="C457" s="106">
        <v>31190.560000000001</v>
      </c>
    </row>
    <row r="458" spans="2:3" x14ac:dyDescent="0.25">
      <c r="B458" s="105">
        <v>42893</v>
      </c>
      <c r="C458" s="106">
        <v>31271.279999999999</v>
      </c>
    </row>
    <row r="459" spans="2:3" x14ac:dyDescent="0.25">
      <c r="B459" s="105">
        <v>42894</v>
      </c>
      <c r="C459" s="106">
        <v>31213.360000000001</v>
      </c>
    </row>
    <row r="460" spans="2:3" x14ac:dyDescent="0.25">
      <c r="B460" s="105">
        <v>42895</v>
      </c>
      <c r="C460" s="106">
        <v>31262.06</v>
      </c>
    </row>
    <row r="461" spans="2:3" x14ac:dyDescent="0.25">
      <c r="B461" s="105">
        <v>42898</v>
      </c>
      <c r="C461" s="106">
        <v>31095.7</v>
      </c>
    </row>
    <row r="462" spans="2:3" x14ac:dyDescent="0.25">
      <c r="B462" s="105">
        <v>42899</v>
      </c>
      <c r="C462" s="106">
        <v>31103.49</v>
      </c>
    </row>
    <row r="463" spans="2:3" x14ac:dyDescent="0.25">
      <c r="B463" s="105">
        <v>42900</v>
      </c>
      <c r="C463" s="106">
        <v>31155.91</v>
      </c>
    </row>
    <row r="464" spans="2:3" x14ac:dyDescent="0.25">
      <c r="B464" s="105">
        <v>42901</v>
      </c>
      <c r="C464" s="106">
        <v>31075.73</v>
      </c>
    </row>
    <row r="465" spans="2:3" x14ac:dyDescent="0.25">
      <c r="B465" s="105">
        <v>42902</v>
      </c>
      <c r="C465" s="106">
        <v>31056.400000000001</v>
      </c>
    </row>
    <row r="466" spans="2:3" x14ac:dyDescent="0.25">
      <c r="B466" s="105">
        <v>42905</v>
      </c>
      <c r="C466" s="106">
        <v>31311.57</v>
      </c>
    </row>
    <row r="467" spans="2:3" x14ac:dyDescent="0.25">
      <c r="B467" s="105">
        <v>42906</v>
      </c>
      <c r="C467" s="106">
        <v>31297.53</v>
      </c>
    </row>
    <row r="468" spans="2:3" x14ac:dyDescent="0.25">
      <c r="B468" s="105">
        <v>42907</v>
      </c>
      <c r="C468" s="106">
        <v>31283.64</v>
      </c>
    </row>
    <row r="469" spans="2:3" x14ac:dyDescent="0.25">
      <c r="B469" s="105">
        <v>42908</v>
      </c>
      <c r="C469" s="106">
        <v>31290.74</v>
      </c>
    </row>
    <row r="470" spans="2:3" x14ac:dyDescent="0.25">
      <c r="B470" s="105">
        <v>42909</v>
      </c>
      <c r="C470" s="106">
        <v>31138.21</v>
      </c>
    </row>
    <row r="471" spans="2:3" x14ac:dyDescent="0.25">
      <c r="B471" s="105">
        <v>42913</v>
      </c>
      <c r="C471" s="106">
        <v>30958.25</v>
      </c>
    </row>
    <row r="472" spans="2:3" x14ac:dyDescent="0.25">
      <c r="B472" s="105">
        <v>42914</v>
      </c>
      <c r="C472" s="106">
        <v>30834.32</v>
      </c>
    </row>
    <row r="473" spans="2:3" x14ac:dyDescent="0.25">
      <c r="B473" s="105">
        <v>42915</v>
      </c>
      <c r="C473" s="106">
        <v>30857.52</v>
      </c>
    </row>
    <row r="474" spans="2:3" x14ac:dyDescent="0.25">
      <c r="B474" s="105">
        <v>42916</v>
      </c>
      <c r="C474" s="106">
        <v>30921.61</v>
      </c>
    </row>
    <row r="475" spans="2:3" x14ac:dyDescent="0.25">
      <c r="B475" s="105">
        <v>42919</v>
      </c>
      <c r="C475" s="106">
        <v>31221.62</v>
      </c>
    </row>
    <row r="476" spans="2:3" x14ac:dyDescent="0.25">
      <c r="B476" s="105">
        <v>42920</v>
      </c>
      <c r="C476" s="106">
        <v>31209.79</v>
      </c>
    </row>
    <row r="477" spans="2:3" x14ac:dyDescent="0.25">
      <c r="B477" s="105">
        <v>42921</v>
      </c>
      <c r="C477" s="106">
        <v>31245.56</v>
      </c>
    </row>
    <row r="478" spans="2:3" x14ac:dyDescent="0.25">
      <c r="B478" s="105">
        <v>42922</v>
      </c>
      <c r="C478" s="106">
        <v>31369.34</v>
      </c>
    </row>
    <row r="479" spans="2:3" x14ac:dyDescent="0.25">
      <c r="B479" s="105">
        <v>42923</v>
      </c>
      <c r="C479" s="106">
        <v>31360.63</v>
      </c>
    </row>
    <row r="480" spans="2:3" x14ac:dyDescent="0.25">
      <c r="B480" s="105">
        <v>42926</v>
      </c>
      <c r="C480" s="106">
        <v>31715.64</v>
      </c>
    </row>
    <row r="481" spans="2:3" x14ac:dyDescent="0.25">
      <c r="B481" s="105">
        <v>42927</v>
      </c>
      <c r="C481" s="106">
        <v>31747.09</v>
      </c>
    </row>
    <row r="482" spans="2:3" x14ac:dyDescent="0.25">
      <c r="B482" s="105">
        <v>42928</v>
      </c>
      <c r="C482" s="106">
        <v>31804.82</v>
      </c>
    </row>
    <row r="483" spans="2:3" x14ac:dyDescent="0.25">
      <c r="B483" s="105">
        <v>42929</v>
      </c>
      <c r="C483" s="106">
        <v>32037.38</v>
      </c>
    </row>
    <row r="484" spans="2:3" x14ac:dyDescent="0.25">
      <c r="B484" s="105">
        <v>42930</v>
      </c>
      <c r="C484" s="106">
        <v>32020.75</v>
      </c>
    </row>
    <row r="485" spans="2:3" x14ac:dyDescent="0.25">
      <c r="B485" s="105">
        <v>42933</v>
      </c>
      <c r="C485" s="106">
        <v>32074.78</v>
      </c>
    </row>
    <row r="486" spans="2:3" x14ac:dyDescent="0.25">
      <c r="B486" s="105">
        <v>42934</v>
      </c>
      <c r="C486" s="106">
        <v>31710.99</v>
      </c>
    </row>
    <row r="487" spans="2:3" x14ac:dyDescent="0.25">
      <c r="B487" s="105">
        <v>42935</v>
      </c>
      <c r="C487" s="106">
        <v>31955.35</v>
      </c>
    </row>
    <row r="488" spans="2:3" x14ac:dyDescent="0.25">
      <c r="B488" s="105">
        <v>42936</v>
      </c>
      <c r="C488" s="106">
        <v>31904.400000000001</v>
      </c>
    </row>
    <row r="489" spans="2:3" x14ac:dyDescent="0.25">
      <c r="B489" s="105">
        <v>42937</v>
      </c>
      <c r="C489" s="106">
        <v>32028.89</v>
      </c>
    </row>
    <row r="490" spans="2:3" x14ac:dyDescent="0.25">
      <c r="B490" s="105">
        <v>42940</v>
      </c>
      <c r="C490" s="106">
        <v>32245.87</v>
      </c>
    </row>
    <row r="491" spans="2:3" x14ac:dyDescent="0.25">
      <c r="B491" s="105">
        <v>42941</v>
      </c>
      <c r="C491" s="106">
        <v>32228.27</v>
      </c>
    </row>
    <row r="492" spans="2:3" x14ac:dyDescent="0.25">
      <c r="B492" s="105">
        <v>42942</v>
      </c>
      <c r="C492" s="106">
        <v>32382.46</v>
      </c>
    </row>
    <row r="493" spans="2:3" x14ac:dyDescent="0.25">
      <c r="B493" s="105">
        <v>42943</v>
      </c>
      <c r="C493" s="106">
        <v>32383.3</v>
      </c>
    </row>
    <row r="494" spans="2:3" x14ac:dyDescent="0.25">
      <c r="B494" s="105">
        <v>42944</v>
      </c>
      <c r="C494" s="106">
        <v>32309.88</v>
      </c>
    </row>
    <row r="495" spans="2:3" x14ac:dyDescent="0.25">
      <c r="B495" s="105">
        <v>42947</v>
      </c>
      <c r="C495" s="106">
        <v>32514.94</v>
      </c>
    </row>
    <row r="496" spans="2:3" x14ac:dyDescent="0.25">
      <c r="B496" s="105">
        <v>42948</v>
      </c>
      <c r="C496" s="106">
        <v>32575.17</v>
      </c>
    </row>
    <row r="497" spans="2:3" x14ac:dyDescent="0.25">
      <c r="B497" s="105">
        <v>42949</v>
      </c>
      <c r="C497" s="106">
        <v>32476.74</v>
      </c>
    </row>
    <row r="498" spans="2:3" x14ac:dyDescent="0.25">
      <c r="B498" s="105">
        <v>42950</v>
      </c>
      <c r="C498" s="106">
        <v>32237.88</v>
      </c>
    </row>
    <row r="499" spans="2:3" x14ac:dyDescent="0.25">
      <c r="B499" s="105">
        <v>42951</v>
      </c>
      <c r="C499" s="106">
        <v>32325.41</v>
      </c>
    </row>
    <row r="500" spans="2:3" x14ac:dyDescent="0.25">
      <c r="B500" s="105">
        <v>42954</v>
      </c>
      <c r="C500" s="106">
        <v>32273.67</v>
      </c>
    </row>
    <row r="501" spans="2:3" x14ac:dyDescent="0.25">
      <c r="B501" s="105">
        <v>42955</v>
      </c>
      <c r="C501" s="106">
        <v>32014.19</v>
      </c>
    </row>
    <row r="502" spans="2:3" x14ac:dyDescent="0.25">
      <c r="B502" s="105">
        <v>42956</v>
      </c>
      <c r="C502" s="106">
        <v>31797.84</v>
      </c>
    </row>
    <row r="503" spans="2:3" x14ac:dyDescent="0.25">
      <c r="B503" s="105">
        <v>42957</v>
      </c>
      <c r="C503" s="106">
        <v>31531.33</v>
      </c>
    </row>
    <row r="504" spans="2:3" x14ac:dyDescent="0.25">
      <c r="B504" s="105">
        <v>42958</v>
      </c>
      <c r="C504" s="106">
        <v>31213.59</v>
      </c>
    </row>
    <row r="505" spans="2:3" x14ac:dyDescent="0.25">
      <c r="B505" s="105">
        <v>42961</v>
      </c>
      <c r="C505" s="106">
        <v>31449.03</v>
      </c>
    </row>
    <row r="506" spans="2:3" x14ac:dyDescent="0.25">
      <c r="B506" s="105">
        <v>42963</v>
      </c>
      <c r="C506" s="106">
        <v>31770.89</v>
      </c>
    </row>
    <row r="507" spans="2:3" x14ac:dyDescent="0.25">
      <c r="B507" s="105">
        <v>42964</v>
      </c>
      <c r="C507" s="106">
        <v>31795.46</v>
      </c>
    </row>
    <row r="508" spans="2:3" x14ac:dyDescent="0.25">
      <c r="B508" s="105">
        <v>42965</v>
      </c>
      <c r="C508" s="106">
        <v>31524.68</v>
      </c>
    </row>
    <row r="509" spans="2:3" x14ac:dyDescent="0.25">
      <c r="B509" s="105">
        <v>42968</v>
      </c>
      <c r="C509" s="106">
        <v>31258.85</v>
      </c>
    </row>
    <row r="510" spans="2:3" x14ac:dyDescent="0.25">
      <c r="B510" s="105">
        <v>42969</v>
      </c>
      <c r="C510" s="106">
        <v>31291.85</v>
      </c>
    </row>
    <row r="511" spans="2:3" x14ac:dyDescent="0.25">
      <c r="B511" s="105">
        <v>42970</v>
      </c>
      <c r="C511" s="106">
        <v>31568.01</v>
      </c>
    </row>
    <row r="512" spans="2:3" x14ac:dyDescent="0.25">
      <c r="B512" s="105">
        <v>42971</v>
      </c>
      <c r="C512" s="106">
        <v>31596.06</v>
      </c>
    </row>
    <row r="513" spans="2:3" x14ac:dyDescent="0.25">
      <c r="B513" s="105">
        <v>42975</v>
      </c>
      <c r="C513" s="106">
        <v>31750.82</v>
      </c>
    </row>
    <row r="514" spans="2:3" x14ac:dyDescent="0.25">
      <c r="B514" s="105">
        <v>42976</v>
      </c>
      <c r="C514" s="106">
        <v>31388.39</v>
      </c>
    </row>
    <row r="515" spans="2:3" x14ac:dyDescent="0.25">
      <c r="B515" s="105">
        <v>42977</v>
      </c>
      <c r="C515" s="106">
        <v>31646.46</v>
      </c>
    </row>
    <row r="516" spans="2:3" x14ac:dyDescent="0.25">
      <c r="B516" s="105">
        <v>42978</v>
      </c>
      <c r="C516" s="106">
        <v>31730.49</v>
      </c>
    </row>
    <row r="517" spans="2:3" x14ac:dyDescent="0.25">
      <c r="B517" s="105">
        <v>42979</v>
      </c>
      <c r="C517" s="106">
        <v>31892.23</v>
      </c>
    </row>
    <row r="518" spans="2:3" x14ac:dyDescent="0.25">
      <c r="B518" s="105">
        <v>42982</v>
      </c>
      <c r="C518" s="106">
        <v>31702.25</v>
      </c>
    </row>
    <row r="519" spans="2:3" x14ac:dyDescent="0.25">
      <c r="B519" s="105">
        <v>42983</v>
      </c>
      <c r="C519" s="106">
        <v>31809.55</v>
      </c>
    </row>
    <row r="520" spans="2:3" x14ac:dyDescent="0.25">
      <c r="B520" s="105">
        <v>42984</v>
      </c>
      <c r="C520" s="106">
        <v>31661.97</v>
      </c>
    </row>
    <row r="521" spans="2:3" x14ac:dyDescent="0.25">
      <c r="B521" s="105">
        <v>42985</v>
      </c>
      <c r="C521" s="106">
        <v>31662.74</v>
      </c>
    </row>
    <row r="522" spans="2:3" x14ac:dyDescent="0.25">
      <c r="B522" s="105">
        <v>42986</v>
      </c>
      <c r="C522" s="106">
        <v>31687.52</v>
      </c>
    </row>
    <row r="523" spans="2:3" x14ac:dyDescent="0.25">
      <c r="B523" s="105">
        <v>42989</v>
      </c>
      <c r="C523" s="106">
        <v>31882.16</v>
      </c>
    </row>
    <row r="524" spans="2:3" x14ac:dyDescent="0.25">
      <c r="B524" s="105">
        <v>42990</v>
      </c>
      <c r="C524" s="106">
        <v>32158.66</v>
      </c>
    </row>
    <row r="525" spans="2:3" x14ac:dyDescent="0.25">
      <c r="B525" s="105">
        <v>42991</v>
      </c>
      <c r="C525" s="106">
        <v>32186.41</v>
      </c>
    </row>
    <row r="526" spans="2:3" x14ac:dyDescent="0.25">
      <c r="B526" s="105">
        <v>42992</v>
      </c>
      <c r="C526" s="106">
        <v>32241.93</v>
      </c>
    </row>
    <row r="527" spans="2:3" x14ac:dyDescent="0.25">
      <c r="B527" s="105">
        <v>42993</v>
      </c>
      <c r="C527" s="106">
        <v>32272.61</v>
      </c>
    </row>
    <row r="528" spans="2:3" x14ac:dyDescent="0.25">
      <c r="B528" s="105">
        <v>42996</v>
      </c>
      <c r="C528" s="106">
        <v>32423.759999999998</v>
      </c>
    </row>
    <row r="529" spans="2:3" x14ac:dyDescent="0.25">
      <c r="B529" s="105">
        <v>42997</v>
      </c>
      <c r="C529" s="106">
        <v>32402.37</v>
      </c>
    </row>
    <row r="530" spans="2:3" x14ac:dyDescent="0.25">
      <c r="B530" s="105">
        <v>42998</v>
      </c>
      <c r="C530" s="106">
        <v>32400.51</v>
      </c>
    </row>
    <row r="531" spans="2:3" x14ac:dyDescent="0.25">
      <c r="B531" s="105">
        <v>42999</v>
      </c>
      <c r="C531" s="106">
        <v>32370.04</v>
      </c>
    </row>
    <row r="532" spans="2:3" x14ac:dyDescent="0.25">
      <c r="B532" s="105">
        <v>43000</v>
      </c>
      <c r="C532" s="106">
        <v>31922.44</v>
      </c>
    </row>
    <row r="533" spans="2:3" x14ac:dyDescent="0.25">
      <c r="B533" s="105">
        <v>43003</v>
      </c>
      <c r="C533" s="106">
        <v>31626.63</v>
      </c>
    </row>
    <row r="534" spans="2:3" x14ac:dyDescent="0.25">
      <c r="B534" s="105">
        <v>43004</v>
      </c>
      <c r="C534" s="106">
        <v>31599.759999999998</v>
      </c>
    </row>
    <row r="535" spans="2:3" x14ac:dyDescent="0.25">
      <c r="B535" s="105">
        <v>43005</v>
      </c>
      <c r="C535" s="106">
        <v>31159.81</v>
      </c>
    </row>
    <row r="536" spans="2:3" x14ac:dyDescent="0.25">
      <c r="B536" s="105">
        <v>43006</v>
      </c>
      <c r="C536" s="106">
        <v>31282.48</v>
      </c>
    </row>
    <row r="537" spans="2:3" x14ac:dyDescent="0.25">
      <c r="B537" s="105">
        <v>43007</v>
      </c>
      <c r="C537" s="106">
        <v>31283.72</v>
      </c>
    </row>
    <row r="538" spans="2:3" x14ac:dyDescent="0.25">
      <c r="B538" s="105">
        <v>43011</v>
      </c>
      <c r="C538" s="106">
        <v>31497.38</v>
      </c>
    </row>
    <row r="539" spans="2:3" x14ac:dyDescent="0.25">
      <c r="B539" s="105">
        <v>43012</v>
      </c>
      <c r="C539" s="106">
        <v>31671.71</v>
      </c>
    </row>
    <row r="540" spans="2:3" x14ac:dyDescent="0.25">
      <c r="B540" s="105">
        <v>43013</v>
      </c>
      <c r="C540" s="106">
        <v>31592.03</v>
      </c>
    </row>
    <row r="541" spans="2:3" x14ac:dyDescent="0.25">
      <c r="B541" s="105">
        <v>43014</v>
      </c>
      <c r="C541" s="106">
        <v>31814.22</v>
      </c>
    </row>
    <row r="542" spans="2:3" x14ac:dyDescent="0.25">
      <c r="B542" s="105">
        <v>43017</v>
      </c>
      <c r="C542" s="106">
        <v>31846.89</v>
      </c>
    </row>
    <row r="543" spans="2:3" x14ac:dyDescent="0.25">
      <c r="B543" s="105">
        <v>43018</v>
      </c>
      <c r="C543" s="106">
        <v>31924.41</v>
      </c>
    </row>
    <row r="544" spans="2:3" x14ac:dyDescent="0.25">
      <c r="B544" s="105">
        <v>43019</v>
      </c>
      <c r="C544" s="106">
        <v>31833.99</v>
      </c>
    </row>
    <row r="545" spans="2:3" x14ac:dyDescent="0.25">
      <c r="B545" s="105">
        <v>43020</v>
      </c>
      <c r="C545" s="106">
        <v>32182.22</v>
      </c>
    </row>
    <row r="546" spans="2:3" x14ac:dyDescent="0.25">
      <c r="B546" s="105">
        <v>43021</v>
      </c>
      <c r="C546" s="106">
        <v>32432.69</v>
      </c>
    </row>
    <row r="547" spans="2:3" x14ac:dyDescent="0.25">
      <c r="B547" s="105">
        <v>43024</v>
      </c>
      <c r="C547" s="106">
        <v>32633.64</v>
      </c>
    </row>
    <row r="548" spans="2:3" x14ac:dyDescent="0.25">
      <c r="B548" s="105">
        <v>43025</v>
      </c>
      <c r="C548" s="106">
        <v>32609.16</v>
      </c>
    </row>
    <row r="549" spans="2:3" x14ac:dyDescent="0.25">
      <c r="B549" s="105">
        <v>43026</v>
      </c>
      <c r="C549" s="106">
        <v>32584.35</v>
      </c>
    </row>
    <row r="550" spans="2:3" x14ac:dyDescent="0.25">
      <c r="B550" s="105">
        <v>43027</v>
      </c>
      <c r="C550" s="106">
        <v>32389.96</v>
      </c>
    </row>
    <row r="551" spans="2:3" x14ac:dyDescent="0.25">
      <c r="B551" s="105">
        <v>43031</v>
      </c>
      <c r="C551" s="106">
        <v>32506.720000000001</v>
      </c>
    </row>
    <row r="552" spans="2:3" x14ac:dyDescent="0.25">
      <c r="B552" s="105">
        <v>43032</v>
      </c>
      <c r="C552" s="106">
        <v>32607.34</v>
      </c>
    </row>
    <row r="553" spans="2:3" x14ac:dyDescent="0.25">
      <c r="B553" s="105">
        <v>43033</v>
      </c>
      <c r="C553" s="106">
        <v>33042.5</v>
      </c>
    </row>
    <row r="554" spans="2:3" x14ac:dyDescent="0.25">
      <c r="B554" s="105">
        <v>43034</v>
      </c>
      <c r="C554" s="106">
        <v>33147.129999999997</v>
      </c>
    </row>
    <row r="555" spans="2:3" x14ac:dyDescent="0.25">
      <c r="B555" s="105">
        <v>43035</v>
      </c>
      <c r="C555" s="106">
        <v>33157.22</v>
      </c>
    </row>
    <row r="556" spans="2:3" x14ac:dyDescent="0.25">
      <c r="B556" s="105">
        <v>43038</v>
      </c>
      <c r="C556" s="106">
        <v>33266.160000000003</v>
      </c>
    </row>
    <row r="557" spans="2:3" x14ac:dyDescent="0.25">
      <c r="B557" s="105">
        <v>43039</v>
      </c>
      <c r="C557" s="106">
        <v>33213.129999999997</v>
      </c>
    </row>
    <row r="558" spans="2:3" x14ac:dyDescent="0.25">
      <c r="B558" s="105">
        <v>43040</v>
      </c>
      <c r="C558" s="106">
        <v>33600.269999999997</v>
      </c>
    </row>
    <row r="559" spans="2:3" x14ac:dyDescent="0.25">
      <c r="B559" s="105">
        <v>43041</v>
      </c>
      <c r="C559" s="106">
        <v>33573.22</v>
      </c>
    </row>
    <row r="560" spans="2:3" x14ac:dyDescent="0.25">
      <c r="B560" s="105">
        <v>43042</v>
      </c>
      <c r="C560" s="106">
        <v>33685.56</v>
      </c>
    </row>
    <row r="561" spans="2:3" x14ac:dyDescent="0.25">
      <c r="B561" s="105">
        <v>43045</v>
      </c>
      <c r="C561" s="106">
        <v>33731.19</v>
      </c>
    </row>
    <row r="562" spans="2:3" x14ac:dyDescent="0.25">
      <c r="B562" s="105">
        <v>43046</v>
      </c>
      <c r="C562" s="106">
        <v>33370.76</v>
      </c>
    </row>
    <row r="563" spans="2:3" x14ac:dyDescent="0.25">
      <c r="B563" s="105">
        <v>43047</v>
      </c>
      <c r="C563" s="106">
        <v>33218.81</v>
      </c>
    </row>
    <row r="564" spans="2:3" x14ac:dyDescent="0.25">
      <c r="B564" s="105">
        <v>43048</v>
      </c>
      <c r="C564" s="106">
        <v>33250.93</v>
      </c>
    </row>
    <row r="565" spans="2:3" x14ac:dyDescent="0.25">
      <c r="B565" s="105">
        <v>43049</v>
      </c>
      <c r="C565" s="106">
        <v>33314.559999999998</v>
      </c>
    </row>
    <row r="566" spans="2:3" x14ac:dyDescent="0.25">
      <c r="B566" s="105">
        <v>43052</v>
      </c>
      <c r="C566" s="106">
        <v>33033.56</v>
      </c>
    </row>
    <row r="567" spans="2:3" x14ac:dyDescent="0.25">
      <c r="B567" s="105">
        <v>43053</v>
      </c>
      <c r="C567" s="106">
        <v>32941.870000000003</v>
      </c>
    </row>
    <row r="568" spans="2:3" x14ac:dyDescent="0.25">
      <c r="B568" s="105">
        <v>43054</v>
      </c>
      <c r="C568" s="106">
        <v>32760.44</v>
      </c>
    </row>
    <row r="569" spans="2:3" x14ac:dyDescent="0.25">
      <c r="B569" s="105">
        <v>43055</v>
      </c>
      <c r="C569" s="106">
        <v>33106.82</v>
      </c>
    </row>
    <row r="570" spans="2:3" x14ac:dyDescent="0.25">
      <c r="B570" s="105">
        <v>43056</v>
      </c>
      <c r="C570" s="106">
        <v>33342.800000000003</v>
      </c>
    </row>
    <row r="571" spans="2:3" x14ac:dyDescent="0.25">
      <c r="B571" s="105">
        <v>43059</v>
      </c>
      <c r="C571" s="106">
        <v>33359.9</v>
      </c>
    </row>
    <row r="572" spans="2:3" x14ac:dyDescent="0.25">
      <c r="B572" s="105">
        <v>43060</v>
      </c>
      <c r="C572" s="106">
        <v>33478.35</v>
      </c>
    </row>
    <row r="573" spans="2:3" x14ac:dyDescent="0.25">
      <c r="B573" s="105">
        <v>43061</v>
      </c>
      <c r="C573" s="106">
        <v>33561.550000000003</v>
      </c>
    </row>
    <row r="574" spans="2:3" x14ac:dyDescent="0.25">
      <c r="B574" s="105">
        <v>43062</v>
      </c>
      <c r="C574" s="106">
        <v>33588.080000000002</v>
      </c>
    </row>
    <row r="575" spans="2:3" x14ac:dyDescent="0.25">
      <c r="B575" s="105">
        <v>43063</v>
      </c>
      <c r="C575" s="106">
        <v>33679.24</v>
      </c>
    </row>
    <row r="576" spans="2:3" x14ac:dyDescent="0.25">
      <c r="B576" s="105">
        <v>43066</v>
      </c>
      <c r="C576" s="106">
        <v>33724.44</v>
      </c>
    </row>
    <row r="577" spans="2:3" x14ac:dyDescent="0.25">
      <c r="B577" s="105">
        <v>43067</v>
      </c>
      <c r="C577" s="106">
        <v>33618.589999999997</v>
      </c>
    </row>
    <row r="578" spans="2:3" x14ac:dyDescent="0.25">
      <c r="B578" s="105">
        <v>43068</v>
      </c>
      <c r="C578" s="106">
        <v>33602.76</v>
      </c>
    </row>
    <row r="579" spans="2:3" x14ac:dyDescent="0.25">
      <c r="B579" s="105">
        <v>43069</v>
      </c>
      <c r="C579" s="106">
        <v>33149.35</v>
      </c>
    </row>
    <row r="580" spans="2:3" x14ac:dyDescent="0.25">
      <c r="B580" s="105">
        <v>43070</v>
      </c>
      <c r="C580" s="106">
        <v>32832.94</v>
      </c>
    </row>
    <row r="581" spans="2:3" x14ac:dyDescent="0.25">
      <c r="B581" s="105">
        <v>43073</v>
      </c>
      <c r="C581" s="106">
        <v>32869.72</v>
      </c>
    </row>
    <row r="582" spans="2:3" x14ac:dyDescent="0.25">
      <c r="B582" s="105">
        <v>43074</v>
      </c>
      <c r="C582" s="106">
        <v>32802.44</v>
      </c>
    </row>
    <row r="583" spans="2:3" x14ac:dyDescent="0.25">
      <c r="B583" s="105">
        <v>43075</v>
      </c>
      <c r="C583" s="106">
        <v>32597.18</v>
      </c>
    </row>
    <row r="584" spans="2:3" x14ac:dyDescent="0.25">
      <c r="B584" s="105">
        <v>43076</v>
      </c>
      <c r="C584" s="106">
        <v>32949.21</v>
      </c>
    </row>
    <row r="585" spans="2:3" x14ac:dyDescent="0.25">
      <c r="B585" s="105">
        <v>43077</v>
      </c>
      <c r="C585" s="106">
        <v>33250.300000000003</v>
      </c>
    </row>
    <row r="586" spans="2:3" x14ac:dyDescent="0.25">
      <c r="B586" s="105">
        <v>43080</v>
      </c>
      <c r="C586" s="106">
        <v>33455.79</v>
      </c>
    </row>
    <row r="587" spans="2:3" x14ac:dyDescent="0.25">
      <c r="B587" s="105">
        <v>43081</v>
      </c>
      <c r="C587" s="106">
        <v>33227.99</v>
      </c>
    </row>
    <row r="588" spans="2:3" x14ac:dyDescent="0.25">
      <c r="B588" s="105">
        <v>43082</v>
      </c>
      <c r="C588" s="106">
        <v>33053.040000000001</v>
      </c>
    </row>
    <row r="589" spans="2:3" x14ac:dyDescent="0.25">
      <c r="B589" s="105">
        <v>43083</v>
      </c>
      <c r="C589" s="106">
        <v>33246.699999999997</v>
      </c>
    </row>
    <row r="590" spans="2:3" x14ac:dyDescent="0.25">
      <c r="B590" s="105">
        <v>43084</v>
      </c>
      <c r="C590" s="106">
        <v>33462.97</v>
      </c>
    </row>
    <row r="591" spans="2:3" x14ac:dyDescent="0.25">
      <c r="B591" s="105">
        <v>43087</v>
      </c>
      <c r="C591" s="106">
        <v>33601.68</v>
      </c>
    </row>
    <row r="592" spans="2:3" x14ac:dyDescent="0.25">
      <c r="B592" s="105">
        <v>43088</v>
      </c>
      <c r="C592" s="106">
        <v>33836.74</v>
      </c>
    </row>
    <row r="593" spans="2:3" x14ac:dyDescent="0.25">
      <c r="B593" s="105">
        <v>43089</v>
      </c>
      <c r="C593" s="106">
        <v>33777.379999999997</v>
      </c>
    </row>
    <row r="594" spans="2:3" x14ac:dyDescent="0.25">
      <c r="B594" s="105">
        <v>43090</v>
      </c>
      <c r="C594" s="106">
        <v>33756.28</v>
      </c>
    </row>
    <row r="595" spans="2:3" x14ac:dyDescent="0.25">
      <c r="B595" s="105">
        <v>43091</v>
      </c>
      <c r="C595" s="106">
        <v>33940.300000000003</v>
      </c>
    </row>
    <row r="596" spans="2:3" x14ac:dyDescent="0.25">
      <c r="B596" s="105">
        <v>43095</v>
      </c>
      <c r="C596" s="106">
        <v>34010.61</v>
      </c>
    </row>
    <row r="597" spans="2:3" x14ac:dyDescent="0.25">
      <c r="B597" s="105">
        <v>43096</v>
      </c>
      <c r="C597" s="106">
        <v>33911.81</v>
      </c>
    </row>
    <row r="598" spans="2:3" x14ac:dyDescent="0.25">
      <c r="B598" s="105">
        <v>43097</v>
      </c>
      <c r="C598" s="106">
        <v>33848.03</v>
      </c>
    </row>
    <row r="599" spans="2:3" x14ac:dyDescent="0.25">
      <c r="B599" s="105">
        <v>43098</v>
      </c>
      <c r="C599" s="106">
        <v>34056.83</v>
      </c>
    </row>
    <row r="600" spans="2:3" x14ac:dyDescent="0.25">
      <c r="B600" s="105">
        <v>43101</v>
      </c>
      <c r="C600" s="106">
        <v>33812.75</v>
      </c>
    </row>
    <row r="601" spans="2:3" x14ac:dyDescent="0.25">
      <c r="B601" s="105">
        <v>43102</v>
      </c>
      <c r="C601" s="106">
        <v>33812.26</v>
      </c>
    </row>
    <row r="602" spans="2:3" x14ac:dyDescent="0.25">
      <c r="B602" s="105">
        <v>43103</v>
      </c>
      <c r="C602" s="106">
        <v>33793.379999999997</v>
      </c>
    </row>
    <row r="603" spans="2:3" x14ac:dyDescent="0.25">
      <c r="B603" s="105">
        <v>43104</v>
      </c>
      <c r="C603" s="106">
        <v>33969.64</v>
      </c>
    </row>
    <row r="604" spans="2:3" x14ac:dyDescent="0.25">
      <c r="B604" s="105">
        <v>43105</v>
      </c>
      <c r="C604" s="106">
        <v>34153.85</v>
      </c>
    </row>
    <row r="605" spans="2:3" x14ac:dyDescent="0.25">
      <c r="B605" s="105">
        <v>43108</v>
      </c>
      <c r="C605" s="106">
        <v>34352.79</v>
      </c>
    </row>
    <row r="606" spans="2:3" x14ac:dyDescent="0.25">
      <c r="B606" s="105">
        <v>43109</v>
      </c>
      <c r="C606" s="106">
        <v>34443.19</v>
      </c>
    </row>
    <row r="607" spans="2:3" x14ac:dyDescent="0.25">
      <c r="B607" s="105">
        <v>43110</v>
      </c>
      <c r="C607" s="106">
        <v>34433.07</v>
      </c>
    </row>
    <row r="608" spans="2:3" x14ac:dyDescent="0.25">
      <c r="B608" s="105">
        <v>43111</v>
      </c>
      <c r="C608" s="106">
        <v>34503.49</v>
      </c>
    </row>
    <row r="609" spans="2:3" x14ac:dyDescent="0.25">
      <c r="B609" s="105">
        <v>43112</v>
      </c>
      <c r="C609" s="106">
        <v>34592.39</v>
      </c>
    </row>
    <row r="610" spans="2:3" x14ac:dyDescent="0.25">
      <c r="B610" s="105">
        <v>43115</v>
      </c>
      <c r="C610" s="106">
        <v>34843.51</v>
      </c>
    </row>
    <row r="611" spans="2:3" x14ac:dyDescent="0.25">
      <c r="B611" s="105">
        <v>43116</v>
      </c>
      <c r="C611" s="106">
        <v>34771.050000000003</v>
      </c>
    </row>
    <row r="612" spans="2:3" x14ac:dyDescent="0.25">
      <c r="B612" s="105">
        <v>43117</v>
      </c>
      <c r="C612" s="106">
        <v>35081.82</v>
      </c>
    </row>
    <row r="613" spans="2:3" x14ac:dyDescent="0.25">
      <c r="B613" s="105">
        <v>43118</v>
      </c>
      <c r="C613" s="106">
        <v>35260.29</v>
      </c>
    </row>
    <row r="614" spans="2:3" x14ac:dyDescent="0.25">
      <c r="B614" s="105">
        <v>43119</v>
      </c>
      <c r="C614" s="106">
        <v>35511.58</v>
      </c>
    </row>
    <row r="615" spans="2:3" x14ac:dyDescent="0.25">
      <c r="B615" s="105">
        <v>43122</v>
      </c>
      <c r="C615" s="106">
        <v>35798.01</v>
      </c>
    </row>
    <row r="616" spans="2:3" x14ac:dyDescent="0.25">
      <c r="B616" s="105">
        <v>43123</v>
      </c>
      <c r="C616" s="106">
        <v>36139.980000000003</v>
      </c>
    </row>
    <row r="617" spans="2:3" x14ac:dyDescent="0.25">
      <c r="B617" s="105">
        <v>43124</v>
      </c>
      <c r="C617" s="106">
        <v>36161.64</v>
      </c>
    </row>
    <row r="618" spans="2:3" x14ac:dyDescent="0.25">
      <c r="B618" s="105">
        <v>43125</v>
      </c>
      <c r="C618" s="106">
        <v>36050.44</v>
      </c>
    </row>
    <row r="619" spans="2:3" x14ac:dyDescent="0.25">
      <c r="B619" s="105">
        <v>43129</v>
      </c>
      <c r="C619" s="106">
        <v>36283.25</v>
      </c>
    </row>
    <row r="620" spans="2:3" x14ac:dyDescent="0.25">
      <c r="B620" s="105">
        <v>43130</v>
      </c>
      <c r="C620" s="106">
        <v>36033.730000000003</v>
      </c>
    </row>
    <row r="621" spans="2:3" x14ac:dyDescent="0.25">
      <c r="B621" s="105">
        <v>43131</v>
      </c>
      <c r="C621" s="106">
        <v>35965.019999999997</v>
      </c>
    </row>
    <row r="622" spans="2:3" x14ac:dyDescent="0.25">
      <c r="B622" s="105">
        <v>43132</v>
      </c>
      <c r="C622" s="106">
        <v>35906.660000000003</v>
      </c>
    </row>
    <row r="623" spans="2:3" x14ac:dyDescent="0.25">
      <c r="B623" s="105">
        <v>43133</v>
      </c>
      <c r="C623" s="106">
        <v>35066.75</v>
      </c>
    </row>
    <row r="624" spans="2:3" x14ac:dyDescent="0.25">
      <c r="B624" s="105">
        <v>43136</v>
      </c>
      <c r="C624" s="106">
        <v>34757.160000000003</v>
      </c>
    </row>
    <row r="625" spans="2:3" x14ac:dyDescent="0.25">
      <c r="B625" s="105">
        <v>43137</v>
      </c>
      <c r="C625" s="106">
        <v>34195.94</v>
      </c>
    </row>
    <row r="626" spans="2:3" x14ac:dyDescent="0.25">
      <c r="B626" s="105">
        <v>43138</v>
      </c>
      <c r="C626" s="106">
        <v>34082.71</v>
      </c>
    </row>
    <row r="627" spans="2:3" x14ac:dyDescent="0.25">
      <c r="B627" s="105">
        <v>43139</v>
      </c>
      <c r="C627" s="106">
        <v>34413.160000000003</v>
      </c>
    </row>
    <row r="628" spans="2:3" x14ac:dyDescent="0.25">
      <c r="B628" s="105">
        <v>43140</v>
      </c>
      <c r="C628" s="106">
        <v>34005.760000000002</v>
      </c>
    </row>
    <row r="629" spans="2:3" x14ac:dyDescent="0.25">
      <c r="B629" s="105">
        <v>43143</v>
      </c>
      <c r="C629" s="106">
        <v>34300.47</v>
      </c>
    </row>
    <row r="630" spans="2:3" x14ac:dyDescent="0.25">
      <c r="B630" s="105">
        <v>43145</v>
      </c>
      <c r="C630" s="106">
        <v>34155.949999999997</v>
      </c>
    </row>
    <row r="631" spans="2:3" x14ac:dyDescent="0.25">
      <c r="B631" s="105">
        <v>43146</v>
      </c>
      <c r="C631" s="106">
        <v>34297.47</v>
      </c>
    </row>
    <row r="632" spans="2:3" x14ac:dyDescent="0.25">
      <c r="B632" s="105">
        <v>43147</v>
      </c>
      <c r="C632" s="106">
        <v>34010.76</v>
      </c>
    </row>
    <row r="633" spans="2:3" x14ac:dyDescent="0.25">
      <c r="B633" s="105">
        <v>43150</v>
      </c>
      <c r="C633" s="106">
        <v>33774.660000000003</v>
      </c>
    </row>
    <row r="634" spans="2:3" x14ac:dyDescent="0.25">
      <c r="B634" s="105">
        <v>43151</v>
      </c>
      <c r="C634" s="106">
        <v>33703.589999999997</v>
      </c>
    </row>
    <row r="635" spans="2:3" x14ac:dyDescent="0.25">
      <c r="B635" s="105">
        <v>43152</v>
      </c>
      <c r="C635" s="106">
        <v>33844.86</v>
      </c>
    </row>
    <row r="636" spans="2:3" x14ac:dyDescent="0.25">
      <c r="B636" s="105">
        <v>43153</v>
      </c>
      <c r="C636" s="106">
        <v>33819.5</v>
      </c>
    </row>
    <row r="637" spans="2:3" x14ac:dyDescent="0.25">
      <c r="B637" s="105">
        <v>43154</v>
      </c>
      <c r="C637" s="106">
        <v>34142.15</v>
      </c>
    </row>
    <row r="638" spans="2:3" x14ac:dyDescent="0.25">
      <c r="B638" s="105">
        <v>43157</v>
      </c>
      <c r="C638" s="106">
        <v>34445.75</v>
      </c>
    </row>
    <row r="639" spans="2:3" x14ac:dyDescent="0.25">
      <c r="B639" s="105">
        <v>43158</v>
      </c>
      <c r="C639" s="106">
        <v>34346.39</v>
      </c>
    </row>
    <row r="640" spans="2:3" x14ac:dyDescent="0.25">
      <c r="B640" s="105">
        <v>43159</v>
      </c>
      <c r="C640" s="106">
        <v>34184.04</v>
      </c>
    </row>
    <row r="641" spans="2:3" x14ac:dyDescent="0.25">
      <c r="B641" s="105">
        <v>43160</v>
      </c>
      <c r="C641" s="106">
        <v>34046.94</v>
      </c>
    </row>
    <row r="642" spans="2:3" x14ac:dyDescent="0.25">
      <c r="B642" s="105">
        <v>43164</v>
      </c>
      <c r="C642" s="106">
        <v>33746.78</v>
      </c>
    </row>
    <row r="643" spans="2:3" x14ac:dyDescent="0.25">
      <c r="B643" s="105">
        <v>43165</v>
      </c>
      <c r="C643" s="106">
        <v>33317.199999999997</v>
      </c>
    </row>
    <row r="644" spans="2:3" x14ac:dyDescent="0.25">
      <c r="B644" s="105">
        <v>43166</v>
      </c>
      <c r="C644" s="106">
        <v>33033.089999999997</v>
      </c>
    </row>
    <row r="645" spans="2:3" x14ac:dyDescent="0.25">
      <c r="B645" s="105">
        <v>43167</v>
      </c>
      <c r="C645" s="106">
        <v>33351.57</v>
      </c>
    </row>
    <row r="646" spans="2:3" x14ac:dyDescent="0.25">
      <c r="B646" s="105">
        <v>43168</v>
      </c>
      <c r="C646" s="106">
        <v>33307.14</v>
      </c>
    </row>
    <row r="647" spans="2:3" x14ac:dyDescent="0.25">
      <c r="B647" s="105">
        <v>43171</v>
      </c>
      <c r="C647" s="106">
        <v>33917.94</v>
      </c>
    </row>
    <row r="648" spans="2:3" x14ac:dyDescent="0.25">
      <c r="B648" s="105">
        <v>43172</v>
      </c>
      <c r="C648" s="106">
        <v>33856.78</v>
      </c>
    </row>
    <row r="649" spans="2:3" x14ac:dyDescent="0.25">
      <c r="B649" s="105">
        <v>43173</v>
      </c>
      <c r="C649" s="106">
        <v>33835.74</v>
      </c>
    </row>
    <row r="650" spans="2:3" x14ac:dyDescent="0.25">
      <c r="B650" s="105">
        <v>43174</v>
      </c>
      <c r="C650" s="106">
        <v>33685.54</v>
      </c>
    </row>
    <row r="651" spans="2:3" x14ac:dyDescent="0.25">
      <c r="B651" s="105">
        <v>43175</v>
      </c>
      <c r="C651" s="106">
        <v>33176</v>
      </c>
    </row>
    <row r="652" spans="2:3" x14ac:dyDescent="0.25">
      <c r="B652" s="105">
        <v>43178</v>
      </c>
      <c r="C652" s="106">
        <v>32923.120000000003</v>
      </c>
    </row>
    <row r="653" spans="2:3" x14ac:dyDescent="0.25">
      <c r="B653" s="105">
        <v>43179</v>
      </c>
      <c r="C653" s="106">
        <v>32996.76</v>
      </c>
    </row>
    <row r="654" spans="2:3" x14ac:dyDescent="0.25">
      <c r="B654" s="105">
        <v>43180</v>
      </c>
      <c r="C654" s="106">
        <v>33136.18</v>
      </c>
    </row>
    <row r="655" spans="2:3" x14ac:dyDescent="0.25">
      <c r="B655" s="105">
        <v>43181</v>
      </c>
      <c r="C655" s="106">
        <v>33006.269999999997</v>
      </c>
    </row>
    <row r="656" spans="2:3" x14ac:dyDescent="0.25">
      <c r="B656" s="105">
        <v>43182</v>
      </c>
      <c r="C656" s="106">
        <v>32596.54</v>
      </c>
    </row>
    <row r="657" spans="2:3" x14ac:dyDescent="0.25">
      <c r="B657" s="105">
        <v>43185</v>
      </c>
      <c r="C657" s="106">
        <v>33066.410000000003</v>
      </c>
    </row>
    <row r="658" spans="2:3" x14ac:dyDescent="0.25">
      <c r="B658" s="105">
        <v>43186</v>
      </c>
      <c r="C658" s="106">
        <v>33174.39</v>
      </c>
    </row>
    <row r="659" spans="2:3" x14ac:dyDescent="0.25">
      <c r="B659" s="105">
        <v>43187</v>
      </c>
      <c r="C659" s="106">
        <v>32968.68</v>
      </c>
    </row>
    <row r="660" spans="2:3" x14ac:dyDescent="0.25">
      <c r="B660" s="105">
        <v>43192</v>
      </c>
      <c r="C660" s="106">
        <v>33255.360000000001</v>
      </c>
    </row>
    <row r="661" spans="2:3" x14ac:dyDescent="0.25">
      <c r="B661" s="105">
        <v>43193</v>
      </c>
      <c r="C661" s="106">
        <v>33370.629999999997</v>
      </c>
    </row>
    <row r="662" spans="2:3" x14ac:dyDescent="0.25">
      <c r="B662" s="105">
        <v>43194</v>
      </c>
      <c r="C662" s="106">
        <v>33019.07</v>
      </c>
    </row>
    <row r="663" spans="2:3" x14ac:dyDescent="0.25">
      <c r="B663" s="105">
        <v>43195</v>
      </c>
      <c r="C663" s="106">
        <v>33596.800000000003</v>
      </c>
    </row>
    <row r="664" spans="2:3" x14ac:dyDescent="0.25">
      <c r="B664" s="105">
        <v>43196</v>
      </c>
      <c r="C664" s="106">
        <v>33626.97</v>
      </c>
    </row>
    <row r="665" spans="2:3" x14ac:dyDescent="0.25">
      <c r="B665" s="105">
        <v>43199</v>
      </c>
      <c r="C665" s="106">
        <v>33788.54</v>
      </c>
    </row>
    <row r="666" spans="2:3" x14ac:dyDescent="0.25">
      <c r="B666" s="105">
        <v>43200</v>
      </c>
      <c r="C666" s="106">
        <v>33880.25</v>
      </c>
    </row>
    <row r="667" spans="2:3" x14ac:dyDescent="0.25">
      <c r="B667" s="105">
        <v>43201</v>
      </c>
      <c r="C667" s="106">
        <v>33940.44</v>
      </c>
    </row>
    <row r="668" spans="2:3" x14ac:dyDescent="0.25">
      <c r="B668" s="105">
        <v>43202</v>
      </c>
      <c r="C668" s="106">
        <v>34101.129999999997</v>
      </c>
    </row>
    <row r="669" spans="2:3" x14ac:dyDescent="0.25">
      <c r="B669" s="105">
        <v>43203</v>
      </c>
      <c r="C669" s="106">
        <v>34192.65</v>
      </c>
    </row>
    <row r="670" spans="2:3" x14ac:dyDescent="0.25">
      <c r="B670" s="105">
        <v>43206</v>
      </c>
      <c r="C670" s="106">
        <v>34305.43</v>
      </c>
    </row>
    <row r="671" spans="2:3" x14ac:dyDescent="0.25">
      <c r="B671" s="105">
        <v>43207</v>
      </c>
      <c r="C671" s="106">
        <v>34395.06</v>
      </c>
    </row>
    <row r="672" spans="2:3" x14ac:dyDescent="0.25">
      <c r="B672" s="105">
        <v>43208</v>
      </c>
      <c r="C672" s="106">
        <v>34331.68</v>
      </c>
    </row>
    <row r="673" spans="2:3" x14ac:dyDescent="0.25">
      <c r="B673" s="105">
        <v>43209</v>
      </c>
      <c r="C673" s="106">
        <v>34427.29</v>
      </c>
    </row>
    <row r="674" spans="2:3" x14ac:dyDescent="0.25">
      <c r="B674" s="105">
        <v>43210</v>
      </c>
      <c r="C674" s="106">
        <v>34415.58</v>
      </c>
    </row>
    <row r="675" spans="2:3" x14ac:dyDescent="0.25">
      <c r="B675" s="105">
        <v>43213</v>
      </c>
      <c r="C675" s="106">
        <v>34450.769999999997</v>
      </c>
    </row>
    <row r="676" spans="2:3" x14ac:dyDescent="0.25">
      <c r="B676" s="105">
        <v>43214</v>
      </c>
      <c r="C676" s="106">
        <v>34616.639999999999</v>
      </c>
    </row>
    <row r="677" spans="2:3" x14ac:dyDescent="0.25">
      <c r="B677" s="105">
        <v>43215</v>
      </c>
      <c r="C677" s="106">
        <v>34501.269999999997</v>
      </c>
    </row>
    <row r="678" spans="2:3" x14ac:dyDescent="0.25">
      <c r="B678" s="105">
        <v>43216</v>
      </c>
      <c r="C678" s="106">
        <v>34713.599999999999</v>
      </c>
    </row>
    <row r="679" spans="2:3" x14ac:dyDescent="0.25">
      <c r="B679" s="105">
        <v>43217</v>
      </c>
      <c r="C679" s="106">
        <v>34969.699999999997</v>
      </c>
    </row>
    <row r="680" spans="2:3" x14ac:dyDescent="0.25">
      <c r="B680" s="105">
        <v>43220</v>
      </c>
      <c r="C680" s="106">
        <v>35160.36</v>
      </c>
    </row>
    <row r="681" spans="2:3" x14ac:dyDescent="0.25">
      <c r="B681" s="105">
        <v>43222</v>
      </c>
      <c r="C681" s="106">
        <v>35176.42</v>
      </c>
    </row>
    <row r="682" spans="2:3" x14ac:dyDescent="0.25">
      <c r="B682" s="105">
        <v>43223</v>
      </c>
      <c r="C682" s="106">
        <v>35103.14</v>
      </c>
    </row>
    <row r="683" spans="2:3" x14ac:dyDescent="0.25">
      <c r="B683" s="105">
        <v>43224</v>
      </c>
      <c r="C683" s="106">
        <v>34915.379999999997</v>
      </c>
    </row>
    <row r="684" spans="2:3" x14ac:dyDescent="0.25">
      <c r="B684" s="105">
        <v>43227</v>
      </c>
      <c r="C684" s="106">
        <v>35208.14</v>
      </c>
    </row>
    <row r="685" spans="2:3" x14ac:dyDescent="0.25">
      <c r="B685" s="105">
        <v>43228</v>
      </c>
      <c r="C685" s="106">
        <v>35216.32</v>
      </c>
    </row>
    <row r="686" spans="2:3" x14ac:dyDescent="0.25">
      <c r="B686" s="105">
        <v>43229</v>
      </c>
      <c r="C686" s="106">
        <v>35319.35</v>
      </c>
    </row>
    <row r="687" spans="2:3" x14ac:dyDescent="0.25">
      <c r="B687" s="105">
        <v>43230</v>
      </c>
      <c r="C687" s="106">
        <v>35246.269999999997</v>
      </c>
    </row>
    <row r="688" spans="2:3" x14ac:dyDescent="0.25">
      <c r="B688" s="105">
        <v>43231</v>
      </c>
      <c r="C688" s="106">
        <v>35535.79</v>
      </c>
    </row>
    <row r="689" spans="2:3" x14ac:dyDescent="0.25">
      <c r="B689" s="105">
        <v>43234</v>
      </c>
      <c r="C689" s="106">
        <v>35556.71</v>
      </c>
    </row>
    <row r="690" spans="2:3" x14ac:dyDescent="0.25">
      <c r="B690" s="105">
        <v>43235</v>
      </c>
      <c r="C690" s="106">
        <v>35543.94</v>
      </c>
    </row>
    <row r="691" spans="2:3" x14ac:dyDescent="0.25">
      <c r="B691" s="105">
        <v>43236</v>
      </c>
      <c r="C691" s="106">
        <v>35387.879999999997</v>
      </c>
    </row>
    <row r="692" spans="2:3" x14ac:dyDescent="0.25">
      <c r="B692" s="105">
        <v>43237</v>
      </c>
      <c r="C692" s="106">
        <v>35149.120000000003</v>
      </c>
    </row>
    <row r="693" spans="2:3" x14ac:dyDescent="0.25">
      <c r="B693" s="105">
        <v>43238</v>
      </c>
      <c r="C693" s="106">
        <v>34848.300000000003</v>
      </c>
    </row>
    <row r="694" spans="2:3" x14ac:dyDescent="0.25">
      <c r="B694" s="105">
        <v>43241</v>
      </c>
      <c r="C694" s="106">
        <v>34616.129999999997</v>
      </c>
    </row>
    <row r="695" spans="2:3" x14ac:dyDescent="0.25">
      <c r="B695" s="105">
        <v>43242</v>
      </c>
      <c r="C695" s="106">
        <v>34651.24</v>
      </c>
    </row>
    <row r="696" spans="2:3" x14ac:dyDescent="0.25">
      <c r="B696" s="105">
        <v>43243</v>
      </c>
      <c r="C696" s="106">
        <v>34344.910000000003</v>
      </c>
    </row>
    <row r="697" spans="2:3" x14ac:dyDescent="0.25">
      <c r="B697" s="105">
        <v>43244</v>
      </c>
      <c r="C697" s="106">
        <v>34663.11</v>
      </c>
    </row>
    <row r="698" spans="2:3" x14ac:dyDescent="0.25">
      <c r="B698" s="105">
        <v>43245</v>
      </c>
      <c r="C698" s="106">
        <v>34924.870000000003</v>
      </c>
    </row>
    <row r="699" spans="2:3" x14ac:dyDescent="0.25">
      <c r="B699" s="105">
        <v>43248</v>
      </c>
      <c r="C699" s="106">
        <v>35165.480000000003</v>
      </c>
    </row>
    <row r="700" spans="2:3" x14ac:dyDescent="0.25">
      <c r="B700" s="105">
        <v>43249</v>
      </c>
      <c r="C700" s="106">
        <v>34949.24</v>
      </c>
    </row>
    <row r="701" spans="2:3" x14ac:dyDescent="0.25">
      <c r="B701" s="105">
        <v>43250</v>
      </c>
      <c r="C701" s="106">
        <v>34906.11</v>
      </c>
    </row>
    <row r="702" spans="2:3" x14ac:dyDescent="0.25">
      <c r="B702" s="105">
        <v>43251</v>
      </c>
      <c r="C702" s="106">
        <v>35322.379999999997</v>
      </c>
    </row>
    <row r="703" spans="2:3" x14ac:dyDescent="0.25">
      <c r="B703" s="105">
        <v>43252</v>
      </c>
      <c r="C703" s="106">
        <v>35227.26</v>
      </c>
    </row>
    <row r="704" spans="2:3" x14ac:dyDescent="0.25">
      <c r="B704" s="105">
        <v>43255</v>
      </c>
      <c r="C704" s="106">
        <v>35011.89</v>
      </c>
    </row>
    <row r="705" spans="2:3" x14ac:dyDescent="0.25">
      <c r="B705" s="105">
        <v>43256</v>
      </c>
      <c r="C705" s="106">
        <v>34903.21</v>
      </c>
    </row>
    <row r="706" spans="2:3" x14ac:dyDescent="0.25">
      <c r="B706" s="105">
        <v>43257</v>
      </c>
      <c r="C706" s="106">
        <v>35178.879999999997</v>
      </c>
    </row>
    <row r="707" spans="2:3" x14ac:dyDescent="0.25">
      <c r="B707" s="105">
        <v>43258</v>
      </c>
      <c r="C707" s="106">
        <v>35463.08</v>
      </c>
    </row>
    <row r="708" spans="2:3" x14ac:dyDescent="0.25">
      <c r="B708" s="105">
        <v>43259</v>
      </c>
      <c r="C708" s="106">
        <v>35443.67</v>
      </c>
    </row>
    <row r="709" spans="2:3" x14ac:dyDescent="0.25">
      <c r="B709" s="105">
        <v>43262</v>
      </c>
      <c r="C709" s="106">
        <v>35483.47</v>
      </c>
    </row>
    <row r="710" spans="2:3" x14ac:dyDescent="0.25">
      <c r="B710" s="105">
        <v>43263</v>
      </c>
      <c r="C710" s="106">
        <v>35692.519999999997</v>
      </c>
    </row>
    <row r="711" spans="2:3" x14ac:dyDescent="0.25">
      <c r="B711" s="105">
        <v>43264</v>
      </c>
      <c r="C711" s="106">
        <v>35739.160000000003</v>
      </c>
    </row>
    <row r="712" spans="2:3" x14ac:dyDescent="0.25">
      <c r="B712" s="105">
        <v>43265</v>
      </c>
      <c r="C712" s="106">
        <v>35599.82</v>
      </c>
    </row>
    <row r="713" spans="2:3" x14ac:dyDescent="0.25">
      <c r="B713" s="105">
        <v>43266</v>
      </c>
      <c r="C713" s="106">
        <v>35622.14</v>
      </c>
    </row>
    <row r="714" spans="2:3" x14ac:dyDescent="0.25">
      <c r="B714" s="105">
        <v>43269</v>
      </c>
      <c r="C714" s="106">
        <v>35548.26</v>
      </c>
    </row>
    <row r="715" spans="2:3" x14ac:dyDescent="0.25">
      <c r="B715" s="105">
        <v>43270</v>
      </c>
      <c r="C715" s="106">
        <v>35286.74</v>
      </c>
    </row>
    <row r="716" spans="2:3" x14ac:dyDescent="0.25">
      <c r="B716" s="105">
        <v>43271</v>
      </c>
      <c r="C716" s="106">
        <v>35547.33</v>
      </c>
    </row>
    <row r="717" spans="2:3" x14ac:dyDescent="0.25">
      <c r="B717" s="105">
        <v>43272</v>
      </c>
      <c r="C717" s="106">
        <v>35432.39</v>
      </c>
    </row>
    <row r="718" spans="2:3" x14ac:dyDescent="0.25">
      <c r="B718" s="105">
        <v>43273</v>
      </c>
      <c r="C718" s="106">
        <v>35689.599999999999</v>
      </c>
    </row>
    <row r="719" spans="2:3" x14ac:dyDescent="0.25">
      <c r="B719" s="105">
        <v>43276</v>
      </c>
      <c r="C719" s="106">
        <v>35470.35</v>
      </c>
    </row>
    <row r="720" spans="2:3" x14ac:dyDescent="0.25">
      <c r="B720" s="105">
        <v>43277</v>
      </c>
      <c r="C720" s="106">
        <v>35490.04</v>
      </c>
    </row>
    <row r="721" spans="2:3" x14ac:dyDescent="0.25">
      <c r="B721" s="105">
        <v>43278</v>
      </c>
      <c r="C721" s="106">
        <v>35217.11</v>
      </c>
    </row>
    <row r="722" spans="2:3" x14ac:dyDescent="0.25">
      <c r="B722" s="105">
        <v>43279</v>
      </c>
      <c r="C722" s="106">
        <v>35037.64</v>
      </c>
    </row>
    <row r="723" spans="2:3" x14ac:dyDescent="0.25">
      <c r="B723" s="105">
        <v>43280</v>
      </c>
      <c r="C723" s="106">
        <v>35423.480000000003</v>
      </c>
    </row>
    <row r="724" spans="2:3" x14ac:dyDescent="0.25">
      <c r="B724" s="105">
        <v>43283</v>
      </c>
      <c r="C724" s="106">
        <v>35264.410000000003</v>
      </c>
    </row>
    <row r="725" spans="2:3" x14ac:dyDescent="0.25">
      <c r="B725" s="105">
        <v>43284</v>
      </c>
      <c r="C725" s="106">
        <v>35378.6</v>
      </c>
    </row>
    <row r="726" spans="2:3" x14ac:dyDescent="0.25">
      <c r="B726" s="105">
        <v>43285</v>
      </c>
      <c r="C726" s="106">
        <v>35645.4</v>
      </c>
    </row>
    <row r="727" spans="2:3" x14ac:dyDescent="0.25">
      <c r="B727" s="105">
        <v>43286</v>
      </c>
      <c r="C727" s="106">
        <v>35574.550000000003</v>
      </c>
    </row>
    <row r="728" spans="2:3" x14ac:dyDescent="0.25">
      <c r="B728" s="105">
        <v>43287</v>
      </c>
      <c r="C728" s="106">
        <v>35657.86</v>
      </c>
    </row>
    <row r="729" spans="2:3" x14ac:dyDescent="0.25">
      <c r="B729" s="105">
        <v>43290</v>
      </c>
      <c r="C729" s="106">
        <v>35934.720000000001</v>
      </c>
    </row>
    <row r="730" spans="2:3" x14ac:dyDescent="0.25">
      <c r="B730" s="105">
        <v>43291</v>
      </c>
      <c r="C730" s="106">
        <v>36239.620000000003</v>
      </c>
    </row>
    <row r="731" spans="2:3" x14ac:dyDescent="0.25">
      <c r="B731" s="105">
        <v>43292</v>
      </c>
      <c r="C731" s="106">
        <v>36265.93</v>
      </c>
    </row>
    <row r="732" spans="2:3" x14ac:dyDescent="0.25">
      <c r="B732" s="105">
        <v>43293</v>
      </c>
      <c r="C732" s="106">
        <v>36548.410000000003</v>
      </c>
    </row>
    <row r="733" spans="2:3" x14ac:dyDescent="0.25">
      <c r="B733" s="105">
        <v>43294</v>
      </c>
      <c r="C733" s="106">
        <v>36541.629999999997</v>
      </c>
    </row>
    <row r="734" spans="2:3" x14ac:dyDescent="0.25">
      <c r="B734" s="105">
        <v>43297</v>
      </c>
      <c r="C734" s="106">
        <v>36323.769999999997</v>
      </c>
    </row>
    <row r="735" spans="2:3" x14ac:dyDescent="0.25">
      <c r="B735" s="105">
        <v>43298</v>
      </c>
      <c r="C735" s="106">
        <v>36519.96</v>
      </c>
    </row>
    <row r="736" spans="2:3" x14ac:dyDescent="0.25">
      <c r="B736" s="105">
        <v>43299</v>
      </c>
      <c r="C736" s="106">
        <v>36373.440000000002</v>
      </c>
    </row>
    <row r="737" spans="2:3" x14ac:dyDescent="0.25">
      <c r="B737" s="105">
        <v>43300</v>
      </c>
      <c r="C737" s="106">
        <v>36351.230000000003</v>
      </c>
    </row>
    <row r="738" spans="2:3" x14ac:dyDescent="0.25">
      <c r="B738" s="105">
        <v>43301</v>
      </c>
      <c r="C738" s="106">
        <v>36496.370000000003</v>
      </c>
    </row>
    <row r="739" spans="2:3" x14ac:dyDescent="0.25">
      <c r="B739" s="105">
        <v>43304</v>
      </c>
      <c r="C739" s="106">
        <v>36718.6</v>
      </c>
    </row>
    <row r="740" spans="2:3" x14ac:dyDescent="0.25">
      <c r="B740" s="105">
        <v>43305</v>
      </c>
      <c r="C740" s="106">
        <v>36825.1</v>
      </c>
    </row>
    <row r="741" spans="2:3" x14ac:dyDescent="0.25">
      <c r="B741" s="105">
        <v>43306</v>
      </c>
      <c r="C741" s="106">
        <v>36858.230000000003</v>
      </c>
    </row>
    <row r="742" spans="2:3" x14ac:dyDescent="0.25">
      <c r="B742" s="105">
        <v>43307</v>
      </c>
      <c r="C742" s="106">
        <v>36984.639999999999</v>
      </c>
    </row>
    <row r="743" spans="2:3" x14ac:dyDescent="0.25">
      <c r="B743" s="105">
        <v>43308</v>
      </c>
      <c r="C743" s="106">
        <v>37336.85</v>
      </c>
    </row>
    <row r="744" spans="2:3" x14ac:dyDescent="0.25">
      <c r="B744" s="105">
        <v>43311</v>
      </c>
      <c r="C744" s="106">
        <v>37494.400000000001</v>
      </c>
    </row>
    <row r="745" spans="2:3" x14ac:dyDescent="0.25">
      <c r="B745" s="105">
        <v>43312</v>
      </c>
      <c r="C745" s="106">
        <v>37606.58</v>
      </c>
    </row>
    <row r="746" spans="2:3" x14ac:dyDescent="0.25">
      <c r="B746" s="105">
        <v>43313</v>
      </c>
      <c r="C746" s="106">
        <v>37521.620000000003</v>
      </c>
    </row>
    <row r="747" spans="2:3" x14ac:dyDescent="0.25">
      <c r="B747" s="105">
        <v>43314</v>
      </c>
      <c r="C747" s="106">
        <v>37165.160000000003</v>
      </c>
    </row>
    <row r="748" spans="2:3" x14ac:dyDescent="0.25">
      <c r="B748" s="105">
        <v>43315</v>
      </c>
      <c r="C748" s="106">
        <v>37556.160000000003</v>
      </c>
    </row>
    <row r="749" spans="2:3" x14ac:dyDescent="0.25">
      <c r="B749" s="105">
        <v>43318</v>
      </c>
      <c r="C749" s="106">
        <v>37691.89</v>
      </c>
    </row>
    <row r="750" spans="2:3" x14ac:dyDescent="0.25">
      <c r="B750" s="105">
        <v>43319</v>
      </c>
      <c r="C750" s="106">
        <v>37665.800000000003</v>
      </c>
    </row>
    <row r="751" spans="2:3" x14ac:dyDescent="0.25">
      <c r="B751" s="105">
        <v>43320</v>
      </c>
      <c r="C751" s="106">
        <v>37887.56</v>
      </c>
    </row>
    <row r="752" spans="2:3" x14ac:dyDescent="0.25">
      <c r="B752" s="105">
        <v>43321</v>
      </c>
      <c r="C752" s="106">
        <v>38024.370000000003</v>
      </c>
    </row>
    <row r="753" spans="2:3" x14ac:dyDescent="0.25">
      <c r="B753" s="105">
        <v>43322</v>
      </c>
      <c r="C753" s="106">
        <v>37869.230000000003</v>
      </c>
    </row>
    <row r="754" spans="2:3" x14ac:dyDescent="0.25">
      <c r="B754" s="105">
        <v>43325</v>
      </c>
      <c r="C754" s="106">
        <v>37644.9</v>
      </c>
    </row>
    <row r="755" spans="2:3" x14ac:dyDescent="0.25">
      <c r="B755" s="105">
        <v>43326</v>
      </c>
      <c r="C755" s="106">
        <v>37852</v>
      </c>
    </row>
    <row r="756" spans="2:3" x14ac:dyDescent="0.25">
      <c r="B756" s="105">
        <v>43328</v>
      </c>
      <c r="C756" s="106">
        <v>37663.56</v>
      </c>
    </row>
    <row r="757" spans="2:3" x14ac:dyDescent="0.25">
      <c r="B757" s="105">
        <v>43329</v>
      </c>
      <c r="C757" s="106">
        <v>37947.879999999997</v>
      </c>
    </row>
    <row r="758" spans="2:3" x14ac:dyDescent="0.25">
      <c r="B758" s="105">
        <v>43332</v>
      </c>
      <c r="C758" s="106">
        <v>38278.75</v>
      </c>
    </row>
    <row r="759" spans="2:3" x14ac:dyDescent="0.25">
      <c r="B759" s="105">
        <v>43333</v>
      </c>
      <c r="C759" s="106">
        <v>38285.75</v>
      </c>
    </row>
    <row r="760" spans="2:3" x14ac:dyDescent="0.25">
      <c r="B760" s="105">
        <v>43335</v>
      </c>
      <c r="C760" s="106">
        <v>38336.76</v>
      </c>
    </row>
    <row r="761" spans="2:3" x14ac:dyDescent="0.25">
      <c r="B761" s="105">
        <v>43336</v>
      </c>
      <c r="C761" s="106">
        <v>38251.800000000003</v>
      </c>
    </row>
    <row r="762" spans="2:3" x14ac:dyDescent="0.25">
      <c r="B762" s="105">
        <v>43339</v>
      </c>
      <c r="C762" s="106">
        <v>38694.11</v>
      </c>
    </row>
    <row r="763" spans="2:3" x14ac:dyDescent="0.25">
      <c r="B763" s="105">
        <v>43340</v>
      </c>
      <c r="C763" s="106">
        <v>38896.629999999997</v>
      </c>
    </row>
    <row r="764" spans="2:3" x14ac:dyDescent="0.25">
      <c r="B764" s="105">
        <v>43341</v>
      </c>
      <c r="C764" s="106">
        <v>38722.93</v>
      </c>
    </row>
    <row r="765" spans="2:3" x14ac:dyDescent="0.25">
      <c r="B765" s="105">
        <v>43342</v>
      </c>
      <c r="C765" s="106">
        <v>38690.1</v>
      </c>
    </row>
    <row r="766" spans="2:3" x14ac:dyDescent="0.25">
      <c r="B766" s="105">
        <v>43343</v>
      </c>
      <c r="C766" s="106">
        <v>38645.07</v>
      </c>
    </row>
    <row r="767" spans="2:3" x14ac:dyDescent="0.25">
      <c r="B767" s="105">
        <v>43346</v>
      </c>
      <c r="C767" s="106">
        <v>38312.519999999997</v>
      </c>
    </row>
    <row r="768" spans="2:3" x14ac:dyDescent="0.25">
      <c r="B768" s="105">
        <v>43347</v>
      </c>
      <c r="C768" s="106">
        <v>38157.919999999998</v>
      </c>
    </row>
    <row r="769" spans="2:3" x14ac:dyDescent="0.25">
      <c r="B769" s="105">
        <v>43348</v>
      </c>
      <c r="C769" s="106">
        <v>38018.31</v>
      </c>
    </row>
    <row r="770" spans="2:3" x14ac:dyDescent="0.25">
      <c r="B770" s="105">
        <v>43349</v>
      </c>
      <c r="C770" s="106">
        <v>38242.81</v>
      </c>
    </row>
    <row r="771" spans="2:3" x14ac:dyDescent="0.25">
      <c r="B771" s="105">
        <v>43350</v>
      </c>
      <c r="C771" s="106">
        <v>38389.82</v>
      </c>
    </row>
    <row r="772" spans="2:3" x14ac:dyDescent="0.25">
      <c r="B772" s="105">
        <v>43353</v>
      </c>
      <c r="C772" s="106">
        <v>37922.17</v>
      </c>
    </row>
    <row r="773" spans="2:3" x14ac:dyDescent="0.25">
      <c r="B773" s="105">
        <v>43354</v>
      </c>
      <c r="C773" s="106">
        <v>37413.129999999997</v>
      </c>
    </row>
    <row r="774" spans="2:3" x14ac:dyDescent="0.25">
      <c r="B774" s="105">
        <v>43355</v>
      </c>
      <c r="C774" s="106">
        <v>37717.96</v>
      </c>
    </row>
    <row r="775" spans="2:3" x14ac:dyDescent="0.25">
      <c r="B775" s="105">
        <v>43357</v>
      </c>
      <c r="C775" s="106">
        <v>38090.639999999999</v>
      </c>
    </row>
    <row r="776" spans="2:3" x14ac:dyDescent="0.25">
      <c r="B776" s="105">
        <v>43360</v>
      </c>
      <c r="C776" s="106">
        <v>37585.51</v>
      </c>
    </row>
    <row r="777" spans="2:3" x14ac:dyDescent="0.25">
      <c r="B777" s="105">
        <v>43361</v>
      </c>
      <c r="C777" s="106">
        <v>37290.67</v>
      </c>
    </row>
    <row r="778" spans="2:3" x14ac:dyDescent="0.25">
      <c r="B778" s="105">
        <v>43362</v>
      </c>
      <c r="C778" s="106">
        <v>37121.22</v>
      </c>
    </row>
    <row r="779" spans="2:3" x14ac:dyDescent="0.25">
      <c r="B779" s="105">
        <v>43364</v>
      </c>
      <c r="C779" s="106">
        <v>36841.599999999999</v>
      </c>
    </row>
    <row r="780" spans="2:3" x14ac:dyDescent="0.25">
      <c r="B780" s="105">
        <v>43367</v>
      </c>
      <c r="C780" s="106">
        <v>36305.019999999997</v>
      </c>
    </row>
    <row r="781" spans="2:3" x14ac:dyDescent="0.25">
      <c r="B781" s="105">
        <v>43368</v>
      </c>
      <c r="C781" s="106">
        <v>36652.06</v>
      </c>
    </row>
    <row r="782" spans="2:3" x14ac:dyDescent="0.25">
      <c r="B782" s="105">
        <v>43369</v>
      </c>
      <c r="C782" s="106">
        <v>36542.269999999997</v>
      </c>
    </row>
    <row r="783" spans="2:3" x14ac:dyDescent="0.25">
      <c r="B783" s="105">
        <v>43370</v>
      </c>
      <c r="C783" s="106">
        <v>36324.17</v>
      </c>
    </row>
    <row r="784" spans="2:3" x14ac:dyDescent="0.25">
      <c r="B784" s="105">
        <v>43371</v>
      </c>
      <c r="C784" s="106">
        <v>36227.14</v>
      </c>
    </row>
    <row r="785" spans="2:3" x14ac:dyDescent="0.25">
      <c r="B785" s="105">
        <v>43374</v>
      </c>
      <c r="C785" s="106">
        <v>36526.14</v>
      </c>
    </row>
    <row r="786" spans="2:3" x14ac:dyDescent="0.25">
      <c r="B786" s="105">
        <v>43376</v>
      </c>
      <c r="C786" s="106">
        <v>35975.629999999997</v>
      </c>
    </row>
    <row r="787" spans="2:3" x14ac:dyDescent="0.25">
      <c r="B787" s="105">
        <v>43377</v>
      </c>
      <c r="C787" s="106">
        <v>35169.160000000003</v>
      </c>
    </row>
    <row r="788" spans="2:3" x14ac:dyDescent="0.25">
      <c r="B788" s="105">
        <v>43378</v>
      </c>
      <c r="C788" s="106">
        <v>34376.99</v>
      </c>
    </row>
    <row r="789" spans="2:3" x14ac:dyDescent="0.25">
      <c r="B789" s="105">
        <v>43381</v>
      </c>
      <c r="C789" s="106">
        <v>34474.379999999997</v>
      </c>
    </row>
    <row r="790" spans="2:3" x14ac:dyDescent="0.25">
      <c r="B790" s="105">
        <v>43382</v>
      </c>
      <c r="C790" s="106">
        <v>34299.47</v>
      </c>
    </row>
    <row r="791" spans="2:3" x14ac:dyDescent="0.25">
      <c r="B791" s="105">
        <v>43383</v>
      </c>
      <c r="C791" s="106">
        <v>34760.89</v>
      </c>
    </row>
    <row r="792" spans="2:3" x14ac:dyDescent="0.25">
      <c r="B792" s="105">
        <v>43384</v>
      </c>
      <c r="C792" s="106">
        <v>34001.15</v>
      </c>
    </row>
    <row r="793" spans="2:3" x14ac:dyDescent="0.25">
      <c r="B793" s="105">
        <v>43385</v>
      </c>
      <c r="C793" s="106">
        <v>34733.58</v>
      </c>
    </row>
    <row r="794" spans="2:3" x14ac:dyDescent="0.25">
      <c r="B794" s="105">
        <v>43388</v>
      </c>
      <c r="C794" s="106">
        <v>34865.1</v>
      </c>
    </row>
    <row r="795" spans="2:3" x14ac:dyDescent="0.25">
      <c r="B795" s="105">
        <v>43389</v>
      </c>
      <c r="C795" s="106">
        <v>35162.480000000003</v>
      </c>
    </row>
    <row r="796" spans="2:3" x14ac:dyDescent="0.25">
      <c r="B796" s="105">
        <v>43390</v>
      </c>
      <c r="C796" s="106">
        <v>34779.58</v>
      </c>
    </row>
    <row r="797" spans="2:3" x14ac:dyDescent="0.25">
      <c r="B797" s="105">
        <v>43392</v>
      </c>
      <c r="C797" s="106">
        <v>34315.629999999997</v>
      </c>
    </row>
    <row r="798" spans="2:3" x14ac:dyDescent="0.25">
      <c r="B798" s="105">
        <v>43395</v>
      </c>
      <c r="C798" s="106">
        <v>34134.379999999997</v>
      </c>
    </row>
    <row r="799" spans="2:3" x14ac:dyDescent="0.25">
      <c r="B799" s="105">
        <v>43396</v>
      </c>
      <c r="C799" s="106">
        <v>33847.230000000003</v>
      </c>
    </row>
    <row r="800" spans="2:3" x14ac:dyDescent="0.25">
      <c r="B800" s="105">
        <v>43397</v>
      </c>
      <c r="C800" s="106">
        <v>34033.96</v>
      </c>
    </row>
    <row r="801" spans="2:3" x14ac:dyDescent="0.25">
      <c r="B801" s="105">
        <v>43398</v>
      </c>
      <c r="C801" s="106">
        <v>33690.089999999997</v>
      </c>
    </row>
    <row r="802" spans="2:3" x14ac:dyDescent="0.25">
      <c r="B802" s="105">
        <v>43399</v>
      </c>
      <c r="C802" s="106">
        <v>33349.31</v>
      </c>
    </row>
    <row r="803" spans="2:3" x14ac:dyDescent="0.25">
      <c r="B803" s="105">
        <v>43402</v>
      </c>
      <c r="C803" s="106">
        <v>34067.4</v>
      </c>
    </row>
    <row r="804" spans="2:3" x14ac:dyDescent="0.25">
      <c r="B804" s="105">
        <v>43403</v>
      </c>
      <c r="C804" s="106">
        <v>33891.129999999997</v>
      </c>
    </row>
    <row r="805" spans="2:3" x14ac:dyDescent="0.25">
      <c r="B805" s="105">
        <v>43404</v>
      </c>
      <c r="C805" s="106">
        <v>34442.050000000003</v>
      </c>
    </row>
    <row r="806" spans="2:3" x14ac:dyDescent="0.25">
      <c r="B806" s="105">
        <v>43405</v>
      </c>
      <c r="C806" s="106">
        <v>34431.97</v>
      </c>
    </row>
    <row r="807" spans="2:3" x14ac:dyDescent="0.25">
      <c r="B807" s="105">
        <v>43406</v>
      </c>
      <c r="C807" s="106">
        <v>35011.65</v>
      </c>
    </row>
    <row r="808" spans="2:3" x14ac:dyDescent="0.25">
      <c r="B808" s="105">
        <v>43409</v>
      </c>
      <c r="C808" s="106">
        <v>34950.92</v>
      </c>
    </row>
    <row r="809" spans="2:3" x14ac:dyDescent="0.25">
      <c r="B809" s="105">
        <v>43410</v>
      </c>
      <c r="C809" s="106">
        <v>34991.910000000003</v>
      </c>
    </row>
    <row r="810" spans="2:3" x14ac:dyDescent="0.25">
      <c r="B810" s="105">
        <v>43411</v>
      </c>
      <c r="C810" s="106">
        <v>35237.68</v>
      </c>
    </row>
    <row r="811" spans="2:3" x14ac:dyDescent="0.25">
      <c r="B811" s="105">
        <v>43413</v>
      </c>
      <c r="C811" s="106">
        <v>35158.550000000003</v>
      </c>
    </row>
    <row r="812" spans="2:3" x14ac:dyDescent="0.25">
      <c r="B812" s="105">
        <v>43416</v>
      </c>
      <c r="C812" s="106">
        <v>34812.99</v>
      </c>
    </row>
    <row r="813" spans="2:3" x14ac:dyDescent="0.25">
      <c r="B813" s="105">
        <v>43417</v>
      </c>
      <c r="C813" s="106">
        <v>35144.49</v>
      </c>
    </row>
    <row r="814" spans="2:3" x14ac:dyDescent="0.25">
      <c r="B814" s="105">
        <v>43418</v>
      </c>
      <c r="C814" s="106">
        <v>35141.99</v>
      </c>
    </row>
    <row r="815" spans="2:3" x14ac:dyDescent="0.25">
      <c r="B815" s="105">
        <v>43419</v>
      </c>
      <c r="C815" s="106">
        <v>35260.54</v>
      </c>
    </row>
    <row r="816" spans="2:3" x14ac:dyDescent="0.25">
      <c r="B816" s="105">
        <v>43420</v>
      </c>
      <c r="C816" s="106">
        <v>35457.160000000003</v>
      </c>
    </row>
    <row r="817" spans="2:3" x14ac:dyDescent="0.25">
      <c r="B817" s="105">
        <v>43423</v>
      </c>
      <c r="C817" s="106">
        <v>35774.879999999997</v>
      </c>
    </row>
    <row r="818" spans="2:3" x14ac:dyDescent="0.25">
      <c r="B818" s="105">
        <v>43424</v>
      </c>
      <c r="C818" s="106">
        <v>35474.51</v>
      </c>
    </row>
    <row r="819" spans="2:3" x14ac:dyDescent="0.25">
      <c r="B819" s="105">
        <v>43425</v>
      </c>
      <c r="C819" s="106">
        <v>35199.800000000003</v>
      </c>
    </row>
    <row r="820" spans="2:3" x14ac:dyDescent="0.25">
      <c r="B820" s="105">
        <v>43426</v>
      </c>
      <c r="C820" s="106">
        <v>34981.019999999997</v>
      </c>
    </row>
    <row r="821" spans="2:3" x14ac:dyDescent="0.25">
      <c r="B821" s="105">
        <v>43430</v>
      </c>
      <c r="C821" s="106">
        <v>35354.080000000002</v>
      </c>
    </row>
    <row r="822" spans="2:3" x14ac:dyDescent="0.25">
      <c r="B822" s="105">
        <v>43431</v>
      </c>
      <c r="C822" s="106">
        <v>35513.14</v>
      </c>
    </row>
    <row r="823" spans="2:3" x14ac:dyDescent="0.25">
      <c r="B823" s="105">
        <v>43432</v>
      </c>
      <c r="C823" s="106">
        <v>35716.949999999997</v>
      </c>
    </row>
    <row r="824" spans="2:3" x14ac:dyDescent="0.25">
      <c r="B824" s="105">
        <v>43433</v>
      </c>
      <c r="C824" s="106">
        <v>36170.410000000003</v>
      </c>
    </row>
    <row r="825" spans="2:3" x14ac:dyDescent="0.25">
      <c r="B825" s="105">
        <v>43434</v>
      </c>
      <c r="C825" s="106">
        <v>36194.300000000003</v>
      </c>
    </row>
    <row r="826" spans="2:3" x14ac:dyDescent="0.25">
      <c r="B826" s="105">
        <v>43437</v>
      </c>
      <c r="C826" s="106">
        <v>36241</v>
      </c>
    </row>
    <row r="827" spans="2:3" x14ac:dyDescent="0.25">
      <c r="B827" s="105">
        <v>43438</v>
      </c>
      <c r="C827" s="106">
        <v>36134.31</v>
      </c>
    </row>
    <row r="828" spans="2:3" x14ac:dyDescent="0.25">
      <c r="B828" s="105">
        <v>43439</v>
      </c>
      <c r="C828" s="106">
        <v>35884.410000000003</v>
      </c>
    </row>
    <row r="829" spans="2:3" x14ac:dyDescent="0.25">
      <c r="B829" s="105">
        <v>43440</v>
      </c>
      <c r="C829" s="106">
        <v>35312.129999999997</v>
      </c>
    </row>
    <row r="830" spans="2:3" x14ac:dyDescent="0.25">
      <c r="B830" s="105">
        <v>43441</v>
      </c>
      <c r="C830" s="106">
        <v>35673.25</v>
      </c>
    </row>
    <row r="831" spans="2:3" x14ac:dyDescent="0.25">
      <c r="B831" s="105">
        <v>43444</v>
      </c>
      <c r="C831" s="106">
        <v>34959.72</v>
      </c>
    </row>
    <row r="832" spans="2:3" x14ac:dyDescent="0.25">
      <c r="B832" s="105">
        <v>43445</v>
      </c>
      <c r="C832" s="106">
        <v>35150.01</v>
      </c>
    </row>
    <row r="833" spans="2:3" x14ac:dyDescent="0.25">
      <c r="B833" s="105">
        <v>43446</v>
      </c>
      <c r="C833" s="106">
        <v>35779.07</v>
      </c>
    </row>
    <row r="834" spans="2:3" x14ac:dyDescent="0.25">
      <c r="B834" s="105">
        <v>43447</v>
      </c>
      <c r="C834" s="106">
        <v>35929.64</v>
      </c>
    </row>
    <row r="835" spans="2:3" x14ac:dyDescent="0.25">
      <c r="B835" s="105">
        <v>43448</v>
      </c>
      <c r="C835" s="106">
        <v>35962.93</v>
      </c>
    </row>
    <row r="836" spans="2:3" x14ac:dyDescent="0.25">
      <c r="B836" s="105">
        <v>43451</v>
      </c>
      <c r="C836" s="106">
        <v>36270.07</v>
      </c>
    </row>
    <row r="837" spans="2:3" x14ac:dyDescent="0.25">
      <c r="B837" s="105">
        <v>43452</v>
      </c>
      <c r="C837" s="106">
        <v>36347.08</v>
      </c>
    </row>
    <row r="838" spans="2:3" x14ac:dyDescent="0.25">
      <c r="B838" s="105">
        <v>43453</v>
      </c>
      <c r="C838" s="106">
        <v>36484.33</v>
      </c>
    </row>
    <row r="839" spans="2:3" x14ac:dyDescent="0.25">
      <c r="B839" s="105">
        <v>43454</v>
      </c>
      <c r="C839" s="106">
        <v>36431.67</v>
      </c>
    </row>
    <row r="840" spans="2:3" x14ac:dyDescent="0.25">
      <c r="B840" s="105">
        <v>43455</v>
      </c>
      <c r="C840" s="106">
        <v>35742.07</v>
      </c>
    </row>
    <row r="841" spans="2:3" x14ac:dyDescent="0.25">
      <c r="B841" s="105">
        <v>43458</v>
      </c>
      <c r="C841" s="106">
        <v>35470.15</v>
      </c>
    </row>
    <row r="842" spans="2:3" x14ac:dyDescent="0.25">
      <c r="B842" s="105">
        <v>43460</v>
      </c>
      <c r="C842" s="106">
        <v>35649.94</v>
      </c>
    </row>
    <row r="843" spans="2:3" x14ac:dyDescent="0.25">
      <c r="B843" s="105">
        <v>43461</v>
      </c>
      <c r="C843" s="106">
        <v>35807.279999999999</v>
      </c>
    </row>
    <row r="844" spans="2:3" x14ac:dyDescent="0.25">
      <c r="B844" s="105">
        <v>43462</v>
      </c>
      <c r="C844" s="106">
        <v>36076.720000000001</v>
      </c>
    </row>
    <row r="845" spans="2:3" x14ac:dyDescent="0.25">
      <c r="B845" s="105">
        <v>43465</v>
      </c>
      <c r="C845" s="106">
        <v>36068.33</v>
      </c>
    </row>
    <row r="846" spans="2:3" x14ac:dyDescent="0.25">
      <c r="B846" s="105">
        <v>43466</v>
      </c>
      <c r="C846" s="106">
        <v>36254.57</v>
      </c>
    </row>
    <row r="847" spans="2:3" x14ac:dyDescent="0.25">
      <c r="B847" s="105">
        <v>43467</v>
      </c>
      <c r="C847" s="106">
        <v>35891.519999999997</v>
      </c>
    </row>
    <row r="848" spans="2:3" x14ac:dyDescent="0.25">
      <c r="B848" s="105">
        <v>43468</v>
      </c>
      <c r="C848" s="106">
        <v>35513.71</v>
      </c>
    </row>
    <row r="849" spans="2:3" x14ac:dyDescent="0.25">
      <c r="B849" s="105">
        <v>43469</v>
      </c>
      <c r="C849" s="106">
        <v>35695.1</v>
      </c>
    </row>
    <row r="850" spans="2:3" x14ac:dyDescent="0.25">
      <c r="B850" s="105">
        <v>43472</v>
      </c>
      <c r="C850" s="106">
        <v>35850.160000000003</v>
      </c>
    </row>
    <row r="851" spans="2:3" x14ac:dyDescent="0.25">
      <c r="B851" s="105">
        <v>43473</v>
      </c>
      <c r="C851" s="106">
        <v>35980.93</v>
      </c>
    </row>
    <row r="852" spans="2:3" x14ac:dyDescent="0.25">
      <c r="B852" s="105">
        <v>43474</v>
      </c>
      <c r="C852" s="106">
        <v>36212.910000000003</v>
      </c>
    </row>
    <row r="853" spans="2:3" x14ac:dyDescent="0.25">
      <c r="B853" s="105">
        <v>43475</v>
      </c>
      <c r="C853" s="106">
        <v>36106.5</v>
      </c>
    </row>
    <row r="854" spans="2:3" x14ac:dyDescent="0.25">
      <c r="B854" s="105">
        <v>43476</v>
      </c>
      <c r="C854" s="106">
        <v>36009.839999999997</v>
      </c>
    </row>
    <row r="855" spans="2:3" x14ac:dyDescent="0.25">
      <c r="B855" s="105">
        <v>43479</v>
      </c>
      <c r="C855" s="106">
        <v>35853.56</v>
      </c>
    </row>
    <row r="856" spans="2:3" x14ac:dyDescent="0.25">
      <c r="B856" s="105">
        <v>43480</v>
      </c>
      <c r="C856" s="106">
        <v>36318.33</v>
      </c>
    </row>
    <row r="857" spans="2:3" x14ac:dyDescent="0.25">
      <c r="B857" s="105">
        <v>43481</v>
      </c>
      <c r="C857" s="106">
        <v>36321.29</v>
      </c>
    </row>
    <row r="858" spans="2:3" x14ac:dyDescent="0.25">
      <c r="B858" s="105">
        <v>43482</v>
      </c>
      <c r="C858" s="106">
        <v>36374.080000000002</v>
      </c>
    </row>
    <row r="859" spans="2:3" x14ac:dyDescent="0.25">
      <c r="B859" s="105">
        <v>43483</v>
      </c>
      <c r="C859" s="106">
        <v>36386.61</v>
      </c>
    </row>
    <row r="860" spans="2:3" x14ac:dyDescent="0.25">
      <c r="B860" s="105">
        <v>43486</v>
      </c>
      <c r="C860" s="106">
        <v>36578.959999999999</v>
      </c>
    </row>
    <row r="861" spans="2:3" x14ac:dyDescent="0.25">
      <c r="B861" s="105">
        <v>43487</v>
      </c>
      <c r="C861" s="106">
        <v>36444.639999999999</v>
      </c>
    </row>
    <row r="862" spans="2:3" x14ac:dyDescent="0.25">
      <c r="B862" s="105">
        <v>43488</v>
      </c>
      <c r="C862" s="106">
        <v>36108.47</v>
      </c>
    </row>
    <row r="863" spans="2:3" x14ac:dyDescent="0.25">
      <c r="B863" s="105">
        <v>43489</v>
      </c>
      <c r="C863" s="106">
        <v>36195.1</v>
      </c>
    </row>
    <row r="864" spans="2:3" x14ac:dyDescent="0.25">
      <c r="B864" s="105">
        <v>43490</v>
      </c>
      <c r="C864" s="106">
        <v>36025.54</v>
      </c>
    </row>
    <row r="865" spans="2:3" x14ac:dyDescent="0.25">
      <c r="B865" s="105">
        <v>43493</v>
      </c>
      <c r="C865" s="106">
        <v>35656.699999999997</v>
      </c>
    </row>
    <row r="866" spans="2:3" x14ac:dyDescent="0.25">
      <c r="B866" s="105">
        <v>43494</v>
      </c>
      <c r="C866" s="106">
        <v>35592.5</v>
      </c>
    </row>
    <row r="867" spans="2:3" x14ac:dyDescent="0.25">
      <c r="B867" s="105">
        <v>43495</v>
      </c>
      <c r="C867" s="106">
        <v>35591.25</v>
      </c>
    </row>
    <row r="868" spans="2:3" x14ac:dyDescent="0.25">
      <c r="B868" s="105">
        <v>43496</v>
      </c>
      <c r="C868" s="106">
        <v>36256.69</v>
      </c>
    </row>
    <row r="869" spans="2:3" x14ac:dyDescent="0.25">
      <c r="B869" s="105">
        <v>43497</v>
      </c>
      <c r="C869" s="106">
        <v>36469.43</v>
      </c>
    </row>
    <row r="870" spans="2:3" x14ac:dyDescent="0.25">
      <c r="B870" s="105">
        <v>43500</v>
      </c>
      <c r="C870" s="106">
        <v>36582.74</v>
      </c>
    </row>
    <row r="871" spans="2:3" x14ac:dyDescent="0.25">
      <c r="B871" s="105">
        <v>43501</v>
      </c>
      <c r="C871" s="106">
        <v>36616.81</v>
      </c>
    </row>
    <row r="872" spans="2:3" x14ac:dyDescent="0.25">
      <c r="B872" s="105">
        <v>43502</v>
      </c>
      <c r="C872" s="106">
        <v>36975.230000000003</v>
      </c>
    </row>
    <row r="873" spans="2:3" x14ac:dyDescent="0.25">
      <c r="B873" s="105">
        <v>43503</v>
      </c>
      <c r="C873" s="106">
        <v>36971.089999999997</v>
      </c>
    </row>
    <row r="874" spans="2:3" x14ac:dyDescent="0.25">
      <c r="B874" s="105">
        <v>43504</v>
      </c>
      <c r="C874" s="106">
        <v>36546.480000000003</v>
      </c>
    </row>
    <row r="875" spans="2:3" x14ac:dyDescent="0.25">
      <c r="B875" s="105">
        <v>43507</v>
      </c>
      <c r="C875" s="106">
        <v>36395.03</v>
      </c>
    </row>
    <row r="876" spans="2:3" x14ac:dyDescent="0.25">
      <c r="B876" s="105">
        <v>43508</v>
      </c>
      <c r="C876" s="106">
        <v>36153.620000000003</v>
      </c>
    </row>
    <row r="877" spans="2:3" x14ac:dyDescent="0.25">
      <c r="B877" s="105">
        <v>43509</v>
      </c>
      <c r="C877" s="106">
        <v>36034.11</v>
      </c>
    </row>
    <row r="878" spans="2:3" x14ac:dyDescent="0.25">
      <c r="B878" s="105">
        <v>43510</v>
      </c>
      <c r="C878" s="106">
        <v>35876.22</v>
      </c>
    </row>
    <row r="879" spans="2:3" x14ac:dyDescent="0.25">
      <c r="B879" s="105">
        <v>43511</v>
      </c>
      <c r="C879" s="106">
        <v>35808.949999999997</v>
      </c>
    </row>
    <row r="880" spans="2:3" x14ac:dyDescent="0.25">
      <c r="B880" s="105">
        <v>43514</v>
      </c>
      <c r="C880" s="106">
        <v>35498.44</v>
      </c>
    </row>
    <row r="881" spans="2:3" x14ac:dyDescent="0.25">
      <c r="B881" s="105">
        <v>43515</v>
      </c>
      <c r="C881" s="106">
        <v>35352.61</v>
      </c>
    </row>
    <row r="882" spans="2:3" x14ac:dyDescent="0.25">
      <c r="B882" s="105">
        <v>43516</v>
      </c>
      <c r="C882" s="106">
        <v>35756.26</v>
      </c>
    </row>
    <row r="883" spans="2:3" x14ac:dyDescent="0.25">
      <c r="B883" s="105">
        <v>43517</v>
      </c>
      <c r="C883" s="106">
        <v>35898.35</v>
      </c>
    </row>
    <row r="884" spans="2:3" x14ac:dyDescent="0.25">
      <c r="B884" s="105">
        <v>43518</v>
      </c>
      <c r="C884" s="106">
        <v>35871.480000000003</v>
      </c>
    </row>
    <row r="885" spans="2:3" x14ac:dyDescent="0.25">
      <c r="B885" s="105">
        <v>43521</v>
      </c>
      <c r="C885" s="106">
        <v>36213.379999999997</v>
      </c>
    </row>
    <row r="886" spans="2:3" x14ac:dyDescent="0.25">
      <c r="B886" s="105">
        <v>43522</v>
      </c>
      <c r="C886" s="106">
        <v>35973.71</v>
      </c>
    </row>
    <row r="887" spans="2:3" x14ac:dyDescent="0.25">
      <c r="B887" s="105">
        <v>43523</v>
      </c>
      <c r="C887" s="106">
        <v>35905.43</v>
      </c>
    </row>
    <row r="888" spans="2:3" x14ac:dyDescent="0.25">
      <c r="B888" s="105">
        <v>43524</v>
      </c>
      <c r="C888" s="106">
        <v>35867.440000000002</v>
      </c>
    </row>
    <row r="889" spans="2:3" x14ac:dyDescent="0.25">
      <c r="B889" s="105">
        <v>43525</v>
      </c>
      <c r="C889" s="106">
        <v>36063.81</v>
      </c>
    </row>
    <row r="890" spans="2:3" x14ac:dyDescent="0.25">
      <c r="B890" s="105">
        <v>43529</v>
      </c>
      <c r="C890" s="106">
        <v>36442.54</v>
      </c>
    </row>
    <row r="891" spans="2:3" x14ac:dyDescent="0.25">
      <c r="B891" s="105">
        <v>43530</v>
      </c>
      <c r="C891" s="106">
        <v>36636.1</v>
      </c>
    </row>
    <row r="892" spans="2:3" x14ac:dyDescent="0.25">
      <c r="B892" s="105">
        <v>43531</v>
      </c>
      <c r="C892" s="106">
        <v>36725.42</v>
      </c>
    </row>
    <row r="893" spans="2:3" x14ac:dyDescent="0.25">
      <c r="B893" s="105">
        <v>43532</v>
      </c>
      <c r="C893" s="106">
        <v>36671.43</v>
      </c>
    </row>
    <row r="894" spans="2:3" x14ac:dyDescent="0.25">
      <c r="B894" s="105">
        <v>43535</v>
      </c>
      <c r="C894" s="106">
        <v>37054.1</v>
      </c>
    </row>
    <row r="895" spans="2:3" x14ac:dyDescent="0.25">
      <c r="B895" s="105">
        <v>43536</v>
      </c>
      <c r="C895" s="106">
        <v>37535.660000000003</v>
      </c>
    </row>
    <row r="896" spans="2:3" x14ac:dyDescent="0.25">
      <c r="B896" s="105">
        <v>43537</v>
      </c>
      <c r="C896" s="106">
        <v>37752.17</v>
      </c>
    </row>
    <row r="897" spans="2:3" x14ac:dyDescent="0.25">
      <c r="B897" s="105">
        <v>43538</v>
      </c>
      <c r="C897" s="106">
        <v>37754.89</v>
      </c>
    </row>
    <row r="898" spans="2:3" x14ac:dyDescent="0.25">
      <c r="B898" s="105">
        <v>43539</v>
      </c>
      <c r="C898" s="106">
        <v>38024.32</v>
      </c>
    </row>
    <row r="899" spans="2:3" x14ac:dyDescent="0.25">
      <c r="B899" s="105">
        <v>43542</v>
      </c>
      <c r="C899" s="106">
        <v>38095.07</v>
      </c>
    </row>
    <row r="900" spans="2:3" x14ac:dyDescent="0.25">
      <c r="B900" s="105">
        <v>43543</v>
      </c>
      <c r="C900" s="106">
        <v>38363.47</v>
      </c>
    </row>
    <row r="901" spans="2:3" x14ac:dyDescent="0.25">
      <c r="B901" s="105">
        <v>43544</v>
      </c>
      <c r="C901" s="106">
        <v>38386.75</v>
      </c>
    </row>
    <row r="902" spans="2:3" x14ac:dyDescent="0.25">
      <c r="B902" s="105">
        <v>43546</v>
      </c>
      <c r="C902" s="106">
        <v>38164.61</v>
      </c>
    </row>
    <row r="903" spans="2:3" x14ac:dyDescent="0.25">
      <c r="B903" s="105">
        <v>43549</v>
      </c>
      <c r="C903" s="106">
        <v>37808.910000000003</v>
      </c>
    </row>
    <row r="904" spans="2:3" x14ac:dyDescent="0.25">
      <c r="B904" s="105">
        <v>43550</v>
      </c>
      <c r="C904" s="106">
        <v>38233.410000000003</v>
      </c>
    </row>
    <row r="905" spans="2:3" x14ac:dyDescent="0.25">
      <c r="B905" s="105">
        <v>43551</v>
      </c>
      <c r="C905" s="106">
        <v>38132.879999999997</v>
      </c>
    </row>
    <row r="906" spans="2:3" x14ac:dyDescent="0.25">
      <c r="B906" s="105">
        <v>43552</v>
      </c>
      <c r="C906" s="106">
        <v>38545.72</v>
      </c>
    </row>
    <row r="907" spans="2:3" x14ac:dyDescent="0.25">
      <c r="B907" s="105">
        <v>43553</v>
      </c>
      <c r="C907" s="106">
        <v>38672.910000000003</v>
      </c>
    </row>
    <row r="908" spans="2:3" x14ac:dyDescent="0.25">
      <c r="B908" s="105">
        <v>43556</v>
      </c>
      <c r="C908" s="106">
        <v>38871.870000000003</v>
      </c>
    </row>
    <row r="909" spans="2:3" x14ac:dyDescent="0.25">
      <c r="B909" s="105">
        <v>43557</v>
      </c>
      <c r="C909" s="106">
        <v>39056.65</v>
      </c>
    </row>
    <row r="910" spans="2:3" x14ac:dyDescent="0.25">
      <c r="B910" s="105">
        <v>43558</v>
      </c>
      <c r="C910" s="106">
        <v>38877.120000000003</v>
      </c>
    </row>
    <row r="911" spans="2:3" x14ac:dyDescent="0.25">
      <c r="B911" s="105">
        <v>43559</v>
      </c>
      <c r="C911" s="106">
        <v>38684.720000000001</v>
      </c>
    </row>
    <row r="912" spans="2:3" x14ac:dyDescent="0.25">
      <c r="B912" s="105">
        <v>43560</v>
      </c>
      <c r="C912" s="106">
        <v>38862.230000000003</v>
      </c>
    </row>
    <row r="913" spans="2:3" x14ac:dyDescent="0.25">
      <c r="B913" s="105">
        <v>43563</v>
      </c>
      <c r="C913" s="106">
        <v>38700.53</v>
      </c>
    </row>
    <row r="914" spans="2:3" x14ac:dyDescent="0.25">
      <c r="B914" s="105">
        <v>43564</v>
      </c>
      <c r="C914" s="106">
        <v>38939.22</v>
      </c>
    </row>
    <row r="915" spans="2:3" x14ac:dyDescent="0.25">
      <c r="B915" s="105">
        <v>43565</v>
      </c>
      <c r="C915" s="106">
        <v>38585.35</v>
      </c>
    </row>
    <row r="916" spans="2:3" x14ac:dyDescent="0.25">
      <c r="B916" s="105">
        <v>43566</v>
      </c>
      <c r="C916" s="106">
        <v>38607.01</v>
      </c>
    </row>
    <row r="917" spans="2:3" x14ac:dyDescent="0.25">
      <c r="B917" s="105">
        <v>43567</v>
      </c>
      <c r="C917" s="106">
        <v>38767.11</v>
      </c>
    </row>
    <row r="918" spans="2:3" x14ac:dyDescent="0.25">
      <c r="B918" s="105">
        <v>43570</v>
      </c>
      <c r="C918" s="106">
        <v>38905.839999999997</v>
      </c>
    </row>
    <row r="919" spans="2:3" x14ac:dyDescent="0.25">
      <c r="B919" s="105">
        <v>43571</v>
      </c>
      <c r="C919" s="106">
        <v>39275.64</v>
      </c>
    </row>
    <row r="920" spans="2:3" x14ac:dyDescent="0.25">
      <c r="B920" s="105">
        <v>43573</v>
      </c>
      <c r="C920" s="106">
        <v>39140.28</v>
      </c>
    </row>
    <row r="921" spans="2:3" x14ac:dyDescent="0.25">
      <c r="B921" s="105">
        <v>43577</v>
      </c>
      <c r="C921" s="106">
        <v>38645.18</v>
      </c>
    </row>
    <row r="922" spans="2:3" x14ac:dyDescent="0.25">
      <c r="B922" s="105">
        <v>43578</v>
      </c>
      <c r="C922" s="106">
        <v>38564.879999999997</v>
      </c>
    </row>
    <row r="923" spans="2:3" x14ac:dyDescent="0.25">
      <c r="B923" s="105">
        <v>43579</v>
      </c>
      <c r="C923" s="106">
        <v>39054.68</v>
      </c>
    </row>
    <row r="924" spans="2:3" x14ac:dyDescent="0.25">
      <c r="B924" s="105">
        <v>43580</v>
      </c>
      <c r="C924" s="106">
        <v>38730.86</v>
      </c>
    </row>
    <row r="925" spans="2:3" x14ac:dyDescent="0.25">
      <c r="B925" s="105">
        <v>43581</v>
      </c>
      <c r="C925" s="106">
        <v>39067.33</v>
      </c>
    </row>
    <row r="926" spans="2:3" x14ac:dyDescent="0.25">
      <c r="B926" s="105">
        <v>43585</v>
      </c>
      <c r="C926" s="106">
        <v>39031.550000000003</v>
      </c>
    </row>
    <row r="927" spans="2:3" x14ac:dyDescent="0.25">
      <c r="B927" s="105">
        <v>43587</v>
      </c>
      <c r="C927" s="106">
        <v>38981.43</v>
      </c>
    </row>
    <row r="928" spans="2:3" x14ac:dyDescent="0.25">
      <c r="B928" s="105">
        <v>43588</v>
      </c>
      <c r="C928" s="106">
        <v>38963.26</v>
      </c>
    </row>
    <row r="929" spans="2:3" x14ac:dyDescent="0.25">
      <c r="B929" s="105">
        <v>43591</v>
      </c>
      <c r="C929" s="106">
        <v>38600.339999999997</v>
      </c>
    </row>
    <row r="930" spans="2:3" x14ac:dyDescent="0.25">
      <c r="B930" s="105">
        <v>43592</v>
      </c>
      <c r="C930" s="106">
        <v>38276.629999999997</v>
      </c>
    </row>
    <row r="931" spans="2:3" x14ac:dyDescent="0.25">
      <c r="B931" s="105">
        <v>43593</v>
      </c>
      <c r="C931" s="106">
        <v>37789.129999999997</v>
      </c>
    </row>
    <row r="932" spans="2:3" x14ac:dyDescent="0.25">
      <c r="B932" s="105">
        <v>43594</v>
      </c>
      <c r="C932" s="106">
        <v>37558.910000000003</v>
      </c>
    </row>
    <row r="933" spans="2:3" x14ac:dyDescent="0.25">
      <c r="B933" s="105">
        <v>43595</v>
      </c>
      <c r="C933" s="106">
        <v>37462.99</v>
      </c>
    </row>
    <row r="934" spans="2:3" x14ac:dyDescent="0.25">
      <c r="B934" s="105">
        <v>43598</v>
      </c>
      <c r="C934" s="106">
        <v>37090.82</v>
      </c>
    </row>
    <row r="935" spans="2:3" x14ac:dyDescent="0.25">
      <c r="B935" s="105">
        <v>43599</v>
      </c>
      <c r="C935" s="106">
        <v>37318.53</v>
      </c>
    </row>
    <row r="936" spans="2:3" x14ac:dyDescent="0.25">
      <c r="B936" s="105">
        <v>43600</v>
      </c>
      <c r="C936" s="106">
        <v>37114.879999999997</v>
      </c>
    </row>
    <row r="937" spans="2:3" x14ac:dyDescent="0.25">
      <c r="B937" s="105">
        <v>43601</v>
      </c>
      <c r="C937" s="106">
        <v>37393.480000000003</v>
      </c>
    </row>
    <row r="938" spans="2:3" x14ac:dyDescent="0.25">
      <c r="B938" s="105">
        <v>43602</v>
      </c>
      <c r="C938" s="106">
        <v>37930.769999999997</v>
      </c>
    </row>
    <row r="939" spans="2:3" x14ac:dyDescent="0.25">
      <c r="B939" s="105">
        <v>43605</v>
      </c>
      <c r="C939" s="106">
        <v>39352.67</v>
      </c>
    </row>
    <row r="940" spans="2:3" x14ac:dyDescent="0.25">
      <c r="B940" s="105">
        <v>43606</v>
      </c>
      <c r="C940" s="106">
        <v>38969.800000000003</v>
      </c>
    </row>
    <row r="941" spans="2:3" x14ac:dyDescent="0.25">
      <c r="B941" s="105">
        <v>43607</v>
      </c>
      <c r="C941" s="106">
        <v>39110.21</v>
      </c>
    </row>
    <row r="942" spans="2:3" x14ac:dyDescent="0.25">
      <c r="B942" s="105">
        <v>43608</v>
      </c>
      <c r="C942" s="106">
        <v>38811.39</v>
      </c>
    </row>
    <row r="943" spans="2:3" x14ac:dyDescent="0.25">
      <c r="B943" s="105">
        <v>43609</v>
      </c>
      <c r="C943" s="106">
        <v>39434.720000000001</v>
      </c>
    </row>
    <row r="944" spans="2:3" x14ac:dyDescent="0.25">
      <c r="B944" s="105">
        <v>43612</v>
      </c>
      <c r="C944" s="106">
        <v>39683.29</v>
      </c>
    </row>
    <row r="945" spans="2:3" x14ac:dyDescent="0.25">
      <c r="B945" s="105">
        <v>43613</v>
      </c>
      <c r="C945" s="106">
        <v>39749.730000000003</v>
      </c>
    </row>
    <row r="946" spans="2:3" x14ac:dyDescent="0.25">
      <c r="B946" s="105">
        <v>43614</v>
      </c>
      <c r="C946" s="106">
        <v>39502.050000000003</v>
      </c>
    </row>
    <row r="947" spans="2:3" x14ac:dyDescent="0.25">
      <c r="B947" s="105">
        <v>43615</v>
      </c>
      <c r="C947" s="106">
        <v>39831.97</v>
      </c>
    </row>
    <row r="948" spans="2:3" x14ac:dyDescent="0.25">
      <c r="B948" s="105">
        <v>43616</v>
      </c>
      <c r="C948" s="106">
        <v>39714.199999999997</v>
      </c>
    </row>
    <row r="949" spans="2:3" x14ac:dyDescent="0.25">
      <c r="B949" s="105">
        <v>43619</v>
      </c>
      <c r="C949" s="106">
        <v>40267.620000000003</v>
      </c>
    </row>
    <row r="950" spans="2:3" x14ac:dyDescent="0.25">
      <c r="B950" s="105">
        <v>43620</v>
      </c>
      <c r="C950" s="106">
        <v>40083.54</v>
      </c>
    </row>
    <row r="951" spans="2:3" x14ac:dyDescent="0.25">
      <c r="B951" s="105">
        <v>43622</v>
      </c>
      <c r="C951" s="106">
        <v>39529.72</v>
      </c>
    </row>
    <row r="952" spans="2:3" x14ac:dyDescent="0.25">
      <c r="B952" s="105">
        <v>43623</v>
      </c>
      <c r="C952" s="106">
        <v>39615.9</v>
      </c>
    </row>
    <row r="953" spans="2:3" x14ac:dyDescent="0.25">
      <c r="B953" s="105">
        <v>43626</v>
      </c>
      <c r="C953" s="106">
        <v>39784.519999999997</v>
      </c>
    </row>
    <row r="954" spans="2:3" x14ac:dyDescent="0.25">
      <c r="B954" s="105">
        <v>43627</v>
      </c>
      <c r="C954" s="106">
        <v>39950.46</v>
      </c>
    </row>
    <row r="955" spans="2:3" x14ac:dyDescent="0.25">
      <c r="B955" s="105">
        <v>43628</v>
      </c>
      <c r="C955" s="106">
        <v>39756.81</v>
      </c>
    </row>
    <row r="956" spans="2:3" x14ac:dyDescent="0.25">
      <c r="B956" s="105">
        <v>43629</v>
      </c>
      <c r="C956" s="106">
        <v>39741.360000000001</v>
      </c>
    </row>
    <row r="957" spans="2:3" x14ac:dyDescent="0.25">
      <c r="B957" s="105">
        <v>43630</v>
      </c>
      <c r="C957" s="106">
        <v>39452.07</v>
      </c>
    </row>
    <row r="958" spans="2:3" x14ac:dyDescent="0.25">
      <c r="B958" s="105">
        <v>43633</v>
      </c>
      <c r="C958" s="106">
        <v>38960.79</v>
      </c>
    </row>
    <row r="959" spans="2:3" x14ac:dyDescent="0.25">
      <c r="B959" s="105">
        <v>43634</v>
      </c>
      <c r="C959" s="106">
        <v>39046.339999999997</v>
      </c>
    </row>
    <row r="960" spans="2:3" x14ac:dyDescent="0.25">
      <c r="B960" s="105">
        <v>43635</v>
      </c>
      <c r="C960" s="106">
        <v>39112.74</v>
      </c>
    </row>
    <row r="961" spans="2:3" x14ac:dyDescent="0.25">
      <c r="B961" s="105">
        <v>43636</v>
      </c>
      <c r="C961" s="106">
        <v>39601.629999999997</v>
      </c>
    </row>
    <row r="962" spans="2:3" x14ac:dyDescent="0.25">
      <c r="B962" s="105">
        <v>43637</v>
      </c>
      <c r="C962" s="106">
        <v>39194.49</v>
      </c>
    </row>
    <row r="963" spans="2:3" x14ac:dyDescent="0.25">
      <c r="B963" s="105">
        <v>43640</v>
      </c>
      <c r="C963" s="106">
        <v>39122.959999999999</v>
      </c>
    </row>
    <row r="964" spans="2:3" x14ac:dyDescent="0.25">
      <c r="B964" s="105">
        <v>43641</v>
      </c>
      <c r="C964" s="106">
        <v>39434.94</v>
      </c>
    </row>
    <row r="965" spans="2:3" x14ac:dyDescent="0.25">
      <c r="B965" s="105">
        <v>43642</v>
      </c>
      <c r="C965" s="106">
        <v>39592.080000000002</v>
      </c>
    </row>
    <row r="966" spans="2:3" x14ac:dyDescent="0.25">
      <c r="B966" s="105">
        <v>43643</v>
      </c>
      <c r="C966" s="106">
        <v>39586.410000000003</v>
      </c>
    </row>
    <row r="967" spans="2:3" x14ac:dyDescent="0.25">
      <c r="B967" s="105">
        <v>43644</v>
      </c>
      <c r="C967" s="106">
        <v>39394.639999999999</v>
      </c>
    </row>
    <row r="968" spans="2:3" x14ac:dyDescent="0.25">
      <c r="B968" s="105">
        <v>43647</v>
      </c>
      <c r="C968" s="106">
        <v>39686.5</v>
      </c>
    </row>
    <row r="969" spans="2:3" x14ac:dyDescent="0.25">
      <c r="B969" s="105">
        <v>43648</v>
      </c>
      <c r="C969" s="106">
        <v>39816.480000000003</v>
      </c>
    </row>
    <row r="970" spans="2:3" x14ac:dyDescent="0.25">
      <c r="B970" s="105">
        <v>43649</v>
      </c>
      <c r="C970" s="106">
        <v>39839.25</v>
      </c>
    </row>
    <row r="971" spans="2:3" x14ac:dyDescent="0.25">
      <c r="B971" s="105">
        <v>43650</v>
      </c>
      <c r="C971" s="106">
        <v>39908.06</v>
      </c>
    </row>
    <row r="972" spans="2:3" x14ac:dyDescent="0.25">
      <c r="B972" s="105">
        <v>43651</v>
      </c>
      <c r="C972" s="106">
        <v>39513.39</v>
      </c>
    </row>
    <row r="973" spans="2:3" x14ac:dyDescent="0.25">
      <c r="B973" s="105">
        <v>43654</v>
      </c>
      <c r="C973" s="106">
        <v>38720.57</v>
      </c>
    </row>
    <row r="974" spans="2:3" x14ac:dyDescent="0.25">
      <c r="B974" s="105">
        <v>43655</v>
      </c>
      <c r="C974" s="106">
        <v>38730.82</v>
      </c>
    </row>
    <row r="975" spans="2:3" x14ac:dyDescent="0.25">
      <c r="B975" s="105">
        <v>43656</v>
      </c>
      <c r="C975" s="106">
        <v>38557.040000000001</v>
      </c>
    </row>
    <row r="976" spans="2:3" x14ac:dyDescent="0.25">
      <c r="B976" s="105">
        <v>43657</v>
      </c>
      <c r="C976" s="106">
        <v>38823.11</v>
      </c>
    </row>
    <row r="977" spans="2:3" x14ac:dyDescent="0.25">
      <c r="B977" s="105">
        <v>43658</v>
      </c>
      <c r="C977" s="106">
        <v>38736.230000000003</v>
      </c>
    </row>
    <row r="978" spans="2:3" x14ac:dyDescent="0.25">
      <c r="B978" s="105">
        <v>43661</v>
      </c>
      <c r="C978" s="106">
        <v>38896.71</v>
      </c>
    </row>
    <row r="979" spans="2:3" x14ac:dyDescent="0.25">
      <c r="B979" s="105">
        <v>43662</v>
      </c>
      <c r="C979" s="106">
        <v>39131.040000000001</v>
      </c>
    </row>
    <row r="980" spans="2:3" x14ac:dyDescent="0.25">
      <c r="B980" s="105">
        <v>43663</v>
      </c>
      <c r="C980" s="106">
        <v>39215.64</v>
      </c>
    </row>
    <row r="981" spans="2:3" x14ac:dyDescent="0.25">
      <c r="B981" s="105">
        <v>43664</v>
      </c>
      <c r="C981" s="106">
        <v>38897.46</v>
      </c>
    </row>
    <row r="982" spans="2:3" x14ac:dyDescent="0.25">
      <c r="B982" s="105">
        <v>43665</v>
      </c>
      <c r="C982" s="106">
        <v>38337.01</v>
      </c>
    </row>
    <row r="983" spans="2:3" x14ac:dyDescent="0.25">
      <c r="B983" s="105">
        <v>43668</v>
      </c>
      <c r="C983" s="106">
        <v>38031.129999999997</v>
      </c>
    </row>
    <row r="984" spans="2:3" x14ac:dyDescent="0.25">
      <c r="B984" s="105">
        <v>43669</v>
      </c>
      <c r="C984" s="106">
        <v>37982.74</v>
      </c>
    </row>
    <row r="985" spans="2:3" x14ac:dyDescent="0.25">
      <c r="B985" s="105">
        <v>43670</v>
      </c>
      <c r="C985" s="106">
        <v>37847.65</v>
      </c>
    </row>
    <row r="986" spans="2:3" x14ac:dyDescent="0.25">
      <c r="B986" s="105">
        <v>43671</v>
      </c>
      <c r="C986" s="106">
        <v>37830.980000000003</v>
      </c>
    </row>
    <row r="987" spans="2:3" x14ac:dyDescent="0.25">
      <c r="B987" s="105">
        <v>43672</v>
      </c>
      <c r="C987" s="106">
        <v>37882.79</v>
      </c>
    </row>
    <row r="988" spans="2:3" x14ac:dyDescent="0.25">
      <c r="B988" s="105">
        <v>43675</v>
      </c>
      <c r="C988" s="106">
        <v>37686.370000000003</v>
      </c>
    </row>
    <row r="989" spans="2:3" x14ac:dyDescent="0.25">
      <c r="B989" s="105">
        <v>43676</v>
      </c>
      <c r="C989" s="106">
        <v>37397.24</v>
      </c>
    </row>
    <row r="990" spans="2:3" x14ac:dyDescent="0.25">
      <c r="B990" s="105">
        <v>43677</v>
      </c>
      <c r="C990" s="106">
        <v>37481.120000000003</v>
      </c>
    </row>
    <row r="991" spans="2:3" x14ac:dyDescent="0.25">
      <c r="B991" s="105">
        <v>43678</v>
      </c>
      <c r="C991" s="106">
        <v>37018.32</v>
      </c>
    </row>
    <row r="992" spans="2:3" x14ac:dyDescent="0.25">
      <c r="B992" s="105">
        <v>43679</v>
      </c>
      <c r="C992" s="106">
        <v>37118.22</v>
      </c>
    </row>
    <row r="993" spans="2:3" x14ac:dyDescent="0.25">
      <c r="B993" s="105">
        <v>43682</v>
      </c>
      <c r="C993" s="106">
        <v>36699.839999999997</v>
      </c>
    </row>
    <row r="994" spans="2:3" x14ac:dyDescent="0.25">
      <c r="B994" s="105">
        <v>43683</v>
      </c>
      <c r="C994" s="106">
        <v>36976.85</v>
      </c>
    </row>
    <row r="995" spans="2:3" x14ac:dyDescent="0.25">
      <c r="B995" s="105">
        <v>43684</v>
      </c>
      <c r="C995" s="106">
        <v>36690.5</v>
      </c>
    </row>
    <row r="996" spans="2:3" x14ac:dyDescent="0.25">
      <c r="B996" s="105">
        <v>43685</v>
      </c>
      <c r="C996" s="106">
        <v>37327.360000000001</v>
      </c>
    </row>
    <row r="997" spans="2:3" x14ac:dyDescent="0.25">
      <c r="B997" s="105">
        <v>43686</v>
      </c>
      <c r="C997" s="106">
        <v>37581.910000000003</v>
      </c>
    </row>
    <row r="998" spans="2:3" x14ac:dyDescent="0.25">
      <c r="B998" s="105">
        <v>43690</v>
      </c>
      <c r="C998" s="106">
        <v>36958.160000000003</v>
      </c>
    </row>
    <row r="999" spans="2:3" x14ac:dyDescent="0.25">
      <c r="B999" s="105">
        <v>43691</v>
      </c>
      <c r="C999" s="106">
        <v>37311.53</v>
      </c>
    </row>
    <row r="1000" spans="2:3" x14ac:dyDescent="0.25">
      <c r="B1000" s="105">
        <v>43693</v>
      </c>
      <c r="C1000" s="106">
        <v>37350.33</v>
      </c>
    </row>
    <row r="1001" spans="2:3" x14ac:dyDescent="0.25">
      <c r="B1001" s="105">
        <v>43696</v>
      </c>
      <c r="C1001" s="106">
        <v>37402.49</v>
      </c>
    </row>
    <row r="1002" spans="2:3" x14ac:dyDescent="0.25">
      <c r="B1002" s="105">
        <v>43697</v>
      </c>
      <c r="C1002" s="106">
        <v>37328.01</v>
      </c>
    </row>
    <row r="1003" spans="2:3" x14ac:dyDescent="0.25">
      <c r="B1003" s="105">
        <v>43698</v>
      </c>
      <c r="C1003" s="106">
        <v>37060.370000000003</v>
      </c>
    </row>
    <row r="1004" spans="2:3" x14ac:dyDescent="0.25">
      <c r="B1004" s="105">
        <v>43699</v>
      </c>
      <c r="C1004" s="106">
        <v>36472.93</v>
      </c>
    </row>
    <row r="1005" spans="2:3" x14ac:dyDescent="0.25">
      <c r="B1005" s="105">
        <v>43700</v>
      </c>
      <c r="C1005" s="106">
        <v>36701.160000000003</v>
      </c>
    </row>
    <row r="1006" spans="2:3" x14ac:dyDescent="0.25">
      <c r="B1006" s="105">
        <v>43703</v>
      </c>
      <c r="C1006" s="106">
        <v>37494.120000000003</v>
      </c>
    </row>
    <row r="1007" spans="2:3" x14ac:dyDescent="0.25">
      <c r="B1007" s="105">
        <v>43704</v>
      </c>
      <c r="C1007" s="106">
        <v>37641.269999999997</v>
      </c>
    </row>
    <row r="1008" spans="2:3" x14ac:dyDescent="0.25">
      <c r="B1008" s="105">
        <v>43705</v>
      </c>
      <c r="C1008" s="106">
        <v>37451.839999999997</v>
      </c>
    </row>
    <row r="1009" spans="2:3" x14ac:dyDescent="0.25">
      <c r="B1009" s="105">
        <v>43706</v>
      </c>
      <c r="C1009" s="106">
        <v>37068.93</v>
      </c>
    </row>
    <row r="1010" spans="2:3" x14ac:dyDescent="0.25">
      <c r="B1010" s="105">
        <v>43707</v>
      </c>
      <c r="C1010" s="106">
        <v>37332.79</v>
      </c>
    </row>
    <row r="1011" spans="2:3" x14ac:dyDescent="0.25">
      <c r="B1011" s="105">
        <v>43711</v>
      </c>
      <c r="C1011" s="106">
        <v>36562.910000000003</v>
      </c>
    </row>
    <row r="1012" spans="2:3" x14ac:dyDescent="0.25">
      <c r="B1012" s="105">
        <v>43712</v>
      </c>
      <c r="C1012" s="106">
        <v>36724.74</v>
      </c>
    </row>
    <row r="1013" spans="2:3" x14ac:dyDescent="0.25">
      <c r="B1013" s="105">
        <v>43713</v>
      </c>
      <c r="C1013" s="106">
        <v>36644.42</v>
      </c>
    </row>
    <row r="1014" spans="2:3" x14ac:dyDescent="0.25">
      <c r="B1014" s="105">
        <v>43714</v>
      </c>
      <c r="C1014" s="106">
        <v>36981.769999999997</v>
      </c>
    </row>
    <row r="1015" spans="2:3" x14ac:dyDescent="0.25">
      <c r="B1015" s="105">
        <v>43717</v>
      </c>
      <c r="C1015" s="106">
        <v>37145.449999999997</v>
      </c>
    </row>
    <row r="1016" spans="2:3" x14ac:dyDescent="0.25">
      <c r="B1016" s="105">
        <v>43719</v>
      </c>
      <c r="C1016" s="106">
        <v>37270.82</v>
      </c>
    </row>
    <row r="1017" spans="2:3" x14ac:dyDescent="0.25">
      <c r="B1017" s="105">
        <v>43720</v>
      </c>
      <c r="C1017" s="106">
        <v>37104.28</v>
      </c>
    </row>
    <row r="1018" spans="2:3" x14ac:dyDescent="0.25">
      <c r="B1018" s="105">
        <v>43721</v>
      </c>
      <c r="C1018" s="106">
        <v>37384.99</v>
      </c>
    </row>
    <row r="1019" spans="2:3" x14ac:dyDescent="0.25">
      <c r="B1019" s="105">
        <v>43724</v>
      </c>
      <c r="C1019" s="106">
        <v>37123.31</v>
      </c>
    </row>
    <row r="1020" spans="2:3" x14ac:dyDescent="0.25">
      <c r="B1020" s="105">
        <v>43725</v>
      </c>
      <c r="C1020" s="106">
        <v>36481.089999999997</v>
      </c>
    </row>
    <row r="1021" spans="2:3" x14ac:dyDescent="0.25">
      <c r="B1021" s="105">
        <v>43726</v>
      </c>
      <c r="C1021" s="106">
        <v>36563.879999999997</v>
      </c>
    </row>
    <row r="1022" spans="2:3" x14ac:dyDescent="0.25">
      <c r="B1022" s="105">
        <v>43727</v>
      </c>
      <c r="C1022" s="106">
        <v>36093.47</v>
      </c>
    </row>
    <row r="1023" spans="2:3" x14ac:dyDescent="0.25">
      <c r="B1023" s="105">
        <v>43728</v>
      </c>
      <c r="C1023" s="106">
        <v>38014.620000000003</v>
      </c>
    </row>
    <row r="1024" spans="2:3" x14ac:dyDescent="0.25">
      <c r="B1024" s="105">
        <v>43731</v>
      </c>
      <c r="C1024" s="106">
        <v>39090.03</v>
      </c>
    </row>
    <row r="1025" spans="2:3" x14ac:dyDescent="0.25">
      <c r="B1025" s="105">
        <v>43732</v>
      </c>
      <c r="C1025" s="106">
        <v>39097.14</v>
      </c>
    </row>
    <row r="1026" spans="2:3" x14ac:dyDescent="0.25">
      <c r="B1026" s="105">
        <v>43733</v>
      </c>
      <c r="C1026" s="106">
        <v>38593.519999999997</v>
      </c>
    </row>
    <row r="1027" spans="2:3" x14ac:dyDescent="0.25">
      <c r="B1027" s="105">
        <v>43734</v>
      </c>
      <c r="C1027" s="106">
        <v>38989.74</v>
      </c>
    </row>
    <row r="1028" spans="2:3" x14ac:dyDescent="0.25">
      <c r="B1028" s="105">
        <v>43735</v>
      </c>
      <c r="C1028" s="106">
        <v>38822.57</v>
      </c>
    </row>
    <row r="1029" spans="2:3" x14ac:dyDescent="0.25">
      <c r="B1029" s="105">
        <v>43738</v>
      </c>
      <c r="C1029" s="106">
        <v>38667.33</v>
      </c>
    </row>
    <row r="1030" spans="2:3" x14ac:dyDescent="0.25">
      <c r="B1030" s="105">
        <v>43739</v>
      </c>
      <c r="C1030" s="106">
        <v>38305.410000000003</v>
      </c>
    </row>
    <row r="1031" spans="2:3" x14ac:dyDescent="0.25">
      <c r="B1031" s="105">
        <v>43741</v>
      </c>
      <c r="C1031" s="106">
        <v>38106.870000000003</v>
      </c>
    </row>
    <row r="1032" spans="2:3" x14ac:dyDescent="0.25">
      <c r="B1032" s="105">
        <v>43742</v>
      </c>
      <c r="C1032" s="106">
        <v>37673.31</v>
      </c>
    </row>
    <row r="1033" spans="2:3" x14ac:dyDescent="0.25">
      <c r="B1033" s="105">
        <v>43745</v>
      </c>
      <c r="C1033" s="106">
        <v>37531.980000000003</v>
      </c>
    </row>
    <row r="1034" spans="2:3" x14ac:dyDescent="0.25">
      <c r="B1034" s="105">
        <v>43747</v>
      </c>
      <c r="C1034" s="106">
        <v>38177.949999999997</v>
      </c>
    </row>
    <row r="1035" spans="2:3" x14ac:dyDescent="0.25">
      <c r="B1035" s="105">
        <v>43748</v>
      </c>
      <c r="C1035" s="106">
        <v>37880.400000000001</v>
      </c>
    </row>
    <row r="1036" spans="2:3" x14ac:dyDescent="0.25">
      <c r="B1036" s="105">
        <v>43749</v>
      </c>
      <c r="C1036" s="106">
        <v>38127.08</v>
      </c>
    </row>
    <row r="1037" spans="2:3" x14ac:dyDescent="0.25">
      <c r="B1037" s="105">
        <v>43752</v>
      </c>
      <c r="C1037" s="106">
        <v>38214.47</v>
      </c>
    </row>
    <row r="1038" spans="2:3" x14ac:dyDescent="0.25">
      <c r="B1038" s="105">
        <v>43753</v>
      </c>
      <c r="C1038" s="106">
        <v>38506.089999999997</v>
      </c>
    </row>
    <row r="1039" spans="2:3" x14ac:dyDescent="0.25">
      <c r="B1039" s="105">
        <v>43754</v>
      </c>
      <c r="C1039" s="106">
        <v>38598.99</v>
      </c>
    </row>
    <row r="1040" spans="2:3" x14ac:dyDescent="0.25">
      <c r="B1040" s="105">
        <v>43755</v>
      </c>
      <c r="C1040" s="106">
        <v>39052.06</v>
      </c>
    </row>
    <row r="1041" spans="2:3" x14ac:dyDescent="0.25">
      <c r="B1041" s="105">
        <v>43756</v>
      </c>
      <c r="C1041" s="106">
        <v>39298.379999999997</v>
      </c>
    </row>
    <row r="1042" spans="2:3" x14ac:dyDescent="0.25">
      <c r="B1042" s="105">
        <v>43760</v>
      </c>
      <c r="C1042" s="106">
        <v>38963.839999999997</v>
      </c>
    </row>
    <row r="1043" spans="2:3" x14ac:dyDescent="0.25">
      <c r="B1043" s="105">
        <v>43761</v>
      </c>
      <c r="C1043" s="106">
        <v>39058.83</v>
      </c>
    </row>
    <row r="1044" spans="2:3" x14ac:dyDescent="0.25">
      <c r="B1044" s="105">
        <v>43762</v>
      </c>
      <c r="C1044" s="106">
        <v>39020.39</v>
      </c>
    </row>
    <row r="1045" spans="2:3" x14ac:dyDescent="0.25">
      <c r="B1045" s="105">
        <v>43763</v>
      </c>
      <c r="C1045" s="106">
        <v>39058.06</v>
      </c>
    </row>
    <row r="1046" spans="2:3" x14ac:dyDescent="0.25">
      <c r="B1046" s="105">
        <v>43765</v>
      </c>
      <c r="C1046" s="106">
        <v>39250.199999999997</v>
      </c>
    </row>
    <row r="1047" spans="2:3" x14ac:dyDescent="0.25">
      <c r="B1047" s="105">
        <v>43767</v>
      </c>
      <c r="C1047" s="106">
        <v>39831.839999999997</v>
      </c>
    </row>
    <row r="1048" spans="2:3" x14ac:dyDescent="0.25">
      <c r="B1048" s="105">
        <v>43768</v>
      </c>
      <c r="C1048" s="106">
        <v>40051.870000000003</v>
      </c>
    </row>
    <row r="1049" spans="2:3" x14ac:dyDescent="0.25">
      <c r="B1049" s="105">
        <v>43769</v>
      </c>
      <c r="C1049" s="106">
        <v>40129.050000000003</v>
      </c>
    </row>
    <row r="1050" spans="2:3" x14ac:dyDescent="0.25">
      <c r="B1050" s="105">
        <v>43770</v>
      </c>
      <c r="C1050" s="106">
        <v>40165.03</v>
      </c>
    </row>
    <row r="1051" spans="2:3" x14ac:dyDescent="0.25">
      <c r="B1051" s="105">
        <v>43773</v>
      </c>
      <c r="C1051" s="106">
        <v>40301.96</v>
      </c>
    </row>
    <row r="1052" spans="2:3" x14ac:dyDescent="0.25">
      <c r="B1052" s="105">
        <v>43774</v>
      </c>
      <c r="C1052" s="106">
        <v>40248.230000000003</v>
      </c>
    </row>
    <row r="1053" spans="2:3" x14ac:dyDescent="0.25">
      <c r="B1053" s="105">
        <v>43775</v>
      </c>
      <c r="C1053" s="106">
        <v>40469.78</v>
      </c>
    </row>
    <row r="1054" spans="2:3" x14ac:dyDescent="0.25">
      <c r="B1054" s="105">
        <v>43776</v>
      </c>
      <c r="C1054" s="106">
        <v>40653.74</v>
      </c>
    </row>
    <row r="1055" spans="2:3" x14ac:dyDescent="0.25">
      <c r="B1055" s="105">
        <v>43777</v>
      </c>
      <c r="C1055" s="106">
        <v>40323.61</v>
      </c>
    </row>
    <row r="1056" spans="2:3" x14ac:dyDescent="0.25">
      <c r="B1056" s="105">
        <v>43780</v>
      </c>
      <c r="C1056" s="106">
        <v>40345.08</v>
      </c>
    </row>
    <row r="1057" spans="2:3" x14ac:dyDescent="0.25">
      <c r="B1057" s="105">
        <v>43782</v>
      </c>
      <c r="C1057" s="106">
        <v>40116.06</v>
      </c>
    </row>
    <row r="1058" spans="2:3" x14ac:dyDescent="0.25">
      <c r="B1058" s="105">
        <v>43783</v>
      </c>
      <c r="C1058" s="106">
        <v>40286.480000000003</v>
      </c>
    </row>
    <row r="1059" spans="2:3" x14ac:dyDescent="0.25">
      <c r="B1059" s="105">
        <v>43784</v>
      </c>
      <c r="C1059" s="106">
        <v>40356.69</v>
      </c>
    </row>
    <row r="1060" spans="2:3" x14ac:dyDescent="0.25">
      <c r="B1060" s="105">
        <v>43787</v>
      </c>
      <c r="C1060" s="106">
        <v>40284.19</v>
      </c>
    </row>
    <row r="1061" spans="2:3" x14ac:dyDescent="0.25">
      <c r="B1061" s="105">
        <v>43788</v>
      </c>
      <c r="C1061" s="106">
        <v>40469.699999999997</v>
      </c>
    </row>
    <row r="1062" spans="2:3" x14ac:dyDescent="0.25">
      <c r="B1062" s="105">
        <v>43789</v>
      </c>
      <c r="C1062" s="106">
        <v>40651.64</v>
      </c>
    </row>
    <row r="1063" spans="2:3" x14ac:dyDescent="0.25">
      <c r="B1063" s="105">
        <v>43790</v>
      </c>
      <c r="C1063" s="106">
        <v>40575.17</v>
      </c>
    </row>
    <row r="1064" spans="2:3" x14ac:dyDescent="0.25">
      <c r="B1064" s="105">
        <v>43791</v>
      </c>
      <c r="C1064" s="106">
        <v>40359.410000000003</v>
      </c>
    </row>
    <row r="1065" spans="2:3" x14ac:dyDescent="0.25">
      <c r="B1065" s="105">
        <v>43794</v>
      </c>
      <c r="C1065" s="106">
        <v>40889.230000000003</v>
      </c>
    </row>
    <row r="1066" spans="2:3" x14ac:dyDescent="0.25">
      <c r="B1066" s="105">
        <v>43795</v>
      </c>
      <c r="C1066" s="106">
        <v>40821.300000000003</v>
      </c>
    </row>
    <row r="1067" spans="2:3" x14ac:dyDescent="0.25">
      <c r="B1067" s="105">
        <v>43796</v>
      </c>
      <c r="C1067" s="106">
        <v>41020.61</v>
      </c>
    </row>
    <row r="1068" spans="2:3" x14ac:dyDescent="0.25">
      <c r="B1068" s="105">
        <v>43797</v>
      </c>
      <c r="C1068" s="106">
        <v>41130.17</v>
      </c>
    </row>
    <row r="1069" spans="2:3" x14ac:dyDescent="0.25">
      <c r="B1069" s="105">
        <v>43798</v>
      </c>
      <c r="C1069" s="106">
        <v>40793.81</v>
      </c>
    </row>
    <row r="1070" spans="2:3" x14ac:dyDescent="0.25">
      <c r="B1070" s="105">
        <v>43801</v>
      </c>
      <c r="C1070" s="106">
        <v>40802.17</v>
      </c>
    </row>
    <row r="1071" spans="2:3" x14ac:dyDescent="0.25">
      <c r="B1071" s="105">
        <v>43802</v>
      </c>
      <c r="C1071" s="106">
        <v>40675.449999999997</v>
      </c>
    </row>
    <row r="1072" spans="2:3" x14ac:dyDescent="0.25">
      <c r="B1072" s="105">
        <v>43803</v>
      </c>
      <c r="C1072" s="106">
        <v>40850.29</v>
      </c>
    </row>
    <row r="1073" spans="2:3" x14ac:dyDescent="0.25">
      <c r="B1073" s="105">
        <v>43804</v>
      </c>
      <c r="C1073" s="106">
        <v>40779.589999999997</v>
      </c>
    </row>
    <row r="1074" spans="2:3" x14ac:dyDescent="0.25">
      <c r="B1074" s="105">
        <v>43805</v>
      </c>
      <c r="C1074" s="106">
        <v>40445.15</v>
      </c>
    </row>
    <row r="1075" spans="2:3" x14ac:dyDescent="0.25">
      <c r="B1075" s="105">
        <v>43808</v>
      </c>
      <c r="C1075" s="106">
        <v>40487.43</v>
      </c>
    </row>
    <row r="1076" spans="2:3" x14ac:dyDescent="0.25">
      <c r="B1076" s="105">
        <v>43809</v>
      </c>
      <c r="C1076" s="106">
        <v>40239.879999999997</v>
      </c>
    </row>
    <row r="1077" spans="2:3" x14ac:dyDescent="0.25">
      <c r="B1077" s="105">
        <v>43810</v>
      </c>
      <c r="C1077" s="106">
        <v>40412.57</v>
      </c>
    </row>
    <row r="1078" spans="2:3" x14ac:dyDescent="0.25">
      <c r="B1078" s="105">
        <v>43811</v>
      </c>
      <c r="C1078" s="106">
        <v>40581.71</v>
      </c>
    </row>
    <row r="1079" spans="2:3" x14ac:dyDescent="0.25">
      <c r="B1079" s="105">
        <v>43812</v>
      </c>
      <c r="C1079" s="106">
        <v>41009.71</v>
      </c>
    </row>
    <row r="1080" spans="2:3" x14ac:dyDescent="0.25">
      <c r="B1080" s="105">
        <v>43815</v>
      </c>
      <c r="C1080" s="106">
        <v>40938.720000000001</v>
      </c>
    </row>
    <row r="1081" spans="2:3" x14ac:dyDescent="0.25">
      <c r="B1081" s="105">
        <v>43816</v>
      </c>
      <c r="C1081" s="106">
        <v>41352.17</v>
      </c>
    </row>
    <row r="1082" spans="2:3" x14ac:dyDescent="0.25">
      <c r="B1082" s="105">
        <v>43817</v>
      </c>
      <c r="C1082" s="106">
        <v>41558.57</v>
      </c>
    </row>
    <row r="1083" spans="2:3" x14ac:dyDescent="0.25">
      <c r="B1083" s="105">
        <v>43818</v>
      </c>
      <c r="C1083" s="106">
        <v>41673.919999999998</v>
      </c>
    </row>
    <row r="1084" spans="2:3" x14ac:dyDescent="0.25">
      <c r="B1084" s="105">
        <v>43819</v>
      </c>
      <c r="C1084" s="106">
        <v>41681.54</v>
      </c>
    </row>
    <row r="1085" spans="2:3" x14ac:dyDescent="0.25">
      <c r="B1085" s="105">
        <v>43822</v>
      </c>
      <c r="C1085" s="106">
        <v>41642.660000000003</v>
      </c>
    </row>
    <row r="1086" spans="2:3" x14ac:dyDescent="0.25">
      <c r="B1086" s="105">
        <v>43823</v>
      </c>
      <c r="C1086" s="106">
        <v>41461.26</v>
      </c>
    </row>
    <row r="1087" spans="2:3" x14ac:dyDescent="0.25">
      <c r="B1087" s="105">
        <v>43825</v>
      </c>
      <c r="C1087" s="106">
        <v>41163.760000000002</v>
      </c>
    </row>
    <row r="1088" spans="2:3" x14ac:dyDescent="0.25">
      <c r="B1088" s="105">
        <v>43826</v>
      </c>
      <c r="C1088" s="106">
        <v>41575.14</v>
      </c>
    </row>
    <row r="1089" spans="2:3" x14ac:dyDescent="0.25">
      <c r="B1089" s="105">
        <v>43829</v>
      </c>
      <c r="C1089" s="106">
        <v>41558</v>
      </c>
    </row>
    <row r="1090" spans="2:3" x14ac:dyDescent="0.25">
      <c r="B1090" s="105">
        <v>43830</v>
      </c>
      <c r="C1090" s="106">
        <v>41253.74</v>
      </c>
    </row>
    <row r="1091" spans="2:3" x14ac:dyDescent="0.25">
      <c r="B1091" s="105">
        <v>43831</v>
      </c>
      <c r="C1091" s="106">
        <v>41306.019999999997</v>
      </c>
    </row>
    <row r="1092" spans="2:3" x14ac:dyDescent="0.25">
      <c r="B1092" s="105">
        <v>43832</v>
      </c>
      <c r="C1092" s="106">
        <v>41626.639999999999</v>
      </c>
    </row>
    <row r="1093" spans="2:3" x14ac:dyDescent="0.25">
      <c r="B1093" s="105">
        <v>43833</v>
      </c>
      <c r="C1093" s="106">
        <v>41464.61</v>
      </c>
    </row>
    <row r="1094" spans="2:3" x14ac:dyDescent="0.25">
      <c r="B1094" s="105">
        <v>43836</v>
      </c>
      <c r="C1094" s="106">
        <v>40676.629999999997</v>
      </c>
    </row>
    <row r="1095" spans="2:3" x14ac:dyDescent="0.25">
      <c r="B1095" s="105">
        <v>43837</v>
      </c>
      <c r="C1095" s="106">
        <v>40869.47</v>
      </c>
    </row>
    <row r="1096" spans="2:3" x14ac:dyDescent="0.25">
      <c r="B1096" s="105">
        <v>43838</v>
      </c>
      <c r="C1096" s="106">
        <v>40817.74</v>
      </c>
    </row>
    <row r="1097" spans="2:3" x14ac:dyDescent="0.25">
      <c r="B1097" s="105">
        <v>43839</v>
      </c>
      <c r="C1097" s="106">
        <v>41452.35</v>
      </c>
    </row>
    <row r="1098" spans="2:3" x14ac:dyDescent="0.25">
      <c r="B1098" s="105">
        <v>43840</v>
      </c>
      <c r="C1098" s="106">
        <v>41599.72</v>
      </c>
    </row>
    <row r="1099" spans="2:3" x14ac:dyDescent="0.25">
      <c r="B1099" s="105">
        <v>43843</v>
      </c>
      <c r="C1099" s="106">
        <v>41859.69</v>
      </c>
    </row>
    <row r="1100" spans="2:3" x14ac:dyDescent="0.25">
      <c r="B1100" s="105">
        <v>43844</v>
      </c>
      <c r="C1100" s="106">
        <v>41952.63</v>
      </c>
    </row>
    <row r="1101" spans="2:3" x14ac:dyDescent="0.25">
      <c r="B1101" s="105">
        <v>43845</v>
      </c>
      <c r="C1101" s="106">
        <v>41872.730000000003</v>
      </c>
    </row>
    <row r="1102" spans="2:3" x14ac:dyDescent="0.25">
      <c r="B1102" s="105">
        <v>43846</v>
      </c>
      <c r="C1102" s="106">
        <v>41932.559999999998</v>
      </c>
    </row>
    <row r="1103" spans="2:3" x14ac:dyDescent="0.25">
      <c r="B1103" s="105">
        <v>43847</v>
      </c>
      <c r="C1103" s="106">
        <v>41945.37</v>
      </c>
    </row>
    <row r="1104" spans="2:3" x14ac:dyDescent="0.25">
      <c r="B1104" s="105">
        <v>43850</v>
      </c>
      <c r="C1104" s="106">
        <v>41528.910000000003</v>
      </c>
    </row>
    <row r="1105" spans="2:3" x14ac:dyDescent="0.25">
      <c r="B1105" s="105">
        <v>43851</v>
      </c>
      <c r="C1105" s="106">
        <v>41323.81</v>
      </c>
    </row>
    <row r="1106" spans="2:3" x14ac:dyDescent="0.25">
      <c r="B1106" s="105">
        <v>43852</v>
      </c>
      <c r="C1106" s="106">
        <v>41115.379999999997</v>
      </c>
    </row>
    <row r="1107" spans="2:3" x14ac:dyDescent="0.25">
      <c r="B1107" s="105">
        <v>43853</v>
      </c>
      <c r="C1107" s="106">
        <v>41386.400000000001</v>
      </c>
    </row>
    <row r="1108" spans="2:3" x14ac:dyDescent="0.25">
      <c r="B1108" s="105">
        <v>43854</v>
      </c>
      <c r="C1108" s="106">
        <v>41613.19</v>
      </c>
    </row>
    <row r="1109" spans="2:3" x14ac:dyDescent="0.25">
      <c r="B1109" s="105">
        <v>43857</v>
      </c>
      <c r="C1109" s="106">
        <v>41155.120000000003</v>
      </c>
    </row>
    <row r="1110" spans="2:3" x14ac:dyDescent="0.25">
      <c r="B1110" s="105">
        <v>43858</v>
      </c>
      <c r="C1110" s="106">
        <v>40966.86</v>
      </c>
    </row>
    <row r="1111" spans="2:3" x14ac:dyDescent="0.25">
      <c r="B1111" s="105">
        <v>43859</v>
      </c>
      <c r="C1111" s="106">
        <v>41198.660000000003</v>
      </c>
    </row>
    <row r="1112" spans="2:3" x14ac:dyDescent="0.25">
      <c r="B1112" s="105">
        <v>43860</v>
      </c>
      <c r="C1112" s="106">
        <v>40913.82</v>
      </c>
    </row>
    <row r="1113" spans="2:3" x14ac:dyDescent="0.25">
      <c r="B1113" s="105">
        <v>43861</v>
      </c>
      <c r="C1113" s="106">
        <v>40723.49</v>
      </c>
    </row>
    <row r="1114" spans="2:3" x14ac:dyDescent="0.25">
      <c r="B1114" s="105">
        <v>43862</v>
      </c>
      <c r="C1114" s="106">
        <v>39735.53</v>
      </c>
    </row>
    <row r="1115" spans="2:3" x14ac:dyDescent="0.25">
      <c r="B1115" s="105">
        <v>43864</v>
      </c>
      <c r="C1115" s="106">
        <v>39872.31</v>
      </c>
    </row>
    <row r="1116" spans="2:3" x14ac:dyDescent="0.25">
      <c r="B1116" s="105">
        <v>43865</v>
      </c>
      <c r="C1116" s="106">
        <v>40789.379999999997</v>
      </c>
    </row>
    <row r="1117" spans="2:3" x14ac:dyDescent="0.25">
      <c r="B1117" s="105">
        <v>43866</v>
      </c>
      <c r="C1117" s="106">
        <v>41142.660000000003</v>
      </c>
    </row>
    <row r="1118" spans="2:3" x14ac:dyDescent="0.25">
      <c r="B1118" s="105">
        <v>43867</v>
      </c>
      <c r="C1118" s="106">
        <v>41306.03</v>
      </c>
    </row>
    <row r="1119" spans="2:3" x14ac:dyDescent="0.25">
      <c r="B1119" s="105">
        <v>43868</v>
      </c>
      <c r="C1119" s="106">
        <v>41141.85</v>
      </c>
    </row>
    <row r="1120" spans="2:3" x14ac:dyDescent="0.25">
      <c r="B1120" s="105">
        <v>43871</v>
      </c>
      <c r="C1120" s="106">
        <v>40979.620000000003</v>
      </c>
    </row>
    <row r="1121" spans="2:3" x14ac:dyDescent="0.25">
      <c r="B1121" s="105">
        <v>43872</v>
      </c>
      <c r="C1121" s="106">
        <v>41216.14</v>
      </c>
    </row>
    <row r="1122" spans="2:3" x14ac:dyDescent="0.25">
      <c r="B1122" s="105">
        <v>43873</v>
      </c>
      <c r="C1122" s="106">
        <v>41565.9</v>
      </c>
    </row>
    <row r="1123" spans="2:3" x14ac:dyDescent="0.25">
      <c r="B1123" s="105">
        <v>43874</v>
      </c>
      <c r="C1123" s="106">
        <v>41459.79</v>
      </c>
    </row>
    <row r="1124" spans="2:3" x14ac:dyDescent="0.25">
      <c r="B1124" s="105">
        <v>43875</v>
      </c>
      <c r="C1124" s="106">
        <v>41257.74</v>
      </c>
    </row>
    <row r="1125" spans="2:3" x14ac:dyDescent="0.25">
      <c r="B1125" s="105">
        <v>43878</v>
      </c>
      <c r="C1125" s="106">
        <v>41055.69</v>
      </c>
    </row>
    <row r="1126" spans="2:3" x14ac:dyDescent="0.25">
      <c r="B1126" s="105">
        <v>43879</v>
      </c>
      <c r="C1126" s="106">
        <v>40894.379999999997</v>
      </c>
    </row>
    <row r="1127" spans="2:3" x14ac:dyDescent="0.25">
      <c r="B1127" s="105">
        <v>43880</v>
      </c>
      <c r="C1127" s="106">
        <v>41323</v>
      </c>
    </row>
    <row r="1128" spans="2:3" x14ac:dyDescent="0.25">
      <c r="B1128" s="105">
        <v>43881</v>
      </c>
      <c r="C1128" s="106">
        <v>41170.120000000003</v>
      </c>
    </row>
    <row r="1129" spans="2:3" x14ac:dyDescent="0.25">
      <c r="B1129" s="105">
        <v>43885</v>
      </c>
      <c r="C1129" s="106">
        <v>40363.230000000003</v>
      </c>
    </row>
    <row r="1130" spans="2:3" x14ac:dyDescent="0.25">
      <c r="B1130" s="105">
        <v>43886</v>
      </c>
      <c r="C1130" s="106">
        <v>40281.199999999997</v>
      </c>
    </row>
    <row r="1131" spans="2:3" x14ac:dyDescent="0.25">
      <c r="B1131" s="105">
        <v>43887</v>
      </c>
      <c r="C1131" s="106">
        <v>39888.959999999999</v>
      </c>
    </row>
    <row r="1132" spans="2:3" x14ac:dyDescent="0.25">
      <c r="B1132" s="105">
        <v>43888</v>
      </c>
      <c r="C1132" s="106">
        <v>39745.660000000003</v>
      </c>
    </row>
    <row r="1133" spans="2:3" x14ac:dyDescent="0.25">
      <c r="B1133" s="105">
        <v>43889</v>
      </c>
      <c r="C1133" s="106">
        <v>38297.29</v>
      </c>
    </row>
    <row r="1134" spans="2:3" x14ac:dyDescent="0.25">
      <c r="B1134" s="105">
        <v>43892</v>
      </c>
      <c r="C1134" s="106">
        <v>38144.019999999997</v>
      </c>
    </row>
    <row r="1135" spans="2:3" x14ac:dyDescent="0.25">
      <c r="B1135" s="105">
        <v>43893</v>
      </c>
      <c r="C1135" s="106">
        <v>38623.699999999997</v>
      </c>
    </row>
    <row r="1136" spans="2:3" x14ac:dyDescent="0.25">
      <c r="B1136" s="105">
        <v>43894</v>
      </c>
      <c r="C1136" s="106">
        <v>38409.480000000003</v>
      </c>
    </row>
    <row r="1137" spans="2:3" x14ac:dyDescent="0.25">
      <c r="B1137" s="105">
        <v>43895</v>
      </c>
      <c r="C1137" s="106">
        <v>38470.61</v>
      </c>
    </row>
    <row r="1138" spans="2:3" x14ac:dyDescent="0.25">
      <c r="B1138" s="105">
        <v>43896</v>
      </c>
      <c r="C1138" s="106">
        <v>37576.620000000003</v>
      </c>
    </row>
    <row r="1139" spans="2:3" x14ac:dyDescent="0.25">
      <c r="B1139" s="105">
        <v>43899</v>
      </c>
      <c r="C1139" s="106">
        <v>35634.949999999997</v>
      </c>
    </row>
    <row r="1140" spans="2:3" x14ac:dyDescent="0.25">
      <c r="B1140" s="105">
        <v>43901</v>
      </c>
      <c r="C1140" s="106">
        <v>35697.4</v>
      </c>
    </row>
    <row r="1141" spans="2:3" x14ac:dyDescent="0.25">
      <c r="B1141" s="105">
        <v>43902</v>
      </c>
      <c r="C1141" s="106">
        <v>32778.14</v>
      </c>
    </row>
    <row r="1142" spans="2:3" x14ac:dyDescent="0.25">
      <c r="B1142" s="105">
        <v>43903</v>
      </c>
      <c r="C1142" s="106">
        <v>34103.480000000003</v>
      </c>
    </row>
    <row r="1143" spans="2:3" x14ac:dyDescent="0.25">
      <c r="B1143" s="105">
        <v>43906</v>
      </c>
      <c r="C1143" s="106">
        <v>31390.07</v>
      </c>
    </row>
    <row r="1144" spans="2:3" x14ac:dyDescent="0.25">
      <c r="B1144" s="105">
        <v>43907</v>
      </c>
      <c r="C1144" s="106">
        <v>30579.09</v>
      </c>
    </row>
    <row r="1145" spans="2:3" x14ac:dyDescent="0.25">
      <c r="B1145" s="105">
        <v>43908</v>
      </c>
      <c r="C1145" s="106">
        <v>28869.51</v>
      </c>
    </row>
    <row r="1146" spans="2:3" x14ac:dyDescent="0.25">
      <c r="B1146" s="105">
        <v>43909</v>
      </c>
      <c r="C1146" s="106">
        <v>28288.23</v>
      </c>
    </row>
    <row r="1147" spans="2:3" x14ac:dyDescent="0.25">
      <c r="B1147" s="105">
        <v>43910</v>
      </c>
      <c r="C1147" s="106">
        <v>29915.96</v>
      </c>
    </row>
    <row r="1148" spans="2:3" x14ac:dyDescent="0.25">
      <c r="B1148" s="105">
        <v>43913</v>
      </c>
      <c r="C1148" s="106">
        <v>25981.24</v>
      </c>
    </row>
    <row r="1149" spans="2:3" x14ac:dyDescent="0.25">
      <c r="B1149" s="105">
        <v>43914</v>
      </c>
      <c r="C1149" s="106">
        <v>26674.03</v>
      </c>
    </row>
    <row r="1150" spans="2:3" x14ac:dyDescent="0.25">
      <c r="B1150" s="105">
        <v>43915</v>
      </c>
      <c r="C1150" s="106">
        <v>28535.78</v>
      </c>
    </row>
    <row r="1151" spans="2:3" x14ac:dyDescent="0.25">
      <c r="B1151" s="105">
        <v>43916</v>
      </c>
      <c r="C1151" s="106">
        <v>29946.77</v>
      </c>
    </row>
    <row r="1152" spans="2:3" x14ac:dyDescent="0.25">
      <c r="B1152" s="105">
        <v>43917</v>
      </c>
      <c r="C1152" s="106">
        <v>29815.59</v>
      </c>
    </row>
    <row r="1153" spans="2:3" x14ac:dyDescent="0.25">
      <c r="B1153" s="105">
        <v>43920</v>
      </c>
      <c r="C1153" s="106">
        <v>28440.32</v>
      </c>
    </row>
    <row r="1154" spans="2:3" x14ac:dyDescent="0.25">
      <c r="B1154" s="105">
        <v>43921</v>
      </c>
      <c r="C1154" s="106">
        <v>29468.49</v>
      </c>
    </row>
    <row r="1155" spans="2:3" x14ac:dyDescent="0.25">
      <c r="B1155" s="105">
        <v>43922</v>
      </c>
      <c r="C1155" s="106">
        <v>28265.31</v>
      </c>
    </row>
    <row r="1156" spans="2:3" x14ac:dyDescent="0.25">
      <c r="B1156" s="105">
        <v>43924</v>
      </c>
      <c r="C1156" s="106">
        <v>27590.95</v>
      </c>
    </row>
    <row r="1157" spans="2:3" x14ac:dyDescent="0.25">
      <c r="B1157" s="105">
        <v>43928</v>
      </c>
      <c r="C1157" s="106">
        <v>30067.21</v>
      </c>
    </row>
    <row r="1158" spans="2:3" x14ac:dyDescent="0.25">
      <c r="B1158" s="105">
        <v>43929</v>
      </c>
      <c r="C1158" s="106">
        <v>29893.96</v>
      </c>
    </row>
    <row r="1159" spans="2:3" x14ac:dyDescent="0.25">
      <c r="B1159" s="105">
        <v>43930</v>
      </c>
      <c r="C1159" s="106">
        <v>31159.62</v>
      </c>
    </row>
    <row r="1160" spans="2:3" x14ac:dyDescent="0.25">
      <c r="B1160" s="105">
        <v>43934</v>
      </c>
      <c r="C1160" s="106">
        <v>30690.02</v>
      </c>
    </row>
    <row r="1161" spans="2:3" x14ac:dyDescent="0.25">
      <c r="B1161" s="105">
        <v>43936</v>
      </c>
      <c r="C1161" s="106">
        <v>30379.81</v>
      </c>
    </row>
    <row r="1162" spans="2:3" x14ac:dyDescent="0.25">
      <c r="B1162" s="105">
        <v>43937</v>
      </c>
      <c r="C1162" s="106">
        <v>30602.61</v>
      </c>
    </row>
    <row r="1163" spans="2:3" x14ac:dyDescent="0.25">
      <c r="B1163" s="105">
        <v>43938</v>
      </c>
      <c r="C1163" s="106">
        <v>31588.720000000001</v>
      </c>
    </row>
    <row r="1164" spans="2:3" x14ac:dyDescent="0.25">
      <c r="B1164" s="105">
        <v>43941</v>
      </c>
      <c r="C1164" s="106">
        <v>31648</v>
      </c>
    </row>
    <row r="1165" spans="2:3" x14ac:dyDescent="0.25">
      <c r="B1165" s="105">
        <v>43942</v>
      </c>
      <c r="C1165" s="106">
        <v>30636.71</v>
      </c>
    </row>
    <row r="1166" spans="2:3" x14ac:dyDescent="0.25">
      <c r="B1166" s="105">
        <v>43943</v>
      </c>
      <c r="C1166" s="106">
        <v>31379.55</v>
      </c>
    </row>
    <row r="1167" spans="2:3" x14ac:dyDescent="0.25">
      <c r="B1167" s="105">
        <v>43944</v>
      </c>
      <c r="C1167" s="106">
        <v>31863.08</v>
      </c>
    </row>
    <row r="1168" spans="2:3" x14ac:dyDescent="0.25">
      <c r="B1168" s="105">
        <v>43945</v>
      </c>
      <c r="C1168" s="106">
        <v>31327.22</v>
      </c>
    </row>
    <row r="1169" spans="2:3" x14ac:dyDescent="0.25">
      <c r="B1169" s="105">
        <v>43948</v>
      </c>
      <c r="C1169" s="106">
        <v>31743.08</v>
      </c>
    </row>
    <row r="1170" spans="2:3" x14ac:dyDescent="0.25">
      <c r="B1170" s="105">
        <v>43949</v>
      </c>
      <c r="C1170" s="106">
        <v>32114.52</v>
      </c>
    </row>
    <row r="1171" spans="2:3" x14ac:dyDescent="0.25">
      <c r="B1171" s="105">
        <v>43950</v>
      </c>
      <c r="C1171" s="106">
        <v>32720.16</v>
      </c>
    </row>
    <row r="1172" spans="2:3" x14ac:dyDescent="0.25">
      <c r="B1172" s="105">
        <v>43951</v>
      </c>
      <c r="C1172" s="106">
        <v>33717.620000000003</v>
      </c>
    </row>
    <row r="1173" spans="2:3" x14ac:dyDescent="0.25">
      <c r="B1173" s="105">
        <v>43955</v>
      </c>
      <c r="C1173" s="106">
        <v>31715.35</v>
      </c>
    </row>
    <row r="1174" spans="2:3" x14ac:dyDescent="0.25">
      <c r="B1174" s="105">
        <v>43956</v>
      </c>
      <c r="C1174" s="106">
        <v>31453.51</v>
      </c>
    </row>
    <row r="1175" spans="2:3" x14ac:dyDescent="0.25">
      <c r="B1175" s="105">
        <v>43957</v>
      </c>
      <c r="C1175" s="106">
        <v>31685.75</v>
      </c>
    </row>
    <row r="1176" spans="2:3" x14ac:dyDescent="0.25">
      <c r="B1176" s="105">
        <v>43958</v>
      </c>
      <c r="C1176" s="106">
        <v>31443.38</v>
      </c>
    </row>
    <row r="1177" spans="2:3" x14ac:dyDescent="0.25">
      <c r="B1177" s="105">
        <v>43959</v>
      </c>
      <c r="C1177" s="106">
        <v>31642.7</v>
      </c>
    </row>
    <row r="1178" spans="2:3" x14ac:dyDescent="0.25">
      <c r="B1178" s="105">
        <v>43962</v>
      </c>
      <c r="C1178" s="106">
        <v>31561.22</v>
      </c>
    </row>
    <row r="1179" spans="2:3" x14ac:dyDescent="0.25">
      <c r="B1179" s="105">
        <v>43963</v>
      </c>
      <c r="C1179" s="106">
        <v>31371.119999999999</v>
      </c>
    </row>
    <row r="1180" spans="2:3" x14ac:dyDescent="0.25">
      <c r="B1180" s="105">
        <v>43964</v>
      </c>
      <c r="C1180" s="106">
        <v>32008.61</v>
      </c>
    </row>
    <row r="1181" spans="2:3" x14ac:dyDescent="0.25">
      <c r="B1181" s="105">
        <v>43965</v>
      </c>
      <c r="C1181" s="106">
        <v>31122.89</v>
      </c>
    </row>
    <row r="1182" spans="2:3" x14ac:dyDescent="0.25">
      <c r="B1182" s="105">
        <v>43966</v>
      </c>
      <c r="C1182" s="106">
        <v>31097.73</v>
      </c>
    </row>
    <row r="1183" spans="2:3" x14ac:dyDescent="0.25">
      <c r="B1183" s="105">
        <v>43969</v>
      </c>
      <c r="C1183" s="106">
        <v>30028.98</v>
      </c>
    </row>
    <row r="1184" spans="2:3" x14ac:dyDescent="0.25">
      <c r="B1184" s="105">
        <v>43970</v>
      </c>
      <c r="C1184" s="106">
        <v>30196.17</v>
      </c>
    </row>
    <row r="1185" spans="2:3" x14ac:dyDescent="0.25">
      <c r="B1185" s="105">
        <v>43971</v>
      </c>
      <c r="C1185" s="106">
        <v>30818.61</v>
      </c>
    </row>
    <row r="1186" spans="2:3" x14ac:dyDescent="0.25">
      <c r="B1186" s="105">
        <v>43972</v>
      </c>
      <c r="C1186" s="106">
        <v>30932.9</v>
      </c>
    </row>
    <row r="1187" spans="2:3" x14ac:dyDescent="0.25">
      <c r="B1187" s="105">
        <v>43973</v>
      </c>
      <c r="C1187" s="106">
        <v>30672.59</v>
      </c>
    </row>
    <row r="1188" spans="2:3" x14ac:dyDescent="0.25">
      <c r="B1188" s="105">
        <v>43977</v>
      </c>
      <c r="C1188" s="106">
        <v>30609.3</v>
      </c>
    </row>
    <row r="1189" spans="2:3" x14ac:dyDescent="0.25">
      <c r="B1189" s="105">
        <v>43978</v>
      </c>
      <c r="C1189" s="106">
        <v>31605.22</v>
      </c>
    </row>
    <row r="1190" spans="2:3" x14ac:dyDescent="0.25">
      <c r="B1190" s="105">
        <v>43979</v>
      </c>
      <c r="C1190" s="106">
        <v>32200.59</v>
      </c>
    </row>
    <row r="1191" spans="2:3" x14ac:dyDescent="0.25">
      <c r="B1191" s="105">
        <v>43980</v>
      </c>
      <c r="C1191" s="106">
        <v>32424.1</v>
      </c>
    </row>
    <row r="1192" spans="2:3" x14ac:dyDescent="0.25">
      <c r="B1192" s="105">
        <v>43983</v>
      </c>
      <c r="C1192" s="106">
        <v>33303.519999999997</v>
      </c>
    </row>
    <row r="1193" spans="2:3" x14ac:dyDescent="0.25">
      <c r="B1193" s="105">
        <v>43984</v>
      </c>
      <c r="C1193" s="106">
        <v>33825.53</v>
      </c>
    </row>
    <row r="1194" spans="2:3" x14ac:dyDescent="0.25">
      <c r="B1194" s="105">
        <v>43985</v>
      </c>
      <c r="C1194" s="106">
        <v>34109.54</v>
      </c>
    </row>
    <row r="1195" spans="2:3" x14ac:dyDescent="0.25">
      <c r="B1195" s="105">
        <v>43986</v>
      </c>
      <c r="C1195" s="106">
        <v>33980.699999999997</v>
      </c>
    </row>
    <row r="1196" spans="2:3" x14ac:dyDescent="0.25">
      <c r="B1196" s="105">
        <v>43987</v>
      </c>
      <c r="C1196" s="106">
        <v>34287.24</v>
      </c>
    </row>
    <row r="1197" spans="2:3" x14ac:dyDescent="0.25">
      <c r="B1197" s="105">
        <v>43990</v>
      </c>
      <c r="C1197" s="106">
        <v>34370.58</v>
      </c>
    </row>
    <row r="1198" spans="2:3" x14ac:dyDescent="0.25">
      <c r="B1198" s="105">
        <v>43991</v>
      </c>
      <c r="C1198" s="106">
        <v>33956.69</v>
      </c>
    </row>
    <row r="1199" spans="2:3" x14ac:dyDescent="0.25">
      <c r="B1199" s="105">
        <v>43992</v>
      </c>
      <c r="C1199" s="106">
        <v>34247.050000000003</v>
      </c>
    </row>
    <row r="1200" spans="2:3" x14ac:dyDescent="0.25">
      <c r="B1200" s="105">
        <v>43993</v>
      </c>
      <c r="C1200" s="106">
        <v>33538.370000000003</v>
      </c>
    </row>
    <row r="1201" spans="2:3" x14ac:dyDescent="0.25">
      <c r="B1201" s="105">
        <v>43994</v>
      </c>
      <c r="C1201" s="106">
        <v>33780.89</v>
      </c>
    </row>
    <row r="1202" spans="2:3" x14ac:dyDescent="0.25">
      <c r="B1202" s="105">
        <v>43997</v>
      </c>
      <c r="C1202" s="106">
        <v>33228.800000000003</v>
      </c>
    </row>
    <row r="1203" spans="2:3" x14ac:dyDescent="0.25">
      <c r="B1203" s="105">
        <v>43998</v>
      </c>
      <c r="C1203" s="106">
        <v>33605.22</v>
      </c>
    </row>
    <row r="1204" spans="2:3" x14ac:dyDescent="0.25">
      <c r="B1204" s="105">
        <v>43999</v>
      </c>
      <c r="C1204" s="106">
        <v>33507.919999999998</v>
      </c>
    </row>
    <row r="1205" spans="2:3" x14ac:dyDescent="0.25">
      <c r="B1205" s="105">
        <v>44000</v>
      </c>
      <c r="C1205" s="106">
        <v>34208.050000000003</v>
      </c>
    </row>
    <row r="1206" spans="2:3" x14ac:dyDescent="0.25">
      <c r="B1206" s="105">
        <v>44001</v>
      </c>
      <c r="C1206" s="106">
        <v>34731.730000000003</v>
      </c>
    </row>
    <row r="1207" spans="2:3" x14ac:dyDescent="0.25">
      <c r="B1207" s="105">
        <v>44004</v>
      </c>
      <c r="C1207" s="106">
        <v>34911.32</v>
      </c>
    </row>
    <row r="1208" spans="2:3" x14ac:dyDescent="0.25">
      <c r="B1208" s="105">
        <v>44005</v>
      </c>
      <c r="C1208" s="106">
        <v>35430.43</v>
      </c>
    </row>
    <row r="1209" spans="2:3" x14ac:dyDescent="0.25">
      <c r="B1209" s="105">
        <v>44006</v>
      </c>
      <c r="C1209" s="106">
        <v>34868.980000000003</v>
      </c>
    </row>
    <row r="1210" spans="2:3" x14ac:dyDescent="0.25">
      <c r="B1210" s="105">
        <v>44007</v>
      </c>
      <c r="C1210" s="106">
        <v>34842.1</v>
      </c>
    </row>
    <row r="1211" spans="2:3" x14ac:dyDescent="0.25">
      <c r="B1211" s="105">
        <v>44008</v>
      </c>
      <c r="C1211" s="106">
        <v>35171.269999999997</v>
      </c>
    </row>
    <row r="1212" spans="2:3" x14ac:dyDescent="0.25">
      <c r="B1212" s="105">
        <v>44011</v>
      </c>
      <c r="C1212" s="106">
        <v>34961.519999999997</v>
      </c>
    </row>
    <row r="1213" spans="2:3" x14ac:dyDescent="0.25">
      <c r="B1213" s="105">
        <v>44012</v>
      </c>
      <c r="C1213" s="106">
        <v>34915.800000000003</v>
      </c>
    </row>
    <row r="1214" spans="2:3" x14ac:dyDescent="0.25">
      <c r="B1214" s="105">
        <v>44013</v>
      </c>
      <c r="C1214" s="106">
        <v>35414.449999999997</v>
      </c>
    </row>
    <row r="1215" spans="2:3" x14ac:dyDescent="0.25">
      <c r="B1215" s="105">
        <v>44014</v>
      </c>
      <c r="C1215" s="106">
        <v>35843.699999999997</v>
      </c>
    </row>
    <row r="1216" spans="2:3" x14ac:dyDescent="0.25">
      <c r="B1216" s="105">
        <v>44015</v>
      </c>
      <c r="C1216" s="106">
        <v>36021.42</v>
      </c>
    </row>
    <row r="1217" spans="2:3" x14ac:dyDescent="0.25">
      <c r="B1217" s="105">
        <v>44018</v>
      </c>
      <c r="C1217" s="106">
        <v>36487.279999999999</v>
      </c>
    </row>
    <row r="1218" spans="2:3" x14ac:dyDescent="0.25">
      <c r="B1218" s="105">
        <v>44019</v>
      </c>
      <c r="C1218" s="106">
        <v>36674.519999999997</v>
      </c>
    </row>
    <row r="1219" spans="2:3" x14ac:dyDescent="0.25">
      <c r="B1219" s="105">
        <v>44020</v>
      </c>
      <c r="C1219" s="106">
        <v>36329.01</v>
      </c>
    </row>
    <row r="1220" spans="2:3" x14ac:dyDescent="0.25">
      <c r="B1220" s="105">
        <v>44021</v>
      </c>
      <c r="C1220" s="106">
        <v>36737.69</v>
      </c>
    </row>
    <row r="1221" spans="2:3" x14ac:dyDescent="0.25">
      <c r="B1221" s="105">
        <v>44022</v>
      </c>
      <c r="C1221" s="106">
        <v>36594.33</v>
      </c>
    </row>
    <row r="1222" spans="2:3" x14ac:dyDescent="0.25">
      <c r="B1222" s="105">
        <v>44025</v>
      </c>
      <c r="C1222" s="106">
        <v>36693.69</v>
      </c>
    </row>
    <row r="1223" spans="2:3" x14ac:dyDescent="0.25">
      <c r="B1223" s="105">
        <v>44026</v>
      </c>
      <c r="C1223" s="106">
        <v>36033.06</v>
      </c>
    </row>
    <row r="1224" spans="2:3" x14ac:dyDescent="0.25">
      <c r="B1224" s="105">
        <v>44027</v>
      </c>
      <c r="C1224" s="106">
        <v>36051.81</v>
      </c>
    </row>
    <row r="1225" spans="2:3" x14ac:dyDescent="0.25">
      <c r="B1225" s="105">
        <v>44028</v>
      </c>
      <c r="C1225" s="106">
        <v>36471.68</v>
      </c>
    </row>
    <row r="1226" spans="2:3" x14ac:dyDescent="0.25">
      <c r="B1226" s="105">
        <v>44029</v>
      </c>
      <c r="C1226" s="106">
        <v>37020.14</v>
      </c>
    </row>
    <row r="1227" spans="2:3" x14ac:dyDescent="0.25">
      <c r="B1227" s="105">
        <v>44032</v>
      </c>
      <c r="C1227" s="106">
        <v>37418.99</v>
      </c>
    </row>
    <row r="1228" spans="2:3" x14ac:dyDescent="0.25">
      <c r="B1228" s="105">
        <v>44033</v>
      </c>
      <c r="C1228" s="106">
        <v>37930.33</v>
      </c>
    </row>
    <row r="1229" spans="2:3" x14ac:dyDescent="0.25">
      <c r="B1229" s="105">
        <v>44034</v>
      </c>
      <c r="C1229" s="106">
        <v>37871.519999999997</v>
      </c>
    </row>
    <row r="1230" spans="2:3" x14ac:dyDescent="0.25">
      <c r="B1230" s="105">
        <v>44035</v>
      </c>
      <c r="C1230" s="106">
        <v>38140.47</v>
      </c>
    </row>
    <row r="1231" spans="2:3" x14ac:dyDescent="0.25">
      <c r="B1231" s="105">
        <v>44036</v>
      </c>
      <c r="C1231" s="106">
        <v>38128.9</v>
      </c>
    </row>
    <row r="1232" spans="2:3" x14ac:dyDescent="0.25">
      <c r="B1232" s="105">
        <v>44039</v>
      </c>
      <c r="C1232" s="106">
        <v>37934.730000000003</v>
      </c>
    </row>
    <row r="1233" spans="2:3" x14ac:dyDescent="0.25">
      <c r="B1233" s="105">
        <v>44040</v>
      </c>
      <c r="C1233" s="106">
        <v>38492.949999999997</v>
      </c>
    </row>
    <row r="1234" spans="2:3" x14ac:dyDescent="0.25">
      <c r="B1234" s="105">
        <v>44041</v>
      </c>
      <c r="C1234" s="106">
        <v>38071.129999999997</v>
      </c>
    </row>
    <row r="1235" spans="2:3" x14ac:dyDescent="0.25">
      <c r="B1235" s="105">
        <v>44042</v>
      </c>
      <c r="C1235" s="106">
        <v>37736.07</v>
      </c>
    </row>
    <row r="1236" spans="2:3" x14ac:dyDescent="0.25">
      <c r="B1236" s="105">
        <v>44043</v>
      </c>
      <c r="C1236" s="106">
        <v>37606.89</v>
      </c>
    </row>
    <row r="1237" spans="2:3" x14ac:dyDescent="0.25">
      <c r="B1237" s="105">
        <v>44046</v>
      </c>
      <c r="C1237" s="106">
        <v>36939.599999999999</v>
      </c>
    </row>
    <row r="1238" spans="2:3" x14ac:dyDescent="0.25">
      <c r="B1238" s="105">
        <v>44047</v>
      </c>
      <c r="C1238" s="106">
        <v>37687.910000000003</v>
      </c>
    </row>
    <row r="1239" spans="2:3" x14ac:dyDescent="0.25">
      <c r="B1239" s="105">
        <v>44048</v>
      </c>
      <c r="C1239" s="106">
        <v>37663.33</v>
      </c>
    </row>
    <row r="1240" spans="2:3" x14ac:dyDescent="0.25">
      <c r="B1240" s="105">
        <v>44049</v>
      </c>
      <c r="C1240" s="106">
        <v>38025.449999999997</v>
      </c>
    </row>
    <row r="1241" spans="2:3" x14ac:dyDescent="0.25">
      <c r="B1241" s="105">
        <v>44050</v>
      </c>
      <c r="C1241" s="106">
        <v>38040.57</v>
      </c>
    </row>
    <row r="1242" spans="2:3" x14ac:dyDescent="0.25">
      <c r="B1242" s="105">
        <v>44053</v>
      </c>
      <c r="C1242" s="106">
        <v>38182.080000000002</v>
      </c>
    </row>
    <row r="1243" spans="2:3" x14ac:dyDescent="0.25">
      <c r="B1243" s="105">
        <v>44054</v>
      </c>
      <c r="C1243" s="106">
        <v>38407.01</v>
      </c>
    </row>
    <row r="1244" spans="2:3" x14ac:dyDescent="0.25">
      <c r="B1244" s="105">
        <v>44055</v>
      </c>
      <c r="C1244" s="106">
        <v>38369.629999999997</v>
      </c>
    </row>
    <row r="1245" spans="2:3" x14ac:dyDescent="0.25">
      <c r="B1245" s="105">
        <v>44056</v>
      </c>
      <c r="C1245" s="106">
        <v>38310.49</v>
      </c>
    </row>
    <row r="1246" spans="2:3" x14ac:dyDescent="0.25">
      <c r="B1246" s="105">
        <v>44057</v>
      </c>
      <c r="C1246" s="106">
        <v>37877.339999999997</v>
      </c>
    </row>
    <row r="1247" spans="2:3" x14ac:dyDescent="0.25">
      <c r="B1247" s="105">
        <v>44060</v>
      </c>
      <c r="C1247" s="106">
        <v>38050.78</v>
      </c>
    </row>
    <row r="1248" spans="2:3" x14ac:dyDescent="0.25">
      <c r="B1248" s="105">
        <v>44061</v>
      </c>
      <c r="C1248" s="106">
        <v>38528.32</v>
      </c>
    </row>
    <row r="1249" spans="2:3" x14ac:dyDescent="0.25">
      <c r="B1249" s="105">
        <v>44062</v>
      </c>
      <c r="C1249" s="106">
        <v>38614.79</v>
      </c>
    </row>
    <row r="1250" spans="2:3" x14ac:dyDescent="0.25">
      <c r="B1250" s="105">
        <v>44063</v>
      </c>
      <c r="C1250" s="106">
        <v>38220.39</v>
      </c>
    </row>
    <row r="1251" spans="2:3" x14ac:dyDescent="0.25">
      <c r="B1251" s="105">
        <v>44064</v>
      </c>
      <c r="C1251" s="106">
        <v>38434.720000000001</v>
      </c>
    </row>
    <row r="1252" spans="2:3" x14ac:dyDescent="0.25">
      <c r="B1252" s="105">
        <v>44067</v>
      </c>
      <c r="C1252" s="106">
        <v>38799.08</v>
      </c>
    </row>
    <row r="1253" spans="2:3" x14ac:dyDescent="0.25">
      <c r="B1253" s="105">
        <v>44068</v>
      </c>
      <c r="C1253" s="106">
        <v>38843.879999999997</v>
      </c>
    </row>
    <row r="1254" spans="2:3" x14ac:dyDescent="0.25">
      <c r="B1254" s="105">
        <v>44069</v>
      </c>
      <c r="C1254" s="106">
        <v>39073.919999999998</v>
      </c>
    </row>
    <row r="1255" spans="2:3" x14ac:dyDescent="0.25">
      <c r="B1255" s="105">
        <v>44070</v>
      </c>
      <c r="C1255" s="106">
        <v>39113.47</v>
      </c>
    </row>
    <row r="1256" spans="2:3" x14ac:dyDescent="0.25">
      <c r="B1256" s="105">
        <v>44071</v>
      </c>
      <c r="C1256" s="106">
        <v>39467.31</v>
      </c>
    </row>
    <row r="1257" spans="2:3" x14ac:dyDescent="0.25">
      <c r="B1257" s="105">
        <v>44074</v>
      </c>
      <c r="C1257" s="106">
        <v>38628.29</v>
      </c>
    </row>
    <row r="1258" spans="2:3" x14ac:dyDescent="0.25">
      <c r="B1258" s="105">
        <v>44075</v>
      </c>
      <c r="C1258" s="106">
        <v>38900.800000000003</v>
      </c>
    </row>
    <row r="1259" spans="2:3" x14ac:dyDescent="0.25">
      <c r="B1259" s="105">
        <v>44076</v>
      </c>
      <c r="C1259" s="106">
        <v>39086.03</v>
      </c>
    </row>
    <row r="1260" spans="2:3" x14ac:dyDescent="0.25">
      <c r="B1260" s="105">
        <v>44077</v>
      </c>
      <c r="C1260" s="106">
        <v>38990.94</v>
      </c>
    </row>
    <row r="1261" spans="2:3" x14ac:dyDescent="0.25">
      <c r="B1261" s="105">
        <v>44078</v>
      </c>
      <c r="C1261" s="106">
        <v>38357.18</v>
      </c>
    </row>
    <row r="1262" spans="2:3" x14ac:dyDescent="0.25">
      <c r="B1262" s="105">
        <v>44081</v>
      </c>
      <c r="C1262" s="106">
        <v>38417.230000000003</v>
      </c>
    </row>
    <row r="1263" spans="2:3" x14ac:dyDescent="0.25">
      <c r="B1263" s="105">
        <v>44082</v>
      </c>
      <c r="C1263" s="106">
        <v>38365.35</v>
      </c>
    </row>
    <row r="1264" spans="2:3" x14ac:dyDescent="0.25">
      <c r="B1264" s="105">
        <v>44083</v>
      </c>
      <c r="C1264" s="106">
        <v>38193.919999999998</v>
      </c>
    </row>
    <row r="1265" spans="2:3" x14ac:dyDescent="0.25">
      <c r="B1265" s="105">
        <v>44084</v>
      </c>
      <c r="C1265" s="106">
        <v>38840.32</v>
      </c>
    </row>
    <row r="1266" spans="2:3" x14ac:dyDescent="0.25">
      <c r="B1266" s="105">
        <v>44085</v>
      </c>
      <c r="C1266" s="106">
        <v>38854.550000000003</v>
      </c>
    </row>
    <row r="1267" spans="2:3" x14ac:dyDescent="0.25">
      <c r="B1267" s="105">
        <v>44088</v>
      </c>
      <c r="C1267" s="106">
        <v>38756.629999999997</v>
      </c>
    </row>
    <row r="1268" spans="2:3" x14ac:dyDescent="0.25">
      <c r="B1268" s="105">
        <v>44089</v>
      </c>
      <c r="C1268" s="106">
        <v>39044.35</v>
      </c>
    </row>
    <row r="1269" spans="2:3" x14ac:dyDescent="0.25">
      <c r="B1269" s="105">
        <v>44090</v>
      </c>
      <c r="C1269" s="106">
        <v>39302.85</v>
      </c>
    </row>
    <row r="1270" spans="2:3" x14ac:dyDescent="0.25">
      <c r="B1270" s="105">
        <v>44091</v>
      </c>
      <c r="C1270" s="106">
        <v>38979.85</v>
      </c>
    </row>
    <row r="1271" spans="2:3" x14ac:dyDescent="0.25">
      <c r="B1271" s="105">
        <v>44092</v>
      </c>
      <c r="C1271" s="106">
        <v>38845.82</v>
      </c>
    </row>
    <row r="1272" spans="2:3" x14ac:dyDescent="0.25">
      <c r="B1272" s="105">
        <v>44095</v>
      </c>
      <c r="C1272" s="106">
        <v>38034.14</v>
      </c>
    </row>
    <row r="1273" spans="2:3" x14ac:dyDescent="0.25">
      <c r="B1273" s="105">
        <v>44096</v>
      </c>
      <c r="C1273" s="106">
        <v>37734.080000000002</v>
      </c>
    </row>
    <row r="1274" spans="2:3" x14ac:dyDescent="0.25">
      <c r="B1274" s="105">
        <v>44097</v>
      </c>
      <c r="C1274" s="106">
        <v>37668.42</v>
      </c>
    </row>
    <row r="1275" spans="2:3" x14ac:dyDescent="0.25">
      <c r="B1275" s="105">
        <v>44098</v>
      </c>
      <c r="C1275" s="106">
        <v>36553.599999999999</v>
      </c>
    </row>
    <row r="1276" spans="2:3" x14ac:dyDescent="0.25">
      <c r="B1276" s="105">
        <v>44099</v>
      </c>
      <c r="C1276" s="106">
        <v>37388.660000000003</v>
      </c>
    </row>
    <row r="1277" spans="2:3" x14ac:dyDescent="0.25">
      <c r="B1277" s="105">
        <v>44102</v>
      </c>
      <c r="C1277" s="106">
        <v>37981.629999999997</v>
      </c>
    </row>
    <row r="1278" spans="2:3" x14ac:dyDescent="0.25">
      <c r="B1278" s="105">
        <v>44103</v>
      </c>
      <c r="C1278" s="106">
        <v>37973.22</v>
      </c>
    </row>
    <row r="1279" spans="2:3" x14ac:dyDescent="0.25">
      <c r="B1279" s="105">
        <v>44104</v>
      </c>
      <c r="C1279" s="106">
        <v>38067.93</v>
      </c>
    </row>
    <row r="1280" spans="2:3" x14ac:dyDescent="0.25">
      <c r="B1280" s="105">
        <v>44105</v>
      </c>
      <c r="C1280" s="106">
        <v>38697.050000000003</v>
      </c>
    </row>
    <row r="1281" spans="2:3" x14ac:dyDescent="0.25">
      <c r="B1281" s="105">
        <v>44109</v>
      </c>
      <c r="C1281" s="106">
        <v>38973.699999999997</v>
      </c>
    </row>
    <row r="1282" spans="2:3" x14ac:dyDescent="0.25">
      <c r="B1282" s="105">
        <v>44110</v>
      </c>
      <c r="C1282" s="106">
        <v>39574.57</v>
      </c>
    </row>
    <row r="1283" spans="2:3" x14ac:dyDescent="0.25">
      <c r="B1283" s="105">
        <v>44111</v>
      </c>
      <c r="C1283" s="106">
        <v>39878.949999999997</v>
      </c>
    </row>
    <row r="1284" spans="2:3" x14ac:dyDescent="0.25">
      <c r="B1284" s="105">
        <v>44112</v>
      </c>
      <c r="C1284" s="106">
        <v>40182.67</v>
      </c>
    </row>
    <row r="1285" spans="2:3" x14ac:dyDescent="0.25">
      <c r="B1285" s="105">
        <v>44113</v>
      </c>
      <c r="C1285" s="106">
        <v>40509.49</v>
      </c>
    </row>
    <row r="1286" spans="2:3" x14ac:dyDescent="0.25">
      <c r="B1286" s="105">
        <v>44116</v>
      </c>
      <c r="C1286" s="106">
        <v>40593.800000000003</v>
      </c>
    </row>
    <row r="1287" spans="2:3" x14ac:dyDescent="0.25">
      <c r="B1287" s="105">
        <v>44117</v>
      </c>
      <c r="C1287" s="106">
        <v>40625.51</v>
      </c>
    </row>
    <row r="1288" spans="2:3" x14ac:dyDescent="0.25">
      <c r="B1288" s="105">
        <v>44118</v>
      </c>
      <c r="C1288" s="106">
        <v>40794.74</v>
      </c>
    </row>
    <row r="1289" spans="2:3" x14ac:dyDescent="0.25">
      <c r="B1289" s="105">
        <v>44119</v>
      </c>
      <c r="C1289" s="106">
        <v>39728.410000000003</v>
      </c>
    </row>
    <row r="1290" spans="2:3" x14ac:dyDescent="0.25">
      <c r="B1290" s="105">
        <v>44120</v>
      </c>
      <c r="C1290" s="106">
        <v>39982.980000000003</v>
      </c>
    </row>
    <row r="1291" spans="2:3" x14ac:dyDescent="0.25">
      <c r="B1291" s="105">
        <v>44123</v>
      </c>
      <c r="C1291" s="106">
        <v>40431.599999999999</v>
      </c>
    </row>
    <row r="1292" spans="2:3" x14ac:dyDescent="0.25">
      <c r="B1292" s="105">
        <v>44124</v>
      </c>
      <c r="C1292" s="106">
        <v>40544.370000000003</v>
      </c>
    </row>
    <row r="1293" spans="2:3" x14ac:dyDescent="0.25">
      <c r="B1293" s="105">
        <v>44125</v>
      </c>
      <c r="C1293" s="106">
        <v>40707.31</v>
      </c>
    </row>
    <row r="1294" spans="2:3" x14ac:dyDescent="0.25">
      <c r="B1294" s="105">
        <v>44126</v>
      </c>
      <c r="C1294" s="106">
        <v>40558.49</v>
      </c>
    </row>
    <row r="1295" spans="2:3" x14ac:dyDescent="0.25">
      <c r="B1295" s="105">
        <v>44127</v>
      </c>
      <c r="C1295" s="106">
        <v>40685.5</v>
      </c>
    </row>
    <row r="1296" spans="2:3" x14ac:dyDescent="0.25">
      <c r="B1296" s="105">
        <v>44130</v>
      </c>
      <c r="C1296" s="106">
        <v>40145.5</v>
      </c>
    </row>
    <row r="1297" spans="2:3" x14ac:dyDescent="0.25">
      <c r="B1297" s="105">
        <v>44131</v>
      </c>
      <c r="C1297" s="106">
        <v>40522.1</v>
      </c>
    </row>
    <row r="1298" spans="2:3" x14ac:dyDescent="0.25">
      <c r="B1298" s="105">
        <v>44132</v>
      </c>
      <c r="C1298" s="106">
        <v>39922.46</v>
      </c>
    </row>
    <row r="1299" spans="2:3" x14ac:dyDescent="0.25">
      <c r="B1299" s="105">
        <v>44133</v>
      </c>
      <c r="C1299" s="106">
        <v>39749.85</v>
      </c>
    </row>
    <row r="1300" spans="2:3" x14ac:dyDescent="0.25">
      <c r="B1300" s="105">
        <v>44134</v>
      </c>
      <c r="C1300" s="106">
        <v>39614.07</v>
      </c>
    </row>
    <row r="1301" spans="2:3" x14ac:dyDescent="0.25">
      <c r="B1301" s="105">
        <v>44137</v>
      </c>
      <c r="C1301" s="106">
        <v>39757.58</v>
      </c>
    </row>
    <row r="1302" spans="2:3" x14ac:dyDescent="0.25">
      <c r="B1302" s="105">
        <v>44138</v>
      </c>
      <c r="C1302" s="106">
        <v>40261.129999999997</v>
      </c>
    </row>
    <row r="1303" spans="2:3" x14ac:dyDescent="0.25">
      <c r="B1303" s="105">
        <v>44139</v>
      </c>
      <c r="C1303" s="106">
        <v>40616.14</v>
      </c>
    </row>
    <row r="1304" spans="2:3" x14ac:dyDescent="0.25">
      <c r="B1304" s="105">
        <v>44140</v>
      </c>
      <c r="C1304" s="106">
        <v>41340.160000000003</v>
      </c>
    </row>
    <row r="1305" spans="2:3" x14ac:dyDescent="0.25">
      <c r="B1305" s="105">
        <v>44141</v>
      </c>
      <c r="C1305" s="106">
        <v>41893.06</v>
      </c>
    </row>
    <row r="1306" spans="2:3" x14ac:dyDescent="0.25">
      <c r="B1306" s="105">
        <v>44144</v>
      </c>
      <c r="C1306" s="106">
        <v>42597.43</v>
      </c>
    </row>
    <row r="1307" spans="2:3" x14ac:dyDescent="0.25">
      <c r="B1307" s="105">
        <v>44145</v>
      </c>
      <c r="C1307" s="106">
        <v>43277.65</v>
      </c>
    </row>
    <row r="1308" spans="2:3" x14ac:dyDescent="0.25">
      <c r="B1308" s="105">
        <v>44146</v>
      </c>
      <c r="C1308" s="106">
        <v>43593.67</v>
      </c>
    </row>
    <row r="1309" spans="2:3" x14ac:dyDescent="0.25">
      <c r="B1309" s="105">
        <v>44147</v>
      </c>
      <c r="C1309" s="106">
        <v>43357.19</v>
      </c>
    </row>
    <row r="1310" spans="2:3" x14ac:dyDescent="0.25">
      <c r="B1310" s="105">
        <v>44148</v>
      </c>
      <c r="C1310" s="106">
        <v>43443</v>
      </c>
    </row>
    <row r="1311" spans="2:3" x14ac:dyDescent="0.25">
      <c r="B1311" s="105">
        <v>44149</v>
      </c>
      <c r="C1311" s="106">
        <v>43637.98</v>
      </c>
    </row>
    <row r="1312" spans="2:3" x14ac:dyDescent="0.25">
      <c r="B1312" s="105">
        <v>44152</v>
      </c>
      <c r="C1312" s="106">
        <v>43952.71</v>
      </c>
    </row>
    <row r="1313" spans="2:3" x14ac:dyDescent="0.25">
      <c r="B1313" s="105">
        <v>44153</v>
      </c>
      <c r="C1313" s="106">
        <v>44180.05</v>
      </c>
    </row>
    <row r="1314" spans="2:3" x14ac:dyDescent="0.25">
      <c r="B1314" s="105">
        <v>44154</v>
      </c>
      <c r="C1314" s="106">
        <v>43599.96</v>
      </c>
    </row>
    <row r="1315" spans="2:3" x14ac:dyDescent="0.25">
      <c r="B1315" s="105">
        <v>44155</v>
      </c>
      <c r="C1315" s="106">
        <v>43882.25</v>
      </c>
    </row>
    <row r="1316" spans="2:3" x14ac:dyDescent="0.25">
      <c r="B1316" s="105">
        <v>44158</v>
      </c>
      <c r="C1316" s="106">
        <v>44077.15</v>
      </c>
    </row>
    <row r="1317" spans="2:3" x14ac:dyDescent="0.25">
      <c r="B1317" s="105">
        <v>44159</v>
      </c>
      <c r="C1317" s="106">
        <v>44523.02</v>
      </c>
    </row>
    <row r="1318" spans="2:3" x14ac:dyDescent="0.25">
      <c r="B1318" s="105">
        <v>44160</v>
      </c>
      <c r="C1318" s="106">
        <v>43828.1</v>
      </c>
    </row>
    <row r="1319" spans="2:3" x14ac:dyDescent="0.25">
      <c r="B1319" s="105">
        <v>44161</v>
      </c>
      <c r="C1319" s="106">
        <v>44259.74</v>
      </c>
    </row>
    <row r="1320" spans="2:3" x14ac:dyDescent="0.25">
      <c r="B1320" s="105">
        <v>44162</v>
      </c>
      <c r="C1320" s="106">
        <v>44149.72</v>
      </c>
    </row>
    <row r="1321" spans="2:3" x14ac:dyDescent="0.25">
      <c r="B1321" s="105">
        <v>44166</v>
      </c>
      <c r="C1321" s="106">
        <v>44655.44</v>
      </c>
    </row>
    <row r="1322" spans="2:3" x14ac:dyDescent="0.25">
      <c r="B1322" s="105">
        <v>44167</v>
      </c>
      <c r="C1322" s="106">
        <v>44618.04</v>
      </c>
    </row>
    <row r="1323" spans="2:3" x14ac:dyDescent="0.25">
      <c r="B1323" s="105">
        <v>44168</v>
      </c>
      <c r="C1323" s="106">
        <v>44632.65</v>
      </c>
    </row>
    <row r="1324" spans="2:3" x14ac:dyDescent="0.25">
      <c r="B1324" s="105">
        <v>44169</v>
      </c>
      <c r="C1324" s="106">
        <v>45079.55</v>
      </c>
    </row>
    <row r="1325" spans="2:3" x14ac:dyDescent="0.25">
      <c r="B1325" s="105">
        <v>44172</v>
      </c>
      <c r="C1325" s="106">
        <v>45426.97</v>
      </c>
    </row>
    <row r="1326" spans="2:3" x14ac:dyDescent="0.25">
      <c r="B1326" s="105">
        <v>44173</v>
      </c>
      <c r="C1326" s="106">
        <v>45608.51</v>
      </c>
    </row>
    <row r="1327" spans="2:3" x14ac:dyDescent="0.25">
      <c r="B1327" s="105">
        <v>44174</v>
      </c>
      <c r="C1327" s="106">
        <v>46103.5</v>
      </c>
    </row>
    <row r="1328" spans="2:3" x14ac:dyDescent="0.25">
      <c r="B1328" s="105">
        <v>44175</v>
      </c>
      <c r="C1328" s="106">
        <v>45959.88</v>
      </c>
    </row>
    <row r="1329" spans="2:3" x14ac:dyDescent="0.25">
      <c r="B1329" s="105">
        <v>44176</v>
      </c>
      <c r="C1329" s="106">
        <v>46099.01</v>
      </c>
    </row>
    <row r="1330" spans="2:3" x14ac:dyDescent="0.25">
      <c r="B1330" s="105">
        <v>44179</v>
      </c>
      <c r="C1330" s="106">
        <v>46253.46</v>
      </c>
    </row>
    <row r="1331" spans="2:3" x14ac:dyDescent="0.25">
      <c r="B1331" s="105">
        <v>44180</v>
      </c>
      <c r="C1331" s="106">
        <v>46263.17</v>
      </c>
    </row>
    <row r="1332" spans="2:3" x14ac:dyDescent="0.25">
      <c r="B1332" s="105">
        <v>44181</v>
      </c>
      <c r="C1332" s="106">
        <v>46666.46</v>
      </c>
    </row>
    <row r="1333" spans="2:3" x14ac:dyDescent="0.25">
      <c r="B1333" s="105">
        <v>44182</v>
      </c>
      <c r="C1333" s="106">
        <v>46890.34</v>
      </c>
    </row>
    <row r="1334" spans="2:3" x14ac:dyDescent="0.25">
      <c r="B1334" s="105">
        <v>44183</v>
      </c>
      <c r="C1334" s="106">
        <v>46960.69</v>
      </c>
    </row>
    <row r="1335" spans="2:3" x14ac:dyDescent="0.25">
      <c r="B1335" s="105">
        <v>44186</v>
      </c>
      <c r="C1335" s="106">
        <v>45553.96</v>
      </c>
    </row>
    <row r="1336" spans="2:3" x14ac:dyDescent="0.25">
      <c r="B1336" s="105">
        <v>44187</v>
      </c>
      <c r="C1336" s="106">
        <v>46006.69</v>
      </c>
    </row>
    <row r="1337" spans="2:3" x14ac:dyDescent="0.25">
      <c r="B1337" s="105">
        <v>44188</v>
      </c>
      <c r="C1337" s="106">
        <v>46444.18</v>
      </c>
    </row>
    <row r="1338" spans="2:3" x14ac:dyDescent="0.25">
      <c r="B1338" s="105">
        <v>44189</v>
      </c>
      <c r="C1338" s="106">
        <v>46973.54</v>
      </c>
    </row>
    <row r="1339" spans="2:3" x14ac:dyDescent="0.25">
      <c r="B1339" s="105">
        <v>44193</v>
      </c>
      <c r="C1339" s="106">
        <v>47353.75</v>
      </c>
    </row>
    <row r="1340" spans="2:3" x14ac:dyDescent="0.25">
      <c r="B1340" s="105">
        <v>44194</v>
      </c>
      <c r="C1340" s="106">
        <v>47613.08</v>
      </c>
    </row>
    <row r="1341" spans="2:3" x14ac:dyDescent="0.25">
      <c r="B1341" s="105">
        <v>44195</v>
      </c>
      <c r="C1341" s="106">
        <v>47746.22</v>
      </c>
    </row>
    <row r="1342" spans="2:3" x14ac:dyDescent="0.25">
      <c r="B1342" s="105">
        <v>44196</v>
      </c>
      <c r="C1342" s="106">
        <v>47751.33</v>
      </c>
    </row>
    <row r="1343" spans="2:3" x14ac:dyDescent="0.25">
      <c r="B1343" s="105">
        <v>44197</v>
      </c>
      <c r="C1343" s="106">
        <v>47868.98</v>
      </c>
    </row>
    <row r="1344" spans="2:3" x14ac:dyDescent="0.25">
      <c r="B1344" s="105">
        <v>44200</v>
      </c>
      <c r="C1344" s="106">
        <v>48176.800000000003</v>
      </c>
    </row>
    <row r="1345" spans="2:3" x14ac:dyDescent="0.25">
      <c r="B1345" s="105">
        <v>44201</v>
      </c>
      <c r="C1345" s="106">
        <v>48437.78</v>
      </c>
    </row>
    <row r="1346" spans="2:3" x14ac:dyDescent="0.25">
      <c r="B1346" s="105">
        <v>44202</v>
      </c>
      <c r="C1346" s="106">
        <v>48174.06</v>
      </c>
    </row>
    <row r="1347" spans="2:3" x14ac:dyDescent="0.25">
      <c r="B1347" s="105">
        <v>44203</v>
      </c>
      <c r="C1347" s="106">
        <v>48093.32</v>
      </c>
    </row>
    <row r="1348" spans="2:3" x14ac:dyDescent="0.25">
      <c r="B1348" s="105">
        <v>44204</v>
      </c>
      <c r="C1348" s="106">
        <v>48782.51</v>
      </c>
    </row>
    <row r="1349" spans="2:3" x14ac:dyDescent="0.25">
      <c r="B1349" s="105">
        <v>44207</v>
      </c>
      <c r="C1349" s="106">
        <v>49269.32</v>
      </c>
    </row>
    <row r="1350" spans="2:3" x14ac:dyDescent="0.25">
      <c r="B1350" s="105">
        <v>44208</v>
      </c>
      <c r="C1350" s="106">
        <v>49517.11</v>
      </c>
    </row>
    <row r="1351" spans="2:3" x14ac:dyDescent="0.25">
      <c r="B1351" s="105">
        <v>44209</v>
      </c>
      <c r="C1351" s="106">
        <v>49492.32</v>
      </c>
    </row>
    <row r="1352" spans="2:3" x14ac:dyDescent="0.25">
      <c r="B1352" s="105">
        <v>44210</v>
      </c>
      <c r="C1352" s="106">
        <v>49584.160000000003</v>
      </c>
    </row>
    <row r="1353" spans="2:3" x14ac:dyDescent="0.25">
      <c r="B1353" s="105">
        <v>44211</v>
      </c>
      <c r="C1353" s="106">
        <v>49034.67</v>
      </c>
    </row>
    <row r="1354" spans="2:3" x14ac:dyDescent="0.25">
      <c r="B1354" s="105">
        <v>44214</v>
      </c>
      <c r="C1354" s="106">
        <v>48564.27</v>
      </c>
    </row>
    <row r="1355" spans="2:3" x14ac:dyDescent="0.25">
      <c r="B1355" s="105">
        <v>44215</v>
      </c>
      <c r="C1355" s="106">
        <v>49398.29</v>
      </c>
    </row>
    <row r="1356" spans="2:3" x14ac:dyDescent="0.25">
      <c r="B1356" s="105">
        <v>44216</v>
      </c>
      <c r="C1356" s="106">
        <v>49792.12</v>
      </c>
    </row>
    <row r="1357" spans="2:3" x14ac:dyDescent="0.25">
      <c r="B1357" s="105">
        <v>44217</v>
      </c>
      <c r="C1357" s="106">
        <v>49624.76</v>
      </c>
    </row>
    <row r="1358" spans="2:3" x14ac:dyDescent="0.25">
      <c r="B1358" s="105">
        <v>44218</v>
      </c>
      <c r="C1358" s="106">
        <v>48878.54</v>
      </c>
    </row>
    <row r="1359" spans="2:3" x14ac:dyDescent="0.25">
      <c r="B1359" s="105">
        <v>44221</v>
      </c>
      <c r="C1359" s="106">
        <v>48347.59</v>
      </c>
    </row>
    <row r="1360" spans="2:3" x14ac:dyDescent="0.25">
      <c r="B1360" s="105">
        <v>44223</v>
      </c>
      <c r="C1360" s="106">
        <v>47409.93</v>
      </c>
    </row>
    <row r="1361" spans="2:3" x14ac:dyDescent="0.25">
      <c r="B1361" s="105">
        <v>44224</v>
      </c>
      <c r="C1361" s="106">
        <v>46874.36</v>
      </c>
    </row>
    <row r="1362" spans="2:3" x14ac:dyDescent="0.25">
      <c r="B1362" s="105">
        <v>44225</v>
      </c>
      <c r="C1362" s="106">
        <v>46285.77</v>
      </c>
    </row>
    <row r="1363" spans="2:3" x14ac:dyDescent="0.25">
      <c r="B1363" s="105">
        <v>44228</v>
      </c>
      <c r="C1363" s="106">
        <v>48600.61</v>
      </c>
    </row>
    <row r="1364" spans="2:3" x14ac:dyDescent="0.25">
      <c r="B1364" s="105">
        <v>44229</v>
      </c>
      <c r="C1364" s="106">
        <v>49797.72</v>
      </c>
    </row>
    <row r="1365" spans="2:3" x14ac:dyDescent="0.25">
      <c r="B1365" s="105">
        <v>44230</v>
      </c>
      <c r="C1365" s="106">
        <v>50255.75</v>
      </c>
    </row>
    <row r="1366" spans="2:3" x14ac:dyDescent="0.25">
      <c r="B1366" s="105">
        <v>44231</v>
      </c>
      <c r="C1366" s="106">
        <v>50614.29</v>
      </c>
    </row>
    <row r="1367" spans="2:3" x14ac:dyDescent="0.25">
      <c r="B1367" s="105">
        <v>44232</v>
      </c>
      <c r="C1367" s="106">
        <v>50731.63</v>
      </c>
    </row>
    <row r="1368" spans="2:3" x14ac:dyDescent="0.25">
      <c r="B1368" s="105">
        <v>44235</v>
      </c>
      <c r="C1368" s="106">
        <v>51348.77</v>
      </c>
    </row>
    <row r="1369" spans="2:3" x14ac:dyDescent="0.25">
      <c r="B1369" s="105">
        <v>44236</v>
      </c>
      <c r="C1369" s="106">
        <v>51329.08</v>
      </c>
    </row>
    <row r="1370" spans="2:3" x14ac:dyDescent="0.25">
      <c r="B1370" s="105">
        <v>44237</v>
      </c>
      <c r="C1370" s="106">
        <v>51309.39</v>
      </c>
    </row>
    <row r="1371" spans="2:3" x14ac:dyDescent="0.25">
      <c r="B1371" s="105">
        <v>44238</v>
      </c>
      <c r="C1371" s="106">
        <v>51531.519999999997</v>
      </c>
    </row>
    <row r="1372" spans="2:3" x14ac:dyDescent="0.25">
      <c r="B1372" s="105">
        <v>44239</v>
      </c>
      <c r="C1372" s="106">
        <v>51544.3</v>
      </c>
    </row>
    <row r="1373" spans="2:3" x14ac:dyDescent="0.25">
      <c r="B1373" s="105">
        <v>44242</v>
      </c>
      <c r="C1373" s="106">
        <v>52154.13</v>
      </c>
    </row>
    <row r="1374" spans="2:3" x14ac:dyDescent="0.25">
      <c r="B1374" s="105">
        <v>44243</v>
      </c>
      <c r="C1374" s="106">
        <v>52104.17</v>
      </c>
    </row>
    <row r="1375" spans="2:3" x14ac:dyDescent="0.25">
      <c r="B1375" s="105">
        <v>44244</v>
      </c>
      <c r="C1375" s="106">
        <v>51703.83</v>
      </c>
    </row>
    <row r="1376" spans="2:3" x14ac:dyDescent="0.25">
      <c r="B1376" s="105">
        <v>44245</v>
      </c>
      <c r="C1376" s="106">
        <v>51324.69</v>
      </c>
    </row>
    <row r="1377" spans="2:3" x14ac:dyDescent="0.25">
      <c r="B1377" s="105">
        <v>44246</v>
      </c>
      <c r="C1377" s="106">
        <v>50889.760000000002</v>
      </c>
    </row>
    <row r="1378" spans="2:3" x14ac:dyDescent="0.25">
      <c r="B1378" s="105">
        <v>44249</v>
      </c>
      <c r="C1378" s="106">
        <v>49744.32</v>
      </c>
    </row>
    <row r="1379" spans="2:3" x14ac:dyDescent="0.25">
      <c r="B1379" s="105">
        <v>44250</v>
      </c>
      <c r="C1379" s="106">
        <v>49751.41</v>
      </c>
    </row>
    <row r="1380" spans="2:3" x14ac:dyDescent="0.25">
      <c r="B1380" s="105">
        <v>44251</v>
      </c>
      <c r="C1380" s="106">
        <v>50781.69</v>
      </c>
    </row>
    <row r="1381" spans="2:3" x14ac:dyDescent="0.25">
      <c r="B1381" s="105">
        <v>44252</v>
      </c>
      <c r="C1381" s="106">
        <v>51039.31</v>
      </c>
    </row>
    <row r="1382" spans="2:3" x14ac:dyDescent="0.25">
      <c r="B1382" s="105">
        <v>44253</v>
      </c>
      <c r="C1382" s="106">
        <v>49099.99</v>
      </c>
    </row>
    <row r="1383" spans="2:3" x14ac:dyDescent="0.25">
      <c r="B1383" s="105">
        <v>44256</v>
      </c>
      <c r="C1383" s="106">
        <v>49849.84</v>
      </c>
    </row>
    <row r="1384" spans="2:3" x14ac:dyDescent="0.25">
      <c r="B1384" s="105">
        <v>44257</v>
      </c>
      <c r="C1384" s="106">
        <v>50296.89</v>
      </c>
    </row>
    <row r="1385" spans="2:3" x14ac:dyDescent="0.25">
      <c r="B1385" s="105">
        <v>44258</v>
      </c>
      <c r="C1385" s="106">
        <v>51444.65</v>
      </c>
    </row>
    <row r="1386" spans="2:3" x14ac:dyDescent="0.25">
      <c r="B1386" s="105">
        <v>44259</v>
      </c>
      <c r="C1386" s="106">
        <v>50846.080000000002</v>
      </c>
    </row>
    <row r="1387" spans="2:3" x14ac:dyDescent="0.25">
      <c r="B1387" s="105">
        <v>44260</v>
      </c>
      <c r="C1387" s="106">
        <v>50405.32</v>
      </c>
    </row>
    <row r="1388" spans="2:3" x14ac:dyDescent="0.25">
      <c r="B1388" s="105">
        <v>44263</v>
      </c>
      <c r="C1388" s="106">
        <v>50441.07</v>
      </c>
    </row>
    <row r="1389" spans="2:3" x14ac:dyDescent="0.25">
      <c r="B1389" s="105">
        <v>44264</v>
      </c>
      <c r="C1389" s="106">
        <v>51025.48</v>
      </c>
    </row>
    <row r="1390" spans="2:3" x14ac:dyDescent="0.25">
      <c r="B1390" s="105">
        <v>44265</v>
      </c>
      <c r="C1390" s="106">
        <v>51279.51</v>
      </c>
    </row>
    <row r="1391" spans="2:3" x14ac:dyDescent="0.25">
      <c r="B1391" s="105">
        <v>44267</v>
      </c>
      <c r="C1391" s="106">
        <v>50792.08</v>
      </c>
    </row>
    <row r="1392" spans="2:3" x14ac:dyDescent="0.25">
      <c r="B1392" s="105">
        <v>44270</v>
      </c>
      <c r="C1392" s="106">
        <v>50395.08</v>
      </c>
    </row>
    <row r="1393" spans="2:3" x14ac:dyDescent="0.25">
      <c r="B1393" s="105">
        <v>44271</v>
      </c>
      <c r="C1393" s="106">
        <v>50363.96</v>
      </c>
    </row>
    <row r="1394" spans="2:3" x14ac:dyDescent="0.25">
      <c r="B1394" s="105">
        <v>44272</v>
      </c>
      <c r="C1394" s="106">
        <v>49801.62</v>
      </c>
    </row>
    <row r="1395" spans="2:3" x14ac:dyDescent="0.25">
      <c r="B1395" s="105">
        <v>44273</v>
      </c>
      <c r="C1395" s="106">
        <v>49216.52</v>
      </c>
    </row>
    <row r="1396" spans="2:3" x14ac:dyDescent="0.25">
      <c r="B1396" s="105">
        <v>44274</v>
      </c>
      <c r="C1396" s="106">
        <v>49858.239999999998</v>
      </c>
    </row>
    <row r="1397" spans="2:3" x14ac:dyDescent="0.25">
      <c r="B1397" s="105">
        <v>44277</v>
      </c>
      <c r="C1397" s="106">
        <v>49771.29</v>
      </c>
    </row>
    <row r="1398" spans="2:3" x14ac:dyDescent="0.25">
      <c r="B1398" s="105">
        <v>44278</v>
      </c>
      <c r="C1398" s="106">
        <v>50051.44</v>
      </c>
    </row>
    <row r="1399" spans="2:3" x14ac:dyDescent="0.25">
      <c r="B1399" s="105">
        <v>44279</v>
      </c>
      <c r="C1399" s="106">
        <v>49180.31</v>
      </c>
    </row>
    <row r="1400" spans="2:3" x14ac:dyDescent="0.25">
      <c r="B1400" s="105">
        <v>44280</v>
      </c>
      <c r="C1400" s="106">
        <v>48440.12</v>
      </c>
    </row>
    <row r="1401" spans="2:3" x14ac:dyDescent="0.25">
      <c r="B1401" s="105">
        <v>44281</v>
      </c>
      <c r="C1401" s="106">
        <v>49008.5</v>
      </c>
    </row>
    <row r="1402" spans="2:3" x14ac:dyDescent="0.25">
      <c r="B1402" s="105">
        <v>44285</v>
      </c>
      <c r="C1402" s="106">
        <v>50136.58</v>
      </c>
    </row>
    <row r="1403" spans="2:3" x14ac:dyDescent="0.25">
      <c r="B1403" s="105">
        <v>44286</v>
      </c>
      <c r="C1403" s="106">
        <v>49509.15</v>
      </c>
    </row>
    <row r="1404" spans="2:3" x14ac:dyDescent="0.25">
      <c r="B1404" s="105">
        <v>44287</v>
      </c>
      <c r="C1404" s="106">
        <v>50029.83</v>
      </c>
    </row>
    <row r="1405" spans="2:3" x14ac:dyDescent="0.25">
      <c r="B1405" s="105">
        <v>44291</v>
      </c>
      <c r="C1405" s="106">
        <v>49159.32</v>
      </c>
    </row>
    <row r="1406" spans="2:3" x14ac:dyDescent="0.25">
      <c r="B1406" s="105">
        <v>44292</v>
      </c>
      <c r="C1406" s="106">
        <v>49201.39</v>
      </c>
    </row>
    <row r="1407" spans="2:3" x14ac:dyDescent="0.25">
      <c r="B1407" s="105">
        <v>44293</v>
      </c>
      <c r="C1407" s="106">
        <v>49661.760000000002</v>
      </c>
    </row>
    <row r="1408" spans="2:3" x14ac:dyDescent="0.25">
      <c r="B1408" s="105">
        <v>44294</v>
      </c>
      <c r="C1408" s="106">
        <v>49746.21</v>
      </c>
    </row>
    <row r="1409" spans="2:3" x14ac:dyDescent="0.25">
      <c r="B1409" s="105">
        <v>44295</v>
      </c>
      <c r="C1409" s="106">
        <v>49591.32</v>
      </c>
    </row>
    <row r="1410" spans="2:3" x14ac:dyDescent="0.25">
      <c r="B1410" s="105">
        <v>44298</v>
      </c>
      <c r="C1410" s="106">
        <v>47883.38</v>
      </c>
    </row>
    <row r="1411" spans="2:3" x14ac:dyDescent="0.25">
      <c r="B1411" s="105">
        <v>44299</v>
      </c>
      <c r="C1411" s="106">
        <v>48544.06</v>
      </c>
    </row>
    <row r="1412" spans="2:3" x14ac:dyDescent="0.25">
      <c r="B1412" s="105">
        <v>44301</v>
      </c>
      <c r="C1412" s="106">
        <v>48803.68</v>
      </c>
    </row>
    <row r="1413" spans="2:3" x14ac:dyDescent="0.25">
      <c r="B1413" s="105">
        <v>44302</v>
      </c>
      <c r="C1413" s="106">
        <v>48832.03</v>
      </c>
    </row>
    <row r="1414" spans="2:3" x14ac:dyDescent="0.25">
      <c r="B1414" s="105">
        <v>44305</v>
      </c>
      <c r="C1414" s="106">
        <v>47949.42</v>
      </c>
    </row>
    <row r="1415" spans="2:3" x14ac:dyDescent="0.25">
      <c r="B1415" s="105">
        <v>44306</v>
      </c>
      <c r="C1415" s="106">
        <v>47705.8</v>
      </c>
    </row>
    <row r="1416" spans="2:3" x14ac:dyDescent="0.25">
      <c r="B1416" s="105">
        <v>44308</v>
      </c>
      <c r="C1416" s="106">
        <v>48080.67</v>
      </c>
    </row>
    <row r="1417" spans="2:3" x14ac:dyDescent="0.25">
      <c r="B1417" s="105">
        <v>44309</v>
      </c>
      <c r="C1417" s="106">
        <v>47878.45</v>
      </c>
    </row>
    <row r="1418" spans="2:3" x14ac:dyDescent="0.25">
      <c r="B1418" s="105">
        <v>44312</v>
      </c>
      <c r="C1418" s="106">
        <v>48386.51</v>
      </c>
    </row>
    <row r="1419" spans="2:3" x14ac:dyDescent="0.25">
      <c r="B1419" s="105">
        <v>44313</v>
      </c>
      <c r="C1419" s="106">
        <v>48944.14</v>
      </c>
    </row>
    <row r="1420" spans="2:3" x14ac:dyDescent="0.25">
      <c r="B1420" s="105">
        <v>44314</v>
      </c>
      <c r="C1420" s="106">
        <v>49733.84</v>
      </c>
    </row>
    <row r="1421" spans="2:3" x14ac:dyDescent="0.25">
      <c r="B1421" s="105">
        <v>44315</v>
      </c>
      <c r="C1421" s="106">
        <v>49765.94</v>
      </c>
    </row>
    <row r="1422" spans="2:3" x14ac:dyDescent="0.25">
      <c r="B1422" s="105">
        <v>44316</v>
      </c>
      <c r="C1422" s="106">
        <v>48782.36</v>
      </c>
    </row>
    <row r="1423" spans="2:3" x14ac:dyDescent="0.25">
      <c r="B1423" s="105">
        <v>44319</v>
      </c>
      <c r="C1423" s="106">
        <v>48718.52</v>
      </c>
    </row>
    <row r="1424" spans="2:3" x14ac:dyDescent="0.25">
      <c r="B1424" s="105">
        <v>44320</v>
      </c>
      <c r="C1424" s="106">
        <v>48253.51</v>
      </c>
    </row>
    <row r="1425" spans="2:3" x14ac:dyDescent="0.25">
      <c r="B1425" s="105">
        <v>44321</v>
      </c>
      <c r="C1425" s="106">
        <v>48677.55</v>
      </c>
    </row>
    <row r="1426" spans="2:3" x14ac:dyDescent="0.25">
      <c r="B1426" s="105">
        <v>44322</v>
      </c>
      <c r="C1426" s="106">
        <v>48949.760000000002</v>
      </c>
    </row>
    <row r="1427" spans="2:3" x14ac:dyDescent="0.25">
      <c r="B1427" s="105">
        <v>44323</v>
      </c>
      <c r="C1427" s="106">
        <v>49206.47</v>
      </c>
    </row>
    <row r="1428" spans="2:3" x14ac:dyDescent="0.25">
      <c r="B1428" s="105">
        <v>44326</v>
      </c>
      <c r="C1428" s="106">
        <v>49502.41</v>
      </c>
    </row>
    <row r="1429" spans="2:3" x14ac:dyDescent="0.25">
      <c r="B1429" s="105">
        <v>44327</v>
      </c>
      <c r="C1429" s="106">
        <v>49161.81</v>
      </c>
    </row>
    <row r="1430" spans="2:3" x14ac:dyDescent="0.25">
      <c r="B1430" s="105">
        <v>44328</v>
      </c>
      <c r="C1430" s="106">
        <v>48690.8</v>
      </c>
    </row>
    <row r="1431" spans="2:3" x14ac:dyDescent="0.25">
      <c r="B1431" s="105">
        <v>44330</v>
      </c>
      <c r="C1431" s="106">
        <v>48732.55</v>
      </c>
    </row>
    <row r="1432" spans="2:3" x14ac:dyDescent="0.25">
      <c r="B1432" s="105">
        <v>44333</v>
      </c>
      <c r="C1432" s="106">
        <v>49580.73</v>
      </c>
    </row>
    <row r="1433" spans="2:3" x14ac:dyDescent="0.25">
      <c r="B1433" s="105">
        <v>44334</v>
      </c>
      <c r="C1433" s="106">
        <v>50193.33</v>
      </c>
    </row>
    <row r="1434" spans="2:3" x14ac:dyDescent="0.25">
      <c r="B1434" s="105">
        <v>44335</v>
      </c>
      <c r="C1434" s="106">
        <v>49902.64</v>
      </c>
    </row>
    <row r="1435" spans="2:3" x14ac:dyDescent="0.25">
      <c r="B1435" s="105">
        <v>44336</v>
      </c>
      <c r="C1435" s="106">
        <v>49564.86</v>
      </c>
    </row>
    <row r="1436" spans="2:3" x14ac:dyDescent="0.25">
      <c r="B1436" s="105">
        <v>44337</v>
      </c>
      <c r="C1436" s="106">
        <v>50540.480000000003</v>
      </c>
    </row>
    <row r="1437" spans="2:3" x14ac:dyDescent="0.25">
      <c r="B1437" s="105">
        <v>44340</v>
      </c>
      <c r="C1437" s="106">
        <v>50651.9</v>
      </c>
    </row>
    <row r="1438" spans="2:3" x14ac:dyDescent="0.25">
      <c r="B1438" s="105">
        <v>44341</v>
      </c>
      <c r="C1438" s="106">
        <v>50637.53</v>
      </c>
    </row>
    <row r="1439" spans="2:3" x14ac:dyDescent="0.25">
      <c r="B1439" s="105">
        <v>44342</v>
      </c>
      <c r="C1439" s="106">
        <v>51017.52</v>
      </c>
    </row>
    <row r="1440" spans="2:3" x14ac:dyDescent="0.25">
      <c r="B1440" s="105">
        <v>44343</v>
      </c>
      <c r="C1440" s="106">
        <v>51115.22</v>
      </c>
    </row>
    <row r="1441" spans="2:3" x14ac:dyDescent="0.25">
      <c r="B1441" s="105">
        <v>44344</v>
      </c>
      <c r="C1441" s="106">
        <v>51422.879999999997</v>
      </c>
    </row>
    <row r="1442" spans="2:3" x14ac:dyDescent="0.25">
      <c r="B1442" s="105">
        <v>44347</v>
      </c>
      <c r="C1442" s="106">
        <v>51937.440000000002</v>
      </c>
    </row>
    <row r="1443" spans="2:3" x14ac:dyDescent="0.25">
      <c r="B1443" s="105">
        <v>44348</v>
      </c>
      <c r="C1443" s="106">
        <v>51934.879999999997</v>
      </c>
    </row>
    <row r="1444" spans="2:3" x14ac:dyDescent="0.25">
      <c r="B1444" s="105">
        <v>44349</v>
      </c>
      <c r="C1444" s="106">
        <v>51849.48</v>
      </c>
    </row>
    <row r="1445" spans="2:3" x14ac:dyDescent="0.25">
      <c r="B1445" s="105">
        <v>44350</v>
      </c>
      <c r="C1445" s="106">
        <v>52232.43</v>
      </c>
    </row>
    <row r="1446" spans="2:3" x14ac:dyDescent="0.25">
      <c r="B1446" s="105">
        <v>44351</v>
      </c>
      <c r="C1446" s="106">
        <v>52100.05</v>
      </c>
    </row>
    <row r="1447" spans="2:3" x14ac:dyDescent="0.25">
      <c r="B1447" s="105">
        <v>44354</v>
      </c>
      <c r="C1447" s="106">
        <v>52328.51</v>
      </c>
    </row>
    <row r="1448" spans="2:3" x14ac:dyDescent="0.25">
      <c r="B1448" s="105">
        <v>44355</v>
      </c>
      <c r="C1448" s="106">
        <v>52275.57</v>
      </c>
    </row>
    <row r="1449" spans="2:3" x14ac:dyDescent="0.25">
      <c r="B1449" s="105">
        <v>44356</v>
      </c>
      <c r="C1449" s="106">
        <v>51941.64</v>
      </c>
    </row>
    <row r="1450" spans="2:3" x14ac:dyDescent="0.25">
      <c r="B1450" s="105">
        <v>44357</v>
      </c>
      <c r="C1450" s="106">
        <v>52300.47</v>
      </c>
    </row>
    <row r="1451" spans="2:3" x14ac:dyDescent="0.25">
      <c r="B1451" s="105">
        <v>44358</v>
      </c>
      <c r="C1451" s="106">
        <v>52474.76</v>
      </c>
    </row>
    <row r="1452" spans="2:3" x14ac:dyDescent="0.25">
      <c r="B1452" s="105">
        <v>44361</v>
      </c>
      <c r="C1452" s="106">
        <v>52551.53</v>
      </c>
    </row>
    <row r="1453" spans="2:3" x14ac:dyDescent="0.25">
      <c r="B1453" s="105">
        <v>44362</v>
      </c>
      <c r="C1453" s="106">
        <v>52773.05</v>
      </c>
    </row>
    <row r="1454" spans="2:3" x14ac:dyDescent="0.25">
      <c r="B1454" s="105">
        <v>44363</v>
      </c>
      <c r="C1454" s="106">
        <v>52501.98</v>
      </c>
    </row>
    <row r="1455" spans="2:3" x14ac:dyDescent="0.25">
      <c r="B1455" s="105">
        <v>44364</v>
      </c>
      <c r="C1455" s="106">
        <v>52323.33</v>
      </c>
    </row>
    <row r="1456" spans="2:3" x14ac:dyDescent="0.25">
      <c r="B1456" s="105">
        <v>44365</v>
      </c>
      <c r="C1456" s="106">
        <v>52344.45</v>
      </c>
    </row>
    <row r="1457" spans="2:3" x14ac:dyDescent="0.25">
      <c r="B1457" s="105">
        <v>44368</v>
      </c>
      <c r="C1457" s="106">
        <v>52574.46</v>
      </c>
    </row>
    <row r="1458" spans="2:3" x14ac:dyDescent="0.25">
      <c r="B1458" s="105">
        <v>44369</v>
      </c>
      <c r="C1458" s="106">
        <v>52588.71</v>
      </c>
    </row>
    <row r="1459" spans="2:3" x14ac:dyDescent="0.25">
      <c r="B1459" s="105">
        <v>44370</v>
      </c>
      <c r="C1459" s="106">
        <v>52306.080000000002</v>
      </c>
    </row>
    <row r="1460" spans="2:3" x14ac:dyDescent="0.25">
      <c r="B1460" s="105">
        <v>44371</v>
      </c>
      <c r="C1460" s="106">
        <v>52699</v>
      </c>
    </row>
    <row r="1461" spans="2:3" x14ac:dyDescent="0.25">
      <c r="B1461" s="105">
        <v>44372</v>
      </c>
      <c r="C1461" s="106">
        <v>52925.04</v>
      </c>
    </row>
    <row r="1462" spans="2:3" x14ac:dyDescent="0.25">
      <c r="B1462" s="105">
        <v>44375</v>
      </c>
      <c r="C1462" s="106">
        <v>52735.59</v>
      </c>
    </row>
    <row r="1463" spans="2:3" x14ac:dyDescent="0.25">
      <c r="B1463" s="105">
        <v>44376</v>
      </c>
      <c r="C1463" s="106">
        <v>52549.66</v>
      </c>
    </row>
    <row r="1464" spans="2:3" x14ac:dyDescent="0.25">
      <c r="B1464" s="105">
        <v>44377</v>
      </c>
      <c r="C1464" s="106">
        <v>52482.71</v>
      </c>
    </row>
    <row r="1465" spans="2:3" x14ac:dyDescent="0.25">
      <c r="B1465" s="105">
        <v>44378</v>
      </c>
      <c r="C1465" s="106">
        <v>52318.6</v>
      </c>
    </row>
    <row r="1466" spans="2:3" x14ac:dyDescent="0.25">
      <c r="B1466" s="105">
        <v>44379</v>
      </c>
      <c r="C1466" s="106">
        <v>52484.67</v>
      </c>
    </row>
    <row r="1467" spans="2:3" x14ac:dyDescent="0.25">
      <c r="B1467" s="105">
        <v>44382</v>
      </c>
      <c r="C1467" s="106">
        <v>52880</v>
      </c>
    </row>
    <row r="1468" spans="2:3" x14ac:dyDescent="0.25">
      <c r="B1468" s="105">
        <v>44383</v>
      </c>
      <c r="C1468" s="106">
        <v>52861.18</v>
      </c>
    </row>
    <row r="1469" spans="2:3" x14ac:dyDescent="0.25">
      <c r="B1469" s="105">
        <v>44384</v>
      </c>
      <c r="C1469" s="106">
        <v>53054.76</v>
      </c>
    </row>
    <row r="1470" spans="2:3" x14ac:dyDescent="0.25">
      <c r="B1470" s="105">
        <v>44385</v>
      </c>
      <c r="C1470" s="106">
        <v>52568.94</v>
      </c>
    </row>
    <row r="1471" spans="2:3" x14ac:dyDescent="0.25">
      <c r="B1471" s="105">
        <v>44386</v>
      </c>
      <c r="C1471" s="106">
        <v>52386.19</v>
      </c>
    </row>
    <row r="1472" spans="2:3" x14ac:dyDescent="0.25">
      <c r="B1472" s="105">
        <v>44389</v>
      </c>
      <c r="C1472" s="106">
        <v>52372.69</v>
      </c>
    </row>
    <row r="1473" spans="2:3" x14ac:dyDescent="0.25">
      <c r="B1473" s="105">
        <v>44390</v>
      </c>
      <c r="C1473" s="106">
        <v>52769.73</v>
      </c>
    </row>
    <row r="1474" spans="2:3" x14ac:dyDescent="0.25">
      <c r="B1474" s="105">
        <v>44391</v>
      </c>
      <c r="C1474" s="106">
        <v>52904.05</v>
      </c>
    </row>
    <row r="1475" spans="2:3" x14ac:dyDescent="0.25">
      <c r="B1475" s="105">
        <v>44392</v>
      </c>
      <c r="C1475" s="106">
        <v>53158.85</v>
      </c>
    </row>
    <row r="1476" spans="2:3" x14ac:dyDescent="0.25">
      <c r="B1476" s="105">
        <v>44393</v>
      </c>
      <c r="C1476" s="106">
        <v>53140.06</v>
      </c>
    </row>
    <row r="1477" spans="2:3" x14ac:dyDescent="0.25">
      <c r="B1477" s="105">
        <v>44396</v>
      </c>
      <c r="C1477" s="106">
        <v>52553.4</v>
      </c>
    </row>
    <row r="1478" spans="2:3" x14ac:dyDescent="0.25">
      <c r="B1478" s="105">
        <v>44397</v>
      </c>
      <c r="C1478" s="106">
        <v>52198.51</v>
      </c>
    </row>
    <row r="1479" spans="2:3" x14ac:dyDescent="0.25">
      <c r="B1479" s="105">
        <v>44399</v>
      </c>
      <c r="C1479" s="106">
        <v>52837.21</v>
      </c>
    </row>
    <row r="1480" spans="2:3" x14ac:dyDescent="0.25">
      <c r="B1480" s="105">
        <v>44400</v>
      </c>
      <c r="C1480" s="106">
        <v>52975.8</v>
      </c>
    </row>
    <row r="1481" spans="2:3" x14ac:dyDescent="0.25">
      <c r="B1481" s="105">
        <v>44403</v>
      </c>
      <c r="C1481" s="106">
        <v>52852.27</v>
      </c>
    </row>
    <row r="1482" spans="2:3" x14ac:dyDescent="0.25">
      <c r="B1482" s="105">
        <v>44404</v>
      </c>
      <c r="C1482" s="106">
        <v>52578.76</v>
      </c>
    </row>
    <row r="1483" spans="2:3" x14ac:dyDescent="0.25">
      <c r="B1483" s="105">
        <v>44405</v>
      </c>
      <c r="C1483" s="106">
        <v>52443.71</v>
      </c>
    </row>
    <row r="1484" spans="2:3" x14ac:dyDescent="0.25">
      <c r="B1484" s="105">
        <v>44406</v>
      </c>
      <c r="C1484" s="106">
        <v>52653.07</v>
      </c>
    </row>
    <row r="1485" spans="2:3" x14ac:dyDescent="0.25">
      <c r="B1485" s="105">
        <v>44407</v>
      </c>
      <c r="C1485" s="106">
        <v>52586.84</v>
      </c>
    </row>
    <row r="1486" spans="2:3" x14ac:dyDescent="0.25">
      <c r="B1486" s="105">
        <v>44410</v>
      </c>
      <c r="C1486" s="106">
        <v>52950.63</v>
      </c>
    </row>
    <row r="1487" spans="2:3" x14ac:dyDescent="0.25">
      <c r="B1487" s="105">
        <v>44411</v>
      </c>
      <c r="C1487" s="106">
        <v>53823.360000000001</v>
      </c>
    </row>
    <row r="1488" spans="2:3" x14ac:dyDescent="0.25">
      <c r="B1488" s="105">
        <v>44412</v>
      </c>
      <c r="C1488" s="106">
        <v>54369.77</v>
      </c>
    </row>
    <row r="1489" spans="2:3" x14ac:dyDescent="0.25">
      <c r="B1489" s="105">
        <v>44413</v>
      </c>
      <c r="C1489" s="106">
        <v>54492.84</v>
      </c>
    </row>
    <row r="1490" spans="2:3" x14ac:dyDescent="0.25">
      <c r="B1490" s="105">
        <v>44414</v>
      </c>
      <c r="C1490" s="106">
        <v>54277.72</v>
      </c>
    </row>
    <row r="1491" spans="2:3" x14ac:dyDescent="0.25">
      <c r="B1491" s="105">
        <v>44417</v>
      </c>
      <c r="C1491" s="106">
        <v>54402.85</v>
      </c>
    </row>
    <row r="1492" spans="2:3" x14ac:dyDescent="0.25">
      <c r="B1492" s="105">
        <v>44418</v>
      </c>
      <c r="C1492" s="106">
        <v>54554.66</v>
      </c>
    </row>
    <row r="1493" spans="2:3" x14ac:dyDescent="0.25">
      <c r="B1493" s="105">
        <v>44419</v>
      </c>
      <c r="C1493" s="106">
        <v>54525.93</v>
      </c>
    </row>
    <row r="1494" spans="2:3" x14ac:dyDescent="0.25">
      <c r="B1494" s="105">
        <v>44420</v>
      </c>
      <c r="C1494" s="106">
        <v>54843.98</v>
      </c>
    </row>
    <row r="1495" spans="2:3" x14ac:dyDescent="0.25">
      <c r="B1495" s="105">
        <v>44421</v>
      </c>
      <c r="C1495" s="106">
        <v>55437.29</v>
      </c>
    </row>
    <row r="1496" spans="2:3" x14ac:dyDescent="0.25">
      <c r="B1496" s="105">
        <v>44424</v>
      </c>
      <c r="C1496" s="106">
        <v>55582.58</v>
      </c>
    </row>
    <row r="1497" spans="2:3" x14ac:dyDescent="0.25">
      <c r="B1497" s="105">
        <v>44425</v>
      </c>
      <c r="C1497" s="106">
        <v>55792.27</v>
      </c>
    </row>
    <row r="1498" spans="2:3" x14ac:dyDescent="0.25">
      <c r="B1498" s="105">
        <v>44426</v>
      </c>
      <c r="C1498" s="106">
        <v>55629.49</v>
      </c>
    </row>
    <row r="1499" spans="2:3" x14ac:dyDescent="0.25">
      <c r="B1499" s="105">
        <v>44428</v>
      </c>
      <c r="C1499" s="106">
        <v>55329.32</v>
      </c>
    </row>
    <row r="1500" spans="2:3" x14ac:dyDescent="0.25">
      <c r="B1500" s="105">
        <v>44431</v>
      </c>
      <c r="C1500" s="106">
        <v>55555.79</v>
      </c>
    </row>
    <row r="1501" spans="2:3" x14ac:dyDescent="0.25">
      <c r="B1501" s="105">
        <v>44432</v>
      </c>
      <c r="C1501" s="106">
        <v>55958.98</v>
      </c>
    </row>
    <row r="1502" spans="2:3" x14ac:dyDescent="0.25">
      <c r="B1502" s="105">
        <v>44433</v>
      </c>
      <c r="C1502" s="106">
        <v>55944.21</v>
      </c>
    </row>
    <row r="1503" spans="2:3" x14ac:dyDescent="0.25">
      <c r="B1503" s="105">
        <v>44434</v>
      </c>
      <c r="C1503" s="106">
        <v>55949.1</v>
      </c>
    </row>
    <row r="1504" spans="2:3" x14ac:dyDescent="0.25">
      <c r="B1504" s="105">
        <v>44435</v>
      </c>
      <c r="C1504" s="106">
        <v>56124.72</v>
      </c>
    </row>
    <row r="1505" spans="2:3" x14ac:dyDescent="0.25">
      <c r="B1505" s="105">
        <v>44438</v>
      </c>
      <c r="C1505" s="106">
        <v>56889.760000000002</v>
      </c>
    </row>
    <row r="1506" spans="2:3" x14ac:dyDescent="0.25">
      <c r="B1506" s="105">
        <v>44439</v>
      </c>
      <c r="C1506" s="106">
        <v>57552.39</v>
      </c>
    </row>
    <row r="1507" spans="2:3" x14ac:dyDescent="0.25">
      <c r="B1507" s="105">
        <v>44440</v>
      </c>
      <c r="C1507" s="106">
        <v>57338.21</v>
      </c>
    </row>
    <row r="1508" spans="2:3" x14ac:dyDescent="0.25">
      <c r="B1508" s="105">
        <v>44441</v>
      </c>
      <c r="C1508" s="106">
        <v>57852.54</v>
      </c>
    </row>
    <row r="1509" spans="2:3" x14ac:dyDescent="0.25">
      <c r="B1509" s="105">
        <v>44442</v>
      </c>
      <c r="C1509" s="106">
        <v>58129.95</v>
      </c>
    </row>
    <row r="1510" spans="2:3" x14ac:dyDescent="0.25">
      <c r="B1510" s="105">
        <v>44445</v>
      </c>
      <c r="C1510" s="106">
        <v>58296.91</v>
      </c>
    </row>
    <row r="1511" spans="2:3" x14ac:dyDescent="0.25">
      <c r="B1511" s="105">
        <v>44446</v>
      </c>
      <c r="C1511" s="106">
        <v>58279.48</v>
      </c>
    </row>
    <row r="1512" spans="2:3" x14ac:dyDescent="0.25">
      <c r="B1512" s="105">
        <v>44447</v>
      </c>
      <c r="C1512" s="106">
        <v>58250.26</v>
      </c>
    </row>
    <row r="1513" spans="2:3" x14ac:dyDescent="0.25">
      <c r="B1513" s="105">
        <v>44448</v>
      </c>
      <c r="C1513" s="106">
        <v>58305.07</v>
      </c>
    </row>
    <row r="1514" spans="2:3" x14ac:dyDescent="0.25">
      <c r="B1514" s="105">
        <v>44452</v>
      </c>
      <c r="C1514" s="106">
        <v>58177.760000000002</v>
      </c>
    </row>
    <row r="1515" spans="2:3" x14ac:dyDescent="0.25">
      <c r="B1515" s="105">
        <v>44453</v>
      </c>
      <c r="C1515" s="106">
        <v>58247.09</v>
      </c>
    </row>
    <row r="1516" spans="2:3" x14ac:dyDescent="0.25">
      <c r="B1516" s="105">
        <v>44454</v>
      </c>
      <c r="C1516" s="106">
        <v>58723.199999999997</v>
      </c>
    </row>
    <row r="1517" spans="2:3" x14ac:dyDescent="0.25">
      <c r="B1517" s="105">
        <v>44455</v>
      </c>
      <c r="C1517" s="106">
        <v>59141.16</v>
      </c>
    </row>
    <row r="1518" spans="2:3" x14ac:dyDescent="0.25">
      <c r="B1518" s="105">
        <v>44456</v>
      </c>
      <c r="C1518" s="106">
        <v>59015.89</v>
      </c>
    </row>
    <row r="1519" spans="2:3" x14ac:dyDescent="0.25">
      <c r="B1519" s="105">
        <v>44459</v>
      </c>
      <c r="C1519" s="106">
        <v>58490.93</v>
      </c>
    </row>
    <row r="1520" spans="2:3" x14ac:dyDescent="0.25">
      <c r="B1520" s="105">
        <v>44460</v>
      </c>
      <c r="C1520" s="106">
        <v>59005.27</v>
      </c>
    </row>
    <row r="1521" spans="2:3" x14ac:dyDescent="0.25">
      <c r="B1521" s="105">
        <v>44461</v>
      </c>
      <c r="C1521" s="106">
        <v>58927.33</v>
      </c>
    </row>
    <row r="1522" spans="2:3" x14ac:dyDescent="0.25">
      <c r="B1522" s="105">
        <v>44462</v>
      </c>
      <c r="C1522" s="106">
        <v>59885.36</v>
      </c>
    </row>
    <row r="1523" spans="2:3" x14ac:dyDescent="0.25">
      <c r="B1523" s="105">
        <v>44463</v>
      </c>
      <c r="C1523" s="106">
        <v>60048.47</v>
      </c>
    </row>
    <row r="1524" spans="2:3" x14ac:dyDescent="0.25">
      <c r="B1524" s="105">
        <v>44466</v>
      </c>
      <c r="C1524" s="106">
        <v>60077.88</v>
      </c>
    </row>
    <row r="1525" spans="2:3" x14ac:dyDescent="0.25">
      <c r="B1525" s="105">
        <v>44467</v>
      </c>
      <c r="C1525" s="106">
        <v>59667.6</v>
      </c>
    </row>
    <row r="1526" spans="2:3" x14ac:dyDescent="0.25">
      <c r="B1526" s="105">
        <v>44468</v>
      </c>
      <c r="C1526" s="106">
        <v>59413.27</v>
      </c>
    </row>
    <row r="1527" spans="2:3" x14ac:dyDescent="0.25">
      <c r="B1527" s="105">
        <v>44469</v>
      </c>
      <c r="C1527" s="106">
        <v>59126.36</v>
      </c>
    </row>
    <row r="1528" spans="2:3" x14ac:dyDescent="0.25">
      <c r="B1528" s="105">
        <v>44470</v>
      </c>
      <c r="C1528" s="106">
        <v>58765.58</v>
      </c>
    </row>
    <row r="1529" spans="2:3" x14ac:dyDescent="0.25">
      <c r="B1529" s="105">
        <v>44473</v>
      </c>
      <c r="C1529" s="106">
        <v>59299.32</v>
      </c>
    </row>
    <row r="1530" spans="2:3" x14ac:dyDescent="0.25">
      <c r="B1530" s="105">
        <v>44474</v>
      </c>
      <c r="C1530" s="106">
        <v>59744.88</v>
      </c>
    </row>
    <row r="1531" spans="2:3" x14ac:dyDescent="0.25">
      <c r="B1531" s="105">
        <v>44475</v>
      </c>
      <c r="C1531" s="106">
        <v>59189.73</v>
      </c>
    </row>
    <row r="1532" spans="2:3" x14ac:dyDescent="0.25">
      <c r="B1532" s="105">
        <v>44476</v>
      </c>
      <c r="C1532" s="106">
        <v>59677.83</v>
      </c>
    </row>
    <row r="1533" spans="2:3" x14ac:dyDescent="0.25">
      <c r="B1533" s="105">
        <v>44477</v>
      </c>
      <c r="C1533" s="106">
        <v>60059.06</v>
      </c>
    </row>
    <row r="1534" spans="2:3" x14ac:dyDescent="0.25">
      <c r="B1534" s="105">
        <v>44480</v>
      </c>
      <c r="C1534" s="106">
        <v>60135.78</v>
      </c>
    </row>
    <row r="1535" spans="2:3" x14ac:dyDescent="0.25">
      <c r="B1535" s="105">
        <v>44481</v>
      </c>
      <c r="C1535" s="106">
        <v>60284.31</v>
      </c>
    </row>
    <row r="1536" spans="2:3" x14ac:dyDescent="0.25">
      <c r="B1536" s="105">
        <v>44482</v>
      </c>
      <c r="C1536" s="106">
        <v>60737.05</v>
      </c>
    </row>
    <row r="1537" spans="2:3" x14ac:dyDescent="0.25">
      <c r="B1537" s="105">
        <v>44483</v>
      </c>
      <c r="C1537" s="106">
        <v>61305.95</v>
      </c>
    </row>
    <row r="1538" spans="2:3" x14ac:dyDescent="0.25">
      <c r="B1538" s="105">
        <v>44487</v>
      </c>
      <c r="C1538" s="106">
        <v>61765.59</v>
      </c>
    </row>
    <row r="1539" spans="2:3" x14ac:dyDescent="0.25">
      <c r="B1539" s="105">
        <v>44488</v>
      </c>
      <c r="C1539" s="106">
        <v>61716.05</v>
      </c>
    </row>
    <row r="1540" spans="2:3" x14ac:dyDescent="0.25">
      <c r="B1540" s="105">
        <v>44489</v>
      </c>
      <c r="C1540" s="106">
        <v>61259.96</v>
      </c>
    </row>
    <row r="1541" spans="2:3" x14ac:dyDescent="0.25">
      <c r="B1541" s="105">
        <v>44490</v>
      </c>
      <c r="C1541" s="106">
        <v>60923.5</v>
      </c>
    </row>
    <row r="1542" spans="2:3" x14ac:dyDescent="0.25">
      <c r="B1542" s="105">
        <v>44491</v>
      </c>
      <c r="C1542" s="106">
        <v>60821.62</v>
      </c>
    </row>
    <row r="1543" spans="2:3" x14ac:dyDescent="0.25">
      <c r="B1543" s="105">
        <v>44494</v>
      </c>
      <c r="C1543" s="106">
        <v>60967.05</v>
      </c>
    </row>
    <row r="1544" spans="2:3" x14ac:dyDescent="0.25">
      <c r="B1544" s="105">
        <v>44495</v>
      </c>
      <c r="C1544" s="106">
        <v>61350.26</v>
      </c>
    </row>
    <row r="1545" spans="2:3" x14ac:dyDescent="0.25">
      <c r="B1545" s="105">
        <v>44496</v>
      </c>
      <c r="C1545" s="106">
        <v>61143.33</v>
      </c>
    </row>
    <row r="1546" spans="2:3" x14ac:dyDescent="0.25">
      <c r="B1546" s="105">
        <v>44497</v>
      </c>
      <c r="C1546" s="106">
        <v>59984.7</v>
      </c>
    </row>
    <row r="1547" spans="2:3" x14ac:dyDescent="0.25">
      <c r="B1547" s="105">
        <v>44498</v>
      </c>
      <c r="C1547" s="106">
        <v>59306.93</v>
      </c>
    </row>
    <row r="1548" spans="2:3" x14ac:dyDescent="0.25">
      <c r="B1548" s="105">
        <v>44501</v>
      </c>
      <c r="C1548" s="106">
        <v>60138.46</v>
      </c>
    </row>
    <row r="1549" spans="2:3" x14ac:dyDescent="0.25">
      <c r="B1549" s="105">
        <v>44502</v>
      </c>
      <c r="C1549" s="106">
        <v>60029.06</v>
      </c>
    </row>
    <row r="1550" spans="2:3" x14ac:dyDescent="0.25">
      <c r="B1550" s="105">
        <v>44503</v>
      </c>
      <c r="C1550" s="106">
        <v>59771.92</v>
      </c>
    </row>
    <row r="1551" spans="2:3" x14ac:dyDescent="0.25">
      <c r="B1551" s="105">
        <v>44504</v>
      </c>
      <c r="C1551" s="106">
        <v>60067.62</v>
      </c>
    </row>
    <row r="1552" spans="2:3" x14ac:dyDescent="0.25">
      <c r="B1552" s="105">
        <v>44508</v>
      </c>
      <c r="C1552" s="106">
        <v>60545.61</v>
      </c>
    </row>
    <row r="1553" spans="2:3" x14ac:dyDescent="0.25">
      <c r="B1553" s="105">
        <v>44509</v>
      </c>
      <c r="C1553" s="106">
        <v>60433.45</v>
      </c>
    </row>
    <row r="1554" spans="2:3" x14ac:dyDescent="0.25">
      <c r="B1554" s="105">
        <v>44510</v>
      </c>
      <c r="C1554" s="106">
        <v>60352.82</v>
      </c>
    </row>
    <row r="1555" spans="2:3" x14ac:dyDescent="0.25">
      <c r="B1555" s="105">
        <v>44511</v>
      </c>
      <c r="C1555" s="106">
        <v>59919.69</v>
      </c>
    </row>
    <row r="1556" spans="2:3" x14ac:dyDescent="0.25">
      <c r="B1556" s="105">
        <v>44512</v>
      </c>
      <c r="C1556" s="106">
        <v>60686.69</v>
      </c>
    </row>
    <row r="1557" spans="2:3" x14ac:dyDescent="0.25">
      <c r="B1557" s="105">
        <v>44515</v>
      </c>
      <c r="C1557" s="106">
        <v>60718.71</v>
      </c>
    </row>
    <row r="1558" spans="2:3" x14ac:dyDescent="0.25">
      <c r="B1558" s="105">
        <v>44516</v>
      </c>
      <c r="C1558" s="106">
        <v>60322.37</v>
      </c>
    </row>
    <row r="1559" spans="2:3" x14ac:dyDescent="0.25">
      <c r="B1559" s="105">
        <v>44517</v>
      </c>
      <c r="C1559" s="106">
        <v>60008.33</v>
      </c>
    </row>
    <row r="1560" spans="2:3" x14ac:dyDescent="0.25">
      <c r="B1560" s="105">
        <v>44518</v>
      </c>
      <c r="C1560" s="106">
        <v>59636.01</v>
      </c>
    </row>
    <row r="1561" spans="2:3" x14ac:dyDescent="0.25">
      <c r="B1561" s="105">
        <v>44522</v>
      </c>
      <c r="C1561" s="106">
        <v>58465.89</v>
      </c>
    </row>
    <row r="1562" spans="2:3" x14ac:dyDescent="0.25">
      <c r="B1562" s="105">
        <v>44523</v>
      </c>
      <c r="C1562" s="106">
        <v>58664.33</v>
      </c>
    </row>
    <row r="1563" spans="2:3" x14ac:dyDescent="0.25">
      <c r="B1563" s="105">
        <v>44524</v>
      </c>
      <c r="C1563" s="106">
        <v>58340.99</v>
      </c>
    </row>
    <row r="1564" spans="2:3" x14ac:dyDescent="0.25">
      <c r="B1564" s="105">
        <v>44525</v>
      </c>
      <c r="C1564" s="106">
        <v>58795.09</v>
      </c>
    </row>
    <row r="1565" spans="2:3" x14ac:dyDescent="0.25">
      <c r="B1565" s="105">
        <v>44526</v>
      </c>
      <c r="C1565" s="106">
        <v>57107.15</v>
      </c>
    </row>
    <row r="1566" spans="2:3" x14ac:dyDescent="0.25">
      <c r="B1566" s="105">
        <v>44529</v>
      </c>
      <c r="C1566" s="106">
        <v>57260.58</v>
      </c>
    </row>
    <row r="1567" spans="2:3" x14ac:dyDescent="0.25">
      <c r="B1567" s="105">
        <v>44530</v>
      </c>
      <c r="C1567" s="106">
        <v>57064.87</v>
      </c>
    </row>
    <row r="1568" spans="2:3" x14ac:dyDescent="0.25">
      <c r="B1568" s="105">
        <v>44531</v>
      </c>
      <c r="C1568" s="106">
        <v>57684.79</v>
      </c>
    </row>
    <row r="1569" spans="2:3" x14ac:dyDescent="0.25">
      <c r="B1569" s="105">
        <v>44532</v>
      </c>
      <c r="C1569" s="106">
        <v>58461.29</v>
      </c>
    </row>
    <row r="1570" spans="2:3" x14ac:dyDescent="0.25">
      <c r="B1570" s="105">
        <v>44533</v>
      </c>
      <c r="C1570" s="106">
        <v>57696.46</v>
      </c>
    </row>
    <row r="1571" spans="2:3" x14ac:dyDescent="0.25">
      <c r="B1571" s="105">
        <v>44536</v>
      </c>
      <c r="C1571" s="106">
        <v>56747.14</v>
      </c>
    </row>
    <row r="1572" spans="2:3" x14ac:dyDescent="0.25">
      <c r="B1572" s="105">
        <v>44537</v>
      </c>
      <c r="C1572" s="106">
        <v>57633.65</v>
      </c>
    </row>
    <row r="1573" spans="2:3" x14ac:dyDescent="0.25">
      <c r="B1573" s="105">
        <v>44538</v>
      </c>
      <c r="C1573" s="106">
        <v>58649.68</v>
      </c>
    </row>
    <row r="1574" spans="2:3" x14ac:dyDescent="0.25">
      <c r="B1574" s="105">
        <v>44539</v>
      </c>
      <c r="C1574" s="106">
        <v>58807.13</v>
      </c>
    </row>
    <row r="1575" spans="2:3" x14ac:dyDescent="0.25">
      <c r="B1575" s="105">
        <v>44540</v>
      </c>
      <c r="C1575" s="106">
        <v>58786.67</v>
      </c>
    </row>
    <row r="1576" spans="2:3" x14ac:dyDescent="0.25">
      <c r="B1576" s="105">
        <v>44543</v>
      </c>
      <c r="C1576" s="106">
        <v>58283.42</v>
      </c>
    </row>
    <row r="1577" spans="2:3" x14ac:dyDescent="0.25">
      <c r="B1577" s="105">
        <v>44544</v>
      </c>
      <c r="C1577" s="106">
        <v>58117.09</v>
      </c>
    </row>
    <row r="1578" spans="2:3" x14ac:dyDescent="0.25">
      <c r="B1578" s="105">
        <v>44545</v>
      </c>
      <c r="C1578" s="106">
        <v>57788.03</v>
      </c>
    </row>
    <row r="1579" spans="2:3" x14ac:dyDescent="0.25">
      <c r="B1579" s="105">
        <v>44546</v>
      </c>
      <c r="C1579" s="106">
        <v>57901.14</v>
      </c>
    </row>
    <row r="1580" spans="2:3" x14ac:dyDescent="0.25">
      <c r="B1580" s="105">
        <v>44547</v>
      </c>
      <c r="C1580" s="106">
        <v>57011.74</v>
      </c>
    </row>
    <row r="1581" spans="2:3" x14ac:dyDescent="0.25">
      <c r="B1581" s="105">
        <v>44550</v>
      </c>
      <c r="C1581" s="106">
        <v>55822.01</v>
      </c>
    </row>
    <row r="1582" spans="2:3" x14ac:dyDescent="0.25">
      <c r="B1582" s="105">
        <v>44551</v>
      </c>
      <c r="C1582" s="106">
        <v>56319.01</v>
      </c>
    </row>
    <row r="1583" spans="2:3" x14ac:dyDescent="0.25">
      <c r="B1583" s="105">
        <v>44552</v>
      </c>
      <c r="C1583" s="106">
        <v>56930.559999999998</v>
      </c>
    </row>
    <row r="1584" spans="2:3" x14ac:dyDescent="0.25">
      <c r="B1584" s="105">
        <v>44553</v>
      </c>
      <c r="C1584" s="106">
        <v>57315.28</v>
      </c>
    </row>
    <row r="1585" spans="2:3" x14ac:dyDescent="0.25">
      <c r="B1585" s="105">
        <v>44554</v>
      </c>
      <c r="C1585" s="106">
        <v>57124.31</v>
      </c>
    </row>
    <row r="1586" spans="2:3" x14ac:dyDescent="0.25">
      <c r="B1586" s="105">
        <v>44557</v>
      </c>
      <c r="C1586" s="106">
        <v>57420.24</v>
      </c>
    </row>
    <row r="1587" spans="2:3" x14ac:dyDescent="0.25">
      <c r="B1587" s="105">
        <v>44558</v>
      </c>
      <c r="C1587" s="106">
        <v>57897.48</v>
      </c>
    </row>
    <row r="1588" spans="2:3" x14ac:dyDescent="0.25">
      <c r="B1588" s="105">
        <v>44559</v>
      </c>
      <c r="C1588" s="106">
        <v>57806.49</v>
      </c>
    </row>
    <row r="1589" spans="2:3" x14ac:dyDescent="0.25">
      <c r="B1589" s="105">
        <v>44560</v>
      </c>
      <c r="C1589" s="106">
        <v>57794.32</v>
      </c>
    </row>
    <row r="1590" spans="2:3" x14ac:dyDescent="0.25">
      <c r="B1590" s="105">
        <v>44561</v>
      </c>
      <c r="C1590" s="106">
        <v>58253.82</v>
      </c>
    </row>
    <row r="1591" spans="2:3" x14ac:dyDescent="0.25">
      <c r="B1591" s="105">
        <v>44564</v>
      </c>
      <c r="C1591" s="106">
        <v>59183.22</v>
      </c>
    </row>
    <row r="1592" spans="2:3" x14ac:dyDescent="0.25">
      <c r="B1592" s="105">
        <v>44565</v>
      </c>
      <c r="C1592" s="106">
        <v>59855.93</v>
      </c>
    </row>
    <row r="1593" spans="2:3" x14ac:dyDescent="0.25">
      <c r="B1593" s="105">
        <v>44566</v>
      </c>
      <c r="C1593" s="106">
        <v>60223.15</v>
      </c>
    </row>
    <row r="1594" spans="2:3" x14ac:dyDescent="0.25">
      <c r="B1594" s="105">
        <v>44567</v>
      </c>
      <c r="C1594" s="106">
        <v>59601.84</v>
      </c>
    </row>
    <row r="1595" spans="2:3" x14ac:dyDescent="0.25">
      <c r="B1595" s="105">
        <v>44568</v>
      </c>
      <c r="C1595" s="106">
        <v>59744.65</v>
      </c>
    </row>
    <row r="1596" spans="2:3" x14ac:dyDescent="0.25">
      <c r="B1596" s="105">
        <v>44571</v>
      </c>
      <c r="C1596" s="106">
        <v>60395.63</v>
      </c>
    </row>
    <row r="1597" spans="2:3" x14ac:dyDescent="0.25">
      <c r="B1597" s="105">
        <v>44572</v>
      </c>
      <c r="C1597" s="106">
        <v>60616.89</v>
      </c>
    </row>
    <row r="1598" spans="2:3" x14ac:dyDescent="0.25">
      <c r="B1598" s="105">
        <v>44573</v>
      </c>
      <c r="C1598" s="106">
        <v>61150.04</v>
      </c>
    </row>
    <row r="1599" spans="2:3" x14ac:dyDescent="0.25">
      <c r="B1599" s="105">
        <v>44574</v>
      </c>
      <c r="C1599" s="106">
        <v>61235.3</v>
      </c>
    </row>
    <row r="1600" spans="2:3" x14ac:dyDescent="0.25">
      <c r="B1600" s="105">
        <v>44575</v>
      </c>
      <c r="C1600" s="106">
        <v>61223.03</v>
      </c>
    </row>
    <row r="1601" spans="2:3" x14ac:dyDescent="0.25">
      <c r="B1601" s="105">
        <v>44578</v>
      </c>
      <c r="C1601" s="106">
        <v>61308.91</v>
      </c>
    </row>
    <row r="1602" spans="2:3" x14ac:dyDescent="0.25">
      <c r="B1602" s="105">
        <v>44579</v>
      </c>
      <c r="C1602" s="106">
        <v>60754.86</v>
      </c>
    </row>
    <row r="1603" spans="2:3" x14ac:dyDescent="0.25">
      <c r="B1603" s="105">
        <v>44580</v>
      </c>
      <c r="C1603" s="106">
        <v>60098.82</v>
      </c>
    </row>
    <row r="1604" spans="2:3" x14ac:dyDescent="0.25">
      <c r="B1604" s="105">
        <v>44581</v>
      </c>
      <c r="C1604" s="106">
        <v>59464.62</v>
      </c>
    </row>
    <row r="1605" spans="2:3" x14ac:dyDescent="0.25">
      <c r="B1605" s="105">
        <v>44582</v>
      </c>
      <c r="C1605" s="106">
        <v>59037.18</v>
      </c>
    </row>
    <row r="1606" spans="2:3" x14ac:dyDescent="0.25">
      <c r="B1606" s="105">
        <v>44585</v>
      </c>
      <c r="C1606" s="106">
        <v>57491.51</v>
      </c>
    </row>
    <row r="1607" spans="2:3" x14ac:dyDescent="0.25">
      <c r="B1607" s="105">
        <v>44586</v>
      </c>
      <c r="C1607" s="106">
        <v>57858.15</v>
      </c>
    </row>
    <row r="1608" spans="2:3" x14ac:dyDescent="0.25">
      <c r="B1608" s="105">
        <v>44588</v>
      </c>
      <c r="C1608" s="106">
        <v>57276.94</v>
      </c>
    </row>
    <row r="1609" spans="2:3" x14ac:dyDescent="0.25">
      <c r="B1609" s="105">
        <v>44589</v>
      </c>
      <c r="C1609" s="106">
        <v>57200.23</v>
      </c>
    </row>
    <row r="1610" spans="2:3" x14ac:dyDescent="0.25">
      <c r="B1610" s="105">
        <v>44592</v>
      </c>
      <c r="C1610" s="106">
        <v>58014.17</v>
      </c>
    </row>
    <row r="1611" spans="2:3" x14ac:dyDescent="0.25">
      <c r="B1611" s="105">
        <v>44593</v>
      </c>
      <c r="C1611" s="106">
        <v>58862.57</v>
      </c>
    </row>
    <row r="1612" spans="2:3" x14ac:dyDescent="0.25">
      <c r="B1612" s="105">
        <v>44594</v>
      </c>
      <c r="C1612" s="106">
        <v>59558.33</v>
      </c>
    </row>
    <row r="1613" spans="2:3" x14ac:dyDescent="0.25">
      <c r="B1613" s="105">
        <v>44595</v>
      </c>
      <c r="C1613" s="106">
        <v>58788.02</v>
      </c>
    </row>
    <row r="1614" spans="2:3" x14ac:dyDescent="0.25">
      <c r="B1614" s="105">
        <v>44596</v>
      </c>
      <c r="C1614" s="106">
        <v>58644.82</v>
      </c>
    </row>
    <row r="1615" spans="2:3" x14ac:dyDescent="0.25">
      <c r="B1615" s="105">
        <v>44599</v>
      </c>
      <c r="C1615" s="106">
        <v>57621.19</v>
      </c>
    </row>
    <row r="1616" spans="2:3" x14ac:dyDescent="0.25">
      <c r="B1616" s="105">
        <v>44600</v>
      </c>
      <c r="C1616" s="106">
        <v>57808.58</v>
      </c>
    </row>
    <row r="1617" spans="2:3" x14ac:dyDescent="0.25">
      <c r="B1617" s="105">
        <v>44601</v>
      </c>
      <c r="C1617" s="106">
        <v>58465.97</v>
      </c>
    </row>
    <row r="1618" spans="2:3" x14ac:dyDescent="0.25">
      <c r="B1618" s="105">
        <v>44602</v>
      </c>
      <c r="C1618" s="106">
        <v>58926.03</v>
      </c>
    </row>
    <row r="1619" spans="2:3" x14ac:dyDescent="0.25">
      <c r="B1619" s="105">
        <v>44603</v>
      </c>
      <c r="C1619" s="106">
        <v>58152.92</v>
      </c>
    </row>
    <row r="1620" spans="2:3" x14ac:dyDescent="0.25">
      <c r="B1620" s="105">
        <v>44606</v>
      </c>
      <c r="C1620" s="106">
        <v>56405.84</v>
      </c>
    </row>
    <row r="1621" spans="2:3" x14ac:dyDescent="0.25">
      <c r="B1621" s="105">
        <v>44607</v>
      </c>
      <c r="C1621" s="106">
        <v>58142.05</v>
      </c>
    </row>
    <row r="1622" spans="2:3" x14ac:dyDescent="0.25">
      <c r="B1622" s="105">
        <v>44608</v>
      </c>
      <c r="C1622" s="106">
        <v>57996.68</v>
      </c>
    </row>
    <row r="1623" spans="2:3" x14ac:dyDescent="0.25">
      <c r="B1623" s="105">
        <v>44609</v>
      </c>
      <c r="C1623" s="106">
        <v>57892.01</v>
      </c>
    </row>
    <row r="1624" spans="2:3" x14ac:dyDescent="0.25">
      <c r="B1624" s="105">
        <v>44610</v>
      </c>
      <c r="C1624" s="106">
        <v>57832.97</v>
      </c>
    </row>
    <row r="1625" spans="2:3" x14ac:dyDescent="0.25">
      <c r="B1625" s="105">
        <v>44613</v>
      </c>
      <c r="C1625" s="106">
        <v>57683.59</v>
      </c>
    </row>
    <row r="1626" spans="2:3" x14ac:dyDescent="0.25">
      <c r="B1626" s="105">
        <v>44614</v>
      </c>
      <c r="C1626" s="106">
        <v>57300.68</v>
      </c>
    </row>
    <row r="1627" spans="2:3" x14ac:dyDescent="0.25">
      <c r="B1627" s="105">
        <v>44615</v>
      </c>
      <c r="C1627" s="106">
        <v>57232.06</v>
      </c>
    </row>
    <row r="1628" spans="2:3" x14ac:dyDescent="0.25">
      <c r="B1628" s="105">
        <v>44616</v>
      </c>
      <c r="C1628" s="106">
        <v>54529.91</v>
      </c>
    </row>
    <row r="1629" spans="2:3" x14ac:dyDescent="0.25">
      <c r="B1629" s="105">
        <v>44617</v>
      </c>
      <c r="C1629" s="106">
        <v>55858.52</v>
      </c>
    </row>
    <row r="1630" spans="2:3" x14ac:dyDescent="0.25">
      <c r="B1630" s="105">
        <v>44620</v>
      </c>
      <c r="C1630" s="106">
        <v>56247.28</v>
      </c>
    </row>
    <row r="1631" spans="2:3" x14ac:dyDescent="0.25">
      <c r="B1631" s="105">
        <v>44622</v>
      </c>
      <c r="C1631" s="106">
        <v>55468.9</v>
      </c>
    </row>
    <row r="1632" spans="2:3" x14ac:dyDescent="0.25">
      <c r="B1632" s="105">
        <v>44623</v>
      </c>
      <c r="C1632" s="106">
        <v>55102.68</v>
      </c>
    </row>
    <row r="1633" spans="2:3" x14ac:dyDescent="0.25">
      <c r="B1633" s="105">
        <v>44624</v>
      </c>
      <c r="C1633" s="106">
        <v>54333.81</v>
      </c>
    </row>
    <row r="1634" spans="2:3" x14ac:dyDescent="0.25">
      <c r="B1634" s="105">
        <v>44627</v>
      </c>
      <c r="C1634" s="106">
        <v>52842.75</v>
      </c>
    </row>
    <row r="1635" spans="2:3" x14ac:dyDescent="0.25">
      <c r="B1635" s="105">
        <v>44628</v>
      </c>
      <c r="C1635" s="106">
        <v>53424.09</v>
      </c>
    </row>
    <row r="1636" spans="2:3" x14ac:dyDescent="0.25">
      <c r="B1636" s="105">
        <v>44629</v>
      </c>
      <c r="C1636" s="106">
        <v>54647.33</v>
      </c>
    </row>
    <row r="1637" spans="2:3" x14ac:dyDescent="0.25">
      <c r="B1637" s="105">
        <v>44630</v>
      </c>
      <c r="C1637" s="106">
        <v>55464.39</v>
      </c>
    </row>
    <row r="1638" spans="2:3" x14ac:dyDescent="0.25">
      <c r="B1638" s="105">
        <v>44631</v>
      </c>
      <c r="C1638" s="106">
        <v>55550.3</v>
      </c>
    </row>
    <row r="1639" spans="2:3" x14ac:dyDescent="0.25">
      <c r="B1639" s="105">
        <v>44634</v>
      </c>
      <c r="C1639" s="106">
        <v>56486.02</v>
      </c>
    </row>
    <row r="1640" spans="2:3" x14ac:dyDescent="0.25">
      <c r="B1640" s="105">
        <v>44635</v>
      </c>
      <c r="C1640" s="106">
        <v>55776.85</v>
      </c>
    </row>
    <row r="1641" spans="2:3" x14ac:dyDescent="0.25">
      <c r="B1641" s="105">
        <v>44636</v>
      </c>
      <c r="C1641" s="106">
        <v>56816.65</v>
      </c>
    </row>
    <row r="1642" spans="2:3" x14ac:dyDescent="0.25">
      <c r="B1642" s="105">
        <v>44637</v>
      </c>
      <c r="C1642" s="106">
        <v>57863.93</v>
      </c>
    </row>
    <row r="1643" spans="2:3" x14ac:dyDescent="0.25">
      <c r="B1643" s="105">
        <v>44641</v>
      </c>
      <c r="C1643" s="106">
        <v>57292.49</v>
      </c>
    </row>
    <row r="1644" spans="2:3" x14ac:dyDescent="0.25">
      <c r="B1644" s="105">
        <v>44642</v>
      </c>
      <c r="C1644" s="106">
        <v>57989.3</v>
      </c>
    </row>
    <row r="1645" spans="2:3" x14ac:dyDescent="0.25">
      <c r="B1645" s="105">
        <v>44643</v>
      </c>
      <c r="C1645" s="106">
        <v>57684.82</v>
      </c>
    </row>
    <row r="1646" spans="2:3" x14ac:dyDescent="0.25">
      <c r="B1646" s="105">
        <v>44644</v>
      </c>
      <c r="C1646" s="106">
        <v>57595.68</v>
      </c>
    </row>
    <row r="1647" spans="2:3" x14ac:dyDescent="0.25">
      <c r="B1647" s="105">
        <v>44645</v>
      </c>
      <c r="C1647" s="106">
        <v>57362.2</v>
      </c>
    </row>
    <row r="1648" spans="2:3" x14ac:dyDescent="0.25">
      <c r="B1648" s="105">
        <v>44648</v>
      </c>
      <c r="C1648" s="106">
        <v>57593.49</v>
      </c>
    </row>
    <row r="1649" spans="2:3" x14ac:dyDescent="0.25">
      <c r="B1649" s="105">
        <v>44649</v>
      </c>
      <c r="C1649" s="106">
        <v>57943.65</v>
      </c>
    </row>
    <row r="1650" spans="2:3" x14ac:dyDescent="0.25">
      <c r="B1650" s="105">
        <v>44650</v>
      </c>
      <c r="C1650" s="106">
        <v>58683.99</v>
      </c>
    </row>
    <row r="1651" spans="2:3" x14ac:dyDescent="0.25">
      <c r="B1651" s="105">
        <v>44651</v>
      </c>
      <c r="C1651" s="106">
        <v>58568.51</v>
      </c>
    </row>
    <row r="1652" spans="2:3" x14ac:dyDescent="0.25">
      <c r="B1652" s="105">
        <v>44652</v>
      </c>
      <c r="C1652" s="106">
        <v>59276.69</v>
      </c>
    </row>
    <row r="1653" spans="2:3" x14ac:dyDescent="0.25">
      <c r="B1653" s="105">
        <v>44655</v>
      </c>
      <c r="C1653" s="106">
        <v>60611.74</v>
      </c>
    </row>
    <row r="1654" spans="2:3" x14ac:dyDescent="0.25">
      <c r="B1654" s="105">
        <v>44656</v>
      </c>
      <c r="C1654" s="106">
        <v>60176.5</v>
      </c>
    </row>
    <row r="1655" spans="2:3" x14ac:dyDescent="0.25">
      <c r="B1655" s="105">
        <v>44657</v>
      </c>
      <c r="C1655" s="106">
        <v>59610.41</v>
      </c>
    </row>
    <row r="1656" spans="2:3" x14ac:dyDescent="0.25">
      <c r="B1656" s="105">
        <v>44658</v>
      </c>
      <c r="C1656" s="106">
        <v>59034.95</v>
      </c>
    </row>
    <row r="1657" spans="2:3" x14ac:dyDescent="0.25">
      <c r="B1657" s="105">
        <v>44659</v>
      </c>
      <c r="C1657" s="106">
        <v>59447.18</v>
      </c>
    </row>
    <row r="1658" spans="2:3" x14ac:dyDescent="0.25">
      <c r="B1658" s="105">
        <v>44662</v>
      </c>
      <c r="C1658" s="106">
        <v>58964.57</v>
      </c>
    </row>
    <row r="1659" spans="2:3" x14ac:dyDescent="0.25">
      <c r="B1659" s="105">
        <v>44663</v>
      </c>
      <c r="C1659" s="106">
        <v>58576.37</v>
      </c>
    </row>
    <row r="1660" spans="2:3" x14ac:dyDescent="0.25">
      <c r="B1660" s="105">
        <v>44664</v>
      </c>
      <c r="C1660" s="106">
        <v>58338.93</v>
      </c>
    </row>
    <row r="1661" spans="2:3" x14ac:dyDescent="0.25">
      <c r="B1661" s="105">
        <v>44669</v>
      </c>
      <c r="C1661" s="106">
        <v>57166.74</v>
      </c>
    </row>
    <row r="1662" spans="2:3" x14ac:dyDescent="0.25">
      <c r="B1662" s="105">
        <v>44670</v>
      </c>
      <c r="C1662" s="106">
        <v>56463.15</v>
      </c>
    </row>
    <row r="1663" spans="2:3" x14ac:dyDescent="0.25">
      <c r="B1663" s="105">
        <v>44671</v>
      </c>
      <c r="C1663" s="106">
        <v>57037.5</v>
      </c>
    </row>
    <row r="1664" spans="2:3" x14ac:dyDescent="0.25">
      <c r="B1664" s="105">
        <v>44672</v>
      </c>
      <c r="C1664" s="106">
        <v>57911.68</v>
      </c>
    </row>
    <row r="1665" spans="2:3" x14ac:dyDescent="0.25">
      <c r="B1665" s="105">
        <v>44673</v>
      </c>
      <c r="C1665" s="106">
        <v>57197.15</v>
      </c>
    </row>
    <row r="1666" spans="2:3" x14ac:dyDescent="0.25">
      <c r="B1666" s="105">
        <v>44676</v>
      </c>
      <c r="C1666" s="106">
        <v>56579.89</v>
      </c>
    </row>
    <row r="1667" spans="2:3" x14ac:dyDescent="0.25">
      <c r="B1667" s="105">
        <v>44677</v>
      </c>
      <c r="C1667" s="106">
        <v>57356.61</v>
      </c>
    </row>
    <row r="1668" spans="2:3" x14ac:dyDescent="0.25">
      <c r="B1668" s="105">
        <v>44678</v>
      </c>
      <c r="C1668" s="106">
        <v>56819.39</v>
      </c>
    </row>
    <row r="1669" spans="2:3" x14ac:dyDescent="0.25">
      <c r="B1669" s="105">
        <v>44679</v>
      </c>
      <c r="C1669" s="106">
        <v>57521.06</v>
      </c>
    </row>
    <row r="1670" spans="2:3" x14ac:dyDescent="0.25">
      <c r="B1670" s="105">
        <v>44680</v>
      </c>
      <c r="C1670" s="106">
        <v>57060.87</v>
      </c>
    </row>
    <row r="1671" spans="2:3" x14ac:dyDescent="0.25">
      <c r="B1671" s="105">
        <v>44683</v>
      </c>
      <c r="C1671" s="106">
        <v>56975.99</v>
      </c>
    </row>
    <row r="1672" spans="2:3" x14ac:dyDescent="0.25">
      <c r="B1672" s="105">
        <v>44685</v>
      </c>
      <c r="C1672" s="106">
        <v>55669.03</v>
      </c>
    </row>
    <row r="1673" spans="2:3" x14ac:dyDescent="0.25">
      <c r="B1673" s="105">
        <v>44686</v>
      </c>
      <c r="C1673" s="106">
        <v>55702.23</v>
      </c>
    </row>
    <row r="1674" spans="2:3" x14ac:dyDescent="0.25">
      <c r="B1674" s="105">
        <v>44687</v>
      </c>
      <c r="C1674" s="106">
        <v>54835.58</v>
      </c>
    </row>
    <row r="1675" spans="2:3" x14ac:dyDescent="0.25">
      <c r="B1675" s="105">
        <v>44690</v>
      </c>
      <c r="C1675" s="106">
        <v>54470.67</v>
      </c>
    </row>
    <row r="1676" spans="2:3" x14ac:dyDescent="0.25">
      <c r="B1676" s="105">
        <v>44691</v>
      </c>
      <c r="C1676" s="106">
        <v>54364.85</v>
      </c>
    </row>
    <row r="1677" spans="2:3" x14ac:dyDescent="0.25">
      <c r="B1677" s="105">
        <v>44692</v>
      </c>
      <c r="C1677" s="106">
        <v>54088.39</v>
      </c>
    </row>
    <row r="1678" spans="2:3" x14ac:dyDescent="0.25">
      <c r="B1678" s="105">
        <v>44693</v>
      </c>
      <c r="C1678" s="106">
        <v>52930.31</v>
      </c>
    </row>
    <row r="1679" spans="2:3" x14ac:dyDescent="0.25">
      <c r="B1679" s="105">
        <v>44694</v>
      </c>
      <c r="C1679" s="106">
        <v>52793.62</v>
      </c>
    </row>
    <row r="1680" spans="2:3" x14ac:dyDescent="0.25">
      <c r="B1680" s="105">
        <v>44697</v>
      </c>
      <c r="C1680" s="106">
        <v>52973.84</v>
      </c>
    </row>
    <row r="1681" spans="2:3" x14ac:dyDescent="0.25">
      <c r="B1681" s="105">
        <v>44698</v>
      </c>
      <c r="C1681" s="106">
        <v>54318.47</v>
      </c>
    </row>
    <row r="1682" spans="2:3" x14ac:dyDescent="0.25">
      <c r="B1682" s="105">
        <v>44699</v>
      </c>
      <c r="C1682" s="106">
        <v>54208.53</v>
      </c>
    </row>
    <row r="1683" spans="2:3" x14ac:dyDescent="0.25">
      <c r="B1683" s="105">
        <v>44700</v>
      </c>
      <c r="C1683" s="106">
        <v>52792.23</v>
      </c>
    </row>
    <row r="1684" spans="2:3" x14ac:dyDescent="0.25">
      <c r="B1684" s="105">
        <v>44701</v>
      </c>
      <c r="C1684" s="106">
        <v>54326.39</v>
      </c>
    </row>
    <row r="1685" spans="2:3" x14ac:dyDescent="0.25">
      <c r="B1685" s="105">
        <v>44704</v>
      </c>
      <c r="C1685" s="106">
        <v>54288.61</v>
      </c>
    </row>
    <row r="1686" spans="2:3" x14ac:dyDescent="0.25">
      <c r="B1686" s="105">
        <v>44705</v>
      </c>
      <c r="C1686" s="106">
        <v>54052.61</v>
      </c>
    </row>
    <row r="1687" spans="2:3" x14ac:dyDescent="0.25">
      <c r="B1687" s="105">
        <v>44706</v>
      </c>
      <c r="C1687" s="106">
        <v>53749.26</v>
      </c>
    </row>
    <row r="1688" spans="2:3" x14ac:dyDescent="0.25">
      <c r="B1688" s="105">
        <v>44707</v>
      </c>
      <c r="C1688" s="106">
        <v>54252.53</v>
      </c>
    </row>
    <row r="1689" spans="2:3" x14ac:dyDescent="0.25">
      <c r="B1689" s="105">
        <v>44708</v>
      </c>
      <c r="C1689" s="106">
        <v>54884.66</v>
      </c>
    </row>
    <row r="1690" spans="2:3" x14ac:dyDescent="0.25">
      <c r="B1690" s="105">
        <v>44711</v>
      </c>
      <c r="C1690" s="106">
        <v>55925.74</v>
      </c>
    </row>
    <row r="1691" spans="2:3" x14ac:dyDescent="0.25">
      <c r="B1691" s="105">
        <v>44712</v>
      </c>
      <c r="C1691" s="106">
        <v>55566.41</v>
      </c>
    </row>
    <row r="1692" spans="2:3" x14ac:dyDescent="0.25">
      <c r="B1692" s="105">
        <v>44713</v>
      </c>
      <c r="C1692" s="106">
        <v>55381.17</v>
      </c>
    </row>
    <row r="1693" spans="2:3" x14ac:dyDescent="0.25">
      <c r="B1693" s="105">
        <v>44714</v>
      </c>
      <c r="C1693" s="106">
        <v>55818.11</v>
      </c>
    </row>
    <row r="1694" spans="2:3" x14ac:dyDescent="0.25">
      <c r="B1694" s="105">
        <v>44715</v>
      </c>
      <c r="C1694" s="106">
        <v>55769.23</v>
      </c>
    </row>
    <row r="1695" spans="2:3" x14ac:dyDescent="0.25">
      <c r="B1695" s="105">
        <v>44718</v>
      </c>
      <c r="C1695" s="106">
        <v>55675.32</v>
      </c>
    </row>
    <row r="1696" spans="2:3" x14ac:dyDescent="0.25">
      <c r="B1696" s="105">
        <v>44719</v>
      </c>
      <c r="C1696" s="106">
        <v>55107.34</v>
      </c>
    </row>
    <row r="1697" spans="2:3" x14ac:dyDescent="0.25">
      <c r="B1697" s="105">
        <v>44720</v>
      </c>
      <c r="C1697" s="106">
        <v>54892.49</v>
      </c>
    </row>
    <row r="1698" spans="2:3" x14ac:dyDescent="0.25">
      <c r="B1698" s="105">
        <v>44721</v>
      </c>
      <c r="C1698" s="106">
        <v>55320.28</v>
      </c>
    </row>
    <row r="1699" spans="2:3" x14ac:dyDescent="0.25">
      <c r="B1699" s="105">
        <v>44722</v>
      </c>
      <c r="C1699" s="106">
        <v>54303.44</v>
      </c>
    </row>
    <row r="1700" spans="2:3" x14ac:dyDescent="0.25">
      <c r="B1700" s="105">
        <v>44725</v>
      </c>
      <c r="C1700" s="106">
        <v>52846.7</v>
      </c>
    </row>
    <row r="1701" spans="2:3" x14ac:dyDescent="0.25">
      <c r="B1701" s="105">
        <v>44726</v>
      </c>
      <c r="C1701" s="106">
        <v>52693.57</v>
      </c>
    </row>
    <row r="1702" spans="2:3" x14ac:dyDescent="0.25">
      <c r="B1702" s="105">
        <v>44727</v>
      </c>
      <c r="C1702" s="106">
        <v>52541.39</v>
      </c>
    </row>
    <row r="1703" spans="2:3" x14ac:dyDescent="0.25">
      <c r="B1703" s="105">
        <v>44728</v>
      </c>
      <c r="C1703" s="106">
        <v>51495.79</v>
      </c>
    </row>
    <row r="1704" spans="2:3" x14ac:dyDescent="0.25">
      <c r="B1704" s="105">
        <v>44729</v>
      </c>
      <c r="C1704" s="106">
        <v>51360.42</v>
      </c>
    </row>
    <row r="1705" spans="2:3" x14ac:dyDescent="0.25">
      <c r="B1705" s="105">
        <v>44732</v>
      </c>
      <c r="C1705" s="106">
        <v>51597.84</v>
      </c>
    </row>
    <row r="1706" spans="2:3" x14ac:dyDescent="0.25">
      <c r="B1706" s="105">
        <v>44733</v>
      </c>
      <c r="C1706" s="106">
        <v>52532.07</v>
      </c>
    </row>
    <row r="1707" spans="2:3" x14ac:dyDescent="0.25">
      <c r="B1707" s="105">
        <v>44734</v>
      </c>
      <c r="C1707" s="106">
        <v>51822.53</v>
      </c>
    </row>
    <row r="1708" spans="2:3" x14ac:dyDescent="0.25">
      <c r="B1708" s="105">
        <v>44735</v>
      </c>
      <c r="C1708" s="106">
        <v>52265.72</v>
      </c>
    </row>
    <row r="1709" spans="2:3" x14ac:dyDescent="0.25">
      <c r="B1709" s="105">
        <v>44736</v>
      </c>
      <c r="C1709" s="106">
        <v>52727.98</v>
      </c>
    </row>
    <row r="1710" spans="2:3" x14ac:dyDescent="0.25">
      <c r="B1710" s="105">
        <v>44739</v>
      </c>
      <c r="C1710" s="106">
        <v>53161.279999999999</v>
      </c>
    </row>
    <row r="1711" spans="2:3" x14ac:dyDescent="0.25">
      <c r="B1711" s="105">
        <v>44740</v>
      </c>
      <c r="C1711" s="106">
        <v>53177.45</v>
      </c>
    </row>
    <row r="1712" spans="2:3" x14ac:dyDescent="0.25">
      <c r="B1712" s="105">
        <v>44741</v>
      </c>
      <c r="C1712" s="106">
        <v>53026.97</v>
      </c>
    </row>
    <row r="1713" spans="2:3" x14ac:dyDescent="0.25">
      <c r="B1713" s="105">
        <v>44742</v>
      </c>
      <c r="C1713" s="106">
        <v>53018.94</v>
      </c>
    </row>
    <row r="1714" spans="2:3" x14ac:dyDescent="0.25">
      <c r="B1714" s="105">
        <v>44743</v>
      </c>
      <c r="C1714" s="106">
        <v>52907.93</v>
      </c>
    </row>
    <row r="1715" spans="2:3" x14ac:dyDescent="0.25">
      <c r="B1715" s="105">
        <v>44746</v>
      </c>
      <c r="C1715" s="106">
        <v>53234.77</v>
      </c>
    </row>
    <row r="1716" spans="2:3" x14ac:dyDescent="0.25">
      <c r="B1716" s="105">
        <v>44747</v>
      </c>
      <c r="C1716" s="106">
        <v>53134.35</v>
      </c>
    </row>
    <row r="1717" spans="2:3" x14ac:dyDescent="0.25">
      <c r="B1717" s="105">
        <v>44748</v>
      </c>
      <c r="C1717" s="106">
        <v>53750.97</v>
      </c>
    </row>
    <row r="1718" spans="2:3" x14ac:dyDescent="0.25">
      <c r="B1718" s="105">
        <v>44749</v>
      </c>
      <c r="C1718" s="106">
        <v>54178.46</v>
      </c>
    </row>
    <row r="1719" spans="2:3" x14ac:dyDescent="0.25">
      <c r="B1719" s="105">
        <v>44750</v>
      </c>
      <c r="C1719" s="106">
        <v>54481.84</v>
      </c>
    </row>
    <row r="1720" spans="2:3" x14ac:dyDescent="0.25">
      <c r="B1720" s="105">
        <v>44753</v>
      </c>
      <c r="C1720" s="106">
        <v>54395.23</v>
      </c>
    </row>
    <row r="1721" spans="2:3" x14ac:dyDescent="0.25">
      <c r="B1721" s="105">
        <v>44754</v>
      </c>
      <c r="C1721" s="106">
        <v>53886.61</v>
      </c>
    </row>
    <row r="1722" spans="2:3" x14ac:dyDescent="0.25">
      <c r="B1722" s="105">
        <v>44755</v>
      </c>
      <c r="C1722" s="106">
        <v>53514.15</v>
      </c>
    </row>
    <row r="1723" spans="2:3" x14ac:dyDescent="0.25">
      <c r="B1723" s="105">
        <v>44756</v>
      </c>
      <c r="C1723" s="106">
        <v>53416.15</v>
      </c>
    </row>
    <row r="1724" spans="2:3" x14ac:dyDescent="0.25">
      <c r="B1724" s="105">
        <v>44757</v>
      </c>
      <c r="C1724" s="106">
        <v>53760.78</v>
      </c>
    </row>
    <row r="1725" spans="2:3" x14ac:dyDescent="0.25">
      <c r="B1725" s="105">
        <v>44760</v>
      </c>
      <c r="C1725" s="106">
        <v>54521.15</v>
      </c>
    </row>
    <row r="1726" spans="2:3" x14ac:dyDescent="0.25">
      <c r="B1726" s="105">
        <v>44761</v>
      </c>
      <c r="C1726" s="106">
        <v>54767.62</v>
      </c>
    </row>
    <row r="1727" spans="2:3" x14ac:dyDescent="0.25">
      <c r="B1727" s="105">
        <v>44762</v>
      </c>
      <c r="C1727" s="106">
        <v>55397.53</v>
      </c>
    </row>
    <row r="1728" spans="2:3" x14ac:dyDescent="0.25">
      <c r="B1728" s="105">
        <v>44763</v>
      </c>
      <c r="C1728" s="106">
        <v>55681.95</v>
      </c>
    </row>
    <row r="1729" spans="2:3" x14ac:dyDescent="0.25">
      <c r="B1729" s="105">
        <v>44764</v>
      </c>
      <c r="C1729" s="106">
        <v>56072.23</v>
      </c>
    </row>
    <row r="1730" spans="2:3" x14ac:dyDescent="0.25">
      <c r="B1730" s="105">
        <v>44767</v>
      </c>
      <c r="C1730" s="106">
        <v>55766.22</v>
      </c>
    </row>
    <row r="1731" spans="2:3" x14ac:dyDescent="0.25">
      <c r="B1731" s="105">
        <v>44768</v>
      </c>
      <c r="C1731" s="106">
        <v>55268.49</v>
      </c>
    </row>
    <row r="1732" spans="2:3" x14ac:dyDescent="0.25">
      <c r="B1732" s="105">
        <v>44769</v>
      </c>
      <c r="C1732" s="106">
        <v>55816.32</v>
      </c>
    </row>
    <row r="1733" spans="2:3" x14ac:dyDescent="0.25">
      <c r="B1733" s="105">
        <v>44770</v>
      </c>
      <c r="C1733" s="106">
        <v>56857.79</v>
      </c>
    </row>
    <row r="1734" spans="2:3" x14ac:dyDescent="0.25">
      <c r="B1734" s="105">
        <v>44771</v>
      </c>
      <c r="C1734" s="106">
        <v>57570.25</v>
      </c>
    </row>
    <row r="1735" spans="2:3" x14ac:dyDescent="0.25">
      <c r="B1735" s="105">
        <v>44774</v>
      </c>
      <c r="C1735" s="106">
        <v>58115.5</v>
      </c>
    </row>
    <row r="1736" spans="2:3" x14ac:dyDescent="0.25">
      <c r="B1736" s="105">
        <v>44775</v>
      </c>
      <c r="C1736" s="106">
        <v>58136.36</v>
      </c>
    </row>
    <row r="1737" spans="2:3" x14ac:dyDescent="0.25">
      <c r="B1737" s="105">
        <v>44776</v>
      </c>
      <c r="C1737" s="106">
        <v>58350.53</v>
      </c>
    </row>
    <row r="1738" spans="2:3" x14ac:dyDescent="0.25">
      <c r="B1738" s="105">
        <v>44777</v>
      </c>
      <c r="C1738" s="106">
        <v>58298.8</v>
      </c>
    </row>
    <row r="1739" spans="2:3" x14ac:dyDescent="0.25">
      <c r="B1739" s="105">
        <v>44778</v>
      </c>
      <c r="C1739" s="106">
        <v>58387.93</v>
      </c>
    </row>
    <row r="1740" spans="2:3" x14ac:dyDescent="0.25">
      <c r="B1740" s="105">
        <v>44781</v>
      </c>
      <c r="C1740" s="106">
        <v>58853.07</v>
      </c>
    </row>
    <row r="1741" spans="2:3" x14ac:dyDescent="0.25">
      <c r="B1741" s="105">
        <v>44783</v>
      </c>
      <c r="C1741" s="106">
        <v>58817.29</v>
      </c>
    </row>
    <row r="1742" spans="2:3" x14ac:dyDescent="0.25">
      <c r="B1742" s="105">
        <v>44784</v>
      </c>
      <c r="C1742" s="106">
        <v>59332.6</v>
      </c>
    </row>
    <row r="1743" spans="2:3" x14ac:dyDescent="0.25">
      <c r="B1743" s="105">
        <v>44785</v>
      </c>
      <c r="C1743" s="106">
        <v>59462.78</v>
      </c>
    </row>
    <row r="1744" spans="2:3" x14ac:dyDescent="0.25">
      <c r="B1744" s="105">
        <v>44789</v>
      </c>
      <c r="C1744" s="106">
        <v>59842.21</v>
      </c>
    </row>
    <row r="1745" spans="2:3" x14ac:dyDescent="0.25">
      <c r="B1745" s="105">
        <v>44790</v>
      </c>
      <c r="C1745" s="106">
        <v>60260.13</v>
      </c>
    </row>
    <row r="1746" spans="2:3" x14ac:dyDescent="0.25">
      <c r="B1746" s="105">
        <v>44791</v>
      </c>
      <c r="C1746" s="106">
        <v>60298</v>
      </c>
    </row>
    <row r="1747" spans="2:3" x14ac:dyDescent="0.25">
      <c r="B1747" s="105">
        <v>44792</v>
      </c>
      <c r="C1747" s="106">
        <v>59646.15</v>
      </c>
    </row>
    <row r="1748" spans="2:3" x14ac:dyDescent="0.25">
      <c r="B1748" s="105">
        <v>44795</v>
      </c>
      <c r="C1748" s="106">
        <v>58773.87</v>
      </c>
    </row>
    <row r="1749" spans="2:3" x14ac:dyDescent="0.25">
      <c r="B1749" s="105">
        <v>44796</v>
      </c>
      <c r="C1749" s="106">
        <v>59031.3</v>
      </c>
    </row>
    <row r="1750" spans="2:3" x14ac:dyDescent="0.25">
      <c r="B1750" s="105">
        <v>44797</v>
      </c>
      <c r="C1750" s="106">
        <v>59085.43</v>
      </c>
    </row>
    <row r="1751" spans="2:3" x14ac:dyDescent="0.25">
      <c r="B1751" s="105">
        <v>44798</v>
      </c>
      <c r="C1751" s="106">
        <v>58774.720000000001</v>
      </c>
    </row>
    <row r="1752" spans="2:3" x14ac:dyDescent="0.25">
      <c r="B1752" s="105">
        <v>44799</v>
      </c>
      <c r="C1752" s="106">
        <v>58833.87</v>
      </c>
    </row>
    <row r="1753" spans="2:3" x14ac:dyDescent="0.25">
      <c r="B1753" s="105">
        <v>44802</v>
      </c>
      <c r="C1753" s="106">
        <v>57972.62</v>
      </c>
    </row>
    <row r="1754" spans="2:3" x14ac:dyDescent="0.25">
      <c r="B1754" s="105">
        <v>44803</v>
      </c>
      <c r="C1754" s="106">
        <v>59537.07</v>
      </c>
    </row>
    <row r="1755" spans="2:3" x14ac:dyDescent="0.25">
      <c r="B1755" s="105">
        <v>44805</v>
      </c>
      <c r="C1755" s="106">
        <v>58766.59</v>
      </c>
    </row>
    <row r="1756" spans="2:3" x14ac:dyDescent="0.25">
      <c r="B1756" s="105">
        <v>44806</v>
      </c>
      <c r="C1756" s="106">
        <v>58803.33</v>
      </c>
    </row>
    <row r="1757" spans="2:3" x14ac:dyDescent="0.25">
      <c r="B1757" s="105">
        <v>44809</v>
      </c>
      <c r="C1757" s="106">
        <v>59245.98</v>
      </c>
    </row>
    <row r="1758" spans="2:3" x14ac:dyDescent="0.25">
      <c r="B1758" s="105">
        <v>44810</v>
      </c>
      <c r="C1758" s="106">
        <v>59196.99</v>
      </c>
    </row>
    <row r="1759" spans="2:3" x14ac:dyDescent="0.25">
      <c r="B1759" s="105">
        <v>44811</v>
      </c>
      <c r="C1759" s="106">
        <v>59028.91</v>
      </c>
    </row>
    <row r="1760" spans="2:3" x14ac:dyDescent="0.25">
      <c r="B1760" s="105">
        <v>44812</v>
      </c>
      <c r="C1760" s="106">
        <v>59688.22</v>
      </c>
    </row>
    <row r="1761" spans="2:3" x14ac:dyDescent="0.25">
      <c r="B1761" s="105">
        <v>44813</v>
      </c>
      <c r="C1761" s="106">
        <v>59793.14</v>
      </c>
    </row>
    <row r="1762" spans="2:3" x14ac:dyDescent="0.25">
      <c r="B1762" s="105">
        <v>44816</v>
      </c>
      <c r="C1762" s="106">
        <v>60115.13</v>
      </c>
    </row>
    <row r="1763" spans="2:3" x14ac:dyDescent="0.25">
      <c r="B1763" s="105">
        <v>44817</v>
      </c>
      <c r="C1763" s="106">
        <v>60571.08</v>
      </c>
    </row>
    <row r="1764" spans="2:3" x14ac:dyDescent="0.25">
      <c r="B1764" s="105">
        <v>44818</v>
      </c>
      <c r="C1764" s="106">
        <v>60346.97</v>
      </c>
    </row>
    <row r="1765" spans="2:3" x14ac:dyDescent="0.25">
      <c r="B1765" s="105">
        <v>44819</v>
      </c>
      <c r="C1765" s="106">
        <v>59934.01</v>
      </c>
    </row>
    <row r="1766" spans="2:3" x14ac:dyDescent="0.25">
      <c r="B1766" s="105">
        <v>44820</v>
      </c>
      <c r="C1766" s="106">
        <v>58840.79</v>
      </c>
    </row>
    <row r="1767" spans="2:3" x14ac:dyDescent="0.25">
      <c r="B1767" s="105">
        <v>44823</v>
      </c>
      <c r="C1767" s="106">
        <v>59141.23</v>
      </c>
    </row>
    <row r="1768" spans="2:3" x14ac:dyDescent="0.25">
      <c r="B1768" s="105">
        <v>44824</v>
      </c>
      <c r="C1768" s="106">
        <v>59719.74</v>
      </c>
    </row>
    <row r="1769" spans="2:3" x14ac:dyDescent="0.25">
      <c r="B1769" s="105">
        <v>44825</v>
      </c>
      <c r="C1769" s="106">
        <v>59456.78</v>
      </c>
    </row>
    <row r="1770" spans="2:3" x14ac:dyDescent="0.25">
      <c r="B1770" s="105">
        <v>44826</v>
      </c>
      <c r="C1770" s="106">
        <v>59119.72</v>
      </c>
    </row>
    <row r="1771" spans="2:3" x14ac:dyDescent="0.25">
      <c r="B1771" s="105">
        <v>44827</v>
      </c>
      <c r="C1771" s="106">
        <v>58098.92</v>
      </c>
    </row>
    <row r="1772" spans="2:3" x14ac:dyDescent="0.25">
      <c r="B1772" s="105">
        <v>44830</v>
      </c>
      <c r="C1772" s="106">
        <v>57145.22</v>
      </c>
    </row>
    <row r="1773" spans="2:3" x14ac:dyDescent="0.25">
      <c r="B1773" s="105">
        <v>44831</v>
      </c>
      <c r="C1773" s="106">
        <v>57107.519999999997</v>
      </c>
    </row>
    <row r="1774" spans="2:3" x14ac:dyDescent="0.25">
      <c r="B1774" s="105">
        <v>44832</v>
      </c>
      <c r="C1774" s="106">
        <v>56598.28</v>
      </c>
    </row>
    <row r="1775" spans="2:3" x14ac:dyDescent="0.25">
      <c r="B1775" s="105">
        <v>44833</v>
      </c>
      <c r="C1775" s="106">
        <v>56409.96</v>
      </c>
    </row>
    <row r="1776" spans="2:3" x14ac:dyDescent="0.25">
      <c r="B1776" s="105">
        <v>44834</v>
      </c>
      <c r="C1776" s="106">
        <v>57426.92</v>
      </c>
    </row>
    <row r="1777" spans="2:3" x14ac:dyDescent="0.25">
      <c r="B1777" s="105">
        <v>44837</v>
      </c>
      <c r="C1777" s="106">
        <v>56788.81</v>
      </c>
    </row>
    <row r="1778" spans="2:3" x14ac:dyDescent="0.25">
      <c r="B1778" s="105">
        <v>44838</v>
      </c>
      <c r="C1778" s="106">
        <v>58065.47</v>
      </c>
    </row>
    <row r="1779" spans="2:3" x14ac:dyDescent="0.25">
      <c r="B1779" s="105">
        <v>44840</v>
      </c>
      <c r="C1779" s="106">
        <v>58222.1</v>
      </c>
    </row>
    <row r="1780" spans="2:3" x14ac:dyDescent="0.25">
      <c r="B1780" s="105">
        <v>44841</v>
      </c>
      <c r="C1780" s="106">
        <v>58191.29</v>
      </c>
    </row>
    <row r="1781" spans="2:3" x14ac:dyDescent="0.25">
      <c r="B1781" s="105">
        <v>44844</v>
      </c>
      <c r="C1781" s="106">
        <v>57991.11</v>
      </c>
    </row>
    <row r="1782" spans="2:3" x14ac:dyDescent="0.25">
      <c r="B1782" s="105">
        <v>44845</v>
      </c>
      <c r="C1782" s="106">
        <v>57147.32</v>
      </c>
    </row>
    <row r="1783" spans="2:3" x14ac:dyDescent="0.25">
      <c r="B1783" s="105">
        <v>44846</v>
      </c>
      <c r="C1783" s="106">
        <v>57625.91</v>
      </c>
    </row>
    <row r="1784" spans="2:3" x14ac:dyDescent="0.25">
      <c r="B1784" s="105">
        <v>44847</v>
      </c>
      <c r="C1784" s="106">
        <v>57235.33</v>
      </c>
    </row>
    <row r="1785" spans="2:3" x14ac:dyDescent="0.25">
      <c r="B1785" s="105">
        <v>44848</v>
      </c>
      <c r="C1785" s="106">
        <v>57919.97</v>
      </c>
    </row>
    <row r="1786" spans="2:3" x14ac:dyDescent="0.25">
      <c r="B1786" s="105">
        <v>44851</v>
      </c>
      <c r="C1786" s="106">
        <v>58410.98</v>
      </c>
    </row>
    <row r="1787" spans="2:3" x14ac:dyDescent="0.25">
      <c r="B1787" s="105">
        <v>44852</v>
      </c>
      <c r="C1787" s="106">
        <v>58960.6</v>
      </c>
    </row>
    <row r="1788" spans="2:3" x14ac:dyDescent="0.25">
      <c r="B1788" s="105">
        <v>44853</v>
      </c>
      <c r="C1788" s="106">
        <v>59107.19</v>
      </c>
    </row>
    <row r="1789" spans="2:3" x14ac:dyDescent="0.25">
      <c r="B1789" s="105">
        <v>44854</v>
      </c>
      <c r="C1789" s="106">
        <v>59202.9</v>
      </c>
    </row>
    <row r="1790" spans="2:3" x14ac:dyDescent="0.25">
      <c r="B1790" s="105">
        <v>44855</v>
      </c>
      <c r="C1790" s="106">
        <v>59307.15</v>
      </c>
    </row>
    <row r="1791" spans="2:3" x14ac:dyDescent="0.25">
      <c r="B1791" s="105">
        <v>44858</v>
      </c>
      <c r="C1791" s="106">
        <v>59831.66</v>
      </c>
    </row>
    <row r="1792" spans="2:3" x14ac:dyDescent="0.25">
      <c r="B1792" s="105">
        <v>44859</v>
      </c>
      <c r="C1792" s="106">
        <v>59543.96</v>
      </c>
    </row>
    <row r="1793" spans="2:3" x14ac:dyDescent="0.25">
      <c r="B1793" s="105">
        <v>44861</v>
      </c>
      <c r="C1793" s="106">
        <v>59756.84</v>
      </c>
    </row>
    <row r="1794" spans="2:3" x14ac:dyDescent="0.25">
      <c r="B1794" s="105">
        <v>44862</v>
      </c>
      <c r="C1794" s="106">
        <v>59959.85</v>
      </c>
    </row>
    <row r="1795" spans="2:3" x14ac:dyDescent="0.25">
      <c r="B1795" s="105">
        <v>44865</v>
      </c>
      <c r="C1795" s="106">
        <v>60746.59</v>
      </c>
    </row>
    <row r="1796" spans="2:3" x14ac:dyDescent="0.25">
      <c r="B1796" s="105">
        <v>44866</v>
      </c>
      <c r="C1796" s="106">
        <v>61121.35</v>
      </c>
    </row>
    <row r="1797" spans="2:3" x14ac:dyDescent="0.25">
      <c r="B1797" s="105">
        <v>44867</v>
      </c>
      <c r="C1797" s="106">
        <v>60906.09</v>
      </c>
    </row>
    <row r="1798" spans="2:3" x14ac:dyDescent="0.25">
      <c r="B1798" s="105">
        <v>44868</v>
      </c>
      <c r="C1798" s="106">
        <v>60836.41</v>
      </c>
    </row>
    <row r="1799" spans="2:3" x14ac:dyDescent="0.25">
      <c r="B1799" s="105">
        <v>44869</v>
      </c>
      <c r="C1799" s="106">
        <v>60950.36</v>
      </c>
    </row>
    <row r="1800" spans="2:3" x14ac:dyDescent="0.25">
      <c r="B1800" s="105">
        <v>44872</v>
      </c>
      <c r="C1800" s="106">
        <v>61185.15</v>
      </c>
    </row>
    <row r="1801" spans="2:3" x14ac:dyDescent="0.25">
      <c r="B1801" s="105">
        <v>44874</v>
      </c>
      <c r="C1801" s="106">
        <v>61033.55</v>
      </c>
    </row>
    <row r="1802" spans="2:3" x14ac:dyDescent="0.25">
      <c r="B1802" s="105">
        <v>44875</v>
      </c>
      <c r="C1802" s="106">
        <v>60613.7</v>
      </c>
    </row>
    <row r="1803" spans="2:3" x14ac:dyDescent="0.25">
      <c r="B1803" s="105">
        <v>44876</v>
      </c>
      <c r="C1803" s="106">
        <v>61795.040000000001</v>
      </c>
    </row>
    <row r="1804" spans="2:3" x14ac:dyDescent="0.25">
      <c r="B1804" s="105">
        <v>44879</v>
      </c>
      <c r="C1804" s="106">
        <v>61624.15</v>
      </c>
    </row>
    <row r="1805" spans="2:3" x14ac:dyDescent="0.25">
      <c r="B1805" s="105">
        <v>44880</v>
      </c>
      <c r="C1805" s="106">
        <v>61872.99</v>
      </c>
    </row>
    <row r="1806" spans="2:3" x14ac:dyDescent="0.25">
      <c r="B1806" s="105">
        <v>44881</v>
      </c>
      <c r="C1806" s="106">
        <v>61980.72</v>
      </c>
    </row>
    <row r="1807" spans="2:3" x14ac:dyDescent="0.25">
      <c r="B1807" s="105">
        <v>44882</v>
      </c>
      <c r="C1807" s="106">
        <v>61750.6</v>
      </c>
    </row>
    <row r="1808" spans="2:3" x14ac:dyDescent="0.25">
      <c r="B1808" s="105">
        <v>44883</v>
      </c>
      <c r="C1808" s="106">
        <v>61663.48</v>
      </c>
    </row>
    <row r="1809" spans="2:3" x14ac:dyDescent="0.25">
      <c r="B1809" s="105">
        <v>44886</v>
      </c>
      <c r="C1809" s="106">
        <v>61144.84</v>
      </c>
    </row>
    <row r="1810" spans="2:3" x14ac:dyDescent="0.25">
      <c r="B1810" s="105">
        <v>44887</v>
      </c>
      <c r="C1810" s="106">
        <v>61418.96</v>
      </c>
    </row>
    <row r="1811" spans="2:3" x14ac:dyDescent="0.25">
      <c r="B1811" s="105">
        <v>44888</v>
      </c>
      <c r="C1811" s="106">
        <v>61510.58</v>
      </c>
    </row>
    <row r="1812" spans="2:3" x14ac:dyDescent="0.25">
      <c r="B1812" s="105">
        <v>44889</v>
      </c>
      <c r="C1812" s="106">
        <v>62272.68</v>
      </c>
    </row>
    <row r="1813" spans="2:3" x14ac:dyDescent="0.25">
      <c r="B1813" s="105">
        <v>44890</v>
      </c>
      <c r="C1813" s="106">
        <v>62293.64</v>
      </c>
    </row>
    <row r="1814" spans="2:3" x14ac:dyDescent="0.25">
      <c r="B1814" s="105">
        <v>44893</v>
      </c>
      <c r="C1814" s="106">
        <v>62504.800000000003</v>
      </c>
    </row>
    <row r="1815" spans="2:3" x14ac:dyDescent="0.25">
      <c r="B1815" s="105">
        <v>44894</v>
      </c>
      <c r="C1815" s="106">
        <v>62681.84</v>
      </c>
    </row>
    <row r="1816" spans="2:3" x14ac:dyDescent="0.25">
      <c r="B1816" s="105">
        <v>44895</v>
      </c>
      <c r="C1816" s="106">
        <v>63099.65</v>
      </c>
    </row>
    <row r="1817" spans="2:3" x14ac:dyDescent="0.25">
      <c r="B1817" s="105">
        <v>44896</v>
      </c>
      <c r="C1817" s="106">
        <v>63284.19</v>
      </c>
    </row>
    <row r="1818" spans="2:3" x14ac:dyDescent="0.25">
      <c r="B1818" s="105">
        <v>44897</v>
      </c>
      <c r="C1818" s="106">
        <v>62868.5</v>
      </c>
    </row>
    <row r="1819" spans="2:3" x14ac:dyDescent="0.25">
      <c r="B1819" s="105">
        <v>44900</v>
      </c>
      <c r="C1819" s="106">
        <v>62834.6</v>
      </c>
    </row>
    <row r="1820" spans="2:3" x14ac:dyDescent="0.25">
      <c r="B1820" s="105">
        <v>44901</v>
      </c>
      <c r="C1820" s="106">
        <v>62626.36</v>
      </c>
    </row>
    <row r="1821" spans="2:3" x14ac:dyDescent="0.25">
      <c r="B1821" s="105">
        <v>44902</v>
      </c>
      <c r="C1821" s="106">
        <v>62410.68</v>
      </c>
    </row>
    <row r="1822" spans="2:3" x14ac:dyDescent="0.25">
      <c r="B1822" s="105">
        <v>44903</v>
      </c>
      <c r="C1822" s="106">
        <v>62570.68</v>
      </c>
    </row>
    <row r="1823" spans="2:3" x14ac:dyDescent="0.25">
      <c r="B1823" s="105">
        <v>44904</v>
      </c>
      <c r="C1823" s="106">
        <v>62181.67</v>
      </c>
    </row>
    <row r="1824" spans="2:3" x14ac:dyDescent="0.25">
      <c r="B1824" s="105">
        <v>44907</v>
      </c>
      <c r="C1824" s="106">
        <v>62130.57</v>
      </c>
    </row>
    <row r="1825" spans="2:3" x14ac:dyDescent="0.25">
      <c r="B1825" s="105">
        <v>44908</v>
      </c>
      <c r="C1825" s="106">
        <v>62533.3</v>
      </c>
    </row>
    <row r="1826" spans="2:3" x14ac:dyDescent="0.25">
      <c r="B1826" s="105">
        <v>44909</v>
      </c>
      <c r="C1826" s="106">
        <v>62677.91</v>
      </c>
    </row>
    <row r="1827" spans="2:3" x14ac:dyDescent="0.25">
      <c r="B1827" s="105">
        <v>44910</v>
      </c>
      <c r="C1827" s="106">
        <v>61799.03</v>
      </c>
    </row>
    <row r="1828" spans="2:3" x14ac:dyDescent="0.25">
      <c r="B1828" s="105">
        <v>44911</v>
      </c>
      <c r="C1828" s="106">
        <v>61337.81</v>
      </c>
    </row>
    <row r="1829" spans="2:3" x14ac:dyDescent="0.25">
      <c r="B1829" s="105">
        <v>44914</v>
      </c>
      <c r="C1829" s="106">
        <v>61806.19</v>
      </c>
    </row>
    <row r="1830" spans="2:3" x14ac:dyDescent="0.25">
      <c r="B1830" s="105">
        <v>44915</v>
      </c>
      <c r="C1830" s="106">
        <v>61702.29</v>
      </c>
    </row>
    <row r="1831" spans="2:3" x14ac:dyDescent="0.25">
      <c r="B1831" s="105">
        <v>44916</v>
      </c>
      <c r="C1831" s="106">
        <v>61067.24</v>
      </c>
    </row>
    <row r="1832" spans="2:3" x14ac:dyDescent="0.25">
      <c r="B1832" s="105">
        <v>44917</v>
      </c>
      <c r="C1832" s="106">
        <v>60826.22</v>
      </c>
    </row>
    <row r="1833" spans="2:3" x14ac:dyDescent="0.25">
      <c r="B1833" s="105">
        <v>44918</v>
      </c>
      <c r="C1833" s="106">
        <v>59845.29</v>
      </c>
    </row>
    <row r="1834" spans="2:3" x14ac:dyDescent="0.25">
      <c r="B1834" s="105">
        <v>44921</v>
      </c>
      <c r="C1834" s="106">
        <v>60566.42</v>
      </c>
    </row>
    <row r="1835" spans="2:3" x14ac:dyDescent="0.25">
      <c r="B1835" s="105">
        <v>44922</v>
      </c>
      <c r="C1835" s="106">
        <v>60927.43</v>
      </c>
    </row>
    <row r="1836" spans="2:3" x14ac:dyDescent="0.25">
      <c r="B1836" s="105">
        <v>44923</v>
      </c>
      <c r="C1836" s="106">
        <v>60910.28</v>
      </c>
    </row>
    <row r="1837" spans="2:3" x14ac:dyDescent="0.25">
      <c r="B1837" s="105">
        <v>44924</v>
      </c>
      <c r="C1837" s="106">
        <v>61133.88</v>
      </c>
    </row>
    <row r="1838" spans="2:3" x14ac:dyDescent="0.25">
      <c r="B1838" s="105">
        <v>44925</v>
      </c>
      <c r="C1838" s="106">
        <v>60840.74</v>
      </c>
    </row>
    <row r="1839" spans="2:3" x14ac:dyDescent="0.25">
      <c r="B1839" s="105">
        <v>44928</v>
      </c>
      <c r="C1839" s="106">
        <v>61167.79</v>
      </c>
    </row>
    <row r="1840" spans="2:3" x14ac:dyDescent="0.25">
      <c r="B1840" s="105">
        <v>44929</v>
      </c>
      <c r="C1840" s="106">
        <v>61294.2</v>
      </c>
    </row>
    <row r="1841" spans="2:3" x14ac:dyDescent="0.25">
      <c r="B1841" s="105">
        <v>44930</v>
      </c>
      <c r="C1841" s="106">
        <v>60657.45</v>
      </c>
    </row>
    <row r="1842" spans="2:3" x14ac:dyDescent="0.25">
      <c r="B1842" s="105">
        <v>44931</v>
      </c>
      <c r="C1842" s="106">
        <v>60353.27</v>
      </c>
    </row>
    <row r="1843" spans="2:3" x14ac:dyDescent="0.25">
      <c r="B1843" s="105">
        <v>44932</v>
      </c>
      <c r="C1843" s="106">
        <v>59900.37</v>
      </c>
    </row>
    <row r="1844" spans="2:3" x14ac:dyDescent="0.25">
      <c r="B1844" s="105">
        <v>44935</v>
      </c>
      <c r="C1844" s="106">
        <v>60747.31</v>
      </c>
    </row>
    <row r="1845" spans="2:3" x14ac:dyDescent="0.25">
      <c r="B1845" s="105">
        <v>44936</v>
      </c>
      <c r="C1845" s="106">
        <v>60115.48</v>
      </c>
    </row>
    <row r="1846" spans="2:3" x14ac:dyDescent="0.25">
      <c r="B1846" s="105">
        <v>44937</v>
      </c>
      <c r="C1846" s="106">
        <v>60105.5</v>
      </c>
    </row>
    <row r="1847" spans="2:3" x14ac:dyDescent="0.25">
      <c r="B1847" s="105">
        <v>44938</v>
      </c>
      <c r="C1847" s="106">
        <v>59958.03</v>
      </c>
    </row>
    <row r="1848" spans="2:3" x14ac:dyDescent="0.25">
      <c r="B1848" s="105">
        <v>44939</v>
      </c>
      <c r="C1848" s="106">
        <v>60261.18</v>
      </c>
    </row>
    <row r="1849" spans="2:3" x14ac:dyDescent="0.25">
      <c r="B1849" s="105">
        <v>44942</v>
      </c>
      <c r="C1849" s="106">
        <v>60092.97</v>
      </c>
    </row>
    <row r="1850" spans="2:3" x14ac:dyDescent="0.25">
      <c r="B1850" s="105">
        <v>44943</v>
      </c>
      <c r="C1850" s="106">
        <v>60655.72</v>
      </c>
    </row>
    <row r="1851" spans="2:3" x14ac:dyDescent="0.25">
      <c r="B1851" s="105">
        <v>44944</v>
      </c>
      <c r="C1851" s="106">
        <v>61045.74</v>
      </c>
    </row>
    <row r="1852" spans="2:3" x14ac:dyDescent="0.25">
      <c r="B1852" s="105">
        <v>44945</v>
      </c>
      <c r="C1852" s="106">
        <v>60858.43</v>
      </c>
    </row>
    <row r="1853" spans="2:3" x14ac:dyDescent="0.25">
      <c r="B1853" s="105">
        <v>44946</v>
      </c>
      <c r="C1853" s="106">
        <v>60621.77</v>
      </c>
    </row>
    <row r="1854" spans="2:3" x14ac:dyDescent="0.25">
      <c r="B1854" s="105">
        <v>44949</v>
      </c>
      <c r="C1854" s="106">
        <v>60941.67</v>
      </c>
    </row>
    <row r="1855" spans="2:3" x14ac:dyDescent="0.25">
      <c r="B1855" s="105">
        <v>44950</v>
      </c>
      <c r="C1855" s="106">
        <v>60978.75</v>
      </c>
    </row>
    <row r="1856" spans="2:3" x14ac:dyDescent="0.25">
      <c r="B1856" s="105">
        <v>44951</v>
      </c>
      <c r="C1856" s="106">
        <v>60205.06</v>
      </c>
    </row>
    <row r="1857" spans="2:3" x14ac:dyDescent="0.25">
      <c r="B1857" s="105">
        <v>44953</v>
      </c>
      <c r="C1857" s="106">
        <v>59330.9</v>
      </c>
    </row>
    <row r="1858" spans="2:3" x14ac:dyDescent="0.25">
      <c r="B1858" s="105">
        <v>44956</v>
      </c>
      <c r="C1858" s="106">
        <v>59500.41</v>
      </c>
    </row>
    <row r="1859" spans="2:3" x14ac:dyDescent="0.25">
      <c r="B1859" s="105">
        <v>44957</v>
      </c>
      <c r="C1859" s="106">
        <v>59549.9</v>
      </c>
    </row>
    <row r="1860" spans="2:3" x14ac:dyDescent="0.25">
      <c r="B1860" s="105">
        <v>44958</v>
      </c>
      <c r="C1860" s="106">
        <v>59708.08</v>
      </c>
    </row>
    <row r="1861" spans="2:3" x14ac:dyDescent="0.25">
      <c r="B1861" s="105">
        <v>44959</v>
      </c>
      <c r="C1861" s="106">
        <v>59932.24</v>
      </c>
    </row>
    <row r="1862" spans="2:3" x14ac:dyDescent="0.25">
      <c r="B1862" s="105">
        <v>44960</v>
      </c>
      <c r="C1862" s="106">
        <v>60841.88</v>
      </c>
    </row>
    <row r="1863" spans="2:3" x14ac:dyDescent="0.25">
      <c r="B1863" s="105">
        <v>44963</v>
      </c>
      <c r="C1863" s="106">
        <v>60506.9</v>
      </c>
    </row>
    <row r="1864" spans="2:3" x14ac:dyDescent="0.25">
      <c r="B1864" s="105">
        <v>44964</v>
      </c>
      <c r="C1864" s="106">
        <v>60286.04</v>
      </c>
    </row>
    <row r="1865" spans="2:3" x14ac:dyDescent="0.25">
      <c r="B1865" s="105">
        <v>44965</v>
      </c>
      <c r="C1865" s="106">
        <v>60663.79</v>
      </c>
    </row>
    <row r="1866" spans="2:3" x14ac:dyDescent="0.25">
      <c r="B1866" s="105">
        <v>44966</v>
      </c>
      <c r="C1866" s="106">
        <v>60806.22</v>
      </c>
    </row>
    <row r="1867" spans="2:3" x14ac:dyDescent="0.25">
      <c r="B1867" s="105">
        <v>44967</v>
      </c>
      <c r="C1867" s="106">
        <v>60682.7</v>
      </c>
    </row>
    <row r="1868" spans="2:3" x14ac:dyDescent="0.25">
      <c r="B1868" s="105">
        <v>44970</v>
      </c>
      <c r="C1868" s="106">
        <v>60431.839999999997</v>
      </c>
    </row>
    <row r="1869" spans="2:3" x14ac:dyDescent="0.25">
      <c r="B1869" s="105">
        <v>44971</v>
      </c>
      <c r="C1869" s="106">
        <v>61032.26</v>
      </c>
    </row>
    <row r="1870" spans="2:3" x14ac:dyDescent="0.25">
      <c r="B1870" s="105">
        <v>44972</v>
      </c>
      <c r="C1870" s="106">
        <v>61275.09</v>
      </c>
    </row>
    <row r="1871" spans="2:3" x14ac:dyDescent="0.25">
      <c r="B1871" s="105">
        <v>44973</v>
      </c>
      <c r="C1871" s="106">
        <v>61319.51</v>
      </c>
    </row>
    <row r="1872" spans="2:3" x14ac:dyDescent="0.25">
      <c r="B1872" s="105">
        <v>44974</v>
      </c>
      <c r="C1872" s="106">
        <v>61002.57</v>
      </c>
    </row>
    <row r="1873" spans="2:3" x14ac:dyDescent="0.25">
      <c r="B1873" s="105">
        <v>44977</v>
      </c>
      <c r="C1873" s="106">
        <v>60691.54</v>
      </c>
    </row>
    <row r="1874" spans="2:3" x14ac:dyDescent="0.25">
      <c r="B1874" s="105">
        <v>44978</v>
      </c>
      <c r="C1874" s="106">
        <v>60672.72</v>
      </c>
    </row>
    <row r="1875" spans="2:3" x14ac:dyDescent="0.25">
      <c r="B1875" s="105">
        <v>44979</v>
      </c>
      <c r="C1875" s="106">
        <v>59744.98</v>
      </c>
    </row>
    <row r="1876" spans="2:3" x14ac:dyDescent="0.25">
      <c r="B1876" s="105">
        <v>44980</v>
      </c>
      <c r="C1876" s="106">
        <v>59605.8</v>
      </c>
    </row>
    <row r="1877" spans="2:3" x14ac:dyDescent="0.25">
      <c r="B1877" s="105">
        <v>44981</v>
      </c>
      <c r="C1877" s="106">
        <v>59463.93</v>
      </c>
    </row>
    <row r="1878" spans="2:3" x14ac:dyDescent="0.25">
      <c r="B1878" s="105">
        <v>44984</v>
      </c>
      <c r="C1878" s="106">
        <v>59288.35</v>
      </c>
    </row>
    <row r="1879" spans="2:3" x14ac:dyDescent="0.25">
      <c r="B1879" s="105">
        <v>44985</v>
      </c>
      <c r="C1879" s="106">
        <v>58962.12</v>
      </c>
    </row>
    <row r="1880" spans="2:3" x14ac:dyDescent="0.25">
      <c r="B1880" s="105">
        <v>44986</v>
      </c>
      <c r="C1880" s="106">
        <v>59411.08</v>
      </c>
    </row>
    <row r="1881" spans="2:3" x14ac:dyDescent="0.25">
      <c r="B1881" s="105">
        <v>44987</v>
      </c>
      <c r="C1881" s="106">
        <v>58909.35</v>
      </c>
    </row>
    <row r="1882" spans="2:3" x14ac:dyDescent="0.25">
      <c r="B1882" s="105">
        <v>44988</v>
      </c>
      <c r="C1882" s="106">
        <v>59808.97</v>
      </c>
    </row>
    <row r="1883" spans="2:3" x14ac:dyDescent="0.25">
      <c r="B1883" s="105">
        <v>44991</v>
      </c>
      <c r="C1883" s="106">
        <v>60224.46</v>
      </c>
    </row>
    <row r="1884" spans="2:3" x14ac:dyDescent="0.25">
      <c r="B1884" s="105">
        <v>44993</v>
      </c>
      <c r="C1884" s="106">
        <v>60348.09</v>
      </c>
    </row>
    <row r="1885" spans="2:3" x14ac:dyDescent="0.25">
      <c r="B1885" s="105">
        <v>44994</v>
      </c>
      <c r="C1885" s="106">
        <v>59806.28</v>
      </c>
    </row>
    <row r="1886" spans="2:3" x14ac:dyDescent="0.25">
      <c r="B1886" s="105">
        <v>44995</v>
      </c>
      <c r="C1886" s="106">
        <v>59135.13</v>
      </c>
    </row>
    <row r="1887" spans="2:3" x14ac:dyDescent="0.25">
      <c r="B1887" s="105">
        <v>44998</v>
      </c>
      <c r="C1887" s="106">
        <v>58237.85</v>
      </c>
    </row>
    <row r="1888" spans="2:3" x14ac:dyDescent="0.25">
      <c r="B1888" s="105">
        <v>44999</v>
      </c>
      <c r="C1888" s="106">
        <v>57900.19</v>
      </c>
    </row>
    <row r="1889" spans="2:3" x14ac:dyDescent="0.25">
      <c r="B1889" s="105">
        <v>45000</v>
      </c>
      <c r="C1889" s="106">
        <v>57555.9</v>
      </c>
    </row>
    <row r="1890" spans="2:3" x14ac:dyDescent="0.25">
      <c r="B1890" s="105">
        <v>45001</v>
      </c>
      <c r="C1890" s="106">
        <v>57634.84</v>
      </c>
    </row>
    <row r="1891" spans="2:3" x14ac:dyDescent="0.25">
      <c r="B1891" s="105">
        <v>45002</v>
      </c>
      <c r="C1891" s="106">
        <v>57989.9</v>
      </c>
    </row>
    <row r="1892" spans="2:3" x14ac:dyDescent="0.25">
      <c r="B1892" s="105">
        <v>45005</v>
      </c>
      <c r="C1892" s="106">
        <v>57628.95</v>
      </c>
    </row>
    <row r="1893" spans="2:3" x14ac:dyDescent="0.25">
      <c r="B1893" s="105">
        <v>45006</v>
      </c>
      <c r="C1893" s="106">
        <v>58074.68</v>
      </c>
    </row>
    <row r="1894" spans="2:3" x14ac:dyDescent="0.25">
      <c r="B1894" s="105">
        <v>45007</v>
      </c>
      <c r="C1894" s="106">
        <v>58214.59</v>
      </c>
    </row>
    <row r="1895" spans="2:3" x14ac:dyDescent="0.25">
      <c r="B1895" s="105">
        <v>45008</v>
      </c>
      <c r="C1895" s="106">
        <v>57925.279999999999</v>
      </c>
    </row>
    <row r="1896" spans="2:3" x14ac:dyDescent="0.25">
      <c r="B1896" s="105">
        <v>45009</v>
      </c>
      <c r="C1896" s="106">
        <v>57527.1</v>
      </c>
    </row>
    <row r="1897" spans="2:3" x14ac:dyDescent="0.25">
      <c r="B1897" s="105">
        <v>45012</v>
      </c>
      <c r="C1897" s="106">
        <v>57653.86</v>
      </c>
    </row>
    <row r="1898" spans="2:3" x14ac:dyDescent="0.25">
      <c r="B1898" s="105">
        <v>45013</v>
      </c>
      <c r="C1898" s="106">
        <v>57613.72</v>
      </c>
    </row>
    <row r="1899" spans="2:3" x14ac:dyDescent="0.25">
      <c r="B1899" s="105">
        <v>45014</v>
      </c>
      <c r="C1899" s="106">
        <v>57960.09</v>
      </c>
    </row>
    <row r="1900" spans="2:3" x14ac:dyDescent="0.25">
      <c r="B1900" s="105">
        <v>45016</v>
      </c>
      <c r="C1900" s="106">
        <v>58991.519999999997</v>
      </c>
    </row>
    <row r="1901" spans="2:3" x14ac:dyDescent="0.25">
      <c r="B1901" s="105">
        <v>45019</v>
      </c>
      <c r="C1901" s="106">
        <v>59106.44</v>
      </c>
    </row>
    <row r="1902" spans="2:3" x14ac:dyDescent="0.25">
      <c r="B1902" s="105">
        <v>45021</v>
      </c>
      <c r="C1902" s="106">
        <v>59689.31</v>
      </c>
    </row>
    <row r="1903" spans="2:3" x14ac:dyDescent="0.25">
      <c r="B1903" s="105">
        <v>45022</v>
      </c>
      <c r="C1903" s="106">
        <v>59832.97</v>
      </c>
    </row>
    <row r="1904" spans="2:3" x14ac:dyDescent="0.25">
      <c r="B1904" s="105">
        <v>45026</v>
      </c>
      <c r="C1904" s="106">
        <v>59846.51</v>
      </c>
    </row>
    <row r="1905" spans="2:3" x14ac:dyDescent="0.25">
      <c r="B1905" s="105">
        <v>45027</v>
      </c>
      <c r="C1905" s="106">
        <v>60157.72</v>
      </c>
    </row>
    <row r="1906" spans="2:3" x14ac:dyDescent="0.25">
      <c r="B1906" s="105">
        <v>45028</v>
      </c>
      <c r="C1906" s="106">
        <v>60392.77</v>
      </c>
    </row>
    <row r="1907" spans="2:3" x14ac:dyDescent="0.25">
      <c r="B1907" s="105">
        <v>45029</v>
      </c>
      <c r="C1907" s="106">
        <v>60431</v>
      </c>
    </row>
    <row r="1908" spans="2:3" x14ac:dyDescent="0.25">
      <c r="B1908" s="105">
        <v>45033</v>
      </c>
      <c r="C1908" s="106">
        <v>59910.75</v>
      </c>
    </row>
    <row r="1909" spans="2:3" x14ac:dyDescent="0.25">
      <c r="B1909" s="105">
        <v>45034</v>
      </c>
      <c r="C1909" s="106">
        <v>59727.01</v>
      </c>
    </row>
    <row r="1910" spans="2:3" x14ac:dyDescent="0.25">
      <c r="B1910" s="105">
        <v>45035</v>
      </c>
      <c r="C1910" s="106">
        <v>59567.8</v>
      </c>
    </row>
    <row r="1911" spans="2:3" x14ac:dyDescent="0.25">
      <c r="B1911" s="105">
        <v>45036</v>
      </c>
      <c r="C1911" s="106">
        <v>59632.35</v>
      </c>
    </row>
    <row r="1912" spans="2:3" x14ac:dyDescent="0.25">
      <c r="B1912" s="105">
        <v>45037</v>
      </c>
      <c r="C1912" s="106">
        <v>59655.06</v>
      </c>
    </row>
    <row r="1913" spans="2:3" x14ac:dyDescent="0.25">
      <c r="B1913" s="105">
        <v>45040</v>
      </c>
      <c r="C1913" s="106">
        <v>60056.1</v>
      </c>
    </row>
    <row r="1914" spans="2:3" x14ac:dyDescent="0.25">
      <c r="B1914" s="105">
        <v>45041</v>
      </c>
      <c r="C1914" s="106">
        <v>60130.71</v>
      </c>
    </row>
    <row r="1915" spans="2:3" x14ac:dyDescent="0.25">
      <c r="B1915" s="105">
        <v>45042</v>
      </c>
      <c r="C1915" s="106">
        <v>60300.58</v>
      </c>
    </row>
    <row r="1916" spans="2:3" x14ac:dyDescent="0.25">
      <c r="B1916" s="105">
        <v>45043</v>
      </c>
      <c r="C1916" s="106">
        <v>60649.38</v>
      </c>
    </row>
    <row r="1917" spans="2:3" x14ac:dyDescent="0.25">
      <c r="B1917" s="105">
        <v>45044</v>
      </c>
      <c r="C1917" s="106">
        <v>61112.44</v>
      </c>
    </row>
    <row r="1918" spans="2:3" x14ac:dyDescent="0.25">
      <c r="B1918" s="105">
        <v>45048</v>
      </c>
      <c r="C1918" s="106">
        <v>61354.71</v>
      </c>
    </row>
    <row r="1919" spans="2:3" x14ac:dyDescent="0.25">
      <c r="B1919" s="105">
        <v>45049</v>
      </c>
      <c r="C1919" s="106">
        <v>61193.3</v>
      </c>
    </row>
    <row r="1920" spans="2:3" x14ac:dyDescent="0.25">
      <c r="B1920" s="105">
        <v>45050</v>
      </c>
      <c r="C1920" s="106">
        <v>61749.25</v>
      </c>
    </row>
    <row r="1921" spans="2:3" x14ac:dyDescent="0.25">
      <c r="B1921" s="105">
        <v>45051</v>
      </c>
      <c r="C1921" s="106">
        <v>61054.29</v>
      </c>
    </row>
    <row r="1922" spans="2:3" x14ac:dyDescent="0.25">
      <c r="B1922" s="105">
        <v>45054</v>
      </c>
      <c r="C1922" s="106">
        <v>61764.25</v>
      </c>
    </row>
    <row r="1923" spans="2:3" x14ac:dyDescent="0.25">
      <c r="B1923" s="105">
        <v>45055</v>
      </c>
      <c r="C1923" s="106">
        <v>61761.33</v>
      </c>
    </row>
    <row r="1924" spans="2:3" x14ac:dyDescent="0.25">
      <c r="B1924" s="105">
        <v>45056</v>
      </c>
      <c r="C1924" s="106">
        <v>61940.2</v>
      </c>
    </row>
    <row r="1925" spans="2:3" x14ac:dyDescent="0.25">
      <c r="B1925" s="105">
        <v>45057</v>
      </c>
      <c r="C1925" s="106">
        <v>61904.52</v>
      </c>
    </row>
    <row r="1926" spans="2:3" x14ac:dyDescent="0.25">
      <c r="B1926" s="105">
        <v>45058</v>
      </c>
      <c r="C1926" s="106">
        <v>62027.9</v>
      </c>
    </row>
    <row r="1927" spans="2:3" x14ac:dyDescent="0.25">
      <c r="B1927" s="105">
        <v>45061</v>
      </c>
      <c r="C1927" s="106">
        <v>62345.71</v>
      </c>
    </row>
    <row r="1928" spans="2:3" x14ac:dyDescent="0.25">
      <c r="B1928" s="105">
        <v>45062</v>
      </c>
      <c r="C1928" s="106">
        <v>61932.47</v>
      </c>
    </row>
    <row r="1929" spans="2:3" x14ac:dyDescent="0.25">
      <c r="B1929" s="105">
        <v>45063</v>
      </c>
      <c r="C1929" s="106">
        <v>61560.639999999999</v>
      </c>
    </row>
    <row r="1930" spans="2:3" x14ac:dyDescent="0.25">
      <c r="B1930" s="105">
        <v>45064</v>
      </c>
      <c r="C1930" s="106">
        <v>61431.74</v>
      </c>
    </row>
    <row r="1931" spans="2:3" x14ac:dyDescent="0.25">
      <c r="B1931" s="105">
        <v>45065</v>
      </c>
      <c r="C1931" s="106">
        <v>61729.68</v>
      </c>
    </row>
    <row r="1932" spans="2:3" x14ac:dyDescent="0.25">
      <c r="B1932" s="105">
        <v>45068</v>
      </c>
      <c r="C1932" s="106">
        <v>61963.68</v>
      </c>
    </row>
    <row r="1933" spans="2:3" x14ac:dyDescent="0.25">
      <c r="B1933" s="105">
        <v>45069</v>
      </c>
      <c r="C1933" s="106">
        <v>61981.79</v>
      </c>
    </row>
    <row r="1934" spans="2:3" x14ac:dyDescent="0.25">
      <c r="B1934" s="105">
        <v>45070</v>
      </c>
      <c r="C1934" s="106">
        <v>61773.78</v>
      </c>
    </row>
    <row r="1935" spans="2:3" x14ac:dyDescent="0.25">
      <c r="B1935" s="105">
        <v>45071</v>
      </c>
      <c r="C1935" s="106">
        <v>61872.62</v>
      </c>
    </row>
    <row r="1936" spans="2:3" x14ac:dyDescent="0.25">
      <c r="B1936" s="105">
        <v>45072</v>
      </c>
      <c r="C1936" s="106">
        <v>62501.69</v>
      </c>
    </row>
    <row r="1937" spans="2:3" x14ac:dyDescent="0.25">
      <c r="B1937" s="105">
        <v>45075</v>
      </c>
      <c r="C1937" s="106">
        <v>62846.38</v>
      </c>
    </row>
    <row r="1938" spans="2:3" x14ac:dyDescent="0.25">
      <c r="B1938" s="105">
        <v>45076</v>
      </c>
      <c r="C1938" s="106">
        <v>62969.13</v>
      </c>
    </row>
    <row r="1939" spans="2:3" x14ac:dyDescent="0.25">
      <c r="B1939" s="105">
        <v>45077</v>
      </c>
      <c r="C1939" s="106">
        <v>62622.239999999998</v>
      </c>
    </row>
    <row r="1940" spans="2:3" x14ac:dyDescent="0.25">
      <c r="B1940" s="105">
        <v>45078</v>
      </c>
      <c r="C1940" s="106">
        <v>62428.54</v>
      </c>
    </row>
    <row r="1941" spans="2:3" x14ac:dyDescent="0.25">
      <c r="B1941" s="105">
        <v>45079</v>
      </c>
      <c r="C1941" s="106">
        <v>62547.11</v>
      </c>
    </row>
    <row r="1942" spans="2:3" x14ac:dyDescent="0.25">
      <c r="B1942" s="105">
        <v>45082</v>
      </c>
      <c r="C1942" s="106">
        <v>62787.47</v>
      </c>
    </row>
    <row r="1943" spans="2:3" x14ac:dyDescent="0.25">
      <c r="B1943" s="105">
        <v>45083</v>
      </c>
      <c r="C1943" s="106">
        <v>62792.88</v>
      </c>
    </row>
    <row r="1944" spans="2:3" x14ac:dyDescent="0.25">
      <c r="B1944" s="105">
        <v>45084</v>
      </c>
      <c r="C1944" s="106">
        <v>63142.96</v>
      </c>
    </row>
    <row r="1945" spans="2:3" x14ac:dyDescent="0.25">
      <c r="B1945" s="105">
        <v>45085</v>
      </c>
      <c r="C1945" s="106">
        <v>62848.639999999999</v>
      </c>
    </row>
    <row r="1946" spans="2:3" x14ac:dyDescent="0.25">
      <c r="B1946" s="105">
        <v>45086</v>
      </c>
      <c r="C1946" s="106">
        <v>62625.63</v>
      </c>
    </row>
    <row r="1947" spans="2:3" x14ac:dyDescent="0.25">
      <c r="B1947" s="105">
        <v>45089</v>
      </c>
      <c r="C1947" s="106">
        <v>62724.71</v>
      </c>
    </row>
    <row r="1948" spans="2:3" x14ac:dyDescent="0.25">
      <c r="B1948" s="105">
        <v>45090</v>
      </c>
      <c r="C1948" s="106">
        <v>63143.16</v>
      </c>
    </row>
    <row r="1949" spans="2:3" x14ac:dyDescent="0.25">
      <c r="B1949" s="105">
        <v>45091</v>
      </c>
      <c r="C1949" s="106">
        <v>63228.51</v>
      </c>
    </row>
    <row r="1950" spans="2:3" x14ac:dyDescent="0.25">
      <c r="B1950" s="105">
        <v>45092</v>
      </c>
      <c r="C1950" s="106">
        <v>62917.63</v>
      </c>
    </row>
    <row r="1951" spans="2:3" x14ac:dyDescent="0.25">
      <c r="B1951" s="105">
        <v>45093</v>
      </c>
      <c r="C1951" s="106">
        <v>63384.58</v>
      </c>
    </row>
    <row r="1952" spans="2:3" x14ac:dyDescent="0.25">
      <c r="B1952" s="105">
        <v>45096</v>
      </c>
      <c r="C1952" s="106">
        <v>63168.3</v>
      </c>
    </row>
    <row r="1953" spans="2:3" x14ac:dyDescent="0.25">
      <c r="B1953" s="105">
        <v>45097</v>
      </c>
      <c r="C1953" s="106">
        <v>63327.7</v>
      </c>
    </row>
    <row r="1954" spans="2:3" x14ac:dyDescent="0.25">
      <c r="B1954" s="105">
        <v>45098</v>
      </c>
      <c r="C1954" s="106">
        <v>63523.15</v>
      </c>
    </row>
    <row r="1955" spans="2:3" x14ac:dyDescent="0.25">
      <c r="B1955" s="105">
        <v>45099</v>
      </c>
      <c r="C1955" s="106">
        <v>63238.89</v>
      </c>
    </row>
    <row r="1956" spans="2:3" x14ac:dyDescent="0.25">
      <c r="B1956" s="105">
        <v>45100</v>
      </c>
      <c r="C1956" s="106">
        <v>62979.37</v>
      </c>
    </row>
    <row r="1957" spans="2:3" x14ac:dyDescent="0.25">
      <c r="B1957" s="105">
        <v>45103</v>
      </c>
      <c r="C1957" s="106">
        <v>62970</v>
      </c>
    </row>
    <row r="1958" spans="2:3" x14ac:dyDescent="0.25">
      <c r="B1958" s="105">
        <v>45104</v>
      </c>
      <c r="C1958" s="106">
        <v>63416.03</v>
      </c>
    </row>
    <row r="1959" spans="2:3" x14ac:dyDescent="0.25">
      <c r="B1959" s="105">
        <v>45105</v>
      </c>
      <c r="C1959" s="106">
        <v>63915.42</v>
      </c>
    </row>
    <row r="1960" spans="2:3" x14ac:dyDescent="0.25">
      <c r="B1960" s="105">
        <v>45107</v>
      </c>
      <c r="C1960" s="106">
        <v>64718.559999999998</v>
      </c>
    </row>
    <row r="1961" spans="2:3" x14ac:dyDescent="0.25">
      <c r="B1961" s="105">
        <v>45110</v>
      </c>
      <c r="C1961" s="106">
        <v>65205.05</v>
      </c>
    </row>
    <row r="1962" spans="2:3" x14ac:dyDescent="0.25">
      <c r="B1962" s="105">
        <v>45111</v>
      </c>
      <c r="C1962" s="106">
        <v>65479.05</v>
      </c>
    </row>
    <row r="1963" spans="2:3" x14ac:dyDescent="0.25">
      <c r="B1963" s="105">
        <v>45112</v>
      </c>
      <c r="C1963" s="106">
        <v>65446.04</v>
      </c>
    </row>
    <row r="1964" spans="2:3" x14ac:dyDescent="0.25">
      <c r="B1964" s="105">
        <v>45113</v>
      </c>
      <c r="C1964" s="106">
        <v>65785.64</v>
      </c>
    </row>
    <row r="1965" spans="2:3" x14ac:dyDescent="0.25">
      <c r="B1965" s="105">
        <v>45114</v>
      </c>
      <c r="C1965" s="106">
        <v>65280.45</v>
      </c>
    </row>
    <row r="1966" spans="2:3" x14ac:dyDescent="0.25">
      <c r="B1966" s="105">
        <v>45117</v>
      </c>
      <c r="C1966" s="106">
        <v>65344.17</v>
      </c>
    </row>
    <row r="1967" spans="2:3" x14ac:dyDescent="0.25">
      <c r="B1967" s="105">
        <v>45118</v>
      </c>
      <c r="C1967" s="106">
        <v>65617.84</v>
      </c>
    </row>
    <row r="1968" spans="2:3" x14ac:dyDescent="0.25">
      <c r="B1968" s="105">
        <v>45119</v>
      </c>
      <c r="C1968" s="106">
        <v>65393.9</v>
      </c>
    </row>
    <row r="1969" spans="2:3" x14ac:dyDescent="0.25">
      <c r="B1969" s="105">
        <v>45120</v>
      </c>
      <c r="C1969" s="106">
        <v>65558.89</v>
      </c>
    </row>
    <row r="1970" spans="2:3" x14ac:dyDescent="0.25">
      <c r="B1970" s="105">
        <v>45121</v>
      </c>
      <c r="C1970" s="106">
        <v>66060.899999999994</v>
      </c>
    </row>
    <row r="1971" spans="2:3" x14ac:dyDescent="0.25">
      <c r="B1971" s="105">
        <v>45124</v>
      </c>
      <c r="C1971" s="106">
        <v>66589.929999999993</v>
      </c>
    </row>
    <row r="1972" spans="2:3" x14ac:dyDescent="0.25">
      <c r="B1972" s="105">
        <v>45125</v>
      </c>
      <c r="C1972" s="106">
        <v>66795.14</v>
      </c>
    </row>
    <row r="1973" spans="2:3" x14ac:dyDescent="0.25">
      <c r="B1973" s="105">
        <v>45126</v>
      </c>
      <c r="C1973" s="106">
        <v>67097.440000000002</v>
      </c>
    </row>
    <row r="1974" spans="2:3" x14ac:dyDescent="0.25">
      <c r="B1974" s="105">
        <v>45127</v>
      </c>
      <c r="C1974" s="106">
        <v>67571.899999999994</v>
      </c>
    </row>
    <row r="1975" spans="2:3" x14ac:dyDescent="0.25">
      <c r="B1975" s="105">
        <v>45128</v>
      </c>
      <c r="C1975" s="106">
        <v>66684.259999999995</v>
      </c>
    </row>
    <row r="1976" spans="2:3" x14ac:dyDescent="0.25">
      <c r="B1976" s="105">
        <v>45131</v>
      </c>
      <c r="C1976" s="106">
        <v>66384.78</v>
      </c>
    </row>
    <row r="1977" spans="2:3" x14ac:dyDescent="0.25">
      <c r="B1977" s="105">
        <v>45132</v>
      </c>
      <c r="C1977" s="106">
        <v>66355.710000000006</v>
      </c>
    </row>
    <row r="1978" spans="2:3" x14ac:dyDescent="0.25">
      <c r="B1978" s="105">
        <v>45133</v>
      </c>
      <c r="C1978" s="106">
        <v>66707.199999999997</v>
      </c>
    </row>
    <row r="1979" spans="2:3" x14ac:dyDescent="0.25">
      <c r="B1979" s="105">
        <v>45134</v>
      </c>
      <c r="C1979" s="106">
        <v>66266.820000000007</v>
      </c>
    </row>
    <row r="1980" spans="2:3" x14ac:dyDescent="0.25">
      <c r="B1980" s="105">
        <v>45135</v>
      </c>
      <c r="C1980" s="106">
        <v>66160.2</v>
      </c>
    </row>
    <row r="1981" spans="2:3" x14ac:dyDescent="0.25">
      <c r="B1981" s="105">
        <v>45138</v>
      </c>
      <c r="C1981" s="106">
        <v>66527.67</v>
      </c>
    </row>
    <row r="1982" spans="2:3" x14ac:dyDescent="0.25">
      <c r="B1982" s="105">
        <v>45139</v>
      </c>
      <c r="C1982" s="106">
        <v>66459.31</v>
      </c>
    </row>
    <row r="1983" spans="2:3" x14ac:dyDescent="0.25">
      <c r="B1983" s="105">
        <v>45140</v>
      </c>
      <c r="C1983" s="106">
        <v>65782.78</v>
      </c>
    </row>
    <row r="1984" spans="2:3" x14ac:dyDescent="0.25">
      <c r="B1984" s="105">
        <v>45141</v>
      </c>
      <c r="C1984" s="106">
        <v>65240.68</v>
      </c>
    </row>
    <row r="1985" spans="2:3" x14ac:dyDescent="0.25">
      <c r="B1985" s="105">
        <v>45142</v>
      </c>
      <c r="C1985" s="106">
        <v>65721.25</v>
      </c>
    </row>
    <row r="1986" spans="2:3" x14ac:dyDescent="0.25">
      <c r="B1986" s="105">
        <v>45145</v>
      </c>
      <c r="C1986" s="106">
        <v>65953.48</v>
      </c>
    </row>
    <row r="1987" spans="2:3" x14ac:dyDescent="0.25">
      <c r="B1987" s="105">
        <v>45146</v>
      </c>
      <c r="C1987" s="106">
        <v>65846.5</v>
      </c>
    </row>
    <row r="1988" spans="2:3" x14ac:dyDescent="0.25">
      <c r="B1988" s="105">
        <v>45147</v>
      </c>
      <c r="C1988" s="106">
        <v>65995.81</v>
      </c>
    </row>
    <row r="1989" spans="2:3" x14ac:dyDescent="0.25">
      <c r="B1989" s="105">
        <v>45148</v>
      </c>
      <c r="C1989" s="106">
        <v>65688.179999999993</v>
      </c>
    </row>
    <row r="1990" spans="2:3" x14ac:dyDescent="0.25">
      <c r="B1990" s="105">
        <v>45149</v>
      </c>
      <c r="C1990" s="106">
        <v>65322.65</v>
      </c>
    </row>
    <row r="1991" spans="2:3" x14ac:dyDescent="0.25">
      <c r="B1991" s="105">
        <v>45152</v>
      </c>
      <c r="C1991" s="106">
        <v>65401.919999999998</v>
      </c>
    </row>
    <row r="1992" spans="2:3" x14ac:dyDescent="0.25">
      <c r="B1992" s="105">
        <v>45154</v>
      </c>
      <c r="C1992" s="106">
        <v>65539.42</v>
      </c>
    </row>
    <row r="1993" spans="2:3" x14ac:dyDescent="0.25">
      <c r="B1993" s="105">
        <v>45155</v>
      </c>
      <c r="C1993" s="106">
        <v>65151.02</v>
      </c>
    </row>
    <row r="1994" spans="2:3" x14ac:dyDescent="0.25">
      <c r="B1994" s="105">
        <v>45156</v>
      </c>
      <c r="C1994" s="106">
        <v>64948.66</v>
      </c>
    </row>
    <row r="1995" spans="2:3" x14ac:dyDescent="0.25">
      <c r="B1995" s="105">
        <v>45159</v>
      </c>
      <c r="C1995" s="106">
        <v>65216.09</v>
      </c>
    </row>
    <row r="1996" spans="2:3" x14ac:dyDescent="0.25">
      <c r="B1996" s="105">
        <v>45160</v>
      </c>
      <c r="C1996" s="106">
        <v>65220.03</v>
      </c>
    </row>
    <row r="1997" spans="2:3" x14ac:dyDescent="0.25">
      <c r="B1997" s="105">
        <v>45161</v>
      </c>
      <c r="C1997" s="106">
        <v>65433.3</v>
      </c>
    </row>
    <row r="1998" spans="2:3" x14ac:dyDescent="0.25">
      <c r="B1998" s="105">
        <v>45162</v>
      </c>
      <c r="C1998" s="106">
        <v>65252.34</v>
      </c>
    </row>
    <row r="1999" spans="2:3" x14ac:dyDescent="0.25">
      <c r="B1999" s="105">
        <v>45163</v>
      </c>
      <c r="C1999" s="106">
        <v>64886.51</v>
      </c>
    </row>
    <row r="2000" spans="2:3" x14ac:dyDescent="0.25">
      <c r="B2000" s="105">
        <v>45166</v>
      </c>
      <c r="C2000" s="106">
        <v>64996.6</v>
      </c>
    </row>
    <row r="2001" spans="2:3" x14ac:dyDescent="0.25">
      <c r="B2001" s="105">
        <v>45167</v>
      </c>
      <c r="C2001" s="106">
        <v>65075.82</v>
      </c>
    </row>
    <row r="2002" spans="2:3" x14ac:dyDescent="0.25">
      <c r="B2002" s="105">
        <v>45168</v>
      </c>
      <c r="C2002" s="106">
        <v>65087.25</v>
      </c>
    </row>
    <row r="2003" spans="2:3" x14ac:dyDescent="0.25">
      <c r="B2003" s="105">
        <v>45169</v>
      </c>
      <c r="C2003" s="106">
        <v>64831.41</v>
      </c>
    </row>
    <row r="2004" spans="2:3" x14ac:dyDescent="0.25">
      <c r="B2004" s="105">
        <v>45170</v>
      </c>
      <c r="C2004" s="106">
        <v>65387.16</v>
      </c>
    </row>
    <row r="2005" spans="2:3" x14ac:dyDescent="0.25">
      <c r="B2005" s="105">
        <v>45173</v>
      </c>
      <c r="C2005" s="106">
        <v>65628.14</v>
      </c>
    </row>
    <row r="2006" spans="2:3" x14ac:dyDescent="0.25">
      <c r="B2006" s="105">
        <v>45174</v>
      </c>
      <c r="C2006" s="106">
        <v>65780.259999999995</v>
      </c>
    </row>
    <row r="2007" spans="2:3" x14ac:dyDescent="0.25">
      <c r="B2007" s="105">
        <v>45175</v>
      </c>
      <c r="C2007" s="106">
        <v>65880.52</v>
      </c>
    </row>
    <row r="2008" spans="2:3" x14ac:dyDescent="0.25">
      <c r="B2008" s="105">
        <v>45176</v>
      </c>
      <c r="C2008" s="106">
        <v>66265.56</v>
      </c>
    </row>
    <row r="2009" spans="2:3" x14ac:dyDescent="0.25">
      <c r="B2009" s="105">
        <v>45177</v>
      </c>
      <c r="C2009" s="106">
        <v>66598.91</v>
      </c>
    </row>
    <row r="2010" spans="2:3" x14ac:dyDescent="0.25">
      <c r="B2010" s="105">
        <v>45180</v>
      </c>
      <c r="C2010" s="106">
        <v>67127.08</v>
      </c>
    </row>
    <row r="2011" spans="2:3" x14ac:dyDescent="0.25">
      <c r="B2011" s="105">
        <v>45181</v>
      </c>
      <c r="C2011" s="106">
        <v>67221.13</v>
      </c>
    </row>
    <row r="2012" spans="2:3" x14ac:dyDescent="0.25">
      <c r="B2012" s="105">
        <v>45182</v>
      </c>
      <c r="C2012" s="106">
        <v>67466.990000000005</v>
      </c>
    </row>
    <row r="2013" spans="2:3" x14ac:dyDescent="0.25">
      <c r="B2013" s="105">
        <v>45183</v>
      </c>
      <c r="C2013" s="106">
        <v>67519</v>
      </c>
    </row>
    <row r="2014" spans="2:3" x14ac:dyDescent="0.25">
      <c r="B2014" s="105">
        <v>45184</v>
      </c>
      <c r="C2014" s="106">
        <v>67838.63</v>
      </c>
    </row>
    <row r="2015" spans="2:3" x14ac:dyDescent="0.25">
      <c r="B2015" s="105">
        <v>45187</v>
      </c>
      <c r="C2015" s="106">
        <v>67596.84</v>
      </c>
    </row>
    <row r="2016" spans="2:3" x14ac:dyDescent="0.25">
      <c r="B2016" s="105">
        <v>45189</v>
      </c>
      <c r="C2016" s="106">
        <v>66800.84</v>
      </c>
    </row>
    <row r="2017" spans="2:3" x14ac:dyDescent="0.25">
      <c r="B2017" s="105">
        <v>45190</v>
      </c>
      <c r="C2017" s="106">
        <v>66230.240000000005</v>
      </c>
    </row>
    <row r="2018" spans="2:3" x14ac:dyDescent="0.25">
      <c r="B2018" s="105">
        <v>45191</v>
      </c>
      <c r="C2018" s="106">
        <v>66009.149999999994</v>
      </c>
    </row>
    <row r="2019" spans="2:3" x14ac:dyDescent="0.25">
      <c r="B2019" s="105">
        <v>45194</v>
      </c>
      <c r="C2019" s="106">
        <v>66023.69</v>
      </c>
    </row>
    <row r="2020" spans="2:3" x14ac:dyDescent="0.25">
      <c r="B2020" s="105">
        <v>45195</v>
      </c>
      <c r="C2020" s="106">
        <v>65945.47</v>
      </c>
    </row>
    <row r="2021" spans="2:3" x14ac:dyDescent="0.25">
      <c r="B2021" s="105">
        <v>45196</v>
      </c>
      <c r="C2021" s="106">
        <v>66118.69</v>
      </c>
    </row>
    <row r="2022" spans="2:3" x14ac:dyDescent="0.25">
      <c r="B2022" s="105">
        <v>45197</v>
      </c>
      <c r="C2022" s="106">
        <v>65508.32</v>
      </c>
    </row>
    <row r="2023" spans="2:3" x14ac:dyDescent="0.25">
      <c r="B2023" s="105">
        <v>45198</v>
      </c>
      <c r="C2023" s="106">
        <v>65828.41</v>
      </c>
    </row>
    <row r="2024" spans="2:3" x14ac:dyDescent="0.25">
      <c r="B2024" s="105">
        <v>45202</v>
      </c>
      <c r="C2024" s="106">
        <v>65512.1</v>
      </c>
    </row>
    <row r="2025" spans="2:3" x14ac:dyDescent="0.25">
      <c r="B2025" s="105">
        <v>45203</v>
      </c>
      <c r="C2025" s="106">
        <v>65226.04</v>
      </c>
    </row>
    <row r="2026" spans="2:3" x14ac:dyDescent="0.25">
      <c r="B2026" s="105">
        <v>45204</v>
      </c>
      <c r="C2026" s="106">
        <v>65631.570000000007</v>
      </c>
    </row>
    <row r="2027" spans="2:3" x14ac:dyDescent="0.25">
      <c r="B2027" s="105">
        <v>45205</v>
      </c>
      <c r="C2027" s="106">
        <v>65995.63</v>
      </c>
    </row>
    <row r="2028" spans="2:3" x14ac:dyDescent="0.25">
      <c r="B2028" s="105">
        <v>45208</v>
      </c>
      <c r="C2028" s="106">
        <v>65512.39</v>
      </c>
    </row>
    <row r="2029" spans="2:3" x14ac:dyDescent="0.25">
      <c r="B2029" s="105">
        <v>45209</v>
      </c>
      <c r="C2029" s="106">
        <v>66079.360000000001</v>
      </c>
    </row>
    <row r="2030" spans="2:3" x14ac:dyDescent="0.25">
      <c r="B2030" s="105">
        <v>45210</v>
      </c>
      <c r="C2030" s="106">
        <v>66473.05</v>
      </c>
    </row>
    <row r="2031" spans="2:3" x14ac:dyDescent="0.25">
      <c r="B2031" s="105">
        <v>45211</v>
      </c>
      <c r="C2031" s="106">
        <v>66408.39</v>
      </c>
    </row>
    <row r="2032" spans="2:3" x14ac:dyDescent="0.25">
      <c r="B2032" s="105">
        <v>45212</v>
      </c>
      <c r="C2032" s="106">
        <v>66282.740000000005</v>
      </c>
    </row>
    <row r="2033" spans="2:3" x14ac:dyDescent="0.25">
      <c r="B2033" s="105">
        <v>45215</v>
      </c>
      <c r="C2033" s="106">
        <v>66166.929999999993</v>
      </c>
    </row>
    <row r="2034" spans="2:3" x14ac:dyDescent="0.25">
      <c r="B2034" s="105">
        <v>45216</v>
      </c>
      <c r="C2034" s="106">
        <v>66428.09</v>
      </c>
    </row>
    <row r="2035" spans="2:3" x14ac:dyDescent="0.25">
      <c r="B2035" s="105">
        <v>45217</v>
      </c>
      <c r="C2035" s="106">
        <v>65877.02</v>
      </c>
    </row>
    <row r="2036" spans="2:3" x14ac:dyDescent="0.25">
      <c r="B2036" s="105">
        <v>45218</v>
      </c>
      <c r="C2036" s="106">
        <v>65629.240000000005</v>
      </c>
    </row>
    <row r="2037" spans="2:3" x14ac:dyDescent="0.25">
      <c r="B2037" s="105">
        <v>45219</v>
      </c>
      <c r="C2037" s="106">
        <v>65397.62</v>
      </c>
    </row>
    <row r="2038" spans="2:3" x14ac:dyDescent="0.25">
      <c r="B2038" s="105">
        <v>45222</v>
      </c>
      <c r="C2038" s="106">
        <v>64571.88</v>
      </c>
    </row>
    <row r="2039" spans="2:3" x14ac:dyDescent="0.25">
      <c r="B2039" s="105">
        <v>45224</v>
      </c>
      <c r="C2039" s="106">
        <v>64049.06</v>
      </c>
    </row>
    <row r="2040" spans="2:3" x14ac:dyDescent="0.25">
      <c r="B2040" s="105">
        <v>45225</v>
      </c>
      <c r="C2040" s="106">
        <v>63148.15</v>
      </c>
    </row>
    <row r="2041" spans="2:3" x14ac:dyDescent="0.25">
      <c r="B2041" s="105">
        <v>45226</v>
      </c>
      <c r="C2041" s="106">
        <v>63782.8</v>
      </c>
    </row>
    <row r="2042" spans="2:3" x14ac:dyDescent="0.25">
      <c r="B2042" s="105">
        <v>45229</v>
      </c>
      <c r="C2042" s="106">
        <v>64112.65</v>
      </c>
    </row>
    <row r="2043" spans="2:3" x14ac:dyDescent="0.25">
      <c r="B2043" s="105">
        <v>45230</v>
      </c>
      <c r="C2043" s="106">
        <v>63874.93</v>
      </c>
    </row>
    <row r="2044" spans="2:3" x14ac:dyDescent="0.25">
      <c r="B2044" s="105">
        <v>45231</v>
      </c>
      <c r="C2044" s="106">
        <v>63591.33</v>
      </c>
    </row>
    <row r="2045" spans="2:3" x14ac:dyDescent="0.25">
      <c r="B2045" s="105">
        <v>45232</v>
      </c>
      <c r="C2045" s="106">
        <v>64080.9</v>
      </c>
    </row>
    <row r="2046" spans="2:3" x14ac:dyDescent="0.25">
      <c r="B2046" s="105">
        <v>45233</v>
      </c>
      <c r="C2046" s="106">
        <v>64363.78</v>
      </c>
    </row>
    <row r="2047" spans="2:3" x14ac:dyDescent="0.25">
      <c r="B2047" s="105">
        <v>45236</v>
      </c>
      <c r="C2047" s="106">
        <v>64958.69</v>
      </c>
    </row>
    <row r="2048" spans="2:3" x14ac:dyDescent="0.25">
      <c r="B2048" s="105">
        <v>45237</v>
      </c>
      <c r="C2048" s="106">
        <v>64942.400000000001</v>
      </c>
    </row>
    <row r="2049" spans="2:3" x14ac:dyDescent="0.25">
      <c r="B2049" s="105">
        <v>45238</v>
      </c>
      <c r="C2049" s="106">
        <v>64975.61</v>
      </c>
    </row>
    <row r="2050" spans="2:3" x14ac:dyDescent="0.25">
      <c r="B2050" s="105">
        <v>45239</v>
      </c>
      <c r="C2050" s="106">
        <v>64832.2</v>
      </c>
    </row>
    <row r="2051" spans="2:3" x14ac:dyDescent="0.25">
      <c r="B2051" s="105">
        <v>45240</v>
      </c>
      <c r="C2051" s="106">
        <v>64904.68</v>
      </c>
    </row>
    <row r="2052" spans="2:3" x14ac:dyDescent="0.25">
      <c r="B2052" s="105">
        <v>45242</v>
      </c>
      <c r="C2052" s="106">
        <v>65259.45</v>
      </c>
    </row>
    <row r="2053" spans="2:3" x14ac:dyDescent="0.25">
      <c r="B2053" s="105">
        <v>45243</v>
      </c>
      <c r="C2053" s="106">
        <v>64933.87</v>
      </c>
    </row>
    <row r="2054" spans="2:3" x14ac:dyDescent="0.25">
      <c r="B2054" s="105">
        <v>45245</v>
      </c>
      <c r="C2054" s="106">
        <v>65675.929999999993</v>
      </c>
    </row>
    <row r="2055" spans="2:3" x14ac:dyDescent="0.25">
      <c r="B2055" s="105">
        <v>45246</v>
      </c>
      <c r="C2055" s="106">
        <v>65982.48</v>
      </c>
    </row>
    <row r="2056" spans="2:3" x14ac:dyDescent="0.25">
      <c r="B2056" s="105">
        <v>45247</v>
      </c>
      <c r="C2056" s="106">
        <v>65794.73</v>
      </c>
    </row>
    <row r="2057" spans="2:3" x14ac:dyDescent="0.25">
      <c r="B2057" s="105">
        <v>45250</v>
      </c>
      <c r="C2057" s="106">
        <v>65655.149999999994</v>
      </c>
    </row>
    <row r="2058" spans="2:3" x14ac:dyDescent="0.25">
      <c r="B2058" s="105">
        <v>45251</v>
      </c>
      <c r="C2058" s="106">
        <v>65930.77</v>
      </c>
    </row>
    <row r="2059" spans="2:3" x14ac:dyDescent="0.25">
      <c r="B2059" s="105">
        <v>45252</v>
      </c>
      <c r="C2059" s="106">
        <v>66023.240000000005</v>
      </c>
    </row>
    <row r="2060" spans="2:3" x14ac:dyDescent="0.25">
      <c r="B2060" s="105">
        <v>45253</v>
      </c>
      <c r="C2060" s="106">
        <v>66017.81</v>
      </c>
    </row>
    <row r="2061" spans="2:3" x14ac:dyDescent="0.25">
      <c r="B2061" s="105">
        <v>45254</v>
      </c>
      <c r="C2061" s="106">
        <v>65970.039999999994</v>
      </c>
    </row>
    <row r="2062" spans="2:3" x14ac:dyDescent="0.25">
      <c r="B2062" s="105">
        <v>45258</v>
      </c>
      <c r="C2062" s="106">
        <v>66174.2</v>
      </c>
    </row>
    <row r="2063" spans="2:3" x14ac:dyDescent="0.25">
      <c r="B2063" s="105">
        <v>45259</v>
      </c>
      <c r="C2063" s="106">
        <v>66901.91</v>
      </c>
    </row>
    <row r="2064" spans="2:3" x14ac:dyDescent="0.25">
      <c r="B2064" s="105">
        <v>45260</v>
      </c>
      <c r="C2064" s="106">
        <v>66988.44</v>
      </c>
    </row>
    <row r="2065" spans="2:3" x14ac:dyDescent="0.25">
      <c r="B2065" s="105">
        <v>45261</v>
      </c>
      <c r="C2065" s="106">
        <v>67481.19</v>
      </c>
    </row>
    <row r="2066" spans="2:3" x14ac:dyDescent="0.25">
      <c r="B2066" s="105">
        <v>45264</v>
      </c>
      <c r="C2066" s="106">
        <v>68865.119999999995</v>
      </c>
    </row>
    <row r="2067" spans="2:3" x14ac:dyDescent="0.25">
      <c r="B2067" s="105">
        <v>45265</v>
      </c>
      <c r="C2067" s="106">
        <v>69296.14</v>
      </c>
    </row>
    <row r="2068" spans="2:3" x14ac:dyDescent="0.25">
      <c r="B2068" s="105">
        <v>45266</v>
      </c>
      <c r="C2068" s="106">
        <v>69653.73</v>
      </c>
    </row>
    <row r="2069" spans="2:3" x14ac:dyDescent="0.25">
      <c r="B2069" s="105">
        <v>45267</v>
      </c>
      <c r="C2069" s="106">
        <v>69521.69</v>
      </c>
    </row>
    <row r="2070" spans="2:3" x14ac:dyDescent="0.25">
      <c r="B2070" s="105">
        <v>45268</v>
      </c>
      <c r="C2070" s="106">
        <v>69825.600000000006</v>
      </c>
    </row>
    <row r="2071" spans="2:3" x14ac:dyDescent="0.25">
      <c r="B2071" s="105">
        <v>45271</v>
      </c>
      <c r="C2071" s="106">
        <v>69928.53</v>
      </c>
    </row>
    <row r="2072" spans="2:3" x14ac:dyDescent="0.25">
      <c r="B2072" s="105">
        <v>45272</v>
      </c>
      <c r="C2072" s="106">
        <v>69551.03</v>
      </c>
    </row>
    <row r="2073" spans="2:3" x14ac:dyDescent="0.25">
      <c r="B2073" s="105">
        <v>45273</v>
      </c>
      <c r="C2073" s="106">
        <v>69584.600000000006</v>
      </c>
    </row>
    <row r="2074" spans="2:3" x14ac:dyDescent="0.25">
      <c r="B2074" s="105">
        <v>45274</v>
      </c>
      <c r="C2074" s="106">
        <v>70514.2</v>
      </c>
    </row>
    <row r="2075" spans="2:3" x14ac:dyDescent="0.25">
      <c r="B2075" s="105">
        <v>45275</v>
      </c>
      <c r="C2075" s="106">
        <v>71483.75</v>
      </c>
    </row>
    <row r="2076" spans="2:3" x14ac:dyDescent="0.25">
      <c r="B2076" s="105">
        <v>45278</v>
      </c>
      <c r="C2076" s="106">
        <v>71315.09</v>
      </c>
    </row>
    <row r="2077" spans="2:3" x14ac:dyDescent="0.25">
      <c r="B2077" s="105">
        <v>45279</v>
      </c>
      <c r="C2077" s="106">
        <v>71437.19</v>
      </c>
    </row>
    <row r="2078" spans="2:3" x14ac:dyDescent="0.25">
      <c r="B2078" s="105">
        <v>45280</v>
      </c>
      <c r="C2078" s="106">
        <v>70506.31</v>
      </c>
    </row>
    <row r="2079" spans="2:3" x14ac:dyDescent="0.25">
      <c r="B2079" s="105">
        <v>45281</v>
      </c>
      <c r="C2079" s="106">
        <v>70865.100000000006</v>
      </c>
    </row>
    <row r="2080" spans="2:3" x14ac:dyDescent="0.25">
      <c r="B2080" s="105">
        <v>45282</v>
      </c>
      <c r="C2080" s="106">
        <v>71106.960000000006</v>
      </c>
    </row>
    <row r="2081" spans="2:3" x14ac:dyDescent="0.25">
      <c r="B2081" s="105">
        <v>45286</v>
      </c>
      <c r="C2081" s="106">
        <v>71336.800000000003</v>
      </c>
    </row>
    <row r="2082" spans="2:3" x14ac:dyDescent="0.25">
      <c r="B2082" s="105">
        <v>45287</v>
      </c>
      <c r="C2082" s="106">
        <v>72038.429999999993</v>
      </c>
    </row>
    <row r="2083" spans="2:3" x14ac:dyDescent="0.25">
      <c r="B2083" s="105">
        <v>45288</v>
      </c>
      <c r="C2083" s="106">
        <v>72410.38</v>
      </c>
    </row>
    <row r="2084" spans="2:3" x14ac:dyDescent="0.25">
      <c r="B2084" s="105">
        <v>45289</v>
      </c>
      <c r="C2084" s="106">
        <v>72240.259999999995</v>
      </c>
    </row>
    <row r="2085" spans="2:3" x14ac:dyDescent="0.25">
      <c r="B2085" s="105">
        <v>45292</v>
      </c>
      <c r="C2085" s="106">
        <v>72271.94</v>
      </c>
    </row>
    <row r="2086" spans="2:3" x14ac:dyDescent="0.25">
      <c r="B2086" s="105">
        <v>45293</v>
      </c>
      <c r="C2086" s="106">
        <v>71892.479999999996</v>
      </c>
    </row>
    <row r="2087" spans="2:3" x14ac:dyDescent="0.25">
      <c r="B2087" s="105">
        <v>45294</v>
      </c>
      <c r="C2087" s="106">
        <v>71356.600000000006</v>
      </c>
    </row>
    <row r="2088" spans="2:3" x14ac:dyDescent="0.25">
      <c r="B2088" s="105">
        <v>45295</v>
      </c>
      <c r="C2088" s="106">
        <v>71847.570000000007</v>
      </c>
    </row>
    <row r="2089" spans="2:3" x14ac:dyDescent="0.25">
      <c r="B2089" s="105">
        <v>45296</v>
      </c>
      <c r="C2089" s="106">
        <v>72026.149999999994</v>
      </c>
    </row>
    <row r="2090" spans="2:3" x14ac:dyDescent="0.25">
      <c r="B2090" s="105">
        <v>45299</v>
      </c>
      <c r="C2090" s="106">
        <v>71355.22</v>
      </c>
    </row>
    <row r="2091" spans="2:3" x14ac:dyDescent="0.25">
      <c r="B2091" s="105">
        <v>45300</v>
      </c>
      <c r="C2091" s="106">
        <v>71386.210000000006</v>
      </c>
    </row>
    <row r="2092" spans="2:3" x14ac:dyDescent="0.25">
      <c r="B2092" s="105">
        <v>45301</v>
      </c>
      <c r="C2092" s="106">
        <v>71657.710000000006</v>
      </c>
    </row>
    <row r="2093" spans="2:3" x14ac:dyDescent="0.25">
      <c r="B2093" s="105">
        <v>45302</v>
      </c>
      <c r="C2093" s="106">
        <v>71721.179999999993</v>
      </c>
    </row>
    <row r="2094" spans="2:3" x14ac:dyDescent="0.25">
      <c r="B2094" s="105">
        <v>45303</v>
      </c>
      <c r="C2094" s="106">
        <v>72568.45</v>
      </c>
    </row>
    <row r="2095" spans="2:3" x14ac:dyDescent="0.25">
      <c r="B2095" s="105">
        <v>45306</v>
      </c>
      <c r="C2095" s="106">
        <v>73327.94</v>
      </c>
    </row>
    <row r="2096" spans="2:3" x14ac:dyDescent="0.25">
      <c r="B2096" s="105">
        <v>45307</v>
      </c>
      <c r="C2096" s="106">
        <v>73128.77</v>
      </c>
    </row>
    <row r="2097" spans="2:3" x14ac:dyDescent="0.25">
      <c r="B2097" s="105">
        <v>45308</v>
      </c>
      <c r="C2097" s="106">
        <v>71500.759999999995</v>
      </c>
    </row>
    <row r="2098" spans="2:3" x14ac:dyDescent="0.25">
      <c r="B2098" s="105">
        <v>45309</v>
      </c>
      <c r="C2098" s="106">
        <v>71186.86</v>
      </c>
    </row>
    <row r="2099" spans="2:3" x14ac:dyDescent="0.25">
      <c r="B2099" s="105">
        <v>45310</v>
      </c>
      <c r="C2099" s="106">
        <v>71683.23</v>
      </c>
    </row>
    <row r="2100" spans="2:3" x14ac:dyDescent="0.25">
      <c r="B2100" s="105">
        <v>45311</v>
      </c>
      <c r="C2100" s="106">
        <v>71423.649999999994</v>
      </c>
    </row>
    <row r="2101" spans="2:3" x14ac:dyDescent="0.25">
      <c r="B2101" s="105">
        <v>45314</v>
      </c>
      <c r="C2101" s="106">
        <v>70370.55</v>
      </c>
    </row>
    <row r="2102" spans="2:3" x14ac:dyDescent="0.25">
      <c r="B2102" s="105">
        <v>45315</v>
      </c>
      <c r="C2102" s="106">
        <v>71060.31</v>
      </c>
    </row>
    <row r="2103" spans="2:3" x14ac:dyDescent="0.25">
      <c r="B2103" s="105">
        <v>45316</v>
      </c>
      <c r="C2103" s="106">
        <v>70700.67</v>
      </c>
    </row>
    <row r="2104" spans="2:3" x14ac:dyDescent="0.25">
      <c r="B2104" s="105">
        <v>45320</v>
      </c>
      <c r="C2104" s="106">
        <v>71941.570000000007</v>
      </c>
    </row>
    <row r="2105" spans="2:3" x14ac:dyDescent="0.25">
      <c r="B2105" s="105">
        <v>45321</v>
      </c>
      <c r="C2105" s="106">
        <v>71139.899999999994</v>
      </c>
    </row>
    <row r="2106" spans="2:3" x14ac:dyDescent="0.25">
      <c r="B2106" s="105">
        <v>45322</v>
      </c>
      <c r="C2106" s="106">
        <v>71752.11</v>
      </c>
    </row>
    <row r="2107" spans="2:3" x14ac:dyDescent="0.25">
      <c r="B2107" s="105">
        <v>45323</v>
      </c>
      <c r="C2107" s="106">
        <v>71645.3</v>
      </c>
    </row>
    <row r="2108" spans="2:3" x14ac:dyDescent="0.25">
      <c r="B2108" s="105">
        <v>45324</v>
      </c>
      <c r="C2108" s="106">
        <v>72085.63</v>
      </c>
    </row>
    <row r="2109" spans="2:3" x14ac:dyDescent="0.25">
      <c r="B2109" s="105">
        <v>45327</v>
      </c>
      <c r="C2109" s="106">
        <v>71731.42</v>
      </c>
    </row>
    <row r="2110" spans="2:3" x14ac:dyDescent="0.25">
      <c r="B2110" s="105">
        <v>45328</v>
      </c>
      <c r="C2110" s="106">
        <v>72186.09</v>
      </c>
    </row>
    <row r="2111" spans="2:3" x14ac:dyDescent="0.25">
      <c r="B2111" s="105">
        <v>45329</v>
      </c>
      <c r="C2111" s="106">
        <v>72152</v>
      </c>
    </row>
    <row r="2112" spans="2:3" x14ac:dyDescent="0.25">
      <c r="B2112" s="105">
        <v>45330</v>
      </c>
      <c r="C2112" s="106">
        <v>71428.429999999993</v>
      </c>
    </row>
    <row r="2113" spans="2:3" x14ac:dyDescent="0.25">
      <c r="B2113" s="105">
        <v>45331</v>
      </c>
      <c r="C2113" s="106">
        <v>71595.490000000005</v>
      </c>
    </row>
    <row r="2114" spans="2:3" x14ac:dyDescent="0.25">
      <c r="B2114" s="105">
        <v>45334</v>
      </c>
      <c r="C2114" s="106">
        <v>71072.490000000005</v>
      </c>
    </row>
    <row r="2115" spans="2:3" x14ac:dyDescent="0.25">
      <c r="B2115" s="105">
        <v>45335</v>
      </c>
      <c r="C2115" s="106">
        <v>71555.19</v>
      </c>
    </row>
    <row r="2116" spans="2:3" x14ac:dyDescent="0.25">
      <c r="B2116" s="105">
        <v>45336</v>
      </c>
      <c r="C2116" s="106">
        <v>71822.83</v>
      </c>
    </row>
    <row r="2117" spans="2:3" x14ac:dyDescent="0.25">
      <c r="B2117" s="105">
        <v>45337</v>
      </c>
      <c r="C2117" s="106">
        <v>72050.38</v>
      </c>
    </row>
    <row r="2118" spans="2:3" x14ac:dyDescent="0.25">
      <c r="B2118" s="105">
        <v>45338</v>
      </c>
      <c r="C2118" s="106">
        <v>72426.64</v>
      </c>
    </row>
    <row r="2119" spans="2:3" x14ac:dyDescent="0.25">
      <c r="B2119" s="105">
        <v>45341</v>
      </c>
      <c r="C2119" s="106">
        <v>72708.160000000003</v>
      </c>
    </row>
    <row r="2120" spans="2:3" x14ac:dyDescent="0.25">
      <c r="B2120" s="105">
        <v>45342</v>
      </c>
      <c r="C2120" s="106">
        <v>73057.399999999994</v>
      </c>
    </row>
    <row r="2121" spans="2:3" x14ac:dyDescent="0.25">
      <c r="B2121" s="105">
        <v>45343</v>
      </c>
      <c r="C2121" s="106">
        <v>72623.09</v>
      </c>
    </row>
    <row r="2122" spans="2:3" x14ac:dyDescent="0.25">
      <c r="B2122" s="105">
        <v>45344</v>
      </c>
      <c r="C2122" s="106">
        <v>73158.240000000005</v>
      </c>
    </row>
    <row r="2123" spans="2:3" x14ac:dyDescent="0.25">
      <c r="B2123" s="105">
        <v>45345</v>
      </c>
      <c r="C2123" s="106">
        <v>73142.8</v>
      </c>
    </row>
    <row r="2124" spans="2:3" x14ac:dyDescent="0.25">
      <c r="B2124" s="105">
        <v>45348</v>
      </c>
      <c r="C2124" s="106">
        <v>72790.13</v>
      </c>
    </row>
    <row r="2125" spans="2:3" x14ac:dyDescent="0.25">
      <c r="B2125" s="105">
        <v>45349</v>
      </c>
      <c r="C2125" s="106">
        <v>73095.22</v>
      </c>
    </row>
    <row r="2126" spans="2:3" x14ac:dyDescent="0.25">
      <c r="B2126" s="105">
        <v>45350</v>
      </c>
      <c r="C2126" s="106">
        <v>72304.88</v>
      </c>
    </row>
    <row r="2127" spans="2:3" x14ac:dyDescent="0.25">
      <c r="B2127" s="105">
        <v>45351</v>
      </c>
      <c r="C2127" s="106">
        <v>72500.3</v>
      </c>
    </row>
    <row r="2128" spans="2:3" x14ac:dyDescent="0.25">
      <c r="B2128" s="105">
        <v>45352</v>
      </c>
      <c r="C2128" s="106">
        <v>73745.350000000006</v>
      </c>
    </row>
    <row r="2129" spans="2:3" x14ac:dyDescent="0.25">
      <c r="B2129" s="105">
        <v>45353</v>
      </c>
      <c r="C2129" s="106">
        <v>73806.149999999994</v>
      </c>
    </row>
    <row r="2130" spans="2:3" x14ac:dyDescent="0.25">
      <c r="B2130" s="105">
        <v>45355</v>
      </c>
      <c r="C2130" s="106">
        <v>73872.289999999994</v>
      </c>
    </row>
    <row r="2131" spans="2:3" x14ac:dyDescent="0.25">
      <c r="B2131" s="105">
        <v>45356</v>
      </c>
      <c r="C2131" s="106">
        <v>73677.13</v>
      </c>
    </row>
    <row r="2132" spans="2:3" x14ac:dyDescent="0.25">
      <c r="B2132" s="105">
        <v>45357</v>
      </c>
      <c r="C2132" s="106">
        <v>74085.990000000005</v>
      </c>
    </row>
    <row r="2133" spans="2:3" x14ac:dyDescent="0.25">
      <c r="B2133" s="105">
        <v>45358</v>
      </c>
      <c r="C2133" s="106">
        <v>74119.39</v>
      </c>
    </row>
    <row r="2134" spans="2:3" x14ac:dyDescent="0.25">
      <c r="B2134" s="105">
        <v>45362</v>
      </c>
      <c r="C2134" s="106">
        <v>73502.64</v>
      </c>
    </row>
    <row r="2135" spans="2:3" x14ac:dyDescent="0.25">
      <c r="B2135" s="105">
        <v>45363</v>
      </c>
      <c r="C2135" s="106">
        <v>73667.960000000006</v>
      </c>
    </row>
    <row r="2136" spans="2:3" x14ac:dyDescent="0.25">
      <c r="B2136" s="105">
        <v>45364</v>
      </c>
      <c r="C2136" s="106">
        <v>72761.89</v>
      </c>
    </row>
    <row r="2137" spans="2:3" x14ac:dyDescent="0.25">
      <c r="B2137" s="105">
        <v>45365</v>
      </c>
      <c r="C2137" s="106">
        <v>73097.279999999999</v>
      </c>
    </row>
    <row r="2138" spans="2:3" x14ac:dyDescent="0.25">
      <c r="B2138" s="105">
        <v>45366</v>
      </c>
      <c r="C2138" s="106">
        <v>72643.429999999993</v>
      </c>
    </row>
    <row r="2139" spans="2:3" x14ac:dyDescent="0.25">
      <c r="B2139" s="105">
        <v>45369</v>
      </c>
      <c r="C2139" s="106">
        <v>72748.42</v>
      </c>
    </row>
    <row r="2140" spans="2:3" x14ac:dyDescent="0.25">
      <c r="B2140" s="105">
        <v>45370</v>
      </c>
      <c r="C2140" s="106">
        <v>72012.05</v>
      </c>
    </row>
    <row r="2141" spans="2:3" x14ac:dyDescent="0.25">
      <c r="B2141" s="105">
        <v>45371</v>
      </c>
      <c r="C2141" s="106">
        <v>72101.69</v>
      </c>
    </row>
    <row r="2142" spans="2:3" x14ac:dyDescent="0.25">
      <c r="B2142" s="105">
        <v>45372</v>
      </c>
      <c r="C2142" s="106">
        <v>72641.19</v>
      </c>
    </row>
    <row r="2143" spans="2:3" x14ac:dyDescent="0.25">
      <c r="B2143" s="105">
        <v>45373</v>
      </c>
      <c r="C2143" s="106">
        <v>72831.94</v>
      </c>
    </row>
    <row r="2144" spans="2:3" x14ac:dyDescent="0.25">
      <c r="B2144" s="105">
        <v>45377</v>
      </c>
      <c r="C2144" s="106">
        <v>72470.3</v>
      </c>
    </row>
    <row r="2145" spans="2:3" x14ac:dyDescent="0.25">
      <c r="B2145" s="105">
        <v>45378</v>
      </c>
      <c r="C2145" s="106">
        <v>72996.31</v>
      </c>
    </row>
    <row r="2146" spans="2:3" x14ac:dyDescent="0.25">
      <c r="B2146" s="105">
        <v>45379</v>
      </c>
      <c r="C2146" s="106">
        <v>73651.350000000006</v>
      </c>
    </row>
    <row r="2147" spans="2:3" x14ac:dyDescent="0.25">
      <c r="B2147" s="105">
        <v>45383</v>
      </c>
      <c r="C2147" s="106">
        <v>74014.55</v>
      </c>
    </row>
    <row r="2148" spans="2:3" x14ac:dyDescent="0.25">
      <c r="B2148" s="105">
        <v>45384</v>
      </c>
      <c r="C2148" s="106">
        <v>73903.91</v>
      </c>
    </row>
    <row r="2149" spans="2:3" x14ac:dyDescent="0.25">
      <c r="B2149" s="105">
        <v>45385</v>
      </c>
      <c r="C2149" s="106">
        <v>73876.820000000007</v>
      </c>
    </row>
    <row r="2150" spans="2:3" x14ac:dyDescent="0.25">
      <c r="B2150" s="105">
        <v>45386</v>
      </c>
      <c r="C2150" s="106">
        <v>74227.63</v>
      </c>
    </row>
    <row r="2151" spans="2:3" x14ac:dyDescent="0.25">
      <c r="B2151" s="105">
        <v>45387</v>
      </c>
      <c r="C2151" s="106">
        <v>74248.22</v>
      </c>
    </row>
    <row r="2152" spans="2:3" x14ac:dyDescent="0.25">
      <c r="B2152" s="105">
        <v>45390</v>
      </c>
      <c r="C2152" s="106">
        <v>74742.5</v>
      </c>
    </row>
    <row r="2153" spans="2:3" x14ac:dyDescent="0.25">
      <c r="B2153" s="105">
        <v>45391</v>
      </c>
      <c r="C2153" s="106">
        <v>74683.7</v>
      </c>
    </row>
    <row r="2154" spans="2:3" x14ac:dyDescent="0.25">
      <c r="B2154" s="105">
        <v>45392</v>
      </c>
      <c r="C2154" s="106">
        <v>75038.149999999994</v>
      </c>
    </row>
    <row r="2155" spans="2:3" x14ac:dyDescent="0.25">
      <c r="B2155" s="105">
        <v>45394</v>
      </c>
      <c r="C2155" s="106">
        <v>74244.899999999994</v>
      </c>
    </row>
    <row r="2156" spans="2:3" x14ac:dyDescent="0.25">
      <c r="B2156" s="105">
        <v>45397</v>
      </c>
      <c r="C2156" s="106">
        <v>73399.78</v>
      </c>
    </row>
    <row r="2157" spans="2:3" x14ac:dyDescent="0.25">
      <c r="B2157" s="105">
        <v>45398</v>
      </c>
      <c r="C2157" s="106">
        <v>72943.679999999993</v>
      </c>
    </row>
    <row r="2158" spans="2:3" x14ac:dyDescent="0.25">
      <c r="B2158" s="105">
        <v>45400</v>
      </c>
      <c r="C2158" s="106">
        <v>72488.990000000005</v>
      </c>
    </row>
    <row r="2159" spans="2:3" x14ac:dyDescent="0.25">
      <c r="B2159" s="105">
        <v>45401</v>
      </c>
      <c r="C2159" s="106">
        <v>73088.33</v>
      </c>
    </row>
    <row r="2160" spans="2:3" x14ac:dyDescent="0.25">
      <c r="B2160" s="105">
        <v>45404</v>
      </c>
      <c r="C2160" s="106">
        <v>73648.62</v>
      </c>
    </row>
    <row r="2161" spans="2:3" x14ac:dyDescent="0.25">
      <c r="B2161" s="105">
        <v>45405</v>
      </c>
      <c r="C2161" s="106">
        <v>73738.45</v>
      </c>
    </row>
    <row r="2162" spans="2:3" x14ac:dyDescent="0.25">
      <c r="B2162" s="105">
        <v>45406</v>
      </c>
      <c r="C2162" s="106">
        <v>73852.94</v>
      </c>
    </row>
    <row r="2163" spans="2:3" x14ac:dyDescent="0.25">
      <c r="B2163" s="105">
        <v>45407</v>
      </c>
      <c r="C2163" s="106">
        <v>74339.44</v>
      </c>
    </row>
    <row r="2164" spans="2:3" x14ac:dyDescent="0.25">
      <c r="B2164" s="105">
        <v>45408</v>
      </c>
      <c r="C2164" s="106">
        <v>73730.16</v>
      </c>
    </row>
    <row r="2165" spans="2:3" x14ac:dyDescent="0.25">
      <c r="B2165" s="105">
        <v>45411</v>
      </c>
      <c r="C2165" s="106">
        <v>74671.28</v>
      </c>
    </row>
    <row r="2166" spans="2:3" x14ac:dyDescent="0.25">
      <c r="B2166" s="105">
        <v>45412</v>
      </c>
      <c r="C2166" s="106">
        <v>74482.78</v>
      </c>
    </row>
    <row r="2167" spans="2:3" x14ac:dyDescent="0.25">
      <c r="B2167" s="105">
        <v>45414</v>
      </c>
      <c r="C2167" s="106">
        <v>74611.11</v>
      </c>
    </row>
    <row r="2168" spans="2:3" x14ac:dyDescent="0.25">
      <c r="B2168" s="105">
        <v>45415</v>
      </c>
      <c r="C2168" s="106">
        <v>73878.149999999994</v>
      </c>
    </row>
    <row r="2169" spans="2:3" x14ac:dyDescent="0.25">
      <c r="B2169" s="105">
        <v>45418</v>
      </c>
      <c r="C2169" s="106">
        <v>73895.539999999994</v>
      </c>
    </row>
    <row r="2170" spans="2:3" x14ac:dyDescent="0.25">
      <c r="B2170" s="105">
        <v>45419</v>
      </c>
      <c r="C2170" s="106">
        <v>73511.850000000006</v>
      </c>
    </row>
    <row r="2171" spans="2:3" x14ac:dyDescent="0.25">
      <c r="B2171" s="105">
        <v>45420</v>
      </c>
      <c r="C2171" s="106">
        <v>73466.39</v>
      </c>
    </row>
    <row r="2172" spans="2:3" x14ac:dyDescent="0.25">
      <c r="B2172" s="105">
        <v>45421</v>
      </c>
      <c r="C2172" s="106">
        <v>72404.17</v>
      </c>
    </row>
    <row r="2173" spans="2:3" x14ac:dyDescent="0.25">
      <c r="B2173" s="105">
        <v>45422</v>
      </c>
      <c r="C2173" s="106">
        <v>72664.47</v>
      </c>
    </row>
    <row r="2174" spans="2:3" x14ac:dyDescent="0.25">
      <c r="B2174" s="105">
        <v>45425</v>
      </c>
      <c r="C2174" s="106">
        <v>72776.13</v>
      </c>
    </row>
    <row r="2175" spans="2:3" x14ac:dyDescent="0.25">
      <c r="B2175" s="105">
        <v>45426</v>
      </c>
      <c r="C2175" s="106">
        <v>73104.61</v>
      </c>
    </row>
    <row r="2176" spans="2:3" x14ac:dyDescent="0.25">
      <c r="B2176" s="105">
        <v>45427</v>
      </c>
      <c r="C2176" s="106">
        <v>72987.03</v>
      </c>
    </row>
    <row r="2177" spans="2:3" x14ac:dyDescent="0.25">
      <c r="B2177" s="105">
        <v>45428</v>
      </c>
      <c r="C2177" s="106">
        <v>73663.72</v>
      </c>
    </row>
    <row r="2178" spans="2:3" x14ac:dyDescent="0.25">
      <c r="B2178" s="105">
        <v>45429</v>
      </c>
      <c r="C2178" s="106">
        <v>73917.03</v>
      </c>
    </row>
    <row r="2179" spans="2:3" x14ac:dyDescent="0.25">
      <c r="B2179" s="105">
        <v>45430</v>
      </c>
      <c r="C2179" s="106">
        <v>74005.94</v>
      </c>
    </row>
    <row r="2180" spans="2:3" x14ac:dyDescent="0.25">
      <c r="B2180" s="105">
        <v>45433</v>
      </c>
      <c r="C2180" s="106">
        <v>73953.31</v>
      </c>
    </row>
    <row r="2181" spans="2:3" x14ac:dyDescent="0.25">
      <c r="B2181" s="105">
        <v>45434</v>
      </c>
      <c r="C2181" s="106">
        <v>74221.06</v>
      </c>
    </row>
    <row r="2182" spans="2:3" x14ac:dyDescent="0.25">
      <c r="B2182" s="105">
        <v>45435</v>
      </c>
      <c r="C2182" s="106">
        <v>75418.039999999994</v>
      </c>
    </row>
    <row r="2183" spans="2:3" x14ac:dyDescent="0.25">
      <c r="B2183" s="105">
        <v>45436</v>
      </c>
      <c r="C2183" s="106">
        <v>75410.39</v>
      </c>
    </row>
    <row r="2184" spans="2:3" x14ac:dyDescent="0.25">
      <c r="B2184" s="105">
        <v>45439</v>
      </c>
      <c r="C2184" s="106">
        <v>75390.5</v>
      </c>
    </row>
    <row r="2185" spans="2:3" x14ac:dyDescent="0.25">
      <c r="B2185" s="105">
        <v>45440</v>
      </c>
      <c r="C2185" s="106">
        <v>75170.45</v>
      </c>
    </row>
    <row r="2186" spans="2:3" x14ac:dyDescent="0.25">
      <c r="B2186" s="105">
        <v>45441</v>
      </c>
      <c r="C2186" s="106">
        <v>74502.899999999994</v>
      </c>
    </row>
    <row r="2187" spans="2:3" x14ac:dyDescent="0.25">
      <c r="B2187" s="105">
        <v>45442</v>
      </c>
      <c r="C2187" s="106">
        <v>73885.600000000006</v>
      </c>
    </row>
    <row r="2188" spans="2:3" x14ac:dyDescent="0.25">
      <c r="B2188" s="105">
        <v>45443</v>
      </c>
      <c r="C2188" s="106">
        <v>73961.31</v>
      </c>
    </row>
    <row r="2189" spans="2:3" x14ac:dyDescent="0.25">
      <c r="B2189" s="105">
        <v>45446</v>
      </c>
      <c r="C2189" s="106">
        <v>76468.78</v>
      </c>
    </row>
    <row r="2190" spans="2:3" x14ac:dyDescent="0.25">
      <c r="B2190" s="105">
        <v>45447</v>
      </c>
      <c r="C2190" s="106">
        <v>72079.05</v>
      </c>
    </row>
    <row r="2191" spans="2:3" x14ac:dyDescent="0.25">
      <c r="B2191" s="105">
        <v>45448</v>
      </c>
      <c r="C2191" s="106">
        <v>74382.240000000005</v>
      </c>
    </row>
    <row r="2192" spans="2:3" x14ac:dyDescent="0.25">
      <c r="B2192" s="105">
        <v>45449</v>
      </c>
      <c r="C2192" s="106">
        <v>75074.509999999995</v>
      </c>
    </row>
    <row r="2193" spans="2:3" x14ac:dyDescent="0.25">
      <c r="B2193" s="105">
        <v>45450</v>
      </c>
      <c r="C2193" s="106">
        <v>76693.36</v>
      </c>
    </row>
    <row r="2194" spans="2:3" x14ac:dyDescent="0.25">
      <c r="B2194" s="105">
        <v>45453</v>
      </c>
      <c r="C2194" s="106">
        <v>76490.080000000002</v>
      </c>
    </row>
    <row r="2195" spans="2:3" x14ac:dyDescent="0.25">
      <c r="B2195" s="105">
        <v>45454</v>
      </c>
      <c r="C2195" s="106">
        <v>76456.59</v>
      </c>
    </row>
    <row r="2196" spans="2:3" x14ac:dyDescent="0.25">
      <c r="B2196" s="105">
        <v>45455</v>
      </c>
      <c r="C2196" s="106">
        <v>76606.570000000007</v>
      </c>
    </row>
    <row r="2197" spans="2:3" x14ac:dyDescent="0.25">
      <c r="B2197" s="105">
        <v>45456</v>
      </c>
      <c r="C2197" s="106">
        <v>76810.899999999994</v>
      </c>
    </row>
    <row r="2198" spans="2:3" x14ac:dyDescent="0.25">
      <c r="B2198" s="105">
        <v>45457</v>
      </c>
      <c r="C2198" s="106">
        <v>76992.77</v>
      </c>
    </row>
    <row r="2199" spans="2:3" x14ac:dyDescent="0.25">
      <c r="B2199" s="105">
        <v>45461</v>
      </c>
      <c r="C2199" s="106">
        <v>77301.14</v>
      </c>
    </row>
    <row r="2200" spans="2:3" x14ac:dyDescent="0.25">
      <c r="B2200" s="105">
        <v>45462</v>
      </c>
      <c r="C2200" s="106">
        <v>77337.59</v>
      </c>
    </row>
    <row r="2201" spans="2:3" x14ac:dyDescent="0.25">
      <c r="B2201" s="105">
        <v>45463</v>
      </c>
      <c r="C2201" s="106">
        <v>77478.929999999993</v>
      </c>
    </row>
    <row r="2202" spans="2:3" x14ac:dyDescent="0.25">
      <c r="B2202" s="105">
        <v>45464</v>
      </c>
      <c r="C2202" s="106">
        <v>77209.899999999994</v>
      </c>
    </row>
    <row r="2203" spans="2:3" x14ac:dyDescent="0.25">
      <c r="B2203" s="105">
        <v>45467</v>
      </c>
      <c r="C2203" s="106">
        <v>77341.08</v>
      </c>
    </row>
    <row r="2204" spans="2:3" x14ac:dyDescent="0.25">
      <c r="B2204" s="105">
        <v>45468</v>
      </c>
      <c r="C2204" s="106">
        <v>78053.52</v>
      </c>
    </row>
    <row r="2205" spans="2:3" x14ac:dyDescent="0.25">
      <c r="B2205" s="105">
        <v>45469</v>
      </c>
      <c r="C2205" s="106">
        <v>78674.25</v>
      </c>
    </row>
    <row r="2206" spans="2:3" x14ac:dyDescent="0.25">
      <c r="B2206" s="105">
        <v>45470</v>
      </c>
      <c r="C2206" s="106">
        <v>79243.179999999993</v>
      </c>
    </row>
    <row r="2207" spans="2:3" x14ac:dyDescent="0.25">
      <c r="B2207" s="105">
        <v>45471</v>
      </c>
      <c r="C2207" s="106">
        <v>79032.73</v>
      </c>
    </row>
    <row r="2208" spans="2:3" x14ac:dyDescent="0.25">
      <c r="B2208" s="105">
        <v>45474</v>
      </c>
      <c r="C2208" s="106">
        <v>79476.19</v>
      </c>
    </row>
    <row r="2209" spans="2:3" x14ac:dyDescent="0.25">
      <c r="B2209" s="105">
        <v>45475</v>
      </c>
      <c r="C2209" s="106">
        <v>79441.45</v>
      </c>
    </row>
    <row r="2210" spans="2:3" x14ac:dyDescent="0.25">
      <c r="B2210" s="105">
        <v>45476</v>
      </c>
      <c r="C2210" s="106">
        <v>79986.8</v>
      </c>
    </row>
    <row r="2211" spans="2:3" x14ac:dyDescent="0.25">
      <c r="B2211" s="105">
        <v>45477</v>
      </c>
      <c r="C2211" s="106">
        <v>80049.67</v>
      </c>
    </row>
    <row r="2212" spans="2:3" x14ac:dyDescent="0.25">
      <c r="B2212" s="105">
        <v>45478</v>
      </c>
      <c r="C2212" s="106">
        <v>79996.600000000006</v>
      </c>
    </row>
    <row r="2213" spans="2:3" x14ac:dyDescent="0.25">
      <c r="B2213" s="105">
        <v>45481</v>
      </c>
      <c r="C2213" s="106">
        <v>79960.38</v>
      </c>
    </row>
    <row r="2214" spans="2:3" x14ac:dyDescent="0.25">
      <c r="B2214" s="105">
        <v>45482</v>
      </c>
      <c r="C2214" s="106">
        <v>80351.64</v>
      </c>
    </row>
    <row r="2215" spans="2:3" x14ac:dyDescent="0.25">
      <c r="B2215" s="105">
        <v>45483</v>
      </c>
      <c r="C2215" s="106">
        <v>79924.77</v>
      </c>
    </row>
    <row r="2216" spans="2:3" x14ac:dyDescent="0.25">
      <c r="B2216" s="105">
        <v>45484</v>
      </c>
      <c r="C2216" s="106">
        <v>79897.34</v>
      </c>
    </row>
    <row r="2217" spans="2:3" x14ac:dyDescent="0.25">
      <c r="B2217" s="105">
        <v>45485</v>
      </c>
      <c r="C2217" s="106">
        <v>80519.34</v>
      </c>
    </row>
    <row r="2218" spans="2:3" x14ac:dyDescent="0.25">
      <c r="B2218" s="105">
        <v>45488</v>
      </c>
      <c r="C2218" s="106">
        <v>80664.86</v>
      </c>
    </row>
    <row r="2219" spans="2:3" x14ac:dyDescent="0.25">
      <c r="B2219" s="105">
        <v>45489</v>
      </c>
      <c r="C2219" s="106">
        <v>80716.55</v>
      </c>
    </row>
    <row r="2220" spans="2:3" x14ac:dyDescent="0.25">
      <c r="B2220" s="105">
        <v>45491</v>
      </c>
      <c r="C2220" s="106">
        <v>81343.460000000006</v>
      </c>
    </row>
    <row r="2221" spans="2:3" x14ac:dyDescent="0.25">
      <c r="B2221" s="105">
        <v>45492</v>
      </c>
      <c r="C2221" s="106">
        <v>80604.649999999994</v>
      </c>
    </row>
    <row r="2222" spans="2:3" x14ac:dyDescent="0.25">
      <c r="B2222" s="105">
        <v>45495</v>
      </c>
      <c r="C2222" s="106">
        <v>80502.080000000002</v>
      </c>
    </row>
    <row r="2223" spans="2:3" x14ac:dyDescent="0.25">
      <c r="B2223" s="105">
        <v>45496</v>
      </c>
      <c r="C2223" s="106">
        <v>80429.039999999994</v>
      </c>
    </row>
    <row r="2224" spans="2:3" x14ac:dyDescent="0.25">
      <c r="B2224" s="105">
        <v>45497</v>
      </c>
      <c r="C2224" s="106">
        <v>80148.88</v>
      </c>
    </row>
    <row r="2225" spans="2:3" x14ac:dyDescent="0.25">
      <c r="B2225" s="105">
        <v>45498</v>
      </c>
      <c r="C2225" s="106">
        <v>80039.8</v>
      </c>
    </row>
    <row r="2226" spans="2:3" x14ac:dyDescent="0.25">
      <c r="B2226" s="105">
        <v>45499</v>
      </c>
      <c r="C2226" s="106">
        <v>81332.72</v>
      </c>
    </row>
    <row r="2227" spans="2:3" x14ac:dyDescent="0.25">
      <c r="B2227" s="105">
        <v>45502</v>
      </c>
      <c r="C2227" s="106">
        <v>81355.839999999997</v>
      </c>
    </row>
    <row r="2228" spans="2:3" x14ac:dyDescent="0.25">
      <c r="B2228" s="105">
        <v>45503</v>
      </c>
      <c r="C2228" s="106">
        <v>81455.399999999994</v>
      </c>
    </row>
    <row r="2229" spans="2:3" x14ac:dyDescent="0.25">
      <c r="B2229" s="105">
        <v>45504</v>
      </c>
      <c r="C2229" s="106">
        <v>81741.34</v>
      </c>
    </row>
    <row r="2230" spans="2:3" x14ac:dyDescent="0.25">
      <c r="B2230" s="105">
        <v>45505</v>
      </c>
      <c r="C2230" s="106">
        <v>81867.55</v>
      </c>
    </row>
    <row r="2231" spans="2:3" x14ac:dyDescent="0.25">
      <c r="B2231" s="105">
        <v>45506</v>
      </c>
      <c r="C2231" s="106">
        <v>80981.95</v>
      </c>
    </row>
    <row r="2232" spans="2:3" x14ac:dyDescent="0.25">
      <c r="B2232" s="105">
        <v>45509</v>
      </c>
      <c r="C2232" s="106">
        <v>78759.399999999994</v>
      </c>
    </row>
    <row r="2233" spans="2:3" x14ac:dyDescent="0.25">
      <c r="B2233" s="105">
        <v>45510</v>
      </c>
      <c r="C2233" s="106">
        <v>78593.070000000007</v>
      </c>
    </row>
    <row r="2234" spans="2:3" x14ac:dyDescent="0.25">
      <c r="B2234" s="105">
        <v>45511</v>
      </c>
      <c r="C2234" s="106">
        <v>79468.009999999995</v>
      </c>
    </row>
    <row r="2235" spans="2:3" x14ac:dyDescent="0.25">
      <c r="B2235" s="105">
        <v>45512</v>
      </c>
      <c r="C2235" s="106">
        <v>78886.22</v>
      </c>
    </row>
    <row r="2236" spans="2:3" x14ac:dyDescent="0.25">
      <c r="B2236" s="105">
        <v>45513</v>
      </c>
      <c r="C2236" s="106">
        <v>79705.91</v>
      </c>
    </row>
    <row r="2237" spans="2:3" x14ac:dyDescent="0.25">
      <c r="B2237" s="105">
        <v>45516</v>
      </c>
      <c r="C2237" s="106">
        <v>79648.92</v>
      </c>
    </row>
    <row r="2238" spans="2:3" x14ac:dyDescent="0.25">
      <c r="B2238" s="105">
        <v>45517</v>
      </c>
      <c r="C2238" s="106">
        <v>78956.03</v>
      </c>
    </row>
    <row r="2239" spans="2:3" x14ac:dyDescent="0.25">
      <c r="B2239" s="105">
        <v>45518</v>
      </c>
      <c r="C2239" s="106">
        <v>79105.88</v>
      </c>
    </row>
    <row r="2240" spans="2:3" x14ac:dyDescent="0.25">
      <c r="B2240" s="105">
        <v>45520</v>
      </c>
      <c r="C2240" s="106">
        <v>80436.84</v>
      </c>
    </row>
    <row r="2241" spans="2:3" x14ac:dyDescent="0.25">
      <c r="B2241" s="105">
        <v>45523</v>
      </c>
      <c r="C2241" s="106">
        <v>80424.679999999993</v>
      </c>
    </row>
    <row r="2242" spans="2:3" x14ac:dyDescent="0.25">
      <c r="B2242" s="105">
        <v>45524</v>
      </c>
      <c r="C2242" s="106">
        <v>80802.86</v>
      </c>
    </row>
    <row r="2243" spans="2:3" x14ac:dyDescent="0.25">
      <c r="B2243" s="105">
        <v>45525</v>
      </c>
      <c r="C2243" s="106">
        <v>80905.3</v>
      </c>
    </row>
    <row r="2244" spans="2:3" x14ac:dyDescent="0.25">
      <c r="B2244" s="105">
        <v>45526</v>
      </c>
      <c r="C2244" s="106">
        <v>81053.19</v>
      </c>
    </row>
    <row r="2245" spans="2:3" x14ac:dyDescent="0.25">
      <c r="B2245" s="105">
        <v>45527</v>
      </c>
      <c r="C2245" s="106">
        <v>81086.210000000006</v>
      </c>
    </row>
    <row r="2246" spans="2:3" x14ac:dyDescent="0.25">
      <c r="B2246" s="105">
        <v>45530</v>
      </c>
      <c r="C2246" s="106">
        <v>81698.11</v>
      </c>
    </row>
    <row r="2247" spans="2:3" x14ac:dyDescent="0.25">
      <c r="B2247" s="105">
        <v>45531</v>
      </c>
      <c r="C2247" s="106">
        <v>81711.759999999995</v>
      </c>
    </row>
    <row r="2248" spans="2:3" x14ac:dyDescent="0.25">
      <c r="B2248" s="105">
        <v>45532</v>
      </c>
      <c r="C2248" s="106">
        <v>81785.56</v>
      </c>
    </row>
    <row r="2249" spans="2:3" x14ac:dyDescent="0.25">
      <c r="B2249" s="105">
        <v>45533</v>
      </c>
      <c r="C2249" s="106">
        <v>82134.61</v>
      </c>
    </row>
    <row r="2250" spans="2:3" x14ac:dyDescent="0.25">
      <c r="B2250" s="105">
        <v>45534</v>
      </c>
      <c r="C2250" s="106">
        <v>82365.77</v>
      </c>
    </row>
    <row r="2251" spans="2:3" x14ac:dyDescent="0.25">
      <c r="B2251" s="105">
        <v>45537</v>
      </c>
      <c r="C2251" s="106">
        <v>82559.839999999997</v>
      </c>
    </row>
    <row r="2252" spans="2:3" x14ac:dyDescent="0.25">
      <c r="B2252" s="105">
        <v>45538</v>
      </c>
      <c r="C2252" s="106">
        <v>82555.44</v>
      </c>
    </row>
    <row r="2253" spans="2:3" x14ac:dyDescent="0.25">
      <c r="B2253" s="105">
        <v>45539</v>
      </c>
      <c r="C2253" s="106">
        <v>82352.639999999999</v>
      </c>
    </row>
    <row r="2254" spans="2:3" x14ac:dyDescent="0.25">
      <c r="B2254" s="105">
        <v>45540</v>
      </c>
      <c r="C2254" s="106">
        <v>82201.16</v>
      </c>
    </row>
    <row r="2255" spans="2:3" x14ac:dyDescent="0.25">
      <c r="B2255" s="105">
        <v>45541</v>
      </c>
      <c r="C2255" s="106">
        <v>81183.929999999993</v>
      </c>
    </row>
    <row r="2256" spans="2:3" x14ac:dyDescent="0.25">
      <c r="B2256" s="105">
        <v>45544</v>
      </c>
      <c r="C2256" s="106">
        <v>81559.539999999994</v>
      </c>
    </row>
    <row r="2257" spans="2:3" x14ac:dyDescent="0.25">
      <c r="B2257" s="105">
        <v>45545</v>
      </c>
      <c r="C2257" s="106">
        <v>81921.289999999994</v>
      </c>
    </row>
    <row r="2258" spans="2:3" x14ac:dyDescent="0.25">
      <c r="B2258" s="105">
        <v>45546</v>
      </c>
      <c r="C2258" s="106">
        <v>81523.16</v>
      </c>
    </row>
    <row r="2259" spans="2:3" x14ac:dyDescent="0.25">
      <c r="B2259" s="105">
        <v>45547</v>
      </c>
      <c r="C2259" s="106">
        <v>82962.710000000006</v>
      </c>
    </row>
    <row r="2260" spans="2:3" x14ac:dyDescent="0.25">
      <c r="B2260" s="105">
        <v>45548</v>
      </c>
      <c r="C2260" s="106">
        <v>82890.94</v>
      </c>
    </row>
    <row r="2261" spans="2:3" x14ac:dyDescent="0.25">
      <c r="B2261" s="105">
        <v>45551</v>
      </c>
      <c r="C2261" s="106">
        <v>82988.78</v>
      </c>
    </row>
    <row r="2262" spans="2:3" x14ac:dyDescent="0.25">
      <c r="B2262" s="105">
        <v>45552</v>
      </c>
      <c r="C2262" s="106">
        <v>83079.66</v>
      </c>
    </row>
    <row r="2263" spans="2:3" x14ac:dyDescent="0.25">
      <c r="B2263" s="105">
        <v>45553</v>
      </c>
      <c r="C2263" s="106">
        <v>82948.23</v>
      </c>
    </row>
    <row r="2264" spans="2:3" x14ac:dyDescent="0.25">
      <c r="B2264" s="105">
        <v>45554</v>
      </c>
      <c r="C2264" s="106">
        <v>83184.800000000003</v>
      </c>
    </row>
    <row r="2265" spans="2:3" x14ac:dyDescent="0.25">
      <c r="B2265" s="105">
        <v>45555</v>
      </c>
      <c r="C2265" s="106">
        <v>84544.31</v>
      </c>
    </row>
    <row r="2266" spans="2:3" x14ac:dyDescent="0.25">
      <c r="B2266" s="105">
        <v>45558</v>
      </c>
      <c r="C2266" s="106">
        <v>84928.61</v>
      </c>
    </row>
    <row r="2267" spans="2:3" x14ac:dyDescent="0.25">
      <c r="B2267" s="105">
        <v>45559</v>
      </c>
      <c r="C2267" s="106">
        <v>84914.04</v>
      </c>
    </row>
    <row r="2268" spans="2:3" x14ac:dyDescent="0.25">
      <c r="B2268" s="105">
        <v>45560</v>
      </c>
      <c r="C2268" s="106">
        <v>85169.87</v>
      </c>
    </row>
    <row r="2269" spans="2:3" x14ac:dyDescent="0.25">
      <c r="B2269" s="105">
        <v>45561</v>
      </c>
      <c r="C2269" s="106">
        <v>85836.12</v>
      </c>
    </row>
    <row r="2270" spans="2:3" x14ac:dyDescent="0.25">
      <c r="B2270" s="105">
        <v>45562</v>
      </c>
      <c r="C2270" s="106">
        <v>85571.85</v>
      </c>
    </row>
    <row r="2271" spans="2:3" x14ac:dyDescent="0.25">
      <c r="B2271" s="105">
        <v>45565</v>
      </c>
      <c r="C2271" s="106">
        <v>84299.78</v>
      </c>
    </row>
    <row r="2272" spans="2:3" x14ac:dyDescent="0.25">
      <c r="B2272" s="105">
        <v>45566</v>
      </c>
      <c r="C2272" s="106">
        <v>84266.29</v>
      </c>
    </row>
    <row r="2273" spans="2:3" x14ac:dyDescent="0.25">
      <c r="B2273" s="105">
        <v>45568</v>
      </c>
      <c r="C2273" s="106">
        <v>82497.100000000006</v>
      </c>
    </row>
    <row r="2274" spans="2:3" x14ac:dyDescent="0.25">
      <c r="B2274" s="105">
        <v>45569</v>
      </c>
      <c r="C2274" s="106">
        <v>81688.45</v>
      </c>
    </row>
    <row r="2275" spans="2:3" x14ac:dyDescent="0.25">
      <c r="B2275" s="105">
        <v>45572</v>
      </c>
      <c r="C2275" s="106">
        <v>81050</v>
      </c>
    </row>
    <row r="2276" spans="2:3" x14ac:dyDescent="0.25">
      <c r="B2276" s="105">
        <v>45573</v>
      </c>
      <c r="C2276" s="106">
        <v>81634.81</v>
      </c>
    </row>
    <row r="2277" spans="2:3" x14ac:dyDescent="0.25">
      <c r="B2277" s="105">
        <v>45574</v>
      </c>
      <c r="C2277" s="106">
        <v>81467.100000000006</v>
      </c>
    </row>
    <row r="2278" spans="2:3" x14ac:dyDescent="0.25">
      <c r="B2278" s="105">
        <v>45575</v>
      </c>
      <c r="C2278" s="106">
        <v>81611.41</v>
      </c>
    </row>
    <row r="2279" spans="2:3" x14ac:dyDescent="0.25">
      <c r="B2279" s="105">
        <v>45576</v>
      </c>
      <c r="C2279" s="106">
        <v>81381.36</v>
      </c>
    </row>
    <row r="2280" spans="2:3" x14ac:dyDescent="0.25">
      <c r="B2280" s="105">
        <v>45579</v>
      </c>
      <c r="C2280" s="106">
        <v>81973.05</v>
      </c>
    </row>
    <row r="2281" spans="2:3" x14ac:dyDescent="0.25">
      <c r="B2281" s="105">
        <v>45580</v>
      </c>
      <c r="C2281" s="106">
        <v>81820.12</v>
      </c>
    </row>
    <row r="2282" spans="2:3" x14ac:dyDescent="0.25">
      <c r="B2282" s="105">
        <v>45581</v>
      </c>
      <c r="C2282" s="106">
        <v>81501.36</v>
      </c>
    </row>
    <row r="2283" spans="2:3" x14ac:dyDescent="0.25">
      <c r="B2283" s="105">
        <v>45582</v>
      </c>
      <c r="C2283" s="106">
        <v>81006.61</v>
      </c>
    </row>
    <row r="2284" spans="2:3" x14ac:dyDescent="0.25">
      <c r="B2284" s="105">
        <v>45583</v>
      </c>
      <c r="C2284" s="106">
        <v>81224.75</v>
      </c>
    </row>
    <row r="2285" spans="2:3" x14ac:dyDescent="0.25">
      <c r="B2285" s="105">
        <v>45586</v>
      </c>
      <c r="C2285" s="106">
        <v>81151.27</v>
      </c>
    </row>
    <row r="2286" spans="2:3" x14ac:dyDescent="0.25">
      <c r="B2286" s="105">
        <v>45587</v>
      </c>
      <c r="C2286" s="106">
        <v>80220.72</v>
      </c>
    </row>
    <row r="2287" spans="2:3" x14ac:dyDescent="0.25">
      <c r="B2287" s="105">
        <v>45588</v>
      </c>
      <c r="C2287" s="106">
        <v>80081.98</v>
      </c>
    </row>
    <row r="2288" spans="2:3" x14ac:dyDescent="0.25">
      <c r="B2288" s="105">
        <v>45589</v>
      </c>
      <c r="C2288" s="106">
        <v>80065.16</v>
      </c>
    </row>
    <row r="2289" spans="2:3" x14ac:dyDescent="0.25">
      <c r="B2289" s="105">
        <v>45590</v>
      </c>
      <c r="C2289" s="106">
        <v>79402.289999999994</v>
      </c>
    </row>
    <row r="2290" spans="2:3" x14ac:dyDescent="0.25">
      <c r="B2290" s="105">
        <v>45593</v>
      </c>
      <c r="C2290" s="106">
        <v>80005.039999999994</v>
      </c>
    </row>
    <row r="2291" spans="2:3" x14ac:dyDescent="0.25">
      <c r="B2291" s="105">
        <v>45594</v>
      </c>
      <c r="C2291" s="106">
        <v>80369.03</v>
      </c>
    </row>
    <row r="2292" spans="2:3" x14ac:dyDescent="0.25">
      <c r="B2292" s="105">
        <v>45595</v>
      </c>
      <c r="C2292" s="106">
        <v>79942.179999999993</v>
      </c>
    </row>
    <row r="2293" spans="2:3" x14ac:dyDescent="0.25">
      <c r="B2293" s="105">
        <v>45596</v>
      </c>
      <c r="C2293" s="106">
        <v>79389.06</v>
      </c>
    </row>
    <row r="2294" spans="2:3" x14ac:dyDescent="0.25">
      <c r="B2294" s="105">
        <v>45597</v>
      </c>
      <c r="C2294" s="106">
        <v>79724.12</v>
      </c>
    </row>
    <row r="2295" spans="2:3" x14ac:dyDescent="0.25">
      <c r="B2295" s="105">
        <v>45600</v>
      </c>
      <c r="C2295" s="106">
        <v>78782.240000000005</v>
      </c>
    </row>
    <row r="2296" spans="2:3" x14ac:dyDescent="0.25">
      <c r="B2296" s="105">
        <v>45601</v>
      </c>
      <c r="C2296" s="106">
        <v>79476.63</v>
      </c>
    </row>
    <row r="2297" spans="2:3" x14ac:dyDescent="0.25">
      <c r="B2297" s="105">
        <v>45602</v>
      </c>
      <c r="C2297" s="106">
        <v>80378.13</v>
      </c>
    </row>
    <row r="2298" spans="2:3" x14ac:dyDescent="0.25">
      <c r="B2298" s="105">
        <v>45603</v>
      </c>
      <c r="C2298" s="106">
        <v>79541.789999999994</v>
      </c>
    </row>
    <row r="2299" spans="2:3" x14ac:dyDescent="0.25">
      <c r="B2299" s="105">
        <v>45604</v>
      </c>
      <c r="C2299" s="106">
        <v>79486.320000000007</v>
      </c>
    </row>
    <row r="2300" spans="2:3" x14ac:dyDescent="0.25">
      <c r="B2300" s="105">
        <v>45607</v>
      </c>
      <c r="C2300" s="106">
        <v>79496.149999999994</v>
      </c>
    </row>
    <row r="2301" spans="2:3" x14ac:dyDescent="0.25">
      <c r="B2301" s="105">
        <v>45608</v>
      </c>
      <c r="C2301" s="106">
        <v>78675.179999999993</v>
      </c>
    </row>
    <row r="2302" spans="2:3" x14ac:dyDescent="0.25">
      <c r="B2302" s="105">
        <v>45609</v>
      </c>
      <c r="C2302" s="106">
        <v>77690.95</v>
      </c>
    </row>
    <row r="2303" spans="2:3" x14ac:dyDescent="0.25">
      <c r="B2303" s="105">
        <v>45610</v>
      </c>
      <c r="C2303" s="106">
        <v>77580.31</v>
      </c>
    </row>
    <row r="2304" spans="2:3" x14ac:dyDescent="0.25">
      <c r="B2304" s="105">
        <v>45614</v>
      </c>
      <c r="C2304" s="106">
        <v>77339.009999999995</v>
      </c>
    </row>
    <row r="2305" spans="2:3" x14ac:dyDescent="0.25">
      <c r="B2305" s="105">
        <v>45615</v>
      </c>
      <c r="C2305" s="106">
        <v>77578.38</v>
      </c>
    </row>
    <row r="2306" spans="2:3" x14ac:dyDescent="0.25">
      <c r="B2306" s="105">
        <v>45617</v>
      </c>
      <c r="C2306" s="106">
        <v>77155.789999999994</v>
      </c>
    </row>
    <row r="2307" spans="2:3" x14ac:dyDescent="0.25">
      <c r="B2307" s="105">
        <v>45618</v>
      </c>
      <c r="C2307" s="106">
        <v>79117.11</v>
      </c>
    </row>
    <row r="2308" spans="2:3" x14ac:dyDescent="0.25">
      <c r="B2308" s="105">
        <v>45621</v>
      </c>
      <c r="C2308" s="106">
        <v>80109.850000000006</v>
      </c>
    </row>
    <row r="2309" spans="2:3" x14ac:dyDescent="0.25">
      <c r="B2309" s="105">
        <v>45622</v>
      </c>
      <c r="C2309" s="106">
        <v>80004.06</v>
      </c>
    </row>
    <row r="2310" spans="2:3" x14ac:dyDescent="0.25">
      <c r="B2310" s="105">
        <v>45623</v>
      </c>
      <c r="C2310" s="106">
        <v>80234.080000000002</v>
      </c>
    </row>
    <row r="2311" spans="2:3" x14ac:dyDescent="0.25">
      <c r="B2311" s="105">
        <v>45624</v>
      </c>
      <c r="C2311" s="106">
        <v>79043.740000000005</v>
      </c>
    </row>
    <row r="2312" spans="2:3" x14ac:dyDescent="0.25">
      <c r="B2312" s="105">
        <v>45625</v>
      </c>
      <c r="C2312" s="106">
        <v>79802.789999999994</v>
      </c>
    </row>
    <row r="2313" spans="2:3" x14ac:dyDescent="0.25">
      <c r="B2313" s="105">
        <v>45628</v>
      </c>
      <c r="C2313" s="106">
        <v>80248.08</v>
      </c>
    </row>
    <row r="2314" spans="2:3" x14ac:dyDescent="0.25">
      <c r="B2314" s="105">
        <v>45629</v>
      </c>
      <c r="C2314" s="106">
        <v>80845.75</v>
      </c>
    </row>
    <row r="2315" spans="2:3" x14ac:dyDescent="0.25">
      <c r="B2315" s="105">
        <v>45630</v>
      </c>
      <c r="C2315" s="106">
        <v>80956.33</v>
      </c>
    </row>
    <row r="2316" spans="2:3" x14ac:dyDescent="0.25">
      <c r="B2316" s="105">
        <v>45631</v>
      </c>
      <c r="C2316" s="106">
        <v>81765.86</v>
      </c>
    </row>
    <row r="2317" spans="2:3" x14ac:dyDescent="0.25">
      <c r="B2317" s="105">
        <v>45632</v>
      </c>
      <c r="C2317" s="106">
        <v>81709.119999999995</v>
      </c>
    </row>
    <row r="2318" spans="2:3" x14ac:dyDescent="0.25">
      <c r="B2318" s="105">
        <v>45635</v>
      </c>
      <c r="C2318" s="106">
        <v>81508.460000000006</v>
      </c>
    </row>
    <row r="2319" spans="2:3" x14ac:dyDescent="0.25">
      <c r="B2319" s="105">
        <v>45636</v>
      </c>
      <c r="C2319" s="106">
        <v>81510.05</v>
      </c>
    </row>
    <row r="2320" spans="2:3" x14ac:dyDescent="0.25">
      <c r="B2320" s="105">
        <v>45637</v>
      </c>
      <c r="C2320" s="106">
        <v>81526.14</v>
      </c>
    </row>
    <row r="2321" spans="2:3" x14ac:dyDescent="0.25">
      <c r="B2321" s="105">
        <v>45638</v>
      </c>
      <c r="C2321" s="106">
        <v>81289.960000000006</v>
      </c>
    </row>
    <row r="2322" spans="2:3" x14ac:dyDescent="0.25">
      <c r="B2322" s="105">
        <v>45639</v>
      </c>
      <c r="C2322" s="106">
        <v>82133.119999999995</v>
      </c>
    </row>
    <row r="2323" spans="2:3" x14ac:dyDescent="0.25">
      <c r="B2323" s="105">
        <v>45642</v>
      </c>
      <c r="C2323" s="106">
        <v>81748.570000000007</v>
      </c>
    </row>
    <row r="2324" spans="2:3" x14ac:dyDescent="0.25">
      <c r="B2324" s="105">
        <v>45643</v>
      </c>
      <c r="C2324" s="106">
        <v>80684.45</v>
      </c>
    </row>
    <row r="2325" spans="2:3" x14ac:dyDescent="0.25">
      <c r="B2325" s="105">
        <v>45644</v>
      </c>
      <c r="C2325" s="106">
        <v>80182.2</v>
      </c>
    </row>
    <row r="2326" spans="2:3" x14ac:dyDescent="0.25">
      <c r="B2326" s="105">
        <v>45645</v>
      </c>
      <c r="C2326" s="106">
        <v>79218.05</v>
      </c>
    </row>
    <row r="2327" spans="2:3" x14ac:dyDescent="0.25">
      <c r="B2327" s="105">
        <v>45646</v>
      </c>
      <c r="C2327" s="106">
        <v>78041.59</v>
      </c>
    </row>
    <row r="2328" spans="2:3" x14ac:dyDescent="0.25">
      <c r="B2328" s="105">
        <v>45649</v>
      </c>
      <c r="C2328" s="106">
        <v>78540.17</v>
      </c>
    </row>
    <row r="2329" spans="2:3" x14ac:dyDescent="0.25">
      <c r="B2329" s="105">
        <v>45650</v>
      </c>
      <c r="C2329" s="106">
        <v>78472.87</v>
      </c>
    </row>
    <row r="2330" spans="2:3" x14ac:dyDescent="0.25">
      <c r="B2330" s="105">
        <v>45652</v>
      </c>
      <c r="C2330" s="106">
        <v>78472.479999999996</v>
      </c>
    </row>
    <row r="2331" spans="2:3" x14ac:dyDescent="0.25">
      <c r="B2331" s="105">
        <v>45653</v>
      </c>
      <c r="C2331" s="106">
        <v>78699.070000000007</v>
      </c>
    </row>
    <row r="2332" spans="2:3" x14ac:dyDescent="0.25">
      <c r="B2332" s="105">
        <v>45656</v>
      </c>
      <c r="C2332" s="106">
        <v>78248.13</v>
      </c>
    </row>
    <row r="2333" spans="2:3" x14ac:dyDescent="0.25">
      <c r="B2333" s="105">
        <v>45657</v>
      </c>
      <c r="C2333" s="106">
        <v>78139.009999999995</v>
      </c>
    </row>
    <row r="2334" spans="2:3" x14ac:dyDescent="0.25">
      <c r="B2334" s="105">
        <v>45658</v>
      </c>
      <c r="C2334" s="106">
        <v>78507.41</v>
      </c>
    </row>
    <row r="2335" spans="2:3" x14ac:dyDescent="0.25">
      <c r="B2335" s="105">
        <v>45659</v>
      </c>
      <c r="C2335" s="106">
        <v>79943.710000000006</v>
      </c>
    </row>
    <row r="2336" spans="2:3" x14ac:dyDescent="0.25">
      <c r="B2336" s="105">
        <v>45660</v>
      </c>
      <c r="C2336" s="106">
        <v>79223.11</v>
      </c>
    </row>
    <row r="2337" spans="2:3" x14ac:dyDescent="0.25">
      <c r="B2337" s="105">
        <v>45663</v>
      </c>
      <c r="C2337" s="106">
        <v>77964.990000000005</v>
      </c>
    </row>
    <row r="2338" spans="2:3" x14ac:dyDescent="0.25">
      <c r="B2338" s="105">
        <v>45664</v>
      </c>
      <c r="C2338" s="106">
        <v>78199.11</v>
      </c>
    </row>
    <row r="2339" spans="2:3" x14ac:dyDescent="0.25">
      <c r="B2339" s="105">
        <v>45665</v>
      </c>
      <c r="C2339" s="106">
        <v>78148.490000000005</v>
      </c>
    </row>
    <row r="2340" spans="2:3" x14ac:dyDescent="0.25">
      <c r="B2340" s="105">
        <v>45666</v>
      </c>
      <c r="C2340" s="106">
        <v>77620.210000000006</v>
      </c>
    </row>
    <row r="2341" spans="2:3" x14ac:dyDescent="0.25">
      <c r="B2341" s="105">
        <v>45667</v>
      </c>
      <c r="C2341" s="106">
        <v>77378.91</v>
      </c>
    </row>
    <row r="2342" spans="2:3" x14ac:dyDescent="0.25">
      <c r="B2342" s="105">
        <v>45670</v>
      </c>
      <c r="C2342" s="106">
        <v>76330.009999999995</v>
      </c>
    </row>
    <row r="2343" spans="2:3" x14ac:dyDescent="0.25">
      <c r="B2343" s="105">
        <v>45671</v>
      </c>
      <c r="C2343" s="106">
        <v>76499.63</v>
      </c>
    </row>
    <row r="2344" spans="2:3" x14ac:dyDescent="0.25">
      <c r="B2344" s="105">
        <v>45672</v>
      </c>
      <c r="C2344" s="106">
        <v>76724.08</v>
      </c>
    </row>
    <row r="2345" spans="2:3" x14ac:dyDescent="0.25">
      <c r="B2345" s="105">
        <v>45673</v>
      </c>
      <c r="C2345" s="106">
        <v>77042.820000000007</v>
      </c>
    </row>
    <row r="2346" spans="2:3" x14ac:dyDescent="0.25">
      <c r="B2346" s="105">
        <v>45674</v>
      </c>
      <c r="C2346" s="106">
        <v>76619.33</v>
      </c>
    </row>
    <row r="2347" spans="2:3" x14ac:dyDescent="0.25">
      <c r="B2347" s="105">
        <v>45677</v>
      </c>
      <c r="C2347" s="106">
        <v>77073.440000000002</v>
      </c>
    </row>
    <row r="2348" spans="2:3" x14ac:dyDescent="0.25">
      <c r="B2348" s="105">
        <v>45678</v>
      </c>
      <c r="C2348" s="106">
        <v>75838.36</v>
      </c>
    </row>
    <row r="2349" spans="2:3" x14ac:dyDescent="0.25">
      <c r="B2349" s="105">
        <v>45679</v>
      </c>
      <c r="C2349" s="106">
        <v>76404.990000000005</v>
      </c>
    </row>
    <row r="2350" spans="2:3" x14ac:dyDescent="0.25">
      <c r="B2350" s="105">
        <v>45680</v>
      </c>
      <c r="C2350" s="106">
        <v>76520.38</v>
      </c>
    </row>
    <row r="2351" spans="2:3" x14ac:dyDescent="0.25">
      <c r="B2351" s="105">
        <v>45681</v>
      </c>
      <c r="C2351" s="106">
        <v>76190.460000000006</v>
      </c>
    </row>
    <row r="2352" spans="2:3" x14ac:dyDescent="0.25">
      <c r="B2352" s="105">
        <v>45684</v>
      </c>
      <c r="C2352" s="106">
        <v>75366.17</v>
      </c>
    </row>
    <row r="2353" spans="2:3" x14ac:dyDescent="0.25">
      <c r="B2353" s="105">
        <v>45685</v>
      </c>
      <c r="C2353" s="106">
        <v>75901.41</v>
      </c>
    </row>
    <row r="2354" spans="2:3" x14ac:dyDescent="0.25">
      <c r="B2354" s="105">
        <v>45686</v>
      </c>
      <c r="C2354" s="106">
        <v>76532.960000000006</v>
      </c>
    </row>
    <row r="2355" spans="2:3" x14ac:dyDescent="0.25">
      <c r="B2355" s="105">
        <v>45687</v>
      </c>
      <c r="C2355" s="106">
        <v>76759.81</v>
      </c>
    </row>
    <row r="2356" spans="2:3" x14ac:dyDescent="0.25">
      <c r="B2356" s="105">
        <v>45688</v>
      </c>
      <c r="C2356" s="106">
        <v>77500.570000000007</v>
      </c>
    </row>
    <row r="2357" spans="2:3" x14ac:dyDescent="0.25">
      <c r="B2357" s="105">
        <v>45689</v>
      </c>
      <c r="C2357" s="106">
        <v>77505.960000000006</v>
      </c>
    </row>
    <row r="2358" spans="2:3" x14ac:dyDescent="0.25">
      <c r="B2358" s="105">
        <v>45691</v>
      </c>
      <c r="C2358" s="106">
        <v>77186.740000000005</v>
      </c>
    </row>
    <row r="2359" spans="2:3" x14ac:dyDescent="0.25">
      <c r="B2359" s="105">
        <v>45692</v>
      </c>
      <c r="C2359" s="106">
        <v>78583.81</v>
      </c>
    </row>
    <row r="2360" spans="2:3" x14ac:dyDescent="0.25">
      <c r="B2360" s="105">
        <v>45693</v>
      </c>
      <c r="C2360" s="106">
        <v>78271.28</v>
      </c>
    </row>
    <row r="2361" spans="2:3" x14ac:dyDescent="0.25">
      <c r="B2361" s="105">
        <v>45694</v>
      </c>
      <c r="C2361" s="106">
        <v>78058.16</v>
      </c>
    </row>
    <row r="2362" spans="2:3" x14ac:dyDescent="0.25">
      <c r="B2362" s="105">
        <v>45695</v>
      </c>
      <c r="C2362" s="106">
        <v>77860.19</v>
      </c>
    </row>
    <row r="2363" spans="2:3" x14ac:dyDescent="0.25">
      <c r="B2363" s="105">
        <v>45698</v>
      </c>
      <c r="C2363" s="106">
        <v>77311.8</v>
      </c>
    </row>
    <row r="2364" spans="2:3" x14ac:dyDescent="0.25">
      <c r="B2364" s="105">
        <v>45699</v>
      </c>
      <c r="C2364" s="106">
        <v>76293.600000000006</v>
      </c>
    </row>
    <row r="2365" spans="2:3" x14ac:dyDescent="0.25">
      <c r="B2365" s="105">
        <v>45700</v>
      </c>
      <c r="C2365" s="106">
        <v>76171.08</v>
      </c>
    </row>
    <row r="2366" spans="2:3" x14ac:dyDescent="0.25">
      <c r="B2366" s="105">
        <v>45701</v>
      </c>
      <c r="C2366" s="106">
        <v>76138.97</v>
      </c>
    </row>
    <row r="2367" spans="2:3" x14ac:dyDescent="0.25">
      <c r="B2367" s="105">
        <v>45702</v>
      </c>
      <c r="C2367" s="106">
        <v>75939.210000000006</v>
      </c>
    </row>
    <row r="2368" spans="2:3" x14ac:dyDescent="0.25">
      <c r="B2368" s="105">
        <v>45705</v>
      </c>
      <c r="C2368" s="106">
        <v>75996.86</v>
      </c>
    </row>
    <row r="2369" spans="2:3" x14ac:dyDescent="0.25">
      <c r="B2369" s="105">
        <v>45706</v>
      </c>
      <c r="C2369" s="106">
        <v>75967.39</v>
      </c>
    </row>
    <row r="2370" spans="2:3" x14ac:dyDescent="0.25">
      <c r="B2370" s="105">
        <v>45707</v>
      </c>
      <c r="C2370" s="106">
        <v>75939.179999999993</v>
      </c>
    </row>
    <row r="2371" spans="2:3" x14ac:dyDescent="0.25">
      <c r="B2371" s="105">
        <v>45708</v>
      </c>
      <c r="C2371" s="106">
        <v>75735.960000000006</v>
      </c>
    </row>
    <row r="2372" spans="2:3" x14ac:dyDescent="0.25">
      <c r="B2372" s="105">
        <v>45709</v>
      </c>
      <c r="C2372" s="106">
        <v>75311.06</v>
      </c>
    </row>
    <row r="2373" spans="2:3" x14ac:dyDescent="0.25">
      <c r="B2373" s="105">
        <v>45712</v>
      </c>
      <c r="C2373" s="106">
        <v>74454.41</v>
      </c>
    </row>
    <row r="2374" spans="2:3" x14ac:dyDescent="0.25">
      <c r="B2374" s="105">
        <v>45713</v>
      </c>
      <c r="C2374" s="106">
        <v>74602.12</v>
      </c>
    </row>
    <row r="2375" spans="2:3" x14ac:dyDescent="0.25">
      <c r="B2375" s="105">
        <v>45715</v>
      </c>
      <c r="C2375" s="106">
        <v>74612.429999999993</v>
      </c>
    </row>
    <row r="2376" spans="2:3" x14ac:dyDescent="0.25">
      <c r="B2376" s="105">
        <v>45716</v>
      </c>
      <c r="C2376" s="106">
        <v>73198.100000000006</v>
      </c>
    </row>
    <row r="2377" spans="2:3" x14ac:dyDescent="0.25">
      <c r="B2377" s="105">
        <v>45719</v>
      </c>
      <c r="C2377" s="106">
        <v>73085.94</v>
      </c>
    </row>
    <row r="2378" spans="2:3" x14ac:dyDescent="0.25">
      <c r="B2378" s="105">
        <v>45720</v>
      </c>
      <c r="C2378" s="106">
        <v>72989.929999999993</v>
      </c>
    </row>
    <row r="2379" spans="2:3" x14ac:dyDescent="0.25">
      <c r="B2379" s="105">
        <v>45721</v>
      </c>
      <c r="C2379" s="106">
        <v>73730.23</v>
      </c>
    </row>
    <row r="2380" spans="2:3" x14ac:dyDescent="0.25">
      <c r="B2380" s="105">
        <v>45722</v>
      </c>
      <c r="C2380" s="106">
        <v>74340.09</v>
      </c>
    </row>
    <row r="2381" spans="2:3" x14ac:dyDescent="0.25">
      <c r="B2381" s="105">
        <v>45723</v>
      </c>
      <c r="C2381" s="106">
        <v>74332.58</v>
      </c>
    </row>
    <row r="2382" spans="2:3" x14ac:dyDescent="0.25">
      <c r="B2382" s="105">
        <v>45726</v>
      </c>
      <c r="C2382" s="106">
        <v>74115.17</v>
      </c>
    </row>
    <row r="2383" spans="2:3" x14ac:dyDescent="0.25">
      <c r="B2383" s="105">
        <v>45727</v>
      </c>
      <c r="C2383" s="106">
        <v>74102.320000000007</v>
      </c>
    </row>
    <row r="2384" spans="2:3" x14ac:dyDescent="0.25">
      <c r="B2384" s="105">
        <v>45728</v>
      </c>
      <c r="C2384" s="106">
        <v>74029.759999999995</v>
      </c>
    </row>
    <row r="2385" spans="2:3" x14ac:dyDescent="0.25">
      <c r="B2385" s="105">
        <v>45729</v>
      </c>
      <c r="C2385" s="106">
        <v>73828.91</v>
      </c>
    </row>
    <row r="2386" spans="2:3" x14ac:dyDescent="0.25">
      <c r="B2386" s="105">
        <v>45733</v>
      </c>
      <c r="C2386" s="106">
        <v>74169.95</v>
      </c>
    </row>
    <row r="2387" spans="2:3" x14ac:dyDescent="0.25">
      <c r="B2387" s="105">
        <v>45734</v>
      </c>
      <c r="C2387" s="106">
        <v>75301.259999999995</v>
      </c>
    </row>
    <row r="2388" spans="2:3" x14ac:dyDescent="0.25">
      <c r="B2388" s="105">
        <v>45735</v>
      </c>
      <c r="C2388" s="106">
        <v>75449.05</v>
      </c>
    </row>
    <row r="2389" spans="2:3" x14ac:dyDescent="0.25">
      <c r="B2389" s="105">
        <v>45736</v>
      </c>
      <c r="C2389" s="106">
        <v>76348.06</v>
      </c>
    </row>
    <row r="2390" spans="2:3" x14ac:dyDescent="0.25">
      <c r="B2390" s="105">
        <v>45737</v>
      </c>
      <c r="C2390" s="106">
        <v>76905.509999999995</v>
      </c>
    </row>
    <row r="2391" spans="2:3" x14ac:dyDescent="0.25">
      <c r="B2391" s="105">
        <v>45740</v>
      </c>
      <c r="C2391" s="106">
        <v>77984.38</v>
      </c>
    </row>
    <row r="2392" spans="2:3" x14ac:dyDescent="0.25">
      <c r="B2392" s="105">
        <v>45741</v>
      </c>
      <c r="C2392" s="106">
        <v>78017.19</v>
      </c>
    </row>
    <row r="2393" spans="2:3" x14ac:dyDescent="0.25">
      <c r="B2393" s="105">
        <v>45742</v>
      </c>
      <c r="C2393" s="106">
        <v>77288.5</v>
      </c>
    </row>
    <row r="2394" spans="2:3" x14ac:dyDescent="0.25">
      <c r="B2394" s="105">
        <v>45743</v>
      </c>
      <c r="C2394" s="106">
        <v>77606.429999999993</v>
      </c>
    </row>
    <row r="2395" spans="2:3" x14ac:dyDescent="0.25">
      <c r="B2395" s="105">
        <v>45744</v>
      </c>
      <c r="C2395" s="106">
        <v>77414.92</v>
      </c>
    </row>
    <row r="2396" spans="2:3" x14ac:dyDescent="0.25">
      <c r="B2396" s="105">
        <v>45748</v>
      </c>
      <c r="C2396" s="106">
        <v>76024.509999999995</v>
      </c>
    </row>
    <row r="2397" spans="2:3" x14ac:dyDescent="0.25">
      <c r="B2397" s="105">
        <v>45749</v>
      </c>
      <c r="C2397" s="106">
        <v>76617.440000000002</v>
      </c>
    </row>
    <row r="2398" spans="2:3" x14ac:dyDescent="0.25">
      <c r="B2398" s="105">
        <v>45750</v>
      </c>
      <c r="C2398" s="106">
        <v>76295.360000000001</v>
      </c>
    </row>
    <row r="2399" spans="2:3" x14ac:dyDescent="0.25">
      <c r="B2399" s="105">
        <v>45751</v>
      </c>
      <c r="C2399" s="106">
        <v>75364.69</v>
      </c>
    </row>
    <row r="2400" spans="2:3" x14ac:dyDescent="0.25">
      <c r="B2400" s="105">
        <v>45754</v>
      </c>
      <c r="C2400" s="106">
        <v>73137.899999999994</v>
      </c>
    </row>
    <row r="2401" spans="2:3" x14ac:dyDescent="0.25">
      <c r="B2401" s="105">
        <v>45755</v>
      </c>
      <c r="C2401" s="106">
        <v>74227.08</v>
      </c>
    </row>
    <row r="2402" spans="2:3" x14ac:dyDescent="0.25">
      <c r="B2402" s="105">
        <v>45756</v>
      </c>
      <c r="C2402" s="106">
        <v>73847.149999999994</v>
      </c>
    </row>
    <row r="2403" spans="2:3" x14ac:dyDescent="0.25">
      <c r="B2403" s="105">
        <v>45758</v>
      </c>
      <c r="C2403" s="106">
        <v>75157.259999999995</v>
      </c>
    </row>
    <row r="2404" spans="2:3" x14ac:dyDescent="0.25">
      <c r="B2404" s="105">
        <v>45762</v>
      </c>
      <c r="C2404" s="106">
        <v>76734.89</v>
      </c>
    </row>
    <row r="2405" spans="2:3" x14ac:dyDescent="0.25">
      <c r="B2405" s="105">
        <v>45763</v>
      </c>
      <c r="C2405" s="106">
        <v>77044.289999999994</v>
      </c>
    </row>
    <row r="2406" spans="2:3" x14ac:dyDescent="0.25">
      <c r="B2406" s="105">
        <v>45764</v>
      </c>
      <c r="C2406" s="106">
        <v>78553.2</v>
      </c>
    </row>
    <row r="2407" spans="2:3" x14ac:dyDescent="0.25">
      <c r="B2407" s="105">
        <v>45768</v>
      </c>
      <c r="C2407" s="106">
        <v>79408.5</v>
      </c>
    </row>
    <row r="2408" spans="2:3" x14ac:dyDescent="0.25">
      <c r="B2408" s="105">
        <v>45769</v>
      </c>
      <c r="C2408" s="106">
        <v>79595.59</v>
      </c>
    </row>
    <row r="2409" spans="2:3" x14ac:dyDescent="0.25">
      <c r="B2409" s="105">
        <v>45770</v>
      </c>
      <c r="C2409" s="106">
        <v>80116.490000000005</v>
      </c>
    </row>
    <row r="2410" spans="2:3" x14ac:dyDescent="0.25">
      <c r="B2410" s="105">
        <v>45771</v>
      </c>
      <c r="C2410" s="106">
        <v>79801.429999999993</v>
      </c>
    </row>
    <row r="2411" spans="2:3" x14ac:dyDescent="0.25">
      <c r="B2411" s="105">
        <v>45772</v>
      </c>
      <c r="C2411" s="106">
        <v>79212.53</v>
      </c>
    </row>
    <row r="2412" spans="2:3" x14ac:dyDescent="0.25">
      <c r="B2412" s="105">
        <v>45775</v>
      </c>
      <c r="C2412" s="106">
        <v>80218.37</v>
      </c>
    </row>
    <row r="2413" spans="2:3" x14ac:dyDescent="0.25">
      <c r="B2413" s="105">
        <v>45776</v>
      </c>
      <c r="C2413" s="106">
        <v>80288.38</v>
      </c>
    </row>
    <row r="2414" spans="2:3" x14ac:dyDescent="0.25">
      <c r="B2414" s="105">
        <v>45777</v>
      </c>
      <c r="C2414" s="106">
        <v>80242.240000000005</v>
      </c>
    </row>
    <row r="2415" spans="2:3" x14ac:dyDescent="0.25">
      <c r="B2415" s="105">
        <v>45779</v>
      </c>
      <c r="C2415" s="106">
        <v>80501.990000000005</v>
      </c>
    </row>
    <row r="2416" spans="2:3" x14ac:dyDescent="0.25">
      <c r="B2416" s="105">
        <v>45782</v>
      </c>
      <c r="C2416" s="106">
        <v>80796.84</v>
      </c>
    </row>
    <row r="2417" spans="2:3" x14ac:dyDescent="0.25">
      <c r="B2417" s="105">
        <v>45783</v>
      </c>
      <c r="C2417" s="106">
        <v>80641.070000000007</v>
      </c>
    </row>
    <row r="2418" spans="2:3" x14ac:dyDescent="0.25">
      <c r="B2418" s="105">
        <v>45784</v>
      </c>
      <c r="C2418" s="106">
        <v>80746.78</v>
      </c>
    </row>
    <row r="2419" spans="2:3" x14ac:dyDescent="0.25">
      <c r="B2419" s="105">
        <v>45785</v>
      </c>
      <c r="C2419" s="106">
        <v>80334.81</v>
      </c>
    </row>
    <row r="2420" spans="2:3" x14ac:dyDescent="0.25">
      <c r="B2420" s="105">
        <v>45786</v>
      </c>
      <c r="C2420" s="106">
        <v>79454.47</v>
      </c>
    </row>
    <row r="2421" spans="2:3" x14ac:dyDescent="0.25">
      <c r="B2421" s="105">
        <v>45789</v>
      </c>
      <c r="C2421" s="106">
        <v>82429.899999999994</v>
      </c>
    </row>
    <row r="2422" spans="2:3" x14ac:dyDescent="0.25">
      <c r="B2422" s="105">
        <v>45790</v>
      </c>
      <c r="C2422" s="106">
        <v>81148.22</v>
      </c>
    </row>
    <row r="2423" spans="2:3" x14ac:dyDescent="0.25">
      <c r="B2423" s="105">
        <v>45791</v>
      </c>
      <c r="C2423" s="106">
        <v>81330.559999999998</v>
      </c>
    </row>
    <row r="2424" spans="2:3" x14ac:dyDescent="0.25">
      <c r="B2424" s="105">
        <v>45792</v>
      </c>
      <c r="C2424" s="106">
        <v>82530.740000000005</v>
      </c>
    </row>
    <row r="2425" spans="2:3" x14ac:dyDescent="0.25">
      <c r="B2425" s="105">
        <v>45793</v>
      </c>
      <c r="C2425" s="106">
        <v>82330.59</v>
      </c>
    </row>
    <row r="2426" spans="2:3" x14ac:dyDescent="0.25">
      <c r="B2426" s="105">
        <v>45796</v>
      </c>
      <c r="C2426" s="106">
        <v>82059.42</v>
      </c>
    </row>
    <row r="2427" spans="2:3" x14ac:dyDescent="0.25">
      <c r="B2427" s="105">
        <v>45797</v>
      </c>
      <c r="C2427" s="106">
        <v>81186.44</v>
      </c>
    </row>
    <row r="2428" spans="2:3" x14ac:dyDescent="0.25">
      <c r="B2428" s="105">
        <v>45798</v>
      </c>
      <c r="C2428" s="106">
        <v>81596.63</v>
      </c>
    </row>
    <row r="2429" spans="2:3" x14ac:dyDescent="0.25">
      <c r="B2429" s="105">
        <v>45799</v>
      </c>
      <c r="C2429" s="106">
        <v>80951.990000000005</v>
      </c>
    </row>
    <row r="2430" spans="2:3" x14ac:dyDescent="0.25">
      <c r="B2430" s="105">
        <v>45800</v>
      </c>
      <c r="C2430" s="106">
        <v>81721.08</v>
      </c>
    </row>
    <row r="2431" spans="2:3" x14ac:dyDescent="0.25">
      <c r="B2431" s="105">
        <v>45803</v>
      </c>
      <c r="C2431" s="106">
        <v>82176.45</v>
      </c>
    </row>
    <row r="2432" spans="2:3" x14ac:dyDescent="0.25">
      <c r="B2432" s="105">
        <v>45804</v>
      </c>
      <c r="C2432" s="106">
        <v>81551.63</v>
      </c>
    </row>
    <row r="2433" spans="2:3" x14ac:dyDescent="0.25">
      <c r="B2433" s="105">
        <v>45805</v>
      </c>
      <c r="C2433" s="106">
        <v>81312.320000000007</v>
      </c>
    </row>
    <row r="2434" spans="2:3" x14ac:dyDescent="0.25">
      <c r="B2434" s="105">
        <v>45806</v>
      </c>
      <c r="C2434" s="106">
        <v>81633.02</v>
      </c>
    </row>
    <row r="2435" spans="2:3" x14ac:dyDescent="0.25">
      <c r="B2435" s="105">
        <v>45807</v>
      </c>
      <c r="C2435" s="106">
        <v>81451.009999999995</v>
      </c>
    </row>
    <row r="2436" spans="2:3" x14ac:dyDescent="0.25">
      <c r="B2436" s="105">
        <v>45810</v>
      </c>
      <c r="C2436" s="106">
        <v>81373.75</v>
      </c>
    </row>
    <row r="2437" spans="2:3" x14ac:dyDescent="0.25">
      <c r="B2437" s="105">
        <v>45811</v>
      </c>
      <c r="C2437" s="106">
        <v>80737.509999999995</v>
      </c>
    </row>
    <row r="2438" spans="2:3" x14ac:dyDescent="0.25">
      <c r="B2438" s="105">
        <v>45812</v>
      </c>
      <c r="C2438" s="106">
        <v>80998.25</v>
      </c>
    </row>
    <row r="2439" spans="2:3" x14ac:dyDescent="0.25">
      <c r="B2439" s="105">
        <v>45813</v>
      </c>
      <c r="C2439" s="106">
        <v>81442.039999999994</v>
      </c>
    </row>
    <row r="2440" spans="2:3" x14ac:dyDescent="0.25">
      <c r="B2440" s="105">
        <v>45814</v>
      </c>
      <c r="C2440" s="106">
        <v>82188.990000000005</v>
      </c>
    </row>
    <row r="2441" spans="2:3" x14ac:dyDescent="0.25">
      <c r="B2441" s="105">
        <v>45817</v>
      </c>
      <c r="C2441" s="106">
        <v>82445.210000000006</v>
      </c>
    </row>
    <row r="2442" spans="2:3" x14ac:dyDescent="0.25">
      <c r="B2442" s="105">
        <v>45818</v>
      </c>
      <c r="C2442" s="106">
        <v>82391.72</v>
      </c>
    </row>
    <row r="2443" spans="2:3" x14ac:dyDescent="0.25">
      <c r="B2443" s="105">
        <v>45819</v>
      </c>
      <c r="C2443" s="106">
        <v>82515.14</v>
      </c>
    </row>
    <row r="2444" spans="2:3" x14ac:dyDescent="0.25">
      <c r="B2444" s="105">
        <v>45820</v>
      </c>
      <c r="C2444" s="106">
        <v>81691.98</v>
      </c>
    </row>
    <row r="2445" spans="2:3" x14ac:dyDescent="0.25">
      <c r="B2445" s="105">
        <v>45821</v>
      </c>
      <c r="C2445" s="106">
        <v>81118.600000000006</v>
      </c>
    </row>
    <row r="2446" spans="2:3" x14ac:dyDescent="0.25">
      <c r="B2446" s="105">
        <v>45824</v>
      </c>
      <c r="C2446" s="106">
        <v>81796.149999999994</v>
      </c>
    </row>
    <row r="2447" spans="2:3" x14ac:dyDescent="0.25">
      <c r="B2447" s="105">
        <v>45825</v>
      </c>
      <c r="C2447" s="106">
        <v>81583.3</v>
      </c>
    </row>
    <row r="2448" spans="2:3" x14ac:dyDescent="0.25">
      <c r="B2448" s="105">
        <v>45826</v>
      </c>
      <c r="C2448" s="106">
        <v>81444.66</v>
      </c>
    </row>
    <row r="2449" spans="2:3" x14ac:dyDescent="0.25">
      <c r="B2449" s="105">
        <v>45827</v>
      </c>
      <c r="C2449" s="106">
        <v>81361.87</v>
      </c>
    </row>
    <row r="2450" spans="2:3" x14ac:dyDescent="0.25">
      <c r="B2450" s="105">
        <v>45828</v>
      </c>
      <c r="C2450" s="106">
        <v>82408.17</v>
      </c>
    </row>
    <row r="2451" spans="2:3" x14ac:dyDescent="0.25">
      <c r="B2451" s="105">
        <v>45831</v>
      </c>
      <c r="C2451" s="106">
        <v>81896.789999999994</v>
      </c>
    </row>
    <row r="2452" spans="2:3" x14ac:dyDescent="0.25">
      <c r="B2452" s="105">
        <v>45832</v>
      </c>
      <c r="C2452" s="106">
        <v>82055.11</v>
      </c>
    </row>
    <row r="2453" spans="2:3" x14ac:dyDescent="0.25">
      <c r="B2453" s="105">
        <v>45833</v>
      </c>
      <c r="C2453" s="106">
        <v>82755.509999999995</v>
      </c>
    </row>
    <row r="2454" spans="2:3" x14ac:dyDescent="0.25">
      <c r="B2454" s="105">
        <v>45834</v>
      </c>
      <c r="C2454" s="106">
        <v>83755.87</v>
      </c>
    </row>
    <row r="2455" spans="2:3" x14ac:dyDescent="0.25">
      <c r="B2455" s="105">
        <v>45835</v>
      </c>
      <c r="C2455" s="106">
        <v>84058.9</v>
      </c>
    </row>
    <row r="2456" spans="2:3" x14ac:dyDescent="0.25">
      <c r="B2456" s="105">
        <v>45838</v>
      </c>
      <c r="C2456" s="106">
        <v>83606.460000000006</v>
      </c>
    </row>
    <row r="2457" spans="2:3" x14ac:dyDescent="0.25">
      <c r="B2457" s="105">
        <v>45839</v>
      </c>
      <c r="C2457" s="106">
        <v>83697.289999999994</v>
      </c>
    </row>
    <row r="2458" spans="2:3" x14ac:dyDescent="0.25">
      <c r="B2458" s="105">
        <v>45840</v>
      </c>
      <c r="C2458" s="106">
        <v>83409.69</v>
      </c>
    </row>
    <row r="2459" spans="2:3" x14ac:dyDescent="0.25">
      <c r="B2459" s="105">
        <v>45841</v>
      </c>
      <c r="C2459" s="106">
        <v>83239.47</v>
      </c>
    </row>
    <row r="2460" spans="2:3" x14ac:dyDescent="0.25">
      <c r="B2460" s="105">
        <v>45842</v>
      </c>
      <c r="C2460" s="106">
        <v>83432.89</v>
      </c>
    </row>
    <row r="2461" spans="2:3" x14ac:dyDescent="0.25">
      <c r="B2461" s="105">
        <v>45845</v>
      </c>
      <c r="C2461" s="106">
        <v>83442.5</v>
      </c>
    </row>
    <row r="2462" spans="2:3" x14ac:dyDescent="0.25">
      <c r="B2462" s="105">
        <v>45846</v>
      </c>
      <c r="C2462" s="106">
        <v>83712.509999999995</v>
      </c>
    </row>
    <row r="2463" spans="2:3" x14ac:dyDescent="0.25">
      <c r="B2463" s="105">
        <v>45847</v>
      </c>
      <c r="C2463" s="106">
        <v>83536.08</v>
      </c>
    </row>
    <row r="2464" spans="2:3" x14ac:dyDescent="0.25">
      <c r="B2464" s="105">
        <v>45848</v>
      </c>
      <c r="C2464" s="106">
        <v>83190.28</v>
      </c>
    </row>
    <row r="2465" spans="2:3" x14ac:dyDescent="0.25">
      <c r="B2465" s="105">
        <v>45849</v>
      </c>
      <c r="C2465" s="106">
        <v>82500.47</v>
      </c>
    </row>
    <row r="2466" spans="2:3" x14ac:dyDescent="0.25">
      <c r="B2466" s="105">
        <v>45852</v>
      </c>
      <c r="C2466" s="106">
        <v>82253.460000000006</v>
      </c>
    </row>
    <row r="2467" spans="2:3" x14ac:dyDescent="0.25">
      <c r="B2467" s="105">
        <v>45853</v>
      </c>
      <c r="C2467" s="106">
        <v>82570.91</v>
      </c>
    </row>
    <row r="2468" spans="2:3" x14ac:dyDescent="0.25">
      <c r="B2468" s="105">
        <v>45854</v>
      </c>
      <c r="C2468" s="106">
        <v>82634.48</v>
      </c>
    </row>
    <row r="2469" spans="2:3" x14ac:dyDescent="0.25">
      <c r="B2469" s="105">
        <v>45855</v>
      </c>
      <c r="C2469" s="106">
        <v>82259.240000000005</v>
      </c>
    </row>
    <row r="2470" spans="2:3" x14ac:dyDescent="0.25">
      <c r="B2470" s="105">
        <v>45856</v>
      </c>
      <c r="C2470" s="106">
        <v>81757.73</v>
      </c>
    </row>
    <row r="2471" spans="2:3" x14ac:dyDescent="0.25">
      <c r="B2471" s="105">
        <v>45859</v>
      </c>
      <c r="C2471" s="106">
        <v>82200.34</v>
      </c>
    </row>
    <row r="2472" spans="2:3" x14ac:dyDescent="0.25">
      <c r="B2472" s="105">
        <v>45860</v>
      </c>
      <c r="C2472" s="106">
        <v>82186.81</v>
      </c>
    </row>
    <row r="2473" spans="2:3" x14ac:dyDescent="0.25">
      <c r="B2473" s="105">
        <v>45861</v>
      </c>
      <c r="C2473" s="106">
        <v>82726.64</v>
      </c>
    </row>
    <row r="2474" spans="2:3" x14ac:dyDescent="0.25">
      <c r="B2474" s="105">
        <v>45862</v>
      </c>
      <c r="C2474" s="106">
        <v>82184.17</v>
      </c>
    </row>
    <row r="2475" spans="2:3" x14ac:dyDescent="0.25">
      <c r="B2475" s="105">
        <v>45863</v>
      </c>
      <c r="C2475" s="106">
        <v>81463.09</v>
      </c>
    </row>
    <row r="2476" spans="2:3" x14ac:dyDescent="0.25">
      <c r="B2476" s="105">
        <v>45866</v>
      </c>
      <c r="C2476" s="106">
        <v>80891.02</v>
      </c>
    </row>
    <row r="2477" spans="2:3" x14ac:dyDescent="0.25">
      <c r="B2477" s="105">
        <v>45867</v>
      </c>
      <c r="C2477" s="106">
        <v>81337.95</v>
      </c>
    </row>
    <row r="2478" spans="2:3" x14ac:dyDescent="0.25">
      <c r="B2478" s="105">
        <v>45868</v>
      </c>
      <c r="C2478" s="106">
        <v>81481.86</v>
      </c>
    </row>
    <row r="2479" spans="2:3" x14ac:dyDescent="0.25">
      <c r="B2479" s="105">
        <v>45869</v>
      </c>
      <c r="C2479" s="106">
        <v>81185.58</v>
      </c>
    </row>
    <row r="2480" spans="2:3" x14ac:dyDescent="0.25">
      <c r="B2480" s="105">
        <v>45870</v>
      </c>
      <c r="C2480" s="106">
        <v>80599.91</v>
      </c>
    </row>
    <row r="2481" spans="2:3" x14ac:dyDescent="0.25">
      <c r="B2481" s="105">
        <v>45873</v>
      </c>
      <c r="C2481" s="106">
        <v>81018.720000000001</v>
      </c>
    </row>
    <row r="2482" spans="2:3" x14ac:dyDescent="0.25">
      <c r="B2482" s="105">
        <v>45874</v>
      </c>
      <c r="C2482" s="106">
        <v>80710.25</v>
      </c>
    </row>
    <row r="2483" spans="2:3" x14ac:dyDescent="0.25">
      <c r="B2483" s="105">
        <v>45875</v>
      </c>
      <c r="C2483" s="106">
        <v>80543.990000000005</v>
      </c>
    </row>
    <row r="2484" spans="2:3" x14ac:dyDescent="0.25">
      <c r="B2484" s="105">
        <v>45876</v>
      </c>
      <c r="C2484" s="106">
        <v>80623.259999999995</v>
      </c>
    </row>
    <row r="2485" spans="2:3" x14ac:dyDescent="0.25">
      <c r="B2485" s="105">
        <v>45877</v>
      </c>
      <c r="C2485" s="106">
        <v>79857.789999999994</v>
      </c>
    </row>
    <row r="2486" spans="2:3" x14ac:dyDescent="0.25">
      <c r="B2486" s="105">
        <v>45880</v>
      </c>
      <c r="C2486" s="106">
        <v>80604.08</v>
      </c>
    </row>
    <row r="2487" spans="2:3" x14ac:dyDescent="0.25">
      <c r="B2487" s="105">
        <v>45881</v>
      </c>
      <c r="C2487" s="106">
        <v>80235.59</v>
      </c>
    </row>
    <row r="2488" spans="2:3" x14ac:dyDescent="0.25">
      <c r="B2488" s="105">
        <v>45882</v>
      </c>
      <c r="C2488" s="106">
        <v>80539.91</v>
      </c>
    </row>
  </sheetData>
  <mergeCells count="1">
    <mergeCell ref="B8:F8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8:S132"/>
  <sheetViews>
    <sheetView showGridLines="0" workbookViewId="0">
      <selection activeCell="F6" sqref="F6"/>
    </sheetView>
  </sheetViews>
  <sheetFormatPr defaultRowHeight="15" x14ac:dyDescent="0.25"/>
  <cols>
    <col min="1" max="1" width="1.85546875" customWidth="1"/>
    <col min="2" max="2" width="7.42578125" bestFit="1" customWidth="1"/>
    <col min="3" max="3" width="13.7109375" customWidth="1"/>
    <col min="4" max="4" width="12" customWidth="1"/>
    <col min="7" max="7" width="16.140625" customWidth="1"/>
    <col min="8" max="8" width="11.7109375" customWidth="1"/>
    <col min="12" max="12" width="11.7109375" customWidth="1"/>
    <col min="13" max="13" width="50.7109375" bestFit="1" customWidth="1"/>
    <col min="14" max="14" width="6.28515625" customWidth="1"/>
    <col min="15" max="15" width="8.140625" customWidth="1"/>
    <col min="16" max="16" width="10.85546875" bestFit="1" customWidth="1"/>
    <col min="17" max="17" width="11" bestFit="1" customWidth="1"/>
    <col min="18" max="18" width="12.42578125" bestFit="1" customWidth="1"/>
    <col min="19" max="19" width="12.5703125" bestFit="1" customWidth="1"/>
  </cols>
  <sheetData>
    <row r="8" spans="2:19" ht="16.5" customHeight="1" thickBot="1" x14ac:dyDescent="0.3">
      <c r="B8" s="341" t="s">
        <v>232</v>
      </c>
      <c r="C8" s="341"/>
      <c r="D8" s="341"/>
      <c r="E8" s="341"/>
      <c r="F8" s="341"/>
      <c r="G8" s="341"/>
      <c r="H8" s="341"/>
      <c r="I8" s="341"/>
      <c r="J8" s="341"/>
      <c r="K8" s="341"/>
      <c r="L8" s="341"/>
      <c r="M8" s="341"/>
      <c r="N8" s="341"/>
      <c r="O8" s="341"/>
      <c r="P8" s="341"/>
      <c r="Q8" s="341"/>
      <c r="R8" s="341"/>
      <c r="S8" s="341"/>
    </row>
    <row r="9" spans="2:19" ht="14.25" customHeight="1" x14ac:dyDescent="0.25"/>
    <row r="10" spans="2:19" x14ac:dyDescent="0.25">
      <c r="B10" s="342" t="s">
        <v>221</v>
      </c>
      <c r="C10" s="107" t="s">
        <v>225</v>
      </c>
      <c r="D10" s="108" t="s">
        <v>226</v>
      </c>
      <c r="F10" s="342" t="s">
        <v>221</v>
      </c>
      <c r="G10" s="344" t="s">
        <v>228</v>
      </c>
      <c r="H10" s="120" t="s">
        <v>230</v>
      </c>
    </row>
    <row r="11" spans="2:19" ht="15.75" thickBot="1" x14ac:dyDescent="0.3">
      <c r="B11" s="343"/>
      <c r="C11" s="109" t="s">
        <v>229</v>
      </c>
      <c r="D11" s="110" t="s">
        <v>227</v>
      </c>
      <c r="F11" s="343"/>
      <c r="G11" s="345"/>
      <c r="H11" s="121" t="s">
        <v>231</v>
      </c>
    </row>
    <row r="12" spans="2:19" x14ac:dyDescent="0.25">
      <c r="B12" s="113">
        <v>42217</v>
      </c>
      <c r="C12" s="114">
        <v>26283.09</v>
      </c>
      <c r="D12" s="115"/>
      <c r="F12" s="116">
        <v>42217</v>
      </c>
      <c r="G12">
        <v>406.1</v>
      </c>
      <c r="K12" s="143" t="s">
        <v>232</v>
      </c>
      <c r="L12" s="144">
        <f>SLOPE(H13:H132,D13:D132)</f>
        <v>0.42148316663798668</v>
      </c>
      <c r="M12" s="142" t="str">
        <f ca="1">_xlfn.FORMULATEXT(L12)</f>
        <v>=SLOPE(H13:H132,D13:D132)</v>
      </c>
    </row>
    <row r="13" spans="2:19" x14ac:dyDescent="0.25">
      <c r="B13" s="116">
        <v>42248</v>
      </c>
      <c r="C13" s="106">
        <v>26154.83</v>
      </c>
      <c r="D13" s="112">
        <f>C13/C12-1</f>
        <v>-4.8799437204680718E-3</v>
      </c>
      <c r="F13" s="116">
        <v>42248</v>
      </c>
      <c r="G13">
        <v>404.4</v>
      </c>
      <c r="H13" s="112">
        <f>G13/G12-1</f>
        <v>-4.186161044077874E-3</v>
      </c>
      <c r="K13" s="143" t="s">
        <v>232</v>
      </c>
      <c r="L13" s="144">
        <f>_xlfn.COVARIANCE.S(H13:H132,D13:D132)/_xlfn.VAR.S(D13:D132)</f>
        <v>0.42148316663798685</v>
      </c>
      <c r="M13" s="142" t="str">
        <f ca="1">_xlfn.FORMULATEXT(L13)</f>
        <v>=COVARIANCE.S(H13:H132,D13:D132)/VAR.S(D13:D132)</v>
      </c>
    </row>
    <row r="14" spans="2:19" x14ac:dyDescent="0.25">
      <c r="B14" s="116">
        <v>42278</v>
      </c>
      <c r="C14" s="106">
        <v>26656.83</v>
      </c>
      <c r="D14" s="112">
        <f t="shared" ref="D14:D77" si="0">C14/C13-1</f>
        <v>1.9193395636675881E-2</v>
      </c>
      <c r="F14" s="116">
        <v>42278</v>
      </c>
      <c r="G14">
        <v>387.2</v>
      </c>
      <c r="H14" s="112">
        <f t="shared" ref="H14:H77" si="1">G14/G13-1</f>
        <v>-4.2532146389713144E-2</v>
      </c>
      <c r="K14" s="143" t="s">
        <v>232</v>
      </c>
      <c r="L14" s="144">
        <f>L33</f>
        <v>0.42148316663798663</v>
      </c>
      <c r="M14" s="142" t="s">
        <v>257</v>
      </c>
    </row>
    <row r="15" spans="2:19" ht="15.75" thickBot="1" x14ac:dyDescent="0.3">
      <c r="B15" s="116">
        <v>42309</v>
      </c>
      <c r="C15" s="106">
        <v>26145.67</v>
      </c>
      <c r="D15" s="112">
        <f t="shared" si="0"/>
        <v>-1.9175573389634271E-2</v>
      </c>
      <c r="F15" s="116">
        <v>42309</v>
      </c>
      <c r="G15">
        <v>423.2</v>
      </c>
      <c r="H15" s="112">
        <f t="shared" si="1"/>
        <v>9.2975206611570327E-2</v>
      </c>
    </row>
    <row r="16" spans="2:19" x14ac:dyDescent="0.25">
      <c r="B16" s="116">
        <v>42339</v>
      </c>
      <c r="C16" s="106">
        <v>26117.54</v>
      </c>
      <c r="D16" s="112">
        <f t="shared" si="0"/>
        <v>-1.0758951673449646E-3</v>
      </c>
      <c r="F16" s="116">
        <v>42339</v>
      </c>
      <c r="G16">
        <v>226.3</v>
      </c>
      <c r="H16" s="112">
        <f t="shared" si="1"/>
        <v>-0.46526465028355379</v>
      </c>
      <c r="K16" s="127" t="s">
        <v>233</v>
      </c>
      <c r="L16" s="128"/>
      <c r="M16" s="128"/>
      <c r="N16" s="128"/>
      <c r="O16" s="128"/>
      <c r="P16" s="128"/>
      <c r="Q16" s="128"/>
      <c r="R16" s="128"/>
      <c r="S16" s="129"/>
    </row>
    <row r="17" spans="2:19" ht="15.75" thickBot="1" x14ac:dyDescent="0.3">
      <c r="B17" s="116">
        <v>42370</v>
      </c>
      <c r="C17" s="106">
        <v>24870.69</v>
      </c>
      <c r="D17" s="112">
        <f t="shared" si="0"/>
        <v>-4.7739947943029937E-2</v>
      </c>
      <c r="F17" s="116">
        <v>42370</v>
      </c>
      <c r="G17">
        <v>222.1</v>
      </c>
      <c r="H17" s="112">
        <f t="shared" si="1"/>
        <v>-1.8559434379142759E-2</v>
      </c>
      <c r="K17" s="130"/>
      <c r="L17" s="131"/>
      <c r="M17" s="131"/>
      <c r="N17" s="131"/>
      <c r="O17" s="131"/>
      <c r="P17" s="131"/>
      <c r="Q17" s="131"/>
      <c r="R17" s="131"/>
      <c r="S17" s="132"/>
    </row>
    <row r="18" spans="2:19" x14ac:dyDescent="0.25">
      <c r="B18" s="116">
        <v>42401</v>
      </c>
      <c r="C18" s="106">
        <v>23002</v>
      </c>
      <c r="D18" s="112">
        <f t="shared" si="0"/>
        <v>-7.5136234660156176E-2</v>
      </c>
      <c r="F18" s="116">
        <v>42401</v>
      </c>
      <c r="G18">
        <v>236.85</v>
      </c>
      <c r="H18" s="112">
        <f t="shared" si="1"/>
        <v>6.641152633948666E-2</v>
      </c>
      <c r="K18" s="133" t="s">
        <v>234</v>
      </c>
      <c r="L18" s="125"/>
      <c r="M18" s="131"/>
      <c r="N18" s="131"/>
      <c r="O18" s="131"/>
      <c r="P18" s="131"/>
      <c r="Q18" s="131"/>
      <c r="R18" s="131"/>
      <c r="S18" s="132"/>
    </row>
    <row r="19" spans="2:19" x14ac:dyDescent="0.25">
      <c r="B19" s="116">
        <v>42430</v>
      </c>
      <c r="C19" s="106">
        <v>25341.86</v>
      </c>
      <c r="D19" s="112">
        <f t="shared" si="0"/>
        <v>0.1017241978958352</v>
      </c>
      <c r="F19" s="116">
        <v>42430</v>
      </c>
      <c r="G19">
        <v>242.5</v>
      </c>
      <c r="H19" s="112">
        <f t="shared" si="1"/>
        <v>2.3854760396875729E-2</v>
      </c>
      <c r="K19" s="134" t="s">
        <v>235</v>
      </c>
      <c r="L19" s="122">
        <v>0.27514388192183103</v>
      </c>
      <c r="M19" s="131"/>
      <c r="N19" s="131"/>
      <c r="O19" s="131"/>
      <c r="P19" s="131"/>
      <c r="Q19" s="131"/>
      <c r="R19" s="131"/>
      <c r="S19" s="132"/>
    </row>
    <row r="20" spans="2:19" x14ac:dyDescent="0.25">
      <c r="B20" s="116">
        <v>42461</v>
      </c>
      <c r="C20" s="106">
        <v>25606.62</v>
      </c>
      <c r="D20" s="112">
        <f t="shared" si="0"/>
        <v>1.0447536210838493E-2</v>
      </c>
      <c r="F20" s="116">
        <v>42461</v>
      </c>
      <c r="G20">
        <v>258.3</v>
      </c>
      <c r="H20" s="112">
        <f t="shared" si="1"/>
        <v>6.5154639175257767E-2</v>
      </c>
      <c r="K20" s="134" t="s">
        <v>236</v>
      </c>
      <c r="L20" s="122">
        <v>7.5704155759014513E-2</v>
      </c>
      <c r="M20" s="131"/>
      <c r="N20" s="131"/>
      <c r="O20" s="131"/>
      <c r="P20" s="131"/>
      <c r="Q20" s="131"/>
      <c r="R20" s="131"/>
      <c r="S20" s="132"/>
    </row>
    <row r="21" spans="2:19" x14ac:dyDescent="0.25">
      <c r="B21" s="116">
        <v>42491</v>
      </c>
      <c r="C21" s="106">
        <v>26667.96</v>
      </c>
      <c r="D21" s="112">
        <f t="shared" si="0"/>
        <v>4.1447875588422001E-2</v>
      </c>
      <c r="F21" s="116">
        <v>42491</v>
      </c>
      <c r="G21">
        <v>249.15</v>
      </c>
      <c r="H21" s="112">
        <f t="shared" si="1"/>
        <v>-3.5423925667828149E-2</v>
      </c>
      <c r="K21" s="134" t="s">
        <v>237</v>
      </c>
      <c r="L21" s="122">
        <v>6.787114012985361E-2</v>
      </c>
      <c r="M21" s="131"/>
      <c r="N21" s="131"/>
      <c r="O21" s="131"/>
      <c r="P21" s="131"/>
      <c r="Q21" s="131"/>
      <c r="R21" s="131"/>
      <c r="S21" s="132"/>
    </row>
    <row r="22" spans="2:19" x14ac:dyDescent="0.25">
      <c r="B22" s="116">
        <v>42522</v>
      </c>
      <c r="C22" s="106">
        <v>26999.72</v>
      </c>
      <c r="D22" s="112">
        <f t="shared" si="0"/>
        <v>1.2440396640762907E-2</v>
      </c>
      <c r="F22" s="116">
        <v>42522</v>
      </c>
      <c r="G22">
        <v>264.35000000000002</v>
      </c>
      <c r="H22" s="112">
        <f t="shared" si="1"/>
        <v>6.1007425245835911E-2</v>
      </c>
      <c r="K22" s="134" t="s">
        <v>238</v>
      </c>
      <c r="L22" s="122">
        <v>6.8360543471841118E-2</v>
      </c>
      <c r="M22" s="131"/>
      <c r="N22" s="131"/>
      <c r="O22" s="131"/>
      <c r="P22" s="131"/>
      <c r="Q22" s="131"/>
      <c r="R22" s="131"/>
      <c r="S22" s="132"/>
    </row>
    <row r="23" spans="2:19" ht="15.75" thickBot="1" x14ac:dyDescent="0.3">
      <c r="B23" s="116">
        <v>42552</v>
      </c>
      <c r="C23" s="106">
        <v>28051.86</v>
      </c>
      <c r="D23" s="112">
        <f t="shared" si="0"/>
        <v>3.8968552266468004E-2</v>
      </c>
      <c r="F23" s="116">
        <v>42552</v>
      </c>
      <c r="G23">
        <v>284.14999999999998</v>
      </c>
      <c r="H23" s="112">
        <f t="shared" si="1"/>
        <v>7.4900699829770989E-2</v>
      </c>
      <c r="K23" s="135" t="s">
        <v>239</v>
      </c>
      <c r="L23" s="123">
        <v>120</v>
      </c>
      <c r="M23" s="131"/>
      <c r="N23" s="131"/>
      <c r="O23" s="131"/>
      <c r="P23" s="131"/>
      <c r="Q23" s="131"/>
      <c r="R23" s="131"/>
      <c r="S23" s="132"/>
    </row>
    <row r="24" spans="2:19" x14ac:dyDescent="0.25">
      <c r="B24" s="116">
        <v>42583</v>
      </c>
      <c r="C24" s="106">
        <v>28452.17</v>
      </c>
      <c r="D24" s="112">
        <f t="shared" si="0"/>
        <v>1.4270354978243693E-2</v>
      </c>
      <c r="F24" s="116">
        <v>42583</v>
      </c>
      <c r="G24">
        <v>291.60000000000002</v>
      </c>
      <c r="H24" s="112">
        <f t="shared" si="1"/>
        <v>2.6218546542319254E-2</v>
      </c>
      <c r="K24" s="130"/>
      <c r="L24" s="131"/>
      <c r="M24" s="131"/>
      <c r="N24" s="131"/>
      <c r="O24" s="131"/>
      <c r="P24" s="131"/>
      <c r="Q24" s="131"/>
      <c r="R24" s="131"/>
      <c r="S24" s="132"/>
    </row>
    <row r="25" spans="2:19" ht="15.75" thickBot="1" x14ac:dyDescent="0.3">
      <c r="B25" s="116">
        <v>42614</v>
      </c>
      <c r="C25" s="106">
        <v>27865.96</v>
      </c>
      <c r="D25" s="112">
        <f t="shared" si="0"/>
        <v>-2.0603349410607263E-2</v>
      </c>
      <c r="F25" s="116">
        <v>42614</v>
      </c>
      <c r="G25">
        <v>275.2</v>
      </c>
      <c r="H25" s="112">
        <f t="shared" si="1"/>
        <v>-5.6241426611797096E-2</v>
      </c>
      <c r="K25" s="130" t="s">
        <v>240</v>
      </c>
      <c r="L25" s="131"/>
      <c r="M25" s="131"/>
      <c r="N25" s="131"/>
      <c r="O25" s="131"/>
      <c r="P25" s="131"/>
      <c r="Q25" s="131"/>
      <c r="R25" s="131"/>
      <c r="S25" s="132"/>
    </row>
    <row r="26" spans="2:19" x14ac:dyDescent="0.25">
      <c r="B26" s="116">
        <v>42644</v>
      </c>
      <c r="C26" s="106">
        <v>27930.21</v>
      </c>
      <c r="D26" s="112">
        <f t="shared" si="0"/>
        <v>2.3056804789787222E-3</v>
      </c>
      <c r="F26" s="116">
        <v>42644</v>
      </c>
      <c r="G26">
        <v>278.45</v>
      </c>
      <c r="H26" s="112">
        <f t="shared" si="1"/>
        <v>1.1809593023255793E-2</v>
      </c>
      <c r="K26" s="136"/>
      <c r="L26" s="124" t="s">
        <v>244</v>
      </c>
      <c r="M26" s="124" t="s">
        <v>245</v>
      </c>
      <c r="N26" s="124" t="s">
        <v>246</v>
      </c>
      <c r="O26" s="124" t="s">
        <v>247</v>
      </c>
      <c r="P26" s="124" t="s">
        <v>248</v>
      </c>
      <c r="Q26" s="131"/>
      <c r="R26" s="131"/>
      <c r="S26" s="132"/>
    </row>
    <row r="27" spans="2:19" x14ac:dyDescent="0.25">
      <c r="B27" s="116">
        <v>42675</v>
      </c>
      <c r="C27" s="106">
        <v>26652.81</v>
      </c>
      <c r="D27" s="112">
        <f t="shared" si="0"/>
        <v>-4.5735424116037704E-2</v>
      </c>
      <c r="F27" s="116">
        <v>42675</v>
      </c>
      <c r="G27">
        <v>252.3</v>
      </c>
      <c r="H27" s="112">
        <f t="shared" si="1"/>
        <v>-9.3912731190518905E-2</v>
      </c>
      <c r="K27" s="134" t="s">
        <v>241</v>
      </c>
      <c r="L27" s="122">
        <v>1</v>
      </c>
      <c r="M27" s="122">
        <v>4.51649715520821E-2</v>
      </c>
      <c r="N27" s="122">
        <v>4.51649715520821E-2</v>
      </c>
      <c r="O27" s="122">
        <v>9.664752292486396</v>
      </c>
      <c r="P27" s="122">
        <v>2.3545634390895764E-3</v>
      </c>
      <c r="Q27" s="131"/>
      <c r="R27" s="131"/>
      <c r="S27" s="132"/>
    </row>
    <row r="28" spans="2:19" x14ac:dyDescent="0.25">
      <c r="B28" s="116">
        <v>42705</v>
      </c>
      <c r="C28" s="106">
        <v>26626.46</v>
      </c>
      <c r="D28" s="112">
        <f t="shared" si="0"/>
        <v>-9.8863872139565157E-4</v>
      </c>
      <c r="F28" s="116">
        <v>42705</v>
      </c>
      <c r="G28">
        <v>260.25</v>
      </c>
      <c r="H28" s="112">
        <f t="shared" si="1"/>
        <v>3.1510107015457756E-2</v>
      </c>
      <c r="K28" s="134" t="s">
        <v>242</v>
      </c>
      <c r="L28" s="122">
        <v>118</v>
      </c>
      <c r="M28" s="122">
        <v>0.5514333406443267</v>
      </c>
      <c r="N28" s="122">
        <v>4.6731639037654801E-3</v>
      </c>
      <c r="O28" s="122"/>
      <c r="P28" s="122"/>
      <c r="Q28" s="131"/>
      <c r="R28" s="131"/>
      <c r="S28" s="132"/>
    </row>
    <row r="29" spans="2:19" ht="15.75" thickBot="1" x14ac:dyDescent="0.3">
      <c r="B29" s="116">
        <v>42736</v>
      </c>
      <c r="C29" s="106">
        <v>27655.96</v>
      </c>
      <c r="D29" s="112">
        <f t="shared" si="0"/>
        <v>3.8664546469939998E-2</v>
      </c>
      <c r="F29" s="116">
        <v>42736</v>
      </c>
      <c r="G29">
        <v>257.25</v>
      </c>
      <c r="H29" s="112">
        <f t="shared" si="1"/>
        <v>-1.1527377521613813E-2</v>
      </c>
      <c r="K29" s="135" t="s">
        <v>143</v>
      </c>
      <c r="L29" s="123">
        <v>119</v>
      </c>
      <c r="M29" s="123">
        <v>0.5965983121964088</v>
      </c>
      <c r="N29" s="123"/>
      <c r="O29" s="123"/>
      <c r="P29" s="123"/>
      <c r="Q29" s="131"/>
      <c r="R29" s="131"/>
      <c r="S29" s="132"/>
    </row>
    <row r="30" spans="2:19" ht="15.75" thickBot="1" x14ac:dyDescent="0.3">
      <c r="B30" s="116">
        <v>42767</v>
      </c>
      <c r="C30" s="106">
        <v>28743.32</v>
      </c>
      <c r="D30" s="112">
        <f t="shared" si="0"/>
        <v>3.931738402861451E-2</v>
      </c>
      <c r="F30" s="116">
        <v>42767</v>
      </c>
      <c r="G30">
        <v>280.5</v>
      </c>
      <c r="H30" s="112">
        <f t="shared" si="1"/>
        <v>9.0379008746355627E-2</v>
      </c>
      <c r="K30" s="130"/>
      <c r="L30" s="131"/>
      <c r="M30" s="131"/>
      <c r="N30" s="131"/>
      <c r="O30" s="131"/>
      <c r="P30" s="131"/>
      <c r="Q30" s="131"/>
      <c r="R30" s="131"/>
      <c r="S30" s="132"/>
    </row>
    <row r="31" spans="2:19" x14ac:dyDescent="0.25">
      <c r="B31" s="116">
        <v>42795</v>
      </c>
      <c r="C31" s="106">
        <v>29620.5</v>
      </c>
      <c r="D31" s="112">
        <f t="shared" si="0"/>
        <v>3.0517699416768851E-2</v>
      </c>
      <c r="F31" s="116">
        <v>42795</v>
      </c>
      <c r="G31">
        <v>294.35000000000002</v>
      </c>
      <c r="H31" s="112">
        <f t="shared" si="1"/>
        <v>4.9376114081996603E-2</v>
      </c>
      <c r="K31" s="136"/>
      <c r="L31" s="124" t="s">
        <v>249</v>
      </c>
      <c r="M31" s="124" t="s">
        <v>238</v>
      </c>
      <c r="N31" s="124" t="s">
        <v>250</v>
      </c>
      <c r="O31" s="124" t="s">
        <v>251</v>
      </c>
      <c r="P31" s="124" t="s">
        <v>252</v>
      </c>
      <c r="Q31" s="124" t="s">
        <v>253</v>
      </c>
      <c r="R31" s="124" t="s">
        <v>254</v>
      </c>
      <c r="S31" s="137" t="s">
        <v>255</v>
      </c>
    </row>
    <row r="32" spans="2:19" x14ac:dyDescent="0.25">
      <c r="B32" s="116">
        <v>42826</v>
      </c>
      <c r="C32" s="106">
        <v>29918.400000000001</v>
      </c>
      <c r="D32" s="112">
        <f t="shared" si="0"/>
        <v>1.0057223882108834E-2</v>
      </c>
      <c r="F32" s="116">
        <v>42826</v>
      </c>
      <c r="G32">
        <v>314.89999999999998</v>
      </c>
      <c r="H32" s="112">
        <f t="shared" si="1"/>
        <v>6.9814846271445408E-2</v>
      </c>
      <c r="K32" s="134" t="s">
        <v>243</v>
      </c>
      <c r="L32" s="122">
        <v>3.1555941416067197E-3</v>
      </c>
      <c r="M32" s="122">
        <v>6.3995488369045219E-3</v>
      </c>
      <c r="N32" s="122">
        <v>0.4930963450750207</v>
      </c>
      <c r="O32" s="122">
        <v>0.62286090911806613</v>
      </c>
      <c r="P32" s="122">
        <v>-9.5172548279824284E-3</v>
      </c>
      <c r="Q32" s="122">
        <v>1.5828443111195866E-2</v>
      </c>
      <c r="R32" s="122">
        <v>-9.5172548279824284E-3</v>
      </c>
      <c r="S32" s="138">
        <v>1.5828443111195866E-2</v>
      </c>
    </row>
    <row r="33" spans="2:19" ht="15.75" thickBot="1" x14ac:dyDescent="0.3">
      <c r="B33" s="116">
        <v>42856</v>
      </c>
      <c r="C33" s="106">
        <v>31145.8</v>
      </c>
      <c r="D33" s="112">
        <f t="shared" si="0"/>
        <v>4.1024921118776314E-2</v>
      </c>
      <c r="F33" s="116">
        <v>42856</v>
      </c>
      <c r="G33">
        <v>313.89999999999998</v>
      </c>
      <c r="H33" s="112">
        <f t="shared" si="1"/>
        <v>-3.1756113051762958E-3</v>
      </c>
      <c r="K33" s="135" t="s">
        <v>256</v>
      </c>
      <c r="L33" s="126">
        <v>0.42148316663798663</v>
      </c>
      <c r="M33" s="123">
        <v>0.13557664122888594</v>
      </c>
      <c r="N33" s="123">
        <v>3.1088184721025933</v>
      </c>
      <c r="O33" s="123">
        <v>2.3545634390897039E-3</v>
      </c>
      <c r="P33" s="123">
        <v>0.15300450636278595</v>
      </c>
      <c r="Q33" s="123">
        <v>0.6899618269131873</v>
      </c>
      <c r="R33" s="123">
        <v>0.15300450636278595</v>
      </c>
      <c r="S33" s="139">
        <v>0.6899618269131873</v>
      </c>
    </row>
    <row r="34" spans="2:19" x14ac:dyDescent="0.25">
      <c r="B34" s="116">
        <v>42887</v>
      </c>
      <c r="C34" s="106">
        <v>30921.61</v>
      </c>
      <c r="D34" s="112">
        <f t="shared" si="0"/>
        <v>-7.1980812822274309E-3</v>
      </c>
      <c r="F34" s="116">
        <v>42887</v>
      </c>
      <c r="G34">
        <v>313.95</v>
      </c>
      <c r="H34" s="112">
        <f t="shared" si="1"/>
        <v>1.5928639694173796E-4</v>
      </c>
    </row>
    <row r="35" spans="2:19" x14ac:dyDescent="0.25">
      <c r="B35" s="116">
        <v>42917</v>
      </c>
      <c r="C35" s="106">
        <v>32514.94</v>
      </c>
      <c r="D35" s="112">
        <f t="shared" si="0"/>
        <v>5.1528041392411295E-2</v>
      </c>
      <c r="F35" s="116">
        <v>42917</v>
      </c>
      <c r="G35">
        <v>333.55</v>
      </c>
      <c r="H35" s="112">
        <f t="shared" si="1"/>
        <v>6.2430323299888624E-2</v>
      </c>
    </row>
    <row r="36" spans="2:19" x14ac:dyDescent="0.25">
      <c r="B36" s="116">
        <v>42948</v>
      </c>
      <c r="C36" s="106">
        <v>31730.49</v>
      </c>
      <c r="D36" s="112">
        <f t="shared" si="0"/>
        <v>-2.4125832617252208E-2</v>
      </c>
      <c r="F36" s="116">
        <v>42948</v>
      </c>
      <c r="G36">
        <v>314.5</v>
      </c>
      <c r="H36" s="112">
        <f t="shared" si="1"/>
        <v>-5.7112876630190379E-2</v>
      </c>
    </row>
    <row r="37" spans="2:19" x14ac:dyDescent="0.25">
      <c r="B37" s="116">
        <v>42979</v>
      </c>
      <c r="C37" s="106">
        <v>31283.72</v>
      </c>
      <c r="D37" s="112">
        <f t="shared" si="0"/>
        <v>-1.4080148147727956E-2</v>
      </c>
      <c r="F37" s="116">
        <v>42979</v>
      </c>
      <c r="G37">
        <v>310.75</v>
      </c>
      <c r="H37" s="112">
        <f t="shared" si="1"/>
        <v>-1.1923688394276599E-2</v>
      </c>
    </row>
    <row r="38" spans="2:19" x14ac:dyDescent="0.25">
      <c r="B38" s="116">
        <v>43009</v>
      </c>
      <c r="C38" s="106">
        <v>33213.129999999997</v>
      </c>
      <c r="D38" s="112">
        <f t="shared" si="0"/>
        <v>6.1674570671262696E-2</v>
      </c>
      <c r="F38" s="116">
        <v>43009</v>
      </c>
      <c r="G38">
        <v>315.2</v>
      </c>
      <c r="H38" s="112">
        <f t="shared" si="1"/>
        <v>1.4320193081255095E-2</v>
      </c>
    </row>
    <row r="39" spans="2:19" x14ac:dyDescent="0.25">
      <c r="B39" s="116">
        <v>43040</v>
      </c>
      <c r="C39" s="106">
        <v>33149.35</v>
      </c>
      <c r="D39" s="112">
        <f t="shared" si="0"/>
        <v>-1.9203248835625297E-3</v>
      </c>
      <c r="F39" s="116">
        <v>43040</v>
      </c>
      <c r="G39">
        <v>305.7</v>
      </c>
      <c r="H39" s="112">
        <f t="shared" si="1"/>
        <v>-3.0139593908629414E-2</v>
      </c>
    </row>
    <row r="40" spans="2:19" x14ac:dyDescent="0.25">
      <c r="B40" s="116">
        <v>43070</v>
      </c>
      <c r="C40" s="106">
        <v>34056.83</v>
      </c>
      <c r="D40" s="112">
        <f t="shared" si="0"/>
        <v>2.7375499067100906E-2</v>
      </c>
      <c r="F40" s="116">
        <v>43070</v>
      </c>
      <c r="G40">
        <v>322.14999999999998</v>
      </c>
      <c r="H40" s="112">
        <f t="shared" si="1"/>
        <v>5.3810925744193661E-2</v>
      </c>
    </row>
    <row r="41" spans="2:19" x14ac:dyDescent="0.25">
      <c r="B41" s="116">
        <v>43101</v>
      </c>
      <c r="C41" s="106">
        <v>35965.019999999997</v>
      </c>
      <c r="D41" s="112">
        <f t="shared" si="0"/>
        <v>5.6029583493237389E-2</v>
      </c>
      <c r="F41" s="116">
        <v>43101</v>
      </c>
      <c r="G41">
        <v>309.60000000000002</v>
      </c>
      <c r="H41" s="112">
        <f t="shared" si="1"/>
        <v>-3.8957007605152749E-2</v>
      </c>
    </row>
    <row r="42" spans="2:19" x14ac:dyDescent="0.25">
      <c r="B42" s="116">
        <v>43132</v>
      </c>
      <c r="C42" s="106">
        <v>34184.04</v>
      </c>
      <c r="D42" s="112">
        <f t="shared" si="0"/>
        <v>-4.9519783389526673E-2</v>
      </c>
      <c r="F42" s="116">
        <v>43132</v>
      </c>
      <c r="G42">
        <v>308.75</v>
      </c>
      <c r="H42" s="112">
        <f t="shared" si="1"/>
        <v>-2.7454780361757525E-3</v>
      </c>
    </row>
    <row r="43" spans="2:19" x14ac:dyDescent="0.25">
      <c r="B43" s="116">
        <v>43160</v>
      </c>
      <c r="C43" s="106">
        <v>32968.68</v>
      </c>
      <c r="D43" s="112">
        <f t="shared" si="0"/>
        <v>-3.5553433707660065E-2</v>
      </c>
      <c r="F43" s="116">
        <v>43160</v>
      </c>
      <c r="G43">
        <v>326.10000000000002</v>
      </c>
      <c r="H43" s="112">
        <f t="shared" si="1"/>
        <v>5.6194331983805634E-2</v>
      </c>
    </row>
    <row r="44" spans="2:19" x14ac:dyDescent="0.25">
      <c r="B44" s="116">
        <v>43191</v>
      </c>
      <c r="C44" s="106">
        <v>35160.36</v>
      </c>
      <c r="D44" s="112">
        <f t="shared" si="0"/>
        <v>6.6477638777166614E-2</v>
      </c>
      <c r="F44" s="116">
        <v>43191</v>
      </c>
      <c r="G44">
        <v>332.85</v>
      </c>
      <c r="H44" s="112">
        <f t="shared" si="1"/>
        <v>2.0699172033118662E-2</v>
      </c>
    </row>
    <row r="45" spans="2:19" x14ac:dyDescent="0.25">
      <c r="B45" s="116">
        <v>43221</v>
      </c>
      <c r="C45" s="106">
        <v>35322.379999999997</v>
      </c>
      <c r="D45" s="112">
        <f t="shared" si="0"/>
        <v>4.6080301794406697E-3</v>
      </c>
      <c r="F45" s="116">
        <v>43221</v>
      </c>
      <c r="G45">
        <v>322.14999999999998</v>
      </c>
      <c r="H45" s="112">
        <f t="shared" si="1"/>
        <v>-3.2146612588253132E-2</v>
      </c>
    </row>
    <row r="46" spans="2:19" x14ac:dyDescent="0.25">
      <c r="B46" s="116">
        <v>43252</v>
      </c>
      <c r="C46" s="106">
        <v>35423.480000000003</v>
      </c>
      <c r="D46" s="112">
        <f t="shared" si="0"/>
        <v>2.8622080392093352E-3</v>
      </c>
      <c r="F46" s="116">
        <v>43252</v>
      </c>
      <c r="G46">
        <v>331.7</v>
      </c>
      <c r="H46" s="112">
        <f t="shared" si="1"/>
        <v>2.9644575508303683E-2</v>
      </c>
    </row>
    <row r="47" spans="2:19" x14ac:dyDescent="0.25">
      <c r="B47" s="116">
        <v>43282</v>
      </c>
      <c r="C47" s="106">
        <v>37606.58</v>
      </c>
      <c r="D47" s="112">
        <f t="shared" si="0"/>
        <v>6.1628614692853301E-2</v>
      </c>
      <c r="F47" s="116">
        <v>43282</v>
      </c>
      <c r="G47">
        <v>363.65</v>
      </c>
      <c r="H47" s="112">
        <f t="shared" si="1"/>
        <v>9.6321977690684291E-2</v>
      </c>
    </row>
    <row r="48" spans="2:19" x14ac:dyDescent="0.25">
      <c r="B48" s="116">
        <v>43313</v>
      </c>
      <c r="C48" s="106">
        <v>38645.07</v>
      </c>
      <c r="D48" s="112">
        <f t="shared" si="0"/>
        <v>2.7614582341707106E-2</v>
      </c>
      <c r="F48" s="116">
        <v>43313</v>
      </c>
      <c r="G48">
        <v>369.35</v>
      </c>
      <c r="H48" s="112">
        <f t="shared" si="1"/>
        <v>1.5674412209542243E-2</v>
      </c>
    </row>
    <row r="49" spans="2:8" x14ac:dyDescent="0.25">
      <c r="B49" s="116">
        <v>43344</v>
      </c>
      <c r="C49" s="106">
        <v>36227.14</v>
      </c>
      <c r="D49" s="112">
        <f t="shared" si="0"/>
        <v>-6.2567618586277685E-2</v>
      </c>
      <c r="F49" s="116">
        <v>43344</v>
      </c>
      <c r="G49">
        <v>332.9</v>
      </c>
      <c r="H49" s="112">
        <f t="shared" si="1"/>
        <v>-9.8686882360904393E-2</v>
      </c>
    </row>
    <row r="50" spans="2:8" x14ac:dyDescent="0.25">
      <c r="B50" s="116">
        <v>43374</v>
      </c>
      <c r="C50" s="106">
        <v>34442.050000000003</v>
      </c>
      <c r="D50" s="112">
        <f t="shared" si="0"/>
        <v>-4.9274935863002023E-2</v>
      </c>
      <c r="F50" s="116">
        <v>43374</v>
      </c>
      <c r="G50">
        <v>319.75</v>
      </c>
      <c r="H50" s="112">
        <f t="shared" si="1"/>
        <v>-3.950135175728442E-2</v>
      </c>
    </row>
    <row r="51" spans="2:8" x14ac:dyDescent="0.25">
      <c r="B51" s="116">
        <v>43405</v>
      </c>
      <c r="C51" s="106">
        <v>36194.300000000003</v>
      </c>
      <c r="D51" s="112">
        <f t="shared" si="0"/>
        <v>5.0875310848221833E-2</v>
      </c>
      <c r="F51" s="116">
        <v>43405</v>
      </c>
      <c r="G51">
        <v>356</v>
      </c>
      <c r="H51" s="112">
        <f t="shared" si="1"/>
        <v>0.11336982017200947</v>
      </c>
    </row>
    <row r="52" spans="2:8" x14ac:dyDescent="0.25">
      <c r="B52" s="116">
        <v>43435</v>
      </c>
      <c r="C52" s="106">
        <v>36068.33</v>
      </c>
      <c r="D52" s="112">
        <f t="shared" si="0"/>
        <v>-3.4803822701364728E-3</v>
      </c>
      <c r="F52" s="116">
        <v>43435</v>
      </c>
      <c r="G52">
        <v>374.45</v>
      </c>
      <c r="H52" s="112">
        <f t="shared" si="1"/>
        <v>5.1825842696629154E-2</v>
      </c>
    </row>
    <row r="53" spans="2:8" x14ac:dyDescent="0.25">
      <c r="B53" s="116">
        <v>43466</v>
      </c>
      <c r="C53" s="106">
        <v>36256.69</v>
      </c>
      <c r="D53" s="112">
        <f t="shared" si="0"/>
        <v>5.2223099877370949E-3</v>
      </c>
      <c r="F53" s="116">
        <v>43466</v>
      </c>
      <c r="G53">
        <v>366.65</v>
      </c>
      <c r="H53" s="112">
        <f t="shared" si="1"/>
        <v>-2.0830551475497394E-2</v>
      </c>
    </row>
    <row r="54" spans="2:8" x14ac:dyDescent="0.25">
      <c r="B54" s="116">
        <v>43497</v>
      </c>
      <c r="C54" s="106">
        <v>35867.440000000002</v>
      </c>
      <c r="D54" s="112">
        <f t="shared" si="0"/>
        <v>-1.0735949696455971E-2</v>
      </c>
      <c r="F54" s="116">
        <v>43497</v>
      </c>
      <c r="G54">
        <v>339.6</v>
      </c>
      <c r="H54" s="112">
        <f t="shared" si="1"/>
        <v>-7.3776080730942217E-2</v>
      </c>
    </row>
    <row r="55" spans="2:8" x14ac:dyDescent="0.25">
      <c r="B55" s="116">
        <v>43525</v>
      </c>
      <c r="C55" s="106">
        <v>38672.910000000003</v>
      </c>
      <c r="D55" s="112">
        <f t="shared" si="0"/>
        <v>7.8217737312727076E-2</v>
      </c>
      <c r="F55" s="116">
        <v>43525</v>
      </c>
      <c r="G55">
        <v>345.25</v>
      </c>
      <c r="H55" s="112">
        <f t="shared" si="1"/>
        <v>1.6637220259128283E-2</v>
      </c>
    </row>
    <row r="56" spans="2:8" x14ac:dyDescent="0.25">
      <c r="B56" s="116">
        <v>43556</v>
      </c>
      <c r="C56" s="106">
        <v>39031.550000000003</v>
      </c>
      <c r="D56" s="112">
        <f t="shared" si="0"/>
        <v>9.2736750350568276E-3</v>
      </c>
      <c r="F56" s="116">
        <v>43556</v>
      </c>
      <c r="G56">
        <v>358.35</v>
      </c>
      <c r="H56" s="112">
        <f t="shared" si="1"/>
        <v>3.7943519188993635E-2</v>
      </c>
    </row>
    <row r="57" spans="2:8" x14ac:dyDescent="0.25">
      <c r="B57" s="116">
        <v>43586</v>
      </c>
      <c r="C57" s="106">
        <v>39714.199999999997</v>
      </c>
      <c r="D57" s="112">
        <f t="shared" si="0"/>
        <v>1.7489697437073293E-2</v>
      </c>
      <c r="F57" s="116">
        <v>43586</v>
      </c>
      <c r="G57">
        <v>371.9</v>
      </c>
      <c r="H57" s="112">
        <f t="shared" si="1"/>
        <v>3.7812194781637887E-2</v>
      </c>
    </row>
    <row r="58" spans="2:8" x14ac:dyDescent="0.25">
      <c r="B58" s="116">
        <v>43617</v>
      </c>
      <c r="C58" s="106">
        <v>39394.639999999999</v>
      </c>
      <c r="D58" s="112">
        <f t="shared" si="0"/>
        <v>-8.0464921866737482E-3</v>
      </c>
      <c r="F58" s="116">
        <v>43617</v>
      </c>
      <c r="G58">
        <v>370.25</v>
      </c>
      <c r="H58" s="112">
        <f t="shared" si="1"/>
        <v>-4.4366765259478136E-3</v>
      </c>
    </row>
    <row r="59" spans="2:8" x14ac:dyDescent="0.25">
      <c r="B59" s="116">
        <v>43647</v>
      </c>
      <c r="C59" s="106">
        <v>37481.120000000003</v>
      </c>
      <c r="D59" s="112">
        <f t="shared" si="0"/>
        <v>-4.8573105376771952E-2</v>
      </c>
      <c r="F59" s="116">
        <v>43647</v>
      </c>
      <c r="G59">
        <v>367.1</v>
      </c>
      <c r="H59" s="112">
        <f t="shared" si="1"/>
        <v>-8.5077650236325963E-3</v>
      </c>
    </row>
    <row r="60" spans="2:8" x14ac:dyDescent="0.25">
      <c r="B60" s="116">
        <v>43678</v>
      </c>
      <c r="C60" s="106">
        <v>37332.79</v>
      </c>
      <c r="D60" s="112">
        <f t="shared" si="0"/>
        <v>-3.9574591154160066E-3</v>
      </c>
      <c r="F60" s="116">
        <v>43678</v>
      </c>
      <c r="G60">
        <v>391</v>
      </c>
      <c r="H60" s="112">
        <f t="shared" si="1"/>
        <v>6.5104876055570582E-2</v>
      </c>
    </row>
    <row r="61" spans="2:8" x14ac:dyDescent="0.25">
      <c r="B61" s="116">
        <v>43709</v>
      </c>
      <c r="C61" s="106">
        <v>38667.33</v>
      </c>
      <c r="D61" s="112">
        <f t="shared" si="0"/>
        <v>3.5747127391229094E-2</v>
      </c>
      <c r="F61" s="116">
        <v>43709</v>
      </c>
      <c r="G61">
        <v>394.1</v>
      </c>
      <c r="H61" s="112">
        <f t="shared" si="1"/>
        <v>7.9283887468031278E-3</v>
      </c>
    </row>
    <row r="62" spans="2:8" x14ac:dyDescent="0.25">
      <c r="B62" s="116">
        <v>43739</v>
      </c>
      <c r="C62" s="106">
        <v>40129.050000000003</v>
      </c>
      <c r="D62" s="112">
        <f t="shared" si="0"/>
        <v>3.7802454940643715E-2</v>
      </c>
      <c r="F62" s="116">
        <v>43739</v>
      </c>
      <c r="G62">
        <v>366.05</v>
      </c>
      <c r="H62" s="112">
        <f t="shared" si="1"/>
        <v>-7.1174828723674199E-2</v>
      </c>
    </row>
    <row r="63" spans="2:8" x14ac:dyDescent="0.25">
      <c r="B63" s="116">
        <v>43770</v>
      </c>
      <c r="C63" s="106">
        <v>40793.81</v>
      </c>
      <c r="D63" s="112">
        <f t="shared" si="0"/>
        <v>1.6565555376965024E-2</v>
      </c>
      <c r="F63" s="116">
        <v>43770</v>
      </c>
      <c r="G63">
        <v>359.85</v>
      </c>
      <c r="H63" s="112">
        <f t="shared" si="1"/>
        <v>-1.6937576833765844E-2</v>
      </c>
    </row>
    <row r="64" spans="2:8" x14ac:dyDescent="0.25">
      <c r="B64" s="116">
        <v>43800</v>
      </c>
      <c r="C64" s="106">
        <v>41253.74</v>
      </c>
      <c r="D64" s="112">
        <f t="shared" si="0"/>
        <v>1.127450463685542E-2</v>
      </c>
      <c r="F64" s="116">
        <v>43800</v>
      </c>
      <c r="G64">
        <v>341.75</v>
      </c>
      <c r="H64" s="112">
        <f t="shared" si="1"/>
        <v>-5.0298735584271337E-2</v>
      </c>
    </row>
    <row r="65" spans="2:8" x14ac:dyDescent="0.25">
      <c r="B65" s="116">
        <v>43831</v>
      </c>
      <c r="C65" s="106">
        <v>40723.49</v>
      </c>
      <c r="D65" s="112">
        <f t="shared" si="0"/>
        <v>-1.285338008141812E-2</v>
      </c>
      <c r="F65" s="116">
        <v>43831</v>
      </c>
      <c r="G65">
        <v>315.2</v>
      </c>
      <c r="H65" s="112">
        <f t="shared" si="1"/>
        <v>-7.7688368690563281E-2</v>
      </c>
    </row>
    <row r="66" spans="2:8" x14ac:dyDescent="0.25">
      <c r="B66" s="116">
        <v>43862</v>
      </c>
      <c r="C66" s="106">
        <v>38297.29</v>
      </c>
      <c r="D66" s="112">
        <f t="shared" si="0"/>
        <v>-5.957740851778659E-2</v>
      </c>
      <c r="F66" s="116">
        <v>43862</v>
      </c>
      <c r="G66">
        <v>298.55</v>
      </c>
      <c r="H66" s="112">
        <f t="shared" si="1"/>
        <v>-5.2823604060913687E-2</v>
      </c>
    </row>
    <row r="67" spans="2:8" x14ac:dyDescent="0.25">
      <c r="B67" s="116">
        <v>43891</v>
      </c>
      <c r="C67" s="106">
        <v>29468.49</v>
      </c>
      <c r="D67" s="112">
        <f t="shared" si="0"/>
        <v>-0.23053328316442234</v>
      </c>
      <c r="F67" s="116">
        <v>43891</v>
      </c>
      <c r="G67">
        <v>274.85000000000002</v>
      </c>
      <c r="H67" s="112">
        <f t="shared" si="1"/>
        <v>-7.9383687824485016E-2</v>
      </c>
    </row>
    <row r="68" spans="2:8" x14ac:dyDescent="0.25">
      <c r="B68" s="116">
        <v>43922</v>
      </c>
      <c r="C68" s="106">
        <v>33717.620000000003</v>
      </c>
      <c r="D68" s="112">
        <f t="shared" si="0"/>
        <v>0.14419232203618182</v>
      </c>
      <c r="F68" s="116">
        <v>43922</v>
      </c>
      <c r="G68">
        <v>286.89999999999998</v>
      </c>
      <c r="H68" s="112">
        <f t="shared" si="1"/>
        <v>4.3842095688557237E-2</v>
      </c>
    </row>
    <row r="69" spans="2:8" x14ac:dyDescent="0.25">
      <c r="B69" s="116">
        <v>43952</v>
      </c>
      <c r="C69" s="106">
        <v>32424.1</v>
      </c>
      <c r="D69" s="112">
        <f t="shared" si="0"/>
        <v>-3.8363324576289881E-2</v>
      </c>
      <c r="F69" s="116">
        <v>43952</v>
      </c>
      <c r="G69">
        <v>344.1</v>
      </c>
      <c r="H69" s="112">
        <f t="shared" si="1"/>
        <v>0.19937260369466725</v>
      </c>
    </row>
    <row r="70" spans="2:8" x14ac:dyDescent="0.25">
      <c r="B70" s="116">
        <v>43983</v>
      </c>
      <c r="C70" s="106">
        <v>34915.800000000003</v>
      </c>
      <c r="D70" s="112">
        <f t="shared" si="0"/>
        <v>7.6847159982852409E-2</v>
      </c>
      <c r="F70" s="116">
        <v>43983</v>
      </c>
      <c r="G70">
        <v>351.8</v>
      </c>
      <c r="H70" s="112">
        <f t="shared" si="1"/>
        <v>2.2377215925603045E-2</v>
      </c>
    </row>
    <row r="71" spans="2:8" x14ac:dyDescent="0.25">
      <c r="B71" s="116">
        <v>44013</v>
      </c>
      <c r="C71" s="106">
        <v>37606.89</v>
      </c>
      <c r="D71" s="112">
        <f t="shared" si="0"/>
        <v>7.7073703022700224E-2</v>
      </c>
      <c r="F71" s="116">
        <v>44013</v>
      </c>
      <c r="G71">
        <v>363.35</v>
      </c>
      <c r="H71" s="112">
        <f t="shared" si="1"/>
        <v>3.2831154064809631E-2</v>
      </c>
    </row>
    <row r="72" spans="2:8" x14ac:dyDescent="0.25">
      <c r="B72" s="116">
        <v>44044</v>
      </c>
      <c r="C72" s="106">
        <v>38628.29</v>
      </c>
      <c r="D72" s="112">
        <f t="shared" si="0"/>
        <v>2.7159916706752441E-2</v>
      </c>
      <c r="F72" s="116">
        <v>44044</v>
      </c>
      <c r="G72">
        <v>369.15</v>
      </c>
      <c r="H72" s="112">
        <f t="shared" si="1"/>
        <v>1.5962570524287845E-2</v>
      </c>
    </row>
    <row r="73" spans="2:8" x14ac:dyDescent="0.25">
      <c r="B73" s="116">
        <v>44075</v>
      </c>
      <c r="C73" s="106">
        <v>38067.93</v>
      </c>
      <c r="D73" s="112">
        <f t="shared" si="0"/>
        <v>-1.4506466633651183E-2</v>
      </c>
      <c r="F73" s="116">
        <v>44075</v>
      </c>
      <c r="G73">
        <v>362.85</v>
      </c>
      <c r="H73" s="112">
        <f t="shared" si="1"/>
        <v>-1.7066233238520856E-2</v>
      </c>
    </row>
    <row r="74" spans="2:8" x14ac:dyDescent="0.25">
      <c r="B74" s="116">
        <v>44105</v>
      </c>
      <c r="C74" s="106">
        <v>39614.07</v>
      </c>
      <c r="D74" s="112">
        <f t="shared" si="0"/>
        <v>4.061528956263194E-2</v>
      </c>
      <c r="F74" s="116">
        <v>44105</v>
      </c>
      <c r="G74">
        <v>356.55</v>
      </c>
      <c r="H74" s="112">
        <f t="shared" si="1"/>
        <v>-1.7362546506821008E-2</v>
      </c>
    </row>
    <row r="75" spans="2:8" x14ac:dyDescent="0.25">
      <c r="B75" s="116">
        <v>44136</v>
      </c>
      <c r="C75" s="106">
        <v>44149.72</v>
      </c>
      <c r="D75" s="112">
        <f t="shared" si="0"/>
        <v>0.11449593540880798</v>
      </c>
      <c r="F75" s="116">
        <v>44136</v>
      </c>
      <c r="G75">
        <v>364.95</v>
      </c>
      <c r="H75" s="112">
        <f t="shared" si="1"/>
        <v>2.3559108119478367E-2</v>
      </c>
    </row>
    <row r="76" spans="2:8" x14ac:dyDescent="0.25">
      <c r="B76" s="116">
        <v>44166</v>
      </c>
      <c r="C76" s="106">
        <v>47751.33</v>
      </c>
      <c r="D76" s="112">
        <f t="shared" si="0"/>
        <v>8.15771878054945E-2</v>
      </c>
      <c r="F76" s="116">
        <v>44166</v>
      </c>
      <c r="G76">
        <v>402.4</v>
      </c>
      <c r="H76" s="112">
        <f t="shared" si="1"/>
        <v>0.10261679682148239</v>
      </c>
    </row>
    <row r="77" spans="2:8" x14ac:dyDescent="0.25">
      <c r="B77" s="116">
        <v>44197</v>
      </c>
      <c r="C77" s="106">
        <v>46285.77</v>
      </c>
      <c r="D77" s="112">
        <f t="shared" si="0"/>
        <v>-3.0691501158187751E-2</v>
      </c>
      <c r="F77" s="116">
        <v>44197</v>
      </c>
      <c r="G77">
        <v>415.4</v>
      </c>
      <c r="H77" s="112">
        <f t="shared" si="1"/>
        <v>3.2306163021868839E-2</v>
      </c>
    </row>
    <row r="78" spans="2:8" x14ac:dyDescent="0.25">
      <c r="B78" s="116">
        <v>44228</v>
      </c>
      <c r="C78" s="106">
        <v>49099.99</v>
      </c>
      <c r="D78" s="112">
        <f t="shared" ref="D78:D132" si="2">C78/C77-1</f>
        <v>6.0800976196355938E-2</v>
      </c>
      <c r="F78" s="116">
        <v>44228</v>
      </c>
      <c r="G78">
        <v>397.2</v>
      </c>
      <c r="H78" s="112">
        <f t="shared" ref="H78:H132" si="3">G78/G77-1</f>
        <v>-4.3813192103996146E-2</v>
      </c>
    </row>
    <row r="79" spans="2:8" x14ac:dyDescent="0.25">
      <c r="B79" s="116">
        <v>44256</v>
      </c>
      <c r="C79" s="106">
        <v>49509.15</v>
      </c>
      <c r="D79" s="112">
        <f t="shared" si="2"/>
        <v>8.3331992531974208E-3</v>
      </c>
      <c r="F79" s="116">
        <v>44256</v>
      </c>
      <c r="G79">
        <v>411.5</v>
      </c>
      <c r="H79" s="112">
        <f t="shared" si="3"/>
        <v>3.6002014098690971E-2</v>
      </c>
    </row>
    <row r="80" spans="2:8" x14ac:dyDescent="0.25">
      <c r="B80" s="116">
        <v>44287</v>
      </c>
      <c r="C80" s="106">
        <v>48782.36</v>
      </c>
      <c r="D80" s="112">
        <f t="shared" si="2"/>
        <v>-1.4679912703005393E-2</v>
      </c>
      <c r="F80" s="116">
        <v>44287</v>
      </c>
      <c r="G80">
        <v>411.65</v>
      </c>
      <c r="H80" s="112">
        <f t="shared" si="3"/>
        <v>3.6452004860265674E-4</v>
      </c>
    </row>
    <row r="81" spans="2:8" x14ac:dyDescent="0.25">
      <c r="B81" s="116">
        <v>44317</v>
      </c>
      <c r="C81" s="106">
        <v>51937.440000000002</v>
      </c>
      <c r="D81" s="112">
        <f t="shared" si="2"/>
        <v>6.4676657709877183E-2</v>
      </c>
      <c r="F81" s="116">
        <v>44317</v>
      </c>
      <c r="G81">
        <v>475</v>
      </c>
      <c r="H81" s="112">
        <f t="shared" si="3"/>
        <v>0.15389287015668662</v>
      </c>
    </row>
    <row r="82" spans="2:8" x14ac:dyDescent="0.25">
      <c r="B82" s="116">
        <v>44348</v>
      </c>
      <c r="C82" s="106">
        <v>52482.71</v>
      </c>
      <c r="D82" s="112">
        <f t="shared" si="2"/>
        <v>1.0498592152404784E-2</v>
      </c>
      <c r="F82" s="116">
        <v>44348</v>
      </c>
      <c r="G82">
        <v>530.54999999999995</v>
      </c>
      <c r="H82" s="112">
        <f t="shared" si="3"/>
        <v>0.11694736842105247</v>
      </c>
    </row>
    <row r="83" spans="2:8" x14ac:dyDescent="0.25">
      <c r="B83" s="116">
        <v>44378</v>
      </c>
      <c r="C83" s="106">
        <v>52586.84</v>
      </c>
      <c r="D83" s="112">
        <f t="shared" si="2"/>
        <v>1.9840819957657185E-3</v>
      </c>
      <c r="F83" s="116">
        <v>44378</v>
      </c>
      <c r="G83">
        <v>546.35</v>
      </c>
      <c r="H83" s="112">
        <f t="shared" si="3"/>
        <v>2.978041654886443E-2</v>
      </c>
    </row>
    <row r="84" spans="2:8" x14ac:dyDescent="0.25">
      <c r="B84" s="116">
        <v>44409</v>
      </c>
      <c r="C84" s="106">
        <v>57552.39</v>
      </c>
      <c r="D84" s="112">
        <f t="shared" si="2"/>
        <v>9.4425715635318763E-2</v>
      </c>
      <c r="F84" s="116">
        <v>44409</v>
      </c>
      <c r="G84">
        <v>544.4</v>
      </c>
      <c r="H84" s="112">
        <f t="shared" si="3"/>
        <v>-3.5691406607486487E-3</v>
      </c>
    </row>
    <row r="85" spans="2:8" x14ac:dyDescent="0.25">
      <c r="B85" s="116">
        <v>44440</v>
      </c>
      <c r="C85" s="106">
        <v>59126.36</v>
      </c>
      <c r="D85" s="112">
        <f t="shared" si="2"/>
        <v>2.7348473277999386E-2</v>
      </c>
      <c r="F85" s="116">
        <v>44440</v>
      </c>
      <c r="G85">
        <v>547.85</v>
      </c>
      <c r="H85" s="112">
        <f t="shared" si="3"/>
        <v>6.3372520205731142E-3</v>
      </c>
    </row>
    <row r="86" spans="2:8" x14ac:dyDescent="0.25">
      <c r="B86" s="116">
        <v>44470</v>
      </c>
      <c r="C86" s="106">
        <v>59306.93</v>
      </c>
      <c r="D86" s="112">
        <f t="shared" si="2"/>
        <v>3.0539678072520893E-3</v>
      </c>
      <c r="F86" s="116">
        <v>44470</v>
      </c>
      <c r="G86">
        <v>568.79999999999995</v>
      </c>
      <c r="H86" s="112">
        <f t="shared" si="3"/>
        <v>3.8240394268504119E-2</v>
      </c>
    </row>
    <row r="87" spans="2:8" x14ac:dyDescent="0.25">
      <c r="B87" s="116">
        <v>44501</v>
      </c>
      <c r="C87" s="106">
        <v>57064.87</v>
      </c>
      <c r="D87" s="112">
        <f t="shared" si="2"/>
        <v>-3.7804351026094252E-2</v>
      </c>
      <c r="F87" s="116">
        <v>44501</v>
      </c>
      <c r="G87">
        <v>539.25</v>
      </c>
      <c r="H87" s="112">
        <f t="shared" si="3"/>
        <v>-5.1951476793248852E-2</v>
      </c>
    </row>
    <row r="88" spans="2:8" x14ac:dyDescent="0.25">
      <c r="B88" s="116">
        <v>44531</v>
      </c>
      <c r="C88" s="106">
        <v>58253.82</v>
      </c>
      <c r="D88" s="112">
        <f t="shared" si="2"/>
        <v>2.0835060169242414E-2</v>
      </c>
      <c r="F88" s="116">
        <v>44531</v>
      </c>
      <c r="G88">
        <v>512.35</v>
      </c>
      <c r="H88" s="112">
        <f t="shared" si="3"/>
        <v>-4.9884098284654566E-2</v>
      </c>
    </row>
    <row r="89" spans="2:8" x14ac:dyDescent="0.25">
      <c r="B89" s="116">
        <v>44562</v>
      </c>
      <c r="C89" s="106">
        <v>58014.17</v>
      </c>
      <c r="D89" s="112">
        <f t="shared" si="2"/>
        <v>-4.113893303477778E-3</v>
      </c>
      <c r="F89" s="116">
        <v>44562</v>
      </c>
      <c r="G89">
        <v>482.45</v>
      </c>
      <c r="H89" s="112">
        <f t="shared" si="3"/>
        <v>-5.8358543964087128E-2</v>
      </c>
    </row>
    <row r="90" spans="2:8" x14ac:dyDescent="0.25">
      <c r="B90" s="116">
        <v>44593</v>
      </c>
      <c r="C90" s="106">
        <v>56247.28</v>
      </c>
      <c r="D90" s="112">
        <f t="shared" si="2"/>
        <v>-3.0456179929834404E-2</v>
      </c>
      <c r="F90" s="116">
        <v>44593</v>
      </c>
      <c r="G90">
        <v>514.70000000000005</v>
      </c>
      <c r="H90" s="112">
        <f t="shared" si="3"/>
        <v>6.6846305316613286E-2</v>
      </c>
    </row>
    <row r="91" spans="2:8" x14ac:dyDescent="0.25">
      <c r="B91" s="116">
        <v>44621</v>
      </c>
      <c r="C91" s="106">
        <v>58568.51</v>
      </c>
      <c r="D91" s="112">
        <f t="shared" si="2"/>
        <v>4.1268306663006626E-2</v>
      </c>
      <c r="F91" s="116">
        <v>44621</v>
      </c>
      <c r="G91">
        <v>503.65</v>
      </c>
      <c r="H91" s="112">
        <f t="shared" si="3"/>
        <v>-2.1468816786477718E-2</v>
      </c>
    </row>
    <row r="92" spans="2:8" x14ac:dyDescent="0.25">
      <c r="B92" s="116">
        <v>44652</v>
      </c>
      <c r="C92" s="106">
        <v>57060.87</v>
      </c>
      <c r="D92" s="112">
        <f t="shared" si="2"/>
        <v>-2.5741477800954815E-2</v>
      </c>
      <c r="F92" s="116">
        <v>44652</v>
      </c>
      <c r="G92">
        <v>522.35</v>
      </c>
      <c r="H92" s="112">
        <f t="shared" si="3"/>
        <v>3.712895860220411E-2</v>
      </c>
    </row>
    <row r="93" spans="2:8" x14ac:dyDescent="0.25">
      <c r="B93" s="116">
        <v>44682</v>
      </c>
      <c r="C93" s="106">
        <v>55566.41</v>
      </c>
      <c r="D93" s="112">
        <f t="shared" si="2"/>
        <v>-2.6190627657797672E-2</v>
      </c>
      <c r="F93" s="116">
        <v>44682</v>
      </c>
      <c r="G93">
        <v>536.04999999999995</v>
      </c>
      <c r="H93" s="112">
        <f t="shared" si="3"/>
        <v>2.6227625155546885E-2</v>
      </c>
    </row>
    <row r="94" spans="2:8" x14ac:dyDescent="0.25">
      <c r="B94" s="116">
        <v>44713</v>
      </c>
      <c r="C94" s="106">
        <v>53018.94</v>
      </c>
      <c r="D94" s="112">
        <f t="shared" si="2"/>
        <v>-4.5845502705681329E-2</v>
      </c>
      <c r="F94" s="116">
        <v>44713</v>
      </c>
      <c r="G94">
        <v>477.75</v>
      </c>
      <c r="H94" s="112">
        <f t="shared" si="3"/>
        <v>-0.10875851133289793</v>
      </c>
    </row>
    <row r="95" spans="2:8" x14ac:dyDescent="0.25">
      <c r="B95" s="116">
        <v>44743</v>
      </c>
      <c r="C95" s="106">
        <v>57570.25</v>
      </c>
      <c r="D95" s="112">
        <f t="shared" si="2"/>
        <v>8.5843096825398479E-2</v>
      </c>
      <c r="F95" s="116">
        <v>44743</v>
      </c>
      <c r="G95">
        <v>517.54999999999995</v>
      </c>
      <c r="H95" s="112">
        <f t="shared" si="3"/>
        <v>8.330716902145463E-2</v>
      </c>
    </row>
    <row r="96" spans="2:8" x14ac:dyDescent="0.25">
      <c r="B96" s="116">
        <v>44774</v>
      </c>
      <c r="C96" s="106">
        <v>59537.07</v>
      </c>
      <c r="D96" s="112">
        <f t="shared" si="2"/>
        <v>3.4163825934401926E-2</v>
      </c>
      <c r="F96" s="116">
        <v>44774</v>
      </c>
      <c r="G96">
        <v>525.79999999999995</v>
      </c>
      <c r="H96" s="112">
        <f t="shared" si="3"/>
        <v>1.5940488841657885E-2</v>
      </c>
    </row>
    <row r="97" spans="2:8" x14ac:dyDescent="0.25">
      <c r="B97" s="116">
        <v>44805</v>
      </c>
      <c r="C97" s="106">
        <v>57426.92</v>
      </c>
      <c r="D97" s="112">
        <f t="shared" si="2"/>
        <v>-3.5442624233943731E-2</v>
      </c>
      <c r="F97" s="116">
        <v>44805</v>
      </c>
      <c r="G97">
        <v>537.79999999999995</v>
      </c>
      <c r="H97" s="112">
        <f t="shared" si="3"/>
        <v>2.2822365918600207E-2</v>
      </c>
    </row>
    <row r="98" spans="2:8" x14ac:dyDescent="0.25">
      <c r="B98" s="116">
        <v>44835</v>
      </c>
      <c r="C98" s="106">
        <v>60746.59</v>
      </c>
      <c r="D98" s="112">
        <f t="shared" si="2"/>
        <v>5.7806861311733293E-2</v>
      </c>
      <c r="F98" s="116">
        <v>44835</v>
      </c>
      <c r="G98">
        <v>524.45000000000005</v>
      </c>
      <c r="H98" s="112">
        <f t="shared" si="3"/>
        <v>-2.4823354406842579E-2</v>
      </c>
    </row>
    <row r="99" spans="2:8" x14ac:dyDescent="0.25">
      <c r="B99" s="116">
        <v>44866</v>
      </c>
      <c r="C99" s="106">
        <v>63099.65</v>
      </c>
      <c r="D99" s="112">
        <f t="shared" si="2"/>
        <v>3.8735672241026364E-2</v>
      </c>
      <c r="F99" s="116">
        <v>44866</v>
      </c>
      <c r="G99">
        <v>506.4</v>
      </c>
      <c r="H99" s="112">
        <f t="shared" si="3"/>
        <v>-3.441700829440375E-2</v>
      </c>
    </row>
    <row r="100" spans="2:8" x14ac:dyDescent="0.25">
      <c r="B100" s="116">
        <v>44896</v>
      </c>
      <c r="C100" s="106">
        <v>60840.74</v>
      </c>
      <c r="D100" s="112">
        <f t="shared" si="2"/>
        <v>-3.5799089218403024E-2</v>
      </c>
      <c r="F100" s="116">
        <v>44896</v>
      </c>
      <c r="G100">
        <v>509.85</v>
      </c>
      <c r="H100" s="112">
        <f t="shared" si="3"/>
        <v>6.8127962085309246E-3</v>
      </c>
    </row>
    <row r="101" spans="2:8" x14ac:dyDescent="0.25">
      <c r="B101" s="116">
        <v>44927</v>
      </c>
      <c r="C101" s="106">
        <v>59549.9</v>
      </c>
      <c r="D101" s="112">
        <f t="shared" si="2"/>
        <v>-2.1216704464804281E-2</v>
      </c>
      <c r="F101" s="116">
        <v>44927</v>
      </c>
      <c r="G101">
        <v>498.35</v>
      </c>
      <c r="H101" s="112">
        <f t="shared" si="3"/>
        <v>-2.255565362361478E-2</v>
      </c>
    </row>
    <row r="102" spans="2:8" x14ac:dyDescent="0.25">
      <c r="B102" s="116">
        <v>44958</v>
      </c>
      <c r="C102" s="106">
        <v>58962.12</v>
      </c>
      <c r="D102" s="112">
        <f t="shared" si="2"/>
        <v>-9.8703776160833367E-3</v>
      </c>
      <c r="F102" s="116">
        <v>44958</v>
      </c>
      <c r="G102">
        <v>492.3</v>
      </c>
      <c r="H102" s="112">
        <f t="shared" si="3"/>
        <v>-1.2140062205277413E-2</v>
      </c>
    </row>
    <row r="103" spans="2:8" x14ac:dyDescent="0.25">
      <c r="B103" s="116">
        <v>44986</v>
      </c>
      <c r="C103" s="106">
        <v>58991.519999999997</v>
      </c>
      <c r="D103" s="112">
        <f t="shared" si="2"/>
        <v>4.9862521903887291E-4</v>
      </c>
      <c r="F103" s="116">
        <v>44986</v>
      </c>
      <c r="G103">
        <v>479.7</v>
      </c>
      <c r="H103" s="112">
        <f t="shared" si="3"/>
        <v>-2.5594149908592323E-2</v>
      </c>
    </row>
    <row r="104" spans="2:8" x14ac:dyDescent="0.25">
      <c r="B104" s="116">
        <v>45017</v>
      </c>
      <c r="C104" s="106">
        <v>61112.44</v>
      </c>
      <c r="D104" s="112">
        <f t="shared" si="2"/>
        <v>3.5952964087041739E-2</v>
      </c>
      <c r="F104" s="116">
        <v>45017</v>
      </c>
      <c r="G104">
        <v>497.95</v>
      </c>
      <c r="H104" s="112">
        <f t="shared" si="3"/>
        <v>3.8044611215342972E-2</v>
      </c>
    </row>
    <row r="105" spans="2:8" x14ac:dyDescent="0.25">
      <c r="B105" s="116">
        <v>45047</v>
      </c>
      <c r="C105" s="106">
        <v>62622.239999999998</v>
      </c>
      <c r="D105" s="112">
        <f t="shared" si="2"/>
        <v>2.4705280954254061E-2</v>
      </c>
      <c r="F105" s="116">
        <v>45047</v>
      </c>
      <c r="G105">
        <v>543.15</v>
      </c>
      <c r="H105" s="112">
        <f t="shared" si="3"/>
        <v>9.0772165880108391E-2</v>
      </c>
    </row>
    <row r="106" spans="2:8" x14ac:dyDescent="0.25">
      <c r="B106" s="116">
        <v>45078</v>
      </c>
      <c r="C106" s="106">
        <v>64718.559999999998</v>
      </c>
      <c r="D106" s="112">
        <f t="shared" si="2"/>
        <v>3.3475646990589913E-2</v>
      </c>
      <c r="F106" s="116">
        <v>45078</v>
      </c>
      <c r="G106">
        <v>530.85</v>
      </c>
      <c r="H106" s="112">
        <f t="shared" si="3"/>
        <v>-2.2645677989505564E-2</v>
      </c>
    </row>
    <row r="107" spans="2:8" x14ac:dyDescent="0.25">
      <c r="B107" s="116">
        <v>45108</v>
      </c>
      <c r="C107" s="106">
        <v>66527.67</v>
      </c>
      <c r="D107" s="112">
        <f t="shared" si="2"/>
        <v>2.7953495875062684E-2</v>
      </c>
      <c r="F107" s="116">
        <v>45108</v>
      </c>
      <c r="G107">
        <v>560.54999999999995</v>
      </c>
      <c r="H107" s="112">
        <f t="shared" si="3"/>
        <v>5.5948007911839293E-2</v>
      </c>
    </row>
    <row r="108" spans="2:8" x14ac:dyDescent="0.25">
      <c r="B108" s="116">
        <v>45139</v>
      </c>
      <c r="C108" s="106">
        <v>64831.41</v>
      </c>
      <c r="D108" s="112">
        <f t="shared" si="2"/>
        <v>-2.5497060095445945E-2</v>
      </c>
      <c r="F108" s="116">
        <v>45139</v>
      </c>
      <c r="G108">
        <v>570.65</v>
      </c>
      <c r="H108" s="112">
        <f t="shared" si="3"/>
        <v>1.8018018018018056E-2</v>
      </c>
    </row>
    <row r="109" spans="2:8" x14ac:dyDescent="0.25">
      <c r="B109" s="116">
        <v>45170</v>
      </c>
      <c r="C109" s="106">
        <v>65828.41</v>
      </c>
      <c r="D109" s="112">
        <f t="shared" si="2"/>
        <v>1.5378348242001794E-2</v>
      </c>
      <c r="F109" s="116">
        <v>45170</v>
      </c>
      <c r="G109">
        <v>561.5</v>
      </c>
      <c r="H109" s="112">
        <f t="shared" si="3"/>
        <v>-1.6034346797511589E-2</v>
      </c>
    </row>
    <row r="110" spans="2:8" x14ac:dyDescent="0.25">
      <c r="B110" s="116">
        <v>45200</v>
      </c>
      <c r="C110" s="106">
        <v>63874.93</v>
      </c>
      <c r="D110" s="112">
        <f t="shared" si="2"/>
        <v>-2.9675333188208586E-2</v>
      </c>
      <c r="F110" s="116">
        <v>45200</v>
      </c>
      <c r="G110">
        <v>536.70000000000005</v>
      </c>
      <c r="H110" s="112">
        <f t="shared" si="3"/>
        <v>-4.4167408726625057E-2</v>
      </c>
    </row>
    <row r="111" spans="2:8" x14ac:dyDescent="0.25">
      <c r="B111" s="116">
        <v>45231</v>
      </c>
      <c r="C111" s="106">
        <v>66988.44</v>
      </c>
      <c r="D111" s="112">
        <f t="shared" si="2"/>
        <v>4.8743849895412916E-2</v>
      </c>
      <c r="F111" s="116">
        <v>45231</v>
      </c>
      <c r="G111">
        <v>538.25</v>
      </c>
      <c r="H111" s="112">
        <f t="shared" si="3"/>
        <v>2.8880193776783525E-3</v>
      </c>
    </row>
    <row r="112" spans="2:8" x14ac:dyDescent="0.25">
      <c r="B112" s="116">
        <v>45261</v>
      </c>
      <c r="C112" s="106">
        <v>72240.259999999995</v>
      </c>
      <c r="D112" s="112">
        <f t="shared" si="2"/>
        <v>7.8398899869887906E-2</v>
      </c>
      <c r="F112" s="116">
        <v>45261</v>
      </c>
      <c r="G112">
        <v>548.20000000000005</v>
      </c>
      <c r="H112" s="112">
        <f t="shared" si="3"/>
        <v>1.8485833720390143E-2</v>
      </c>
    </row>
    <row r="113" spans="2:8" x14ac:dyDescent="0.25">
      <c r="B113" s="116">
        <v>45292</v>
      </c>
      <c r="C113" s="106">
        <v>71752.11</v>
      </c>
      <c r="D113" s="112">
        <f t="shared" si="2"/>
        <v>-6.7573123352545617E-3</v>
      </c>
      <c r="F113" s="116">
        <v>45292</v>
      </c>
      <c r="G113">
        <v>528.25</v>
      </c>
      <c r="H113" s="112">
        <f t="shared" si="3"/>
        <v>-3.6391827800072996E-2</v>
      </c>
    </row>
    <row r="114" spans="2:8" x14ac:dyDescent="0.25">
      <c r="B114" s="116">
        <v>45323</v>
      </c>
      <c r="C114" s="106">
        <v>72500.3</v>
      </c>
      <c r="D114" s="112">
        <f t="shared" si="2"/>
        <v>1.0427428545306983E-2</v>
      </c>
      <c r="F114" s="116">
        <v>45323</v>
      </c>
      <c r="G114">
        <v>522.54999999999995</v>
      </c>
      <c r="H114" s="112">
        <f t="shared" si="3"/>
        <v>-1.0790345480359731E-2</v>
      </c>
    </row>
    <row r="115" spans="2:8" x14ac:dyDescent="0.25">
      <c r="B115" s="116">
        <v>45352</v>
      </c>
      <c r="C115" s="106">
        <v>73651.350000000006</v>
      </c>
      <c r="D115" s="112">
        <f t="shared" si="2"/>
        <v>1.5876486028333803E-2</v>
      </c>
      <c r="F115" s="116">
        <v>45352</v>
      </c>
      <c r="G115">
        <v>496.9</v>
      </c>
      <c r="H115" s="112">
        <f t="shared" si="3"/>
        <v>-4.9086211845756345E-2</v>
      </c>
    </row>
    <row r="116" spans="2:8" x14ac:dyDescent="0.25">
      <c r="B116" s="116">
        <v>45383</v>
      </c>
      <c r="C116" s="106">
        <v>74482.78</v>
      </c>
      <c r="D116" s="112">
        <f t="shared" si="2"/>
        <v>1.1288727226316908E-2</v>
      </c>
      <c r="F116" s="116">
        <v>45383</v>
      </c>
      <c r="G116">
        <v>517.70000000000005</v>
      </c>
      <c r="H116" s="112">
        <f t="shared" si="3"/>
        <v>4.1859529080297886E-2</v>
      </c>
    </row>
    <row r="117" spans="2:8" x14ac:dyDescent="0.25">
      <c r="B117" s="116">
        <v>45413</v>
      </c>
      <c r="C117" s="106">
        <v>73961.31</v>
      </c>
      <c r="D117" s="112">
        <f t="shared" si="2"/>
        <v>-7.0012155829843881E-3</v>
      </c>
      <c r="F117" s="116">
        <v>45413</v>
      </c>
      <c r="G117">
        <v>595.45000000000005</v>
      </c>
      <c r="H117" s="112">
        <f t="shared" si="3"/>
        <v>0.15018350395982227</v>
      </c>
    </row>
    <row r="118" spans="2:8" x14ac:dyDescent="0.25">
      <c r="B118" s="116">
        <v>45444</v>
      </c>
      <c r="C118" s="106">
        <v>79032.73</v>
      </c>
      <c r="D118" s="112">
        <f t="shared" si="2"/>
        <v>6.8568552936663751E-2</v>
      </c>
      <c r="F118" s="116">
        <v>45444</v>
      </c>
      <c r="G118">
        <v>613.25</v>
      </c>
      <c r="H118" s="112">
        <f t="shared" si="3"/>
        <v>2.9893357964564604E-2</v>
      </c>
    </row>
    <row r="119" spans="2:8" x14ac:dyDescent="0.25">
      <c r="B119" s="116">
        <v>45474</v>
      </c>
      <c r="C119" s="106">
        <v>81741.34</v>
      </c>
      <c r="D119" s="112">
        <f t="shared" si="2"/>
        <v>3.427200351044446E-2</v>
      </c>
      <c r="F119" s="116">
        <v>45474</v>
      </c>
      <c r="G119">
        <v>674</v>
      </c>
      <c r="H119" s="112">
        <f t="shared" si="3"/>
        <v>9.9062372604973525E-2</v>
      </c>
    </row>
    <row r="120" spans="2:8" x14ac:dyDescent="0.25">
      <c r="B120" s="116">
        <v>45505</v>
      </c>
      <c r="C120" s="106">
        <v>82365.77</v>
      </c>
      <c r="D120" s="112">
        <f t="shared" si="2"/>
        <v>7.6390966920778514E-3</v>
      </c>
      <c r="F120" s="116">
        <v>45505</v>
      </c>
      <c r="G120">
        <v>647.85</v>
      </c>
      <c r="H120" s="112">
        <f t="shared" si="3"/>
        <v>-3.8798219584569749E-2</v>
      </c>
    </row>
    <row r="121" spans="2:8" x14ac:dyDescent="0.25">
      <c r="B121" s="116">
        <v>45536</v>
      </c>
      <c r="C121" s="106">
        <v>84299.78</v>
      </c>
      <c r="D121" s="112">
        <f t="shared" si="2"/>
        <v>2.3480749345268004E-2</v>
      </c>
      <c r="F121" s="116">
        <v>45536</v>
      </c>
      <c r="G121">
        <v>696.35</v>
      </c>
      <c r="H121" s="112">
        <f t="shared" si="3"/>
        <v>7.486300841244109E-2</v>
      </c>
    </row>
    <row r="122" spans="2:8" x14ac:dyDescent="0.25">
      <c r="B122" s="116">
        <v>45566</v>
      </c>
      <c r="C122" s="106">
        <v>79389.06</v>
      </c>
      <c r="D122" s="112">
        <f t="shared" si="2"/>
        <v>-5.8253058311658723E-2</v>
      </c>
      <c r="F122" s="116">
        <v>45566</v>
      </c>
      <c r="G122">
        <v>640.20000000000005</v>
      </c>
      <c r="H122" s="112">
        <f t="shared" si="3"/>
        <v>-8.0634738278164697E-2</v>
      </c>
    </row>
    <row r="123" spans="2:8" x14ac:dyDescent="0.25">
      <c r="B123" s="116">
        <v>45597</v>
      </c>
      <c r="C123" s="106">
        <v>79802.789999999994</v>
      </c>
      <c r="D123" s="112">
        <f t="shared" si="2"/>
        <v>5.2114233371700625E-3</v>
      </c>
      <c r="F123" s="116">
        <v>45597</v>
      </c>
      <c r="G123">
        <v>645.6</v>
      </c>
      <c r="H123" s="112">
        <f t="shared" si="3"/>
        <v>8.434864104967188E-3</v>
      </c>
    </row>
    <row r="124" spans="2:8" x14ac:dyDescent="0.25">
      <c r="B124" s="116">
        <v>45627</v>
      </c>
      <c r="C124" s="106">
        <v>78139.009999999995</v>
      </c>
      <c r="D124" s="112">
        <f t="shared" si="2"/>
        <v>-2.0848644514809611E-2</v>
      </c>
      <c r="F124" s="116">
        <v>45627</v>
      </c>
      <c r="G124">
        <v>639.45000000000005</v>
      </c>
      <c r="H124" s="112">
        <f t="shared" si="3"/>
        <v>-9.526022304832682E-3</v>
      </c>
    </row>
    <row r="125" spans="2:8" x14ac:dyDescent="0.25">
      <c r="B125" s="116">
        <v>45658</v>
      </c>
      <c r="C125" s="106">
        <v>77500.570000000007</v>
      </c>
      <c r="D125" s="112">
        <f t="shared" si="2"/>
        <v>-8.1705667885987321E-3</v>
      </c>
      <c r="F125" s="116">
        <v>45658</v>
      </c>
      <c r="G125">
        <v>670.7</v>
      </c>
      <c r="H125" s="112">
        <f t="shared" si="3"/>
        <v>4.8870122761748291E-2</v>
      </c>
    </row>
    <row r="126" spans="2:8" x14ac:dyDescent="0.25">
      <c r="B126" s="116">
        <v>45689</v>
      </c>
      <c r="C126" s="106">
        <v>73198.100000000006</v>
      </c>
      <c r="D126" s="112">
        <f t="shared" si="2"/>
        <v>-5.5515333629159169E-2</v>
      </c>
      <c r="F126" s="116">
        <v>45689</v>
      </c>
      <c r="G126">
        <v>599.95000000000005</v>
      </c>
      <c r="H126" s="112">
        <f t="shared" si="3"/>
        <v>-0.10548680483077377</v>
      </c>
    </row>
    <row r="127" spans="2:8" x14ac:dyDescent="0.25">
      <c r="B127" s="116">
        <v>45717</v>
      </c>
      <c r="C127" s="106">
        <v>77414.92</v>
      </c>
      <c r="D127" s="112">
        <f t="shared" si="2"/>
        <v>5.760832589916931E-2</v>
      </c>
      <c r="F127" s="116">
        <v>45717</v>
      </c>
      <c r="G127">
        <v>651.45000000000005</v>
      </c>
      <c r="H127" s="112">
        <f t="shared" si="3"/>
        <v>8.584048670722555E-2</v>
      </c>
    </row>
    <row r="128" spans="2:8" x14ac:dyDescent="0.25">
      <c r="B128" s="116">
        <v>45748</v>
      </c>
      <c r="C128" s="106">
        <v>80242.240000000005</v>
      </c>
      <c r="D128" s="112">
        <f t="shared" si="2"/>
        <v>3.652164208139741E-2</v>
      </c>
      <c r="F128" s="116">
        <v>45748</v>
      </c>
      <c r="G128">
        <v>710.05</v>
      </c>
      <c r="H128" s="112">
        <f t="shared" si="3"/>
        <v>8.9953181364647916E-2</v>
      </c>
    </row>
    <row r="129" spans="2:8" x14ac:dyDescent="0.25">
      <c r="B129" s="116">
        <v>45778</v>
      </c>
      <c r="C129" s="106">
        <v>81451.009999999995</v>
      </c>
      <c r="D129" s="112">
        <f t="shared" si="2"/>
        <v>1.5064011174164449E-2</v>
      </c>
      <c r="F129" s="116">
        <v>45778</v>
      </c>
      <c r="G129">
        <v>717.95</v>
      </c>
      <c r="H129" s="112">
        <f t="shared" si="3"/>
        <v>1.1125977043870305E-2</v>
      </c>
    </row>
    <row r="130" spans="2:8" x14ac:dyDescent="0.25">
      <c r="B130" s="116">
        <v>45809</v>
      </c>
      <c r="C130" s="106">
        <v>83606.460000000006</v>
      </c>
      <c r="D130" s="112">
        <f t="shared" si="2"/>
        <v>2.6463146374735125E-2</v>
      </c>
      <c r="F130" s="116">
        <v>45809</v>
      </c>
      <c r="G130">
        <v>722.3</v>
      </c>
      <c r="H130" s="112">
        <f t="shared" si="3"/>
        <v>6.0589177519325688E-3</v>
      </c>
    </row>
    <row r="131" spans="2:8" x14ac:dyDescent="0.25">
      <c r="B131" s="116">
        <v>45839</v>
      </c>
      <c r="C131" s="106">
        <v>81185.58</v>
      </c>
      <c r="D131" s="112">
        <f t="shared" si="2"/>
        <v>-2.89556572542361E-2</v>
      </c>
      <c r="F131" s="116">
        <v>45839</v>
      </c>
      <c r="G131">
        <v>709.15</v>
      </c>
      <c r="H131" s="112">
        <f t="shared" si="3"/>
        <v>-1.8205731690433269E-2</v>
      </c>
    </row>
    <row r="132" spans="2:8" x14ac:dyDescent="0.25">
      <c r="B132" s="117">
        <v>45870</v>
      </c>
      <c r="C132" s="118">
        <v>80539.91</v>
      </c>
      <c r="D132" s="119">
        <f t="shared" si="2"/>
        <v>-7.9530133306924267E-3</v>
      </c>
      <c r="F132" s="117">
        <v>45870</v>
      </c>
      <c r="G132">
        <v>710.6</v>
      </c>
      <c r="H132" s="112">
        <f t="shared" si="3"/>
        <v>2.0447014030882116E-3</v>
      </c>
    </row>
  </sheetData>
  <mergeCells count="4">
    <mergeCell ref="B10:B11"/>
    <mergeCell ref="G10:G11"/>
    <mergeCell ref="F10:F11"/>
    <mergeCell ref="B8:S8"/>
  </mergeCells>
  <conditionalFormatting sqref="D13:D13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{97874D16-B3F1-4291-BAF2-8D2E3E71C72B}</x14:id>
        </ext>
      </extLst>
    </cfRule>
  </conditionalFormatting>
  <conditionalFormatting sqref="H13:H13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{A308A9E3-9B0D-41BC-8DA0-E3E9C81563D1}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7874D16-B3F1-4291-BAF2-8D2E3E71C7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D13:D132</xm:sqref>
        </x14:conditionalFormatting>
        <x14:conditionalFormatting xmlns:xm="http://schemas.microsoft.com/office/excel/2006/main">
          <x14:cfRule type="dataBar" id="{A308A9E3-9B0D-41BC-8DA0-E3E9C81563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H13:H132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8:R43"/>
  <sheetViews>
    <sheetView showGridLines="0" workbookViewId="0">
      <selection activeCell="B3" sqref="B3"/>
    </sheetView>
  </sheetViews>
  <sheetFormatPr defaultRowHeight="15" x14ac:dyDescent="0.25"/>
  <cols>
    <col min="1" max="1" width="1.85546875" customWidth="1"/>
    <col min="2" max="2" width="15.85546875" bestFit="1" customWidth="1"/>
    <col min="6" max="6" width="8.7109375" customWidth="1"/>
    <col min="7" max="7" width="13.85546875" customWidth="1"/>
    <col min="8" max="8" width="12.140625" bestFit="1" customWidth="1"/>
    <col min="9" max="9" width="10.28515625" customWidth="1"/>
    <col min="10" max="10" width="11.28515625" customWidth="1"/>
    <col min="11" max="11" width="3.85546875" customWidth="1"/>
    <col min="12" max="12" width="12.42578125" bestFit="1" customWidth="1"/>
    <col min="18" max="18" width="11" bestFit="1" customWidth="1"/>
  </cols>
  <sheetData>
    <row r="8" spans="2:18" ht="15.75" thickBot="1" x14ac:dyDescent="0.3">
      <c r="B8" s="341" t="s">
        <v>403</v>
      </c>
      <c r="C8" s="341"/>
      <c r="D8" s="341"/>
      <c r="E8" s="341"/>
      <c r="F8" s="341"/>
      <c r="G8" s="341"/>
      <c r="H8" s="341"/>
      <c r="I8" s="341"/>
      <c r="J8" s="341"/>
      <c r="K8" s="341"/>
      <c r="L8" s="341"/>
      <c r="M8" s="341"/>
      <c r="N8" s="341"/>
      <c r="O8" s="341"/>
      <c r="P8" s="341"/>
      <c r="Q8" s="341"/>
      <c r="R8" s="341"/>
    </row>
    <row r="9" spans="2:18" x14ac:dyDescent="0.25">
      <c r="B9" s="24" t="s">
        <v>390</v>
      </c>
    </row>
    <row r="10" spans="2:18" ht="15.75" thickBot="1" x14ac:dyDescent="0.3">
      <c r="B10" s="346" t="s">
        <v>258</v>
      </c>
      <c r="C10" s="346"/>
      <c r="E10" s="346" t="s">
        <v>287</v>
      </c>
      <c r="F10" s="346"/>
      <c r="G10" s="346"/>
      <c r="H10" s="346"/>
      <c r="I10" s="346"/>
      <c r="J10" s="346"/>
      <c r="L10" s="347" t="s">
        <v>297</v>
      </c>
      <c r="M10" s="347"/>
      <c r="N10" s="347"/>
      <c r="P10" s="347" t="s">
        <v>300</v>
      </c>
      <c r="Q10" s="347"/>
      <c r="R10" s="347"/>
    </row>
    <row r="11" spans="2:18" x14ac:dyDescent="0.25">
      <c r="B11" s="145"/>
      <c r="C11" s="146"/>
      <c r="E11" s="149" t="s">
        <v>288</v>
      </c>
      <c r="F11" s="150" t="s">
        <v>289</v>
      </c>
      <c r="G11" s="151" t="s">
        <v>290</v>
      </c>
      <c r="H11" s="151" t="s">
        <v>291</v>
      </c>
      <c r="I11" s="151" t="s">
        <v>292</v>
      </c>
      <c r="J11" s="151" t="s">
        <v>293</v>
      </c>
      <c r="L11" s="155" t="s">
        <v>298</v>
      </c>
      <c r="M11" s="155" t="s">
        <v>191</v>
      </c>
      <c r="N11" s="155" t="s">
        <v>299</v>
      </c>
      <c r="P11" s="155" t="s">
        <v>301</v>
      </c>
      <c r="Q11" s="155" t="s">
        <v>302</v>
      </c>
      <c r="R11" s="155" t="s">
        <v>264</v>
      </c>
    </row>
    <row r="12" spans="2:18" x14ac:dyDescent="0.25">
      <c r="B12" s="147" t="s">
        <v>259</v>
      </c>
      <c r="C12" s="148" t="s">
        <v>260</v>
      </c>
      <c r="E12" s="152" t="s">
        <v>294</v>
      </c>
      <c r="F12" s="153" t="s">
        <v>295</v>
      </c>
      <c r="G12" s="154" t="s">
        <v>296</v>
      </c>
      <c r="H12" s="154" t="s">
        <v>296</v>
      </c>
      <c r="I12" s="154" t="s">
        <v>296</v>
      </c>
      <c r="J12" s="154" t="s">
        <v>296</v>
      </c>
      <c r="L12" s="156" t="s">
        <v>296</v>
      </c>
      <c r="M12" s="156" t="s">
        <v>296</v>
      </c>
      <c r="N12" s="156" t="s">
        <v>296</v>
      </c>
      <c r="P12" s="157" t="s">
        <v>303</v>
      </c>
      <c r="Q12" s="157" t="s">
        <v>303</v>
      </c>
      <c r="R12" s="157" t="s">
        <v>303</v>
      </c>
    </row>
    <row r="13" spans="2:18" x14ac:dyDescent="0.25">
      <c r="B13" t="str">
        <f>'Comps Data'!C9</f>
        <v>Hind. Unilever</v>
      </c>
      <c r="E13" s="158">
        <f>'Comps Data'!D9</f>
        <v>2502.4499999999998</v>
      </c>
      <c r="F13" s="158">
        <f>'Comps Data'!E9</f>
        <v>234.96</v>
      </c>
      <c r="G13" s="25">
        <f>F13*E13</f>
        <v>587975.652</v>
      </c>
      <c r="H13" s="70">
        <f>'Comps Data'!F9</f>
        <v>1648</v>
      </c>
      <c r="I13" s="70">
        <f>'Comps Data'!G9</f>
        <v>7554</v>
      </c>
      <c r="J13" s="25">
        <f>G13+H13-I13</f>
        <v>582069.652</v>
      </c>
      <c r="L13" s="158">
        <f>'Comps Data'!I9</f>
        <v>63121</v>
      </c>
      <c r="M13" s="158">
        <f>'Comps Data'!K9+'Comps Data'!J9</f>
        <v>15860</v>
      </c>
      <c r="N13" s="158">
        <f>'Comps Data'!H9</f>
        <v>10671</v>
      </c>
      <c r="P13" s="159">
        <f>J13/L13</f>
        <v>9.2214897102390641</v>
      </c>
      <c r="Q13" s="159">
        <f>J13/M13</f>
        <v>36.700482471626735</v>
      </c>
      <c r="R13" s="159">
        <f>G13/N13</f>
        <v>55.100332864773684</v>
      </c>
    </row>
    <row r="14" spans="2:18" x14ac:dyDescent="0.25">
      <c r="B14" t="str">
        <f>'Comps Data'!C10</f>
        <v>Nestle India</v>
      </c>
      <c r="E14" s="158">
        <f>'Comps Data'!D10</f>
        <v>1098.5</v>
      </c>
      <c r="F14" s="158">
        <f>'Comps Data'!E10</f>
        <v>192.83</v>
      </c>
      <c r="G14" s="25">
        <f t="shared" ref="G14:G22" si="0">F14*E14</f>
        <v>211823.755</v>
      </c>
      <c r="H14" s="70">
        <f>'Comps Data'!F10</f>
        <v>1166.8499999999999</v>
      </c>
      <c r="I14" s="70">
        <f>'Comps Data'!G10</f>
        <v>95.65</v>
      </c>
      <c r="J14" s="25">
        <f t="shared" ref="J14:J22" si="1">G14+H14-I14</f>
        <v>212894.95500000002</v>
      </c>
      <c r="L14" s="158">
        <f>'Comps Data'!I10</f>
        <v>20201.560000000001</v>
      </c>
      <c r="M14" s="158">
        <f>'Comps Data'!K10+'Comps Data'!J10</f>
        <v>4830.1900000000005</v>
      </c>
      <c r="N14" s="158">
        <f>'Comps Data'!H10</f>
        <v>3314.5</v>
      </c>
      <c r="P14" s="159">
        <f t="shared" ref="P14:P22" si="2">J14/L14</f>
        <v>10.538540340448955</v>
      </c>
      <c r="Q14" s="159">
        <f t="shared" ref="Q14:Q22" si="3">J14/M14</f>
        <v>44.075896600340769</v>
      </c>
      <c r="R14" s="159">
        <f t="shared" ref="R14:R22" si="4">G14/N14</f>
        <v>63.908207874490877</v>
      </c>
    </row>
    <row r="15" spans="2:18" x14ac:dyDescent="0.25">
      <c r="B15" t="str">
        <f>'Comps Data'!C11</f>
        <v>Britannia Inds.</v>
      </c>
      <c r="E15" s="158">
        <f>'Comps Data'!D11</f>
        <v>5352.1</v>
      </c>
      <c r="F15" s="158">
        <f>'Comps Data'!E11</f>
        <v>24.09</v>
      </c>
      <c r="G15" s="25">
        <f t="shared" si="0"/>
        <v>128932.08900000001</v>
      </c>
      <c r="H15" s="70">
        <f>'Comps Data'!F11</f>
        <v>1246.51</v>
      </c>
      <c r="I15" s="70">
        <f>'Comps Data'!G11</f>
        <v>312.48</v>
      </c>
      <c r="J15" s="25">
        <f t="shared" si="1"/>
        <v>129866.11900000001</v>
      </c>
      <c r="L15" s="158">
        <f>'Comps Data'!I11</f>
        <v>17942.669999999998</v>
      </c>
      <c r="M15" s="158">
        <f>'Comps Data'!K11+'Comps Data'!J11</f>
        <v>3402.26</v>
      </c>
      <c r="N15" s="158">
        <f>'Comps Data'!H11</f>
        <v>2177.86</v>
      </c>
      <c r="P15" s="159">
        <f t="shared" si="2"/>
        <v>7.237836899413522</v>
      </c>
      <c r="Q15" s="159">
        <f t="shared" si="3"/>
        <v>38.170545167036032</v>
      </c>
      <c r="R15" s="159">
        <f t="shared" si="4"/>
        <v>59.20127510491951</v>
      </c>
    </row>
    <row r="16" spans="2:18" x14ac:dyDescent="0.25">
      <c r="B16" t="str">
        <f>'Comps Data'!C12</f>
        <v>Godrej Consumer</v>
      </c>
      <c r="E16" s="158">
        <f>'Comps Data'!D12</f>
        <v>1192.55</v>
      </c>
      <c r="F16" s="158">
        <f>'Comps Data'!E12</f>
        <v>102.31</v>
      </c>
      <c r="G16" s="25">
        <f t="shared" si="0"/>
        <v>122009.7905</v>
      </c>
      <c r="H16" s="70">
        <f>'Comps Data'!F12</f>
        <v>4009.19</v>
      </c>
      <c r="I16" s="70">
        <f>'Comps Data'!G12</f>
        <v>483.06</v>
      </c>
      <c r="J16" s="25">
        <f t="shared" si="1"/>
        <v>125535.92050000001</v>
      </c>
      <c r="L16" s="158">
        <f>'Comps Data'!I12</f>
        <v>14364.29</v>
      </c>
      <c r="M16" s="158">
        <f>'Comps Data'!K12+'Comps Data'!J12</f>
        <v>3291.51</v>
      </c>
      <c r="N16" s="158">
        <f>'Comps Data'!H12</f>
        <v>1852.3</v>
      </c>
      <c r="P16" s="159">
        <f t="shared" si="2"/>
        <v>8.7394448664013336</v>
      </c>
      <c r="Q16" s="159">
        <f t="shared" si="3"/>
        <v>38.139310073492105</v>
      </c>
      <c r="R16" s="159">
        <f t="shared" si="4"/>
        <v>65.869346488149873</v>
      </c>
    </row>
    <row r="17" spans="2:18" x14ac:dyDescent="0.25">
      <c r="B17" t="str">
        <f>'Comps Data'!C13</f>
        <v>Tata Consumer</v>
      </c>
      <c r="E17" s="158">
        <f>'Comps Data'!D13</f>
        <v>1056.05</v>
      </c>
      <c r="F17" s="158">
        <f>'Comps Data'!E13</f>
        <v>98.95</v>
      </c>
      <c r="G17" s="25">
        <f t="shared" si="0"/>
        <v>104496.14749999999</v>
      </c>
      <c r="H17" s="70">
        <f>'Comps Data'!F13</f>
        <v>2392.6799999999998</v>
      </c>
      <c r="I17" s="70">
        <f>'Comps Data'!G13</f>
        <v>2817.86</v>
      </c>
      <c r="J17" s="25">
        <f t="shared" si="1"/>
        <v>104070.96749999998</v>
      </c>
      <c r="L17" s="158">
        <f>'Comps Data'!I13</f>
        <v>17618.3</v>
      </c>
      <c r="M17" s="158">
        <f>'Comps Data'!K13+'Comps Data'!J13</f>
        <v>2647.81</v>
      </c>
      <c r="N17" s="158">
        <f>'Comps Data'!H13</f>
        <v>1287.0999999999999</v>
      </c>
      <c r="P17" s="159">
        <f t="shared" si="2"/>
        <v>5.9069812354199884</v>
      </c>
      <c r="Q17" s="159">
        <f t="shared" si="3"/>
        <v>39.304545076874845</v>
      </c>
      <c r="R17" s="159">
        <f t="shared" si="4"/>
        <v>81.187279543159036</v>
      </c>
    </row>
    <row r="18" spans="2:18" x14ac:dyDescent="0.25">
      <c r="B18" t="str">
        <f>'Comps Data'!C14</f>
        <v>Dabur India</v>
      </c>
      <c r="E18" s="158">
        <f>'Comps Data'!D14</f>
        <v>503.5</v>
      </c>
      <c r="F18" s="158">
        <f>'Comps Data'!E14</f>
        <v>177.37</v>
      </c>
      <c r="G18" s="25">
        <f t="shared" si="0"/>
        <v>89305.794999999998</v>
      </c>
      <c r="H18" s="70">
        <f>'Comps Data'!F14</f>
        <v>950.37</v>
      </c>
      <c r="I18" s="70">
        <f>'Comps Data'!G14</f>
        <v>578.01</v>
      </c>
      <c r="J18" s="25">
        <f t="shared" si="1"/>
        <v>89678.154999999999</v>
      </c>
      <c r="L18" s="158">
        <f>'Comps Data'!I14</f>
        <v>12563.09</v>
      </c>
      <c r="M18" s="158">
        <f>'Comps Data'!K14+'Comps Data'!J14</f>
        <v>2857.67</v>
      </c>
      <c r="N18" s="158">
        <f>'Comps Data'!H14</f>
        <v>1740.42</v>
      </c>
      <c r="P18" s="159">
        <f t="shared" si="2"/>
        <v>7.1382243540402879</v>
      </c>
      <c r="Q18" s="159">
        <f t="shared" si="3"/>
        <v>31.381564351377168</v>
      </c>
      <c r="R18" s="159">
        <f t="shared" si="4"/>
        <v>51.312783695889493</v>
      </c>
    </row>
    <row r="19" spans="2:18" x14ac:dyDescent="0.25">
      <c r="B19" t="str">
        <f>'Comps Data'!C15</f>
        <v>Patanjali Foods</v>
      </c>
      <c r="E19" s="158">
        <f>'Comps Data'!D15</f>
        <v>1778</v>
      </c>
      <c r="F19" s="158">
        <f>'Comps Data'!E15</f>
        <v>36.25</v>
      </c>
      <c r="G19" s="25">
        <f t="shared" si="0"/>
        <v>64452.5</v>
      </c>
      <c r="H19" s="70">
        <f>'Comps Data'!F15</f>
        <v>787.68</v>
      </c>
      <c r="I19" s="70">
        <f>'Comps Data'!G15</f>
        <v>275.3</v>
      </c>
      <c r="J19" s="25">
        <f t="shared" si="1"/>
        <v>64964.88</v>
      </c>
      <c r="L19" s="158">
        <f>'Comps Data'!I15</f>
        <v>34156.97</v>
      </c>
      <c r="M19" s="158">
        <f>'Comps Data'!K15+'Comps Data'!J15</f>
        <v>2079.0500000000002</v>
      </c>
      <c r="N19" s="158">
        <f>'Comps Data'!H15</f>
        <v>1301.3399999999999</v>
      </c>
      <c r="P19" s="159">
        <f t="shared" si="2"/>
        <v>1.9019509048958381</v>
      </c>
      <c r="Q19" s="159">
        <f t="shared" si="3"/>
        <v>31.247387027729008</v>
      </c>
      <c r="R19" s="159">
        <f t="shared" si="4"/>
        <v>49.52779442728265</v>
      </c>
    </row>
    <row r="20" spans="2:18" x14ac:dyDescent="0.25">
      <c r="B20" t="str">
        <f>'Comps Data'!C16</f>
        <v>Emami</v>
      </c>
      <c r="E20" s="158">
        <f>'Comps Data'!D16</f>
        <v>580.1</v>
      </c>
      <c r="F20" s="158">
        <f>'Comps Data'!E16</f>
        <v>43.65</v>
      </c>
      <c r="G20" s="25">
        <f t="shared" si="0"/>
        <v>25321.365000000002</v>
      </c>
      <c r="H20" s="70">
        <f>'Comps Data'!F16</f>
        <v>89.79</v>
      </c>
      <c r="I20" s="70">
        <f>'Comps Data'!G16</f>
        <v>272.89999999999998</v>
      </c>
      <c r="J20" s="25">
        <f t="shared" si="1"/>
        <v>25138.255000000001</v>
      </c>
      <c r="L20" s="158">
        <f>'Comps Data'!I16</f>
        <v>3809.19</v>
      </c>
      <c r="M20" s="158">
        <f>'Comps Data'!K16+'Comps Data'!J16</f>
        <v>1043.04</v>
      </c>
      <c r="N20" s="158">
        <f>'Comps Data'!H16</f>
        <v>802.75</v>
      </c>
      <c r="P20" s="159">
        <f t="shared" si="2"/>
        <v>6.5993702073144158</v>
      </c>
      <c r="Q20" s="159">
        <f t="shared" si="3"/>
        <v>24.100950107378434</v>
      </c>
      <c r="R20" s="159">
        <f t="shared" si="4"/>
        <v>31.543276237932112</v>
      </c>
    </row>
    <row r="21" spans="2:18" x14ac:dyDescent="0.25">
      <c r="B21" t="str">
        <f>'Comps Data'!C17</f>
        <v>Bikaji Foods</v>
      </c>
      <c r="E21" s="158">
        <f>'Comps Data'!D17</f>
        <v>724.8</v>
      </c>
      <c r="F21" s="158">
        <f>'Comps Data'!E17</f>
        <v>25.06</v>
      </c>
      <c r="G21" s="25">
        <f t="shared" si="0"/>
        <v>18163.487999999998</v>
      </c>
      <c r="H21" s="70">
        <f>'Comps Data'!F17</f>
        <v>230.94</v>
      </c>
      <c r="I21" s="70">
        <f>'Comps Data'!G17</f>
        <v>219.05</v>
      </c>
      <c r="J21" s="25">
        <f t="shared" si="1"/>
        <v>18175.377999999997</v>
      </c>
      <c r="L21" s="158">
        <f>'Comps Data'!I17</f>
        <v>2621.85</v>
      </c>
      <c r="M21" s="158">
        <f>'Comps Data'!K17+'Comps Data'!J17</f>
        <v>361.15</v>
      </c>
      <c r="N21" s="158">
        <f>'Comps Data'!H17</f>
        <v>194.35</v>
      </c>
      <c r="P21" s="159">
        <f t="shared" si="2"/>
        <v>6.9322722505101346</v>
      </c>
      <c r="Q21" s="159">
        <f t="shared" si="3"/>
        <v>50.326396234251689</v>
      </c>
      <c r="R21" s="159">
        <f t="shared" si="4"/>
        <v>93.457617700025722</v>
      </c>
    </row>
    <row r="22" spans="2:18" x14ac:dyDescent="0.25">
      <c r="B22" t="str">
        <f>'Comps Data'!C18</f>
        <v>AWL Agri Busine.</v>
      </c>
      <c r="E22" s="158">
        <f>'Comps Data'!D18</f>
        <v>252.15</v>
      </c>
      <c r="F22" s="158">
        <f>'Comps Data'!E18</f>
        <v>129.97</v>
      </c>
      <c r="G22" s="25">
        <f t="shared" si="0"/>
        <v>32771.9355</v>
      </c>
      <c r="H22" s="70">
        <f>'Comps Data'!F18</f>
        <v>1937.32</v>
      </c>
      <c r="I22" s="70">
        <f>'Comps Data'!G18</f>
        <v>2325.14</v>
      </c>
      <c r="J22" s="25">
        <f t="shared" si="1"/>
        <v>32384.1155</v>
      </c>
      <c r="L22" s="158">
        <f>'Comps Data'!I18</f>
        <v>63672.24</v>
      </c>
      <c r="M22" s="158">
        <f>'Comps Data'!K18+'Comps Data'!J18</f>
        <v>2724.36</v>
      </c>
      <c r="N22" s="158">
        <f>'Comps Data'!H18</f>
        <v>1225.81</v>
      </c>
      <c r="P22" s="159">
        <f t="shared" si="2"/>
        <v>0.50860650575509836</v>
      </c>
      <c r="Q22" s="159">
        <f t="shared" si="3"/>
        <v>11.886870861413323</v>
      </c>
      <c r="R22" s="159">
        <f t="shared" si="4"/>
        <v>26.734922622592411</v>
      </c>
    </row>
    <row r="24" spans="2:18" x14ac:dyDescent="0.25">
      <c r="B24" s="160" t="s">
        <v>304</v>
      </c>
      <c r="C24" s="160"/>
      <c r="D24" s="160"/>
      <c r="E24" s="160"/>
      <c r="F24" s="160"/>
      <c r="G24" s="160"/>
      <c r="H24" s="160"/>
      <c r="I24" s="160"/>
      <c r="J24" s="160"/>
      <c r="K24" s="160"/>
      <c r="L24" s="160"/>
      <c r="M24" s="160"/>
      <c r="N24" s="160"/>
      <c r="O24" s="160"/>
      <c r="P24" s="161">
        <f>MAX(P13:P22)</f>
        <v>10.538540340448955</v>
      </c>
      <c r="Q24" s="161">
        <f t="shared" ref="Q24:R24" si="5">MAX(Q13:Q22)</f>
        <v>50.326396234251689</v>
      </c>
      <c r="R24" s="161">
        <f t="shared" si="5"/>
        <v>93.457617700025722</v>
      </c>
    </row>
    <row r="25" spans="2:18" x14ac:dyDescent="0.25">
      <c r="B25" s="160" t="s">
        <v>305</v>
      </c>
      <c r="C25" s="160"/>
      <c r="D25" s="160"/>
      <c r="E25" s="160"/>
      <c r="F25" s="160"/>
      <c r="G25" s="160"/>
      <c r="H25" s="160"/>
      <c r="I25" s="160"/>
      <c r="J25" s="160"/>
      <c r="K25" s="160"/>
      <c r="L25" s="160"/>
      <c r="M25" s="160"/>
      <c r="N25" s="160"/>
      <c r="O25" s="160"/>
      <c r="P25" s="161">
        <f>_xlfn.QUARTILE.EXC(P13:P22,3)</f>
        <v>8.8599560773607671</v>
      </c>
      <c r="Q25" s="161">
        <f t="shared" ref="Q25:R25" si="6">_xlfn.QUARTILE.EXC(Q13:Q22,3)</f>
        <v>40.497382957741323</v>
      </c>
      <c r="R25" s="161">
        <f t="shared" si="6"/>
        <v>69.698829751902167</v>
      </c>
    </row>
    <row r="26" spans="2:18" x14ac:dyDescent="0.25">
      <c r="B26" s="162" t="s">
        <v>306</v>
      </c>
      <c r="C26" s="162"/>
      <c r="D26" s="162"/>
      <c r="E26" s="162"/>
      <c r="F26" s="162"/>
      <c r="G26" s="162"/>
      <c r="H26" s="162"/>
      <c r="I26" s="162"/>
      <c r="J26" s="162"/>
      <c r="K26" s="162"/>
      <c r="L26" s="162"/>
      <c r="M26" s="162"/>
      <c r="N26" s="162"/>
      <c r="O26" s="162"/>
      <c r="P26" s="163">
        <f>AVERAGE(P13:P22)</f>
        <v>6.4724717274438648</v>
      </c>
      <c r="Q26" s="163">
        <f t="shared" ref="Q26:R26" si="7">AVERAGE(Q13:Q22)</f>
        <v>34.533394797152013</v>
      </c>
      <c r="R26" s="163">
        <f t="shared" si="7"/>
        <v>57.784283655921534</v>
      </c>
    </row>
    <row r="27" spans="2:18" x14ac:dyDescent="0.25">
      <c r="B27" s="162" t="s">
        <v>307</v>
      </c>
      <c r="C27" s="162"/>
      <c r="D27" s="162"/>
      <c r="E27" s="162"/>
      <c r="F27" s="162"/>
      <c r="G27" s="162"/>
      <c r="H27" s="162"/>
      <c r="I27" s="162"/>
      <c r="J27" s="162"/>
      <c r="K27" s="162"/>
      <c r="L27" s="162"/>
      <c r="M27" s="162"/>
      <c r="N27" s="162"/>
      <c r="O27" s="162"/>
      <c r="P27" s="163">
        <f>MEDIAN(P13:P22)</f>
        <v>7.0352483022752113</v>
      </c>
      <c r="Q27" s="163">
        <f t="shared" ref="Q27:R27" si="8">MEDIAN(Q13:Q22)</f>
        <v>37.41989627255942</v>
      </c>
      <c r="R27" s="163">
        <f t="shared" si="8"/>
        <v>57.150803984846597</v>
      </c>
    </row>
    <row r="28" spans="2:18" x14ac:dyDescent="0.25">
      <c r="B28" s="160" t="s">
        <v>308</v>
      </c>
      <c r="C28" s="160"/>
      <c r="D28" s="160"/>
      <c r="E28" s="160"/>
      <c r="F28" s="160"/>
      <c r="G28" s="160"/>
      <c r="H28" s="160"/>
      <c r="I28" s="160"/>
      <c r="J28" s="160"/>
      <c r="K28" s="160"/>
      <c r="L28" s="160"/>
      <c r="M28" s="160"/>
      <c r="N28" s="160"/>
      <c r="O28" s="160"/>
      <c r="P28" s="161">
        <f>_xlfn.QUARTILE.EXC(P13:P22,1)</f>
        <v>4.9057236527889501</v>
      </c>
      <c r="Q28" s="161">
        <f t="shared" ref="Q28:R28" si="9">_xlfn.QUARTILE.EXC(Q13:Q22,1)</f>
        <v>29.460777797641363</v>
      </c>
      <c r="R28" s="161">
        <f t="shared" si="9"/>
        <v>45.031664879945012</v>
      </c>
    </row>
    <row r="29" spans="2:18" x14ac:dyDescent="0.25">
      <c r="B29" s="160" t="s">
        <v>309</v>
      </c>
      <c r="C29" s="160"/>
      <c r="D29" s="160"/>
      <c r="E29" s="160"/>
      <c r="F29" s="160"/>
      <c r="G29" s="160"/>
      <c r="H29" s="160"/>
      <c r="I29" s="160"/>
      <c r="J29" s="160"/>
      <c r="K29" s="160"/>
      <c r="L29" s="160"/>
      <c r="M29" s="160"/>
      <c r="N29" s="160"/>
      <c r="O29" s="160"/>
      <c r="P29" s="161">
        <f>MIN(P13:P22)</f>
        <v>0.50860650575509836</v>
      </c>
      <c r="Q29" s="161">
        <f t="shared" ref="Q29:R29" si="10">MIN(Q13:Q22)</f>
        <v>11.886870861413323</v>
      </c>
      <c r="R29" s="161">
        <f t="shared" si="10"/>
        <v>26.734922622592411</v>
      </c>
    </row>
    <row r="31" spans="2:18" x14ac:dyDescent="0.25">
      <c r="B31" s="167" t="str">
        <f>'Comps Data'!C20</f>
        <v>Marico</v>
      </c>
      <c r="C31" s="167"/>
      <c r="D31" s="167"/>
      <c r="E31" s="168">
        <f>'Comps Data'!D20</f>
        <v>711</v>
      </c>
      <c r="F31" s="168">
        <f>'Comps Data'!E20</f>
        <v>129.78</v>
      </c>
      <c r="G31" s="169">
        <f>F31*E31</f>
        <v>92273.58</v>
      </c>
      <c r="H31" s="168">
        <f>'Comps Data'!F20</f>
        <v>554</v>
      </c>
      <c r="I31" s="168">
        <f>'Comps Data'!G20</f>
        <v>777</v>
      </c>
      <c r="J31" s="169">
        <f t="shared" ref="J31" si="11">G31+H31-I31</f>
        <v>92050.58</v>
      </c>
      <c r="K31" s="167"/>
      <c r="L31" s="170">
        <f>'Comps Data'!I20</f>
        <v>10831</v>
      </c>
      <c r="M31" s="170">
        <f>'P&amp;L Statement '!G18</f>
        <v>2139</v>
      </c>
      <c r="N31" s="170">
        <f>'P&amp;L Statement '!G39</f>
        <v>1658</v>
      </c>
      <c r="O31" s="167"/>
      <c r="P31" s="171">
        <f t="shared" ref="P31" si="12">J31/L31</f>
        <v>8.4988071276890409</v>
      </c>
      <c r="Q31" s="171">
        <f t="shared" ref="Q31" si="13">J31/M31</f>
        <v>43.034399251986912</v>
      </c>
      <c r="R31" s="171">
        <f t="shared" ref="R31" si="14">G31/N31</f>
        <v>55.653546441495777</v>
      </c>
    </row>
    <row r="32" spans="2:18" s="182" customFormat="1" x14ac:dyDescent="0.25">
      <c r="B32" s="177"/>
      <c r="C32" s="177"/>
      <c r="D32" s="177"/>
      <c r="E32" s="178"/>
      <c r="F32" s="178"/>
      <c r="G32" s="179"/>
      <c r="H32" s="178"/>
      <c r="I32" s="178"/>
      <c r="J32" s="179"/>
      <c r="K32" s="177"/>
      <c r="L32" s="180"/>
      <c r="M32" s="180"/>
      <c r="N32" s="180"/>
      <c r="O32" s="177"/>
      <c r="P32" s="181"/>
      <c r="Q32" s="181"/>
      <c r="R32" s="181"/>
    </row>
    <row r="33" spans="2:12" x14ac:dyDescent="0.25">
      <c r="B33" s="6" t="s">
        <v>307</v>
      </c>
    </row>
    <row r="34" spans="2:12" x14ac:dyDescent="0.25">
      <c r="B34" s="271" t="s">
        <v>310</v>
      </c>
      <c r="C34" s="271"/>
      <c r="D34" s="271"/>
      <c r="E34" s="271" t="s">
        <v>311</v>
      </c>
      <c r="F34" s="271" t="s">
        <v>293</v>
      </c>
      <c r="G34" s="271" t="s">
        <v>312</v>
      </c>
      <c r="H34" s="271" t="s">
        <v>313</v>
      </c>
      <c r="I34" s="271" t="s">
        <v>289</v>
      </c>
      <c r="J34" s="271" t="s">
        <v>314</v>
      </c>
      <c r="L34" s="155" t="s">
        <v>316</v>
      </c>
    </row>
    <row r="35" spans="2:12" x14ac:dyDescent="0.25">
      <c r="B35" s="172" t="s">
        <v>315</v>
      </c>
      <c r="C35" s="172"/>
      <c r="D35" s="172"/>
      <c r="E35" s="173">
        <v>7.0352483022752113</v>
      </c>
      <c r="F35" s="174">
        <f>E35*L31</f>
        <v>76198.774361942807</v>
      </c>
      <c r="G35" s="174">
        <f>$H$31-$I$31</f>
        <v>-223</v>
      </c>
      <c r="H35" s="174">
        <f>F35-G35</f>
        <v>76421.774361942807</v>
      </c>
      <c r="I35" s="172">
        <f>$F$31</f>
        <v>129.78</v>
      </c>
      <c r="J35" s="174">
        <f>H35/I35</f>
        <v>588.85632887920178</v>
      </c>
      <c r="L35" s="185" t="str">
        <f>IF(J35&gt;$E$31,"Undervalued","Overvalued")</f>
        <v>Overvalued</v>
      </c>
    </row>
    <row r="36" spans="2:12" x14ac:dyDescent="0.25">
      <c r="B36" s="175" t="s">
        <v>302</v>
      </c>
      <c r="C36" s="175"/>
      <c r="D36" s="175"/>
      <c r="E36" s="164">
        <v>37.41989627255942</v>
      </c>
      <c r="F36" s="176">
        <f>E36*M31</f>
        <v>80041.158127004601</v>
      </c>
      <c r="G36" s="174">
        <f t="shared" ref="G36:G37" si="15">$H$31-$I$31</f>
        <v>-223</v>
      </c>
      <c r="H36" s="176">
        <f t="shared" ref="H36" si="16">F36-G36</f>
        <v>80264.158127004601</v>
      </c>
      <c r="I36" s="172">
        <f t="shared" ref="I36:I37" si="17">$F$31</f>
        <v>129.78</v>
      </c>
      <c r="J36" s="176">
        <f t="shared" ref="J36:J37" si="18">H36/I36</f>
        <v>618.46323106029126</v>
      </c>
      <c r="L36" s="185" t="str">
        <f t="shared" ref="L36:L37" si="19">IF(J36&gt;$E$31,"Undervalued","Overvalued")</f>
        <v>Overvalued</v>
      </c>
    </row>
    <row r="37" spans="2:12" x14ac:dyDescent="0.25">
      <c r="B37" s="175" t="s">
        <v>264</v>
      </c>
      <c r="C37" s="175"/>
      <c r="D37" s="175"/>
      <c r="E37" s="164">
        <v>57.150803984846597</v>
      </c>
      <c r="F37" s="176">
        <f>G37+H37</f>
        <v>94533.033006875659</v>
      </c>
      <c r="G37" s="174">
        <f t="shared" si="15"/>
        <v>-223</v>
      </c>
      <c r="H37" s="176">
        <f>E37*N31</f>
        <v>94756.033006875659</v>
      </c>
      <c r="I37" s="172">
        <f t="shared" si="17"/>
        <v>129.78</v>
      </c>
      <c r="J37" s="176">
        <f t="shared" si="18"/>
        <v>730.12816309813263</v>
      </c>
      <c r="L37" s="186" t="str">
        <f t="shared" si="19"/>
        <v>Undervalued</v>
      </c>
    </row>
    <row r="38" spans="2:12" x14ac:dyDescent="0.25">
      <c r="B38" s="131"/>
      <c r="C38" s="131"/>
      <c r="D38" s="131"/>
      <c r="E38" s="183"/>
      <c r="F38" s="184"/>
      <c r="G38" s="184"/>
      <c r="H38" s="184"/>
      <c r="I38" s="131"/>
      <c r="J38" s="184"/>
    </row>
    <row r="39" spans="2:12" x14ac:dyDescent="0.25">
      <c r="B39" s="334" t="s">
        <v>306</v>
      </c>
    </row>
    <row r="40" spans="2:12" x14ac:dyDescent="0.25">
      <c r="B40" s="157" t="s">
        <v>310</v>
      </c>
      <c r="C40" s="157"/>
      <c r="D40" s="157"/>
      <c r="E40" s="157" t="s">
        <v>311</v>
      </c>
      <c r="F40" s="157" t="s">
        <v>293</v>
      </c>
      <c r="G40" s="157" t="s">
        <v>312</v>
      </c>
      <c r="H40" s="157" t="s">
        <v>313</v>
      </c>
      <c r="I40" s="157" t="s">
        <v>289</v>
      </c>
      <c r="J40" s="157" t="s">
        <v>314</v>
      </c>
      <c r="L40" s="155" t="s">
        <v>316</v>
      </c>
    </row>
    <row r="41" spans="2:12" x14ac:dyDescent="0.25">
      <c r="B41" s="172" t="s">
        <v>315</v>
      </c>
      <c r="C41" s="172"/>
      <c r="D41" s="172"/>
      <c r="E41" s="173">
        <v>6.4724717274438648</v>
      </c>
      <c r="F41" s="174">
        <f>E41*L31</f>
        <v>70103.341279944492</v>
      </c>
      <c r="G41" s="174">
        <f t="shared" ref="G41:G43" si="20">$H$31-$I$31</f>
        <v>-223</v>
      </c>
      <c r="H41" s="174">
        <f>F41-G41</f>
        <v>70326.341279944492</v>
      </c>
      <c r="I41" s="172">
        <f t="shared" ref="I41:I43" si="21">$F$31</f>
        <v>129.78</v>
      </c>
      <c r="J41" s="174">
        <f>H41/I41</f>
        <v>541.88889875130599</v>
      </c>
      <c r="L41" s="185" t="str">
        <f>IF(J41&gt;$E$31,"Undervalued","Overvalued")</f>
        <v>Overvalued</v>
      </c>
    </row>
    <row r="42" spans="2:12" x14ac:dyDescent="0.25">
      <c r="B42" s="175" t="s">
        <v>302</v>
      </c>
      <c r="C42" s="175"/>
      <c r="D42" s="175"/>
      <c r="E42" s="164">
        <v>34.533394797152013</v>
      </c>
      <c r="F42" s="176">
        <f>E42*M31</f>
        <v>73866.931471108153</v>
      </c>
      <c r="G42" s="174">
        <f t="shared" si="20"/>
        <v>-223</v>
      </c>
      <c r="H42" s="176">
        <f t="shared" ref="H42" si="22">F42-G42</f>
        <v>74089.931471108153</v>
      </c>
      <c r="I42" s="172">
        <f t="shared" si="21"/>
        <v>129.78</v>
      </c>
      <c r="J42" s="176">
        <f t="shared" ref="J42:J43" si="23">H42/I42</f>
        <v>570.88866906386306</v>
      </c>
      <c r="L42" s="185" t="str">
        <f t="shared" ref="L42:L43" si="24">IF(J42&gt;$E$31,"Undervalued","Overvalued")</f>
        <v>Overvalued</v>
      </c>
    </row>
    <row r="43" spans="2:12" x14ac:dyDescent="0.25">
      <c r="B43" s="175" t="s">
        <v>264</v>
      </c>
      <c r="C43" s="175"/>
      <c r="D43" s="175"/>
      <c r="E43" s="164">
        <v>57.784283655921534</v>
      </c>
      <c r="F43" s="176">
        <f>G43+H43</f>
        <v>95583.3423015179</v>
      </c>
      <c r="G43" s="174">
        <f t="shared" si="20"/>
        <v>-223</v>
      </c>
      <c r="H43" s="176">
        <f>E43*N31</f>
        <v>95806.3423015179</v>
      </c>
      <c r="I43" s="172">
        <f t="shared" si="21"/>
        <v>129.78</v>
      </c>
      <c r="J43" s="176">
        <f t="shared" si="23"/>
        <v>738.22116120756584</v>
      </c>
      <c r="L43" s="186" t="str">
        <f t="shared" si="24"/>
        <v>Undervalued</v>
      </c>
    </row>
  </sheetData>
  <mergeCells count="5">
    <mergeCell ref="B10:C10"/>
    <mergeCell ref="E10:J10"/>
    <mergeCell ref="L10:N10"/>
    <mergeCell ref="P10:R10"/>
    <mergeCell ref="B8:R8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P20"/>
  <sheetViews>
    <sheetView showGridLines="0" workbookViewId="0">
      <selection activeCell="C3" sqref="C3"/>
    </sheetView>
  </sheetViews>
  <sheetFormatPr defaultRowHeight="15" x14ac:dyDescent="0.25"/>
  <cols>
    <col min="1" max="1" width="1.85546875" customWidth="1"/>
    <col min="3" max="3" width="16.140625" bestFit="1" customWidth="1"/>
  </cols>
  <sheetData>
    <row r="6" spans="2:16" ht="15.75" thickBot="1" x14ac:dyDescent="0.3">
      <c r="B6" s="341" t="s">
        <v>404</v>
      </c>
      <c r="C6" s="341"/>
      <c r="D6" s="341"/>
      <c r="E6" s="341"/>
      <c r="F6" s="341"/>
      <c r="G6" s="341"/>
      <c r="H6" s="341"/>
      <c r="I6" s="341"/>
      <c r="J6" s="341"/>
      <c r="K6" s="341"/>
      <c r="L6" s="341"/>
      <c r="M6" s="341"/>
      <c r="N6" s="341"/>
      <c r="O6" s="341"/>
      <c r="P6" s="341"/>
    </row>
    <row r="7" spans="2:16" ht="15.75" thickBot="1" x14ac:dyDescent="0.3">
      <c r="B7" s="24" t="s">
        <v>390</v>
      </c>
    </row>
    <row r="8" spans="2:16" x14ac:dyDescent="0.25">
      <c r="B8" s="127" t="s">
        <v>261</v>
      </c>
      <c r="C8" s="128" t="s">
        <v>262</v>
      </c>
      <c r="D8" s="128" t="s">
        <v>268</v>
      </c>
      <c r="E8" s="128" t="s">
        <v>269</v>
      </c>
      <c r="F8" s="128" t="s">
        <v>270</v>
      </c>
      <c r="G8" s="128" t="s">
        <v>271</v>
      </c>
      <c r="H8" s="128" t="s">
        <v>272</v>
      </c>
      <c r="I8" s="128" t="s">
        <v>273</v>
      </c>
      <c r="J8" s="128" t="s">
        <v>274</v>
      </c>
      <c r="K8" s="128" t="s">
        <v>275</v>
      </c>
      <c r="L8" s="128" t="s">
        <v>263</v>
      </c>
      <c r="M8" s="128" t="s">
        <v>276</v>
      </c>
      <c r="N8" s="128" t="s">
        <v>286</v>
      </c>
      <c r="O8" s="128" t="s">
        <v>277</v>
      </c>
      <c r="P8" s="129" t="s">
        <v>264</v>
      </c>
    </row>
    <row r="9" spans="2:16" x14ac:dyDescent="0.25">
      <c r="B9" s="130">
        <v>1</v>
      </c>
      <c r="C9" s="131" t="s">
        <v>278</v>
      </c>
      <c r="D9" s="131">
        <v>2502.4499999999998</v>
      </c>
      <c r="E9" s="131">
        <v>234.96</v>
      </c>
      <c r="F9" s="131">
        <v>1648</v>
      </c>
      <c r="G9" s="131">
        <v>7554</v>
      </c>
      <c r="H9" s="131">
        <v>10671</v>
      </c>
      <c r="I9" s="131">
        <v>63121</v>
      </c>
      <c r="J9" s="131">
        <v>1355</v>
      </c>
      <c r="K9" s="131">
        <v>14505</v>
      </c>
      <c r="L9" s="131">
        <v>36.89</v>
      </c>
      <c r="M9" s="131">
        <v>582067.47</v>
      </c>
      <c r="N9" s="131">
        <v>587973.47</v>
      </c>
      <c r="O9" s="131">
        <v>3362</v>
      </c>
      <c r="P9" s="132">
        <v>55.29</v>
      </c>
    </row>
    <row r="10" spans="2:16" x14ac:dyDescent="0.25">
      <c r="B10" s="130">
        <f>B9+1</f>
        <v>2</v>
      </c>
      <c r="C10" s="131" t="s">
        <v>279</v>
      </c>
      <c r="D10" s="131">
        <v>1098.5</v>
      </c>
      <c r="E10" s="131">
        <v>192.83</v>
      </c>
      <c r="F10" s="131">
        <v>1166.8499999999999</v>
      </c>
      <c r="G10" s="131">
        <v>95.65</v>
      </c>
      <c r="H10" s="131">
        <v>3314.5</v>
      </c>
      <c r="I10" s="131">
        <v>20201.560000000001</v>
      </c>
      <c r="J10" s="131">
        <v>539.91999999999996</v>
      </c>
      <c r="K10" s="131">
        <v>4290.2700000000004</v>
      </c>
      <c r="L10" s="131">
        <v>44.51</v>
      </c>
      <c r="M10" s="131">
        <v>212896.53</v>
      </c>
      <c r="N10" s="131">
        <v>211825.33</v>
      </c>
      <c r="O10" s="131">
        <v>1111.75</v>
      </c>
      <c r="P10" s="132">
        <v>70.430000000000007</v>
      </c>
    </row>
    <row r="11" spans="2:16" x14ac:dyDescent="0.25">
      <c r="B11" s="130">
        <f t="shared" ref="B11:B18" si="0">B10+1</f>
        <v>3</v>
      </c>
      <c r="C11" s="131" t="s">
        <v>280</v>
      </c>
      <c r="D11" s="131">
        <v>5352.1</v>
      </c>
      <c r="E11" s="131">
        <v>24.09</v>
      </c>
      <c r="F11" s="131">
        <v>1246.51</v>
      </c>
      <c r="G11" s="131">
        <v>312.48</v>
      </c>
      <c r="H11" s="131">
        <v>2177.86</v>
      </c>
      <c r="I11" s="131">
        <v>17942.669999999998</v>
      </c>
      <c r="J11" s="131">
        <v>313.33999999999997</v>
      </c>
      <c r="K11" s="131">
        <v>3088.92</v>
      </c>
      <c r="L11" s="131">
        <v>38.15</v>
      </c>
      <c r="M11" s="131">
        <v>129849.16</v>
      </c>
      <c r="N11" s="131">
        <v>128915.13</v>
      </c>
      <c r="O11" s="131">
        <v>753.37</v>
      </c>
      <c r="P11" s="132">
        <v>58.79</v>
      </c>
    </row>
    <row r="12" spans="2:16" x14ac:dyDescent="0.25">
      <c r="B12" s="130">
        <f t="shared" si="0"/>
        <v>4</v>
      </c>
      <c r="C12" s="131" t="s">
        <v>281</v>
      </c>
      <c r="D12" s="131">
        <v>1192.55</v>
      </c>
      <c r="E12" s="131">
        <v>102.31</v>
      </c>
      <c r="F12" s="131">
        <v>4009.19</v>
      </c>
      <c r="G12" s="131">
        <v>483.06</v>
      </c>
      <c r="H12" s="131">
        <v>1852.3</v>
      </c>
      <c r="I12" s="131">
        <v>14364.29</v>
      </c>
      <c r="J12" s="131">
        <v>234</v>
      </c>
      <c r="K12" s="131">
        <v>3057.51</v>
      </c>
      <c r="L12" s="131">
        <v>38.08</v>
      </c>
      <c r="M12" s="131">
        <v>125532.85</v>
      </c>
      <c r="N12" s="131">
        <v>122006.72</v>
      </c>
      <c r="O12" s="131">
        <v>787.5</v>
      </c>
      <c r="P12" s="132">
        <v>64.3</v>
      </c>
    </row>
    <row r="13" spans="2:16" x14ac:dyDescent="0.25">
      <c r="B13" s="130">
        <f t="shared" si="0"/>
        <v>5</v>
      </c>
      <c r="C13" s="131" t="s">
        <v>282</v>
      </c>
      <c r="D13" s="131">
        <v>1056.05</v>
      </c>
      <c r="E13" s="131">
        <v>98.95</v>
      </c>
      <c r="F13" s="131">
        <v>2392.6799999999998</v>
      </c>
      <c r="G13" s="131">
        <v>2817.86</v>
      </c>
      <c r="H13" s="131">
        <v>1287.0999999999999</v>
      </c>
      <c r="I13" s="131">
        <v>17618.3</v>
      </c>
      <c r="J13" s="131">
        <v>600.74</v>
      </c>
      <c r="K13" s="131">
        <v>2047.07</v>
      </c>
      <c r="L13" s="131">
        <v>39.81</v>
      </c>
      <c r="M13" s="131">
        <v>104074.5</v>
      </c>
      <c r="N13" s="131">
        <v>104499.68</v>
      </c>
      <c r="O13" s="131">
        <v>381.52</v>
      </c>
      <c r="P13" s="132">
        <v>79.62</v>
      </c>
    </row>
    <row r="14" spans="2:16" x14ac:dyDescent="0.25">
      <c r="B14" s="130">
        <f t="shared" si="0"/>
        <v>6</v>
      </c>
      <c r="C14" s="131" t="s">
        <v>283</v>
      </c>
      <c r="D14" s="131">
        <v>503.5</v>
      </c>
      <c r="E14" s="131">
        <v>177.37</v>
      </c>
      <c r="F14" s="131">
        <v>950.37</v>
      </c>
      <c r="G14" s="131">
        <v>578.01</v>
      </c>
      <c r="H14" s="131">
        <v>1740.42</v>
      </c>
      <c r="I14" s="131">
        <v>12563.09</v>
      </c>
      <c r="J14" s="131">
        <v>445.6</v>
      </c>
      <c r="K14" s="131">
        <v>2412.0700000000002</v>
      </c>
      <c r="L14" s="131">
        <v>30.99</v>
      </c>
      <c r="M14" s="131">
        <v>89677.67</v>
      </c>
      <c r="N14" s="131">
        <v>89305.31</v>
      </c>
      <c r="O14" s="131">
        <v>523.70000000000005</v>
      </c>
      <c r="P14" s="132">
        <v>50.94</v>
      </c>
    </row>
    <row r="15" spans="2:16" x14ac:dyDescent="0.25">
      <c r="B15" s="130">
        <f t="shared" si="0"/>
        <v>7</v>
      </c>
      <c r="C15" s="131" t="s">
        <v>266</v>
      </c>
      <c r="D15" s="131">
        <v>1778</v>
      </c>
      <c r="E15" s="131">
        <v>36.25</v>
      </c>
      <c r="F15" s="131">
        <v>787.68</v>
      </c>
      <c r="G15" s="131">
        <v>275.3</v>
      </c>
      <c r="H15" s="131">
        <v>1301.3399999999999</v>
      </c>
      <c r="I15" s="131">
        <v>34156.97</v>
      </c>
      <c r="J15" s="131">
        <v>268.39</v>
      </c>
      <c r="K15" s="131">
        <v>1810.66</v>
      </c>
      <c r="L15" s="131">
        <v>31.25</v>
      </c>
      <c r="M15" s="131">
        <v>64966.02</v>
      </c>
      <c r="N15" s="131">
        <v>64453.64</v>
      </c>
      <c r="O15" s="131">
        <v>424.83</v>
      </c>
      <c r="P15" s="132">
        <v>49.54</v>
      </c>
    </row>
    <row r="16" spans="2:16" x14ac:dyDescent="0.25">
      <c r="B16" s="130">
        <f t="shared" si="0"/>
        <v>8</v>
      </c>
      <c r="C16" s="131" t="s">
        <v>284</v>
      </c>
      <c r="D16" s="131">
        <v>580.1</v>
      </c>
      <c r="E16" s="131">
        <v>43.65</v>
      </c>
      <c r="F16" s="131">
        <v>89.79</v>
      </c>
      <c r="G16" s="131">
        <v>272.89999999999998</v>
      </c>
      <c r="H16" s="131">
        <v>802.75</v>
      </c>
      <c r="I16" s="131">
        <v>3809.19</v>
      </c>
      <c r="J16" s="131">
        <v>178.21</v>
      </c>
      <c r="K16" s="131">
        <v>864.83</v>
      </c>
      <c r="L16" s="131">
        <v>23.06</v>
      </c>
      <c r="M16" s="131">
        <v>25138.27</v>
      </c>
      <c r="N16" s="131">
        <v>25321.38</v>
      </c>
      <c r="O16" s="131">
        <v>85.85</v>
      </c>
      <c r="P16" s="132">
        <v>31.02</v>
      </c>
    </row>
    <row r="17" spans="2:16" x14ac:dyDescent="0.25">
      <c r="B17" s="130">
        <f t="shared" si="0"/>
        <v>9</v>
      </c>
      <c r="C17" s="131" t="s">
        <v>285</v>
      </c>
      <c r="D17" s="131">
        <v>724.8</v>
      </c>
      <c r="E17" s="131">
        <v>25.06</v>
      </c>
      <c r="F17" s="131">
        <v>230.94</v>
      </c>
      <c r="G17" s="131">
        <v>219.05</v>
      </c>
      <c r="H17" s="131">
        <v>194.35</v>
      </c>
      <c r="I17" s="131">
        <v>2621.85</v>
      </c>
      <c r="J17" s="131">
        <v>81.53</v>
      </c>
      <c r="K17" s="131">
        <v>279.62</v>
      </c>
      <c r="L17" s="131">
        <v>49.33</v>
      </c>
      <c r="M17" s="131">
        <v>18174.82</v>
      </c>
      <c r="N17" s="131">
        <v>18162.93</v>
      </c>
      <c r="O17" s="131">
        <v>69.989999999999995</v>
      </c>
      <c r="P17" s="132">
        <v>93.15</v>
      </c>
    </row>
    <row r="18" spans="2:16" x14ac:dyDescent="0.25">
      <c r="B18" s="130">
        <f t="shared" si="0"/>
        <v>10</v>
      </c>
      <c r="C18" s="131" t="s">
        <v>267</v>
      </c>
      <c r="D18" s="131">
        <v>252.15</v>
      </c>
      <c r="E18" s="131">
        <v>129.97</v>
      </c>
      <c r="F18" s="131">
        <v>1937.32</v>
      </c>
      <c r="G18" s="131">
        <v>2325.14</v>
      </c>
      <c r="H18" s="131">
        <v>1225.81</v>
      </c>
      <c r="I18" s="131">
        <v>63672.24</v>
      </c>
      <c r="J18" s="131">
        <v>395.1</v>
      </c>
      <c r="K18" s="131">
        <v>2329.2600000000002</v>
      </c>
      <c r="L18" s="131">
        <v>12.4</v>
      </c>
      <c r="M18" s="131">
        <v>32383.51</v>
      </c>
      <c r="N18" s="131">
        <v>32771.33</v>
      </c>
      <c r="O18" s="131">
        <v>409.68</v>
      </c>
      <c r="P18" s="132">
        <v>28.51</v>
      </c>
    </row>
    <row r="19" spans="2:16" x14ac:dyDescent="0.25">
      <c r="B19" s="130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2"/>
    </row>
    <row r="20" spans="2:16" ht="15.75" thickBot="1" x14ac:dyDescent="0.3">
      <c r="B20" s="140">
        <v>11</v>
      </c>
      <c r="C20" s="192" t="s">
        <v>265</v>
      </c>
      <c r="D20" s="192">
        <v>711</v>
      </c>
      <c r="E20" s="192">
        <v>129.78</v>
      </c>
      <c r="F20" s="192">
        <v>554</v>
      </c>
      <c r="G20" s="192">
        <v>777</v>
      </c>
      <c r="H20" s="192">
        <v>1658</v>
      </c>
      <c r="I20" s="192">
        <v>10831</v>
      </c>
      <c r="J20" s="192">
        <v>178</v>
      </c>
      <c r="K20" s="192">
        <v>2149</v>
      </c>
      <c r="L20" s="192">
        <v>38.44</v>
      </c>
      <c r="M20" s="192">
        <v>92052.41</v>
      </c>
      <c r="N20" s="192">
        <v>92275.41</v>
      </c>
      <c r="O20" s="192">
        <v>470</v>
      </c>
      <c r="P20" s="141">
        <v>55.31</v>
      </c>
    </row>
  </sheetData>
  <mergeCells count="1">
    <mergeCell ref="B6:P6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0:J52"/>
  <sheetViews>
    <sheetView showGridLines="0" workbookViewId="0">
      <selection activeCell="D7" sqref="D7"/>
    </sheetView>
  </sheetViews>
  <sheetFormatPr defaultRowHeight="15" x14ac:dyDescent="0.25"/>
  <cols>
    <col min="1" max="1" width="1.85546875" customWidth="1"/>
    <col min="2" max="2" width="20.85546875" bestFit="1" customWidth="1"/>
    <col min="3" max="3" width="12.85546875" bestFit="1" customWidth="1"/>
    <col min="4" max="4" width="12.28515625" bestFit="1" customWidth="1"/>
    <col min="5" max="5" width="20" bestFit="1" customWidth="1"/>
    <col min="6" max="6" width="12.140625" bestFit="1" customWidth="1"/>
    <col min="7" max="7" width="12.28515625" bestFit="1" customWidth="1"/>
    <col min="9" max="9" width="12.5703125" bestFit="1" customWidth="1"/>
    <col min="10" max="10" width="15" bestFit="1" customWidth="1"/>
  </cols>
  <sheetData>
    <row r="10" spans="2:10" x14ac:dyDescent="0.25">
      <c r="B10" s="348" t="s">
        <v>317</v>
      </c>
      <c r="C10" s="348"/>
      <c r="D10" s="348"/>
      <c r="E10" s="348"/>
      <c r="F10" s="348"/>
      <c r="G10" s="348"/>
      <c r="H10" s="348"/>
      <c r="I10" s="348"/>
      <c r="J10" s="348"/>
    </row>
    <row r="11" spans="2:10" x14ac:dyDescent="0.25">
      <c r="B11" s="24" t="s">
        <v>390</v>
      </c>
    </row>
    <row r="12" spans="2:10" ht="15.75" thickBot="1" x14ac:dyDescent="0.3">
      <c r="B12" s="187" t="s">
        <v>259</v>
      </c>
      <c r="C12" s="187"/>
      <c r="D12" s="187" t="s">
        <v>318</v>
      </c>
      <c r="E12" s="187" t="s">
        <v>319</v>
      </c>
      <c r="F12" s="187" t="s">
        <v>320</v>
      </c>
      <c r="G12" s="187" t="s">
        <v>321</v>
      </c>
      <c r="H12" s="187" t="s">
        <v>322</v>
      </c>
      <c r="I12" s="188" t="s">
        <v>323</v>
      </c>
      <c r="J12" s="187" t="s">
        <v>324</v>
      </c>
    </row>
    <row r="13" spans="2:10" x14ac:dyDescent="0.25">
      <c r="B13" t="str">
        <f>'Comps Valuation'!B13</f>
        <v>Hind. Unilever</v>
      </c>
      <c r="D13" s="25">
        <f>'Comps Valuation'!G13</f>
        <v>587975.652</v>
      </c>
      <c r="E13">
        <f>'Comps Valuation'!H13</f>
        <v>1648</v>
      </c>
      <c r="F13" s="21">
        <f>E13/D13</f>
        <v>2.8028371487736365E-3</v>
      </c>
      <c r="G13" s="21">
        <f>E13/(D13+E13)</f>
        <v>2.7950032099458588E-3</v>
      </c>
      <c r="H13" s="189">
        <v>0.2369</v>
      </c>
      <c r="I13">
        <v>0.37</v>
      </c>
      <c r="J13" s="111">
        <f>I13/(1+F13*(1-H13))</f>
        <v>0.36921031635050283</v>
      </c>
    </row>
    <row r="14" spans="2:10" x14ac:dyDescent="0.25">
      <c r="B14" t="str">
        <f>'Comps Valuation'!B14</f>
        <v>Nestle India</v>
      </c>
      <c r="D14" s="25">
        <f>'Comps Valuation'!G14</f>
        <v>211823.755</v>
      </c>
      <c r="E14">
        <f>'Comps Valuation'!H14</f>
        <v>1166.8499999999999</v>
      </c>
      <c r="F14" s="21">
        <f t="shared" ref="F14:F21" si="0">E14/D14</f>
        <v>5.5085889682203017E-3</v>
      </c>
      <c r="G14" s="21">
        <f t="shared" ref="G14:G21" si="1">E14/(D14+E14)</f>
        <v>5.4784106557188277E-3</v>
      </c>
      <c r="H14" s="189">
        <v>0.25919999999999999</v>
      </c>
      <c r="I14">
        <v>0.24</v>
      </c>
      <c r="J14" s="111">
        <f t="shared" ref="J14:J21" si="2">I14/(1+F14*(1-H14))</f>
        <v>0.2390245973369744</v>
      </c>
    </row>
    <row r="15" spans="2:10" x14ac:dyDescent="0.25">
      <c r="B15" t="str">
        <f>'Comps Valuation'!B15</f>
        <v>Britannia Inds.</v>
      </c>
      <c r="D15" s="25">
        <f>'Comps Valuation'!G15</f>
        <v>128932.08900000001</v>
      </c>
      <c r="E15">
        <f>'Comps Valuation'!H15</f>
        <v>1246.51</v>
      </c>
      <c r="F15" s="21">
        <f t="shared" si="0"/>
        <v>9.6679578347636935E-3</v>
      </c>
      <c r="G15" s="21">
        <f t="shared" si="1"/>
        <v>9.5753834314962934E-3</v>
      </c>
      <c r="H15" s="189">
        <v>0.25569999999999998</v>
      </c>
      <c r="I15">
        <v>0.53</v>
      </c>
      <c r="J15" s="111">
        <f t="shared" si="2"/>
        <v>0.5262134412120687</v>
      </c>
    </row>
    <row r="16" spans="2:10" x14ac:dyDescent="0.25">
      <c r="B16" t="str">
        <f>'Comps Valuation'!B16</f>
        <v>Godrej Consumer</v>
      </c>
      <c r="D16" s="25">
        <f>'Comps Valuation'!G16</f>
        <v>122009.7905</v>
      </c>
      <c r="E16">
        <f>'Comps Valuation'!H16</f>
        <v>4009.19</v>
      </c>
      <c r="F16" s="21">
        <f t="shared" si="0"/>
        <v>3.2859576133769365E-2</v>
      </c>
      <c r="G16" s="21">
        <f t="shared" si="1"/>
        <v>3.1814175801874546E-2</v>
      </c>
      <c r="H16" s="189">
        <v>0.29809999999999998</v>
      </c>
      <c r="I16">
        <v>0.27</v>
      </c>
      <c r="J16" s="111">
        <f t="shared" si="2"/>
        <v>0.26391307286636545</v>
      </c>
    </row>
    <row r="17" spans="2:10" x14ac:dyDescent="0.25">
      <c r="B17" t="str">
        <f>'Comps Valuation'!B17</f>
        <v>Tata Consumer</v>
      </c>
      <c r="D17" s="25">
        <f>'Comps Valuation'!G17</f>
        <v>104496.14749999999</v>
      </c>
      <c r="E17">
        <f>'Comps Valuation'!H17</f>
        <v>2392.6799999999998</v>
      </c>
      <c r="F17" s="21">
        <f t="shared" si="0"/>
        <v>2.2897303462790338E-2</v>
      </c>
      <c r="G17" s="21">
        <f t="shared" si="1"/>
        <v>2.2384752980848258E-2</v>
      </c>
      <c r="H17" s="189">
        <v>0.223</v>
      </c>
      <c r="I17">
        <v>0.42</v>
      </c>
      <c r="J17" s="111">
        <f t="shared" si="2"/>
        <v>0.41265831147206222</v>
      </c>
    </row>
    <row r="18" spans="2:10" x14ac:dyDescent="0.25">
      <c r="B18" t="str">
        <f>'Comps Valuation'!B18</f>
        <v>Dabur India</v>
      </c>
      <c r="D18" s="25">
        <f>'Comps Valuation'!G18</f>
        <v>89305.794999999998</v>
      </c>
      <c r="E18">
        <f>'Comps Valuation'!H18</f>
        <v>950.37</v>
      </c>
      <c r="F18" s="21">
        <f t="shared" si="0"/>
        <v>1.0641750627716825E-2</v>
      </c>
      <c r="G18" s="21">
        <f t="shared" si="1"/>
        <v>1.0529696226291024E-2</v>
      </c>
      <c r="H18" s="189">
        <v>0.22989999999999999</v>
      </c>
      <c r="I18">
        <v>0.24</v>
      </c>
      <c r="J18" s="111">
        <f t="shared" si="2"/>
        <v>0.23804913681963794</v>
      </c>
    </row>
    <row r="19" spans="2:10" x14ac:dyDescent="0.25">
      <c r="B19" t="str">
        <f>'Comps Valuation'!B19</f>
        <v>Patanjali Foods</v>
      </c>
      <c r="D19" s="25">
        <f>'Comps Valuation'!G19</f>
        <v>64452.5</v>
      </c>
      <c r="E19">
        <f>'Comps Valuation'!H19</f>
        <v>787.68</v>
      </c>
      <c r="F19" s="21">
        <f t="shared" si="0"/>
        <v>1.2221093053023544E-2</v>
      </c>
      <c r="G19" s="21">
        <f t="shared" si="1"/>
        <v>1.2073541182749649E-2</v>
      </c>
      <c r="H19" s="189">
        <v>0.2462</v>
      </c>
      <c r="I19">
        <v>0.06</v>
      </c>
      <c r="J19" s="111">
        <f t="shared" si="2"/>
        <v>5.9452309867268995E-2</v>
      </c>
    </row>
    <row r="20" spans="2:10" x14ac:dyDescent="0.25">
      <c r="B20" t="str">
        <f>'Comps Valuation'!B20</f>
        <v>Emami</v>
      </c>
      <c r="D20" s="25">
        <f>'Comps Valuation'!G20</f>
        <v>25321.365000000002</v>
      </c>
      <c r="E20">
        <f>'Comps Valuation'!H20</f>
        <v>89.79</v>
      </c>
      <c r="F20" s="21">
        <f t="shared" si="0"/>
        <v>3.5460173651775881E-3</v>
      </c>
      <c r="G20" s="21">
        <f t="shared" si="1"/>
        <v>3.5334875569410363E-3</v>
      </c>
      <c r="H20" s="189">
        <v>9.5200000000000007E-2</v>
      </c>
      <c r="I20">
        <v>0.33</v>
      </c>
      <c r="J20" s="111">
        <f t="shared" si="2"/>
        <v>0.32894460212810273</v>
      </c>
    </row>
    <row r="21" spans="2:10" x14ac:dyDescent="0.25">
      <c r="B21" t="str">
        <f>'Comps Valuation'!B21</f>
        <v>Bikaji Foods</v>
      </c>
      <c r="D21" s="25">
        <f>'Comps Valuation'!G21</f>
        <v>18163.487999999998</v>
      </c>
      <c r="E21">
        <f>'Comps Valuation'!H21</f>
        <v>230.94</v>
      </c>
      <c r="F21" s="21">
        <f t="shared" si="0"/>
        <v>1.2714518268737813E-2</v>
      </c>
      <c r="G21" s="21">
        <f t="shared" si="1"/>
        <v>1.2554888904400836E-2</v>
      </c>
      <c r="H21" s="189">
        <v>0.2636</v>
      </c>
      <c r="I21">
        <v>0.63</v>
      </c>
      <c r="J21" s="111">
        <f t="shared" si="2"/>
        <v>0.62415604489420784</v>
      </c>
    </row>
    <row r="22" spans="2:10" x14ac:dyDescent="0.25">
      <c r="D22" s="25"/>
      <c r="F22" s="21"/>
      <c r="G22" s="21"/>
    </row>
    <row r="23" spans="2:10" x14ac:dyDescent="0.25">
      <c r="B23" s="160" t="s">
        <v>306</v>
      </c>
      <c r="C23" s="160"/>
      <c r="D23" s="160"/>
      <c r="E23" s="160"/>
      <c r="F23" s="190">
        <f>AVERAGE(F13:F21)</f>
        <v>1.2539960318108124E-2</v>
      </c>
      <c r="G23" s="190">
        <f t="shared" ref="G23:J23" si="3">AVERAGE(G13:G21)</f>
        <v>1.2304371105585148E-2</v>
      </c>
      <c r="H23" s="190">
        <f t="shared" si="3"/>
        <v>0.23420000000000002</v>
      </c>
      <c r="I23" s="191">
        <f t="shared" si="3"/>
        <v>0.34333333333333338</v>
      </c>
      <c r="J23" s="191">
        <f t="shared" si="3"/>
        <v>0.34018020366079899</v>
      </c>
    </row>
    <row r="24" spans="2:10" x14ac:dyDescent="0.25">
      <c r="B24" s="160" t="s">
        <v>307</v>
      </c>
      <c r="C24" s="160"/>
      <c r="D24" s="160"/>
      <c r="E24" s="160"/>
      <c r="F24" s="190">
        <f>MEDIAN(F13:F21)</f>
        <v>1.0641750627716825E-2</v>
      </c>
      <c r="G24" s="190">
        <f t="shared" ref="G24:J24" si="4">MEDIAN(G13:G21)</f>
        <v>1.0529696226291024E-2</v>
      </c>
      <c r="H24" s="190">
        <f t="shared" si="4"/>
        <v>0.2462</v>
      </c>
      <c r="I24" s="191">
        <f t="shared" si="4"/>
        <v>0.33</v>
      </c>
      <c r="J24" s="191">
        <f t="shared" si="4"/>
        <v>0.32894460212810273</v>
      </c>
    </row>
    <row r="26" spans="2:10" x14ac:dyDescent="0.25">
      <c r="B26" s="165" t="str">
        <f>'Comps Valuation'!B31</f>
        <v>Marico</v>
      </c>
      <c r="C26" s="165"/>
      <c r="D26" s="166">
        <f>'Comps Valuation'!G31</f>
        <v>92273.58</v>
      </c>
      <c r="E26" s="166">
        <f>'Comps Valuation'!H31</f>
        <v>554</v>
      </c>
      <c r="F26" s="209">
        <f t="shared" ref="F26" si="5">E26/D26</f>
        <v>6.0038854025171668E-3</v>
      </c>
      <c r="G26" s="209">
        <f t="shared" ref="G26" si="6">E26/(D26+E26)</f>
        <v>5.968053890880275E-3</v>
      </c>
      <c r="H26" s="210">
        <v>0.22228214650532618</v>
      </c>
      <c r="I26" s="165">
        <v>0.16</v>
      </c>
      <c r="J26" s="211">
        <f t="shared" ref="J26" si="7">I26/(1+F26*(1-H26))</f>
        <v>0.15925637958939023</v>
      </c>
    </row>
    <row r="28" spans="2:10" ht="15.75" thickBot="1" x14ac:dyDescent="0.3">
      <c r="B28" s="349" t="s">
        <v>325</v>
      </c>
      <c r="C28" s="349"/>
    </row>
    <row r="30" spans="2:10" x14ac:dyDescent="0.25">
      <c r="B30" s="175" t="s">
        <v>326</v>
      </c>
      <c r="C30" s="193">
        <f>F24</f>
        <v>1.0641750627716825E-2</v>
      </c>
    </row>
    <row r="31" spans="2:10" x14ac:dyDescent="0.25">
      <c r="B31" s="194" t="s">
        <v>327</v>
      </c>
      <c r="C31" s="195">
        <f>1-C30</f>
        <v>0.98935824937228323</v>
      </c>
    </row>
    <row r="34" spans="2:6" ht="15.75" thickBot="1" x14ac:dyDescent="0.3">
      <c r="B34" s="349" t="s">
        <v>328</v>
      </c>
      <c r="C34" s="349"/>
    </row>
    <row r="35" spans="2:6" x14ac:dyDescent="0.25">
      <c r="B35" s="6"/>
    </row>
    <row r="36" spans="2:6" x14ac:dyDescent="0.25">
      <c r="B36" s="175" t="s">
        <v>329</v>
      </c>
      <c r="C36" s="176">
        <f>D26</f>
        <v>92273.58</v>
      </c>
    </row>
    <row r="37" spans="2:6" x14ac:dyDescent="0.25">
      <c r="B37" s="194" t="s">
        <v>319</v>
      </c>
      <c r="C37" s="196">
        <f>E26</f>
        <v>554</v>
      </c>
    </row>
    <row r="38" spans="2:6" ht="15.75" thickBot="1" x14ac:dyDescent="0.3">
      <c r="B38" s="33" t="s">
        <v>330</v>
      </c>
      <c r="C38" s="98">
        <f>C37/C36</f>
        <v>6.0038854025171668E-3</v>
      </c>
    </row>
    <row r="40" spans="2:6" ht="15.75" thickBot="1" x14ac:dyDescent="0.3">
      <c r="B40" s="349" t="s">
        <v>331</v>
      </c>
      <c r="C40" s="349"/>
    </row>
    <row r="41" spans="2:6" x14ac:dyDescent="0.25">
      <c r="B41" s="175" t="s">
        <v>332</v>
      </c>
      <c r="C41" s="197">
        <f>'Debt Schedules'!G15</f>
        <v>9.5667870036101083E-2</v>
      </c>
    </row>
    <row r="42" spans="2:6" x14ac:dyDescent="0.25">
      <c r="B42" s="194" t="s">
        <v>333</v>
      </c>
      <c r="C42" s="195">
        <f>Assumption!C16</f>
        <v>0.22228214650532618</v>
      </c>
    </row>
    <row r="43" spans="2:6" ht="15.75" thickBot="1" x14ac:dyDescent="0.3">
      <c r="B43" s="33" t="s">
        <v>334</v>
      </c>
      <c r="C43" s="98">
        <f>C41*(1-C42)</f>
        <v>7.4402610532883953E-2</v>
      </c>
    </row>
    <row r="45" spans="2:6" ht="15.75" thickBot="1" x14ac:dyDescent="0.3">
      <c r="B45" s="349" t="s">
        <v>335</v>
      </c>
      <c r="C45" s="349"/>
      <c r="E45" s="349" t="s">
        <v>335</v>
      </c>
      <c r="F45" s="349"/>
    </row>
    <row r="46" spans="2:6" x14ac:dyDescent="0.25">
      <c r="B46" s="198" t="s">
        <v>336</v>
      </c>
      <c r="C46" s="202">
        <f>Assumption!C15</f>
        <v>6.4630000000000007E-2</v>
      </c>
      <c r="E46" s="198" t="s">
        <v>336</v>
      </c>
      <c r="F46" s="205">
        <f>Assumption!C15</f>
        <v>6.4630000000000007E-2</v>
      </c>
    </row>
    <row r="47" spans="2:6" x14ac:dyDescent="0.25">
      <c r="B47" s="175" t="s">
        <v>337</v>
      </c>
      <c r="C47" s="199">
        <f>'Equity Market'!F12</f>
        <v>0.11324228634046007</v>
      </c>
      <c r="E47" s="175" t="s">
        <v>337</v>
      </c>
      <c r="F47" s="206">
        <v>0.11324228634046007</v>
      </c>
    </row>
    <row r="48" spans="2:6" x14ac:dyDescent="0.25">
      <c r="B48" s="175" t="s">
        <v>338</v>
      </c>
      <c r="C48" s="203">
        <f>C47-C46</f>
        <v>4.8612286340460067E-2</v>
      </c>
      <c r="E48" s="175" t="s">
        <v>338</v>
      </c>
      <c r="F48" s="203">
        <f>F47-F46</f>
        <v>4.8612286340460067E-2</v>
      </c>
    </row>
    <row r="49" spans="2:6" x14ac:dyDescent="0.25">
      <c r="B49" s="194" t="s">
        <v>339</v>
      </c>
      <c r="C49" s="200">
        <f>J24*(1+C38*(1-C42))</f>
        <v>0.33048055265475068</v>
      </c>
      <c r="E49" s="194" t="s">
        <v>339</v>
      </c>
      <c r="F49" s="207">
        <f>Beta!L14</f>
        <v>0.42148316663798663</v>
      </c>
    </row>
    <row r="50" spans="2:6" ht="15.75" thickBot="1" x14ac:dyDescent="0.3">
      <c r="B50" s="33" t="s">
        <v>335</v>
      </c>
      <c r="C50" s="201">
        <f>C46+(C49*C48)</f>
        <v>8.0695415255606237E-2</v>
      </c>
      <c r="E50" s="33" t="s">
        <v>335</v>
      </c>
      <c r="F50" s="201">
        <f>F46+(F49*F48)</f>
        <v>8.5119260384289658E-2</v>
      </c>
    </row>
    <row r="52" spans="2:6" ht="15.75" thickBot="1" x14ac:dyDescent="0.3">
      <c r="B52" s="204" t="s">
        <v>340</v>
      </c>
      <c r="C52" s="208">
        <f>(C50*C31)+(C30*C43)</f>
        <v>8.0628448796998112E-2</v>
      </c>
      <c r="E52" s="204" t="s">
        <v>340</v>
      </c>
      <c r="F52" s="208">
        <f>(F50*(1-C38))+(C43*C38)</f>
        <v>8.5054918846682925E-2</v>
      </c>
    </row>
  </sheetData>
  <mergeCells count="6">
    <mergeCell ref="B10:J10"/>
    <mergeCell ref="B28:C28"/>
    <mergeCell ref="B34:C34"/>
    <mergeCell ref="B40:C40"/>
    <mergeCell ref="B45:C45"/>
    <mergeCell ref="E45:F45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8:R41"/>
  <sheetViews>
    <sheetView showGridLines="0" topLeftCell="A14" workbookViewId="0">
      <selection activeCell="B16" sqref="B16"/>
    </sheetView>
  </sheetViews>
  <sheetFormatPr defaultRowHeight="15" x14ac:dyDescent="0.25"/>
  <cols>
    <col min="1" max="1" width="1.85546875" customWidth="1"/>
    <col min="2" max="2" width="31.5703125" bestFit="1" customWidth="1"/>
    <col min="3" max="3" width="11.28515625" bestFit="1" customWidth="1"/>
    <col min="5" max="5" width="27.5703125" customWidth="1"/>
    <col min="7" max="9" width="9.5703125" bestFit="1" customWidth="1"/>
    <col min="18" max="18" width="11.28515625" bestFit="1" customWidth="1"/>
  </cols>
  <sheetData>
    <row r="8" spans="2:18" ht="15.75" thickBot="1" x14ac:dyDescent="0.3">
      <c r="B8" s="341" t="s">
        <v>405</v>
      </c>
      <c r="C8" s="341"/>
      <c r="D8" s="341"/>
      <c r="E8" s="341"/>
      <c r="F8" s="341"/>
      <c r="G8" s="341"/>
      <c r="H8" s="341"/>
      <c r="I8" s="341"/>
      <c r="J8" s="341"/>
      <c r="K8" s="341"/>
      <c r="L8" s="341"/>
      <c r="M8" s="341"/>
      <c r="N8" s="341"/>
      <c r="O8" s="341"/>
      <c r="P8" s="341"/>
      <c r="Q8" s="341"/>
      <c r="R8" s="341"/>
    </row>
    <row r="9" spans="2:18" x14ac:dyDescent="0.25">
      <c r="B9" s="24" t="s">
        <v>390</v>
      </c>
    </row>
    <row r="10" spans="2:18" x14ac:dyDescent="0.25">
      <c r="B10" s="271" t="s">
        <v>139</v>
      </c>
      <c r="C10" s="272">
        <v>2021</v>
      </c>
      <c r="D10" s="272">
        <f t="shared" ref="D10:Q10" si="0">C10+1</f>
        <v>2022</v>
      </c>
      <c r="E10" s="272">
        <f t="shared" si="0"/>
        <v>2023</v>
      </c>
      <c r="F10" s="272">
        <f t="shared" si="0"/>
        <v>2024</v>
      </c>
      <c r="G10" s="272">
        <f t="shared" si="0"/>
        <v>2025</v>
      </c>
      <c r="H10" s="270">
        <f t="shared" si="0"/>
        <v>2026</v>
      </c>
      <c r="I10" s="270">
        <f t="shared" si="0"/>
        <v>2027</v>
      </c>
      <c r="J10" s="270">
        <f t="shared" si="0"/>
        <v>2028</v>
      </c>
      <c r="K10" s="270">
        <f t="shared" si="0"/>
        <v>2029</v>
      </c>
      <c r="L10" s="270">
        <f t="shared" si="0"/>
        <v>2030</v>
      </c>
      <c r="M10" s="270">
        <f t="shared" si="0"/>
        <v>2031</v>
      </c>
      <c r="N10" s="270">
        <f t="shared" si="0"/>
        <v>2032</v>
      </c>
      <c r="O10" s="270">
        <f t="shared" si="0"/>
        <v>2033</v>
      </c>
      <c r="P10" s="270">
        <f t="shared" si="0"/>
        <v>2034</v>
      </c>
      <c r="Q10" s="270">
        <f t="shared" si="0"/>
        <v>2035</v>
      </c>
    </row>
    <row r="11" spans="2:18" x14ac:dyDescent="0.25">
      <c r="G11" t="s">
        <v>355</v>
      </c>
      <c r="R11" t="s">
        <v>356</v>
      </c>
    </row>
    <row r="12" spans="2:18" x14ac:dyDescent="0.25">
      <c r="B12" s="212" t="s">
        <v>352</v>
      </c>
      <c r="C12" s="213"/>
      <c r="D12" s="214"/>
      <c r="E12" s="215"/>
      <c r="F12" s="216"/>
      <c r="G12" s="216">
        <f>Assumption!C13</f>
        <v>45883</v>
      </c>
      <c r="H12" s="216">
        <f>DATE(YEAR(Assumption!$C$14)+'DCF Model'!H13,MONTH(Assumption!$C$14),DAY(Assumption!$C$14))</f>
        <v>46112</v>
      </c>
      <c r="I12" s="216">
        <f>DATE(YEAR(Assumption!$C$14)+'DCF Model'!I13,MONTH(Assumption!$C$14),DAY(Assumption!$C$14))</f>
        <v>46477</v>
      </c>
      <c r="J12" s="216">
        <f>DATE(YEAR(Assumption!$C$14)+'DCF Model'!J13,MONTH(Assumption!$C$14),DAY(Assumption!$C$14))</f>
        <v>46843</v>
      </c>
      <c r="K12" s="216">
        <f>DATE(YEAR(Assumption!$C$14)+'DCF Model'!K13,MONTH(Assumption!$C$14),DAY(Assumption!$C$14))</f>
        <v>47208</v>
      </c>
      <c r="L12" s="216">
        <f>DATE(YEAR(Assumption!$C$14)+'DCF Model'!L13,MONTH(Assumption!$C$14),DAY(Assumption!$C$14))</f>
        <v>47573</v>
      </c>
      <c r="M12" s="216">
        <f>DATE(YEAR(Assumption!$C$14)+'DCF Model'!M13,MONTH(Assumption!$C$14),DAY(Assumption!$C$14))</f>
        <v>47938</v>
      </c>
      <c r="N12" s="216">
        <f>DATE(YEAR(Assumption!$C$14)+'DCF Model'!N13,MONTH(Assumption!$C$14),DAY(Assumption!$C$14))</f>
        <v>48304</v>
      </c>
      <c r="O12" s="216">
        <f>DATE(YEAR(Assumption!$C$14)+'DCF Model'!O13,MONTH(Assumption!$C$14),DAY(Assumption!$C$14))</f>
        <v>48669</v>
      </c>
      <c r="P12" s="216">
        <f>DATE(YEAR(Assumption!$C$14)+'DCF Model'!P13,MONTH(Assumption!$C$14),DAY(Assumption!$C$14))</f>
        <v>49034</v>
      </c>
      <c r="Q12" s="216">
        <f>DATE(YEAR(Assumption!$C$14)+'DCF Model'!Q13,MONTH(Assumption!$C$14),DAY(Assumption!$C$14))</f>
        <v>49399</v>
      </c>
      <c r="R12" s="216">
        <f>Q12</f>
        <v>49399</v>
      </c>
    </row>
    <row r="13" spans="2:18" x14ac:dyDescent="0.25">
      <c r="B13" s="212" t="s">
        <v>353</v>
      </c>
      <c r="C13" s="214"/>
      <c r="D13" s="214"/>
      <c r="E13" s="212"/>
      <c r="F13" s="217"/>
      <c r="G13" s="212"/>
      <c r="H13" s="212">
        <v>0</v>
      </c>
      <c r="I13" s="212">
        <f>H13+1</f>
        <v>1</v>
      </c>
      <c r="J13" s="212">
        <f t="shared" ref="J13:Q13" si="1">I13+1</f>
        <v>2</v>
      </c>
      <c r="K13" s="212">
        <f t="shared" si="1"/>
        <v>3</v>
      </c>
      <c r="L13" s="212">
        <f t="shared" si="1"/>
        <v>4</v>
      </c>
      <c r="M13" s="212">
        <f t="shared" si="1"/>
        <v>5</v>
      </c>
      <c r="N13" s="212">
        <f t="shared" si="1"/>
        <v>6</v>
      </c>
      <c r="O13" s="212">
        <f t="shared" si="1"/>
        <v>7</v>
      </c>
      <c r="P13" s="212">
        <f t="shared" si="1"/>
        <v>8</v>
      </c>
      <c r="Q13" s="212">
        <f t="shared" si="1"/>
        <v>9</v>
      </c>
      <c r="R13" s="218"/>
    </row>
    <row r="14" spans="2:18" x14ac:dyDescent="0.25">
      <c r="B14" s="219" t="s">
        <v>354</v>
      </c>
      <c r="C14" s="220"/>
      <c r="D14" s="220"/>
      <c r="E14" s="219"/>
      <c r="F14" s="219"/>
      <c r="G14" s="219"/>
      <c r="H14" s="221">
        <f>YEARFRAC(G12,H12)</f>
        <v>0.63055555555555554</v>
      </c>
      <c r="I14" s="221">
        <f t="shared" ref="I14:Q14" si="2">YEARFRAC(H12,I12)</f>
        <v>1</v>
      </c>
      <c r="J14" s="221">
        <f t="shared" si="2"/>
        <v>1</v>
      </c>
      <c r="K14" s="221">
        <f t="shared" si="2"/>
        <v>1</v>
      </c>
      <c r="L14" s="221">
        <f t="shared" si="2"/>
        <v>1</v>
      </c>
      <c r="M14" s="221">
        <f t="shared" si="2"/>
        <v>1</v>
      </c>
      <c r="N14" s="221">
        <f t="shared" si="2"/>
        <v>1</v>
      </c>
      <c r="O14" s="221">
        <f t="shared" si="2"/>
        <v>1</v>
      </c>
      <c r="P14" s="221">
        <f t="shared" si="2"/>
        <v>1</v>
      </c>
      <c r="Q14" s="221">
        <f t="shared" si="2"/>
        <v>1</v>
      </c>
      <c r="R14" s="221">
        <f>Q14</f>
        <v>1</v>
      </c>
    </row>
    <row r="15" spans="2:18" x14ac:dyDescent="0.25">
      <c r="B15" s="6" t="s">
        <v>357</v>
      </c>
      <c r="G15" s="26">
        <f>'P&amp;L Statement '!G23</f>
        <v>1961</v>
      </c>
      <c r="H15" s="26">
        <f>'P&amp;L Statement '!H23</f>
        <v>2127.3836612888094</v>
      </c>
      <c r="I15" s="26">
        <f>'P&amp;L Statement '!I23</f>
        <v>2315.9502804741819</v>
      </c>
      <c r="J15" s="26">
        <f>'P&amp;L Statement '!J23</f>
        <v>2534.170044660435</v>
      </c>
      <c r="K15" s="26">
        <f>'P&amp;L Statement '!K23</f>
        <v>2789.4434641117091</v>
      </c>
      <c r="L15" s="26">
        <f>'P&amp;L Statement '!L23</f>
        <v>3091.3718140788774</v>
      </c>
      <c r="M15" s="26">
        <f>'P&amp;L Statement '!M23</f>
        <v>3452.4370604171736</v>
      </c>
      <c r="N15" s="26">
        <f>'P&amp;L Statement '!N23</f>
        <v>3888.8924898792252</v>
      </c>
      <c r="O15" s="26">
        <f>'P&amp;L Statement '!O23</f>
        <v>4421.9291343687282</v>
      </c>
      <c r="P15" s="26">
        <f>'P&amp;L Statement '!P23</f>
        <v>5079.2031195345107</v>
      </c>
      <c r="Q15" s="26">
        <f>'P&amp;L Statement '!Q23</f>
        <v>5896.8352645747364</v>
      </c>
    </row>
    <row r="16" spans="2:18" x14ac:dyDescent="0.25">
      <c r="B16" t="s">
        <v>322</v>
      </c>
      <c r="G16" s="25">
        <f>G15*'Revenue BuildUp'!G67</f>
        <v>424.45085066162574</v>
      </c>
      <c r="H16" s="25">
        <f>H15*'Revenue BuildUp'!H67</f>
        <v>472.87940667163633</v>
      </c>
      <c r="I16" s="25">
        <f>I15*'Revenue BuildUp'!I67</f>
        <v>514.79439954341342</v>
      </c>
      <c r="J16" s="25">
        <f>J15*'Revenue BuildUp'!J67</f>
        <v>563.30075713661984</v>
      </c>
      <c r="K16" s="25">
        <f>K15*'Revenue BuildUp'!K67</f>
        <v>620.04348075800351</v>
      </c>
      <c r="L16" s="25">
        <f>L15*'Revenue BuildUp'!L67</f>
        <v>687.15676247951694</v>
      </c>
      <c r="M16" s="25">
        <f>M15*'Revenue BuildUp'!M67</f>
        <v>767.41512046406785</v>
      </c>
      <c r="N16" s="25">
        <f>N15*'Revenue BuildUp'!N67</f>
        <v>864.43137017879667</v>
      </c>
      <c r="O16" s="25">
        <f>O15*'Revenue BuildUp'!O67</f>
        <v>982.91589968191988</v>
      </c>
      <c r="P16" s="25">
        <f>P15*'Revenue BuildUp'!P67</f>
        <v>1129.0161719466798</v>
      </c>
      <c r="Q16" s="25">
        <f>Q15*'Revenue BuildUp'!Q67</f>
        <v>1310.7612001979755</v>
      </c>
    </row>
    <row r="17" spans="2:18" x14ac:dyDescent="0.25">
      <c r="B17" s="222" t="s">
        <v>358</v>
      </c>
      <c r="C17" s="101"/>
      <c r="D17" s="101"/>
      <c r="E17" s="101"/>
      <c r="F17" s="101"/>
      <c r="G17" s="224">
        <f>G15-G16</f>
        <v>1536.5491493383743</v>
      </c>
      <c r="H17" s="224">
        <f t="shared" ref="H17:Q17" si="3">H15-H16</f>
        <v>1654.504254617173</v>
      </c>
      <c r="I17" s="224">
        <f t="shared" si="3"/>
        <v>1801.1558809307685</v>
      </c>
      <c r="J17" s="224">
        <f t="shared" si="3"/>
        <v>1970.8692875238153</v>
      </c>
      <c r="K17" s="224">
        <f t="shared" si="3"/>
        <v>2169.3999833537055</v>
      </c>
      <c r="L17" s="224">
        <f t="shared" si="3"/>
        <v>2404.2150515993603</v>
      </c>
      <c r="M17" s="224">
        <f t="shared" si="3"/>
        <v>2685.0219399531056</v>
      </c>
      <c r="N17" s="224">
        <f t="shared" si="3"/>
        <v>3024.4611197004288</v>
      </c>
      <c r="O17" s="224">
        <f t="shared" si="3"/>
        <v>3439.0132346868086</v>
      </c>
      <c r="P17" s="224">
        <f t="shared" si="3"/>
        <v>3950.1869475878311</v>
      </c>
      <c r="Q17" s="224">
        <f t="shared" si="3"/>
        <v>4586.0740643767604</v>
      </c>
    </row>
    <row r="18" spans="2:18" x14ac:dyDescent="0.25">
      <c r="B18" t="s">
        <v>359</v>
      </c>
      <c r="G18" s="25">
        <f>-'P&amp;L Statement '!G21</f>
        <v>178</v>
      </c>
      <c r="H18" s="25">
        <f>-'P&amp;L Statement '!H21</f>
        <v>160.81079831034486</v>
      </c>
      <c r="I18" s="25">
        <f>-'P&amp;L Statement '!I21</f>
        <v>195.72190874665102</v>
      </c>
      <c r="J18" s="25">
        <f>-'P&amp;L Statement '!J21</f>
        <v>238.5485754101974</v>
      </c>
      <c r="K18" s="25">
        <f>-'P&amp;L Statement '!K21</f>
        <v>291.16513583935858</v>
      </c>
      <c r="L18" s="25">
        <f>-'P&amp;L Statement '!L21</f>
        <v>355.90783134641481</v>
      </c>
      <c r="M18" s="25">
        <f>-'P&amp;L Statement '!M21</f>
        <v>435.69257897204534</v>
      </c>
      <c r="N18" s="25">
        <f>-'P&amp;L Statement '!N21</f>
        <v>534.16360112434597</v>
      </c>
      <c r="O18" s="25">
        <f>-'P&amp;L Statement '!O21</f>
        <v>655.8811673940337</v>
      </c>
      <c r="P18" s="25">
        <f>-'P&amp;L Statement '!P21</f>
        <v>806.55894501074386</v>
      </c>
      <c r="Q18" s="25">
        <f>-'P&amp;L Statement '!Q21</f>
        <v>993.36431200222432</v>
      </c>
    </row>
    <row r="19" spans="2:18" x14ac:dyDescent="0.25">
      <c r="B19" t="s">
        <v>360</v>
      </c>
      <c r="G19" s="25">
        <f>'Cash Flow '!G42</f>
        <v>-161</v>
      </c>
      <c r="H19" s="25">
        <f>'Cash Flow '!H42</f>
        <v>-250.7203600632177</v>
      </c>
      <c r="I19" s="25">
        <f>'Cash Flow '!I42</f>
        <v>-287.97768784446066</v>
      </c>
      <c r="J19" s="25">
        <f>'Cash Flow '!J42</f>
        <v>-332.09794147174279</v>
      </c>
      <c r="K19" s="25">
        <f>'Cash Flow '!K42</f>
        <v>-384.50630466197867</v>
      </c>
      <c r="L19" s="25">
        <f>'Cash Flow '!L42</f>
        <v>-446.94431500908814</v>
      </c>
      <c r="M19" s="25">
        <f>'Cash Flow '!M42</f>
        <v>-521.54251914444546</v>
      </c>
      <c r="N19" s="25">
        <f>'Cash Flow '!N42</f>
        <v>-610.91009089422539</v>
      </c>
      <c r="O19" s="25">
        <f>'Cash Flow '!O42</f>
        <v>-718.24540377674725</v>
      </c>
      <c r="P19" s="25">
        <f>'Cash Flow '!P42</f>
        <v>-847.47249183178758</v>
      </c>
      <c r="Q19" s="25">
        <f>'Cash Flow '!Q42</f>
        <v>-1003.4094984616498</v>
      </c>
    </row>
    <row r="20" spans="2:18" x14ac:dyDescent="0.25">
      <c r="B20" t="s">
        <v>361</v>
      </c>
      <c r="G20" s="25">
        <f>'Cash Flow '!G36</f>
        <v>-293</v>
      </c>
      <c r="H20" s="25">
        <f>'Cash Flow '!H36</f>
        <v>838.82185964856558</v>
      </c>
      <c r="I20" s="25">
        <f>'Cash Flow '!I36</f>
        <v>-98.268923542491507</v>
      </c>
      <c r="J20" s="25">
        <f>'Cash Flow '!J36</f>
        <v>-114.78885076220445</v>
      </c>
      <c r="K20" s="25">
        <f>'Cash Flow '!K36</f>
        <v>-135.38716785600752</v>
      </c>
      <c r="L20" s="25">
        <f>'Cash Flow '!L36</f>
        <v>-161.2347189760269</v>
      </c>
      <c r="M20" s="25">
        <f>'Cash Flow '!M36</f>
        <v>-193.85311647781486</v>
      </c>
      <c r="N20" s="25">
        <f>'Cash Flow '!N36</f>
        <v>-235.22096212242798</v>
      </c>
      <c r="O20" s="25">
        <f>'Cash Flow '!O36</f>
        <v>-287.91231942951151</v>
      </c>
      <c r="P20" s="25">
        <f>'Cash Flow '!P36</f>
        <v>-355.27723562120786</v>
      </c>
      <c r="Q20" s="25">
        <f>'Cash Flow '!Q36</f>
        <v>-441.67708898846399</v>
      </c>
    </row>
    <row r="21" spans="2:18" x14ac:dyDescent="0.25">
      <c r="B21" s="222" t="s">
        <v>362</v>
      </c>
      <c r="C21" s="222"/>
      <c r="D21" s="222"/>
      <c r="E21" s="222"/>
      <c r="F21" s="222"/>
      <c r="G21" s="224">
        <f>SUM(G17:G20)</f>
        <v>1260.5491493383743</v>
      </c>
      <c r="H21" s="224">
        <f t="shared" ref="H21:Q21" si="4">SUM(H17:H20)</f>
        <v>2403.4165525128656</v>
      </c>
      <c r="I21" s="224">
        <f t="shared" si="4"/>
        <v>1610.6311782904672</v>
      </c>
      <c r="J21" s="224">
        <f t="shared" si="4"/>
        <v>1762.5310707000654</v>
      </c>
      <c r="K21" s="224">
        <f t="shared" si="4"/>
        <v>1940.6716466750781</v>
      </c>
      <c r="L21" s="224">
        <f t="shared" si="4"/>
        <v>2151.94384896066</v>
      </c>
      <c r="M21" s="224">
        <f t="shared" si="4"/>
        <v>2405.3188833028908</v>
      </c>
      <c r="N21" s="224">
        <f t="shared" si="4"/>
        <v>2712.4936678081212</v>
      </c>
      <c r="O21" s="224">
        <f t="shared" si="4"/>
        <v>3088.736678874583</v>
      </c>
      <c r="P21" s="224">
        <f t="shared" si="4"/>
        <v>3553.9961651455797</v>
      </c>
      <c r="Q21" s="224">
        <f t="shared" si="4"/>
        <v>4134.3517889288714</v>
      </c>
    </row>
    <row r="23" spans="2:18" ht="15.75" thickBot="1" x14ac:dyDescent="0.3">
      <c r="B23" s="43" t="s">
        <v>363</v>
      </c>
      <c r="C23" s="43"/>
      <c r="D23" s="43"/>
      <c r="E23" s="43"/>
      <c r="F23" s="43"/>
      <c r="G23" s="43">
        <v>0</v>
      </c>
      <c r="H23" s="225">
        <f>H21*H14</f>
        <v>1515.4876595011679</v>
      </c>
      <c r="I23" s="225">
        <f t="shared" ref="I23:Q23" si="5">I21*I14</f>
        <v>1610.6311782904672</v>
      </c>
      <c r="J23" s="225">
        <f t="shared" si="5"/>
        <v>1762.5310707000654</v>
      </c>
      <c r="K23" s="225">
        <f t="shared" si="5"/>
        <v>1940.6716466750781</v>
      </c>
      <c r="L23" s="225">
        <f t="shared" si="5"/>
        <v>2151.94384896066</v>
      </c>
      <c r="M23" s="225">
        <f t="shared" si="5"/>
        <v>2405.3188833028908</v>
      </c>
      <c r="N23" s="225">
        <f t="shared" si="5"/>
        <v>2712.4936678081212</v>
      </c>
      <c r="O23" s="225">
        <f t="shared" si="5"/>
        <v>3088.736678874583</v>
      </c>
      <c r="P23" s="225">
        <f t="shared" si="5"/>
        <v>3553.9961651455797</v>
      </c>
      <c r="Q23" s="225">
        <f t="shared" si="5"/>
        <v>4134.3517889288714</v>
      </c>
      <c r="R23" s="226">
        <f>C32</f>
        <v>199781.89826420095</v>
      </c>
    </row>
    <row r="25" spans="2:18" ht="15.75" thickBot="1" x14ac:dyDescent="0.3">
      <c r="B25" s="255" t="s">
        <v>346</v>
      </c>
      <c r="C25" s="256">
        <f>Assumption!C17</f>
        <v>37.41989627255942</v>
      </c>
      <c r="E25" s="261"/>
      <c r="F25" s="261"/>
      <c r="H25" s="356" t="s">
        <v>380</v>
      </c>
      <c r="I25" s="356"/>
      <c r="J25" s="356"/>
      <c r="K25" s="356"/>
      <c r="L25" s="356"/>
      <c r="M25" s="356"/>
      <c r="N25" s="356"/>
    </row>
    <row r="26" spans="2:18" ht="15.75" thickBot="1" x14ac:dyDescent="0.3">
      <c r="B26" s="257" t="s">
        <v>347</v>
      </c>
      <c r="C26" s="258">
        <f>Assumption!C18</f>
        <v>0.05</v>
      </c>
      <c r="E26" s="261"/>
      <c r="F26" s="261"/>
    </row>
    <row r="27" spans="2:18" x14ac:dyDescent="0.25">
      <c r="B27" s="259" t="s">
        <v>348</v>
      </c>
      <c r="C27" s="260">
        <f>Assumption!C19</f>
        <v>8.0628448796998112E-2</v>
      </c>
      <c r="H27" s="350" t="s">
        <v>348</v>
      </c>
      <c r="I27" s="251"/>
      <c r="J27" s="358" t="s">
        <v>347</v>
      </c>
      <c r="K27" s="358"/>
      <c r="L27" s="358"/>
      <c r="M27" s="358"/>
      <c r="N27" s="359"/>
    </row>
    <row r="28" spans="2:18" ht="15.75" thickBot="1" x14ac:dyDescent="0.3">
      <c r="E28" s="357" t="s">
        <v>372</v>
      </c>
      <c r="F28" s="357"/>
      <c r="H28" s="351"/>
      <c r="I28" s="252">
        <f>C41</f>
        <v>851.60475541287917</v>
      </c>
      <c r="J28" s="242">
        <v>0.03</v>
      </c>
      <c r="K28" s="242">
        <v>4.4999999999999998E-2</v>
      </c>
      <c r="L28" s="243">
        <v>0.05</v>
      </c>
      <c r="M28" s="242">
        <v>5.5E-2</v>
      </c>
      <c r="N28" s="249">
        <v>0.06</v>
      </c>
    </row>
    <row r="29" spans="2:18" ht="15.75" customHeight="1" thickBot="1" x14ac:dyDescent="0.3">
      <c r="B29" s="356" t="s">
        <v>364</v>
      </c>
      <c r="C29" s="356"/>
      <c r="E29" t="s">
        <v>373</v>
      </c>
      <c r="F29" s="236">
        <f>F41</f>
        <v>710.47603636924021</v>
      </c>
      <c r="H29" s="351"/>
      <c r="I29" s="253">
        <v>9.0628448796998121E-2</v>
      </c>
      <c r="J29" s="184">
        <f t="dataTable" ref="J29:N33" dt2D="1" dtr="1" r1="C26" r2="C27" ca="1"/>
        <v>664.30666352050775</v>
      </c>
      <c r="K29" s="184">
        <v>705.14700840109788</v>
      </c>
      <c r="L29" s="184">
        <v>725.4618931002118</v>
      </c>
      <c r="M29" s="184">
        <v>751.47864958579112</v>
      </c>
      <c r="N29" s="246">
        <v>785.98971691878421</v>
      </c>
    </row>
    <row r="30" spans="2:18" x14ac:dyDescent="0.25">
      <c r="B30" t="s">
        <v>302</v>
      </c>
      <c r="C30" s="227">
        <f>(Q15+Q18)*C25</f>
        <v>257830.55345274269</v>
      </c>
      <c r="E30" t="s">
        <v>374</v>
      </c>
      <c r="F30" s="237">
        <f>C41</f>
        <v>851.60475541287917</v>
      </c>
      <c r="H30" s="351"/>
      <c r="I30" s="253">
        <v>8.5628448796998116E-2</v>
      </c>
      <c r="J30" s="184">
        <v>703.04680939175284</v>
      </c>
      <c r="K30" s="184">
        <v>755.05864681137132</v>
      </c>
      <c r="L30" s="184">
        <v>782.12819312832869</v>
      </c>
      <c r="M30" s="184">
        <v>818.0357796922375</v>
      </c>
      <c r="N30" s="246">
        <v>867.95419728549666</v>
      </c>
    </row>
    <row r="31" spans="2:18" ht="15.75" thickBot="1" x14ac:dyDescent="0.3">
      <c r="B31" t="s">
        <v>365</v>
      </c>
      <c r="C31" s="227">
        <f>Q21*(1+C26)/(C27-C26)</f>
        <v>141733.24307565921</v>
      </c>
      <c r="E31" s="228" t="s">
        <v>375</v>
      </c>
      <c r="F31" s="238">
        <f>F30/F29-1</f>
        <v>0.19863966104311115</v>
      </c>
      <c r="H31" s="351"/>
      <c r="I31" s="253">
        <v>8.0628448796998112E-2</v>
      </c>
      <c r="J31" s="184">
        <v>746.4192606863777</v>
      </c>
      <c r="K31" s="184">
        <v>814.23729616500225</v>
      </c>
      <c r="L31" s="184">
        <v>851.60475541287917</v>
      </c>
      <c r="M31" s="184">
        <v>903.55267543848913</v>
      </c>
      <c r="N31" s="246">
        <v>980.68325487626464</v>
      </c>
    </row>
    <row r="32" spans="2:18" ht="15.75" thickBot="1" x14ac:dyDescent="0.3">
      <c r="B32" s="228" t="s">
        <v>306</v>
      </c>
      <c r="C32" s="229">
        <f>AVERAGE(C30:C31)</f>
        <v>199781.89826420095</v>
      </c>
      <c r="H32" s="351"/>
      <c r="I32" s="253">
        <v>7.5628448796998107E-2</v>
      </c>
      <c r="J32" s="184">
        <v>795.66792989552471</v>
      </c>
      <c r="K32" s="184">
        <v>886.77742783826318</v>
      </c>
      <c r="L32" s="184">
        <v>940.84735477413756</v>
      </c>
      <c r="M32" s="184">
        <v>1021.1286209473776</v>
      </c>
      <c r="N32" s="246">
        <v>1152.7785592236737</v>
      </c>
    </row>
    <row r="33" spans="2:14" ht="15.75" thickBot="1" x14ac:dyDescent="0.3">
      <c r="H33" s="352"/>
      <c r="I33" s="254">
        <v>7.0628448796998103E-2</v>
      </c>
      <c r="J33" s="240">
        <v>852.62488320910927</v>
      </c>
      <c r="K33" s="240">
        <v>979.92840895391669</v>
      </c>
      <c r="L33" s="240">
        <v>1063.5046524271681</v>
      </c>
      <c r="M33" s="240">
        <v>1200.5578881207252</v>
      </c>
      <c r="N33" s="248">
        <v>1466.5605484304749</v>
      </c>
    </row>
    <row r="34" spans="2:14" ht="15.75" thickBot="1" x14ac:dyDescent="0.3">
      <c r="B34" s="356" t="s">
        <v>366</v>
      </c>
      <c r="C34" s="356"/>
      <c r="E34" s="356" t="s">
        <v>376</v>
      </c>
      <c r="F34" s="356"/>
    </row>
    <row r="35" spans="2:14" x14ac:dyDescent="0.25">
      <c r="B35" t="s">
        <v>367</v>
      </c>
      <c r="C35" s="230">
        <f>XNPV(C27,G23:R23,G12:R12)</f>
        <v>110589.26515748346</v>
      </c>
      <c r="E35" t="s">
        <v>329</v>
      </c>
      <c r="F35" s="230">
        <f>Assumption!C22</f>
        <v>92273.58</v>
      </c>
      <c r="H35" s="350" t="s">
        <v>348</v>
      </c>
      <c r="I35" s="353" t="s">
        <v>381</v>
      </c>
      <c r="J35" s="354"/>
      <c r="K35" s="354"/>
      <c r="L35" s="354"/>
      <c r="M35" s="354"/>
      <c r="N35" s="355"/>
    </row>
    <row r="36" spans="2:14" x14ac:dyDescent="0.25">
      <c r="B36" t="s">
        <v>368</v>
      </c>
      <c r="C36" s="233">
        <f>'Comps Valuation'!I31</f>
        <v>777</v>
      </c>
      <c r="E36" t="s">
        <v>377</v>
      </c>
      <c r="F36" s="230">
        <f>C37</f>
        <v>-554</v>
      </c>
      <c r="H36" s="351"/>
      <c r="I36" s="250">
        <f>C41</f>
        <v>851.60475541287917</v>
      </c>
      <c r="J36" s="244">
        <v>27.41989627255942</v>
      </c>
      <c r="K36" s="244">
        <v>32.41989627255942</v>
      </c>
      <c r="L36" s="244">
        <v>37.41989627255942</v>
      </c>
      <c r="M36" s="244">
        <v>42.41989627255942</v>
      </c>
      <c r="N36" s="245">
        <v>47.41989627255942</v>
      </c>
    </row>
    <row r="37" spans="2:14" x14ac:dyDescent="0.25">
      <c r="B37" t="s">
        <v>369</v>
      </c>
      <c r="C37" s="233">
        <f>-'Comps Valuation'!H31</f>
        <v>-554</v>
      </c>
      <c r="E37" t="s">
        <v>378</v>
      </c>
      <c r="F37" s="230">
        <f>C38</f>
        <v>-291</v>
      </c>
      <c r="H37" s="351"/>
      <c r="I37" s="241">
        <v>9.0628448796998121E-2</v>
      </c>
      <c r="J37" s="184">
        <f t="dataTable" ref="J37:N41" dt2D="1" dtr="1" r1="C25" r2="C27"/>
        <v>610.36652264981478</v>
      </c>
      <c r="K37" s="184">
        <v>667.91420787501318</v>
      </c>
      <c r="L37" s="184">
        <v>725.4618931002118</v>
      </c>
      <c r="M37" s="184">
        <v>783.00957832541019</v>
      </c>
      <c r="N37" s="246">
        <v>840.55726355060858</v>
      </c>
    </row>
    <row r="38" spans="2:14" x14ac:dyDescent="0.25">
      <c r="B38" t="s">
        <v>370</v>
      </c>
      <c r="C38" s="233">
        <f>-'Balance Sheet'!G47</f>
        <v>-291</v>
      </c>
      <c r="E38" t="s">
        <v>379</v>
      </c>
      <c r="F38" s="230">
        <f>C36</f>
        <v>777</v>
      </c>
      <c r="H38" s="351"/>
      <c r="I38" s="241">
        <v>8.5628448796998116E-2</v>
      </c>
      <c r="J38" s="184">
        <v>661.82385539238248</v>
      </c>
      <c r="K38" s="184">
        <v>721.97602426035553</v>
      </c>
      <c r="L38" s="184">
        <v>782.12819312832869</v>
      </c>
      <c r="M38" s="184">
        <v>842.28036199630162</v>
      </c>
      <c r="N38" s="246">
        <v>902.43253086427467</v>
      </c>
    </row>
    <row r="39" spans="2:14" ht="15.75" thickBot="1" x14ac:dyDescent="0.3">
      <c r="B39" s="33" t="s">
        <v>313</v>
      </c>
      <c r="C39" s="231">
        <f>SUM(C35:C38)</f>
        <v>110521.26515748346</v>
      </c>
      <c r="E39" s="33" t="s">
        <v>367</v>
      </c>
      <c r="F39" s="231">
        <f>SUM(F35:F38)</f>
        <v>92205.58</v>
      </c>
      <c r="H39" s="351"/>
      <c r="I39" s="241">
        <v>8.0628448796998112E-2</v>
      </c>
      <c r="J39" s="184">
        <v>725.83000652241924</v>
      </c>
      <c r="K39" s="184">
        <v>788.71738096764921</v>
      </c>
      <c r="L39" s="184">
        <v>851.60475541287917</v>
      </c>
      <c r="M39" s="184">
        <v>914.49212985810914</v>
      </c>
      <c r="N39" s="246">
        <v>977.3795043033391</v>
      </c>
    </row>
    <row r="40" spans="2:14" x14ac:dyDescent="0.25">
      <c r="H40" s="351"/>
      <c r="I40" s="241">
        <v>7.5628448796998107E-2</v>
      </c>
      <c r="J40" s="184">
        <v>809.32632673443982</v>
      </c>
      <c r="K40" s="184">
        <v>875.08684075428869</v>
      </c>
      <c r="L40" s="184">
        <v>940.84735477413756</v>
      </c>
      <c r="M40" s="184">
        <v>1006.6078687939867</v>
      </c>
      <c r="N40" s="246">
        <v>1072.3683828138355</v>
      </c>
    </row>
    <row r="41" spans="2:14" ht="15.75" thickBot="1" x14ac:dyDescent="0.3">
      <c r="B41" s="234" t="s">
        <v>371</v>
      </c>
      <c r="C41" s="235">
        <f>C39/Assumption!C20</f>
        <v>851.60475541287917</v>
      </c>
      <c r="E41" s="232" t="s">
        <v>371</v>
      </c>
      <c r="F41" s="239">
        <f>F39/Assumption!C20</f>
        <v>710.47603636924021</v>
      </c>
      <c r="H41" s="352"/>
      <c r="I41" s="247">
        <v>7.0628448796998103E-2</v>
      </c>
      <c r="J41" s="240">
        <v>925.94618481095438</v>
      </c>
      <c r="K41" s="240">
        <v>994.7254186190612</v>
      </c>
      <c r="L41" s="240">
        <v>1063.5046524271681</v>
      </c>
      <c r="M41" s="240">
        <v>1132.2838862352748</v>
      </c>
      <c r="N41" s="248">
        <v>1201.0631200433818</v>
      </c>
    </row>
  </sheetData>
  <mergeCells count="10">
    <mergeCell ref="H35:H41"/>
    <mergeCell ref="H27:H33"/>
    <mergeCell ref="I35:N35"/>
    <mergeCell ref="B8:R8"/>
    <mergeCell ref="B29:C29"/>
    <mergeCell ref="B34:C34"/>
    <mergeCell ref="E28:F28"/>
    <mergeCell ref="E34:F34"/>
    <mergeCell ref="H25:N25"/>
    <mergeCell ref="J27:N27"/>
  </mergeCells>
  <conditionalFormatting sqref="J29:N33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J37:N41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8:J15"/>
  <sheetViews>
    <sheetView showGridLines="0" workbookViewId="0">
      <selection activeCell="M3" sqref="M3"/>
    </sheetView>
  </sheetViews>
  <sheetFormatPr defaultRowHeight="15" x14ac:dyDescent="0.25"/>
  <cols>
    <col min="1" max="1" width="1.85546875" customWidth="1"/>
    <col min="5" max="5" width="14.42578125" bestFit="1" customWidth="1"/>
    <col min="6" max="6" width="14.85546875" bestFit="1" customWidth="1"/>
    <col min="8" max="8" width="14.5703125" bestFit="1" customWidth="1"/>
    <col min="9" max="9" width="17.5703125" bestFit="1" customWidth="1"/>
  </cols>
  <sheetData>
    <row r="8" spans="2:10" ht="15.75" thickBot="1" x14ac:dyDescent="0.3">
      <c r="B8" s="341" t="s">
        <v>406</v>
      </c>
      <c r="C8" s="341"/>
      <c r="D8" s="341"/>
      <c r="E8" s="341"/>
      <c r="F8" s="341"/>
      <c r="G8" s="341"/>
      <c r="H8" s="341"/>
      <c r="I8" s="341"/>
      <c r="J8" s="341"/>
    </row>
    <row r="9" spans="2:10" ht="15.75" thickBot="1" x14ac:dyDescent="0.3"/>
    <row r="10" spans="2:10" x14ac:dyDescent="0.25">
      <c r="B10" s="331" t="s">
        <v>407</v>
      </c>
      <c r="C10" s="332"/>
      <c r="D10" s="332"/>
      <c r="E10" s="332"/>
      <c r="F10" s="332"/>
      <c r="G10" s="332"/>
      <c r="H10" s="332"/>
      <c r="I10" s="332"/>
      <c r="J10" s="333"/>
    </row>
    <row r="11" spans="2:10" x14ac:dyDescent="0.25">
      <c r="B11" s="327"/>
      <c r="C11" s="328"/>
      <c r="D11" s="328"/>
      <c r="E11" s="328" t="s">
        <v>408</v>
      </c>
      <c r="F11" s="328" t="s">
        <v>409</v>
      </c>
      <c r="G11" s="328" t="s">
        <v>410</v>
      </c>
      <c r="H11" s="328" t="s">
        <v>411</v>
      </c>
      <c r="I11" s="328" t="s">
        <v>412</v>
      </c>
      <c r="J11" s="329"/>
    </row>
    <row r="12" spans="2:10" x14ac:dyDescent="0.25">
      <c r="B12" s="130" t="s">
        <v>304</v>
      </c>
      <c r="C12" s="131"/>
      <c r="D12" s="131"/>
      <c r="E12" s="176">
        <v>730</v>
      </c>
      <c r="F12" s="176">
        <v>738</v>
      </c>
      <c r="G12" s="176">
        <v>1438</v>
      </c>
      <c r="H12" s="176">
        <v>745</v>
      </c>
      <c r="I12" s="176">
        <v>768</v>
      </c>
      <c r="J12" s="132"/>
    </row>
    <row r="13" spans="2:10" x14ac:dyDescent="0.25">
      <c r="B13" s="130" t="s">
        <v>304</v>
      </c>
      <c r="C13" s="131"/>
      <c r="D13" s="131"/>
      <c r="E13" s="176">
        <f>E12</f>
        <v>730</v>
      </c>
      <c r="F13" s="176">
        <f>F12</f>
        <v>738</v>
      </c>
      <c r="G13" s="176">
        <f>G12</f>
        <v>1438</v>
      </c>
      <c r="H13" s="176">
        <f>H12</f>
        <v>745</v>
      </c>
      <c r="I13" s="176">
        <f>I12</f>
        <v>768</v>
      </c>
      <c r="J13" s="132"/>
    </row>
    <row r="14" spans="2:10" x14ac:dyDescent="0.25">
      <c r="B14" s="130" t="s">
        <v>309</v>
      </c>
      <c r="C14" s="131"/>
      <c r="D14" s="131"/>
      <c r="E14" s="176">
        <v>589</v>
      </c>
      <c r="F14" s="176">
        <v>542</v>
      </c>
      <c r="G14" s="176">
        <v>513</v>
      </c>
      <c r="H14" s="176">
        <v>578</v>
      </c>
      <c r="I14" s="176">
        <v>593</v>
      </c>
      <c r="J14" s="132"/>
    </row>
    <row r="15" spans="2:10" ht="15.75" thickBot="1" x14ac:dyDescent="0.3">
      <c r="B15" s="140" t="s">
        <v>309</v>
      </c>
      <c r="C15" s="192"/>
      <c r="D15" s="192"/>
      <c r="E15" s="330">
        <f>E14</f>
        <v>589</v>
      </c>
      <c r="F15" s="330">
        <f>F14</f>
        <v>542</v>
      </c>
      <c r="G15" s="330">
        <f>G14</f>
        <v>513</v>
      </c>
      <c r="H15" s="330">
        <f>H14</f>
        <v>578</v>
      </c>
      <c r="I15" s="330">
        <f>I14</f>
        <v>593</v>
      </c>
      <c r="J15" s="141"/>
    </row>
  </sheetData>
  <mergeCells count="1">
    <mergeCell ref="B8:J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Assumption</vt:lpstr>
      <vt:lpstr>Income Statement</vt:lpstr>
      <vt:lpstr>P&amp;L Statement </vt:lpstr>
      <vt:lpstr>Balance Sheet</vt:lpstr>
      <vt:lpstr>Common Size Statement</vt:lpstr>
      <vt:lpstr>Cash Flow </vt:lpstr>
      <vt:lpstr>B_Sheet Forecast</vt:lpstr>
      <vt:lpstr>FAS Seechules</vt:lpstr>
      <vt:lpstr>Revenue BuildUp</vt:lpstr>
      <vt:lpstr>Cost BuildUp</vt:lpstr>
      <vt:lpstr>Debt Schedules</vt:lpstr>
      <vt:lpstr>Working Capital</vt:lpstr>
      <vt:lpstr>Equity Market</vt:lpstr>
      <vt:lpstr>Beta</vt:lpstr>
      <vt:lpstr>Comps Valuation</vt:lpstr>
      <vt:lpstr>Comps Data</vt:lpstr>
      <vt:lpstr>WACC</vt:lpstr>
      <vt:lpstr>DCF Model</vt:lpstr>
      <vt:lpstr>Foot Field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Dhiraj Kumar</dc:creator>
  <cp:lastModifiedBy>Dhiraj Kumar</cp:lastModifiedBy>
  <dcterms:created xsi:type="dcterms:W3CDTF">2025-08-13T09:32:02Z</dcterms:created>
  <dcterms:modified xsi:type="dcterms:W3CDTF">2025-08-14T11:41:51Z</dcterms:modified>
</cp:coreProperties>
</file>